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 sheetId="5" state="visible" r:id="rId5"/>
    <sheet xmlns:r="http://schemas.openxmlformats.org/officeDocument/2006/relationships" name="調整・決定" sheetId="6" state="visible" r:id="rId6"/>
    <sheet xmlns:r="http://schemas.openxmlformats.org/officeDocument/2006/relationships" name="計算A" sheetId="7" state="hidden" r:id="rId7"/>
    <sheet xmlns:r="http://schemas.openxmlformats.org/officeDocument/2006/relationships" name="計算B" sheetId="8" state="hidden" r:id="rId8"/>
  </sheets>
  <definedNames>
    <definedName name="自動案の表">'自動案'!$C$6:$L$29</definedName>
    <definedName name="決定の表">'調整・決定'!$C$6:$L$29</definedName>
    <definedName name="_xlnm._FilterDatabase" localSheetId="2" hidden="1">'名簿'!$A$4:$O$49</definedName>
  </definedNames>
  <calcPr calcId="124519" fullCalcOnLoad="1"/>
</workbook>
</file>

<file path=xl/styles.xml><?xml version="1.0" encoding="utf-8"?>
<styleSheet xmlns="http://schemas.openxmlformats.org/spreadsheetml/2006/main">
  <numFmts count="3">
    <numFmt numFmtId="164" formatCode="0&quot;人&quot;"/>
    <numFmt numFmtId="165" formatCode="yyyy-mm-dd"/>
    <numFmt numFmtId="166" formatCode="m/d"/>
  </numFmts>
  <fonts count="40">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color rgb="00444444"/>
      <sz val="10"/>
    </font>
    <font>
      <name val="BIZ UDPゴシック"/>
      <color rgb="002D5FA8"/>
      <u val="single"/>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color rgb="00666666"/>
    </font>
    <font>
      <name val="BIZ UDPゴシック"/>
      <b val="1"/>
      <color rgb="00000000"/>
      <sz val="9"/>
    </font>
    <font>
      <name val="BIZ UDPゴシック"/>
      <b val="1"/>
      <color rgb="00FFFFFF"/>
      <sz val="9"/>
    </font>
    <font>
      <name val="BIZ UDPゴシック"/>
      <b val="1"/>
      <sz val="9"/>
    </font>
    <font>
      <name val="BIZ UDPゴシック"/>
      <sz val="9"/>
    </font>
    <font>
      <name val="BIZ UDPゴシック"/>
      <b val="1"/>
      <color rgb="00B23A3A"/>
    </font>
    <font>
      <name val="BIZ UDPゴシック"/>
      <b val="1"/>
      <color rgb="009A6A00"/>
    </font>
    <font>
      <name val="BIZ UDPゴシック"/>
      <b val="1"/>
      <color rgb="00FFFFFF"/>
      <sz val="18"/>
    </font>
    <font>
      <name val="BIZ UDPゴシック"/>
      <color rgb="001B365D"/>
      <sz val="10"/>
    </font>
    <font>
      <name val="BIZ UDPゴシック"/>
      <b val="1"/>
      <color rgb="00FFFFFF"/>
      <sz val="11"/>
    </font>
    <font>
      <name val="BIZ UDPゴシック"/>
      <b val="1"/>
      <color rgb="001B365D"/>
      <sz val="11"/>
    </font>
    <font>
      <name val="BIZ UDPゴシック"/>
      <b val="1"/>
      <color rgb="00FFFFFF"/>
    </font>
    <font>
      <name val="BIZ UDPゴシック"/>
      <b val="1"/>
      <color rgb="00FFFFFF"/>
      <sz val="10"/>
    </font>
    <font>
      <name val="BIZ UDPゴシック"/>
      <b val="1"/>
      <color rgb="001B365D"/>
    </font>
    <font>
      <name val="BIZ UDPゴシック"/>
      <b val="1"/>
      <color rgb="001B365D"/>
      <sz val="14"/>
    </font>
  </fonts>
  <fills count="23">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C5D7F4"/>
        <bgColor rgb="00C5D7F4"/>
      </patternFill>
    </fill>
    <fill>
      <patternFill patternType="solid">
        <fgColor rgb="00D6F0DF"/>
        <bgColor rgb="00D6F0DF"/>
      </patternFill>
    </fill>
    <fill>
      <patternFill patternType="solid">
        <fgColor rgb="00FBEFC9"/>
        <bgColor rgb="00FBEFC9"/>
      </patternFill>
    </fill>
    <fill>
      <patternFill patternType="solid">
        <fgColor rgb="00F6DEDB"/>
        <bgColor rgb="00F6DEDB"/>
      </patternFill>
    </fill>
    <fill>
      <patternFill patternType="solid">
        <fgColor rgb="00B23A3A"/>
        <bgColor rgb="00B23A3A"/>
      </patternFill>
    </fill>
    <fill>
      <patternFill patternType="solid">
        <fgColor rgb="00F2B36B"/>
        <bgColor rgb="00F2B36B"/>
      </patternFill>
    </fill>
    <fill>
      <patternFill patternType="solid">
        <fgColor rgb="00C9B3E6"/>
        <bgColor rgb="00C9B3E6"/>
      </patternFill>
    </fill>
    <fill>
      <patternFill patternType="solid">
        <fgColor rgb="00D9D9D9"/>
        <bgColor rgb="00D9D9D9"/>
      </patternFill>
    </fill>
    <fill>
      <patternFill patternType="lightUp">
        <fgColor rgb="005B8BD0"/>
      </patternFill>
    </fill>
    <fill>
      <patternFill patternType="lightUp">
        <fgColor rgb="00BBBBBB"/>
      </patternFill>
    </fill>
    <fill>
      <patternFill patternType="solid">
        <fgColor rgb="001B365D"/>
        <bgColor rgb="001B365D"/>
      </patternFill>
    </fill>
    <fill>
      <patternFill patternType="solid">
        <fgColor rgb="00FFE9A8"/>
        <bgColor rgb="00FFE9A8"/>
      </patternFill>
    </fill>
    <fill>
      <patternFill patternType="solid">
        <fgColor rgb="00B7791F"/>
        <bgColor rgb="00B7791F"/>
      </patternFill>
    </fill>
  </fills>
  <borders count="13">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s>
  <cellStyleXfs count="1">
    <xf numFmtId="0" fontId="0" fillId="0" borderId="0"/>
  </cellStyleXfs>
  <cellXfs count="84">
    <xf numFmtId="0" fontId="0" fillId="0" borderId="0" pivotButton="0" quotePrefix="0" xfId="0"/>
    <xf numFmtId="0" fontId="32" fillId="20" borderId="0" applyAlignment="1" pivotButton="0" quotePrefix="0" xfId="0">
      <alignment vertical="center" indent="1"/>
    </xf>
    <xf numFmtId="0" fontId="0" fillId="20" borderId="0" pivotButton="0" quotePrefix="0" xfId="0"/>
    <xf numFmtId="0" fontId="33"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34" fillId="6" borderId="9" applyAlignment="1" pivotButton="0" quotePrefix="0" xfId="0">
      <alignment horizontal="center" vertical="center" wrapText="1"/>
    </xf>
    <xf numFmtId="0" fontId="35" fillId="21" borderId="9" applyAlignment="1" pivotButton="0" quotePrefix="0" xfId="0">
      <alignment horizontal="center" vertical="center" wrapText="1"/>
    </xf>
    <xf numFmtId="0" fontId="0" fillId="0" borderId="12" pivotButton="0" quotePrefix="0" xfId="0"/>
    <xf numFmtId="0" fontId="38" fillId="0" borderId="0" pivotButton="0" quotePrefix="0" xfId="0"/>
    <xf numFmtId="20" fontId="1" fillId="7" borderId="4" applyAlignment="1" pivotButton="0" quotePrefix="0" xfId="0">
      <alignment horizontal="center" vertical="center" wrapText="1"/>
    </xf>
    <xf numFmtId="0" fontId="1" fillId="0" borderId="0" applyAlignment="1" pivotButton="0" quotePrefix="0" xfId="0">
      <alignment horizontal="center" vertical="center" wrapText="1"/>
    </xf>
    <xf numFmtId="0" fontId="14" fillId="0" borderId="0" pivotButton="0" quotePrefix="0" xfId="0"/>
    <xf numFmtId="1" fontId="1" fillId="7" borderId="4" applyAlignment="1" pivotButton="0" quotePrefix="0" xfId="0">
      <alignment horizontal="center" vertical="center" wrapText="1"/>
    </xf>
    <xf numFmtId="0" fontId="13" fillId="0" borderId="0" pivotButton="0" quotePrefix="0" xfId="0"/>
    <xf numFmtId="0" fontId="1" fillId="7" borderId="4" pivotButton="0" quotePrefix="0" xfId="0"/>
    <xf numFmtId="0" fontId="0" fillId="0" borderId="7" pivotButton="0" quotePrefix="0" xfId="0"/>
    <xf numFmtId="0" fontId="0" fillId="0" borderId="8" pivotButton="0" quotePrefix="0" xfId="0"/>
    <xf numFmtId="0" fontId="17" fillId="0" borderId="0" applyAlignment="1" pivotButton="0" quotePrefix="0" xfId="0">
      <alignment horizontal="right" vertical="center"/>
    </xf>
    <xf numFmtId="0" fontId="18" fillId="9" borderId="0" applyAlignment="1" pivotButton="0" quotePrefix="0" xfId="0">
      <alignment horizontal="center" vertical="center" wrapText="1"/>
    </xf>
    <xf numFmtId="0" fontId="36" fillId="4" borderId="4" applyAlignment="1" pivotButton="0" quotePrefix="0" xfId="0">
      <alignment horizontal="center" vertical="center" wrapText="1"/>
    </xf>
    <xf numFmtId="0" fontId="17" fillId="8" borderId="4" applyAlignment="1" pivotButton="0" quotePrefix="0" xfId="0">
      <alignment horizontal="center" vertical="center" wrapText="1"/>
    </xf>
    <xf numFmtId="0" fontId="1" fillId="8" borderId="0" pivotButton="0" quotePrefix="0" xfId="0"/>
    <xf numFmtId="0" fontId="36" fillId="4" borderId="0" applyAlignment="1" pivotButton="0" quotePrefix="0" xfId="0">
      <alignment horizontal="center" vertical="center" wrapText="1"/>
    </xf>
    <xf numFmtId="166" fontId="1" fillId="7"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7" borderId="4" applyAlignment="1" pivotButton="0" quotePrefix="0" xfId="0">
      <alignment horizontal="center" vertical="center" wrapText="1"/>
    </xf>
    <xf numFmtId="0" fontId="1" fillId="0" borderId="4" pivotButton="0" quotePrefix="0" xfId="0"/>
    <xf numFmtId="0" fontId="16"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5" fillId="8" borderId="0" applyAlignment="1" pivotButton="0" quotePrefix="0" xfId="0">
      <alignment horizontal="center" vertical="center" wrapText="1"/>
    </xf>
    <xf numFmtId="0" fontId="18" fillId="0" borderId="0" applyAlignment="1" pivotButton="0" quotePrefix="0" xfId="0">
      <alignment horizontal="center" vertical="center" wrapText="1"/>
    </xf>
    <xf numFmtId="0" fontId="13" fillId="0" borderId="0" applyAlignment="1" pivotButton="0" quotePrefix="0" xfId="0">
      <alignment vertical="top" wrapText="1"/>
    </xf>
    <xf numFmtId="0" fontId="19" fillId="0" borderId="0" pivotButton="0" quotePrefix="0" xfId="0"/>
    <xf numFmtId="0" fontId="37" fillId="22" borderId="4" applyAlignment="1" pivotButton="0" quotePrefix="0" xfId="0">
      <alignment horizontal="center" vertical="center" wrapText="1"/>
    </xf>
    <xf numFmtId="0" fontId="37" fillId="4" borderId="4" applyAlignment="1" pivotButton="0" quotePrefix="0" xfId="0">
      <alignment horizontal="center" vertical="center" wrapText="1"/>
    </xf>
    <xf numFmtId="0" fontId="1" fillId="7" borderId="4" applyAlignment="1" pivotButton="0" quotePrefix="0" xfId="0">
      <alignment horizontal="center" vertical="center" shrinkToFit="1"/>
    </xf>
    <xf numFmtId="0" fontId="1" fillId="7" borderId="4" applyAlignment="1" pivotButton="0" quotePrefix="0" xfId="0">
      <alignment vertical="center"/>
    </xf>
    <xf numFmtId="0" fontId="20" fillId="0" borderId="0" applyAlignment="1" pivotButton="0" quotePrefix="0" xfId="0">
      <alignment horizontal="center" vertical="center" wrapText="1"/>
    </xf>
    <xf numFmtId="0" fontId="32" fillId="20" borderId="0" applyAlignment="1" pivotButton="0" quotePrefix="0" xfId="0">
      <alignment vertical="center"/>
    </xf>
    <xf numFmtId="0" fontId="33" fillId="2" borderId="0" applyAlignment="1" pivotButton="0" quotePrefix="0" xfId="0">
      <alignment vertical="center"/>
    </xf>
    <xf numFmtId="0" fontId="39"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5" fillId="2" borderId="0" pivotButton="0" quotePrefix="0" xfId="0"/>
    <xf numFmtId="0" fontId="15" fillId="2" borderId="0" applyAlignment="1" pivotButton="0" quotePrefix="0" xfId="0">
      <alignment horizontal="left"/>
    </xf>
    <xf numFmtId="0" fontId="22" fillId="2" borderId="0" applyAlignment="1" pivotButton="0" quotePrefix="0" xfId="0">
      <alignment horizontal="center" vertical="center" wrapText="1"/>
    </xf>
    <xf numFmtId="0" fontId="23" fillId="9" borderId="0" applyAlignment="1" pivotButton="0" quotePrefix="0" xfId="0">
      <alignment horizontal="center" vertical="center" wrapText="1"/>
    </xf>
    <xf numFmtId="0" fontId="24" fillId="0" borderId="0" applyAlignment="1" pivotButton="0" quotePrefix="0" xfId="0">
      <alignment horizontal="center" vertical="center" wrapText="1"/>
    </xf>
    <xf numFmtId="0" fontId="28" fillId="11" borderId="4" applyAlignment="1" pivotButton="0" quotePrefix="0" xfId="0">
      <alignment horizontal="center" vertical="center" wrapText="1"/>
    </xf>
    <xf numFmtId="0" fontId="28" fillId="18" borderId="4" applyAlignment="1" pivotButton="0" quotePrefix="0" xfId="0">
      <alignment horizontal="center" vertical="center" wrapText="1"/>
    </xf>
    <xf numFmtId="0" fontId="28" fillId="19" borderId="4" applyAlignment="1" pivotButton="0" quotePrefix="0" xfId="0">
      <alignment horizontal="center" vertical="center" wrapText="1"/>
    </xf>
    <xf numFmtId="0" fontId="28" fillId="17" borderId="4" applyAlignment="1" pivotButton="0" quotePrefix="0" xfId="0">
      <alignment horizontal="center" vertical="center" wrapText="1"/>
    </xf>
    <xf numFmtId="0" fontId="25" fillId="0" borderId="0" pivotButton="0" quotePrefix="0" xfId="0"/>
    <xf numFmtId="0" fontId="15" fillId="0" borderId="0" pivotButton="0" quotePrefix="0" xfId="0"/>
    <xf numFmtId="0" fontId="30" fillId="0" borderId="0" pivotButton="0" quotePrefix="0" xfId="0"/>
    <xf numFmtId="0" fontId="30" fillId="0" borderId="0" applyAlignment="1" pivotButton="0" quotePrefix="0" xfId="0">
      <alignment vertical="top" wrapText="1"/>
    </xf>
    <xf numFmtId="0" fontId="31" fillId="0" borderId="0" pivotButton="0" quotePrefix="0" xfId="0"/>
    <xf numFmtId="0" fontId="1" fillId="0" borderId="0" applyAlignment="1" pivotButton="0" quotePrefix="0" xfId="0">
      <alignment vertical="top" wrapText="1"/>
    </xf>
    <xf numFmtId="0" fontId="26" fillId="10" borderId="4" applyAlignment="1" pivotButton="0" quotePrefix="0" xfId="0">
      <alignment horizontal="center" vertical="center" wrapText="1"/>
    </xf>
    <xf numFmtId="0" fontId="26" fillId="11" borderId="4" applyAlignment="1" pivotButton="0" quotePrefix="0" xfId="0">
      <alignment horizontal="center" vertical="center" wrapText="1"/>
    </xf>
    <xf numFmtId="0" fontId="26" fillId="12" borderId="4" applyAlignment="1" pivotButton="0" quotePrefix="0" xfId="0">
      <alignment horizontal="center" vertical="center" wrapText="1"/>
    </xf>
    <xf numFmtId="0" fontId="26" fillId="13" borderId="4" applyAlignment="1" pivotButton="0" quotePrefix="0" xfId="0">
      <alignment horizontal="center" vertical="center" wrapText="1"/>
    </xf>
    <xf numFmtId="0" fontId="27" fillId="14" borderId="4" applyAlignment="1" pivotButton="0" quotePrefix="0" xfId="0">
      <alignment horizontal="center" vertical="center" wrapText="1"/>
    </xf>
    <xf numFmtId="0" fontId="26" fillId="15" borderId="4" applyAlignment="1" pivotButton="0" quotePrefix="0" xfId="0">
      <alignment horizontal="center" vertical="center" wrapText="1"/>
    </xf>
    <xf numFmtId="0" fontId="26" fillId="16" borderId="4" applyAlignment="1" pivotButton="0" quotePrefix="0" xfId="0">
      <alignment horizontal="center" vertical="center" wrapText="1"/>
    </xf>
    <xf numFmtId="0" fontId="26" fillId="17" borderId="4" applyAlignment="1" pivotButton="0" quotePrefix="0" xfId="0">
      <alignment horizontal="center" vertical="center" wrapText="1"/>
    </xf>
    <xf numFmtId="0" fontId="9" fillId="7" borderId="4" pivotButton="0" quotePrefix="0" xfId="0"/>
    <xf numFmtId="0" fontId="15" fillId="0" borderId="0" applyAlignment="1" pivotButton="0" quotePrefix="0" xfId="0">
      <alignment horizontal="left"/>
    </xf>
    <xf numFmtId="0" fontId="6" fillId="0" borderId="0" pivotButton="0" quotePrefix="0" xfId="0"/>
    <xf numFmtId="0" fontId="29" fillId="0" borderId="0" applyAlignment="1" pivotButton="0" quotePrefix="0" xfId="0">
      <alignment vertical="top" wrapText="1"/>
    </xf>
    <xf numFmtId="0" fontId="1" fillId="0" borderId="0" pivotButton="0" quotePrefix="0" xfId="0"/>
  </cellXfs>
  <cellStyles count="1">
    <cellStyle name="Normal" xfId="0" builtinId="0" hidden="0"/>
  </cellStyles>
  <dxfs count="22">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65D"/>
    <outlinePr summaryBelow="1" summaryRight="1"/>
    <pageSetUpPr/>
  </sheetPr>
  <dimension ref="A1:M58"/>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2" t="n"/>
      <c r="L1" s="2" t="n"/>
      <c r="M1" s="2" t="n"/>
    </row>
    <row r="2" ht="24" customHeight="1">
      <c r="A2" s="3" t="inlineStr">
        <is>
          <t>×のついた予定表から、個人面談の日程を組むツールです（マクロなし）。黄色のマスが入力する場所です。</t>
        </is>
      </c>
      <c r="B2" s="4" t="n"/>
      <c r="C2" s="4" t="n"/>
      <c r="D2" s="4" t="n"/>
      <c r="E2" s="4" t="n"/>
      <c r="F2" s="4" t="n"/>
      <c r="G2" s="4" t="n"/>
      <c r="H2" s="4" t="n"/>
      <c r="I2" s="4" t="n"/>
      <c r="J2" s="4" t="n"/>
      <c r="K2" s="4" t="n"/>
      <c r="L2" s="4" t="n"/>
      <c r="M2" s="4" t="n"/>
    </row>
    <row r="3"/>
    <row r="4">
      <c r="B4" s="5" t="inlineStr">
        <is>
          <t>いまの状況</t>
        </is>
      </c>
    </row>
    <row r="5" ht="22" customHeight="1">
      <c r="B5" s="6" t="inlineStr">
        <is>
          <t>名簿の人数</t>
        </is>
      </c>
      <c r="C5" s="7" t="n"/>
      <c r="D5" s="6" t="inlineStr">
        <is>
          <t>×入力済み</t>
        </is>
      </c>
      <c r="E5" s="7" t="n"/>
      <c r="F5" s="6" t="inlineStr">
        <is>
          <t>未入力</t>
        </is>
      </c>
      <c r="G5" s="7" t="n"/>
      <c r="H5" s="6" t="inlineStr">
        <is>
          <t>未提出</t>
        </is>
      </c>
      <c r="I5" s="7" t="n"/>
      <c r="J5" s="6" t="inlineStr">
        <is>
          <t>決定済み</t>
        </is>
      </c>
      <c r="K5" s="7" t="n"/>
      <c r="L5" s="6" t="inlineStr">
        <is>
          <t>未決定</t>
        </is>
      </c>
      <c r="M5" s="7" t="n"/>
    </row>
    <row r="6" ht="46" customHeight="1">
      <c r="B6" s="8">
        <f>COUNTIF('名簿'!$B$5:$B$49,"?*")</f>
        <v/>
      </c>
      <c r="C6" s="9" t="n"/>
      <c r="D6" s="8">
        <f>COUNTIF('名簿'!$H$5:$H$49,"入力済み")+COUNTIF('名簿'!$H$5:$H$49,"×なし")</f>
        <v/>
      </c>
      <c r="E6" s="9" t="n"/>
      <c r="F6" s="8">
        <f>COUNTIF('名簿'!$H$5:$H$49,"未入力")</f>
        <v/>
      </c>
      <c r="G6" s="9" t="n"/>
      <c r="H6" s="8">
        <f>COUNTIF('名簿'!$H$5:$H$49,"未提出")</f>
        <v/>
      </c>
      <c r="I6" s="9" t="n"/>
      <c r="J6" s="8">
        <f>SUMPRODUCT(('名簿'!$L$5:$L$49&lt;&gt;"")*1)</f>
        <v/>
      </c>
      <c r="K6" s="9" t="n"/>
      <c r="L6" s="8">
        <f>COUNTIF('名簿'!$N$5:$N$49,"未決定")</f>
        <v/>
      </c>
      <c r="M6" s="9" t="n"/>
    </row>
    <row r="7"/>
    <row r="8">
      <c r="B8" s="5" t="inlineStr">
        <is>
          <t>使う順番</t>
        </is>
      </c>
    </row>
    <row r="9" ht="24" customHeight="1">
      <c r="B9" s="10" t="n">
        <v>1</v>
      </c>
      <c r="C9" s="11" t="inlineStr">
        <is>
          <t>日付と時間枠を決める</t>
        </is>
      </c>
      <c r="K9" s="12">
        <f>HYPERLINK("#'設定'!A1","開く ▶")</f>
        <v/>
      </c>
    </row>
    <row r="10" ht="30" customHeight="1">
      <c r="C10" s="13" t="inlineStr">
        <is>
          <t>面談する日付、時間帯（2つまで）、1枠の長さ。出張などで組まない日・時間もここで止めます。</t>
        </is>
      </c>
      <c r="D10" s="14" t="n"/>
      <c r="E10" s="14" t="n"/>
      <c r="F10" s="14" t="n"/>
      <c r="G10" s="14" t="n"/>
      <c r="H10" s="14" t="n"/>
      <c r="I10" s="14" t="n"/>
      <c r="J10" s="14" t="n"/>
    </row>
    <row r="11"/>
    <row r="12" ht="24" customHeight="1">
      <c r="B12" s="10" t="n">
        <v>2</v>
      </c>
      <c r="C12" s="11" t="inlineStr">
        <is>
          <t>名簿を貼り付ける</t>
        </is>
      </c>
      <c r="K12" s="12">
        <f>HYPERLINK("#'名簿'!A1","開く ▶")</f>
        <v/>
      </c>
    </row>
    <row r="13" ht="30" customHeight="1">
      <c r="C13" s="13" t="inlineStr">
        <is>
          <t>番号と名前を貼り付けます。兄弟・希望の時間・後ろを空けるもここで選びます。</t>
        </is>
      </c>
      <c r="D13" s="14" t="n"/>
      <c r="E13" s="14" t="n"/>
      <c r="F13" s="14" t="n"/>
      <c r="G13" s="14" t="n"/>
      <c r="H13" s="14" t="n"/>
      <c r="I13" s="14" t="n"/>
      <c r="J13" s="14" t="n"/>
    </row>
    <row r="14"/>
    <row r="15" ht="24" customHeight="1">
      <c r="B15" s="10" t="n">
        <v>3</v>
      </c>
      <c r="C15" s="11" t="inlineStr">
        <is>
          <t>×を入力する</t>
        </is>
      </c>
      <c r="K15" s="12">
        <f>HYPERLINK("#'×入力'!A1","開く ▶")</f>
        <v/>
      </c>
    </row>
    <row r="16" ht="30" customHeight="1">
      <c r="C16" s="13" t="inlineStr">
        <is>
          <t>予定表と同じ形の表に「×」。日付の上・時刻の左の欄で、1日全部・その時間全部も一度に×にできます。</t>
        </is>
      </c>
      <c r="D16" s="14" t="n"/>
      <c r="E16" s="14" t="n"/>
      <c r="F16" s="14" t="n"/>
      <c r="G16" s="14" t="n"/>
      <c r="H16" s="14" t="n"/>
      <c r="I16" s="14" t="n"/>
      <c r="J16" s="14" t="n"/>
    </row>
    <row r="17"/>
    <row r="18" ht="24" customHeight="1">
      <c r="B18" s="10" t="n">
        <v>4</v>
      </c>
      <c r="C18" s="11" t="inlineStr">
        <is>
          <t>自動案を見る</t>
        </is>
      </c>
      <c r="K18" s="12">
        <f>HYPERLINK("#'自動案'!A1","開く ▶")</f>
        <v/>
      </c>
    </row>
    <row r="19" ht="30" customHeight="1">
      <c r="C19" s="13" t="inlineStr">
        <is>
          <t>入れられる枠が少ない家庭から順に自動で組んだ案。よければ調整・決定に貼り付けます。</t>
        </is>
      </c>
      <c r="D19" s="14" t="n"/>
      <c r="E19" s="14" t="n"/>
      <c r="F19" s="14" t="n"/>
      <c r="G19" s="14" t="n"/>
      <c r="H19" s="14" t="n"/>
      <c r="I19" s="14" t="n"/>
      <c r="J19" s="14" t="n"/>
    </row>
    <row r="20"/>
    <row r="21" ht="24" customHeight="1">
      <c r="B21" s="10" t="n">
        <v>5</v>
      </c>
      <c r="C21" s="11" t="inlineStr">
        <is>
          <t>調整して決定する</t>
        </is>
      </c>
      <c r="K21" s="12">
        <f>HYPERLINK("#'調整・決定'!A1","開く ▶")</f>
        <v/>
      </c>
    </row>
    <row r="22" ht="30" customHeight="1">
      <c r="C22" s="13" t="inlineStr">
        <is>
          <t>プルダウンで手直しして日程を決めます。児童を選ぶと、入れられる枠に色がつきます。</t>
        </is>
      </c>
      <c r="D22" s="14" t="n"/>
      <c r="E22" s="14" t="n"/>
      <c r="F22" s="14" t="n"/>
      <c r="G22" s="14" t="n"/>
      <c r="H22" s="14" t="n"/>
      <c r="I22" s="14" t="n"/>
      <c r="J22" s="14" t="n"/>
    </row>
    <row r="23"/>
    <row r="24"/>
    <row r="25"/>
    <row r="26">
      <c r="B26" s="5" t="inlineStr">
        <is>
          <t>くわしい使い方</t>
        </is>
      </c>
    </row>
    <row r="27">
      <c r="B27" s="15" t="inlineStr">
        <is>
          <t>1. 「設定」シート</t>
        </is>
      </c>
    </row>
    <row r="28">
      <c r="B28" s="16" t="inlineStr">
        <is>
          <t>・面談の日付（上から順に、最大10日）、時間帯（午前と午後に分けるときは2つ）と1枠の長さを入れます（1日最大24枠）。</t>
        </is>
      </c>
    </row>
    <row r="29">
      <c r="B29" s="16" t="inlineStr">
        <is>
          <t>・空けたい日や休憩の時刻には「〇」を選びます。自動案では、ほかに入る枠がないときだけ使われます。</t>
        </is>
      </c>
    </row>
    <row r="30" ht="30" customHeight="1">
      <c r="B30" s="16" t="inlineStr">
        <is>
          <t>・出張や会議などで面談を組まない日・時間・枠は、右の「先生の都合で使えない枠」で「×」を選びます。止めた枠は、×入力・自動案・調整・決定で灰色になり、使われません。</t>
        </is>
      </c>
    </row>
    <row r="31">
      <c r="B31" s="15" t="inlineStr">
        <is>
          <t>2. 「名簿」シート</t>
        </is>
      </c>
    </row>
    <row r="32">
      <c r="B32" s="16" t="inlineStr">
        <is>
          <t>・Excelの名簿から「出席番号」と「名前」をコピーして、「番号」の列のいちばん上のマスに貼り付けます（最大45人）。</t>
        </is>
      </c>
    </row>
    <row r="33">
      <c r="B33" s="16" t="inlineStr">
        <is>
          <t>・他のクラスに兄弟がいる家庭は、「兄弟」の列で「〇」を選び、「兄弟メモ」に兄弟のクラスなどをメモします。</t>
        </is>
      </c>
    </row>
    <row r="34" ht="30" customHeight="1">
      <c r="B34" s="16" t="inlineStr">
        <is>
          <t>・「希望」：早い時刻／遅い時刻／早い日／遅い日 から選べます。自動案で、×のない枠の中からできるだけ希望に合う枠を選びます（希望なので、合わないこともあります）。</t>
        </is>
      </c>
    </row>
    <row r="35" ht="30" customHeight="1">
      <c r="B35" s="16"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36">
      <c r="B36" s="16" t="inlineStr">
        <is>
          <t>・名簿の行は並べ替えないでください（×入力の内容とずれてしまいます）。絞り込み（フィルター）は使えます。</t>
        </is>
      </c>
    </row>
    <row r="37">
      <c r="B37" s="15" t="inlineStr">
        <is>
          <t>3. 「×入力」シート</t>
        </is>
      </c>
    </row>
    <row r="38">
      <c r="B38" s="16" t="inlineStr">
        <is>
          <t>・1人ずつ、予定表と同じ形の表があります。名簿の「×入力へ」をクリックすると、その人の表に移動します。</t>
        </is>
      </c>
    </row>
    <row r="39">
      <c r="B39" s="16" t="inlineStr">
        <is>
          <t>・都合の悪い枠に「×」を入れます（何か文字が入っていれば×として扱います）。消すときは Delete キー。</t>
        </is>
      </c>
    </row>
    <row r="40">
      <c r="B40" s="16" t="inlineStr">
        <is>
          <t>・まとめて入れるとき：マウスでなぞって範囲を選び、「×」と打って Ctrl + Enter を押すと、選んだ枠が全部×になります。</t>
        </is>
      </c>
    </row>
    <row r="41" ht="30" customHeight="1">
      <c r="B41" s="16" t="inlineStr">
        <is>
          <t>・その日全部：日付の上の「この日全部」の欄で「×」を選びます。その時間全部：時刻の左の「この時間全部」の欄で「×」を選びます（表のマスはピンクになります）。</t>
        </is>
      </c>
    </row>
    <row r="42">
      <c r="B42" s="16" t="inlineStr">
        <is>
          <t>・×が1つもない家庭は「提出状況」で「×なし（どこでもOK）」、提出していない家庭は「未提出」を選びます。</t>
        </is>
      </c>
    </row>
    <row r="43">
      <c r="B43" s="15" t="inlineStr">
        <is>
          <t>4. 「自動案」シート</t>
        </is>
      </c>
    </row>
    <row r="44">
      <c r="B44" s="16" t="inlineStr">
        <is>
          <t>・入れられる枠が少ない家庭から順に、自動で組んだ案が表示されます（未入力・未提出の家庭は外れます）。</t>
        </is>
      </c>
    </row>
    <row r="45" ht="30" customHeight="1">
      <c r="B45" s="16" t="inlineStr">
        <is>
          <t>・案でよければ、表をコピーして、「調整・決定」シートの表の左上（いちばん早い日・時刻のマス）に［値の貼り付け］をします。左上の名前ボックスで「自動案の表」を選ぶと、表全体をまとめて選べます。</t>
        </is>
      </c>
    </row>
    <row r="46">
      <c r="B46" s="16" t="inlineStr">
        <is>
          <t>・「調整・決定」シートですでに決めた人はそのまま残り、残りの人だけで案が作られます。やり直したいときは調整・決定の表を消します。</t>
        </is>
      </c>
    </row>
    <row r="47">
      <c r="B47" s="15" t="inlineStr">
        <is>
          <t>5. 「調整・決定」シート</t>
        </is>
      </c>
    </row>
    <row r="48">
      <c r="B48" s="16" t="inlineStr">
        <is>
          <t>・各枠のセルで、プルダウンから児童を選びます。</t>
        </is>
      </c>
    </row>
    <row r="49" ht="30" customHeight="1">
      <c r="B49" s="16" t="inlineStr">
        <is>
          <t>・右の「児童を選ぶ」で児童を選ぶと、表の色が変わります：緑＝入れられる空き枠／黄＝入れられる（ほかの人がいる）／ピンク＝×の枠／青＝今いる枠。</t>
        </is>
      </c>
    </row>
    <row r="50">
      <c r="B50" s="16" t="inlineStr">
        <is>
          <t>・赤い枠は「×の枠に入れてしまった」、オレンジの枠は「同じ人が2か所に入っている」です。</t>
        </is>
      </c>
    </row>
    <row r="51">
      <c r="B51" s="16" t="inlineStr">
        <is>
          <t>・青い斜線の枠は「前の人の後ろを空ける枠」です。紫の枠は、空けるはずの枠に人が入っています。</t>
        </is>
      </c>
    </row>
    <row r="52">
      <c r="B52" s="16" t="inlineStr">
        <is>
          <t>・下の「候補」の表には、その枠に入れられる、まだ決まっていない児童が表示されます。「1人」の枠は先に決めると楽です。</t>
        </is>
      </c>
    </row>
    <row r="53">
      <c r="B53" s="15" t="inlineStr">
        <is>
          <t>6. 結果</t>
        </is>
      </c>
    </row>
    <row r="54">
      <c r="B54" s="16" t="inlineStr">
        <is>
          <t>・「名簿」シートの右側に、決まった日時・注意（×の枠／2か所／後ろが空いていない／使えない枠／未決定）・自動案が表示されます。</t>
        </is>
      </c>
    </row>
    <row r="55">
      <c r="B55" s="16" t="inlineStr">
        <is>
          <t>・CSVが必要なときは「名簿」シートを開いて［ファイル］→［名前を付けて保存］→ 種類を「CSV UTF-8」にします。</t>
        </is>
      </c>
    </row>
    <row r="56">
      <c r="B56" s="16" t="inlineStr">
        <is>
          <t>・兄弟ありの家庭だけ見たいときは、名簿の「兄弟」の列でフィルターをかけます。</t>
        </is>
      </c>
    </row>
    <row r="57">
      <c r="B57" s="16" t="inlineStr"/>
    </row>
    <row r="58">
      <c r="B58" s="17" t="inlineStr">
        <is>
          <t>※ 「計算A」「計算B」は計算用の隠しシートです。さわらないでください。</t>
        </is>
      </c>
    </row>
  </sheetData>
  <mergeCells count="64">
    <mergeCell ref="B48:M48"/>
    <mergeCell ref="B42:M42"/>
    <mergeCell ref="J5:K5"/>
    <mergeCell ref="B12:B13"/>
    <mergeCell ref="K12:L13"/>
    <mergeCell ref="C15:J15"/>
    <mergeCell ref="B18:B19"/>
    <mergeCell ref="F6:G6"/>
    <mergeCell ref="B57:M57"/>
    <mergeCell ref="B44:M44"/>
    <mergeCell ref="B53:M53"/>
    <mergeCell ref="B29:M29"/>
    <mergeCell ref="D6:E6"/>
    <mergeCell ref="B38:M38"/>
    <mergeCell ref="B34:M34"/>
    <mergeCell ref="H6:I6"/>
    <mergeCell ref="B28:M28"/>
    <mergeCell ref="J6:K6"/>
    <mergeCell ref="B37:M37"/>
    <mergeCell ref="F5:G5"/>
    <mergeCell ref="C10:J10"/>
    <mergeCell ref="C16:J16"/>
    <mergeCell ref="L5:M5"/>
    <mergeCell ref="C22:J22"/>
    <mergeCell ref="B40:M40"/>
    <mergeCell ref="B49:M49"/>
    <mergeCell ref="B30:M30"/>
    <mergeCell ref="B15:B16"/>
    <mergeCell ref="C9:J9"/>
    <mergeCell ref="B55:M55"/>
    <mergeCell ref="K9:L10"/>
    <mergeCell ref="B9:B10"/>
    <mergeCell ref="C12:J12"/>
    <mergeCell ref="B33:M33"/>
    <mergeCell ref="C21:J21"/>
    <mergeCell ref="K15:L16"/>
    <mergeCell ref="B51:M51"/>
    <mergeCell ref="B45:M45"/>
    <mergeCell ref="K18:L19"/>
    <mergeCell ref="B36:M36"/>
    <mergeCell ref="B32:M32"/>
    <mergeCell ref="B50:M50"/>
    <mergeCell ref="B41:M41"/>
    <mergeCell ref="B35:M35"/>
    <mergeCell ref="K21:L22"/>
    <mergeCell ref="B6:C6"/>
    <mergeCell ref="B47:M47"/>
    <mergeCell ref="B54:M54"/>
    <mergeCell ref="L6:M6"/>
    <mergeCell ref="B5:C5"/>
    <mergeCell ref="B31:M31"/>
    <mergeCell ref="D5:E5"/>
    <mergeCell ref="B46:M46"/>
    <mergeCell ref="H5:I5"/>
    <mergeCell ref="C13:J13"/>
    <mergeCell ref="C19:J19"/>
    <mergeCell ref="B27:M27"/>
    <mergeCell ref="B52:M52"/>
    <mergeCell ref="B56:M56"/>
    <mergeCell ref="B21:B22"/>
    <mergeCell ref="B43:M43"/>
    <mergeCell ref="B58:M58"/>
    <mergeCell ref="B39:M39"/>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34"/>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ht="44" customHeight="1">
      <c r="A1" s="1" t="inlineStr">
        <is>
          <t>設定</t>
        </is>
      </c>
      <c r="B1" s="2" t="n"/>
      <c r="C1" s="2" t="n"/>
      <c r="D1" s="18">
        <f>HYPERLINK("#'ホーム'!A1","ホーム")</f>
        <v/>
      </c>
      <c r="E1" s="19">
        <f>HYPERLINK("#'設定'!A1","① 設定")</f>
        <v/>
      </c>
      <c r="F1" s="18">
        <f>HYPERLINK("#'名簿'!A1","② 名簿")</f>
        <v/>
      </c>
      <c r="G1" s="20" t="n"/>
      <c r="H1" s="18">
        <f>HYPERLINK("#'×入力'!A1","③ ×入力")</f>
        <v/>
      </c>
      <c r="I1" s="18">
        <f>HYPERLINK("#'自動案'!A1","④ 自動案")</f>
        <v/>
      </c>
      <c r="J1" s="2" t="n"/>
      <c r="K1" s="18">
        <f>HYPERLINK("#'調整・決定'!A1","⑤ 調整・決定")</f>
        <v/>
      </c>
      <c r="L1" s="20" t="n"/>
      <c r="M1" s="2" t="n"/>
      <c r="N1" s="2" t="n"/>
      <c r="O1" s="2" t="n"/>
      <c r="P1" s="2" t="n"/>
      <c r="Q1" s="2" t="n"/>
      <c r="R1" s="2" t="n"/>
      <c r="S1" s="2" t="n"/>
      <c r="T1" s="2" t="n"/>
      <c r="U1" s="2" t="n"/>
      <c r="V1" s="2" t="n"/>
    </row>
    <row r="2" ht="24" customHeight="1">
      <c r="A2" s="3" t="inlineStr">
        <is>
          <t>面談の日付と時間枠を決めます。黄色のマスを入力してください。</t>
        </is>
      </c>
      <c r="B2" s="4" t="n"/>
      <c r="C2" s="4" t="n"/>
      <c r="D2" s="4" t="n"/>
      <c r="E2" s="4" t="n"/>
      <c r="F2" s="4" t="n"/>
      <c r="G2" s="4" t="n"/>
      <c r="H2" s="4" t="n"/>
      <c r="I2" s="4" t="n"/>
      <c r="J2" s="4" t="n"/>
      <c r="K2" s="4" t="n"/>
      <c r="L2" s="4" t="n"/>
      <c r="M2" s="4" t="n"/>
      <c r="N2" s="4" t="n"/>
      <c r="O2" s="4" t="n"/>
      <c r="P2" s="4" t="n"/>
      <c r="Q2" s="4" t="n"/>
      <c r="R2" s="4" t="n"/>
      <c r="S2" s="4" t="n"/>
      <c r="T2" s="4" t="n"/>
      <c r="U2" s="4" t="n"/>
      <c r="V2" s="4" t="n"/>
    </row>
    <row r="3">
      <c r="A3" s="21" t="inlineStr">
        <is>
          <t>時間帯1</t>
        </is>
      </c>
      <c r="B3" s="22" t="n">
        <v>0.5625</v>
      </c>
      <c r="C3" s="23" t="inlineStr">
        <is>
          <t>〜</t>
        </is>
      </c>
      <c r="D3" s="22" t="n">
        <v>0.6458333333333334</v>
      </c>
      <c r="E3" s="24">
        <f>IF(OR(NOT(ISNUMBER(B3)),NOT(ISNUMBER(D3))),"← 始まりと終わりの時刻を入れてください",IF(D3&lt;B3,"← 終わりは始まりより後の時刻にしてください",""))</f>
        <v/>
      </c>
    </row>
    <row r="4">
      <c r="A4" s="21" t="inlineStr">
        <is>
          <t>時間帯2（なければ空欄）</t>
        </is>
      </c>
      <c r="B4" s="22" t="n"/>
      <c r="C4" s="23" t="inlineStr">
        <is>
          <t>〜</t>
        </is>
      </c>
      <c r="D4" s="22" t="n"/>
      <c r="E4" s="24">
        <f>IF(AND(B4="",D4=""),"",IF(OR(NOT(ISNUMBER(B4)),NOT(ISNUMBER(D4))),"← 始まりと終わりの両方を入れてください",IF(D4&lt;B4,"← 終わりは始まりより後の時刻にしてください",IF(AND(ISNUMBER(D3),B4&lt;=D3),"← 時間帯1より後の時刻にしてください",""))))</f>
        <v/>
      </c>
    </row>
    <row r="5">
      <c r="A5" s="21" t="inlineStr">
        <is>
          <t>1枠の長さ（分）</t>
        </is>
      </c>
      <c r="B5" s="25" t="n">
        <v>15</v>
      </c>
      <c r="E5" s="24">
        <f>IF(AND(ISNUMBER(B5),B5&gt;0),"","← 5〜120の数字を入れてください")</f>
        <v/>
      </c>
    </row>
    <row r="6">
      <c r="A6" s="21" t="inlineStr">
        <is>
          <t>1日の枠の数</t>
        </is>
      </c>
      <c r="B6" s="23">
        <f>MIN(24,'計算A'!$A$3+'計算A'!$A$4)</f>
        <v/>
      </c>
      <c r="D6" s="26" t="inlineStr">
        <is>
          <t>（最大24枠）</t>
        </is>
      </c>
      <c r="E6" s="24">
        <f>IF('計算A'!$A$3+'計算A'!$A$4&gt;24,"← 枠が24をこえています。こえた分は使いません","")</f>
        <v/>
      </c>
    </row>
    <row r="7">
      <c r="K7" s="5" t="inlineStr">
        <is>
          <t>先生の都合で使えない枠（出張・会議など）</t>
        </is>
      </c>
    </row>
    <row r="8">
      <c r="A8" s="21" t="inlineStr">
        <is>
          <t>自動案の詰め方</t>
        </is>
      </c>
      <c r="B8" s="27" t="inlineStr">
        <is>
          <t>早い時間から（各日の最後を空ける）</t>
        </is>
      </c>
      <c r="C8" s="28" t="n"/>
      <c r="D8" s="28" t="n"/>
      <c r="E8" s="29" t="n"/>
      <c r="K8" s="26" t="inlineStr">
        <is>
          <t>「×」を選んだ日・時間・枠は、自動案にも調整・決定にも使いません。</t>
        </is>
      </c>
    </row>
    <row r="9">
      <c r="K9" s="30" t="inlineStr">
        <is>
          <t>この日は組まない ▶</t>
        </is>
      </c>
      <c r="M9" s="31" t="n"/>
      <c r="N9" s="31" t="n"/>
      <c r="O9" s="31" t="n"/>
      <c r="P9" s="31" t="n"/>
      <c r="Q9" s="31" t="n"/>
      <c r="R9" s="31" t="n"/>
      <c r="S9" s="31" t="n"/>
      <c r="T9" s="31" t="n"/>
      <c r="U9" s="31" t="n"/>
      <c r="V9" s="31" t="n"/>
    </row>
    <row r="10" ht="44" customHeight="1">
      <c r="B10" s="32" t="inlineStr">
        <is>
          <t>日付</t>
        </is>
      </c>
      <c r="C10" s="32" t="inlineStr">
        <is>
          <t>曜日</t>
        </is>
      </c>
      <c r="D10" s="32" t="inlineStr">
        <is>
          <t>なるべく空ける</t>
        </is>
      </c>
      <c r="E10" s="32" t="inlineStr">
        <is>
          <t>表示</t>
        </is>
      </c>
      <c r="G10" s="32" t="inlineStr">
        <is>
          <t>時刻</t>
        </is>
      </c>
      <c r="H10" s="32" t="inlineStr">
        <is>
          <t>休憩（なるべく空ける）</t>
        </is>
      </c>
      <c r="I10" s="32" t="inlineStr">
        <is>
          <t>表示</t>
        </is>
      </c>
      <c r="K10" s="33" t="inlineStr">
        <is>
          <t>この時間は
組まない ▼</t>
        </is>
      </c>
      <c r="L10" s="34" t="inlineStr"/>
      <c r="M10" s="35">
        <f>'設定'!$E$11</f>
        <v/>
      </c>
      <c r="N10" s="35">
        <f>'設定'!$E$12</f>
        <v/>
      </c>
      <c r="O10" s="35">
        <f>'設定'!$E$13</f>
        <v/>
      </c>
      <c r="P10" s="35">
        <f>'設定'!$E$14</f>
        <v/>
      </c>
      <c r="Q10" s="35">
        <f>'設定'!$E$15</f>
        <v/>
      </c>
      <c r="R10" s="35">
        <f>'設定'!$E$16</f>
        <v/>
      </c>
      <c r="S10" s="35">
        <f>'設定'!$E$17</f>
        <v/>
      </c>
      <c r="T10" s="35">
        <f>'設定'!$E$18</f>
        <v/>
      </c>
      <c r="U10" s="35">
        <f>'設定'!$E$19</f>
        <v/>
      </c>
      <c r="V10" s="35">
        <f>'設定'!$E$20</f>
        <v/>
      </c>
    </row>
    <row r="11">
      <c r="A11" s="23" t="inlineStr">
        <is>
          <t>1日目</t>
        </is>
      </c>
      <c r="B11" s="36" t="n">
        <v>46350</v>
      </c>
      <c r="C11" s="37">
        <f>IF(B11="","",CHOOSE(WEEKDAY(B11),"日","月","火","水","木","金","土"))</f>
        <v/>
      </c>
      <c r="D11" s="38" t="n"/>
      <c r="E11" s="39">
        <f>IF(B11="","",MONTH(B11)&amp;"月"&amp;DAY(B11)&amp;"日（"&amp;C11&amp;"）")</f>
        <v/>
      </c>
      <c r="F11" s="40" t="n">
        <v>1</v>
      </c>
      <c r="G11" s="41">
        <f>IF(F11&lt;=MIN('計算A'!$A$3,24),$B$3+(F11-1)*$B$5/1440,IF(F11&lt;=$B$6,$B$4+(F11-'計算A'!$A$3-1)*$B$5/1440,""))</f>
        <v/>
      </c>
      <c r="H11" s="38" t="n"/>
      <c r="I11" s="37">
        <f>IF(G11="","",TEXT(G11,"h:mm")&amp;"〜")</f>
        <v/>
      </c>
      <c r="K11" s="31" t="n"/>
      <c r="L11" s="42">
        <f>$I$11</f>
        <v/>
      </c>
      <c r="M11" s="43" t="n"/>
      <c r="N11" s="43" t="n"/>
      <c r="O11" s="43" t="n"/>
      <c r="P11" s="43" t="n"/>
      <c r="Q11" s="43" t="n"/>
      <c r="R11" s="43" t="n"/>
      <c r="S11" s="43" t="n"/>
      <c r="T11" s="43" t="n"/>
      <c r="U11" s="43" t="n"/>
      <c r="V11" s="43" t="n"/>
    </row>
    <row r="12">
      <c r="A12" s="23" t="inlineStr">
        <is>
          <t>2日目</t>
        </is>
      </c>
      <c r="B12" s="36" t="n">
        <v>46351</v>
      </c>
      <c r="C12" s="37">
        <f>IF(B12="","",CHOOSE(WEEKDAY(B12),"日","月","火","水","木","金","土"))</f>
        <v/>
      </c>
      <c r="D12" s="38" t="n"/>
      <c r="E12" s="39">
        <f>IF(B12="","",MONTH(B12)&amp;"月"&amp;DAY(B12)&amp;"日（"&amp;C12&amp;"）")</f>
        <v/>
      </c>
      <c r="F12" s="40" t="n">
        <v>2</v>
      </c>
      <c r="G12" s="41">
        <f>IF(F12&lt;=MIN('計算A'!$A$3,24),$B$3+(F12-1)*$B$5/1440,IF(F12&lt;=$B$6,$B$4+(F12-'計算A'!$A$3-1)*$B$5/1440,""))</f>
        <v/>
      </c>
      <c r="H12" s="38" t="n"/>
      <c r="I12" s="37">
        <f>IF(G12="","",TEXT(G12,"h:mm")&amp;"〜")</f>
        <v/>
      </c>
      <c r="K12" s="31" t="n"/>
      <c r="L12" s="42">
        <f>$I$12</f>
        <v/>
      </c>
      <c r="M12" s="43" t="n"/>
      <c r="N12" s="43" t="n"/>
      <c r="O12" s="43" t="n"/>
      <c r="P12" s="43" t="n"/>
      <c r="Q12" s="43" t="n"/>
      <c r="R12" s="43" t="n"/>
      <c r="S12" s="43" t="n"/>
      <c r="T12" s="43" t="n"/>
      <c r="U12" s="43" t="n"/>
      <c r="V12" s="43" t="n"/>
    </row>
    <row r="13">
      <c r="A13" s="23" t="inlineStr">
        <is>
          <t>3日目</t>
        </is>
      </c>
      <c r="B13" s="36" t="n">
        <v>46352</v>
      </c>
      <c r="C13" s="37">
        <f>IF(B13="","",CHOOSE(WEEKDAY(B13),"日","月","火","水","木","金","土"))</f>
        <v/>
      </c>
      <c r="D13" s="38" t="n"/>
      <c r="E13" s="39">
        <f>IF(B13="","",MONTH(B13)&amp;"月"&amp;DAY(B13)&amp;"日（"&amp;C13&amp;"）")</f>
        <v/>
      </c>
      <c r="F13" s="40" t="n">
        <v>3</v>
      </c>
      <c r="G13" s="41">
        <f>IF(F13&lt;=MIN('計算A'!$A$3,24),$B$3+(F13-1)*$B$5/1440,IF(F13&lt;=$B$6,$B$4+(F13-'計算A'!$A$3-1)*$B$5/1440,""))</f>
        <v/>
      </c>
      <c r="H13" s="38" t="n"/>
      <c r="I13" s="37">
        <f>IF(G13="","",TEXT(G13,"h:mm")&amp;"〜")</f>
        <v/>
      </c>
      <c r="K13" s="31" t="n"/>
      <c r="L13" s="42">
        <f>$I$13</f>
        <v/>
      </c>
      <c r="M13" s="43" t="n"/>
      <c r="N13" s="43" t="n"/>
      <c r="O13" s="43" t="n"/>
      <c r="P13" s="43" t="n"/>
      <c r="Q13" s="43" t="n"/>
      <c r="R13" s="43" t="n"/>
      <c r="S13" s="43" t="n"/>
      <c r="T13" s="43" t="n"/>
      <c r="U13" s="43" t="n"/>
      <c r="V13" s="43" t="n"/>
    </row>
    <row r="14">
      <c r="A14" s="23" t="inlineStr">
        <is>
          <t>4日目</t>
        </is>
      </c>
      <c r="B14" s="36" t="n">
        <v>46353</v>
      </c>
      <c r="C14" s="37">
        <f>IF(B14="","",CHOOSE(WEEKDAY(B14),"日","月","火","水","木","金","土"))</f>
        <v/>
      </c>
      <c r="D14" s="38" t="n"/>
      <c r="E14" s="39">
        <f>IF(B14="","",MONTH(B14)&amp;"月"&amp;DAY(B14)&amp;"日（"&amp;C14&amp;"）")</f>
        <v/>
      </c>
      <c r="F14" s="40" t="n">
        <v>4</v>
      </c>
      <c r="G14" s="41">
        <f>IF(F14&lt;=MIN('計算A'!$A$3,24),$B$3+(F14-1)*$B$5/1440,IF(F14&lt;=$B$6,$B$4+(F14-'計算A'!$A$3-1)*$B$5/1440,""))</f>
        <v/>
      </c>
      <c r="H14" s="38" t="n"/>
      <c r="I14" s="37">
        <f>IF(G14="","",TEXT(G14,"h:mm")&amp;"〜")</f>
        <v/>
      </c>
      <c r="K14" s="31" t="n"/>
      <c r="L14" s="42">
        <f>$I$14</f>
        <v/>
      </c>
      <c r="M14" s="43" t="n"/>
      <c r="N14" s="43" t="n"/>
      <c r="O14" s="43" t="n"/>
      <c r="P14" s="43" t="n"/>
      <c r="Q14" s="43" t="n"/>
      <c r="R14" s="43" t="n"/>
      <c r="S14" s="43" t="n"/>
      <c r="T14" s="43" t="n"/>
      <c r="U14" s="43" t="n"/>
      <c r="V14" s="43" t="n"/>
    </row>
    <row r="15">
      <c r="A15" s="23" t="inlineStr">
        <is>
          <t>5日目</t>
        </is>
      </c>
      <c r="B15" s="36" t="n">
        <v>46356</v>
      </c>
      <c r="C15" s="37">
        <f>IF(B15="","",CHOOSE(WEEKDAY(B15),"日","月","火","水","木","金","土"))</f>
        <v/>
      </c>
      <c r="D15" s="38" t="n"/>
      <c r="E15" s="39">
        <f>IF(B15="","",MONTH(B15)&amp;"月"&amp;DAY(B15)&amp;"日（"&amp;C15&amp;"）")</f>
        <v/>
      </c>
      <c r="F15" s="40" t="n">
        <v>5</v>
      </c>
      <c r="G15" s="41">
        <f>IF(F15&lt;=MIN('計算A'!$A$3,24),$B$3+(F15-1)*$B$5/1440,IF(F15&lt;=$B$6,$B$4+(F15-'計算A'!$A$3-1)*$B$5/1440,""))</f>
        <v/>
      </c>
      <c r="H15" s="38" t="n"/>
      <c r="I15" s="37">
        <f>IF(G15="","",TEXT(G15,"h:mm")&amp;"〜")</f>
        <v/>
      </c>
      <c r="K15" s="31" t="n"/>
      <c r="L15" s="42">
        <f>$I$15</f>
        <v/>
      </c>
      <c r="M15" s="43" t="n"/>
      <c r="N15" s="43" t="n"/>
      <c r="O15" s="43" t="n"/>
      <c r="P15" s="43" t="n"/>
      <c r="Q15" s="43" t="n"/>
      <c r="R15" s="43" t="n"/>
      <c r="S15" s="43" t="n"/>
      <c r="T15" s="43" t="n"/>
      <c r="U15" s="43" t="n"/>
      <c r="V15" s="43" t="n"/>
    </row>
    <row r="16">
      <c r="A16" s="23" t="inlineStr">
        <is>
          <t>6日目</t>
        </is>
      </c>
      <c r="B16" s="36" t="n"/>
      <c r="C16" s="37">
        <f>IF(B16="","",CHOOSE(WEEKDAY(B16),"日","月","火","水","木","金","土"))</f>
        <v/>
      </c>
      <c r="D16" s="38" t="n"/>
      <c r="E16" s="39">
        <f>IF(B16="","",MONTH(B16)&amp;"月"&amp;DAY(B16)&amp;"日（"&amp;C16&amp;"）")</f>
        <v/>
      </c>
      <c r="F16" s="40" t="n">
        <v>6</v>
      </c>
      <c r="G16" s="41">
        <f>IF(F16&lt;=MIN('計算A'!$A$3,24),$B$3+(F16-1)*$B$5/1440,IF(F16&lt;=$B$6,$B$4+(F16-'計算A'!$A$3-1)*$B$5/1440,""))</f>
        <v/>
      </c>
      <c r="H16" s="38" t="n"/>
      <c r="I16" s="37">
        <f>IF(G16="","",TEXT(G16,"h:mm")&amp;"〜")</f>
        <v/>
      </c>
      <c r="K16" s="31" t="n"/>
      <c r="L16" s="42">
        <f>$I$16</f>
        <v/>
      </c>
      <c r="M16" s="43" t="n"/>
      <c r="N16" s="43" t="n"/>
      <c r="O16" s="43" t="n"/>
      <c r="P16" s="43" t="n"/>
      <c r="Q16" s="43" t="n"/>
      <c r="R16" s="43" t="n"/>
      <c r="S16" s="43" t="n"/>
      <c r="T16" s="43" t="n"/>
      <c r="U16" s="43" t="n"/>
      <c r="V16" s="43" t="n"/>
    </row>
    <row r="17">
      <c r="A17" s="23" t="inlineStr">
        <is>
          <t>7日目</t>
        </is>
      </c>
      <c r="B17" s="36" t="n"/>
      <c r="C17" s="37">
        <f>IF(B17="","",CHOOSE(WEEKDAY(B17),"日","月","火","水","木","金","土"))</f>
        <v/>
      </c>
      <c r="D17" s="38" t="n"/>
      <c r="E17" s="39">
        <f>IF(B17="","",MONTH(B17)&amp;"月"&amp;DAY(B17)&amp;"日（"&amp;C17&amp;"）")</f>
        <v/>
      </c>
      <c r="F17" s="40" t="n">
        <v>7</v>
      </c>
      <c r="G17" s="41">
        <f>IF(F17&lt;=MIN('計算A'!$A$3,24),$B$3+(F17-1)*$B$5/1440,IF(F17&lt;=$B$6,$B$4+(F17-'計算A'!$A$3-1)*$B$5/1440,""))</f>
        <v/>
      </c>
      <c r="H17" s="38" t="n"/>
      <c r="I17" s="37">
        <f>IF(G17="","",TEXT(G17,"h:mm")&amp;"〜")</f>
        <v/>
      </c>
      <c r="K17" s="31" t="n"/>
      <c r="L17" s="42">
        <f>$I$17</f>
        <v/>
      </c>
      <c r="M17" s="43" t="n"/>
      <c r="N17" s="43" t="n"/>
      <c r="O17" s="43" t="n"/>
      <c r="P17" s="43" t="n"/>
      <c r="Q17" s="43" t="n"/>
      <c r="R17" s="43" t="n"/>
      <c r="S17" s="43" t="n"/>
      <c r="T17" s="43" t="n"/>
      <c r="U17" s="43" t="n"/>
      <c r="V17" s="43" t="n"/>
    </row>
    <row r="18">
      <c r="A18" s="23" t="inlineStr">
        <is>
          <t>8日目</t>
        </is>
      </c>
      <c r="B18" s="36" t="n"/>
      <c r="C18" s="37">
        <f>IF(B18="","",CHOOSE(WEEKDAY(B18),"日","月","火","水","木","金","土"))</f>
        <v/>
      </c>
      <c r="D18" s="38" t="n"/>
      <c r="E18" s="39">
        <f>IF(B18="","",MONTH(B18)&amp;"月"&amp;DAY(B18)&amp;"日（"&amp;C18&amp;"）")</f>
        <v/>
      </c>
      <c r="F18" s="40" t="n">
        <v>8</v>
      </c>
      <c r="G18" s="41">
        <f>IF(F18&lt;=MIN('計算A'!$A$3,24),$B$3+(F18-1)*$B$5/1440,IF(F18&lt;=$B$6,$B$4+(F18-'計算A'!$A$3-1)*$B$5/1440,""))</f>
        <v/>
      </c>
      <c r="H18" s="38" t="n"/>
      <c r="I18" s="37">
        <f>IF(G18="","",TEXT(G18,"h:mm")&amp;"〜")</f>
        <v/>
      </c>
      <c r="K18" s="31" t="n"/>
      <c r="L18" s="42">
        <f>$I$18</f>
        <v/>
      </c>
      <c r="M18" s="43" t="n"/>
      <c r="N18" s="43" t="n"/>
      <c r="O18" s="43" t="n"/>
      <c r="P18" s="43" t="n"/>
      <c r="Q18" s="43" t="n"/>
      <c r="R18" s="43" t="n"/>
      <c r="S18" s="43" t="n"/>
      <c r="T18" s="43" t="n"/>
      <c r="U18" s="43" t="n"/>
      <c r="V18" s="43" t="n"/>
    </row>
    <row r="19">
      <c r="A19" s="23" t="inlineStr">
        <is>
          <t>9日目</t>
        </is>
      </c>
      <c r="B19" s="36" t="n"/>
      <c r="C19" s="37">
        <f>IF(B19="","",CHOOSE(WEEKDAY(B19),"日","月","火","水","木","金","土"))</f>
        <v/>
      </c>
      <c r="D19" s="38" t="n"/>
      <c r="E19" s="39">
        <f>IF(B19="","",MONTH(B19)&amp;"月"&amp;DAY(B19)&amp;"日（"&amp;C19&amp;"）")</f>
        <v/>
      </c>
      <c r="F19" s="40" t="n">
        <v>9</v>
      </c>
      <c r="G19" s="41">
        <f>IF(F19&lt;=MIN('計算A'!$A$3,24),$B$3+(F19-1)*$B$5/1440,IF(F19&lt;=$B$6,$B$4+(F19-'計算A'!$A$3-1)*$B$5/1440,""))</f>
        <v/>
      </c>
      <c r="H19" s="38" t="n"/>
      <c r="I19" s="37">
        <f>IF(G19="","",TEXT(G19,"h:mm")&amp;"〜")</f>
        <v/>
      </c>
      <c r="K19" s="31" t="n"/>
      <c r="L19" s="42">
        <f>$I$19</f>
        <v/>
      </c>
      <c r="M19" s="43" t="n"/>
      <c r="N19" s="43" t="n"/>
      <c r="O19" s="43" t="n"/>
      <c r="P19" s="43" t="n"/>
      <c r="Q19" s="43" t="n"/>
      <c r="R19" s="43" t="n"/>
      <c r="S19" s="43" t="n"/>
      <c r="T19" s="43" t="n"/>
      <c r="U19" s="43" t="n"/>
      <c r="V19" s="43" t="n"/>
    </row>
    <row r="20">
      <c r="A20" s="23" t="inlineStr">
        <is>
          <t>10日目</t>
        </is>
      </c>
      <c r="B20" s="36" t="n"/>
      <c r="C20" s="37">
        <f>IF(B20="","",CHOOSE(WEEKDAY(B20),"日","月","火","水","木","金","土"))</f>
        <v/>
      </c>
      <c r="D20" s="38" t="n"/>
      <c r="E20" s="39">
        <f>IF(B20="","",MONTH(B20)&amp;"月"&amp;DAY(B20)&amp;"日（"&amp;C20&amp;"）")</f>
        <v/>
      </c>
      <c r="F20" s="40" t="n">
        <v>10</v>
      </c>
      <c r="G20" s="41">
        <f>IF(F20&lt;=MIN('計算A'!$A$3,24),$B$3+(F20-1)*$B$5/1440,IF(F20&lt;=$B$6,$B$4+(F20-'計算A'!$A$3-1)*$B$5/1440,""))</f>
        <v/>
      </c>
      <c r="H20" s="38" t="n"/>
      <c r="I20" s="37">
        <f>IF(G20="","",TEXT(G20,"h:mm")&amp;"〜")</f>
        <v/>
      </c>
      <c r="K20" s="31" t="n"/>
      <c r="L20" s="42">
        <f>$I$20</f>
        <v/>
      </c>
      <c r="M20" s="43" t="n"/>
      <c r="N20" s="43" t="n"/>
      <c r="O20" s="43" t="n"/>
      <c r="P20" s="43" t="n"/>
      <c r="Q20" s="43" t="n"/>
      <c r="R20" s="43" t="n"/>
      <c r="S20" s="43" t="n"/>
      <c r="T20" s="43" t="n"/>
      <c r="U20" s="43" t="n"/>
      <c r="V20" s="43" t="n"/>
    </row>
    <row r="21">
      <c r="F21" s="40" t="n">
        <v>11</v>
      </c>
      <c r="G21" s="41">
        <f>IF(F21&lt;=MIN('計算A'!$A$3,24),$B$3+(F21-1)*$B$5/1440,IF(F21&lt;=$B$6,$B$4+(F21-'計算A'!$A$3-1)*$B$5/1440,""))</f>
        <v/>
      </c>
      <c r="H21" s="38" t="n"/>
      <c r="I21" s="37">
        <f>IF(G21="","",TEXT(G21,"h:mm")&amp;"〜")</f>
        <v/>
      </c>
      <c r="K21" s="31" t="n"/>
      <c r="L21" s="42">
        <f>$I$21</f>
        <v/>
      </c>
      <c r="M21" s="43" t="n"/>
      <c r="N21" s="43" t="n"/>
      <c r="O21" s="43" t="n"/>
      <c r="P21" s="43" t="n"/>
      <c r="Q21" s="43" t="n"/>
      <c r="R21" s="43" t="n"/>
      <c r="S21" s="43" t="n"/>
      <c r="T21" s="43" t="n"/>
      <c r="U21" s="43" t="n"/>
      <c r="V21" s="43" t="n"/>
    </row>
    <row r="22">
      <c r="A22" s="44" t="inlineStr">
        <is>
          <t>※ 日付は上から詰めて入れてください。曜日・表示・時刻は自動で出ます。午前と午後に分けるときは、時間帯2も入れます（昼休みは表に出ません）。</t>
        </is>
      </c>
      <c r="F22" s="40" t="n">
        <v>12</v>
      </c>
      <c r="G22" s="41">
        <f>IF(F22&lt;=MIN('計算A'!$A$3,24),$B$3+(F22-1)*$B$5/1440,IF(F22&lt;=$B$6,$B$4+(F22-'計算A'!$A$3-1)*$B$5/1440,""))</f>
        <v/>
      </c>
      <c r="H22" s="38" t="n"/>
      <c r="I22" s="37">
        <f>IF(G22="","",TEXT(G22,"h:mm")&amp;"〜")</f>
        <v/>
      </c>
      <c r="K22" s="31" t="n"/>
      <c r="L22" s="42">
        <f>$I$22</f>
        <v/>
      </c>
      <c r="M22" s="43" t="n"/>
      <c r="N22" s="43" t="n"/>
      <c r="O22" s="43" t="n"/>
      <c r="P22" s="43" t="n"/>
      <c r="Q22" s="43" t="n"/>
      <c r="R22" s="43" t="n"/>
      <c r="S22" s="43" t="n"/>
      <c r="T22" s="43" t="n"/>
      <c r="U22" s="43" t="n"/>
      <c r="V22" s="43" t="n"/>
    </row>
    <row r="23">
      <c r="F23" s="40" t="n">
        <v>13</v>
      </c>
      <c r="G23" s="41">
        <f>IF(F23&lt;=MIN('計算A'!$A$3,24),$B$3+(F23-1)*$B$5/1440,IF(F23&lt;=$B$6,$B$4+(F23-'計算A'!$A$3-1)*$B$5/1440,""))</f>
        <v/>
      </c>
      <c r="H23" s="38" t="n"/>
      <c r="I23" s="37">
        <f>IF(G23="","",TEXT(G23,"h:mm")&amp;"〜")</f>
        <v/>
      </c>
      <c r="K23" s="31" t="n"/>
      <c r="L23" s="42">
        <f>$I$23</f>
        <v/>
      </c>
      <c r="M23" s="43" t="n"/>
      <c r="N23" s="43" t="n"/>
      <c r="O23" s="43" t="n"/>
      <c r="P23" s="43" t="n"/>
      <c r="Q23" s="43" t="n"/>
      <c r="R23" s="43" t="n"/>
      <c r="S23" s="43" t="n"/>
      <c r="T23" s="43" t="n"/>
      <c r="U23" s="43" t="n"/>
      <c r="V23" s="43" t="n"/>
    </row>
    <row r="24">
      <c r="F24" s="40" t="n">
        <v>14</v>
      </c>
      <c r="G24" s="41">
        <f>IF(F24&lt;=MIN('計算A'!$A$3,24),$B$3+(F24-1)*$B$5/1440,IF(F24&lt;=$B$6,$B$4+(F24-'計算A'!$A$3-1)*$B$5/1440,""))</f>
        <v/>
      </c>
      <c r="H24" s="38" t="n"/>
      <c r="I24" s="37">
        <f>IF(G24="","",TEXT(G24,"h:mm")&amp;"〜")</f>
        <v/>
      </c>
      <c r="K24" s="31" t="n"/>
      <c r="L24" s="42">
        <f>$I$24</f>
        <v/>
      </c>
      <c r="M24" s="43" t="n"/>
      <c r="N24" s="43" t="n"/>
      <c r="O24" s="43" t="n"/>
      <c r="P24" s="43" t="n"/>
      <c r="Q24" s="43" t="n"/>
      <c r="R24" s="43" t="n"/>
      <c r="S24" s="43" t="n"/>
      <c r="T24" s="43" t="n"/>
      <c r="U24" s="43" t="n"/>
      <c r="V24" s="43" t="n"/>
    </row>
    <row r="25">
      <c r="A25" s="44" t="inlineStr">
        <is>
          <t>※「なるべく空ける」「休憩」は、ほかに入る枠がないときだけ使います。必ず使わない枠は、右の「先生の都合で使えない枠」で止めてください。</t>
        </is>
      </c>
      <c r="F25" s="40" t="n">
        <v>15</v>
      </c>
      <c r="G25" s="41">
        <f>IF(F25&lt;=MIN('計算A'!$A$3,24),$B$3+(F25-1)*$B$5/1440,IF(F25&lt;=$B$6,$B$4+(F25-'計算A'!$A$3-1)*$B$5/1440,""))</f>
        <v/>
      </c>
      <c r="H25" s="38" t="n"/>
      <c r="I25" s="37">
        <f>IF(G25="","",TEXT(G25,"h:mm")&amp;"〜")</f>
        <v/>
      </c>
      <c r="K25" s="31" t="n"/>
      <c r="L25" s="42">
        <f>$I$25</f>
        <v/>
      </c>
      <c r="M25" s="43" t="n"/>
      <c r="N25" s="43" t="n"/>
      <c r="O25" s="43" t="n"/>
      <c r="P25" s="43" t="n"/>
      <c r="Q25" s="43" t="n"/>
      <c r="R25" s="43" t="n"/>
      <c r="S25" s="43" t="n"/>
      <c r="T25" s="43" t="n"/>
      <c r="U25" s="43" t="n"/>
      <c r="V25" s="43" t="n"/>
    </row>
    <row r="26">
      <c r="F26" s="40" t="n">
        <v>16</v>
      </c>
      <c r="G26" s="41">
        <f>IF(F26&lt;=MIN('計算A'!$A$3,24),$B$3+(F26-1)*$B$5/1440,IF(F26&lt;=$B$6,$B$4+(F26-'計算A'!$A$3-1)*$B$5/1440,""))</f>
        <v/>
      </c>
      <c r="H26" s="38" t="n"/>
      <c r="I26" s="37">
        <f>IF(G26="","",TEXT(G26,"h:mm")&amp;"〜")</f>
        <v/>
      </c>
      <c r="K26" s="31" t="n"/>
      <c r="L26" s="42">
        <f>$I$26</f>
        <v/>
      </c>
      <c r="M26" s="43" t="n"/>
      <c r="N26" s="43" t="n"/>
      <c r="O26" s="43" t="n"/>
      <c r="P26" s="43" t="n"/>
      <c r="Q26" s="43" t="n"/>
      <c r="R26" s="43" t="n"/>
      <c r="S26" s="43" t="n"/>
      <c r="T26" s="43" t="n"/>
      <c r="U26" s="43" t="n"/>
      <c r="V26" s="43" t="n"/>
    </row>
    <row r="27">
      <c r="F27" s="40" t="n">
        <v>17</v>
      </c>
      <c r="G27" s="41">
        <f>IF(F27&lt;=MIN('計算A'!$A$3,24),$B$3+(F27-1)*$B$5/1440,IF(F27&lt;=$B$6,$B$4+(F27-'計算A'!$A$3-1)*$B$5/1440,""))</f>
        <v/>
      </c>
      <c r="H27" s="38" t="n"/>
      <c r="I27" s="37">
        <f>IF(G27="","",TEXT(G27,"h:mm")&amp;"〜")</f>
        <v/>
      </c>
      <c r="K27" s="31" t="n"/>
      <c r="L27" s="42">
        <f>$I$27</f>
        <v/>
      </c>
      <c r="M27" s="43" t="n"/>
      <c r="N27" s="43" t="n"/>
      <c r="O27" s="43" t="n"/>
      <c r="P27" s="43" t="n"/>
      <c r="Q27" s="43" t="n"/>
      <c r="R27" s="43" t="n"/>
      <c r="S27" s="43" t="n"/>
      <c r="T27" s="43" t="n"/>
      <c r="U27" s="43" t="n"/>
      <c r="V27" s="43" t="n"/>
    </row>
    <row r="28">
      <c r="F28" s="40" t="n">
        <v>18</v>
      </c>
      <c r="G28" s="41">
        <f>IF(F28&lt;=MIN('計算A'!$A$3,24),$B$3+(F28-1)*$B$5/1440,IF(F28&lt;=$B$6,$B$4+(F28-'計算A'!$A$3-1)*$B$5/1440,""))</f>
        <v/>
      </c>
      <c r="H28" s="38" t="n"/>
      <c r="I28" s="37">
        <f>IF(G28="","",TEXT(G28,"h:mm")&amp;"〜")</f>
        <v/>
      </c>
      <c r="K28" s="31" t="n"/>
      <c r="L28" s="42">
        <f>$I$28</f>
        <v/>
      </c>
      <c r="M28" s="43" t="n"/>
      <c r="N28" s="43" t="n"/>
      <c r="O28" s="43" t="n"/>
      <c r="P28" s="43" t="n"/>
      <c r="Q28" s="43" t="n"/>
      <c r="R28" s="43" t="n"/>
      <c r="S28" s="43" t="n"/>
      <c r="T28" s="43" t="n"/>
      <c r="U28" s="43" t="n"/>
      <c r="V28" s="43" t="n"/>
    </row>
    <row r="29">
      <c r="F29" s="40" t="n">
        <v>19</v>
      </c>
      <c r="G29" s="41">
        <f>IF(F29&lt;=MIN('計算A'!$A$3,24),$B$3+(F29-1)*$B$5/1440,IF(F29&lt;=$B$6,$B$4+(F29-'計算A'!$A$3-1)*$B$5/1440,""))</f>
        <v/>
      </c>
      <c r="H29" s="38" t="n"/>
      <c r="I29" s="37">
        <f>IF(G29="","",TEXT(G29,"h:mm")&amp;"〜")</f>
        <v/>
      </c>
      <c r="K29" s="31" t="n"/>
      <c r="L29" s="42">
        <f>$I$29</f>
        <v/>
      </c>
      <c r="M29" s="43" t="n"/>
      <c r="N29" s="43" t="n"/>
      <c r="O29" s="43" t="n"/>
      <c r="P29" s="43" t="n"/>
      <c r="Q29" s="43" t="n"/>
      <c r="R29" s="43" t="n"/>
      <c r="S29" s="43" t="n"/>
      <c r="T29" s="43" t="n"/>
      <c r="U29" s="43" t="n"/>
      <c r="V29" s="43" t="n"/>
    </row>
    <row r="30">
      <c r="F30" s="40" t="n">
        <v>20</v>
      </c>
      <c r="G30" s="41">
        <f>IF(F30&lt;=MIN('計算A'!$A$3,24),$B$3+(F30-1)*$B$5/1440,IF(F30&lt;=$B$6,$B$4+(F30-'計算A'!$A$3-1)*$B$5/1440,""))</f>
        <v/>
      </c>
      <c r="H30" s="38" t="n"/>
      <c r="I30" s="37">
        <f>IF(G30="","",TEXT(G30,"h:mm")&amp;"〜")</f>
        <v/>
      </c>
      <c r="K30" s="31" t="n"/>
      <c r="L30" s="42">
        <f>$I$30</f>
        <v/>
      </c>
      <c r="M30" s="43" t="n"/>
      <c r="N30" s="43" t="n"/>
      <c r="O30" s="43" t="n"/>
      <c r="P30" s="43" t="n"/>
      <c r="Q30" s="43" t="n"/>
      <c r="R30" s="43" t="n"/>
      <c r="S30" s="43" t="n"/>
      <c r="T30" s="43" t="n"/>
      <c r="U30" s="43" t="n"/>
      <c r="V30" s="43" t="n"/>
    </row>
    <row r="31">
      <c r="F31" s="40" t="n">
        <v>21</v>
      </c>
      <c r="G31" s="41">
        <f>IF(F31&lt;=MIN('計算A'!$A$3,24),$B$3+(F31-1)*$B$5/1440,IF(F31&lt;=$B$6,$B$4+(F31-'計算A'!$A$3-1)*$B$5/1440,""))</f>
        <v/>
      </c>
      <c r="H31" s="38" t="n"/>
      <c r="I31" s="37">
        <f>IF(G31="","",TEXT(G31,"h:mm")&amp;"〜")</f>
        <v/>
      </c>
      <c r="K31" s="31" t="n"/>
      <c r="L31" s="42">
        <f>$I$31</f>
        <v/>
      </c>
      <c r="M31" s="43" t="n"/>
      <c r="N31" s="43" t="n"/>
      <c r="O31" s="43" t="n"/>
      <c r="P31" s="43" t="n"/>
      <c r="Q31" s="43" t="n"/>
      <c r="R31" s="43" t="n"/>
      <c r="S31" s="43" t="n"/>
      <c r="T31" s="43" t="n"/>
      <c r="U31" s="43" t="n"/>
      <c r="V31" s="43" t="n"/>
    </row>
    <row r="32">
      <c r="F32" s="40" t="n">
        <v>22</v>
      </c>
      <c r="G32" s="41">
        <f>IF(F32&lt;=MIN('計算A'!$A$3,24),$B$3+(F32-1)*$B$5/1440,IF(F32&lt;=$B$6,$B$4+(F32-'計算A'!$A$3-1)*$B$5/1440,""))</f>
        <v/>
      </c>
      <c r="H32" s="38" t="n"/>
      <c r="I32" s="37">
        <f>IF(G32="","",TEXT(G32,"h:mm")&amp;"〜")</f>
        <v/>
      </c>
      <c r="K32" s="31" t="n"/>
      <c r="L32" s="42">
        <f>$I$32</f>
        <v/>
      </c>
      <c r="M32" s="43" t="n"/>
      <c r="N32" s="43" t="n"/>
      <c r="O32" s="43" t="n"/>
      <c r="P32" s="43" t="n"/>
      <c r="Q32" s="43" t="n"/>
      <c r="R32" s="43" t="n"/>
      <c r="S32" s="43" t="n"/>
      <c r="T32" s="43" t="n"/>
      <c r="U32" s="43" t="n"/>
      <c r="V32" s="43" t="n"/>
    </row>
    <row r="33">
      <c r="F33" s="40" t="n">
        <v>23</v>
      </c>
      <c r="G33" s="41">
        <f>IF(F33&lt;=MIN('計算A'!$A$3,24),$B$3+(F33-1)*$B$5/1440,IF(F33&lt;=$B$6,$B$4+(F33-'計算A'!$A$3-1)*$B$5/1440,""))</f>
        <v/>
      </c>
      <c r="H33" s="38" t="n"/>
      <c r="I33" s="37">
        <f>IF(G33="","",TEXT(G33,"h:mm")&amp;"〜")</f>
        <v/>
      </c>
      <c r="K33" s="31" t="n"/>
      <c r="L33" s="42">
        <f>$I$33</f>
        <v/>
      </c>
      <c r="M33" s="43" t="n"/>
      <c r="N33" s="43" t="n"/>
      <c r="O33" s="43" t="n"/>
      <c r="P33" s="43" t="n"/>
      <c r="Q33" s="43" t="n"/>
      <c r="R33" s="43" t="n"/>
      <c r="S33" s="43" t="n"/>
      <c r="T33" s="43" t="n"/>
      <c r="U33" s="43" t="n"/>
      <c r="V33" s="43" t="n"/>
    </row>
    <row r="34">
      <c r="F34" s="40" t="n">
        <v>24</v>
      </c>
      <c r="G34" s="41">
        <f>IF(F34&lt;=MIN('計算A'!$A$3,24),$B$3+(F34-1)*$B$5/1440,IF(F34&lt;=$B$6,$B$4+(F34-'計算A'!$A$3-1)*$B$5/1440,""))</f>
        <v/>
      </c>
      <c r="H34" s="38" t="n"/>
      <c r="I34" s="37">
        <f>IF(G34="","",TEXT(G34,"h:mm")&amp;"〜")</f>
        <v/>
      </c>
      <c r="K34" s="31" t="n"/>
      <c r="L34" s="42">
        <f>$I$34</f>
        <v/>
      </c>
      <c r="M34" s="43" t="n"/>
      <c r="N34" s="43" t="n"/>
      <c r="O34" s="43" t="n"/>
      <c r="P34" s="43" t="n"/>
      <c r="Q34" s="43" t="n"/>
      <c r="R34" s="43" t="n"/>
      <c r="S34" s="43" t="n"/>
      <c r="T34" s="43" t="n"/>
      <c r="U34" s="43" t="n"/>
      <c r="V34" s="43" t="n"/>
    </row>
  </sheetData>
  <mergeCells count="6">
    <mergeCell ref="A25:E27"/>
    <mergeCell ref="B8:E8"/>
    <mergeCell ref="K1:L1"/>
    <mergeCell ref="K9:L9"/>
    <mergeCell ref="A22:E24"/>
    <mergeCell ref="F1:G1"/>
  </mergeCells>
  <conditionalFormatting sqref="G11:I34">
    <cfRule type="expression" priority="1" dxfId="2">
      <formula>$G11=""</formula>
    </cfRule>
  </conditionalFormatting>
  <conditionalFormatting sqref="M9:V9">
    <cfRule type="expression" priority="2" dxfId="3" stopIfTrue="1">
      <formula>INDEX($B$11:$B$20,COLUMN(M9)-12)=""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V34">
    <cfRule type="expression" priority="7" dxfId="3" stopIfTrue="1">
      <formula>OR(INDEX($B$11:$B$20,COLUMN(M11)-12)="",ROW(M11)-10&gt;$B$6)</formula>
    </cfRule>
    <cfRule type="expression" priority="8" dxfId="5" stopIfTrue="1">
      <formula>OR(M11&lt;&gt;"",M$9&lt;&gt;"",$K11&lt;&gt;"")</formula>
    </cfRule>
    <cfRule type="expression" priority="9" dxfId="4">
      <formula>TRUE</formula>
    </cfRule>
  </conditionalFormatting>
  <conditionalFormatting sqref="M10:V10">
    <cfRule type="expression" priority="10" dxfId="3">
      <formula>M10=""</formula>
    </cfRule>
  </conditionalFormatting>
  <dataValidations count="6">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20"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D17 D18 D19 D20 H11 H12 H13 H14 H15 H16 H17 H18 H19 H20 H21 H22 H23 H24 H25 H26 H27 H28 H29 H30 H31 H32 H33 H34" showDropDown="0" showInputMessage="0" showErrorMessage="0" allowBlank="1" type="list">
      <formula1>"〇"</formula1>
    </dataValidation>
    <dataValidation sqref="K11:K34 M9:V9 M11:V34"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1"/>
    <pageSetUpPr/>
  </sheetPr>
  <dimension ref="A1:P49"/>
  <sheetViews>
    <sheetView showGridLines="0" showRowColHeader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6" customWidth="1" min="3" max="3"/>
    <col width="18" customWidth="1" min="4" max="4"/>
    <col width="10" customWidth="1" min="5" max="5"/>
    <col width="16" customWidth="1" min="6" max="6"/>
    <col width="18" customWidth="1" min="7" max="7"/>
    <col width="10" customWidth="1" min="8" max="8"/>
    <col width="7" customWidth="1" min="9" max="9"/>
    <col width="9" customWidth="1" min="10" max="10"/>
    <col width="7" customWidth="1" min="11" max="11"/>
    <col width="15" customWidth="1" min="12" max="12"/>
    <col width="8" customWidth="1" min="13" max="13"/>
    <col width="30" customWidth="1" min="14" max="14"/>
    <col width="22" customWidth="1" min="15" max="15"/>
    <col width="9" customWidth="1" min="16" max="16"/>
  </cols>
  <sheetData>
    <row r="1" ht="44" customHeight="1">
      <c r="A1" s="1" t="inlineStr">
        <is>
          <t>名簿・結果</t>
        </is>
      </c>
      <c r="B1" s="2" t="n"/>
      <c r="C1" s="2" t="n"/>
      <c r="D1" s="2" t="n"/>
      <c r="E1" s="18">
        <f>HYPERLINK("#'ホーム'!A1","ホーム")</f>
        <v/>
      </c>
      <c r="F1" s="20" t="n"/>
      <c r="G1" s="18">
        <f>HYPERLINK("#'設定'!A1","① 設定")</f>
        <v/>
      </c>
      <c r="H1" s="19">
        <f>HYPERLINK("#'名簿'!A1","② 名簿")</f>
        <v/>
      </c>
      <c r="I1" s="20" t="n"/>
      <c r="J1" s="18">
        <f>HYPERLINK("#'×入力'!A1","③ ×入力")</f>
        <v/>
      </c>
      <c r="K1" s="20" t="n"/>
      <c r="L1" s="18">
        <f>HYPERLINK("#'自動案'!A1","④ 自動案")</f>
        <v/>
      </c>
      <c r="M1" s="20" t="n"/>
      <c r="N1" s="18">
        <f>HYPERLINK("#'調整・決定'!A1","⑤ 調整・決定")</f>
        <v/>
      </c>
      <c r="O1" s="2" t="n"/>
      <c r="P1" s="2" t="n"/>
    </row>
    <row r="2" ht="24" customHeight="1">
      <c r="A2" s="3" t="inlineStr">
        <is>
          <t>黄色の列（番号〜後ろを空ける）を入力します。Excelの名簿から番号と名前を「番号」の列のいちばん上に貼り付けてください（最大45人）。行の並べ替えはしないでください。</t>
        </is>
      </c>
      <c r="B2" s="4" t="n"/>
      <c r="C2" s="4" t="n"/>
      <c r="D2" s="4" t="n"/>
      <c r="E2" s="4" t="n"/>
      <c r="F2" s="4" t="n"/>
      <c r="G2" s="4" t="n"/>
      <c r="H2" s="4" t="n"/>
      <c r="I2" s="4" t="n"/>
      <c r="J2" s="4" t="n"/>
      <c r="K2" s="4" t="n"/>
      <c r="L2" s="4" t="n"/>
      <c r="M2" s="4" t="n"/>
      <c r="N2" s="4" t="n"/>
      <c r="O2" s="4" t="n"/>
      <c r="P2" s="4" t="n"/>
    </row>
    <row r="3">
      <c r="A3" s="45" t="inlineStr">
        <is>
          <t>希望：早い時刻／遅い時刻／早い日／遅い日。後ろを空ける：必ず空けたい／出来れば空けたい（同じ日のすぐ次の枠を空けます）。</t>
        </is>
      </c>
    </row>
    <row r="4" ht="32" customHeight="1">
      <c r="A4" s="46" t="inlineStr">
        <is>
          <t>番号</t>
        </is>
      </c>
      <c r="B4" s="46" t="inlineStr">
        <is>
          <t>名前</t>
        </is>
      </c>
      <c r="C4" s="46" t="inlineStr">
        <is>
          <t>兄弟</t>
        </is>
      </c>
      <c r="D4" s="46" t="inlineStr">
        <is>
          <t>兄弟メモ</t>
        </is>
      </c>
      <c r="E4" s="46" t="inlineStr">
        <is>
          <t>希望</t>
        </is>
      </c>
      <c r="F4" s="46" t="inlineStr">
        <is>
          <t>後ろを空ける</t>
        </is>
      </c>
      <c r="G4" s="47" t="inlineStr">
        <is>
          <t>表示名</t>
        </is>
      </c>
      <c r="H4" s="47" t="inlineStr">
        <is>
          <t>状況</t>
        </is>
      </c>
      <c r="I4" s="47" t="inlineStr">
        <is>
          <t>×の数</t>
        </is>
      </c>
      <c r="J4" s="47" t="inlineStr">
        <is>
          <t>入れられる空き枠</t>
        </is>
      </c>
      <c r="K4" s="47" t="inlineStr">
        <is>
          <t>決める順</t>
        </is>
      </c>
      <c r="L4" s="47" t="inlineStr">
        <is>
          <t>日付</t>
        </is>
      </c>
      <c r="M4" s="47" t="inlineStr">
        <is>
          <t>時刻</t>
        </is>
      </c>
      <c r="N4" s="47" t="inlineStr">
        <is>
          <t>注意</t>
        </is>
      </c>
      <c r="O4" s="47" t="inlineStr">
        <is>
          <t>自動案</t>
        </is>
      </c>
    </row>
    <row r="5" ht="19" customHeight="1">
      <c r="A5" s="48" t="n"/>
      <c r="B5" s="49" t="n"/>
      <c r="C5" s="48" t="n"/>
      <c r="D5" s="49" t="n"/>
      <c r="E5" s="48" t="n"/>
      <c r="F5" s="48" t="n"/>
      <c r="G5" s="39">
        <f>IF(B5="","",IF(A5="","",A5&amp;" ")&amp;B5)</f>
        <v/>
      </c>
      <c r="H5" s="37">
        <f>IF(B5="","",IF('×入力'!F5="未提出","未提出",IF(I5&gt;0,"入力済み",IF('×入力'!F5="×なし（どこでもOK）","×なし","未入力"))))</f>
        <v/>
      </c>
      <c r="I5" s="37">
        <f>IF(B5="","",'計算A'!IN10)</f>
        <v/>
      </c>
      <c r="J5" s="37">
        <f>IF(OR(H5="入力済み",H5="×なし"),'計算A'!IM10,"")</f>
        <v/>
      </c>
      <c r="K5" s="37">
        <f>IF('計算A'!C10=1,COUNTIFS('計算A'!$C$10:$C$54,1,'計算A'!$IM$10:$IM$54,"&lt;"&amp;'計算A'!IM10)+1,"")</f>
        <v/>
      </c>
      <c r="L5" s="39">
        <f>IF('計算A'!IO10=0,"",INDEX('設定'!$E$11:$E$20,INDEX('計算A'!$D$2:$II$2,'計算A'!IO10)))</f>
        <v/>
      </c>
      <c r="M5" s="37">
        <f>IF('計算A'!IO10=0,"",INDEX('設定'!$I$11:$I$34,INDEX('計算A'!$D$3:$II$3,'計算A'!IO10)))</f>
        <v/>
      </c>
      <c r="N5" s="39">
        <f>IF(G5="","",IF(COUNTIF('調整・決定'!$C$6:$L$29,G5)&gt;1,"2か所以上に入っています",IF('計算A'!IO10&gt;0,IF(INDEX('計算A'!$D$4:$II$4,'計算A'!IO10)=0,"使えない枠に入っています",IF(INDEX('計算A'!$D$10:$II$10,'計算A'!IO10)=1,"×の枠に入っています",IF(AND(F5&lt;&gt;"",INDEX('計算A'!$D$106:$II$106,'計算A'!IO10)=1,INDEX('計算A'!$D$109:$II$109,'計算A'!IO10+1)=1),IF(F5="必ず空けたい","後ろの枠が空いていません","（出来れば）後ろが空いていません"),""))),IF(OR(H5="入力済み",H5="×なし"),"未決定",""))))</f>
        <v/>
      </c>
      <c r="O5" s="39">
        <f>IF('計算A'!IK10=0,IF('計算A'!IL10=1,"入る枠がありません",""),INDEX('計算A'!$D$8:$II$8,'計算A'!IK10))</f>
        <v/>
      </c>
      <c r="P5" s="50">
        <f>HYPERLINK("#'×入力'!B5","×入力へ")</f>
        <v/>
      </c>
    </row>
    <row r="6" ht="19" customHeight="1">
      <c r="A6" s="48" t="n"/>
      <c r="B6" s="49" t="n"/>
      <c r="C6" s="48" t="n"/>
      <c r="D6" s="49" t="n"/>
      <c r="E6" s="48" t="n"/>
      <c r="F6" s="48" t="n"/>
      <c r="G6" s="39">
        <f>IF(B6="","",IF(A6="","",A6&amp;" ")&amp;B6)</f>
        <v/>
      </c>
      <c r="H6" s="37">
        <f>IF(B6="","",IF('×入力'!F33="未提出","未提出",IF(I6&gt;0,"入力済み",IF('×入力'!F33="×なし（どこでもOK）","×なし","未入力"))))</f>
        <v/>
      </c>
      <c r="I6" s="37">
        <f>IF(B6="","",'計算A'!IN11)</f>
        <v/>
      </c>
      <c r="J6" s="37">
        <f>IF(OR(H6="入力済み",H6="×なし"),'計算A'!IM11,"")</f>
        <v/>
      </c>
      <c r="K6" s="37">
        <f>IF('計算A'!C11=1,COUNTIFS('計算A'!$C$10:$C$54,1,'計算A'!$IM$10:$IM$54,"&lt;"&amp;'計算A'!IM11)+1,"")</f>
        <v/>
      </c>
      <c r="L6" s="39">
        <f>IF('計算A'!IO11=0,"",INDEX('設定'!$E$11:$E$20,INDEX('計算A'!$D$2:$II$2,'計算A'!IO11)))</f>
        <v/>
      </c>
      <c r="M6" s="37">
        <f>IF('計算A'!IO11=0,"",INDEX('設定'!$I$11:$I$34,INDEX('計算A'!$D$3:$II$3,'計算A'!IO11)))</f>
        <v/>
      </c>
      <c r="N6" s="39">
        <f>IF(G6="","",IF(COUNTIF('調整・決定'!$C$6:$L$29,G6)&gt;1,"2か所以上に入っています",IF('計算A'!IO11&gt;0,IF(INDEX('計算A'!$D$4:$II$4,'計算A'!IO11)=0,"使えない枠に入っています",IF(INDEX('計算A'!$D$11:$II$11,'計算A'!IO11)=1,"×の枠に入っています",IF(AND(F6&lt;&gt;"",INDEX('計算A'!$D$106:$II$106,'計算A'!IO11)=1,INDEX('計算A'!$D$109:$II$109,'計算A'!IO11+1)=1),IF(F6="必ず空けたい","後ろの枠が空いていません","（出来れば）後ろが空いていません"),""))),IF(OR(H6="入力済み",H6="×なし"),"未決定",""))))</f>
        <v/>
      </c>
      <c r="O6" s="39">
        <f>IF('計算A'!IK11=0,IF('計算A'!IL11=1,"入る枠がありません",""),INDEX('計算A'!$D$8:$II$8,'計算A'!IK11))</f>
        <v/>
      </c>
      <c r="P6" s="50">
        <f>HYPERLINK("#'×入力'!B33","×入力へ")</f>
        <v/>
      </c>
    </row>
    <row r="7" ht="19" customHeight="1">
      <c r="A7" s="48" t="n"/>
      <c r="B7" s="49" t="n"/>
      <c r="C7" s="48" t="n"/>
      <c r="D7" s="49" t="n"/>
      <c r="E7" s="48" t="n"/>
      <c r="F7" s="48" t="n"/>
      <c r="G7" s="39">
        <f>IF(B7="","",IF(A7="","",A7&amp;" ")&amp;B7)</f>
        <v/>
      </c>
      <c r="H7" s="37">
        <f>IF(B7="","",IF('×入力'!F61="未提出","未提出",IF(I7&gt;0,"入力済み",IF('×入力'!F61="×なし（どこでもOK）","×なし","未入力"))))</f>
        <v/>
      </c>
      <c r="I7" s="37">
        <f>IF(B7="","",'計算A'!IN12)</f>
        <v/>
      </c>
      <c r="J7" s="37">
        <f>IF(OR(H7="入力済み",H7="×なし"),'計算A'!IM12,"")</f>
        <v/>
      </c>
      <c r="K7" s="37">
        <f>IF('計算A'!C12=1,COUNTIFS('計算A'!$C$10:$C$54,1,'計算A'!$IM$10:$IM$54,"&lt;"&amp;'計算A'!IM12)+1,"")</f>
        <v/>
      </c>
      <c r="L7" s="39">
        <f>IF('計算A'!IO12=0,"",INDEX('設定'!$E$11:$E$20,INDEX('計算A'!$D$2:$II$2,'計算A'!IO12)))</f>
        <v/>
      </c>
      <c r="M7" s="37">
        <f>IF('計算A'!IO12=0,"",INDEX('設定'!$I$11:$I$34,INDEX('計算A'!$D$3:$II$3,'計算A'!IO12)))</f>
        <v/>
      </c>
      <c r="N7" s="39">
        <f>IF(G7="","",IF(COUNTIF('調整・決定'!$C$6:$L$29,G7)&gt;1,"2か所以上に入っています",IF('計算A'!IO12&gt;0,IF(INDEX('計算A'!$D$4:$II$4,'計算A'!IO12)=0,"使えない枠に入っています",IF(INDEX('計算A'!$D$12:$II$12,'計算A'!IO12)=1,"×の枠に入っています",IF(AND(F7&lt;&gt;"",INDEX('計算A'!$D$106:$II$106,'計算A'!IO12)=1,INDEX('計算A'!$D$109:$II$109,'計算A'!IO12+1)=1),IF(F7="必ず空けたい","後ろの枠が空いていません","（出来れば）後ろが空いていません"),""))),IF(OR(H7="入力済み",H7="×なし"),"未決定",""))))</f>
        <v/>
      </c>
      <c r="O7" s="39">
        <f>IF('計算A'!IK12=0,IF('計算A'!IL12=1,"入る枠がありません",""),INDEX('計算A'!$D$8:$II$8,'計算A'!IK12))</f>
        <v/>
      </c>
      <c r="P7" s="50">
        <f>HYPERLINK("#'×入力'!B61","×入力へ")</f>
        <v/>
      </c>
    </row>
    <row r="8" ht="19" customHeight="1">
      <c r="A8" s="48" t="n"/>
      <c r="B8" s="49" t="n"/>
      <c r="C8" s="48" t="n"/>
      <c r="D8" s="49" t="n"/>
      <c r="E8" s="48" t="n"/>
      <c r="F8" s="48" t="n"/>
      <c r="G8" s="39">
        <f>IF(B8="","",IF(A8="","",A8&amp;" ")&amp;B8)</f>
        <v/>
      </c>
      <c r="H8" s="37">
        <f>IF(B8="","",IF('×入力'!F89="未提出","未提出",IF(I8&gt;0,"入力済み",IF('×入力'!F89="×なし（どこでもOK）","×なし","未入力"))))</f>
        <v/>
      </c>
      <c r="I8" s="37">
        <f>IF(B8="","",'計算A'!IN13)</f>
        <v/>
      </c>
      <c r="J8" s="37">
        <f>IF(OR(H8="入力済み",H8="×なし"),'計算A'!IM13,"")</f>
        <v/>
      </c>
      <c r="K8" s="37">
        <f>IF('計算A'!C13=1,COUNTIFS('計算A'!$C$10:$C$54,1,'計算A'!$IM$10:$IM$54,"&lt;"&amp;'計算A'!IM13)+1,"")</f>
        <v/>
      </c>
      <c r="L8" s="39">
        <f>IF('計算A'!IO13=0,"",INDEX('設定'!$E$11:$E$20,INDEX('計算A'!$D$2:$II$2,'計算A'!IO13)))</f>
        <v/>
      </c>
      <c r="M8" s="37">
        <f>IF('計算A'!IO13=0,"",INDEX('設定'!$I$11:$I$34,INDEX('計算A'!$D$3:$II$3,'計算A'!IO13)))</f>
        <v/>
      </c>
      <c r="N8" s="39">
        <f>IF(G8="","",IF(COUNTIF('調整・決定'!$C$6:$L$29,G8)&gt;1,"2か所以上に入っています",IF('計算A'!IO13&gt;0,IF(INDEX('計算A'!$D$4:$II$4,'計算A'!IO13)=0,"使えない枠に入っています",IF(INDEX('計算A'!$D$13:$II$13,'計算A'!IO13)=1,"×の枠に入っています",IF(AND(F8&lt;&gt;"",INDEX('計算A'!$D$106:$II$106,'計算A'!IO13)=1,INDEX('計算A'!$D$109:$II$109,'計算A'!IO13+1)=1),IF(F8="必ず空けたい","後ろの枠が空いていません","（出来れば）後ろが空いていません"),""))),IF(OR(H8="入力済み",H8="×なし"),"未決定",""))))</f>
        <v/>
      </c>
      <c r="O8" s="39">
        <f>IF('計算A'!IK13=0,IF('計算A'!IL13=1,"入る枠がありません",""),INDEX('計算A'!$D$8:$II$8,'計算A'!IK13))</f>
        <v/>
      </c>
      <c r="P8" s="50">
        <f>HYPERLINK("#'×入力'!B89","×入力へ")</f>
        <v/>
      </c>
    </row>
    <row r="9" ht="19" customHeight="1">
      <c r="A9" s="48" t="n"/>
      <c r="B9" s="49" t="n"/>
      <c r="C9" s="48" t="n"/>
      <c r="D9" s="49" t="n"/>
      <c r="E9" s="48" t="n"/>
      <c r="F9" s="48" t="n"/>
      <c r="G9" s="39">
        <f>IF(B9="","",IF(A9="","",A9&amp;" ")&amp;B9)</f>
        <v/>
      </c>
      <c r="H9" s="37">
        <f>IF(B9="","",IF('×入力'!F117="未提出","未提出",IF(I9&gt;0,"入力済み",IF('×入力'!F117="×なし（どこでもOK）","×なし","未入力"))))</f>
        <v/>
      </c>
      <c r="I9" s="37">
        <f>IF(B9="","",'計算A'!IN14)</f>
        <v/>
      </c>
      <c r="J9" s="37">
        <f>IF(OR(H9="入力済み",H9="×なし"),'計算A'!IM14,"")</f>
        <v/>
      </c>
      <c r="K9" s="37">
        <f>IF('計算A'!C14=1,COUNTIFS('計算A'!$C$10:$C$54,1,'計算A'!$IM$10:$IM$54,"&lt;"&amp;'計算A'!IM14)+1,"")</f>
        <v/>
      </c>
      <c r="L9" s="39">
        <f>IF('計算A'!IO14=0,"",INDEX('設定'!$E$11:$E$20,INDEX('計算A'!$D$2:$II$2,'計算A'!IO14)))</f>
        <v/>
      </c>
      <c r="M9" s="37">
        <f>IF('計算A'!IO14=0,"",INDEX('設定'!$I$11:$I$34,INDEX('計算A'!$D$3:$II$3,'計算A'!IO14)))</f>
        <v/>
      </c>
      <c r="N9" s="39">
        <f>IF(G9="","",IF(COUNTIF('調整・決定'!$C$6:$L$29,G9)&gt;1,"2か所以上に入っています",IF('計算A'!IO14&gt;0,IF(INDEX('計算A'!$D$4:$II$4,'計算A'!IO14)=0,"使えない枠に入っています",IF(INDEX('計算A'!$D$14:$II$14,'計算A'!IO14)=1,"×の枠に入っています",IF(AND(F9&lt;&gt;"",INDEX('計算A'!$D$106:$II$106,'計算A'!IO14)=1,INDEX('計算A'!$D$109:$II$109,'計算A'!IO14+1)=1),IF(F9="必ず空けたい","後ろの枠が空いていません","（出来れば）後ろが空いていません"),""))),IF(OR(H9="入力済み",H9="×なし"),"未決定",""))))</f>
        <v/>
      </c>
      <c r="O9" s="39">
        <f>IF('計算A'!IK14=0,IF('計算A'!IL14=1,"入る枠がありません",""),INDEX('計算A'!$D$8:$II$8,'計算A'!IK14))</f>
        <v/>
      </c>
      <c r="P9" s="50">
        <f>HYPERLINK("#'×入力'!B117","×入力へ")</f>
        <v/>
      </c>
    </row>
    <row r="10" ht="19" customHeight="1">
      <c r="A10" s="48" t="n"/>
      <c r="B10" s="49" t="n"/>
      <c r="C10" s="48" t="n"/>
      <c r="D10" s="49" t="n"/>
      <c r="E10" s="48" t="n"/>
      <c r="F10" s="48" t="n"/>
      <c r="G10" s="39">
        <f>IF(B10="","",IF(A10="","",A10&amp;" ")&amp;B10)</f>
        <v/>
      </c>
      <c r="H10" s="37">
        <f>IF(B10="","",IF('×入力'!F145="未提出","未提出",IF(I10&gt;0,"入力済み",IF('×入力'!F145="×なし（どこでもOK）","×なし","未入力"))))</f>
        <v/>
      </c>
      <c r="I10" s="37">
        <f>IF(B10="","",'計算A'!IN15)</f>
        <v/>
      </c>
      <c r="J10" s="37">
        <f>IF(OR(H10="入力済み",H10="×なし"),'計算A'!IM15,"")</f>
        <v/>
      </c>
      <c r="K10" s="37">
        <f>IF('計算A'!C15=1,COUNTIFS('計算A'!$C$10:$C$54,1,'計算A'!$IM$10:$IM$54,"&lt;"&amp;'計算A'!IM15)+1,"")</f>
        <v/>
      </c>
      <c r="L10" s="39">
        <f>IF('計算A'!IO15=0,"",INDEX('設定'!$E$11:$E$20,INDEX('計算A'!$D$2:$II$2,'計算A'!IO15)))</f>
        <v/>
      </c>
      <c r="M10" s="37">
        <f>IF('計算A'!IO15=0,"",INDEX('設定'!$I$11:$I$34,INDEX('計算A'!$D$3:$II$3,'計算A'!IO15)))</f>
        <v/>
      </c>
      <c r="N10" s="39">
        <f>IF(G10="","",IF(COUNTIF('調整・決定'!$C$6:$L$29,G10)&gt;1,"2か所以上に入っています",IF('計算A'!IO15&gt;0,IF(INDEX('計算A'!$D$4:$II$4,'計算A'!IO15)=0,"使えない枠に入っています",IF(INDEX('計算A'!$D$15:$II$15,'計算A'!IO15)=1,"×の枠に入っています",IF(AND(F10&lt;&gt;"",INDEX('計算A'!$D$106:$II$106,'計算A'!IO15)=1,INDEX('計算A'!$D$109:$II$109,'計算A'!IO15+1)=1),IF(F10="必ず空けたい","後ろの枠が空いていません","（出来れば）後ろが空いていません"),""))),IF(OR(H10="入力済み",H10="×なし"),"未決定",""))))</f>
        <v/>
      </c>
      <c r="O10" s="39">
        <f>IF('計算A'!IK15=0,IF('計算A'!IL15=1,"入る枠がありません",""),INDEX('計算A'!$D$8:$II$8,'計算A'!IK15))</f>
        <v/>
      </c>
      <c r="P10" s="50">
        <f>HYPERLINK("#'×入力'!B145","×入力へ")</f>
        <v/>
      </c>
    </row>
    <row r="11" ht="19" customHeight="1">
      <c r="A11" s="48" t="n"/>
      <c r="B11" s="49" t="n"/>
      <c r="C11" s="48" t="n"/>
      <c r="D11" s="49" t="n"/>
      <c r="E11" s="48" t="n"/>
      <c r="F11" s="48" t="n"/>
      <c r="G11" s="39">
        <f>IF(B11="","",IF(A11="","",A11&amp;" ")&amp;B11)</f>
        <v/>
      </c>
      <c r="H11" s="37">
        <f>IF(B11="","",IF('×入力'!F173="未提出","未提出",IF(I11&gt;0,"入力済み",IF('×入力'!F173="×なし（どこでもOK）","×なし","未入力"))))</f>
        <v/>
      </c>
      <c r="I11" s="37">
        <f>IF(B11="","",'計算A'!IN16)</f>
        <v/>
      </c>
      <c r="J11" s="37">
        <f>IF(OR(H11="入力済み",H11="×なし"),'計算A'!IM16,"")</f>
        <v/>
      </c>
      <c r="K11" s="37">
        <f>IF('計算A'!C16=1,COUNTIFS('計算A'!$C$10:$C$54,1,'計算A'!$IM$10:$IM$54,"&lt;"&amp;'計算A'!IM16)+1,"")</f>
        <v/>
      </c>
      <c r="L11" s="39">
        <f>IF('計算A'!IO16=0,"",INDEX('設定'!$E$11:$E$20,INDEX('計算A'!$D$2:$II$2,'計算A'!IO16)))</f>
        <v/>
      </c>
      <c r="M11" s="37">
        <f>IF('計算A'!IO16=0,"",INDEX('設定'!$I$11:$I$34,INDEX('計算A'!$D$3:$II$3,'計算A'!IO16)))</f>
        <v/>
      </c>
      <c r="N11" s="39">
        <f>IF(G11="","",IF(COUNTIF('調整・決定'!$C$6:$L$29,G11)&gt;1,"2か所以上に入っています",IF('計算A'!IO16&gt;0,IF(INDEX('計算A'!$D$4:$II$4,'計算A'!IO16)=0,"使えない枠に入っています",IF(INDEX('計算A'!$D$16:$II$16,'計算A'!IO16)=1,"×の枠に入っています",IF(AND(F11&lt;&gt;"",INDEX('計算A'!$D$106:$II$106,'計算A'!IO16)=1,INDEX('計算A'!$D$109:$II$109,'計算A'!IO16+1)=1),IF(F11="必ず空けたい","後ろの枠が空いていません","（出来れば）後ろが空いていません"),""))),IF(OR(H11="入力済み",H11="×なし"),"未決定",""))))</f>
        <v/>
      </c>
      <c r="O11" s="39">
        <f>IF('計算A'!IK16=0,IF('計算A'!IL16=1,"入る枠がありません",""),INDEX('計算A'!$D$8:$II$8,'計算A'!IK16))</f>
        <v/>
      </c>
      <c r="P11" s="50">
        <f>HYPERLINK("#'×入力'!B173","×入力へ")</f>
        <v/>
      </c>
    </row>
    <row r="12" ht="19" customHeight="1">
      <c r="A12" s="48" t="n"/>
      <c r="B12" s="49" t="n"/>
      <c r="C12" s="48" t="n"/>
      <c r="D12" s="49" t="n"/>
      <c r="E12" s="48" t="n"/>
      <c r="F12" s="48" t="n"/>
      <c r="G12" s="39">
        <f>IF(B12="","",IF(A12="","",A12&amp;" ")&amp;B12)</f>
        <v/>
      </c>
      <c r="H12" s="37">
        <f>IF(B12="","",IF('×入力'!F201="未提出","未提出",IF(I12&gt;0,"入力済み",IF('×入力'!F201="×なし（どこでもOK）","×なし","未入力"))))</f>
        <v/>
      </c>
      <c r="I12" s="37">
        <f>IF(B12="","",'計算A'!IN17)</f>
        <v/>
      </c>
      <c r="J12" s="37">
        <f>IF(OR(H12="入力済み",H12="×なし"),'計算A'!IM17,"")</f>
        <v/>
      </c>
      <c r="K12" s="37">
        <f>IF('計算A'!C17=1,COUNTIFS('計算A'!$C$10:$C$54,1,'計算A'!$IM$10:$IM$54,"&lt;"&amp;'計算A'!IM17)+1,"")</f>
        <v/>
      </c>
      <c r="L12" s="39">
        <f>IF('計算A'!IO17=0,"",INDEX('設定'!$E$11:$E$20,INDEX('計算A'!$D$2:$II$2,'計算A'!IO17)))</f>
        <v/>
      </c>
      <c r="M12" s="37">
        <f>IF('計算A'!IO17=0,"",INDEX('設定'!$I$11:$I$34,INDEX('計算A'!$D$3:$II$3,'計算A'!IO17)))</f>
        <v/>
      </c>
      <c r="N12" s="39">
        <f>IF(G12="","",IF(COUNTIF('調整・決定'!$C$6:$L$29,G12)&gt;1,"2か所以上に入っています",IF('計算A'!IO17&gt;0,IF(INDEX('計算A'!$D$4:$II$4,'計算A'!IO17)=0,"使えない枠に入っています",IF(INDEX('計算A'!$D$17:$II$17,'計算A'!IO17)=1,"×の枠に入っています",IF(AND(F12&lt;&gt;"",INDEX('計算A'!$D$106:$II$106,'計算A'!IO17)=1,INDEX('計算A'!$D$109:$II$109,'計算A'!IO17+1)=1),IF(F12="必ず空けたい","後ろの枠が空いていません","（出来れば）後ろが空いていません"),""))),IF(OR(H12="入力済み",H12="×なし"),"未決定",""))))</f>
        <v/>
      </c>
      <c r="O12" s="39">
        <f>IF('計算A'!IK17=0,IF('計算A'!IL17=1,"入る枠がありません",""),INDEX('計算A'!$D$8:$II$8,'計算A'!IK17))</f>
        <v/>
      </c>
      <c r="P12" s="50">
        <f>HYPERLINK("#'×入力'!B201","×入力へ")</f>
        <v/>
      </c>
    </row>
    <row r="13" ht="19" customHeight="1">
      <c r="A13" s="48" t="n"/>
      <c r="B13" s="49" t="n"/>
      <c r="C13" s="48" t="n"/>
      <c r="D13" s="49" t="n"/>
      <c r="E13" s="48" t="n"/>
      <c r="F13" s="48" t="n"/>
      <c r="G13" s="39">
        <f>IF(B13="","",IF(A13="","",A13&amp;" ")&amp;B13)</f>
        <v/>
      </c>
      <c r="H13" s="37">
        <f>IF(B13="","",IF('×入力'!F229="未提出","未提出",IF(I13&gt;0,"入力済み",IF('×入力'!F229="×なし（どこでもOK）","×なし","未入力"))))</f>
        <v/>
      </c>
      <c r="I13" s="37">
        <f>IF(B13="","",'計算A'!IN18)</f>
        <v/>
      </c>
      <c r="J13" s="37">
        <f>IF(OR(H13="入力済み",H13="×なし"),'計算A'!IM18,"")</f>
        <v/>
      </c>
      <c r="K13" s="37">
        <f>IF('計算A'!C18=1,COUNTIFS('計算A'!$C$10:$C$54,1,'計算A'!$IM$10:$IM$54,"&lt;"&amp;'計算A'!IM18)+1,"")</f>
        <v/>
      </c>
      <c r="L13" s="39">
        <f>IF('計算A'!IO18=0,"",INDEX('設定'!$E$11:$E$20,INDEX('計算A'!$D$2:$II$2,'計算A'!IO18)))</f>
        <v/>
      </c>
      <c r="M13" s="37">
        <f>IF('計算A'!IO18=0,"",INDEX('設定'!$I$11:$I$34,INDEX('計算A'!$D$3:$II$3,'計算A'!IO18)))</f>
        <v/>
      </c>
      <c r="N13" s="39">
        <f>IF(G13="","",IF(COUNTIF('調整・決定'!$C$6:$L$29,G13)&gt;1,"2か所以上に入っています",IF('計算A'!IO18&gt;0,IF(INDEX('計算A'!$D$4:$II$4,'計算A'!IO18)=0,"使えない枠に入っています",IF(INDEX('計算A'!$D$18:$II$18,'計算A'!IO18)=1,"×の枠に入っています",IF(AND(F13&lt;&gt;"",INDEX('計算A'!$D$106:$II$106,'計算A'!IO18)=1,INDEX('計算A'!$D$109:$II$109,'計算A'!IO18+1)=1),IF(F13="必ず空けたい","後ろの枠が空いていません","（出来れば）後ろが空いていません"),""))),IF(OR(H13="入力済み",H13="×なし"),"未決定",""))))</f>
        <v/>
      </c>
      <c r="O13" s="39">
        <f>IF('計算A'!IK18=0,IF('計算A'!IL18=1,"入る枠がありません",""),INDEX('計算A'!$D$8:$II$8,'計算A'!IK18))</f>
        <v/>
      </c>
      <c r="P13" s="50">
        <f>HYPERLINK("#'×入力'!B229","×入力へ")</f>
        <v/>
      </c>
    </row>
    <row r="14" ht="19" customHeight="1">
      <c r="A14" s="48" t="n"/>
      <c r="B14" s="49" t="n"/>
      <c r="C14" s="48" t="n"/>
      <c r="D14" s="49" t="n"/>
      <c r="E14" s="48" t="n"/>
      <c r="F14" s="48" t="n"/>
      <c r="G14" s="39">
        <f>IF(B14="","",IF(A14="","",A14&amp;" ")&amp;B14)</f>
        <v/>
      </c>
      <c r="H14" s="37">
        <f>IF(B14="","",IF('×入力'!F257="未提出","未提出",IF(I14&gt;0,"入力済み",IF('×入力'!F257="×なし（どこでもOK）","×なし","未入力"))))</f>
        <v/>
      </c>
      <c r="I14" s="37">
        <f>IF(B14="","",'計算A'!IN19)</f>
        <v/>
      </c>
      <c r="J14" s="37">
        <f>IF(OR(H14="入力済み",H14="×なし"),'計算A'!IM19,"")</f>
        <v/>
      </c>
      <c r="K14" s="37">
        <f>IF('計算A'!C19=1,COUNTIFS('計算A'!$C$10:$C$54,1,'計算A'!$IM$10:$IM$54,"&lt;"&amp;'計算A'!IM19)+1,"")</f>
        <v/>
      </c>
      <c r="L14" s="39">
        <f>IF('計算A'!IO19=0,"",INDEX('設定'!$E$11:$E$20,INDEX('計算A'!$D$2:$II$2,'計算A'!IO19)))</f>
        <v/>
      </c>
      <c r="M14" s="37">
        <f>IF('計算A'!IO19=0,"",INDEX('設定'!$I$11:$I$34,INDEX('計算A'!$D$3:$II$3,'計算A'!IO19)))</f>
        <v/>
      </c>
      <c r="N14" s="39">
        <f>IF(G14="","",IF(COUNTIF('調整・決定'!$C$6:$L$29,G14)&gt;1,"2か所以上に入っています",IF('計算A'!IO19&gt;0,IF(INDEX('計算A'!$D$4:$II$4,'計算A'!IO19)=0,"使えない枠に入っています",IF(INDEX('計算A'!$D$19:$II$19,'計算A'!IO19)=1,"×の枠に入っています",IF(AND(F14&lt;&gt;"",INDEX('計算A'!$D$106:$II$106,'計算A'!IO19)=1,INDEX('計算A'!$D$109:$II$109,'計算A'!IO19+1)=1),IF(F14="必ず空けたい","後ろの枠が空いていません","（出来れば）後ろが空いていません"),""))),IF(OR(H14="入力済み",H14="×なし"),"未決定",""))))</f>
        <v/>
      </c>
      <c r="O14" s="39">
        <f>IF('計算A'!IK19=0,IF('計算A'!IL19=1,"入る枠がありません",""),INDEX('計算A'!$D$8:$II$8,'計算A'!IK19))</f>
        <v/>
      </c>
      <c r="P14" s="50">
        <f>HYPERLINK("#'×入力'!B257","×入力へ")</f>
        <v/>
      </c>
    </row>
    <row r="15" ht="19" customHeight="1">
      <c r="A15" s="48" t="n"/>
      <c r="B15" s="49" t="n"/>
      <c r="C15" s="48" t="n"/>
      <c r="D15" s="49" t="n"/>
      <c r="E15" s="48" t="n"/>
      <c r="F15" s="48" t="n"/>
      <c r="G15" s="39">
        <f>IF(B15="","",IF(A15="","",A15&amp;" ")&amp;B15)</f>
        <v/>
      </c>
      <c r="H15" s="37">
        <f>IF(B15="","",IF('×入力'!F285="未提出","未提出",IF(I15&gt;0,"入力済み",IF('×入力'!F285="×なし（どこでもOK）","×なし","未入力"))))</f>
        <v/>
      </c>
      <c r="I15" s="37">
        <f>IF(B15="","",'計算A'!IN20)</f>
        <v/>
      </c>
      <c r="J15" s="37">
        <f>IF(OR(H15="入力済み",H15="×なし"),'計算A'!IM20,"")</f>
        <v/>
      </c>
      <c r="K15" s="37">
        <f>IF('計算A'!C20=1,COUNTIFS('計算A'!$C$10:$C$54,1,'計算A'!$IM$10:$IM$54,"&lt;"&amp;'計算A'!IM20)+1,"")</f>
        <v/>
      </c>
      <c r="L15" s="39">
        <f>IF('計算A'!IO20=0,"",INDEX('設定'!$E$11:$E$20,INDEX('計算A'!$D$2:$II$2,'計算A'!IO20)))</f>
        <v/>
      </c>
      <c r="M15" s="37">
        <f>IF('計算A'!IO20=0,"",INDEX('設定'!$I$11:$I$34,INDEX('計算A'!$D$3:$II$3,'計算A'!IO20)))</f>
        <v/>
      </c>
      <c r="N15" s="39">
        <f>IF(G15="","",IF(COUNTIF('調整・決定'!$C$6:$L$29,G15)&gt;1,"2か所以上に入っています",IF('計算A'!IO20&gt;0,IF(INDEX('計算A'!$D$4:$II$4,'計算A'!IO20)=0,"使えない枠に入っています",IF(INDEX('計算A'!$D$20:$II$20,'計算A'!IO20)=1,"×の枠に入っています",IF(AND(F15&lt;&gt;"",INDEX('計算A'!$D$106:$II$106,'計算A'!IO20)=1,INDEX('計算A'!$D$109:$II$109,'計算A'!IO20+1)=1),IF(F15="必ず空けたい","後ろの枠が空いていません","（出来れば）後ろが空いていません"),""))),IF(OR(H15="入力済み",H15="×なし"),"未決定",""))))</f>
        <v/>
      </c>
      <c r="O15" s="39">
        <f>IF('計算A'!IK20=0,IF('計算A'!IL20=1,"入る枠がありません",""),INDEX('計算A'!$D$8:$II$8,'計算A'!IK20))</f>
        <v/>
      </c>
      <c r="P15" s="50">
        <f>HYPERLINK("#'×入力'!B285","×入力へ")</f>
        <v/>
      </c>
    </row>
    <row r="16" ht="19" customHeight="1">
      <c r="A16" s="48" t="n"/>
      <c r="B16" s="49" t="n"/>
      <c r="C16" s="48" t="n"/>
      <c r="D16" s="49" t="n"/>
      <c r="E16" s="48" t="n"/>
      <c r="F16" s="48" t="n"/>
      <c r="G16" s="39">
        <f>IF(B16="","",IF(A16="","",A16&amp;" ")&amp;B16)</f>
        <v/>
      </c>
      <c r="H16" s="37">
        <f>IF(B16="","",IF('×入力'!F313="未提出","未提出",IF(I16&gt;0,"入力済み",IF('×入力'!F313="×なし（どこでもOK）","×なし","未入力"))))</f>
        <v/>
      </c>
      <c r="I16" s="37">
        <f>IF(B16="","",'計算A'!IN21)</f>
        <v/>
      </c>
      <c r="J16" s="37">
        <f>IF(OR(H16="入力済み",H16="×なし"),'計算A'!IM21,"")</f>
        <v/>
      </c>
      <c r="K16" s="37">
        <f>IF('計算A'!C21=1,COUNTIFS('計算A'!$C$10:$C$54,1,'計算A'!$IM$10:$IM$54,"&lt;"&amp;'計算A'!IM21)+1,"")</f>
        <v/>
      </c>
      <c r="L16" s="39">
        <f>IF('計算A'!IO21=0,"",INDEX('設定'!$E$11:$E$20,INDEX('計算A'!$D$2:$II$2,'計算A'!IO21)))</f>
        <v/>
      </c>
      <c r="M16" s="37">
        <f>IF('計算A'!IO21=0,"",INDEX('設定'!$I$11:$I$34,INDEX('計算A'!$D$3:$II$3,'計算A'!IO21)))</f>
        <v/>
      </c>
      <c r="N16" s="39">
        <f>IF(G16="","",IF(COUNTIF('調整・決定'!$C$6:$L$29,G16)&gt;1,"2か所以上に入っています",IF('計算A'!IO21&gt;0,IF(INDEX('計算A'!$D$4:$II$4,'計算A'!IO21)=0,"使えない枠に入っています",IF(INDEX('計算A'!$D$21:$II$21,'計算A'!IO21)=1,"×の枠に入っています",IF(AND(F16&lt;&gt;"",INDEX('計算A'!$D$106:$II$106,'計算A'!IO21)=1,INDEX('計算A'!$D$109:$II$109,'計算A'!IO21+1)=1),IF(F16="必ず空けたい","後ろの枠が空いていません","（出来れば）後ろが空いていません"),""))),IF(OR(H16="入力済み",H16="×なし"),"未決定",""))))</f>
        <v/>
      </c>
      <c r="O16" s="39">
        <f>IF('計算A'!IK21=0,IF('計算A'!IL21=1,"入る枠がありません",""),INDEX('計算A'!$D$8:$II$8,'計算A'!IK21))</f>
        <v/>
      </c>
      <c r="P16" s="50">
        <f>HYPERLINK("#'×入力'!B313","×入力へ")</f>
        <v/>
      </c>
    </row>
    <row r="17" ht="19" customHeight="1">
      <c r="A17" s="48" t="n"/>
      <c r="B17" s="49" t="n"/>
      <c r="C17" s="48" t="n"/>
      <c r="D17" s="49" t="n"/>
      <c r="E17" s="48" t="n"/>
      <c r="F17" s="48" t="n"/>
      <c r="G17" s="39">
        <f>IF(B17="","",IF(A17="","",A17&amp;" ")&amp;B17)</f>
        <v/>
      </c>
      <c r="H17" s="37">
        <f>IF(B17="","",IF('×入力'!F341="未提出","未提出",IF(I17&gt;0,"入力済み",IF('×入力'!F341="×なし（どこでもOK）","×なし","未入力"))))</f>
        <v/>
      </c>
      <c r="I17" s="37">
        <f>IF(B17="","",'計算A'!IN22)</f>
        <v/>
      </c>
      <c r="J17" s="37">
        <f>IF(OR(H17="入力済み",H17="×なし"),'計算A'!IM22,"")</f>
        <v/>
      </c>
      <c r="K17" s="37">
        <f>IF('計算A'!C22=1,COUNTIFS('計算A'!$C$10:$C$54,1,'計算A'!$IM$10:$IM$54,"&lt;"&amp;'計算A'!IM22)+1,"")</f>
        <v/>
      </c>
      <c r="L17" s="39">
        <f>IF('計算A'!IO22=0,"",INDEX('設定'!$E$11:$E$20,INDEX('計算A'!$D$2:$II$2,'計算A'!IO22)))</f>
        <v/>
      </c>
      <c r="M17" s="37">
        <f>IF('計算A'!IO22=0,"",INDEX('設定'!$I$11:$I$34,INDEX('計算A'!$D$3:$II$3,'計算A'!IO22)))</f>
        <v/>
      </c>
      <c r="N17" s="39">
        <f>IF(G17="","",IF(COUNTIF('調整・決定'!$C$6:$L$29,G17)&gt;1,"2か所以上に入っています",IF('計算A'!IO22&gt;0,IF(INDEX('計算A'!$D$4:$II$4,'計算A'!IO22)=0,"使えない枠に入っています",IF(INDEX('計算A'!$D$22:$II$22,'計算A'!IO22)=1,"×の枠に入っています",IF(AND(F17&lt;&gt;"",INDEX('計算A'!$D$106:$II$106,'計算A'!IO22)=1,INDEX('計算A'!$D$109:$II$109,'計算A'!IO22+1)=1),IF(F17="必ず空けたい","後ろの枠が空いていません","（出来れば）後ろが空いていません"),""))),IF(OR(H17="入力済み",H17="×なし"),"未決定",""))))</f>
        <v/>
      </c>
      <c r="O17" s="39">
        <f>IF('計算A'!IK22=0,IF('計算A'!IL22=1,"入る枠がありません",""),INDEX('計算A'!$D$8:$II$8,'計算A'!IK22))</f>
        <v/>
      </c>
      <c r="P17" s="50">
        <f>HYPERLINK("#'×入力'!B341","×入力へ")</f>
        <v/>
      </c>
    </row>
    <row r="18" ht="19" customHeight="1">
      <c r="A18" s="48" t="n"/>
      <c r="B18" s="49" t="n"/>
      <c r="C18" s="48" t="n"/>
      <c r="D18" s="49" t="n"/>
      <c r="E18" s="48" t="n"/>
      <c r="F18" s="48" t="n"/>
      <c r="G18" s="39">
        <f>IF(B18="","",IF(A18="","",A18&amp;" ")&amp;B18)</f>
        <v/>
      </c>
      <c r="H18" s="37">
        <f>IF(B18="","",IF('×入力'!F369="未提出","未提出",IF(I18&gt;0,"入力済み",IF('×入力'!F369="×なし（どこでもOK）","×なし","未入力"))))</f>
        <v/>
      </c>
      <c r="I18" s="37">
        <f>IF(B18="","",'計算A'!IN23)</f>
        <v/>
      </c>
      <c r="J18" s="37">
        <f>IF(OR(H18="入力済み",H18="×なし"),'計算A'!IM23,"")</f>
        <v/>
      </c>
      <c r="K18" s="37">
        <f>IF('計算A'!C23=1,COUNTIFS('計算A'!$C$10:$C$54,1,'計算A'!$IM$10:$IM$54,"&lt;"&amp;'計算A'!IM23)+1,"")</f>
        <v/>
      </c>
      <c r="L18" s="39">
        <f>IF('計算A'!IO23=0,"",INDEX('設定'!$E$11:$E$20,INDEX('計算A'!$D$2:$II$2,'計算A'!IO23)))</f>
        <v/>
      </c>
      <c r="M18" s="37">
        <f>IF('計算A'!IO23=0,"",INDEX('設定'!$I$11:$I$34,INDEX('計算A'!$D$3:$II$3,'計算A'!IO23)))</f>
        <v/>
      </c>
      <c r="N18" s="39">
        <f>IF(G18="","",IF(COUNTIF('調整・決定'!$C$6:$L$29,G18)&gt;1,"2か所以上に入っています",IF('計算A'!IO23&gt;0,IF(INDEX('計算A'!$D$4:$II$4,'計算A'!IO23)=0,"使えない枠に入っています",IF(INDEX('計算A'!$D$23:$II$23,'計算A'!IO23)=1,"×の枠に入っています",IF(AND(F18&lt;&gt;"",INDEX('計算A'!$D$106:$II$106,'計算A'!IO23)=1,INDEX('計算A'!$D$109:$II$109,'計算A'!IO23+1)=1),IF(F18="必ず空けたい","後ろの枠が空いていません","（出来れば）後ろが空いていません"),""))),IF(OR(H18="入力済み",H18="×なし"),"未決定",""))))</f>
        <v/>
      </c>
      <c r="O18" s="39">
        <f>IF('計算A'!IK23=0,IF('計算A'!IL23=1,"入る枠がありません",""),INDEX('計算A'!$D$8:$II$8,'計算A'!IK23))</f>
        <v/>
      </c>
      <c r="P18" s="50">
        <f>HYPERLINK("#'×入力'!B369","×入力へ")</f>
        <v/>
      </c>
    </row>
    <row r="19" ht="19" customHeight="1">
      <c r="A19" s="48" t="n"/>
      <c r="B19" s="49" t="n"/>
      <c r="C19" s="48" t="n"/>
      <c r="D19" s="49" t="n"/>
      <c r="E19" s="48" t="n"/>
      <c r="F19" s="48" t="n"/>
      <c r="G19" s="39">
        <f>IF(B19="","",IF(A19="","",A19&amp;" ")&amp;B19)</f>
        <v/>
      </c>
      <c r="H19" s="37">
        <f>IF(B19="","",IF('×入力'!F397="未提出","未提出",IF(I19&gt;0,"入力済み",IF('×入力'!F397="×なし（どこでもOK）","×なし","未入力"))))</f>
        <v/>
      </c>
      <c r="I19" s="37">
        <f>IF(B19="","",'計算A'!IN24)</f>
        <v/>
      </c>
      <c r="J19" s="37">
        <f>IF(OR(H19="入力済み",H19="×なし"),'計算A'!IM24,"")</f>
        <v/>
      </c>
      <c r="K19" s="37">
        <f>IF('計算A'!C24=1,COUNTIFS('計算A'!$C$10:$C$54,1,'計算A'!$IM$10:$IM$54,"&lt;"&amp;'計算A'!IM24)+1,"")</f>
        <v/>
      </c>
      <c r="L19" s="39">
        <f>IF('計算A'!IO24=0,"",INDEX('設定'!$E$11:$E$20,INDEX('計算A'!$D$2:$II$2,'計算A'!IO24)))</f>
        <v/>
      </c>
      <c r="M19" s="37">
        <f>IF('計算A'!IO24=0,"",INDEX('設定'!$I$11:$I$34,INDEX('計算A'!$D$3:$II$3,'計算A'!IO24)))</f>
        <v/>
      </c>
      <c r="N19" s="39">
        <f>IF(G19="","",IF(COUNTIF('調整・決定'!$C$6:$L$29,G19)&gt;1,"2か所以上に入っています",IF('計算A'!IO24&gt;0,IF(INDEX('計算A'!$D$4:$II$4,'計算A'!IO24)=0,"使えない枠に入っています",IF(INDEX('計算A'!$D$24:$II$24,'計算A'!IO24)=1,"×の枠に入っています",IF(AND(F19&lt;&gt;"",INDEX('計算A'!$D$106:$II$106,'計算A'!IO24)=1,INDEX('計算A'!$D$109:$II$109,'計算A'!IO24+1)=1),IF(F19="必ず空けたい","後ろの枠が空いていません","（出来れば）後ろが空いていません"),""))),IF(OR(H19="入力済み",H19="×なし"),"未決定",""))))</f>
        <v/>
      </c>
      <c r="O19" s="39">
        <f>IF('計算A'!IK24=0,IF('計算A'!IL24=1,"入る枠がありません",""),INDEX('計算A'!$D$8:$II$8,'計算A'!IK24))</f>
        <v/>
      </c>
      <c r="P19" s="50">
        <f>HYPERLINK("#'×入力'!B397","×入力へ")</f>
        <v/>
      </c>
    </row>
    <row r="20" ht="19" customHeight="1">
      <c r="A20" s="48" t="n"/>
      <c r="B20" s="49" t="n"/>
      <c r="C20" s="48" t="n"/>
      <c r="D20" s="49" t="n"/>
      <c r="E20" s="48" t="n"/>
      <c r="F20" s="48" t="n"/>
      <c r="G20" s="39">
        <f>IF(B20="","",IF(A20="","",A20&amp;" ")&amp;B20)</f>
        <v/>
      </c>
      <c r="H20" s="37">
        <f>IF(B20="","",IF('×入力'!F425="未提出","未提出",IF(I20&gt;0,"入力済み",IF('×入力'!F425="×なし（どこでもOK）","×なし","未入力"))))</f>
        <v/>
      </c>
      <c r="I20" s="37">
        <f>IF(B20="","",'計算A'!IN25)</f>
        <v/>
      </c>
      <c r="J20" s="37">
        <f>IF(OR(H20="入力済み",H20="×なし"),'計算A'!IM25,"")</f>
        <v/>
      </c>
      <c r="K20" s="37">
        <f>IF('計算A'!C25=1,COUNTIFS('計算A'!$C$10:$C$54,1,'計算A'!$IM$10:$IM$54,"&lt;"&amp;'計算A'!IM25)+1,"")</f>
        <v/>
      </c>
      <c r="L20" s="39">
        <f>IF('計算A'!IO25=0,"",INDEX('設定'!$E$11:$E$20,INDEX('計算A'!$D$2:$II$2,'計算A'!IO25)))</f>
        <v/>
      </c>
      <c r="M20" s="37">
        <f>IF('計算A'!IO25=0,"",INDEX('設定'!$I$11:$I$34,INDEX('計算A'!$D$3:$II$3,'計算A'!IO25)))</f>
        <v/>
      </c>
      <c r="N20" s="39">
        <f>IF(G20="","",IF(COUNTIF('調整・決定'!$C$6:$L$29,G20)&gt;1,"2か所以上に入っています",IF('計算A'!IO25&gt;0,IF(INDEX('計算A'!$D$4:$II$4,'計算A'!IO25)=0,"使えない枠に入っています",IF(INDEX('計算A'!$D$25:$II$25,'計算A'!IO25)=1,"×の枠に入っています",IF(AND(F20&lt;&gt;"",INDEX('計算A'!$D$106:$II$106,'計算A'!IO25)=1,INDEX('計算A'!$D$109:$II$109,'計算A'!IO25+1)=1),IF(F20="必ず空けたい","後ろの枠が空いていません","（出来れば）後ろが空いていません"),""))),IF(OR(H20="入力済み",H20="×なし"),"未決定",""))))</f>
        <v/>
      </c>
      <c r="O20" s="39">
        <f>IF('計算A'!IK25=0,IF('計算A'!IL25=1,"入る枠がありません",""),INDEX('計算A'!$D$8:$II$8,'計算A'!IK25))</f>
        <v/>
      </c>
      <c r="P20" s="50">
        <f>HYPERLINK("#'×入力'!B425","×入力へ")</f>
        <v/>
      </c>
    </row>
    <row r="21" ht="19" customHeight="1">
      <c r="A21" s="48" t="n"/>
      <c r="B21" s="49" t="n"/>
      <c r="C21" s="48" t="n"/>
      <c r="D21" s="49" t="n"/>
      <c r="E21" s="48" t="n"/>
      <c r="F21" s="48" t="n"/>
      <c r="G21" s="39">
        <f>IF(B21="","",IF(A21="","",A21&amp;" ")&amp;B21)</f>
        <v/>
      </c>
      <c r="H21" s="37">
        <f>IF(B21="","",IF('×入力'!F453="未提出","未提出",IF(I21&gt;0,"入力済み",IF('×入力'!F453="×なし（どこでもOK）","×なし","未入力"))))</f>
        <v/>
      </c>
      <c r="I21" s="37">
        <f>IF(B21="","",'計算A'!IN26)</f>
        <v/>
      </c>
      <c r="J21" s="37">
        <f>IF(OR(H21="入力済み",H21="×なし"),'計算A'!IM26,"")</f>
        <v/>
      </c>
      <c r="K21" s="37">
        <f>IF('計算A'!C26=1,COUNTIFS('計算A'!$C$10:$C$54,1,'計算A'!$IM$10:$IM$54,"&lt;"&amp;'計算A'!IM26)+1,"")</f>
        <v/>
      </c>
      <c r="L21" s="39">
        <f>IF('計算A'!IO26=0,"",INDEX('設定'!$E$11:$E$20,INDEX('計算A'!$D$2:$II$2,'計算A'!IO26)))</f>
        <v/>
      </c>
      <c r="M21" s="37">
        <f>IF('計算A'!IO26=0,"",INDEX('設定'!$I$11:$I$34,INDEX('計算A'!$D$3:$II$3,'計算A'!IO26)))</f>
        <v/>
      </c>
      <c r="N21" s="39">
        <f>IF(G21="","",IF(COUNTIF('調整・決定'!$C$6:$L$29,G21)&gt;1,"2か所以上に入っています",IF('計算A'!IO26&gt;0,IF(INDEX('計算A'!$D$4:$II$4,'計算A'!IO26)=0,"使えない枠に入っています",IF(INDEX('計算A'!$D$26:$II$26,'計算A'!IO26)=1,"×の枠に入っています",IF(AND(F21&lt;&gt;"",INDEX('計算A'!$D$106:$II$106,'計算A'!IO26)=1,INDEX('計算A'!$D$109:$II$109,'計算A'!IO26+1)=1),IF(F21="必ず空けたい","後ろの枠が空いていません","（出来れば）後ろが空いていません"),""))),IF(OR(H21="入力済み",H21="×なし"),"未決定",""))))</f>
        <v/>
      </c>
      <c r="O21" s="39">
        <f>IF('計算A'!IK26=0,IF('計算A'!IL26=1,"入る枠がありません",""),INDEX('計算A'!$D$8:$II$8,'計算A'!IK26))</f>
        <v/>
      </c>
      <c r="P21" s="50">
        <f>HYPERLINK("#'×入力'!B453","×入力へ")</f>
        <v/>
      </c>
    </row>
    <row r="22" ht="19" customHeight="1">
      <c r="A22" s="48" t="n"/>
      <c r="B22" s="49" t="n"/>
      <c r="C22" s="48" t="n"/>
      <c r="D22" s="49" t="n"/>
      <c r="E22" s="48" t="n"/>
      <c r="F22" s="48" t="n"/>
      <c r="G22" s="39">
        <f>IF(B22="","",IF(A22="","",A22&amp;" ")&amp;B22)</f>
        <v/>
      </c>
      <c r="H22" s="37">
        <f>IF(B22="","",IF('×入力'!F481="未提出","未提出",IF(I22&gt;0,"入力済み",IF('×入力'!F481="×なし（どこでもOK）","×なし","未入力"))))</f>
        <v/>
      </c>
      <c r="I22" s="37">
        <f>IF(B22="","",'計算A'!IN27)</f>
        <v/>
      </c>
      <c r="J22" s="37">
        <f>IF(OR(H22="入力済み",H22="×なし"),'計算A'!IM27,"")</f>
        <v/>
      </c>
      <c r="K22" s="37">
        <f>IF('計算A'!C27=1,COUNTIFS('計算A'!$C$10:$C$54,1,'計算A'!$IM$10:$IM$54,"&lt;"&amp;'計算A'!IM27)+1,"")</f>
        <v/>
      </c>
      <c r="L22" s="39">
        <f>IF('計算A'!IO27=0,"",INDEX('設定'!$E$11:$E$20,INDEX('計算A'!$D$2:$II$2,'計算A'!IO27)))</f>
        <v/>
      </c>
      <c r="M22" s="37">
        <f>IF('計算A'!IO27=0,"",INDEX('設定'!$I$11:$I$34,INDEX('計算A'!$D$3:$II$3,'計算A'!IO27)))</f>
        <v/>
      </c>
      <c r="N22" s="39">
        <f>IF(G22="","",IF(COUNTIF('調整・決定'!$C$6:$L$29,G22)&gt;1,"2か所以上に入っています",IF('計算A'!IO27&gt;0,IF(INDEX('計算A'!$D$4:$II$4,'計算A'!IO27)=0,"使えない枠に入っています",IF(INDEX('計算A'!$D$27:$II$27,'計算A'!IO27)=1,"×の枠に入っています",IF(AND(F22&lt;&gt;"",INDEX('計算A'!$D$106:$II$106,'計算A'!IO27)=1,INDEX('計算A'!$D$109:$II$109,'計算A'!IO27+1)=1),IF(F22="必ず空けたい","後ろの枠が空いていません","（出来れば）後ろが空いていません"),""))),IF(OR(H22="入力済み",H22="×なし"),"未決定",""))))</f>
        <v/>
      </c>
      <c r="O22" s="39">
        <f>IF('計算A'!IK27=0,IF('計算A'!IL27=1,"入る枠がありません",""),INDEX('計算A'!$D$8:$II$8,'計算A'!IK27))</f>
        <v/>
      </c>
      <c r="P22" s="50">
        <f>HYPERLINK("#'×入力'!B481","×入力へ")</f>
        <v/>
      </c>
    </row>
    <row r="23" ht="19" customHeight="1">
      <c r="A23" s="48" t="n"/>
      <c r="B23" s="49" t="n"/>
      <c r="C23" s="48" t="n"/>
      <c r="D23" s="49" t="n"/>
      <c r="E23" s="48" t="n"/>
      <c r="F23" s="48" t="n"/>
      <c r="G23" s="39">
        <f>IF(B23="","",IF(A23="","",A23&amp;" ")&amp;B23)</f>
        <v/>
      </c>
      <c r="H23" s="37">
        <f>IF(B23="","",IF('×入力'!F509="未提出","未提出",IF(I23&gt;0,"入力済み",IF('×入力'!F509="×なし（どこでもOK）","×なし","未入力"))))</f>
        <v/>
      </c>
      <c r="I23" s="37">
        <f>IF(B23="","",'計算A'!IN28)</f>
        <v/>
      </c>
      <c r="J23" s="37">
        <f>IF(OR(H23="入力済み",H23="×なし"),'計算A'!IM28,"")</f>
        <v/>
      </c>
      <c r="K23" s="37">
        <f>IF('計算A'!C28=1,COUNTIFS('計算A'!$C$10:$C$54,1,'計算A'!$IM$10:$IM$54,"&lt;"&amp;'計算A'!IM28)+1,"")</f>
        <v/>
      </c>
      <c r="L23" s="39">
        <f>IF('計算A'!IO28=0,"",INDEX('設定'!$E$11:$E$20,INDEX('計算A'!$D$2:$II$2,'計算A'!IO28)))</f>
        <v/>
      </c>
      <c r="M23" s="37">
        <f>IF('計算A'!IO28=0,"",INDEX('設定'!$I$11:$I$34,INDEX('計算A'!$D$3:$II$3,'計算A'!IO28)))</f>
        <v/>
      </c>
      <c r="N23" s="39">
        <f>IF(G23="","",IF(COUNTIF('調整・決定'!$C$6:$L$29,G23)&gt;1,"2か所以上に入っています",IF('計算A'!IO28&gt;0,IF(INDEX('計算A'!$D$4:$II$4,'計算A'!IO28)=0,"使えない枠に入っています",IF(INDEX('計算A'!$D$28:$II$28,'計算A'!IO28)=1,"×の枠に入っています",IF(AND(F23&lt;&gt;"",INDEX('計算A'!$D$106:$II$106,'計算A'!IO28)=1,INDEX('計算A'!$D$109:$II$109,'計算A'!IO28+1)=1),IF(F23="必ず空けたい","後ろの枠が空いていません","（出来れば）後ろが空いていません"),""))),IF(OR(H23="入力済み",H23="×なし"),"未決定",""))))</f>
        <v/>
      </c>
      <c r="O23" s="39">
        <f>IF('計算A'!IK28=0,IF('計算A'!IL28=1,"入る枠がありません",""),INDEX('計算A'!$D$8:$II$8,'計算A'!IK28))</f>
        <v/>
      </c>
      <c r="P23" s="50">
        <f>HYPERLINK("#'×入力'!B509","×入力へ")</f>
        <v/>
      </c>
    </row>
    <row r="24" ht="19" customHeight="1">
      <c r="A24" s="48" t="n"/>
      <c r="B24" s="49" t="n"/>
      <c r="C24" s="48" t="n"/>
      <c r="D24" s="49" t="n"/>
      <c r="E24" s="48" t="n"/>
      <c r="F24" s="48" t="n"/>
      <c r="G24" s="39">
        <f>IF(B24="","",IF(A24="","",A24&amp;" ")&amp;B24)</f>
        <v/>
      </c>
      <c r="H24" s="37">
        <f>IF(B24="","",IF('×入力'!F537="未提出","未提出",IF(I24&gt;0,"入力済み",IF('×入力'!F537="×なし（どこでもOK）","×なし","未入力"))))</f>
        <v/>
      </c>
      <c r="I24" s="37">
        <f>IF(B24="","",'計算A'!IN29)</f>
        <v/>
      </c>
      <c r="J24" s="37">
        <f>IF(OR(H24="入力済み",H24="×なし"),'計算A'!IM29,"")</f>
        <v/>
      </c>
      <c r="K24" s="37">
        <f>IF('計算A'!C29=1,COUNTIFS('計算A'!$C$10:$C$54,1,'計算A'!$IM$10:$IM$54,"&lt;"&amp;'計算A'!IM29)+1,"")</f>
        <v/>
      </c>
      <c r="L24" s="39">
        <f>IF('計算A'!IO29=0,"",INDEX('設定'!$E$11:$E$20,INDEX('計算A'!$D$2:$II$2,'計算A'!IO29)))</f>
        <v/>
      </c>
      <c r="M24" s="37">
        <f>IF('計算A'!IO29=0,"",INDEX('設定'!$I$11:$I$34,INDEX('計算A'!$D$3:$II$3,'計算A'!IO29)))</f>
        <v/>
      </c>
      <c r="N24" s="39">
        <f>IF(G24="","",IF(COUNTIF('調整・決定'!$C$6:$L$29,G24)&gt;1,"2か所以上に入っています",IF('計算A'!IO29&gt;0,IF(INDEX('計算A'!$D$4:$II$4,'計算A'!IO29)=0,"使えない枠に入っています",IF(INDEX('計算A'!$D$29:$II$29,'計算A'!IO29)=1,"×の枠に入っています",IF(AND(F24&lt;&gt;"",INDEX('計算A'!$D$106:$II$106,'計算A'!IO29)=1,INDEX('計算A'!$D$109:$II$109,'計算A'!IO29+1)=1),IF(F24="必ず空けたい","後ろの枠が空いていません","（出来れば）後ろが空いていません"),""))),IF(OR(H24="入力済み",H24="×なし"),"未決定",""))))</f>
        <v/>
      </c>
      <c r="O24" s="39">
        <f>IF('計算A'!IK29=0,IF('計算A'!IL29=1,"入る枠がありません",""),INDEX('計算A'!$D$8:$II$8,'計算A'!IK29))</f>
        <v/>
      </c>
      <c r="P24" s="50">
        <f>HYPERLINK("#'×入力'!B537","×入力へ")</f>
        <v/>
      </c>
    </row>
    <row r="25" ht="19" customHeight="1">
      <c r="A25" s="48" t="n"/>
      <c r="B25" s="49" t="n"/>
      <c r="C25" s="48" t="n"/>
      <c r="D25" s="49" t="n"/>
      <c r="E25" s="48" t="n"/>
      <c r="F25" s="48" t="n"/>
      <c r="G25" s="39">
        <f>IF(B25="","",IF(A25="","",A25&amp;" ")&amp;B25)</f>
        <v/>
      </c>
      <c r="H25" s="37">
        <f>IF(B25="","",IF('×入力'!F565="未提出","未提出",IF(I25&gt;0,"入力済み",IF('×入力'!F565="×なし（どこでもOK）","×なし","未入力"))))</f>
        <v/>
      </c>
      <c r="I25" s="37">
        <f>IF(B25="","",'計算A'!IN30)</f>
        <v/>
      </c>
      <c r="J25" s="37">
        <f>IF(OR(H25="入力済み",H25="×なし"),'計算A'!IM30,"")</f>
        <v/>
      </c>
      <c r="K25" s="37">
        <f>IF('計算A'!C30=1,COUNTIFS('計算A'!$C$10:$C$54,1,'計算A'!$IM$10:$IM$54,"&lt;"&amp;'計算A'!IM30)+1,"")</f>
        <v/>
      </c>
      <c r="L25" s="39">
        <f>IF('計算A'!IO30=0,"",INDEX('設定'!$E$11:$E$20,INDEX('計算A'!$D$2:$II$2,'計算A'!IO30)))</f>
        <v/>
      </c>
      <c r="M25" s="37">
        <f>IF('計算A'!IO30=0,"",INDEX('設定'!$I$11:$I$34,INDEX('計算A'!$D$3:$II$3,'計算A'!IO30)))</f>
        <v/>
      </c>
      <c r="N25" s="39">
        <f>IF(G25="","",IF(COUNTIF('調整・決定'!$C$6:$L$29,G25)&gt;1,"2か所以上に入っています",IF('計算A'!IO30&gt;0,IF(INDEX('計算A'!$D$4:$II$4,'計算A'!IO30)=0,"使えない枠に入っています",IF(INDEX('計算A'!$D$30:$II$30,'計算A'!IO30)=1,"×の枠に入っています",IF(AND(F25&lt;&gt;"",INDEX('計算A'!$D$106:$II$106,'計算A'!IO30)=1,INDEX('計算A'!$D$109:$II$109,'計算A'!IO30+1)=1),IF(F25="必ず空けたい","後ろの枠が空いていません","（出来れば）後ろが空いていません"),""))),IF(OR(H25="入力済み",H25="×なし"),"未決定",""))))</f>
        <v/>
      </c>
      <c r="O25" s="39">
        <f>IF('計算A'!IK30=0,IF('計算A'!IL30=1,"入る枠がありません",""),INDEX('計算A'!$D$8:$II$8,'計算A'!IK30))</f>
        <v/>
      </c>
      <c r="P25" s="50">
        <f>HYPERLINK("#'×入力'!B565","×入力へ")</f>
        <v/>
      </c>
    </row>
    <row r="26" ht="19" customHeight="1">
      <c r="A26" s="48" t="n"/>
      <c r="B26" s="49" t="n"/>
      <c r="C26" s="48" t="n"/>
      <c r="D26" s="49" t="n"/>
      <c r="E26" s="48" t="n"/>
      <c r="F26" s="48" t="n"/>
      <c r="G26" s="39">
        <f>IF(B26="","",IF(A26="","",A26&amp;" ")&amp;B26)</f>
        <v/>
      </c>
      <c r="H26" s="37">
        <f>IF(B26="","",IF('×入力'!F593="未提出","未提出",IF(I26&gt;0,"入力済み",IF('×入力'!F593="×なし（どこでもOK）","×なし","未入力"))))</f>
        <v/>
      </c>
      <c r="I26" s="37">
        <f>IF(B26="","",'計算A'!IN31)</f>
        <v/>
      </c>
      <c r="J26" s="37">
        <f>IF(OR(H26="入力済み",H26="×なし"),'計算A'!IM31,"")</f>
        <v/>
      </c>
      <c r="K26" s="37">
        <f>IF('計算A'!C31=1,COUNTIFS('計算A'!$C$10:$C$54,1,'計算A'!$IM$10:$IM$54,"&lt;"&amp;'計算A'!IM31)+1,"")</f>
        <v/>
      </c>
      <c r="L26" s="39">
        <f>IF('計算A'!IO31=0,"",INDEX('設定'!$E$11:$E$20,INDEX('計算A'!$D$2:$II$2,'計算A'!IO31)))</f>
        <v/>
      </c>
      <c r="M26" s="37">
        <f>IF('計算A'!IO31=0,"",INDEX('設定'!$I$11:$I$34,INDEX('計算A'!$D$3:$II$3,'計算A'!IO31)))</f>
        <v/>
      </c>
      <c r="N26" s="39">
        <f>IF(G26="","",IF(COUNTIF('調整・決定'!$C$6:$L$29,G26)&gt;1,"2か所以上に入っています",IF('計算A'!IO31&gt;0,IF(INDEX('計算A'!$D$4:$II$4,'計算A'!IO31)=0,"使えない枠に入っています",IF(INDEX('計算A'!$D$31:$II$31,'計算A'!IO31)=1,"×の枠に入っています",IF(AND(F26&lt;&gt;"",INDEX('計算A'!$D$106:$II$106,'計算A'!IO31)=1,INDEX('計算A'!$D$109:$II$109,'計算A'!IO31+1)=1),IF(F26="必ず空けたい","後ろの枠が空いていません","（出来れば）後ろが空いていません"),""))),IF(OR(H26="入力済み",H26="×なし"),"未決定",""))))</f>
        <v/>
      </c>
      <c r="O26" s="39">
        <f>IF('計算A'!IK31=0,IF('計算A'!IL31=1,"入る枠がありません",""),INDEX('計算A'!$D$8:$II$8,'計算A'!IK31))</f>
        <v/>
      </c>
      <c r="P26" s="50">
        <f>HYPERLINK("#'×入力'!B593","×入力へ")</f>
        <v/>
      </c>
    </row>
    <row r="27" ht="19" customHeight="1">
      <c r="A27" s="48" t="n"/>
      <c r="B27" s="49" t="n"/>
      <c r="C27" s="48" t="n"/>
      <c r="D27" s="49" t="n"/>
      <c r="E27" s="48" t="n"/>
      <c r="F27" s="48" t="n"/>
      <c r="G27" s="39">
        <f>IF(B27="","",IF(A27="","",A27&amp;" ")&amp;B27)</f>
        <v/>
      </c>
      <c r="H27" s="37">
        <f>IF(B27="","",IF('×入力'!F621="未提出","未提出",IF(I27&gt;0,"入力済み",IF('×入力'!F621="×なし（どこでもOK）","×なし","未入力"))))</f>
        <v/>
      </c>
      <c r="I27" s="37">
        <f>IF(B27="","",'計算A'!IN32)</f>
        <v/>
      </c>
      <c r="J27" s="37">
        <f>IF(OR(H27="入力済み",H27="×なし"),'計算A'!IM32,"")</f>
        <v/>
      </c>
      <c r="K27" s="37">
        <f>IF('計算A'!C32=1,COUNTIFS('計算A'!$C$10:$C$54,1,'計算A'!$IM$10:$IM$54,"&lt;"&amp;'計算A'!IM32)+1,"")</f>
        <v/>
      </c>
      <c r="L27" s="39">
        <f>IF('計算A'!IO32=0,"",INDEX('設定'!$E$11:$E$20,INDEX('計算A'!$D$2:$II$2,'計算A'!IO32)))</f>
        <v/>
      </c>
      <c r="M27" s="37">
        <f>IF('計算A'!IO32=0,"",INDEX('設定'!$I$11:$I$34,INDEX('計算A'!$D$3:$II$3,'計算A'!IO32)))</f>
        <v/>
      </c>
      <c r="N27" s="39">
        <f>IF(G27="","",IF(COUNTIF('調整・決定'!$C$6:$L$29,G27)&gt;1,"2か所以上に入っています",IF('計算A'!IO32&gt;0,IF(INDEX('計算A'!$D$4:$II$4,'計算A'!IO32)=0,"使えない枠に入っています",IF(INDEX('計算A'!$D$32:$II$32,'計算A'!IO32)=1,"×の枠に入っています",IF(AND(F27&lt;&gt;"",INDEX('計算A'!$D$106:$II$106,'計算A'!IO32)=1,INDEX('計算A'!$D$109:$II$109,'計算A'!IO32+1)=1),IF(F27="必ず空けたい","後ろの枠が空いていません","（出来れば）後ろが空いていません"),""))),IF(OR(H27="入力済み",H27="×なし"),"未決定",""))))</f>
        <v/>
      </c>
      <c r="O27" s="39">
        <f>IF('計算A'!IK32=0,IF('計算A'!IL32=1,"入る枠がありません",""),INDEX('計算A'!$D$8:$II$8,'計算A'!IK32))</f>
        <v/>
      </c>
      <c r="P27" s="50">
        <f>HYPERLINK("#'×入力'!B621","×入力へ")</f>
        <v/>
      </c>
    </row>
    <row r="28" ht="19" customHeight="1">
      <c r="A28" s="48" t="n"/>
      <c r="B28" s="49" t="n"/>
      <c r="C28" s="48" t="n"/>
      <c r="D28" s="49" t="n"/>
      <c r="E28" s="48" t="n"/>
      <c r="F28" s="48" t="n"/>
      <c r="G28" s="39">
        <f>IF(B28="","",IF(A28="","",A28&amp;" ")&amp;B28)</f>
        <v/>
      </c>
      <c r="H28" s="37">
        <f>IF(B28="","",IF('×入力'!F649="未提出","未提出",IF(I28&gt;0,"入力済み",IF('×入力'!F649="×なし（どこでもOK）","×なし","未入力"))))</f>
        <v/>
      </c>
      <c r="I28" s="37">
        <f>IF(B28="","",'計算A'!IN33)</f>
        <v/>
      </c>
      <c r="J28" s="37">
        <f>IF(OR(H28="入力済み",H28="×なし"),'計算A'!IM33,"")</f>
        <v/>
      </c>
      <c r="K28" s="37">
        <f>IF('計算A'!C33=1,COUNTIFS('計算A'!$C$10:$C$54,1,'計算A'!$IM$10:$IM$54,"&lt;"&amp;'計算A'!IM33)+1,"")</f>
        <v/>
      </c>
      <c r="L28" s="39">
        <f>IF('計算A'!IO33=0,"",INDEX('設定'!$E$11:$E$20,INDEX('計算A'!$D$2:$II$2,'計算A'!IO33)))</f>
        <v/>
      </c>
      <c r="M28" s="37">
        <f>IF('計算A'!IO33=0,"",INDEX('設定'!$I$11:$I$34,INDEX('計算A'!$D$3:$II$3,'計算A'!IO33)))</f>
        <v/>
      </c>
      <c r="N28" s="39">
        <f>IF(G28="","",IF(COUNTIF('調整・決定'!$C$6:$L$29,G28)&gt;1,"2か所以上に入っています",IF('計算A'!IO33&gt;0,IF(INDEX('計算A'!$D$4:$II$4,'計算A'!IO33)=0,"使えない枠に入っています",IF(INDEX('計算A'!$D$33:$II$33,'計算A'!IO33)=1,"×の枠に入っています",IF(AND(F28&lt;&gt;"",INDEX('計算A'!$D$106:$II$106,'計算A'!IO33)=1,INDEX('計算A'!$D$109:$II$109,'計算A'!IO33+1)=1),IF(F28="必ず空けたい","後ろの枠が空いていません","（出来れば）後ろが空いていません"),""))),IF(OR(H28="入力済み",H28="×なし"),"未決定",""))))</f>
        <v/>
      </c>
      <c r="O28" s="39">
        <f>IF('計算A'!IK33=0,IF('計算A'!IL33=1,"入る枠がありません",""),INDEX('計算A'!$D$8:$II$8,'計算A'!IK33))</f>
        <v/>
      </c>
      <c r="P28" s="50">
        <f>HYPERLINK("#'×入力'!B649","×入力へ")</f>
        <v/>
      </c>
    </row>
    <row r="29" ht="19" customHeight="1">
      <c r="A29" s="48" t="n"/>
      <c r="B29" s="49" t="n"/>
      <c r="C29" s="48" t="n"/>
      <c r="D29" s="49" t="n"/>
      <c r="E29" s="48" t="n"/>
      <c r="F29" s="48" t="n"/>
      <c r="G29" s="39">
        <f>IF(B29="","",IF(A29="","",A29&amp;" ")&amp;B29)</f>
        <v/>
      </c>
      <c r="H29" s="37">
        <f>IF(B29="","",IF('×入力'!F677="未提出","未提出",IF(I29&gt;0,"入力済み",IF('×入力'!F677="×なし（どこでもOK）","×なし","未入力"))))</f>
        <v/>
      </c>
      <c r="I29" s="37">
        <f>IF(B29="","",'計算A'!IN34)</f>
        <v/>
      </c>
      <c r="J29" s="37">
        <f>IF(OR(H29="入力済み",H29="×なし"),'計算A'!IM34,"")</f>
        <v/>
      </c>
      <c r="K29" s="37">
        <f>IF('計算A'!C34=1,COUNTIFS('計算A'!$C$10:$C$54,1,'計算A'!$IM$10:$IM$54,"&lt;"&amp;'計算A'!IM34)+1,"")</f>
        <v/>
      </c>
      <c r="L29" s="39">
        <f>IF('計算A'!IO34=0,"",INDEX('設定'!$E$11:$E$20,INDEX('計算A'!$D$2:$II$2,'計算A'!IO34)))</f>
        <v/>
      </c>
      <c r="M29" s="37">
        <f>IF('計算A'!IO34=0,"",INDEX('設定'!$I$11:$I$34,INDEX('計算A'!$D$3:$II$3,'計算A'!IO34)))</f>
        <v/>
      </c>
      <c r="N29" s="39">
        <f>IF(G29="","",IF(COUNTIF('調整・決定'!$C$6:$L$29,G29)&gt;1,"2か所以上に入っています",IF('計算A'!IO34&gt;0,IF(INDEX('計算A'!$D$4:$II$4,'計算A'!IO34)=0,"使えない枠に入っています",IF(INDEX('計算A'!$D$34:$II$34,'計算A'!IO34)=1,"×の枠に入っています",IF(AND(F29&lt;&gt;"",INDEX('計算A'!$D$106:$II$106,'計算A'!IO34)=1,INDEX('計算A'!$D$109:$II$109,'計算A'!IO34+1)=1),IF(F29="必ず空けたい","後ろの枠が空いていません","（出来れば）後ろが空いていません"),""))),IF(OR(H29="入力済み",H29="×なし"),"未決定",""))))</f>
        <v/>
      </c>
      <c r="O29" s="39">
        <f>IF('計算A'!IK34=0,IF('計算A'!IL34=1,"入る枠がありません",""),INDEX('計算A'!$D$8:$II$8,'計算A'!IK34))</f>
        <v/>
      </c>
      <c r="P29" s="50">
        <f>HYPERLINK("#'×入力'!B677","×入力へ")</f>
        <v/>
      </c>
    </row>
    <row r="30" ht="19" customHeight="1">
      <c r="A30" s="48" t="n"/>
      <c r="B30" s="49" t="n"/>
      <c r="C30" s="48" t="n"/>
      <c r="D30" s="49" t="n"/>
      <c r="E30" s="48" t="n"/>
      <c r="F30" s="48" t="n"/>
      <c r="G30" s="39">
        <f>IF(B30="","",IF(A30="","",A30&amp;" ")&amp;B30)</f>
        <v/>
      </c>
      <c r="H30" s="37">
        <f>IF(B30="","",IF('×入力'!F705="未提出","未提出",IF(I30&gt;0,"入力済み",IF('×入力'!F705="×なし（どこでもOK）","×なし","未入力"))))</f>
        <v/>
      </c>
      <c r="I30" s="37">
        <f>IF(B30="","",'計算A'!IN35)</f>
        <v/>
      </c>
      <c r="J30" s="37">
        <f>IF(OR(H30="入力済み",H30="×なし"),'計算A'!IM35,"")</f>
        <v/>
      </c>
      <c r="K30" s="37">
        <f>IF('計算A'!C35=1,COUNTIFS('計算A'!$C$10:$C$54,1,'計算A'!$IM$10:$IM$54,"&lt;"&amp;'計算A'!IM35)+1,"")</f>
        <v/>
      </c>
      <c r="L30" s="39">
        <f>IF('計算A'!IO35=0,"",INDEX('設定'!$E$11:$E$20,INDEX('計算A'!$D$2:$II$2,'計算A'!IO35)))</f>
        <v/>
      </c>
      <c r="M30" s="37">
        <f>IF('計算A'!IO35=0,"",INDEX('設定'!$I$11:$I$34,INDEX('計算A'!$D$3:$II$3,'計算A'!IO35)))</f>
        <v/>
      </c>
      <c r="N30" s="39">
        <f>IF(G30="","",IF(COUNTIF('調整・決定'!$C$6:$L$29,G30)&gt;1,"2か所以上に入っています",IF('計算A'!IO35&gt;0,IF(INDEX('計算A'!$D$4:$II$4,'計算A'!IO35)=0,"使えない枠に入っています",IF(INDEX('計算A'!$D$35:$II$35,'計算A'!IO35)=1,"×の枠に入っています",IF(AND(F30&lt;&gt;"",INDEX('計算A'!$D$106:$II$106,'計算A'!IO35)=1,INDEX('計算A'!$D$109:$II$109,'計算A'!IO35+1)=1),IF(F30="必ず空けたい","後ろの枠が空いていません","（出来れば）後ろが空いていません"),""))),IF(OR(H30="入力済み",H30="×なし"),"未決定",""))))</f>
        <v/>
      </c>
      <c r="O30" s="39">
        <f>IF('計算A'!IK35=0,IF('計算A'!IL35=1,"入る枠がありません",""),INDEX('計算A'!$D$8:$II$8,'計算A'!IK35))</f>
        <v/>
      </c>
      <c r="P30" s="50">
        <f>HYPERLINK("#'×入力'!B705","×入力へ")</f>
        <v/>
      </c>
    </row>
    <row r="31" ht="19" customHeight="1">
      <c r="A31" s="48" t="n"/>
      <c r="B31" s="49" t="n"/>
      <c r="C31" s="48" t="n"/>
      <c r="D31" s="49" t="n"/>
      <c r="E31" s="48" t="n"/>
      <c r="F31" s="48" t="n"/>
      <c r="G31" s="39">
        <f>IF(B31="","",IF(A31="","",A31&amp;" ")&amp;B31)</f>
        <v/>
      </c>
      <c r="H31" s="37">
        <f>IF(B31="","",IF('×入力'!F733="未提出","未提出",IF(I31&gt;0,"入力済み",IF('×入力'!F733="×なし（どこでもOK）","×なし","未入力"))))</f>
        <v/>
      </c>
      <c r="I31" s="37">
        <f>IF(B31="","",'計算A'!IN36)</f>
        <v/>
      </c>
      <c r="J31" s="37">
        <f>IF(OR(H31="入力済み",H31="×なし"),'計算A'!IM36,"")</f>
        <v/>
      </c>
      <c r="K31" s="37">
        <f>IF('計算A'!C36=1,COUNTIFS('計算A'!$C$10:$C$54,1,'計算A'!$IM$10:$IM$54,"&lt;"&amp;'計算A'!IM36)+1,"")</f>
        <v/>
      </c>
      <c r="L31" s="39">
        <f>IF('計算A'!IO36=0,"",INDEX('設定'!$E$11:$E$20,INDEX('計算A'!$D$2:$II$2,'計算A'!IO36)))</f>
        <v/>
      </c>
      <c r="M31" s="37">
        <f>IF('計算A'!IO36=0,"",INDEX('設定'!$I$11:$I$34,INDEX('計算A'!$D$3:$II$3,'計算A'!IO36)))</f>
        <v/>
      </c>
      <c r="N31" s="39">
        <f>IF(G31="","",IF(COUNTIF('調整・決定'!$C$6:$L$29,G31)&gt;1,"2か所以上に入っています",IF('計算A'!IO36&gt;0,IF(INDEX('計算A'!$D$4:$II$4,'計算A'!IO36)=0,"使えない枠に入っています",IF(INDEX('計算A'!$D$36:$II$36,'計算A'!IO36)=1,"×の枠に入っています",IF(AND(F31&lt;&gt;"",INDEX('計算A'!$D$106:$II$106,'計算A'!IO36)=1,INDEX('計算A'!$D$109:$II$109,'計算A'!IO36+1)=1),IF(F31="必ず空けたい","後ろの枠が空いていません","（出来れば）後ろが空いていません"),""))),IF(OR(H31="入力済み",H31="×なし"),"未決定",""))))</f>
        <v/>
      </c>
      <c r="O31" s="39">
        <f>IF('計算A'!IK36=0,IF('計算A'!IL36=1,"入る枠がありません",""),INDEX('計算A'!$D$8:$II$8,'計算A'!IK36))</f>
        <v/>
      </c>
      <c r="P31" s="50">
        <f>HYPERLINK("#'×入力'!B733","×入力へ")</f>
        <v/>
      </c>
    </row>
    <row r="32" ht="19" customHeight="1">
      <c r="A32" s="48" t="n"/>
      <c r="B32" s="49" t="n"/>
      <c r="C32" s="48" t="n"/>
      <c r="D32" s="49" t="n"/>
      <c r="E32" s="48" t="n"/>
      <c r="F32" s="48" t="n"/>
      <c r="G32" s="39">
        <f>IF(B32="","",IF(A32="","",A32&amp;" ")&amp;B32)</f>
        <v/>
      </c>
      <c r="H32" s="37">
        <f>IF(B32="","",IF('×入力'!F761="未提出","未提出",IF(I32&gt;0,"入力済み",IF('×入力'!F761="×なし（どこでもOK）","×なし","未入力"))))</f>
        <v/>
      </c>
      <c r="I32" s="37">
        <f>IF(B32="","",'計算A'!IN37)</f>
        <v/>
      </c>
      <c r="J32" s="37">
        <f>IF(OR(H32="入力済み",H32="×なし"),'計算A'!IM37,"")</f>
        <v/>
      </c>
      <c r="K32" s="37">
        <f>IF('計算A'!C37=1,COUNTIFS('計算A'!$C$10:$C$54,1,'計算A'!$IM$10:$IM$54,"&lt;"&amp;'計算A'!IM37)+1,"")</f>
        <v/>
      </c>
      <c r="L32" s="39">
        <f>IF('計算A'!IO37=0,"",INDEX('設定'!$E$11:$E$20,INDEX('計算A'!$D$2:$II$2,'計算A'!IO37)))</f>
        <v/>
      </c>
      <c r="M32" s="37">
        <f>IF('計算A'!IO37=0,"",INDEX('設定'!$I$11:$I$34,INDEX('計算A'!$D$3:$II$3,'計算A'!IO37)))</f>
        <v/>
      </c>
      <c r="N32" s="39">
        <f>IF(G32="","",IF(COUNTIF('調整・決定'!$C$6:$L$29,G32)&gt;1,"2か所以上に入っています",IF('計算A'!IO37&gt;0,IF(INDEX('計算A'!$D$4:$II$4,'計算A'!IO37)=0,"使えない枠に入っています",IF(INDEX('計算A'!$D$37:$II$37,'計算A'!IO37)=1,"×の枠に入っています",IF(AND(F32&lt;&gt;"",INDEX('計算A'!$D$106:$II$106,'計算A'!IO37)=1,INDEX('計算A'!$D$109:$II$109,'計算A'!IO37+1)=1),IF(F32="必ず空けたい","後ろの枠が空いていません","（出来れば）後ろが空いていません"),""))),IF(OR(H32="入力済み",H32="×なし"),"未決定",""))))</f>
        <v/>
      </c>
      <c r="O32" s="39">
        <f>IF('計算A'!IK37=0,IF('計算A'!IL37=1,"入る枠がありません",""),INDEX('計算A'!$D$8:$II$8,'計算A'!IK37))</f>
        <v/>
      </c>
      <c r="P32" s="50">
        <f>HYPERLINK("#'×入力'!B761","×入力へ")</f>
        <v/>
      </c>
    </row>
    <row r="33" ht="19" customHeight="1">
      <c r="A33" s="48" t="n"/>
      <c r="B33" s="49" t="n"/>
      <c r="C33" s="48" t="n"/>
      <c r="D33" s="49" t="n"/>
      <c r="E33" s="48" t="n"/>
      <c r="F33" s="48" t="n"/>
      <c r="G33" s="39">
        <f>IF(B33="","",IF(A33="","",A33&amp;" ")&amp;B33)</f>
        <v/>
      </c>
      <c r="H33" s="37">
        <f>IF(B33="","",IF('×入力'!F789="未提出","未提出",IF(I33&gt;0,"入力済み",IF('×入力'!F789="×なし（どこでもOK）","×なし","未入力"))))</f>
        <v/>
      </c>
      <c r="I33" s="37">
        <f>IF(B33="","",'計算A'!IN38)</f>
        <v/>
      </c>
      <c r="J33" s="37">
        <f>IF(OR(H33="入力済み",H33="×なし"),'計算A'!IM38,"")</f>
        <v/>
      </c>
      <c r="K33" s="37">
        <f>IF('計算A'!C38=1,COUNTIFS('計算A'!$C$10:$C$54,1,'計算A'!$IM$10:$IM$54,"&lt;"&amp;'計算A'!IM38)+1,"")</f>
        <v/>
      </c>
      <c r="L33" s="39">
        <f>IF('計算A'!IO38=0,"",INDEX('設定'!$E$11:$E$20,INDEX('計算A'!$D$2:$II$2,'計算A'!IO38)))</f>
        <v/>
      </c>
      <c r="M33" s="37">
        <f>IF('計算A'!IO38=0,"",INDEX('設定'!$I$11:$I$34,INDEX('計算A'!$D$3:$II$3,'計算A'!IO38)))</f>
        <v/>
      </c>
      <c r="N33" s="39">
        <f>IF(G33="","",IF(COUNTIF('調整・決定'!$C$6:$L$29,G33)&gt;1,"2か所以上に入っています",IF('計算A'!IO38&gt;0,IF(INDEX('計算A'!$D$4:$II$4,'計算A'!IO38)=0,"使えない枠に入っています",IF(INDEX('計算A'!$D$38:$II$38,'計算A'!IO38)=1,"×の枠に入っています",IF(AND(F33&lt;&gt;"",INDEX('計算A'!$D$106:$II$106,'計算A'!IO38)=1,INDEX('計算A'!$D$109:$II$109,'計算A'!IO38+1)=1),IF(F33="必ず空けたい","後ろの枠が空いていません","（出来れば）後ろが空いていません"),""))),IF(OR(H33="入力済み",H33="×なし"),"未決定",""))))</f>
        <v/>
      </c>
      <c r="O33" s="39">
        <f>IF('計算A'!IK38=0,IF('計算A'!IL38=1,"入る枠がありません",""),INDEX('計算A'!$D$8:$II$8,'計算A'!IK38))</f>
        <v/>
      </c>
      <c r="P33" s="50">
        <f>HYPERLINK("#'×入力'!B789","×入力へ")</f>
        <v/>
      </c>
    </row>
    <row r="34" ht="19" customHeight="1">
      <c r="A34" s="48" t="n"/>
      <c r="B34" s="49" t="n"/>
      <c r="C34" s="48" t="n"/>
      <c r="D34" s="49" t="n"/>
      <c r="E34" s="48" t="n"/>
      <c r="F34" s="48" t="n"/>
      <c r="G34" s="39">
        <f>IF(B34="","",IF(A34="","",A34&amp;" ")&amp;B34)</f>
        <v/>
      </c>
      <c r="H34" s="37">
        <f>IF(B34="","",IF('×入力'!F817="未提出","未提出",IF(I34&gt;0,"入力済み",IF('×入力'!F817="×なし（どこでもOK）","×なし","未入力"))))</f>
        <v/>
      </c>
      <c r="I34" s="37">
        <f>IF(B34="","",'計算A'!IN39)</f>
        <v/>
      </c>
      <c r="J34" s="37">
        <f>IF(OR(H34="入力済み",H34="×なし"),'計算A'!IM39,"")</f>
        <v/>
      </c>
      <c r="K34" s="37">
        <f>IF('計算A'!C39=1,COUNTIFS('計算A'!$C$10:$C$54,1,'計算A'!$IM$10:$IM$54,"&lt;"&amp;'計算A'!IM39)+1,"")</f>
        <v/>
      </c>
      <c r="L34" s="39">
        <f>IF('計算A'!IO39=0,"",INDEX('設定'!$E$11:$E$20,INDEX('計算A'!$D$2:$II$2,'計算A'!IO39)))</f>
        <v/>
      </c>
      <c r="M34" s="37">
        <f>IF('計算A'!IO39=0,"",INDEX('設定'!$I$11:$I$34,INDEX('計算A'!$D$3:$II$3,'計算A'!IO39)))</f>
        <v/>
      </c>
      <c r="N34" s="39">
        <f>IF(G34="","",IF(COUNTIF('調整・決定'!$C$6:$L$29,G34)&gt;1,"2か所以上に入っています",IF('計算A'!IO39&gt;0,IF(INDEX('計算A'!$D$4:$II$4,'計算A'!IO39)=0,"使えない枠に入っています",IF(INDEX('計算A'!$D$39:$II$39,'計算A'!IO39)=1,"×の枠に入っています",IF(AND(F34&lt;&gt;"",INDEX('計算A'!$D$106:$II$106,'計算A'!IO39)=1,INDEX('計算A'!$D$109:$II$109,'計算A'!IO39+1)=1),IF(F34="必ず空けたい","後ろの枠が空いていません","（出来れば）後ろが空いていません"),""))),IF(OR(H34="入力済み",H34="×なし"),"未決定",""))))</f>
        <v/>
      </c>
      <c r="O34" s="39">
        <f>IF('計算A'!IK39=0,IF('計算A'!IL39=1,"入る枠がありません",""),INDEX('計算A'!$D$8:$II$8,'計算A'!IK39))</f>
        <v/>
      </c>
      <c r="P34" s="50">
        <f>HYPERLINK("#'×入力'!B817","×入力へ")</f>
        <v/>
      </c>
    </row>
    <row r="35" ht="19" customHeight="1">
      <c r="A35" s="48" t="n"/>
      <c r="B35" s="49" t="n"/>
      <c r="C35" s="48" t="n"/>
      <c r="D35" s="49" t="n"/>
      <c r="E35" s="48" t="n"/>
      <c r="F35" s="48" t="n"/>
      <c r="G35" s="39">
        <f>IF(B35="","",IF(A35="","",A35&amp;" ")&amp;B35)</f>
        <v/>
      </c>
      <c r="H35" s="37">
        <f>IF(B35="","",IF('×入力'!F845="未提出","未提出",IF(I35&gt;0,"入力済み",IF('×入力'!F845="×なし（どこでもOK）","×なし","未入力"))))</f>
        <v/>
      </c>
      <c r="I35" s="37">
        <f>IF(B35="","",'計算A'!IN40)</f>
        <v/>
      </c>
      <c r="J35" s="37">
        <f>IF(OR(H35="入力済み",H35="×なし"),'計算A'!IM40,"")</f>
        <v/>
      </c>
      <c r="K35" s="37">
        <f>IF('計算A'!C40=1,COUNTIFS('計算A'!$C$10:$C$54,1,'計算A'!$IM$10:$IM$54,"&lt;"&amp;'計算A'!IM40)+1,"")</f>
        <v/>
      </c>
      <c r="L35" s="39">
        <f>IF('計算A'!IO40=0,"",INDEX('設定'!$E$11:$E$20,INDEX('計算A'!$D$2:$II$2,'計算A'!IO40)))</f>
        <v/>
      </c>
      <c r="M35" s="37">
        <f>IF('計算A'!IO40=0,"",INDEX('設定'!$I$11:$I$34,INDEX('計算A'!$D$3:$II$3,'計算A'!IO40)))</f>
        <v/>
      </c>
      <c r="N35" s="39">
        <f>IF(G35="","",IF(COUNTIF('調整・決定'!$C$6:$L$29,G35)&gt;1,"2か所以上に入っています",IF('計算A'!IO40&gt;0,IF(INDEX('計算A'!$D$4:$II$4,'計算A'!IO40)=0,"使えない枠に入っています",IF(INDEX('計算A'!$D$40:$II$40,'計算A'!IO40)=1,"×の枠に入っています",IF(AND(F35&lt;&gt;"",INDEX('計算A'!$D$106:$II$106,'計算A'!IO40)=1,INDEX('計算A'!$D$109:$II$109,'計算A'!IO40+1)=1),IF(F35="必ず空けたい","後ろの枠が空いていません","（出来れば）後ろが空いていません"),""))),IF(OR(H35="入力済み",H35="×なし"),"未決定",""))))</f>
        <v/>
      </c>
      <c r="O35" s="39">
        <f>IF('計算A'!IK40=0,IF('計算A'!IL40=1,"入る枠がありません",""),INDEX('計算A'!$D$8:$II$8,'計算A'!IK40))</f>
        <v/>
      </c>
      <c r="P35" s="50">
        <f>HYPERLINK("#'×入力'!B845","×入力へ")</f>
        <v/>
      </c>
    </row>
    <row r="36" ht="19" customHeight="1">
      <c r="A36" s="48" t="n"/>
      <c r="B36" s="49" t="n"/>
      <c r="C36" s="48" t="n"/>
      <c r="D36" s="49" t="n"/>
      <c r="E36" s="48" t="n"/>
      <c r="F36" s="48" t="n"/>
      <c r="G36" s="39">
        <f>IF(B36="","",IF(A36="","",A36&amp;" ")&amp;B36)</f>
        <v/>
      </c>
      <c r="H36" s="37">
        <f>IF(B36="","",IF('×入力'!F873="未提出","未提出",IF(I36&gt;0,"入力済み",IF('×入力'!F873="×なし（どこでもOK）","×なし","未入力"))))</f>
        <v/>
      </c>
      <c r="I36" s="37">
        <f>IF(B36="","",'計算A'!IN41)</f>
        <v/>
      </c>
      <c r="J36" s="37">
        <f>IF(OR(H36="入力済み",H36="×なし"),'計算A'!IM41,"")</f>
        <v/>
      </c>
      <c r="K36" s="37">
        <f>IF('計算A'!C41=1,COUNTIFS('計算A'!$C$10:$C$54,1,'計算A'!$IM$10:$IM$54,"&lt;"&amp;'計算A'!IM41)+1,"")</f>
        <v/>
      </c>
      <c r="L36" s="39">
        <f>IF('計算A'!IO41=0,"",INDEX('設定'!$E$11:$E$20,INDEX('計算A'!$D$2:$II$2,'計算A'!IO41)))</f>
        <v/>
      </c>
      <c r="M36" s="37">
        <f>IF('計算A'!IO41=0,"",INDEX('設定'!$I$11:$I$34,INDEX('計算A'!$D$3:$II$3,'計算A'!IO41)))</f>
        <v/>
      </c>
      <c r="N36" s="39">
        <f>IF(G36="","",IF(COUNTIF('調整・決定'!$C$6:$L$29,G36)&gt;1,"2か所以上に入っています",IF('計算A'!IO41&gt;0,IF(INDEX('計算A'!$D$4:$II$4,'計算A'!IO41)=0,"使えない枠に入っています",IF(INDEX('計算A'!$D$41:$II$41,'計算A'!IO41)=1,"×の枠に入っています",IF(AND(F36&lt;&gt;"",INDEX('計算A'!$D$106:$II$106,'計算A'!IO41)=1,INDEX('計算A'!$D$109:$II$109,'計算A'!IO41+1)=1),IF(F36="必ず空けたい","後ろの枠が空いていません","（出来れば）後ろが空いていません"),""))),IF(OR(H36="入力済み",H36="×なし"),"未決定",""))))</f>
        <v/>
      </c>
      <c r="O36" s="39">
        <f>IF('計算A'!IK41=0,IF('計算A'!IL41=1,"入る枠がありません",""),INDEX('計算A'!$D$8:$II$8,'計算A'!IK41))</f>
        <v/>
      </c>
      <c r="P36" s="50">
        <f>HYPERLINK("#'×入力'!B873","×入力へ")</f>
        <v/>
      </c>
    </row>
    <row r="37" ht="19" customHeight="1">
      <c r="A37" s="48" t="n"/>
      <c r="B37" s="49" t="n"/>
      <c r="C37" s="48" t="n"/>
      <c r="D37" s="49" t="n"/>
      <c r="E37" s="48" t="n"/>
      <c r="F37" s="48" t="n"/>
      <c r="G37" s="39">
        <f>IF(B37="","",IF(A37="","",A37&amp;" ")&amp;B37)</f>
        <v/>
      </c>
      <c r="H37" s="37">
        <f>IF(B37="","",IF('×入力'!F901="未提出","未提出",IF(I37&gt;0,"入力済み",IF('×入力'!F901="×なし（どこでもOK）","×なし","未入力"))))</f>
        <v/>
      </c>
      <c r="I37" s="37">
        <f>IF(B37="","",'計算A'!IN42)</f>
        <v/>
      </c>
      <c r="J37" s="37">
        <f>IF(OR(H37="入力済み",H37="×なし"),'計算A'!IM42,"")</f>
        <v/>
      </c>
      <c r="K37" s="37">
        <f>IF('計算A'!C42=1,COUNTIFS('計算A'!$C$10:$C$54,1,'計算A'!$IM$10:$IM$54,"&lt;"&amp;'計算A'!IM42)+1,"")</f>
        <v/>
      </c>
      <c r="L37" s="39">
        <f>IF('計算A'!IO42=0,"",INDEX('設定'!$E$11:$E$20,INDEX('計算A'!$D$2:$II$2,'計算A'!IO42)))</f>
        <v/>
      </c>
      <c r="M37" s="37">
        <f>IF('計算A'!IO42=0,"",INDEX('設定'!$I$11:$I$34,INDEX('計算A'!$D$3:$II$3,'計算A'!IO42)))</f>
        <v/>
      </c>
      <c r="N37" s="39">
        <f>IF(G37="","",IF(COUNTIF('調整・決定'!$C$6:$L$29,G37)&gt;1,"2か所以上に入っています",IF('計算A'!IO42&gt;0,IF(INDEX('計算A'!$D$4:$II$4,'計算A'!IO42)=0,"使えない枠に入っています",IF(INDEX('計算A'!$D$42:$II$42,'計算A'!IO42)=1,"×の枠に入っています",IF(AND(F37&lt;&gt;"",INDEX('計算A'!$D$106:$II$106,'計算A'!IO42)=1,INDEX('計算A'!$D$109:$II$109,'計算A'!IO42+1)=1),IF(F37="必ず空けたい","後ろの枠が空いていません","（出来れば）後ろが空いていません"),""))),IF(OR(H37="入力済み",H37="×なし"),"未決定",""))))</f>
        <v/>
      </c>
      <c r="O37" s="39">
        <f>IF('計算A'!IK42=0,IF('計算A'!IL42=1,"入る枠がありません",""),INDEX('計算A'!$D$8:$II$8,'計算A'!IK42))</f>
        <v/>
      </c>
      <c r="P37" s="50">
        <f>HYPERLINK("#'×入力'!B901","×入力へ")</f>
        <v/>
      </c>
    </row>
    <row r="38" ht="19" customHeight="1">
      <c r="A38" s="48" t="n"/>
      <c r="B38" s="49" t="n"/>
      <c r="C38" s="48" t="n"/>
      <c r="D38" s="49" t="n"/>
      <c r="E38" s="48" t="n"/>
      <c r="F38" s="48" t="n"/>
      <c r="G38" s="39">
        <f>IF(B38="","",IF(A38="","",A38&amp;" ")&amp;B38)</f>
        <v/>
      </c>
      <c r="H38" s="37">
        <f>IF(B38="","",IF('×入力'!F929="未提出","未提出",IF(I38&gt;0,"入力済み",IF('×入力'!F929="×なし（どこでもOK）","×なし","未入力"))))</f>
        <v/>
      </c>
      <c r="I38" s="37">
        <f>IF(B38="","",'計算A'!IN43)</f>
        <v/>
      </c>
      <c r="J38" s="37">
        <f>IF(OR(H38="入力済み",H38="×なし"),'計算A'!IM43,"")</f>
        <v/>
      </c>
      <c r="K38" s="37">
        <f>IF('計算A'!C43=1,COUNTIFS('計算A'!$C$10:$C$54,1,'計算A'!$IM$10:$IM$54,"&lt;"&amp;'計算A'!IM43)+1,"")</f>
        <v/>
      </c>
      <c r="L38" s="39">
        <f>IF('計算A'!IO43=0,"",INDEX('設定'!$E$11:$E$20,INDEX('計算A'!$D$2:$II$2,'計算A'!IO43)))</f>
        <v/>
      </c>
      <c r="M38" s="37">
        <f>IF('計算A'!IO43=0,"",INDEX('設定'!$I$11:$I$34,INDEX('計算A'!$D$3:$II$3,'計算A'!IO43)))</f>
        <v/>
      </c>
      <c r="N38" s="39">
        <f>IF(G38="","",IF(COUNTIF('調整・決定'!$C$6:$L$29,G38)&gt;1,"2か所以上に入っています",IF('計算A'!IO43&gt;0,IF(INDEX('計算A'!$D$4:$II$4,'計算A'!IO43)=0,"使えない枠に入っています",IF(INDEX('計算A'!$D$43:$II$43,'計算A'!IO43)=1,"×の枠に入っています",IF(AND(F38&lt;&gt;"",INDEX('計算A'!$D$106:$II$106,'計算A'!IO43)=1,INDEX('計算A'!$D$109:$II$109,'計算A'!IO43+1)=1),IF(F38="必ず空けたい","後ろの枠が空いていません","（出来れば）後ろが空いていません"),""))),IF(OR(H38="入力済み",H38="×なし"),"未決定",""))))</f>
        <v/>
      </c>
      <c r="O38" s="39">
        <f>IF('計算A'!IK43=0,IF('計算A'!IL43=1,"入る枠がありません",""),INDEX('計算A'!$D$8:$II$8,'計算A'!IK43))</f>
        <v/>
      </c>
      <c r="P38" s="50">
        <f>HYPERLINK("#'×入力'!B929","×入力へ")</f>
        <v/>
      </c>
    </row>
    <row r="39" ht="19" customHeight="1">
      <c r="A39" s="48" t="n"/>
      <c r="B39" s="49" t="n"/>
      <c r="C39" s="48" t="n"/>
      <c r="D39" s="49" t="n"/>
      <c r="E39" s="48" t="n"/>
      <c r="F39" s="48" t="n"/>
      <c r="G39" s="39">
        <f>IF(B39="","",IF(A39="","",A39&amp;" ")&amp;B39)</f>
        <v/>
      </c>
      <c r="H39" s="37">
        <f>IF(B39="","",IF('×入力'!F957="未提出","未提出",IF(I39&gt;0,"入力済み",IF('×入力'!F957="×なし（どこでもOK）","×なし","未入力"))))</f>
        <v/>
      </c>
      <c r="I39" s="37">
        <f>IF(B39="","",'計算A'!IN44)</f>
        <v/>
      </c>
      <c r="J39" s="37">
        <f>IF(OR(H39="入力済み",H39="×なし"),'計算A'!IM44,"")</f>
        <v/>
      </c>
      <c r="K39" s="37">
        <f>IF('計算A'!C44=1,COUNTIFS('計算A'!$C$10:$C$54,1,'計算A'!$IM$10:$IM$54,"&lt;"&amp;'計算A'!IM44)+1,"")</f>
        <v/>
      </c>
      <c r="L39" s="39">
        <f>IF('計算A'!IO44=0,"",INDEX('設定'!$E$11:$E$20,INDEX('計算A'!$D$2:$II$2,'計算A'!IO44)))</f>
        <v/>
      </c>
      <c r="M39" s="37">
        <f>IF('計算A'!IO44=0,"",INDEX('設定'!$I$11:$I$34,INDEX('計算A'!$D$3:$II$3,'計算A'!IO44)))</f>
        <v/>
      </c>
      <c r="N39" s="39">
        <f>IF(G39="","",IF(COUNTIF('調整・決定'!$C$6:$L$29,G39)&gt;1,"2か所以上に入っています",IF('計算A'!IO44&gt;0,IF(INDEX('計算A'!$D$4:$II$4,'計算A'!IO44)=0,"使えない枠に入っています",IF(INDEX('計算A'!$D$44:$II$44,'計算A'!IO44)=1,"×の枠に入っています",IF(AND(F39&lt;&gt;"",INDEX('計算A'!$D$106:$II$106,'計算A'!IO44)=1,INDEX('計算A'!$D$109:$II$109,'計算A'!IO44+1)=1),IF(F39="必ず空けたい","後ろの枠が空いていません","（出来れば）後ろが空いていません"),""))),IF(OR(H39="入力済み",H39="×なし"),"未決定",""))))</f>
        <v/>
      </c>
      <c r="O39" s="39">
        <f>IF('計算A'!IK44=0,IF('計算A'!IL44=1,"入る枠がありません",""),INDEX('計算A'!$D$8:$II$8,'計算A'!IK44))</f>
        <v/>
      </c>
      <c r="P39" s="50">
        <f>HYPERLINK("#'×入力'!B957","×入力へ")</f>
        <v/>
      </c>
    </row>
    <row r="40" ht="19" customHeight="1">
      <c r="A40" s="48" t="n"/>
      <c r="B40" s="49" t="n"/>
      <c r="C40" s="48" t="n"/>
      <c r="D40" s="49" t="n"/>
      <c r="E40" s="48" t="n"/>
      <c r="F40" s="48" t="n"/>
      <c r="G40" s="39">
        <f>IF(B40="","",IF(A40="","",A40&amp;" ")&amp;B40)</f>
        <v/>
      </c>
      <c r="H40" s="37">
        <f>IF(B40="","",IF('×入力'!F985="未提出","未提出",IF(I40&gt;0,"入力済み",IF('×入力'!F985="×なし（どこでもOK）","×なし","未入力"))))</f>
        <v/>
      </c>
      <c r="I40" s="37">
        <f>IF(B40="","",'計算A'!IN45)</f>
        <v/>
      </c>
      <c r="J40" s="37">
        <f>IF(OR(H40="入力済み",H40="×なし"),'計算A'!IM45,"")</f>
        <v/>
      </c>
      <c r="K40" s="37">
        <f>IF('計算A'!C45=1,COUNTIFS('計算A'!$C$10:$C$54,1,'計算A'!$IM$10:$IM$54,"&lt;"&amp;'計算A'!IM45)+1,"")</f>
        <v/>
      </c>
      <c r="L40" s="39">
        <f>IF('計算A'!IO45=0,"",INDEX('設定'!$E$11:$E$20,INDEX('計算A'!$D$2:$II$2,'計算A'!IO45)))</f>
        <v/>
      </c>
      <c r="M40" s="37">
        <f>IF('計算A'!IO45=0,"",INDEX('設定'!$I$11:$I$34,INDEX('計算A'!$D$3:$II$3,'計算A'!IO45)))</f>
        <v/>
      </c>
      <c r="N40" s="39">
        <f>IF(G40="","",IF(COUNTIF('調整・決定'!$C$6:$L$29,G40)&gt;1,"2か所以上に入っています",IF('計算A'!IO45&gt;0,IF(INDEX('計算A'!$D$4:$II$4,'計算A'!IO45)=0,"使えない枠に入っています",IF(INDEX('計算A'!$D$45:$II$45,'計算A'!IO45)=1,"×の枠に入っています",IF(AND(F40&lt;&gt;"",INDEX('計算A'!$D$106:$II$106,'計算A'!IO45)=1,INDEX('計算A'!$D$109:$II$109,'計算A'!IO45+1)=1),IF(F40="必ず空けたい","後ろの枠が空いていません","（出来れば）後ろが空いていません"),""))),IF(OR(H40="入力済み",H40="×なし"),"未決定",""))))</f>
        <v/>
      </c>
      <c r="O40" s="39">
        <f>IF('計算A'!IK45=0,IF('計算A'!IL45=1,"入る枠がありません",""),INDEX('計算A'!$D$8:$II$8,'計算A'!IK45))</f>
        <v/>
      </c>
      <c r="P40" s="50">
        <f>HYPERLINK("#'×入力'!B985","×入力へ")</f>
        <v/>
      </c>
    </row>
    <row r="41" ht="19" customHeight="1">
      <c r="A41" s="48" t="n"/>
      <c r="B41" s="49" t="n"/>
      <c r="C41" s="48" t="n"/>
      <c r="D41" s="49" t="n"/>
      <c r="E41" s="48" t="n"/>
      <c r="F41" s="48" t="n"/>
      <c r="G41" s="39">
        <f>IF(B41="","",IF(A41="","",A41&amp;" ")&amp;B41)</f>
        <v/>
      </c>
      <c r="H41" s="37">
        <f>IF(B41="","",IF('×入力'!F1013="未提出","未提出",IF(I41&gt;0,"入力済み",IF('×入力'!F1013="×なし（どこでもOK）","×なし","未入力"))))</f>
        <v/>
      </c>
      <c r="I41" s="37">
        <f>IF(B41="","",'計算A'!IN46)</f>
        <v/>
      </c>
      <c r="J41" s="37">
        <f>IF(OR(H41="入力済み",H41="×なし"),'計算A'!IM46,"")</f>
        <v/>
      </c>
      <c r="K41" s="37">
        <f>IF('計算A'!C46=1,COUNTIFS('計算A'!$C$10:$C$54,1,'計算A'!$IM$10:$IM$54,"&lt;"&amp;'計算A'!IM46)+1,"")</f>
        <v/>
      </c>
      <c r="L41" s="39">
        <f>IF('計算A'!IO46=0,"",INDEX('設定'!$E$11:$E$20,INDEX('計算A'!$D$2:$II$2,'計算A'!IO46)))</f>
        <v/>
      </c>
      <c r="M41" s="37">
        <f>IF('計算A'!IO46=0,"",INDEX('設定'!$I$11:$I$34,INDEX('計算A'!$D$3:$II$3,'計算A'!IO46)))</f>
        <v/>
      </c>
      <c r="N41" s="39">
        <f>IF(G41="","",IF(COUNTIF('調整・決定'!$C$6:$L$29,G41)&gt;1,"2か所以上に入っています",IF('計算A'!IO46&gt;0,IF(INDEX('計算A'!$D$4:$II$4,'計算A'!IO46)=0,"使えない枠に入っています",IF(INDEX('計算A'!$D$46:$II$46,'計算A'!IO46)=1,"×の枠に入っています",IF(AND(F41&lt;&gt;"",INDEX('計算A'!$D$106:$II$106,'計算A'!IO46)=1,INDEX('計算A'!$D$109:$II$109,'計算A'!IO46+1)=1),IF(F41="必ず空けたい","後ろの枠が空いていません","（出来れば）後ろが空いていません"),""))),IF(OR(H41="入力済み",H41="×なし"),"未決定",""))))</f>
        <v/>
      </c>
      <c r="O41" s="39">
        <f>IF('計算A'!IK46=0,IF('計算A'!IL46=1,"入る枠がありません",""),INDEX('計算A'!$D$8:$II$8,'計算A'!IK46))</f>
        <v/>
      </c>
      <c r="P41" s="50">
        <f>HYPERLINK("#'×入力'!B1013","×入力へ")</f>
        <v/>
      </c>
    </row>
    <row r="42" ht="19" customHeight="1">
      <c r="A42" s="48" t="n"/>
      <c r="B42" s="49" t="n"/>
      <c r="C42" s="48" t="n"/>
      <c r="D42" s="49" t="n"/>
      <c r="E42" s="48" t="n"/>
      <c r="F42" s="48" t="n"/>
      <c r="G42" s="39">
        <f>IF(B42="","",IF(A42="","",A42&amp;" ")&amp;B42)</f>
        <v/>
      </c>
      <c r="H42" s="37">
        <f>IF(B42="","",IF('×入力'!F1041="未提出","未提出",IF(I42&gt;0,"入力済み",IF('×入力'!F1041="×なし（どこでもOK）","×なし","未入力"))))</f>
        <v/>
      </c>
      <c r="I42" s="37">
        <f>IF(B42="","",'計算A'!IN47)</f>
        <v/>
      </c>
      <c r="J42" s="37">
        <f>IF(OR(H42="入力済み",H42="×なし"),'計算A'!IM47,"")</f>
        <v/>
      </c>
      <c r="K42" s="37">
        <f>IF('計算A'!C47=1,COUNTIFS('計算A'!$C$10:$C$54,1,'計算A'!$IM$10:$IM$54,"&lt;"&amp;'計算A'!IM47)+1,"")</f>
        <v/>
      </c>
      <c r="L42" s="39">
        <f>IF('計算A'!IO47=0,"",INDEX('設定'!$E$11:$E$20,INDEX('計算A'!$D$2:$II$2,'計算A'!IO47)))</f>
        <v/>
      </c>
      <c r="M42" s="37">
        <f>IF('計算A'!IO47=0,"",INDEX('設定'!$I$11:$I$34,INDEX('計算A'!$D$3:$II$3,'計算A'!IO47)))</f>
        <v/>
      </c>
      <c r="N42" s="39">
        <f>IF(G42="","",IF(COUNTIF('調整・決定'!$C$6:$L$29,G42)&gt;1,"2か所以上に入っています",IF('計算A'!IO47&gt;0,IF(INDEX('計算A'!$D$4:$II$4,'計算A'!IO47)=0,"使えない枠に入っています",IF(INDEX('計算A'!$D$47:$II$47,'計算A'!IO47)=1,"×の枠に入っています",IF(AND(F42&lt;&gt;"",INDEX('計算A'!$D$106:$II$106,'計算A'!IO47)=1,INDEX('計算A'!$D$109:$II$109,'計算A'!IO47+1)=1),IF(F42="必ず空けたい","後ろの枠が空いていません","（出来れば）後ろが空いていません"),""))),IF(OR(H42="入力済み",H42="×なし"),"未決定",""))))</f>
        <v/>
      </c>
      <c r="O42" s="39">
        <f>IF('計算A'!IK47=0,IF('計算A'!IL47=1,"入る枠がありません",""),INDEX('計算A'!$D$8:$II$8,'計算A'!IK47))</f>
        <v/>
      </c>
      <c r="P42" s="50">
        <f>HYPERLINK("#'×入力'!B1041","×入力へ")</f>
        <v/>
      </c>
    </row>
    <row r="43" ht="19" customHeight="1">
      <c r="A43" s="48" t="n"/>
      <c r="B43" s="49" t="n"/>
      <c r="C43" s="48" t="n"/>
      <c r="D43" s="49" t="n"/>
      <c r="E43" s="48" t="n"/>
      <c r="F43" s="48" t="n"/>
      <c r="G43" s="39">
        <f>IF(B43="","",IF(A43="","",A43&amp;" ")&amp;B43)</f>
        <v/>
      </c>
      <c r="H43" s="37">
        <f>IF(B43="","",IF('×入力'!F1069="未提出","未提出",IF(I43&gt;0,"入力済み",IF('×入力'!F1069="×なし（どこでもOK）","×なし","未入力"))))</f>
        <v/>
      </c>
      <c r="I43" s="37">
        <f>IF(B43="","",'計算A'!IN48)</f>
        <v/>
      </c>
      <c r="J43" s="37">
        <f>IF(OR(H43="入力済み",H43="×なし"),'計算A'!IM48,"")</f>
        <v/>
      </c>
      <c r="K43" s="37">
        <f>IF('計算A'!C48=1,COUNTIFS('計算A'!$C$10:$C$54,1,'計算A'!$IM$10:$IM$54,"&lt;"&amp;'計算A'!IM48)+1,"")</f>
        <v/>
      </c>
      <c r="L43" s="39">
        <f>IF('計算A'!IO48=0,"",INDEX('設定'!$E$11:$E$20,INDEX('計算A'!$D$2:$II$2,'計算A'!IO48)))</f>
        <v/>
      </c>
      <c r="M43" s="37">
        <f>IF('計算A'!IO48=0,"",INDEX('設定'!$I$11:$I$34,INDEX('計算A'!$D$3:$II$3,'計算A'!IO48)))</f>
        <v/>
      </c>
      <c r="N43" s="39">
        <f>IF(G43="","",IF(COUNTIF('調整・決定'!$C$6:$L$29,G43)&gt;1,"2か所以上に入っています",IF('計算A'!IO48&gt;0,IF(INDEX('計算A'!$D$4:$II$4,'計算A'!IO48)=0,"使えない枠に入っています",IF(INDEX('計算A'!$D$48:$II$48,'計算A'!IO48)=1,"×の枠に入っています",IF(AND(F43&lt;&gt;"",INDEX('計算A'!$D$106:$II$106,'計算A'!IO48)=1,INDEX('計算A'!$D$109:$II$109,'計算A'!IO48+1)=1),IF(F43="必ず空けたい","後ろの枠が空いていません","（出来れば）後ろが空いていません"),""))),IF(OR(H43="入力済み",H43="×なし"),"未決定",""))))</f>
        <v/>
      </c>
      <c r="O43" s="39">
        <f>IF('計算A'!IK48=0,IF('計算A'!IL48=1,"入る枠がありません",""),INDEX('計算A'!$D$8:$II$8,'計算A'!IK48))</f>
        <v/>
      </c>
      <c r="P43" s="50">
        <f>HYPERLINK("#'×入力'!B1069","×入力へ")</f>
        <v/>
      </c>
    </row>
    <row r="44" ht="19" customHeight="1">
      <c r="A44" s="48" t="n"/>
      <c r="B44" s="49" t="n"/>
      <c r="C44" s="48" t="n"/>
      <c r="D44" s="49" t="n"/>
      <c r="E44" s="48" t="n"/>
      <c r="F44" s="48" t="n"/>
      <c r="G44" s="39">
        <f>IF(B44="","",IF(A44="","",A44&amp;" ")&amp;B44)</f>
        <v/>
      </c>
      <c r="H44" s="37">
        <f>IF(B44="","",IF('×入力'!F1097="未提出","未提出",IF(I44&gt;0,"入力済み",IF('×入力'!F1097="×なし（どこでもOK）","×なし","未入力"))))</f>
        <v/>
      </c>
      <c r="I44" s="37">
        <f>IF(B44="","",'計算A'!IN49)</f>
        <v/>
      </c>
      <c r="J44" s="37">
        <f>IF(OR(H44="入力済み",H44="×なし"),'計算A'!IM49,"")</f>
        <v/>
      </c>
      <c r="K44" s="37">
        <f>IF('計算A'!C49=1,COUNTIFS('計算A'!$C$10:$C$54,1,'計算A'!$IM$10:$IM$54,"&lt;"&amp;'計算A'!IM49)+1,"")</f>
        <v/>
      </c>
      <c r="L44" s="39">
        <f>IF('計算A'!IO49=0,"",INDEX('設定'!$E$11:$E$20,INDEX('計算A'!$D$2:$II$2,'計算A'!IO49)))</f>
        <v/>
      </c>
      <c r="M44" s="37">
        <f>IF('計算A'!IO49=0,"",INDEX('設定'!$I$11:$I$34,INDEX('計算A'!$D$3:$II$3,'計算A'!IO49)))</f>
        <v/>
      </c>
      <c r="N44" s="39">
        <f>IF(G44="","",IF(COUNTIF('調整・決定'!$C$6:$L$29,G44)&gt;1,"2か所以上に入っています",IF('計算A'!IO49&gt;0,IF(INDEX('計算A'!$D$4:$II$4,'計算A'!IO49)=0,"使えない枠に入っています",IF(INDEX('計算A'!$D$49:$II$49,'計算A'!IO49)=1,"×の枠に入っています",IF(AND(F44&lt;&gt;"",INDEX('計算A'!$D$106:$II$106,'計算A'!IO49)=1,INDEX('計算A'!$D$109:$II$109,'計算A'!IO49+1)=1),IF(F44="必ず空けたい","後ろの枠が空いていません","（出来れば）後ろが空いていません"),""))),IF(OR(H44="入力済み",H44="×なし"),"未決定",""))))</f>
        <v/>
      </c>
      <c r="O44" s="39">
        <f>IF('計算A'!IK49=0,IF('計算A'!IL49=1,"入る枠がありません",""),INDEX('計算A'!$D$8:$II$8,'計算A'!IK49))</f>
        <v/>
      </c>
      <c r="P44" s="50">
        <f>HYPERLINK("#'×入力'!B1097","×入力へ")</f>
        <v/>
      </c>
    </row>
    <row r="45" ht="19" customHeight="1">
      <c r="A45" s="48" t="n"/>
      <c r="B45" s="49" t="n"/>
      <c r="C45" s="48" t="n"/>
      <c r="D45" s="49" t="n"/>
      <c r="E45" s="48" t="n"/>
      <c r="F45" s="48" t="n"/>
      <c r="G45" s="39">
        <f>IF(B45="","",IF(A45="","",A45&amp;" ")&amp;B45)</f>
        <v/>
      </c>
      <c r="H45" s="37">
        <f>IF(B45="","",IF('×入力'!F1125="未提出","未提出",IF(I45&gt;0,"入力済み",IF('×入力'!F1125="×なし（どこでもOK）","×なし","未入力"))))</f>
        <v/>
      </c>
      <c r="I45" s="37">
        <f>IF(B45="","",'計算A'!IN50)</f>
        <v/>
      </c>
      <c r="J45" s="37">
        <f>IF(OR(H45="入力済み",H45="×なし"),'計算A'!IM50,"")</f>
        <v/>
      </c>
      <c r="K45" s="37">
        <f>IF('計算A'!C50=1,COUNTIFS('計算A'!$C$10:$C$54,1,'計算A'!$IM$10:$IM$54,"&lt;"&amp;'計算A'!IM50)+1,"")</f>
        <v/>
      </c>
      <c r="L45" s="39">
        <f>IF('計算A'!IO50=0,"",INDEX('設定'!$E$11:$E$20,INDEX('計算A'!$D$2:$II$2,'計算A'!IO50)))</f>
        <v/>
      </c>
      <c r="M45" s="37">
        <f>IF('計算A'!IO50=0,"",INDEX('設定'!$I$11:$I$34,INDEX('計算A'!$D$3:$II$3,'計算A'!IO50)))</f>
        <v/>
      </c>
      <c r="N45" s="39">
        <f>IF(G45="","",IF(COUNTIF('調整・決定'!$C$6:$L$29,G45)&gt;1,"2か所以上に入っています",IF('計算A'!IO50&gt;0,IF(INDEX('計算A'!$D$4:$II$4,'計算A'!IO50)=0,"使えない枠に入っています",IF(INDEX('計算A'!$D$50:$II$50,'計算A'!IO50)=1,"×の枠に入っています",IF(AND(F45&lt;&gt;"",INDEX('計算A'!$D$106:$II$106,'計算A'!IO50)=1,INDEX('計算A'!$D$109:$II$109,'計算A'!IO50+1)=1),IF(F45="必ず空けたい","後ろの枠が空いていません","（出来れば）後ろが空いていません"),""))),IF(OR(H45="入力済み",H45="×なし"),"未決定",""))))</f>
        <v/>
      </c>
      <c r="O45" s="39">
        <f>IF('計算A'!IK50=0,IF('計算A'!IL50=1,"入る枠がありません",""),INDEX('計算A'!$D$8:$II$8,'計算A'!IK50))</f>
        <v/>
      </c>
      <c r="P45" s="50">
        <f>HYPERLINK("#'×入力'!B1125","×入力へ")</f>
        <v/>
      </c>
    </row>
    <row r="46" ht="19" customHeight="1">
      <c r="A46" s="48" t="n"/>
      <c r="B46" s="49" t="n"/>
      <c r="C46" s="48" t="n"/>
      <c r="D46" s="49" t="n"/>
      <c r="E46" s="48" t="n"/>
      <c r="F46" s="48" t="n"/>
      <c r="G46" s="39">
        <f>IF(B46="","",IF(A46="","",A46&amp;" ")&amp;B46)</f>
        <v/>
      </c>
      <c r="H46" s="37">
        <f>IF(B46="","",IF('×入力'!F1153="未提出","未提出",IF(I46&gt;0,"入力済み",IF('×入力'!F1153="×なし（どこでもOK）","×なし","未入力"))))</f>
        <v/>
      </c>
      <c r="I46" s="37">
        <f>IF(B46="","",'計算A'!IN51)</f>
        <v/>
      </c>
      <c r="J46" s="37">
        <f>IF(OR(H46="入力済み",H46="×なし"),'計算A'!IM51,"")</f>
        <v/>
      </c>
      <c r="K46" s="37">
        <f>IF('計算A'!C51=1,COUNTIFS('計算A'!$C$10:$C$54,1,'計算A'!$IM$10:$IM$54,"&lt;"&amp;'計算A'!IM51)+1,"")</f>
        <v/>
      </c>
      <c r="L46" s="39">
        <f>IF('計算A'!IO51=0,"",INDEX('設定'!$E$11:$E$20,INDEX('計算A'!$D$2:$II$2,'計算A'!IO51)))</f>
        <v/>
      </c>
      <c r="M46" s="37">
        <f>IF('計算A'!IO51=0,"",INDEX('設定'!$I$11:$I$34,INDEX('計算A'!$D$3:$II$3,'計算A'!IO51)))</f>
        <v/>
      </c>
      <c r="N46" s="39">
        <f>IF(G46="","",IF(COUNTIF('調整・決定'!$C$6:$L$29,G46)&gt;1,"2か所以上に入っています",IF('計算A'!IO51&gt;0,IF(INDEX('計算A'!$D$4:$II$4,'計算A'!IO51)=0,"使えない枠に入っています",IF(INDEX('計算A'!$D$51:$II$51,'計算A'!IO51)=1,"×の枠に入っています",IF(AND(F46&lt;&gt;"",INDEX('計算A'!$D$106:$II$106,'計算A'!IO51)=1,INDEX('計算A'!$D$109:$II$109,'計算A'!IO51+1)=1),IF(F46="必ず空けたい","後ろの枠が空いていません","（出来れば）後ろが空いていません"),""))),IF(OR(H46="入力済み",H46="×なし"),"未決定",""))))</f>
        <v/>
      </c>
      <c r="O46" s="39">
        <f>IF('計算A'!IK51=0,IF('計算A'!IL51=1,"入る枠がありません",""),INDEX('計算A'!$D$8:$II$8,'計算A'!IK51))</f>
        <v/>
      </c>
      <c r="P46" s="50">
        <f>HYPERLINK("#'×入力'!B1153","×入力へ")</f>
        <v/>
      </c>
    </row>
    <row r="47" ht="19" customHeight="1">
      <c r="A47" s="48" t="n"/>
      <c r="B47" s="49" t="n"/>
      <c r="C47" s="48" t="n"/>
      <c r="D47" s="49" t="n"/>
      <c r="E47" s="48" t="n"/>
      <c r="F47" s="48" t="n"/>
      <c r="G47" s="39">
        <f>IF(B47="","",IF(A47="","",A47&amp;" ")&amp;B47)</f>
        <v/>
      </c>
      <c r="H47" s="37">
        <f>IF(B47="","",IF('×入力'!F1181="未提出","未提出",IF(I47&gt;0,"入力済み",IF('×入力'!F1181="×なし（どこでもOK）","×なし","未入力"))))</f>
        <v/>
      </c>
      <c r="I47" s="37">
        <f>IF(B47="","",'計算A'!IN52)</f>
        <v/>
      </c>
      <c r="J47" s="37">
        <f>IF(OR(H47="入力済み",H47="×なし"),'計算A'!IM52,"")</f>
        <v/>
      </c>
      <c r="K47" s="37">
        <f>IF('計算A'!C52=1,COUNTIFS('計算A'!$C$10:$C$54,1,'計算A'!$IM$10:$IM$54,"&lt;"&amp;'計算A'!IM52)+1,"")</f>
        <v/>
      </c>
      <c r="L47" s="39">
        <f>IF('計算A'!IO52=0,"",INDEX('設定'!$E$11:$E$20,INDEX('計算A'!$D$2:$II$2,'計算A'!IO52)))</f>
        <v/>
      </c>
      <c r="M47" s="37">
        <f>IF('計算A'!IO52=0,"",INDEX('設定'!$I$11:$I$34,INDEX('計算A'!$D$3:$II$3,'計算A'!IO52)))</f>
        <v/>
      </c>
      <c r="N47" s="39">
        <f>IF(G47="","",IF(COUNTIF('調整・決定'!$C$6:$L$29,G47)&gt;1,"2か所以上に入っています",IF('計算A'!IO52&gt;0,IF(INDEX('計算A'!$D$4:$II$4,'計算A'!IO52)=0,"使えない枠に入っています",IF(INDEX('計算A'!$D$52:$II$52,'計算A'!IO52)=1,"×の枠に入っています",IF(AND(F47&lt;&gt;"",INDEX('計算A'!$D$106:$II$106,'計算A'!IO52)=1,INDEX('計算A'!$D$109:$II$109,'計算A'!IO52+1)=1),IF(F47="必ず空けたい","後ろの枠が空いていません","（出来れば）後ろが空いていません"),""))),IF(OR(H47="入力済み",H47="×なし"),"未決定",""))))</f>
        <v/>
      </c>
      <c r="O47" s="39">
        <f>IF('計算A'!IK52=0,IF('計算A'!IL52=1,"入る枠がありません",""),INDEX('計算A'!$D$8:$II$8,'計算A'!IK52))</f>
        <v/>
      </c>
      <c r="P47" s="50">
        <f>HYPERLINK("#'×入力'!B1181","×入力へ")</f>
        <v/>
      </c>
    </row>
    <row r="48" ht="19" customHeight="1">
      <c r="A48" s="48" t="n"/>
      <c r="B48" s="49" t="n"/>
      <c r="C48" s="48" t="n"/>
      <c r="D48" s="49" t="n"/>
      <c r="E48" s="48" t="n"/>
      <c r="F48" s="48" t="n"/>
      <c r="G48" s="39">
        <f>IF(B48="","",IF(A48="","",A48&amp;" ")&amp;B48)</f>
        <v/>
      </c>
      <c r="H48" s="37">
        <f>IF(B48="","",IF('×入力'!F1209="未提出","未提出",IF(I48&gt;0,"入力済み",IF('×入力'!F1209="×なし（どこでもOK）","×なし","未入力"))))</f>
        <v/>
      </c>
      <c r="I48" s="37">
        <f>IF(B48="","",'計算A'!IN53)</f>
        <v/>
      </c>
      <c r="J48" s="37">
        <f>IF(OR(H48="入力済み",H48="×なし"),'計算A'!IM53,"")</f>
        <v/>
      </c>
      <c r="K48" s="37">
        <f>IF('計算A'!C53=1,COUNTIFS('計算A'!$C$10:$C$54,1,'計算A'!$IM$10:$IM$54,"&lt;"&amp;'計算A'!IM53)+1,"")</f>
        <v/>
      </c>
      <c r="L48" s="39">
        <f>IF('計算A'!IO53=0,"",INDEX('設定'!$E$11:$E$20,INDEX('計算A'!$D$2:$II$2,'計算A'!IO53)))</f>
        <v/>
      </c>
      <c r="M48" s="37">
        <f>IF('計算A'!IO53=0,"",INDEX('設定'!$I$11:$I$34,INDEX('計算A'!$D$3:$II$3,'計算A'!IO53)))</f>
        <v/>
      </c>
      <c r="N48" s="39">
        <f>IF(G48="","",IF(COUNTIF('調整・決定'!$C$6:$L$29,G48)&gt;1,"2か所以上に入っています",IF('計算A'!IO53&gt;0,IF(INDEX('計算A'!$D$4:$II$4,'計算A'!IO53)=0,"使えない枠に入っています",IF(INDEX('計算A'!$D$53:$II$53,'計算A'!IO53)=1,"×の枠に入っています",IF(AND(F48&lt;&gt;"",INDEX('計算A'!$D$106:$II$106,'計算A'!IO53)=1,INDEX('計算A'!$D$109:$II$109,'計算A'!IO53+1)=1),IF(F48="必ず空けたい","後ろの枠が空いていません","（出来れば）後ろが空いていません"),""))),IF(OR(H48="入力済み",H48="×なし"),"未決定",""))))</f>
        <v/>
      </c>
      <c r="O48" s="39">
        <f>IF('計算A'!IK53=0,IF('計算A'!IL53=1,"入る枠がありません",""),INDEX('計算A'!$D$8:$II$8,'計算A'!IK53))</f>
        <v/>
      </c>
      <c r="P48" s="50">
        <f>HYPERLINK("#'×入力'!B1209","×入力へ")</f>
        <v/>
      </c>
    </row>
    <row r="49" ht="19" customHeight="1">
      <c r="A49" s="48" t="n"/>
      <c r="B49" s="49" t="n"/>
      <c r="C49" s="48" t="n"/>
      <c r="D49" s="49" t="n"/>
      <c r="E49" s="48" t="n"/>
      <c r="F49" s="48" t="n"/>
      <c r="G49" s="39">
        <f>IF(B49="","",IF(A49="","",A49&amp;" ")&amp;B49)</f>
        <v/>
      </c>
      <c r="H49" s="37">
        <f>IF(B49="","",IF('×入力'!F1237="未提出","未提出",IF(I49&gt;0,"入力済み",IF('×入力'!F1237="×なし（どこでもOK）","×なし","未入力"))))</f>
        <v/>
      </c>
      <c r="I49" s="37">
        <f>IF(B49="","",'計算A'!IN54)</f>
        <v/>
      </c>
      <c r="J49" s="37">
        <f>IF(OR(H49="入力済み",H49="×なし"),'計算A'!IM54,"")</f>
        <v/>
      </c>
      <c r="K49" s="37">
        <f>IF('計算A'!C54=1,COUNTIFS('計算A'!$C$10:$C$54,1,'計算A'!$IM$10:$IM$54,"&lt;"&amp;'計算A'!IM54)+1,"")</f>
        <v/>
      </c>
      <c r="L49" s="39">
        <f>IF('計算A'!IO54=0,"",INDEX('設定'!$E$11:$E$20,INDEX('計算A'!$D$2:$II$2,'計算A'!IO54)))</f>
        <v/>
      </c>
      <c r="M49" s="37">
        <f>IF('計算A'!IO54=0,"",INDEX('設定'!$I$11:$I$34,INDEX('計算A'!$D$3:$II$3,'計算A'!IO54)))</f>
        <v/>
      </c>
      <c r="N49" s="39">
        <f>IF(G49="","",IF(COUNTIF('調整・決定'!$C$6:$L$29,G49)&gt;1,"2か所以上に入っています",IF('計算A'!IO54&gt;0,IF(INDEX('計算A'!$D$4:$II$4,'計算A'!IO54)=0,"使えない枠に入っています",IF(INDEX('計算A'!$D$54:$II$54,'計算A'!IO54)=1,"×の枠に入っています",IF(AND(F49&lt;&gt;"",INDEX('計算A'!$D$106:$II$106,'計算A'!IO54)=1,INDEX('計算A'!$D$109:$II$109,'計算A'!IO54+1)=1),IF(F49="必ず空けたい","後ろの枠が空いていません","（出来れば）後ろが空いていません"),""))),IF(OR(H49="入力済み",H49="×なし"),"未決定",""))))</f>
        <v/>
      </c>
      <c r="O49" s="39">
        <f>IF('計算A'!IK54=0,IF('計算A'!IL54=1,"入る枠がありません",""),INDEX('計算A'!$D$8:$II$8,'計算A'!IK54))</f>
        <v/>
      </c>
      <c r="P49" s="50">
        <f>HYPERLINK("#'×入力'!B1237","×入力へ")</f>
        <v/>
      </c>
    </row>
  </sheetData>
  <autoFilter ref="A4:O49"/>
  <mergeCells count="4">
    <mergeCell ref="L1:M1"/>
    <mergeCell ref="J1:K1"/>
    <mergeCell ref="E1:F1"/>
    <mergeCell ref="H1:I1"/>
  </mergeCells>
  <conditionalFormatting sqref="N5:N49">
    <cfRule type="expression" priority="1" dxfId="6">
      <formula>OR(N5="未決定",LEFT(N5,6)="（出来れば）")</formula>
    </cfRule>
    <cfRule type="expression" priority="2" dxfId="7">
      <formula>N5&lt;&gt;""</formula>
    </cfRule>
  </conditionalFormatting>
  <conditionalFormatting sqref="O5:O49">
    <cfRule type="expression" priority="3" dxfId="7">
      <formula>O5="入る枠がありません"</formula>
    </cfRule>
  </conditionalFormatting>
  <conditionalFormatting sqref="H5:H49">
    <cfRule type="expression" priority="4" dxfId="8">
      <formula>OR(H5="未入力",H5="未提出")</formula>
    </cfRule>
  </conditionalFormatting>
  <conditionalFormatting sqref="J5:J49">
    <cfRule type="expression" priority="5" dxfId="9">
      <formula>AND(K5&lt;&gt;"",J5&lt;=2)</formula>
    </cfRule>
  </conditionalFormatting>
  <dataValidations count="3">
    <dataValidation sqref="C5 C6 C7 C8 C9 C10 C11 C12 C13 C14 C15 C16 C17 C18 C19 C20 C21 C22 C23 C24 C25 C26 C27 C28 C29 C30 C31 C32 C33 C34 C35 C36 C37 C38 C39 C40 C41 C42 C43 C44 C45 C46 C47 C48 C49" showDropDown="0" showInputMessage="0" showErrorMessage="0" allowBlank="1" type="list">
      <formula1>"〇"</formula1>
    </dataValidation>
    <dataValidation sqref="E5 E6 E7 E8 E9 E10 E11 E12 E13 E14 E15 E16 E17 E18 E19 E20 E21 E22 E23 E24 E25 E26 E27 E28 E29 E30 E31 E32 E33 E34 E35 E36 E37 E38 E39 E40 E41 E42 E43 E44 E45 E46 E47 E48 E49" showDropDown="0" showInputMessage="0" showErrorMessage="0" allowBlank="1" type="list">
      <formula1>"早い時刻,遅い時刻,早い日,遅い日"</formula1>
    </dataValidation>
    <dataValidation sqref="F5 F6 F7 F8 F9 F10 F11 F12 F13 F14 F15 F16 F17 F18 F19 F20 F21 F22 F23 F24 F25 F26 F27 F28 F29 F30 F31 F32 F33 F34 F35 F36 F37 F38 F39 F40 F41 F42 F43 F44 F45 F46 F47 F48 F49" showDropDown="0" showInputMessage="0" showErrorMessage="0" allowBlank="1" type="list">
      <formula1>"必ず空けたい,出来れば空けたい"</formula1>
    </dataValidation>
  </dataValidation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L1263"/>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44" customHeight="1">
      <c r="A1" s="2" t="n"/>
      <c r="B1" s="51" t="inlineStr">
        <is>
          <t>×入力</t>
        </is>
      </c>
      <c r="C1" s="2" t="n"/>
      <c r="D1" s="2" t="n"/>
      <c r="E1" s="2" t="n"/>
      <c r="F1" s="18">
        <f>HYPERLINK("#'ホーム'!A1","ホーム")</f>
        <v/>
      </c>
      <c r="G1" s="18">
        <f>HYPERLINK("#'設定'!A1","① 設定")</f>
        <v/>
      </c>
      <c r="H1" s="18">
        <f>HYPERLINK("#'名簿'!A1","② 名簿")</f>
        <v/>
      </c>
      <c r="I1" s="19">
        <f>HYPERLINK("#'×入力'!A1","③ ×入力")</f>
        <v/>
      </c>
      <c r="J1" s="18">
        <f>HYPERLINK("#'自動案'!A1","④ 自動案")</f>
        <v/>
      </c>
      <c r="K1" s="18">
        <f>HYPERLINK("#'調整・決定'!A1","⑤ 調整・決定")</f>
        <v/>
      </c>
      <c r="L1" s="2" t="n"/>
    </row>
    <row r="2" ht="24" customHeight="1">
      <c r="A2" s="4" t="n"/>
      <c r="B2" s="52" t="inlineStr">
        <is>
          <t>都合の悪い枠に「×」。日付の上の欄で「×」→その日全部、時刻の左の欄で「×」→その時間全部が×になります。消すときは Delete。</t>
        </is>
      </c>
      <c r="C2" s="4" t="n"/>
      <c r="D2" s="4" t="n"/>
      <c r="E2" s="4" t="n"/>
      <c r="F2" s="4" t="n"/>
      <c r="G2" s="4" t="n"/>
      <c r="H2" s="4" t="n"/>
      <c r="I2" s="4" t="n"/>
      <c r="J2" s="4" t="n"/>
      <c r="K2" s="4" t="n"/>
      <c r="L2" s="4" t="n"/>
    </row>
    <row r="3">
      <c r="B3" s="45" t="inlineStr">
        <is>
          <t>×が1つもない家庭は「提出状況」で「×なし（どこでもOK）」、出していない家庭は「未提出」を選びます。右上の「次の人へ ▼」で次の児童に移れます。</t>
        </is>
      </c>
    </row>
    <row r="4"/>
    <row r="5" ht="26" customHeight="1">
      <c r="B5" s="53">
        <f>IF('名簿'!B5="","（名簿 1行目：なし）",'名簿'!G5)</f>
        <v/>
      </c>
      <c r="C5" s="4" t="n"/>
      <c r="D5" s="4" t="n"/>
      <c r="E5" s="54" t="inlineStr">
        <is>
          <t>提出状況 ▶</t>
        </is>
      </c>
      <c r="F5" s="38" t="n"/>
      <c r="G5" s="29" t="n"/>
      <c r="H5" s="55" t="inlineStr">
        <is>
          <t>状況：</t>
        </is>
      </c>
      <c r="I5" s="56">
        <f>'名簿'!H5</f>
        <v/>
      </c>
      <c r="J5" s="55" t="inlineStr">
        <is>
          <t>×の数：</t>
        </is>
      </c>
      <c r="K5" s="57">
        <f>'名簿'!I5</f>
        <v/>
      </c>
      <c r="L5" s="58">
        <f>HYPERLINK("#'×入力'!B33","次の人へ ▼")</f>
        <v/>
      </c>
    </row>
    <row r="6" ht="22" customHeight="1">
      <c r="A6" s="30" t="inlineStr">
        <is>
          <t>この日全部 ▶</t>
        </is>
      </c>
      <c r="C6" s="59" t="n"/>
      <c r="D6" s="59" t="n"/>
      <c r="E6" s="59" t="n"/>
      <c r="F6" s="59" t="n"/>
      <c r="G6" s="59" t="n"/>
      <c r="H6" s="59" t="n"/>
      <c r="I6" s="59" t="n"/>
      <c r="J6" s="59" t="n"/>
      <c r="K6" s="59" t="n"/>
      <c r="L6" s="59" t="n"/>
    </row>
    <row r="7" ht="28" customHeight="1">
      <c r="A7" s="33" t="inlineStr">
        <is>
          <t>この時間
全部 ▼</t>
        </is>
      </c>
      <c r="B7" s="34" t="inlineStr"/>
      <c r="C7" s="35">
        <f>'設定'!$E$11</f>
        <v/>
      </c>
      <c r="D7" s="35">
        <f>'設定'!$E$12</f>
        <v/>
      </c>
      <c r="E7" s="35">
        <f>'設定'!$E$13</f>
        <v/>
      </c>
      <c r="F7" s="35">
        <f>'設定'!$E$14</f>
        <v/>
      </c>
      <c r="G7" s="35">
        <f>'設定'!$E$15</f>
        <v/>
      </c>
      <c r="H7" s="35">
        <f>'設定'!$E$16</f>
        <v/>
      </c>
      <c r="I7" s="35">
        <f>'設定'!$E$17</f>
        <v/>
      </c>
      <c r="J7" s="35">
        <f>'設定'!$E$18</f>
        <v/>
      </c>
      <c r="K7" s="35">
        <f>'設定'!$E$19</f>
        <v/>
      </c>
      <c r="L7" s="35">
        <f>'設定'!$E$20</f>
        <v/>
      </c>
    </row>
    <row r="8" ht="21" customHeight="1">
      <c r="A8" s="59" t="n"/>
      <c r="B8" s="42">
        <f>'設定'!$I$11</f>
        <v/>
      </c>
      <c r="C8" s="60" t="n"/>
      <c r="D8" s="60" t="n"/>
      <c r="E8" s="60" t="n"/>
      <c r="F8" s="60" t="n"/>
      <c r="G8" s="60" t="n"/>
      <c r="H8" s="60" t="n"/>
      <c r="I8" s="60" t="n"/>
      <c r="J8" s="60" t="n"/>
      <c r="K8" s="60" t="n"/>
      <c r="L8" s="60" t="n"/>
    </row>
    <row r="9" ht="21" customHeight="1">
      <c r="A9" s="59" t="n"/>
      <c r="B9" s="42">
        <f>'設定'!$I$12</f>
        <v/>
      </c>
      <c r="C9" s="60" t="n"/>
      <c r="D9" s="60" t="n"/>
      <c r="E9" s="60" t="n"/>
      <c r="F9" s="60" t="n"/>
      <c r="G9" s="60" t="n"/>
      <c r="H9" s="60" t="n"/>
      <c r="I9" s="60" t="n"/>
      <c r="J9" s="60" t="n"/>
      <c r="K9" s="60" t="n"/>
      <c r="L9" s="60" t="n"/>
    </row>
    <row r="10" ht="21" customHeight="1">
      <c r="A10" s="59" t="n"/>
      <c r="B10" s="42">
        <f>'設定'!$I$13</f>
        <v/>
      </c>
      <c r="C10" s="60" t="n"/>
      <c r="D10" s="60" t="n"/>
      <c r="E10" s="60" t="n"/>
      <c r="F10" s="60" t="n"/>
      <c r="G10" s="60" t="n"/>
      <c r="H10" s="60" t="n"/>
      <c r="I10" s="60" t="n"/>
      <c r="J10" s="60" t="n"/>
      <c r="K10" s="60" t="n"/>
      <c r="L10" s="60" t="n"/>
    </row>
    <row r="11" ht="21" customHeight="1">
      <c r="A11" s="59" t="n"/>
      <c r="B11" s="42">
        <f>'設定'!$I$14</f>
        <v/>
      </c>
      <c r="C11" s="60" t="n"/>
      <c r="D11" s="60" t="n"/>
      <c r="E11" s="60" t="n"/>
      <c r="F11" s="60" t="n"/>
      <c r="G11" s="60" t="n"/>
      <c r="H11" s="60" t="n"/>
      <c r="I11" s="60" t="n"/>
      <c r="J11" s="60" t="n"/>
      <c r="K11" s="60" t="n"/>
      <c r="L11" s="60" t="n"/>
    </row>
    <row r="12" ht="21" customHeight="1">
      <c r="A12" s="59" t="n"/>
      <c r="B12" s="42">
        <f>'設定'!$I$15</f>
        <v/>
      </c>
      <c r="C12" s="60" t="n"/>
      <c r="D12" s="60" t="n"/>
      <c r="E12" s="60" t="n"/>
      <c r="F12" s="60" t="n"/>
      <c r="G12" s="60" t="n"/>
      <c r="H12" s="60" t="n"/>
      <c r="I12" s="60" t="n"/>
      <c r="J12" s="60" t="n"/>
      <c r="K12" s="60" t="n"/>
      <c r="L12" s="60" t="n"/>
    </row>
    <row r="13" ht="21" customHeight="1">
      <c r="A13" s="59" t="n"/>
      <c r="B13" s="42">
        <f>'設定'!$I$16</f>
        <v/>
      </c>
      <c r="C13" s="60" t="n"/>
      <c r="D13" s="60" t="n"/>
      <c r="E13" s="60" t="n"/>
      <c r="F13" s="60" t="n"/>
      <c r="G13" s="60" t="n"/>
      <c r="H13" s="60" t="n"/>
      <c r="I13" s="60" t="n"/>
      <c r="J13" s="60" t="n"/>
      <c r="K13" s="60" t="n"/>
      <c r="L13" s="60" t="n"/>
    </row>
    <row r="14" ht="21" customHeight="1">
      <c r="A14" s="59" t="n"/>
      <c r="B14" s="42">
        <f>'設定'!$I$17</f>
        <v/>
      </c>
      <c r="C14" s="60" t="n"/>
      <c r="D14" s="60" t="n"/>
      <c r="E14" s="60" t="n"/>
      <c r="F14" s="60" t="n"/>
      <c r="G14" s="60" t="n"/>
      <c r="H14" s="60" t="n"/>
      <c r="I14" s="60" t="n"/>
      <c r="J14" s="60" t="n"/>
      <c r="K14" s="60" t="n"/>
      <c r="L14" s="60" t="n"/>
    </row>
    <row r="15" ht="21" customHeight="1">
      <c r="A15" s="59" t="n"/>
      <c r="B15" s="42">
        <f>'設定'!$I$18</f>
        <v/>
      </c>
      <c r="C15" s="60" t="n"/>
      <c r="D15" s="60" t="n"/>
      <c r="E15" s="60" t="n"/>
      <c r="F15" s="60" t="n"/>
      <c r="G15" s="60" t="n"/>
      <c r="H15" s="60" t="n"/>
      <c r="I15" s="60" t="n"/>
      <c r="J15" s="60" t="n"/>
      <c r="K15" s="60" t="n"/>
      <c r="L15" s="60" t="n"/>
    </row>
    <row r="16" ht="21" customHeight="1">
      <c r="A16" s="59" t="n"/>
      <c r="B16" s="42">
        <f>'設定'!$I$19</f>
        <v/>
      </c>
      <c r="C16" s="60" t="n"/>
      <c r="D16" s="60" t="n"/>
      <c r="E16" s="60" t="n"/>
      <c r="F16" s="60" t="n"/>
      <c r="G16" s="60" t="n"/>
      <c r="H16" s="60" t="n"/>
      <c r="I16" s="60" t="n"/>
      <c r="J16" s="60" t="n"/>
      <c r="K16" s="60" t="n"/>
      <c r="L16" s="60" t="n"/>
    </row>
    <row r="17" ht="21" customHeight="1">
      <c r="A17" s="59" t="n"/>
      <c r="B17" s="42">
        <f>'設定'!$I$20</f>
        <v/>
      </c>
      <c r="C17" s="60" t="n"/>
      <c r="D17" s="60" t="n"/>
      <c r="E17" s="60" t="n"/>
      <c r="F17" s="60" t="n"/>
      <c r="G17" s="60" t="n"/>
      <c r="H17" s="60" t="n"/>
      <c r="I17" s="60" t="n"/>
      <c r="J17" s="60" t="n"/>
      <c r="K17" s="60" t="n"/>
      <c r="L17" s="60" t="n"/>
    </row>
    <row r="18" ht="21" customHeight="1">
      <c r="A18" s="59" t="n"/>
      <c r="B18" s="42">
        <f>'設定'!$I$21</f>
        <v/>
      </c>
      <c r="C18" s="60" t="n"/>
      <c r="D18" s="60" t="n"/>
      <c r="E18" s="60" t="n"/>
      <c r="F18" s="60" t="n"/>
      <c r="G18" s="60" t="n"/>
      <c r="H18" s="60" t="n"/>
      <c r="I18" s="60" t="n"/>
      <c r="J18" s="60" t="n"/>
      <c r="K18" s="60" t="n"/>
      <c r="L18" s="60" t="n"/>
    </row>
    <row r="19" ht="21" customHeight="1">
      <c r="A19" s="59" t="n"/>
      <c r="B19" s="42">
        <f>'設定'!$I$22</f>
        <v/>
      </c>
      <c r="C19" s="60" t="n"/>
      <c r="D19" s="60" t="n"/>
      <c r="E19" s="60" t="n"/>
      <c r="F19" s="60" t="n"/>
      <c r="G19" s="60" t="n"/>
      <c r="H19" s="60" t="n"/>
      <c r="I19" s="60" t="n"/>
      <c r="J19" s="60" t="n"/>
      <c r="K19" s="60" t="n"/>
      <c r="L19" s="60" t="n"/>
    </row>
    <row r="20" ht="21" customHeight="1">
      <c r="A20" s="59" t="n"/>
      <c r="B20" s="42">
        <f>'設定'!$I$23</f>
        <v/>
      </c>
      <c r="C20" s="60" t="n"/>
      <c r="D20" s="60" t="n"/>
      <c r="E20" s="60" t="n"/>
      <c r="F20" s="60" t="n"/>
      <c r="G20" s="60" t="n"/>
      <c r="H20" s="60" t="n"/>
      <c r="I20" s="60" t="n"/>
      <c r="J20" s="60" t="n"/>
      <c r="K20" s="60" t="n"/>
      <c r="L20" s="60" t="n"/>
    </row>
    <row r="21" ht="21" customHeight="1">
      <c r="A21" s="59" t="n"/>
      <c r="B21" s="42">
        <f>'設定'!$I$24</f>
        <v/>
      </c>
      <c r="C21" s="60" t="n"/>
      <c r="D21" s="60" t="n"/>
      <c r="E21" s="60" t="n"/>
      <c r="F21" s="60" t="n"/>
      <c r="G21" s="60" t="n"/>
      <c r="H21" s="60" t="n"/>
      <c r="I21" s="60" t="n"/>
      <c r="J21" s="60" t="n"/>
      <c r="K21" s="60" t="n"/>
      <c r="L21" s="60" t="n"/>
    </row>
    <row r="22" ht="21" customHeight="1">
      <c r="A22" s="59" t="n"/>
      <c r="B22" s="42">
        <f>'設定'!$I$25</f>
        <v/>
      </c>
      <c r="C22" s="60" t="n"/>
      <c r="D22" s="60" t="n"/>
      <c r="E22" s="60" t="n"/>
      <c r="F22" s="60" t="n"/>
      <c r="G22" s="60" t="n"/>
      <c r="H22" s="60" t="n"/>
      <c r="I22" s="60" t="n"/>
      <c r="J22" s="60" t="n"/>
      <c r="K22" s="60" t="n"/>
      <c r="L22" s="60" t="n"/>
    </row>
    <row r="23" ht="21" customHeight="1">
      <c r="A23" s="59" t="n"/>
      <c r="B23" s="42">
        <f>'設定'!$I$26</f>
        <v/>
      </c>
      <c r="C23" s="60" t="n"/>
      <c r="D23" s="60" t="n"/>
      <c r="E23" s="60" t="n"/>
      <c r="F23" s="60" t="n"/>
      <c r="G23" s="60" t="n"/>
      <c r="H23" s="60" t="n"/>
      <c r="I23" s="60" t="n"/>
      <c r="J23" s="60" t="n"/>
      <c r="K23" s="60" t="n"/>
      <c r="L23" s="60" t="n"/>
    </row>
    <row r="24" ht="21" customHeight="1">
      <c r="A24" s="59" t="n"/>
      <c r="B24" s="42">
        <f>'設定'!$I$27</f>
        <v/>
      </c>
      <c r="C24" s="60" t="n"/>
      <c r="D24" s="60" t="n"/>
      <c r="E24" s="60" t="n"/>
      <c r="F24" s="60" t="n"/>
      <c r="G24" s="60" t="n"/>
      <c r="H24" s="60" t="n"/>
      <c r="I24" s="60" t="n"/>
      <c r="J24" s="60" t="n"/>
      <c r="K24" s="60" t="n"/>
      <c r="L24" s="60" t="n"/>
    </row>
    <row r="25" ht="21" customHeight="1">
      <c r="A25" s="59" t="n"/>
      <c r="B25" s="42">
        <f>'設定'!$I$28</f>
        <v/>
      </c>
      <c r="C25" s="60" t="n"/>
      <c r="D25" s="60" t="n"/>
      <c r="E25" s="60" t="n"/>
      <c r="F25" s="60" t="n"/>
      <c r="G25" s="60" t="n"/>
      <c r="H25" s="60" t="n"/>
      <c r="I25" s="60" t="n"/>
      <c r="J25" s="60" t="n"/>
      <c r="K25" s="60" t="n"/>
      <c r="L25" s="60" t="n"/>
    </row>
    <row r="26" ht="21" customHeight="1">
      <c r="A26" s="59" t="n"/>
      <c r="B26" s="42">
        <f>'設定'!$I$29</f>
        <v/>
      </c>
      <c r="C26" s="60" t="n"/>
      <c r="D26" s="60" t="n"/>
      <c r="E26" s="60" t="n"/>
      <c r="F26" s="60" t="n"/>
      <c r="G26" s="60" t="n"/>
      <c r="H26" s="60" t="n"/>
      <c r="I26" s="60" t="n"/>
      <c r="J26" s="60" t="n"/>
      <c r="K26" s="60" t="n"/>
      <c r="L26" s="60" t="n"/>
    </row>
    <row r="27" ht="21" customHeight="1">
      <c r="A27" s="59" t="n"/>
      <c r="B27" s="42">
        <f>'設定'!$I$30</f>
        <v/>
      </c>
      <c r="C27" s="60" t="n"/>
      <c r="D27" s="60" t="n"/>
      <c r="E27" s="60" t="n"/>
      <c r="F27" s="60" t="n"/>
      <c r="G27" s="60" t="n"/>
      <c r="H27" s="60" t="n"/>
      <c r="I27" s="60" t="n"/>
      <c r="J27" s="60" t="n"/>
      <c r="K27" s="60" t="n"/>
      <c r="L27" s="60" t="n"/>
    </row>
    <row r="28" ht="21" customHeight="1">
      <c r="A28" s="59" t="n"/>
      <c r="B28" s="42">
        <f>'設定'!$I$31</f>
        <v/>
      </c>
      <c r="C28" s="60" t="n"/>
      <c r="D28" s="60" t="n"/>
      <c r="E28" s="60" t="n"/>
      <c r="F28" s="60" t="n"/>
      <c r="G28" s="60" t="n"/>
      <c r="H28" s="60" t="n"/>
      <c r="I28" s="60" t="n"/>
      <c r="J28" s="60" t="n"/>
      <c r="K28" s="60" t="n"/>
      <c r="L28" s="60" t="n"/>
    </row>
    <row r="29" ht="21" customHeight="1">
      <c r="A29" s="59" t="n"/>
      <c r="B29" s="42">
        <f>'設定'!$I$32</f>
        <v/>
      </c>
      <c r="C29" s="60" t="n"/>
      <c r="D29" s="60" t="n"/>
      <c r="E29" s="60" t="n"/>
      <c r="F29" s="60" t="n"/>
      <c r="G29" s="60" t="n"/>
      <c r="H29" s="60" t="n"/>
      <c r="I29" s="60" t="n"/>
      <c r="J29" s="60" t="n"/>
      <c r="K29" s="60" t="n"/>
      <c r="L29" s="60" t="n"/>
    </row>
    <row r="30" ht="21" customHeight="1">
      <c r="A30" s="59" t="n"/>
      <c r="B30" s="42">
        <f>'設定'!$I$33</f>
        <v/>
      </c>
      <c r="C30" s="60" t="n"/>
      <c r="D30" s="60" t="n"/>
      <c r="E30" s="60" t="n"/>
      <c r="F30" s="60" t="n"/>
      <c r="G30" s="60" t="n"/>
      <c r="H30" s="60" t="n"/>
      <c r="I30" s="60" t="n"/>
      <c r="J30" s="60" t="n"/>
      <c r="K30" s="60" t="n"/>
      <c r="L30" s="60" t="n"/>
    </row>
    <row r="31" ht="21" customHeight="1">
      <c r="A31" s="59" t="n"/>
      <c r="B31" s="42">
        <f>'設定'!$I$34</f>
        <v/>
      </c>
      <c r="C31" s="60" t="n"/>
      <c r="D31" s="60" t="n"/>
      <c r="E31" s="60" t="n"/>
      <c r="F31" s="60" t="n"/>
      <c r="G31" s="60" t="n"/>
      <c r="H31" s="60" t="n"/>
      <c r="I31" s="60" t="n"/>
      <c r="J31" s="60" t="n"/>
      <c r="K31" s="60" t="n"/>
      <c r="L31" s="60" t="n"/>
    </row>
    <row r="32"/>
    <row r="33" ht="26" customHeight="1">
      <c r="B33" s="53">
        <f>IF('名簿'!B6="","（名簿 2行目：なし）",'名簿'!G6)</f>
        <v/>
      </c>
      <c r="C33" s="4" t="n"/>
      <c r="D33" s="4" t="n"/>
      <c r="E33" s="54" t="inlineStr">
        <is>
          <t>提出状況 ▶</t>
        </is>
      </c>
      <c r="F33" s="38" t="n"/>
      <c r="G33" s="29" t="n"/>
      <c r="H33" s="55" t="inlineStr">
        <is>
          <t>状況：</t>
        </is>
      </c>
      <c r="I33" s="56">
        <f>'名簿'!H6</f>
        <v/>
      </c>
      <c r="J33" s="55" t="inlineStr">
        <is>
          <t>×の数：</t>
        </is>
      </c>
      <c r="K33" s="57">
        <f>'名簿'!I6</f>
        <v/>
      </c>
      <c r="L33" s="58">
        <f>HYPERLINK("#'×入力'!B61","次の人へ ▼")</f>
        <v/>
      </c>
    </row>
    <row r="34" ht="22" customHeight="1">
      <c r="A34" s="30" t="inlineStr">
        <is>
          <t>この日全部 ▶</t>
        </is>
      </c>
      <c r="C34" s="59" t="n"/>
      <c r="D34" s="59" t="n"/>
      <c r="E34" s="59" t="n"/>
      <c r="F34" s="59" t="n"/>
      <c r="G34" s="59" t="n"/>
      <c r="H34" s="59" t="n"/>
      <c r="I34" s="59" t="n"/>
      <c r="J34" s="59" t="n"/>
      <c r="K34" s="59" t="n"/>
      <c r="L34" s="59" t="n"/>
    </row>
    <row r="35" ht="28" customHeight="1">
      <c r="A35" s="33" t="inlineStr">
        <is>
          <t>この時間
全部 ▼</t>
        </is>
      </c>
      <c r="B35" s="34" t="inlineStr"/>
      <c r="C35" s="35">
        <f>'設定'!$E$11</f>
        <v/>
      </c>
      <c r="D35" s="35">
        <f>'設定'!$E$12</f>
        <v/>
      </c>
      <c r="E35" s="35">
        <f>'設定'!$E$13</f>
        <v/>
      </c>
      <c r="F35" s="35">
        <f>'設定'!$E$14</f>
        <v/>
      </c>
      <c r="G35" s="35">
        <f>'設定'!$E$15</f>
        <v/>
      </c>
      <c r="H35" s="35">
        <f>'設定'!$E$16</f>
        <v/>
      </c>
      <c r="I35" s="35">
        <f>'設定'!$E$17</f>
        <v/>
      </c>
      <c r="J35" s="35">
        <f>'設定'!$E$18</f>
        <v/>
      </c>
      <c r="K35" s="35">
        <f>'設定'!$E$19</f>
        <v/>
      </c>
      <c r="L35" s="35">
        <f>'設定'!$E$20</f>
        <v/>
      </c>
    </row>
    <row r="36" ht="21" customHeight="1">
      <c r="A36" s="59" t="n"/>
      <c r="B36" s="42">
        <f>'設定'!$I$11</f>
        <v/>
      </c>
      <c r="C36" s="60" t="n"/>
      <c r="D36" s="60" t="n"/>
      <c r="E36" s="60" t="n"/>
      <c r="F36" s="60" t="n"/>
      <c r="G36" s="60" t="n"/>
      <c r="H36" s="60" t="n"/>
      <c r="I36" s="60" t="n"/>
      <c r="J36" s="60" t="n"/>
      <c r="K36" s="60" t="n"/>
      <c r="L36" s="60" t="n"/>
    </row>
    <row r="37" ht="21" customHeight="1">
      <c r="A37" s="59" t="n"/>
      <c r="B37" s="42">
        <f>'設定'!$I$12</f>
        <v/>
      </c>
      <c r="C37" s="60" t="n"/>
      <c r="D37" s="60" t="n"/>
      <c r="E37" s="60" t="n"/>
      <c r="F37" s="60" t="n"/>
      <c r="G37" s="60" t="n"/>
      <c r="H37" s="60" t="n"/>
      <c r="I37" s="60" t="n"/>
      <c r="J37" s="60" t="n"/>
      <c r="K37" s="60" t="n"/>
      <c r="L37" s="60" t="n"/>
    </row>
    <row r="38" ht="21" customHeight="1">
      <c r="A38" s="59" t="n"/>
      <c r="B38" s="42">
        <f>'設定'!$I$13</f>
        <v/>
      </c>
      <c r="C38" s="60" t="n"/>
      <c r="D38" s="60" t="n"/>
      <c r="E38" s="60" t="n"/>
      <c r="F38" s="60" t="n"/>
      <c r="G38" s="60" t="n"/>
      <c r="H38" s="60" t="n"/>
      <c r="I38" s="60" t="n"/>
      <c r="J38" s="60" t="n"/>
      <c r="K38" s="60" t="n"/>
      <c r="L38" s="60" t="n"/>
    </row>
    <row r="39" ht="21" customHeight="1">
      <c r="A39" s="59" t="n"/>
      <c r="B39" s="42">
        <f>'設定'!$I$14</f>
        <v/>
      </c>
      <c r="C39" s="60" t="n"/>
      <c r="D39" s="60" t="n"/>
      <c r="E39" s="60" t="n"/>
      <c r="F39" s="60" t="n"/>
      <c r="G39" s="60" t="n"/>
      <c r="H39" s="60" t="n"/>
      <c r="I39" s="60" t="n"/>
      <c r="J39" s="60" t="n"/>
      <c r="K39" s="60" t="n"/>
      <c r="L39" s="60" t="n"/>
    </row>
    <row r="40" ht="21" customHeight="1">
      <c r="A40" s="59" t="n"/>
      <c r="B40" s="42">
        <f>'設定'!$I$15</f>
        <v/>
      </c>
      <c r="C40" s="60" t="n"/>
      <c r="D40" s="60" t="n"/>
      <c r="E40" s="60" t="n"/>
      <c r="F40" s="60" t="n"/>
      <c r="G40" s="60" t="n"/>
      <c r="H40" s="60" t="n"/>
      <c r="I40" s="60" t="n"/>
      <c r="J40" s="60" t="n"/>
      <c r="K40" s="60" t="n"/>
      <c r="L40" s="60" t="n"/>
    </row>
    <row r="41" ht="21" customHeight="1">
      <c r="A41" s="59" t="n"/>
      <c r="B41" s="42">
        <f>'設定'!$I$16</f>
        <v/>
      </c>
      <c r="C41" s="60" t="n"/>
      <c r="D41" s="60" t="n"/>
      <c r="E41" s="60" t="n"/>
      <c r="F41" s="60" t="n"/>
      <c r="G41" s="60" t="n"/>
      <c r="H41" s="60" t="n"/>
      <c r="I41" s="60" t="n"/>
      <c r="J41" s="60" t="n"/>
      <c r="K41" s="60" t="n"/>
      <c r="L41" s="60" t="n"/>
    </row>
    <row r="42" ht="21" customHeight="1">
      <c r="A42" s="59" t="n"/>
      <c r="B42" s="42">
        <f>'設定'!$I$17</f>
        <v/>
      </c>
      <c r="C42" s="60" t="n"/>
      <c r="D42" s="60" t="n"/>
      <c r="E42" s="60" t="n"/>
      <c r="F42" s="60" t="n"/>
      <c r="G42" s="60" t="n"/>
      <c r="H42" s="60" t="n"/>
      <c r="I42" s="60" t="n"/>
      <c r="J42" s="60" t="n"/>
      <c r="K42" s="60" t="n"/>
      <c r="L42" s="60" t="n"/>
    </row>
    <row r="43" ht="21" customHeight="1">
      <c r="A43" s="59" t="n"/>
      <c r="B43" s="42">
        <f>'設定'!$I$18</f>
        <v/>
      </c>
      <c r="C43" s="60" t="n"/>
      <c r="D43" s="60" t="n"/>
      <c r="E43" s="60" t="n"/>
      <c r="F43" s="60" t="n"/>
      <c r="G43" s="60" t="n"/>
      <c r="H43" s="60" t="n"/>
      <c r="I43" s="60" t="n"/>
      <c r="J43" s="60" t="n"/>
      <c r="K43" s="60" t="n"/>
      <c r="L43" s="60" t="n"/>
    </row>
    <row r="44" ht="21" customHeight="1">
      <c r="A44" s="59" t="n"/>
      <c r="B44" s="42">
        <f>'設定'!$I$19</f>
        <v/>
      </c>
      <c r="C44" s="60" t="n"/>
      <c r="D44" s="60" t="n"/>
      <c r="E44" s="60" t="n"/>
      <c r="F44" s="60" t="n"/>
      <c r="G44" s="60" t="n"/>
      <c r="H44" s="60" t="n"/>
      <c r="I44" s="60" t="n"/>
      <c r="J44" s="60" t="n"/>
      <c r="K44" s="60" t="n"/>
      <c r="L44" s="60" t="n"/>
    </row>
    <row r="45" ht="21" customHeight="1">
      <c r="A45" s="59" t="n"/>
      <c r="B45" s="42">
        <f>'設定'!$I$20</f>
        <v/>
      </c>
      <c r="C45" s="60" t="n"/>
      <c r="D45" s="60" t="n"/>
      <c r="E45" s="60" t="n"/>
      <c r="F45" s="60" t="n"/>
      <c r="G45" s="60" t="n"/>
      <c r="H45" s="60" t="n"/>
      <c r="I45" s="60" t="n"/>
      <c r="J45" s="60" t="n"/>
      <c r="K45" s="60" t="n"/>
      <c r="L45" s="60" t="n"/>
    </row>
    <row r="46" ht="21" customHeight="1">
      <c r="A46" s="59" t="n"/>
      <c r="B46" s="42">
        <f>'設定'!$I$21</f>
        <v/>
      </c>
      <c r="C46" s="60" t="n"/>
      <c r="D46" s="60" t="n"/>
      <c r="E46" s="60" t="n"/>
      <c r="F46" s="60" t="n"/>
      <c r="G46" s="60" t="n"/>
      <c r="H46" s="60" t="n"/>
      <c r="I46" s="60" t="n"/>
      <c r="J46" s="60" t="n"/>
      <c r="K46" s="60" t="n"/>
      <c r="L46" s="60" t="n"/>
    </row>
    <row r="47" ht="21" customHeight="1">
      <c r="A47" s="59" t="n"/>
      <c r="B47" s="42">
        <f>'設定'!$I$22</f>
        <v/>
      </c>
      <c r="C47" s="60" t="n"/>
      <c r="D47" s="60" t="n"/>
      <c r="E47" s="60" t="n"/>
      <c r="F47" s="60" t="n"/>
      <c r="G47" s="60" t="n"/>
      <c r="H47" s="60" t="n"/>
      <c r="I47" s="60" t="n"/>
      <c r="J47" s="60" t="n"/>
      <c r="K47" s="60" t="n"/>
      <c r="L47" s="60" t="n"/>
    </row>
    <row r="48" ht="21" customHeight="1">
      <c r="A48" s="59" t="n"/>
      <c r="B48" s="42">
        <f>'設定'!$I$23</f>
        <v/>
      </c>
      <c r="C48" s="60" t="n"/>
      <c r="D48" s="60" t="n"/>
      <c r="E48" s="60" t="n"/>
      <c r="F48" s="60" t="n"/>
      <c r="G48" s="60" t="n"/>
      <c r="H48" s="60" t="n"/>
      <c r="I48" s="60" t="n"/>
      <c r="J48" s="60" t="n"/>
      <c r="K48" s="60" t="n"/>
      <c r="L48" s="60" t="n"/>
    </row>
    <row r="49" ht="21" customHeight="1">
      <c r="A49" s="59" t="n"/>
      <c r="B49" s="42">
        <f>'設定'!$I$24</f>
        <v/>
      </c>
      <c r="C49" s="60" t="n"/>
      <c r="D49" s="60" t="n"/>
      <c r="E49" s="60" t="n"/>
      <c r="F49" s="60" t="n"/>
      <c r="G49" s="60" t="n"/>
      <c r="H49" s="60" t="n"/>
      <c r="I49" s="60" t="n"/>
      <c r="J49" s="60" t="n"/>
      <c r="K49" s="60" t="n"/>
      <c r="L49" s="60" t="n"/>
    </row>
    <row r="50" ht="21" customHeight="1">
      <c r="A50" s="59" t="n"/>
      <c r="B50" s="42">
        <f>'設定'!$I$25</f>
        <v/>
      </c>
      <c r="C50" s="60" t="n"/>
      <c r="D50" s="60" t="n"/>
      <c r="E50" s="60" t="n"/>
      <c r="F50" s="60" t="n"/>
      <c r="G50" s="60" t="n"/>
      <c r="H50" s="60" t="n"/>
      <c r="I50" s="60" t="n"/>
      <c r="J50" s="60" t="n"/>
      <c r="K50" s="60" t="n"/>
      <c r="L50" s="60" t="n"/>
    </row>
    <row r="51" ht="21" customHeight="1">
      <c r="A51" s="59" t="n"/>
      <c r="B51" s="42">
        <f>'設定'!$I$26</f>
        <v/>
      </c>
      <c r="C51" s="60" t="n"/>
      <c r="D51" s="60" t="n"/>
      <c r="E51" s="60" t="n"/>
      <c r="F51" s="60" t="n"/>
      <c r="G51" s="60" t="n"/>
      <c r="H51" s="60" t="n"/>
      <c r="I51" s="60" t="n"/>
      <c r="J51" s="60" t="n"/>
      <c r="K51" s="60" t="n"/>
      <c r="L51" s="60" t="n"/>
    </row>
    <row r="52" ht="21" customHeight="1">
      <c r="A52" s="59" t="n"/>
      <c r="B52" s="42">
        <f>'設定'!$I$27</f>
        <v/>
      </c>
      <c r="C52" s="60" t="n"/>
      <c r="D52" s="60" t="n"/>
      <c r="E52" s="60" t="n"/>
      <c r="F52" s="60" t="n"/>
      <c r="G52" s="60" t="n"/>
      <c r="H52" s="60" t="n"/>
      <c r="I52" s="60" t="n"/>
      <c r="J52" s="60" t="n"/>
      <c r="K52" s="60" t="n"/>
      <c r="L52" s="60" t="n"/>
    </row>
    <row r="53" ht="21" customHeight="1">
      <c r="A53" s="59" t="n"/>
      <c r="B53" s="42">
        <f>'設定'!$I$28</f>
        <v/>
      </c>
      <c r="C53" s="60" t="n"/>
      <c r="D53" s="60" t="n"/>
      <c r="E53" s="60" t="n"/>
      <c r="F53" s="60" t="n"/>
      <c r="G53" s="60" t="n"/>
      <c r="H53" s="60" t="n"/>
      <c r="I53" s="60" t="n"/>
      <c r="J53" s="60" t="n"/>
      <c r="K53" s="60" t="n"/>
      <c r="L53" s="60" t="n"/>
    </row>
    <row r="54" ht="21" customHeight="1">
      <c r="A54" s="59" t="n"/>
      <c r="B54" s="42">
        <f>'設定'!$I$29</f>
        <v/>
      </c>
      <c r="C54" s="60" t="n"/>
      <c r="D54" s="60" t="n"/>
      <c r="E54" s="60" t="n"/>
      <c r="F54" s="60" t="n"/>
      <c r="G54" s="60" t="n"/>
      <c r="H54" s="60" t="n"/>
      <c r="I54" s="60" t="n"/>
      <c r="J54" s="60" t="n"/>
      <c r="K54" s="60" t="n"/>
      <c r="L54" s="60" t="n"/>
    </row>
    <row r="55" ht="21" customHeight="1">
      <c r="A55" s="59" t="n"/>
      <c r="B55" s="42">
        <f>'設定'!$I$30</f>
        <v/>
      </c>
      <c r="C55" s="60" t="n"/>
      <c r="D55" s="60" t="n"/>
      <c r="E55" s="60" t="n"/>
      <c r="F55" s="60" t="n"/>
      <c r="G55" s="60" t="n"/>
      <c r="H55" s="60" t="n"/>
      <c r="I55" s="60" t="n"/>
      <c r="J55" s="60" t="n"/>
      <c r="K55" s="60" t="n"/>
      <c r="L55" s="60" t="n"/>
    </row>
    <row r="56" ht="21" customHeight="1">
      <c r="A56" s="59" t="n"/>
      <c r="B56" s="42">
        <f>'設定'!$I$31</f>
        <v/>
      </c>
      <c r="C56" s="60" t="n"/>
      <c r="D56" s="60" t="n"/>
      <c r="E56" s="60" t="n"/>
      <c r="F56" s="60" t="n"/>
      <c r="G56" s="60" t="n"/>
      <c r="H56" s="60" t="n"/>
      <c r="I56" s="60" t="n"/>
      <c r="J56" s="60" t="n"/>
      <c r="K56" s="60" t="n"/>
      <c r="L56" s="60" t="n"/>
    </row>
    <row r="57" ht="21" customHeight="1">
      <c r="A57" s="59" t="n"/>
      <c r="B57" s="42">
        <f>'設定'!$I$32</f>
        <v/>
      </c>
      <c r="C57" s="60" t="n"/>
      <c r="D57" s="60" t="n"/>
      <c r="E57" s="60" t="n"/>
      <c r="F57" s="60" t="n"/>
      <c r="G57" s="60" t="n"/>
      <c r="H57" s="60" t="n"/>
      <c r="I57" s="60" t="n"/>
      <c r="J57" s="60" t="n"/>
      <c r="K57" s="60" t="n"/>
      <c r="L57" s="60" t="n"/>
    </row>
    <row r="58" ht="21" customHeight="1">
      <c r="A58" s="59" t="n"/>
      <c r="B58" s="42">
        <f>'設定'!$I$33</f>
        <v/>
      </c>
      <c r="C58" s="60" t="n"/>
      <c r="D58" s="60" t="n"/>
      <c r="E58" s="60" t="n"/>
      <c r="F58" s="60" t="n"/>
      <c r="G58" s="60" t="n"/>
      <c r="H58" s="60" t="n"/>
      <c r="I58" s="60" t="n"/>
      <c r="J58" s="60" t="n"/>
      <c r="K58" s="60" t="n"/>
      <c r="L58" s="60" t="n"/>
    </row>
    <row r="59" ht="21" customHeight="1">
      <c r="A59" s="59" t="n"/>
      <c r="B59" s="42">
        <f>'設定'!$I$34</f>
        <v/>
      </c>
      <c r="C59" s="60" t="n"/>
      <c r="D59" s="60" t="n"/>
      <c r="E59" s="60" t="n"/>
      <c r="F59" s="60" t="n"/>
      <c r="G59" s="60" t="n"/>
      <c r="H59" s="60" t="n"/>
      <c r="I59" s="60" t="n"/>
      <c r="J59" s="60" t="n"/>
      <c r="K59" s="60" t="n"/>
      <c r="L59" s="60" t="n"/>
    </row>
    <row r="60"/>
    <row r="61" ht="26" customHeight="1">
      <c r="B61" s="53">
        <f>IF('名簿'!B7="","（名簿 3行目：なし）",'名簿'!G7)</f>
        <v/>
      </c>
      <c r="C61" s="4" t="n"/>
      <c r="D61" s="4" t="n"/>
      <c r="E61" s="54" t="inlineStr">
        <is>
          <t>提出状況 ▶</t>
        </is>
      </c>
      <c r="F61" s="38" t="n"/>
      <c r="G61" s="29" t="n"/>
      <c r="H61" s="55" t="inlineStr">
        <is>
          <t>状況：</t>
        </is>
      </c>
      <c r="I61" s="56">
        <f>'名簿'!H7</f>
        <v/>
      </c>
      <c r="J61" s="55" t="inlineStr">
        <is>
          <t>×の数：</t>
        </is>
      </c>
      <c r="K61" s="57">
        <f>'名簿'!I7</f>
        <v/>
      </c>
      <c r="L61" s="58">
        <f>HYPERLINK("#'×入力'!B89","次の人へ ▼")</f>
        <v/>
      </c>
    </row>
    <row r="62" ht="22" customHeight="1">
      <c r="A62" s="30" t="inlineStr">
        <is>
          <t>この日全部 ▶</t>
        </is>
      </c>
      <c r="C62" s="59" t="n"/>
      <c r="D62" s="59" t="n"/>
      <c r="E62" s="59" t="n"/>
      <c r="F62" s="59" t="n"/>
      <c r="G62" s="59" t="n"/>
      <c r="H62" s="59" t="n"/>
      <c r="I62" s="59" t="n"/>
      <c r="J62" s="59" t="n"/>
      <c r="K62" s="59" t="n"/>
      <c r="L62" s="59" t="n"/>
    </row>
    <row r="63" ht="28" customHeight="1">
      <c r="A63" s="33" t="inlineStr">
        <is>
          <t>この時間
全部 ▼</t>
        </is>
      </c>
      <c r="B63" s="34" t="inlineStr"/>
      <c r="C63" s="35">
        <f>'設定'!$E$11</f>
        <v/>
      </c>
      <c r="D63" s="35">
        <f>'設定'!$E$12</f>
        <v/>
      </c>
      <c r="E63" s="35">
        <f>'設定'!$E$13</f>
        <v/>
      </c>
      <c r="F63" s="35">
        <f>'設定'!$E$14</f>
        <v/>
      </c>
      <c r="G63" s="35">
        <f>'設定'!$E$15</f>
        <v/>
      </c>
      <c r="H63" s="35">
        <f>'設定'!$E$16</f>
        <v/>
      </c>
      <c r="I63" s="35">
        <f>'設定'!$E$17</f>
        <v/>
      </c>
      <c r="J63" s="35">
        <f>'設定'!$E$18</f>
        <v/>
      </c>
      <c r="K63" s="35">
        <f>'設定'!$E$19</f>
        <v/>
      </c>
      <c r="L63" s="35">
        <f>'設定'!$E$20</f>
        <v/>
      </c>
    </row>
    <row r="64" ht="21" customHeight="1">
      <c r="A64" s="59" t="n"/>
      <c r="B64" s="42">
        <f>'設定'!$I$11</f>
        <v/>
      </c>
      <c r="C64" s="60" t="n"/>
      <c r="D64" s="60" t="n"/>
      <c r="E64" s="60" t="n"/>
      <c r="F64" s="60" t="n"/>
      <c r="G64" s="60" t="n"/>
      <c r="H64" s="60" t="n"/>
      <c r="I64" s="60" t="n"/>
      <c r="J64" s="60" t="n"/>
      <c r="K64" s="60" t="n"/>
      <c r="L64" s="60" t="n"/>
    </row>
    <row r="65" ht="21" customHeight="1">
      <c r="A65" s="59" t="n"/>
      <c r="B65" s="42">
        <f>'設定'!$I$12</f>
        <v/>
      </c>
      <c r="C65" s="60" t="n"/>
      <c r="D65" s="60" t="n"/>
      <c r="E65" s="60" t="n"/>
      <c r="F65" s="60" t="n"/>
      <c r="G65" s="60" t="n"/>
      <c r="H65" s="60" t="n"/>
      <c r="I65" s="60" t="n"/>
      <c r="J65" s="60" t="n"/>
      <c r="K65" s="60" t="n"/>
      <c r="L65" s="60" t="n"/>
    </row>
    <row r="66" ht="21" customHeight="1">
      <c r="A66" s="59" t="n"/>
      <c r="B66" s="42">
        <f>'設定'!$I$13</f>
        <v/>
      </c>
      <c r="C66" s="60" t="n"/>
      <c r="D66" s="60" t="n"/>
      <c r="E66" s="60" t="n"/>
      <c r="F66" s="60" t="n"/>
      <c r="G66" s="60" t="n"/>
      <c r="H66" s="60" t="n"/>
      <c r="I66" s="60" t="n"/>
      <c r="J66" s="60" t="n"/>
      <c r="K66" s="60" t="n"/>
      <c r="L66" s="60" t="n"/>
    </row>
    <row r="67" ht="21" customHeight="1">
      <c r="A67" s="59" t="n"/>
      <c r="B67" s="42">
        <f>'設定'!$I$14</f>
        <v/>
      </c>
      <c r="C67" s="60" t="n"/>
      <c r="D67" s="60" t="n"/>
      <c r="E67" s="60" t="n"/>
      <c r="F67" s="60" t="n"/>
      <c r="G67" s="60" t="n"/>
      <c r="H67" s="60" t="n"/>
      <c r="I67" s="60" t="n"/>
      <c r="J67" s="60" t="n"/>
      <c r="K67" s="60" t="n"/>
      <c r="L67" s="60" t="n"/>
    </row>
    <row r="68" ht="21" customHeight="1">
      <c r="A68" s="59" t="n"/>
      <c r="B68" s="42">
        <f>'設定'!$I$15</f>
        <v/>
      </c>
      <c r="C68" s="60" t="n"/>
      <c r="D68" s="60" t="n"/>
      <c r="E68" s="60" t="n"/>
      <c r="F68" s="60" t="n"/>
      <c r="G68" s="60" t="n"/>
      <c r="H68" s="60" t="n"/>
      <c r="I68" s="60" t="n"/>
      <c r="J68" s="60" t="n"/>
      <c r="K68" s="60" t="n"/>
      <c r="L68" s="60" t="n"/>
    </row>
    <row r="69" ht="21" customHeight="1">
      <c r="A69" s="59" t="n"/>
      <c r="B69" s="42">
        <f>'設定'!$I$16</f>
        <v/>
      </c>
      <c r="C69" s="60" t="n"/>
      <c r="D69" s="60" t="n"/>
      <c r="E69" s="60" t="n"/>
      <c r="F69" s="60" t="n"/>
      <c r="G69" s="60" t="n"/>
      <c r="H69" s="60" t="n"/>
      <c r="I69" s="60" t="n"/>
      <c r="J69" s="60" t="n"/>
      <c r="K69" s="60" t="n"/>
      <c r="L69" s="60" t="n"/>
    </row>
    <row r="70" ht="21" customHeight="1">
      <c r="A70" s="59" t="n"/>
      <c r="B70" s="42">
        <f>'設定'!$I$17</f>
        <v/>
      </c>
      <c r="C70" s="60" t="n"/>
      <c r="D70" s="60" t="n"/>
      <c r="E70" s="60" t="n"/>
      <c r="F70" s="60" t="n"/>
      <c r="G70" s="60" t="n"/>
      <c r="H70" s="60" t="n"/>
      <c r="I70" s="60" t="n"/>
      <c r="J70" s="60" t="n"/>
      <c r="K70" s="60" t="n"/>
      <c r="L70" s="60" t="n"/>
    </row>
    <row r="71" ht="21" customHeight="1">
      <c r="A71" s="59" t="n"/>
      <c r="B71" s="42">
        <f>'設定'!$I$18</f>
        <v/>
      </c>
      <c r="C71" s="60" t="n"/>
      <c r="D71" s="60" t="n"/>
      <c r="E71" s="60" t="n"/>
      <c r="F71" s="60" t="n"/>
      <c r="G71" s="60" t="n"/>
      <c r="H71" s="60" t="n"/>
      <c r="I71" s="60" t="n"/>
      <c r="J71" s="60" t="n"/>
      <c r="K71" s="60" t="n"/>
      <c r="L71" s="60" t="n"/>
    </row>
    <row r="72" ht="21" customHeight="1">
      <c r="A72" s="59" t="n"/>
      <c r="B72" s="42">
        <f>'設定'!$I$19</f>
        <v/>
      </c>
      <c r="C72" s="60" t="n"/>
      <c r="D72" s="60" t="n"/>
      <c r="E72" s="60" t="n"/>
      <c r="F72" s="60" t="n"/>
      <c r="G72" s="60" t="n"/>
      <c r="H72" s="60" t="n"/>
      <c r="I72" s="60" t="n"/>
      <c r="J72" s="60" t="n"/>
      <c r="K72" s="60" t="n"/>
      <c r="L72" s="60" t="n"/>
    </row>
    <row r="73" ht="21" customHeight="1">
      <c r="A73" s="59" t="n"/>
      <c r="B73" s="42">
        <f>'設定'!$I$20</f>
        <v/>
      </c>
      <c r="C73" s="60" t="n"/>
      <c r="D73" s="60" t="n"/>
      <c r="E73" s="60" t="n"/>
      <c r="F73" s="60" t="n"/>
      <c r="G73" s="60" t="n"/>
      <c r="H73" s="60" t="n"/>
      <c r="I73" s="60" t="n"/>
      <c r="J73" s="60" t="n"/>
      <c r="K73" s="60" t="n"/>
      <c r="L73" s="60" t="n"/>
    </row>
    <row r="74" ht="21" customHeight="1">
      <c r="A74" s="59" t="n"/>
      <c r="B74" s="42">
        <f>'設定'!$I$21</f>
        <v/>
      </c>
      <c r="C74" s="60" t="n"/>
      <c r="D74" s="60" t="n"/>
      <c r="E74" s="60" t="n"/>
      <c r="F74" s="60" t="n"/>
      <c r="G74" s="60" t="n"/>
      <c r="H74" s="60" t="n"/>
      <c r="I74" s="60" t="n"/>
      <c r="J74" s="60" t="n"/>
      <c r="K74" s="60" t="n"/>
      <c r="L74" s="60" t="n"/>
    </row>
    <row r="75" ht="21" customHeight="1">
      <c r="A75" s="59" t="n"/>
      <c r="B75" s="42">
        <f>'設定'!$I$22</f>
        <v/>
      </c>
      <c r="C75" s="60" t="n"/>
      <c r="D75" s="60" t="n"/>
      <c r="E75" s="60" t="n"/>
      <c r="F75" s="60" t="n"/>
      <c r="G75" s="60" t="n"/>
      <c r="H75" s="60" t="n"/>
      <c r="I75" s="60" t="n"/>
      <c r="J75" s="60" t="n"/>
      <c r="K75" s="60" t="n"/>
      <c r="L75" s="60" t="n"/>
    </row>
    <row r="76" ht="21" customHeight="1">
      <c r="A76" s="59" t="n"/>
      <c r="B76" s="42">
        <f>'設定'!$I$23</f>
        <v/>
      </c>
      <c r="C76" s="60" t="n"/>
      <c r="D76" s="60" t="n"/>
      <c r="E76" s="60" t="n"/>
      <c r="F76" s="60" t="n"/>
      <c r="G76" s="60" t="n"/>
      <c r="H76" s="60" t="n"/>
      <c r="I76" s="60" t="n"/>
      <c r="J76" s="60" t="n"/>
      <c r="K76" s="60" t="n"/>
      <c r="L76" s="60" t="n"/>
    </row>
    <row r="77" ht="21" customHeight="1">
      <c r="A77" s="59" t="n"/>
      <c r="B77" s="42">
        <f>'設定'!$I$24</f>
        <v/>
      </c>
      <c r="C77" s="60" t="n"/>
      <c r="D77" s="60" t="n"/>
      <c r="E77" s="60" t="n"/>
      <c r="F77" s="60" t="n"/>
      <c r="G77" s="60" t="n"/>
      <c r="H77" s="60" t="n"/>
      <c r="I77" s="60" t="n"/>
      <c r="J77" s="60" t="n"/>
      <c r="K77" s="60" t="n"/>
      <c r="L77" s="60" t="n"/>
    </row>
    <row r="78" ht="21" customHeight="1">
      <c r="A78" s="59" t="n"/>
      <c r="B78" s="42">
        <f>'設定'!$I$25</f>
        <v/>
      </c>
      <c r="C78" s="60" t="n"/>
      <c r="D78" s="60" t="n"/>
      <c r="E78" s="60" t="n"/>
      <c r="F78" s="60" t="n"/>
      <c r="G78" s="60" t="n"/>
      <c r="H78" s="60" t="n"/>
      <c r="I78" s="60" t="n"/>
      <c r="J78" s="60" t="n"/>
      <c r="K78" s="60" t="n"/>
      <c r="L78" s="60" t="n"/>
    </row>
    <row r="79" ht="21" customHeight="1">
      <c r="A79" s="59" t="n"/>
      <c r="B79" s="42">
        <f>'設定'!$I$26</f>
        <v/>
      </c>
      <c r="C79" s="60" t="n"/>
      <c r="D79" s="60" t="n"/>
      <c r="E79" s="60" t="n"/>
      <c r="F79" s="60" t="n"/>
      <c r="G79" s="60" t="n"/>
      <c r="H79" s="60" t="n"/>
      <c r="I79" s="60" t="n"/>
      <c r="J79" s="60" t="n"/>
      <c r="K79" s="60" t="n"/>
      <c r="L79" s="60" t="n"/>
    </row>
    <row r="80" ht="21" customHeight="1">
      <c r="A80" s="59" t="n"/>
      <c r="B80" s="42">
        <f>'設定'!$I$27</f>
        <v/>
      </c>
      <c r="C80" s="60" t="n"/>
      <c r="D80" s="60" t="n"/>
      <c r="E80" s="60" t="n"/>
      <c r="F80" s="60" t="n"/>
      <c r="G80" s="60" t="n"/>
      <c r="H80" s="60" t="n"/>
      <c r="I80" s="60" t="n"/>
      <c r="J80" s="60" t="n"/>
      <c r="K80" s="60" t="n"/>
      <c r="L80" s="60" t="n"/>
    </row>
    <row r="81" ht="21" customHeight="1">
      <c r="A81" s="59" t="n"/>
      <c r="B81" s="42">
        <f>'設定'!$I$28</f>
        <v/>
      </c>
      <c r="C81" s="60" t="n"/>
      <c r="D81" s="60" t="n"/>
      <c r="E81" s="60" t="n"/>
      <c r="F81" s="60" t="n"/>
      <c r="G81" s="60" t="n"/>
      <c r="H81" s="60" t="n"/>
      <c r="I81" s="60" t="n"/>
      <c r="J81" s="60" t="n"/>
      <c r="K81" s="60" t="n"/>
      <c r="L81" s="60" t="n"/>
    </row>
    <row r="82" ht="21" customHeight="1">
      <c r="A82" s="59" t="n"/>
      <c r="B82" s="42">
        <f>'設定'!$I$29</f>
        <v/>
      </c>
      <c r="C82" s="60" t="n"/>
      <c r="D82" s="60" t="n"/>
      <c r="E82" s="60" t="n"/>
      <c r="F82" s="60" t="n"/>
      <c r="G82" s="60" t="n"/>
      <c r="H82" s="60" t="n"/>
      <c r="I82" s="60" t="n"/>
      <c r="J82" s="60" t="n"/>
      <c r="K82" s="60" t="n"/>
      <c r="L82" s="60" t="n"/>
    </row>
    <row r="83" ht="21" customHeight="1">
      <c r="A83" s="59" t="n"/>
      <c r="B83" s="42">
        <f>'設定'!$I$30</f>
        <v/>
      </c>
      <c r="C83" s="60" t="n"/>
      <c r="D83" s="60" t="n"/>
      <c r="E83" s="60" t="n"/>
      <c r="F83" s="60" t="n"/>
      <c r="G83" s="60" t="n"/>
      <c r="H83" s="60" t="n"/>
      <c r="I83" s="60" t="n"/>
      <c r="J83" s="60" t="n"/>
      <c r="K83" s="60" t="n"/>
      <c r="L83" s="60" t="n"/>
    </row>
    <row r="84" ht="21" customHeight="1">
      <c r="A84" s="59" t="n"/>
      <c r="B84" s="42">
        <f>'設定'!$I$31</f>
        <v/>
      </c>
      <c r="C84" s="60" t="n"/>
      <c r="D84" s="60" t="n"/>
      <c r="E84" s="60" t="n"/>
      <c r="F84" s="60" t="n"/>
      <c r="G84" s="60" t="n"/>
      <c r="H84" s="60" t="n"/>
      <c r="I84" s="60" t="n"/>
      <c r="J84" s="60" t="n"/>
      <c r="K84" s="60" t="n"/>
      <c r="L84" s="60" t="n"/>
    </row>
    <row r="85" ht="21" customHeight="1">
      <c r="A85" s="59" t="n"/>
      <c r="B85" s="42">
        <f>'設定'!$I$32</f>
        <v/>
      </c>
      <c r="C85" s="60" t="n"/>
      <c r="D85" s="60" t="n"/>
      <c r="E85" s="60" t="n"/>
      <c r="F85" s="60" t="n"/>
      <c r="G85" s="60" t="n"/>
      <c r="H85" s="60" t="n"/>
      <c r="I85" s="60" t="n"/>
      <c r="J85" s="60" t="n"/>
      <c r="K85" s="60" t="n"/>
      <c r="L85" s="60" t="n"/>
    </row>
    <row r="86" ht="21" customHeight="1">
      <c r="A86" s="59" t="n"/>
      <c r="B86" s="42">
        <f>'設定'!$I$33</f>
        <v/>
      </c>
      <c r="C86" s="60" t="n"/>
      <c r="D86" s="60" t="n"/>
      <c r="E86" s="60" t="n"/>
      <c r="F86" s="60" t="n"/>
      <c r="G86" s="60" t="n"/>
      <c r="H86" s="60" t="n"/>
      <c r="I86" s="60" t="n"/>
      <c r="J86" s="60" t="n"/>
      <c r="K86" s="60" t="n"/>
      <c r="L86" s="60" t="n"/>
    </row>
    <row r="87" ht="21" customHeight="1">
      <c r="A87" s="59" t="n"/>
      <c r="B87" s="42">
        <f>'設定'!$I$34</f>
        <v/>
      </c>
      <c r="C87" s="60" t="n"/>
      <c r="D87" s="60" t="n"/>
      <c r="E87" s="60" t="n"/>
      <c r="F87" s="60" t="n"/>
      <c r="G87" s="60" t="n"/>
      <c r="H87" s="60" t="n"/>
      <c r="I87" s="60" t="n"/>
      <c r="J87" s="60" t="n"/>
      <c r="K87" s="60" t="n"/>
      <c r="L87" s="60" t="n"/>
    </row>
    <row r="88"/>
    <row r="89" ht="26" customHeight="1">
      <c r="B89" s="53">
        <f>IF('名簿'!B8="","（名簿 4行目：なし）",'名簿'!G8)</f>
        <v/>
      </c>
      <c r="C89" s="4" t="n"/>
      <c r="D89" s="4" t="n"/>
      <c r="E89" s="54" t="inlineStr">
        <is>
          <t>提出状況 ▶</t>
        </is>
      </c>
      <c r="F89" s="38" t="n"/>
      <c r="G89" s="29" t="n"/>
      <c r="H89" s="55" t="inlineStr">
        <is>
          <t>状況：</t>
        </is>
      </c>
      <c r="I89" s="56">
        <f>'名簿'!H8</f>
        <v/>
      </c>
      <c r="J89" s="55" t="inlineStr">
        <is>
          <t>×の数：</t>
        </is>
      </c>
      <c r="K89" s="57">
        <f>'名簿'!I8</f>
        <v/>
      </c>
      <c r="L89" s="58">
        <f>HYPERLINK("#'×入力'!B117","次の人へ ▼")</f>
        <v/>
      </c>
    </row>
    <row r="90" ht="22" customHeight="1">
      <c r="A90" s="30" t="inlineStr">
        <is>
          <t>この日全部 ▶</t>
        </is>
      </c>
      <c r="C90" s="59" t="n"/>
      <c r="D90" s="59" t="n"/>
      <c r="E90" s="59" t="n"/>
      <c r="F90" s="59" t="n"/>
      <c r="G90" s="59" t="n"/>
      <c r="H90" s="59" t="n"/>
      <c r="I90" s="59" t="n"/>
      <c r="J90" s="59" t="n"/>
      <c r="K90" s="59" t="n"/>
      <c r="L90" s="59" t="n"/>
    </row>
    <row r="91" ht="28" customHeight="1">
      <c r="A91" s="33" t="inlineStr">
        <is>
          <t>この時間
全部 ▼</t>
        </is>
      </c>
      <c r="B91" s="34" t="inlineStr"/>
      <c r="C91" s="35">
        <f>'設定'!$E$11</f>
        <v/>
      </c>
      <c r="D91" s="35">
        <f>'設定'!$E$12</f>
        <v/>
      </c>
      <c r="E91" s="35">
        <f>'設定'!$E$13</f>
        <v/>
      </c>
      <c r="F91" s="35">
        <f>'設定'!$E$14</f>
        <v/>
      </c>
      <c r="G91" s="35">
        <f>'設定'!$E$15</f>
        <v/>
      </c>
      <c r="H91" s="35">
        <f>'設定'!$E$16</f>
        <v/>
      </c>
      <c r="I91" s="35">
        <f>'設定'!$E$17</f>
        <v/>
      </c>
      <c r="J91" s="35">
        <f>'設定'!$E$18</f>
        <v/>
      </c>
      <c r="K91" s="35">
        <f>'設定'!$E$19</f>
        <v/>
      </c>
      <c r="L91" s="35">
        <f>'設定'!$E$20</f>
        <v/>
      </c>
    </row>
    <row r="92" ht="21" customHeight="1">
      <c r="A92" s="59" t="n"/>
      <c r="B92" s="42">
        <f>'設定'!$I$11</f>
        <v/>
      </c>
      <c r="C92" s="60" t="n"/>
      <c r="D92" s="60" t="n"/>
      <c r="E92" s="60" t="n"/>
      <c r="F92" s="60" t="n"/>
      <c r="G92" s="60" t="n"/>
      <c r="H92" s="60" t="n"/>
      <c r="I92" s="60" t="n"/>
      <c r="J92" s="60" t="n"/>
      <c r="K92" s="60" t="n"/>
      <c r="L92" s="60" t="n"/>
    </row>
    <row r="93" ht="21" customHeight="1">
      <c r="A93" s="59" t="n"/>
      <c r="B93" s="42">
        <f>'設定'!$I$12</f>
        <v/>
      </c>
      <c r="C93" s="60" t="n"/>
      <c r="D93" s="60" t="n"/>
      <c r="E93" s="60" t="n"/>
      <c r="F93" s="60" t="n"/>
      <c r="G93" s="60" t="n"/>
      <c r="H93" s="60" t="n"/>
      <c r="I93" s="60" t="n"/>
      <c r="J93" s="60" t="n"/>
      <c r="K93" s="60" t="n"/>
      <c r="L93" s="60" t="n"/>
    </row>
    <row r="94" ht="21" customHeight="1">
      <c r="A94" s="59" t="n"/>
      <c r="B94" s="42">
        <f>'設定'!$I$13</f>
        <v/>
      </c>
      <c r="C94" s="60" t="n"/>
      <c r="D94" s="60" t="n"/>
      <c r="E94" s="60" t="n"/>
      <c r="F94" s="60" t="n"/>
      <c r="G94" s="60" t="n"/>
      <c r="H94" s="60" t="n"/>
      <c r="I94" s="60" t="n"/>
      <c r="J94" s="60" t="n"/>
      <c r="K94" s="60" t="n"/>
      <c r="L94" s="60" t="n"/>
    </row>
    <row r="95" ht="21" customHeight="1">
      <c r="A95" s="59" t="n"/>
      <c r="B95" s="42">
        <f>'設定'!$I$14</f>
        <v/>
      </c>
      <c r="C95" s="60" t="n"/>
      <c r="D95" s="60" t="n"/>
      <c r="E95" s="60" t="n"/>
      <c r="F95" s="60" t="n"/>
      <c r="G95" s="60" t="n"/>
      <c r="H95" s="60" t="n"/>
      <c r="I95" s="60" t="n"/>
      <c r="J95" s="60" t="n"/>
      <c r="K95" s="60" t="n"/>
      <c r="L95" s="60" t="n"/>
    </row>
    <row r="96" ht="21" customHeight="1">
      <c r="A96" s="59" t="n"/>
      <c r="B96" s="42">
        <f>'設定'!$I$15</f>
        <v/>
      </c>
      <c r="C96" s="60" t="n"/>
      <c r="D96" s="60" t="n"/>
      <c r="E96" s="60" t="n"/>
      <c r="F96" s="60" t="n"/>
      <c r="G96" s="60" t="n"/>
      <c r="H96" s="60" t="n"/>
      <c r="I96" s="60" t="n"/>
      <c r="J96" s="60" t="n"/>
      <c r="K96" s="60" t="n"/>
      <c r="L96" s="60" t="n"/>
    </row>
    <row r="97" ht="21" customHeight="1">
      <c r="A97" s="59" t="n"/>
      <c r="B97" s="42">
        <f>'設定'!$I$16</f>
        <v/>
      </c>
      <c r="C97" s="60" t="n"/>
      <c r="D97" s="60" t="n"/>
      <c r="E97" s="60" t="n"/>
      <c r="F97" s="60" t="n"/>
      <c r="G97" s="60" t="n"/>
      <c r="H97" s="60" t="n"/>
      <c r="I97" s="60" t="n"/>
      <c r="J97" s="60" t="n"/>
      <c r="K97" s="60" t="n"/>
      <c r="L97" s="60" t="n"/>
    </row>
    <row r="98" ht="21" customHeight="1">
      <c r="A98" s="59" t="n"/>
      <c r="B98" s="42">
        <f>'設定'!$I$17</f>
        <v/>
      </c>
      <c r="C98" s="60" t="n"/>
      <c r="D98" s="60" t="n"/>
      <c r="E98" s="60" t="n"/>
      <c r="F98" s="60" t="n"/>
      <c r="G98" s="60" t="n"/>
      <c r="H98" s="60" t="n"/>
      <c r="I98" s="60" t="n"/>
      <c r="J98" s="60" t="n"/>
      <c r="K98" s="60" t="n"/>
      <c r="L98" s="60" t="n"/>
    </row>
    <row r="99" ht="21" customHeight="1">
      <c r="A99" s="59" t="n"/>
      <c r="B99" s="42">
        <f>'設定'!$I$18</f>
        <v/>
      </c>
      <c r="C99" s="60" t="n"/>
      <c r="D99" s="60" t="n"/>
      <c r="E99" s="60" t="n"/>
      <c r="F99" s="60" t="n"/>
      <c r="G99" s="60" t="n"/>
      <c r="H99" s="60" t="n"/>
      <c r="I99" s="60" t="n"/>
      <c r="J99" s="60" t="n"/>
      <c r="K99" s="60" t="n"/>
      <c r="L99" s="60" t="n"/>
    </row>
    <row r="100" ht="21" customHeight="1">
      <c r="A100" s="59" t="n"/>
      <c r="B100" s="42">
        <f>'設定'!$I$19</f>
        <v/>
      </c>
      <c r="C100" s="60" t="n"/>
      <c r="D100" s="60" t="n"/>
      <c r="E100" s="60" t="n"/>
      <c r="F100" s="60" t="n"/>
      <c r="G100" s="60" t="n"/>
      <c r="H100" s="60" t="n"/>
      <c r="I100" s="60" t="n"/>
      <c r="J100" s="60" t="n"/>
      <c r="K100" s="60" t="n"/>
      <c r="L100" s="60" t="n"/>
    </row>
    <row r="101" ht="21" customHeight="1">
      <c r="A101" s="59" t="n"/>
      <c r="B101" s="42">
        <f>'設定'!$I$20</f>
        <v/>
      </c>
      <c r="C101" s="60" t="n"/>
      <c r="D101" s="60" t="n"/>
      <c r="E101" s="60" t="n"/>
      <c r="F101" s="60" t="n"/>
      <c r="G101" s="60" t="n"/>
      <c r="H101" s="60" t="n"/>
      <c r="I101" s="60" t="n"/>
      <c r="J101" s="60" t="n"/>
      <c r="K101" s="60" t="n"/>
      <c r="L101" s="60" t="n"/>
    </row>
    <row r="102" ht="21" customHeight="1">
      <c r="A102" s="59" t="n"/>
      <c r="B102" s="42">
        <f>'設定'!$I$21</f>
        <v/>
      </c>
      <c r="C102" s="60" t="n"/>
      <c r="D102" s="60" t="n"/>
      <c r="E102" s="60" t="n"/>
      <c r="F102" s="60" t="n"/>
      <c r="G102" s="60" t="n"/>
      <c r="H102" s="60" t="n"/>
      <c r="I102" s="60" t="n"/>
      <c r="J102" s="60" t="n"/>
      <c r="K102" s="60" t="n"/>
      <c r="L102" s="60" t="n"/>
    </row>
    <row r="103" ht="21" customHeight="1">
      <c r="A103" s="59" t="n"/>
      <c r="B103" s="42">
        <f>'設定'!$I$22</f>
        <v/>
      </c>
      <c r="C103" s="60" t="n"/>
      <c r="D103" s="60" t="n"/>
      <c r="E103" s="60" t="n"/>
      <c r="F103" s="60" t="n"/>
      <c r="G103" s="60" t="n"/>
      <c r="H103" s="60" t="n"/>
      <c r="I103" s="60" t="n"/>
      <c r="J103" s="60" t="n"/>
      <c r="K103" s="60" t="n"/>
      <c r="L103" s="60" t="n"/>
    </row>
    <row r="104" ht="21" customHeight="1">
      <c r="A104" s="59" t="n"/>
      <c r="B104" s="42">
        <f>'設定'!$I$23</f>
        <v/>
      </c>
      <c r="C104" s="60" t="n"/>
      <c r="D104" s="60" t="n"/>
      <c r="E104" s="60" t="n"/>
      <c r="F104" s="60" t="n"/>
      <c r="G104" s="60" t="n"/>
      <c r="H104" s="60" t="n"/>
      <c r="I104" s="60" t="n"/>
      <c r="J104" s="60" t="n"/>
      <c r="K104" s="60" t="n"/>
      <c r="L104" s="60" t="n"/>
    </row>
    <row r="105" ht="21" customHeight="1">
      <c r="A105" s="59" t="n"/>
      <c r="B105" s="42">
        <f>'設定'!$I$24</f>
        <v/>
      </c>
      <c r="C105" s="60" t="n"/>
      <c r="D105" s="60" t="n"/>
      <c r="E105" s="60" t="n"/>
      <c r="F105" s="60" t="n"/>
      <c r="G105" s="60" t="n"/>
      <c r="H105" s="60" t="n"/>
      <c r="I105" s="60" t="n"/>
      <c r="J105" s="60" t="n"/>
      <c r="K105" s="60" t="n"/>
      <c r="L105" s="60" t="n"/>
    </row>
    <row r="106" ht="21" customHeight="1">
      <c r="A106" s="59" t="n"/>
      <c r="B106" s="42">
        <f>'設定'!$I$25</f>
        <v/>
      </c>
      <c r="C106" s="60" t="n"/>
      <c r="D106" s="60" t="n"/>
      <c r="E106" s="60" t="n"/>
      <c r="F106" s="60" t="n"/>
      <c r="G106" s="60" t="n"/>
      <c r="H106" s="60" t="n"/>
      <c r="I106" s="60" t="n"/>
      <c r="J106" s="60" t="n"/>
      <c r="K106" s="60" t="n"/>
      <c r="L106" s="60" t="n"/>
    </row>
    <row r="107" ht="21" customHeight="1">
      <c r="A107" s="59" t="n"/>
      <c r="B107" s="42">
        <f>'設定'!$I$26</f>
        <v/>
      </c>
      <c r="C107" s="60" t="n"/>
      <c r="D107" s="60" t="n"/>
      <c r="E107" s="60" t="n"/>
      <c r="F107" s="60" t="n"/>
      <c r="G107" s="60" t="n"/>
      <c r="H107" s="60" t="n"/>
      <c r="I107" s="60" t="n"/>
      <c r="J107" s="60" t="n"/>
      <c r="K107" s="60" t="n"/>
      <c r="L107" s="60" t="n"/>
    </row>
    <row r="108" ht="21" customHeight="1">
      <c r="A108" s="59" t="n"/>
      <c r="B108" s="42">
        <f>'設定'!$I$27</f>
        <v/>
      </c>
      <c r="C108" s="60" t="n"/>
      <c r="D108" s="60" t="n"/>
      <c r="E108" s="60" t="n"/>
      <c r="F108" s="60" t="n"/>
      <c r="G108" s="60" t="n"/>
      <c r="H108" s="60" t="n"/>
      <c r="I108" s="60" t="n"/>
      <c r="J108" s="60" t="n"/>
      <c r="K108" s="60" t="n"/>
      <c r="L108" s="60" t="n"/>
    </row>
    <row r="109" ht="21" customHeight="1">
      <c r="A109" s="59" t="n"/>
      <c r="B109" s="42">
        <f>'設定'!$I$28</f>
        <v/>
      </c>
      <c r="C109" s="60" t="n"/>
      <c r="D109" s="60" t="n"/>
      <c r="E109" s="60" t="n"/>
      <c r="F109" s="60" t="n"/>
      <c r="G109" s="60" t="n"/>
      <c r="H109" s="60" t="n"/>
      <c r="I109" s="60" t="n"/>
      <c r="J109" s="60" t="n"/>
      <c r="K109" s="60" t="n"/>
      <c r="L109" s="60" t="n"/>
    </row>
    <row r="110" ht="21" customHeight="1">
      <c r="A110" s="59" t="n"/>
      <c r="B110" s="42">
        <f>'設定'!$I$29</f>
        <v/>
      </c>
      <c r="C110" s="60" t="n"/>
      <c r="D110" s="60" t="n"/>
      <c r="E110" s="60" t="n"/>
      <c r="F110" s="60" t="n"/>
      <c r="G110" s="60" t="n"/>
      <c r="H110" s="60" t="n"/>
      <c r="I110" s="60" t="n"/>
      <c r="J110" s="60" t="n"/>
      <c r="K110" s="60" t="n"/>
      <c r="L110" s="60" t="n"/>
    </row>
    <row r="111" ht="21" customHeight="1">
      <c r="A111" s="59" t="n"/>
      <c r="B111" s="42">
        <f>'設定'!$I$30</f>
        <v/>
      </c>
      <c r="C111" s="60" t="n"/>
      <c r="D111" s="60" t="n"/>
      <c r="E111" s="60" t="n"/>
      <c r="F111" s="60" t="n"/>
      <c r="G111" s="60" t="n"/>
      <c r="H111" s="60" t="n"/>
      <c r="I111" s="60" t="n"/>
      <c r="J111" s="60" t="n"/>
      <c r="K111" s="60" t="n"/>
      <c r="L111" s="60" t="n"/>
    </row>
    <row r="112" ht="21" customHeight="1">
      <c r="A112" s="59" t="n"/>
      <c r="B112" s="42">
        <f>'設定'!$I$31</f>
        <v/>
      </c>
      <c r="C112" s="60" t="n"/>
      <c r="D112" s="60" t="n"/>
      <c r="E112" s="60" t="n"/>
      <c r="F112" s="60" t="n"/>
      <c r="G112" s="60" t="n"/>
      <c r="H112" s="60" t="n"/>
      <c r="I112" s="60" t="n"/>
      <c r="J112" s="60" t="n"/>
      <c r="K112" s="60" t="n"/>
      <c r="L112" s="60" t="n"/>
    </row>
    <row r="113" ht="21" customHeight="1">
      <c r="A113" s="59" t="n"/>
      <c r="B113" s="42">
        <f>'設定'!$I$32</f>
        <v/>
      </c>
      <c r="C113" s="60" t="n"/>
      <c r="D113" s="60" t="n"/>
      <c r="E113" s="60" t="n"/>
      <c r="F113" s="60" t="n"/>
      <c r="G113" s="60" t="n"/>
      <c r="H113" s="60" t="n"/>
      <c r="I113" s="60" t="n"/>
      <c r="J113" s="60" t="n"/>
      <c r="K113" s="60" t="n"/>
      <c r="L113" s="60" t="n"/>
    </row>
    <row r="114" ht="21" customHeight="1">
      <c r="A114" s="59" t="n"/>
      <c r="B114" s="42">
        <f>'設定'!$I$33</f>
        <v/>
      </c>
      <c r="C114" s="60" t="n"/>
      <c r="D114" s="60" t="n"/>
      <c r="E114" s="60" t="n"/>
      <c r="F114" s="60" t="n"/>
      <c r="G114" s="60" t="n"/>
      <c r="H114" s="60" t="n"/>
      <c r="I114" s="60" t="n"/>
      <c r="J114" s="60" t="n"/>
      <c r="K114" s="60" t="n"/>
      <c r="L114" s="60" t="n"/>
    </row>
    <row r="115" ht="21" customHeight="1">
      <c r="A115" s="59" t="n"/>
      <c r="B115" s="42">
        <f>'設定'!$I$34</f>
        <v/>
      </c>
      <c r="C115" s="60" t="n"/>
      <c r="D115" s="60" t="n"/>
      <c r="E115" s="60" t="n"/>
      <c r="F115" s="60" t="n"/>
      <c r="G115" s="60" t="n"/>
      <c r="H115" s="60" t="n"/>
      <c r="I115" s="60" t="n"/>
      <c r="J115" s="60" t="n"/>
      <c r="K115" s="60" t="n"/>
      <c r="L115" s="60" t="n"/>
    </row>
    <row r="116"/>
    <row r="117" ht="26" customHeight="1">
      <c r="B117" s="53">
        <f>IF('名簿'!B9="","（名簿 5行目：なし）",'名簿'!G9)</f>
        <v/>
      </c>
      <c r="C117" s="4" t="n"/>
      <c r="D117" s="4" t="n"/>
      <c r="E117" s="54" t="inlineStr">
        <is>
          <t>提出状況 ▶</t>
        </is>
      </c>
      <c r="F117" s="38" t="n"/>
      <c r="G117" s="29" t="n"/>
      <c r="H117" s="55" t="inlineStr">
        <is>
          <t>状況：</t>
        </is>
      </c>
      <c r="I117" s="56">
        <f>'名簿'!H9</f>
        <v/>
      </c>
      <c r="J117" s="55" t="inlineStr">
        <is>
          <t>×の数：</t>
        </is>
      </c>
      <c r="K117" s="57">
        <f>'名簿'!I9</f>
        <v/>
      </c>
      <c r="L117" s="58">
        <f>HYPERLINK("#'×入力'!B145","次の人へ ▼")</f>
        <v/>
      </c>
    </row>
    <row r="118" ht="22" customHeight="1">
      <c r="A118" s="30" t="inlineStr">
        <is>
          <t>この日全部 ▶</t>
        </is>
      </c>
      <c r="C118" s="59" t="n"/>
      <c r="D118" s="59" t="n"/>
      <c r="E118" s="59" t="n"/>
      <c r="F118" s="59" t="n"/>
      <c r="G118" s="59" t="n"/>
      <c r="H118" s="59" t="n"/>
      <c r="I118" s="59" t="n"/>
      <c r="J118" s="59" t="n"/>
      <c r="K118" s="59" t="n"/>
      <c r="L118" s="59" t="n"/>
    </row>
    <row r="119" ht="28" customHeight="1">
      <c r="A119" s="33" t="inlineStr">
        <is>
          <t>この時間
全部 ▼</t>
        </is>
      </c>
      <c r="B119" s="34" t="inlineStr"/>
      <c r="C119" s="35">
        <f>'設定'!$E$11</f>
        <v/>
      </c>
      <c r="D119" s="35">
        <f>'設定'!$E$12</f>
        <v/>
      </c>
      <c r="E119" s="35">
        <f>'設定'!$E$13</f>
        <v/>
      </c>
      <c r="F119" s="35">
        <f>'設定'!$E$14</f>
        <v/>
      </c>
      <c r="G119" s="35">
        <f>'設定'!$E$15</f>
        <v/>
      </c>
      <c r="H119" s="35">
        <f>'設定'!$E$16</f>
        <v/>
      </c>
      <c r="I119" s="35">
        <f>'設定'!$E$17</f>
        <v/>
      </c>
      <c r="J119" s="35">
        <f>'設定'!$E$18</f>
        <v/>
      </c>
      <c r="K119" s="35">
        <f>'設定'!$E$19</f>
        <v/>
      </c>
      <c r="L119" s="35">
        <f>'設定'!$E$20</f>
        <v/>
      </c>
    </row>
    <row r="120" ht="21" customHeight="1">
      <c r="A120" s="59" t="n"/>
      <c r="B120" s="42">
        <f>'設定'!$I$11</f>
        <v/>
      </c>
      <c r="C120" s="60" t="n"/>
      <c r="D120" s="60" t="n"/>
      <c r="E120" s="60" t="n"/>
      <c r="F120" s="60" t="n"/>
      <c r="G120" s="60" t="n"/>
      <c r="H120" s="60" t="n"/>
      <c r="I120" s="60" t="n"/>
      <c r="J120" s="60" t="n"/>
      <c r="K120" s="60" t="n"/>
      <c r="L120" s="60" t="n"/>
    </row>
    <row r="121" ht="21" customHeight="1">
      <c r="A121" s="59" t="n"/>
      <c r="B121" s="42">
        <f>'設定'!$I$12</f>
        <v/>
      </c>
      <c r="C121" s="60" t="n"/>
      <c r="D121" s="60" t="n"/>
      <c r="E121" s="60" t="n"/>
      <c r="F121" s="60" t="n"/>
      <c r="G121" s="60" t="n"/>
      <c r="H121" s="60" t="n"/>
      <c r="I121" s="60" t="n"/>
      <c r="J121" s="60" t="n"/>
      <c r="K121" s="60" t="n"/>
      <c r="L121" s="60" t="n"/>
    </row>
    <row r="122" ht="21" customHeight="1">
      <c r="A122" s="59" t="n"/>
      <c r="B122" s="42">
        <f>'設定'!$I$13</f>
        <v/>
      </c>
      <c r="C122" s="60" t="n"/>
      <c r="D122" s="60" t="n"/>
      <c r="E122" s="60" t="n"/>
      <c r="F122" s="60" t="n"/>
      <c r="G122" s="60" t="n"/>
      <c r="H122" s="60" t="n"/>
      <c r="I122" s="60" t="n"/>
      <c r="J122" s="60" t="n"/>
      <c r="K122" s="60" t="n"/>
      <c r="L122" s="60" t="n"/>
    </row>
    <row r="123" ht="21" customHeight="1">
      <c r="A123" s="59" t="n"/>
      <c r="B123" s="42">
        <f>'設定'!$I$14</f>
        <v/>
      </c>
      <c r="C123" s="60" t="n"/>
      <c r="D123" s="60" t="n"/>
      <c r="E123" s="60" t="n"/>
      <c r="F123" s="60" t="n"/>
      <c r="G123" s="60" t="n"/>
      <c r="H123" s="60" t="n"/>
      <c r="I123" s="60" t="n"/>
      <c r="J123" s="60" t="n"/>
      <c r="K123" s="60" t="n"/>
      <c r="L123" s="60" t="n"/>
    </row>
    <row r="124" ht="21" customHeight="1">
      <c r="A124" s="59" t="n"/>
      <c r="B124" s="42">
        <f>'設定'!$I$15</f>
        <v/>
      </c>
      <c r="C124" s="60" t="n"/>
      <c r="D124" s="60" t="n"/>
      <c r="E124" s="60" t="n"/>
      <c r="F124" s="60" t="n"/>
      <c r="G124" s="60" t="n"/>
      <c r="H124" s="60" t="n"/>
      <c r="I124" s="60" t="n"/>
      <c r="J124" s="60" t="n"/>
      <c r="K124" s="60" t="n"/>
      <c r="L124" s="60" t="n"/>
    </row>
    <row r="125" ht="21" customHeight="1">
      <c r="A125" s="59" t="n"/>
      <c r="B125" s="42">
        <f>'設定'!$I$16</f>
        <v/>
      </c>
      <c r="C125" s="60" t="n"/>
      <c r="D125" s="60" t="n"/>
      <c r="E125" s="60" t="n"/>
      <c r="F125" s="60" t="n"/>
      <c r="G125" s="60" t="n"/>
      <c r="H125" s="60" t="n"/>
      <c r="I125" s="60" t="n"/>
      <c r="J125" s="60" t="n"/>
      <c r="K125" s="60" t="n"/>
      <c r="L125" s="60" t="n"/>
    </row>
    <row r="126" ht="21" customHeight="1">
      <c r="A126" s="59" t="n"/>
      <c r="B126" s="42">
        <f>'設定'!$I$17</f>
        <v/>
      </c>
      <c r="C126" s="60" t="n"/>
      <c r="D126" s="60" t="n"/>
      <c r="E126" s="60" t="n"/>
      <c r="F126" s="60" t="n"/>
      <c r="G126" s="60" t="n"/>
      <c r="H126" s="60" t="n"/>
      <c r="I126" s="60" t="n"/>
      <c r="J126" s="60" t="n"/>
      <c r="K126" s="60" t="n"/>
      <c r="L126" s="60" t="n"/>
    </row>
    <row r="127" ht="21" customHeight="1">
      <c r="A127" s="59" t="n"/>
      <c r="B127" s="42">
        <f>'設定'!$I$18</f>
        <v/>
      </c>
      <c r="C127" s="60" t="n"/>
      <c r="D127" s="60" t="n"/>
      <c r="E127" s="60" t="n"/>
      <c r="F127" s="60" t="n"/>
      <c r="G127" s="60" t="n"/>
      <c r="H127" s="60" t="n"/>
      <c r="I127" s="60" t="n"/>
      <c r="J127" s="60" t="n"/>
      <c r="K127" s="60" t="n"/>
      <c r="L127" s="60" t="n"/>
    </row>
    <row r="128" ht="21" customHeight="1">
      <c r="A128" s="59" t="n"/>
      <c r="B128" s="42">
        <f>'設定'!$I$19</f>
        <v/>
      </c>
      <c r="C128" s="60" t="n"/>
      <c r="D128" s="60" t="n"/>
      <c r="E128" s="60" t="n"/>
      <c r="F128" s="60" t="n"/>
      <c r="G128" s="60" t="n"/>
      <c r="H128" s="60" t="n"/>
      <c r="I128" s="60" t="n"/>
      <c r="J128" s="60" t="n"/>
      <c r="K128" s="60" t="n"/>
      <c r="L128" s="60" t="n"/>
    </row>
    <row r="129" ht="21" customHeight="1">
      <c r="A129" s="59" t="n"/>
      <c r="B129" s="42">
        <f>'設定'!$I$20</f>
        <v/>
      </c>
      <c r="C129" s="60" t="n"/>
      <c r="D129" s="60" t="n"/>
      <c r="E129" s="60" t="n"/>
      <c r="F129" s="60" t="n"/>
      <c r="G129" s="60" t="n"/>
      <c r="H129" s="60" t="n"/>
      <c r="I129" s="60" t="n"/>
      <c r="J129" s="60" t="n"/>
      <c r="K129" s="60" t="n"/>
      <c r="L129" s="60" t="n"/>
    </row>
    <row r="130" ht="21" customHeight="1">
      <c r="A130" s="59" t="n"/>
      <c r="B130" s="42">
        <f>'設定'!$I$21</f>
        <v/>
      </c>
      <c r="C130" s="60" t="n"/>
      <c r="D130" s="60" t="n"/>
      <c r="E130" s="60" t="n"/>
      <c r="F130" s="60" t="n"/>
      <c r="G130" s="60" t="n"/>
      <c r="H130" s="60" t="n"/>
      <c r="I130" s="60" t="n"/>
      <c r="J130" s="60" t="n"/>
      <c r="K130" s="60" t="n"/>
      <c r="L130" s="60" t="n"/>
    </row>
    <row r="131" ht="21" customHeight="1">
      <c r="A131" s="59" t="n"/>
      <c r="B131" s="42">
        <f>'設定'!$I$22</f>
        <v/>
      </c>
      <c r="C131" s="60" t="n"/>
      <c r="D131" s="60" t="n"/>
      <c r="E131" s="60" t="n"/>
      <c r="F131" s="60" t="n"/>
      <c r="G131" s="60" t="n"/>
      <c r="H131" s="60" t="n"/>
      <c r="I131" s="60" t="n"/>
      <c r="J131" s="60" t="n"/>
      <c r="K131" s="60" t="n"/>
      <c r="L131" s="60" t="n"/>
    </row>
    <row r="132" ht="21" customHeight="1">
      <c r="A132" s="59" t="n"/>
      <c r="B132" s="42">
        <f>'設定'!$I$23</f>
        <v/>
      </c>
      <c r="C132" s="60" t="n"/>
      <c r="D132" s="60" t="n"/>
      <c r="E132" s="60" t="n"/>
      <c r="F132" s="60" t="n"/>
      <c r="G132" s="60" t="n"/>
      <c r="H132" s="60" t="n"/>
      <c r="I132" s="60" t="n"/>
      <c r="J132" s="60" t="n"/>
      <c r="K132" s="60" t="n"/>
      <c r="L132" s="60" t="n"/>
    </row>
    <row r="133" ht="21" customHeight="1">
      <c r="A133" s="59" t="n"/>
      <c r="B133" s="42">
        <f>'設定'!$I$24</f>
        <v/>
      </c>
      <c r="C133" s="60" t="n"/>
      <c r="D133" s="60" t="n"/>
      <c r="E133" s="60" t="n"/>
      <c r="F133" s="60" t="n"/>
      <c r="G133" s="60" t="n"/>
      <c r="H133" s="60" t="n"/>
      <c r="I133" s="60" t="n"/>
      <c r="J133" s="60" t="n"/>
      <c r="K133" s="60" t="n"/>
      <c r="L133" s="60" t="n"/>
    </row>
    <row r="134" ht="21" customHeight="1">
      <c r="A134" s="59" t="n"/>
      <c r="B134" s="42">
        <f>'設定'!$I$25</f>
        <v/>
      </c>
      <c r="C134" s="60" t="n"/>
      <c r="D134" s="60" t="n"/>
      <c r="E134" s="60" t="n"/>
      <c r="F134" s="60" t="n"/>
      <c r="G134" s="60" t="n"/>
      <c r="H134" s="60" t="n"/>
      <c r="I134" s="60" t="n"/>
      <c r="J134" s="60" t="n"/>
      <c r="K134" s="60" t="n"/>
      <c r="L134" s="60" t="n"/>
    </row>
    <row r="135" ht="21" customHeight="1">
      <c r="A135" s="59" t="n"/>
      <c r="B135" s="42">
        <f>'設定'!$I$26</f>
        <v/>
      </c>
      <c r="C135" s="60" t="n"/>
      <c r="D135" s="60" t="n"/>
      <c r="E135" s="60" t="n"/>
      <c r="F135" s="60" t="n"/>
      <c r="G135" s="60" t="n"/>
      <c r="H135" s="60" t="n"/>
      <c r="I135" s="60" t="n"/>
      <c r="J135" s="60" t="n"/>
      <c r="K135" s="60" t="n"/>
      <c r="L135" s="60" t="n"/>
    </row>
    <row r="136" ht="21" customHeight="1">
      <c r="A136" s="59" t="n"/>
      <c r="B136" s="42">
        <f>'設定'!$I$27</f>
        <v/>
      </c>
      <c r="C136" s="60" t="n"/>
      <c r="D136" s="60" t="n"/>
      <c r="E136" s="60" t="n"/>
      <c r="F136" s="60" t="n"/>
      <c r="G136" s="60" t="n"/>
      <c r="H136" s="60" t="n"/>
      <c r="I136" s="60" t="n"/>
      <c r="J136" s="60" t="n"/>
      <c r="K136" s="60" t="n"/>
      <c r="L136" s="60" t="n"/>
    </row>
    <row r="137" ht="21" customHeight="1">
      <c r="A137" s="59" t="n"/>
      <c r="B137" s="42">
        <f>'設定'!$I$28</f>
        <v/>
      </c>
      <c r="C137" s="60" t="n"/>
      <c r="D137" s="60" t="n"/>
      <c r="E137" s="60" t="n"/>
      <c r="F137" s="60" t="n"/>
      <c r="G137" s="60" t="n"/>
      <c r="H137" s="60" t="n"/>
      <c r="I137" s="60" t="n"/>
      <c r="J137" s="60" t="n"/>
      <c r="K137" s="60" t="n"/>
      <c r="L137" s="60" t="n"/>
    </row>
    <row r="138" ht="21" customHeight="1">
      <c r="A138" s="59" t="n"/>
      <c r="B138" s="42">
        <f>'設定'!$I$29</f>
        <v/>
      </c>
      <c r="C138" s="60" t="n"/>
      <c r="D138" s="60" t="n"/>
      <c r="E138" s="60" t="n"/>
      <c r="F138" s="60" t="n"/>
      <c r="G138" s="60" t="n"/>
      <c r="H138" s="60" t="n"/>
      <c r="I138" s="60" t="n"/>
      <c r="J138" s="60" t="n"/>
      <c r="K138" s="60" t="n"/>
      <c r="L138" s="60" t="n"/>
    </row>
    <row r="139" ht="21" customHeight="1">
      <c r="A139" s="59" t="n"/>
      <c r="B139" s="42">
        <f>'設定'!$I$30</f>
        <v/>
      </c>
      <c r="C139" s="60" t="n"/>
      <c r="D139" s="60" t="n"/>
      <c r="E139" s="60" t="n"/>
      <c r="F139" s="60" t="n"/>
      <c r="G139" s="60" t="n"/>
      <c r="H139" s="60" t="n"/>
      <c r="I139" s="60" t="n"/>
      <c r="J139" s="60" t="n"/>
      <c r="K139" s="60" t="n"/>
      <c r="L139" s="60" t="n"/>
    </row>
    <row r="140" ht="21" customHeight="1">
      <c r="A140" s="59" t="n"/>
      <c r="B140" s="42">
        <f>'設定'!$I$31</f>
        <v/>
      </c>
      <c r="C140" s="60" t="n"/>
      <c r="D140" s="60" t="n"/>
      <c r="E140" s="60" t="n"/>
      <c r="F140" s="60" t="n"/>
      <c r="G140" s="60" t="n"/>
      <c r="H140" s="60" t="n"/>
      <c r="I140" s="60" t="n"/>
      <c r="J140" s="60" t="n"/>
      <c r="K140" s="60" t="n"/>
      <c r="L140" s="60" t="n"/>
    </row>
    <row r="141" ht="21" customHeight="1">
      <c r="A141" s="59" t="n"/>
      <c r="B141" s="42">
        <f>'設定'!$I$32</f>
        <v/>
      </c>
      <c r="C141" s="60" t="n"/>
      <c r="D141" s="60" t="n"/>
      <c r="E141" s="60" t="n"/>
      <c r="F141" s="60" t="n"/>
      <c r="G141" s="60" t="n"/>
      <c r="H141" s="60" t="n"/>
      <c r="I141" s="60" t="n"/>
      <c r="J141" s="60" t="n"/>
      <c r="K141" s="60" t="n"/>
      <c r="L141" s="60" t="n"/>
    </row>
    <row r="142" ht="21" customHeight="1">
      <c r="A142" s="59" t="n"/>
      <c r="B142" s="42">
        <f>'設定'!$I$33</f>
        <v/>
      </c>
      <c r="C142" s="60" t="n"/>
      <c r="D142" s="60" t="n"/>
      <c r="E142" s="60" t="n"/>
      <c r="F142" s="60" t="n"/>
      <c r="G142" s="60" t="n"/>
      <c r="H142" s="60" t="n"/>
      <c r="I142" s="60" t="n"/>
      <c r="J142" s="60" t="n"/>
      <c r="K142" s="60" t="n"/>
      <c r="L142" s="60" t="n"/>
    </row>
    <row r="143" ht="21" customHeight="1">
      <c r="A143" s="59" t="n"/>
      <c r="B143" s="42">
        <f>'設定'!$I$34</f>
        <v/>
      </c>
      <c r="C143" s="60" t="n"/>
      <c r="D143" s="60" t="n"/>
      <c r="E143" s="60" t="n"/>
      <c r="F143" s="60" t="n"/>
      <c r="G143" s="60" t="n"/>
      <c r="H143" s="60" t="n"/>
      <c r="I143" s="60" t="n"/>
      <c r="J143" s="60" t="n"/>
      <c r="K143" s="60" t="n"/>
      <c r="L143" s="60" t="n"/>
    </row>
    <row r="144"/>
    <row r="145" ht="26" customHeight="1">
      <c r="B145" s="53">
        <f>IF('名簿'!B10="","（名簿 6行目：なし）",'名簿'!G10)</f>
        <v/>
      </c>
      <c r="C145" s="4" t="n"/>
      <c r="D145" s="4" t="n"/>
      <c r="E145" s="54" t="inlineStr">
        <is>
          <t>提出状況 ▶</t>
        </is>
      </c>
      <c r="F145" s="38" t="n"/>
      <c r="G145" s="29" t="n"/>
      <c r="H145" s="55" t="inlineStr">
        <is>
          <t>状況：</t>
        </is>
      </c>
      <c r="I145" s="56">
        <f>'名簿'!H10</f>
        <v/>
      </c>
      <c r="J145" s="55" t="inlineStr">
        <is>
          <t>×の数：</t>
        </is>
      </c>
      <c r="K145" s="57">
        <f>'名簿'!I10</f>
        <v/>
      </c>
      <c r="L145" s="58">
        <f>HYPERLINK("#'×入力'!B173","次の人へ ▼")</f>
        <v/>
      </c>
    </row>
    <row r="146" ht="22" customHeight="1">
      <c r="A146" s="30" t="inlineStr">
        <is>
          <t>この日全部 ▶</t>
        </is>
      </c>
      <c r="C146" s="59" t="n"/>
      <c r="D146" s="59" t="n"/>
      <c r="E146" s="59" t="n"/>
      <c r="F146" s="59" t="n"/>
      <c r="G146" s="59" t="n"/>
      <c r="H146" s="59" t="n"/>
      <c r="I146" s="59" t="n"/>
      <c r="J146" s="59" t="n"/>
      <c r="K146" s="59" t="n"/>
      <c r="L146" s="59" t="n"/>
    </row>
    <row r="147" ht="28" customHeight="1">
      <c r="A147" s="33" t="inlineStr">
        <is>
          <t>この時間
全部 ▼</t>
        </is>
      </c>
      <c r="B147" s="34" t="inlineStr"/>
      <c r="C147" s="35">
        <f>'設定'!$E$11</f>
        <v/>
      </c>
      <c r="D147" s="35">
        <f>'設定'!$E$12</f>
        <v/>
      </c>
      <c r="E147" s="35">
        <f>'設定'!$E$13</f>
        <v/>
      </c>
      <c r="F147" s="35">
        <f>'設定'!$E$14</f>
        <v/>
      </c>
      <c r="G147" s="35">
        <f>'設定'!$E$15</f>
        <v/>
      </c>
      <c r="H147" s="35">
        <f>'設定'!$E$16</f>
        <v/>
      </c>
      <c r="I147" s="35">
        <f>'設定'!$E$17</f>
        <v/>
      </c>
      <c r="J147" s="35">
        <f>'設定'!$E$18</f>
        <v/>
      </c>
      <c r="K147" s="35">
        <f>'設定'!$E$19</f>
        <v/>
      </c>
      <c r="L147" s="35">
        <f>'設定'!$E$20</f>
        <v/>
      </c>
    </row>
    <row r="148" ht="21" customHeight="1">
      <c r="A148" s="59" t="n"/>
      <c r="B148" s="42">
        <f>'設定'!$I$11</f>
        <v/>
      </c>
      <c r="C148" s="60" t="n"/>
      <c r="D148" s="60" t="n"/>
      <c r="E148" s="60" t="n"/>
      <c r="F148" s="60" t="n"/>
      <c r="G148" s="60" t="n"/>
      <c r="H148" s="60" t="n"/>
      <c r="I148" s="60" t="n"/>
      <c r="J148" s="60" t="n"/>
      <c r="K148" s="60" t="n"/>
      <c r="L148" s="60" t="n"/>
    </row>
    <row r="149" ht="21" customHeight="1">
      <c r="A149" s="59" t="n"/>
      <c r="B149" s="42">
        <f>'設定'!$I$12</f>
        <v/>
      </c>
      <c r="C149" s="60" t="n"/>
      <c r="D149" s="60" t="n"/>
      <c r="E149" s="60" t="n"/>
      <c r="F149" s="60" t="n"/>
      <c r="G149" s="60" t="n"/>
      <c r="H149" s="60" t="n"/>
      <c r="I149" s="60" t="n"/>
      <c r="J149" s="60" t="n"/>
      <c r="K149" s="60" t="n"/>
      <c r="L149" s="60" t="n"/>
    </row>
    <row r="150" ht="21" customHeight="1">
      <c r="A150" s="59" t="n"/>
      <c r="B150" s="42">
        <f>'設定'!$I$13</f>
        <v/>
      </c>
      <c r="C150" s="60" t="n"/>
      <c r="D150" s="60" t="n"/>
      <c r="E150" s="60" t="n"/>
      <c r="F150" s="60" t="n"/>
      <c r="G150" s="60" t="n"/>
      <c r="H150" s="60" t="n"/>
      <c r="I150" s="60" t="n"/>
      <c r="J150" s="60" t="n"/>
      <c r="K150" s="60" t="n"/>
      <c r="L150" s="60" t="n"/>
    </row>
    <row r="151" ht="21" customHeight="1">
      <c r="A151" s="59" t="n"/>
      <c r="B151" s="42">
        <f>'設定'!$I$14</f>
        <v/>
      </c>
      <c r="C151" s="60" t="n"/>
      <c r="D151" s="60" t="n"/>
      <c r="E151" s="60" t="n"/>
      <c r="F151" s="60" t="n"/>
      <c r="G151" s="60" t="n"/>
      <c r="H151" s="60" t="n"/>
      <c r="I151" s="60" t="n"/>
      <c r="J151" s="60" t="n"/>
      <c r="K151" s="60" t="n"/>
      <c r="L151" s="60" t="n"/>
    </row>
    <row r="152" ht="21" customHeight="1">
      <c r="A152" s="59" t="n"/>
      <c r="B152" s="42">
        <f>'設定'!$I$15</f>
        <v/>
      </c>
      <c r="C152" s="60" t="n"/>
      <c r="D152" s="60" t="n"/>
      <c r="E152" s="60" t="n"/>
      <c r="F152" s="60" t="n"/>
      <c r="G152" s="60" t="n"/>
      <c r="H152" s="60" t="n"/>
      <c r="I152" s="60" t="n"/>
      <c r="J152" s="60" t="n"/>
      <c r="K152" s="60" t="n"/>
      <c r="L152" s="60" t="n"/>
    </row>
    <row r="153" ht="21" customHeight="1">
      <c r="A153" s="59" t="n"/>
      <c r="B153" s="42">
        <f>'設定'!$I$16</f>
        <v/>
      </c>
      <c r="C153" s="60" t="n"/>
      <c r="D153" s="60" t="n"/>
      <c r="E153" s="60" t="n"/>
      <c r="F153" s="60" t="n"/>
      <c r="G153" s="60" t="n"/>
      <c r="H153" s="60" t="n"/>
      <c r="I153" s="60" t="n"/>
      <c r="J153" s="60" t="n"/>
      <c r="K153" s="60" t="n"/>
      <c r="L153" s="60" t="n"/>
    </row>
    <row r="154" ht="21" customHeight="1">
      <c r="A154" s="59" t="n"/>
      <c r="B154" s="42">
        <f>'設定'!$I$17</f>
        <v/>
      </c>
      <c r="C154" s="60" t="n"/>
      <c r="D154" s="60" t="n"/>
      <c r="E154" s="60" t="n"/>
      <c r="F154" s="60" t="n"/>
      <c r="G154" s="60" t="n"/>
      <c r="H154" s="60" t="n"/>
      <c r="I154" s="60" t="n"/>
      <c r="J154" s="60" t="n"/>
      <c r="K154" s="60" t="n"/>
      <c r="L154" s="60" t="n"/>
    </row>
    <row r="155" ht="21" customHeight="1">
      <c r="A155" s="59" t="n"/>
      <c r="B155" s="42">
        <f>'設定'!$I$18</f>
        <v/>
      </c>
      <c r="C155" s="60" t="n"/>
      <c r="D155" s="60" t="n"/>
      <c r="E155" s="60" t="n"/>
      <c r="F155" s="60" t="n"/>
      <c r="G155" s="60" t="n"/>
      <c r="H155" s="60" t="n"/>
      <c r="I155" s="60" t="n"/>
      <c r="J155" s="60" t="n"/>
      <c r="K155" s="60" t="n"/>
      <c r="L155" s="60" t="n"/>
    </row>
    <row r="156" ht="21" customHeight="1">
      <c r="A156" s="59" t="n"/>
      <c r="B156" s="42">
        <f>'設定'!$I$19</f>
        <v/>
      </c>
      <c r="C156" s="60" t="n"/>
      <c r="D156" s="60" t="n"/>
      <c r="E156" s="60" t="n"/>
      <c r="F156" s="60" t="n"/>
      <c r="G156" s="60" t="n"/>
      <c r="H156" s="60" t="n"/>
      <c r="I156" s="60" t="n"/>
      <c r="J156" s="60" t="n"/>
      <c r="K156" s="60" t="n"/>
      <c r="L156" s="60" t="n"/>
    </row>
    <row r="157" ht="21" customHeight="1">
      <c r="A157" s="59" t="n"/>
      <c r="B157" s="42">
        <f>'設定'!$I$20</f>
        <v/>
      </c>
      <c r="C157" s="60" t="n"/>
      <c r="D157" s="60" t="n"/>
      <c r="E157" s="60" t="n"/>
      <c r="F157" s="60" t="n"/>
      <c r="G157" s="60" t="n"/>
      <c r="H157" s="60" t="n"/>
      <c r="I157" s="60" t="n"/>
      <c r="J157" s="60" t="n"/>
      <c r="K157" s="60" t="n"/>
      <c r="L157" s="60" t="n"/>
    </row>
    <row r="158" ht="21" customHeight="1">
      <c r="A158" s="59" t="n"/>
      <c r="B158" s="42">
        <f>'設定'!$I$21</f>
        <v/>
      </c>
      <c r="C158" s="60" t="n"/>
      <c r="D158" s="60" t="n"/>
      <c r="E158" s="60" t="n"/>
      <c r="F158" s="60" t="n"/>
      <c r="G158" s="60" t="n"/>
      <c r="H158" s="60" t="n"/>
      <c r="I158" s="60" t="n"/>
      <c r="J158" s="60" t="n"/>
      <c r="K158" s="60" t="n"/>
      <c r="L158" s="60" t="n"/>
    </row>
    <row r="159" ht="21" customHeight="1">
      <c r="A159" s="59" t="n"/>
      <c r="B159" s="42">
        <f>'設定'!$I$22</f>
        <v/>
      </c>
      <c r="C159" s="60" t="n"/>
      <c r="D159" s="60" t="n"/>
      <c r="E159" s="60" t="n"/>
      <c r="F159" s="60" t="n"/>
      <c r="G159" s="60" t="n"/>
      <c r="H159" s="60" t="n"/>
      <c r="I159" s="60" t="n"/>
      <c r="J159" s="60" t="n"/>
      <c r="K159" s="60" t="n"/>
      <c r="L159" s="60" t="n"/>
    </row>
    <row r="160" ht="21" customHeight="1">
      <c r="A160" s="59" t="n"/>
      <c r="B160" s="42">
        <f>'設定'!$I$23</f>
        <v/>
      </c>
      <c r="C160" s="60" t="n"/>
      <c r="D160" s="60" t="n"/>
      <c r="E160" s="60" t="n"/>
      <c r="F160" s="60" t="n"/>
      <c r="G160" s="60" t="n"/>
      <c r="H160" s="60" t="n"/>
      <c r="I160" s="60" t="n"/>
      <c r="J160" s="60" t="n"/>
      <c r="K160" s="60" t="n"/>
      <c r="L160" s="60" t="n"/>
    </row>
    <row r="161" ht="21" customHeight="1">
      <c r="A161" s="59" t="n"/>
      <c r="B161" s="42">
        <f>'設定'!$I$24</f>
        <v/>
      </c>
      <c r="C161" s="60" t="n"/>
      <c r="D161" s="60" t="n"/>
      <c r="E161" s="60" t="n"/>
      <c r="F161" s="60" t="n"/>
      <c r="G161" s="60" t="n"/>
      <c r="H161" s="60" t="n"/>
      <c r="I161" s="60" t="n"/>
      <c r="J161" s="60" t="n"/>
      <c r="K161" s="60" t="n"/>
      <c r="L161" s="60" t="n"/>
    </row>
    <row r="162" ht="21" customHeight="1">
      <c r="A162" s="59" t="n"/>
      <c r="B162" s="42">
        <f>'設定'!$I$25</f>
        <v/>
      </c>
      <c r="C162" s="60" t="n"/>
      <c r="D162" s="60" t="n"/>
      <c r="E162" s="60" t="n"/>
      <c r="F162" s="60" t="n"/>
      <c r="G162" s="60" t="n"/>
      <c r="H162" s="60" t="n"/>
      <c r="I162" s="60" t="n"/>
      <c r="J162" s="60" t="n"/>
      <c r="K162" s="60" t="n"/>
      <c r="L162" s="60" t="n"/>
    </row>
    <row r="163" ht="21" customHeight="1">
      <c r="A163" s="59" t="n"/>
      <c r="B163" s="42">
        <f>'設定'!$I$26</f>
        <v/>
      </c>
      <c r="C163" s="60" t="n"/>
      <c r="D163" s="60" t="n"/>
      <c r="E163" s="60" t="n"/>
      <c r="F163" s="60" t="n"/>
      <c r="G163" s="60" t="n"/>
      <c r="H163" s="60" t="n"/>
      <c r="I163" s="60" t="n"/>
      <c r="J163" s="60" t="n"/>
      <c r="K163" s="60" t="n"/>
      <c r="L163" s="60" t="n"/>
    </row>
    <row r="164" ht="21" customHeight="1">
      <c r="A164" s="59" t="n"/>
      <c r="B164" s="42">
        <f>'設定'!$I$27</f>
        <v/>
      </c>
      <c r="C164" s="60" t="n"/>
      <c r="D164" s="60" t="n"/>
      <c r="E164" s="60" t="n"/>
      <c r="F164" s="60" t="n"/>
      <c r="G164" s="60" t="n"/>
      <c r="H164" s="60" t="n"/>
      <c r="I164" s="60" t="n"/>
      <c r="J164" s="60" t="n"/>
      <c r="K164" s="60" t="n"/>
      <c r="L164" s="60" t="n"/>
    </row>
    <row r="165" ht="21" customHeight="1">
      <c r="A165" s="59" t="n"/>
      <c r="B165" s="42">
        <f>'設定'!$I$28</f>
        <v/>
      </c>
      <c r="C165" s="60" t="n"/>
      <c r="D165" s="60" t="n"/>
      <c r="E165" s="60" t="n"/>
      <c r="F165" s="60" t="n"/>
      <c r="G165" s="60" t="n"/>
      <c r="H165" s="60" t="n"/>
      <c r="I165" s="60" t="n"/>
      <c r="J165" s="60" t="n"/>
      <c r="K165" s="60" t="n"/>
      <c r="L165" s="60" t="n"/>
    </row>
    <row r="166" ht="21" customHeight="1">
      <c r="A166" s="59" t="n"/>
      <c r="B166" s="42">
        <f>'設定'!$I$29</f>
        <v/>
      </c>
      <c r="C166" s="60" t="n"/>
      <c r="D166" s="60" t="n"/>
      <c r="E166" s="60" t="n"/>
      <c r="F166" s="60" t="n"/>
      <c r="G166" s="60" t="n"/>
      <c r="H166" s="60" t="n"/>
      <c r="I166" s="60" t="n"/>
      <c r="J166" s="60" t="n"/>
      <c r="K166" s="60" t="n"/>
      <c r="L166" s="60" t="n"/>
    </row>
    <row r="167" ht="21" customHeight="1">
      <c r="A167" s="59" t="n"/>
      <c r="B167" s="42">
        <f>'設定'!$I$30</f>
        <v/>
      </c>
      <c r="C167" s="60" t="n"/>
      <c r="D167" s="60" t="n"/>
      <c r="E167" s="60" t="n"/>
      <c r="F167" s="60" t="n"/>
      <c r="G167" s="60" t="n"/>
      <c r="H167" s="60" t="n"/>
      <c r="I167" s="60" t="n"/>
      <c r="J167" s="60" t="n"/>
      <c r="K167" s="60" t="n"/>
      <c r="L167" s="60" t="n"/>
    </row>
    <row r="168" ht="21" customHeight="1">
      <c r="A168" s="59" t="n"/>
      <c r="B168" s="42">
        <f>'設定'!$I$31</f>
        <v/>
      </c>
      <c r="C168" s="60" t="n"/>
      <c r="D168" s="60" t="n"/>
      <c r="E168" s="60" t="n"/>
      <c r="F168" s="60" t="n"/>
      <c r="G168" s="60" t="n"/>
      <c r="H168" s="60" t="n"/>
      <c r="I168" s="60" t="n"/>
      <c r="J168" s="60" t="n"/>
      <c r="K168" s="60" t="n"/>
      <c r="L168" s="60" t="n"/>
    </row>
    <row r="169" ht="21" customHeight="1">
      <c r="A169" s="59" t="n"/>
      <c r="B169" s="42">
        <f>'設定'!$I$32</f>
        <v/>
      </c>
      <c r="C169" s="60" t="n"/>
      <c r="D169" s="60" t="n"/>
      <c r="E169" s="60" t="n"/>
      <c r="F169" s="60" t="n"/>
      <c r="G169" s="60" t="n"/>
      <c r="H169" s="60" t="n"/>
      <c r="I169" s="60" t="n"/>
      <c r="J169" s="60" t="n"/>
      <c r="K169" s="60" t="n"/>
      <c r="L169" s="60" t="n"/>
    </row>
    <row r="170" ht="21" customHeight="1">
      <c r="A170" s="59" t="n"/>
      <c r="B170" s="42">
        <f>'設定'!$I$33</f>
        <v/>
      </c>
      <c r="C170" s="60" t="n"/>
      <c r="D170" s="60" t="n"/>
      <c r="E170" s="60" t="n"/>
      <c r="F170" s="60" t="n"/>
      <c r="G170" s="60" t="n"/>
      <c r="H170" s="60" t="n"/>
      <c r="I170" s="60" t="n"/>
      <c r="J170" s="60" t="n"/>
      <c r="K170" s="60" t="n"/>
      <c r="L170" s="60" t="n"/>
    </row>
    <row r="171" ht="21" customHeight="1">
      <c r="A171" s="59" t="n"/>
      <c r="B171" s="42">
        <f>'設定'!$I$34</f>
        <v/>
      </c>
      <c r="C171" s="60" t="n"/>
      <c r="D171" s="60" t="n"/>
      <c r="E171" s="60" t="n"/>
      <c r="F171" s="60" t="n"/>
      <c r="G171" s="60" t="n"/>
      <c r="H171" s="60" t="n"/>
      <c r="I171" s="60" t="n"/>
      <c r="J171" s="60" t="n"/>
      <c r="K171" s="60" t="n"/>
      <c r="L171" s="60" t="n"/>
    </row>
    <row r="172"/>
    <row r="173" ht="26" customHeight="1">
      <c r="B173" s="53">
        <f>IF('名簿'!B11="","（名簿 7行目：なし）",'名簿'!G11)</f>
        <v/>
      </c>
      <c r="C173" s="4" t="n"/>
      <c r="D173" s="4" t="n"/>
      <c r="E173" s="54" t="inlineStr">
        <is>
          <t>提出状況 ▶</t>
        </is>
      </c>
      <c r="F173" s="38" t="n"/>
      <c r="G173" s="29" t="n"/>
      <c r="H173" s="55" t="inlineStr">
        <is>
          <t>状況：</t>
        </is>
      </c>
      <c r="I173" s="56">
        <f>'名簿'!H11</f>
        <v/>
      </c>
      <c r="J173" s="55" t="inlineStr">
        <is>
          <t>×の数：</t>
        </is>
      </c>
      <c r="K173" s="57">
        <f>'名簿'!I11</f>
        <v/>
      </c>
      <c r="L173" s="58">
        <f>HYPERLINK("#'×入力'!B201","次の人へ ▼")</f>
        <v/>
      </c>
    </row>
    <row r="174" ht="22" customHeight="1">
      <c r="A174" s="30" t="inlineStr">
        <is>
          <t>この日全部 ▶</t>
        </is>
      </c>
      <c r="C174" s="59" t="n"/>
      <c r="D174" s="59" t="n"/>
      <c r="E174" s="59" t="n"/>
      <c r="F174" s="59" t="n"/>
      <c r="G174" s="59" t="n"/>
      <c r="H174" s="59" t="n"/>
      <c r="I174" s="59" t="n"/>
      <c r="J174" s="59" t="n"/>
      <c r="K174" s="59" t="n"/>
      <c r="L174" s="59" t="n"/>
    </row>
    <row r="175" ht="28" customHeight="1">
      <c r="A175" s="33" t="inlineStr">
        <is>
          <t>この時間
全部 ▼</t>
        </is>
      </c>
      <c r="B175" s="34" t="inlineStr"/>
      <c r="C175" s="35">
        <f>'設定'!$E$11</f>
        <v/>
      </c>
      <c r="D175" s="35">
        <f>'設定'!$E$12</f>
        <v/>
      </c>
      <c r="E175" s="35">
        <f>'設定'!$E$13</f>
        <v/>
      </c>
      <c r="F175" s="35">
        <f>'設定'!$E$14</f>
        <v/>
      </c>
      <c r="G175" s="35">
        <f>'設定'!$E$15</f>
        <v/>
      </c>
      <c r="H175" s="35">
        <f>'設定'!$E$16</f>
        <v/>
      </c>
      <c r="I175" s="35">
        <f>'設定'!$E$17</f>
        <v/>
      </c>
      <c r="J175" s="35">
        <f>'設定'!$E$18</f>
        <v/>
      </c>
      <c r="K175" s="35">
        <f>'設定'!$E$19</f>
        <v/>
      </c>
      <c r="L175" s="35">
        <f>'設定'!$E$20</f>
        <v/>
      </c>
    </row>
    <row r="176" ht="21" customHeight="1">
      <c r="A176" s="59" t="n"/>
      <c r="B176" s="42">
        <f>'設定'!$I$11</f>
        <v/>
      </c>
      <c r="C176" s="60" t="n"/>
      <c r="D176" s="60" t="n"/>
      <c r="E176" s="60" t="n"/>
      <c r="F176" s="60" t="n"/>
      <c r="G176" s="60" t="n"/>
      <c r="H176" s="60" t="n"/>
      <c r="I176" s="60" t="n"/>
      <c r="J176" s="60" t="n"/>
      <c r="K176" s="60" t="n"/>
      <c r="L176" s="60" t="n"/>
    </row>
    <row r="177" ht="21" customHeight="1">
      <c r="A177" s="59" t="n"/>
      <c r="B177" s="42">
        <f>'設定'!$I$12</f>
        <v/>
      </c>
      <c r="C177" s="60" t="n"/>
      <c r="D177" s="60" t="n"/>
      <c r="E177" s="60" t="n"/>
      <c r="F177" s="60" t="n"/>
      <c r="G177" s="60" t="n"/>
      <c r="H177" s="60" t="n"/>
      <c r="I177" s="60" t="n"/>
      <c r="J177" s="60" t="n"/>
      <c r="K177" s="60" t="n"/>
      <c r="L177" s="60" t="n"/>
    </row>
    <row r="178" ht="21" customHeight="1">
      <c r="A178" s="59" t="n"/>
      <c r="B178" s="42">
        <f>'設定'!$I$13</f>
        <v/>
      </c>
      <c r="C178" s="60" t="n"/>
      <c r="D178" s="60" t="n"/>
      <c r="E178" s="60" t="n"/>
      <c r="F178" s="60" t="n"/>
      <c r="G178" s="60" t="n"/>
      <c r="H178" s="60" t="n"/>
      <c r="I178" s="60" t="n"/>
      <c r="J178" s="60" t="n"/>
      <c r="K178" s="60" t="n"/>
      <c r="L178" s="60" t="n"/>
    </row>
    <row r="179" ht="21" customHeight="1">
      <c r="A179" s="59" t="n"/>
      <c r="B179" s="42">
        <f>'設定'!$I$14</f>
        <v/>
      </c>
      <c r="C179" s="60" t="n"/>
      <c r="D179" s="60" t="n"/>
      <c r="E179" s="60" t="n"/>
      <c r="F179" s="60" t="n"/>
      <c r="G179" s="60" t="n"/>
      <c r="H179" s="60" t="n"/>
      <c r="I179" s="60" t="n"/>
      <c r="J179" s="60" t="n"/>
      <c r="K179" s="60" t="n"/>
      <c r="L179" s="60" t="n"/>
    </row>
    <row r="180" ht="21" customHeight="1">
      <c r="A180" s="59" t="n"/>
      <c r="B180" s="42">
        <f>'設定'!$I$15</f>
        <v/>
      </c>
      <c r="C180" s="60" t="n"/>
      <c r="D180" s="60" t="n"/>
      <c r="E180" s="60" t="n"/>
      <c r="F180" s="60" t="n"/>
      <c r="G180" s="60" t="n"/>
      <c r="H180" s="60" t="n"/>
      <c r="I180" s="60" t="n"/>
      <c r="J180" s="60" t="n"/>
      <c r="K180" s="60" t="n"/>
      <c r="L180" s="60" t="n"/>
    </row>
    <row r="181" ht="21" customHeight="1">
      <c r="A181" s="59" t="n"/>
      <c r="B181" s="42">
        <f>'設定'!$I$16</f>
        <v/>
      </c>
      <c r="C181" s="60" t="n"/>
      <c r="D181" s="60" t="n"/>
      <c r="E181" s="60" t="n"/>
      <c r="F181" s="60" t="n"/>
      <c r="G181" s="60" t="n"/>
      <c r="H181" s="60" t="n"/>
      <c r="I181" s="60" t="n"/>
      <c r="J181" s="60" t="n"/>
      <c r="K181" s="60" t="n"/>
      <c r="L181" s="60" t="n"/>
    </row>
    <row r="182" ht="21" customHeight="1">
      <c r="A182" s="59" t="n"/>
      <c r="B182" s="42">
        <f>'設定'!$I$17</f>
        <v/>
      </c>
      <c r="C182" s="60" t="n"/>
      <c r="D182" s="60" t="n"/>
      <c r="E182" s="60" t="n"/>
      <c r="F182" s="60" t="n"/>
      <c r="G182" s="60" t="n"/>
      <c r="H182" s="60" t="n"/>
      <c r="I182" s="60" t="n"/>
      <c r="J182" s="60" t="n"/>
      <c r="K182" s="60" t="n"/>
      <c r="L182" s="60" t="n"/>
    </row>
    <row r="183" ht="21" customHeight="1">
      <c r="A183" s="59" t="n"/>
      <c r="B183" s="42">
        <f>'設定'!$I$18</f>
        <v/>
      </c>
      <c r="C183" s="60" t="n"/>
      <c r="D183" s="60" t="n"/>
      <c r="E183" s="60" t="n"/>
      <c r="F183" s="60" t="n"/>
      <c r="G183" s="60" t="n"/>
      <c r="H183" s="60" t="n"/>
      <c r="I183" s="60" t="n"/>
      <c r="J183" s="60" t="n"/>
      <c r="K183" s="60" t="n"/>
      <c r="L183" s="60" t="n"/>
    </row>
    <row r="184" ht="21" customHeight="1">
      <c r="A184" s="59" t="n"/>
      <c r="B184" s="42">
        <f>'設定'!$I$19</f>
        <v/>
      </c>
      <c r="C184" s="60" t="n"/>
      <c r="D184" s="60" t="n"/>
      <c r="E184" s="60" t="n"/>
      <c r="F184" s="60" t="n"/>
      <c r="G184" s="60" t="n"/>
      <c r="H184" s="60" t="n"/>
      <c r="I184" s="60" t="n"/>
      <c r="J184" s="60" t="n"/>
      <c r="K184" s="60" t="n"/>
      <c r="L184" s="60" t="n"/>
    </row>
    <row r="185" ht="21" customHeight="1">
      <c r="A185" s="59" t="n"/>
      <c r="B185" s="42">
        <f>'設定'!$I$20</f>
        <v/>
      </c>
      <c r="C185" s="60" t="n"/>
      <c r="D185" s="60" t="n"/>
      <c r="E185" s="60" t="n"/>
      <c r="F185" s="60" t="n"/>
      <c r="G185" s="60" t="n"/>
      <c r="H185" s="60" t="n"/>
      <c r="I185" s="60" t="n"/>
      <c r="J185" s="60" t="n"/>
      <c r="K185" s="60" t="n"/>
      <c r="L185" s="60" t="n"/>
    </row>
    <row r="186" ht="21" customHeight="1">
      <c r="A186" s="59" t="n"/>
      <c r="B186" s="42">
        <f>'設定'!$I$21</f>
        <v/>
      </c>
      <c r="C186" s="60" t="n"/>
      <c r="D186" s="60" t="n"/>
      <c r="E186" s="60" t="n"/>
      <c r="F186" s="60" t="n"/>
      <c r="G186" s="60" t="n"/>
      <c r="H186" s="60" t="n"/>
      <c r="I186" s="60" t="n"/>
      <c r="J186" s="60" t="n"/>
      <c r="K186" s="60" t="n"/>
      <c r="L186" s="60" t="n"/>
    </row>
    <row r="187" ht="21" customHeight="1">
      <c r="A187" s="59" t="n"/>
      <c r="B187" s="42">
        <f>'設定'!$I$22</f>
        <v/>
      </c>
      <c r="C187" s="60" t="n"/>
      <c r="D187" s="60" t="n"/>
      <c r="E187" s="60" t="n"/>
      <c r="F187" s="60" t="n"/>
      <c r="G187" s="60" t="n"/>
      <c r="H187" s="60" t="n"/>
      <c r="I187" s="60" t="n"/>
      <c r="J187" s="60" t="n"/>
      <c r="K187" s="60" t="n"/>
      <c r="L187" s="60" t="n"/>
    </row>
    <row r="188" ht="21" customHeight="1">
      <c r="A188" s="59" t="n"/>
      <c r="B188" s="42">
        <f>'設定'!$I$23</f>
        <v/>
      </c>
      <c r="C188" s="60" t="n"/>
      <c r="D188" s="60" t="n"/>
      <c r="E188" s="60" t="n"/>
      <c r="F188" s="60" t="n"/>
      <c r="G188" s="60" t="n"/>
      <c r="H188" s="60" t="n"/>
      <c r="I188" s="60" t="n"/>
      <c r="J188" s="60" t="n"/>
      <c r="K188" s="60" t="n"/>
      <c r="L188" s="60" t="n"/>
    </row>
    <row r="189" ht="21" customHeight="1">
      <c r="A189" s="59" t="n"/>
      <c r="B189" s="42">
        <f>'設定'!$I$24</f>
        <v/>
      </c>
      <c r="C189" s="60" t="n"/>
      <c r="D189" s="60" t="n"/>
      <c r="E189" s="60" t="n"/>
      <c r="F189" s="60" t="n"/>
      <c r="G189" s="60" t="n"/>
      <c r="H189" s="60" t="n"/>
      <c r="I189" s="60" t="n"/>
      <c r="J189" s="60" t="n"/>
      <c r="K189" s="60" t="n"/>
      <c r="L189" s="60" t="n"/>
    </row>
    <row r="190" ht="21" customHeight="1">
      <c r="A190" s="59" t="n"/>
      <c r="B190" s="42">
        <f>'設定'!$I$25</f>
        <v/>
      </c>
      <c r="C190" s="60" t="n"/>
      <c r="D190" s="60" t="n"/>
      <c r="E190" s="60" t="n"/>
      <c r="F190" s="60" t="n"/>
      <c r="G190" s="60" t="n"/>
      <c r="H190" s="60" t="n"/>
      <c r="I190" s="60" t="n"/>
      <c r="J190" s="60" t="n"/>
      <c r="K190" s="60" t="n"/>
      <c r="L190" s="60" t="n"/>
    </row>
    <row r="191" ht="21" customHeight="1">
      <c r="A191" s="59" t="n"/>
      <c r="B191" s="42">
        <f>'設定'!$I$26</f>
        <v/>
      </c>
      <c r="C191" s="60" t="n"/>
      <c r="D191" s="60" t="n"/>
      <c r="E191" s="60" t="n"/>
      <c r="F191" s="60" t="n"/>
      <c r="G191" s="60" t="n"/>
      <c r="H191" s="60" t="n"/>
      <c r="I191" s="60" t="n"/>
      <c r="J191" s="60" t="n"/>
      <c r="K191" s="60" t="n"/>
      <c r="L191" s="60" t="n"/>
    </row>
    <row r="192" ht="21" customHeight="1">
      <c r="A192" s="59" t="n"/>
      <c r="B192" s="42">
        <f>'設定'!$I$27</f>
        <v/>
      </c>
      <c r="C192" s="60" t="n"/>
      <c r="D192" s="60" t="n"/>
      <c r="E192" s="60" t="n"/>
      <c r="F192" s="60" t="n"/>
      <c r="G192" s="60" t="n"/>
      <c r="H192" s="60" t="n"/>
      <c r="I192" s="60" t="n"/>
      <c r="J192" s="60" t="n"/>
      <c r="K192" s="60" t="n"/>
      <c r="L192" s="60" t="n"/>
    </row>
    <row r="193" ht="21" customHeight="1">
      <c r="A193" s="59" t="n"/>
      <c r="B193" s="42">
        <f>'設定'!$I$28</f>
        <v/>
      </c>
      <c r="C193" s="60" t="n"/>
      <c r="D193" s="60" t="n"/>
      <c r="E193" s="60" t="n"/>
      <c r="F193" s="60" t="n"/>
      <c r="G193" s="60" t="n"/>
      <c r="H193" s="60" t="n"/>
      <c r="I193" s="60" t="n"/>
      <c r="J193" s="60" t="n"/>
      <c r="K193" s="60" t="n"/>
      <c r="L193" s="60" t="n"/>
    </row>
    <row r="194" ht="21" customHeight="1">
      <c r="A194" s="59" t="n"/>
      <c r="B194" s="42">
        <f>'設定'!$I$29</f>
        <v/>
      </c>
      <c r="C194" s="60" t="n"/>
      <c r="D194" s="60" t="n"/>
      <c r="E194" s="60" t="n"/>
      <c r="F194" s="60" t="n"/>
      <c r="G194" s="60" t="n"/>
      <c r="H194" s="60" t="n"/>
      <c r="I194" s="60" t="n"/>
      <c r="J194" s="60" t="n"/>
      <c r="K194" s="60" t="n"/>
      <c r="L194" s="60" t="n"/>
    </row>
    <row r="195" ht="21" customHeight="1">
      <c r="A195" s="59" t="n"/>
      <c r="B195" s="42">
        <f>'設定'!$I$30</f>
        <v/>
      </c>
      <c r="C195" s="60" t="n"/>
      <c r="D195" s="60" t="n"/>
      <c r="E195" s="60" t="n"/>
      <c r="F195" s="60" t="n"/>
      <c r="G195" s="60" t="n"/>
      <c r="H195" s="60" t="n"/>
      <c r="I195" s="60" t="n"/>
      <c r="J195" s="60" t="n"/>
      <c r="K195" s="60" t="n"/>
      <c r="L195" s="60" t="n"/>
    </row>
    <row r="196" ht="21" customHeight="1">
      <c r="A196" s="59" t="n"/>
      <c r="B196" s="42">
        <f>'設定'!$I$31</f>
        <v/>
      </c>
      <c r="C196" s="60" t="n"/>
      <c r="D196" s="60" t="n"/>
      <c r="E196" s="60" t="n"/>
      <c r="F196" s="60" t="n"/>
      <c r="G196" s="60" t="n"/>
      <c r="H196" s="60" t="n"/>
      <c r="I196" s="60" t="n"/>
      <c r="J196" s="60" t="n"/>
      <c r="K196" s="60" t="n"/>
      <c r="L196" s="60" t="n"/>
    </row>
    <row r="197" ht="21" customHeight="1">
      <c r="A197" s="59" t="n"/>
      <c r="B197" s="42">
        <f>'設定'!$I$32</f>
        <v/>
      </c>
      <c r="C197" s="60" t="n"/>
      <c r="D197" s="60" t="n"/>
      <c r="E197" s="60" t="n"/>
      <c r="F197" s="60" t="n"/>
      <c r="G197" s="60" t="n"/>
      <c r="H197" s="60" t="n"/>
      <c r="I197" s="60" t="n"/>
      <c r="J197" s="60" t="n"/>
      <c r="K197" s="60" t="n"/>
      <c r="L197" s="60" t="n"/>
    </row>
    <row r="198" ht="21" customHeight="1">
      <c r="A198" s="59" t="n"/>
      <c r="B198" s="42">
        <f>'設定'!$I$33</f>
        <v/>
      </c>
      <c r="C198" s="60" t="n"/>
      <c r="D198" s="60" t="n"/>
      <c r="E198" s="60" t="n"/>
      <c r="F198" s="60" t="n"/>
      <c r="G198" s="60" t="n"/>
      <c r="H198" s="60" t="n"/>
      <c r="I198" s="60" t="n"/>
      <c r="J198" s="60" t="n"/>
      <c r="K198" s="60" t="n"/>
      <c r="L198" s="60" t="n"/>
    </row>
    <row r="199" ht="21" customHeight="1">
      <c r="A199" s="59" t="n"/>
      <c r="B199" s="42">
        <f>'設定'!$I$34</f>
        <v/>
      </c>
      <c r="C199" s="60" t="n"/>
      <c r="D199" s="60" t="n"/>
      <c r="E199" s="60" t="n"/>
      <c r="F199" s="60" t="n"/>
      <c r="G199" s="60" t="n"/>
      <c r="H199" s="60" t="n"/>
      <c r="I199" s="60" t="n"/>
      <c r="J199" s="60" t="n"/>
      <c r="K199" s="60" t="n"/>
      <c r="L199" s="60" t="n"/>
    </row>
    <row r="200"/>
    <row r="201" ht="26" customHeight="1">
      <c r="B201" s="53">
        <f>IF('名簿'!B12="","（名簿 8行目：なし）",'名簿'!G12)</f>
        <v/>
      </c>
      <c r="C201" s="4" t="n"/>
      <c r="D201" s="4" t="n"/>
      <c r="E201" s="54" t="inlineStr">
        <is>
          <t>提出状況 ▶</t>
        </is>
      </c>
      <c r="F201" s="38" t="n"/>
      <c r="G201" s="29" t="n"/>
      <c r="H201" s="55" t="inlineStr">
        <is>
          <t>状況：</t>
        </is>
      </c>
      <c r="I201" s="56">
        <f>'名簿'!H12</f>
        <v/>
      </c>
      <c r="J201" s="55" t="inlineStr">
        <is>
          <t>×の数：</t>
        </is>
      </c>
      <c r="K201" s="57">
        <f>'名簿'!I12</f>
        <v/>
      </c>
      <c r="L201" s="58">
        <f>HYPERLINK("#'×入力'!B229","次の人へ ▼")</f>
        <v/>
      </c>
    </row>
    <row r="202" ht="22" customHeight="1">
      <c r="A202" s="30" t="inlineStr">
        <is>
          <t>この日全部 ▶</t>
        </is>
      </c>
      <c r="C202" s="59" t="n"/>
      <c r="D202" s="59" t="n"/>
      <c r="E202" s="59" t="n"/>
      <c r="F202" s="59" t="n"/>
      <c r="G202" s="59" t="n"/>
      <c r="H202" s="59" t="n"/>
      <c r="I202" s="59" t="n"/>
      <c r="J202" s="59" t="n"/>
      <c r="K202" s="59" t="n"/>
      <c r="L202" s="59" t="n"/>
    </row>
    <row r="203" ht="28" customHeight="1">
      <c r="A203" s="33" t="inlineStr">
        <is>
          <t>この時間
全部 ▼</t>
        </is>
      </c>
      <c r="B203" s="34" t="inlineStr"/>
      <c r="C203" s="35">
        <f>'設定'!$E$11</f>
        <v/>
      </c>
      <c r="D203" s="35">
        <f>'設定'!$E$12</f>
        <v/>
      </c>
      <c r="E203" s="35">
        <f>'設定'!$E$13</f>
        <v/>
      </c>
      <c r="F203" s="35">
        <f>'設定'!$E$14</f>
        <v/>
      </c>
      <c r="G203" s="35">
        <f>'設定'!$E$15</f>
        <v/>
      </c>
      <c r="H203" s="35">
        <f>'設定'!$E$16</f>
        <v/>
      </c>
      <c r="I203" s="35">
        <f>'設定'!$E$17</f>
        <v/>
      </c>
      <c r="J203" s="35">
        <f>'設定'!$E$18</f>
        <v/>
      </c>
      <c r="K203" s="35">
        <f>'設定'!$E$19</f>
        <v/>
      </c>
      <c r="L203" s="35">
        <f>'設定'!$E$20</f>
        <v/>
      </c>
    </row>
    <row r="204" ht="21" customHeight="1">
      <c r="A204" s="59" t="n"/>
      <c r="B204" s="42">
        <f>'設定'!$I$11</f>
        <v/>
      </c>
      <c r="C204" s="60" t="n"/>
      <c r="D204" s="60" t="n"/>
      <c r="E204" s="60" t="n"/>
      <c r="F204" s="60" t="n"/>
      <c r="G204" s="60" t="n"/>
      <c r="H204" s="60" t="n"/>
      <c r="I204" s="60" t="n"/>
      <c r="J204" s="60" t="n"/>
      <c r="K204" s="60" t="n"/>
      <c r="L204" s="60" t="n"/>
    </row>
    <row r="205" ht="21" customHeight="1">
      <c r="A205" s="59" t="n"/>
      <c r="B205" s="42">
        <f>'設定'!$I$12</f>
        <v/>
      </c>
      <c r="C205" s="60" t="n"/>
      <c r="D205" s="60" t="n"/>
      <c r="E205" s="60" t="n"/>
      <c r="F205" s="60" t="n"/>
      <c r="G205" s="60" t="n"/>
      <c r="H205" s="60" t="n"/>
      <c r="I205" s="60" t="n"/>
      <c r="J205" s="60" t="n"/>
      <c r="K205" s="60" t="n"/>
      <c r="L205" s="60" t="n"/>
    </row>
    <row r="206" ht="21" customHeight="1">
      <c r="A206" s="59" t="n"/>
      <c r="B206" s="42">
        <f>'設定'!$I$13</f>
        <v/>
      </c>
      <c r="C206" s="60" t="n"/>
      <c r="D206" s="60" t="n"/>
      <c r="E206" s="60" t="n"/>
      <c r="F206" s="60" t="n"/>
      <c r="G206" s="60" t="n"/>
      <c r="H206" s="60" t="n"/>
      <c r="I206" s="60" t="n"/>
      <c r="J206" s="60" t="n"/>
      <c r="K206" s="60" t="n"/>
      <c r="L206" s="60" t="n"/>
    </row>
    <row r="207" ht="21" customHeight="1">
      <c r="A207" s="59" t="n"/>
      <c r="B207" s="42">
        <f>'設定'!$I$14</f>
        <v/>
      </c>
      <c r="C207" s="60" t="n"/>
      <c r="D207" s="60" t="n"/>
      <c r="E207" s="60" t="n"/>
      <c r="F207" s="60" t="n"/>
      <c r="G207" s="60" t="n"/>
      <c r="H207" s="60" t="n"/>
      <c r="I207" s="60" t="n"/>
      <c r="J207" s="60" t="n"/>
      <c r="K207" s="60" t="n"/>
      <c r="L207" s="60" t="n"/>
    </row>
    <row r="208" ht="21" customHeight="1">
      <c r="A208" s="59" t="n"/>
      <c r="B208" s="42">
        <f>'設定'!$I$15</f>
        <v/>
      </c>
      <c r="C208" s="60" t="n"/>
      <c r="D208" s="60" t="n"/>
      <c r="E208" s="60" t="n"/>
      <c r="F208" s="60" t="n"/>
      <c r="G208" s="60" t="n"/>
      <c r="H208" s="60" t="n"/>
      <c r="I208" s="60" t="n"/>
      <c r="J208" s="60" t="n"/>
      <c r="K208" s="60" t="n"/>
      <c r="L208" s="60" t="n"/>
    </row>
    <row r="209" ht="21" customHeight="1">
      <c r="A209" s="59" t="n"/>
      <c r="B209" s="42">
        <f>'設定'!$I$16</f>
        <v/>
      </c>
      <c r="C209" s="60" t="n"/>
      <c r="D209" s="60" t="n"/>
      <c r="E209" s="60" t="n"/>
      <c r="F209" s="60" t="n"/>
      <c r="G209" s="60" t="n"/>
      <c r="H209" s="60" t="n"/>
      <c r="I209" s="60" t="n"/>
      <c r="J209" s="60" t="n"/>
      <c r="K209" s="60" t="n"/>
      <c r="L209" s="60" t="n"/>
    </row>
    <row r="210" ht="21" customHeight="1">
      <c r="A210" s="59" t="n"/>
      <c r="B210" s="42">
        <f>'設定'!$I$17</f>
        <v/>
      </c>
      <c r="C210" s="60" t="n"/>
      <c r="D210" s="60" t="n"/>
      <c r="E210" s="60" t="n"/>
      <c r="F210" s="60" t="n"/>
      <c r="G210" s="60" t="n"/>
      <c r="H210" s="60" t="n"/>
      <c r="I210" s="60" t="n"/>
      <c r="J210" s="60" t="n"/>
      <c r="K210" s="60" t="n"/>
      <c r="L210" s="60" t="n"/>
    </row>
    <row r="211" ht="21" customHeight="1">
      <c r="A211" s="59" t="n"/>
      <c r="B211" s="42">
        <f>'設定'!$I$18</f>
        <v/>
      </c>
      <c r="C211" s="60" t="n"/>
      <c r="D211" s="60" t="n"/>
      <c r="E211" s="60" t="n"/>
      <c r="F211" s="60" t="n"/>
      <c r="G211" s="60" t="n"/>
      <c r="H211" s="60" t="n"/>
      <c r="I211" s="60" t="n"/>
      <c r="J211" s="60" t="n"/>
      <c r="K211" s="60" t="n"/>
      <c r="L211" s="60" t="n"/>
    </row>
    <row r="212" ht="21" customHeight="1">
      <c r="A212" s="59" t="n"/>
      <c r="B212" s="42">
        <f>'設定'!$I$19</f>
        <v/>
      </c>
      <c r="C212" s="60" t="n"/>
      <c r="D212" s="60" t="n"/>
      <c r="E212" s="60" t="n"/>
      <c r="F212" s="60" t="n"/>
      <c r="G212" s="60" t="n"/>
      <c r="H212" s="60" t="n"/>
      <c r="I212" s="60" t="n"/>
      <c r="J212" s="60" t="n"/>
      <c r="K212" s="60" t="n"/>
      <c r="L212" s="60" t="n"/>
    </row>
    <row r="213" ht="21" customHeight="1">
      <c r="A213" s="59" t="n"/>
      <c r="B213" s="42">
        <f>'設定'!$I$20</f>
        <v/>
      </c>
      <c r="C213" s="60" t="n"/>
      <c r="D213" s="60" t="n"/>
      <c r="E213" s="60" t="n"/>
      <c r="F213" s="60" t="n"/>
      <c r="G213" s="60" t="n"/>
      <c r="H213" s="60" t="n"/>
      <c r="I213" s="60" t="n"/>
      <c r="J213" s="60" t="n"/>
      <c r="K213" s="60" t="n"/>
      <c r="L213" s="60" t="n"/>
    </row>
    <row r="214" ht="21" customHeight="1">
      <c r="A214" s="59" t="n"/>
      <c r="B214" s="42">
        <f>'設定'!$I$21</f>
        <v/>
      </c>
      <c r="C214" s="60" t="n"/>
      <c r="D214" s="60" t="n"/>
      <c r="E214" s="60" t="n"/>
      <c r="F214" s="60" t="n"/>
      <c r="G214" s="60" t="n"/>
      <c r="H214" s="60" t="n"/>
      <c r="I214" s="60" t="n"/>
      <c r="J214" s="60" t="n"/>
      <c r="K214" s="60" t="n"/>
      <c r="L214" s="60" t="n"/>
    </row>
    <row r="215" ht="21" customHeight="1">
      <c r="A215" s="59" t="n"/>
      <c r="B215" s="42">
        <f>'設定'!$I$22</f>
        <v/>
      </c>
      <c r="C215" s="60" t="n"/>
      <c r="D215" s="60" t="n"/>
      <c r="E215" s="60" t="n"/>
      <c r="F215" s="60" t="n"/>
      <c r="G215" s="60" t="n"/>
      <c r="H215" s="60" t="n"/>
      <c r="I215" s="60" t="n"/>
      <c r="J215" s="60" t="n"/>
      <c r="K215" s="60" t="n"/>
      <c r="L215" s="60" t="n"/>
    </row>
    <row r="216" ht="21" customHeight="1">
      <c r="A216" s="59" t="n"/>
      <c r="B216" s="42">
        <f>'設定'!$I$23</f>
        <v/>
      </c>
      <c r="C216" s="60" t="n"/>
      <c r="D216" s="60" t="n"/>
      <c r="E216" s="60" t="n"/>
      <c r="F216" s="60" t="n"/>
      <c r="G216" s="60" t="n"/>
      <c r="H216" s="60" t="n"/>
      <c r="I216" s="60" t="n"/>
      <c r="J216" s="60" t="n"/>
      <c r="K216" s="60" t="n"/>
      <c r="L216" s="60" t="n"/>
    </row>
    <row r="217" ht="21" customHeight="1">
      <c r="A217" s="59" t="n"/>
      <c r="B217" s="42">
        <f>'設定'!$I$24</f>
        <v/>
      </c>
      <c r="C217" s="60" t="n"/>
      <c r="D217" s="60" t="n"/>
      <c r="E217" s="60" t="n"/>
      <c r="F217" s="60" t="n"/>
      <c r="G217" s="60" t="n"/>
      <c r="H217" s="60" t="n"/>
      <c r="I217" s="60" t="n"/>
      <c r="J217" s="60" t="n"/>
      <c r="K217" s="60" t="n"/>
      <c r="L217" s="60" t="n"/>
    </row>
    <row r="218" ht="21" customHeight="1">
      <c r="A218" s="59" t="n"/>
      <c r="B218" s="42">
        <f>'設定'!$I$25</f>
        <v/>
      </c>
      <c r="C218" s="60" t="n"/>
      <c r="D218" s="60" t="n"/>
      <c r="E218" s="60" t="n"/>
      <c r="F218" s="60" t="n"/>
      <c r="G218" s="60" t="n"/>
      <c r="H218" s="60" t="n"/>
      <c r="I218" s="60" t="n"/>
      <c r="J218" s="60" t="n"/>
      <c r="K218" s="60" t="n"/>
      <c r="L218" s="60" t="n"/>
    </row>
    <row r="219" ht="21" customHeight="1">
      <c r="A219" s="59" t="n"/>
      <c r="B219" s="42">
        <f>'設定'!$I$26</f>
        <v/>
      </c>
      <c r="C219" s="60" t="n"/>
      <c r="D219" s="60" t="n"/>
      <c r="E219" s="60" t="n"/>
      <c r="F219" s="60" t="n"/>
      <c r="G219" s="60" t="n"/>
      <c r="H219" s="60" t="n"/>
      <c r="I219" s="60" t="n"/>
      <c r="J219" s="60" t="n"/>
      <c r="K219" s="60" t="n"/>
      <c r="L219" s="60" t="n"/>
    </row>
    <row r="220" ht="21" customHeight="1">
      <c r="A220" s="59" t="n"/>
      <c r="B220" s="42">
        <f>'設定'!$I$27</f>
        <v/>
      </c>
      <c r="C220" s="60" t="n"/>
      <c r="D220" s="60" t="n"/>
      <c r="E220" s="60" t="n"/>
      <c r="F220" s="60" t="n"/>
      <c r="G220" s="60" t="n"/>
      <c r="H220" s="60" t="n"/>
      <c r="I220" s="60" t="n"/>
      <c r="J220" s="60" t="n"/>
      <c r="K220" s="60" t="n"/>
      <c r="L220" s="60" t="n"/>
    </row>
    <row r="221" ht="21" customHeight="1">
      <c r="A221" s="59" t="n"/>
      <c r="B221" s="42">
        <f>'設定'!$I$28</f>
        <v/>
      </c>
      <c r="C221" s="60" t="n"/>
      <c r="D221" s="60" t="n"/>
      <c r="E221" s="60" t="n"/>
      <c r="F221" s="60" t="n"/>
      <c r="G221" s="60" t="n"/>
      <c r="H221" s="60" t="n"/>
      <c r="I221" s="60" t="n"/>
      <c r="J221" s="60" t="n"/>
      <c r="K221" s="60" t="n"/>
      <c r="L221" s="60" t="n"/>
    </row>
    <row r="222" ht="21" customHeight="1">
      <c r="A222" s="59" t="n"/>
      <c r="B222" s="42">
        <f>'設定'!$I$29</f>
        <v/>
      </c>
      <c r="C222" s="60" t="n"/>
      <c r="D222" s="60" t="n"/>
      <c r="E222" s="60" t="n"/>
      <c r="F222" s="60" t="n"/>
      <c r="G222" s="60" t="n"/>
      <c r="H222" s="60" t="n"/>
      <c r="I222" s="60" t="n"/>
      <c r="J222" s="60" t="n"/>
      <c r="K222" s="60" t="n"/>
      <c r="L222" s="60" t="n"/>
    </row>
    <row r="223" ht="21" customHeight="1">
      <c r="A223" s="59" t="n"/>
      <c r="B223" s="42">
        <f>'設定'!$I$30</f>
        <v/>
      </c>
      <c r="C223" s="60" t="n"/>
      <c r="D223" s="60" t="n"/>
      <c r="E223" s="60" t="n"/>
      <c r="F223" s="60" t="n"/>
      <c r="G223" s="60" t="n"/>
      <c r="H223" s="60" t="n"/>
      <c r="I223" s="60" t="n"/>
      <c r="J223" s="60" t="n"/>
      <c r="K223" s="60" t="n"/>
      <c r="L223" s="60" t="n"/>
    </row>
    <row r="224" ht="21" customHeight="1">
      <c r="A224" s="59" t="n"/>
      <c r="B224" s="42">
        <f>'設定'!$I$31</f>
        <v/>
      </c>
      <c r="C224" s="60" t="n"/>
      <c r="D224" s="60" t="n"/>
      <c r="E224" s="60" t="n"/>
      <c r="F224" s="60" t="n"/>
      <c r="G224" s="60" t="n"/>
      <c r="H224" s="60" t="n"/>
      <c r="I224" s="60" t="n"/>
      <c r="J224" s="60" t="n"/>
      <c r="K224" s="60" t="n"/>
      <c r="L224" s="60" t="n"/>
    </row>
    <row r="225" ht="21" customHeight="1">
      <c r="A225" s="59" t="n"/>
      <c r="B225" s="42">
        <f>'設定'!$I$32</f>
        <v/>
      </c>
      <c r="C225" s="60" t="n"/>
      <c r="D225" s="60" t="n"/>
      <c r="E225" s="60" t="n"/>
      <c r="F225" s="60" t="n"/>
      <c r="G225" s="60" t="n"/>
      <c r="H225" s="60" t="n"/>
      <c r="I225" s="60" t="n"/>
      <c r="J225" s="60" t="n"/>
      <c r="K225" s="60" t="n"/>
      <c r="L225" s="60" t="n"/>
    </row>
    <row r="226" ht="21" customHeight="1">
      <c r="A226" s="59" t="n"/>
      <c r="B226" s="42">
        <f>'設定'!$I$33</f>
        <v/>
      </c>
      <c r="C226" s="60" t="n"/>
      <c r="D226" s="60" t="n"/>
      <c r="E226" s="60" t="n"/>
      <c r="F226" s="60" t="n"/>
      <c r="G226" s="60" t="n"/>
      <c r="H226" s="60" t="n"/>
      <c r="I226" s="60" t="n"/>
      <c r="J226" s="60" t="n"/>
      <c r="K226" s="60" t="n"/>
      <c r="L226" s="60" t="n"/>
    </row>
    <row r="227" ht="21" customHeight="1">
      <c r="A227" s="59" t="n"/>
      <c r="B227" s="42">
        <f>'設定'!$I$34</f>
        <v/>
      </c>
      <c r="C227" s="60" t="n"/>
      <c r="D227" s="60" t="n"/>
      <c r="E227" s="60" t="n"/>
      <c r="F227" s="60" t="n"/>
      <c r="G227" s="60" t="n"/>
      <c r="H227" s="60" t="n"/>
      <c r="I227" s="60" t="n"/>
      <c r="J227" s="60" t="n"/>
      <c r="K227" s="60" t="n"/>
      <c r="L227" s="60" t="n"/>
    </row>
    <row r="228"/>
    <row r="229" ht="26" customHeight="1">
      <c r="B229" s="53">
        <f>IF('名簿'!B13="","（名簿 9行目：なし）",'名簿'!G13)</f>
        <v/>
      </c>
      <c r="C229" s="4" t="n"/>
      <c r="D229" s="4" t="n"/>
      <c r="E229" s="54" t="inlineStr">
        <is>
          <t>提出状況 ▶</t>
        </is>
      </c>
      <c r="F229" s="38" t="n"/>
      <c r="G229" s="29" t="n"/>
      <c r="H229" s="55" t="inlineStr">
        <is>
          <t>状況：</t>
        </is>
      </c>
      <c r="I229" s="56">
        <f>'名簿'!H13</f>
        <v/>
      </c>
      <c r="J229" s="55" t="inlineStr">
        <is>
          <t>×の数：</t>
        </is>
      </c>
      <c r="K229" s="57">
        <f>'名簿'!I13</f>
        <v/>
      </c>
      <c r="L229" s="58">
        <f>HYPERLINK("#'×入力'!B257","次の人へ ▼")</f>
        <v/>
      </c>
    </row>
    <row r="230" ht="22" customHeight="1">
      <c r="A230" s="30" t="inlineStr">
        <is>
          <t>この日全部 ▶</t>
        </is>
      </c>
      <c r="C230" s="59" t="n"/>
      <c r="D230" s="59" t="n"/>
      <c r="E230" s="59" t="n"/>
      <c r="F230" s="59" t="n"/>
      <c r="G230" s="59" t="n"/>
      <c r="H230" s="59" t="n"/>
      <c r="I230" s="59" t="n"/>
      <c r="J230" s="59" t="n"/>
      <c r="K230" s="59" t="n"/>
      <c r="L230" s="59" t="n"/>
    </row>
    <row r="231" ht="28" customHeight="1">
      <c r="A231" s="33" t="inlineStr">
        <is>
          <t>この時間
全部 ▼</t>
        </is>
      </c>
      <c r="B231" s="34" t="inlineStr"/>
      <c r="C231" s="35">
        <f>'設定'!$E$11</f>
        <v/>
      </c>
      <c r="D231" s="35">
        <f>'設定'!$E$12</f>
        <v/>
      </c>
      <c r="E231" s="35">
        <f>'設定'!$E$13</f>
        <v/>
      </c>
      <c r="F231" s="35">
        <f>'設定'!$E$14</f>
        <v/>
      </c>
      <c r="G231" s="35">
        <f>'設定'!$E$15</f>
        <v/>
      </c>
      <c r="H231" s="35">
        <f>'設定'!$E$16</f>
        <v/>
      </c>
      <c r="I231" s="35">
        <f>'設定'!$E$17</f>
        <v/>
      </c>
      <c r="J231" s="35">
        <f>'設定'!$E$18</f>
        <v/>
      </c>
      <c r="K231" s="35">
        <f>'設定'!$E$19</f>
        <v/>
      </c>
      <c r="L231" s="35">
        <f>'設定'!$E$20</f>
        <v/>
      </c>
    </row>
    <row r="232" ht="21" customHeight="1">
      <c r="A232" s="59" t="n"/>
      <c r="B232" s="42">
        <f>'設定'!$I$11</f>
        <v/>
      </c>
      <c r="C232" s="60" t="n"/>
      <c r="D232" s="60" t="n"/>
      <c r="E232" s="60" t="n"/>
      <c r="F232" s="60" t="n"/>
      <c r="G232" s="60" t="n"/>
      <c r="H232" s="60" t="n"/>
      <c r="I232" s="60" t="n"/>
      <c r="J232" s="60" t="n"/>
      <c r="K232" s="60" t="n"/>
      <c r="L232" s="60" t="n"/>
    </row>
    <row r="233" ht="21" customHeight="1">
      <c r="A233" s="59" t="n"/>
      <c r="B233" s="42">
        <f>'設定'!$I$12</f>
        <v/>
      </c>
      <c r="C233" s="60" t="n"/>
      <c r="D233" s="60" t="n"/>
      <c r="E233" s="60" t="n"/>
      <c r="F233" s="60" t="n"/>
      <c r="G233" s="60" t="n"/>
      <c r="H233" s="60" t="n"/>
      <c r="I233" s="60" t="n"/>
      <c r="J233" s="60" t="n"/>
      <c r="K233" s="60" t="n"/>
      <c r="L233" s="60" t="n"/>
    </row>
    <row r="234" ht="21" customHeight="1">
      <c r="A234" s="59" t="n"/>
      <c r="B234" s="42">
        <f>'設定'!$I$13</f>
        <v/>
      </c>
      <c r="C234" s="60" t="n"/>
      <c r="D234" s="60" t="n"/>
      <c r="E234" s="60" t="n"/>
      <c r="F234" s="60" t="n"/>
      <c r="G234" s="60" t="n"/>
      <c r="H234" s="60" t="n"/>
      <c r="I234" s="60" t="n"/>
      <c r="J234" s="60" t="n"/>
      <c r="K234" s="60" t="n"/>
      <c r="L234" s="60" t="n"/>
    </row>
    <row r="235" ht="21" customHeight="1">
      <c r="A235" s="59" t="n"/>
      <c r="B235" s="42">
        <f>'設定'!$I$14</f>
        <v/>
      </c>
      <c r="C235" s="60" t="n"/>
      <c r="D235" s="60" t="n"/>
      <c r="E235" s="60" t="n"/>
      <c r="F235" s="60" t="n"/>
      <c r="G235" s="60" t="n"/>
      <c r="H235" s="60" t="n"/>
      <c r="I235" s="60" t="n"/>
      <c r="J235" s="60" t="n"/>
      <c r="K235" s="60" t="n"/>
      <c r="L235" s="60" t="n"/>
    </row>
    <row r="236" ht="21" customHeight="1">
      <c r="A236" s="59" t="n"/>
      <c r="B236" s="42">
        <f>'設定'!$I$15</f>
        <v/>
      </c>
      <c r="C236" s="60" t="n"/>
      <c r="D236" s="60" t="n"/>
      <c r="E236" s="60" t="n"/>
      <c r="F236" s="60" t="n"/>
      <c r="G236" s="60" t="n"/>
      <c r="H236" s="60" t="n"/>
      <c r="I236" s="60" t="n"/>
      <c r="J236" s="60" t="n"/>
      <c r="K236" s="60" t="n"/>
      <c r="L236" s="60" t="n"/>
    </row>
    <row r="237" ht="21" customHeight="1">
      <c r="A237" s="59" t="n"/>
      <c r="B237" s="42">
        <f>'設定'!$I$16</f>
        <v/>
      </c>
      <c r="C237" s="60" t="n"/>
      <c r="D237" s="60" t="n"/>
      <c r="E237" s="60" t="n"/>
      <c r="F237" s="60" t="n"/>
      <c r="G237" s="60" t="n"/>
      <c r="H237" s="60" t="n"/>
      <c r="I237" s="60" t="n"/>
      <c r="J237" s="60" t="n"/>
      <c r="K237" s="60" t="n"/>
      <c r="L237" s="60" t="n"/>
    </row>
    <row r="238" ht="21" customHeight="1">
      <c r="A238" s="59" t="n"/>
      <c r="B238" s="42">
        <f>'設定'!$I$17</f>
        <v/>
      </c>
      <c r="C238" s="60" t="n"/>
      <c r="D238" s="60" t="n"/>
      <c r="E238" s="60" t="n"/>
      <c r="F238" s="60" t="n"/>
      <c r="G238" s="60" t="n"/>
      <c r="H238" s="60" t="n"/>
      <c r="I238" s="60" t="n"/>
      <c r="J238" s="60" t="n"/>
      <c r="K238" s="60" t="n"/>
      <c r="L238" s="60" t="n"/>
    </row>
    <row r="239" ht="21" customHeight="1">
      <c r="A239" s="59" t="n"/>
      <c r="B239" s="42">
        <f>'設定'!$I$18</f>
        <v/>
      </c>
      <c r="C239" s="60" t="n"/>
      <c r="D239" s="60" t="n"/>
      <c r="E239" s="60" t="n"/>
      <c r="F239" s="60" t="n"/>
      <c r="G239" s="60" t="n"/>
      <c r="H239" s="60" t="n"/>
      <c r="I239" s="60" t="n"/>
      <c r="J239" s="60" t="n"/>
      <c r="K239" s="60" t="n"/>
      <c r="L239" s="60" t="n"/>
    </row>
    <row r="240" ht="21" customHeight="1">
      <c r="A240" s="59" t="n"/>
      <c r="B240" s="42">
        <f>'設定'!$I$19</f>
        <v/>
      </c>
      <c r="C240" s="60" t="n"/>
      <c r="D240" s="60" t="n"/>
      <c r="E240" s="60" t="n"/>
      <c r="F240" s="60" t="n"/>
      <c r="G240" s="60" t="n"/>
      <c r="H240" s="60" t="n"/>
      <c r="I240" s="60" t="n"/>
      <c r="J240" s="60" t="n"/>
      <c r="K240" s="60" t="n"/>
      <c r="L240" s="60" t="n"/>
    </row>
    <row r="241" ht="21" customHeight="1">
      <c r="A241" s="59" t="n"/>
      <c r="B241" s="42">
        <f>'設定'!$I$20</f>
        <v/>
      </c>
      <c r="C241" s="60" t="n"/>
      <c r="D241" s="60" t="n"/>
      <c r="E241" s="60" t="n"/>
      <c r="F241" s="60" t="n"/>
      <c r="G241" s="60" t="n"/>
      <c r="H241" s="60" t="n"/>
      <c r="I241" s="60" t="n"/>
      <c r="J241" s="60" t="n"/>
      <c r="K241" s="60" t="n"/>
      <c r="L241" s="60" t="n"/>
    </row>
    <row r="242" ht="21" customHeight="1">
      <c r="A242" s="59" t="n"/>
      <c r="B242" s="42">
        <f>'設定'!$I$21</f>
        <v/>
      </c>
      <c r="C242" s="60" t="n"/>
      <c r="D242" s="60" t="n"/>
      <c r="E242" s="60" t="n"/>
      <c r="F242" s="60" t="n"/>
      <c r="G242" s="60" t="n"/>
      <c r="H242" s="60" t="n"/>
      <c r="I242" s="60" t="n"/>
      <c r="J242" s="60" t="n"/>
      <c r="K242" s="60" t="n"/>
      <c r="L242" s="60" t="n"/>
    </row>
    <row r="243" ht="21" customHeight="1">
      <c r="A243" s="59" t="n"/>
      <c r="B243" s="42">
        <f>'設定'!$I$22</f>
        <v/>
      </c>
      <c r="C243" s="60" t="n"/>
      <c r="D243" s="60" t="n"/>
      <c r="E243" s="60" t="n"/>
      <c r="F243" s="60" t="n"/>
      <c r="G243" s="60" t="n"/>
      <c r="H243" s="60" t="n"/>
      <c r="I243" s="60" t="n"/>
      <c r="J243" s="60" t="n"/>
      <c r="K243" s="60" t="n"/>
      <c r="L243" s="60" t="n"/>
    </row>
    <row r="244" ht="21" customHeight="1">
      <c r="A244" s="59" t="n"/>
      <c r="B244" s="42">
        <f>'設定'!$I$23</f>
        <v/>
      </c>
      <c r="C244" s="60" t="n"/>
      <c r="D244" s="60" t="n"/>
      <c r="E244" s="60" t="n"/>
      <c r="F244" s="60" t="n"/>
      <c r="G244" s="60" t="n"/>
      <c r="H244" s="60" t="n"/>
      <c r="I244" s="60" t="n"/>
      <c r="J244" s="60" t="n"/>
      <c r="K244" s="60" t="n"/>
      <c r="L244" s="60" t="n"/>
    </row>
    <row r="245" ht="21" customHeight="1">
      <c r="A245" s="59" t="n"/>
      <c r="B245" s="42">
        <f>'設定'!$I$24</f>
        <v/>
      </c>
      <c r="C245" s="60" t="n"/>
      <c r="D245" s="60" t="n"/>
      <c r="E245" s="60" t="n"/>
      <c r="F245" s="60" t="n"/>
      <c r="G245" s="60" t="n"/>
      <c r="H245" s="60" t="n"/>
      <c r="I245" s="60" t="n"/>
      <c r="J245" s="60" t="n"/>
      <c r="K245" s="60" t="n"/>
      <c r="L245" s="60" t="n"/>
    </row>
    <row r="246" ht="21" customHeight="1">
      <c r="A246" s="59" t="n"/>
      <c r="B246" s="42">
        <f>'設定'!$I$25</f>
        <v/>
      </c>
      <c r="C246" s="60" t="n"/>
      <c r="D246" s="60" t="n"/>
      <c r="E246" s="60" t="n"/>
      <c r="F246" s="60" t="n"/>
      <c r="G246" s="60" t="n"/>
      <c r="H246" s="60" t="n"/>
      <c r="I246" s="60" t="n"/>
      <c r="J246" s="60" t="n"/>
      <c r="K246" s="60" t="n"/>
      <c r="L246" s="60" t="n"/>
    </row>
    <row r="247" ht="21" customHeight="1">
      <c r="A247" s="59" t="n"/>
      <c r="B247" s="42">
        <f>'設定'!$I$26</f>
        <v/>
      </c>
      <c r="C247" s="60" t="n"/>
      <c r="D247" s="60" t="n"/>
      <c r="E247" s="60" t="n"/>
      <c r="F247" s="60" t="n"/>
      <c r="G247" s="60" t="n"/>
      <c r="H247" s="60" t="n"/>
      <c r="I247" s="60" t="n"/>
      <c r="J247" s="60" t="n"/>
      <c r="K247" s="60" t="n"/>
      <c r="L247" s="60" t="n"/>
    </row>
    <row r="248" ht="21" customHeight="1">
      <c r="A248" s="59" t="n"/>
      <c r="B248" s="42">
        <f>'設定'!$I$27</f>
        <v/>
      </c>
      <c r="C248" s="60" t="n"/>
      <c r="D248" s="60" t="n"/>
      <c r="E248" s="60" t="n"/>
      <c r="F248" s="60" t="n"/>
      <c r="G248" s="60" t="n"/>
      <c r="H248" s="60" t="n"/>
      <c r="I248" s="60" t="n"/>
      <c r="J248" s="60" t="n"/>
      <c r="K248" s="60" t="n"/>
      <c r="L248" s="60" t="n"/>
    </row>
    <row r="249" ht="21" customHeight="1">
      <c r="A249" s="59" t="n"/>
      <c r="B249" s="42">
        <f>'設定'!$I$28</f>
        <v/>
      </c>
      <c r="C249" s="60" t="n"/>
      <c r="D249" s="60" t="n"/>
      <c r="E249" s="60" t="n"/>
      <c r="F249" s="60" t="n"/>
      <c r="G249" s="60" t="n"/>
      <c r="H249" s="60" t="n"/>
      <c r="I249" s="60" t="n"/>
      <c r="J249" s="60" t="n"/>
      <c r="K249" s="60" t="n"/>
      <c r="L249" s="60" t="n"/>
    </row>
    <row r="250" ht="21" customHeight="1">
      <c r="A250" s="59" t="n"/>
      <c r="B250" s="42">
        <f>'設定'!$I$29</f>
        <v/>
      </c>
      <c r="C250" s="60" t="n"/>
      <c r="D250" s="60" t="n"/>
      <c r="E250" s="60" t="n"/>
      <c r="F250" s="60" t="n"/>
      <c r="G250" s="60" t="n"/>
      <c r="H250" s="60" t="n"/>
      <c r="I250" s="60" t="n"/>
      <c r="J250" s="60" t="n"/>
      <c r="K250" s="60" t="n"/>
      <c r="L250" s="60" t="n"/>
    </row>
    <row r="251" ht="21" customHeight="1">
      <c r="A251" s="59" t="n"/>
      <c r="B251" s="42">
        <f>'設定'!$I$30</f>
        <v/>
      </c>
      <c r="C251" s="60" t="n"/>
      <c r="D251" s="60" t="n"/>
      <c r="E251" s="60" t="n"/>
      <c r="F251" s="60" t="n"/>
      <c r="G251" s="60" t="n"/>
      <c r="H251" s="60" t="n"/>
      <c r="I251" s="60" t="n"/>
      <c r="J251" s="60" t="n"/>
      <c r="K251" s="60" t="n"/>
      <c r="L251" s="60" t="n"/>
    </row>
    <row r="252" ht="21" customHeight="1">
      <c r="A252" s="59" t="n"/>
      <c r="B252" s="42">
        <f>'設定'!$I$31</f>
        <v/>
      </c>
      <c r="C252" s="60" t="n"/>
      <c r="D252" s="60" t="n"/>
      <c r="E252" s="60" t="n"/>
      <c r="F252" s="60" t="n"/>
      <c r="G252" s="60" t="n"/>
      <c r="H252" s="60" t="n"/>
      <c r="I252" s="60" t="n"/>
      <c r="J252" s="60" t="n"/>
      <c r="K252" s="60" t="n"/>
      <c r="L252" s="60" t="n"/>
    </row>
    <row r="253" ht="21" customHeight="1">
      <c r="A253" s="59" t="n"/>
      <c r="B253" s="42">
        <f>'設定'!$I$32</f>
        <v/>
      </c>
      <c r="C253" s="60" t="n"/>
      <c r="D253" s="60" t="n"/>
      <c r="E253" s="60" t="n"/>
      <c r="F253" s="60" t="n"/>
      <c r="G253" s="60" t="n"/>
      <c r="H253" s="60" t="n"/>
      <c r="I253" s="60" t="n"/>
      <c r="J253" s="60" t="n"/>
      <c r="K253" s="60" t="n"/>
      <c r="L253" s="60" t="n"/>
    </row>
    <row r="254" ht="21" customHeight="1">
      <c r="A254" s="59" t="n"/>
      <c r="B254" s="42">
        <f>'設定'!$I$33</f>
        <v/>
      </c>
      <c r="C254" s="60" t="n"/>
      <c r="D254" s="60" t="n"/>
      <c r="E254" s="60" t="n"/>
      <c r="F254" s="60" t="n"/>
      <c r="G254" s="60" t="n"/>
      <c r="H254" s="60" t="n"/>
      <c r="I254" s="60" t="n"/>
      <c r="J254" s="60" t="n"/>
      <c r="K254" s="60" t="n"/>
      <c r="L254" s="60" t="n"/>
    </row>
    <row r="255" ht="21" customHeight="1">
      <c r="A255" s="59" t="n"/>
      <c r="B255" s="42">
        <f>'設定'!$I$34</f>
        <v/>
      </c>
      <c r="C255" s="60" t="n"/>
      <c r="D255" s="60" t="n"/>
      <c r="E255" s="60" t="n"/>
      <c r="F255" s="60" t="n"/>
      <c r="G255" s="60" t="n"/>
      <c r="H255" s="60" t="n"/>
      <c r="I255" s="60" t="n"/>
      <c r="J255" s="60" t="n"/>
      <c r="K255" s="60" t="n"/>
      <c r="L255" s="60" t="n"/>
    </row>
    <row r="256"/>
    <row r="257" ht="26" customHeight="1">
      <c r="B257" s="53">
        <f>IF('名簿'!B14="","（名簿 10行目：なし）",'名簿'!G14)</f>
        <v/>
      </c>
      <c r="C257" s="4" t="n"/>
      <c r="D257" s="4" t="n"/>
      <c r="E257" s="54" t="inlineStr">
        <is>
          <t>提出状況 ▶</t>
        </is>
      </c>
      <c r="F257" s="38" t="n"/>
      <c r="G257" s="29" t="n"/>
      <c r="H257" s="55" t="inlineStr">
        <is>
          <t>状況：</t>
        </is>
      </c>
      <c r="I257" s="56">
        <f>'名簿'!H14</f>
        <v/>
      </c>
      <c r="J257" s="55" t="inlineStr">
        <is>
          <t>×の数：</t>
        </is>
      </c>
      <c r="K257" s="57">
        <f>'名簿'!I14</f>
        <v/>
      </c>
      <c r="L257" s="58">
        <f>HYPERLINK("#'×入力'!B285","次の人へ ▼")</f>
        <v/>
      </c>
    </row>
    <row r="258" ht="22" customHeight="1">
      <c r="A258" s="30" t="inlineStr">
        <is>
          <t>この日全部 ▶</t>
        </is>
      </c>
      <c r="C258" s="59" t="n"/>
      <c r="D258" s="59" t="n"/>
      <c r="E258" s="59" t="n"/>
      <c r="F258" s="59" t="n"/>
      <c r="G258" s="59" t="n"/>
      <c r="H258" s="59" t="n"/>
      <c r="I258" s="59" t="n"/>
      <c r="J258" s="59" t="n"/>
      <c r="K258" s="59" t="n"/>
      <c r="L258" s="59" t="n"/>
    </row>
    <row r="259" ht="28" customHeight="1">
      <c r="A259" s="33" t="inlineStr">
        <is>
          <t>この時間
全部 ▼</t>
        </is>
      </c>
      <c r="B259" s="34" t="inlineStr"/>
      <c r="C259" s="35">
        <f>'設定'!$E$11</f>
        <v/>
      </c>
      <c r="D259" s="35">
        <f>'設定'!$E$12</f>
        <v/>
      </c>
      <c r="E259" s="35">
        <f>'設定'!$E$13</f>
        <v/>
      </c>
      <c r="F259" s="35">
        <f>'設定'!$E$14</f>
        <v/>
      </c>
      <c r="G259" s="35">
        <f>'設定'!$E$15</f>
        <v/>
      </c>
      <c r="H259" s="35">
        <f>'設定'!$E$16</f>
        <v/>
      </c>
      <c r="I259" s="35">
        <f>'設定'!$E$17</f>
        <v/>
      </c>
      <c r="J259" s="35">
        <f>'設定'!$E$18</f>
        <v/>
      </c>
      <c r="K259" s="35">
        <f>'設定'!$E$19</f>
        <v/>
      </c>
      <c r="L259" s="35">
        <f>'設定'!$E$20</f>
        <v/>
      </c>
    </row>
    <row r="260" ht="21" customHeight="1">
      <c r="A260" s="59" t="n"/>
      <c r="B260" s="42">
        <f>'設定'!$I$11</f>
        <v/>
      </c>
      <c r="C260" s="60" t="n"/>
      <c r="D260" s="60" t="n"/>
      <c r="E260" s="60" t="n"/>
      <c r="F260" s="60" t="n"/>
      <c r="G260" s="60" t="n"/>
      <c r="H260" s="60" t="n"/>
      <c r="I260" s="60" t="n"/>
      <c r="J260" s="60" t="n"/>
      <c r="K260" s="60" t="n"/>
      <c r="L260" s="60" t="n"/>
    </row>
    <row r="261" ht="21" customHeight="1">
      <c r="A261" s="59" t="n"/>
      <c r="B261" s="42">
        <f>'設定'!$I$12</f>
        <v/>
      </c>
      <c r="C261" s="60" t="n"/>
      <c r="D261" s="60" t="n"/>
      <c r="E261" s="60" t="n"/>
      <c r="F261" s="60" t="n"/>
      <c r="G261" s="60" t="n"/>
      <c r="H261" s="60" t="n"/>
      <c r="I261" s="60" t="n"/>
      <c r="J261" s="60" t="n"/>
      <c r="K261" s="60" t="n"/>
      <c r="L261" s="60" t="n"/>
    </row>
    <row r="262" ht="21" customHeight="1">
      <c r="A262" s="59" t="n"/>
      <c r="B262" s="42">
        <f>'設定'!$I$13</f>
        <v/>
      </c>
      <c r="C262" s="60" t="n"/>
      <c r="D262" s="60" t="n"/>
      <c r="E262" s="60" t="n"/>
      <c r="F262" s="60" t="n"/>
      <c r="G262" s="60" t="n"/>
      <c r="H262" s="60" t="n"/>
      <c r="I262" s="60" t="n"/>
      <c r="J262" s="60" t="n"/>
      <c r="K262" s="60" t="n"/>
      <c r="L262" s="60" t="n"/>
    </row>
    <row r="263" ht="21" customHeight="1">
      <c r="A263" s="59" t="n"/>
      <c r="B263" s="42">
        <f>'設定'!$I$14</f>
        <v/>
      </c>
      <c r="C263" s="60" t="n"/>
      <c r="D263" s="60" t="n"/>
      <c r="E263" s="60" t="n"/>
      <c r="F263" s="60" t="n"/>
      <c r="G263" s="60" t="n"/>
      <c r="H263" s="60" t="n"/>
      <c r="I263" s="60" t="n"/>
      <c r="J263" s="60" t="n"/>
      <c r="K263" s="60" t="n"/>
      <c r="L263" s="60" t="n"/>
    </row>
    <row r="264" ht="21" customHeight="1">
      <c r="A264" s="59" t="n"/>
      <c r="B264" s="42">
        <f>'設定'!$I$15</f>
        <v/>
      </c>
      <c r="C264" s="60" t="n"/>
      <c r="D264" s="60" t="n"/>
      <c r="E264" s="60" t="n"/>
      <c r="F264" s="60" t="n"/>
      <c r="G264" s="60" t="n"/>
      <c r="H264" s="60" t="n"/>
      <c r="I264" s="60" t="n"/>
      <c r="J264" s="60" t="n"/>
      <c r="K264" s="60" t="n"/>
      <c r="L264" s="60" t="n"/>
    </row>
    <row r="265" ht="21" customHeight="1">
      <c r="A265" s="59" t="n"/>
      <c r="B265" s="42">
        <f>'設定'!$I$16</f>
        <v/>
      </c>
      <c r="C265" s="60" t="n"/>
      <c r="D265" s="60" t="n"/>
      <c r="E265" s="60" t="n"/>
      <c r="F265" s="60" t="n"/>
      <c r="G265" s="60" t="n"/>
      <c r="H265" s="60" t="n"/>
      <c r="I265" s="60" t="n"/>
      <c r="J265" s="60" t="n"/>
      <c r="K265" s="60" t="n"/>
      <c r="L265" s="60" t="n"/>
    </row>
    <row r="266" ht="21" customHeight="1">
      <c r="A266" s="59" t="n"/>
      <c r="B266" s="42">
        <f>'設定'!$I$17</f>
        <v/>
      </c>
      <c r="C266" s="60" t="n"/>
      <c r="D266" s="60" t="n"/>
      <c r="E266" s="60" t="n"/>
      <c r="F266" s="60" t="n"/>
      <c r="G266" s="60" t="n"/>
      <c r="H266" s="60" t="n"/>
      <c r="I266" s="60" t="n"/>
      <c r="J266" s="60" t="n"/>
      <c r="K266" s="60" t="n"/>
      <c r="L266" s="60" t="n"/>
    </row>
    <row r="267" ht="21" customHeight="1">
      <c r="A267" s="59" t="n"/>
      <c r="B267" s="42">
        <f>'設定'!$I$18</f>
        <v/>
      </c>
      <c r="C267" s="60" t="n"/>
      <c r="D267" s="60" t="n"/>
      <c r="E267" s="60" t="n"/>
      <c r="F267" s="60" t="n"/>
      <c r="G267" s="60" t="n"/>
      <c r="H267" s="60" t="n"/>
      <c r="I267" s="60" t="n"/>
      <c r="J267" s="60" t="n"/>
      <c r="K267" s="60" t="n"/>
      <c r="L267" s="60" t="n"/>
    </row>
    <row r="268" ht="21" customHeight="1">
      <c r="A268" s="59" t="n"/>
      <c r="B268" s="42">
        <f>'設定'!$I$19</f>
        <v/>
      </c>
      <c r="C268" s="60" t="n"/>
      <c r="D268" s="60" t="n"/>
      <c r="E268" s="60" t="n"/>
      <c r="F268" s="60" t="n"/>
      <c r="G268" s="60" t="n"/>
      <c r="H268" s="60" t="n"/>
      <c r="I268" s="60" t="n"/>
      <c r="J268" s="60" t="n"/>
      <c r="K268" s="60" t="n"/>
      <c r="L268" s="60" t="n"/>
    </row>
    <row r="269" ht="21" customHeight="1">
      <c r="A269" s="59" t="n"/>
      <c r="B269" s="42">
        <f>'設定'!$I$20</f>
        <v/>
      </c>
      <c r="C269" s="60" t="n"/>
      <c r="D269" s="60" t="n"/>
      <c r="E269" s="60" t="n"/>
      <c r="F269" s="60" t="n"/>
      <c r="G269" s="60" t="n"/>
      <c r="H269" s="60" t="n"/>
      <c r="I269" s="60" t="n"/>
      <c r="J269" s="60" t="n"/>
      <c r="K269" s="60" t="n"/>
      <c r="L269" s="60" t="n"/>
    </row>
    <row r="270" ht="21" customHeight="1">
      <c r="A270" s="59" t="n"/>
      <c r="B270" s="42">
        <f>'設定'!$I$21</f>
        <v/>
      </c>
      <c r="C270" s="60" t="n"/>
      <c r="D270" s="60" t="n"/>
      <c r="E270" s="60" t="n"/>
      <c r="F270" s="60" t="n"/>
      <c r="G270" s="60" t="n"/>
      <c r="H270" s="60" t="n"/>
      <c r="I270" s="60" t="n"/>
      <c r="J270" s="60" t="n"/>
      <c r="K270" s="60" t="n"/>
      <c r="L270" s="60" t="n"/>
    </row>
    <row r="271" ht="21" customHeight="1">
      <c r="A271" s="59" t="n"/>
      <c r="B271" s="42">
        <f>'設定'!$I$22</f>
        <v/>
      </c>
      <c r="C271" s="60" t="n"/>
      <c r="D271" s="60" t="n"/>
      <c r="E271" s="60" t="n"/>
      <c r="F271" s="60" t="n"/>
      <c r="G271" s="60" t="n"/>
      <c r="H271" s="60" t="n"/>
      <c r="I271" s="60" t="n"/>
      <c r="J271" s="60" t="n"/>
      <c r="K271" s="60" t="n"/>
      <c r="L271" s="60" t="n"/>
    </row>
    <row r="272" ht="21" customHeight="1">
      <c r="A272" s="59" t="n"/>
      <c r="B272" s="42">
        <f>'設定'!$I$23</f>
        <v/>
      </c>
      <c r="C272" s="60" t="n"/>
      <c r="D272" s="60" t="n"/>
      <c r="E272" s="60" t="n"/>
      <c r="F272" s="60" t="n"/>
      <c r="G272" s="60" t="n"/>
      <c r="H272" s="60" t="n"/>
      <c r="I272" s="60" t="n"/>
      <c r="J272" s="60" t="n"/>
      <c r="K272" s="60" t="n"/>
      <c r="L272" s="60" t="n"/>
    </row>
    <row r="273" ht="21" customHeight="1">
      <c r="A273" s="59" t="n"/>
      <c r="B273" s="42">
        <f>'設定'!$I$24</f>
        <v/>
      </c>
      <c r="C273" s="60" t="n"/>
      <c r="D273" s="60" t="n"/>
      <c r="E273" s="60" t="n"/>
      <c r="F273" s="60" t="n"/>
      <c r="G273" s="60" t="n"/>
      <c r="H273" s="60" t="n"/>
      <c r="I273" s="60" t="n"/>
      <c r="J273" s="60" t="n"/>
      <c r="K273" s="60" t="n"/>
      <c r="L273" s="60" t="n"/>
    </row>
    <row r="274" ht="21" customHeight="1">
      <c r="A274" s="59" t="n"/>
      <c r="B274" s="42">
        <f>'設定'!$I$25</f>
        <v/>
      </c>
      <c r="C274" s="60" t="n"/>
      <c r="D274" s="60" t="n"/>
      <c r="E274" s="60" t="n"/>
      <c r="F274" s="60" t="n"/>
      <c r="G274" s="60" t="n"/>
      <c r="H274" s="60" t="n"/>
      <c r="I274" s="60" t="n"/>
      <c r="J274" s="60" t="n"/>
      <c r="K274" s="60" t="n"/>
      <c r="L274" s="60" t="n"/>
    </row>
    <row r="275" ht="21" customHeight="1">
      <c r="A275" s="59" t="n"/>
      <c r="B275" s="42">
        <f>'設定'!$I$26</f>
        <v/>
      </c>
      <c r="C275" s="60" t="n"/>
      <c r="D275" s="60" t="n"/>
      <c r="E275" s="60" t="n"/>
      <c r="F275" s="60" t="n"/>
      <c r="G275" s="60" t="n"/>
      <c r="H275" s="60" t="n"/>
      <c r="I275" s="60" t="n"/>
      <c r="J275" s="60" t="n"/>
      <c r="K275" s="60" t="n"/>
      <c r="L275" s="60" t="n"/>
    </row>
    <row r="276" ht="21" customHeight="1">
      <c r="A276" s="59" t="n"/>
      <c r="B276" s="42">
        <f>'設定'!$I$27</f>
        <v/>
      </c>
      <c r="C276" s="60" t="n"/>
      <c r="D276" s="60" t="n"/>
      <c r="E276" s="60" t="n"/>
      <c r="F276" s="60" t="n"/>
      <c r="G276" s="60" t="n"/>
      <c r="H276" s="60" t="n"/>
      <c r="I276" s="60" t="n"/>
      <c r="J276" s="60" t="n"/>
      <c r="K276" s="60" t="n"/>
      <c r="L276" s="60" t="n"/>
    </row>
    <row r="277" ht="21" customHeight="1">
      <c r="A277" s="59" t="n"/>
      <c r="B277" s="42">
        <f>'設定'!$I$28</f>
        <v/>
      </c>
      <c r="C277" s="60" t="n"/>
      <c r="D277" s="60" t="n"/>
      <c r="E277" s="60" t="n"/>
      <c r="F277" s="60" t="n"/>
      <c r="G277" s="60" t="n"/>
      <c r="H277" s="60" t="n"/>
      <c r="I277" s="60" t="n"/>
      <c r="J277" s="60" t="n"/>
      <c r="K277" s="60" t="n"/>
      <c r="L277" s="60" t="n"/>
    </row>
    <row r="278" ht="21" customHeight="1">
      <c r="A278" s="59" t="n"/>
      <c r="B278" s="42">
        <f>'設定'!$I$29</f>
        <v/>
      </c>
      <c r="C278" s="60" t="n"/>
      <c r="D278" s="60" t="n"/>
      <c r="E278" s="60" t="n"/>
      <c r="F278" s="60" t="n"/>
      <c r="G278" s="60" t="n"/>
      <c r="H278" s="60" t="n"/>
      <c r="I278" s="60" t="n"/>
      <c r="J278" s="60" t="n"/>
      <c r="K278" s="60" t="n"/>
      <c r="L278" s="60" t="n"/>
    </row>
    <row r="279" ht="21" customHeight="1">
      <c r="A279" s="59" t="n"/>
      <c r="B279" s="42">
        <f>'設定'!$I$30</f>
        <v/>
      </c>
      <c r="C279" s="60" t="n"/>
      <c r="D279" s="60" t="n"/>
      <c r="E279" s="60" t="n"/>
      <c r="F279" s="60" t="n"/>
      <c r="G279" s="60" t="n"/>
      <c r="H279" s="60" t="n"/>
      <c r="I279" s="60" t="n"/>
      <c r="J279" s="60" t="n"/>
      <c r="K279" s="60" t="n"/>
      <c r="L279" s="60" t="n"/>
    </row>
    <row r="280" ht="21" customHeight="1">
      <c r="A280" s="59" t="n"/>
      <c r="B280" s="42">
        <f>'設定'!$I$31</f>
        <v/>
      </c>
      <c r="C280" s="60" t="n"/>
      <c r="D280" s="60" t="n"/>
      <c r="E280" s="60" t="n"/>
      <c r="F280" s="60" t="n"/>
      <c r="G280" s="60" t="n"/>
      <c r="H280" s="60" t="n"/>
      <c r="I280" s="60" t="n"/>
      <c r="J280" s="60" t="n"/>
      <c r="K280" s="60" t="n"/>
      <c r="L280" s="60" t="n"/>
    </row>
    <row r="281" ht="21" customHeight="1">
      <c r="A281" s="59" t="n"/>
      <c r="B281" s="42">
        <f>'設定'!$I$32</f>
        <v/>
      </c>
      <c r="C281" s="60" t="n"/>
      <c r="D281" s="60" t="n"/>
      <c r="E281" s="60" t="n"/>
      <c r="F281" s="60" t="n"/>
      <c r="G281" s="60" t="n"/>
      <c r="H281" s="60" t="n"/>
      <c r="I281" s="60" t="n"/>
      <c r="J281" s="60" t="n"/>
      <c r="K281" s="60" t="n"/>
      <c r="L281" s="60" t="n"/>
    </row>
    <row r="282" ht="21" customHeight="1">
      <c r="A282" s="59" t="n"/>
      <c r="B282" s="42">
        <f>'設定'!$I$33</f>
        <v/>
      </c>
      <c r="C282" s="60" t="n"/>
      <c r="D282" s="60" t="n"/>
      <c r="E282" s="60" t="n"/>
      <c r="F282" s="60" t="n"/>
      <c r="G282" s="60" t="n"/>
      <c r="H282" s="60" t="n"/>
      <c r="I282" s="60" t="n"/>
      <c r="J282" s="60" t="n"/>
      <c r="K282" s="60" t="n"/>
      <c r="L282" s="60" t="n"/>
    </row>
    <row r="283" ht="21" customHeight="1">
      <c r="A283" s="59" t="n"/>
      <c r="B283" s="42">
        <f>'設定'!$I$34</f>
        <v/>
      </c>
      <c r="C283" s="60" t="n"/>
      <c r="D283" s="60" t="n"/>
      <c r="E283" s="60" t="n"/>
      <c r="F283" s="60" t="n"/>
      <c r="G283" s="60" t="n"/>
      <c r="H283" s="60" t="n"/>
      <c r="I283" s="60" t="n"/>
      <c r="J283" s="60" t="n"/>
      <c r="K283" s="60" t="n"/>
      <c r="L283" s="60" t="n"/>
    </row>
    <row r="284"/>
    <row r="285" ht="26" customHeight="1">
      <c r="B285" s="53">
        <f>IF('名簿'!B15="","（名簿 11行目：なし）",'名簿'!G15)</f>
        <v/>
      </c>
      <c r="C285" s="4" t="n"/>
      <c r="D285" s="4" t="n"/>
      <c r="E285" s="54" t="inlineStr">
        <is>
          <t>提出状況 ▶</t>
        </is>
      </c>
      <c r="F285" s="38" t="n"/>
      <c r="G285" s="29" t="n"/>
      <c r="H285" s="55" t="inlineStr">
        <is>
          <t>状況：</t>
        </is>
      </c>
      <c r="I285" s="56">
        <f>'名簿'!H15</f>
        <v/>
      </c>
      <c r="J285" s="55" t="inlineStr">
        <is>
          <t>×の数：</t>
        </is>
      </c>
      <c r="K285" s="57">
        <f>'名簿'!I15</f>
        <v/>
      </c>
      <c r="L285" s="58">
        <f>HYPERLINK("#'×入力'!B313","次の人へ ▼")</f>
        <v/>
      </c>
    </row>
    <row r="286" ht="22" customHeight="1">
      <c r="A286" s="30" t="inlineStr">
        <is>
          <t>この日全部 ▶</t>
        </is>
      </c>
      <c r="C286" s="59" t="n"/>
      <c r="D286" s="59" t="n"/>
      <c r="E286" s="59" t="n"/>
      <c r="F286" s="59" t="n"/>
      <c r="G286" s="59" t="n"/>
      <c r="H286" s="59" t="n"/>
      <c r="I286" s="59" t="n"/>
      <c r="J286" s="59" t="n"/>
      <c r="K286" s="59" t="n"/>
      <c r="L286" s="59" t="n"/>
    </row>
    <row r="287" ht="28" customHeight="1">
      <c r="A287" s="33" t="inlineStr">
        <is>
          <t>この時間
全部 ▼</t>
        </is>
      </c>
      <c r="B287" s="34" t="inlineStr"/>
      <c r="C287" s="35">
        <f>'設定'!$E$11</f>
        <v/>
      </c>
      <c r="D287" s="35">
        <f>'設定'!$E$12</f>
        <v/>
      </c>
      <c r="E287" s="35">
        <f>'設定'!$E$13</f>
        <v/>
      </c>
      <c r="F287" s="35">
        <f>'設定'!$E$14</f>
        <v/>
      </c>
      <c r="G287" s="35">
        <f>'設定'!$E$15</f>
        <v/>
      </c>
      <c r="H287" s="35">
        <f>'設定'!$E$16</f>
        <v/>
      </c>
      <c r="I287" s="35">
        <f>'設定'!$E$17</f>
        <v/>
      </c>
      <c r="J287" s="35">
        <f>'設定'!$E$18</f>
        <v/>
      </c>
      <c r="K287" s="35">
        <f>'設定'!$E$19</f>
        <v/>
      </c>
      <c r="L287" s="35">
        <f>'設定'!$E$20</f>
        <v/>
      </c>
    </row>
    <row r="288" ht="21" customHeight="1">
      <c r="A288" s="59" t="n"/>
      <c r="B288" s="42">
        <f>'設定'!$I$11</f>
        <v/>
      </c>
      <c r="C288" s="60" t="n"/>
      <c r="D288" s="60" t="n"/>
      <c r="E288" s="60" t="n"/>
      <c r="F288" s="60" t="n"/>
      <c r="G288" s="60" t="n"/>
      <c r="H288" s="60" t="n"/>
      <c r="I288" s="60" t="n"/>
      <c r="J288" s="60" t="n"/>
      <c r="K288" s="60" t="n"/>
      <c r="L288" s="60" t="n"/>
    </row>
    <row r="289" ht="21" customHeight="1">
      <c r="A289" s="59" t="n"/>
      <c r="B289" s="42">
        <f>'設定'!$I$12</f>
        <v/>
      </c>
      <c r="C289" s="60" t="n"/>
      <c r="D289" s="60" t="n"/>
      <c r="E289" s="60" t="n"/>
      <c r="F289" s="60" t="n"/>
      <c r="G289" s="60" t="n"/>
      <c r="H289" s="60" t="n"/>
      <c r="I289" s="60" t="n"/>
      <c r="J289" s="60" t="n"/>
      <c r="K289" s="60" t="n"/>
      <c r="L289" s="60" t="n"/>
    </row>
    <row r="290" ht="21" customHeight="1">
      <c r="A290" s="59" t="n"/>
      <c r="B290" s="42">
        <f>'設定'!$I$13</f>
        <v/>
      </c>
      <c r="C290" s="60" t="n"/>
      <c r="D290" s="60" t="n"/>
      <c r="E290" s="60" t="n"/>
      <c r="F290" s="60" t="n"/>
      <c r="G290" s="60" t="n"/>
      <c r="H290" s="60" t="n"/>
      <c r="I290" s="60" t="n"/>
      <c r="J290" s="60" t="n"/>
      <c r="K290" s="60" t="n"/>
      <c r="L290" s="60" t="n"/>
    </row>
    <row r="291" ht="21" customHeight="1">
      <c r="A291" s="59" t="n"/>
      <c r="B291" s="42">
        <f>'設定'!$I$14</f>
        <v/>
      </c>
      <c r="C291" s="60" t="n"/>
      <c r="D291" s="60" t="n"/>
      <c r="E291" s="60" t="n"/>
      <c r="F291" s="60" t="n"/>
      <c r="G291" s="60" t="n"/>
      <c r="H291" s="60" t="n"/>
      <c r="I291" s="60" t="n"/>
      <c r="J291" s="60" t="n"/>
      <c r="K291" s="60" t="n"/>
      <c r="L291" s="60" t="n"/>
    </row>
    <row r="292" ht="21" customHeight="1">
      <c r="A292" s="59" t="n"/>
      <c r="B292" s="42">
        <f>'設定'!$I$15</f>
        <v/>
      </c>
      <c r="C292" s="60" t="n"/>
      <c r="D292" s="60" t="n"/>
      <c r="E292" s="60" t="n"/>
      <c r="F292" s="60" t="n"/>
      <c r="G292" s="60" t="n"/>
      <c r="H292" s="60" t="n"/>
      <c r="I292" s="60" t="n"/>
      <c r="J292" s="60" t="n"/>
      <c r="K292" s="60" t="n"/>
      <c r="L292" s="60" t="n"/>
    </row>
    <row r="293" ht="21" customHeight="1">
      <c r="A293" s="59" t="n"/>
      <c r="B293" s="42">
        <f>'設定'!$I$16</f>
        <v/>
      </c>
      <c r="C293" s="60" t="n"/>
      <c r="D293" s="60" t="n"/>
      <c r="E293" s="60" t="n"/>
      <c r="F293" s="60" t="n"/>
      <c r="G293" s="60" t="n"/>
      <c r="H293" s="60" t="n"/>
      <c r="I293" s="60" t="n"/>
      <c r="J293" s="60" t="n"/>
      <c r="K293" s="60" t="n"/>
      <c r="L293" s="60" t="n"/>
    </row>
    <row r="294" ht="21" customHeight="1">
      <c r="A294" s="59" t="n"/>
      <c r="B294" s="42">
        <f>'設定'!$I$17</f>
        <v/>
      </c>
      <c r="C294" s="60" t="n"/>
      <c r="D294" s="60" t="n"/>
      <c r="E294" s="60" t="n"/>
      <c r="F294" s="60" t="n"/>
      <c r="G294" s="60" t="n"/>
      <c r="H294" s="60" t="n"/>
      <c r="I294" s="60" t="n"/>
      <c r="J294" s="60" t="n"/>
      <c r="K294" s="60" t="n"/>
      <c r="L294" s="60" t="n"/>
    </row>
    <row r="295" ht="21" customHeight="1">
      <c r="A295" s="59" t="n"/>
      <c r="B295" s="42">
        <f>'設定'!$I$18</f>
        <v/>
      </c>
      <c r="C295" s="60" t="n"/>
      <c r="D295" s="60" t="n"/>
      <c r="E295" s="60" t="n"/>
      <c r="F295" s="60" t="n"/>
      <c r="G295" s="60" t="n"/>
      <c r="H295" s="60" t="n"/>
      <c r="I295" s="60" t="n"/>
      <c r="J295" s="60" t="n"/>
      <c r="K295" s="60" t="n"/>
      <c r="L295" s="60" t="n"/>
    </row>
    <row r="296" ht="21" customHeight="1">
      <c r="A296" s="59" t="n"/>
      <c r="B296" s="42">
        <f>'設定'!$I$19</f>
        <v/>
      </c>
      <c r="C296" s="60" t="n"/>
      <c r="D296" s="60" t="n"/>
      <c r="E296" s="60" t="n"/>
      <c r="F296" s="60" t="n"/>
      <c r="G296" s="60" t="n"/>
      <c r="H296" s="60" t="n"/>
      <c r="I296" s="60" t="n"/>
      <c r="J296" s="60" t="n"/>
      <c r="K296" s="60" t="n"/>
      <c r="L296" s="60" t="n"/>
    </row>
    <row r="297" ht="21" customHeight="1">
      <c r="A297" s="59" t="n"/>
      <c r="B297" s="42">
        <f>'設定'!$I$20</f>
        <v/>
      </c>
      <c r="C297" s="60" t="n"/>
      <c r="D297" s="60" t="n"/>
      <c r="E297" s="60" t="n"/>
      <c r="F297" s="60" t="n"/>
      <c r="G297" s="60" t="n"/>
      <c r="H297" s="60" t="n"/>
      <c r="I297" s="60" t="n"/>
      <c r="J297" s="60" t="n"/>
      <c r="K297" s="60" t="n"/>
      <c r="L297" s="60" t="n"/>
    </row>
    <row r="298" ht="21" customHeight="1">
      <c r="A298" s="59" t="n"/>
      <c r="B298" s="42">
        <f>'設定'!$I$21</f>
        <v/>
      </c>
      <c r="C298" s="60" t="n"/>
      <c r="D298" s="60" t="n"/>
      <c r="E298" s="60" t="n"/>
      <c r="F298" s="60" t="n"/>
      <c r="G298" s="60" t="n"/>
      <c r="H298" s="60" t="n"/>
      <c r="I298" s="60" t="n"/>
      <c r="J298" s="60" t="n"/>
      <c r="K298" s="60" t="n"/>
      <c r="L298" s="60" t="n"/>
    </row>
    <row r="299" ht="21" customHeight="1">
      <c r="A299" s="59" t="n"/>
      <c r="B299" s="42">
        <f>'設定'!$I$22</f>
        <v/>
      </c>
      <c r="C299" s="60" t="n"/>
      <c r="D299" s="60" t="n"/>
      <c r="E299" s="60" t="n"/>
      <c r="F299" s="60" t="n"/>
      <c r="G299" s="60" t="n"/>
      <c r="H299" s="60" t="n"/>
      <c r="I299" s="60" t="n"/>
      <c r="J299" s="60" t="n"/>
      <c r="K299" s="60" t="n"/>
      <c r="L299" s="60" t="n"/>
    </row>
    <row r="300" ht="21" customHeight="1">
      <c r="A300" s="59" t="n"/>
      <c r="B300" s="42">
        <f>'設定'!$I$23</f>
        <v/>
      </c>
      <c r="C300" s="60" t="n"/>
      <c r="D300" s="60" t="n"/>
      <c r="E300" s="60" t="n"/>
      <c r="F300" s="60" t="n"/>
      <c r="G300" s="60" t="n"/>
      <c r="H300" s="60" t="n"/>
      <c r="I300" s="60" t="n"/>
      <c r="J300" s="60" t="n"/>
      <c r="K300" s="60" t="n"/>
      <c r="L300" s="60" t="n"/>
    </row>
    <row r="301" ht="21" customHeight="1">
      <c r="A301" s="59" t="n"/>
      <c r="B301" s="42">
        <f>'設定'!$I$24</f>
        <v/>
      </c>
      <c r="C301" s="60" t="n"/>
      <c r="D301" s="60" t="n"/>
      <c r="E301" s="60" t="n"/>
      <c r="F301" s="60" t="n"/>
      <c r="G301" s="60" t="n"/>
      <c r="H301" s="60" t="n"/>
      <c r="I301" s="60" t="n"/>
      <c r="J301" s="60" t="n"/>
      <c r="K301" s="60" t="n"/>
      <c r="L301" s="60" t="n"/>
    </row>
    <row r="302" ht="21" customHeight="1">
      <c r="A302" s="59" t="n"/>
      <c r="B302" s="42">
        <f>'設定'!$I$25</f>
        <v/>
      </c>
      <c r="C302" s="60" t="n"/>
      <c r="D302" s="60" t="n"/>
      <c r="E302" s="60" t="n"/>
      <c r="F302" s="60" t="n"/>
      <c r="G302" s="60" t="n"/>
      <c r="H302" s="60" t="n"/>
      <c r="I302" s="60" t="n"/>
      <c r="J302" s="60" t="n"/>
      <c r="K302" s="60" t="n"/>
      <c r="L302" s="60" t="n"/>
    </row>
    <row r="303" ht="21" customHeight="1">
      <c r="A303" s="59" t="n"/>
      <c r="B303" s="42">
        <f>'設定'!$I$26</f>
        <v/>
      </c>
      <c r="C303" s="60" t="n"/>
      <c r="D303" s="60" t="n"/>
      <c r="E303" s="60" t="n"/>
      <c r="F303" s="60" t="n"/>
      <c r="G303" s="60" t="n"/>
      <c r="H303" s="60" t="n"/>
      <c r="I303" s="60" t="n"/>
      <c r="J303" s="60" t="n"/>
      <c r="K303" s="60" t="n"/>
      <c r="L303" s="60" t="n"/>
    </row>
    <row r="304" ht="21" customHeight="1">
      <c r="A304" s="59" t="n"/>
      <c r="B304" s="42">
        <f>'設定'!$I$27</f>
        <v/>
      </c>
      <c r="C304" s="60" t="n"/>
      <c r="D304" s="60" t="n"/>
      <c r="E304" s="60" t="n"/>
      <c r="F304" s="60" t="n"/>
      <c r="G304" s="60" t="n"/>
      <c r="H304" s="60" t="n"/>
      <c r="I304" s="60" t="n"/>
      <c r="J304" s="60" t="n"/>
      <c r="K304" s="60" t="n"/>
      <c r="L304" s="60" t="n"/>
    </row>
    <row r="305" ht="21" customHeight="1">
      <c r="A305" s="59" t="n"/>
      <c r="B305" s="42">
        <f>'設定'!$I$28</f>
        <v/>
      </c>
      <c r="C305" s="60" t="n"/>
      <c r="D305" s="60" t="n"/>
      <c r="E305" s="60" t="n"/>
      <c r="F305" s="60" t="n"/>
      <c r="G305" s="60" t="n"/>
      <c r="H305" s="60" t="n"/>
      <c r="I305" s="60" t="n"/>
      <c r="J305" s="60" t="n"/>
      <c r="K305" s="60" t="n"/>
      <c r="L305" s="60" t="n"/>
    </row>
    <row r="306" ht="21" customHeight="1">
      <c r="A306" s="59" t="n"/>
      <c r="B306" s="42">
        <f>'設定'!$I$29</f>
        <v/>
      </c>
      <c r="C306" s="60" t="n"/>
      <c r="D306" s="60" t="n"/>
      <c r="E306" s="60" t="n"/>
      <c r="F306" s="60" t="n"/>
      <c r="G306" s="60" t="n"/>
      <c r="H306" s="60" t="n"/>
      <c r="I306" s="60" t="n"/>
      <c r="J306" s="60" t="n"/>
      <c r="K306" s="60" t="n"/>
      <c r="L306" s="60" t="n"/>
    </row>
    <row r="307" ht="21" customHeight="1">
      <c r="A307" s="59" t="n"/>
      <c r="B307" s="42">
        <f>'設定'!$I$30</f>
        <v/>
      </c>
      <c r="C307" s="60" t="n"/>
      <c r="D307" s="60" t="n"/>
      <c r="E307" s="60" t="n"/>
      <c r="F307" s="60" t="n"/>
      <c r="G307" s="60" t="n"/>
      <c r="H307" s="60" t="n"/>
      <c r="I307" s="60" t="n"/>
      <c r="J307" s="60" t="n"/>
      <c r="K307" s="60" t="n"/>
      <c r="L307" s="60" t="n"/>
    </row>
    <row r="308" ht="21" customHeight="1">
      <c r="A308" s="59" t="n"/>
      <c r="B308" s="42">
        <f>'設定'!$I$31</f>
        <v/>
      </c>
      <c r="C308" s="60" t="n"/>
      <c r="D308" s="60" t="n"/>
      <c r="E308" s="60" t="n"/>
      <c r="F308" s="60" t="n"/>
      <c r="G308" s="60" t="n"/>
      <c r="H308" s="60" t="n"/>
      <c r="I308" s="60" t="n"/>
      <c r="J308" s="60" t="n"/>
      <c r="K308" s="60" t="n"/>
      <c r="L308" s="60" t="n"/>
    </row>
    <row r="309" ht="21" customHeight="1">
      <c r="A309" s="59" t="n"/>
      <c r="B309" s="42">
        <f>'設定'!$I$32</f>
        <v/>
      </c>
      <c r="C309" s="60" t="n"/>
      <c r="D309" s="60" t="n"/>
      <c r="E309" s="60" t="n"/>
      <c r="F309" s="60" t="n"/>
      <c r="G309" s="60" t="n"/>
      <c r="H309" s="60" t="n"/>
      <c r="I309" s="60" t="n"/>
      <c r="J309" s="60" t="n"/>
      <c r="K309" s="60" t="n"/>
      <c r="L309" s="60" t="n"/>
    </row>
    <row r="310" ht="21" customHeight="1">
      <c r="A310" s="59" t="n"/>
      <c r="B310" s="42">
        <f>'設定'!$I$33</f>
        <v/>
      </c>
      <c r="C310" s="60" t="n"/>
      <c r="D310" s="60" t="n"/>
      <c r="E310" s="60" t="n"/>
      <c r="F310" s="60" t="n"/>
      <c r="G310" s="60" t="n"/>
      <c r="H310" s="60" t="n"/>
      <c r="I310" s="60" t="n"/>
      <c r="J310" s="60" t="n"/>
      <c r="K310" s="60" t="n"/>
      <c r="L310" s="60" t="n"/>
    </row>
    <row r="311" ht="21" customHeight="1">
      <c r="A311" s="59" t="n"/>
      <c r="B311" s="42">
        <f>'設定'!$I$34</f>
        <v/>
      </c>
      <c r="C311" s="60" t="n"/>
      <c r="D311" s="60" t="n"/>
      <c r="E311" s="60" t="n"/>
      <c r="F311" s="60" t="n"/>
      <c r="G311" s="60" t="n"/>
      <c r="H311" s="60" t="n"/>
      <c r="I311" s="60" t="n"/>
      <c r="J311" s="60" t="n"/>
      <c r="K311" s="60" t="n"/>
      <c r="L311" s="60" t="n"/>
    </row>
    <row r="312"/>
    <row r="313" ht="26" customHeight="1">
      <c r="B313" s="53">
        <f>IF('名簿'!B16="","（名簿 12行目：なし）",'名簿'!G16)</f>
        <v/>
      </c>
      <c r="C313" s="4" t="n"/>
      <c r="D313" s="4" t="n"/>
      <c r="E313" s="54" t="inlineStr">
        <is>
          <t>提出状況 ▶</t>
        </is>
      </c>
      <c r="F313" s="38" t="n"/>
      <c r="G313" s="29" t="n"/>
      <c r="H313" s="55" t="inlineStr">
        <is>
          <t>状況：</t>
        </is>
      </c>
      <c r="I313" s="56">
        <f>'名簿'!H16</f>
        <v/>
      </c>
      <c r="J313" s="55" t="inlineStr">
        <is>
          <t>×の数：</t>
        </is>
      </c>
      <c r="K313" s="57">
        <f>'名簿'!I16</f>
        <v/>
      </c>
      <c r="L313" s="58">
        <f>HYPERLINK("#'×入力'!B341","次の人へ ▼")</f>
        <v/>
      </c>
    </row>
    <row r="314" ht="22" customHeight="1">
      <c r="A314" s="30" t="inlineStr">
        <is>
          <t>この日全部 ▶</t>
        </is>
      </c>
      <c r="C314" s="59" t="n"/>
      <c r="D314" s="59" t="n"/>
      <c r="E314" s="59" t="n"/>
      <c r="F314" s="59" t="n"/>
      <c r="G314" s="59" t="n"/>
      <c r="H314" s="59" t="n"/>
      <c r="I314" s="59" t="n"/>
      <c r="J314" s="59" t="n"/>
      <c r="K314" s="59" t="n"/>
      <c r="L314" s="59" t="n"/>
    </row>
    <row r="315" ht="28" customHeight="1">
      <c r="A315" s="33" t="inlineStr">
        <is>
          <t>この時間
全部 ▼</t>
        </is>
      </c>
      <c r="B315" s="34" t="inlineStr"/>
      <c r="C315" s="35">
        <f>'設定'!$E$11</f>
        <v/>
      </c>
      <c r="D315" s="35">
        <f>'設定'!$E$12</f>
        <v/>
      </c>
      <c r="E315" s="35">
        <f>'設定'!$E$13</f>
        <v/>
      </c>
      <c r="F315" s="35">
        <f>'設定'!$E$14</f>
        <v/>
      </c>
      <c r="G315" s="35">
        <f>'設定'!$E$15</f>
        <v/>
      </c>
      <c r="H315" s="35">
        <f>'設定'!$E$16</f>
        <v/>
      </c>
      <c r="I315" s="35">
        <f>'設定'!$E$17</f>
        <v/>
      </c>
      <c r="J315" s="35">
        <f>'設定'!$E$18</f>
        <v/>
      </c>
      <c r="K315" s="35">
        <f>'設定'!$E$19</f>
        <v/>
      </c>
      <c r="L315" s="35">
        <f>'設定'!$E$20</f>
        <v/>
      </c>
    </row>
    <row r="316" ht="21" customHeight="1">
      <c r="A316" s="59" t="n"/>
      <c r="B316" s="42">
        <f>'設定'!$I$11</f>
        <v/>
      </c>
      <c r="C316" s="60" t="n"/>
      <c r="D316" s="60" t="n"/>
      <c r="E316" s="60" t="n"/>
      <c r="F316" s="60" t="n"/>
      <c r="G316" s="60" t="n"/>
      <c r="H316" s="60" t="n"/>
      <c r="I316" s="60" t="n"/>
      <c r="J316" s="60" t="n"/>
      <c r="K316" s="60" t="n"/>
      <c r="L316" s="60" t="n"/>
    </row>
    <row r="317" ht="21" customHeight="1">
      <c r="A317" s="59" t="n"/>
      <c r="B317" s="42">
        <f>'設定'!$I$12</f>
        <v/>
      </c>
      <c r="C317" s="60" t="n"/>
      <c r="D317" s="60" t="n"/>
      <c r="E317" s="60" t="n"/>
      <c r="F317" s="60" t="n"/>
      <c r="G317" s="60" t="n"/>
      <c r="H317" s="60" t="n"/>
      <c r="I317" s="60" t="n"/>
      <c r="J317" s="60" t="n"/>
      <c r="K317" s="60" t="n"/>
      <c r="L317" s="60" t="n"/>
    </row>
    <row r="318" ht="21" customHeight="1">
      <c r="A318" s="59" t="n"/>
      <c r="B318" s="42">
        <f>'設定'!$I$13</f>
        <v/>
      </c>
      <c r="C318" s="60" t="n"/>
      <c r="D318" s="60" t="n"/>
      <c r="E318" s="60" t="n"/>
      <c r="F318" s="60" t="n"/>
      <c r="G318" s="60" t="n"/>
      <c r="H318" s="60" t="n"/>
      <c r="I318" s="60" t="n"/>
      <c r="J318" s="60" t="n"/>
      <c r="K318" s="60" t="n"/>
      <c r="L318" s="60" t="n"/>
    </row>
    <row r="319" ht="21" customHeight="1">
      <c r="A319" s="59" t="n"/>
      <c r="B319" s="42">
        <f>'設定'!$I$14</f>
        <v/>
      </c>
      <c r="C319" s="60" t="n"/>
      <c r="D319" s="60" t="n"/>
      <c r="E319" s="60" t="n"/>
      <c r="F319" s="60" t="n"/>
      <c r="G319" s="60" t="n"/>
      <c r="H319" s="60" t="n"/>
      <c r="I319" s="60" t="n"/>
      <c r="J319" s="60" t="n"/>
      <c r="K319" s="60" t="n"/>
      <c r="L319" s="60" t="n"/>
    </row>
    <row r="320" ht="21" customHeight="1">
      <c r="A320" s="59" t="n"/>
      <c r="B320" s="42">
        <f>'設定'!$I$15</f>
        <v/>
      </c>
      <c r="C320" s="60" t="n"/>
      <c r="D320" s="60" t="n"/>
      <c r="E320" s="60" t="n"/>
      <c r="F320" s="60" t="n"/>
      <c r="G320" s="60" t="n"/>
      <c r="H320" s="60" t="n"/>
      <c r="I320" s="60" t="n"/>
      <c r="J320" s="60" t="n"/>
      <c r="K320" s="60" t="n"/>
      <c r="L320" s="60" t="n"/>
    </row>
    <row r="321" ht="21" customHeight="1">
      <c r="A321" s="59" t="n"/>
      <c r="B321" s="42">
        <f>'設定'!$I$16</f>
        <v/>
      </c>
      <c r="C321" s="60" t="n"/>
      <c r="D321" s="60" t="n"/>
      <c r="E321" s="60" t="n"/>
      <c r="F321" s="60" t="n"/>
      <c r="G321" s="60" t="n"/>
      <c r="H321" s="60" t="n"/>
      <c r="I321" s="60" t="n"/>
      <c r="J321" s="60" t="n"/>
      <c r="K321" s="60" t="n"/>
      <c r="L321" s="60" t="n"/>
    </row>
    <row r="322" ht="21" customHeight="1">
      <c r="A322" s="59" t="n"/>
      <c r="B322" s="42">
        <f>'設定'!$I$17</f>
        <v/>
      </c>
      <c r="C322" s="60" t="n"/>
      <c r="D322" s="60" t="n"/>
      <c r="E322" s="60" t="n"/>
      <c r="F322" s="60" t="n"/>
      <c r="G322" s="60" t="n"/>
      <c r="H322" s="60" t="n"/>
      <c r="I322" s="60" t="n"/>
      <c r="J322" s="60" t="n"/>
      <c r="K322" s="60" t="n"/>
      <c r="L322" s="60" t="n"/>
    </row>
    <row r="323" ht="21" customHeight="1">
      <c r="A323" s="59" t="n"/>
      <c r="B323" s="42">
        <f>'設定'!$I$18</f>
        <v/>
      </c>
      <c r="C323" s="60" t="n"/>
      <c r="D323" s="60" t="n"/>
      <c r="E323" s="60" t="n"/>
      <c r="F323" s="60" t="n"/>
      <c r="G323" s="60" t="n"/>
      <c r="H323" s="60" t="n"/>
      <c r="I323" s="60" t="n"/>
      <c r="J323" s="60" t="n"/>
      <c r="K323" s="60" t="n"/>
      <c r="L323" s="60" t="n"/>
    </row>
    <row r="324" ht="21" customHeight="1">
      <c r="A324" s="59" t="n"/>
      <c r="B324" s="42">
        <f>'設定'!$I$19</f>
        <v/>
      </c>
      <c r="C324" s="60" t="n"/>
      <c r="D324" s="60" t="n"/>
      <c r="E324" s="60" t="n"/>
      <c r="F324" s="60" t="n"/>
      <c r="G324" s="60" t="n"/>
      <c r="H324" s="60" t="n"/>
      <c r="I324" s="60" t="n"/>
      <c r="J324" s="60" t="n"/>
      <c r="K324" s="60" t="n"/>
      <c r="L324" s="60" t="n"/>
    </row>
    <row r="325" ht="21" customHeight="1">
      <c r="A325" s="59" t="n"/>
      <c r="B325" s="42">
        <f>'設定'!$I$20</f>
        <v/>
      </c>
      <c r="C325" s="60" t="n"/>
      <c r="D325" s="60" t="n"/>
      <c r="E325" s="60" t="n"/>
      <c r="F325" s="60" t="n"/>
      <c r="G325" s="60" t="n"/>
      <c r="H325" s="60" t="n"/>
      <c r="I325" s="60" t="n"/>
      <c r="J325" s="60" t="n"/>
      <c r="K325" s="60" t="n"/>
      <c r="L325" s="60" t="n"/>
    </row>
    <row r="326" ht="21" customHeight="1">
      <c r="A326" s="59" t="n"/>
      <c r="B326" s="42">
        <f>'設定'!$I$21</f>
        <v/>
      </c>
      <c r="C326" s="60" t="n"/>
      <c r="D326" s="60" t="n"/>
      <c r="E326" s="60" t="n"/>
      <c r="F326" s="60" t="n"/>
      <c r="G326" s="60" t="n"/>
      <c r="H326" s="60" t="n"/>
      <c r="I326" s="60" t="n"/>
      <c r="J326" s="60" t="n"/>
      <c r="K326" s="60" t="n"/>
      <c r="L326" s="60" t="n"/>
    </row>
    <row r="327" ht="21" customHeight="1">
      <c r="A327" s="59" t="n"/>
      <c r="B327" s="42">
        <f>'設定'!$I$22</f>
        <v/>
      </c>
      <c r="C327" s="60" t="n"/>
      <c r="D327" s="60" t="n"/>
      <c r="E327" s="60" t="n"/>
      <c r="F327" s="60" t="n"/>
      <c r="G327" s="60" t="n"/>
      <c r="H327" s="60" t="n"/>
      <c r="I327" s="60" t="n"/>
      <c r="J327" s="60" t="n"/>
      <c r="K327" s="60" t="n"/>
      <c r="L327" s="60" t="n"/>
    </row>
    <row r="328" ht="21" customHeight="1">
      <c r="A328" s="59" t="n"/>
      <c r="B328" s="42">
        <f>'設定'!$I$23</f>
        <v/>
      </c>
      <c r="C328" s="60" t="n"/>
      <c r="D328" s="60" t="n"/>
      <c r="E328" s="60" t="n"/>
      <c r="F328" s="60" t="n"/>
      <c r="G328" s="60" t="n"/>
      <c r="H328" s="60" t="n"/>
      <c r="I328" s="60" t="n"/>
      <c r="J328" s="60" t="n"/>
      <c r="K328" s="60" t="n"/>
      <c r="L328" s="60" t="n"/>
    </row>
    <row r="329" ht="21" customHeight="1">
      <c r="A329" s="59" t="n"/>
      <c r="B329" s="42">
        <f>'設定'!$I$24</f>
        <v/>
      </c>
      <c r="C329" s="60" t="n"/>
      <c r="D329" s="60" t="n"/>
      <c r="E329" s="60" t="n"/>
      <c r="F329" s="60" t="n"/>
      <c r="G329" s="60" t="n"/>
      <c r="H329" s="60" t="n"/>
      <c r="I329" s="60" t="n"/>
      <c r="J329" s="60" t="n"/>
      <c r="K329" s="60" t="n"/>
      <c r="L329" s="60" t="n"/>
    </row>
    <row r="330" ht="21" customHeight="1">
      <c r="A330" s="59" t="n"/>
      <c r="B330" s="42">
        <f>'設定'!$I$25</f>
        <v/>
      </c>
      <c r="C330" s="60" t="n"/>
      <c r="D330" s="60" t="n"/>
      <c r="E330" s="60" t="n"/>
      <c r="F330" s="60" t="n"/>
      <c r="G330" s="60" t="n"/>
      <c r="H330" s="60" t="n"/>
      <c r="I330" s="60" t="n"/>
      <c r="J330" s="60" t="n"/>
      <c r="K330" s="60" t="n"/>
      <c r="L330" s="60" t="n"/>
    </row>
    <row r="331" ht="21" customHeight="1">
      <c r="A331" s="59" t="n"/>
      <c r="B331" s="42">
        <f>'設定'!$I$26</f>
        <v/>
      </c>
      <c r="C331" s="60" t="n"/>
      <c r="D331" s="60" t="n"/>
      <c r="E331" s="60" t="n"/>
      <c r="F331" s="60" t="n"/>
      <c r="G331" s="60" t="n"/>
      <c r="H331" s="60" t="n"/>
      <c r="I331" s="60" t="n"/>
      <c r="J331" s="60" t="n"/>
      <c r="K331" s="60" t="n"/>
      <c r="L331" s="60" t="n"/>
    </row>
    <row r="332" ht="21" customHeight="1">
      <c r="A332" s="59" t="n"/>
      <c r="B332" s="42">
        <f>'設定'!$I$27</f>
        <v/>
      </c>
      <c r="C332" s="60" t="n"/>
      <c r="D332" s="60" t="n"/>
      <c r="E332" s="60" t="n"/>
      <c r="F332" s="60" t="n"/>
      <c r="G332" s="60" t="n"/>
      <c r="H332" s="60" t="n"/>
      <c r="I332" s="60" t="n"/>
      <c r="J332" s="60" t="n"/>
      <c r="K332" s="60" t="n"/>
      <c r="L332" s="60" t="n"/>
    </row>
    <row r="333" ht="21" customHeight="1">
      <c r="A333" s="59" t="n"/>
      <c r="B333" s="42">
        <f>'設定'!$I$28</f>
        <v/>
      </c>
      <c r="C333" s="60" t="n"/>
      <c r="D333" s="60" t="n"/>
      <c r="E333" s="60" t="n"/>
      <c r="F333" s="60" t="n"/>
      <c r="G333" s="60" t="n"/>
      <c r="H333" s="60" t="n"/>
      <c r="I333" s="60" t="n"/>
      <c r="J333" s="60" t="n"/>
      <c r="K333" s="60" t="n"/>
      <c r="L333" s="60" t="n"/>
    </row>
    <row r="334" ht="21" customHeight="1">
      <c r="A334" s="59" t="n"/>
      <c r="B334" s="42">
        <f>'設定'!$I$29</f>
        <v/>
      </c>
      <c r="C334" s="60" t="n"/>
      <c r="D334" s="60" t="n"/>
      <c r="E334" s="60" t="n"/>
      <c r="F334" s="60" t="n"/>
      <c r="G334" s="60" t="n"/>
      <c r="H334" s="60" t="n"/>
      <c r="I334" s="60" t="n"/>
      <c r="J334" s="60" t="n"/>
      <c r="K334" s="60" t="n"/>
      <c r="L334" s="60" t="n"/>
    </row>
    <row r="335" ht="21" customHeight="1">
      <c r="A335" s="59" t="n"/>
      <c r="B335" s="42">
        <f>'設定'!$I$30</f>
        <v/>
      </c>
      <c r="C335" s="60" t="n"/>
      <c r="D335" s="60" t="n"/>
      <c r="E335" s="60" t="n"/>
      <c r="F335" s="60" t="n"/>
      <c r="G335" s="60" t="n"/>
      <c r="H335" s="60" t="n"/>
      <c r="I335" s="60" t="n"/>
      <c r="J335" s="60" t="n"/>
      <c r="K335" s="60" t="n"/>
      <c r="L335" s="60" t="n"/>
    </row>
    <row r="336" ht="21" customHeight="1">
      <c r="A336" s="59" t="n"/>
      <c r="B336" s="42">
        <f>'設定'!$I$31</f>
        <v/>
      </c>
      <c r="C336" s="60" t="n"/>
      <c r="D336" s="60" t="n"/>
      <c r="E336" s="60" t="n"/>
      <c r="F336" s="60" t="n"/>
      <c r="G336" s="60" t="n"/>
      <c r="H336" s="60" t="n"/>
      <c r="I336" s="60" t="n"/>
      <c r="J336" s="60" t="n"/>
      <c r="K336" s="60" t="n"/>
      <c r="L336" s="60" t="n"/>
    </row>
    <row r="337" ht="21" customHeight="1">
      <c r="A337" s="59" t="n"/>
      <c r="B337" s="42">
        <f>'設定'!$I$32</f>
        <v/>
      </c>
      <c r="C337" s="60" t="n"/>
      <c r="D337" s="60" t="n"/>
      <c r="E337" s="60" t="n"/>
      <c r="F337" s="60" t="n"/>
      <c r="G337" s="60" t="n"/>
      <c r="H337" s="60" t="n"/>
      <c r="I337" s="60" t="n"/>
      <c r="J337" s="60" t="n"/>
      <c r="K337" s="60" t="n"/>
      <c r="L337" s="60" t="n"/>
    </row>
    <row r="338" ht="21" customHeight="1">
      <c r="A338" s="59" t="n"/>
      <c r="B338" s="42">
        <f>'設定'!$I$33</f>
        <v/>
      </c>
      <c r="C338" s="60" t="n"/>
      <c r="D338" s="60" t="n"/>
      <c r="E338" s="60" t="n"/>
      <c r="F338" s="60" t="n"/>
      <c r="G338" s="60" t="n"/>
      <c r="H338" s="60" t="n"/>
      <c r="I338" s="60" t="n"/>
      <c r="J338" s="60" t="n"/>
      <c r="K338" s="60" t="n"/>
      <c r="L338" s="60" t="n"/>
    </row>
    <row r="339" ht="21" customHeight="1">
      <c r="A339" s="59" t="n"/>
      <c r="B339" s="42">
        <f>'設定'!$I$34</f>
        <v/>
      </c>
      <c r="C339" s="60" t="n"/>
      <c r="D339" s="60" t="n"/>
      <c r="E339" s="60" t="n"/>
      <c r="F339" s="60" t="n"/>
      <c r="G339" s="60" t="n"/>
      <c r="H339" s="60" t="n"/>
      <c r="I339" s="60" t="n"/>
      <c r="J339" s="60" t="n"/>
      <c r="K339" s="60" t="n"/>
      <c r="L339" s="60" t="n"/>
    </row>
    <row r="340"/>
    <row r="341" ht="26" customHeight="1">
      <c r="B341" s="53">
        <f>IF('名簿'!B17="","（名簿 13行目：なし）",'名簿'!G17)</f>
        <v/>
      </c>
      <c r="C341" s="4" t="n"/>
      <c r="D341" s="4" t="n"/>
      <c r="E341" s="54" t="inlineStr">
        <is>
          <t>提出状況 ▶</t>
        </is>
      </c>
      <c r="F341" s="38" t="n"/>
      <c r="G341" s="29" t="n"/>
      <c r="H341" s="55" t="inlineStr">
        <is>
          <t>状況：</t>
        </is>
      </c>
      <c r="I341" s="56">
        <f>'名簿'!H17</f>
        <v/>
      </c>
      <c r="J341" s="55" t="inlineStr">
        <is>
          <t>×の数：</t>
        </is>
      </c>
      <c r="K341" s="57">
        <f>'名簿'!I17</f>
        <v/>
      </c>
      <c r="L341" s="58">
        <f>HYPERLINK("#'×入力'!B369","次の人へ ▼")</f>
        <v/>
      </c>
    </row>
    <row r="342" ht="22" customHeight="1">
      <c r="A342" s="30" t="inlineStr">
        <is>
          <t>この日全部 ▶</t>
        </is>
      </c>
      <c r="C342" s="59" t="n"/>
      <c r="D342" s="59" t="n"/>
      <c r="E342" s="59" t="n"/>
      <c r="F342" s="59" t="n"/>
      <c r="G342" s="59" t="n"/>
      <c r="H342" s="59" t="n"/>
      <c r="I342" s="59" t="n"/>
      <c r="J342" s="59" t="n"/>
      <c r="K342" s="59" t="n"/>
      <c r="L342" s="59" t="n"/>
    </row>
    <row r="343" ht="28" customHeight="1">
      <c r="A343" s="33" t="inlineStr">
        <is>
          <t>この時間
全部 ▼</t>
        </is>
      </c>
      <c r="B343" s="34" t="inlineStr"/>
      <c r="C343" s="35">
        <f>'設定'!$E$11</f>
        <v/>
      </c>
      <c r="D343" s="35">
        <f>'設定'!$E$12</f>
        <v/>
      </c>
      <c r="E343" s="35">
        <f>'設定'!$E$13</f>
        <v/>
      </c>
      <c r="F343" s="35">
        <f>'設定'!$E$14</f>
        <v/>
      </c>
      <c r="G343" s="35">
        <f>'設定'!$E$15</f>
        <v/>
      </c>
      <c r="H343" s="35">
        <f>'設定'!$E$16</f>
        <v/>
      </c>
      <c r="I343" s="35">
        <f>'設定'!$E$17</f>
        <v/>
      </c>
      <c r="J343" s="35">
        <f>'設定'!$E$18</f>
        <v/>
      </c>
      <c r="K343" s="35">
        <f>'設定'!$E$19</f>
        <v/>
      </c>
      <c r="L343" s="35">
        <f>'設定'!$E$20</f>
        <v/>
      </c>
    </row>
    <row r="344" ht="21" customHeight="1">
      <c r="A344" s="59" t="n"/>
      <c r="B344" s="42">
        <f>'設定'!$I$11</f>
        <v/>
      </c>
      <c r="C344" s="60" t="n"/>
      <c r="D344" s="60" t="n"/>
      <c r="E344" s="60" t="n"/>
      <c r="F344" s="60" t="n"/>
      <c r="G344" s="60" t="n"/>
      <c r="H344" s="60" t="n"/>
      <c r="I344" s="60" t="n"/>
      <c r="J344" s="60" t="n"/>
      <c r="K344" s="60" t="n"/>
      <c r="L344" s="60" t="n"/>
    </row>
    <row r="345" ht="21" customHeight="1">
      <c r="A345" s="59" t="n"/>
      <c r="B345" s="42">
        <f>'設定'!$I$12</f>
        <v/>
      </c>
      <c r="C345" s="60" t="n"/>
      <c r="D345" s="60" t="n"/>
      <c r="E345" s="60" t="n"/>
      <c r="F345" s="60" t="n"/>
      <c r="G345" s="60" t="n"/>
      <c r="H345" s="60" t="n"/>
      <c r="I345" s="60" t="n"/>
      <c r="J345" s="60" t="n"/>
      <c r="K345" s="60" t="n"/>
      <c r="L345" s="60" t="n"/>
    </row>
    <row r="346" ht="21" customHeight="1">
      <c r="A346" s="59" t="n"/>
      <c r="B346" s="42">
        <f>'設定'!$I$13</f>
        <v/>
      </c>
      <c r="C346" s="60" t="n"/>
      <c r="D346" s="60" t="n"/>
      <c r="E346" s="60" t="n"/>
      <c r="F346" s="60" t="n"/>
      <c r="G346" s="60" t="n"/>
      <c r="H346" s="60" t="n"/>
      <c r="I346" s="60" t="n"/>
      <c r="J346" s="60" t="n"/>
      <c r="K346" s="60" t="n"/>
      <c r="L346" s="60" t="n"/>
    </row>
    <row r="347" ht="21" customHeight="1">
      <c r="A347" s="59" t="n"/>
      <c r="B347" s="42">
        <f>'設定'!$I$14</f>
        <v/>
      </c>
      <c r="C347" s="60" t="n"/>
      <c r="D347" s="60" t="n"/>
      <c r="E347" s="60" t="n"/>
      <c r="F347" s="60" t="n"/>
      <c r="G347" s="60" t="n"/>
      <c r="H347" s="60" t="n"/>
      <c r="I347" s="60" t="n"/>
      <c r="J347" s="60" t="n"/>
      <c r="K347" s="60" t="n"/>
      <c r="L347" s="60" t="n"/>
    </row>
    <row r="348" ht="21" customHeight="1">
      <c r="A348" s="59" t="n"/>
      <c r="B348" s="42">
        <f>'設定'!$I$15</f>
        <v/>
      </c>
      <c r="C348" s="60" t="n"/>
      <c r="D348" s="60" t="n"/>
      <c r="E348" s="60" t="n"/>
      <c r="F348" s="60" t="n"/>
      <c r="G348" s="60" t="n"/>
      <c r="H348" s="60" t="n"/>
      <c r="I348" s="60" t="n"/>
      <c r="J348" s="60" t="n"/>
      <c r="K348" s="60" t="n"/>
      <c r="L348" s="60" t="n"/>
    </row>
    <row r="349" ht="21" customHeight="1">
      <c r="A349" s="59" t="n"/>
      <c r="B349" s="42">
        <f>'設定'!$I$16</f>
        <v/>
      </c>
      <c r="C349" s="60" t="n"/>
      <c r="D349" s="60" t="n"/>
      <c r="E349" s="60" t="n"/>
      <c r="F349" s="60" t="n"/>
      <c r="G349" s="60" t="n"/>
      <c r="H349" s="60" t="n"/>
      <c r="I349" s="60" t="n"/>
      <c r="J349" s="60" t="n"/>
      <c r="K349" s="60" t="n"/>
      <c r="L349" s="60" t="n"/>
    </row>
    <row r="350" ht="21" customHeight="1">
      <c r="A350" s="59" t="n"/>
      <c r="B350" s="42">
        <f>'設定'!$I$17</f>
        <v/>
      </c>
      <c r="C350" s="60" t="n"/>
      <c r="D350" s="60" t="n"/>
      <c r="E350" s="60" t="n"/>
      <c r="F350" s="60" t="n"/>
      <c r="G350" s="60" t="n"/>
      <c r="H350" s="60" t="n"/>
      <c r="I350" s="60" t="n"/>
      <c r="J350" s="60" t="n"/>
      <c r="K350" s="60" t="n"/>
      <c r="L350" s="60" t="n"/>
    </row>
    <row r="351" ht="21" customHeight="1">
      <c r="A351" s="59" t="n"/>
      <c r="B351" s="42">
        <f>'設定'!$I$18</f>
        <v/>
      </c>
      <c r="C351" s="60" t="n"/>
      <c r="D351" s="60" t="n"/>
      <c r="E351" s="60" t="n"/>
      <c r="F351" s="60" t="n"/>
      <c r="G351" s="60" t="n"/>
      <c r="H351" s="60" t="n"/>
      <c r="I351" s="60" t="n"/>
      <c r="J351" s="60" t="n"/>
      <c r="K351" s="60" t="n"/>
      <c r="L351" s="60" t="n"/>
    </row>
    <row r="352" ht="21" customHeight="1">
      <c r="A352" s="59" t="n"/>
      <c r="B352" s="42">
        <f>'設定'!$I$19</f>
        <v/>
      </c>
      <c r="C352" s="60" t="n"/>
      <c r="D352" s="60" t="n"/>
      <c r="E352" s="60" t="n"/>
      <c r="F352" s="60" t="n"/>
      <c r="G352" s="60" t="n"/>
      <c r="H352" s="60" t="n"/>
      <c r="I352" s="60" t="n"/>
      <c r="J352" s="60" t="n"/>
      <c r="K352" s="60" t="n"/>
      <c r="L352" s="60" t="n"/>
    </row>
    <row r="353" ht="21" customHeight="1">
      <c r="A353" s="59" t="n"/>
      <c r="B353" s="42">
        <f>'設定'!$I$20</f>
        <v/>
      </c>
      <c r="C353" s="60" t="n"/>
      <c r="D353" s="60" t="n"/>
      <c r="E353" s="60" t="n"/>
      <c r="F353" s="60" t="n"/>
      <c r="G353" s="60" t="n"/>
      <c r="H353" s="60" t="n"/>
      <c r="I353" s="60" t="n"/>
      <c r="J353" s="60" t="n"/>
      <c r="K353" s="60" t="n"/>
      <c r="L353" s="60" t="n"/>
    </row>
    <row r="354" ht="21" customHeight="1">
      <c r="A354" s="59" t="n"/>
      <c r="B354" s="42">
        <f>'設定'!$I$21</f>
        <v/>
      </c>
      <c r="C354" s="60" t="n"/>
      <c r="D354" s="60" t="n"/>
      <c r="E354" s="60" t="n"/>
      <c r="F354" s="60" t="n"/>
      <c r="G354" s="60" t="n"/>
      <c r="H354" s="60" t="n"/>
      <c r="I354" s="60" t="n"/>
      <c r="J354" s="60" t="n"/>
      <c r="K354" s="60" t="n"/>
      <c r="L354" s="60" t="n"/>
    </row>
    <row r="355" ht="21" customHeight="1">
      <c r="A355" s="59" t="n"/>
      <c r="B355" s="42">
        <f>'設定'!$I$22</f>
        <v/>
      </c>
      <c r="C355" s="60" t="n"/>
      <c r="D355" s="60" t="n"/>
      <c r="E355" s="60" t="n"/>
      <c r="F355" s="60" t="n"/>
      <c r="G355" s="60" t="n"/>
      <c r="H355" s="60" t="n"/>
      <c r="I355" s="60" t="n"/>
      <c r="J355" s="60" t="n"/>
      <c r="K355" s="60" t="n"/>
      <c r="L355" s="60" t="n"/>
    </row>
    <row r="356" ht="21" customHeight="1">
      <c r="A356" s="59" t="n"/>
      <c r="B356" s="42">
        <f>'設定'!$I$23</f>
        <v/>
      </c>
      <c r="C356" s="60" t="n"/>
      <c r="D356" s="60" t="n"/>
      <c r="E356" s="60" t="n"/>
      <c r="F356" s="60" t="n"/>
      <c r="G356" s="60" t="n"/>
      <c r="H356" s="60" t="n"/>
      <c r="I356" s="60" t="n"/>
      <c r="J356" s="60" t="n"/>
      <c r="K356" s="60" t="n"/>
      <c r="L356" s="60" t="n"/>
    </row>
    <row r="357" ht="21" customHeight="1">
      <c r="A357" s="59" t="n"/>
      <c r="B357" s="42">
        <f>'設定'!$I$24</f>
        <v/>
      </c>
      <c r="C357" s="60" t="n"/>
      <c r="D357" s="60" t="n"/>
      <c r="E357" s="60" t="n"/>
      <c r="F357" s="60" t="n"/>
      <c r="G357" s="60" t="n"/>
      <c r="H357" s="60" t="n"/>
      <c r="I357" s="60" t="n"/>
      <c r="J357" s="60" t="n"/>
      <c r="K357" s="60" t="n"/>
      <c r="L357" s="60" t="n"/>
    </row>
    <row r="358" ht="21" customHeight="1">
      <c r="A358" s="59" t="n"/>
      <c r="B358" s="42">
        <f>'設定'!$I$25</f>
        <v/>
      </c>
      <c r="C358" s="60" t="n"/>
      <c r="D358" s="60" t="n"/>
      <c r="E358" s="60" t="n"/>
      <c r="F358" s="60" t="n"/>
      <c r="G358" s="60" t="n"/>
      <c r="H358" s="60" t="n"/>
      <c r="I358" s="60" t="n"/>
      <c r="J358" s="60" t="n"/>
      <c r="K358" s="60" t="n"/>
      <c r="L358" s="60" t="n"/>
    </row>
    <row r="359" ht="21" customHeight="1">
      <c r="A359" s="59" t="n"/>
      <c r="B359" s="42">
        <f>'設定'!$I$26</f>
        <v/>
      </c>
      <c r="C359" s="60" t="n"/>
      <c r="D359" s="60" t="n"/>
      <c r="E359" s="60" t="n"/>
      <c r="F359" s="60" t="n"/>
      <c r="G359" s="60" t="n"/>
      <c r="H359" s="60" t="n"/>
      <c r="I359" s="60" t="n"/>
      <c r="J359" s="60" t="n"/>
      <c r="K359" s="60" t="n"/>
      <c r="L359" s="60" t="n"/>
    </row>
    <row r="360" ht="21" customHeight="1">
      <c r="A360" s="59" t="n"/>
      <c r="B360" s="42">
        <f>'設定'!$I$27</f>
        <v/>
      </c>
      <c r="C360" s="60" t="n"/>
      <c r="D360" s="60" t="n"/>
      <c r="E360" s="60" t="n"/>
      <c r="F360" s="60" t="n"/>
      <c r="G360" s="60" t="n"/>
      <c r="H360" s="60" t="n"/>
      <c r="I360" s="60" t="n"/>
      <c r="J360" s="60" t="n"/>
      <c r="K360" s="60" t="n"/>
      <c r="L360" s="60" t="n"/>
    </row>
    <row r="361" ht="21" customHeight="1">
      <c r="A361" s="59" t="n"/>
      <c r="B361" s="42">
        <f>'設定'!$I$28</f>
        <v/>
      </c>
      <c r="C361" s="60" t="n"/>
      <c r="D361" s="60" t="n"/>
      <c r="E361" s="60" t="n"/>
      <c r="F361" s="60" t="n"/>
      <c r="G361" s="60" t="n"/>
      <c r="H361" s="60" t="n"/>
      <c r="I361" s="60" t="n"/>
      <c r="J361" s="60" t="n"/>
      <c r="K361" s="60" t="n"/>
      <c r="L361" s="60" t="n"/>
    </row>
    <row r="362" ht="21" customHeight="1">
      <c r="A362" s="59" t="n"/>
      <c r="B362" s="42">
        <f>'設定'!$I$29</f>
        <v/>
      </c>
      <c r="C362" s="60" t="n"/>
      <c r="D362" s="60" t="n"/>
      <c r="E362" s="60" t="n"/>
      <c r="F362" s="60" t="n"/>
      <c r="G362" s="60" t="n"/>
      <c r="H362" s="60" t="n"/>
      <c r="I362" s="60" t="n"/>
      <c r="J362" s="60" t="n"/>
      <c r="K362" s="60" t="n"/>
      <c r="L362" s="60" t="n"/>
    </row>
    <row r="363" ht="21" customHeight="1">
      <c r="A363" s="59" t="n"/>
      <c r="B363" s="42">
        <f>'設定'!$I$30</f>
        <v/>
      </c>
      <c r="C363" s="60" t="n"/>
      <c r="D363" s="60" t="n"/>
      <c r="E363" s="60" t="n"/>
      <c r="F363" s="60" t="n"/>
      <c r="G363" s="60" t="n"/>
      <c r="H363" s="60" t="n"/>
      <c r="I363" s="60" t="n"/>
      <c r="J363" s="60" t="n"/>
      <c r="K363" s="60" t="n"/>
      <c r="L363" s="60" t="n"/>
    </row>
    <row r="364" ht="21" customHeight="1">
      <c r="A364" s="59" t="n"/>
      <c r="B364" s="42">
        <f>'設定'!$I$31</f>
        <v/>
      </c>
      <c r="C364" s="60" t="n"/>
      <c r="D364" s="60" t="n"/>
      <c r="E364" s="60" t="n"/>
      <c r="F364" s="60" t="n"/>
      <c r="G364" s="60" t="n"/>
      <c r="H364" s="60" t="n"/>
      <c r="I364" s="60" t="n"/>
      <c r="J364" s="60" t="n"/>
      <c r="K364" s="60" t="n"/>
      <c r="L364" s="60" t="n"/>
    </row>
    <row r="365" ht="21" customHeight="1">
      <c r="A365" s="59" t="n"/>
      <c r="B365" s="42">
        <f>'設定'!$I$32</f>
        <v/>
      </c>
      <c r="C365" s="60" t="n"/>
      <c r="D365" s="60" t="n"/>
      <c r="E365" s="60" t="n"/>
      <c r="F365" s="60" t="n"/>
      <c r="G365" s="60" t="n"/>
      <c r="H365" s="60" t="n"/>
      <c r="I365" s="60" t="n"/>
      <c r="J365" s="60" t="n"/>
      <c r="K365" s="60" t="n"/>
      <c r="L365" s="60" t="n"/>
    </row>
    <row r="366" ht="21" customHeight="1">
      <c r="A366" s="59" t="n"/>
      <c r="B366" s="42">
        <f>'設定'!$I$33</f>
        <v/>
      </c>
      <c r="C366" s="60" t="n"/>
      <c r="D366" s="60" t="n"/>
      <c r="E366" s="60" t="n"/>
      <c r="F366" s="60" t="n"/>
      <c r="G366" s="60" t="n"/>
      <c r="H366" s="60" t="n"/>
      <c r="I366" s="60" t="n"/>
      <c r="J366" s="60" t="n"/>
      <c r="K366" s="60" t="n"/>
      <c r="L366" s="60" t="n"/>
    </row>
    <row r="367" ht="21" customHeight="1">
      <c r="A367" s="59" t="n"/>
      <c r="B367" s="42">
        <f>'設定'!$I$34</f>
        <v/>
      </c>
      <c r="C367" s="60" t="n"/>
      <c r="D367" s="60" t="n"/>
      <c r="E367" s="60" t="n"/>
      <c r="F367" s="60" t="n"/>
      <c r="G367" s="60" t="n"/>
      <c r="H367" s="60" t="n"/>
      <c r="I367" s="60" t="n"/>
      <c r="J367" s="60" t="n"/>
      <c r="K367" s="60" t="n"/>
      <c r="L367" s="60" t="n"/>
    </row>
    <row r="368"/>
    <row r="369" ht="26" customHeight="1">
      <c r="B369" s="53">
        <f>IF('名簿'!B18="","（名簿 14行目：なし）",'名簿'!G18)</f>
        <v/>
      </c>
      <c r="C369" s="4" t="n"/>
      <c r="D369" s="4" t="n"/>
      <c r="E369" s="54" t="inlineStr">
        <is>
          <t>提出状況 ▶</t>
        </is>
      </c>
      <c r="F369" s="38" t="n"/>
      <c r="G369" s="29" t="n"/>
      <c r="H369" s="55" t="inlineStr">
        <is>
          <t>状況：</t>
        </is>
      </c>
      <c r="I369" s="56">
        <f>'名簿'!H18</f>
        <v/>
      </c>
      <c r="J369" s="55" t="inlineStr">
        <is>
          <t>×の数：</t>
        </is>
      </c>
      <c r="K369" s="57">
        <f>'名簿'!I18</f>
        <v/>
      </c>
      <c r="L369" s="58">
        <f>HYPERLINK("#'×入力'!B397","次の人へ ▼")</f>
        <v/>
      </c>
    </row>
    <row r="370" ht="22" customHeight="1">
      <c r="A370" s="30" t="inlineStr">
        <is>
          <t>この日全部 ▶</t>
        </is>
      </c>
      <c r="C370" s="59" t="n"/>
      <c r="D370" s="59" t="n"/>
      <c r="E370" s="59" t="n"/>
      <c r="F370" s="59" t="n"/>
      <c r="G370" s="59" t="n"/>
      <c r="H370" s="59" t="n"/>
      <c r="I370" s="59" t="n"/>
      <c r="J370" s="59" t="n"/>
      <c r="K370" s="59" t="n"/>
      <c r="L370" s="59" t="n"/>
    </row>
    <row r="371" ht="28" customHeight="1">
      <c r="A371" s="33" t="inlineStr">
        <is>
          <t>この時間
全部 ▼</t>
        </is>
      </c>
      <c r="B371" s="34" t="inlineStr"/>
      <c r="C371" s="35">
        <f>'設定'!$E$11</f>
        <v/>
      </c>
      <c r="D371" s="35">
        <f>'設定'!$E$12</f>
        <v/>
      </c>
      <c r="E371" s="35">
        <f>'設定'!$E$13</f>
        <v/>
      </c>
      <c r="F371" s="35">
        <f>'設定'!$E$14</f>
        <v/>
      </c>
      <c r="G371" s="35">
        <f>'設定'!$E$15</f>
        <v/>
      </c>
      <c r="H371" s="35">
        <f>'設定'!$E$16</f>
        <v/>
      </c>
      <c r="I371" s="35">
        <f>'設定'!$E$17</f>
        <v/>
      </c>
      <c r="J371" s="35">
        <f>'設定'!$E$18</f>
        <v/>
      </c>
      <c r="K371" s="35">
        <f>'設定'!$E$19</f>
        <v/>
      </c>
      <c r="L371" s="35">
        <f>'設定'!$E$20</f>
        <v/>
      </c>
    </row>
    <row r="372" ht="21" customHeight="1">
      <c r="A372" s="59" t="n"/>
      <c r="B372" s="42">
        <f>'設定'!$I$11</f>
        <v/>
      </c>
      <c r="C372" s="60" t="n"/>
      <c r="D372" s="60" t="n"/>
      <c r="E372" s="60" t="n"/>
      <c r="F372" s="60" t="n"/>
      <c r="G372" s="60" t="n"/>
      <c r="H372" s="60" t="n"/>
      <c r="I372" s="60" t="n"/>
      <c r="J372" s="60" t="n"/>
      <c r="K372" s="60" t="n"/>
      <c r="L372" s="60" t="n"/>
    </row>
    <row r="373" ht="21" customHeight="1">
      <c r="A373" s="59" t="n"/>
      <c r="B373" s="42">
        <f>'設定'!$I$12</f>
        <v/>
      </c>
      <c r="C373" s="60" t="n"/>
      <c r="D373" s="60" t="n"/>
      <c r="E373" s="60" t="n"/>
      <c r="F373" s="60" t="n"/>
      <c r="G373" s="60" t="n"/>
      <c r="H373" s="60" t="n"/>
      <c r="I373" s="60" t="n"/>
      <c r="J373" s="60" t="n"/>
      <c r="K373" s="60" t="n"/>
      <c r="L373" s="60" t="n"/>
    </row>
    <row r="374" ht="21" customHeight="1">
      <c r="A374" s="59" t="n"/>
      <c r="B374" s="42">
        <f>'設定'!$I$13</f>
        <v/>
      </c>
      <c r="C374" s="60" t="n"/>
      <c r="D374" s="60" t="n"/>
      <c r="E374" s="60" t="n"/>
      <c r="F374" s="60" t="n"/>
      <c r="G374" s="60" t="n"/>
      <c r="H374" s="60" t="n"/>
      <c r="I374" s="60" t="n"/>
      <c r="J374" s="60" t="n"/>
      <c r="K374" s="60" t="n"/>
      <c r="L374" s="60" t="n"/>
    </row>
    <row r="375" ht="21" customHeight="1">
      <c r="A375" s="59" t="n"/>
      <c r="B375" s="42">
        <f>'設定'!$I$14</f>
        <v/>
      </c>
      <c r="C375" s="60" t="n"/>
      <c r="D375" s="60" t="n"/>
      <c r="E375" s="60" t="n"/>
      <c r="F375" s="60" t="n"/>
      <c r="G375" s="60" t="n"/>
      <c r="H375" s="60" t="n"/>
      <c r="I375" s="60" t="n"/>
      <c r="J375" s="60" t="n"/>
      <c r="K375" s="60" t="n"/>
      <c r="L375" s="60" t="n"/>
    </row>
    <row r="376" ht="21" customHeight="1">
      <c r="A376" s="59" t="n"/>
      <c r="B376" s="42">
        <f>'設定'!$I$15</f>
        <v/>
      </c>
      <c r="C376" s="60" t="n"/>
      <c r="D376" s="60" t="n"/>
      <c r="E376" s="60" t="n"/>
      <c r="F376" s="60" t="n"/>
      <c r="G376" s="60" t="n"/>
      <c r="H376" s="60" t="n"/>
      <c r="I376" s="60" t="n"/>
      <c r="J376" s="60" t="n"/>
      <c r="K376" s="60" t="n"/>
      <c r="L376" s="60" t="n"/>
    </row>
    <row r="377" ht="21" customHeight="1">
      <c r="A377" s="59" t="n"/>
      <c r="B377" s="42">
        <f>'設定'!$I$16</f>
        <v/>
      </c>
      <c r="C377" s="60" t="n"/>
      <c r="D377" s="60" t="n"/>
      <c r="E377" s="60" t="n"/>
      <c r="F377" s="60" t="n"/>
      <c r="G377" s="60" t="n"/>
      <c r="H377" s="60" t="n"/>
      <c r="I377" s="60" t="n"/>
      <c r="J377" s="60" t="n"/>
      <c r="K377" s="60" t="n"/>
      <c r="L377" s="60" t="n"/>
    </row>
    <row r="378" ht="21" customHeight="1">
      <c r="A378" s="59" t="n"/>
      <c r="B378" s="42">
        <f>'設定'!$I$17</f>
        <v/>
      </c>
      <c r="C378" s="60" t="n"/>
      <c r="D378" s="60" t="n"/>
      <c r="E378" s="60" t="n"/>
      <c r="F378" s="60" t="n"/>
      <c r="G378" s="60" t="n"/>
      <c r="H378" s="60" t="n"/>
      <c r="I378" s="60" t="n"/>
      <c r="J378" s="60" t="n"/>
      <c r="K378" s="60" t="n"/>
      <c r="L378" s="60" t="n"/>
    </row>
    <row r="379" ht="21" customHeight="1">
      <c r="A379" s="59" t="n"/>
      <c r="B379" s="42">
        <f>'設定'!$I$18</f>
        <v/>
      </c>
      <c r="C379" s="60" t="n"/>
      <c r="D379" s="60" t="n"/>
      <c r="E379" s="60" t="n"/>
      <c r="F379" s="60" t="n"/>
      <c r="G379" s="60" t="n"/>
      <c r="H379" s="60" t="n"/>
      <c r="I379" s="60" t="n"/>
      <c r="J379" s="60" t="n"/>
      <c r="K379" s="60" t="n"/>
      <c r="L379" s="60" t="n"/>
    </row>
    <row r="380" ht="21" customHeight="1">
      <c r="A380" s="59" t="n"/>
      <c r="B380" s="42">
        <f>'設定'!$I$19</f>
        <v/>
      </c>
      <c r="C380" s="60" t="n"/>
      <c r="D380" s="60" t="n"/>
      <c r="E380" s="60" t="n"/>
      <c r="F380" s="60" t="n"/>
      <c r="G380" s="60" t="n"/>
      <c r="H380" s="60" t="n"/>
      <c r="I380" s="60" t="n"/>
      <c r="J380" s="60" t="n"/>
      <c r="K380" s="60" t="n"/>
      <c r="L380" s="60" t="n"/>
    </row>
    <row r="381" ht="21" customHeight="1">
      <c r="A381" s="59" t="n"/>
      <c r="B381" s="42">
        <f>'設定'!$I$20</f>
        <v/>
      </c>
      <c r="C381" s="60" t="n"/>
      <c r="D381" s="60" t="n"/>
      <c r="E381" s="60" t="n"/>
      <c r="F381" s="60" t="n"/>
      <c r="G381" s="60" t="n"/>
      <c r="H381" s="60" t="n"/>
      <c r="I381" s="60" t="n"/>
      <c r="J381" s="60" t="n"/>
      <c r="K381" s="60" t="n"/>
      <c r="L381" s="60" t="n"/>
    </row>
    <row r="382" ht="21" customHeight="1">
      <c r="A382" s="59" t="n"/>
      <c r="B382" s="42">
        <f>'設定'!$I$21</f>
        <v/>
      </c>
      <c r="C382" s="60" t="n"/>
      <c r="D382" s="60" t="n"/>
      <c r="E382" s="60" t="n"/>
      <c r="F382" s="60" t="n"/>
      <c r="G382" s="60" t="n"/>
      <c r="H382" s="60" t="n"/>
      <c r="I382" s="60" t="n"/>
      <c r="J382" s="60" t="n"/>
      <c r="K382" s="60" t="n"/>
      <c r="L382" s="60" t="n"/>
    </row>
    <row r="383" ht="21" customHeight="1">
      <c r="A383" s="59" t="n"/>
      <c r="B383" s="42">
        <f>'設定'!$I$22</f>
        <v/>
      </c>
      <c r="C383" s="60" t="n"/>
      <c r="D383" s="60" t="n"/>
      <c r="E383" s="60" t="n"/>
      <c r="F383" s="60" t="n"/>
      <c r="G383" s="60" t="n"/>
      <c r="H383" s="60" t="n"/>
      <c r="I383" s="60" t="n"/>
      <c r="J383" s="60" t="n"/>
      <c r="K383" s="60" t="n"/>
      <c r="L383" s="60" t="n"/>
    </row>
    <row r="384" ht="21" customHeight="1">
      <c r="A384" s="59" t="n"/>
      <c r="B384" s="42">
        <f>'設定'!$I$23</f>
        <v/>
      </c>
      <c r="C384" s="60" t="n"/>
      <c r="D384" s="60" t="n"/>
      <c r="E384" s="60" t="n"/>
      <c r="F384" s="60" t="n"/>
      <c r="G384" s="60" t="n"/>
      <c r="H384" s="60" t="n"/>
      <c r="I384" s="60" t="n"/>
      <c r="J384" s="60" t="n"/>
      <c r="K384" s="60" t="n"/>
      <c r="L384" s="60" t="n"/>
    </row>
    <row r="385" ht="21" customHeight="1">
      <c r="A385" s="59" t="n"/>
      <c r="B385" s="42">
        <f>'設定'!$I$24</f>
        <v/>
      </c>
      <c r="C385" s="60" t="n"/>
      <c r="D385" s="60" t="n"/>
      <c r="E385" s="60" t="n"/>
      <c r="F385" s="60" t="n"/>
      <c r="G385" s="60" t="n"/>
      <c r="H385" s="60" t="n"/>
      <c r="I385" s="60" t="n"/>
      <c r="J385" s="60" t="n"/>
      <c r="K385" s="60" t="n"/>
      <c r="L385" s="60" t="n"/>
    </row>
    <row r="386" ht="21" customHeight="1">
      <c r="A386" s="59" t="n"/>
      <c r="B386" s="42">
        <f>'設定'!$I$25</f>
        <v/>
      </c>
      <c r="C386" s="60" t="n"/>
      <c r="D386" s="60" t="n"/>
      <c r="E386" s="60" t="n"/>
      <c r="F386" s="60" t="n"/>
      <c r="G386" s="60" t="n"/>
      <c r="H386" s="60" t="n"/>
      <c r="I386" s="60" t="n"/>
      <c r="J386" s="60" t="n"/>
      <c r="K386" s="60" t="n"/>
      <c r="L386" s="60" t="n"/>
    </row>
    <row r="387" ht="21" customHeight="1">
      <c r="A387" s="59" t="n"/>
      <c r="B387" s="42">
        <f>'設定'!$I$26</f>
        <v/>
      </c>
      <c r="C387" s="60" t="n"/>
      <c r="D387" s="60" t="n"/>
      <c r="E387" s="60" t="n"/>
      <c r="F387" s="60" t="n"/>
      <c r="G387" s="60" t="n"/>
      <c r="H387" s="60" t="n"/>
      <c r="I387" s="60" t="n"/>
      <c r="J387" s="60" t="n"/>
      <c r="K387" s="60" t="n"/>
      <c r="L387" s="60" t="n"/>
    </row>
    <row r="388" ht="21" customHeight="1">
      <c r="A388" s="59" t="n"/>
      <c r="B388" s="42">
        <f>'設定'!$I$27</f>
        <v/>
      </c>
      <c r="C388" s="60" t="n"/>
      <c r="D388" s="60" t="n"/>
      <c r="E388" s="60" t="n"/>
      <c r="F388" s="60" t="n"/>
      <c r="G388" s="60" t="n"/>
      <c r="H388" s="60" t="n"/>
      <c r="I388" s="60" t="n"/>
      <c r="J388" s="60" t="n"/>
      <c r="K388" s="60" t="n"/>
      <c r="L388" s="60" t="n"/>
    </row>
    <row r="389" ht="21" customHeight="1">
      <c r="A389" s="59" t="n"/>
      <c r="B389" s="42">
        <f>'設定'!$I$28</f>
        <v/>
      </c>
      <c r="C389" s="60" t="n"/>
      <c r="D389" s="60" t="n"/>
      <c r="E389" s="60" t="n"/>
      <c r="F389" s="60" t="n"/>
      <c r="G389" s="60" t="n"/>
      <c r="H389" s="60" t="n"/>
      <c r="I389" s="60" t="n"/>
      <c r="J389" s="60" t="n"/>
      <c r="K389" s="60" t="n"/>
      <c r="L389" s="60" t="n"/>
    </row>
    <row r="390" ht="21" customHeight="1">
      <c r="A390" s="59" t="n"/>
      <c r="B390" s="42">
        <f>'設定'!$I$29</f>
        <v/>
      </c>
      <c r="C390" s="60" t="n"/>
      <c r="D390" s="60" t="n"/>
      <c r="E390" s="60" t="n"/>
      <c r="F390" s="60" t="n"/>
      <c r="G390" s="60" t="n"/>
      <c r="H390" s="60" t="n"/>
      <c r="I390" s="60" t="n"/>
      <c r="J390" s="60" t="n"/>
      <c r="K390" s="60" t="n"/>
      <c r="L390" s="60" t="n"/>
    </row>
    <row r="391" ht="21" customHeight="1">
      <c r="A391" s="59" t="n"/>
      <c r="B391" s="42">
        <f>'設定'!$I$30</f>
        <v/>
      </c>
      <c r="C391" s="60" t="n"/>
      <c r="D391" s="60" t="n"/>
      <c r="E391" s="60" t="n"/>
      <c r="F391" s="60" t="n"/>
      <c r="G391" s="60" t="n"/>
      <c r="H391" s="60" t="n"/>
      <c r="I391" s="60" t="n"/>
      <c r="J391" s="60" t="n"/>
      <c r="K391" s="60" t="n"/>
      <c r="L391" s="60" t="n"/>
    </row>
    <row r="392" ht="21" customHeight="1">
      <c r="A392" s="59" t="n"/>
      <c r="B392" s="42">
        <f>'設定'!$I$31</f>
        <v/>
      </c>
      <c r="C392" s="60" t="n"/>
      <c r="D392" s="60" t="n"/>
      <c r="E392" s="60" t="n"/>
      <c r="F392" s="60" t="n"/>
      <c r="G392" s="60" t="n"/>
      <c r="H392" s="60" t="n"/>
      <c r="I392" s="60" t="n"/>
      <c r="J392" s="60" t="n"/>
      <c r="K392" s="60" t="n"/>
      <c r="L392" s="60" t="n"/>
    </row>
    <row r="393" ht="21" customHeight="1">
      <c r="A393" s="59" t="n"/>
      <c r="B393" s="42">
        <f>'設定'!$I$32</f>
        <v/>
      </c>
      <c r="C393" s="60" t="n"/>
      <c r="D393" s="60" t="n"/>
      <c r="E393" s="60" t="n"/>
      <c r="F393" s="60" t="n"/>
      <c r="G393" s="60" t="n"/>
      <c r="H393" s="60" t="n"/>
      <c r="I393" s="60" t="n"/>
      <c r="J393" s="60" t="n"/>
      <c r="K393" s="60" t="n"/>
      <c r="L393" s="60" t="n"/>
    </row>
    <row r="394" ht="21" customHeight="1">
      <c r="A394" s="59" t="n"/>
      <c r="B394" s="42">
        <f>'設定'!$I$33</f>
        <v/>
      </c>
      <c r="C394" s="60" t="n"/>
      <c r="D394" s="60" t="n"/>
      <c r="E394" s="60" t="n"/>
      <c r="F394" s="60" t="n"/>
      <c r="G394" s="60" t="n"/>
      <c r="H394" s="60" t="n"/>
      <c r="I394" s="60" t="n"/>
      <c r="J394" s="60" t="n"/>
      <c r="K394" s="60" t="n"/>
      <c r="L394" s="60" t="n"/>
    </row>
    <row r="395" ht="21" customHeight="1">
      <c r="A395" s="59" t="n"/>
      <c r="B395" s="42">
        <f>'設定'!$I$34</f>
        <v/>
      </c>
      <c r="C395" s="60" t="n"/>
      <c r="D395" s="60" t="n"/>
      <c r="E395" s="60" t="n"/>
      <c r="F395" s="60" t="n"/>
      <c r="G395" s="60" t="n"/>
      <c r="H395" s="60" t="n"/>
      <c r="I395" s="60" t="n"/>
      <c r="J395" s="60" t="n"/>
      <c r="K395" s="60" t="n"/>
      <c r="L395" s="60" t="n"/>
    </row>
    <row r="396"/>
    <row r="397" ht="26" customHeight="1">
      <c r="B397" s="53">
        <f>IF('名簿'!B19="","（名簿 15行目：なし）",'名簿'!G19)</f>
        <v/>
      </c>
      <c r="C397" s="4" t="n"/>
      <c r="D397" s="4" t="n"/>
      <c r="E397" s="54" t="inlineStr">
        <is>
          <t>提出状況 ▶</t>
        </is>
      </c>
      <c r="F397" s="38" t="n"/>
      <c r="G397" s="29" t="n"/>
      <c r="H397" s="55" t="inlineStr">
        <is>
          <t>状況：</t>
        </is>
      </c>
      <c r="I397" s="56">
        <f>'名簿'!H19</f>
        <v/>
      </c>
      <c r="J397" s="55" t="inlineStr">
        <is>
          <t>×の数：</t>
        </is>
      </c>
      <c r="K397" s="57">
        <f>'名簿'!I19</f>
        <v/>
      </c>
      <c r="L397" s="58">
        <f>HYPERLINK("#'×入力'!B425","次の人へ ▼")</f>
        <v/>
      </c>
    </row>
    <row r="398" ht="22" customHeight="1">
      <c r="A398" s="30" t="inlineStr">
        <is>
          <t>この日全部 ▶</t>
        </is>
      </c>
      <c r="C398" s="59" t="n"/>
      <c r="D398" s="59" t="n"/>
      <c r="E398" s="59" t="n"/>
      <c r="F398" s="59" t="n"/>
      <c r="G398" s="59" t="n"/>
      <c r="H398" s="59" t="n"/>
      <c r="I398" s="59" t="n"/>
      <c r="J398" s="59" t="n"/>
      <c r="K398" s="59" t="n"/>
      <c r="L398" s="59" t="n"/>
    </row>
    <row r="399" ht="28" customHeight="1">
      <c r="A399" s="33" t="inlineStr">
        <is>
          <t>この時間
全部 ▼</t>
        </is>
      </c>
      <c r="B399" s="34" t="inlineStr"/>
      <c r="C399" s="35">
        <f>'設定'!$E$11</f>
        <v/>
      </c>
      <c r="D399" s="35">
        <f>'設定'!$E$12</f>
        <v/>
      </c>
      <c r="E399" s="35">
        <f>'設定'!$E$13</f>
        <v/>
      </c>
      <c r="F399" s="35">
        <f>'設定'!$E$14</f>
        <v/>
      </c>
      <c r="G399" s="35">
        <f>'設定'!$E$15</f>
        <v/>
      </c>
      <c r="H399" s="35">
        <f>'設定'!$E$16</f>
        <v/>
      </c>
      <c r="I399" s="35">
        <f>'設定'!$E$17</f>
        <v/>
      </c>
      <c r="J399" s="35">
        <f>'設定'!$E$18</f>
        <v/>
      </c>
      <c r="K399" s="35">
        <f>'設定'!$E$19</f>
        <v/>
      </c>
      <c r="L399" s="35">
        <f>'設定'!$E$20</f>
        <v/>
      </c>
    </row>
    <row r="400" ht="21" customHeight="1">
      <c r="A400" s="59" t="n"/>
      <c r="B400" s="42">
        <f>'設定'!$I$11</f>
        <v/>
      </c>
      <c r="C400" s="60" t="n"/>
      <c r="D400" s="60" t="n"/>
      <c r="E400" s="60" t="n"/>
      <c r="F400" s="60" t="n"/>
      <c r="G400" s="60" t="n"/>
      <c r="H400" s="60" t="n"/>
      <c r="I400" s="60" t="n"/>
      <c r="J400" s="60" t="n"/>
      <c r="K400" s="60" t="n"/>
      <c r="L400" s="60" t="n"/>
    </row>
    <row r="401" ht="21" customHeight="1">
      <c r="A401" s="59" t="n"/>
      <c r="B401" s="42">
        <f>'設定'!$I$12</f>
        <v/>
      </c>
      <c r="C401" s="60" t="n"/>
      <c r="D401" s="60" t="n"/>
      <c r="E401" s="60" t="n"/>
      <c r="F401" s="60" t="n"/>
      <c r="G401" s="60" t="n"/>
      <c r="H401" s="60" t="n"/>
      <c r="I401" s="60" t="n"/>
      <c r="J401" s="60" t="n"/>
      <c r="K401" s="60" t="n"/>
      <c r="L401" s="60" t="n"/>
    </row>
    <row r="402" ht="21" customHeight="1">
      <c r="A402" s="59" t="n"/>
      <c r="B402" s="42">
        <f>'設定'!$I$13</f>
        <v/>
      </c>
      <c r="C402" s="60" t="n"/>
      <c r="D402" s="60" t="n"/>
      <c r="E402" s="60" t="n"/>
      <c r="F402" s="60" t="n"/>
      <c r="G402" s="60" t="n"/>
      <c r="H402" s="60" t="n"/>
      <c r="I402" s="60" t="n"/>
      <c r="J402" s="60" t="n"/>
      <c r="K402" s="60" t="n"/>
      <c r="L402" s="60" t="n"/>
    </row>
    <row r="403" ht="21" customHeight="1">
      <c r="A403" s="59" t="n"/>
      <c r="B403" s="42">
        <f>'設定'!$I$14</f>
        <v/>
      </c>
      <c r="C403" s="60" t="n"/>
      <c r="D403" s="60" t="n"/>
      <c r="E403" s="60" t="n"/>
      <c r="F403" s="60" t="n"/>
      <c r="G403" s="60" t="n"/>
      <c r="H403" s="60" t="n"/>
      <c r="I403" s="60" t="n"/>
      <c r="J403" s="60" t="n"/>
      <c r="K403" s="60" t="n"/>
      <c r="L403" s="60" t="n"/>
    </row>
    <row r="404" ht="21" customHeight="1">
      <c r="A404" s="59" t="n"/>
      <c r="B404" s="42">
        <f>'設定'!$I$15</f>
        <v/>
      </c>
      <c r="C404" s="60" t="n"/>
      <c r="D404" s="60" t="n"/>
      <c r="E404" s="60" t="n"/>
      <c r="F404" s="60" t="n"/>
      <c r="G404" s="60" t="n"/>
      <c r="H404" s="60" t="n"/>
      <c r="I404" s="60" t="n"/>
      <c r="J404" s="60" t="n"/>
      <c r="K404" s="60" t="n"/>
      <c r="L404" s="60" t="n"/>
    </row>
    <row r="405" ht="21" customHeight="1">
      <c r="A405" s="59" t="n"/>
      <c r="B405" s="42">
        <f>'設定'!$I$16</f>
        <v/>
      </c>
      <c r="C405" s="60" t="n"/>
      <c r="D405" s="60" t="n"/>
      <c r="E405" s="60" t="n"/>
      <c r="F405" s="60" t="n"/>
      <c r="G405" s="60" t="n"/>
      <c r="H405" s="60" t="n"/>
      <c r="I405" s="60" t="n"/>
      <c r="J405" s="60" t="n"/>
      <c r="K405" s="60" t="n"/>
      <c r="L405" s="60" t="n"/>
    </row>
    <row r="406" ht="21" customHeight="1">
      <c r="A406" s="59" t="n"/>
      <c r="B406" s="42">
        <f>'設定'!$I$17</f>
        <v/>
      </c>
      <c r="C406" s="60" t="n"/>
      <c r="D406" s="60" t="n"/>
      <c r="E406" s="60" t="n"/>
      <c r="F406" s="60" t="n"/>
      <c r="G406" s="60" t="n"/>
      <c r="H406" s="60" t="n"/>
      <c r="I406" s="60" t="n"/>
      <c r="J406" s="60" t="n"/>
      <c r="K406" s="60" t="n"/>
      <c r="L406" s="60" t="n"/>
    </row>
    <row r="407" ht="21" customHeight="1">
      <c r="A407" s="59" t="n"/>
      <c r="B407" s="42">
        <f>'設定'!$I$18</f>
        <v/>
      </c>
      <c r="C407" s="60" t="n"/>
      <c r="D407" s="60" t="n"/>
      <c r="E407" s="60" t="n"/>
      <c r="F407" s="60" t="n"/>
      <c r="G407" s="60" t="n"/>
      <c r="H407" s="60" t="n"/>
      <c r="I407" s="60" t="n"/>
      <c r="J407" s="60" t="n"/>
      <c r="K407" s="60" t="n"/>
      <c r="L407" s="60" t="n"/>
    </row>
    <row r="408" ht="21" customHeight="1">
      <c r="A408" s="59" t="n"/>
      <c r="B408" s="42">
        <f>'設定'!$I$19</f>
        <v/>
      </c>
      <c r="C408" s="60" t="n"/>
      <c r="D408" s="60" t="n"/>
      <c r="E408" s="60" t="n"/>
      <c r="F408" s="60" t="n"/>
      <c r="G408" s="60" t="n"/>
      <c r="H408" s="60" t="n"/>
      <c r="I408" s="60" t="n"/>
      <c r="J408" s="60" t="n"/>
      <c r="K408" s="60" t="n"/>
      <c r="L408" s="60" t="n"/>
    </row>
    <row r="409" ht="21" customHeight="1">
      <c r="A409" s="59" t="n"/>
      <c r="B409" s="42">
        <f>'設定'!$I$20</f>
        <v/>
      </c>
      <c r="C409" s="60" t="n"/>
      <c r="D409" s="60" t="n"/>
      <c r="E409" s="60" t="n"/>
      <c r="F409" s="60" t="n"/>
      <c r="G409" s="60" t="n"/>
      <c r="H409" s="60" t="n"/>
      <c r="I409" s="60" t="n"/>
      <c r="J409" s="60" t="n"/>
      <c r="K409" s="60" t="n"/>
      <c r="L409" s="60" t="n"/>
    </row>
    <row r="410" ht="21" customHeight="1">
      <c r="A410" s="59" t="n"/>
      <c r="B410" s="42">
        <f>'設定'!$I$21</f>
        <v/>
      </c>
      <c r="C410" s="60" t="n"/>
      <c r="D410" s="60" t="n"/>
      <c r="E410" s="60" t="n"/>
      <c r="F410" s="60" t="n"/>
      <c r="G410" s="60" t="n"/>
      <c r="H410" s="60" t="n"/>
      <c r="I410" s="60" t="n"/>
      <c r="J410" s="60" t="n"/>
      <c r="K410" s="60" t="n"/>
      <c r="L410" s="60" t="n"/>
    </row>
    <row r="411" ht="21" customHeight="1">
      <c r="A411" s="59" t="n"/>
      <c r="B411" s="42">
        <f>'設定'!$I$22</f>
        <v/>
      </c>
      <c r="C411" s="60" t="n"/>
      <c r="D411" s="60" t="n"/>
      <c r="E411" s="60" t="n"/>
      <c r="F411" s="60" t="n"/>
      <c r="G411" s="60" t="n"/>
      <c r="H411" s="60" t="n"/>
      <c r="I411" s="60" t="n"/>
      <c r="J411" s="60" t="n"/>
      <c r="K411" s="60" t="n"/>
      <c r="L411" s="60" t="n"/>
    </row>
    <row r="412" ht="21" customHeight="1">
      <c r="A412" s="59" t="n"/>
      <c r="B412" s="42">
        <f>'設定'!$I$23</f>
        <v/>
      </c>
      <c r="C412" s="60" t="n"/>
      <c r="D412" s="60" t="n"/>
      <c r="E412" s="60" t="n"/>
      <c r="F412" s="60" t="n"/>
      <c r="G412" s="60" t="n"/>
      <c r="H412" s="60" t="n"/>
      <c r="I412" s="60" t="n"/>
      <c r="J412" s="60" t="n"/>
      <c r="K412" s="60" t="n"/>
      <c r="L412" s="60" t="n"/>
    </row>
    <row r="413" ht="21" customHeight="1">
      <c r="A413" s="59" t="n"/>
      <c r="B413" s="42">
        <f>'設定'!$I$24</f>
        <v/>
      </c>
      <c r="C413" s="60" t="n"/>
      <c r="D413" s="60" t="n"/>
      <c r="E413" s="60" t="n"/>
      <c r="F413" s="60" t="n"/>
      <c r="G413" s="60" t="n"/>
      <c r="H413" s="60" t="n"/>
      <c r="I413" s="60" t="n"/>
      <c r="J413" s="60" t="n"/>
      <c r="K413" s="60" t="n"/>
      <c r="L413" s="60" t="n"/>
    </row>
    <row r="414" ht="21" customHeight="1">
      <c r="A414" s="59" t="n"/>
      <c r="B414" s="42">
        <f>'設定'!$I$25</f>
        <v/>
      </c>
      <c r="C414" s="60" t="n"/>
      <c r="D414" s="60" t="n"/>
      <c r="E414" s="60" t="n"/>
      <c r="F414" s="60" t="n"/>
      <c r="G414" s="60" t="n"/>
      <c r="H414" s="60" t="n"/>
      <c r="I414" s="60" t="n"/>
      <c r="J414" s="60" t="n"/>
      <c r="K414" s="60" t="n"/>
      <c r="L414" s="60" t="n"/>
    </row>
    <row r="415" ht="21" customHeight="1">
      <c r="A415" s="59" t="n"/>
      <c r="B415" s="42">
        <f>'設定'!$I$26</f>
        <v/>
      </c>
      <c r="C415" s="60" t="n"/>
      <c r="D415" s="60" t="n"/>
      <c r="E415" s="60" t="n"/>
      <c r="F415" s="60" t="n"/>
      <c r="G415" s="60" t="n"/>
      <c r="H415" s="60" t="n"/>
      <c r="I415" s="60" t="n"/>
      <c r="J415" s="60" t="n"/>
      <c r="K415" s="60" t="n"/>
      <c r="L415" s="60" t="n"/>
    </row>
    <row r="416" ht="21" customHeight="1">
      <c r="A416" s="59" t="n"/>
      <c r="B416" s="42">
        <f>'設定'!$I$27</f>
        <v/>
      </c>
      <c r="C416" s="60" t="n"/>
      <c r="D416" s="60" t="n"/>
      <c r="E416" s="60" t="n"/>
      <c r="F416" s="60" t="n"/>
      <c r="G416" s="60" t="n"/>
      <c r="H416" s="60" t="n"/>
      <c r="I416" s="60" t="n"/>
      <c r="J416" s="60" t="n"/>
      <c r="K416" s="60" t="n"/>
      <c r="L416" s="60" t="n"/>
    </row>
    <row r="417" ht="21" customHeight="1">
      <c r="A417" s="59" t="n"/>
      <c r="B417" s="42">
        <f>'設定'!$I$28</f>
        <v/>
      </c>
      <c r="C417" s="60" t="n"/>
      <c r="D417" s="60" t="n"/>
      <c r="E417" s="60" t="n"/>
      <c r="F417" s="60" t="n"/>
      <c r="G417" s="60" t="n"/>
      <c r="H417" s="60" t="n"/>
      <c r="I417" s="60" t="n"/>
      <c r="J417" s="60" t="n"/>
      <c r="K417" s="60" t="n"/>
      <c r="L417" s="60" t="n"/>
    </row>
    <row r="418" ht="21" customHeight="1">
      <c r="A418" s="59" t="n"/>
      <c r="B418" s="42">
        <f>'設定'!$I$29</f>
        <v/>
      </c>
      <c r="C418" s="60" t="n"/>
      <c r="D418" s="60" t="n"/>
      <c r="E418" s="60" t="n"/>
      <c r="F418" s="60" t="n"/>
      <c r="G418" s="60" t="n"/>
      <c r="H418" s="60" t="n"/>
      <c r="I418" s="60" t="n"/>
      <c r="J418" s="60" t="n"/>
      <c r="K418" s="60" t="n"/>
      <c r="L418" s="60" t="n"/>
    </row>
    <row r="419" ht="21" customHeight="1">
      <c r="A419" s="59" t="n"/>
      <c r="B419" s="42">
        <f>'設定'!$I$30</f>
        <v/>
      </c>
      <c r="C419" s="60" t="n"/>
      <c r="D419" s="60" t="n"/>
      <c r="E419" s="60" t="n"/>
      <c r="F419" s="60" t="n"/>
      <c r="G419" s="60" t="n"/>
      <c r="H419" s="60" t="n"/>
      <c r="I419" s="60" t="n"/>
      <c r="J419" s="60" t="n"/>
      <c r="K419" s="60" t="n"/>
      <c r="L419" s="60" t="n"/>
    </row>
    <row r="420" ht="21" customHeight="1">
      <c r="A420" s="59" t="n"/>
      <c r="B420" s="42">
        <f>'設定'!$I$31</f>
        <v/>
      </c>
      <c r="C420" s="60" t="n"/>
      <c r="D420" s="60" t="n"/>
      <c r="E420" s="60" t="n"/>
      <c r="F420" s="60" t="n"/>
      <c r="G420" s="60" t="n"/>
      <c r="H420" s="60" t="n"/>
      <c r="I420" s="60" t="n"/>
      <c r="J420" s="60" t="n"/>
      <c r="K420" s="60" t="n"/>
      <c r="L420" s="60" t="n"/>
    </row>
    <row r="421" ht="21" customHeight="1">
      <c r="A421" s="59" t="n"/>
      <c r="B421" s="42">
        <f>'設定'!$I$32</f>
        <v/>
      </c>
      <c r="C421" s="60" t="n"/>
      <c r="D421" s="60" t="n"/>
      <c r="E421" s="60" t="n"/>
      <c r="F421" s="60" t="n"/>
      <c r="G421" s="60" t="n"/>
      <c r="H421" s="60" t="n"/>
      <c r="I421" s="60" t="n"/>
      <c r="J421" s="60" t="n"/>
      <c r="K421" s="60" t="n"/>
      <c r="L421" s="60" t="n"/>
    </row>
    <row r="422" ht="21" customHeight="1">
      <c r="A422" s="59" t="n"/>
      <c r="B422" s="42">
        <f>'設定'!$I$33</f>
        <v/>
      </c>
      <c r="C422" s="60" t="n"/>
      <c r="D422" s="60" t="n"/>
      <c r="E422" s="60" t="n"/>
      <c r="F422" s="60" t="n"/>
      <c r="G422" s="60" t="n"/>
      <c r="H422" s="60" t="n"/>
      <c r="I422" s="60" t="n"/>
      <c r="J422" s="60" t="n"/>
      <c r="K422" s="60" t="n"/>
      <c r="L422" s="60" t="n"/>
    </row>
    <row r="423" ht="21" customHeight="1">
      <c r="A423" s="59" t="n"/>
      <c r="B423" s="42">
        <f>'設定'!$I$34</f>
        <v/>
      </c>
      <c r="C423" s="60" t="n"/>
      <c r="D423" s="60" t="n"/>
      <c r="E423" s="60" t="n"/>
      <c r="F423" s="60" t="n"/>
      <c r="G423" s="60" t="n"/>
      <c r="H423" s="60" t="n"/>
      <c r="I423" s="60" t="n"/>
      <c r="J423" s="60" t="n"/>
      <c r="K423" s="60" t="n"/>
      <c r="L423" s="60" t="n"/>
    </row>
    <row r="424"/>
    <row r="425" ht="26" customHeight="1">
      <c r="B425" s="53">
        <f>IF('名簿'!B20="","（名簿 16行目：なし）",'名簿'!G20)</f>
        <v/>
      </c>
      <c r="C425" s="4" t="n"/>
      <c r="D425" s="4" t="n"/>
      <c r="E425" s="54" t="inlineStr">
        <is>
          <t>提出状況 ▶</t>
        </is>
      </c>
      <c r="F425" s="38" t="n"/>
      <c r="G425" s="29" t="n"/>
      <c r="H425" s="55" t="inlineStr">
        <is>
          <t>状況：</t>
        </is>
      </c>
      <c r="I425" s="56">
        <f>'名簿'!H20</f>
        <v/>
      </c>
      <c r="J425" s="55" t="inlineStr">
        <is>
          <t>×の数：</t>
        </is>
      </c>
      <c r="K425" s="57">
        <f>'名簿'!I20</f>
        <v/>
      </c>
      <c r="L425" s="58">
        <f>HYPERLINK("#'×入力'!B453","次の人へ ▼")</f>
        <v/>
      </c>
    </row>
    <row r="426" ht="22" customHeight="1">
      <c r="A426" s="30" t="inlineStr">
        <is>
          <t>この日全部 ▶</t>
        </is>
      </c>
      <c r="C426" s="59" t="n"/>
      <c r="D426" s="59" t="n"/>
      <c r="E426" s="59" t="n"/>
      <c r="F426" s="59" t="n"/>
      <c r="G426" s="59" t="n"/>
      <c r="H426" s="59" t="n"/>
      <c r="I426" s="59" t="n"/>
      <c r="J426" s="59" t="n"/>
      <c r="K426" s="59" t="n"/>
      <c r="L426" s="59" t="n"/>
    </row>
    <row r="427" ht="28" customHeight="1">
      <c r="A427" s="33" t="inlineStr">
        <is>
          <t>この時間
全部 ▼</t>
        </is>
      </c>
      <c r="B427" s="34" t="inlineStr"/>
      <c r="C427" s="35">
        <f>'設定'!$E$11</f>
        <v/>
      </c>
      <c r="D427" s="35">
        <f>'設定'!$E$12</f>
        <v/>
      </c>
      <c r="E427" s="35">
        <f>'設定'!$E$13</f>
        <v/>
      </c>
      <c r="F427" s="35">
        <f>'設定'!$E$14</f>
        <v/>
      </c>
      <c r="G427" s="35">
        <f>'設定'!$E$15</f>
        <v/>
      </c>
      <c r="H427" s="35">
        <f>'設定'!$E$16</f>
        <v/>
      </c>
      <c r="I427" s="35">
        <f>'設定'!$E$17</f>
        <v/>
      </c>
      <c r="J427" s="35">
        <f>'設定'!$E$18</f>
        <v/>
      </c>
      <c r="K427" s="35">
        <f>'設定'!$E$19</f>
        <v/>
      </c>
      <c r="L427" s="35">
        <f>'設定'!$E$20</f>
        <v/>
      </c>
    </row>
    <row r="428" ht="21" customHeight="1">
      <c r="A428" s="59" t="n"/>
      <c r="B428" s="42">
        <f>'設定'!$I$11</f>
        <v/>
      </c>
      <c r="C428" s="60" t="n"/>
      <c r="D428" s="60" t="n"/>
      <c r="E428" s="60" t="n"/>
      <c r="F428" s="60" t="n"/>
      <c r="G428" s="60" t="n"/>
      <c r="H428" s="60" t="n"/>
      <c r="I428" s="60" t="n"/>
      <c r="J428" s="60" t="n"/>
      <c r="K428" s="60" t="n"/>
      <c r="L428" s="60" t="n"/>
    </row>
    <row r="429" ht="21" customHeight="1">
      <c r="A429" s="59" t="n"/>
      <c r="B429" s="42">
        <f>'設定'!$I$12</f>
        <v/>
      </c>
      <c r="C429" s="60" t="n"/>
      <c r="D429" s="60" t="n"/>
      <c r="E429" s="60" t="n"/>
      <c r="F429" s="60" t="n"/>
      <c r="G429" s="60" t="n"/>
      <c r="H429" s="60" t="n"/>
      <c r="I429" s="60" t="n"/>
      <c r="J429" s="60" t="n"/>
      <c r="K429" s="60" t="n"/>
      <c r="L429" s="60" t="n"/>
    </row>
    <row r="430" ht="21" customHeight="1">
      <c r="A430" s="59" t="n"/>
      <c r="B430" s="42">
        <f>'設定'!$I$13</f>
        <v/>
      </c>
      <c r="C430" s="60" t="n"/>
      <c r="D430" s="60" t="n"/>
      <c r="E430" s="60" t="n"/>
      <c r="F430" s="60" t="n"/>
      <c r="G430" s="60" t="n"/>
      <c r="H430" s="60" t="n"/>
      <c r="I430" s="60" t="n"/>
      <c r="J430" s="60" t="n"/>
      <c r="K430" s="60" t="n"/>
      <c r="L430" s="60" t="n"/>
    </row>
    <row r="431" ht="21" customHeight="1">
      <c r="A431" s="59" t="n"/>
      <c r="B431" s="42">
        <f>'設定'!$I$14</f>
        <v/>
      </c>
      <c r="C431" s="60" t="n"/>
      <c r="D431" s="60" t="n"/>
      <c r="E431" s="60" t="n"/>
      <c r="F431" s="60" t="n"/>
      <c r="G431" s="60" t="n"/>
      <c r="H431" s="60" t="n"/>
      <c r="I431" s="60" t="n"/>
      <c r="J431" s="60" t="n"/>
      <c r="K431" s="60" t="n"/>
      <c r="L431" s="60" t="n"/>
    </row>
    <row r="432" ht="21" customHeight="1">
      <c r="A432" s="59" t="n"/>
      <c r="B432" s="42">
        <f>'設定'!$I$15</f>
        <v/>
      </c>
      <c r="C432" s="60" t="n"/>
      <c r="D432" s="60" t="n"/>
      <c r="E432" s="60" t="n"/>
      <c r="F432" s="60" t="n"/>
      <c r="G432" s="60" t="n"/>
      <c r="H432" s="60" t="n"/>
      <c r="I432" s="60" t="n"/>
      <c r="J432" s="60" t="n"/>
      <c r="K432" s="60" t="n"/>
      <c r="L432" s="60" t="n"/>
    </row>
    <row r="433" ht="21" customHeight="1">
      <c r="A433" s="59" t="n"/>
      <c r="B433" s="42">
        <f>'設定'!$I$16</f>
        <v/>
      </c>
      <c r="C433" s="60" t="n"/>
      <c r="D433" s="60" t="n"/>
      <c r="E433" s="60" t="n"/>
      <c r="F433" s="60" t="n"/>
      <c r="G433" s="60" t="n"/>
      <c r="H433" s="60" t="n"/>
      <c r="I433" s="60" t="n"/>
      <c r="J433" s="60" t="n"/>
      <c r="K433" s="60" t="n"/>
      <c r="L433" s="60" t="n"/>
    </row>
    <row r="434" ht="21" customHeight="1">
      <c r="A434" s="59" t="n"/>
      <c r="B434" s="42">
        <f>'設定'!$I$17</f>
        <v/>
      </c>
      <c r="C434" s="60" t="n"/>
      <c r="D434" s="60" t="n"/>
      <c r="E434" s="60" t="n"/>
      <c r="F434" s="60" t="n"/>
      <c r="G434" s="60" t="n"/>
      <c r="H434" s="60" t="n"/>
      <c r="I434" s="60" t="n"/>
      <c r="J434" s="60" t="n"/>
      <c r="K434" s="60" t="n"/>
      <c r="L434" s="60" t="n"/>
    </row>
    <row r="435" ht="21" customHeight="1">
      <c r="A435" s="59" t="n"/>
      <c r="B435" s="42">
        <f>'設定'!$I$18</f>
        <v/>
      </c>
      <c r="C435" s="60" t="n"/>
      <c r="D435" s="60" t="n"/>
      <c r="E435" s="60" t="n"/>
      <c r="F435" s="60" t="n"/>
      <c r="G435" s="60" t="n"/>
      <c r="H435" s="60" t="n"/>
      <c r="I435" s="60" t="n"/>
      <c r="J435" s="60" t="n"/>
      <c r="K435" s="60" t="n"/>
      <c r="L435" s="60" t="n"/>
    </row>
    <row r="436" ht="21" customHeight="1">
      <c r="A436" s="59" t="n"/>
      <c r="B436" s="42">
        <f>'設定'!$I$19</f>
        <v/>
      </c>
      <c r="C436" s="60" t="n"/>
      <c r="D436" s="60" t="n"/>
      <c r="E436" s="60" t="n"/>
      <c r="F436" s="60" t="n"/>
      <c r="G436" s="60" t="n"/>
      <c r="H436" s="60" t="n"/>
      <c r="I436" s="60" t="n"/>
      <c r="J436" s="60" t="n"/>
      <c r="K436" s="60" t="n"/>
      <c r="L436" s="60" t="n"/>
    </row>
    <row r="437" ht="21" customHeight="1">
      <c r="A437" s="59" t="n"/>
      <c r="B437" s="42">
        <f>'設定'!$I$20</f>
        <v/>
      </c>
      <c r="C437" s="60" t="n"/>
      <c r="D437" s="60" t="n"/>
      <c r="E437" s="60" t="n"/>
      <c r="F437" s="60" t="n"/>
      <c r="G437" s="60" t="n"/>
      <c r="H437" s="60" t="n"/>
      <c r="I437" s="60" t="n"/>
      <c r="J437" s="60" t="n"/>
      <c r="K437" s="60" t="n"/>
      <c r="L437" s="60" t="n"/>
    </row>
    <row r="438" ht="21" customHeight="1">
      <c r="A438" s="59" t="n"/>
      <c r="B438" s="42">
        <f>'設定'!$I$21</f>
        <v/>
      </c>
      <c r="C438" s="60" t="n"/>
      <c r="D438" s="60" t="n"/>
      <c r="E438" s="60" t="n"/>
      <c r="F438" s="60" t="n"/>
      <c r="G438" s="60" t="n"/>
      <c r="H438" s="60" t="n"/>
      <c r="I438" s="60" t="n"/>
      <c r="J438" s="60" t="n"/>
      <c r="K438" s="60" t="n"/>
      <c r="L438" s="60" t="n"/>
    </row>
    <row r="439" ht="21" customHeight="1">
      <c r="A439" s="59" t="n"/>
      <c r="B439" s="42">
        <f>'設定'!$I$22</f>
        <v/>
      </c>
      <c r="C439" s="60" t="n"/>
      <c r="D439" s="60" t="n"/>
      <c r="E439" s="60" t="n"/>
      <c r="F439" s="60" t="n"/>
      <c r="G439" s="60" t="n"/>
      <c r="H439" s="60" t="n"/>
      <c r="I439" s="60" t="n"/>
      <c r="J439" s="60" t="n"/>
      <c r="K439" s="60" t="n"/>
      <c r="L439" s="60" t="n"/>
    </row>
    <row r="440" ht="21" customHeight="1">
      <c r="A440" s="59" t="n"/>
      <c r="B440" s="42">
        <f>'設定'!$I$23</f>
        <v/>
      </c>
      <c r="C440" s="60" t="n"/>
      <c r="D440" s="60" t="n"/>
      <c r="E440" s="60" t="n"/>
      <c r="F440" s="60" t="n"/>
      <c r="G440" s="60" t="n"/>
      <c r="H440" s="60" t="n"/>
      <c r="I440" s="60" t="n"/>
      <c r="J440" s="60" t="n"/>
      <c r="K440" s="60" t="n"/>
      <c r="L440" s="60" t="n"/>
    </row>
    <row r="441" ht="21" customHeight="1">
      <c r="A441" s="59" t="n"/>
      <c r="B441" s="42">
        <f>'設定'!$I$24</f>
        <v/>
      </c>
      <c r="C441" s="60" t="n"/>
      <c r="D441" s="60" t="n"/>
      <c r="E441" s="60" t="n"/>
      <c r="F441" s="60" t="n"/>
      <c r="G441" s="60" t="n"/>
      <c r="H441" s="60" t="n"/>
      <c r="I441" s="60" t="n"/>
      <c r="J441" s="60" t="n"/>
      <c r="K441" s="60" t="n"/>
      <c r="L441" s="60" t="n"/>
    </row>
    <row r="442" ht="21" customHeight="1">
      <c r="A442" s="59" t="n"/>
      <c r="B442" s="42">
        <f>'設定'!$I$25</f>
        <v/>
      </c>
      <c r="C442" s="60" t="n"/>
      <c r="D442" s="60" t="n"/>
      <c r="E442" s="60" t="n"/>
      <c r="F442" s="60" t="n"/>
      <c r="G442" s="60" t="n"/>
      <c r="H442" s="60" t="n"/>
      <c r="I442" s="60" t="n"/>
      <c r="J442" s="60" t="n"/>
      <c r="K442" s="60" t="n"/>
      <c r="L442" s="60" t="n"/>
    </row>
    <row r="443" ht="21" customHeight="1">
      <c r="A443" s="59" t="n"/>
      <c r="B443" s="42">
        <f>'設定'!$I$26</f>
        <v/>
      </c>
      <c r="C443" s="60" t="n"/>
      <c r="D443" s="60" t="n"/>
      <c r="E443" s="60" t="n"/>
      <c r="F443" s="60" t="n"/>
      <c r="G443" s="60" t="n"/>
      <c r="H443" s="60" t="n"/>
      <c r="I443" s="60" t="n"/>
      <c r="J443" s="60" t="n"/>
      <c r="K443" s="60" t="n"/>
      <c r="L443" s="60" t="n"/>
    </row>
    <row r="444" ht="21" customHeight="1">
      <c r="A444" s="59" t="n"/>
      <c r="B444" s="42">
        <f>'設定'!$I$27</f>
        <v/>
      </c>
      <c r="C444" s="60" t="n"/>
      <c r="D444" s="60" t="n"/>
      <c r="E444" s="60" t="n"/>
      <c r="F444" s="60" t="n"/>
      <c r="G444" s="60" t="n"/>
      <c r="H444" s="60" t="n"/>
      <c r="I444" s="60" t="n"/>
      <c r="J444" s="60" t="n"/>
      <c r="K444" s="60" t="n"/>
      <c r="L444" s="60" t="n"/>
    </row>
    <row r="445" ht="21" customHeight="1">
      <c r="A445" s="59" t="n"/>
      <c r="B445" s="42">
        <f>'設定'!$I$28</f>
        <v/>
      </c>
      <c r="C445" s="60" t="n"/>
      <c r="D445" s="60" t="n"/>
      <c r="E445" s="60" t="n"/>
      <c r="F445" s="60" t="n"/>
      <c r="G445" s="60" t="n"/>
      <c r="H445" s="60" t="n"/>
      <c r="I445" s="60" t="n"/>
      <c r="J445" s="60" t="n"/>
      <c r="K445" s="60" t="n"/>
      <c r="L445" s="60" t="n"/>
    </row>
    <row r="446" ht="21" customHeight="1">
      <c r="A446" s="59" t="n"/>
      <c r="B446" s="42">
        <f>'設定'!$I$29</f>
        <v/>
      </c>
      <c r="C446" s="60" t="n"/>
      <c r="D446" s="60" t="n"/>
      <c r="E446" s="60" t="n"/>
      <c r="F446" s="60" t="n"/>
      <c r="G446" s="60" t="n"/>
      <c r="H446" s="60" t="n"/>
      <c r="I446" s="60" t="n"/>
      <c r="J446" s="60" t="n"/>
      <c r="K446" s="60" t="n"/>
      <c r="L446" s="60" t="n"/>
    </row>
    <row r="447" ht="21" customHeight="1">
      <c r="A447" s="59" t="n"/>
      <c r="B447" s="42">
        <f>'設定'!$I$30</f>
        <v/>
      </c>
      <c r="C447" s="60" t="n"/>
      <c r="D447" s="60" t="n"/>
      <c r="E447" s="60" t="n"/>
      <c r="F447" s="60" t="n"/>
      <c r="G447" s="60" t="n"/>
      <c r="H447" s="60" t="n"/>
      <c r="I447" s="60" t="n"/>
      <c r="J447" s="60" t="n"/>
      <c r="K447" s="60" t="n"/>
      <c r="L447" s="60" t="n"/>
    </row>
    <row r="448" ht="21" customHeight="1">
      <c r="A448" s="59" t="n"/>
      <c r="B448" s="42">
        <f>'設定'!$I$31</f>
        <v/>
      </c>
      <c r="C448" s="60" t="n"/>
      <c r="D448" s="60" t="n"/>
      <c r="E448" s="60" t="n"/>
      <c r="F448" s="60" t="n"/>
      <c r="G448" s="60" t="n"/>
      <c r="H448" s="60" t="n"/>
      <c r="I448" s="60" t="n"/>
      <c r="J448" s="60" t="n"/>
      <c r="K448" s="60" t="n"/>
      <c r="L448" s="60" t="n"/>
    </row>
    <row r="449" ht="21" customHeight="1">
      <c r="A449" s="59" t="n"/>
      <c r="B449" s="42">
        <f>'設定'!$I$32</f>
        <v/>
      </c>
      <c r="C449" s="60" t="n"/>
      <c r="D449" s="60" t="n"/>
      <c r="E449" s="60" t="n"/>
      <c r="F449" s="60" t="n"/>
      <c r="G449" s="60" t="n"/>
      <c r="H449" s="60" t="n"/>
      <c r="I449" s="60" t="n"/>
      <c r="J449" s="60" t="n"/>
      <c r="K449" s="60" t="n"/>
      <c r="L449" s="60" t="n"/>
    </row>
    <row r="450" ht="21" customHeight="1">
      <c r="A450" s="59" t="n"/>
      <c r="B450" s="42">
        <f>'設定'!$I$33</f>
        <v/>
      </c>
      <c r="C450" s="60" t="n"/>
      <c r="D450" s="60" t="n"/>
      <c r="E450" s="60" t="n"/>
      <c r="F450" s="60" t="n"/>
      <c r="G450" s="60" t="n"/>
      <c r="H450" s="60" t="n"/>
      <c r="I450" s="60" t="n"/>
      <c r="J450" s="60" t="n"/>
      <c r="K450" s="60" t="n"/>
      <c r="L450" s="60" t="n"/>
    </row>
    <row r="451" ht="21" customHeight="1">
      <c r="A451" s="59" t="n"/>
      <c r="B451" s="42">
        <f>'設定'!$I$34</f>
        <v/>
      </c>
      <c r="C451" s="60" t="n"/>
      <c r="D451" s="60" t="n"/>
      <c r="E451" s="60" t="n"/>
      <c r="F451" s="60" t="n"/>
      <c r="G451" s="60" t="n"/>
      <c r="H451" s="60" t="n"/>
      <c r="I451" s="60" t="n"/>
      <c r="J451" s="60" t="n"/>
      <c r="K451" s="60" t="n"/>
      <c r="L451" s="60" t="n"/>
    </row>
    <row r="452"/>
    <row r="453" ht="26" customHeight="1">
      <c r="B453" s="53">
        <f>IF('名簿'!B21="","（名簿 17行目：なし）",'名簿'!G21)</f>
        <v/>
      </c>
      <c r="C453" s="4" t="n"/>
      <c r="D453" s="4" t="n"/>
      <c r="E453" s="54" t="inlineStr">
        <is>
          <t>提出状況 ▶</t>
        </is>
      </c>
      <c r="F453" s="38" t="n"/>
      <c r="G453" s="29" t="n"/>
      <c r="H453" s="55" t="inlineStr">
        <is>
          <t>状況：</t>
        </is>
      </c>
      <c r="I453" s="56">
        <f>'名簿'!H21</f>
        <v/>
      </c>
      <c r="J453" s="55" t="inlineStr">
        <is>
          <t>×の数：</t>
        </is>
      </c>
      <c r="K453" s="57">
        <f>'名簿'!I21</f>
        <v/>
      </c>
      <c r="L453" s="58">
        <f>HYPERLINK("#'×入力'!B481","次の人へ ▼")</f>
        <v/>
      </c>
    </row>
    <row r="454" ht="22" customHeight="1">
      <c r="A454" s="30" t="inlineStr">
        <is>
          <t>この日全部 ▶</t>
        </is>
      </c>
      <c r="C454" s="59" t="n"/>
      <c r="D454" s="59" t="n"/>
      <c r="E454" s="59" t="n"/>
      <c r="F454" s="59" t="n"/>
      <c r="G454" s="59" t="n"/>
      <c r="H454" s="59" t="n"/>
      <c r="I454" s="59" t="n"/>
      <c r="J454" s="59" t="n"/>
      <c r="K454" s="59" t="n"/>
      <c r="L454" s="59" t="n"/>
    </row>
    <row r="455" ht="28" customHeight="1">
      <c r="A455" s="33" t="inlineStr">
        <is>
          <t>この時間
全部 ▼</t>
        </is>
      </c>
      <c r="B455" s="34" t="inlineStr"/>
      <c r="C455" s="35">
        <f>'設定'!$E$11</f>
        <v/>
      </c>
      <c r="D455" s="35">
        <f>'設定'!$E$12</f>
        <v/>
      </c>
      <c r="E455" s="35">
        <f>'設定'!$E$13</f>
        <v/>
      </c>
      <c r="F455" s="35">
        <f>'設定'!$E$14</f>
        <v/>
      </c>
      <c r="G455" s="35">
        <f>'設定'!$E$15</f>
        <v/>
      </c>
      <c r="H455" s="35">
        <f>'設定'!$E$16</f>
        <v/>
      </c>
      <c r="I455" s="35">
        <f>'設定'!$E$17</f>
        <v/>
      </c>
      <c r="J455" s="35">
        <f>'設定'!$E$18</f>
        <v/>
      </c>
      <c r="K455" s="35">
        <f>'設定'!$E$19</f>
        <v/>
      </c>
      <c r="L455" s="35">
        <f>'設定'!$E$20</f>
        <v/>
      </c>
    </row>
    <row r="456" ht="21" customHeight="1">
      <c r="A456" s="59" t="n"/>
      <c r="B456" s="42">
        <f>'設定'!$I$11</f>
        <v/>
      </c>
      <c r="C456" s="60" t="n"/>
      <c r="D456" s="60" t="n"/>
      <c r="E456" s="60" t="n"/>
      <c r="F456" s="60" t="n"/>
      <c r="G456" s="60" t="n"/>
      <c r="H456" s="60" t="n"/>
      <c r="I456" s="60" t="n"/>
      <c r="J456" s="60" t="n"/>
      <c r="K456" s="60" t="n"/>
      <c r="L456" s="60" t="n"/>
    </row>
    <row r="457" ht="21" customHeight="1">
      <c r="A457" s="59" t="n"/>
      <c r="B457" s="42">
        <f>'設定'!$I$12</f>
        <v/>
      </c>
      <c r="C457" s="60" t="n"/>
      <c r="D457" s="60" t="n"/>
      <c r="E457" s="60" t="n"/>
      <c r="F457" s="60" t="n"/>
      <c r="G457" s="60" t="n"/>
      <c r="H457" s="60" t="n"/>
      <c r="I457" s="60" t="n"/>
      <c r="J457" s="60" t="n"/>
      <c r="K457" s="60" t="n"/>
      <c r="L457" s="60" t="n"/>
    </row>
    <row r="458" ht="21" customHeight="1">
      <c r="A458" s="59" t="n"/>
      <c r="B458" s="42">
        <f>'設定'!$I$13</f>
        <v/>
      </c>
      <c r="C458" s="60" t="n"/>
      <c r="D458" s="60" t="n"/>
      <c r="E458" s="60" t="n"/>
      <c r="F458" s="60" t="n"/>
      <c r="G458" s="60" t="n"/>
      <c r="H458" s="60" t="n"/>
      <c r="I458" s="60" t="n"/>
      <c r="J458" s="60" t="n"/>
      <c r="K458" s="60" t="n"/>
      <c r="L458" s="60" t="n"/>
    </row>
    <row r="459" ht="21" customHeight="1">
      <c r="A459" s="59" t="n"/>
      <c r="B459" s="42">
        <f>'設定'!$I$14</f>
        <v/>
      </c>
      <c r="C459" s="60" t="n"/>
      <c r="D459" s="60" t="n"/>
      <c r="E459" s="60" t="n"/>
      <c r="F459" s="60" t="n"/>
      <c r="G459" s="60" t="n"/>
      <c r="H459" s="60" t="n"/>
      <c r="I459" s="60" t="n"/>
      <c r="J459" s="60" t="n"/>
      <c r="K459" s="60" t="n"/>
      <c r="L459" s="60" t="n"/>
    </row>
    <row r="460" ht="21" customHeight="1">
      <c r="A460" s="59" t="n"/>
      <c r="B460" s="42">
        <f>'設定'!$I$15</f>
        <v/>
      </c>
      <c r="C460" s="60" t="n"/>
      <c r="D460" s="60" t="n"/>
      <c r="E460" s="60" t="n"/>
      <c r="F460" s="60" t="n"/>
      <c r="G460" s="60" t="n"/>
      <c r="H460" s="60" t="n"/>
      <c r="I460" s="60" t="n"/>
      <c r="J460" s="60" t="n"/>
      <c r="K460" s="60" t="n"/>
      <c r="L460" s="60" t="n"/>
    </row>
    <row r="461" ht="21" customHeight="1">
      <c r="A461" s="59" t="n"/>
      <c r="B461" s="42">
        <f>'設定'!$I$16</f>
        <v/>
      </c>
      <c r="C461" s="60" t="n"/>
      <c r="D461" s="60" t="n"/>
      <c r="E461" s="60" t="n"/>
      <c r="F461" s="60" t="n"/>
      <c r="G461" s="60" t="n"/>
      <c r="H461" s="60" t="n"/>
      <c r="I461" s="60" t="n"/>
      <c r="J461" s="60" t="n"/>
      <c r="K461" s="60" t="n"/>
      <c r="L461" s="60" t="n"/>
    </row>
    <row r="462" ht="21" customHeight="1">
      <c r="A462" s="59" t="n"/>
      <c r="B462" s="42">
        <f>'設定'!$I$17</f>
        <v/>
      </c>
      <c r="C462" s="60" t="n"/>
      <c r="D462" s="60" t="n"/>
      <c r="E462" s="60" t="n"/>
      <c r="F462" s="60" t="n"/>
      <c r="G462" s="60" t="n"/>
      <c r="H462" s="60" t="n"/>
      <c r="I462" s="60" t="n"/>
      <c r="J462" s="60" t="n"/>
      <c r="K462" s="60" t="n"/>
      <c r="L462" s="60" t="n"/>
    </row>
    <row r="463" ht="21" customHeight="1">
      <c r="A463" s="59" t="n"/>
      <c r="B463" s="42">
        <f>'設定'!$I$18</f>
        <v/>
      </c>
      <c r="C463" s="60" t="n"/>
      <c r="D463" s="60" t="n"/>
      <c r="E463" s="60" t="n"/>
      <c r="F463" s="60" t="n"/>
      <c r="G463" s="60" t="n"/>
      <c r="H463" s="60" t="n"/>
      <c r="I463" s="60" t="n"/>
      <c r="J463" s="60" t="n"/>
      <c r="K463" s="60" t="n"/>
      <c r="L463" s="60" t="n"/>
    </row>
    <row r="464" ht="21" customHeight="1">
      <c r="A464" s="59" t="n"/>
      <c r="B464" s="42">
        <f>'設定'!$I$19</f>
        <v/>
      </c>
      <c r="C464" s="60" t="n"/>
      <c r="D464" s="60" t="n"/>
      <c r="E464" s="60" t="n"/>
      <c r="F464" s="60" t="n"/>
      <c r="G464" s="60" t="n"/>
      <c r="H464" s="60" t="n"/>
      <c r="I464" s="60" t="n"/>
      <c r="J464" s="60" t="n"/>
      <c r="K464" s="60" t="n"/>
      <c r="L464" s="60" t="n"/>
    </row>
    <row r="465" ht="21" customHeight="1">
      <c r="A465" s="59" t="n"/>
      <c r="B465" s="42">
        <f>'設定'!$I$20</f>
        <v/>
      </c>
      <c r="C465" s="60" t="n"/>
      <c r="D465" s="60" t="n"/>
      <c r="E465" s="60" t="n"/>
      <c r="F465" s="60" t="n"/>
      <c r="G465" s="60" t="n"/>
      <c r="H465" s="60" t="n"/>
      <c r="I465" s="60" t="n"/>
      <c r="J465" s="60" t="n"/>
      <c r="K465" s="60" t="n"/>
      <c r="L465" s="60" t="n"/>
    </row>
    <row r="466" ht="21" customHeight="1">
      <c r="A466" s="59" t="n"/>
      <c r="B466" s="42">
        <f>'設定'!$I$21</f>
        <v/>
      </c>
      <c r="C466" s="60" t="n"/>
      <c r="D466" s="60" t="n"/>
      <c r="E466" s="60" t="n"/>
      <c r="F466" s="60" t="n"/>
      <c r="G466" s="60" t="n"/>
      <c r="H466" s="60" t="n"/>
      <c r="I466" s="60" t="n"/>
      <c r="J466" s="60" t="n"/>
      <c r="K466" s="60" t="n"/>
      <c r="L466" s="60" t="n"/>
    </row>
    <row r="467" ht="21" customHeight="1">
      <c r="A467" s="59" t="n"/>
      <c r="B467" s="42">
        <f>'設定'!$I$22</f>
        <v/>
      </c>
      <c r="C467" s="60" t="n"/>
      <c r="D467" s="60" t="n"/>
      <c r="E467" s="60" t="n"/>
      <c r="F467" s="60" t="n"/>
      <c r="G467" s="60" t="n"/>
      <c r="H467" s="60" t="n"/>
      <c r="I467" s="60" t="n"/>
      <c r="J467" s="60" t="n"/>
      <c r="K467" s="60" t="n"/>
      <c r="L467" s="60" t="n"/>
    </row>
    <row r="468" ht="21" customHeight="1">
      <c r="A468" s="59" t="n"/>
      <c r="B468" s="42">
        <f>'設定'!$I$23</f>
        <v/>
      </c>
      <c r="C468" s="60" t="n"/>
      <c r="D468" s="60" t="n"/>
      <c r="E468" s="60" t="n"/>
      <c r="F468" s="60" t="n"/>
      <c r="G468" s="60" t="n"/>
      <c r="H468" s="60" t="n"/>
      <c r="I468" s="60" t="n"/>
      <c r="J468" s="60" t="n"/>
      <c r="K468" s="60" t="n"/>
      <c r="L468" s="60" t="n"/>
    </row>
    <row r="469" ht="21" customHeight="1">
      <c r="A469" s="59" t="n"/>
      <c r="B469" s="42">
        <f>'設定'!$I$24</f>
        <v/>
      </c>
      <c r="C469" s="60" t="n"/>
      <c r="D469" s="60" t="n"/>
      <c r="E469" s="60" t="n"/>
      <c r="F469" s="60" t="n"/>
      <c r="G469" s="60" t="n"/>
      <c r="H469" s="60" t="n"/>
      <c r="I469" s="60" t="n"/>
      <c r="J469" s="60" t="n"/>
      <c r="K469" s="60" t="n"/>
      <c r="L469" s="60" t="n"/>
    </row>
    <row r="470" ht="21" customHeight="1">
      <c r="A470" s="59" t="n"/>
      <c r="B470" s="42">
        <f>'設定'!$I$25</f>
        <v/>
      </c>
      <c r="C470" s="60" t="n"/>
      <c r="D470" s="60" t="n"/>
      <c r="E470" s="60" t="n"/>
      <c r="F470" s="60" t="n"/>
      <c r="G470" s="60" t="n"/>
      <c r="H470" s="60" t="n"/>
      <c r="I470" s="60" t="n"/>
      <c r="J470" s="60" t="n"/>
      <c r="K470" s="60" t="n"/>
      <c r="L470" s="60" t="n"/>
    </row>
    <row r="471" ht="21" customHeight="1">
      <c r="A471" s="59" t="n"/>
      <c r="B471" s="42">
        <f>'設定'!$I$26</f>
        <v/>
      </c>
      <c r="C471" s="60" t="n"/>
      <c r="D471" s="60" t="n"/>
      <c r="E471" s="60" t="n"/>
      <c r="F471" s="60" t="n"/>
      <c r="G471" s="60" t="n"/>
      <c r="H471" s="60" t="n"/>
      <c r="I471" s="60" t="n"/>
      <c r="J471" s="60" t="n"/>
      <c r="K471" s="60" t="n"/>
      <c r="L471" s="60" t="n"/>
    </row>
    <row r="472" ht="21" customHeight="1">
      <c r="A472" s="59" t="n"/>
      <c r="B472" s="42">
        <f>'設定'!$I$27</f>
        <v/>
      </c>
      <c r="C472" s="60" t="n"/>
      <c r="D472" s="60" t="n"/>
      <c r="E472" s="60" t="n"/>
      <c r="F472" s="60" t="n"/>
      <c r="G472" s="60" t="n"/>
      <c r="H472" s="60" t="n"/>
      <c r="I472" s="60" t="n"/>
      <c r="J472" s="60" t="n"/>
      <c r="K472" s="60" t="n"/>
      <c r="L472" s="60" t="n"/>
    </row>
    <row r="473" ht="21" customHeight="1">
      <c r="A473" s="59" t="n"/>
      <c r="B473" s="42">
        <f>'設定'!$I$28</f>
        <v/>
      </c>
      <c r="C473" s="60" t="n"/>
      <c r="D473" s="60" t="n"/>
      <c r="E473" s="60" t="n"/>
      <c r="F473" s="60" t="n"/>
      <c r="G473" s="60" t="n"/>
      <c r="H473" s="60" t="n"/>
      <c r="I473" s="60" t="n"/>
      <c r="J473" s="60" t="n"/>
      <c r="K473" s="60" t="n"/>
      <c r="L473" s="60" t="n"/>
    </row>
    <row r="474" ht="21" customHeight="1">
      <c r="A474" s="59" t="n"/>
      <c r="B474" s="42">
        <f>'設定'!$I$29</f>
        <v/>
      </c>
      <c r="C474" s="60" t="n"/>
      <c r="D474" s="60" t="n"/>
      <c r="E474" s="60" t="n"/>
      <c r="F474" s="60" t="n"/>
      <c r="G474" s="60" t="n"/>
      <c r="H474" s="60" t="n"/>
      <c r="I474" s="60" t="n"/>
      <c r="J474" s="60" t="n"/>
      <c r="K474" s="60" t="n"/>
      <c r="L474" s="60" t="n"/>
    </row>
    <row r="475" ht="21" customHeight="1">
      <c r="A475" s="59" t="n"/>
      <c r="B475" s="42">
        <f>'設定'!$I$30</f>
        <v/>
      </c>
      <c r="C475" s="60" t="n"/>
      <c r="D475" s="60" t="n"/>
      <c r="E475" s="60" t="n"/>
      <c r="F475" s="60" t="n"/>
      <c r="G475" s="60" t="n"/>
      <c r="H475" s="60" t="n"/>
      <c r="I475" s="60" t="n"/>
      <c r="J475" s="60" t="n"/>
      <c r="K475" s="60" t="n"/>
      <c r="L475" s="60" t="n"/>
    </row>
    <row r="476" ht="21" customHeight="1">
      <c r="A476" s="59" t="n"/>
      <c r="B476" s="42">
        <f>'設定'!$I$31</f>
        <v/>
      </c>
      <c r="C476" s="60" t="n"/>
      <c r="D476" s="60" t="n"/>
      <c r="E476" s="60" t="n"/>
      <c r="F476" s="60" t="n"/>
      <c r="G476" s="60" t="n"/>
      <c r="H476" s="60" t="n"/>
      <c r="I476" s="60" t="n"/>
      <c r="J476" s="60" t="n"/>
      <c r="K476" s="60" t="n"/>
      <c r="L476" s="60" t="n"/>
    </row>
    <row r="477" ht="21" customHeight="1">
      <c r="A477" s="59" t="n"/>
      <c r="B477" s="42">
        <f>'設定'!$I$32</f>
        <v/>
      </c>
      <c r="C477" s="60" t="n"/>
      <c r="D477" s="60" t="n"/>
      <c r="E477" s="60" t="n"/>
      <c r="F477" s="60" t="n"/>
      <c r="G477" s="60" t="n"/>
      <c r="H477" s="60" t="n"/>
      <c r="I477" s="60" t="n"/>
      <c r="J477" s="60" t="n"/>
      <c r="K477" s="60" t="n"/>
      <c r="L477" s="60" t="n"/>
    </row>
    <row r="478" ht="21" customHeight="1">
      <c r="A478" s="59" t="n"/>
      <c r="B478" s="42">
        <f>'設定'!$I$33</f>
        <v/>
      </c>
      <c r="C478" s="60" t="n"/>
      <c r="D478" s="60" t="n"/>
      <c r="E478" s="60" t="n"/>
      <c r="F478" s="60" t="n"/>
      <c r="G478" s="60" t="n"/>
      <c r="H478" s="60" t="n"/>
      <c r="I478" s="60" t="n"/>
      <c r="J478" s="60" t="n"/>
      <c r="K478" s="60" t="n"/>
      <c r="L478" s="60" t="n"/>
    </row>
    <row r="479" ht="21" customHeight="1">
      <c r="A479" s="59" t="n"/>
      <c r="B479" s="42">
        <f>'設定'!$I$34</f>
        <v/>
      </c>
      <c r="C479" s="60" t="n"/>
      <c r="D479" s="60" t="n"/>
      <c r="E479" s="60" t="n"/>
      <c r="F479" s="60" t="n"/>
      <c r="G479" s="60" t="n"/>
      <c r="H479" s="60" t="n"/>
      <c r="I479" s="60" t="n"/>
      <c r="J479" s="60" t="n"/>
      <c r="K479" s="60" t="n"/>
      <c r="L479" s="60" t="n"/>
    </row>
    <row r="480"/>
    <row r="481" ht="26" customHeight="1">
      <c r="B481" s="53">
        <f>IF('名簿'!B22="","（名簿 18行目：なし）",'名簿'!G22)</f>
        <v/>
      </c>
      <c r="C481" s="4" t="n"/>
      <c r="D481" s="4" t="n"/>
      <c r="E481" s="54" t="inlineStr">
        <is>
          <t>提出状況 ▶</t>
        </is>
      </c>
      <c r="F481" s="38" t="n"/>
      <c r="G481" s="29" t="n"/>
      <c r="H481" s="55" t="inlineStr">
        <is>
          <t>状況：</t>
        </is>
      </c>
      <c r="I481" s="56">
        <f>'名簿'!H22</f>
        <v/>
      </c>
      <c r="J481" s="55" t="inlineStr">
        <is>
          <t>×の数：</t>
        </is>
      </c>
      <c r="K481" s="57">
        <f>'名簿'!I22</f>
        <v/>
      </c>
      <c r="L481" s="58">
        <f>HYPERLINK("#'×入力'!B509","次の人へ ▼")</f>
        <v/>
      </c>
    </row>
    <row r="482" ht="22" customHeight="1">
      <c r="A482" s="30" t="inlineStr">
        <is>
          <t>この日全部 ▶</t>
        </is>
      </c>
      <c r="C482" s="59" t="n"/>
      <c r="D482" s="59" t="n"/>
      <c r="E482" s="59" t="n"/>
      <c r="F482" s="59" t="n"/>
      <c r="G482" s="59" t="n"/>
      <c r="H482" s="59" t="n"/>
      <c r="I482" s="59" t="n"/>
      <c r="J482" s="59" t="n"/>
      <c r="K482" s="59" t="n"/>
      <c r="L482" s="59" t="n"/>
    </row>
    <row r="483" ht="28" customHeight="1">
      <c r="A483" s="33" t="inlineStr">
        <is>
          <t>この時間
全部 ▼</t>
        </is>
      </c>
      <c r="B483" s="34" t="inlineStr"/>
      <c r="C483" s="35">
        <f>'設定'!$E$11</f>
        <v/>
      </c>
      <c r="D483" s="35">
        <f>'設定'!$E$12</f>
        <v/>
      </c>
      <c r="E483" s="35">
        <f>'設定'!$E$13</f>
        <v/>
      </c>
      <c r="F483" s="35">
        <f>'設定'!$E$14</f>
        <v/>
      </c>
      <c r="G483" s="35">
        <f>'設定'!$E$15</f>
        <v/>
      </c>
      <c r="H483" s="35">
        <f>'設定'!$E$16</f>
        <v/>
      </c>
      <c r="I483" s="35">
        <f>'設定'!$E$17</f>
        <v/>
      </c>
      <c r="J483" s="35">
        <f>'設定'!$E$18</f>
        <v/>
      </c>
      <c r="K483" s="35">
        <f>'設定'!$E$19</f>
        <v/>
      </c>
      <c r="L483" s="35">
        <f>'設定'!$E$20</f>
        <v/>
      </c>
    </row>
    <row r="484" ht="21" customHeight="1">
      <c r="A484" s="59" t="n"/>
      <c r="B484" s="42">
        <f>'設定'!$I$11</f>
        <v/>
      </c>
      <c r="C484" s="60" t="n"/>
      <c r="D484" s="60" t="n"/>
      <c r="E484" s="60" t="n"/>
      <c r="F484" s="60" t="n"/>
      <c r="G484" s="60" t="n"/>
      <c r="H484" s="60" t="n"/>
      <c r="I484" s="60" t="n"/>
      <c r="J484" s="60" t="n"/>
      <c r="K484" s="60" t="n"/>
      <c r="L484" s="60" t="n"/>
    </row>
    <row r="485" ht="21" customHeight="1">
      <c r="A485" s="59" t="n"/>
      <c r="B485" s="42">
        <f>'設定'!$I$12</f>
        <v/>
      </c>
      <c r="C485" s="60" t="n"/>
      <c r="D485" s="60" t="n"/>
      <c r="E485" s="60" t="n"/>
      <c r="F485" s="60" t="n"/>
      <c r="G485" s="60" t="n"/>
      <c r="H485" s="60" t="n"/>
      <c r="I485" s="60" t="n"/>
      <c r="J485" s="60" t="n"/>
      <c r="K485" s="60" t="n"/>
      <c r="L485" s="60" t="n"/>
    </row>
    <row r="486" ht="21" customHeight="1">
      <c r="A486" s="59" t="n"/>
      <c r="B486" s="42">
        <f>'設定'!$I$13</f>
        <v/>
      </c>
      <c r="C486" s="60" t="n"/>
      <c r="D486" s="60" t="n"/>
      <c r="E486" s="60" t="n"/>
      <c r="F486" s="60" t="n"/>
      <c r="G486" s="60" t="n"/>
      <c r="H486" s="60" t="n"/>
      <c r="I486" s="60" t="n"/>
      <c r="J486" s="60" t="n"/>
      <c r="K486" s="60" t="n"/>
      <c r="L486" s="60" t="n"/>
    </row>
    <row r="487" ht="21" customHeight="1">
      <c r="A487" s="59" t="n"/>
      <c r="B487" s="42">
        <f>'設定'!$I$14</f>
        <v/>
      </c>
      <c r="C487" s="60" t="n"/>
      <c r="D487" s="60" t="n"/>
      <c r="E487" s="60" t="n"/>
      <c r="F487" s="60" t="n"/>
      <c r="G487" s="60" t="n"/>
      <c r="H487" s="60" t="n"/>
      <c r="I487" s="60" t="n"/>
      <c r="J487" s="60" t="n"/>
      <c r="K487" s="60" t="n"/>
      <c r="L487" s="60" t="n"/>
    </row>
    <row r="488" ht="21" customHeight="1">
      <c r="A488" s="59" t="n"/>
      <c r="B488" s="42">
        <f>'設定'!$I$15</f>
        <v/>
      </c>
      <c r="C488" s="60" t="n"/>
      <c r="D488" s="60" t="n"/>
      <c r="E488" s="60" t="n"/>
      <c r="F488" s="60" t="n"/>
      <c r="G488" s="60" t="n"/>
      <c r="H488" s="60" t="n"/>
      <c r="I488" s="60" t="n"/>
      <c r="J488" s="60" t="n"/>
      <c r="K488" s="60" t="n"/>
      <c r="L488" s="60" t="n"/>
    </row>
    <row r="489" ht="21" customHeight="1">
      <c r="A489" s="59" t="n"/>
      <c r="B489" s="42">
        <f>'設定'!$I$16</f>
        <v/>
      </c>
      <c r="C489" s="60" t="n"/>
      <c r="D489" s="60" t="n"/>
      <c r="E489" s="60" t="n"/>
      <c r="F489" s="60" t="n"/>
      <c r="G489" s="60" t="n"/>
      <c r="H489" s="60" t="n"/>
      <c r="I489" s="60" t="n"/>
      <c r="J489" s="60" t="n"/>
      <c r="K489" s="60" t="n"/>
      <c r="L489" s="60" t="n"/>
    </row>
    <row r="490" ht="21" customHeight="1">
      <c r="A490" s="59" t="n"/>
      <c r="B490" s="42">
        <f>'設定'!$I$17</f>
        <v/>
      </c>
      <c r="C490" s="60" t="n"/>
      <c r="D490" s="60" t="n"/>
      <c r="E490" s="60" t="n"/>
      <c r="F490" s="60" t="n"/>
      <c r="G490" s="60" t="n"/>
      <c r="H490" s="60" t="n"/>
      <c r="I490" s="60" t="n"/>
      <c r="J490" s="60" t="n"/>
      <c r="K490" s="60" t="n"/>
      <c r="L490" s="60" t="n"/>
    </row>
    <row r="491" ht="21" customHeight="1">
      <c r="A491" s="59" t="n"/>
      <c r="B491" s="42">
        <f>'設定'!$I$18</f>
        <v/>
      </c>
      <c r="C491" s="60" t="n"/>
      <c r="D491" s="60" t="n"/>
      <c r="E491" s="60" t="n"/>
      <c r="F491" s="60" t="n"/>
      <c r="G491" s="60" t="n"/>
      <c r="H491" s="60" t="n"/>
      <c r="I491" s="60" t="n"/>
      <c r="J491" s="60" t="n"/>
      <c r="K491" s="60" t="n"/>
      <c r="L491" s="60" t="n"/>
    </row>
    <row r="492" ht="21" customHeight="1">
      <c r="A492" s="59" t="n"/>
      <c r="B492" s="42">
        <f>'設定'!$I$19</f>
        <v/>
      </c>
      <c r="C492" s="60" t="n"/>
      <c r="D492" s="60" t="n"/>
      <c r="E492" s="60" t="n"/>
      <c r="F492" s="60" t="n"/>
      <c r="G492" s="60" t="n"/>
      <c r="H492" s="60" t="n"/>
      <c r="I492" s="60" t="n"/>
      <c r="J492" s="60" t="n"/>
      <c r="K492" s="60" t="n"/>
      <c r="L492" s="60" t="n"/>
    </row>
    <row r="493" ht="21" customHeight="1">
      <c r="A493" s="59" t="n"/>
      <c r="B493" s="42">
        <f>'設定'!$I$20</f>
        <v/>
      </c>
      <c r="C493" s="60" t="n"/>
      <c r="D493" s="60" t="n"/>
      <c r="E493" s="60" t="n"/>
      <c r="F493" s="60" t="n"/>
      <c r="G493" s="60" t="n"/>
      <c r="H493" s="60" t="n"/>
      <c r="I493" s="60" t="n"/>
      <c r="J493" s="60" t="n"/>
      <c r="K493" s="60" t="n"/>
      <c r="L493" s="60" t="n"/>
    </row>
    <row r="494" ht="21" customHeight="1">
      <c r="A494" s="59" t="n"/>
      <c r="B494" s="42">
        <f>'設定'!$I$21</f>
        <v/>
      </c>
      <c r="C494" s="60" t="n"/>
      <c r="D494" s="60" t="n"/>
      <c r="E494" s="60" t="n"/>
      <c r="F494" s="60" t="n"/>
      <c r="G494" s="60" t="n"/>
      <c r="H494" s="60" t="n"/>
      <c r="I494" s="60" t="n"/>
      <c r="J494" s="60" t="n"/>
      <c r="K494" s="60" t="n"/>
      <c r="L494" s="60" t="n"/>
    </row>
    <row r="495" ht="21" customHeight="1">
      <c r="A495" s="59" t="n"/>
      <c r="B495" s="42">
        <f>'設定'!$I$22</f>
        <v/>
      </c>
      <c r="C495" s="60" t="n"/>
      <c r="D495" s="60" t="n"/>
      <c r="E495" s="60" t="n"/>
      <c r="F495" s="60" t="n"/>
      <c r="G495" s="60" t="n"/>
      <c r="H495" s="60" t="n"/>
      <c r="I495" s="60" t="n"/>
      <c r="J495" s="60" t="n"/>
      <c r="K495" s="60" t="n"/>
      <c r="L495" s="60" t="n"/>
    </row>
    <row r="496" ht="21" customHeight="1">
      <c r="A496" s="59" t="n"/>
      <c r="B496" s="42">
        <f>'設定'!$I$23</f>
        <v/>
      </c>
      <c r="C496" s="60" t="n"/>
      <c r="D496" s="60" t="n"/>
      <c r="E496" s="60" t="n"/>
      <c r="F496" s="60" t="n"/>
      <c r="G496" s="60" t="n"/>
      <c r="H496" s="60" t="n"/>
      <c r="I496" s="60" t="n"/>
      <c r="J496" s="60" t="n"/>
      <c r="K496" s="60" t="n"/>
      <c r="L496" s="60" t="n"/>
    </row>
    <row r="497" ht="21" customHeight="1">
      <c r="A497" s="59" t="n"/>
      <c r="B497" s="42">
        <f>'設定'!$I$24</f>
        <v/>
      </c>
      <c r="C497" s="60" t="n"/>
      <c r="D497" s="60" t="n"/>
      <c r="E497" s="60" t="n"/>
      <c r="F497" s="60" t="n"/>
      <c r="G497" s="60" t="n"/>
      <c r="H497" s="60" t="n"/>
      <c r="I497" s="60" t="n"/>
      <c r="J497" s="60" t="n"/>
      <c r="K497" s="60" t="n"/>
      <c r="L497" s="60" t="n"/>
    </row>
    <row r="498" ht="21" customHeight="1">
      <c r="A498" s="59" t="n"/>
      <c r="B498" s="42">
        <f>'設定'!$I$25</f>
        <v/>
      </c>
      <c r="C498" s="60" t="n"/>
      <c r="D498" s="60" t="n"/>
      <c r="E498" s="60" t="n"/>
      <c r="F498" s="60" t="n"/>
      <c r="G498" s="60" t="n"/>
      <c r="H498" s="60" t="n"/>
      <c r="I498" s="60" t="n"/>
      <c r="J498" s="60" t="n"/>
      <c r="K498" s="60" t="n"/>
      <c r="L498" s="60" t="n"/>
    </row>
    <row r="499" ht="21" customHeight="1">
      <c r="A499" s="59" t="n"/>
      <c r="B499" s="42">
        <f>'設定'!$I$26</f>
        <v/>
      </c>
      <c r="C499" s="60" t="n"/>
      <c r="D499" s="60" t="n"/>
      <c r="E499" s="60" t="n"/>
      <c r="F499" s="60" t="n"/>
      <c r="G499" s="60" t="n"/>
      <c r="H499" s="60" t="n"/>
      <c r="I499" s="60" t="n"/>
      <c r="J499" s="60" t="n"/>
      <c r="K499" s="60" t="n"/>
      <c r="L499" s="60" t="n"/>
    </row>
    <row r="500" ht="21" customHeight="1">
      <c r="A500" s="59" t="n"/>
      <c r="B500" s="42">
        <f>'設定'!$I$27</f>
        <v/>
      </c>
      <c r="C500" s="60" t="n"/>
      <c r="D500" s="60" t="n"/>
      <c r="E500" s="60" t="n"/>
      <c r="F500" s="60" t="n"/>
      <c r="G500" s="60" t="n"/>
      <c r="H500" s="60" t="n"/>
      <c r="I500" s="60" t="n"/>
      <c r="J500" s="60" t="n"/>
      <c r="K500" s="60" t="n"/>
      <c r="L500" s="60" t="n"/>
    </row>
    <row r="501" ht="21" customHeight="1">
      <c r="A501" s="59" t="n"/>
      <c r="B501" s="42">
        <f>'設定'!$I$28</f>
        <v/>
      </c>
      <c r="C501" s="60" t="n"/>
      <c r="D501" s="60" t="n"/>
      <c r="E501" s="60" t="n"/>
      <c r="F501" s="60" t="n"/>
      <c r="G501" s="60" t="n"/>
      <c r="H501" s="60" t="n"/>
      <c r="I501" s="60" t="n"/>
      <c r="J501" s="60" t="n"/>
      <c r="K501" s="60" t="n"/>
      <c r="L501" s="60" t="n"/>
    </row>
    <row r="502" ht="21" customHeight="1">
      <c r="A502" s="59" t="n"/>
      <c r="B502" s="42">
        <f>'設定'!$I$29</f>
        <v/>
      </c>
      <c r="C502" s="60" t="n"/>
      <c r="D502" s="60" t="n"/>
      <c r="E502" s="60" t="n"/>
      <c r="F502" s="60" t="n"/>
      <c r="G502" s="60" t="n"/>
      <c r="H502" s="60" t="n"/>
      <c r="I502" s="60" t="n"/>
      <c r="J502" s="60" t="n"/>
      <c r="K502" s="60" t="n"/>
      <c r="L502" s="60" t="n"/>
    </row>
    <row r="503" ht="21" customHeight="1">
      <c r="A503" s="59" t="n"/>
      <c r="B503" s="42">
        <f>'設定'!$I$30</f>
        <v/>
      </c>
      <c r="C503" s="60" t="n"/>
      <c r="D503" s="60" t="n"/>
      <c r="E503" s="60" t="n"/>
      <c r="F503" s="60" t="n"/>
      <c r="G503" s="60" t="n"/>
      <c r="H503" s="60" t="n"/>
      <c r="I503" s="60" t="n"/>
      <c r="J503" s="60" t="n"/>
      <c r="K503" s="60" t="n"/>
      <c r="L503" s="60" t="n"/>
    </row>
    <row r="504" ht="21" customHeight="1">
      <c r="A504" s="59" t="n"/>
      <c r="B504" s="42">
        <f>'設定'!$I$31</f>
        <v/>
      </c>
      <c r="C504" s="60" t="n"/>
      <c r="D504" s="60" t="n"/>
      <c r="E504" s="60" t="n"/>
      <c r="F504" s="60" t="n"/>
      <c r="G504" s="60" t="n"/>
      <c r="H504" s="60" t="n"/>
      <c r="I504" s="60" t="n"/>
      <c r="J504" s="60" t="n"/>
      <c r="K504" s="60" t="n"/>
      <c r="L504" s="60" t="n"/>
    </row>
    <row r="505" ht="21" customHeight="1">
      <c r="A505" s="59" t="n"/>
      <c r="B505" s="42">
        <f>'設定'!$I$32</f>
        <v/>
      </c>
      <c r="C505" s="60" t="n"/>
      <c r="D505" s="60" t="n"/>
      <c r="E505" s="60" t="n"/>
      <c r="F505" s="60" t="n"/>
      <c r="G505" s="60" t="n"/>
      <c r="H505" s="60" t="n"/>
      <c r="I505" s="60" t="n"/>
      <c r="J505" s="60" t="n"/>
      <c r="K505" s="60" t="n"/>
      <c r="L505" s="60" t="n"/>
    </row>
    <row r="506" ht="21" customHeight="1">
      <c r="A506" s="59" t="n"/>
      <c r="B506" s="42">
        <f>'設定'!$I$33</f>
        <v/>
      </c>
      <c r="C506" s="60" t="n"/>
      <c r="D506" s="60" t="n"/>
      <c r="E506" s="60" t="n"/>
      <c r="F506" s="60" t="n"/>
      <c r="G506" s="60" t="n"/>
      <c r="H506" s="60" t="n"/>
      <c r="I506" s="60" t="n"/>
      <c r="J506" s="60" t="n"/>
      <c r="K506" s="60" t="n"/>
      <c r="L506" s="60" t="n"/>
    </row>
    <row r="507" ht="21" customHeight="1">
      <c r="A507" s="59" t="n"/>
      <c r="B507" s="42">
        <f>'設定'!$I$34</f>
        <v/>
      </c>
      <c r="C507" s="60" t="n"/>
      <c r="D507" s="60" t="n"/>
      <c r="E507" s="60" t="n"/>
      <c r="F507" s="60" t="n"/>
      <c r="G507" s="60" t="n"/>
      <c r="H507" s="60" t="n"/>
      <c r="I507" s="60" t="n"/>
      <c r="J507" s="60" t="n"/>
      <c r="K507" s="60" t="n"/>
      <c r="L507" s="60" t="n"/>
    </row>
    <row r="508"/>
    <row r="509" ht="26" customHeight="1">
      <c r="B509" s="53">
        <f>IF('名簿'!B23="","（名簿 19行目：なし）",'名簿'!G23)</f>
        <v/>
      </c>
      <c r="C509" s="4" t="n"/>
      <c r="D509" s="4" t="n"/>
      <c r="E509" s="54" t="inlineStr">
        <is>
          <t>提出状況 ▶</t>
        </is>
      </c>
      <c r="F509" s="38" t="n"/>
      <c r="G509" s="29" t="n"/>
      <c r="H509" s="55" t="inlineStr">
        <is>
          <t>状況：</t>
        </is>
      </c>
      <c r="I509" s="56">
        <f>'名簿'!H23</f>
        <v/>
      </c>
      <c r="J509" s="55" t="inlineStr">
        <is>
          <t>×の数：</t>
        </is>
      </c>
      <c r="K509" s="57">
        <f>'名簿'!I23</f>
        <v/>
      </c>
      <c r="L509" s="58">
        <f>HYPERLINK("#'×入力'!B537","次の人へ ▼")</f>
        <v/>
      </c>
    </row>
    <row r="510" ht="22" customHeight="1">
      <c r="A510" s="30" t="inlineStr">
        <is>
          <t>この日全部 ▶</t>
        </is>
      </c>
      <c r="C510" s="59" t="n"/>
      <c r="D510" s="59" t="n"/>
      <c r="E510" s="59" t="n"/>
      <c r="F510" s="59" t="n"/>
      <c r="G510" s="59" t="n"/>
      <c r="H510" s="59" t="n"/>
      <c r="I510" s="59" t="n"/>
      <c r="J510" s="59" t="n"/>
      <c r="K510" s="59" t="n"/>
      <c r="L510" s="59" t="n"/>
    </row>
    <row r="511" ht="28" customHeight="1">
      <c r="A511" s="33" t="inlineStr">
        <is>
          <t>この時間
全部 ▼</t>
        </is>
      </c>
      <c r="B511" s="34" t="inlineStr"/>
      <c r="C511" s="35">
        <f>'設定'!$E$11</f>
        <v/>
      </c>
      <c r="D511" s="35">
        <f>'設定'!$E$12</f>
        <v/>
      </c>
      <c r="E511" s="35">
        <f>'設定'!$E$13</f>
        <v/>
      </c>
      <c r="F511" s="35">
        <f>'設定'!$E$14</f>
        <v/>
      </c>
      <c r="G511" s="35">
        <f>'設定'!$E$15</f>
        <v/>
      </c>
      <c r="H511" s="35">
        <f>'設定'!$E$16</f>
        <v/>
      </c>
      <c r="I511" s="35">
        <f>'設定'!$E$17</f>
        <v/>
      </c>
      <c r="J511" s="35">
        <f>'設定'!$E$18</f>
        <v/>
      </c>
      <c r="K511" s="35">
        <f>'設定'!$E$19</f>
        <v/>
      </c>
      <c r="L511" s="35">
        <f>'設定'!$E$20</f>
        <v/>
      </c>
    </row>
    <row r="512" ht="21" customHeight="1">
      <c r="A512" s="59" t="n"/>
      <c r="B512" s="42">
        <f>'設定'!$I$11</f>
        <v/>
      </c>
      <c r="C512" s="60" t="n"/>
      <c r="D512" s="60" t="n"/>
      <c r="E512" s="60" t="n"/>
      <c r="F512" s="60" t="n"/>
      <c r="G512" s="60" t="n"/>
      <c r="H512" s="60" t="n"/>
      <c r="I512" s="60" t="n"/>
      <c r="J512" s="60" t="n"/>
      <c r="K512" s="60" t="n"/>
      <c r="L512" s="60" t="n"/>
    </row>
    <row r="513" ht="21" customHeight="1">
      <c r="A513" s="59" t="n"/>
      <c r="B513" s="42">
        <f>'設定'!$I$12</f>
        <v/>
      </c>
      <c r="C513" s="60" t="n"/>
      <c r="D513" s="60" t="n"/>
      <c r="E513" s="60" t="n"/>
      <c r="F513" s="60" t="n"/>
      <c r="G513" s="60" t="n"/>
      <c r="H513" s="60" t="n"/>
      <c r="I513" s="60" t="n"/>
      <c r="J513" s="60" t="n"/>
      <c r="K513" s="60" t="n"/>
      <c r="L513" s="60" t="n"/>
    </row>
    <row r="514" ht="21" customHeight="1">
      <c r="A514" s="59" t="n"/>
      <c r="B514" s="42">
        <f>'設定'!$I$13</f>
        <v/>
      </c>
      <c r="C514" s="60" t="n"/>
      <c r="D514" s="60" t="n"/>
      <c r="E514" s="60" t="n"/>
      <c r="F514" s="60" t="n"/>
      <c r="G514" s="60" t="n"/>
      <c r="H514" s="60" t="n"/>
      <c r="I514" s="60" t="n"/>
      <c r="J514" s="60" t="n"/>
      <c r="K514" s="60" t="n"/>
      <c r="L514" s="60" t="n"/>
    </row>
    <row r="515" ht="21" customHeight="1">
      <c r="A515" s="59" t="n"/>
      <c r="B515" s="42">
        <f>'設定'!$I$14</f>
        <v/>
      </c>
      <c r="C515" s="60" t="n"/>
      <c r="D515" s="60" t="n"/>
      <c r="E515" s="60" t="n"/>
      <c r="F515" s="60" t="n"/>
      <c r="G515" s="60" t="n"/>
      <c r="H515" s="60" t="n"/>
      <c r="I515" s="60" t="n"/>
      <c r="J515" s="60" t="n"/>
      <c r="K515" s="60" t="n"/>
      <c r="L515" s="60" t="n"/>
    </row>
    <row r="516" ht="21" customHeight="1">
      <c r="A516" s="59" t="n"/>
      <c r="B516" s="42">
        <f>'設定'!$I$15</f>
        <v/>
      </c>
      <c r="C516" s="60" t="n"/>
      <c r="D516" s="60" t="n"/>
      <c r="E516" s="60" t="n"/>
      <c r="F516" s="60" t="n"/>
      <c r="G516" s="60" t="n"/>
      <c r="H516" s="60" t="n"/>
      <c r="I516" s="60" t="n"/>
      <c r="J516" s="60" t="n"/>
      <c r="K516" s="60" t="n"/>
      <c r="L516" s="60" t="n"/>
    </row>
    <row r="517" ht="21" customHeight="1">
      <c r="A517" s="59" t="n"/>
      <c r="B517" s="42">
        <f>'設定'!$I$16</f>
        <v/>
      </c>
      <c r="C517" s="60" t="n"/>
      <c r="D517" s="60" t="n"/>
      <c r="E517" s="60" t="n"/>
      <c r="F517" s="60" t="n"/>
      <c r="G517" s="60" t="n"/>
      <c r="H517" s="60" t="n"/>
      <c r="I517" s="60" t="n"/>
      <c r="J517" s="60" t="n"/>
      <c r="K517" s="60" t="n"/>
      <c r="L517" s="60" t="n"/>
    </row>
    <row r="518" ht="21" customHeight="1">
      <c r="A518" s="59" t="n"/>
      <c r="B518" s="42">
        <f>'設定'!$I$17</f>
        <v/>
      </c>
      <c r="C518" s="60" t="n"/>
      <c r="D518" s="60" t="n"/>
      <c r="E518" s="60" t="n"/>
      <c r="F518" s="60" t="n"/>
      <c r="G518" s="60" t="n"/>
      <c r="H518" s="60" t="n"/>
      <c r="I518" s="60" t="n"/>
      <c r="J518" s="60" t="n"/>
      <c r="K518" s="60" t="n"/>
      <c r="L518" s="60" t="n"/>
    </row>
    <row r="519" ht="21" customHeight="1">
      <c r="A519" s="59" t="n"/>
      <c r="B519" s="42">
        <f>'設定'!$I$18</f>
        <v/>
      </c>
      <c r="C519" s="60" t="n"/>
      <c r="D519" s="60" t="n"/>
      <c r="E519" s="60" t="n"/>
      <c r="F519" s="60" t="n"/>
      <c r="G519" s="60" t="n"/>
      <c r="H519" s="60" t="n"/>
      <c r="I519" s="60" t="n"/>
      <c r="J519" s="60" t="n"/>
      <c r="K519" s="60" t="n"/>
      <c r="L519" s="60" t="n"/>
    </row>
    <row r="520" ht="21" customHeight="1">
      <c r="A520" s="59" t="n"/>
      <c r="B520" s="42">
        <f>'設定'!$I$19</f>
        <v/>
      </c>
      <c r="C520" s="60" t="n"/>
      <c r="D520" s="60" t="n"/>
      <c r="E520" s="60" t="n"/>
      <c r="F520" s="60" t="n"/>
      <c r="G520" s="60" t="n"/>
      <c r="H520" s="60" t="n"/>
      <c r="I520" s="60" t="n"/>
      <c r="J520" s="60" t="n"/>
      <c r="K520" s="60" t="n"/>
      <c r="L520" s="60" t="n"/>
    </row>
    <row r="521" ht="21" customHeight="1">
      <c r="A521" s="59" t="n"/>
      <c r="B521" s="42">
        <f>'設定'!$I$20</f>
        <v/>
      </c>
      <c r="C521" s="60" t="n"/>
      <c r="D521" s="60" t="n"/>
      <c r="E521" s="60" t="n"/>
      <c r="F521" s="60" t="n"/>
      <c r="G521" s="60" t="n"/>
      <c r="H521" s="60" t="n"/>
      <c r="I521" s="60" t="n"/>
      <c r="J521" s="60" t="n"/>
      <c r="K521" s="60" t="n"/>
      <c r="L521" s="60" t="n"/>
    </row>
    <row r="522" ht="21" customHeight="1">
      <c r="A522" s="59" t="n"/>
      <c r="B522" s="42">
        <f>'設定'!$I$21</f>
        <v/>
      </c>
      <c r="C522" s="60" t="n"/>
      <c r="D522" s="60" t="n"/>
      <c r="E522" s="60" t="n"/>
      <c r="F522" s="60" t="n"/>
      <c r="G522" s="60" t="n"/>
      <c r="H522" s="60" t="n"/>
      <c r="I522" s="60" t="n"/>
      <c r="J522" s="60" t="n"/>
      <c r="K522" s="60" t="n"/>
      <c r="L522" s="60" t="n"/>
    </row>
    <row r="523" ht="21" customHeight="1">
      <c r="A523" s="59" t="n"/>
      <c r="B523" s="42">
        <f>'設定'!$I$22</f>
        <v/>
      </c>
      <c r="C523" s="60" t="n"/>
      <c r="D523" s="60" t="n"/>
      <c r="E523" s="60" t="n"/>
      <c r="F523" s="60" t="n"/>
      <c r="G523" s="60" t="n"/>
      <c r="H523" s="60" t="n"/>
      <c r="I523" s="60" t="n"/>
      <c r="J523" s="60" t="n"/>
      <c r="K523" s="60" t="n"/>
      <c r="L523" s="60" t="n"/>
    </row>
    <row r="524" ht="21" customHeight="1">
      <c r="A524" s="59" t="n"/>
      <c r="B524" s="42">
        <f>'設定'!$I$23</f>
        <v/>
      </c>
      <c r="C524" s="60" t="n"/>
      <c r="D524" s="60" t="n"/>
      <c r="E524" s="60" t="n"/>
      <c r="F524" s="60" t="n"/>
      <c r="G524" s="60" t="n"/>
      <c r="H524" s="60" t="n"/>
      <c r="I524" s="60" t="n"/>
      <c r="J524" s="60" t="n"/>
      <c r="K524" s="60" t="n"/>
      <c r="L524" s="60" t="n"/>
    </row>
    <row r="525" ht="21" customHeight="1">
      <c r="A525" s="59" t="n"/>
      <c r="B525" s="42">
        <f>'設定'!$I$24</f>
        <v/>
      </c>
      <c r="C525" s="60" t="n"/>
      <c r="D525" s="60" t="n"/>
      <c r="E525" s="60" t="n"/>
      <c r="F525" s="60" t="n"/>
      <c r="G525" s="60" t="n"/>
      <c r="H525" s="60" t="n"/>
      <c r="I525" s="60" t="n"/>
      <c r="J525" s="60" t="n"/>
      <c r="K525" s="60" t="n"/>
      <c r="L525" s="60" t="n"/>
    </row>
    <row r="526" ht="21" customHeight="1">
      <c r="A526" s="59" t="n"/>
      <c r="B526" s="42">
        <f>'設定'!$I$25</f>
        <v/>
      </c>
      <c r="C526" s="60" t="n"/>
      <c r="D526" s="60" t="n"/>
      <c r="E526" s="60" t="n"/>
      <c r="F526" s="60" t="n"/>
      <c r="G526" s="60" t="n"/>
      <c r="H526" s="60" t="n"/>
      <c r="I526" s="60" t="n"/>
      <c r="J526" s="60" t="n"/>
      <c r="K526" s="60" t="n"/>
      <c r="L526" s="60" t="n"/>
    </row>
    <row r="527" ht="21" customHeight="1">
      <c r="A527" s="59" t="n"/>
      <c r="B527" s="42">
        <f>'設定'!$I$26</f>
        <v/>
      </c>
      <c r="C527" s="60" t="n"/>
      <c r="D527" s="60" t="n"/>
      <c r="E527" s="60" t="n"/>
      <c r="F527" s="60" t="n"/>
      <c r="G527" s="60" t="n"/>
      <c r="H527" s="60" t="n"/>
      <c r="I527" s="60" t="n"/>
      <c r="J527" s="60" t="n"/>
      <c r="K527" s="60" t="n"/>
      <c r="L527" s="60" t="n"/>
    </row>
    <row r="528" ht="21" customHeight="1">
      <c r="A528" s="59" t="n"/>
      <c r="B528" s="42">
        <f>'設定'!$I$27</f>
        <v/>
      </c>
      <c r="C528" s="60" t="n"/>
      <c r="D528" s="60" t="n"/>
      <c r="E528" s="60" t="n"/>
      <c r="F528" s="60" t="n"/>
      <c r="G528" s="60" t="n"/>
      <c r="H528" s="60" t="n"/>
      <c r="I528" s="60" t="n"/>
      <c r="J528" s="60" t="n"/>
      <c r="K528" s="60" t="n"/>
      <c r="L528" s="60" t="n"/>
    </row>
    <row r="529" ht="21" customHeight="1">
      <c r="A529" s="59" t="n"/>
      <c r="B529" s="42">
        <f>'設定'!$I$28</f>
        <v/>
      </c>
      <c r="C529" s="60" t="n"/>
      <c r="D529" s="60" t="n"/>
      <c r="E529" s="60" t="n"/>
      <c r="F529" s="60" t="n"/>
      <c r="G529" s="60" t="n"/>
      <c r="H529" s="60" t="n"/>
      <c r="I529" s="60" t="n"/>
      <c r="J529" s="60" t="n"/>
      <c r="K529" s="60" t="n"/>
      <c r="L529" s="60" t="n"/>
    </row>
    <row r="530" ht="21" customHeight="1">
      <c r="A530" s="59" t="n"/>
      <c r="B530" s="42">
        <f>'設定'!$I$29</f>
        <v/>
      </c>
      <c r="C530" s="60" t="n"/>
      <c r="D530" s="60" t="n"/>
      <c r="E530" s="60" t="n"/>
      <c r="F530" s="60" t="n"/>
      <c r="G530" s="60" t="n"/>
      <c r="H530" s="60" t="n"/>
      <c r="I530" s="60" t="n"/>
      <c r="J530" s="60" t="n"/>
      <c r="K530" s="60" t="n"/>
      <c r="L530" s="60" t="n"/>
    </row>
    <row r="531" ht="21" customHeight="1">
      <c r="A531" s="59" t="n"/>
      <c r="B531" s="42">
        <f>'設定'!$I$30</f>
        <v/>
      </c>
      <c r="C531" s="60" t="n"/>
      <c r="D531" s="60" t="n"/>
      <c r="E531" s="60" t="n"/>
      <c r="F531" s="60" t="n"/>
      <c r="G531" s="60" t="n"/>
      <c r="H531" s="60" t="n"/>
      <c r="I531" s="60" t="n"/>
      <c r="J531" s="60" t="n"/>
      <c r="K531" s="60" t="n"/>
      <c r="L531" s="60" t="n"/>
    </row>
    <row r="532" ht="21" customHeight="1">
      <c r="A532" s="59" t="n"/>
      <c r="B532" s="42">
        <f>'設定'!$I$31</f>
        <v/>
      </c>
      <c r="C532" s="60" t="n"/>
      <c r="D532" s="60" t="n"/>
      <c r="E532" s="60" t="n"/>
      <c r="F532" s="60" t="n"/>
      <c r="G532" s="60" t="n"/>
      <c r="H532" s="60" t="n"/>
      <c r="I532" s="60" t="n"/>
      <c r="J532" s="60" t="n"/>
      <c r="K532" s="60" t="n"/>
      <c r="L532" s="60" t="n"/>
    </row>
    <row r="533" ht="21" customHeight="1">
      <c r="A533" s="59" t="n"/>
      <c r="B533" s="42">
        <f>'設定'!$I$32</f>
        <v/>
      </c>
      <c r="C533" s="60" t="n"/>
      <c r="D533" s="60" t="n"/>
      <c r="E533" s="60" t="n"/>
      <c r="F533" s="60" t="n"/>
      <c r="G533" s="60" t="n"/>
      <c r="H533" s="60" t="n"/>
      <c r="I533" s="60" t="n"/>
      <c r="J533" s="60" t="n"/>
      <c r="K533" s="60" t="n"/>
      <c r="L533" s="60" t="n"/>
    </row>
    <row r="534" ht="21" customHeight="1">
      <c r="A534" s="59" t="n"/>
      <c r="B534" s="42">
        <f>'設定'!$I$33</f>
        <v/>
      </c>
      <c r="C534" s="60" t="n"/>
      <c r="D534" s="60" t="n"/>
      <c r="E534" s="60" t="n"/>
      <c r="F534" s="60" t="n"/>
      <c r="G534" s="60" t="n"/>
      <c r="H534" s="60" t="n"/>
      <c r="I534" s="60" t="n"/>
      <c r="J534" s="60" t="n"/>
      <c r="K534" s="60" t="n"/>
      <c r="L534" s="60" t="n"/>
    </row>
    <row r="535" ht="21" customHeight="1">
      <c r="A535" s="59" t="n"/>
      <c r="B535" s="42">
        <f>'設定'!$I$34</f>
        <v/>
      </c>
      <c r="C535" s="60" t="n"/>
      <c r="D535" s="60" t="n"/>
      <c r="E535" s="60" t="n"/>
      <c r="F535" s="60" t="n"/>
      <c r="G535" s="60" t="n"/>
      <c r="H535" s="60" t="n"/>
      <c r="I535" s="60" t="n"/>
      <c r="J535" s="60" t="n"/>
      <c r="K535" s="60" t="n"/>
      <c r="L535" s="60" t="n"/>
    </row>
    <row r="536"/>
    <row r="537" ht="26" customHeight="1">
      <c r="B537" s="53">
        <f>IF('名簿'!B24="","（名簿 20行目：なし）",'名簿'!G24)</f>
        <v/>
      </c>
      <c r="C537" s="4" t="n"/>
      <c r="D537" s="4" t="n"/>
      <c r="E537" s="54" t="inlineStr">
        <is>
          <t>提出状況 ▶</t>
        </is>
      </c>
      <c r="F537" s="38" t="n"/>
      <c r="G537" s="29" t="n"/>
      <c r="H537" s="55" t="inlineStr">
        <is>
          <t>状況：</t>
        </is>
      </c>
      <c r="I537" s="56">
        <f>'名簿'!H24</f>
        <v/>
      </c>
      <c r="J537" s="55" t="inlineStr">
        <is>
          <t>×の数：</t>
        </is>
      </c>
      <c r="K537" s="57">
        <f>'名簿'!I24</f>
        <v/>
      </c>
      <c r="L537" s="58">
        <f>HYPERLINK("#'×入力'!B565","次の人へ ▼")</f>
        <v/>
      </c>
    </row>
    <row r="538" ht="22" customHeight="1">
      <c r="A538" s="30" t="inlineStr">
        <is>
          <t>この日全部 ▶</t>
        </is>
      </c>
      <c r="C538" s="59" t="n"/>
      <c r="D538" s="59" t="n"/>
      <c r="E538" s="59" t="n"/>
      <c r="F538" s="59" t="n"/>
      <c r="G538" s="59" t="n"/>
      <c r="H538" s="59" t="n"/>
      <c r="I538" s="59" t="n"/>
      <c r="J538" s="59" t="n"/>
      <c r="K538" s="59" t="n"/>
      <c r="L538" s="59" t="n"/>
    </row>
    <row r="539" ht="28" customHeight="1">
      <c r="A539" s="33" t="inlineStr">
        <is>
          <t>この時間
全部 ▼</t>
        </is>
      </c>
      <c r="B539" s="34" t="inlineStr"/>
      <c r="C539" s="35">
        <f>'設定'!$E$11</f>
        <v/>
      </c>
      <c r="D539" s="35">
        <f>'設定'!$E$12</f>
        <v/>
      </c>
      <c r="E539" s="35">
        <f>'設定'!$E$13</f>
        <v/>
      </c>
      <c r="F539" s="35">
        <f>'設定'!$E$14</f>
        <v/>
      </c>
      <c r="G539" s="35">
        <f>'設定'!$E$15</f>
        <v/>
      </c>
      <c r="H539" s="35">
        <f>'設定'!$E$16</f>
        <v/>
      </c>
      <c r="I539" s="35">
        <f>'設定'!$E$17</f>
        <v/>
      </c>
      <c r="J539" s="35">
        <f>'設定'!$E$18</f>
        <v/>
      </c>
      <c r="K539" s="35">
        <f>'設定'!$E$19</f>
        <v/>
      </c>
      <c r="L539" s="35">
        <f>'設定'!$E$20</f>
        <v/>
      </c>
    </row>
    <row r="540" ht="21" customHeight="1">
      <c r="A540" s="59" t="n"/>
      <c r="B540" s="42">
        <f>'設定'!$I$11</f>
        <v/>
      </c>
      <c r="C540" s="60" t="n"/>
      <c r="D540" s="60" t="n"/>
      <c r="E540" s="60" t="n"/>
      <c r="F540" s="60" t="n"/>
      <c r="G540" s="60" t="n"/>
      <c r="H540" s="60" t="n"/>
      <c r="I540" s="60" t="n"/>
      <c r="J540" s="60" t="n"/>
      <c r="K540" s="60" t="n"/>
      <c r="L540" s="60" t="n"/>
    </row>
    <row r="541" ht="21" customHeight="1">
      <c r="A541" s="59" t="n"/>
      <c r="B541" s="42">
        <f>'設定'!$I$12</f>
        <v/>
      </c>
      <c r="C541" s="60" t="n"/>
      <c r="D541" s="60" t="n"/>
      <c r="E541" s="60" t="n"/>
      <c r="F541" s="60" t="n"/>
      <c r="G541" s="60" t="n"/>
      <c r="H541" s="60" t="n"/>
      <c r="I541" s="60" t="n"/>
      <c r="J541" s="60" t="n"/>
      <c r="K541" s="60" t="n"/>
      <c r="L541" s="60" t="n"/>
    </row>
    <row r="542" ht="21" customHeight="1">
      <c r="A542" s="59" t="n"/>
      <c r="B542" s="42">
        <f>'設定'!$I$13</f>
        <v/>
      </c>
      <c r="C542" s="60" t="n"/>
      <c r="D542" s="60" t="n"/>
      <c r="E542" s="60" t="n"/>
      <c r="F542" s="60" t="n"/>
      <c r="G542" s="60" t="n"/>
      <c r="H542" s="60" t="n"/>
      <c r="I542" s="60" t="n"/>
      <c r="J542" s="60" t="n"/>
      <c r="K542" s="60" t="n"/>
      <c r="L542" s="60" t="n"/>
    </row>
    <row r="543" ht="21" customHeight="1">
      <c r="A543" s="59" t="n"/>
      <c r="B543" s="42">
        <f>'設定'!$I$14</f>
        <v/>
      </c>
      <c r="C543" s="60" t="n"/>
      <c r="D543" s="60" t="n"/>
      <c r="E543" s="60" t="n"/>
      <c r="F543" s="60" t="n"/>
      <c r="G543" s="60" t="n"/>
      <c r="H543" s="60" t="n"/>
      <c r="I543" s="60" t="n"/>
      <c r="J543" s="60" t="n"/>
      <c r="K543" s="60" t="n"/>
      <c r="L543" s="60" t="n"/>
    </row>
    <row r="544" ht="21" customHeight="1">
      <c r="A544" s="59" t="n"/>
      <c r="B544" s="42">
        <f>'設定'!$I$15</f>
        <v/>
      </c>
      <c r="C544" s="60" t="n"/>
      <c r="D544" s="60" t="n"/>
      <c r="E544" s="60" t="n"/>
      <c r="F544" s="60" t="n"/>
      <c r="G544" s="60" t="n"/>
      <c r="H544" s="60" t="n"/>
      <c r="I544" s="60" t="n"/>
      <c r="J544" s="60" t="n"/>
      <c r="K544" s="60" t="n"/>
      <c r="L544" s="60" t="n"/>
    </row>
    <row r="545" ht="21" customHeight="1">
      <c r="A545" s="59" t="n"/>
      <c r="B545" s="42">
        <f>'設定'!$I$16</f>
        <v/>
      </c>
      <c r="C545" s="60" t="n"/>
      <c r="D545" s="60" t="n"/>
      <c r="E545" s="60" t="n"/>
      <c r="F545" s="60" t="n"/>
      <c r="G545" s="60" t="n"/>
      <c r="H545" s="60" t="n"/>
      <c r="I545" s="60" t="n"/>
      <c r="J545" s="60" t="n"/>
      <c r="K545" s="60" t="n"/>
      <c r="L545" s="60" t="n"/>
    </row>
    <row r="546" ht="21" customHeight="1">
      <c r="A546" s="59" t="n"/>
      <c r="B546" s="42">
        <f>'設定'!$I$17</f>
        <v/>
      </c>
      <c r="C546" s="60" t="n"/>
      <c r="D546" s="60" t="n"/>
      <c r="E546" s="60" t="n"/>
      <c r="F546" s="60" t="n"/>
      <c r="G546" s="60" t="n"/>
      <c r="H546" s="60" t="n"/>
      <c r="I546" s="60" t="n"/>
      <c r="J546" s="60" t="n"/>
      <c r="K546" s="60" t="n"/>
      <c r="L546" s="60" t="n"/>
    </row>
    <row r="547" ht="21" customHeight="1">
      <c r="A547" s="59" t="n"/>
      <c r="B547" s="42">
        <f>'設定'!$I$18</f>
        <v/>
      </c>
      <c r="C547" s="60" t="n"/>
      <c r="D547" s="60" t="n"/>
      <c r="E547" s="60" t="n"/>
      <c r="F547" s="60" t="n"/>
      <c r="G547" s="60" t="n"/>
      <c r="H547" s="60" t="n"/>
      <c r="I547" s="60" t="n"/>
      <c r="J547" s="60" t="n"/>
      <c r="K547" s="60" t="n"/>
      <c r="L547" s="60" t="n"/>
    </row>
    <row r="548" ht="21" customHeight="1">
      <c r="A548" s="59" t="n"/>
      <c r="B548" s="42">
        <f>'設定'!$I$19</f>
        <v/>
      </c>
      <c r="C548" s="60" t="n"/>
      <c r="D548" s="60" t="n"/>
      <c r="E548" s="60" t="n"/>
      <c r="F548" s="60" t="n"/>
      <c r="G548" s="60" t="n"/>
      <c r="H548" s="60" t="n"/>
      <c r="I548" s="60" t="n"/>
      <c r="J548" s="60" t="n"/>
      <c r="K548" s="60" t="n"/>
      <c r="L548" s="60" t="n"/>
    </row>
    <row r="549" ht="21" customHeight="1">
      <c r="A549" s="59" t="n"/>
      <c r="B549" s="42">
        <f>'設定'!$I$20</f>
        <v/>
      </c>
      <c r="C549" s="60" t="n"/>
      <c r="D549" s="60" t="n"/>
      <c r="E549" s="60" t="n"/>
      <c r="F549" s="60" t="n"/>
      <c r="G549" s="60" t="n"/>
      <c r="H549" s="60" t="n"/>
      <c r="I549" s="60" t="n"/>
      <c r="J549" s="60" t="n"/>
      <c r="K549" s="60" t="n"/>
      <c r="L549" s="60" t="n"/>
    </row>
    <row r="550" ht="21" customHeight="1">
      <c r="A550" s="59" t="n"/>
      <c r="B550" s="42">
        <f>'設定'!$I$21</f>
        <v/>
      </c>
      <c r="C550" s="60" t="n"/>
      <c r="D550" s="60" t="n"/>
      <c r="E550" s="60" t="n"/>
      <c r="F550" s="60" t="n"/>
      <c r="G550" s="60" t="n"/>
      <c r="H550" s="60" t="n"/>
      <c r="I550" s="60" t="n"/>
      <c r="J550" s="60" t="n"/>
      <c r="K550" s="60" t="n"/>
      <c r="L550" s="60" t="n"/>
    </row>
    <row r="551" ht="21" customHeight="1">
      <c r="A551" s="59" t="n"/>
      <c r="B551" s="42">
        <f>'設定'!$I$22</f>
        <v/>
      </c>
      <c r="C551" s="60" t="n"/>
      <c r="D551" s="60" t="n"/>
      <c r="E551" s="60" t="n"/>
      <c r="F551" s="60" t="n"/>
      <c r="G551" s="60" t="n"/>
      <c r="H551" s="60" t="n"/>
      <c r="I551" s="60" t="n"/>
      <c r="J551" s="60" t="n"/>
      <c r="K551" s="60" t="n"/>
      <c r="L551" s="60" t="n"/>
    </row>
    <row r="552" ht="21" customHeight="1">
      <c r="A552" s="59" t="n"/>
      <c r="B552" s="42">
        <f>'設定'!$I$23</f>
        <v/>
      </c>
      <c r="C552" s="60" t="n"/>
      <c r="D552" s="60" t="n"/>
      <c r="E552" s="60" t="n"/>
      <c r="F552" s="60" t="n"/>
      <c r="G552" s="60" t="n"/>
      <c r="H552" s="60" t="n"/>
      <c r="I552" s="60" t="n"/>
      <c r="J552" s="60" t="n"/>
      <c r="K552" s="60" t="n"/>
      <c r="L552" s="60" t="n"/>
    </row>
    <row r="553" ht="21" customHeight="1">
      <c r="A553" s="59" t="n"/>
      <c r="B553" s="42">
        <f>'設定'!$I$24</f>
        <v/>
      </c>
      <c r="C553" s="60" t="n"/>
      <c r="D553" s="60" t="n"/>
      <c r="E553" s="60" t="n"/>
      <c r="F553" s="60" t="n"/>
      <c r="G553" s="60" t="n"/>
      <c r="H553" s="60" t="n"/>
      <c r="I553" s="60" t="n"/>
      <c r="J553" s="60" t="n"/>
      <c r="K553" s="60" t="n"/>
      <c r="L553" s="60" t="n"/>
    </row>
    <row r="554" ht="21" customHeight="1">
      <c r="A554" s="59" t="n"/>
      <c r="B554" s="42">
        <f>'設定'!$I$25</f>
        <v/>
      </c>
      <c r="C554" s="60" t="n"/>
      <c r="D554" s="60" t="n"/>
      <c r="E554" s="60" t="n"/>
      <c r="F554" s="60" t="n"/>
      <c r="G554" s="60" t="n"/>
      <c r="H554" s="60" t="n"/>
      <c r="I554" s="60" t="n"/>
      <c r="J554" s="60" t="n"/>
      <c r="K554" s="60" t="n"/>
      <c r="L554" s="60" t="n"/>
    </row>
    <row r="555" ht="21" customHeight="1">
      <c r="A555" s="59" t="n"/>
      <c r="B555" s="42">
        <f>'設定'!$I$26</f>
        <v/>
      </c>
      <c r="C555" s="60" t="n"/>
      <c r="D555" s="60" t="n"/>
      <c r="E555" s="60" t="n"/>
      <c r="F555" s="60" t="n"/>
      <c r="G555" s="60" t="n"/>
      <c r="H555" s="60" t="n"/>
      <c r="I555" s="60" t="n"/>
      <c r="J555" s="60" t="n"/>
      <c r="K555" s="60" t="n"/>
      <c r="L555" s="60" t="n"/>
    </row>
    <row r="556" ht="21" customHeight="1">
      <c r="A556" s="59" t="n"/>
      <c r="B556" s="42">
        <f>'設定'!$I$27</f>
        <v/>
      </c>
      <c r="C556" s="60" t="n"/>
      <c r="D556" s="60" t="n"/>
      <c r="E556" s="60" t="n"/>
      <c r="F556" s="60" t="n"/>
      <c r="G556" s="60" t="n"/>
      <c r="H556" s="60" t="n"/>
      <c r="I556" s="60" t="n"/>
      <c r="J556" s="60" t="n"/>
      <c r="K556" s="60" t="n"/>
      <c r="L556" s="60" t="n"/>
    </row>
    <row r="557" ht="21" customHeight="1">
      <c r="A557" s="59" t="n"/>
      <c r="B557" s="42">
        <f>'設定'!$I$28</f>
        <v/>
      </c>
      <c r="C557" s="60" t="n"/>
      <c r="D557" s="60" t="n"/>
      <c r="E557" s="60" t="n"/>
      <c r="F557" s="60" t="n"/>
      <c r="G557" s="60" t="n"/>
      <c r="H557" s="60" t="n"/>
      <c r="I557" s="60" t="n"/>
      <c r="J557" s="60" t="n"/>
      <c r="K557" s="60" t="n"/>
      <c r="L557" s="60" t="n"/>
    </row>
    <row r="558" ht="21" customHeight="1">
      <c r="A558" s="59" t="n"/>
      <c r="B558" s="42">
        <f>'設定'!$I$29</f>
        <v/>
      </c>
      <c r="C558" s="60" t="n"/>
      <c r="D558" s="60" t="n"/>
      <c r="E558" s="60" t="n"/>
      <c r="F558" s="60" t="n"/>
      <c r="G558" s="60" t="n"/>
      <c r="H558" s="60" t="n"/>
      <c r="I558" s="60" t="n"/>
      <c r="J558" s="60" t="n"/>
      <c r="K558" s="60" t="n"/>
      <c r="L558" s="60" t="n"/>
    </row>
    <row r="559" ht="21" customHeight="1">
      <c r="A559" s="59" t="n"/>
      <c r="B559" s="42">
        <f>'設定'!$I$30</f>
        <v/>
      </c>
      <c r="C559" s="60" t="n"/>
      <c r="D559" s="60" t="n"/>
      <c r="E559" s="60" t="n"/>
      <c r="F559" s="60" t="n"/>
      <c r="G559" s="60" t="n"/>
      <c r="H559" s="60" t="n"/>
      <c r="I559" s="60" t="n"/>
      <c r="J559" s="60" t="n"/>
      <c r="K559" s="60" t="n"/>
      <c r="L559" s="60" t="n"/>
    </row>
    <row r="560" ht="21" customHeight="1">
      <c r="A560" s="59" t="n"/>
      <c r="B560" s="42">
        <f>'設定'!$I$31</f>
        <v/>
      </c>
      <c r="C560" s="60" t="n"/>
      <c r="D560" s="60" t="n"/>
      <c r="E560" s="60" t="n"/>
      <c r="F560" s="60" t="n"/>
      <c r="G560" s="60" t="n"/>
      <c r="H560" s="60" t="n"/>
      <c r="I560" s="60" t="n"/>
      <c r="J560" s="60" t="n"/>
      <c r="K560" s="60" t="n"/>
      <c r="L560" s="60" t="n"/>
    </row>
    <row r="561" ht="21" customHeight="1">
      <c r="A561" s="59" t="n"/>
      <c r="B561" s="42">
        <f>'設定'!$I$32</f>
        <v/>
      </c>
      <c r="C561" s="60" t="n"/>
      <c r="D561" s="60" t="n"/>
      <c r="E561" s="60" t="n"/>
      <c r="F561" s="60" t="n"/>
      <c r="G561" s="60" t="n"/>
      <c r="H561" s="60" t="n"/>
      <c r="I561" s="60" t="n"/>
      <c r="J561" s="60" t="n"/>
      <c r="K561" s="60" t="n"/>
      <c r="L561" s="60" t="n"/>
    </row>
    <row r="562" ht="21" customHeight="1">
      <c r="A562" s="59" t="n"/>
      <c r="B562" s="42">
        <f>'設定'!$I$33</f>
        <v/>
      </c>
      <c r="C562" s="60" t="n"/>
      <c r="D562" s="60" t="n"/>
      <c r="E562" s="60" t="n"/>
      <c r="F562" s="60" t="n"/>
      <c r="G562" s="60" t="n"/>
      <c r="H562" s="60" t="n"/>
      <c r="I562" s="60" t="n"/>
      <c r="J562" s="60" t="n"/>
      <c r="K562" s="60" t="n"/>
      <c r="L562" s="60" t="n"/>
    </row>
    <row r="563" ht="21" customHeight="1">
      <c r="A563" s="59" t="n"/>
      <c r="B563" s="42">
        <f>'設定'!$I$34</f>
        <v/>
      </c>
      <c r="C563" s="60" t="n"/>
      <c r="D563" s="60" t="n"/>
      <c r="E563" s="60" t="n"/>
      <c r="F563" s="60" t="n"/>
      <c r="G563" s="60" t="n"/>
      <c r="H563" s="60" t="n"/>
      <c r="I563" s="60" t="n"/>
      <c r="J563" s="60" t="n"/>
      <c r="K563" s="60" t="n"/>
      <c r="L563" s="60" t="n"/>
    </row>
    <row r="564"/>
    <row r="565" ht="26" customHeight="1">
      <c r="B565" s="53">
        <f>IF('名簿'!B25="","（名簿 21行目：なし）",'名簿'!G25)</f>
        <v/>
      </c>
      <c r="C565" s="4" t="n"/>
      <c r="D565" s="4" t="n"/>
      <c r="E565" s="54" t="inlineStr">
        <is>
          <t>提出状況 ▶</t>
        </is>
      </c>
      <c r="F565" s="38" t="n"/>
      <c r="G565" s="29" t="n"/>
      <c r="H565" s="55" t="inlineStr">
        <is>
          <t>状況：</t>
        </is>
      </c>
      <c r="I565" s="56">
        <f>'名簿'!H25</f>
        <v/>
      </c>
      <c r="J565" s="55" t="inlineStr">
        <is>
          <t>×の数：</t>
        </is>
      </c>
      <c r="K565" s="57">
        <f>'名簿'!I25</f>
        <v/>
      </c>
      <c r="L565" s="58">
        <f>HYPERLINK("#'×入力'!B593","次の人へ ▼")</f>
        <v/>
      </c>
    </row>
    <row r="566" ht="22" customHeight="1">
      <c r="A566" s="30" t="inlineStr">
        <is>
          <t>この日全部 ▶</t>
        </is>
      </c>
      <c r="C566" s="59" t="n"/>
      <c r="D566" s="59" t="n"/>
      <c r="E566" s="59" t="n"/>
      <c r="F566" s="59" t="n"/>
      <c r="G566" s="59" t="n"/>
      <c r="H566" s="59" t="n"/>
      <c r="I566" s="59" t="n"/>
      <c r="J566" s="59" t="n"/>
      <c r="K566" s="59" t="n"/>
      <c r="L566" s="59" t="n"/>
    </row>
    <row r="567" ht="28" customHeight="1">
      <c r="A567" s="33" t="inlineStr">
        <is>
          <t>この時間
全部 ▼</t>
        </is>
      </c>
      <c r="B567" s="34" t="inlineStr"/>
      <c r="C567" s="35">
        <f>'設定'!$E$11</f>
        <v/>
      </c>
      <c r="D567" s="35">
        <f>'設定'!$E$12</f>
        <v/>
      </c>
      <c r="E567" s="35">
        <f>'設定'!$E$13</f>
        <v/>
      </c>
      <c r="F567" s="35">
        <f>'設定'!$E$14</f>
        <v/>
      </c>
      <c r="G567" s="35">
        <f>'設定'!$E$15</f>
        <v/>
      </c>
      <c r="H567" s="35">
        <f>'設定'!$E$16</f>
        <v/>
      </c>
      <c r="I567" s="35">
        <f>'設定'!$E$17</f>
        <v/>
      </c>
      <c r="J567" s="35">
        <f>'設定'!$E$18</f>
        <v/>
      </c>
      <c r="K567" s="35">
        <f>'設定'!$E$19</f>
        <v/>
      </c>
      <c r="L567" s="35">
        <f>'設定'!$E$20</f>
        <v/>
      </c>
    </row>
    <row r="568" ht="21" customHeight="1">
      <c r="A568" s="59" t="n"/>
      <c r="B568" s="42">
        <f>'設定'!$I$11</f>
        <v/>
      </c>
      <c r="C568" s="60" t="n"/>
      <c r="D568" s="60" t="n"/>
      <c r="E568" s="60" t="n"/>
      <c r="F568" s="60" t="n"/>
      <c r="G568" s="60" t="n"/>
      <c r="H568" s="60" t="n"/>
      <c r="I568" s="60" t="n"/>
      <c r="J568" s="60" t="n"/>
      <c r="K568" s="60" t="n"/>
      <c r="L568" s="60" t="n"/>
    </row>
    <row r="569" ht="21" customHeight="1">
      <c r="A569" s="59" t="n"/>
      <c r="B569" s="42">
        <f>'設定'!$I$12</f>
        <v/>
      </c>
      <c r="C569" s="60" t="n"/>
      <c r="D569" s="60" t="n"/>
      <c r="E569" s="60" t="n"/>
      <c r="F569" s="60" t="n"/>
      <c r="G569" s="60" t="n"/>
      <c r="H569" s="60" t="n"/>
      <c r="I569" s="60" t="n"/>
      <c r="J569" s="60" t="n"/>
      <c r="K569" s="60" t="n"/>
      <c r="L569" s="60" t="n"/>
    </row>
    <row r="570" ht="21" customHeight="1">
      <c r="A570" s="59" t="n"/>
      <c r="B570" s="42">
        <f>'設定'!$I$13</f>
        <v/>
      </c>
      <c r="C570" s="60" t="n"/>
      <c r="D570" s="60" t="n"/>
      <c r="E570" s="60" t="n"/>
      <c r="F570" s="60" t="n"/>
      <c r="G570" s="60" t="n"/>
      <c r="H570" s="60" t="n"/>
      <c r="I570" s="60" t="n"/>
      <c r="J570" s="60" t="n"/>
      <c r="K570" s="60" t="n"/>
      <c r="L570" s="60" t="n"/>
    </row>
    <row r="571" ht="21" customHeight="1">
      <c r="A571" s="59" t="n"/>
      <c r="B571" s="42">
        <f>'設定'!$I$14</f>
        <v/>
      </c>
      <c r="C571" s="60" t="n"/>
      <c r="D571" s="60" t="n"/>
      <c r="E571" s="60" t="n"/>
      <c r="F571" s="60" t="n"/>
      <c r="G571" s="60" t="n"/>
      <c r="H571" s="60" t="n"/>
      <c r="I571" s="60" t="n"/>
      <c r="J571" s="60" t="n"/>
      <c r="K571" s="60" t="n"/>
      <c r="L571" s="60" t="n"/>
    </row>
    <row r="572" ht="21" customHeight="1">
      <c r="A572" s="59" t="n"/>
      <c r="B572" s="42">
        <f>'設定'!$I$15</f>
        <v/>
      </c>
      <c r="C572" s="60" t="n"/>
      <c r="D572" s="60" t="n"/>
      <c r="E572" s="60" t="n"/>
      <c r="F572" s="60" t="n"/>
      <c r="G572" s="60" t="n"/>
      <c r="H572" s="60" t="n"/>
      <c r="I572" s="60" t="n"/>
      <c r="J572" s="60" t="n"/>
      <c r="K572" s="60" t="n"/>
      <c r="L572" s="60" t="n"/>
    </row>
    <row r="573" ht="21" customHeight="1">
      <c r="A573" s="59" t="n"/>
      <c r="B573" s="42">
        <f>'設定'!$I$16</f>
        <v/>
      </c>
      <c r="C573" s="60" t="n"/>
      <c r="D573" s="60" t="n"/>
      <c r="E573" s="60" t="n"/>
      <c r="F573" s="60" t="n"/>
      <c r="G573" s="60" t="n"/>
      <c r="H573" s="60" t="n"/>
      <c r="I573" s="60" t="n"/>
      <c r="J573" s="60" t="n"/>
      <c r="K573" s="60" t="n"/>
      <c r="L573" s="60" t="n"/>
    </row>
    <row r="574" ht="21" customHeight="1">
      <c r="A574" s="59" t="n"/>
      <c r="B574" s="42">
        <f>'設定'!$I$17</f>
        <v/>
      </c>
      <c r="C574" s="60" t="n"/>
      <c r="D574" s="60" t="n"/>
      <c r="E574" s="60" t="n"/>
      <c r="F574" s="60" t="n"/>
      <c r="G574" s="60" t="n"/>
      <c r="H574" s="60" t="n"/>
      <c r="I574" s="60" t="n"/>
      <c r="J574" s="60" t="n"/>
      <c r="K574" s="60" t="n"/>
      <c r="L574" s="60" t="n"/>
    </row>
    <row r="575" ht="21" customHeight="1">
      <c r="A575" s="59" t="n"/>
      <c r="B575" s="42">
        <f>'設定'!$I$18</f>
        <v/>
      </c>
      <c r="C575" s="60" t="n"/>
      <c r="D575" s="60" t="n"/>
      <c r="E575" s="60" t="n"/>
      <c r="F575" s="60" t="n"/>
      <c r="G575" s="60" t="n"/>
      <c r="H575" s="60" t="n"/>
      <c r="I575" s="60" t="n"/>
      <c r="J575" s="60" t="n"/>
      <c r="K575" s="60" t="n"/>
      <c r="L575" s="60" t="n"/>
    </row>
    <row r="576" ht="21" customHeight="1">
      <c r="A576" s="59" t="n"/>
      <c r="B576" s="42">
        <f>'設定'!$I$19</f>
        <v/>
      </c>
      <c r="C576" s="60" t="n"/>
      <c r="D576" s="60" t="n"/>
      <c r="E576" s="60" t="n"/>
      <c r="F576" s="60" t="n"/>
      <c r="G576" s="60" t="n"/>
      <c r="H576" s="60" t="n"/>
      <c r="I576" s="60" t="n"/>
      <c r="J576" s="60" t="n"/>
      <c r="K576" s="60" t="n"/>
      <c r="L576" s="60" t="n"/>
    </row>
    <row r="577" ht="21" customHeight="1">
      <c r="A577" s="59" t="n"/>
      <c r="B577" s="42">
        <f>'設定'!$I$20</f>
        <v/>
      </c>
      <c r="C577" s="60" t="n"/>
      <c r="D577" s="60" t="n"/>
      <c r="E577" s="60" t="n"/>
      <c r="F577" s="60" t="n"/>
      <c r="G577" s="60" t="n"/>
      <c r="H577" s="60" t="n"/>
      <c r="I577" s="60" t="n"/>
      <c r="J577" s="60" t="n"/>
      <c r="K577" s="60" t="n"/>
      <c r="L577" s="60" t="n"/>
    </row>
    <row r="578" ht="21" customHeight="1">
      <c r="A578" s="59" t="n"/>
      <c r="B578" s="42">
        <f>'設定'!$I$21</f>
        <v/>
      </c>
      <c r="C578" s="60" t="n"/>
      <c r="D578" s="60" t="n"/>
      <c r="E578" s="60" t="n"/>
      <c r="F578" s="60" t="n"/>
      <c r="G578" s="60" t="n"/>
      <c r="H578" s="60" t="n"/>
      <c r="I578" s="60" t="n"/>
      <c r="J578" s="60" t="n"/>
      <c r="K578" s="60" t="n"/>
      <c r="L578" s="60" t="n"/>
    </row>
    <row r="579" ht="21" customHeight="1">
      <c r="A579" s="59" t="n"/>
      <c r="B579" s="42">
        <f>'設定'!$I$22</f>
        <v/>
      </c>
      <c r="C579" s="60" t="n"/>
      <c r="D579" s="60" t="n"/>
      <c r="E579" s="60" t="n"/>
      <c r="F579" s="60" t="n"/>
      <c r="G579" s="60" t="n"/>
      <c r="H579" s="60" t="n"/>
      <c r="I579" s="60" t="n"/>
      <c r="J579" s="60" t="n"/>
      <c r="K579" s="60" t="n"/>
      <c r="L579" s="60" t="n"/>
    </row>
    <row r="580" ht="21" customHeight="1">
      <c r="A580" s="59" t="n"/>
      <c r="B580" s="42">
        <f>'設定'!$I$23</f>
        <v/>
      </c>
      <c r="C580" s="60" t="n"/>
      <c r="D580" s="60" t="n"/>
      <c r="E580" s="60" t="n"/>
      <c r="F580" s="60" t="n"/>
      <c r="G580" s="60" t="n"/>
      <c r="H580" s="60" t="n"/>
      <c r="I580" s="60" t="n"/>
      <c r="J580" s="60" t="n"/>
      <c r="K580" s="60" t="n"/>
      <c r="L580" s="60" t="n"/>
    </row>
    <row r="581" ht="21" customHeight="1">
      <c r="A581" s="59" t="n"/>
      <c r="B581" s="42">
        <f>'設定'!$I$24</f>
        <v/>
      </c>
      <c r="C581" s="60" t="n"/>
      <c r="D581" s="60" t="n"/>
      <c r="E581" s="60" t="n"/>
      <c r="F581" s="60" t="n"/>
      <c r="G581" s="60" t="n"/>
      <c r="H581" s="60" t="n"/>
      <c r="I581" s="60" t="n"/>
      <c r="J581" s="60" t="n"/>
      <c r="K581" s="60" t="n"/>
      <c r="L581" s="60" t="n"/>
    </row>
    <row r="582" ht="21" customHeight="1">
      <c r="A582" s="59" t="n"/>
      <c r="B582" s="42">
        <f>'設定'!$I$25</f>
        <v/>
      </c>
      <c r="C582" s="60" t="n"/>
      <c r="D582" s="60" t="n"/>
      <c r="E582" s="60" t="n"/>
      <c r="F582" s="60" t="n"/>
      <c r="G582" s="60" t="n"/>
      <c r="H582" s="60" t="n"/>
      <c r="I582" s="60" t="n"/>
      <c r="J582" s="60" t="n"/>
      <c r="K582" s="60" t="n"/>
      <c r="L582" s="60" t="n"/>
    </row>
    <row r="583" ht="21" customHeight="1">
      <c r="A583" s="59" t="n"/>
      <c r="B583" s="42">
        <f>'設定'!$I$26</f>
        <v/>
      </c>
      <c r="C583" s="60" t="n"/>
      <c r="D583" s="60" t="n"/>
      <c r="E583" s="60" t="n"/>
      <c r="F583" s="60" t="n"/>
      <c r="G583" s="60" t="n"/>
      <c r="H583" s="60" t="n"/>
      <c r="I583" s="60" t="n"/>
      <c r="J583" s="60" t="n"/>
      <c r="K583" s="60" t="n"/>
      <c r="L583" s="60" t="n"/>
    </row>
    <row r="584" ht="21" customHeight="1">
      <c r="A584" s="59" t="n"/>
      <c r="B584" s="42">
        <f>'設定'!$I$27</f>
        <v/>
      </c>
      <c r="C584" s="60" t="n"/>
      <c r="D584" s="60" t="n"/>
      <c r="E584" s="60" t="n"/>
      <c r="F584" s="60" t="n"/>
      <c r="G584" s="60" t="n"/>
      <c r="H584" s="60" t="n"/>
      <c r="I584" s="60" t="n"/>
      <c r="J584" s="60" t="n"/>
      <c r="K584" s="60" t="n"/>
      <c r="L584" s="60" t="n"/>
    </row>
    <row r="585" ht="21" customHeight="1">
      <c r="A585" s="59" t="n"/>
      <c r="B585" s="42">
        <f>'設定'!$I$28</f>
        <v/>
      </c>
      <c r="C585" s="60" t="n"/>
      <c r="D585" s="60" t="n"/>
      <c r="E585" s="60" t="n"/>
      <c r="F585" s="60" t="n"/>
      <c r="G585" s="60" t="n"/>
      <c r="H585" s="60" t="n"/>
      <c r="I585" s="60" t="n"/>
      <c r="J585" s="60" t="n"/>
      <c r="K585" s="60" t="n"/>
      <c r="L585" s="60" t="n"/>
    </row>
    <row r="586" ht="21" customHeight="1">
      <c r="A586" s="59" t="n"/>
      <c r="B586" s="42">
        <f>'設定'!$I$29</f>
        <v/>
      </c>
      <c r="C586" s="60" t="n"/>
      <c r="D586" s="60" t="n"/>
      <c r="E586" s="60" t="n"/>
      <c r="F586" s="60" t="n"/>
      <c r="G586" s="60" t="n"/>
      <c r="H586" s="60" t="n"/>
      <c r="I586" s="60" t="n"/>
      <c r="J586" s="60" t="n"/>
      <c r="K586" s="60" t="n"/>
      <c r="L586" s="60" t="n"/>
    </row>
    <row r="587" ht="21" customHeight="1">
      <c r="A587" s="59" t="n"/>
      <c r="B587" s="42">
        <f>'設定'!$I$30</f>
        <v/>
      </c>
      <c r="C587" s="60" t="n"/>
      <c r="D587" s="60" t="n"/>
      <c r="E587" s="60" t="n"/>
      <c r="F587" s="60" t="n"/>
      <c r="G587" s="60" t="n"/>
      <c r="H587" s="60" t="n"/>
      <c r="I587" s="60" t="n"/>
      <c r="J587" s="60" t="n"/>
      <c r="K587" s="60" t="n"/>
      <c r="L587" s="60" t="n"/>
    </row>
    <row r="588" ht="21" customHeight="1">
      <c r="A588" s="59" t="n"/>
      <c r="B588" s="42">
        <f>'設定'!$I$31</f>
        <v/>
      </c>
      <c r="C588" s="60" t="n"/>
      <c r="D588" s="60" t="n"/>
      <c r="E588" s="60" t="n"/>
      <c r="F588" s="60" t="n"/>
      <c r="G588" s="60" t="n"/>
      <c r="H588" s="60" t="n"/>
      <c r="I588" s="60" t="n"/>
      <c r="J588" s="60" t="n"/>
      <c r="K588" s="60" t="n"/>
      <c r="L588" s="60" t="n"/>
    </row>
    <row r="589" ht="21" customHeight="1">
      <c r="A589" s="59" t="n"/>
      <c r="B589" s="42">
        <f>'設定'!$I$32</f>
        <v/>
      </c>
      <c r="C589" s="60" t="n"/>
      <c r="D589" s="60" t="n"/>
      <c r="E589" s="60" t="n"/>
      <c r="F589" s="60" t="n"/>
      <c r="G589" s="60" t="n"/>
      <c r="H589" s="60" t="n"/>
      <c r="I589" s="60" t="n"/>
      <c r="J589" s="60" t="n"/>
      <c r="K589" s="60" t="n"/>
      <c r="L589" s="60" t="n"/>
    </row>
    <row r="590" ht="21" customHeight="1">
      <c r="A590" s="59" t="n"/>
      <c r="B590" s="42">
        <f>'設定'!$I$33</f>
        <v/>
      </c>
      <c r="C590" s="60" t="n"/>
      <c r="D590" s="60" t="n"/>
      <c r="E590" s="60" t="n"/>
      <c r="F590" s="60" t="n"/>
      <c r="G590" s="60" t="n"/>
      <c r="H590" s="60" t="n"/>
      <c r="I590" s="60" t="n"/>
      <c r="J590" s="60" t="n"/>
      <c r="K590" s="60" t="n"/>
      <c r="L590" s="60" t="n"/>
    </row>
    <row r="591" ht="21" customHeight="1">
      <c r="A591" s="59" t="n"/>
      <c r="B591" s="42">
        <f>'設定'!$I$34</f>
        <v/>
      </c>
      <c r="C591" s="60" t="n"/>
      <c r="D591" s="60" t="n"/>
      <c r="E591" s="60" t="n"/>
      <c r="F591" s="60" t="n"/>
      <c r="G591" s="60" t="n"/>
      <c r="H591" s="60" t="n"/>
      <c r="I591" s="60" t="n"/>
      <c r="J591" s="60" t="n"/>
      <c r="K591" s="60" t="n"/>
      <c r="L591" s="60" t="n"/>
    </row>
    <row r="592"/>
    <row r="593" ht="26" customHeight="1">
      <c r="B593" s="53">
        <f>IF('名簿'!B26="","（名簿 22行目：なし）",'名簿'!G26)</f>
        <v/>
      </c>
      <c r="C593" s="4" t="n"/>
      <c r="D593" s="4" t="n"/>
      <c r="E593" s="54" t="inlineStr">
        <is>
          <t>提出状況 ▶</t>
        </is>
      </c>
      <c r="F593" s="38" t="n"/>
      <c r="G593" s="29" t="n"/>
      <c r="H593" s="55" t="inlineStr">
        <is>
          <t>状況：</t>
        </is>
      </c>
      <c r="I593" s="56">
        <f>'名簿'!H26</f>
        <v/>
      </c>
      <c r="J593" s="55" t="inlineStr">
        <is>
          <t>×の数：</t>
        </is>
      </c>
      <c r="K593" s="57">
        <f>'名簿'!I26</f>
        <v/>
      </c>
      <c r="L593" s="58">
        <f>HYPERLINK("#'×入力'!B621","次の人へ ▼")</f>
        <v/>
      </c>
    </row>
    <row r="594" ht="22" customHeight="1">
      <c r="A594" s="30" t="inlineStr">
        <is>
          <t>この日全部 ▶</t>
        </is>
      </c>
      <c r="C594" s="59" t="n"/>
      <c r="D594" s="59" t="n"/>
      <c r="E594" s="59" t="n"/>
      <c r="F594" s="59" t="n"/>
      <c r="G594" s="59" t="n"/>
      <c r="H594" s="59" t="n"/>
      <c r="I594" s="59" t="n"/>
      <c r="J594" s="59" t="n"/>
      <c r="K594" s="59" t="n"/>
      <c r="L594" s="59" t="n"/>
    </row>
    <row r="595" ht="28" customHeight="1">
      <c r="A595" s="33" t="inlineStr">
        <is>
          <t>この時間
全部 ▼</t>
        </is>
      </c>
      <c r="B595" s="34" t="inlineStr"/>
      <c r="C595" s="35">
        <f>'設定'!$E$11</f>
        <v/>
      </c>
      <c r="D595" s="35">
        <f>'設定'!$E$12</f>
        <v/>
      </c>
      <c r="E595" s="35">
        <f>'設定'!$E$13</f>
        <v/>
      </c>
      <c r="F595" s="35">
        <f>'設定'!$E$14</f>
        <v/>
      </c>
      <c r="G595" s="35">
        <f>'設定'!$E$15</f>
        <v/>
      </c>
      <c r="H595" s="35">
        <f>'設定'!$E$16</f>
        <v/>
      </c>
      <c r="I595" s="35">
        <f>'設定'!$E$17</f>
        <v/>
      </c>
      <c r="J595" s="35">
        <f>'設定'!$E$18</f>
        <v/>
      </c>
      <c r="K595" s="35">
        <f>'設定'!$E$19</f>
        <v/>
      </c>
      <c r="L595" s="35">
        <f>'設定'!$E$20</f>
        <v/>
      </c>
    </row>
    <row r="596" ht="21" customHeight="1">
      <c r="A596" s="59" t="n"/>
      <c r="B596" s="42">
        <f>'設定'!$I$11</f>
        <v/>
      </c>
      <c r="C596" s="60" t="n"/>
      <c r="D596" s="60" t="n"/>
      <c r="E596" s="60" t="n"/>
      <c r="F596" s="60" t="n"/>
      <c r="G596" s="60" t="n"/>
      <c r="H596" s="60" t="n"/>
      <c r="I596" s="60" t="n"/>
      <c r="J596" s="60" t="n"/>
      <c r="K596" s="60" t="n"/>
      <c r="L596" s="60" t="n"/>
    </row>
    <row r="597" ht="21" customHeight="1">
      <c r="A597" s="59" t="n"/>
      <c r="B597" s="42">
        <f>'設定'!$I$12</f>
        <v/>
      </c>
      <c r="C597" s="60" t="n"/>
      <c r="D597" s="60" t="n"/>
      <c r="E597" s="60" t="n"/>
      <c r="F597" s="60" t="n"/>
      <c r="G597" s="60" t="n"/>
      <c r="H597" s="60" t="n"/>
      <c r="I597" s="60" t="n"/>
      <c r="J597" s="60" t="n"/>
      <c r="K597" s="60" t="n"/>
      <c r="L597" s="60" t="n"/>
    </row>
    <row r="598" ht="21" customHeight="1">
      <c r="A598" s="59" t="n"/>
      <c r="B598" s="42">
        <f>'設定'!$I$13</f>
        <v/>
      </c>
      <c r="C598" s="60" t="n"/>
      <c r="D598" s="60" t="n"/>
      <c r="E598" s="60" t="n"/>
      <c r="F598" s="60" t="n"/>
      <c r="G598" s="60" t="n"/>
      <c r="H598" s="60" t="n"/>
      <c r="I598" s="60" t="n"/>
      <c r="J598" s="60" t="n"/>
      <c r="K598" s="60" t="n"/>
      <c r="L598" s="60" t="n"/>
    </row>
    <row r="599" ht="21" customHeight="1">
      <c r="A599" s="59" t="n"/>
      <c r="B599" s="42">
        <f>'設定'!$I$14</f>
        <v/>
      </c>
      <c r="C599" s="60" t="n"/>
      <c r="D599" s="60" t="n"/>
      <c r="E599" s="60" t="n"/>
      <c r="F599" s="60" t="n"/>
      <c r="G599" s="60" t="n"/>
      <c r="H599" s="60" t="n"/>
      <c r="I599" s="60" t="n"/>
      <c r="J599" s="60" t="n"/>
      <c r="K599" s="60" t="n"/>
      <c r="L599" s="60" t="n"/>
    </row>
    <row r="600" ht="21" customHeight="1">
      <c r="A600" s="59" t="n"/>
      <c r="B600" s="42">
        <f>'設定'!$I$15</f>
        <v/>
      </c>
      <c r="C600" s="60" t="n"/>
      <c r="D600" s="60" t="n"/>
      <c r="E600" s="60" t="n"/>
      <c r="F600" s="60" t="n"/>
      <c r="G600" s="60" t="n"/>
      <c r="H600" s="60" t="n"/>
      <c r="I600" s="60" t="n"/>
      <c r="J600" s="60" t="n"/>
      <c r="K600" s="60" t="n"/>
      <c r="L600" s="60" t="n"/>
    </row>
    <row r="601" ht="21" customHeight="1">
      <c r="A601" s="59" t="n"/>
      <c r="B601" s="42">
        <f>'設定'!$I$16</f>
        <v/>
      </c>
      <c r="C601" s="60" t="n"/>
      <c r="D601" s="60" t="n"/>
      <c r="E601" s="60" t="n"/>
      <c r="F601" s="60" t="n"/>
      <c r="G601" s="60" t="n"/>
      <c r="H601" s="60" t="n"/>
      <c r="I601" s="60" t="n"/>
      <c r="J601" s="60" t="n"/>
      <c r="K601" s="60" t="n"/>
      <c r="L601" s="60" t="n"/>
    </row>
    <row r="602" ht="21" customHeight="1">
      <c r="A602" s="59" t="n"/>
      <c r="B602" s="42">
        <f>'設定'!$I$17</f>
        <v/>
      </c>
      <c r="C602" s="60" t="n"/>
      <c r="D602" s="60" t="n"/>
      <c r="E602" s="60" t="n"/>
      <c r="F602" s="60" t="n"/>
      <c r="G602" s="60" t="n"/>
      <c r="H602" s="60" t="n"/>
      <c r="I602" s="60" t="n"/>
      <c r="J602" s="60" t="n"/>
      <c r="K602" s="60" t="n"/>
      <c r="L602" s="60" t="n"/>
    </row>
    <row r="603" ht="21" customHeight="1">
      <c r="A603" s="59" t="n"/>
      <c r="B603" s="42">
        <f>'設定'!$I$18</f>
        <v/>
      </c>
      <c r="C603" s="60" t="n"/>
      <c r="D603" s="60" t="n"/>
      <c r="E603" s="60" t="n"/>
      <c r="F603" s="60" t="n"/>
      <c r="G603" s="60" t="n"/>
      <c r="H603" s="60" t="n"/>
      <c r="I603" s="60" t="n"/>
      <c r="J603" s="60" t="n"/>
      <c r="K603" s="60" t="n"/>
      <c r="L603" s="60" t="n"/>
    </row>
    <row r="604" ht="21" customHeight="1">
      <c r="A604" s="59" t="n"/>
      <c r="B604" s="42">
        <f>'設定'!$I$19</f>
        <v/>
      </c>
      <c r="C604" s="60" t="n"/>
      <c r="D604" s="60" t="n"/>
      <c r="E604" s="60" t="n"/>
      <c r="F604" s="60" t="n"/>
      <c r="G604" s="60" t="n"/>
      <c r="H604" s="60" t="n"/>
      <c r="I604" s="60" t="n"/>
      <c r="J604" s="60" t="n"/>
      <c r="K604" s="60" t="n"/>
      <c r="L604" s="60" t="n"/>
    </row>
    <row r="605" ht="21" customHeight="1">
      <c r="A605" s="59" t="n"/>
      <c r="B605" s="42">
        <f>'設定'!$I$20</f>
        <v/>
      </c>
      <c r="C605" s="60" t="n"/>
      <c r="D605" s="60" t="n"/>
      <c r="E605" s="60" t="n"/>
      <c r="F605" s="60" t="n"/>
      <c r="G605" s="60" t="n"/>
      <c r="H605" s="60" t="n"/>
      <c r="I605" s="60" t="n"/>
      <c r="J605" s="60" t="n"/>
      <c r="K605" s="60" t="n"/>
      <c r="L605" s="60" t="n"/>
    </row>
    <row r="606" ht="21" customHeight="1">
      <c r="A606" s="59" t="n"/>
      <c r="B606" s="42">
        <f>'設定'!$I$21</f>
        <v/>
      </c>
      <c r="C606" s="60" t="n"/>
      <c r="D606" s="60" t="n"/>
      <c r="E606" s="60" t="n"/>
      <c r="F606" s="60" t="n"/>
      <c r="G606" s="60" t="n"/>
      <c r="H606" s="60" t="n"/>
      <c r="I606" s="60" t="n"/>
      <c r="J606" s="60" t="n"/>
      <c r="K606" s="60" t="n"/>
      <c r="L606" s="60" t="n"/>
    </row>
    <row r="607" ht="21" customHeight="1">
      <c r="A607" s="59" t="n"/>
      <c r="B607" s="42">
        <f>'設定'!$I$22</f>
        <v/>
      </c>
      <c r="C607" s="60" t="n"/>
      <c r="D607" s="60" t="n"/>
      <c r="E607" s="60" t="n"/>
      <c r="F607" s="60" t="n"/>
      <c r="G607" s="60" t="n"/>
      <c r="H607" s="60" t="n"/>
      <c r="I607" s="60" t="n"/>
      <c r="J607" s="60" t="n"/>
      <c r="K607" s="60" t="n"/>
      <c r="L607" s="60" t="n"/>
    </row>
    <row r="608" ht="21" customHeight="1">
      <c r="A608" s="59" t="n"/>
      <c r="B608" s="42">
        <f>'設定'!$I$23</f>
        <v/>
      </c>
      <c r="C608" s="60" t="n"/>
      <c r="D608" s="60" t="n"/>
      <c r="E608" s="60" t="n"/>
      <c r="F608" s="60" t="n"/>
      <c r="G608" s="60" t="n"/>
      <c r="H608" s="60" t="n"/>
      <c r="I608" s="60" t="n"/>
      <c r="J608" s="60" t="n"/>
      <c r="K608" s="60" t="n"/>
      <c r="L608" s="60" t="n"/>
    </row>
    <row r="609" ht="21" customHeight="1">
      <c r="A609" s="59" t="n"/>
      <c r="B609" s="42">
        <f>'設定'!$I$24</f>
        <v/>
      </c>
      <c r="C609" s="60" t="n"/>
      <c r="D609" s="60" t="n"/>
      <c r="E609" s="60" t="n"/>
      <c r="F609" s="60" t="n"/>
      <c r="G609" s="60" t="n"/>
      <c r="H609" s="60" t="n"/>
      <c r="I609" s="60" t="n"/>
      <c r="J609" s="60" t="n"/>
      <c r="K609" s="60" t="n"/>
      <c r="L609" s="60" t="n"/>
    </row>
    <row r="610" ht="21" customHeight="1">
      <c r="A610" s="59" t="n"/>
      <c r="B610" s="42">
        <f>'設定'!$I$25</f>
        <v/>
      </c>
      <c r="C610" s="60" t="n"/>
      <c r="D610" s="60" t="n"/>
      <c r="E610" s="60" t="n"/>
      <c r="F610" s="60" t="n"/>
      <c r="G610" s="60" t="n"/>
      <c r="H610" s="60" t="n"/>
      <c r="I610" s="60" t="n"/>
      <c r="J610" s="60" t="n"/>
      <c r="K610" s="60" t="n"/>
      <c r="L610" s="60" t="n"/>
    </row>
    <row r="611" ht="21" customHeight="1">
      <c r="A611" s="59" t="n"/>
      <c r="B611" s="42">
        <f>'設定'!$I$26</f>
        <v/>
      </c>
      <c r="C611" s="60" t="n"/>
      <c r="D611" s="60" t="n"/>
      <c r="E611" s="60" t="n"/>
      <c r="F611" s="60" t="n"/>
      <c r="G611" s="60" t="n"/>
      <c r="H611" s="60" t="n"/>
      <c r="I611" s="60" t="n"/>
      <c r="J611" s="60" t="n"/>
      <c r="K611" s="60" t="n"/>
      <c r="L611" s="60" t="n"/>
    </row>
    <row r="612" ht="21" customHeight="1">
      <c r="A612" s="59" t="n"/>
      <c r="B612" s="42">
        <f>'設定'!$I$27</f>
        <v/>
      </c>
      <c r="C612" s="60" t="n"/>
      <c r="D612" s="60" t="n"/>
      <c r="E612" s="60" t="n"/>
      <c r="F612" s="60" t="n"/>
      <c r="G612" s="60" t="n"/>
      <c r="H612" s="60" t="n"/>
      <c r="I612" s="60" t="n"/>
      <c r="J612" s="60" t="n"/>
      <c r="K612" s="60" t="n"/>
      <c r="L612" s="60" t="n"/>
    </row>
    <row r="613" ht="21" customHeight="1">
      <c r="A613" s="59" t="n"/>
      <c r="B613" s="42">
        <f>'設定'!$I$28</f>
        <v/>
      </c>
      <c r="C613" s="60" t="n"/>
      <c r="D613" s="60" t="n"/>
      <c r="E613" s="60" t="n"/>
      <c r="F613" s="60" t="n"/>
      <c r="G613" s="60" t="n"/>
      <c r="H613" s="60" t="n"/>
      <c r="I613" s="60" t="n"/>
      <c r="J613" s="60" t="n"/>
      <c r="K613" s="60" t="n"/>
      <c r="L613" s="60" t="n"/>
    </row>
    <row r="614" ht="21" customHeight="1">
      <c r="A614" s="59" t="n"/>
      <c r="B614" s="42">
        <f>'設定'!$I$29</f>
        <v/>
      </c>
      <c r="C614" s="60" t="n"/>
      <c r="D614" s="60" t="n"/>
      <c r="E614" s="60" t="n"/>
      <c r="F614" s="60" t="n"/>
      <c r="G614" s="60" t="n"/>
      <c r="H614" s="60" t="n"/>
      <c r="I614" s="60" t="n"/>
      <c r="J614" s="60" t="n"/>
      <c r="K614" s="60" t="n"/>
      <c r="L614" s="60" t="n"/>
    </row>
    <row r="615" ht="21" customHeight="1">
      <c r="A615" s="59" t="n"/>
      <c r="B615" s="42">
        <f>'設定'!$I$30</f>
        <v/>
      </c>
      <c r="C615" s="60" t="n"/>
      <c r="D615" s="60" t="n"/>
      <c r="E615" s="60" t="n"/>
      <c r="F615" s="60" t="n"/>
      <c r="G615" s="60" t="n"/>
      <c r="H615" s="60" t="n"/>
      <c r="I615" s="60" t="n"/>
      <c r="J615" s="60" t="n"/>
      <c r="K615" s="60" t="n"/>
      <c r="L615" s="60" t="n"/>
    </row>
    <row r="616" ht="21" customHeight="1">
      <c r="A616" s="59" t="n"/>
      <c r="B616" s="42">
        <f>'設定'!$I$31</f>
        <v/>
      </c>
      <c r="C616" s="60" t="n"/>
      <c r="D616" s="60" t="n"/>
      <c r="E616" s="60" t="n"/>
      <c r="F616" s="60" t="n"/>
      <c r="G616" s="60" t="n"/>
      <c r="H616" s="60" t="n"/>
      <c r="I616" s="60" t="n"/>
      <c r="J616" s="60" t="n"/>
      <c r="K616" s="60" t="n"/>
      <c r="L616" s="60" t="n"/>
    </row>
    <row r="617" ht="21" customHeight="1">
      <c r="A617" s="59" t="n"/>
      <c r="B617" s="42">
        <f>'設定'!$I$32</f>
        <v/>
      </c>
      <c r="C617" s="60" t="n"/>
      <c r="D617" s="60" t="n"/>
      <c r="E617" s="60" t="n"/>
      <c r="F617" s="60" t="n"/>
      <c r="G617" s="60" t="n"/>
      <c r="H617" s="60" t="n"/>
      <c r="I617" s="60" t="n"/>
      <c r="J617" s="60" t="n"/>
      <c r="K617" s="60" t="n"/>
      <c r="L617" s="60" t="n"/>
    </row>
    <row r="618" ht="21" customHeight="1">
      <c r="A618" s="59" t="n"/>
      <c r="B618" s="42">
        <f>'設定'!$I$33</f>
        <v/>
      </c>
      <c r="C618" s="60" t="n"/>
      <c r="D618" s="60" t="n"/>
      <c r="E618" s="60" t="n"/>
      <c r="F618" s="60" t="n"/>
      <c r="G618" s="60" t="n"/>
      <c r="H618" s="60" t="n"/>
      <c r="I618" s="60" t="n"/>
      <c r="J618" s="60" t="n"/>
      <c r="K618" s="60" t="n"/>
      <c r="L618" s="60" t="n"/>
    </row>
    <row r="619" ht="21" customHeight="1">
      <c r="A619" s="59" t="n"/>
      <c r="B619" s="42">
        <f>'設定'!$I$34</f>
        <v/>
      </c>
      <c r="C619" s="60" t="n"/>
      <c r="D619" s="60" t="n"/>
      <c r="E619" s="60" t="n"/>
      <c r="F619" s="60" t="n"/>
      <c r="G619" s="60" t="n"/>
      <c r="H619" s="60" t="n"/>
      <c r="I619" s="60" t="n"/>
      <c r="J619" s="60" t="n"/>
      <c r="K619" s="60" t="n"/>
      <c r="L619" s="60" t="n"/>
    </row>
    <row r="620"/>
    <row r="621" ht="26" customHeight="1">
      <c r="B621" s="53">
        <f>IF('名簿'!B27="","（名簿 23行目：なし）",'名簿'!G27)</f>
        <v/>
      </c>
      <c r="C621" s="4" t="n"/>
      <c r="D621" s="4" t="n"/>
      <c r="E621" s="54" t="inlineStr">
        <is>
          <t>提出状況 ▶</t>
        </is>
      </c>
      <c r="F621" s="38" t="n"/>
      <c r="G621" s="29" t="n"/>
      <c r="H621" s="55" t="inlineStr">
        <is>
          <t>状況：</t>
        </is>
      </c>
      <c r="I621" s="56">
        <f>'名簿'!H27</f>
        <v/>
      </c>
      <c r="J621" s="55" t="inlineStr">
        <is>
          <t>×の数：</t>
        </is>
      </c>
      <c r="K621" s="57">
        <f>'名簿'!I27</f>
        <v/>
      </c>
      <c r="L621" s="58">
        <f>HYPERLINK("#'×入力'!B649","次の人へ ▼")</f>
        <v/>
      </c>
    </row>
    <row r="622" ht="22" customHeight="1">
      <c r="A622" s="30" t="inlineStr">
        <is>
          <t>この日全部 ▶</t>
        </is>
      </c>
      <c r="C622" s="59" t="n"/>
      <c r="D622" s="59" t="n"/>
      <c r="E622" s="59" t="n"/>
      <c r="F622" s="59" t="n"/>
      <c r="G622" s="59" t="n"/>
      <c r="H622" s="59" t="n"/>
      <c r="I622" s="59" t="n"/>
      <c r="J622" s="59" t="n"/>
      <c r="K622" s="59" t="n"/>
      <c r="L622" s="59" t="n"/>
    </row>
    <row r="623" ht="28" customHeight="1">
      <c r="A623" s="33" t="inlineStr">
        <is>
          <t>この時間
全部 ▼</t>
        </is>
      </c>
      <c r="B623" s="34" t="inlineStr"/>
      <c r="C623" s="35">
        <f>'設定'!$E$11</f>
        <v/>
      </c>
      <c r="D623" s="35">
        <f>'設定'!$E$12</f>
        <v/>
      </c>
      <c r="E623" s="35">
        <f>'設定'!$E$13</f>
        <v/>
      </c>
      <c r="F623" s="35">
        <f>'設定'!$E$14</f>
        <v/>
      </c>
      <c r="G623" s="35">
        <f>'設定'!$E$15</f>
        <v/>
      </c>
      <c r="H623" s="35">
        <f>'設定'!$E$16</f>
        <v/>
      </c>
      <c r="I623" s="35">
        <f>'設定'!$E$17</f>
        <v/>
      </c>
      <c r="J623" s="35">
        <f>'設定'!$E$18</f>
        <v/>
      </c>
      <c r="K623" s="35">
        <f>'設定'!$E$19</f>
        <v/>
      </c>
      <c r="L623" s="35">
        <f>'設定'!$E$20</f>
        <v/>
      </c>
    </row>
    <row r="624" ht="21" customHeight="1">
      <c r="A624" s="59" t="n"/>
      <c r="B624" s="42">
        <f>'設定'!$I$11</f>
        <v/>
      </c>
      <c r="C624" s="60" t="n"/>
      <c r="D624" s="60" t="n"/>
      <c r="E624" s="60" t="n"/>
      <c r="F624" s="60" t="n"/>
      <c r="G624" s="60" t="n"/>
      <c r="H624" s="60" t="n"/>
      <c r="I624" s="60" t="n"/>
      <c r="J624" s="60" t="n"/>
      <c r="K624" s="60" t="n"/>
      <c r="L624" s="60" t="n"/>
    </row>
    <row r="625" ht="21" customHeight="1">
      <c r="A625" s="59" t="n"/>
      <c r="B625" s="42">
        <f>'設定'!$I$12</f>
        <v/>
      </c>
      <c r="C625" s="60" t="n"/>
      <c r="D625" s="60" t="n"/>
      <c r="E625" s="60" t="n"/>
      <c r="F625" s="60" t="n"/>
      <c r="G625" s="60" t="n"/>
      <c r="H625" s="60" t="n"/>
      <c r="I625" s="60" t="n"/>
      <c r="J625" s="60" t="n"/>
      <c r="K625" s="60" t="n"/>
      <c r="L625" s="60" t="n"/>
    </row>
    <row r="626" ht="21" customHeight="1">
      <c r="A626" s="59" t="n"/>
      <c r="B626" s="42">
        <f>'設定'!$I$13</f>
        <v/>
      </c>
      <c r="C626" s="60" t="n"/>
      <c r="D626" s="60" t="n"/>
      <c r="E626" s="60" t="n"/>
      <c r="F626" s="60" t="n"/>
      <c r="G626" s="60" t="n"/>
      <c r="H626" s="60" t="n"/>
      <c r="I626" s="60" t="n"/>
      <c r="J626" s="60" t="n"/>
      <c r="K626" s="60" t="n"/>
      <c r="L626" s="60" t="n"/>
    </row>
    <row r="627" ht="21" customHeight="1">
      <c r="A627" s="59" t="n"/>
      <c r="B627" s="42">
        <f>'設定'!$I$14</f>
        <v/>
      </c>
      <c r="C627" s="60" t="n"/>
      <c r="D627" s="60" t="n"/>
      <c r="E627" s="60" t="n"/>
      <c r="F627" s="60" t="n"/>
      <c r="G627" s="60" t="n"/>
      <c r="H627" s="60" t="n"/>
      <c r="I627" s="60" t="n"/>
      <c r="J627" s="60" t="n"/>
      <c r="K627" s="60" t="n"/>
      <c r="L627" s="60" t="n"/>
    </row>
    <row r="628" ht="21" customHeight="1">
      <c r="A628" s="59" t="n"/>
      <c r="B628" s="42">
        <f>'設定'!$I$15</f>
        <v/>
      </c>
      <c r="C628" s="60" t="n"/>
      <c r="D628" s="60" t="n"/>
      <c r="E628" s="60" t="n"/>
      <c r="F628" s="60" t="n"/>
      <c r="G628" s="60" t="n"/>
      <c r="H628" s="60" t="n"/>
      <c r="I628" s="60" t="n"/>
      <c r="J628" s="60" t="n"/>
      <c r="K628" s="60" t="n"/>
      <c r="L628" s="60" t="n"/>
    </row>
    <row r="629" ht="21" customHeight="1">
      <c r="A629" s="59" t="n"/>
      <c r="B629" s="42">
        <f>'設定'!$I$16</f>
        <v/>
      </c>
      <c r="C629" s="60" t="n"/>
      <c r="D629" s="60" t="n"/>
      <c r="E629" s="60" t="n"/>
      <c r="F629" s="60" t="n"/>
      <c r="G629" s="60" t="n"/>
      <c r="H629" s="60" t="n"/>
      <c r="I629" s="60" t="n"/>
      <c r="J629" s="60" t="n"/>
      <c r="K629" s="60" t="n"/>
      <c r="L629" s="60" t="n"/>
    </row>
    <row r="630" ht="21" customHeight="1">
      <c r="A630" s="59" t="n"/>
      <c r="B630" s="42">
        <f>'設定'!$I$17</f>
        <v/>
      </c>
      <c r="C630" s="60" t="n"/>
      <c r="D630" s="60" t="n"/>
      <c r="E630" s="60" t="n"/>
      <c r="F630" s="60" t="n"/>
      <c r="G630" s="60" t="n"/>
      <c r="H630" s="60" t="n"/>
      <c r="I630" s="60" t="n"/>
      <c r="J630" s="60" t="n"/>
      <c r="K630" s="60" t="n"/>
      <c r="L630" s="60" t="n"/>
    </row>
    <row r="631" ht="21" customHeight="1">
      <c r="A631" s="59" t="n"/>
      <c r="B631" s="42">
        <f>'設定'!$I$18</f>
        <v/>
      </c>
      <c r="C631" s="60" t="n"/>
      <c r="D631" s="60" t="n"/>
      <c r="E631" s="60" t="n"/>
      <c r="F631" s="60" t="n"/>
      <c r="G631" s="60" t="n"/>
      <c r="H631" s="60" t="n"/>
      <c r="I631" s="60" t="n"/>
      <c r="J631" s="60" t="n"/>
      <c r="K631" s="60" t="n"/>
      <c r="L631" s="60" t="n"/>
    </row>
    <row r="632" ht="21" customHeight="1">
      <c r="A632" s="59" t="n"/>
      <c r="B632" s="42">
        <f>'設定'!$I$19</f>
        <v/>
      </c>
      <c r="C632" s="60" t="n"/>
      <c r="D632" s="60" t="n"/>
      <c r="E632" s="60" t="n"/>
      <c r="F632" s="60" t="n"/>
      <c r="G632" s="60" t="n"/>
      <c r="H632" s="60" t="n"/>
      <c r="I632" s="60" t="n"/>
      <c r="J632" s="60" t="n"/>
      <c r="K632" s="60" t="n"/>
      <c r="L632" s="60" t="n"/>
    </row>
    <row r="633" ht="21" customHeight="1">
      <c r="A633" s="59" t="n"/>
      <c r="B633" s="42">
        <f>'設定'!$I$20</f>
        <v/>
      </c>
      <c r="C633" s="60" t="n"/>
      <c r="D633" s="60" t="n"/>
      <c r="E633" s="60" t="n"/>
      <c r="F633" s="60" t="n"/>
      <c r="G633" s="60" t="n"/>
      <c r="H633" s="60" t="n"/>
      <c r="I633" s="60" t="n"/>
      <c r="J633" s="60" t="n"/>
      <c r="K633" s="60" t="n"/>
      <c r="L633" s="60" t="n"/>
    </row>
    <row r="634" ht="21" customHeight="1">
      <c r="A634" s="59" t="n"/>
      <c r="B634" s="42">
        <f>'設定'!$I$21</f>
        <v/>
      </c>
      <c r="C634" s="60" t="n"/>
      <c r="D634" s="60" t="n"/>
      <c r="E634" s="60" t="n"/>
      <c r="F634" s="60" t="n"/>
      <c r="G634" s="60" t="n"/>
      <c r="H634" s="60" t="n"/>
      <c r="I634" s="60" t="n"/>
      <c r="J634" s="60" t="n"/>
      <c r="K634" s="60" t="n"/>
      <c r="L634" s="60" t="n"/>
    </row>
    <row r="635" ht="21" customHeight="1">
      <c r="A635" s="59" t="n"/>
      <c r="B635" s="42">
        <f>'設定'!$I$22</f>
        <v/>
      </c>
      <c r="C635" s="60" t="n"/>
      <c r="D635" s="60" t="n"/>
      <c r="E635" s="60" t="n"/>
      <c r="F635" s="60" t="n"/>
      <c r="G635" s="60" t="n"/>
      <c r="H635" s="60" t="n"/>
      <c r="I635" s="60" t="n"/>
      <c r="J635" s="60" t="n"/>
      <c r="K635" s="60" t="n"/>
      <c r="L635" s="60" t="n"/>
    </row>
    <row r="636" ht="21" customHeight="1">
      <c r="A636" s="59" t="n"/>
      <c r="B636" s="42">
        <f>'設定'!$I$23</f>
        <v/>
      </c>
      <c r="C636" s="60" t="n"/>
      <c r="D636" s="60" t="n"/>
      <c r="E636" s="60" t="n"/>
      <c r="F636" s="60" t="n"/>
      <c r="G636" s="60" t="n"/>
      <c r="H636" s="60" t="n"/>
      <c r="I636" s="60" t="n"/>
      <c r="J636" s="60" t="n"/>
      <c r="K636" s="60" t="n"/>
      <c r="L636" s="60" t="n"/>
    </row>
    <row r="637" ht="21" customHeight="1">
      <c r="A637" s="59" t="n"/>
      <c r="B637" s="42">
        <f>'設定'!$I$24</f>
        <v/>
      </c>
      <c r="C637" s="60" t="n"/>
      <c r="D637" s="60" t="n"/>
      <c r="E637" s="60" t="n"/>
      <c r="F637" s="60" t="n"/>
      <c r="G637" s="60" t="n"/>
      <c r="H637" s="60" t="n"/>
      <c r="I637" s="60" t="n"/>
      <c r="J637" s="60" t="n"/>
      <c r="K637" s="60" t="n"/>
      <c r="L637" s="60" t="n"/>
    </row>
    <row r="638" ht="21" customHeight="1">
      <c r="A638" s="59" t="n"/>
      <c r="B638" s="42">
        <f>'設定'!$I$25</f>
        <v/>
      </c>
      <c r="C638" s="60" t="n"/>
      <c r="D638" s="60" t="n"/>
      <c r="E638" s="60" t="n"/>
      <c r="F638" s="60" t="n"/>
      <c r="G638" s="60" t="n"/>
      <c r="H638" s="60" t="n"/>
      <c r="I638" s="60" t="n"/>
      <c r="J638" s="60" t="n"/>
      <c r="K638" s="60" t="n"/>
      <c r="L638" s="60" t="n"/>
    </row>
    <row r="639" ht="21" customHeight="1">
      <c r="A639" s="59" t="n"/>
      <c r="B639" s="42">
        <f>'設定'!$I$26</f>
        <v/>
      </c>
      <c r="C639" s="60" t="n"/>
      <c r="D639" s="60" t="n"/>
      <c r="E639" s="60" t="n"/>
      <c r="F639" s="60" t="n"/>
      <c r="G639" s="60" t="n"/>
      <c r="H639" s="60" t="n"/>
      <c r="I639" s="60" t="n"/>
      <c r="J639" s="60" t="n"/>
      <c r="K639" s="60" t="n"/>
      <c r="L639" s="60" t="n"/>
    </row>
    <row r="640" ht="21" customHeight="1">
      <c r="A640" s="59" t="n"/>
      <c r="B640" s="42">
        <f>'設定'!$I$27</f>
        <v/>
      </c>
      <c r="C640" s="60" t="n"/>
      <c r="D640" s="60" t="n"/>
      <c r="E640" s="60" t="n"/>
      <c r="F640" s="60" t="n"/>
      <c r="G640" s="60" t="n"/>
      <c r="H640" s="60" t="n"/>
      <c r="I640" s="60" t="n"/>
      <c r="J640" s="60" t="n"/>
      <c r="K640" s="60" t="n"/>
      <c r="L640" s="60" t="n"/>
    </row>
    <row r="641" ht="21" customHeight="1">
      <c r="A641" s="59" t="n"/>
      <c r="B641" s="42">
        <f>'設定'!$I$28</f>
        <v/>
      </c>
      <c r="C641" s="60" t="n"/>
      <c r="D641" s="60" t="n"/>
      <c r="E641" s="60" t="n"/>
      <c r="F641" s="60" t="n"/>
      <c r="G641" s="60" t="n"/>
      <c r="H641" s="60" t="n"/>
      <c r="I641" s="60" t="n"/>
      <c r="J641" s="60" t="n"/>
      <c r="K641" s="60" t="n"/>
      <c r="L641" s="60" t="n"/>
    </row>
    <row r="642" ht="21" customHeight="1">
      <c r="A642" s="59" t="n"/>
      <c r="B642" s="42">
        <f>'設定'!$I$29</f>
        <v/>
      </c>
      <c r="C642" s="60" t="n"/>
      <c r="D642" s="60" t="n"/>
      <c r="E642" s="60" t="n"/>
      <c r="F642" s="60" t="n"/>
      <c r="G642" s="60" t="n"/>
      <c r="H642" s="60" t="n"/>
      <c r="I642" s="60" t="n"/>
      <c r="J642" s="60" t="n"/>
      <c r="K642" s="60" t="n"/>
      <c r="L642" s="60" t="n"/>
    </row>
    <row r="643" ht="21" customHeight="1">
      <c r="A643" s="59" t="n"/>
      <c r="B643" s="42">
        <f>'設定'!$I$30</f>
        <v/>
      </c>
      <c r="C643" s="60" t="n"/>
      <c r="D643" s="60" t="n"/>
      <c r="E643" s="60" t="n"/>
      <c r="F643" s="60" t="n"/>
      <c r="G643" s="60" t="n"/>
      <c r="H643" s="60" t="n"/>
      <c r="I643" s="60" t="n"/>
      <c r="J643" s="60" t="n"/>
      <c r="K643" s="60" t="n"/>
      <c r="L643" s="60" t="n"/>
    </row>
    <row r="644" ht="21" customHeight="1">
      <c r="A644" s="59" t="n"/>
      <c r="B644" s="42">
        <f>'設定'!$I$31</f>
        <v/>
      </c>
      <c r="C644" s="60" t="n"/>
      <c r="D644" s="60" t="n"/>
      <c r="E644" s="60" t="n"/>
      <c r="F644" s="60" t="n"/>
      <c r="G644" s="60" t="n"/>
      <c r="H644" s="60" t="n"/>
      <c r="I644" s="60" t="n"/>
      <c r="J644" s="60" t="n"/>
      <c r="K644" s="60" t="n"/>
      <c r="L644" s="60" t="n"/>
    </row>
    <row r="645" ht="21" customHeight="1">
      <c r="A645" s="59" t="n"/>
      <c r="B645" s="42">
        <f>'設定'!$I$32</f>
        <v/>
      </c>
      <c r="C645" s="60" t="n"/>
      <c r="D645" s="60" t="n"/>
      <c r="E645" s="60" t="n"/>
      <c r="F645" s="60" t="n"/>
      <c r="G645" s="60" t="n"/>
      <c r="H645" s="60" t="n"/>
      <c r="I645" s="60" t="n"/>
      <c r="J645" s="60" t="n"/>
      <c r="K645" s="60" t="n"/>
      <c r="L645" s="60" t="n"/>
    </row>
    <row r="646" ht="21" customHeight="1">
      <c r="A646" s="59" t="n"/>
      <c r="B646" s="42">
        <f>'設定'!$I$33</f>
        <v/>
      </c>
      <c r="C646" s="60" t="n"/>
      <c r="D646" s="60" t="n"/>
      <c r="E646" s="60" t="n"/>
      <c r="F646" s="60" t="n"/>
      <c r="G646" s="60" t="n"/>
      <c r="H646" s="60" t="n"/>
      <c r="I646" s="60" t="n"/>
      <c r="J646" s="60" t="n"/>
      <c r="K646" s="60" t="n"/>
      <c r="L646" s="60" t="n"/>
    </row>
    <row r="647" ht="21" customHeight="1">
      <c r="A647" s="59" t="n"/>
      <c r="B647" s="42">
        <f>'設定'!$I$34</f>
        <v/>
      </c>
      <c r="C647" s="60" t="n"/>
      <c r="D647" s="60" t="n"/>
      <c r="E647" s="60" t="n"/>
      <c r="F647" s="60" t="n"/>
      <c r="G647" s="60" t="n"/>
      <c r="H647" s="60" t="n"/>
      <c r="I647" s="60" t="n"/>
      <c r="J647" s="60" t="n"/>
      <c r="K647" s="60" t="n"/>
      <c r="L647" s="60" t="n"/>
    </row>
    <row r="648"/>
    <row r="649" ht="26" customHeight="1">
      <c r="B649" s="53">
        <f>IF('名簿'!B28="","（名簿 24行目：なし）",'名簿'!G28)</f>
        <v/>
      </c>
      <c r="C649" s="4" t="n"/>
      <c r="D649" s="4" t="n"/>
      <c r="E649" s="54" t="inlineStr">
        <is>
          <t>提出状況 ▶</t>
        </is>
      </c>
      <c r="F649" s="38" t="n"/>
      <c r="G649" s="29" t="n"/>
      <c r="H649" s="55" t="inlineStr">
        <is>
          <t>状況：</t>
        </is>
      </c>
      <c r="I649" s="56">
        <f>'名簿'!H28</f>
        <v/>
      </c>
      <c r="J649" s="55" t="inlineStr">
        <is>
          <t>×の数：</t>
        </is>
      </c>
      <c r="K649" s="57">
        <f>'名簿'!I28</f>
        <v/>
      </c>
      <c r="L649" s="58">
        <f>HYPERLINK("#'×入力'!B677","次の人へ ▼")</f>
        <v/>
      </c>
    </row>
    <row r="650" ht="22" customHeight="1">
      <c r="A650" s="30" t="inlineStr">
        <is>
          <t>この日全部 ▶</t>
        </is>
      </c>
      <c r="C650" s="59" t="n"/>
      <c r="D650" s="59" t="n"/>
      <c r="E650" s="59" t="n"/>
      <c r="F650" s="59" t="n"/>
      <c r="G650" s="59" t="n"/>
      <c r="H650" s="59" t="n"/>
      <c r="I650" s="59" t="n"/>
      <c r="J650" s="59" t="n"/>
      <c r="K650" s="59" t="n"/>
      <c r="L650" s="59" t="n"/>
    </row>
    <row r="651" ht="28" customHeight="1">
      <c r="A651" s="33" t="inlineStr">
        <is>
          <t>この時間
全部 ▼</t>
        </is>
      </c>
      <c r="B651" s="34" t="inlineStr"/>
      <c r="C651" s="35">
        <f>'設定'!$E$11</f>
        <v/>
      </c>
      <c r="D651" s="35">
        <f>'設定'!$E$12</f>
        <v/>
      </c>
      <c r="E651" s="35">
        <f>'設定'!$E$13</f>
        <v/>
      </c>
      <c r="F651" s="35">
        <f>'設定'!$E$14</f>
        <v/>
      </c>
      <c r="G651" s="35">
        <f>'設定'!$E$15</f>
        <v/>
      </c>
      <c r="H651" s="35">
        <f>'設定'!$E$16</f>
        <v/>
      </c>
      <c r="I651" s="35">
        <f>'設定'!$E$17</f>
        <v/>
      </c>
      <c r="J651" s="35">
        <f>'設定'!$E$18</f>
        <v/>
      </c>
      <c r="K651" s="35">
        <f>'設定'!$E$19</f>
        <v/>
      </c>
      <c r="L651" s="35">
        <f>'設定'!$E$20</f>
        <v/>
      </c>
    </row>
    <row r="652" ht="21" customHeight="1">
      <c r="A652" s="59" t="n"/>
      <c r="B652" s="42">
        <f>'設定'!$I$11</f>
        <v/>
      </c>
      <c r="C652" s="60" t="n"/>
      <c r="D652" s="60" t="n"/>
      <c r="E652" s="60" t="n"/>
      <c r="F652" s="60" t="n"/>
      <c r="G652" s="60" t="n"/>
      <c r="H652" s="60" t="n"/>
      <c r="I652" s="60" t="n"/>
      <c r="J652" s="60" t="n"/>
      <c r="K652" s="60" t="n"/>
      <c r="L652" s="60" t="n"/>
    </row>
    <row r="653" ht="21" customHeight="1">
      <c r="A653" s="59" t="n"/>
      <c r="B653" s="42">
        <f>'設定'!$I$12</f>
        <v/>
      </c>
      <c r="C653" s="60" t="n"/>
      <c r="D653" s="60" t="n"/>
      <c r="E653" s="60" t="n"/>
      <c r="F653" s="60" t="n"/>
      <c r="G653" s="60" t="n"/>
      <c r="H653" s="60" t="n"/>
      <c r="I653" s="60" t="n"/>
      <c r="J653" s="60" t="n"/>
      <c r="K653" s="60" t="n"/>
      <c r="L653" s="60" t="n"/>
    </row>
    <row r="654" ht="21" customHeight="1">
      <c r="A654" s="59" t="n"/>
      <c r="B654" s="42">
        <f>'設定'!$I$13</f>
        <v/>
      </c>
      <c r="C654" s="60" t="n"/>
      <c r="D654" s="60" t="n"/>
      <c r="E654" s="60" t="n"/>
      <c r="F654" s="60" t="n"/>
      <c r="G654" s="60" t="n"/>
      <c r="H654" s="60" t="n"/>
      <c r="I654" s="60" t="n"/>
      <c r="J654" s="60" t="n"/>
      <c r="K654" s="60" t="n"/>
      <c r="L654" s="60" t="n"/>
    </row>
    <row r="655" ht="21" customHeight="1">
      <c r="A655" s="59" t="n"/>
      <c r="B655" s="42">
        <f>'設定'!$I$14</f>
        <v/>
      </c>
      <c r="C655" s="60" t="n"/>
      <c r="D655" s="60" t="n"/>
      <c r="E655" s="60" t="n"/>
      <c r="F655" s="60" t="n"/>
      <c r="G655" s="60" t="n"/>
      <c r="H655" s="60" t="n"/>
      <c r="I655" s="60" t="n"/>
      <c r="J655" s="60" t="n"/>
      <c r="K655" s="60" t="n"/>
      <c r="L655" s="60" t="n"/>
    </row>
    <row r="656" ht="21" customHeight="1">
      <c r="A656" s="59" t="n"/>
      <c r="B656" s="42">
        <f>'設定'!$I$15</f>
        <v/>
      </c>
      <c r="C656" s="60" t="n"/>
      <c r="D656" s="60" t="n"/>
      <c r="E656" s="60" t="n"/>
      <c r="F656" s="60" t="n"/>
      <c r="G656" s="60" t="n"/>
      <c r="H656" s="60" t="n"/>
      <c r="I656" s="60" t="n"/>
      <c r="J656" s="60" t="n"/>
      <c r="K656" s="60" t="n"/>
      <c r="L656" s="60" t="n"/>
    </row>
    <row r="657" ht="21" customHeight="1">
      <c r="A657" s="59" t="n"/>
      <c r="B657" s="42">
        <f>'設定'!$I$16</f>
        <v/>
      </c>
      <c r="C657" s="60" t="n"/>
      <c r="D657" s="60" t="n"/>
      <c r="E657" s="60" t="n"/>
      <c r="F657" s="60" t="n"/>
      <c r="G657" s="60" t="n"/>
      <c r="H657" s="60" t="n"/>
      <c r="I657" s="60" t="n"/>
      <c r="J657" s="60" t="n"/>
      <c r="K657" s="60" t="n"/>
      <c r="L657" s="60" t="n"/>
    </row>
    <row r="658" ht="21" customHeight="1">
      <c r="A658" s="59" t="n"/>
      <c r="B658" s="42">
        <f>'設定'!$I$17</f>
        <v/>
      </c>
      <c r="C658" s="60" t="n"/>
      <c r="D658" s="60" t="n"/>
      <c r="E658" s="60" t="n"/>
      <c r="F658" s="60" t="n"/>
      <c r="G658" s="60" t="n"/>
      <c r="H658" s="60" t="n"/>
      <c r="I658" s="60" t="n"/>
      <c r="J658" s="60" t="n"/>
      <c r="K658" s="60" t="n"/>
      <c r="L658" s="60" t="n"/>
    </row>
    <row r="659" ht="21" customHeight="1">
      <c r="A659" s="59" t="n"/>
      <c r="B659" s="42">
        <f>'設定'!$I$18</f>
        <v/>
      </c>
      <c r="C659" s="60" t="n"/>
      <c r="D659" s="60" t="n"/>
      <c r="E659" s="60" t="n"/>
      <c r="F659" s="60" t="n"/>
      <c r="G659" s="60" t="n"/>
      <c r="H659" s="60" t="n"/>
      <c r="I659" s="60" t="n"/>
      <c r="J659" s="60" t="n"/>
      <c r="K659" s="60" t="n"/>
      <c r="L659" s="60" t="n"/>
    </row>
    <row r="660" ht="21" customHeight="1">
      <c r="A660" s="59" t="n"/>
      <c r="B660" s="42">
        <f>'設定'!$I$19</f>
        <v/>
      </c>
      <c r="C660" s="60" t="n"/>
      <c r="D660" s="60" t="n"/>
      <c r="E660" s="60" t="n"/>
      <c r="F660" s="60" t="n"/>
      <c r="G660" s="60" t="n"/>
      <c r="H660" s="60" t="n"/>
      <c r="I660" s="60" t="n"/>
      <c r="J660" s="60" t="n"/>
      <c r="K660" s="60" t="n"/>
      <c r="L660" s="60" t="n"/>
    </row>
    <row r="661" ht="21" customHeight="1">
      <c r="A661" s="59" t="n"/>
      <c r="B661" s="42">
        <f>'設定'!$I$20</f>
        <v/>
      </c>
      <c r="C661" s="60" t="n"/>
      <c r="D661" s="60" t="n"/>
      <c r="E661" s="60" t="n"/>
      <c r="F661" s="60" t="n"/>
      <c r="G661" s="60" t="n"/>
      <c r="H661" s="60" t="n"/>
      <c r="I661" s="60" t="n"/>
      <c r="J661" s="60" t="n"/>
      <c r="K661" s="60" t="n"/>
      <c r="L661" s="60" t="n"/>
    </row>
    <row r="662" ht="21" customHeight="1">
      <c r="A662" s="59" t="n"/>
      <c r="B662" s="42">
        <f>'設定'!$I$21</f>
        <v/>
      </c>
      <c r="C662" s="60" t="n"/>
      <c r="D662" s="60" t="n"/>
      <c r="E662" s="60" t="n"/>
      <c r="F662" s="60" t="n"/>
      <c r="G662" s="60" t="n"/>
      <c r="H662" s="60" t="n"/>
      <c r="I662" s="60" t="n"/>
      <c r="J662" s="60" t="n"/>
      <c r="K662" s="60" t="n"/>
      <c r="L662" s="60" t="n"/>
    </row>
    <row r="663" ht="21" customHeight="1">
      <c r="A663" s="59" t="n"/>
      <c r="B663" s="42">
        <f>'設定'!$I$22</f>
        <v/>
      </c>
      <c r="C663" s="60" t="n"/>
      <c r="D663" s="60" t="n"/>
      <c r="E663" s="60" t="n"/>
      <c r="F663" s="60" t="n"/>
      <c r="G663" s="60" t="n"/>
      <c r="H663" s="60" t="n"/>
      <c r="I663" s="60" t="n"/>
      <c r="J663" s="60" t="n"/>
      <c r="K663" s="60" t="n"/>
      <c r="L663" s="60" t="n"/>
    </row>
    <row r="664" ht="21" customHeight="1">
      <c r="A664" s="59" t="n"/>
      <c r="B664" s="42">
        <f>'設定'!$I$23</f>
        <v/>
      </c>
      <c r="C664" s="60" t="n"/>
      <c r="D664" s="60" t="n"/>
      <c r="E664" s="60" t="n"/>
      <c r="F664" s="60" t="n"/>
      <c r="G664" s="60" t="n"/>
      <c r="H664" s="60" t="n"/>
      <c r="I664" s="60" t="n"/>
      <c r="J664" s="60" t="n"/>
      <c r="K664" s="60" t="n"/>
      <c r="L664" s="60" t="n"/>
    </row>
    <row r="665" ht="21" customHeight="1">
      <c r="A665" s="59" t="n"/>
      <c r="B665" s="42">
        <f>'設定'!$I$24</f>
        <v/>
      </c>
      <c r="C665" s="60" t="n"/>
      <c r="D665" s="60" t="n"/>
      <c r="E665" s="60" t="n"/>
      <c r="F665" s="60" t="n"/>
      <c r="G665" s="60" t="n"/>
      <c r="H665" s="60" t="n"/>
      <c r="I665" s="60" t="n"/>
      <c r="J665" s="60" t="n"/>
      <c r="K665" s="60" t="n"/>
      <c r="L665" s="60" t="n"/>
    </row>
    <row r="666" ht="21" customHeight="1">
      <c r="A666" s="59" t="n"/>
      <c r="B666" s="42">
        <f>'設定'!$I$25</f>
        <v/>
      </c>
      <c r="C666" s="60" t="n"/>
      <c r="D666" s="60" t="n"/>
      <c r="E666" s="60" t="n"/>
      <c r="F666" s="60" t="n"/>
      <c r="G666" s="60" t="n"/>
      <c r="H666" s="60" t="n"/>
      <c r="I666" s="60" t="n"/>
      <c r="J666" s="60" t="n"/>
      <c r="K666" s="60" t="n"/>
      <c r="L666" s="60" t="n"/>
    </row>
    <row r="667" ht="21" customHeight="1">
      <c r="A667" s="59" t="n"/>
      <c r="B667" s="42">
        <f>'設定'!$I$26</f>
        <v/>
      </c>
      <c r="C667" s="60" t="n"/>
      <c r="D667" s="60" t="n"/>
      <c r="E667" s="60" t="n"/>
      <c r="F667" s="60" t="n"/>
      <c r="G667" s="60" t="n"/>
      <c r="H667" s="60" t="n"/>
      <c r="I667" s="60" t="n"/>
      <c r="J667" s="60" t="n"/>
      <c r="K667" s="60" t="n"/>
      <c r="L667" s="60" t="n"/>
    </row>
    <row r="668" ht="21" customHeight="1">
      <c r="A668" s="59" t="n"/>
      <c r="B668" s="42">
        <f>'設定'!$I$27</f>
        <v/>
      </c>
      <c r="C668" s="60" t="n"/>
      <c r="D668" s="60" t="n"/>
      <c r="E668" s="60" t="n"/>
      <c r="F668" s="60" t="n"/>
      <c r="G668" s="60" t="n"/>
      <c r="H668" s="60" t="n"/>
      <c r="I668" s="60" t="n"/>
      <c r="J668" s="60" t="n"/>
      <c r="K668" s="60" t="n"/>
      <c r="L668" s="60" t="n"/>
    </row>
    <row r="669" ht="21" customHeight="1">
      <c r="A669" s="59" t="n"/>
      <c r="B669" s="42">
        <f>'設定'!$I$28</f>
        <v/>
      </c>
      <c r="C669" s="60" t="n"/>
      <c r="D669" s="60" t="n"/>
      <c r="E669" s="60" t="n"/>
      <c r="F669" s="60" t="n"/>
      <c r="G669" s="60" t="n"/>
      <c r="H669" s="60" t="n"/>
      <c r="I669" s="60" t="n"/>
      <c r="J669" s="60" t="n"/>
      <c r="K669" s="60" t="n"/>
      <c r="L669" s="60" t="n"/>
    </row>
    <row r="670" ht="21" customHeight="1">
      <c r="A670" s="59" t="n"/>
      <c r="B670" s="42">
        <f>'設定'!$I$29</f>
        <v/>
      </c>
      <c r="C670" s="60" t="n"/>
      <c r="D670" s="60" t="n"/>
      <c r="E670" s="60" t="n"/>
      <c r="F670" s="60" t="n"/>
      <c r="G670" s="60" t="n"/>
      <c r="H670" s="60" t="n"/>
      <c r="I670" s="60" t="n"/>
      <c r="J670" s="60" t="n"/>
      <c r="K670" s="60" t="n"/>
      <c r="L670" s="60" t="n"/>
    </row>
    <row r="671" ht="21" customHeight="1">
      <c r="A671" s="59" t="n"/>
      <c r="B671" s="42">
        <f>'設定'!$I$30</f>
        <v/>
      </c>
      <c r="C671" s="60" t="n"/>
      <c r="D671" s="60" t="n"/>
      <c r="E671" s="60" t="n"/>
      <c r="F671" s="60" t="n"/>
      <c r="G671" s="60" t="n"/>
      <c r="H671" s="60" t="n"/>
      <c r="I671" s="60" t="n"/>
      <c r="J671" s="60" t="n"/>
      <c r="K671" s="60" t="n"/>
      <c r="L671" s="60" t="n"/>
    </row>
    <row r="672" ht="21" customHeight="1">
      <c r="A672" s="59" t="n"/>
      <c r="B672" s="42">
        <f>'設定'!$I$31</f>
        <v/>
      </c>
      <c r="C672" s="60" t="n"/>
      <c r="D672" s="60" t="n"/>
      <c r="E672" s="60" t="n"/>
      <c r="F672" s="60" t="n"/>
      <c r="G672" s="60" t="n"/>
      <c r="H672" s="60" t="n"/>
      <c r="I672" s="60" t="n"/>
      <c r="J672" s="60" t="n"/>
      <c r="K672" s="60" t="n"/>
      <c r="L672" s="60" t="n"/>
    </row>
    <row r="673" ht="21" customHeight="1">
      <c r="A673" s="59" t="n"/>
      <c r="B673" s="42">
        <f>'設定'!$I$32</f>
        <v/>
      </c>
      <c r="C673" s="60" t="n"/>
      <c r="D673" s="60" t="n"/>
      <c r="E673" s="60" t="n"/>
      <c r="F673" s="60" t="n"/>
      <c r="G673" s="60" t="n"/>
      <c r="H673" s="60" t="n"/>
      <c r="I673" s="60" t="n"/>
      <c r="J673" s="60" t="n"/>
      <c r="K673" s="60" t="n"/>
      <c r="L673" s="60" t="n"/>
    </row>
    <row r="674" ht="21" customHeight="1">
      <c r="A674" s="59" t="n"/>
      <c r="B674" s="42">
        <f>'設定'!$I$33</f>
        <v/>
      </c>
      <c r="C674" s="60" t="n"/>
      <c r="D674" s="60" t="n"/>
      <c r="E674" s="60" t="n"/>
      <c r="F674" s="60" t="n"/>
      <c r="G674" s="60" t="n"/>
      <c r="H674" s="60" t="n"/>
      <c r="I674" s="60" t="n"/>
      <c r="J674" s="60" t="n"/>
      <c r="K674" s="60" t="n"/>
      <c r="L674" s="60" t="n"/>
    </row>
    <row r="675" ht="21" customHeight="1">
      <c r="A675" s="59" t="n"/>
      <c r="B675" s="42">
        <f>'設定'!$I$34</f>
        <v/>
      </c>
      <c r="C675" s="60" t="n"/>
      <c r="D675" s="60" t="n"/>
      <c r="E675" s="60" t="n"/>
      <c r="F675" s="60" t="n"/>
      <c r="G675" s="60" t="n"/>
      <c r="H675" s="60" t="n"/>
      <c r="I675" s="60" t="n"/>
      <c r="J675" s="60" t="n"/>
      <c r="K675" s="60" t="n"/>
      <c r="L675" s="60" t="n"/>
    </row>
    <row r="676"/>
    <row r="677" ht="26" customHeight="1">
      <c r="B677" s="53">
        <f>IF('名簿'!B29="","（名簿 25行目：なし）",'名簿'!G29)</f>
        <v/>
      </c>
      <c r="C677" s="4" t="n"/>
      <c r="D677" s="4" t="n"/>
      <c r="E677" s="54" t="inlineStr">
        <is>
          <t>提出状況 ▶</t>
        </is>
      </c>
      <c r="F677" s="38" t="n"/>
      <c r="G677" s="29" t="n"/>
      <c r="H677" s="55" t="inlineStr">
        <is>
          <t>状況：</t>
        </is>
      </c>
      <c r="I677" s="56">
        <f>'名簿'!H29</f>
        <v/>
      </c>
      <c r="J677" s="55" t="inlineStr">
        <is>
          <t>×の数：</t>
        </is>
      </c>
      <c r="K677" s="57">
        <f>'名簿'!I29</f>
        <v/>
      </c>
      <c r="L677" s="58">
        <f>HYPERLINK("#'×入力'!B705","次の人へ ▼")</f>
        <v/>
      </c>
    </row>
    <row r="678" ht="22" customHeight="1">
      <c r="A678" s="30" t="inlineStr">
        <is>
          <t>この日全部 ▶</t>
        </is>
      </c>
      <c r="C678" s="59" t="n"/>
      <c r="D678" s="59" t="n"/>
      <c r="E678" s="59" t="n"/>
      <c r="F678" s="59" t="n"/>
      <c r="G678" s="59" t="n"/>
      <c r="H678" s="59" t="n"/>
      <c r="I678" s="59" t="n"/>
      <c r="J678" s="59" t="n"/>
      <c r="K678" s="59" t="n"/>
      <c r="L678" s="59" t="n"/>
    </row>
    <row r="679" ht="28" customHeight="1">
      <c r="A679" s="33" t="inlineStr">
        <is>
          <t>この時間
全部 ▼</t>
        </is>
      </c>
      <c r="B679" s="34" t="inlineStr"/>
      <c r="C679" s="35">
        <f>'設定'!$E$11</f>
        <v/>
      </c>
      <c r="D679" s="35">
        <f>'設定'!$E$12</f>
        <v/>
      </c>
      <c r="E679" s="35">
        <f>'設定'!$E$13</f>
        <v/>
      </c>
      <c r="F679" s="35">
        <f>'設定'!$E$14</f>
        <v/>
      </c>
      <c r="G679" s="35">
        <f>'設定'!$E$15</f>
        <v/>
      </c>
      <c r="H679" s="35">
        <f>'設定'!$E$16</f>
        <v/>
      </c>
      <c r="I679" s="35">
        <f>'設定'!$E$17</f>
        <v/>
      </c>
      <c r="J679" s="35">
        <f>'設定'!$E$18</f>
        <v/>
      </c>
      <c r="K679" s="35">
        <f>'設定'!$E$19</f>
        <v/>
      </c>
      <c r="L679" s="35">
        <f>'設定'!$E$20</f>
        <v/>
      </c>
    </row>
    <row r="680" ht="21" customHeight="1">
      <c r="A680" s="59" t="n"/>
      <c r="B680" s="42">
        <f>'設定'!$I$11</f>
        <v/>
      </c>
      <c r="C680" s="60" t="n"/>
      <c r="D680" s="60" t="n"/>
      <c r="E680" s="60" t="n"/>
      <c r="F680" s="60" t="n"/>
      <c r="G680" s="60" t="n"/>
      <c r="H680" s="60" t="n"/>
      <c r="I680" s="60" t="n"/>
      <c r="J680" s="60" t="n"/>
      <c r="K680" s="60" t="n"/>
      <c r="L680" s="60" t="n"/>
    </row>
    <row r="681" ht="21" customHeight="1">
      <c r="A681" s="59" t="n"/>
      <c r="B681" s="42">
        <f>'設定'!$I$12</f>
        <v/>
      </c>
      <c r="C681" s="60" t="n"/>
      <c r="D681" s="60" t="n"/>
      <c r="E681" s="60" t="n"/>
      <c r="F681" s="60" t="n"/>
      <c r="G681" s="60" t="n"/>
      <c r="H681" s="60" t="n"/>
      <c r="I681" s="60" t="n"/>
      <c r="J681" s="60" t="n"/>
      <c r="K681" s="60" t="n"/>
      <c r="L681" s="60" t="n"/>
    </row>
    <row r="682" ht="21" customHeight="1">
      <c r="A682" s="59" t="n"/>
      <c r="B682" s="42">
        <f>'設定'!$I$13</f>
        <v/>
      </c>
      <c r="C682" s="60" t="n"/>
      <c r="D682" s="60" t="n"/>
      <c r="E682" s="60" t="n"/>
      <c r="F682" s="60" t="n"/>
      <c r="G682" s="60" t="n"/>
      <c r="H682" s="60" t="n"/>
      <c r="I682" s="60" t="n"/>
      <c r="J682" s="60" t="n"/>
      <c r="K682" s="60" t="n"/>
      <c r="L682" s="60" t="n"/>
    </row>
    <row r="683" ht="21" customHeight="1">
      <c r="A683" s="59" t="n"/>
      <c r="B683" s="42">
        <f>'設定'!$I$14</f>
        <v/>
      </c>
      <c r="C683" s="60" t="n"/>
      <c r="D683" s="60" t="n"/>
      <c r="E683" s="60" t="n"/>
      <c r="F683" s="60" t="n"/>
      <c r="G683" s="60" t="n"/>
      <c r="H683" s="60" t="n"/>
      <c r="I683" s="60" t="n"/>
      <c r="J683" s="60" t="n"/>
      <c r="K683" s="60" t="n"/>
      <c r="L683" s="60" t="n"/>
    </row>
    <row r="684" ht="21" customHeight="1">
      <c r="A684" s="59" t="n"/>
      <c r="B684" s="42">
        <f>'設定'!$I$15</f>
        <v/>
      </c>
      <c r="C684" s="60" t="n"/>
      <c r="D684" s="60" t="n"/>
      <c r="E684" s="60" t="n"/>
      <c r="F684" s="60" t="n"/>
      <c r="G684" s="60" t="n"/>
      <c r="H684" s="60" t="n"/>
      <c r="I684" s="60" t="n"/>
      <c r="J684" s="60" t="n"/>
      <c r="K684" s="60" t="n"/>
      <c r="L684" s="60" t="n"/>
    </row>
    <row r="685" ht="21" customHeight="1">
      <c r="A685" s="59" t="n"/>
      <c r="B685" s="42">
        <f>'設定'!$I$16</f>
        <v/>
      </c>
      <c r="C685" s="60" t="n"/>
      <c r="D685" s="60" t="n"/>
      <c r="E685" s="60" t="n"/>
      <c r="F685" s="60" t="n"/>
      <c r="G685" s="60" t="n"/>
      <c r="H685" s="60" t="n"/>
      <c r="I685" s="60" t="n"/>
      <c r="J685" s="60" t="n"/>
      <c r="K685" s="60" t="n"/>
      <c r="L685" s="60" t="n"/>
    </row>
    <row r="686" ht="21" customHeight="1">
      <c r="A686" s="59" t="n"/>
      <c r="B686" s="42">
        <f>'設定'!$I$17</f>
        <v/>
      </c>
      <c r="C686" s="60" t="n"/>
      <c r="D686" s="60" t="n"/>
      <c r="E686" s="60" t="n"/>
      <c r="F686" s="60" t="n"/>
      <c r="G686" s="60" t="n"/>
      <c r="H686" s="60" t="n"/>
      <c r="I686" s="60" t="n"/>
      <c r="J686" s="60" t="n"/>
      <c r="K686" s="60" t="n"/>
      <c r="L686" s="60" t="n"/>
    </row>
    <row r="687" ht="21" customHeight="1">
      <c r="A687" s="59" t="n"/>
      <c r="B687" s="42">
        <f>'設定'!$I$18</f>
        <v/>
      </c>
      <c r="C687" s="60" t="n"/>
      <c r="D687" s="60" t="n"/>
      <c r="E687" s="60" t="n"/>
      <c r="F687" s="60" t="n"/>
      <c r="G687" s="60" t="n"/>
      <c r="H687" s="60" t="n"/>
      <c r="I687" s="60" t="n"/>
      <c r="J687" s="60" t="n"/>
      <c r="K687" s="60" t="n"/>
      <c r="L687" s="60" t="n"/>
    </row>
    <row r="688" ht="21" customHeight="1">
      <c r="A688" s="59" t="n"/>
      <c r="B688" s="42">
        <f>'設定'!$I$19</f>
        <v/>
      </c>
      <c r="C688" s="60" t="n"/>
      <c r="D688" s="60" t="n"/>
      <c r="E688" s="60" t="n"/>
      <c r="F688" s="60" t="n"/>
      <c r="G688" s="60" t="n"/>
      <c r="H688" s="60" t="n"/>
      <c r="I688" s="60" t="n"/>
      <c r="J688" s="60" t="n"/>
      <c r="K688" s="60" t="n"/>
      <c r="L688" s="60" t="n"/>
    </row>
    <row r="689" ht="21" customHeight="1">
      <c r="A689" s="59" t="n"/>
      <c r="B689" s="42">
        <f>'設定'!$I$20</f>
        <v/>
      </c>
      <c r="C689" s="60" t="n"/>
      <c r="D689" s="60" t="n"/>
      <c r="E689" s="60" t="n"/>
      <c r="F689" s="60" t="n"/>
      <c r="G689" s="60" t="n"/>
      <c r="H689" s="60" t="n"/>
      <c r="I689" s="60" t="n"/>
      <c r="J689" s="60" t="n"/>
      <c r="K689" s="60" t="n"/>
      <c r="L689" s="60" t="n"/>
    </row>
    <row r="690" ht="21" customHeight="1">
      <c r="A690" s="59" t="n"/>
      <c r="B690" s="42">
        <f>'設定'!$I$21</f>
        <v/>
      </c>
      <c r="C690" s="60" t="n"/>
      <c r="D690" s="60" t="n"/>
      <c r="E690" s="60" t="n"/>
      <c r="F690" s="60" t="n"/>
      <c r="G690" s="60" t="n"/>
      <c r="H690" s="60" t="n"/>
      <c r="I690" s="60" t="n"/>
      <c r="J690" s="60" t="n"/>
      <c r="K690" s="60" t="n"/>
      <c r="L690" s="60" t="n"/>
    </row>
    <row r="691" ht="21" customHeight="1">
      <c r="A691" s="59" t="n"/>
      <c r="B691" s="42">
        <f>'設定'!$I$22</f>
        <v/>
      </c>
      <c r="C691" s="60" t="n"/>
      <c r="D691" s="60" t="n"/>
      <c r="E691" s="60" t="n"/>
      <c r="F691" s="60" t="n"/>
      <c r="G691" s="60" t="n"/>
      <c r="H691" s="60" t="n"/>
      <c r="I691" s="60" t="n"/>
      <c r="J691" s="60" t="n"/>
      <c r="K691" s="60" t="n"/>
      <c r="L691" s="60" t="n"/>
    </row>
    <row r="692" ht="21" customHeight="1">
      <c r="A692" s="59" t="n"/>
      <c r="B692" s="42">
        <f>'設定'!$I$23</f>
        <v/>
      </c>
      <c r="C692" s="60" t="n"/>
      <c r="D692" s="60" t="n"/>
      <c r="E692" s="60" t="n"/>
      <c r="F692" s="60" t="n"/>
      <c r="G692" s="60" t="n"/>
      <c r="H692" s="60" t="n"/>
      <c r="I692" s="60" t="n"/>
      <c r="J692" s="60" t="n"/>
      <c r="K692" s="60" t="n"/>
      <c r="L692" s="60" t="n"/>
    </row>
    <row r="693" ht="21" customHeight="1">
      <c r="A693" s="59" t="n"/>
      <c r="B693" s="42">
        <f>'設定'!$I$24</f>
        <v/>
      </c>
      <c r="C693" s="60" t="n"/>
      <c r="D693" s="60" t="n"/>
      <c r="E693" s="60" t="n"/>
      <c r="F693" s="60" t="n"/>
      <c r="G693" s="60" t="n"/>
      <c r="H693" s="60" t="n"/>
      <c r="I693" s="60" t="n"/>
      <c r="J693" s="60" t="n"/>
      <c r="K693" s="60" t="n"/>
      <c r="L693" s="60" t="n"/>
    </row>
    <row r="694" ht="21" customHeight="1">
      <c r="A694" s="59" t="n"/>
      <c r="B694" s="42">
        <f>'設定'!$I$25</f>
        <v/>
      </c>
      <c r="C694" s="60" t="n"/>
      <c r="D694" s="60" t="n"/>
      <c r="E694" s="60" t="n"/>
      <c r="F694" s="60" t="n"/>
      <c r="G694" s="60" t="n"/>
      <c r="H694" s="60" t="n"/>
      <c r="I694" s="60" t="n"/>
      <c r="J694" s="60" t="n"/>
      <c r="K694" s="60" t="n"/>
      <c r="L694" s="60" t="n"/>
    </row>
    <row r="695" ht="21" customHeight="1">
      <c r="A695" s="59" t="n"/>
      <c r="B695" s="42">
        <f>'設定'!$I$26</f>
        <v/>
      </c>
      <c r="C695" s="60" t="n"/>
      <c r="D695" s="60" t="n"/>
      <c r="E695" s="60" t="n"/>
      <c r="F695" s="60" t="n"/>
      <c r="G695" s="60" t="n"/>
      <c r="H695" s="60" t="n"/>
      <c r="I695" s="60" t="n"/>
      <c r="J695" s="60" t="n"/>
      <c r="K695" s="60" t="n"/>
      <c r="L695" s="60" t="n"/>
    </row>
    <row r="696" ht="21" customHeight="1">
      <c r="A696" s="59" t="n"/>
      <c r="B696" s="42">
        <f>'設定'!$I$27</f>
        <v/>
      </c>
      <c r="C696" s="60" t="n"/>
      <c r="D696" s="60" t="n"/>
      <c r="E696" s="60" t="n"/>
      <c r="F696" s="60" t="n"/>
      <c r="G696" s="60" t="n"/>
      <c r="H696" s="60" t="n"/>
      <c r="I696" s="60" t="n"/>
      <c r="J696" s="60" t="n"/>
      <c r="K696" s="60" t="n"/>
      <c r="L696" s="60" t="n"/>
    </row>
    <row r="697" ht="21" customHeight="1">
      <c r="A697" s="59" t="n"/>
      <c r="B697" s="42">
        <f>'設定'!$I$28</f>
        <v/>
      </c>
      <c r="C697" s="60" t="n"/>
      <c r="D697" s="60" t="n"/>
      <c r="E697" s="60" t="n"/>
      <c r="F697" s="60" t="n"/>
      <c r="G697" s="60" t="n"/>
      <c r="H697" s="60" t="n"/>
      <c r="I697" s="60" t="n"/>
      <c r="J697" s="60" t="n"/>
      <c r="K697" s="60" t="n"/>
      <c r="L697" s="60" t="n"/>
    </row>
    <row r="698" ht="21" customHeight="1">
      <c r="A698" s="59" t="n"/>
      <c r="B698" s="42">
        <f>'設定'!$I$29</f>
        <v/>
      </c>
      <c r="C698" s="60" t="n"/>
      <c r="D698" s="60" t="n"/>
      <c r="E698" s="60" t="n"/>
      <c r="F698" s="60" t="n"/>
      <c r="G698" s="60" t="n"/>
      <c r="H698" s="60" t="n"/>
      <c r="I698" s="60" t="n"/>
      <c r="J698" s="60" t="n"/>
      <c r="K698" s="60" t="n"/>
      <c r="L698" s="60" t="n"/>
    </row>
    <row r="699" ht="21" customHeight="1">
      <c r="A699" s="59" t="n"/>
      <c r="B699" s="42">
        <f>'設定'!$I$30</f>
        <v/>
      </c>
      <c r="C699" s="60" t="n"/>
      <c r="D699" s="60" t="n"/>
      <c r="E699" s="60" t="n"/>
      <c r="F699" s="60" t="n"/>
      <c r="G699" s="60" t="n"/>
      <c r="H699" s="60" t="n"/>
      <c r="I699" s="60" t="n"/>
      <c r="J699" s="60" t="n"/>
      <c r="K699" s="60" t="n"/>
      <c r="L699" s="60" t="n"/>
    </row>
    <row r="700" ht="21" customHeight="1">
      <c r="A700" s="59" t="n"/>
      <c r="B700" s="42">
        <f>'設定'!$I$31</f>
        <v/>
      </c>
      <c r="C700" s="60" t="n"/>
      <c r="D700" s="60" t="n"/>
      <c r="E700" s="60" t="n"/>
      <c r="F700" s="60" t="n"/>
      <c r="G700" s="60" t="n"/>
      <c r="H700" s="60" t="n"/>
      <c r="I700" s="60" t="n"/>
      <c r="J700" s="60" t="n"/>
      <c r="K700" s="60" t="n"/>
      <c r="L700" s="60" t="n"/>
    </row>
    <row r="701" ht="21" customHeight="1">
      <c r="A701" s="59" t="n"/>
      <c r="B701" s="42">
        <f>'設定'!$I$32</f>
        <v/>
      </c>
      <c r="C701" s="60" t="n"/>
      <c r="D701" s="60" t="n"/>
      <c r="E701" s="60" t="n"/>
      <c r="F701" s="60" t="n"/>
      <c r="G701" s="60" t="n"/>
      <c r="H701" s="60" t="n"/>
      <c r="I701" s="60" t="n"/>
      <c r="J701" s="60" t="n"/>
      <c r="K701" s="60" t="n"/>
      <c r="L701" s="60" t="n"/>
    </row>
    <row r="702" ht="21" customHeight="1">
      <c r="A702" s="59" t="n"/>
      <c r="B702" s="42">
        <f>'設定'!$I$33</f>
        <v/>
      </c>
      <c r="C702" s="60" t="n"/>
      <c r="D702" s="60" t="n"/>
      <c r="E702" s="60" t="n"/>
      <c r="F702" s="60" t="n"/>
      <c r="G702" s="60" t="n"/>
      <c r="H702" s="60" t="n"/>
      <c r="I702" s="60" t="n"/>
      <c r="J702" s="60" t="n"/>
      <c r="K702" s="60" t="n"/>
      <c r="L702" s="60" t="n"/>
    </row>
    <row r="703" ht="21" customHeight="1">
      <c r="A703" s="59" t="n"/>
      <c r="B703" s="42">
        <f>'設定'!$I$34</f>
        <v/>
      </c>
      <c r="C703" s="60" t="n"/>
      <c r="D703" s="60" t="n"/>
      <c r="E703" s="60" t="n"/>
      <c r="F703" s="60" t="n"/>
      <c r="G703" s="60" t="n"/>
      <c r="H703" s="60" t="n"/>
      <c r="I703" s="60" t="n"/>
      <c r="J703" s="60" t="n"/>
      <c r="K703" s="60" t="n"/>
      <c r="L703" s="60" t="n"/>
    </row>
    <row r="704"/>
    <row r="705" ht="26" customHeight="1">
      <c r="B705" s="53">
        <f>IF('名簿'!B30="","（名簿 26行目：なし）",'名簿'!G30)</f>
        <v/>
      </c>
      <c r="C705" s="4" t="n"/>
      <c r="D705" s="4" t="n"/>
      <c r="E705" s="54" t="inlineStr">
        <is>
          <t>提出状況 ▶</t>
        </is>
      </c>
      <c r="F705" s="38" t="n"/>
      <c r="G705" s="29" t="n"/>
      <c r="H705" s="55" t="inlineStr">
        <is>
          <t>状況：</t>
        </is>
      </c>
      <c r="I705" s="56">
        <f>'名簿'!H30</f>
        <v/>
      </c>
      <c r="J705" s="55" t="inlineStr">
        <is>
          <t>×の数：</t>
        </is>
      </c>
      <c r="K705" s="57">
        <f>'名簿'!I30</f>
        <v/>
      </c>
      <c r="L705" s="58">
        <f>HYPERLINK("#'×入力'!B733","次の人へ ▼")</f>
        <v/>
      </c>
    </row>
    <row r="706" ht="22" customHeight="1">
      <c r="A706" s="30" t="inlineStr">
        <is>
          <t>この日全部 ▶</t>
        </is>
      </c>
      <c r="C706" s="59" t="n"/>
      <c r="D706" s="59" t="n"/>
      <c r="E706" s="59" t="n"/>
      <c r="F706" s="59" t="n"/>
      <c r="G706" s="59" t="n"/>
      <c r="H706" s="59" t="n"/>
      <c r="I706" s="59" t="n"/>
      <c r="J706" s="59" t="n"/>
      <c r="K706" s="59" t="n"/>
      <c r="L706" s="59" t="n"/>
    </row>
    <row r="707" ht="28" customHeight="1">
      <c r="A707" s="33" t="inlineStr">
        <is>
          <t>この時間
全部 ▼</t>
        </is>
      </c>
      <c r="B707" s="34" t="inlineStr"/>
      <c r="C707" s="35">
        <f>'設定'!$E$11</f>
        <v/>
      </c>
      <c r="D707" s="35">
        <f>'設定'!$E$12</f>
        <v/>
      </c>
      <c r="E707" s="35">
        <f>'設定'!$E$13</f>
        <v/>
      </c>
      <c r="F707" s="35">
        <f>'設定'!$E$14</f>
        <v/>
      </c>
      <c r="G707" s="35">
        <f>'設定'!$E$15</f>
        <v/>
      </c>
      <c r="H707" s="35">
        <f>'設定'!$E$16</f>
        <v/>
      </c>
      <c r="I707" s="35">
        <f>'設定'!$E$17</f>
        <v/>
      </c>
      <c r="J707" s="35">
        <f>'設定'!$E$18</f>
        <v/>
      </c>
      <c r="K707" s="35">
        <f>'設定'!$E$19</f>
        <v/>
      </c>
      <c r="L707" s="35">
        <f>'設定'!$E$20</f>
        <v/>
      </c>
    </row>
    <row r="708" ht="21" customHeight="1">
      <c r="A708" s="59" t="n"/>
      <c r="B708" s="42">
        <f>'設定'!$I$11</f>
        <v/>
      </c>
      <c r="C708" s="60" t="n"/>
      <c r="D708" s="60" t="n"/>
      <c r="E708" s="60" t="n"/>
      <c r="F708" s="60" t="n"/>
      <c r="G708" s="60" t="n"/>
      <c r="H708" s="60" t="n"/>
      <c r="I708" s="60" t="n"/>
      <c r="J708" s="60" t="n"/>
      <c r="K708" s="60" t="n"/>
      <c r="L708" s="60" t="n"/>
    </row>
    <row r="709" ht="21" customHeight="1">
      <c r="A709" s="59" t="n"/>
      <c r="B709" s="42">
        <f>'設定'!$I$12</f>
        <v/>
      </c>
      <c r="C709" s="60" t="n"/>
      <c r="D709" s="60" t="n"/>
      <c r="E709" s="60" t="n"/>
      <c r="F709" s="60" t="n"/>
      <c r="G709" s="60" t="n"/>
      <c r="H709" s="60" t="n"/>
      <c r="I709" s="60" t="n"/>
      <c r="J709" s="60" t="n"/>
      <c r="K709" s="60" t="n"/>
      <c r="L709" s="60" t="n"/>
    </row>
    <row r="710" ht="21" customHeight="1">
      <c r="A710" s="59" t="n"/>
      <c r="B710" s="42">
        <f>'設定'!$I$13</f>
        <v/>
      </c>
      <c r="C710" s="60" t="n"/>
      <c r="D710" s="60" t="n"/>
      <c r="E710" s="60" t="n"/>
      <c r="F710" s="60" t="n"/>
      <c r="G710" s="60" t="n"/>
      <c r="H710" s="60" t="n"/>
      <c r="I710" s="60" t="n"/>
      <c r="J710" s="60" t="n"/>
      <c r="K710" s="60" t="n"/>
      <c r="L710" s="60" t="n"/>
    </row>
    <row r="711" ht="21" customHeight="1">
      <c r="A711" s="59" t="n"/>
      <c r="B711" s="42">
        <f>'設定'!$I$14</f>
        <v/>
      </c>
      <c r="C711" s="60" t="n"/>
      <c r="D711" s="60" t="n"/>
      <c r="E711" s="60" t="n"/>
      <c r="F711" s="60" t="n"/>
      <c r="G711" s="60" t="n"/>
      <c r="H711" s="60" t="n"/>
      <c r="I711" s="60" t="n"/>
      <c r="J711" s="60" t="n"/>
      <c r="K711" s="60" t="n"/>
      <c r="L711" s="60" t="n"/>
    </row>
    <row r="712" ht="21" customHeight="1">
      <c r="A712" s="59" t="n"/>
      <c r="B712" s="42">
        <f>'設定'!$I$15</f>
        <v/>
      </c>
      <c r="C712" s="60" t="n"/>
      <c r="D712" s="60" t="n"/>
      <c r="E712" s="60" t="n"/>
      <c r="F712" s="60" t="n"/>
      <c r="G712" s="60" t="n"/>
      <c r="H712" s="60" t="n"/>
      <c r="I712" s="60" t="n"/>
      <c r="J712" s="60" t="n"/>
      <c r="K712" s="60" t="n"/>
      <c r="L712" s="60" t="n"/>
    </row>
    <row r="713" ht="21" customHeight="1">
      <c r="A713" s="59" t="n"/>
      <c r="B713" s="42">
        <f>'設定'!$I$16</f>
        <v/>
      </c>
      <c r="C713" s="60" t="n"/>
      <c r="D713" s="60" t="n"/>
      <c r="E713" s="60" t="n"/>
      <c r="F713" s="60" t="n"/>
      <c r="G713" s="60" t="n"/>
      <c r="H713" s="60" t="n"/>
      <c r="I713" s="60" t="n"/>
      <c r="J713" s="60" t="n"/>
      <c r="K713" s="60" t="n"/>
      <c r="L713" s="60" t="n"/>
    </row>
    <row r="714" ht="21" customHeight="1">
      <c r="A714" s="59" t="n"/>
      <c r="B714" s="42">
        <f>'設定'!$I$17</f>
        <v/>
      </c>
      <c r="C714" s="60" t="n"/>
      <c r="D714" s="60" t="n"/>
      <c r="E714" s="60" t="n"/>
      <c r="F714" s="60" t="n"/>
      <c r="G714" s="60" t="n"/>
      <c r="H714" s="60" t="n"/>
      <c r="I714" s="60" t="n"/>
      <c r="J714" s="60" t="n"/>
      <c r="K714" s="60" t="n"/>
      <c r="L714" s="60" t="n"/>
    </row>
    <row r="715" ht="21" customHeight="1">
      <c r="A715" s="59" t="n"/>
      <c r="B715" s="42">
        <f>'設定'!$I$18</f>
        <v/>
      </c>
      <c r="C715" s="60" t="n"/>
      <c r="D715" s="60" t="n"/>
      <c r="E715" s="60" t="n"/>
      <c r="F715" s="60" t="n"/>
      <c r="G715" s="60" t="n"/>
      <c r="H715" s="60" t="n"/>
      <c r="I715" s="60" t="n"/>
      <c r="J715" s="60" t="n"/>
      <c r="K715" s="60" t="n"/>
      <c r="L715" s="60" t="n"/>
    </row>
    <row r="716" ht="21" customHeight="1">
      <c r="A716" s="59" t="n"/>
      <c r="B716" s="42">
        <f>'設定'!$I$19</f>
        <v/>
      </c>
      <c r="C716" s="60" t="n"/>
      <c r="D716" s="60" t="n"/>
      <c r="E716" s="60" t="n"/>
      <c r="F716" s="60" t="n"/>
      <c r="G716" s="60" t="n"/>
      <c r="H716" s="60" t="n"/>
      <c r="I716" s="60" t="n"/>
      <c r="J716" s="60" t="n"/>
      <c r="K716" s="60" t="n"/>
      <c r="L716" s="60" t="n"/>
    </row>
    <row r="717" ht="21" customHeight="1">
      <c r="A717" s="59" t="n"/>
      <c r="B717" s="42">
        <f>'設定'!$I$20</f>
        <v/>
      </c>
      <c r="C717" s="60" t="n"/>
      <c r="D717" s="60" t="n"/>
      <c r="E717" s="60" t="n"/>
      <c r="F717" s="60" t="n"/>
      <c r="G717" s="60" t="n"/>
      <c r="H717" s="60" t="n"/>
      <c r="I717" s="60" t="n"/>
      <c r="J717" s="60" t="n"/>
      <c r="K717" s="60" t="n"/>
      <c r="L717" s="60" t="n"/>
    </row>
    <row r="718" ht="21" customHeight="1">
      <c r="A718" s="59" t="n"/>
      <c r="B718" s="42">
        <f>'設定'!$I$21</f>
        <v/>
      </c>
      <c r="C718" s="60" t="n"/>
      <c r="D718" s="60" t="n"/>
      <c r="E718" s="60" t="n"/>
      <c r="F718" s="60" t="n"/>
      <c r="G718" s="60" t="n"/>
      <c r="H718" s="60" t="n"/>
      <c r="I718" s="60" t="n"/>
      <c r="J718" s="60" t="n"/>
      <c r="K718" s="60" t="n"/>
      <c r="L718" s="60" t="n"/>
    </row>
    <row r="719" ht="21" customHeight="1">
      <c r="A719" s="59" t="n"/>
      <c r="B719" s="42">
        <f>'設定'!$I$22</f>
        <v/>
      </c>
      <c r="C719" s="60" t="n"/>
      <c r="D719" s="60" t="n"/>
      <c r="E719" s="60" t="n"/>
      <c r="F719" s="60" t="n"/>
      <c r="G719" s="60" t="n"/>
      <c r="H719" s="60" t="n"/>
      <c r="I719" s="60" t="n"/>
      <c r="J719" s="60" t="n"/>
      <c r="K719" s="60" t="n"/>
      <c r="L719" s="60" t="n"/>
    </row>
    <row r="720" ht="21" customHeight="1">
      <c r="A720" s="59" t="n"/>
      <c r="B720" s="42">
        <f>'設定'!$I$23</f>
        <v/>
      </c>
      <c r="C720" s="60" t="n"/>
      <c r="D720" s="60" t="n"/>
      <c r="E720" s="60" t="n"/>
      <c r="F720" s="60" t="n"/>
      <c r="G720" s="60" t="n"/>
      <c r="H720" s="60" t="n"/>
      <c r="I720" s="60" t="n"/>
      <c r="J720" s="60" t="n"/>
      <c r="K720" s="60" t="n"/>
      <c r="L720" s="60" t="n"/>
    </row>
    <row r="721" ht="21" customHeight="1">
      <c r="A721" s="59" t="n"/>
      <c r="B721" s="42">
        <f>'設定'!$I$24</f>
        <v/>
      </c>
      <c r="C721" s="60" t="n"/>
      <c r="D721" s="60" t="n"/>
      <c r="E721" s="60" t="n"/>
      <c r="F721" s="60" t="n"/>
      <c r="G721" s="60" t="n"/>
      <c r="H721" s="60" t="n"/>
      <c r="I721" s="60" t="n"/>
      <c r="J721" s="60" t="n"/>
      <c r="K721" s="60" t="n"/>
      <c r="L721" s="60" t="n"/>
    </row>
    <row r="722" ht="21" customHeight="1">
      <c r="A722" s="59" t="n"/>
      <c r="B722" s="42">
        <f>'設定'!$I$25</f>
        <v/>
      </c>
      <c r="C722" s="60" t="n"/>
      <c r="D722" s="60" t="n"/>
      <c r="E722" s="60" t="n"/>
      <c r="F722" s="60" t="n"/>
      <c r="G722" s="60" t="n"/>
      <c r="H722" s="60" t="n"/>
      <c r="I722" s="60" t="n"/>
      <c r="J722" s="60" t="n"/>
      <c r="K722" s="60" t="n"/>
      <c r="L722" s="60" t="n"/>
    </row>
    <row r="723" ht="21" customHeight="1">
      <c r="A723" s="59" t="n"/>
      <c r="B723" s="42">
        <f>'設定'!$I$26</f>
        <v/>
      </c>
      <c r="C723" s="60" t="n"/>
      <c r="D723" s="60" t="n"/>
      <c r="E723" s="60" t="n"/>
      <c r="F723" s="60" t="n"/>
      <c r="G723" s="60" t="n"/>
      <c r="H723" s="60" t="n"/>
      <c r="I723" s="60" t="n"/>
      <c r="J723" s="60" t="n"/>
      <c r="K723" s="60" t="n"/>
      <c r="L723" s="60" t="n"/>
    </row>
    <row r="724" ht="21" customHeight="1">
      <c r="A724" s="59" t="n"/>
      <c r="B724" s="42">
        <f>'設定'!$I$27</f>
        <v/>
      </c>
      <c r="C724" s="60" t="n"/>
      <c r="D724" s="60" t="n"/>
      <c r="E724" s="60" t="n"/>
      <c r="F724" s="60" t="n"/>
      <c r="G724" s="60" t="n"/>
      <c r="H724" s="60" t="n"/>
      <c r="I724" s="60" t="n"/>
      <c r="J724" s="60" t="n"/>
      <c r="K724" s="60" t="n"/>
      <c r="L724" s="60" t="n"/>
    </row>
    <row r="725" ht="21" customHeight="1">
      <c r="A725" s="59" t="n"/>
      <c r="B725" s="42">
        <f>'設定'!$I$28</f>
        <v/>
      </c>
      <c r="C725" s="60" t="n"/>
      <c r="D725" s="60" t="n"/>
      <c r="E725" s="60" t="n"/>
      <c r="F725" s="60" t="n"/>
      <c r="G725" s="60" t="n"/>
      <c r="H725" s="60" t="n"/>
      <c r="I725" s="60" t="n"/>
      <c r="J725" s="60" t="n"/>
      <c r="K725" s="60" t="n"/>
      <c r="L725" s="60" t="n"/>
    </row>
    <row r="726" ht="21" customHeight="1">
      <c r="A726" s="59" t="n"/>
      <c r="B726" s="42">
        <f>'設定'!$I$29</f>
        <v/>
      </c>
      <c r="C726" s="60" t="n"/>
      <c r="D726" s="60" t="n"/>
      <c r="E726" s="60" t="n"/>
      <c r="F726" s="60" t="n"/>
      <c r="G726" s="60" t="n"/>
      <c r="H726" s="60" t="n"/>
      <c r="I726" s="60" t="n"/>
      <c r="J726" s="60" t="n"/>
      <c r="K726" s="60" t="n"/>
      <c r="L726" s="60" t="n"/>
    </row>
    <row r="727" ht="21" customHeight="1">
      <c r="A727" s="59" t="n"/>
      <c r="B727" s="42">
        <f>'設定'!$I$30</f>
        <v/>
      </c>
      <c r="C727" s="60" t="n"/>
      <c r="D727" s="60" t="n"/>
      <c r="E727" s="60" t="n"/>
      <c r="F727" s="60" t="n"/>
      <c r="G727" s="60" t="n"/>
      <c r="H727" s="60" t="n"/>
      <c r="I727" s="60" t="n"/>
      <c r="J727" s="60" t="n"/>
      <c r="K727" s="60" t="n"/>
      <c r="L727" s="60" t="n"/>
    </row>
    <row r="728" ht="21" customHeight="1">
      <c r="A728" s="59" t="n"/>
      <c r="B728" s="42">
        <f>'設定'!$I$31</f>
        <v/>
      </c>
      <c r="C728" s="60" t="n"/>
      <c r="D728" s="60" t="n"/>
      <c r="E728" s="60" t="n"/>
      <c r="F728" s="60" t="n"/>
      <c r="G728" s="60" t="n"/>
      <c r="H728" s="60" t="n"/>
      <c r="I728" s="60" t="n"/>
      <c r="J728" s="60" t="n"/>
      <c r="K728" s="60" t="n"/>
      <c r="L728" s="60" t="n"/>
    </row>
    <row r="729" ht="21" customHeight="1">
      <c r="A729" s="59" t="n"/>
      <c r="B729" s="42">
        <f>'設定'!$I$32</f>
        <v/>
      </c>
      <c r="C729" s="60" t="n"/>
      <c r="D729" s="60" t="n"/>
      <c r="E729" s="60" t="n"/>
      <c r="F729" s="60" t="n"/>
      <c r="G729" s="60" t="n"/>
      <c r="H729" s="60" t="n"/>
      <c r="I729" s="60" t="n"/>
      <c r="J729" s="60" t="n"/>
      <c r="K729" s="60" t="n"/>
      <c r="L729" s="60" t="n"/>
    </row>
    <row r="730" ht="21" customHeight="1">
      <c r="A730" s="59" t="n"/>
      <c r="B730" s="42">
        <f>'設定'!$I$33</f>
        <v/>
      </c>
      <c r="C730" s="60" t="n"/>
      <c r="D730" s="60" t="n"/>
      <c r="E730" s="60" t="n"/>
      <c r="F730" s="60" t="n"/>
      <c r="G730" s="60" t="n"/>
      <c r="H730" s="60" t="n"/>
      <c r="I730" s="60" t="n"/>
      <c r="J730" s="60" t="n"/>
      <c r="K730" s="60" t="n"/>
      <c r="L730" s="60" t="n"/>
    </row>
    <row r="731" ht="21" customHeight="1">
      <c r="A731" s="59" t="n"/>
      <c r="B731" s="42">
        <f>'設定'!$I$34</f>
        <v/>
      </c>
      <c r="C731" s="60" t="n"/>
      <c r="D731" s="60" t="n"/>
      <c r="E731" s="60" t="n"/>
      <c r="F731" s="60" t="n"/>
      <c r="G731" s="60" t="n"/>
      <c r="H731" s="60" t="n"/>
      <c r="I731" s="60" t="n"/>
      <c r="J731" s="60" t="n"/>
      <c r="K731" s="60" t="n"/>
      <c r="L731" s="60" t="n"/>
    </row>
    <row r="732"/>
    <row r="733" ht="26" customHeight="1">
      <c r="B733" s="53">
        <f>IF('名簿'!B31="","（名簿 27行目：なし）",'名簿'!G31)</f>
        <v/>
      </c>
      <c r="C733" s="4" t="n"/>
      <c r="D733" s="4" t="n"/>
      <c r="E733" s="54" t="inlineStr">
        <is>
          <t>提出状況 ▶</t>
        </is>
      </c>
      <c r="F733" s="38" t="n"/>
      <c r="G733" s="29" t="n"/>
      <c r="H733" s="55" t="inlineStr">
        <is>
          <t>状況：</t>
        </is>
      </c>
      <c r="I733" s="56">
        <f>'名簿'!H31</f>
        <v/>
      </c>
      <c r="J733" s="55" t="inlineStr">
        <is>
          <t>×の数：</t>
        </is>
      </c>
      <c r="K733" s="57">
        <f>'名簿'!I31</f>
        <v/>
      </c>
      <c r="L733" s="58">
        <f>HYPERLINK("#'×入力'!B761","次の人へ ▼")</f>
        <v/>
      </c>
    </row>
    <row r="734" ht="22" customHeight="1">
      <c r="A734" s="30" t="inlineStr">
        <is>
          <t>この日全部 ▶</t>
        </is>
      </c>
      <c r="C734" s="59" t="n"/>
      <c r="D734" s="59" t="n"/>
      <c r="E734" s="59" t="n"/>
      <c r="F734" s="59" t="n"/>
      <c r="G734" s="59" t="n"/>
      <c r="H734" s="59" t="n"/>
      <c r="I734" s="59" t="n"/>
      <c r="J734" s="59" t="n"/>
      <c r="K734" s="59" t="n"/>
      <c r="L734" s="59" t="n"/>
    </row>
    <row r="735" ht="28" customHeight="1">
      <c r="A735" s="33" t="inlineStr">
        <is>
          <t>この時間
全部 ▼</t>
        </is>
      </c>
      <c r="B735" s="34" t="inlineStr"/>
      <c r="C735" s="35">
        <f>'設定'!$E$11</f>
        <v/>
      </c>
      <c r="D735" s="35">
        <f>'設定'!$E$12</f>
        <v/>
      </c>
      <c r="E735" s="35">
        <f>'設定'!$E$13</f>
        <v/>
      </c>
      <c r="F735" s="35">
        <f>'設定'!$E$14</f>
        <v/>
      </c>
      <c r="G735" s="35">
        <f>'設定'!$E$15</f>
        <v/>
      </c>
      <c r="H735" s="35">
        <f>'設定'!$E$16</f>
        <v/>
      </c>
      <c r="I735" s="35">
        <f>'設定'!$E$17</f>
        <v/>
      </c>
      <c r="J735" s="35">
        <f>'設定'!$E$18</f>
        <v/>
      </c>
      <c r="K735" s="35">
        <f>'設定'!$E$19</f>
        <v/>
      </c>
      <c r="L735" s="35">
        <f>'設定'!$E$20</f>
        <v/>
      </c>
    </row>
    <row r="736" ht="21" customHeight="1">
      <c r="A736" s="59" t="n"/>
      <c r="B736" s="42">
        <f>'設定'!$I$11</f>
        <v/>
      </c>
      <c r="C736" s="60" t="n"/>
      <c r="D736" s="60" t="n"/>
      <c r="E736" s="60" t="n"/>
      <c r="F736" s="60" t="n"/>
      <c r="G736" s="60" t="n"/>
      <c r="H736" s="60" t="n"/>
      <c r="I736" s="60" t="n"/>
      <c r="J736" s="60" t="n"/>
      <c r="K736" s="60" t="n"/>
      <c r="L736" s="60" t="n"/>
    </row>
    <row r="737" ht="21" customHeight="1">
      <c r="A737" s="59" t="n"/>
      <c r="B737" s="42">
        <f>'設定'!$I$12</f>
        <v/>
      </c>
      <c r="C737" s="60" t="n"/>
      <c r="D737" s="60" t="n"/>
      <c r="E737" s="60" t="n"/>
      <c r="F737" s="60" t="n"/>
      <c r="G737" s="60" t="n"/>
      <c r="H737" s="60" t="n"/>
      <c r="I737" s="60" t="n"/>
      <c r="J737" s="60" t="n"/>
      <c r="K737" s="60" t="n"/>
      <c r="L737" s="60" t="n"/>
    </row>
    <row r="738" ht="21" customHeight="1">
      <c r="A738" s="59" t="n"/>
      <c r="B738" s="42">
        <f>'設定'!$I$13</f>
        <v/>
      </c>
      <c r="C738" s="60" t="n"/>
      <c r="D738" s="60" t="n"/>
      <c r="E738" s="60" t="n"/>
      <c r="F738" s="60" t="n"/>
      <c r="G738" s="60" t="n"/>
      <c r="H738" s="60" t="n"/>
      <c r="I738" s="60" t="n"/>
      <c r="J738" s="60" t="n"/>
      <c r="K738" s="60" t="n"/>
      <c r="L738" s="60" t="n"/>
    </row>
    <row r="739" ht="21" customHeight="1">
      <c r="A739" s="59" t="n"/>
      <c r="B739" s="42">
        <f>'設定'!$I$14</f>
        <v/>
      </c>
      <c r="C739" s="60" t="n"/>
      <c r="D739" s="60" t="n"/>
      <c r="E739" s="60" t="n"/>
      <c r="F739" s="60" t="n"/>
      <c r="G739" s="60" t="n"/>
      <c r="H739" s="60" t="n"/>
      <c r="I739" s="60" t="n"/>
      <c r="J739" s="60" t="n"/>
      <c r="K739" s="60" t="n"/>
      <c r="L739" s="60" t="n"/>
    </row>
    <row r="740" ht="21" customHeight="1">
      <c r="A740" s="59" t="n"/>
      <c r="B740" s="42">
        <f>'設定'!$I$15</f>
        <v/>
      </c>
      <c r="C740" s="60" t="n"/>
      <c r="D740" s="60" t="n"/>
      <c r="E740" s="60" t="n"/>
      <c r="F740" s="60" t="n"/>
      <c r="G740" s="60" t="n"/>
      <c r="H740" s="60" t="n"/>
      <c r="I740" s="60" t="n"/>
      <c r="J740" s="60" t="n"/>
      <c r="K740" s="60" t="n"/>
      <c r="L740" s="60" t="n"/>
    </row>
    <row r="741" ht="21" customHeight="1">
      <c r="A741" s="59" t="n"/>
      <c r="B741" s="42">
        <f>'設定'!$I$16</f>
        <v/>
      </c>
      <c r="C741" s="60" t="n"/>
      <c r="D741" s="60" t="n"/>
      <c r="E741" s="60" t="n"/>
      <c r="F741" s="60" t="n"/>
      <c r="G741" s="60" t="n"/>
      <c r="H741" s="60" t="n"/>
      <c r="I741" s="60" t="n"/>
      <c r="J741" s="60" t="n"/>
      <c r="K741" s="60" t="n"/>
      <c r="L741" s="60" t="n"/>
    </row>
    <row r="742" ht="21" customHeight="1">
      <c r="A742" s="59" t="n"/>
      <c r="B742" s="42">
        <f>'設定'!$I$17</f>
        <v/>
      </c>
      <c r="C742" s="60" t="n"/>
      <c r="D742" s="60" t="n"/>
      <c r="E742" s="60" t="n"/>
      <c r="F742" s="60" t="n"/>
      <c r="G742" s="60" t="n"/>
      <c r="H742" s="60" t="n"/>
      <c r="I742" s="60" t="n"/>
      <c r="J742" s="60" t="n"/>
      <c r="K742" s="60" t="n"/>
      <c r="L742" s="60" t="n"/>
    </row>
    <row r="743" ht="21" customHeight="1">
      <c r="A743" s="59" t="n"/>
      <c r="B743" s="42">
        <f>'設定'!$I$18</f>
        <v/>
      </c>
      <c r="C743" s="60" t="n"/>
      <c r="D743" s="60" t="n"/>
      <c r="E743" s="60" t="n"/>
      <c r="F743" s="60" t="n"/>
      <c r="G743" s="60" t="n"/>
      <c r="H743" s="60" t="n"/>
      <c r="I743" s="60" t="n"/>
      <c r="J743" s="60" t="n"/>
      <c r="K743" s="60" t="n"/>
      <c r="L743" s="60" t="n"/>
    </row>
    <row r="744" ht="21" customHeight="1">
      <c r="A744" s="59" t="n"/>
      <c r="B744" s="42">
        <f>'設定'!$I$19</f>
        <v/>
      </c>
      <c r="C744" s="60" t="n"/>
      <c r="D744" s="60" t="n"/>
      <c r="E744" s="60" t="n"/>
      <c r="F744" s="60" t="n"/>
      <c r="G744" s="60" t="n"/>
      <c r="H744" s="60" t="n"/>
      <c r="I744" s="60" t="n"/>
      <c r="J744" s="60" t="n"/>
      <c r="K744" s="60" t="n"/>
      <c r="L744" s="60" t="n"/>
    </row>
    <row r="745" ht="21" customHeight="1">
      <c r="A745" s="59" t="n"/>
      <c r="B745" s="42">
        <f>'設定'!$I$20</f>
        <v/>
      </c>
      <c r="C745" s="60" t="n"/>
      <c r="D745" s="60" t="n"/>
      <c r="E745" s="60" t="n"/>
      <c r="F745" s="60" t="n"/>
      <c r="G745" s="60" t="n"/>
      <c r="H745" s="60" t="n"/>
      <c r="I745" s="60" t="n"/>
      <c r="J745" s="60" t="n"/>
      <c r="K745" s="60" t="n"/>
      <c r="L745" s="60" t="n"/>
    </row>
    <row r="746" ht="21" customHeight="1">
      <c r="A746" s="59" t="n"/>
      <c r="B746" s="42">
        <f>'設定'!$I$21</f>
        <v/>
      </c>
      <c r="C746" s="60" t="n"/>
      <c r="D746" s="60" t="n"/>
      <c r="E746" s="60" t="n"/>
      <c r="F746" s="60" t="n"/>
      <c r="G746" s="60" t="n"/>
      <c r="H746" s="60" t="n"/>
      <c r="I746" s="60" t="n"/>
      <c r="J746" s="60" t="n"/>
      <c r="K746" s="60" t="n"/>
      <c r="L746" s="60" t="n"/>
    </row>
    <row r="747" ht="21" customHeight="1">
      <c r="A747" s="59" t="n"/>
      <c r="B747" s="42">
        <f>'設定'!$I$22</f>
        <v/>
      </c>
      <c r="C747" s="60" t="n"/>
      <c r="D747" s="60" t="n"/>
      <c r="E747" s="60" t="n"/>
      <c r="F747" s="60" t="n"/>
      <c r="G747" s="60" t="n"/>
      <c r="H747" s="60" t="n"/>
      <c r="I747" s="60" t="n"/>
      <c r="J747" s="60" t="n"/>
      <c r="K747" s="60" t="n"/>
      <c r="L747" s="60" t="n"/>
    </row>
    <row r="748" ht="21" customHeight="1">
      <c r="A748" s="59" t="n"/>
      <c r="B748" s="42">
        <f>'設定'!$I$23</f>
        <v/>
      </c>
      <c r="C748" s="60" t="n"/>
      <c r="D748" s="60" t="n"/>
      <c r="E748" s="60" t="n"/>
      <c r="F748" s="60" t="n"/>
      <c r="G748" s="60" t="n"/>
      <c r="H748" s="60" t="n"/>
      <c r="I748" s="60" t="n"/>
      <c r="J748" s="60" t="n"/>
      <c r="K748" s="60" t="n"/>
      <c r="L748" s="60" t="n"/>
    </row>
    <row r="749" ht="21" customHeight="1">
      <c r="A749" s="59" t="n"/>
      <c r="B749" s="42">
        <f>'設定'!$I$24</f>
        <v/>
      </c>
      <c r="C749" s="60" t="n"/>
      <c r="D749" s="60" t="n"/>
      <c r="E749" s="60" t="n"/>
      <c r="F749" s="60" t="n"/>
      <c r="G749" s="60" t="n"/>
      <c r="H749" s="60" t="n"/>
      <c r="I749" s="60" t="n"/>
      <c r="J749" s="60" t="n"/>
      <c r="K749" s="60" t="n"/>
      <c r="L749" s="60" t="n"/>
    </row>
    <row r="750" ht="21" customHeight="1">
      <c r="A750" s="59" t="n"/>
      <c r="B750" s="42">
        <f>'設定'!$I$25</f>
        <v/>
      </c>
      <c r="C750" s="60" t="n"/>
      <c r="D750" s="60" t="n"/>
      <c r="E750" s="60" t="n"/>
      <c r="F750" s="60" t="n"/>
      <c r="G750" s="60" t="n"/>
      <c r="H750" s="60" t="n"/>
      <c r="I750" s="60" t="n"/>
      <c r="J750" s="60" t="n"/>
      <c r="K750" s="60" t="n"/>
      <c r="L750" s="60" t="n"/>
    </row>
    <row r="751" ht="21" customHeight="1">
      <c r="A751" s="59" t="n"/>
      <c r="B751" s="42">
        <f>'設定'!$I$26</f>
        <v/>
      </c>
      <c r="C751" s="60" t="n"/>
      <c r="D751" s="60" t="n"/>
      <c r="E751" s="60" t="n"/>
      <c r="F751" s="60" t="n"/>
      <c r="G751" s="60" t="n"/>
      <c r="H751" s="60" t="n"/>
      <c r="I751" s="60" t="n"/>
      <c r="J751" s="60" t="n"/>
      <c r="K751" s="60" t="n"/>
      <c r="L751" s="60" t="n"/>
    </row>
    <row r="752" ht="21" customHeight="1">
      <c r="A752" s="59" t="n"/>
      <c r="B752" s="42">
        <f>'設定'!$I$27</f>
        <v/>
      </c>
      <c r="C752" s="60" t="n"/>
      <c r="D752" s="60" t="n"/>
      <c r="E752" s="60" t="n"/>
      <c r="F752" s="60" t="n"/>
      <c r="G752" s="60" t="n"/>
      <c r="H752" s="60" t="n"/>
      <c r="I752" s="60" t="n"/>
      <c r="J752" s="60" t="n"/>
      <c r="K752" s="60" t="n"/>
      <c r="L752" s="60" t="n"/>
    </row>
    <row r="753" ht="21" customHeight="1">
      <c r="A753" s="59" t="n"/>
      <c r="B753" s="42">
        <f>'設定'!$I$28</f>
        <v/>
      </c>
      <c r="C753" s="60" t="n"/>
      <c r="D753" s="60" t="n"/>
      <c r="E753" s="60" t="n"/>
      <c r="F753" s="60" t="n"/>
      <c r="G753" s="60" t="n"/>
      <c r="H753" s="60" t="n"/>
      <c r="I753" s="60" t="n"/>
      <c r="J753" s="60" t="n"/>
      <c r="K753" s="60" t="n"/>
      <c r="L753" s="60" t="n"/>
    </row>
    <row r="754" ht="21" customHeight="1">
      <c r="A754" s="59" t="n"/>
      <c r="B754" s="42">
        <f>'設定'!$I$29</f>
        <v/>
      </c>
      <c r="C754" s="60" t="n"/>
      <c r="D754" s="60" t="n"/>
      <c r="E754" s="60" t="n"/>
      <c r="F754" s="60" t="n"/>
      <c r="G754" s="60" t="n"/>
      <c r="H754" s="60" t="n"/>
      <c r="I754" s="60" t="n"/>
      <c r="J754" s="60" t="n"/>
      <c r="K754" s="60" t="n"/>
      <c r="L754" s="60" t="n"/>
    </row>
    <row r="755" ht="21" customHeight="1">
      <c r="A755" s="59" t="n"/>
      <c r="B755" s="42">
        <f>'設定'!$I$30</f>
        <v/>
      </c>
      <c r="C755" s="60" t="n"/>
      <c r="D755" s="60" t="n"/>
      <c r="E755" s="60" t="n"/>
      <c r="F755" s="60" t="n"/>
      <c r="G755" s="60" t="n"/>
      <c r="H755" s="60" t="n"/>
      <c r="I755" s="60" t="n"/>
      <c r="J755" s="60" t="n"/>
      <c r="K755" s="60" t="n"/>
      <c r="L755" s="60" t="n"/>
    </row>
    <row r="756" ht="21" customHeight="1">
      <c r="A756" s="59" t="n"/>
      <c r="B756" s="42">
        <f>'設定'!$I$31</f>
        <v/>
      </c>
      <c r="C756" s="60" t="n"/>
      <c r="D756" s="60" t="n"/>
      <c r="E756" s="60" t="n"/>
      <c r="F756" s="60" t="n"/>
      <c r="G756" s="60" t="n"/>
      <c r="H756" s="60" t="n"/>
      <c r="I756" s="60" t="n"/>
      <c r="J756" s="60" t="n"/>
      <c r="K756" s="60" t="n"/>
      <c r="L756" s="60" t="n"/>
    </row>
    <row r="757" ht="21" customHeight="1">
      <c r="A757" s="59" t="n"/>
      <c r="B757" s="42">
        <f>'設定'!$I$32</f>
        <v/>
      </c>
      <c r="C757" s="60" t="n"/>
      <c r="D757" s="60" t="n"/>
      <c r="E757" s="60" t="n"/>
      <c r="F757" s="60" t="n"/>
      <c r="G757" s="60" t="n"/>
      <c r="H757" s="60" t="n"/>
      <c r="I757" s="60" t="n"/>
      <c r="J757" s="60" t="n"/>
      <c r="K757" s="60" t="n"/>
      <c r="L757" s="60" t="n"/>
    </row>
    <row r="758" ht="21" customHeight="1">
      <c r="A758" s="59" t="n"/>
      <c r="B758" s="42">
        <f>'設定'!$I$33</f>
        <v/>
      </c>
      <c r="C758" s="60" t="n"/>
      <c r="D758" s="60" t="n"/>
      <c r="E758" s="60" t="n"/>
      <c r="F758" s="60" t="n"/>
      <c r="G758" s="60" t="n"/>
      <c r="H758" s="60" t="n"/>
      <c r="I758" s="60" t="n"/>
      <c r="J758" s="60" t="n"/>
      <c r="K758" s="60" t="n"/>
      <c r="L758" s="60" t="n"/>
    </row>
    <row r="759" ht="21" customHeight="1">
      <c r="A759" s="59" t="n"/>
      <c r="B759" s="42">
        <f>'設定'!$I$34</f>
        <v/>
      </c>
      <c r="C759" s="60" t="n"/>
      <c r="D759" s="60" t="n"/>
      <c r="E759" s="60" t="n"/>
      <c r="F759" s="60" t="n"/>
      <c r="G759" s="60" t="n"/>
      <c r="H759" s="60" t="n"/>
      <c r="I759" s="60" t="n"/>
      <c r="J759" s="60" t="n"/>
      <c r="K759" s="60" t="n"/>
      <c r="L759" s="60" t="n"/>
    </row>
    <row r="760"/>
    <row r="761" ht="26" customHeight="1">
      <c r="B761" s="53">
        <f>IF('名簿'!B32="","（名簿 28行目：なし）",'名簿'!G32)</f>
        <v/>
      </c>
      <c r="C761" s="4" t="n"/>
      <c r="D761" s="4" t="n"/>
      <c r="E761" s="54" t="inlineStr">
        <is>
          <t>提出状況 ▶</t>
        </is>
      </c>
      <c r="F761" s="38" t="n"/>
      <c r="G761" s="29" t="n"/>
      <c r="H761" s="55" t="inlineStr">
        <is>
          <t>状況：</t>
        </is>
      </c>
      <c r="I761" s="56">
        <f>'名簿'!H32</f>
        <v/>
      </c>
      <c r="J761" s="55" t="inlineStr">
        <is>
          <t>×の数：</t>
        </is>
      </c>
      <c r="K761" s="57">
        <f>'名簿'!I32</f>
        <v/>
      </c>
      <c r="L761" s="58">
        <f>HYPERLINK("#'×入力'!B789","次の人へ ▼")</f>
        <v/>
      </c>
    </row>
    <row r="762" ht="22" customHeight="1">
      <c r="A762" s="30" t="inlineStr">
        <is>
          <t>この日全部 ▶</t>
        </is>
      </c>
      <c r="C762" s="59" t="n"/>
      <c r="D762" s="59" t="n"/>
      <c r="E762" s="59" t="n"/>
      <c r="F762" s="59" t="n"/>
      <c r="G762" s="59" t="n"/>
      <c r="H762" s="59" t="n"/>
      <c r="I762" s="59" t="n"/>
      <c r="J762" s="59" t="n"/>
      <c r="K762" s="59" t="n"/>
      <c r="L762" s="59" t="n"/>
    </row>
    <row r="763" ht="28" customHeight="1">
      <c r="A763" s="33" t="inlineStr">
        <is>
          <t>この時間
全部 ▼</t>
        </is>
      </c>
      <c r="B763" s="34" t="inlineStr"/>
      <c r="C763" s="35">
        <f>'設定'!$E$11</f>
        <v/>
      </c>
      <c r="D763" s="35">
        <f>'設定'!$E$12</f>
        <v/>
      </c>
      <c r="E763" s="35">
        <f>'設定'!$E$13</f>
        <v/>
      </c>
      <c r="F763" s="35">
        <f>'設定'!$E$14</f>
        <v/>
      </c>
      <c r="G763" s="35">
        <f>'設定'!$E$15</f>
        <v/>
      </c>
      <c r="H763" s="35">
        <f>'設定'!$E$16</f>
        <v/>
      </c>
      <c r="I763" s="35">
        <f>'設定'!$E$17</f>
        <v/>
      </c>
      <c r="J763" s="35">
        <f>'設定'!$E$18</f>
        <v/>
      </c>
      <c r="K763" s="35">
        <f>'設定'!$E$19</f>
        <v/>
      </c>
      <c r="L763" s="35">
        <f>'設定'!$E$20</f>
        <v/>
      </c>
    </row>
    <row r="764" ht="21" customHeight="1">
      <c r="A764" s="59" t="n"/>
      <c r="B764" s="42">
        <f>'設定'!$I$11</f>
        <v/>
      </c>
      <c r="C764" s="60" t="n"/>
      <c r="D764" s="60" t="n"/>
      <c r="E764" s="60" t="n"/>
      <c r="F764" s="60" t="n"/>
      <c r="G764" s="60" t="n"/>
      <c r="H764" s="60" t="n"/>
      <c r="I764" s="60" t="n"/>
      <c r="J764" s="60" t="n"/>
      <c r="K764" s="60" t="n"/>
      <c r="L764" s="60" t="n"/>
    </row>
    <row r="765" ht="21" customHeight="1">
      <c r="A765" s="59" t="n"/>
      <c r="B765" s="42">
        <f>'設定'!$I$12</f>
        <v/>
      </c>
      <c r="C765" s="60" t="n"/>
      <c r="D765" s="60" t="n"/>
      <c r="E765" s="60" t="n"/>
      <c r="F765" s="60" t="n"/>
      <c r="G765" s="60" t="n"/>
      <c r="H765" s="60" t="n"/>
      <c r="I765" s="60" t="n"/>
      <c r="J765" s="60" t="n"/>
      <c r="K765" s="60" t="n"/>
      <c r="L765" s="60" t="n"/>
    </row>
    <row r="766" ht="21" customHeight="1">
      <c r="A766" s="59" t="n"/>
      <c r="B766" s="42">
        <f>'設定'!$I$13</f>
        <v/>
      </c>
      <c r="C766" s="60" t="n"/>
      <c r="D766" s="60" t="n"/>
      <c r="E766" s="60" t="n"/>
      <c r="F766" s="60" t="n"/>
      <c r="G766" s="60" t="n"/>
      <c r="H766" s="60" t="n"/>
      <c r="I766" s="60" t="n"/>
      <c r="J766" s="60" t="n"/>
      <c r="K766" s="60" t="n"/>
      <c r="L766" s="60" t="n"/>
    </row>
    <row r="767" ht="21" customHeight="1">
      <c r="A767" s="59" t="n"/>
      <c r="B767" s="42">
        <f>'設定'!$I$14</f>
        <v/>
      </c>
      <c r="C767" s="60" t="n"/>
      <c r="D767" s="60" t="n"/>
      <c r="E767" s="60" t="n"/>
      <c r="F767" s="60" t="n"/>
      <c r="G767" s="60" t="n"/>
      <c r="H767" s="60" t="n"/>
      <c r="I767" s="60" t="n"/>
      <c r="J767" s="60" t="n"/>
      <c r="K767" s="60" t="n"/>
      <c r="L767" s="60" t="n"/>
    </row>
    <row r="768" ht="21" customHeight="1">
      <c r="A768" s="59" t="n"/>
      <c r="B768" s="42">
        <f>'設定'!$I$15</f>
        <v/>
      </c>
      <c r="C768" s="60" t="n"/>
      <c r="D768" s="60" t="n"/>
      <c r="E768" s="60" t="n"/>
      <c r="F768" s="60" t="n"/>
      <c r="G768" s="60" t="n"/>
      <c r="H768" s="60" t="n"/>
      <c r="I768" s="60" t="n"/>
      <c r="J768" s="60" t="n"/>
      <c r="K768" s="60" t="n"/>
      <c r="L768" s="60" t="n"/>
    </row>
    <row r="769" ht="21" customHeight="1">
      <c r="A769" s="59" t="n"/>
      <c r="B769" s="42">
        <f>'設定'!$I$16</f>
        <v/>
      </c>
      <c r="C769" s="60" t="n"/>
      <c r="D769" s="60" t="n"/>
      <c r="E769" s="60" t="n"/>
      <c r="F769" s="60" t="n"/>
      <c r="G769" s="60" t="n"/>
      <c r="H769" s="60" t="n"/>
      <c r="I769" s="60" t="n"/>
      <c r="J769" s="60" t="n"/>
      <c r="K769" s="60" t="n"/>
      <c r="L769" s="60" t="n"/>
    </row>
    <row r="770" ht="21" customHeight="1">
      <c r="A770" s="59" t="n"/>
      <c r="B770" s="42">
        <f>'設定'!$I$17</f>
        <v/>
      </c>
      <c r="C770" s="60" t="n"/>
      <c r="D770" s="60" t="n"/>
      <c r="E770" s="60" t="n"/>
      <c r="F770" s="60" t="n"/>
      <c r="G770" s="60" t="n"/>
      <c r="H770" s="60" t="n"/>
      <c r="I770" s="60" t="n"/>
      <c r="J770" s="60" t="n"/>
      <c r="K770" s="60" t="n"/>
      <c r="L770" s="60" t="n"/>
    </row>
    <row r="771" ht="21" customHeight="1">
      <c r="A771" s="59" t="n"/>
      <c r="B771" s="42">
        <f>'設定'!$I$18</f>
        <v/>
      </c>
      <c r="C771" s="60" t="n"/>
      <c r="D771" s="60" t="n"/>
      <c r="E771" s="60" t="n"/>
      <c r="F771" s="60" t="n"/>
      <c r="G771" s="60" t="n"/>
      <c r="H771" s="60" t="n"/>
      <c r="I771" s="60" t="n"/>
      <c r="J771" s="60" t="n"/>
      <c r="K771" s="60" t="n"/>
      <c r="L771" s="60" t="n"/>
    </row>
    <row r="772" ht="21" customHeight="1">
      <c r="A772" s="59" t="n"/>
      <c r="B772" s="42">
        <f>'設定'!$I$19</f>
        <v/>
      </c>
      <c r="C772" s="60" t="n"/>
      <c r="D772" s="60" t="n"/>
      <c r="E772" s="60" t="n"/>
      <c r="F772" s="60" t="n"/>
      <c r="G772" s="60" t="n"/>
      <c r="H772" s="60" t="n"/>
      <c r="I772" s="60" t="n"/>
      <c r="J772" s="60" t="n"/>
      <c r="K772" s="60" t="n"/>
      <c r="L772" s="60" t="n"/>
    </row>
    <row r="773" ht="21" customHeight="1">
      <c r="A773" s="59" t="n"/>
      <c r="B773" s="42">
        <f>'設定'!$I$20</f>
        <v/>
      </c>
      <c r="C773" s="60" t="n"/>
      <c r="D773" s="60" t="n"/>
      <c r="E773" s="60" t="n"/>
      <c r="F773" s="60" t="n"/>
      <c r="G773" s="60" t="n"/>
      <c r="H773" s="60" t="n"/>
      <c r="I773" s="60" t="n"/>
      <c r="J773" s="60" t="n"/>
      <c r="K773" s="60" t="n"/>
      <c r="L773" s="60" t="n"/>
    </row>
    <row r="774" ht="21" customHeight="1">
      <c r="A774" s="59" t="n"/>
      <c r="B774" s="42">
        <f>'設定'!$I$21</f>
        <v/>
      </c>
      <c r="C774" s="60" t="n"/>
      <c r="D774" s="60" t="n"/>
      <c r="E774" s="60" t="n"/>
      <c r="F774" s="60" t="n"/>
      <c r="G774" s="60" t="n"/>
      <c r="H774" s="60" t="n"/>
      <c r="I774" s="60" t="n"/>
      <c r="J774" s="60" t="n"/>
      <c r="K774" s="60" t="n"/>
      <c r="L774" s="60" t="n"/>
    </row>
    <row r="775" ht="21" customHeight="1">
      <c r="A775" s="59" t="n"/>
      <c r="B775" s="42">
        <f>'設定'!$I$22</f>
        <v/>
      </c>
      <c r="C775" s="60" t="n"/>
      <c r="D775" s="60" t="n"/>
      <c r="E775" s="60" t="n"/>
      <c r="F775" s="60" t="n"/>
      <c r="G775" s="60" t="n"/>
      <c r="H775" s="60" t="n"/>
      <c r="I775" s="60" t="n"/>
      <c r="J775" s="60" t="n"/>
      <c r="K775" s="60" t="n"/>
      <c r="L775" s="60" t="n"/>
    </row>
    <row r="776" ht="21" customHeight="1">
      <c r="A776" s="59" t="n"/>
      <c r="B776" s="42">
        <f>'設定'!$I$23</f>
        <v/>
      </c>
      <c r="C776" s="60" t="n"/>
      <c r="D776" s="60" t="n"/>
      <c r="E776" s="60" t="n"/>
      <c r="F776" s="60" t="n"/>
      <c r="G776" s="60" t="n"/>
      <c r="H776" s="60" t="n"/>
      <c r="I776" s="60" t="n"/>
      <c r="J776" s="60" t="n"/>
      <c r="K776" s="60" t="n"/>
      <c r="L776" s="60" t="n"/>
    </row>
    <row r="777" ht="21" customHeight="1">
      <c r="A777" s="59" t="n"/>
      <c r="B777" s="42">
        <f>'設定'!$I$24</f>
        <v/>
      </c>
      <c r="C777" s="60" t="n"/>
      <c r="D777" s="60" t="n"/>
      <c r="E777" s="60" t="n"/>
      <c r="F777" s="60" t="n"/>
      <c r="G777" s="60" t="n"/>
      <c r="H777" s="60" t="n"/>
      <c r="I777" s="60" t="n"/>
      <c r="J777" s="60" t="n"/>
      <c r="K777" s="60" t="n"/>
      <c r="L777" s="60" t="n"/>
    </row>
    <row r="778" ht="21" customHeight="1">
      <c r="A778" s="59" t="n"/>
      <c r="B778" s="42">
        <f>'設定'!$I$25</f>
        <v/>
      </c>
      <c r="C778" s="60" t="n"/>
      <c r="D778" s="60" t="n"/>
      <c r="E778" s="60" t="n"/>
      <c r="F778" s="60" t="n"/>
      <c r="G778" s="60" t="n"/>
      <c r="H778" s="60" t="n"/>
      <c r="I778" s="60" t="n"/>
      <c r="J778" s="60" t="n"/>
      <c r="K778" s="60" t="n"/>
      <c r="L778" s="60" t="n"/>
    </row>
    <row r="779" ht="21" customHeight="1">
      <c r="A779" s="59" t="n"/>
      <c r="B779" s="42">
        <f>'設定'!$I$26</f>
        <v/>
      </c>
      <c r="C779" s="60" t="n"/>
      <c r="D779" s="60" t="n"/>
      <c r="E779" s="60" t="n"/>
      <c r="F779" s="60" t="n"/>
      <c r="G779" s="60" t="n"/>
      <c r="H779" s="60" t="n"/>
      <c r="I779" s="60" t="n"/>
      <c r="J779" s="60" t="n"/>
      <c r="K779" s="60" t="n"/>
      <c r="L779" s="60" t="n"/>
    </row>
    <row r="780" ht="21" customHeight="1">
      <c r="A780" s="59" t="n"/>
      <c r="B780" s="42">
        <f>'設定'!$I$27</f>
        <v/>
      </c>
      <c r="C780" s="60" t="n"/>
      <c r="D780" s="60" t="n"/>
      <c r="E780" s="60" t="n"/>
      <c r="F780" s="60" t="n"/>
      <c r="G780" s="60" t="n"/>
      <c r="H780" s="60" t="n"/>
      <c r="I780" s="60" t="n"/>
      <c r="J780" s="60" t="n"/>
      <c r="K780" s="60" t="n"/>
      <c r="L780" s="60" t="n"/>
    </row>
    <row r="781" ht="21" customHeight="1">
      <c r="A781" s="59" t="n"/>
      <c r="B781" s="42">
        <f>'設定'!$I$28</f>
        <v/>
      </c>
      <c r="C781" s="60" t="n"/>
      <c r="D781" s="60" t="n"/>
      <c r="E781" s="60" t="n"/>
      <c r="F781" s="60" t="n"/>
      <c r="G781" s="60" t="n"/>
      <c r="H781" s="60" t="n"/>
      <c r="I781" s="60" t="n"/>
      <c r="J781" s="60" t="n"/>
      <c r="K781" s="60" t="n"/>
      <c r="L781" s="60" t="n"/>
    </row>
    <row r="782" ht="21" customHeight="1">
      <c r="A782" s="59" t="n"/>
      <c r="B782" s="42">
        <f>'設定'!$I$29</f>
        <v/>
      </c>
      <c r="C782" s="60" t="n"/>
      <c r="D782" s="60" t="n"/>
      <c r="E782" s="60" t="n"/>
      <c r="F782" s="60" t="n"/>
      <c r="G782" s="60" t="n"/>
      <c r="H782" s="60" t="n"/>
      <c r="I782" s="60" t="n"/>
      <c r="J782" s="60" t="n"/>
      <c r="K782" s="60" t="n"/>
      <c r="L782" s="60" t="n"/>
    </row>
    <row r="783" ht="21" customHeight="1">
      <c r="A783" s="59" t="n"/>
      <c r="B783" s="42">
        <f>'設定'!$I$30</f>
        <v/>
      </c>
      <c r="C783" s="60" t="n"/>
      <c r="D783" s="60" t="n"/>
      <c r="E783" s="60" t="n"/>
      <c r="F783" s="60" t="n"/>
      <c r="G783" s="60" t="n"/>
      <c r="H783" s="60" t="n"/>
      <c r="I783" s="60" t="n"/>
      <c r="J783" s="60" t="n"/>
      <c r="K783" s="60" t="n"/>
      <c r="L783" s="60" t="n"/>
    </row>
    <row r="784" ht="21" customHeight="1">
      <c r="A784" s="59" t="n"/>
      <c r="B784" s="42">
        <f>'設定'!$I$31</f>
        <v/>
      </c>
      <c r="C784" s="60" t="n"/>
      <c r="D784" s="60" t="n"/>
      <c r="E784" s="60" t="n"/>
      <c r="F784" s="60" t="n"/>
      <c r="G784" s="60" t="n"/>
      <c r="H784" s="60" t="n"/>
      <c r="I784" s="60" t="n"/>
      <c r="J784" s="60" t="n"/>
      <c r="K784" s="60" t="n"/>
      <c r="L784" s="60" t="n"/>
    </row>
    <row r="785" ht="21" customHeight="1">
      <c r="A785" s="59" t="n"/>
      <c r="B785" s="42">
        <f>'設定'!$I$32</f>
        <v/>
      </c>
      <c r="C785" s="60" t="n"/>
      <c r="D785" s="60" t="n"/>
      <c r="E785" s="60" t="n"/>
      <c r="F785" s="60" t="n"/>
      <c r="G785" s="60" t="n"/>
      <c r="H785" s="60" t="n"/>
      <c r="I785" s="60" t="n"/>
      <c r="J785" s="60" t="n"/>
      <c r="K785" s="60" t="n"/>
      <c r="L785" s="60" t="n"/>
    </row>
    <row r="786" ht="21" customHeight="1">
      <c r="A786" s="59" t="n"/>
      <c r="B786" s="42">
        <f>'設定'!$I$33</f>
        <v/>
      </c>
      <c r="C786" s="60" t="n"/>
      <c r="D786" s="60" t="n"/>
      <c r="E786" s="60" t="n"/>
      <c r="F786" s="60" t="n"/>
      <c r="G786" s="60" t="n"/>
      <c r="H786" s="60" t="n"/>
      <c r="I786" s="60" t="n"/>
      <c r="J786" s="60" t="n"/>
      <c r="K786" s="60" t="n"/>
      <c r="L786" s="60" t="n"/>
    </row>
    <row r="787" ht="21" customHeight="1">
      <c r="A787" s="59" t="n"/>
      <c r="B787" s="42">
        <f>'設定'!$I$34</f>
        <v/>
      </c>
      <c r="C787" s="60" t="n"/>
      <c r="D787" s="60" t="n"/>
      <c r="E787" s="60" t="n"/>
      <c r="F787" s="60" t="n"/>
      <c r="G787" s="60" t="n"/>
      <c r="H787" s="60" t="n"/>
      <c r="I787" s="60" t="n"/>
      <c r="J787" s="60" t="n"/>
      <c r="K787" s="60" t="n"/>
      <c r="L787" s="60" t="n"/>
    </row>
    <row r="788"/>
    <row r="789" ht="26" customHeight="1">
      <c r="B789" s="53">
        <f>IF('名簿'!B33="","（名簿 29行目：なし）",'名簿'!G33)</f>
        <v/>
      </c>
      <c r="C789" s="4" t="n"/>
      <c r="D789" s="4" t="n"/>
      <c r="E789" s="54" t="inlineStr">
        <is>
          <t>提出状況 ▶</t>
        </is>
      </c>
      <c r="F789" s="38" t="n"/>
      <c r="G789" s="29" t="n"/>
      <c r="H789" s="55" t="inlineStr">
        <is>
          <t>状況：</t>
        </is>
      </c>
      <c r="I789" s="56">
        <f>'名簿'!H33</f>
        <v/>
      </c>
      <c r="J789" s="55" t="inlineStr">
        <is>
          <t>×の数：</t>
        </is>
      </c>
      <c r="K789" s="57">
        <f>'名簿'!I33</f>
        <v/>
      </c>
      <c r="L789" s="58">
        <f>HYPERLINK("#'×入力'!B817","次の人へ ▼")</f>
        <v/>
      </c>
    </row>
    <row r="790" ht="22" customHeight="1">
      <c r="A790" s="30" t="inlineStr">
        <is>
          <t>この日全部 ▶</t>
        </is>
      </c>
      <c r="C790" s="59" t="n"/>
      <c r="D790" s="59" t="n"/>
      <c r="E790" s="59" t="n"/>
      <c r="F790" s="59" t="n"/>
      <c r="G790" s="59" t="n"/>
      <c r="H790" s="59" t="n"/>
      <c r="I790" s="59" t="n"/>
      <c r="J790" s="59" t="n"/>
      <c r="K790" s="59" t="n"/>
      <c r="L790" s="59" t="n"/>
    </row>
    <row r="791" ht="28" customHeight="1">
      <c r="A791" s="33" t="inlineStr">
        <is>
          <t>この時間
全部 ▼</t>
        </is>
      </c>
      <c r="B791" s="34" t="inlineStr"/>
      <c r="C791" s="35">
        <f>'設定'!$E$11</f>
        <v/>
      </c>
      <c r="D791" s="35">
        <f>'設定'!$E$12</f>
        <v/>
      </c>
      <c r="E791" s="35">
        <f>'設定'!$E$13</f>
        <v/>
      </c>
      <c r="F791" s="35">
        <f>'設定'!$E$14</f>
        <v/>
      </c>
      <c r="G791" s="35">
        <f>'設定'!$E$15</f>
        <v/>
      </c>
      <c r="H791" s="35">
        <f>'設定'!$E$16</f>
        <v/>
      </c>
      <c r="I791" s="35">
        <f>'設定'!$E$17</f>
        <v/>
      </c>
      <c r="J791" s="35">
        <f>'設定'!$E$18</f>
        <v/>
      </c>
      <c r="K791" s="35">
        <f>'設定'!$E$19</f>
        <v/>
      </c>
      <c r="L791" s="35">
        <f>'設定'!$E$20</f>
        <v/>
      </c>
    </row>
    <row r="792" ht="21" customHeight="1">
      <c r="A792" s="59" t="n"/>
      <c r="B792" s="42">
        <f>'設定'!$I$11</f>
        <v/>
      </c>
      <c r="C792" s="60" t="n"/>
      <c r="D792" s="60" t="n"/>
      <c r="E792" s="60" t="n"/>
      <c r="F792" s="60" t="n"/>
      <c r="G792" s="60" t="n"/>
      <c r="H792" s="60" t="n"/>
      <c r="I792" s="60" t="n"/>
      <c r="J792" s="60" t="n"/>
      <c r="K792" s="60" t="n"/>
      <c r="L792" s="60" t="n"/>
    </row>
    <row r="793" ht="21" customHeight="1">
      <c r="A793" s="59" t="n"/>
      <c r="B793" s="42">
        <f>'設定'!$I$12</f>
        <v/>
      </c>
      <c r="C793" s="60" t="n"/>
      <c r="D793" s="60" t="n"/>
      <c r="E793" s="60" t="n"/>
      <c r="F793" s="60" t="n"/>
      <c r="G793" s="60" t="n"/>
      <c r="H793" s="60" t="n"/>
      <c r="I793" s="60" t="n"/>
      <c r="J793" s="60" t="n"/>
      <c r="K793" s="60" t="n"/>
      <c r="L793" s="60" t="n"/>
    </row>
    <row r="794" ht="21" customHeight="1">
      <c r="A794" s="59" t="n"/>
      <c r="B794" s="42">
        <f>'設定'!$I$13</f>
        <v/>
      </c>
      <c r="C794" s="60" t="n"/>
      <c r="D794" s="60" t="n"/>
      <c r="E794" s="60" t="n"/>
      <c r="F794" s="60" t="n"/>
      <c r="G794" s="60" t="n"/>
      <c r="H794" s="60" t="n"/>
      <c r="I794" s="60" t="n"/>
      <c r="J794" s="60" t="n"/>
      <c r="K794" s="60" t="n"/>
      <c r="L794" s="60" t="n"/>
    </row>
    <row r="795" ht="21" customHeight="1">
      <c r="A795" s="59" t="n"/>
      <c r="B795" s="42">
        <f>'設定'!$I$14</f>
        <v/>
      </c>
      <c r="C795" s="60" t="n"/>
      <c r="D795" s="60" t="n"/>
      <c r="E795" s="60" t="n"/>
      <c r="F795" s="60" t="n"/>
      <c r="G795" s="60" t="n"/>
      <c r="H795" s="60" t="n"/>
      <c r="I795" s="60" t="n"/>
      <c r="J795" s="60" t="n"/>
      <c r="K795" s="60" t="n"/>
      <c r="L795" s="60" t="n"/>
    </row>
    <row r="796" ht="21" customHeight="1">
      <c r="A796" s="59" t="n"/>
      <c r="B796" s="42">
        <f>'設定'!$I$15</f>
        <v/>
      </c>
      <c r="C796" s="60" t="n"/>
      <c r="D796" s="60" t="n"/>
      <c r="E796" s="60" t="n"/>
      <c r="F796" s="60" t="n"/>
      <c r="G796" s="60" t="n"/>
      <c r="H796" s="60" t="n"/>
      <c r="I796" s="60" t="n"/>
      <c r="J796" s="60" t="n"/>
      <c r="K796" s="60" t="n"/>
      <c r="L796" s="60" t="n"/>
    </row>
    <row r="797" ht="21" customHeight="1">
      <c r="A797" s="59" t="n"/>
      <c r="B797" s="42">
        <f>'設定'!$I$16</f>
        <v/>
      </c>
      <c r="C797" s="60" t="n"/>
      <c r="D797" s="60" t="n"/>
      <c r="E797" s="60" t="n"/>
      <c r="F797" s="60" t="n"/>
      <c r="G797" s="60" t="n"/>
      <c r="H797" s="60" t="n"/>
      <c r="I797" s="60" t="n"/>
      <c r="J797" s="60" t="n"/>
      <c r="K797" s="60" t="n"/>
      <c r="L797" s="60" t="n"/>
    </row>
    <row r="798" ht="21" customHeight="1">
      <c r="A798" s="59" t="n"/>
      <c r="B798" s="42">
        <f>'設定'!$I$17</f>
        <v/>
      </c>
      <c r="C798" s="60" t="n"/>
      <c r="D798" s="60" t="n"/>
      <c r="E798" s="60" t="n"/>
      <c r="F798" s="60" t="n"/>
      <c r="G798" s="60" t="n"/>
      <c r="H798" s="60" t="n"/>
      <c r="I798" s="60" t="n"/>
      <c r="J798" s="60" t="n"/>
      <c r="K798" s="60" t="n"/>
      <c r="L798" s="60" t="n"/>
    </row>
    <row r="799" ht="21" customHeight="1">
      <c r="A799" s="59" t="n"/>
      <c r="B799" s="42">
        <f>'設定'!$I$18</f>
        <v/>
      </c>
      <c r="C799" s="60" t="n"/>
      <c r="D799" s="60" t="n"/>
      <c r="E799" s="60" t="n"/>
      <c r="F799" s="60" t="n"/>
      <c r="G799" s="60" t="n"/>
      <c r="H799" s="60" t="n"/>
      <c r="I799" s="60" t="n"/>
      <c r="J799" s="60" t="n"/>
      <c r="K799" s="60" t="n"/>
      <c r="L799" s="60" t="n"/>
    </row>
    <row r="800" ht="21" customHeight="1">
      <c r="A800" s="59" t="n"/>
      <c r="B800" s="42">
        <f>'設定'!$I$19</f>
        <v/>
      </c>
      <c r="C800" s="60" t="n"/>
      <c r="D800" s="60" t="n"/>
      <c r="E800" s="60" t="n"/>
      <c r="F800" s="60" t="n"/>
      <c r="G800" s="60" t="n"/>
      <c r="H800" s="60" t="n"/>
      <c r="I800" s="60" t="n"/>
      <c r="J800" s="60" t="n"/>
      <c r="K800" s="60" t="n"/>
      <c r="L800" s="60" t="n"/>
    </row>
    <row r="801" ht="21" customHeight="1">
      <c r="A801" s="59" t="n"/>
      <c r="B801" s="42">
        <f>'設定'!$I$20</f>
        <v/>
      </c>
      <c r="C801" s="60" t="n"/>
      <c r="D801" s="60" t="n"/>
      <c r="E801" s="60" t="n"/>
      <c r="F801" s="60" t="n"/>
      <c r="G801" s="60" t="n"/>
      <c r="H801" s="60" t="n"/>
      <c r="I801" s="60" t="n"/>
      <c r="J801" s="60" t="n"/>
      <c r="K801" s="60" t="n"/>
      <c r="L801" s="60" t="n"/>
    </row>
    <row r="802" ht="21" customHeight="1">
      <c r="A802" s="59" t="n"/>
      <c r="B802" s="42">
        <f>'設定'!$I$21</f>
        <v/>
      </c>
      <c r="C802" s="60" t="n"/>
      <c r="D802" s="60" t="n"/>
      <c r="E802" s="60" t="n"/>
      <c r="F802" s="60" t="n"/>
      <c r="G802" s="60" t="n"/>
      <c r="H802" s="60" t="n"/>
      <c r="I802" s="60" t="n"/>
      <c r="J802" s="60" t="n"/>
      <c r="K802" s="60" t="n"/>
      <c r="L802" s="60" t="n"/>
    </row>
    <row r="803" ht="21" customHeight="1">
      <c r="A803" s="59" t="n"/>
      <c r="B803" s="42">
        <f>'設定'!$I$22</f>
        <v/>
      </c>
      <c r="C803" s="60" t="n"/>
      <c r="D803" s="60" t="n"/>
      <c r="E803" s="60" t="n"/>
      <c r="F803" s="60" t="n"/>
      <c r="G803" s="60" t="n"/>
      <c r="H803" s="60" t="n"/>
      <c r="I803" s="60" t="n"/>
      <c r="J803" s="60" t="n"/>
      <c r="K803" s="60" t="n"/>
      <c r="L803" s="60" t="n"/>
    </row>
    <row r="804" ht="21" customHeight="1">
      <c r="A804" s="59" t="n"/>
      <c r="B804" s="42">
        <f>'設定'!$I$23</f>
        <v/>
      </c>
      <c r="C804" s="60" t="n"/>
      <c r="D804" s="60" t="n"/>
      <c r="E804" s="60" t="n"/>
      <c r="F804" s="60" t="n"/>
      <c r="G804" s="60" t="n"/>
      <c r="H804" s="60" t="n"/>
      <c r="I804" s="60" t="n"/>
      <c r="J804" s="60" t="n"/>
      <c r="K804" s="60" t="n"/>
      <c r="L804" s="60" t="n"/>
    </row>
    <row r="805" ht="21" customHeight="1">
      <c r="A805" s="59" t="n"/>
      <c r="B805" s="42">
        <f>'設定'!$I$24</f>
        <v/>
      </c>
      <c r="C805" s="60" t="n"/>
      <c r="D805" s="60" t="n"/>
      <c r="E805" s="60" t="n"/>
      <c r="F805" s="60" t="n"/>
      <c r="G805" s="60" t="n"/>
      <c r="H805" s="60" t="n"/>
      <c r="I805" s="60" t="n"/>
      <c r="J805" s="60" t="n"/>
      <c r="K805" s="60" t="n"/>
      <c r="L805" s="60" t="n"/>
    </row>
    <row r="806" ht="21" customHeight="1">
      <c r="A806" s="59" t="n"/>
      <c r="B806" s="42">
        <f>'設定'!$I$25</f>
        <v/>
      </c>
      <c r="C806" s="60" t="n"/>
      <c r="D806" s="60" t="n"/>
      <c r="E806" s="60" t="n"/>
      <c r="F806" s="60" t="n"/>
      <c r="G806" s="60" t="n"/>
      <c r="H806" s="60" t="n"/>
      <c r="I806" s="60" t="n"/>
      <c r="J806" s="60" t="n"/>
      <c r="K806" s="60" t="n"/>
      <c r="L806" s="60" t="n"/>
    </row>
    <row r="807" ht="21" customHeight="1">
      <c r="A807" s="59" t="n"/>
      <c r="B807" s="42">
        <f>'設定'!$I$26</f>
        <v/>
      </c>
      <c r="C807" s="60" t="n"/>
      <c r="D807" s="60" t="n"/>
      <c r="E807" s="60" t="n"/>
      <c r="F807" s="60" t="n"/>
      <c r="G807" s="60" t="n"/>
      <c r="H807" s="60" t="n"/>
      <c r="I807" s="60" t="n"/>
      <c r="J807" s="60" t="n"/>
      <c r="K807" s="60" t="n"/>
      <c r="L807" s="60" t="n"/>
    </row>
    <row r="808" ht="21" customHeight="1">
      <c r="A808" s="59" t="n"/>
      <c r="B808" s="42">
        <f>'設定'!$I$27</f>
        <v/>
      </c>
      <c r="C808" s="60" t="n"/>
      <c r="D808" s="60" t="n"/>
      <c r="E808" s="60" t="n"/>
      <c r="F808" s="60" t="n"/>
      <c r="G808" s="60" t="n"/>
      <c r="H808" s="60" t="n"/>
      <c r="I808" s="60" t="n"/>
      <c r="J808" s="60" t="n"/>
      <c r="K808" s="60" t="n"/>
      <c r="L808" s="60" t="n"/>
    </row>
    <row r="809" ht="21" customHeight="1">
      <c r="A809" s="59" t="n"/>
      <c r="B809" s="42">
        <f>'設定'!$I$28</f>
        <v/>
      </c>
      <c r="C809" s="60" t="n"/>
      <c r="D809" s="60" t="n"/>
      <c r="E809" s="60" t="n"/>
      <c r="F809" s="60" t="n"/>
      <c r="G809" s="60" t="n"/>
      <c r="H809" s="60" t="n"/>
      <c r="I809" s="60" t="n"/>
      <c r="J809" s="60" t="n"/>
      <c r="K809" s="60" t="n"/>
      <c r="L809" s="60" t="n"/>
    </row>
    <row r="810" ht="21" customHeight="1">
      <c r="A810" s="59" t="n"/>
      <c r="B810" s="42">
        <f>'設定'!$I$29</f>
        <v/>
      </c>
      <c r="C810" s="60" t="n"/>
      <c r="D810" s="60" t="n"/>
      <c r="E810" s="60" t="n"/>
      <c r="F810" s="60" t="n"/>
      <c r="G810" s="60" t="n"/>
      <c r="H810" s="60" t="n"/>
      <c r="I810" s="60" t="n"/>
      <c r="J810" s="60" t="n"/>
      <c r="K810" s="60" t="n"/>
      <c r="L810" s="60" t="n"/>
    </row>
    <row r="811" ht="21" customHeight="1">
      <c r="A811" s="59" t="n"/>
      <c r="B811" s="42">
        <f>'設定'!$I$30</f>
        <v/>
      </c>
      <c r="C811" s="60" t="n"/>
      <c r="D811" s="60" t="n"/>
      <c r="E811" s="60" t="n"/>
      <c r="F811" s="60" t="n"/>
      <c r="G811" s="60" t="n"/>
      <c r="H811" s="60" t="n"/>
      <c r="I811" s="60" t="n"/>
      <c r="J811" s="60" t="n"/>
      <c r="K811" s="60" t="n"/>
      <c r="L811" s="60" t="n"/>
    </row>
    <row r="812" ht="21" customHeight="1">
      <c r="A812" s="59" t="n"/>
      <c r="B812" s="42">
        <f>'設定'!$I$31</f>
        <v/>
      </c>
      <c r="C812" s="60" t="n"/>
      <c r="D812" s="60" t="n"/>
      <c r="E812" s="60" t="n"/>
      <c r="F812" s="60" t="n"/>
      <c r="G812" s="60" t="n"/>
      <c r="H812" s="60" t="n"/>
      <c r="I812" s="60" t="n"/>
      <c r="J812" s="60" t="n"/>
      <c r="K812" s="60" t="n"/>
      <c r="L812" s="60" t="n"/>
    </row>
    <row r="813" ht="21" customHeight="1">
      <c r="A813" s="59" t="n"/>
      <c r="B813" s="42">
        <f>'設定'!$I$32</f>
        <v/>
      </c>
      <c r="C813" s="60" t="n"/>
      <c r="D813" s="60" t="n"/>
      <c r="E813" s="60" t="n"/>
      <c r="F813" s="60" t="n"/>
      <c r="G813" s="60" t="n"/>
      <c r="H813" s="60" t="n"/>
      <c r="I813" s="60" t="n"/>
      <c r="J813" s="60" t="n"/>
      <c r="K813" s="60" t="n"/>
      <c r="L813" s="60" t="n"/>
    </row>
    <row r="814" ht="21" customHeight="1">
      <c r="A814" s="59" t="n"/>
      <c r="B814" s="42">
        <f>'設定'!$I$33</f>
        <v/>
      </c>
      <c r="C814" s="60" t="n"/>
      <c r="D814" s="60" t="n"/>
      <c r="E814" s="60" t="n"/>
      <c r="F814" s="60" t="n"/>
      <c r="G814" s="60" t="n"/>
      <c r="H814" s="60" t="n"/>
      <c r="I814" s="60" t="n"/>
      <c r="J814" s="60" t="n"/>
      <c r="K814" s="60" t="n"/>
      <c r="L814" s="60" t="n"/>
    </row>
    <row r="815" ht="21" customHeight="1">
      <c r="A815" s="59" t="n"/>
      <c r="B815" s="42">
        <f>'設定'!$I$34</f>
        <v/>
      </c>
      <c r="C815" s="60" t="n"/>
      <c r="D815" s="60" t="n"/>
      <c r="E815" s="60" t="n"/>
      <c r="F815" s="60" t="n"/>
      <c r="G815" s="60" t="n"/>
      <c r="H815" s="60" t="n"/>
      <c r="I815" s="60" t="n"/>
      <c r="J815" s="60" t="n"/>
      <c r="K815" s="60" t="n"/>
      <c r="L815" s="60" t="n"/>
    </row>
    <row r="816"/>
    <row r="817" ht="26" customHeight="1">
      <c r="B817" s="53">
        <f>IF('名簿'!B34="","（名簿 30行目：なし）",'名簿'!G34)</f>
        <v/>
      </c>
      <c r="C817" s="4" t="n"/>
      <c r="D817" s="4" t="n"/>
      <c r="E817" s="54" t="inlineStr">
        <is>
          <t>提出状況 ▶</t>
        </is>
      </c>
      <c r="F817" s="38" t="n"/>
      <c r="G817" s="29" t="n"/>
      <c r="H817" s="55" t="inlineStr">
        <is>
          <t>状況：</t>
        </is>
      </c>
      <c r="I817" s="56">
        <f>'名簿'!H34</f>
        <v/>
      </c>
      <c r="J817" s="55" t="inlineStr">
        <is>
          <t>×の数：</t>
        </is>
      </c>
      <c r="K817" s="57">
        <f>'名簿'!I34</f>
        <v/>
      </c>
      <c r="L817" s="58">
        <f>HYPERLINK("#'×入力'!B845","次の人へ ▼")</f>
        <v/>
      </c>
    </row>
    <row r="818" ht="22" customHeight="1">
      <c r="A818" s="30" t="inlineStr">
        <is>
          <t>この日全部 ▶</t>
        </is>
      </c>
      <c r="C818" s="59" t="n"/>
      <c r="D818" s="59" t="n"/>
      <c r="E818" s="59" t="n"/>
      <c r="F818" s="59" t="n"/>
      <c r="G818" s="59" t="n"/>
      <c r="H818" s="59" t="n"/>
      <c r="I818" s="59" t="n"/>
      <c r="J818" s="59" t="n"/>
      <c r="K818" s="59" t="n"/>
      <c r="L818" s="59" t="n"/>
    </row>
    <row r="819" ht="28" customHeight="1">
      <c r="A819" s="33" t="inlineStr">
        <is>
          <t>この時間
全部 ▼</t>
        </is>
      </c>
      <c r="B819" s="34" t="inlineStr"/>
      <c r="C819" s="35">
        <f>'設定'!$E$11</f>
        <v/>
      </c>
      <c r="D819" s="35">
        <f>'設定'!$E$12</f>
        <v/>
      </c>
      <c r="E819" s="35">
        <f>'設定'!$E$13</f>
        <v/>
      </c>
      <c r="F819" s="35">
        <f>'設定'!$E$14</f>
        <v/>
      </c>
      <c r="G819" s="35">
        <f>'設定'!$E$15</f>
        <v/>
      </c>
      <c r="H819" s="35">
        <f>'設定'!$E$16</f>
        <v/>
      </c>
      <c r="I819" s="35">
        <f>'設定'!$E$17</f>
        <v/>
      </c>
      <c r="J819" s="35">
        <f>'設定'!$E$18</f>
        <v/>
      </c>
      <c r="K819" s="35">
        <f>'設定'!$E$19</f>
        <v/>
      </c>
      <c r="L819" s="35">
        <f>'設定'!$E$20</f>
        <v/>
      </c>
    </row>
    <row r="820" ht="21" customHeight="1">
      <c r="A820" s="59" t="n"/>
      <c r="B820" s="42">
        <f>'設定'!$I$11</f>
        <v/>
      </c>
      <c r="C820" s="60" t="n"/>
      <c r="D820" s="60" t="n"/>
      <c r="E820" s="60" t="n"/>
      <c r="F820" s="60" t="n"/>
      <c r="G820" s="60" t="n"/>
      <c r="H820" s="60" t="n"/>
      <c r="I820" s="60" t="n"/>
      <c r="J820" s="60" t="n"/>
      <c r="K820" s="60" t="n"/>
      <c r="L820" s="60" t="n"/>
    </row>
    <row r="821" ht="21" customHeight="1">
      <c r="A821" s="59" t="n"/>
      <c r="B821" s="42">
        <f>'設定'!$I$12</f>
        <v/>
      </c>
      <c r="C821" s="60" t="n"/>
      <c r="D821" s="60" t="n"/>
      <c r="E821" s="60" t="n"/>
      <c r="F821" s="60" t="n"/>
      <c r="G821" s="60" t="n"/>
      <c r="H821" s="60" t="n"/>
      <c r="I821" s="60" t="n"/>
      <c r="J821" s="60" t="n"/>
      <c r="K821" s="60" t="n"/>
      <c r="L821" s="60" t="n"/>
    </row>
    <row r="822" ht="21" customHeight="1">
      <c r="A822" s="59" t="n"/>
      <c r="B822" s="42">
        <f>'設定'!$I$13</f>
        <v/>
      </c>
      <c r="C822" s="60" t="n"/>
      <c r="D822" s="60" t="n"/>
      <c r="E822" s="60" t="n"/>
      <c r="F822" s="60" t="n"/>
      <c r="G822" s="60" t="n"/>
      <c r="H822" s="60" t="n"/>
      <c r="I822" s="60" t="n"/>
      <c r="J822" s="60" t="n"/>
      <c r="K822" s="60" t="n"/>
      <c r="L822" s="60" t="n"/>
    </row>
    <row r="823" ht="21" customHeight="1">
      <c r="A823" s="59" t="n"/>
      <c r="B823" s="42">
        <f>'設定'!$I$14</f>
        <v/>
      </c>
      <c r="C823" s="60" t="n"/>
      <c r="D823" s="60" t="n"/>
      <c r="E823" s="60" t="n"/>
      <c r="F823" s="60" t="n"/>
      <c r="G823" s="60" t="n"/>
      <c r="H823" s="60" t="n"/>
      <c r="I823" s="60" t="n"/>
      <c r="J823" s="60" t="n"/>
      <c r="K823" s="60" t="n"/>
      <c r="L823" s="60" t="n"/>
    </row>
    <row r="824" ht="21" customHeight="1">
      <c r="A824" s="59" t="n"/>
      <c r="B824" s="42">
        <f>'設定'!$I$15</f>
        <v/>
      </c>
      <c r="C824" s="60" t="n"/>
      <c r="D824" s="60" t="n"/>
      <c r="E824" s="60" t="n"/>
      <c r="F824" s="60" t="n"/>
      <c r="G824" s="60" t="n"/>
      <c r="H824" s="60" t="n"/>
      <c r="I824" s="60" t="n"/>
      <c r="J824" s="60" t="n"/>
      <c r="K824" s="60" t="n"/>
      <c r="L824" s="60" t="n"/>
    </row>
    <row r="825" ht="21" customHeight="1">
      <c r="A825" s="59" t="n"/>
      <c r="B825" s="42">
        <f>'設定'!$I$16</f>
        <v/>
      </c>
      <c r="C825" s="60" t="n"/>
      <c r="D825" s="60" t="n"/>
      <c r="E825" s="60" t="n"/>
      <c r="F825" s="60" t="n"/>
      <c r="G825" s="60" t="n"/>
      <c r="H825" s="60" t="n"/>
      <c r="I825" s="60" t="n"/>
      <c r="J825" s="60" t="n"/>
      <c r="K825" s="60" t="n"/>
      <c r="L825" s="60" t="n"/>
    </row>
    <row r="826" ht="21" customHeight="1">
      <c r="A826" s="59" t="n"/>
      <c r="B826" s="42">
        <f>'設定'!$I$17</f>
        <v/>
      </c>
      <c r="C826" s="60" t="n"/>
      <c r="D826" s="60" t="n"/>
      <c r="E826" s="60" t="n"/>
      <c r="F826" s="60" t="n"/>
      <c r="G826" s="60" t="n"/>
      <c r="H826" s="60" t="n"/>
      <c r="I826" s="60" t="n"/>
      <c r="J826" s="60" t="n"/>
      <c r="K826" s="60" t="n"/>
      <c r="L826" s="60" t="n"/>
    </row>
    <row r="827" ht="21" customHeight="1">
      <c r="A827" s="59" t="n"/>
      <c r="B827" s="42">
        <f>'設定'!$I$18</f>
        <v/>
      </c>
      <c r="C827" s="60" t="n"/>
      <c r="D827" s="60" t="n"/>
      <c r="E827" s="60" t="n"/>
      <c r="F827" s="60" t="n"/>
      <c r="G827" s="60" t="n"/>
      <c r="H827" s="60" t="n"/>
      <c r="I827" s="60" t="n"/>
      <c r="J827" s="60" t="n"/>
      <c r="K827" s="60" t="n"/>
      <c r="L827" s="60" t="n"/>
    </row>
    <row r="828" ht="21" customHeight="1">
      <c r="A828" s="59" t="n"/>
      <c r="B828" s="42">
        <f>'設定'!$I$19</f>
        <v/>
      </c>
      <c r="C828" s="60" t="n"/>
      <c r="D828" s="60" t="n"/>
      <c r="E828" s="60" t="n"/>
      <c r="F828" s="60" t="n"/>
      <c r="G828" s="60" t="n"/>
      <c r="H828" s="60" t="n"/>
      <c r="I828" s="60" t="n"/>
      <c r="J828" s="60" t="n"/>
      <c r="K828" s="60" t="n"/>
      <c r="L828" s="60" t="n"/>
    </row>
    <row r="829" ht="21" customHeight="1">
      <c r="A829" s="59" t="n"/>
      <c r="B829" s="42">
        <f>'設定'!$I$20</f>
        <v/>
      </c>
      <c r="C829" s="60" t="n"/>
      <c r="D829" s="60" t="n"/>
      <c r="E829" s="60" t="n"/>
      <c r="F829" s="60" t="n"/>
      <c r="G829" s="60" t="n"/>
      <c r="H829" s="60" t="n"/>
      <c r="I829" s="60" t="n"/>
      <c r="J829" s="60" t="n"/>
      <c r="K829" s="60" t="n"/>
      <c r="L829" s="60" t="n"/>
    </row>
    <row r="830" ht="21" customHeight="1">
      <c r="A830" s="59" t="n"/>
      <c r="B830" s="42">
        <f>'設定'!$I$21</f>
        <v/>
      </c>
      <c r="C830" s="60" t="n"/>
      <c r="D830" s="60" t="n"/>
      <c r="E830" s="60" t="n"/>
      <c r="F830" s="60" t="n"/>
      <c r="G830" s="60" t="n"/>
      <c r="H830" s="60" t="n"/>
      <c r="I830" s="60" t="n"/>
      <c r="J830" s="60" t="n"/>
      <c r="K830" s="60" t="n"/>
      <c r="L830" s="60" t="n"/>
    </row>
    <row r="831" ht="21" customHeight="1">
      <c r="A831" s="59" t="n"/>
      <c r="B831" s="42">
        <f>'設定'!$I$22</f>
        <v/>
      </c>
      <c r="C831" s="60" t="n"/>
      <c r="D831" s="60" t="n"/>
      <c r="E831" s="60" t="n"/>
      <c r="F831" s="60" t="n"/>
      <c r="G831" s="60" t="n"/>
      <c r="H831" s="60" t="n"/>
      <c r="I831" s="60" t="n"/>
      <c r="J831" s="60" t="n"/>
      <c r="K831" s="60" t="n"/>
      <c r="L831" s="60" t="n"/>
    </row>
    <row r="832" ht="21" customHeight="1">
      <c r="A832" s="59" t="n"/>
      <c r="B832" s="42">
        <f>'設定'!$I$23</f>
        <v/>
      </c>
      <c r="C832" s="60" t="n"/>
      <c r="D832" s="60" t="n"/>
      <c r="E832" s="60" t="n"/>
      <c r="F832" s="60" t="n"/>
      <c r="G832" s="60" t="n"/>
      <c r="H832" s="60" t="n"/>
      <c r="I832" s="60" t="n"/>
      <c r="J832" s="60" t="n"/>
      <c r="K832" s="60" t="n"/>
      <c r="L832" s="60" t="n"/>
    </row>
    <row r="833" ht="21" customHeight="1">
      <c r="A833" s="59" t="n"/>
      <c r="B833" s="42">
        <f>'設定'!$I$24</f>
        <v/>
      </c>
      <c r="C833" s="60" t="n"/>
      <c r="D833" s="60" t="n"/>
      <c r="E833" s="60" t="n"/>
      <c r="F833" s="60" t="n"/>
      <c r="G833" s="60" t="n"/>
      <c r="H833" s="60" t="n"/>
      <c r="I833" s="60" t="n"/>
      <c r="J833" s="60" t="n"/>
      <c r="K833" s="60" t="n"/>
      <c r="L833" s="60" t="n"/>
    </row>
    <row r="834" ht="21" customHeight="1">
      <c r="A834" s="59" t="n"/>
      <c r="B834" s="42">
        <f>'設定'!$I$25</f>
        <v/>
      </c>
      <c r="C834" s="60" t="n"/>
      <c r="D834" s="60" t="n"/>
      <c r="E834" s="60" t="n"/>
      <c r="F834" s="60" t="n"/>
      <c r="G834" s="60" t="n"/>
      <c r="H834" s="60" t="n"/>
      <c r="I834" s="60" t="n"/>
      <c r="J834" s="60" t="n"/>
      <c r="K834" s="60" t="n"/>
      <c r="L834" s="60" t="n"/>
    </row>
    <row r="835" ht="21" customHeight="1">
      <c r="A835" s="59" t="n"/>
      <c r="B835" s="42">
        <f>'設定'!$I$26</f>
        <v/>
      </c>
      <c r="C835" s="60" t="n"/>
      <c r="D835" s="60" t="n"/>
      <c r="E835" s="60" t="n"/>
      <c r="F835" s="60" t="n"/>
      <c r="G835" s="60" t="n"/>
      <c r="H835" s="60" t="n"/>
      <c r="I835" s="60" t="n"/>
      <c r="J835" s="60" t="n"/>
      <c r="K835" s="60" t="n"/>
      <c r="L835" s="60" t="n"/>
    </row>
    <row r="836" ht="21" customHeight="1">
      <c r="A836" s="59" t="n"/>
      <c r="B836" s="42">
        <f>'設定'!$I$27</f>
        <v/>
      </c>
      <c r="C836" s="60" t="n"/>
      <c r="D836" s="60" t="n"/>
      <c r="E836" s="60" t="n"/>
      <c r="F836" s="60" t="n"/>
      <c r="G836" s="60" t="n"/>
      <c r="H836" s="60" t="n"/>
      <c r="I836" s="60" t="n"/>
      <c r="J836" s="60" t="n"/>
      <c r="K836" s="60" t="n"/>
      <c r="L836" s="60" t="n"/>
    </row>
    <row r="837" ht="21" customHeight="1">
      <c r="A837" s="59" t="n"/>
      <c r="B837" s="42">
        <f>'設定'!$I$28</f>
        <v/>
      </c>
      <c r="C837" s="60" t="n"/>
      <c r="D837" s="60" t="n"/>
      <c r="E837" s="60" t="n"/>
      <c r="F837" s="60" t="n"/>
      <c r="G837" s="60" t="n"/>
      <c r="H837" s="60" t="n"/>
      <c r="I837" s="60" t="n"/>
      <c r="J837" s="60" t="n"/>
      <c r="K837" s="60" t="n"/>
      <c r="L837" s="60" t="n"/>
    </row>
    <row r="838" ht="21" customHeight="1">
      <c r="A838" s="59" t="n"/>
      <c r="B838" s="42">
        <f>'設定'!$I$29</f>
        <v/>
      </c>
      <c r="C838" s="60" t="n"/>
      <c r="D838" s="60" t="n"/>
      <c r="E838" s="60" t="n"/>
      <c r="F838" s="60" t="n"/>
      <c r="G838" s="60" t="n"/>
      <c r="H838" s="60" t="n"/>
      <c r="I838" s="60" t="n"/>
      <c r="J838" s="60" t="n"/>
      <c r="K838" s="60" t="n"/>
      <c r="L838" s="60" t="n"/>
    </row>
    <row r="839" ht="21" customHeight="1">
      <c r="A839" s="59" t="n"/>
      <c r="B839" s="42">
        <f>'設定'!$I$30</f>
        <v/>
      </c>
      <c r="C839" s="60" t="n"/>
      <c r="D839" s="60" t="n"/>
      <c r="E839" s="60" t="n"/>
      <c r="F839" s="60" t="n"/>
      <c r="G839" s="60" t="n"/>
      <c r="H839" s="60" t="n"/>
      <c r="I839" s="60" t="n"/>
      <c r="J839" s="60" t="n"/>
      <c r="K839" s="60" t="n"/>
      <c r="L839" s="60" t="n"/>
    </row>
    <row r="840" ht="21" customHeight="1">
      <c r="A840" s="59" t="n"/>
      <c r="B840" s="42">
        <f>'設定'!$I$31</f>
        <v/>
      </c>
      <c r="C840" s="60" t="n"/>
      <c r="D840" s="60" t="n"/>
      <c r="E840" s="60" t="n"/>
      <c r="F840" s="60" t="n"/>
      <c r="G840" s="60" t="n"/>
      <c r="H840" s="60" t="n"/>
      <c r="I840" s="60" t="n"/>
      <c r="J840" s="60" t="n"/>
      <c r="K840" s="60" t="n"/>
      <c r="L840" s="60" t="n"/>
    </row>
    <row r="841" ht="21" customHeight="1">
      <c r="A841" s="59" t="n"/>
      <c r="B841" s="42">
        <f>'設定'!$I$32</f>
        <v/>
      </c>
      <c r="C841" s="60" t="n"/>
      <c r="D841" s="60" t="n"/>
      <c r="E841" s="60" t="n"/>
      <c r="F841" s="60" t="n"/>
      <c r="G841" s="60" t="n"/>
      <c r="H841" s="60" t="n"/>
      <c r="I841" s="60" t="n"/>
      <c r="J841" s="60" t="n"/>
      <c r="K841" s="60" t="n"/>
      <c r="L841" s="60" t="n"/>
    </row>
    <row r="842" ht="21" customHeight="1">
      <c r="A842" s="59" t="n"/>
      <c r="B842" s="42">
        <f>'設定'!$I$33</f>
        <v/>
      </c>
      <c r="C842" s="60" t="n"/>
      <c r="D842" s="60" t="n"/>
      <c r="E842" s="60" t="n"/>
      <c r="F842" s="60" t="n"/>
      <c r="G842" s="60" t="n"/>
      <c r="H842" s="60" t="n"/>
      <c r="I842" s="60" t="n"/>
      <c r="J842" s="60" t="n"/>
      <c r="K842" s="60" t="n"/>
      <c r="L842" s="60" t="n"/>
    </row>
    <row r="843" ht="21" customHeight="1">
      <c r="A843" s="59" t="n"/>
      <c r="B843" s="42">
        <f>'設定'!$I$34</f>
        <v/>
      </c>
      <c r="C843" s="60" t="n"/>
      <c r="D843" s="60" t="n"/>
      <c r="E843" s="60" t="n"/>
      <c r="F843" s="60" t="n"/>
      <c r="G843" s="60" t="n"/>
      <c r="H843" s="60" t="n"/>
      <c r="I843" s="60" t="n"/>
      <c r="J843" s="60" t="n"/>
      <c r="K843" s="60" t="n"/>
      <c r="L843" s="60" t="n"/>
    </row>
    <row r="844"/>
    <row r="845" ht="26" customHeight="1">
      <c r="B845" s="53">
        <f>IF('名簿'!B35="","（名簿 31行目：なし）",'名簿'!G35)</f>
        <v/>
      </c>
      <c r="C845" s="4" t="n"/>
      <c r="D845" s="4" t="n"/>
      <c r="E845" s="54" t="inlineStr">
        <is>
          <t>提出状況 ▶</t>
        </is>
      </c>
      <c r="F845" s="38" t="n"/>
      <c r="G845" s="29" t="n"/>
      <c r="H845" s="55" t="inlineStr">
        <is>
          <t>状況：</t>
        </is>
      </c>
      <c r="I845" s="56">
        <f>'名簿'!H35</f>
        <v/>
      </c>
      <c r="J845" s="55" t="inlineStr">
        <is>
          <t>×の数：</t>
        </is>
      </c>
      <c r="K845" s="57">
        <f>'名簿'!I35</f>
        <v/>
      </c>
      <c r="L845" s="58">
        <f>HYPERLINK("#'×入力'!B873","次の人へ ▼")</f>
        <v/>
      </c>
    </row>
    <row r="846" ht="22" customHeight="1">
      <c r="A846" s="30" t="inlineStr">
        <is>
          <t>この日全部 ▶</t>
        </is>
      </c>
      <c r="C846" s="59" t="n"/>
      <c r="D846" s="59" t="n"/>
      <c r="E846" s="59" t="n"/>
      <c r="F846" s="59" t="n"/>
      <c r="G846" s="59" t="n"/>
      <c r="H846" s="59" t="n"/>
      <c r="I846" s="59" t="n"/>
      <c r="J846" s="59" t="n"/>
      <c r="K846" s="59" t="n"/>
      <c r="L846" s="59" t="n"/>
    </row>
    <row r="847" ht="28" customHeight="1">
      <c r="A847" s="33" t="inlineStr">
        <is>
          <t>この時間
全部 ▼</t>
        </is>
      </c>
      <c r="B847" s="34" t="inlineStr"/>
      <c r="C847" s="35">
        <f>'設定'!$E$11</f>
        <v/>
      </c>
      <c r="D847" s="35">
        <f>'設定'!$E$12</f>
        <v/>
      </c>
      <c r="E847" s="35">
        <f>'設定'!$E$13</f>
        <v/>
      </c>
      <c r="F847" s="35">
        <f>'設定'!$E$14</f>
        <v/>
      </c>
      <c r="G847" s="35">
        <f>'設定'!$E$15</f>
        <v/>
      </c>
      <c r="H847" s="35">
        <f>'設定'!$E$16</f>
        <v/>
      </c>
      <c r="I847" s="35">
        <f>'設定'!$E$17</f>
        <v/>
      </c>
      <c r="J847" s="35">
        <f>'設定'!$E$18</f>
        <v/>
      </c>
      <c r="K847" s="35">
        <f>'設定'!$E$19</f>
        <v/>
      </c>
      <c r="L847" s="35">
        <f>'設定'!$E$20</f>
        <v/>
      </c>
    </row>
    <row r="848" ht="21" customHeight="1">
      <c r="A848" s="59" t="n"/>
      <c r="B848" s="42">
        <f>'設定'!$I$11</f>
        <v/>
      </c>
      <c r="C848" s="60" t="n"/>
      <c r="D848" s="60" t="n"/>
      <c r="E848" s="60" t="n"/>
      <c r="F848" s="60" t="n"/>
      <c r="G848" s="60" t="n"/>
      <c r="H848" s="60" t="n"/>
      <c r="I848" s="60" t="n"/>
      <c r="J848" s="60" t="n"/>
      <c r="K848" s="60" t="n"/>
      <c r="L848" s="60" t="n"/>
    </row>
    <row r="849" ht="21" customHeight="1">
      <c r="A849" s="59" t="n"/>
      <c r="B849" s="42">
        <f>'設定'!$I$12</f>
        <v/>
      </c>
      <c r="C849" s="60" t="n"/>
      <c r="D849" s="60" t="n"/>
      <c r="E849" s="60" t="n"/>
      <c r="F849" s="60" t="n"/>
      <c r="G849" s="60" t="n"/>
      <c r="H849" s="60" t="n"/>
      <c r="I849" s="60" t="n"/>
      <c r="J849" s="60" t="n"/>
      <c r="K849" s="60" t="n"/>
      <c r="L849" s="60" t="n"/>
    </row>
    <row r="850" ht="21" customHeight="1">
      <c r="A850" s="59" t="n"/>
      <c r="B850" s="42">
        <f>'設定'!$I$13</f>
        <v/>
      </c>
      <c r="C850" s="60" t="n"/>
      <c r="D850" s="60" t="n"/>
      <c r="E850" s="60" t="n"/>
      <c r="F850" s="60" t="n"/>
      <c r="G850" s="60" t="n"/>
      <c r="H850" s="60" t="n"/>
      <c r="I850" s="60" t="n"/>
      <c r="J850" s="60" t="n"/>
      <c r="K850" s="60" t="n"/>
      <c r="L850" s="60" t="n"/>
    </row>
    <row r="851" ht="21" customHeight="1">
      <c r="A851" s="59" t="n"/>
      <c r="B851" s="42">
        <f>'設定'!$I$14</f>
        <v/>
      </c>
      <c r="C851" s="60" t="n"/>
      <c r="D851" s="60" t="n"/>
      <c r="E851" s="60" t="n"/>
      <c r="F851" s="60" t="n"/>
      <c r="G851" s="60" t="n"/>
      <c r="H851" s="60" t="n"/>
      <c r="I851" s="60" t="n"/>
      <c r="J851" s="60" t="n"/>
      <c r="K851" s="60" t="n"/>
      <c r="L851" s="60" t="n"/>
    </row>
    <row r="852" ht="21" customHeight="1">
      <c r="A852" s="59" t="n"/>
      <c r="B852" s="42">
        <f>'設定'!$I$15</f>
        <v/>
      </c>
      <c r="C852" s="60" t="n"/>
      <c r="D852" s="60" t="n"/>
      <c r="E852" s="60" t="n"/>
      <c r="F852" s="60" t="n"/>
      <c r="G852" s="60" t="n"/>
      <c r="H852" s="60" t="n"/>
      <c r="I852" s="60" t="n"/>
      <c r="J852" s="60" t="n"/>
      <c r="K852" s="60" t="n"/>
      <c r="L852" s="60" t="n"/>
    </row>
    <row r="853" ht="21" customHeight="1">
      <c r="A853" s="59" t="n"/>
      <c r="B853" s="42">
        <f>'設定'!$I$16</f>
        <v/>
      </c>
      <c r="C853" s="60" t="n"/>
      <c r="D853" s="60" t="n"/>
      <c r="E853" s="60" t="n"/>
      <c r="F853" s="60" t="n"/>
      <c r="G853" s="60" t="n"/>
      <c r="H853" s="60" t="n"/>
      <c r="I853" s="60" t="n"/>
      <c r="J853" s="60" t="n"/>
      <c r="K853" s="60" t="n"/>
      <c r="L853" s="60" t="n"/>
    </row>
    <row r="854" ht="21" customHeight="1">
      <c r="A854" s="59" t="n"/>
      <c r="B854" s="42">
        <f>'設定'!$I$17</f>
        <v/>
      </c>
      <c r="C854" s="60" t="n"/>
      <c r="D854" s="60" t="n"/>
      <c r="E854" s="60" t="n"/>
      <c r="F854" s="60" t="n"/>
      <c r="G854" s="60" t="n"/>
      <c r="H854" s="60" t="n"/>
      <c r="I854" s="60" t="n"/>
      <c r="J854" s="60" t="n"/>
      <c r="K854" s="60" t="n"/>
      <c r="L854" s="60" t="n"/>
    </row>
    <row r="855" ht="21" customHeight="1">
      <c r="A855" s="59" t="n"/>
      <c r="B855" s="42">
        <f>'設定'!$I$18</f>
        <v/>
      </c>
      <c r="C855" s="60" t="n"/>
      <c r="D855" s="60" t="n"/>
      <c r="E855" s="60" t="n"/>
      <c r="F855" s="60" t="n"/>
      <c r="G855" s="60" t="n"/>
      <c r="H855" s="60" t="n"/>
      <c r="I855" s="60" t="n"/>
      <c r="J855" s="60" t="n"/>
      <c r="K855" s="60" t="n"/>
      <c r="L855" s="60" t="n"/>
    </row>
    <row r="856" ht="21" customHeight="1">
      <c r="A856" s="59" t="n"/>
      <c r="B856" s="42">
        <f>'設定'!$I$19</f>
        <v/>
      </c>
      <c r="C856" s="60" t="n"/>
      <c r="D856" s="60" t="n"/>
      <c r="E856" s="60" t="n"/>
      <c r="F856" s="60" t="n"/>
      <c r="G856" s="60" t="n"/>
      <c r="H856" s="60" t="n"/>
      <c r="I856" s="60" t="n"/>
      <c r="J856" s="60" t="n"/>
      <c r="K856" s="60" t="n"/>
      <c r="L856" s="60" t="n"/>
    </row>
    <row r="857" ht="21" customHeight="1">
      <c r="A857" s="59" t="n"/>
      <c r="B857" s="42">
        <f>'設定'!$I$20</f>
        <v/>
      </c>
      <c r="C857" s="60" t="n"/>
      <c r="D857" s="60" t="n"/>
      <c r="E857" s="60" t="n"/>
      <c r="F857" s="60" t="n"/>
      <c r="G857" s="60" t="n"/>
      <c r="H857" s="60" t="n"/>
      <c r="I857" s="60" t="n"/>
      <c r="J857" s="60" t="n"/>
      <c r="K857" s="60" t="n"/>
      <c r="L857" s="60" t="n"/>
    </row>
    <row r="858" ht="21" customHeight="1">
      <c r="A858" s="59" t="n"/>
      <c r="B858" s="42">
        <f>'設定'!$I$21</f>
        <v/>
      </c>
      <c r="C858" s="60" t="n"/>
      <c r="D858" s="60" t="n"/>
      <c r="E858" s="60" t="n"/>
      <c r="F858" s="60" t="n"/>
      <c r="G858" s="60" t="n"/>
      <c r="H858" s="60" t="n"/>
      <c r="I858" s="60" t="n"/>
      <c r="J858" s="60" t="n"/>
      <c r="K858" s="60" t="n"/>
      <c r="L858" s="60" t="n"/>
    </row>
    <row r="859" ht="21" customHeight="1">
      <c r="A859" s="59" t="n"/>
      <c r="B859" s="42">
        <f>'設定'!$I$22</f>
        <v/>
      </c>
      <c r="C859" s="60" t="n"/>
      <c r="D859" s="60" t="n"/>
      <c r="E859" s="60" t="n"/>
      <c r="F859" s="60" t="n"/>
      <c r="G859" s="60" t="n"/>
      <c r="H859" s="60" t="n"/>
      <c r="I859" s="60" t="n"/>
      <c r="J859" s="60" t="n"/>
      <c r="K859" s="60" t="n"/>
      <c r="L859" s="60" t="n"/>
    </row>
    <row r="860" ht="21" customHeight="1">
      <c r="A860" s="59" t="n"/>
      <c r="B860" s="42">
        <f>'設定'!$I$23</f>
        <v/>
      </c>
      <c r="C860" s="60" t="n"/>
      <c r="D860" s="60" t="n"/>
      <c r="E860" s="60" t="n"/>
      <c r="F860" s="60" t="n"/>
      <c r="G860" s="60" t="n"/>
      <c r="H860" s="60" t="n"/>
      <c r="I860" s="60" t="n"/>
      <c r="J860" s="60" t="n"/>
      <c r="K860" s="60" t="n"/>
      <c r="L860" s="60" t="n"/>
    </row>
    <row r="861" ht="21" customHeight="1">
      <c r="A861" s="59" t="n"/>
      <c r="B861" s="42">
        <f>'設定'!$I$24</f>
        <v/>
      </c>
      <c r="C861" s="60" t="n"/>
      <c r="D861" s="60" t="n"/>
      <c r="E861" s="60" t="n"/>
      <c r="F861" s="60" t="n"/>
      <c r="G861" s="60" t="n"/>
      <c r="H861" s="60" t="n"/>
      <c r="I861" s="60" t="n"/>
      <c r="J861" s="60" t="n"/>
      <c r="K861" s="60" t="n"/>
      <c r="L861" s="60" t="n"/>
    </row>
    <row r="862" ht="21" customHeight="1">
      <c r="A862" s="59" t="n"/>
      <c r="B862" s="42">
        <f>'設定'!$I$25</f>
        <v/>
      </c>
      <c r="C862" s="60" t="n"/>
      <c r="D862" s="60" t="n"/>
      <c r="E862" s="60" t="n"/>
      <c r="F862" s="60" t="n"/>
      <c r="G862" s="60" t="n"/>
      <c r="H862" s="60" t="n"/>
      <c r="I862" s="60" t="n"/>
      <c r="J862" s="60" t="n"/>
      <c r="K862" s="60" t="n"/>
      <c r="L862" s="60" t="n"/>
    </row>
    <row r="863" ht="21" customHeight="1">
      <c r="A863" s="59" t="n"/>
      <c r="B863" s="42">
        <f>'設定'!$I$26</f>
        <v/>
      </c>
      <c r="C863" s="60" t="n"/>
      <c r="D863" s="60" t="n"/>
      <c r="E863" s="60" t="n"/>
      <c r="F863" s="60" t="n"/>
      <c r="G863" s="60" t="n"/>
      <c r="H863" s="60" t="n"/>
      <c r="I863" s="60" t="n"/>
      <c r="J863" s="60" t="n"/>
      <c r="K863" s="60" t="n"/>
      <c r="L863" s="60" t="n"/>
    </row>
    <row r="864" ht="21" customHeight="1">
      <c r="A864" s="59" t="n"/>
      <c r="B864" s="42">
        <f>'設定'!$I$27</f>
        <v/>
      </c>
      <c r="C864" s="60" t="n"/>
      <c r="D864" s="60" t="n"/>
      <c r="E864" s="60" t="n"/>
      <c r="F864" s="60" t="n"/>
      <c r="G864" s="60" t="n"/>
      <c r="H864" s="60" t="n"/>
      <c r="I864" s="60" t="n"/>
      <c r="J864" s="60" t="n"/>
      <c r="K864" s="60" t="n"/>
      <c r="L864" s="60" t="n"/>
    </row>
    <row r="865" ht="21" customHeight="1">
      <c r="A865" s="59" t="n"/>
      <c r="B865" s="42">
        <f>'設定'!$I$28</f>
        <v/>
      </c>
      <c r="C865" s="60" t="n"/>
      <c r="D865" s="60" t="n"/>
      <c r="E865" s="60" t="n"/>
      <c r="F865" s="60" t="n"/>
      <c r="G865" s="60" t="n"/>
      <c r="H865" s="60" t="n"/>
      <c r="I865" s="60" t="n"/>
      <c r="J865" s="60" t="n"/>
      <c r="K865" s="60" t="n"/>
      <c r="L865" s="60" t="n"/>
    </row>
    <row r="866" ht="21" customHeight="1">
      <c r="A866" s="59" t="n"/>
      <c r="B866" s="42">
        <f>'設定'!$I$29</f>
        <v/>
      </c>
      <c r="C866" s="60" t="n"/>
      <c r="D866" s="60" t="n"/>
      <c r="E866" s="60" t="n"/>
      <c r="F866" s="60" t="n"/>
      <c r="G866" s="60" t="n"/>
      <c r="H866" s="60" t="n"/>
      <c r="I866" s="60" t="n"/>
      <c r="J866" s="60" t="n"/>
      <c r="K866" s="60" t="n"/>
      <c r="L866" s="60" t="n"/>
    </row>
    <row r="867" ht="21" customHeight="1">
      <c r="A867" s="59" t="n"/>
      <c r="B867" s="42">
        <f>'設定'!$I$30</f>
        <v/>
      </c>
      <c r="C867" s="60" t="n"/>
      <c r="D867" s="60" t="n"/>
      <c r="E867" s="60" t="n"/>
      <c r="F867" s="60" t="n"/>
      <c r="G867" s="60" t="n"/>
      <c r="H867" s="60" t="n"/>
      <c r="I867" s="60" t="n"/>
      <c r="J867" s="60" t="n"/>
      <c r="K867" s="60" t="n"/>
      <c r="L867" s="60" t="n"/>
    </row>
    <row r="868" ht="21" customHeight="1">
      <c r="A868" s="59" t="n"/>
      <c r="B868" s="42">
        <f>'設定'!$I$31</f>
        <v/>
      </c>
      <c r="C868" s="60" t="n"/>
      <c r="D868" s="60" t="n"/>
      <c r="E868" s="60" t="n"/>
      <c r="F868" s="60" t="n"/>
      <c r="G868" s="60" t="n"/>
      <c r="H868" s="60" t="n"/>
      <c r="I868" s="60" t="n"/>
      <c r="J868" s="60" t="n"/>
      <c r="K868" s="60" t="n"/>
      <c r="L868" s="60" t="n"/>
    </row>
    <row r="869" ht="21" customHeight="1">
      <c r="A869" s="59" t="n"/>
      <c r="B869" s="42">
        <f>'設定'!$I$32</f>
        <v/>
      </c>
      <c r="C869" s="60" t="n"/>
      <c r="D869" s="60" t="n"/>
      <c r="E869" s="60" t="n"/>
      <c r="F869" s="60" t="n"/>
      <c r="G869" s="60" t="n"/>
      <c r="H869" s="60" t="n"/>
      <c r="I869" s="60" t="n"/>
      <c r="J869" s="60" t="n"/>
      <c r="K869" s="60" t="n"/>
      <c r="L869" s="60" t="n"/>
    </row>
    <row r="870" ht="21" customHeight="1">
      <c r="A870" s="59" t="n"/>
      <c r="B870" s="42">
        <f>'設定'!$I$33</f>
        <v/>
      </c>
      <c r="C870" s="60" t="n"/>
      <c r="D870" s="60" t="n"/>
      <c r="E870" s="60" t="n"/>
      <c r="F870" s="60" t="n"/>
      <c r="G870" s="60" t="n"/>
      <c r="H870" s="60" t="n"/>
      <c r="I870" s="60" t="n"/>
      <c r="J870" s="60" t="n"/>
      <c r="K870" s="60" t="n"/>
      <c r="L870" s="60" t="n"/>
    </row>
    <row r="871" ht="21" customHeight="1">
      <c r="A871" s="59" t="n"/>
      <c r="B871" s="42">
        <f>'設定'!$I$34</f>
        <v/>
      </c>
      <c r="C871" s="60" t="n"/>
      <c r="D871" s="60" t="n"/>
      <c r="E871" s="60" t="n"/>
      <c r="F871" s="60" t="n"/>
      <c r="G871" s="60" t="n"/>
      <c r="H871" s="60" t="n"/>
      <c r="I871" s="60" t="n"/>
      <c r="J871" s="60" t="n"/>
      <c r="K871" s="60" t="n"/>
      <c r="L871" s="60" t="n"/>
    </row>
    <row r="872"/>
    <row r="873" ht="26" customHeight="1">
      <c r="B873" s="53">
        <f>IF('名簿'!B36="","（名簿 32行目：なし）",'名簿'!G36)</f>
        <v/>
      </c>
      <c r="C873" s="4" t="n"/>
      <c r="D873" s="4" t="n"/>
      <c r="E873" s="54" t="inlineStr">
        <is>
          <t>提出状況 ▶</t>
        </is>
      </c>
      <c r="F873" s="38" t="n"/>
      <c r="G873" s="29" t="n"/>
      <c r="H873" s="55" t="inlineStr">
        <is>
          <t>状況：</t>
        </is>
      </c>
      <c r="I873" s="56">
        <f>'名簿'!H36</f>
        <v/>
      </c>
      <c r="J873" s="55" t="inlineStr">
        <is>
          <t>×の数：</t>
        </is>
      </c>
      <c r="K873" s="57">
        <f>'名簿'!I36</f>
        <v/>
      </c>
      <c r="L873" s="58">
        <f>HYPERLINK("#'×入力'!B901","次の人へ ▼")</f>
        <v/>
      </c>
    </row>
    <row r="874" ht="22" customHeight="1">
      <c r="A874" s="30" t="inlineStr">
        <is>
          <t>この日全部 ▶</t>
        </is>
      </c>
      <c r="C874" s="59" t="n"/>
      <c r="D874" s="59" t="n"/>
      <c r="E874" s="59" t="n"/>
      <c r="F874" s="59" t="n"/>
      <c r="G874" s="59" t="n"/>
      <c r="H874" s="59" t="n"/>
      <c r="I874" s="59" t="n"/>
      <c r="J874" s="59" t="n"/>
      <c r="K874" s="59" t="n"/>
      <c r="L874" s="59" t="n"/>
    </row>
    <row r="875" ht="28" customHeight="1">
      <c r="A875" s="33" t="inlineStr">
        <is>
          <t>この時間
全部 ▼</t>
        </is>
      </c>
      <c r="B875" s="34" t="inlineStr"/>
      <c r="C875" s="35">
        <f>'設定'!$E$11</f>
        <v/>
      </c>
      <c r="D875" s="35">
        <f>'設定'!$E$12</f>
        <v/>
      </c>
      <c r="E875" s="35">
        <f>'設定'!$E$13</f>
        <v/>
      </c>
      <c r="F875" s="35">
        <f>'設定'!$E$14</f>
        <v/>
      </c>
      <c r="G875" s="35">
        <f>'設定'!$E$15</f>
        <v/>
      </c>
      <c r="H875" s="35">
        <f>'設定'!$E$16</f>
        <v/>
      </c>
      <c r="I875" s="35">
        <f>'設定'!$E$17</f>
        <v/>
      </c>
      <c r="J875" s="35">
        <f>'設定'!$E$18</f>
        <v/>
      </c>
      <c r="K875" s="35">
        <f>'設定'!$E$19</f>
        <v/>
      </c>
      <c r="L875" s="35">
        <f>'設定'!$E$20</f>
        <v/>
      </c>
    </row>
    <row r="876" ht="21" customHeight="1">
      <c r="A876" s="59" t="n"/>
      <c r="B876" s="42">
        <f>'設定'!$I$11</f>
        <v/>
      </c>
      <c r="C876" s="60" t="n"/>
      <c r="D876" s="60" t="n"/>
      <c r="E876" s="60" t="n"/>
      <c r="F876" s="60" t="n"/>
      <c r="G876" s="60" t="n"/>
      <c r="H876" s="60" t="n"/>
      <c r="I876" s="60" t="n"/>
      <c r="J876" s="60" t="n"/>
      <c r="K876" s="60" t="n"/>
      <c r="L876" s="60" t="n"/>
    </row>
    <row r="877" ht="21" customHeight="1">
      <c r="A877" s="59" t="n"/>
      <c r="B877" s="42">
        <f>'設定'!$I$12</f>
        <v/>
      </c>
      <c r="C877" s="60" t="n"/>
      <c r="D877" s="60" t="n"/>
      <c r="E877" s="60" t="n"/>
      <c r="F877" s="60" t="n"/>
      <c r="G877" s="60" t="n"/>
      <c r="H877" s="60" t="n"/>
      <c r="I877" s="60" t="n"/>
      <c r="J877" s="60" t="n"/>
      <c r="K877" s="60" t="n"/>
      <c r="L877" s="60" t="n"/>
    </row>
    <row r="878" ht="21" customHeight="1">
      <c r="A878" s="59" t="n"/>
      <c r="B878" s="42">
        <f>'設定'!$I$13</f>
        <v/>
      </c>
      <c r="C878" s="60" t="n"/>
      <c r="D878" s="60" t="n"/>
      <c r="E878" s="60" t="n"/>
      <c r="F878" s="60" t="n"/>
      <c r="G878" s="60" t="n"/>
      <c r="H878" s="60" t="n"/>
      <c r="I878" s="60" t="n"/>
      <c r="J878" s="60" t="n"/>
      <c r="K878" s="60" t="n"/>
      <c r="L878" s="60" t="n"/>
    </row>
    <row r="879" ht="21" customHeight="1">
      <c r="A879" s="59" t="n"/>
      <c r="B879" s="42">
        <f>'設定'!$I$14</f>
        <v/>
      </c>
      <c r="C879" s="60" t="n"/>
      <c r="D879" s="60" t="n"/>
      <c r="E879" s="60" t="n"/>
      <c r="F879" s="60" t="n"/>
      <c r="G879" s="60" t="n"/>
      <c r="H879" s="60" t="n"/>
      <c r="I879" s="60" t="n"/>
      <c r="J879" s="60" t="n"/>
      <c r="K879" s="60" t="n"/>
      <c r="L879" s="60" t="n"/>
    </row>
    <row r="880" ht="21" customHeight="1">
      <c r="A880" s="59" t="n"/>
      <c r="B880" s="42">
        <f>'設定'!$I$15</f>
        <v/>
      </c>
      <c r="C880" s="60" t="n"/>
      <c r="D880" s="60" t="n"/>
      <c r="E880" s="60" t="n"/>
      <c r="F880" s="60" t="n"/>
      <c r="G880" s="60" t="n"/>
      <c r="H880" s="60" t="n"/>
      <c r="I880" s="60" t="n"/>
      <c r="J880" s="60" t="n"/>
      <c r="K880" s="60" t="n"/>
      <c r="L880" s="60" t="n"/>
    </row>
    <row r="881" ht="21" customHeight="1">
      <c r="A881" s="59" t="n"/>
      <c r="B881" s="42">
        <f>'設定'!$I$16</f>
        <v/>
      </c>
      <c r="C881" s="60" t="n"/>
      <c r="D881" s="60" t="n"/>
      <c r="E881" s="60" t="n"/>
      <c r="F881" s="60" t="n"/>
      <c r="G881" s="60" t="n"/>
      <c r="H881" s="60" t="n"/>
      <c r="I881" s="60" t="n"/>
      <c r="J881" s="60" t="n"/>
      <c r="K881" s="60" t="n"/>
      <c r="L881" s="60" t="n"/>
    </row>
    <row r="882" ht="21" customHeight="1">
      <c r="A882" s="59" t="n"/>
      <c r="B882" s="42">
        <f>'設定'!$I$17</f>
        <v/>
      </c>
      <c r="C882" s="60" t="n"/>
      <c r="D882" s="60" t="n"/>
      <c r="E882" s="60" t="n"/>
      <c r="F882" s="60" t="n"/>
      <c r="G882" s="60" t="n"/>
      <c r="H882" s="60" t="n"/>
      <c r="I882" s="60" t="n"/>
      <c r="J882" s="60" t="n"/>
      <c r="K882" s="60" t="n"/>
      <c r="L882" s="60" t="n"/>
    </row>
    <row r="883" ht="21" customHeight="1">
      <c r="A883" s="59" t="n"/>
      <c r="B883" s="42">
        <f>'設定'!$I$18</f>
        <v/>
      </c>
      <c r="C883" s="60" t="n"/>
      <c r="D883" s="60" t="n"/>
      <c r="E883" s="60" t="n"/>
      <c r="F883" s="60" t="n"/>
      <c r="G883" s="60" t="n"/>
      <c r="H883" s="60" t="n"/>
      <c r="I883" s="60" t="n"/>
      <c r="J883" s="60" t="n"/>
      <c r="K883" s="60" t="n"/>
      <c r="L883" s="60" t="n"/>
    </row>
    <row r="884" ht="21" customHeight="1">
      <c r="A884" s="59" t="n"/>
      <c r="B884" s="42">
        <f>'設定'!$I$19</f>
        <v/>
      </c>
      <c r="C884" s="60" t="n"/>
      <c r="D884" s="60" t="n"/>
      <c r="E884" s="60" t="n"/>
      <c r="F884" s="60" t="n"/>
      <c r="G884" s="60" t="n"/>
      <c r="H884" s="60" t="n"/>
      <c r="I884" s="60" t="n"/>
      <c r="J884" s="60" t="n"/>
      <c r="K884" s="60" t="n"/>
      <c r="L884" s="60" t="n"/>
    </row>
    <row r="885" ht="21" customHeight="1">
      <c r="A885" s="59" t="n"/>
      <c r="B885" s="42">
        <f>'設定'!$I$20</f>
        <v/>
      </c>
      <c r="C885" s="60" t="n"/>
      <c r="D885" s="60" t="n"/>
      <c r="E885" s="60" t="n"/>
      <c r="F885" s="60" t="n"/>
      <c r="G885" s="60" t="n"/>
      <c r="H885" s="60" t="n"/>
      <c r="I885" s="60" t="n"/>
      <c r="J885" s="60" t="n"/>
      <c r="K885" s="60" t="n"/>
      <c r="L885" s="60" t="n"/>
    </row>
    <row r="886" ht="21" customHeight="1">
      <c r="A886" s="59" t="n"/>
      <c r="B886" s="42">
        <f>'設定'!$I$21</f>
        <v/>
      </c>
      <c r="C886" s="60" t="n"/>
      <c r="D886" s="60" t="n"/>
      <c r="E886" s="60" t="n"/>
      <c r="F886" s="60" t="n"/>
      <c r="G886" s="60" t="n"/>
      <c r="H886" s="60" t="n"/>
      <c r="I886" s="60" t="n"/>
      <c r="J886" s="60" t="n"/>
      <c r="K886" s="60" t="n"/>
      <c r="L886" s="60" t="n"/>
    </row>
    <row r="887" ht="21" customHeight="1">
      <c r="A887" s="59" t="n"/>
      <c r="B887" s="42">
        <f>'設定'!$I$22</f>
        <v/>
      </c>
      <c r="C887" s="60" t="n"/>
      <c r="D887" s="60" t="n"/>
      <c r="E887" s="60" t="n"/>
      <c r="F887" s="60" t="n"/>
      <c r="G887" s="60" t="n"/>
      <c r="H887" s="60" t="n"/>
      <c r="I887" s="60" t="n"/>
      <c r="J887" s="60" t="n"/>
      <c r="K887" s="60" t="n"/>
      <c r="L887" s="60" t="n"/>
    </row>
    <row r="888" ht="21" customHeight="1">
      <c r="A888" s="59" t="n"/>
      <c r="B888" s="42">
        <f>'設定'!$I$23</f>
        <v/>
      </c>
      <c r="C888" s="60" t="n"/>
      <c r="D888" s="60" t="n"/>
      <c r="E888" s="60" t="n"/>
      <c r="F888" s="60" t="n"/>
      <c r="G888" s="60" t="n"/>
      <c r="H888" s="60" t="n"/>
      <c r="I888" s="60" t="n"/>
      <c r="J888" s="60" t="n"/>
      <c r="K888" s="60" t="n"/>
      <c r="L888" s="60" t="n"/>
    </row>
    <row r="889" ht="21" customHeight="1">
      <c r="A889" s="59" t="n"/>
      <c r="B889" s="42">
        <f>'設定'!$I$24</f>
        <v/>
      </c>
      <c r="C889" s="60" t="n"/>
      <c r="D889" s="60" t="n"/>
      <c r="E889" s="60" t="n"/>
      <c r="F889" s="60" t="n"/>
      <c r="G889" s="60" t="n"/>
      <c r="H889" s="60" t="n"/>
      <c r="I889" s="60" t="n"/>
      <c r="J889" s="60" t="n"/>
      <c r="K889" s="60" t="n"/>
      <c r="L889" s="60" t="n"/>
    </row>
    <row r="890" ht="21" customHeight="1">
      <c r="A890" s="59" t="n"/>
      <c r="B890" s="42">
        <f>'設定'!$I$25</f>
        <v/>
      </c>
      <c r="C890" s="60" t="n"/>
      <c r="D890" s="60" t="n"/>
      <c r="E890" s="60" t="n"/>
      <c r="F890" s="60" t="n"/>
      <c r="G890" s="60" t="n"/>
      <c r="H890" s="60" t="n"/>
      <c r="I890" s="60" t="n"/>
      <c r="J890" s="60" t="n"/>
      <c r="K890" s="60" t="n"/>
      <c r="L890" s="60" t="n"/>
    </row>
    <row r="891" ht="21" customHeight="1">
      <c r="A891" s="59" t="n"/>
      <c r="B891" s="42">
        <f>'設定'!$I$26</f>
        <v/>
      </c>
      <c r="C891" s="60" t="n"/>
      <c r="D891" s="60" t="n"/>
      <c r="E891" s="60" t="n"/>
      <c r="F891" s="60" t="n"/>
      <c r="G891" s="60" t="n"/>
      <c r="H891" s="60" t="n"/>
      <c r="I891" s="60" t="n"/>
      <c r="J891" s="60" t="n"/>
      <c r="K891" s="60" t="n"/>
      <c r="L891" s="60" t="n"/>
    </row>
    <row r="892" ht="21" customHeight="1">
      <c r="A892" s="59" t="n"/>
      <c r="B892" s="42">
        <f>'設定'!$I$27</f>
        <v/>
      </c>
      <c r="C892" s="60" t="n"/>
      <c r="D892" s="60" t="n"/>
      <c r="E892" s="60" t="n"/>
      <c r="F892" s="60" t="n"/>
      <c r="G892" s="60" t="n"/>
      <c r="H892" s="60" t="n"/>
      <c r="I892" s="60" t="n"/>
      <c r="J892" s="60" t="n"/>
      <c r="K892" s="60" t="n"/>
      <c r="L892" s="60" t="n"/>
    </row>
    <row r="893" ht="21" customHeight="1">
      <c r="A893" s="59" t="n"/>
      <c r="B893" s="42">
        <f>'設定'!$I$28</f>
        <v/>
      </c>
      <c r="C893" s="60" t="n"/>
      <c r="D893" s="60" t="n"/>
      <c r="E893" s="60" t="n"/>
      <c r="F893" s="60" t="n"/>
      <c r="G893" s="60" t="n"/>
      <c r="H893" s="60" t="n"/>
      <c r="I893" s="60" t="n"/>
      <c r="J893" s="60" t="n"/>
      <c r="K893" s="60" t="n"/>
      <c r="L893" s="60" t="n"/>
    </row>
    <row r="894" ht="21" customHeight="1">
      <c r="A894" s="59" t="n"/>
      <c r="B894" s="42">
        <f>'設定'!$I$29</f>
        <v/>
      </c>
      <c r="C894" s="60" t="n"/>
      <c r="D894" s="60" t="n"/>
      <c r="E894" s="60" t="n"/>
      <c r="F894" s="60" t="n"/>
      <c r="G894" s="60" t="n"/>
      <c r="H894" s="60" t="n"/>
      <c r="I894" s="60" t="n"/>
      <c r="J894" s="60" t="n"/>
      <c r="K894" s="60" t="n"/>
      <c r="L894" s="60" t="n"/>
    </row>
    <row r="895" ht="21" customHeight="1">
      <c r="A895" s="59" t="n"/>
      <c r="B895" s="42">
        <f>'設定'!$I$30</f>
        <v/>
      </c>
      <c r="C895" s="60" t="n"/>
      <c r="D895" s="60" t="n"/>
      <c r="E895" s="60" t="n"/>
      <c r="F895" s="60" t="n"/>
      <c r="G895" s="60" t="n"/>
      <c r="H895" s="60" t="n"/>
      <c r="I895" s="60" t="n"/>
      <c r="J895" s="60" t="n"/>
      <c r="K895" s="60" t="n"/>
      <c r="L895" s="60" t="n"/>
    </row>
    <row r="896" ht="21" customHeight="1">
      <c r="A896" s="59" t="n"/>
      <c r="B896" s="42">
        <f>'設定'!$I$31</f>
        <v/>
      </c>
      <c r="C896" s="60" t="n"/>
      <c r="D896" s="60" t="n"/>
      <c r="E896" s="60" t="n"/>
      <c r="F896" s="60" t="n"/>
      <c r="G896" s="60" t="n"/>
      <c r="H896" s="60" t="n"/>
      <c r="I896" s="60" t="n"/>
      <c r="J896" s="60" t="n"/>
      <c r="K896" s="60" t="n"/>
      <c r="L896" s="60" t="n"/>
    </row>
    <row r="897" ht="21" customHeight="1">
      <c r="A897" s="59" t="n"/>
      <c r="B897" s="42">
        <f>'設定'!$I$32</f>
        <v/>
      </c>
      <c r="C897" s="60" t="n"/>
      <c r="D897" s="60" t="n"/>
      <c r="E897" s="60" t="n"/>
      <c r="F897" s="60" t="n"/>
      <c r="G897" s="60" t="n"/>
      <c r="H897" s="60" t="n"/>
      <c r="I897" s="60" t="n"/>
      <c r="J897" s="60" t="n"/>
      <c r="K897" s="60" t="n"/>
      <c r="L897" s="60" t="n"/>
    </row>
    <row r="898" ht="21" customHeight="1">
      <c r="A898" s="59" t="n"/>
      <c r="B898" s="42">
        <f>'設定'!$I$33</f>
        <v/>
      </c>
      <c r="C898" s="60" t="n"/>
      <c r="D898" s="60" t="n"/>
      <c r="E898" s="60" t="n"/>
      <c r="F898" s="60" t="n"/>
      <c r="G898" s="60" t="n"/>
      <c r="H898" s="60" t="n"/>
      <c r="I898" s="60" t="n"/>
      <c r="J898" s="60" t="n"/>
      <c r="K898" s="60" t="n"/>
      <c r="L898" s="60" t="n"/>
    </row>
    <row r="899" ht="21" customHeight="1">
      <c r="A899" s="59" t="n"/>
      <c r="B899" s="42">
        <f>'設定'!$I$34</f>
        <v/>
      </c>
      <c r="C899" s="60" t="n"/>
      <c r="D899" s="60" t="n"/>
      <c r="E899" s="60" t="n"/>
      <c r="F899" s="60" t="n"/>
      <c r="G899" s="60" t="n"/>
      <c r="H899" s="60" t="n"/>
      <c r="I899" s="60" t="n"/>
      <c r="J899" s="60" t="n"/>
      <c r="K899" s="60" t="n"/>
      <c r="L899" s="60" t="n"/>
    </row>
    <row r="900"/>
    <row r="901" ht="26" customHeight="1">
      <c r="B901" s="53">
        <f>IF('名簿'!B37="","（名簿 33行目：なし）",'名簿'!G37)</f>
        <v/>
      </c>
      <c r="C901" s="4" t="n"/>
      <c r="D901" s="4" t="n"/>
      <c r="E901" s="54" t="inlineStr">
        <is>
          <t>提出状況 ▶</t>
        </is>
      </c>
      <c r="F901" s="38" t="n"/>
      <c r="G901" s="29" t="n"/>
      <c r="H901" s="55" t="inlineStr">
        <is>
          <t>状況：</t>
        </is>
      </c>
      <c r="I901" s="56">
        <f>'名簿'!H37</f>
        <v/>
      </c>
      <c r="J901" s="55" t="inlineStr">
        <is>
          <t>×の数：</t>
        </is>
      </c>
      <c r="K901" s="57">
        <f>'名簿'!I37</f>
        <v/>
      </c>
      <c r="L901" s="58">
        <f>HYPERLINK("#'×入力'!B929","次の人へ ▼")</f>
        <v/>
      </c>
    </row>
    <row r="902" ht="22" customHeight="1">
      <c r="A902" s="30" t="inlineStr">
        <is>
          <t>この日全部 ▶</t>
        </is>
      </c>
      <c r="C902" s="59" t="n"/>
      <c r="D902" s="59" t="n"/>
      <c r="E902" s="59" t="n"/>
      <c r="F902" s="59" t="n"/>
      <c r="G902" s="59" t="n"/>
      <c r="H902" s="59" t="n"/>
      <c r="I902" s="59" t="n"/>
      <c r="J902" s="59" t="n"/>
      <c r="K902" s="59" t="n"/>
      <c r="L902" s="59" t="n"/>
    </row>
    <row r="903" ht="28" customHeight="1">
      <c r="A903" s="33" t="inlineStr">
        <is>
          <t>この時間
全部 ▼</t>
        </is>
      </c>
      <c r="B903" s="34" t="inlineStr"/>
      <c r="C903" s="35">
        <f>'設定'!$E$11</f>
        <v/>
      </c>
      <c r="D903" s="35">
        <f>'設定'!$E$12</f>
        <v/>
      </c>
      <c r="E903" s="35">
        <f>'設定'!$E$13</f>
        <v/>
      </c>
      <c r="F903" s="35">
        <f>'設定'!$E$14</f>
        <v/>
      </c>
      <c r="G903" s="35">
        <f>'設定'!$E$15</f>
        <v/>
      </c>
      <c r="H903" s="35">
        <f>'設定'!$E$16</f>
        <v/>
      </c>
      <c r="I903" s="35">
        <f>'設定'!$E$17</f>
        <v/>
      </c>
      <c r="J903" s="35">
        <f>'設定'!$E$18</f>
        <v/>
      </c>
      <c r="K903" s="35">
        <f>'設定'!$E$19</f>
        <v/>
      </c>
      <c r="L903" s="35">
        <f>'設定'!$E$20</f>
        <v/>
      </c>
    </row>
    <row r="904" ht="21" customHeight="1">
      <c r="A904" s="59" t="n"/>
      <c r="B904" s="42">
        <f>'設定'!$I$11</f>
        <v/>
      </c>
      <c r="C904" s="60" t="n"/>
      <c r="D904" s="60" t="n"/>
      <c r="E904" s="60" t="n"/>
      <c r="F904" s="60" t="n"/>
      <c r="G904" s="60" t="n"/>
      <c r="H904" s="60" t="n"/>
      <c r="I904" s="60" t="n"/>
      <c r="J904" s="60" t="n"/>
      <c r="K904" s="60" t="n"/>
      <c r="L904" s="60" t="n"/>
    </row>
    <row r="905" ht="21" customHeight="1">
      <c r="A905" s="59" t="n"/>
      <c r="B905" s="42">
        <f>'設定'!$I$12</f>
        <v/>
      </c>
      <c r="C905" s="60" t="n"/>
      <c r="D905" s="60" t="n"/>
      <c r="E905" s="60" t="n"/>
      <c r="F905" s="60" t="n"/>
      <c r="G905" s="60" t="n"/>
      <c r="H905" s="60" t="n"/>
      <c r="I905" s="60" t="n"/>
      <c r="J905" s="60" t="n"/>
      <c r="K905" s="60" t="n"/>
      <c r="L905" s="60" t="n"/>
    </row>
    <row r="906" ht="21" customHeight="1">
      <c r="A906" s="59" t="n"/>
      <c r="B906" s="42">
        <f>'設定'!$I$13</f>
        <v/>
      </c>
      <c r="C906" s="60" t="n"/>
      <c r="D906" s="60" t="n"/>
      <c r="E906" s="60" t="n"/>
      <c r="F906" s="60" t="n"/>
      <c r="G906" s="60" t="n"/>
      <c r="H906" s="60" t="n"/>
      <c r="I906" s="60" t="n"/>
      <c r="J906" s="60" t="n"/>
      <c r="K906" s="60" t="n"/>
      <c r="L906" s="60" t="n"/>
    </row>
    <row r="907" ht="21" customHeight="1">
      <c r="A907" s="59" t="n"/>
      <c r="B907" s="42">
        <f>'設定'!$I$14</f>
        <v/>
      </c>
      <c r="C907" s="60" t="n"/>
      <c r="D907" s="60" t="n"/>
      <c r="E907" s="60" t="n"/>
      <c r="F907" s="60" t="n"/>
      <c r="G907" s="60" t="n"/>
      <c r="H907" s="60" t="n"/>
      <c r="I907" s="60" t="n"/>
      <c r="J907" s="60" t="n"/>
      <c r="K907" s="60" t="n"/>
      <c r="L907" s="60" t="n"/>
    </row>
    <row r="908" ht="21" customHeight="1">
      <c r="A908" s="59" t="n"/>
      <c r="B908" s="42">
        <f>'設定'!$I$15</f>
        <v/>
      </c>
      <c r="C908" s="60" t="n"/>
      <c r="D908" s="60" t="n"/>
      <c r="E908" s="60" t="n"/>
      <c r="F908" s="60" t="n"/>
      <c r="G908" s="60" t="n"/>
      <c r="H908" s="60" t="n"/>
      <c r="I908" s="60" t="n"/>
      <c r="J908" s="60" t="n"/>
      <c r="K908" s="60" t="n"/>
      <c r="L908" s="60" t="n"/>
    </row>
    <row r="909" ht="21" customHeight="1">
      <c r="A909" s="59" t="n"/>
      <c r="B909" s="42">
        <f>'設定'!$I$16</f>
        <v/>
      </c>
      <c r="C909" s="60" t="n"/>
      <c r="D909" s="60" t="n"/>
      <c r="E909" s="60" t="n"/>
      <c r="F909" s="60" t="n"/>
      <c r="G909" s="60" t="n"/>
      <c r="H909" s="60" t="n"/>
      <c r="I909" s="60" t="n"/>
      <c r="J909" s="60" t="n"/>
      <c r="K909" s="60" t="n"/>
      <c r="L909" s="60" t="n"/>
    </row>
    <row r="910" ht="21" customHeight="1">
      <c r="A910" s="59" t="n"/>
      <c r="B910" s="42">
        <f>'設定'!$I$17</f>
        <v/>
      </c>
      <c r="C910" s="60" t="n"/>
      <c r="D910" s="60" t="n"/>
      <c r="E910" s="60" t="n"/>
      <c r="F910" s="60" t="n"/>
      <c r="G910" s="60" t="n"/>
      <c r="H910" s="60" t="n"/>
      <c r="I910" s="60" t="n"/>
      <c r="J910" s="60" t="n"/>
      <c r="K910" s="60" t="n"/>
      <c r="L910" s="60" t="n"/>
    </row>
    <row r="911" ht="21" customHeight="1">
      <c r="A911" s="59" t="n"/>
      <c r="B911" s="42">
        <f>'設定'!$I$18</f>
        <v/>
      </c>
      <c r="C911" s="60" t="n"/>
      <c r="D911" s="60" t="n"/>
      <c r="E911" s="60" t="n"/>
      <c r="F911" s="60" t="n"/>
      <c r="G911" s="60" t="n"/>
      <c r="H911" s="60" t="n"/>
      <c r="I911" s="60" t="n"/>
      <c r="J911" s="60" t="n"/>
      <c r="K911" s="60" t="n"/>
      <c r="L911" s="60" t="n"/>
    </row>
    <row r="912" ht="21" customHeight="1">
      <c r="A912" s="59" t="n"/>
      <c r="B912" s="42">
        <f>'設定'!$I$19</f>
        <v/>
      </c>
      <c r="C912" s="60" t="n"/>
      <c r="D912" s="60" t="n"/>
      <c r="E912" s="60" t="n"/>
      <c r="F912" s="60" t="n"/>
      <c r="G912" s="60" t="n"/>
      <c r="H912" s="60" t="n"/>
      <c r="I912" s="60" t="n"/>
      <c r="J912" s="60" t="n"/>
      <c r="K912" s="60" t="n"/>
      <c r="L912" s="60" t="n"/>
    </row>
    <row r="913" ht="21" customHeight="1">
      <c r="A913" s="59" t="n"/>
      <c r="B913" s="42">
        <f>'設定'!$I$20</f>
        <v/>
      </c>
      <c r="C913" s="60" t="n"/>
      <c r="D913" s="60" t="n"/>
      <c r="E913" s="60" t="n"/>
      <c r="F913" s="60" t="n"/>
      <c r="G913" s="60" t="n"/>
      <c r="H913" s="60" t="n"/>
      <c r="I913" s="60" t="n"/>
      <c r="J913" s="60" t="n"/>
      <c r="K913" s="60" t="n"/>
      <c r="L913" s="60" t="n"/>
    </row>
    <row r="914" ht="21" customHeight="1">
      <c r="A914" s="59" t="n"/>
      <c r="B914" s="42">
        <f>'設定'!$I$21</f>
        <v/>
      </c>
      <c r="C914" s="60" t="n"/>
      <c r="D914" s="60" t="n"/>
      <c r="E914" s="60" t="n"/>
      <c r="F914" s="60" t="n"/>
      <c r="G914" s="60" t="n"/>
      <c r="H914" s="60" t="n"/>
      <c r="I914" s="60" t="n"/>
      <c r="J914" s="60" t="n"/>
      <c r="K914" s="60" t="n"/>
      <c r="L914" s="60" t="n"/>
    </row>
    <row r="915" ht="21" customHeight="1">
      <c r="A915" s="59" t="n"/>
      <c r="B915" s="42">
        <f>'設定'!$I$22</f>
        <v/>
      </c>
      <c r="C915" s="60" t="n"/>
      <c r="D915" s="60" t="n"/>
      <c r="E915" s="60" t="n"/>
      <c r="F915" s="60" t="n"/>
      <c r="G915" s="60" t="n"/>
      <c r="H915" s="60" t="n"/>
      <c r="I915" s="60" t="n"/>
      <c r="J915" s="60" t="n"/>
      <c r="K915" s="60" t="n"/>
      <c r="L915" s="60" t="n"/>
    </row>
    <row r="916" ht="21" customHeight="1">
      <c r="A916" s="59" t="n"/>
      <c r="B916" s="42">
        <f>'設定'!$I$23</f>
        <v/>
      </c>
      <c r="C916" s="60" t="n"/>
      <c r="D916" s="60" t="n"/>
      <c r="E916" s="60" t="n"/>
      <c r="F916" s="60" t="n"/>
      <c r="G916" s="60" t="n"/>
      <c r="H916" s="60" t="n"/>
      <c r="I916" s="60" t="n"/>
      <c r="J916" s="60" t="n"/>
      <c r="K916" s="60" t="n"/>
      <c r="L916" s="60" t="n"/>
    </row>
    <row r="917" ht="21" customHeight="1">
      <c r="A917" s="59" t="n"/>
      <c r="B917" s="42">
        <f>'設定'!$I$24</f>
        <v/>
      </c>
      <c r="C917" s="60" t="n"/>
      <c r="D917" s="60" t="n"/>
      <c r="E917" s="60" t="n"/>
      <c r="F917" s="60" t="n"/>
      <c r="G917" s="60" t="n"/>
      <c r="H917" s="60" t="n"/>
      <c r="I917" s="60" t="n"/>
      <c r="J917" s="60" t="n"/>
      <c r="K917" s="60" t="n"/>
      <c r="L917" s="60" t="n"/>
    </row>
    <row r="918" ht="21" customHeight="1">
      <c r="A918" s="59" t="n"/>
      <c r="B918" s="42">
        <f>'設定'!$I$25</f>
        <v/>
      </c>
      <c r="C918" s="60" t="n"/>
      <c r="D918" s="60" t="n"/>
      <c r="E918" s="60" t="n"/>
      <c r="F918" s="60" t="n"/>
      <c r="G918" s="60" t="n"/>
      <c r="H918" s="60" t="n"/>
      <c r="I918" s="60" t="n"/>
      <c r="J918" s="60" t="n"/>
      <c r="K918" s="60" t="n"/>
      <c r="L918" s="60" t="n"/>
    </row>
    <row r="919" ht="21" customHeight="1">
      <c r="A919" s="59" t="n"/>
      <c r="B919" s="42">
        <f>'設定'!$I$26</f>
        <v/>
      </c>
      <c r="C919" s="60" t="n"/>
      <c r="D919" s="60" t="n"/>
      <c r="E919" s="60" t="n"/>
      <c r="F919" s="60" t="n"/>
      <c r="G919" s="60" t="n"/>
      <c r="H919" s="60" t="n"/>
      <c r="I919" s="60" t="n"/>
      <c r="J919" s="60" t="n"/>
      <c r="K919" s="60" t="n"/>
      <c r="L919" s="60" t="n"/>
    </row>
    <row r="920" ht="21" customHeight="1">
      <c r="A920" s="59" t="n"/>
      <c r="B920" s="42">
        <f>'設定'!$I$27</f>
        <v/>
      </c>
      <c r="C920" s="60" t="n"/>
      <c r="D920" s="60" t="n"/>
      <c r="E920" s="60" t="n"/>
      <c r="F920" s="60" t="n"/>
      <c r="G920" s="60" t="n"/>
      <c r="H920" s="60" t="n"/>
      <c r="I920" s="60" t="n"/>
      <c r="J920" s="60" t="n"/>
      <c r="K920" s="60" t="n"/>
      <c r="L920" s="60" t="n"/>
    </row>
    <row r="921" ht="21" customHeight="1">
      <c r="A921" s="59" t="n"/>
      <c r="B921" s="42">
        <f>'設定'!$I$28</f>
        <v/>
      </c>
      <c r="C921" s="60" t="n"/>
      <c r="D921" s="60" t="n"/>
      <c r="E921" s="60" t="n"/>
      <c r="F921" s="60" t="n"/>
      <c r="G921" s="60" t="n"/>
      <c r="H921" s="60" t="n"/>
      <c r="I921" s="60" t="n"/>
      <c r="J921" s="60" t="n"/>
      <c r="K921" s="60" t="n"/>
      <c r="L921" s="60" t="n"/>
    </row>
    <row r="922" ht="21" customHeight="1">
      <c r="A922" s="59" t="n"/>
      <c r="B922" s="42">
        <f>'設定'!$I$29</f>
        <v/>
      </c>
      <c r="C922" s="60" t="n"/>
      <c r="D922" s="60" t="n"/>
      <c r="E922" s="60" t="n"/>
      <c r="F922" s="60" t="n"/>
      <c r="G922" s="60" t="n"/>
      <c r="H922" s="60" t="n"/>
      <c r="I922" s="60" t="n"/>
      <c r="J922" s="60" t="n"/>
      <c r="K922" s="60" t="n"/>
      <c r="L922" s="60" t="n"/>
    </row>
    <row r="923" ht="21" customHeight="1">
      <c r="A923" s="59" t="n"/>
      <c r="B923" s="42">
        <f>'設定'!$I$30</f>
        <v/>
      </c>
      <c r="C923" s="60" t="n"/>
      <c r="D923" s="60" t="n"/>
      <c r="E923" s="60" t="n"/>
      <c r="F923" s="60" t="n"/>
      <c r="G923" s="60" t="n"/>
      <c r="H923" s="60" t="n"/>
      <c r="I923" s="60" t="n"/>
      <c r="J923" s="60" t="n"/>
      <c r="K923" s="60" t="n"/>
      <c r="L923" s="60" t="n"/>
    </row>
    <row r="924" ht="21" customHeight="1">
      <c r="A924" s="59" t="n"/>
      <c r="B924" s="42">
        <f>'設定'!$I$31</f>
        <v/>
      </c>
      <c r="C924" s="60" t="n"/>
      <c r="D924" s="60" t="n"/>
      <c r="E924" s="60" t="n"/>
      <c r="F924" s="60" t="n"/>
      <c r="G924" s="60" t="n"/>
      <c r="H924" s="60" t="n"/>
      <c r="I924" s="60" t="n"/>
      <c r="J924" s="60" t="n"/>
      <c r="K924" s="60" t="n"/>
      <c r="L924" s="60" t="n"/>
    </row>
    <row r="925" ht="21" customHeight="1">
      <c r="A925" s="59" t="n"/>
      <c r="B925" s="42">
        <f>'設定'!$I$32</f>
        <v/>
      </c>
      <c r="C925" s="60" t="n"/>
      <c r="D925" s="60" t="n"/>
      <c r="E925" s="60" t="n"/>
      <c r="F925" s="60" t="n"/>
      <c r="G925" s="60" t="n"/>
      <c r="H925" s="60" t="n"/>
      <c r="I925" s="60" t="n"/>
      <c r="J925" s="60" t="n"/>
      <c r="K925" s="60" t="n"/>
      <c r="L925" s="60" t="n"/>
    </row>
    <row r="926" ht="21" customHeight="1">
      <c r="A926" s="59" t="n"/>
      <c r="B926" s="42">
        <f>'設定'!$I$33</f>
        <v/>
      </c>
      <c r="C926" s="60" t="n"/>
      <c r="D926" s="60" t="n"/>
      <c r="E926" s="60" t="n"/>
      <c r="F926" s="60" t="n"/>
      <c r="G926" s="60" t="n"/>
      <c r="H926" s="60" t="n"/>
      <c r="I926" s="60" t="n"/>
      <c r="J926" s="60" t="n"/>
      <c r="K926" s="60" t="n"/>
      <c r="L926" s="60" t="n"/>
    </row>
    <row r="927" ht="21" customHeight="1">
      <c r="A927" s="59" t="n"/>
      <c r="B927" s="42">
        <f>'設定'!$I$34</f>
        <v/>
      </c>
      <c r="C927" s="60" t="n"/>
      <c r="D927" s="60" t="n"/>
      <c r="E927" s="60" t="n"/>
      <c r="F927" s="60" t="n"/>
      <c r="G927" s="60" t="n"/>
      <c r="H927" s="60" t="n"/>
      <c r="I927" s="60" t="n"/>
      <c r="J927" s="60" t="n"/>
      <c r="K927" s="60" t="n"/>
      <c r="L927" s="60" t="n"/>
    </row>
    <row r="928"/>
    <row r="929" ht="26" customHeight="1">
      <c r="B929" s="53">
        <f>IF('名簿'!B38="","（名簿 34行目：なし）",'名簿'!G38)</f>
        <v/>
      </c>
      <c r="C929" s="4" t="n"/>
      <c r="D929" s="4" t="n"/>
      <c r="E929" s="54" t="inlineStr">
        <is>
          <t>提出状況 ▶</t>
        </is>
      </c>
      <c r="F929" s="38" t="n"/>
      <c r="G929" s="29" t="n"/>
      <c r="H929" s="55" t="inlineStr">
        <is>
          <t>状況：</t>
        </is>
      </c>
      <c r="I929" s="56">
        <f>'名簿'!H38</f>
        <v/>
      </c>
      <c r="J929" s="55" t="inlineStr">
        <is>
          <t>×の数：</t>
        </is>
      </c>
      <c r="K929" s="57">
        <f>'名簿'!I38</f>
        <v/>
      </c>
      <c r="L929" s="58">
        <f>HYPERLINK("#'×入力'!B957","次の人へ ▼")</f>
        <v/>
      </c>
    </row>
    <row r="930" ht="22" customHeight="1">
      <c r="A930" s="30" t="inlineStr">
        <is>
          <t>この日全部 ▶</t>
        </is>
      </c>
      <c r="C930" s="59" t="n"/>
      <c r="D930" s="59" t="n"/>
      <c r="E930" s="59" t="n"/>
      <c r="F930" s="59" t="n"/>
      <c r="G930" s="59" t="n"/>
      <c r="H930" s="59" t="n"/>
      <c r="I930" s="59" t="n"/>
      <c r="J930" s="59" t="n"/>
      <c r="K930" s="59" t="n"/>
      <c r="L930" s="59" t="n"/>
    </row>
    <row r="931" ht="28" customHeight="1">
      <c r="A931" s="33" t="inlineStr">
        <is>
          <t>この時間
全部 ▼</t>
        </is>
      </c>
      <c r="B931" s="34" t="inlineStr"/>
      <c r="C931" s="35">
        <f>'設定'!$E$11</f>
        <v/>
      </c>
      <c r="D931" s="35">
        <f>'設定'!$E$12</f>
        <v/>
      </c>
      <c r="E931" s="35">
        <f>'設定'!$E$13</f>
        <v/>
      </c>
      <c r="F931" s="35">
        <f>'設定'!$E$14</f>
        <v/>
      </c>
      <c r="G931" s="35">
        <f>'設定'!$E$15</f>
        <v/>
      </c>
      <c r="H931" s="35">
        <f>'設定'!$E$16</f>
        <v/>
      </c>
      <c r="I931" s="35">
        <f>'設定'!$E$17</f>
        <v/>
      </c>
      <c r="J931" s="35">
        <f>'設定'!$E$18</f>
        <v/>
      </c>
      <c r="K931" s="35">
        <f>'設定'!$E$19</f>
        <v/>
      </c>
      <c r="L931" s="35">
        <f>'設定'!$E$20</f>
        <v/>
      </c>
    </row>
    <row r="932" ht="21" customHeight="1">
      <c r="A932" s="59" t="n"/>
      <c r="B932" s="42">
        <f>'設定'!$I$11</f>
        <v/>
      </c>
      <c r="C932" s="60" t="n"/>
      <c r="D932" s="60" t="n"/>
      <c r="E932" s="60" t="n"/>
      <c r="F932" s="60" t="n"/>
      <c r="G932" s="60" t="n"/>
      <c r="H932" s="60" t="n"/>
      <c r="I932" s="60" t="n"/>
      <c r="J932" s="60" t="n"/>
      <c r="K932" s="60" t="n"/>
      <c r="L932" s="60" t="n"/>
    </row>
    <row r="933" ht="21" customHeight="1">
      <c r="A933" s="59" t="n"/>
      <c r="B933" s="42">
        <f>'設定'!$I$12</f>
        <v/>
      </c>
      <c r="C933" s="60" t="n"/>
      <c r="D933" s="60" t="n"/>
      <c r="E933" s="60" t="n"/>
      <c r="F933" s="60" t="n"/>
      <c r="G933" s="60" t="n"/>
      <c r="H933" s="60" t="n"/>
      <c r="I933" s="60" t="n"/>
      <c r="J933" s="60" t="n"/>
      <c r="K933" s="60" t="n"/>
      <c r="L933" s="60" t="n"/>
    </row>
    <row r="934" ht="21" customHeight="1">
      <c r="A934" s="59" t="n"/>
      <c r="B934" s="42">
        <f>'設定'!$I$13</f>
        <v/>
      </c>
      <c r="C934" s="60" t="n"/>
      <c r="D934" s="60" t="n"/>
      <c r="E934" s="60" t="n"/>
      <c r="F934" s="60" t="n"/>
      <c r="G934" s="60" t="n"/>
      <c r="H934" s="60" t="n"/>
      <c r="I934" s="60" t="n"/>
      <c r="J934" s="60" t="n"/>
      <c r="K934" s="60" t="n"/>
      <c r="L934" s="60" t="n"/>
    </row>
    <row r="935" ht="21" customHeight="1">
      <c r="A935" s="59" t="n"/>
      <c r="B935" s="42">
        <f>'設定'!$I$14</f>
        <v/>
      </c>
      <c r="C935" s="60" t="n"/>
      <c r="D935" s="60" t="n"/>
      <c r="E935" s="60" t="n"/>
      <c r="F935" s="60" t="n"/>
      <c r="G935" s="60" t="n"/>
      <c r="H935" s="60" t="n"/>
      <c r="I935" s="60" t="n"/>
      <c r="J935" s="60" t="n"/>
      <c r="K935" s="60" t="n"/>
      <c r="L935" s="60" t="n"/>
    </row>
    <row r="936" ht="21" customHeight="1">
      <c r="A936" s="59" t="n"/>
      <c r="B936" s="42">
        <f>'設定'!$I$15</f>
        <v/>
      </c>
      <c r="C936" s="60" t="n"/>
      <c r="D936" s="60" t="n"/>
      <c r="E936" s="60" t="n"/>
      <c r="F936" s="60" t="n"/>
      <c r="G936" s="60" t="n"/>
      <c r="H936" s="60" t="n"/>
      <c r="I936" s="60" t="n"/>
      <c r="J936" s="60" t="n"/>
      <c r="K936" s="60" t="n"/>
      <c r="L936" s="60" t="n"/>
    </row>
    <row r="937" ht="21" customHeight="1">
      <c r="A937" s="59" t="n"/>
      <c r="B937" s="42">
        <f>'設定'!$I$16</f>
        <v/>
      </c>
      <c r="C937" s="60" t="n"/>
      <c r="D937" s="60" t="n"/>
      <c r="E937" s="60" t="n"/>
      <c r="F937" s="60" t="n"/>
      <c r="G937" s="60" t="n"/>
      <c r="H937" s="60" t="n"/>
      <c r="I937" s="60" t="n"/>
      <c r="J937" s="60" t="n"/>
      <c r="K937" s="60" t="n"/>
      <c r="L937" s="60" t="n"/>
    </row>
    <row r="938" ht="21" customHeight="1">
      <c r="A938" s="59" t="n"/>
      <c r="B938" s="42">
        <f>'設定'!$I$17</f>
        <v/>
      </c>
      <c r="C938" s="60" t="n"/>
      <c r="D938" s="60" t="n"/>
      <c r="E938" s="60" t="n"/>
      <c r="F938" s="60" t="n"/>
      <c r="G938" s="60" t="n"/>
      <c r="H938" s="60" t="n"/>
      <c r="I938" s="60" t="n"/>
      <c r="J938" s="60" t="n"/>
      <c r="K938" s="60" t="n"/>
      <c r="L938" s="60" t="n"/>
    </row>
    <row r="939" ht="21" customHeight="1">
      <c r="A939" s="59" t="n"/>
      <c r="B939" s="42">
        <f>'設定'!$I$18</f>
        <v/>
      </c>
      <c r="C939" s="60" t="n"/>
      <c r="D939" s="60" t="n"/>
      <c r="E939" s="60" t="n"/>
      <c r="F939" s="60" t="n"/>
      <c r="G939" s="60" t="n"/>
      <c r="H939" s="60" t="n"/>
      <c r="I939" s="60" t="n"/>
      <c r="J939" s="60" t="n"/>
      <c r="K939" s="60" t="n"/>
      <c r="L939" s="60" t="n"/>
    </row>
    <row r="940" ht="21" customHeight="1">
      <c r="A940" s="59" t="n"/>
      <c r="B940" s="42">
        <f>'設定'!$I$19</f>
        <v/>
      </c>
      <c r="C940" s="60" t="n"/>
      <c r="D940" s="60" t="n"/>
      <c r="E940" s="60" t="n"/>
      <c r="F940" s="60" t="n"/>
      <c r="G940" s="60" t="n"/>
      <c r="H940" s="60" t="n"/>
      <c r="I940" s="60" t="n"/>
      <c r="J940" s="60" t="n"/>
      <c r="K940" s="60" t="n"/>
      <c r="L940" s="60" t="n"/>
    </row>
    <row r="941" ht="21" customHeight="1">
      <c r="A941" s="59" t="n"/>
      <c r="B941" s="42">
        <f>'設定'!$I$20</f>
        <v/>
      </c>
      <c r="C941" s="60" t="n"/>
      <c r="D941" s="60" t="n"/>
      <c r="E941" s="60" t="n"/>
      <c r="F941" s="60" t="n"/>
      <c r="G941" s="60" t="n"/>
      <c r="H941" s="60" t="n"/>
      <c r="I941" s="60" t="n"/>
      <c r="J941" s="60" t="n"/>
      <c r="K941" s="60" t="n"/>
      <c r="L941" s="60" t="n"/>
    </row>
    <row r="942" ht="21" customHeight="1">
      <c r="A942" s="59" t="n"/>
      <c r="B942" s="42">
        <f>'設定'!$I$21</f>
        <v/>
      </c>
      <c r="C942" s="60" t="n"/>
      <c r="D942" s="60" t="n"/>
      <c r="E942" s="60" t="n"/>
      <c r="F942" s="60" t="n"/>
      <c r="G942" s="60" t="n"/>
      <c r="H942" s="60" t="n"/>
      <c r="I942" s="60" t="n"/>
      <c r="J942" s="60" t="n"/>
      <c r="K942" s="60" t="n"/>
      <c r="L942" s="60" t="n"/>
    </row>
    <row r="943" ht="21" customHeight="1">
      <c r="A943" s="59" t="n"/>
      <c r="B943" s="42">
        <f>'設定'!$I$22</f>
        <v/>
      </c>
      <c r="C943" s="60" t="n"/>
      <c r="D943" s="60" t="n"/>
      <c r="E943" s="60" t="n"/>
      <c r="F943" s="60" t="n"/>
      <c r="G943" s="60" t="n"/>
      <c r="H943" s="60" t="n"/>
      <c r="I943" s="60" t="n"/>
      <c r="J943" s="60" t="n"/>
      <c r="K943" s="60" t="n"/>
      <c r="L943" s="60" t="n"/>
    </row>
    <row r="944" ht="21" customHeight="1">
      <c r="A944" s="59" t="n"/>
      <c r="B944" s="42">
        <f>'設定'!$I$23</f>
        <v/>
      </c>
      <c r="C944" s="60" t="n"/>
      <c r="D944" s="60" t="n"/>
      <c r="E944" s="60" t="n"/>
      <c r="F944" s="60" t="n"/>
      <c r="G944" s="60" t="n"/>
      <c r="H944" s="60" t="n"/>
      <c r="I944" s="60" t="n"/>
      <c r="J944" s="60" t="n"/>
      <c r="K944" s="60" t="n"/>
      <c r="L944" s="60" t="n"/>
    </row>
    <row r="945" ht="21" customHeight="1">
      <c r="A945" s="59" t="n"/>
      <c r="B945" s="42">
        <f>'設定'!$I$24</f>
        <v/>
      </c>
      <c r="C945" s="60" t="n"/>
      <c r="D945" s="60" t="n"/>
      <c r="E945" s="60" t="n"/>
      <c r="F945" s="60" t="n"/>
      <c r="G945" s="60" t="n"/>
      <c r="H945" s="60" t="n"/>
      <c r="I945" s="60" t="n"/>
      <c r="J945" s="60" t="n"/>
      <c r="K945" s="60" t="n"/>
      <c r="L945" s="60" t="n"/>
    </row>
    <row r="946" ht="21" customHeight="1">
      <c r="A946" s="59" t="n"/>
      <c r="B946" s="42">
        <f>'設定'!$I$25</f>
        <v/>
      </c>
      <c r="C946" s="60" t="n"/>
      <c r="D946" s="60" t="n"/>
      <c r="E946" s="60" t="n"/>
      <c r="F946" s="60" t="n"/>
      <c r="G946" s="60" t="n"/>
      <c r="H946" s="60" t="n"/>
      <c r="I946" s="60" t="n"/>
      <c r="J946" s="60" t="n"/>
      <c r="K946" s="60" t="n"/>
      <c r="L946" s="60" t="n"/>
    </row>
    <row r="947" ht="21" customHeight="1">
      <c r="A947" s="59" t="n"/>
      <c r="B947" s="42">
        <f>'設定'!$I$26</f>
        <v/>
      </c>
      <c r="C947" s="60" t="n"/>
      <c r="D947" s="60" t="n"/>
      <c r="E947" s="60" t="n"/>
      <c r="F947" s="60" t="n"/>
      <c r="G947" s="60" t="n"/>
      <c r="H947" s="60" t="n"/>
      <c r="I947" s="60" t="n"/>
      <c r="J947" s="60" t="n"/>
      <c r="K947" s="60" t="n"/>
      <c r="L947" s="60" t="n"/>
    </row>
    <row r="948" ht="21" customHeight="1">
      <c r="A948" s="59" t="n"/>
      <c r="B948" s="42">
        <f>'設定'!$I$27</f>
        <v/>
      </c>
      <c r="C948" s="60" t="n"/>
      <c r="D948" s="60" t="n"/>
      <c r="E948" s="60" t="n"/>
      <c r="F948" s="60" t="n"/>
      <c r="G948" s="60" t="n"/>
      <c r="H948" s="60" t="n"/>
      <c r="I948" s="60" t="n"/>
      <c r="J948" s="60" t="n"/>
      <c r="K948" s="60" t="n"/>
      <c r="L948" s="60" t="n"/>
    </row>
    <row r="949" ht="21" customHeight="1">
      <c r="A949" s="59" t="n"/>
      <c r="B949" s="42">
        <f>'設定'!$I$28</f>
        <v/>
      </c>
      <c r="C949" s="60" t="n"/>
      <c r="D949" s="60" t="n"/>
      <c r="E949" s="60" t="n"/>
      <c r="F949" s="60" t="n"/>
      <c r="G949" s="60" t="n"/>
      <c r="H949" s="60" t="n"/>
      <c r="I949" s="60" t="n"/>
      <c r="J949" s="60" t="n"/>
      <c r="K949" s="60" t="n"/>
      <c r="L949" s="60" t="n"/>
    </row>
    <row r="950" ht="21" customHeight="1">
      <c r="A950" s="59" t="n"/>
      <c r="B950" s="42">
        <f>'設定'!$I$29</f>
        <v/>
      </c>
      <c r="C950" s="60" t="n"/>
      <c r="D950" s="60" t="n"/>
      <c r="E950" s="60" t="n"/>
      <c r="F950" s="60" t="n"/>
      <c r="G950" s="60" t="n"/>
      <c r="H950" s="60" t="n"/>
      <c r="I950" s="60" t="n"/>
      <c r="J950" s="60" t="n"/>
      <c r="K950" s="60" t="n"/>
      <c r="L950" s="60" t="n"/>
    </row>
    <row r="951" ht="21" customHeight="1">
      <c r="A951" s="59" t="n"/>
      <c r="B951" s="42">
        <f>'設定'!$I$30</f>
        <v/>
      </c>
      <c r="C951" s="60" t="n"/>
      <c r="D951" s="60" t="n"/>
      <c r="E951" s="60" t="n"/>
      <c r="F951" s="60" t="n"/>
      <c r="G951" s="60" t="n"/>
      <c r="H951" s="60" t="n"/>
      <c r="I951" s="60" t="n"/>
      <c r="J951" s="60" t="n"/>
      <c r="K951" s="60" t="n"/>
      <c r="L951" s="60" t="n"/>
    </row>
    <row r="952" ht="21" customHeight="1">
      <c r="A952" s="59" t="n"/>
      <c r="B952" s="42">
        <f>'設定'!$I$31</f>
        <v/>
      </c>
      <c r="C952" s="60" t="n"/>
      <c r="D952" s="60" t="n"/>
      <c r="E952" s="60" t="n"/>
      <c r="F952" s="60" t="n"/>
      <c r="G952" s="60" t="n"/>
      <c r="H952" s="60" t="n"/>
      <c r="I952" s="60" t="n"/>
      <c r="J952" s="60" t="n"/>
      <c r="K952" s="60" t="n"/>
      <c r="L952" s="60" t="n"/>
    </row>
    <row r="953" ht="21" customHeight="1">
      <c r="A953" s="59" t="n"/>
      <c r="B953" s="42">
        <f>'設定'!$I$32</f>
        <v/>
      </c>
      <c r="C953" s="60" t="n"/>
      <c r="D953" s="60" t="n"/>
      <c r="E953" s="60" t="n"/>
      <c r="F953" s="60" t="n"/>
      <c r="G953" s="60" t="n"/>
      <c r="H953" s="60" t="n"/>
      <c r="I953" s="60" t="n"/>
      <c r="J953" s="60" t="n"/>
      <c r="K953" s="60" t="n"/>
      <c r="L953" s="60" t="n"/>
    </row>
    <row r="954" ht="21" customHeight="1">
      <c r="A954" s="59" t="n"/>
      <c r="B954" s="42">
        <f>'設定'!$I$33</f>
        <v/>
      </c>
      <c r="C954" s="60" t="n"/>
      <c r="D954" s="60" t="n"/>
      <c r="E954" s="60" t="n"/>
      <c r="F954" s="60" t="n"/>
      <c r="G954" s="60" t="n"/>
      <c r="H954" s="60" t="n"/>
      <c r="I954" s="60" t="n"/>
      <c r="J954" s="60" t="n"/>
      <c r="K954" s="60" t="n"/>
      <c r="L954" s="60" t="n"/>
    </row>
    <row r="955" ht="21" customHeight="1">
      <c r="A955" s="59" t="n"/>
      <c r="B955" s="42">
        <f>'設定'!$I$34</f>
        <v/>
      </c>
      <c r="C955" s="60" t="n"/>
      <c r="D955" s="60" t="n"/>
      <c r="E955" s="60" t="n"/>
      <c r="F955" s="60" t="n"/>
      <c r="G955" s="60" t="n"/>
      <c r="H955" s="60" t="n"/>
      <c r="I955" s="60" t="n"/>
      <c r="J955" s="60" t="n"/>
      <c r="K955" s="60" t="n"/>
      <c r="L955" s="60" t="n"/>
    </row>
    <row r="956"/>
    <row r="957" ht="26" customHeight="1">
      <c r="B957" s="53">
        <f>IF('名簿'!B39="","（名簿 35行目：なし）",'名簿'!G39)</f>
        <v/>
      </c>
      <c r="C957" s="4" t="n"/>
      <c r="D957" s="4" t="n"/>
      <c r="E957" s="54" t="inlineStr">
        <is>
          <t>提出状況 ▶</t>
        </is>
      </c>
      <c r="F957" s="38" t="n"/>
      <c r="G957" s="29" t="n"/>
      <c r="H957" s="55" t="inlineStr">
        <is>
          <t>状況：</t>
        </is>
      </c>
      <c r="I957" s="56">
        <f>'名簿'!H39</f>
        <v/>
      </c>
      <c r="J957" s="55" t="inlineStr">
        <is>
          <t>×の数：</t>
        </is>
      </c>
      <c r="K957" s="57">
        <f>'名簿'!I39</f>
        <v/>
      </c>
      <c r="L957" s="58">
        <f>HYPERLINK("#'×入力'!B985","次の人へ ▼")</f>
        <v/>
      </c>
    </row>
    <row r="958" ht="22" customHeight="1">
      <c r="A958" s="30" t="inlineStr">
        <is>
          <t>この日全部 ▶</t>
        </is>
      </c>
      <c r="C958" s="59" t="n"/>
      <c r="D958" s="59" t="n"/>
      <c r="E958" s="59" t="n"/>
      <c r="F958" s="59" t="n"/>
      <c r="G958" s="59" t="n"/>
      <c r="H958" s="59" t="n"/>
      <c r="I958" s="59" t="n"/>
      <c r="J958" s="59" t="n"/>
      <c r="K958" s="59" t="n"/>
      <c r="L958" s="59" t="n"/>
    </row>
    <row r="959" ht="28" customHeight="1">
      <c r="A959" s="33" t="inlineStr">
        <is>
          <t>この時間
全部 ▼</t>
        </is>
      </c>
      <c r="B959" s="34" t="inlineStr"/>
      <c r="C959" s="35">
        <f>'設定'!$E$11</f>
        <v/>
      </c>
      <c r="D959" s="35">
        <f>'設定'!$E$12</f>
        <v/>
      </c>
      <c r="E959" s="35">
        <f>'設定'!$E$13</f>
        <v/>
      </c>
      <c r="F959" s="35">
        <f>'設定'!$E$14</f>
        <v/>
      </c>
      <c r="G959" s="35">
        <f>'設定'!$E$15</f>
        <v/>
      </c>
      <c r="H959" s="35">
        <f>'設定'!$E$16</f>
        <v/>
      </c>
      <c r="I959" s="35">
        <f>'設定'!$E$17</f>
        <v/>
      </c>
      <c r="J959" s="35">
        <f>'設定'!$E$18</f>
        <v/>
      </c>
      <c r="K959" s="35">
        <f>'設定'!$E$19</f>
        <v/>
      </c>
      <c r="L959" s="35">
        <f>'設定'!$E$20</f>
        <v/>
      </c>
    </row>
    <row r="960" ht="21" customHeight="1">
      <c r="A960" s="59" t="n"/>
      <c r="B960" s="42">
        <f>'設定'!$I$11</f>
        <v/>
      </c>
      <c r="C960" s="60" t="n"/>
      <c r="D960" s="60" t="n"/>
      <c r="E960" s="60" t="n"/>
      <c r="F960" s="60" t="n"/>
      <c r="G960" s="60" t="n"/>
      <c r="H960" s="60" t="n"/>
      <c r="I960" s="60" t="n"/>
      <c r="J960" s="60" t="n"/>
      <c r="K960" s="60" t="n"/>
      <c r="L960" s="60" t="n"/>
    </row>
    <row r="961" ht="21" customHeight="1">
      <c r="A961" s="59" t="n"/>
      <c r="B961" s="42">
        <f>'設定'!$I$12</f>
        <v/>
      </c>
      <c r="C961" s="60" t="n"/>
      <c r="D961" s="60" t="n"/>
      <c r="E961" s="60" t="n"/>
      <c r="F961" s="60" t="n"/>
      <c r="G961" s="60" t="n"/>
      <c r="H961" s="60" t="n"/>
      <c r="I961" s="60" t="n"/>
      <c r="J961" s="60" t="n"/>
      <c r="K961" s="60" t="n"/>
      <c r="L961" s="60" t="n"/>
    </row>
    <row r="962" ht="21" customHeight="1">
      <c r="A962" s="59" t="n"/>
      <c r="B962" s="42">
        <f>'設定'!$I$13</f>
        <v/>
      </c>
      <c r="C962" s="60" t="n"/>
      <c r="D962" s="60" t="n"/>
      <c r="E962" s="60" t="n"/>
      <c r="F962" s="60" t="n"/>
      <c r="G962" s="60" t="n"/>
      <c r="H962" s="60" t="n"/>
      <c r="I962" s="60" t="n"/>
      <c r="J962" s="60" t="n"/>
      <c r="K962" s="60" t="n"/>
      <c r="L962" s="60" t="n"/>
    </row>
    <row r="963" ht="21" customHeight="1">
      <c r="A963" s="59" t="n"/>
      <c r="B963" s="42">
        <f>'設定'!$I$14</f>
        <v/>
      </c>
      <c r="C963" s="60" t="n"/>
      <c r="D963" s="60" t="n"/>
      <c r="E963" s="60" t="n"/>
      <c r="F963" s="60" t="n"/>
      <c r="G963" s="60" t="n"/>
      <c r="H963" s="60" t="n"/>
      <c r="I963" s="60" t="n"/>
      <c r="J963" s="60" t="n"/>
      <c r="K963" s="60" t="n"/>
      <c r="L963" s="60" t="n"/>
    </row>
    <row r="964" ht="21" customHeight="1">
      <c r="A964" s="59" t="n"/>
      <c r="B964" s="42">
        <f>'設定'!$I$15</f>
        <v/>
      </c>
      <c r="C964" s="60" t="n"/>
      <c r="D964" s="60" t="n"/>
      <c r="E964" s="60" t="n"/>
      <c r="F964" s="60" t="n"/>
      <c r="G964" s="60" t="n"/>
      <c r="H964" s="60" t="n"/>
      <c r="I964" s="60" t="n"/>
      <c r="J964" s="60" t="n"/>
      <c r="K964" s="60" t="n"/>
      <c r="L964" s="60" t="n"/>
    </row>
    <row r="965" ht="21" customHeight="1">
      <c r="A965" s="59" t="n"/>
      <c r="B965" s="42">
        <f>'設定'!$I$16</f>
        <v/>
      </c>
      <c r="C965" s="60" t="n"/>
      <c r="D965" s="60" t="n"/>
      <c r="E965" s="60" t="n"/>
      <c r="F965" s="60" t="n"/>
      <c r="G965" s="60" t="n"/>
      <c r="H965" s="60" t="n"/>
      <c r="I965" s="60" t="n"/>
      <c r="J965" s="60" t="n"/>
      <c r="K965" s="60" t="n"/>
      <c r="L965" s="60" t="n"/>
    </row>
    <row r="966" ht="21" customHeight="1">
      <c r="A966" s="59" t="n"/>
      <c r="B966" s="42">
        <f>'設定'!$I$17</f>
        <v/>
      </c>
      <c r="C966" s="60" t="n"/>
      <c r="D966" s="60" t="n"/>
      <c r="E966" s="60" t="n"/>
      <c r="F966" s="60" t="n"/>
      <c r="G966" s="60" t="n"/>
      <c r="H966" s="60" t="n"/>
      <c r="I966" s="60" t="n"/>
      <c r="J966" s="60" t="n"/>
      <c r="K966" s="60" t="n"/>
      <c r="L966" s="60" t="n"/>
    </row>
    <row r="967" ht="21" customHeight="1">
      <c r="A967" s="59" t="n"/>
      <c r="B967" s="42">
        <f>'設定'!$I$18</f>
        <v/>
      </c>
      <c r="C967" s="60" t="n"/>
      <c r="D967" s="60" t="n"/>
      <c r="E967" s="60" t="n"/>
      <c r="F967" s="60" t="n"/>
      <c r="G967" s="60" t="n"/>
      <c r="H967" s="60" t="n"/>
      <c r="I967" s="60" t="n"/>
      <c r="J967" s="60" t="n"/>
      <c r="K967" s="60" t="n"/>
      <c r="L967" s="60" t="n"/>
    </row>
    <row r="968" ht="21" customHeight="1">
      <c r="A968" s="59" t="n"/>
      <c r="B968" s="42">
        <f>'設定'!$I$19</f>
        <v/>
      </c>
      <c r="C968" s="60" t="n"/>
      <c r="D968" s="60" t="n"/>
      <c r="E968" s="60" t="n"/>
      <c r="F968" s="60" t="n"/>
      <c r="G968" s="60" t="n"/>
      <c r="H968" s="60" t="n"/>
      <c r="I968" s="60" t="n"/>
      <c r="J968" s="60" t="n"/>
      <c r="K968" s="60" t="n"/>
      <c r="L968" s="60" t="n"/>
    </row>
    <row r="969" ht="21" customHeight="1">
      <c r="A969" s="59" t="n"/>
      <c r="B969" s="42">
        <f>'設定'!$I$20</f>
        <v/>
      </c>
      <c r="C969" s="60" t="n"/>
      <c r="D969" s="60" t="n"/>
      <c r="E969" s="60" t="n"/>
      <c r="F969" s="60" t="n"/>
      <c r="G969" s="60" t="n"/>
      <c r="H969" s="60" t="n"/>
      <c r="I969" s="60" t="n"/>
      <c r="J969" s="60" t="n"/>
      <c r="K969" s="60" t="n"/>
      <c r="L969" s="60" t="n"/>
    </row>
    <row r="970" ht="21" customHeight="1">
      <c r="A970" s="59" t="n"/>
      <c r="B970" s="42">
        <f>'設定'!$I$21</f>
        <v/>
      </c>
      <c r="C970" s="60" t="n"/>
      <c r="D970" s="60" t="n"/>
      <c r="E970" s="60" t="n"/>
      <c r="F970" s="60" t="n"/>
      <c r="G970" s="60" t="n"/>
      <c r="H970" s="60" t="n"/>
      <c r="I970" s="60" t="n"/>
      <c r="J970" s="60" t="n"/>
      <c r="K970" s="60" t="n"/>
      <c r="L970" s="60" t="n"/>
    </row>
    <row r="971" ht="21" customHeight="1">
      <c r="A971" s="59" t="n"/>
      <c r="B971" s="42">
        <f>'設定'!$I$22</f>
        <v/>
      </c>
      <c r="C971" s="60" t="n"/>
      <c r="D971" s="60" t="n"/>
      <c r="E971" s="60" t="n"/>
      <c r="F971" s="60" t="n"/>
      <c r="G971" s="60" t="n"/>
      <c r="H971" s="60" t="n"/>
      <c r="I971" s="60" t="n"/>
      <c r="J971" s="60" t="n"/>
      <c r="K971" s="60" t="n"/>
      <c r="L971" s="60" t="n"/>
    </row>
    <row r="972" ht="21" customHeight="1">
      <c r="A972" s="59" t="n"/>
      <c r="B972" s="42">
        <f>'設定'!$I$23</f>
        <v/>
      </c>
      <c r="C972" s="60" t="n"/>
      <c r="D972" s="60" t="n"/>
      <c r="E972" s="60" t="n"/>
      <c r="F972" s="60" t="n"/>
      <c r="G972" s="60" t="n"/>
      <c r="H972" s="60" t="n"/>
      <c r="I972" s="60" t="n"/>
      <c r="J972" s="60" t="n"/>
      <c r="K972" s="60" t="n"/>
      <c r="L972" s="60" t="n"/>
    </row>
    <row r="973" ht="21" customHeight="1">
      <c r="A973" s="59" t="n"/>
      <c r="B973" s="42">
        <f>'設定'!$I$24</f>
        <v/>
      </c>
      <c r="C973" s="60" t="n"/>
      <c r="D973" s="60" t="n"/>
      <c r="E973" s="60" t="n"/>
      <c r="F973" s="60" t="n"/>
      <c r="G973" s="60" t="n"/>
      <c r="H973" s="60" t="n"/>
      <c r="I973" s="60" t="n"/>
      <c r="J973" s="60" t="n"/>
      <c r="K973" s="60" t="n"/>
      <c r="L973" s="60" t="n"/>
    </row>
    <row r="974" ht="21" customHeight="1">
      <c r="A974" s="59" t="n"/>
      <c r="B974" s="42">
        <f>'設定'!$I$25</f>
        <v/>
      </c>
      <c r="C974" s="60" t="n"/>
      <c r="D974" s="60" t="n"/>
      <c r="E974" s="60" t="n"/>
      <c r="F974" s="60" t="n"/>
      <c r="G974" s="60" t="n"/>
      <c r="H974" s="60" t="n"/>
      <c r="I974" s="60" t="n"/>
      <c r="J974" s="60" t="n"/>
      <c r="K974" s="60" t="n"/>
      <c r="L974" s="60" t="n"/>
    </row>
    <row r="975" ht="21" customHeight="1">
      <c r="A975" s="59" t="n"/>
      <c r="B975" s="42">
        <f>'設定'!$I$26</f>
        <v/>
      </c>
      <c r="C975" s="60" t="n"/>
      <c r="D975" s="60" t="n"/>
      <c r="E975" s="60" t="n"/>
      <c r="F975" s="60" t="n"/>
      <c r="G975" s="60" t="n"/>
      <c r="H975" s="60" t="n"/>
      <c r="I975" s="60" t="n"/>
      <c r="J975" s="60" t="n"/>
      <c r="K975" s="60" t="n"/>
      <c r="L975" s="60" t="n"/>
    </row>
    <row r="976" ht="21" customHeight="1">
      <c r="A976" s="59" t="n"/>
      <c r="B976" s="42">
        <f>'設定'!$I$27</f>
        <v/>
      </c>
      <c r="C976" s="60" t="n"/>
      <c r="D976" s="60" t="n"/>
      <c r="E976" s="60" t="n"/>
      <c r="F976" s="60" t="n"/>
      <c r="G976" s="60" t="n"/>
      <c r="H976" s="60" t="n"/>
      <c r="I976" s="60" t="n"/>
      <c r="J976" s="60" t="n"/>
      <c r="K976" s="60" t="n"/>
      <c r="L976" s="60" t="n"/>
    </row>
    <row r="977" ht="21" customHeight="1">
      <c r="A977" s="59" t="n"/>
      <c r="B977" s="42">
        <f>'設定'!$I$28</f>
        <v/>
      </c>
      <c r="C977" s="60" t="n"/>
      <c r="D977" s="60" t="n"/>
      <c r="E977" s="60" t="n"/>
      <c r="F977" s="60" t="n"/>
      <c r="G977" s="60" t="n"/>
      <c r="H977" s="60" t="n"/>
      <c r="I977" s="60" t="n"/>
      <c r="J977" s="60" t="n"/>
      <c r="K977" s="60" t="n"/>
      <c r="L977" s="60" t="n"/>
    </row>
    <row r="978" ht="21" customHeight="1">
      <c r="A978" s="59" t="n"/>
      <c r="B978" s="42">
        <f>'設定'!$I$29</f>
        <v/>
      </c>
      <c r="C978" s="60" t="n"/>
      <c r="D978" s="60" t="n"/>
      <c r="E978" s="60" t="n"/>
      <c r="F978" s="60" t="n"/>
      <c r="G978" s="60" t="n"/>
      <c r="H978" s="60" t="n"/>
      <c r="I978" s="60" t="n"/>
      <c r="J978" s="60" t="n"/>
      <c r="K978" s="60" t="n"/>
      <c r="L978" s="60" t="n"/>
    </row>
    <row r="979" ht="21" customHeight="1">
      <c r="A979" s="59" t="n"/>
      <c r="B979" s="42">
        <f>'設定'!$I$30</f>
        <v/>
      </c>
      <c r="C979" s="60" t="n"/>
      <c r="D979" s="60" t="n"/>
      <c r="E979" s="60" t="n"/>
      <c r="F979" s="60" t="n"/>
      <c r="G979" s="60" t="n"/>
      <c r="H979" s="60" t="n"/>
      <c r="I979" s="60" t="n"/>
      <c r="J979" s="60" t="n"/>
      <c r="K979" s="60" t="n"/>
      <c r="L979" s="60" t="n"/>
    </row>
    <row r="980" ht="21" customHeight="1">
      <c r="A980" s="59" t="n"/>
      <c r="B980" s="42">
        <f>'設定'!$I$31</f>
        <v/>
      </c>
      <c r="C980" s="60" t="n"/>
      <c r="D980" s="60" t="n"/>
      <c r="E980" s="60" t="n"/>
      <c r="F980" s="60" t="n"/>
      <c r="G980" s="60" t="n"/>
      <c r="H980" s="60" t="n"/>
      <c r="I980" s="60" t="n"/>
      <c r="J980" s="60" t="n"/>
      <c r="K980" s="60" t="n"/>
      <c r="L980" s="60" t="n"/>
    </row>
    <row r="981" ht="21" customHeight="1">
      <c r="A981" s="59" t="n"/>
      <c r="B981" s="42">
        <f>'設定'!$I$32</f>
        <v/>
      </c>
      <c r="C981" s="60" t="n"/>
      <c r="D981" s="60" t="n"/>
      <c r="E981" s="60" t="n"/>
      <c r="F981" s="60" t="n"/>
      <c r="G981" s="60" t="n"/>
      <c r="H981" s="60" t="n"/>
      <c r="I981" s="60" t="n"/>
      <c r="J981" s="60" t="n"/>
      <c r="K981" s="60" t="n"/>
      <c r="L981" s="60" t="n"/>
    </row>
    <row r="982" ht="21" customHeight="1">
      <c r="A982" s="59" t="n"/>
      <c r="B982" s="42">
        <f>'設定'!$I$33</f>
        <v/>
      </c>
      <c r="C982" s="60" t="n"/>
      <c r="D982" s="60" t="n"/>
      <c r="E982" s="60" t="n"/>
      <c r="F982" s="60" t="n"/>
      <c r="G982" s="60" t="n"/>
      <c r="H982" s="60" t="n"/>
      <c r="I982" s="60" t="n"/>
      <c r="J982" s="60" t="n"/>
      <c r="K982" s="60" t="n"/>
      <c r="L982" s="60" t="n"/>
    </row>
    <row r="983" ht="21" customHeight="1">
      <c r="A983" s="59" t="n"/>
      <c r="B983" s="42">
        <f>'設定'!$I$34</f>
        <v/>
      </c>
      <c r="C983" s="60" t="n"/>
      <c r="D983" s="60" t="n"/>
      <c r="E983" s="60" t="n"/>
      <c r="F983" s="60" t="n"/>
      <c r="G983" s="60" t="n"/>
      <c r="H983" s="60" t="n"/>
      <c r="I983" s="60" t="n"/>
      <c r="J983" s="60" t="n"/>
      <c r="K983" s="60" t="n"/>
      <c r="L983" s="60" t="n"/>
    </row>
    <row r="984"/>
    <row r="985" ht="26" customHeight="1">
      <c r="B985" s="53">
        <f>IF('名簿'!B40="","（名簿 36行目：なし）",'名簿'!G40)</f>
        <v/>
      </c>
      <c r="C985" s="4" t="n"/>
      <c r="D985" s="4" t="n"/>
      <c r="E985" s="54" t="inlineStr">
        <is>
          <t>提出状況 ▶</t>
        </is>
      </c>
      <c r="F985" s="38" t="n"/>
      <c r="G985" s="29" t="n"/>
      <c r="H985" s="55" t="inlineStr">
        <is>
          <t>状況：</t>
        </is>
      </c>
      <c r="I985" s="56">
        <f>'名簿'!H40</f>
        <v/>
      </c>
      <c r="J985" s="55" t="inlineStr">
        <is>
          <t>×の数：</t>
        </is>
      </c>
      <c r="K985" s="57">
        <f>'名簿'!I40</f>
        <v/>
      </c>
      <c r="L985" s="58">
        <f>HYPERLINK("#'×入力'!B1013","次の人へ ▼")</f>
        <v/>
      </c>
    </row>
    <row r="986" ht="22" customHeight="1">
      <c r="A986" s="30" t="inlineStr">
        <is>
          <t>この日全部 ▶</t>
        </is>
      </c>
      <c r="C986" s="59" t="n"/>
      <c r="D986" s="59" t="n"/>
      <c r="E986" s="59" t="n"/>
      <c r="F986" s="59" t="n"/>
      <c r="G986" s="59" t="n"/>
      <c r="H986" s="59" t="n"/>
      <c r="I986" s="59" t="n"/>
      <c r="J986" s="59" t="n"/>
      <c r="K986" s="59" t="n"/>
      <c r="L986" s="59" t="n"/>
    </row>
    <row r="987" ht="28" customHeight="1">
      <c r="A987" s="33" t="inlineStr">
        <is>
          <t>この時間
全部 ▼</t>
        </is>
      </c>
      <c r="B987" s="34" t="inlineStr"/>
      <c r="C987" s="35">
        <f>'設定'!$E$11</f>
        <v/>
      </c>
      <c r="D987" s="35">
        <f>'設定'!$E$12</f>
        <v/>
      </c>
      <c r="E987" s="35">
        <f>'設定'!$E$13</f>
        <v/>
      </c>
      <c r="F987" s="35">
        <f>'設定'!$E$14</f>
        <v/>
      </c>
      <c r="G987" s="35">
        <f>'設定'!$E$15</f>
        <v/>
      </c>
      <c r="H987" s="35">
        <f>'設定'!$E$16</f>
        <v/>
      </c>
      <c r="I987" s="35">
        <f>'設定'!$E$17</f>
        <v/>
      </c>
      <c r="J987" s="35">
        <f>'設定'!$E$18</f>
        <v/>
      </c>
      <c r="K987" s="35">
        <f>'設定'!$E$19</f>
        <v/>
      </c>
      <c r="L987" s="35">
        <f>'設定'!$E$20</f>
        <v/>
      </c>
    </row>
    <row r="988" ht="21" customHeight="1">
      <c r="A988" s="59" t="n"/>
      <c r="B988" s="42">
        <f>'設定'!$I$11</f>
        <v/>
      </c>
      <c r="C988" s="60" t="n"/>
      <c r="D988" s="60" t="n"/>
      <c r="E988" s="60" t="n"/>
      <c r="F988" s="60" t="n"/>
      <c r="G988" s="60" t="n"/>
      <c r="H988" s="60" t="n"/>
      <c r="I988" s="60" t="n"/>
      <c r="J988" s="60" t="n"/>
      <c r="K988" s="60" t="n"/>
      <c r="L988" s="60" t="n"/>
    </row>
    <row r="989" ht="21" customHeight="1">
      <c r="A989" s="59" t="n"/>
      <c r="B989" s="42">
        <f>'設定'!$I$12</f>
        <v/>
      </c>
      <c r="C989" s="60" t="n"/>
      <c r="D989" s="60" t="n"/>
      <c r="E989" s="60" t="n"/>
      <c r="F989" s="60" t="n"/>
      <c r="G989" s="60" t="n"/>
      <c r="H989" s="60" t="n"/>
      <c r="I989" s="60" t="n"/>
      <c r="J989" s="60" t="n"/>
      <c r="K989" s="60" t="n"/>
      <c r="L989" s="60" t="n"/>
    </row>
    <row r="990" ht="21" customHeight="1">
      <c r="A990" s="59" t="n"/>
      <c r="B990" s="42">
        <f>'設定'!$I$13</f>
        <v/>
      </c>
      <c r="C990" s="60" t="n"/>
      <c r="D990" s="60" t="n"/>
      <c r="E990" s="60" t="n"/>
      <c r="F990" s="60" t="n"/>
      <c r="G990" s="60" t="n"/>
      <c r="H990" s="60" t="n"/>
      <c r="I990" s="60" t="n"/>
      <c r="J990" s="60" t="n"/>
      <c r="K990" s="60" t="n"/>
      <c r="L990" s="60" t="n"/>
    </row>
    <row r="991" ht="21" customHeight="1">
      <c r="A991" s="59" t="n"/>
      <c r="B991" s="42">
        <f>'設定'!$I$14</f>
        <v/>
      </c>
      <c r="C991" s="60" t="n"/>
      <c r="D991" s="60" t="n"/>
      <c r="E991" s="60" t="n"/>
      <c r="F991" s="60" t="n"/>
      <c r="G991" s="60" t="n"/>
      <c r="H991" s="60" t="n"/>
      <c r="I991" s="60" t="n"/>
      <c r="J991" s="60" t="n"/>
      <c r="K991" s="60" t="n"/>
      <c r="L991" s="60" t="n"/>
    </row>
    <row r="992" ht="21" customHeight="1">
      <c r="A992" s="59" t="n"/>
      <c r="B992" s="42">
        <f>'設定'!$I$15</f>
        <v/>
      </c>
      <c r="C992" s="60" t="n"/>
      <c r="D992" s="60" t="n"/>
      <c r="E992" s="60" t="n"/>
      <c r="F992" s="60" t="n"/>
      <c r="G992" s="60" t="n"/>
      <c r="H992" s="60" t="n"/>
      <c r="I992" s="60" t="n"/>
      <c r="J992" s="60" t="n"/>
      <c r="K992" s="60" t="n"/>
      <c r="L992" s="60" t="n"/>
    </row>
    <row r="993" ht="21" customHeight="1">
      <c r="A993" s="59" t="n"/>
      <c r="B993" s="42">
        <f>'設定'!$I$16</f>
        <v/>
      </c>
      <c r="C993" s="60" t="n"/>
      <c r="D993" s="60" t="n"/>
      <c r="E993" s="60" t="n"/>
      <c r="F993" s="60" t="n"/>
      <c r="G993" s="60" t="n"/>
      <c r="H993" s="60" t="n"/>
      <c r="I993" s="60" t="n"/>
      <c r="J993" s="60" t="n"/>
      <c r="K993" s="60" t="n"/>
      <c r="L993" s="60" t="n"/>
    </row>
    <row r="994" ht="21" customHeight="1">
      <c r="A994" s="59" t="n"/>
      <c r="B994" s="42">
        <f>'設定'!$I$17</f>
        <v/>
      </c>
      <c r="C994" s="60" t="n"/>
      <c r="D994" s="60" t="n"/>
      <c r="E994" s="60" t="n"/>
      <c r="F994" s="60" t="n"/>
      <c r="G994" s="60" t="n"/>
      <c r="H994" s="60" t="n"/>
      <c r="I994" s="60" t="n"/>
      <c r="J994" s="60" t="n"/>
      <c r="K994" s="60" t="n"/>
      <c r="L994" s="60" t="n"/>
    </row>
    <row r="995" ht="21" customHeight="1">
      <c r="A995" s="59" t="n"/>
      <c r="B995" s="42">
        <f>'設定'!$I$18</f>
        <v/>
      </c>
      <c r="C995" s="60" t="n"/>
      <c r="D995" s="60" t="n"/>
      <c r="E995" s="60" t="n"/>
      <c r="F995" s="60" t="n"/>
      <c r="G995" s="60" t="n"/>
      <c r="H995" s="60" t="n"/>
      <c r="I995" s="60" t="n"/>
      <c r="J995" s="60" t="n"/>
      <c r="K995" s="60" t="n"/>
      <c r="L995" s="60" t="n"/>
    </row>
    <row r="996" ht="21" customHeight="1">
      <c r="A996" s="59" t="n"/>
      <c r="B996" s="42">
        <f>'設定'!$I$19</f>
        <v/>
      </c>
      <c r="C996" s="60" t="n"/>
      <c r="D996" s="60" t="n"/>
      <c r="E996" s="60" t="n"/>
      <c r="F996" s="60" t="n"/>
      <c r="G996" s="60" t="n"/>
      <c r="H996" s="60" t="n"/>
      <c r="I996" s="60" t="n"/>
      <c r="J996" s="60" t="n"/>
      <c r="K996" s="60" t="n"/>
      <c r="L996" s="60" t="n"/>
    </row>
    <row r="997" ht="21" customHeight="1">
      <c r="A997" s="59" t="n"/>
      <c r="B997" s="42">
        <f>'設定'!$I$20</f>
        <v/>
      </c>
      <c r="C997" s="60" t="n"/>
      <c r="D997" s="60" t="n"/>
      <c r="E997" s="60" t="n"/>
      <c r="F997" s="60" t="n"/>
      <c r="G997" s="60" t="n"/>
      <c r="H997" s="60" t="n"/>
      <c r="I997" s="60" t="n"/>
      <c r="J997" s="60" t="n"/>
      <c r="K997" s="60" t="n"/>
      <c r="L997" s="60" t="n"/>
    </row>
    <row r="998" ht="21" customHeight="1">
      <c r="A998" s="59" t="n"/>
      <c r="B998" s="42">
        <f>'設定'!$I$21</f>
        <v/>
      </c>
      <c r="C998" s="60" t="n"/>
      <c r="D998" s="60" t="n"/>
      <c r="E998" s="60" t="n"/>
      <c r="F998" s="60" t="n"/>
      <c r="G998" s="60" t="n"/>
      <c r="H998" s="60" t="n"/>
      <c r="I998" s="60" t="n"/>
      <c r="J998" s="60" t="n"/>
      <c r="K998" s="60" t="n"/>
      <c r="L998" s="60" t="n"/>
    </row>
    <row r="999" ht="21" customHeight="1">
      <c r="A999" s="59" t="n"/>
      <c r="B999" s="42">
        <f>'設定'!$I$22</f>
        <v/>
      </c>
      <c r="C999" s="60" t="n"/>
      <c r="D999" s="60" t="n"/>
      <c r="E999" s="60" t="n"/>
      <c r="F999" s="60" t="n"/>
      <c r="G999" s="60" t="n"/>
      <c r="H999" s="60" t="n"/>
      <c r="I999" s="60" t="n"/>
      <c r="J999" s="60" t="n"/>
      <c r="K999" s="60" t="n"/>
      <c r="L999" s="60" t="n"/>
    </row>
    <row r="1000" ht="21" customHeight="1">
      <c r="A1000" s="59" t="n"/>
      <c r="B1000" s="42">
        <f>'設定'!$I$23</f>
        <v/>
      </c>
      <c r="C1000" s="60" t="n"/>
      <c r="D1000" s="60" t="n"/>
      <c r="E1000" s="60" t="n"/>
      <c r="F1000" s="60" t="n"/>
      <c r="G1000" s="60" t="n"/>
      <c r="H1000" s="60" t="n"/>
      <c r="I1000" s="60" t="n"/>
      <c r="J1000" s="60" t="n"/>
      <c r="K1000" s="60" t="n"/>
      <c r="L1000" s="60" t="n"/>
    </row>
    <row r="1001" ht="21" customHeight="1">
      <c r="A1001" s="59" t="n"/>
      <c r="B1001" s="42">
        <f>'設定'!$I$24</f>
        <v/>
      </c>
      <c r="C1001" s="60" t="n"/>
      <c r="D1001" s="60" t="n"/>
      <c r="E1001" s="60" t="n"/>
      <c r="F1001" s="60" t="n"/>
      <c r="G1001" s="60" t="n"/>
      <c r="H1001" s="60" t="n"/>
      <c r="I1001" s="60" t="n"/>
      <c r="J1001" s="60" t="n"/>
      <c r="K1001" s="60" t="n"/>
      <c r="L1001" s="60" t="n"/>
    </row>
    <row r="1002" ht="21" customHeight="1">
      <c r="A1002" s="59" t="n"/>
      <c r="B1002" s="42">
        <f>'設定'!$I$25</f>
        <v/>
      </c>
      <c r="C1002" s="60" t="n"/>
      <c r="D1002" s="60" t="n"/>
      <c r="E1002" s="60" t="n"/>
      <c r="F1002" s="60" t="n"/>
      <c r="G1002" s="60" t="n"/>
      <c r="H1002" s="60" t="n"/>
      <c r="I1002" s="60" t="n"/>
      <c r="J1002" s="60" t="n"/>
      <c r="K1002" s="60" t="n"/>
      <c r="L1002" s="60" t="n"/>
    </row>
    <row r="1003" ht="21" customHeight="1">
      <c r="A1003" s="59" t="n"/>
      <c r="B1003" s="42">
        <f>'設定'!$I$26</f>
        <v/>
      </c>
      <c r="C1003" s="60" t="n"/>
      <c r="D1003" s="60" t="n"/>
      <c r="E1003" s="60" t="n"/>
      <c r="F1003" s="60" t="n"/>
      <c r="G1003" s="60" t="n"/>
      <c r="H1003" s="60" t="n"/>
      <c r="I1003" s="60" t="n"/>
      <c r="J1003" s="60" t="n"/>
      <c r="K1003" s="60" t="n"/>
      <c r="L1003" s="60" t="n"/>
    </row>
    <row r="1004" ht="21" customHeight="1">
      <c r="A1004" s="59" t="n"/>
      <c r="B1004" s="42">
        <f>'設定'!$I$27</f>
        <v/>
      </c>
      <c r="C1004" s="60" t="n"/>
      <c r="D1004" s="60" t="n"/>
      <c r="E1004" s="60" t="n"/>
      <c r="F1004" s="60" t="n"/>
      <c r="G1004" s="60" t="n"/>
      <c r="H1004" s="60" t="n"/>
      <c r="I1004" s="60" t="n"/>
      <c r="J1004" s="60" t="n"/>
      <c r="K1004" s="60" t="n"/>
      <c r="L1004" s="60" t="n"/>
    </row>
    <row r="1005" ht="21" customHeight="1">
      <c r="A1005" s="59" t="n"/>
      <c r="B1005" s="42">
        <f>'設定'!$I$28</f>
        <v/>
      </c>
      <c r="C1005" s="60" t="n"/>
      <c r="D1005" s="60" t="n"/>
      <c r="E1005" s="60" t="n"/>
      <c r="F1005" s="60" t="n"/>
      <c r="G1005" s="60" t="n"/>
      <c r="H1005" s="60" t="n"/>
      <c r="I1005" s="60" t="n"/>
      <c r="J1005" s="60" t="n"/>
      <c r="K1005" s="60" t="n"/>
      <c r="L1005" s="60" t="n"/>
    </row>
    <row r="1006" ht="21" customHeight="1">
      <c r="A1006" s="59" t="n"/>
      <c r="B1006" s="42">
        <f>'設定'!$I$29</f>
        <v/>
      </c>
      <c r="C1006" s="60" t="n"/>
      <c r="D1006" s="60" t="n"/>
      <c r="E1006" s="60" t="n"/>
      <c r="F1006" s="60" t="n"/>
      <c r="G1006" s="60" t="n"/>
      <c r="H1006" s="60" t="n"/>
      <c r="I1006" s="60" t="n"/>
      <c r="J1006" s="60" t="n"/>
      <c r="K1006" s="60" t="n"/>
      <c r="L1006" s="60" t="n"/>
    </row>
    <row r="1007" ht="21" customHeight="1">
      <c r="A1007" s="59" t="n"/>
      <c r="B1007" s="42">
        <f>'設定'!$I$30</f>
        <v/>
      </c>
      <c r="C1007" s="60" t="n"/>
      <c r="D1007" s="60" t="n"/>
      <c r="E1007" s="60" t="n"/>
      <c r="F1007" s="60" t="n"/>
      <c r="G1007" s="60" t="n"/>
      <c r="H1007" s="60" t="n"/>
      <c r="I1007" s="60" t="n"/>
      <c r="J1007" s="60" t="n"/>
      <c r="K1007" s="60" t="n"/>
      <c r="L1007" s="60" t="n"/>
    </row>
    <row r="1008" ht="21" customHeight="1">
      <c r="A1008" s="59" t="n"/>
      <c r="B1008" s="42">
        <f>'設定'!$I$31</f>
        <v/>
      </c>
      <c r="C1008" s="60" t="n"/>
      <c r="D1008" s="60" t="n"/>
      <c r="E1008" s="60" t="n"/>
      <c r="F1008" s="60" t="n"/>
      <c r="G1008" s="60" t="n"/>
      <c r="H1008" s="60" t="n"/>
      <c r="I1008" s="60" t="n"/>
      <c r="J1008" s="60" t="n"/>
      <c r="K1008" s="60" t="n"/>
      <c r="L1008" s="60" t="n"/>
    </row>
    <row r="1009" ht="21" customHeight="1">
      <c r="A1009" s="59" t="n"/>
      <c r="B1009" s="42">
        <f>'設定'!$I$32</f>
        <v/>
      </c>
      <c r="C1009" s="60" t="n"/>
      <c r="D1009" s="60" t="n"/>
      <c r="E1009" s="60" t="n"/>
      <c r="F1009" s="60" t="n"/>
      <c r="G1009" s="60" t="n"/>
      <c r="H1009" s="60" t="n"/>
      <c r="I1009" s="60" t="n"/>
      <c r="J1009" s="60" t="n"/>
      <c r="K1009" s="60" t="n"/>
      <c r="L1009" s="60" t="n"/>
    </row>
    <row r="1010" ht="21" customHeight="1">
      <c r="A1010" s="59" t="n"/>
      <c r="B1010" s="42">
        <f>'設定'!$I$33</f>
        <v/>
      </c>
      <c r="C1010" s="60" t="n"/>
      <c r="D1010" s="60" t="n"/>
      <c r="E1010" s="60" t="n"/>
      <c r="F1010" s="60" t="n"/>
      <c r="G1010" s="60" t="n"/>
      <c r="H1010" s="60" t="n"/>
      <c r="I1010" s="60" t="n"/>
      <c r="J1010" s="60" t="n"/>
      <c r="K1010" s="60" t="n"/>
      <c r="L1010" s="60" t="n"/>
    </row>
    <row r="1011" ht="21" customHeight="1">
      <c r="A1011" s="59" t="n"/>
      <c r="B1011" s="42">
        <f>'設定'!$I$34</f>
        <v/>
      </c>
      <c r="C1011" s="60" t="n"/>
      <c r="D1011" s="60" t="n"/>
      <c r="E1011" s="60" t="n"/>
      <c r="F1011" s="60" t="n"/>
      <c r="G1011" s="60" t="n"/>
      <c r="H1011" s="60" t="n"/>
      <c r="I1011" s="60" t="n"/>
      <c r="J1011" s="60" t="n"/>
      <c r="K1011" s="60" t="n"/>
      <c r="L1011" s="60" t="n"/>
    </row>
    <row r="1012"/>
    <row r="1013" ht="26" customHeight="1">
      <c r="B1013" s="53">
        <f>IF('名簿'!B41="","（名簿 37行目：なし）",'名簿'!G41)</f>
        <v/>
      </c>
      <c r="C1013" s="4" t="n"/>
      <c r="D1013" s="4" t="n"/>
      <c r="E1013" s="54" t="inlineStr">
        <is>
          <t>提出状況 ▶</t>
        </is>
      </c>
      <c r="F1013" s="38" t="n"/>
      <c r="G1013" s="29" t="n"/>
      <c r="H1013" s="55" t="inlineStr">
        <is>
          <t>状況：</t>
        </is>
      </c>
      <c r="I1013" s="56">
        <f>'名簿'!H41</f>
        <v/>
      </c>
      <c r="J1013" s="55" t="inlineStr">
        <is>
          <t>×の数：</t>
        </is>
      </c>
      <c r="K1013" s="57">
        <f>'名簿'!I41</f>
        <v/>
      </c>
      <c r="L1013" s="58">
        <f>HYPERLINK("#'×入力'!B1041","次の人へ ▼")</f>
        <v/>
      </c>
    </row>
    <row r="1014" ht="22" customHeight="1">
      <c r="A1014" s="30" t="inlineStr">
        <is>
          <t>この日全部 ▶</t>
        </is>
      </c>
      <c r="C1014" s="59" t="n"/>
      <c r="D1014" s="59" t="n"/>
      <c r="E1014" s="59" t="n"/>
      <c r="F1014" s="59" t="n"/>
      <c r="G1014" s="59" t="n"/>
      <c r="H1014" s="59" t="n"/>
      <c r="I1014" s="59" t="n"/>
      <c r="J1014" s="59" t="n"/>
      <c r="K1014" s="59" t="n"/>
      <c r="L1014" s="59" t="n"/>
    </row>
    <row r="1015" ht="28" customHeight="1">
      <c r="A1015" s="33" t="inlineStr">
        <is>
          <t>この時間
全部 ▼</t>
        </is>
      </c>
      <c r="B1015" s="34" t="inlineStr"/>
      <c r="C1015" s="35">
        <f>'設定'!$E$11</f>
        <v/>
      </c>
      <c r="D1015" s="35">
        <f>'設定'!$E$12</f>
        <v/>
      </c>
      <c r="E1015" s="35">
        <f>'設定'!$E$13</f>
        <v/>
      </c>
      <c r="F1015" s="35">
        <f>'設定'!$E$14</f>
        <v/>
      </c>
      <c r="G1015" s="35">
        <f>'設定'!$E$15</f>
        <v/>
      </c>
      <c r="H1015" s="35">
        <f>'設定'!$E$16</f>
        <v/>
      </c>
      <c r="I1015" s="35">
        <f>'設定'!$E$17</f>
        <v/>
      </c>
      <c r="J1015" s="35">
        <f>'設定'!$E$18</f>
        <v/>
      </c>
      <c r="K1015" s="35">
        <f>'設定'!$E$19</f>
        <v/>
      </c>
      <c r="L1015" s="35">
        <f>'設定'!$E$20</f>
        <v/>
      </c>
    </row>
    <row r="1016" ht="21" customHeight="1">
      <c r="A1016" s="59" t="n"/>
      <c r="B1016" s="42">
        <f>'設定'!$I$11</f>
        <v/>
      </c>
      <c r="C1016" s="60" t="n"/>
      <c r="D1016" s="60" t="n"/>
      <c r="E1016" s="60" t="n"/>
      <c r="F1016" s="60" t="n"/>
      <c r="G1016" s="60" t="n"/>
      <c r="H1016" s="60" t="n"/>
      <c r="I1016" s="60" t="n"/>
      <c r="J1016" s="60" t="n"/>
      <c r="K1016" s="60" t="n"/>
      <c r="L1016" s="60" t="n"/>
    </row>
    <row r="1017" ht="21" customHeight="1">
      <c r="A1017" s="59" t="n"/>
      <c r="B1017" s="42">
        <f>'設定'!$I$12</f>
        <v/>
      </c>
      <c r="C1017" s="60" t="n"/>
      <c r="D1017" s="60" t="n"/>
      <c r="E1017" s="60" t="n"/>
      <c r="F1017" s="60" t="n"/>
      <c r="G1017" s="60" t="n"/>
      <c r="H1017" s="60" t="n"/>
      <c r="I1017" s="60" t="n"/>
      <c r="J1017" s="60" t="n"/>
      <c r="K1017" s="60" t="n"/>
      <c r="L1017" s="60" t="n"/>
    </row>
    <row r="1018" ht="21" customHeight="1">
      <c r="A1018" s="59" t="n"/>
      <c r="B1018" s="42">
        <f>'設定'!$I$13</f>
        <v/>
      </c>
      <c r="C1018" s="60" t="n"/>
      <c r="D1018" s="60" t="n"/>
      <c r="E1018" s="60" t="n"/>
      <c r="F1018" s="60" t="n"/>
      <c r="G1018" s="60" t="n"/>
      <c r="H1018" s="60" t="n"/>
      <c r="I1018" s="60" t="n"/>
      <c r="J1018" s="60" t="n"/>
      <c r="K1018" s="60" t="n"/>
      <c r="L1018" s="60" t="n"/>
    </row>
    <row r="1019" ht="21" customHeight="1">
      <c r="A1019" s="59" t="n"/>
      <c r="B1019" s="42">
        <f>'設定'!$I$14</f>
        <v/>
      </c>
      <c r="C1019" s="60" t="n"/>
      <c r="D1019" s="60" t="n"/>
      <c r="E1019" s="60" t="n"/>
      <c r="F1019" s="60" t="n"/>
      <c r="G1019" s="60" t="n"/>
      <c r="H1019" s="60" t="n"/>
      <c r="I1019" s="60" t="n"/>
      <c r="J1019" s="60" t="n"/>
      <c r="K1019" s="60" t="n"/>
      <c r="L1019" s="60" t="n"/>
    </row>
    <row r="1020" ht="21" customHeight="1">
      <c r="A1020" s="59" t="n"/>
      <c r="B1020" s="42">
        <f>'設定'!$I$15</f>
        <v/>
      </c>
      <c r="C1020" s="60" t="n"/>
      <c r="D1020" s="60" t="n"/>
      <c r="E1020" s="60" t="n"/>
      <c r="F1020" s="60" t="n"/>
      <c r="G1020" s="60" t="n"/>
      <c r="H1020" s="60" t="n"/>
      <c r="I1020" s="60" t="n"/>
      <c r="J1020" s="60" t="n"/>
      <c r="K1020" s="60" t="n"/>
      <c r="L1020" s="60" t="n"/>
    </row>
    <row r="1021" ht="21" customHeight="1">
      <c r="A1021" s="59" t="n"/>
      <c r="B1021" s="42">
        <f>'設定'!$I$16</f>
        <v/>
      </c>
      <c r="C1021" s="60" t="n"/>
      <c r="D1021" s="60" t="n"/>
      <c r="E1021" s="60" t="n"/>
      <c r="F1021" s="60" t="n"/>
      <c r="G1021" s="60" t="n"/>
      <c r="H1021" s="60" t="n"/>
      <c r="I1021" s="60" t="n"/>
      <c r="J1021" s="60" t="n"/>
      <c r="K1021" s="60" t="n"/>
      <c r="L1021" s="60" t="n"/>
    </row>
    <row r="1022" ht="21" customHeight="1">
      <c r="A1022" s="59" t="n"/>
      <c r="B1022" s="42">
        <f>'設定'!$I$17</f>
        <v/>
      </c>
      <c r="C1022" s="60" t="n"/>
      <c r="D1022" s="60" t="n"/>
      <c r="E1022" s="60" t="n"/>
      <c r="F1022" s="60" t="n"/>
      <c r="G1022" s="60" t="n"/>
      <c r="H1022" s="60" t="n"/>
      <c r="I1022" s="60" t="n"/>
      <c r="J1022" s="60" t="n"/>
      <c r="K1022" s="60" t="n"/>
      <c r="L1022" s="60" t="n"/>
    </row>
    <row r="1023" ht="21" customHeight="1">
      <c r="A1023" s="59" t="n"/>
      <c r="B1023" s="42">
        <f>'設定'!$I$18</f>
        <v/>
      </c>
      <c r="C1023" s="60" t="n"/>
      <c r="D1023" s="60" t="n"/>
      <c r="E1023" s="60" t="n"/>
      <c r="F1023" s="60" t="n"/>
      <c r="G1023" s="60" t="n"/>
      <c r="H1023" s="60" t="n"/>
      <c r="I1023" s="60" t="n"/>
      <c r="J1023" s="60" t="n"/>
      <c r="K1023" s="60" t="n"/>
      <c r="L1023" s="60" t="n"/>
    </row>
    <row r="1024" ht="21" customHeight="1">
      <c r="A1024" s="59" t="n"/>
      <c r="B1024" s="42">
        <f>'設定'!$I$19</f>
        <v/>
      </c>
      <c r="C1024" s="60" t="n"/>
      <c r="D1024" s="60" t="n"/>
      <c r="E1024" s="60" t="n"/>
      <c r="F1024" s="60" t="n"/>
      <c r="G1024" s="60" t="n"/>
      <c r="H1024" s="60" t="n"/>
      <c r="I1024" s="60" t="n"/>
      <c r="J1024" s="60" t="n"/>
      <c r="K1024" s="60" t="n"/>
      <c r="L1024" s="60" t="n"/>
    </row>
    <row r="1025" ht="21" customHeight="1">
      <c r="A1025" s="59" t="n"/>
      <c r="B1025" s="42">
        <f>'設定'!$I$20</f>
        <v/>
      </c>
      <c r="C1025" s="60" t="n"/>
      <c r="D1025" s="60" t="n"/>
      <c r="E1025" s="60" t="n"/>
      <c r="F1025" s="60" t="n"/>
      <c r="G1025" s="60" t="n"/>
      <c r="H1025" s="60" t="n"/>
      <c r="I1025" s="60" t="n"/>
      <c r="J1025" s="60" t="n"/>
      <c r="K1025" s="60" t="n"/>
      <c r="L1025" s="60" t="n"/>
    </row>
    <row r="1026" ht="21" customHeight="1">
      <c r="A1026" s="59" t="n"/>
      <c r="B1026" s="42">
        <f>'設定'!$I$21</f>
        <v/>
      </c>
      <c r="C1026" s="60" t="n"/>
      <c r="D1026" s="60" t="n"/>
      <c r="E1026" s="60" t="n"/>
      <c r="F1026" s="60" t="n"/>
      <c r="G1026" s="60" t="n"/>
      <c r="H1026" s="60" t="n"/>
      <c r="I1026" s="60" t="n"/>
      <c r="J1026" s="60" t="n"/>
      <c r="K1026" s="60" t="n"/>
      <c r="L1026" s="60" t="n"/>
    </row>
    <row r="1027" ht="21" customHeight="1">
      <c r="A1027" s="59" t="n"/>
      <c r="B1027" s="42">
        <f>'設定'!$I$22</f>
        <v/>
      </c>
      <c r="C1027" s="60" t="n"/>
      <c r="D1027" s="60" t="n"/>
      <c r="E1027" s="60" t="n"/>
      <c r="F1027" s="60" t="n"/>
      <c r="G1027" s="60" t="n"/>
      <c r="H1027" s="60" t="n"/>
      <c r="I1027" s="60" t="n"/>
      <c r="J1027" s="60" t="n"/>
      <c r="K1027" s="60" t="n"/>
      <c r="L1027" s="60" t="n"/>
    </row>
    <row r="1028" ht="21" customHeight="1">
      <c r="A1028" s="59" t="n"/>
      <c r="B1028" s="42">
        <f>'設定'!$I$23</f>
        <v/>
      </c>
      <c r="C1028" s="60" t="n"/>
      <c r="D1028" s="60" t="n"/>
      <c r="E1028" s="60" t="n"/>
      <c r="F1028" s="60" t="n"/>
      <c r="G1028" s="60" t="n"/>
      <c r="H1028" s="60" t="n"/>
      <c r="I1028" s="60" t="n"/>
      <c r="J1028" s="60" t="n"/>
      <c r="K1028" s="60" t="n"/>
      <c r="L1028" s="60" t="n"/>
    </row>
    <row r="1029" ht="21" customHeight="1">
      <c r="A1029" s="59" t="n"/>
      <c r="B1029" s="42">
        <f>'設定'!$I$24</f>
        <v/>
      </c>
      <c r="C1029" s="60" t="n"/>
      <c r="D1029" s="60" t="n"/>
      <c r="E1029" s="60" t="n"/>
      <c r="F1029" s="60" t="n"/>
      <c r="G1029" s="60" t="n"/>
      <c r="H1029" s="60" t="n"/>
      <c r="I1029" s="60" t="n"/>
      <c r="J1029" s="60" t="n"/>
      <c r="K1029" s="60" t="n"/>
      <c r="L1029" s="60" t="n"/>
    </row>
    <row r="1030" ht="21" customHeight="1">
      <c r="A1030" s="59" t="n"/>
      <c r="B1030" s="42">
        <f>'設定'!$I$25</f>
        <v/>
      </c>
      <c r="C1030" s="60" t="n"/>
      <c r="D1030" s="60" t="n"/>
      <c r="E1030" s="60" t="n"/>
      <c r="F1030" s="60" t="n"/>
      <c r="G1030" s="60" t="n"/>
      <c r="H1030" s="60" t="n"/>
      <c r="I1030" s="60" t="n"/>
      <c r="J1030" s="60" t="n"/>
      <c r="K1030" s="60" t="n"/>
      <c r="L1030" s="60" t="n"/>
    </row>
    <row r="1031" ht="21" customHeight="1">
      <c r="A1031" s="59" t="n"/>
      <c r="B1031" s="42">
        <f>'設定'!$I$26</f>
        <v/>
      </c>
      <c r="C1031" s="60" t="n"/>
      <c r="D1031" s="60" t="n"/>
      <c r="E1031" s="60" t="n"/>
      <c r="F1031" s="60" t="n"/>
      <c r="G1031" s="60" t="n"/>
      <c r="H1031" s="60" t="n"/>
      <c r="I1031" s="60" t="n"/>
      <c r="J1031" s="60" t="n"/>
      <c r="K1031" s="60" t="n"/>
      <c r="L1031" s="60" t="n"/>
    </row>
    <row r="1032" ht="21" customHeight="1">
      <c r="A1032" s="59" t="n"/>
      <c r="B1032" s="42">
        <f>'設定'!$I$27</f>
        <v/>
      </c>
      <c r="C1032" s="60" t="n"/>
      <c r="D1032" s="60" t="n"/>
      <c r="E1032" s="60" t="n"/>
      <c r="F1032" s="60" t="n"/>
      <c r="G1032" s="60" t="n"/>
      <c r="H1032" s="60" t="n"/>
      <c r="I1032" s="60" t="n"/>
      <c r="J1032" s="60" t="n"/>
      <c r="K1032" s="60" t="n"/>
      <c r="L1032" s="60" t="n"/>
    </row>
    <row r="1033" ht="21" customHeight="1">
      <c r="A1033" s="59" t="n"/>
      <c r="B1033" s="42">
        <f>'設定'!$I$28</f>
        <v/>
      </c>
      <c r="C1033" s="60" t="n"/>
      <c r="D1033" s="60" t="n"/>
      <c r="E1033" s="60" t="n"/>
      <c r="F1033" s="60" t="n"/>
      <c r="G1033" s="60" t="n"/>
      <c r="H1033" s="60" t="n"/>
      <c r="I1033" s="60" t="n"/>
      <c r="J1033" s="60" t="n"/>
      <c r="K1033" s="60" t="n"/>
      <c r="L1033" s="60" t="n"/>
    </row>
    <row r="1034" ht="21" customHeight="1">
      <c r="A1034" s="59" t="n"/>
      <c r="B1034" s="42">
        <f>'設定'!$I$29</f>
        <v/>
      </c>
      <c r="C1034" s="60" t="n"/>
      <c r="D1034" s="60" t="n"/>
      <c r="E1034" s="60" t="n"/>
      <c r="F1034" s="60" t="n"/>
      <c r="G1034" s="60" t="n"/>
      <c r="H1034" s="60" t="n"/>
      <c r="I1034" s="60" t="n"/>
      <c r="J1034" s="60" t="n"/>
      <c r="K1034" s="60" t="n"/>
      <c r="L1034" s="60" t="n"/>
    </row>
    <row r="1035" ht="21" customHeight="1">
      <c r="A1035" s="59" t="n"/>
      <c r="B1035" s="42">
        <f>'設定'!$I$30</f>
        <v/>
      </c>
      <c r="C1035" s="60" t="n"/>
      <c r="D1035" s="60" t="n"/>
      <c r="E1035" s="60" t="n"/>
      <c r="F1035" s="60" t="n"/>
      <c r="G1035" s="60" t="n"/>
      <c r="H1035" s="60" t="n"/>
      <c r="I1035" s="60" t="n"/>
      <c r="J1035" s="60" t="n"/>
      <c r="K1035" s="60" t="n"/>
      <c r="L1035" s="60" t="n"/>
    </row>
    <row r="1036" ht="21" customHeight="1">
      <c r="A1036" s="59" t="n"/>
      <c r="B1036" s="42">
        <f>'設定'!$I$31</f>
        <v/>
      </c>
      <c r="C1036" s="60" t="n"/>
      <c r="D1036" s="60" t="n"/>
      <c r="E1036" s="60" t="n"/>
      <c r="F1036" s="60" t="n"/>
      <c r="G1036" s="60" t="n"/>
      <c r="H1036" s="60" t="n"/>
      <c r="I1036" s="60" t="n"/>
      <c r="J1036" s="60" t="n"/>
      <c r="K1036" s="60" t="n"/>
      <c r="L1036" s="60" t="n"/>
    </row>
    <row r="1037" ht="21" customHeight="1">
      <c r="A1037" s="59" t="n"/>
      <c r="B1037" s="42">
        <f>'設定'!$I$32</f>
        <v/>
      </c>
      <c r="C1037" s="60" t="n"/>
      <c r="D1037" s="60" t="n"/>
      <c r="E1037" s="60" t="n"/>
      <c r="F1037" s="60" t="n"/>
      <c r="G1037" s="60" t="n"/>
      <c r="H1037" s="60" t="n"/>
      <c r="I1037" s="60" t="n"/>
      <c r="J1037" s="60" t="n"/>
      <c r="K1037" s="60" t="n"/>
      <c r="L1037" s="60" t="n"/>
    </row>
    <row r="1038" ht="21" customHeight="1">
      <c r="A1038" s="59" t="n"/>
      <c r="B1038" s="42">
        <f>'設定'!$I$33</f>
        <v/>
      </c>
      <c r="C1038" s="60" t="n"/>
      <c r="D1038" s="60" t="n"/>
      <c r="E1038" s="60" t="n"/>
      <c r="F1038" s="60" t="n"/>
      <c r="G1038" s="60" t="n"/>
      <c r="H1038" s="60" t="n"/>
      <c r="I1038" s="60" t="n"/>
      <c r="J1038" s="60" t="n"/>
      <c r="K1038" s="60" t="n"/>
      <c r="L1038" s="60" t="n"/>
    </row>
    <row r="1039" ht="21" customHeight="1">
      <c r="A1039" s="59" t="n"/>
      <c r="B1039" s="42">
        <f>'設定'!$I$34</f>
        <v/>
      </c>
      <c r="C1039" s="60" t="n"/>
      <c r="D1039" s="60" t="n"/>
      <c r="E1039" s="60" t="n"/>
      <c r="F1039" s="60" t="n"/>
      <c r="G1039" s="60" t="n"/>
      <c r="H1039" s="60" t="n"/>
      <c r="I1039" s="60" t="n"/>
      <c r="J1039" s="60" t="n"/>
      <c r="K1039" s="60" t="n"/>
      <c r="L1039" s="60" t="n"/>
    </row>
    <row r="1040"/>
    <row r="1041" ht="26" customHeight="1">
      <c r="B1041" s="53">
        <f>IF('名簿'!B42="","（名簿 38行目：なし）",'名簿'!G42)</f>
        <v/>
      </c>
      <c r="C1041" s="4" t="n"/>
      <c r="D1041" s="4" t="n"/>
      <c r="E1041" s="54" t="inlineStr">
        <is>
          <t>提出状況 ▶</t>
        </is>
      </c>
      <c r="F1041" s="38" t="n"/>
      <c r="G1041" s="29" t="n"/>
      <c r="H1041" s="55" t="inlineStr">
        <is>
          <t>状況：</t>
        </is>
      </c>
      <c r="I1041" s="56">
        <f>'名簿'!H42</f>
        <v/>
      </c>
      <c r="J1041" s="55" t="inlineStr">
        <is>
          <t>×の数：</t>
        </is>
      </c>
      <c r="K1041" s="57">
        <f>'名簿'!I42</f>
        <v/>
      </c>
      <c r="L1041" s="58">
        <f>HYPERLINK("#'×入力'!B1069","次の人へ ▼")</f>
        <v/>
      </c>
    </row>
    <row r="1042" ht="22" customHeight="1">
      <c r="A1042" s="30" t="inlineStr">
        <is>
          <t>この日全部 ▶</t>
        </is>
      </c>
      <c r="C1042" s="59" t="n"/>
      <c r="D1042" s="59" t="n"/>
      <c r="E1042" s="59" t="n"/>
      <c r="F1042" s="59" t="n"/>
      <c r="G1042" s="59" t="n"/>
      <c r="H1042" s="59" t="n"/>
      <c r="I1042" s="59" t="n"/>
      <c r="J1042" s="59" t="n"/>
      <c r="K1042" s="59" t="n"/>
      <c r="L1042" s="59" t="n"/>
    </row>
    <row r="1043" ht="28" customHeight="1">
      <c r="A1043" s="33" t="inlineStr">
        <is>
          <t>この時間
全部 ▼</t>
        </is>
      </c>
      <c r="B1043" s="34" t="inlineStr"/>
      <c r="C1043" s="35">
        <f>'設定'!$E$11</f>
        <v/>
      </c>
      <c r="D1043" s="35">
        <f>'設定'!$E$12</f>
        <v/>
      </c>
      <c r="E1043" s="35">
        <f>'設定'!$E$13</f>
        <v/>
      </c>
      <c r="F1043" s="35">
        <f>'設定'!$E$14</f>
        <v/>
      </c>
      <c r="G1043" s="35">
        <f>'設定'!$E$15</f>
        <v/>
      </c>
      <c r="H1043" s="35">
        <f>'設定'!$E$16</f>
        <v/>
      </c>
      <c r="I1043" s="35">
        <f>'設定'!$E$17</f>
        <v/>
      </c>
      <c r="J1043" s="35">
        <f>'設定'!$E$18</f>
        <v/>
      </c>
      <c r="K1043" s="35">
        <f>'設定'!$E$19</f>
        <v/>
      </c>
      <c r="L1043" s="35">
        <f>'設定'!$E$20</f>
        <v/>
      </c>
    </row>
    <row r="1044" ht="21" customHeight="1">
      <c r="A1044" s="59" t="n"/>
      <c r="B1044" s="42">
        <f>'設定'!$I$11</f>
        <v/>
      </c>
      <c r="C1044" s="60" t="n"/>
      <c r="D1044" s="60" t="n"/>
      <c r="E1044" s="60" t="n"/>
      <c r="F1044" s="60" t="n"/>
      <c r="G1044" s="60" t="n"/>
      <c r="H1044" s="60" t="n"/>
      <c r="I1044" s="60" t="n"/>
      <c r="J1044" s="60" t="n"/>
      <c r="K1044" s="60" t="n"/>
      <c r="L1044" s="60" t="n"/>
    </row>
    <row r="1045" ht="21" customHeight="1">
      <c r="A1045" s="59" t="n"/>
      <c r="B1045" s="42">
        <f>'設定'!$I$12</f>
        <v/>
      </c>
      <c r="C1045" s="60" t="n"/>
      <c r="D1045" s="60" t="n"/>
      <c r="E1045" s="60" t="n"/>
      <c r="F1045" s="60" t="n"/>
      <c r="G1045" s="60" t="n"/>
      <c r="H1045" s="60" t="n"/>
      <c r="I1045" s="60" t="n"/>
      <c r="J1045" s="60" t="n"/>
      <c r="K1045" s="60" t="n"/>
      <c r="L1045" s="60" t="n"/>
    </row>
    <row r="1046" ht="21" customHeight="1">
      <c r="A1046" s="59" t="n"/>
      <c r="B1046" s="42">
        <f>'設定'!$I$13</f>
        <v/>
      </c>
      <c r="C1046" s="60" t="n"/>
      <c r="D1046" s="60" t="n"/>
      <c r="E1046" s="60" t="n"/>
      <c r="F1046" s="60" t="n"/>
      <c r="G1046" s="60" t="n"/>
      <c r="H1046" s="60" t="n"/>
      <c r="I1046" s="60" t="n"/>
      <c r="J1046" s="60" t="n"/>
      <c r="K1046" s="60" t="n"/>
      <c r="L1046" s="60" t="n"/>
    </row>
    <row r="1047" ht="21" customHeight="1">
      <c r="A1047" s="59" t="n"/>
      <c r="B1047" s="42">
        <f>'設定'!$I$14</f>
        <v/>
      </c>
      <c r="C1047" s="60" t="n"/>
      <c r="D1047" s="60" t="n"/>
      <c r="E1047" s="60" t="n"/>
      <c r="F1047" s="60" t="n"/>
      <c r="G1047" s="60" t="n"/>
      <c r="H1047" s="60" t="n"/>
      <c r="I1047" s="60" t="n"/>
      <c r="J1047" s="60" t="n"/>
      <c r="K1047" s="60" t="n"/>
      <c r="L1047" s="60" t="n"/>
    </row>
    <row r="1048" ht="21" customHeight="1">
      <c r="A1048" s="59" t="n"/>
      <c r="B1048" s="42">
        <f>'設定'!$I$15</f>
        <v/>
      </c>
      <c r="C1048" s="60" t="n"/>
      <c r="D1048" s="60" t="n"/>
      <c r="E1048" s="60" t="n"/>
      <c r="F1048" s="60" t="n"/>
      <c r="G1048" s="60" t="n"/>
      <c r="H1048" s="60" t="n"/>
      <c r="I1048" s="60" t="n"/>
      <c r="J1048" s="60" t="n"/>
      <c r="K1048" s="60" t="n"/>
      <c r="L1048" s="60" t="n"/>
    </row>
    <row r="1049" ht="21" customHeight="1">
      <c r="A1049" s="59" t="n"/>
      <c r="B1049" s="42">
        <f>'設定'!$I$16</f>
        <v/>
      </c>
      <c r="C1049" s="60" t="n"/>
      <c r="D1049" s="60" t="n"/>
      <c r="E1049" s="60" t="n"/>
      <c r="F1049" s="60" t="n"/>
      <c r="G1049" s="60" t="n"/>
      <c r="H1049" s="60" t="n"/>
      <c r="I1049" s="60" t="n"/>
      <c r="J1049" s="60" t="n"/>
      <c r="K1049" s="60" t="n"/>
      <c r="L1049" s="60" t="n"/>
    </row>
    <row r="1050" ht="21" customHeight="1">
      <c r="A1050" s="59" t="n"/>
      <c r="B1050" s="42">
        <f>'設定'!$I$17</f>
        <v/>
      </c>
      <c r="C1050" s="60" t="n"/>
      <c r="D1050" s="60" t="n"/>
      <c r="E1050" s="60" t="n"/>
      <c r="F1050" s="60" t="n"/>
      <c r="G1050" s="60" t="n"/>
      <c r="H1050" s="60" t="n"/>
      <c r="I1050" s="60" t="n"/>
      <c r="J1050" s="60" t="n"/>
      <c r="K1050" s="60" t="n"/>
      <c r="L1050" s="60" t="n"/>
    </row>
    <row r="1051" ht="21" customHeight="1">
      <c r="A1051" s="59" t="n"/>
      <c r="B1051" s="42">
        <f>'設定'!$I$18</f>
        <v/>
      </c>
      <c r="C1051" s="60" t="n"/>
      <c r="D1051" s="60" t="n"/>
      <c r="E1051" s="60" t="n"/>
      <c r="F1051" s="60" t="n"/>
      <c r="G1051" s="60" t="n"/>
      <c r="H1051" s="60" t="n"/>
      <c r="I1051" s="60" t="n"/>
      <c r="J1051" s="60" t="n"/>
      <c r="K1051" s="60" t="n"/>
      <c r="L1051" s="60" t="n"/>
    </row>
    <row r="1052" ht="21" customHeight="1">
      <c r="A1052" s="59" t="n"/>
      <c r="B1052" s="42">
        <f>'設定'!$I$19</f>
        <v/>
      </c>
      <c r="C1052" s="60" t="n"/>
      <c r="D1052" s="60" t="n"/>
      <c r="E1052" s="60" t="n"/>
      <c r="F1052" s="60" t="n"/>
      <c r="G1052" s="60" t="n"/>
      <c r="H1052" s="60" t="n"/>
      <c r="I1052" s="60" t="n"/>
      <c r="J1052" s="60" t="n"/>
      <c r="K1052" s="60" t="n"/>
      <c r="L1052" s="60" t="n"/>
    </row>
    <row r="1053" ht="21" customHeight="1">
      <c r="A1053" s="59" t="n"/>
      <c r="B1053" s="42">
        <f>'設定'!$I$20</f>
        <v/>
      </c>
      <c r="C1053" s="60" t="n"/>
      <c r="D1053" s="60" t="n"/>
      <c r="E1053" s="60" t="n"/>
      <c r="F1053" s="60" t="n"/>
      <c r="G1053" s="60" t="n"/>
      <c r="H1053" s="60" t="n"/>
      <c r="I1053" s="60" t="n"/>
      <c r="J1053" s="60" t="n"/>
      <c r="K1053" s="60" t="n"/>
      <c r="L1053" s="60" t="n"/>
    </row>
    <row r="1054" ht="21" customHeight="1">
      <c r="A1054" s="59" t="n"/>
      <c r="B1054" s="42">
        <f>'設定'!$I$21</f>
        <v/>
      </c>
      <c r="C1054" s="60" t="n"/>
      <c r="D1054" s="60" t="n"/>
      <c r="E1054" s="60" t="n"/>
      <c r="F1054" s="60" t="n"/>
      <c r="G1054" s="60" t="n"/>
      <c r="H1054" s="60" t="n"/>
      <c r="I1054" s="60" t="n"/>
      <c r="J1054" s="60" t="n"/>
      <c r="K1054" s="60" t="n"/>
      <c r="L1054" s="60" t="n"/>
    </row>
    <row r="1055" ht="21" customHeight="1">
      <c r="A1055" s="59" t="n"/>
      <c r="B1055" s="42">
        <f>'設定'!$I$22</f>
        <v/>
      </c>
      <c r="C1055" s="60" t="n"/>
      <c r="D1055" s="60" t="n"/>
      <c r="E1055" s="60" t="n"/>
      <c r="F1055" s="60" t="n"/>
      <c r="G1055" s="60" t="n"/>
      <c r="H1055" s="60" t="n"/>
      <c r="I1055" s="60" t="n"/>
      <c r="J1055" s="60" t="n"/>
      <c r="K1055" s="60" t="n"/>
      <c r="L1055" s="60" t="n"/>
    </row>
    <row r="1056" ht="21" customHeight="1">
      <c r="A1056" s="59" t="n"/>
      <c r="B1056" s="42">
        <f>'設定'!$I$23</f>
        <v/>
      </c>
      <c r="C1056" s="60" t="n"/>
      <c r="D1056" s="60" t="n"/>
      <c r="E1056" s="60" t="n"/>
      <c r="F1056" s="60" t="n"/>
      <c r="G1056" s="60" t="n"/>
      <c r="H1056" s="60" t="n"/>
      <c r="I1056" s="60" t="n"/>
      <c r="J1056" s="60" t="n"/>
      <c r="K1056" s="60" t="n"/>
      <c r="L1056" s="60" t="n"/>
    </row>
    <row r="1057" ht="21" customHeight="1">
      <c r="A1057" s="59" t="n"/>
      <c r="B1057" s="42">
        <f>'設定'!$I$24</f>
        <v/>
      </c>
      <c r="C1057" s="60" t="n"/>
      <c r="D1057" s="60" t="n"/>
      <c r="E1057" s="60" t="n"/>
      <c r="F1057" s="60" t="n"/>
      <c r="G1057" s="60" t="n"/>
      <c r="H1057" s="60" t="n"/>
      <c r="I1057" s="60" t="n"/>
      <c r="J1057" s="60" t="n"/>
      <c r="K1057" s="60" t="n"/>
      <c r="L1057" s="60" t="n"/>
    </row>
    <row r="1058" ht="21" customHeight="1">
      <c r="A1058" s="59" t="n"/>
      <c r="B1058" s="42">
        <f>'設定'!$I$25</f>
        <v/>
      </c>
      <c r="C1058" s="60" t="n"/>
      <c r="D1058" s="60" t="n"/>
      <c r="E1058" s="60" t="n"/>
      <c r="F1058" s="60" t="n"/>
      <c r="G1058" s="60" t="n"/>
      <c r="H1058" s="60" t="n"/>
      <c r="I1058" s="60" t="n"/>
      <c r="J1058" s="60" t="n"/>
      <c r="K1058" s="60" t="n"/>
      <c r="L1058" s="60" t="n"/>
    </row>
    <row r="1059" ht="21" customHeight="1">
      <c r="A1059" s="59" t="n"/>
      <c r="B1059" s="42">
        <f>'設定'!$I$26</f>
        <v/>
      </c>
      <c r="C1059" s="60" t="n"/>
      <c r="D1059" s="60" t="n"/>
      <c r="E1059" s="60" t="n"/>
      <c r="F1059" s="60" t="n"/>
      <c r="G1059" s="60" t="n"/>
      <c r="H1059" s="60" t="n"/>
      <c r="I1059" s="60" t="n"/>
      <c r="J1059" s="60" t="n"/>
      <c r="K1059" s="60" t="n"/>
      <c r="L1059" s="60" t="n"/>
    </row>
    <row r="1060" ht="21" customHeight="1">
      <c r="A1060" s="59" t="n"/>
      <c r="B1060" s="42">
        <f>'設定'!$I$27</f>
        <v/>
      </c>
      <c r="C1060" s="60" t="n"/>
      <c r="D1060" s="60" t="n"/>
      <c r="E1060" s="60" t="n"/>
      <c r="F1060" s="60" t="n"/>
      <c r="G1060" s="60" t="n"/>
      <c r="H1060" s="60" t="n"/>
      <c r="I1060" s="60" t="n"/>
      <c r="J1060" s="60" t="n"/>
      <c r="K1060" s="60" t="n"/>
      <c r="L1060" s="60" t="n"/>
    </row>
    <row r="1061" ht="21" customHeight="1">
      <c r="A1061" s="59" t="n"/>
      <c r="B1061" s="42">
        <f>'設定'!$I$28</f>
        <v/>
      </c>
      <c r="C1061" s="60" t="n"/>
      <c r="D1061" s="60" t="n"/>
      <c r="E1061" s="60" t="n"/>
      <c r="F1061" s="60" t="n"/>
      <c r="G1061" s="60" t="n"/>
      <c r="H1061" s="60" t="n"/>
      <c r="I1061" s="60" t="n"/>
      <c r="J1061" s="60" t="n"/>
      <c r="K1061" s="60" t="n"/>
      <c r="L1061" s="60" t="n"/>
    </row>
    <row r="1062" ht="21" customHeight="1">
      <c r="A1062" s="59" t="n"/>
      <c r="B1062" s="42">
        <f>'設定'!$I$29</f>
        <v/>
      </c>
      <c r="C1062" s="60" t="n"/>
      <c r="D1062" s="60" t="n"/>
      <c r="E1062" s="60" t="n"/>
      <c r="F1062" s="60" t="n"/>
      <c r="G1062" s="60" t="n"/>
      <c r="H1062" s="60" t="n"/>
      <c r="I1062" s="60" t="n"/>
      <c r="J1062" s="60" t="n"/>
      <c r="K1062" s="60" t="n"/>
      <c r="L1062" s="60" t="n"/>
    </row>
    <row r="1063" ht="21" customHeight="1">
      <c r="A1063" s="59" t="n"/>
      <c r="B1063" s="42">
        <f>'設定'!$I$30</f>
        <v/>
      </c>
      <c r="C1063" s="60" t="n"/>
      <c r="D1063" s="60" t="n"/>
      <c r="E1063" s="60" t="n"/>
      <c r="F1063" s="60" t="n"/>
      <c r="G1063" s="60" t="n"/>
      <c r="H1063" s="60" t="n"/>
      <c r="I1063" s="60" t="n"/>
      <c r="J1063" s="60" t="n"/>
      <c r="K1063" s="60" t="n"/>
      <c r="L1063" s="60" t="n"/>
    </row>
    <row r="1064" ht="21" customHeight="1">
      <c r="A1064" s="59" t="n"/>
      <c r="B1064" s="42">
        <f>'設定'!$I$31</f>
        <v/>
      </c>
      <c r="C1064" s="60" t="n"/>
      <c r="D1064" s="60" t="n"/>
      <c r="E1064" s="60" t="n"/>
      <c r="F1064" s="60" t="n"/>
      <c r="G1064" s="60" t="n"/>
      <c r="H1064" s="60" t="n"/>
      <c r="I1064" s="60" t="n"/>
      <c r="J1064" s="60" t="n"/>
      <c r="K1064" s="60" t="n"/>
      <c r="L1064" s="60" t="n"/>
    </row>
    <row r="1065" ht="21" customHeight="1">
      <c r="A1065" s="59" t="n"/>
      <c r="B1065" s="42">
        <f>'設定'!$I$32</f>
        <v/>
      </c>
      <c r="C1065" s="60" t="n"/>
      <c r="D1065" s="60" t="n"/>
      <c r="E1065" s="60" t="n"/>
      <c r="F1065" s="60" t="n"/>
      <c r="G1065" s="60" t="n"/>
      <c r="H1065" s="60" t="n"/>
      <c r="I1065" s="60" t="n"/>
      <c r="J1065" s="60" t="n"/>
      <c r="K1065" s="60" t="n"/>
      <c r="L1065" s="60" t="n"/>
    </row>
    <row r="1066" ht="21" customHeight="1">
      <c r="A1066" s="59" t="n"/>
      <c r="B1066" s="42">
        <f>'設定'!$I$33</f>
        <v/>
      </c>
      <c r="C1066" s="60" t="n"/>
      <c r="D1066" s="60" t="n"/>
      <c r="E1066" s="60" t="n"/>
      <c r="F1066" s="60" t="n"/>
      <c r="G1066" s="60" t="n"/>
      <c r="H1066" s="60" t="n"/>
      <c r="I1066" s="60" t="n"/>
      <c r="J1066" s="60" t="n"/>
      <c r="K1066" s="60" t="n"/>
      <c r="L1066" s="60" t="n"/>
    </row>
    <row r="1067" ht="21" customHeight="1">
      <c r="A1067" s="59" t="n"/>
      <c r="B1067" s="42">
        <f>'設定'!$I$34</f>
        <v/>
      </c>
      <c r="C1067" s="60" t="n"/>
      <c r="D1067" s="60" t="n"/>
      <c r="E1067" s="60" t="n"/>
      <c r="F1067" s="60" t="n"/>
      <c r="G1067" s="60" t="n"/>
      <c r="H1067" s="60" t="n"/>
      <c r="I1067" s="60" t="n"/>
      <c r="J1067" s="60" t="n"/>
      <c r="K1067" s="60" t="n"/>
      <c r="L1067" s="60" t="n"/>
    </row>
    <row r="1068"/>
    <row r="1069" ht="26" customHeight="1">
      <c r="B1069" s="53">
        <f>IF('名簿'!B43="","（名簿 39行目：なし）",'名簿'!G43)</f>
        <v/>
      </c>
      <c r="C1069" s="4" t="n"/>
      <c r="D1069" s="4" t="n"/>
      <c r="E1069" s="54" t="inlineStr">
        <is>
          <t>提出状況 ▶</t>
        </is>
      </c>
      <c r="F1069" s="38" t="n"/>
      <c r="G1069" s="29" t="n"/>
      <c r="H1069" s="55" t="inlineStr">
        <is>
          <t>状況：</t>
        </is>
      </c>
      <c r="I1069" s="56">
        <f>'名簿'!H43</f>
        <v/>
      </c>
      <c r="J1069" s="55" t="inlineStr">
        <is>
          <t>×の数：</t>
        </is>
      </c>
      <c r="K1069" s="57">
        <f>'名簿'!I43</f>
        <v/>
      </c>
      <c r="L1069" s="58">
        <f>HYPERLINK("#'×入力'!B1097","次の人へ ▼")</f>
        <v/>
      </c>
    </row>
    <row r="1070" ht="22" customHeight="1">
      <c r="A1070" s="30" t="inlineStr">
        <is>
          <t>この日全部 ▶</t>
        </is>
      </c>
      <c r="C1070" s="59" t="n"/>
      <c r="D1070" s="59" t="n"/>
      <c r="E1070" s="59" t="n"/>
      <c r="F1070" s="59" t="n"/>
      <c r="G1070" s="59" t="n"/>
      <c r="H1070" s="59" t="n"/>
      <c r="I1070" s="59" t="n"/>
      <c r="J1070" s="59" t="n"/>
      <c r="K1070" s="59" t="n"/>
      <c r="L1070" s="59" t="n"/>
    </row>
    <row r="1071" ht="28" customHeight="1">
      <c r="A1071" s="33" t="inlineStr">
        <is>
          <t>この時間
全部 ▼</t>
        </is>
      </c>
      <c r="B1071" s="34" t="inlineStr"/>
      <c r="C1071" s="35">
        <f>'設定'!$E$11</f>
        <v/>
      </c>
      <c r="D1071" s="35">
        <f>'設定'!$E$12</f>
        <v/>
      </c>
      <c r="E1071" s="35">
        <f>'設定'!$E$13</f>
        <v/>
      </c>
      <c r="F1071" s="35">
        <f>'設定'!$E$14</f>
        <v/>
      </c>
      <c r="G1071" s="35">
        <f>'設定'!$E$15</f>
        <v/>
      </c>
      <c r="H1071" s="35">
        <f>'設定'!$E$16</f>
        <v/>
      </c>
      <c r="I1071" s="35">
        <f>'設定'!$E$17</f>
        <v/>
      </c>
      <c r="J1071" s="35">
        <f>'設定'!$E$18</f>
        <v/>
      </c>
      <c r="K1071" s="35">
        <f>'設定'!$E$19</f>
        <v/>
      </c>
      <c r="L1071" s="35">
        <f>'設定'!$E$20</f>
        <v/>
      </c>
    </row>
    <row r="1072" ht="21" customHeight="1">
      <c r="A1072" s="59" t="n"/>
      <c r="B1072" s="42">
        <f>'設定'!$I$11</f>
        <v/>
      </c>
      <c r="C1072" s="60" t="n"/>
      <c r="D1072" s="60" t="n"/>
      <c r="E1072" s="60" t="n"/>
      <c r="F1072" s="60" t="n"/>
      <c r="G1072" s="60" t="n"/>
      <c r="H1072" s="60" t="n"/>
      <c r="I1072" s="60" t="n"/>
      <c r="J1072" s="60" t="n"/>
      <c r="K1072" s="60" t="n"/>
      <c r="L1072" s="60" t="n"/>
    </row>
    <row r="1073" ht="21" customHeight="1">
      <c r="A1073" s="59" t="n"/>
      <c r="B1073" s="42">
        <f>'設定'!$I$12</f>
        <v/>
      </c>
      <c r="C1073" s="60" t="n"/>
      <c r="D1073" s="60" t="n"/>
      <c r="E1073" s="60" t="n"/>
      <c r="F1073" s="60" t="n"/>
      <c r="G1073" s="60" t="n"/>
      <c r="H1073" s="60" t="n"/>
      <c r="I1073" s="60" t="n"/>
      <c r="J1073" s="60" t="n"/>
      <c r="K1073" s="60" t="n"/>
      <c r="L1073" s="60" t="n"/>
    </row>
    <row r="1074" ht="21" customHeight="1">
      <c r="A1074" s="59" t="n"/>
      <c r="B1074" s="42">
        <f>'設定'!$I$13</f>
        <v/>
      </c>
      <c r="C1074" s="60" t="n"/>
      <c r="D1074" s="60" t="n"/>
      <c r="E1074" s="60" t="n"/>
      <c r="F1074" s="60" t="n"/>
      <c r="G1074" s="60" t="n"/>
      <c r="H1074" s="60" t="n"/>
      <c r="I1074" s="60" t="n"/>
      <c r="J1074" s="60" t="n"/>
      <c r="K1074" s="60" t="n"/>
      <c r="L1074" s="60" t="n"/>
    </row>
    <row r="1075" ht="21" customHeight="1">
      <c r="A1075" s="59" t="n"/>
      <c r="B1075" s="42">
        <f>'設定'!$I$14</f>
        <v/>
      </c>
      <c r="C1075" s="60" t="n"/>
      <c r="D1075" s="60" t="n"/>
      <c r="E1075" s="60" t="n"/>
      <c r="F1075" s="60" t="n"/>
      <c r="G1075" s="60" t="n"/>
      <c r="H1075" s="60" t="n"/>
      <c r="I1075" s="60" t="n"/>
      <c r="J1075" s="60" t="n"/>
      <c r="K1075" s="60" t="n"/>
      <c r="L1075" s="60" t="n"/>
    </row>
    <row r="1076" ht="21" customHeight="1">
      <c r="A1076" s="59" t="n"/>
      <c r="B1076" s="42">
        <f>'設定'!$I$15</f>
        <v/>
      </c>
      <c r="C1076" s="60" t="n"/>
      <c r="D1076" s="60" t="n"/>
      <c r="E1076" s="60" t="n"/>
      <c r="F1076" s="60" t="n"/>
      <c r="G1076" s="60" t="n"/>
      <c r="H1076" s="60" t="n"/>
      <c r="I1076" s="60" t="n"/>
      <c r="J1076" s="60" t="n"/>
      <c r="K1076" s="60" t="n"/>
      <c r="L1076" s="60" t="n"/>
    </row>
    <row r="1077" ht="21" customHeight="1">
      <c r="A1077" s="59" t="n"/>
      <c r="B1077" s="42">
        <f>'設定'!$I$16</f>
        <v/>
      </c>
      <c r="C1077" s="60" t="n"/>
      <c r="D1077" s="60" t="n"/>
      <c r="E1077" s="60" t="n"/>
      <c r="F1077" s="60" t="n"/>
      <c r="G1077" s="60" t="n"/>
      <c r="H1077" s="60" t="n"/>
      <c r="I1077" s="60" t="n"/>
      <c r="J1077" s="60" t="n"/>
      <c r="K1077" s="60" t="n"/>
      <c r="L1077" s="60" t="n"/>
    </row>
    <row r="1078" ht="21" customHeight="1">
      <c r="A1078" s="59" t="n"/>
      <c r="B1078" s="42">
        <f>'設定'!$I$17</f>
        <v/>
      </c>
      <c r="C1078" s="60" t="n"/>
      <c r="D1078" s="60" t="n"/>
      <c r="E1078" s="60" t="n"/>
      <c r="F1078" s="60" t="n"/>
      <c r="G1078" s="60" t="n"/>
      <c r="H1078" s="60" t="n"/>
      <c r="I1078" s="60" t="n"/>
      <c r="J1078" s="60" t="n"/>
      <c r="K1078" s="60" t="n"/>
      <c r="L1078" s="60" t="n"/>
    </row>
    <row r="1079" ht="21" customHeight="1">
      <c r="A1079" s="59" t="n"/>
      <c r="B1079" s="42">
        <f>'設定'!$I$18</f>
        <v/>
      </c>
      <c r="C1079" s="60" t="n"/>
      <c r="D1079" s="60" t="n"/>
      <c r="E1079" s="60" t="n"/>
      <c r="F1079" s="60" t="n"/>
      <c r="G1079" s="60" t="n"/>
      <c r="H1079" s="60" t="n"/>
      <c r="I1079" s="60" t="n"/>
      <c r="J1079" s="60" t="n"/>
      <c r="K1079" s="60" t="n"/>
      <c r="L1079" s="60" t="n"/>
    </row>
    <row r="1080" ht="21" customHeight="1">
      <c r="A1080" s="59" t="n"/>
      <c r="B1080" s="42">
        <f>'設定'!$I$19</f>
        <v/>
      </c>
      <c r="C1080" s="60" t="n"/>
      <c r="D1080" s="60" t="n"/>
      <c r="E1080" s="60" t="n"/>
      <c r="F1080" s="60" t="n"/>
      <c r="G1080" s="60" t="n"/>
      <c r="H1080" s="60" t="n"/>
      <c r="I1080" s="60" t="n"/>
      <c r="J1080" s="60" t="n"/>
      <c r="K1080" s="60" t="n"/>
      <c r="L1080" s="60" t="n"/>
    </row>
    <row r="1081" ht="21" customHeight="1">
      <c r="A1081" s="59" t="n"/>
      <c r="B1081" s="42">
        <f>'設定'!$I$20</f>
        <v/>
      </c>
      <c r="C1081" s="60" t="n"/>
      <c r="D1081" s="60" t="n"/>
      <c r="E1081" s="60" t="n"/>
      <c r="F1081" s="60" t="n"/>
      <c r="G1081" s="60" t="n"/>
      <c r="H1081" s="60" t="n"/>
      <c r="I1081" s="60" t="n"/>
      <c r="J1081" s="60" t="n"/>
      <c r="K1081" s="60" t="n"/>
      <c r="L1081" s="60" t="n"/>
    </row>
    <row r="1082" ht="21" customHeight="1">
      <c r="A1082" s="59" t="n"/>
      <c r="B1082" s="42">
        <f>'設定'!$I$21</f>
        <v/>
      </c>
      <c r="C1082" s="60" t="n"/>
      <c r="D1082" s="60" t="n"/>
      <c r="E1082" s="60" t="n"/>
      <c r="F1082" s="60" t="n"/>
      <c r="G1082" s="60" t="n"/>
      <c r="H1082" s="60" t="n"/>
      <c r="I1082" s="60" t="n"/>
      <c r="J1082" s="60" t="n"/>
      <c r="K1082" s="60" t="n"/>
      <c r="L1082" s="60" t="n"/>
    </row>
    <row r="1083" ht="21" customHeight="1">
      <c r="A1083" s="59" t="n"/>
      <c r="B1083" s="42">
        <f>'設定'!$I$22</f>
        <v/>
      </c>
      <c r="C1083" s="60" t="n"/>
      <c r="D1083" s="60" t="n"/>
      <c r="E1083" s="60" t="n"/>
      <c r="F1083" s="60" t="n"/>
      <c r="G1083" s="60" t="n"/>
      <c r="H1083" s="60" t="n"/>
      <c r="I1083" s="60" t="n"/>
      <c r="J1083" s="60" t="n"/>
      <c r="K1083" s="60" t="n"/>
      <c r="L1083" s="60" t="n"/>
    </row>
    <row r="1084" ht="21" customHeight="1">
      <c r="A1084" s="59" t="n"/>
      <c r="B1084" s="42">
        <f>'設定'!$I$23</f>
        <v/>
      </c>
      <c r="C1084" s="60" t="n"/>
      <c r="D1084" s="60" t="n"/>
      <c r="E1084" s="60" t="n"/>
      <c r="F1084" s="60" t="n"/>
      <c r="G1084" s="60" t="n"/>
      <c r="H1084" s="60" t="n"/>
      <c r="I1084" s="60" t="n"/>
      <c r="J1084" s="60" t="n"/>
      <c r="K1084" s="60" t="n"/>
      <c r="L1084" s="60" t="n"/>
    </row>
    <row r="1085" ht="21" customHeight="1">
      <c r="A1085" s="59" t="n"/>
      <c r="B1085" s="42">
        <f>'設定'!$I$24</f>
        <v/>
      </c>
      <c r="C1085" s="60" t="n"/>
      <c r="D1085" s="60" t="n"/>
      <c r="E1085" s="60" t="n"/>
      <c r="F1085" s="60" t="n"/>
      <c r="G1085" s="60" t="n"/>
      <c r="H1085" s="60" t="n"/>
      <c r="I1085" s="60" t="n"/>
      <c r="J1085" s="60" t="n"/>
      <c r="K1085" s="60" t="n"/>
      <c r="L1085" s="60" t="n"/>
    </row>
    <row r="1086" ht="21" customHeight="1">
      <c r="A1086" s="59" t="n"/>
      <c r="B1086" s="42">
        <f>'設定'!$I$25</f>
        <v/>
      </c>
      <c r="C1086" s="60" t="n"/>
      <c r="D1086" s="60" t="n"/>
      <c r="E1086" s="60" t="n"/>
      <c r="F1086" s="60" t="n"/>
      <c r="G1086" s="60" t="n"/>
      <c r="H1086" s="60" t="n"/>
      <c r="I1086" s="60" t="n"/>
      <c r="J1086" s="60" t="n"/>
      <c r="K1086" s="60" t="n"/>
      <c r="L1086" s="60" t="n"/>
    </row>
    <row r="1087" ht="21" customHeight="1">
      <c r="A1087" s="59" t="n"/>
      <c r="B1087" s="42">
        <f>'設定'!$I$26</f>
        <v/>
      </c>
      <c r="C1087" s="60" t="n"/>
      <c r="D1087" s="60" t="n"/>
      <c r="E1087" s="60" t="n"/>
      <c r="F1087" s="60" t="n"/>
      <c r="G1087" s="60" t="n"/>
      <c r="H1087" s="60" t="n"/>
      <c r="I1087" s="60" t="n"/>
      <c r="J1087" s="60" t="n"/>
      <c r="K1087" s="60" t="n"/>
      <c r="L1087" s="60" t="n"/>
    </row>
    <row r="1088" ht="21" customHeight="1">
      <c r="A1088" s="59" t="n"/>
      <c r="B1088" s="42">
        <f>'設定'!$I$27</f>
        <v/>
      </c>
      <c r="C1088" s="60" t="n"/>
      <c r="D1088" s="60" t="n"/>
      <c r="E1088" s="60" t="n"/>
      <c r="F1088" s="60" t="n"/>
      <c r="G1088" s="60" t="n"/>
      <c r="H1088" s="60" t="n"/>
      <c r="I1088" s="60" t="n"/>
      <c r="J1088" s="60" t="n"/>
      <c r="K1088" s="60" t="n"/>
      <c r="L1088" s="60" t="n"/>
    </row>
    <row r="1089" ht="21" customHeight="1">
      <c r="A1089" s="59" t="n"/>
      <c r="B1089" s="42">
        <f>'設定'!$I$28</f>
        <v/>
      </c>
      <c r="C1089" s="60" t="n"/>
      <c r="D1089" s="60" t="n"/>
      <c r="E1089" s="60" t="n"/>
      <c r="F1089" s="60" t="n"/>
      <c r="G1089" s="60" t="n"/>
      <c r="H1089" s="60" t="n"/>
      <c r="I1089" s="60" t="n"/>
      <c r="J1089" s="60" t="n"/>
      <c r="K1089" s="60" t="n"/>
      <c r="L1089" s="60" t="n"/>
    </row>
    <row r="1090" ht="21" customHeight="1">
      <c r="A1090" s="59" t="n"/>
      <c r="B1090" s="42">
        <f>'設定'!$I$29</f>
        <v/>
      </c>
      <c r="C1090" s="60" t="n"/>
      <c r="D1090" s="60" t="n"/>
      <c r="E1090" s="60" t="n"/>
      <c r="F1090" s="60" t="n"/>
      <c r="G1090" s="60" t="n"/>
      <c r="H1090" s="60" t="n"/>
      <c r="I1090" s="60" t="n"/>
      <c r="J1090" s="60" t="n"/>
      <c r="K1090" s="60" t="n"/>
      <c r="L1090" s="60" t="n"/>
    </row>
    <row r="1091" ht="21" customHeight="1">
      <c r="A1091" s="59" t="n"/>
      <c r="B1091" s="42">
        <f>'設定'!$I$30</f>
        <v/>
      </c>
      <c r="C1091" s="60" t="n"/>
      <c r="D1091" s="60" t="n"/>
      <c r="E1091" s="60" t="n"/>
      <c r="F1091" s="60" t="n"/>
      <c r="G1091" s="60" t="n"/>
      <c r="H1091" s="60" t="n"/>
      <c r="I1091" s="60" t="n"/>
      <c r="J1091" s="60" t="n"/>
      <c r="K1091" s="60" t="n"/>
      <c r="L1091" s="60" t="n"/>
    </row>
    <row r="1092" ht="21" customHeight="1">
      <c r="A1092" s="59" t="n"/>
      <c r="B1092" s="42">
        <f>'設定'!$I$31</f>
        <v/>
      </c>
      <c r="C1092" s="60" t="n"/>
      <c r="D1092" s="60" t="n"/>
      <c r="E1092" s="60" t="n"/>
      <c r="F1092" s="60" t="n"/>
      <c r="G1092" s="60" t="n"/>
      <c r="H1092" s="60" t="n"/>
      <c r="I1092" s="60" t="n"/>
      <c r="J1092" s="60" t="n"/>
      <c r="K1092" s="60" t="n"/>
      <c r="L1092" s="60" t="n"/>
    </row>
    <row r="1093" ht="21" customHeight="1">
      <c r="A1093" s="59" t="n"/>
      <c r="B1093" s="42">
        <f>'設定'!$I$32</f>
        <v/>
      </c>
      <c r="C1093" s="60" t="n"/>
      <c r="D1093" s="60" t="n"/>
      <c r="E1093" s="60" t="n"/>
      <c r="F1093" s="60" t="n"/>
      <c r="G1093" s="60" t="n"/>
      <c r="H1093" s="60" t="n"/>
      <c r="I1093" s="60" t="n"/>
      <c r="J1093" s="60" t="n"/>
      <c r="K1093" s="60" t="n"/>
      <c r="L1093" s="60" t="n"/>
    </row>
    <row r="1094" ht="21" customHeight="1">
      <c r="A1094" s="59" t="n"/>
      <c r="B1094" s="42">
        <f>'設定'!$I$33</f>
        <v/>
      </c>
      <c r="C1094" s="60" t="n"/>
      <c r="D1094" s="60" t="n"/>
      <c r="E1094" s="60" t="n"/>
      <c r="F1094" s="60" t="n"/>
      <c r="G1094" s="60" t="n"/>
      <c r="H1094" s="60" t="n"/>
      <c r="I1094" s="60" t="n"/>
      <c r="J1094" s="60" t="n"/>
      <c r="K1094" s="60" t="n"/>
      <c r="L1094" s="60" t="n"/>
    </row>
    <row r="1095" ht="21" customHeight="1">
      <c r="A1095" s="59" t="n"/>
      <c r="B1095" s="42">
        <f>'設定'!$I$34</f>
        <v/>
      </c>
      <c r="C1095" s="60" t="n"/>
      <c r="D1095" s="60" t="n"/>
      <c r="E1095" s="60" t="n"/>
      <c r="F1095" s="60" t="n"/>
      <c r="G1095" s="60" t="n"/>
      <c r="H1095" s="60" t="n"/>
      <c r="I1095" s="60" t="n"/>
      <c r="J1095" s="60" t="n"/>
      <c r="K1095" s="60" t="n"/>
      <c r="L1095" s="60" t="n"/>
    </row>
    <row r="1096"/>
    <row r="1097" ht="26" customHeight="1">
      <c r="B1097" s="53">
        <f>IF('名簿'!B44="","（名簿 40行目：なし）",'名簿'!G44)</f>
        <v/>
      </c>
      <c r="C1097" s="4" t="n"/>
      <c r="D1097" s="4" t="n"/>
      <c r="E1097" s="54" t="inlineStr">
        <is>
          <t>提出状況 ▶</t>
        </is>
      </c>
      <c r="F1097" s="38" t="n"/>
      <c r="G1097" s="29" t="n"/>
      <c r="H1097" s="55" t="inlineStr">
        <is>
          <t>状況：</t>
        </is>
      </c>
      <c r="I1097" s="56">
        <f>'名簿'!H44</f>
        <v/>
      </c>
      <c r="J1097" s="55" t="inlineStr">
        <is>
          <t>×の数：</t>
        </is>
      </c>
      <c r="K1097" s="57">
        <f>'名簿'!I44</f>
        <v/>
      </c>
      <c r="L1097" s="58">
        <f>HYPERLINK("#'×入力'!B1125","次の人へ ▼")</f>
        <v/>
      </c>
    </row>
    <row r="1098" ht="22" customHeight="1">
      <c r="A1098" s="30" t="inlineStr">
        <is>
          <t>この日全部 ▶</t>
        </is>
      </c>
      <c r="C1098" s="59" t="n"/>
      <c r="D1098" s="59" t="n"/>
      <c r="E1098" s="59" t="n"/>
      <c r="F1098" s="59" t="n"/>
      <c r="G1098" s="59" t="n"/>
      <c r="H1098" s="59" t="n"/>
      <c r="I1098" s="59" t="n"/>
      <c r="J1098" s="59" t="n"/>
      <c r="K1098" s="59" t="n"/>
      <c r="L1098" s="59" t="n"/>
    </row>
    <row r="1099" ht="28" customHeight="1">
      <c r="A1099" s="33" t="inlineStr">
        <is>
          <t>この時間
全部 ▼</t>
        </is>
      </c>
      <c r="B1099" s="34" t="inlineStr"/>
      <c r="C1099" s="35">
        <f>'設定'!$E$11</f>
        <v/>
      </c>
      <c r="D1099" s="35">
        <f>'設定'!$E$12</f>
        <v/>
      </c>
      <c r="E1099" s="35">
        <f>'設定'!$E$13</f>
        <v/>
      </c>
      <c r="F1099" s="35">
        <f>'設定'!$E$14</f>
        <v/>
      </c>
      <c r="G1099" s="35">
        <f>'設定'!$E$15</f>
        <v/>
      </c>
      <c r="H1099" s="35">
        <f>'設定'!$E$16</f>
        <v/>
      </c>
      <c r="I1099" s="35">
        <f>'設定'!$E$17</f>
        <v/>
      </c>
      <c r="J1099" s="35">
        <f>'設定'!$E$18</f>
        <v/>
      </c>
      <c r="K1099" s="35">
        <f>'設定'!$E$19</f>
        <v/>
      </c>
      <c r="L1099" s="35">
        <f>'設定'!$E$20</f>
        <v/>
      </c>
    </row>
    <row r="1100" ht="21" customHeight="1">
      <c r="A1100" s="59" t="n"/>
      <c r="B1100" s="42">
        <f>'設定'!$I$11</f>
        <v/>
      </c>
      <c r="C1100" s="60" t="n"/>
      <c r="D1100" s="60" t="n"/>
      <c r="E1100" s="60" t="n"/>
      <c r="F1100" s="60" t="n"/>
      <c r="G1100" s="60" t="n"/>
      <c r="H1100" s="60" t="n"/>
      <c r="I1100" s="60" t="n"/>
      <c r="J1100" s="60" t="n"/>
      <c r="K1100" s="60" t="n"/>
      <c r="L1100" s="60" t="n"/>
    </row>
    <row r="1101" ht="21" customHeight="1">
      <c r="A1101" s="59" t="n"/>
      <c r="B1101" s="42">
        <f>'設定'!$I$12</f>
        <v/>
      </c>
      <c r="C1101" s="60" t="n"/>
      <c r="D1101" s="60" t="n"/>
      <c r="E1101" s="60" t="n"/>
      <c r="F1101" s="60" t="n"/>
      <c r="G1101" s="60" t="n"/>
      <c r="H1101" s="60" t="n"/>
      <c r="I1101" s="60" t="n"/>
      <c r="J1101" s="60" t="n"/>
      <c r="K1101" s="60" t="n"/>
      <c r="L1101" s="60" t="n"/>
    </row>
    <row r="1102" ht="21" customHeight="1">
      <c r="A1102" s="59" t="n"/>
      <c r="B1102" s="42">
        <f>'設定'!$I$13</f>
        <v/>
      </c>
      <c r="C1102" s="60" t="n"/>
      <c r="D1102" s="60" t="n"/>
      <c r="E1102" s="60" t="n"/>
      <c r="F1102" s="60" t="n"/>
      <c r="G1102" s="60" t="n"/>
      <c r="H1102" s="60" t="n"/>
      <c r="I1102" s="60" t="n"/>
      <c r="J1102" s="60" t="n"/>
      <c r="K1102" s="60" t="n"/>
      <c r="L1102" s="60" t="n"/>
    </row>
    <row r="1103" ht="21" customHeight="1">
      <c r="A1103" s="59" t="n"/>
      <c r="B1103" s="42">
        <f>'設定'!$I$14</f>
        <v/>
      </c>
      <c r="C1103" s="60" t="n"/>
      <c r="D1103" s="60" t="n"/>
      <c r="E1103" s="60" t="n"/>
      <c r="F1103" s="60" t="n"/>
      <c r="G1103" s="60" t="n"/>
      <c r="H1103" s="60" t="n"/>
      <c r="I1103" s="60" t="n"/>
      <c r="J1103" s="60" t="n"/>
      <c r="K1103" s="60" t="n"/>
      <c r="L1103" s="60" t="n"/>
    </row>
    <row r="1104" ht="21" customHeight="1">
      <c r="A1104" s="59" t="n"/>
      <c r="B1104" s="42">
        <f>'設定'!$I$15</f>
        <v/>
      </c>
      <c r="C1104" s="60" t="n"/>
      <c r="D1104" s="60" t="n"/>
      <c r="E1104" s="60" t="n"/>
      <c r="F1104" s="60" t="n"/>
      <c r="G1104" s="60" t="n"/>
      <c r="H1104" s="60" t="n"/>
      <c r="I1104" s="60" t="n"/>
      <c r="J1104" s="60" t="n"/>
      <c r="K1104" s="60" t="n"/>
      <c r="L1104" s="60" t="n"/>
    </row>
    <row r="1105" ht="21" customHeight="1">
      <c r="A1105" s="59" t="n"/>
      <c r="B1105" s="42">
        <f>'設定'!$I$16</f>
        <v/>
      </c>
      <c r="C1105" s="60" t="n"/>
      <c r="D1105" s="60" t="n"/>
      <c r="E1105" s="60" t="n"/>
      <c r="F1105" s="60" t="n"/>
      <c r="G1105" s="60" t="n"/>
      <c r="H1105" s="60" t="n"/>
      <c r="I1105" s="60" t="n"/>
      <c r="J1105" s="60" t="n"/>
      <c r="K1105" s="60" t="n"/>
      <c r="L1105" s="60" t="n"/>
    </row>
    <row r="1106" ht="21" customHeight="1">
      <c r="A1106" s="59" t="n"/>
      <c r="B1106" s="42">
        <f>'設定'!$I$17</f>
        <v/>
      </c>
      <c r="C1106" s="60" t="n"/>
      <c r="D1106" s="60" t="n"/>
      <c r="E1106" s="60" t="n"/>
      <c r="F1106" s="60" t="n"/>
      <c r="G1106" s="60" t="n"/>
      <c r="H1106" s="60" t="n"/>
      <c r="I1106" s="60" t="n"/>
      <c r="J1106" s="60" t="n"/>
      <c r="K1106" s="60" t="n"/>
      <c r="L1106" s="60" t="n"/>
    </row>
    <row r="1107" ht="21" customHeight="1">
      <c r="A1107" s="59" t="n"/>
      <c r="B1107" s="42">
        <f>'設定'!$I$18</f>
        <v/>
      </c>
      <c r="C1107" s="60" t="n"/>
      <c r="D1107" s="60" t="n"/>
      <c r="E1107" s="60" t="n"/>
      <c r="F1107" s="60" t="n"/>
      <c r="G1107" s="60" t="n"/>
      <c r="H1107" s="60" t="n"/>
      <c r="I1107" s="60" t="n"/>
      <c r="J1107" s="60" t="n"/>
      <c r="K1107" s="60" t="n"/>
      <c r="L1107" s="60" t="n"/>
    </row>
    <row r="1108" ht="21" customHeight="1">
      <c r="A1108" s="59" t="n"/>
      <c r="B1108" s="42">
        <f>'設定'!$I$19</f>
        <v/>
      </c>
      <c r="C1108" s="60" t="n"/>
      <c r="D1108" s="60" t="n"/>
      <c r="E1108" s="60" t="n"/>
      <c r="F1108" s="60" t="n"/>
      <c r="G1108" s="60" t="n"/>
      <c r="H1108" s="60" t="n"/>
      <c r="I1108" s="60" t="n"/>
      <c r="J1108" s="60" t="n"/>
      <c r="K1108" s="60" t="n"/>
      <c r="L1108" s="60" t="n"/>
    </row>
    <row r="1109" ht="21" customHeight="1">
      <c r="A1109" s="59" t="n"/>
      <c r="B1109" s="42">
        <f>'設定'!$I$20</f>
        <v/>
      </c>
      <c r="C1109" s="60" t="n"/>
      <c r="D1109" s="60" t="n"/>
      <c r="E1109" s="60" t="n"/>
      <c r="F1109" s="60" t="n"/>
      <c r="G1109" s="60" t="n"/>
      <c r="H1109" s="60" t="n"/>
      <c r="I1109" s="60" t="n"/>
      <c r="J1109" s="60" t="n"/>
      <c r="K1109" s="60" t="n"/>
      <c r="L1109" s="60" t="n"/>
    </row>
    <row r="1110" ht="21" customHeight="1">
      <c r="A1110" s="59" t="n"/>
      <c r="B1110" s="42">
        <f>'設定'!$I$21</f>
        <v/>
      </c>
      <c r="C1110" s="60" t="n"/>
      <c r="D1110" s="60" t="n"/>
      <c r="E1110" s="60" t="n"/>
      <c r="F1110" s="60" t="n"/>
      <c r="G1110" s="60" t="n"/>
      <c r="H1110" s="60" t="n"/>
      <c r="I1110" s="60" t="n"/>
      <c r="J1110" s="60" t="n"/>
      <c r="K1110" s="60" t="n"/>
      <c r="L1110" s="60" t="n"/>
    </row>
    <row r="1111" ht="21" customHeight="1">
      <c r="A1111" s="59" t="n"/>
      <c r="B1111" s="42">
        <f>'設定'!$I$22</f>
        <v/>
      </c>
      <c r="C1111" s="60" t="n"/>
      <c r="D1111" s="60" t="n"/>
      <c r="E1111" s="60" t="n"/>
      <c r="F1111" s="60" t="n"/>
      <c r="G1111" s="60" t="n"/>
      <c r="H1111" s="60" t="n"/>
      <c r="I1111" s="60" t="n"/>
      <c r="J1111" s="60" t="n"/>
      <c r="K1111" s="60" t="n"/>
      <c r="L1111" s="60" t="n"/>
    </row>
    <row r="1112" ht="21" customHeight="1">
      <c r="A1112" s="59" t="n"/>
      <c r="B1112" s="42">
        <f>'設定'!$I$23</f>
        <v/>
      </c>
      <c r="C1112" s="60" t="n"/>
      <c r="D1112" s="60" t="n"/>
      <c r="E1112" s="60" t="n"/>
      <c r="F1112" s="60" t="n"/>
      <c r="G1112" s="60" t="n"/>
      <c r="H1112" s="60" t="n"/>
      <c r="I1112" s="60" t="n"/>
      <c r="J1112" s="60" t="n"/>
      <c r="K1112" s="60" t="n"/>
      <c r="L1112" s="60" t="n"/>
    </row>
    <row r="1113" ht="21" customHeight="1">
      <c r="A1113" s="59" t="n"/>
      <c r="B1113" s="42">
        <f>'設定'!$I$24</f>
        <v/>
      </c>
      <c r="C1113" s="60" t="n"/>
      <c r="D1113" s="60" t="n"/>
      <c r="E1113" s="60" t="n"/>
      <c r="F1113" s="60" t="n"/>
      <c r="G1113" s="60" t="n"/>
      <c r="H1113" s="60" t="n"/>
      <c r="I1113" s="60" t="n"/>
      <c r="J1113" s="60" t="n"/>
      <c r="K1113" s="60" t="n"/>
      <c r="L1113" s="60" t="n"/>
    </row>
    <row r="1114" ht="21" customHeight="1">
      <c r="A1114" s="59" t="n"/>
      <c r="B1114" s="42">
        <f>'設定'!$I$25</f>
        <v/>
      </c>
      <c r="C1114" s="60" t="n"/>
      <c r="D1114" s="60" t="n"/>
      <c r="E1114" s="60" t="n"/>
      <c r="F1114" s="60" t="n"/>
      <c r="G1114" s="60" t="n"/>
      <c r="H1114" s="60" t="n"/>
      <c r="I1114" s="60" t="n"/>
      <c r="J1114" s="60" t="n"/>
      <c r="K1114" s="60" t="n"/>
      <c r="L1114" s="60" t="n"/>
    </row>
    <row r="1115" ht="21" customHeight="1">
      <c r="A1115" s="59" t="n"/>
      <c r="B1115" s="42">
        <f>'設定'!$I$26</f>
        <v/>
      </c>
      <c r="C1115" s="60" t="n"/>
      <c r="D1115" s="60" t="n"/>
      <c r="E1115" s="60" t="n"/>
      <c r="F1115" s="60" t="n"/>
      <c r="G1115" s="60" t="n"/>
      <c r="H1115" s="60" t="n"/>
      <c r="I1115" s="60" t="n"/>
      <c r="J1115" s="60" t="n"/>
      <c r="K1115" s="60" t="n"/>
      <c r="L1115" s="60" t="n"/>
    </row>
    <row r="1116" ht="21" customHeight="1">
      <c r="A1116" s="59" t="n"/>
      <c r="B1116" s="42">
        <f>'設定'!$I$27</f>
        <v/>
      </c>
      <c r="C1116" s="60" t="n"/>
      <c r="D1116" s="60" t="n"/>
      <c r="E1116" s="60" t="n"/>
      <c r="F1116" s="60" t="n"/>
      <c r="G1116" s="60" t="n"/>
      <c r="H1116" s="60" t="n"/>
      <c r="I1116" s="60" t="n"/>
      <c r="J1116" s="60" t="n"/>
      <c r="K1116" s="60" t="n"/>
      <c r="L1116" s="60" t="n"/>
    </row>
    <row r="1117" ht="21" customHeight="1">
      <c r="A1117" s="59" t="n"/>
      <c r="B1117" s="42">
        <f>'設定'!$I$28</f>
        <v/>
      </c>
      <c r="C1117" s="60" t="n"/>
      <c r="D1117" s="60" t="n"/>
      <c r="E1117" s="60" t="n"/>
      <c r="F1117" s="60" t="n"/>
      <c r="G1117" s="60" t="n"/>
      <c r="H1117" s="60" t="n"/>
      <c r="I1117" s="60" t="n"/>
      <c r="J1117" s="60" t="n"/>
      <c r="K1117" s="60" t="n"/>
      <c r="L1117" s="60" t="n"/>
    </row>
    <row r="1118" ht="21" customHeight="1">
      <c r="A1118" s="59" t="n"/>
      <c r="B1118" s="42">
        <f>'設定'!$I$29</f>
        <v/>
      </c>
      <c r="C1118" s="60" t="n"/>
      <c r="D1118" s="60" t="n"/>
      <c r="E1118" s="60" t="n"/>
      <c r="F1118" s="60" t="n"/>
      <c r="G1118" s="60" t="n"/>
      <c r="H1118" s="60" t="n"/>
      <c r="I1118" s="60" t="n"/>
      <c r="J1118" s="60" t="n"/>
      <c r="K1118" s="60" t="n"/>
      <c r="L1118" s="60" t="n"/>
    </row>
    <row r="1119" ht="21" customHeight="1">
      <c r="A1119" s="59" t="n"/>
      <c r="B1119" s="42">
        <f>'設定'!$I$30</f>
        <v/>
      </c>
      <c r="C1119" s="60" t="n"/>
      <c r="D1119" s="60" t="n"/>
      <c r="E1119" s="60" t="n"/>
      <c r="F1119" s="60" t="n"/>
      <c r="G1119" s="60" t="n"/>
      <c r="H1119" s="60" t="n"/>
      <c r="I1119" s="60" t="n"/>
      <c r="J1119" s="60" t="n"/>
      <c r="K1119" s="60" t="n"/>
      <c r="L1119" s="60" t="n"/>
    </row>
    <row r="1120" ht="21" customHeight="1">
      <c r="A1120" s="59" t="n"/>
      <c r="B1120" s="42">
        <f>'設定'!$I$31</f>
        <v/>
      </c>
      <c r="C1120" s="60" t="n"/>
      <c r="D1120" s="60" t="n"/>
      <c r="E1120" s="60" t="n"/>
      <c r="F1120" s="60" t="n"/>
      <c r="G1120" s="60" t="n"/>
      <c r="H1120" s="60" t="n"/>
      <c r="I1120" s="60" t="n"/>
      <c r="J1120" s="60" t="n"/>
      <c r="K1120" s="60" t="n"/>
      <c r="L1120" s="60" t="n"/>
    </row>
    <row r="1121" ht="21" customHeight="1">
      <c r="A1121" s="59" t="n"/>
      <c r="B1121" s="42">
        <f>'設定'!$I$32</f>
        <v/>
      </c>
      <c r="C1121" s="60" t="n"/>
      <c r="D1121" s="60" t="n"/>
      <c r="E1121" s="60" t="n"/>
      <c r="F1121" s="60" t="n"/>
      <c r="G1121" s="60" t="n"/>
      <c r="H1121" s="60" t="n"/>
      <c r="I1121" s="60" t="n"/>
      <c r="J1121" s="60" t="n"/>
      <c r="K1121" s="60" t="n"/>
      <c r="L1121" s="60" t="n"/>
    </row>
    <row r="1122" ht="21" customHeight="1">
      <c r="A1122" s="59" t="n"/>
      <c r="B1122" s="42">
        <f>'設定'!$I$33</f>
        <v/>
      </c>
      <c r="C1122" s="60" t="n"/>
      <c r="D1122" s="60" t="n"/>
      <c r="E1122" s="60" t="n"/>
      <c r="F1122" s="60" t="n"/>
      <c r="G1122" s="60" t="n"/>
      <c r="H1122" s="60" t="n"/>
      <c r="I1122" s="60" t="n"/>
      <c r="J1122" s="60" t="n"/>
      <c r="K1122" s="60" t="n"/>
      <c r="L1122" s="60" t="n"/>
    </row>
    <row r="1123" ht="21" customHeight="1">
      <c r="A1123" s="59" t="n"/>
      <c r="B1123" s="42">
        <f>'設定'!$I$34</f>
        <v/>
      </c>
      <c r="C1123" s="60" t="n"/>
      <c r="D1123" s="60" t="n"/>
      <c r="E1123" s="60" t="n"/>
      <c r="F1123" s="60" t="n"/>
      <c r="G1123" s="60" t="n"/>
      <c r="H1123" s="60" t="n"/>
      <c r="I1123" s="60" t="n"/>
      <c r="J1123" s="60" t="n"/>
      <c r="K1123" s="60" t="n"/>
      <c r="L1123" s="60" t="n"/>
    </row>
    <row r="1124"/>
    <row r="1125" ht="26" customHeight="1">
      <c r="B1125" s="53">
        <f>IF('名簿'!B45="","（名簿 41行目：なし）",'名簿'!G45)</f>
        <v/>
      </c>
      <c r="C1125" s="4" t="n"/>
      <c r="D1125" s="4" t="n"/>
      <c r="E1125" s="54" t="inlineStr">
        <is>
          <t>提出状況 ▶</t>
        </is>
      </c>
      <c r="F1125" s="38" t="n"/>
      <c r="G1125" s="29" t="n"/>
      <c r="H1125" s="55" t="inlineStr">
        <is>
          <t>状況：</t>
        </is>
      </c>
      <c r="I1125" s="56">
        <f>'名簿'!H45</f>
        <v/>
      </c>
      <c r="J1125" s="55" t="inlineStr">
        <is>
          <t>×の数：</t>
        </is>
      </c>
      <c r="K1125" s="57">
        <f>'名簿'!I45</f>
        <v/>
      </c>
      <c r="L1125" s="58">
        <f>HYPERLINK("#'×入力'!B1153","次の人へ ▼")</f>
        <v/>
      </c>
    </row>
    <row r="1126" ht="22" customHeight="1">
      <c r="A1126" s="30" t="inlineStr">
        <is>
          <t>この日全部 ▶</t>
        </is>
      </c>
      <c r="C1126" s="59" t="n"/>
      <c r="D1126" s="59" t="n"/>
      <c r="E1126" s="59" t="n"/>
      <c r="F1126" s="59" t="n"/>
      <c r="G1126" s="59" t="n"/>
      <c r="H1126" s="59" t="n"/>
      <c r="I1126" s="59" t="n"/>
      <c r="J1126" s="59" t="n"/>
      <c r="K1126" s="59" t="n"/>
      <c r="L1126" s="59" t="n"/>
    </row>
    <row r="1127" ht="28" customHeight="1">
      <c r="A1127" s="33" t="inlineStr">
        <is>
          <t>この時間
全部 ▼</t>
        </is>
      </c>
      <c r="B1127" s="34" t="inlineStr"/>
      <c r="C1127" s="35">
        <f>'設定'!$E$11</f>
        <v/>
      </c>
      <c r="D1127" s="35">
        <f>'設定'!$E$12</f>
        <v/>
      </c>
      <c r="E1127" s="35">
        <f>'設定'!$E$13</f>
        <v/>
      </c>
      <c r="F1127" s="35">
        <f>'設定'!$E$14</f>
        <v/>
      </c>
      <c r="G1127" s="35">
        <f>'設定'!$E$15</f>
        <v/>
      </c>
      <c r="H1127" s="35">
        <f>'設定'!$E$16</f>
        <v/>
      </c>
      <c r="I1127" s="35">
        <f>'設定'!$E$17</f>
        <v/>
      </c>
      <c r="J1127" s="35">
        <f>'設定'!$E$18</f>
        <v/>
      </c>
      <c r="K1127" s="35">
        <f>'設定'!$E$19</f>
        <v/>
      </c>
      <c r="L1127" s="35">
        <f>'設定'!$E$20</f>
        <v/>
      </c>
    </row>
    <row r="1128" ht="21" customHeight="1">
      <c r="A1128" s="59" t="n"/>
      <c r="B1128" s="42">
        <f>'設定'!$I$11</f>
        <v/>
      </c>
      <c r="C1128" s="60" t="n"/>
      <c r="D1128" s="60" t="n"/>
      <c r="E1128" s="60" t="n"/>
      <c r="F1128" s="60" t="n"/>
      <c r="G1128" s="60" t="n"/>
      <c r="H1128" s="60" t="n"/>
      <c r="I1128" s="60" t="n"/>
      <c r="J1128" s="60" t="n"/>
      <c r="K1128" s="60" t="n"/>
      <c r="L1128" s="60" t="n"/>
    </row>
    <row r="1129" ht="21" customHeight="1">
      <c r="A1129" s="59" t="n"/>
      <c r="B1129" s="42">
        <f>'設定'!$I$12</f>
        <v/>
      </c>
      <c r="C1129" s="60" t="n"/>
      <c r="D1129" s="60" t="n"/>
      <c r="E1129" s="60" t="n"/>
      <c r="F1129" s="60" t="n"/>
      <c r="G1129" s="60" t="n"/>
      <c r="H1129" s="60" t="n"/>
      <c r="I1129" s="60" t="n"/>
      <c r="J1129" s="60" t="n"/>
      <c r="K1129" s="60" t="n"/>
      <c r="L1129" s="60" t="n"/>
    </row>
    <row r="1130" ht="21" customHeight="1">
      <c r="A1130" s="59" t="n"/>
      <c r="B1130" s="42">
        <f>'設定'!$I$13</f>
        <v/>
      </c>
      <c r="C1130" s="60" t="n"/>
      <c r="D1130" s="60" t="n"/>
      <c r="E1130" s="60" t="n"/>
      <c r="F1130" s="60" t="n"/>
      <c r="G1130" s="60" t="n"/>
      <c r="H1130" s="60" t="n"/>
      <c r="I1130" s="60" t="n"/>
      <c r="J1130" s="60" t="n"/>
      <c r="K1130" s="60" t="n"/>
      <c r="L1130" s="60" t="n"/>
    </row>
    <row r="1131" ht="21" customHeight="1">
      <c r="A1131" s="59" t="n"/>
      <c r="B1131" s="42">
        <f>'設定'!$I$14</f>
        <v/>
      </c>
      <c r="C1131" s="60" t="n"/>
      <c r="D1131" s="60" t="n"/>
      <c r="E1131" s="60" t="n"/>
      <c r="F1131" s="60" t="n"/>
      <c r="G1131" s="60" t="n"/>
      <c r="H1131" s="60" t="n"/>
      <c r="I1131" s="60" t="n"/>
      <c r="J1131" s="60" t="n"/>
      <c r="K1131" s="60" t="n"/>
      <c r="L1131" s="60" t="n"/>
    </row>
    <row r="1132" ht="21" customHeight="1">
      <c r="A1132" s="59" t="n"/>
      <c r="B1132" s="42">
        <f>'設定'!$I$15</f>
        <v/>
      </c>
      <c r="C1132" s="60" t="n"/>
      <c r="D1132" s="60" t="n"/>
      <c r="E1132" s="60" t="n"/>
      <c r="F1132" s="60" t="n"/>
      <c r="G1132" s="60" t="n"/>
      <c r="H1132" s="60" t="n"/>
      <c r="I1132" s="60" t="n"/>
      <c r="J1132" s="60" t="n"/>
      <c r="K1132" s="60" t="n"/>
      <c r="L1132" s="60" t="n"/>
    </row>
    <row r="1133" ht="21" customHeight="1">
      <c r="A1133" s="59" t="n"/>
      <c r="B1133" s="42">
        <f>'設定'!$I$16</f>
        <v/>
      </c>
      <c r="C1133" s="60" t="n"/>
      <c r="D1133" s="60" t="n"/>
      <c r="E1133" s="60" t="n"/>
      <c r="F1133" s="60" t="n"/>
      <c r="G1133" s="60" t="n"/>
      <c r="H1133" s="60" t="n"/>
      <c r="I1133" s="60" t="n"/>
      <c r="J1133" s="60" t="n"/>
      <c r="K1133" s="60" t="n"/>
      <c r="L1133" s="60" t="n"/>
    </row>
    <row r="1134" ht="21" customHeight="1">
      <c r="A1134" s="59" t="n"/>
      <c r="B1134" s="42">
        <f>'設定'!$I$17</f>
        <v/>
      </c>
      <c r="C1134" s="60" t="n"/>
      <c r="D1134" s="60" t="n"/>
      <c r="E1134" s="60" t="n"/>
      <c r="F1134" s="60" t="n"/>
      <c r="G1134" s="60" t="n"/>
      <c r="H1134" s="60" t="n"/>
      <c r="I1134" s="60" t="n"/>
      <c r="J1134" s="60" t="n"/>
      <c r="K1134" s="60" t="n"/>
      <c r="L1134" s="60" t="n"/>
    </row>
    <row r="1135" ht="21" customHeight="1">
      <c r="A1135" s="59" t="n"/>
      <c r="B1135" s="42">
        <f>'設定'!$I$18</f>
        <v/>
      </c>
      <c r="C1135" s="60" t="n"/>
      <c r="D1135" s="60" t="n"/>
      <c r="E1135" s="60" t="n"/>
      <c r="F1135" s="60" t="n"/>
      <c r="G1135" s="60" t="n"/>
      <c r="H1135" s="60" t="n"/>
      <c r="I1135" s="60" t="n"/>
      <c r="J1135" s="60" t="n"/>
      <c r="K1135" s="60" t="n"/>
      <c r="L1135" s="60" t="n"/>
    </row>
    <row r="1136" ht="21" customHeight="1">
      <c r="A1136" s="59" t="n"/>
      <c r="B1136" s="42">
        <f>'設定'!$I$19</f>
        <v/>
      </c>
      <c r="C1136" s="60" t="n"/>
      <c r="D1136" s="60" t="n"/>
      <c r="E1136" s="60" t="n"/>
      <c r="F1136" s="60" t="n"/>
      <c r="G1136" s="60" t="n"/>
      <c r="H1136" s="60" t="n"/>
      <c r="I1136" s="60" t="n"/>
      <c r="J1136" s="60" t="n"/>
      <c r="K1136" s="60" t="n"/>
      <c r="L1136" s="60" t="n"/>
    </row>
    <row r="1137" ht="21" customHeight="1">
      <c r="A1137" s="59" t="n"/>
      <c r="B1137" s="42">
        <f>'設定'!$I$20</f>
        <v/>
      </c>
      <c r="C1137" s="60" t="n"/>
      <c r="D1137" s="60" t="n"/>
      <c r="E1137" s="60" t="n"/>
      <c r="F1137" s="60" t="n"/>
      <c r="G1137" s="60" t="n"/>
      <c r="H1137" s="60" t="n"/>
      <c r="I1137" s="60" t="n"/>
      <c r="J1137" s="60" t="n"/>
      <c r="K1137" s="60" t="n"/>
      <c r="L1137" s="60" t="n"/>
    </row>
    <row r="1138" ht="21" customHeight="1">
      <c r="A1138" s="59" t="n"/>
      <c r="B1138" s="42">
        <f>'設定'!$I$21</f>
        <v/>
      </c>
      <c r="C1138" s="60" t="n"/>
      <c r="D1138" s="60" t="n"/>
      <c r="E1138" s="60" t="n"/>
      <c r="F1138" s="60" t="n"/>
      <c r="G1138" s="60" t="n"/>
      <c r="H1138" s="60" t="n"/>
      <c r="I1138" s="60" t="n"/>
      <c r="J1138" s="60" t="n"/>
      <c r="K1138" s="60" t="n"/>
      <c r="L1138" s="60" t="n"/>
    </row>
    <row r="1139" ht="21" customHeight="1">
      <c r="A1139" s="59" t="n"/>
      <c r="B1139" s="42">
        <f>'設定'!$I$22</f>
        <v/>
      </c>
      <c r="C1139" s="60" t="n"/>
      <c r="D1139" s="60" t="n"/>
      <c r="E1139" s="60" t="n"/>
      <c r="F1139" s="60" t="n"/>
      <c r="G1139" s="60" t="n"/>
      <c r="H1139" s="60" t="n"/>
      <c r="I1139" s="60" t="n"/>
      <c r="J1139" s="60" t="n"/>
      <c r="K1139" s="60" t="n"/>
      <c r="L1139" s="60" t="n"/>
    </row>
    <row r="1140" ht="21" customHeight="1">
      <c r="A1140" s="59" t="n"/>
      <c r="B1140" s="42">
        <f>'設定'!$I$23</f>
        <v/>
      </c>
      <c r="C1140" s="60" t="n"/>
      <c r="D1140" s="60" t="n"/>
      <c r="E1140" s="60" t="n"/>
      <c r="F1140" s="60" t="n"/>
      <c r="G1140" s="60" t="n"/>
      <c r="H1140" s="60" t="n"/>
      <c r="I1140" s="60" t="n"/>
      <c r="J1140" s="60" t="n"/>
      <c r="K1140" s="60" t="n"/>
      <c r="L1140" s="60" t="n"/>
    </row>
    <row r="1141" ht="21" customHeight="1">
      <c r="A1141" s="59" t="n"/>
      <c r="B1141" s="42">
        <f>'設定'!$I$24</f>
        <v/>
      </c>
      <c r="C1141" s="60" t="n"/>
      <c r="D1141" s="60" t="n"/>
      <c r="E1141" s="60" t="n"/>
      <c r="F1141" s="60" t="n"/>
      <c r="G1141" s="60" t="n"/>
      <c r="H1141" s="60" t="n"/>
      <c r="I1141" s="60" t="n"/>
      <c r="J1141" s="60" t="n"/>
      <c r="K1141" s="60" t="n"/>
      <c r="L1141" s="60" t="n"/>
    </row>
    <row r="1142" ht="21" customHeight="1">
      <c r="A1142" s="59" t="n"/>
      <c r="B1142" s="42">
        <f>'設定'!$I$25</f>
        <v/>
      </c>
      <c r="C1142" s="60" t="n"/>
      <c r="D1142" s="60" t="n"/>
      <c r="E1142" s="60" t="n"/>
      <c r="F1142" s="60" t="n"/>
      <c r="G1142" s="60" t="n"/>
      <c r="H1142" s="60" t="n"/>
      <c r="I1142" s="60" t="n"/>
      <c r="J1142" s="60" t="n"/>
      <c r="K1142" s="60" t="n"/>
      <c r="L1142" s="60" t="n"/>
    </row>
    <row r="1143" ht="21" customHeight="1">
      <c r="A1143" s="59" t="n"/>
      <c r="B1143" s="42">
        <f>'設定'!$I$26</f>
        <v/>
      </c>
      <c r="C1143" s="60" t="n"/>
      <c r="D1143" s="60" t="n"/>
      <c r="E1143" s="60" t="n"/>
      <c r="F1143" s="60" t="n"/>
      <c r="G1143" s="60" t="n"/>
      <c r="H1143" s="60" t="n"/>
      <c r="I1143" s="60" t="n"/>
      <c r="J1143" s="60" t="n"/>
      <c r="K1143" s="60" t="n"/>
      <c r="L1143" s="60" t="n"/>
    </row>
    <row r="1144" ht="21" customHeight="1">
      <c r="A1144" s="59" t="n"/>
      <c r="B1144" s="42">
        <f>'設定'!$I$27</f>
        <v/>
      </c>
      <c r="C1144" s="60" t="n"/>
      <c r="D1144" s="60" t="n"/>
      <c r="E1144" s="60" t="n"/>
      <c r="F1144" s="60" t="n"/>
      <c r="G1144" s="60" t="n"/>
      <c r="H1144" s="60" t="n"/>
      <c r="I1144" s="60" t="n"/>
      <c r="J1144" s="60" t="n"/>
      <c r="K1144" s="60" t="n"/>
      <c r="L1144" s="60" t="n"/>
    </row>
    <row r="1145" ht="21" customHeight="1">
      <c r="A1145" s="59" t="n"/>
      <c r="B1145" s="42">
        <f>'設定'!$I$28</f>
        <v/>
      </c>
      <c r="C1145" s="60" t="n"/>
      <c r="D1145" s="60" t="n"/>
      <c r="E1145" s="60" t="n"/>
      <c r="F1145" s="60" t="n"/>
      <c r="G1145" s="60" t="n"/>
      <c r="H1145" s="60" t="n"/>
      <c r="I1145" s="60" t="n"/>
      <c r="J1145" s="60" t="n"/>
      <c r="K1145" s="60" t="n"/>
      <c r="L1145" s="60" t="n"/>
    </row>
    <row r="1146" ht="21" customHeight="1">
      <c r="A1146" s="59" t="n"/>
      <c r="B1146" s="42">
        <f>'設定'!$I$29</f>
        <v/>
      </c>
      <c r="C1146" s="60" t="n"/>
      <c r="D1146" s="60" t="n"/>
      <c r="E1146" s="60" t="n"/>
      <c r="F1146" s="60" t="n"/>
      <c r="G1146" s="60" t="n"/>
      <c r="H1146" s="60" t="n"/>
      <c r="I1146" s="60" t="n"/>
      <c r="J1146" s="60" t="n"/>
      <c r="K1146" s="60" t="n"/>
      <c r="L1146" s="60" t="n"/>
    </row>
    <row r="1147" ht="21" customHeight="1">
      <c r="A1147" s="59" t="n"/>
      <c r="B1147" s="42">
        <f>'設定'!$I$30</f>
        <v/>
      </c>
      <c r="C1147" s="60" t="n"/>
      <c r="D1147" s="60" t="n"/>
      <c r="E1147" s="60" t="n"/>
      <c r="F1147" s="60" t="n"/>
      <c r="G1147" s="60" t="n"/>
      <c r="H1147" s="60" t="n"/>
      <c r="I1147" s="60" t="n"/>
      <c r="J1147" s="60" t="n"/>
      <c r="K1147" s="60" t="n"/>
      <c r="L1147" s="60" t="n"/>
    </row>
    <row r="1148" ht="21" customHeight="1">
      <c r="A1148" s="59" t="n"/>
      <c r="B1148" s="42">
        <f>'設定'!$I$31</f>
        <v/>
      </c>
      <c r="C1148" s="60" t="n"/>
      <c r="D1148" s="60" t="n"/>
      <c r="E1148" s="60" t="n"/>
      <c r="F1148" s="60" t="n"/>
      <c r="G1148" s="60" t="n"/>
      <c r="H1148" s="60" t="n"/>
      <c r="I1148" s="60" t="n"/>
      <c r="J1148" s="60" t="n"/>
      <c r="K1148" s="60" t="n"/>
      <c r="L1148" s="60" t="n"/>
    </row>
    <row r="1149" ht="21" customHeight="1">
      <c r="A1149" s="59" t="n"/>
      <c r="B1149" s="42">
        <f>'設定'!$I$32</f>
        <v/>
      </c>
      <c r="C1149" s="60" t="n"/>
      <c r="D1149" s="60" t="n"/>
      <c r="E1149" s="60" t="n"/>
      <c r="F1149" s="60" t="n"/>
      <c r="G1149" s="60" t="n"/>
      <c r="H1149" s="60" t="n"/>
      <c r="I1149" s="60" t="n"/>
      <c r="J1149" s="60" t="n"/>
      <c r="K1149" s="60" t="n"/>
      <c r="L1149" s="60" t="n"/>
    </row>
    <row r="1150" ht="21" customHeight="1">
      <c r="A1150" s="59" t="n"/>
      <c r="B1150" s="42">
        <f>'設定'!$I$33</f>
        <v/>
      </c>
      <c r="C1150" s="60" t="n"/>
      <c r="D1150" s="60" t="n"/>
      <c r="E1150" s="60" t="n"/>
      <c r="F1150" s="60" t="n"/>
      <c r="G1150" s="60" t="n"/>
      <c r="H1150" s="60" t="n"/>
      <c r="I1150" s="60" t="n"/>
      <c r="J1150" s="60" t="n"/>
      <c r="K1150" s="60" t="n"/>
      <c r="L1150" s="60" t="n"/>
    </row>
    <row r="1151" ht="21" customHeight="1">
      <c r="A1151" s="59" t="n"/>
      <c r="B1151" s="42">
        <f>'設定'!$I$34</f>
        <v/>
      </c>
      <c r="C1151" s="60" t="n"/>
      <c r="D1151" s="60" t="n"/>
      <c r="E1151" s="60" t="n"/>
      <c r="F1151" s="60" t="n"/>
      <c r="G1151" s="60" t="n"/>
      <c r="H1151" s="60" t="n"/>
      <c r="I1151" s="60" t="n"/>
      <c r="J1151" s="60" t="n"/>
      <c r="K1151" s="60" t="n"/>
      <c r="L1151" s="60" t="n"/>
    </row>
    <row r="1152"/>
    <row r="1153" ht="26" customHeight="1">
      <c r="B1153" s="53">
        <f>IF('名簿'!B46="","（名簿 42行目：なし）",'名簿'!G46)</f>
        <v/>
      </c>
      <c r="C1153" s="4" t="n"/>
      <c r="D1153" s="4" t="n"/>
      <c r="E1153" s="54" t="inlineStr">
        <is>
          <t>提出状況 ▶</t>
        </is>
      </c>
      <c r="F1153" s="38" t="n"/>
      <c r="G1153" s="29" t="n"/>
      <c r="H1153" s="55" t="inlineStr">
        <is>
          <t>状況：</t>
        </is>
      </c>
      <c r="I1153" s="56">
        <f>'名簿'!H46</f>
        <v/>
      </c>
      <c r="J1153" s="55" t="inlineStr">
        <is>
          <t>×の数：</t>
        </is>
      </c>
      <c r="K1153" s="57">
        <f>'名簿'!I46</f>
        <v/>
      </c>
      <c r="L1153" s="58">
        <f>HYPERLINK("#'×入力'!B1181","次の人へ ▼")</f>
        <v/>
      </c>
    </row>
    <row r="1154" ht="22" customHeight="1">
      <c r="A1154" s="30" t="inlineStr">
        <is>
          <t>この日全部 ▶</t>
        </is>
      </c>
      <c r="C1154" s="59" t="n"/>
      <c r="D1154" s="59" t="n"/>
      <c r="E1154" s="59" t="n"/>
      <c r="F1154" s="59" t="n"/>
      <c r="G1154" s="59" t="n"/>
      <c r="H1154" s="59" t="n"/>
      <c r="I1154" s="59" t="n"/>
      <c r="J1154" s="59" t="n"/>
      <c r="K1154" s="59" t="n"/>
      <c r="L1154" s="59" t="n"/>
    </row>
    <row r="1155" ht="28" customHeight="1">
      <c r="A1155" s="33" t="inlineStr">
        <is>
          <t>この時間
全部 ▼</t>
        </is>
      </c>
      <c r="B1155" s="34" t="inlineStr"/>
      <c r="C1155" s="35">
        <f>'設定'!$E$11</f>
        <v/>
      </c>
      <c r="D1155" s="35">
        <f>'設定'!$E$12</f>
        <v/>
      </c>
      <c r="E1155" s="35">
        <f>'設定'!$E$13</f>
        <v/>
      </c>
      <c r="F1155" s="35">
        <f>'設定'!$E$14</f>
        <v/>
      </c>
      <c r="G1155" s="35">
        <f>'設定'!$E$15</f>
        <v/>
      </c>
      <c r="H1155" s="35">
        <f>'設定'!$E$16</f>
        <v/>
      </c>
      <c r="I1155" s="35">
        <f>'設定'!$E$17</f>
        <v/>
      </c>
      <c r="J1155" s="35">
        <f>'設定'!$E$18</f>
        <v/>
      </c>
      <c r="K1155" s="35">
        <f>'設定'!$E$19</f>
        <v/>
      </c>
      <c r="L1155" s="35">
        <f>'設定'!$E$20</f>
        <v/>
      </c>
    </row>
    <row r="1156" ht="21" customHeight="1">
      <c r="A1156" s="59" t="n"/>
      <c r="B1156" s="42">
        <f>'設定'!$I$11</f>
        <v/>
      </c>
      <c r="C1156" s="60" t="n"/>
      <c r="D1156" s="60" t="n"/>
      <c r="E1156" s="60" t="n"/>
      <c r="F1156" s="60" t="n"/>
      <c r="G1156" s="60" t="n"/>
      <c r="H1156" s="60" t="n"/>
      <c r="I1156" s="60" t="n"/>
      <c r="J1156" s="60" t="n"/>
      <c r="K1156" s="60" t="n"/>
      <c r="L1156" s="60" t="n"/>
    </row>
    <row r="1157" ht="21" customHeight="1">
      <c r="A1157" s="59" t="n"/>
      <c r="B1157" s="42">
        <f>'設定'!$I$12</f>
        <v/>
      </c>
      <c r="C1157" s="60" t="n"/>
      <c r="D1157" s="60" t="n"/>
      <c r="E1157" s="60" t="n"/>
      <c r="F1157" s="60" t="n"/>
      <c r="G1157" s="60" t="n"/>
      <c r="H1157" s="60" t="n"/>
      <c r="I1157" s="60" t="n"/>
      <c r="J1157" s="60" t="n"/>
      <c r="K1157" s="60" t="n"/>
      <c r="L1157" s="60" t="n"/>
    </row>
    <row r="1158" ht="21" customHeight="1">
      <c r="A1158" s="59" t="n"/>
      <c r="B1158" s="42">
        <f>'設定'!$I$13</f>
        <v/>
      </c>
      <c r="C1158" s="60" t="n"/>
      <c r="D1158" s="60" t="n"/>
      <c r="E1158" s="60" t="n"/>
      <c r="F1158" s="60" t="n"/>
      <c r="G1158" s="60" t="n"/>
      <c r="H1158" s="60" t="n"/>
      <c r="I1158" s="60" t="n"/>
      <c r="J1158" s="60" t="n"/>
      <c r="K1158" s="60" t="n"/>
      <c r="L1158" s="60" t="n"/>
    </row>
    <row r="1159" ht="21" customHeight="1">
      <c r="A1159" s="59" t="n"/>
      <c r="B1159" s="42">
        <f>'設定'!$I$14</f>
        <v/>
      </c>
      <c r="C1159" s="60" t="n"/>
      <c r="D1159" s="60" t="n"/>
      <c r="E1159" s="60" t="n"/>
      <c r="F1159" s="60" t="n"/>
      <c r="G1159" s="60" t="n"/>
      <c r="H1159" s="60" t="n"/>
      <c r="I1159" s="60" t="n"/>
      <c r="J1159" s="60" t="n"/>
      <c r="K1159" s="60" t="n"/>
      <c r="L1159" s="60" t="n"/>
    </row>
    <row r="1160" ht="21" customHeight="1">
      <c r="A1160" s="59" t="n"/>
      <c r="B1160" s="42">
        <f>'設定'!$I$15</f>
        <v/>
      </c>
      <c r="C1160" s="60" t="n"/>
      <c r="D1160" s="60" t="n"/>
      <c r="E1160" s="60" t="n"/>
      <c r="F1160" s="60" t="n"/>
      <c r="G1160" s="60" t="n"/>
      <c r="H1160" s="60" t="n"/>
      <c r="I1160" s="60" t="n"/>
      <c r="J1160" s="60" t="n"/>
      <c r="K1160" s="60" t="n"/>
      <c r="L1160" s="60" t="n"/>
    </row>
    <row r="1161" ht="21" customHeight="1">
      <c r="A1161" s="59" t="n"/>
      <c r="B1161" s="42">
        <f>'設定'!$I$16</f>
        <v/>
      </c>
      <c r="C1161" s="60" t="n"/>
      <c r="D1161" s="60" t="n"/>
      <c r="E1161" s="60" t="n"/>
      <c r="F1161" s="60" t="n"/>
      <c r="G1161" s="60" t="n"/>
      <c r="H1161" s="60" t="n"/>
      <c r="I1161" s="60" t="n"/>
      <c r="J1161" s="60" t="n"/>
      <c r="K1161" s="60" t="n"/>
      <c r="L1161" s="60" t="n"/>
    </row>
    <row r="1162" ht="21" customHeight="1">
      <c r="A1162" s="59" t="n"/>
      <c r="B1162" s="42">
        <f>'設定'!$I$17</f>
        <v/>
      </c>
      <c r="C1162" s="60" t="n"/>
      <c r="D1162" s="60" t="n"/>
      <c r="E1162" s="60" t="n"/>
      <c r="F1162" s="60" t="n"/>
      <c r="G1162" s="60" t="n"/>
      <c r="H1162" s="60" t="n"/>
      <c r="I1162" s="60" t="n"/>
      <c r="J1162" s="60" t="n"/>
      <c r="K1162" s="60" t="n"/>
      <c r="L1162" s="60" t="n"/>
    </row>
    <row r="1163" ht="21" customHeight="1">
      <c r="A1163" s="59" t="n"/>
      <c r="B1163" s="42">
        <f>'設定'!$I$18</f>
        <v/>
      </c>
      <c r="C1163" s="60" t="n"/>
      <c r="D1163" s="60" t="n"/>
      <c r="E1163" s="60" t="n"/>
      <c r="F1163" s="60" t="n"/>
      <c r="G1163" s="60" t="n"/>
      <c r="H1163" s="60" t="n"/>
      <c r="I1163" s="60" t="n"/>
      <c r="J1163" s="60" t="n"/>
      <c r="K1163" s="60" t="n"/>
      <c r="L1163" s="60" t="n"/>
    </row>
    <row r="1164" ht="21" customHeight="1">
      <c r="A1164" s="59" t="n"/>
      <c r="B1164" s="42">
        <f>'設定'!$I$19</f>
        <v/>
      </c>
      <c r="C1164" s="60" t="n"/>
      <c r="D1164" s="60" t="n"/>
      <c r="E1164" s="60" t="n"/>
      <c r="F1164" s="60" t="n"/>
      <c r="G1164" s="60" t="n"/>
      <c r="H1164" s="60" t="n"/>
      <c r="I1164" s="60" t="n"/>
      <c r="J1164" s="60" t="n"/>
      <c r="K1164" s="60" t="n"/>
      <c r="L1164" s="60" t="n"/>
    </row>
    <row r="1165" ht="21" customHeight="1">
      <c r="A1165" s="59" t="n"/>
      <c r="B1165" s="42">
        <f>'設定'!$I$20</f>
        <v/>
      </c>
      <c r="C1165" s="60" t="n"/>
      <c r="D1165" s="60" t="n"/>
      <c r="E1165" s="60" t="n"/>
      <c r="F1165" s="60" t="n"/>
      <c r="G1165" s="60" t="n"/>
      <c r="H1165" s="60" t="n"/>
      <c r="I1165" s="60" t="n"/>
      <c r="J1165" s="60" t="n"/>
      <c r="K1165" s="60" t="n"/>
      <c r="L1165" s="60" t="n"/>
    </row>
    <row r="1166" ht="21" customHeight="1">
      <c r="A1166" s="59" t="n"/>
      <c r="B1166" s="42">
        <f>'設定'!$I$21</f>
        <v/>
      </c>
      <c r="C1166" s="60" t="n"/>
      <c r="D1166" s="60" t="n"/>
      <c r="E1166" s="60" t="n"/>
      <c r="F1166" s="60" t="n"/>
      <c r="G1166" s="60" t="n"/>
      <c r="H1166" s="60" t="n"/>
      <c r="I1166" s="60" t="n"/>
      <c r="J1166" s="60" t="n"/>
      <c r="K1166" s="60" t="n"/>
      <c r="L1166" s="60" t="n"/>
    </row>
    <row r="1167" ht="21" customHeight="1">
      <c r="A1167" s="59" t="n"/>
      <c r="B1167" s="42">
        <f>'設定'!$I$22</f>
        <v/>
      </c>
      <c r="C1167" s="60" t="n"/>
      <c r="D1167" s="60" t="n"/>
      <c r="E1167" s="60" t="n"/>
      <c r="F1167" s="60" t="n"/>
      <c r="G1167" s="60" t="n"/>
      <c r="H1167" s="60" t="n"/>
      <c r="I1167" s="60" t="n"/>
      <c r="J1167" s="60" t="n"/>
      <c r="K1167" s="60" t="n"/>
      <c r="L1167" s="60" t="n"/>
    </row>
    <row r="1168" ht="21" customHeight="1">
      <c r="A1168" s="59" t="n"/>
      <c r="B1168" s="42">
        <f>'設定'!$I$23</f>
        <v/>
      </c>
      <c r="C1168" s="60" t="n"/>
      <c r="D1168" s="60" t="n"/>
      <c r="E1168" s="60" t="n"/>
      <c r="F1168" s="60" t="n"/>
      <c r="G1168" s="60" t="n"/>
      <c r="H1168" s="60" t="n"/>
      <c r="I1168" s="60" t="n"/>
      <c r="J1168" s="60" t="n"/>
      <c r="K1168" s="60" t="n"/>
      <c r="L1168" s="60" t="n"/>
    </row>
    <row r="1169" ht="21" customHeight="1">
      <c r="A1169" s="59" t="n"/>
      <c r="B1169" s="42">
        <f>'設定'!$I$24</f>
        <v/>
      </c>
      <c r="C1169" s="60" t="n"/>
      <c r="D1169" s="60" t="n"/>
      <c r="E1169" s="60" t="n"/>
      <c r="F1169" s="60" t="n"/>
      <c r="G1169" s="60" t="n"/>
      <c r="H1169" s="60" t="n"/>
      <c r="I1169" s="60" t="n"/>
      <c r="J1169" s="60" t="n"/>
      <c r="K1169" s="60" t="n"/>
      <c r="L1169" s="60" t="n"/>
    </row>
    <row r="1170" ht="21" customHeight="1">
      <c r="A1170" s="59" t="n"/>
      <c r="B1170" s="42">
        <f>'設定'!$I$25</f>
        <v/>
      </c>
      <c r="C1170" s="60" t="n"/>
      <c r="D1170" s="60" t="n"/>
      <c r="E1170" s="60" t="n"/>
      <c r="F1170" s="60" t="n"/>
      <c r="G1170" s="60" t="n"/>
      <c r="H1170" s="60" t="n"/>
      <c r="I1170" s="60" t="n"/>
      <c r="J1170" s="60" t="n"/>
      <c r="K1170" s="60" t="n"/>
      <c r="L1170" s="60" t="n"/>
    </row>
    <row r="1171" ht="21" customHeight="1">
      <c r="A1171" s="59" t="n"/>
      <c r="B1171" s="42">
        <f>'設定'!$I$26</f>
        <v/>
      </c>
      <c r="C1171" s="60" t="n"/>
      <c r="D1171" s="60" t="n"/>
      <c r="E1171" s="60" t="n"/>
      <c r="F1171" s="60" t="n"/>
      <c r="G1171" s="60" t="n"/>
      <c r="H1171" s="60" t="n"/>
      <c r="I1171" s="60" t="n"/>
      <c r="J1171" s="60" t="n"/>
      <c r="K1171" s="60" t="n"/>
      <c r="L1171" s="60" t="n"/>
    </row>
    <row r="1172" ht="21" customHeight="1">
      <c r="A1172" s="59" t="n"/>
      <c r="B1172" s="42">
        <f>'設定'!$I$27</f>
        <v/>
      </c>
      <c r="C1172" s="60" t="n"/>
      <c r="D1172" s="60" t="n"/>
      <c r="E1172" s="60" t="n"/>
      <c r="F1172" s="60" t="n"/>
      <c r="G1172" s="60" t="n"/>
      <c r="H1172" s="60" t="n"/>
      <c r="I1172" s="60" t="n"/>
      <c r="J1172" s="60" t="n"/>
      <c r="K1172" s="60" t="n"/>
      <c r="L1172" s="60" t="n"/>
    </row>
    <row r="1173" ht="21" customHeight="1">
      <c r="A1173" s="59" t="n"/>
      <c r="B1173" s="42">
        <f>'設定'!$I$28</f>
        <v/>
      </c>
      <c r="C1173" s="60" t="n"/>
      <c r="D1173" s="60" t="n"/>
      <c r="E1173" s="60" t="n"/>
      <c r="F1173" s="60" t="n"/>
      <c r="G1173" s="60" t="n"/>
      <c r="H1173" s="60" t="n"/>
      <c r="I1173" s="60" t="n"/>
      <c r="J1173" s="60" t="n"/>
      <c r="K1173" s="60" t="n"/>
      <c r="L1173" s="60" t="n"/>
    </row>
    <row r="1174" ht="21" customHeight="1">
      <c r="A1174" s="59" t="n"/>
      <c r="B1174" s="42">
        <f>'設定'!$I$29</f>
        <v/>
      </c>
      <c r="C1174" s="60" t="n"/>
      <c r="D1174" s="60" t="n"/>
      <c r="E1174" s="60" t="n"/>
      <c r="F1174" s="60" t="n"/>
      <c r="G1174" s="60" t="n"/>
      <c r="H1174" s="60" t="n"/>
      <c r="I1174" s="60" t="n"/>
      <c r="J1174" s="60" t="n"/>
      <c r="K1174" s="60" t="n"/>
      <c r="L1174" s="60" t="n"/>
    </row>
    <row r="1175" ht="21" customHeight="1">
      <c r="A1175" s="59" t="n"/>
      <c r="B1175" s="42">
        <f>'設定'!$I$30</f>
        <v/>
      </c>
      <c r="C1175" s="60" t="n"/>
      <c r="D1175" s="60" t="n"/>
      <c r="E1175" s="60" t="n"/>
      <c r="F1175" s="60" t="n"/>
      <c r="G1175" s="60" t="n"/>
      <c r="H1175" s="60" t="n"/>
      <c r="I1175" s="60" t="n"/>
      <c r="J1175" s="60" t="n"/>
      <c r="K1175" s="60" t="n"/>
      <c r="L1175" s="60" t="n"/>
    </row>
    <row r="1176" ht="21" customHeight="1">
      <c r="A1176" s="59" t="n"/>
      <c r="B1176" s="42">
        <f>'設定'!$I$31</f>
        <v/>
      </c>
      <c r="C1176" s="60" t="n"/>
      <c r="D1176" s="60" t="n"/>
      <c r="E1176" s="60" t="n"/>
      <c r="F1176" s="60" t="n"/>
      <c r="G1176" s="60" t="n"/>
      <c r="H1176" s="60" t="n"/>
      <c r="I1176" s="60" t="n"/>
      <c r="J1176" s="60" t="n"/>
      <c r="K1176" s="60" t="n"/>
      <c r="L1176" s="60" t="n"/>
    </row>
    <row r="1177" ht="21" customHeight="1">
      <c r="A1177" s="59" t="n"/>
      <c r="B1177" s="42">
        <f>'設定'!$I$32</f>
        <v/>
      </c>
      <c r="C1177" s="60" t="n"/>
      <c r="D1177" s="60" t="n"/>
      <c r="E1177" s="60" t="n"/>
      <c r="F1177" s="60" t="n"/>
      <c r="G1177" s="60" t="n"/>
      <c r="H1177" s="60" t="n"/>
      <c r="I1177" s="60" t="n"/>
      <c r="J1177" s="60" t="n"/>
      <c r="K1177" s="60" t="n"/>
      <c r="L1177" s="60" t="n"/>
    </row>
    <row r="1178" ht="21" customHeight="1">
      <c r="A1178" s="59" t="n"/>
      <c r="B1178" s="42">
        <f>'設定'!$I$33</f>
        <v/>
      </c>
      <c r="C1178" s="60" t="n"/>
      <c r="D1178" s="60" t="n"/>
      <c r="E1178" s="60" t="n"/>
      <c r="F1178" s="60" t="n"/>
      <c r="G1178" s="60" t="n"/>
      <c r="H1178" s="60" t="n"/>
      <c r="I1178" s="60" t="n"/>
      <c r="J1178" s="60" t="n"/>
      <c r="K1178" s="60" t="n"/>
      <c r="L1178" s="60" t="n"/>
    </row>
    <row r="1179" ht="21" customHeight="1">
      <c r="A1179" s="59" t="n"/>
      <c r="B1179" s="42">
        <f>'設定'!$I$34</f>
        <v/>
      </c>
      <c r="C1179" s="60" t="n"/>
      <c r="D1179" s="60" t="n"/>
      <c r="E1179" s="60" t="n"/>
      <c r="F1179" s="60" t="n"/>
      <c r="G1179" s="60" t="n"/>
      <c r="H1179" s="60" t="n"/>
      <c r="I1179" s="60" t="n"/>
      <c r="J1179" s="60" t="n"/>
      <c r="K1179" s="60" t="n"/>
      <c r="L1179" s="60" t="n"/>
    </row>
    <row r="1180"/>
    <row r="1181" ht="26" customHeight="1">
      <c r="B1181" s="53">
        <f>IF('名簿'!B47="","（名簿 43行目：なし）",'名簿'!G47)</f>
        <v/>
      </c>
      <c r="C1181" s="4" t="n"/>
      <c r="D1181" s="4" t="n"/>
      <c r="E1181" s="54" t="inlineStr">
        <is>
          <t>提出状況 ▶</t>
        </is>
      </c>
      <c r="F1181" s="38" t="n"/>
      <c r="G1181" s="29" t="n"/>
      <c r="H1181" s="55" t="inlineStr">
        <is>
          <t>状況：</t>
        </is>
      </c>
      <c r="I1181" s="56">
        <f>'名簿'!H47</f>
        <v/>
      </c>
      <c r="J1181" s="55" t="inlineStr">
        <is>
          <t>×の数：</t>
        </is>
      </c>
      <c r="K1181" s="57">
        <f>'名簿'!I47</f>
        <v/>
      </c>
      <c r="L1181" s="58">
        <f>HYPERLINK("#'×入力'!B1209","次の人へ ▼")</f>
        <v/>
      </c>
    </row>
    <row r="1182" ht="22" customHeight="1">
      <c r="A1182" s="30" t="inlineStr">
        <is>
          <t>この日全部 ▶</t>
        </is>
      </c>
      <c r="C1182" s="59" t="n"/>
      <c r="D1182" s="59" t="n"/>
      <c r="E1182" s="59" t="n"/>
      <c r="F1182" s="59" t="n"/>
      <c r="G1182" s="59" t="n"/>
      <c r="H1182" s="59" t="n"/>
      <c r="I1182" s="59" t="n"/>
      <c r="J1182" s="59" t="n"/>
      <c r="K1182" s="59" t="n"/>
      <c r="L1182" s="59" t="n"/>
    </row>
    <row r="1183" ht="28" customHeight="1">
      <c r="A1183" s="33" t="inlineStr">
        <is>
          <t>この時間
全部 ▼</t>
        </is>
      </c>
      <c r="B1183" s="34" t="inlineStr"/>
      <c r="C1183" s="35">
        <f>'設定'!$E$11</f>
        <v/>
      </c>
      <c r="D1183" s="35">
        <f>'設定'!$E$12</f>
        <v/>
      </c>
      <c r="E1183" s="35">
        <f>'設定'!$E$13</f>
        <v/>
      </c>
      <c r="F1183" s="35">
        <f>'設定'!$E$14</f>
        <v/>
      </c>
      <c r="G1183" s="35">
        <f>'設定'!$E$15</f>
        <v/>
      </c>
      <c r="H1183" s="35">
        <f>'設定'!$E$16</f>
        <v/>
      </c>
      <c r="I1183" s="35">
        <f>'設定'!$E$17</f>
        <v/>
      </c>
      <c r="J1183" s="35">
        <f>'設定'!$E$18</f>
        <v/>
      </c>
      <c r="K1183" s="35">
        <f>'設定'!$E$19</f>
        <v/>
      </c>
      <c r="L1183" s="35">
        <f>'設定'!$E$20</f>
        <v/>
      </c>
    </row>
    <row r="1184" ht="21" customHeight="1">
      <c r="A1184" s="59" t="n"/>
      <c r="B1184" s="42">
        <f>'設定'!$I$11</f>
        <v/>
      </c>
      <c r="C1184" s="60" t="n"/>
      <c r="D1184" s="60" t="n"/>
      <c r="E1184" s="60" t="n"/>
      <c r="F1184" s="60" t="n"/>
      <c r="G1184" s="60" t="n"/>
      <c r="H1184" s="60" t="n"/>
      <c r="I1184" s="60" t="n"/>
      <c r="J1184" s="60" t="n"/>
      <c r="K1184" s="60" t="n"/>
      <c r="L1184" s="60" t="n"/>
    </row>
    <row r="1185" ht="21" customHeight="1">
      <c r="A1185" s="59" t="n"/>
      <c r="B1185" s="42">
        <f>'設定'!$I$12</f>
        <v/>
      </c>
      <c r="C1185" s="60" t="n"/>
      <c r="D1185" s="60" t="n"/>
      <c r="E1185" s="60" t="n"/>
      <c r="F1185" s="60" t="n"/>
      <c r="G1185" s="60" t="n"/>
      <c r="H1185" s="60" t="n"/>
      <c r="I1185" s="60" t="n"/>
      <c r="J1185" s="60" t="n"/>
      <c r="K1185" s="60" t="n"/>
      <c r="L1185" s="60" t="n"/>
    </row>
    <row r="1186" ht="21" customHeight="1">
      <c r="A1186" s="59" t="n"/>
      <c r="B1186" s="42">
        <f>'設定'!$I$13</f>
        <v/>
      </c>
      <c r="C1186" s="60" t="n"/>
      <c r="D1186" s="60" t="n"/>
      <c r="E1186" s="60" t="n"/>
      <c r="F1186" s="60" t="n"/>
      <c r="G1186" s="60" t="n"/>
      <c r="H1186" s="60" t="n"/>
      <c r="I1186" s="60" t="n"/>
      <c r="J1186" s="60" t="n"/>
      <c r="K1186" s="60" t="n"/>
      <c r="L1186" s="60" t="n"/>
    </row>
    <row r="1187" ht="21" customHeight="1">
      <c r="A1187" s="59" t="n"/>
      <c r="B1187" s="42">
        <f>'設定'!$I$14</f>
        <v/>
      </c>
      <c r="C1187" s="60" t="n"/>
      <c r="D1187" s="60" t="n"/>
      <c r="E1187" s="60" t="n"/>
      <c r="F1187" s="60" t="n"/>
      <c r="G1187" s="60" t="n"/>
      <c r="H1187" s="60" t="n"/>
      <c r="I1187" s="60" t="n"/>
      <c r="J1187" s="60" t="n"/>
      <c r="K1187" s="60" t="n"/>
      <c r="L1187" s="60" t="n"/>
    </row>
    <row r="1188" ht="21" customHeight="1">
      <c r="A1188" s="59" t="n"/>
      <c r="B1188" s="42">
        <f>'設定'!$I$15</f>
        <v/>
      </c>
      <c r="C1188" s="60" t="n"/>
      <c r="D1188" s="60" t="n"/>
      <c r="E1188" s="60" t="n"/>
      <c r="F1188" s="60" t="n"/>
      <c r="G1188" s="60" t="n"/>
      <c r="H1188" s="60" t="n"/>
      <c r="I1188" s="60" t="n"/>
      <c r="J1188" s="60" t="n"/>
      <c r="K1188" s="60" t="n"/>
      <c r="L1188" s="60" t="n"/>
    </row>
    <row r="1189" ht="21" customHeight="1">
      <c r="A1189" s="59" t="n"/>
      <c r="B1189" s="42">
        <f>'設定'!$I$16</f>
        <v/>
      </c>
      <c r="C1189" s="60" t="n"/>
      <c r="D1189" s="60" t="n"/>
      <c r="E1189" s="60" t="n"/>
      <c r="F1189" s="60" t="n"/>
      <c r="G1189" s="60" t="n"/>
      <c r="H1189" s="60" t="n"/>
      <c r="I1189" s="60" t="n"/>
      <c r="J1189" s="60" t="n"/>
      <c r="K1189" s="60" t="n"/>
      <c r="L1189" s="60" t="n"/>
    </row>
    <row r="1190" ht="21" customHeight="1">
      <c r="A1190" s="59" t="n"/>
      <c r="B1190" s="42">
        <f>'設定'!$I$17</f>
        <v/>
      </c>
      <c r="C1190" s="60" t="n"/>
      <c r="D1190" s="60" t="n"/>
      <c r="E1190" s="60" t="n"/>
      <c r="F1190" s="60" t="n"/>
      <c r="G1190" s="60" t="n"/>
      <c r="H1190" s="60" t="n"/>
      <c r="I1190" s="60" t="n"/>
      <c r="J1190" s="60" t="n"/>
      <c r="K1190" s="60" t="n"/>
      <c r="L1190" s="60" t="n"/>
    </row>
    <row r="1191" ht="21" customHeight="1">
      <c r="A1191" s="59" t="n"/>
      <c r="B1191" s="42">
        <f>'設定'!$I$18</f>
        <v/>
      </c>
      <c r="C1191" s="60" t="n"/>
      <c r="D1191" s="60" t="n"/>
      <c r="E1191" s="60" t="n"/>
      <c r="F1191" s="60" t="n"/>
      <c r="G1191" s="60" t="n"/>
      <c r="H1191" s="60" t="n"/>
      <c r="I1191" s="60" t="n"/>
      <c r="J1191" s="60" t="n"/>
      <c r="K1191" s="60" t="n"/>
      <c r="L1191" s="60" t="n"/>
    </row>
    <row r="1192" ht="21" customHeight="1">
      <c r="A1192" s="59" t="n"/>
      <c r="B1192" s="42">
        <f>'設定'!$I$19</f>
        <v/>
      </c>
      <c r="C1192" s="60" t="n"/>
      <c r="D1192" s="60" t="n"/>
      <c r="E1192" s="60" t="n"/>
      <c r="F1192" s="60" t="n"/>
      <c r="G1192" s="60" t="n"/>
      <c r="H1192" s="60" t="n"/>
      <c r="I1192" s="60" t="n"/>
      <c r="J1192" s="60" t="n"/>
      <c r="K1192" s="60" t="n"/>
      <c r="L1192" s="60" t="n"/>
    </row>
    <row r="1193" ht="21" customHeight="1">
      <c r="A1193" s="59" t="n"/>
      <c r="B1193" s="42">
        <f>'設定'!$I$20</f>
        <v/>
      </c>
      <c r="C1193" s="60" t="n"/>
      <c r="D1193" s="60" t="n"/>
      <c r="E1193" s="60" t="n"/>
      <c r="F1193" s="60" t="n"/>
      <c r="G1193" s="60" t="n"/>
      <c r="H1193" s="60" t="n"/>
      <c r="I1193" s="60" t="n"/>
      <c r="J1193" s="60" t="n"/>
      <c r="K1193" s="60" t="n"/>
      <c r="L1193" s="60" t="n"/>
    </row>
    <row r="1194" ht="21" customHeight="1">
      <c r="A1194" s="59" t="n"/>
      <c r="B1194" s="42">
        <f>'設定'!$I$21</f>
        <v/>
      </c>
      <c r="C1194" s="60" t="n"/>
      <c r="D1194" s="60" t="n"/>
      <c r="E1194" s="60" t="n"/>
      <c r="F1194" s="60" t="n"/>
      <c r="G1194" s="60" t="n"/>
      <c r="H1194" s="60" t="n"/>
      <c r="I1194" s="60" t="n"/>
      <c r="J1194" s="60" t="n"/>
      <c r="K1194" s="60" t="n"/>
      <c r="L1194" s="60" t="n"/>
    </row>
    <row r="1195" ht="21" customHeight="1">
      <c r="A1195" s="59" t="n"/>
      <c r="B1195" s="42">
        <f>'設定'!$I$22</f>
        <v/>
      </c>
      <c r="C1195" s="60" t="n"/>
      <c r="D1195" s="60" t="n"/>
      <c r="E1195" s="60" t="n"/>
      <c r="F1195" s="60" t="n"/>
      <c r="G1195" s="60" t="n"/>
      <c r="H1195" s="60" t="n"/>
      <c r="I1195" s="60" t="n"/>
      <c r="J1195" s="60" t="n"/>
      <c r="K1195" s="60" t="n"/>
      <c r="L1195" s="60" t="n"/>
    </row>
    <row r="1196" ht="21" customHeight="1">
      <c r="A1196" s="59" t="n"/>
      <c r="B1196" s="42">
        <f>'設定'!$I$23</f>
        <v/>
      </c>
      <c r="C1196" s="60" t="n"/>
      <c r="D1196" s="60" t="n"/>
      <c r="E1196" s="60" t="n"/>
      <c r="F1196" s="60" t="n"/>
      <c r="G1196" s="60" t="n"/>
      <c r="H1196" s="60" t="n"/>
      <c r="I1196" s="60" t="n"/>
      <c r="J1196" s="60" t="n"/>
      <c r="K1196" s="60" t="n"/>
      <c r="L1196" s="60" t="n"/>
    </row>
    <row r="1197" ht="21" customHeight="1">
      <c r="A1197" s="59" t="n"/>
      <c r="B1197" s="42">
        <f>'設定'!$I$24</f>
        <v/>
      </c>
      <c r="C1197" s="60" t="n"/>
      <c r="D1197" s="60" t="n"/>
      <c r="E1197" s="60" t="n"/>
      <c r="F1197" s="60" t="n"/>
      <c r="G1197" s="60" t="n"/>
      <c r="H1197" s="60" t="n"/>
      <c r="I1197" s="60" t="n"/>
      <c r="J1197" s="60" t="n"/>
      <c r="K1197" s="60" t="n"/>
      <c r="L1197" s="60" t="n"/>
    </row>
    <row r="1198" ht="21" customHeight="1">
      <c r="A1198" s="59" t="n"/>
      <c r="B1198" s="42">
        <f>'設定'!$I$25</f>
        <v/>
      </c>
      <c r="C1198" s="60" t="n"/>
      <c r="D1198" s="60" t="n"/>
      <c r="E1198" s="60" t="n"/>
      <c r="F1198" s="60" t="n"/>
      <c r="G1198" s="60" t="n"/>
      <c r="H1198" s="60" t="n"/>
      <c r="I1198" s="60" t="n"/>
      <c r="J1198" s="60" t="n"/>
      <c r="K1198" s="60" t="n"/>
      <c r="L1198" s="60" t="n"/>
    </row>
    <row r="1199" ht="21" customHeight="1">
      <c r="A1199" s="59" t="n"/>
      <c r="B1199" s="42">
        <f>'設定'!$I$26</f>
        <v/>
      </c>
      <c r="C1199" s="60" t="n"/>
      <c r="D1199" s="60" t="n"/>
      <c r="E1199" s="60" t="n"/>
      <c r="F1199" s="60" t="n"/>
      <c r="G1199" s="60" t="n"/>
      <c r="H1199" s="60" t="n"/>
      <c r="I1199" s="60" t="n"/>
      <c r="J1199" s="60" t="n"/>
      <c r="K1199" s="60" t="n"/>
      <c r="L1199" s="60" t="n"/>
    </row>
    <row r="1200" ht="21" customHeight="1">
      <c r="A1200" s="59" t="n"/>
      <c r="B1200" s="42">
        <f>'設定'!$I$27</f>
        <v/>
      </c>
      <c r="C1200" s="60" t="n"/>
      <c r="D1200" s="60" t="n"/>
      <c r="E1200" s="60" t="n"/>
      <c r="F1200" s="60" t="n"/>
      <c r="G1200" s="60" t="n"/>
      <c r="H1200" s="60" t="n"/>
      <c r="I1200" s="60" t="n"/>
      <c r="J1200" s="60" t="n"/>
      <c r="K1200" s="60" t="n"/>
      <c r="L1200" s="60" t="n"/>
    </row>
    <row r="1201" ht="21" customHeight="1">
      <c r="A1201" s="59" t="n"/>
      <c r="B1201" s="42">
        <f>'設定'!$I$28</f>
        <v/>
      </c>
      <c r="C1201" s="60" t="n"/>
      <c r="D1201" s="60" t="n"/>
      <c r="E1201" s="60" t="n"/>
      <c r="F1201" s="60" t="n"/>
      <c r="G1201" s="60" t="n"/>
      <c r="H1201" s="60" t="n"/>
      <c r="I1201" s="60" t="n"/>
      <c r="J1201" s="60" t="n"/>
      <c r="K1201" s="60" t="n"/>
      <c r="L1201" s="60" t="n"/>
    </row>
    <row r="1202" ht="21" customHeight="1">
      <c r="A1202" s="59" t="n"/>
      <c r="B1202" s="42">
        <f>'設定'!$I$29</f>
        <v/>
      </c>
      <c r="C1202" s="60" t="n"/>
      <c r="D1202" s="60" t="n"/>
      <c r="E1202" s="60" t="n"/>
      <c r="F1202" s="60" t="n"/>
      <c r="G1202" s="60" t="n"/>
      <c r="H1202" s="60" t="n"/>
      <c r="I1202" s="60" t="n"/>
      <c r="J1202" s="60" t="n"/>
      <c r="K1202" s="60" t="n"/>
      <c r="L1202" s="60" t="n"/>
    </row>
    <row r="1203" ht="21" customHeight="1">
      <c r="A1203" s="59" t="n"/>
      <c r="B1203" s="42">
        <f>'設定'!$I$30</f>
        <v/>
      </c>
      <c r="C1203" s="60" t="n"/>
      <c r="D1203" s="60" t="n"/>
      <c r="E1203" s="60" t="n"/>
      <c r="F1203" s="60" t="n"/>
      <c r="G1203" s="60" t="n"/>
      <c r="H1203" s="60" t="n"/>
      <c r="I1203" s="60" t="n"/>
      <c r="J1203" s="60" t="n"/>
      <c r="K1203" s="60" t="n"/>
      <c r="L1203" s="60" t="n"/>
    </row>
    <row r="1204" ht="21" customHeight="1">
      <c r="A1204" s="59" t="n"/>
      <c r="B1204" s="42">
        <f>'設定'!$I$31</f>
        <v/>
      </c>
      <c r="C1204" s="60" t="n"/>
      <c r="D1204" s="60" t="n"/>
      <c r="E1204" s="60" t="n"/>
      <c r="F1204" s="60" t="n"/>
      <c r="G1204" s="60" t="n"/>
      <c r="H1204" s="60" t="n"/>
      <c r="I1204" s="60" t="n"/>
      <c r="J1204" s="60" t="n"/>
      <c r="K1204" s="60" t="n"/>
      <c r="L1204" s="60" t="n"/>
    </row>
    <row r="1205" ht="21" customHeight="1">
      <c r="A1205" s="59" t="n"/>
      <c r="B1205" s="42">
        <f>'設定'!$I$32</f>
        <v/>
      </c>
      <c r="C1205" s="60" t="n"/>
      <c r="D1205" s="60" t="n"/>
      <c r="E1205" s="60" t="n"/>
      <c r="F1205" s="60" t="n"/>
      <c r="G1205" s="60" t="n"/>
      <c r="H1205" s="60" t="n"/>
      <c r="I1205" s="60" t="n"/>
      <c r="J1205" s="60" t="n"/>
      <c r="K1205" s="60" t="n"/>
      <c r="L1205" s="60" t="n"/>
    </row>
    <row r="1206" ht="21" customHeight="1">
      <c r="A1206" s="59" t="n"/>
      <c r="B1206" s="42">
        <f>'設定'!$I$33</f>
        <v/>
      </c>
      <c r="C1206" s="60" t="n"/>
      <c r="D1206" s="60" t="n"/>
      <c r="E1206" s="60" t="n"/>
      <c r="F1206" s="60" t="n"/>
      <c r="G1206" s="60" t="n"/>
      <c r="H1206" s="60" t="n"/>
      <c r="I1206" s="60" t="n"/>
      <c r="J1206" s="60" t="n"/>
      <c r="K1206" s="60" t="n"/>
      <c r="L1206" s="60" t="n"/>
    </row>
    <row r="1207" ht="21" customHeight="1">
      <c r="A1207" s="59" t="n"/>
      <c r="B1207" s="42">
        <f>'設定'!$I$34</f>
        <v/>
      </c>
      <c r="C1207" s="60" t="n"/>
      <c r="D1207" s="60" t="n"/>
      <c r="E1207" s="60" t="n"/>
      <c r="F1207" s="60" t="n"/>
      <c r="G1207" s="60" t="n"/>
      <c r="H1207" s="60" t="n"/>
      <c r="I1207" s="60" t="n"/>
      <c r="J1207" s="60" t="n"/>
      <c r="K1207" s="60" t="n"/>
      <c r="L1207" s="60" t="n"/>
    </row>
    <row r="1208"/>
    <row r="1209" ht="26" customHeight="1">
      <c r="B1209" s="53">
        <f>IF('名簿'!B48="","（名簿 44行目：なし）",'名簿'!G48)</f>
        <v/>
      </c>
      <c r="C1209" s="4" t="n"/>
      <c r="D1209" s="4" t="n"/>
      <c r="E1209" s="54" t="inlineStr">
        <is>
          <t>提出状況 ▶</t>
        </is>
      </c>
      <c r="F1209" s="38" t="n"/>
      <c r="G1209" s="29" t="n"/>
      <c r="H1209" s="55" t="inlineStr">
        <is>
          <t>状況：</t>
        </is>
      </c>
      <c r="I1209" s="56">
        <f>'名簿'!H48</f>
        <v/>
      </c>
      <c r="J1209" s="55" t="inlineStr">
        <is>
          <t>×の数：</t>
        </is>
      </c>
      <c r="K1209" s="57">
        <f>'名簿'!I48</f>
        <v/>
      </c>
      <c r="L1209" s="58">
        <f>HYPERLINK("#'×入力'!B1237","次の人へ ▼")</f>
        <v/>
      </c>
    </row>
    <row r="1210" ht="22" customHeight="1">
      <c r="A1210" s="30" t="inlineStr">
        <is>
          <t>この日全部 ▶</t>
        </is>
      </c>
      <c r="C1210" s="59" t="n"/>
      <c r="D1210" s="59" t="n"/>
      <c r="E1210" s="59" t="n"/>
      <c r="F1210" s="59" t="n"/>
      <c r="G1210" s="59" t="n"/>
      <c r="H1210" s="59" t="n"/>
      <c r="I1210" s="59" t="n"/>
      <c r="J1210" s="59" t="n"/>
      <c r="K1210" s="59" t="n"/>
      <c r="L1210" s="59" t="n"/>
    </row>
    <row r="1211" ht="28" customHeight="1">
      <c r="A1211" s="33" t="inlineStr">
        <is>
          <t>この時間
全部 ▼</t>
        </is>
      </c>
      <c r="B1211" s="34" t="inlineStr"/>
      <c r="C1211" s="35">
        <f>'設定'!$E$11</f>
        <v/>
      </c>
      <c r="D1211" s="35">
        <f>'設定'!$E$12</f>
        <v/>
      </c>
      <c r="E1211" s="35">
        <f>'設定'!$E$13</f>
        <v/>
      </c>
      <c r="F1211" s="35">
        <f>'設定'!$E$14</f>
        <v/>
      </c>
      <c r="G1211" s="35">
        <f>'設定'!$E$15</f>
        <v/>
      </c>
      <c r="H1211" s="35">
        <f>'設定'!$E$16</f>
        <v/>
      </c>
      <c r="I1211" s="35">
        <f>'設定'!$E$17</f>
        <v/>
      </c>
      <c r="J1211" s="35">
        <f>'設定'!$E$18</f>
        <v/>
      </c>
      <c r="K1211" s="35">
        <f>'設定'!$E$19</f>
        <v/>
      </c>
      <c r="L1211" s="35">
        <f>'設定'!$E$20</f>
        <v/>
      </c>
    </row>
    <row r="1212" ht="21" customHeight="1">
      <c r="A1212" s="59" t="n"/>
      <c r="B1212" s="42">
        <f>'設定'!$I$11</f>
        <v/>
      </c>
      <c r="C1212" s="60" t="n"/>
      <c r="D1212" s="60" t="n"/>
      <c r="E1212" s="60" t="n"/>
      <c r="F1212" s="60" t="n"/>
      <c r="G1212" s="60" t="n"/>
      <c r="H1212" s="60" t="n"/>
      <c r="I1212" s="60" t="n"/>
      <c r="J1212" s="60" t="n"/>
      <c r="K1212" s="60" t="n"/>
      <c r="L1212" s="60" t="n"/>
    </row>
    <row r="1213" ht="21" customHeight="1">
      <c r="A1213" s="59" t="n"/>
      <c r="B1213" s="42">
        <f>'設定'!$I$12</f>
        <v/>
      </c>
      <c r="C1213" s="60" t="n"/>
      <c r="D1213" s="60" t="n"/>
      <c r="E1213" s="60" t="n"/>
      <c r="F1213" s="60" t="n"/>
      <c r="G1213" s="60" t="n"/>
      <c r="H1213" s="60" t="n"/>
      <c r="I1213" s="60" t="n"/>
      <c r="J1213" s="60" t="n"/>
      <c r="K1213" s="60" t="n"/>
      <c r="L1213" s="60" t="n"/>
    </row>
    <row r="1214" ht="21" customHeight="1">
      <c r="A1214" s="59" t="n"/>
      <c r="B1214" s="42">
        <f>'設定'!$I$13</f>
        <v/>
      </c>
      <c r="C1214" s="60" t="n"/>
      <c r="D1214" s="60" t="n"/>
      <c r="E1214" s="60" t="n"/>
      <c r="F1214" s="60" t="n"/>
      <c r="G1214" s="60" t="n"/>
      <c r="H1214" s="60" t="n"/>
      <c r="I1214" s="60" t="n"/>
      <c r="J1214" s="60" t="n"/>
      <c r="K1214" s="60" t="n"/>
      <c r="L1214" s="60" t="n"/>
    </row>
    <row r="1215" ht="21" customHeight="1">
      <c r="A1215" s="59" t="n"/>
      <c r="B1215" s="42">
        <f>'設定'!$I$14</f>
        <v/>
      </c>
      <c r="C1215" s="60" t="n"/>
      <c r="D1215" s="60" t="n"/>
      <c r="E1215" s="60" t="n"/>
      <c r="F1215" s="60" t="n"/>
      <c r="G1215" s="60" t="n"/>
      <c r="H1215" s="60" t="n"/>
      <c r="I1215" s="60" t="n"/>
      <c r="J1215" s="60" t="n"/>
      <c r="K1215" s="60" t="n"/>
      <c r="L1215" s="60" t="n"/>
    </row>
    <row r="1216" ht="21" customHeight="1">
      <c r="A1216" s="59" t="n"/>
      <c r="B1216" s="42">
        <f>'設定'!$I$15</f>
        <v/>
      </c>
      <c r="C1216" s="60" t="n"/>
      <c r="D1216" s="60" t="n"/>
      <c r="E1216" s="60" t="n"/>
      <c r="F1216" s="60" t="n"/>
      <c r="G1216" s="60" t="n"/>
      <c r="H1216" s="60" t="n"/>
      <c r="I1216" s="60" t="n"/>
      <c r="J1216" s="60" t="n"/>
      <c r="K1216" s="60" t="n"/>
      <c r="L1216" s="60" t="n"/>
    </row>
    <row r="1217" ht="21" customHeight="1">
      <c r="A1217" s="59" t="n"/>
      <c r="B1217" s="42">
        <f>'設定'!$I$16</f>
        <v/>
      </c>
      <c r="C1217" s="60" t="n"/>
      <c r="D1217" s="60" t="n"/>
      <c r="E1217" s="60" t="n"/>
      <c r="F1217" s="60" t="n"/>
      <c r="G1217" s="60" t="n"/>
      <c r="H1217" s="60" t="n"/>
      <c r="I1217" s="60" t="n"/>
      <c r="J1217" s="60" t="n"/>
      <c r="K1217" s="60" t="n"/>
      <c r="L1217" s="60" t="n"/>
    </row>
    <row r="1218" ht="21" customHeight="1">
      <c r="A1218" s="59" t="n"/>
      <c r="B1218" s="42">
        <f>'設定'!$I$17</f>
        <v/>
      </c>
      <c r="C1218" s="60" t="n"/>
      <c r="D1218" s="60" t="n"/>
      <c r="E1218" s="60" t="n"/>
      <c r="F1218" s="60" t="n"/>
      <c r="G1218" s="60" t="n"/>
      <c r="H1218" s="60" t="n"/>
      <c r="I1218" s="60" t="n"/>
      <c r="J1218" s="60" t="n"/>
      <c r="K1218" s="60" t="n"/>
      <c r="L1218" s="60" t="n"/>
    </row>
    <row r="1219" ht="21" customHeight="1">
      <c r="A1219" s="59" t="n"/>
      <c r="B1219" s="42">
        <f>'設定'!$I$18</f>
        <v/>
      </c>
      <c r="C1219" s="60" t="n"/>
      <c r="D1219" s="60" t="n"/>
      <c r="E1219" s="60" t="n"/>
      <c r="F1219" s="60" t="n"/>
      <c r="G1219" s="60" t="n"/>
      <c r="H1219" s="60" t="n"/>
      <c r="I1219" s="60" t="n"/>
      <c r="J1219" s="60" t="n"/>
      <c r="K1219" s="60" t="n"/>
      <c r="L1219" s="60" t="n"/>
    </row>
    <row r="1220" ht="21" customHeight="1">
      <c r="A1220" s="59" t="n"/>
      <c r="B1220" s="42">
        <f>'設定'!$I$19</f>
        <v/>
      </c>
      <c r="C1220" s="60" t="n"/>
      <c r="D1220" s="60" t="n"/>
      <c r="E1220" s="60" t="n"/>
      <c r="F1220" s="60" t="n"/>
      <c r="G1220" s="60" t="n"/>
      <c r="H1220" s="60" t="n"/>
      <c r="I1220" s="60" t="n"/>
      <c r="J1220" s="60" t="n"/>
      <c r="K1220" s="60" t="n"/>
      <c r="L1220" s="60" t="n"/>
    </row>
    <row r="1221" ht="21" customHeight="1">
      <c r="A1221" s="59" t="n"/>
      <c r="B1221" s="42">
        <f>'設定'!$I$20</f>
        <v/>
      </c>
      <c r="C1221" s="60" t="n"/>
      <c r="D1221" s="60" t="n"/>
      <c r="E1221" s="60" t="n"/>
      <c r="F1221" s="60" t="n"/>
      <c r="G1221" s="60" t="n"/>
      <c r="H1221" s="60" t="n"/>
      <c r="I1221" s="60" t="n"/>
      <c r="J1221" s="60" t="n"/>
      <c r="K1221" s="60" t="n"/>
      <c r="L1221" s="60" t="n"/>
    </row>
    <row r="1222" ht="21" customHeight="1">
      <c r="A1222" s="59" t="n"/>
      <c r="B1222" s="42">
        <f>'設定'!$I$21</f>
        <v/>
      </c>
      <c r="C1222" s="60" t="n"/>
      <c r="D1222" s="60" t="n"/>
      <c r="E1222" s="60" t="n"/>
      <c r="F1222" s="60" t="n"/>
      <c r="G1222" s="60" t="n"/>
      <c r="H1222" s="60" t="n"/>
      <c r="I1222" s="60" t="n"/>
      <c r="J1222" s="60" t="n"/>
      <c r="K1222" s="60" t="n"/>
      <c r="L1222" s="60" t="n"/>
    </row>
    <row r="1223" ht="21" customHeight="1">
      <c r="A1223" s="59" t="n"/>
      <c r="B1223" s="42">
        <f>'設定'!$I$22</f>
        <v/>
      </c>
      <c r="C1223" s="60" t="n"/>
      <c r="D1223" s="60" t="n"/>
      <c r="E1223" s="60" t="n"/>
      <c r="F1223" s="60" t="n"/>
      <c r="G1223" s="60" t="n"/>
      <c r="H1223" s="60" t="n"/>
      <c r="I1223" s="60" t="n"/>
      <c r="J1223" s="60" t="n"/>
      <c r="K1223" s="60" t="n"/>
      <c r="L1223" s="60" t="n"/>
    </row>
    <row r="1224" ht="21" customHeight="1">
      <c r="A1224" s="59" t="n"/>
      <c r="B1224" s="42">
        <f>'設定'!$I$23</f>
        <v/>
      </c>
      <c r="C1224" s="60" t="n"/>
      <c r="D1224" s="60" t="n"/>
      <c r="E1224" s="60" t="n"/>
      <c r="F1224" s="60" t="n"/>
      <c r="G1224" s="60" t="n"/>
      <c r="H1224" s="60" t="n"/>
      <c r="I1224" s="60" t="n"/>
      <c r="J1224" s="60" t="n"/>
      <c r="K1224" s="60" t="n"/>
      <c r="L1224" s="60" t="n"/>
    </row>
    <row r="1225" ht="21" customHeight="1">
      <c r="A1225" s="59" t="n"/>
      <c r="B1225" s="42">
        <f>'設定'!$I$24</f>
        <v/>
      </c>
      <c r="C1225" s="60" t="n"/>
      <c r="D1225" s="60" t="n"/>
      <c r="E1225" s="60" t="n"/>
      <c r="F1225" s="60" t="n"/>
      <c r="G1225" s="60" t="n"/>
      <c r="H1225" s="60" t="n"/>
      <c r="I1225" s="60" t="n"/>
      <c r="J1225" s="60" t="n"/>
      <c r="K1225" s="60" t="n"/>
      <c r="L1225" s="60" t="n"/>
    </row>
    <row r="1226" ht="21" customHeight="1">
      <c r="A1226" s="59" t="n"/>
      <c r="B1226" s="42">
        <f>'設定'!$I$25</f>
        <v/>
      </c>
      <c r="C1226" s="60" t="n"/>
      <c r="D1226" s="60" t="n"/>
      <c r="E1226" s="60" t="n"/>
      <c r="F1226" s="60" t="n"/>
      <c r="G1226" s="60" t="n"/>
      <c r="H1226" s="60" t="n"/>
      <c r="I1226" s="60" t="n"/>
      <c r="J1226" s="60" t="n"/>
      <c r="K1226" s="60" t="n"/>
      <c r="L1226" s="60" t="n"/>
    </row>
    <row r="1227" ht="21" customHeight="1">
      <c r="A1227" s="59" t="n"/>
      <c r="B1227" s="42">
        <f>'設定'!$I$26</f>
        <v/>
      </c>
      <c r="C1227" s="60" t="n"/>
      <c r="D1227" s="60" t="n"/>
      <c r="E1227" s="60" t="n"/>
      <c r="F1227" s="60" t="n"/>
      <c r="G1227" s="60" t="n"/>
      <c r="H1227" s="60" t="n"/>
      <c r="I1227" s="60" t="n"/>
      <c r="J1227" s="60" t="n"/>
      <c r="K1227" s="60" t="n"/>
      <c r="L1227" s="60" t="n"/>
    </row>
    <row r="1228" ht="21" customHeight="1">
      <c r="A1228" s="59" t="n"/>
      <c r="B1228" s="42">
        <f>'設定'!$I$27</f>
        <v/>
      </c>
      <c r="C1228" s="60" t="n"/>
      <c r="D1228" s="60" t="n"/>
      <c r="E1228" s="60" t="n"/>
      <c r="F1228" s="60" t="n"/>
      <c r="G1228" s="60" t="n"/>
      <c r="H1228" s="60" t="n"/>
      <c r="I1228" s="60" t="n"/>
      <c r="J1228" s="60" t="n"/>
      <c r="K1228" s="60" t="n"/>
      <c r="L1228" s="60" t="n"/>
    </row>
    <row r="1229" ht="21" customHeight="1">
      <c r="A1229" s="59" t="n"/>
      <c r="B1229" s="42">
        <f>'設定'!$I$28</f>
        <v/>
      </c>
      <c r="C1229" s="60" t="n"/>
      <c r="D1229" s="60" t="n"/>
      <c r="E1229" s="60" t="n"/>
      <c r="F1229" s="60" t="n"/>
      <c r="G1229" s="60" t="n"/>
      <c r="H1229" s="60" t="n"/>
      <c r="I1229" s="60" t="n"/>
      <c r="J1229" s="60" t="n"/>
      <c r="K1229" s="60" t="n"/>
      <c r="L1229" s="60" t="n"/>
    </row>
    <row r="1230" ht="21" customHeight="1">
      <c r="A1230" s="59" t="n"/>
      <c r="B1230" s="42">
        <f>'設定'!$I$29</f>
        <v/>
      </c>
      <c r="C1230" s="60" t="n"/>
      <c r="D1230" s="60" t="n"/>
      <c r="E1230" s="60" t="n"/>
      <c r="F1230" s="60" t="n"/>
      <c r="G1230" s="60" t="n"/>
      <c r="H1230" s="60" t="n"/>
      <c r="I1230" s="60" t="n"/>
      <c r="J1230" s="60" t="n"/>
      <c r="K1230" s="60" t="n"/>
      <c r="L1230" s="60" t="n"/>
    </row>
    <row r="1231" ht="21" customHeight="1">
      <c r="A1231" s="59" t="n"/>
      <c r="B1231" s="42">
        <f>'設定'!$I$30</f>
        <v/>
      </c>
      <c r="C1231" s="60" t="n"/>
      <c r="D1231" s="60" t="n"/>
      <c r="E1231" s="60" t="n"/>
      <c r="F1231" s="60" t="n"/>
      <c r="G1231" s="60" t="n"/>
      <c r="H1231" s="60" t="n"/>
      <c r="I1231" s="60" t="n"/>
      <c r="J1231" s="60" t="n"/>
      <c r="K1231" s="60" t="n"/>
      <c r="L1231" s="60" t="n"/>
    </row>
    <row r="1232" ht="21" customHeight="1">
      <c r="A1232" s="59" t="n"/>
      <c r="B1232" s="42">
        <f>'設定'!$I$31</f>
        <v/>
      </c>
      <c r="C1232" s="60" t="n"/>
      <c r="D1232" s="60" t="n"/>
      <c r="E1232" s="60" t="n"/>
      <c r="F1232" s="60" t="n"/>
      <c r="G1232" s="60" t="n"/>
      <c r="H1232" s="60" t="n"/>
      <c r="I1232" s="60" t="n"/>
      <c r="J1232" s="60" t="n"/>
      <c r="K1232" s="60" t="n"/>
      <c r="L1232" s="60" t="n"/>
    </row>
    <row r="1233" ht="21" customHeight="1">
      <c r="A1233" s="59" t="n"/>
      <c r="B1233" s="42">
        <f>'設定'!$I$32</f>
        <v/>
      </c>
      <c r="C1233" s="60" t="n"/>
      <c r="D1233" s="60" t="n"/>
      <c r="E1233" s="60" t="n"/>
      <c r="F1233" s="60" t="n"/>
      <c r="G1233" s="60" t="n"/>
      <c r="H1233" s="60" t="n"/>
      <c r="I1233" s="60" t="n"/>
      <c r="J1233" s="60" t="n"/>
      <c r="K1233" s="60" t="n"/>
      <c r="L1233" s="60" t="n"/>
    </row>
    <row r="1234" ht="21" customHeight="1">
      <c r="A1234" s="59" t="n"/>
      <c r="B1234" s="42">
        <f>'設定'!$I$33</f>
        <v/>
      </c>
      <c r="C1234" s="60" t="n"/>
      <c r="D1234" s="60" t="n"/>
      <c r="E1234" s="60" t="n"/>
      <c r="F1234" s="60" t="n"/>
      <c r="G1234" s="60" t="n"/>
      <c r="H1234" s="60" t="n"/>
      <c r="I1234" s="60" t="n"/>
      <c r="J1234" s="60" t="n"/>
      <c r="K1234" s="60" t="n"/>
      <c r="L1234" s="60" t="n"/>
    </row>
    <row r="1235" ht="21" customHeight="1">
      <c r="A1235" s="59" t="n"/>
      <c r="B1235" s="42">
        <f>'設定'!$I$34</f>
        <v/>
      </c>
      <c r="C1235" s="60" t="n"/>
      <c r="D1235" s="60" t="n"/>
      <c r="E1235" s="60" t="n"/>
      <c r="F1235" s="60" t="n"/>
      <c r="G1235" s="60" t="n"/>
      <c r="H1235" s="60" t="n"/>
      <c r="I1235" s="60" t="n"/>
      <c r="J1235" s="60" t="n"/>
      <c r="K1235" s="60" t="n"/>
      <c r="L1235" s="60" t="n"/>
    </row>
    <row r="1236"/>
    <row r="1237" ht="26" customHeight="1">
      <c r="B1237" s="53">
        <f>IF('名簿'!B49="","（名簿 45行目：なし）",'名簿'!G49)</f>
        <v/>
      </c>
      <c r="C1237" s="4" t="n"/>
      <c r="D1237" s="4" t="n"/>
      <c r="E1237" s="54" t="inlineStr">
        <is>
          <t>提出状況 ▶</t>
        </is>
      </c>
      <c r="F1237" s="38" t="n"/>
      <c r="G1237" s="29" t="n"/>
      <c r="H1237" s="55" t="inlineStr">
        <is>
          <t>状況：</t>
        </is>
      </c>
      <c r="I1237" s="56">
        <f>'名簿'!H49</f>
        <v/>
      </c>
      <c r="J1237" s="55" t="inlineStr">
        <is>
          <t>×の数：</t>
        </is>
      </c>
      <c r="K1237" s="57">
        <f>'名簿'!I49</f>
        <v/>
      </c>
      <c r="L1237" s="4" t="n"/>
    </row>
    <row r="1238" ht="22" customHeight="1">
      <c r="A1238" s="30" t="inlineStr">
        <is>
          <t>この日全部 ▶</t>
        </is>
      </c>
      <c r="C1238" s="59" t="n"/>
      <c r="D1238" s="59" t="n"/>
      <c r="E1238" s="59" t="n"/>
      <c r="F1238" s="59" t="n"/>
      <c r="G1238" s="59" t="n"/>
      <c r="H1238" s="59" t="n"/>
      <c r="I1238" s="59" t="n"/>
      <c r="J1238" s="59" t="n"/>
      <c r="K1238" s="59" t="n"/>
      <c r="L1238" s="59" t="n"/>
    </row>
    <row r="1239" ht="28" customHeight="1">
      <c r="A1239" s="33" t="inlineStr">
        <is>
          <t>この時間
全部 ▼</t>
        </is>
      </c>
      <c r="B1239" s="34" t="inlineStr"/>
      <c r="C1239" s="35">
        <f>'設定'!$E$11</f>
        <v/>
      </c>
      <c r="D1239" s="35">
        <f>'設定'!$E$12</f>
        <v/>
      </c>
      <c r="E1239" s="35">
        <f>'設定'!$E$13</f>
        <v/>
      </c>
      <c r="F1239" s="35">
        <f>'設定'!$E$14</f>
        <v/>
      </c>
      <c r="G1239" s="35">
        <f>'設定'!$E$15</f>
        <v/>
      </c>
      <c r="H1239" s="35">
        <f>'設定'!$E$16</f>
        <v/>
      </c>
      <c r="I1239" s="35">
        <f>'設定'!$E$17</f>
        <v/>
      </c>
      <c r="J1239" s="35">
        <f>'設定'!$E$18</f>
        <v/>
      </c>
      <c r="K1239" s="35">
        <f>'設定'!$E$19</f>
        <v/>
      </c>
      <c r="L1239" s="35">
        <f>'設定'!$E$20</f>
        <v/>
      </c>
    </row>
    <row r="1240" ht="21" customHeight="1">
      <c r="A1240" s="59" t="n"/>
      <c r="B1240" s="42">
        <f>'設定'!$I$11</f>
        <v/>
      </c>
      <c r="C1240" s="60" t="n"/>
      <c r="D1240" s="60" t="n"/>
      <c r="E1240" s="60" t="n"/>
      <c r="F1240" s="60" t="n"/>
      <c r="G1240" s="60" t="n"/>
      <c r="H1240" s="60" t="n"/>
      <c r="I1240" s="60" t="n"/>
      <c r="J1240" s="60" t="n"/>
      <c r="K1240" s="60" t="n"/>
      <c r="L1240" s="60" t="n"/>
    </row>
    <row r="1241" ht="21" customHeight="1">
      <c r="A1241" s="59" t="n"/>
      <c r="B1241" s="42">
        <f>'設定'!$I$12</f>
        <v/>
      </c>
      <c r="C1241" s="60" t="n"/>
      <c r="D1241" s="60" t="n"/>
      <c r="E1241" s="60" t="n"/>
      <c r="F1241" s="60" t="n"/>
      <c r="G1241" s="60" t="n"/>
      <c r="H1241" s="60" t="n"/>
      <c r="I1241" s="60" t="n"/>
      <c r="J1241" s="60" t="n"/>
      <c r="K1241" s="60" t="n"/>
      <c r="L1241" s="60" t="n"/>
    </row>
    <row r="1242" ht="21" customHeight="1">
      <c r="A1242" s="59" t="n"/>
      <c r="B1242" s="42">
        <f>'設定'!$I$13</f>
        <v/>
      </c>
      <c r="C1242" s="60" t="n"/>
      <c r="D1242" s="60" t="n"/>
      <c r="E1242" s="60" t="n"/>
      <c r="F1242" s="60" t="n"/>
      <c r="G1242" s="60" t="n"/>
      <c r="H1242" s="60" t="n"/>
      <c r="I1242" s="60" t="n"/>
      <c r="J1242" s="60" t="n"/>
      <c r="K1242" s="60" t="n"/>
      <c r="L1242" s="60" t="n"/>
    </row>
    <row r="1243" ht="21" customHeight="1">
      <c r="A1243" s="59" t="n"/>
      <c r="B1243" s="42">
        <f>'設定'!$I$14</f>
        <v/>
      </c>
      <c r="C1243" s="60" t="n"/>
      <c r="D1243" s="60" t="n"/>
      <c r="E1243" s="60" t="n"/>
      <c r="F1243" s="60" t="n"/>
      <c r="G1243" s="60" t="n"/>
      <c r="H1243" s="60" t="n"/>
      <c r="I1243" s="60" t="n"/>
      <c r="J1243" s="60" t="n"/>
      <c r="K1243" s="60" t="n"/>
      <c r="L1243" s="60" t="n"/>
    </row>
    <row r="1244" ht="21" customHeight="1">
      <c r="A1244" s="59" t="n"/>
      <c r="B1244" s="42">
        <f>'設定'!$I$15</f>
        <v/>
      </c>
      <c r="C1244" s="60" t="n"/>
      <c r="D1244" s="60" t="n"/>
      <c r="E1244" s="60" t="n"/>
      <c r="F1244" s="60" t="n"/>
      <c r="G1244" s="60" t="n"/>
      <c r="H1244" s="60" t="n"/>
      <c r="I1244" s="60" t="n"/>
      <c r="J1244" s="60" t="n"/>
      <c r="K1244" s="60" t="n"/>
      <c r="L1244" s="60" t="n"/>
    </row>
    <row r="1245" ht="21" customHeight="1">
      <c r="A1245" s="59" t="n"/>
      <c r="B1245" s="42">
        <f>'設定'!$I$16</f>
        <v/>
      </c>
      <c r="C1245" s="60" t="n"/>
      <c r="D1245" s="60" t="n"/>
      <c r="E1245" s="60" t="n"/>
      <c r="F1245" s="60" t="n"/>
      <c r="G1245" s="60" t="n"/>
      <c r="H1245" s="60" t="n"/>
      <c r="I1245" s="60" t="n"/>
      <c r="J1245" s="60" t="n"/>
      <c r="K1245" s="60" t="n"/>
      <c r="L1245" s="60" t="n"/>
    </row>
    <row r="1246" ht="21" customHeight="1">
      <c r="A1246" s="59" t="n"/>
      <c r="B1246" s="42">
        <f>'設定'!$I$17</f>
        <v/>
      </c>
      <c r="C1246" s="60" t="n"/>
      <c r="D1246" s="60" t="n"/>
      <c r="E1246" s="60" t="n"/>
      <c r="F1246" s="60" t="n"/>
      <c r="G1246" s="60" t="n"/>
      <c r="H1246" s="60" t="n"/>
      <c r="I1246" s="60" t="n"/>
      <c r="J1246" s="60" t="n"/>
      <c r="K1246" s="60" t="n"/>
      <c r="L1246" s="60" t="n"/>
    </row>
    <row r="1247" ht="21" customHeight="1">
      <c r="A1247" s="59" t="n"/>
      <c r="B1247" s="42">
        <f>'設定'!$I$18</f>
        <v/>
      </c>
      <c r="C1247" s="60" t="n"/>
      <c r="D1247" s="60" t="n"/>
      <c r="E1247" s="60" t="n"/>
      <c r="F1247" s="60" t="n"/>
      <c r="G1247" s="60" t="n"/>
      <c r="H1247" s="60" t="n"/>
      <c r="I1247" s="60" t="n"/>
      <c r="J1247" s="60" t="n"/>
      <c r="K1247" s="60" t="n"/>
      <c r="L1247" s="60" t="n"/>
    </row>
    <row r="1248" ht="21" customHeight="1">
      <c r="A1248" s="59" t="n"/>
      <c r="B1248" s="42">
        <f>'設定'!$I$19</f>
        <v/>
      </c>
      <c r="C1248" s="60" t="n"/>
      <c r="D1248" s="60" t="n"/>
      <c r="E1248" s="60" t="n"/>
      <c r="F1248" s="60" t="n"/>
      <c r="G1248" s="60" t="n"/>
      <c r="H1248" s="60" t="n"/>
      <c r="I1248" s="60" t="n"/>
      <c r="J1248" s="60" t="n"/>
      <c r="K1248" s="60" t="n"/>
      <c r="L1248" s="60" t="n"/>
    </row>
    <row r="1249" ht="21" customHeight="1">
      <c r="A1249" s="59" t="n"/>
      <c r="B1249" s="42">
        <f>'設定'!$I$20</f>
        <v/>
      </c>
      <c r="C1249" s="60" t="n"/>
      <c r="D1249" s="60" t="n"/>
      <c r="E1249" s="60" t="n"/>
      <c r="F1249" s="60" t="n"/>
      <c r="G1249" s="60" t="n"/>
      <c r="H1249" s="60" t="n"/>
      <c r="I1249" s="60" t="n"/>
      <c r="J1249" s="60" t="n"/>
      <c r="K1249" s="60" t="n"/>
      <c r="L1249" s="60" t="n"/>
    </row>
    <row r="1250" ht="21" customHeight="1">
      <c r="A1250" s="59" t="n"/>
      <c r="B1250" s="42">
        <f>'設定'!$I$21</f>
        <v/>
      </c>
      <c r="C1250" s="60" t="n"/>
      <c r="D1250" s="60" t="n"/>
      <c r="E1250" s="60" t="n"/>
      <c r="F1250" s="60" t="n"/>
      <c r="G1250" s="60" t="n"/>
      <c r="H1250" s="60" t="n"/>
      <c r="I1250" s="60" t="n"/>
      <c r="J1250" s="60" t="n"/>
      <c r="K1250" s="60" t="n"/>
      <c r="L1250" s="60" t="n"/>
    </row>
    <row r="1251" ht="21" customHeight="1">
      <c r="A1251" s="59" t="n"/>
      <c r="B1251" s="42">
        <f>'設定'!$I$22</f>
        <v/>
      </c>
      <c r="C1251" s="60" t="n"/>
      <c r="D1251" s="60" t="n"/>
      <c r="E1251" s="60" t="n"/>
      <c r="F1251" s="60" t="n"/>
      <c r="G1251" s="60" t="n"/>
      <c r="H1251" s="60" t="n"/>
      <c r="I1251" s="60" t="n"/>
      <c r="J1251" s="60" t="n"/>
      <c r="K1251" s="60" t="n"/>
      <c r="L1251" s="60" t="n"/>
    </row>
    <row r="1252" ht="21" customHeight="1">
      <c r="A1252" s="59" t="n"/>
      <c r="B1252" s="42">
        <f>'設定'!$I$23</f>
        <v/>
      </c>
      <c r="C1252" s="60" t="n"/>
      <c r="D1252" s="60" t="n"/>
      <c r="E1252" s="60" t="n"/>
      <c r="F1252" s="60" t="n"/>
      <c r="G1252" s="60" t="n"/>
      <c r="H1252" s="60" t="n"/>
      <c r="I1252" s="60" t="n"/>
      <c r="J1252" s="60" t="n"/>
      <c r="K1252" s="60" t="n"/>
      <c r="L1252" s="60" t="n"/>
    </row>
    <row r="1253" ht="21" customHeight="1">
      <c r="A1253" s="59" t="n"/>
      <c r="B1253" s="42">
        <f>'設定'!$I$24</f>
        <v/>
      </c>
      <c r="C1253" s="60" t="n"/>
      <c r="D1253" s="60" t="n"/>
      <c r="E1253" s="60" t="n"/>
      <c r="F1253" s="60" t="n"/>
      <c r="G1253" s="60" t="n"/>
      <c r="H1253" s="60" t="n"/>
      <c r="I1253" s="60" t="n"/>
      <c r="J1253" s="60" t="n"/>
      <c r="K1253" s="60" t="n"/>
      <c r="L1253" s="60" t="n"/>
    </row>
    <row r="1254" ht="21" customHeight="1">
      <c r="A1254" s="59" t="n"/>
      <c r="B1254" s="42">
        <f>'設定'!$I$25</f>
        <v/>
      </c>
      <c r="C1254" s="60" t="n"/>
      <c r="D1254" s="60" t="n"/>
      <c r="E1254" s="60" t="n"/>
      <c r="F1254" s="60" t="n"/>
      <c r="G1254" s="60" t="n"/>
      <c r="H1254" s="60" t="n"/>
      <c r="I1254" s="60" t="n"/>
      <c r="J1254" s="60" t="n"/>
      <c r="K1254" s="60" t="n"/>
      <c r="L1254" s="60" t="n"/>
    </row>
    <row r="1255" ht="21" customHeight="1">
      <c r="A1255" s="59" t="n"/>
      <c r="B1255" s="42">
        <f>'設定'!$I$26</f>
        <v/>
      </c>
      <c r="C1255" s="60" t="n"/>
      <c r="D1255" s="60" t="n"/>
      <c r="E1255" s="60" t="n"/>
      <c r="F1255" s="60" t="n"/>
      <c r="G1255" s="60" t="n"/>
      <c r="H1255" s="60" t="n"/>
      <c r="I1255" s="60" t="n"/>
      <c r="J1255" s="60" t="n"/>
      <c r="K1255" s="60" t="n"/>
      <c r="L1255" s="60" t="n"/>
    </row>
    <row r="1256" ht="21" customHeight="1">
      <c r="A1256" s="59" t="n"/>
      <c r="B1256" s="42">
        <f>'設定'!$I$27</f>
        <v/>
      </c>
      <c r="C1256" s="60" t="n"/>
      <c r="D1256" s="60" t="n"/>
      <c r="E1256" s="60" t="n"/>
      <c r="F1256" s="60" t="n"/>
      <c r="G1256" s="60" t="n"/>
      <c r="H1256" s="60" t="n"/>
      <c r="I1256" s="60" t="n"/>
      <c r="J1256" s="60" t="n"/>
      <c r="K1256" s="60" t="n"/>
      <c r="L1256" s="60" t="n"/>
    </row>
    <row r="1257" ht="21" customHeight="1">
      <c r="A1257" s="59" t="n"/>
      <c r="B1257" s="42">
        <f>'設定'!$I$28</f>
        <v/>
      </c>
      <c r="C1257" s="60" t="n"/>
      <c r="D1257" s="60" t="n"/>
      <c r="E1257" s="60" t="n"/>
      <c r="F1257" s="60" t="n"/>
      <c r="G1257" s="60" t="n"/>
      <c r="H1257" s="60" t="n"/>
      <c r="I1257" s="60" t="n"/>
      <c r="J1257" s="60" t="n"/>
      <c r="K1257" s="60" t="n"/>
      <c r="L1257" s="60" t="n"/>
    </row>
    <row r="1258" ht="21" customHeight="1">
      <c r="A1258" s="59" t="n"/>
      <c r="B1258" s="42">
        <f>'設定'!$I$29</f>
        <v/>
      </c>
      <c r="C1258" s="60" t="n"/>
      <c r="D1258" s="60" t="n"/>
      <c r="E1258" s="60" t="n"/>
      <c r="F1258" s="60" t="n"/>
      <c r="G1258" s="60" t="n"/>
      <c r="H1258" s="60" t="n"/>
      <c r="I1258" s="60" t="n"/>
      <c r="J1258" s="60" t="n"/>
      <c r="K1258" s="60" t="n"/>
      <c r="L1258" s="60" t="n"/>
    </row>
    <row r="1259" ht="21" customHeight="1">
      <c r="A1259" s="59" t="n"/>
      <c r="B1259" s="42">
        <f>'設定'!$I$30</f>
        <v/>
      </c>
      <c r="C1259" s="60" t="n"/>
      <c r="D1259" s="60" t="n"/>
      <c r="E1259" s="60" t="n"/>
      <c r="F1259" s="60" t="n"/>
      <c r="G1259" s="60" t="n"/>
      <c r="H1259" s="60" t="n"/>
      <c r="I1259" s="60" t="n"/>
      <c r="J1259" s="60" t="n"/>
      <c r="K1259" s="60" t="n"/>
      <c r="L1259" s="60" t="n"/>
    </row>
    <row r="1260" ht="21" customHeight="1">
      <c r="A1260" s="59" t="n"/>
      <c r="B1260" s="42">
        <f>'設定'!$I$31</f>
        <v/>
      </c>
      <c r="C1260" s="60" t="n"/>
      <c r="D1260" s="60" t="n"/>
      <c r="E1260" s="60" t="n"/>
      <c r="F1260" s="60" t="n"/>
      <c r="G1260" s="60" t="n"/>
      <c r="H1260" s="60" t="n"/>
      <c r="I1260" s="60" t="n"/>
      <c r="J1260" s="60" t="n"/>
      <c r="K1260" s="60" t="n"/>
      <c r="L1260" s="60" t="n"/>
    </row>
    <row r="1261" ht="21" customHeight="1">
      <c r="A1261" s="59" t="n"/>
      <c r="B1261" s="42">
        <f>'設定'!$I$32</f>
        <v/>
      </c>
      <c r="C1261" s="60" t="n"/>
      <c r="D1261" s="60" t="n"/>
      <c r="E1261" s="60" t="n"/>
      <c r="F1261" s="60" t="n"/>
      <c r="G1261" s="60" t="n"/>
      <c r="H1261" s="60" t="n"/>
      <c r="I1261" s="60" t="n"/>
      <c r="J1261" s="60" t="n"/>
      <c r="K1261" s="60" t="n"/>
      <c r="L1261" s="60" t="n"/>
    </row>
    <row r="1262" ht="21" customHeight="1">
      <c r="A1262" s="59" t="n"/>
      <c r="B1262" s="42">
        <f>'設定'!$I$33</f>
        <v/>
      </c>
      <c r="C1262" s="60" t="n"/>
      <c r="D1262" s="60" t="n"/>
      <c r="E1262" s="60" t="n"/>
      <c r="F1262" s="60" t="n"/>
      <c r="G1262" s="60" t="n"/>
      <c r="H1262" s="60" t="n"/>
      <c r="I1262" s="60" t="n"/>
      <c r="J1262" s="60" t="n"/>
      <c r="K1262" s="60" t="n"/>
      <c r="L1262" s="60" t="n"/>
    </row>
    <row r="1263" ht="21" customHeight="1">
      <c r="A1263" s="59" t="n"/>
      <c r="B1263" s="42">
        <f>'設定'!$I$34</f>
        <v/>
      </c>
      <c r="C1263" s="60" t="n"/>
      <c r="D1263" s="60" t="n"/>
      <c r="E1263" s="60" t="n"/>
      <c r="F1263" s="60" t="n"/>
      <c r="G1263" s="60" t="n"/>
      <c r="H1263" s="60" t="n"/>
      <c r="I1263" s="60" t="n"/>
      <c r="J1263" s="60" t="n"/>
      <c r="K1263" s="60" t="n"/>
      <c r="L1263" s="60" t="n"/>
    </row>
  </sheetData>
  <mergeCells count="90">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A1182:B1182"/>
    <mergeCell ref="F313:G313"/>
    <mergeCell ref="A230:B230"/>
    <mergeCell ref="A986:B986"/>
    <mergeCell ref="A1042:B1042"/>
    <mergeCell ref="F1125:G1125"/>
    <mergeCell ref="F1209:G1209"/>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A1210:B1210"/>
    <mergeCell ref="F1013:G1013"/>
    <mergeCell ref="F901:G901"/>
    <mergeCell ref="F705:G705"/>
    <mergeCell ref="A902:B902"/>
    <mergeCell ref="F1181:G1181"/>
    <mergeCell ref="A1238:B1238"/>
    <mergeCell ref="F1041:G1041"/>
    <mergeCell ref="F425:G425"/>
    <mergeCell ref="F229:G229"/>
    <mergeCell ref="F873:G873"/>
    <mergeCell ref="F117:G117"/>
    <mergeCell ref="A454:B454"/>
    <mergeCell ref="A874:B874"/>
    <mergeCell ref="A202:B202"/>
    <mergeCell ref="A258:B258"/>
    <mergeCell ref="F1153:G1153"/>
    <mergeCell ref="A958:B958"/>
    <mergeCell ref="F1237:G1237"/>
    <mergeCell ref="A146:B146"/>
    <mergeCell ref="A6:B6"/>
    <mergeCell ref="F285:G285"/>
    <mergeCell ref="A706:B706"/>
    <mergeCell ref="F845:G845"/>
    <mergeCell ref="A1126:B1126"/>
    <mergeCell ref="A174:B174"/>
    <mergeCell ref="F453:G453"/>
    <mergeCell ref="A118:B118"/>
    <mergeCell ref="F145:G145"/>
    <mergeCell ref="A734:B734"/>
    <mergeCell ref="F957:G957"/>
    <mergeCell ref="A1154:B1154"/>
    <mergeCell ref="A1098:B1098"/>
    <mergeCell ref="F509:G509"/>
    <mergeCell ref="F481:G481"/>
    <mergeCell ref="F1069:G1069"/>
    <mergeCell ref="A314:B314"/>
  </mergeCells>
  <conditionalFormatting sqref="C8:L31 C36:L59 C64:L87 C92:L115 C120:L143 C148:L171 C176:L199 C204:L227 C232:L255 C260:L283 C288:L311 C316:L339 C344:L367 C372:L395 C400:L423 C428:L451 C456:L479 C484:L507 C512:L535 C540:L563 C568:L591 C596:L619 C624:L647 C652:L675 C680:L703 C708:L731 C736:L759 C764:L787 C792:L815 C820:L843 C848:L871 C876:L899 C904:L927 C932:L955 C960:L983 C988:L1011 C1016:L1039 C1044:L1067 C1072:L1095 C1100:L1123 C1128:L1151 C1156:L1179 C1184:L1207 C1212:L1235 C1240:L1263">
    <cfRule type="expression" priority="1" dxfId="3" stopIfTrue="1">
      <formula>INDEX('計算A'!$D$115:$II$115,(COLUMN(C8)-3)*24+MOD(ROW(C8)-5,28)-2)=0</formula>
    </cfRule>
    <cfRule type="expression" priority="2" dxfId="10" stopIfTrue="1">
      <formula>INDEX('計算A'!$D$4:$II$4,(COLUMN(C8)-3)*24+MOD(ROW(C8)-5,28)-2)=0</formula>
    </cfRule>
    <cfRule type="expression" priority="3" dxfId="5" stopIfTrue="1">
      <formula>OR(C8&lt;&gt;"",$A8&lt;&gt;"",INDEX($A$1:$L$1300,ROW(C8)-MOD(ROW(C8)-5,28)+1,COLUMN(C8))&lt;&gt;"")</formula>
    </cfRule>
    <cfRule type="expression" priority="4" dxfId="4">
      <formula>TRUE</formula>
    </cfRule>
  </conditionalFormatting>
  <conditionalFormatting sqref="C6:L6 C34:L34 C62:L62 C90:L90 C118:L118 C146:L146 C174:L174 C202:L202 C230:L230 C258:L258 C286:L286 C314:L314 C342:L342 C370:L370 C398:L398 C426:L426 C454:L454 C482:L482 C510:L510 C538:L538 C566:L566 C594:L594 C622:L622 C650:L650 C678:L678 C706:L706 C734:L734 C762:L762 C790:L790 C818:L818 C846:L846 C874:L874 C902:L902 C930:L930 C958:L958 C986:L986 C1014:L1014 C1042:L1042 C1070:L1070 C1098:L1098 C1126:L1126 C1154:L1154 C1182:L1182 C1210:L1210 C1238:L1238">
    <cfRule type="expression" priority="5" dxfId="3" stopIfTrue="1">
      <formula>INDEX('設定'!$B$11:$B$20,COLUMN(C6)-2)=""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A1128:A1151 A1156:A1179 A1184:A1207 A1212:A1235 A1240:A126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B1128:B1151 B1156:B1179 B1184:B1207 B1212:B1235 B1240:B1263">
    <cfRule type="expression" priority="9" dxfId="3" stopIfTrue="1">
      <formula>B8=""</formula>
    </cfRule>
  </conditionalFormatting>
  <conditionalFormatting sqref="C7:L7 C35:L35 C63:L63 C91:L91 C119:L119 C147:L147 C175:L175 C203:L203 C231:L231 C259:L259 C287:L287 C315:L315 C343:L343 C371:L371 C399:L399 C427:L427 C455:L455 C483:L483 C511:L511 C539:L539 C567:L567 C595:L595 C623:L623 C651:L651 C679:L679 C707:L707 C735:L735 C763:L763 C791:L791 C819:L819 C847:L847 C875:L875 C903:L903 C931:L931 C959:L959 C987:L987 C1015:L1015 C1043:L1043 C1071:L1071 C1099:L1099 C1127:L1127 C1155:L1155 C1183:L1183 C1211:L1211 C1239:L1239">
    <cfRule type="expression" priority="10" dxfId="3">
      <formula>C7=""</formula>
    </cfRule>
  </conditionalFormatting>
  <dataValidations count="2">
    <dataValidation sqref="F5 F33 F61 F89 F117 F145 F173 F201 F229 F257 F285 F313 F341 F369 F397 F425 F453 F481 F509 F537 F565 F593 F621 F649 F677 F705 F733 F761 F789 F817 F845 F873 F901 F929 F957 F985 F1013 F1041 F1069 F1097 F1125 F1153 F1181 F1209 F123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A1128:A1151 A1156:A1179 A1184:A1207 A1212:A1235 A1240:A1263 C6:L6 C34:L34 C62:L62 C90:L90 C118:L118 C146:L146 C174:L174 C202:L202 C230:L230 C258:L258 C286:L286 C314:L314 C342:L342 C370:L370 C398:L398 C426:L426 C454:L454 C482:L482 C510:L510 C538:L538 C566:L566 C594:L594 C622:L622 C650:L650 C678:L678 C706:L706 C734:L734 C762:L762 C790:L790 C818:L818 C846:L846 C874:L874 C902:L902 C930:L930 C958:L958 C986:L986 C1014:L1014 C1042:L1042 C1070:L1070 C1098:L1098 C1126:L1126 C1154:L1154 C1182:L1182 C1210:L1210 C1238:L1238" showDropDown="0" showInputMessage="0" showErrorMessage="1" allowBlank="1" error="「×」を選んでください（消すときは Delete）。" type="list">
      <formula1>"×"</formula1>
    </dataValidation>
  </dataValidation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O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3" customWidth="1" min="13" max="13"/>
    <col width="22" customWidth="1" min="14" max="14"/>
    <col width="40" customWidth="1" min="15" max="15"/>
  </cols>
  <sheetData>
    <row r="1" ht="44" customHeight="1">
      <c r="A1" s="2" t="n"/>
      <c r="B1" s="51" t="inlineStr">
        <is>
          <t>自動案</t>
        </is>
      </c>
      <c r="C1" s="2" t="n"/>
      <c r="D1" s="2" t="n"/>
      <c r="E1" s="2" t="n"/>
      <c r="F1" s="18">
        <f>HYPERLINK("#'ホーム'!A1","ホーム")</f>
        <v/>
      </c>
      <c r="G1" s="18">
        <f>HYPERLINK("#'設定'!A1","① 設定")</f>
        <v/>
      </c>
      <c r="H1" s="18">
        <f>HYPERLINK("#'名簿'!A1","② 名簿")</f>
        <v/>
      </c>
      <c r="I1" s="18">
        <f>HYPERLINK("#'×入力'!A1","③ ×入力")</f>
        <v/>
      </c>
      <c r="J1" s="19">
        <f>HYPERLINK("#'自動案'!A1","④ 自動案")</f>
        <v/>
      </c>
      <c r="K1" s="18">
        <f>HYPERLINK("#'調整・決定'!A1","⑤ 調整・決定")</f>
        <v/>
      </c>
      <c r="L1" s="2" t="n"/>
      <c r="M1" s="2" t="n"/>
      <c r="N1" s="2" t="n"/>
      <c r="O1" s="2" t="n"/>
    </row>
    <row r="2" ht="24" customHeight="1">
      <c r="A2" s="4" t="n"/>
      <c r="B2" s="52" t="inlineStr">
        <is>
          <t>入れられる枠が少ない家庭から順に、自動で組んだ案です。緑が新しく入った人。よければ表をコピーし（名前ボックスで「自動案の表」を選ぶと全体を選べます）、「調整・決定」の表の左上に［値の貼り付け］をします。</t>
        </is>
      </c>
      <c r="C2" s="4" t="n"/>
      <c r="D2" s="4" t="n"/>
      <c r="E2" s="4" t="n"/>
      <c r="F2" s="4" t="n"/>
      <c r="G2" s="4" t="n"/>
      <c r="H2" s="4" t="n"/>
      <c r="I2" s="4" t="n"/>
      <c r="J2" s="4" t="n"/>
      <c r="K2" s="4" t="n"/>
      <c r="L2" s="4" t="n"/>
      <c r="M2" s="4" t="n"/>
      <c r="N2" s="4" t="n"/>
      <c r="O2" s="4" t="n"/>
    </row>
    <row r="3" ht="24" customHeight="1">
      <c r="C3" s="61" t="inlineStr">
        <is>
          <t>新しく入った人</t>
        </is>
      </c>
      <c r="D3" s="62" t="inlineStr">
        <is>
          <t>後ろを空ける枠</t>
        </is>
      </c>
      <c r="E3" s="63" t="inlineStr">
        <is>
          <t>なるべく空ける日・休憩</t>
        </is>
      </c>
      <c r="F3" s="64" t="inlineStr">
        <is>
          <t>先生の都合で使えない</t>
        </is>
      </c>
    </row>
    <row r="4"/>
    <row r="5">
      <c r="B5" s="34" t="inlineStr"/>
      <c r="C5" s="35">
        <f>'設定'!$E$11</f>
        <v/>
      </c>
      <c r="D5" s="35">
        <f>'設定'!$E$12</f>
        <v/>
      </c>
      <c r="E5" s="35">
        <f>'設定'!$E$13</f>
        <v/>
      </c>
      <c r="F5" s="35">
        <f>'設定'!$E$14</f>
        <v/>
      </c>
      <c r="G5" s="35">
        <f>'設定'!$E$15</f>
        <v/>
      </c>
      <c r="H5" s="35">
        <f>'設定'!$E$16</f>
        <v/>
      </c>
      <c r="I5" s="35">
        <f>'設定'!$E$17</f>
        <v/>
      </c>
      <c r="J5" s="35">
        <f>'設定'!$E$18</f>
        <v/>
      </c>
      <c r="K5" s="35">
        <f>'設定'!$E$19</f>
        <v/>
      </c>
      <c r="L5" s="35">
        <f>'設定'!$E$20</f>
        <v/>
      </c>
      <c r="N5" s="65" t="inlineStr">
        <is>
          <t>決定済み（調整・決定シート）</t>
        </is>
      </c>
      <c r="O5" s="66">
        <f>SUMPRODUCT(('調整・決定'!$C$6:$L$29&lt;&gt;"")*1)&amp;" 人"</f>
        <v/>
      </c>
    </row>
    <row r="6" ht="26" customHeight="1">
      <c r="B6" s="42">
        <f>'設定'!$I$11</f>
        <v/>
      </c>
      <c r="C6" s="23">
        <f>IF('計算A'!D$4=0,"",IF('調整・決定'!C6&lt;&gt;"",'調整・決定'!C6,IFERROR(INDEX('名簿'!$G$5:$G$49,INDEX('計算B'!$B$3:$B$47,MATCH(1,'計算B'!$C$3:$C$47,0))),"")))</f>
        <v/>
      </c>
      <c r="D6" s="23">
        <f>IF('計算A'!AB$4=0,"",IF('調整・決定'!D6&lt;&gt;"",'調整・決定'!D6,IFERROR(INDEX('名簿'!$G$5:$G$49,INDEX('計算B'!$B$3:$B$47,MATCH(25,'計算B'!$C$3:$C$47,0))),"")))</f>
        <v/>
      </c>
      <c r="E6" s="23">
        <f>IF('計算A'!AZ$4=0,"",IF('調整・決定'!E6&lt;&gt;"",'調整・決定'!E6,IFERROR(INDEX('名簿'!$G$5:$G$49,INDEX('計算B'!$B$3:$B$47,MATCH(49,'計算B'!$C$3:$C$47,0))),"")))</f>
        <v/>
      </c>
      <c r="F6" s="23">
        <f>IF('計算A'!BX$4=0,"",IF('調整・決定'!F6&lt;&gt;"",'調整・決定'!F6,IFERROR(INDEX('名簿'!$G$5:$G$49,INDEX('計算B'!$B$3:$B$47,MATCH(73,'計算B'!$C$3:$C$47,0))),"")))</f>
        <v/>
      </c>
      <c r="G6" s="23">
        <f>IF('計算A'!CV$4=0,"",IF('調整・決定'!G6&lt;&gt;"",'調整・決定'!G6,IFERROR(INDEX('名簿'!$G$5:$G$49,INDEX('計算B'!$B$3:$B$47,MATCH(97,'計算B'!$C$3:$C$47,0))),"")))</f>
        <v/>
      </c>
      <c r="H6" s="23">
        <f>IF('計算A'!DT$4=0,"",IF('調整・決定'!H6&lt;&gt;"",'調整・決定'!H6,IFERROR(INDEX('名簿'!$G$5:$G$49,INDEX('計算B'!$B$3:$B$47,MATCH(121,'計算B'!$C$3:$C$47,0))),"")))</f>
        <v/>
      </c>
      <c r="I6" s="23">
        <f>IF('計算A'!ER$4=0,"",IF('調整・決定'!I6&lt;&gt;"",'調整・決定'!I6,IFERROR(INDEX('名簿'!$G$5:$G$49,INDEX('計算B'!$B$3:$B$47,MATCH(145,'計算B'!$C$3:$C$47,0))),"")))</f>
        <v/>
      </c>
      <c r="J6" s="23">
        <f>IF('計算A'!FP$4=0,"",IF('調整・決定'!J6&lt;&gt;"",'調整・決定'!J6,IFERROR(INDEX('名簿'!$G$5:$G$49,INDEX('計算B'!$B$3:$B$47,MATCH(169,'計算B'!$C$3:$C$47,0))),"")))</f>
        <v/>
      </c>
      <c r="K6" s="23">
        <f>IF('計算A'!GN$4=0,"",IF('調整・決定'!K6&lt;&gt;"",'調整・決定'!K6,IFERROR(INDEX('名簿'!$G$5:$G$49,INDEX('計算B'!$B$3:$B$47,MATCH(193,'計算B'!$C$3:$C$47,0))),"")))</f>
        <v/>
      </c>
      <c r="L6" s="23">
        <f>IF('計算A'!HL$4=0,"",IF('調整・決定'!L6&lt;&gt;"",'調整・決定'!L6,IFERROR(INDEX('名簿'!$G$5:$G$49,INDEX('計算B'!$B$3:$B$47,MATCH(217,'計算B'!$C$3:$C$47,0))),"")))</f>
        <v/>
      </c>
      <c r="N6" s="65" t="inlineStr">
        <is>
          <t>自動で新しく入った</t>
        </is>
      </c>
      <c r="O6" s="66">
        <f>SUMPRODUCT(('計算B'!$B$3:$B$47&gt;0)*('計算B'!$C$3:$C$47&gt;0))&amp;" 人"</f>
        <v/>
      </c>
    </row>
    <row r="7" ht="26" customHeight="1">
      <c r="B7" s="42">
        <f>'設定'!$I$12</f>
        <v/>
      </c>
      <c r="C7" s="23">
        <f>IF('計算A'!E$4=0,"",IF('調整・決定'!C7&lt;&gt;"",'調整・決定'!C7,IFERROR(INDEX('名簿'!$G$5:$G$49,INDEX('計算B'!$B$3:$B$47,MATCH(2,'計算B'!$C$3:$C$47,0))),"")))</f>
        <v/>
      </c>
      <c r="D7" s="23">
        <f>IF('計算A'!AC$4=0,"",IF('調整・決定'!D7&lt;&gt;"",'調整・決定'!D7,IFERROR(INDEX('名簿'!$G$5:$G$49,INDEX('計算B'!$B$3:$B$47,MATCH(26,'計算B'!$C$3:$C$47,0))),"")))</f>
        <v/>
      </c>
      <c r="E7" s="23">
        <f>IF('計算A'!BA$4=0,"",IF('調整・決定'!E7&lt;&gt;"",'調整・決定'!E7,IFERROR(INDEX('名簿'!$G$5:$G$49,INDEX('計算B'!$B$3:$B$47,MATCH(50,'計算B'!$C$3:$C$47,0))),"")))</f>
        <v/>
      </c>
      <c r="F7" s="23">
        <f>IF('計算A'!BY$4=0,"",IF('調整・決定'!F7&lt;&gt;"",'調整・決定'!F7,IFERROR(INDEX('名簿'!$G$5:$G$49,INDEX('計算B'!$B$3:$B$47,MATCH(74,'計算B'!$C$3:$C$47,0))),"")))</f>
        <v/>
      </c>
      <c r="G7" s="23">
        <f>IF('計算A'!CW$4=0,"",IF('調整・決定'!G7&lt;&gt;"",'調整・決定'!G7,IFERROR(INDEX('名簿'!$G$5:$G$49,INDEX('計算B'!$B$3:$B$47,MATCH(98,'計算B'!$C$3:$C$47,0))),"")))</f>
        <v/>
      </c>
      <c r="H7" s="23">
        <f>IF('計算A'!DU$4=0,"",IF('調整・決定'!H7&lt;&gt;"",'調整・決定'!H7,IFERROR(INDEX('名簿'!$G$5:$G$49,INDEX('計算B'!$B$3:$B$47,MATCH(122,'計算B'!$C$3:$C$47,0))),"")))</f>
        <v/>
      </c>
      <c r="I7" s="23">
        <f>IF('計算A'!ES$4=0,"",IF('調整・決定'!I7&lt;&gt;"",'調整・決定'!I7,IFERROR(INDEX('名簿'!$G$5:$G$49,INDEX('計算B'!$B$3:$B$47,MATCH(146,'計算B'!$C$3:$C$47,0))),"")))</f>
        <v/>
      </c>
      <c r="J7" s="23">
        <f>IF('計算A'!FQ$4=0,"",IF('調整・決定'!J7&lt;&gt;"",'調整・決定'!J7,IFERROR(INDEX('名簿'!$G$5:$G$49,INDEX('計算B'!$B$3:$B$47,MATCH(170,'計算B'!$C$3:$C$47,0))),"")))</f>
        <v/>
      </c>
      <c r="K7" s="23">
        <f>IF('計算A'!GO$4=0,"",IF('調整・決定'!K7&lt;&gt;"",'調整・決定'!K7,IFERROR(INDEX('名簿'!$G$5:$G$49,INDEX('計算B'!$B$3:$B$47,MATCH(194,'計算B'!$C$3:$C$47,0))),"")))</f>
        <v/>
      </c>
      <c r="L7" s="23">
        <f>IF('計算A'!HM$4=0,"",IF('調整・決定'!L7&lt;&gt;"",'調整・決定'!L7,IFERROR(INDEX('名簿'!$G$5:$G$49,INDEX('計算B'!$B$3:$B$47,MATCH(218,'計算B'!$C$3:$C$47,0))),"")))</f>
        <v/>
      </c>
    </row>
    <row r="8" ht="30" customHeight="1">
      <c r="B8" s="42">
        <f>'設定'!$I$13</f>
        <v/>
      </c>
      <c r="C8" s="23">
        <f>IF('計算A'!F$4=0,"",IF('調整・決定'!C8&lt;&gt;"",'調整・決定'!C8,IFERROR(INDEX('名簿'!$G$5:$G$49,INDEX('計算B'!$B$3:$B$47,MATCH(3,'計算B'!$C$3:$C$47,0))),"")))</f>
        <v/>
      </c>
      <c r="D8" s="23">
        <f>IF('計算A'!AD$4=0,"",IF('調整・決定'!D8&lt;&gt;"",'調整・決定'!D8,IFERROR(INDEX('名簿'!$G$5:$G$49,INDEX('計算B'!$B$3:$B$47,MATCH(27,'計算B'!$C$3:$C$47,0))),"")))</f>
        <v/>
      </c>
      <c r="E8" s="23">
        <f>IF('計算A'!BB$4=0,"",IF('調整・決定'!E8&lt;&gt;"",'調整・決定'!E8,IFERROR(INDEX('名簿'!$G$5:$G$49,INDEX('計算B'!$B$3:$B$47,MATCH(51,'計算B'!$C$3:$C$47,0))),"")))</f>
        <v/>
      </c>
      <c r="F8" s="23">
        <f>IF('計算A'!BZ$4=0,"",IF('調整・決定'!F8&lt;&gt;"",'調整・決定'!F8,IFERROR(INDEX('名簿'!$G$5:$G$49,INDEX('計算B'!$B$3:$B$47,MATCH(75,'計算B'!$C$3:$C$47,0))),"")))</f>
        <v/>
      </c>
      <c r="G8" s="23">
        <f>IF('計算A'!CX$4=0,"",IF('調整・決定'!G8&lt;&gt;"",'調整・決定'!G8,IFERROR(INDEX('名簿'!$G$5:$G$49,INDEX('計算B'!$B$3:$B$47,MATCH(99,'計算B'!$C$3:$C$47,0))),"")))</f>
        <v/>
      </c>
      <c r="H8" s="23">
        <f>IF('計算A'!DV$4=0,"",IF('調整・決定'!H8&lt;&gt;"",'調整・決定'!H8,IFERROR(INDEX('名簿'!$G$5:$G$49,INDEX('計算B'!$B$3:$B$47,MATCH(123,'計算B'!$C$3:$C$47,0))),"")))</f>
        <v/>
      </c>
      <c r="I8" s="23">
        <f>IF('計算A'!ET$4=0,"",IF('調整・決定'!I8&lt;&gt;"",'調整・決定'!I8,IFERROR(INDEX('名簿'!$G$5:$G$49,INDEX('計算B'!$B$3:$B$47,MATCH(147,'計算B'!$C$3:$C$47,0))),"")))</f>
        <v/>
      </c>
      <c r="J8" s="23">
        <f>IF('計算A'!FR$4=0,"",IF('調整・決定'!J8&lt;&gt;"",'調整・決定'!J8,IFERROR(INDEX('名簿'!$G$5:$G$49,INDEX('計算B'!$B$3:$B$47,MATCH(171,'計算B'!$C$3:$C$47,0))),"")))</f>
        <v/>
      </c>
      <c r="K8" s="23">
        <f>IF('計算A'!GP$4=0,"",IF('調整・決定'!K8&lt;&gt;"",'調整・決定'!K8,IFERROR(INDEX('名簿'!$G$5:$G$49,INDEX('計算B'!$B$3:$B$47,MATCH(195,'計算B'!$C$3:$C$47,0))),"")))</f>
        <v/>
      </c>
      <c r="L8" s="23">
        <f>IF('計算A'!HN$4=0,"",IF('調整・決定'!L8&lt;&gt;"",'調整・決定'!L8,IFERROR(INDEX('名簿'!$G$5:$G$49,INDEX('計算B'!$B$3:$B$47,MATCH(219,'計算B'!$C$3:$C$47,0))),"")))</f>
        <v/>
      </c>
      <c r="N8" s="67" t="inlineStr">
        <is>
          <t>入る枠がない（×・必ず空けたい）</t>
        </is>
      </c>
      <c r="O8" s="68">
        <f t="array" ref="O8">_xlfn.TEXTJOIN("、",TRUE,IF('計算A'!$IL$10:$IL$54=1,'計算A'!$B$10:$B$54,""))</f>
        <v/>
      </c>
    </row>
    <row r="9" ht="26" customHeight="1">
      <c r="B9" s="42">
        <f>'設定'!$I$14</f>
        <v/>
      </c>
      <c r="C9" s="23">
        <f>IF('計算A'!G$4=0,"",IF('調整・決定'!C9&lt;&gt;"",'調整・決定'!C9,IFERROR(INDEX('名簿'!$G$5:$G$49,INDEX('計算B'!$B$3:$B$47,MATCH(4,'計算B'!$C$3:$C$47,0))),"")))</f>
        <v/>
      </c>
      <c r="D9" s="23">
        <f>IF('計算A'!AE$4=0,"",IF('調整・決定'!D9&lt;&gt;"",'調整・決定'!D9,IFERROR(INDEX('名簿'!$G$5:$G$49,INDEX('計算B'!$B$3:$B$47,MATCH(28,'計算B'!$C$3:$C$47,0))),"")))</f>
        <v/>
      </c>
      <c r="E9" s="23">
        <f>IF('計算A'!BC$4=0,"",IF('調整・決定'!E9&lt;&gt;"",'調整・決定'!E9,IFERROR(INDEX('名簿'!$G$5:$G$49,INDEX('計算B'!$B$3:$B$47,MATCH(52,'計算B'!$C$3:$C$47,0))),"")))</f>
        <v/>
      </c>
      <c r="F9" s="23">
        <f>IF('計算A'!CA$4=0,"",IF('調整・決定'!F9&lt;&gt;"",'調整・決定'!F9,IFERROR(INDEX('名簿'!$G$5:$G$49,INDEX('計算B'!$B$3:$B$47,MATCH(76,'計算B'!$C$3:$C$47,0))),"")))</f>
        <v/>
      </c>
      <c r="G9" s="23">
        <f>IF('計算A'!CY$4=0,"",IF('調整・決定'!G9&lt;&gt;"",'調整・決定'!G9,IFERROR(INDEX('名簿'!$G$5:$G$49,INDEX('計算B'!$B$3:$B$47,MATCH(100,'計算B'!$C$3:$C$47,0))),"")))</f>
        <v/>
      </c>
      <c r="H9" s="23">
        <f>IF('計算A'!DW$4=0,"",IF('調整・決定'!H9&lt;&gt;"",'調整・決定'!H9,IFERROR(INDEX('名簿'!$G$5:$G$49,INDEX('計算B'!$B$3:$B$47,MATCH(124,'計算B'!$C$3:$C$47,0))),"")))</f>
        <v/>
      </c>
      <c r="I9" s="23">
        <f>IF('計算A'!EU$4=0,"",IF('調整・決定'!I9&lt;&gt;"",'調整・決定'!I9,IFERROR(INDEX('名簿'!$G$5:$G$49,INDEX('計算B'!$B$3:$B$47,MATCH(148,'計算B'!$C$3:$C$47,0))),"")))</f>
        <v/>
      </c>
      <c r="J9" s="23">
        <f>IF('計算A'!FS$4=0,"",IF('調整・決定'!J9&lt;&gt;"",'調整・決定'!J9,IFERROR(INDEX('名簿'!$G$5:$G$49,INDEX('計算B'!$B$3:$B$47,MATCH(172,'計算B'!$C$3:$C$47,0))),"")))</f>
        <v/>
      </c>
      <c r="K9" s="23">
        <f>IF('計算A'!GQ$4=0,"",IF('調整・決定'!K9&lt;&gt;"",'調整・決定'!K9,IFERROR(INDEX('名簿'!$G$5:$G$49,INDEX('計算B'!$B$3:$B$47,MATCH(196,'計算B'!$C$3:$C$47,0))),"")))</f>
        <v/>
      </c>
      <c r="L9" s="23">
        <f>IF('計算A'!HO$4=0,"",IF('調整・決定'!L9&lt;&gt;"",'調整・決定'!L9,IFERROR(INDEX('名簿'!$G$5:$G$49,INDEX('計算B'!$B$3:$B$47,MATCH(220,'計算B'!$C$3:$C$47,0))),"")))</f>
        <v/>
      </c>
    </row>
    <row r="10" ht="30" customHeight="1">
      <c r="B10" s="42">
        <f>'設定'!$I$15</f>
        <v/>
      </c>
      <c r="C10" s="23">
        <f>IF('計算A'!H$4=0,"",IF('調整・決定'!C10&lt;&gt;"",'調整・決定'!C10,IFERROR(INDEX('名簿'!$G$5:$G$49,INDEX('計算B'!$B$3:$B$47,MATCH(5,'計算B'!$C$3:$C$47,0))),"")))</f>
        <v/>
      </c>
      <c r="D10" s="23">
        <f>IF('計算A'!AF$4=0,"",IF('調整・決定'!D10&lt;&gt;"",'調整・決定'!D10,IFERROR(INDEX('名簿'!$G$5:$G$49,INDEX('計算B'!$B$3:$B$47,MATCH(29,'計算B'!$C$3:$C$47,0))),"")))</f>
        <v/>
      </c>
      <c r="E10" s="23">
        <f>IF('計算A'!BD$4=0,"",IF('調整・決定'!E10&lt;&gt;"",'調整・決定'!E10,IFERROR(INDEX('名簿'!$G$5:$G$49,INDEX('計算B'!$B$3:$B$47,MATCH(53,'計算B'!$C$3:$C$47,0))),"")))</f>
        <v/>
      </c>
      <c r="F10" s="23">
        <f>IF('計算A'!CB$4=0,"",IF('調整・決定'!F10&lt;&gt;"",'調整・決定'!F10,IFERROR(INDEX('名簿'!$G$5:$G$49,INDEX('計算B'!$B$3:$B$47,MATCH(77,'計算B'!$C$3:$C$47,0))),"")))</f>
        <v/>
      </c>
      <c r="G10" s="23">
        <f>IF('計算A'!CZ$4=0,"",IF('調整・決定'!G10&lt;&gt;"",'調整・決定'!G10,IFERROR(INDEX('名簿'!$G$5:$G$49,INDEX('計算B'!$B$3:$B$47,MATCH(101,'計算B'!$C$3:$C$47,0))),"")))</f>
        <v/>
      </c>
      <c r="H10" s="23">
        <f>IF('計算A'!DX$4=0,"",IF('調整・決定'!H10&lt;&gt;"",'調整・決定'!H10,IFERROR(INDEX('名簿'!$G$5:$G$49,INDEX('計算B'!$B$3:$B$47,MATCH(125,'計算B'!$C$3:$C$47,0))),"")))</f>
        <v/>
      </c>
      <c r="I10" s="23">
        <f>IF('計算A'!EV$4=0,"",IF('調整・決定'!I10&lt;&gt;"",'調整・決定'!I10,IFERROR(INDEX('名簿'!$G$5:$G$49,INDEX('計算B'!$B$3:$B$47,MATCH(149,'計算B'!$C$3:$C$47,0))),"")))</f>
        <v/>
      </c>
      <c r="J10" s="23">
        <f>IF('計算A'!FT$4=0,"",IF('調整・決定'!J10&lt;&gt;"",'調整・決定'!J10,IFERROR(INDEX('名簿'!$G$5:$G$49,INDEX('計算B'!$B$3:$B$47,MATCH(173,'計算B'!$C$3:$C$47,0))),"")))</f>
        <v/>
      </c>
      <c r="K10" s="23">
        <f>IF('計算A'!GR$4=0,"",IF('調整・決定'!K10&lt;&gt;"",'調整・決定'!K10,IFERROR(INDEX('名簿'!$G$5:$G$49,INDEX('計算B'!$B$3:$B$47,MATCH(197,'計算B'!$C$3:$C$47,0))),"")))</f>
        <v/>
      </c>
      <c r="L10" s="23">
        <f>IF('計算A'!HP$4=0,"",IF('調整・決定'!L10&lt;&gt;"",'調整・決定'!L10,IFERROR(INDEX('名簿'!$G$5:$G$49,INDEX('計算B'!$B$3:$B$47,MATCH(221,'計算B'!$C$3:$C$47,0))),"")))</f>
        <v/>
      </c>
      <c r="N10" s="69" t="inlineStr">
        <is>
          <t>未入力・未提出で外した</t>
        </is>
      </c>
      <c r="O10" s="70">
        <f t="array" ref="O10">_xlfn.TEXTJOIN("、",TRUE,IF((('名簿'!$H$5:$H$49="未入力")+('名簿'!$H$5:$H$49="未提出"))*('計算A'!$IO$10:$IO$54=0),'名簿'!$G$5:$G$49,""))</f>
        <v/>
      </c>
    </row>
    <row r="11" ht="26" customHeight="1">
      <c r="B11" s="42">
        <f>'設定'!$I$16</f>
        <v/>
      </c>
      <c r="C11" s="23">
        <f>IF('計算A'!I$4=0,"",IF('調整・決定'!C11&lt;&gt;"",'調整・決定'!C11,IFERROR(INDEX('名簿'!$G$5:$G$49,INDEX('計算B'!$B$3:$B$47,MATCH(6,'計算B'!$C$3:$C$47,0))),"")))</f>
        <v/>
      </c>
      <c r="D11" s="23">
        <f>IF('計算A'!AG$4=0,"",IF('調整・決定'!D11&lt;&gt;"",'調整・決定'!D11,IFERROR(INDEX('名簿'!$G$5:$G$49,INDEX('計算B'!$B$3:$B$47,MATCH(30,'計算B'!$C$3:$C$47,0))),"")))</f>
        <v/>
      </c>
      <c r="E11" s="23">
        <f>IF('計算A'!BE$4=0,"",IF('調整・決定'!E11&lt;&gt;"",'調整・決定'!E11,IFERROR(INDEX('名簿'!$G$5:$G$49,INDEX('計算B'!$B$3:$B$47,MATCH(54,'計算B'!$C$3:$C$47,0))),"")))</f>
        <v/>
      </c>
      <c r="F11" s="23">
        <f>IF('計算A'!CC$4=0,"",IF('調整・決定'!F11&lt;&gt;"",'調整・決定'!F11,IFERROR(INDEX('名簿'!$G$5:$G$49,INDEX('計算B'!$B$3:$B$47,MATCH(78,'計算B'!$C$3:$C$47,0))),"")))</f>
        <v/>
      </c>
      <c r="G11" s="23">
        <f>IF('計算A'!DA$4=0,"",IF('調整・決定'!G11&lt;&gt;"",'調整・決定'!G11,IFERROR(INDEX('名簿'!$G$5:$G$49,INDEX('計算B'!$B$3:$B$47,MATCH(102,'計算B'!$C$3:$C$47,0))),"")))</f>
        <v/>
      </c>
      <c r="H11" s="23">
        <f>IF('計算A'!DY$4=0,"",IF('調整・決定'!H11&lt;&gt;"",'調整・決定'!H11,IFERROR(INDEX('名簿'!$G$5:$G$49,INDEX('計算B'!$B$3:$B$47,MATCH(126,'計算B'!$C$3:$C$47,0))),"")))</f>
        <v/>
      </c>
      <c r="I11" s="23">
        <f>IF('計算A'!EW$4=0,"",IF('調整・決定'!I11&lt;&gt;"",'調整・決定'!I11,IFERROR(INDEX('名簿'!$G$5:$G$49,INDEX('計算B'!$B$3:$B$47,MATCH(150,'計算B'!$C$3:$C$47,0))),"")))</f>
        <v/>
      </c>
      <c r="J11" s="23">
        <f>IF('計算A'!FU$4=0,"",IF('調整・決定'!J11&lt;&gt;"",'調整・決定'!J11,IFERROR(INDEX('名簿'!$G$5:$G$49,INDEX('計算B'!$B$3:$B$47,MATCH(174,'計算B'!$C$3:$C$47,0))),"")))</f>
        <v/>
      </c>
      <c r="K11" s="23">
        <f>IF('計算A'!GS$4=0,"",IF('調整・決定'!K11&lt;&gt;"",'調整・決定'!K11,IFERROR(INDEX('名簿'!$G$5:$G$49,INDEX('計算B'!$B$3:$B$47,MATCH(198,'計算B'!$C$3:$C$47,0))),"")))</f>
        <v/>
      </c>
      <c r="L11" s="23">
        <f>IF('計算A'!HQ$4=0,"",IF('調整・決定'!L11&lt;&gt;"",'調整・決定'!L11,IFERROR(INDEX('名簿'!$G$5:$G$49,INDEX('計算B'!$B$3:$B$47,MATCH(222,'計算B'!$C$3:$C$47,0))),"")))</f>
        <v/>
      </c>
    </row>
    <row r="12" ht="26" customHeight="1">
      <c r="B12" s="42">
        <f>'設定'!$I$17</f>
        <v/>
      </c>
      <c r="C12" s="23">
        <f>IF('計算A'!J$4=0,"",IF('調整・決定'!C12&lt;&gt;"",'調整・決定'!C12,IFERROR(INDEX('名簿'!$G$5:$G$49,INDEX('計算B'!$B$3:$B$47,MATCH(7,'計算B'!$C$3:$C$47,0))),"")))</f>
        <v/>
      </c>
      <c r="D12" s="23">
        <f>IF('計算A'!AH$4=0,"",IF('調整・決定'!D12&lt;&gt;"",'調整・決定'!D12,IFERROR(INDEX('名簿'!$G$5:$G$49,INDEX('計算B'!$B$3:$B$47,MATCH(31,'計算B'!$C$3:$C$47,0))),"")))</f>
        <v/>
      </c>
      <c r="E12" s="23">
        <f>IF('計算A'!BF$4=0,"",IF('調整・決定'!E12&lt;&gt;"",'調整・決定'!E12,IFERROR(INDEX('名簿'!$G$5:$G$49,INDEX('計算B'!$B$3:$B$47,MATCH(55,'計算B'!$C$3:$C$47,0))),"")))</f>
        <v/>
      </c>
      <c r="F12" s="23">
        <f>IF('計算A'!CD$4=0,"",IF('調整・決定'!F12&lt;&gt;"",'調整・決定'!F12,IFERROR(INDEX('名簿'!$G$5:$G$49,INDEX('計算B'!$B$3:$B$47,MATCH(79,'計算B'!$C$3:$C$47,0))),"")))</f>
        <v/>
      </c>
      <c r="G12" s="23">
        <f>IF('計算A'!DB$4=0,"",IF('調整・決定'!G12&lt;&gt;"",'調整・決定'!G12,IFERROR(INDEX('名簿'!$G$5:$G$49,INDEX('計算B'!$B$3:$B$47,MATCH(103,'計算B'!$C$3:$C$47,0))),"")))</f>
        <v/>
      </c>
      <c r="H12" s="23">
        <f>IF('計算A'!DZ$4=0,"",IF('調整・決定'!H12&lt;&gt;"",'調整・決定'!H12,IFERROR(INDEX('名簿'!$G$5:$G$49,INDEX('計算B'!$B$3:$B$47,MATCH(127,'計算B'!$C$3:$C$47,0))),"")))</f>
        <v/>
      </c>
      <c r="I12" s="23">
        <f>IF('計算A'!EX$4=0,"",IF('調整・決定'!I12&lt;&gt;"",'調整・決定'!I12,IFERROR(INDEX('名簿'!$G$5:$G$49,INDEX('計算B'!$B$3:$B$47,MATCH(151,'計算B'!$C$3:$C$47,0))),"")))</f>
        <v/>
      </c>
      <c r="J12" s="23">
        <f>IF('計算A'!FV$4=0,"",IF('調整・決定'!J12&lt;&gt;"",'調整・決定'!J12,IFERROR(INDEX('名簿'!$G$5:$G$49,INDEX('計算B'!$B$3:$B$47,MATCH(175,'計算B'!$C$3:$C$47,0))),"")))</f>
        <v/>
      </c>
      <c r="K12" s="23">
        <f>IF('計算A'!GT$4=0,"",IF('調整・決定'!K12&lt;&gt;"",'調整・決定'!K12,IFERROR(INDEX('名簿'!$G$5:$G$49,INDEX('計算B'!$B$3:$B$47,MATCH(199,'計算B'!$C$3:$C$47,0))),"")))</f>
        <v/>
      </c>
      <c r="L12" s="23">
        <f>IF('計算A'!HR$4=0,"",IF('調整・決定'!L12&lt;&gt;"",'調整・決定'!L12,IFERROR(INDEX('名簿'!$G$5:$G$49,INDEX('計算B'!$B$3:$B$47,MATCH(223,'計算B'!$C$3:$C$47,0))),"")))</f>
        <v/>
      </c>
      <c r="N12" s="65" t="inlineStr">
        <is>
          <t>なるべく空けたい枠を使った</t>
        </is>
      </c>
      <c r="O12" s="66">
        <f>SUM('計算B'!$D$3:$D$47)&amp;" 枠"</f>
        <v/>
      </c>
    </row>
    <row r="13" ht="26" customHeight="1">
      <c r="B13" s="42">
        <f>'設定'!$I$18</f>
        <v/>
      </c>
      <c r="C13" s="23">
        <f>IF('計算A'!K$4=0,"",IF('調整・決定'!C13&lt;&gt;"",'調整・決定'!C13,IFERROR(INDEX('名簿'!$G$5:$G$49,INDEX('計算B'!$B$3:$B$47,MATCH(8,'計算B'!$C$3:$C$47,0))),"")))</f>
        <v/>
      </c>
      <c r="D13" s="23">
        <f>IF('計算A'!AI$4=0,"",IF('調整・決定'!D13&lt;&gt;"",'調整・決定'!D13,IFERROR(INDEX('名簿'!$G$5:$G$49,INDEX('計算B'!$B$3:$B$47,MATCH(32,'計算B'!$C$3:$C$47,0))),"")))</f>
        <v/>
      </c>
      <c r="E13" s="23">
        <f>IF('計算A'!BG$4=0,"",IF('調整・決定'!E13&lt;&gt;"",'調整・決定'!E13,IFERROR(INDEX('名簿'!$G$5:$G$49,INDEX('計算B'!$B$3:$B$47,MATCH(56,'計算B'!$C$3:$C$47,0))),"")))</f>
        <v/>
      </c>
      <c r="F13" s="23">
        <f>IF('計算A'!CE$4=0,"",IF('調整・決定'!F13&lt;&gt;"",'調整・決定'!F13,IFERROR(INDEX('名簿'!$G$5:$G$49,INDEX('計算B'!$B$3:$B$47,MATCH(80,'計算B'!$C$3:$C$47,0))),"")))</f>
        <v/>
      </c>
      <c r="G13" s="23">
        <f>IF('計算A'!DC$4=0,"",IF('調整・決定'!G13&lt;&gt;"",'調整・決定'!G13,IFERROR(INDEX('名簿'!$G$5:$G$49,INDEX('計算B'!$B$3:$B$47,MATCH(104,'計算B'!$C$3:$C$47,0))),"")))</f>
        <v/>
      </c>
      <c r="H13" s="23">
        <f>IF('計算A'!EA$4=0,"",IF('調整・決定'!H13&lt;&gt;"",'調整・決定'!H13,IFERROR(INDEX('名簿'!$G$5:$G$49,INDEX('計算B'!$B$3:$B$47,MATCH(128,'計算B'!$C$3:$C$47,0))),"")))</f>
        <v/>
      </c>
      <c r="I13" s="23">
        <f>IF('計算A'!EY$4=0,"",IF('調整・決定'!I13&lt;&gt;"",'調整・決定'!I13,IFERROR(INDEX('名簿'!$G$5:$G$49,INDEX('計算B'!$B$3:$B$47,MATCH(152,'計算B'!$C$3:$C$47,0))),"")))</f>
        <v/>
      </c>
      <c r="J13" s="23">
        <f>IF('計算A'!FW$4=0,"",IF('調整・決定'!J13&lt;&gt;"",'調整・決定'!J13,IFERROR(INDEX('名簿'!$G$5:$G$49,INDEX('計算B'!$B$3:$B$47,MATCH(176,'計算B'!$C$3:$C$47,0))),"")))</f>
        <v/>
      </c>
      <c r="K13" s="23">
        <f>IF('計算A'!GU$4=0,"",IF('調整・決定'!K13&lt;&gt;"",'調整・決定'!K13,IFERROR(INDEX('名簿'!$G$5:$G$49,INDEX('計算B'!$B$3:$B$47,MATCH(200,'計算B'!$C$3:$C$47,0))),"")))</f>
        <v/>
      </c>
      <c r="L13" s="23">
        <f>IF('計算A'!HS$4=0,"",IF('調整・決定'!L13&lt;&gt;"",'調整・決定'!L13,IFERROR(INDEX('名簿'!$G$5:$G$49,INDEX('計算B'!$B$3:$B$47,MATCH(224,'計算B'!$C$3:$C$47,0))),"")))</f>
        <v/>
      </c>
    </row>
    <row r="14" ht="26" customHeight="1">
      <c r="B14" s="42">
        <f>'設定'!$I$19</f>
        <v/>
      </c>
      <c r="C14" s="23">
        <f>IF('計算A'!L$4=0,"",IF('調整・決定'!C14&lt;&gt;"",'調整・決定'!C14,IFERROR(INDEX('名簿'!$G$5:$G$49,INDEX('計算B'!$B$3:$B$47,MATCH(9,'計算B'!$C$3:$C$47,0))),"")))</f>
        <v/>
      </c>
      <c r="D14" s="23">
        <f>IF('計算A'!AJ$4=0,"",IF('調整・決定'!D14&lt;&gt;"",'調整・決定'!D14,IFERROR(INDEX('名簿'!$G$5:$G$49,INDEX('計算B'!$B$3:$B$47,MATCH(33,'計算B'!$C$3:$C$47,0))),"")))</f>
        <v/>
      </c>
      <c r="E14" s="23">
        <f>IF('計算A'!BH$4=0,"",IF('調整・決定'!E14&lt;&gt;"",'調整・決定'!E14,IFERROR(INDEX('名簿'!$G$5:$G$49,INDEX('計算B'!$B$3:$B$47,MATCH(57,'計算B'!$C$3:$C$47,0))),"")))</f>
        <v/>
      </c>
      <c r="F14" s="23">
        <f>IF('計算A'!CF$4=0,"",IF('調整・決定'!F14&lt;&gt;"",'調整・決定'!F14,IFERROR(INDEX('名簿'!$G$5:$G$49,INDEX('計算B'!$B$3:$B$47,MATCH(81,'計算B'!$C$3:$C$47,0))),"")))</f>
        <v/>
      </c>
      <c r="G14" s="23">
        <f>IF('計算A'!DD$4=0,"",IF('調整・決定'!G14&lt;&gt;"",'調整・決定'!G14,IFERROR(INDEX('名簿'!$G$5:$G$49,INDEX('計算B'!$B$3:$B$47,MATCH(105,'計算B'!$C$3:$C$47,0))),"")))</f>
        <v/>
      </c>
      <c r="H14" s="23">
        <f>IF('計算A'!EB$4=0,"",IF('調整・決定'!H14&lt;&gt;"",'調整・決定'!H14,IFERROR(INDEX('名簿'!$G$5:$G$49,INDEX('計算B'!$B$3:$B$47,MATCH(129,'計算B'!$C$3:$C$47,0))),"")))</f>
        <v/>
      </c>
      <c r="I14" s="23">
        <f>IF('計算A'!EZ$4=0,"",IF('調整・決定'!I14&lt;&gt;"",'調整・決定'!I14,IFERROR(INDEX('名簿'!$G$5:$G$49,INDEX('計算B'!$B$3:$B$47,MATCH(153,'計算B'!$C$3:$C$47,0))),"")))</f>
        <v/>
      </c>
      <c r="J14" s="23">
        <f>IF('計算A'!FX$4=0,"",IF('調整・決定'!J14&lt;&gt;"",'調整・決定'!J14,IFERROR(INDEX('名簿'!$G$5:$G$49,INDEX('計算B'!$B$3:$B$47,MATCH(177,'計算B'!$C$3:$C$47,0))),"")))</f>
        <v/>
      </c>
      <c r="K14" s="23">
        <f>IF('計算A'!GV$4=0,"",IF('調整・決定'!K14&lt;&gt;"",'調整・決定'!K14,IFERROR(INDEX('名簿'!$G$5:$G$49,INDEX('計算B'!$B$3:$B$47,MATCH(201,'計算B'!$C$3:$C$47,0))),"")))</f>
        <v/>
      </c>
      <c r="L14" s="23">
        <f>IF('計算A'!HT$4=0,"",IF('調整・決定'!L14&lt;&gt;"",'調整・決定'!L14,IFERROR(INDEX('名簿'!$G$5:$G$49,INDEX('計算B'!$B$3:$B$47,MATCH(225,'計算B'!$C$3:$C$47,0))),"")))</f>
        <v/>
      </c>
    </row>
    <row r="15" ht="26" customHeight="1">
      <c r="B15" s="42">
        <f>'設定'!$I$20</f>
        <v/>
      </c>
      <c r="C15" s="23">
        <f>IF('計算A'!M$4=0,"",IF('調整・決定'!C15&lt;&gt;"",'調整・決定'!C15,IFERROR(INDEX('名簿'!$G$5:$G$49,INDEX('計算B'!$B$3:$B$47,MATCH(10,'計算B'!$C$3:$C$47,0))),"")))</f>
        <v/>
      </c>
      <c r="D15" s="23">
        <f>IF('計算A'!AK$4=0,"",IF('調整・決定'!D15&lt;&gt;"",'調整・決定'!D15,IFERROR(INDEX('名簿'!$G$5:$G$49,INDEX('計算B'!$B$3:$B$47,MATCH(34,'計算B'!$C$3:$C$47,0))),"")))</f>
        <v/>
      </c>
      <c r="E15" s="23">
        <f>IF('計算A'!BI$4=0,"",IF('調整・決定'!E15&lt;&gt;"",'調整・決定'!E15,IFERROR(INDEX('名簿'!$G$5:$G$49,INDEX('計算B'!$B$3:$B$47,MATCH(58,'計算B'!$C$3:$C$47,0))),"")))</f>
        <v/>
      </c>
      <c r="F15" s="23">
        <f>IF('計算A'!CG$4=0,"",IF('調整・決定'!F15&lt;&gt;"",'調整・決定'!F15,IFERROR(INDEX('名簿'!$G$5:$G$49,INDEX('計算B'!$B$3:$B$47,MATCH(82,'計算B'!$C$3:$C$47,0))),"")))</f>
        <v/>
      </c>
      <c r="G15" s="23">
        <f>IF('計算A'!DE$4=0,"",IF('調整・決定'!G15&lt;&gt;"",'調整・決定'!G15,IFERROR(INDEX('名簿'!$G$5:$G$49,INDEX('計算B'!$B$3:$B$47,MATCH(106,'計算B'!$C$3:$C$47,0))),"")))</f>
        <v/>
      </c>
      <c r="H15" s="23">
        <f>IF('計算A'!EC$4=0,"",IF('調整・決定'!H15&lt;&gt;"",'調整・決定'!H15,IFERROR(INDEX('名簿'!$G$5:$G$49,INDEX('計算B'!$B$3:$B$47,MATCH(130,'計算B'!$C$3:$C$47,0))),"")))</f>
        <v/>
      </c>
      <c r="I15" s="23">
        <f>IF('計算A'!FA$4=0,"",IF('調整・決定'!I15&lt;&gt;"",'調整・決定'!I15,IFERROR(INDEX('名簿'!$G$5:$G$49,INDEX('計算B'!$B$3:$B$47,MATCH(154,'計算B'!$C$3:$C$47,0))),"")))</f>
        <v/>
      </c>
      <c r="J15" s="23">
        <f>IF('計算A'!FY$4=0,"",IF('調整・決定'!J15&lt;&gt;"",'調整・決定'!J15,IFERROR(INDEX('名簿'!$G$5:$G$49,INDEX('計算B'!$B$3:$B$47,MATCH(178,'計算B'!$C$3:$C$47,0))),"")))</f>
        <v/>
      </c>
      <c r="K15" s="23">
        <f>IF('計算A'!GW$4=0,"",IF('調整・決定'!K15&lt;&gt;"",'調整・決定'!K15,IFERROR(INDEX('名簿'!$G$5:$G$49,INDEX('計算B'!$B$3:$B$47,MATCH(202,'計算B'!$C$3:$C$47,0))),"")))</f>
        <v/>
      </c>
      <c r="L15" s="23">
        <f>IF('計算A'!HU$4=0,"",IF('調整・決定'!L15&lt;&gt;"",'調整・決定'!L15,IFERROR(INDEX('名簿'!$G$5:$G$49,INDEX('計算B'!$B$3:$B$47,MATCH(226,'計算B'!$C$3:$C$47,0))),"")))</f>
        <v/>
      </c>
    </row>
    <row r="16" ht="26" customHeight="1">
      <c r="B16" s="42">
        <f>'設定'!$I$21</f>
        <v/>
      </c>
      <c r="C16" s="23">
        <f>IF('計算A'!N$4=0,"",IF('調整・決定'!C16&lt;&gt;"",'調整・決定'!C16,IFERROR(INDEX('名簿'!$G$5:$G$49,INDEX('計算B'!$B$3:$B$47,MATCH(11,'計算B'!$C$3:$C$47,0))),"")))</f>
        <v/>
      </c>
      <c r="D16" s="23">
        <f>IF('計算A'!AL$4=0,"",IF('調整・決定'!D16&lt;&gt;"",'調整・決定'!D16,IFERROR(INDEX('名簿'!$G$5:$G$49,INDEX('計算B'!$B$3:$B$47,MATCH(35,'計算B'!$C$3:$C$47,0))),"")))</f>
        <v/>
      </c>
      <c r="E16" s="23">
        <f>IF('計算A'!BJ$4=0,"",IF('調整・決定'!E16&lt;&gt;"",'調整・決定'!E16,IFERROR(INDEX('名簿'!$G$5:$G$49,INDEX('計算B'!$B$3:$B$47,MATCH(59,'計算B'!$C$3:$C$47,0))),"")))</f>
        <v/>
      </c>
      <c r="F16" s="23">
        <f>IF('計算A'!CH$4=0,"",IF('調整・決定'!F16&lt;&gt;"",'調整・決定'!F16,IFERROR(INDEX('名簿'!$G$5:$G$49,INDEX('計算B'!$B$3:$B$47,MATCH(83,'計算B'!$C$3:$C$47,0))),"")))</f>
        <v/>
      </c>
      <c r="G16" s="23">
        <f>IF('計算A'!DF$4=0,"",IF('調整・決定'!G16&lt;&gt;"",'調整・決定'!G16,IFERROR(INDEX('名簿'!$G$5:$G$49,INDEX('計算B'!$B$3:$B$47,MATCH(107,'計算B'!$C$3:$C$47,0))),"")))</f>
        <v/>
      </c>
      <c r="H16" s="23">
        <f>IF('計算A'!ED$4=0,"",IF('調整・決定'!H16&lt;&gt;"",'調整・決定'!H16,IFERROR(INDEX('名簿'!$G$5:$G$49,INDEX('計算B'!$B$3:$B$47,MATCH(131,'計算B'!$C$3:$C$47,0))),"")))</f>
        <v/>
      </c>
      <c r="I16" s="23">
        <f>IF('計算A'!FB$4=0,"",IF('調整・決定'!I16&lt;&gt;"",'調整・決定'!I16,IFERROR(INDEX('名簿'!$G$5:$G$49,INDEX('計算B'!$B$3:$B$47,MATCH(155,'計算B'!$C$3:$C$47,0))),"")))</f>
        <v/>
      </c>
      <c r="J16" s="23">
        <f>IF('計算A'!FZ$4=0,"",IF('調整・決定'!J16&lt;&gt;"",'調整・決定'!J16,IFERROR(INDEX('名簿'!$G$5:$G$49,INDEX('計算B'!$B$3:$B$47,MATCH(179,'計算B'!$C$3:$C$47,0))),"")))</f>
        <v/>
      </c>
      <c r="K16" s="23">
        <f>IF('計算A'!GX$4=0,"",IF('調整・決定'!K16&lt;&gt;"",'調整・決定'!K16,IFERROR(INDEX('名簿'!$G$5:$G$49,INDEX('計算B'!$B$3:$B$47,MATCH(203,'計算B'!$C$3:$C$47,0))),"")))</f>
        <v/>
      </c>
      <c r="L16" s="23">
        <f>IF('計算A'!HV$4=0,"",IF('調整・決定'!L16&lt;&gt;"",'調整・決定'!L16,IFERROR(INDEX('名簿'!$G$5:$G$49,INDEX('計算B'!$B$3:$B$47,MATCH(227,'計算B'!$C$3:$C$47,0))),"")))</f>
        <v/>
      </c>
    </row>
    <row r="17" ht="26" customHeight="1">
      <c r="B17" s="42">
        <f>'設定'!$I$22</f>
        <v/>
      </c>
      <c r="C17" s="23">
        <f>IF('計算A'!O$4=0,"",IF('調整・決定'!C17&lt;&gt;"",'調整・決定'!C17,IFERROR(INDEX('名簿'!$G$5:$G$49,INDEX('計算B'!$B$3:$B$47,MATCH(12,'計算B'!$C$3:$C$47,0))),"")))</f>
        <v/>
      </c>
      <c r="D17" s="23">
        <f>IF('計算A'!AM$4=0,"",IF('調整・決定'!D17&lt;&gt;"",'調整・決定'!D17,IFERROR(INDEX('名簿'!$G$5:$G$49,INDEX('計算B'!$B$3:$B$47,MATCH(36,'計算B'!$C$3:$C$47,0))),"")))</f>
        <v/>
      </c>
      <c r="E17" s="23">
        <f>IF('計算A'!BK$4=0,"",IF('調整・決定'!E17&lt;&gt;"",'調整・決定'!E17,IFERROR(INDEX('名簿'!$G$5:$G$49,INDEX('計算B'!$B$3:$B$47,MATCH(60,'計算B'!$C$3:$C$47,0))),"")))</f>
        <v/>
      </c>
      <c r="F17" s="23">
        <f>IF('計算A'!CI$4=0,"",IF('調整・決定'!F17&lt;&gt;"",'調整・決定'!F17,IFERROR(INDEX('名簿'!$G$5:$G$49,INDEX('計算B'!$B$3:$B$47,MATCH(84,'計算B'!$C$3:$C$47,0))),"")))</f>
        <v/>
      </c>
      <c r="G17" s="23">
        <f>IF('計算A'!DG$4=0,"",IF('調整・決定'!G17&lt;&gt;"",'調整・決定'!G17,IFERROR(INDEX('名簿'!$G$5:$G$49,INDEX('計算B'!$B$3:$B$47,MATCH(108,'計算B'!$C$3:$C$47,0))),"")))</f>
        <v/>
      </c>
      <c r="H17" s="23">
        <f>IF('計算A'!EE$4=0,"",IF('調整・決定'!H17&lt;&gt;"",'調整・決定'!H17,IFERROR(INDEX('名簿'!$G$5:$G$49,INDEX('計算B'!$B$3:$B$47,MATCH(132,'計算B'!$C$3:$C$47,0))),"")))</f>
        <v/>
      </c>
      <c r="I17" s="23">
        <f>IF('計算A'!FC$4=0,"",IF('調整・決定'!I17&lt;&gt;"",'調整・決定'!I17,IFERROR(INDEX('名簿'!$G$5:$G$49,INDEX('計算B'!$B$3:$B$47,MATCH(156,'計算B'!$C$3:$C$47,0))),"")))</f>
        <v/>
      </c>
      <c r="J17" s="23">
        <f>IF('計算A'!GA$4=0,"",IF('調整・決定'!J17&lt;&gt;"",'調整・決定'!J17,IFERROR(INDEX('名簿'!$G$5:$G$49,INDEX('計算B'!$B$3:$B$47,MATCH(180,'計算B'!$C$3:$C$47,0))),"")))</f>
        <v/>
      </c>
      <c r="K17" s="23">
        <f>IF('計算A'!GY$4=0,"",IF('調整・決定'!K17&lt;&gt;"",'調整・決定'!K17,IFERROR(INDEX('名簿'!$G$5:$G$49,INDEX('計算B'!$B$3:$B$47,MATCH(204,'計算B'!$C$3:$C$47,0))),"")))</f>
        <v/>
      </c>
      <c r="L17" s="23">
        <f>IF('計算A'!HW$4=0,"",IF('調整・決定'!L17&lt;&gt;"",'調整・決定'!L17,IFERROR(INDEX('名簿'!$G$5:$G$49,INDEX('計算B'!$B$3:$B$47,MATCH(228,'計算B'!$C$3:$C$47,0))),"")))</f>
        <v/>
      </c>
    </row>
    <row r="18" ht="26" customHeight="1">
      <c r="B18" s="42">
        <f>'設定'!$I$23</f>
        <v/>
      </c>
      <c r="C18" s="23">
        <f>IF('計算A'!P$4=0,"",IF('調整・決定'!C18&lt;&gt;"",'調整・決定'!C18,IFERROR(INDEX('名簿'!$G$5:$G$49,INDEX('計算B'!$B$3:$B$47,MATCH(13,'計算B'!$C$3:$C$47,0))),"")))</f>
        <v/>
      </c>
      <c r="D18" s="23">
        <f>IF('計算A'!AN$4=0,"",IF('調整・決定'!D18&lt;&gt;"",'調整・決定'!D18,IFERROR(INDEX('名簿'!$G$5:$G$49,INDEX('計算B'!$B$3:$B$47,MATCH(37,'計算B'!$C$3:$C$47,0))),"")))</f>
        <v/>
      </c>
      <c r="E18" s="23">
        <f>IF('計算A'!BL$4=0,"",IF('調整・決定'!E18&lt;&gt;"",'調整・決定'!E18,IFERROR(INDEX('名簿'!$G$5:$G$49,INDEX('計算B'!$B$3:$B$47,MATCH(61,'計算B'!$C$3:$C$47,0))),"")))</f>
        <v/>
      </c>
      <c r="F18" s="23">
        <f>IF('計算A'!CJ$4=0,"",IF('調整・決定'!F18&lt;&gt;"",'調整・決定'!F18,IFERROR(INDEX('名簿'!$G$5:$G$49,INDEX('計算B'!$B$3:$B$47,MATCH(85,'計算B'!$C$3:$C$47,0))),"")))</f>
        <v/>
      </c>
      <c r="G18" s="23">
        <f>IF('計算A'!DH$4=0,"",IF('調整・決定'!G18&lt;&gt;"",'調整・決定'!G18,IFERROR(INDEX('名簿'!$G$5:$G$49,INDEX('計算B'!$B$3:$B$47,MATCH(109,'計算B'!$C$3:$C$47,0))),"")))</f>
        <v/>
      </c>
      <c r="H18" s="23">
        <f>IF('計算A'!EF$4=0,"",IF('調整・決定'!H18&lt;&gt;"",'調整・決定'!H18,IFERROR(INDEX('名簿'!$G$5:$G$49,INDEX('計算B'!$B$3:$B$47,MATCH(133,'計算B'!$C$3:$C$47,0))),"")))</f>
        <v/>
      </c>
      <c r="I18" s="23">
        <f>IF('計算A'!FD$4=0,"",IF('調整・決定'!I18&lt;&gt;"",'調整・決定'!I18,IFERROR(INDEX('名簿'!$G$5:$G$49,INDEX('計算B'!$B$3:$B$47,MATCH(157,'計算B'!$C$3:$C$47,0))),"")))</f>
        <v/>
      </c>
      <c r="J18" s="23">
        <f>IF('計算A'!GB$4=0,"",IF('調整・決定'!J18&lt;&gt;"",'調整・決定'!J18,IFERROR(INDEX('名簿'!$G$5:$G$49,INDEX('計算B'!$B$3:$B$47,MATCH(181,'計算B'!$C$3:$C$47,0))),"")))</f>
        <v/>
      </c>
      <c r="K18" s="23">
        <f>IF('計算A'!GZ$4=0,"",IF('調整・決定'!K18&lt;&gt;"",'調整・決定'!K18,IFERROR(INDEX('名簿'!$G$5:$G$49,INDEX('計算B'!$B$3:$B$47,MATCH(205,'計算B'!$C$3:$C$47,0))),"")))</f>
        <v/>
      </c>
      <c r="L18" s="23">
        <f>IF('計算A'!HX$4=0,"",IF('調整・決定'!L18&lt;&gt;"",'調整・決定'!L18,IFERROR(INDEX('名簿'!$G$5:$G$49,INDEX('計算B'!$B$3:$B$47,MATCH(229,'計算B'!$C$3:$C$47,0))),"")))</f>
        <v/>
      </c>
    </row>
    <row r="19" ht="26" customHeight="1">
      <c r="B19" s="42">
        <f>'設定'!$I$24</f>
        <v/>
      </c>
      <c r="C19" s="23">
        <f>IF('計算A'!Q$4=0,"",IF('調整・決定'!C19&lt;&gt;"",'調整・決定'!C19,IFERROR(INDEX('名簿'!$G$5:$G$49,INDEX('計算B'!$B$3:$B$47,MATCH(14,'計算B'!$C$3:$C$47,0))),"")))</f>
        <v/>
      </c>
      <c r="D19" s="23">
        <f>IF('計算A'!AO$4=0,"",IF('調整・決定'!D19&lt;&gt;"",'調整・決定'!D19,IFERROR(INDEX('名簿'!$G$5:$G$49,INDEX('計算B'!$B$3:$B$47,MATCH(38,'計算B'!$C$3:$C$47,0))),"")))</f>
        <v/>
      </c>
      <c r="E19" s="23">
        <f>IF('計算A'!BM$4=0,"",IF('調整・決定'!E19&lt;&gt;"",'調整・決定'!E19,IFERROR(INDEX('名簿'!$G$5:$G$49,INDEX('計算B'!$B$3:$B$47,MATCH(62,'計算B'!$C$3:$C$47,0))),"")))</f>
        <v/>
      </c>
      <c r="F19" s="23">
        <f>IF('計算A'!CK$4=0,"",IF('調整・決定'!F19&lt;&gt;"",'調整・決定'!F19,IFERROR(INDEX('名簿'!$G$5:$G$49,INDEX('計算B'!$B$3:$B$47,MATCH(86,'計算B'!$C$3:$C$47,0))),"")))</f>
        <v/>
      </c>
      <c r="G19" s="23">
        <f>IF('計算A'!DI$4=0,"",IF('調整・決定'!G19&lt;&gt;"",'調整・決定'!G19,IFERROR(INDEX('名簿'!$G$5:$G$49,INDEX('計算B'!$B$3:$B$47,MATCH(110,'計算B'!$C$3:$C$47,0))),"")))</f>
        <v/>
      </c>
      <c r="H19" s="23">
        <f>IF('計算A'!EG$4=0,"",IF('調整・決定'!H19&lt;&gt;"",'調整・決定'!H19,IFERROR(INDEX('名簿'!$G$5:$G$49,INDEX('計算B'!$B$3:$B$47,MATCH(134,'計算B'!$C$3:$C$47,0))),"")))</f>
        <v/>
      </c>
      <c r="I19" s="23">
        <f>IF('計算A'!FE$4=0,"",IF('調整・決定'!I19&lt;&gt;"",'調整・決定'!I19,IFERROR(INDEX('名簿'!$G$5:$G$49,INDEX('計算B'!$B$3:$B$47,MATCH(158,'計算B'!$C$3:$C$47,0))),"")))</f>
        <v/>
      </c>
      <c r="J19" s="23">
        <f>IF('計算A'!GC$4=0,"",IF('調整・決定'!J19&lt;&gt;"",'調整・決定'!J19,IFERROR(INDEX('名簿'!$G$5:$G$49,INDEX('計算B'!$B$3:$B$47,MATCH(182,'計算B'!$C$3:$C$47,0))),"")))</f>
        <v/>
      </c>
      <c r="K19" s="23">
        <f>IF('計算A'!HA$4=0,"",IF('調整・決定'!K19&lt;&gt;"",'調整・決定'!K19,IFERROR(INDEX('名簿'!$G$5:$G$49,INDEX('計算B'!$B$3:$B$47,MATCH(206,'計算B'!$C$3:$C$47,0))),"")))</f>
        <v/>
      </c>
      <c r="L19" s="23">
        <f>IF('計算A'!HY$4=0,"",IF('調整・決定'!L19&lt;&gt;"",'調整・決定'!L19,IFERROR(INDEX('名簿'!$G$5:$G$49,INDEX('計算B'!$B$3:$B$47,MATCH(230,'計算B'!$C$3:$C$47,0))),"")))</f>
        <v/>
      </c>
    </row>
    <row r="20" ht="26" customHeight="1">
      <c r="B20" s="42">
        <f>'設定'!$I$25</f>
        <v/>
      </c>
      <c r="C20" s="23">
        <f>IF('計算A'!R$4=0,"",IF('調整・決定'!C20&lt;&gt;"",'調整・決定'!C20,IFERROR(INDEX('名簿'!$G$5:$G$49,INDEX('計算B'!$B$3:$B$47,MATCH(15,'計算B'!$C$3:$C$47,0))),"")))</f>
        <v/>
      </c>
      <c r="D20" s="23">
        <f>IF('計算A'!AP$4=0,"",IF('調整・決定'!D20&lt;&gt;"",'調整・決定'!D20,IFERROR(INDEX('名簿'!$G$5:$G$49,INDEX('計算B'!$B$3:$B$47,MATCH(39,'計算B'!$C$3:$C$47,0))),"")))</f>
        <v/>
      </c>
      <c r="E20" s="23">
        <f>IF('計算A'!BN$4=0,"",IF('調整・決定'!E20&lt;&gt;"",'調整・決定'!E20,IFERROR(INDEX('名簿'!$G$5:$G$49,INDEX('計算B'!$B$3:$B$47,MATCH(63,'計算B'!$C$3:$C$47,0))),"")))</f>
        <v/>
      </c>
      <c r="F20" s="23">
        <f>IF('計算A'!CL$4=0,"",IF('調整・決定'!F20&lt;&gt;"",'調整・決定'!F20,IFERROR(INDEX('名簿'!$G$5:$G$49,INDEX('計算B'!$B$3:$B$47,MATCH(87,'計算B'!$C$3:$C$47,0))),"")))</f>
        <v/>
      </c>
      <c r="G20" s="23">
        <f>IF('計算A'!DJ$4=0,"",IF('調整・決定'!G20&lt;&gt;"",'調整・決定'!G20,IFERROR(INDEX('名簿'!$G$5:$G$49,INDEX('計算B'!$B$3:$B$47,MATCH(111,'計算B'!$C$3:$C$47,0))),"")))</f>
        <v/>
      </c>
      <c r="H20" s="23">
        <f>IF('計算A'!EH$4=0,"",IF('調整・決定'!H20&lt;&gt;"",'調整・決定'!H20,IFERROR(INDEX('名簿'!$G$5:$G$49,INDEX('計算B'!$B$3:$B$47,MATCH(135,'計算B'!$C$3:$C$47,0))),"")))</f>
        <v/>
      </c>
      <c r="I20" s="23">
        <f>IF('計算A'!FF$4=0,"",IF('調整・決定'!I20&lt;&gt;"",'調整・決定'!I20,IFERROR(INDEX('名簿'!$G$5:$G$49,INDEX('計算B'!$B$3:$B$47,MATCH(159,'計算B'!$C$3:$C$47,0))),"")))</f>
        <v/>
      </c>
      <c r="J20" s="23">
        <f>IF('計算A'!GD$4=0,"",IF('調整・決定'!J20&lt;&gt;"",'調整・決定'!J20,IFERROR(INDEX('名簿'!$G$5:$G$49,INDEX('計算B'!$B$3:$B$47,MATCH(183,'計算B'!$C$3:$C$47,0))),"")))</f>
        <v/>
      </c>
      <c r="K20" s="23">
        <f>IF('計算A'!HB$4=0,"",IF('調整・決定'!K20&lt;&gt;"",'調整・決定'!K20,IFERROR(INDEX('名簿'!$G$5:$G$49,INDEX('計算B'!$B$3:$B$47,MATCH(207,'計算B'!$C$3:$C$47,0))),"")))</f>
        <v/>
      </c>
      <c r="L20" s="23">
        <f>IF('計算A'!HZ$4=0,"",IF('調整・決定'!L20&lt;&gt;"",'調整・決定'!L20,IFERROR(INDEX('名簿'!$G$5:$G$49,INDEX('計算B'!$B$3:$B$47,MATCH(231,'計算B'!$C$3:$C$47,0))),"")))</f>
        <v/>
      </c>
    </row>
    <row r="21" ht="26" customHeight="1">
      <c r="B21" s="42">
        <f>'設定'!$I$26</f>
        <v/>
      </c>
      <c r="C21" s="23">
        <f>IF('計算A'!S$4=0,"",IF('調整・決定'!C21&lt;&gt;"",'調整・決定'!C21,IFERROR(INDEX('名簿'!$G$5:$G$49,INDEX('計算B'!$B$3:$B$47,MATCH(16,'計算B'!$C$3:$C$47,0))),"")))</f>
        <v/>
      </c>
      <c r="D21" s="23">
        <f>IF('計算A'!AQ$4=0,"",IF('調整・決定'!D21&lt;&gt;"",'調整・決定'!D21,IFERROR(INDEX('名簿'!$G$5:$G$49,INDEX('計算B'!$B$3:$B$47,MATCH(40,'計算B'!$C$3:$C$47,0))),"")))</f>
        <v/>
      </c>
      <c r="E21" s="23">
        <f>IF('計算A'!BO$4=0,"",IF('調整・決定'!E21&lt;&gt;"",'調整・決定'!E21,IFERROR(INDEX('名簿'!$G$5:$G$49,INDEX('計算B'!$B$3:$B$47,MATCH(64,'計算B'!$C$3:$C$47,0))),"")))</f>
        <v/>
      </c>
      <c r="F21" s="23">
        <f>IF('計算A'!CM$4=0,"",IF('調整・決定'!F21&lt;&gt;"",'調整・決定'!F21,IFERROR(INDEX('名簿'!$G$5:$G$49,INDEX('計算B'!$B$3:$B$47,MATCH(88,'計算B'!$C$3:$C$47,0))),"")))</f>
        <v/>
      </c>
      <c r="G21" s="23">
        <f>IF('計算A'!DK$4=0,"",IF('調整・決定'!G21&lt;&gt;"",'調整・決定'!G21,IFERROR(INDEX('名簿'!$G$5:$G$49,INDEX('計算B'!$B$3:$B$47,MATCH(112,'計算B'!$C$3:$C$47,0))),"")))</f>
        <v/>
      </c>
      <c r="H21" s="23">
        <f>IF('計算A'!EI$4=0,"",IF('調整・決定'!H21&lt;&gt;"",'調整・決定'!H21,IFERROR(INDEX('名簿'!$G$5:$G$49,INDEX('計算B'!$B$3:$B$47,MATCH(136,'計算B'!$C$3:$C$47,0))),"")))</f>
        <v/>
      </c>
      <c r="I21" s="23">
        <f>IF('計算A'!FG$4=0,"",IF('調整・決定'!I21&lt;&gt;"",'調整・決定'!I21,IFERROR(INDEX('名簿'!$G$5:$G$49,INDEX('計算B'!$B$3:$B$47,MATCH(160,'計算B'!$C$3:$C$47,0))),"")))</f>
        <v/>
      </c>
      <c r="J21" s="23">
        <f>IF('計算A'!GE$4=0,"",IF('調整・決定'!J21&lt;&gt;"",'調整・決定'!J21,IFERROR(INDEX('名簿'!$G$5:$G$49,INDEX('計算B'!$B$3:$B$47,MATCH(184,'計算B'!$C$3:$C$47,0))),"")))</f>
        <v/>
      </c>
      <c r="K21" s="23">
        <f>IF('計算A'!HC$4=0,"",IF('調整・決定'!K21&lt;&gt;"",'調整・決定'!K21,IFERROR(INDEX('名簿'!$G$5:$G$49,INDEX('計算B'!$B$3:$B$47,MATCH(208,'計算B'!$C$3:$C$47,0))),"")))</f>
        <v/>
      </c>
      <c r="L21" s="23">
        <f>IF('計算A'!IA$4=0,"",IF('調整・決定'!L21&lt;&gt;"",'調整・決定'!L21,IFERROR(INDEX('名簿'!$G$5:$G$49,INDEX('計算B'!$B$3:$B$47,MATCH(232,'計算B'!$C$3:$C$47,0))),"")))</f>
        <v/>
      </c>
    </row>
    <row r="22" ht="26" customHeight="1">
      <c r="B22" s="42">
        <f>'設定'!$I$27</f>
        <v/>
      </c>
      <c r="C22" s="23">
        <f>IF('計算A'!T$4=0,"",IF('調整・決定'!C22&lt;&gt;"",'調整・決定'!C22,IFERROR(INDEX('名簿'!$G$5:$G$49,INDEX('計算B'!$B$3:$B$47,MATCH(17,'計算B'!$C$3:$C$47,0))),"")))</f>
        <v/>
      </c>
      <c r="D22" s="23">
        <f>IF('計算A'!AR$4=0,"",IF('調整・決定'!D22&lt;&gt;"",'調整・決定'!D22,IFERROR(INDEX('名簿'!$G$5:$G$49,INDEX('計算B'!$B$3:$B$47,MATCH(41,'計算B'!$C$3:$C$47,0))),"")))</f>
        <v/>
      </c>
      <c r="E22" s="23">
        <f>IF('計算A'!BP$4=0,"",IF('調整・決定'!E22&lt;&gt;"",'調整・決定'!E22,IFERROR(INDEX('名簿'!$G$5:$G$49,INDEX('計算B'!$B$3:$B$47,MATCH(65,'計算B'!$C$3:$C$47,0))),"")))</f>
        <v/>
      </c>
      <c r="F22" s="23">
        <f>IF('計算A'!CN$4=0,"",IF('調整・決定'!F22&lt;&gt;"",'調整・決定'!F22,IFERROR(INDEX('名簿'!$G$5:$G$49,INDEX('計算B'!$B$3:$B$47,MATCH(89,'計算B'!$C$3:$C$47,0))),"")))</f>
        <v/>
      </c>
      <c r="G22" s="23">
        <f>IF('計算A'!DL$4=0,"",IF('調整・決定'!G22&lt;&gt;"",'調整・決定'!G22,IFERROR(INDEX('名簿'!$G$5:$G$49,INDEX('計算B'!$B$3:$B$47,MATCH(113,'計算B'!$C$3:$C$47,0))),"")))</f>
        <v/>
      </c>
      <c r="H22" s="23">
        <f>IF('計算A'!EJ$4=0,"",IF('調整・決定'!H22&lt;&gt;"",'調整・決定'!H22,IFERROR(INDEX('名簿'!$G$5:$G$49,INDEX('計算B'!$B$3:$B$47,MATCH(137,'計算B'!$C$3:$C$47,0))),"")))</f>
        <v/>
      </c>
      <c r="I22" s="23">
        <f>IF('計算A'!FH$4=0,"",IF('調整・決定'!I22&lt;&gt;"",'調整・決定'!I22,IFERROR(INDEX('名簿'!$G$5:$G$49,INDEX('計算B'!$B$3:$B$47,MATCH(161,'計算B'!$C$3:$C$47,0))),"")))</f>
        <v/>
      </c>
      <c r="J22" s="23">
        <f>IF('計算A'!GF$4=0,"",IF('調整・決定'!J22&lt;&gt;"",'調整・決定'!J22,IFERROR(INDEX('名簿'!$G$5:$G$49,INDEX('計算B'!$B$3:$B$47,MATCH(185,'計算B'!$C$3:$C$47,0))),"")))</f>
        <v/>
      </c>
      <c r="K22" s="23">
        <f>IF('計算A'!HD$4=0,"",IF('調整・決定'!K22&lt;&gt;"",'調整・決定'!K22,IFERROR(INDEX('名簿'!$G$5:$G$49,INDEX('計算B'!$B$3:$B$47,MATCH(209,'計算B'!$C$3:$C$47,0))),"")))</f>
        <v/>
      </c>
      <c r="L22" s="23">
        <f>IF('計算A'!IB$4=0,"",IF('調整・決定'!L22&lt;&gt;"",'調整・決定'!L22,IFERROR(INDEX('名簿'!$G$5:$G$49,INDEX('計算B'!$B$3:$B$47,MATCH(233,'計算B'!$C$3:$C$47,0))),"")))</f>
        <v/>
      </c>
    </row>
    <row r="23" ht="26" customHeight="1">
      <c r="B23" s="42">
        <f>'設定'!$I$28</f>
        <v/>
      </c>
      <c r="C23" s="23">
        <f>IF('計算A'!U$4=0,"",IF('調整・決定'!C23&lt;&gt;"",'調整・決定'!C23,IFERROR(INDEX('名簿'!$G$5:$G$49,INDEX('計算B'!$B$3:$B$47,MATCH(18,'計算B'!$C$3:$C$47,0))),"")))</f>
        <v/>
      </c>
      <c r="D23" s="23">
        <f>IF('計算A'!AS$4=0,"",IF('調整・決定'!D23&lt;&gt;"",'調整・決定'!D23,IFERROR(INDEX('名簿'!$G$5:$G$49,INDEX('計算B'!$B$3:$B$47,MATCH(42,'計算B'!$C$3:$C$47,0))),"")))</f>
        <v/>
      </c>
      <c r="E23" s="23">
        <f>IF('計算A'!BQ$4=0,"",IF('調整・決定'!E23&lt;&gt;"",'調整・決定'!E23,IFERROR(INDEX('名簿'!$G$5:$G$49,INDEX('計算B'!$B$3:$B$47,MATCH(66,'計算B'!$C$3:$C$47,0))),"")))</f>
        <v/>
      </c>
      <c r="F23" s="23">
        <f>IF('計算A'!CO$4=0,"",IF('調整・決定'!F23&lt;&gt;"",'調整・決定'!F23,IFERROR(INDEX('名簿'!$G$5:$G$49,INDEX('計算B'!$B$3:$B$47,MATCH(90,'計算B'!$C$3:$C$47,0))),"")))</f>
        <v/>
      </c>
      <c r="G23" s="23">
        <f>IF('計算A'!DM$4=0,"",IF('調整・決定'!G23&lt;&gt;"",'調整・決定'!G23,IFERROR(INDEX('名簿'!$G$5:$G$49,INDEX('計算B'!$B$3:$B$47,MATCH(114,'計算B'!$C$3:$C$47,0))),"")))</f>
        <v/>
      </c>
      <c r="H23" s="23">
        <f>IF('計算A'!EK$4=0,"",IF('調整・決定'!H23&lt;&gt;"",'調整・決定'!H23,IFERROR(INDEX('名簿'!$G$5:$G$49,INDEX('計算B'!$B$3:$B$47,MATCH(138,'計算B'!$C$3:$C$47,0))),"")))</f>
        <v/>
      </c>
      <c r="I23" s="23">
        <f>IF('計算A'!FI$4=0,"",IF('調整・決定'!I23&lt;&gt;"",'調整・決定'!I23,IFERROR(INDEX('名簿'!$G$5:$G$49,INDEX('計算B'!$B$3:$B$47,MATCH(162,'計算B'!$C$3:$C$47,0))),"")))</f>
        <v/>
      </c>
      <c r="J23" s="23">
        <f>IF('計算A'!GG$4=0,"",IF('調整・決定'!J23&lt;&gt;"",'調整・決定'!J23,IFERROR(INDEX('名簿'!$G$5:$G$49,INDEX('計算B'!$B$3:$B$47,MATCH(186,'計算B'!$C$3:$C$47,0))),"")))</f>
        <v/>
      </c>
      <c r="K23" s="23">
        <f>IF('計算A'!HE$4=0,"",IF('調整・決定'!K23&lt;&gt;"",'調整・決定'!K23,IFERROR(INDEX('名簿'!$G$5:$G$49,INDEX('計算B'!$B$3:$B$47,MATCH(210,'計算B'!$C$3:$C$47,0))),"")))</f>
        <v/>
      </c>
      <c r="L23" s="23">
        <f>IF('計算A'!IC$4=0,"",IF('調整・決定'!L23&lt;&gt;"",'調整・決定'!L23,IFERROR(INDEX('名簿'!$G$5:$G$49,INDEX('計算B'!$B$3:$B$47,MATCH(234,'計算B'!$C$3:$C$47,0))),"")))</f>
        <v/>
      </c>
    </row>
    <row r="24" ht="26" customHeight="1">
      <c r="B24" s="42">
        <f>'設定'!$I$29</f>
        <v/>
      </c>
      <c r="C24" s="23">
        <f>IF('計算A'!V$4=0,"",IF('調整・決定'!C24&lt;&gt;"",'調整・決定'!C24,IFERROR(INDEX('名簿'!$G$5:$G$49,INDEX('計算B'!$B$3:$B$47,MATCH(19,'計算B'!$C$3:$C$47,0))),"")))</f>
        <v/>
      </c>
      <c r="D24" s="23">
        <f>IF('計算A'!AT$4=0,"",IF('調整・決定'!D24&lt;&gt;"",'調整・決定'!D24,IFERROR(INDEX('名簿'!$G$5:$G$49,INDEX('計算B'!$B$3:$B$47,MATCH(43,'計算B'!$C$3:$C$47,0))),"")))</f>
        <v/>
      </c>
      <c r="E24" s="23">
        <f>IF('計算A'!BR$4=0,"",IF('調整・決定'!E24&lt;&gt;"",'調整・決定'!E24,IFERROR(INDEX('名簿'!$G$5:$G$49,INDEX('計算B'!$B$3:$B$47,MATCH(67,'計算B'!$C$3:$C$47,0))),"")))</f>
        <v/>
      </c>
      <c r="F24" s="23">
        <f>IF('計算A'!CP$4=0,"",IF('調整・決定'!F24&lt;&gt;"",'調整・決定'!F24,IFERROR(INDEX('名簿'!$G$5:$G$49,INDEX('計算B'!$B$3:$B$47,MATCH(91,'計算B'!$C$3:$C$47,0))),"")))</f>
        <v/>
      </c>
      <c r="G24" s="23">
        <f>IF('計算A'!DN$4=0,"",IF('調整・決定'!G24&lt;&gt;"",'調整・決定'!G24,IFERROR(INDEX('名簿'!$G$5:$G$49,INDEX('計算B'!$B$3:$B$47,MATCH(115,'計算B'!$C$3:$C$47,0))),"")))</f>
        <v/>
      </c>
      <c r="H24" s="23">
        <f>IF('計算A'!EL$4=0,"",IF('調整・決定'!H24&lt;&gt;"",'調整・決定'!H24,IFERROR(INDEX('名簿'!$G$5:$G$49,INDEX('計算B'!$B$3:$B$47,MATCH(139,'計算B'!$C$3:$C$47,0))),"")))</f>
        <v/>
      </c>
      <c r="I24" s="23">
        <f>IF('計算A'!FJ$4=0,"",IF('調整・決定'!I24&lt;&gt;"",'調整・決定'!I24,IFERROR(INDEX('名簿'!$G$5:$G$49,INDEX('計算B'!$B$3:$B$47,MATCH(163,'計算B'!$C$3:$C$47,0))),"")))</f>
        <v/>
      </c>
      <c r="J24" s="23">
        <f>IF('計算A'!GH$4=0,"",IF('調整・決定'!J24&lt;&gt;"",'調整・決定'!J24,IFERROR(INDEX('名簿'!$G$5:$G$49,INDEX('計算B'!$B$3:$B$47,MATCH(187,'計算B'!$C$3:$C$47,0))),"")))</f>
        <v/>
      </c>
      <c r="K24" s="23">
        <f>IF('計算A'!HF$4=0,"",IF('調整・決定'!K24&lt;&gt;"",'調整・決定'!K24,IFERROR(INDEX('名簿'!$G$5:$G$49,INDEX('計算B'!$B$3:$B$47,MATCH(211,'計算B'!$C$3:$C$47,0))),"")))</f>
        <v/>
      </c>
      <c r="L24" s="23">
        <f>IF('計算A'!ID$4=0,"",IF('調整・決定'!L24&lt;&gt;"",'調整・決定'!L24,IFERROR(INDEX('名簿'!$G$5:$G$49,INDEX('計算B'!$B$3:$B$47,MATCH(235,'計算B'!$C$3:$C$47,0))),"")))</f>
        <v/>
      </c>
    </row>
    <row r="25" ht="26" customHeight="1">
      <c r="B25" s="42">
        <f>'設定'!$I$30</f>
        <v/>
      </c>
      <c r="C25" s="23">
        <f>IF('計算A'!W$4=0,"",IF('調整・決定'!C25&lt;&gt;"",'調整・決定'!C25,IFERROR(INDEX('名簿'!$G$5:$G$49,INDEX('計算B'!$B$3:$B$47,MATCH(20,'計算B'!$C$3:$C$47,0))),"")))</f>
        <v/>
      </c>
      <c r="D25" s="23">
        <f>IF('計算A'!AU$4=0,"",IF('調整・決定'!D25&lt;&gt;"",'調整・決定'!D25,IFERROR(INDEX('名簿'!$G$5:$G$49,INDEX('計算B'!$B$3:$B$47,MATCH(44,'計算B'!$C$3:$C$47,0))),"")))</f>
        <v/>
      </c>
      <c r="E25" s="23">
        <f>IF('計算A'!BS$4=0,"",IF('調整・決定'!E25&lt;&gt;"",'調整・決定'!E25,IFERROR(INDEX('名簿'!$G$5:$G$49,INDEX('計算B'!$B$3:$B$47,MATCH(68,'計算B'!$C$3:$C$47,0))),"")))</f>
        <v/>
      </c>
      <c r="F25" s="23">
        <f>IF('計算A'!CQ$4=0,"",IF('調整・決定'!F25&lt;&gt;"",'調整・決定'!F25,IFERROR(INDEX('名簿'!$G$5:$G$49,INDEX('計算B'!$B$3:$B$47,MATCH(92,'計算B'!$C$3:$C$47,0))),"")))</f>
        <v/>
      </c>
      <c r="G25" s="23">
        <f>IF('計算A'!DO$4=0,"",IF('調整・決定'!G25&lt;&gt;"",'調整・決定'!G25,IFERROR(INDEX('名簿'!$G$5:$G$49,INDEX('計算B'!$B$3:$B$47,MATCH(116,'計算B'!$C$3:$C$47,0))),"")))</f>
        <v/>
      </c>
      <c r="H25" s="23">
        <f>IF('計算A'!EM$4=0,"",IF('調整・決定'!H25&lt;&gt;"",'調整・決定'!H25,IFERROR(INDEX('名簿'!$G$5:$G$49,INDEX('計算B'!$B$3:$B$47,MATCH(140,'計算B'!$C$3:$C$47,0))),"")))</f>
        <v/>
      </c>
      <c r="I25" s="23">
        <f>IF('計算A'!FK$4=0,"",IF('調整・決定'!I25&lt;&gt;"",'調整・決定'!I25,IFERROR(INDEX('名簿'!$G$5:$G$49,INDEX('計算B'!$B$3:$B$47,MATCH(164,'計算B'!$C$3:$C$47,0))),"")))</f>
        <v/>
      </c>
      <c r="J25" s="23">
        <f>IF('計算A'!GI$4=0,"",IF('調整・決定'!J25&lt;&gt;"",'調整・決定'!J25,IFERROR(INDEX('名簿'!$G$5:$G$49,INDEX('計算B'!$B$3:$B$47,MATCH(188,'計算B'!$C$3:$C$47,0))),"")))</f>
        <v/>
      </c>
      <c r="K25" s="23">
        <f>IF('計算A'!HG$4=0,"",IF('調整・決定'!K25&lt;&gt;"",'調整・決定'!K25,IFERROR(INDEX('名簿'!$G$5:$G$49,INDEX('計算B'!$B$3:$B$47,MATCH(212,'計算B'!$C$3:$C$47,0))),"")))</f>
        <v/>
      </c>
      <c r="L25" s="23">
        <f>IF('計算A'!IE$4=0,"",IF('調整・決定'!L25&lt;&gt;"",'調整・決定'!L25,IFERROR(INDEX('名簿'!$G$5:$G$49,INDEX('計算B'!$B$3:$B$47,MATCH(236,'計算B'!$C$3:$C$47,0))),"")))</f>
        <v/>
      </c>
    </row>
    <row r="26" ht="26" customHeight="1">
      <c r="B26" s="42">
        <f>'設定'!$I$31</f>
        <v/>
      </c>
      <c r="C26" s="23">
        <f>IF('計算A'!X$4=0,"",IF('調整・決定'!C26&lt;&gt;"",'調整・決定'!C26,IFERROR(INDEX('名簿'!$G$5:$G$49,INDEX('計算B'!$B$3:$B$47,MATCH(21,'計算B'!$C$3:$C$47,0))),"")))</f>
        <v/>
      </c>
      <c r="D26" s="23">
        <f>IF('計算A'!AV$4=0,"",IF('調整・決定'!D26&lt;&gt;"",'調整・決定'!D26,IFERROR(INDEX('名簿'!$G$5:$G$49,INDEX('計算B'!$B$3:$B$47,MATCH(45,'計算B'!$C$3:$C$47,0))),"")))</f>
        <v/>
      </c>
      <c r="E26" s="23">
        <f>IF('計算A'!BT$4=0,"",IF('調整・決定'!E26&lt;&gt;"",'調整・決定'!E26,IFERROR(INDEX('名簿'!$G$5:$G$49,INDEX('計算B'!$B$3:$B$47,MATCH(69,'計算B'!$C$3:$C$47,0))),"")))</f>
        <v/>
      </c>
      <c r="F26" s="23">
        <f>IF('計算A'!CR$4=0,"",IF('調整・決定'!F26&lt;&gt;"",'調整・決定'!F26,IFERROR(INDEX('名簿'!$G$5:$G$49,INDEX('計算B'!$B$3:$B$47,MATCH(93,'計算B'!$C$3:$C$47,0))),"")))</f>
        <v/>
      </c>
      <c r="G26" s="23">
        <f>IF('計算A'!DP$4=0,"",IF('調整・決定'!G26&lt;&gt;"",'調整・決定'!G26,IFERROR(INDEX('名簿'!$G$5:$G$49,INDEX('計算B'!$B$3:$B$47,MATCH(117,'計算B'!$C$3:$C$47,0))),"")))</f>
        <v/>
      </c>
      <c r="H26" s="23">
        <f>IF('計算A'!EN$4=0,"",IF('調整・決定'!H26&lt;&gt;"",'調整・決定'!H26,IFERROR(INDEX('名簿'!$G$5:$G$49,INDEX('計算B'!$B$3:$B$47,MATCH(141,'計算B'!$C$3:$C$47,0))),"")))</f>
        <v/>
      </c>
      <c r="I26" s="23">
        <f>IF('計算A'!FL$4=0,"",IF('調整・決定'!I26&lt;&gt;"",'調整・決定'!I26,IFERROR(INDEX('名簿'!$G$5:$G$49,INDEX('計算B'!$B$3:$B$47,MATCH(165,'計算B'!$C$3:$C$47,0))),"")))</f>
        <v/>
      </c>
      <c r="J26" s="23">
        <f>IF('計算A'!GJ$4=0,"",IF('調整・決定'!J26&lt;&gt;"",'調整・決定'!J26,IFERROR(INDEX('名簿'!$G$5:$G$49,INDEX('計算B'!$B$3:$B$47,MATCH(189,'計算B'!$C$3:$C$47,0))),"")))</f>
        <v/>
      </c>
      <c r="K26" s="23">
        <f>IF('計算A'!HH$4=0,"",IF('調整・決定'!K26&lt;&gt;"",'調整・決定'!K26,IFERROR(INDEX('名簿'!$G$5:$G$49,INDEX('計算B'!$B$3:$B$47,MATCH(213,'計算B'!$C$3:$C$47,0))),"")))</f>
        <v/>
      </c>
      <c r="L26" s="23">
        <f>IF('計算A'!IF$4=0,"",IF('調整・決定'!L26&lt;&gt;"",'調整・決定'!L26,IFERROR(INDEX('名簿'!$G$5:$G$49,INDEX('計算B'!$B$3:$B$47,MATCH(237,'計算B'!$C$3:$C$47,0))),"")))</f>
        <v/>
      </c>
    </row>
    <row r="27" ht="26" customHeight="1">
      <c r="B27" s="42">
        <f>'設定'!$I$32</f>
        <v/>
      </c>
      <c r="C27" s="23">
        <f>IF('計算A'!Y$4=0,"",IF('調整・決定'!C27&lt;&gt;"",'調整・決定'!C27,IFERROR(INDEX('名簿'!$G$5:$G$49,INDEX('計算B'!$B$3:$B$47,MATCH(22,'計算B'!$C$3:$C$47,0))),"")))</f>
        <v/>
      </c>
      <c r="D27" s="23">
        <f>IF('計算A'!AW$4=0,"",IF('調整・決定'!D27&lt;&gt;"",'調整・決定'!D27,IFERROR(INDEX('名簿'!$G$5:$G$49,INDEX('計算B'!$B$3:$B$47,MATCH(46,'計算B'!$C$3:$C$47,0))),"")))</f>
        <v/>
      </c>
      <c r="E27" s="23">
        <f>IF('計算A'!BU$4=0,"",IF('調整・決定'!E27&lt;&gt;"",'調整・決定'!E27,IFERROR(INDEX('名簿'!$G$5:$G$49,INDEX('計算B'!$B$3:$B$47,MATCH(70,'計算B'!$C$3:$C$47,0))),"")))</f>
        <v/>
      </c>
      <c r="F27" s="23">
        <f>IF('計算A'!CS$4=0,"",IF('調整・決定'!F27&lt;&gt;"",'調整・決定'!F27,IFERROR(INDEX('名簿'!$G$5:$G$49,INDEX('計算B'!$B$3:$B$47,MATCH(94,'計算B'!$C$3:$C$47,0))),"")))</f>
        <v/>
      </c>
      <c r="G27" s="23">
        <f>IF('計算A'!DQ$4=0,"",IF('調整・決定'!G27&lt;&gt;"",'調整・決定'!G27,IFERROR(INDEX('名簿'!$G$5:$G$49,INDEX('計算B'!$B$3:$B$47,MATCH(118,'計算B'!$C$3:$C$47,0))),"")))</f>
        <v/>
      </c>
      <c r="H27" s="23">
        <f>IF('計算A'!EO$4=0,"",IF('調整・決定'!H27&lt;&gt;"",'調整・決定'!H27,IFERROR(INDEX('名簿'!$G$5:$G$49,INDEX('計算B'!$B$3:$B$47,MATCH(142,'計算B'!$C$3:$C$47,0))),"")))</f>
        <v/>
      </c>
      <c r="I27" s="23">
        <f>IF('計算A'!FM$4=0,"",IF('調整・決定'!I27&lt;&gt;"",'調整・決定'!I27,IFERROR(INDEX('名簿'!$G$5:$G$49,INDEX('計算B'!$B$3:$B$47,MATCH(166,'計算B'!$C$3:$C$47,0))),"")))</f>
        <v/>
      </c>
      <c r="J27" s="23">
        <f>IF('計算A'!GK$4=0,"",IF('調整・決定'!J27&lt;&gt;"",'調整・決定'!J27,IFERROR(INDEX('名簿'!$G$5:$G$49,INDEX('計算B'!$B$3:$B$47,MATCH(190,'計算B'!$C$3:$C$47,0))),"")))</f>
        <v/>
      </c>
      <c r="K27" s="23">
        <f>IF('計算A'!HI$4=0,"",IF('調整・決定'!K27&lt;&gt;"",'調整・決定'!K27,IFERROR(INDEX('名簿'!$G$5:$G$49,INDEX('計算B'!$B$3:$B$47,MATCH(214,'計算B'!$C$3:$C$47,0))),"")))</f>
        <v/>
      </c>
      <c r="L27" s="23">
        <f>IF('計算A'!IG$4=0,"",IF('調整・決定'!L27&lt;&gt;"",'調整・決定'!L27,IFERROR(INDEX('名簿'!$G$5:$G$49,INDEX('計算B'!$B$3:$B$47,MATCH(238,'計算B'!$C$3:$C$47,0))),"")))</f>
        <v/>
      </c>
    </row>
    <row r="28" ht="26" customHeight="1">
      <c r="B28" s="42">
        <f>'設定'!$I$33</f>
        <v/>
      </c>
      <c r="C28" s="23">
        <f>IF('計算A'!Z$4=0,"",IF('調整・決定'!C28&lt;&gt;"",'調整・決定'!C28,IFERROR(INDEX('名簿'!$G$5:$G$49,INDEX('計算B'!$B$3:$B$47,MATCH(23,'計算B'!$C$3:$C$47,0))),"")))</f>
        <v/>
      </c>
      <c r="D28" s="23">
        <f>IF('計算A'!AX$4=0,"",IF('調整・決定'!D28&lt;&gt;"",'調整・決定'!D28,IFERROR(INDEX('名簿'!$G$5:$G$49,INDEX('計算B'!$B$3:$B$47,MATCH(47,'計算B'!$C$3:$C$47,0))),"")))</f>
        <v/>
      </c>
      <c r="E28" s="23">
        <f>IF('計算A'!BV$4=0,"",IF('調整・決定'!E28&lt;&gt;"",'調整・決定'!E28,IFERROR(INDEX('名簿'!$G$5:$G$49,INDEX('計算B'!$B$3:$B$47,MATCH(71,'計算B'!$C$3:$C$47,0))),"")))</f>
        <v/>
      </c>
      <c r="F28" s="23">
        <f>IF('計算A'!CT$4=0,"",IF('調整・決定'!F28&lt;&gt;"",'調整・決定'!F28,IFERROR(INDEX('名簿'!$G$5:$G$49,INDEX('計算B'!$B$3:$B$47,MATCH(95,'計算B'!$C$3:$C$47,0))),"")))</f>
        <v/>
      </c>
      <c r="G28" s="23">
        <f>IF('計算A'!DR$4=0,"",IF('調整・決定'!G28&lt;&gt;"",'調整・決定'!G28,IFERROR(INDEX('名簿'!$G$5:$G$49,INDEX('計算B'!$B$3:$B$47,MATCH(119,'計算B'!$C$3:$C$47,0))),"")))</f>
        <v/>
      </c>
      <c r="H28" s="23">
        <f>IF('計算A'!EP$4=0,"",IF('調整・決定'!H28&lt;&gt;"",'調整・決定'!H28,IFERROR(INDEX('名簿'!$G$5:$G$49,INDEX('計算B'!$B$3:$B$47,MATCH(143,'計算B'!$C$3:$C$47,0))),"")))</f>
        <v/>
      </c>
      <c r="I28" s="23">
        <f>IF('計算A'!FN$4=0,"",IF('調整・決定'!I28&lt;&gt;"",'調整・決定'!I28,IFERROR(INDEX('名簿'!$G$5:$G$49,INDEX('計算B'!$B$3:$B$47,MATCH(167,'計算B'!$C$3:$C$47,0))),"")))</f>
        <v/>
      </c>
      <c r="J28" s="23">
        <f>IF('計算A'!GL$4=0,"",IF('調整・決定'!J28&lt;&gt;"",'調整・決定'!J28,IFERROR(INDEX('名簿'!$G$5:$G$49,INDEX('計算B'!$B$3:$B$47,MATCH(191,'計算B'!$C$3:$C$47,0))),"")))</f>
        <v/>
      </c>
      <c r="K28" s="23">
        <f>IF('計算A'!HJ$4=0,"",IF('調整・決定'!K28&lt;&gt;"",'調整・決定'!K28,IFERROR(INDEX('名簿'!$G$5:$G$49,INDEX('計算B'!$B$3:$B$47,MATCH(215,'計算B'!$C$3:$C$47,0))),"")))</f>
        <v/>
      </c>
      <c r="L28" s="23">
        <f>IF('計算A'!IH$4=0,"",IF('調整・決定'!L28&lt;&gt;"",'調整・決定'!L28,IFERROR(INDEX('名簿'!$G$5:$G$49,INDEX('計算B'!$B$3:$B$47,MATCH(239,'計算B'!$C$3:$C$47,0))),"")))</f>
        <v/>
      </c>
    </row>
    <row r="29" ht="26" customHeight="1">
      <c r="B29" s="42">
        <f>'設定'!$I$34</f>
        <v/>
      </c>
      <c r="C29" s="23">
        <f>IF('計算A'!AA$4=0,"",IF('調整・決定'!C29&lt;&gt;"",'調整・決定'!C29,IFERROR(INDEX('名簿'!$G$5:$G$49,INDEX('計算B'!$B$3:$B$47,MATCH(24,'計算B'!$C$3:$C$47,0))),"")))</f>
        <v/>
      </c>
      <c r="D29" s="23">
        <f>IF('計算A'!AY$4=0,"",IF('調整・決定'!D29&lt;&gt;"",'調整・決定'!D29,IFERROR(INDEX('名簿'!$G$5:$G$49,INDEX('計算B'!$B$3:$B$47,MATCH(48,'計算B'!$C$3:$C$47,0))),"")))</f>
        <v/>
      </c>
      <c r="E29" s="23">
        <f>IF('計算A'!BW$4=0,"",IF('調整・決定'!E29&lt;&gt;"",'調整・決定'!E29,IFERROR(INDEX('名簿'!$G$5:$G$49,INDEX('計算B'!$B$3:$B$47,MATCH(72,'計算B'!$C$3:$C$47,0))),"")))</f>
        <v/>
      </c>
      <c r="F29" s="23">
        <f>IF('計算A'!CU$4=0,"",IF('調整・決定'!F29&lt;&gt;"",'調整・決定'!F29,IFERROR(INDEX('名簿'!$G$5:$G$49,INDEX('計算B'!$B$3:$B$47,MATCH(96,'計算B'!$C$3:$C$47,0))),"")))</f>
        <v/>
      </c>
      <c r="G29" s="23">
        <f>IF('計算A'!DS$4=0,"",IF('調整・決定'!G29&lt;&gt;"",'調整・決定'!G29,IFERROR(INDEX('名簿'!$G$5:$G$49,INDEX('計算B'!$B$3:$B$47,MATCH(120,'計算B'!$C$3:$C$47,0))),"")))</f>
        <v/>
      </c>
      <c r="H29" s="23">
        <f>IF('計算A'!EQ$4=0,"",IF('調整・決定'!H29&lt;&gt;"",'調整・決定'!H29,IFERROR(INDEX('名簿'!$G$5:$G$49,INDEX('計算B'!$B$3:$B$47,MATCH(144,'計算B'!$C$3:$C$47,0))),"")))</f>
        <v/>
      </c>
      <c r="I29" s="23">
        <f>IF('計算A'!FO$4=0,"",IF('調整・決定'!I29&lt;&gt;"",'調整・決定'!I29,IFERROR(INDEX('名簿'!$G$5:$G$49,INDEX('計算B'!$B$3:$B$47,MATCH(168,'計算B'!$C$3:$C$47,0))),"")))</f>
        <v/>
      </c>
      <c r="J29" s="23">
        <f>IF('計算A'!GM$4=0,"",IF('調整・決定'!J29&lt;&gt;"",'調整・決定'!J29,IFERROR(INDEX('名簿'!$G$5:$G$49,INDEX('計算B'!$B$3:$B$47,MATCH(192,'計算B'!$C$3:$C$47,0))),"")))</f>
        <v/>
      </c>
      <c r="K29" s="23">
        <f>IF('計算A'!HK$4=0,"",IF('調整・決定'!K29&lt;&gt;"",'調整・決定'!K29,IFERROR(INDEX('名簿'!$G$5:$G$49,INDEX('計算B'!$B$3:$B$47,MATCH(216,'計算B'!$C$3:$C$47,0))),"")))</f>
        <v/>
      </c>
      <c r="L29" s="23">
        <f>IF('計算A'!II$4=0,"",IF('調整・決定'!L29&lt;&gt;"",'調整・決定'!L29,IFERROR(INDEX('名簿'!$G$5:$G$49,INDEX('計算B'!$B$3:$B$47,MATCH(240,'計算B'!$C$3:$C$47,0))),"")))</f>
        <v/>
      </c>
    </row>
  </sheetData>
  <mergeCells count="2">
    <mergeCell ref="O8:O9"/>
    <mergeCell ref="O10:O11"/>
  </mergeCells>
  <conditionalFormatting sqref="B6:B29">
    <cfRule type="expression" priority="1" dxfId="3" stopIfTrue="1">
      <formula>B6=""</formula>
    </cfRule>
  </conditionalFormatting>
  <conditionalFormatting sqref="C6:L29">
    <cfRule type="expression" priority="2" dxfId="3" stopIfTrue="1">
      <formula>INDEX('計算A'!$D$115:$II$115,(COLUMN(C6)-3)*24+ROW(C6)-5)=0</formula>
    </cfRule>
    <cfRule type="expression" priority="3" dxfId="10" stopIfTrue="1">
      <formula>INDEX('計算A'!$D$4:$II$4,(COLUMN(C6)-3)*24+ROW(C6)-5)=0</formula>
    </cfRule>
    <cfRule type="expression" priority="4" dxfId="11" stopIfTrue="1">
      <formula>AND(C6&lt;&gt;"",'調整・決定'!C6="")</formula>
    </cfRule>
    <cfRule type="expression" priority="5" dxfId="12" stopIfTrue="1">
      <formula>AND(C6="",INDEX('計算A'!$D$107:$II$107,(COLUMN(C6)-3)*24+ROW(C6)-5)+INDEX('計算A'!$D$108:$II$108,(COLUMN(C6)-3)*24+ROW(C6)-5)&gt;0)</formula>
    </cfRule>
    <cfRule type="expression" priority="6" dxfId="13" stopIfTrue="1">
      <formula>AND(C6="",INDEX('計算A'!$D$5:$II$5,(COLUMN(C6)-3)*24+ROW(C6)-5)=1)</formula>
    </cfRule>
    <cfRule type="expression" priority="7" dxfId="4">
      <formula>TRUE</formula>
    </cfRule>
  </conditionalFormatting>
  <conditionalFormatting sqref="C5:L5">
    <cfRule type="expression" priority="8" dxfId="3">
      <formula>C5=""</formula>
    </cfRule>
  </conditionalFormatting>
  <pageMargins left="0.75" right="0.75" top="1" bottom="1" header="0.5" footer="0.5"/>
</worksheet>
</file>

<file path=xl/worksheets/sheet6.xml><?xml version="1.0" encoding="utf-8"?>
<worksheet xmlns="http://schemas.openxmlformats.org/spreadsheetml/2006/main">
  <sheetPr>
    <tabColor rgb="00C77D1A"/>
    <outlinePr summaryBelow="1" summaryRight="1"/>
    <pageSetUpPr/>
  </sheetPr>
  <dimension ref="A1:O58"/>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3" customWidth="1" min="13" max="13"/>
    <col width="16" customWidth="1" min="14" max="14"/>
    <col width="40" customWidth="1" min="15" max="15"/>
  </cols>
  <sheetData>
    <row r="1" ht="44" customHeight="1">
      <c r="A1" s="2" t="n"/>
      <c r="B1" s="51" t="inlineStr">
        <is>
          <t>調整・決定</t>
        </is>
      </c>
      <c r="C1" s="2" t="n"/>
      <c r="D1" s="2" t="n"/>
      <c r="E1" s="2" t="n"/>
      <c r="F1" s="18">
        <f>HYPERLINK("#'ホーム'!A1","ホーム")</f>
        <v/>
      </c>
      <c r="G1" s="18">
        <f>HYPERLINK("#'設定'!A1","① 設定")</f>
        <v/>
      </c>
      <c r="H1" s="18">
        <f>HYPERLINK("#'名簿'!A1","② 名簿")</f>
        <v/>
      </c>
      <c r="I1" s="18">
        <f>HYPERLINK("#'×入力'!A1","③ ×入力")</f>
        <v/>
      </c>
      <c r="J1" s="18">
        <f>HYPERLINK("#'自動案'!A1","④ 自動案")</f>
        <v/>
      </c>
      <c r="K1" s="19">
        <f>HYPERLINK("#'調整・決定'!A1","⑤ 調整・決定")</f>
        <v/>
      </c>
      <c r="L1" s="2" t="n"/>
      <c r="M1" s="2" t="n"/>
      <c r="N1" s="2" t="n"/>
      <c r="O1" s="2" t="n"/>
    </row>
    <row r="2" ht="24" customHeight="1">
      <c r="A2" s="4" t="n"/>
      <c r="B2" s="52" t="inlineStr">
        <is>
          <t>自動案を貼り付けたあと、プルダウンで手直しして日程を決めます。右の「児童を選ぶ」で選んだ児童の入れられる枠に色がつきます。</t>
        </is>
      </c>
      <c r="C2" s="4" t="n"/>
      <c r="D2" s="4" t="n"/>
      <c r="E2" s="4" t="n"/>
      <c r="F2" s="4" t="n"/>
      <c r="G2" s="4" t="n"/>
      <c r="H2" s="4" t="n"/>
      <c r="I2" s="4" t="n"/>
      <c r="J2" s="4" t="n"/>
      <c r="K2" s="4" t="n"/>
      <c r="L2" s="4" t="n"/>
      <c r="M2" s="4" t="n"/>
      <c r="N2" s="4" t="n"/>
      <c r="O2" s="4" t="n"/>
    </row>
    <row r="3" ht="28" customHeight="1">
      <c r="C3" s="71" t="inlineStr">
        <is>
          <t>選んだ児童</t>
        </is>
      </c>
      <c r="D3" s="72" t="inlineStr">
        <is>
          <t>入れられる</t>
        </is>
      </c>
      <c r="E3" s="73" t="inlineStr">
        <is>
          <t>入れられる（他の人あり）</t>
        </is>
      </c>
      <c r="F3" s="74" t="inlineStr">
        <is>
          <t>×の枠</t>
        </is>
      </c>
      <c r="G3" s="75" t="inlineStr">
        <is>
          <t>×・使えない枠に入れた！</t>
        </is>
      </c>
      <c r="H3" s="76" t="inlineStr">
        <is>
          <t>2か所に入っている</t>
        </is>
      </c>
      <c r="I3" s="77" t="inlineStr">
        <is>
          <t>空けるはずの枠に人がいる</t>
        </is>
      </c>
      <c r="J3" s="62" t="inlineStr">
        <is>
          <t>後ろを空ける枠</t>
        </is>
      </c>
      <c r="K3" s="78" t="inlineStr">
        <is>
          <t>先生の都合で使えない</t>
        </is>
      </c>
    </row>
    <row r="4">
      <c r="N4" s="66" t="inlineStr">
        <is>
          <t>児童を選ぶ ▼</t>
        </is>
      </c>
    </row>
    <row r="5">
      <c r="B5" s="34" t="inlineStr"/>
      <c r="C5" s="35">
        <f>'設定'!$E$11</f>
        <v/>
      </c>
      <c r="D5" s="35">
        <f>'設定'!$E$12</f>
        <v/>
      </c>
      <c r="E5" s="35">
        <f>'設定'!$E$13</f>
        <v/>
      </c>
      <c r="F5" s="35">
        <f>'設定'!$E$14</f>
        <v/>
      </c>
      <c r="G5" s="35">
        <f>'設定'!$E$15</f>
        <v/>
      </c>
      <c r="H5" s="35">
        <f>'設定'!$E$16</f>
        <v/>
      </c>
      <c r="I5" s="35">
        <f>'設定'!$E$17</f>
        <v/>
      </c>
      <c r="J5" s="35">
        <f>'設定'!$E$18</f>
        <v/>
      </c>
      <c r="K5" s="35">
        <f>'設定'!$E$19</f>
        <v/>
      </c>
      <c r="L5" s="35">
        <f>'設定'!$E$20</f>
        <v/>
      </c>
      <c r="N5" s="79" t="n"/>
      <c r="O5" s="29" t="n"/>
    </row>
    <row r="6" ht="26" customHeight="1">
      <c r="B6" s="42">
        <f>'設定'!$I$11</f>
        <v/>
      </c>
      <c r="C6" s="23" t="n"/>
      <c r="D6" s="23" t="n"/>
      <c r="E6" s="23" t="n"/>
      <c r="F6" s="23" t="n"/>
      <c r="G6" s="23" t="n"/>
      <c r="H6" s="23" t="n"/>
      <c r="I6" s="23" t="n"/>
      <c r="J6" s="23" t="n"/>
      <c r="K6" s="23" t="n"/>
      <c r="L6" s="23" t="n"/>
    </row>
    <row r="7" ht="26" customHeight="1">
      <c r="B7" s="42">
        <f>'設定'!$I$12</f>
        <v/>
      </c>
      <c r="C7" s="23" t="n"/>
      <c r="D7" s="23" t="n"/>
      <c r="E7" s="23" t="n"/>
      <c r="F7" s="23" t="n"/>
      <c r="G7" s="23" t="n"/>
      <c r="H7" s="23" t="n"/>
      <c r="I7" s="23" t="n"/>
      <c r="J7" s="23" t="n"/>
      <c r="K7" s="23" t="n"/>
      <c r="L7" s="23" t="n"/>
      <c r="N7" s="65" t="inlineStr">
        <is>
          <t>状況</t>
        </is>
      </c>
      <c r="O7" s="80">
        <f>IF('計算A'!$B$8=0,"",INDEX('名簿'!$H$5:$H$49,'計算A'!$B$8))</f>
        <v/>
      </c>
    </row>
    <row r="8" ht="26" customHeight="1">
      <c r="B8" s="42">
        <f>'設定'!$I$13</f>
        <v/>
      </c>
      <c r="C8" s="23" t="n"/>
      <c r="D8" s="23" t="n"/>
      <c r="E8" s="23" t="n"/>
      <c r="F8" s="23" t="n"/>
      <c r="G8" s="23" t="n"/>
      <c r="H8" s="23" t="n"/>
      <c r="I8" s="23" t="n"/>
      <c r="J8" s="23" t="n"/>
      <c r="K8" s="23" t="n"/>
      <c r="L8" s="23" t="n"/>
      <c r="N8" s="65" t="inlineStr">
        <is>
          <t>×の数</t>
        </is>
      </c>
      <c r="O8" s="80">
        <f>IF('計算A'!$B$8=0,"",INDEX('名簿'!$I$5:$I$49,'計算A'!$B$8))</f>
        <v/>
      </c>
    </row>
    <row r="9" ht="26" customHeight="1">
      <c r="B9" s="42">
        <f>'設定'!$I$14</f>
        <v/>
      </c>
      <c r="C9" s="23" t="n"/>
      <c r="D9" s="23" t="n"/>
      <c r="E9" s="23" t="n"/>
      <c r="F9" s="23" t="n"/>
      <c r="G9" s="23" t="n"/>
      <c r="H9" s="23" t="n"/>
      <c r="I9" s="23" t="n"/>
      <c r="J9" s="23" t="n"/>
      <c r="K9" s="23" t="n"/>
      <c r="L9" s="23" t="n"/>
      <c r="N9" s="65" t="inlineStr">
        <is>
          <t>今の枠</t>
        </is>
      </c>
      <c r="O9" s="80">
        <f>IF('計算A'!$B$8=0,"",INDEX('名簿'!$L$5:$L$49,'計算A'!$B$8)&amp;" "&amp;INDEX('名簿'!$M$5:$M$49,'計算A'!$B$8))</f>
        <v/>
      </c>
    </row>
    <row r="10" ht="26" customHeight="1">
      <c r="B10" s="42">
        <f>'設定'!$I$15</f>
        <v/>
      </c>
      <c r="C10" s="23" t="n"/>
      <c r="D10" s="23" t="n"/>
      <c r="E10" s="23" t="n"/>
      <c r="F10" s="23" t="n"/>
      <c r="G10" s="23" t="n"/>
      <c r="H10" s="23" t="n"/>
      <c r="I10" s="23" t="n"/>
      <c r="J10" s="23" t="n"/>
      <c r="K10" s="23" t="n"/>
      <c r="L10" s="23" t="n"/>
      <c r="N10" s="65" t="inlineStr">
        <is>
          <t>兄弟</t>
        </is>
      </c>
      <c r="O10" s="80">
        <f>IF('計算A'!$B$8=0,"",IF(INDEX('名簿'!$C$5:$C$49,'計算A'!$B$8)="","",INDEX('名簿'!$C$5:$C$49,'計算A'!$B$8)&amp;" "&amp;INDEX('名簿'!$D$5:$D$49,'計算A'!$B$8)))</f>
        <v/>
      </c>
    </row>
    <row r="11" ht="26" customHeight="1">
      <c r="B11" s="42">
        <f>'設定'!$I$16</f>
        <v/>
      </c>
      <c r="C11" s="23" t="n"/>
      <c r="D11" s="23" t="n"/>
      <c r="E11" s="23" t="n"/>
      <c r="F11" s="23" t="n"/>
      <c r="G11" s="23" t="n"/>
      <c r="H11" s="23" t="n"/>
      <c r="I11" s="23" t="n"/>
      <c r="J11" s="23" t="n"/>
      <c r="K11" s="23" t="n"/>
      <c r="L11" s="23" t="n"/>
      <c r="N11" s="65" t="inlineStr">
        <is>
          <t>入れられる空き枠</t>
        </is>
      </c>
      <c r="O11" s="70">
        <f t="array" ref="O11">IFERROR(IF('計算A'!$B$8=0,"",_xlfn.TEXTJOIN("、",TRUE,IF((INDEX('計算A'!$D$60:$II$104,'計算A'!$B$8,0)=1)*('計算A'!$D$7:$II$7=0),'計算A'!$D$8:$II$8,""))),"")</f>
        <v/>
      </c>
    </row>
    <row r="12" ht="26" customHeight="1">
      <c r="B12" s="42">
        <f>'設定'!$I$17</f>
        <v/>
      </c>
      <c r="C12" s="23" t="n"/>
      <c r="D12" s="23" t="n"/>
      <c r="E12" s="23" t="n"/>
      <c r="F12" s="23" t="n"/>
      <c r="G12" s="23" t="n"/>
      <c r="H12" s="23" t="n"/>
      <c r="I12" s="23" t="n"/>
      <c r="J12" s="23" t="n"/>
      <c r="K12" s="23" t="n"/>
      <c r="L12" s="23" t="n"/>
    </row>
    <row r="13" ht="26" customHeight="1">
      <c r="B13" s="42">
        <f>'設定'!$I$18</f>
        <v/>
      </c>
      <c r="C13" s="23" t="n"/>
      <c r="D13" s="23" t="n"/>
      <c r="E13" s="23" t="n"/>
      <c r="F13" s="23" t="n"/>
      <c r="G13" s="23" t="n"/>
      <c r="H13" s="23" t="n"/>
      <c r="I13" s="23" t="n"/>
      <c r="J13" s="23" t="n"/>
      <c r="K13" s="23" t="n"/>
      <c r="L13" s="23" t="n"/>
    </row>
    <row r="14" ht="26" customHeight="1">
      <c r="B14" s="42">
        <f>'設定'!$I$19</f>
        <v/>
      </c>
      <c r="C14" s="23" t="n"/>
      <c r="D14" s="23" t="n"/>
      <c r="E14" s="23" t="n"/>
      <c r="F14" s="23" t="n"/>
      <c r="G14" s="23" t="n"/>
      <c r="H14" s="23" t="n"/>
      <c r="I14" s="23" t="n"/>
      <c r="J14" s="23" t="n"/>
      <c r="K14" s="23" t="n"/>
      <c r="L14" s="23" t="n"/>
    </row>
    <row r="15" ht="26" customHeight="1">
      <c r="B15" s="42">
        <f>'設定'!$I$20</f>
        <v/>
      </c>
      <c r="C15" s="23" t="n"/>
      <c r="D15" s="23" t="n"/>
      <c r="E15" s="23" t="n"/>
      <c r="F15" s="23" t="n"/>
      <c r="G15" s="23" t="n"/>
      <c r="H15" s="23" t="n"/>
      <c r="I15" s="23" t="n"/>
      <c r="J15" s="23" t="n"/>
      <c r="K15" s="23" t="n"/>
      <c r="L15" s="23" t="n"/>
    </row>
    <row r="16" ht="26" customHeight="1">
      <c r="B16" s="42">
        <f>'設定'!$I$21</f>
        <v/>
      </c>
      <c r="C16" s="23" t="n"/>
      <c r="D16" s="23" t="n"/>
      <c r="E16" s="23" t="n"/>
      <c r="F16" s="23" t="n"/>
      <c r="G16" s="23" t="n"/>
      <c r="H16" s="23" t="n"/>
      <c r="I16" s="23" t="n"/>
      <c r="J16" s="23" t="n"/>
      <c r="K16" s="23" t="n"/>
      <c r="L16" s="23" t="n"/>
    </row>
    <row r="17" ht="26" customHeight="1">
      <c r="B17" s="42">
        <f>'設定'!$I$22</f>
        <v/>
      </c>
      <c r="C17" s="23" t="n"/>
      <c r="D17" s="23" t="n"/>
      <c r="E17" s="23" t="n"/>
      <c r="F17" s="23" t="n"/>
      <c r="G17" s="23" t="n"/>
      <c r="H17" s="23" t="n"/>
      <c r="I17" s="23" t="n"/>
      <c r="J17" s="23" t="n"/>
      <c r="K17" s="23" t="n"/>
      <c r="L17" s="23" t="n"/>
    </row>
    <row r="18" ht="26" customHeight="1">
      <c r="B18" s="42">
        <f>'設定'!$I$23</f>
        <v/>
      </c>
      <c r="C18" s="23" t="n"/>
      <c r="D18" s="23" t="n"/>
      <c r="E18" s="23" t="n"/>
      <c r="F18" s="23" t="n"/>
      <c r="G18" s="23" t="n"/>
      <c r="H18" s="23" t="n"/>
      <c r="I18" s="23" t="n"/>
      <c r="J18" s="23" t="n"/>
      <c r="K18" s="23" t="n"/>
      <c r="L18" s="23" t="n"/>
    </row>
    <row r="19" ht="26" customHeight="1">
      <c r="B19" s="42">
        <f>'設定'!$I$24</f>
        <v/>
      </c>
      <c r="C19" s="23" t="n"/>
      <c r="D19" s="23" t="n"/>
      <c r="E19" s="23" t="n"/>
      <c r="F19" s="23" t="n"/>
      <c r="G19" s="23" t="n"/>
      <c r="H19" s="23" t="n"/>
      <c r="I19" s="23" t="n"/>
      <c r="J19" s="23" t="n"/>
      <c r="K19" s="23" t="n"/>
      <c r="L19" s="23" t="n"/>
    </row>
    <row r="20" ht="26" customHeight="1">
      <c r="B20" s="42">
        <f>'設定'!$I$25</f>
        <v/>
      </c>
      <c r="C20" s="23" t="n"/>
      <c r="D20" s="23" t="n"/>
      <c r="E20" s="23" t="n"/>
      <c r="F20" s="23" t="n"/>
      <c r="G20" s="23" t="n"/>
      <c r="H20" s="23" t="n"/>
      <c r="I20" s="23" t="n"/>
      <c r="J20" s="23" t="n"/>
      <c r="K20" s="23" t="n"/>
      <c r="L20" s="23" t="n"/>
    </row>
    <row r="21" ht="26" customHeight="1">
      <c r="B21" s="42">
        <f>'設定'!$I$26</f>
        <v/>
      </c>
      <c r="C21" s="23" t="n"/>
      <c r="D21" s="23" t="n"/>
      <c r="E21" s="23" t="n"/>
      <c r="F21" s="23" t="n"/>
      <c r="G21" s="23" t="n"/>
      <c r="H21" s="23" t="n"/>
      <c r="I21" s="23" t="n"/>
      <c r="J21" s="23" t="n"/>
      <c r="K21" s="23" t="n"/>
      <c r="L21" s="23" t="n"/>
    </row>
    <row r="22" ht="26" customHeight="1">
      <c r="B22" s="42">
        <f>'設定'!$I$27</f>
        <v/>
      </c>
      <c r="C22" s="23" t="n"/>
      <c r="D22" s="23" t="n"/>
      <c r="E22" s="23" t="n"/>
      <c r="F22" s="23" t="n"/>
      <c r="G22" s="23" t="n"/>
      <c r="H22" s="23" t="n"/>
      <c r="I22" s="23" t="n"/>
      <c r="J22" s="23" t="n"/>
      <c r="K22" s="23" t="n"/>
      <c r="L22" s="23" t="n"/>
    </row>
    <row r="23" ht="26" customHeight="1">
      <c r="B23" s="42">
        <f>'設定'!$I$28</f>
        <v/>
      </c>
      <c r="C23" s="23" t="n"/>
      <c r="D23" s="23" t="n"/>
      <c r="E23" s="23" t="n"/>
      <c r="F23" s="23" t="n"/>
      <c r="G23" s="23" t="n"/>
      <c r="H23" s="23" t="n"/>
      <c r="I23" s="23" t="n"/>
      <c r="J23" s="23" t="n"/>
      <c r="K23" s="23" t="n"/>
      <c r="L23" s="23" t="n"/>
    </row>
    <row r="24" ht="26" customHeight="1">
      <c r="B24" s="42">
        <f>'設定'!$I$29</f>
        <v/>
      </c>
      <c r="C24" s="23" t="n"/>
      <c r="D24" s="23" t="n"/>
      <c r="E24" s="23" t="n"/>
      <c r="F24" s="23" t="n"/>
      <c r="G24" s="23" t="n"/>
      <c r="H24" s="23" t="n"/>
      <c r="I24" s="23" t="n"/>
      <c r="J24" s="23" t="n"/>
      <c r="K24" s="23" t="n"/>
      <c r="L24" s="23" t="n"/>
    </row>
    <row r="25" ht="26" customHeight="1">
      <c r="B25" s="42">
        <f>'設定'!$I$30</f>
        <v/>
      </c>
      <c r="C25" s="23" t="n"/>
      <c r="D25" s="23" t="n"/>
      <c r="E25" s="23" t="n"/>
      <c r="F25" s="23" t="n"/>
      <c r="G25" s="23" t="n"/>
      <c r="H25" s="23" t="n"/>
      <c r="I25" s="23" t="n"/>
      <c r="J25" s="23" t="n"/>
      <c r="K25" s="23" t="n"/>
      <c r="L25" s="23" t="n"/>
    </row>
    <row r="26" ht="26" customHeight="1">
      <c r="B26" s="42">
        <f>'設定'!$I$31</f>
        <v/>
      </c>
      <c r="C26" s="23" t="n"/>
      <c r="D26" s="23" t="n"/>
      <c r="E26" s="23" t="n"/>
      <c r="F26" s="23" t="n"/>
      <c r="G26" s="23" t="n"/>
      <c r="H26" s="23" t="n"/>
      <c r="I26" s="23" t="n"/>
      <c r="J26" s="23" t="n"/>
      <c r="K26" s="23" t="n"/>
      <c r="L26" s="23" t="n"/>
    </row>
    <row r="27" ht="26" customHeight="1">
      <c r="B27" s="42">
        <f>'設定'!$I$32</f>
        <v/>
      </c>
      <c r="C27" s="23" t="n"/>
      <c r="D27" s="23" t="n"/>
      <c r="E27" s="23" t="n"/>
      <c r="F27" s="23" t="n"/>
      <c r="G27" s="23" t="n"/>
      <c r="H27" s="23" t="n"/>
      <c r="I27" s="23" t="n"/>
      <c r="J27" s="23" t="n"/>
      <c r="K27" s="23" t="n"/>
      <c r="L27" s="23" t="n"/>
    </row>
    <row r="28" ht="26" customHeight="1">
      <c r="B28" s="42">
        <f>'設定'!$I$33</f>
        <v/>
      </c>
      <c r="C28" s="23" t="n"/>
      <c r="D28" s="23" t="n"/>
      <c r="E28" s="23" t="n"/>
      <c r="F28" s="23" t="n"/>
      <c r="G28" s="23" t="n"/>
      <c r="H28" s="23" t="n"/>
      <c r="I28" s="23" t="n"/>
      <c r="J28" s="23" t="n"/>
      <c r="K28" s="23" t="n"/>
      <c r="L28" s="23" t="n"/>
    </row>
    <row r="29" ht="26" customHeight="1">
      <c r="B29" s="42">
        <f>'設定'!$I$34</f>
        <v/>
      </c>
      <c r="C29" s="23" t="n"/>
      <c r="D29" s="23" t="n"/>
      <c r="E29" s="23" t="n"/>
      <c r="F29" s="23" t="n"/>
      <c r="G29" s="23" t="n"/>
      <c r="H29" s="23" t="n"/>
      <c r="I29" s="23" t="n"/>
      <c r="J29" s="23" t="n"/>
      <c r="K29" s="23" t="n"/>
      <c r="L29" s="23" t="n"/>
    </row>
    <row r="30"/>
    <row r="31"/>
    <row r="32">
      <c r="B32" s="81" t="inlineStr">
        <is>
          <t>候補（その枠に入れられる、まだ決まっていない児童）</t>
        </is>
      </c>
    </row>
    <row r="33">
      <c r="B33" s="45" t="inlineStr">
        <is>
          <t>未入力・未提出の家庭は含みません。0人の枠は赤、1人の枠はオレンジです。</t>
        </is>
      </c>
    </row>
    <row r="34">
      <c r="B34" s="34" t="inlineStr"/>
      <c r="C34" s="35">
        <f>'設定'!$E$11</f>
        <v/>
      </c>
      <c r="D34" s="35">
        <f>'設定'!$E$12</f>
        <v/>
      </c>
      <c r="E34" s="35">
        <f>'設定'!$E$13</f>
        <v/>
      </c>
      <c r="F34" s="35">
        <f>'設定'!$E$14</f>
        <v/>
      </c>
      <c r="G34" s="35">
        <f>'設定'!$E$15</f>
        <v/>
      </c>
      <c r="H34" s="35">
        <f>'設定'!$E$16</f>
        <v/>
      </c>
      <c r="I34" s="35">
        <f>'設定'!$E$17</f>
        <v/>
      </c>
      <c r="J34" s="35">
        <f>'設定'!$E$18</f>
        <v/>
      </c>
      <c r="K34" s="35">
        <f>'設定'!$E$19</f>
        <v/>
      </c>
      <c r="L34" s="35">
        <f>'設定'!$E$20</f>
        <v/>
      </c>
    </row>
    <row r="35" ht="44" customHeight="1">
      <c r="B35" s="42">
        <f>'設定'!$I$11</f>
        <v/>
      </c>
      <c r="C35" s="82">
        <f t="array" ref="C35">IF('計算A'!D$4=0,"",IF(C6&lt;&gt;"","（決定）",IF('計算A'!D$108=1,"（空ける）",SUMPRODUCT(('計算A'!D$60:D$104=1)*('計算A'!$C$10:$C$54=1))&amp;"人："&amp;_xlfn.TEXTJOIN("、",TRUE,IF(('計算A'!D$60:D$104=1)*('計算A'!$C$10:$C$54=1),'計算A'!$B$10:$B$54,"")))))</f>
        <v/>
      </c>
      <c r="D35" s="82">
        <f t="array" ref="D35">IF('計算A'!AB$4=0,"",IF(D6&lt;&gt;"","（決定）",IF('計算A'!AB$108=1,"（空ける）",SUMPRODUCT(('計算A'!AB$60:AB$104=1)*('計算A'!$C$10:$C$54=1))&amp;"人："&amp;_xlfn.TEXTJOIN("、",TRUE,IF(('計算A'!AB$60:AB$104=1)*('計算A'!$C$10:$C$54=1),'計算A'!$B$10:$B$54,"")))))</f>
        <v/>
      </c>
      <c r="E35" s="82">
        <f t="array" ref="E35">IF('計算A'!AZ$4=0,"",IF(E6&lt;&gt;"","（決定）",IF('計算A'!AZ$108=1,"（空ける）",SUMPRODUCT(('計算A'!AZ$60:AZ$104=1)*('計算A'!$C$10:$C$54=1))&amp;"人："&amp;_xlfn.TEXTJOIN("、",TRUE,IF(('計算A'!AZ$60:AZ$104=1)*('計算A'!$C$10:$C$54=1),'計算A'!$B$10:$B$54,"")))))</f>
        <v/>
      </c>
      <c r="F35" s="82">
        <f t="array" ref="F35">IF('計算A'!BX$4=0,"",IF(F6&lt;&gt;"","（決定）",IF('計算A'!BX$108=1,"（空ける）",SUMPRODUCT(('計算A'!BX$60:BX$104=1)*('計算A'!$C$10:$C$54=1))&amp;"人："&amp;_xlfn.TEXTJOIN("、",TRUE,IF(('計算A'!BX$60:BX$104=1)*('計算A'!$C$10:$C$54=1),'計算A'!$B$10:$B$54,"")))))</f>
        <v/>
      </c>
      <c r="G35" s="82">
        <f t="array" ref="G35">IF('計算A'!CV$4=0,"",IF(G6&lt;&gt;"","（決定）",IF('計算A'!CV$108=1,"（空ける）",SUMPRODUCT(('計算A'!CV$60:CV$104=1)*('計算A'!$C$10:$C$54=1))&amp;"人："&amp;_xlfn.TEXTJOIN("、",TRUE,IF(('計算A'!CV$60:CV$104=1)*('計算A'!$C$10:$C$54=1),'計算A'!$B$10:$B$54,"")))))</f>
        <v/>
      </c>
      <c r="H35" s="82">
        <f t="array" ref="H35">IF('計算A'!DT$4=0,"",IF(H6&lt;&gt;"","（決定）",IF('計算A'!DT$108=1,"（空ける）",SUMPRODUCT(('計算A'!DT$60:DT$104=1)*('計算A'!$C$10:$C$54=1))&amp;"人："&amp;_xlfn.TEXTJOIN("、",TRUE,IF(('計算A'!DT$60:DT$104=1)*('計算A'!$C$10:$C$54=1),'計算A'!$B$10:$B$54,"")))))</f>
        <v/>
      </c>
      <c r="I35" s="82">
        <f t="array" ref="I35">IF('計算A'!ER$4=0,"",IF(I6&lt;&gt;"","（決定）",IF('計算A'!ER$108=1,"（空ける）",SUMPRODUCT(('計算A'!ER$60:ER$104=1)*('計算A'!$C$10:$C$54=1))&amp;"人："&amp;_xlfn.TEXTJOIN("、",TRUE,IF(('計算A'!ER$60:ER$104=1)*('計算A'!$C$10:$C$54=1),'計算A'!$B$10:$B$54,"")))))</f>
        <v/>
      </c>
      <c r="J35" s="82">
        <f t="array" ref="J35">IF('計算A'!FP$4=0,"",IF(J6&lt;&gt;"","（決定）",IF('計算A'!FP$108=1,"（空ける）",SUMPRODUCT(('計算A'!FP$60:FP$104=1)*('計算A'!$C$10:$C$54=1))&amp;"人："&amp;_xlfn.TEXTJOIN("、",TRUE,IF(('計算A'!FP$60:FP$104=1)*('計算A'!$C$10:$C$54=1),'計算A'!$B$10:$B$54,"")))))</f>
        <v/>
      </c>
      <c r="K35" s="82">
        <f t="array" ref="K35">IF('計算A'!GN$4=0,"",IF(K6&lt;&gt;"","（決定）",IF('計算A'!GN$108=1,"（空ける）",SUMPRODUCT(('計算A'!GN$60:GN$104=1)*('計算A'!$C$10:$C$54=1))&amp;"人："&amp;_xlfn.TEXTJOIN("、",TRUE,IF(('計算A'!GN$60:GN$104=1)*('計算A'!$C$10:$C$54=1),'計算A'!$B$10:$B$54,"")))))</f>
        <v/>
      </c>
      <c r="L35" s="82">
        <f t="array" ref="L35">IF('計算A'!HL$4=0,"",IF(L6&lt;&gt;"","（決定）",IF('計算A'!HL$108=1,"（空ける）",SUMPRODUCT(('計算A'!HL$60:HL$104=1)*('計算A'!$C$10:$C$54=1))&amp;"人："&amp;_xlfn.TEXTJOIN("、",TRUE,IF(('計算A'!HL$60:HL$104=1)*('計算A'!$C$10:$C$54=1),'計算A'!$B$10:$B$54,"")))))</f>
        <v/>
      </c>
    </row>
    <row r="36" ht="44" customHeight="1">
      <c r="B36" s="42">
        <f>'設定'!$I$12</f>
        <v/>
      </c>
      <c r="C36" s="82">
        <f t="array" ref="C36">IF('計算A'!E$4=0,"",IF(C7&lt;&gt;"","（決定）",IF('計算A'!E$108=1,"（空ける）",SUMPRODUCT(('計算A'!E$60:E$104=1)*('計算A'!$C$10:$C$54=1))&amp;"人："&amp;_xlfn.TEXTJOIN("、",TRUE,IF(('計算A'!E$60:E$104=1)*('計算A'!$C$10:$C$54=1),'計算A'!$B$10:$B$54,"")))))</f>
        <v/>
      </c>
      <c r="D36" s="82">
        <f t="array" ref="D36">IF('計算A'!AC$4=0,"",IF(D7&lt;&gt;"","（決定）",IF('計算A'!AC$108=1,"（空ける）",SUMPRODUCT(('計算A'!AC$60:AC$104=1)*('計算A'!$C$10:$C$54=1))&amp;"人："&amp;_xlfn.TEXTJOIN("、",TRUE,IF(('計算A'!AC$60:AC$104=1)*('計算A'!$C$10:$C$54=1),'計算A'!$B$10:$B$54,"")))))</f>
        <v/>
      </c>
      <c r="E36" s="82">
        <f t="array" ref="E36">IF('計算A'!BA$4=0,"",IF(E7&lt;&gt;"","（決定）",IF('計算A'!BA$108=1,"（空ける）",SUMPRODUCT(('計算A'!BA$60:BA$104=1)*('計算A'!$C$10:$C$54=1))&amp;"人："&amp;_xlfn.TEXTJOIN("、",TRUE,IF(('計算A'!BA$60:BA$104=1)*('計算A'!$C$10:$C$54=1),'計算A'!$B$10:$B$54,"")))))</f>
        <v/>
      </c>
      <c r="F36" s="82">
        <f t="array" ref="F36">IF('計算A'!BY$4=0,"",IF(F7&lt;&gt;"","（決定）",IF('計算A'!BY$108=1,"（空ける）",SUMPRODUCT(('計算A'!BY$60:BY$104=1)*('計算A'!$C$10:$C$54=1))&amp;"人："&amp;_xlfn.TEXTJOIN("、",TRUE,IF(('計算A'!BY$60:BY$104=1)*('計算A'!$C$10:$C$54=1),'計算A'!$B$10:$B$54,"")))))</f>
        <v/>
      </c>
      <c r="G36" s="82">
        <f t="array" ref="G36">IF('計算A'!CW$4=0,"",IF(G7&lt;&gt;"","（決定）",IF('計算A'!CW$108=1,"（空ける）",SUMPRODUCT(('計算A'!CW$60:CW$104=1)*('計算A'!$C$10:$C$54=1))&amp;"人："&amp;_xlfn.TEXTJOIN("、",TRUE,IF(('計算A'!CW$60:CW$104=1)*('計算A'!$C$10:$C$54=1),'計算A'!$B$10:$B$54,"")))))</f>
        <v/>
      </c>
      <c r="H36" s="82">
        <f t="array" ref="H36">IF('計算A'!DU$4=0,"",IF(H7&lt;&gt;"","（決定）",IF('計算A'!DU$108=1,"（空ける）",SUMPRODUCT(('計算A'!DU$60:DU$104=1)*('計算A'!$C$10:$C$54=1))&amp;"人："&amp;_xlfn.TEXTJOIN("、",TRUE,IF(('計算A'!DU$60:DU$104=1)*('計算A'!$C$10:$C$54=1),'計算A'!$B$10:$B$54,"")))))</f>
        <v/>
      </c>
      <c r="I36" s="82">
        <f t="array" ref="I36">IF('計算A'!ES$4=0,"",IF(I7&lt;&gt;"","（決定）",IF('計算A'!ES$108=1,"（空ける）",SUMPRODUCT(('計算A'!ES$60:ES$104=1)*('計算A'!$C$10:$C$54=1))&amp;"人："&amp;_xlfn.TEXTJOIN("、",TRUE,IF(('計算A'!ES$60:ES$104=1)*('計算A'!$C$10:$C$54=1),'計算A'!$B$10:$B$54,"")))))</f>
        <v/>
      </c>
      <c r="J36" s="82">
        <f t="array" ref="J36">IF('計算A'!FQ$4=0,"",IF(J7&lt;&gt;"","（決定）",IF('計算A'!FQ$108=1,"（空ける）",SUMPRODUCT(('計算A'!FQ$60:FQ$104=1)*('計算A'!$C$10:$C$54=1))&amp;"人："&amp;_xlfn.TEXTJOIN("、",TRUE,IF(('計算A'!FQ$60:FQ$104=1)*('計算A'!$C$10:$C$54=1),'計算A'!$B$10:$B$54,"")))))</f>
        <v/>
      </c>
      <c r="K36" s="82">
        <f t="array" ref="K36">IF('計算A'!GO$4=0,"",IF(K7&lt;&gt;"","（決定）",IF('計算A'!GO$108=1,"（空ける）",SUMPRODUCT(('計算A'!GO$60:GO$104=1)*('計算A'!$C$10:$C$54=1))&amp;"人："&amp;_xlfn.TEXTJOIN("、",TRUE,IF(('計算A'!GO$60:GO$104=1)*('計算A'!$C$10:$C$54=1),'計算A'!$B$10:$B$54,"")))))</f>
        <v/>
      </c>
      <c r="L36" s="82">
        <f t="array" ref="L36">IF('計算A'!HM$4=0,"",IF(L7&lt;&gt;"","（決定）",IF('計算A'!HM$108=1,"（空ける）",SUMPRODUCT(('計算A'!HM$60:HM$104=1)*('計算A'!$C$10:$C$54=1))&amp;"人："&amp;_xlfn.TEXTJOIN("、",TRUE,IF(('計算A'!HM$60:HM$104=1)*('計算A'!$C$10:$C$54=1),'計算A'!$B$10:$B$54,"")))))</f>
        <v/>
      </c>
    </row>
    <row r="37" ht="44" customHeight="1">
      <c r="B37" s="42">
        <f>'設定'!$I$13</f>
        <v/>
      </c>
      <c r="C37" s="82">
        <f t="array" ref="C37">IF('計算A'!F$4=0,"",IF(C8&lt;&gt;"","（決定）",IF('計算A'!F$108=1,"（空ける）",SUMPRODUCT(('計算A'!F$60:F$104=1)*('計算A'!$C$10:$C$54=1))&amp;"人："&amp;_xlfn.TEXTJOIN("、",TRUE,IF(('計算A'!F$60:F$104=1)*('計算A'!$C$10:$C$54=1),'計算A'!$B$10:$B$54,"")))))</f>
        <v/>
      </c>
      <c r="D37" s="82">
        <f t="array" ref="D37">IF('計算A'!AD$4=0,"",IF(D8&lt;&gt;"","（決定）",IF('計算A'!AD$108=1,"（空ける）",SUMPRODUCT(('計算A'!AD$60:AD$104=1)*('計算A'!$C$10:$C$54=1))&amp;"人："&amp;_xlfn.TEXTJOIN("、",TRUE,IF(('計算A'!AD$60:AD$104=1)*('計算A'!$C$10:$C$54=1),'計算A'!$B$10:$B$54,"")))))</f>
        <v/>
      </c>
      <c r="E37" s="82">
        <f t="array" ref="E37">IF('計算A'!BB$4=0,"",IF(E8&lt;&gt;"","（決定）",IF('計算A'!BB$108=1,"（空ける）",SUMPRODUCT(('計算A'!BB$60:BB$104=1)*('計算A'!$C$10:$C$54=1))&amp;"人："&amp;_xlfn.TEXTJOIN("、",TRUE,IF(('計算A'!BB$60:BB$104=1)*('計算A'!$C$10:$C$54=1),'計算A'!$B$10:$B$54,"")))))</f>
        <v/>
      </c>
      <c r="F37" s="82">
        <f t="array" ref="F37">IF('計算A'!BZ$4=0,"",IF(F8&lt;&gt;"","（決定）",IF('計算A'!BZ$108=1,"（空ける）",SUMPRODUCT(('計算A'!BZ$60:BZ$104=1)*('計算A'!$C$10:$C$54=1))&amp;"人："&amp;_xlfn.TEXTJOIN("、",TRUE,IF(('計算A'!BZ$60:BZ$104=1)*('計算A'!$C$10:$C$54=1),'計算A'!$B$10:$B$54,"")))))</f>
        <v/>
      </c>
      <c r="G37" s="82">
        <f t="array" ref="G37">IF('計算A'!CX$4=0,"",IF(G8&lt;&gt;"","（決定）",IF('計算A'!CX$108=1,"（空ける）",SUMPRODUCT(('計算A'!CX$60:CX$104=1)*('計算A'!$C$10:$C$54=1))&amp;"人："&amp;_xlfn.TEXTJOIN("、",TRUE,IF(('計算A'!CX$60:CX$104=1)*('計算A'!$C$10:$C$54=1),'計算A'!$B$10:$B$54,"")))))</f>
        <v/>
      </c>
      <c r="H37" s="82">
        <f t="array" ref="H37">IF('計算A'!DV$4=0,"",IF(H8&lt;&gt;"","（決定）",IF('計算A'!DV$108=1,"（空ける）",SUMPRODUCT(('計算A'!DV$60:DV$104=1)*('計算A'!$C$10:$C$54=1))&amp;"人："&amp;_xlfn.TEXTJOIN("、",TRUE,IF(('計算A'!DV$60:DV$104=1)*('計算A'!$C$10:$C$54=1),'計算A'!$B$10:$B$54,"")))))</f>
        <v/>
      </c>
      <c r="I37" s="82">
        <f t="array" ref="I37">IF('計算A'!ET$4=0,"",IF(I8&lt;&gt;"","（決定）",IF('計算A'!ET$108=1,"（空ける）",SUMPRODUCT(('計算A'!ET$60:ET$104=1)*('計算A'!$C$10:$C$54=1))&amp;"人："&amp;_xlfn.TEXTJOIN("、",TRUE,IF(('計算A'!ET$60:ET$104=1)*('計算A'!$C$10:$C$54=1),'計算A'!$B$10:$B$54,"")))))</f>
        <v/>
      </c>
      <c r="J37" s="82">
        <f t="array" ref="J37">IF('計算A'!FR$4=0,"",IF(J8&lt;&gt;"","（決定）",IF('計算A'!FR$108=1,"（空ける）",SUMPRODUCT(('計算A'!FR$60:FR$104=1)*('計算A'!$C$10:$C$54=1))&amp;"人："&amp;_xlfn.TEXTJOIN("、",TRUE,IF(('計算A'!FR$60:FR$104=1)*('計算A'!$C$10:$C$54=1),'計算A'!$B$10:$B$54,"")))))</f>
        <v/>
      </c>
      <c r="K37" s="82">
        <f t="array" ref="K37">IF('計算A'!GP$4=0,"",IF(K8&lt;&gt;"","（決定）",IF('計算A'!GP$108=1,"（空ける）",SUMPRODUCT(('計算A'!GP$60:GP$104=1)*('計算A'!$C$10:$C$54=1))&amp;"人："&amp;_xlfn.TEXTJOIN("、",TRUE,IF(('計算A'!GP$60:GP$104=1)*('計算A'!$C$10:$C$54=1),'計算A'!$B$10:$B$54,"")))))</f>
        <v/>
      </c>
      <c r="L37" s="82">
        <f t="array" ref="L37">IF('計算A'!HN$4=0,"",IF(L8&lt;&gt;"","（決定）",IF('計算A'!HN$108=1,"（空ける）",SUMPRODUCT(('計算A'!HN$60:HN$104=1)*('計算A'!$C$10:$C$54=1))&amp;"人："&amp;_xlfn.TEXTJOIN("、",TRUE,IF(('計算A'!HN$60:HN$104=1)*('計算A'!$C$10:$C$54=1),'計算A'!$B$10:$B$54,"")))))</f>
        <v/>
      </c>
    </row>
    <row r="38" ht="44" customHeight="1">
      <c r="B38" s="42">
        <f>'設定'!$I$14</f>
        <v/>
      </c>
      <c r="C38" s="82">
        <f t="array" ref="C38">IF('計算A'!G$4=0,"",IF(C9&lt;&gt;"","（決定）",IF('計算A'!G$108=1,"（空ける）",SUMPRODUCT(('計算A'!G$60:G$104=1)*('計算A'!$C$10:$C$54=1))&amp;"人："&amp;_xlfn.TEXTJOIN("、",TRUE,IF(('計算A'!G$60:G$104=1)*('計算A'!$C$10:$C$54=1),'計算A'!$B$10:$B$54,"")))))</f>
        <v/>
      </c>
      <c r="D38" s="82">
        <f t="array" ref="D38">IF('計算A'!AE$4=0,"",IF(D9&lt;&gt;"","（決定）",IF('計算A'!AE$108=1,"（空ける）",SUMPRODUCT(('計算A'!AE$60:AE$104=1)*('計算A'!$C$10:$C$54=1))&amp;"人："&amp;_xlfn.TEXTJOIN("、",TRUE,IF(('計算A'!AE$60:AE$104=1)*('計算A'!$C$10:$C$54=1),'計算A'!$B$10:$B$54,"")))))</f>
        <v/>
      </c>
      <c r="E38" s="82">
        <f t="array" ref="E38">IF('計算A'!BC$4=0,"",IF(E9&lt;&gt;"","（決定）",IF('計算A'!BC$108=1,"（空ける）",SUMPRODUCT(('計算A'!BC$60:BC$104=1)*('計算A'!$C$10:$C$54=1))&amp;"人："&amp;_xlfn.TEXTJOIN("、",TRUE,IF(('計算A'!BC$60:BC$104=1)*('計算A'!$C$10:$C$54=1),'計算A'!$B$10:$B$54,"")))))</f>
        <v/>
      </c>
      <c r="F38" s="82">
        <f t="array" ref="F38">IF('計算A'!CA$4=0,"",IF(F9&lt;&gt;"","（決定）",IF('計算A'!CA$108=1,"（空ける）",SUMPRODUCT(('計算A'!CA$60:CA$104=1)*('計算A'!$C$10:$C$54=1))&amp;"人："&amp;_xlfn.TEXTJOIN("、",TRUE,IF(('計算A'!CA$60:CA$104=1)*('計算A'!$C$10:$C$54=1),'計算A'!$B$10:$B$54,"")))))</f>
        <v/>
      </c>
      <c r="G38" s="82">
        <f t="array" ref="G38">IF('計算A'!CY$4=0,"",IF(G9&lt;&gt;"","（決定）",IF('計算A'!CY$108=1,"（空ける）",SUMPRODUCT(('計算A'!CY$60:CY$104=1)*('計算A'!$C$10:$C$54=1))&amp;"人："&amp;_xlfn.TEXTJOIN("、",TRUE,IF(('計算A'!CY$60:CY$104=1)*('計算A'!$C$10:$C$54=1),'計算A'!$B$10:$B$54,"")))))</f>
        <v/>
      </c>
      <c r="H38" s="82">
        <f t="array" ref="H38">IF('計算A'!DW$4=0,"",IF(H9&lt;&gt;"","（決定）",IF('計算A'!DW$108=1,"（空ける）",SUMPRODUCT(('計算A'!DW$60:DW$104=1)*('計算A'!$C$10:$C$54=1))&amp;"人："&amp;_xlfn.TEXTJOIN("、",TRUE,IF(('計算A'!DW$60:DW$104=1)*('計算A'!$C$10:$C$54=1),'計算A'!$B$10:$B$54,"")))))</f>
        <v/>
      </c>
      <c r="I38" s="82">
        <f t="array" ref="I38">IF('計算A'!EU$4=0,"",IF(I9&lt;&gt;"","（決定）",IF('計算A'!EU$108=1,"（空ける）",SUMPRODUCT(('計算A'!EU$60:EU$104=1)*('計算A'!$C$10:$C$54=1))&amp;"人："&amp;_xlfn.TEXTJOIN("、",TRUE,IF(('計算A'!EU$60:EU$104=1)*('計算A'!$C$10:$C$54=1),'計算A'!$B$10:$B$54,"")))))</f>
        <v/>
      </c>
      <c r="J38" s="82">
        <f t="array" ref="J38">IF('計算A'!FS$4=0,"",IF(J9&lt;&gt;"","（決定）",IF('計算A'!FS$108=1,"（空ける）",SUMPRODUCT(('計算A'!FS$60:FS$104=1)*('計算A'!$C$10:$C$54=1))&amp;"人："&amp;_xlfn.TEXTJOIN("、",TRUE,IF(('計算A'!FS$60:FS$104=1)*('計算A'!$C$10:$C$54=1),'計算A'!$B$10:$B$54,"")))))</f>
        <v/>
      </c>
      <c r="K38" s="82">
        <f t="array" ref="K38">IF('計算A'!GQ$4=0,"",IF(K9&lt;&gt;"","（決定）",IF('計算A'!GQ$108=1,"（空ける）",SUMPRODUCT(('計算A'!GQ$60:GQ$104=1)*('計算A'!$C$10:$C$54=1))&amp;"人："&amp;_xlfn.TEXTJOIN("、",TRUE,IF(('計算A'!GQ$60:GQ$104=1)*('計算A'!$C$10:$C$54=1),'計算A'!$B$10:$B$54,"")))))</f>
        <v/>
      </c>
      <c r="L38" s="82">
        <f t="array" ref="L38">IF('計算A'!HO$4=0,"",IF(L9&lt;&gt;"","（決定）",IF('計算A'!HO$108=1,"（空ける）",SUMPRODUCT(('計算A'!HO$60:HO$104=1)*('計算A'!$C$10:$C$54=1))&amp;"人："&amp;_xlfn.TEXTJOIN("、",TRUE,IF(('計算A'!HO$60:HO$104=1)*('計算A'!$C$10:$C$54=1),'計算A'!$B$10:$B$54,"")))))</f>
        <v/>
      </c>
    </row>
    <row r="39" ht="44" customHeight="1">
      <c r="B39" s="42">
        <f>'設定'!$I$15</f>
        <v/>
      </c>
      <c r="C39" s="82">
        <f t="array" ref="C39">IF('計算A'!H$4=0,"",IF(C10&lt;&gt;"","（決定）",IF('計算A'!H$108=1,"（空ける）",SUMPRODUCT(('計算A'!H$60:H$104=1)*('計算A'!$C$10:$C$54=1))&amp;"人："&amp;_xlfn.TEXTJOIN("、",TRUE,IF(('計算A'!H$60:H$104=1)*('計算A'!$C$10:$C$54=1),'計算A'!$B$10:$B$54,"")))))</f>
        <v/>
      </c>
      <c r="D39" s="82">
        <f t="array" ref="D39">IF('計算A'!AF$4=0,"",IF(D10&lt;&gt;"","（決定）",IF('計算A'!AF$108=1,"（空ける）",SUMPRODUCT(('計算A'!AF$60:AF$104=1)*('計算A'!$C$10:$C$54=1))&amp;"人："&amp;_xlfn.TEXTJOIN("、",TRUE,IF(('計算A'!AF$60:AF$104=1)*('計算A'!$C$10:$C$54=1),'計算A'!$B$10:$B$54,"")))))</f>
        <v/>
      </c>
      <c r="E39" s="82">
        <f t="array" ref="E39">IF('計算A'!BD$4=0,"",IF(E10&lt;&gt;"","（決定）",IF('計算A'!BD$108=1,"（空ける）",SUMPRODUCT(('計算A'!BD$60:BD$104=1)*('計算A'!$C$10:$C$54=1))&amp;"人："&amp;_xlfn.TEXTJOIN("、",TRUE,IF(('計算A'!BD$60:BD$104=1)*('計算A'!$C$10:$C$54=1),'計算A'!$B$10:$B$54,"")))))</f>
        <v/>
      </c>
      <c r="F39" s="82">
        <f t="array" ref="F39">IF('計算A'!CB$4=0,"",IF(F10&lt;&gt;"","（決定）",IF('計算A'!CB$108=1,"（空ける）",SUMPRODUCT(('計算A'!CB$60:CB$104=1)*('計算A'!$C$10:$C$54=1))&amp;"人："&amp;_xlfn.TEXTJOIN("、",TRUE,IF(('計算A'!CB$60:CB$104=1)*('計算A'!$C$10:$C$54=1),'計算A'!$B$10:$B$54,"")))))</f>
        <v/>
      </c>
      <c r="G39" s="82">
        <f t="array" ref="G39">IF('計算A'!CZ$4=0,"",IF(G10&lt;&gt;"","（決定）",IF('計算A'!CZ$108=1,"（空ける）",SUMPRODUCT(('計算A'!CZ$60:CZ$104=1)*('計算A'!$C$10:$C$54=1))&amp;"人："&amp;_xlfn.TEXTJOIN("、",TRUE,IF(('計算A'!CZ$60:CZ$104=1)*('計算A'!$C$10:$C$54=1),'計算A'!$B$10:$B$54,"")))))</f>
        <v/>
      </c>
      <c r="H39" s="82">
        <f t="array" ref="H39">IF('計算A'!DX$4=0,"",IF(H10&lt;&gt;"","（決定）",IF('計算A'!DX$108=1,"（空ける）",SUMPRODUCT(('計算A'!DX$60:DX$104=1)*('計算A'!$C$10:$C$54=1))&amp;"人："&amp;_xlfn.TEXTJOIN("、",TRUE,IF(('計算A'!DX$60:DX$104=1)*('計算A'!$C$10:$C$54=1),'計算A'!$B$10:$B$54,"")))))</f>
        <v/>
      </c>
      <c r="I39" s="82">
        <f t="array" ref="I39">IF('計算A'!EV$4=0,"",IF(I10&lt;&gt;"","（決定）",IF('計算A'!EV$108=1,"（空ける）",SUMPRODUCT(('計算A'!EV$60:EV$104=1)*('計算A'!$C$10:$C$54=1))&amp;"人："&amp;_xlfn.TEXTJOIN("、",TRUE,IF(('計算A'!EV$60:EV$104=1)*('計算A'!$C$10:$C$54=1),'計算A'!$B$10:$B$54,"")))))</f>
        <v/>
      </c>
      <c r="J39" s="82">
        <f t="array" ref="J39">IF('計算A'!FT$4=0,"",IF(J10&lt;&gt;"","（決定）",IF('計算A'!FT$108=1,"（空ける）",SUMPRODUCT(('計算A'!FT$60:FT$104=1)*('計算A'!$C$10:$C$54=1))&amp;"人："&amp;_xlfn.TEXTJOIN("、",TRUE,IF(('計算A'!FT$60:FT$104=1)*('計算A'!$C$10:$C$54=1),'計算A'!$B$10:$B$54,"")))))</f>
        <v/>
      </c>
      <c r="K39" s="82">
        <f t="array" ref="K39">IF('計算A'!GR$4=0,"",IF(K10&lt;&gt;"","（決定）",IF('計算A'!GR$108=1,"（空ける）",SUMPRODUCT(('計算A'!GR$60:GR$104=1)*('計算A'!$C$10:$C$54=1))&amp;"人："&amp;_xlfn.TEXTJOIN("、",TRUE,IF(('計算A'!GR$60:GR$104=1)*('計算A'!$C$10:$C$54=1),'計算A'!$B$10:$B$54,"")))))</f>
        <v/>
      </c>
      <c r="L39" s="82">
        <f t="array" ref="L39">IF('計算A'!HP$4=0,"",IF(L10&lt;&gt;"","（決定）",IF('計算A'!HP$108=1,"（空ける）",SUMPRODUCT(('計算A'!HP$60:HP$104=1)*('計算A'!$C$10:$C$54=1))&amp;"人："&amp;_xlfn.TEXTJOIN("、",TRUE,IF(('計算A'!HP$60:HP$104=1)*('計算A'!$C$10:$C$54=1),'計算A'!$B$10:$B$54,"")))))</f>
        <v/>
      </c>
    </row>
    <row r="40" ht="44" customHeight="1">
      <c r="B40" s="42">
        <f>'設定'!$I$16</f>
        <v/>
      </c>
      <c r="C40" s="82">
        <f t="array" ref="C40">IF('計算A'!I$4=0,"",IF(C11&lt;&gt;"","（決定）",IF('計算A'!I$108=1,"（空ける）",SUMPRODUCT(('計算A'!I$60:I$104=1)*('計算A'!$C$10:$C$54=1))&amp;"人："&amp;_xlfn.TEXTJOIN("、",TRUE,IF(('計算A'!I$60:I$104=1)*('計算A'!$C$10:$C$54=1),'計算A'!$B$10:$B$54,"")))))</f>
        <v/>
      </c>
      <c r="D40" s="82">
        <f t="array" ref="D40">IF('計算A'!AG$4=0,"",IF(D11&lt;&gt;"","（決定）",IF('計算A'!AG$108=1,"（空ける）",SUMPRODUCT(('計算A'!AG$60:AG$104=1)*('計算A'!$C$10:$C$54=1))&amp;"人："&amp;_xlfn.TEXTJOIN("、",TRUE,IF(('計算A'!AG$60:AG$104=1)*('計算A'!$C$10:$C$54=1),'計算A'!$B$10:$B$54,"")))))</f>
        <v/>
      </c>
      <c r="E40" s="82">
        <f t="array" ref="E40">IF('計算A'!BE$4=0,"",IF(E11&lt;&gt;"","（決定）",IF('計算A'!BE$108=1,"（空ける）",SUMPRODUCT(('計算A'!BE$60:BE$104=1)*('計算A'!$C$10:$C$54=1))&amp;"人："&amp;_xlfn.TEXTJOIN("、",TRUE,IF(('計算A'!BE$60:BE$104=1)*('計算A'!$C$10:$C$54=1),'計算A'!$B$10:$B$54,"")))))</f>
        <v/>
      </c>
      <c r="F40" s="82">
        <f t="array" ref="F40">IF('計算A'!CC$4=0,"",IF(F11&lt;&gt;"","（決定）",IF('計算A'!CC$108=1,"（空ける）",SUMPRODUCT(('計算A'!CC$60:CC$104=1)*('計算A'!$C$10:$C$54=1))&amp;"人："&amp;_xlfn.TEXTJOIN("、",TRUE,IF(('計算A'!CC$60:CC$104=1)*('計算A'!$C$10:$C$54=1),'計算A'!$B$10:$B$54,"")))))</f>
        <v/>
      </c>
      <c r="G40" s="82">
        <f t="array" ref="G40">IF('計算A'!DA$4=0,"",IF(G11&lt;&gt;"","（決定）",IF('計算A'!DA$108=1,"（空ける）",SUMPRODUCT(('計算A'!DA$60:DA$104=1)*('計算A'!$C$10:$C$54=1))&amp;"人："&amp;_xlfn.TEXTJOIN("、",TRUE,IF(('計算A'!DA$60:DA$104=1)*('計算A'!$C$10:$C$54=1),'計算A'!$B$10:$B$54,"")))))</f>
        <v/>
      </c>
      <c r="H40" s="82">
        <f t="array" ref="H40">IF('計算A'!DY$4=0,"",IF(H11&lt;&gt;"","（決定）",IF('計算A'!DY$108=1,"（空ける）",SUMPRODUCT(('計算A'!DY$60:DY$104=1)*('計算A'!$C$10:$C$54=1))&amp;"人："&amp;_xlfn.TEXTJOIN("、",TRUE,IF(('計算A'!DY$60:DY$104=1)*('計算A'!$C$10:$C$54=1),'計算A'!$B$10:$B$54,"")))))</f>
        <v/>
      </c>
      <c r="I40" s="82">
        <f t="array" ref="I40">IF('計算A'!EW$4=0,"",IF(I11&lt;&gt;"","（決定）",IF('計算A'!EW$108=1,"（空ける）",SUMPRODUCT(('計算A'!EW$60:EW$104=1)*('計算A'!$C$10:$C$54=1))&amp;"人："&amp;_xlfn.TEXTJOIN("、",TRUE,IF(('計算A'!EW$60:EW$104=1)*('計算A'!$C$10:$C$54=1),'計算A'!$B$10:$B$54,"")))))</f>
        <v/>
      </c>
      <c r="J40" s="82">
        <f t="array" ref="J40">IF('計算A'!FU$4=0,"",IF(J11&lt;&gt;"","（決定）",IF('計算A'!FU$108=1,"（空ける）",SUMPRODUCT(('計算A'!FU$60:FU$104=1)*('計算A'!$C$10:$C$54=1))&amp;"人："&amp;_xlfn.TEXTJOIN("、",TRUE,IF(('計算A'!FU$60:FU$104=1)*('計算A'!$C$10:$C$54=1),'計算A'!$B$10:$B$54,"")))))</f>
        <v/>
      </c>
      <c r="K40" s="82">
        <f t="array" ref="K40">IF('計算A'!GS$4=0,"",IF(K11&lt;&gt;"","（決定）",IF('計算A'!GS$108=1,"（空ける）",SUMPRODUCT(('計算A'!GS$60:GS$104=1)*('計算A'!$C$10:$C$54=1))&amp;"人："&amp;_xlfn.TEXTJOIN("、",TRUE,IF(('計算A'!GS$60:GS$104=1)*('計算A'!$C$10:$C$54=1),'計算A'!$B$10:$B$54,"")))))</f>
        <v/>
      </c>
      <c r="L40" s="82">
        <f t="array" ref="L40">IF('計算A'!HQ$4=0,"",IF(L11&lt;&gt;"","（決定）",IF('計算A'!HQ$108=1,"（空ける）",SUMPRODUCT(('計算A'!HQ$60:HQ$104=1)*('計算A'!$C$10:$C$54=1))&amp;"人："&amp;_xlfn.TEXTJOIN("、",TRUE,IF(('計算A'!HQ$60:HQ$104=1)*('計算A'!$C$10:$C$54=1),'計算A'!$B$10:$B$54,"")))))</f>
        <v/>
      </c>
    </row>
    <row r="41" ht="44" customHeight="1">
      <c r="B41" s="42">
        <f>'設定'!$I$17</f>
        <v/>
      </c>
      <c r="C41" s="82">
        <f t="array" ref="C41">IF('計算A'!J$4=0,"",IF(C12&lt;&gt;"","（決定）",IF('計算A'!J$108=1,"（空ける）",SUMPRODUCT(('計算A'!J$60:J$104=1)*('計算A'!$C$10:$C$54=1))&amp;"人："&amp;_xlfn.TEXTJOIN("、",TRUE,IF(('計算A'!J$60:J$104=1)*('計算A'!$C$10:$C$54=1),'計算A'!$B$10:$B$54,"")))))</f>
        <v/>
      </c>
      <c r="D41" s="82">
        <f t="array" ref="D41">IF('計算A'!AH$4=0,"",IF(D12&lt;&gt;"","（決定）",IF('計算A'!AH$108=1,"（空ける）",SUMPRODUCT(('計算A'!AH$60:AH$104=1)*('計算A'!$C$10:$C$54=1))&amp;"人："&amp;_xlfn.TEXTJOIN("、",TRUE,IF(('計算A'!AH$60:AH$104=1)*('計算A'!$C$10:$C$54=1),'計算A'!$B$10:$B$54,"")))))</f>
        <v/>
      </c>
      <c r="E41" s="82">
        <f t="array" ref="E41">IF('計算A'!BF$4=0,"",IF(E12&lt;&gt;"","（決定）",IF('計算A'!BF$108=1,"（空ける）",SUMPRODUCT(('計算A'!BF$60:BF$104=1)*('計算A'!$C$10:$C$54=1))&amp;"人："&amp;_xlfn.TEXTJOIN("、",TRUE,IF(('計算A'!BF$60:BF$104=1)*('計算A'!$C$10:$C$54=1),'計算A'!$B$10:$B$54,"")))))</f>
        <v/>
      </c>
      <c r="F41" s="82">
        <f t="array" ref="F41">IF('計算A'!CD$4=0,"",IF(F12&lt;&gt;"","（決定）",IF('計算A'!CD$108=1,"（空ける）",SUMPRODUCT(('計算A'!CD$60:CD$104=1)*('計算A'!$C$10:$C$54=1))&amp;"人："&amp;_xlfn.TEXTJOIN("、",TRUE,IF(('計算A'!CD$60:CD$104=1)*('計算A'!$C$10:$C$54=1),'計算A'!$B$10:$B$54,"")))))</f>
        <v/>
      </c>
      <c r="G41" s="82">
        <f t="array" ref="G41">IF('計算A'!DB$4=0,"",IF(G12&lt;&gt;"","（決定）",IF('計算A'!DB$108=1,"（空ける）",SUMPRODUCT(('計算A'!DB$60:DB$104=1)*('計算A'!$C$10:$C$54=1))&amp;"人："&amp;_xlfn.TEXTJOIN("、",TRUE,IF(('計算A'!DB$60:DB$104=1)*('計算A'!$C$10:$C$54=1),'計算A'!$B$10:$B$54,"")))))</f>
        <v/>
      </c>
      <c r="H41" s="82">
        <f t="array" ref="H41">IF('計算A'!DZ$4=0,"",IF(H12&lt;&gt;"","（決定）",IF('計算A'!DZ$108=1,"（空ける）",SUMPRODUCT(('計算A'!DZ$60:DZ$104=1)*('計算A'!$C$10:$C$54=1))&amp;"人："&amp;_xlfn.TEXTJOIN("、",TRUE,IF(('計算A'!DZ$60:DZ$104=1)*('計算A'!$C$10:$C$54=1),'計算A'!$B$10:$B$54,"")))))</f>
        <v/>
      </c>
      <c r="I41" s="82">
        <f t="array" ref="I41">IF('計算A'!EX$4=0,"",IF(I12&lt;&gt;"","（決定）",IF('計算A'!EX$108=1,"（空ける）",SUMPRODUCT(('計算A'!EX$60:EX$104=1)*('計算A'!$C$10:$C$54=1))&amp;"人："&amp;_xlfn.TEXTJOIN("、",TRUE,IF(('計算A'!EX$60:EX$104=1)*('計算A'!$C$10:$C$54=1),'計算A'!$B$10:$B$54,"")))))</f>
        <v/>
      </c>
      <c r="J41" s="82">
        <f t="array" ref="J41">IF('計算A'!FV$4=0,"",IF(J12&lt;&gt;"","（決定）",IF('計算A'!FV$108=1,"（空ける）",SUMPRODUCT(('計算A'!FV$60:FV$104=1)*('計算A'!$C$10:$C$54=1))&amp;"人："&amp;_xlfn.TEXTJOIN("、",TRUE,IF(('計算A'!FV$60:FV$104=1)*('計算A'!$C$10:$C$54=1),'計算A'!$B$10:$B$54,"")))))</f>
        <v/>
      </c>
      <c r="K41" s="82">
        <f t="array" ref="K41">IF('計算A'!GT$4=0,"",IF(K12&lt;&gt;"","（決定）",IF('計算A'!GT$108=1,"（空ける）",SUMPRODUCT(('計算A'!GT$60:GT$104=1)*('計算A'!$C$10:$C$54=1))&amp;"人："&amp;_xlfn.TEXTJOIN("、",TRUE,IF(('計算A'!GT$60:GT$104=1)*('計算A'!$C$10:$C$54=1),'計算A'!$B$10:$B$54,"")))))</f>
        <v/>
      </c>
      <c r="L41" s="82">
        <f t="array" ref="L41">IF('計算A'!HR$4=0,"",IF(L12&lt;&gt;"","（決定）",IF('計算A'!HR$108=1,"（空ける）",SUMPRODUCT(('計算A'!HR$60:HR$104=1)*('計算A'!$C$10:$C$54=1))&amp;"人："&amp;_xlfn.TEXTJOIN("、",TRUE,IF(('計算A'!HR$60:HR$104=1)*('計算A'!$C$10:$C$54=1),'計算A'!$B$10:$B$54,"")))))</f>
        <v/>
      </c>
    </row>
    <row r="42" ht="44" customHeight="1">
      <c r="B42" s="42">
        <f>'設定'!$I$18</f>
        <v/>
      </c>
      <c r="C42" s="82">
        <f t="array" ref="C42">IF('計算A'!K$4=0,"",IF(C13&lt;&gt;"","（決定）",IF('計算A'!K$108=1,"（空ける）",SUMPRODUCT(('計算A'!K$60:K$104=1)*('計算A'!$C$10:$C$54=1))&amp;"人："&amp;_xlfn.TEXTJOIN("、",TRUE,IF(('計算A'!K$60:K$104=1)*('計算A'!$C$10:$C$54=1),'計算A'!$B$10:$B$54,"")))))</f>
        <v/>
      </c>
      <c r="D42" s="82">
        <f t="array" ref="D42">IF('計算A'!AI$4=0,"",IF(D13&lt;&gt;"","（決定）",IF('計算A'!AI$108=1,"（空ける）",SUMPRODUCT(('計算A'!AI$60:AI$104=1)*('計算A'!$C$10:$C$54=1))&amp;"人："&amp;_xlfn.TEXTJOIN("、",TRUE,IF(('計算A'!AI$60:AI$104=1)*('計算A'!$C$10:$C$54=1),'計算A'!$B$10:$B$54,"")))))</f>
        <v/>
      </c>
      <c r="E42" s="82">
        <f t="array" ref="E42">IF('計算A'!BG$4=0,"",IF(E13&lt;&gt;"","（決定）",IF('計算A'!BG$108=1,"（空ける）",SUMPRODUCT(('計算A'!BG$60:BG$104=1)*('計算A'!$C$10:$C$54=1))&amp;"人："&amp;_xlfn.TEXTJOIN("、",TRUE,IF(('計算A'!BG$60:BG$104=1)*('計算A'!$C$10:$C$54=1),'計算A'!$B$10:$B$54,"")))))</f>
        <v/>
      </c>
      <c r="F42" s="82">
        <f t="array" ref="F42">IF('計算A'!CE$4=0,"",IF(F13&lt;&gt;"","（決定）",IF('計算A'!CE$108=1,"（空ける）",SUMPRODUCT(('計算A'!CE$60:CE$104=1)*('計算A'!$C$10:$C$54=1))&amp;"人："&amp;_xlfn.TEXTJOIN("、",TRUE,IF(('計算A'!CE$60:CE$104=1)*('計算A'!$C$10:$C$54=1),'計算A'!$B$10:$B$54,"")))))</f>
        <v/>
      </c>
      <c r="G42" s="82">
        <f t="array" ref="G42">IF('計算A'!DC$4=0,"",IF(G13&lt;&gt;"","（決定）",IF('計算A'!DC$108=1,"（空ける）",SUMPRODUCT(('計算A'!DC$60:DC$104=1)*('計算A'!$C$10:$C$54=1))&amp;"人："&amp;_xlfn.TEXTJOIN("、",TRUE,IF(('計算A'!DC$60:DC$104=1)*('計算A'!$C$10:$C$54=1),'計算A'!$B$10:$B$54,"")))))</f>
        <v/>
      </c>
      <c r="H42" s="82">
        <f t="array" ref="H42">IF('計算A'!EA$4=0,"",IF(H13&lt;&gt;"","（決定）",IF('計算A'!EA$108=1,"（空ける）",SUMPRODUCT(('計算A'!EA$60:EA$104=1)*('計算A'!$C$10:$C$54=1))&amp;"人："&amp;_xlfn.TEXTJOIN("、",TRUE,IF(('計算A'!EA$60:EA$104=1)*('計算A'!$C$10:$C$54=1),'計算A'!$B$10:$B$54,"")))))</f>
        <v/>
      </c>
      <c r="I42" s="82">
        <f t="array" ref="I42">IF('計算A'!EY$4=0,"",IF(I13&lt;&gt;"","（決定）",IF('計算A'!EY$108=1,"（空ける）",SUMPRODUCT(('計算A'!EY$60:EY$104=1)*('計算A'!$C$10:$C$54=1))&amp;"人："&amp;_xlfn.TEXTJOIN("、",TRUE,IF(('計算A'!EY$60:EY$104=1)*('計算A'!$C$10:$C$54=1),'計算A'!$B$10:$B$54,"")))))</f>
        <v/>
      </c>
      <c r="J42" s="82">
        <f t="array" ref="J42">IF('計算A'!FW$4=0,"",IF(J13&lt;&gt;"","（決定）",IF('計算A'!FW$108=1,"（空ける）",SUMPRODUCT(('計算A'!FW$60:FW$104=1)*('計算A'!$C$10:$C$54=1))&amp;"人："&amp;_xlfn.TEXTJOIN("、",TRUE,IF(('計算A'!FW$60:FW$104=1)*('計算A'!$C$10:$C$54=1),'計算A'!$B$10:$B$54,"")))))</f>
        <v/>
      </c>
      <c r="K42" s="82">
        <f t="array" ref="K42">IF('計算A'!GU$4=0,"",IF(K13&lt;&gt;"","（決定）",IF('計算A'!GU$108=1,"（空ける）",SUMPRODUCT(('計算A'!GU$60:GU$104=1)*('計算A'!$C$10:$C$54=1))&amp;"人："&amp;_xlfn.TEXTJOIN("、",TRUE,IF(('計算A'!GU$60:GU$104=1)*('計算A'!$C$10:$C$54=1),'計算A'!$B$10:$B$54,"")))))</f>
        <v/>
      </c>
      <c r="L42" s="82">
        <f t="array" ref="L42">IF('計算A'!HS$4=0,"",IF(L13&lt;&gt;"","（決定）",IF('計算A'!HS$108=1,"（空ける）",SUMPRODUCT(('計算A'!HS$60:HS$104=1)*('計算A'!$C$10:$C$54=1))&amp;"人："&amp;_xlfn.TEXTJOIN("、",TRUE,IF(('計算A'!HS$60:HS$104=1)*('計算A'!$C$10:$C$54=1),'計算A'!$B$10:$B$54,"")))))</f>
        <v/>
      </c>
    </row>
    <row r="43" ht="44" customHeight="1">
      <c r="B43" s="42">
        <f>'設定'!$I$19</f>
        <v/>
      </c>
      <c r="C43" s="82">
        <f t="array" ref="C43">IF('計算A'!L$4=0,"",IF(C14&lt;&gt;"","（決定）",IF('計算A'!L$108=1,"（空ける）",SUMPRODUCT(('計算A'!L$60:L$104=1)*('計算A'!$C$10:$C$54=1))&amp;"人："&amp;_xlfn.TEXTJOIN("、",TRUE,IF(('計算A'!L$60:L$104=1)*('計算A'!$C$10:$C$54=1),'計算A'!$B$10:$B$54,"")))))</f>
        <v/>
      </c>
      <c r="D43" s="82">
        <f t="array" ref="D43">IF('計算A'!AJ$4=0,"",IF(D14&lt;&gt;"","（決定）",IF('計算A'!AJ$108=1,"（空ける）",SUMPRODUCT(('計算A'!AJ$60:AJ$104=1)*('計算A'!$C$10:$C$54=1))&amp;"人："&amp;_xlfn.TEXTJOIN("、",TRUE,IF(('計算A'!AJ$60:AJ$104=1)*('計算A'!$C$10:$C$54=1),'計算A'!$B$10:$B$54,"")))))</f>
        <v/>
      </c>
      <c r="E43" s="82">
        <f t="array" ref="E43">IF('計算A'!BH$4=0,"",IF(E14&lt;&gt;"","（決定）",IF('計算A'!BH$108=1,"（空ける）",SUMPRODUCT(('計算A'!BH$60:BH$104=1)*('計算A'!$C$10:$C$54=1))&amp;"人："&amp;_xlfn.TEXTJOIN("、",TRUE,IF(('計算A'!BH$60:BH$104=1)*('計算A'!$C$10:$C$54=1),'計算A'!$B$10:$B$54,"")))))</f>
        <v/>
      </c>
      <c r="F43" s="82">
        <f t="array" ref="F43">IF('計算A'!CF$4=0,"",IF(F14&lt;&gt;"","（決定）",IF('計算A'!CF$108=1,"（空ける）",SUMPRODUCT(('計算A'!CF$60:CF$104=1)*('計算A'!$C$10:$C$54=1))&amp;"人："&amp;_xlfn.TEXTJOIN("、",TRUE,IF(('計算A'!CF$60:CF$104=1)*('計算A'!$C$10:$C$54=1),'計算A'!$B$10:$B$54,"")))))</f>
        <v/>
      </c>
      <c r="G43" s="82">
        <f t="array" ref="G43">IF('計算A'!DD$4=0,"",IF(G14&lt;&gt;"","（決定）",IF('計算A'!DD$108=1,"（空ける）",SUMPRODUCT(('計算A'!DD$60:DD$104=1)*('計算A'!$C$10:$C$54=1))&amp;"人："&amp;_xlfn.TEXTJOIN("、",TRUE,IF(('計算A'!DD$60:DD$104=1)*('計算A'!$C$10:$C$54=1),'計算A'!$B$10:$B$54,"")))))</f>
        <v/>
      </c>
      <c r="H43" s="82">
        <f t="array" ref="H43">IF('計算A'!EB$4=0,"",IF(H14&lt;&gt;"","（決定）",IF('計算A'!EB$108=1,"（空ける）",SUMPRODUCT(('計算A'!EB$60:EB$104=1)*('計算A'!$C$10:$C$54=1))&amp;"人："&amp;_xlfn.TEXTJOIN("、",TRUE,IF(('計算A'!EB$60:EB$104=1)*('計算A'!$C$10:$C$54=1),'計算A'!$B$10:$B$54,"")))))</f>
        <v/>
      </c>
      <c r="I43" s="82">
        <f t="array" ref="I43">IF('計算A'!EZ$4=0,"",IF(I14&lt;&gt;"","（決定）",IF('計算A'!EZ$108=1,"（空ける）",SUMPRODUCT(('計算A'!EZ$60:EZ$104=1)*('計算A'!$C$10:$C$54=1))&amp;"人："&amp;_xlfn.TEXTJOIN("、",TRUE,IF(('計算A'!EZ$60:EZ$104=1)*('計算A'!$C$10:$C$54=1),'計算A'!$B$10:$B$54,"")))))</f>
        <v/>
      </c>
      <c r="J43" s="82">
        <f t="array" ref="J43">IF('計算A'!FX$4=0,"",IF(J14&lt;&gt;"","（決定）",IF('計算A'!FX$108=1,"（空ける）",SUMPRODUCT(('計算A'!FX$60:FX$104=1)*('計算A'!$C$10:$C$54=1))&amp;"人："&amp;_xlfn.TEXTJOIN("、",TRUE,IF(('計算A'!FX$60:FX$104=1)*('計算A'!$C$10:$C$54=1),'計算A'!$B$10:$B$54,"")))))</f>
        <v/>
      </c>
      <c r="K43" s="82">
        <f t="array" ref="K43">IF('計算A'!GV$4=0,"",IF(K14&lt;&gt;"","（決定）",IF('計算A'!GV$108=1,"（空ける）",SUMPRODUCT(('計算A'!GV$60:GV$104=1)*('計算A'!$C$10:$C$54=1))&amp;"人："&amp;_xlfn.TEXTJOIN("、",TRUE,IF(('計算A'!GV$60:GV$104=1)*('計算A'!$C$10:$C$54=1),'計算A'!$B$10:$B$54,"")))))</f>
        <v/>
      </c>
      <c r="L43" s="82">
        <f t="array" ref="L43">IF('計算A'!HT$4=0,"",IF(L14&lt;&gt;"","（決定）",IF('計算A'!HT$108=1,"（空ける）",SUMPRODUCT(('計算A'!HT$60:HT$104=1)*('計算A'!$C$10:$C$54=1))&amp;"人："&amp;_xlfn.TEXTJOIN("、",TRUE,IF(('計算A'!HT$60:HT$104=1)*('計算A'!$C$10:$C$54=1),'計算A'!$B$10:$B$54,"")))))</f>
        <v/>
      </c>
    </row>
    <row r="44" ht="44" customHeight="1">
      <c r="B44" s="42">
        <f>'設定'!$I$20</f>
        <v/>
      </c>
      <c r="C44" s="82">
        <f t="array" ref="C44">IF('計算A'!M$4=0,"",IF(C15&lt;&gt;"","（決定）",IF('計算A'!M$108=1,"（空ける）",SUMPRODUCT(('計算A'!M$60:M$104=1)*('計算A'!$C$10:$C$54=1))&amp;"人："&amp;_xlfn.TEXTJOIN("、",TRUE,IF(('計算A'!M$60:M$104=1)*('計算A'!$C$10:$C$54=1),'計算A'!$B$10:$B$54,"")))))</f>
        <v/>
      </c>
      <c r="D44" s="82">
        <f t="array" ref="D44">IF('計算A'!AK$4=0,"",IF(D15&lt;&gt;"","（決定）",IF('計算A'!AK$108=1,"（空ける）",SUMPRODUCT(('計算A'!AK$60:AK$104=1)*('計算A'!$C$10:$C$54=1))&amp;"人："&amp;_xlfn.TEXTJOIN("、",TRUE,IF(('計算A'!AK$60:AK$104=1)*('計算A'!$C$10:$C$54=1),'計算A'!$B$10:$B$54,"")))))</f>
        <v/>
      </c>
      <c r="E44" s="82">
        <f t="array" ref="E44">IF('計算A'!BI$4=0,"",IF(E15&lt;&gt;"","（決定）",IF('計算A'!BI$108=1,"（空ける）",SUMPRODUCT(('計算A'!BI$60:BI$104=1)*('計算A'!$C$10:$C$54=1))&amp;"人："&amp;_xlfn.TEXTJOIN("、",TRUE,IF(('計算A'!BI$60:BI$104=1)*('計算A'!$C$10:$C$54=1),'計算A'!$B$10:$B$54,"")))))</f>
        <v/>
      </c>
      <c r="F44" s="82">
        <f t="array" ref="F44">IF('計算A'!CG$4=0,"",IF(F15&lt;&gt;"","（決定）",IF('計算A'!CG$108=1,"（空ける）",SUMPRODUCT(('計算A'!CG$60:CG$104=1)*('計算A'!$C$10:$C$54=1))&amp;"人："&amp;_xlfn.TEXTJOIN("、",TRUE,IF(('計算A'!CG$60:CG$104=1)*('計算A'!$C$10:$C$54=1),'計算A'!$B$10:$B$54,"")))))</f>
        <v/>
      </c>
      <c r="G44" s="82">
        <f t="array" ref="G44">IF('計算A'!DE$4=0,"",IF(G15&lt;&gt;"","（決定）",IF('計算A'!DE$108=1,"（空ける）",SUMPRODUCT(('計算A'!DE$60:DE$104=1)*('計算A'!$C$10:$C$54=1))&amp;"人："&amp;_xlfn.TEXTJOIN("、",TRUE,IF(('計算A'!DE$60:DE$104=1)*('計算A'!$C$10:$C$54=1),'計算A'!$B$10:$B$54,"")))))</f>
        <v/>
      </c>
      <c r="H44" s="82">
        <f t="array" ref="H44">IF('計算A'!EC$4=0,"",IF(H15&lt;&gt;"","（決定）",IF('計算A'!EC$108=1,"（空ける）",SUMPRODUCT(('計算A'!EC$60:EC$104=1)*('計算A'!$C$10:$C$54=1))&amp;"人："&amp;_xlfn.TEXTJOIN("、",TRUE,IF(('計算A'!EC$60:EC$104=1)*('計算A'!$C$10:$C$54=1),'計算A'!$B$10:$B$54,"")))))</f>
        <v/>
      </c>
      <c r="I44" s="82">
        <f t="array" ref="I44">IF('計算A'!FA$4=0,"",IF(I15&lt;&gt;"","（決定）",IF('計算A'!FA$108=1,"（空ける）",SUMPRODUCT(('計算A'!FA$60:FA$104=1)*('計算A'!$C$10:$C$54=1))&amp;"人："&amp;_xlfn.TEXTJOIN("、",TRUE,IF(('計算A'!FA$60:FA$104=1)*('計算A'!$C$10:$C$54=1),'計算A'!$B$10:$B$54,"")))))</f>
        <v/>
      </c>
      <c r="J44" s="82">
        <f t="array" ref="J44">IF('計算A'!FY$4=0,"",IF(J15&lt;&gt;"","（決定）",IF('計算A'!FY$108=1,"（空ける）",SUMPRODUCT(('計算A'!FY$60:FY$104=1)*('計算A'!$C$10:$C$54=1))&amp;"人："&amp;_xlfn.TEXTJOIN("、",TRUE,IF(('計算A'!FY$60:FY$104=1)*('計算A'!$C$10:$C$54=1),'計算A'!$B$10:$B$54,"")))))</f>
        <v/>
      </c>
      <c r="K44" s="82">
        <f t="array" ref="K44">IF('計算A'!GW$4=0,"",IF(K15&lt;&gt;"","（決定）",IF('計算A'!GW$108=1,"（空ける）",SUMPRODUCT(('計算A'!GW$60:GW$104=1)*('計算A'!$C$10:$C$54=1))&amp;"人："&amp;_xlfn.TEXTJOIN("、",TRUE,IF(('計算A'!GW$60:GW$104=1)*('計算A'!$C$10:$C$54=1),'計算A'!$B$10:$B$54,"")))))</f>
        <v/>
      </c>
      <c r="L44" s="82">
        <f t="array" ref="L44">IF('計算A'!HU$4=0,"",IF(L15&lt;&gt;"","（決定）",IF('計算A'!HU$108=1,"（空ける）",SUMPRODUCT(('計算A'!HU$60:HU$104=1)*('計算A'!$C$10:$C$54=1))&amp;"人："&amp;_xlfn.TEXTJOIN("、",TRUE,IF(('計算A'!HU$60:HU$104=1)*('計算A'!$C$10:$C$54=1),'計算A'!$B$10:$B$54,"")))))</f>
        <v/>
      </c>
    </row>
    <row r="45" ht="44" customHeight="1">
      <c r="B45" s="42">
        <f>'設定'!$I$21</f>
        <v/>
      </c>
      <c r="C45" s="82">
        <f t="array" ref="C45">IF('計算A'!N$4=0,"",IF(C16&lt;&gt;"","（決定）",IF('計算A'!N$108=1,"（空ける）",SUMPRODUCT(('計算A'!N$60:N$104=1)*('計算A'!$C$10:$C$54=1))&amp;"人："&amp;_xlfn.TEXTJOIN("、",TRUE,IF(('計算A'!N$60:N$104=1)*('計算A'!$C$10:$C$54=1),'計算A'!$B$10:$B$54,"")))))</f>
        <v/>
      </c>
      <c r="D45" s="82">
        <f t="array" ref="D45">IF('計算A'!AL$4=0,"",IF(D16&lt;&gt;"","（決定）",IF('計算A'!AL$108=1,"（空ける）",SUMPRODUCT(('計算A'!AL$60:AL$104=1)*('計算A'!$C$10:$C$54=1))&amp;"人："&amp;_xlfn.TEXTJOIN("、",TRUE,IF(('計算A'!AL$60:AL$104=1)*('計算A'!$C$10:$C$54=1),'計算A'!$B$10:$B$54,"")))))</f>
        <v/>
      </c>
      <c r="E45" s="82">
        <f t="array" ref="E45">IF('計算A'!BJ$4=0,"",IF(E16&lt;&gt;"","（決定）",IF('計算A'!BJ$108=1,"（空ける）",SUMPRODUCT(('計算A'!BJ$60:BJ$104=1)*('計算A'!$C$10:$C$54=1))&amp;"人："&amp;_xlfn.TEXTJOIN("、",TRUE,IF(('計算A'!BJ$60:BJ$104=1)*('計算A'!$C$10:$C$54=1),'計算A'!$B$10:$B$54,"")))))</f>
        <v/>
      </c>
      <c r="F45" s="82">
        <f t="array" ref="F45">IF('計算A'!CH$4=0,"",IF(F16&lt;&gt;"","（決定）",IF('計算A'!CH$108=1,"（空ける）",SUMPRODUCT(('計算A'!CH$60:CH$104=1)*('計算A'!$C$10:$C$54=1))&amp;"人："&amp;_xlfn.TEXTJOIN("、",TRUE,IF(('計算A'!CH$60:CH$104=1)*('計算A'!$C$10:$C$54=1),'計算A'!$B$10:$B$54,"")))))</f>
        <v/>
      </c>
      <c r="G45" s="82">
        <f t="array" ref="G45">IF('計算A'!DF$4=0,"",IF(G16&lt;&gt;"","（決定）",IF('計算A'!DF$108=1,"（空ける）",SUMPRODUCT(('計算A'!DF$60:DF$104=1)*('計算A'!$C$10:$C$54=1))&amp;"人："&amp;_xlfn.TEXTJOIN("、",TRUE,IF(('計算A'!DF$60:DF$104=1)*('計算A'!$C$10:$C$54=1),'計算A'!$B$10:$B$54,"")))))</f>
        <v/>
      </c>
      <c r="H45" s="82">
        <f t="array" ref="H45">IF('計算A'!ED$4=0,"",IF(H16&lt;&gt;"","（決定）",IF('計算A'!ED$108=1,"（空ける）",SUMPRODUCT(('計算A'!ED$60:ED$104=1)*('計算A'!$C$10:$C$54=1))&amp;"人："&amp;_xlfn.TEXTJOIN("、",TRUE,IF(('計算A'!ED$60:ED$104=1)*('計算A'!$C$10:$C$54=1),'計算A'!$B$10:$B$54,"")))))</f>
        <v/>
      </c>
      <c r="I45" s="82">
        <f t="array" ref="I45">IF('計算A'!FB$4=0,"",IF(I16&lt;&gt;"","（決定）",IF('計算A'!FB$108=1,"（空ける）",SUMPRODUCT(('計算A'!FB$60:FB$104=1)*('計算A'!$C$10:$C$54=1))&amp;"人："&amp;_xlfn.TEXTJOIN("、",TRUE,IF(('計算A'!FB$60:FB$104=1)*('計算A'!$C$10:$C$54=1),'計算A'!$B$10:$B$54,"")))))</f>
        <v/>
      </c>
      <c r="J45" s="82">
        <f t="array" ref="J45">IF('計算A'!FZ$4=0,"",IF(J16&lt;&gt;"","（決定）",IF('計算A'!FZ$108=1,"（空ける）",SUMPRODUCT(('計算A'!FZ$60:FZ$104=1)*('計算A'!$C$10:$C$54=1))&amp;"人："&amp;_xlfn.TEXTJOIN("、",TRUE,IF(('計算A'!FZ$60:FZ$104=1)*('計算A'!$C$10:$C$54=1),'計算A'!$B$10:$B$54,"")))))</f>
        <v/>
      </c>
      <c r="K45" s="82">
        <f t="array" ref="K45">IF('計算A'!GX$4=0,"",IF(K16&lt;&gt;"","（決定）",IF('計算A'!GX$108=1,"（空ける）",SUMPRODUCT(('計算A'!GX$60:GX$104=1)*('計算A'!$C$10:$C$54=1))&amp;"人："&amp;_xlfn.TEXTJOIN("、",TRUE,IF(('計算A'!GX$60:GX$104=1)*('計算A'!$C$10:$C$54=1),'計算A'!$B$10:$B$54,"")))))</f>
        <v/>
      </c>
      <c r="L45" s="82">
        <f t="array" ref="L45">IF('計算A'!HV$4=0,"",IF(L16&lt;&gt;"","（決定）",IF('計算A'!HV$108=1,"（空ける）",SUMPRODUCT(('計算A'!HV$60:HV$104=1)*('計算A'!$C$10:$C$54=1))&amp;"人："&amp;_xlfn.TEXTJOIN("、",TRUE,IF(('計算A'!HV$60:HV$104=1)*('計算A'!$C$10:$C$54=1),'計算A'!$B$10:$B$54,"")))))</f>
        <v/>
      </c>
    </row>
    <row r="46" ht="44" customHeight="1">
      <c r="B46" s="42">
        <f>'設定'!$I$22</f>
        <v/>
      </c>
      <c r="C46" s="82">
        <f t="array" ref="C46">IF('計算A'!O$4=0,"",IF(C17&lt;&gt;"","（決定）",IF('計算A'!O$108=1,"（空ける）",SUMPRODUCT(('計算A'!O$60:O$104=1)*('計算A'!$C$10:$C$54=1))&amp;"人："&amp;_xlfn.TEXTJOIN("、",TRUE,IF(('計算A'!O$60:O$104=1)*('計算A'!$C$10:$C$54=1),'計算A'!$B$10:$B$54,"")))))</f>
        <v/>
      </c>
      <c r="D46" s="82">
        <f t="array" ref="D46">IF('計算A'!AM$4=0,"",IF(D17&lt;&gt;"","（決定）",IF('計算A'!AM$108=1,"（空ける）",SUMPRODUCT(('計算A'!AM$60:AM$104=1)*('計算A'!$C$10:$C$54=1))&amp;"人："&amp;_xlfn.TEXTJOIN("、",TRUE,IF(('計算A'!AM$60:AM$104=1)*('計算A'!$C$10:$C$54=1),'計算A'!$B$10:$B$54,"")))))</f>
        <v/>
      </c>
      <c r="E46" s="82">
        <f t="array" ref="E46">IF('計算A'!BK$4=0,"",IF(E17&lt;&gt;"","（決定）",IF('計算A'!BK$108=1,"（空ける）",SUMPRODUCT(('計算A'!BK$60:BK$104=1)*('計算A'!$C$10:$C$54=1))&amp;"人："&amp;_xlfn.TEXTJOIN("、",TRUE,IF(('計算A'!BK$60:BK$104=1)*('計算A'!$C$10:$C$54=1),'計算A'!$B$10:$B$54,"")))))</f>
        <v/>
      </c>
      <c r="F46" s="82">
        <f t="array" ref="F46">IF('計算A'!CI$4=0,"",IF(F17&lt;&gt;"","（決定）",IF('計算A'!CI$108=1,"（空ける）",SUMPRODUCT(('計算A'!CI$60:CI$104=1)*('計算A'!$C$10:$C$54=1))&amp;"人："&amp;_xlfn.TEXTJOIN("、",TRUE,IF(('計算A'!CI$60:CI$104=1)*('計算A'!$C$10:$C$54=1),'計算A'!$B$10:$B$54,"")))))</f>
        <v/>
      </c>
      <c r="G46" s="82">
        <f t="array" ref="G46">IF('計算A'!DG$4=0,"",IF(G17&lt;&gt;"","（決定）",IF('計算A'!DG$108=1,"（空ける）",SUMPRODUCT(('計算A'!DG$60:DG$104=1)*('計算A'!$C$10:$C$54=1))&amp;"人："&amp;_xlfn.TEXTJOIN("、",TRUE,IF(('計算A'!DG$60:DG$104=1)*('計算A'!$C$10:$C$54=1),'計算A'!$B$10:$B$54,"")))))</f>
        <v/>
      </c>
      <c r="H46" s="82">
        <f t="array" ref="H46">IF('計算A'!EE$4=0,"",IF(H17&lt;&gt;"","（決定）",IF('計算A'!EE$108=1,"（空ける）",SUMPRODUCT(('計算A'!EE$60:EE$104=1)*('計算A'!$C$10:$C$54=1))&amp;"人："&amp;_xlfn.TEXTJOIN("、",TRUE,IF(('計算A'!EE$60:EE$104=1)*('計算A'!$C$10:$C$54=1),'計算A'!$B$10:$B$54,"")))))</f>
        <v/>
      </c>
      <c r="I46" s="82">
        <f t="array" ref="I46">IF('計算A'!FC$4=0,"",IF(I17&lt;&gt;"","（決定）",IF('計算A'!FC$108=1,"（空ける）",SUMPRODUCT(('計算A'!FC$60:FC$104=1)*('計算A'!$C$10:$C$54=1))&amp;"人："&amp;_xlfn.TEXTJOIN("、",TRUE,IF(('計算A'!FC$60:FC$104=1)*('計算A'!$C$10:$C$54=1),'計算A'!$B$10:$B$54,"")))))</f>
        <v/>
      </c>
      <c r="J46" s="82">
        <f t="array" ref="J46">IF('計算A'!GA$4=0,"",IF(J17&lt;&gt;"","（決定）",IF('計算A'!GA$108=1,"（空ける）",SUMPRODUCT(('計算A'!GA$60:GA$104=1)*('計算A'!$C$10:$C$54=1))&amp;"人："&amp;_xlfn.TEXTJOIN("、",TRUE,IF(('計算A'!GA$60:GA$104=1)*('計算A'!$C$10:$C$54=1),'計算A'!$B$10:$B$54,"")))))</f>
        <v/>
      </c>
      <c r="K46" s="82">
        <f t="array" ref="K46">IF('計算A'!GY$4=0,"",IF(K17&lt;&gt;"","（決定）",IF('計算A'!GY$108=1,"（空ける）",SUMPRODUCT(('計算A'!GY$60:GY$104=1)*('計算A'!$C$10:$C$54=1))&amp;"人："&amp;_xlfn.TEXTJOIN("、",TRUE,IF(('計算A'!GY$60:GY$104=1)*('計算A'!$C$10:$C$54=1),'計算A'!$B$10:$B$54,"")))))</f>
        <v/>
      </c>
      <c r="L46" s="82">
        <f t="array" ref="L46">IF('計算A'!HW$4=0,"",IF(L17&lt;&gt;"","（決定）",IF('計算A'!HW$108=1,"（空ける）",SUMPRODUCT(('計算A'!HW$60:HW$104=1)*('計算A'!$C$10:$C$54=1))&amp;"人："&amp;_xlfn.TEXTJOIN("、",TRUE,IF(('計算A'!HW$60:HW$104=1)*('計算A'!$C$10:$C$54=1),'計算A'!$B$10:$B$54,"")))))</f>
        <v/>
      </c>
    </row>
    <row r="47" ht="44" customHeight="1">
      <c r="B47" s="42">
        <f>'設定'!$I$23</f>
        <v/>
      </c>
      <c r="C47" s="82">
        <f t="array" ref="C47">IF('計算A'!P$4=0,"",IF(C18&lt;&gt;"","（決定）",IF('計算A'!P$108=1,"（空ける）",SUMPRODUCT(('計算A'!P$60:P$104=1)*('計算A'!$C$10:$C$54=1))&amp;"人："&amp;_xlfn.TEXTJOIN("、",TRUE,IF(('計算A'!P$60:P$104=1)*('計算A'!$C$10:$C$54=1),'計算A'!$B$10:$B$54,"")))))</f>
        <v/>
      </c>
      <c r="D47" s="82">
        <f t="array" ref="D47">IF('計算A'!AN$4=0,"",IF(D18&lt;&gt;"","（決定）",IF('計算A'!AN$108=1,"（空ける）",SUMPRODUCT(('計算A'!AN$60:AN$104=1)*('計算A'!$C$10:$C$54=1))&amp;"人："&amp;_xlfn.TEXTJOIN("、",TRUE,IF(('計算A'!AN$60:AN$104=1)*('計算A'!$C$10:$C$54=1),'計算A'!$B$10:$B$54,"")))))</f>
        <v/>
      </c>
      <c r="E47" s="82">
        <f t="array" ref="E47">IF('計算A'!BL$4=0,"",IF(E18&lt;&gt;"","（決定）",IF('計算A'!BL$108=1,"（空ける）",SUMPRODUCT(('計算A'!BL$60:BL$104=1)*('計算A'!$C$10:$C$54=1))&amp;"人："&amp;_xlfn.TEXTJOIN("、",TRUE,IF(('計算A'!BL$60:BL$104=1)*('計算A'!$C$10:$C$54=1),'計算A'!$B$10:$B$54,"")))))</f>
        <v/>
      </c>
      <c r="F47" s="82">
        <f t="array" ref="F47">IF('計算A'!CJ$4=0,"",IF(F18&lt;&gt;"","（決定）",IF('計算A'!CJ$108=1,"（空ける）",SUMPRODUCT(('計算A'!CJ$60:CJ$104=1)*('計算A'!$C$10:$C$54=1))&amp;"人："&amp;_xlfn.TEXTJOIN("、",TRUE,IF(('計算A'!CJ$60:CJ$104=1)*('計算A'!$C$10:$C$54=1),'計算A'!$B$10:$B$54,"")))))</f>
        <v/>
      </c>
      <c r="G47" s="82">
        <f t="array" ref="G47">IF('計算A'!DH$4=0,"",IF(G18&lt;&gt;"","（決定）",IF('計算A'!DH$108=1,"（空ける）",SUMPRODUCT(('計算A'!DH$60:DH$104=1)*('計算A'!$C$10:$C$54=1))&amp;"人："&amp;_xlfn.TEXTJOIN("、",TRUE,IF(('計算A'!DH$60:DH$104=1)*('計算A'!$C$10:$C$54=1),'計算A'!$B$10:$B$54,"")))))</f>
        <v/>
      </c>
      <c r="H47" s="82">
        <f t="array" ref="H47">IF('計算A'!EF$4=0,"",IF(H18&lt;&gt;"","（決定）",IF('計算A'!EF$108=1,"（空ける）",SUMPRODUCT(('計算A'!EF$60:EF$104=1)*('計算A'!$C$10:$C$54=1))&amp;"人："&amp;_xlfn.TEXTJOIN("、",TRUE,IF(('計算A'!EF$60:EF$104=1)*('計算A'!$C$10:$C$54=1),'計算A'!$B$10:$B$54,"")))))</f>
        <v/>
      </c>
      <c r="I47" s="82">
        <f t="array" ref="I47">IF('計算A'!FD$4=0,"",IF(I18&lt;&gt;"","（決定）",IF('計算A'!FD$108=1,"（空ける）",SUMPRODUCT(('計算A'!FD$60:FD$104=1)*('計算A'!$C$10:$C$54=1))&amp;"人："&amp;_xlfn.TEXTJOIN("、",TRUE,IF(('計算A'!FD$60:FD$104=1)*('計算A'!$C$10:$C$54=1),'計算A'!$B$10:$B$54,"")))))</f>
        <v/>
      </c>
      <c r="J47" s="82">
        <f t="array" ref="J47">IF('計算A'!GB$4=0,"",IF(J18&lt;&gt;"","（決定）",IF('計算A'!GB$108=1,"（空ける）",SUMPRODUCT(('計算A'!GB$60:GB$104=1)*('計算A'!$C$10:$C$54=1))&amp;"人："&amp;_xlfn.TEXTJOIN("、",TRUE,IF(('計算A'!GB$60:GB$104=1)*('計算A'!$C$10:$C$54=1),'計算A'!$B$10:$B$54,"")))))</f>
        <v/>
      </c>
      <c r="K47" s="82">
        <f t="array" ref="K47">IF('計算A'!GZ$4=0,"",IF(K18&lt;&gt;"","（決定）",IF('計算A'!GZ$108=1,"（空ける）",SUMPRODUCT(('計算A'!GZ$60:GZ$104=1)*('計算A'!$C$10:$C$54=1))&amp;"人："&amp;_xlfn.TEXTJOIN("、",TRUE,IF(('計算A'!GZ$60:GZ$104=1)*('計算A'!$C$10:$C$54=1),'計算A'!$B$10:$B$54,"")))))</f>
        <v/>
      </c>
      <c r="L47" s="82">
        <f t="array" ref="L47">IF('計算A'!HX$4=0,"",IF(L18&lt;&gt;"","（決定）",IF('計算A'!HX$108=1,"（空ける）",SUMPRODUCT(('計算A'!HX$60:HX$104=1)*('計算A'!$C$10:$C$54=1))&amp;"人："&amp;_xlfn.TEXTJOIN("、",TRUE,IF(('計算A'!HX$60:HX$104=1)*('計算A'!$C$10:$C$54=1),'計算A'!$B$10:$B$54,"")))))</f>
        <v/>
      </c>
    </row>
    <row r="48" ht="44" customHeight="1">
      <c r="B48" s="42">
        <f>'設定'!$I$24</f>
        <v/>
      </c>
      <c r="C48" s="82">
        <f t="array" ref="C48">IF('計算A'!Q$4=0,"",IF(C19&lt;&gt;"","（決定）",IF('計算A'!Q$108=1,"（空ける）",SUMPRODUCT(('計算A'!Q$60:Q$104=1)*('計算A'!$C$10:$C$54=1))&amp;"人："&amp;_xlfn.TEXTJOIN("、",TRUE,IF(('計算A'!Q$60:Q$104=1)*('計算A'!$C$10:$C$54=1),'計算A'!$B$10:$B$54,"")))))</f>
        <v/>
      </c>
      <c r="D48" s="82">
        <f t="array" ref="D48">IF('計算A'!AO$4=0,"",IF(D19&lt;&gt;"","（決定）",IF('計算A'!AO$108=1,"（空ける）",SUMPRODUCT(('計算A'!AO$60:AO$104=1)*('計算A'!$C$10:$C$54=1))&amp;"人："&amp;_xlfn.TEXTJOIN("、",TRUE,IF(('計算A'!AO$60:AO$104=1)*('計算A'!$C$10:$C$54=1),'計算A'!$B$10:$B$54,"")))))</f>
        <v/>
      </c>
      <c r="E48" s="82">
        <f t="array" ref="E48">IF('計算A'!BM$4=0,"",IF(E19&lt;&gt;"","（決定）",IF('計算A'!BM$108=1,"（空ける）",SUMPRODUCT(('計算A'!BM$60:BM$104=1)*('計算A'!$C$10:$C$54=1))&amp;"人："&amp;_xlfn.TEXTJOIN("、",TRUE,IF(('計算A'!BM$60:BM$104=1)*('計算A'!$C$10:$C$54=1),'計算A'!$B$10:$B$54,"")))))</f>
        <v/>
      </c>
      <c r="F48" s="82">
        <f t="array" ref="F48">IF('計算A'!CK$4=0,"",IF(F19&lt;&gt;"","（決定）",IF('計算A'!CK$108=1,"（空ける）",SUMPRODUCT(('計算A'!CK$60:CK$104=1)*('計算A'!$C$10:$C$54=1))&amp;"人："&amp;_xlfn.TEXTJOIN("、",TRUE,IF(('計算A'!CK$60:CK$104=1)*('計算A'!$C$10:$C$54=1),'計算A'!$B$10:$B$54,"")))))</f>
        <v/>
      </c>
      <c r="G48" s="82">
        <f t="array" ref="G48">IF('計算A'!DI$4=0,"",IF(G19&lt;&gt;"","（決定）",IF('計算A'!DI$108=1,"（空ける）",SUMPRODUCT(('計算A'!DI$60:DI$104=1)*('計算A'!$C$10:$C$54=1))&amp;"人："&amp;_xlfn.TEXTJOIN("、",TRUE,IF(('計算A'!DI$60:DI$104=1)*('計算A'!$C$10:$C$54=1),'計算A'!$B$10:$B$54,"")))))</f>
        <v/>
      </c>
      <c r="H48" s="82">
        <f t="array" ref="H48">IF('計算A'!EG$4=0,"",IF(H19&lt;&gt;"","（決定）",IF('計算A'!EG$108=1,"（空ける）",SUMPRODUCT(('計算A'!EG$60:EG$104=1)*('計算A'!$C$10:$C$54=1))&amp;"人："&amp;_xlfn.TEXTJOIN("、",TRUE,IF(('計算A'!EG$60:EG$104=1)*('計算A'!$C$10:$C$54=1),'計算A'!$B$10:$B$54,"")))))</f>
        <v/>
      </c>
      <c r="I48" s="82">
        <f t="array" ref="I48">IF('計算A'!FE$4=0,"",IF(I19&lt;&gt;"","（決定）",IF('計算A'!FE$108=1,"（空ける）",SUMPRODUCT(('計算A'!FE$60:FE$104=1)*('計算A'!$C$10:$C$54=1))&amp;"人："&amp;_xlfn.TEXTJOIN("、",TRUE,IF(('計算A'!FE$60:FE$104=1)*('計算A'!$C$10:$C$54=1),'計算A'!$B$10:$B$54,"")))))</f>
        <v/>
      </c>
      <c r="J48" s="82">
        <f t="array" ref="J48">IF('計算A'!GC$4=0,"",IF(J19&lt;&gt;"","（決定）",IF('計算A'!GC$108=1,"（空ける）",SUMPRODUCT(('計算A'!GC$60:GC$104=1)*('計算A'!$C$10:$C$54=1))&amp;"人："&amp;_xlfn.TEXTJOIN("、",TRUE,IF(('計算A'!GC$60:GC$104=1)*('計算A'!$C$10:$C$54=1),'計算A'!$B$10:$B$54,"")))))</f>
        <v/>
      </c>
      <c r="K48" s="82">
        <f t="array" ref="K48">IF('計算A'!HA$4=0,"",IF(K19&lt;&gt;"","（決定）",IF('計算A'!HA$108=1,"（空ける）",SUMPRODUCT(('計算A'!HA$60:HA$104=1)*('計算A'!$C$10:$C$54=1))&amp;"人："&amp;_xlfn.TEXTJOIN("、",TRUE,IF(('計算A'!HA$60:HA$104=1)*('計算A'!$C$10:$C$54=1),'計算A'!$B$10:$B$54,"")))))</f>
        <v/>
      </c>
      <c r="L48" s="82">
        <f t="array" ref="L48">IF('計算A'!HY$4=0,"",IF(L19&lt;&gt;"","（決定）",IF('計算A'!HY$108=1,"（空ける）",SUMPRODUCT(('計算A'!HY$60:HY$104=1)*('計算A'!$C$10:$C$54=1))&amp;"人："&amp;_xlfn.TEXTJOIN("、",TRUE,IF(('計算A'!HY$60:HY$104=1)*('計算A'!$C$10:$C$54=1),'計算A'!$B$10:$B$54,"")))))</f>
        <v/>
      </c>
    </row>
    <row r="49" ht="44" customHeight="1">
      <c r="B49" s="42">
        <f>'設定'!$I$25</f>
        <v/>
      </c>
      <c r="C49" s="82">
        <f t="array" ref="C49">IF('計算A'!R$4=0,"",IF(C20&lt;&gt;"","（決定）",IF('計算A'!R$108=1,"（空ける）",SUMPRODUCT(('計算A'!R$60:R$104=1)*('計算A'!$C$10:$C$54=1))&amp;"人："&amp;_xlfn.TEXTJOIN("、",TRUE,IF(('計算A'!R$60:R$104=1)*('計算A'!$C$10:$C$54=1),'計算A'!$B$10:$B$54,"")))))</f>
        <v/>
      </c>
      <c r="D49" s="82">
        <f t="array" ref="D49">IF('計算A'!AP$4=0,"",IF(D20&lt;&gt;"","（決定）",IF('計算A'!AP$108=1,"（空ける）",SUMPRODUCT(('計算A'!AP$60:AP$104=1)*('計算A'!$C$10:$C$54=1))&amp;"人："&amp;_xlfn.TEXTJOIN("、",TRUE,IF(('計算A'!AP$60:AP$104=1)*('計算A'!$C$10:$C$54=1),'計算A'!$B$10:$B$54,"")))))</f>
        <v/>
      </c>
      <c r="E49" s="82">
        <f t="array" ref="E49">IF('計算A'!BN$4=0,"",IF(E20&lt;&gt;"","（決定）",IF('計算A'!BN$108=1,"（空ける）",SUMPRODUCT(('計算A'!BN$60:BN$104=1)*('計算A'!$C$10:$C$54=1))&amp;"人："&amp;_xlfn.TEXTJOIN("、",TRUE,IF(('計算A'!BN$60:BN$104=1)*('計算A'!$C$10:$C$54=1),'計算A'!$B$10:$B$54,"")))))</f>
        <v/>
      </c>
      <c r="F49" s="82">
        <f t="array" ref="F49">IF('計算A'!CL$4=0,"",IF(F20&lt;&gt;"","（決定）",IF('計算A'!CL$108=1,"（空ける）",SUMPRODUCT(('計算A'!CL$60:CL$104=1)*('計算A'!$C$10:$C$54=1))&amp;"人："&amp;_xlfn.TEXTJOIN("、",TRUE,IF(('計算A'!CL$60:CL$104=1)*('計算A'!$C$10:$C$54=1),'計算A'!$B$10:$B$54,"")))))</f>
        <v/>
      </c>
      <c r="G49" s="82">
        <f t="array" ref="G49">IF('計算A'!DJ$4=0,"",IF(G20&lt;&gt;"","（決定）",IF('計算A'!DJ$108=1,"（空ける）",SUMPRODUCT(('計算A'!DJ$60:DJ$104=1)*('計算A'!$C$10:$C$54=1))&amp;"人："&amp;_xlfn.TEXTJOIN("、",TRUE,IF(('計算A'!DJ$60:DJ$104=1)*('計算A'!$C$10:$C$54=1),'計算A'!$B$10:$B$54,"")))))</f>
        <v/>
      </c>
      <c r="H49" s="82">
        <f t="array" ref="H49">IF('計算A'!EH$4=0,"",IF(H20&lt;&gt;"","（決定）",IF('計算A'!EH$108=1,"（空ける）",SUMPRODUCT(('計算A'!EH$60:EH$104=1)*('計算A'!$C$10:$C$54=1))&amp;"人："&amp;_xlfn.TEXTJOIN("、",TRUE,IF(('計算A'!EH$60:EH$104=1)*('計算A'!$C$10:$C$54=1),'計算A'!$B$10:$B$54,"")))))</f>
        <v/>
      </c>
      <c r="I49" s="82">
        <f t="array" ref="I49">IF('計算A'!FF$4=0,"",IF(I20&lt;&gt;"","（決定）",IF('計算A'!FF$108=1,"（空ける）",SUMPRODUCT(('計算A'!FF$60:FF$104=1)*('計算A'!$C$10:$C$54=1))&amp;"人："&amp;_xlfn.TEXTJOIN("、",TRUE,IF(('計算A'!FF$60:FF$104=1)*('計算A'!$C$10:$C$54=1),'計算A'!$B$10:$B$54,"")))))</f>
        <v/>
      </c>
      <c r="J49" s="82">
        <f t="array" ref="J49">IF('計算A'!GD$4=0,"",IF(J20&lt;&gt;"","（決定）",IF('計算A'!GD$108=1,"（空ける）",SUMPRODUCT(('計算A'!GD$60:GD$104=1)*('計算A'!$C$10:$C$54=1))&amp;"人："&amp;_xlfn.TEXTJOIN("、",TRUE,IF(('計算A'!GD$60:GD$104=1)*('計算A'!$C$10:$C$54=1),'計算A'!$B$10:$B$54,"")))))</f>
        <v/>
      </c>
      <c r="K49" s="82">
        <f t="array" ref="K49">IF('計算A'!HB$4=0,"",IF(K20&lt;&gt;"","（決定）",IF('計算A'!HB$108=1,"（空ける）",SUMPRODUCT(('計算A'!HB$60:HB$104=1)*('計算A'!$C$10:$C$54=1))&amp;"人："&amp;_xlfn.TEXTJOIN("、",TRUE,IF(('計算A'!HB$60:HB$104=1)*('計算A'!$C$10:$C$54=1),'計算A'!$B$10:$B$54,"")))))</f>
        <v/>
      </c>
      <c r="L49" s="82">
        <f t="array" ref="L49">IF('計算A'!HZ$4=0,"",IF(L20&lt;&gt;"","（決定）",IF('計算A'!HZ$108=1,"（空ける）",SUMPRODUCT(('計算A'!HZ$60:HZ$104=1)*('計算A'!$C$10:$C$54=1))&amp;"人："&amp;_xlfn.TEXTJOIN("、",TRUE,IF(('計算A'!HZ$60:HZ$104=1)*('計算A'!$C$10:$C$54=1),'計算A'!$B$10:$B$54,"")))))</f>
        <v/>
      </c>
    </row>
    <row r="50" ht="44" customHeight="1">
      <c r="B50" s="42">
        <f>'設定'!$I$26</f>
        <v/>
      </c>
      <c r="C50" s="82">
        <f t="array" ref="C50">IF('計算A'!S$4=0,"",IF(C21&lt;&gt;"","（決定）",IF('計算A'!S$108=1,"（空ける）",SUMPRODUCT(('計算A'!S$60:S$104=1)*('計算A'!$C$10:$C$54=1))&amp;"人："&amp;_xlfn.TEXTJOIN("、",TRUE,IF(('計算A'!S$60:S$104=1)*('計算A'!$C$10:$C$54=1),'計算A'!$B$10:$B$54,"")))))</f>
        <v/>
      </c>
      <c r="D50" s="82">
        <f t="array" ref="D50">IF('計算A'!AQ$4=0,"",IF(D21&lt;&gt;"","（決定）",IF('計算A'!AQ$108=1,"（空ける）",SUMPRODUCT(('計算A'!AQ$60:AQ$104=1)*('計算A'!$C$10:$C$54=1))&amp;"人："&amp;_xlfn.TEXTJOIN("、",TRUE,IF(('計算A'!AQ$60:AQ$104=1)*('計算A'!$C$10:$C$54=1),'計算A'!$B$10:$B$54,"")))))</f>
        <v/>
      </c>
      <c r="E50" s="82">
        <f t="array" ref="E50">IF('計算A'!BO$4=0,"",IF(E21&lt;&gt;"","（決定）",IF('計算A'!BO$108=1,"（空ける）",SUMPRODUCT(('計算A'!BO$60:BO$104=1)*('計算A'!$C$10:$C$54=1))&amp;"人："&amp;_xlfn.TEXTJOIN("、",TRUE,IF(('計算A'!BO$60:BO$104=1)*('計算A'!$C$10:$C$54=1),'計算A'!$B$10:$B$54,"")))))</f>
        <v/>
      </c>
      <c r="F50" s="82">
        <f t="array" ref="F50">IF('計算A'!CM$4=0,"",IF(F21&lt;&gt;"","（決定）",IF('計算A'!CM$108=1,"（空ける）",SUMPRODUCT(('計算A'!CM$60:CM$104=1)*('計算A'!$C$10:$C$54=1))&amp;"人："&amp;_xlfn.TEXTJOIN("、",TRUE,IF(('計算A'!CM$60:CM$104=1)*('計算A'!$C$10:$C$54=1),'計算A'!$B$10:$B$54,"")))))</f>
        <v/>
      </c>
      <c r="G50" s="82">
        <f t="array" ref="G50">IF('計算A'!DK$4=0,"",IF(G21&lt;&gt;"","（決定）",IF('計算A'!DK$108=1,"（空ける）",SUMPRODUCT(('計算A'!DK$60:DK$104=1)*('計算A'!$C$10:$C$54=1))&amp;"人："&amp;_xlfn.TEXTJOIN("、",TRUE,IF(('計算A'!DK$60:DK$104=1)*('計算A'!$C$10:$C$54=1),'計算A'!$B$10:$B$54,"")))))</f>
        <v/>
      </c>
      <c r="H50" s="82">
        <f t="array" ref="H50">IF('計算A'!EI$4=0,"",IF(H21&lt;&gt;"","（決定）",IF('計算A'!EI$108=1,"（空ける）",SUMPRODUCT(('計算A'!EI$60:EI$104=1)*('計算A'!$C$10:$C$54=1))&amp;"人："&amp;_xlfn.TEXTJOIN("、",TRUE,IF(('計算A'!EI$60:EI$104=1)*('計算A'!$C$10:$C$54=1),'計算A'!$B$10:$B$54,"")))))</f>
        <v/>
      </c>
      <c r="I50" s="82">
        <f t="array" ref="I50">IF('計算A'!FG$4=0,"",IF(I21&lt;&gt;"","（決定）",IF('計算A'!FG$108=1,"（空ける）",SUMPRODUCT(('計算A'!FG$60:FG$104=1)*('計算A'!$C$10:$C$54=1))&amp;"人："&amp;_xlfn.TEXTJOIN("、",TRUE,IF(('計算A'!FG$60:FG$104=1)*('計算A'!$C$10:$C$54=1),'計算A'!$B$10:$B$54,"")))))</f>
        <v/>
      </c>
      <c r="J50" s="82">
        <f t="array" ref="J50">IF('計算A'!GE$4=0,"",IF(J21&lt;&gt;"","（決定）",IF('計算A'!GE$108=1,"（空ける）",SUMPRODUCT(('計算A'!GE$60:GE$104=1)*('計算A'!$C$10:$C$54=1))&amp;"人："&amp;_xlfn.TEXTJOIN("、",TRUE,IF(('計算A'!GE$60:GE$104=1)*('計算A'!$C$10:$C$54=1),'計算A'!$B$10:$B$54,"")))))</f>
        <v/>
      </c>
      <c r="K50" s="82">
        <f t="array" ref="K50">IF('計算A'!HC$4=0,"",IF(K21&lt;&gt;"","（決定）",IF('計算A'!HC$108=1,"（空ける）",SUMPRODUCT(('計算A'!HC$60:HC$104=1)*('計算A'!$C$10:$C$54=1))&amp;"人："&amp;_xlfn.TEXTJOIN("、",TRUE,IF(('計算A'!HC$60:HC$104=1)*('計算A'!$C$10:$C$54=1),'計算A'!$B$10:$B$54,"")))))</f>
        <v/>
      </c>
      <c r="L50" s="82">
        <f t="array" ref="L50">IF('計算A'!IA$4=0,"",IF(L21&lt;&gt;"","（決定）",IF('計算A'!IA$108=1,"（空ける）",SUMPRODUCT(('計算A'!IA$60:IA$104=1)*('計算A'!$C$10:$C$54=1))&amp;"人："&amp;_xlfn.TEXTJOIN("、",TRUE,IF(('計算A'!IA$60:IA$104=1)*('計算A'!$C$10:$C$54=1),'計算A'!$B$10:$B$54,"")))))</f>
        <v/>
      </c>
    </row>
    <row r="51" ht="44" customHeight="1">
      <c r="B51" s="42">
        <f>'設定'!$I$27</f>
        <v/>
      </c>
      <c r="C51" s="82">
        <f t="array" ref="C51">IF('計算A'!T$4=0,"",IF(C22&lt;&gt;"","（決定）",IF('計算A'!T$108=1,"（空ける）",SUMPRODUCT(('計算A'!T$60:T$104=1)*('計算A'!$C$10:$C$54=1))&amp;"人："&amp;_xlfn.TEXTJOIN("、",TRUE,IF(('計算A'!T$60:T$104=1)*('計算A'!$C$10:$C$54=1),'計算A'!$B$10:$B$54,"")))))</f>
        <v/>
      </c>
      <c r="D51" s="82">
        <f t="array" ref="D51">IF('計算A'!AR$4=0,"",IF(D22&lt;&gt;"","（決定）",IF('計算A'!AR$108=1,"（空ける）",SUMPRODUCT(('計算A'!AR$60:AR$104=1)*('計算A'!$C$10:$C$54=1))&amp;"人："&amp;_xlfn.TEXTJOIN("、",TRUE,IF(('計算A'!AR$60:AR$104=1)*('計算A'!$C$10:$C$54=1),'計算A'!$B$10:$B$54,"")))))</f>
        <v/>
      </c>
      <c r="E51" s="82">
        <f t="array" ref="E51">IF('計算A'!BP$4=0,"",IF(E22&lt;&gt;"","（決定）",IF('計算A'!BP$108=1,"（空ける）",SUMPRODUCT(('計算A'!BP$60:BP$104=1)*('計算A'!$C$10:$C$54=1))&amp;"人："&amp;_xlfn.TEXTJOIN("、",TRUE,IF(('計算A'!BP$60:BP$104=1)*('計算A'!$C$10:$C$54=1),'計算A'!$B$10:$B$54,"")))))</f>
        <v/>
      </c>
      <c r="F51" s="82">
        <f t="array" ref="F51">IF('計算A'!CN$4=0,"",IF(F22&lt;&gt;"","（決定）",IF('計算A'!CN$108=1,"（空ける）",SUMPRODUCT(('計算A'!CN$60:CN$104=1)*('計算A'!$C$10:$C$54=1))&amp;"人："&amp;_xlfn.TEXTJOIN("、",TRUE,IF(('計算A'!CN$60:CN$104=1)*('計算A'!$C$10:$C$54=1),'計算A'!$B$10:$B$54,"")))))</f>
        <v/>
      </c>
      <c r="G51" s="82">
        <f t="array" ref="G51">IF('計算A'!DL$4=0,"",IF(G22&lt;&gt;"","（決定）",IF('計算A'!DL$108=1,"（空ける）",SUMPRODUCT(('計算A'!DL$60:DL$104=1)*('計算A'!$C$10:$C$54=1))&amp;"人："&amp;_xlfn.TEXTJOIN("、",TRUE,IF(('計算A'!DL$60:DL$104=1)*('計算A'!$C$10:$C$54=1),'計算A'!$B$10:$B$54,"")))))</f>
        <v/>
      </c>
      <c r="H51" s="82">
        <f t="array" ref="H51">IF('計算A'!EJ$4=0,"",IF(H22&lt;&gt;"","（決定）",IF('計算A'!EJ$108=1,"（空ける）",SUMPRODUCT(('計算A'!EJ$60:EJ$104=1)*('計算A'!$C$10:$C$54=1))&amp;"人："&amp;_xlfn.TEXTJOIN("、",TRUE,IF(('計算A'!EJ$60:EJ$104=1)*('計算A'!$C$10:$C$54=1),'計算A'!$B$10:$B$54,"")))))</f>
        <v/>
      </c>
      <c r="I51" s="82">
        <f t="array" ref="I51">IF('計算A'!FH$4=0,"",IF(I22&lt;&gt;"","（決定）",IF('計算A'!FH$108=1,"（空ける）",SUMPRODUCT(('計算A'!FH$60:FH$104=1)*('計算A'!$C$10:$C$54=1))&amp;"人："&amp;_xlfn.TEXTJOIN("、",TRUE,IF(('計算A'!FH$60:FH$104=1)*('計算A'!$C$10:$C$54=1),'計算A'!$B$10:$B$54,"")))))</f>
        <v/>
      </c>
      <c r="J51" s="82">
        <f t="array" ref="J51">IF('計算A'!GF$4=0,"",IF(J22&lt;&gt;"","（決定）",IF('計算A'!GF$108=1,"（空ける）",SUMPRODUCT(('計算A'!GF$60:GF$104=1)*('計算A'!$C$10:$C$54=1))&amp;"人："&amp;_xlfn.TEXTJOIN("、",TRUE,IF(('計算A'!GF$60:GF$104=1)*('計算A'!$C$10:$C$54=1),'計算A'!$B$10:$B$54,"")))))</f>
        <v/>
      </c>
      <c r="K51" s="82">
        <f t="array" ref="K51">IF('計算A'!HD$4=0,"",IF(K22&lt;&gt;"","（決定）",IF('計算A'!HD$108=1,"（空ける）",SUMPRODUCT(('計算A'!HD$60:HD$104=1)*('計算A'!$C$10:$C$54=1))&amp;"人："&amp;_xlfn.TEXTJOIN("、",TRUE,IF(('計算A'!HD$60:HD$104=1)*('計算A'!$C$10:$C$54=1),'計算A'!$B$10:$B$54,"")))))</f>
        <v/>
      </c>
      <c r="L51" s="82">
        <f t="array" ref="L51">IF('計算A'!IB$4=0,"",IF(L22&lt;&gt;"","（決定）",IF('計算A'!IB$108=1,"（空ける）",SUMPRODUCT(('計算A'!IB$60:IB$104=1)*('計算A'!$C$10:$C$54=1))&amp;"人："&amp;_xlfn.TEXTJOIN("、",TRUE,IF(('計算A'!IB$60:IB$104=1)*('計算A'!$C$10:$C$54=1),'計算A'!$B$10:$B$54,"")))))</f>
        <v/>
      </c>
    </row>
    <row r="52" ht="44" customHeight="1">
      <c r="B52" s="42">
        <f>'設定'!$I$28</f>
        <v/>
      </c>
      <c r="C52" s="82">
        <f t="array" ref="C52">IF('計算A'!U$4=0,"",IF(C23&lt;&gt;"","（決定）",IF('計算A'!U$108=1,"（空ける）",SUMPRODUCT(('計算A'!U$60:U$104=1)*('計算A'!$C$10:$C$54=1))&amp;"人："&amp;_xlfn.TEXTJOIN("、",TRUE,IF(('計算A'!U$60:U$104=1)*('計算A'!$C$10:$C$54=1),'計算A'!$B$10:$B$54,"")))))</f>
        <v/>
      </c>
      <c r="D52" s="82">
        <f t="array" ref="D52">IF('計算A'!AS$4=0,"",IF(D23&lt;&gt;"","（決定）",IF('計算A'!AS$108=1,"（空ける）",SUMPRODUCT(('計算A'!AS$60:AS$104=1)*('計算A'!$C$10:$C$54=1))&amp;"人："&amp;_xlfn.TEXTJOIN("、",TRUE,IF(('計算A'!AS$60:AS$104=1)*('計算A'!$C$10:$C$54=1),'計算A'!$B$10:$B$54,"")))))</f>
        <v/>
      </c>
      <c r="E52" s="82">
        <f t="array" ref="E52">IF('計算A'!BQ$4=0,"",IF(E23&lt;&gt;"","（決定）",IF('計算A'!BQ$108=1,"（空ける）",SUMPRODUCT(('計算A'!BQ$60:BQ$104=1)*('計算A'!$C$10:$C$54=1))&amp;"人："&amp;_xlfn.TEXTJOIN("、",TRUE,IF(('計算A'!BQ$60:BQ$104=1)*('計算A'!$C$10:$C$54=1),'計算A'!$B$10:$B$54,"")))))</f>
        <v/>
      </c>
      <c r="F52" s="82">
        <f t="array" ref="F52">IF('計算A'!CO$4=0,"",IF(F23&lt;&gt;"","（決定）",IF('計算A'!CO$108=1,"（空ける）",SUMPRODUCT(('計算A'!CO$60:CO$104=1)*('計算A'!$C$10:$C$54=1))&amp;"人："&amp;_xlfn.TEXTJOIN("、",TRUE,IF(('計算A'!CO$60:CO$104=1)*('計算A'!$C$10:$C$54=1),'計算A'!$B$10:$B$54,"")))))</f>
        <v/>
      </c>
      <c r="G52" s="82">
        <f t="array" ref="G52">IF('計算A'!DM$4=0,"",IF(G23&lt;&gt;"","（決定）",IF('計算A'!DM$108=1,"（空ける）",SUMPRODUCT(('計算A'!DM$60:DM$104=1)*('計算A'!$C$10:$C$54=1))&amp;"人："&amp;_xlfn.TEXTJOIN("、",TRUE,IF(('計算A'!DM$60:DM$104=1)*('計算A'!$C$10:$C$54=1),'計算A'!$B$10:$B$54,"")))))</f>
        <v/>
      </c>
      <c r="H52" s="82">
        <f t="array" ref="H52">IF('計算A'!EK$4=0,"",IF(H23&lt;&gt;"","（決定）",IF('計算A'!EK$108=1,"（空ける）",SUMPRODUCT(('計算A'!EK$60:EK$104=1)*('計算A'!$C$10:$C$54=1))&amp;"人："&amp;_xlfn.TEXTJOIN("、",TRUE,IF(('計算A'!EK$60:EK$104=1)*('計算A'!$C$10:$C$54=1),'計算A'!$B$10:$B$54,"")))))</f>
        <v/>
      </c>
      <c r="I52" s="82">
        <f t="array" ref="I52">IF('計算A'!FI$4=0,"",IF(I23&lt;&gt;"","（決定）",IF('計算A'!FI$108=1,"（空ける）",SUMPRODUCT(('計算A'!FI$60:FI$104=1)*('計算A'!$C$10:$C$54=1))&amp;"人："&amp;_xlfn.TEXTJOIN("、",TRUE,IF(('計算A'!FI$60:FI$104=1)*('計算A'!$C$10:$C$54=1),'計算A'!$B$10:$B$54,"")))))</f>
        <v/>
      </c>
      <c r="J52" s="82">
        <f t="array" ref="J52">IF('計算A'!GG$4=0,"",IF(J23&lt;&gt;"","（決定）",IF('計算A'!GG$108=1,"（空ける）",SUMPRODUCT(('計算A'!GG$60:GG$104=1)*('計算A'!$C$10:$C$54=1))&amp;"人："&amp;_xlfn.TEXTJOIN("、",TRUE,IF(('計算A'!GG$60:GG$104=1)*('計算A'!$C$10:$C$54=1),'計算A'!$B$10:$B$54,"")))))</f>
        <v/>
      </c>
      <c r="K52" s="82">
        <f t="array" ref="K52">IF('計算A'!HE$4=0,"",IF(K23&lt;&gt;"","（決定）",IF('計算A'!HE$108=1,"（空ける）",SUMPRODUCT(('計算A'!HE$60:HE$104=1)*('計算A'!$C$10:$C$54=1))&amp;"人："&amp;_xlfn.TEXTJOIN("、",TRUE,IF(('計算A'!HE$60:HE$104=1)*('計算A'!$C$10:$C$54=1),'計算A'!$B$10:$B$54,"")))))</f>
        <v/>
      </c>
      <c r="L52" s="82">
        <f t="array" ref="L52">IF('計算A'!IC$4=0,"",IF(L23&lt;&gt;"","（決定）",IF('計算A'!IC$108=1,"（空ける）",SUMPRODUCT(('計算A'!IC$60:IC$104=1)*('計算A'!$C$10:$C$54=1))&amp;"人："&amp;_xlfn.TEXTJOIN("、",TRUE,IF(('計算A'!IC$60:IC$104=1)*('計算A'!$C$10:$C$54=1),'計算A'!$B$10:$B$54,"")))))</f>
        <v/>
      </c>
    </row>
    <row r="53" ht="44" customHeight="1">
      <c r="B53" s="42">
        <f>'設定'!$I$29</f>
        <v/>
      </c>
      <c r="C53" s="82">
        <f t="array" ref="C53">IF('計算A'!V$4=0,"",IF(C24&lt;&gt;"","（決定）",IF('計算A'!V$108=1,"（空ける）",SUMPRODUCT(('計算A'!V$60:V$104=1)*('計算A'!$C$10:$C$54=1))&amp;"人："&amp;_xlfn.TEXTJOIN("、",TRUE,IF(('計算A'!V$60:V$104=1)*('計算A'!$C$10:$C$54=1),'計算A'!$B$10:$B$54,"")))))</f>
        <v/>
      </c>
      <c r="D53" s="82">
        <f t="array" ref="D53">IF('計算A'!AT$4=0,"",IF(D24&lt;&gt;"","（決定）",IF('計算A'!AT$108=1,"（空ける）",SUMPRODUCT(('計算A'!AT$60:AT$104=1)*('計算A'!$C$10:$C$54=1))&amp;"人："&amp;_xlfn.TEXTJOIN("、",TRUE,IF(('計算A'!AT$60:AT$104=1)*('計算A'!$C$10:$C$54=1),'計算A'!$B$10:$B$54,"")))))</f>
        <v/>
      </c>
      <c r="E53" s="82">
        <f t="array" ref="E53">IF('計算A'!BR$4=0,"",IF(E24&lt;&gt;"","（決定）",IF('計算A'!BR$108=1,"（空ける）",SUMPRODUCT(('計算A'!BR$60:BR$104=1)*('計算A'!$C$10:$C$54=1))&amp;"人："&amp;_xlfn.TEXTJOIN("、",TRUE,IF(('計算A'!BR$60:BR$104=1)*('計算A'!$C$10:$C$54=1),'計算A'!$B$10:$B$54,"")))))</f>
        <v/>
      </c>
      <c r="F53" s="82">
        <f t="array" ref="F53">IF('計算A'!CP$4=0,"",IF(F24&lt;&gt;"","（決定）",IF('計算A'!CP$108=1,"（空ける）",SUMPRODUCT(('計算A'!CP$60:CP$104=1)*('計算A'!$C$10:$C$54=1))&amp;"人："&amp;_xlfn.TEXTJOIN("、",TRUE,IF(('計算A'!CP$60:CP$104=1)*('計算A'!$C$10:$C$54=1),'計算A'!$B$10:$B$54,"")))))</f>
        <v/>
      </c>
      <c r="G53" s="82">
        <f t="array" ref="G53">IF('計算A'!DN$4=0,"",IF(G24&lt;&gt;"","（決定）",IF('計算A'!DN$108=1,"（空ける）",SUMPRODUCT(('計算A'!DN$60:DN$104=1)*('計算A'!$C$10:$C$54=1))&amp;"人："&amp;_xlfn.TEXTJOIN("、",TRUE,IF(('計算A'!DN$60:DN$104=1)*('計算A'!$C$10:$C$54=1),'計算A'!$B$10:$B$54,"")))))</f>
        <v/>
      </c>
      <c r="H53" s="82">
        <f t="array" ref="H53">IF('計算A'!EL$4=0,"",IF(H24&lt;&gt;"","（決定）",IF('計算A'!EL$108=1,"（空ける）",SUMPRODUCT(('計算A'!EL$60:EL$104=1)*('計算A'!$C$10:$C$54=1))&amp;"人："&amp;_xlfn.TEXTJOIN("、",TRUE,IF(('計算A'!EL$60:EL$104=1)*('計算A'!$C$10:$C$54=1),'計算A'!$B$10:$B$54,"")))))</f>
        <v/>
      </c>
      <c r="I53" s="82">
        <f t="array" ref="I53">IF('計算A'!FJ$4=0,"",IF(I24&lt;&gt;"","（決定）",IF('計算A'!FJ$108=1,"（空ける）",SUMPRODUCT(('計算A'!FJ$60:FJ$104=1)*('計算A'!$C$10:$C$54=1))&amp;"人："&amp;_xlfn.TEXTJOIN("、",TRUE,IF(('計算A'!FJ$60:FJ$104=1)*('計算A'!$C$10:$C$54=1),'計算A'!$B$10:$B$54,"")))))</f>
        <v/>
      </c>
      <c r="J53" s="82">
        <f t="array" ref="J53">IF('計算A'!GH$4=0,"",IF(J24&lt;&gt;"","（決定）",IF('計算A'!GH$108=1,"（空ける）",SUMPRODUCT(('計算A'!GH$60:GH$104=1)*('計算A'!$C$10:$C$54=1))&amp;"人："&amp;_xlfn.TEXTJOIN("、",TRUE,IF(('計算A'!GH$60:GH$104=1)*('計算A'!$C$10:$C$54=1),'計算A'!$B$10:$B$54,"")))))</f>
        <v/>
      </c>
      <c r="K53" s="82">
        <f t="array" ref="K53">IF('計算A'!HF$4=0,"",IF(K24&lt;&gt;"","（決定）",IF('計算A'!HF$108=1,"（空ける）",SUMPRODUCT(('計算A'!HF$60:HF$104=1)*('計算A'!$C$10:$C$54=1))&amp;"人："&amp;_xlfn.TEXTJOIN("、",TRUE,IF(('計算A'!HF$60:HF$104=1)*('計算A'!$C$10:$C$54=1),'計算A'!$B$10:$B$54,"")))))</f>
        <v/>
      </c>
      <c r="L53" s="82">
        <f t="array" ref="L53">IF('計算A'!ID$4=0,"",IF(L24&lt;&gt;"","（決定）",IF('計算A'!ID$108=1,"（空ける）",SUMPRODUCT(('計算A'!ID$60:ID$104=1)*('計算A'!$C$10:$C$54=1))&amp;"人："&amp;_xlfn.TEXTJOIN("、",TRUE,IF(('計算A'!ID$60:ID$104=1)*('計算A'!$C$10:$C$54=1),'計算A'!$B$10:$B$54,"")))))</f>
        <v/>
      </c>
    </row>
    <row r="54" ht="44" customHeight="1">
      <c r="B54" s="42">
        <f>'設定'!$I$30</f>
        <v/>
      </c>
      <c r="C54" s="82">
        <f t="array" ref="C54">IF('計算A'!W$4=0,"",IF(C25&lt;&gt;"","（決定）",IF('計算A'!W$108=1,"（空ける）",SUMPRODUCT(('計算A'!W$60:W$104=1)*('計算A'!$C$10:$C$54=1))&amp;"人："&amp;_xlfn.TEXTJOIN("、",TRUE,IF(('計算A'!W$60:W$104=1)*('計算A'!$C$10:$C$54=1),'計算A'!$B$10:$B$54,"")))))</f>
        <v/>
      </c>
      <c r="D54" s="82">
        <f t="array" ref="D54">IF('計算A'!AU$4=0,"",IF(D25&lt;&gt;"","（決定）",IF('計算A'!AU$108=1,"（空ける）",SUMPRODUCT(('計算A'!AU$60:AU$104=1)*('計算A'!$C$10:$C$54=1))&amp;"人："&amp;_xlfn.TEXTJOIN("、",TRUE,IF(('計算A'!AU$60:AU$104=1)*('計算A'!$C$10:$C$54=1),'計算A'!$B$10:$B$54,"")))))</f>
        <v/>
      </c>
      <c r="E54" s="82">
        <f t="array" ref="E54">IF('計算A'!BS$4=0,"",IF(E25&lt;&gt;"","（決定）",IF('計算A'!BS$108=1,"（空ける）",SUMPRODUCT(('計算A'!BS$60:BS$104=1)*('計算A'!$C$10:$C$54=1))&amp;"人："&amp;_xlfn.TEXTJOIN("、",TRUE,IF(('計算A'!BS$60:BS$104=1)*('計算A'!$C$10:$C$54=1),'計算A'!$B$10:$B$54,"")))))</f>
        <v/>
      </c>
      <c r="F54" s="82">
        <f t="array" ref="F54">IF('計算A'!CQ$4=0,"",IF(F25&lt;&gt;"","（決定）",IF('計算A'!CQ$108=1,"（空ける）",SUMPRODUCT(('計算A'!CQ$60:CQ$104=1)*('計算A'!$C$10:$C$54=1))&amp;"人："&amp;_xlfn.TEXTJOIN("、",TRUE,IF(('計算A'!CQ$60:CQ$104=1)*('計算A'!$C$10:$C$54=1),'計算A'!$B$10:$B$54,"")))))</f>
        <v/>
      </c>
      <c r="G54" s="82">
        <f t="array" ref="G54">IF('計算A'!DO$4=0,"",IF(G25&lt;&gt;"","（決定）",IF('計算A'!DO$108=1,"（空ける）",SUMPRODUCT(('計算A'!DO$60:DO$104=1)*('計算A'!$C$10:$C$54=1))&amp;"人："&amp;_xlfn.TEXTJOIN("、",TRUE,IF(('計算A'!DO$60:DO$104=1)*('計算A'!$C$10:$C$54=1),'計算A'!$B$10:$B$54,"")))))</f>
        <v/>
      </c>
      <c r="H54" s="82">
        <f t="array" ref="H54">IF('計算A'!EM$4=0,"",IF(H25&lt;&gt;"","（決定）",IF('計算A'!EM$108=1,"（空ける）",SUMPRODUCT(('計算A'!EM$60:EM$104=1)*('計算A'!$C$10:$C$54=1))&amp;"人："&amp;_xlfn.TEXTJOIN("、",TRUE,IF(('計算A'!EM$60:EM$104=1)*('計算A'!$C$10:$C$54=1),'計算A'!$B$10:$B$54,"")))))</f>
        <v/>
      </c>
      <c r="I54" s="82">
        <f t="array" ref="I54">IF('計算A'!FK$4=0,"",IF(I25&lt;&gt;"","（決定）",IF('計算A'!FK$108=1,"（空ける）",SUMPRODUCT(('計算A'!FK$60:FK$104=1)*('計算A'!$C$10:$C$54=1))&amp;"人："&amp;_xlfn.TEXTJOIN("、",TRUE,IF(('計算A'!FK$60:FK$104=1)*('計算A'!$C$10:$C$54=1),'計算A'!$B$10:$B$54,"")))))</f>
        <v/>
      </c>
      <c r="J54" s="82">
        <f t="array" ref="J54">IF('計算A'!GI$4=0,"",IF(J25&lt;&gt;"","（決定）",IF('計算A'!GI$108=1,"（空ける）",SUMPRODUCT(('計算A'!GI$60:GI$104=1)*('計算A'!$C$10:$C$54=1))&amp;"人："&amp;_xlfn.TEXTJOIN("、",TRUE,IF(('計算A'!GI$60:GI$104=1)*('計算A'!$C$10:$C$54=1),'計算A'!$B$10:$B$54,"")))))</f>
        <v/>
      </c>
      <c r="K54" s="82">
        <f t="array" ref="K54">IF('計算A'!HG$4=0,"",IF(K25&lt;&gt;"","（決定）",IF('計算A'!HG$108=1,"（空ける）",SUMPRODUCT(('計算A'!HG$60:HG$104=1)*('計算A'!$C$10:$C$54=1))&amp;"人："&amp;_xlfn.TEXTJOIN("、",TRUE,IF(('計算A'!HG$60:HG$104=1)*('計算A'!$C$10:$C$54=1),'計算A'!$B$10:$B$54,"")))))</f>
        <v/>
      </c>
      <c r="L54" s="82">
        <f t="array" ref="L54">IF('計算A'!IE$4=0,"",IF(L25&lt;&gt;"","（決定）",IF('計算A'!IE$108=1,"（空ける）",SUMPRODUCT(('計算A'!IE$60:IE$104=1)*('計算A'!$C$10:$C$54=1))&amp;"人："&amp;_xlfn.TEXTJOIN("、",TRUE,IF(('計算A'!IE$60:IE$104=1)*('計算A'!$C$10:$C$54=1),'計算A'!$B$10:$B$54,"")))))</f>
        <v/>
      </c>
    </row>
    <row r="55" ht="44" customHeight="1">
      <c r="B55" s="42">
        <f>'設定'!$I$31</f>
        <v/>
      </c>
      <c r="C55" s="82">
        <f t="array" ref="C55">IF('計算A'!X$4=0,"",IF(C26&lt;&gt;"","（決定）",IF('計算A'!X$108=1,"（空ける）",SUMPRODUCT(('計算A'!X$60:X$104=1)*('計算A'!$C$10:$C$54=1))&amp;"人："&amp;_xlfn.TEXTJOIN("、",TRUE,IF(('計算A'!X$60:X$104=1)*('計算A'!$C$10:$C$54=1),'計算A'!$B$10:$B$54,"")))))</f>
        <v/>
      </c>
      <c r="D55" s="82">
        <f t="array" ref="D55">IF('計算A'!AV$4=0,"",IF(D26&lt;&gt;"","（決定）",IF('計算A'!AV$108=1,"（空ける）",SUMPRODUCT(('計算A'!AV$60:AV$104=1)*('計算A'!$C$10:$C$54=1))&amp;"人："&amp;_xlfn.TEXTJOIN("、",TRUE,IF(('計算A'!AV$60:AV$104=1)*('計算A'!$C$10:$C$54=1),'計算A'!$B$10:$B$54,"")))))</f>
        <v/>
      </c>
      <c r="E55" s="82">
        <f t="array" ref="E55">IF('計算A'!BT$4=0,"",IF(E26&lt;&gt;"","（決定）",IF('計算A'!BT$108=1,"（空ける）",SUMPRODUCT(('計算A'!BT$60:BT$104=1)*('計算A'!$C$10:$C$54=1))&amp;"人："&amp;_xlfn.TEXTJOIN("、",TRUE,IF(('計算A'!BT$60:BT$104=1)*('計算A'!$C$10:$C$54=1),'計算A'!$B$10:$B$54,"")))))</f>
        <v/>
      </c>
      <c r="F55" s="82">
        <f t="array" ref="F55">IF('計算A'!CR$4=0,"",IF(F26&lt;&gt;"","（決定）",IF('計算A'!CR$108=1,"（空ける）",SUMPRODUCT(('計算A'!CR$60:CR$104=1)*('計算A'!$C$10:$C$54=1))&amp;"人："&amp;_xlfn.TEXTJOIN("、",TRUE,IF(('計算A'!CR$60:CR$104=1)*('計算A'!$C$10:$C$54=1),'計算A'!$B$10:$B$54,"")))))</f>
        <v/>
      </c>
      <c r="G55" s="82">
        <f t="array" ref="G55">IF('計算A'!DP$4=0,"",IF(G26&lt;&gt;"","（決定）",IF('計算A'!DP$108=1,"（空ける）",SUMPRODUCT(('計算A'!DP$60:DP$104=1)*('計算A'!$C$10:$C$54=1))&amp;"人："&amp;_xlfn.TEXTJOIN("、",TRUE,IF(('計算A'!DP$60:DP$104=1)*('計算A'!$C$10:$C$54=1),'計算A'!$B$10:$B$54,"")))))</f>
        <v/>
      </c>
      <c r="H55" s="82">
        <f t="array" ref="H55">IF('計算A'!EN$4=0,"",IF(H26&lt;&gt;"","（決定）",IF('計算A'!EN$108=1,"（空ける）",SUMPRODUCT(('計算A'!EN$60:EN$104=1)*('計算A'!$C$10:$C$54=1))&amp;"人："&amp;_xlfn.TEXTJOIN("、",TRUE,IF(('計算A'!EN$60:EN$104=1)*('計算A'!$C$10:$C$54=1),'計算A'!$B$10:$B$54,"")))))</f>
        <v/>
      </c>
      <c r="I55" s="82">
        <f t="array" ref="I55">IF('計算A'!FL$4=0,"",IF(I26&lt;&gt;"","（決定）",IF('計算A'!FL$108=1,"（空ける）",SUMPRODUCT(('計算A'!FL$60:FL$104=1)*('計算A'!$C$10:$C$54=1))&amp;"人："&amp;_xlfn.TEXTJOIN("、",TRUE,IF(('計算A'!FL$60:FL$104=1)*('計算A'!$C$10:$C$54=1),'計算A'!$B$10:$B$54,"")))))</f>
        <v/>
      </c>
      <c r="J55" s="82">
        <f t="array" ref="J55">IF('計算A'!GJ$4=0,"",IF(J26&lt;&gt;"","（決定）",IF('計算A'!GJ$108=1,"（空ける）",SUMPRODUCT(('計算A'!GJ$60:GJ$104=1)*('計算A'!$C$10:$C$54=1))&amp;"人："&amp;_xlfn.TEXTJOIN("、",TRUE,IF(('計算A'!GJ$60:GJ$104=1)*('計算A'!$C$10:$C$54=1),'計算A'!$B$10:$B$54,"")))))</f>
        <v/>
      </c>
      <c r="K55" s="82">
        <f t="array" ref="K55">IF('計算A'!HH$4=0,"",IF(K26&lt;&gt;"","（決定）",IF('計算A'!HH$108=1,"（空ける）",SUMPRODUCT(('計算A'!HH$60:HH$104=1)*('計算A'!$C$10:$C$54=1))&amp;"人："&amp;_xlfn.TEXTJOIN("、",TRUE,IF(('計算A'!HH$60:HH$104=1)*('計算A'!$C$10:$C$54=1),'計算A'!$B$10:$B$54,"")))))</f>
        <v/>
      </c>
      <c r="L55" s="82">
        <f t="array" ref="L55">IF('計算A'!IF$4=0,"",IF(L26&lt;&gt;"","（決定）",IF('計算A'!IF$108=1,"（空ける）",SUMPRODUCT(('計算A'!IF$60:IF$104=1)*('計算A'!$C$10:$C$54=1))&amp;"人："&amp;_xlfn.TEXTJOIN("、",TRUE,IF(('計算A'!IF$60:IF$104=1)*('計算A'!$C$10:$C$54=1),'計算A'!$B$10:$B$54,"")))))</f>
        <v/>
      </c>
    </row>
    <row r="56" ht="44" customHeight="1">
      <c r="B56" s="42">
        <f>'設定'!$I$32</f>
        <v/>
      </c>
      <c r="C56" s="82">
        <f t="array" ref="C56">IF('計算A'!Y$4=0,"",IF(C27&lt;&gt;"","（決定）",IF('計算A'!Y$108=1,"（空ける）",SUMPRODUCT(('計算A'!Y$60:Y$104=1)*('計算A'!$C$10:$C$54=1))&amp;"人："&amp;_xlfn.TEXTJOIN("、",TRUE,IF(('計算A'!Y$60:Y$104=1)*('計算A'!$C$10:$C$54=1),'計算A'!$B$10:$B$54,"")))))</f>
        <v/>
      </c>
      <c r="D56" s="82">
        <f t="array" ref="D56">IF('計算A'!AW$4=0,"",IF(D27&lt;&gt;"","（決定）",IF('計算A'!AW$108=1,"（空ける）",SUMPRODUCT(('計算A'!AW$60:AW$104=1)*('計算A'!$C$10:$C$54=1))&amp;"人："&amp;_xlfn.TEXTJOIN("、",TRUE,IF(('計算A'!AW$60:AW$104=1)*('計算A'!$C$10:$C$54=1),'計算A'!$B$10:$B$54,"")))))</f>
        <v/>
      </c>
      <c r="E56" s="82">
        <f t="array" ref="E56">IF('計算A'!BU$4=0,"",IF(E27&lt;&gt;"","（決定）",IF('計算A'!BU$108=1,"（空ける）",SUMPRODUCT(('計算A'!BU$60:BU$104=1)*('計算A'!$C$10:$C$54=1))&amp;"人："&amp;_xlfn.TEXTJOIN("、",TRUE,IF(('計算A'!BU$60:BU$104=1)*('計算A'!$C$10:$C$54=1),'計算A'!$B$10:$B$54,"")))))</f>
        <v/>
      </c>
      <c r="F56" s="82">
        <f t="array" ref="F56">IF('計算A'!CS$4=0,"",IF(F27&lt;&gt;"","（決定）",IF('計算A'!CS$108=1,"（空ける）",SUMPRODUCT(('計算A'!CS$60:CS$104=1)*('計算A'!$C$10:$C$54=1))&amp;"人："&amp;_xlfn.TEXTJOIN("、",TRUE,IF(('計算A'!CS$60:CS$104=1)*('計算A'!$C$10:$C$54=1),'計算A'!$B$10:$B$54,"")))))</f>
        <v/>
      </c>
      <c r="G56" s="82">
        <f t="array" ref="G56">IF('計算A'!DQ$4=0,"",IF(G27&lt;&gt;"","（決定）",IF('計算A'!DQ$108=1,"（空ける）",SUMPRODUCT(('計算A'!DQ$60:DQ$104=1)*('計算A'!$C$10:$C$54=1))&amp;"人："&amp;_xlfn.TEXTJOIN("、",TRUE,IF(('計算A'!DQ$60:DQ$104=1)*('計算A'!$C$10:$C$54=1),'計算A'!$B$10:$B$54,"")))))</f>
        <v/>
      </c>
      <c r="H56" s="82">
        <f t="array" ref="H56">IF('計算A'!EO$4=0,"",IF(H27&lt;&gt;"","（決定）",IF('計算A'!EO$108=1,"（空ける）",SUMPRODUCT(('計算A'!EO$60:EO$104=1)*('計算A'!$C$10:$C$54=1))&amp;"人："&amp;_xlfn.TEXTJOIN("、",TRUE,IF(('計算A'!EO$60:EO$104=1)*('計算A'!$C$10:$C$54=1),'計算A'!$B$10:$B$54,"")))))</f>
        <v/>
      </c>
      <c r="I56" s="82">
        <f t="array" ref="I56">IF('計算A'!FM$4=0,"",IF(I27&lt;&gt;"","（決定）",IF('計算A'!FM$108=1,"（空ける）",SUMPRODUCT(('計算A'!FM$60:FM$104=1)*('計算A'!$C$10:$C$54=1))&amp;"人："&amp;_xlfn.TEXTJOIN("、",TRUE,IF(('計算A'!FM$60:FM$104=1)*('計算A'!$C$10:$C$54=1),'計算A'!$B$10:$B$54,"")))))</f>
        <v/>
      </c>
      <c r="J56" s="82">
        <f t="array" ref="J56">IF('計算A'!GK$4=0,"",IF(J27&lt;&gt;"","（決定）",IF('計算A'!GK$108=1,"（空ける）",SUMPRODUCT(('計算A'!GK$60:GK$104=1)*('計算A'!$C$10:$C$54=1))&amp;"人："&amp;_xlfn.TEXTJOIN("、",TRUE,IF(('計算A'!GK$60:GK$104=1)*('計算A'!$C$10:$C$54=1),'計算A'!$B$10:$B$54,"")))))</f>
        <v/>
      </c>
      <c r="K56" s="82">
        <f t="array" ref="K56">IF('計算A'!HI$4=0,"",IF(K27&lt;&gt;"","（決定）",IF('計算A'!HI$108=1,"（空ける）",SUMPRODUCT(('計算A'!HI$60:HI$104=1)*('計算A'!$C$10:$C$54=1))&amp;"人："&amp;_xlfn.TEXTJOIN("、",TRUE,IF(('計算A'!HI$60:HI$104=1)*('計算A'!$C$10:$C$54=1),'計算A'!$B$10:$B$54,"")))))</f>
        <v/>
      </c>
      <c r="L56" s="82">
        <f t="array" ref="L56">IF('計算A'!IG$4=0,"",IF(L27&lt;&gt;"","（決定）",IF('計算A'!IG$108=1,"（空ける）",SUMPRODUCT(('計算A'!IG$60:IG$104=1)*('計算A'!$C$10:$C$54=1))&amp;"人："&amp;_xlfn.TEXTJOIN("、",TRUE,IF(('計算A'!IG$60:IG$104=1)*('計算A'!$C$10:$C$54=1),'計算A'!$B$10:$B$54,"")))))</f>
        <v/>
      </c>
    </row>
    <row r="57" ht="44" customHeight="1">
      <c r="B57" s="42">
        <f>'設定'!$I$33</f>
        <v/>
      </c>
      <c r="C57" s="82">
        <f t="array" ref="C57">IF('計算A'!Z$4=0,"",IF(C28&lt;&gt;"","（決定）",IF('計算A'!Z$108=1,"（空ける）",SUMPRODUCT(('計算A'!Z$60:Z$104=1)*('計算A'!$C$10:$C$54=1))&amp;"人："&amp;_xlfn.TEXTJOIN("、",TRUE,IF(('計算A'!Z$60:Z$104=1)*('計算A'!$C$10:$C$54=1),'計算A'!$B$10:$B$54,"")))))</f>
        <v/>
      </c>
      <c r="D57" s="82">
        <f t="array" ref="D57">IF('計算A'!AX$4=0,"",IF(D28&lt;&gt;"","（決定）",IF('計算A'!AX$108=1,"（空ける）",SUMPRODUCT(('計算A'!AX$60:AX$104=1)*('計算A'!$C$10:$C$54=1))&amp;"人："&amp;_xlfn.TEXTJOIN("、",TRUE,IF(('計算A'!AX$60:AX$104=1)*('計算A'!$C$10:$C$54=1),'計算A'!$B$10:$B$54,"")))))</f>
        <v/>
      </c>
      <c r="E57" s="82">
        <f t="array" ref="E57">IF('計算A'!BV$4=0,"",IF(E28&lt;&gt;"","（決定）",IF('計算A'!BV$108=1,"（空ける）",SUMPRODUCT(('計算A'!BV$60:BV$104=1)*('計算A'!$C$10:$C$54=1))&amp;"人："&amp;_xlfn.TEXTJOIN("、",TRUE,IF(('計算A'!BV$60:BV$104=1)*('計算A'!$C$10:$C$54=1),'計算A'!$B$10:$B$54,"")))))</f>
        <v/>
      </c>
      <c r="F57" s="82">
        <f t="array" ref="F57">IF('計算A'!CT$4=0,"",IF(F28&lt;&gt;"","（決定）",IF('計算A'!CT$108=1,"（空ける）",SUMPRODUCT(('計算A'!CT$60:CT$104=1)*('計算A'!$C$10:$C$54=1))&amp;"人："&amp;_xlfn.TEXTJOIN("、",TRUE,IF(('計算A'!CT$60:CT$104=1)*('計算A'!$C$10:$C$54=1),'計算A'!$B$10:$B$54,"")))))</f>
        <v/>
      </c>
      <c r="G57" s="82">
        <f t="array" ref="G57">IF('計算A'!DR$4=0,"",IF(G28&lt;&gt;"","（決定）",IF('計算A'!DR$108=1,"（空ける）",SUMPRODUCT(('計算A'!DR$60:DR$104=1)*('計算A'!$C$10:$C$54=1))&amp;"人："&amp;_xlfn.TEXTJOIN("、",TRUE,IF(('計算A'!DR$60:DR$104=1)*('計算A'!$C$10:$C$54=1),'計算A'!$B$10:$B$54,"")))))</f>
        <v/>
      </c>
      <c r="H57" s="82">
        <f t="array" ref="H57">IF('計算A'!EP$4=0,"",IF(H28&lt;&gt;"","（決定）",IF('計算A'!EP$108=1,"（空ける）",SUMPRODUCT(('計算A'!EP$60:EP$104=1)*('計算A'!$C$10:$C$54=1))&amp;"人："&amp;_xlfn.TEXTJOIN("、",TRUE,IF(('計算A'!EP$60:EP$104=1)*('計算A'!$C$10:$C$54=1),'計算A'!$B$10:$B$54,"")))))</f>
        <v/>
      </c>
      <c r="I57" s="82">
        <f t="array" ref="I57">IF('計算A'!FN$4=0,"",IF(I28&lt;&gt;"","（決定）",IF('計算A'!FN$108=1,"（空ける）",SUMPRODUCT(('計算A'!FN$60:FN$104=1)*('計算A'!$C$10:$C$54=1))&amp;"人："&amp;_xlfn.TEXTJOIN("、",TRUE,IF(('計算A'!FN$60:FN$104=1)*('計算A'!$C$10:$C$54=1),'計算A'!$B$10:$B$54,"")))))</f>
        <v/>
      </c>
      <c r="J57" s="82">
        <f t="array" ref="J57">IF('計算A'!GL$4=0,"",IF(J28&lt;&gt;"","（決定）",IF('計算A'!GL$108=1,"（空ける）",SUMPRODUCT(('計算A'!GL$60:GL$104=1)*('計算A'!$C$10:$C$54=1))&amp;"人："&amp;_xlfn.TEXTJOIN("、",TRUE,IF(('計算A'!GL$60:GL$104=1)*('計算A'!$C$10:$C$54=1),'計算A'!$B$10:$B$54,"")))))</f>
        <v/>
      </c>
      <c r="K57" s="82">
        <f t="array" ref="K57">IF('計算A'!HJ$4=0,"",IF(K28&lt;&gt;"","（決定）",IF('計算A'!HJ$108=1,"（空ける）",SUMPRODUCT(('計算A'!HJ$60:HJ$104=1)*('計算A'!$C$10:$C$54=1))&amp;"人："&amp;_xlfn.TEXTJOIN("、",TRUE,IF(('計算A'!HJ$60:HJ$104=1)*('計算A'!$C$10:$C$54=1),'計算A'!$B$10:$B$54,"")))))</f>
        <v/>
      </c>
      <c r="L57" s="82">
        <f t="array" ref="L57">IF('計算A'!IH$4=0,"",IF(L28&lt;&gt;"","（決定）",IF('計算A'!IH$108=1,"（空ける）",SUMPRODUCT(('計算A'!IH$60:IH$104=1)*('計算A'!$C$10:$C$54=1))&amp;"人："&amp;_xlfn.TEXTJOIN("、",TRUE,IF(('計算A'!IH$60:IH$104=1)*('計算A'!$C$10:$C$54=1),'計算A'!$B$10:$B$54,"")))))</f>
        <v/>
      </c>
    </row>
    <row r="58" ht="44" customHeight="1">
      <c r="B58" s="42">
        <f>'設定'!$I$34</f>
        <v/>
      </c>
      <c r="C58" s="82">
        <f t="array" ref="C58">IF('計算A'!AA$4=0,"",IF(C29&lt;&gt;"","（決定）",IF('計算A'!AA$108=1,"（空ける）",SUMPRODUCT(('計算A'!AA$60:AA$104=1)*('計算A'!$C$10:$C$54=1))&amp;"人："&amp;_xlfn.TEXTJOIN("、",TRUE,IF(('計算A'!AA$60:AA$104=1)*('計算A'!$C$10:$C$54=1),'計算A'!$B$10:$B$54,"")))))</f>
        <v/>
      </c>
      <c r="D58" s="82">
        <f t="array" ref="D58">IF('計算A'!AY$4=0,"",IF(D29&lt;&gt;"","（決定）",IF('計算A'!AY$108=1,"（空ける）",SUMPRODUCT(('計算A'!AY$60:AY$104=1)*('計算A'!$C$10:$C$54=1))&amp;"人："&amp;_xlfn.TEXTJOIN("、",TRUE,IF(('計算A'!AY$60:AY$104=1)*('計算A'!$C$10:$C$54=1),'計算A'!$B$10:$B$54,"")))))</f>
        <v/>
      </c>
      <c r="E58" s="82">
        <f t="array" ref="E58">IF('計算A'!BW$4=0,"",IF(E29&lt;&gt;"","（決定）",IF('計算A'!BW$108=1,"（空ける）",SUMPRODUCT(('計算A'!BW$60:BW$104=1)*('計算A'!$C$10:$C$54=1))&amp;"人："&amp;_xlfn.TEXTJOIN("、",TRUE,IF(('計算A'!BW$60:BW$104=1)*('計算A'!$C$10:$C$54=1),'計算A'!$B$10:$B$54,"")))))</f>
        <v/>
      </c>
      <c r="F58" s="82">
        <f t="array" ref="F58">IF('計算A'!CU$4=0,"",IF(F29&lt;&gt;"","（決定）",IF('計算A'!CU$108=1,"（空ける）",SUMPRODUCT(('計算A'!CU$60:CU$104=1)*('計算A'!$C$10:$C$54=1))&amp;"人："&amp;_xlfn.TEXTJOIN("、",TRUE,IF(('計算A'!CU$60:CU$104=1)*('計算A'!$C$10:$C$54=1),'計算A'!$B$10:$B$54,"")))))</f>
        <v/>
      </c>
      <c r="G58" s="82">
        <f t="array" ref="G58">IF('計算A'!DS$4=0,"",IF(G29&lt;&gt;"","（決定）",IF('計算A'!DS$108=1,"（空ける）",SUMPRODUCT(('計算A'!DS$60:DS$104=1)*('計算A'!$C$10:$C$54=1))&amp;"人："&amp;_xlfn.TEXTJOIN("、",TRUE,IF(('計算A'!DS$60:DS$104=1)*('計算A'!$C$10:$C$54=1),'計算A'!$B$10:$B$54,"")))))</f>
        <v/>
      </c>
      <c r="H58" s="82">
        <f t="array" ref="H58">IF('計算A'!EQ$4=0,"",IF(H29&lt;&gt;"","（決定）",IF('計算A'!EQ$108=1,"（空ける）",SUMPRODUCT(('計算A'!EQ$60:EQ$104=1)*('計算A'!$C$10:$C$54=1))&amp;"人："&amp;_xlfn.TEXTJOIN("、",TRUE,IF(('計算A'!EQ$60:EQ$104=1)*('計算A'!$C$10:$C$54=1),'計算A'!$B$10:$B$54,"")))))</f>
        <v/>
      </c>
      <c r="I58" s="82">
        <f t="array" ref="I58">IF('計算A'!FO$4=0,"",IF(I29&lt;&gt;"","（決定）",IF('計算A'!FO$108=1,"（空ける）",SUMPRODUCT(('計算A'!FO$60:FO$104=1)*('計算A'!$C$10:$C$54=1))&amp;"人："&amp;_xlfn.TEXTJOIN("、",TRUE,IF(('計算A'!FO$60:FO$104=1)*('計算A'!$C$10:$C$54=1),'計算A'!$B$10:$B$54,"")))))</f>
        <v/>
      </c>
      <c r="J58" s="82">
        <f t="array" ref="J58">IF('計算A'!GM$4=0,"",IF(J29&lt;&gt;"","（決定）",IF('計算A'!GM$108=1,"（空ける）",SUMPRODUCT(('計算A'!GM$60:GM$104=1)*('計算A'!$C$10:$C$54=1))&amp;"人："&amp;_xlfn.TEXTJOIN("、",TRUE,IF(('計算A'!GM$60:GM$104=1)*('計算A'!$C$10:$C$54=1),'計算A'!$B$10:$B$54,"")))))</f>
        <v/>
      </c>
      <c r="K58" s="82">
        <f t="array" ref="K58">IF('計算A'!HK$4=0,"",IF(K29&lt;&gt;"","（決定）",IF('計算A'!HK$108=1,"（空ける）",SUMPRODUCT(('計算A'!HK$60:HK$104=1)*('計算A'!$C$10:$C$54=1))&amp;"人："&amp;_xlfn.TEXTJOIN("、",TRUE,IF(('計算A'!HK$60:HK$104=1)*('計算A'!$C$10:$C$54=1),'計算A'!$B$10:$B$54,"")))))</f>
        <v/>
      </c>
      <c r="L58" s="82">
        <f t="array" ref="L58">IF('計算A'!II$4=0,"",IF(L29&lt;&gt;"","（決定）",IF('計算A'!II$108=1,"（空ける）",SUMPRODUCT(('計算A'!II$60:II$104=1)*('計算A'!$C$10:$C$54=1))&amp;"人："&amp;_xlfn.TEXTJOIN("、",TRUE,IF(('計算A'!II$60:II$104=1)*('計算A'!$C$10:$C$54=1),'計算A'!$B$10:$B$54,"")))))</f>
        <v/>
      </c>
    </row>
  </sheetData>
  <mergeCells count="2">
    <mergeCell ref="N5:O5"/>
    <mergeCell ref="O11:O20"/>
  </mergeCells>
  <conditionalFormatting sqref="B6:B29">
    <cfRule type="expression" priority="1" dxfId="3" stopIfTrue="1">
      <formula>B6=""</formula>
    </cfRule>
  </conditionalFormatting>
  <conditionalFormatting sqref="C6:L29">
    <cfRule type="expression" priority="2" dxfId="3" stopIfTrue="1">
      <formula>AND(C6="",INDEX('計算A'!$D$115:$II$115,(COLUMN(C6)-3)*24+ROW(C6)-5)=0)</formula>
    </cfRule>
    <cfRule type="expression" priority="3" dxfId="14" stopIfTrue="1">
      <formula>AND(C6&lt;&gt;"",INDEX('計算A'!$D$4:$II$4,(COLUMN(C6)-3)*24+ROW(C6)-5)=0)</formula>
    </cfRule>
    <cfRule type="expression" priority="4" dxfId="14" stopIfTrue="1">
      <formula>AND(C6&lt;&gt;"",IFERROR(INDEX('計算A'!$D$10:$II$54,MATCH(C6,'計算A'!$B$10:$B$54,0),(COLUMN(C6)-3)*24+ROW(C6)-5)=1,FALSE))</formula>
    </cfRule>
    <cfRule type="expression" priority="5" dxfId="15" stopIfTrue="1">
      <formula>AND(C6&lt;&gt;"",COUNTIF($C$6:$L$29,C6)&gt;1)</formula>
    </cfRule>
    <cfRule type="expression" priority="6" dxfId="10" stopIfTrue="1">
      <formula>INDEX('計算A'!$D$4:$II$4,(COLUMN(C6)-3)*24+ROW(C6)-5)=0</formula>
    </cfRule>
    <cfRule type="expression" priority="7" dxfId="16" stopIfTrue="1">
      <formula>AND(C6&lt;&gt;"",INDEX('計算A'!$D$108:$II$108,(COLUMN(C6)-3)*24+ROW(C6)-5)=1)</formula>
    </cfRule>
    <cfRule type="expression" priority="8" dxfId="12" stopIfTrue="1">
      <formula>AND(C6="",INDEX('計算A'!$D$108:$II$108,(COLUMN(C6)-3)*24+ROW(C6)-5)=1)</formula>
    </cfRule>
    <cfRule type="expression" priority="9" dxfId="17" stopIfTrue="1">
      <formula>AND(C6&lt;&gt;"",C6=$N$5)</formula>
    </cfRule>
    <cfRule type="expression" priority="10" dxfId="5" stopIfTrue="1">
      <formula>IF('計算A'!$B$8&gt;0,INDEX('計算A'!$D$10:$II$54,'計算A'!$B$8,(COLUMN(C6)-3)*24+ROW(C6)-5)=1,FALSE)</formula>
    </cfRule>
    <cfRule type="expression" priority="11" dxfId="18" stopIfTrue="1">
      <formula>IF('計算A'!$B$8&gt;0,AND(C6="",INDEX('計算A'!$D$60:$II$104,'計算A'!$B$8,(COLUMN(C6)-3)*24+ROW(C6)-5)=1),FALSE)</formula>
    </cfRule>
    <cfRule type="expression" priority="12" dxfId="19" stopIfTrue="1">
      <formula>IF('計算A'!$B$8&gt;0,AND(C6&lt;&gt;"",INDEX('計算A'!$D$60:$II$104,'計算A'!$B$8,(COLUMN(C6)-3)*24+ROW(C6)-5)=1),FALSE)</formula>
    </cfRule>
    <cfRule type="expression" priority="13" dxfId="13" stopIfTrue="1">
      <formula>AND(C6="",INDEX('計算A'!$D$5:$II$5,(COLUMN(C6)-3)*24+ROW(C6)-5)=1)</formula>
    </cfRule>
    <cfRule type="expression" priority="14" dxfId="4">
      <formula>TRUE</formula>
    </cfRule>
  </conditionalFormatting>
  <conditionalFormatting sqref="C35:L58">
    <cfRule type="expression" priority="15" dxfId="3" stopIfTrue="1">
      <formula>INDEX('計算A'!$D$115:$II$115,(COLUMN(C35)-3)*24+ROW(C35)-34)=0</formula>
    </cfRule>
    <cfRule type="expression" priority="16" dxfId="10" stopIfTrue="1">
      <formula>INDEX('計算A'!$D$4:$II$4,(COLUMN(C35)-3)*24+ROW(C35)-34)=0</formula>
    </cfRule>
    <cfRule type="expression" priority="17" dxfId="20" stopIfTrue="1">
      <formula>LEFT(C35,2)="0人"</formula>
    </cfRule>
    <cfRule type="expression" priority="18" dxfId="21" stopIfTrue="1">
      <formula>LEFT(C35,2)="1人"</formula>
    </cfRule>
    <cfRule type="expression" priority="19" dxfId="4">
      <formula>TRUE</formula>
    </cfRule>
  </conditionalFormatting>
  <conditionalFormatting sqref="B35:B58">
    <cfRule type="expression" priority="20" dxfId="3" stopIfTrue="1">
      <formula>B35=""</formula>
    </cfRule>
  </conditionalFormatting>
  <conditionalFormatting sqref="C5:L5">
    <cfRule type="expression" priority="21" dxfId="3">
      <formula>C5=""</formula>
    </cfRule>
  </conditionalFormatting>
  <conditionalFormatting sqref="C34:L34">
    <cfRule type="expression" priority="22" dxfId="3">
      <formula>C34=""</formula>
    </cfRule>
  </conditionalFormatting>
  <dataValidations count="1">
    <dataValidation sqref="C6:L29 N5" showDropDown="0" showInputMessage="0" showErrorMessage="1" allowBlank="1" error="名簿にある児童を選んでください。" type="list">
      <formula1>='名簿'!$G$5:$G$49</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Q115"/>
  <sheetViews>
    <sheetView showGridLines="0" workbookViewId="0">
      <selection activeCell="A1" sqref="A1"/>
    </sheetView>
  </sheetViews>
  <sheetFormatPr baseColWidth="8" defaultRowHeight="15"/>
  <sheetData>
    <row r="1">
      <c r="A1" s="67" t="inlineStr">
        <is>
          <t>計算用（さわらないでください）</t>
        </is>
      </c>
      <c r="C1" s="83"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c r="ER1" t="n">
        <v>145</v>
      </c>
      <c r="ES1" t="n">
        <v>146</v>
      </c>
      <c r="ET1" t="n">
        <v>147</v>
      </c>
      <c r="EU1" t="n">
        <v>148</v>
      </c>
      <c r="EV1" t="n">
        <v>149</v>
      </c>
      <c r="EW1" t="n">
        <v>150</v>
      </c>
      <c r="EX1" t="n">
        <v>151</v>
      </c>
      <c r="EY1" t="n">
        <v>152</v>
      </c>
      <c r="EZ1" t="n">
        <v>153</v>
      </c>
      <c r="FA1" t="n">
        <v>154</v>
      </c>
      <c r="FB1" t="n">
        <v>155</v>
      </c>
      <c r="FC1" t="n">
        <v>156</v>
      </c>
      <c r="FD1" t="n">
        <v>157</v>
      </c>
      <c r="FE1" t="n">
        <v>158</v>
      </c>
      <c r="FF1" t="n">
        <v>159</v>
      </c>
      <c r="FG1" t="n">
        <v>160</v>
      </c>
      <c r="FH1" t="n">
        <v>161</v>
      </c>
      <c r="FI1" t="n">
        <v>162</v>
      </c>
      <c r="FJ1" t="n">
        <v>163</v>
      </c>
      <c r="FK1" t="n">
        <v>164</v>
      </c>
      <c r="FL1" t="n">
        <v>165</v>
      </c>
      <c r="FM1" t="n">
        <v>166</v>
      </c>
      <c r="FN1" t="n">
        <v>167</v>
      </c>
      <c r="FO1" t="n">
        <v>168</v>
      </c>
      <c r="FP1" t="n">
        <v>169</v>
      </c>
      <c r="FQ1" t="n">
        <v>170</v>
      </c>
      <c r="FR1" t="n">
        <v>171</v>
      </c>
      <c r="FS1" t="n">
        <v>172</v>
      </c>
      <c r="FT1" t="n">
        <v>173</v>
      </c>
      <c r="FU1" t="n">
        <v>174</v>
      </c>
      <c r="FV1" t="n">
        <v>175</v>
      </c>
      <c r="FW1" t="n">
        <v>176</v>
      </c>
      <c r="FX1" t="n">
        <v>177</v>
      </c>
      <c r="FY1" t="n">
        <v>178</v>
      </c>
      <c r="FZ1" t="n">
        <v>179</v>
      </c>
      <c r="GA1" t="n">
        <v>180</v>
      </c>
      <c r="GB1" t="n">
        <v>181</v>
      </c>
      <c r="GC1" t="n">
        <v>182</v>
      </c>
      <c r="GD1" t="n">
        <v>183</v>
      </c>
      <c r="GE1" t="n">
        <v>184</v>
      </c>
      <c r="GF1" t="n">
        <v>185</v>
      </c>
      <c r="GG1" t="n">
        <v>186</v>
      </c>
      <c r="GH1" t="n">
        <v>187</v>
      </c>
      <c r="GI1" t="n">
        <v>188</v>
      </c>
      <c r="GJ1" t="n">
        <v>189</v>
      </c>
      <c r="GK1" t="n">
        <v>190</v>
      </c>
      <c r="GL1" t="n">
        <v>191</v>
      </c>
      <c r="GM1" t="n">
        <v>192</v>
      </c>
      <c r="GN1" t="n">
        <v>193</v>
      </c>
      <c r="GO1" t="n">
        <v>194</v>
      </c>
      <c r="GP1" t="n">
        <v>195</v>
      </c>
      <c r="GQ1" t="n">
        <v>196</v>
      </c>
      <c r="GR1" t="n">
        <v>197</v>
      </c>
      <c r="GS1" t="n">
        <v>198</v>
      </c>
      <c r="GT1" t="n">
        <v>199</v>
      </c>
      <c r="GU1" t="n">
        <v>200</v>
      </c>
      <c r="GV1" t="n">
        <v>201</v>
      </c>
      <c r="GW1" t="n">
        <v>202</v>
      </c>
      <c r="GX1" t="n">
        <v>203</v>
      </c>
      <c r="GY1" t="n">
        <v>204</v>
      </c>
      <c r="GZ1" t="n">
        <v>205</v>
      </c>
      <c r="HA1" t="n">
        <v>206</v>
      </c>
      <c r="HB1" t="n">
        <v>207</v>
      </c>
      <c r="HC1" t="n">
        <v>208</v>
      </c>
      <c r="HD1" t="n">
        <v>209</v>
      </c>
      <c r="HE1" t="n">
        <v>210</v>
      </c>
      <c r="HF1" t="n">
        <v>211</v>
      </c>
      <c r="HG1" t="n">
        <v>212</v>
      </c>
      <c r="HH1" t="n">
        <v>213</v>
      </c>
      <c r="HI1" t="n">
        <v>214</v>
      </c>
      <c r="HJ1" t="n">
        <v>215</v>
      </c>
      <c r="HK1" t="n">
        <v>216</v>
      </c>
      <c r="HL1" t="n">
        <v>217</v>
      </c>
      <c r="HM1" t="n">
        <v>218</v>
      </c>
      <c r="HN1" t="n">
        <v>219</v>
      </c>
      <c r="HO1" t="n">
        <v>220</v>
      </c>
      <c r="HP1" t="n">
        <v>221</v>
      </c>
      <c r="HQ1" t="n">
        <v>222</v>
      </c>
      <c r="HR1" t="n">
        <v>223</v>
      </c>
      <c r="HS1" t="n">
        <v>224</v>
      </c>
      <c r="HT1" t="n">
        <v>225</v>
      </c>
      <c r="HU1" t="n">
        <v>226</v>
      </c>
      <c r="HV1" t="n">
        <v>227</v>
      </c>
      <c r="HW1" t="n">
        <v>228</v>
      </c>
      <c r="HX1" t="n">
        <v>229</v>
      </c>
      <c r="HY1" t="n">
        <v>230</v>
      </c>
      <c r="HZ1" t="n">
        <v>231</v>
      </c>
      <c r="IA1" t="n">
        <v>232</v>
      </c>
      <c r="IB1" t="n">
        <v>233</v>
      </c>
      <c r="IC1" t="n">
        <v>234</v>
      </c>
      <c r="ID1" t="n">
        <v>235</v>
      </c>
      <c r="IE1" t="n">
        <v>236</v>
      </c>
      <c r="IF1" t="n">
        <v>237</v>
      </c>
      <c r="IG1" t="n">
        <v>238</v>
      </c>
      <c r="IH1" t="n">
        <v>239</v>
      </c>
      <c r="II1" t="n">
        <v>240</v>
      </c>
    </row>
    <row r="2">
      <c r="A2" s="83" t="inlineStr">
        <is>
          <t>時間帯の枠数</t>
        </is>
      </c>
      <c r="C2" s="83"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c r="ER2" t="n">
        <v>7</v>
      </c>
      <c r="ES2" t="n">
        <v>7</v>
      </c>
      <c r="ET2" t="n">
        <v>7</v>
      </c>
      <c r="EU2" t="n">
        <v>7</v>
      </c>
      <c r="EV2" t="n">
        <v>7</v>
      </c>
      <c r="EW2" t="n">
        <v>7</v>
      </c>
      <c r="EX2" t="n">
        <v>7</v>
      </c>
      <c r="EY2" t="n">
        <v>7</v>
      </c>
      <c r="EZ2" t="n">
        <v>7</v>
      </c>
      <c r="FA2" t="n">
        <v>7</v>
      </c>
      <c r="FB2" t="n">
        <v>7</v>
      </c>
      <c r="FC2" t="n">
        <v>7</v>
      </c>
      <c r="FD2" t="n">
        <v>7</v>
      </c>
      <c r="FE2" t="n">
        <v>7</v>
      </c>
      <c r="FF2" t="n">
        <v>7</v>
      </c>
      <c r="FG2" t="n">
        <v>7</v>
      </c>
      <c r="FH2" t="n">
        <v>7</v>
      </c>
      <c r="FI2" t="n">
        <v>7</v>
      </c>
      <c r="FJ2" t="n">
        <v>7</v>
      </c>
      <c r="FK2" t="n">
        <v>7</v>
      </c>
      <c r="FL2" t="n">
        <v>7</v>
      </c>
      <c r="FM2" t="n">
        <v>7</v>
      </c>
      <c r="FN2" t="n">
        <v>7</v>
      </c>
      <c r="FO2" t="n">
        <v>7</v>
      </c>
      <c r="FP2" t="n">
        <v>8</v>
      </c>
      <c r="FQ2" t="n">
        <v>8</v>
      </c>
      <c r="FR2" t="n">
        <v>8</v>
      </c>
      <c r="FS2" t="n">
        <v>8</v>
      </c>
      <c r="FT2" t="n">
        <v>8</v>
      </c>
      <c r="FU2" t="n">
        <v>8</v>
      </c>
      <c r="FV2" t="n">
        <v>8</v>
      </c>
      <c r="FW2" t="n">
        <v>8</v>
      </c>
      <c r="FX2" t="n">
        <v>8</v>
      </c>
      <c r="FY2" t="n">
        <v>8</v>
      </c>
      <c r="FZ2" t="n">
        <v>8</v>
      </c>
      <c r="GA2" t="n">
        <v>8</v>
      </c>
      <c r="GB2" t="n">
        <v>8</v>
      </c>
      <c r="GC2" t="n">
        <v>8</v>
      </c>
      <c r="GD2" t="n">
        <v>8</v>
      </c>
      <c r="GE2" t="n">
        <v>8</v>
      </c>
      <c r="GF2" t="n">
        <v>8</v>
      </c>
      <c r="GG2" t="n">
        <v>8</v>
      </c>
      <c r="GH2" t="n">
        <v>8</v>
      </c>
      <c r="GI2" t="n">
        <v>8</v>
      </c>
      <c r="GJ2" t="n">
        <v>8</v>
      </c>
      <c r="GK2" t="n">
        <v>8</v>
      </c>
      <c r="GL2" t="n">
        <v>8</v>
      </c>
      <c r="GM2" t="n">
        <v>8</v>
      </c>
      <c r="GN2" t="n">
        <v>9</v>
      </c>
      <c r="GO2" t="n">
        <v>9</v>
      </c>
      <c r="GP2" t="n">
        <v>9</v>
      </c>
      <c r="GQ2" t="n">
        <v>9</v>
      </c>
      <c r="GR2" t="n">
        <v>9</v>
      </c>
      <c r="GS2" t="n">
        <v>9</v>
      </c>
      <c r="GT2" t="n">
        <v>9</v>
      </c>
      <c r="GU2" t="n">
        <v>9</v>
      </c>
      <c r="GV2" t="n">
        <v>9</v>
      </c>
      <c r="GW2" t="n">
        <v>9</v>
      </c>
      <c r="GX2" t="n">
        <v>9</v>
      </c>
      <c r="GY2" t="n">
        <v>9</v>
      </c>
      <c r="GZ2" t="n">
        <v>9</v>
      </c>
      <c r="HA2" t="n">
        <v>9</v>
      </c>
      <c r="HB2" t="n">
        <v>9</v>
      </c>
      <c r="HC2" t="n">
        <v>9</v>
      </c>
      <c r="HD2" t="n">
        <v>9</v>
      </c>
      <c r="HE2" t="n">
        <v>9</v>
      </c>
      <c r="HF2" t="n">
        <v>9</v>
      </c>
      <c r="HG2" t="n">
        <v>9</v>
      </c>
      <c r="HH2" t="n">
        <v>9</v>
      </c>
      <c r="HI2" t="n">
        <v>9</v>
      </c>
      <c r="HJ2" t="n">
        <v>9</v>
      </c>
      <c r="HK2" t="n">
        <v>9</v>
      </c>
      <c r="HL2" t="n">
        <v>10</v>
      </c>
      <c r="HM2" t="n">
        <v>10</v>
      </c>
      <c r="HN2" t="n">
        <v>10</v>
      </c>
      <c r="HO2" t="n">
        <v>10</v>
      </c>
      <c r="HP2" t="n">
        <v>10</v>
      </c>
      <c r="HQ2" t="n">
        <v>10</v>
      </c>
      <c r="HR2" t="n">
        <v>10</v>
      </c>
      <c r="HS2" t="n">
        <v>10</v>
      </c>
      <c r="HT2" t="n">
        <v>10</v>
      </c>
      <c r="HU2" t="n">
        <v>10</v>
      </c>
      <c r="HV2" t="n">
        <v>10</v>
      </c>
      <c r="HW2" t="n">
        <v>10</v>
      </c>
      <c r="HX2" t="n">
        <v>10</v>
      </c>
      <c r="HY2" t="n">
        <v>10</v>
      </c>
      <c r="HZ2" t="n">
        <v>10</v>
      </c>
      <c r="IA2" t="n">
        <v>10</v>
      </c>
      <c r="IB2" t="n">
        <v>10</v>
      </c>
      <c r="IC2" t="n">
        <v>10</v>
      </c>
      <c r="ID2" t="n">
        <v>10</v>
      </c>
      <c r="IE2" t="n">
        <v>10</v>
      </c>
      <c r="IF2" t="n">
        <v>10</v>
      </c>
      <c r="IG2" t="n">
        <v>10</v>
      </c>
      <c r="IH2" t="n">
        <v>10</v>
      </c>
      <c r="II2" t="n">
        <v>10</v>
      </c>
    </row>
    <row r="3">
      <c r="A3" s="83">
        <f>IF(AND(ISNUMBER('設定'!$B$3),ISNUMBER('設定'!$D$3),ISNUMBER('設定'!$B$5)),IF(AND('設定'!$B$5&gt;0,'設定'!$D$3&gt;='設定'!$B$3),ROUND(('設定'!$D$3-'設定'!$B$3)*1440/'設定'!$B$5,0)+1,0),0)</f>
        <v/>
      </c>
      <c r="B3" s="83" t="inlineStr">
        <is>
          <t>←時間帯1</t>
        </is>
      </c>
      <c r="C3" s="83"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c r="ER3" t="n">
        <v>1</v>
      </c>
      <c r="ES3" t="n">
        <v>2</v>
      </c>
      <c r="ET3" t="n">
        <v>3</v>
      </c>
      <c r="EU3" t="n">
        <v>4</v>
      </c>
      <c r="EV3" t="n">
        <v>5</v>
      </c>
      <c r="EW3" t="n">
        <v>6</v>
      </c>
      <c r="EX3" t="n">
        <v>7</v>
      </c>
      <c r="EY3" t="n">
        <v>8</v>
      </c>
      <c r="EZ3" t="n">
        <v>9</v>
      </c>
      <c r="FA3" t="n">
        <v>10</v>
      </c>
      <c r="FB3" t="n">
        <v>11</v>
      </c>
      <c r="FC3" t="n">
        <v>12</v>
      </c>
      <c r="FD3" t="n">
        <v>13</v>
      </c>
      <c r="FE3" t="n">
        <v>14</v>
      </c>
      <c r="FF3" t="n">
        <v>15</v>
      </c>
      <c r="FG3" t="n">
        <v>16</v>
      </c>
      <c r="FH3" t="n">
        <v>17</v>
      </c>
      <c r="FI3" t="n">
        <v>18</v>
      </c>
      <c r="FJ3" t="n">
        <v>19</v>
      </c>
      <c r="FK3" t="n">
        <v>20</v>
      </c>
      <c r="FL3" t="n">
        <v>21</v>
      </c>
      <c r="FM3" t="n">
        <v>22</v>
      </c>
      <c r="FN3" t="n">
        <v>23</v>
      </c>
      <c r="FO3" t="n">
        <v>24</v>
      </c>
      <c r="FP3" t="n">
        <v>1</v>
      </c>
      <c r="FQ3" t="n">
        <v>2</v>
      </c>
      <c r="FR3" t="n">
        <v>3</v>
      </c>
      <c r="FS3" t="n">
        <v>4</v>
      </c>
      <c r="FT3" t="n">
        <v>5</v>
      </c>
      <c r="FU3" t="n">
        <v>6</v>
      </c>
      <c r="FV3" t="n">
        <v>7</v>
      </c>
      <c r="FW3" t="n">
        <v>8</v>
      </c>
      <c r="FX3" t="n">
        <v>9</v>
      </c>
      <c r="FY3" t="n">
        <v>10</v>
      </c>
      <c r="FZ3" t="n">
        <v>11</v>
      </c>
      <c r="GA3" t="n">
        <v>12</v>
      </c>
      <c r="GB3" t="n">
        <v>13</v>
      </c>
      <c r="GC3" t="n">
        <v>14</v>
      </c>
      <c r="GD3" t="n">
        <v>15</v>
      </c>
      <c r="GE3" t="n">
        <v>16</v>
      </c>
      <c r="GF3" t="n">
        <v>17</v>
      </c>
      <c r="GG3" t="n">
        <v>18</v>
      </c>
      <c r="GH3" t="n">
        <v>19</v>
      </c>
      <c r="GI3" t="n">
        <v>20</v>
      </c>
      <c r="GJ3" t="n">
        <v>21</v>
      </c>
      <c r="GK3" t="n">
        <v>22</v>
      </c>
      <c r="GL3" t="n">
        <v>23</v>
      </c>
      <c r="GM3" t="n">
        <v>24</v>
      </c>
      <c r="GN3" t="n">
        <v>1</v>
      </c>
      <c r="GO3" t="n">
        <v>2</v>
      </c>
      <c r="GP3" t="n">
        <v>3</v>
      </c>
      <c r="GQ3" t="n">
        <v>4</v>
      </c>
      <c r="GR3" t="n">
        <v>5</v>
      </c>
      <c r="GS3" t="n">
        <v>6</v>
      </c>
      <c r="GT3" t="n">
        <v>7</v>
      </c>
      <c r="GU3" t="n">
        <v>8</v>
      </c>
      <c r="GV3" t="n">
        <v>9</v>
      </c>
      <c r="GW3" t="n">
        <v>10</v>
      </c>
      <c r="GX3" t="n">
        <v>11</v>
      </c>
      <c r="GY3" t="n">
        <v>12</v>
      </c>
      <c r="GZ3" t="n">
        <v>13</v>
      </c>
      <c r="HA3" t="n">
        <v>14</v>
      </c>
      <c r="HB3" t="n">
        <v>15</v>
      </c>
      <c r="HC3" t="n">
        <v>16</v>
      </c>
      <c r="HD3" t="n">
        <v>17</v>
      </c>
      <c r="HE3" t="n">
        <v>18</v>
      </c>
      <c r="HF3" t="n">
        <v>19</v>
      </c>
      <c r="HG3" t="n">
        <v>20</v>
      </c>
      <c r="HH3" t="n">
        <v>21</v>
      </c>
      <c r="HI3" t="n">
        <v>22</v>
      </c>
      <c r="HJ3" t="n">
        <v>23</v>
      </c>
      <c r="HK3" t="n">
        <v>24</v>
      </c>
      <c r="HL3" t="n">
        <v>1</v>
      </c>
      <c r="HM3" t="n">
        <v>2</v>
      </c>
      <c r="HN3" t="n">
        <v>3</v>
      </c>
      <c r="HO3" t="n">
        <v>4</v>
      </c>
      <c r="HP3" t="n">
        <v>5</v>
      </c>
      <c r="HQ3" t="n">
        <v>6</v>
      </c>
      <c r="HR3" t="n">
        <v>7</v>
      </c>
      <c r="HS3" t="n">
        <v>8</v>
      </c>
      <c r="HT3" t="n">
        <v>9</v>
      </c>
      <c r="HU3" t="n">
        <v>10</v>
      </c>
      <c r="HV3" t="n">
        <v>11</v>
      </c>
      <c r="HW3" t="n">
        <v>12</v>
      </c>
      <c r="HX3" t="n">
        <v>13</v>
      </c>
      <c r="HY3" t="n">
        <v>14</v>
      </c>
      <c r="HZ3" t="n">
        <v>15</v>
      </c>
      <c r="IA3" t="n">
        <v>16</v>
      </c>
      <c r="IB3" t="n">
        <v>17</v>
      </c>
      <c r="IC3" t="n">
        <v>18</v>
      </c>
      <c r="ID3" t="n">
        <v>19</v>
      </c>
      <c r="IE3" t="n">
        <v>20</v>
      </c>
      <c r="IF3" t="n">
        <v>21</v>
      </c>
      <c r="IG3" t="n">
        <v>22</v>
      </c>
      <c r="IH3" t="n">
        <v>23</v>
      </c>
      <c r="II3" t="n">
        <v>24</v>
      </c>
    </row>
    <row r="4">
      <c r="A4" s="83">
        <f>IF(AND(A3&gt;0,ISNUMBER('設定'!$B$4),ISNUMBER('設定'!$D$4)),IF(AND('設定'!$D$4&gt;='設定'!$B$4,'設定'!$B$4&gt;'設定'!$D$3),ROUND(('設定'!$D$4-'設定'!$B$4)*1440/'設定'!$B$5,0)+1,0),0)</f>
        <v/>
      </c>
      <c r="B4" s="83" t="inlineStr">
        <is>
          <t>←時間帯2</t>
        </is>
      </c>
      <c r="C4" s="83" t="inlineStr">
        <is>
          <t>使える</t>
        </is>
      </c>
      <c r="D4">
        <f>IF(AND(D115=1,INDEX('設定'!$M$9:$V$9,D2)="",INDEX('設定'!$K$11:$K$34,D3)="",INDEX('設定'!$M$11:$V$34,D3,D2)=""),1,0)</f>
        <v/>
      </c>
      <c r="E4">
        <f>IF(AND(E115=1,INDEX('設定'!$M$9:$V$9,E2)="",INDEX('設定'!$K$11:$K$34,E3)="",INDEX('設定'!$M$11:$V$34,E3,E2)=""),1,0)</f>
        <v/>
      </c>
      <c r="F4">
        <f>IF(AND(F115=1,INDEX('設定'!$M$9:$V$9,F2)="",INDEX('設定'!$K$11:$K$34,F3)="",INDEX('設定'!$M$11:$V$34,F3,F2)=""),1,0)</f>
        <v/>
      </c>
      <c r="G4">
        <f>IF(AND(G115=1,INDEX('設定'!$M$9:$V$9,G2)="",INDEX('設定'!$K$11:$K$34,G3)="",INDEX('設定'!$M$11:$V$34,G3,G2)=""),1,0)</f>
        <v/>
      </c>
      <c r="H4">
        <f>IF(AND(H115=1,INDEX('設定'!$M$9:$V$9,H2)="",INDEX('設定'!$K$11:$K$34,H3)="",INDEX('設定'!$M$11:$V$34,H3,H2)=""),1,0)</f>
        <v/>
      </c>
      <c r="I4">
        <f>IF(AND(I115=1,INDEX('設定'!$M$9:$V$9,I2)="",INDEX('設定'!$K$11:$K$34,I3)="",INDEX('設定'!$M$11:$V$34,I3,I2)=""),1,0)</f>
        <v/>
      </c>
      <c r="J4">
        <f>IF(AND(J115=1,INDEX('設定'!$M$9:$V$9,J2)="",INDEX('設定'!$K$11:$K$34,J3)="",INDEX('設定'!$M$11:$V$34,J3,J2)=""),1,0)</f>
        <v/>
      </c>
      <c r="K4">
        <f>IF(AND(K115=1,INDEX('設定'!$M$9:$V$9,K2)="",INDEX('設定'!$K$11:$K$34,K3)="",INDEX('設定'!$M$11:$V$34,K3,K2)=""),1,0)</f>
        <v/>
      </c>
      <c r="L4">
        <f>IF(AND(L115=1,INDEX('設定'!$M$9:$V$9,L2)="",INDEX('設定'!$K$11:$K$34,L3)="",INDEX('設定'!$M$11:$V$34,L3,L2)=""),1,0)</f>
        <v/>
      </c>
      <c r="M4">
        <f>IF(AND(M115=1,INDEX('設定'!$M$9:$V$9,M2)="",INDEX('設定'!$K$11:$K$34,M3)="",INDEX('設定'!$M$11:$V$34,M3,M2)=""),1,0)</f>
        <v/>
      </c>
      <c r="N4">
        <f>IF(AND(N115=1,INDEX('設定'!$M$9:$V$9,N2)="",INDEX('設定'!$K$11:$K$34,N3)="",INDEX('設定'!$M$11:$V$34,N3,N2)=""),1,0)</f>
        <v/>
      </c>
      <c r="O4">
        <f>IF(AND(O115=1,INDEX('設定'!$M$9:$V$9,O2)="",INDEX('設定'!$K$11:$K$34,O3)="",INDEX('設定'!$M$11:$V$34,O3,O2)=""),1,0)</f>
        <v/>
      </c>
      <c r="P4">
        <f>IF(AND(P115=1,INDEX('設定'!$M$9:$V$9,P2)="",INDEX('設定'!$K$11:$K$34,P3)="",INDEX('設定'!$M$11:$V$34,P3,P2)=""),1,0)</f>
        <v/>
      </c>
      <c r="Q4">
        <f>IF(AND(Q115=1,INDEX('設定'!$M$9:$V$9,Q2)="",INDEX('設定'!$K$11:$K$34,Q3)="",INDEX('設定'!$M$11:$V$34,Q3,Q2)=""),1,0)</f>
        <v/>
      </c>
      <c r="R4">
        <f>IF(AND(R115=1,INDEX('設定'!$M$9:$V$9,R2)="",INDEX('設定'!$K$11:$K$34,R3)="",INDEX('設定'!$M$11:$V$34,R3,R2)=""),1,0)</f>
        <v/>
      </c>
      <c r="S4">
        <f>IF(AND(S115=1,INDEX('設定'!$M$9:$V$9,S2)="",INDEX('設定'!$K$11:$K$34,S3)="",INDEX('設定'!$M$11:$V$34,S3,S2)=""),1,0)</f>
        <v/>
      </c>
      <c r="T4">
        <f>IF(AND(T115=1,INDEX('設定'!$M$9:$V$9,T2)="",INDEX('設定'!$K$11:$K$34,T3)="",INDEX('設定'!$M$11:$V$34,T3,T2)=""),1,0)</f>
        <v/>
      </c>
      <c r="U4">
        <f>IF(AND(U115=1,INDEX('設定'!$M$9:$V$9,U2)="",INDEX('設定'!$K$11:$K$34,U3)="",INDEX('設定'!$M$11:$V$34,U3,U2)=""),1,0)</f>
        <v/>
      </c>
      <c r="V4">
        <f>IF(AND(V115=1,INDEX('設定'!$M$9:$V$9,V2)="",INDEX('設定'!$K$11:$K$34,V3)="",INDEX('設定'!$M$11:$V$34,V3,V2)=""),1,0)</f>
        <v/>
      </c>
      <c r="W4">
        <f>IF(AND(W115=1,INDEX('設定'!$M$9:$V$9,W2)="",INDEX('設定'!$K$11:$K$34,W3)="",INDEX('設定'!$M$11:$V$34,W3,W2)=""),1,0)</f>
        <v/>
      </c>
      <c r="X4">
        <f>IF(AND(X115=1,INDEX('設定'!$M$9:$V$9,X2)="",INDEX('設定'!$K$11:$K$34,X3)="",INDEX('設定'!$M$11:$V$34,X3,X2)=""),1,0)</f>
        <v/>
      </c>
      <c r="Y4">
        <f>IF(AND(Y115=1,INDEX('設定'!$M$9:$V$9,Y2)="",INDEX('設定'!$K$11:$K$34,Y3)="",INDEX('設定'!$M$11:$V$34,Y3,Y2)=""),1,0)</f>
        <v/>
      </c>
      <c r="Z4">
        <f>IF(AND(Z115=1,INDEX('設定'!$M$9:$V$9,Z2)="",INDEX('設定'!$K$11:$K$34,Z3)="",INDEX('設定'!$M$11:$V$34,Z3,Z2)=""),1,0)</f>
        <v/>
      </c>
      <c r="AA4">
        <f>IF(AND(AA115=1,INDEX('設定'!$M$9:$V$9,AA2)="",INDEX('設定'!$K$11:$K$34,AA3)="",INDEX('設定'!$M$11:$V$34,AA3,AA2)=""),1,0)</f>
        <v/>
      </c>
      <c r="AB4">
        <f>IF(AND(AB115=1,INDEX('設定'!$M$9:$V$9,AB2)="",INDEX('設定'!$K$11:$K$34,AB3)="",INDEX('設定'!$M$11:$V$34,AB3,AB2)=""),1,0)</f>
        <v/>
      </c>
      <c r="AC4">
        <f>IF(AND(AC115=1,INDEX('設定'!$M$9:$V$9,AC2)="",INDEX('設定'!$K$11:$K$34,AC3)="",INDEX('設定'!$M$11:$V$34,AC3,AC2)=""),1,0)</f>
        <v/>
      </c>
      <c r="AD4">
        <f>IF(AND(AD115=1,INDEX('設定'!$M$9:$V$9,AD2)="",INDEX('設定'!$K$11:$K$34,AD3)="",INDEX('設定'!$M$11:$V$34,AD3,AD2)=""),1,0)</f>
        <v/>
      </c>
      <c r="AE4">
        <f>IF(AND(AE115=1,INDEX('設定'!$M$9:$V$9,AE2)="",INDEX('設定'!$K$11:$K$34,AE3)="",INDEX('設定'!$M$11:$V$34,AE3,AE2)=""),1,0)</f>
        <v/>
      </c>
      <c r="AF4">
        <f>IF(AND(AF115=1,INDEX('設定'!$M$9:$V$9,AF2)="",INDEX('設定'!$K$11:$K$34,AF3)="",INDEX('設定'!$M$11:$V$34,AF3,AF2)=""),1,0)</f>
        <v/>
      </c>
      <c r="AG4">
        <f>IF(AND(AG115=1,INDEX('設定'!$M$9:$V$9,AG2)="",INDEX('設定'!$K$11:$K$34,AG3)="",INDEX('設定'!$M$11:$V$34,AG3,AG2)=""),1,0)</f>
        <v/>
      </c>
      <c r="AH4">
        <f>IF(AND(AH115=1,INDEX('設定'!$M$9:$V$9,AH2)="",INDEX('設定'!$K$11:$K$34,AH3)="",INDEX('設定'!$M$11:$V$34,AH3,AH2)=""),1,0)</f>
        <v/>
      </c>
      <c r="AI4">
        <f>IF(AND(AI115=1,INDEX('設定'!$M$9:$V$9,AI2)="",INDEX('設定'!$K$11:$K$34,AI3)="",INDEX('設定'!$M$11:$V$34,AI3,AI2)=""),1,0)</f>
        <v/>
      </c>
      <c r="AJ4">
        <f>IF(AND(AJ115=1,INDEX('設定'!$M$9:$V$9,AJ2)="",INDEX('設定'!$K$11:$K$34,AJ3)="",INDEX('設定'!$M$11:$V$34,AJ3,AJ2)=""),1,0)</f>
        <v/>
      </c>
      <c r="AK4">
        <f>IF(AND(AK115=1,INDEX('設定'!$M$9:$V$9,AK2)="",INDEX('設定'!$K$11:$K$34,AK3)="",INDEX('設定'!$M$11:$V$34,AK3,AK2)=""),1,0)</f>
        <v/>
      </c>
      <c r="AL4">
        <f>IF(AND(AL115=1,INDEX('設定'!$M$9:$V$9,AL2)="",INDEX('設定'!$K$11:$K$34,AL3)="",INDEX('設定'!$M$11:$V$34,AL3,AL2)=""),1,0)</f>
        <v/>
      </c>
      <c r="AM4">
        <f>IF(AND(AM115=1,INDEX('設定'!$M$9:$V$9,AM2)="",INDEX('設定'!$K$11:$K$34,AM3)="",INDEX('設定'!$M$11:$V$34,AM3,AM2)=""),1,0)</f>
        <v/>
      </c>
      <c r="AN4">
        <f>IF(AND(AN115=1,INDEX('設定'!$M$9:$V$9,AN2)="",INDEX('設定'!$K$11:$K$34,AN3)="",INDEX('設定'!$M$11:$V$34,AN3,AN2)=""),1,0)</f>
        <v/>
      </c>
      <c r="AO4">
        <f>IF(AND(AO115=1,INDEX('設定'!$M$9:$V$9,AO2)="",INDEX('設定'!$K$11:$K$34,AO3)="",INDEX('設定'!$M$11:$V$34,AO3,AO2)=""),1,0)</f>
        <v/>
      </c>
      <c r="AP4">
        <f>IF(AND(AP115=1,INDEX('設定'!$M$9:$V$9,AP2)="",INDEX('設定'!$K$11:$K$34,AP3)="",INDEX('設定'!$M$11:$V$34,AP3,AP2)=""),1,0)</f>
        <v/>
      </c>
      <c r="AQ4">
        <f>IF(AND(AQ115=1,INDEX('設定'!$M$9:$V$9,AQ2)="",INDEX('設定'!$K$11:$K$34,AQ3)="",INDEX('設定'!$M$11:$V$34,AQ3,AQ2)=""),1,0)</f>
        <v/>
      </c>
      <c r="AR4">
        <f>IF(AND(AR115=1,INDEX('設定'!$M$9:$V$9,AR2)="",INDEX('設定'!$K$11:$K$34,AR3)="",INDEX('設定'!$M$11:$V$34,AR3,AR2)=""),1,0)</f>
        <v/>
      </c>
      <c r="AS4">
        <f>IF(AND(AS115=1,INDEX('設定'!$M$9:$V$9,AS2)="",INDEX('設定'!$K$11:$K$34,AS3)="",INDEX('設定'!$M$11:$V$34,AS3,AS2)=""),1,0)</f>
        <v/>
      </c>
      <c r="AT4">
        <f>IF(AND(AT115=1,INDEX('設定'!$M$9:$V$9,AT2)="",INDEX('設定'!$K$11:$K$34,AT3)="",INDEX('設定'!$M$11:$V$34,AT3,AT2)=""),1,0)</f>
        <v/>
      </c>
      <c r="AU4">
        <f>IF(AND(AU115=1,INDEX('設定'!$M$9:$V$9,AU2)="",INDEX('設定'!$K$11:$K$34,AU3)="",INDEX('設定'!$M$11:$V$34,AU3,AU2)=""),1,0)</f>
        <v/>
      </c>
      <c r="AV4">
        <f>IF(AND(AV115=1,INDEX('設定'!$M$9:$V$9,AV2)="",INDEX('設定'!$K$11:$K$34,AV3)="",INDEX('設定'!$M$11:$V$34,AV3,AV2)=""),1,0)</f>
        <v/>
      </c>
      <c r="AW4">
        <f>IF(AND(AW115=1,INDEX('設定'!$M$9:$V$9,AW2)="",INDEX('設定'!$K$11:$K$34,AW3)="",INDEX('設定'!$M$11:$V$34,AW3,AW2)=""),1,0)</f>
        <v/>
      </c>
      <c r="AX4">
        <f>IF(AND(AX115=1,INDEX('設定'!$M$9:$V$9,AX2)="",INDEX('設定'!$K$11:$K$34,AX3)="",INDEX('設定'!$M$11:$V$34,AX3,AX2)=""),1,0)</f>
        <v/>
      </c>
      <c r="AY4">
        <f>IF(AND(AY115=1,INDEX('設定'!$M$9:$V$9,AY2)="",INDEX('設定'!$K$11:$K$34,AY3)="",INDEX('設定'!$M$11:$V$34,AY3,AY2)=""),1,0)</f>
        <v/>
      </c>
      <c r="AZ4">
        <f>IF(AND(AZ115=1,INDEX('設定'!$M$9:$V$9,AZ2)="",INDEX('設定'!$K$11:$K$34,AZ3)="",INDEX('設定'!$M$11:$V$34,AZ3,AZ2)=""),1,0)</f>
        <v/>
      </c>
      <c r="BA4">
        <f>IF(AND(BA115=1,INDEX('設定'!$M$9:$V$9,BA2)="",INDEX('設定'!$K$11:$K$34,BA3)="",INDEX('設定'!$M$11:$V$34,BA3,BA2)=""),1,0)</f>
        <v/>
      </c>
      <c r="BB4">
        <f>IF(AND(BB115=1,INDEX('設定'!$M$9:$V$9,BB2)="",INDEX('設定'!$K$11:$K$34,BB3)="",INDEX('設定'!$M$11:$V$34,BB3,BB2)=""),1,0)</f>
        <v/>
      </c>
      <c r="BC4">
        <f>IF(AND(BC115=1,INDEX('設定'!$M$9:$V$9,BC2)="",INDEX('設定'!$K$11:$K$34,BC3)="",INDEX('設定'!$M$11:$V$34,BC3,BC2)=""),1,0)</f>
        <v/>
      </c>
      <c r="BD4">
        <f>IF(AND(BD115=1,INDEX('設定'!$M$9:$V$9,BD2)="",INDEX('設定'!$K$11:$K$34,BD3)="",INDEX('設定'!$M$11:$V$34,BD3,BD2)=""),1,0)</f>
        <v/>
      </c>
      <c r="BE4">
        <f>IF(AND(BE115=1,INDEX('設定'!$M$9:$V$9,BE2)="",INDEX('設定'!$K$11:$K$34,BE3)="",INDEX('設定'!$M$11:$V$34,BE3,BE2)=""),1,0)</f>
        <v/>
      </c>
      <c r="BF4">
        <f>IF(AND(BF115=1,INDEX('設定'!$M$9:$V$9,BF2)="",INDEX('設定'!$K$11:$K$34,BF3)="",INDEX('設定'!$M$11:$V$34,BF3,BF2)=""),1,0)</f>
        <v/>
      </c>
      <c r="BG4">
        <f>IF(AND(BG115=1,INDEX('設定'!$M$9:$V$9,BG2)="",INDEX('設定'!$K$11:$K$34,BG3)="",INDEX('設定'!$M$11:$V$34,BG3,BG2)=""),1,0)</f>
        <v/>
      </c>
      <c r="BH4">
        <f>IF(AND(BH115=1,INDEX('設定'!$M$9:$V$9,BH2)="",INDEX('設定'!$K$11:$K$34,BH3)="",INDEX('設定'!$M$11:$V$34,BH3,BH2)=""),1,0)</f>
        <v/>
      </c>
      <c r="BI4">
        <f>IF(AND(BI115=1,INDEX('設定'!$M$9:$V$9,BI2)="",INDEX('設定'!$K$11:$K$34,BI3)="",INDEX('設定'!$M$11:$V$34,BI3,BI2)=""),1,0)</f>
        <v/>
      </c>
      <c r="BJ4">
        <f>IF(AND(BJ115=1,INDEX('設定'!$M$9:$V$9,BJ2)="",INDEX('設定'!$K$11:$K$34,BJ3)="",INDEX('設定'!$M$11:$V$34,BJ3,BJ2)=""),1,0)</f>
        <v/>
      </c>
      <c r="BK4">
        <f>IF(AND(BK115=1,INDEX('設定'!$M$9:$V$9,BK2)="",INDEX('設定'!$K$11:$K$34,BK3)="",INDEX('設定'!$M$11:$V$34,BK3,BK2)=""),1,0)</f>
        <v/>
      </c>
      <c r="BL4">
        <f>IF(AND(BL115=1,INDEX('設定'!$M$9:$V$9,BL2)="",INDEX('設定'!$K$11:$K$34,BL3)="",INDEX('設定'!$M$11:$V$34,BL3,BL2)=""),1,0)</f>
        <v/>
      </c>
      <c r="BM4">
        <f>IF(AND(BM115=1,INDEX('設定'!$M$9:$V$9,BM2)="",INDEX('設定'!$K$11:$K$34,BM3)="",INDEX('設定'!$M$11:$V$34,BM3,BM2)=""),1,0)</f>
        <v/>
      </c>
      <c r="BN4">
        <f>IF(AND(BN115=1,INDEX('設定'!$M$9:$V$9,BN2)="",INDEX('設定'!$K$11:$K$34,BN3)="",INDEX('設定'!$M$11:$V$34,BN3,BN2)=""),1,0)</f>
        <v/>
      </c>
      <c r="BO4">
        <f>IF(AND(BO115=1,INDEX('設定'!$M$9:$V$9,BO2)="",INDEX('設定'!$K$11:$K$34,BO3)="",INDEX('設定'!$M$11:$V$34,BO3,BO2)=""),1,0)</f>
        <v/>
      </c>
      <c r="BP4">
        <f>IF(AND(BP115=1,INDEX('設定'!$M$9:$V$9,BP2)="",INDEX('設定'!$K$11:$K$34,BP3)="",INDEX('設定'!$M$11:$V$34,BP3,BP2)=""),1,0)</f>
        <v/>
      </c>
      <c r="BQ4">
        <f>IF(AND(BQ115=1,INDEX('設定'!$M$9:$V$9,BQ2)="",INDEX('設定'!$K$11:$K$34,BQ3)="",INDEX('設定'!$M$11:$V$34,BQ3,BQ2)=""),1,0)</f>
        <v/>
      </c>
      <c r="BR4">
        <f>IF(AND(BR115=1,INDEX('設定'!$M$9:$V$9,BR2)="",INDEX('設定'!$K$11:$K$34,BR3)="",INDEX('設定'!$M$11:$V$34,BR3,BR2)=""),1,0)</f>
        <v/>
      </c>
      <c r="BS4">
        <f>IF(AND(BS115=1,INDEX('設定'!$M$9:$V$9,BS2)="",INDEX('設定'!$K$11:$K$34,BS3)="",INDEX('設定'!$M$11:$V$34,BS3,BS2)=""),1,0)</f>
        <v/>
      </c>
      <c r="BT4">
        <f>IF(AND(BT115=1,INDEX('設定'!$M$9:$V$9,BT2)="",INDEX('設定'!$K$11:$K$34,BT3)="",INDEX('設定'!$M$11:$V$34,BT3,BT2)=""),1,0)</f>
        <v/>
      </c>
      <c r="BU4">
        <f>IF(AND(BU115=1,INDEX('設定'!$M$9:$V$9,BU2)="",INDEX('設定'!$K$11:$K$34,BU3)="",INDEX('設定'!$M$11:$V$34,BU3,BU2)=""),1,0)</f>
        <v/>
      </c>
      <c r="BV4">
        <f>IF(AND(BV115=1,INDEX('設定'!$M$9:$V$9,BV2)="",INDEX('設定'!$K$11:$K$34,BV3)="",INDEX('設定'!$M$11:$V$34,BV3,BV2)=""),1,0)</f>
        <v/>
      </c>
      <c r="BW4">
        <f>IF(AND(BW115=1,INDEX('設定'!$M$9:$V$9,BW2)="",INDEX('設定'!$K$11:$K$34,BW3)="",INDEX('設定'!$M$11:$V$34,BW3,BW2)=""),1,0)</f>
        <v/>
      </c>
      <c r="BX4">
        <f>IF(AND(BX115=1,INDEX('設定'!$M$9:$V$9,BX2)="",INDEX('設定'!$K$11:$K$34,BX3)="",INDEX('設定'!$M$11:$V$34,BX3,BX2)=""),1,0)</f>
        <v/>
      </c>
      <c r="BY4">
        <f>IF(AND(BY115=1,INDEX('設定'!$M$9:$V$9,BY2)="",INDEX('設定'!$K$11:$K$34,BY3)="",INDEX('設定'!$M$11:$V$34,BY3,BY2)=""),1,0)</f>
        <v/>
      </c>
      <c r="BZ4">
        <f>IF(AND(BZ115=1,INDEX('設定'!$M$9:$V$9,BZ2)="",INDEX('設定'!$K$11:$K$34,BZ3)="",INDEX('設定'!$M$11:$V$34,BZ3,BZ2)=""),1,0)</f>
        <v/>
      </c>
      <c r="CA4">
        <f>IF(AND(CA115=1,INDEX('設定'!$M$9:$V$9,CA2)="",INDEX('設定'!$K$11:$K$34,CA3)="",INDEX('設定'!$M$11:$V$34,CA3,CA2)=""),1,0)</f>
        <v/>
      </c>
      <c r="CB4">
        <f>IF(AND(CB115=1,INDEX('設定'!$M$9:$V$9,CB2)="",INDEX('設定'!$K$11:$K$34,CB3)="",INDEX('設定'!$M$11:$V$34,CB3,CB2)=""),1,0)</f>
        <v/>
      </c>
      <c r="CC4">
        <f>IF(AND(CC115=1,INDEX('設定'!$M$9:$V$9,CC2)="",INDEX('設定'!$K$11:$K$34,CC3)="",INDEX('設定'!$M$11:$V$34,CC3,CC2)=""),1,0)</f>
        <v/>
      </c>
      <c r="CD4">
        <f>IF(AND(CD115=1,INDEX('設定'!$M$9:$V$9,CD2)="",INDEX('設定'!$K$11:$K$34,CD3)="",INDEX('設定'!$M$11:$V$34,CD3,CD2)=""),1,0)</f>
        <v/>
      </c>
      <c r="CE4">
        <f>IF(AND(CE115=1,INDEX('設定'!$M$9:$V$9,CE2)="",INDEX('設定'!$K$11:$K$34,CE3)="",INDEX('設定'!$M$11:$V$34,CE3,CE2)=""),1,0)</f>
        <v/>
      </c>
      <c r="CF4">
        <f>IF(AND(CF115=1,INDEX('設定'!$M$9:$V$9,CF2)="",INDEX('設定'!$K$11:$K$34,CF3)="",INDEX('設定'!$M$11:$V$34,CF3,CF2)=""),1,0)</f>
        <v/>
      </c>
      <c r="CG4">
        <f>IF(AND(CG115=1,INDEX('設定'!$M$9:$V$9,CG2)="",INDEX('設定'!$K$11:$K$34,CG3)="",INDEX('設定'!$M$11:$V$34,CG3,CG2)=""),1,0)</f>
        <v/>
      </c>
      <c r="CH4">
        <f>IF(AND(CH115=1,INDEX('設定'!$M$9:$V$9,CH2)="",INDEX('設定'!$K$11:$K$34,CH3)="",INDEX('設定'!$M$11:$V$34,CH3,CH2)=""),1,0)</f>
        <v/>
      </c>
      <c r="CI4">
        <f>IF(AND(CI115=1,INDEX('設定'!$M$9:$V$9,CI2)="",INDEX('設定'!$K$11:$K$34,CI3)="",INDEX('設定'!$M$11:$V$34,CI3,CI2)=""),1,0)</f>
        <v/>
      </c>
      <c r="CJ4">
        <f>IF(AND(CJ115=1,INDEX('設定'!$M$9:$V$9,CJ2)="",INDEX('設定'!$K$11:$K$34,CJ3)="",INDEX('設定'!$M$11:$V$34,CJ3,CJ2)=""),1,0)</f>
        <v/>
      </c>
      <c r="CK4">
        <f>IF(AND(CK115=1,INDEX('設定'!$M$9:$V$9,CK2)="",INDEX('設定'!$K$11:$K$34,CK3)="",INDEX('設定'!$M$11:$V$34,CK3,CK2)=""),1,0)</f>
        <v/>
      </c>
      <c r="CL4">
        <f>IF(AND(CL115=1,INDEX('設定'!$M$9:$V$9,CL2)="",INDEX('設定'!$K$11:$K$34,CL3)="",INDEX('設定'!$M$11:$V$34,CL3,CL2)=""),1,0)</f>
        <v/>
      </c>
      <c r="CM4">
        <f>IF(AND(CM115=1,INDEX('設定'!$M$9:$V$9,CM2)="",INDEX('設定'!$K$11:$K$34,CM3)="",INDEX('設定'!$M$11:$V$34,CM3,CM2)=""),1,0)</f>
        <v/>
      </c>
      <c r="CN4">
        <f>IF(AND(CN115=1,INDEX('設定'!$M$9:$V$9,CN2)="",INDEX('設定'!$K$11:$K$34,CN3)="",INDEX('設定'!$M$11:$V$34,CN3,CN2)=""),1,0)</f>
        <v/>
      </c>
      <c r="CO4">
        <f>IF(AND(CO115=1,INDEX('設定'!$M$9:$V$9,CO2)="",INDEX('設定'!$K$11:$K$34,CO3)="",INDEX('設定'!$M$11:$V$34,CO3,CO2)=""),1,0)</f>
        <v/>
      </c>
      <c r="CP4">
        <f>IF(AND(CP115=1,INDEX('設定'!$M$9:$V$9,CP2)="",INDEX('設定'!$K$11:$K$34,CP3)="",INDEX('設定'!$M$11:$V$34,CP3,CP2)=""),1,0)</f>
        <v/>
      </c>
      <c r="CQ4">
        <f>IF(AND(CQ115=1,INDEX('設定'!$M$9:$V$9,CQ2)="",INDEX('設定'!$K$11:$K$34,CQ3)="",INDEX('設定'!$M$11:$V$34,CQ3,CQ2)=""),1,0)</f>
        <v/>
      </c>
      <c r="CR4">
        <f>IF(AND(CR115=1,INDEX('設定'!$M$9:$V$9,CR2)="",INDEX('設定'!$K$11:$K$34,CR3)="",INDEX('設定'!$M$11:$V$34,CR3,CR2)=""),1,0)</f>
        <v/>
      </c>
      <c r="CS4">
        <f>IF(AND(CS115=1,INDEX('設定'!$M$9:$V$9,CS2)="",INDEX('設定'!$K$11:$K$34,CS3)="",INDEX('設定'!$M$11:$V$34,CS3,CS2)=""),1,0)</f>
        <v/>
      </c>
      <c r="CT4">
        <f>IF(AND(CT115=1,INDEX('設定'!$M$9:$V$9,CT2)="",INDEX('設定'!$K$11:$K$34,CT3)="",INDEX('設定'!$M$11:$V$34,CT3,CT2)=""),1,0)</f>
        <v/>
      </c>
      <c r="CU4">
        <f>IF(AND(CU115=1,INDEX('設定'!$M$9:$V$9,CU2)="",INDEX('設定'!$K$11:$K$34,CU3)="",INDEX('設定'!$M$11:$V$34,CU3,CU2)=""),1,0)</f>
        <v/>
      </c>
      <c r="CV4">
        <f>IF(AND(CV115=1,INDEX('設定'!$M$9:$V$9,CV2)="",INDEX('設定'!$K$11:$K$34,CV3)="",INDEX('設定'!$M$11:$V$34,CV3,CV2)=""),1,0)</f>
        <v/>
      </c>
      <c r="CW4">
        <f>IF(AND(CW115=1,INDEX('設定'!$M$9:$V$9,CW2)="",INDEX('設定'!$K$11:$K$34,CW3)="",INDEX('設定'!$M$11:$V$34,CW3,CW2)=""),1,0)</f>
        <v/>
      </c>
      <c r="CX4">
        <f>IF(AND(CX115=1,INDEX('設定'!$M$9:$V$9,CX2)="",INDEX('設定'!$K$11:$K$34,CX3)="",INDEX('設定'!$M$11:$V$34,CX3,CX2)=""),1,0)</f>
        <v/>
      </c>
      <c r="CY4">
        <f>IF(AND(CY115=1,INDEX('設定'!$M$9:$V$9,CY2)="",INDEX('設定'!$K$11:$K$34,CY3)="",INDEX('設定'!$M$11:$V$34,CY3,CY2)=""),1,0)</f>
        <v/>
      </c>
      <c r="CZ4">
        <f>IF(AND(CZ115=1,INDEX('設定'!$M$9:$V$9,CZ2)="",INDEX('設定'!$K$11:$K$34,CZ3)="",INDEX('設定'!$M$11:$V$34,CZ3,CZ2)=""),1,0)</f>
        <v/>
      </c>
      <c r="DA4">
        <f>IF(AND(DA115=1,INDEX('設定'!$M$9:$V$9,DA2)="",INDEX('設定'!$K$11:$K$34,DA3)="",INDEX('設定'!$M$11:$V$34,DA3,DA2)=""),1,0)</f>
        <v/>
      </c>
      <c r="DB4">
        <f>IF(AND(DB115=1,INDEX('設定'!$M$9:$V$9,DB2)="",INDEX('設定'!$K$11:$K$34,DB3)="",INDEX('設定'!$M$11:$V$34,DB3,DB2)=""),1,0)</f>
        <v/>
      </c>
      <c r="DC4">
        <f>IF(AND(DC115=1,INDEX('設定'!$M$9:$V$9,DC2)="",INDEX('設定'!$K$11:$K$34,DC3)="",INDEX('設定'!$M$11:$V$34,DC3,DC2)=""),1,0)</f>
        <v/>
      </c>
      <c r="DD4">
        <f>IF(AND(DD115=1,INDEX('設定'!$M$9:$V$9,DD2)="",INDEX('設定'!$K$11:$K$34,DD3)="",INDEX('設定'!$M$11:$V$34,DD3,DD2)=""),1,0)</f>
        <v/>
      </c>
      <c r="DE4">
        <f>IF(AND(DE115=1,INDEX('設定'!$M$9:$V$9,DE2)="",INDEX('設定'!$K$11:$K$34,DE3)="",INDEX('設定'!$M$11:$V$34,DE3,DE2)=""),1,0)</f>
        <v/>
      </c>
      <c r="DF4">
        <f>IF(AND(DF115=1,INDEX('設定'!$M$9:$V$9,DF2)="",INDEX('設定'!$K$11:$K$34,DF3)="",INDEX('設定'!$M$11:$V$34,DF3,DF2)=""),1,0)</f>
        <v/>
      </c>
      <c r="DG4">
        <f>IF(AND(DG115=1,INDEX('設定'!$M$9:$V$9,DG2)="",INDEX('設定'!$K$11:$K$34,DG3)="",INDEX('設定'!$M$11:$V$34,DG3,DG2)=""),1,0)</f>
        <v/>
      </c>
      <c r="DH4">
        <f>IF(AND(DH115=1,INDEX('設定'!$M$9:$V$9,DH2)="",INDEX('設定'!$K$11:$K$34,DH3)="",INDEX('設定'!$M$11:$V$34,DH3,DH2)=""),1,0)</f>
        <v/>
      </c>
      <c r="DI4">
        <f>IF(AND(DI115=1,INDEX('設定'!$M$9:$V$9,DI2)="",INDEX('設定'!$K$11:$K$34,DI3)="",INDEX('設定'!$M$11:$V$34,DI3,DI2)=""),1,0)</f>
        <v/>
      </c>
      <c r="DJ4">
        <f>IF(AND(DJ115=1,INDEX('設定'!$M$9:$V$9,DJ2)="",INDEX('設定'!$K$11:$K$34,DJ3)="",INDEX('設定'!$M$11:$V$34,DJ3,DJ2)=""),1,0)</f>
        <v/>
      </c>
      <c r="DK4">
        <f>IF(AND(DK115=1,INDEX('設定'!$M$9:$V$9,DK2)="",INDEX('設定'!$K$11:$K$34,DK3)="",INDEX('設定'!$M$11:$V$34,DK3,DK2)=""),1,0)</f>
        <v/>
      </c>
      <c r="DL4">
        <f>IF(AND(DL115=1,INDEX('設定'!$M$9:$V$9,DL2)="",INDEX('設定'!$K$11:$K$34,DL3)="",INDEX('設定'!$M$11:$V$34,DL3,DL2)=""),1,0)</f>
        <v/>
      </c>
      <c r="DM4">
        <f>IF(AND(DM115=1,INDEX('設定'!$M$9:$V$9,DM2)="",INDEX('設定'!$K$11:$K$34,DM3)="",INDEX('設定'!$M$11:$V$34,DM3,DM2)=""),1,0)</f>
        <v/>
      </c>
      <c r="DN4">
        <f>IF(AND(DN115=1,INDEX('設定'!$M$9:$V$9,DN2)="",INDEX('設定'!$K$11:$K$34,DN3)="",INDEX('設定'!$M$11:$V$34,DN3,DN2)=""),1,0)</f>
        <v/>
      </c>
      <c r="DO4">
        <f>IF(AND(DO115=1,INDEX('設定'!$M$9:$V$9,DO2)="",INDEX('設定'!$K$11:$K$34,DO3)="",INDEX('設定'!$M$11:$V$34,DO3,DO2)=""),1,0)</f>
        <v/>
      </c>
      <c r="DP4">
        <f>IF(AND(DP115=1,INDEX('設定'!$M$9:$V$9,DP2)="",INDEX('設定'!$K$11:$K$34,DP3)="",INDEX('設定'!$M$11:$V$34,DP3,DP2)=""),1,0)</f>
        <v/>
      </c>
      <c r="DQ4">
        <f>IF(AND(DQ115=1,INDEX('設定'!$M$9:$V$9,DQ2)="",INDEX('設定'!$K$11:$K$34,DQ3)="",INDEX('設定'!$M$11:$V$34,DQ3,DQ2)=""),1,0)</f>
        <v/>
      </c>
      <c r="DR4">
        <f>IF(AND(DR115=1,INDEX('設定'!$M$9:$V$9,DR2)="",INDEX('設定'!$K$11:$K$34,DR3)="",INDEX('設定'!$M$11:$V$34,DR3,DR2)=""),1,0)</f>
        <v/>
      </c>
      <c r="DS4">
        <f>IF(AND(DS115=1,INDEX('設定'!$M$9:$V$9,DS2)="",INDEX('設定'!$K$11:$K$34,DS3)="",INDEX('設定'!$M$11:$V$34,DS3,DS2)=""),1,0)</f>
        <v/>
      </c>
      <c r="DT4">
        <f>IF(AND(DT115=1,INDEX('設定'!$M$9:$V$9,DT2)="",INDEX('設定'!$K$11:$K$34,DT3)="",INDEX('設定'!$M$11:$V$34,DT3,DT2)=""),1,0)</f>
        <v/>
      </c>
      <c r="DU4">
        <f>IF(AND(DU115=1,INDEX('設定'!$M$9:$V$9,DU2)="",INDEX('設定'!$K$11:$K$34,DU3)="",INDEX('設定'!$M$11:$V$34,DU3,DU2)=""),1,0)</f>
        <v/>
      </c>
      <c r="DV4">
        <f>IF(AND(DV115=1,INDEX('設定'!$M$9:$V$9,DV2)="",INDEX('設定'!$K$11:$K$34,DV3)="",INDEX('設定'!$M$11:$V$34,DV3,DV2)=""),1,0)</f>
        <v/>
      </c>
      <c r="DW4">
        <f>IF(AND(DW115=1,INDEX('設定'!$M$9:$V$9,DW2)="",INDEX('設定'!$K$11:$K$34,DW3)="",INDEX('設定'!$M$11:$V$34,DW3,DW2)=""),1,0)</f>
        <v/>
      </c>
      <c r="DX4">
        <f>IF(AND(DX115=1,INDEX('設定'!$M$9:$V$9,DX2)="",INDEX('設定'!$K$11:$K$34,DX3)="",INDEX('設定'!$M$11:$V$34,DX3,DX2)=""),1,0)</f>
        <v/>
      </c>
      <c r="DY4">
        <f>IF(AND(DY115=1,INDEX('設定'!$M$9:$V$9,DY2)="",INDEX('設定'!$K$11:$K$34,DY3)="",INDEX('設定'!$M$11:$V$34,DY3,DY2)=""),1,0)</f>
        <v/>
      </c>
      <c r="DZ4">
        <f>IF(AND(DZ115=1,INDEX('設定'!$M$9:$V$9,DZ2)="",INDEX('設定'!$K$11:$K$34,DZ3)="",INDEX('設定'!$M$11:$V$34,DZ3,DZ2)=""),1,0)</f>
        <v/>
      </c>
      <c r="EA4">
        <f>IF(AND(EA115=1,INDEX('設定'!$M$9:$V$9,EA2)="",INDEX('設定'!$K$11:$K$34,EA3)="",INDEX('設定'!$M$11:$V$34,EA3,EA2)=""),1,0)</f>
        <v/>
      </c>
      <c r="EB4">
        <f>IF(AND(EB115=1,INDEX('設定'!$M$9:$V$9,EB2)="",INDEX('設定'!$K$11:$K$34,EB3)="",INDEX('設定'!$M$11:$V$34,EB3,EB2)=""),1,0)</f>
        <v/>
      </c>
      <c r="EC4">
        <f>IF(AND(EC115=1,INDEX('設定'!$M$9:$V$9,EC2)="",INDEX('設定'!$K$11:$K$34,EC3)="",INDEX('設定'!$M$11:$V$34,EC3,EC2)=""),1,0)</f>
        <v/>
      </c>
      <c r="ED4">
        <f>IF(AND(ED115=1,INDEX('設定'!$M$9:$V$9,ED2)="",INDEX('設定'!$K$11:$K$34,ED3)="",INDEX('設定'!$M$11:$V$34,ED3,ED2)=""),1,0)</f>
        <v/>
      </c>
      <c r="EE4">
        <f>IF(AND(EE115=1,INDEX('設定'!$M$9:$V$9,EE2)="",INDEX('設定'!$K$11:$K$34,EE3)="",INDEX('設定'!$M$11:$V$34,EE3,EE2)=""),1,0)</f>
        <v/>
      </c>
      <c r="EF4">
        <f>IF(AND(EF115=1,INDEX('設定'!$M$9:$V$9,EF2)="",INDEX('設定'!$K$11:$K$34,EF3)="",INDEX('設定'!$M$11:$V$34,EF3,EF2)=""),1,0)</f>
        <v/>
      </c>
      <c r="EG4">
        <f>IF(AND(EG115=1,INDEX('設定'!$M$9:$V$9,EG2)="",INDEX('設定'!$K$11:$K$34,EG3)="",INDEX('設定'!$M$11:$V$34,EG3,EG2)=""),1,0)</f>
        <v/>
      </c>
      <c r="EH4">
        <f>IF(AND(EH115=1,INDEX('設定'!$M$9:$V$9,EH2)="",INDEX('設定'!$K$11:$K$34,EH3)="",INDEX('設定'!$M$11:$V$34,EH3,EH2)=""),1,0)</f>
        <v/>
      </c>
      <c r="EI4">
        <f>IF(AND(EI115=1,INDEX('設定'!$M$9:$V$9,EI2)="",INDEX('設定'!$K$11:$K$34,EI3)="",INDEX('設定'!$M$11:$V$34,EI3,EI2)=""),1,0)</f>
        <v/>
      </c>
      <c r="EJ4">
        <f>IF(AND(EJ115=1,INDEX('設定'!$M$9:$V$9,EJ2)="",INDEX('設定'!$K$11:$K$34,EJ3)="",INDEX('設定'!$M$11:$V$34,EJ3,EJ2)=""),1,0)</f>
        <v/>
      </c>
      <c r="EK4">
        <f>IF(AND(EK115=1,INDEX('設定'!$M$9:$V$9,EK2)="",INDEX('設定'!$K$11:$K$34,EK3)="",INDEX('設定'!$M$11:$V$34,EK3,EK2)=""),1,0)</f>
        <v/>
      </c>
      <c r="EL4">
        <f>IF(AND(EL115=1,INDEX('設定'!$M$9:$V$9,EL2)="",INDEX('設定'!$K$11:$K$34,EL3)="",INDEX('設定'!$M$11:$V$34,EL3,EL2)=""),1,0)</f>
        <v/>
      </c>
      <c r="EM4">
        <f>IF(AND(EM115=1,INDEX('設定'!$M$9:$V$9,EM2)="",INDEX('設定'!$K$11:$K$34,EM3)="",INDEX('設定'!$M$11:$V$34,EM3,EM2)=""),1,0)</f>
        <v/>
      </c>
      <c r="EN4">
        <f>IF(AND(EN115=1,INDEX('設定'!$M$9:$V$9,EN2)="",INDEX('設定'!$K$11:$K$34,EN3)="",INDEX('設定'!$M$11:$V$34,EN3,EN2)=""),1,0)</f>
        <v/>
      </c>
      <c r="EO4">
        <f>IF(AND(EO115=1,INDEX('設定'!$M$9:$V$9,EO2)="",INDEX('設定'!$K$11:$K$34,EO3)="",INDEX('設定'!$M$11:$V$34,EO3,EO2)=""),1,0)</f>
        <v/>
      </c>
      <c r="EP4">
        <f>IF(AND(EP115=1,INDEX('設定'!$M$9:$V$9,EP2)="",INDEX('設定'!$K$11:$K$34,EP3)="",INDEX('設定'!$M$11:$V$34,EP3,EP2)=""),1,0)</f>
        <v/>
      </c>
      <c r="EQ4">
        <f>IF(AND(EQ115=1,INDEX('設定'!$M$9:$V$9,EQ2)="",INDEX('設定'!$K$11:$K$34,EQ3)="",INDEX('設定'!$M$11:$V$34,EQ3,EQ2)=""),1,0)</f>
        <v/>
      </c>
      <c r="ER4">
        <f>IF(AND(ER115=1,INDEX('設定'!$M$9:$V$9,ER2)="",INDEX('設定'!$K$11:$K$34,ER3)="",INDEX('設定'!$M$11:$V$34,ER3,ER2)=""),1,0)</f>
        <v/>
      </c>
      <c r="ES4">
        <f>IF(AND(ES115=1,INDEX('設定'!$M$9:$V$9,ES2)="",INDEX('設定'!$K$11:$K$34,ES3)="",INDEX('設定'!$M$11:$V$34,ES3,ES2)=""),1,0)</f>
        <v/>
      </c>
      <c r="ET4">
        <f>IF(AND(ET115=1,INDEX('設定'!$M$9:$V$9,ET2)="",INDEX('設定'!$K$11:$K$34,ET3)="",INDEX('設定'!$M$11:$V$34,ET3,ET2)=""),1,0)</f>
        <v/>
      </c>
      <c r="EU4">
        <f>IF(AND(EU115=1,INDEX('設定'!$M$9:$V$9,EU2)="",INDEX('設定'!$K$11:$K$34,EU3)="",INDEX('設定'!$M$11:$V$34,EU3,EU2)=""),1,0)</f>
        <v/>
      </c>
      <c r="EV4">
        <f>IF(AND(EV115=1,INDEX('設定'!$M$9:$V$9,EV2)="",INDEX('設定'!$K$11:$K$34,EV3)="",INDEX('設定'!$M$11:$V$34,EV3,EV2)=""),1,0)</f>
        <v/>
      </c>
      <c r="EW4">
        <f>IF(AND(EW115=1,INDEX('設定'!$M$9:$V$9,EW2)="",INDEX('設定'!$K$11:$K$34,EW3)="",INDEX('設定'!$M$11:$V$34,EW3,EW2)=""),1,0)</f>
        <v/>
      </c>
      <c r="EX4">
        <f>IF(AND(EX115=1,INDEX('設定'!$M$9:$V$9,EX2)="",INDEX('設定'!$K$11:$K$34,EX3)="",INDEX('設定'!$M$11:$V$34,EX3,EX2)=""),1,0)</f>
        <v/>
      </c>
      <c r="EY4">
        <f>IF(AND(EY115=1,INDEX('設定'!$M$9:$V$9,EY2)="",INDEX('設定'!$K$11:$K$34,EY3)="",INDEX('設定'!$M$11:$V$34,EY3,EY2)=""),1,0)</f>
        <v/>
      </c>
      <c r="EZ4">
        <f>IF(AND(EZ115=1,INDEX('設定'!$M$9:$V$9,EZ2)="",INDEX('設定'!$K$11:$K$34,EZ3)="",INDEX('設定'!$M$11:$V$34,EZ3,EZ2)=""),1,0)</f>
        <v/>
      </c>
      <c r="FA4">
        <f>IF(AND(FA115=1,INDEX('設定'!$M$9:$V$9,FA2)="",INDEX('設定'!$K$11:$K$34,FA3)="",INDEX('設定'!$M$11:$V$34,FA3,FA2)=""),1,0)</f>
        <v/>
      </c>
      <c r="FB4">
        <f>IF(AND(FB115=1,INDEX('設定'!$M$9:$V$9,FB2)="",INDEX('設定'!$K$11:$K$34,FB3)="",INDEX('設定'!$M$11:$V$34,FB3,FB2)=""),1,0)</f>
        <v/>
      </c>
      <c r="FC4">
        <f>IF(AND(FC115=1,INDEX('設定'!$M$9:$V$9,FC2)="",INDEX('設定'!$K$11:$K$34,FC3)="",INDEX('設定'!$M$11:$V$34,FC3,FC2)=""),1,0)</f>
        <v/>
      </c>
      <c r="FD4">
        <f>IF(AND(FD115=1,INDEX('設定'!$M$9:$V$9,FD2)="",INDEX('設定'!$K$11:$K$34,FD3)="",INDEX('設定'!$M$11:$V$34,FD3,FD2)=""),1,0)</f>
        <v/>
      </c>
      <c r="FE4">
        <f>IF(AND(FE115=1,INDEX('設定'!$M$9:$V$9,FE2)="",INDEX('設定'!$K$11:$K$34,FE3)="",INDEX('設定'!$M$11:$V$34,FE3,FE2)=""),1,0)</f>
        <v/>
      </c>
      <c r="FF4">
        <f>IF(AND(FF115=1,INDEX('設定'!$M$9:$V$9,FF2)="",INDEX('設定'!$K$11:$K$34,FF3)="",INDEX('設定'!$M$11:$V$34,FF3,FF2)=""),1,0)</f>
        <v/>
      </c>
      <c r="FG4">
        <f>IF(AND(FG115=1,INDEX('設定'!$M$9:$V$9,FG2)="",INDEX('設定'!$K$11:$K$34,FG3)="",INDEX('設定'!$M$11:$V$34,FG3,FG2)=""),1,0)</f>
        <v/>
      </c>
      <c r="FH4">
        <f>IF(AND(FH115=1,INDEX('設定'!$M$9:$V$9,FH2)="",INDEX('設定'!$K$11:$K$34,FH3)="",INDEX('設定'!$M$11:$V$34,FH3,FH2)=""),1,0)</f>
        <v/>
      </c>
      <c r="FI4">
        <f>IF(AND(FI115=1,INDEX('設定'!$M$9:$V$9,FI2)="",INDEX('設定'!$K$11:$K$34,FI3)="",INDEX('設定'!$M$11:$V$34,FI3,FI2)=""),1,0)</f>
        <v/>
      </c>
      <c r="FJ4">
        <f>IF(AND(FJ115=1,INDEX('設定'!$M$9:$V$9,FJ2)="",INDEX('設定'!$K$11:$K$34,FJ3)="",INDEX('設定'!$M$11:$V$34,FJ3,FJ2)=""),1,0)</f>
        <v/>
      </c>
      <c r="FK4">
        <f>IF(AND(FK115=1,INDEX('設定'!$M$9:$V$9,FK2)="",INDEX('設定'!$K$11:$K$34,FK3)="",INDEX('設定'!$M$11:$V$34,FK3,FK2)=""),1,0)</f>
        <v/>
      </c>
      <c r="FL4">
        <f>IF(AND(FL115=1,INDEX('設定'!$M$9:$V$9,FL2)="",INDEX('設定'!$K$11:$K$34,FL3)="",INDEX('設定'!$M$11:$V$34,FL3,FL2)=""),1,0)</f>
        <v/>
      </c>
      <c r="FM4">
        <f>IF(AND(FM115=1,INDEX('設定'!$M$9:$V$9,FM2)="",INDEX('設定'!$K$11:$K$34,FM3)="",INDEX('設定'!$M$11:$V$34,FM3,FM2)=""),1,0)</f>
        <v/>
      </c>
      <c r="FN4">
        <f>IF(AND(FN115=1,INDEX('設定'!$M$9:$V$9,FN2)="",INDEX('設定'!$K$11:$K$34,FN3)="",INDEX('設定'!$M$11:$V$34,FN3,FN2)=""),1,0)</f>
        <v/>
      </c>
      <c r="FO4">
        <f>IF(AND(FO115=1,INDEX('設定'!$M$9:$V$9,FO2)="",INDEX('設定'!$K$11:$K$34,FO3)="",INDEX('設定'!$M$11:$V$34,FO3,FO2)=""),1,0)</f>
        <v/>
      </c>
      <c r="FP4">
        <f>IF(AND(FP115=1,INDEX('設定'!$M$9:$V$9,FP2)="",INDEX('設定'!$K$11:$K$34,FP3)="",INDEX('設定'!$M$11:$V$34,FP3,FP2)=""),1,0)</f>
        <v/>
      </c>
      <c r="FQ4">
        <f>IF(AND(FQ115=1,INDEX('設定'!$M$9:$V$9,FQ2)="",INDEX('設定'!$K$11:$K$34,FQ3)="",INDEX('設定'!$M$11:$V$34,FQ3,FQ2)=""),1,0)</f>
        <v/>
      </c>
      <c r="FR4">
        <f>IF(AND(FR115=1,INDEX('設定'!$M$9:$V$9,FR2)="",INDEX('設定'!$K$11:$K$34,FR3)="",INDEX('設定'!$M$11:$V$34,FR3,FR2)=""),1,0)</f>
        <v/>
      </c>
      <c r="FS4">
        <f>IF(AND(FS115=1,INDEX('設定'!$M$9:$V$9,FS2)="",INDEX('設定'!$K$11:$K$34,FS3)="",INDEX('設定'!$M$11:$V$34,FS3,FS2)=""),1,0)</f>
        <v/>
      </c>
      <c r="FT4">
        <f>IF(AND(FT115=1,INDEX('設定'!$M$9:$V$9,FT2)="",INDEX('設定'!$K$11:$K$34,FT3)="",INDEX('設定'!$M$11:$V$34,FT3,FT2)=""),1,0)</f>
        <v/>
      </c>
      <c r="FU4">
        <f>IF(AND(FU115=1,INDEX('設定'!$M$9:$V$9,FU2)="",INDEX('設定'!$K$11:$K$34,FU3)="",INDEX('設定'!$M$11:$V$34,FU3,FU2)=""),1,0)</f>
        <v/>
      </c>
      <c r="FV4">
        <f>IF(AND(FV115=1,INDEX('設定'!$M$9:$V$9,FV2)="",INDEX('設定'!$K$11:$K$34,FV3)="",INDEX('設定'!$M$11:$V$34,FV3,FV2)=""),1,0)</f>
        <v/>
      </c>
      <c r="FW4">
        <f>IF(AND(FW115=1,INDEX('設定'!$M$9:$V$9,FW2)="",INDEX('設定'!$K$11:$K$34,FW3)="",INDEX('設定'!$M$11:$V$34,FW3,FW2)=""),1,0)</f>
        <v/>
      </c>
      <c r="FX4">
        <f>IF(AND(FX115=1,INDEX('設定'!$M$9:$V$9,FX2)="",INDEX('設定'!$K$11:$K$34,FX3)="",INDEX('設定'!$M$11:$V$34,FX3,FX2)=""),1,0)</f>
        <v/>
      </c>
      <c r="FY4">
        <f>IF(AND(FY115=1,INDEX('設定'!$M$9:$V$9,FY2)="",INDEX('設定'!$K$11:$K$34,FY3)="",INDEX('設定'!$M$11:$V$34,FY3,FY2)=""),1,0)</f>
        <v/>
      </c>
      <c r="FZ4">
        <f>IF(AND(FZ115=1,INDEX('設定'!$M$9:$V$9,FZ2)="",INDEX('設定'!$K$11:$K$34,FZ3)="",INDEX('設定'!$M$11:$V$34,FZ3,FZ2)=""),1,0)</f>
        <v/>
      </c>
      <c r="GA4">
        <f>IF(AND(GA115=1,INDEX('設定'!$M$9:$V$9,GA2)="",INDEX('設定'!$K$11:$K$34,GA3)="",INDEX('設定'!$M$11:$V$34,GA3,GA2)=""),1,0)</f>
        <v/>
      </c>
      <c r="GB4">
        <f>IF(AND(GB115=1,INDEX('設定'!$M$9:$V$9,GB2)="",INDEX('設定'!$K$11:$K$34,GB3)="",INDEX('設定'!$M$11:$V$34,GB3,GB2)=""),1,0)</f>
        <v/>
      </c>
      <c r="GC4">
        <f>IF(AND(GC115=1,INDEX('設定'!$M$9:$V$9,GC2)="",INDEX('設定'!$K$11:$K$34,GC3)="",INDEX('設定'!$M$11:$V$34,GC3,GC2)=""),1,0)</f>
        <v/>
      </c>
      <c r="GD4">
        <f>IF(AND(GD115=1,INDEX('設定'!$M$9:$V$9,GD2)="",INDEX('設定'!$K$11:$K$34,GD3)="",INDEX('設定'!$M$11:$V$34,GD3,GD2)=""),1,0)</f>
        <v/>
      </c>
      <c r="GE4">
        <f>IF(AND(GE115=1,INDEX('設定'!$M$9:$V$9,GE2)="",INDEX('設定'!$K$11:$K$34,GE3)="",INDEX('設定'!$M$11:$V$34,GE3,GE2)=""),1,0)</f>
        <v/>
      </c>
      <c r="GF4">
        <f>IF(AND(GF115=1,INDEX('設定'!$M$9:$V$9,GF2)="",INDEX('設定'!$K$11:$K$34,GF3)="",INDEX('設定'!$M$11:$V$34,GF3,GF2)=""),1,0)</f>
        <v/>
      </c>
      <c r="GG4">
        <f>IF(AND(GG115=1,INDEX('設定'!$M$9:$V$9,GG2)="",INDEX('設定'!$K$11:$K$34,GG3)="",INDEX('設定'!$M$11:$V$34,GG3,GG2)=""),1,0)</f>
        <v/>
      </c>
      <c r="GH4">
        <f>IF(AND(GH115=1,INDEX('設定'!$M$9:$V$9,GH2)="",INDEX('設定'!$K$11:$K$34,GH3)="",INDEX('設定'!$M$11:$V$34,GH3,GH2)=""),1,0)</f>
        <v/>
      </c>
      <c r="GI4">
        <f>IF(AND(GI115=1,INDEX('設定'!$M$9:$V$9,GI2)="",INDEX('設定'!$K$11:$K$34,GI3)="",INDEX('設定'!$M$11:$V$34,GI3,GI2)=""),1,0)</f>
        <v/>
      </c>
      <c r="GJ4">
        <f>IF(AND(GJ115=1,INDEX('設定'!$M$9:$V$9,GJ2)="",INDEX('設定'!$K$11:$K$34,GJ3)="",INDEX('設定'!$M$11:$V$34,GJ3,GJ2)=""),1,0)</f>
        <v/>
      </c>
      <c r="GK4">
        <f>IF(AND(GK115=1,INDEX('設定'!$M$9:$V$9,GK2)="",INDEX('設定'!$K$11:$K$34,GK3)="",INDEX('設定'!$M$11:$V$34,GK3,GK2)=""),1,0)</f>
        <v/>
      </c>
      <c r="GL4">
        <f>IF(AND(GL115=1,INDEX('設定'!$M$9:$V$9,GL2)="",INDEX('設定'!$K$11:$K$34,GL3)="",INDEX('設定'!$M$11:$V$34,GL3,GL2)=""),1,0)</f>
        <v/>
      </c>
      <c r="GM4">
        <f>IF(AND(GM115=1,INDEX('設定'!$M$9:$V$9,GM2)="",INDEX('設定'!$K$11:$K$34,GM3)="",INDEX('設定'!$M$11:$V$34,GM3,GM2)=""),1,0)</f>
        <v/>
      </c>
      <c r="GN4">
        <f>IF(AND(GN115=1,INDEX('設定'!$M$9:$V$9,GN2)="",INDEX('設定'!$K$11:$K$34,GN3)="",INDEX('設定'!$M$11:$V$34,GN3,GN2)=""),1,0)</f>
        <v/>
      </c>
      <c r="GO4">
        <f>IF(AND(GO115=1,INDEX('設定'!$M$9:$V$9,GO2)="",INDEX('設定'!$K$11:$K$34,GO3)="",INDEX('設定'!$M$11:$V$34,GO3,GO2)=""),1,0)</f>
        <v/>
      </c>
      <c r="GP4">
        <f>IF(AND(GP115=1,INDEX('設定'!$M$9:$V$9,GP2)="",INDEX('設定'!$K$11:$K$34,GP3)="",INDEX('設定'!$M$11:$V$34,GP3,GP2)=""),1,0)</f>
        <v/>
      </c>
      <c r="GQ4">
        <f>IF(AND(GQ115=1,INDEX('設定'!$M$9:$V$9,GQ2)="",INDEX('設定'!$K$11:$K$34,GQ3)="",INDEX('設定'!$M$11:$V$34,GQ3,GQ2)=""),1,0)</f>
        <v/>
      </c>
      <c r="GR4">
        <f>IF(AND(GR115=1,INDEX('設定'!$M$9:$V$9,GR2)="",INDEX('設定'!$K$11:$K$34,GR3)="",INDEX('設定'!$M$11:$V$34,GR3,GR2)=""),1,0)</f>
        <v/>
      </c>
      <c r="GS4">
        <f>IF(AND(GS115=1,INDEX('設定'!$M$9:$V$9,GS2)="",INDEX('設定'!$K$11:$K$34,GS3)="",INDEX('設定'!$M$11:$V$34,GS3,GS2)=""),1,0)</f>
        <v/>
      </c>
      <c r="GT4">
        <f>IF(AND(GT115=1,INDEX('設定'!$M$9:$V$9,GT2)="",INDEX('設定'!$K$11:$K$34,GT3)="",INDEX('設定'!$M$11:$V$34,GT3,GT2)=""),1,0)</f>
        <v/>
      </c>
      <c r="GU4">
        <f>IF(AND(GU115=1,INDEX('設定'!$M$9:$V$9,GU2)="",INDEX('設定'!$K$11:$K$34,GU3)="",INDEX('設定'!$M$11:$V$34,GU3,GU2)=""),1,0)</f>
        <v/>
      </c>
      <c r="GV4">
        <f>IF(AND(GV115=1,INDEX('設定'!$M$9:$V$9,GV2)="",INDEX('設定'!$K$11:$K$34,GV3)="",INDEX('設定'!$M$11:$V$34,GV3,GV2)=""),1,0)</f>
        <v/>
      </c>
      <c r="GW4">
        <f>IF(AND(GW115=1,INDEX('設定'!$M$9:$V$9,GW2)="",INDEX('設定'!$K$11:$K$34,GW3)="",INDEX('設定'!$M$11:$V$34,GW3,GW2)=""),1,0)</f>
        <v/>
      </c>
      <c r="GX4">
        <f>IF(AND(GX115=1,INDEX('設定'!$M$9:$V$9,GX2)="",INDEX('設定'!$K$11:$K$34,GX3)="",INDEX('設定'!$M$11:$V$34,GX3,GX2)=""),1,0)</f>
        <v/>
      </c>
      <c r="GY4">
        <f>IF(AND(GY115=1,INDEX('設定'!$M$9:$V$9,GY2)="",INDEX('設定'!$K$11:$K$34,GY3)="",INDEX('設定'!$M$11:$V$34,GY3,GY2)=""),1,0)</f>
        <v/>
      </c>
      <c r="GZ4">
        <f>IF(AND(GZ115=1,INDEX('設定'!$M$9:$V$9,GZ2)="",INDEX('設定'!$K$11:$K$34,GZ3)="",INDEX('設定'!$M$11:$V$34,GZ3,GZ2)=""),1,0)</f>
        <v/>
      </c>
      <c r="HA4">
        <f>IF(AND(HA115=1,INDEX('設定'!$M$9:$V$9,HA2)="",INDEX('設定'!$K$11:$K$34,HA3)="",INDEX('設定'!$M$11:$V$34,HA3,HA2)=""),1,0)</f>
        <v/>
      </c>
      <c r="HB4">
        <f>IF(AND(HB115=1,INDEX('設定'!$M$9:$V$9,HB2)="",INDEX('設定'!$K$11:$K$34,HB3)="",INDEX('設定'!$M$11:$V$34,HB3,HB2)=""),1,0)</f>
        <v/>
      </c>
      <c r="HC4">
        <f>IF(AND(HC115=1,INDEX('設定'!$M$9:$V$9,HC2)="",INDEX('設定'!$K$11:$K$34,HC3)="",INDEX('設定'!$M$11:$V$34,HC3,HC2)=""),1,0)</f>
        <v/>
      </c>
      <c r="HD4">
        <f>IF(AND(HD115=1,INDEX('設定'!$M$9:$V$9,HD2)="",INDEX('設定'!$K$11:$K$34,HD3)="",INDEX('設定'!$M$11:$V$34,HD3,HD2)=""),1,0)</f>
        <v/>
      </c>
      <c r="HE4">
        <f>IF(AND(HE115=1,INDEX('設定'!$M$9:$V$9,HE2)="",INDEX('設定'!$K$11:$K$34,HE3)="",INDEX('設定'!$M$11:$V$34,HE3,HE2)=""),1,0)</f>
        <v/>
      </c>
      <c r="HF4">
        <f>IF(AND(HF115=1,INDEX('設定'!$M$9:$V$9,HF2)="",INDEX('設定'!$K$11:$K$34,HF3)="",INDEX('設定'!$M$11:$V$34,HF3,HF2)=""),1,0)</f>
        <v/>
      </c>
      <c r="HG4">
        <f>IF(AND(HG115=1,INDEX('設定'!$M$9:$V$9,HG2)="",INDEX('設定'!$K$11:$K$34,HG3)="",INDEX('設定'!$M$11:$V$34,HG3,HG2)=""),1,0)</f>
        <v/>
      </c>
      <c r="HH4">
        <f>IF(AND(HH115=1,INDEX('設定'!$M$9:$V$9,HH2)="",INDEX('設定'!$K$11:$K$34,HH3)="",INDEX('設定'!$M$11:$V$34,HH3,HH2)=""),1,0)</f>
        <v/>
      </c>
      <c r="HI4">
        <f>IF(AND(HI115=1,INDEX('設定'!$M$9:$V$9,HI2)="",INDEX('設定'!$K$11:$K$34,HI3)="",INDEX('設定'!$M$11:$V$34,HI3,HI2)=""),1,0)</f>
        <v/>
      </c>
      <c r="HJ4">
        <f>IF(AND(HJ115=1,INDEX('設定'!$M$9:$V$9,HJ2)="",INDEX('設定'!$K$11:$K$34,HJ3)="",INDEX('設定'!$M$11:$V$34,HJ3,HJ2)=""),1,0)</f>
        <v/>
      </c>
      <c r="HK4">
        <f>IF(AND(HK115=1,INDEX('設定'!$M$9:$V$9,HK2)="",INDEX('設定'!$K$11:$K$34,HK3)="",INDEX('設定'!$M$11:$V$34,HK3,HK2)=""),1,0)</f>
        <v/>
      </c>
      <c r="HL4">
        <f>IF(AND(HL115=1,INDEX('設定'!$M$9:$V$9,HL2)="",INDEX('設定'!$K$11:$K$34,HL3)="",INDEX('設定'!$M$11:$V$34,HL3,HL2)=""),1,0)</f>
        <v/>
      </c>
      <c r="HM4">
        <f>IF(AND(HM115=1,INDEX('設定'!$M$9:$V$9,HM2)="",INDEX('設定'!$K$11:$K$34,HM3)="",INDEX('設定'!$M$11:$V$34,HM3,HM2)=""),1,0)</f>
        <v/>
      </c>
      <c r="HN4">
        <f>IF(AND(HN115=1,INDEX('設定'!$M$9:$V$9,HN2)="",INDEX('設定'!$K$11:$K$34,HN3)="",INDEX('設定'!$M$11:$V$34,HN3,HN2)=""),1,0)</f>
        <v/>
      </c>
      <c r="HO4">
        <f>IF(AND(HO115=1,INDEX('設定'!$M$9:$V$9,HO2)="",INDEX('設定'!$K$11:$K$34,HO3)="",INDEX('設定'!$M$11:$V$34,HO3,HO2)=""),1,0)</f>
        <v/>
      </c>
      <c r="HP4">
        <f>IF(AND(HP115=1,INDEX('設定'!$M$9:$V$9,HP2)="",INDEX('設定'!$K$11:$K$34,HP3)="",INDEX('設定'!$M$11:$V$34,HP3,HP2)=""),1,0)</f>
        <v/>
      </c>
      <c r="HQ4">
        <f>IF(AND(HQ115=1,INDEX('設定'!$M$9:$V$9,HQ2)="",INDEX('設定'!$K$11:$K$34,HQ3)="",INDEX('設定'!$M$11:$V$34,HQ3,HQ2)=""),1,0)</f>
        <v/>
      </c>
      <c r="HR4">
        <f>IF(AND(HR115=1,INDEX('設定'!$M$9:$V$9,HR2)="",INDEX('設定'!$K$11:$K$34,HR3)="",INDEX('設定'!$M$11:$V$34,HR3,HR2)=""),1,0)</f>
        <v/>
      </c>
      <c r="HS4">
        <f>IF(AND(HS115=1,INDEX('設定'!$M$9:$V$9,HS2)="",INDEX('設定'!$K$11:$K$34,HS3)="",INDEX('設定'!$M$11:$V$34,HS3,HS2)=""),1,0)</f>
        <v/>
      </c>
      <c r="HT4">
        <f>IF(AND(HT115=1,INDEX('設定'!$M$9:$V$9,HT2)="",INDEX('設定'!$K$11:$K$34,HT3)="",INDEX('設定'!$M$11:$V$34,HT3,HT2)=""),1,0)</f>
        <v/>
      </c>
      <c r="HU4">
        <f>IF(AND(HU115=1,INDEX('設定'!$M$9:$V$9,HU2)="",INDEX('設定'!$K$11:$K$34,HU3)="",INDEX('設定'!$M$11:$V$34,HU3,HU2)=""),1,0)</f>
        <v/>
      </c>
      <c r="HV4">
        <f>IF(AND(HV115=1,INDEX('設定'!$M$9:$V$9,HV2)="",INDEX('設定'!$K$11:$K$34,HV3)="",INDEX('設定'!$M$11:$V$34,HV3,HV2)=""),1,0)</f>
        <v/>
      </c>
      <c r="HW4">
        <f>IF(AND(HW115=1,INDEX('設定'!$M$9:$V$9,HW2)="",INDEX('設定'!$K$11:$K$34,HW3)="",INDEX('設定'!$M$11:$V$34,HW3,HW2)=""),1,0)</f>
        <v/>
      </c>
      <c r="HX4">
        <f>IF(AND(HX115=1,INDEX('設定'!$M$9:$V$9,HX2)="",INDEX('設定'!$K$11:$K$34,HX3)="",INDEX('設定'!$M$11:$V$34,HX3,HX2)=""),1,0)</f>
        <v/>
      </c>
      <c r="HY4">
        <f>IF(AND(HY115=1,INDEX('設定'!$M$9:$V$9,HY2)="",INDEX('設定'!$K$11:$K$34,HY3)="",INDEX('設定'!$M$11:$V$34,HY3,HY2)=""),1,0)</f>
        <v/>
      </c>
      <c r="HZ4">
        <f>IF(AND(HZ115=1,INDEX('設定'!$M$9:$V$9,HZ2)="",INDEX('設定'!$K$11:$K$34,HZ3)="",INDEX('設定'!$M$11:$V$34,HZ3,HZ2)=""),1,0)</f>
        <v/>
      </c>
      <c r="IA4">
        <f>IF(AND(IA115=1,INDEX('設定'!$M$9:$V$9,IA2)="",INDEX('設定'!$K$11:$K$34,IA3)="",INDEX('設定'!$M$11:$V$34,IA3,IA2)=""),1,0)</f>
        <v/>
      </c>
      <c r="IB4">
        <f>IF(AND(IB115=1,INDEX('設定'!$M$9:$V$9,IB2)="",INDEX('設定'!$K$11:$K$34,IB3)="",INDEX('設定'!$M$11:$V$34,IB3,IB2)=""),1,0)</f>
        <v/>
      </c>
      <c r="IC4">
        <f>IF(AND(IC115=1,INDEX('設定'!$M$9:$V$9,IC2)="",INDEX('設定'!$K$11:$K$34,IC3)="",INDEX('設定'!$M$11:$V$34,IC3,IC2)=""),1,0)</f>
        <v/>
      </c>
      <c r="ID4">
        <f>IF(AND(ID115=1,INDEX('設定'!$M$9:$V$9,ID2)="",INDEX('設定'!$K$11:$K$34,ID3)="",INDEX('設定'!$M$11:$V$34,ID3,ID2)=""),1,0)</f>
        <v/>
      </c>
      <c r="IE4">
        <f>IF(AND(IE115=1,INDEX('設定'!$M$9:$V$9,IE2)="",INDEX('設定'!$K$11:$K$34,IE3)="",INDEX('設定'!$M$11:$V$34,IE3,IE2)=""),1,0)</f>
        <v/>
      </c>
      <c r="IF4">
        <f>IF(AND(IF115=1,INDEX('設定'!$M$9:$V$9,IF2)="",INDEX('設定'!$K$11:$K$34,IF3)="",INDEX('設定'!$M$11:$V$34,IF3,IF2)=""),1,0)</f>
        <v/>
      </c>
      <c r="IG4">
        <f>IF(AND(IG115=1,INDEX('設定'!$M$9:$V$9,IG2)="",INDEX('設定'!$K$11:$K$34,IG3)="",INDEX('設定'!$M$11:$V$34,IG3,IG2)=""),1,0)</f>
        <v/>
      </c>
      <c r="IH4">
        <f>IF(AND(IH115=1,INDEX('設定'!$M$9:$V$9,IH2)="",INDEX('設定'!$K$11:$K$34,IH3)="",INDEX('設定'!$M$11:$V$34,IH3,IH2)=""),1,0)</f>
        <v/>
      </c>
      <c r="II4">
        <f>IF(AND(II115=1,INDEX('設定'!$M$9:$V$9,II2)="",INDEX('設定'!$K$11:$K$34,II3)="",INDEX('設定'!$M$11:$V$34,II3,II2)=""),1,0)</f>
        <v/>
      </c>
    </row>
    <row r="5">
      <c r="C5" s="83" t="inlineStr">
        <is>
          <t>空けたい</t>
        </is>
      </c>
      <c r="D5">
        <f>IF(OR(INDEX('設定'!$D$11:$D$20,D2)&lt;&gt;"",INDEX('設定'!$H$11:$H$34,D3)&lt;&gt;""),1,0)</f>
        <v/>
      </c>
      <c r="E5">
        <f>IF(OR(INDEX('設定'!$D$11:$D$20,E2)&lt;&gt;"",INDEX('設定'!$H$11:$H$34,E3)&lt;&gt;""),1,0)</f>
        <v/>
      </c>
      <c r="F5">
        <f>IF(OR(INDEX('設定'!$D$11:$D$20,F2)&lt;&gt;"",INDEX('設定'!$H$11:$H$34,F3)&lt;&gt;""),1,0)</f>
        <v/>
      </c>
      <c r="G5">
        <f>IF(OR(INDEX('設定'!$D$11:$D$20,G2)&lt;&gt;"",INDEX('設定'!$H$11:$H$34,G3)&lt;&gt;""),1,0)</f>
        <v/>
      </c>
      <c r="H5">
        <f>IF(OR(INDEX('設定'!$D$11:$D$20,H2)&lt;&gt;"",INDEX('設定'!$H$11:$H$34,H3)&lt;&gt;""),1,0)</f>
        <v/>
      </c>
      <c r="I5">
        <f>IF(OR(INDEX('設定'!$D$11:$D$20,I2)&lt;&gt;"",INDEX('設定'!$H$11:$H$34,I3)&lt;&gt;""),1,0)</f>
        <v/>
      </c>
      <c r="J5">
        <f>IF(OR(INDEX('設定'!$D$11:$D$20,J2)&lt;&gt;"",INDEX('設定'!$H$11:$H$34,J3)&lt;&gt;""),1,0)</f>
        <v/>
      </c>
      <c r="K5">
        <f>IF(OR(INDEX('設定'!$D$11:$D$20,K2)&lt;&gt;"",INDEX('設定'!$H$11:$H$34,K3)&lt;&gt;""),1,0)</f>
        <v/>
      </c>
      <c r="L5">
        <f>IF(OR(INDEX('設定'!$D$11:$D$20,L2)&lt;&gt;"",INDEX('設定'!$H$11:$H$34,L3)&lt;&gt;""),1,0)</f>
        <v/>
      </c>
      <c r="M5">
        <f>IF(OR(INDEX('設定'!$D$11:$D$20,M2)&lt;&gt;"",INDEX('設定'!$H$11:$H$34,M3)&lt;&gt;""),1,0)</f>
        <v/>
      </c>
      <c r="N5">
        <f>IF(OR(INDEX('設定'!$D$11:$D$20,N2)&lt;&gt;"",INDEX('設定'!$H$11:$H$34,N3)&lt;&gt;""),1,0)</f>
        <v/>
      </c>
      <c r="O5">
        <f>IF(OR(INDEX('設定'!$D$11:$D$20,O2)&lt;&gt;"",INDEX('設定'!$H$11:$H$34,O3)&lt;&gt;""),1,0)</f>
        <v/>
      </c>
      <c r="P5">
        <f>IF(OR(INDEX('設定'!$D$11:$D$20,P2)&lt;&gt;"",INDEX('設定'!$H$11:$H$34,P3)&lt;&gt;""),1,0)</f>
        <v/>
      </c>
      <c r="Q5">
        <f>IF(OR(INDEX('設定'!$D$11:$D$20,Q2)&lt;&gt;"",INDEX('設定'!$H$11:$H$34,Q3)&lt;&gt;""),1,0)</f>
        <v/>
      </c>
      <c r="R5">
        <f>IF(OR(INDEX('設定'!$D$11:$D$20,R2)&lt;&gt;"",INDEX('設定'!$H$11:$H$34,R3)&lt;&gt;""),1,0)</f>
        <v/>
      </c>
      <c r="S5">
        <f>IF(OR(INDEX('設定'!$D$11:$D$20,S2)&lt;&gt;"",INDEX('設定'!$H$11:$H$34,S3)&lt;&gt;""),1,0)</f>
        <v/>
      </c>
      <c r="T5">
        <f>IF(OR(INDEX('設定'!$D$11:$D$20,T2)&lt;&gt;"",INDEX('設定'!$H$11:$H$34,T3)&lt;&gt;""),1,0)</f>
        <v/>
      </c>
      <c r="U5">
        <f>IF(OR(INDEX('設定'!$D$11:$D$20,U2)&lt;&gt;"",INDEX('設定'!$H$11:$H$34,U3)&lt;&gt;""),1,0)</f>
        <v/>
      </c>
      <c r="V5">
        <f>IF(OR(INDEX('設定'!$D$11:$D$20,V2)&lt;&gt;"",INDEX('設定'!$H$11:$H$34,V3)&lt;&gt;""),1,0)</f>
        <v/>
      </c>
      <c r="W5">
        <f>IF(OR(INDEX('設定'!$D$11:$D$20,W2)&lt;&gt;"",INDEX('設定'!$H$11:$H$34,W3)&lt;&gt;""),1,0)</f>
        <v/>
      </c>
      <c r="X5">
        <f>IF(OR(INDEX('設定'!$D$11:$D$20,X2)&lt;&gt;"",INDEX('設定'!$H$11:$H$34,X3)&lt;&gt;""),1,0)</f>
        <v/>
      </c>
      <c r="Y5">
        <f>IF(OR(INDEX('設定'!$D$11:$D$20,Y2)&lt;&gt;"",INDEX('設定'!$H$11:$H$34,Y3)&lt;&gt;""),1,0)</f>
        <v/>
      </c>
      <c r="Z5">
        <f>IF(OR(INDEX('設定'!$D$11:$D$20,Z2)&lt;&gt;"",INDEX('設定'!$H$11:$H$34,Z3)&lt;&gt;""),1,0)</f>
        <v/>
      </c>
      <c r="AA5">
        <f>IF(OR(INDEX('設定'!$D$11:$D$20,AA2)&lt;&gt;"",INDEX('設定'!$H$11:$H$34,AA3)&lt;&gt;""),1,0)</f>
        <v/>
      </c>
      <c r="AB5">
        <f>IF(OR(INDEX('設定'!$D$11:$D$20,AB2)&lt;&gt;"",INDEX('設定'!$H$11:$H$34,AB3)&lt;&gt;""),1,0)</f>
        <v/>
      </c>
      <c r="AC5">
        <f>IF(OR(INDEX('設定'!$D$11:$D$20,AC2)&lt;&gt;"",INDEX('設定'!$H$11:$H$34,AC3)&lt;&gt;""),1,0)</f>
        <v/>
      </c>
      <c r="AD5">
        <f>IF(OR(INDEX('設定'!$D$11:$D$20,AD2)&lt;&gt;"",INDEX('設定'!$H$11:$H$34,AD3)&lt;&gt;""),1,0)</f>
        <v/>
      </c>
      <c r="AE5">
        <f>IF(OR(INDEX('設定'!$D$11:$D$20,AE2)&lt;&gt;"",INDEX('設定'!$H$11:$H$34,AE3)&lt;&gt;""),1,0)</f>
        <v/>
      </c>
      <c r="AF5">
        <f>IF(OR(INDEX('設定'!$D$11:$D$20,AF2)&lt;&gt;"",INDEX('設定'!$H$11:$H$34,AF3)&lt;&gt;""),1,0)</f>
        <v/>
      </c>
      <c r="AG5">
        <f>IF(OR(INDEX('設定'!$D$11:$D$20,AG2)&lt;&gt;"",INDEX('設定'!$H$11:$H$34,AG3)&lt;&gt;""),1,0)</f>
        <v/>
      </c>
      <c r="AH5">
        <f>IF(OR(INDEX('設定'!$D$11:$D$20,AH2)&lt;&gt;"",INDEX('設定'!$H$11:$H$34,AH3)&lt;&gt;""),1,0)</f>
        <v/>
      </c>
      <c r="AI5">
        <f>IF(OR(INDEX('設定'!$D$11:$D$20,AI2)&lt;&gt;"",INDEX('設定'!$H$11:$H$34,AI3)&lt;&gt;""),1,0)</f>
        <v/>
      </c>
      <c r="AJ5">
        <f>IF(OR(INDEX('設定'!$D$11:$D$20,AJ2)&lt;&gt;"",INDEX('設定'!$H$11:$H$34,AJ3)&lt;&gt;""),1,0)</f>
        <v/>
      </c>
      <c r="AK5">
        <f>IF(OR(INDEX('設定'!$D$11:$D$20,AK2)&lt;&gt;"",INDEX('設定'!$H$11:$H$34,AK3)&lt;&gt;""),1,0)</f>
        <v/>
      </c>
      <c r="AL5">
        <f>IF(OR(INDEX('設定'!$D$11:$D$20,AL2)&lt;&gt;"",INDEX('設定'!$H$11:$H$34,AL3)&lt;&gt;""),1,0)</f>
        <v/>
      </c>
      <c r="AM5">
        <f>IF(OR(INDEX('設定'!$D$11:$D$20,AM2)&lt;&gt;"",INDEX('設定'!$H$11:$H$34,AM3)&lt;&gt;""),1,0)</f>
        <v/>
      </c>
      <c r="AN5">
        <f>IF(OR(INDEX('設定'!$D$11:$D$20,AN2)&lt;&gt;"",INDEX('設定'!$H$11:$H$34,AN3)&lt;&gt;""),1,0)</f>
        <v/>
      </c>
      <c r="AO5">
        <f>IF(OR(INDEX('設定'!$D$11:$D$20,AO2)&lt;&gt;"",INDEX('設定'!$H$11:$H$34,AO3)&lt;&gt;""),1,0)</f>
        <v/>
      </c>
      <c r="AP5">
        <f>IF(OR(INDEX('設定'!$D$11:$D$20,AP2)&lt;&gt;"",INDEX('設定'!$H$11:$H$34,AP3)&lt;&gt;""),1,0)</f>
        <v/>
      </c>
      <c r="AQ5">
        <f>IF(OR(INDEX('設定'!$D$11:$D$20,AQ2)&lt;&gt;"",INDEX('設定'!$H$11:$H$34,AQ3)&lt;&gt;""),1,0)</f>
        <v/>
      </c>
      <c r="AR5">
        <f>IF(OR(INDEX('設定'!$D$11:$D$20,AR2)&lt;&gt;"",INDEX('設定'!$H$11:$H$34,AR3)&lt;&gt;""),1,0)</f>
        <v/>
      </c>
      <c r="AS5">
        <f>IF(OR(INDEX('設定'!$D$11:$D$20,AS2)&lt;&gt;"",INDEX('設定'!$H$11:$H$34,AS3)&lt;&gt;""),1,0)</f>
        <v/>
      </c>
      <c r="AT5">
        <f>IF(OR(INDEX('設定'!$D$11:$D$20,AT2)&lt;&gt;"",INDEX('設定'!$H$11:$H$34,AT3)&lt;&gt;""),1,0)</f>
        <v/>
      </c>
      <c r="AU5">
        <f>IF(OR(INDEX('設定'!$D$11:$D$20,AU2)&lt;&gt;"",INDEX('設定'!$H$11:$H$34,AU3)&lt;&gt;""),1,0)</f>
        <v/>
      </c>
      <c r="AV5">
        <f>IF(OR(INDEX('設定'!$D$11:$D$20,AV2)&lt;&gt;"",INDEX('設定'!$H$11:$H$34,AV3)&lt;&gt;""),1,0)</f>
        <v/>
      </c>
      <c r="AW5">
        <f>IF(OR(INDEX('設定'!$D$11:$D$20,AW2)&lt;&gt;"",INDEX('設定'!$H$11:$H$34,AW3)&lt;&gt;""),1,0)</f>
        <v/>
      </c>
      <c r="AX5">
        <f>IF(OR(INDEX('設定'!$D$11:$D$20,AX2)&lt;&gt;"",INDEX('設定'!$H$11:$H$34,AX3)&lt;&gt;""),1,0)</f>
        <v/>
      </c>
      <c r="AY5">
        <f>IF(OR(INDEX('設定'!$D$11:$D$20,AY2)&lt;&gt;"",INDEX('設定'!$H$11:$H$34,AY3)&lt;&gt;""),1,0)</f>
        <v/>
      </c>
      <c r="AZ5">
        <f>IF(OR(INDEX('設定'!$D$11:$D$20,AZ2)&lt;&gt;"",INDEX('設定'!$H$11:$H$34,AZ3)&lt;&gt;""),1,0)</f>
        <v/>
      </c>
      <c r="BA5">
        <f>IF(OR(INDEX('設定'!$D$11:$D$20,BA2)&lt;&gt;"",INDEX('設定'!$H$11:$H$34,BA3)&lt;&gt;""),1,0)</f>
        <v/>
      </c>
      <c r="BB5">
        <f>IF(OR(INDEX('設定'!$D$11:$D$20,BB2)&lt;&gt;"",INDEX('設定'!$H$11:$H$34,BB3)&lt;&gt;""),1,0)</f>
        <v/>
      </c>
      <c r="BC5">
        <f>IF(OR(INDEX('設定'!$D$11:$D$20,BC2)&lt;&gt;"",INDEX('設定'!$H$11:$H$34,BC3)&lt;&gt;""),1,0)</f>
        <v/>
      </c>
      <c r="BD5">
        <f>IF(OR(INDEX('設定'!$D$11:$D$20,BD2)&lt;&gt;"",INDEX('設定'!$H$11:$H$34,BD3)&lt;&gt;""),1,0)</f>
        <v/>
      </c>
      <c r="BE5">
        <f>IF(OR(INDEX('設定'!$D$11:$D$20,BE2)&lt;&gt;"",INDEX('設定'!$H$11:$H$34,BE3)&lt;&gt;""),1,0)</f>
        <v/>
      </c>
      <c r="BF5">
        <f>IF(OR(INDEX('設定'!$D$11:$D$20,BF2)&lt;&gt;"",INDEX('設定'!$H$11:$H$34,BF3)&lt;&gt;""),1,0)</f>
        <v/>
      </c>
      <c r="BG5">
        <f>IF(OR(INDEX('設定'!$D$11:$D$20,BG2)&lt;&gt;"",INDEX('設定'!$H$11:$H$34,BG3)&lt;&gt;""),1,0)</f>
        <v/>
      </c>
      <c r="BH5">
        <f>IF(OR(INDEX('設定'!$D$11:$D$20,BH2)&lt;&gt;"",INDEX('設定'!$H$11:$H$34,BH3)&lt;&gt;""),1,0)</f>
        <v/>
      </c>
      <c r="BI5">
        <f>IF(OR(INDEX('設定'!$D$11:$D$20,BI2)&lt;&gt;"",INDEX('設定'!$H$11:$H$34,BI3)&lt;&gt;""),1,0)</f>
        <v/>
      </c>
      <c r="BJ5">
        <f>IF(OR(INDEX('設定'!$D$11:$D$20,BJ2)&lt;&gt;"",INDEX('設定'!$H$11:$H$34,BJ3)&lt;&gt;""),1,0)</f>
        <v/>
      </c>
      <c r="BK5">
        <f>IF(OR(INDEX('設定'!$D$11:$D$20,BK2)&lt;&gt;"",INDEX('設定'!$H$11:$H$34,BK3)&lt;&gt;""),1,0)</f>
        <v/>
      </c>
      <c r="BL5">
        <f>IF(OR(INDEX('設定'!$D$11:$D$20,BL2)&lt;&gt;"",INDEX('設定'!$H$11:$H$34,BL3)&lt;&gt;""),1,0)</f>
        <v/>
      </c>
      <c r="BM5">
        <f>IF(OR(INDEX('設定'!$D$11:$D$20,BM2)&lt;&gt;"",INDEX('設定'!$H$11:$H$34,BM3)&lt;&gt;""),1,0)</f>
        <v/>
      </c>
      <c r="BN5">
        <f>IF(OR(INDEX('設定'!$D$11:$D$20,BN2)&lt;&gt;"",INDEX('設定'!$H$11:$H$34,BN3)&lt;&gt;""),1,0)</f>
        <v/>
      </c>
      <c r="BO5">
        <f>IF(OR(INDEX('設定'!$D$11:$D$20,BO2)&lt;&gt;"",INDEX('設定'!$H$11:$H$34,BO3)&lt;&gt;""),1,0)</f>
        <v/>
      </c>
      <c r="BP5">
        <f>IF(OR(INDEX('設定'!$D$11:$D$20,BP2)&lt;&gt;"",INDEX('設定'!$H$11:$H$34,BP3)&lt;&gt;""),1,0)</f>
        <v/>
      </c>
      <c r="BQ5">
        <f>IF(OR(INDEX('設定'!$D$11:$D$20,BQ2)&lt;&gt;"",INDEX('設定'!$H$11:$H$34,BQ3)&lt;&gt;""),1,0)</f>
        <v/>
      </c>
      <c r="BR5">
        <f>IF(OR(INDEX('設定'!$D$11:$D$20,BR2)&lt;&gt;"",INDEX('設定'!$H$11:$H$34,BR3)&lt;&gt;""),1,0)</f>
        <v/>
      </c>
      <c r="BS5">
        <f>IF(OR(INDEX('設定'!$D$11:$D$20,BS2)&lt;&gt;"",INDEX('設定'!$H$11:$H$34,BS3)&lt;&gt;""),1,0)</f>
        <v/>
      </c>
      <c r="BT5">
        <f>IF(OR(INDEX('設定'!$D$11:$D$20,BT2)&lt;&gt;"",INDEX('設定'!$H$11:$H$34,BT3)&lt;&gt;""),1,0)</f>
        <v/>
      </c>
      <c r="BU5">
        <f>IF(OR(INDEX('設定'!$D$11:$D$20,BU2)&lt;&gt;"",INDEX('設定'!$H$11:$H$34,BU3)&lt;&gt;""),1,0)</f>
        <v/>
      </c>
      <c r="BV5">
        <f>IF(OR(INDEX('設定'!$D$11:$D$20,BV2)&lt;&gt;"",INDEX('設定'!$H$11:$H$34,BV3)&lt;&gt;""),1,0)</f>
        <v/>
      </c>
      <c r="BW5">
        <f>IF(OR(INDEX('設定'!$D$11:$D$20,BW2)&lt;&gt;"",INDEX('設定'!$H$11:$H$34,BW3)&lt;&gt;""),1,0)</f>
        <v/>
      </c>
      <c r="BX5">
        <f>IF(OR(INDEX('設定'!$D$11:$D$20,BX2)&lt;&gt;"",INDEX('設定'!$H$11:$H$34,BX3)&lt;&gt;""),1,0)</f>
        <v/>
      </c>
      <c r="BY5">
        <f>IF(OR(INDEX('設定'!$D$11:$D$20,BY2)&lt;&gt;"",INDEX('設定'!$H$11:$H$34,BY3)&lt;&gt;""),1,0)</f>
        <v/>
      </c>
      <c r="BZ5">
        <f>IF(OR(INDEX('設定'!$D$11:$D$20,BZ2)&lt;&gt;"",INDEX('設定'!$H$11:$H$34,BZ3)&lt;&gt;""),1,0)</f>
        <v/>
      </c>
      <c r="CA5">
        <f>IF(OR(INDEX('設定'!$D$11:$D$20,CA2)&lt;&gt;"",INDEX('設定'!$H$11:$H$34,CA3)&lt;&gt;""),1,0)</f>
        <v/>
      </c>
      <c r="CB5">
        <f>IF(OR(INDEX('設定'!$D$11:$D$20,CB2)&lt;&gt;"",INDEX('設定'!$H$11:$H$34,CB3)&lt;&gt;""),1,0)</f>
        <v/>
      </c>
      <c r="CC5">
        <f>IF(OR(INDEX('設定'!$D$11:$D$20,CC2)&lt;&gt;"",INDEX('設定'!$H$11:$H$34,CC3)&lt;&gt;""),1,0)</f>
        <v/>
      </c>
      <c r="CD5">
        <f>IF(OR(INDEX('設定'!$D$11:$D$20,CD2)&lt;&gt;"",INDEX('設定'!$H$11:$H$34,CD3)&lt;&gt;""),1,0)</f>
        <v/>
      </c>
      <c r="CE5">
        <f>IF(OR(INDEX('設定'!$D$11:$D$20,CE2)&lt;&gt;"",INDEX('設定'!$H$11:$H$34,CE3)&lt;&gt;""),1,0)</f>
        <v/>
      </c>
      <c r="CF5">
        <f>IF(OR(INDEX('設定'!$D$11:$D$20,CF2)&lt;&gt;"",INDEX('設定'!$H$11:$H$34,CF3)&lt;&gt;""),1,0)</f>
        <v/>
      </c>
      <c r="CG5">
        <f>IF(OR(INDEX('設定'!$D$11:$D$20,CG2)&lt;&gt;"",INDEX('設定'!$H$11:$H$34,CG3)&lt;&gt;""),1,0)</f>
        <v/>
      </c>
      <c r="CH5">
        <f>IF(OR(INDEX('設定'!$D$11:$D$20,CH2)&lt;&gt;"",INDEX('設定'!$H$11:$H$34,CH3)&lt;&gt;""),1,0)</f>
        <v/>
      </c>
      <c r="CI5">
        <f>IF(OR(INDEX('設定'!$D$11:$D$20,CI2)&lt;&gt;"",INDEX('設定'!$H$11:$H$34,CI3)&lt;&gt;""),1,0)</f>
        <v/>
      </c>
      <c r="CJ5">
        <f>IF(OR(INDEX('設定'!$D$11:$D$20,CJ2)&lt;&gt;"",INDEX('設定'!$H$11:$H$34,CJ3)&lt;&gt;""),1,0)</f>
        <v/>
      </c>
      <c r="CK5">
        <f>IF(OR(INDEX('設定'!$D$11:$D$20,CK2)&lt;&gt;"",INDEX('設定'!$H$11:$H$34,CK3)&lt;&gt;""),1,0)</f>
        <v/>
      </c>
      <c r="CL5">
        <f>IF(OR(INDEX('設定'!$D$11:$D$20,CL2)&lt;&gt;"",INDEX('設定'!$H$11:$H$34,CL3)&lt;&gt;""),1,0)</f>
        <v/>
      </c>
      <c r="CM5">
        <f>IF(OR(INDEX('設定'!$D$11:$D$20,CM2)&lt;&gt;"",INDEX('設定'!$H$11:$H$34,CM3)&lt;&gt;""),1,0)</f>
        <v/>
      </c>
      <c r="CN5">
        <f>IF(OR(INDEX('設定'!$D$11:$D$20,CN2)&lt;&gt;"",INDEX('設定'!$H$11:$H$34,CN3)&lt;&gt;""),1,0)</f>
        <v/>
      </c>
      <c r="CO5">
        <f>IF(OR(INDEX('設定'!$D$11:$D$20,CO2)&lt;&gt;"",INDEX('設定'!$H$11:$H$34,CO3)&lt;&gt;""),1,0)</f>
        <v/>
      </c>
      <c r="CP5">
        <f>IF(OR(INDEX('設定'!$D$11:$D$20,CP2)&lt;&gt;"",INDEX('設定'!$H$11:$H$34,CP3)&lt;&gt;""),1,0)</f>
        <v/>
      </c>
      <c r="CQ5">
        <f>IF(OR(INDEX('設定'!$D$11:$D$20,CQ2)&lt;&gt;"",INDEX('設定'!$H$11:$H$34,CQ3)&lt;&gt;""),1,0)</f>
        <v/>
      </c>
      <c r="CR5">
        <f>IF(OR(INDEX('設定'!$D$11:$D$20,CR2)&lt;&gt;"",INDEX('設定'!$H$11:$H$34,CR3)&lt;&gt;""),1,0)</f>
        <v/>
      </c>
      <c r="CS5">
        <f>IF(OR(INDEX('設定'!$D$11:$D$20,CS2)&lt;&gt;"",INDEX('設定'!$H$11:$H$34,CS3)&lt;&gt;""),1,0)</f>
        <v/>
      </c>
      <c r="CT5">
        <f>IF(OR(INDEX('設定'!$D$11:$D$20,CT2)&lt;&gt;"",INDEX('設定'!$H$11:$H$34,CT3)&lt;&gt;""),1,0)</f>
        <v/>
      </c>
      <c r="CU5">
        <f>IF(OR(INDEX('設定'!$D$11:$D$20,CU2)&lt;&gt;"",INDEX('設定'!$H$11:$H$34,CU3)&lt;&gt;""),1,0)</f>
        <v/>
      </c>
      <c r="CV5">
        <f>IF(OR(INDEX('設定'!$D$11:$D$20,CV2)&lt;&gt;"",INDEX('設定'!$H$11:$H$34,CV3)&lt;&gt;""),1,0)</f>
        <v/>
      </c>
      <c r="CW5">
        <f>IF(OR(INDEX('設定'!$D$11:$D$20,CW2)&lt;&gt;"",INDEX('設定'!$H$11:$H$34,CW3)&lt;&gt;""),1,0)</f>
        <v/>
      </c>
      <c r="CX5">
        <f>IF(OR(INDEX('設定'!$D$11:$D$20,CX2)&lt;&gt;"",INDEX('設定'!$H$11:$H$34,CX3)&lt;&gt;""),1,0)</f>
        <v/>
      </c>
      <c r="CY5">
        <f>IF(OR(INDEX('設定'!$D$11:$D$20,CY2)&lt;&gt;"",INDEX('設定'!$H$11:$H$34,CY3)&lt;&gt;""),1,0)</f>
        <v/>
      </c>
      <c r="CZ5">
        <f>IF(OR(INDEX('設定'!$D$11:$D$20,CZ2)&lt;&gt;"",INDEX('設定'!$H$11:$H$34,CZ3)&lt;&gt;""),1,0)</f>
        <v/>
      </c>
      <c r="DA5">
        <f>IF(OR(INDEX('設定'!$D$11:$D$20,DA2)&lt;&gt;"",INDEX('設定'!$H$11:$H$34,DA3)&lt;&gt;""),1,0)</f>
        <v/>
      </c>
      <c r="DB5">
        <f>IF(OR(INDEX('設定'!$D$11:$D$20,DB2)&lt;&gt;"",INDEX('設定'!$H$11:$H$34,DB3)&lt;&gt;""),1,0)</f>
        <v/>
      </c>
      <c r="DC5">
        <f>IF(OR(INDEX('設定'!$D$11:$D$20,DC2)&lt;&gt;"",INDEX('設定'!$H$11:$H$34,DC3)&lt;&gt;""),1,0)</f>
        <v/>
      </c>
      <c r="DD5">
        <f>IF(OR(INDEX('設定'!$D$11:$D$20,DD2)&lt;&gt;"",INDEX('設定'!$H$11:$H$34,DD3)&lt;&gt;""),1,0)</f>
        <v/>
      </c>
      <c r="DE5">
        <f>IF(OR(INDEX('設定'!$D$11:$D$20,DE2)&lt;&gt;"",INDEX('設定'!$H$11:$H$34,DE3)&lt;&gt;""),1,0)</f>
        <v/>
      </c>
      <c r="DF5">
        <f>IF(OR(INDEX('設定'!$D$11:$D$20,DF2)&lt;&gt;"",INDEX('設定'!$H$11:$H$34,DF3)&lt;&gt;""),1,0)</f>
        <v/>
      </c>
      <c r="DG5">
        <f>IF(OR(INDEX('設定'!$D$11:$D$20,DG2)&lt;&gt;"",INDEX('設定'!$H$11:$H$34,DG3)&lt;&gt;""),1,0)</f>
        <v/>
      </c>
      <c r="DH5">
        <f>IF(OR(INDEX('設定'!$D$11:$D$20,DH2)&lt;&gt;"",INDEX('設定'!$H$11:$H$34,DH3)&lt;&gt;""),1,0)</f>
        <v/>
      </c>
      <c r="DI5">
        <f>IF(OR(INDEX('設定'!$D$11:$D$20,DI2)&lt;&gt;"",INDEX('設定'!$H$11:$H$34,DI3)&lt;&gt;""),1,0)</f>
        <v/>
      </c>
      <c r="DJ5">
        <f>IF(OR(INDEX('設定'!$D$11:$D$20,DJ2)&lt;&gt;"",INDEX('設定'!$H$11:$H$34,DJ3)&lt;&gt;""),1,0)</f>
        <v/>
      </c>
      <c r="DK5">
        <f>IF(OR(INDEX('設定'!$D$11:$D$20,DK2)&lt;&gt;"",INDEX('設定'!$H$11:$H$34,DK3)&lt;&gt;""),1,0)</f>
        <v/>
      </c>
      <c r="DL5">
        <f>IF(OR(INDEX('設定'!$D$11:$D$20,DL2)&lt;&gt;"",INDEX('設定'!$H$11:$H$34,DL3)&lt;&gt;""),1,0)</f>
        <v/>
      </c>
      <c r="DM5">
        <f>IF(OR(INDEX('設定'!$D$11:$D$20,DM2)&lt;&gt;"",INDEX('設定'!$H$11:$H$34,DM3)&lt;&gt;""),1,0)</f>
        <v/>
      </c>
      <c r="DN5">
        <f>IF(OR(INDEX('設定'!$D$11:$D$20,DN2)&lt;&gt;"",INDEX('設定'!$H$11:$H$34,DN3)&lt;&gt;""),1,0)</f>
        <v/>
      </c>
      <c r="DO5">
        <f>IF(OR(INDEX('設定'!$D$11:$D$20,DO2)&lt;&gt;"",INDEX('設定'!$H$11:$H$34,DO3)&lt;&gt;""),1,0)</f>
        <v/>
      </c>
      <c r="DP5">
        <f>IF(OR(INDEX('設定'!$D$11:$D$20,DP2)&lt;&gt;"",INDEX('設定'!$H$11:$H$34,DP3)&lt;&gt;""),1,0)</f>
        <v/>
      </c>
      <c r="DQ5">
        <f>IF(OR(INDEX('設定'!$D$11:$D$20,DQ2)&lt;&gt;"",INDEX('設定'!$H$11:$H$34,DQ3)&lt;&gt;""),1,0)</f>
        <v/>
      </c>
      <c r="DR5">
        <f>IF(OR(INDEX('設定'!$D$11:$D$20,DR2)&lt;&gt;"",INDEX('設定'!$H$11:$H$34,DR3)&lt;&gt;""),1,0)</f>
        <v/>
      </c>
      <c r="DS5">
        <f>IF(OR(INDEX('設定'!$D$11:$D$20,DS2)&lt;&gt;"",INDEX('設定'!$H$11:$H$34,DS3)&lt;&gt;""),1,0)</f>
        <v/>
      </c>
      <c r="DT5">
        <f>IF(OR(INDEX('設定'!$D$11:$D$20,DT2)&lt;&gt;"",INDEX('設定'!$H$11:$H$34,DT3)&lt;&gt;""),1,0)</f>
        <v/>
      </c>
      <c r="DU5">
        <f>IF(OR(INDEX('設定'!$D$11:$D$20,DU2)&lt;&gt;"",INDEX('設定'!$H$11:$H$34,DU3)&lt;&gt;""),1,0)</f>
        <v/>
      </c>
      <c r="DV5">
        <f>IF(OR(INDEX('設定'!$D$11:$D$20,DV2)&lt;&gt;"",INDEX('設定'!$H$11:$H$34,DV3)&lt;&gt;""),1,0)</f>
        <v/>
      </c>
      <c r="DW5">
        <f>IF(OR(INDEX('設定'!$D$11:$D$20,DW2)&lt;&gt;"",INDEX('設定'!$H$11:$H$34,DW3)&lt;&gt;""),1,0)</f>
        <v/>
      </c>
      <c r="DX5">
        <f>IF(OR(INDEX('設定'!$D$11:$D$20,DX2)&lt;&gt;"",INDEX('設定'!$H$11:$H$34,DX3)&lt;&gt;""),1,0)</f>
        <v/>
      </c>
      <c r="DY5">
        <f>IF(OR(INDEX('設定'!$D$11:$D$20,DY2)&lt;&gt;"",INDEX('設定'!$H$11:$H$34,DY3)&lt;&gt;""),1,0)</f>
        <v/>
      </c>
      <c r="DZ5">
        <f>IF(OR(INDEX('設定'!$D$11:$D$20,DZ2)&lt;&gt;"",INDEX('設定'!$H$11:$H$34,DZ3)&lt;&gt;""),1,0)</f>
        <v/>
      </c>
      <c r="EA5">
        <f>IF(OR(INDEX('設定'!$D$11:$D$20,EA2)&lt;&gt;"",INDEX('設定'!$H$11:$H$34,EA3)&lt;&gt;""),1,0)</f>
        <v/>
      </c>
      <c r="EB5">
        <f>IF(OR(INDEX('設定'!$D$11:$D$20,EB2)&lt;&gt;"",INDEX('設定'!$H$11:$H$34,EB3)&lt;&gt;""),1,0)</f>
        <v/>
      </c>
      <c r="EC5">
        <f>IF(OR(INDEX('設定'!$D$11:$D$20,EC2)&lt;&gt;"",INDEX('設定'!$H$11:$H$34,EC3)&lt;&gt;""),1,0)</f>
        <v/>
      </c>
      <c r="ED5">
        <f>IF(OR(INDEX('設定'!$D$11:$D$20,ED2)&lt;&gt;"",INDEX('設定'!$H$11:$H$34,ED3)&lt;&gt;""),1,0)</f>
        <v/>
      </c>
      <c r="EE5">
        <f>IF(OR(INDEX('設定'!$D$11:$D$20,EE2)&lt;&gt;"",INDEX('設定'!$H$11:$H$34,EE3)&lt;&gt;""),1,0)</f>
        <v/>
      </c>
      <c r="EF5">
        <f>IF(OR(INDEX('設定'!$D$11:$D$20,EF2)&lt;&gt;"",INDEX('設定'!$H$11:$H$34,EF3)&lt;&gt;""),1,0)</f>
        <v/>
      </c>
      <c r="EG5">
        <f>IF(OR(INDEX('設定'!$D$11:$D$20,EG2)&lt;&gt;"",INDEX('設定'!$H$11:$H$34,EG3)&lt;&gt;""),1,0)</f>
        <v/>
      </c>
      <c r="EH5">
        <f>IF(OR(INDEX('設定'!$D$11:$D$20,EH2)&lt;&gt;"",INDEX('設定'!$H$11:$H$34,EH3)&lt;&gt;""),1,0)</f>
        <v/>
      </c>
      <c r="EI5">
        <f>IF(OR(INDEX('設定'!$D$11:$D$20,EI2)&lt;&gt;"",INDEX('設定'!$H$11:$H$34,EI3)&lt;&gt;""),1,0)</f>
        <v/>
      </c>
      <c r="EJ5">
        <f>IF(OR(INDEX('設定'!$D$11:$D$20,EJ2)&lt;&gt;"",INDEX('設定'!$H$11:$H$34,EJ3)&lt;&gt;""),1,0)</f>
        <v/>
      </c>
      <c r="EK5">
        <f>IF(OR(INDEX('設定'!$D$11:$D$20,EK2)&lt;&gt;"",INDEX('設定'!$H$11:$H$34,EK3)&lt;&gt;""),1,0)</f>
        <v/>
      </c>
      <c r="EL5">
        <f>IF(OR(INDEX('設定'!$D$11:$D$20,EL2)&lt;&gt;"",INDEX('設定'!$H$11:$H$34,EL3)&lt;&gt;""),1,0)</f>
        <v/>
      </c>
      <c r="EM5">
        <f>IF(OR(INDEX('設定'!$D$11:$D$20,EM2)&lt;&gt;"",INDEX('設定'!$H$11:$H$34,EM3)&lt;&gt;""),1,0)</f>
        <v/>
      </c>
      <c r="EN5">
        <f>IF(OR(INDEX('設定'!$D$11:$D$20,EN2)&lt;&gt;"",INDEX('設定'!$H$11:$H$34,EN3)&lt;&gt;""),1,0)</f>
        <v/>
      </c>
      <c r="EO5">
        <f>IF(OR(INDEX('設定'!$D$11:$D$20,EO2)&lt;&gt;"",INDEX('設定'!$H$11:$H$34,EO3)&lt;&gt;""),1,0)</f>
        <v/>
      </c>
      <c r="EP5">
        <f>IF(OR(INDEX('設定'!$D$11:$D$20,EP2)&lt;&gt;"",INDEX('設定'!$H$11:$H$34,EP3)&lt;&gt;""),1,0)</f>
        <v/>
      </c>
      <c r="EQ5">
        <f>IF(OR(INDEX('設定'!$D$11:$D$20,EQ2)&lt;&gt;"",INDEX('設定'!$H$11:$H$34,EQ3)&lt;&gt;""),1,0)</f>
        <v/>
      </c>
      <c r="ER5">
        <f>IF(OR(INDEX('設定'!$D$11:$D$20,ER2)&lt;&gt;"",INDEX('設定'!$H$11:$H$34,ER3)&lt;&gt;""),1,0)</f>
        <v/>
      </c>
      <c r="ES5">
        <f>IF(OR(INDEX('設定'!$D$11:$D$20,ES2)&lt;&gt;"",INDEX('設定'!$H$11:$H$34,ES3)&lt;&gt;""),1,0)</f>
        <v/>
      </c>
      <c r="ET5">
        <f>IF(OR(INDEX('設定'!$D$11:$D$20,ET2)&lt;&gt;"",INDEX('設定'!$H$11:$H$34,ET3)&lt;&gt;""),1,0)</f>
        <v/>
      </c>
      <c r="EU5">
        <f>IF(OR(INDEX('設定'!$D$11:$D$20,EU2)&lt;&gt;"",INDEX('設定'!$H$11:$H$34,EU3)&lt;&gt;""),1,0)</f>
        <v/>
      </c>
      <c r="EV5">
        <f>IF(OR(INDEX('設定'!$D$11:$D$20,EV2)&lt;&gt;"",INDEX('設定'!$H$11:$H$34,EV3)&lt;&gt;""),1,0)</f>
        <v/>
      </c>
      <c r="EW5">
        <f>IF(OR(INDEX('設定'!$D$11:$D$20,EW2)&lt;&gt;"",INDEX('設定'!$H$11:$H$34,EW3)&lt;&gt;""),1,0)</f>
        <v/>
      </c>
      <c r="EX5">
        <f>IF(OR(INDEX('設定'!$D$11:$D$20,EX2)&lt;&gt;"",INDEX('設定'!$H$11:$H$34,EX3)&lt;&gt;""),1,0)</f>
        <v/>
      </c>
      <c r="EY5">
        <f>IF(OR(INDEX('設定'!$D$11:$D$20,EY2)&lt;&gt;"",INDEX('設定'!$H$11:$H$34,EY3)&lt;&gt;""),1,0)</f>
        <v/>
      </c>
      <c r="EZ5">
        <f>IF(OR(INDEX('設定'!$D$11:$D$20,EZ2)&lt;&gt;"",INDEX('設定'!$H$11:$H$34,EZ3)&lt;&gt;""),1,0)</f>
        <v/>
      </c>
      <c r="FA5">
        <f>IF(OR(INDEX('設定'!$D$11:$D$20,FA2)&lt;&gt;"",INDEX('設定'!$H$11:$H$34,FA3)&lt;&gt;""),1,0)</f>
        <v/>
      </c>
      <c r="FB5">
        <f>IF(OR(INDEX('設定'!$D$11:$D$20,FB2)&lt;&gt;"",INDEX('設定'!$H$11:$H$34,FB3)&lt;&gt;""),1,0)</f>
        <v/>
      </c>
      <c r="FC5">
        <f>IF(OR(INDEX('設定'!$D$11:$D$20,FC2)&lt;&gt;"",INDEX('設定'!$H$11:$H$34,FC3)&lt;&gt;""),1,0)</f>
        <v/>
      </c>
      <c r="FD5">
        <f>IF(OR(INDEX('設定'!$D$11:$D$20,FD2)&lt;&gt;"",INDEX('設定'!$H$11:$H$34,FD3)&lt;&gt;""),1,0)</f>
        <v/>
      </c>
      <c r="FE5">
        <f>IF(OR(INDEX('設定'!$D$11:$D$20,FE2)&lt;&gt;"",INDEX('設定'!$H$11:$H$34,FE3)&lt;&gt;""),1,0)</f>
        <v/>
      </c>
      <c r="FF5">
        <f>IF(OR(INDEX('設定'!$D$11:$D$20,FF2)&lt;&gt;"",INDEX('設定'!$H$11:$H$34,FF3)&lt;&gt;""),1,0)</f>
        <v/>
      </c>
      <c r="FG5">
        <f>IF(OR(INDEX('設定'!$D$11:$D$20,FG2)&lt;&gt;"",INDEX('設定'!$H$11:$H$34,FG3)&lt;&gt;""),1,0)</f>
        <v/>
      </c>
      <c r="FH5">
        <f>IF(OR(INDEX('設定'!$D$11:$D$20,FH2)&lt;&gt;"",INDEX('設定'!$H$11:$H$34,FH3)&lt;&gt;""),1,0)</f>
        <v/>
      </c>
      <c r="FI5">
        <f>IF(OR(INDEX('設定'!$D$11:$D$20,FI2)&lt;&gt;"",INDEX('設定'!$H$11:$H$34,FI3)&lt;&gt;""),1,0)</f>
        <v/>
      </c>
      <c r="FJ5">
        <f>IF(OR(INDEX('設定'!$D$11:$D$20,FJ2)&lt;&gt;"",INDEX('設定'!$H$11:$H$34,FJ3)&lt;&gt;""),1,0)</f>
        <v/>
      </c>
      <c r="FK5">
        <f>IF(OR(INDEX('設定'!$D$11:$D$20,FK2)&lt;&gt;"",INDEX('設定'!$H$11:$H$34,FK3)&lt;&gt;""),1,0)</f>
        <v/>
      </c>
      <c r="FL5">
        <f>IF(OR(INDEX('設定'!$D$11:$D$20,FL2)&lt;&gt;"",INDEX('設定'!$H$11:$H$34,FL3)&lt;&gt;""),1,0)</f>
        <v/>
      </c>
      <c r="FM5">
        <f>IF(OR(INDEX('設定'!$D$11:$D$20,FM2)&lt;&gt;"",INDEX('設定'!$H$11:$H$34,FM3)&lt;&gt;""),1,0)</f>
        <v/>
      </c>
      <c r="FN5">
        <f>IF(OR(INDEX('設定'!$D$11:$D$20,FN2)&lt;&gt;"",INDEX('設定'!$H$11:$H$34,FN3)&lt;&gt;""),1,0)</f>
        <v/>
      </c>
      <c r="FO5">
        <f>IF(OR(INDEX('設定'!$D$11:$D$20,FO2)&lt;&gt;"",INDEX('設定'!$H$11:$H$34,FO3)&lt;&gt;""),1,0)</f>
        <v/>
      </c>
      <c r="FP5">
        <f>IF(OR(INDEX('設定'!$D$11:$D$20,FP2)&lt;&gt;"",INDEX('設定'!$H$11:$H$34,FP3)&lt;&gt;""),1,0)</f>
        <v/>
      </c>
      <c r="FQ5">
        <f>IF(OR(INDEX('設定'!$D$11:$D$20,FQ2)&lt;&gt;"",INDEX('設定'!$H$11:$H$34,FQ3)&lt;&gt;""),1,0)</f>
        <v/>
      </c>
      <c r="FR5">
        <f>IF(OR(INDEX('設定'!$D$11:$D$20,FR2)&lt;&gt;"",INDEX('設定'!$H$11:$H$34,FR3)&lt;&gt;""),1,0)</f>
        <v/>
      </c>
      <c r="FS5">
        <f>IF(OR(INDEX('設定'!$D$11:$D$20,FS2)&lt;&gt;"",INDEX('設定'!$H$11:$H$34,FS3)&lt;&gt;""),1,0)</f>
        <v/>
      </c>
      <c r="FT5">
        <f>IF(OR(INDEX('設定'!$D$11:$D$20,FT2)&lt;&gt;"",INDEX('設定'!$H$11:$H$34,FT3)&lt;&gt;""),1,0)</f>
        <v/>
      </c>
      <c r="FU5">
        <f>IF(OR(INDEX('設定'!$D$11:$D$20,FU2)&lt;&gt;"",INDEX('設定'!$H$11:$H$34,FU3)&lt;&gt;""),1,0)</f>
        <v/>
      </c>
      <c r="FV5">
        <f>IF(OR(INDEX('設定'!$D$11:$D$20,FV2)&lt;&gt;"",INDEX('設定'!$H$11:$H$34,FV3)&lt;&gt;""),1,0)</f>
        <v/>
      </c>
      <c r="FW5">
        <f>IF(OR(INDEX('設定'!$D$11:$D$20,FW2)&lt;&gt;"",INDEX('設定'!$H$11:$H$34,FW3)&lt;&gt;""),1,0)</f>
        <v/>
      </c>
      <c r="FX5">
        <f>IF(OR(INDEX('設定'!$D$11:$D$20,FX2)&lt;&gt;"",INDEX('設定'!$H$11:$H$34,FX3)&lt;&gt;""),1,0)</f>
        <v/>
      </c>
      <c r="FY5">
        <f>IF(OR(INDEX('設定'!$D$11:$D$20,FY2)&lt;&gt;"",INDEX('設定'!$H$11:$H$34,FY3)&lt;&gt;""),1,0)</f>
        <v/>
      </c>
      <c r="FZ5">
        <f>IF(OR(INDEX('設定'!$D$11:$D$20,FZ2)&lt;&gt;"",INDEX('設定'!$H$11:$H$34,FZ3)&lt;&gt;""),1,0)</f>
        <v/>
      </c>
      <c r="GA5">
        <f>IF(OR(INDEX('設定'!$D$11:$D$20,GA2)&lt;&gt;"",INDEX('設定'!$H$11:$H$34,GA3)&lt;&gt;""),1,0)</f>
        <v/>
      </c>
      <c r="GB5">
        <f>IF(OR(INDEX('設定'!$D$11:$D$20,GB2)&lt;&gt;"",INDEX('設定'!$H$11:$H$34,GB3)&lt;&gt;""),1,0)</f>
        <v/>
      </c>
      <c r="GC5">
        <f>IF(OR(INDEX('設定'!$D$11:$D$20,GC2)&lt;&gt;"",INDEX('設定'!$H$11:$H$34,GC3)&lt;&gt;""),1,0)</f>
        <v/>
      </c>
      <c r="GD5">
        <f>IF(OR(INDEX('設定'!$D$11:$D$20,GD2)&lt;&gt;"",INDEX('設定'!$H$11:$H$34,GD3)&lt;&gt;""),1,0)</f>
        <v/>
      </c>
      <c r="GE5">
        <f>IF(OR(INDEX('設定'!$D$11:$D$20,GE2)&lt;&gt;"",INDEX('設定'!$H$11:$H$34,GE3)&lt;&gt;""),1,0)</f>
        <v/>
      </c>
      <c r="GF5">
        <f>IF(OR(INDEX('設定'!$D$11:$D$20,GF2)&lt;&gt;"",INDEX('設定'!$H$11:$H$34,GF3)&lt;&gt;""),1,0)</f>
        <v/>
      </c>
      <c r="GG5">
        <f>IF(OR(INDEX('設定'!$D$11:$D$20,GG2)&lt;&gt;"",INDEX('設定'!$H$11:$H$34,GG3)&lt;&gt;""),1,0)</f>
        <v/>
      </c>
      <c r="GH5">
        <f>IF(OR(INDEX('設定'!$D$11:$D$20,GH2)&lt;&gt;"",INDEX('設定'!$H$11:$H$34,GH3)&lt;&gt;""),1,0)</f>
        <v/>
      </c>
      <c r="GI5">
        <f>IF(OR(INDEX('設定'!$D$11:$D$20,GI2)&lt;&gt;"",INDEX('設定'!$H$11:$H$34,GI3)&lt;&gt;""),1,0)</f>
        <v/>
      </c>
      <c r="GJ5">
        <f>IF(OR(INDEX('設定'!$D$11:$D$20,GJ2)&lt;&gt;"",INDEX('設定'!$H$11:$H$34,GJ3)&lt;&gt;""),1,0)</f>
        <v/>
      </c>
      <c r="GK5">
        <f>IF(OR(INDEX('設定'!$D$11:$D$20,GK2)&lt;&gt;"",INDEX('設定'!$H$11:$H$34,GK3)&lt;&gt;""),1,0)</f>
        <v/>
      </c>
      <c r="GL5">
        <f>IF(OR(INDEX('設定'!$D$11:$D$20,GL2)&lt;&gt;"",INDEX('設定'!$H$11:$H$34,GL3)&lt;&gt;""),1,0)</f>
        <v/>
      </c>
      <c r="GM5">
        <f>IF(OR(INDEX('設定'!$D$11:$D$20,GM2)&lt;&gt;"",INDEX('設定'!$H$11:$H$34,GM3)&lt;&gt;""),1,0)</f>
        <v/>
      </c>
      <c r="GN5">
        <f>IF(OR(INDEX('設定'!$D$11:$D$20,GN2)&lt;&gt;"",INDEX('設定'!$H$11:$H$34,GN3)&lt;&gt;""),1,0)</f>
        <v/>
      </c>
      <c r="GO5">
        <f>IF(OR(INDEX('設定'!$D$11:$D$20,GO2)&lt;&gt;"",INDEX('設定'!$H$11:$H$34,GO3)&lt;&gt;""),1,0)</f>
        <v/>
      </c>
      <c r="GP5">
        <f>IF(OR(INDEX('設定'!$D$11:$D$20,GP2)&lt;&gt;"",INDEX('設定'!$H$11:$H$34,GP3)&lt;&gt;""),1,0)</f>
        <v/>
      </c>
      <c r="GQ5">
        <f>IF(OR(INDEX('設定'!$D$11:$D$20,GQ2)&lt;&gt;"",INDEX('設定'!$H$11:$H$34,GQ3)&lt;&gt;""),1,0)</f>
        <v/>
      </c>
      <c r="GR5">
        <f>IF(OR(INDEX('設定'!$D$11:$D$20,GR2)&lt;&gt;"",INDEX('設定'!$H$11:$H$34,GR3)&lt;&gt;""),1,0)</f>
        <v/>
      </c>
      <c r="GS5">
        <f>IF(OR(INDEX('設定'!$D$11:$D$20,GS2)&lt;&gt;"",INDEX('設定'!$H$11:$H$34,GS3)&lt;&gt;""),1,0)</f>
        <v/>
      </c>
      <c r="GT5">
        <f>IF(OR(INDEX('設定'!$D$11:$D$20,GT2)&lt;&gt;"",INDEX('設定'!$H$11:$H$34,GT3)&lt;&gt;""),1,0)</f>
        <v/>
      </c>
      <c r="GU5">
        <f>IF(OR(INDEX('設定'!$D$11:$D$20,GU2)&lt;&gt;"",INDEX('設定'!$H$11:$H$34,GU3)&lt;&gt;""),1,0)</f>
        <v/>
      </c>
      <c r="GV5">
        <f>IF(OR(INDEX('設定'!$D$11:$D$20,GV2)&lt;&gt;"",INDEX('設定'!$H$11:$H$34,GV3)&lt;&gt;""),1,0)</f>
        <v/>
      </c>
      <c r="GW5">
        <f>IF(OR(INDEX('設定'!$D$11:$D$20,GW2)&lt;&gt;"",INDEX('設定'!$H$11:$H$34,GW3)&lt;&gt;""),1,0)</f>
        <v/>
      </c>
      <c r="GX5">
        <f>IF(OR(INDEX('設定'!$D$11:$D$20,GX2)&lt;&gt;"",INDEX('設定'!$H$11:$H$34,GX3)&lt;&gt;""),1,0)</f>
        <v/>
      </c>
      <c r="GY5">
        <f>IF(OR(INDEX('設定'!$D$11:$D$20,GY2)&lt;&gt;"",INDEX('設定'!$H$11:$H$34,GY3)&lt;&gt;""),1,0)</f>
        <v/>
      </c>
      <c r="GZ5">
        <f>IF(OR(INDEX('設定'!$D$11:$D$20,GZ2)&lt;&gt;"",INDEX('設定'!$H$11:$H$34,GZ3)&lt;&gt;""),1,0)</f>
        <v/>
      </c>
      <c r="HA5">
        <f>IF(OR(INDEX('設定'!$D$11:$D$20,HA2)&lt;&gt;"",INDEX('設定'!$H$11:$H$34,HA3)&lt;&gt;""),1,0)</f>
        <v/>
      </c>
      <c r="HB5">
        <f>IF(OR(INDEX('設定'!$D$11:$D$20,HB2)&lt;&gt;"",INDEX('設定'!$H$11:$H$34,HB3)&lt;&gt;""),1,0)</f>
        <v/>
      </c>
      <c r="HC5">
        <f>IF(OR(INDEX('設定'!$D$11:$D$20,HC2)&lt;&gt;"",INDEX('設定'!$H$11:$H$34,HC3)&lt;&gt;""),1,0)</f>
        <v/>
      </c>
      <c r="HD5">
        <f>IF(OR(INDEX('設定'!$D$11:$D$20,HD2)&lt;&gt;"",INDEX('設定'!$H$11:$H$34,HD3)&lt;&gt;""),1,0)</f>
        <v/>
      </c>
      <c r="HE5">
        <f>IF(OR(INDEX('設定'!$D$11:$D$20,HE2)&lt;&gt;"",INDEX('設定'!$H$11:$H$34,HE3)&lt;&gt;""),1,0)</f>
        <v/>
      </c>
      <c r="HF5">
        <f>IF(OR(INDEX('設定'!$D$11:$D$20,HF2)&lt;&gt;"",INDEX('設定'!$H$11:$H$34,HF3)&lt;&gt;""),1,0)</f>
        <v/>
      </c>
      <c r="HG5">
        <f>IF(OR(INDEX('設定'!$D$11:$D$20,HG2)&lt;&gt;"",INDEX('設定'!$H$11:$H$34,HG3)&lt;&gt;""),1,0)</f>
        <v/>
      </c>
      <c r="HH5">
        <f>IF(OR(INDEX('設定'!$D$11:$D$20,HH2)&lt;&gt;"",INDEX('設定'!$H$11:$H$34,HH3)&lt;&gt;""),1,0)</f>
        <v/>
      </c>
      <c r="HI5">
        <f>IF(OR(INDEX('設定'!$D$11:$D$20,HI2)&lt;&gt;"",INDEX('設定'!$H$11:$H$34,HI3)&lt;&gt;""),1,0)</f>
        <v/>
      </c>
      <c r="HJ5">
        <f>IF(OR(INDEX('設定'!$D$11:$D$20,HJ2)&lt;&gt;"",INDEX('設定'!$H$11:$H$34,HJ3)&lt;&gt;""),1,0)</f>
        <v/>
      </c>
      <c r="HK5">
        <f>IF(OR(INDEX('設定'!$D$11:$D$20,HK2)&lt;&gt;"",INDEX('設定'!$H$11:$H$34,HK3)&lt;&gt;""),1,0)</f>
        <v/>
      </c>
      <c r="HL5">
        <f>IF(OR(INDEX('設定'!$D$11:$D$20,HL2)&lt;&gt;"",INDEX('設定'!$H$11:$H$34,HL3)&lt;&gt;""),1,0)</f>
        <v/>
      </c>
      <c r="HM5">
        <f>IF(OR(INDEX('設定'!$D$11:$D$20,HM2)&lt;&gt;"",INDEX('設定'!$H$11:$H$34,HM3)&lt;&gt;""),1,0)</f>
        <v/>
      </c>
      <c r="HN5">
        <f>IF(OR(INDEX('設定'!$D$11:$D$20,HN2)&lt;&gt;"",INDEX('設定'!$H$11:$H$34,HN3)&lt;&gt;""),1,0)</f>
        <v/>
      </c>
      <c r="HO5">
        <f>IF(OR(INDEX('設定'!$D$11:$D$20,HO2)&lt;&gt;"",INDEX('設定'!$H$11:$H$34,HO3)&lt;&gt;""),1,0)</f>
        <v/>
      </c>
      <c r="HP5">
        <f>IF(OR(INDEX('設定'!$D$11:$D$20,HP2)&lt;&gt;"",INDEX('設定'!$H$11:$H$34,HP3)&lt;&gt;""),1,0)</f>
        <v/>
      </c>
      <c r="HQ5">
        <f>IF(OR(INDEX('設定'!$D$11:$D$20,HQ2)&lt;&gt;"",INDEX('設定'!$H$11:$H$34,HQ3)&lt;&gt;""),1,0)</f>
        <v/>
      </c>
      <c r="HR5">
        <f>IF(OR(INDEX('設定'!$D$11:$D$20,HR2)&lt;&gt;"",INDEX('設定'!$H$11:$H$34,HR3)&lt;&gt;""),1,0)</f>
        <v/>
      </c>
      <c r="HS5">
        <f>IF(OR(INDEX('設定'!$D$11:$D$20,HS2)&lt;&gt;"",INDEX('設定'!$H$11:$H$34,HS3)&lt;&gt;""),1,0)</f>
        <v/>
      </c>
      <c r="HT5">
        <f>IF(OR(INDEX('設定'!$D$11:$D$20,HT2)&lt;&gt;"",INDEX('設定'!$H$11:$H$34,HT3)&lt;&gt;""),1,0)</f>
        <v/>
      </c>
      <c r="HU5">
        <f>IF(OR(INDEX('設定'!$D$11:$D$20,HU2)&lt;&gt;"",INDEX('設定'!$H$11:$H$34,HU3)&lt;&gt;""),1,0)</f>
        <v/>
      </c>
      <c r="HV5">
        <f>IF(OR(INDEX('設定'!$D$11:$D$20,HV2)&lt;&gt;"",INDEX('設定'!$H$11:$H$34,HV3)&lt;&gt;""),1,0)</f>
        <v/>
      </c>
      <c r="HW5">
        <f>IF(OR(INDEX('設定'!$D$11:$D$20,HW2)&lt;&gt;"",INDEX('設定'!$H$11:$H$34,HW3)&lt;&gt;""),1,0)</f>
        <v/>
      </c>
      <c r="HX5">
        <f>IF(OR(INDEX('設定'!$D$11:$D$20,HX2)&lt;&gt;"",INDEX('設定'!$H$11:$H$34,HX3)&lt;&gt;""),1,0)</f>
        <v/>
      </c>
      <c r="HY5">
        <f>IF(OR(INDEX('設定'!$D$11:$D$20,HY2)&lt;&gt;"",INDEX('設定'!$H$11:$H$34,HY3)&lt;&gt;""),1,0)</f>
        <v/>
      </c>
      <c r="HZ5">
        <f>IF(OR(INDEX('設定'!$D$11:$D$20,HZ2)&lt;&gt;"",INDEX('設定'!$H$11:$H$34,HZ3)&lt;&gt;""),1,0)</f>
        <v/>
      </c>
      <c r="IA5">
        <f>IF(OR(INDEX('設定'!$D$11:$D$20,IA2)&lt;&gt;"",INDEX('設定'!$H$11:$H$34,IA3)&lt;&gt;""),1,0)</f>
        <v/>
      </c>
      <c r="IB5">
        <f>IF(OR(INDEX('設定'!$D$11:$D$20,IB2)&lt;&gt;"",INDEX('設定'!$H$11:$H$34,IB3)&lt;&gt;""),1,0)</f>
        <v/>
      </c>
      <c r="IC5">
        <f>IF(OR(INDEX('設定'!$D$11:$D$20,IC2)&lt;&gt;"",INDEX('設定'!$H$11:$H$34,IC3)&lt;&gt;""),1,0)</f>
        <v/>
      </c>
      <c r="ID5">
        <f>IF(OR(INDEX('設定'!$D$11:$D$20,ID2)&lt;&gt;"",INDEX('設定'!$H$11:$H$34,ID3)&lt;&gt;""),1,0)</f>
        <v/>
      </c>
      <c r="IE5">
        <f>IF(OR(INDEX('設定'!$D$11:$D$20,IE2)&lt;&gt;"",INDEX('設定'!$H$11:$H$34,IE3)&lt;&gt;""),1,0)</f>
        <v/>
      </c>
      <c r="IF5">
        <f>IF(OR(INDEX('設定'!$D$11:$D$20,IF2)&lt;&gt;"",INDEX('設定'!$H$11:$H$34,IF3)&lt;&gt;""),1,0)</f>
        <v/>
      </c>
      <c r="IG5">
        <f>IF(OR(INDEX('設定'!$D$11:$D$20,IG2)&lt;&gt;"",INDEX('設定'!$H$11:$H$34,IG3)&lt;&gt;""),1,0)</f>
        <v/>
      </c>
      <c r="IH5">
        <f>IF(OR(INDEX('設定'!$D$11:$D$20,IH2)&lt;&gt;"",INDEX('設定'!$H$11:$H$34,IH3)&lt;&gt;""),1,0)</f>
        <v/>
      </c>
      <c r="II5">
        <f>IF(OR(INDEX('設定'!$D$11:$D$20,II2)&lt;&gt;"",INDEX('設定'!$H$11:$H$34,II3)&lt;&gt;""),1,0)</f>
        <v/>
      </c>
    </row>
    <row r="6">
      <c r="C6" s="83" t="inlineStr">
        <is>
          <t>優先順</t>
        </is>
      </c>
      <c r="D6">
        <f>IF(LEFT('設定'!$B$8,3)="日付順",(D2-1)*24+D3,(D3-1)*10+D2)+D5*10000</f>
        <v/>
      </c>
      <c r="E6">
        <f>IF(LEFT('設定'!$B$8,3)="日付順",(E2-1)*24+E3,(E3-1)*10+E2)+E5*10000</f>
        <v/>
      </c>
      <c r="F6">
        <f>IF(LEFT('設定'!$B$8,3)="日付順",(F2-1)*24+F3,(F3-1)*10+F2)+F5*10000</f>
        <v/>
      </c>
      <c r="G6">
        <f>IF(LEFT('設定'!$B$8,3)="日付順",(G2-1)*24+G3,(G3-1)*10+G2)+G5*10000</f>
        <v/>
      </c>
      <c r="H6">
        <f>IF(LEFT('設定'!$B$8,3)="日付順",(H2-1)*24+H3,(H3-1)*10+H2)+H5*10000</f>
        <v/>
      </c>
      <c r="I6">
        <f>IF(LEFT('設定'!$B$8,3)="日付順",(I2-1)*24+I3,(I3-1)*10+I2)+I5*10000</f>
        <v/>
      </c>
      <c r="J6">
        <f>IF(LEFT('設定'!$B$8,3)="日付順",(J2-1)*24+J3,(J3-1)*10+J2)+J5*10000</f>
        <v/>
      </c>
      <c r="K6">
        <f>IF(LEFT('設定'!$B$8,3)="日付順",(K2-1)*24+K3,(K3-1)*10+K2)+K5*10000</f>
        <v/>
      </c>
      <c r="L6">
        <f>IF(LEFT('設定'!$B$8,3)="日付順",(L2-1)*24+L3,(L3-1)*10+L2)+L5*10000</f>
        <v/>
      </c>
      <c r="M6">
        <f>IF(LEFT('設定'!$B$8,3)="日付順",(M2-1)*24+M3,(M3-1)*10+M2)+M5*10000</f>
        <v/>
      </c>
      <c r="N6">
        <f>IF(LEFT('設定'!$B$8,3)="日付順",(N2-1)*24+N3,(N3-1)*10+N2)+N5*10000</f>
        <v/>
      </c>
      <c r="O6">
        <f>IF(LEFT('設定'!$B$8,3)="日付順",(O2-1)*24+O3,(O3-1)*10+O2)+O5*10000</f>
        <v/>
      </c>
      <c r="P6">
        <f>IF(LEFT('設定'!$B$8,3)="日付順",(P2-1)*24+P3,(P3-1)*10+P2)+P5*10000</f>
        <v/>
      </c>
      <c r="Q6">
        <f>IF(LEFT('設定'!$B$8,3)="日付順",(Q2-1)*24+Q3,(Q3-1)*10+Q2)+Q5*10000</f>
        <v/>
      </c>
      <c r="R6">
        <f>IF(LEFT('設定'!$B$8,3)="日付順",(R2-1)*24+R3,(R3-1)*10+R2)+R5*10000</f>
        <v/>
      </c>
      <c r="S6">
        <f>IF(LEFT('設定'!$B$8,3)="日付順",(S2-1)*24+S3,(S3-1)*10+S2)+S5*10000</f>
        <v/>
      </c>
      <c r="T6">
        <f>IF(LEFT('設定'!$B$8,3)="日付順",(T2-1)*24+T3,(T3-1)*10+T2)+T5*10000</f>
        <v/>
      </c>
      <c r="U6">
        <f>IF(LEFT('設定'!$B$8,3)="日付順",(U2-1)*24+U3,(U3-1)*10+U2)+U5*10000</f>
        <v/>
      </c>
      <c r="V6">
        <f>IF(LEFT('設定'!$B$8,3)="日付順",(V2-1)*24+V3,(V3-1)*10+V2)+V5*10000</f>
        <v/>
      </c>
      <c r="W6">
        <f>IF(LEFT('設定'!$B$8,3)="日付順",(W2-1)*24+W3,(W3-1)*10+W2)+W5*10000</f>
        <v/>
      </c>
      <c r="X6">
        <f>IF(LEFT('設定'!$B$8,3)="日付順",(X2-1)*24+X3,(X3-1)*10+X2)+X5*10000</f>
        <v/>
      </c>
      <c r="Y6">
        <f>IF(LEFT('設定'!$B$8,3)="日付順",(Y2-1)*24+Y3,(Y3-1)*10+Y2)+Y5*10000</f>
        <v/>
      </c>
      <c r="Z6">
        <f>IF(LEFT('設定'!$B$8,3)="日付順",(Z2-1)*24+Z3,(Z3-1)*10+Z2)+Z5*10000</f>
        <v/>
      </c>
      <c r="AA6">
        <f>IF(LEFT('設定'!$B$8,3)="日付順",(AA2-1)*24+AA3,(AA3-1)*10+AA2)+AA5*10000</f>
        <v/>
      </c>
      <c r="AB6">
        <f>IF(LEFT('設定'!$B$8,3)="日付順",(AB2-1)*24+AB3,(AB3-1)*10+AB2)+AB5*10000</f>
        <v/>
      </c>
      <c r="AC6">
        <f>IF(LEFT('設定'!$B$8,3)="日付順",(AC2-1)*24+AC3,(AC3-1)*10+AC2)+AC5*10000</f>
        <v/>
      </c>
      <c r="AD6">
        <f>IF(LEFT('設定'!$B$8,3)="日付順",(AD2-1)*24+AD3,(AD3-1)*10+AD2)+AD5*10000</f>
        <v/>
      </c>
      <c r="AE6">
        <f>IF(LEFT('設定'!$B$8,3)="日付順",(AE2-1)*24+AE3,(AE3-1)*10+AE2)+AE5*10000</f>
        <v/>
      </c>
      <c r="AF6">
        <f>IF(LEFT('設定'!$B$8,3)="日付順",(AF2-1)*24+AF3,(AF3-1)*10+AF2)+AF5*10000</f>
        <v/>
      </c>
      <c r="AG6">
        <f>IF(LEFT('設定'!$B$8,3)="日付順",(AG2-1)*24+AG3,(AG3-1)*10+AG2)+AG5*10000</f>
        <v/>
      </c>
      <c r="AH6">
        <f>IF(LEFT('設定'!$B$8,3)="日付順",(AH2-1)*24+AH3,(AH3-1)*10+AH2)+AH5*10000</f>
        <v/>
      </c>
      <c r="AI6">
        <f>IF(LEFT('設定'!$B$8,3)="日付順",(AI2-1)*24+AI3,(AI3-1)*10+AI2)+AI5*10000</f>
        <v/>
      </c>
      <c r="AJ6">
        <f>IF(LEFT('設定'!$B$8,3)="日付順",(AJ2-1)*24+AJ3,(AJ3-1)*10+AJ2)+AJ5*10000</f>
        <v/>
      </c>
      <c r="AK6">
        <f>IF(LEFT('設定'!$B$8,3)="日付順",(AK2-1)*24+AK3,(AK3-1)*10+AK2)+AK5*10000</f>
        <v/>
      </c>
      <c r="AL6">
        <f>IF(LEFT('設定'!$B$8,3)="日付順",(AL2-1)*24+AL3,(AL3-1)*10+AL2)+AL5*10000</f>
        <v/>
      </c>
      <c r="AM6">
        <f>IF(LEFT('設定'!$B$8,3)="日付順",(AM2-1)*24+AM3,(AM3-1)*10+AM2)+AM5*10000</f>
        <v/>
      </c>
      <c r="AN6">
        <f>IF(LEFT('設定'!$B$8,3)="日付順",(AN2-1)*24+AN3,(AN3-1)*10+AN2)+AN5*10000</f>
        <v/>
      </c>
      <c r="AO6">
        <f>IF(LEFT('設定'!$B$8,3)="日付順",(AO2-1)*24+AO3,(AO3-1)*10+AO2)+AO5*10000</f>
        <v/>
      </c>
      <c r="AP6">
        <f>IF(LEFT('設定'!$B$8,3)="日付順",(AP2-1)*24+AP3,(AP3-1)*10+AP2)+AP5*10000</f>
        <v/>
      </c>
      <c r="AQ6">
        <f>IF(LEFT('設定'!$B$8,3)="日付順",(AQ2-1)*24+AQ3,(AQ3-1)*10+AQ2)+AQ5*10000</f>
        <v/>
      </c>
      <c r="AR6">
        <f>IF(LEFT('設定'!$B$8,3)="日付順",(AR2-1)*24+AR3,(AR3-1)*10+AR2)+AR5*10000</f>
        <v/>
      </c>
      <c r="AS6">
        <f>IF(LEFT('設定'!$B$8,3)="日付順",(AS2-1)*24+AS3,(AS3-1)*10+AS2)+AS5*10000</f>
        <v/>
      </c>
      <c r="AT6">
        <f>IF(LEFT('設定'!$B$8,3)="日付順",(AT2-1)*24+AT3,(AT3-1)*10+AT2)+AT5*10000</f>
        <v/>
      </c>
      <c r="AU6">
        <f>IF(LEFT('設定'!$B$8,3)="日付順",(AU2-1)*24+AU3,(AU3-1)*10+AU2)+AU5*10000</f>
        <v/>
      </c>
      <c r="AV6">
        <f>IF(LEFT('設定'!$B$8,3)="日付順",(AV2-1)*24+AV3,(AV3-1)*10+AV2)+AV5*10000</f>
        <v/>
      </c>
      <c r="AW6">
        <f>IF(LEFT('設定'!$B$8,3)="日付順",(AW2-1)*24+AW3,(AW3-1)*10+AW2)+AW5*10000</f>
        <v/>
      </c>
      <c r="AX6">
        <f>IF(LEFT('設定'!$B$8,3)="日付順",(AX2-1)*24+AX3,(AX3-1)*10+AX2)+AX5*10000</f>
        <v/>
      </c>
      <c r="AY6">
        <f>IF(LEFT('設定'!$B$8,3)="日付順",(AY2-1)*24+AY3,(AY3-1)*10+AY2)+AY5*10000</f>
        <v/>
      </c>
      <c r="AZ6">
        <f>IF(LEFT('設定'!$B$8,3)="日付順",(AZ2-1)*24+AZ3,(AZ3-1)*10+AZ2)+AZ5*10000</f>
        <v/>
      </c>
      <c r="BA6">
        <f>IF(LEFT('設定'!$B$8,3)="日付順",(BA2-1)*24+BA3,(BA3-1)*10+BA2)+BA5*10000</f>
        <v/>
      </c>
      <c r="BB6">
        <f>IF(LEFT('設定'!$B$8,3)="日付順",(BB2-1)*24+BB3,(BB3-1)*10+BB2)+BB5*10000</f>
        <v/>
      </c>
      <c r="BC6">
        <f>IF(LEFT('設定'!$B$8,3)="日付順",(BC2-1)*24+BC3,(BC3-1)*10+BC2)+BC5*10000</f>
        <v/>
      </c>
      <c r="BD6">
        <f>IF(LEFT('設定'!$B$8,3)="日付順",(BD2-1)*24+BD3,(BD3-1)*10+BD2)+BD5*10000</f>
        <v/>
      </c>
      <c r="BE6">
        <f>IF(LEFT('設定'!$B$8,3)="日付順",(BE2-1)*24+BE3,(BE3-1)*10+BE2)+BE5*10000</f>
        <v/>
      </c>
      <c r="BF6">
        <f>IF(LEFT('設定'!$B$8,3)="日付順",(BF2-1)*24+BF3,(BF3-1)*10+BF2)+BF5*10000</f>
        <v/>
      </c>
      <c r="BG6">
        <f>IF(LEFT('設定'!$B$8,3)="日付順",(BG2-1)*24+BG3,(BG3-1)*10+BG2)+BG5*10000</f>
        <v/>
      </c>
      <c r="BH6">
        <f>IF(LEFT('設定'!$B$8,3)="日付順",(BH2-1)*24+BH3,(BH3-1)*10+BH2)+BH5*10000</f>
        <v/>
      </c>
      <c r="BI6">
        <f>IF(LEFT('設定'!$B$8,3)="日付順",(BI2-1)*24+BI3,(BI3-1)*10+BI2)+BI5*10000</f>
        <v/>
      </c>
      <c r="BJ6">
        <f>IF(LEFT('設定'!$B$8,3)="日付順",(BJ2-1)*24+BJ3,(BJ3-1)*10+BJ2)+BJ5*10000</f>
        <v/>
      </c>
      <c r="BK6">
        <f>IF(LEFT('設定'!$B$8,3)="日付順",(BK2-1)*24+BK3,(BK3-1)*10+BK2)+BK5*10000</f>
        <v/>
      </c>
      <c r="BL6">
        <f>IF(LEFT('設定'!$B$8,3)="日付順",(BL2-1)*24+BL3,(BL3-1)*10+BL2)+BL5*10000</f>
        <v/>
      </c>
      <c r="BM6">
        <f>IF(LEFT('設定'!$B$8,3)="日付順",(BM2-1)*24+BM3,(BM3-1)*10+BM2)+BM5*10000</f>
        <v/>
      </c>
      <c r="BN6">
        <f>IF(LEFT('設定'!$B$8,3)="日付順",(BN2-1)*24+BN3,(BN3-1)*10+BN2)+BN5*10000</f>
        <v/>
      </c>
      <c r="BO6">
        <f>IF(LEFT('設定'!$B$8,3)="日付順",(BO2-1)*24+BO3,(BO3-1)*10+BO2)+BO5*10000</f>
        <v/>
      </c>
      <c r="BP6">
        <f>IF(LEFT('設定'!$B$8,3)="日付順",(BP2-1)*24+BP3,(BP3-1)*10+BP2)+BP5*10000</f>
        <v/>
      </c>
      <c r="BQ6">
        <f>IF(LEFT('設定'!$B$8,3)="日付順",(BQ2-1)*24+BQ3,(BQ3-1)*10+BQ2)+BQ5*10000</f>
        <v/>
      </c>
      <c r="BR6">
        <f>IF(LEFT('設定'!$B$8,3)="日付順",(BR2-1)*24+BR3,(BR3-1)*10+BR2)+BR5*10000</f>
        <v/>
      </c>
      <c r="BS6">
        <f>IF(LEFT('設定'!$B$8,3)="日付順",(BS2-1)*24+BS3,(BS3-1)*10+BS2)+BS5*10000</f>
        <v/>
      </c>
      <c r="BT6">
        <f>IF(LEFT('設定'!$B$8,3)="日付順",(BT2-1)*24+BT3,(BT3-1)*10+BT2)+BT5*10000</f>
        <v/>
      </c>
      <c r="BU6">
        <f>IF(LEFT('設定'!$B$8,3)="日付順",(BU2-1)*24+BU3,(BU3-1)*10+BU2)+BU5*10000</f>
        <v/>
      </c>
      <c r="BV6">
        <f>IF(LEFT('設定'!$B$8,3)="日付順",(BV2-1)*24+BV3,(BV3-1)*10+BV2)+BV5*10000</f>
        <v/>
      </c>
      <c r="BW6">
        <f>IF(LEFT('設定'!$B$8,3)="日付順",(BW2-1)*24+BW3,(BW3-1)*10+BW2)+BW5*10000</f>
        <v/>
      </c>
      <c r="BX6">
        <f>IF(LEFT('設定'!$B$8,3)="日付順",(BX2-1)*24+BX3,(BX3-1)*10+BX2)+BX5*10000</f>
        <v/>
      </c>
      <c r="BY6">
        <f>IF(LEFT('設定'!$B$8,3)="日付順",(BY2-1)*24+BY3,(BY3-1)*10+BY2)+BY5*10000</f>
        <v/>
      </c>
      <c r="BZ6">
        <f>IF(LEFT('設定'!$B$8,3)="日付順",(BZ2-1)*24+BZ3,(BZ3-1)*10+BZ2)+BZ5*10000</f>
        <v/>
      </c>
      <c r="CA6">
        <f>IF(LEFT('設定'!$B$8,3)="日付順",(CA2-1)*24+CA3,(CA3-1)*10+CA2)+CA5*10000</f>
        <v/>
      </c>
      <c r="CB6">
        <f>IF(LEFT('設定'!$B$8,3)="日付順",(CB2-1)*24+CB3,(CB3-1)*10+CB2)+CB5*10000</f>
        <v/>
      </c>
      <c r="CC6">
        <f>IF(LEFT('設定'!$B$8,3)="日付順",(CC2-1)*24+CC3,(CC3-1)*10+CC2)+CC5*10000</f>
        <v/>
      </c>
      <c r="CD6">
        <f>IF(LEFT('設定'!$B$8,3)="日付順",(CD2-1)*24+CD3,(CD3-1)*10+CD2)+CD5*10000</f>
        <v/>
      </c>
      <c r="CE6">
        <f>IF(LEFT('設定'!$B$8,3)="日付順",(CE2-1)*24+CE3,(CE3-1)*10+CE2)+CE5*10000</f>
        <v/>
      </c>
      <c r="CF6">
        <f>IF(LEFT('設定'!$B$8,3)="日付順",(CF2-1)*24+CF3,(CF3-1)*10+CF2)+CF5*10000</f>
        <v/>
      </c>
      <c r="CG6">
        <f>IF(LEFT('設定'!$B$8,3)="日付順",(CG2-1)*24+CG3,(CG3-1)*10+CG2)+CG5*10000</f>
        <v/>
      </c>
      <c r="CH6">
        <f>IF(LEFT('設定'!$B$8,3)="日付順",(CH2-1)*24+CH3,(CH3-1)*10+CH2)+CH5*10000</f>
        <v/>
      </c>
      <c r="CI6">
        <f>IF(LEFT('設定'!$B$8,3)="日付順",(CI2-1)*24+CI3,(CI3-1)*10+CI2)+CI5*10000</f>
        <v/>
      </c>
      <c r="CJ6">
        <f>IF(LEFT('設定'!$B$8,3)="日付順",(CJ2-1)*24+CJ3,(CJ3-1)*10+CJ2)+CJ5*10000</f>
        <v/>
      </c>
      <c r="CK6">
        <f>IF(LEFT('設定'!$B$8,3)="日付順",(CK2-1)*24+CK3,(CK3-1)*10+CK2)+CK5*10000</f>
        <v/>
      </c>
      <c r="CL6">
        <f>IF(LEFT('設定'!$B$8,3)="日付順",(CL2-1)*24+CL3,(CL3-1)*10+CL2)+CL5*10000</f>
        <v/>
      </c>
      <c r="CM6">
        <f>IF(LEFT('設定'!$B$8,3)="日付順",(CM2-1)*24+CM3,(CM3-1)*10+CM2)+CM5*10000</f>
        <v/>
      </c>
      <c r="CN6">
        <f>IF(LEFT('設定'!$B$8,3)="日付順",(CN2-1)*24+CN3,(CN3-1)*10+CN2)+CN5*10000</f>
        <v/>
      </c>
      <c r="CO6">
        <f>IF(LEFT('設定'!$B$8,3)="日付順",(CO2-1)*24+CO3,(CO3-1)*10+CO2)+CO5*10000</f>
        <v/>
      </c>
      <c r="CP6">
        <f>IF(LEFT('設定'!$B$8,3)="日付順",(CP2-1)*24+CP3,(CP3-1)*10+CP2)+CP5*10000</f>
        <v/>
      </c>
      <c r="CQ6">
        <f>IF(LEFT('設定'!$B$8,3)="日付順",(CQ2-1)*24+CQ3,(CQ3-1)*10+CQ2)+CQ5*10000</f>
        <v/>
      </c>
      <c r="CR6">
        <f>IF(LEFT('設定'!$B$8,3)="日付順",(CR2-1)*24+CR3,(CR3-1)*10+CR2)+CR5*10000</f>
        <v/>
      </c>
      <c r="CS6">
        <f>IF(LEFT('設定'!$B$8,3)="日付順",(CS2-1)*24+CS3,(CS3-1)*10+CS2)+CS5*10000</f>
        <v/>
      </c>
      <c r="CT6">
        <f>IF(LEFT('設定'!$B$8,3)="日付順",(CT2-1)*24+CT3,(CT3-1)*10+CT2)+CT5*10000</f>
        <v/>
      </c>
      <c r="CU6">
        <f>IF(LEFT('設定'!$B$8,3)="日付順",(CU2-1)*24+CU3,(CU3-1)*10+CU2)+CU5*10000</f>
        <v/>
      </c>
      <c r="CV6">
        <f>IF(LEFT('設定'!$B$8,3)="日付順",(CV2-1)*24+CV3,(CV3-1)*10+CV2)+CV5*10000</f>
        <v/>
      </c>
      <c r="CW6">
        <f>IF(LEFT('設定'!$B$8,3)="日付順",(CW2-1)*24+CW3,(CW3-1)*10+CW2)+CW5*10000</f>
        <v/>
      </c>
      <c r="CX6">
        <f>IF(LEFT('設定'!$B$8,3)="日付順",(CX2-1)*24+CX3,(CX3-1)*10+CX2)+CX5*10000</f>
        <v/>
      </c>
      <c r="CY6">
        <f>IF(LEFT('設定'!$B$8,3)="日付順",(CY2-1)*24+CY3,(CY3-1)*10+CY2)+CY5*10000</f>
        <v/>
      </c>
      <c r="CZ6">
        <f>IF(LEFT('設定'!$B$8,3)="日付順",(CZ2-1)*24+CZ3,(CZ3-1)*10+CZ2)+CZ5*10000</f>
        <v/>
      </c>
      <c r="DA6">
        <f>IF(LEFT('設定'!$B$8,3)="日付順",(DA2-1)*24+DA3,(DA3-1)*10+DA2)+DA5*10000</f>
        <v/>
      </c>
      <c r="DB6">
        <f>IF(LEFT('設定'!$B$8,3)="日付順",(DB2-1)*24+DB3,(DB3-1)*10+DB2)+DB5*10000</f>
        <v/>
      </c>
      <c r="DC6">
        <f>IF(LEFT('設定'!$B$8,3)="日付順",(DC2-1)*24+DC3,(DC3-1)*10+DC2)+DC5*10000</f>
        <v/>
      </c>
      <c r="DD6">
        <f>IF(LEFT('設定'!$B$8,3)="日付順",(DD2-1)*24+DD3,(DD3-1)*10+DD2)+DD5*10000</f>
        <v/>
      </c>
      <c r="DE6">
        <f>IF(LEFT('設定'!$B$8,3)="日付順",(DE2-1)*24+DE3,(DE3-1)*10+DE2)+DE5*10000</f>
        <v/>
      </c>
      <c r="DF6">
        <f>IF(LEFT('設定'!$B$8,3)="日付順",(DF2-1)*24+DF3,(DF3-1)*10+DF2)+DF5*10000</f>
        <v/>
      </c>
      <c r="DG6">
        <f>IF(LEFT('設定'!$B$8,3)="日付順",(DG2-1)*24+DG3,(DG3-1)*10+DG2)+DG5*10000</f>
        <v/>
      </c>
      <c r="DH6">
        <f>IF(LEFT('設定'!$B$8,3)="日付順",(DH2-1)*24+DH3,(DH3-1)*10+DH2)+DH5*10000</f>
        <v/>
      </c>
      <c r="DI6">
        <f>IF(LEFT('設定'!$B$8,3)="日付順",(DI2-1)*24+DI3,(DI3-1)*10+DI2)+DI5*10000</f>
        <v/>
      </c>
      <c r="DJ6">
        <f>IF(LEFT('設定'!$B$8,3)="日付順",(DJ2-1)*24+DJ3,(DJ3-1)*10+DJ2)+DJ5*10000</f>
        <v/>
      </c>
      <c r="DK6">
        <f>IF(LEFT('設定'!$B$8,3)="日付順",(DK2-1)*24+DK3,(DK3-1)*10+DK2)+DK5*10000</f>
        <v/>
      </c>
      <c r="DL6">
        <f>IF(LEFT('設定'!$B$8,3)="日付順",(DL2-1)*24+DL3,(DL3-1)*10+DL2)+DL5*10000</f>
        <v/>
      </c>
      <c r="DM6">
        <f>IF(LEFT('設定'!$B$8,3)="日付順",(DM2-1)*24+DM3,(DM3-1)*10+DM2)+DM5*10000</f>
        <v/>
      </c>
      <c r="DN6">
        <f>IF(LEFT('設定'!$B$8,3)="日付順",(DN2-1)*24+DN3,(DN3-1)*10+DN2)+DN5*10000</f>
        <v/>
      </c>
      <c r="DO6">
        <f>IF(LEFT('設定'!$B$8,3)="日付順",(DO2-1)*24+DO3,(DO3-1)*10+DO2)+DO5*10000</f>
        <v/>
      </c>
      <c r="DP6">
        <f>IF(LEFT('設定'!$B$8,3)="日付順",(DP2-1)*24+DP3,(DP3-1)*10+DP2)+DP5*10000</f>
        <v/>
      </c>
      <c r="DQ6">
        <f>IF(LEFT('設定'!$B$8,3)="日付順",(DQ2-1)*24+DQ3,(DQ3-1)*10+DQ2)+DQ5*10000</f>
        <v/>
      </c>
      <c r="DR6">
        <f>IF(LEFT('設定'!$B$8,3)="日付順",(DR2-1)*24+DR3,(DR3-1)*10+DR2)+DR5*10000</f>
        <v/>
      </c>
      <c r="DS6">
        <f>IF(LEFT('設定'!$B$8,3)="日付順",(DS2-1)*24+DS3,(DS3-1)*10+DS2)+DS5*10000</f>
        <v/>
      </c>
      <c r="DT6">
        <f>IF(LEFT('設定'!$B$8,3)="日付順",(DT2-1)*24+DT3,(DT3-1)*10+DT2)+DT5*10000</f>
        <v/>
      </c>
      <c r="DU6">
        <f>IF(LEFT('設定'!$B$8,3)="日付順",(DU2-1)*24+DU3,(DU3-1)*10+DU2)+DU5*10000</f>
        <v/>
      </c>
      <c r="DV6">
        <f>IF(LEFT('設定'!$B$8,3)="日付順",(DV2-1)*24+DV3,(DV3-1)*10+DV2)+DV5*10000</f>
        <v/>
      </c>
      <c r="DW6">
        <f>IF(LEFT('設定'!$B$8,3)="日付順",(DW2-1)*24+DW3,(DW3-1)*10+DW2)+DW5*10000</f>
        <v/>
      </c>
      <c r="DX6">
        <f>IF(LEFT('設定'!$B$8,3)="日付順",(DX2-1)*24+DX3,(DX3-1)*10+DX2)+DX5*10000</f>
        <v/>
      </c>
      <c r="DY6">
        <f>IF(LEFT('設定'!$B$8,3)="日付順",(DY2-1)*24+DY3,(DY3-1)*10+DY2)+DY5*10000</f>
        <v/>
      </c>
      <c r="DZ6">
        <f>IF(LEFT('設定'!$B$8,3)="日付順",(DZ2-1)*24+DZ3,(DZ3-1)*10+DZ2)+DZ5*10000</f>
        <v/>
      </c>
      <c r="EA6">
        <f>IF(LEFT('設定'!$B$8,3)="日付順",(EA2-1)*24+EA3,(EA3-1)*10+EA2)+EA5*10000</f>
        <v/>
      </c>
      <c r="EB6">
        <f>IF(LEFT('設定'!$B$8,3)="日付順",(EB2-1)*24+EB3,(EB3-1)*10+EB2)+EB5*10000</f>
        <v/>
      </c>
      <c r="EC6">
        <f>IF(LEFT('設定'!$B$8,3)="日付順",(EC2-1)*24+EC3,(EC3-1)*10+EC2)+EC5*10000</f>
        <v/>
      </c>
      <c r="ED6">
        <f>IF(LEFT('設定'!$B$8,3)="日付順",(ED2-1)*24+ED3,(ED3-1)*10+ED2)+ED5*10000</f>
        <v/>
      </c>
      <c r="EE6">
        <f>IF(LEFT('設定'!$B$8,3)="日付順",(EE2-1)*24+EE3,(EE3-1)*10+EE2)+EE5*10000</f>
        <v/>
      </c>
      <c r="EF6">
        <f>IF(LEFT('設定'!$B$8,3)="日付順",(EF2-1)*24+EF3,(EF3-1)*10+EF2)+EF5*10000</f>
        <v/>
      </c>
      <c r="EG6">
        <f>IF(LEFT('設定'!$B$8,3)="日付順",(EG2-1)*24+EG3,(EG3-1)*10+EG2)+EG5*10000</f>
        <v/>
      </c>
      <c r="EH6">
        <f>IF(LEFT('設定'!$B$8,3)="日付順",(EH2-1)*24+EH3,(EH3-1)*10+EH2)+EH5*10000</f>
        <v/>
      </c>
      <c r="EI6">
        <f>IF(LEFT('設定'!$B$8,3)="日付順",(EI2-1)*24+EI3,(EI3-1)*10+EI2)+EI5*10000</f>
        <v/>
      </c>
      <c r="EJ6">
        <f>IF(LEFT('設定'!$B$8,3)="日付順",(EJ2-1)*24+EJ3,(EJ3-1)*10+EJ2)+EJ5*10000</f>
        <v/>
      </c>
      <c r="EK6">
        <f>IF(LEFT('設定'!$B$8,3)="日付順",(EK2-1)*24+EK3,(EK3-1)*10+EK2)+EK5*10000</f>
        <v/>
      </c>
      <c r="EL6">
        <f>IF(LEFT('設定'!$B$8,3)="日付順",(EL2-1)*24+EL3,(EL3-1)*10+EL2)+EL5*10000</f>
        <v/>
      </c>
      <c r="EM6">
        <f>IF(LEFT('設定'!$B$8,3)="日付順",(EM2-1)*24+EM3,(EM3-1)*10+EM2)+EM5*10000</f>
        <v/>
      </c>
      <c r="EN6">
        <f>IF(LEFT('設定'!$B$8,3)="日付順",(EN2-1)*24+EN3,(EN3-1)*10+EN2)+EN5*10000</f>
        <v/>
      </c>
      <c r="EO6">
        <f>IF(LEFT('設定'!$B$8,3)="日付順",(EO2-1)*24+EO3,(EO3-1)*10+EO2)+EO5*10000</f>
        <v/>
      </c>
      <c r="EP6">
        <f>IF(LEFT('設定'!$B$8,3)="日付順",(EP2-1)*24+EP3,(EP3-1)*10+EP2)+EP5*10000</f>
        <v/>
      </c>
      <c r="EQ6">
        <f>IF(LEFT('設定'!$B$8,3)="日付順",(EQ2-1)*24+EQ3,(EQ3-1)*10+EQ2)+EQ5*10000</f>
        <v/>
      </c>
      <c r="ER6">
        <f>IF(LEFT('設定'!$B$8,3)="日付順",(ER2-1)*24+ER3,(ER3-1)*10+ER2)+ER5*10000</f>
        <v/>
      </c>
      <c r="ES6">
        <f>IF(LEFT('設定'!$B$8,3)="日付順",(ES2-1)*24+ES3,(ES3-1)*10+ES2)+ES5*10000</f>
        <v/>
      </c>
      <c r="ET6">
        <f>IF(LEFT('設定'!$B$8,3)="日付順",(ET2-1)*24+ET3,(ET3-1)*10+ET2)+ET5*10000</f>
        <v/>
      </c>
      <c r="EU6">
        <f>IF(LEFT('設定'!$B$8,3)="日付順",(EU2-1)*24+EU3,(EU3-1)*10+EU2)+EU5*10000</f>
        <v/>
      </c>
      <c r="EV6">
        <f>IF(LEFT('設定'!$B$8,3)="日付順",(EV2-1)*24+EV3,(EV3-1)*10+EV2)+EV5*10000</f>
        <v/>
      </c>
      <c r="EW6">
        <f>IF(LEFT('設定'!$B$8,3)="日付順",(EW2-1)*24+EW3,(EW3-1)*10+EW2)+EW5*10000</f>
        <v/>
      </c>
      <c r="EX6">
        <f>IF(LEFT('設定'!$B$8,3)="日付順",(EX2-1)*24+EX3,(EX3-1)*10+EX2)+EX5*10000</f>
        <v/>
      </c>
      <c r="EY6">
        <f>IF(LEFT('設定'!$B$8,3)="日付順",(EY2-1)*24+EY3,(EY3-1)*10+EY2)+EY5*10000</f>
        <v/>
      </c>
      <c r="EZ6">
        <f>IF(LEFT('設定'!$B$8,3)="日付順",(EZ2-1)*24+EZ3,(EZ3-1)*10+EZ2)+EZ5*10000</f>
        <v/>
      </c>
      <c r="FA6">
        <f>IF(LEFT('設定'!$B$8,3)="日付順",(FA2-1)*24+FA3,(FA3-1)*10+FA2)+FA5*10000</f>
        <v/>
      </c>
      <c r="FB6">
        <f>IF(LEFT('設定'!$B$8,3)="日付順",(FB2-1)*24+FB3,(FB3-1)*10+FB2)+FB5*10000</f>
        <v/>
      </c>
      <c r="FC6">
        <f>IF(LEFT('設定'!$B$8,3)="日付順",(FC2-1)*24+FC3,(FC3-1)*10+FC2)+FC5*10000</f>
        <v/>
      </c>
      <c r="FD6">
        <f>IF(LEFT('設定'!$B$8,3)="日付順",(FD2-1)*24+FD3,(FD3-1)*10+FD2)+FD5*10000</f>
        <v/>
      </c>
      <c r="FE6">
        <f>IF(LEFT('設定'!$B$8,3)="日付順",(FE2-1)*24+FE3,(FE3-1)*10+FE2)+FE5*10000</f>
        <v/>
      </c>
      <c r="FF6">
        <f>IF(LEFT('設定'!$B$8,3)="日付順",(FF2-1)*24+FF3,(FF3-1)*10+FF2)+FF5*10000</f>
        <v/>
      </c>
      <c r="FG6">
        <f>IF(LEFT('設定'!$B$8,3)="日付順",(FG2-1)*24+FG3,(FG3-1)*10+FG2)+FG5*10000</f>
        <v/>
      </c>
      <c r="FH6">
        <f>IF(LEFT('設定'!$B$8,3)="日付順",(FH2-1)*24+FH3,(FH3-1)*10+FH2)+FH5*10000</f>
        <v/>
      </c>
      <c r="FI6">
        <f>IF(LEFT('設定'!$B$8,3)="日付順",(FI2-1)*24+FI3,(FI3-1)*10+FI2)+FI5*10000</f>
        <v/>
      </c>
      <c r="FJ6">
        <f>IF(LEFT('設定'!$B$8,3)="日付順",(FJ2-1)*24+FJ3,(FJ3-1)*10+FJ2)+FJ5*10000</f>
        <v/>
      </c>
      <c r="FK6">
        <f>IF(LEFT('設定'!$B$8,3)="日付順",(FK2-1)*24+FK3,(FK3-1)*10+FK2)+FK5*10000</f>
        <v/>
      </c>
      <c r="FL6">
        <f>IF(LEFT('設定'!$B$8,3)="日付順",(FL2-1)*24+FL3,(FL3-1)*10+FL2)+FL5*10000</f>
        <v/>
      </c>
      <c r="FM6">
        <f>IF(LEFT('設定'!$B$8,3)="日付順",(FM2-1)*24+FM3,(FM3-1)*10+FM2)+FM5*10000</f>
        <v/>
      </c>
      <c r="FN6">
        <f>IF(LEFT('設定'!$B$8,3)="日付順",(FN2-1)*24+FN3,(FN3-1)*10+FN2)+FN5*10000</f>
        <v/>
      </c>
      <c r="FO6">
        <f>IF(LEFT('設定'!$B$8,3)="日付順",(FO2-1)*24+FO3,(FO3-1)*10+FO2)+FO5*10000</f>
        <v/>
      </c>
      <c r="FP6">
        <f>IF(LEFT('設定'!$B$8,3)="日付順",(FP2-1)*24+FP3,(FP3-1)*10+FP2)+FP5*10000</f>
        <v/>
      </c>
      <c r="FQ6">
        <f>IF(LEFT('設定'!$B$8,3)="日付順",(FQ2-1)*24+FQ3,(FQ3-1)*10+FQ2)+FQ5*10000</f>
        <v/>
      </c>
      <c r="FR6">
        <f>IF(LEFT('設定'!$B$8,3)="日付順",(FR2-1)*24+FR3,(FR3-1)*10+FR2)+FR5*10000</f>
        <v/>
      </c>
      <c r="FS6">
        <f>IF(LEFT('設定'!$B$8,3)="日付順",(FS2-1)*24+FS3,(FS3-1)*10+FS2)+FS5*10000</f>
        <v/>
      </c>
      <c r="FT6">
        <f>IF(LEFT('設定'!$B$8,3)="日付順",(FT2-1)*24+FT3,(FT3-1)*10+FT2)+FT5*10000</f>
        <v/>
      </c>
      <c r="FU6">
        <f>IF(LEFT('設定'!$B$8,3)="日付順",(FU2-1)*24+FU3,(FU3-1)*10+FU2)+FU5*10000</f>
        <v/>
      </c>
      <c r="FV6">
        <f>IF(LEFT('設定'!$B$8,3)="日付順",(FV2-1)*24+FV3,(FV3-1)*10+FV2)+FV5*10000</f>
        <v/>
      </c>
      <c r="FW6">
        <f>IF(LEFT('設定'!$B$8,3)="日付順",(FW2-1)*24+FW3,(FW3-1)*10+FW2)+FW5*10000</f>
        <v/>
      </c>
      <c r="FX6">
        <f>IF(LEFT('設定'!$B$8,3)="日付順",(FX2-1)*24+FX3,(FX3-1)*10+FX2)+FX5*10000</f>
        <v/>
      </c>
      <c r="FY6">
        <f>IF(LEFT('設定'!$B$8,3)="日付順",(FY2-1)*24+FY3,(FY3-1)*10+FY2)+FY5*10000</f>
        <v/>
      </c>
      <c r="FZ6">
        <f>IF(LEFT('設定'!$B$8,3)="日付順",(FZ2-1)*24+FZ3,(FZ3-1)*10+FZ2)+FZ5*10000</f>
        <v/>
      </c>
      <c r="GA6">
        <f>IF(LEFT('設定'!$B$8,3)="日付順",(GA2-1)*24+GA3,(GA3-1)*10+GA2)+GA5*10000</f>
        <v/>
      </c>
      <c r="GB6">
        <f>IF(LEFT('設定'!$B$8,3)="日付順",(GB2-1)*24+GB3,(GB3-1)*10+GB2)+GB5*10000</f>
        <v/>
      </c>
      <c r="GC6">
        <f>IF(LEFT('設定'!$B$8,3)="日付順",(GC2-1)*24+GC3,(GC3-1)*10+GC2)+GC5*10000</f>
        <v/>
      </c>
      <c r="GD6">
        <f>IF(LEFT('設定'!$B$8,3)="日付順",(GD2-1)*24+GD3,(GD3-1)*10+GD2)+GD5*10000</f>
        <v/>
      </c>
      <c r="GE6">
        <f>IF(LEFT('設定'!$B$8,3)="日付順",(GE2-1)*24+GE3,(GE3-1)*10+GE2)+GE5*10000</f>
        <v/>
      </c>
      <c r="GF6">
        <f>IF(LEFT('設定'!$B$8,3)="日付順",(GF2-1)*24+GF3,(GF3-1)*10+GF2)+GF5*10000</f>
        <v/>
      </c>
      <c r="GG6">
        <f>IF(LEFT('設定'!$B$8,3)="日付順",(GG2-1)*24+GG3,(GG3-1)*10+GG2)+GG5*10000</f>
        <v/>
      </c>
      <c r="GH6">
        <f>IF(LEFT('設定'!$B$8,3)="日付順",(GH2-1)*24+GH3,(GH3-1)*10+GH2)+GH5*10000</f>
        <v/>
      </c>
      <c r="GI6">
        <f>IF(LEFT('設定'!$B$8,3)="日付順",(GI2-1)*24+GI3,(GI3-1)*10+GI2)+GI5*10000</f>
        <v/>
      </c>
      <c r="GJ6">
        <f>IF(LEFT('設定'!$B$8,3)="日付順",(GJ2-1)*24+GJ3,(GJ3-1)*10+GJ2)+GJ5*10000</f>
        <v/>
      </c>
      <c r="GK6">
        <f>IF(LEFT('設定'!$B$8,3)="日付順",(GK2-1)*24+GK3,(GK3-1)*10+GK2)+GK5*10000</f>
        <v/>
      </c>
      <c r="GL6">
        <f>IF(LEFT('設定'!$B$8,3)="日付順",(GL2-1)*24+GL3,(GL3-1)*10+GL2)+GL5*10000</f>
        <v/>
      </c>
      <c r="GM6">
        <f>IF(LEFT('設定'!$B$8,3)="日付順",(GM2-1)*24+GM3,(GM3-1)*10+GM2)+GM5*10000</f>
        <v/>
      </c>
      <c r="GN6">
        <f>IF(LEFT('設定'!$B$8,3)="日付順",(GN2-1)*24+GN3,(GN3-1)*10+GN2)+GN5*10000</f>
        <v/>
      </c>
      <c r="GO6">
        <f>IF(LEFT('設定'!$B$8,3)="日付順",(GO2-1)*24+GO3,(GO3-1)*10+GO2)+GO5*10000</f>
        <v/>
      </c>
      <c r="GP6">
        <f>IF(LEFT('設定'!$B$8,3)="日付順",(GP2-1)*24+GP3,(GP3-1)*10+GP2)+GP5*10000</f>
        <v/>
      </c>
      <c r="GQ6">
        <f>IF(LEFT('設定'!$B$8,3)="日付順",(GQ2-1)*24+GQ3,(GQ3-1)*10+GQ2)+GQ5*10000</f>
        <v/>
      </c>
      <c r="GR6">
        <f>IF(LEFT('設定'!$B$8,3)="日付順",(GR2-1)*24+GR3,(GR3-1)*10+GR2)+GR5*10000</f>
        <v/>
      </c>
      <c r="GS6">
        <f>IF(LEFT('設定'!$B$8,3)="日付順",(GS2-1)*24+GS3,(GS3-1)*10+GS2)+GS5*10000</f>
        <v/>
      </c>
      <c r="GT6">
        <f>IF(LEFT('設定'!$B$8,3)="日付順",(GT2-1)*24+GT3,(GT3-1)*10+GT2)+GT5*10000</f>
        <v/>
      </c>
      <c r="GU6">
        <f>IF(LEFT('設定'!$B$8,3)="日付順",(GU2-1)*24+GU3,(GU3-1)*10+GU2)+GU5*10000</f>
        <v/>
      </c>
      <c r="GV6">
        <f>IF(LEFT('設定'!$B$8,3)="日付順",(GV2-1)*24+GV3,(GV3-1)*10+GV2)+GV5*10000</f>
        <v/>
      </c>
      <c r="GW6">
        <f>IF(LEFT('設定'!$B$8,3)="日付順",(GW2-1)*24+GW3,(GW3-1)*10+GW2)+GW5*10000</f>
        <v/>
      </c>
      <c r="GX6">
        <f>IF(LEFT('設定'!$B$8,3)="日付順",(GX2-1)*24+GX3,(GX3-1)*10+GX2)+GX5*10000</f>
        <v/>
      </c>
      <c r="GY6">
        <f>IF(LEFT('設定'!$B$8,3)="日付順",(GY2-1)*24+GY3,(GY3-1)*10+GY2)+GY5*10000</f>
        <v/>
      </c>
      <c r="GZ6">
        <f>IF(LEFT('設定'!$B$8,3)="日付順",(GZ2-1)*24+GZ3,(GZ3-1)*10+GZ2)+GZ5*10000</f>
        <v/>
      </c>
      <c r="HA6">
        <f>IF(LEFT('設定'!$B$8,3)="日付順",(HA2-1)*24+HA3,(HA3-1)*10+HA2)+HA5*10000</f>
        <v/>
      </c>
      <c r="HB6">
        <f>IF(LEFT('設定'!$B$8,3)="日付順",(HB2-1)*24+HB3,(HB3-1)*10+HB2)+HB5*10000</f>
        <v/>
      </c>
      <c r="HC6">
        <f>IF(LEFT('設定'!$B$8,3)="日付順",(HC2-1)*24+HC3,(HC3-1)*10+HC2)+HC5*10000</f>
        <v/>
      </c>
      <c r="HD6">
        <f>IF(LEFT('設定'!$B$8,3)="日付順",(HD2-1)*24+HD3,(HD3-1)*10+HD2)+HD5*10000</f>
        <v/>
      </c>
      <c r="HE6">
        <f>IF(LEFT('設定'!$B$8,3)="日付順",(HE2-1)*24+HE3,(HE3-1)*10+HE2)+HE5*10000</f>
        <v/>
      </c>
      <c r="HF6">
        <f>IF(LEFT('設定'!$B$8,3)="日付順",(HF2-1)*24+HF3,(HF3-1)*10+HF2)+HF5*10000</f>
        <v/>
      </c>
      <c r="HG6">
        <f>IF(LEFT('設定'!$B$8,3)="日付順",(HG2-1)*24+HG3,(HG3-1)*10+HG2)+HG5*10000</f>
        <v/>
      </c>
      <c r="HH6">
        <f>IF(LEFT('設定'!$B$8,3)="日付順",(HH2-1)*24+HH3,(HH3-1)*10+HH2)+HH5*10000</f>
        <v/>
      </c>
      <c r="HI6">
        <f>IF(LEFT('設定'!$B$8,3)="日付順",(HI2-1)*24+HI3,(HI3-1)*10+HI2)+HI5*10000</f>
        <v/>
      </c>
      <c r="HJ6">
        <f>IF(LEFT('設定'!$B$8,3)="日付順",(HJ2-1)*24+HJ3,(HJ3-1)*10+HJ2)+HJ5*10000</f>
        <v/>
      </c>
      <c r="HK6">
        <f>IF(LEFT('設定'!$B$8,3)="日付順",(HK2-1)*24+HK3,(HK3-1)*10+HK2)+HK5*10000</f>
        <v/>
      </c>
      <c r="HL6">
        <f>IF(LEFT('設定'!$B$8,3)="日付順",(HL2-1)*24+HL3,(HL3-1)*10+HL2)+HL5*10000</f>
        <v/>
      </c>
      <c r="HM6">
        <f>IF(LEFT('設定'!$B$8,3)="日付順",(HM2-1)*24+HM3,(HM3-1)*10+HM2)+HM5*10000</f>
        <v/>
      </c>
      <c r="HN6">
        <f>IF(LEFT('設定'!$B$8,3)="日付順",(HN2-1)*24+HN3,(HN3-1)*10+HN2)+HN5*10000</f>
        <v/>
      </c>
      <c r="HO6">
        <f>IF(LEFT('設定'!$B$8,3)="日付順",(HO2-1)*24+HO3,(HO3-1)*10+HO2)+HO5*10000</f>
        <v/>
      </c>
      <c r="HP6">
        <f>IF(LEFT('設定'!$B$8,3)="日付順",(HP2-1)*24+HP3,(HP3-1)*10+HP2)+HP5*10000</f>
        <v/>
      </c>
      <c r="HQ6">
        <f>IF(LEFT('設定'!$B$8,3)="日付順",(HQ2-1)*24+HQ3,(HQ3-1)*10+HQ2)+HQ5*10000</f>
        <v/>
      </c>
      <c r="HR6">
        <f>IF(LEFT('設定'!$B$8,3)="日付順",(HR2-1)*24+HR3,(HR3-1)*10+HR2)+HR5*10000</f>
        <v/>
      </c>
      <c r="HS6">
        <f>IF(LEFT('設定'!$B$8,3)="日付順",(HS2-1)*24+HS3,(HS3-1)*10+HS2)+HS5*10000</f>
        <v/>
      </c>
      <c r="HT6">
        <f>IF(LEFT('設定'!$B$8,3)="日付順",(HT2-1)*24+HT3,(HT3-1)*10+HT2)+HT5*10000</f>
        <v/>
      </c>
      <c r="HU6">
        <f>IF(LEFT('設定'!$B$8,3)="日付順",(HU2-1)*24+HU3,(HU3-1)*10+HU2)+HU5*10000</f>
        <v/>
      </c>
      <c r="HV6">
        <f>IF(LEFT('設定'!$B$8,3)="日付順",(HV2-1)*24+HV3,(HV3-1)*10+HV2)+HV5*10000</f>
        <v/>
      </c>
      <c r="HW6">
        <f>IF(LEFT('設定'!$B$8,3)="日付順",(HW2-1)*24+HW3,(HW3-1)*10+HW2)+HW5*10000</f>
        <v/>
      </c>
      <c r="HX6">
        <f>IF(LEFT('設定'!$B$8,3)="日付順",(HX2-1)*24+HX3,(HX3-1)*10+HX2)+HX5*10000</f>
        <v/>
      </c>
      <c r="HY6">
        <f>IF(LEFT('設定'!$B$8,3)="日付順",(HY2-1)*24+HY3,(HY3-1)*10+HY2)+HY5*10000</f>
        <v/>
      </c>
      <c r="HZ6">
        <f>IF(LEFT('設定'!$B$8,3)="日付順",(HZ2-1)*24+HZ3,(HZ3-1)*10+HZ2)+HZ5*10000</f>
        <v/>
      </c>
      <c r="IA6">
        <f>IF(LEFT('設定'!$B$8,3)="日付順",(IA2-1)*24+IA3,(IA3-1)*10+IA2)+IA5*10000</f>
        <v/>
      </c>
      <c r="IB6">
        <f>IF(LEFT('設定'!$B$8,3)="日付順",(IB2-1)*24+IB3,(IB3-1)*10+IB2)+IB5*10000</f>
        <v/>
      </c>
      <c r="IC6">
        <f>IF(LEFT('設定'!$B$8,3)="日付順",(IC2-1)*24+IC3,(IC3-1)*10+IC2)+IC5*10000</f>
        <v/>
      </c>
      <c r="ID6">
        <f>IF(LEFT('設定'!$B$8,3)="日付順",(ID2-1)*24+ID3,(ID3-1)*10+ID2)+ID5*10000</f>
        <v/>
      </c>
      <c r="IE6">
        <f>IF(LEFT('設定'!$B$8,3)="日付順",(IE2-1)*24+IE3,(IE3-1)*10+IE2)+IE5*10000</f>
        <v/>
      </c>
      <c r="IF6">
        <f>IF(LEFT('設定'!$B$8,3)="日付順",(IF2-1)*24+IF3,(IF3-1)*10+IF2)+IF5*10000</f>
        <v/>
      </c>
      <c r="IG6">
        <f>IF(LEFT('設定'!$B$8,3)="日付順",(IG2-1)*24+IG3,(IG3-1)*10+IG2)+IG5*10000</f>
        <v/>
      </c>
      <c r="IH6">
        <f>IF(LEFT('設定'!$B$8,3)="日付順",(IH2-1)*24+IH3,(IH3-1)*10+IH2)+IH5*10000</f>
        <v/>
      </c>
      <c r="II6">
        <f>IF(LEFT('設定'!$B$8,3)="日付順",(II2-1)*24+II3,(II3-1)*10+II2)+II5*10000</f>
        <v/>
      </c>
    </row>
    <row r="7">
      <c r="C7" s="83"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c r="ER7">
        <f>MAX(ER109,ER108)</f>
        <v/>
      </c>
      <c r="ES7">
        <f>MAX(ES109,ES108)</f>
        <v/>
      </c>
      <c r="ET7">
        <f>MAX(ET109,ET108)</f>
        <v/>
      </c>
      <c r="EU7">
        <f>MAX(EU109,EU108)</f>
        <v/>
      </c>
      <c r="EV7">
        <f>MAX(EV109,EV108)</f>
        <v/>
      </c>
      <c r="EW7">
        <f>MAX(EW109,EW108)</f>
        <v/>
      </c>
      <c r="EX7">
        <f>MAX(EX109,EX108)</f>
        <v/>
      </c>
      <c r="EY7">
        <f>MAX(EY109,EY108)</f>
        <v/>
      </c>
      <c r="EZ7">
        <f>MAX(EZ109,EZ108)</f>
        <v/>
      </c>
      <c r="FA7">
        <f>MAX(FA109,FA108)</f>
        <v/>
      </c>
      <c r="FB7">
        <f>MAX(FB109,FB108)</f>
        <v/>
      </c>
      <c r="FC7">
        <f>MAX(FC109,FC108)</f>
        <v/>
      </c>
      <c r="FD7">
        <f>MAX(FD109,FD108)</f>
        <v/>
      </c>
      <c r="FE7">
        <f>MAX(FE109,FE108)</f>
        <v/>
      </c>
      <c r="FF7">
        <f>MAX(FF109,FF108)</f>
        <v/>
      </c>
      <c r="FG7">
        <f>MAX(FG109,FG108)</f>
        <v/>
      </c>
      <c r="FH7">
        <f>MAX(FH109,FH108)</f>
        <v/>
      </c>
      <c r="FI7">
        <f>MAX(FI109,FI108)</f>
        <v/>
      </c>
      <c r="FJ7">
        <f>MAX(FJ109,FJ108)</f>
        <v/>
      </c>
      <c r="FK7">
        <f>MAX(FK109,FK108)</f>
        <v/>
      </c>
      <c r="FL7">
        <f>MAX(FL109,FL108)</f>
        <v/>
      </c>
      <c r="FM7">
        <f>MAX(FM109,FM108)</f>
        <v/>
      </c>
      <c r="FN7">
        <f>MAX(FN109,FN108)</f>
        <v/>
      </c>
      <c r="FO7">
        <f>MAX(FO109,FO108)</f>
        <v/>
      </c>
      <c r="FP7">
        <f>MAX(FP109,FP108)</f>
        <v/>
      </c>
      <c r="FQ7">
        <f>MAX(FQ109,FQ108)</f>
        <v/>
      </c>
      <c r="FR7">
        <f>MAX(FR109,FR108)</f>
        <v/>
      </c>
      <c r="FS7">
        <f>MAX(FS109,FS108)</f>
        <v/>
      </c>
      <c r="FT7">
        <f>MAX(FT109,FT108)</f>
        <v/>
      </c>
      <c r="FU7">
        <f>MAX(FU109,FU108)</f>
        <v/>
      </c>
      <c r="FV7">
        <f>MAX(FV109,FV108)</f>
        <v/>
      </c>
      <c r="FW7">
        <f>MAX(FW109,FW108)</f>
        <v/>
      </c>
      <c r="FX7">
        <f>MAX(FX109,FX108)</f>
        <v/>
      </c>
      <c r="FY7">
        <f>MAX(FY109,FY108)</f>
        <v/>
      </c>
      <c r="FZ7">
        <f>MAX(FZ109,FZ108)</f>
        <v/>
      </c>
      <c r="GA7">
        <f>MAX(GA109,GA108)</f>
        <v/>
      </c>
      <c r="GB7">
        <f>MAX(GB109,GB108)</f>
        <v/>
      </c>
      <c r="GC7">
        <f>MAX(GC109,GC108)</f>
        <v/>
      </c>
      <c r="GD7">
        <f>MAX(GD109,GD108)</f>
        <v/>
      </c>
      <c r="GE7">
        <f>MAX(GE109,GE108)</f>
        <v/>
      </c>
      <c r="GF7">
        <f>MAX(GF109,GF108)</f>
        <v/>
      </c>
      <c r="GG7">
        <f>MAX(GG109,GG108)</f>
        <v/>
      </c>
      <c r="GH7">
        <f>MAX(GH109,GH108)</f>
        <v/>
      </c>
      <c r="GI7">
        <f>MAX(GI109,GI108)</f>
        <v/>
      </c>
      <c r="GJ7">
        <f>MAX(GJ109,GJ108)</f>
        <v/>
      </c>
      <c r="GK7">
        <f>MAX(GK109,GK108)</f>
        <v/>
      </c>
      <c r="GL7">
        <f>MAX(GL109,GL108)</f>
        <v/>
      </c>
      <c r="GM7">
        <f>MAX(GM109,GM108)</f>
        <v/>
      </c>
      <c r="GN7">
        <f>MAX(GN109,GN108)</f>
        <v/>
      </c>
      <c r="GO7">
        <f>MAX(GO109,GO108)</f>
        <v/>
      </c>
      <c r="GP7">
        <f>MAX(GP109,GP108)</f>
        <v/>
      </c>
      <c r="GQ7">
        <f>MAX(GQ109,GQ108)</f>
        <v/>
      </c>
      <c r="GR7">
        <f>MAX(GR109,GR108)</f>
        <v/>
      </c>
      <c r="GS7">
        <f>MAX(GS109,GS108)</f>
        <v/>
      </c>
      <c r="GT7">
        <f>MAX(GT109,GT108)</f>
        <v/>
      </c>
      <c r="GU7">
        <f>MAX(GU109,GU108)</f>
        <v/>
      </c>
      <c r="GV7">
        <f>MAX(GV109,GV108)</f>
        <v/>
      </c>
      <c r="GW7">
        <f>MAX(GW109,GW108)</f>
        <v/>
      </c>
      <c r="GX7">
        <f>MAX(GX109,GX108)</f>
        <v/>
      </c>
      <c r="GY7">
        <f>MAX(GY109,GY108)</f>
        <v/>
      </c>
      <c r="GZ7">
        <f>MAX(GZ109,GZ108)</f>
        <v/>
      </c>
      <c r="HA7">
        <f>MAX(HA109,HA108)</f>
        <v/>
      </c>
      <c r="HB7">
        <f>MAX(HB109,HB108)</f>
        <v/>
      </c>
      <c r="HC7">
        <f>MAX(HC109,HC108)</f>
        <v/>
      </c>
      <c r="HD7">
        <f>MAX(HD109,HD108)</f>
        <v/>
      </c>
      <c r="HE7">
        <f>MAX(HE109,HE108)</f>
        <v/>
      </c>
      <c r="HF7">
        <f>MAX(HF109,HF108)</f>
        <v/>
      </c>
      <c r="HG7">
        <f>MAX(HG109,HG108)</f>
        <v/>
      </c>
      <c r="HH7">
        <f>MAX(HH109,HH108)</f>
        <v/>
      </c>
      <c r="HI7">
        <f>MAX(HI109,HI108)</f>
        <v/>
      </c>
      <c r="HJ7">
        <f>MAX(HJ109,HJ108)</f>
        <v/>
      </c>
      <c r="HK7">
        <f>MAX(HK109,HK108)</f>
        <v/>
      </c>
      <c r="HL7">
        <f>MAX(HL109,HL108)</f>
        <v/>
      </c>
      <c r="HM7">
        <f>MAX(HM109,HM108)</f>
        <v/>
      </c>
      <c r="HN7">
        <f>MAX(HN109,HN108)</f>
        <v/>
      </c>
      <c r="HO7">
        <f>MAX(HO109,HO108)</f>
        <v/>
      </c>
      <c r="HP7">
        <f>MAX(HP109,HP108)</f>
        <v/>
      </c>
      <c r="HQ7">
        <f>MAX(HQ109,HQ108)</f>
        <v/>
      </c>
      <c r="HR7">
        <f>MAX(HR109,HR108)</f>
        <v/>
      </c>
      <c r="HS7">
        <f>MAX(HS109,HS108)</f>
        <v/>
      </c>
      <c r="HT7">
        <f>MAX(HT109,HT108)</f>
        <v/>
      </c>
      <c r="HU7">
        <f>MAX(HU109,HU108)</f>
        <v/>
      </c>
      <c r="HV7">
        <f>MAX(HV109,HV108)</f>
        <v/>
      </c>
      <c r="HW7">
        <f>MAX(HW109,HW108)</f>
        <v/>
      </c>
      <c r="HX7">
        <f>MAX(HX109,HX108)</f>
        <v/>
      </c>
      <c r="HY7">
        <f>MAX(HY109,HY108)</f>
        <v/>
      </c>
      <c r="HZ7">
        <f>MAX(HZ109,HZ108)</f>
        <v/>
      </c>
      <c r="IA7">
        <f>MAX(IA109,IA108)</f>
        <v/>
      </c>
      <c r="IB7">
        <f>MAX(IB109,IB108)</f>
        <v/>
      </c>
      <c r="IC7">
        <f>MAX(IC109,IC108)</f>
        <v/>
      </c>
      <c r="ID7">
        <f>MAX(ID109,ID108)</f>
        <v/>
      </c>
      <c r="IE7">
        <f>MAX(IE109,IE108)</f>
        <v/>
      </c>
      <c r="IF7">
        <f>MAX(IF109,IF108)</f>
        <v/>
      </c>
      <c r="IG7">
        <f>MAX(IG109,IG108)</f>
        <v/>
      </c>
      <c r="IH7">
        <f>MAX(IH109,IH108)</f>
        <v/>
      </c>
      <c r="II7">
        <f>MAX(II109,II108)</f>
        <v/>
      </c>
    </row>
    <row r="8">
      <c r="A8" s="83" t="inlineStr">
        <is>
          <t>選択中→</t>
        </is>
      </c>
      <c r="B8" s="83">
        <f>IF('調整・決定'!$N$5="",0,IFERROR(MATCH('調整・決定'!$N$5,$B$10:$B$54,0),0))</f>
        <v/>
      </c>
      <c r="C8" s="83" t="inlineStr">
        <is>
          <t>表示</t>
        </is>
      </c>
      <c r="D8">
        <f>IF(D4=1,INDEX('設定'!$E$11:$E$20,D2)&amp;" "&amp;INDEX('設定'!$I$11:$I$34,D3),"")</f>
        <v/>
      </c>
      <c r="E8">
        <f>IF(E4=1,INDEX('設定'!$E$11:$E$20,E2)&amp;" "&amp;INDEX('設定'!$I$11:$I$34,E3),"")</f>
        <v/>
      </c>
      <c r="F8">
        <f>IF(F4=1,INDEX('設定'!$E$11:$E$20,F2)&amp;" "&amp;INDEX('設定'!$I$11:$I$34,F3),"")</f>
        <v/>
      </c>
      <c r="G8">
        <f>IF(G4=1,INDEX('設定'!$E$11:$E$20,G2)&amp;" "&amp;INDEX('設定'!$I$11:$I$34,G3),"")</f>
        <v/>
      </c>
      <c r="H8">
        <f>IF(H4=1,INDEX('設定'!$E$11:$E$20,H2)&amp;" "&amp;INDEX('設定'!$I$11:$I$34,H3),"")</f>
        <v/>
      </c>
      <c r="I8">
        <f>IF(I4=1,INDEX('設定'!$E$11:$E$20,I2)&amp;" "&amp;INDEX('設定'!$I$11:$I$34,I3),"")</f>
        <v/>
      </c>
      <c r="J8">
        <f>IF(J4=1,INDEX('設定'!$E$11:$E$20,J2)&amp;" "&amp;INDEX('設定'!$I$11:$I$34,J3),"")</f>
        <v/>
      </c>
      <c r="K8">
        <f>IF(K4=1,INDEX('設定'!$E$11:$E$20,K2)&amp;" "&amp;INDEX('設定'!$I$11:$I$34,K3),"")</f>
        <v/>
      </c>
      <c r="L8">
        <f>IF(L4=1,INDEX('設定'!$E$11:$E$20,L2)&amp;" "&amp;INDEX('設定'!$I$11:$I$34,L3),"")</f>
        <v/>
      </c>
      <c r="M8">
        <f>IF(M4=1,INDEX('設定'!$E$11:$E$20,M2)&amp;" "&amp;INDEX('設定'!$I$11:$I$34,M3),"")</f>
        <v/>
      </c>
      <c r="N8">
        <f>IF(N4=1,INDEX('設定'!$E$11:$E$20,N2)&amp;" "&amp;INDEX('設定'!$I$11:$I$34,N3),"")</f>
        <v/>
      </c>
      <c r="O8">
        <f>IF(O4=1,INDEX('設定'!$E$11:$E$20,O2)&amp;" "&amp;INDEX('設定'!$I$11:$I$34,O3),"")</f>
        <v/>
      </c>
      <c r="P8">
        <f>IF(P4=1,INDEX('設定'!$E$11:$E$20,P2)&amp;" "&amp;INDEX('設定'!$I$11:$I$34,P3),"")</f>
        <v/>
      </c>
      <c r="Q8">
        <f>IF(Q4=1,INDEX('設定'!$E$11:$E$20,Q2)&amp;" "&amp;INDEX('設定'!$I$11:$I$34,Q3),"")</f>
        <v/>
      </c>
      <c r="R8">
        <f>IF(R4=1,INDEX('設定'!$E$11:$E$20,R2)&amp;" "&amp;INDEX('設定'!$I$11:$I$34,R3),"")</f>
        <v/>
      </c>
      <c r="S8">
        <f>IF(S4=1,INDEX('設定'!$E$11:$E$20,S2)&amp;" "&amp;INDEX('設定'!$I$11:$I$34,S3),"")</f>
        <v/>
      </c>
      <c r="T8">
        <f>IF(T4=1,INDEX('設定'!$E$11:$E$20,T2)&amp;" "&amp;INDEX('設定'!$I$11:$I$34,T3),"")</f>
        <v/>
      </c>
      <c r="U8">
        <f>IF(U4=1,INDEX('設定'!$E$11:$E$20,U2)&amp;" "&amp;INDEX('設定'!$I$11:$I$34,U3),"")</f>
        <v/>
      </c>
      <c r="V8">
        <f>IF(V4=1,INDEX('設定'!$E$11:$E$20,V2)&amp;" "&amp;INDEX('設定'!$I$11:$I$34,V3),"")</f>
        <v/>
      </c>
      <c r="W8">
        <f>IF(W4=1,INDEX('設定'!$E$11:$E$20,W2)&amp;" "&amp;INDEX('設定'!$I$11:$I$34,W3),"")</f>
        <v/>
      </c>
      <c r="X8">
        <f>IF(X4=1,INDEX('設定'!$E$11:$E$20,X2)&amp;" "&amp;INDEX('設定'!$I$11:$I$34,X3),"")</f>
        <v/>
      </c>
      <c r="Y8">
        <f>IF(Y4=1,INDEX('設定'!$E$11:$E$20,Y2)&amp;" "&amp;INDEX('設定'!$I$11:$I$34,Y3),"")</f>
        <v/>
      </c>
      <c r="Z8">
        <f>IF(Z4=1,INDEX('設定'!$E$11:$E$20,Z2)&amp;" "&amp;INDEX('設定'!$I$11:$I$34,Z3),"")</f>
        <v/>
      </c>
      <c r="AA8">
        <f>IF(AA4=1,INDEX('設定'!$E$11:$E$20,AA2)&amp;" "&amp;INDEX('設定'!$I$11:$I$34,AA3),"")</f>
        <v/>
      </c>
      <c r="AB8">
        <f>IF(AB4=1,INDEX('設定'!$E$11:$E$20,AB2)&amp;" "&amp;INDEX('設定'!$I$11:$I$34,AB3),"")</f>
        <v/>
      </c>
      <c r="AC8">
        <f>IF(AC4=1,INDEX('設定'!$E$11:$E$20,AC2)&amp;" "&amp;INDEX('設定'!$I$11:$I$34,AC3),"")</f>
        <v/>
      </c>
      <c r="AD8">
        <f>IF(AD4=1,INDEX('設定'!$E$11:$E$20,AD2)&amp;" "&amp;INDEX('設定'!$I$11:$I$34,AD3),"")</f>
        <v/>
      </c>
      <c r="AE8">
        <f>IF(AE4=1,INDEX('設定'!$E$11:$E$20,AE2)&amp;" "&amp;INDEX('設定'!$I$11:$I$34,AE3),"")</f>
        <v/>
      </c>
      <c r="AF8">
        <f>IF(AF4=1,INDEX('設定'!$E$11:$E$20,AF2)&amp;" "&amp;INDEX('設定'!$I$11:$I$34,AF3),"")</f>
        <v/>
      </c>
      <c r="AG8">
        <f>IF(AG4=1,INDEX('設定'!$E$11:$E$20,AG2)&amp;" "&amp;INDEX('設定'!$I$11:$I$34,AG3),"")</f>
        <v/>
      </c>
      <c r="AH8">
        <f>IF(AH4=1,INDEX('設定'!$E$11:$E$20,AH2)&amp;" "&amp;INDEX('設定'!$I$11:$I$34,AH3),"")</f>
        <v/>
      </c>
      <c r="AI8">
        <f>IF(AI4=1,INDEX('設定'!$E$11:$E$20,AI2)&amp;" "&amp;INDEX('設定'!$I$11:$I$34,AI3),"")</f>
        <v/>
      </c>
      <c r="AJ8">
        <f>IF(AJ4=1,INDEX('設定'!$E$11:$E$20,AJ2)&amp;" "&amp;INDEX('設定'!$I$11:$I$34,AJ3),"")</f>
        <v/>
      </c>
      <c r="AK8">
        <f>IF(AK4=1,INDEX('設定'!$E$11:$E$20,AK2)&amp;" "&amp;INDEX('設定'!$I$11:$I$34,AK3),"")</f>
        <v/>
      </c>
      <c r="AL8">
        <f>IF(AL4=1,INDEX('設定'!$E$11:$E$20,AL2)&amp;" "&amp;INDEX('設定'!$I$11:$I$34,AL3),"")</f>
        <v/>
      </c>
      <c r="AM8">
        <f>IF(AM4=1,INDEX('設定'!$E$11:$E$20,AM2)&amp;" "&amp;INDEX('設定'!$I$11:$I$34,AM3),"")</f>
        <v/>
      </c>
      <c r="AN8">
        <f>IF(AN4=1,INDEX('設定'!$E$11:$E$20,AN2)&amp;" "&amp;INDEX('設定'!$I$11:$I$34,AN3),"")</f>
        <v/>
      </c>
      <c r="AO8">
        <f>IF(AO4=1,INDEX('設定'!$E$11:$E$20,AO2)&amp;" "&amp;INDEX('設定'!$I$11:$I$34,AO3),"")</f>
        <v/>
      </c>
      <c r="AP8">
        <f>IF(AP4=1,INDEX('設定'!$E$11:$E$20,AP2)&amp;" "&amp;INDEX('設定'!$I$11:$I$34,AP3),"")</f>
        <v/>
      </c>
      <c r="AQ8">
        <f>IF(AQ4=1,INDEX('設定'!$E$11:$E$20,AQ2)&amp;" "&amp;INDEX('設定'!$I$11:$I$34,AQ3),"")</f>
        <v/>
      </c>
      <c r="AR8">
        <f>IF(AR4=1,INDEX('設定'!$E$11:$E$20,AR2)&amp;" "&amp;INDEX('設定'!$I$11:$I$34,AR3),"")</f>
        <v/>
      </c>
      <c r="AS8">
        <f>IF(AS4=1,INDEX('設定'!$E$11:$E$20,AS2)&amp;" "&amp;INDEX('設定'!$I$11:$I$34,AS3),"")</f>
        <v/>
      </c>
      <c r="AT8">
        <f>IF(AT4=1,INDEX('設定'!$E$11:$E$20,AT2)&amp;" "&amp;INDEX('設定'!$I$11:$I$34,AT3),"")</f>
        <v/>
      </c>
      <c r="AU8">
        <f>IF(AU4=1,INDEX('設定'!$E$11:$E$20,AU2)&amp;" "&amp;INDEX('設定'!$I$11:$I$34,AU3),"")</f>
        <v/>
      </c>
      <c r="AV8">
        <f>IF(AV4=1,INDEX('設定'!$E$11:$E$20,AV2)&amp;" "&amp;INDEX('設定'!$I$11:$I$34,AV3),"")</f>
        <v/>
      </c>
      <c r="AW8">
        <f>IF(AW4=1,INDEX('設定'!$E$11:$E$20,AW2)&amp;" "&amp;INDEX('設定'!$I$11:$I$34,AW3),"")</f>
        <v/>
      </c>
      <c r="AX8">
        <f>IF(AX4=1,INDEX('設定'!$E$11:$E$20,AX2)&amp;" "&amp;INDEX('設定'!$I$11:$I$34,AX3),"")</f>
        <v/>
      </c>
      <c r="AY8">
        <f>IF(AY4=1,INDEX('設定'!$E$11:$E$20,AY2)&amp;" "&amp;INDEX('設定'!$I$11:$I$34,AY3),"")</f>
        <v/>
      </c>
      <c r="AZ8">
        <f>IF(AZ4=1,INDEX('設定'!$E$11:$E$20,AZ2)&amp;" "&amp;INDEX('設定'!$I$11:$I$34,AZ3),"")</f>
        <v/>
      </c>
      <c r="BA8">
        <f>IF(BA4=1,INDEX('設定'!$E$11:$E$20,BA2)&amp;" "&amp;INDEX('設定'!$I$11:$I$34,BA3),"")</f>
        <v/>
      </c>
      <c r="BB8">
        <f>IF(BB4=1,INDEX('設定'!$E$11:$E$20,BB2)&amp;" "&amp;INDEX('設定'!$I$11:$I$34,BB3),"")</f>
        <v/>
      </c>
      <c r="BC8">
        <f>IF(BC4=1,INDEX('設定'!$E$11:$E$20,BC2)&amp;" "&amp;INDEX('設定'!$I$11:$I$34,BC3),"")</f>
        <v/>
      </c>
      <c r="BD8">
        <f>IF(BD4=1,INDEX('設定'!$E$11:$E$20,BD2)&amp;" "&amp;INDEX('設定'!$I$11:$I$34,BD3),"")</f>
        <v/>
      </c>
      <c r="BE8">
        <f>IF(BE4=1,INDEX('設定'!$E$11:$E$20,BE2)&amp;" "&amp;INDEX('設定'!$I$11:$I$34,BE3),"")</f>
        <v/>
      </c>
      <c r="BF8">
        <f>IF(BF4=1,INDEX('設定'!$E$11:$E$20,BF2)&amp;" "&amp;INDEX('設定'!$I$11:$I$34,BF3),"")</f>
        <v/>
      </c>
      <c r="BG8">
        <f>IF(BG4=1,INDEX('設定'!$E$11:$E$20,BG2)&amp;" "&amp;INDEX('設定'!$I$11:$I$34,BG3),"")</f>
        <v/>
      </c>
      <c r="BH8">
        <f>IF(BH4=1,INDEX('設定'!$E$11:$E$20,BH2)&amp;" "&amp;INDEX('設定'!$I$11:$I$34,BH3),"")</f>
        <v/>
      </c>
      <c r="BI8">
        <f>IF(BI4=1,INDEX('設定'!$E$11:$E$20,BI2)&amp;" "&amp;INDEX('設定'!$I$11:$I$34,BI3),"")</f>
        <v/>
      </c>
      <c r="BJ8">
        <f>IF(BJ4=1,INDEX('設定'!$E$11:$E$20,BJ2)&amp;" "&amp;INDEX('設定'!$I$11:$I$34,BJ3),"")</f>
        <v/>
      </c>
      <c r="BK8">
        <f>IF(BK4=1,INDEX('設定'!$E$11:$E$20,BK2)&amp;" "&amp;INDEX('設定'!$I$11:$I$34,BK3),"")</f>
        <v/>
      </c>
      <c r="BL8">
        <f>IF(BL4=1,INDEX('設定'!$E$11:$E$20,BL2)&amp;" "&amp;INDEX('設定'!$I$11:$I$34,BL3),"")</f>
        <v/>
      </c>
      <c r="BM8">
        <f>IF(BM4=1,INDEX('設定'!$E$11:$E$20,BM2)&amp;" "&amp;INDEX('設定'!$I$11:$I$34,BM3),"")</f>
        <v/>
      </c>
      <c r="BN8">
        <f>IF(BN4=1,INDEX('設定'!$E$11:$E$20,BN2)&amp;" "&amp;INDEX('設定'!$I$11:$I$34,BN3),"")</f>
        <v/>
      </c>
      <c r="BO8">
        <f>IF(BO4=1,INDEX('設定'!$E$11:$E$20,BO2)&amp;" "&amp;INDEX('設定'!$I$11:$I$34,BO3),"")</f>
        <v/>
      </c>
      <c r="BP8">
        <f>IF(BP4=1,INDEX('設定'!$E$11:$E$20,BP2)&amp;" "&amp;INDEX('設定'!$I$11:$I$34,BP3),"")</f>
        <v/>
      </c>
      <c r="BQ8">
        <f>IF(BQ4=1,INDEX('設定'!$E$11:$E$20,BQ2)&amp;" "&amp;INDEX('設定'!$I$11:$I$34,BQ3),"")</f>
        <v/>
      </c>
      <c r="BR8">
        <f>IF(BR4=1,INDEX('設定'!$E$11:$E$20,BR2)&amp;" "&amp;INDEX('設定'!$I$11:$I$34,BR3),"")</f>
        <v/>
      </c>
      <c r="BS8">
        <f>IF(BS4=1,INDEX('設定'!$E$11:$E$20,BS2)&amp;" "&amp;INDEX('設定'!$I$11:$I$34,BS3),"")</f>
        <v/>
      </c>
      <c r="BT8">
        <f>IF(BT4=1,INDEX('設定'!$E$11:$E$20,BT2)&amp;" "&amp;INDEX('設定'!$I$11:$I$34,BT3),"")</f>
        <v/>
      </c>
      <c r="BU8">
        <f>IF(BU4=1,INDEX('設定'!$E$11:$E$20,BU2)&amp;" "&amp;INDEX('設定'!$I$11:$I$34,BU3),"")</f>
        <v/>
      </c>
      <c r="BV8">
        <f>IF(BV4=1,INDEX('設定'!$E$11:$E$20,BV2)&amp;" "&amp;INDEX('設定'!$I$11:$I$34,BV3),"")</f>
        <v/>
      </c>
      <c r="BW8">
        <f>IF(BW4=1,INDEX('設定'!$E$11:$E$20,BW2)&amp;" "&amp;INDEX('設定'!$I$11:$I$34,BW3),"")</f>
        <v/>
      </c>
      <c r="BX8">
        <f>IF(BX4=1,INDEX('設定'!$E$11:$E$20,BX2)&amp;" "&amp;INDEX('設定'!$I$11:$I$34,BX3),"")</f>
        <v/>
      </c>
      <c r="BY8">
        <f>IF(BY4=1,INDEX('設定'!$E$11:$E$20,BY2)&amp;" "&amp;INDEX('設定'!$I$11:$I$34,BY3),"")</f>
        <v/>
      </c>
      <c r="BZ8">
        <f>IF(BZ4=1,INDEX('設定'!$E$11:$E$20,BZ2)&amp;" "&amp;INDEX('設定'!$I$11:$I$34,BZ3),"")</f>
        <v/>
      </c>
      <c r="CA8">
        <f>IF(CA4=1,INDEX('設定'!$E$11:$E$20,CA2)&amp;" "&amp;INDEX('設定'!$I$11:$I$34,CA3),"")</f>
        <v/>
      </c>
      <c r="CB8">
        <f>IF(CB4=1,INDEX('設定'!$E$11:$E$20,CB2)&amp;" "&amp;INDEX('設定'!$I$11:$I$34,CB3),"")</f>
        <v/>
      </c>
      <c r="CC8">
        <f>IF(CC4=1,INDEX('設定'!$E$11:$E$20,CC2)&amp;" "&amp;INDEX('設定'!$I$11:$I$34,CC3),"")</f>
        <v/>
      </c>
      <c r="CD8">
        <f>IF(CD4=1,INDEX('設定'!$E$11:$E$20,CD2)&amp;" "&amp;INDEX('設定'!$I$11:$I$34,CD3),"")</f>
        <v/>
      </c>
      <c r="CE8">
        <f>IF(CE4=1,INDEX('設定'!$E$11:$E$20,CE2)&amp;" "&amp;INDEX('設定'!$I$11:$I$34,CE3),"")</f>
        <v/>
      </c>
      <c r="CF8">
        <f>IF(CF4=1,INDEX('設定'!$E$11:$E$20,CF2)&amp;" "&amp;INDEX('設定'!$I$11:$I$34,CF3),"")</f>
        <v/>
      </c>
      <c r="CG8">
        <f>IF(CG4=1,INDEX('設定'!$E$11:$E$20,CG2)&amp;" "&amp;INDEX('設定'!$I$11:$I$34,CG3),"")</f>
        <v/>
      </c>
      <c r="CH8">
        <f>IF(CH4=1,INDEX('設定'!$E$11:$E$20,CH2)&amp;" "&amp;INDEX('設定'!$I$11:$I$34,CH3),"")</f>
        <v/>
      </c>
      <c r="CI8">
        <f>IF(CI4=1,INDEX('設定'!$E$11:$E$20,CI2)&amp;" "&amp;INDEX('設定'!$I$11:$I$34,CI3),"")</f>
        <v/>
      </c>
      <c r="CJ8">
        <f>IF(CJ4=1,INDEX('設定'!$E$11:$E$20,CJ2)&amp;" "&amp;INDEX('設定'!$I$11:$I$34,CJ3),"")</f>
        <v/>
      </c>
      <c r="CK8">
        <f>IF(CK4=1,INDEX('設定'!$E$11:$E$20,CK2)&amp;" "&amp;INDEX('設定'!$I$11:$I$34,CK3),"")</f>
        <v/>
      </c>
      <c r="CL8">
        <f>IF(CL4=1,INDEX('設定'!$E$11:$E$20,CL2)&amp;" "&amp;INDEX('設定'!$I$11:$I$34,CL3),"")</f>
        <v/>
      </c>
      <c r="CM8">
        <f>IF(CM4=1,INDEX('設定'!$E$11:$E$20,CM2)&amp;" "&amp;INDEX('設定'!$I$11:$I$34,CM3),"")</f>
        <v/>
      </c>
      <c r="CN8">
        <f>IF(CN4=1,INDEX('設定'!$E$11:$E$20,CN2)&amp;" "&amp;INDEX('設定'!$I$11:$I$34,CN3),"")</f>
        <v/>
      </c>
      <c r="CO8">
        <f>IF(CO4=1,INDEX('設定'!$E$11:$E$20,CO2)&amp;" "&amp;INDEX('設定'!$I$11:$I$34,CO3),"")</f>
        <v/>
      </c>
      <c r="CP8">
        <f>IF(CP4=1,INDEX('設定'!$E$11:$E$20,CP2)&amp;" "&amp;INDEX('設定'!$I$11:$I$34,CP3),"")</f>
        <v/>
      </c>
      <c r="CQ8">
        <f>IF(CQ4=1,INDEX('設定'!$E$11:$E$20,CQ2)&amp;" "&amp;INDEX('設定'!$I$11:$I$34,CQ3),"")</f>
        <v/>
      </c>
      <c r="CR8">
        <f>IF(CR4=1,INDEX('設定'!$E$11:$E$20,CR2)&amp;" "&amp;INDEX('設定'!$I$11:$I$34,CR3),"")</f>
        <v/>
      </c>
      <c r="CS8">
        <f>IF(CS4=1,INDEX('設定'!$E$11:$E$20,CS2)&amp;" "&amp;INDEX('設定'!$I$11:$I$34,CS3),"")</f>
        <v/>
      </c>
      <c r="CT8">
        <f>IF(CT4=1,INDEX('設定'!$E$11:$E$20,CT2)&amp;" "&amp;INDEX('設定'!$I$11:$I$34,CT3),"")</f>
        <v/>
      </c>
      <c r="CU8">
        <f>IF(CU4=1,INDEX('設定'!$E$11:$E$20,CU2)&amp;" "&amp;INDEX('設定'!$I$11:$I$34,CU3),"")</f>
        <v/>
      </c>
      <c r="CV8">
        <f>IF(CV4=1,INDEX('設定'!$E$11:$E$20,CV2)&amp;" "&amp;INDEX('設定'!$I$11:$I$34,CV3),"")</f>
        <v/>
      </c>
      <c r="CW8">
        <f>IF(CW4=1,INDEX('設定'!$E$11:$E$20,CW2)&amp;" "&amp;INDEX('設定'!$I$11:$I$34,CW3),"")</f>
        <v/>
      </c>
      <c r="CX8">
        <f>IF(CX4=1,INDEX('設定'!$E$11:$E$20,CX2)&amp;" "&amp;INDEX('設定'!$I$11:$I$34,CX3),"")</f>
        <v/>
      </c>
      <c r="CY8">
        <f>IF(CY4=1,INDEX('設定'!$E$11:$E$20,CY2)&amp;" "&amp;INDEX('設定'!$I$11:$I$34,CY3),"")</f>
        <v/>
      </c>
      <c r="CZ8">
        <f>IF(CZ4=1,INDEX('設定'!$E$11:$E$20,CZ2)&amp;" "&amp;INDEX('設定'!$I$11:$I$34,CZ3),"")</f>
        <v/>
      </c>
      <c r="DA8">
        <f>IF(DA4=1,INDEX('設定'!$E$11:$E$20,DA2)&amp;" "&amp;INDEX('設定'!$I$11:$I$34,DA3),"")</f>
        <v/>
      </c>
      <c r="DB8">
        <f>IF(DB4=1,INDEX('設定'!$E$11:$E$20,DB2)&amp;" "&amp;INDEX('設定'!$I$11:$I$34,DB3),"")</f>
        <v/>
      </c>
      <c r="DC8">
        <f>IF(DC4=1,INDEX('設定'!$E$11:$E$20,DC2)&amp;" "&amp;INDEX('設定'!$I$11:$I$34,DC3),"")</f>
        <v/>
      </c>
      <c r="DD8">
        <f>IF(DD4=1,INDEX('設定'!$E$11:$E$20,DD2)&amp;" "&amp;INDEX('設定'!$I$11:$I$34,DD3),"")</f>
        <v/>
      </c>
      <c r="DE8">
        <f>IF(DE4=1,INDEX('設定'!$E$11:$E$20,DE2)&amp;" "&amp;INDEX('設定'!$I$11:$I$34,DE3),"")</f>
        <v/>
      </c>
      <c r="DF8">
        <f>IF(DF4=1,INDEX('設定'!$E$11:$E$20,DF2)&amp;" "&amp;INDEX('設定'!$I$11:$I$34,DF3),"")</f>
        <v/>
      </c>
      <c r="DG8">
        <f>IF(DG4=1,INDEX('設定'!$E$11:$E$20,DG2)&amp;" "&amp;INDEX('設定'!$I$11:$I$34,DG3),"")</f>
        <v/>
      </c>
      <c r="DH8">
        <f>IF(DH4=1,INDEX('設定'!$E$11:$E$20,DH2)&amp;" "&amp;INDEX('設定'!$I$11:$I$34,DH3),"")</f>
        <v/>
      </c>
      <c r="DI8">
        <f>IF(DI4=1,INDEX('設定'!$E$11:$E$20,DI2)&amp;" "&amp;INDEX('設定'!$I$11:$I$34,DI3),"")</f>
        <v/>
      </c>
      <c r="DJ8">
        <f>IF(DJ4=1,INDEX('設定'!$E$11:$E$20,DJ2)&amp;" "&amp;INDEX('設定'!$I$11:$I$34,DJ3),"")</f>
        <v/>
      </c>
      <c r="DK8">
        <f>IF(DK4=1,INDEX('設定'!$E$11:$E$20,DK2)&amp;" "&amp;INDEX('設定'!$I$11:$I$34,DK3),"")</f>
        <v/>
      </c>
      <c r="DL8">
        <f>IF(DL4=1,INDEX('設定'!$E$11:$E$20,DL2)&amp;" "&amp;INDEX('設定'!$I$11:$I$34,DL3),"")</f>
        <v/>
      </c>
      <c r="DM8">
        <f>IF(DM4=1,INDEX('設定'!$E$11:$E$20,DM2)&amp;" "&amp;INDEX('設定'!$I$11:$I$34,DM3),"")</f>
        <v/>
      </c>
      <c r="DN8">
        <f>IF(DN4=1,INDEX('設定'!$E$11:$E$20,DN2)&amp;" "&amp;INDEX('設定'!$I$11:$I$34,DN3),"")</f>
        <v/>
      </c>
      <c r="DO8">
        <f>IF(DO4=1,INDEX('設定'!$E$11:$E$20,DO2)&amp;" "&amp;INDEX('設定'!$I$11:$I$34,DO3),"")</f>
        <v/>
      </c>
      <c r="DP8">
        <f>IF(DP4=1,INDEX('設定'!$E$11:$E$20,DP2)&amp;" "&amp;INDEX('設定'!$I$11:$I$34,DP3),"")</f>
        <v/>
      </c>
      <c r="DQ8">
        <f>IF(DQ4=1,INDEX('設定'!$E$11:$E$20,DQ2)&amp;" "&amp;INDEX('設定'!$I$11:$I$34,DQ3),"")</f>
        <v/>
      </c>
      <c r="DR8">
        <f>IF(DR4=1,INDEX('設定'!$E$11:$E$20,DR2)&amp;" "&amp;INDEX('設定'!$I$11:$I$34,DR3),"")</f>
        <v/>
      </c>
      <c r="DS8">
        <f>IF(DS4=1,INDEX('設定'!$E$11:$E$20,DS2)&amp;" "&amp;INDEX('設定'!$I$11:$I$34,DS3),"")</f>
        <v/>
      </c>
      <c r="DT8">
        <f>IF(DT4=1,INDEX('設定'!$E$11:$E$20,DT2)&amp;" "&amp;INDEX('設定'!$I$11:$I$34,DT3),"")</f>
        <v/>
      </c>
      <c r="DU8">
        <f>IF(DU4=1,INDEX('設定'!$E$11:$E$20,DU2)&amp;" "&amp;INDEX('設定'!$I$11:$I$34,DU3),"")</f>
        <v/>
      </c>
      <c r="DV8">
        <f>IF(DV4=1,INDEX('設定'!$E$11:$E$20,DV2)&amp;" "&amp;INDEX('設定'!$I$11:$I$34,DV3),"")</f>
        <v/>
      </c>
      <c r="DW8">
        <f>IF(DW4=1,INDEX('設定'!$E$11:$E$20,DW2)&amp;" "&amp;INDEX('設定'!$I$11:$I$34,DW3),"")</f>
        <v/>
      </c>
      <c r="DX8">
        <f>IF(DX4=1,INDEX('設定'!$E$11:$E$20,DX2)&amp;" "&amp;INDEX('設定'!$I$11:$I$34,DX3),"")</f>
        <v/>
      </c>
      <c r="DY8">
        <f>IF(DY4=1,INDEX('設定'!$E$11:$E$20,DY2)&amp;" "&amp;INDEX('設定'!$I$11:$I$34,DY3),"")</f>
        <v/>
      </c>
      <c r="DZ8">
        <f>IF(DZ4=1,INDEX('設定'!$E$11:$E$20,DZ2)&amp;" "&amp;INDEX('設定'!$I$11:$I$34,DZ3),"")</f>
        <v/>
      </c>
      <c r="EA8">
        <f>IF(EA4=1,INDEX('設定'!$E$11:$E$20,EA2)&amp;" "&amp;INDEX('設定'!$I$11:$I$34,EA3),"")</f>
        <v/>
      </c>
      <c r="EB8">
        <f>IF(EB4=1,INDEX('設定'!$E$11:$E$20,EB2)&amp;" "&amp;INDEX('設定'!$I$11:$I$34,EB3),"")</f>
        <v/>
      </c>
      <c r="EC8">
        <f>IF(EC4=1,INDEX('設定'!$E$11:$E$20,EC2)&amp;" "&amp;INDEX('設定'!$I$11:$I$34,EC3),"")</f>
        <v/>
      </c>
      <c r="ED8">
        <f>IF(ED4=1,INDEX('設定'!$E$11:$E$20,ED2)&amp;" "&amp;INDEX('設定'!$I$11:$I$34,ED3),"")</f>
        <v/>
      </c>
      <c r="EE8">
        <f>IF(EE4=1,INDEX('設定'!$E$11:$E$20,EE2)&amp;" "&amp;INDEX('設定'!$I$11:$I$34,EE3),"")</f>
        <v/>
      </c>
      <c r="EF8">
        <f>IF(EF4=1,INDEX('設定'!$E$11:$E$20,EF2)&amp;" "&amp;INDEX('設定'!$I$11:$I$34,EF3),"")</f>
        <v/>
      </c>
      <c r="EG8">
        <f>IF(EG4=1,INDEX('設定'!$E$11:$E$20,EG2)&amp;" "&amp;INDEX('設定'!$I$11:$I$34,EG3),"")</f>
        <v/>
      </c>
      <c r="EH8">
        <f>IF(EH4=1,INDEX('設定'!$E$11:$E$20,EH2)&amp;" "&amp;INDEX('設定'!$I$11:$I$34,EH3),"")</f>
        <v/>
      </c>
      <c r="EI8">
        <f>IF(EI4=1,INDEX('設定'!$E$11:$E$20,EI2)&amp;" "&amp;INDEX('設定'!$I$11:$I$34,EI3),"")</f>
        <v/>
      </c>
      <c r="EJ8">
        <f>IF(EJ4=1,INDEX('設定'!$E$11:$E$20,EJ2)&amp;" "&amp;INDEX('設定'!$I$11:$I$34,EJ3),"")</f>
        <v/>
      </c>
      <c r="EK8">
        <f>IF(EK4=1,INDEX('設定'!$E$11:$E$20,EK2)&amp;" "&amp;INDEX('設定'!$I$11:$I$34,EK3),"")</f>
        <v/>
      </c>
      <c r="EL8">
        <f>IF(EL4=1,INDEX('設定'!$E$11:$E$20,EL2)&amp;" "&amp;INDEX('設定'!$I$11:$I$34,EL3),"")</f>
        <v/>
      </c>
      <c r="EM8">
        <f>IF(EM4=1,INDEX('設定'!$E$11:$E$20,EM2)&amp;" "&amp;INDEX('設定'!$I$11:$I$34,EM3),"")</f>
        <v/>
      </c>
      <c r="EN8">
        <f>IF(EN4=1,INDEX('設定'!$E$11:$E$20,EN2)&amp;" "&amp;INDEX('設定'!$I$11:$I$34,EN3),"")</f>
        <v/>
      </c>
      <c r="EO8">
        <f>IF(EO4=1,INDEX('設定'!$E$11:$E$20,EO2)&amp;" "&amp;INDEX('設定'!$I$11:$I$34,EO3),"")</f>
        <v/>
      </c>
      <c r="EP8">
        <f>IF(EP4=1,INDEX('設定'!$E$11:$E$20,EP2)&amp;" "&amp;INDEX('設定'!$I$11:$I$34,EP3),"")</f>
        <v/>
      </c>
      <c r="EQ8">
        <f>IF(EQ4=1,INDEX('設定'!$E$11:$E$20,EQ2)&amp;" "&amp;INDEX('設定'!$I$11:$I$34,EQ3),"")</f>
        <v/>
      </c>
      <c r="ER8">
        <f>IF(ER4=1,INDEX('設定'!$E$11:$E$20,ER2)&amp;" "&amp;INDEX('設定'!$I$11:$I$34,ER3),"")</f>
        <v/>
      </c>
      <c r="ES8">
        <f>IF(ES4=1,INDEX('設定'!$E$11:$E$20,ES2)&amp;" "&amp;INDEX('設定'!$I$11:$I$34,ES3),"")</f>
        <v/>
      </c>
      <c r="ET8">
        <f>IF(ET4=1,INDEX('設定'!$E$11:$E$20,ET2)&amp;" "&amp;INDEX('設定'!$I$11:$I$34,ET3),"")</f>
        <v/>
      </c>
      <c r="EU8">
        <f>IF(EU4=1,INDEX('設定'!$E$11:$E$20,EU2)&amp;" "&amp;INDEX('設定'!$I$11:$I$34,EU3),"")</f>
        <v/>
      </c>
      <c r="EV8">
        <f>IF(EV4=1,INDEX('設定'!$E$11:$E$20,EV2)&amp;" "&amp;INDEX('設定'!$I$11:$I$34,EV3),"")</f>
        <v/>
      </c>
      <c r="EW8">
        <f>IF(EW4=1,INDEX('設定'!$E$11:$E$20,EW2)&amp;" "&amp;INDEX('設定'!$I$11:$I$34,EW3),"")</f>
        <v/>
      </c>
      <c r="EX8">
        <f>IF(EX4=1,INDEX('設定'!$E$11:$E$20,EX2)&amp;" "&amp;INDEX('設定'!$I$11:$I$34,EX3),"")</f>
        <v/>
      </c>
      <c r="EY8">
        <f>IF(EY4=1,INDEX('設定'!$E$11:$E$20,EY2)&amp;" "&amp;INDEX('設定'!$I$11:$I$34,EY3),"")</f>
        <v/>
      </c>
      <c r="EZ8">
        <f>IF(EZ4=1,INDEX('設定'!$E$11:$E$20,EZ2)&amp;" "&amp;INDEX('設定'!$I$11:$I$34,EZ3),"")</f>
        <v/>
      </c>
      <c r="FA8">
        <f>IF(FA4=1,INDEX('設定'!$E$11:$E$20,FA2)&amp;" "&amp;INDEX('設定'!$I$11:$I$34,FA3),"")</f>
        <v/>
      </c>
      <c r="FB8">
        <f>IF(FB4=1,INDEX('設定'!$E$11:$E$20,FB2)&amp;" "&amp;INDEX('設定'!$I$11:$I$34,FB3),"")</f>
        <v/>
      </c>
      <c r="FC8">
        <f>IF(FC4=1,INDEX('設定'!$E$11:$E$20,FC2)&amp;" "&amp;INDEX('設定'!$I$11:$I$34,FC3),"")</f>
        <v/>
      </c>
      <c r="FD8">
        <f>IF(FD4=1,INDEX('設定'!$E$11:$E$20,FD2)&amp;" "&amp;INDEX('設定'!$I$11:$I$34,FD3),"")</f>
        <v/>
      </c>
      <c r="FE8">
        <f>IF(FE4=1,INDEX('設定'!$E$11:$E$20,FE2)&amp;" "&amp;INDEX('設定'!$I$11:$I$34,FE3),"")</f>
        <v/>
      </c>
      <c r="FF8">
        <f>IF(FF4=1,INDEX('設定'!$E$11:$E$20,FF2)&amp;" "&amp;INDEX('設定'!$I$11:$I$34,FF3),"")</f>
        <v/>
      </c>
      <c r="FG8">
        <f>IF(FG4=1,INDEX('設定'!$E$11:$E$20,FG2)&amp;" "&amp;INDEX('設定'!$I$11:$I$34,FG3),"")</f>
        <v/>
      </c>
      <c r="FH8">
        <f>IF(FH4=1,INDEX('設定'!$E$11:$E$20,FH2)&amp;" "&amp;INDEX('設定'!$I$11:$I$34,FH3),"")</f>
        <v/>
      </c>
      <c r="FI8">
        <f>IF(FI4=1,INDEX('設定'!$E$11:$E$20,FI2)&amp;" "&amp;INDEX('設定'!$I$11:$I$34,FI3),"")</f>
        <v/>
      </c>
      <c r="FJ8">
        <f>IF(FJ4=1,INDEX('設定'!$E$11:$E$20,FJ2)&amp;" "&amp;INDEX('設定'!$I$11:$I$34,FJ3),"")</f>
        <v/>
      </c>
      <c r="FK8">
        <f>IF(FK4=1,INDEX('設定'!$E$11:$E$20,FK2)&amp;" "&amp;INDEX('設定'!$I$11:$I$34,FK3),"")</f>
        <v/>
      </c>
      <c r="FL8">
        <f>IF(FL4=1,INDEX('設定'!$E$11:$E$20,FL2)&amp;" "&amp;INDEX('設定'!$I$11:$I$34,FL3),"")</f>
        <v/>
      </c>
      <c r="FM8">
        <f>IF(FM4=1,INDEX('設定'!$E$11:$E$20,FM2)&amp;" "&amp;INDEX('設定'!$I$11:$I$34,FM3),"")</f>
        <v/>
      </c>
      <c r="FN8">
        <f>IF(FN4=1,INDEX('設定'!$E$11:$E$20,FN2)&amp;" "&amp;INDEX('設定'!$I$11:$I$34,FN3),"")</f>
        <v/>
      </c>
      <c r="FO8">
        <f>IF(FO4=1,INDEX('設定'!$E$11:$E$20,FO2)&amp;" "&amp;INDEX('設定'!$I$11:$I$34,FO3),"")</f>
        <v/>
      </c>
      <c r="FP8">
        <f>IF(FP4=1,INDEX('設定'!$E$11:$E$20,FP2)&amp;" "&amp;INDEX('設定'!$I$11:$I$34,FP3),"")</f>
        <v/>
      </c>
      <c r="FQ8">
        <f>IF(FQ4=1,INDEX('設定'!$E$11:$E$20,FQ2)&amp;" "&amp;INDEX('設定'!$I$11:$I$34,FQ3),"")</f>
        <v/>
      </c>
      <c r="FR8">
        <f>IF(FR4=1,INDEX('設定'!$E$11:$E$20,FR2)&amp;" "&amp;INDEX('設定'!$I$11:$I$34,FR3),"")</f>
        <v/>
      </c>
      <c r="FS8">
        <f>IF(FS4=1,INDEX('設定'!$E$11:$E$20,FS2)&amp;" "&amp;INDEX('設定'!$I$11:$I$34,FS3),"")</f>
        <v/>
      </c>
      <c r="FT8">
        <f>IF(FT4=1,INDEX('設定'!$E$11:$E$20,FT2)&amp;" "&amp;INDEX('設定'!$I$11:$I$34,FT3),"")</f>
        <v/>
      </c>
      <c r="FU8">
        <f>IF(FU4=1,INDEX('設定'!$E$11:$E$20,FU2)&amp;" "&amp;INDEX('設定'!$I$11:$I$34,FU3),"")</f>
        <v/>
      </c>
      <c r="FV8">
        <f>IF(FV4=1,INDEX('設定'!$E$11:$E$20,FV2)&amp;" "&amp;INDEX('設定'!$I$11:$I$34,FV3),"")</f>
        <v/>
      </c>
      <c r="FW8">
        <f>IF(FW4=1,INDEX('設定'!$E$11:$E$20,FW2)&amp;" "&amp;INDEX('設定'!$I$11:$I$34,FW3),"")</f>
        <v/>
      </c>
      <c r="FX8">
        <f>IF(FX4=1,INDEX('設定'!$E$11:$E$20,FX2)&amp;" "&amp;INDEX('設定'!$I$11:$I$34,FX3),"")</f>
        <v/>
      </c>
      <c r="FY8">
        <f>IF(FY4=1,INDEX('設定'!$E$11:$E$20,FY2)&amp;" "&amp;INDEX('設定'!$I$11:$I$34,FY3),"")</f>
        <v/>
      </c>
      <c r="FZ8">
        <f>IF(FZ4=1,INDEX('設定'!$E$11:$E$20,FZ2)&amp;" "&amp;INDEX('設定'!$I$11:$I$34,FZ3),"")</f>
        <v/>
      </c>
      <c r="GA8">
        <f>IF(GA4=1,INDEX('設定'!$E$11:$E$20,GA2)&amp;" "&amp;INDEX('設定'!$I$11:$I$34,GA3),"")</f>
        <v/>
      </c>
      <c r="GB8">
        <f>IF(GB4=1,INDEX('設定'!$E$11:$E$20,GB2)&amp;" "&amp;INDEX('設定'!$I$11:$I$34,GB3),"")</f>
        <v/>
      </c>
      <c r="GC8">
        <f>IF(GC4=1,INDEX('設定'!$E$11:$E$20,GC2)&amp;" "&amp;INDEX('設定'!$I$11:$I$34,GC3),"")</f>
        <v/>
      </c>
      <c r="GD8">
        <f>IF(GD4=1,INDEX('設定'!$E$11:$E$20,GD2)&amp;" "&amp;INDEX('設定'!$I$11:$I$34,GD3),"")</f>
        <v/>
      </c>
      <c r="GE8">
        <f>IF(GE4=1,INDEX('設定'!$E$11:$E$20,GE2)&amp;" "&amp;INDEX('設定'!$I$11:$I$34,GE3),"")</f>
        <v/>
      </c>
      <c r="GF8">
        <f>IF(GF4=1,INDEX('設定'!$E$11:$E$20,GF2)&amp;" "&amp;INDEX('設定'!$I$11:$I$34,GF3),"")</f>
        <v/>
      </c>
      <c r="GG8">
        <f>IF(GG4=1,INDEX('設定'!$E$11:$E$20,GG2)&amp;" "&amp;INDEX('設定'!$I$11:$I$34,GG3),"")</f>
        <v/>
      </c>
      <c r="GH8">
        <f>IF(GH4=1,INDEX('設定'!$E$11:$E$20,GH2)&amp;" "&amp;INDEX('設定'!$I$11:$I$34,GH3),"")</f>
        <v/>
      </c>
      <c r="GI8">
        <f>IF(GI4=1,INDEX('設定'!$E$11:$E$20,GI2)&amp;" "&amp;INDEX('設定'!$I$11:$I$34,GI3),"")</f>
        <v/>
      </c>
      <c r="GJ8">
        <f>IF(GJ4=1,INDEX('設定'!$E$11:$E$20,GJ2)&amp;" "&amp;INDEX('設定'!$I$11:$I$34,GJ3),"")</f>
        <v/>
      </c>
      <c r="GK8">
        <f>IF(GK4=1,INDEX('設定'!$E$11:$E$20,GK2)&amp;" "&amp;INDEX('設定'!$I$11:$I$34,GK3),"")</f>
        <v/>
      </c>
      <c r="GL8">
        <f>IF(GL4=1,INDEX('設定'!$E$11:$E$20,GL2)&amp;" "&amp;INDEX('設定'!$I$11:$I$34,GL3),"")</f>
        <v/>
      </c>
      <c r="GM8">
        <f>IF(GM4=1,INDEX('設定'!$E$11:$E$20,GM2)&amp;" "&amp;INDEX('設定'!$I$11:$I$34,GM3),"")</f>
        <v/>
      </c>
      <c r="GN8">
        <f>IF(GN4=1,INDEX('設定'!$E$11:$E$20,GN2)&amp;" "&amp;INDEX('設定'!$I$11:$I$34,GN3),"")</f>
        <v/>
      </c>
      <c r="GO8">
        <f>IF(GO4=1,INDEX('設定'!$E$11:$E$20,GO2)&amp;" "&amp;INDEX('設定'!$I$11:$I$34,GO3),"")</f>
        <v/>
      </c>
      <c r="GP8">
        <f>IF(GP4=1,INDEX('設定'!$E$11:$E$20,GP2)&amp;" "&amp;INDEX('設定'!$I$11:$I$34,GP3),"")</f>
        <v/>
      </c>
      <c r="GQ8">
        <f>IF(GQ4=1,INDEX('設定'!$E$11:$E$20,GQ2)&amp;" "&amp;INDEX('設定'!$I$11:$I$34,GQ3),"")</f>
        <v/>
      </c>
      <c r="GR8">
        <f>IF(GR4=1,INDEX('設定'!$E$11:$E$20,GR2)&amp;" "&amp;INDEX('設定'!$I$11:$I$34,GR3),"")</f>
        <v/>
      </c>
      <c r="GS8">
        <f>IF(GS4=1,INDEX('設定'!$E$11:$E$20,GS2)&amp;" "&amp;INDEX('設定'!$I$11:$I$34,GS3),"")</f>
        <v/>
      </c>
      <c r="GT8">
        <f>IF(GT4=1,INDEX('設定'!$E$11:$E$20,GT2)&amp;" "&amp;INDEX('設定'!$I$11:$I$34,GT3),"")</f>
        <v/>
      </c>
      <c r="GU8">
        <f>IF(GU4=1,INDEX('設定'!$E$11:$E$20,GU2)&amp;" "&amp;INDEX('設定'!$I$11:$I$34,GU3),"")</f>
        <v/>
      </c>
      <c r="GV8">
        <f>IF(GV4=1,INDEX('設定'!$E$11:$E$20,GV2)&amp;" "&amp;INDEX('設定'!$I$11:$I$34,GV3),"")</f>
        <v/>
      </c>
      <c r="GW8">
        <f>IF(GW4=1,INDEX('設定'!$E$11:$E$20,GW2)&amp;" "&amp;INDEX('設定'!$I$11:$I$34,GW3),"")</f>
        <v/>
      </c>
      <c r="GX8">
        <f>IF(GX4=1,INDEX('設定'!$E$11:$E$20,GX2)&amp;" "&amp;INDEX('設定'!$I$11:$I$34,GX3),"")</f>
        <v/>
      </c>
      <c r="GY8">
        <f>IF(GY4=1,INDEX('設定'!$E$11:$E$20,GY2)&amp;" "&amp;INDEX('設定'!$I$11:$I$34,GY3),"")</f>
        <v/>
      </c>
      <c r="GZ8">
        <f>IF(GZ4=1,INDEX('設定'!$E$11:$E$20,GZ2)&amp;" "&amp;INDEX('設定'!$I$11:$I$34,GZ3),"")</f>
        <v/>
      </c>
      <c r="HA8">
        <f>IF(HA4=1,INDEX('設定'!$E$11:$E$20,HA2)&amp;" "&amp;INDEX('設定'!$I$11:$I$34,HA3),"")</f>
        <v/>
      </c>
      <c r="HB8">
        <f>IF(HB4=1,INDEX('設定'!$E$11:$E$20,HB2)&amp;" "&amp;INDEX('設定'!$I$11:$I$34,HB3),"")</f>
        <v/>
      </c>
      <c r="HC8">
        <f>IF(HC4=1,INDEX('設定'!$E$11:$E$20,HC2)&amp;" "&amp;INDEX('設定'!$I$11:$I$34,HC3),"")</f>
        <v/>
      </c>
      <c r="HD8">
        <f>IF(HD4=1,INDEX('設定'!$E$11:$E$20,HD2)&amp;" "&amp;INDEX('設定'!$I$11:$I$34,HD3),"")</f>
        <v/>
      </c>
      <c r="HE8">
        <f>IF(HE4=1,INDEX('設定'!$E$11:$E$20,HE2)&amp;" "&amp;INDEX('設定'!$I$11:$I$34,HE3),"")</f>
        <v/>
      </c>
      <c r="HF8">
        <f>IF(HF4=1,INDEX('設定'!$E$11:$E$20,HF2)&amp;" "&amp;INDEX('設定'!$I$11:$I$34,HF3),"")</f>
        <v/>
      </c>
      <c r="HG8">
        <f>IF(HG4=1,INDEX('設定'!$E$11:$E$20,HG2)&amp;" "&amp;INDEX('設定'!$I$11:$I$34,HG3),"")</f>
        <v/>
      </c>
      <c r="HH8">
        <f>IF(HH4=1,INDEX('設定'!$E$11:$E$20,HH2)&amp;" "&amp;INDEX('設定'!$I$11:$I$34,HH3),"")</f>
        <v/>
      </c>
      <c r="HI8">
        <f>IF(HI4=1,INDEX('設定'!$E$11:$E$20,HI2)&amp;" "&amp;INDEX('設定'!$I$11:$I$34,HI3),"")</f>
        <v/>
      </c>
      <c r="HJ8">
        <f>IF(HJ4=1,INDEX('設定'!$E$11:$E$20,HJ2)&amp;" "&amp;INDEX('設定'!$I$11:$I$34,HJ3),"")</f>
        <v/>
      </c>
      <c r="HK8">
        <f>IF(HK4=1,INDEX('設定'!$E$11:$E$20,HK2)&amp;" "&amp;INDEX('設定'!$I$11:$I$34,HK3),"")</f>
        <v/>
      </c>
      <c r="HL8">
        <f>IF(HL4=1,INDEX('設定'!$E$11:$E$20,HL2)&amp;" "&amp;INDEX('設定'!$I$11:$I$34,HL3),"")</f>
        <v/>
      </c>
      <c r="HM8">
        <f>IF(HM4=1,INDEX('設定'!$E$11:$E$20,HM2)&amp;" "&amp;INDEX('設定'!$I$11:$I$34,HM3),"")</f>
        <v/>
      </c>
      <c r="HN8">
        <f>IF(HN4=1,INDEX('設定'!$E$11:$E$20,HN2)&amp;" "&amp;INDEX('設定'!$I$11:$I$34,HN3),"")</f>
        <v/>
      </c>
      <c r="HO8">
        <f>IF(HO4=1,INDEX('設定'!$E$11:$E$20,HO2)&amp;" "&amp;INDEX('設定'!$I$11:$I$34,HO3),"")</f>
        <v/>
      </c>
      <c r="HP8">
        <f>IF(HP4=1,INDEX('設定'!$E$11:$E$20,HP2)&amp;" "&amp;INDEX('設定'!$I$11:$I$34,HP3),"")</f>
        <v/>
      </c>
      <c r="HQ8">
        <f>IF(HQ4=1,INDEX('設定'!$E$11:$E$20,HQ2)&amp;" "&amp;INDEX('設定'!$I$11:$I$34,HQ3),"")</f>
        <v/>
      </c>
      <c r="HR8">
        <f>IF(HR4=1,INDEX('設定'!$E$11:$E$20,HR2)&amp;" "&amp;INDEX('設定'!$I$11:$I$34,HR3),"")</f>
        <v/>
      </c>
      <c r="HS8">
        <f>IF(HS4=1,INDEX('設定'!$E$11:$E$20,HS2)&amp;" "&amp;INDEX('設定'!$I$11:$I$34,HS3),"")</f>
        <v/>
      </c>
      <c r="HT8">
        <f>IF(HT4=1,INDEX('設定'!$E$11:$E$20,HT2)&amp;" "&amp;INDEX('設定'!$I$11:$I$34,HT3),"")</f>
        <v/>
      </c>
      <c r="HU8">
        <f>IF(HU4=1,INDEX('設定'!$E$11:$E$20,HU2)&amp;" "&amp;INDEX('設定'!$I$11:$I$34,HU3),"")</f>
        <v/>
      </c>
      <c r="HV8">
        <f>IF(HV4=1,INDEX('設定'!$E$11:$E$20,HV2)&amp;" "&amp;INDEX('設定'!$I$11:$I$34,HV3),"")</f>
        <v/>
      </c>
      <c r="HW8">
        <f>IF(HW4=1,INDEX('設定'!$E$11:$E$20,HW2)&amp;" "&amp;INDEX('設定'!$I$11:$I$34,HW3),"")</f>
        <v/>
      </c>
      <c r="HX8">
        <f>IF(HX4=1,INDEX('設定'!$E$11:$E$20,HX2)&amp;" "&amp;INDEX('設定'!$I$11:$I$34,HX3),"")</f>
        <v/>
      </c>
      <c r="HY8">
        <f>IF(HY4=1,INDEX('設定'!$E$11:$E$20,HY2)&amp;" "&amp;INDEX('設定'!$I$11:$I$34,HY3),"")</f>
        <v/>
      </c>
      <c r="HZ8">
        <f>IF(HZ4=1,INDEX('設定'!$E$11:$E$20,HZ2)&amp;" "&amp;INDEX('設定'!$I$11:$I$34,HZ3),"")</f>
        <v/>
      </c>
      <c r="IA8">
        <f>IF(IA4=1,INDEX('設定'!$E$11:$E$20,IA2)&amp;" "&amp;INDEX('設定'!$I$11:$I$34,IA3),"")</f>
        <v/>
      </c>
      <c r="IB8">
        <f>IF(IB4=1,INDEX('設定'!$E$11:$E$20,IB2)&amp;" "&amp;INDEX('設定'!$I$11:$I$34,IB3),"")</f>
        <v/>
      </c>
      <c r="IC8">
        <f>IF(IC4=1,INDEX('設定'!$E$11:$E$20,IC2)&amp;" "&amp;INDEX('設定'!$I$11:$I$34,IC3),"")</f>
        <v/>
      </c>
      <c r="ID8">
        <f>IF(ID4=1,INDEX('設定'!$E$11:$E$20,ID2)&amp;" "&amp;INDEX('設定'!$I$11:$I$34,ID3),"")</f>
        <v/>
      </c>
      <c r="IE8">
        <f>IF(IE4=1,INDEX('設定'!$E$11:$E$20,IE2)&amp;" "&amp;INDEX('設定'!$I$11:$I$34,IE3),"")</f>
        <v/>
      </c>
      <c r="IF8">
        <f>IF(IF4=1,INDEX('設定'!$E$11:$E$20,IF2)&amp;" "&amp;INDEX('設定'!$I$11:$I$34,IF3),"")</f>
        <v/>
      </c>
      <c r="IG8">
        <f>IF(IG4=1,INDEX('設定'!$E$11:$E$20,IG2)&amp;" "&amp;INDEX('設定'!$I$11:$I$34,IG3),"")</f>
        <v/>
      </c>
      <c r="IH8">
        <f>IF(IH4=1,INDEX('設定'!$E$11:$E$20,IH2)&amp;" "&amp;INDEX('設定'!$I$11:$I$34,IH3),"")</f>
        <v/>
      </c>
      <c r="II8">
        <f>IF(II4=1,INDEX('設定'!$E$11:$E$20,II2)&amp;" "&amp;INDEX('設定'!$I$11:$I$34,II3),"")</f>
        <v/>
      </c>
    </row>
    <row r="9">
      <c r="A9" t="inlineStr">
        <is>
          <t>i</t>
        </is>
      </c>
      <c r="B9" t="inlineStr">
        <is>
          <t>表示名</t>
        </is>
      </c>
      <c r="C9" t="inlineStr">
        <is>
          <t>自動の対象</t>
        </is>
      </c>
      <c r="IK9" t="inlineStr">
        <is>
          <t>自動案の枠</t>
        </is>
      </c>
      <c r="IL9" t="inlineStr">
        <is>
          <t>入らない</t>
        </is>
      </c>
      <c r="IM9" t="inlineStr">
        <is>
          <t>空き枠数</t>
        </is>
      </c>
      <c r="IN9" t="inlineStr">
        <is>
          <t>×の数</t>
        </is>
      </c>
      <c r="IO9" t="inlineStr">
        <is>
          <t>決定した枠</t>
        </is>
      </c>
      <c r="IP9" t="inlineStr">
        <is>
          <t>希望</t>
        </is>
      </c>
      <c r="IQ9" t="inlineStr">
        <is>
          <t>後ろ空け</t>
        </is>
      </c>
    </row>
    <row r="10">
      <c r="A10" t="n">
        <v>1</v>
      </c>
      <c r="B10">
        <f>'名簿'!G5</f>
        <v/>
      </c>
      <c r="C10">
        <f>IF(AND(B10&lt;&gt;"",OR('名簿'!H5="入力済み",'名簿'!H5="×なし"),IO10=0,COUNTIF('調整・決定'!$C$6:$L$29,B10)=0),1,0)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ER10">
        <f>IF(ER$4=1,IF(OR(INDEX('×入力'!$A$1:$L$1300,7+ER$3,2+ER$2)&lt;&gt;"",INDEX('×入力'!$A$1:$L$1300,6,2+ER$2)&lt;&gt;"",INDEX('×入力'!$A$1:$L$1300,7+ER$3,1)&lt;&gt;""),1,0),0)</f>
        <v/>
      </c>
      <c r="ES10">
        <f>IF(ES$4=1,IF(OR(INDEX('×入力'!$A$1:$L$1300,7+ES$3,2+ES$2)&lt;&gt;"",INDEX('×入力'!$A$1:$L$1300,6,2+ES$2)&lt;&gt;"",INDEX('×入力'!$A$1:$L$1300,7+ES$3,1)&lt;&gt;""),1,0),0)</f>
        <v/>
      </c>
      <c r="ET10">
        <f>IF(ET$4=1,IF(OR(INDEX('×入力'!$A$1:$L$1300,7+ET$3,2+ET$2)&lt;&gt;"",INDEX('×入力'!$A$1:$L$1300,6,2+ET$2)&lt;&gt;"",INDEX('×入力'!$A$1:$L$1300,7+ET$3,1)&lt;&gt;""),1,0),0)</f>
        <v/>
      </c>
      <c r="EU10">
        <f>IF(EU$4=1,IF(OR(INDEX('×入力'!$A$1:$L$1300,7+EU$3,2+EU$2)&lt;&gt;"",INDEX('×入力'!$A$1:$L$1300,6,2+EU$2)&lt;&gt;"",INDEX('×入力'!$A$1:$L$1300,7+EU$3,1)&lt;&gt;""),1,0),0)</f>
        <v/>
      </c>
      <c r="EV10">
        <f>IF(EV$4=1,IF(OR(INDEX('×入力'!$A$1:$L$1300,7+EV$3,2+EV$2)&lt;&gt;"",INDEX('×入力'!$A$1:$L$1300,6,2+EV$2)&lt;&gt;"",INDEX('×入力'!$A$1:$L$1300,7+EV$3,1)&lt;&gt;""),1,0),0)</f>
        <v/>
      </c>
      <c r="EW10">
        <f>IF(EW$4=1,IF(OR(INDEX('×入力'!$A$1:$L$1300,7+EW$3,2+EW$2)&lt;&gt;"",INDEX('×入力'!$A$1:$L$1300,6,2+EW$2)&lt;&gt;"",INDEX('×入力'!$A$1:$L$1300,7+EW$3,1)&lt;&gt;""),1,0),0)</f>
        <v/>
      </c>
      <c r="EX10">
        <f>IF(EX$4=1,IF(OR(INDEX('×入力'!$A$1:$L$1300,7+EX$3,2+EX$2)&lt;&gt;"",INDEX('×入力'!$A$1:$L$1300,6,2+EX$2)&lt;&gt;"",INDEX('×入力'!$A$1:$L$1300,7+EX$3,1)&lt;&gt;""),1,0),0)</f>
        <v/>
      </c>
      <c r="EY10">
        <f>IF(EY$4=1,IF(OR(INDEX('×入力'!$A$1:$L$1300,7+EY$3,2+EY$2)&lt;&gt;"",INDEX('×入力'!$A$1:$L$1300,6,2+EY$2)&lt;&gt;"",INDEX('×入力'!$A$1:$L$1300,7+EY$3,1)&lt;&gt;""),1,0),0)</f>
        <v/>
      </c>
      <c r="EZ10">
        <f>IF(EZ$4=1,IF(OR(INDEX('×入力'!$A$1:$L$1300,7+EZ$3,2+EZ$2)&lt;&gt;"",INDEX('×入力'!$A$1:$L$1300,6,2+EZ$2)&lt;&gt;"",INDEX('×入力'!$A$1:$L$1300,7+EZ$3,1)&lt;&gt;""),1,0),0)</f>
        <v/>
      </c>
      <c r="FA10">
        <f>IF(FA$4=1,IF(OR(INDEX('×入力'!$A$1:$L$1300,7+FA$3,2+FA$2)&lt;&gt;"",INDEX('×入力'!$A$1:$L$1300,6,2+FA$2)&lt;&gt;"",INDEX('×入力'!$A$1:$L$1300,7+FA$3,1)&lt;&gt;""),1,0),0)</f>
        <v/>
      </c>
      <c r="FB10">
        <f>IF(FB$4=1,IF(OR(INDEX('×入力'!$A$1:$L$1300,7+FB$3,2+FB$2)&lt;&gt;"",INDEX('×入力'!$A$1:$L$1300,6,2+FB$2)&lt;&gt;"",INDEX('×入力'!$A$1:$L$1300,7+FB$3,1)&lt;&gt;""),1,0),0)</f>
        <v/>
      </c>
      <c r="FC10">
        <f>IF(FC$4=1,IF(OR(INDEX('×入力'!$A$1:$L$1300,7+FC$3,2+FC$2)&lt;&gt;"",INDEX('×入力'!$A$1:$L$1300,6,2+FC$2)&lt;&gt;"",INDEX('×入力'!$A$1:$L$1300,7+FC$3,1)&lt;&gt;""),1,0),0)</f>
        <v/>
      </c>
      <c r="FD10">
        <f>IF(FD$4=1,IF(OR(INDEX('×入力'!$A$1:$L$1300,7+FD$3,2+FD$2)&lt;&gt;"",INDEX('×入力'!$A$1:$L$1300,6,2+FD$2)&lt;&gt;"",INDEX('×入力'!$A$1:$L$1300,7+FD$3,1)&lt;&gt;""),1,0),0)</f>
        <v/>
      </c>
      <c r="FE10">
        <f>IF(FE$4=1,IF(OR(INDEX('×入力'!$A$1:$L$1300,7+FE$3,2+FE$2)&lt;&gt;"",INDEX('×入力'!$A$1:$L$1300,6,2+FE$2)&lt;&gt;"",INDEX('×入力'!$A$1:$L$1300,7+FE$3,1)&lt;&gt;""),1,0),0)</f>
        <v/>
      </c>
      <c r="FF10">
        <f>IF(FF$4=1,IF(OR(INDEX('×入力'!$A$1:$L$1300,7+FF$3,2+FF$2)&lt;&gt;"",INDEX('×入力'!$A$1:$L$1300,6,2+FF$2)&lt;&gt;"",INDEX('×入力'!$A$1:$L$1300,7+FF$3,1)&lt;&gt;""),1,0),0)</f>
        <v/>
      </c>
      <c r="FG10">
        <f>IF(FG$4=1,IF(OR(INDEX('×入力'!$A$1:$L$1300,7+FG$3,2+FG$2)&lt;&gt;"",INDEX('×入力'!$A$1:$L$1300,6,2+FG$2)&lt;&gt;"",INDEX('×入力'!$A$1:$L$1300,7+FG$3,1)&lt;&gt;""),1,0),0)</f>
        <v/>
      </c>
      <c r="FH10">
        <f>IF(FH$4=1,IF(OR(INDEX('×入力'!$A$1:$L$1300,7+FH$3,2+FH$2)&lt;&gt;"",INDEX('×入力'!$A$1:$L$1300,6,2+FH$2)&lt;&gt;"",INDEX('×入力'!$A$1:$L$1300,7+FH$3,1)&lt;&gt;""),1,0),0)</f>
        <v/>
      </c>
      <c r="FI10">
        <f>IF(FI$4=1,IF(OR(INDEX('×入力'!$A$1:$L$1300,7+FI$3,2+FI$2)&lt;&gt;"",INDEX('×入力'!$A$1:$L$1300,6,2+FI$2)&lt;&gt;"",INDEX('×入力'!$A$1:$L$1300,7+FI$3,1)&lt;&gt;""),1,0),0)</f>
        <v/>
      </c>
      <c r="FJ10">
        <f>IF(FJ$4=1,IF(OR(INDEX('×入力'!$A$1:$L$1300,7+FJ$3,2+FJ$2)&lt;&gt;"",INDEX('×入力'!$A$1:$L$1300,6,2+FJ$2)&lt;&gt;"",INDEX('×入力'!$A$1:$L$1300,7+FJ$3,1)&lt;&gt;""),1,0),0)</f>
        <v/>
      </c>
      <c r="FK10">
        <f>IF(FK$4=1,IF(OR(INDEX('×入力'!$A$1:$L$1300,7+FK$3,2+FK$2)&lt;&gt;"",INDEX('×入力'!$A$1:$L$1300,6,2+FK$2)&lt;&gt;"",INDEX('×入力'!$A$1:$L$1300,7+FK$3,1)&lt;&gt;""),1,0),0)</f>
        <v/>
      </c>
      <c r="FL10">
        <f>IF(FL$4=1,IF(OR(INDEX('×入力'!$A$1:$L$1300,7+FL$3,2+FL$2)&lt;&gt;"",INDEX('×入力'!$A$1:$L$1300,6,2+FL$2)&lt;&gt;"",INDEX('×入力'!$A$1:$L$1300,7+FL$3,1)&lt;&gt;""),1,0),0)</f>
        <v/>
      </c>
      <c r="FM10">
        <f>IF(FM$4=1,IF(OR(INDEX('×入力'!$A$1:$L$1300,7+FM$3,2+FM$2)&lt;&gt;"",INDEX('×入力'!$A$1:$L$1300,6,2+FM$2)&lt;&gt;"",INDEX('×入力'!$A$1:$L$1300,7+FM$3,1)&lt;&gt;""),1,0),0)</f>
        <v/>
      </c>
      <c r="FN10">
        <f>IF(FN$4=1,IF(OR(INDEX('×入力'!$A$1:$L$1300,7+FN$3,2+FN$2)&lt;&gt;"",INDEX('×入力'!$A$1:$L$1300,6,2+FN$2)&lt;&gt;"",INDEX('×入力'!$A$1:$L$1300,7+FN$3,1)&lt;&gt;""),1,0),0)</f>
        <v/>
      </c>
      <c r="FO10">
        <f>IF(FO$4=1,IF(OR(INDEX('×入力'!$A$1:$L$1300,7+FO$3,2+FO$2)&lt;&gt;"",INDEX('×入力'!$A$1:$L$1300,6,2+FO$2)&lt;&gt;"",INDEX('×入力'!$A$1:$L$1300,7+FO$3,1)&lt;&gt;""),1,0),0)</f>
        <v/>
      </c>
      <c r="FP10">
        <f>IF(FP$4=1,IF(OR(INDEX('×入力'!$A$1:$L$1300,7+FP$3,2+FP$2)&lt;&gt;"",INDEX('×入力'!$A$1:$L$1300,6,2+FP$2)&lt;&gt;"",INDEX('×入力'!$A$1:$L$1300,7+FP$3,1)&lt;&gt;""),1,0),0)</f>
        <v/>
      </c>
      <c r="FQ10">
        <f>IF(FQ$4=1,IF(OR(INDEX('×入力'!$A$1:$L$1300,7+FQ$3,2+FQ$2)&lt;&gt;"",INDEX('×入力'!$A$1:$L$1300,6,2+FQ$2)&lt;&gt;"",INDEX('×入力'!$A$1:$L$1300,7+FQ$3,1)&lt;&gt;""),1,0),0)</f>
        <v/>
      </c>
      <c r="FR10">
        <f>IF(FR$4=1,IF(OR(INDEX('×入力'!$A$1:$L$1300,7+FR$3,2+FR$2)&lt;&gt;"",INDEX('×入力'!$A$1:$L$1300,6,2+FR$2)&lt;&gt;"",INDEX('×入力'!$A$1:$L$1300,7+FR$3,1)&lt;&gt;""),1,0),0)</f>
        <v/>
      </c>
      <c r="FS10">
        <f>IF(FS$4=1,IF(OR(INDEX('×入力'!$A$1:$L$1300,7+FS$3,2+FS$2)&lt;&gt;"",INDEX('×入力'!$A$1:$L$1300,6,2+FS$2)&lt;&gt;"",INDEX('×入力'!$A$1:$L$1300,7+FS$3,1)&lt;&gt;""),1,0),0)</f>
        <v/>
      </c>
      <c r="FT10">
        <f>IF(FT$4=1,IF(OR(INDEX('×入力'!$A$1:$L$1300,7+FT$3,2+FT$2)&lt;&gt;"",INDEX('×入力'!$A$1:$L$1300,6,2+FT$2)&lt;&gt;"",INDEX('×入力'!$A$1:$L$1300,7+FT$3,1)&lt;&gt;""),1,0),0)</f>
        <v/>
      </c>
      <c r="FU10">
        <f>IF(FU$4=1,IF(OR(INDEX('×入力'!$A$1:$L$1300,7+FU$3,2+FU$2)&lt;&gt;"",INDEX('×入力'!$A$1:$L$1300,6,2+FU$2)&lt;&gt;"",INDEX('×入力'!$A$1:$L$1300,7+FU$3,1)&lt;&gt;""),1,0),0)</f>
        <v/>
      </c>
      <c r="FV10">
        <f>IF(FV$4=1,IF(OR(INDEX('×入力'!$A$1:$L$1300,7+FV$3,2+FV$2)&lt;&gt;"",INDEX('×入力'!$A$1:$L$1300,6,2+FV$2)&lt;&gt;"",INDEX('×入力'!$A$1:$L$1300,7+FV$3,1)&lt;&gt;""),1,0),0)</f>
        <v/>
      </c>
      <c r="FW10">
        <f>IF(FW$4=1,IF(OR(INDEX('×入力'!$A$1:$L$1300,7+FW$3,2+FW$2)&lt;&gt;"",INDEX('×入力'!$A$1:$L$1300,6,2+FW$2)&lt;&gt;"",INDEX('×入力'!$A$1:$L$1300,7+FW$3,1)&lt;&gt;""),1,0),0)</f>
        <v/>
      </c>
      <c r="FX10">
        <f>IF(FX$4=1,IF(OR(INDEX('×入力'!$A$1:$L$1300,7+FX$3,2+FX$2)&lt;&gt;"",INDEX('×入力'!$A$1:$L$1300,6,2+FX$2)&lt;&gt;"",INDEX('×入力'!$A$1:$L$1300,7+FX$3,1)&lt;&gt;""),1,0),0)</f>
        <v/>
      </c>
      <c r="FY10">
        <f>IF(FY$4=1,IF(OR(INDEX('×入力'!$A$1:$L$1300,7+FY$3,2+FY$2)&lt;&gt;"",INDEX('×入力'!$A$1:$L$1300,6,2+FY$2)&lt;&gt;"",INDEX('×入力'!$A$1:$L$1300,7+FY$3,1)&lt;&gt;""),1,0),0)</f>
        <v/>
      </c>
      <c r="FZ10">
        <f>IF(FZ$4=1,IF(OR(INDEX('×入力'!$A$1:$L$1300,7+FZ$3,2+FZ$2)&lt;&gt;"",INDEX('×入力'!$A$1:$L$1300,6,2+FZ$2)&lt;&gt;"",INDEX('×入力'!$A$1:$L$1300,7+FZ$3,1)&lt;&gt;""),1,0),0)</f>
        <v/>
      </c>
      <c r="GA10">
        <f>IF(GA$4=1,IF(OR(INDEX('×入力'!$A$1:$L$1300,7+GA$3,2+GA$2)&lt;&gt;"",INDEX('×入力'!$A$1:$L$1300,6,2+GA$2)&lt;&gt;"",INDEX('×入力'!$A$1:$L$1300,7+GA$3,1)&lt;&gt;""),1,0),0)</f>
        <v/>
      </c>
      <c r="GB10">
        <f>IF(GB$4=1,IF(OR(INDEX('×入力'!$A$1:$L$1300,7+GB$3,2+GB$2)&lt;&gt;"",INDEX('×入力'!$A$1:$L$1300,6,2+GB$2)&lt;&gt;"",INDEX('×入力'!$A$1:$L$1300,7+GB$3,1)&lt;&gt;""),1,0),0)</f>
        <v/>
      </c>
      <c r="GC10">
        <f>IF(GC$4=1,IF(OR(INDEX('×入力'!$A$1:$L$1300,7+GC$3,2+GC$2)&lt;&gt;"",INDEX('×入力'!$A$1:$L$1300,6,2+GC$2)&lt;&gt;"",INDEX('×入力'!$A$1:$L$1300,7+GC$3,1)&lt;&gt;""),1,0),0)</f>
        <v/>
      </c>
      <c r="GD10">
        <f>IF(GD$4=1,IF(OR(INDEX('×入力'!$A$1:$L$1300,7+GD$3,2+GD$2)&lt;&gt;"",INDEX('×入力'!$A$1:$L$1300,6,2+GD$2)&lt;&gt;"",INDEX('×入力'!$A$1:$L$1300,7+GD$3,1)&lt;&gt;""),1,0),0)</f>
        <v/>
      </c>
      <c r="GE10">
        <f>IF(GE$4=1,IF(OR(INDEX('×入力'!$A$1:$L$1300,7+GE$3,2+GE$2)&lt;&gt;"",INDEX('×入力'!$A$1:$L$1300,6,2+GE$2)&lt;&gt;"",INDEX('×入力'!$A$1:$L$1300,7+GE$3,1)&lt;&gt;""),1,0),0)</f>
        <v/>
      </c>
      <c r="GF10">
        <f>IF(GF$4=1,IF(OR(INDEX('×入力'!$A$1:$L$1300,7+GF$3,2+GF$2)&lt;&gt;"",INDEX('×入力'!$A$1:$L$1300,6,2+GF$2)&lt;&gt;"",INDEX('×入力'!$A$1:$L$1300,7+GF$3,1)&lt;&gt;""),1,0),0)</f>
        <v/>
      </c>
      <c r="GG10">
        <f>IF(GG$4=1,IF(OR(INDEX('×入力'!$A$1:$L$1300,7+GG$3,2+GG$2)&lt;&gt;"",INDEX('×入力'!$A$1:$L$1300,6,2+GG$2)&lt;&gt;"",INDEX('×入力'!$A$1:$L$1300,7+GG$3,1)&lt;&gt;""),1,0),0)</f>
        <v/>
      </c>
      <c r="GH10">
        <f>IF(GH$4=1,IF(OR(INDEX('×入力'!$A$1:$L$1300,7+GH$3,2+GH$2)&lt;&gt;"",INDEX('×入力'!$A$1:$L$1300,6,2+GH$2)&lt;&gt;"",INDEX('×入力'!$A$1:$L$1300,7+GH$3,1)&lt;&gt;""),1,0),0)</f>
        <v/>
      </c>
      <c r="GI10">
        <f>IF(GI$4=1,IF(OR(INDEX('×入力'!$A$1:$L$1300,7+GI$3,2+GI$2)&lt;&gt;"",INDEX('×入力'!$A$1:$L$1300,6,2+GI$2)&lt;&gt;"",INDEX('×入力'!$A$1:$L$1300,7+GI$3,1)&lt;&gt;""),1,0),0)</f>
        <v/>
      </c>
      <c r="GJ10">
        <f>IF(GJ$4=1,IF(OR(INDEX('×入力'!$A$1:$L$1300,7+GJ$3,2+GJ$2)&lt;&gt;"",INDEX('×入力'!$A$1:$L$1300,6,2+GJ$2)&lt;&gt;"",INDEX('×入力'!$A$1:$L$1300,7+GJ$3,1)&lt;&gt;""),1,0),0)</f>
        <v/>
      </c>
      <c r="GK10">
        <f>IF(GK$4=1,IF(OR(INDEX('×入力'!$A$1:$L$1300,7+GK$3,2+GK$2)&lt;&gt;"",INDEX('×入力'!$A$1:$L$1300,6,2+GK$2)&lt;&gt;"",INDEX('×入力'!$A$1:$L$1300,7+GK$3,1)&lt;&gt;""),1,0),0)</f>
        <v/>
      </c>
      <c r="GL10">
        <f>IF(GL$4=1,IF(OR(INDEX('×入力'!$A$1:$L$1300,7+GL$3,2+GL$2)&lt;&gt;"",INDEX('×入力'!$A$1:$L$1300,6,2+GL$2)&lt;&gt;"",INDEX('×入力'!$A$1:$L$1300,7+GL$3,1)&lt;&gt;""),1,0),0)</f>
        <v/>
      </c>
      <c r="GM10">
        <f>IF(GM$4=1,IF(OR(INDEX('×入力'!$A$1:$L$1300,7+GM$3,2+GM$2)&lt;&gt;"",INDEX('×入力'!$A$1:$L$1300,6,2+GM$2)&lt;&gt;"",INDEX('×入力'!$A$1:$L$1300,7+GM$3,1)&lt;&gt;""),1,0),0)</f>
        <v/>
      </c>
      <c r="GN10">
        <f>IF(GN$4=1,IF(OR(INDEX('×入力'!$A$1:$L$1300,7+GN$3,2+GN$2)&lt;&gt;"",INDEX('×入力'!$A$1:$L$1300,6,2+GN$2)&lt;&gt;"",INDEX('×入力'!$A$1:$L$1300,7+GN$3,1)&lt;&gt;""),1,0),0)</f>
        <v/>
      </c>
      <c r="GO10">
        <f>IF(GO$4=1,IF(OR(INDEX('×入力'!$A$1:$L$1300,7+GO$3,2+GO$2)&lt;&gt;"",INDEX('×入力'!$A$1:$L$1300,6,2+GO$2)&lt;&gt;"",INDEX('×入力'!$A$1:$L$1300,7+GO$3,1)&lt;&gt;""),1,0),0)</f>
        <v/>
      </c>
      <c r="GP10">
        <f>IF(GP$4=1,IF(OR(INDEX('×入力'!$A$1:$L$1300,7+GP$3,2+GP$2)&lt;&gt;"",INDEX('×入力'!$A$1:$L$1300,6,2+GP$2)&lt;&gt;"",INDEX('×入力'!$A$1:$L$1300,7+GP$3,1)&lt;&gt;""),1,0),0)</f>
        <v/>
      </c>
      <c r="GQ10">
        <f>IF(GQ$4=1,IF(OR(INDEX('×入力'!$A$1:$L$1300,7+GQ$3,2+GQ$2)&lt;&gt;"",INDEX('×入力'!$A$1:$L$1300,6,2+GQ$2)&lt;&gt;"",INDEX('×入力'!$A$1:$L$1300,7+GQ$3,1)&lt;&gt;""),1,0),0)</f>
        <v/>
      </c>
      <c r="GR10">
        <f>IF(GR$4=1,IF(OR(INDEX('×入力'!$A$1:$L$1300,7+GR$3,2+GR$2)&lt;&gt;"",INDEX('×入力'!$A$1:$L$1300,6,2+GR$2)&lt;&gt;"",INDEX('×入力'!$A$1:$L$1300,7+GR$3,1)&lt;&gt;""),1,0),0)</f>
        <v/>
      </c>
      <c r="GS10">
        <f>IF(GS$4=1,IF(OR(INDEX('×入力'!$A$1:$L$1300,7+GS$3,2+GS$2)&lt;&gt;"",INDEX('×入力'!$A$1:$L$1300,6,2+GS$2)&lt;&gt;"",INDEX('×入力'!$A$1:$L$1300,7+GS$3,1)&lt;&gt;""),1,0),0)</f>
        <v/>
      </c>
      <c r="GT10">
        <f>IF(GT$4=1,IF(OR(INDEX('×入力'!$A$1:$L$1300,7+GT$3,2+GT$2)&lt;&gt;"",INDEX('×入力'!$A$1:$L$1300,6,2+GT$2)&lt;&gt;"",INDEX('×入力'!$A$1:$L$1300,7+GT$3,1)&lt;&gt;""),1,0),0)</f>
        <v/>
      </c>
      <c r="GU10">
        <f>IF(GU$4=1,IF(OR(INDEX('×入力'!$A$1:$L$1300,7+GU$3,2+GU$2)&lt;&gt;"",INDEX('×入力'!$A$1:$L$1300,6,2+GU$2)&lt;&gt;"",INDEX('×入力'!$A$1:$L$1300,7+GU$3,1)&lt;&gt;""),1,0),0)</f>
        <v/>
      </c>
      <c r="GV10">
        <f>IF(GV$4=1,IF(OR(INDEX('×入力'!$A$1:$L$1300,7+GV$3,2+GV$2)&lt;&gt;"",INDEX('×入力'!$A$1:$L$1300,6,2+GV$2)&lt;&gt;"",INDEX('×入力'!$A$1:$L$1300,7+GV$3,1)&lt;&gt;""),1,0),0)</f>
        <v/>
      </c>
      <c r="GW10">
        <f>IF(GW$4=1,IF(OR(INDEX('×入力'!$A$1:$L$1300,7+GW$3,2+GW$2)&lt;&gt;"",INDEX('×入力'!$A$1:$L$1300,6,2+GW$2)&lt;&gt;"",INDEX('×入力'!$A$1:$L$1300,7+GW$3,1)&lt;&gt;""),1,0),0)</f>
        <v/>
      </c>
      <c r="GX10">
        <f>IF(GX$4=1,IF(OR(INDEX('×入力'!$A$1:$L$1300,7+GX$3,2+GX$2)&lt;&gt;"",INDEX('×入力'!$A$1:$L$1300,6,2+GX$2)&lt;&gt;"",INDEX('×入力'!$A$1:$L$1300,7+GX$3,1)&lt;&gt;""),1,0),0)</f>
        <v/>
      </c>
      <c r="GY10">
        <f>IF(GY$4=1,IF(OR(INDEX('×入力'!$A$1:$L$1300,7+GY$3,2+GY$2)&lt;&gt;"",INDEX('×入力'!$A$1:$L$1300,6,2+GY$2)&lt;&gt;"",INDEX('×入力'!$A$1:$L$1300,7+GY$3,1)&lt;&gt;""),1,0),0)</f>
        <v/>
      </c>
      <c r="GZ10">
        <f>IF(GZ$4=1,IF(OR(INDEX('×入力'!$A$1:$L$1300,7+GZ$3,2+GZ$2)&lt;&gt;"",INDEX('×入力'!$A$1:$L$1300,6,2+GZ$2)&lt;&gt;"",INDEX('×入力'!$A$1:$L$1300,7+GZ$3,1)&lt;&gt;""),1,0),0)</f>
        <v/>
      </c>
      <c r="HA10">
        <f>IF(HA$4=1,IF(OR(INDEX('×入力'!$A$1:$L$1300,7+HA$3,2+HA$2)&lt;&gt;"",INDEX('×入力'!$A$1:$L$1300,6,2+HA$2)&lt;&gt;"",INDEX('×入力'!$A$1:$L$1300,7+HA$3,1)&lt;&gt;""),1,0),0)</f>
        <v/>
      </c>
      <c r="HB10">
        <f>IF(HB$4=1,IF(OR(INDEX('×入力'!$A$1:$L$1300,7+HB$3,2+HB$2)&lt;&gt;"",INDEX('×入力'!$A$1:$L$1300,6,2+HB$2)&lt;&gt;"",INDEX('×入力'!$A$1:$L$1300,7+HB$3,1)&lt;&gt;""),1,0),0)</f>
        <v/>
      </c>
      <c r="HC10">
        <f>IF(HC$4=1,IF(OR(INDEX('×入力'!$A$1:$L$1300,7+HC$3,2+HC$2)&lt;&gt;"",INDEX('×入力'!$A$1:$L$1300,6,2+HC$2)&lt;&gt;"",INDEX('×入力'!$A$1:$L$1300,7+HC$3,1)&lt;&gt;""),1,0),0)</f>
        <v/>
      </c>
      <c r="HD10">
        <f>IF(HD$4=1,IF(OR(INDEX('×入力'!$A$1:$L$1300,7+HD$3,2+HD$2)&lt;&gt;"",INDEX('×入力'!$A$1:$L$1300,6,2+HD$2)&lt;&gt;"",INDEX('×入力'!$A$1:$L$1300,7+HD$3,1)&lt;&gt;""),1,0),0)</f>
        <v/>
      </c>
      <c r="HE10">
        <f>IF(HE$4=1,IF(OR(INDEX('×入力'!$A$1:$L$1300,7+HE$3,2+HE$2)&lt;&gt;"",INDEX('×入力'!$A$1:$L$1300,6,2+HE$2)&lt;&gt;"",INDEX('×入力'!$A$1:$L$1300,7+HE$3,1)&lt;&gt;""),1,0),0)</f>
        <v/>
      </c>
      <c r="HF10">
        <f>IF(HF$4=1,IF(OR(INDEX('×入力'!$A$1:$L$1300,7+HF$3,2+HF$2)&lt;&gt;"",INDEX('×入力'!$A$1:$L$1300,6,2+HF$2)&lt;&gt;"",INDEX('×入力'!$A$1:$L$1300,7+HF$3,1)&lt;&gt;""),1,0),0)</f>
        <v/>
      </c>
      <c r="HG10">
        <f>IF(HG$4=1,IF(OR(INDEX('×入力'!$A$1:$L$1300,7+HG$3,2+HG$2)&lt;&gt;"",INDEX('×入力'!$A$1:$L$1300,6,2+HG$2)&lt;&gt;"",INDEX('×入力'!$A$1:$L$1300,7+HG$3,1)&lt;&gt;""),1,0),0)</f>
        <v/>
      </c>
      <c r="HH10">
        <f>IF(HH$4=1,IF(OR(INDEX('×入力'!$A$1:$L$1300,7+HH$3,2+HH$2)&lt;&gt;"",INDEX('×入力'!$A$1:$L$1300,6,2+HH$2)&lt;&gt;"",INDEX('×入力'!$A$1:$L$1300,7+HH$3,1)&lt;&gt;""),1,0),0)</f>
        <v/>
      </c>
      <c r="HI10">
        <f>IF(HI$4=1,IF(OR(INDEX('×入力'!$A$1:$L$1300,7+HI$3,2+HI$2)&lt;&gt;"",INDEX('×入力'!$A$1:$L$1300,6,2+HI$2)&lt;&gt;"",INDEX('×入力'!$A$1:$L$1300,7+HI$3,1)&lt;&gt;""),1,0),0)</f>
        <v/>
      </c>
      <c r="HJ10">
        <f>IF(HJ$4=1,IF(OR(INDEX('×入力'!$A$1:$L$1300,7+HJ$3,2+HJ$2)&lt;&gt;"",INDEX('×入力'!$A$1:$L$1300,6,2+HJ$2)&lt;&gt;"",INDEX('×入力'!$A$1:$L$1300,7+HJ$3,1)&lt;&gt;""),1,0),0)</f>
        <v/>
      </c>
      <c r="HK10">
        <f>IF(HK$4=1,IF(OR(INDEX('×入力'!$A$1:$L$1300,7+HK$3,2+HK$2)&lt;&gt;"",INDEX('×入力'!$A$1:$L$1300,6,2+HK$2)&lt;&gt;"",INDEX('×入力'!$A$1:$L$1300,7+HK$3,1)&lt;&gt;""),1,0),0)</f>
        <v/>
      </c>
      <c r="HL10">
        <f>IF(HL$4=1,IF(OR(INDEX('×入力'!$A$1:$L$1300,7+HL$3,2+HL$2)&lt;&gt;"",INDEX('×入力'!$A$1:$L$1300,6,2+HL$2)&lt;&gt;"",INDEX('×入力'!$A$1:$L$1300,7+HL$3,1)&lt;&gt;""),1,0),0)</f>
        <v/>
      </c>
      <c r="HM10">
        <f>IF(HM$4=1,IF(OR(INDEX('×入力'!$A$1:$L$1300,7+HM$3,2+HM$2)&lt;&gt;"",INDEX('×入力'!$A$1:$L$1300,6,2+HM$2)&lt;&gt;"",INDEX('×入力'!$A$1:$L$1300,7+HM$3,1)&lt;&gt;""),1,0),0)</f>
        <v/>
      </c>
      <c r="HN10">
        <f>IF(HN$4=1,IF(OR(INDEX('×入力'!$A$1:$L$1300,7+HN$3,2+HN$2)&lt;&gt;"",INDEX('×入力'!$A$1:$L$1300,6,2+HN$2)&lt;&gt;"",INDEX('×入力'!$A$1:$L$1300,7+HN$3,1)&lt;&gt;""),1,0),0)</f>
        <v/>
      </c>
      <c r="HO10">
        <f>IF(HO$4=1,IF(OR(INDEX('×入力'!$A$1:$L$1300,7+HO$3,2+HO$2)&lt;&gt;"",INDEX('×入力'!$A$1:$L$1300,6,2+HO$2)&lt;&gt;"",INDEX('×入力'!$A$1:$L$1300,7+HO$3,1)&lt;&gt;""),1,0),0)</f>
        <v/>
      </c>
      <c r="HP10">
        <f>IF(HP$4=1,IF(OR(INDEX('×入力'!$A$1:$L$1300,7+HP$3,2+HP$2)&lt;&gt;"",INDEX('×入力'!$A$1:$L$1300,6,2+HP$2)&lt;&gt;"",INDEX('×入力'!$A$1:$L$1300,7+HP$3,1)&lt;&gt;""),1,0),0)</f>
        <v/>
      </c>
      <c r="HQ10">
        <f>IF(HQ$4=1,IF(OR(INDEX('×入力'!$A$1:$L$1300,7+HQ$3,2+HQ$2)&lt;&gt;"",INDEX('×入力'!$A$1:$L$1300,6,2+HQ$2)&lt;&gt;"",INDEX('×入力'!$A$1:$L$1300,7+HQ$3,1)&lt;&gt;""),1,0),0)</f>
        <v/>
      </c>
      <c r="HR10">
        <f>IF(HR$4=1,IF(OR(INDEX('×入力'!$A$1:$L$1300,7+HR$3,2+HR$2)&lt;&gt;"",INDEX('×入力'!$A$1:$L$1300,6,2+HR$2)&lt;&gt;"",INDEX('×入力'!$A$1:$L$1300,7+HR$3,1)&lt;&gt;""),1,0),0)</f>
        <v/>
      </c>
      <c r="HS10">
        <f>IF(HS$4=1,IF(OR(INDEX('×入力'!$A$1:$L$1300,7+HS$3,2+HS$2)&lt;&gt;"",INDEX('×入力'!$A$1:$L$1300,6,2+HS$2)&lt;&gt;"",INDEX('×入力'!$A$1:$L$1300,7+HS$3,1)&lt;&gt;""),1,0),0)</f>
        <v/>
      </c>
      <c r="HT10">
        <f>IF(HT$4=1,IF(OR(INDEX('×入力'!$A$1:$L$1300,7+HT$3,2+HT$2)&lt;&gt;"",INDEX('×入力'!$A$1:$L$1300,6,2+HT$2)&lt;&gt;"",INDEX('×入力'!$A$1:$L$1300,7+HT$3,1)&lt;&gt;""),1,0),0)</f>
        <v/>
      </c>
      <c r="HU10">
        <f>IF(HU$4=1,IF(OR(INDEX('×入力'!$A$1:$L$1300,7+HU$3,2+HU$2)&lt;&gt;"",INDEX('×入力'!$A$1:$L$1300,6,2+HU$2)&lt;&gt;"",INDEX('×入力'!$A$1:$L$1300,7+HU$3,1)&lt;&gt;""),1,0),0)</f>
        <v/>
      </c>
      <c r="HV10">
        <f>IF(HV$4=1,IF(OR(INDEX('×入力'!$A$1:$L$1300,7+HV$3,2+HV$2)&lt;&gt;"",INDEX('×入力'!$A$1:$L$1300,6,2+HV$2)&lt;&gt;"",INDEX('×入力'!$A$1:$L$1300,7+HV$3,1)&lt;&gt;""),1,0),0)</f>
        <v/>
      </c>
      <c r="HW10">
        <f>IF(HW$4=1,IF(OR(INDEX('×入力'!$A$1:$L$1300,7+HW$3,2+HW$2)&lt;&gt;"",INDEX('×入力'!$A$1:$L$1300,6,2+HW$2)&lt;&gt;"",INDEX('×入力'!$A$1:$L$1300,7+HW$3,1)&lt;&gt;""),1,0),0)</f>
        <v/>
      </c>
      <c r="HX10">
        <f>IF(HX$4=1,IF(OR(INDEX('×入力'!$A$1:$L$1300,7+HX$3,2+HX$2)&lt;&gt;"",INDEX('×入力'!$A$1:$L$1300,6,2+HX$2)&lt;&gt;"",INDEX('×入力'!$A$1:$L$1300,7+HX$3,1)&lt;&gt;""),1,0),0)</f>
        <v/>
      </c>
      <c r="HY10">
        <f>IF(HY$4=1,IF(OR(INDEX('×入力'!$A$1:$L$1300,7+HY$3,2+HY$2)&lt;&gt;"",INDEX('×入力'!$A$1:$L$1300,6,2+HY$2)&lt;&gt;"",INDEX('×入力'!$A$1:$L$1300,7+HY$3,1)&lt;&gt;""),1,0),0)</f>
        <v/>
      </c>
      <c r="HZ10">
        <f>IF(HZ$4=1,IF(OR(INDEX('×入力'!$A$1:$L$1300,7+HZ$3,2+HZ$2)&lt;&gt;"",INDEX('×入力'!$A$1:$L$1300,6,2+HZ$2)&lt;&gt;"",INDEX('×入力'!$A$1:$L$1300,7+HZ$3,1)&lt;&gt;""),1,0),0)</f>
        <v/>
      </c>
      <c r="IA10">
        <f>IF(IA$4=1,IF(OR(INDEX('×入力'!$A$1:$L$1300,7+IA$3,2+IA$2)&lt;&gt;"",INDEX('×入力'!$A$1:$L$1300,6,2+IA$2)&lt;&gt;"",INDEX('×入力'!$A$1:$L$1300,7+IA$3,1)&lt;&gt;""),1,0),0)</f>
        <v/>
      </c>
      <c r="IB10">
        <f>IF(IB$4=1,IF(OR(INDEX('×入力'!$A$1:$L$1300,7+IB$3,2+IB$2)&lt;&gt;"",INDEX('×入力'!$A$1:$L$1300,6,2+IB$2)&lt;&gt;"",INDEX('×入力'!$A$1:$L$1300,7+IB$3,1)&lt;&gt;""),1,0),0)</f>
        <v/>
      </c>
      <c r="IC10">
        <f>IF(IC$4=1,IF(OR(INDEX('×入力'!$A$1:$L$1300,7+IC$3,2+IC$2)&lt;&gt;"",INDEX('×入力'!$A$1:$L$1300,6,2+IC$2)&lt;&gt;"",INDEX('×入力'!$A$1:$L$1300,7+IC$3,1)&lt;&gt;""),1,0),0)</f>
        <v/>
      </c>
      <c r="ID10">
        <f>IF(ID$4=1,IF(OR(INDEX('×入力'!$A$1:$L$1300,7+ID$3,2+ID$2)&lt;&gt;"",INDEX('×入力'!$A$1:$L$1300,6,2+ID$2)&lt;&gt;"",INDEX('×入力'!$A$1:$L$1300,7+ID$3,1)&lt;&gt;""),1,0),0)</f>
        <v/>
      </c>
      <c r="IE10">
        <f>IF(IE$4=1,IF(OR(INDEX('×入力'!$A$1:$L$1300,7+IE$3,2+IE$2)&lt;&gt;"",INDEX('×入力'!$A$1:$L$1300,6,2+IE$2)&lt;&gt;"",INDEX('×入力'!$A$1:$L$1300,7+IE$3,1)&lt;&gt;""),1,0),0)</f>
        <v/>
      </c>
      <c r="IF10">
        <f>IF(IF$4=1,IF(OR(INDEX('×入力'!$A$1:$L$1300,7+IF$3,2+IF$2)&lt;&gt;"",INDEX('×入力'!$A$1:$L$1300,6,2+IF$2)&lt;&gt;"",INDEX('×入力'!$A$1:$L$1300,7+IF$3,1)&lt;&gt;""),1,0),0)</f>
        <v/>
      </c>
      <c r="IG10">
        <f>IF(IG$4=1,IF(OR(INDEX('×入力'!$A$1:$L$1300,7+IG$3,2+IG$2)&lt;&gt;"",INDEX('×入力'!$A$1:$L$1300,6,2+IG$2)&lt;&gt;"",INDEX('×入力'!$A$1:$L$1300,7+IG$3,1)&lt;&gt;""),1,0),0)</f>
        <v/>
      </c>
      <c r="IH10">
        <f>IF(IH$4=1,IF(OR(INDEX('×入力'!$A$1:$L$1300,7+IH$3,2+IH$2)&lt;&gt;"",INDEX('×入力'!$A$1:$L$1300,6,2+IH$2)&lt;&gt;"",INDEX('×入力'!$A$1:$L$1300,7+IH$3,1)&lt;&gt;""),1,0),0)</f>
        <v/>
      </c>
      <c r="II10">
        <f>IF(II$4=1,IF(OR(INDEX('×入力'!$A$1:$L$1300,7+II$3,2+II$2)&lt;&gt;"",INDEX('×入力'!$A$1:$L$1300,6,2+II$2)&lt;&gt;"",INDEX('×入力'!$A$1:$L$1300,7+II$3,1)&lt;&gt;""),1,0),0)</f>
        <v/>
      </c>
      <c r="IK10">
        <f>IFERROR(INDEX('計算B'!$C$3:$C$47,MATCH(A10,'計算B'!$B$3:$B$47,0)),0)</f>
        <v/>
      </c>
      <c r="IL10">
        <f>IF(AND(C10=1,IK10=0),1,0)</f>
        <v/>
      </c>
      <c r="IM10">
        <f>SUMPRODUCT(D60:II60*(1-$D$7:$II$7))</f>
        <v/>
      </c>
      <c r="IN10">
        <f>SUM(D10:II10)</f>
        <v/>
      </c>
      <c r="IO10">
        <f>IF(B10="",0,IF(COUNTIF('調整・決定'!$C$6:$L$29,B10)=1,SUMPRODUCT(('調整・決定'!$C$6:$L$29=B10)*((COLUMN('調整・決定'!$C$6:$L$29)-3)*24+ROW('調整・決定'!$C$6:$L$29)-5)),0))</f>
        <v/>
      </c>
      <c r="IP10">
        <f>IFERROR(MATCH('名簿'!E5,{"早い時刻","遅い時刻","早い日","遅い日"},0),0)</f>
        <v/>
      </c>
      <c r="IQ10">
        <f>IF('名簿'!F5="必ず空けたい",2,IF('名簿'!F5="出来れば空けたい",1,0))</f>
        <v/>
      </c>
    </row>
    <row r="11">
      <c r="A11" t="n">
        <v>2</v>
      </c>
      <c r="B11">
        <f>'名簿'!G6</f>
        <v/>
      </c>
      <c r="C11">
        <f>IF(AND(B11&lt;&gt;"",OR('名簿'!H6="入力済み",'名簿'!H6="×なし"),IO11=0,COUNTIF('調整・決定'!$C$6:$L$29,B11)=0),1,0)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ER11">
        <f>IF(ER$4=1,IF(OR(INDEX('×入力'!$A$1:$L$1300,35+ER$3,2+ER$2)&lt;&gt;"",INDEX('×入力'!$A$1:$L$1300,34,2+ER$2)&lt;&gt;"",INDEX('×入力'!$A$1:$L$1300,35+ER$3,1)&lt;&gt;""),1,0),0)</f>
        <v/>
      </c>
      <c r="ES11">
        <f>IF(ES$4=1,IF(OR(INDEX('×入力'!$A$1:$L$1300,35+ES$3,2+ES$2)&lt;&gt;"",INDEX('×入力'!$A$1:$L$1300,34,2+ES$2)&lt;&gt;"",INDEX('×入力'!$A$1:$L$1300,35+ES$3,1)&lt;&gt;""),1,0),0)</f>
        <v/>
      </c>
      <c r="ET11">
        <f>IF(ET$4=1,IF(OR(INDEX('×入力'!$A$1:$L$1300,35+ET$3,2+ET$2)&lt;&gt;"",INDEX('×入力'!$A$1:$L$1300,34,2+ET$2)&lt;&gt;"",INDEX('×入力'!$A$1:$L$1300,35+ET$3,1)&lt;&gt;""),1,0),0)</f>
        <v/>
      </c>
      <c r="EU11">
        <f>IF(EU$4=1,IF(OR(INDEX('×入力'!$A$1:$L$1300,35+EU$3,2+EU$2)&lt;&gt;"",INDEX('×入力'!$A$1:$L$1300,34,2+EU$2)&lt;&gt;"",INDEX('×入力'!$A$1:$L$1300,35+EU$3,1)&lt;&gt;""),1,0),0)</f>
        <v/>
      </c>
      <c r="EV11">
        <f>IF(EV$4=1,IF(OR(INDEX('×入力'!$A$1:$L$1300,35+EV$3,2+EV$2)&lt;&gt;"",INDEX('×入力'!$A$1:$L$1300,34,2+EV$2)&lt;&gt;"",INDEX('×入力'!$A$1:$L$1300,35+EV$3,1)&lt;&gt;""),1,0),0)</f>
        <v/>
      </c>
      <c r="EW11">
        <f>IF(EW$4=1,IF(OR(INDEX('×入力'!$A$1:$L$1300,35+EW$3,2+EW$2)&lt;&gt;"",INDEX('×入力'!$A$1:$L$1300,34,2+EW$2)&lt;&gt;"",INDEX('×入力'!$A$1:$L$1300,35+EW$3,1)&lt;&gt;""),1,0),0)</f>
        <v/>
      </c>
      <c r="EX11">
        <f>IF(EX$4=1,IF(OR(INDEX('×入力'!$A$1:$L$1300,35+EX$3,2+EX$2)&lt;&gt;"",INDEX('×入力'!$A$1:$L$1300,34,2+EX$2)&lt;&gt;"",INDEX('×入力'!$A$1:$L$1300,35+EX$3,1)&lt;&gt;""),1,0),0)</f>
        <v/>
      </c>
      <c r="EY11">
        <f>IF(EY$4=1,IF(OR(INDEX('×入力'!$A$1:$L$1300,35+EY$3,2+EY$2)&lt;&gt;"",INDEX('×入力'!$A$1:$L$1300,34,2+EY$2)&lt;&gt;"",INDEX('×入力'!$A$1:$L$1300,35+EY$3,1)&lt;&gt;""),1,0),0)</f>
        <v/>
      </c>
      <c r="EZ11">
        <f>IF(EZ$4=1,IF(OR(INDEX('×入力'!$A$1:$L$1300,35+EZ$3,2+EZ$2)&lt;&gt;"",INDEX('×入力'!$A$1:$L$1300,34,2+EZ$2)&lt;&gt;"",INDEX('×入力'!$A$1:$L$1300,35+EZ$3,1)&lt;&gt;""),1,0),0)</f>
        <v/>
      </c>
      <c r="FA11">
        <f>IF(FA$4=1,IF(OR(INDEX('×入力'!$A$1:$L$1300,35+FA$3,2+FA$2)&lt;&gt;"",INDEX('×入力'!$A$1:$L$1300,34,2+FA$2)&lt;&gt;"",INDEX('×入力'!$A$1:$L$1300,35+FA$3,1)&lt;&gt;""),1,0),0)</f>
        <v/>
      </c>
      <c r="FB11">
        <f>IF(FB$4=1,IF(OR(INDEX('×入力'!$A$1:$L$1300,35+FB$3,2+FB$2)&lt;&gt;"",INDEX('×入力'!$A$1:$L$1300,34,2+FB$2)&lt;&gt;"",INDEX('×入力'!$A$1:$L$1300,35+FB$3,1)&lt;&gt;""),1,0),0)</f>
        <v/>
      </c>
      <c r="FC11">
        <f>IF(FC$4=1,IF(OR(INDEX('×入力'!$A$1:$L$1300,35+FC$3,2+FC$2)&lt;&gt;"",INDEX('×入力'!$A$1:$L$1300,34,2+FC$2)&lt;&gt;"",INDEX('×入力'!$A$1:$L$1300,35+FC$3,1)&lt;&gt;""),1,0),0)</f>
        <v/>
      </c>
      <c r="FD11">
        <f>IF(FD$4=1,IF(OR(INDEX('×入力'!$A$1:$L$1300,35+FD$3,2+FD$2)&lt;&gt;"",INDEX('×入力'!$A$1:$L$1300,34,2+FD$2)&lt;&gt;"",INDEX('×入力'!$A$1:$L$1300,35+FD$3,1)&lt;&gt;""),1,0),0)</f>
        <v/>
      </c>
      <c r="FE11">
        <f>IF(FE$4=1,IF(OR(INDEX('×入力'!$A$1:$L$1300,35+FE$3,2+FE$2)&lt;&gt;"",INDEX('×入力'!$A$1:$L$1300,34,2+FE$2)&lt;&gt;"",INDEX('×入力'!$A$1:$L$1300,35+FE$3,1)&lt;&gt;""),1,0),0)</f>
        <v/>
      </c>
      <c r="FF11">
        <f>IF(FF$4=1,IF(OR(INDEX('×入力'!$A$1:$L$1300,35+FF$3,2+FF$2)&lt;&gt;"",INDEX('×入力'!$A$1:$L$1300,34,2+FF$2)&lt;&gt;"",INDEX('×入力'!$A$1:$L$1300,35+FF$3,1)&lt;&gt;""),1,0),0)</f>
        <v/>
      </c>
      <c r="FG11">
        <f>IF(FG$4=1,IF(OR(INDEX('×入力'!$A$1:$L$1300,35+FG$3,2+FG$2)&lt;&gt;"",INDEX('×入力'!$A$1:$L$1300,34,2+FG$2)&lt;&gt;"",INDEX('×入力'!$A$1:$L$1300,35+FG$3,1)&lt;&gt;""),1,0),0)</f>
        <v/>
      </c>
      <c r="FH11">
        <f>IF(FH$4=1,IF(OR(INDEX('×入力'!$A$1:$L$1300,35+FH$3,2+FH$2)&lt;&gt;"",INDEX('×入力'!$A$1:$L$1300,34,2+FH$2)&lt;&gt;"",INDEX('×入力'!$A$1:$L$1300,35+FH$3,1)&lt;&gt;""),1,0),0)</f>
        <v/>
      </c>
      <c r="FI11">
        <f>IF(FI$4=1,IF(OR(INDEX('×入力'!$A$1:$L$1300,35+FI$3,2+FI$2)&lt;&gt;"",INDEX('×入力'!$A$1:$L$1300,34,2+FI$2)&lt;&gt;"",INDEX('×入力'!$A$1:$L$1300,35+FI$3,1)&lt;&gt;""),1,0),0)</f>
        <v/>
      </c>
      <c r="FJ11">
        <f>IF(FJ$4=1,IF(OR(INDEX('×入力'!$A$1:$L$1300,35+FJ$3,2+FJ$2)&lt;&gt;"",INDEX('×入力'!$A$1:$L$1300,34,2+FJ$2)&lt;&gt;"",INDEX('×入力'!$A$1:$L$1300,35+FJ$3,1)&lt;&gt;""),1,0),0)</f>
        <v/>
      </c>
      <c r="FK11">
        <f>IF(FK$4=1,IF(OR(INDEX('×入力'!$A$1:$L$1300,35+FK$3,2+FK$2)&lt;&gt;"",INDEX('×入力'!$A$1:$L$1300,34,2+FK$2)&lt;&gt;"",INDEX('×入力'!$A$1:$L$1300,35+FK$3,1)&lt;&gt;""),1,0),0)</f>
        <v/>
      </c>
      <c r="FL11">
        <f>IF(FL$4=1,IF(OR(INDEX('×入力'!$A$1:$L$1300,35+FL$3,2+FL$2)&lt;&gt;"",INDEX('×入力'!$A$1:$L$1300,34,2+FL$2)&lt;&gt;"",INDEX('×入力'!$A$1:$L$1300,35+FL$3,1)&lt;&gt;""),1,0),0)</f>
        <v/>
      </c>
      <c r="FM11">
        <f>IF(FM$4=1,IF(OR(INDEX('×入力'!$A$1:$L$1300,35+FM$3,2+FM$2)&lt;&gt;"",INDEX('×入力'!$A$1:$L$1300,34,2+FM$2)&lt;&gt;"",INDEX('×入力'!$A$1:$L$1300,35+FM$3,1)&lt;&gt;""),1,0),0)</f>
        <v/>
      </c>
      <c r="FN11">
        <f>IF(FN$4=1,IF(OR(INDEX('×入力'!$A$1:$L$1300,35+FN$3,2+FN$2)&lt;&gt;"",INDEX('×入力'!$A$1:$L$1300,34,2+FN$2)&lt;&gt;"",INDEX('×入力'!$A$1:$L$1300,35+FN$3,1)&lt;&gt;""),1,0),0)</f>
        <v/>
      </c>
      <c r="FO11">
        <f>IF(FO$4=1,IF(OR(INDEX('×入力'!$A$1:$L$1300,35+FO$3,2+FO$2)&lt;&gt;"",INDEX('×入力'!$A$1:$L$1300,34,2+FO$2)&lt;&gt;"",INDEX('×入力'!$A$1:$L$1300,35+FO$3,1)&lt;&gt;""),1,0),0)</f>
        <v/>
      </c>
      <c r="FP11">
        <f>IF(FP$4=1,IF(OR(INDEX('×入力'!$A$1:$L$1300,35+FP$3,2+FP$2)&lt;&gt;"",INDEX('×入力'!$A$1:$L$1300,34,2+FP$2)&lt;&gt;"",INDEX('×入力'!$A$1:$L$1300,35+FP$3,1)&lt;&gt;""),1,0),0)</f>
        <v/>
      </c>
      <c r="FQ11">
        <f>IF(FQ$4=1,IF(OR(INDEX('×入力'!$A$1:$L$1300,35+FQ$3,2+FQ$2)&lt;&gt;"",INDEX('×入力'!$A$1:$L$1300,34,2+FQ$2)&lt;&gt;"",INDEX('×入力'!$A$1:$L$1300,35+FQ$3,1)&lt;&gt;""),1,0),0)</f>
        <v/>
      </c>
      <c r="FR11">
        <f>IF(FR$4=1,IF(OR(INDEX('×入力'!$A$1:$L$1300,35+FR$3,2+FR$2)&lt;&gt;"",INDEX('×入力'!$A$1:$L$1300,34,2+FR$2)&lt;&gt;"",INDEX('×入力'!$A$1:$L$1300,35+FR$3,1)&lt;&gt;""),1,0),0)</f>
        <v/>
      </c>
      <c r="FS11">
        <f>IF(FS$4=1,IF(OR(INDEX('×入力'!$A$1:$L$1300,35+FS$3,2+FS$2)&lt;&gt;"",INDEX('×入力'!$A$1:$L$1300,34,2+FS$2)&lt;&gt;"",INDEX('×入力'!$A$1:$L$1300,35+FS$3,1)&lt;&gt;""),1,0),0)</f>
        <v/>
      </c>
      <c r="FT11">
        <f>IF(FT$4=1,IF(OR(INDEX('×入力'!$A$1:$L$1300,35+FT$3,2+FT$2)&lt;&gt;"",INDEX('×入力'!$A$1:$L$1300,34,2+FT$2)&lt;&gt;"",INDEX('×入力'!$A$1:$L$1300,35+FT$3,1)&lt;&gt;""),1,0),0)</f>
        <v/>
      </c>
      <c r="FU11">
        <f>IF(FU$4=1,IF(OR(INDEX('×入力'!$A$1:$L$1300,35+FU$3,2+FU$2)&lt;&gt;"",INDEX('×入力'!$A$1:$L$1300,34,2+FU$2)&lt;&gt;"",INDEX('×入力'!$A$1:$L$1300,35+FU$3,1)&lt;&gt;""),1,0),0)</f>
        <v/>
      </c>
      <c r="FV11">
        <f>IF(FV$4=1,IF(OR(INDEX('×入力'!$A$1:$L$1300,35+FV$3,2+FV$2)&lt;&gt;"",INDEX('×入力'!$A$1:$L$1300,34,2+FV$2)&lt;&gt;"",INDEX('×入力'!$A$1:$L$1300,35+FV$3,1)&lt;&gt;""),1,0),0)</f>
        <v/>
      </c>
      <c r="FW11">
        <f>IF(FW$4=1,IF(OR(INDEX('×入力'!$A$1:$L$1300,35+FW$3,2+FW$2)&lt;&gt;"",INDEX('×入力'!$A$1:$L$1300,34,2+FW$2)&lt;&gt;"",INDEX('×入力'!$A$1:$L$1300,35+FW$3,1)&lt;&gt;""),1,0),0)</f>
        <v/>
      </c>
      <c r="FX11">
        <f>IF(FX$4=1,IF(OR(INDEX('×入力'!$A$1:$L$1300,35+FX$3,2+FX$2)&lt;&gt;"",INDEX('×入力'!$A$1:$L$1300,34,2+FX$2)&lt;&gt;"",INDEX('×入力'!$A$1:$L$1300,35+FX$3,1)&lt;&gt;""),1,0),0)</f>
        <v/>
      </c>
      <c r="FY11">
        <f>IF(FY$4=1,IF(OR(INDEX('×入力'!$A$1:$L$1300,35+FY$3,2+FY$2)&lt;&gt;"",INDEX('×入力'!$A$1:$L$1300,34,2+FY$2)&lt;&gt;"",INDEX('×入力'!$A$1:$L$1300,35+FY$3,1)&lt;&gt;""),1,0),0)</f>
        <v/>
      </c>
      <c r="FZ11">
        <f>IF(FZ$4=1,IF(OR(INDEX('×入力'!$A$1:$L$1300,35+FZ$3,2+FZ$2)&lt;&gt;"",INDEX('×入力'!$A$1:$L$1300,34,2+FZ$2)&lt;&gt;"",INDEX('×入力'!$A$1:$L$1300,35+FZ$3,1)&lt;&gt;""),1,0),0)</f>
        <v/>
      </c>
      <c r="GA11">
        <f>IF(GA$4=1,IF(OR(INDEX('×入力'!$A$1:$L$1300,35+GA$3,2+GA$2)&lt;&gt;"",INDEX('×入力'!$A$1:$L$1300,34,2+GA$2)&lt;&gt;"",INDEX('×入力'!$A$1:$L$1300,35+GA$3,1)&lt;&gt;""),1,0),0)</f>
        <v/>
      </c>
      <c r="GB11">
        <f>IF(GB$4=1,IF(OR(INDEX('×入力'!$A$1:$L$1300,35+GB$3,2+GB$2)&lt;&gt;"",INDEX('×入力'!$A$1:$L$1300,34,2+GB$2)&lt;&gt;"",INDEX('×入力'!$A$1:$L$1300,35+GB$3,1)&lt;&gt;""),1,0),0)</f>
        <v/>
      </c>
      <c r="GC11">
        <f>IF(GC$4=1,IF(OR(INDEX('×入力'!$A$1:$L$1300,35+GC$3,2+GC$2)&lt;&gt;"",INDEX('×入力'!$A$1:$L$1300,34,2+GC$2)&lt;&gt;"",INDEX('×入力'!$A$1:$L$1300,35+GC$3,1)&lt;&gt;""),1,0),0)</f>
        <v/>
      </c>
      <c r="GD11">
        <f>IF(GD$4=1,IF(OR(INDEX('×入力'!$A$1:$L$1300,35+GD$3,2+GD$2)&lt;&gt;"",INDEX('×入力'!$A$1:$L$1300,34,2+GD$2)&lt;&gt;"",INDEX('×入力'!$A$1:$L$1300,35+GD$3,1)&lt;&gt;""),1,0),0)</f>
        <v/>
      </c>
      <c r="GE11">
        <f>IF(GE$4=1,IF(OR(INDEX('×入力'!$A$1:$L$1300,35+GE$3,2+GE$2)&lt;&gt;"",INDEX('×入力'!$A$1:$L$1300,34,2+GE$2)&lt;&gt;"",INDEX('×入力'!$A$1:$L$1300,35+GE$3,1)&lt;&gt;""),1,0),0)</f>
        <v/>
      </c>
      <c r="GF11">
        <f>IF(GF$4=1,IF(OR(INDEX('×入力'!$A$1:$L$1300,35+GF$3,2+GF$2)&lt;&gt;"",INDEX('×入力'!$A$1:$L$1300,34,2+GF$2)&lt;&gt;"",INDEX('×入力'!$A$1:$L$1300,35+GF$3,1)&lt;&gt;""),1,0),0)</f>
        <v/>
      </c>
      <c r="GG11">
        <f>IF(GG$4=1,IF(OR(INDEX('×入力'!$A$1:$L$1300,35+GG$3,2+GG$2)&lt;&gt;"",INDEX('×入力'!$A$1:$L$1300,34,2+GG$2)&lt;&gt;"",INDEX('×入力'!$A$1:$L$1300,35+GG$3,1)&lt;&gt;""),1,0),0)</f>
        <v/>
      </c>
      <c r="GH11">
        <f>IF(GH$4=1,IF(OR(INDEX('×入力'!$A$1:$L$1300,35+GH$3,2+GH$2)&lt;&gt;"",INDEX('×入力'!$A$1:$L$1300,34,2+GH$2)&lt;&gt;"",INDEX('×入力'!$A$1:$L$1300,35+GH$3,1)&lt;&gt;""),1,0),0)</f>
        <v/>
      </c>
      <c r="GI11">
        <f>IF(GI$4=1,IF(OR(INDEX('×入力'!$A$1:$L$1300,35+GI$3,2+GI$2)&lt;&gt;"",INDEX('×入力'!$A$1:$L$1300,34,2+GI$2)&lt;&gt;"",INDEX('×入力'!$A$1:$L$1300,35+GI$3,1)&lt;&gt;""),1,0),0)</f>
        <v/>
      </c>
      <c r="GJ11">
        <f>IF(GJ$4=1,IF(OR(INDEX('×入力'!$A$1:$L$1300,35+GJ$3,2+GJ$2)&lt;&gt;"",INDEX('×入力'!$A$1:$L$1300,34,2+GJ$2)&lt;&gt;"",INDEX('×入力'!$A$1:$L$1300,35+GJ$3,1)&lt;&gt;""),1,0),0)</f>
        <v/>
      </c>
      <c r="GK11">
        <f>IF(GK$4=1,IF(OR(INDEX('×入力'!$A$1:$L$1300,35+GK$3,2+GK$2)&lt;&gt;"",INDEX('×入力'!$A$1:$L$1300,34,2+GK$2)&lt;&gt;"",INDEX('×入力'!$A$1:$L$1300,35+GK$3,1)&lt;&gt;""),1,0),0)</f>
        <v/>
      </c>
      <c r="GL11">
        <f>IF(GL$4=1,IF(OR(INDEX('×入力'!$A$1:$L$1300,35+GL$3,2+GL$2)&lt;&gt;"",INDEX('×入力'!$A$1:$L$1300,34,2+GL$2)&lt;&gt;"",INDEX('×入力'!$A$1:$L$1300,35+GL$3,1)&lt;&gt;""),1,0),0)</f>
        <v/>
      </c>
      <c r="GM11">
        <f>IF(GM$4=1,IF(OR(INDEX('×入力'!$A$1:$L$1300,35+GM$3,2+GM$2)&lt;&gt;"",INDEX('×入力'!$A$1:$L$1300,34,2+GM$2)&lt;&gt;"",INDEX('×入力'!$A$1:$L$1300,35+GM$3,1)&lt;&gt;""),1,0),0)</f>
        <v/>
      </c>
      <c r="GN11">
        <f>IF(GN$4=1,IF(OR(INDEX('×入力'!$A$1:$L$1300,35+GN$3,2+GN$2)&lt;&gt;"",INDEX('×入力'!$A$1:$L$1300,34,2+GN$2)&lt;&gt;"",INDEX('×入力'!$A$1:$L$1300,35+GN$3,1)&lt;&gt;""),1,0),0)</f>
        <v/>
      </c>
      <c r="GO11">
        <f>IF(GO$4=1,IF(OR(INDEX('×入力'!$A$1:$L$1300,35+GO$3,2+GO$2)&lt;&gt;"",INDEX('×入力'!$A$1:$L$1300,34,2+GO$2)&lt;&gt;"",INDEX('×入力'!$A$1:$L$1300,35+GO$3,1)&lt;&gt;""),1,0),0)</f>
        <v/>
      </c>
      <c r="GP11">
        <f>IF(GP$4=1,IF(OR(INDEX('×入力'!$A$1:$L$1300,35+GP$3,2+GP$2)&lt;&gt;"",INDEX('×入力'!$A$1:$L$1300,34,2+GP$2)&lt;&gt;"",INDEX('×入力'!$A$1:$L$1300,35+GP$3,1)&lt;&gt;""),1,0),0)</f>
        <v/>
      </c>
      <c r="GQ11">
        <f>IF(GQ$4=1,IF(OR(INDEX('×入力'!$A$1:$L$1300,35+GQ$3,2+GQ$2)&lt;&gt;"",INDEX('×入力'!$A$1:$L$1300,34,2+GQ$2)&lt;&gt;"",INDEX('×入力'!$A$1:$L$1300,35+GQ$3,1)&lt;&gt;""),1,0),0)</f>
        <v/>
      </c>
      <c r="GR11">
        <f>IF(GR$4=1,IF(OR(INDEX('×入力'!$A$1:$L$1300,35+GR$3,2+GR$2)&lt;&gt;"",INDEX('×入力'!$A$1:$L$1300,34,2+GR$2)&lt;&gt;"",INDEX('×入力'!$A$1:$L$1300,35+GR$3,1)&lt;&gt;""),1,0),0)</f>
        <v/>
      </c>
      <c r="GS11">
        <f>IF(GS$4=1,IF(OR(INDEX('×入力'!$A$1:$L$1300,35+GS$3,2+GS$2)&lt;&gt;"",INDEX('×入力'!$A$1:$L$1300,34,2+GS$2)&lt;&gt;"",INDEX('×入力'!$A$1:$L$1300,35+GS$3,1)&lt;&gt;""),1,0),0)</f>
        <v/>
      </c>
      <c r="GT11">
        <f>IF(GT$4=1,IF(OR(INDEX('×入力'!$A$1:$L$1300,35+GT$3,2+GT$2)&lt;&gt;"",INDEX('×入力'!$A$1:$L$1300,34,2+GT$2)&lt;&gt;"",INDEX('×入力'!$A$1:$L$1300,35+GT$3,1)&lt;&gt;""),1,0),0)</f>
        <v/>
      </c>
      <c r="GU11">
        <f>IF(GU$4=1,IF(OR(INDEX('×入力'!$A$1:$L$1300,35+GU$3,2+GU$2)&lt;&gt;"",INDEX('×入力'!$A$1:$L$1300,34,2+GU$2)&lt;&gt;"",INDEX('×入力'!$A$1:$L$1300,35+GU$3,1)&lt;&gt;""),1,0),0)</f>
        <v/>
      </c>
      <c r="GV11">
        <f>IF(GV$4=1,IF(OR(INDEX('×入力'!$A$1:$L$1300,35+GV$3,2+GV$2)&lt;&gt;"",INDEX('×入力'!$A$1:$L$1300,34,2+GV$2)&lt;&gt;"",INDEX('×入力'!$A$1:$L$1300,35+GV$3,1)&lt;&gt;""),1,0),0)</f>
        <v/>
      </c>
      <c r="GW11">
        <f>IF(GW$4=1,IF(OR(INDEX('×入力'!$A$1:$L$1300,35+GW$3,2+GW$2)&lt;&gt;"",INDEX('×入力'!$A$1:$L$1300,34,2+GW$2)&lt;&gt;"",INDEX('×入力'!$A$1:$L$1300,35+GW$3,1)&lt;&gt;""),1,0),0)</f>
        <v/>
      </c>
      <c r="GX11">
        <f>IF(GX$4=1,IF(OR(INDEX('×入力'!$A$1:$L$1300,35+GX$3,2+GX$2)&lt;&gt;"",INDEX('×入力'!$A$1:$L$1300,34,2+GX$2)&lt;&gt;"",INDEX('×入力'!$A$1:$L$1300,35+GX$3,1)&lt;&gt;""),1,0),0)</f>
        <v/>
      </c>
      <c r="GY11">
        <f>IF(GY$4=1,IF(OR(INDEX('×入力'!$A$1:$L$1300,35+GY$3,2+GY$2)&lt;&gt;"",INDEX('×入力'!$A$1:$L$1300,34,2+GY$2)&lt;&gt;"",INDEX('×入力'!$A$1:$L$1300,35+GY$3,1)&lt;&gt;""),1,0),0)</f>
        <v/>
      </c>
      <c r="GZ11">
        <f>IF(GZ$4=1,IF(OR(INDEX('×入力'!$A$1:$L$1300,35+GZ$3,2+GZ$2)&lt;&gt;"",INDEX('×入力'!$A$1:$L$1300,34,2+GZ$2)&lt;&gt;"",INDEX('×入力'!$A$1:$L$1300,35+GZ$3,1)&lt;&gt;""),1,0),0)</f>
        <v/>
      </c>
      <c r="HA11">
        <f>IF(HA$4=1,IF(OR(INDEX('×入力'!$A$1:$L$1300,35+HA$3,2+HA$2)&lt;&gt;"",INDEX('×入力'!$A$1:$L$1300,34,2+HA$2)&lt;&gt;"",INDEX('×入力'!$A$1:$L$1300,35+HA$3,1)&lt;&gt;""),1,0),0)</f>
        <v/>
      </c>
      <c r="HB11">
        <f>IF(HB$4=1,IF(OR(INDEX('×入力'!$A$1:$L$1300,35+HB$3,2+HB$2)&lt;&gt;"",INDEX('×入力'!$A$1:$L$1300,34,2+HB$2)&lt;&gt;"",INDEX('×入力'!$A$1:$L$1300,35+HB$3,1)&lt;&gt;""),1,0),0)</f>
        <v/>
      </c>
      <c r="HC11">
        <f>IF(HC$4=1,IF(OR(INDEX('×入力'!$A$1:$L$1300,35+HC$3,2+HC$2)&lt;&gt;"",INDEX('×入力'!$A$1:$L$1300,34,2+HC$2)&lt;&gt;"",INDEX('×入力'!$A$1:$L$1300,35+HC$3,1)&lt;&gt;""),1,0),0)</f>
        <v/>
      </c>
      <c r="HD11">
        <f>IF(HD$4=1,IF(OR(INDEX('×入力'!$A$1:$L$1300,35+HD$3,2+HD$2)&lt;&gt;"",INDEX('×入力'!$A$1:$L$1300,34,2+HD$2)&lt;&gt;"",INDEX('×入力'!$A$1:$L$1300,35+HD$3,1)&lt;&gt;""),1,0),0)</f>
        <v/>
      </c>
      <c r="HE11">
        <f>IF(HE$4=1,IF(OR(INDEX('×入力'!$A$1:$L$1300,35+HE$3,2+HE$2)&lt;&gt;"",INDEX('×入力'!$A$1:$L$1300,34,2+HE$2)&lt;&gt;"",INDEX('×入力'!$A$1:$L$1300,35+HE$3,1)&lt;&gt;""),1,0),0)</f>
        <v/>
      </c>
      <c r="HF11">
        <f>IF(HF$4=1,IF(OR(INDEX('×入力'!$A$1:$L$1300,35+HF$3,2+HF$2)&lt;&gt;"",INDEX('×入力'!$A$1:$L$1300,34,2+HF$2)&lt;&gt;"",INDEX('×入力'!$A$1:$L$1300,35+HF$3,1)&lt;&gt;""),1,0),0)</f>
        <v/>
      </c>
      <c r="HG11">
        <f>IF(HG$4=1,IF(OR(INDEX('×入力'!$A$1:$L$1300,35+HG$3,2+HG$2)&lt;&gt;"",INDEX('×入力'!$A$1:$L$1300,34,2+HG$2)&lt;&gt;"",INDEX('×入力'!$A$1:$L$1300,35+HG$3,1)&lt;&gt;""),1,0),0)</f>
        <v/>
      </c>
      <c r="HH11">
        <f>IF(HH$4=1,IF(OR(INDEX('×入力'!$A$1:$L$1300,35+HH$3,2+HH$2)&lt;&gt;"",INDEX('×入力'!$A$1:$L$1300,34,2+HH$2)&lt;&gt;"",INDEX('×入力'!$A$1:$L$1300,35+HH$3,1)&lt;&gt;""),1,0),0)</f>
        <v/>
      </c>
      <c r="HI11">
        <f>IF(HI$4=1,IF(OR(INDEX('×入力'!$A$1:$L$1300,35+HI$3,2+HI$2)&lt;&gt;"",INDEX('×入力'!$A$1:$L$1300,34,2+HI$2)&lt;&gt;"",INDEX('×入力'!$A$1:$L$1300,35+HI$3,1)&lt;&gt;""),1,0),0)</f>
        <v/>
      </c>
      <c r="HJ11">
        <f>IF(HJ$4=1,IF(OR(INDEX('×入力'!$A$1:$L$1300,35+HJ$3,2+HJ$2)&lt;&gt;"",INDEX('×入力'!$A$1:$L$1300,34,2+HJ$2)&lt;&gt;"",INDEX('×入力'!$A$1:$L$1300,35+HJ$3,1)&lt;&gt;""),1,0),0)</f>
        <v/>
      </c>
      <c r="HK11">
        <f>IF(HK$4=1,IF(OR(INDEX('×入力'!$A$1:$L$1300,35+HK$3,2+HK$2)&lt;&gt;"",INDEX('×入力'!$A$1:$L$1300,34,2+HK$2)&lt;&gt;"",INDEX('×入力'!$A$1:$L$1300,35+HK$3,1)&lt;&gt;""),1,0),0)</f>
        <v/>
      </c>
      <c r="HL11">
        <f>IF(HL$4=1,IF(OR(INDEX('×入力'!$A$1:$L$1300,35+HL$3,2+HL$2)&lt;&gt;"",INDEX('×入力'!$A$1:$L$1300,34,2+HL$2)&lt;&gt;"",INDEX('×入力'!$A$1:$L$1300,35+HL$3,1)&lt;&gt;""),1,0),0)</f>
        <v/>
      </c>
      <c r="HM11">
        <f>IF(HM$4=1,IF(OR(INDEX('×入力'!$A$1:$L$1300,35+HM$3,2+HM$2)&lt;&gt;"",INDEX('×入力'!$A$1:$L$1300,34,2+HM$2)&lt;&gt;"",INDEX('×入力'!$A$1:$L$1300,35+HM$3,1)&lt;&gt;""),1,0),0)</f>
        <v/>
      </c>
      <c r="HN11">
        <f>IF(HN$4=1,IF(OR(INDEX('×入力'!$A$1:$L$1300,35+HN$3,2+HN$2)&lt;&gt;"",INDEX('×入力'!$A$1:$L$1300,34,2+HN$2)&lt;&gt;"",INDEX('×入力'!$A$1:$L$1300,35+HN$3,1)&lt;&gt;""),1,0),0)</f>
        <v/>
      </c>
      <c r="HO11">
        <f>IF(HO$4=1,IF(OR(INDEX('×入力'!$A$1:$L$1300,35+HO$3,2+HO$2)&lt;&gt;"",INDEX('×入力'!$A$1:$L$1300,34,2+HO$2)&lt;&gt;"",INDEX('×入力'!$A$1:$L$1300,35+HO$3,1)&lt;&gt;""),1,0),0)</f>
        <v/>
      </c>
      <c r="HP11">
        <f>IF(HP$4=1,IF(OR(INDEX('×入力'!$A$1:$L$1300,35+HP$3,2+HP$2)&lt;&gt;"",INDEX('×入力'!$A$1:$L$1300,34,2+HP$2)&lt;&gt;"",INDEX('×入力'!$A$1:$L$1300,35+HP$3,1)&lt;&gt;""),1,0),0)</f>
        <v/>
      </c>
      <c r="HQ11">
        <f>IF(HQ$4=1,IF(OR(INDEX('×入力'!$A$1:$L$1300,35+HQ$3,2+HQ$2)&lt;&gt;"",INDEX('×入力'!$A$1:$L$1300,34,2+HQ$2)&lt;&gt;"",INDEX('×入力'!$A$1:$L$1300,35+HQ$3,1)&lt;&gt;""),1,0),0)</f>
        <v/>
      </c>
      <c r="HR11">
        <f>IF(HR$4=1,IF(OR(INDEX('×入力'!$A$1:$L$1300,35+HR$3,2+HR$2)&lt;&gt;"",INDEX('×入力'!$A$1:$L$1300,34,2+HR$2)&lt;&gt;"",INDEX('×入力'!$A$1:$L$1300,35+HR$3,1)&lt;&gt;""),1,0),0)</f>
        <v/>
      </c>
      <c r="HS11">
        <f>IF(HS$4=1,IF(OR(INDEX('×入力'!$A$1:$L$1300,35+HS$3,2+HS$2)&lt;&gt;"",INDEX('×入力'!$A$1:$L$1300,34,2+HS$2)&lt;&gt;"",INDEX('×入力'!$A$1:$L$1300,35+HS$3,1)&lt;&gt;""),1,0),0)</f>
        <v/>
      </c>
      <c r="HT11">
        <f>IF(HT$4=1,IF(OR(INDEX('×入力'!$A$1:$L$1300,35+HT$3,2+HT$2)&lt;&gt;"",INDEX('×入力'!$A$1:$L$1300,34,2+HT$2)&lt;&gt;"",INDEX('×入力'!$A$1:$L$1300,35+HT$3,1)&lt;&gt;""),1,0),0)</f>
        <v/>
      </c>
      <c r="HU11">
        <f>IF(HU$4=1,IF(OR(INDEX('×入力'!$A$1:$L$1300,35+HU$3,2+HU$2)&lt;&gt;"",INDEX('×入力'!$A$1:$L$1300,34,2+HU$2)&lt;&gt;"",INDEX('×入力'!$A$1:$L$1300,35+HU$3,1)&lt;&gt;""),1,0),0)</f>
        <v/>
      </c>
      <c r="HV11">
        <f>IF(HV$4=1,IF(OR(INDEX('×入力'!$A$1:$L$1300,35+HV$3,2+HV$2)&lt;&gt;"",INDEX('×入力'!$A$1:$L$1300,34,2+HV$2)&lt;&gt;"",INDEX('×入力'!$A$1:$L$1300,35+HV$3,1)&lt;&gt;""),1,0),0)</f>
        <v/>
      </c>
      <c r="HW11">
        <f>IF(HW$4=1,IF(OR(INDEX('×入力'!$A$1:$L$1300,35+HW$3,2+HW$2)&lt;&gt;"",INDEX('×入力'!$A$1:$L$1300,34,2+HW$2)&lt;&gt;"",INDEX('×入力'!$A$1:$L$1300,35+HW$3,1)&lt;&gt;""),1,0),0)</f>
        <v/>
      </c>
      <c r="HX11">
        <f>IF(HX$4=1,IF(OR(INDEX('×入力'!$A$1:$L$1300,35+HX$3,2+HX$2)&lt;&gt;"",INDEX('×入力'!$A$1:$L$1300,34,2+HX$2)&lt;&gt;"",INDEX('×入力'!$A$1:$L$1300,35+HX$3,1)&lt;&gt;""),1,0),0)</f>
        <v/>
      </c>
      <c r="HY11">
        <f>IF(HY$4=1,IF(OR(INDEX('×入力'!$A$1:$L$1300,35+HY$3,2+HY$2)&lt;&gt;"",INDEX('×入力'!$A$1:$L$1300,34,2+HY$2)&lt;&gt;"",INDEX('×入力'!$A$1:$L$1300,35+HY$3,1)&lt;&gt;""),1,0),0)</f>
        <v/>
      </c>
      <c r="HZ11">
        <f>IF(HZ$4=1,IF(OR(INDEX('×入力'!$A$1:$L$1300,35+HZ$3,2+HZ$2)&lt;&gt;"",INDEX('×入力'!$A$1:$L$1300,34,2+HZ$2)&lt;&gt;"",INDEX('×入力'!$A$1:$L$1300,35+HZ$3,1)&lt;&gt;""),1,0),0)</f>
        <v/>
      </c>
      <c r="IA11">
        <f>IF(IA$4=1,IF(OR(INDEX('×入力'!$A$1:$L$1300,35+IA$3,2+IA$2)&lt;&gt;"",INDEX('×入力'!$A$1:$L$1300,34,2+IA$2)&lt;&gt;"",INDEX('×入力'!$A$1:$L$1300,35+IA$3,1)&lt;&gt;""),1,0),0)</f>
        <v/>
      </c>
      <c r="IB11">
        <f>IF(IB$4=1,IF(OR(INDEX('×入力'!$A$1:$L$1300,35+IB$3,2+IB$2)&lt;&gt;"",INDEX('×入力'!$A$1:$L$1300,34,2+IB$2)&lt;&gt;"",INDEX('×入力'!$A$1:$L$1300,35+IB$3,1)&lt;&gt;""),1,0),0)</f>
        <v/>
      </c>
      <c r="IC11">
        <f>IF(IC$4=1,IF(OR(INDEX('×入力'!$A$1:$L$1300,35+IC$3,2+IC$2)&lt;&gt;"",INDEX('×入力'!$A$1:$L$1300,34,2+IC$2)&lt;&gt;"",INDEX('×入力'!$A$1:$L$1300,35+IC$3,1)&lt;&gt;""),1,0),0)</f>
        <v/>
      </c>
      <c r="ID11">
        <f>IF(ID$4=1,IF(OR(INDEX('×入力'!$A$1:$L$1300,35+ID$3,2+ID$2)&lt;&gt;"",INDEX('×入力'!$A$1:$L$1300,34,2+ID$2)&lt;&gt;"",INDEX('×入力'!$A$1:$L$1300,35+ID$3,1)&lt;&gt;""),1,0),0)</f>
        <v/>
      </c>
      <c r="IE11">
        <f>IF(IE$4=1,IF(OR(INDEX('×入力'!$A$1:$L$1300,35+IE$3,2+IE$2)&lt;&gt;"",INDEX('×入力'!$A$1:$L$1300,34,2+IE$2)&lt;&gt;"",INDEX('×入力'!$A$1:$L$1300,35+IE$3,1)&lt;&gt;""),1,0),0)</f>
        <v/>
      </c>
      <c r="IF11">
        <f>IF(IF$4=1,IF(OR(INDEX('×入力'!$A$1:$L$1300,35+IF$3,2+IF$2)&lt;&gt;"",INDEX('×入力'!$A$1:$L$1300,34,2+IF$2)&lt;&gt;"",INDEX('×入力'!$A$1:$L$1300,35+IF$3,1)&lt;&gt;""),1,0),0)</f>
        <v/>
      </c>
      <c r="IG11">
        <f>IF(IG$4=1,IF(OR(INDEX('×入力'!$A$1:$L$1300,35+IG$3,2+IG$2)&lt;&gt;"",INDEX('×入力'!$A$1:$L$1300,34,2+IG$2)&lt;&gt;"",INDEX('×入力'!$A$1:$L$1300,35+IG$3,1)&lt;&gt;""),1,0),0)</f>
        <v/>
      </c>
      <c r="IH11">
        <f>IF(IH$4=1,IF(OR(INDEX('×入力'!$A$1:$L$1300,35+IH$3,2+IH$2)&lt;&gt;"",INDEX('×入力'!$A$1:$L$1300,34,2+IH$2)&lt;&gt;"",INDEX('×入力'!$A$1:$L$1300,35+IH$3,1)&lt;&gt;""),1,0),0)</f>
        <v/>
      </c>
      <c r="II11">
        <f>IF(II$4=1,IF(OR(INDEX('×入力'!$A$1:$L$1300,35+II$3,2+II$2)&lt;&gt;"",INDEX('×入力'!$A$1:$L$1300,34,2+II$2)&lt;&gt;"",INDEX('×入力'!$A$1:$L$1300,35+II$3,1)&lt;&gt;""),1,0),0)</f>
        <v/>
      </c>
      <c r="IK11">
        <f>IFERROR(INDEX('計算B'!$C$3:$C$47,MATCH(A11,'計算B'!$B$3:$B$47,0)),0)</f>
        <v/>
      </c>
      <c r="IL11">
        <f>IF(AND(C11=1,IK11=0),1,0)</f>
        <v/>
      </c>
      <c r="IM11">
        <f>SUMPRODUCT(D61:II61*(1-$D$7:$II$7))</f>
        <v/>
      </c>
      <c r="IN11">
        <f>SUM(D11:II11)</f>
        <v/>
      </c>
      <c r="IO11">
        <f>IF(B11="",0,IF(COUNTIF('調整・決定'!$C$6:$L$29,B11)=1,SUMPRODUCT(('調整・決定'!$C$6:$L$29=B11)*((COLUMN('調整・決定'!$C$6:$L$29)-3)*24+ROW('調整・決定'!$C$6:$L$29)-5)),0))</f>
        <v/>
      </c>
      <c r="IP11">
        <f>IFERROR(MATCH('名簿'!E6,{"早い時刻","遅い時刻","早い日","遅い日"},0),0)</f>
        <v/>
      </c>
      <c r="IQ11">
        <f>IF('名簿'!F6="必ず空けたい",2,IF('名簿'!F6="出来れば空けたい",1,0))</f>
        <v/>
      </c>
    </row>
    <row r="12">
      <c r="A12" t="n">
        <v>3</v>
      </c>
      <c r="B12">
        <f>'名簿'!G7</f>
        <v/>
      </c>
      <c r="C12">
        <f>IF(AND(B12&lt;&gt;"",OR('名簿'!H7="入力済み",'名簿'!H7="×なし"),IO12=0,COUNTIF('調整・決定'!$C$6:$L$29,B12)=0),1,0)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ER12">
        <f>IF(ER$4=1,IF(OR(INDEX('×入力'!$A$1:$L$1300,63+ER$3,2+ER$2)&lt;&gt;"",INDEX('×入力'!$A$1:$L$1300,62,2+ER$2)&lt;&gt;"",INDEX('×入力'!$A$1:$L$1300,63+ER$3,1)&lt;&gt;""),1,0),0)</f>
        <v/>
      </c>
      <c r="ES12">
        <f>IF(ES$4=1,IF(OR(INDEX('×入力'!$A$1:$L$1300,63+ES$3,2+ES$2)&lt;&gt;"",INDEX('×入力'!$A$1:$L$1300,62,2+ES$2)&lt;&gt;"",INDEX('×入力'!$A$1:$L$1300,63+ES$3,1)&lt;&gt;""),1,0),0)</f>
        <v/>
      </c>
      <c r="ET12">
        <f>IF(ET$4=1,IF(OR(INDEX('×入力'!$A$1:$L$1300,63+ET$3,2+ET$2)&lt;&gt;"",INDEX('×入力'!$A$1:$L$1300,62,2+ET$2)&lt;&gt;"",INDEX('×入力'!$A$1:$L$1300,63+ET$3,1)&lt;&gt;""),1,0),0)</f>
        <v/>
      </c>
      <c r="EU12">
        <f>IF(EU$4=1,IF(OR(INDEX('×入力'!$A$1:$L$1300,63+EU$3,2+EU$2)&lt;&gt;"",INDEX('×入力'!$A$1:$L$1300,62,2+EU$2)&lt;&gt;"",INDEX('×入力'!$A$1:$L$1300,63+EU$3,1)&lt;&gt;""),1,0),0)</f>
        <v/>
      </c>
      <c r="EV12">
        <f>IF(EV$4=1,IF(OR(INDEX('×入力'!$A$1:$L$1300,63+EV$3,2+EV$2)&lt;&gt;"",INDEX('×入力'!$A$1:$L$1300,62,2+EV$2)&lt;&gt;"",INDEX('×入力'!$A$1:$L$1300,63+EV$3,1)&lt;&gt;""),1,0),0)</f>
        <v/>
      </c>
      <c r="EW12">
        <f>IF(EW$4=1,IF(OR(INDEX('×入力'!$A$1:$L$1300,63+EW$3,2+EW$2)&lt;&gt;"",INDEX('×入力'!$A$1:$L$1300,62,2+EW$2)&lt;&gt;"",INDEX('×入力'!$A$1:$L$1300,63+EW$3,1)&lt;&gt;""),1,0),0)</f>
        <v/>
      </c>
      <c r="EX12">
        <f>IF(EX$4=1,IF(OR(INDEX('×入力'!$A$1:$L$1300,63+EX$3,2+EX$2)&lt;&gt;"",INDEX('×入力'!$A$1:$L$1300,62,2+EX$2)&lt;&gt;"",INDEX('×入力'!$A$1:$L$1300,63+EX$3,1)&lt;&gt;""),1,0),0)</f>
        <v/>
      </c>
      <c r="EY12">
        <f>IF(EY$4=1,IF(OR(INDEX('×入力'!$A$1:$L$1300,63+EY$3,2+EY$2)&lt;&gt;"",INDEX('×入力'!$A$1:$L$1300,62,2+EY$2)&lt;&gt;"",INDEX('×入力'!$A$1:$L$1300,63+EY$3,1)&lt;&gt;""),1,0),0)</f>
        <v/>
      </c>
      <c r="EZ12">
        <f>IF(EZ$4=1,IF(OR(INDEX('×入力'!$A$1:$L$1300,63+EZ$3,2+EZ$2)&lt;&gt;"",INDEX('×入力'!$A$1:$L$1300,62,2+EZ$2)&lt;&gt;"",INDEX('×入力'!$A$1:$L$1300,63+EZ$3,1)&lt;&gt;""),1,0),0)</f>
        <v/>
      </c>
      <c r="FA12">
        <f>IF(FA$4=1,IF(OR(INDEX('×入力'!$A$1:$L$1300,63+FA$3,2+FA$2)&lt;&gt;"",INDEX('×入力'!$A$1:$L$1300,62,2+FA$2)&lt;&gt;"",INDEX('×入力'!$A$1:$L$1300,63+FA$3,1)&lt;&gt;""),1,0),0)</f>
        <v/>
      </c>
      <c r="FB12">
        <f>IF(FB$4=1,IF(OR(INDEX('×入力'!$A$1:$L$1300,63+FB$3,2+FB$2)&lt;&gt;"",INDEX('×入力'!$A$1:$L$1300,62,2+FB$2)&lt;&gt;"",INDEX('×入力'!$A$1:$L$1300,63+FB$3,1)&lt;&gt;""),1,0),0)</f>
        <v/>
      </c>
      <c r="FC12">
        <f>IF(FC$4=1,IF(OR(INDEX('×入力'!$A$1:$L$1300,63+FC$3,2+FC$2)&lt;&gt;"",INDEX('×入力'!$A$1:$L$1300,62,2+FC$2)&lt;&gt;"",INDEX('×入力'!$A$1:$L$1300,63+FC$3,1)&lt;&gt;""),1,0),0)</f>
        <v/>
      </c>
      <c r="FD12">
        <f>IF(FD$4=1,IF(OR(INDEX('×入力'!$A$1:$L$1300,63+FD$3,2+FD$2)&lt;&gt;"",INDEX('×入力'!$A$1:$L$1300,62,2+FD$2)&lt;&gt;"",INDEX('×入力'!$A$1:$L$1300,63+FD$3,1)&lt;&gt;""),1,0),0)</f>
        <v/>
      </c>
      <c r="FE12">
        <f>IF(FE$4=1,IF(OR(INDEX('×入力'!$A$1:$L$1300,63+FE$3,2+FE$2)&lt;&gt;"",INDEX('×入力'!$A$1:$L$1300,62,2+FE$2)&lt;&gt;"",INDEX('×入力'!$A$1:$L$1300,63+FE$3,1)&lt;&gt;""),1,0),0)</f>
        <v/>
      </c>
      <c r="FF12">
        <f>IF(FF$4=1,IF(OR(INDEX('×入力'!$A$1:$L$1300,63+FF$3,2+FF$2)&lt;&gt;"",INDEX('×入力'!$A$1:$L$1300,62,2+FF$2)&lt;&gt;"",INDEX('×入力'!$A$1:$L$1300,63+FF$3,1)&lt;&gt;""),1,0),0)</f>
        <v/>
      </c>
      <c r="FG12">
        <f>IF(FG$4=1,IF(OR(INDEX('×入力'!$A$1:$L$1300,63+FG$3,2+FG$2)&lt;&gt;"",INDEX('×入力'!$A$1:$L$1300,62,2+FG$2)&lt;&gt;"",INDEX('×入力'!$A$1:$L$1300,63+FG$3,1)&lt;&gt;""),1,0),0)</f>
        <v/>
      </c>
      <c r="FH12">
        <f>IF(FH$4=1,IF(OR(INDEX('×入力'!$A$1:$L$1300,63+FH$3,2+FH$2)&lt;&gt;"",INDEX('×入力'!$A$1:$L$1300,62,2+FH$2)&lt;&gt;"",INDEX('×入力'!$A$1:$L$1300,63+FH$3,1)&lt;&gt;""),1,0),0)</f>
        <v/>
      </c>
      <c r="FI12">
        <f>IF(FI$4=1,IF(OR(INDEX('×入力'!$A$1:$L$1300,63+FI$3,2+FI$2)&lt;&gt;"",INDEX('×入力'!$A$1:$L$1300,62,2+FI$2)&lt;&gt;"",INDEX('×入力'!$A$1:$L$1300,63+FI$3,1)&lt;&gt;""),1,0),0)</f>
        <v/>
      </c>
      <c r="FJ12">
        <f>IF(FJ$4=1,IF(OR(INDEX('×入力'!$A$1:$L$1300,63+FJ$3,2+FJ$2)&lt;&gt;"",INDEX('×入力'!$A$1:$L$1300,62,2+FJ$2)&lt;&gt;"",INDEX('×入力'!$A$1:$L$1300,63+FJ$3,1)&lt;&gt;""),1,0),0)</f>
        <v/>
      </c>
      <c r="FK12">
        <f>IF(FK$4=1,IF(OR(INDEX('×入力'!$A$1:$L$1300,63+FK$3,2+FK$2)&lt;&gt;"",INDEX('×入力'!$A$1:$L$1300,62,2+FK$2)&lt;&gt;"",INDEX('×入力'!$A$1:$L$1300,63+FK$3,1)&lt;&gt;""),1,0),0)</f>
        <v/>
      </c>
      <c r="FL12">
        <f>IF(FL$4=1,IF(OR(INDEX('×入力'!$A$1:$L$1300,63+FL$3,2+FL$2)&lt;&gt;"",INDEX('×入力'!$A$1:$L$1300,62,2+FL$2)&lt;&gt;"",INDEX('×入力'!$A$1:$L$1300,63+FL$3,1)&lt;&gt;""),1,0),0)</f>
        <v/>
      </c>
      <c r="FM12">
        <f>IF(FM$4=1,IF(OR(INDEX('×入力'!$A$1:$L$1300,63+FM$3,2+FM$2)&lt;&gt;"",INDEX('×入力'!$A$1:$L$1300,62,2+FM$2)&lt;&gt;"",INDEX('×入力'!$A$1:$L$1300,63+FM$3,1)&lt;&gt;""),1,0),0)</f>
        <v/>
      </c>
      <c r="FN12">
        <f>IF(FN$4=1,IF(OR(INDEX('×入力'!$A$1:$L$1300,63+FN$3,2+FN$2)&lt;&gt;"",INDEX('×入力'!$A$1:$L$1300,62,2+FN$2)&lt;&gt;"",INDEX('×入力'!$A$1:$L$1300,63+FN$3,1)&lt;&gt;""),1,0),0)</f>
        <v/>
      </c>
      <c r="FO12">
        <f>IF(FO$4=1,IF(OR(INDEX('×入力'!$A$1:$L$1300,63+FO$3,2+FO$2)&lt;&gt;"",INDEX('×入力'!$A$1:$L$1300,62,2+FO$2)&lt;&gt;"",INDEX('×入力'!$A$1:$L$1300,63+FO$3,1)&lt;&gt;""),1,0),0)</f>
        <v/>
      </c>
      <c r="FP12">
        <f>IF(FP$4=1,IF(OR(INDEX('×入力'!$A$1:$L$1300,63+FP$3,2+FP$2)&lt;&gt;"",INDEX('×入力'!$A$1:$L$1300,62,2+FP$2)&lt;&gt;"",INDEX('×入力'!$A$1:$L$1300,63+FP$3,1)&lt;&gt;""),1,0),0)</f>
        <v/>
      </c>
      <c r="FQ12">
        <f>IF(FQ$4=1,IF(OR(INDEX('×入力'!$A$1:$L$1300,63+FQ$3,2+FQ$2)&lt;&gt;"",INDEX('×入力'!$A$1:$L$1300,62,2+FQ$2)&lt;&gt;"",INDEX('×入力'!$A$1:$L$1300,63+FQ$3,1)&lt;&gt;""),1,0),0)</f>
        <v/>
      </c>
      <c r="FR12">
        <f>IF(FR$4=1,IF(OR(INDEX('×入力'!$A$1:$L$1300,63+FR$3,2+FR$2)&lt;&gt;"",INDEX('×入力'!$A$1:$L$1300,62,2+FR$2)&lt;&gt;"",INDEX('×入力'!$A$1:$L$1300,63+FR$3,1)&lt;&gt;""),1,0),0)</f>
        <v/>
      </c>
      <c r="FS12">
        <f>IF(FS$4=1,IF(OR(INDEX('×入力'!$A$1:$L$1300,63+FS$3,2+FS$2)&lt;&gt;"",INDEX('×入力'!$A$1:$L$1300,62,2+FS$2)&lt;&gt;"",INDEX('×入力'!$A$1:$L$1300,63+FS$3,1)&lt;&gt;""),1,0),0)</f>
        <v/>
      </c>
      <c r="FT12">
        <f>IF(FT$4=1,IF(OR(INDEX('×入力'!$A$1:$L$1300,63+FT$3,2+FT$2)&lt;&gt;"",INDEX('×入力'!$A$1:$L$1300,62,2+FT$2)&lt;&gt;"",INDEX('×入力'!$A$1:$L$1300,63+FT$3,1)&lt;&gt;""),1,0),0)</f>
        <v/>
      </c>
      <c r="FU12">
        <f>IF(FU$4=1,IF(OR(INDEX('×入力'!$A$1:$L$1300,63+FU$3,2+FU$2)&lt;&gt;"",INDEX('×入力'!$A$1:$L$1300,62,2+FU$2)&lt;&gt;"",INDEX('×入力'!$A$1:$L$1300,63+FU$3,1)&lt;&gt;""),1,0),0)</f>
        <v/>
      </c>
      <c r="FV12">
        <f>IF(FV$4=1,IF(OR(INDEX('×入力'!$A$1:$L$1300,63+FV$3,2+FV$2)&lt;&gt;"",INDEX('×入力'!$A$1:$L$1300,62,2+FV$2)&lt;&gt;"",INDEX('×入力'!$A$1:$L$1300,63+FV$3,1)&lt;&gt;""),1,0),0)</f>
        <v/>
      </c>
      <c r="FW12">
        <f>IF(FW$4=1,IF(OR(INDEX('×入力'!$A$1:$L$1300,63+FW$3,2+FW$2)&lt;&gt;"",INDEX('×入力'!$A$1:$L$1300,62,2+FW$2)&lt;&gt;"",INDEX('×入力'!$A$1:$L$1300,63+FW$3,1)&lt;&gt;""),1,0),0)</f>
        <v/>
      </c>
      <c r="FX12">
        <f>IF(FX$4=1,IF(OR(INDEX('×入力'!$A$1:$L$1300,63+FX$3,2+FX$2)&lt;&gt;"",INDEX('×入力'!$A$1:$L$1300,62,2+FX$2)&lt;&gt;"",INDEX('×入力'!$A$1:$L$1300,63+FX$3,1)&lt;&gt;""),1,0),0)</f>
        <v/>
      </c>
      <c r="FY12">
        <f>IF(FY$4=1,IF(OR(INDEX('×入力'!$A$1:$L$1300,63+FY$3,2+FY$2)&lt;&gt;"",INDEX('×入力'!$A$1:$L$1300,62,2+FY$2)&lt;&gt;"",INDEX('×入力'!$A$1:$L$1300,63+FY$3,1)&lt;&gt;""),1,0),0)</f>
        <v/>
      </c>
      <c r="FZ12">
        <f>IF(FZ$4=1,IF(OR(INDEX('×入力'!$A$1:$L$1300,63+FZ$3,2+FZ$2)&lt;&gt;"",INDEX('×入力'!$A$1:$L$1300,62,2+FZ$2)&lt;&gt;"",INDEX('×入力'!$A$1:$L$1300,63+FZ$3,1)&lt;&gt;""),1,0),0)</f>
        <v/>
      </c>
      <c r="GA12">
        <f>IF(GA$4=1,IF(OR(INDEX('×入力'!$A$1:$L$1300,63+GA$3,2+GA$2)&lt;&gt;"",INDEX('×入力'!$A$1:$L$1300,62,2+GA$2)&lt;&gt;"",INDEX('×入力'!$A$1:$L$1300,63+GA$3,1)&lt;&gt;""),1,0),0)</f>
        <v/>
      </c>
      <c r="GB12">
        <f>IF(GB$4=1,IF(OR(INDEX('×入力'!$A$1:$L$1300,63+GB$3,2+GB$2)&lt;&gt;"",INDEX('×入力'!$A$1:$L$1300,62,2+GB$2)&lt;&gt;"",INDEX('×入力'!$A$1:$L$1300,63+GB$3,1)&lt;&gt;""),1,0),0)</f>
        <v/>
      </c>
      <c r="GC12">
        <f>IF(GC$4=1,IF(OR(INDEX('×入力'!$A$1:$L$1300,63+GC$3,2+GC$2)&lt;&gt;"",INDEX('×入力'!$A$1:$L$1300,62,2+GC$2)&lt;&gt;"",INDEX('×入力'!$A$1:$L$1300,63+GC$3,1)&lt;&gt;""),1,0),0)</f>
        <v/>
      </c>
      <c r="GD12">
        <f>IF(GD$4=1,IF(OR(INDEX('×入力'!$A$1:$L$1300,63+GD$3,2+GD$2)&lt;&gt;"",INDEX('×入力'!$A$1:$L$1300,62,2+GD$2)&lt;&gt;"",INDEX('×入力'!$A$1:$L$1300,63+GD$3,1)&lt;&gt;""),1,0),0)</f>
        <v/>
      </c>
      <c r="GE12">
        <f>IF(GE$4=1,IF(OR(INDEX('×入力'!$A$1:$L$1300,63+GE$3,2+GE$2)&lt;&gt;"",INDEX('×入力'!$A$1:$L$1300,62,2+GE$2)&lt;&gt;"",INDEX('×入力'!$A$1:$L$1300,63+GE$3,1)&lt;&gt;""),1,0),0)</f>
        <v/>
      </c>
      <c r="GF12">
        <f>IF(GF$4=1,IF(OR(INDEX('×入力'!$A$1:$L$1300,63+GF$3,2+GF$2)&lt;&gt;"",INDEX('×入力'!$A$1:$L$1300,62,2+GF$2)&lt;&gt;"",INDEX('×入力'!$A$1:$L$1300,63+GF$3,1)&lt;&gt;""),1,0),0)</f>
        <v/>
      </c>
      <c r="GG12">
        <f>IF(GG$4=1,IF(OR(INDEX('×入力'!$A$1:$L$1300,63+GG$3,2+GG$2)&lt;&gt;"",INDEX('×入力'!$A$1:$L$1300,62,2+GG$2)&lt;&gt;"",INDEX('×入力'!$A$1:$L$1300,63+GG$3,1)&lt;&gt;""),1,0),0)</f>
        <v/>
      </c>
      <c r="GH12">
        <f>IF(GH$4=1,IF(OR(INDEX('×入力'!$A$1:$L$1300,63+GH$3,2+GH$2)&lt;&gt;"",INDEX('×入力'!$A$1:$L$1300,62,2+GH$2)&lt;&gt;"",INDEX('×入力'!$A$1:$L$1300,63+GH$3,1)&lt;&gt;""),1,0),0)</f>
        <v/>
      </c>
      <c r="GI12">
        <f>IF(GI$4=1,IF(OR(INDEX('×入力'!$A$1:$L$1300,63+GI$3,2+GI$2)&lt;&gt;"",INDEX('×入力'!$A$1:$L$1300,62,2+GI$2)&lt;&gt;"",INDEX('×入力'!$A$1:$L$1300,63+GI$3,1)&lt;&gt;""),1,0),0)</f>
        <v/>
      </c>
      <c r="GJ12">
        <f>IF(GJ$4=1,IF(OR(INDEX('×入力'!$A$1:$L$1300,63+GJ$3,2+GJ$2)&lt;&gt;"",INDEX('×入力'!$A$1:$L$1300,62,2+GJ$2)&lt;&gt;"",INDEX('×入力'!$A$1:$L$1300,63+GJ$3,1)&lt;&gt;""),1,0),0)</f>
        <v/>
      </c>
      <c r="GK12">
        <f>IF(GK$4=1,IF(OR(INDEX('×入力'!$A$1:$L$1300,63+GK$3,2+GK$2)&lt;&gt;"",INDEX('×入力'!$A$1:$L$1300,62,2+GK$2)&lt;&gt;"",INDEX('×入力'!$A$1:$L$1300,63+GK$3,1)&lt;&gt;""),1,0),0)</f>
        <v/>
      </c>
      <c r="GL12">
        <f>IF(GL$4=1,IF(OR(INDEX('×入力'!$A$1:$L$1300,63+GL$3,2+GL$2)&lt;&gt;"",INDEX('×入力'!$A$1:$L$1300,62,2+GL$2)&lt;&gt;"",INDEX('×入力'!$A$1:$L$1300,63+GL$3,1)&lt;&gt;""),1,0),0)</f>
        <v/>
      </c>
      <c r="GM12">
        <f>IF(GM$4=1,IF(OR(INDEX('×入力'!$A$1:$L$1300,63+GM$3,2+GM$2)&lt;&gt;"",INDEX('×入力'!$A$1:$L$1300,62,2+GM$2)&lt;&gt;"",INDEX('×入力'!$A$1:$L$1300,63+GM$3,1)&lt;&gt;""),1,0),0)</f>
        <v/>
      </c>
      <c r="GN12">
        <f>IF(GN$4=1,IF(OR(INDEX('×入力'!$A$1:$L$1300,63+GN$3,2+GN$2)&lt;&gt;"",INDEX('×入力'!$A$1:$L$1300,62,2+GN$2)&lt;&gt;"",INDEX('×入力'!$A$1:$L$1300,63+GN$3,1)&lt;&gt;""),1,0),0)</f>
        <v/>
      </c>
      <c r="GO12">
        <f>IF(GO$4=1,IF(OR(INDEX('×入力'!$A$1:$L$1300,63+GO$3,2+GO$2)&lt;&gt;"",INDEX('×入力'!$A$1:$L$1300,62,2+GO$2)&lt;&gt;"",INDEX('×入力'!$A$1:$L$1300,63+GO$3,1)&lt;&gt;""),1,0),0)</f>
        <v/>
      </c>
      <c r="GP12">
        <f>IF(GP$4=1,IF(OR(INDEX('×入力'!$A$1:$L$1300,63+GP$3,2+GP$2)&lt;&gt;"",INDEX('×入力'!$A$1:$L$1300,62,2+GP$2)&lt;&gt;"",INDEX('×入力'!$A$1:$L$1300,63+GP$3,1)&lt;&gt;""),1,0),0)</f>
        <v/>
      </c>
      <c r="GQ12">
        <f>IF(GQ$4=1,IF(OR(INDEX('×入力'!$A$1:$L$1300,63+GQ$3,2+GQ$2)&lt;&gt;"",INDEX('×入力'!$A$1:$L$1300,62,2+GQ$2)&lt;&gt;"",INDEX('×入力'!$A$1:$L$1300,63+GQ$3,1)&lt;&gt;""),1,0),0)</f>
        <v/>
      </c>
      <c r="GR12">
        <f>IF(GR$4=1,IF(OR(INDEX('×入力'!$A$1:$L$1300,63+GR$3,2+GR$2)&lt;&gt;"",INDEX('×入力'!$A$1:$L$1300,62,2+GR$2)&lt;&gt;"",INDEX('×入力'!$A$1:$L$1300,63+GR$3,1)&lt;&gt;""),1,0),0)</f>
        <v/>
      </c>
      <c r="GS12">
        <f>IF(GS$4=1,IF(OR(INDEX('×入力'!$A$1:$L$1300,63+GS$3,2+GS$2)&lt;&gt;"",INDEX('×入力'!$A$1:$L$1300,62,2+GS$2)&lt;&gt;"",INDEX('×入力'!$A$1:$L$1300,63+GS$3,1)&lt;&gt;""),1,0),0)</f>
        <v/>
      </c>
      <c r="GT12">
        <f>IF(GT$4=1,IF(OR(INDEX('×入力'!$A$1:$L$1300,63+GT$3,2+GT$2)&lt;&gt;"",INDEX('×入力'!$A$1:$L$1300,62,2+GT$2)&lt;&gt;"",INDEX('×入力'!$A$1:$L$1300,63+GT$3,1)&lt;&gt;""),1,0),0)</f>
        <v/>
      </c>
      <c r="GU12">
        <f>IF(GU$4=1,IF(OR(INDEX('×入力'!$A$1:$L$1300,63+GU$3,2+GU$2)&lt;&gt;"",INDEX('×入力'!$A$1:$L$1300,62,2+GU$2)&lt;&gt;"",INDEX('×入力'!$A$1:$L$1300,63+GU$3,1)&lt;&gt;""),1,0),0)</f>
        <v/>
      </c>
      <c r="GV12">
        <f>IF(GV$4=1,IF(OR(INDEX('×入力'!$A$1:$L$1300,63+GV$3,2+GV$2)&lt;&gt;"",INDEX('×入力'!$A$1:$L$1300,62,2+GV$2)&lt;&gt;"",INDEX('×入力'!$A$1:$L$1300,63+GV$3,1)&lt;&gt;""),1,0),0)</f>
        <v/>
      </c>
      <c r="GW12">
        <f>IF(GW$4=1,IF(OR(INDEX('×入力'!$A$1:$L$1300,63+GW$3,2+GW$2)&lt;&gt;"",INDEX('×入力'!$A$1:$L$1300,62,2+GW$2)&lt;&gt;"",INDEX('×入力'!$A$1:$L$1300,63+GW$3,1)&lt;&gt;""),1,0),0)</f>
        <v/>
      </c>
      <c r="GX12">
        <f>IF(GX$4=1,IF(OR(INDEX('×入力'!$A$1:$L$1300,63+GX$3,2+GX$2)&lt;&gt;"",INDEX('×入力'!$A$1:$L$1300,62,2+GX$2)&lt;&gt;"",INDEX('×入力'!$A$1:$L$1300,63+GX$3,1)&lt;&gt;""),1,0),0)</f>
        <v/>
      </c>
      <c r="GY12">
        <f>IF(GY$4=1,IF(OR(INDEX('×入力'!$A$1:$L$1300,63+GY$3,2+GY$2)&lt;&gt;"",INDEX('×入力'!$A$1:$L$1300,62,2+GY$2)&lt;&gt;"",INDEX('×入力'!$A$1:$L$1300,63+GY$3,1)&lt;&gt;""),1,0),0)</f>
        <v/>
      </c>
      <c r="GZ12">
        <f>IF(GZ$4=1,IF(OR(INDEX('×入力'!$A$1:$L$1300,63+GZ$3,2+GZ$2)&lt;&gt;"",INDEX('×入力'!$A$1:$L$1300,62,2+GZ$2)&lt;&gt;"",INDEX('×入力'!$A$1:$L$1300,63+GZ$3,1)&lt;&gt;""),1,0),0)</f>
        <v/>
      </c>
      <c r="HA12">
        <f>IF(HA$4=1,IF(OR(INDEX('×入力'!$A$1:$L$1300,63+HA$3,2+HA$2)&lt;&gt;"",INDEX('×入力'!$A$1:$L$1300,62,2+HA$2)&lt;&gt;"",INDEX('×入力'!$A$1:$L$1300,63+HA$3,1)&lt;&gt;""),1,0),0)</f>
        <v/>
      </c>
      <c r="HB12">
        <f>IF(HB$4=1,IF(OR(INDEX('×入力'!$A$1:$L$1300,63+HB$3,2+HB$2)&lt;&gt;"",INDEX('×入力'!$A$1:$L$1300,62,2+HB$2)&lt;&gt;"",INDEX('×入力'!$A$1:$L$1300,63+HB$3,1)&lt;&gt;""),1,0),0)</f>
        <v/>
      </c>
      <c r="HC12">
        <f>IF(HC$4=1,IF(OR(INDEX('×入力'!$A$1:$L$1300,63+HC$3,2+HC$2)&lt;&gt;"",INDEX('×入力'!$A$1:$L$1300,62,2+HC$2)&lt;&gt;"",INDEX('×入力'!$A$1:$L$1300,63+HC$3,1)&lt;&gt;""),1,0),0)</f>
        <v/>
      </c>
      <c r="HD12">
        <f>IF(HD$4=1,IF(OR(INDEX('×入力'!$A$1:$L$1300,63+HD$3,2+HD$2)&lt;&gt;"",INDEX('×入力'!$A$1:$L$1300,62,2+HD$2)&lt;&gt;"",INDEX('×入力'!$A$1:$L$1300,63+HD$3,1)&lt;&gt;""),1,0),0)</f>
        <v/>
      </c>
      <c r="HE12">
        <f>IF(HE$4=1,IF(OR(INDEX('×入力'!$A$1:$L$1300,63+HE$3,2+HE$2)&lt;&gt;"",INDEX('×入力'!$A$1:$L$1300,62,2+HE$2)&lt;&gt;"",INDEX('×入力'!$A$1:$L$1300,63+HE$3,1)&lt;&gt;""),1,0),0)</f>
        <v/>
      </c>
      <c r="HF12">
        <f>IF(HF$4=1,IF(OR(INDEX('×入力'!$A$1:$L$1300,63+HF$3,2+HF$2)&lt;&gt;"",INDEX('×入力'!$A$1:$L$1300,62,2+HF$2)&lt;&gt;"",INDEX('×入力'!$A$1:$L$1300,63+HF$3,1)&lt;&gt;""),1,0),0)</f>
        <v/>
      </c>
      <c r="HG12">
        <f>IF(HG$4=1,IF(OR(INDEX('×入力'!$A$1:$L$1300,63+HG$3,2+HG$2)&lt;&gt;"",INDEX('×入力'!$A$1:$L$1300,62,2+HG$2)&lt;&gt;"",INDEX('×入力'!$A$1:$L$1300,63+HG$3,1)&lt;&gt;""),1,0),0)</f>
        <v/>
      </c>
      <c r="HH12">
        <f>IF(HH$4=1,IF(OR(INDEX('×入力'!$A$1:$L$1300,63+HH$3,2+HH$2)&lt;&gt;"",INDEX('×入力'!$A$1:$L$1300,62,2+HH$2)&lt;&gt;"",INDEX('×入力'!$A$1:$L$1300,63+HH$3,1)&lt;&gt;""),1,0),0)</f>
        <v/>
      </c>
      <c r="HI12">
        <f>IF(HI$4=1,IF(OR(INDEX('×入力'!$A$1:$L$1300,63+HI$3,2+HI$2)&lt;&gt;"",INDEX('×入力'!$A$1:$L$1300,62,2+HI$2)&lt;&gt;"",INDEX('×入力'!$A$1:$L$1300,63+HI$3,1)&lt;&gt;""),1,0),0)</f>
        <v/>
      </c>
      <c r="HJ12">
        <f>IF(HJ$4=1,IF(OR(INDEX('×入力'!$A$1:$L$1300,63+HJ$3,2+HJ$2)&lt;&gt;"",INDEX('×入力'!$A$1:$L$1300,62,2+HJ$2)&lt;&gt;"",INDEX('×入力'!$A$1:$L$1300,63+HJ$3,1)&lt;&gt;""),1,0),0)</f>
        <v/>
      </c>
      <c r="HK12">
        <f>IF(HK$4=1,IF(OR(INDEX('×入力'!$A$1:$L$1300,63+HK$3,2+HK$2)&lt;&gt;"",INDEX('×入力'!$A$1:$L$1300,62,2+HK$2)&lt;&gt;"",INDEX('×入力'!$A$1:$L$1300,63+HK$3,1)&lt;&gt;""),1,0),0)</f>
        <v/>
      </c>
      <c r="HL12">
        <f>IF(HL$4=1,IF(OR(INDEX('×入力'!$A$1:$L$1300,63+HL$3,2+HL$2)&lt;&gt;"",INDEX('×入力'!$A$1:$L$1300,62,2+HL$2)&lt;&gt;"",INDEX('×入力'!$A$1:$L$1300,63+HL$3,1)&lt;&gt;""),1,0),0)</f>
        <v/>
      </c>
      <c r="HM12">
        <f>IF(HM$4=1,IF(OR(INDEX('×入力'!$A$1:$L$1300,63+HM$3,2+HM$2)&lt;&gt;"",INDEX('×入力'!$A$1:$L$1300,62,2+HM$2)&lt;&gt;"",INDEX('×入力'!$A$1:$L$1300,63+HM$3,1)&lt;&gt;""),1,0),0)</f>
        <v/>
      </c>
      <c r="HN12">
        <f>IF(HN$4=1,IF(OR(INDEX('×入力'!$A$1:$L$1300,63+HN$3,2+HN$2)&lt;&gt;"",INDEX('×入力'!$A$1:$L$1300,62,2+HN$2)&lt;&gt;"",INDEX('×入力'!$A$1:$L$1300,63+HN$3,1)&lt;&gt;""),1,0),0)</f>
        <v/>
      </c>
      <c r="HO12">
        <f>IF(HO$4=1,IF(OR(INDEX('×入力'!$A$1:$L$1300,63+HO$3,2+HO$2)&lt;&gt;"",INDEX('×入力'!$A$1:$L$1300,62,2+HO$2)&lt;&gt;"",INDEX('×入力'!$A$1:$L$1300,63+HO$3,1)&lt;&gt;""),1,0),0)</f>
        <v/>
      </c>
      <c r="HP12">
        <f>IF(HP$4=1,IF(OR(INDEX('×入力'!$A$1:$L$1300,63+HP$3,2+HP$2)&lt;&gt;"",INDEX('×入力'!$A$1:$L$1300,62,2+HP$2)&lt;&gt;"",INDEX('×入力'!$A$1:$L$1300,63+HP$3,1)&lt;&gt;""),1,0),0)</f>
        <v/>
      </c>
      <c r="HQ12">
        <f>IF(HQ$4=1,IF(OR(INDEX('×入力'!$A$1:$L$1300,63+HQ$3,2+HQ$2)&lt;&gt;"",INDEX('×入力'!$A$1:$L$1300,62,2+HQ$2)&lt;&gt;"",INDEX('×入力'!$A$1:$L$1300,63+HQ$3,1)&lt;&gt;""),1,0),0)</f>
        <v/>
      </c>
      <c r="HR12">
        <f>IF(HR$4=1,IF(OR(INDEX('×入力'!$A$1:$L$1300,63+HR$3,2+HR$2)&lt;&gt;"",INDEX('×入力'!$A$1:$L$1300,62,2+HR$2)&lt;&gt;"",INDEX('×入力'!$A$1:$L$1300,63+HR$3,1)&lt;&gt;""),1,0),0)</f>
        <v/>
      </c>
      <c r="HS12">
        <f>IF(HS$4=1,IF(OR(INDEX('×入力'!$A$1:$L$1300,63+HS$3,2+HS$2)&lt;&gt;"",INDEX('×入力'!$A$1:$L$1300,62,2+HS$2)&lt;&gt;"",INDEX('×入力'!$A$1:$L$1300,63+HS$3,1)&lt;&gt;""),1,0),0)</f>
        <v/>
      </c>
      <c r="HT12">
        <f>IF(HT$4=1,IF(OR(INDEX('×入力'!$A$1:$L$1300,63+HT$3,2+HT$2)&lt;&gt;"",INDEX('×入力'!$A$1:$L$1300,62,2+HT$2)&lt;&gt;"",INDEX('×入力'!$A$1:$L$1300,63+HT$3,1)&lt;&gt;""),1,0),0)</f>
        <v/>
      </c>
      <c r="HU12">
        <f>IF(HU$4=1,IF(OR(INDEX('×入力'!$A$1:$L$1300,63+HU$3,2+HU$2)&lt;&gt;"",INDEX('×入力'!$A$1:$L$1300,62,2+HU$2)&lt;&gt;"",INDEX('×入力'!$A$1:$L$1300,63+HU$3,1)&lt;&gt;""),1,0),0)</f>
        <v/>
      </c>
      <c r="HV12">
        <f>IF(HV$4=1,IF(OR(INDEX('×入力'!$A$1:$L$1300,63+HV$3,2+HV$2)&lt;&gt;"",INDEX('×入力'!$A$1:$L$1300,62,2+HV$2)&lt;&gt;"",INDEX('×入力'!$A$1:$L$1300,63+HV$3,1)&lt;&gt;""),1,0),0)</f>
        <v/>
      </c>
      <c r="HW12">
        <f>IF(HW$4=1,IF(OR(INDEX('×入力'!$A$1:$L$1300,63+HW$3,2+HW$2)&lt;&gt;"",INDEX('×入力'!$A$1:$L$1300,62,2+HW$2)&lt;&gt;"",INDEX('×入力'!$A$1:$L$1300,63+HW$3,1)&lt;&gt;""),1,0),0)</f>
        <v/>
      </c>
      <c r="HX12">
        <f>IF(HX$4=1,IF(OR(INDEX('×入力'!$A$1:$L$1300,63+HX$3,2+HX$2)&lt;&gt;"",INDEX('×入力'!$A$1:$L$1300,62,2+HX$2)&lt;&gt;"",INDEX('×入力'!$A$1:$L$1300,63+HX$3,1)&lt;&gt;""),1,0),0)</f>
        <v/>
      </c>
      <c r="HY12">
        <f>IF(HY$4=1,IF(OR(INDEX('×入力'!$A$1:$L$1300,63+HY$3,2+HY$2)&lt;&gt;"",INDEX('×入力'!$A$1:$L$1300,62,2+HY$2)&lt;&gt;"",INDEX('×入力'!$A$1:$L$1300,63+HY$3,1)&lt;&gt;""),1,0),0)</f>
        <v/>
      </c>
      <c r="HZ12">
        <f>IF(HZ$4=1,IF(OR(INDEX('×入力'!$A$1:$L$1300,63+HZ$3,2+HZ$2)&lt;&gt;"",INDEX('×入力'!$A$1:$L$1300,62,2+HZ$2)&lt;&gt;"",INDEX('×入力'!$A$1:$L$1300,63+HZ$3,1)&lt;&gt;""),1,0),0)</f>
        <v/>
      </c>
      <c r="IA12">
        <f>IF(IA$4=1,IF(OR(INDEX('×入力'!$A$1:$L$1300,63+IA$3,2+IA$2)&lt;&gt;"",INDEX('×入力'!$A$1:$L$1300,62,2+IA$2)&lt;&gt;"",INDEX('×入力'!$A$1:$L$1300,63+IA$3,1)&lt;&gt;""),1,0),0)</f>
        <v/>
      </c>
      <c r="IB12">
        <f>IF(IB$4=1,IF(OR(INDEX('×入力'!$A$1:$L$1300,63+IB$3,2+IB$2)&lt;&gt;"",INDEX('×入力'!$A$1:$L$1300,62,2+IB$2)&lt;&gt;"",INDEX('×入力'!$A$1:$L$1300,63+IB$3,1)&lt;&gt;""),1,0),0)</f>
        <v/>
      </c>
      <c r="IC12">
        <f>IF(IC$4=1,IF(OR(INDEX('×入力'!$A$1:$L$1300,63+IC$3,2+IC$2)&lt;&gt;"",INDEX('×入力'!$A$1:$L$1300,62,2+IC$2)&lt;&gt;"",INDEX('×入力'!$A$1:$L$1300,63+IC$3,1)&lt;&gt;""),1,0),0)</f>
        <v/>
      </c>
      <c r="ID12">
        <f>IF(ID$4=1,IF(OR(INDEX('×入力'!$A$1:$L$1300,63+ID$3,2+ID$2)&lt;&gt;"",INDEX('×入力'!$A$1:$L$1300,62,2+ID$2)&lt;&gt;"",INDEX('×入力'!$A$1:$L$1300,63+ID$3,1)&lt;&gt;""),1,0),0)</f>
        <v/>
      </c>
      <c r="IE12">
        <f>IF(IE$4=1,IF(OR(INDEX('×入力'!$A$1:$L$1300,63+IE$3,2+IE$2)&lt;&gt;"",INDEX('×入力'!$A$1:$L$1300,62,2+IE$2)&lt;&gt;"",INDEX('×入力'!$A$1:$L$1300,63+IE$3,1)&lt;&gt;""),1,0),0)</f>
        <v/>
      </c>
      <c r="IF12">
        <f>IF(IF$4=1,IF(OR(INDEX('×入力'!$A$1:$L$1300,63+IF$3,2+IF$2)&lt;&gt;"",INDEX('×入力'!$A$1:$L$1300,62,2+IF$2)&lt;&gt;"",INDEX('×入力'!$A$1:$L$1300,63+IF$3,1)&lt;&gt;""),1,0),0)</f>
        <v/>
      </c>
      <c r="IG12">
        <f>IF(IG$4=1,IF(OR(INDEX('×入力'!$A$1:$L$1300,63+IG$3,2+IG$2)&lt;&gt;"",INDEX('×入力'!$A$1:$L$1300,62,2+IG$2)&lt;&gt;"",INDEX('×入力'!$A$1:$L$1300,63+IG$3,1)&lt;&gt;""),1,0),0)</f>
        <v/>
      </c>
      <c r="IH12">
        <f>IF(IH$4=1,IF(OR(INDEX('×入力'!$A$1:$L$1300,63+IH$3,2+IH$2)&lt;&gt;"",INDEX('×入力'!$A$1:$L$1300,62,2+IH$2)&lt;&gt;"",INDEX('×入力'!$A$1:$L$1300,63+IH$3,1)&lt;&gt;""),1,0),0)</f>
        <v/>
      </c>
      <c r="II12">
        <f>IF(II$4=1,IF(OR(INDEX('×入力'!$A$1:$L$1300,63+II$3,2+II$2)&lt;&gt;"",INDEX('×入力'!$A$1:$L$1300,62,2+II$2)&lt;&gt;"",INDEX('×入力'!$A$1:$L$1300,63+II$3,1)&lt;&gt;""),1,0),0)</f>
        <v/>
      </c>
      <c r="IK12">
        <f>IFERROR(INDEX('計算B'!$C$3:$C$47,MATCH(A12,'計算B'!$B$3:$B$47,0)),0)</f>
        <v/>
      </c>
      <c r="IL12">
        <f>IF(AND(C12=1,IK12=0),1,0)</f>
        <v/>
      </c>
      <c r="IM12">
        <f>SUMPRODUCT(D62:II62*(1-$D$7:$II$7))</f>
        <v/>
      </c>
      <c r="IN12">
        <f>SUM(D12:II12)</f>
        <v/>
      </c>
      <c r="IO12">
        <f>IF(B12="",0,IF(COUNTIF('調整・決定'!$C$6:$L$29,B12)=1,SUMPRODUCT(('調整・決定'!$C$6:$L$29=B12)*((COLUMN('調整・決定'!$C$6:$L$29)-3)*24+ROW('調整・決定'!$C$6:$L$29)-5)),0))</f>
        <v/>
      </c>
      <c r="IP12">
        <f>IFERROR(MATCH('名簿'!E7,{"早い時刻","遅い時刻","早い日","遅い日"},0),0)</f>
        <v/>
      </c>
      <c r="IQ12">
        <f>IF('名簿'!F7="必ず空けたい",2,IF('名簿'!F7="出来れば空けたい",1,0))</f>
        <v/>
      </c>
    </row>
    <row r="13">
      <c r="A13" t="n">
        <v>4</v>
      </c>
      <c r="B13">
        <f>'名簿'!G8</f>
        <v/>
      </c>
      <c r="C13">
        <f>IF(AND(B13&lt;&gt;"",OR('名簿'!H8="入力済み",'名簿'!H8="×なし"),IO13=0,COUNTIF('調整・決定'!$C$6:$L$29,B13)=0),1,0)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ER13">
        <f>IF(ER$4=1,IF(OR(INDEX('×入力'!$A$1:$L$1300,91+ER$3,2+ER$2)&lt;&gt;"",INDEX('×入力'!$A$1:$L$1300,90,2+ER$2)&lt;&gt;"",INDEX('×入力'!$A$1:$L$1300,91+ER$3,1)&lt;&gt;""),1,0),0)</f>
        <v/>
      </c>
      <c r="ES13">
        <f>IF(ES$4=1,IF(OR(INDEX('×入力'!$A$1:$L$1300,91+ES$3,2+ES$2)&lt;&gt;"",INDEX('×入力'!$A$1:$L$1300,90,2+ES$2)&lt;&gt;"",INDEX('×入力'!$A$1:$L$1300,91+ES$3,1)&lt;&gt;""),1,0),0)</f>
        <v/>
      </c>
      <c r="ET13">
        <f>IF(ET$4=1,IF(OR(INDEX('×入力'!$A$1:$L$1300,91+ET$3,2+ET$2)&lt;&gt;"",INDEX('×入力'!$A$1:$L$1300,90,2+ET$2)&lt;&gt;"",INDEX('×入力'!$A$1:$L$1300,91+ET$3,1)&lt;&gt;""),1,0),0)</f>
        <v/>
      </c>
      <c r="EU13">
        <f>IF(EU$4=1,IF(OR(INDEX('×入力'!$A$1:$L$1300,91+EU$3,2+EU$2)&lt;&gt;"",INDEX('×入力'!$A$1:$L$1300,90,2+EU$2)&lt;&gt;"",INDEX('×入力'!$A$1:$L$1300,91+EU$3,1)&lt;&gt;""),1,0),0)</f>
        <v/>
      </c>
      <c r="EV13">
        <f>IF(EV$4=1,IF(OR(INDEX('×入力'!$A$1:$L$1300,91+EV$3,2+EV$2)&lt;&gt;"",INDEX('×入力'!$A$1:$L$1300,90,2+EV$2)&lt;&gt;"",INDEX('×入力'!$A$1:$L$1300,91+EV$3,1)&lt;&gt;""),1,0),0)</f>
        <v/>
      </c>
      <c r="EW13">
        <f>IF(EW$4=1,IF(OR(INDEX('×入力'!$A$1:$L$1300,91+EW$3,2+EW$2)&lt;&gt;"",INDEX('×入力'!$A$1:$L$1300,90,2+EW$2)&lt;&gt;"",INDEX('×入力'!$A$1:$L$1300,91+EW$3,1)&lt;&gt;""),1,0),0)</f>
        <v/>
      </c>
      <c r="EX13">
        <f>IF(EX$4=1,IF(OR(INDEX('×入力'!$A$1:$L$1300,91+EX$3,2+EX$2)&lt;&gt;"",INDEX('×入力'!$A$1:$L$1300,90,2+EX$2)&lt;&gt;"",INDEX('×入力'!$A$1:$L$1300,91+EX$3,1)&lt;&gt;""),1,0),0)</f>
        <v/>
      </c>
      <c r="EY13">
        <f>IF(EY$4=1,IF(OR(INDEX('×入力'!$A$1:$L$1300,91+EY$3,2+EY$2)&lt;&gt;"",INDEX('×入力'!$A$1:$L$1300,90,2+EY$2)&lt;&gt;"",INDEX('×入力'!$A$1:$L$1300,91+EY$3,1)&lt;&gt;""),1,0),0)</f>
        <v/>
      </c>
      <c r="EZ13">
        <f>IF(EZ$4=1,IF(OR(INDEX('×入力'!$A$1:$L$1300,91+EZ$3,2+EZ$2)&lt;&gt;"",INDEX('×入力'!$A$1:$L$1300,90,2+EZ$2)&lt;&gt;"",INDEX('×入力'!$A$1:$L$1300,91+EZ$3,1)&lt;&gt;""),1,0),0)</f>
        <v/>
      </c>
      <c r="FA13">
        <f>IF(FA$4=1,IF(OR(INDEX('×入力'!$A$1:$L$1300,91+FA$3,2+FA$2)&lt;&gt;"",INDEX('×入力'!$A$1:$L$1300,90,2+FA$2)&lt;&gt;"",INDEX('×入力'!$A$1:$L$1300,91+FA$3,1)&lt;&gt;""),1,0),0)</f>
        <v/>
      </c>
      <c r="FB13">
        <f>IF(FB$4=1,IF(OR(INDEX('×入力'!$A$1:$L$1300,91+FB$3,2+FB$2)&lt;&gt;"",INDEX('×入力'!$A$1:$L$1300,90,2+FB$2)&lt;&gt;"",INDEX('×入力'!$A$1:$L$1300,91+FB$3,1)&lt;&gt;""),1,0),0)</f>
        <v/>
      </c>
      <c r="FC13">
        <f>IF(FC$4=1,IF(OR(INDEX('×入力'!$A$1:$L$1300,91+FC$3,2+FC$2)&lt;&gt;"",INDEX('×入力'!$A$1:$L$1300,90,2+FC$2)&lt;&gt;"",INDEX('×入力'!$A$1:$L$1300,91+FC$3,1)&lt;&gt;""),1,0),0)</f>
        <v/>
      </c>
      <c r="FD13">
        <f>IF(FD$4=1,IF(OR(INDEX('×入力'!$A$1:$L$1300,91+FD$3,2+FD$2)&lt;&gt;"",INDEX('×入力'!$A$1:$L$1300,90,2+FD$2)&lt;&gt;"",INDEX('×入力'!$A$1:$L$1300,91+FD$3,1)&lt;&gt;""),1,0),0)</f>
        <v/>
      </c>
      <c r="FE13">
        <f>IF(FE$4=1,IF(OR(INDEX('×入力'!$A$1:$L$1300,91+FE$3,2+FE$2)&lt;&gt;"",INDEX('×入力'!$A$1:$L$1300,90,2+FE$2)&lt;&gt;"",INDEX('×入力'!$A$1:$L$1300,91+FE$3,1)&lt;&gt;""),1,0),0)</f>
        <v/>
      </c>
      <c r="FF13">
        <f>IF(FF$4=1,IF(OR(INDEX('×入力'!$A$1:$L$1300,91+FF$3,2+FF$2)&lt;&gt;"",INDEX('×入力'!$A$1:$L$1300,90,2+FF$2)&lt;&gt;"",INDEX('×入力'!$A$1:$L$1300,91+FF$3,1)&lt;&gt;""),1,0),0)</f>
        <v/>
      </c>
      <c r="FG13">
        <f>IF(FG$4=1,IF(OR(INDEX('×入力'!$A$1:$L$1300,91+FG$3,2+FG$2)&lt;&gt;"",INDEX('×入力'!$A$1:$L$1300,90,2+FG$2)&lt;&gt;"",INDEX('×入力'!$A$1:$L$1300,91+FG$3,1)&lt;&gt;""),1,0),0)</f>
        <v/>
      </c>
      <c r="FH13">
        <f>IF(FH$4=1,IF(OR(INDEX('×入力'!$A$1:$L$1300,91+FH$3,2+FH$2)&lt;&gt;"",INDEX('×入力'!$A$1:$L$1300,90,2+FH$2)&lt;&gt;"",INDEX('×入力'!$A$1:$L$1300,91+FH$3,1)&lt;&gt;""),1,0),0)</f>
        <v/>
      </c>
      <c r="FI13">
        <f>IF(FI$4=1,IF(OR(INDEX('×入力'!$A$1:$L$1300,91+FI$3,2+FI$2)&lt;&gt;"",INDEX('×入力'!$A$1:$L$1300,90,2+FI$2)&lt;&gt;"",INDEX('×入力'!$A$1:$L$1300,91+FI$3,1)&lt;&gt;""),1,0),0)</f>
        <v/>
      </c>
      <c r="FJ13">
        <f>IF(FJ$4=1,IF(OR(INDEX('×入力'!$A$1:$L$1300,91+FJ$3,2+FJ$2)&lt;&gt;"",INDEX('×入力'!$A$1:$L$1300,90,2+FJ$2)&lt;&gt;"",INDEX('×入力'!$A$1:$L$1300,91+FJ$3,1)&lt;&gt;""),1,0),0)</f>
        <v/>
      </c>
      <c r="FK13">
        <f>IF(FK$4=1,IF(OR(INDEX('×入力'!$A$1:$L$1300,91+FK$3,2+FK$2)&lt;&gt;"",INDEX('×入力'!$A$1:$L$1300,90,2+FK$2)&lt;&gt;"",INDEX('×入力'!$A$1:$L$1300,91+FK$3,1)&lt;&gt;""),1,0),0)</f>
        <v/>
      </c>
      <c r="FL13">
        <f>IF(FL$4=1,IF(OR(INDEX('×入力'!$A$1:$L$1300,91+FL$3,2+FL$2)&lt;&gt;"",INDEX('×入力'!$A$1:$L$1300,90,2+FL$2)&lt;&gt;"",INDEX('×入力'!$A$1:$L$1300,91+FL$3,1)&lt;&gt;""),1,0),0)</f>
        <v/>
      </c>
      <c r="FM13">
        <f>IF(FM$4=1,IF(OR(INDEX('×入力'!$A$1:$L$1300,91+FM$3,2+FM$2)&lt;&gt;"",INDEX('×入力'!$A$1:$L$1300,90,2+FM$2)&lt;&gt;"",INDEX('×入力'!$A$1:$L$1300,91+FM$3,1)&lt;&gt;""),1,0),0)</f>
        <v/>
      </c>
      <c r="FN13">
        <f>IF(FN$4=1,IF(OR(INDEX('×入力'!$A$1:$L$1300,91+FN$3,2+FN$2)&lt;&gt;"",INDEX('×入力'!$A$1:$L$1300,90,2+FN$2)&lt;&gt;"",INDEX('×入力'!$A$1:$L$1300,91+FN$3,1)&lt;&gt;""),1,0),0)</f>
        <v/>
      </c>
      <c r="FO13">
        <f>IF(FO$4=1,IF(OR(INDEX('×入力'!$A$1:$L$1300,91+FO$3,2+FO$2)&lt;&gt;"",INDEX('×入力'!$A$1:$L$1300,90,2+FO$2)&lt;&gt;"",INDEX('×入力'!$A$1:$L$1300,91+FO$3,1)&lt;&gt;""),1,0),0)</f>
        <v/>
      </c>
      <c r="FP13">
        <f>IF(FP$4=1,IF(OR(INDEX('×入力'!$A$1:$L$1300,91+FP$3,2+FP$2)&lt;&gt;"",INDEX('×入力'!$A$1:$L$1300,90,2+FP$2)&lt;&gt;"",INDEX('×入力'!$A$1:$L$1300,91+FP$3,1)&lt;&gt;""),1,0),0)</f>
        <v/>
      </c>
      <c r="FQ13">
        <f>IF(FQ$4=1,IF(OR(INDEX('×入力'!$A$1:$L$1300,91+FQ$3,2+FQ$2)&lt;&gt;"",INDEX('×入力'!$A$1:$L$1300,90,2+FQ$2)&lt;&gt;"",INDEX('×入力'!$A$1:$L$1300,91+FQ$3,1)&lt;&gt;""),1,0),0)</f>
        <v/>
      </c>
      <c r="FR13">
        <f>IF(FR$4=1,IF(OR(INDEX('×入力'!$A$1:$L$1300,91+FR$3,2+FR$2)&lt;&gt;"",INDEX('×入力'!$A$1:$L$1300,90,2+FR$2)&lt;&gt;"",INDEX('×入力'!$A$1:$L$1300,91+FR$3,1)&lt;&gt;""),1,0),0)</f>
        <v/>
      </c>
      <c r="FS13">
        <f>IF(FS$4=1,IF(OR(INDEX('×入力'!$A$1:$L$1300,91+FS$3,2+FS$2)&lt;&gt;"",INDEX('×入力'!$A$1:$L$1300,90,2+FS$2)&lt;&gt;"",INDEX('×入力'!$A$1:$L$1300,91+FS$3,1)&lt;&gt;""),1,0),0)</f>
        <v/>
      </c>
      <c r="FT13">
        <f>IF(FT$4=1,IF(OR(INDEX('×入力'!$A$1:$L$1300,91+FT$3,2+FT$2)&lt;&gt;"",INDEX('×入力'!$A$1:$L$1300,90,2+FT$2)&lt;&gt;"",INDEX('×入力'!$A$1:$L$1300,91+FT$3,1)&lt;&gt;""),1,0),0)</f>
        <v/>
      </c>
      <c r="FU13">
        <f>IF(FU$4=1,IF(OR(INDEX('×入力'!$A$1:$L$1300,91+FU$3,2+FU$2)&lt;&gt;"",INDEX('×入力'!$A$1:$L$1300,90,2+FU$2)&lt;&gt;"",INDEX('×入力'!$A$1:$L$1300,91+FU$3,1)&lt;&gt;""),1,0),0)</f>
        <v/>
      </c>
      <c r="FV13">
        <f>IF(FV$4=1,IF(OR(INDEX('×入力'!$A$1:$L$1300,91+FV$3,2+FV$2)&lt;&gt;"",INDEX('×入力'!$A$1:$L$1300,90,2+FV$2)&lt;&gt;"",INDEX('×入力'!$A$1:$L$1300,91+FV$3,1)&lt;&gt;""),1,0),0)</f>
        <v/>
      </c>
      <c r="FW13">
        <f>IF(FW$4=1,IF(OR(INDEX('×入力'!$A$1:$L$1300,91+FW$3,2+FW$2)&lt;&gt;"",INDEX('×入力'!$A$1:$L$1300,90,2+FW$2)&lt;&gt;"",INDEX('×入力'!$A$1:$L$1300,91+FW$3,1)&lt;&gt;""),1,0),0)</f>
        <v/>
      </c>
      <c r="FX13">
        <f>IF(FX$4=1,IF(OR(INDEX('×入力'!$A$1:$L$1300,91+FX$3,2+FX$2)&lt;&gt;"",INDEX('×入力'!$A$1:$L$1300,90,2+FX$2)&lt;&gt;"",INDEX('×入力'!$A$1:$L$1300,91+FX$3,1)&lt;&gt;""),1,0),0)</f>
        <v/>
      </c>
      <c r="FY13">
        <f>IF(FY$4=1,IF(OR(INDEX('×入力'!$A$1:$L$1300,91+FY$3,2+FY$2)&lt;&gt;"",INDEX('×入力'!$A$1:$L$1300,90,2+FY$2)&lt;&gt;"",INDEX('×入力'!$A$1:$L$1300,91+FY$3,1)&lt;&gt;""),1,0),0)</f>
        <v/>
      </c>
      <c r="FZ13">
        <f>IF(FZ$4=1,IF(OR(INDEX('×入力'!$A$1:$L$1300,91+FZ$3,2+FZ$2)&lt;&gt;"",INDEX('×入力'!$A$1:$L$1300,90,2+FZ$2)&lt;&gt;"",INDEX('×入力'!$A$1:$L$1300,91+FZ$3,1)&lt;&gt;""),1,0),0)</f>
        <v/>
      </c>
      <c r="GA13">
        <f>IF(GA$4=1,IF(OR(INDEX('×入力'!$A$1:$L$1300,91+GA$3,2+GA$2)&lt;&gt;"",INDEX('×入力'!$A$1:$L$1300,90,2+GA$2)&lt;&gt;"",INDEX('×入力'!$A$1:$L$1300,91+GA$3,1)&lt;&gt;""),1,0),0)</f>
        <v/>
      </c>
      <c r="GB13">
        <f>IF(GB$4=1,IF(OR(INDEX('×入力'!$A$1:$L$1300,91+GB$3,2+GB$2)&lt;&gt;"",INDEX('×入力'!$A$1:$L$1300,90,2+GB$2)&lt;&gt;"",INDEX('×入力'!$A$1:$L$1300,91+GB$3,1)&lt;&gt;""),1,0),0)</f>
        <v/>
      </c>
      <c r="GC13">
        <f>IF(GC$4=1,IF(OR(INDEX('×入力'!$A$1:$L$1300,91+GC$3,2+GC$2)&lt;&gt;"",INDEX('×入力'!$A$1:$L$1300,90,2+GC$2)&lt;&gt;"",INDEX('×入力'!$A$1:$L$1300,91+GC$3,1)&lt;&gt;""),1,0),0)</f>
        <v/>
      </c>
      <c r="GD13">
        <f>IF(GD$4=1,IF(OR(INDEX('×入力'!$A$1:$L$1300,91+GD$3,2+GD$2)&lt;&gt;"",INDEX('×入力'!$A$1:$L$1300,90,2+GD$2)&lt;&gt;"",INDEX('×入力'!$A$1:$L$1300,91+GD$3,1)&lt;&gt;""),1,0),0)</f>
        <v/>
      </c>
      <c r="GE13">
        <f>IF(GE$4=1,IF(OR(INDEX('×入力'!$A$1:$L$1300,91+GE$3,2+GE$2)&lt;&gt;"",INDEX('×入力'!$A$1:$L$1300,90,2+GE$2)&lt;&gt;"",INDEX('×入力'!$A$1:$L$1300,91+GE$3,1)&lt;&gt;""),1,0),0)</f>
        <v/>
      </c>
      <c r="GF13">
        <f>IF(GF$4=1,IF(OR(INDEX('×入力'!$A$1:$L$1300,91+GF$3,2+GF$2)&lt;&gt;"",INDEX('×入力'!$A$1:$L$1300,90,2+GF$2)&lt;&gt;"",INDEX('×入力'!$A$1:$L$1300,91+GF$3,1)&lt;&gt;""),1,0),0)</f>
        <v/>
      </c>
      <c r="GG13">
        <f>IF(GG$4=1,IF(OR(INDEX('×入力'!$A$1:$L$1300,91+GG$3,2+GG$2)&lt;&gt;"",INDEX('×入力'!$A$1:$L$1300,90,2+GG$2)&lt;&gt;"",INDEX('×入力'!$A$1:$L$1300,91+GG$3,1)&lt;&gt;""),1,0),0)</f>
        <v/>
      </c>
      <c r="GH13">
        <f>IF(GH$4=1,IF(OR(INDEX('×入力'!$A$1:$L$1300,91+GH$3,2+GH$2)&lt;&gt;"",INDEX('×入力'!$A$1:$L$1300,90,2+GH$2)&lt;&gt;"",INDEX('×入力'!$A$1:$L$1300,91+GH$3,1)&lt;&gt;""),1,0),0)</f>
        <v/>
      </c>
      <c r="GI13">
        <f>IF(GI$4=1,IF(OR(INDEX('×入力'!$A$1:$L$1300,91+GI$3,2+GI$2)&lt;&gt;"",INDEX('×入力'!$A$1:$L$1300,90,2+GI$2)&lt;&gt;"",INDEX('×入力'!$A$1:$L$1300,91+GI$3,1)&lt;&gt;""),1,0),0)</f>
        <v/>
      </c>
      <c r="GJ13">
        <f>IF(GJ$4=1,IF(OR(INDEX('×入力'!$A$1:$L$1300,91+GJ$3,2+GJ$2)&lt;&gt;"",INDEX('×入力'!$A$1:$L$1300,90,2+GJ$2)&lt;&gt;"",INDEX('×入力'!$A$1:$L$1300,91+GJ$3,1)&lt;&gt;""),1,0),0)</f>
        <v/>
      </c>
      <c r="GK13">
        <f>IF(GK$4=1,IF(OR(INDEX('×入力'!$A$1:$L$1300,91+GK$3,2+GK$2)&lt;&gt;"",INDEX('×入力'!$A$1:$L$1300,90,2+GK$2)&lt;&gt;"",INDEX('×入力'!$A$1:$L$1300,91+GK$3,1)&lt;&gt;""),1,0),0)</f>
        <v/>
      </c>
      <c r="GL13">
        <f>IF(GL$4=1,IF(OR(INDEX('×入力'!$A$1:$L$1300,91+GL$3,2+GL$2)&lt;&gt;"",INDEX('×入力'!$A$1:$L$1300,90,2+GL$2)&lt;&gt;"",INDEX('×入力'!$A$1:$L$1300,91+GL$3,1)&lt;&gt;""),1,0),0)</f>
        <v/>
      </c>
      <c r="GM13">
        <f>IF(GM$4=1,IF(OR(INDEX('×入力'!$A$1:$L$1300,91+GM$3,2+GM$2)&lt;&gt;"",INDEX('×入力'!$A$1:$L$1300,90,2+GM$2)&lt;&gt;"",INDEX('×入力'!$A$1:$L$1300,91+GM$3,1)&lt;&gt;""),1,0),0)</f>
        <v/>
      </c>
      <c r="GN13">
        <f>IF(GN$4=1,IF(OR(INDEX('×入力'!$A$1:$L$1300,91+GN$3,2+GN$2)&lt;&gt;"",INDEX('×入力'!$A$1:$L$1300,90,2+GN$2)&lt;&gt;"",INDEX('×入力'!$A$1:$L$1300,91+GN$3,1)&lt;&gt;""),1,0),0)</f>
        <v/>
      </c>
      <c r="GO13">
        <f>IF(GO$4=1,IF(OR(INDEX('×入力'!$A$1:$L$1300,91+GO$3,2+GO$2)&lt;&gt;"",INDEX('×入力'!$A$1:$L$1300,90,2+GO$2)&lt;&gt;"",INDEX('×入力'!$A$1:$L$1300,91+GO$3,1)&lt;&gt;""),1,0),0)</f>
        <v/>
      </c>
      <c r="GP13">
        <f>IF(GP$4=1,IF(OR(INDEX('×入力'!$A$1:$L$1300,91+GP$3,2+GP$2)&lt;&gt;"",INDEX('×入力'!$A$1:$L$1300,90,2+GP$2)&lt;&gt;"",INDEX('×入力'!$A$1:$L$1300,91+GP$3,1)&lt;&gt;""),1,0),0)</f>
        <v/>
      </c>
      <c r="GQ13">
        <f>IF(GQ$4=1,IF(OR(INDEX('×入力'!$A$1:$L$1300,91+GQ$3,2+GQ$2)&lt;&gt;"",INDEX('×入力'!$A$1:$L$1300,90,2+GQ$2)&lt;&gt;"",INDEX('×入力'!$A$1:$L$1300,91+GQ$3,1)&lt;&gt;""),1,0),0)</f>
        <v/>
      </c>
      <c r="GR13">
        <f>IF(GR$4=1,IF(OR(INDEX('×入力'!$A$1:$L$1300,91+GR$3,2+GR$2)&lt;&gt;"",INDEX('×入力'!$A$1:$L$1300,90,2+GR$2)&lt;&gt;"",INDEX('×入力'!$A$1:$L$1300,91+GR$3,1)&lt;&gt;""),1,0),0)</f>
        <v/>
      </c>
      <c r="GS13">
        <f>IF(GS$4=1,IF(OR(INDEX('×入力'!$A$1:$L$1300,91+GS$3,2+GS$2)&lt;&gt;"",INDEX('×入力'!$A$1:$L$1300,90,2+GS$2)&lt;&gt;"",INDEX('×入力'!$A$1:$L$1300,91+GS$3,1)&lt;&gt;""),1,0),0)</f>
        <v/>
      </c>
      <c r="GT13">
        <f>IF(GT$4=1,IF(OR(INDEX('×入力'!$A$1:$L$1300,91+GT$3,2+GT$2)&lt;&gt;"",INDEX('×入力'!$A$1:$L$1300,90,2+GT$2)&lt;&gt;"",INDEX('×入力'!$A$1:$L$1300,91+GT$3,1)&lt;&gt;""),1,0),0)</f>
        <v/>
      </c>
      <c r="GU13">
        <f>IF(GU$4=1,IF(OR(INDEX('×入力'!$A$1:$L$1300,91+GU$3,2+GU$2)&lt;&gt;"",INDEX('×入力'!$A$1:$L$1300,90,2+GU$2)&lt;&gt;"",INDEX('×入力'!$A$1:$L$1300,91+GU$3,1)&lt;&gt;""),1,0),0)</f>
        <v/>
      </c>
      <c r="GV13">
        <f>IF(GV$4=1,IF(OR(INDEX('×入力'!$A$1:$L$1300,91+GV$3,2+GV$2)&lt;&gt;"",INDEX('×入力'!$A$1:$L$1300,90,2+GV$2)&lt;&gt;"",INDEX('×入力'!$A$1:$L$1300,91+GV$3,1)&lt;&gt;""),1,0),0)</f>
        <v/>
      </c>
      <c r="GW13">
        <f>IF(GW$4=1,IF(OR(INDEX('×入力'!$A$1:$L$1300,91+GW$3,2+GW$2)&lt;&gt;"",INDEX('×入力'!$A$1:$L$1300,90,2+GW$2)&lt;&gt;"",INDEX('×入力'!$A$1:$L$1300,91+GW$3,1)&lt;&gt;""),1,0),0)</f>
        <v/>
      </c>
      <c r="GX13">
        <f>IF(GX$4=1,IF(OR(INDEX('×入力'!$A$1:$L$1300,91+GX$3,2+GX$2)&lt;&gt;"",INDEX('×入力'!$A$1:$L$1300,90,2+GX$2)&lt;&gt;"",INDEX('×入力'!$A$1:$L$1300,91+GX$3,1)&lt;&gt;""),1,0),0)</f>
        <v/>
      </c>
      <c r="GY13">
        <f>IF(GY$4=1,IF(OR(INDEX('×入力'!$A$1:$L$1300,91+GY$3,2+GY$2)&lt;&gt;"",INDEX('×入力'!$A$1:$L$1300,90,2+GY$2)&lt;&gt;"",INDEX('×入力'!$A$1:$L$1300,91+GY$3,1)&lt;&gt;""),1,0),0)</f>
        <v/>
      </c>
      <c r="GZ13">
        <f>IF(GZ$4=1,IF(OR(INDEX('×入力'!$A$1:$L$1300,91+GZ$3,2+GZ$2)&lt;&gt;"",INDEX('×入力'!$A$1:$L$1300,90,2+GZ$2)&lt;&gt;"",INDEX('×入力'!$A$1:$L$1300,91+GZ$3,1)&lt;&gt;""),1,0),0)</f>
        <v/>
      </c>
      <c r="HA13">
        <f>IF(HA$4=1,IF(OR(INDEX('×入力'!$A$1:$L$1300,91+HA$3,2+HA$2)&lt;&gt;"",INDEX('×入力'!$A$1:$L$1300,90,2+HA$2)&lt;&gt;"",INDEX('×入力'!$A$1:$L$1300,91+HA$3,1)&lt;&gt;""),1,0),0)</f>
        <v/>
      </c>
      <c r="HB13">
        <f>IF(HB$4=1,IF(OR(INDEX('×入力'!$A$1:$L$1300,91+HB$3,2+HB$2)&lt;&gt;"",INDEX('×入力'!$A$1:$L$1300,90,2+HB$2)&lt;&gt;"",INDEX('×入力'!$A$1:$L$1300,91+HB$3,1)&lt;&gt;""),1,0),0)</f>
        <v/>
      </c>
      <c r="HC13">
        <f>IF(HC$4=1,IF(OR(INDEX('×入力'!$A$1:$L$1300,91+HC$3,2+HC$2)&lt;&gt;"",INDEX('×入力'!$A$1:$L$1300,90,2+HC$2)&lt;&gt;"",INDEX('×入力'!$A$1:$L$1300,91+HC$3,1)&lt;&gt;""),1,0),0)</f>
        <v/>
      </c>
      <c r="HD13">
        <f>IF(HD$4=1,IF(OR(INDEX('×入力'!$A$1:$L$1300,91+HD$3,2+HD$2)&lt;&gt;"",INDEX('×入力'!$A$1:$L$1300,90,2+HD$2)&lt;&gt;"",INDEX('×入力'!$A$1:$L$1300,91+HD$3,1)&lt;&gt;""),1,0),0)</f>
        <v/>
      </c>
      <c r="HE13">
        <f>IF(HE$4=1,IF(OR(INDEX('×入力'!$A$1:$L$1300,91+HE$3,2+HE$2)&lt;&gt;"",INDEX('×入力'!$A$1:$L$1300,90,2+HE$2)&lt;&gt;"",INDEX('×入力'!$A$1:$L$1300,91+HE$3,1)&lt;&gt;""),1,0),0)</f>
        <v/>
      </c>
      <c r="HF13">
        <f>IF(HF$4=1,IF(OR(INDEX('×入力'!$A$1:$L$1300,91+HF$3,2+HF$2)&lt;&gt;"",INDEX('×入力'!$A$1:$L$1300,90,2+HF$2)&lt;&gt;"",INDEX('×入力'!$A$1:$L$1300,91+HF$3,1)&lt;&gt;""),1,0),0)</f>
        <v/>
      </c>
      <c r="HG13">
        <f>IF(HG$4=1,IF(OR(INDEX('×入力'!$A$1:$L$1300,91+HG$3,2+HG$2)&lt;&gt;"",INDEX('×入力'!$A$1:$L$1300,90,2+HG$2)&lt;&gt;"",INDEX('×入力'!$A$1:$L$1300,91+HG$3,1)&lt;&gt;""),1,0),0)</f>
        <v/>
      </c>
      <c r="HH13">
        <f>IF(HH$4=1,IF(OR(INDEX('×入力'!$A$1:$L$1300,91+HH$3,2+HH$2)&lt;&gt;"",INDEX('×入力'!$A$1:$L$1300,90,2+HH$2)&lt;&gt;"",INDEX('×入力'!$A$1:$L$1300,91+HH$3,1)&lt;&gt;""),1,0),0)</f>
        <v/>
      </c>
      <c r="HI13">
        <f>IF(HI$4=1,IF(OR(INDEX('×入力'!$A$1:$L$1300,91+HI$3,2+HI$2)&lt;&gt;"",INDEX('×入力'!$A$1:$L$1300,90,2+HI$2)&lt;&gt;"",INDEX('×入力'!$A$1:$L$1300,91+HI$3,1)&lt;&gt;""),1,0),0)</f>
        <v/>
      </c>
      <c r="HJ13">
        <f>IF(HJ$4=1,IF(OR(INDEX('×入力'!$A$1:$L$1300,91+HJ$3,2+HJ$2)&lt;&gt;"",INDEX('×入力'!$A$1:$L$1300,90,2+HJ$2)&lt;&gt;"",INDEX('×入力'!$A$1:$L$1300,91+HJ$3,1)&lt;&gt;""),1,0),0)</f>
        <v/>
      </c>
      <c r="HK13">
        <f>IF(HK$4=1,IF(OR(INDEX('×入力'!$A$1:$L$1300,91+HK$3,2+HK$2)&lt;&gt;"",INDEX('×入力'!$A$1:$L$1300,90,2+HK$2)&lt;&gt;"",INDEX('×入力'!$A$1:$L$1300,91+HK$3,1)&lt;&gt;""),1,0),0)</f>
        <v/>
      </c>
      <c r="HL13">
        <f>IF(HL$4=1,IF(OR(INDEX('×入力'!$A$1:$L$1300,91+HL$3,2+HL$2)&lt;&gt;"",INDEX('×入力'!$A$1:$L$1300,90,2+HL$2)&lt;&gt;"",INDEX('×入力'!$A$1:$L$1300,91+HL$3,1)&lt;&gt;""),1,0),0)</f>
        <v/>
      </c>
      <c r="HM13">
        <f>IF(HM$4=1,IF(OR(INDEX('×入力'!$A$1:$L$1300,91+HM$3,2+HM$2)&lt;&gt;"",INDEX('×入力'!$A$1:$L$1300,90,2+HM$2)&lt;&gt;"",INDEX('×入力'!$A$1:$L$1300,91+HM$3,1)&lt;&gt;""),1,0),0)</f>
        <v/>
      </c>
      <c r="HN13">
        <f>IF(HN$4=1,IF(OR(INDEX('×入力'!$A$1:$L$1300,91+HN$3,2+HN$2)&lt;&gt;"",INDEX('×入力'!$A$1:$L$1300,90,2+HN$2)&lt;&gt;"",INDEX('×入力'!$A$1:$L$1300,91+HN$3,1)&lt;&gt;""),1,0),0)</f>
        <v/>
      </c>
      <c r="HO13">
        <f>IF(HO$4=1,IF(OR(INDEX('×入力'!$A$1:$L$1300,91+HO$3,2+HO$2)&lt;&gt;"",INDEX('×入力'!$A$1:$L$1300,90,2+HO$2)&lt;&gt;"",INDEX('×入力'!$A$1:$L$1300,91+HO$3,1)&lt;&gt;""),1,0),0)</f>
        <v/>
      </c>
      <c r="HP13">
        <f>IF(HP$4=1,IF(OR(INDEX('×入力'!$A$1:$L$1300,91+HP$3,2+HP$2)&lt;&gt;"",INDEX('×入力'!$A$1:$L$1300,90,2+HP$2)&lt;&gt;"",INDEX('×入力'!$A$1:$L$1300,91+HP$3,1)&lt;&gt;""),1,0),0)</f>
        <v/>
      </c>
      <c r="HQ13">
        <f>IF(HQ$4=1,IF(OR(INDEX('×入力'!$A$1:$L$1300,91+HQ$3,2+HQ$2)&lt;&gt;"",INDEX('×入力'!$A$1:$L$1300,90,2+HQ$2)&lt;&gt;"",INDEX('×入力'!$A$1:$L$1300,91+HQ$3,1)&lt;&gt;""),1,0),0)</f>
        <v/>
      </c>
      <c r="HR13">
        <f>IF(HR$4=1,IF(OR(INDEX('×入力'!$A$1:$L$1300,91+HR$3,2+HR$2)&lt;&gt;"",INDEX('×入力'!$A$1:$L$1300,90,2+HR$2)&lt;&gt;"",INDEX('×入力'!$A$1:$L$1300,91+HR$3,1)&lt;&gt;""),1,0),0)</f>
        <v/>
      </c>
      <c r="HS13">
        <f>IF(HS$4=1,IF(OR(INDEX('×入力'!$A$1:$L$1300,91+HS$3,2+HS$2)&lt;&gt;"",INDEX('×入力'!$A$1:$L$1300,90,2+HS$2)&lt;&gt;"",INDEX('×入力'!$A$1:$L$1300,91+HS$3,1)&lt;&gt;""),1,0),0)</f>
        <v/>
      </c>
      <c r="HT13">
        <f>IF(HT$4=1,IF(OR(INDEX('×入力'!$A$1:$L$1300,91+HT$3,2+HT$2)&lt;&gt;"",INDEX('×入力'!$A$1:$L$1300,90,2+HT$2)&lt;&gt;"",INDEX('×入力'!$A$1:$L$1300,91+HT$3,1)&lt;&gt;""),1,0),0)</f>
        <v/>
      </c>
      <c r="HU13">
        <f>IF(HU$4=1,IF(OR(INDEX('×入力'!$A$1:$L$1300,91+HU$3,2+HU$2)&lt;&gt;"",INDEX('×入力'!$A$1:$L$1300,90,2+HU$2)&lt;&gt;"",INDEX('×入力'!$A$1:$L$1300,91+HU$3,1)&lt;&gt;""),1,0),0)</f>
        <v/>
      </c>
      <c r="HV13">
        <f>IF(HV$4=1,IF(OR(INDEX('×入力'!$A$1:$L$1300,91+HV$3,2+HV$2)&lt;&gt;"",INDEX('×入力'!$A$1:$L$1300,90,2+HV$2)&lt;&gt;"",INDEX('×入力'!$A$1:$L$1300,91+HV$3,1)&lt;&gt;""),1,0),0)</f>
        <v/>
      </c>
      <c r="HW13">
        <f>IF(HW$4=1,IF(OR(INDEX('×入力'!$A$1:$L$1300,91+HW$3,2+HW$2)&lt;&gt;"",INDEX('×入力'!$A$1:$L$1300,90,2+HW$2)&lt;&gt;"",INDEX('×入力'!$A$1:$L$1300,91+HW$3,1)&lt;&gt;""),1,0),0)</f>
        <v/>
      </c>
      <c r="HX13">
        <f>IF(HX$4=1,IF(OR(INDEX('×入力'!$A$1:$L$1300,91+HX$3,2+HX$2)&lt;&gt;"",INDEX('×入力'!$A$1:$L$1300,90,2+HX$2)&lt;&gt;"",INDEX('×入力'!$A$1:$L$1300,91+HX$3,1)&lt;&gt;""),1,0),0)</f>
        <v/>
      </c>
      <c r="HY13">
        <f>IF(HY$4=1,IF(OR(INDEX('×入力'!$A$1:$L$1300,91+HY$3,2+HY$2)&lt;&gt;"",INDEX('×入力'!$A$1:$L$1300,90,2+HY$2)&lt;&gt;"",INDEX('×入力'!$A$1:$L$1300,91+HY$3,1)&lt;&gt;""),1,0),0)</f>
        <v/>
      </c>
      <c r="HZ13">
        <f>IF(HZ$4=1,IF(OR(INDEX('×入力'!$A$1:$L$1300,91+HZ$3,2+HZ$2)&lt;&gt;"",INDEX('×入力'!$A$1:$L$1300,90,2+HZ$2)&lt;&gt;"",INDEX('×入力'!$A$1:$L$1300,91+HZ$3,1)&lt;&gt;""),1,0),0)</f>
        <v/>
      </c>
      <c r="IA13">
        <f>IF(IA$4=1,IF(OR(INDEX('×入力'!$A$1:$L$1300,91+IA$3,2+IA$2)&lt;&gt;"",INDEX('×入力'!$A$1:$L$1300,90,2+IA$2)&lt;&gt;"",INDEX('×入力'!$A$1:$L$1300,91+IA$3,1)&lt;&gt;""),1,0),0)</f>
        <v/>
      </c>
      <c r="IB13">
        <f>IF(IB$4=1,IF(OR(INDEX('×入力'!$A$1:$L$1300,91+IB$3,2+IB$2)&lt;&gt;"",INDEX('×入力'!$A$1:$L$1300,90,2+IB$2)&lt;&gt;"",INDEX('×入力'!$A$1:$L$1300,91+IB$3,1)&lt;&gt;""),1,0),0)</f>
        <v/>
      </c>
      <c r="IC13">
        <f>IF(IC$4=1,IF(OR(INDEX('×入力'!$A$1:$L$1300,91+IC$3,2+IC$2)&lt;&gt;"",INDEX('×入力'!$A$1:$L$1300,90,2+IC$2)&lt;&gt;"",INDEX('×入力'!$A$1:$L$1300,91+IC$3,1)&lt;&gt;""),1,0),0)</f>
        <v/>
      </c>
      <c r="ID13">
        <f>IF(ID$4=1,IF(OR(INDEX('×入力'!$A$1:$L$1300,91+ID$3,2+ID$2)&lt;&gt;"",INDEX('×入力'!$A$1:$L$1300,90,2+ID$2)&lt;&gt;"",INDEX('×入力'!$A$1:$L$1300,91+ID$3,1)&lt;&gt;""),1,0),0)</f>
        <v/>
      </c>
      <c r="IE13">
        <f>IF(IE$4=1,IF(OR(INDEX('×入力'!$A$1:$L$1300,91+IE$3,2+IE$2)&lt;&gt;"",INDEX('×入力'!$A$1:$L$1300,90,2+IE$2)&lt;&gt;"",INDEX('×入力'!$A$1:$L$1300,91+IE$3,1)&lt;&gt;""),1,0),0)</f>
        <v/>
      </c>
      <c r="IF13">
        <f>IF(IF$4=1,IF(OR(INDEX('×入力'!$A$1:$L$1300,91+IF$3,2+IF$2)&lt;&gt;"",INDEX('×入力'!$A$1:$L$1300,90,2+IF$2)&lt;&gt;"",INDEX('×入力'!$A$1:$L$1300,91+IF$3,1)&lt;&gt;""),1,0),0)</f>
        <v/>
      </c>
      <c r="IG13">
        <f>IF(IG$4=1,IF(OR(INDEX('×入力'!$A$1:$L$1300,91+IG$3,2+IG$2)&lt;&gt;"",INDEX('×入力'!$A$1:$L$1300,90,2+IG$2)&lt;&gt;"",INDEX('×入力'!$A$1:$L$1300,91+IG$3,1)&lt;&gt;""),1,0),0)</f>
        <v/>
      </c>
      <c r="IH13">
        <f>IF(IH$4=1,IF(OR(INDEX('×入力'!$A$1:$L$1300,91+IH$3,2+IH$2)&lt;&gt;"",INDEX('×入力'!$A$1:$L$1300,90,2+IH$2)&lt;&gt;"",INDEX('×入力'!$A$1:$L$1300,91+IH$3,1)&lt;&gt;""),1,0),0)</f>
        <v/>
      </c>
      <c r="II13">
        <f>IF(II$4=1,IF(OR(INDEX('×入力'!$A$1:$L$1300,91+II$3,2+II$2)&lt;&gt;"",INDEX('×入力'!$A$1:$L$1300,90,2+II$2)&lt;&gt;"",INDEX('×入力'!$A$1:$L$1300,91+II$3,1)&lt;&gt;""),1,0),0)</f>
        <v/>
      </c>
      <c r="IK13">
        <f>IFERROR(INDEX('計算B'!$C$3:$C$47,MATCH(A13,'計算B'!$B$3:$B$47,0)),0)</f>
        <v/>
      </c>
      <c r="IL13">
        <f>IF(AND(C13=1,IK13=0),1,0)</f>
        <v/>
      </c>
      <c r="IM13">
        <f>SUMPRODUCT(D63:II63*(1-$D$7:$II$7))</f>
        <v/>
      </c>
      <c r="IN13">
        <f>SUM(D13:II13)</f>
        <v/>
      </c>
      <c r="IO13">
        <f>IF(B13="",0,IF(COUNTIF('調整・決定'!$C$6:$L$29,B13)=1,SUMPRODUCT(('調整・決定'!$C$6:$L$29=B13)*((COLUMN('調整・決定'!$C$6:$L$29)-3)*24+ROW('調整・決定'!$C$6:$L$29)-5)),0))</f>
        <v/>
      </c>
      <c r="IP13">
        <f>IFERROR(MATCH('名簿'!E8,{"早い時刻","遅い時刻","早い日","遅い日"},0),0)</f>
        <v/>
      </c>
      <c r="IQ13">
        <f>IF('名簿'!F8="必ず空けたい",2,IF('名簿'!F8="出来れば空けたい",1,0))</f>
        <v/>
      </c>
    </row>
    <row r="14">
      <c r="A14" t="n">
        <v>5</v>
      </c>
      <c r="B14">
        <f>'名簿'!G9</f>
        <v/>
      </c>
      <c r="C14">
        <f>IF(AND(B14&lt;&gt;"",OR('名簿'!H9="入力済み",'名簿'!H9="×なし"),IO14=0,COUNTIF('調整・決定'!$C$6:$L$29,B14)=0),1,0)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ER14">
        <f>IF(ER$4=1,IF(OR(INDEX('×入力'!$A$1:$L$1300,119+ER$3,2+ER$2)&lt;&gt;"",INDEX('×入力'!$A$1:$L$1300,118,2+ER$2)&lt;&gt;"",INDEX('×入力'!$A$1:$L$1300,119+ER$3,1)&lt;&gt;""),1,0),0)</f>
        <v/>
      </c>
      <c r="ES14">
        <f>IF(ES$4=1,IF(OR(INDEX('×入力'!$A$1:$L$1300,119+ES$3,2+ES$2)&lt;&gt;"",INDEX('×入力'!$A$1:$L$1300,118,2+ES$2)&lt;&gt;"",INDEX('×入力'!$A$1:$L$1300,119+ES$3,1)&lt;&gt;""),1,0),0)</f>
        <v/>
      </c>
      <c r="ET14">
        <f>IF(ET$4=1,IF(OR(INDEX('×入力'!$A$1:$L$1300,119+ET$3,2+ET$2)&lt;&gt;"",INDEX('×入力'!$A$1:$L$1300,118,2+ET$2)&lt;&gt;"",INDEX('×入力'!$A$1:$L$1300,119+ET$3,1)&lt;&gt;""),1,0),0)</f>
        <v/>
      </c>
      <c r="EU14">
        <f>IF(EU$4=1,IF(OR(INDEX('×入力'!$A$1:$L$1300,119+EU$3,2+EU$2)&lt;&gt;"",INDEX('×入力'!$A$1:$L$1300,118,2+EU$2)&lt;&gt;"",INDEX('×入力'!$A$1:$L$1300,119+EU$3,1)&lt;&gt;""),1,0),0)</f>
        <v/>
      </c>
      <c r="EV14">
        <f>IF(EV$4=1,IF(OR(INDEX('×入力'!$A$1:$L$1300,119+EV$3,2+EV$2)&lt;&gt;"",INDEX('×入力'!$A$1:$L$1300,118,2+EV$2)&lt;&gt;"",INDEX('×入力'!$A$1:$L$1300,119+EV$3,1)&lt;&gt;""),1,0),0)</f>
        <v/>
      </c>
      <c r="EW14">
        <f>IF(EW$4=1,IF(OR(INDEX('×入力'!$A$1:$L$1300,119+EW$3,2+EW$2)&lt;&gt;"",INDEX('×入力'!$A$1:$L$1300,118,2+EW$2)&lt;&gt;"",INDEX('×入力'!$A$1:$L$1300,119+EW$3,1)&lt;&gt;""),1,0),0)</f>
        <v/>
      </c>
      <c r="EX14">
        <f>IF(EX$4=1,IF(OR(INDEX('×入力'!$A$1:$L$1300,119+EX$3,2+EX$2)&lt;&gt;"",INDEX('×入力'!$A$1:$L$1300,118,2+EX$2)&lt;&gt;"",INDEX('×入力'!$A$1:$L$1300,119+EX$3,1)&lt;&gt;""),1,0),0)</f>
        <v/>
      </c>
      <c r="EY14">
        <f>IF(EY$4=1,IF(OR(INDEX('×入力'!$A$1:$L$1300,119+EY$3,2+EY$2)&lt;&gt;"",INDEX('×入力'!$A$1:$L$1300,118,2+EY$2)&lt;&gt;"",INDEX('×入力'!$A$1:$L$1300,119+EY$3,1)&lt;&gt;""),1,0),0)</f>
        <v/>
      </c>
      <c r="EZ14">
        <f>IF(EZ$4=1,IF(OR(INDEX('×入力'!$A$1:$L$1300,119+EZ$3,2+EZ$2)&lt;&gt;"",INDEX('×入力'!$A$1:$L$1300,118,2+EZ$2)&lt;&gt;"",INDEX('×入力'!$A$1:$L$1300,119+EZ$3,1)&lt;&gt;""),1,0),0)</f>
        <v/>
      </c>
      <c r="FA14">
        <f>IF(FA$4=1,IF(OR(INDEX('×入力'!$A$1:$L$1300,119+FA$3,2+FA$2)&lt;&gt;"",INDEX('×入力'!$A$1:$L$1300,118,2+FA$2)&lt;&gt;"",INDEX('×入力'!$A$1:$L$1300,119+FA$3,1)&lt;&gt;""),1,0),0)</f>
        <v/>
      </c>
      <c r="FB14">
        <f>IF(FB$4=1,IF(OR(INDEX('×入力'!$A$1:$L$1300,119+FB$3,2+FB$2)&lt;&gt;"",INDEX('×入力'!$A$1:$L$1300,118,2+FB$2)&lt;&gt;"",INDEX('×入力'!$A$1:$L$1300,119+FB$3,1)&lt;&gt;""),1,0),0)</f>
        <v/>
      </c>
      <c r="FC14">
        <f>IF(FC$4=1,IF(OR(INDEX('×入力'!$A$1:$L$1300,119+FC$3,2+FC$2)&lt;&gt;"",INDEX('×入力'!$A$1:$L$1300,118,2+FC$2)&lt;&gt;"",INDEX('×入力'!$A$1:$L$1300,119+FC$3,1)&lt;&gt;""),1,0),0)</f>
        <v/>
      </c>
      <c r="FD14">
        <f>IF(FD$4=1,IF(OR(INDEX('×入力'!$A$1:$L$1300,119+FD$3,2+FD$2)&lt;&gt;"",INDEX('×入力'!$A$1:$L$1300,118,2+FD$2)&lt;&gt;"",INDEX('×入力'!$A$1:$L$1300,119+FD$3,1)&lt;&gt;""),1,0),0)</f>
        <v/>
      </c>
      <c r="FE14">
        <f>IF(FE$4=1,IF(OR(INDEX('×入力'!$A$1:$L$1300,119+FE$3,2+FE$2)&lt;&gt;"",INDEX('×入力'!$A$1:$L$1300,118,2+FE$2)&lt;&gt;"",INDEX('×入力'!$A$1:$L$1300,119+FE$3,1)&lt;&gt;""),1,0),0)</f>
        <v/>
      </c>
      <c r="FF14">
        <f>IF(FF$4=1,IF(OR(INDEX('×入力'!$A$1:$L$1300,119+FF$3,2+FF$2)&lt;&gt;"",INDEX('×入力'!$A$1:$L$1300,118,2+FF$2)&lt;&gt;"",INDEX('×入力'!$A$1:$L$1300,119+FF$3,1)&lt;&gt;""),1,0),0)</f>
        <v/>
      </c>
      <c r="FG14">
        <f>IF(FG$4=1,IF(OR(INDEX('×入力'!$A$1:$L$1300,119+FG$3,2+FG$2)&lt;&gt;"",INDEX('×入力'!$A$1:$L$1300,118,2+FG$2)&lt;&gt;"",INDEX('×入力'!$A$1:$L$1300,119+FG$3,1)&lt;&gt;""),1,0),0)</f>
        <v/>
      </c>
      <c r="FH14">
        <f>IF(FH$4=1,IF(OR(INDEX('×入力'!$A$1:$L$1300,119+FH$3,2+FH$2)&lt;&gt;"",INDEX('×入力'!$A$1:$L$1300,118,2+FH$2)&lt;&gt;"",INDEX('×入力'!$A$1:$L$1300,119+FH$3,1)&lt;&gt;""),1,0),0)</f>
        <v/>
      </c>
      <c r="FI14">
        <f>IF(FI$4=1,IF(OR(INDEX('×入力'!$A$1:$L$1300,119+FI$3,2+FI$2)&lt;&gt;"",INDEX('×入力'!$A$1:$L$1300,118,2+FI$2)&lt;&gt;"",INDEX('×入力'!$A$1:$L$1300,119+FI$3,1)&lt;&gt;""),1,0),0)</f>
        <v/>
      </c>
      <c r="FJ14">
        <f>IF(FJ$4=1,IF(OR(INDEX('×入力'!$A$1:$L$1300,119+FJ$3,2+FJ$2)&lt;&gt;"",INDEX('×入力'!$A$1:$L$1300,118,2+FJ$2)&lt;&gt;"",INDEX('×入力'!$A$1:$L$1300,119+FJ$3,1)&lt;&gt;""),1,0),0)</f>
        <v/>
      </c>
      <c r="FK14">
        <f>IF(FK$4=1,IF(OR(INDEX('×入力'!$A$1:$L$1300,119+FK$3,2+FK$2)&lt;&gt;"",INDEX('×入力'!$A$1:$L$1300,118,2+FK$2)&lt;&gt;"",INDEX('×入力'!$A$1:$L$1300,119+FK$3,1)&lt;&gt;""),1,0),0)</f>
        <v/>
      </c>
      <c r="FL14">
        <f>IF(FL$4=1,IF(OR(INDEX('×入力'!$A$1:$L$1300,119+FL$3,2+FL$2)&lt;&gt;"",INDEX('×入力'!$A$1:$L$1300,118,2+FL$2)&lt;&gt;"",INDEX('×入力'!$A$1:$L$1300,119+FL$3,1)&lt;&gt;""),1,0),0)</f>
        <v/>
      </c>
      <c r="FM14">
        <f>IF(FM$4=1,IF(OR(INDEX('×入力'!$A$1:$L$1300,119+FM$3,2+FM$2)&lt;&gt;"",INDEX('×入力'!$A$1:$L$1300,118,2+FM$2)&lt;&gt;"",INDEX('×入力'!$A$1:$L$1300,119+FM$3,1)&lt;&gt;""),1,0),0)</f>
        <v/>
      </c>
      <c r="FN14">
        <f>IF(FN$4=1,IF(OR(INDEX('×入力'!$A$1:$L$1300,119+FN$3,2+FN$2)&lt;&gt;"",INDEX('×入力'!$A$1:$L$1300,118,2+FN$2)&lt;&gt;"",INDEX('×入力'!$A$1:$L$1300,119+FN$3,1)&lt;&gt;""),1,0),0)</f>
        <v/>
      </c>
      <c r="FO14">
        <f>IF(FO$4=1,IF(OR(INDEX('×入力'!$A$1:$L$1300,119+FO$3,2+FO$2)&lt;&gt;"",INDEX('×入力'!$A$1:$L$1300,118,2+FO$2)&lt;&gt;"",INDEX('×入力'!$A$1:$L$1300,119+FO$3,1)&lt;&gt;""),1,0),0)</f>
        <v/>
      </c>
      <c r="FP14">
        <f>IF(FP$4=1,IF(OR(INDEX('×入力'!$A$1:$L$1300,119+FP$3,2+FP$2)&lt;&gt;"",INDEX('×入力'!$A$1:$L$1300,118,2+FP$2)&lt;&gt;"",INDEX('×入力'!$A$1:$L$1300,119+FP$3,1)&lt;&gt;""),1,0),0)</f>
        <v/>
      </c>
      <c r="FQ14">
        <f>IF(FQ$4=1,IF(OR(INDEX('×入力'!$A$1:$L$1300,119+FQ$3,2+FQ$2)&lt;&gt;"",INDEX('×入力'!$A$1:$L$1300,118,2+FQ$2)&lt;&gt;"",INDEX('×入力'!$A$1:$L$1300,119+FQ$3,1)&lt;&gt;""),1,0),0)</f>
        <v/>
      </c>
      <c r="FR14">
        <f>IF(FR$4=1,IF(OR(INDEX('×入力'!$A$1:$L$1300,119+FR$3,2+FR$2)&lt;&gt;"",INDEX('×入力'!$A$1:$L$1300,118,2+FR$2)&lt;&gt;"",INDEX('×入力'!$A$1:$L$1300,119+FR$3,1)&lt;&gt;""),1,0),0)</f>
        <v/>
      </c>
      <c r="FS14">
        <f>IF(FS$4=1,IF(OR(INDEX('×入力'!$A$1:$L$1300,119+FS$3,2+FS$2)&lt;&gt;"",INDEX('×入力'!$A$1:$L$1300,118,2+FS$2)&lt;&gt;"",INDEX('×入力'!$A$1:$L$1300,119+FS$3,1)&lt;&gt;""),1,0),0)</f>
        <v/>
      </c>
      <c r="FT14">
        <f>IF(FT$4=1,IF(OR(INDEX('×入力'!$A$1:$L$1300,119+FT$3,2+FT$2)&lt;&gt;"",INDEX('×入力'!$A$1:$L$1300,118,2+FT$2)&lt;&gt;"",INDEX('×入力'!$A$1:$L$1300,119+FT$3,1)&lt;&gt;""),1,0),0)</f>
        <v/>
      </c>
      <c r="FU14">
        <f>IF(FU$4=1,IF(OR(INDEX('×入力'!$A$1:$L$1300,119+FU$3,2+FU$2)&lt;&gt;"",INDEX('×入力'!$A$1:$L$1300,118,2+FU$2)&lt;&gt;"",INDEX('×入力'!$A$1:$L$1300,119+FU$3,1)&lt;&gt;""),1,0),0)</f>
        <v/>
      </c>
      <c r="FV14">
        <f>IF(FV$4=1,IF(OR(INDEX('×入力'!$A$1:$L$1300,119+FV$3,2+FV$2)&lt;&gt;"",INDEX('×入力'!$A$1:$L$1300,118,2+FV$2)&lt;&gt;"",INDEX('×入力'!$A$1:$L$1300,119+FV$3,1)&lt;&gt;""),1,0),0)</f>
        <v/>
      </c>
      <c r="FW14">
        <f>IF(FW$4=1,IF(OR(INDEX('×入力'!$A$1:$L$1300,119+FW$3,2+FW$2)&lt;&gt;"",INDEX('×入力'!$A$1:$L$1300,118,2+FW$2)&lt;&gt;"",INDEX('×入力'!$A$1:$L$1300,119+FW$3,1)&lt;&gt;""),1,0),0)</f>
        <v/>
      </c>
      <c r="FX14">
        <f>IF(FX$4=1,IF(OR(INDEX('×入力'!$A$1:$L$1300,119+FX$3,2+FX$2)&lt;&gt;"",INDEX('×入力'!$A$1:$L$1300,118,2+FX$2)&lt;&gt;"",INDEX('×入力'!$A$1:$L$1300,119+FX$3,1)&lt;&gt;""),1,0),0)</f>
        <v/>
      </c>
      <c r="FY14">
        <f>IF(FY$4=1,IF(OR(INDEX('×入力'!$A$1:$L$1300,119+FY$3,2+FY$2)&lt;&gt;"",INDEX('×入力'!$A$1:$L$1300,118,2+FY$2)&lt;&gt;"",INDEX('×入力'!$A$1:$L$1300,119+FY$3,1)&lt;&gt;""),1,0),0)</f>
        <v/>
      </c>
      <c r="FZ14">
        <f>IF(FZ$4=1,IF(OR(INDEX('×入力'!$A$1:$L$1300,119+FZ$3,2+FZ$2)&lt;&gt;"",INDEX('×入力'!$A$1:$L$1300,118,2+FZ$2)&lt;&gt;"",INDEX('×入力'!$A$1:$L$1300,119+FZ$3,1)&lt;&gt;""),1,0),0)</f>
        <v/>
      </c>
      <c r="GA14">
        <f>IF(GA$4=1,IF(OR(INDEX('×入力'!$A$1:$L$1300,119+GA$3,2+GA$2)&lt;&gt;"",INDEX('×入力'!$A$1:$L$1300,118,2+GA$2)&lt;&gt;"",INDEX('×入力'!$A$1:$L$1300,119+GA$3,1)&lt;&gt;""),1,0),0)</f>
        <v/>
      </c>
      <c r="GB14">
        <f>IF(GB$4=1,IF(OR(INDEX('×入力'!$A$1:$L$1300,119+GB$3,2+GB$2)&lt;&gt;"",INDEX('×入力'!$A$1:$L$1300,118,2+GB$2)&lt;&gt;"",INDEX('×入力'!$A$1:$L$1300,119+GB$3,1)&lt;&gt;""),1,0),0)</f>
        <v/>
      </c>
      <c r="GC14">
        <f>IF(GC$4=1,IF(OR(INDEX('×入力'!$A$1:$L$1300,119+GC$3,2+GC$2)&lt;&gt;"",INDEX('×入力'!$A$1:$L$1300,118,2+GC$2)&lt;&gt;"",INDEX('×入力'!$A$1:$L$1300,119+GC$3,1)&lt;&gt;""),1,0),0)</f>
        <v/>
      </c>
      <c r="GD14">
        <f>IF(GD$4=1,IF(OR(INDEX('×入力'!$A$1:$L$1300,119+GD$3,2+GD$2)&lt;&gt;"",INDEX('×入力'!$A$1:$L$1300,118,2+GD$2)&lt;&gt;"",INDEX('×入力'!$A$1:$L$1300,119+GD$3,1)&lt;&gt;""),1,0),0)</f>
        <v/>
      </c>
      <c r="GE14">
        <f>IF(GE$4=1,IF(OR(INDEX('×入力'!$A$1:$L$1300,119+GE$3,2+GE$2)&lt;&gt;"",INDEX('×入力'!$A$1:$L$1300,118,2+GE$2)&lt;&gt;"",INDEX('×入力'!$A$1:$L$1300,119+GE$3,1)&lt;&gt;""),1,0),0)</f>
        <v/>
      </c>
      <c r="GF14">
        <f>IF(GF$4=1,IF(OR(INDEX('×入力'!$A$1:$L$1300,119+GF$3,2+GF$2)&lt;&gt;"",INDEX('×入力'!$A$1:$L$1300,118,2+GF$2)&lt;&gt;"",INDEX('×入力'!$A$1:$L$1300,119+GF$3,1)&lt;&gt;""),1,0),0)</f>
        <v/>
      </c>
      <c r="GG14">
        <f>IF(GG$4=1,IF(OR(INDEX('×入力'!$A$1:$L$1300,119+GG$3,2+GG$2)&lt;&gt;"",INDEX('×入力'!$A$1:$L$1300,118,2+GG$2)&lt;&gt;"",INDEX('×入力'!$A$1:$L$1300,119+GG$3,1)&lt;&gt;""),1,0),0)</f>
        <v/>
      </c>
      <c r="GH14">
        <f>IF(GH$4=1,IF(OR(INDEX('×入力'!$A$1:$L$1300,119+GH$3,2+GH$2)&lt;&gt;"",INDEX('×入力'!$A$1:$L$1300,118,2+GH$2)&lt;&gt;"",INDEX('×入力'!$A$1:$L$1300,119+GH$3,1)&lt;&gt;""),1,0),0)</f>
        <v/>
      </c>
      <c r="GI14">
        <f>IF(GI$4=1,IF(OR(INDEX('×入力'!$A$1:$L$1300,119+GI$3,2+GI$2)&lt;&gt;"",INDEX('×入力'!$A$1:$L$1300,118,2+GI$2)&lt;&gt;"",INDEX('×入力'!$A$1:$L$1300,119+GI$3,1)&lt;&gt;""),1,0),0)</f>
        <v/>
      </c>
      <c r="GJ14">
        <f>IF(GJ$4=1,IF(OR(INDEX('×入力'!$A$1:$L$1300,119+GJ$3,2+GJ$2)&lt;&gt;"",INDEX('×入力'!$A$1:$L$1300,118,2+GJ$2)&lt;&gt;"",INDEX('×入力'!$A$1:$L$1300,119+GJ$3,1)&lt;&gt;""),1,0),0)</f>
        <v/>
      </c>
      <c r="GK14">
        <f>IF(GK$4=1,IF(OR(INDEX('×入力'!$A$1:$L$1300,119+GK$3,2+GK$2)&lt;&gt;"",INDEX('×入力'!$A$1:$L$1300,118,2+GK$2)&lt;&gt;"",INDEX('×入力'!$A$1:$L$1300,119+GK$3,1)&lt;&gt;""),1,0),0)</f>
        <v/>
      </c>
      <c r="GL14">
        <f>IF(GL$4=1,IF(OR(INDEX('×入力'!$A$1:$L$1300,119+GL$3,2+GL$2)&lt;&gt;"",INDEX('×入力'!$A$1:$L$1300,118,2+GL$2)&lt;&gt;"",INDEX('×入力'!$A$1:$L$1300,119+GL$3,1)&lt;&gt;""),1,0),0)</f>
        <v/>
      </c>
      <c r="GM14">
        <f>IF(GM$4=1,IF(OR(INDEX('×入力'!$A$1:$L$1300,119+GM$3,2+GM$2)&lt;&gt;"",INDEX('×入力'!$A$1:$L$1300,118,2+GM$2)&lt;&gt;"",INDEX('×入力'!$A$1:$L$1300,119+GM$3,1)&lt;&gt;""),1,0),0)</f>
        <v/>
      </c>
      <c r="GN14">
        <f>IF(GN$4=1,IF(OR(INDEX('×入力'!$A$1:$L$1300,119+GN$3,2+GN$2)&lt;&gt;"",INDEX('×入力'!$A$1:$L$1300,118,2+GN$2)&lt;&gt;"",INDEX('×入力'!$A$1:$L$1300,119+GN$3,1)&lt;&gt;""),1,0),0)</f>
        <v/>
      </c>
      <c r="GO14">
        <f>IF(GO$4=1,IF(OR(INDEX('×入力'!$A$1:$L$1300,119+GO$3,2+GO$2)&lt;&gt;"",INDEX('×入力'!$A$1:$L$1300,118,2+GO$2)&lt;&gt;"",INDEX('×入力'!$A$1:$L$1300,119+GO$3,1)&lt;&gt;""),1,0),0)</f>
        <v/>
      </c>
      <c r="GP14">
        <f>IF(GP$4=1,IF(OR(INDEX('×入力'!$A$1:$L$1300,119+GP$3,2+GP$2)&lt;&gt;"",INDEX('×入力'!$A$1:$L$1300,118,2+GP$2)&lt;&gt;"",INDEX('×入力'!$A$1:$L$1300,119+GP$3,1)&lt;&gt;""),1,0),0)</f>
        <v/>
      </c>
      <c r="GQ14">
        <f>IF(GQ$4=1,IF(OR(INDEX('×入力'!$A$1:$L$1300,119+GQ$3,2+GQ$2)&lt;&gt;"",INDEX('×入力'!$A$1:$L$1300,118,2+GQ$2)&lt;&gt;"",INDEX('×入力'!$A$1:$L$1300,119+GQ$3,1)&lt;&gt;""),1,0),0)</f>
        <v/>
      </c>
      <c r="GR14">
        <f>IF(GR$4=1,IF(OR(INDEX('×入力'!$A$1:$L$1300,119+GR$3,2+GR$2)&lt;&gt;"",INDEX('×入力'!$A$1:$L$1300,118,2+GR$2)&lt;&gt;"",INDEX('×入力'!$A$1:$L$1300,119+GR$3,1)&lt;&gt;""),1,0),0)</f>
        <v/>
      </c>
      <c r="GS14">
        <f>IF(GS$4=1,IF(OR(INDEX('×入力'!$A$1:$L$1300,119+GS$3,2+GS$2)&lt;&gt;"",INDEX('×入力'!$A$1:$L$1300,118,2+GS$2)&lt;&gt;"",INDEX('×入力'!$A$1:$L$1300,119+GS$3,1)&lt;&gt;""),1,0),0)</f>
        <v/>
      </c>
      <c r="GT14">
        <f>IF(GT$4=1,IF(OR(INDEX('×入力'!$A$1:$L$1300,119+GT$3,2+GT$2)&lt;&gt;"",INDEX('×入力'!$A$1:$L$1300,118,2+GT$2)&lt;&gt;"",INDEX('×入力'!$A$1:$L$1300,119+GT$3,1)&lt;&gt;""),1,0),0)</f>
        <v/>
      </c>
      <c r="GU14">
        <f>IF(GU$4=1,IF(OR(INDEX('×入力'!$A$1:$L$1300,119+GU$3,2+GU$2)&lt;&gt;"",INDEX('×入力'!$A$1:$L$1300,118,2+GU$2)&lt;&gt;"",INDEX('×入力'!$A$1:$L$1300,119+GU$3,1)&lt;&gt;""),1,0),0)</f>
        <v/>
      </c>
      <c r="GV14">
        <f>IF(GV$4=1,IF(OR(INDEX('×入力'!$A$1:$L$1300,119+GV$3,2+GV$2)&lt;&gt;"",INDEX('×入力'!$A$1:$L$1300,118,2+GV$2)&lt;&gt;"",INDEX('×入力'!$A$1:$L$1300,119+GV$3,1)&lt;&gt;""),1,0),0)</f>
        <v/>
      </c>
      <c r="GW14">
        <f>IF(GW$4=1,IF(OR(INDEX('×入力'!$A$1:$L$1300,119+GW$3,2+GW$2)&lt;&gt;"",INDEX('×入力'!$A$1:$L$1300,118,2+GW$2)&lt;&gt;"",INDEX('×入力'!$A$1:$L$1300,119+GW$3,1)&lt;&gt;""),1,0),0)</f>
        <v/>
      </c>
      <c r="GX14">
        <f>IF(GX$4=1,IF(OR(INDEX('×入力'!$A$1:$L$1300,119+GX$3,2+GX$2)&lt;&gt;"",INDEX('×入力'!$A$1:$L$1300,118,2+GX$2)&lt;&gt;"",INDEX('×入力'!$A$1:$L$1300,119+GX$3,1)&lt;&gt;""),1,0),0)</f>
        <v/>
      </c>
      <c r="GY14">
        <f>IF(GY$4=1,IF(OR(INDEX('×入力'!$A$1:$L$1300,119+GY$3,2+GY$2)&lt;&gt;"",INDEX('×入力'!$A$1:$L$1300,118,2+GY$2)&lt;&gt;"",INDEX('×入力'!$A$1:$L$1300,119+GY$3,1)&lt;&gt;""),1,0),0)</f>
        <v/>
      </c>
      <c r="GZ14">
        <f>IF(GZ$4=1,IF(OR(INDEX('×入力'!$A$1:$L$1300,119+GZ$3,2+GZ$2)&lt;&gt;"",INDEX('×入力'!$A$1:$L$1300,118,2+GZ$2)&lt;&gt;"",INDEX('×入力'!$A$1:$L$1300,119+GZ$3,1)&lt;&gt;""),1,0),0)</f>
        <v/>
      </c>
      <c r="HA14">
        <f>IF(HA$4=1,IF(OR(INDEX('×入力'!$A$1:$L$1300,119+HA$3,2+HA$2)&lt;&gt;"",INDEX('×入力'!$A$1:$L$1300,118,2+HA$2)&lt;&gt;"",INDEX('×入力'!$A$1:$L$1300,119+HA$3,1)&lt;&gt;""),1,0),0)</f>
        <v/>
      </c>
      <c r="HB14">
        <f>IF(HB$4=1,IF(OR(INDEX('×入力'!$A$1:$L$1300,119+HB$3,2+HB$2)&lt;&gt;"",INDEX('×入力'!$A$1:$L$1300,118,2+HB$2)&lt;&gt;"",INDEX('×入力'!$A$1:$L$1300,119+HB$3,1)&lt;&gt;""),1,0),0)</f>
        <v/>
      </c>
      <c r="HC14">
        <f>IF(HC$4=1,IF(OR(INDEX('×入力'!$A$1:$L$1300,119+HC$3,2+HC$2)&lt;&gt;"",INDEX('×入力'!$A$1:$L$1300,118,2+HC$2)&lt;&gt;"",INDEX('×入力'!$A$1:$L$1300,119+HC$3,1)&lt;&gt;""),1,0),0)</f>
        <v/>
      </c>
      <c r="HD14">
        <f>IF(HD$4=1,IF(OR(INDEX('×入力'!$A$1:$L$1300,119+HD$3,2+HD$2)&lt;&gt;"",INDEX('×入力'!$A$1:$L$1300,118,2+HD$2)&lt;&gt;"",INDEX('×入力'!$A$1:$L$1300,119+HD$3,1)&lt;&gt;""),1,0),0)</f>
        <v/>
      </c>
      <c r="HE14">
        <f>IF(HE$4=1,IF(OR(INDEX('×入力'!$A$1:$L$1300,119+HE$3,2+HE$2)&lt;&gt;"",INDEX('×入力'!$A$1:$L$1300,118,2+HE$2)&lt;&gt;"",INDEX('×入力'!$A$1:$L$1300,119+HE$3,1)&lt;&gt;""),1,0),0)</f>
        <v/>
      </c>
      <c r="HF14">
        <f>IF(HF$4=1,IF(OR(INDEX('×入力'!$A$1:$L$1300,119+HF$3,2+HF$2)&lt;&gt;"",INDEX('×入力'!$A$1:$L$1300,118,2+HF$2)&lt;&gt;"",INDEX('×入力'!$A$1:$L$1300,119+HF$3,1)&lt;&gt;""),1,0),0)</f>
        <v/>
      </c>
      <c r="HG14">
        <f>IF(HG$4=1,IF(OR(INDEX('×入力'!$A$1:$L$1300,119+HG$3,2+HG$2)&lt;&gt;"",INDEX('×入力'!$A$1:$L$1300,118,2+HG$2)&lt;&gt;"",INDEX('×入力'!$A$1:$L$1300,119+HG$3,1)&lt;&gt;""),1,0),0)</f>
        <v/>
      </c>
      <c r="HH14">
        <f>IF(HH$4=1,IF(OR(INDEX('×入力'!$A$1:$L$1300,119+HH$3,2+HH$2)&lt;&gt;"",INDEX('×入力'!$A$1:$L$1300,118,2+HH$2)&lt;&gt;"",INDEX('×入力'!$A$1:$L$1300,119+HH$3,1)&lt;&gt;""),1,0),0)</f>
        <v/>
      </c>
      <c r="HI14">
        <f>IF(HI$4=1,IF(OR(INDEX('×入力'!$A$1:$L$1300,119+HI$3,2+HI$2)&lt;&gt;"",INDEX('×入力'!$A$1:$L$1300,118,2+HI$2)&lt;&gt;"",INDEX('×入力'!$A$1:$L$1300,119+HI$3,1)&lt;&gt;""),1,0),0)</f>
        <v/>
      </c>
      <c r="HJ14">
        <f>IF(HJ$4=1,IF(OR(INDEX('×入力'!$A$1:$L$1300,119+HJ$3,2+HJ$2)&lt;&gt;"",INDEX('×入力'!$A$1:$L$1300,118,2+HJ$2)&lt;&gt;"",INDEX('×入力'!$A$1:$L$1300,119+HJ$3,1)&lt;&gt;""),1,0),0)</f>
        <v/>
      </c>
      <c r="HK14">
        <f>IF(HK$4=1,IF(OR(INDEX('×入力'!$A$1:$L$1300,119+HK$3,2+HK$2)&lt;&gt;"",INDEX('×入力'!$A$1:$L$1300,118,2+HK$2)&lt;&gt;"",INDEX('×入力'!$A$1:$L$1300,119+HK$3,1)&lt;&gt;""),1,0),0)</f>
        <v/>
      </c>
      <c r="HL14">
        <f>IF(HL$4=1,IF(OR(INDEX('×入力'!$A$1:$L$1300,119+HL$3,2+HL$2)&lt;&gt;"",INDEX('×入力'!$A$1:$L$1300,118,2+HL$2)&lt;&gt;"",INDEX('×入力'!$A$1:$L$1300,119+HL$3,1)&lt;&gt;""),1,0),0)</f>
        <v/>
      </c>
      <c r="HM14">
        <f>IF(HM$4=1,IF(OR(INDEX('×入力'!$A$1:$L$1300,119+HM$3,2+HM$2)&lt;&gt;"",INDEX('×入力'!$A$1:$L$1300,118,2+HM$2)&lt;&gt;"",INDEX('×入力'!$A$1:$L$1300,119+HM$3,1)&lt;&gt;""),1,0),0)</f>
        <v/>
      </c>
      <c r="HN14">
        <f>IF(HN$4=1,IF(OR(INDEX('×入力'!$A$1:$L$1300,119+HN$3,2+HN$2)&lt;&gt;"",INDEX('×入力'!$A$1:$L$1300,118,2+HN$2)&lt;&gt;"",INDEX('×入力'!$A$1:$L$1300,119+HN$3,1)&lt;&gt;""),1,0),0)</f>
        <v/>
      </c>
      <c r="HO14">
        <f>IF(HO$4=1,IF(OR(INDEX('×入力'!$A$1:$L$1300,119+HO$3,2+HO$2)&lt;&gt;"",INDEX('×入力'!$A$1:$L$1300,118,2+HO$2)&lt;&gt;"",INDEX('×入力'!$A$1:$L$1300,119+HO$3,1)&lt;&gt;""),1,0),0)</f>
        <v/>
      </c>
      <c r="HP14">
        <f>IF(HP$4=1,IF(OR(INDEX('×入力'!$A$1:$L$1300,119+HP$3,2+HP$2)&lt;&gt;"",INDEX('×入力'!$A$1:$L$1300,118,2+HP$2)&lt;&gt;"",INDEX('×入力'!$A$1:$L$1300,119+HP$3,1)&lt;&gt;""),1,0),0)</f>
        <v/>
      </c>
      <c r="HQ14">
        <f>IF(HQ$4=1,IF(OR(INDEX('×入力'!$A$1:$L$1300,119+HQ$3,2+HQ$2)&lt;&gt;"",INDEX('×入力'!$A$1:$L$1300,118,2+HQ$2)&lt;&gt;"",INDEX('×入力'!$A$1:$L$1300,119+HQ$3,1)&lt;&gt;""),1,0),0)</f>
        <v/>
      </c>
      <c r="HR14">
        <f>IF(HR$4=1,IF(OR(INDEX('×入力'!$A$1:$L$1300,119+HR$3,2+HR$2)&lt;&gt;"",INDEX('×入力'!$A$1:$L$1300,118,2+HR$2)&lt;&gt;"",INDEX('×入力'!$A$1:$L$1300,119+HR$3,1)&lt;&gt;""),1,0),0)</f>
        <v/>
      </c>
      <c r="HS14">
        <f>IF(HS$4=1,IF(OR(INDEX('×入力'!$A$1:$L$1300,119+HS$3,2+HS$2)&lt;&gt;"",INDEX('×入力'!$A$1:$L$1300,118,2+HS$2)&lt;&gt;"",INDEX('×入力'!$A$1:$L$1300,119+HS$3,1)&lt;&gt;""),1,0),0)</f>
        <v/>
      </c>
      <c r="HT14">
        <f>IF(HT$4=1,IF(OR(INDEX('×入力'!$A$1:$L$1300,119+HT$3,2+HT$2)&lt;&gt;"",INDEX('×入力'!$A$1:$L$1300,118,2+HT$2)&lt;&gt;"",INDEX('×入力'!$A$1:$L$1300,119+HT$3,1)&lt;&gt;""),1,0),0)</f>
        <v/>
      </c>
      <c r="HU14">
        <f>IF(HU$4=1,IF(OR(INDEX('×入力'!$A$1:$L$1300,119+HU$3,2+HU$2)&lt;&gt;"",INDEX('×入力'!$A$1:$L$1300,118,2+HU$2)&lt;&gt;"",INDEX('×入力'!$A$1:$L$1300,119+HU$3,1)&lt;&gt;""),1,0),0)</f>
        <v/>
      </c>
      <c r="HV14">
        <f>IF(HV$4=1,IF(OR(INDEX('×入力'!$A$1:$L$1300,119+HV$3,2+HV$2)&lt;&gt;"",INDEX('×入力'!$A$1:$L$1300,118,2+HV$2)&lt;&gt;"",INDEX('×入力'!$A$1:$L$1300,119+HV$3,1)&lt;&gt;""),1,0),0)</f>
        <v/>
      </c>
      <c r="HW14">
        <f>IF(HW$4=1,IF(OR(INDEX('×入力'!$A$1:$L$1300,119+HW$3,2+HW$2)&lt;&gt;"",INDEX('×入力'!$A$1:$L$1300,118,2+HW$2)&lt;&gt;"",INDEX('×入力'!$A$1:$L$1300,119+HW$3,1)&lt;&gt;""),1,0),0)</f>
        <v/>
      </c>
      <c r="HX14">
        <f>IF(HX$4=1,IF(OR(INDEX('×入力'!$A$1:$L$1300,119+HX$3,2+HX$2)&lt;&gt;"",INDEX('×入力'!$A$1:$L$1300,118,2+HX$2)&lt;&gt;"",INDEX('×入力'!$A$1:$L$1300,119+HX$3,1)&lt;&gt;""),1,0),0)</f>
        <v/>
      </c>
      <c r="HY14">
        <f>IF(HY$4=1,IF(OR(INDEX('×入力'!$A$1:$L$1300,119+HY$3,2+HY$2)&lt;&gt;"",INDEX('×入力'!$A$1:$L$1300,118,2+HY$2)&lt;&gt;"",INDEX('×入力'!$A$1:$L$1300,119+HY$3,1)&lt;&gt;""),1,0),0)</f>
        <v/>
      </c>
      <c r="HZ14">
        <f>IF(HZ$4=1,IF(OR(INDEX('×入力'!$A$1:$L$1300,119+HZ$3,2+HZ$2)&lt;&gt;"",INDEX('×入力'!$A$1:$L$1300,118,2+HZ$2)&lt;&gt;"",INDEX('×入力'!$A$1:$L$1300,119+HZ$3,1)&lt;&gt;""),1,0),0)</f>
        <v/>
      </c>
      <c r="IA14">
        <f>IF(IA$4=1,IF(OR(INDEX('×入力'!$A$1:$L$1300,119+IA$3,2+IA$2)&lt;&gt;"",INDEX('×入力'!$A$1:$L$1300,118,2+IA$2)&lt;&gt;"",INDEX('×入力'!$A$1:$L$1300,119+IA$3,1)&lt;&gt;""),1,0),0)</f>
        <v/>
      </c>
      <c r="IB14">
        <f>IF(IB$4=1,IF(OR(INDEX('×入力'!$A$1:$L$1300,119+IB$3,2+IB$2)&lt;&gt;"",INDEX('×入力'!$A$1:$L$1300,118,2+IB$2)&lt;&gt;"",INDEX('×入力'!$A$1:$L$1300,119+IB$3,1)&lt;&gt;""),1,0),0)</f>
        <v/>
      </c>
      <c r="IC14">
        <f>IF(IC$4=1,IF(OR(INDEX('×入力'!$A$1:$L$1300,119+IC$3,2+IC$2)&lt;&gt;"",INDEX('×入力'!$A$1:$L$1300,118,2+IC$2)&lt;&gt;"",INDEX('×入力'!$A$1:$L$1300,119+IC$3,1)&lt;&gt;""),1,0),0)</f>
        <v/>
      </c>
      <c r="ID14">
        <f>IF(ID$4=1,IF(OR(INDEX('×入力'!$A$1:$L$1300,119+ID$3,2+ID$2)&lt;&gt;"",INDEX('×入力'!$A$1:$L$1300,118,2+ID$2)&lt;&gt;"",INDEX('×入力'!$A$1:$L$1300,119+ID$3,1)&lt;&gt;""),1,0),0)</f>
        <v/>
      </c>
      <c r="IE14">
        <f>IF(IE$4=1,IF(OR(INDEX('×入力'!$A$1:$L$1300,119+IE$3,2+IE$2)&lt;&gt;"",INDEX('×入力'!$A$1:$L$1300,118,2+IE$2)&lt;&gt;"",INDEX('×入力'!$A$1:$L$1300,119+IE$3,1)&lt;&gt;""),1,0),0)</f>
        <v/>
      </c>
      <c r="IF14">
        <f>IF(IF$4=1,IF(OR(INDEX('×入力'!$A$1:$L$1300,119+IF$3,2+IF$2)&lt;&gt;"",INDEX('×入力'!$A$1:$L$1300,118,2+IF$2)&lt;&gt;"",INDEX('×入力'!$A$1:$L$1300,119+IF$3,1)&lt;&gt;""),1,0),0)</f>
        <v/>
      </c>
      <c r="IG14">
        <f>IF(IG$4=1,IF(OR(INDEX('×入力'!$A$1:$L$1300,119+IG$3,2+IG$2)&lt;&gt;"",INDEX('×入力'!$A$1:$L$1300,118,2+IG$2)&lt;&gt;"",INDEX('×入力'!$A$1:$L$1300,119+IG$3,1)&lt;&gt;""),1,0),0)</f>
        <v/>
      </c>
      <c r="IH14">
        <f>IF(IH$4=1,IF(OR(INDEX('×入力'!$A$1:$L$1300,119+IH$3,2+IH$2)&lt;&gt;"",INDEX('×入力'!$A$1:$L$1300,118,2+IH$2)&lt;&gt;"",INDEX('×入力'!$A$1:$L$1300,119+IH$3,1)&lt;&gt;""),1,0),0)</f>
        <v/>
      </c>
      <c r="II14">
        <f>IF(II$4=1,IF(OR(INDEX('×入力'!$A$1:$L$1300,119+II$3,2+II$2)&lt;&gt;"",INDEX('×入力'!$A$1:$L$1300,118,2+II$2)&lt;&gt;"",INDEX('×入力'!$A$1:$L$1300,119+II$3,1)&lt;&gt;""),1,0),0)</f>
        <v/>
      </c>
      <c r="IK14">
        <f>IFERROR(INDEX('計算B'!$C$3:$C$47,MATCH(A14,'計算B'!$B$3:$B$47,0)),0)</f>
        <v/>
      </c>
      <c r="IL14">
        <f>IF(AND(C14=1,IK14=0),1,0)</f>
        <v/>
      </c>
      <c r="IM14">
        <f>SUMPRODUCT(D64:II64*(1-$D$7:$II$7))</f>
        <v/>
      </c>
      <c r="IN14">
        <f>SUM(D14:II14)</f>
        <v/>
      </c>
      <c r="IO14">
        <f>IF(B14="",0,IF(COUNTIF('調整・決定'!$C$6:$L$29,B14)=1,SUMPRODUCT(('調整・決定'!$C$6:$L$29=B14)*((COLUMN('調整・決定'!$C$6:$L$29)-3)*24+ROW('調整・決定'!$C$6:$L$29)-5)),0))</f>
        <v/>
      </c>
      <c r="IP14">
        <f>IFERROR(MATCH('名簿'!E9,{"早い時刻","遅い時刻","早い日","遅い日"},0),0)</f>
        <v/>
      </c>
      <c r="IQ14">
        <f>IF('名簿'!F9="必ず空けたい",2,IF('名簿'!F9="出来れば空けたい",1,0))</f>
        <v/>
      </c>
    </row>
    <row r="15">
      <c r="A15" t="n">
        <v>6</v>
      </c>
      <c r="B15">
        <f>'名簿'!G10</f>
        <v/>
      </c>
      <c r="C15">
        <f>IF(AND(B15&lt;&gt;"",OR('名簿'!H10="入力済み",'名簿'!H10="×なし"),IO15=0,COUNTIF('調整・決定'!$C$6:$L$29,B15)=0),1,0)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ER15">
        <f>IF(ER$4=1,IF(OR(INDEX('×入力'!$A$1:$L$1300,147+ER$3,2+ER$2)&lt;&gt;"",INDEX('×入力'!$A$1:$L$1300,146,2+ER$2)&lt;&gt;"",INDEX('×入力'!$A$1:$L$1300,147+ER$3,1)&lt;&gt;""),1,0),0)</f>
        <v/>
      </c>
      <c r="ES15">
        <f>IF(ES$4=1,IF(OR(INDEX('×入力'!$A$1:$L$1300,147+ES$3,2+ES$2)&lt;&gt;"",INDEX('×入力'!$A$1:$L$1300,146,2+ES$2)&lt;&gt;"",INDEX('×入力'!$A$1:$L$1300,147+ES$3,1)&lt;&gt;""),1,0),0)</f>
        <v/>
      </c>
      <c r="ET15">
        <f>IF(ET$4=1,IF(OR(INDEX('×入力'!$A$1:$L$1300,147+ET$3,2+ET$2)&lt;&gt;"",INDEX('×入力'!$A$1:$L$1300,146,2+ET$2)&lt;&gt;"",INDEX('×入力'!$A$1:$L$1300,147+ET$3,1)&lt;&gt;""),1,0),0)</f>
        <v/>
      </c>
      <c r="EU15">
        <f>IF(EU$4=1,IF(OR(INDEX('×入力'!$A$1:$L$1300,147+EU$3,2+EU$2)&lt;&gt;"",INDEX('×入力'!$A$1:$L$1300,146,2+EU$2)&lt;&gt;"",INDEX('×入力'!$A$1:$L$1300,147+EU$3,1)&lt;&gt;""),1,0),0)</f>
        <v/>
      </c>
      <c r="EV15">
        <f>IF(EV$4=1,IF(OR(INDEX('×入力'!$A$1:$L$1300,147+EV$3,2+EV$2)&lt;&gt;"",INDEX('×入力'!$A$1:$L$1300,146,2+EV$2)&lt;&gt;"",INDEX('×入力'!$A$1:$L$1300,147+EV$3,1)&lt;&gt;""),1,0),0)</f>
        <v/>
      </c>
      <c r="EW15">
        <f>IF(EW$4=1,IF(OR(INDEX('×入力'!$A$1:$L$1300,147+EW$3,2+EW$2)&lt;&gt;"",INDEX('×入力'!$A$1:$L$1300,146,2+EW$2)&lt;&gt;"",INDEX('×入力'!$A$1:$L$1300,147+EW$3,1)&lt;&gt;""),1,0),0)</f>
        <v/>
      </c>
      <c r="EX15">
        <f>IF(EX$4=1,IF(OR(INDEX('×入力'!$A$1:$L$1300,147+EX$3,2+EX$2)&lt;&gt;"",INDEX('×入力'!$A$1:$L$1300,146,2+EX$2)&lt;&gt;"",INDEX('×入力'!$A$1:$L$1300,147+EX$3,1)&lt;&gt;""),1,0),0)</f>
        <v/>
      </c>
      <c r="EY15">
        <f>IF(EY$4=1,IF(OR(INDEX('×入力'!$A$1:$L$1300,147+EY$3,2+EY$2)&lt;&gt;"",INDEX('×入力'!$A$1:$L$1300,146,2+EY$2)&lt;&gt;"",INDEX('×入力'!$A$1:$L$1300,147+EY$3,1)&lt;&gt;""),1,0),0)</f>
        <v/>
      </c>
      <c r="EZ15">
        <f>IF(EZ$4=1,IF(OR(INDEX('×入力'!$A$1:$L$1300,147+EZ$3,2+EZ$2)&lt;&gt;"",INDEX('×入力'!$A$1:$L$1300,146,2+EZ$2)&lt;&gt;"",INDEX('×入力'!$A$1:$L$1300,147+EZ$3,1)&lt;&gt;""),1,0),0)</f>
        <v/>
      </c>
      <c r="FA15">
        <f>IF(FA$4=1,IF(OR(INDEX('×入力'!$A$1:$L$1300,147+FA$3,2+FA$2)&lt;&gt;"",INDEX('×入力'!$A$1:$L$1300,146,2+FA$2)&lt;&gt;"",INDEX('×入力'!$A$1:$L$1300,147+FA$3,1)&lt;&gt;""),1,0),0)</f>
        <v/>
      </c>
      <c r="FB15">
        <f>IF(FB$4=1,IF(OR(INDEX('×入力'!$A$1:$L$1300,147+FB$3,2+FB$2)&lt;&gt;"",INDEX('×入力'!$A$1:$L$1300,146,2+FB$2)&lt;&gt;"",INDEX('×入力'!$A$1:$L$1300,147+FB$3,1)&lt;&gt;""),1,0),0)</f>
        <v/>
      </c>
      <c r="FC15">
        <f>IF(FC$4=1,IF(OR(INDEX('×入力'!$A$1:$L$1300,147+FC$3,2+FC$2)&lt;&gt;"",INDEX('×入力'!$A$1:$L$1300,146,2+FC$2)&lt;&gt;"",INDEX('×入力'!$A$1:$L$1300,147+FC$3,1)&lt;&gt;""),1,0),0)</f>
        <v/>
      </c>
      <c r="FD15">
        <f>IF(FD$4=1,IF(OR(INDEX('×入力'!$A$1:$L$1300,147+FD$3,2+FD$2)&lt;&gt;"",INDEX('×入力'!$A$1:$L$1300,146,2+FD$2)&lt;&gt;"",INDEX('×入力'!$A$1:$L$1300,147+FD$3,1)&lt;&gt;""),1,0),0)</f>
        <v/>
      </c>
      <c r="FE15">
        <f>IF(FE$4=1,IF(OR(INDEX('×入力'!$A$1:$L$1300,147+FE$3,2+FE$2)&lt;&gt;"",INDEX('×入力'!$A$1:$L$1300,146,2+FE$2)&lt;&gt;"",INDEX('×入力'!$A$1:$L$1300,147+FE$3,1)&lt;&gt;""),1,0),0)</f>
        <v/>
      </c>
      <c r="FF15">
        <f>IF(FF$4=1,IF(OR(INDEX('×入力'!$A$1:$L$1300,147+FF$3,2+FF$2)&lt;&gt;"",INDEX('×入力'!$A$1:$L$1300,146,2+FF$2)&lt;&gt;"",INDEX('×入力'!$A$1:$L$1300,147+FF$3,1)&lt;&gt;""),1,0),0)</f>
        <v/>
      </c>
      <c r="FG15">
        <f>IF(FG$4=1,IF(OR(INDEX('×入力'!$A$1:$L$1300,147+FG$3,2+FG$2)&lt;&gt;"",INDEX('×入力'!$A$1:$L$1300,146,2+FG$2)&lt;&gt;"",INDEX('×入力'!$A$1:$L$1300,147+FG$3,1)&lt;&gt;""),1,0),0)</f>
        <v/>
      </c>
      <c r="FH15">
        <f>IF(FH$4=1,IF(OR(INDEX('×入力'!$A$1:$L$1300,147+FH$3,2+FH$2)&lt;&gt;"",INDEX('×入力'!$A$1:$L$1300,146,2+FH$2)&lt;&gt;"",INDEX('×入力'!$A$1:$L$1300,147+FH$3,1)&lt;&gt;""),1,0),0)</f>
        <v/>
      </c>
      <c r="FI15">
        <f>IF(FI$4=1,IF(OR(INDEX('×入力'!$A$1:$L$1300,147+FI$3,2+FI$2)&lt;&gt;"",INDEX('×入力'!$A$1:$L$1300,146,2+FI$2)&lt;&gt;"",INDEX('×入力'!$A$1:$L$1300,147+FI$3,1)&lt;&gt;""),1,0),0)</f>
        <v/>
      </c>
      <c r="FJ15">
        <f>IF(FJ$4=1,IF(OR(INDEX('×入力'!$A$1:$L$1300,147+FJ$3,2+FJ$2)&lt;&gt;"",INDEX('×入力'!$A$1:$L$1300,146,2+FJ$2)&lt;&gt;"",INDEX('×入力'!$A$1:$L$1300,147+FJ$3,1)&lt;&gt;""),1,0),0)</f>
        <v/>
      </c>
      <c r="FK15">
        <f>IF(FK$4=1,IF(OR(INDEX('×入力'!$A$1:$L$1300,147+FK$3,2+FK$2)&lt;&gt;"",INDEX('×入力'!$A$1:$L$1300,146,2+FK$2)&lt;&gt;"",INDEX('×入力'!$A$1:$L$1300,147+FK$3,1)&lt;&gt;""),1,0),0)</f>
        <v/>
      </c>
      <c r="FL15">
        <f>IF(FL$4=1,IF(OR(INDEX('×入力'!$A$1:$L$1300,147+FL$3,2+FL$2)&lt;&gt;"",INDEX('×入力'!$A$1:$L$1300,146,2+FL$2)&lt;&gt;"",INDEX('×入力'!$A$1:$L$1300,147+FL$3,1)&lt;&gt;""),1,0),0)</f>
        <v/>
      </c>
      <c r="FM15">
        <f>IF(FM$4=1,IF(OR(INDEX('×入力'!$A$1:$L$1300,147+FM$3,2+FM$2)&lt;&gt;"",INDEX('×入力'!$A$1:$L$1300,146,2+FM$2)&lt;&gt;"",INDEX('×入力'!$A$1:$L$1300,147+FM$3,1)&lt;&gt;""),1,0),0)</f>
        <v/>
      </c>
      <c r="FN15">
        <f>IF(FN$4=1,IF(OR(INDEX('×入力'!$A$1:$L$1300,147+FN$3,2+FN$2)&lt;&gt;"",INDEX('×入力'!$A$1:$L$1300,146,2+FN$2)&lt;&gt;"",INDEX('×入力'!$A$1:$L$1300,147+FN$3,1)&lt;&gt;""),1,0),0)</f>
        <v/>
      </c>
      <c r="FO15">
        <f>IF(FO$4=1,IF(OR(INDEX('×入力'!$A$1:$L$1300,147+FO$3,2+FO$2)&lt;&gt;"",INDEX('×入力'!$A$1:$L$1300,146,2+FO$2)&lt;&gt;"",INDEX('×入力'!$A$1:$L$1300,147+FO$3,1)&lt;&gt;""),1,0),0)</f>
        <v/>
      </c>
      <c r="FP15">
        <f>IF(FP$4=1,IF(OR(INDEX('×入力'!$A$1:$L$1300,147+FP$3,2+FP$2)&lt;&gt;"",INDEX('×入力'!$A$1:$L$1300,146,2+FP$2)&lt;&gt;"",INDEX('×入力'!$A$1:$L$1300,147+FP$3,1)&lt;&gt;""),1,0),0)</f>
        <v/>
      </c>
      <c r="FQ15">
        <f>IF(FQ$4=1,IF(OR(INDEX('×入力'!$A$1:$L$1300,147+FQ$3,2+FQ$2)&lt;&gt;"",INDEX('×入力'!$A$1:$L$1300,146,2+FQ$2)&lt;&gt;"",INDEX('×入力'!$A$1:$L$1300,147+FQ$3,1)&lt;&gt;""),1,0),0)</f>
        <v/>
      </c>
      <c r="FR15">
        <f>IF(FR$4=1,IF(OR(INDEX('×入力'!$A$1:$L$1300,147+FR$3,2+FR$2)&lt;&gt;"",INDEX('×入力'!$A$1:$L$1300,146,2+FR$2)&lt;&gt;"",INDEX('×入力'!$A$1:$L$1300,147+FR$3,1)&lt;&gt;""),1,0),0)</f>
        <v/>
      </c>
      <c r="FS15">
        <f>IF(FS$4=1,IF(OR(INDEX('×入力'!$A$1:$L$1300,147+FS$3,2+FS$2)&lt;&gt;"",INDEX('×入力'!$A$1:$L$1300,146,2+FS$2)&lt;&gt;"",INDEX('×入力'!$A$1:$L$1300,147+FS$3,1)&lt;&gt;""),1,0),0)</f>
        <v/>
      </c>
      <c r="FT15">
        <f>IF(FT$4=1,IF(OR(INDEX('×入力'!$A$1:$L$1300,147+FT$3,2+FT$2)&lt;&gt;"",INDEX('×入力'!$A$1:$L$1300,146,2+FT$2)&lt;&gt;"",INDEX('×入力'!$A$1:$L$1300,147+FT$3,1)&lt;&gt;""),1,0),0)</f>
        <v/>
      </c>
      <c r="FU15">
        <f>IF(FU$4=1,IF(OR(INDEX('×入力'!$A$1:$L$1300,147+FU$3,2+FU$2)&lt;&gt;"",INDEX('×入力'!$A$1:$L$1300,146,2+FU$2)&lt;&gt;"",INDEX('×入力'!$A$1:$L$1300,147+FU$3,1)&lt;&gt;""),1,0),0)</f>
        <v/>
      </c>
      <c r="FV15">
        <f>IF(FV$4=1,IF(OR(INDEX('×入力'!$A$1:$L$1300,147+FV$3,2+FV$2)&lt;&gt;"",INDEX('×入力'!$A$1:$L$1300,146,2+FV$2)&lt;&gt;"",INDEX('×入力'!$A$1:$L$1300,147+FV$3,1)&lt;&gt;""),1,0),0)</f>
        <v/>
      </c>
      <c r="FW15">
        <f>IF(FW$4=1,IF(OR(INDEX('×入力'!$A$1:$L$1300,147+FW$3,2+FW$2)&lt;&gt;"",INDEX('×入力'!$A$1:$L$1300,146,2+FW$2)&lt;&gt;"",INDEX('×入力'!$A$1:$L$1300,147+FW$3,1)&lt;&gt;""),1,0),0)</f>
        <v/>
      </c>
      <c r="FX15">
        <f>IF(FX$4=1,IF(OR(INDEX('×入力'!$A$1:$L$1300,147+FX$3,2+FX$2)&lt;&gt;"",INDEX('×入力'!$A$1:$L$1300,146,2+FX$2)&lt;&gt;"",INDEX('×入力'!$A$1:$L$1300,147+FX$3,1)&lt;&gt;""),1,0),0)</f>
        <v/>
      </c>
      <c r="FY15">
        <f>IF(FY$4=1,IF(OR(INDEX('×入力'!$A$1:$L$1300,147+FY$3,2+FY$2)&lt;&gt;"",INDEX('×入力'!$A$1:$L$1300,146,2+FY$2)&lt;&gt;"",INDEX('×入力'!$A$1:$L$1300,147+FY$3,1)&lt;&gt;""),1,0),0)</f>
        <v/>
      </c>
      <c r="FZ15">
        <f>IF(FZ$4=1,IF(OR(INDEX('×入力'!$A$1:$L$1300,147+FZ$3,2+FZ$2)&lt;&gt;"",INDEX('×入力'!$A$1:$L$1300,146,2+FZ$2)&lt;&gt;"",INDEX('×入力'!$A$1:$L$1300,147+FZ$3,1)&lt;&gt;""),1,0),0)</f>
        <v/>
      </c>
      <c r="GA15">
        <f>IF(GA$4=1,IF(OR(INDEX('×入力'!$A$1:$L$1300,147+GA$3,2+GA$2)&lt;&gt;"",INDEX('×入力'!$A$1:$L$1300,146,2+GA$2)&lt;&gt;"",INDEX('×入力'!$A$1:$L$1300,147+GA$3,1)&lt;&gt;""),1,0),0)</f>
        <v/>
      </c>
      <c r="GB15">
        <f>IF(GB$4=1,IF(OR(INDEX('×入力'!$A$1:$L$1300,147+GB$3,2+GB$2)&lt;&gt;"",INDEX('×入力'!$A$1:$L$1300,146,2+GB$2)&lt;&gt;"",INDEX('×入力'!$A$1:$L$1300,147+GB$3,1)&lt;&gt;""),1,0),0)</f>
        <v/>
      </c>
      <c r="GC15">
        <f>IF(GC$4=1,IF(OR(INDEX('×入力'!$A$1:$L$1300,147+GC$3,2+GC$2)&lt;&gt;"",INDEX('×入力'!$A$1:$L$1300,146,2+GC$2)&lt;&gt;"",INDEX('×入力'!$A$1:$L$1300,147+GC$3,1)&lt;&gt;""),1,0),0)</f>
        <v/>
      </c>
      <c r="GD15">
        <f>IF(GD$4=1,IF(OR(INDEX('×入力'!$A$1:$L$1300,147+GD$3,2+GD$2)&lt;&gt;"",INDEX('×入力'!$A$1:$L$1300,146,2+GD$2)&lt;&gt;"",INDEX('×入力'!$A$1:$L$1300,147+GD$3,1)&lt;&gt;""),1,0),0)</f>
        <v/>
      </c>
      <c r="GE15">
        <f>IF(GE$4=1,IF(OR(INDEX('×入力'!$A$1:$L$1300,147+GE$3,2+GE$2)&lt;&gt;"",INDEX('×入力'!$A$1:$L$1300,146,2+GE$2)&lt;&gt;"",INDEX('×入力'!$A$1:$L$1300,147+GE$3,1)&lt;&gt;""),1,0),0)</f>
        <v/>
      </c>
      <c r="GF15">
        <f>IF(GF$4=1,IF(OR(INDEX('×入力'!$A$1:$L$1300,147+GF$3,2+GF$2)&lt;&gt;"",INDEX('×入力'!$A$1:$L$1300,146,2+GF$2)&lt;&gt;"",INDEX('×入力'!$A$1:$L$1300,147+GF$3,1)&lt;&gt;""),1,0),0)</f>
        <v/>
      </c>
      <c r="GG15">
        <f>IF(GG$4=1,IF(OR(INDEX('×入力'!$A$1:$L$1300,147+GG$3,2+GG$2)&lt;&gt;"",INDEX('×入力'!$A$1:$L$1300,146,2+GG$2)&lt;&gt;"",INDEX('×入力'!$A$1:$L$1300,147+GG$3,1)&lt;&gt;""),1,0),0)</f>
        <v/>
      </c>
      <c r="GH15">
        <f>IF(GH$4=1,IF(OR(INDEX('×入力'!$A$1:$L$1300,147+GH$3,2+GH$2)&lt;&gt;"",INDEX('×入力'!$A$1:$L$1300,146,2+GH$2)&lt;&gt;"",INDEX('×入力'!$A$1:$L$1300,147+GH$3,1)&lt;&gt;""),1,0),0)</f>
        <v/>
      </c>
      <c r="GI15">
        <f>IF(GI$4=1,IF(OR(INDEX('×入力'!$A$1:$L$1300,147+GI$3,2+GI$2)&lt;&gt;"",INDEX('×入力'!$A$1:$L$1300,146,2+GI$2)&lt;&gt;"",INDEX('×入力'!$A$1:$L$1300,147+GI$3,1)&lt;&gt;""),1,0),0)</f>
        <v/>
      </c>
      <c r="GJ15">
        <f>IF(GJ$4=1,IF(OR(INDEX('×入力'!$A$1:$L$1300,147+GJ$3,2+GJ$2)&lt;&gt;"",INDEX('×入力'!$A$1:$L$1300,146,2+GJ$2)&lt;&gt;"",INDEX('×入力'!$A$1:$L$1300,147+GJ$3,1)&lt;&gt;""),1,0),0)</f>
        <v/>
      </c>
      <c r="GK15">
        <f>IF(GK$4=1,IF(OR(INDEX('×入力'!$A$1:$L$1300,147+GK$3,2+GK$2)&lt;&gt;"",INDEX('×入力'!$A$1:$L$1300,146,2+GK$2)&lt;&gt;"",INDEX('×入力'!$A$1:$L$1300,147+GK$3,1)&lt;&gt;""),1,0),0)</f>
        <v/>
      </c>
      <c r="GL15">
        <f>IF(GL$4=1,IF(OR(INDEX('×入力'!$A$1:$L$1300,147+GL$3,2+GL$2)&lt;&gt;"",INDEX('×入力'!$A$1:$L$1300,146,2+GL$2)&lt;&gt;"",INDEX('×入力'!$A$1:$L$1300,147+GL$3,1)&lt;&gt;""),1,0),0)</f>
        <v/>
      </c>
      <c r="GM15">
        <f>IF(GM$4=1,IF(OR(INDEX('×入力'!$A$1:$L$1300,147+GM$3,2+GM$2)&lt;&gt;"",INDEX('×入力'!$A$1:$L$1300,146,2+GM$2)&lt;&gt;"",INDEX('×入力'!$A$1:$L$1300,147+GM$3,1)&lt;&gt;""),1,0),0)</f>
        <v/>
      </c>
      <c r="GN15">
        <f>IF(GN$4=1,IF(OR(INDEX('×入力'!$A$1:$L$1300,147+GN$3,2+GN$2)&lt;&gt;"",INDEX('×入力'!$A$1:$L$1300,146,2+GN$2)&lt;&gt;"",INDEX('×入力'!$A$1:$L$1300,147+GN$3,1)&lt;&gt;""),1,0),0)</f>
        <v/>
      </c>
      <c r="GO15">
        <f>IF(GO$4=1,IF(OR(INDEX('×入力'!$A$1:$L$1300,147+GO$3,2+GO$2)&lt;&gt;"",INDEX('×入力'!$A$1:$L$1300,146,2+GO$2)&lt;&gt;"",INDEX('×入力'!$A$1:$L$1300,147+GO$3,1)&lt;&gt;""),1,0),0)</f>
        <v/>
      </c>
      <c r="GP15">
        <f>IF(GP$4=1,IF(OR(INDEX('×入力'!$A$1:$L$1300,147+GP$3,2+GP$2)&lt;&gt;"",INDEX('×入力'!$A$1:$L$1300,146,2+GP$2)&lt;&gt;"",INDEX('×入力'!$A$1:$L$1300,147+GP$3,1)&lt;&gt;""),1,0),0)</f>
        <v/>
      </c>
      <c r="GQ15">
        <f>IF(GQ$4=1,IF(OR(INDEX('×入力'!$A$1:$L$1300,147+GQ$3,2+GQ$2)&lt;&gt;"",INDEX('×入力'!$A$1:$L$1300,146,2+GQ$2)&lt;&gt;"",INDEX('×入力'!$A$1:$L$1300,147+GQ$3,1)&lt;&gt;""),1,0),0)</f>
        <v/>
      </c>
      <c r="GR15">
        <f>IF(GR$4=1,IF(OR(INDEX('×入力'!$A$1:$L$1300,147+GR$3,2+GR$2)&lt;&gt;"",INDEX('×入力'!$A$1:$L$1300,146,2+GR$2)&lt;&gt;"",INDEX('×入力'!$A$1:$L$1300,147+GR$3,1)&lt;&gt;""),1,0),0)</f>
        <v/>
      </c>
      <c r="GS15">
        <f>IF(GS$4=1,IF(OR(INDEX('×入力'!$A$1:$L$1300,147+GS$3,2+GS$2)&lt;&gt;"",INDEX('×入力'!$A$1:$L$1300,146,2+GS$2)&lt;&gt;"",INDEX('×入力'!$A$1:$L$1300,147+GS$3,1)&lt;&gt;""),1,0),0)</f>
        <v/>
      </c>
      <c r="GT15">
        <f>IF(GT$4=1,IF(OR(INDEX('×入力'!$A$1:$L$1300,147+GT$3,2+GT$2)&lt;&gt;"",INDEX('×入力'!$A$1:$L$1300,146,2+GT$2)&lt;&gt;"",INDEX('×入力'!$A$1:$L$1300,147+GT$3,1)&lt;&gt;""),1,0),0)</f>
        <v/>
      </c>
      <c r="GU15">
        <f>IF(GU$4=1,IF(OR(INDEX('×入力'!$A$1:$L$1300,147+GU$3,2+GU$2)&lt;&gt;"",INDEX('×入力'!$A$1:$L$1300,146,2+GU$2)&lt;&gt;"",INDEX('×入力'!$A$1:$L$1300,147+GU$3,1)&lt;&gt;""),1,0),0)</f>
        <v/>
      </c>
      <c r="GV15">
        <f>IF(GV$4=1,IF(OR(INDEX('×入力'!$A$1:$L$1300,147+GV$3,2+GV$2)&lt;&gt;"",INDEX('×入力'!$A$1:$L$1300,146,2+GV$2)&lt;&gt;"",INDEX('×入力'!$A$1:$L$1300,147+GV$3,1)&lt;&gt;""),1,0),0)</f>
        <v/>
      </c>
      <c r="GW15">
        <f>IF(GW$4=1,IF(OR(INDEX('×入力'!$A$1:$L$1300,147+GW$3,2+GW$2)&lt;&gt;"",INDEX('×入力'!$A$1:$L$1300,146,2+GW$2)&lt;&gt;"",INDEX('×入力'!$A$1:$L$1300,147+GW$3,1)&lt;&gt;""),1,0),0)</f>
        <v/>
      </c>
      <c r="GX15">
        <f>IF(GX$4=1,IF(OR(INDEX('×入力'!$A$1:$L$1300,147+GX$3,2+GX$2)&lt;&gt;"",INDEX('×入力'!$A$1:$L$1300,146,2+GX$2)&lt;&gt;"",INDEX('×入力'!$A$1:$L$1300,147+GX$3,1)&lt;&gt;""),1,0),0)</f>
        <v/>
      </c>
      <c r="GY15">
        <f>IF(GY$4=1,IF(OR(INDEX('×入力'!$A$1:$L$1300,147+GY$3,2+GY$2)&lt;&gt;"",INDEX('×入力'!$A$1:$L$1300,146,2+GY$2)&lt;&gt;"",INDEX('×入力'!$A$1:$L$1300,147+GY$3,1)&lt;&gt;""),1,0),0)</f>
        <v/>
      </c>
      <c r="GZ15">
        <f>IF(GZ$4=1,IF(OR(INDEX('×入力'!$A$1:$L$1300,147+GZ$3,2+GZ$2)&lt;&gt;"",INDEX('×入力'!$A$1:$L$1300,146,2+GZ$2)&lt;&gt;"",INDEX('×入力'!$A$1:$L$1300,147+GZ$3,1)&lt;&gt;""),1,0),0)</f>
        <v/>
      </c>
      <c r="HA15">
        <f>IF(HA$4=1,IF(OR(INDEX('×入力'!$A$1:$L$1300,147+HA$3,2+HA$2)&lt;&gt;"",INDEX('×入力'!$A$1:$L$1300,146,2+HA$2)&lt;&gt;"",INDEX('×入力'!$A$1:$L$1300,147+HA$3,1)&lt;&gt;""),1,0),0)</f>
        <v/>
      </c>
      <c r="HB15">
        <f>IF(HB$4=1,IF(OR(INDEX('×入力'!$A$1:$L$1300,147+HB$3,2+HB$2)&lt;&gt;"",INDEX('×入力'!$A$1:$L$1300,146,2+HB$2)&lt;&gt;"",INDEX('×入力'!$A$1:$L$1300,147+HB$3,1)&lt;&gt;""),1,0),0)</f>
        <v/>
      </c>
      <c r="HC15">
        <f>IF(HC$4=1,IF(OR(INDEX('×入力'!$A$1:$L$1300,147+HC$3,2+HC$2)&lt;&gt;"",INDEX('×入力'!$A$1:$L$1300,146,2+HC$2)&lt;&gt;"",INDEX('×入力'!$A$1:$L$1300,147+HC$3,1)&lt;&gt;""),1,0),0)</f>
        <v/>
      </c>
      <c r="HD15">
        <f>IF(HD$4=1,IF(OR(INDEX('×入力'!$A$1:$L$1300,147+HD$3,2+HD$2)&lt;&gt;"",INDEX('×入力'!$A$1:$L$1300,146,2+HD$2)&lt;&gt;"",INDEX('×入力'!$A$1:$L$1300,147+HD$3,1)&lt;&gt;""),1,0),0)</f>
        <v/>
      </c>
      <c r="HE15">
        <f>IF(HE$4=1,IF(OR(INDEX('×入力'!$A$1:$L$1300,147+HE$3,2+HE$2)&lt;&gt;"",INDEX('×入力'!$A$1:$L$1300,146,2+HE$2)&lt;&gt;"",INDEX('×入力'!$A$1:$L$1300,147+HE$3,1)&lt;&gt;""),1,0),0)</f>
        <v/>
      </c>
      <c r="HF15">
        <f>IF(HF$4=1,IF(OR(INDEX('×入力'!$A$1:$L$1300,147+HF$3,2+HF$2)&lt;&gt;"",INDEX('×入力'!$A$1:$L$1300,146,2+HF$2)&lt;&gt;"",INDEX('×入力'!$A$1:$L$1300,147+HF$3,1)&lt;&gt;""),1,0),0)</f>
        <v/>
      </c>
      <c r="HG15">
        <f>IF(HG$4=1,IF(OR(INDEX('×入力'!$A$1:$L$1300,147+HG$3,2+HG$2)&lt;&gt;"",INDEX('×入力'!$A$1:$L$1300,146,2+HG$2)&lt;&gt;"",INDEX('×入力'!$A$1:$L$1300,147+HG$3,1)&lt;&gt;""),1,0),0)</f>
        <v/>
      </c>
      <c r="HH15">
        <f>IF(HH$4=1,IF(OR(INDEX('×入力'!$A$1:$L$1300,147+HH$3,2+HH$2)&lt;&gt;"",INDEX('×入力'!$A$1:$L$1300,146,2+HH$2)&lt;&gt;"",INDEX('×入力'!$A$1:$L$1300,147+HH$3,1)&lt;&gt;""),1,0),0)</f>
        <v/>
      </c>
      <c r="HI15">
        <f>IF(HI$4=1,IF(OR(INDEX('×入力'!$A$1:$L$1300,147+HI$3,2+HI$2)&lt;&gt;"",INDEX('×入力'!$A$1:$L$1300,146,2+HI$2)&lt;&gt;"",INDEX('×入力'!$A$1:$L$1300,147+HI$3,1)&lt;&gt;""),1,0),0)</f>
        <v/>
      </c>
      <c r="HJ15">
        <f>IF(HJ$4=1,IF(OR(INDEX('×入力'!$A$1:$L$1300,147+HJ$3,2+HJ$2)&lt;&gt;"",INDEX('×入力'!$A$1:$L$1300,146,2+HJ$2)&lt;&gt;"",INDEX('×入力'!$A$1:$L$1300,147+HJ$3,1)&lt;&gt;""),1,0),0)</f>
        <v/>
      </c>
      <c r="HK15">
        <f>IF(HK$4=1,IF(OR(INDEX('×入力'!$A$1:$L$1300,147+HK$3,2+HK$2)&lt;&gt;"",INDEX('×入力'!$A$1:$L$1300,146,2+HK$2)&lt;&gt;"",INDEX('×入力'!$A$1:$L$1300,147+HK$3,1)&lt;&gt;""),1,0),0)</f>
        <v/>
      </c>
      <c r="HL15">
        <f>IF(HL$4=1,IF(OR(INDEX('×入力'!$A$1:$L$1300,147+HL$3,2+HL$2)&lt;&gt;"",INDEX('×入力'!$A$1:$L$1300,146,2+HL$2)&lt;&gt;"",INDEX('×入力'!$A$1:$L$1300,147+HL$3,1)&lt;&gt;""),1,0),0)</f>
        <v/>
      </c>
      <c r="HM15">
        <f>IF(HM$4=1,IF(OR(INDEX('×入力'!$A$1:$L$1300,147+HM$3,2+HM$2)&lt;&gt;"",INDEX('×入力'!$A$1:$L$1300,146,2+HM$2)&lt;&gt;"",INDEX('×入力'!$A$1:$L$1300,147+HM$3,1)&lt;&gt;""),1,0),0)</f>
        <v/>
      </c>
      <c r="HN15">
        <f>IF(HN$4=1,IF(OR(INDEX('×入力'!$A$1:$L$1300,147+HN$3,2+HN$2)&lt;&gt;"",INDEX('×入力'!$A$1:$L$1300,146,2+HN$2)&lt;&gt;"",INDEX('×入力'!$A$1:$L$1300,147+HN$3,1)&lt;&gt;""),1,0),0)</f>
        <v/>
      </c>
      <c r="HO15">
        <f>IF(HO$4=1,IF(OR(INDEX('×入力'!$A$1:$L$1300,147+HO$3,2+HO$2)&lt;&gt;"",INDEX('×入力'!$A$1:$L$1300,146,2+HO$2)&lt;&gt;"",INDEX('×入力'!$A$1:$L$1300,147+HO$3,1)&lt;&gt;""),1,0),0)</f>
        <v/>
      </c>
      <c r="HP15">
        <f>IF(HP$4=1,IF(OR(INDEX('×入力'!$A$1:$L$1300,147+HP$3,2+HP$2)&lt;&gt;"",INDEX('×入力'!$A$1:$L$1300,146,2+HP$2)&lt;&gt;"",INDEX('×入力'!$A$1:$L$1300,147+HP$3,1)&lt;&gt;""),1,0),0)</f>
        <v/>
      </c>
      <c r="HQ15">
        <f>IF(HQ$4=1,IF(OR(INDEX('×入力'!$A$1:$L$1300,147+HQ$3,2+HQ$2)&lt;&gt;"",INDEX('×入力'!$A$1:$L$1300,146,2+HQ$2)&lt;&gt;"",INDEX('×入力'!$A$1:$L$1300,147+HQ$3,1)&lt;&gt;""),1,0),0)</f>
        <v/>
      </c>
      <c r="HR15">
        <f>IF(HR$4=1,IF(OR(INDEX('×入力'!$A$1:$L$1300,147+HR$3,2+HR$2)&lt;&gt;"",INDEX('×入力'!$A$1:$L$1300,146,2+HR$2)&lt;&gt;"",INDEX('×入力'!$A$1:$L$1300,147+HR$3,1)&lt;&gt;""),1,0),0)</f>
        <v/>
      </c>
      <c r="HS15">
        <f>IF(HS$4=1,IF(OR(INDEX('×入力'!$A$1:$L$1300,147+HS$3,2+HS$2)&lt;&gt;"",INDEX('×入力'!$A$1:$L$1300,146,2+HS$2)&lt;&gt;"",INDEX('×入力'!$A$1:$L$1300,147+HS$3,1)&lt;&gt;""),1,0),0)</f>
        <v/>
      </c>
      <c r="HT15">
        <f>IF(HT$4=1,IF(OR(INDEX('×入力'!$A$1:$L$1300,147+HT$3,2+HT$2)&lt;&gt;"",INDEX('×入力'!$A$1:$L$1300,146,2+HT$2)&lt;&gt;"",INDEX('×入力'!$A$1:$L$1300,147+HT$3,1)&lt;&gt;""),1,0),0)</f>
        <v/>
      </c>
      <c r="HU15">
        <f>IF(HU$4=1,IF(OR(INDEX('×入力'!$A$1:$L$1300,147+HU$3,2+HU$2)&lt;&gt;"",INDEX('×入力'!$A$1:$L$1300,146,2+HU$2)&lt;&gt;"",INDEX('×入力'!$A$1:$L$1300,147+HU$3,1)&lt;&gt;""),1,0),0)</f>
        <v/>
      </c>
      <c r="HV15">
        <f>IF(HV$4=1,IF(OR(INDEX('×入力'!$A$1:$L$1300,147+HV$3,2+HV$2)&lt;&gt;"",INDEX('×入力'!$A$1:$L$1300,146,2+HV$2)&lt;&gt;"",INDEX('×入力'!$A$1:$L$1300,147+HV$3,1)&lt;&gt;""),1,0),0)</f>
        <v/>
      </c>
      <c r="HW15">
        <f>IF(HW$4=1,IF(OR(INDEX('×入力'!$A$1:$L$1300,147+HW$3,2+HW$2)&lt;&gt;"",INDEX('×入力'!$A$1:$L$1300,146,2+HW$2)&lt;&gt;"",INDEX('×入力'!$A$1:$L$1300,147+HW$3,1)&lt;&gt;""),1,0),0)</f>
        <v/>
      </c>
      <c r="HX15">
        <f>IF(HX$4=1,IF(OR(INDEX('×入力'!$A$1:$L$1300,147+HX$3,2+HX$2)&lt;&gt;"",INDEX('×入力'!$A$1:$L$1300,146,2+HX$2)&lt;&gt;"",INDEX('×入力'!$A$1:$L$1300,147+HX$3,1)&lt;&gt;""),1,0),0)</f>
        <v/>
      </c>
      <c r="HY15">
        <f>IF(HY$4=1,IF(OR(INDEX('×入力'!$A$1:$L$1300,147+HY$3,2+HY$2)&lt;&gt;"",INDEX('×入力'!$A$1:$L$1300,146,2+HY$2)&lt;&gt;"",INDEX('×入力'!$A$1:$L$1300,147+HY$3,1)&lt;&gt;""),1,0),0)</f>
        <v/>
      </c>
      <c r="HZ15">
        <f>IF(HZ$4=1,IF(OR(INDEX('×入力'!$A$1:$L$1300,147+HZ$3,2+HZ$2)&lt;&gt;"",INDEX('×入力'!$A$1:$L$1300,146,2+HZ$2)&lt;&gt;"",INDEX('×入力'!$A$1:$L$1300,147+HZ$3,1)&lt;&gt;""),1,0),0)</f>
        <v/>
      </c>
      <c r="IA15">
        <f>IF(IA$4=1,IF(OR(INDEX('×入力'!$A$1:$L$1300,147+IA$3,2+IA$2)&lt;&gt;"",INDEX('×入力'!$A$1:$L$1300,146,2+IA$2)&lt;&gt;"",INDEX('×入力'!$A$1:$L$1300,147+IA$3,1)&lt;&gt;""),1,0),0)</f>
        <v/>
      </c>
      <c r="IB15">
        <f>IF(IB$4=1,IF(OR(INDEX('×入力'!$A$1:$L$1300,147+IB$3,2+IB$2)&lt;&gt;"",INDEX('×入力'!$A$1:$L$1300,146,2+IB$2)&lt;&gt;"",INDEX('×入力'!$A$1:$L$1300,147+IB$3,1)&lt;&gt;""),1,0),0)</f>
        <v/>
      </c>
      <c r="IC15">
        <f>IF(IC$4=1,IF(OR(INDEX('×入力'!$A$1:$L$1300,147+IC$3,2+IC$2)&lt;&gt;"",INDEX('×入力'!$A$1:$L$1300,146,2+IC$2)&lt;&gt;"",INDEX('×入力'!$A$1:$L$1300,147+IC$3,1)&lt;&gt;""),1,0),0)</f>
        <v/>
      </c>
      <c r="ID15">
        <f>IF(ID$4=1,IF(OR(INDEX('×入力'!$A$1:$L$1300,147+ID$3,2+ID$2)&lt;&gt;"",INDEX('×入力'!$A$1:$L$1300,146,2+ID$2)&lt;&gt;"",INDEX('×入力'!$A$1:$L$1300,147+ID$3,1)&lt;&gt;""),1,0),0)</f>
        <v/>
      </c>
      <c r="IE15">
        <f>IF(IE$4=1,IF(OR(INDEX('×入力'!$A$1:$L$1300,147+IE$3,2+IE$2)&lt;&gt;"",INDEX('×入力'!$A$1:$L$1300,146,2+IE$2)&lt;&gt;"",INDEX('×入力'!$A$1:$L$1300,147+IE$3,1)&lt;&gt;""),1,0),0)</f>
        <v/>
      </c>
      <c r="IF15">
        <f>IF(IF$4=1,IF(OR(INDEX('×入力'!$A$1:$L$1300,147+IF$3,2+IF$2)&lt;&gt;"",INDEX('×入力'!$A$1:$L$1300,146,2+IF$2)&lt;&gt;"",INDEX('×入力'!$A$1:$L$1300,147+IF$3,1)&lt;&gt;""),1,0),0)</f>
        <v/>
      </c>
      <c r="IG15">
        <f>IF(IG$4=1,IF(OR(INDEX('×入力'!$A$1:$L$1300,147+IG$3,2+IG$2)&lt;&gt;"",INDEX('×入力'!$A$1:$L$1300,146,2+IG$2)&lt;&gt;"",INDEX('×入力'!$A$1:$L$1300,147+IG$3,1)&lt;&gt;""),1,0),0)</f>
        <v/>
      </c>
      <c r="IH15">
        <f>IF(IH$4=1,IF(OR(INDEX('×入力'!$A$1:$L$1300,147+IH$3,2+IH$2)&lt;&gt;"",INDEX('×入力'!$A$1:$L$1300,146,2+IH$2)&lt;&gt;"",INDEX('×入力'!$A$1:$L$1300,147+IH$3,1)&lt;&gt;""),1,0),0)</f>
        <v/>
      </c>
      <c r="II15">
        <f>IF(II$4=1,IF(OR(INDEX('×入力'!$A$1:$L$1300,147+II$3,2+II$2)&lt;&gt;"",INDEX('×入力'!$A$1:$L$1300,146,2+II$2)&lt;&gt;"",INDEX('×入力'!$A$1:$L$1300,147+II$3,1)&lt;&gt;""),1,0),0)</f>
        <v/>
      </c>
      <c r="IK15">
        <f>IFERROR(INDEX('計算B'!$C$3:$C$47,MATCH(A15,'計算B'!$B$3:$B$47,0)),0)</f>
        <v/>
      </c>
      <c r="IL15">
        <f>IF(AND(C15=1,IK15=0),1,0)</f>
        <v/>
      </c>
      <c r="IM15">
        <f>SUMPRODUCT(D65:II65*(1-$D$7:$II$7))</f>
        <v/>
      </c>
      <c r="IN15">
        <f>SUM(D15:II15)</f>
        <v/>
      </c>
      <c r="IO15">
        <f>IF(B15="",0,IF(COUNTIF('調整・決定'!$C$6:$L$29,B15)=1,SUMPRODUCT(('調整・決定'!$C$6:$L$29=B15)*((COLUMN('調整・決定'!$C$6:$L$29)-3)*24+ROW('調整・決定'!$C$6:$L$29)-5)),0))</f>
        <v/>
      </c>
      <c r="IP15">
        <f>IFERROR(MATCH('名簿'!E10,{"早い時刻","遅い時刻","早い日","遅い日"},0),0)</f>
        <v/>
      </c>
      <c r="IQ15">
        <f>IF('名簿'!F10="必ず空けたい",2,IF('名簿'!F10="出来れば空けたい",1,0))</f>
        <v/>
      </c>
    </row>
    <row r="16">
      <c r="A16" t="n">
        <v>7</v>
      </c>
      <c r="B16">
        <f>'名簿'!G11</f>
        <v/>
      </c>
      <c r="C16">
        <f>IF(AND(B16&lt;&gt;"",OR('名簿'!H11="入力済み",'名簿'!H11="×なし"),IO16=0,COUNTIF('調整・決定'!$C$6:$L$29,B16)=0),1,0)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ER16">
        <f>IF(ER$4=1,IF(OR(INDEX('×入力'!$A$1:$L$1300,175+ER$3,2+ER$2)&lt;&gt;"",INDEX('×入力'!$A$1:$L$1300,174,2+ER$2)&lt;&gt;"",INDEX('×入力'!$A$1:$L$1300,175+ER$3,1)&lt;&gt;""),1,0),0)</f>
        <v/>
      </c>
      <c r="ES16">
        <f>IF(ES$4=1,IF(OR(INDEX('×入力'!$A$1:$L$1300,175+ES$3,2+ES$2)&lt;&gt;"",INDEX('×入力'!$A$1:$L$1300,174,2+ES$2)&lt;&gt;"",INDEX('×入力'!$A$1:$L$1300,175+ES$3,1)&lt;&gt;""),1,0),0)</f>
        <v/>
      </c>
      <c r="ET16">
        <f>IF(ET$4=1,IF(OR(INDEX('×入力'!$A$1:$L$1300,175+ET$3,2+ET$2)&lt;&gt;"",INDEX('×入力'!$A$1:$L$1300,174,2+ET$2)&lt;&gt;"",INDEX('×入力'!$A$1:$L$1300,175+ET$3,1)&lt;&gt;""),1,0),0)</f>
        <v/>
      </c>
      <c r="EU16">
        <f>IF(EU$4=1,IF(OR(INDEX('×入力'!$A$1:$L$1300,175+EU$3,2+EU$2)&lt;&gt;"",INDEX('×入力'!$A$1:$L$1300,174,2+EU$2)&lt;&gt;"",INDEX('×入力'!$A$1:$L$1300,175+EU$3,1)&lt;&gt;""),1,0),0)</f>
        <v/>
      </c>
      <c r="EV16">
        <f>IF(EV$4=1,IF(OR(INDEX('×入力'!$A$1:$L$1300,175+EV$3,2+EV$2)&lt;&gt;"",INDEX('×入力'!$A$1:$L$1300,174,2+EV$2)&lt;&gt;"",INDEX('×入力'!$A$1:$L$1300,175+EV$3,1)&lt;&gt;""),1,0),0)</f>
        <v/>
      </c>
      <c r="EW16">
        <f>IF(EW$4=1,IF(OR(INDEX('×入力'!$A$1:$L$1300,175+EW$3,2+EW$2)&lt;&gt;"",INDEX('×入力'!$A$1:$L$1300,174,2+EW$2)&lt;&gt;"",INDEX('×入力'!$A$1:$L$1300,175+EW$3,1)&lt;&gt;""),1,0),0)</f>
        <v/>
      </c>
      <c r="EX16">
        <f>IF(EX$4=1,IF(OR(INDEX('×入力'!$A$1:$L$1300,175+EX$3,2+EX$2)&lt;&gt;"",INDEX('×入力'!$A$1:$L$1300,174,2+EX$2)&lt;&gt;"",INDEX('×入力'!$A$1:$L$1300,175+EX$3,1)&lt;&gt;""),1,0),0)</f>
        <v/>
      </c>
      <c r="EY16">
        <f>IF(EY$4=1,IF(OR(INDEX('×入力'!$A$1:$L$1300,175+EY$3,2+EY$2)&lt;&gt;"",INDEX('×入力'!$A$1:$L$1300,174,2+EY$2)&lt;&gt;"",INDEX('×入力'!$A$1:$L$1300,175+EY$3,1)&lt;&gt;""),1,0),0)</f>
        <v/>
      </c>
      <c r="EZ16">
        <f>IF(EZ$4=1,IF(OR(INDEX('×入力'!$A$1:$L$1300,175+EZ$3,2+EZ$2)&lt;&gt;"",INDEX('×入力'!$A$1:$L$1300,174,2+EZ$2)&lt;&gt;"",INDEX('×入力'!$A$1:$L$1300,175+EZ$3,1)&lt;&gt;""),1,0),0)</f>
        <v/>
      </c>
      <c r="FA16">
        <f>IF(FA$4=1,IF(OR(INDEX('×入力'!$A$1:$L$1300,175+FA$3,2+FA$2)&lt;&gt;"",INDEX('×入力'!$A$1:$L$1300,174,2+FA$2)&lt;&gt;"",INDEX('×入力'!$A$1:$L$1300,175+FA$3,1)&lt;&gt;""),1,0),0)</f>
        <v/>
      </c>
      <c r="FB16">
        <f>IF(FB$4=1,IF(OR(INDEX('×入力'!$A$1:$L$1300,175+FB$3,2+FB$2)&lt;&gt;"",INDEX('×入力'!$A$1:$L$1300,174,2+FB$2)&lt;&gt;"",INDEX('×入力'!$A$1:$L$1300,175+FB$3,1)&lt;&gt;""),1,0),0)</f>
        <v/>
      </c>
      <c r="FC16">
        <f>IF(FC$4=1,IF(OR(INDEX('×入力'!$A$1:$L$1300,175+FC$3,2+FC$2)&lt;&gt;"",INDEX('×入力'!$A$1:$L$1300,174,2+FC$2)&lt;&gt;"",INDEX('×入力'!$A$1:$L$1300,175+FC$3,1)&lt;&gt;""),1,0),0)</f>
        <v/>
      </c>
      <c r="FD16">
        <f>IF(FD$4=1,IF(OR(INDEX('×入力'!$A$1:$L$1300,175+FD$3,2+FD$2)&lt;&gt;"",INDEX('×入力'!$A$1:$L$1300,174,2+FD$2)&lt;&gt;"",INDEX('×入力'!$A$1:$L$1300,175+FD$3,1)&lt;&gt;""),1,0),0)</f>
        <v/>
      </c>
      <c r="FE16">
        <f>IF(FE$4=1,IF(OR(INDEX('×入力'!$A$1:$L$1300,175+FE$3,2+FE$2)&lt;&gt;"",INDEX('×入力'!$A$1:$L$1300,174,2+FE$2)&lt;&gt;"",INDEX('×入力'!$A$1:$L$1300,175+FE$3,1)&lt;&gt;""),1,0),0)</f>
        <v/>
      </c>
      <c r="FF16">
        <f>IF(FF$4=1,IF(OR(INDEX('×入力'!$A$1:$L$1300,175+FF$3,2+FF$2)&lt;&gt;"",INDEX('×入力'!$A$1:$L$1300,174,2+FF$2)&lt;&gt;"",INDEX('×入力'!$A$1:$L$1300,175+FF$3,1)&lt;&gt;""),1,0),0)</f>
        <v/>
      </c>
      <c r="FG16">
        <f>IF(FG$4=1,IF(OR(INDEX('×入力'!$A$1:$L$1300,175+FG$3,2+FG$2)&lt;&gt;"",INDEX('×入力'!$A$1:$L$1300,174,2+FG$2)&lt;&gt;"",INDEX('×入力'!$A$1:$L$1300,175+FG$3,1)&lt;&gt;""),1,0),0)</f>
        <v/>
      </c>
      <c r="FH16">
        <f>IF(FH$4=1,IF(OR(INDEX('×入力'!$A$1:$L$1300,175+FH$3,2+FH$2)&lt;&gt;"",INDEX('×入力'!$A$1:$L$1300,174,2+FH$2)&lt;&gt;"",INDEX('×入力'!$A$1:$L$1300,175+FH$3,1)&lt;&gt;""),1,0),0)</f>
        <v/>
      </c>
      <c r="FI16">
        <f>IF(FI$4=1,IF(OR(INDEX('×入力'!$A$1:$L$1300,175+FI$3,2+FI$2)&lt;&gt;"",INDEX('×入力'!$A$1:$L$1300,174,2+FI$2)&lt;&gt;"",INDEX('×入力'!$A$1:$L$1300,175+FI$3,1)&lt;&gt;""),1,0),0)</f>
        <v/>
      </c>
      <c r="FJ16">
        <f>IF(FJ$4=1,IF(OR(INDEX('×入力'!$A$1:$L$1300,175+FJ$3,2+FJ$2)&lt;&gt;"",INDEX('×入力'!$A$1:$L$1300,174,2+FJ$2)&lt;&gt;"",INDEX('×入力'!$A$1:$L$1300,175+FJ$3,1)&lt;&gt;""),1,0),0)</f>
        <v/>
      </c>
      <c r="FK16">
        <f>IF(FK$4=1,IF(OR(INDEX('×入力'!$A$1:$L$1300,175+FK$3,2+FK$2)&lt;&gt;"",INDEX('×入力'!$A$1:$L$1300,174,2+FK$2)&lt;&gt;"",INDEX('×入力'!$A$1:$L$1300,175+FK$3,1)&lt;&gt;""),1,0),0)</f>
        <v/>
      </c>
      <c r="FL16">
        <f>IF(FL$4=1,IF(OR(INDEX('×入力'!$A$1:$L$1300,175+FL$3,2+FL$2)&lt;&gt;"",INDEX('×入力'!$A$1:$L$1300,174,2+FL$2)&lt;&gt;"",INDEX('×入力'!$A$1:$L$1300,175+FL$3,1)&lt;&gt;""),1,0),0)</f>
        <v/>
      </c>
      <c r="FM16">
        <f>IF(FM$4=1,IF(OR(INDEX('×入力'!$A$1:$L$1300,175+FM$3,2+FM$2)&lt;&gt;"",INDEX('×入力'!$A$1:$L$1300,174,2+FM$2)&lt;&gt;"",INDEX('×入力'!$A$1:$L$1300,175+FM$3,1)&lt;&gt;""),1,0),0)</f>
        <v/>
      </c>
      <c r="FN16">
        <f>IF(FN$4=1,IF(OR(INDEX('×入力'!$A$1:$L$1300,175+FN$3,2+FN$2)&lt;&gt;"",INDEX('×入力'!$A$1:$L$1300,174,2+FN$2)&lt;&gt;"",INDEX('×入力'!$A$1:$L$1300,175+FN$3,1)&lt;&gt;""),1,0),0)</f>
        <v/>
      </c>
      <c r="FO16">
        <f>IF(FO$4=1,IF(OR(INDEX('×入力'!$A$1:$L$1300,175+FO$3,2+FO$2)&lt;&gt;"",INDEX('×入力'!$A$1:$L$1300,174,2+FO$2)&lt;&gt;"",INDEX('×入力'!$A$1:$L$1300,175+FO$3,1)&lt;&gt;""),1,0),0)</f>
        <v/>
      </c>
      <c r="FP16">
        <f>IF(FP$4=1,IF(OR(INDEX('×入力'!$A$1:$L$1300,175+FP$3,2+FP$2)&lt;&gt;"",INDEX('×入力'!$A$1:$L$1300,174,2+FP$2)&lt;&gt;"",INDEX('×入力'!$A$1:$L$1300,175+FP$3,1)&lt;&gt;""),1,0),0)</f>
        <v/>
      </c>
      <c r="FQ16">
        <f>IF(FQ$4=1,IF(OR(INDEX('×入力'!$A$1:$L$1300,175+FQ$3,2+FQ$2)&lt;&gt;"",INDEX('×入力'!$A$1:$L$1300,174,2+FQ$2)&lt;&gt;"",INDEX('×入力'!$A$1:$L$1300,175+FQ$3,1)&lt;&gt;""),1,0),0)</f>
        <v/>
      </c>
      <c r="FR16">
        <f>IF(FR$4=1,IF(OR(INDEX('×入力'!$A$1:$L$1300,175+FR$3,2+FR$2)&lt;&gt;"",INDEX('×入力'!$A$1:$L$1300,174,2+FR$2)&lt;&gt;"",INDEX('×入力'!$A$1:$L$1300,175+FR$3,1)&lt;&gt;""),1,0),0)</f>
        <v/>
      </c>
      <c r="FS16">
        <f>IF(FS$4=1,IF(OR(INDEX('×入力'!$A$1:$L$1300,175+FS$3,2+FS$2)&lt;&gt;"",INDEX('×入力'!$A$1:$L$1300,174,2+FS$2)&lt;&gt;"",INDEX('×入力'!$A$1:$L$1300,175+FS$3,1)&lt;&gt;""),1,0),0)</f>
        <v/>
      </c>
      <c r="FT16">
        <f>IF(FT$4=1,IF(OR(INDEX('×入力'!$A$1:$L$1300,175+FT$3,2+FT$2)&lt;&gt;"",INDEX('×入力'!$A$1:$L$1300,174,2+FT$2)&lt;&gt;"",INDEX('×入力'!$A$1:$L$1300,175+FT$3,1)&lt;&gt;""),1,0),0)</f>
        <v/>
      </c>
      <c r="FU16">
        <f>IF(FU$4=1,IF(OR(INDEX('×入力'!$A$1:$L$1300,175+FU$3,2+FU$2)&lt;&gt;"",INDEX('×入力'!$A$1:$L$1300,174,2+FU$2)&lt;&gt;"",INDEX('×入力'!$A$1:$L$1300,175+FU$3,1)&lt;&gt;""),1,0),0)</f>
        <v/>
      </c>
      <c r="FV16">
        <f>IF(FV$4=1,IF(OR(INDEX('×入力'!$A$1:$L$1300,175+FV$3,2+FV$2)&lt;&gt;"",INDEX('×入力'!$A$1:$L$1300,174,2+FV$2)&lt;&gt;"",INDEX('×入力'!$A$1:$L$1300,175+FV$3,1)&lt;&gt;""),1,0),0)</f>
        <v/>
      </c>
      <c r="FW16">
        <f>IF(FW$4=1,IF(OR(INDEX('×入力'!$A$1:$L$1300,175+FW$3,2+FW$2)&lt;&gt;"",INDEX('×入力'!$A$1:$L$1300,174,2+FW$2)&lt;&gt;"",INDEX('×入力'!$A$1:$L$1300,175+FW$3,1)&lt;&gt;""),1,0),0)</f>
        <v/>
      </c>
      <c r="FX16">
        <f>IF(FX$4=1,IF(OR(INDEX('×入力'!$A$1:$L$1300,175+FX$3,2+FX$2)&lt;&gt;"",INDEX('×入力'!$A$1:$L$1300,174,2+FX$2)&lt;&gt;"",INDEX('×入力'!$A$1:$L$1300,175+FX$3,1)&lt;&gt;""),1,0),0)</f>
        <v/>
      </c>
      <c r="FY16">
        <f>IF(FY$4=1,IF(OR(INDEX('×入力'!$A$1:$L$1300,175+FY$3,2+FY$2)&lt;&gt;"",INDEX('×入力'!$A$1:$L$1300,174,2+FY$2)&lt;&gt;"",INDEX('×入力'!$A$1:$L$1300,175+FY$3,1)&lt;&gt;""),1,0),0)</f>
        <v/>
      </c>
      <c r="FZ16">
        <f>IF(FZ$4=1,IF(OR(INDEX('×入力'!$A$1:$L$1300,175+FZ$3,2+FZ$2)&lt;&gt;"",INDEX('×入力'!$A$1:$L$1300,174,2+FZ$2)&lt;&gt;"",INDEX('×入力'!$A$1:$L$1300,175+FZ$3,1)&lt;&gt;""),1,0),0)</f>
        <v/>
      </c>
      <c r="GA16">
        <f>IF(GA$4=1,IF(OR(INDEX('×入力'!$A$1:$L$1300,175+GA$3,2+GA$2)&lt;&gt;"",INDEX('×入力'!$A$1:$L$1300,174,2+GA$2)&lt;&gt;"",INDEX('×入力'!$A$1:$L$1300,175+GA$3,1)&lt;&gt;""),1,0),0)</f>
        <v/>
      </c>
      <c r="GB16">
        <f>IF(GB$4=1,IF(OR(INDEX('×入力'!$A$1:$L$1300,175+GB$3,2+GB$2)&lt;&gt;"",INDEX('×入力'!$A$1:$L$1300,174,2+GB$2)&lt;&gt;"",INDEX('×入力'!$A$1:$L$1300,175+GB$3,1)&lt;&gt;""),1,0),0)</f>
        <v/>
      </c>
      <c r="GC16">
        <f>IF(GC$4=1,IF(OR(INDEX('×入力'!$A$1:$L$1300,175+GC$3,2+GC$2)&lt;&gt;"",INDEX('×入力'!$A$1:$L$1300,174,2+GC$2)&lt;&gt;"",INDEX('×入力'!$A$1:$L$1300,175+GC$3,1)&lt;&gt;""),1,0),0)</f>
        <v/>
      </c>
      <c r="GD16">
        <f>IF(GD$4=1,IF(OR(INDEX('×入力'!$A$1:$L$1300,175+GD$3,2+GD$2)&lt;&gt;"",INDEX('×入力'!$A$1:$L$1300,174,2+GD$2)&lt;&gt;"",INDEX('×入力'!$A$1:$L$1300,175+GD$3,1)&lt;&gt;""),1,0),0)</f>
        <v/>
      </c>
      <c r="GE16">
        <f>IF(GE$4=1,IF(OR(INDEX('×入力'!$A$1:$L$1300,175+GE$3,2+GE$2)&lt;&gt;"",INDEX('×入力'!$A$1:$L$1300,174,2+GE$2)&lt;&gt;"",INDEX('×入力'!$A$1:$L$1300,175+GE$3,1)&lt;&gt;""),1,0),0)</f>
        <v/>
      </c>
      <c r="GF16">
        <f>IF(GF$4=1,IF(OR(INDEX('×入力'!$A$1:$L$1300,175+GF$3,2+GF$2)&lt;&gt;"",INDEX('×入力'!$A$1:$L$1300,174,2+GF$2)&lt;&gt;"",INDEX('×入力'!$A$1:$L$1300,175+GF$3,1)&lt;&gt;""),1,0),0)</f>
        <v/>
      </c>
      <c r="GG16">
        <f>IF(GG$4=1,IF(OR(INDEX('×入力'!$A$1:$L$1300,175+GG$3,2+GG$2)&lt;&gt;"",INDEX('×入力'!$A$1:$L$1300,174,2+GG$2)&lt;&gt;"",INDEX('×入力'!$A$1:$L$1300,175+GG$3,1)&lt;&gt;""),1,0),0)</f>
        <v/>
      </c>
      <c r="GH16">
        <f>IF(GH$4=1,IF(OR(INDEX('×入力'!$A$1:$L$1300,175+GH$3,2+GH$2)&lt;&gt;"",INDEX('×入力'!$A$1:$L$1300,174,2+GH$2)&lt;&gt;"",INDEX('×入力'!$A$1:$L$1300,175+GH$3,1)&lt;&gt;""),1,0),0)</f>
        <v/>
      </c>
      <c r="GI16">
        <f>IF(GI$4=1,IF(OR(INDEX('×入力'!$A$1:$L$1300,175+GI$3,2+GI$2)&lt;&gt;"",INDEX('×入力'!$A$1:$L$1300,174,2+GI$2)&lt;&gt;"",INDEX('×入力'!$A$1:$L$1300,175+GI$3,1)&lt;&gt;""),1,0),0)</f>
        <v/>
      </c>
      <c r="GJ16">
        <f>IF(GJ$4=1,IF(OR(INDEX('×入力'!$A$1:$L$1300,175+GJ$3,2+GJ$2)&lt;&gt;"",INDEX('×入力'!$A$1:$L$1300,174,2+GJ$2)&lt;&gt;"",INDEX('×入力'!$A$1:$L$1300,175+GJ$3,1)&lt;&gt;""),1,0),0)</f>
        <v/>
      </c>
      <c r="GK16">
        <f>IF(GK$4=1,IF(OR(INDEX('×入力'!$A$1:$L$1300,175+GK$3,2+GK$2)&lt;&gt;"",INDEX('×入力'!$A$1:$L$1300,174,2+GK$2)&lt;&gt;"",INDEX('×入力'!$A$1:$L$1300,175+GK$3,1)&lt;&gt;""),1,0),0)</f>
        <v/>
      </c>
      <c r="GL16">
        <f>IF(GL$4=1,IF(OR(INDEX('×入力'!$A$1:$L$1300,175+GL$3,2+GL$2)&lt;&gt;"",INDEX('×入力'!$A$1:$L$1300,174,2+GL$2)&lt;&gt;"",INDEX('×入力'!$A$1:$L$1300,175+GL$3,1)&lt;&gt;""),1,0),0)</f>
        <v/>
      </c>
      <c r="GM16">
        <f>IF(GM$4=1,IF(OR(INDEX('×入力'!$A$1:$L$1300,175+GM$3,2+GM$2)&lt;&gt;"",INDEX('×入力'!$A$1:$L$1300,174,2+GM$2)&lt;&gt;"",INDEX('×入力'!$A$1:$L$1300,175+GM$3,1)&lt;&gt;""),1,0),0)</f>
        <v/>
      </c>
      <c r="GN16">
        <f>IF(GN$4=1,IF(OR(INDEX('×入力'!$A$1:$L$1300,175+GN$3,2+GN$2)&lt;&gt;"",INDEX('×入力'!$A$1:$L$1300,174,2+GN$2)&lt;&gt;"",INDEX('×入力'!$A$1:$L$1300,175+GN$3,1)&lt;&gt;""),1,0),0)</f>
        <v/>
      </c>
      <c r="GO16">
        <f>IF(GO$4=1,IF(OR(INDEX('×入力'!$A$1:$L$1300,175+GO$3,2+GO$2)&lt;&gt;"",INDEX('×入力'!$A$1:$L$1300,174,2+GO$2)&lt;&gt;"",INDEX('×入力'!$A$1:$L$1300,175+GO$3,1)&lt;&gt;""),1,0),0)</f>
        <v/>
      </c>
      <c r="GP16">
        <f>IF(GP$4=1,IF(OR(INDEX('×入力'!$A$1:$L$1300,175+GP$3,2+GP$2)&lt;&gt;"",INDEX('×入力'!$A$1:$L$1300,174,2+GP$2)&lt;&gt;"",INDEX('×入力'!$A$1:$L$1300,175+GP$3,1)&lt;&gt;""),1,0),0)</f>
        <v/>
      </c>
      <c r="GQ16">
        <f>IF(GQ$4=1,IF(OR(INDEX('×入力'!$A$1:$L$1300,175+GQ$3,2+GQ$2)&lt;&gt;"",INDEX('×入力'!$A$1:$L$1300,174,2+GQ$2)&lt;&gt;"",INDEX('×入力'!$A$1:$L$1300,175+GQ$3,1)&lt;&gt;""),1,0),0)</f>
        <v/>
      </c>
      <c r="GR16">
        <f>IF(GR$4=1,IF(OR(INDEX('×入力'!$A$1:$L$1300,175+GR$3,2+GR$2)&lt;&gt;"",INDEX('×入力'!$A$1:$L$1300,174,2+GR$2)&lt;&gt;"",INDEX('×入力'!$A$1:$L$1300,175+GR$3,1)&lt;&gt;""),1,0),0)</f>
        <v/>
      </c>
      <c r="GS16">
        <f>IF(GS$4=1,IF(OR(INDEX('×入力'!$A$1:$L$1300,175+GS$3,2+GS$2)&lt;&gt;"",INDEX('×入力'!$A$1:$L$1300,174,2+GS$2)&lt;&gt;"",INDEX('×入力'!$A$1:$L$1300,175+GS$3,1)&lt;&gt;""),1,0),0)</f>
        <v/>
      </c>
      <c r="GT16">
        <f>IF(GT$4=1,IF(OR(INDEX('×入力'!$A$1:$L$1300,175+GT$3,2+GT$2)&lt;&gt;"",INDEX('×入力'!$A$1:$L$1300,174,2+GT$2)&lt;&gt;"",INDEX('×入力'!$A$1:$L$1300,175+GT$3,1)&lt;&gt;""),1,0),0)</f>
        <v/>
      </c>
      <c r="GU16">
        <f>IF(GU$4=1,IF(OR(INDEX('×入力'!$A$1:$L$1300,175+GU$3,2+GU$2)&lt;&gt;"",INDEX('×入力'!$A$1:$L$1300,174,2+GU$2)&lt;&gt;"",INDEX('×入力'!$A$1:$L$1300,175+GU$3,1)&lt;&gt;""),1,0),0)</f>
        <v/>
      </c>
      <c r="GV16">
        <f>IF(GV$4=1,IF(OR(INDEX('×入力'!$A$1:$L$1300,175+GV$3,2+GV$2)&lt;&gt;"",INDEX('×入力'!$A$1:$L$1300,174,2+GV$2)&lt;&gt;"",INDEX('×入力'!$A$1:$L$1300,175+GV$3,1)&lt;&gt;""),1,0),0)</f>
        <v/>
      </c>
      <c r="GW16">
        <f>IF(GW$4=1,IF(OR(INDEX('×入力'!$A$1:$L$1300,175+GW$3,2+GW$2)&lt;&gt;"",INDEX('×入力'!$A$1:$L$1300,174,2+GW$2)&lt;&gt;"",INDEX('×入力'!$A$1:$L$1300,175+GW$3,1)&lt;&gt;""),1,0),0)</f>
        <v/>
      </c>
      <c r="GX16">
        <f>IF(GX$4=1,IF(OR(INDEX('×入力'!$A$1:$L$1300,175+GX$3,2+GX$2)&lt;&gt;"",INDEX('×入力'!$A$1:$L$1300,174,2+GX$2)&lt;&gt;"",INDEX('×入力'!$A$1:$L$1300,175+GX$3,1)&lt;&gt;""),1,0),0)</f>
        <v/>
      </c>
      <c r="GY16">
        <f>IF(GY$4=1,IF(OR(INDEX('×入力'!$A$1:$L$1300,175+GY$3,2+GY$2)&lt;&gt;"",INDEX('×入力'!$A$1:$L$1300,174,2+GY$2)&lt;&gt;"",INDEX('×入力'!$A$1:$L$1300,175+GY$3,1)&lt;&gt;""),1,0),0)</f>
        <v/>
      </c>
      <c r="GZ16">
        <f>IF(GZ$4=1,IF(OR(INDEX('×入力'!$A$1:$L$1300,175+GZ$3,2+GZ$2)&lt;&gt;"",INDEX('×入力'!$A$1:$L$1300,174,2+GZ$2)&lt;&gt;"",INDEX('×入力'!$A$1:$L$1300,175+GZ$3,1)&lt;&gt;""),1,0),0)</f>
        <v/>
      </c>
      <c r="HA16">
        <f>IF(HA$4=1,IF(OR(INDEX('×入力'!$A$1:$L$1300,175+HA$3,2+HA$2)&lt;&gt;"",INDEX('×入力'!$A$1:$L$1300,174,2+HA$2)&lt;&gt;"",INDEX('×入力'!$A$1:$L$1300,175+HA$3,1)&lt;&gt;""),1,0),0)</f>
        <v/>
      </c>
      <c r="HB16">
        <f>IF(HB$4=1,IF(OR(INDEX('×入力'!$A$1:$L$1300,175+HB$3,2+HB$2)&lt;&gt;"",INDEX('×入力'!$A$1:$L$1300,174,2+HB$2)&lt;&gt;"",INDEX('×入力'!$A$1:$L$1300,175+HB$3,1)&lt;&gt;""),1,0),0)</f>
        <v/>
      </c>
      <c r="HC16">
        <f>IF(HC$4=1,IF(OR(INDEX('×入力'!$A$1:$L$1300,175+HC$3,2+HC$2)&lt;&gt;"",INDEX('×入力'!$A$1:$L$1300,174,2+HC$2)&lt;&gt;"",INDEX('×入力'!$A$1:$L$1300,175+HC$3,1)&lt;&gt;""),1,0),0)</f>
        <v/>
      </c>
      <c r="HD16">
        <f>IF(HD$4=1,IF(OR(INDEX('×入力'!$A$1:$L$1300,175+HD$3,2+HD$2)&lt;&gt;"",INDEX('×入力'!$A$1:$L$1300,174,2+HD$2)&lt;&gt;"",INDEX('×入力'!$A$1:$L$1300,175+HD$3,1)&lt;&gt;""),1,0),0)</f>
        <v/>
      </c>
      <c r="HE16">
        <f>IF(HE$4=1,IF(OR(INDEX('×入力'!$A$1:$L$1300,175+HE$3,2+HE$2)&lt;&gt;"",INDEX('×入力'!$A$1:$L$1300,174,2+HE$2)&lt;&gt;"",INDEX('×入力'!$A$1:$L$1300,175+HE$3,1)&lt;&gt;""),1,0),0)</f>
        <v/>
      </c>
      <c r="HF16">
        <f>IF(HF$4=1,IF(OR(INDEX('×入力'!$A$1:$L$1300,175+HF$3,2+HF$2)&lt;&gt;"",INDEX('×入力'!$A$1:$L$1300,174,2+HF$2)&lt;&gt;"",INDEX('×入力'!$A$1:$L$1300,175+HF$3,1)&lt;&gt;""),1,0),0)</f>
        <v/>
      </c>
      <c r="HG16">
        <f>IF(HG$4=1,IF(OR(INDEX('×入力'!$A$1:$L$1300,175+HG$3,2+HG$2)&lt;&gt;"",INDEX('×入力'!$A$1:$L$1300,174,2+HG$2)&lt;&gt;"",INDEX('×入力'!$A$1:$L$1300,175+HG$3,1)&lt;&gt;""),1,0),0)</f>
        <v/>
      </c>
      <c r="HH16">
        <f>IF(HH$4=1,IF(OR(INDEX('×入力'!$A$1:$L$1300,175+HH$3,2+HH$2)&lt;&gt;"",INDEX('×入力'!$A$1:$L$1300,174,2+HH$2)&lt;&gt;"",INDEX('×入力'!$A$1:$L$1300,175+HH$3,1)&lt;&gt;""),1,0),0)</f>
        <v/>
      </c>
      <c r="HI16">
        <f>IF(HI$4=1,IF(OR(INDEX('×入力'!$A$1:$L$1300,175+HI$3,2+HI$2)&lt;&gt;"",INDEX('×入力'!$A$1:$L$1300,174,2+HI$2)&lt;&gt;"",INDEX('×入力'!$A$1:$L$1300,175+HI$3,1)&lt;&gt;""),1,0),0)</f>
        <v/>
      </c>
      <c r="HJ16">
        <f>IF(HJ$4=1,IF(OR(INDEX('×入力'!$A$1:$L$1300,175+HJ$3,2+HJ$2)&lt;&gt;"",INDEX('×入力'!$A$1:$L$1300,174,2+HJ$2)&lt;&gt;"",INDEX('×入力'!$A$1:$L$1300,175+HJ$3,1)&lt;&gt;""),1,0),0)</f>
        <v/>
      </c>
      <c r="HK16">
        <f>IF(HK$4=1,IF(OR(INDEX('×入力'!$A$1:$L$1300,175+HK$3,2+HK$2)&lt;&gt;"",INDEX('×入力'!$A$1:$L$1300,174,2+HK$2)&lt;&gt;"",INDEX('×入力'!$A$1:$L$1300,175+HK$3,1)&lt;&gt;""),1,0),0)</f>
        <v/>
      </c>
      <c r="HL16">
        <f>IF(HL$4=1,IF(OR(INDEX('×入力'!$A$1:$L$1300,175+HL$3,2+HL$2)&lt;&gt;"",INDEX('×入力'!$A$1:$L$1300,174,2+HL$2)&lt;&gt;"",INDEX('×入力'!$A$1:$L$1300,175+HL$3,1)&lt;&gt;""),1,0),0)</f>
        <v/>
      </c>
      <c r="HM16">
        <f>IF(HM$4=1,IF(OR(INDEX('×入力'!$A$1:$L$1300,175+HM$3,2+HM$2)&lt;&gt;"",INDEX('×入力'!$A$1:$L$1300,174,2+HM$2)&lt;&gt;"",INDEX('×入力'!$A$1:$L$1300,175+HM$3,1)&lt;&gt;""),1,0),0)</f>
        <v/>
      </c>
      <c r="HN16">
        <f>IF(HN$4=1,IF(OR(INDEX('×入力'!$A$1:$L$1300,175+HN$3,2+HN$2)&lt;&gt;"",INDEX('×入力'!$A$1:$L$1300,174,2+HN$2)&lt;&gt;"",INDEX('×入力'!$A$1:$L$1300,175+HN$3,1)&lt;&gt;""),1,0),0)</f>
        <v/>
      </c>
      <c r="HO16">
        <f>IF(HO$4=1,IF(OR(INDEX('×入力'!$A$1:$L$1300,175+HO$3,2+HO$2)&lt;&gt;"",INDEX('×入力'!$A$1:$L$1300,174,2+HO$2)&lt;&gt;"",INDEX('×入力'!$A$1:$L$1300,175+HO$3,1)&lt;&gt;""),1,0),0)</f>
        <v/>
      </c>
      <c r="HP16">
        <f>IF(HP$4=1,IF(OR(INDEX('×入力'!$A$1:$L$1300,175+HP$3,2+HP$2)&lt;&gt;"",INDEX('×入力'!$A$1:$L$1300,174,2+HP$2)&lt;&gt;"",INDEX('×入力'!$A$1:$L$1300,175+HP$3,1)&lt;&gt;""),1,0),0)</f>
        <v/>
      </c>
      <c r="HQ16">
        <f>IF(HQ$4=1,IF(OR(INDEX('×入力'!$A$1:$L$1300,175+HQ$3,2+HQ$2)&lt;&gt;"",INDEX('×入力'!$A$1:$L$1300,174,2+HQ$2)&lt;&gt;"",INDEX('×入力'!$A$1:$L$1300,175+HQ$3,1)&lt;&gt;""),1,0),0)</f>
        <v/>
      </c>
      <c r="HR16">
        <f>IF(HR$4=1,IF(OR(INDEX('×入力'!$A$1:$L$1300,175+HR$3,2+HR$2)&lt;&gt;"",INDEX('×入力'!$A$1:$L$1300,174,2+HR$2)&lt;&gt;"",INDEX('×入力'!$A$1:$L$1300,175+HR$3,1)&lt;&gt;""),1,0),0)</f>
        <v/>
      </c>
      <c r="HS16">
        <f>IF(HS$4=1,IF(OR(INDEX('×入力'!$A$1:$L$1300,175+HS$3,2+HS$2)&lt;&gt;"",INDEX('×入力'!$A$1:$L$1300,174,2+HS$2)&lt;&gt;"",INDEX('×入力'!$A$1:$L$1300,175+HS$3,1)&lt;&gt;""),1,0),0)</f>
        <v/>
      </c>
      <c r="HT16">
        <f>IF(HT$4=1,IF(OR(INDEX('×入力'!$A$1:$L$1300,175+HT$3,2+HT$2)&lt;&gt;"",INDEX('×入力'!$A$1:$L$1300,174,2+HT$2)&lt;&gt;"",INDEX('×入力'!$A$1:$L$1300,175+HT$3,1)&lt;&gt;""),1,0),0)</f>
        <v/>
      </c>
      <c r="HU16">
        <f>IF(HU$4=1,IF(OR(INDEX('×入力'!$A$1:$L$1300,175+HU$3,2+HU$2)&lt;&gt;"",INDEX('×入力'!$A$1:$L$1300,174,2+HU$2)&lt;&gt;"",INDEX('×入力'!$A$1:$L$1300,175+HU$3,1)&lt;&gt;""),1,0),0)</f>
        <v/>
      </c>
      <c r="HV16">
        <f>IF(HV$4=1,IF(OR(INDEX('×入力'!$A$1:$L$1300,175+HV$3,2+HV$2)&lt;&gt;"",INDEX('×入力'!$A$1:$L$1300,174,2+HV$2)&lt;&gt;"",INDEX('×入力'!$A$1:$L$1300,175+HV$3,1)&lt;&gt;""),1,0),0)</f>
        <v/>
      </c>
      <c r="HW16">
        <f>IF(HW$4=1,IF(OR(INDEX('×入力'!$A$1:$L$1300,175+HW$3,2+HW$2)&lt;&gt;"",INDEX('×入力'!$A$1:$L$1300,174,2+HW$2)&lt;&gt;"",INDEX('×入力'!$A$1:$L$1300,175+HW$3,1)&lt;&gt;""),1,0),0)</f>
        <v/>
      </c>
      <c r="HX16">
        <f>IF(HX$4=1,IF(OR(INDEX('×入力'!$A$1:$L$1300,175+HX$3,2+HX$2)&lt;&gt;"",INDEX('×入力'!$A$1:$L$1300,174,2+HX$2)&lt;&gt;"",INDEX('×入力'!$A$1:$L$1300,175+HX$3,1)&lt;&gt;""),1,0),0)</f>
        <v/>
      </c>
      <c r="HY16">
        <f>IF(HY$4=1,IF(OR(INDEX('×入力'!$A$1:$L$1300,175+HY$3,2+HY$2)&lt;&gt;"",INDEX('×入力'!$A$1:$L$1300,174,2+HY$2)&lt;&gt;"",INDEX('×入力'!$A$1:$L$1300,175+HY$3,1)&lt;&gt;""),1,0),0)</f>
        <v/>
      </c>
      <c r="HZ16">
        <f>IF(HZ$4=1,IF(OR(INDEX('×入力'!$A$1:$L$1300,175+HZ$3,2+HZ$2)&lt;&gt;"",INDEX('×入力'!$A$1:$L$1300,174,2+HZ$2)&lt;&gt;"",INDEX('×入力'!$A$1:$L$1300,175+HZ$3,1)&lt;&gt;""),1,0),0)</f>
        <v/>
      </c>
      <c r="IA16">
        <f>IF(IA$4=1,IF(OR(INDEX('×入力'!$A$1:$L$1300,175+IA$3,2+IA$2)&lt;&gt;"",INDEX('×入力'!$A$1:$L$1300,174,2+IA$2)&lt;&gt;"",INDEX('×入力'!$A$1:$L$1300,175+IA$3,1)&lt;&gt;""),1,0),0)</f>
        <v/>
      </c>
      <c r="IB16">
        <f>IF(IB$4=1,IF(OR(INDEX('×入力'!$A$1:$L$1300,175+IB$3,2+IB$2)&lt;&gt;"",INDEX('×入力'!$A$1:$L$1300,174,2+IB$2)&lt;&gt;"",INDEX('×入力'!$A$1:$L$1300,175+IB$3,1)&lt;&gt;""),1,0),0)</f>
        <v/>
      </c>
      <c r="IC16">
        <f>IF(IC$4=1,IF(OR(INDEX('×入力'!$A$1:$L$1300,175+IC$3,2+IC$2)&lt;&gt;"",INDEX('×入力'!$A$1:$L$1300,174,2+IC$2)&lt;&gt;"",INDEX('×入力'!$A$1:$L$1300,175+IC$3,1)&lt;&gt;""),1,0),0)</f>
        <v/>
      </c>
      <c r="ID16">
        <f>IF(ID$4=1,IF(OR(INDEX('×入力'!$A$1:$L$1300,175+ID$3,2+ID$2)&lt;&gt;"",INDEX('×入力'!$A$1:$L$1300,174,2+ID$2)&lt;&gt;"",INDEX('×入力'!$A$1:$L$1300,175+ID$3,1)&lt;&gt;""),1,0),0)</f>
        <v/>
      </c>
      <c r="IE16">
        <f>IF(IE$4=1,IF(OR(INDEX('×入力'!$A$1:$L$1300,175+IE$3,2+IE$2)&lt;&gt;"",INDEX('×入力'!$A$1:$L$1300,174,2+IE$2)&lt;&gt;"",INDEX('×入力'!$A$1:$L$1300,175+IE$3,1)&lt;&gt;""),1,0),0)</f>
        <v/>
      </c>
      <c r="IF16">
        <f>IF(IF$4=1,IF(OR(INDEX('×入力'!$A$1:$L$1300,175+IF$3,2+IF$2)&lt;&gt;"",INDEX('×入力'!$A$1:$L$1300,174,2+IF$2)&lt;&gt;"",INDEX('×入力'!$A$1:$L$1300,175+IF$3,1)&lt;&gt;""),1,0),0)</f>
        <v/>
      </c>
      <c r="IG16">
        <f>IF(IG$4=1,IF(OR(INDEX('×入力'!$A$1:$L$1300,175+IG$3,2+IG$2)&lt;&gt;"",INDEX('×入力'!$A$1:$L$1300,174,2+IG$2)&lt;&gt;"",INDEX('×入力'!$A$1:$L$1300,175+IG$3,1)&lt;&gt;""),1,0),0)</f>
        <v/>
      </c>
      <c r="IH16">
        <f>IF(IH$4=1,IF(OR(INDEX('×入力'!$A$1:$L$1300,175+IH$3,2+IH$2)&lt;&gt;"",INDEX('×入力'!$A$1:$L$1300,174,2+IH$2)&lt;&gt;"",INDEX('×入力'!$A$1:$L$1300,175+IH$3,1)&lt;&gt;""),1,0),0)</f>
        <v/>
      </c>
      <c r="II16">
        <f>IF(II$4=1,IF(OR(INDEX('×入力'!$A$1:$L$1300,175+II$3,2+II$2)&lt;&gt;"",INDEX('×入力'!$A$1:$L$1300,174,2+II$2)&lt;&gt;"",INDEX('×入力'!$A$1:$L$1300,175+II$3,1)&lt;&gt;""),1,0),0)</f>
        <v/>
      </c>
      <c r="IK16">
        <f>IFERROR(INDEX('計算B'!$C$3:$C$47,MATCH(A16,'計算B'!$B$3:$B$47,0)),0)</f>
        <v/>
      </c>
      <c r="IL16">
        <f>IF(AND(C16=1,IK16=0),1,0)</f>
        <v/>
      </c>
      <c r="IM16">
        <f>SUMPRODUCT(D66:II66*(1-$D$7:$II$7))</f>
        <v/>
      </c>
      <c r="IN16">
        <f>SUM(D16:II16)</f>
        <v/>
      </c>
      <c r="IO16">
        <f>IF(B16="",0,IF(COUNTIF('調整・決定'!$C$6:$L$29,B16)=1,SUMPRODUCT(('調整・決定'!$C$6:$L$29=B16)*((COLUMN('調整・決定'!$C$6:$L$29)-3)*24+ROW('調整・決定'!$C$6:$L$29)-5)),0))</f>
        <v/>
      </c>
      <c r="IP16">
        <f>IFERROR(MATCH('名簿'!E11,{"早い時刻","遅い時刻","早い日","遅い日"},0),0)</f>
        <v/>
      </c>
      <c r="IQ16">
        <f>IF('名簿'!F11="必ず空けたい",2,IF('名簿'!F11="出来れば空けたい",1,0))</f>
        <v/>
      </c>
    </row>
    <row r="17">
      <c r="A17" t="n">
        <v>8</v>
      </c>
      <c r="B17">
        <f>'名簿'!G12</f>
        <v/>
      </c>
      <c r="C17">
        <f>IF(AND(B17&lt;&gt;"",OR('名簿'!H12="入力済み",'名簿'!H12="×なし"),IO17=0,COUNTIF('調整・決定'!$C$6:$L$29,B17)=0),1,0)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ER17">
        <f>IF(ER$4=1,IF(OR(INDEX('×入力'!$A$1:$L$1300,203+ER$3,2+ER$2)&lt;&gt;"",INDEX('×入力'!$A$1:$L$1300,202,2+ER$2)&lt;&gt;"",INDEX('×入力'!$A$1:$L$1300,203+ER$3,1)&lt;&gt;""),1,0),0)</f>
        <v/>
      </c>
      <c r="ES17">
        <f>IF(ES$4=1,IF(OR(INDEX('×入力'!$A$1:$L$1300,203+ES$3,2+ES$2)&lt;&gt;"",INDEX('×入力'!$A$1:$L$1300,202,2+ES$2)&lt;&gt;"",INDEX('×入力'!$A$1:$L$1300,203+ES$3,1)&lt;&gt;""),1,0),0)</f>
        <v/>
      </c>
      <c r="ET17">
        <f>IF(ET$4=1,IF(OR(INDEX('×入力'!$A$1:$L$1300,203+ET$3,2+ET$2)&lt;&gt;"",INDEX('×入力'!$A$1:$L$1300,202,2+ET$2)&lt;&gt;"",INDEX('×入力'!$A$1:$L$1300,203+ET$3,1)&lt;&gt;""),1,0),0)</f>
        <v/>
      </c>
      <c r="EU17">
        <f>IF(EU$4=1,IF(OR(INDEX('×入力'!$A$1:$L$1300,203+EU$3,2+EU$2)&lt;&gt;"",INDEX('×入力'!$A$1:$L$1300,202,2+EU$2)&lt;&gt;"",INDEX('×入力'!$A$1:$L$1300,203+EU$3,1)&lt;&gt;""),1,0),0)</f>
        <v/>
      </c>
      <c r="EV17">
        <f>IF(EV$4=1,IF(OR(INDEX('×入力'!$A$1:$L$1300,203+EV$3,2+EV$2)&lt;&gt;"",INDEX('×入力'!$A$1:$L$1300,202,2+EV$2)&lt;&gt;"",INDEX('×入力'!$A$1:$L$1300,203+EV$3,1)&lt;&gt;""),1,0),0)</f>
        <v/>
      </c>
      <c r="EW17">
        <f>IF(EW$4=1,IF(OR(INDEX('×入力'!$A$1:$L$1300,203+EW$3,2+EW$2)&lt;&gt;"",INDEX('×入力'!$A$1:$L$1300,202,2+EW$2)&lt;&gt;"",INDEX('×入力'!$A$1:$L$1300,203+EW$3,1)&lt;&gt;""),1,0),0)</f>
        <v/>
      </c>
      <c r="EX17">
        <f>IF(EX$4=1,IF(OR(INDEX('×入力'!$A$1:$L$1300,203+EX$3,2+EX$2)&lt;&gt;"",INDEX('×入力'!$A$1:$L$1300,202,2+EX$2)&lt;&gt;"",INDEX('×入力'!$A$1:$L$1300,203+EX$3,1)&lt;&gt;""),1,0),0)</f>
        <v/>
      </c>
      <c r="EY17">
        <f>IF(EY$4=1,IF(OR(INDEX('×入力'!$A$1:$L$1300,203+EY$3,2+EY$2)&lt;&gt;"",INDEX('×入力'!$A$1:$L$1300,202,2+EY$2)&lt;&gt;"",INDEX('×入力'!$A$1:$L$1300,203+EY$3,1)&lt;&gt;""),1,0),0)</f>
        <v/>
      </c>
      <c r="EZ17">
        <f>IF(EZ$4=1,IF(OR(INDEX('×入力'!$A$1:$L$1300,203+EZ$3,2+EZ$2)&lt;&gt;"",INDEX('×入力'!$A$1:$L$1300,202,2+EZ$2)&lt;&gt;"",INDEX('×入力'!$A$1:$L$1300,203+EZ$3,1)&lt;&gt;""),1,0),0)</f>
        <v/>
      </c>
      <c r="FA17">
        <f>IF(FA$4=1,IF(OR(INDEX('×入力'!$A$1:$L$1300,203+FA$3,2+FA$2)&lt;&gt;"",INDEX('×入力'!$A$1:$L$1300,202,2+FA$2)&lt;&gt;"",INDEX('×入力'!$A$1:$L$1300,203+FA$3,1)&lt;&gt;""),1,0),0)</f>
        <v/>
      </c>
      <c r="FB17">
        <f>IF(FB$4=1,IF(OR(INDEX('×入力'!$A$1:$L$1300,203+FB$3,2+FB$2)&lt;&gt;"",INDEX('×入力'!$A$1:$L$1300,202,2+FB$2)&lt;&gt;"",INDEX('×入力'!$A$1:$L$1300,203+FB$3,1)&lt;&gt;""),1,0),0)</f>
        <v/>
      </c>
      <c r="FC17">
        <f>IF(FC$4=1,IF(OR(INDEX('×入力'!$A$1:$L$1300,203+FC$3,2+FC$2)&lt;&gt;"",INDEX('×入力'!$A$1:$L$1300,202,2+FC$2)&lt;&gt;"",INDEX('×入力'!$A$1:$L$1300,203+FC$3,1)&lt;&gt;""),1,0),0)</f>
        <v/>
      </c>
      <c r="FD17">
        <f>IF(FD$4=1,IF(OR(INDEX('×入力'!$A$1:$L$1300,203+FD$3,2+FD$2)&lt;&gt;"",INDEX('×入力'!$A$1:$L$1300,202,2+FD$2)&lt;&gt;"",INDEX('×入力'!$A$1:$L$1300,203+FD$3,1)&lt;&gt;""),1,0),0)</f>
        <v/>
      </c>
      <c r="FE17">
        <f>IF(FE$4=1,IF(OR(INDEX('×入力'!$A$1:$L$1300,203+FE$3,2+FE$2)&lt;&gt;"",INDEX('×入力'!$A$1:$L$1300,202,2+FE$2)&lt;&gt;"",INDEX('×入力'!$A$1:$L$1300,203+FE$3,1)&lt;&gt;""),1,0),0)</f>
        <v/>
      </c>
      <c r="FF17">
        <f>IF(FF$4=1,IF(OR(INDEX('×入力'!$A$1:$L$1300,203+FF$3,2+FF$2)&lt;&gt;"",INDEX('×入力'!$A$1:$L$1300,202,2+FF$2)&lt;&gt;"",INDEX('×入力'!$A$1:$L$1300,203+FF$3,1)&lt;&gt;""),1,0),0)</f>
        <v/>
      </c>
      <c r="FG17">
        <f>IF(FG$4=1,IF(OR(INDEX('×入力'!$A$1:$L$1300,203+FG$3,2+FG$2)&lt;&gt;"",INDEX('×入力'!$A$1:$L$1300,202,2+FG$2)&lt;&gt;"",INDEX('×入力'!$A$1:$L$1300,203+FG$3,1)&lt;&gt;""),1,0),0)</f>
        <v/>
      </c>
      <c r="FH17">
        <f>IF(FH$4=1,IF(OR(INDEX('×入力'!$A$1:$L$1300,203+FH$3,2+FH$2)&lt;&gt;"",INDEX('×入力'!$A$1:$L$1300,202,2+FH$2)&lt;&gt;"",INDEX('×入力'!$A$1:$L$1300,203+FH$3,1)&lt;&gt;""),1,0),0)</f>
        <v/>
      </c>
      <c r="FI17">
        <f>IF(FI$4=1,IF(OR(INDEX('×入力'!$A$1:$L$1300,203+FI$3,2+FI$2)&lt;&gt;"",INDEX('×入力'!$A$1:$L$1300,202,2+FI$2)&lt;&gt;"",INDEX('×入力'!$A$1:$L$1300,203+FI$3,1)&lt;&gt;""),1,0),0)</f>
        <v/>
      </c>
      <c r="FJ17">
        <f>IF(FJ$4=1,IF(OR(INDEX('×入力'!$A$1:$L$1300,203+FJ$3,2+FJ$2)&lt;&gt;"",INDEX('×入力'!$A$1:$L$1300,202,2+FJ$2)&lt;&gt;"",INDEX('×入力'!$A$1:$L$1300,203+FJ$3,1)&lt;&gt;""),1,0),0)</f>
        <v/>
      </c>
      <c r="FK17">
        <f>IF(FK$4=1,IF(OR(INDEX('×入力'!$A$1:$L$1300,203+FK$3,2+FK$2)&lt;&gt;"",INDEX('×入力'!$A$1:$L$1300,202,2+FK$2)&lt;&gt;"",INDEX('×入力'!$A$1:$L$1300,203+FK$3,1)&lt;&gt;""),1,0),0)</f>
        <v/>
      </c>
      <c r="FL17">
        <f>IF(FL$4=1,IF(OR(INDEX('×入力'!$A$1:$L$1300,203+FL$3,2+FL$2)&lt;&gt;"",INDEX('×入力'!$A$1:$L$1300,202,2+FL$2)&lt;&gt;"",INDEX('×入力'!$A$1:$L$1300,203+FL$3,1)&lt;&gt;""),1,0),0)</f>
        <v/>
      </c>
      <c r="FM17">
        <f>IF(FM$4=1,IF(OR(INDEX('×入力'!$A$1:$L$1300,203+FM$3,2+FM$2)&lt;&gt;"",INDEX('×入力'!$A$1:$L$1300,202,2+FM$2)&lt;&gt;"",INDEX('×入力'!$A$1:$L$1300,203+FM$3,1)&lt;&gt;""),1,0),0)</f>
        <v/>
      </c>
      <c r="FN17">
        <f>IF(FN$4=1,IF(OR(INDEX('×入力'!$A$1:$L$1300,203+FN$3,2+FN$2)&lt;&gt;"",INDEX('×入力'!$A$1:$L$1300,202,2+FN$2)&lt;&gt;"",INDEX('×入力'!$A$1:$L$1300,203+FN$3,1)&lt;&gt;""),1,0),0)</f>
        <v/>
      </c>
      <c r="FO17">
        <f>IF(FO$4=1,IF(OR(INDEX('×入力'!$A$1:$L$1300,203+FO$3,2+FO$2)&lt;&gt;"",INDEX('×入力'!$A$1:$L$1300,202,2+FO$2)&lt;&gt;"",INDEX('×入力'!$A$1:$L$1300,203+FO$3,1)&lt;&gt;""),1,0),0)</f>
        <v/>
      </c>
      <c r="FP17">
        <f>IF(FP$4=1,IF(OR(INDEX('×入力'!$A$1:$L$1300,203+FP$3,2+FP$2)&lt;&gt;"",INDEX('×入力'!$A$1:$L$1300,202,2+FP$2)&lt;&gt;"",INDEX('×入力'!$A$1:$L$1300,203+FP$3,1)&lt;&gt;""),1,0),0)</f>
        <v/>
      </c>
      <c r="FQ17">
        <f>IF(FQ$4=1,IF(OR(INDEX('×入力'!$A$1:$L$1300,203+FQ$3,2+FQ$2)&lt;&gt;"",INDEX('×入力'!$A$1:$L$1300,202,2+FQ$2)&lt;&gt;"",INDEX('×入力'!$A$1:$L$1300,203+FQ$3,1)&lt;&gt;""),1,0),0)</f>
        <v/>
      </c>
      <c r="FR17">
        <f>IF(FR$4=1,IF(OR(INDEX('×入力'!$A$1:$L$1300,203+FR$3,2+FR$2)&lt;&gt;"",INDEX('×入力'!$A$1:$L$1300,202,2+FR$2)&lt;&gt;"",INDEX('×入力'!$A$1:$L$1300,203+FR$3,1)&lt;&gt;""),1,0),0)</f>
        <v/>
      </c>
      <c r="FS17">
        <f>IF(FS$4=1,IF(OR(INDEX('×入力'!$A$1:$L$1300,203+FS$3,2+FS$2)&lt;&gt;"",INDEX('×入力'!$A$1:$L$1300,202,2+FS$2)&lt;&gt;"",INDEX('×入力'!$A$1:$L$1300,203+FS$3,1)&lt;&gt;""),1,0),0)</f>
        <v/>
      </c>
      <c r="FT17">
        <f>IF(FT$4=1,IF(OR(INDEX('×入力'!$A$1:$L$1300,203+FT$3,2+FT$2)&lt;&gt;"",INDEX('×入力'!$A$1:$L$1300,202,2+FT$2)&lt;&gt;"",INDEX('×入力'!$A$1:$L$1300,203+FT$3,1)&lt;&gt;""),1,0),0)</f>
        <v/>
      </c>
      <c r="FU17">
        <f>IF(FU$4=1,IF(OR(INDEX('×入力'!$A$1:$L$1300,203+FU$3,2+FU$2)&lt;&gt;"",INDEX('×入力'!$A$1:$L$1300,202,2+FU$2)&lt;&gt;"",INDEX('×入力'!$A$1:$L$1300,203+FU$3,1)&lt;&gt;""),1,0),0)</f>
        <v/>
      </c>
      <c r="FV17">
        <f>IF(FV$4=1,IF(OR(INDEX('×入力'!$A$1:$L$1300,203+FV$3,2+FV$2)&lt;&gt;"",INDEX('×入力'!$A$1:$L$1300,202,2+FV$2)&lt;&gt;"",INDEX('×入力'!$A$1:$L$1300,203+FV$3,1)&lt;&gt;""),1,0),0)</f>
        <v/>
      </c>
      <c r="FW17">
        <f>IF(FW$4=1,IF(OR(INDEX('×入力'!$A$1:$L$1300,203+FW$3,2+FW$2)&lt;&gt;"",INDEX('×入力'!$A$1:$L$1300,202,2+FW$2)&lt;&gt;"",INDEX('×入力'!$A$1:$L$1300,203+FW$3,1)&lt;&gt;""),1,0),0)</f>
        <v/>
      </c>
      <c r="FX17">
        <f>IF(FX$4=1,IF(OR(INDEX('×入力'!$A$1:$L$1300,203+FX$3,2+FX$2)&lt;&gt;"",INDEX('×入力'!$A$1:$L$1300,202,2+FX$2)&lt;&gt;"",INDEX('×入力'!$A$1:$L$1300,203+FX$3,1)&lt;&gt;""),1,0),0)</f>
        <v/>
      </c>
      <c r="FY17">
        <f>IF(FY$4=1,IF(OR(INDEX('×入力'!$A$1:$L$1300,203+FY$3,2+FY$2)&lt;&gt;"",INDEX('×入力'!$A$1:$L$1300,202,2+FY$2)&lt;&gt;"",INDEX('×入力'!$A$1:$L$1300,203+FY$3,1)&lt;&gt;""),1,0),0)</f>
        <v/>
      </c>
      <c r="FZ17">
        <f>IF(FZ$4=1,IF(OR(INDEX('×入力'!$A$1:$L$1300,203+FZ$3,2+FZ$2)&lt;&gt;"",INDEX('×入力'!$A$1:$L$1300,202,2+FZ$2)&lt;&gt;"",INDEX('×入力'!$A$1:$L$1300,203+FZ$3,1)&lt;&gt;""),1,0),0)</f>
        <v/>
      </c>
      <c r="GA17">
        <f>IF(GA$4=1,IF(OR(INDEX('×入力'!$A$1:$L$1300,203+GA$3,2+GA$2)&lt;&gt;"",INDEX('×入力'!$A$1:$L$1300,202,2+GA$2)&lt;&gt;"",INDEX('×入力'!$A$1:$L$1300,203+GA$3,1)&lt;&gt;""),1,0),0)</f>
        <v/>
      </c>
      <c r="GB17">
        <f>IF(GB$4=1,IF(OR(INDEX('×入力'!$A$1:$L$1300,203+GB$3,2+GB$2)&lt;&gt;"",INDEX('×入力'!$A$1:$L$1300,202,2+GB$2)&lt;&gt;"",INDEX('×入力'!$A$1:$L$1300,203+GB$3,1)&lt;&gt;""),1,0),0)</f>
        <v/>
      </c>
      <c r="GC17">
        <f>IF(GC$4=1,IF(OR(INDEX('×入力'!$A$1:$L$1300,203+GC$3,2+GC$2)&lt;&gt;"",INDEX('×入力'!$A$1:$L$1300,202,2+GC$2)&lt;&gt;"",INDEX('×入力'!$A$1:$L$1300,203+GC$3,1)&lt;&gt;""),1,0),0)</f>
        <v/>
      </c>
      <c r="GD17">
        <f>IF(GD$4=1,IF(OR(INDEX('×入力'!$A$1:$L$1300,203+GD$3,2+GD$2)&lt;&gt;"",INDEX('×入力'!$A$1:$L$1300,202,2+GD$2)&lt;&gt;"",INDEX('×入力'!$A$1:$L$1300,203+GD$3,1)&lt;&gt;""),1,0),0)</f>
        <v/>
      </c>
      <c r="GE17">
        <f>IF(GE$4=1,IF(OR(INDEX('×入力'!$A$1:$L$1300,203+GE$3,2+GE$2)&lt;&gt;"",INDEX('×入力'!$A$1:$L$1300,202,2+GE$2)&lt;&gt;"",INDEX('×入力'!$A$1:$L$1300,203+GE$3,1)&lt;&gt;""),1,0),0)</f>
        <v/>
      </c>
      <c r="GF17">
        <f>IF(GF$4=1,IF(OR(INDEX('×入力'!$A$1:$L$1300,203+GF$3,2+GF$2)&lt;&gt;"",INDEX('×入力'!$A$1:$L$1300,202,2+GF$2)&lt;&gt;"",INDEX('×入力'!$A$1:$L$1300,203+GF$3,1)&lt;&gt;""),1,0),0)</f>
        <v/>
      </c>
      <c r="GG17">
        <f>IF(GG$4=1,IF(OR(INDEX('×入力'!$A$1:$L$1300,203+GG$3,2+GG$2)&lt;&gt;"",INDEX('×入力'!$A$1:$L$1300,202,2+GG$2)&lt;&gt;"",INDEX('×入力'!$A$1:$L$1300,203+GG$3,1)&lt;&gt;""),1,0),0)</f>
        <v/>
      </c>
      <c r="GH17">
        <f>IF(GH$4=1,IF(OR(INDEX('×入力'!$A$1:$L$1300,203+GH$3,2+GH$2)&lt;&gt;"",INDEX('×入力'!$A$1:$L$1300,202,2+GH$2)&lt;&gt;"",INDEX('×入力'!$A$1:$L$1300,203+GH$3,1)&lt;&gt;""),1,0),0)</f>
        <v/>
      </c>
      <c r="GI17">
        <f>IF(GI$4=1,IF(OR(INDEX('×入力'!$A$1:$L$1300,203+GI$3,2+GI$2)&lt;&gt;"",INDEX('×入力'!$A$1:$L$1300,202,2+GI$2)&lt;&gt;"",INDEX('×入力'!$A$1:$L$1300,203+GI$3,1)&lt;&gt;""),1,0),0)</f>
        <v/>
      </c>
      <c r="GJ17">
        <f>IF(GJ$4=1,IF(OR(INDEX('×入力'!$A$1:$L$1300,203+GJ$3,2+GJ$2)&lt;&gt;"",INDEX('×入力'!$A$1:$L$1300,202,2+GJ$2)&lt;&gt;"",INDEX('×入力'!$A$1:$L$1300,203+GJ$3,1)&lt;&gt;""),1,0),0)</f>
        <v/>
      </c>
      <c r="GK17">
        <f>IF(GK$4=1,IF(OR(INDEX('×入力'!$A$1:$L$1300,203+GK$3,2+GK$2)&lt;&gt;"",INDEX('×入力'!$A$1:$L$1300,202,2+GK$2)&lt;&gt;"",INDEX('×入力'!$A$1:$L$1300,203+GK$3,1)&lt;&gt;""),1,0),0)</f>
        <v/>
      </c>
      <c r="GL17">
        <f>IF(GL$4=1,IF(OR(INDEX('×入力'!$A$1:$L$1300,203+GL$3,2+GL$2)&lt;&gt;"",INDEX('×入力'!$A$1:$L$1300,202,2+GL$2)&lt;&gt;"",INDEX('×入力'!$A$1:$L$1300,203+GL$3,1)&lt;&gt;""),1,0),0)</f>
        <v/>
      </c>
      <c r="GM17">
        <f>IF(GM$4=1,IF(OR(INDEX('×入力'!$A$1:$L$1300,203+GM$3,2+GM$2)&lt;&gt;"",INDEX('×入力'!$A$1:$L$1300,202,2+GM$2)&lt;&gt;"",INDEX('×入力'!$A$1:$L$1300,203+GM$3,1)&lt;&gt;""),1,0),0)</f>
        <v/>
      </c>
      <c r="GN17">
        <f>IF(GN$4=1,IF(OR(INDEX('×入力'!$A$1:$L$1300,203+GN$3,2+GN$2)&lt;&gt;"",INDEX('×入力'!$A$1:$L$1300,202,2+GN$2)&lt;&gt;"",INDEX('×入力'!$A$1:$L$1300,203+GN$3,1)&lt;&gt;""),1,0),0)</f>
        <v/>
      </c>
      <c r="GO17">
        <f>IF(GO$4=1,IF(OR(INDEX('×入力'!$A$1:$L$1300,203+GO$3,2+GO$2)&lt;&gt;"",INDEX('×入力'!$A$1:$L$1300,202,2+GO$2)&lt;&gt;"",INDEX('×入力'!$A$1:$L$1300,203+GO$3,1)&lt;&gt;""),1,0),0)</f>
        <v/>
      </c>
      <c r="GP17">
        <f>IF(GP$4=1,IF(OR(INDEX('×入力'!$A$1:$L$1300,203+GP$3,2+GP$2)&lt;&gt;"",INDEX('×入力'!$A$1:$L$1300,202,2+GP$2)&lt;&gt;"",INDEX('×入力'!$A$1:$L$1300,203+GP$3,1)&lt;&gt;""),1,0),0)</f>
        <v/>
      </c>
      <c r="GQ17">
        <f>IF(GQ$4=1,IF(OR(INDEX('×入力'!$A$1:$L$1300,203+GQ$3,2+GQ$2)&lt;&gt;"",INDEX('×入力'!$A$1:$L$1300,202,2+GQ$2)&lt;&gt;"",INDEX('×入力'!$A$1:$L$1300,203+GQ$3,1)&lt;&gt;""),1,0),0)</f>
        <v/>
      </c>
      <c r="GR17">
        <f>IF(GR$4=1,IF(OR(INDEX('×入力'!$A$1:$L$1300,203+GR$3,2+GR$2)&lt;&gt;"",INDEX('×入力'!$A$1:$L$1300,202,2+GR$2)&lt;&gt;"",INDEX('×入力'!$A$1:$L$1300,203+GR$3,1)&lt;&gt;""),1,0),0)</f>
        <v/>
      </c>
      <c r="GS17">
        <f>IF(GS$4=1,IF(OR(INDEX('×入力'!$A$1:$L$1300,203+GS$3,2+GS$2)&lt;&gt;"",INDEX('×入力'!$A$1:$L$1300,202,2+GS$2)&lt;&gt;"",INDEX('×入力'!$A$1:$L$1300,203+GS$3,1)&lt;&gt;""),1,0),0)</f>
        <v/>
      </c>
      <c r="GT17">
        <f>IF(GT$4=1,IF(OR(INDEX('×入力'!$A$1:$L$1300,203+GT$3,2+GT$2)&lt;&gt;"",INDEX('×入力'!$A$1:$L$1300,202,2+GT$2)&lt;&gt;"",INDEX('×入力'!$A$1:$L$1300,203+GT$3,1)&lt;&gt;""),1,0),0)</f>
        <v/>
      </c>
      <c r="GU17">
        <f>IF(GU$4=1,IF(OR(INDEX('×入力'!$A$1:$L$1300,203+GU$3,2+GU$2)&lt;&gt;"",INDEX('×入力'!$A$1:$L$1300,202,2+GU$2)&lt;&gt;"",INDEX('×入力'!$A$1:$L$1300,203+GU$3,1)&lt;&gt;""),1,0),0)</f>
        <v/>
      </c>
      <c r="GV17">
        <f>IF(GV$4=1,IF(OR(INDEX('×入力'!$A$1:$L$1300,203+GV$3,2+GV$2)&lt;&gt;"",INDEX('×入力'!$A$1:$L$1300,202,2+GV$2)&lt;&gt;"",INDEX('×入力'!$A$1:$L$1300,203+GV$3,1)&lt;&gt;""),1,0),0)</f>
        <v/>
      </c>
      <c r="GW17">
        <f>IF(GW$4=1,IF(OR(INDEX('×入力'!$A$1:$L$1300,203+GW$3,2+GW$2)&lt;&gt;"",INDEX('×入力'!$A$1:$L$1300,202,2+GW$2)&lt;&gt;"",INDEX('×入力'!$A$1:$L$1300,203+GW$3,1)&lt;&gt;""),1,0),0)</f>
        <v/>
      </c>
      <c r="GX17">
        <f>IF(GX$4=1,IF(OR(INDEX('×入力'!$A$1:$L$1300,203+GX$3,2+GX$2)&lt;&gt;"",INDEX('×入力'!$A$1:$L$1300,202,2+GX$2)&lt;&gt;"",INDEX('×入力'!$A$1:$L$1300,203+GX$3,1)&lt;&gt;""),1,0),0)</f>
        <v/>
      </c>
      <c r="GY17">
        <f>IF(GY$4=1,IF(OR(INDEX('×入力'!$A$1:$L$1300,203+GY$3,2+GY$2)&lt;&gt;"",INDEX('×入力'!$A$1:$L$1300,202,2+GY$2)&lt;&gt;"",INDEX('×入力'!$A$1:$L$1300,203+GY$3,1)&lt;&gt;""),1,0),0)</f>
        <v/>
      </c>
      <c r="GZ17">
        <f>IF(GZ$4=1,IF(OR(INDEX('×入力'!$A$1:$L$1300,203+GZ$3,2+GZ$2)&lt;&gt;"",INDEX('×入力'!$A$1:$L$1300,202,2+GZ$2)&lt;&gt;"",INDEX('×入力'!$A$1:$L$1300,203+GZ$3,1)&lt;&gt;""),1,0),0)</f>
        <v/>
      </c>
      <c r="HA17">
        <f>IF(HA$4=1,IF(OR(INDEX('×入力'!$A$1:$L$1300,203+HA$3,2+HA$2)&lt;&gt;"",INDEX('×入力'!$A$1:$L$1300,202,2+HA$2)&lt;&gt;"",INDEX('×入力'!$A$1:$L$1300,203+HA$3,1)&lt;&gt;""),1,0),0)</f>
        <v/>
      </c>
      <c r="HB17">
        <f>IF(HB$4=1,IF(OR(INDEX('×入力'!$A$1:$L$1300,203+HB$3,2+HB$2)&lt;&gt;"",INDEX('×入力'!$A$1:$L$1300,202,2+HB$2)&lt;&gt;"",INDEX('×入力'!$A$1:$L$1300,203+HB$3,1)&lt;&gt;""),1,0),0)</f>
        <v/>
      </c>
      <c r="HC17">
        <f>IF(HC$4=1,IF(OR(INDEX('×入力'!$A$1:$L$1300,203+HC$3,2+HC$2)&lt;&gt;"",INDEX('×入力'!$A$1:$L$1300,202,2+HC$2)&lt;&gt;"",INDEX('×入力'!$A$1:$L$1300,203+HC$3,1)&lt;&gt;""),1,0),0)</f>
        <v/>
      </c>
      <c r="HD17">
        <f>IF(HD$4=1,IF(OR(INDEX('×入力'!$A$1:$L$1300,203+HD$3,2+HD$2)&lt;&gt;"",INDEX('×入力'!$A$1:$L$1300,202,2+HD$2)&lt;&gt;"",INDEX('×入力'!$A$1:$L$1300,203+HD$3,1)&lt;&gt;""),1,0),0)</f>
        <v/>
      </c>
      <c r="HE17">
        <f>IF(HE$4=1,IF(OR(INDEX('×入力'!$A$1:$L$1300,203+HE$3,2+HE$2)&lt;&gt;"",INDEX('×入力'!$A$1:$L$1300,202,2+HE$2)&lt;&gt;"",INDEX('×入力'!$A$1:$L$1300,203+HE$3,1)&lt;&gt;""),1,0),0)</f>
        <v/>
      </c>
      <c r="HF17">
        <f>IF(HF$4=1,IF(OR(INDEX('×入力'!$A$1:$L$1300,203+HF$3,2+HF$2)&lt;&gt;"",INDEX('×入力'!$A$1:$L$1300,202,2+HF$2)&lt;&gt;"",INDEX('×入力'!$A$1:$L$1300,203+HF$3,1)&lt;&gt;""),1,0),0)</f>
        <v/>
      </c>
      <c r="HG17">
        <f>IF(HG$4=1,IF(OR(INDEX('×入力'!$A$1:$L$1300,203+HG$3,2+HG$2)&lt;&gt;"",INDEX('×入力'!$A$1:$L$1300,202,2+HG$2)&lt;&gt;"",INDEX('×入力'!$A$1:$L$1300,203+HG$3,1)&lt;&gt;""),1,0),0)</f>
        <v/>
      </c>
      <c r="HH17">
        <f>IF(HH$4=1,IF(OR(INDEX('×入力'!$A$1:$L$1300,203+HH$3,2+HH$2)&lt;&gt;"",INDEX('×入力'!$A$1:$L$1300,202,2+HH$2)&lt;&gt;"",INDEX('×入力'!$A$1:$L$1300,203+HH$3,1)&lt;&gt;""),1,0),0)</f>
        <v/>
      </c>
      <c r="HI17">
        <f>IF(HI$4=1,IF(OR(INDEX('×入力'!$A$1:$L$1300,203+HI$3,2+HI$2)&lt;&gt;"",INDEX('×入力'!$A$1:$L$1300,202,2+HI$2)&lt;&gt;"",INDEX('×入力'!$A$1:$L$1300,203+HI$3,1)&lt;&gt;""),1,0),0)</f>
        <v/>
      </c>
      <c r="HJ17">
        <f>IF(HJ$4=1,IF(OR(INDEX('×入力'!$A$1:$L$1300,203+HJ$3,2+HJ$2)&lt;&gt;"",INDEX('×入力'!$A$1:$L$1300,202,2+HJ$2)&lt;&gt;"",INDEX('×入力'!$A$1:$L$1300,203+HJ$3,1)&lt;&gt;""),1,0),0)</f>
        <v/>
      </c>
      <c r="HK17">
        <f>IF(HK$4=1,IF(OR(INDEX('×入力'!$A$1:$L$1300,203+HK$3,2+HK$2)&lt;&gt;"",INDEX('×入力'!$A$1:$L$1300,202,2+HK$2)&lt;&gt;"",INDEX('×入力'!$A$1:$L$1300,203+HK$3,1)&lt;&gt;""),1,0),0)</f>
        <v/>
      </c>
      <c r="HL17">
        <f>IF(HL$4=1,IF(OR(INDEX('×入力'!$A$1:$L$1300,203+HL$3,2+HL$2)&lt;&gt;"",INDEX('×入力'!$A$1:$L$1300,202,2+HL$2)&lt;&gt;"",INDEX('×入力'!$A$1:$L$1300,203+HL$3,1)&lt;&gt;""),1,0),0)</f>
        <v/>
      </c>
      <c r="HM17">
        <f>IF(HM$4=1,IF(OR(INDEX('×入力'!$A$1:$L$1300,203+HM$3,2+HM$2)&lt;&gt;"",INDEX('×入力'!$A$1:$L$1300,202,2+HM$2)&lt;&gt;"",INDEX('×入力'!$A$1:$L$1300,203+HM$3,1)&lt;&gt;""),1,0),0)</f>
        <v/>
      </c>
      <c r="HN17">
        <f>IF(HN$4=1,IF(OR(INDEX('×入力'!$A$1:$L$1300,203+HN$3,2+HN$2)&lt;&gt;"",INDEX('×入力'!$A$1:$L$1300,202,2+HN$2)&lt;&gt;"",INDEX('×入力'!$A$1:$L$1300,203+HN$3,1)&lt;&gt;""),1,0),0)</f>
        <v/>
      </c>
      <c r="HO17">
        <f>IF(HO$4=1,IF(OR(INDEX('×入力'!$A$1:$L$1300,203+HO$3,2+HO$2)&lt;&gt;"",INDEX('×入力'!$A$1:$L$1300,202,2+HO$2)&lt;&gt;"",INDEX('×入力'!$A$1:$L$1300,203+HO$3,1)&lt;&gt;""),1,0),0)</f>
        <v/>
      </c>
      <c r="HP17">
        <f>IF(HP$4=1,IF(OR(INDEX('×入力'!$A$1:$L$1300,203+HP$3,2+HP$2)&lt;&gt;"",INDEX('×入力'!$A$1:$L$1300,202,2+HP$2)&lt;&gt;"",INDEX('×入力'!$A$1:$L$1300,203+HP$3,1)&lt;&gt;""),1,0),0)</f>
        <v/>
      </c>
      <c r="HQ17">
        <f>IF(HQ$4=1,IF(OR(INDEX('×入力'!$A$1:$L$1300,203+HQ$3,2+HQ$2)&lt;&gt;"",INDEX('×入力'!$A$1:$L$1300,202,2+HQ$2)&lt;&gt;"",INDEX('×入力'!$A$1:$L$1300,203+HQ$3,1)&lt;&gt;""),1,0),0)</f>
        <v/>
      </c>
      <c r="HR17">
        <f>IF(HR$4=1,IF(OR(INDEX('×入力'!$A$1:$L$1300,203+HR$3,2+HR$2)&lt;&gt;"",INDEX('×入力'!$A$1:$L$1300,202,2+HR$2)&lt;&gt;"",INDEX('×入力'!$A$1:$L$1300,203+HR$3,1)&lt;&gt;""),1,0),0)</f>
        <v/>
      </c>
      <c r="HS17">
        <f>IF(HS$4=1,IF(OR(INDEX('×入力'!$A$1:$L$1300,203+HS$3,2+HS$2)&lt;&gt;"",INDEX('×入力'!$A$1:$L$1300,202,2+HS$2)&lt;&gt;"",INDEX('×入力'!$A$1:$L$1300,203+HS$3,1)&lt;&gt;""),1,0),0)</f>
        <v/>
      </c>
      <c r="HT17">
        <f>IF(HT$4=1,IF(OR(INDEX('×入力'!$A$1:$L$1300,203+HT$3,2+HT$2)&lt;&gt;"",INDEX('×入力'!$A$1:$L$1300,202,2+HT$2)&lt;&gt;"",INDEX('×入力'!$A$1:$L$1300,203+HT$3,1)&lt;&gt;""),1,0),0)</f>
        <v/>
      </c>
      <c r="HU17">
        <f>IF(HU$4=1,IF(OR(INDEX('×入力'!$A$1:$L$1300,203+HU$3,2+HU$2)&lt;&gt;"",INDEX('×入力'!$A$1:$L$1300,202,2+HU$2)&lt;&gt;"",INDEX('×入力'!$A$1:$L$1300,203+HU$3,1)&lt;&gt;""),1,0),0)</f>
        <v/>
      </c>
      <c r="HV17">
        <f>IF(HV$4=1,IF(OR(INDEX('×入力'!$A$1:$L$1300,203+HV$3,2+HV$2)&lt;&gt;"",INDEX('×入力'!$A$1:$L$1300,202,2+HV$2)&lt;&gt;"",INDEX('×入力'!$A$1:$L$1300,203+HV$3,1)&lt;&gt;""),1,0),0)</f>
        <v/>
      </c>
      <c r="HW17">
        <f>IF(HW$4=1,IF(OR(INDEX('×入力'!$A$1:$L$1300,203+HW$3,2+HW$2)&lt;&gt;"",INDEX('×入力'!$A$1:$L$1300,202,2+HW$2)&lt;&gt;"",INDEX('×入力'!$A$1:$L$1300,203+HW$3,1)&lt;&gt;""),1,0),0)</f>
        <v/>
      </c>
      <c r="HX17">
        <f>IF(HX$4=1,IF(OR(INDEX('×入力'!$A$1:$L$1300,203+HX$3,2+HX$2)&lt;&gt;"",INDEX('×入力'!$A$1:$L$1300,202,2+HX$2)&lt;&gt;"",INDEX('×入力'!$A$1:$L$1300,203+HX$3,1)&lt;&gt;""),1,0),0)</f>
        <v/>
      </c>
      <c r="HY17">
        <f>IF(HY$4=1,IF(OR(INDEX('×入力'!$A$1:$L$1300,203+HY$3,2+HY$2)&lt;&gt;"",INDEX('×入力'!$A$1:$L$1300,202,2+HY$2)&lt;&gt;"",INDEX('×入力'!$A$1:$L$1300,203+HY$3,1)&lt;&gt;""),1,0),0)</f>
        <v/>
      </c>
      <c r="HZ17">
        <f>IF(HZ$4=1,IF(OR(INDEX('×入力'!$A$1:$L$1300,203+HZ$3,2+HZ$2)&lt;&gt;"",INDEX('×入力'!$A$1:$L$1300,202,2+HZ$2)&lt;&gt;"",INDEX('×入力'!$A$1:$L$1300,203+HZ$3,1)&lt;&gt;""),1,0),0)</f>
        <v/>
      </c>
      <c r="IA17">
        <f>IF(IA$4=1,IF(OR(INDEX('×入力'!$A$1:$L$1300,203+IA$3,2+IA$2)&lt;&gt;"",INDEX('×入力'!$A$1:$L$1300,202,2+IA$2)&lt;&gt;"",INDEX('×入力'!$A$1:$L$1300,203+IA$3,1)&lt;&gt;""),1,0),0)</f>
        <v/>
      </c>
      <c r="IB17">
        <f>IF(IB$4=1,IF(OR(INDEX('×入力'!$A$1:$L$1300,203+IB$3,2+IB$2)&lt;&gt;"",INDEX('×入力'!$A$1:$L$1300,202,2+IB$2)&lt;&gt;"",INDEX('×入力'!$A$1:$L$1300,203+IB$3,1)&lt;&gt;""),1,0),0)</f>
        <v/>
      </c>
      <c r="IC17">
        <f>IF(IC$4=1,IF(OR(INDEX('×入力'!$A$1:$L$1300,203+IC$3,2+IC$2)&lt;&gt;"",INDEX('×入力'!$A$1:$L$1300,202,2+IC$2)&lt;&gt;"",INDEX('×入力'!$A$1:$L$1300,203+IC$3,1)&lt;&gt;""),1,0),0)</f>
        <v/>
      </c>
      <c r="ID17">
        <f>IF(ID$4=1,IF(OR(INDEX('×入力'!$A$1:$L$1300,203+ID$3,2+ID$2)&lt;&gt;"",INDEX('×入力'!$A$1:$L$1300,202,2+ID$2)&lt;&gt;"",INDEX('×入力'!$A$1:$L$1300,203+ID$3,1)&lt;&gt;""),1,0),0)</f>
        <v/>
      </c>
      <c r="IE17">
        <f>IF(IE$4=1,IF(OR(INDEX('×入力'!$A$1:$L$1300,203+IE$3,2+IE$2)&lt;&gt;"",INDEX('×入力'!$A$1:$L$1300,202,2+IE$2)&lt;&gt;"",INDEX('×入力'!$A$1:$L$1300,203+IE$3,1)&lt;&gt;""),1,0),0)</f>
        <v/>
      </c>
      <c r="IF17">
        <f>IF(IF$4=1,IF(OR(INDEX('×入力'!$A$1:$L$1300,203+IF$3,2+IF$2)&lt;&gt;"",INDEX('×入力'!$A$1:$L$1300,202,2+IF$2)&lt;&gt;"",INDEX('×入力'!$A$1:$L$1300,203+IF$3,1)&lt;&gt;""),1,0),0)</f>
        <v/>
      </c>
      <c r="IG17">
        <f>IF(IG$4=1,IF(OR(INDEX('×入力'!$A$1:$L$1300,203+IG$3,2+IG$2)&lt;&gt;"",INDEX('×入力'!$A$1:$L$1300,202,2+IG$2)&lt;&gt;"",INDEX('×入力'!$A$1:$L$1300,203+IG$3,1)&lt;&gt;""),1,0),0)</f>
        <v/>
      </c>
      <c r="IH17">
        <f>IF(IH$4=1,IF(OR(INDEX('×入力'!$A$1:$L$1300,203+IH$3,2+IH$2)&lt;&gt;"",INDEX('×入力'!$A$1:$L$1300,202,2+IH$2)&lt;&gt;"",INDEX('×入力'!$A$1:$L$1300,203+IH$3,1)&lt;&gt;""),1,0),0)</f>
        <v/>
      </c>
      <c r="II17">
        <f>IF(II$4=1,IF(OR(INDEX('×入力'!$A$1:$L$1300,203+II$3,2+II$2)&lt;&gt;"",INDEX('×入力'!$A$1:$L$1300,202,2+II$2)&lt;&gt;"",INDEX('×入力'!$A$1:$L$1300,203+II$3,1)&lt;&gt;""),1,0),0)</f>
        <v/>
      </c>
      <c r="IK17">
        <f>IFERROR(INDEX('計算B'!$C$3:$C$47,MATCH(A17,'計算B'!$B$3:$B$47,0)),0)</f>
        <v/>
      </c>
      <c r="IL17">
        <f>IF(AND(C17=1,IK17=0),1,0)</f>
        <v/>
      </c>
      <c r="IM17">
        <f>SUMPRODUCT(D67:II67*(1-$D$7:$II$7))</f>
        <v/>
      </c>
      <c r="IN17">
        <f>SUM(D17:II17)</f>
        <v/>
      </c>
      <c r="IO17">
        <f>IF(B17="",0,IF(COUNTIF('調整・決定'!$C$6:$L$29,B17)=1,SUMPRODUCT(('調整・決定'!$C$6:$L$29=B17)*((COLUMN('調整・決定'!$C$6:$L$29)-3)*24+ROW('調整・決定'!$C$6:$L$29)-5)),0))</f>
        <v/>
      </c>
      <c r="IP17">
        <f>IFERROR(MATCH('名簿'!E12,{"早い時刻","遅い時刻","早い日","遅い日"},0),0)</f>
        <v/>
      </c>
      <c r="IQ17">
        <f>IF('名簿'!F12="必ず空けたい",2,IF('名簿'!F12="出来れば空けたい",1,0))</f>
        <v/>
      </c>
    </row>
    <row r="18">
      <c r="A18" t="n">
        <v>9</v>
      </c>
      <c r="B18">
        <f>'名簿'!G13</f>
        <v/>
      </c>
      <c r="C18">
        <f>IF(AND(B18&lt;&gt;"",OR('名簿'!H13="入力済み",'名簿'!H13="×なし"),IO18=0,COUNTIF('調整・決定'!$C$6:$L$29,B18)=0),1,0)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ER18">
        <f>IF(ER$4=1,IF(OR(INDEX('×入力'!$A$1:$L$1300,231+ER$3,2+ER$2)&lt;&gt;"",INDEX('×入力'!$A$1:$L$1300,230,2+ER$2)&lt;&gt;"",INDEX('×入力'!$A$1:$L$1300,231+ER$3,1)&lt;&gt;""),1,0),0)</f>
        <v/>
      </c>
      <c r="ES18">
        <f>IF(ES$4=1,IF(OR(INDEX('×入力'!$A$1:$L$1300,231+ES$3,2+ES$2)&lt;&gt;"",INDEX('×入力'!$A$1:$L$1300,230,2+ES$2)&lt;&gt;"",INDEX('×入力'!$A$1:$L$1300,231+ES$3,1)&lt;&gt;""),1,0),0)</f>
        <v/>
      </c>
      <c r="ET18">
        <f>IF(ET$4=1,IF(OR(INDEX('×入力'!$A$1:$L$1300,231+ET$3,2+ET$2)&lt;&gt;"",INDEX('×入力'!$A$1:$L$1300,230,2+ET$2)&lt;&gt;"",INDEX('×入力'!$A$1:$L$1300,231+ET$3,1)&lt;&gt;""),1,0),0)</f>
        <v/>
      </c>
      <c r="EU18">
        <f>IF(EU$4=1,IF(OR(INDEX('×入力'!$A$1:$L$1300,231+EU$3,2+EU$2)&lt;&gt;"",INDEX('×入力'!$A$1:$L$1300,230,2+EU$2)&lt;&gt;"",INDEX('×入力'!$A$1:$L$1300,231+EU$3,1)&lt;&gt;""),1,0),0)</f>
        <v/>
      </c>
      <c r="EV18">
        <f>IF(EV$4=1,IF(OR(INDEX('×入力'!$A$1:$L$1300,231+EV$3,2+EV$2)&lt;&gt;"",INDEX('×入力'!$A$1:$L$1300,230,2+EV$2)&lt;&gt;"",INDEX('×入力'!$A$1:$L$1300,231+EV$3,1)&lt;&gt;""),1,0),0)</f>
        <v/>
      </c>
      <c r="EW18">
        <f>IF(EW$4=1,IF(OR(INDEX('×入力'!$A$1:$L$1300,231+EW$3,2+EW$2)&lt;&gt;"",INDEX('×入力'!$A$1:$L$1300,230,2+EW$2)&lt;&gt;"",INDEX('×入力'!$A$1:$L$1300,231+EW$3,1)&lt;&gt;""),1,0),0)</f>
        <v/>
      </c>
      <c r="EX18">
        <f>IF(EX$4=1,IF(OR(INDEX('×入力'!$A$1:$L$1300,231+EX$3,2+EX$2)&lt;&gt;"",INDEX('×入力'!$A$1:$L$1300,230,2+EX$2)&lt;&gt;"",INDEX('×入力'!$A$1:$L$1300,231+EX$3,1)&lt;&gt;""),1,0),0)</f>
        <v/>
      </c>
      <c r="EY18">
        <f>IF(EY$4=1,IF(OR(INDEX('×入力'!$A$1:$L$1300,231+EY$3,2+EY$2)&lt;&gt;"",INDEX('×入力'!$A$1:$L$1300,230,2+EY$2)&lt;&gt;"",INDEX('×入力'!$A$1:$L$1300,231+EY$3,1)&lt;&gt;""),1,0),0)</f>
        <v/>
      </c>
      <c r="EZ18">
        <f>IF(EZ$4=1,IF(OR(INDEX('×入力'!$A$1:$L$1300,231+EZ$3,2+EZ$2)&lt;&gt;"",INDEX('×入力'!$A$1:$L$1300,230,2+EZ$2)&lt;&gt;"",INDEX('×入力'!$A$1:$L$1300,231+EZ$3,1)&lt;&gt;""),1,0),0)</f>
        <v/>
      </c>
      <c r="FA18">
        <f>IF(FA$4=1,IF(OR(INDEX('×入力'!$A$1:$L$1300,231+FA$3,2+FA$2)&lt;&gt;"",INDEX('×入力'!$A$1:$L$1300,230,2+FA$2)&lt;&gt;"",INDEX('×入力'!$A$1:$L$1300,231+FA$3,1)&lt;&gt;""),1,0),0)</f>
        <v/>
      </c>
      <c r="FB18">
        <f>IF(FB$4=1,IF(OR(INDEX('×入力'!$A$1:$L$1300,231+FB$3,2+FB$2)&lt;&gt;"",INDEX('×入力'!$A$1:$L$1300,230,2+FB$2)&lt;&gt;"",INDEX('×入力'!$A$1:$L$1300,231+FB$3,1)&lt;&gt;""),1,0),0)</f>
        <v/>
      </c>
      <c r="FC18">
        <f>IF(FC$4=1,IF(OR(INDEX('×入力'!$A$1:$L$1300,231+FC$3,2+FC$2)&lt;&gt;"",INDEX('×入力'!$A$1:$L$1300,230,2+FC$2)&lt;&gt;"",INDEX('×入力'!$A$1:$L$1300,231+FC$3,1)&lt;&gt;""),1,0),0)</f>
        <v/>
      </c>
      <c r="FD18">
        <f>IF(FD$4=1,IF(OR(INDEX('×入力'!$A$1:$L$1300,231+FD$3,2+FD$2)&lt;&gt;"",INDEX('×入力'!$A$1:$L$1300,230,2+FD$2)&lt;&gt;"",INDEX('×入力'!$A$1:$L$1300,231+FD$3,1)&lt;&gt;""),1,0),0)</f>
        <v/>
      </c>
      <c r="FE18">
        <f>IF(FE$4=1,IF(OR(INDEX('×入力'!$A$1:$L$1300,231+FE$3,2+FE$2)&lt;&gt;"",INDEX('×入力'!$A$1:$L$1300,230,2+FE$2)&lt;&gt;"",INDEX('×入力'!$A$1:$L$1300,231+FE$3,1)&lt;&gt;""),1,0),0)</f>
        <v/>
      </c>
      <c r="FF18">
        <f>IF(FF$4=1,IF(OR(INDEX('×入力'!$A$1:$L$1300,231+FF$3,2+FF$2)&lt;&gt;"",INDEX('×入力'!$A$1:$L$1300,230,2+FF$2)&lt;&gt;"",INDEX('×入力'!$A$1:$L$1300,231+FF$3,1)&lt;&gt;""),1,0),0)</f>
        <v/>
      </c>
      <c r="FG18">
        <f>IF(FG$4=1,IF(OR(INDEX('×入力'!$A$1:$L$1300,231+FG$3,2+FG$2)&lt;&gt;"",INDEX('×入力'!$A$1:$L$1300,230,2+FG$2)&lt;&gt;"",INDEX('×入力'!$A$1:$L$1300,231+FG$3,1)&lt;&gt;""),1,0),0)</f>
        <v/>
      </c>
      <c r="FH18">
        <f>IF(FH$4=1,IF(OR(INDEX('×入力'!$A$1:$L$1300,231+FH$3,2+FH$2)&lt;&gt;"",INDEX('×入力'!$A$1:$L$1300,230,2+FH$2)&lt;&gt;"",INDEX('×入力'!$A$1:$L$1300,231+FH$3,1)&lt;&gt;""),1,0),0)</f>
        <v/>
      </c>
      <c r="FI18">
        <f>IF(FI$4=1,IF(OR(INDEX('×入力'!$A$1:$L$1300,231+FI$3,2+FI$2)&lt;&gt;"",INDEX('×入力'!$A$1:$L$1300,230,2+FI$2)&lt;&gt;"",INDEX('×入力'!$A$1:$L$1300,231+FI$3,1)&lt;&gt;""),1,0),0)</f>
        <v/>
      </c>
      <c r="FJ18">
        <f>IF(FJ$4=1,IF(OR(INDEX('×入力'!$A$1:$L$1300,231+FJ$3,2+FJ$2)&lt;&gt;"",INDEX('×入力'!$A$1:$L$1300,230,2+FJ$2)&lt;&gt;"",INDEX('×入力'!$A$1:$L$1300,231+FJ$3,1)&lt;&gt;""),1,0),0)</f>
        <v/>
      </c>
      <c r="FK18">
        <f>IF(FK$4=1,IF(OR(INDEX('×入力'!$A$1:$L$1300,231+FK$3,2+FK$2)&lt;&gt;"",INDEX('×入力'!$A$1:$L$1300,230,2+FK$2)&lt;&gt;"",INDEX('×入力'!$A$1:$L$1300,231+FK$3,1)&lt;&gt;""),1,0),0)</f>
        <v/>
      </c>
      <c r="FL18">
        <f>IF(FL$4=1,IF(OR(INDEX('×入力'!$A$1:$L$1300,231+FL$3,2+FL$2)&lt;&gt;"",INDEX('×入力'!$A$1:$L$1300,230,2+FL$2)&lt;&gt;"",INDEX('×入力'!$A$1:$L$1300,231+FL$3,1)&lt;&gt;""),1,0),0)</f>
        <v/>
      </c>
      <c r="FM18">
        <f>IF(FM$4=1,IF(OR(INDEX('×入力'!$A$1:$L$1300,231+FM$3,2+FM$2)&lt;&gt;"",INDEX('×入力'!$A$1:$L$1300,230,2+FM$2)&lt;&gt;"",INDEX('×入力'!$A$1:$L$1300,231+FM$3,1)&lt;&gt;""),1,0),0)</f>
        <v/>
      </c>
      <c r="FN18">
        <f>IF(FN$4=1,IF(OR(INDEX('×入力'!$A$1:$L$1300,231+FN$3,2+FN$2)&lt;&gt;"",INDEX('×入力'!$A$1:$L$1300,230,2+FN$2)&lt;&gt;"",INDEX('×入力'!$A$1:$L$1300,231+FN$3,1)&lt;&gt;""),1,0),0)</f>
        <v/>
      </c>
      <c r="FO18">
        <f>IF(FO$4=1,IF(OR(INDEX('×入力'!$A$1:$L$1300,231+FO$3,2+FO$2)&lt;&gt;"",INDEX('×入力'!$A$1:$L$1300,230,2+FO$2)&lt;&gt;"",INDEX('×入力'!$A$1:$L$1300,231+FO$3,1)&lt;&gt;""),1,0),0)</f>
        <v/>
      </c>
      <c r="FP18">
        <f>IF(FP$4=1,IF(OR(INDEX('×入力'!$A$1:$L$1300,231+FP$3,2+FP$2)&lt;&gt;"",INDEX('×入力'!$A$1:$L$1300,230,2+FP$2)&lt;&gt;"",INDEX('×入力'!$A$1:$L$1300,231+FP$3,1)&lt;&gt;""),1,0),0)</f>
        <v/>
      </c>
      <c r="FQ18">
        <f>IF(FQ$4=1,IF(OR(INDEX('×入力'!$A$1:$L$1300,231+FQ$3,2+FQ$2)&lt;&gt;"",INDEX('×入力'!$A$1:$L$1300,230,2+FQ$2)&lt;&gt;"",INDEX('×入力'!$A$1:$L$1300,231+FQ$3,1)&lt;&gt;""),1,0),0)</f>
        <v/>
      </c>
      <c r="FR18">
        <f>IF(FR$4=1,IF(OR(INDEX('×入力'!$A$1:$L$1300,231+FR$3,2+FR$2)&lt;&gt;"",INDEX('×入力'!$A$1:$L$1300,230,2+FR$2)&lt;&gt;"",INDEX('×入力'!$A$1:$L$1300,231+FR$3,1)&lt;&gt;""),1,0),0)</f>
        <v/>
      </c>
      <c r="FS18">
        <f>IF(FS$4=1,IF(OR(INDEX('×入力'!$A$1:$L$1300,231+FS$3,2+FS$2)&lt;&gt;"",INDEX('×入力'!$A$1:$L$1300,230,2+FS$2)&lt;&gt;"",INDEX('×入力'!$A$1:$L$1300,231+FS$3,1)&lt;&gt;""),1,0),0)</f>
        <v/>
      </c>
      <c r="FT18">
        <f>IF(FT$4=1,IF(OR(INDEX('×入力'!$A$1:$L$1300,231+FT$3,2+FT$2)&lt;&gt;"",INDEX('×入力'!$A$1:$L$1300,230,2+FT$2)&lt;&gt;"",INDEX('×入力'!$A$1:$L$1300,231+FT$3,1)&lt;&gt;""),1,0),0)</f>
        <v/>
      </c>
      <c r="FU18">
        <f>IF(FU$4=1,IF(OR(INDEX('×入力'!$A$1:$L$1300,231+FU$3,2+FU$2)&lt;&gt;"",INDEX('×入力'!$A$1:$L$1300,230,2+FU$2)&lt;&gt;"",INDEX('×入力'!$A$1:$L$1300,231+FU$3,1)&lt;&gt;""),1,0),0)</f>
        <v/>
      </c>
      <c r="FV18">
        <f>IF(FV$4=1,IF(OR(INDEX('×入力'!$A$1:$L$1300,231+FV$3,2+FV$2)&lt;&gt;"",INDEX('×入力'!$A$1:$L$1300,230,2+FV$2)&lt;&gt;"",INDEX('×入力'!$A$1:$L$1300,231+FV$3,1)&lt;&gt;""),1,0),0)</f>
        <v/>
      </c>
      <c r="FW18">
        <f>IF(FW$4=1,IF(OR(INDEX('×入力'!$A$1:$L$1300,231+FW$3,2+FW$2)&lt;&gt;"",INDEX('×入力'!$A$1:$L$1300,230,2+FW$2)&lt;&gt;"",INDEX('×入力'!$A$1:$L$1300,231+FW$3,1)&lt;&gt;""),1,0),0)</f>
        <v/>
      </c>
      <c r="FX18">
        <f>IF(FX$4=1,IF(OR(INDEX('×入力'!$A$1:$L$1300,231+FX$3,2+FX$2)&lt;&gt;"",INDEX('×入力'!$A$1:$L$1300,230,2+FX$2)&lt;&gt;"",INDEX('×入力'!$A$1:$L$1300,231+FX$3,1)&lt;&gt;""),1,0),0)</f>
        <v/>
      </c>
      <c r="FY18">
        <f>IF(FY$4=1,IF(OR(INDEX('×入力'!$A$1:$L$1300,231+FY$3,2+FY$2)&lt;&gt;"",INDEX('×入力'!$A$1:$L$1300,230,2+FY$2)&lt;&gt;"",INDEX('×入力'!$A$1:$L$1300,231+FY$3,1)&lt;&gt;""),1,0),0)</f>
        <v/>
      </c>
      <c r="FZ18">
        <f>IF(FZ$4=1,IF(OR(INDEX('×入力'!$A$1:$L$1300,231+FZ$3,2+FZ$2)&lt;&gt;"",INDEX('×入力'!$A$1:$L$1300,230,2+FZ$2)&lt;&gt;"",INDEX('×入力'!$A$1:$L$1300,231+FZ$3,1)&lt;&gt;""),1,0),0)</f>
        <v/>
      </c>
      <c r="GA18">
        <f>IF(GA$4=1,IF(OR(INDEX('×入力'!$A$1:$L$1300,231+GA$3,2+GA$2)&lt;&gt;"",INDEX('×入力'!$A$1:$L$1300,230,2+GA$2)&lt;&gt;"",INDEX('×入力'!$A$1:$L$1300,231+GA$3,1)&lt;&gt;""),1,0),0)</f>
        <v/>
      </c>
      <c r="GB18">
        <f>IF(GB$4=1,IF(OR(INDEX('×入力'!$A$1:$L$1300,231+GB$3,2+GB$2)&lt;&gt;"",INDEX('×入力'!$A$1:$L$1300,230,2+GB$2)&lt;&gt;"",INDEX('×入力'!$A$1:$L$1300,231+GB$3,1)&lt;&gt;""),1,0),0)</f>
        <v/>
      </c>
      <c r="GC18">
        <f>IF(GC$4=1,IF(OR(INDEX('×入力'!$A$1:$L$1300,231+GC$3,2+GC$2)&lt;&gt;"",INDEX('×入力'!$A$1:$L$1300,230,2+GC$2)&lt;&gt;"",INDEX('×入力'!$A$1:$L$1300,231+GC$3,1)&lt;&gt;""),1,0),0)</f>
        <v/>
      </c>
      <c r="GD18">
        <f>IF(GD$4=1,IF(OR(INDEX('×入力'!$A$1:$L$1300,231+GD$3,2+GD$2)&lt;&gt;"",INDEX('×入力'!$A$1:$L$1300,230,2+GD$2)&lt;&gt;"",INDEX('×入力'!$A$1:$L$1300,231+GD$3,1)&lt;&gt;""),1,0),0)</f>
        <v/>
      </c>
      <c r="GE18">
        <f>IF(GE$4=1,IF(OR(INDEX('×入力'!$A$1:$L$1300,231+GE$3,2+GE$2)&lt;&gt;"",INDEX('×入力'!$A$1:$L$1300,230,2+GE$2)&lt;&gt;"",INDEX('×入力'!$A$1:$L$1300,231+GE$3,1)&lt;&gt;""),1,0),0)</f>
        <v/>
      </c>
      <c r="GF18">
        <f>IF(GF$4=1,IF(OR(INDEX('×入力'!$A$1:$L$1300,231+GF$3,2+GF$2)&lt;&gt;"",INDEX('×入力'!$A$1:$L$1300,230,2+GF$2)&lt;&gt;"",INDEX('×入力'!$A$1:$L$1300,231+GF$3,1)&lt;&gt;""),1,0),0)</f>
        <v/>
      </c>
      <c r="GG18">
        <f>IF(GG$4=1,IF(OR(INDEX('×入力'!$A$1:$L$1300,231+GG$3,2+GG$2)&lt;&gt;"",INDEX('×入力'!$A$1:$L$1300,230,2+GG$2)&lt;&gt;"",INDEX('×入力'!$A$1:$L$1300,231+GG$3,1)&lt;&gt;""),1,0),0)</f>
        <v/>
      </c>
      <c r="GH18">
        <f>IF(GH$4=1,IF(OR(INDEX('×入力'!$A$1:$L$1300,231+GH$3,2+GH$2)&lt;&gt;"",INDEX('×入力'!$A$1:$L$1300,230,2+GH$2)&lt;&gt;"",INDEX('×入力'!$A$1:$L$1300,231+GH$3,1)&lt;&gt;""),1,0),0)</f>
        <v/>
      </c>
      <c r="GI18">
        <f>IF(GI$4=1,IF(OR(INDEX('×入力'!$A$1:$L$1300,231+GI$3,2+GI$2)&lt;&gt;"",INDEX('×入力'!$A$1:$L$1300,230,2+GI$2)&lt;&gt;"",INDEX('×入力'!$A$1:$L$1300,231+GI$3,1)&lt;&gt;""),1,0),0)</f>
        <v/>
      </c>
      <c r="GJ18">
        <f>IF(GJ$4=1,IF(OR(INDEX('×入力'!$A$1:$L$1300,231+GJ$3,2+GJ$2)&lt;&gt;"",INDEX('×入力'!$A$1:$L$1300,230,2+GJ$2)&lt;&gt;"",INDEX('×入力'!$A$1:$L$1300,231+GJ$3,1)&lt;&gt;""),1,0),0)</f>
        <v/>
      </c>
      <c r="GK18">
        <f>IF(GK$4=1,IF(OR(INDEX('×入力'!$A$1:$L$1300,231+GK$3,2+GK$2)&lt;&gt;"",INDEX('×入力'!$A$1:$L$1300,230,2+GK$2)&lt;&gt;"",INDEX('×入力'!$A$1:$L$1300,231+GK$3,1)&lt;&gt;""),1,0),0)</f>
        <v/>
      </c>
      <c r="GL18">
        <f>IF(GL$4=1,IF(OR(INDEX('×入力'!$A$1:$L$1300,231+GL$3,2+GL$2)&lt;&gt;"",INDEX('×入力'!$A$1:$L$1300,230,2+GL$2)&lt;&gt;"",INDEX('×入力'!$A$1:$L$1300,231+GL$3,1)&lt;&gt;""),1,0),0)</f>
        <v/>
      </c>
      <c r="GM18">
        <f>IF(GM$4=1,IF(OR(INDEX('×入力'!$A$1:$L$1300,231+GM$3,2+GM$2)&lt;&gt;"",INDEX('×入力'!$A$1:$L$1300,230,2+GM$2)&lt;&gt;"",INDEX('×入力'!$A$1:$L$1300,231+GM$3,1)&lt;&gt;""),1,0),0)</f>
        <v/>
      </c>
      <c r="GN18">
        <f>IF(GN$4=1,IF(OR(INDEX('×入力'!$A$1:$L$1300,231+GN$3,2+GN$2)&lt;&gt;"",INDEX('×入力'!$A$1:$L$1300,230,2+GN$2)&lt;&gt;"",INDEX('×入力'!$A$1:$L$1300,231+GN$3,1)&lt;&gt;""),1,0),0)</f>
        <v/>
      </c>
      <c r="GO18">
        <f>IF(GO$4=1,IF(OR(INDEX('×入力'!$A$1:$L$1300,231+GO$3,2+GO$2)&lt;&gt;"",INDEX('×入力'!$A$1:$L$1300,230,2+GO$2)&lt;&gt;"",INDEX('×入力'!$A$1:$L$1300,231+GO$3,1)&lt;&gt;""),1,0),0)</f>
        <v/>
      </c>
      <c r="GP18">
        <f>IF(GP$4=1,IF(OR(INDEX('×入力'!$A$1:$L$1300,231+GP$3,2+GP$2)&lt;&gt;"",INDEX('×入力'!$A$1:$L$1300,230,2+GP$2)&lt;&gt;"",INDEX('×入力'!$A$1:$L$1300,231+GP$3,1)&lt;&gt;""),1,0),0)</f>
        <v/>
      </c>
      <c r="GQ18">
        <f>IF(GQ$4=1,IF(OR(INDEX('×入力'!$A$1:$L$1300,231+GQ$3,2+GQ$2)&lt;&gt;"",INDEX('×入力'!$A$1:$L$1300,230,2+GQ$2)&lt;&gt;"",INDEX('×入力'!$A$1:$L$1300,231+GQ$3,1)&lt;&gt;""),1,0),0)</f>
        <v/>
      </c>
      <c r="GR18">
        <f>IF(GR$4=1,IF(OR(INDEX('×入力'!$A$1:$L$1300,231+GR$3,2+GR$2)&lt;&gt;"",INDEX('×入力'!$A$1:$L$1300,230,2+GR$2)&lt;&gt;"",INDEX('×入力'!$A$1:$L$1300,231+GR$3,1)&lt;&gt;""),1,0),0)</f>
        <v/>
      </c>
      <c r="GS18">
        <f>IF(GS$4=1,IF(OR(INDEX('×入力'!$A$1:$L$1300,231+GS$3,2+GS$2)&lt;&gt;"",INDEX('×入力'!$A$1:$L$1300,230,2+GS$2)&lt;&gt;"",INDEX('×入力'!$A$1:$L$1300,231+GS$3,1)&lt;&gt;""),1,0),0)</f>
        <v/>
      </c>
      <c r="GT18">
        <f>IF(GT$4=1,IF(OR(INDEX('×入力'!$A$1:$L$1300,231+GT$3,2+GT$2)&lt;&gt;"",INDEX('×入力'!$A$1:$L$1300,230,2+GT$2)&lt;&gt;"",INDEX('×入力'!$A$1:$L$1300,231+GT$3,1)&lt;&gt;""),1,0),0)</f>
        <v/>
      </c>
      <c r="GU18">
        <f>IF(GU$4=1,IF(OR(INDEX('×入力'!$A$1:$L$1300,231+GU$3,2+GU$2)&lt;&gt;"",INDEX('×入力'!$A$1:$L$1300,230,2+GU$2)&lt;&gt;"",INDEX('×入力'!$A$1:$L$1300,231+GU$3,1)&lt;&gt;""),1,0),0)</f>
        <v/>
      </c>
      <c r="GV18">
        <f>IF(GV$4=1,IF(OR(INDEX('×入力'!$A$1:$L$1300,231+GV$3,2+GV$2)&lt;&gt;"",INDEX('×入力'!$A$1:$L$1300,230,2+GV$2)&lt;&gt;"",INDEX('×入力'!$A$1:$L$1300,231+GV$3,1)&lt;&gt;""),1,0),0)</f>
        <v/>
      </c>
      <c r="GW18">
        <f>IF(GW$4=1,IF(OR(INDEX('×入力'!$A$1:$L$1300,231+GW$3,2+GW$2)&lt;&gt;"",INDEX('×入力'!$A$1:$L$1300,230,2+GW$2)&lt;&gt;"",INDEX('×入力'!$A$1:$L$1300,231+GW$3,1)&lt;&gt;""),1,0),0)</f>
        <v/>
      </c>
      <c r="GX18">
        <f>IF(GX$4=1,IF(OR(INDEX('×入力'!$A$1:$L$1300,231+GX$3,2+GX$2)&lt;&gt;"",INDEX('×入力'!$A$1:$L$1300,230,2+GX$2)&lt;&gt;"",INDEX('×入力'!$A$1:$L$1300,231+GX$3,1)&lt;&gt;""),1,0),0)</f>
        <v/>
      </c>
      <c r="GY18">
        <f>IF(GY$4=1,IF(OR(INDEX('×入力'!$A$1:$L$1300,231+GY$3,2+GY$2)&lt;&gt;"",INDEX('×入力'!$A$1:$L$1300,230,2+GY$2)&lt;&gt;"",INDEX('×入力'!$A$1:$L$1300,231+GY$3,1)&lt;&gt;""),1,0),0)</f>
        <v/>
      </c>
      <c r="GZ18">
        <f>IF(GZ$4=1,IF(OR(INDEX('×入力'!$A$1:$L$1300,231+GZ$3,2+GZ$2)&lt;&gt;"",INDEX('×入力'!$A$1:$L$1300,230,2+GZ$2)&lt;&gt;"",INDEX('×入力'!$A$1:$L$1300,231+GZ$3,1)&lt;&gt;""),1,0),0)</f>
        <v/>
      </c>
      <c r="HA18">
        <f>IF(HA$4=1,IF(OR(INDEX('×入力'!$A$1:$L$1300,231+HA$3,2+HA$2)&lt;&gt;"",INDEX('×入力'!$A$1:$L$1300,230,2+HA$2)&lt;&gt;"",INDEX('×入力'!$A$1:$L$1300,231+HA$3,1)&lt;&gt;""),1,0),0)</f>
        <v/>
      </c>
      <c r="HB18">
        <f>IF(HB$4=1,IF(OR(INDEX('×入力'!$A$1:$L$1300,231+HB$3,2+HB$2)&lt;&gt;"",INDEX('×入力'!$A$1:$L$1300,230,2+HB$2)&lt;&gt;"",INDEX('×入力'!$A$1:$L$1300,231+HB$3,1)&lt;&gt;""),1,0),0)</f>
        <v/>
      </c>
      <c r="HC18">
        <f>IF(HC$4=1,IF(OR(INDEX('×入力'!$A$1:$L$1300,231+HC$3,2+HC$2)&lt;&gt;"",INDEX('×入力'!$A$1:$L$1300,230,2+HC$2)&lt;&gt;"",INDEX('×入力'!$A$1:$L$1300,231+HC$3,1)&lt;&gt;""),1,0),0)</f>
        <v/>
      </c>
      <c r="HD18">
        <f>IF(HD$4=1,IF(OR(INDEX('×入力'!$A$1:$L$1300,231+HD$3,2+HD$2)&lt;&gt;"",INDEX('×入力'!$A$1:$L$1300,230,2+HD$2)&lt;&gt;"",INDEX('×入力'!$A$1:$L$1300,231+HD$3,1)&lt;&gt;""),1,0),0)</f>
        <v/>
      </c>
      <c r="HE18">
        <f>IF(HE$4=1,IF(OR(INDEX('×入力'!$A$1:$L$1300,231+HE$3,2+HE$2)&lt;&gt;"",INDEX('×入力'!$A$1:$L$1300,230,2+HE$2)&lt;&gt;"",INDEX('×入力'!$A$1:$L$1300,231+HE$3,1)&lt;&gt;""),1,0),0)</f>
        <v/>
      </c>
      <c r="HF18">
        <f>IF(HF$4=1,IF(OR(INDEX('×入力'!$A$1:$L$1300,231+HF$3,2+HF$2)&lt;&gt;"",INDEX('×入力'!$A$1:$L$1300,230,2+HF$2)&lt;&gt;"",INDEX('×入力'!$A$1:$L$1300,231+HF$3,1)&lt;&gt;""),1,0),0)</f>
        <v/>
      </c>
      <c r="HG18">
        <f>IF(HG$4=1,IF(OR(INDEX('×入力'!$A$1:$L$1300,231+HG$3,2+HG$2)&lt;&gt;"",INDEX('×入力'!$A$1:$L$1300,230,2+HG$2)&lt;&gt;"",INDEX('×入力'!$A$1:$L$1300,231+HG$3,1)&lt;&gt;""),1,0),0)</f>
        <v/>
      </c>
      <c r="HH18">
        <f>IF(HH$4=1,IF(OR(INDEX('×入力'!$A$1:$L$1300,231+HH$3,2+HH$2)&lt;&gt;"",INDEX('×入力'!$A$1:$L$1300,230,2+HH$2)&lt;&gt;"",INDEX('×入力'!$A$1:$L$1300,231+HH$3,1)&lt;&gt;""),1,0),0)</f>
        <v/>
      </c>
      <c r="HI18">
        <f>IF(HI$4=1,IF(OR(INDEX('×入力'!$A$1:$L$1300,231+HI$3,2+HI$2)&lt;&gt;"",INDEX('×入力'!$A$1:$L$1300,230,2+HI$2)&lt;&gt;"",INDEX('×入力'!$A$1:$L$1300,231+HI$3,1)&lt;&gt;""),1,0),0)</f>
        <v/>
      </c>
      <c r="HJ18">
        <f>IF(HJ$4=1,IF(OR(INDEX('×入力'!$A$1:$L$1300,231+HJ$3,2+HJ$2)&lt;&gt;"",INDEX('×入力'!$A$1:$L$1300,230,2+HJ$2)&lt;&gt;"",INDEX('×入力'!$A$1:$L$1300,231+HJ$3,1)&lt;&gt;""),1,0),0)</f>
        <v/>
      </c>
      <c r="HK18">
        <f>IF(HK$4=1,IF(OR(INDEX('×入力'!$A$1:$L$1300,231+HK$3,2+HK$2)&lt;&gt;"",INDEX('×入力'!$A$1:$L$1300,230,2+HK$2)&lt;&gt;"",INDEX('×入力'!$A$1:$L$1300,231+HK$3,1)&lt;&gt;""),1,0),0)</f>
        <v/>
      </c>
      <c r="HL18">
        <f>IF(HL$4=1,IF(OR(INDEX('×入力'!$A$1:$L$1300,231+HL$3,2+HL$2)&lt;&gt;"",INDEX('×入力'!$A$1:$L$1300,230,2+HL$2)&lt;&gt;"",INDEX('×入力'!$A$1:$L$1300,231+HL$3,1)&lt;&gt;""),1,0),0)</f>
        <v/>
      </c>
      <c r="HM18">
        <f>IF(HM$4=1,IF(OR(INDEX('×入力'!$A$1:$L$1300,231+HM$3,2+HM$2)&lt;&gt;"",INDEX('×入力'!$A$1:$L$1300,230,2+HM$2)&lt;&gt;"",INDEX('×入力'!$A$1:$L$1300,231+HM$3,1)&lt;&gt;""),1,0),0)</f>
        <v/>
      </c>
      <c r="HN18">
        <f>IF(HN$4=1,IF(OR(INDEX('×入力'!$A$1:$L$1300,231+HN$3,2+HN$2)&lt;&gt;"",INDEX('×入力'!$A$1:$L$1300,230,2+HN$2)&lt;&gt;"",INDEX('×入力'!$A$1:$L$1300,231+HN$3,1)&lt;&gt;""),1,0),0)</f>
        <v/>
      </c>
      <c r="HO18">
        <f>IF(HO$4=1,IF(OR(INDEX('×入力'!$A$1:$L$1300,231+HO$3,2+HO$2)&lt;&gt;"",INDEX('×入力'!$A$1:$L$1300,230,2+HO$2)&lt;&gt;"",INDEX('×入力'!$A$1:$L$1300,231+HO$3,1)&lt;&gt;""),1,0),0)</f>
        <v/>
      </c>
      <c r="HP18">
        <f>IF(HP$4=1,IF(OR(INDEX('×入力'!$A$1:$L$1300,231+HP$3,2+HP$2)&lt;&gt;"",INDEX('×入力'!$A$1:$L$1300,230,2+HP$2)&lt;&gt;"",INDEX('×入力'!$A$1:$L$1300,231+HP$3,1)&lt;&gt;""),1,0),0)</f>
        <v/>
      </c>
      <c r="HQ18">
        <f>IF(HQ$4=1,IF(OR(INDEX('×入力'!$A$1:$L$1300,231+HQ$3,2+HQ$2)&lt;&gt;"",INDEX('×入力'!$A$1:$L$1300,230,2+HQ$2)&lt;&gt;"",INDEX('×入力'!$A$1:$L$1300,231+HQ$3,1)&lt;&gt;""),1,0),0)</f>
        <v/>
      </c>
      <c r="HR18">
        <f>IF(HR$4=1,IF(OR(INDEX('×入力'!$A$1:$L$1300,231+HR$3,2+HR$2)&lt;&gt;"",INDEX('×入力'!$A$1:$L$1300,230,2+HR$2)&lt;&gt;"",INDEX('×入力'!$A$1:$L$1300,231+HR$3,1)&lt;&gt;""),1,0),0)</f>
        <v/>
      </c>
      <c r="HS18">
        <f>IF(HS$4=1,IF(OR(INDEX('×入力'!$A$1:$L$1300,231+HS$3,2+HS$2)&lt;&gt;"",INDEX('×入力'!$A$1:$L$1300,230,2+HS$2)&lt;&gt;"",INDEX('×入力'!$A$1:$L$1300,231+HS$3,1)&lt;&gt;""),1,0),0)</f>
        <v/>
      </c>
      <c r="HT18">
        <f>IF(HT$4=1,IF(OR(INDEX('×入力'!$A$1:$L$1300,231+HT$3,2+HT$2)&lt;&gt;"",INDEX('×入力'!$A$1:$L$1300,230,2+HT$2)&lt;&gt;"",INDEX('×入力'!$A$1:$L$1300,231+HT$3,1)&lt;&gt;""),1,0),0)</f>
        <v/>
      </c>
      <c r="HU18">
        <f>IF(HU$4=1,IF(OR(INDEX('×入力'!$A$1:$L$1300,231+HU$3,2+HU$2)&lt;&gt;"",INDEX('×入力'!$A$1:$L$1300,230,2+HU$2)&lt;&gt;"",INDEX('×入力'!$A$1:$L$1300,231+HU$3,1)&lt;&gt;""),1,0),0)</f>
        <v/>
      </c>
      <c r="HV18">
        <f>IF(HV$4=1,IF(OR(INDEX('×入力'!$A$1:$L$1300,231+HV$3,2+HV$2)&lt;&gt;"",INDEX('×入力'!$A$1:$L$1300,230,2+HV$2)&lt;&gt;"",INDEX('×入力'!$A$1:$L$1300,231+HV$3,1)&lt;&gt;""),1,0),0)</f>
        <v/>
      </c>
      <c r="HW18">
        <f>IF(HW$4=1,IF(OR(INDEX('×入力'!$A$1:$L$1300,231+HW$3,2+HW$2)&lt;&gt;"",INDEX('×入力'!$A$1:$L$1300,230,2+HW$2)&lt;&gt;"",INDEX('×入力'!$A$1:$L$1300,231+HW$3,1)&lt;&gt;""),1,0),0)</f>
        <v/>
      </c>
      <c r="HX18">
        <f>IF(HX$4=1,IF(OR(INDEX('×入力'!$A$1:$L$1300,231+HX$3,2+HX$2)&lt;&gt;"",INDEX('×入力'!$A$1:$L$1300,230,2+HX$2)&lt;&gt;"",INDEX('×入力'!$A$1:$L$1300,231+HX$3,1)&lt;&gt;""),1,0),0)</f>
        <v/>
      </c>
      <c r="HY18">
        <f>IF(HY$4=1,IF(OR(INDEX('×入力'!$A$1:$L$1300,231+HY$3,2+HY$2)&lt;&gt;"",INDEX('×入力'!$A$1:$L$1300,230,2+HY$2)&lt;&gt;"",INDEX('×入力'!$A$1:$L$1300,231+HY$3,1)&lt;&gt;""),1,0),0)</f>
        <v/>
      </c>
      <c r="HZ18">
        <f>IF(HZ$4=1,IF(OR(INDEX('×入力'!$A$1:$L$1300,231+HZ$3,2+HZ$2)&lt;&gt;"",INDEX('×入力'!$A$1:$L$1300,230,2+HZ$2)&lt;&gt;"",INDEX('×入力'!$A$1:$L$1300,231+HZ$3,1)&lt;&gt;""),1,0),0)</f>
        <v/>
      </c>
      <c r="IA18">
        <f>IF(IA$4=1,IF(OR(INDEX('×入力'!$A$1:$L$1300,231+IA$3,2+IA$2)&lt;&gt;"",INDEX('×入力'!$A$1:$L$1300,230,2+IA$2)&lt;&gt;"",INDEX('×入力'!$A$1:$L$1300,231+IA$3,1)&lt;&gt;""),1,0),0)</f>
        <v/>
      </c>
      <c r="IB18">
        <f>IF(IB$4=1,IF(OR(INDEX('×入力'!$A$1:$L$1300,231+IB$3,2+IB$2)&lt;&gt;"",INDEX('×入力'!$A$1:$L$1300,230,2+IB$2)&lt;&gt;"",INDEX('×入力'!$A$1:$L$1300,231+IB$3,1)&lt;&gt;""),1,0),0)</f>
        <v/>
      </c>
      <c r="IC18">
        <f>IF(IC$4=1,IF(OR(INDEX('×入力'!$A$1:$L$1300,231+IC$3,2+IC$2)&lt;&gt;"",INDEX('×入力'!$A$1:$L$1300,230,2+IC$2)&lt;&gt;"",INDEX('×入力'!$A$1:$L$1300,231+IC$3,1)&lt;&gt;""),1,0),0)</f>
        <v/>
      </c>
      <c r="ID18">
        <f>IF(ID$4=1,IF(OR(INDEX('×入力'!$A$1:$L$1300,231+ID$3,2+ID$2)&lt;&gt;"",INDEX('×入力'!$A$1:$L$1300,230,2+ID$2)&lt;&gt;"",INDEX('×入力'!$A$1:$L$1300,231+ID$3,1)&lt;&gt;""),1,0),0)</f>
        <v/>
      </c>
      <c r="IE18">
        <f>IF(IE$4=1,IF(OR(INDEX('×入力'!$A$1:$L$1300,231+IE$3,2+IE$2)&lt;&gt;"",INDEX('×入力'!$A$1:$L$1300,230,2+IE$2)&lt;&gt;"",INDEX('×入力'!$A$1:$L$1300,231+IE$3,1)&lt;&gt;""),1,0),0)</f>
        <v/>
      </c>
      <c r="IF18">
        <f>IF(IF$4=1,IF(OR(INDEX('×入力'!$A$1:$L$1300,231+IF$3,2+IF$2)&lt;&gt;"",INDEX('×入力'!$A$1:$L$1300,230,2+IF$2)&lt;&gt;"",INDEX('×入力'!$A$1:$L$1300,231+IF$3,1)&lt;&gt;""),1,0),0)</f>
        <v/>
      </c>
      <c r="IG18">
        <f>IF(IG$4=1,IF(OR(INDEX('×入力'!$A$1:$L$1300,231+IG$3,2+IG$2)&lt;&gt;"",INDEX('×入力'!$A$1:$L$1300,230,2+IG$2)&lt;&gt;"",INDEX('×入力'!$A$1:$L$1300,231+IG$3,1)&lt;&gt;""),1,0),0)</f>
        <v/>
      </c>
      <c r="IH18">
        <f>IF(IH$4=1,IF(OR(INDEX('×入力'!$A$1:$L$1300,231+IH$3,2+IH$2)&lt;&gt;"",INDEX('×入力'!$A$1:$L$1300,230,2+IH$2)&lt;&gt;"",INDEX('×入力'!$A$1:$L$1300,231+IH$3,1)&lt;&gt;""),1,0),0)</f>
        <v/>
      </c>
      <c r="II18">
        <f>IF(II$4=1,IF(OR(INDEX('×入力'!$A$1:$L$1300,231+II$3,2+II$2)&lt;&gt;"",INDEX('×入力'!$A$1:$L$1300,230,2+II$2)&lt;&gt;"",INDEX('×入力'!$A$1:$L$1300,231+II$3,1)&lt;&gt;""),1,0),0)</f>
        <v/>
      </c>
      <c r="IK18">
        <f>IFERROR(INDEX('計算B'!$C$3:$C$47,MATCH(A18,'計算B'!$B$3:$B$47,0)),0)</f>
        <v/>
      </c>
      <c r="IL18">
        <f>IF(AND(C18=1,IK18=0),1,0)</f>
        <v/>
      </c>
      <c r="IM18">
        <f>SUMPRODUCT(D68:II68*(1-$D$7:$II$7))</f>
        <v/>
      </c>
      <c r="IN18">
        <f>SUM(D18:II18)</f>
        <v/>
      </c>
      <c r="IO18">
        <f>IF(B18="",0,IF(COUNTIF('調整・決定'!$C$6:$L$29,B18)=1,SUMPRODUCT(('調整・決定'!$C$6:$L$29=B18)*((COLUMN('調整・決定'!$C$6:$L$29)-3)*24+ROW('調整・決定'!$C$6:$L$29)-5)),0))</f>
        <v/>
      </c>
      <c r="IP18">
        <f>IFERROR(MATCH('名簿'!E13,{"早い時刻","遅い時刻","早い日","遅い日"},0),0)</f>
        <v/>
      </c>
      <c r="IQ18">
        <f>IF('名簿'!F13="必ず空けたい",2,IF('名簿'!F13="出来れば空けたい",1,0))</f>
        <v/>
      </c>
    </row>
    <row r="19">
      <c r="A19" t="n">
        <v>10</v>
      </c>
      <c r="B19">
        <f>'名簿'!G14</f>
        <v/>
      </c>
      <c r="C19">
        <f>IF(AND(B19&lt;&gt;"",OR('名簿'!H14="入力済み",'名簿'!H14="×なし"),IO19=0,COUNTIF('調整・決定'!$C$6:$L$29,B19)=0),1,0)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ER19">
        <f>IF(ER$4=1,IF(OR(INDEX('×入力'!$A$1:$L$1300,259+ER$3,2+ER$2)&lt;&gt;"",INDEX('×入力'!$A$1:$L$1300,258,2+ER$2)&lt;&gt;"",INDEX('×入力'!$A$1:$L$1300,259+ER$3,1)&lt;&gt;""),1,0),0)</f>
        <v/>
      </c>
      <c r="ES19">
        <f>IF(ES$4=1,IF(OR(INDEX('×入力'!$A$1:$L$1300,259+ES$3,2+ES$2)&lt;&gt;"",INDEX('×入力'!$A$1:$L$1300,258,2+ES$2)&lt;&gt;"",INDEX('×入力'!$A$1:$L$1300,259+ES$3,1)&lt;&gt;""),1,0),0)</f>
        <v/>
      </c>
      <c r="ET19">
        <f>IF(ET$4=1,IF(OR(INDEX('×入力'!$A$1:$L$1300,259+ET$3,2+ET$2)&lt;&gt;"",INDEX('×入力'!$A$1:$L$1300,258,2+ET$2)&lt;&gt;"",INDEX('×入力'!$A$1:$L$1300,259+ET$3,1)&lt;&gt;""),1,0),0)</f>
        <v/>
      </c>
      <c r="EU19">
        <f>IF(EU$4=1,IF(OR(INDEX('×入力'!$A$1:$L$1300,259+EU$3,2+EU$2)&lt;&gt;"",INDEX('×入力'!$A$1:$L$1300,258,2+EU$2)&lt;&gt;"",INDEX('×入力'!$A$1:$L$1300,259+EU$3,1)&lt;&gt;""),1,0),0)</f>
        <v/>
      </c>
      <c r="EV19">
        <f>IF(EV$4=1,IF(OR(INDEX('×入力'!$A$1:$L$1300,259+EV$3,2+EV$2)&lt;&gt;"",INDEX('×入力'!$A$1:$L$1300,258,2+EV$2)&lt;&gt;"",INDEX('×入力'!$A$1:$L$1300,259+EV$3,1)&lt;&gt;""),1,0),0)</f>
        <v/>
      </c>
      <c r="EW19">
        <f>IF(EW$4=1,IF(OR(INDEX('×入力'!$A$1:$L$1300,259+EW$3,2+EW$2)&lt;&gt;"",INDEX('×入力'!$A$1:$L$1300,258,2+EW$2)&lt;&gt;"",INDEX('×入力'!$A$1:$L$1300,259+EW$3,1)&lt;&gt;""),1,0),0)</f>
        <v/>
      </c>
      <c r="EX19">
        <f>IF(EX$4=1,IF(OR(INDEX('×入力'!$A$1:$L$1300,259+EX$3,2+EX$2)&lt;&gt;"",INDEX('×入力'!$A$1:$L$1300,258,2+EX$2)&lt;&gt;"",INDEX('×入力'!$A$1:$L$1300,259+EX$3,1)&lt;&gt;""),1,0),0)</f>
        <v/>
      </c>
      <c r="EY19">
        <f>IF(EY$4=1,IF(OR(INDEX('×入力'!$A$1:$L$1300,259+EY$3,2+EY$2)&lt;&gt;"",INDEX('×入力'!$A$1:$L$1300,258,2+EY$2)&lt;&gt;"",INDEX('×入力'!$A$1:$L$1300,259+EY$3,1)&lt;&gt;""),1,0),0)</f>
        <v/>
      </c>
      <c r="EZ19">
        <f>IF(EZ$4=1,IF(OR(INDEX('×入力'!$A$1:$L$1300,259+EZ$3,2+EZ$2)&lt;&gt;"",INDEX('×入力'!$A$1:$L$1300,258,2+EZ$2)&lt;&gt;"",INDEX('×入力'!$A$1:$L$1300,259+EZ$3,1)&lt;&gt;""),1,0),0)</f>
        <v/>
      </c>
      <c r="FA19">
        <f>IF(FA$4=1,IF(OR(INDEX('×入力'!$A$1:$L$1300,259+FA$3,2+FA$2)&lt;&gt;"",INDEX('×入力'!$A$1:$L$1300,258,2+FA$2)&lt;&gt;"",INDEX('×入力'!$A$1:$L$1300,259+FA$3,1)&lt;&gt;""),1,0),0)</f>
        <v/>
      </c>
      <c r="FB19">
        <f>IF(FB$4=1,IF(OR(INDEX('×入力'!$A$1:$L$1300,259+FB$3,2+FB$2)&lt;&gt;"",INDEX('×入力'!$A$1:$L$1300,258,2+FB$2)&lt;&gt;"",INDEX('×入力'!$A$1:$L$1300,259+FB$3,1)&lt;&gt;""),1,0),0)</f>
        <v/>
      </c>
      <c r="FC19">
        <f>IF(FC$4=1,IF(OR(INDEX('×入力'!$A$1:$L$1300,259+FC$3,2+FC$2)&lt;&gt;"",INDEX('×入力'!$A$1:$L$1300,258,2+FC$2)&lt;&gt;"",INDEX('×入力'!$A$1:$L$1300,259+FC$3,1)&lt;&gt;""),1,0),0)</f>
        <v/>
      </c>
      <c r="FD19">
        <f>IF(FD$4=1,IF(OR(INDEX('×入力'!$A$1:$L$1300,259+FD$3,2+FD$2)&lt;&gt;"",INDEX('×入力'!$A$1:$L$1300,258,2+FD$2)&lt;&gt;"",INDEX('×入力'!$A$1:$L$1300,259+FD$3,1)&lt;&gt;""),1,0),0)</f>
        <v/>
      </c>
      <c r="FE19">
        <f>IF(FE$4=1,IF(OR(INDEX('×入力'!$A$1:$L$1300,259+FE$3,2+FE$2)&lt;&gt;"",INDEX('×入力'!$A$1:$L$1300,258,2+FE$2)&lt;&gt;"",INDEX('×入力'!$A$1:$L$1300,259+FE$3,1)&lt;&gt;""),1,0),0)</f>
        <v/>
      </c>
      <c r="FF19">
        <f>IF(FF$4=1,IF(OR(INDEX('×入力'!$A$1:$L$1300,259+FF$3,2+FF$2)&lt;&gt;"",INDEX('×入力'!$A$1:$L$1300,258,2+FF$2)&lt;&gt;"",INDEX('×入力'!$A$1:$L$1300,259+FF$3,1)&lt;&gt;""),1,0),0)</f>
        <v/>
      </c>
      <c r="FG19">
        <f>IF(FG$4=1,IF(OR(INDEX('×入力'!$A$1:$L$1300,259+FG$3,2+FG$2)&lt;&gt;"",INDEX('×入力'!$A$1:$L$1300,258,2+FG$2)&lt;&gt;"",INDEX('×入力'!$A$1:$L$1300,259+FG$3,1)&lt;&gt;""),1,0),0)</f>
        <v/>
      </c>
      <c r="FH19">
        <f>IF(FH$4=1,IF(OR(INDEX('×入力'!$A$1:$L$1300,259+FH$3,2+FH$2)&lt;&gt;"",INDEX('×入力'!$A$1:$L$1300,258,2+FH$2)&lt;&gt;"",INDEX('×入力'!$A$1:$L$1300,259+FH$3,1)&lt;&gt;""),1,0),0)</f>
        <v/>
      </c>
      <c r="FI19">
        <f>IF(FI$4=1,IF(OR(INDEX('×入力'!$A$1:$L$1300,259+FI$3,2+FI$2)&lt;&gt;"",INDEX('×入力'!$A$1:$L$1300,258,2+FI$2)&lt;&gt;"",INDEX('×入力'!$A$1:$L$1300,259+FI$3,1)&lt;&gt;""),1,0),0)</f>
        <v/>
      </c>
      <c r="FJ19">
        <f>IF(FJ$4=1,IF(OR(INDEX('×入力'!$A$1:$L$1300,259+FJ$3,2+FJ$2)&lt;&gt;"",INDEX('×入力'!$A$1:$L$1300,258,2+FJ$2)&lt;&gt;"",INDEX('×入力'!$A$1:$L$1300,259+FJ$3,1)&lt;&gt;""),1,0),0)</f>
        <v/>
      </c>
      <c r="FK19">
        <f>IF(FK$4=1,IF(OR(INDEX('×入力'!$A$1:$L$1300,259+FK$3,2+FK$2)&lt;&gt;"",INDEX('×入力'!$A$1:$L$1300,258,2+FK$2)&lt;&gt;"",INDEX('×入力'!$A$1:$L$1300,259+FK$3,1)&lt;&gt;""),1,0),0)</f>
        <v/>
      </c>
      <c r="FL19">
        <f>IF(FL$4=1,IF(OR(INDEX('×入力'!$A$1:$L$1300,259+FL$3,2+FL$2)&lt;&gt;"",INDEX('×入力'!$A$1:$L$1300,258,2+FL$2)&lt;&gt;"",INDEX('×入力'!$A$1:$L$1300,259+FL$3,1)&lt;&gt;""),1,0),0)</f>
        <v/>
      </c>
      <c r="FM19">
        <f>IF(FM$4=1,IF(OR(INDEX('×入力'!$A$1:$L$1300,259+FM$3,2+FM$2)&lt;&gt;"",INDEX('×入力'!$A$1:$L$1300,258,2+FM$2)&lt;&gt;"",INDEX('×入力'!$A$1:$L$1300,259+FM$3,1)&lt;&gt;""),1,0),0)</f>
        <v/>
      </c>
      <c r="FN19">
        <f>IF(FN$4=1,IF(OR(INDEX('×入力'!$A$1:$L$1300,259+FN$3,2+FN$2)&lt;&gt;"",INDEX('×入力'!$A$1:$L$1300,258,2+FN$2)&lt;&gt;"",INDEX('×入力'!$A$1:$L$1300,259+FN$3,1)&lt;&gt;""),1,0),0)</f>
        <v/>
      </c>
      <c r="FO19">
        <f>IF(FO$4=1,IF(OR(INDEX('×入力'!$A$1:$L$1300,259+FO$3,2+FO$2)&lt;&gt;"",INDEX('×入力'!$A$1:$L$1300,258,2+FO$2)&lt;&gt;"",INDEX('×入力'!$A$1:$L$1300,259+FO$3,1)&lt;&gt;""),1,0),0)</f>
        <v/>
      </c>
      <c r="FP19">
        <f>IF(FP$4=1,IF(OR(INDEX('×入力'!$A$1:$L$1300,259+FP$3,2+FP$2)&lt;&gt;"",INDEX('×入力'!$A$1:$L$1300,258,2+FP$2)&lt;&gt;"",INDEX('×入力'!$A$1:$L$1300,259+FP$3,1)&lt;&gt;""),1,0),0)</f>
        <v/>
      </c>
      <c r="FQ19">
        <f>IF(FQ$4=1,IF(OR(INDEX('×入力'!$A$1:$L$1300,259+FQ$3,2+FQ$2)&lt;&gt;"",INDEX('×入力'!$A$1:$L$1300,258,2+FQ$2)&lt;&gt;"",INDEX('×入力'!$A$1:$L$1300,259+FQ$3,1)&lt;&gt;""),1,0),0)</f>
        <v/>
      </c>
      <c r="FR19">
        <f>IF(FR$4=1,IF(OR(INDEX('×入力'!$A$1:$L$1300,259+FR$3,2+FR$2)&lt;&gt;"",INDEX('×入力'!$A$1:$L$1300,258,2+FR$2)&lt;&gt;"",INDEX('×入力'!$A$1:$L$1300,259+FR$3,1)&lt;&gt;""),1,0),0)</f>
        <v/>
      </c>
      <c r="FS19">
        <f>IF(FS$4=1,IF(OR(INDEX('×入力'!$A$1:$L$1300,259+FS$3,2+FS$2)&lt;&gt;"",INDEX('×入力'!$A$1:$L$1300,258,2+FS$2)&lt;&gt;"",INDEX('×入力'!$A$1:$L$1300,259+FS$3,1)&lt;&gt;""),1,0),0)</f>
        <v/>
      </c>
      <c r="FT19">
        <f>IF(FT$4=1,IF(OR(INDEX('×入力'!$A$1:$L$1300,259+FT$3,2+FT$2)&lt;&gt;"",INDEX('×入力'!$A$1:$L$1300,258,2+FT$2)&lt;&gt;"",INDEX('×入力'!$A$1:$L$1300,259+FT$3,1)&lt;&gt;""),1,0),0)</f>
        <v/>
      </c>
      <c r="FU19">
        <f>IF(FU$4=1,IF(OR(INDEX('×入力'!$A$1:$L$1300,259+FU$3,2+FU$2)&lt;&gt;"",INDEX('×入力'!$A$1:$L$1300,258,2+FU$2)&lt;&gt;"",INDEX('×入力'!$A$1:$L$1300,259+FU$3,1)&lt;&gt;""),1,0),0)</f>
        <v/>
      </c>
      <c r="FV19">
        <f>IF(FV$4=1,IF(OR(INDEX('×入力'!$A$1:$L$1300,259+FV$3,2+FV$2)&lt;&gt;"",INDEX('×入力'!$A$1:$L$1300,258,2+FV$2)&lt;&gt;"",INDEX('×入力'!$A$1:$L$1300,259+FV$3,1)&lt;&gt;""),1,0),0)</f>
        <v/>
      </c>
      <c r="FW19">
        <f>IF(FW$4=1,IF(OR(INDEX('×入力'!$A$1:$L$1300,259+FW$3,2+FW$2)&lt;&gt;"",INDEX('×入力'!$A$1:$L$1300,258,2+FW$2)&lt;&gt;"",INDEX('×入力'!$A$1:$L$1300,259+FW$3,1)&lt;&gt;""),1,0),0)</f>
        <v/>
      </c>
      <c r="FX19">
        <f>IF(FX$4=1,IF(OR(INDEX('×入力'!$A$1:$L$1300,259+FX$3,2+FX$2)&lt;&gt;"",INDEX('×入力'!$A$1:$L$1300,258,2+FX$2)&lt;&gt;"",INDEX('×入力'!$A$1:$L$1300,259+FX$3,1)&lt;&gt;""),1,0),0)</f>
        <v/>
      </c>
      <c r="FY19">
        <f>IF(FY$4=1,IF(OR(INDEX('×入力'!$A$1:$L$1300,259+FY$3,2+FY$2)&lt;&gt;"",INDEX('×入力'!$A$1:$L$1300,258,2+FY$2)&lt;&gt;"",INDEX('×入力'!$A$1:$L$1300,259+FY$3,1)&lt;&gt;""),1,0),0)</f>
        <v/>
      </c>
      <c r="FZ19">
        <f>IF(FZ$4=1,IF(OR(INDEX('×入力'!$A$1:$L$1300,259+FZ$3,2+FZ$2)&lt;&gt;"",INDEX('×入力'!$A$1:$L$1300,258,2+FZ$2)&lt;&gt;"",INDEX('×入力'!$A$1:$L$1300,259+FZ$3,1)&lt;&gt;""),1,0),0)</f>
        <v/>
      </c>
      <c r="GA19">
        <f>IF(GA$4=1,IF(OR(INDEX('×入力'!$A$1:$L$1300,259+GA$3,2+GA$2)&lt;&gt;"",INDEX('×入力'!$A$1:$L$1300,258,2+GA$2)&lt;&gt;"",INDEX('×入力'!$A$1:$L$1300,259+GA$3,1)&lt;&gt;""),1,0),0)</f>
        <v/>
      </c>
      <c r="GB19">
        <f>IF(GB$4=1,IF(OR(INDEX('×入力'!$A$1:$L$1300,259+GB$3,2+GB$2)&lt;&gt;"",INDEX('×入力'!$A$1:$L$1300,258,2+GB$2)&lt;&gt;"",INDEX('×入力'!$A$1:$L$1300,259+GB$3,1)&lt;&gt;""),1,0),0)</f>
        <v/>
      </c>
      <c r="GC19">
        <f>IF(GC$4=1,IF(OR(INDEX('×入力'!$A$1:$L$1300,259+GC$3,2+GC$2)&lt;&gt;"",INDEX('×入力'!$A$1:$L$1300,258,2+GC$2)&lt;&gt;"",INDEX('×入力'!$A$1:$L$1300,259+GC$3,1)&lt;&gt;""),1,0),0)</f>
        <v/>
      </c>
      <c r="GD19">
        <f>IF(GD$4=1,IF(OR(INDEX('×入力'!$A$1:$L$1300,259+GD$3,2+GD$2)&lt;&gt;"",INDEX('×入力'!$A$1:$L$1300,258,2+GD$2)&lt;&gt;"",INDEX('×入力'!$A$1:$L$1300,259+GD$3,1)&lt;&gt;""),1,0),0)</f>
        <v/>
      </c>
      <c r="GE19">
        <f>IF(GE$4=1,IF(OR(INDEX('×入力'!$A$1:$L$1300,259+GE$3,2+GE$2)&lt;&gt;"",INDEX('×入力'!$A$1:$L$1300,258,2+GE$2)&lt;&gt;"",INDEX('×入力'!$A$1:$L$1300,259+GE$3,1)&lt;&gt;""),1,0),0)</f>
        <v/>
      </c>
      <c r="GF19">
        <f>IF(GF$4=1,IF(OR(INDEX('×入力'!$A$1:$L$1300,259+GF$3,2+GF$2)&lt;&gt;"",INDEX('×入力'!$A$1:$L$1300,258,2+GF$2)&lt;&gt;"",INDEX('×入力'!$A$1:$L$1300,259+GF$3,1)&lt;&gt;""),1,0),0)</f>
        <v/>
      </c>
      <c r="GG19">
        <f>IF(GG$4=1,IF(OR(INDEX('×入力'!$A$1:$L$1300,259+GG$3,2+GG$2)&lt;&gt;"",INDEX('×入力'!$A$1:$L$1300,258,2+GG$2)&lt;&gt;"",INDEX('×入力'!$A$1:$L$1300,259+GG$3,1)&lt;&gt;""),1,0),0)</f>
        <v/>
      </c>
      <c r="GH19">
        <f>IF(GH$4=1,IF(OR(INDEX('×入力'!$A$1:$L$1300,259+GH$3,2+GH$2)&lt;&gt;"",INDEX('×入力'!$A$1:$L$1300,258,2+GH$2)&lt;&gt;"",INDEX('×入力'!$A$1:$L$1300,259+GH$3,1)&lt;&gt;""),1,0),0)</f>
        <v/>
      </c>
      <c r="GI19">
        <f>IF(GI$4=1,IF(OR(INDEX('×入力'!$A$1:$L$1300,259+GI$3,2+GI$2)&lt;&gt;"",INDEX('×入力'!$A$1:$L$1300,258,2+GI$2)&lt;&gt;"",INDEX('×入力'!$A$1:$L$1300,259+GI$3,1)&lt;&gt;""),1,0),0)</f>
        <v/>
      </c>
      <c r="GJ19">
        <f>IF(GJ$4=1,IF(OR(INDEX('×入力'!$A$1:$L$1300,259+GJ$3,2+GJ$2)&lt;&gt;"",INDEX('×入力'!$A$1:$L$1300,258,2+GJ$2)&lt;&gt;"",INDEX('×入力'!$A$1:$L$1300,259+GJ$3,1)&lt;&gt;""),1,0),0)</f>
        <v/>
      </c>
      <c r="GK19">
        <f>IF(GK$4=1,IF(OR(INDEX('×入力'!$A$1:$L$1300,259+GK$3,2+GK$2)&lt;&gt;"",INDEX('×入力'!$A$1:$L$1300,258,2+GK$2)&lt;&gt;"",INDEX('×入力'!$A$1:$L$1300,259+GK$3,1)&lt;&gt;""),1,0),0)</f>
        <v/>
      </c>
      <c r="GL19">
        <f>IF(GL$4=1,IF(OR(INDEX('×入力'!$A$1:$L$1300,259+GL$3,2+GL$2)&lt;&gt;"",INDEX('×入力'!$A$1:$L$1300,258,2+GL$2)&lt;&gt;"",INDEX('×入力'!$A$1:$L$1300,259+GL$3,1)&lt;&gt;""),1,0),0)</f>
        <v/>
      </c>
      <c r="GM19">
        <f>IF(GM$4=1,IF(OR(INDEX('×入力'!$A$1:$L$1300,259+GM$3,2+GM$2)&lt;&gt;"",INDEX('×入力'!$A$1:$L$1300,258,2+GM$2)&lt;&gt;"",INDEX('×入力'!$A$1:$L$1300,259+GM$3,1)&lt;&gt;""),1,0),0)</f>
        <v/>
      </c>
      <c r="GN19">
        <f>IF(GN$4=1,IF(OR(INDEX('×入力'!$A$1:$L$1300,259+GN$3,2+GN$2)&lt;&gt;"",INDEX('×入力'!$A$1:$L$1300,258,2+GN$2)&lt;&gt;"",INDEX('×入力'!$A$1:$L$1300,259+GN$3,1)&lt;&gt;""),1,0),0)</f>
        <v/>
      </c>
      <c r="GO19">
        <f>IF(GO$4=1,IF(OR(INDEX('×入力'!$A$1:$L$1300,259+GO$3,2+GO$2)&lt;&gt;"",INDEX('×入力'!$A$1:$L$1300,258,2+GO$2)&lt;&gt;"",INDEX('×入力'!$A$1:$L$1300,259+GO$3,1)&lt;&gt;""),1,0),0)</f>
        <v/>
      </c>
      <c r="GP19">
        <f>IF(GP$4=1,IF(OR(INDEX('×入力'!$A$1:$L$1300,259+GP$3,2+GP$2)&lt;&gt;"",INDEX('×入力'!$A$1:$L$1300,258,2+GP$2)&lt;&gt;"",INDEX('×入力'!$A$1:$L$1300,259+GP$3,1)&lt;&gt;""),1,0),0)</f>
        <v/>
      </c>
      <c r="GQ19">
        <f>IF(GQ$4=1,IF(OR(INDEX('×入力'!$A$1:$L$1300,259+GQ$3,2+GQ$2)&lt;&gt;"",INDEX('×入力'!$A$1:$L$1300,258,2+GQ$2)&lt;&gt;"",INDEX('×入力'!$A$1:$L$1300,259+GQ$3,1)&lt;&gt;""),1,0),0)</f>
        <v/>
      </c>
      <c r="GR19">
        <f>IF(GR$4=1,IF(OR(INDEX('×入力'!$A$1:$L$1300,259+GR$3,2+GR$2)&lt;&gt;"",INDEX('×入力'!$A$1:$L$1300,258,2+GR$2)&lt;&gt;"",INDEX('×入力'!$A$1:$L$1300,259+GR$3,1)&lt;&gt;""),1,0),0)</f>
        <v/>
      </c>
      <c r="GS19">
        <f>IF(GS$4=1,IF(OR(INDEX('×入力'!$A$1:$L$1300,259+GS$3,2+GS$2)&lt;&gt;"",INDEX('×入力'!$A$1:$L$1300,258,2+GS$2)&lt;&gt;"",INDEX('×入力'!$A$1:$L$1300,259+GS$3,1)&lt;&gt;""),1,0),0)</f>
        <v/>
      </c>
      <c r="GT19">
        <f>IF(GT$4=1,IF(OR(INDEX('×入力'!$A$1:$L$1300,259+GT$3,2+GT$2)&lt;&gt;"",INDEX('×入力'!$A$1:$L$1300,258,2+GT$2)&lt;&gt;"",INDEX('×入力'!$A$1:$L$1300,259+GT$3,1)&lt;&gt;""),1,0),0)</f>
        <v/>
      </c>
      <c r="GU19">
        <f>IF(GU$4=1,IF(OR(INDEX('×入力'!$A$1:$L$1300,259+GU$3,2+GU$2)&lt;&gt;"",INDEX('×入力'!$A$1:$L$1300,258,2+GU$2)&lt;&gt;"",INDEX('×入力'!$A$1:$L$1300,259+GU$3,1)&lt;&gt;""),1,0),0)</f>
        <v/>
      </c>
      <c r="GV19">
        <f>IF(GV$4=1,IF(OR(INDEX('×入力'!$A$1:$L$1300,259+GV$3,2+GV$2)&lt;&gt;"",INDEX('×入力'!$A$1:$L$1300,258,2+GV$2)&lt;&gt;"",INDEX('×入力'!$A$1:$L$1300,259+GV$3,1)&lt;&gt;""),1,0),0)</f>
        <v/>
      </c>
      <c r="GW19">
        <f>IF(GW$4=1,IF(OR(INDEX('×入力'!$A$1:$L$1300,259+GW$3,2+GW$2)&lt;&gt;"",INDEX('×入力'!$A$1:$L$1300,258,2+GW$2)&lt;&gt;"",INDEX('×入力'!$A$1:$L$1300,259+GW$3,1)&lt;&gt;""),1,0),0)</f>
        <v/>
      </c>
      <c r="GX19">
        <f>IF(GX$4=1,IF(OR(INDEX('×入力'!$A$1:$L$1300,259+GX$3,2+GX$2)&lt;&gt;"",INDEX('×入力'!$A$1:$L$1300,258,2+GX$2)&lt;&gt;"",INDEX('×入力'!$A$1:$L$1300,259+GX$3,1)&lt;&gt;""),1,0),0)</f>
        <v/>
      </c>
      <c r="GY19">
        <f>IF(GY$4=1,IF(OR(INDEX('×入力'!$A$1:$L$1300,259+GY$3,2+GY$2)&lt;&gt;"",INDEX('×入力'!$A$1:$L$1300,258,2+GY$2)&lt;&gt;"",INDEX('×入力'!$A$1:$L$1300,259+GY$3,1)&lt;&gt;""),1,0),0)</f>
        <v/>
      </c>
      <c r="GZ19">
        <f>IF(GZ$4=1,IF(OR(INDEX('×入力'!$A$1:$L$1300,259+GZ$3,2+GZ$2)&lt;&gt;"",INDEX('×入力'!$A$1:$L$1300,258,2+GZ$2)&lt;&gt;"",INDEX('×入力'!$A$1:$L$1300,259+GZ$3,1)&lt;&gt;""),1,0),0)</f>
        <v/>
      </c>
      <c r="HA19">
        <f>IF(HA$4=1,IF(OR(INDEX('×入力'!$A$1:$L$1300,259+HA$3,2+HA$2)&lt;&gt;"",INDEX('×入力'!$A$1:$L$1300,258,2+HA$2)&lt;&gt;"",INDEX('×入力'!$A$1:$L$1300,259+HA$3,1)&lt;&gt;""),1,0),0)</f>
        <v/>
      </c>
      <c r="HB19">
        <f>IF(HB$4=1,IF(OR(INDEX('×入力'!$A$1:$L$1300,259+HB$3,2+HB$2)&lt;&gt;"",INDEX('×入力'!$A$1:$L$1300,258,2+HB$2)&lt;&gt;"",INDEX('×入力'!$A$1:$L$1300,259+HB$3,1)&lt;&gt;""),1,0),0)</f>
        <v/>
      </c>
      <c r="HC19">
        <f>IF(HC$4=1,IF(OR(INDEX('×入力'!$A$1:$L$1300,259+HC$3,2+HC$2)&lt;&gt;"",INDEX('×入力'!$A$1:$L$1300,258,2+HC$2)&lt;&gt;"",INDEX('×入力'!$A$1:$L$1300,259+HC$3,1)&lt;&gt;""),1,0),0)</f>
        <v/>
      </c>
      <c r="HD19">
        <f>IF(HD$4=1,IF(OR(INDEX('×入力'!$A$1:$L$1300,259+HD$3,2+HD$2)&lt;&gt;"",INDEX('×入力'!$A$1:$L$1300,258,2+HD$2)&lt;&gt;"",INDEX('×入力'!$A$1:$L$1300,259+HD$3,1)&lt;&gt;""),1,0),0)</f>
        <v/>
      </c>
      <c r="HE19">
        <f>IF(HE$4=1,IF(OR(INDEX('×入力'!$A$1:$L$1300,259+HE$3,2+HE$2)&lt;&gt;"",INDEX('×入力'!$A$1:$L$1300,258,2+HE$2)&lt;&gt;"",INDEX('×入力'!$A$1:$L$1300,259+HE$3,1)&lt;&gt;""),1,0),0)</f>
        <v/>
      </c>
      <c r="HF19">
        <f>IF(HF$4=1,IF(OR(INDEX('×入力'!$A$1:$L$1300,259+HF$3,2+HF$2)&lt;&gt;"",INDEX('×入力'!$A$1:$L$1300,258,2+HF$2)&lt;&gt;"",INDEX('×入力'!$A$1:$L$1300,259+HF$3,1)&lt;&gt;""),1,0),0)</f>
        <v/>
      </c>
      <c r="HG19">
        <f>IF(HG$4=1,IF(OR(INDEX('×入力'!$A$1:$L$1300,259+HG$3,2+HG$2)&lt;&gt;"",INDEX('×入力'!$A$1:$L$1300,258,2+HG$2)&lt;&gt;"",INDEX('×入力'!$A$1:$L$1300,259+HG$3,1)&lt;&gt;""),1,0),0)</f>
        <v/>
      </c>
      <c r="HH19">
        <f>IF(HH$4=1,IF(OR(INDEX('×入力'!$A$1:$L$1300,259+HH$3,2+HH$2)&lt;&gt;"",INDEX('×入力'!$A$1:$L$1300,258,2+HH$2)&lt;&gt;"",INDEX('×入力'!$A$1:$L$1300,259+HH$3,1)&lt;&gt;""),1,0),0)</f>
        <v/>
      </c>
      <c r="HI19">
        <f>IF(HI$4=1,IF(OR(INDEX('×入力'!$A$1:$L$1300,259+HI$3,2+HI$2)&lt;&gt;"",INDEX('×入力'!$A$1:$L$1300,258,2+HI$2)&lt;&gt;"",INDEX('×入力'!$A$1:$L$1300,259+HI$3,1)&lt;&gt;""),1,0),0)</f>
        <v/>
      </c>
      <c r="HJ19">
        <f>IF(HJ$4=1,IF(OR(INDEX('×入力'!$A$1:$L$1300,259+HJ$3,2+HJ$2)&lt;&gt;"",INDEX('×入力'!$A$1:$L$1300,258,2+HJ$2)&lt;&gt;"",INDEX('×入力'!$A$1:$L$1300,259+HJ$3,1)&lt;&gt;""),1,0),0)</f>
        <v/>
      </c>
      <c r="HK19">
        <f>IF(HK$4=1,IF(OR(INDEX('×入力'!$A$1:$L$1300,259+HK$3,2+HK$2)&lt;&gt;"",INDEX('×入力'!$A$1:$L$1300,258,2+HK$2)&lt;&gt;"",INDEX('×入力'!$A$1:$L$1300,259+HK$3,1)&lt;&gt;""),1,0),0)</f>
        <v/>
      </c>
      <c r="HL19">
        <f>IF(HL$4=1,IF(OR(INDEX('×入力'!$A$1:$L$1300,259+HL$3,2+HL$2)&lt;&gt;"",INDEX('×入力'!$A$1:$L$1300,258,2+HL$2)&lt;&gt;"",INDEX('×入力'!$A$1:$L$1300,259+HL$3,1)&lt;&gt;""),1,0),0)</f>
        <v/>
      </c>
      <c r="HM19">
        <f>IF(HM$4=1,IF(OR(INDEX('×入力'!$A$1:$L$1300,259+HM$3,2+HM$2)&lt;&gt;"",INDEX('×入力'!$A$1:$L$1300,258,2+HM$2)&lt;&gt;"",INDEX('×入力'!$A$1:$L$1300,259+HM$3,1)&lt;&gt;""),1,0),0)</f>
        <v/>
      </c>
      <c r="HN19">
        <f>IF(HN$4=1,IF(OR(INDEX('×入力'!$A$1:$L$1300,259+HN$3,2+HN$2)&lt;&gt;"",INDEX('×入力'!$A$1:$L$1300,258,2+HN$2)&lt;&gt;"",INDEX('×入力'!$A$1:$L$1300,259+HN$3,1)&lt;&gt;""),1,0),0)</f>
        <v/>
      </c>
      <c r="HO19">
        <f>IF(HO$4=1,IF(OR(INDEX('×入力'!$A$1:$L$1300,259+HO$3,2+HO$2)&lt;&gt;"",INDEX('×入力'!$A$1:$L$1300,258,2+HO$2)&lt;&gt;"",INDEX('×入力'!$A$1:$L$1300,259+HO$3,1)&lt;&gt;""),1,0),0)</f>
        <v/>
      </c>
      <c r="HP19">
        <f>IF(HP$4=1,IF(OR(INDEX('×入力'!$A$1:$L$1300,259+HP$3,2+HP$2)&lt;&gt;"",INDEX('×入力'!$A$1:$L$1300,258,2+HP$2)&lt;&gt;"",INDEX('×入力'!$A$1:$L$1300,259+HP$3,1)&lt;&gt;""),1,0),0)</f>
        <v/>
      </c>
      <c r="HQ19">
        <f>IF(HQ$4=1,IF(OR(INDEX('×入力'!$A$1:$L$1300,259+HQ$3,2+HQ$2)&lt;&gt;"",INDEX('×入力'!$A$1:$L$1300,258,2+HQ$2)&lt;&gt;"",INDEX('×入力'!$A$1:$L$1300,259+HQ$3,1)&lt;&gt;""),1,0),0)</f>
        <v/>
      </c>
      <c r="HR19">
        <f>IF(HR$4=1,IF(OR(INDEX('×入力'!$A$1:$L$1300,259+HR$3,2+HR$2)&lt;&gt;"",INDEX('×入力'!$A$1:$L$1300,258,2+HR$2)&lt;&gt;"",INDEX('×入力'!$A$1:$L$1300,259+HR$3,1)&lt;&gt;""),1,0),0)</f>
        <v/>
      </c>
      <c r="HS19">
        <f>IF(HS$4=1,IF(OR(INDEX('×入力'!$A$1:$L$1300,259+HS$3,2+HS$2)&lt;&gt;"",INDEX('×入力'!$A$1:$L$1300,258,2+HS$2)&lt;&gt;"",INDEX('×入力'!$A$1:$L$1300,259+HS$3,1)&lt;&gt;""),1,0),0)</f>
        <v/>
      </c>
      <c r="HT19">
        <f>IF(HT$4=1,IF(OR(INDEX('×入力'!$A$1:$L$1300,259+HT$3,2+HT$2)&lt;&gt;"",INDEX('×入力'!$A$1:$L$1300,258,2+HT$2)&lt;&gt;"",INDEX('×入力'!$A$1:$L$1300,259+HT$3,1)&lt;&gt;""),1,0),0)</f>
        <v/>
      </c>
      <c r="HU19">
        <f>IF(HU$4=1,IF(OR(INDEX('×入力'!$A$1:$L$1300,259+HU$3,2+HU$2)&lt;&gt;"",INDEX('×入力'!$A$1:$L$1300,258,2+HU$2)&lt;&gt;"",INDEX('×入力'!$A$1:$L$1300,259+HU$3,1)&lt;&gt;""),1,0),0)</f>
        <v/>
      </c>
      <c r="HV19">
        <f>IF(HV$4=1,IF(OR(INDEX('×入力'!$A$1:$L$1300,259+HV$3,2+HV$2)&lt;&gt;"",INDEX('×入力'!$A$1:$L$1300,258,2+HV$2)&lt;&gt;"",INDEX('×入力'!$A$1:$L$1300,259+HV$3,1)&lt;&gt;""),1,0),0)</f>
        <v/>
      </c>
      <c r="HW19">
        <f>IF(HW$4=1,IF(OR(INDEX('×入力'!$A$1:$L$1300,259+HW$3,2+HW$2)&lt;&gt;"",INDEX('×入力'!$A$1:$L$1300,258,2+HW$2)&lt;&gt;"",INDEX('×入力'!$A$1:$L$1300,259+HW$3,1)&lt;&gt;""),1,0),0)</f>
        <v/>
      </c>
      <c r="HX19">
        <f>IF(HX$4=1,IF(OR(INDEX('×入力'!$A$1:$L$1300,259+HX$3,2+HX$2)&lt;&gt;"",INDEX('×入力'!$A$1:$L$1300,258,2+HX$2)&lt;&gt;"",INDEX('×入力'!$A$1:$L$1300,259+HX$3,1)&lt;&gt;""),1,0),0)</f>
        <v/>
      </c>
      <c r="HY19">
        <f>IF(HY$4=1,IF(OR(INDEX('×入力'!$A$1:$L$1300,259+HY$3,2+HY$2)&lt;&gt;"",INDEX('×入力'!$A$1:$L$1300,258,2+HY$2)&lt;&gt;"",INDEX('×入力'!$A$1:$L$1300,259+HY$3,1)&lt;&gt;""),1,0),0)</f>
        <v/>
      </c>
      <c r="HZ19">
        <f>IF(HZ$4=1,IF(OR(INDEX('×入力'!$A$1:$L$1300,259+HZ$3,2+HZ$2)&lt;&gt;"",INDEX('×入力'!$A$1:$L$1300,258,2+HZ$2)&lt;&gt;"",INDEX('×入力'!$A$1:$L$1300,259+HZ$3,1)&lt;&gt;""),1,0),0)</f>
        <v/>
      </c>
      <c r="IA19">
        <f>IF(IA$4=1,IF(OR(INDEX('×入力'!$A$1:$L$1300,259+IA$3,2+IA$2)&lt;&gt;"",INDEX('×入力'!$A$1:$L$1300,258,2+IA$2)&lt;&gt;"",INDEX('×入力'!$A$1:$L$1300,259+IA$3,1)&lt;&gt;""),1,0),0)</f>
        <v/>
      </c>
      <c r="IB19">
        <f>IF(IB$4=1,IF(OR(INDEX('×入力'!$A$1:$L$1300,259+IB$3,2+IB$2)&lt;&gt;"",INDEX('×入力'!$A$1:$L$1300,258,2+IB$2)&lt;&gt;"",INDEX('×入力'!$A$1:$L$1300,259+IB$3,1)&lt;&gt;""),1,0),0)</f>
        <v/>
      </c>
      <c r="IC19">
        <f>IF(IC$4=1,IF(OR(INDEX('×入力'!$A$1:$L$1300,259+IC$3,2+IC$2)&lt;&gt;"",INDEX('×入力'!$A$1:$L$1300,258,2+IC$2)&lt;&gt;"",INDEX('×入力'!$A$1:$L$1300,259+IC$3,1)&lt;&gt;""),1,0),0)</f>
        <v/>
      </c>
      <c r="ID19">
        <f>IF(ID$4=1,IF(OR(INDEX('×入力'!$A$1:$L$1300,259+ID$3,2+ID$2)&lt;&gt;"",INDEX('×入力'!$A$1:$L$1300,258,2+ID$2)&lt;&gt;"",INDEX('×入力'!$A$1:$L$1300,259+ID$3,1)&lt;&gt;""),1,0),0)</f>
        <v/>
      </c>
      <c r="IE19">
        <f>IF(IE$4=1,IF(OR(INDEX('×入力'!$A$1:$L$1300,259+IE$3,2+IE$2)&lt;&gt;"",INDEX('×入力'!$A$1:$L$1300,258,2+IE$2)&lt;&gt;"",INDEX('×入力'!$A$1:$L$1300,259+IE$3,1)&lt;&gt;""),1,0),0)</f>
        <v/>
      </c>
      <c r="IF19">
        <f>IF(IF$4=1,IF(OR(INDEX('×入力'!$A$1:$L$1300,259+IF$3,2+IF$2)&lt;&gt;"",INDEX('×入力'!$A$1:$L$1300,258,2+IF$2)&lt;&gt;"",INDEX('×入力'!$A$1:$L$1300,259+IF$3,1)&lt;&gt;""),1,0),0)</f>
        <v/>
      </c>
      <c r="IG19">
        <f>IF(IG$4=1,IF(OR(INDEX('×入力'!$A$1:$L$1300,259+IG$3,2+IG$2)&lt;&gt;"",INDEX('×入力'!$A$1:$L$1300,258,2+IG$2)&lt;&gt;"",INDEX('×入力'!$A$1:$L$1300,259+IG$3,1)&lt;&gt;""),1,0),0)</f>
        <v/>
      </c>
      <c r="IH19">
        <f>IF(IH$4=1,IF(OR(INDEX('×入力'!$A$1:$L$1300,259+IH$3,2+IH$2)&lt;&gt;"",INDEX('×入力'!$A$1:$L$1300,258,2+IH$2)&lt;&gt;"",INDEX('×入力'!$A$1:$L$1300,259+IH$3,1)&lt;&gt;""),1,0),0)</f>
        <v/>
      </c>
      <c r="II19">
        <f>IF(II$4=1,IF(OR(INDEX('×入力'!$A$1:$L$1300,259+II$3,2+II$2)&lt;&gt;"",INDEX('×入力'!$A$1:$L$1300,258,2+II$2)&lt;&gt;"",INDEX('×入力'!$A$1:$L$1300,259+II$3,1)&lt;&gt;""),1,0),0)</f>
        <v/>
      </c>
      <c r="IK19">
        <f>IFERROR(INDEX('計算B'!$C$3:$C$47,MATCH(A19,'計算B'!$B$3:$B$47,0)),0)</f>
        <v/>
      </c>
      <c r="IL19">
        <f>IF(AND(C19=1,IK19=0),1,0)</f>
        <v/>
      </c>
      <c r="IM19">
        <f>SUMPRODUCT(D69:II69*(1-$D$7:$II$7))</f>
        <v/>
      </c>
      <c r="IN19">
        <f>SUM(D19:II19)</f>
        <v/>
      </c>
      <c r="IO19">
        <f>IF(B19="",0,IF(COUNTIF('調整・決定'!$C$6:$L$29,B19)=1,SUMPRODUCT(('調整・決定'!$C$6:$L$29=B19)*((COLUMN('調整・決定'!$C$6:$L$29)-3)*24+ROW('調整・決定'!$C$6:$L$29)-5)),0))</f>
        <v/>
      </c>
      <c r="IP19">
        <f>IFERROR(MATCH('名簿'!E14,{"早い時刻","遅い時刻","早い日","遅い日"},0),0)</f>
        <v/>
      </c>
      <c r="IQ19">
        <f>IF('名簿'!F14="必ず空けたい",2,IF('名簿'!F14="出来れば空けたい",1,0))</f>
        <v/>
      </c>
    </row>
    <row r="20">
      <c r="A20" t="n">
        <v>11</v>
      </c>
      <c r="B20">
        <f>'名簿'!G15</f>
        <v/>
      </c>
      <c r="C20">
        <f>IF(AND(B20&lt;&gt;"",OR('名簿'!H15="入力済み",'名簿'!H15="×なし"),IO20=0,COUNTIF('調整・決定'!$C$6:$L$29,B20)=0),1,0)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ER20">
        <f>IF(ER$4=1,IF(OR(INDEX('×入力'!$A$1:$L$1300,287+ER$3,2+ER$2)&lt;&gt;"",INDEX('×入力'!$A$1:$L$1300,286,2+ER$2)&lt;&gt;"",INDEX('×入力'!$A$1:$L$1300,287+ER$3,1)&lt;&gt;""),1,0),0)</f>
        <v/>
      </c>
      <c r="ES20">
        <f>IF(ES$4=1,IF(OR(INDEX('×入力'!$A$1:$L$1300,287+ES$3,2+ES$2)&lt;&gt;"",INDEX('×入力'!$A$1:$L$1300,286,2+ES$2)&lt;&gt;"",INDEX('×入力'!$A$1:$L$1300,287+ES$3,1)&lt;&gt;""),1,0),0)</f>
        <v/>
      </c>
      <c r="ET20">
        <f>IF(ET$4=1,IF(OR(INDEX('×入力'!$A$1:$L$1300,287+ET$3,2+ET$2)&lt;&gt;"",INDEX('×入力'!$A$1:$L$1300,286,2+ET$2)&lt;&gt;"",INDEX('×入力'!$A$1:$L$1300,287+ET$3,1)&lt;&gt;""),1,0),0)</f>
        <v/>
      </c>
      <c r="EU20">
        <f>IF(EU$4=1,IF(OR(INDEX('×入力'!$A$1:$L$1300,287+EU$3,2+EU$2)&lt;&gt;"",INDEX('×入力'!$A$1:$L$1300,286,2+EU$2)&lt;&gt;"",INDEX('×入力'!$A$1:$L$1300,287+EU$3,1)&lt;&gt;""),1,0),0)</f>
        <v/>
      </c>
      <c r="EV20">
        <f>IF(EV$4=1,IF(OR(INDEX('×入力'!$A$1:$L$1300,287+EV$3,2+EV$2)&lt;&gt;"",INDEX('×入力'!$A$1:$L$1300,286,2+EV$2)&lt;&gt;"",INDEX('×入力'!$A$1:$L$1300,287+EV$3,1)&lt;&gt;""),1,0),0)</f>
        <v/>
      </c>
      <c r="EW20">
        <f>IF(EW$4=1,IF(OR(INDEX('×入力'!$A$1:$L$1300,287+EW$3,2+EW$2)&lt;&gt;"",INDEX('×入力'!$A$1:$L$1300,286,2+EW$2)&lt;&gt;"",INDEX('×入力'!$A$1:$L$1300,287+EW$3,1)&lt;&gt;""),1,0),0)</f>
        <v/>
      </c>
      <c r="EX20">
        <f>IF(EX$4=1,IF(OR(INDEX('×入力'!$A$1:$L$1300,287+EX$3,2+EX$2)&lt;&gt;"",INDEX('×入力'!$A$1:$L$1300,286,2+EX$2)&lt;&gt;"",INDEX('×入力'!$A$1:$L$1300,287+EX$3,1)&lt;&gt;""),1,0),0)</f>
        <v/>
      </c>
      <c r="EY20">
        <f>IF(EY$4=1,IF(OR(INDEX('×入力'!$A$1:$L$1300,287+EY$3,2+EY$2)&lt;&gt;"",INDEX('×入力'!$A$1:$L$1300,286,2+EY$2)&lt;&gt;"",INDEX('×入力'!$A$1:$L$1300,287+EY$3,1)&lt;&gt;""),1,0),0)</f>
        <v/>
      </c>
      <c r="EZ20">
        <f>IF(EZ$4=1,IF(OR(INDEX('×入力'!$A$1:$L$1300,287+EZ$3,2+EZ$2)&lt;&gt;"",INDEX('×入力'!$A$1:$L$1300,286,2+EZ$2)&lt;&gt;"",INDEX('×入力'!$A$1:$L$1300,287+EZ$3,1)&lt;&gt;""),1,0),0)</f>
        <v/>
      </c>
      <c r="FA20">
        <f>IF(FA$4=1,IF(OR(INDEX('×入力'!$A$1:$L$1300,287+FA$3,2+FA$2)&lt;&gt;"",INDEX('×入力'!$A$1:$L$1300,286,2+FA$2)&lt;&gt;"",INDEX('×入力'!$A$1:$L$1300,287+FA$3,1)&lt;&gt;""),1,0),0)</f>
        <v/>
      </c>
      <c r="FB20">
        <f>IF(FB$4=1,IF(OR(INDEX('×入力'!$A$1:$L$1300,287+FB$3,2+FB$2)&lt;&gt;"",INDEX('×入力'!$A$1:$L$1300,286,2+FB$2)&lt;&gt;"",INDEX('×入力'!$A$1:$L$1300,287+FB$3,1)&lt;&gt;""),1,0),0)</f>
        <v/>
      </c>
      <c r="FC20">
        <f>IF(FC$4=1,IF(OR(INDEX('×入力'!$A$1:$L$1300,287+FC$3,2+FC$2)&lt;&gt;"",INDEX('×入力'!$A$1:$L$1300,286,2+FC$2)&lt;&gt;"",INDEX('×入力'!$A$1:$L$1300,287+FC$3,1)&lt;&gt;""),1,0),0)</f>
        <v/>
      </c>
      <c r="FD20">
        <f>IF(FD$4=1,IF(OR(INDEX('×入力'!$A$1:$L$1300,287+FD$3,2+FD$2)&lt;&gt;"",INDEX('×入力'!$A$1:$L$1300,286,2+FD$2)&lt;&gt;"",INDEX('×入力'!$A$1:$L$1300,287+FD$3,1)&lt;&gt;""),1,0),0)</f>
        <v/>
      </c>
      <c r="FE20">
        <f>IF(FE$4=1,IF(OR(INDEX('×入力'!$A$1:$L$1300,287+FE$3,2+FE$2)&lt;&gt;"",INDEX('×入力'!$A$1:$L$1300,286,2+FE$2)&lt;&gt;"",INDEX('×入力'!$A$1:$L$1300,287+FE$3,1)&lt;&gt;""),1,0),0)</f>
        <v/>
      </c>
      <c r="FF20">
        <f>IF(FF$4=1,IF(OR(INDEX('×入力'!$A$1:$L$1300,287+FF$3,2+FF$2)&lt;&gt;"",INDEX('×入力'!$A$1:$L$1300,286,2+FF$2)&lt;&gt;"",INDEX('×入力'!$A$1:$L$1300,287+FF$3,1)&lt;&gt;""),1,0),0)</f>
        <v/>
      </c>
      <c r="FG20">
        <f>IF(FG$4=1,IF(OR(INDEX('×入力'!$A$1:$L$1300,287+FG$3,2+FG$2)&lt;&gt;"",INDEX('×入力'!$A$1:$L$1300,286,2+FG$2)&lt;&gt;"",INDEX('×入力'!$A$1:$L$1300,287+FG$3,1)&lt;&gt;""),1,0),0)</f>
        <v/>
      </c>
      <c r="FH20">
        <f>IF(FH$4=1,IF(OR(INDEX('×入力'!$A$1:$L$1300,287+FH$3,2+FH$2)&lt;&gt;"",INDEX('×入力'!$A$1:$L$1300,286,2+FH$2)&lt;&gt;"",INDEX('×入力'!$A$1:$L$1300,287+FH$3,1)&lt;&gt;""),1,0),0)</f>
        <v/>
      </c>
      <c r="FI20">
        <f>IF(FI$4=1,IF(OR(INDEX('×入力'!$A$1:$L$1300,287+FI$3,2+FI$2)&lt;&gt;"",INDEX('×入力'!$A$1:$L$1300,286,2+FI$2)&lt;&gt;"",INDEX('×入力'!$A$1:$L$1300,287+FI$3,1)&lt;&gt;""),1,0),0)</f>
        <v/>
      </c>
      <c r="FJ20">
        <f>IF(FJ$4=1,IF(OR(INDEX('×入力'!$A$1:$L$1300,287+FJ$3,2+FJ$2)&lt;&gt;"",INDEX('×入力'!$A$1:$L$1300,286,2+FJ$2)&lt;&gt;"",INDEX('×入力'!$A$1:$L$1300,287+FJ$3,1)&lt;&gt;""),1,0),0)</f>
        <v/>
      </c>
      <c r="FK20">
        <f>IF(FK$4=1,IF(OR(INDEX('×入力'!$A$1:$L$1300,287+FK$3,2+FK$2)&lt;&gt;"",INDEX('×入力'!$A$1:$L$1300,286,2+FK$2)&lt;&gt;"",INDEX('×入力'!$A$1:$L$1300,287+FK$3,1)&lt;&gt;""),1,0),0)</f>
        <v/>
      </c>
      <c r="FL20">
        <f>IF(FL$4=1,IF(OR(INDEX('×入力'!$A$1:$L$1300,287+FL$3,2+FL$2)&lt;&gt;"",INDEX('×入力'!$A$1:$L$1300,286,2+FL$2)&lt;&gt;"",INDEX('×入力'!$A$1:$L$1300,287+FL$3,1)&lt;&gt;""),1,0),0)</f>
        <v/>
      </c>
      <c r="FM20">
        <f>IF(FM$4=1,IF(OR(INDEX('×入力'!$A$1:$L$1300,287+FM$3,2+FM$2)&lt;&gt;"",INDEX('×入力'!$A$1:$L$1300,286,2+FM$2)&lt;&gt;"",INDEX('×入力'!$A$1:$L$1300,287+FM$3,1)&lt;&gt;""),1,0),0)</f>
        <v/>
      </c>
      <c r="FN20">
        <f>IF(FN$4=1,IF(OR(INDEX('×入力'!$A$1:$L$1300,287+FN$3,2+FN$2)&lt;&gt;"",INDEX('×入力'!$A$1:$L$1300,286,2+FN$2)&lt;&gt;"",INDEX('×入力'!$A$1:$L$1300,287+FN$3,1)&lt;&gt;""),1,0),0)</f>
        <v/>
      </c>
      <c r="FO20">
        <f>IF(FO$4=1,IF(OR(INDEX('×入力'!$A$1:$L$1300,287+FO$3,2+FO$2)&lt;&gt;"",INDEX('×入力'!$A$1:$L$1300,286,2+FO$2)&lt;&gt;"",INDEX('×入力'!$A$1:$L$1300,287+FO$3,1)&lt;&gt;""),1,0),0)</f>
        <v/>
      </c>
      <c r="FP20">
        <f>IF(FP$4=1,IF(OR(INDEX('×入力'!$A$1:$L$1300,287+FP$3,2+FP$2)&lt;&gt;"",INDEX('×入力'!$A$1:$L$1300,286,2+FP$2)&lt;&gt;"",INDEX('×入力'!$A$1:$L$1300,287+FP$3,1)&lt;&gt;""),1,0),0)</f>
        <v/>
      </c>
      <c r="FQ20">
        <f>IF(FQ$4=1,IF(OR(INDEX('×入力'!$A$1:$L$1300,287+FQ$3,2+FQ$2)&lt;&gt;"",INDEX('×入力'!$A$1:$L$1300,286,2+FQ$2)&lt;&gt;"",INDEX('×入力'!$A$1:$L$1300,287+FQ$3,1)&lt;&gt;""),1,0),0)</f>
        <v/>
      </c>
      <c r="FR20">
        <f>IF(FR$4=1,IF(OR(INDEX('×入力'!$A$1:$L$1300,287+FR$3,2+FR$2)&lt;&gt;"",INDEX('×入力'!$A$1:$L$1300,286,2+FR$2)&lt;&gt;"",INDEX('×入力'!$A$1:$L$1300,287+FR$3,1)&lt;&gt;""),1,0),0)</f>
        <v/>
      </c>
      <c r="FS20">
        <f>IF(FS$4=1,IF(OR(INDEX('×入力'!$A$1:$L$1300,287+FS$3,2+FS$2)&lt;&gt;"",INDEX('×入力'!$A$1:$L$1300,286,2+FS$2)&lt;&gt;"",INDEX('×入力'!$A$1:$L$1300,287+FS$3,1)&lt;&gt;""),1,0),0)</f>
        <v/>
      </c>
      <c r="FT20">
        <f>IF(FT$4=1,IF(OR(INDEX('×入力'!$A$1:$L$1300,287+FT$3,2+FT$2)&lt;&gt;"",INDEX('×入力'!$A$1:$L$1300,286,2+FT$2)&lt;&gt;"",INDEX('×入力'!$A$1:$L$1300,287+FT$3,1)&lt;&gt;""),1,0),0)</f>
        <v/>
      </c>
      <c r="FU20">
        <f>IF(FU$4=1,IF(OR(INDEX('×入力'!$A$1:$L$1300,287+FU$3,2+FU$2)&lt;&gt;"",INDEX('×入力'!$A$1:$L$1300,286,2+FU$2)&lt;&gt;"",INDEX('×入力'!$A$1:$L$1300,287+FU$3,1)&lt;&gt;""),1,0),0)</f>
        <v/>
      </c>
      <c r="FV20">
        <f>IF(FV$4=1,IF(OR(INDEX('×入力'!$A$1:$L$1300,287+FV$3,2+FV$2)&lt;&gt;"",INDEX('×入力'!$A$1:$L$1300,286,2+FV$2)&lt;&gt;"",INDEX('×入力'!$A$1:$L$1300,287+FV$3,1)&lt;&gt;""),1,0),0)</f>
        <v/>
      </c>
      <c r="FW20">
        <f>IF(FW$4=1,IF(OR(INDEX('×入力'!$A$1:$L$1300,287+FW$3,2+FW$2)&lt;&gt;"",INDEX('×入力'!$A$1:$L$1300,286,2+FW$2)&lt;&gt;"",INDEX('×入力'!$A$1:$L$1300,287+FW$3,1)&lt;&gt;""),1,0),0)</f>
        <v/>
      </c>
      <c r="FX20">
        <f>IF(FX$4=1,IF(OR(INDEX('×入力'!$A$1:$L$1300,287+FX$3,2+FX$2)&lt;&gt;"",INDEX('×入力'!$A$1:$L$1300,286,2+FX$2)&lt;&gt;"",INDEX('×入力'!$A$1:$L$1300,287+FX$3,1)&lt;&gt;""),1,0),0)</f>
        <v/>
      </c>
      <c r="FY20">
        <f>IF(FY$4=1,IF(OR(INDEX('×入力'!$A$1:$L$1300,287+FY$3,2+FY$2)&lt;&gt;"",INDEX('×入力'!$A$1:$L$1300,286,2+FY$2)&lt;&gt;"",INDEX('×入力'!$A$1:$L$1300,287+FY$3,1)&lt;&gt;""),1,0),0)</f>
        <v/>
      </c>
      <c r="FZ20">
        <f>IF(FZ$4=1,IF(OR(INDEX('×入力'!$A$1:$L$1300,287+FZ$3,2+FZ$2)&lt;&gt;"",INDEX('×入力'!$A$1:$L$1300,286,2+FZ$2)&lt;&gt;"",INDEX('×入力'!$A$1:$L$1300,287+FZ$3,1)&lt;&gt;""),1,0),0)</f>
        <v/>
      </c>
      <c r="GA20">
        <f>IF(GA$4=1,IF(OR(INDEX('×入力'!$A$1:$L$1300,287+GA$3,2+GA$2)&lt;&gt;"",INDEX('×入力'!$A$1:$L$1300,286,2+GA$2)&lt;&gt;"",INDEX('×入力'!$A$1:$L$1300,287+GA$3,1)&lt;&gt;""),1,0),0)</f>
        <v/>
      </c>
      <c r="GB20">
        <f>IF(GB$4=1,IF(OR(INDEX('×入力'!$A$1:$L$1300,287+GB$3,2+GB$2)&lt;&gt;"",INDEX('×入力'!$A$1:$L$1300,286,2+GB$2)&lt;&gt;"",INDEX('×入力'!$A$1:$L$1300,287+GB$3,1)&lt;&gt;""),1,0),0)</f>
        <v/>
      </c>
      <c r="GC20">
        <f>IF(GC$4=1,IF(OR(INDEX('×入力'!$A$1:$L$1300,287+GC$3,2+GC$2)&lt;&gt;"",INDEX('×入力'!$A$1:$L$1300,286,2+GC$2)&lt;&gt;"",INDEX('×入力'!$A$1:$L$1300,287+GC$3,1)&lt;&gt;""),1,0),0)</f>
        <v/>
      </c>
      <c r="GD20">
        <f>IF(GD$4=1,IF(OR(INDEX('×入力'!$A$1:$L$1300,287+GD$3,2+GD$2)&lt;&gt;"",INDEX('×入力'!$A$1:$L$1300,286,2+GD$2)&lt;&gt;"",INDEX('×入力'!$A$1:$L$1300,287+GD$3,1)&lt;&gt;""),1,0),0)</f>
        <v/>
      </c>
      <c r="GE20">
        <f>IF(GE$4=1,IF(OR(INDEX('×入力'!$A$1:$L$1300,287+GE$3,2+GE$2)&lt;&gt;"",INDEX('×入力'!$A$1:$L$1300,286,2+GE$2)&lt;&gt;"",INDEX('×入力'!$A$1:$L$1300,287+GE$3,1)&lt;&gt;""),1,0),0)</f>
        <v/>
      </c>
      <c r="GF20">
        <f>IF(GF$4=1,IF(OR(INDEX('×入力'!$A$1:$L$1300,287+GF$3,2+GF$2)&lt;&gt;"",INDEX('×入力'!$A$1:$L$1300,286,2+GF$2)&lt;&gt;"",INDEX('×入力'!$A$1:$L$1300,287+GF$3,1)&lt;&gt;""),1,0),0)</f>
        <v/>
      </c>
      <c r="GG20">
        <f>IF(GG$4=1,IF(OR(INDEX('×入力'!$A$1:$L$1300,287+GG$3,2+GG$2)&lt;&gt;"",INDEX('×入力'!$A$1:$L$1300,286,2+GG$2)&lt;&gt;"",INDEX('×入力'!$A$1:$L$1300,287+GG$3,1)&lt;&gt;""),1,0),0)</f>
        <v/>
      </c>
      <c r="GH20">
        <f>IF(GH$4=1,IF(OR(INDEX('×入力'!$A$1:$L$1300,287+GH$3,2+GH$2)&lt;&gt;"",INDEX('×入力'!$A$1:$L$1300,286,2+GH$2)&lt;&gt;"",INDEX('×入力'!$A$1:$L$1300,287+GH$3,1)&lt;&gt;""),1,0),0)</f>
        <v/>
      </c>
      <c r="GI20">
        <f>IF(GI$4=1,IF(OR(INDEX('×入力'!$A$1:$L$1300,287+GI$3,2+GI$2)&lt;&gt;"",INDEX('×入力'!$A$1:$L$1300,286,2+GI$2)&lt;&gt;"",INDEX('×入力'!$A$1:$L$1300,287+GI$3,1)&lt;&gt;""),1,0),0)</f>
        <v/>
      </c>
      <c r="GJ20">
        <f>IF(GJ$4=1,IF(OR(INDEX('×入力'!$A$1:$L$1300,287+GJ$3,2+GJ$2)&lt;&gt;"",INDEX('×入力'!$A$1:$L$1300,286,2+GJ$2)&lt;&gt;"",INDEX('×入力'!$A$1:$L$1300,287+GJ$3,1)&lt;&gt;""),1,0),0)</f>
        <v/>
      </c>
      <c r="GK20">
        <f>IF(GK$4=1,IF(OR(INDEX('×入力'!$A$1:$L$1300,287+GK$3,2+GK$2)&lt;&gt;"",INDEX('×入力'!$A$1:$L$1300,286,2+GK$2)&lt;&gt;"",INDEX('×入力'!$A$1:$L$1300,287+GK$3,1)&lt;&gt;""),1,0),0)</f>
        <v/>
      </c>
      <c r="GL20">
        <f>IF(GL$4=1,IF(OR(INDEX('×入力'!$A$1:$L$1300,287+GL$3,2+GL$2)&lt;&gt;"",INDEX('×入力'!$A$1:$L$1300,286,2+GL$2)&lt;&gt;"",INDEX('×入力'!$A$1:$L$1300,287+GL$3,1)&lt;&gt;""),1,0),0)</f>
        <v/>
      </c>
      <c r="GM20">
        <f>IF(GM$4=1,IF(OR(INDEX('×入力'!$A$1:$L$1300,287+GM$3,2+GM$2)&lt;&gt;"",INDEX('×入力'!$A$1:$L$1300,286,2+GM$2)&lt;&gt;"",INDEX('×入力'!$A$1:$L$1300,287+GM$3,1)&lt;&gt;""),1,0),0)</f>
        <v/>
      </c>
      <c r="GN20">
        <f>IF(GN$4=1,IF(OR(INDEX('×入力'!$A$1:$L$1300,287+GN$3,2+GN$2)&lt;&gt;"",INDEX('×入力'!$A$1:$L$1300,286,2+GN$2)&lt;&gt;"",INDEX('×入力'!$A$1:$L$1300,287+GN$3,1)&lt;&gt;""),1,0),0)</f>
        <v/>
      </c>
      <c r="GO20">
        <f>IF(GO$4=1,IF(OR(INDEX('×入力'!$A$1:$L$1300,287+GO$3,2+GO$2)&lt;&gt;"",INDEX('×入力'!$A$1:$L$1300,286,2+GO$2)&lt;&gt;"",INDEX('×入力'!$A$1:$L$1300,287+GO$3,1)&lt;&gt;""),1,0),0)</f>
        <v/>
      </c>
      <c r="GP20">
        <f>IF(GP$4=1,IF(OR(INDEX('×入力'!$A$1:$L$1300,287+GP$3,2+GP$2)&lt;&gt;"",INDEX('×入力'!$A$1:$L$1300,286,2+GP$2)&lt;&gt;"",INDEX('×入力'!$A$1:$L$1300,287+GP$3,1)&lt;&gt;""),1,0),0)</f>
        <v/>
      </c>
      <c r="GQ20">
        <f>IF(GQ$4=1,IF(OR(INDEX('×入力'!$A$1:$L$1300,287+GQ$3,2+GQ$2)&lt;&gt;"",INDEX('×入力'!$A$1:$L$1300,286,2+GQ$2)&lt;&gt;"",INDEX('×入力'!$A$1:$L$1300,287+GQ$3,1)&lt;&gt;""),1,0),0)</f>
        <v/>
      </c>
      <c r="GR20">
        <f>IF(GR$4=1,IF(OR(INDEX('×入力'!$A$1:$L$1300,287+GR$3,2+GR$2)&lt;&gt;"",INDEX('×入力'!$A$1:$L$1300,286,2+GR$2)&lt;&gt;"",INDEX('×入力'!$A$1:$L$1300,287+GR$3,1)&lt;&gt;""),1,0),0)</f>
        <v/>
      </c>
      <c r="GS20">
        <f>IF(GS$4=1,IF(OR(INDEX('×入力'!$A$1:$L$1300,287+GS$3,2+GS$2)&lt;&gt;"",INDEX('×入力'!$A$1:$L$1300,286,2+GS$2)&lt;&gt;"",INDEX('×入力'!$A$1:$L$1300,287+GS$3,1)&lt;&gt;""),1,0),0)</f>
        <v/>
      </c>
      <c r="GT20">
        <f>IF(GT$4=1,IF(OR(INDEX('×入力'!$A$1:$L$1300,287+GT$3,2+GT$2)&lt;&gt;"",INDEX('×入力'!$A$1:$L$1300,286,2+GT$2)&lt;&gt;"",INDEX('×入力'!$A$1:$L$1300,287+GT$3,1)&lt;&gt;""),1,0),0)</f>
        <v/>
      </c>
      <c r="GU20">
        <f>IF(GU$4=1,IF(OR(INDEX('×入力'!$A$1:$L$1300,287+GU$3,2+GU$2)&lt;&gt;"",INDEX('×入力'!$A$1:$L$1300,286,2+GU$2)&lt;&gt;"",INDEX('×入力'!$A$1:$L$1300,287+GU$3,1)&lt;&gt;""),1,0),0)</f>
        <v/>
      </c>
      <c r="GV20">
        <f>IF(GV$4=1,IF(OR(INDEX('×入力'!$A$1:$L$1300,287+GV$3,2+GV$2)&lt;&gt;"",INDEX('×入力'!$A$1:$L$1300,286,2+GV$2)&lt;&gt;"",INDEX('×入力'!$A$1:$L$1300,287+GV$3,1)&lt;&gt;""),1,0),0)</f>
        <v/>
      </c>
      <c r="GW20">
        <f>IF(GW$4=1,IF(OR(INDEX('×入力'!$A$1:$L$1300,287+GW$3,2+GW$2)&lt;&gt;"",INDEX('×入力'!$A$1:$L$1300,286,2+GW$2)&lt;&gt;"",INDEX('×入力'!$A$1:$L$1300,287+GW$3,1)&lt;&gt;""),1,0),0)</f>
        <v/>
      </c>
      <c r="GX20">
        <f>IF(GX$4=1,IF(OR(INDEX('×入力'!$A$1:$L$1300,287+GX$3,2+GX$2)&lt;&gt;"",INDEX('×入力'!$A$1:$L$1300,286,2+GX$2)&lt;&gt;"",INDEX('×入力'!$A$1:$L$1300,287+GX$3,1)&lt;&gt;""),1,0),0)</f>
        <v/>
      </c>
      <c r="GY20">
        <f>IF(GY$4=1,IF(OR(INDEX('×入力'!$A$1:$L$1300,287+GY$3,2+GY$2)&lt;&gt;"",INDEX('×入力'!$A$1:$L$1300,286,2+GY$2)&lt;&gt;"",INDEX('×入力'!$A$1:$L$1300,287+GY$3,1)&lt;&gt;""),1,0),0)</f>
        <v/>
      </c>
      <c r="GZ20">
        <f>IF(GZ$4=1,IF(OR(INDEX('×入力'!$A$1:$L$1300,287+GZ$3,2+GZ$2)&lt;&gt;"",INDEX('×入力'!$A$1:$L$1300,286,2+GZ$2)&lt;&gt;"",INDEX('×入力'!$A$1:$L$1300,287+GZ$3,1)&lt;&gt;""),1,0),0)</f>
        <v/>
      </c>
      <c r="HA20">
        <f>IF(HA$4=1,IF(OR(INDEX('×入力'!$A$1:$L$1300,287+HA$3,2+HA$2)&lt;&gt;"",INDEX('×入力'!$A$1:$L$1300,286,2+HA$2)&lt;&gt;"",INDEX('×入力'!$A$1:$L$1300,287+HA$3,1)&lt;&gt;""),1,0),0)</f>
        <v/>
      </c>
      <c r="HB20">
        <f>IF(HB$4=1,IF(OR(INDEX('×入力'!$A$1:$L$1300,287+HB$3,2+HB$2)&lt;&gt;"",INDEX('×入力'!$A$1:$L$1300,286,2+HB$2)&lt;&gt;"",INDEX('×入力'!$A$1:$L$1300,287+HB$3,1)&lt;&gt;""),1,0),0)</f>
        <v/>
      </c>
      <c r="HC20">
        <f>IF(HC$4=1,IF(OR(INDEX('×入力'!$A$1:$L$1300,287+HC$3,2+HC$2)&lt;&gt;"",INDEX('×入力'!$A$1:$L$1300,286,2+HC$2)&lt;&gt;"",INDEX('×入力'!$A$1:$L$1300,287+HC$3,1)&lt;&gt;""),1,0),0)</f>
        <v/>
      </c>
      <c r="HD20">
        <f>IF(HD$4=1,IF(OR(INDEX('×入力'!$A$1:$L$1300,287+HD$3,2+HD$2)&lt;&gt;"",INDEX('×入力'!$A$1:$L$1300,286,2+HD$2)&lt;&gt;"",INDEX('×入力'!$A$1:$L$1300,287+HD$3,1)&lt;&gt;""),1,0),0)</f>
        <v/>
      </c>
      <c r="HE20">
        <f>IF(HE$4=1,IF(OR(INDEX('×入力'!$A$1:$L$1300,287+HE$3,2+HE$2)&lt;&gt;"",INDEX('×入力'!$A$1:$L$1300,286,2+HE$2)&lt;&gt;"",INDEX('×入力'!$A$1:$L$1300,287+HE$3,1)&lt;&gt;""),1,0),0)</f>
        <v/>
      </c>
      <c r="HF20">
        <f>IF(HF$4=1,IF(OR(INDEX('×入力'!$A$1:$L$1300,287+HF$3,2+HF$2)&lt;&gt;"",INDEX('×入力'!$A$1:$L$1300,286,2+HF$2)&lt;&gt;"",INDEX('×入力'!$A$1:$L$1300,287+HF$3,1)&lt;&gt;""),1,0),0)</f>
        <v/>
      </c>
      <c r="HG20">
        <f>IF(HG$4=1,IF(OR(INDEX('×入力'!$A$1:$L$1300,287+HG$3,2+HG$2)&lt;&gt;"",INDEX('×入力'!$A$1:$L$1300,286,2+HG$2)&lt;&gt;"",INDEX('×入力'!$A$1:$L$1300,287+HG$3,1)&lt;&gt;""),1,0),0)</f>
        <v/>
      </c>
      <c r="HH20">
        <f>IF(HH$4=1,IF(OR(INDEX('×入力'!$A$1:$L$1300,287+HH$3,2+HH$2)&lt;&gt;"",INDEX('×入力'!$A$1:$L$1300,286,2+HH$2)&lt;&gt;"",INDEX('×入力'!$A$1:$L$1300,287+HH$3,1)&lt;&gt;""),1,0),0)</f>
        <v/>
      </c>
      <c r="HI20">
        <f>IF(HI$4=1,IF(OR(INDEX('×入力'!$A$1:$L$1300,287+HI$3,2+HI$2)&lt;&gt;"",INDEX('×入力'!$A$1:$L$1300,286,2+HI$2)&lt;&gt;"",INDEX('×入力'!$A$1:$L$1300,287+HI$3,1)&lt;&gt;""),1,0),0)</f>
        <v/>
      </c>
      <c r="HJ20">
        <f>IF(HJ$4=1,IF(OR(INDEX('×入力'!$A$1:$L$1300,287+HJ$3,2+HJ$2)&lt;&gt;"",INDEX('×入力'!$A$1:$L$1300,286,2+HJ$2)&lt;&gt;"",INDEX('×入力'!$A$1:$L$1300,287+HJ$3,1)&lt;&gt;""),1,0),0)</f>
        <v/>
      </c>
      <c r="HK20">
        <f>IF(HK$4=1,IF(OR(INDEX('×入力'!$A$1:$L$1300,287+HK$3,2+HK$2)&lt;&gt;"",INDEX('×入力'!$A$1:$L$1300,286,2+HK$2)&lt;&gt;"",INDEX('×入力'!$A$1:$L$1300,287+HK$3,1)&lt;&gt;""),1,0),0)</f>
        <v/>
      </c>
      <c r="HL20">
        <f>IF(HL$4=1,IF(OR(INDEX('×入力'!$A$1:$L$1300,287+HL$3,2+HL$2)&lt;&gt;"",INDEX('×入力'!$A$1:$L$1300,286,2+HL$2)&lt;&gt;"",INDEX('×入力'!$A$1:$L$1300,287+HL$3,1)&lt;&gt;""),1,0),0)</f>
        <v/>
      </c>
      <c r="HM20">
        <f>IF(HM$4=1,IF(OR(INDEX('×入力'!$A$1:$L$1300,287+HM$3,2+HM$2)&lt;&gt;"",INDEX('×入力'!$A$1:$L$1300,286,2+HM$2)&lt;&gt;"",INDEX('×入力'!$A$1:$L$1300,287+HM$3,1)&lt;&gt;""),1,0),0)</f>
        <v/>
      </c>
      <c r="HN20">
        <f>IF(HN$4=1,IF(OR(INDEX('×入力'!$A$1:$L$1300,287+HN$3,2+HN$2)&lt;&gt;"",INDEX('×入力'!$A$1:$L$1300,286,2+HN$2)&lt;&gt;"",INDEX('×入力'!$A$1:$L$1300,287+HN$3,1)&lt;&gt;""),1,0),0)</f>
        <v/>
      </c>
      <c r="HO20">
        <f>IF(HO$4=1,IF(OR(INDEX('×入力'!$A$1:$L$1300,287+HO$3,2+HO$2)&lt;&gt;"",INDEX('×入力'!$A$1:$L$1300,286,2+HO$2)&lt;&gt;"",INDEX('×入力'!$A$1:$L$1300,287+HO$3,1)&lt;&gt;""),1,0),0)</f>
        <v/>
      </c>
      <c r="HP20">
        <f>IF(HP$4=1,IF(OR(INDEX('×入力'!$A$1:$L$1300,287+HP$3,2+HP$2)&lt;&gt;"",INDEX('×入力'!$A$1:$L$1300,286,2+HP$2)&lt;&gt;"",INDEX('×入力'!$A$1:$L$1300,287+HP$3,1)&lt;&gt;""),1,0),0)</f>
        <v/>
      </c>
      <c r="HQ20">
        <f>IF(HQ$4=1,IF(OR(INDEX('×入力'!$A$1:$L$1300,287+HQ$3,2+HQ$2)&lt;&gt;"",INDEX('×入力'!$A$1:$L$1300,286,2+HQ$2)&lt;&gt;"",INDEX('×入力'!$A$1:$L$1300,287+HQ$3,1)&lt;&gt;""),1,0),0)</f>
        <v/>
      </c>
      <c r="HR20">
        <f>IF(HR$4=1,IF(OR(INDEX('×入力'!$A$1:$L$1300,287+HR$3,2+HR$2)&lt;&gt;"",INDEX('×入力'!$A$1:$L$1300,286,2+HR$2)&lt;&gt;"",INDEX('×入力'!$A$1:$L$1300,287+HR$3,1)&lt;&gt;""),1,0),0)</f>
        <v/>
      </c>
      <c r="HS20">
        <f>IF(HS$4=1,IF(OR(INDEX('×入力'!$A$1:$L$1300,287+HS$3,2+HS$2)&lt;&gt;"",INDEX('×入力'!$A$1:$L$1300,286,2+HS$2)&lt;&gt;"",INDEX('×入力'!$A$1:$L$1300,287+HS$3,1)&lt;&gt;""),1,0),0)</f>
        <v/>
      </c>
      <c r="HT20">
        <f>IF(HT$4=1,IF(OR(INDEX('×入力'!$A$1:$L$1300,287+HT$3,2+HT$2)&lt;&gt;"",INDEX('×入力'!$A$1:$L$1300,286,2+HT$2)&lt;&gt;"",INDEX('×入力'!$A$1:$L$1300,287+HT$3,1)&lt;&gt;""),1,0),0)</f>
        <v/>
      </c>
      <c r="HU20">
        <f>IF(HU$4=1,IF(OR(INDEX('×入力'!$A$1:$L$1300,287+HU$3,2+HU$2)&lt;&gt;"",INDEX('×入力'!$A$1:$L$1300,286,2+HU$2)&lt;&gt;"",INDEX('×入力'!$A$1:$L$1300,287+HU$3,1)&lt;&gt;""),1,0),0)</f>
        <v/>
      </c>
      <c r="HV20">
        <f>IF(HV$4=1,IF(OR(INDEX('×入力'!$A$1:$L$1300,287+HV$3,2+HV$2)&lt;&gt;"",INDEX('×入力'!$A$1:$L$1300,286,2+HV$2)&lt;&gt;"",INDEX('×入力'!$A$1:$L$1300,287+HV$3,1)&lt;&gt;""),1,0),0)</f>
        <v/>
      </c>
      <c r="HW20">
        <f>IF(HW$4=1,IF(OR(INDEX('×入力'!$A$1:$L$1300,287+HW$3,2+HW$2)&lt;&gt;"",INDEX('×入力'!$A$1:$L$1300,286,2+HW$2)&lt;&gt;"",INDEX('×入力'!$A$1:$L$1300,287+HW$3,1)&lt;&gt;""),1,0),0)</f>
        <v/>
      </c>
      <c r="HX20">
        <f>IF(HX$4=1,IF(OR(INDEX('×入力'!$A$1:$L$1300,287+HX$3,2+HX$2)&lt;&gt;"",INDEX('×入力'!$A$1:$L$1300,286,2+HX$2)&lt;&gt;"",INDEX('×入力'!$A$1:$L$1300,287+HX$3,1)&lt;&gt;""),1,0),0)</f>
        <v/>
      </c>
      <c r="HY20">
        <f>IF(HY$4=1,IF(OR(INDEX('×入力'!$A$1:$L$1300,287+HY$3,2+HY$2)&lt;&gt;"",INDEX('×入力'!$A$1:$L$1300,286,2+HY$2)&lt;&gt;"",INDEX('×入力'!$A$1:$L$1300,287+HY$3,1)&lt;&gt;""),1,0),0)</f>
        <v/>
      </c>
      <c r="HZ20">
        <f>IF(HZ$4=1,IF(OR(INDEX('×入力'!$A$1:$L$1300,287+HZ$3,2+HZ$2)&lt;&gt;"",INDEX('×入力'!$A$1:$L$1300,286,2+HZ$2)&lt;&gt;"",INDEX('×入力'!$A$1:$L$1300,287+HZ$3,1)&lt;&gt;""),1,0),0)</f>
        <v/>
      </c>
      <c r="IA20">
        <f>IF(IA$4=1,IF(OR(INDEX('×入力'!$A$1:$L$1300,287+IA$3,2+IA$2)&lt;&gt;"",INDEX('×入力'!$A$1:$L$1300,286,2+IA$2)&lt;&gt;"",INDEX('×入力'!$A$1:$L$1300,287+IA$3,1)&lt;&gt;""),1,0),0)</f>
        <v/>
      </c>
      <c r="IB20">
        <f>IF(IB$4=1,IF(OR(INDEX('×入力'!$A$1:$L$1300,287+IB$3,2+IB$2)&lt;&gt;"",INDEX('×入力'!$A$1:$L$1300,286,2+IB$2)&lt;&gt;"",INDEX('×入力'!$A$1:$L$1300,287+IB$3,1)&lt;&gt;""),1,0),0)</f>
        <v/>
      </c>
      <c r="IC20">
        <f>IF(IC$4=1,IF(OR(INDEX('×入力'!$A$1:$L$1300,287+IC$3,2+IC$2)&lt;&gt;"",INDEX('×入力'!$A$1:$L$1300,286,2+IC$2)&lt;&gt;"",INDEX('×入力'!$A$1:$L$1300,287+IC$3,1)&lt;&gt;""),1,0),0)</f>
        <v/>
      </c>
      <c r="ID20">
        <f>IF(ID$4=1,IF(OR(INDEX('×入力'!$A$1:$L$1300,287+ID$3,2+ID$2)&lt;&gt;"",INDEX('×入力'!$A$1:$L$1300,286,2+ID$2)&lt;&gt;"",INDEX('×入力'!$A$1:$L$1300,287+ID$3,1)&lt;&gt;""),1,0),0)</f>
        <v/>
      </c>
      <c r="IE20">
        <f>IF(IE$4=1,IF(OR(INDEX('×入力'!$A$1:$L$1300,287+IE$3,2+IE$2)&lt;&gt;"",INDEX('×入力'!$A$1:$L$1300,286,2+IE$2)&lt;&gt;"",INDEX('×入力'!$A$1:$L$1300,287+IE$3,1)&lt;&gt;""),1,0),0)</f>
        <v/>
      </c>
      <c r="IF20">
        <f>IF(IF$4=1,IF(OR(INDEX('×入力'!$A$1:$L$1300,287+IF$3,2+IF$2)&lt;&gt;"",INDEX('×入力'!$A$1:$L$1300,286,2+IF$2)&lt;&gt;"",INDEX('×入力'!$A$1:$L$1300,287+IF$3,1)&lt;&gt;""),1,0),0)</f>
        <v/>
      </c>
      <c r="IG20">
        <f>IF(IG$4=1,IF(OR(INDEX('×入力'!$A$1:$L$1300,287+IG$3,2+IG$2)&lt;&gt;"",INDEX('×入力'!$A$1:$L$1300,286,2+IG$2)&lt;&gt;"",INDEX('×入力'!$A$1:$L$1300,287+IG$3,1)&lt;&gt;""),1,0),0)</f>
        <v/>
      </c>
      <c r="IH20">
        <f>IF(IH$4=1,IF(OR(INDEX('×入力'!$A$1:$L$1300,287+IH$3,2+IH$2)&lt;&gt;"",INDEX('×入力'!$A$1:$L$1300,286,2+IH$2)&lt;&gt;"",INDEX('×入力'!$A$1:$L$1300,287+IH$3,1)&lt;&gt;""),1,0),0)</f>
        <v/>
      </c>
      <c r="II20">
        <f>IF(II$4=1,IF(OR(INDEX('×入力'!$A$1:$L$1300,287+II$3,2+II$2)&lt;&gt;"",INDEX('×入力'!$A$1:$L$1300,286,2+II$2)&lt;&gt;"",INDEX('×入力'!$A$1:$L$1300,287+II$3,1)&lt;&gt;""),1,0),0)</f>
        <v/>
      </c>
      <c r="IK20">
        <f>IFERROR(INDEX('計算B'!$C$3:$C$47,MATCH(A20,'計算B'!$B$3:$B$47,0)),0)</f>
        <v/>
      </c>
      <c r="IL20">
        <f>IF(AND(C20=1,IK20=0),1,0)</f>
        <v/>
      </c>
      <c r="IM20">
        <f>SUMPRODUCT(D70:II70*(1-$D$7:$II$7))</f>
        <v/>
      </c>
      <c r="IN20">
        <f>SUM(D20:II20)</f>
        <v/>
      </c>
      <c r="IO20">
        <f>IF(B20="",0,IF(COUNTIF('調整・決定'!$C$6:$L$29,B20)=1,SUMPRODUCT(('調整・決定'!$C$6:$L$29=B20)*((COLUMN('調整・決定'!$C$6:$L$29)-3)*24+ROW('調整・決定'!$C$6:$L$29)-5)),0))</f>
        <v/>
      </c>
      <c r="IP20">
        <f>IFERROR(MATCH('名簿'!E15,{"早い時刻","遅い時刻","早い日","遅い日"},0),0)</f>
        <v/>
      </c>
      <c r="IQ20">
        <f>IF('名簿'!F15="必ず空けたい",2,IF('名簿'!F15="出来れば空けたい",1,0))</f>
        <v/>
      </c>
    </row>
    <row r="21">
      <c r="A21" t="n">
        <v>12</v>
      </c>
      <c r="B21">
        <f>'名簿'!G16</f>
        <v/>
      </c>
      <c r="C21">
        <f>IF(AND(B21&lt;&gt;"",OR('名簿'!H16="入力済み",'名簿'!H16="×なし"),IO21=0,COUNTIF('調整・決定'!$C$6:$L$29,B21)=0),1,0)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ER21">
        <f>IF(ER$4=1,IF(OR(INDEX('×入力'!$A$1:$L$1300,315+ER$3,2+ER$2)&lt;&gt;"",INDEX('×入力'!$A$1:$L$1300,314,2+ER$2)&lt;&gt;"",INDEX('×入力'!$A$1:$L$1300,315+ER$3,1)&lt;&gt;""),1,0),0)</f>
        <v/>
      </c>
      <c r="ES21">
        <f>IF(ES$4=1,IF(OR(INDEX('×入力'!$A$1:$L$1300,315+ES$3,2+ES$2)&lt;&gt;"",INDEX('×入力'!$A$1:$L$1300,314,2+ES$2)&lt;&gt;"",INDEX('×入力'!$A$1:$L$1300,315+ES$3,1)&lt;&gt;""),1,0),0)</f>
        <v/>
      </c>
      <c r="ET21">
        <f>IF(ET$4=1,IF(OR(INDEX('×入力'!$A$1:$L$1300,315+ET$3,2+ET$2)&lt;&gt;"",INDEX('×入力'!$A$1:$L$1300,314,2+ET$2)&lt;&gt;"",INDEX('×入力'!$A$1:$L$1300,315+ET$3,1)&lt;&gt;""),1,0),0)</f>
        <v/>
      </c>
      <c r="EU21">
        <f>IF(EU$4=1,IF(OR(INDEX('×入力'!$A$1:$L$1300,315+EU$3,2+EU$2)&lt;&gt;"",INDEX('×入力'!$A$1:$L$1300,314,2+EU$2)&lt;&gt;"",INDEX('×入力'!$A$1:$L$1300,315+EU$3,1)&lt;&gt;""),1,0),0)</f>
        <v/>
      </c>
      <c r="EV21">
        <f>IF(EV$4=1,IF(OR(INDEX('×入力'!$A$1:$L$1300,315+EV$3,2+EV$2)&lt;&gt;"",INDEX('×入力'!$A$1:$L$1300,314,2+EV$2)&lt;&gt;"",INDEX('×入力'!$A$1:$L$1300,315+EV$3,1)&lt;&gt;""),1,0),0)</f>
        <v/>
      </c>
      <c r="EW21">
        <f>IF(EW$4=1,IF(OR(INDEX('×入力'!$A$1:$L$1300,315+EW$3,2+EW$2)&lt;&gt;"",INDEX('×入力'!$A$1:$L$1300,314,2+EW$2)&lt;&gt;"",INDEX('×入力'!$A$1:$L$1300,315+EW$3,1)&lt;&gt;""),1,0),0)</f>
        <v/>
      </c>
      <c r="EX21">
        <f>IF(EX$4=1,IF(OR(INDEX('×入力'!$A$1:$L$1300,315+EX$3,2+EX$2)&lt;&gt;"",INDEX('×入力'!$A$1:$L$1300,314,2+EX$2)&lt;&gt;"",INDEX('×入力'!$A$1:$L$1300,315+EX$3,1)&lt;&gt;""),1,0),0)</f>
        <v/>
      </c>
      <c r="EY21">
        <f>IF(EY$4=1,IF(OR(INDEX('×入力'!$A$1:$L$1300,315+EY$3,2+EY$2)&lt;&gt;"",INDEX('×入力'!$A$1:$L$1300,314,2+EY$2)&lt;&gt;"",INDEX('×入力'!$A$1:$L$1300,315+EY$3,1)&lt;&gt;""),1,0),0)</f>
        <v/>
      </c>
      <c r="EZ21">
        <f>IF(EZ$4=1,IF(OR(INDEX('×入力'!$A$1:$L$1300,315+EZ$3,2+EZ$2)&lt;&gt;"",INDEX('×入力'!$A$1:$L$1300,314,2+EZ$2)&lt;&gt;"",INDEX('×入力'!$A$1:$L$1300,315+EZ$3,1)&lt;&gt;""),1,0),0)</f>
        <v/>
      </c>
      <c r="FA21">
        <f>IF(FA$4=1,IF(OR(INDEX('×入力'!$A$1:$L$1300,315+FA$3,2+FA$2)&lt;&gt;"",INDEX('×入力'!$A$1:$L$1300,314,2+FA$2)&lt;&gt;"",INDEX('×入力'!$A$1:$L$1300,315+FA$3,1)&lt;&gt;""),1,0),0)</f>
        <v/>
      </c>
      <c r="FB21">
        <f>IF(FB$4=1,IF(OR(INDEX('×入力'!$A$1:$L$1300,315+FB$3,2+FB$2)&lt;&gt;"",INDEX('×入力'!$A$1:$L$1300,314,2+FB$2)&lt;&gt;"",INDEX('×入力'!$A$1:$L$1300,315+FB$3,1)&lt;&gt;""),1,0),0)</f>
        <v/>
      </c>
      <c r="FC21">
        <f>IF(FC$4=1,IF(OR(INDEX('×入力'!$A$1:$L$1300,315+FC$3,2+FC$2)&lt;&gt;"",INDEX('×入力'!$A$1:$L$1300,314,2+FC$2)&lt;&gt;"",INDEX('×入力'!$A$1:$L$1300,315+FC$3,1)&lt;&gt;""),1,0),0)</f>
        <v/>
      </c>
      <c r="FD21">
        <f>IF(FD$4=1,IF(OR(INDEX('×入力'!$A$1:$L$1300,315+FD$3,2+FD$2)&lt;&gt;"",INDEX('×入力'!$A$1:$L$1300,314,2+FD$2)&lt;&gt;"",INDEX('×入力'!$A$1:$L$1300,315+FD$3,1)&lt;&gt;""),1,0),0)</f>
        <v/>
      </c>
      <c r="FE21">
        <f>IF(FE$4=1,IF(OR(INDEX('×入力'!$A$1:$L$1300,315+FE$3,2+FE$2)&lt;&gt;"",INDEX('×入力'!$A$1:$L$1300,314,2+FE$2)&lt;&gt;"",INDEX('×入力'!$A$1:$L$1300,315+FE$3,1)&lt;&gt;""),1,0),0)</f>
        <v/>
      </c>
      <c r="FF21">
        <f>IF(FF$4=1,IF(OR(INDEX('×入力'!$A$1:$L$1300,315+FF$3,2+FF$2)&lt;&gt;"",INDEX('×入力'!$A$1:$L$1300,314,2+FF$2)&lt;&gt;"",INDEX('×入力'!$A$1:$L$1300,315+FF$3,1)&lt;&gt;""),1,0),0)</f>
        <v/>
      </c>
      <c r="FG21">
        <f>IF(FG$4=1,IF(OR(INDEX('×入力'!$A$1:$L$1300,315+FG$3,2+FG$2)&lt;&gt;"",INDEX('×入力'!$A$1:$L$1300,314,2+FG$2)&lt;&gt;"",INDEX('×入力'!$A$1:$L$1300,315+FG$3,1)&lt;&gt;""),1,0),0)</f>
        <v/>
      </c>
      <c r="FH21">
        <f>IF(FH$4=1,IF(OR(INDEX('×入力'!$A$1:$L$1300,315+FH$3,2+FH$2)&lt;&gt;"",INDEX('×入力'!$A$1:$L$1300,314,2+FH$2)&lt;&gt;"",INDEX('×入力'!$A$1:$L$1300,315+FH$3,1)&lt;&gt;""),1,0),0)</f>
        <v/>
      </c>
      <c r="FI21">
        <f>IF(FI$4=1,IF(OR(INDEX('×入力'!$A$1:$L$1300,315+FI$3,2+FI$2)&lt;&gt;"",INDEX('×入力'!$A$1:$L$1300,314,2+FI$2)&lt;&gt;"",INDEX('×入力'!$A$1:$L$1300,315+FI$3,1)&lt;&gt;""),1,0),0)</f>
        <v/>
      </c>
      <c r="FJ21">
        <f>IF(FJ$4=1,IF(OR(INDEX('×入力'!$A$1:$L$1300,315+FJ$3,2+FJ$2)&lt;&gt;"",INDEX('×入力'!$A$1:$L$1300,314,2+FJ$2)&lt;&gt;"",INDEX('×入力'!$A$1:$L$1300,315+FJ$3,1)&lt;&gt;""),1,0),0)</f>
        <v/>
      </c>
      <c r="FK21">
        <f>IF(FK$4=1,IF(OR(INDEX('×入力'!$A$1:$L$1300,315+FK$3,2+FK$2)&lt;&gt;"",INDEX('×入力'!$A$1:$L$1300,314,2+FK$2)&lt;&gt;"",INDEX('×入力'!$A$1:$L$1300,315+FK$3,1)&lt;&gt;""),1,0),0)</f>
        <v/>
      </c>
      <c r="FL21">
        <f>IF(FL$4=1,IF(OR(INDEX('×入力'!$A$1:$L$1300,315+FL$3,2+FL$2)&lt;&gt;"",INDEX('×入力'!$A$1:$L$1300,314,2+FL$2)&lt;&gt;"",INDEX('×入力'!$A$1:$L$1300,315+FL$3,1)&lt;&gt;""),1,0),0)</f>
        <v/>
      </c>
      <c r="FM21">
        <f>IF(FM$4=1,IF(OR(INDEX('×入力'!$A$1:$L$1300,315+FM$3,2+FM$2)&lt;&gt;"",INDEX('×入力'!$A$1:$L$1300,314,2+FM$2)&lt;&gt;"",INDEX('×入力'!$A$1:$L$1300,315+FM$3,1)&lt;&gt;""),1,0),0)</f>
        <v/>
      </c>
      <c r="FN21">
        <f>IF(FN$4=1,IF(OR(INDEX('×入力'!$A$1:$L$1300,315+FN$3,2+FN$2)&lt;&gt;"",INDEX('×入力'!$A$1:$L$1300,314,2+FN$2)&lt;&gt;"",INDEX('×入力'!$A$1:$L$1300,315+FN$3,1)&lt;&gt;""),1,0),0)</f>
        <v/>
      </c>
      <c r="FO21">
        <f>IF(FO$4=1,IF(OR(INDEX('×入力'!$A$1:$L$1300,315+FO$3,2+FO$2)&lt;&gt;"",INDEX('×入力'!$A$1:$L$1300,314,2+FO$2)&lt;&gt;"",INDEX('×入力'!$A$1:$L$1300,315+FO$3,1)&lt;&gt;""),1,0),0)</f>
        <v/>
      </c>
      <c r="FP21">
        <f>IF(FP$4=1,IF(OR(INDEX('×入力'!$A$1:$L$1300,315+FP$3,2+FP$2)&lt;&gt;"",INDEX('×入力'!$A$1:$L$1300,314,2+FP$2)&lt;&gt;"",INDEX('×入力'!$A$1:$L$1300,315+FP$3,1)&lt;&gt;""),1,0),0)</f>
        <v/>
      </c>
      <c r="FQ21">
        <f>IF(FQ$4=1,IF(OR(INDEX('×入力'!$A$1:$L$1300,315+FQ$3,2+FQ$2)&lt;&gt;"",INDEX('×入力'!$A$1:$L$1300,314,2+FQ$2)&lt;&gt;"",INDEX('×入力'!$A$1:$L$1300,315+FQ$3,1)&lt;&gt;""),1,0),0)</f>
        <v/>
      </c>
      <c r="FR21">
        <f>IF(FR$4=1,IF(OR(INDEX('×入力'!$A$1:$L$1300,315+FR$3,2+FR$2)&lt;&gt;"",INDEX('×入力'!$A$1:$L$1300,314,2+FR$2)&lt;&gt;"",INDEX('×入力'!$A$1:$L$1300,315+FR$3,1)&lt;&gt;""),1,0),0)</f>
        <v/>
      </c>
      <c r="FS21">
        <f>IF(FS$4=1,IF(OR(INDEX('×入力'!$A$1:$L$1300,315+FS$3,2+FS$2)&lt;&gt;"",INDEX('×入力'!$A$1:$L$1300,314,2+FS$2)&lt;&gt;"",INDEX('×入力'!$A$1:$L$1300,315+FS$3,1)&lt;&gt;""),1,0),0)</f>
        <v/>
      </c>
      <c r="FT21">
        <f>IF(FT$4=1,IF(OR(INDEX('×入力'!$A$1:$L$1300,315+FT$3,2+FT$2)&lt;&gt;"",INDEX('×入力'!$A$1:$L$1300,314,2+FT$2)&lt;&gt;"",INDEX('×入力'!$A$1:$L$1300,315+FT$3,1)&lt;&gt;""),1,0),0)</f>
        <v/>
      </c>
      <c r="FU21">
        <f>IF(FU$4=1,IF(OR(INDEX('×入力'!$A$1:$L$1300,315+FU$3,2+FU$2)&lt;&gt;"",INDEX('×入力'!$A$1:$L$1300,314,2+FU$2)&lt;&gt;"",INDEX('×入力'!$A$1:$L$1300,315+FU$3,1)&lt;&gt;""),1,0),0)</f>
        <v/>
      </c>
      <c r="FV21">
        <f>IF(FV$4=1,IF(OR(INDEX('×入力'!$A$1:$L$1300,315+FV$3,2+FV$2)&lt;&gt;"",INDEX('×入力'!$A$1:$L$1300,314,2+FV$2)&lt;&gt;"",INDEX('×入力'!$A$1:$L$1300,315+FV$3,1)&lt;&gt;""),1,0),0)</f>
        <v/>
      </c>
      <c r="FW21">
        <f>IF(FW$4=1,IF(OR(INDEX('×入力'!$A$1:$L$1300,315+FW$3,2+FW$2)&lt;&gt;"",INDEX('×入力'!$A$1:$L$1300,314,2+FW$2)&lt;&gt;"",INDEX('×入力'!$A$1:$L$1300,315+FW$3,1)&lt;&gt;""),1,0),0)</f>
        <v/>
      </c>
      <c r="FX21">
        <f>IF(FX$4=1,IF(OR(INDEX('×入力'!$A$1:$L$1300,315+FX$3,2+FX$2)&lt;&gt;"",INDEX('×入力'!$A$1:$L$1300,314,2+FX$2)&lt;&gt;"",INDEX('×入力'!$A$1:$L$1300,315+FX$3,1)&lt;&gt;""),1,0),0)</f>
        <v/>
      </c>
      <c r="FY21">
        <f>IF(FY$4=1,IF(OR(INDEX('×入力'!$A$1:$L$1300,315+FY$3,2+FY$2)&lt;&gt;"",INDEX('×入力'!$A$1:$L$1300,314,2+FY$2)&lt;&gt;"",INDEX('×入力'!$A$1:$L$1300,315+FY$3,1)&lt;&gt;""),1,0),0)</f>
        <v/>
      </c>
      <c r="FZ21">
        <f>IF(FZ$4=1,IF(OR(INDEX('×入力'!$A$1:$L$1300,315+FZ$3,2+FZ$2)&lt;&gt;"",INDEX('×入力'!$A$1:$L$1300,314,2+FZ$2)&lt;&gt;"",INDEX('×入力'!$A$1:$L$1300,315+FZ$3,1)&lt;&gt;""),1,0),0)</f>
        <v/>
      </c>
      <c r="GA21">
        <f>IF(GA$4=1,IF(OR(INDEX('×入力'!$A$1:$L$1300,315+GA$3,2+GA$2)&lt;&gt;"",INDEX('×入力'!$A$1:$L$1300,314,2+GA$2)&lt;&gt;"",INDEX('×入力'!$A$1:$L$1300,315+GA$3,1)&lt;&gt;""),1,0),0)</f>
        <v/>
      </c>
      <c r="GB21">
        <f>IF(GB$4=1,IF(OR(INDEX('×入力'!$A$1:$L$1300,315+GB$3,2+GB$2)&lt;&gt;"",INDEX('×入力'!$A$1:$L$1300,314,2+GB$2)&lt;&gt;"",INDEX('×入力'!$A$1:$L$1300,315+GB$3,1)&lt;&gt;""),1,0),0)</f>
        <v/>
      </c>
      <c r="GC21">
        <f>IF(GC$4=1,IF(OR(INDEX('×入力'!$A$1:$L$1300,315+GC$3,2+GC$2)&lt;&gt;"",INDEX('×入力'!$A$1:$L$1300,314,2+GC$2)&lt;&gt;"",INDEX('×入力'!$A$1:$L$1300,315+GC$3,1)&lt;&gt;""),1,0),0)</f>
        <v/>
      </c>
      <c r="GD21">
        <f>IF(GD$4=1,IF(OR(INDEX('×入力'!$A$1:$L$1300,315+GD$3,2+GD$2)&lt;&gt;"",INDEX('×入力'!$A$1:$L$1300,314,2+GD$2)&lt;&gt;"",INDEX('×入力'!$A$1:$L$1300,315+GD$3,1)&lt;&gt;""),1,0),0)</f>
        <v/>
      </c>
      <c r="GE21">
        <f>IF(GE$4=1,IF(OR(INDEX('×入力'!$A$1:$L$1300,315+GE$3,2+GE$2)&lt;&gt;"",INDEX('×入力'!$A$1:$L$1300,314,2+GE$2)&lt;&gt;"",INDEX('×入力'!$A$1:$L$1300,315+GE$3,1)&lt;&gt;""),1,0),0)</f>
        <v/>
      </c>
      <c r="GF21">
        <f>IF(GF$4=1,IF(OR(INDEX('×入力'!$A$1:$L$1300,315+GF$3,2+GF$2)&lt;&gt;"",INDEX('×入力'!$A$1:$L$1300,314,2+GF$2)&lt;&gt;"",INDEX('×入力'!$A$1:$L$1300,315+GF$3,1)&lt;&gt;""),1,0),0)</f>
        <v/>
      </c>
      <c r="GG21">
        <f>IF(GG$4=1,IF(OR(INDEX('×入力'!$A$1:$L$1300,315+GG$3,2+GG$2)&lt;&gt;"",INDEX('×入力'!$A$1:$L$1300,314,2+GG$2)&lt;&gt;"",INDEX('×入力'!$A$1:$L$1300,315+GG$3,1)&lt;&gt;""),1,0),0)</f>
        <v/>
      </c>
      <c r="GH21">
        <f>IF(GH$4=1,IF(OR(INDEX('×入力'!$A$1:$L$1300,315+GH$3,2+GH$2)&lt;&gt;"",INDEX('×入力'!$A$1:$L$1300,314,2+GH$2)&lt;&gt;"",INDEX('×入力'!$A$1:$L$1300,315+GH$3,1)&lt;&gt;""),1,0),0)</f>
        <v/>
      </c>
      <c r="GI21">
        <f>IF(GI$4=1,IF(OR(INDEX('×入力'!$A$1:$L$1300,315+GI$3,2+GI$2)&lt;&gt;"",INDEX('×入力'!$A$1:$L$1300,314,2+GI$2)&lt;&gt;"",INDEX('×入力'!$A$1:$L$1300,315+GI$3,1)&lt;&gt;""),1,0),0)</f>
        <v/>
      </c>
      <c r="GJ21">
        <f>IF(GJ$4=1,IF(OR(INDEX('×入力'!$A$1:$L$1300,315+GJ$3,2+GJ$2)&lt;&gt;"",INDEX('×入力'!$A$1:$L$1300,314,2+GJ$2)&lt;&gt;"",INDEX('×入力'!$A$1:$L$1300,315+GJ$3,1)&lt;&gt;""),1,0),0)</f>
        <v/>
      </c>
      <c r="GK21">
        <f>IF(GK$4=1,IF(OR(INDEX('×入力'!$A$1:$L$1300,315+GK$3,2+GK$2)&lt;&gt;"",INDEX('×入力'!$A$1:$L$1300,314,2+GK$2)&lt;&gt;"",INDEX('×入力'!$A$1:$L$1300,315+GK$3,1)&lt;&gt;""),1,0),0)</f>
        <v/>
      </c>
      <c r="GL21">
        <f>IF(GL$4=1,IF(OR(INDEX('×入力'!$A$1:$L$1300,315+GL$3,2+GL$2)&lt;&gt;"",INDEX('×入力'!$A$1:$L$1300,314,2+GL$2)&lt;&gt;"",INDEX('×入力'!$A$1:$L$1300,315+GL$3,1)&lt;&gt;""),1,0),0)</f>
        <v/>
      </c>
      <c r="GM21">
        <f>IF(GM$4=1,IF(OR(INDEX('×入力'!$A$1:$L$1300,315+GM$3,2+GM$2)&lt;&gt;"",INDEX('×入力'!$A$1:$L$1300,314,2+GM$2)&lt;&gt;"",INDEX('×入力'!$A$1:$L$1300,315+GM$3,1)&lt;&gt;""),1,0),0)</f>
        <v/>
      </c>
      <c r="GN21">
        <f>IF(GN$4=1,IF(OR(INDEX('×入力'!$A$1:$L$1300,315+GN$3,2+GN$2)&lt;&gt;"",INDEX('×入力'!$A$1:$L$1300,314,2+GN$2)&lt;&gt;"",INDEX('×入力'!$A$1:$L$1300,315+GN$3,1)&lt;&gt;""),1,0),0)</f>
        <v/>
      </c>
      <c r="GO21">
        <f>IF(GO$4=1,IF(OR(INDEX('×入力'!$A$1:$L$1300,315+GO$3,2+GO$2)&lt;&gt;"",INDEX('×入力'!$A$1:$L$1300,314,2+GO$2)&lt;&gt;"",INDEX('×入力'!$A$1:$L$1300,315+GO$3,1)&lt;&gt;""),1,0),0)</f>
        <v/>
      </c>
      <c r="GP21">
        <f>IF(GP$4=1,IF(OR(INDEX('×入力'!$A$1:$L$1300,315+GP$3,2+GP$2)&lt;&gt;"",INDEX('×入力'!$A$1:$L$1300,314,2+GP$2)&lt;&gt;"",INDEX('×入力'!$A$1:$L$1300,315+GP$3,1)&lt;&gt;""),1,0),0)</f>
        <v/>
      </c>
      <c r="GQ21">
        <f>IF(GQ$4=1,IF(OR(INDEX('×入力'!$A$1:$L$1300,315+GQ$3,2+GQ$2)&lt;&gt;"",INDEX('×入力'!$A$1:$L$1300,314,2+GQ$2)&lt;&gt;"",INDEX('×入力'!$A$1:$L$1300,315+GQ$3,1)&lt;&gt;""),1,0),0)</f>
        <v/>
      </c>
      <c r="GR21">
        <f>IF(GR$4=1,IF(OR(INDEX('×入力'!$A$1:$L$1300,315+GR$3,2+GR$2)&lt;&gt;"",INDEX('×入力'!$A$1:$L$1300,314,2+GR$2)&lt;&gt;"",INDEX('×入力'!$A$1:$L$1300,315+GR$3,1)&lt;&gt;""),1,0),0)</f>
        <v/>
      </c>
      <c r="GS21">
        <f>IF(GS$4=1,IF(OR(INDEX('×入力'!$A$1:$L$1300,315+GS$3,2+GS$2)&lt;&gt;"",INDEX('×入力'!$A$1:$L$1300,314,2+GS$2)&lt;&gt;"",INDEX('×入力'!$A$1:$L$1300,315+GS$3,1)&lt;&gt;""),1,0),0)</f>
        <v/>
      </c>
      <c r="GT21">
        <f>IF(GT$4=1,IF(OR(INDEX('×入力'!$A$1:$L$1300,315+GT$3,2+GT$2)&lt;&gt;"",INDEX('×入力'!$A$1:$L$1300,314,2+GT$2)&lt;&gt;"",INDEX('×入力'!$A$1:$L$1300,315+GT$3,1)&lt;&gt;""),1,0),0)</f>
        <v/>
      </c>
      <c r="GU21">
        <f>IF(GU$4=1,IF(OR(INDEX('×入力'!$A$1:$L$1300,315+GU$3,2+GU$2)&lt;&gt;"",INDEX('×入力'!$A$1:$L$1300,314,2+GU$2)&lt;&gt;"",INDEX('×入力'!$A$1:$L$1300,315+GU$3,1)&lt;&gt;""),1,0),0)</f>
        <v/>
      </c>
      <c r="GV21">
        <f>IF(GV$4=1,IF(OR(INDEX('×入力'!$A$1:$L$1300,315+GV$3,2+GV$2)&lt;&gt;"",INDEX('×入力'!$A$1:$L$1300,314,2+GV$2)&lt;&gt;"",INDEX('×入力'!$A$1:$L$1300,315+GV$3,1)&lt;&gt;""),1,0),0)</f>
        <v/>
      </c>
      <c r="GW21">
        <f>IF(GW$4=1,IF(OR(INDEX('×入力'!$A$1:$L$1300,315+GW$3,2+GW$2)&lt;&gt;"",INDEX('×入力'!$A$1:$L$1300,314,2+GW$2)&lt;&gt;"",INDEX('×入力'!$A$1:$L$1300,315+GW$3,1)&lt;&gt;""),1,0),0)</f>
        <v/>
      </c>
      <c r="GX21">
        <f>IF(GX$4=1,IF(OR(INDEX('×入力'!$A$1:$L$1300,315+GX$3,2+GX$2)&lt;&gt;"",INDEX('×入力'!$A$1:$L$1300,314,2+GX$2)&lt;&gt;"",INDEX('×入力'!$A$1:$L$1300,315+GX$3,1)&lt;&gt;""),1,0),0)</f>
        <v/>
      </c>
      <c r="GY21">
        <f>IF(GY$4=1,IF(OR(INDEX('×入力'!$A$1:$L$1300,315+GY$3,2+GY$2)&lt;&gt;"",INDEX('×入力'!$A$1:$L$1300,314,2+GY$2)&lt;&gt;"",INDEX('×入力'!$A$1:$L$1300,315+GY$3,1)&lt;&gt;""),1,0),0)</f>
        <v/>
      </c>
      <c r="GZ21">
        <f>IF(GZ$4=1,IF(OR(INDEX('×入力'!$A$1:$L$1300,315+GZ$3,2+GZ$2)&lt;&gt;"",INDEX('×入力'!$A$1:$L$1300,314,2+GZ$2)&lt;&gt;"",INDEX('×入力'!$A$1:$L$1300,315+GZ$3,1)&lt;&gt;""),1,0),0)</f>
        <v/>
      </c>
      <c r="HA21">
        <f>IF(HA$4=1,IF(OR(INDEX('×入力'!$A$1:$L$1300,315+HA$3,2+HA$2)&lt;&gt;"",INDEX('×入力'!$A$1:$L$1300,314,2+HA$2)&lt;&gt;"",INDEX('×入力'!$A$1:$L$1300,315+HA$3,1)&lt;&gt;""),1,0),0)</f>
        <v/>
      </c>
      <c r="HB21">
        <f>IF(HB$4=1,IF(OR(INDEX('×入力'!$A$1:$L$1300,315+HB$3,2+HB$2)&lt;&gt;"",INDEX('×入力'!$A$1:$L$1300,314,2+HB$2)&lt;&gt;"",INDEX('×入力'!$A$1:$L$1300,315+HB$3,1)&lt;&gt;""),1,0),0)</f>
        <v/>
      </c>
      <c r="HC21">
        <f>IF(HC$4=1,IF(OR(INDEX('×入力'!$A$1:$L$1300,315+HC$3,2+HC$2)&lt;&gt;"",INDEX('×入力'!$A$1:$L$1300,314,2+HC$2)&lt;&gt;"",INDEX('×入力'!$A$1:$L$1300,315+HC$3,1)&lt;&gt;""),1,0),0)</f>
        <v/>
      </c>
      <c r="HD21">
        <f>IF(HD$4=1,IF(OR(INDEX('×入力'!$A$1:$L$1300,315+HD$3,2+HD$2)&lt;&gt;"",INDEX('×入力'!$A$1:$L$1300,314,2+HD$2)&lt;&gt;"",INDEX('×入力'!$A$1:$L$1300,315+HD$3,1)&lt;&gt;""),1,0),0)</f>
        <v/>
      </c>
      <c r="HE21">
        <f>IF(HE$4=1,IF(OR(INDEX('×入力'!$A$1:$L$1300,315+HE$3,2+HE$2)&lt;&gt;"",INDEX('×入力'!$A$1:$L$1300,314,2+HE$2)&lt;&gt;"",INDEX('×入力'!$A$1:$L$1300,315+HE$3,1)&lt;&gt;""),1,0),0)</f>
        <v/>
      </c>
      <c r="HF21">
        <f>IF(HF$4=1,IF(OR(INDEX('×入力'!$A$1:$L$1300,315+HF$3,2+HF$2)&lt;&gt;"",INDEX('×入力'!$A$1:$L$1300,314,2+HF$2)&lt;&gt;"",INDEX('×入力'!$A$1:$L$1300,315+HF$3,1)&lt;&gt;""),1,0),0)</f>
        <v/>
      </c>
      <c r="HG21">
        <f>IF(HG$4=1,IF(OR(INDEX('×入力'!$A$1:$L$1300,315+HG$3,2+HG$2)&lt;&gt;"",INDEX('×入力'!$A$1:$L$1300,314,2+HG$2)&lt;&gt;"",INDEX('×入力'!$A$1:$L$1300,315+HG$3,1)&lt;&gt;""),1,0),0)</f>
        <v/>
      </c>
      <c r="HH21">
        <f>IF(HH$4=1,IF(OR(INDEX('×入力'!$A$1:$L$1300,315+HH$3,2+HH$2)&lt;&gt;"",INDEX('×入力'!$A$1:$L$1300,314,2+HH$2)&lt;&gt;"",INDEX('×入力'!$A$1:$L$1300,315+HH$3,1)&lt;&gt;""),1,0),0)</f>
        <v/>
      </c>
      <c r="HI21">
        <f>IF(HI$4=1,IF(OR(INDEX('×入力'!$A$1:$L$1300,315+HI$3,2+HI$2)&lt;&gt;"",INDEX('×入力'!$A$1:$L$1300,314,2+HI$2)&lt;&gt;"",INDEX('×入力'!$A$1:$L$1300,315+HI$3,1)&lt;&gt;""),1,0),0)</f>
        <v/>
      </c>
      <c r="HJ21">
        <f>IF(HJ$4=1,IF(OR(INDEX('×入力'!$A$1:$L$1300,315+HJ$3,2+HJ$2)&lt;&gt;"",INDEX('×入力'!$A$1:$L$1300,314,2+HJ$2)&lt;&gt;"",INDEX('×入力'!$A$1:$L$1300,315+HJ$3,1)&lt;&gt;""),1,0),0)</f>
        <v/>
      </c>
      <c r="HK21">
        <f>IF(HK$4=1,IF(OR(INDEX('×入力'!$A$1:$L$1300,315+HK$3,2+HK$2)&lt;&gt;"",INDEX('×入力'!$A$1:$L$1300,314,2+HK$2)&lt;&gt;"",INDEX('×入力'!$A$1:$L$1300,315+HK$3,1)&lt;&gt;""),1,0),0)</f>
        <v/>
      </c>
      <c r="HL21">
        <f>IF(HL$4=1,IF(OR(INDEX('×入力'!$A$1:$L$1300,315+HL$3,2+HL$2)&lt;&gt;"",INDEX('×入力'!$A$1:$L$1300,314,2+HL$2)&lt;&gt;"",INDEX('×入力'!$A$1:$L$1300,315+HL$3,1)&lt;&gt;""),1,0),0)</f>
        <v/>
      </c>
      <c r="HM21">
        <f>IF(HM$4=1,IF(OR(INDEX('×入力'!$A$1:$L$1300,315+HM$3,2+HM$2)&lt;&gt;"",INDEX('×入力'!$A$1:$L$1300,314,2+HM$2)&lt;&gt;"",INDEX('×入力'!$A$1:$L$1300,315+HM$3,1)&lt;&gt;""),1,0),0)</f>
        <v/>
      </c>
      <c r="HN21">
        <f>IF(HN$4=1,IF(OR(INDEX('×入力'!$A$1:$L$1300,315+HN$3,2+HN$2)&lt;&gt;"",INDEX('×入力'!$A$1:$L$1300,314,2+HN$2)&lt;&gt;"",INDEX('×入力'!$A$1:$L$1300,315+HN$3,1)&lt;&gt;""),1,0),0)</f>
        <v/>
      </c>
      <c r="HO21">
        <f>IF(HO$4=1,IF(OR(INDEX('×入力'!$A$1:$L$1300,315+HO$3,2+HO$2)&lt;&gt;"",INDEX('×入力'!$A$1:$L$1300,314,2+HO$2)&lt;&gt;"",INDEX('×入力'!$A$1:$L$1300,315+HO$3,1)&lt;&gt;""),1,0),0)</f>
        <v/>
      </c>
      <c r="HP21">
        <f>IF(HP$4=1,IF(OR(INDEX('×入力'!$A$1:$L$1300,315+HP$3,2+HP$2)&lt;&gt;"",INDEX('×入力'!$A$1:$L$1300,314,2+HP$2)&lt;&gt;"",INDEX('×入力'!$A$1:$L$1300,315+HP$3,1)&lt;&gt;""),1,0),0)</f>
        <v/>
      </c>
      <c r="HQ21">
        <f>IF(HQ$4=1,IF(OR(INDEX('×入力'!$A$1:$L$1300,315+HQ$3,2+HQ$2)&lt;&gt;"",INDEX('×入力'!$A$1:$L$1300,314,2+HQ$2)&lt;&gt;"",INDEX('×入力'!$A$1:$L$1300,315+HQ$3,1)&lt;&gt;""),1,0),0)</f>
        <v/>
      </c>
      <c r="HR21">
        <f>IF(HR$4=1,IF(OR(INDEX('×入力'!$A$1:$L$1300,315+HR$3,2+HR$2)&lt;&gt;"",INDEX('×入力'!$A$1:$L$1300,314,2+HR$2)&lt;&gt;"",INDEX('×入力'!$A$1:$L$1300,315+HR$3,1)&lt;&gt;""),1,0),0)</f>
        <v/>
      </c>
      <c r="HS21">
        <f>IF(HS$4=1,IF(OR(INDEX('×入力'!$A$1:$L$1300,315+HS$3,2+HS$2)&lt;&gt;"",INDEX('×入力'!$A$1:$L$1300,314,2+HS$2)&lt;&gt;"",INDEX('×入力'!$A$1:$L$1300,315+HS$3,1)&lt;&gt;""),1,0),0)</f>
        <v/>
      </c>
      <c r="HT21">
        <f>IF(HT$4=1,IF(OR(INDEX('×入力'!$A$1:$L$1300,315+HT$3,2+HT$2)&lt;&gt;"",INDEX('×入力'!$A$1:$L$1300,314,2+HT$2)&lt;&gt;"",INDEX('×入力'!$A$1:$L$1300,315+HT$3,1)&lt;&gt;""),1,0),0)</f>
        <v/>
      </c>
      <c r="HU21">
        <f>IF(HU$4=1,IF(OR(INDEX('×入力'!$A$1:$L$1300,315+HU$3,2+HU$2)&lt;&gt;"",INDEX('×入力'!$A$1:$L$1300,314,2+HU$2)&lt;&gt;"",INDEX('×入力'!$A$1:$L$1300,315+HU$3,1)&lt;&gt;""),1,0),0)</f>
        <v/>
      </c>
      <c r="HV21">
        <f>IF(HV$4=1,IF(OR(INDEX('×入力'!$A$1:$L$1300,315+HV$3,2+HV$2)&lt;&gt;"",INDEX('×入力'!$A$1:$L$1300,314,2+HV$2)&lt;&gt;"",INDEX('×入力'!$A$1:$L$1300,315+HV$3,1)&lt;&gt;""),1,0),0)</f>
        <v/>
      </c>
      <c r="HW21">
        <f>IF(HW$4=1,IF(OR(INDEX('×入力'!$A$1:$L$1300,315+HW$3,2+HW$2)&lt;&gt;"",INDEX('×入力'!$A$1:$L$1300,314,2+HW$2)&lt;&gt;"",INDEX('×入力'!$A$1:$L$1300,315+HW$3,1)&lt;&gt;""),1,0),0)</f>
        <v/>
      </c>
      <c r="HX21">
        <f>IF(HX$4=1,IF(OR(INDEX('×入力'!$A$1:$L$1300,315+HX$3,2+HX$2)&lt;&gt;"",INDEX('×入力'!$A$1:$L$1300,314,2+HX$2)&lt;&gt;"",INDEX('×入力'!$A$1:$L$1300,315+HX$3,1)&lt;&gt;""),1,0),0)</f>
        <v/>
      </c>
      <c r="HY21">
        <f>IF(HY$4=1,IF(OR(INDEX('×入力'!$A$1:$L$1300,315+HY$3,2+HY$2)&lt;&gt;"",INDEX('×入力'!$A$1:$L$1300,314,2+HY$2)&lt;&gt;"",INDEX('×入力'!$A$1:$L$1300,315+HY$3,1)&lt;&gt;""),1,0),0)</f>
        <v/>
      </c>
      <c r="HZ21">
        <f>IF(HZ$4=1,IF(OR(INDEX('×入力'!$A$1:$L$1300,315+HZ$3,2+HZ$2)&lt;&gt;"",INDEX('×入力'!$A$1:$L$1300,314,2+HZ$2)&lt;&gt;"",INDEX('×入力'!$A$1:$L$1300,315+HZ$3,1)&lt;&gt;""),1,0),0)</f>
        <v/>
      </c>
      <c r="IA21">
        <f>IF(IA$4=1,IF(OR(INDEX('×入力'!$A$1:$L$1300,315+IA$3,2+IA$2)&lt;&gt;"",INDEX('×入力'!$A$1:$L$1300,314,2+IA$2)&lt;&gt;"",INDEX('×入力'!$A$1:$L$1300,315+IA$3,1)&lt;&gt;""),1,0),0)</f>
        <v/>
      </c>
      <c r="IB21">
        <f>IF(IB$4=1,IF(OR(INDEX('×入力'!$A$1:$L$1300,315+IB$3,2+IB$2)&lt;&gt;"",INDEX('×入力'!$A$1:$L$1300,314,2+IB$2)&lt;&gt;"",INDEX('×入力'!$A$1:$L$1300,315+IB$3,1)&lt;&gt;""),1,0),0)</f>
        <v/>
      </c>
      <c r="IC21">
        <f>IF(IC$4=1,IF(OR(INDEX('×入力'!$A$1:$L$1300,315+IC$3,2+IC$2)&lt;&gt;"",INDEX('×入力'!$A$1:$L$1300,314,2+IC$2)&lt;&gt;"",INDEX('×入力'!$A$1:$L$1300,315+IC$3,1)&lt;&gt;""),1,0),0)</f>
        <v/>
      </c>
      <c r="ID21">
        <f>IF(ID$4=1,IF(OR(INDEX('×入力'!$A$1:$L$1300,315+ID$3,2+ID$2)&lt;&gt;"",INDEX('×入力'!$A$1:$L$1300,314,2+ID$2)&lt;&gt;"",INDEX('×入力'!$A$1:$L$1300,315+ID$3,1)&lt;&gt;""),1,0),0)</f>
        <v/>
      </c>
      <c r="IE21">
        <f>IF(IE$4=1,IF(OR(INDEX('×入力'!$A$1:$L$1300,315+IE$3,2+IE$2)&lt;&gt;"",INDEX('×入力'!$A$1:$L$1300,314,2+IE$2)&lt;&gt;"",INDEX('×入力'!$A$1:$L$1300,315+IE$3,1)&lt;&gt;""),1,0),0)</f>
        <v/>
      </c>
      <c r="IF21">
        <f>IF(IF$4=1,IF(OR(INDEX('×入力'!$A$1:$L$1300,315+IF$3,2+IF$2)&lt;&gt;"",INDEX('×入力'!$A$1:$L$1300,314,2+IF$2)&lt;&gt;"",INDEX('×入力'!$A$1:$L$1300,315+IF$3,1)&lt;&gt;""),1,0),0)</f>
        <v/>
      </c>
      <c r="IG21">
        <f>IF(IG$4=1,IF(OR(INDEX('×入力'!$A$1:$L$1300,315+IG$3,2+IG$2)&lt;&gt;"",INDEX('×入力'!$A$1:$L$1300,314,2+IG$2)&lt;&gt;"",INDEX('×入力'!$A$1:$L$1300,315+IG$3,1)&lt;&gt;""),1,0),0)</f>
        <v/>
      </c>
      <c r="IH21">
        <f>IF(IH$4=1,IF(OR(INDEX('×入力'!$A$1:$L$1300,315+IH$3,2+IH$2)&lt;&gt;"",INDEX('×入力'!$A$1:$L$1300,314,2+IH$2)&lt;&gt;"",INDEX('×入力'!$A$1:$L$1300,315+IH$3,1)&lt;&gt;""),1,0),0)</f>
        <v/>
      </c>
      <c r="II21">
        <f>IF(II$4=1,IF(OR(INDEX('×入力'!$A$1:$L$1300,315+II$3,2+II$2)&lt;&gt;"",INDEX('×入力'!$A$1:$L$1300,314,2+II$2)&lt;&gt;"",INDEX('×入力'!$A$1:$L$1300,315+II$3,1)&lt;&gt;""),1,0),0)</f>
        <v/>
      </c>
      <c r="IK21">
        <f>IFERROR(INDEX('計算B'!$C$3:$C$47,MATCH(A21,'計算B'!$B$3:$B$47,0)),0)</f>
        <v/>
      </c>
      <c r="IL21">
        <f>IF(AND(C21=1,IK21=0),1,0)</f>
        <v/>
      </c>
      <c r="IM21">
        <f>SUMPRODUCT(D71:II71*(1-$D$7:$II$7))</f>
        <v/>
      </c>
      <c r="IN21">
        <f>SUM(D21:II21)</f>
        <v/>
      </c>
      <c r="IO21">
        <f>IF(B21="",0,IF(COUNTIF('調整・決定'!$C$6:$L$29,B21)=1,SUMPRODUCT(('調整・決定'!$C$6:$L$29=B21)*((COLUMN('調整・決定'!$C$6:$L$29)-3)*24+ROW('調整・決定'!$C$6:$L$29)-5)),0))</f>
        <v/>
      </c>
      <c r="IP21">
        <f>IFERROR(MATCH('名簿'!E16,{"早い時刻","遅い時刻","早い日","遅い日"},0),0)</f>
        <v/>
      </c>
      <c r="IQ21">
        <f>IF('名簿'!F16="必ず空けたい",2,IF('名簿'!F16="出来れば空けたい",1,0))</f>
        <v/>
      </c>
    </row>
    <row r="22">
      <c r="A22" t="n">
        <v>13</v>
      </c>
      <c r="B22">
        <f>'名簿'!G17</f>
        <v/>
      </c>
      <c r="C22">
        <f>IF(AND(B22&lt;&gt;"",OR('名簿'!H17="入力済み",'名簿'!H17="×なし"),IO22=0,COUNTIF('調整・決定'!$C$6:$L$29,B22)=0),1,0)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ER22">
        <f>IF(ER$4=1,IF(OR(INDEX('×入力'!$A$1:$L$1300,343+ER$3,2+ER$2)&lt;&gt;"",INDEX('×入力'!$A$1:$L$1300,342,2+ER$2)&lt;&gt;"",INDEX('×入力'!$A$1:$L$1300,343+ER$3,1)&lt;&gt;""),1,0),0)</f>
        <v/>
      </c>
      <c r="ES22">
        <f>IF(ES$4=1,IF(OR(INDEX('×入力'!$A$1:$L$1300,343+ES$3,2+ES$2)&lt;&gt;"",INDEX('×入力'!$A$1:$L$1300,342,2+ES$2)&lt;&gt;"",INDEX('×入力'!$A$1:$L$1300,343+ES$3,1)&lt;&gt;""),1,0),0)</f>
        <v/>
      </c>
      <c r="ET22">
        <f>IF(ET$4=1,IF(OR(INDEX('×入力'!$A$1:$L$1300,343+ET$3,2+ET$2)&lt;&gt;"",INDEX('×入力'!$A$1:$L$1300,342,2+ET$2)&lt;&gt;"",INDEX('×入力'!$A$1:$L$1300,343+ET$3,1)&lt;&gt;""),1,0),0)</f>
        <v/>
      </c>
      <c r="EU22">
        <f>IF(EU$4=1,IF(OR(INDEX('×入力'!$A$1:$L$1300,343+EU$3,2+EU$2)&lt;&gt;"",INDEX('×入力'!$A$1:$L$1300,342,2+EU$2)&lt;&gt;"",INDEX('×入力'!$A$1:$L$1300,343+EU$3,1)&lt;&gt;""),1,0),0)</f>
        <v/>
      </c>
      <c r="EV22">
        <f>IF(EV$4=1,IF(OR(INDEX('×入力'!$A$1:$L$1300,343+EV$3,2+EV$2)&lt;&gt;"",INDEX('×入力'!$A$1:$L$1300,342,2+EV$2)&lt;&gt;"",INDEX('×入力'!$A$1:$L$1300,343+EV$3,1)&lt;&gt;""),1,0),0)</f>
        <v/>
      </c>
      <c r="EW22">
        <f>IF(EW$4=1,IF(OR(INDEX('×入力'!$A$1:$L$1300,343+EW$3,2+EW$2)&lt;&gt;"",INDEX('×入力'!$A$1:$L$1300,342,2+EW$2)&lt;&gt;"",INDEX('×入力'!$A$1:$L$1300,343+EW$3,1)&lt;&gt;""),1,0),0)</f>
        <v/>
      </c>
      <c r="EX22">
        <f>IF(EX$4=1,IF(OR(INDEX('×入力'!$A$1:$L$1300,343+EX$3,2+EX$2)&lt;&gt;"",INDEX('×入力'!$A$1:$L$1300,342,2+EX$2)&lt;&gt;"",INDEX('×入力'!$A$1:$L$1300,343+EX$3,1)&lt;&gt;""),1,0),0)</f>
        <v/>
      </c>
      <c r="EY22">
        <f>IF(EY$4=1,IF(OR(INDEX('×入力'!$A$1:$L$1300,343+EY$3,2+EY$2)&lt;&gt;"",INDEX('×入力'!$A$1:$L$1300,342,2+EY$2)&lt;&gt;"",INDEX('×入力'!$A$1:$L$1300,343+EY$3,1)&lt;&gt;""),1,0),0)</f>
        <v/>
      </c>
      <c r="EZ22">
        <f>IF(EZ$4=1,IF(OR(INDEX('×入力'!$A$1:$L$1300,343+EZ$3,2+EZ$2)&lt;&gt;"",INDEX('×入力'!$A$1:$L$1300,342,2+EZ$2)&lt;&gt;"",INDEX('×入力'!$A$1:$L$1300,343+EZ$3,1)&lt;&gt;""),1,0),0)</f>
        <v/>
      </c>
      <c r="FA22">
        <f>IF(FA$4=1,IF(OR(INDEX('×入力'!$A$1:$L$1300,343+FA$3,2+FA$2)&lt;&gt;"",INDEX('×入力'!$A$1:$L$1300,342,2+FA$2)&lt;&gt;"",INDEX('×入力'!$A$1:$L$1300,343+FA$3,1)&lt;&gt;""),1,0),0)</f>
        <v/>
      </c>
      <c r="FB22">
        <f>IF(FB$4=1,IF(OR(INDEX('×入力'!$A$1:$L$1300,343+FB$3,2+FB$2)&lt;&gt;"",INDEX('×入力'!$A$1:$L$1300,342,2+FB$2)&lt;&gt;"",INDEX('×入力'!$A$1:$L$1300,343+FB$3,1)&lt;&gt;""),1,0),0)</f>
        <v/>
      </c>
      <c r="FC22">
        <f>IF(FC$4=1,IF(OR(INDEX('×入力'!$A$1:$L$1300,343+FC$3,2+FC$2)&lt;&gt;"",INDEX('×入力'!$A$1:$L$1300,342,2+FC$2)&lt;&gt;"",INDEX('×入力'!$A$1:$L$1300,343+FC$3,1)&lt;&gt;""),1,0),0)</f>
        <v/>
      </c>
      <c r="FD22">
        <f>IF(FD$4=1,IF(OR(INDEX('×入力'!$A$1:$L$1300,343+FD$3,2+FD$2)&lt;&gt;"",INDEX('×入力'!$A$1:$L$1300,342,2+FD$2)&lt;&gt;"",INDEX('×入力'!$A$1:$L$1300,343+FD$3,1)&lt;&gt;""),1,0),0)</f>
        <v/>
      </c>
      <c r="FE22">
        <f>IF(FE$4=1,IF(OR(INDEX('×入力'!$A$1:$L$1300,343+FE$3,2+FE$2)&lt;&gt;"",INDEX('×入力'!$A$1:$L$1300,342,2+FE$2)&lt;&gt;"",INDEX('×入力'!$A$1:$L$1300,343+FE$3,1)&lt;&gt;""),1,0),0)</f>
        <v/>
      </c>
      <c r="FF22">
        <f>IF(FF$4=1,IF(OR(INDEX('×入力'!$A$1:$L$1300,343+FF$3,2+FF$2)&lt;&gt;"",INDEX('×入力'!$A$1:$L$1300,342,2+FF$2)&lt;&gt;"",INDEX('×入力'!$A$1:$L$1300,343+FF$3,1)&lt;&gt;""),1,0),0)</f>
        <v/>
      </c>
      <c r="FG22">
        <f>IF(FG$4=1,IF(OR(INDEX('×入力'!$A$1:$L$1300,343+FG$3,2+FG$2)&lt;&gt;"",INDEX('×入力'!$A$1:$L$1300,342,2+FG$2)&lt;&gt;"",INDEX('×入力'!$A$1:$L$1300,343+FG$3,1)&lt;&gt;""),1,0),0)</f>
        <v/>
      </c>
      <c r="FH22">
        <f>IF(FH$4=1,IF(OR(INDEX('×入力'!$A$1:$L$1300,343+FH$3,2+FH$2)&lt;&gt;"",INDEX('×入力'!$A$1:$L$1300,342,2+FH$2)&lt;&gt;"",INDEX('×入力'!$A$1:$L$1300,343+FH$3,1)&lt;&gt;""),1,0),0)</f>
        <v/>
      </c>
      <c r="FI22">
        <f>IF(FI$4=1,IF(OR(INDEX('×入力'!$A$1:$L$1300,343+FI$3,2+FI$2)&lt;&gt;"",INDEX('×入力'!$A$1:$L$1300,342,2+FI$2)&lt;&gt;"",INDEX('×入力'!$A$1:$L$1300,343+FI$3,1)&lt;&gt;""),1,0),0)</f>
        <v/>
      </c>
      <c r="FJ22">
        <f>IF(FJ$4=1,IF(OR(INDEX('×入力'!$A$1:$L$1300,343+FJ$3,2+FJ$2)&lt;&gt;"",INDEX('×入力'!$A$1:$L$1300,342,2+FJ$2)&lt;&gt;"",INDEX('×入力'!$A$1:$L$1300,343+FJ$3,1)&lt;&gt;""),1,0),0)</f>
        <v/>
      </c>
      <c r="FK22">
        <f>IF(FK$4=1,IF(OR(INDEX('×入力'!$A$1:$L$1300,343+FK$3,2+FK$2)&lt;&gt;"",INDEX('×入力'!$A$1:$L$1300,342,2+FK$2)&lt;&gt;"",INDEX('×入力'!$A$1:$L$1300,343+FK$3,1)&lt;&gt;""),1,0),0)</f>
        <v/>
      </c>
      <c r="FL22">
        <f>IF(FL$4=1,IF(OR(INDEX('×入力'!$A$1:$L$1300,343+FL$3,2+FL$2)&lt;&gt;"",INDEX('×入力'!$A$1:$L$1300,342,2+FL$2)&lt;&gt;"",INDEX('×入力'!$A$1:$L$1300,343+FL$3,1)&lt;&gt;""),1,0),0)</f>
        <v/>
      </c>
      <c r="FM22">
        <f>IF(FM$4=1,IF(OR(INDEX('×入力'!$A$1:$L$1300,343+FM$3,2+FM$2)&lt;&gt;"",INDEX('×入力'!$A$1:$L$1300,342,2+FM$2)&lt;&gt;"",INDEX('×入力'!$A$1:$L$1300,343+FM$3,1)&lt;&gt;""),1,0),0)</f>
        <v/>
      </c>
      <c r="FN22">
        <f>IF(FN$4=1,IF(OR(INDEX('×入力'!$A$1:$L$1300,343+FN$3,2+FN$2)&lt;&gt;"",INDEX('×入力'!$A$1:$L$1300,342,2+FN$2)&lt;&gt;"",INDEX('×入力'!$A$1:$L$1300,343+FN$3,1)&lt;&gt;""),1,0),0)</f>
        <v/>
      </c>
      <c r="FO22">
        <f>IF(FO$4=1,IF(OR(INDEX('×入力'!$A$1:$L$1300,343+FO$3,2+FO$2)&lt;&gt;"",INDEX('×入力'!$A$1:$L$1300,342,2+FO$2)&lt;&gt;"",INDEX('×入力'!$A$1:$L$1300,343+FO$3,1)&lt;&gt;""),1,0),0)</f>
        <v/>
      </c>
      <c r="FP22">
        <f>IF(FP$4=1,IF(OR(INDEX('×入力'!$A$1:$L$1300,343+FP$3,2+FP$2)&lt;&gt;"",INDEX('×入力'!$A$1:$L$1300,342,2+FP$2)&lt;&gt;"",INDEX('×入力'!$A$1:$L$1300,343+FP$3,1)&lt;&gt;""),1,0),0)</f>
        <v/>
      </c>
      <c r="FQ22">
        <f>IF(FQ$4=1,IF(OR(INDEX('×入力'!$A$1:$L$1300,343+FQ$3,2+FQ$2)&lt;&gt;"",INDEX('×入力'!$A$1:$L$1300,342,2+FQ$2)&lt;&gt;"",INDEX('×入力'!$A$1:$L$1300,343+FQ$3,1)&lt;&gt;""),1,0),0)</f>
        <v/>
      </c>
      <c r="FR22">
        <f>IF(FR$4=1,IF(OR(INDEX('×入力'!$A$1:$L$1300,343+FR$3,2+FR$2)&lt;&gt;"",INDEX('×入力'!$A$1:$L$1300,342,2+FR$2)&lt;&gt;"",INDEX('×入力'!$A$1:$L$1300,343+FR$3,1)&lt;&gt;""),1,0),0)</f>
        <v/>
      </c>
      <c r="FS22">
        <f>IF(FS$4=1,IF(OR(INDEX('×入力'!$A$1:$L$1300,343+FS$3,2+FS$2)&lt;&gt;"",INDEX('×入力'!$A$1:$L$1300,342,2+FS$2)&lt;&gt;"",INDEX('×入力'!$A$1:$L$1300,343+FS$3,1)&lt;&gt;""),1,0),0)</f>
        <v/>
      </c>
      <c r="FT22">
        <f>IF(FT$4=1,IF(OR(INDEX('×入力'!$A$1:$L$1300,343+FT$3,2+FT$2)&lt;&gt;"",INDEX('×入力'!$A$1:$L$1300,342,2+FT$2)&lt;&gt;"",INDEX('×入力'!$A$1:$L$1300,343+FT$3,1)&lt;&gt;""),1,0),0)</f>
        <v/>
      </c>
      <c r="FU22">
        <f>IF(FU$4=1,IF(OR(INDEX('×入力'!$A$1:$L$1300,343+FU$3,2+FU$2)&lt;&gt;"",INDEX('×入力'!$A$1:$L$1300,342,2+FU$2)&lt;&gt;"",INDEX('×入力'!$A$1:$L$1300,343+FU$3,1)&lt;&gt;""),1,0),0)</f>
        <v/>
      </c>
      <c r="FV22">
        <f>IF(FV$4=1,IF(OR(INDEX('×入力'!$A$1:$L$1300,343+FV$3,2+FV$2)&lt;&gt;"",INDEX('×入力'!$A$1:$L$1300,342,2+FV$2)&lt;&gt;"",INDEX('×入力'!$A$1:$L$1300,343+FV$3,1)&lt;&gt;""),1,0),0)</f>
        <v/>
      </c>
      <c r="FW22">
        <f>IF(FW$4=1,IF(OR(INDEX('×入力'!$A$1:$L$1300,343+FW$3,2+FW$2)&lt;&gt;"",INDEX('×入力'!$A$1:$L$1300,342,2+FW$2)&lt;&gt;"",INDEX('×入力'!$A$1:$L$1300,343+FW$3,1)&lt;&gt;""),1,0),0)</f>
        <v/>
      </c>
      <c r="FX22">
        <f>IF(FX$4=1,IF(OR(INDEX('×入力'!$A$1:$L$1300,343+FX$3,2+FX$2)&lt;&gt;"",INDEX('×入力'!$A$1:$L$1300,342,2+FX$2)&lt;&gt;"",INDEX('×入力'!$A$1:$L$1300,343+FX$3,1)&lt;&gt;""),1,0),0)</f>
        <v/>
      </c>
      <c r="FY22">
        <f>IF(FY$4=1,IF(OR(INDEX('×入力'!$A$1:$L$1300,343+FY$3,2+FY$2)&lt;&gt;"",INDEX('×入力'!$A$1:$L$1300,342,2+FY$2)&lt;&gt;"",INDEX('×入力'!$A$1:$L$1300,343+FY$3,1)&lt;&gt;""),1,0),0)</f>
        <v/>
      </c>
      <c r="FZ22">
        <f>IF(FZ$4=1,IF(OR(INDEX('×入力'!$A$1:$L$1300,343+FZ$3,2+FZ$2)&lt;&gt;"",INDEX('×入力'!$A$1:$L$1300,342,2+FZ$2)&lt;&gt;"",INDEX('×入力'!$A$1:$L$1300,343+FZ$3,1)&lt;&gt;""),1,0),0)</f>
        <v/>
      </c>
      <c r="GA22">
        <f>IF(GA$4=1,IF(OR(INDEX('×入力'!$A$1:$L$1300,343+GA$3,2+GA$2)&lt;&gt;"",INDEX('×入力'!$A$1:$L$1300,342,2+GA$2)&lt;&gt;"",INDEX('×入力'!$A$1:$L$1300,343+GA$3,1)&lt;&gt;""),1,0),0)</f>
        <v/>
      </c>
      <c r="GB22">
        <f>IF(GB$4=1,IF(OR(INDEX('×入力'!$A$1:$L$1300,343+GB$3,2+GB$2)&lt;&gt;"",INDEX('×入力'!$A$1:$L$1300,342,2+GB$2)&lt;&gt;"",INDEX('×入力'!$A$1:$L$1300,343+GB$3,1)&lt;&gt;""),1,0),0)</f>
        <v/>
      </c>
      <c r="GC22">
        <f>IF(GC$4=1,IF(OR(INDEX('×入力'!$A$1:$L$1300,343+GC$3,2+GC$2)&lt;&gt;"",INDEX('×入力'!$A$1:$L$1300,342,2+GC$2)&lt;&gt;"",INDEX('×入力'!$A$1:$L$1300,343+GC$3,1)&lt;&gt;""),1,0),0)</f>
        <v/>
      </c>
      <c r="GD22">
        <f>IF(GD$4=1,IF(OR(INDEX('×入力'!$A$1:$L$1300,343+GD$3,2+GD$2)&lt;&gt;"",INDEX('×入力'!$A$1:$L$1300,342,2+GD$2)&lt;&gt;"",INDEX('×入力'!$A$1:$L$1300,343+GD$3,1)&lt;&gt;""),1,0),0)</f>
        <v/>
      </c>
      <c r="GE22">
        <f>IF(GE$4=1,IF(OR(INDEX('×入力'!$A$1:$L$1300,343+GE$3,2+GE$2)&lt;&gt;"",INDEX('×入力'!$A$1:$L$1300,342,2+GE$2)&lt;&gt;"",INDEX('×入力'!$A$1:$L$1300,343+GE$3,1)&lt;&gt;""),1,0),0)</f>
        <v/>
      </c>
      <c r="GF22">
        <f>IF(GF$4=1,IF(OR(INDEX('×入力'!$A$1:$L$1300,343+GF$3,2+GF$2)&lt;&gt;"",INDEX('×入力'!$A$1:$L$1300,342,2+GF$2)&lt;&gt;"",INDEX('×入力'!$A$1:$L$1300,343+GF$3,1)&lt;&gt;""),1,0),0)</f>
        <v/>
      </c>
      <c r="GG22">
        <f>IF(GG$4=1,IF(OR(INDEX('×入力'!$A$1:$L$1300,343+GG$3,2+GG$2)&lt;&gt;"",INDEX('×入力'!$A$1:$L$1300,342,2+GG$2)&lt;&gt;"",INDEX('×入力'!$A$1:$L$1300,343+GG$3,1)&lt;&gt;""),1,0),0)</f>
        <v/>
      </c>
      <c r="GH22">
        <f>IF(GH$4=1,IF(OR(INDEX('×入力'!$A$1:$L$1300,343+GH$3,2+GH$2)&lt;&gt;"",INDEX('×入力'!$A$1:$L$1300,342,2+GH$2)&lt;&gt;"",INDEX('×入力'!$A$1:$L$1300,343+GH$3,1)&lt;&gt;""),1,0),0)</f>
        <v/>
      </c>
      <c r="GI22">
        <f>IF(GI$4=1,IF(OR(INDEX('×入力'!$A$1:$L$1300,343+GI$3,2+GI$2)&lt;&gt;"",INDEX('×入力'!$A$1:$L$1300,342,2+GI$2)&lt;&gt;"",INDEX('×入力'!$A$1:$L$1300,343+GI$3,1)&lt;&gt;""),1,0),0)</f>
        <v/>
      </c>
      <c r="GJ22">
        <f>IF(GJ$4=1,IF(OR(INDEX('×入力'!$A$1:$L$1300,343+GJ$3,2+GJ$2)&lt;&gt;"",INDEX('×入力'!$A$1:$L$1300,342,2+GJ$2)&lt;&gt;"",INDEX('×入力'!$A$1:$L$1300,343+GJ$3,1)&lt;&gt;""),1,0),0)</f>
        <v/>
      </c>
      <c r="GK22">
        <f>IF(GK$4=1,IF(OR(INDEX('×入力'!$A$1:$L$1300,343+GK$3,2+GK$2)&lt;&gt;"",INDEX('×入力'!$A$1:$L$1300,342,2+GK$2)&lt;&gt;"",INDEX('×入力'!$A$1:$L$1300,343+GK$3,1)&lt;&gt;""),1,0),0)</f>
        <v/>
      </c>
      <c r="GL22">
        <f>IF(GL$4=1,IF(OR(INDEX('×入力'!$A$1:$L$1300,343+GL$3,2+GL$2)&lt;&gt;"",INDEX('×入力'!$A$1:$L$1300,342,2+GL$2)&lt;&gt;"",INDEX('×入力'!$A$1:$L$1300,343+GL$3,1)&lt;&gt;""),1,0),0)</f>
        <v/>
      </c>
      <c r="GM22">
        <f>IF(GM$4=1,IF(OR(INDEX('×入力'!$A$1:$L$1300,343+GM$3,2+GM$2)&lt;&gt;"",INDEX('×入力'!$A$1:$L$1300,342,2+GM$2)&lt;&gt;"",INDEX('×入力'!$A$1:$L$1300,343+GM$3,1)&lt;&gt;""),1,0),0)</f>
        <v/>
      </c>
      <c r="GN22">
        <f>IF(GN$4=1,IF(OR(INDEX('×入力'!$A$1:$L$1300,343+GN$3,2+GN$2)&lt;&gt;"",INDEX('×入力'!$A$1:$L$1300,342,2+GN$2)&lt;&gt;"",INDEX('×入力'!$A$1:$L$1300,343+GN$3,1)&lt;&gt;""),1,0),0)</f>
        <v/>
      </c>
      <c r="GO22">
        <f>IF(GO$4=1,IF(OR(INDEX('×入力'!$A$1:$L$1300,343+GO$3,2+GO$2)&lt;&gt;"",INDEX('×入力'!$A$1:$L$1300,342,2+GO$2)&lt;&gt;"",INDEX('×入力'!$A$1:$L$1300,343+GO$3,1)&lt;&gt;""),1,0),0)</f>
        <v/>
      </c>
      <c r="GP22">
        <f>IF(GP$4=1,IF(OR(INDEX('×入力'!$A$1:$L$1300,343+GP$3,2+GP$2)&lt;&gt;"",INDEX('×入力'!$A$1:$L$1300,342,2+GP$2)&lt;&gt;"",INDEX('×入力'!$A$1:$L$1300,343+GP$3,1)&lt;&gt;""),1,0),0)</f>
        <v/>
      </c>
      <c r="GQ22">
        <f>IF(GQ$4=1,IF(OR(INDEX('×入力'!$A$1:$L$1300,343+GQ$3,2+GQ$2)&lt;&gt;"",INDEX('×入力'!$A$1:$L$1300,342,2+GQ$2)&lt;&gt;"",INDEX('×入力'!$A$1:$L$1300,343+GQ$3,1)&lt;&gt;""),1,0),0)</f>
        <v/>
      </c>
      <c r="GR22">
        <f>IF(GR$4=1,IF(OR(INDEX('×入力'!$A$1:$L$1300,343+GR$3,2+GR$2)&lt;&gt;"",INDEX('×入力'!$A$1:$L$1300,342,2+GR$2)&lt;&gt;"",INDEX('×入力'!$A$1:$L$1300,343+GR$3,1)&lt;&gt;""),1,0),0)</f>
        <v/>
      </c>
      <c r="GS22">
        <f>IF(GS$4=1,IF(OR(INDEX('×入力'!$A$1:$L$1300,343+GS$3,2+GS$2)&lt;&gt;"",INDEX('×入力'!$A$1:$L$1300,342,2+GS$2)&lt;&gt;"",INDEX('×入力'!$A$1:$L$1300,343+GS$3,1)&lt;&gt;""),1,0),0)</f>
        <v/>
      </c>
      <c r="GT22">
        <f>IF(GT$4=1,IF(OR(INDEX('×入力'!$A$1:$L$1300,343+GT$3,2+GT$2)&lt;&gt;"",INDEX('×入力'!$A$1:$L$1300,342,2+GT$2)&lt;&gt;"",INDEX('×入力'!$A$1:$L$1300,343+GT$3,1)&lt;&gt;""),1,0),0)</f>
        <v/>
      </c>
      <c r="GU22">
        <f>IF(GU$4=1,IF(OR(INDEX('×入力'!$A$1:$L$1300,343+GU$3,2+GU$2)&lt;&gt;"",INDEX('×入力'!$A$1:$L$1300,342,2+GU$2)&lt;&gt;"",INDEX('×入力'!$A$1:$L$1300,343+GU$3,1)&lt;&gt;""),1,0),0)</f>
        <v/>
      </c>
      <c r="GV22">
        <f>IF(GV$4=1,IF(OR(INDEX('×入力'!$A$1:$L$1300,343+GV$3,2+GV$2)&lt;&gt;"",INDEX('×入力'!$A$1:$L$1300,342,2+GV$2)&lt;&gt;"",INDEX('×入力'!$A$1:$L$1300,343+GV$3,1)&lt;&gt;""),1,0),0)</f>
        <v/>
      </c>
      <c r="GW22">
        <f>IF(GW$4=1,IF(OR(INDEX('×入力'!$A$1:$L$1300,343+GW$3,2+GW$2)&lt;&gt;"",INDEX('×入力'!$A$1:$L$1300,342,2+GW$2)&lt;&gt;"",INDEX('×入力'!$A$1:$L$1300,343+GW$3,1)&lt;&gt;""),1,0),0)</f>
        <v/>
      </c>
      <c r="GX22">
        <f>IF(GX$4=1,IF(OR(INDEX('×入力'!$A$1:$L$1300,343+GX$3,2+GX$2)&lt;&gt;"",INDEX('×入力'!$A$1:$L$1300,342,2+GX$2)&lt;&gt;"",INDEX('×入力'!$A$1:$L$1300,343+GX$3,1)&lt;&gt;""),1,0),0)</f>
        <v/>
      </c>
      <c r="GY22">
        <f>IF(GY$4=1,IF(OR(INDEX('×入力'!$A$1:$L$1300,343+GY$3,2+GY$2)&lt;&gt;"",INDEX('×入力'!$A$1:$L$1300,342,2+GY$2)&lt;&gt;"",INDEX('×入力'!$A$1:$L$1300,343+GY$3,1)&lt;&gt;""),1,0),0)</f>
        <v/>
      </c>
      <c r="GZ22">
        <f>IF(GZ$4=1,IF(OR(INDEX('×入力'!$A$1:$L$1300,343+GZ$3,2+GZ$2)&lt;&gt;"",INDEX('×入力'!$A$1:$L$1300,342,2+GZ$2)&lt;&gt;"",INDEX('×入力'!$A$1:$L$1300,343+GZ$3,1)&lt;&gt;""),1,0),0)</f>
        <v/>
      </c>
      <c r="HA22">
        <f>IF(HA$4=1,IF(OR(INDEX('×入力'!$A$1:$L$1300,343+HA$3,2+HA$2)&lt;&gt;"",INDEX('×入力'!$A$1:$L$1300,342,2+HA$2)&lt;&gt;"",INDEX('×入力'!$A$1:$L$1300,343+HA$3,1)&lt;&gt;""),1,0),0)</f>
        <v/>
      </c>
      <c r="HB22">
        <f>IF(HB$4=1,IF(OR(INDEX('×入力'!$A$1:$L$1300,343+HB$3,2+HB$2)&lt;&gt;"",INDEX('×入力'!$A$1:$L$1300,342,2+HB$2)&lt;&gt;"",INDEX('×入力'!$A$1:$L$1300,343+HB$3,1)&lt;&gt;""),1,0),0)</f>
        <v/>
      </c>
      <c r="HC22">
        <f>IF(HC$4=1,IF(OR(INDEX('×入力'!$A$1:$L$1300,343+HC$3,2+HC$2)&lt;&gt;"",INDEX('×入力'!$A$1:$L$1300,342,2+HC$2)&lt;&gt;"",INDEX('×入力'!$A$1:$L$1300,343+HC$3,1)&lt;&gt;""),1,0),0)</f>
        <v/>
      </c>
      <c r="HD22">
        <f>IF(HD$4=1,IF(OR(INDEX('×入力'!$A$1:$L$1300,343+HD$3,2+HD$2)&lt;&gt;"",INDEX('×入力'!$A$1:$L$1300,342,2+HD$2)&lt;&gt;"",INDEX('×入力'!$A$1:$L$1300,343+HD$3,1)&lt;&gt;""),1,0),0)</f>
        <v/>
      </c>
      <c r="HE22">
        <f>IF(HE$4=1,IF(OR(INDEX('×入力'!$A$1:$L$1300,343+HE$3,2+HE$2)&lt;&gt;"",INDEX('×入力'!$A$1:$L$1300,342,2+HE$2)&lt;&gt;"",INDEX('×入力'!$A$1:$L$1300,343+HE$3,1)&lt;&gt;""),1,0),0)</f>
        <v/>
      </c>
      <c r="HF22">
        <f>IF(HF$4=1,IF(OR(INDEX('×入力'!$A$1:$L$1300,343+HF$3,2+HF$2)&lt;&gt;"",INDEX('×入力'!$A$1:$L$1300,342,2+HF$2)&lt;&gt;"",INDEX('×入力'!$A$1:$L$1300,343+HF$3,1)&lt;&gt;""),1,0),0)</f>
        <v/>
      </c>
      <c r="HG22">
        <f>IF(HG$4=1,IF(OR(INDEX('×入力'!$A$1:$L$1300,343+HG$3,2+HG$2)&lt;&gt;"",INDEX('×入力'!$A$1:$L$1300,342,2+HG$2)&lt;&gt;"",INDEX('×入力'!$A$1:$L$1300,343+HG$3,1)&lt;&gt;""),1,0),0)</f>
        <v/>
      </c>
      <c r="HH22">
        <f>IF(HH$4=1,IF(OR(INDEX('×入力'!$A$1:$L$1300,343+HH$3,2+HH$2)&lt;&gt;"",INDEX('×入力'!$A$1:$L$1300,342,2+HH$2)&lt;&gt;"",INDEX('×入力'!$A$1:$L$1300,343+HH$3,1)&lt;&gt;""),1,0),0)</f>
        <v/>
      </c>
      <c r="HI22">
        <f>IF(HI$4=1,IF(OR(INDEX('×入力'!$A$1:$L$1300,343+HI$3,2+HI$2)&lt;&gt;"",INDEX('×入力'!$A$1:$L$1300,342,2+HI$2)&lt;&gt;"",INDEX('×入力'!$A$1:$L$1300,343+HI$3,1)&lt;&gt;""),1,0),0)</f>
        <v/>
      </c>
      <c r="HJ22">
        <f>IF(HJ$4=1,IF(OR(INDEX('×入力'!$A$1:$L$1300,343+HJ$3,2+HJ$2)&lt;&gt;"",INDEX('×入力'!$A$1:$L$1300,342,2+HJ$2)&lt;&gt;"",INDEX('×入力'!$A$1:$L$1300,343+HJ$3,1)&lt;&gt;""),1,0),0)</f>
        <v/>
      </c>
      <c r="HK22">
        <f>IF(HK$4=1,IF(OR(INDEX('×入力'!$A$1:$L$1300,343+HK$3,2+HK$2)&lt;&gt;"",INDEX('×入力'!$A$1:$L$1300,342,2+HK$2)&lt;&gt;"",INDEX('×入力'!$A$1:$L$1300,343+HK$3,1)&lt;&gt;""),1,0),0)</f>
        <v/>
      </c>
      <c r="HL22">
        <f>IF(HL$4=1,IF(OR(INDEX('×入力'!$A$1:$L$1300,343+HL$3,2+HL$2)&lt;&gt;"",INDEX('×入力'!$A$1:$L$1300,342,2+HL$2)&lt;&gt;"",INDEX('×入力'!$A$1:$L$1300,343+HL$3,1)&lt;&gt;""),1,0),0)</f>
        <v/>
      </c>
      <c r="HM22">
        <f>IF(HM$4=1,IF(OR(INDEX('×入力'!$A$1:$L$1300,343+HM$3,2+HM$2)&lt;&gt;"",INDEX('×入力'!$A$1:$L$1300,342,2+HM$2)&lt;&gt;"",INDEX('×入力'!$A$1:$L$1300,343+HM$3,1)&lt;&gt;""),1,0),0)</f>
        <v/>
      </c>
      <c r="HN22">
        <f>IF(HN$4=1,IF(OR(INDEX('×入力'!$A$1:$L$1300,343+HN$3,2+HN$2)&lt;&gt;"",INDEX('×入力'!$A$1:$L$1300,342,2+HN$2)&lt;&gt;"",INDEX('×入力'!$A$1:$L$1300,343+HN$3,1)&lt;&gt;""),1,0),0)</f>
        <v/>
      </c>
      <c r="HO22">
        <f>IF(HO$4=1,IF(OR(INDEX('×入力'!$A$1:$L$1300,343+HO$3,2+HO$2)&lt;&gt;"",INDEX('×入力'!$A$1:$L$1300,342,2+HO$2)&lt;&gt;"",INDEX('×入力'!$A$1:$L$1300,343+HO$3,1)&lt;&gt;""),1,0),0)</f>
        <v/>
      </c>
      <c r="HP22">
        <f>IF(HP$4=1,IF(OR(INDEX('×入力'!$A$1:$L$1300,343+HP$3,2+HP$2)&lt;&gt;"",INDEX('×入力'!$A$1:$L$1300,342,2+HP$2)&lt;&gt;"",INDEX('×入力'!$A$1:$L$1300,343+HP$3,1)&lt;&gt;""),1,0),0)</f>
        <v/>
      </c>
      <c r="HQ22">
        <f>IF(HQ$4=1,IF(OR(INDEX('×入力'!$A$1:$L$1300,343+HQ$3,2+HQ$2)&lt;&gt;"",INDEX('×入力'!$A$1:$L$1300,342,2+HQ$2)&lt;&gt;"",INDEX('×入力'!$A$1:$L$1300,343+HQ$3,1)&lt;&gt;""),1,0),0)</f>
        <v/>
      </c>
      <c r="HR22">
        <f>IF(HR$4=1,IF(OR(INDEX('×入力'!$A$1:$L$1300,343+HR$3,2+HR$2)&lt;&gt;"",INDEX('×入力'!$A$1:$L$1300,342,2+HR$2)&lt;&gt;"",INDEX('×入力'!$A$1:$L$1300,343+HR$3,1)&lt;&gt;""),1,0),0)</f>
        <v/>
      </c>
      <c r="HS22">
        <f>IF(HS$4=1,IF(OR(INDEX('×入力'!$A$1:$L$1300,343+HS$3,2+HS$2)&lt;&gt;"",INDEX('×入力'!$A$1:$L$1300,342,2+HS$2)&lt;&gt;"",INDEX('×入力'!$A$1:$L$1300,343+HS$3,1)&lt;&gt;""),1,0),0)</f>
        <v/>
      </c>
      <c r="HT22">
        <f>IF(HT$4=1,IF(OR(INDEX('×入力'!$A$1:$L$1300,343+HT$3,2+HT$2)&lt;&gt;"",INDEX('×入力'!$A$1:$L$1300,342,2+HT$2)&lt;&gt;"",INDEX('×入力'!$A$1:$L$1300,343+HT$3,1)&lt;&gt;""),1,0),0)</f>
        <v/>
      </c>
      <c r="HU22">
        <f>IF(HU$4=1,IF(OR(INDEX('×入力'!$A$1:$L$1300,343+HU$3,2+HU$2)&lt;&gt;"",INDEX('×入力'!$A$1:$L$1300,342,2+HU$2)&lt;&gt;"",INDEX('×入力'!$A$1:$L$1300,343+HU$3,1)&lt;&gt;""),1,0),0)</f>
        <v/>
      </c>
      <c r="HV22">
        <f>IF(HV$4=1,IF(OR(INDEX('×入力'!$A$1:$L$1300,343+HV$3,2+HV$2)&lt;&gt;"",INDEX('×入力'!$A$1:$L$1300,342,2+HV$2)&lt;&gt;"",INDEX('×入力'!$A$1:$L$1300,343+HV$3,1)&lt;&gt;""),1,0),0)</f>
        <v/>
      </c>
      <c r="HW22">
        <f>IF(HW$4=1,IF(OR(INDEX('×入力'!$A$1:$L$1300,343+HW$3,2+HW$2)&lt;&gt;"",INDEX('×入力'!$A$1:$L$1300,342,2+HW$2)&lt;&gt;"",INDEX('×入力'!$A$1:$L$1300,343+HW$3,1)&lt;&gt;""),1,0),0)</f>
        <v/>
      </c>
      <c r="HX22">
        <f>IF(HX$4=1,IF(OR(INDEX('×入力'!$A$1:$L$1300,343+HX$3,2+HX$2)&lt;&gt;"",INDEX('×入力'!$A$1:$L$1300,342,2+HX$2)&lt;&gt;"",INDEX('×入力'!$A$1:$L$1300,343+HX$3,1)&lt;&gt;""),1,0),0)</f>
        <v/>
      </c>
      <c r="HY22">
        <f>IF(HY$4=1,IF(OR(INDEX('×入力'!$A$1:$L$1300,343+HY$3,2+HY$2)&lt;&gt;"",INDEX('×入力'!$A$1:$L$1300,342,2+HY$2)&lt;&gt;"",INDEX('×入力'!$A$1:$L$1300,343+HY$3,1)&lt;&gt;""),1,0),0)</f>
        <v/>
      </c>
      <c r="HZ22">
        <f>IF(HZ$4=1,IF(OR(INDEX('×入力'!$A$1:$L$1300,343+HZ$3,2+HZ$2)&lt;&gt;"",INDEX('×入力'!$A$1:$L$1300,342,2+HZ$2)&lt;&gt;"",INDEX('×入力'!$A$1:$L$1300,343+HZ$3,1)&lt;&gt;""),1,0),0)</f>
        <v/>
      </c>
      <c r="IA22">
        <f>IF(IA$4=1,IF(OR(INDEX('×入力'!$A$1:$L$1300,343+IA$3,2+IA$2)&lt;&gt;"",INDEX('×入力'!$A$1:$L$1300,342,2+IA$2)&lt;&gt;"",INDEX('×入力'!$A$1:$L$1300,343+IA$3,1)&lt;&gt;""),1,0),0)</f>
        <v/>
      </c>
      <c r="IB22">
        <f>IF(IB$4=1,IF(OR(INDEX('×入力'!$A$1:$L$1300,343+IB$3,2+IB$2)&lt;&gt;"",INDEX('×入力'!$A$1:$L$1300,342,2+IB$2)&lt;&gt;"",INDEX('×入力'!$A$1:$L$1300,343+IB$3,1)&lt;&gt;""),1,0),0)</f>
        <v/>
      </c>
      <c r="IC22">
        <f>IF(IC$4=1,IF(OR(INDEX('×入力'!$A$1:$L$1300,343+IC$3,2+IC$2)&lt;&gt;"",INDEX('×入力'!$A$1:$L$1300,342,2+IC$2)&lt;&gt;"",INDEX('×入力'!$A$1:$L$1300,343+IC$3,1)&lt;&gt;""),1,0),0)</f>
        <v/>
      </c>
      <c r="ID22">
        <f>IF(ID$4=1,IF(OR(INDEX('×入力'!$A$1:$L$1300,343+ID$3,2+ID$2)&lt;&gt;"",INDEX('×入力'!$A$1:$L$1300,342,2+ID$2)&lt;&gt;"",INDEX('×入力'!$A$1:$L$1300,343+ID$3,1)&lt;&gt;""),1,0),0)</f>
        <v/>
      </c>
      <c r="IE22">
        <f>IF(IE$4=1,IF(OR(INDEX('×入力'!$A$1:$L$1300,343+IE$3,2+IE$2)&lt;&gt;"",INDEX('×入力'!$A$1:$L$1300,342,2+IE$2)&lt;&gt;"",INDEX('×入力'!$A$1:$L$1300,343+IE$3,1)&lt;&gt;""),1,0),0)</f>
        <v/>
      </c>
      <c r="IF22">
        <f>IF(IF$4=1,IF(OR(INDEX('×入力'!$A$1:$L$1300,343+IF$3,2+IF$2)&lt;&gt;"",INDEX('×入力'!$A$1:$L$1300,342,2+IF$2)&lt;&gt;"",INDEX('×入力'!$A$1:$L$1300,343+IF$3,1)&lt;&gt;""),1,0),0)</f>
        <v/>
      </c>
      <c r="IG22">
        <f>IF(IG$4=1,IF(OR(INDEX('×入力'!$A$1:$L$1300,343+IG$3,2+IG$2)&lt;&gt;"",INDEX('×入力'!$A$1:$L$1300,342,2+IG$2)&lt;&gt;"",INDEX('×入力'!$A$1:$L$1300,343+IG$3,1)&lt;&gt;""),1,0),0)</f>
        <v/>
      </c>
      <c r="IH22">
        <f>IF(IH$4=1,IF(OR(INDEX('×入力'!$A$1:$L$1300,343+IH$3,2+IH$2)&lt;&gt;"",INDEX('×入力'!$A$1:$L$1300,342,2+IH$2)&lt;&gt;"",INDEX('×入力'!$A$1:$L$1300,343+IH$3,1)&lt;&gt;""),1,0),0)</f>
        <v/>
      </c>
      <c r="II22">
        <f>IF(II$4=1,IF(OR(INDEX('×入力'!$A$1:$L$1300,343+II$3,2+II$2)&lt;&gt;"",INDEX('×入力'!$A$1:$L$1300,342,2+II$2)&lt;&gt;"",INDEX('×入力'!$A$1:$L$1300,343+II$3,1)&lt;&gt;""),1,0),0)</f>
        <v/>
      </c>
      <c r="IK22">
        <f>IFERROR(INDEX('計算B'!$C$3:$C$47,MATCH(A22,'計算B'!$B$3:$B$47,0)),0)</f>
        <v/>
      </c>
      <c r="IL22">
        <f>IF(AND(C22=1,IK22=0),1,0)</f>
        <v/>
      </c>
      <c r="IM22">
        <f>SUMPRODUCT(D72:II72*(1-$D$7:$II$7))</f>
        <v/>
      </c>
      <c r="IN22">
        <f>SUM(D22:II22)</f>
        <v/>
      </c>
      <c r="IO22">
        <f>IF(B22="",0,IF(COUNTIF('調整・決定'!$C$6:$L$29,B22)=1,SUMPRODUCT(('調整・決定'!$C$6:$L$29=B22)*((COLUMN('調整・決定'!$C$6:$L$29)-3)*24+ROW('調整・決定'!$C$6:$L$29)-5)),0))</f>
        <v/>
      </c>
      <c r="IP22">
        <f>IFERROR(MATCH('名簿'!E17,{"早い時刻","遅い時刻","早い日","遅い日"},0),0)</f>
        <v/>
      </c>
      <c r="IQ22">
        <f>IF('名簿'!F17="必ず空けたい",2,IF('名簿'!F17="出来れば空けたい",1,0))</f>
        <v/>
      </c>
    </row>
    <row r="23">
      <c r="A23" t="n">
        <v>14</v>
      </c>
      <c r="B23">
        <f>'名簿'!G18</f>
        <v/>
      </c>
      <c r="C23">
        <f>IF(AND(B23&lt;&gt;"",OR('名簿'!H18="入力済み",'名簿'!H18="×なし"),IO23=0,COUNTIF('調整・決定'!$C$6:$L$29,B23)=0),1,0)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ER23">
        <f>IF(ER$4=1,IF(OR(INDEX('×入力'!$A$1:$L$1300,371+ER$3,2+ER$2)&lt;&gt;"",INDEX('×入力'!$A$1:$L$1300,370,2+ER$2)&lt;&gt;"",INDEX('×入力'!$A$1:$L$1300,371+ER$3,1)&lt;&gt;""),1,0),0)</f>
        <v/>
      </c>
      <c r="ES23">
        <f>IF(ES$4=1,IF(OR(INDEX('×入力'!$A$1:$L$1300,371+ES$3,2+ES$2)&lt;&gt;"",INDEX('×入力'!$A$1:$L$1300,370,2+ES$2)&lt;&gt;"",INDEX('×入力'!$A$1:$L$1300,371+ES$3,1)&lt;&gt;""),1,0),0)</f>
        <v/>
      </c>
      <c r="ET23">
        <f>IF(ET$4=1,IF(OR(INDEX('×入力'!$A$1:$L$1300,371+ET$3,2+ET$2)&lt;&gt;"",INDEX('×入力'!$A$1:$L$1300,370,2+ET$2)&lt;&gt;"",INDEX('×入力'!$A$1:$L$1300,371+ET$3,1)&lt;&gt;""),1,0),0)</f>
        <v/>
      </c>
      <c r="EU23">
        <f>IF(EU$4=1,IF(OR(INDEX('×入力'!$A$1:$L$1300,371+EU$3,2+EU$2)&lt;&gt;"",INDEX('×入力'!$A$1:$L$1300,370,2+EU$2)&lt;&gt;"",INDEX('×入力'!$A$1:$L$1300,371+EU$3,1)&lt;&gt;""),1,0),0)</f>
        <v/>
      </c>
      <c r="EV23">
        <f>IF(EV$4=1,IF(OR(INDEX('×入力'!$A$1:$L$1300,371+EV$3,2+EV$2)&lt;&gt;"",INDEX('×入力'!$A$1:$L$1300,370,2+EV$2)&lt;&gt;"",INDEX('×入力'!$A$1:$L$1300,371+EV$3,1)&lt;&gt;""),1,0),0)</f>
        <v/>
      </c>
      <c r="EW23">
        <f>IF(EW$4=1,IF(OR(INDEX('×入力'!$A$1:$L$1300,371+EW$3,2+EW$2)&lt;&gt;"",INDEX('×入力'!$A$1:$L$1300,370,2+EW$2)&lt;&gt;"",INDEX('×入力'!$A$1:$L$1300,371+EW$3,1)&lt;&gt;""),1,0),0)</f>
        <v/>
      </c>
      <c r="EX23">
        <f>IF(EX$4=1,IF(OR(INDEX('×入力'!$A$1:$L$1300,371+EX$3,2+EX$2)&lt;&gt;"",INDEX('×入力'!$A$1:$L$1300,370,2+EX$2)&lt;&gt;"",INDEX('×入力'!$A$1:$L$1300,371+EX$3,1)&lt;&gt;""),1,0),0)</f>
        <v/>
      </c>
      <c r="EY23">
        <f>IF(EY$4=1,IF(OR(INDEX('×入力'!$A$1:$L$1300,371+EY$3,2+EY$2)&lt;&gt;"",INDEX('×入力'!$A$1:$L$1300,370,2+EY$2)&lt;&gt;"",INDEX('×入力'!$A$1:$L$1300,371+EY$3,1)&lt;&gt;""),1,0),0)</f>
        <v/>
      </c>
      <c r="EZ23">
        <f>IF(EZ$4=1,IF(OR(INDEX('×入力'!$A$1:$L$1300,371+EZ$3,2+EZ$2)&lt;&gt;"",INDEX('×入力'!$A$1:$L$1300,370,2+EZ$2)&lt;&gt;"",INDEX('×入力'!$A$1:$L$1300,371+EZ$3,1)&lt;&gt;""),1,0),0)</f>
        <v/>
      </c>
      <c r="FA23">
        <f>IF(FA$4=1,IF(OR(INDEX('×入力'!$A$1:$L$1300,371+FA$3,2+FA$2)&lt;&gt;"",INDEX('×入力'!$A$1:$L$1300,370,2+FA$2)&lt;&gt;"",INDEX('×入力'!$A$1:$L$1300,371+FA$3,1)&lt;&gt;""),1,0),0)</f>
        <v/>
      </c>
      <c r="FB23">
        <f>IF(FB$4=1,IF(OR(INDEX('×入力'!$A$1:$L$1300,371+FB$3,2+FB$2)&lt;&gt;"",INDEX('×入力'!$A$1:$L$1300,370,2+FB$2)&lt;&gt;"",INDEX('×入力'!$A$1:$L$1300,371+FB$3,1)&lt;&gt;""),1,0),0)</f>
        <v/>
      </c>
      <c r="FC23">
        <f>IF(FC$4=1,IF(OR(INDEX('×入力'!$A$1:$L$1300,371+FC$3,2+FC$2)&lt;&gt;"",INDEX('×入力'!$A$1:$L$1300,370,2+FC$2)&lt;&gt;"",INDEX('×入力'!$A$1:$L$1300,371+FC$3,1)&lt;&gt;""),1,0),0)</f>
        <v/>
      </c>
      <c r="FD23">
        <f>IF(FD$4=1,IF(OR(INDEX('×入力'!$A$1:$L$1300,371+FD$3,2+FD$2)&lt;&gt;"",INDEX('×入力'!$A$1:$L$1300,370,2+FD$2)&lt;&gt;"",INDEX('×入力'!$A$1:$L$1300,371+FD$3,1)&lt;&gt;""),1,0),0)</f>
        <v/>
      </c>
      <c r="FE23">
        <f>IF(FE$4=1,IF(OR(INDEX('×入力'!$A$1:$L$1300,371+FE$3,2+FE$2)&lt;&gt;"",INDEX('×入力'!$A$1:$L$1300,370,2+FE$2)&lt;&gt;"",INDEX('×入力'!$A$1:$L$1300,371+FE$3,1)&lt;&gt;""),1,0),0)</f>
        <v/>
      </c>
      <c r="FF23">
        <f>IF(FF$4=1,IF(OR(INDEX('×入力'!$A$1:$L$1300,371+FF$3,2+FF$2)&lt;&gt;"",INDEX('×入力'!$A$1:$L$1300,370,2+FF$2)&lt;&gt;"",INDEX('×入力'!$A$1:$L$1300,371+FF$3,1)&lt;&gt;""),1,0),0)</f>
        <v/>
      </c>
      <c r="FG23">
        <f>IF(FG$4=1,IF(OR(INDEX('×入力'!$A$1:$L$1300,371+FG$3,2+FG$2)&lt;&gt;"",INDEX('×入力'!$A$1:$L$1300,370,2+FG$2)&lt;&gt;"",INDEX('×入力'!$A$1:$L$1300,371+FG$3,1)&lt;&gt;""),1,0),0)</f>
        <v/>
      </c>
      <c r="FH23">
        <f>IF(FH$4=1,IF(OR(INDEX('×入力'!$A$1:$L$1300,371+FH$3,2+FH$2)&lt;&gt;"",INDEX('×入力'!$A$1:$L$1300,370,2+FH$2)&lt;&gt;"",INDEX('×入力'!$A$1:$L$1300,371+FH$3,1)&lt;&gt;""),1,0),0)</f>
        <v/>
      </c>
      <c r="FI23">
        <f>IF(FI$4=1,IF(OR(INDEX('×入力'!$A$1:$L$1300,371+FI$3,2+FI$2)&lt;&gt;"",INDEX('×入力'!$A$1:$L$1300,370,2+FI$2)&lt;&gt;"",INDEX('×入力'!$A$1:$L$1300,371+FI$3,1)&lt;&gt;""),1,0),0)</f>
        <v/>
      </c>
      <c r="FJ23">
        <f>IF(FJ$4=1,IF(OR(INDEX('×入力'!$A$1:$L$1300,371+FJ$3,2+FJ$2)&lt;&gt;"",INDEX('×入力'!$A$1:$L$1300,370,2+FJ$2)&lt;&gt;"",INDEX('×入力'!$A$1:$L$1300,371+FJ$3,1)&lt;&gt;""),1,0),0)</f>
        <v/>
      </c>
      <c r="FK23">
        <f>IF(FK$4=1,IF(OR(INDEX('×入力'!$A$1:$L$1300,371+FK$3,2+FK$2)&lt;&gt;"",INDEX('×入力'!$A$1:$L$1300,370,2+FK$2)&lt;&gt;"",INDEX('×入力'!$A$1:$L$1300,371+FK$3,1)&lt;&gt;""),1,0),0)</f>
        <v/>
      </c>
      <c r="FL23">
        <f>IF(FL$4=1,IF(OR(INDEX('×入力'!$A$1:$L$1300,371+FL$3,2+FL$2)&lt;&gt;"",INDEX('×入力'!$A$1:$L$1300,370,2+FL$2)&lt;&gt;"",INDEX('×入力'!$A$1:$L$1300,371+FL$3,1)&lt;&gt;""),1,0),0)</f>
        <v/>
      </c>
      <c r="FM23">
        <f>IF(FM$4=1,IF(OR(INDEX('×入力'!$A$1:$L$1300,371+FM$3,2+FM$2)&lt;&gt;"",INDEX('×入力'!$A$1:$L$1300,370,2+FM$2)&lt;&gt;"",INDEX('×入力'!$A$1:$L$1300,371+FM$3,1)&lt;&gt;""),1,0),0)</f>
        <v/>
      </c>
      <c r="FN23">
        <f>IF(FN$4=1,IF(OR(INDEX('×入力'!$A$1:$L$1300,371+FN$3,2+FN$2)&lt;&gt;"",INDEX('×入力'!$A$1:$L$1300,370,2+FN$2)&lt;&gt;"",INDEX('×入力'!$A$1:$L$1300,371+FN$3,1)&lt;&gt;""),1,0),0)</f>
        <v/>
      </c>
      <c r="FO23">
        <f>IF(FO$4=1,IF(OR(INDEX('×入力'!$A$1:$L$1300,371+FO$3,2+FO$2)&lt;&gt;"",INDEX('×入力'!$A$1:$L$1300,370,2+FO$2)&lt;&gt;"",INDEX('×入力'!$A$1:$L$1300,371+FO$3,1)&lt;&gt;""),1,0),0)</f>
        <v/>
      </c>
      <c r="FP23">
        <f>IF(FP$4=1,IF(OR(INDEX('×入力'!$A$1:$L$1300,371+FP$3,2+FP$2)&lt;&gt;"",INDEX('×入力'!$A$1:$L$1300,370,2+FP$2)&lt;&gt;"",INDEX('×入力'!$A$1:$L$1300,371+FP$3,1)&lt;&gt;""),1,0),0)</f>
        <v/>
      </c>
      <c r="FQ23">
        <f>IF(FQ$4=1,IF(OR(INDEX('×入力'!$A$1:$L$1300,371+FQ$3,2+FQ$2)&lt;&gt;"",INDEX('×入力'!$A$1:$L$1300,370,2+FQ$2)&lt;&gt;"",INDEX('×入力'!$A$1:$L$1300,371+FQ$3,1)&lt;&gt;""),1,0),0)</f>
        <v/>
      </c>
      <c r="FR23">
        <f>IF(FR$4=1,IF(OR(INDEX('×入力'!$A$1:$L$1300,371+FR$3,2+FR$2)&lt;&gt;"",INDEX('×入力'!$A$1:$L$1300,370,2+FR$2)&lt;&gt;"",INDEX('×入力'!$A$1:$L$1300,371+FR$3,1)&lt;&gt;""),1,0),0)</f>
        <v/>
      </c>
      <c r="FS23">
        <f>IF(FS$4=1,IF(OR(INDEX('×入力'!$A$1:$L$1300,371+FS$3,2+FS$2)&lt;&gt;"",INDEX('×入力'!$A$1:$L$1300,370,2+FS$2)&lt;&gt;"",INDEX('×入力'!$A$1:$L$1300,371+FS$3,1)&lt;&gt;""),1,0),0)</f>
        <v/>
      </c>
      <c r="FT23">
        <f>IF(FT$4=1,IF(OR(INDEX('×入力'!$A$1:$L$1300,371+FT$3,2+FT$2)&lt;&gt;"",INDEX('×入力'!$A$1:$L$1300,370,2+FT$2)&lt;&gt;"",INDEX('×入力'!$A$1:$L$1300,371+FT$3,1)&lt;&gt;""),1,0),0)</f>
        <v/>
      </c>
      <c r="FU23">
        <f>IF(FU$4=1,IF(OR(INDEX('×入力'!$A$1:$L$1300,371+FU$3,2+FU$2)&lt;&gt;"",INDEX('×入力'!$A$1:$L$1300,370,2+FU$2)&lt;&gt;"",INDEX('×入力'!$A$1:$L$1300,371+FU$3,1)&lt;&gt;""),1,0),0)</f>
        <v/>
      </c>
      <c r="FV23">
        <f>IF(FV$4=1,IF(OR(INDEX('×入力'!$A$1:$L$1300,371+FV$3,2+FV$2)&lt;&gt;"",INDEX('×入力'!$A$1:$L$1300,370,2+FV$2)&lt;&gt;"",INDEX('×入力'!$A$1:$L$1300,371+FV$3,1)&lt;&gt;""),1,0),0)</f>
        <v/>
      </c>
      <c r="FW23">
        <f>IF(FW$4=1,IF(OR(INDEX('×入力'!$A$1:$L$1300,371+FW$3,2+FW$2)&lt;&gt;"",INDEX('×入力'!$A$1:$L$1300,370,2+FW$2)&lt;&gt;"",INDEX('×入力'!$A$1:$L$1300,371+FW$3,1)&lt;&gt;""),1,0),0)</f>
        <v/>
      </c>
      <c r="FX23">
        <f>IF(FX$4=1,IF(OR(INDEX('×入力'!$A$1:$L$1300,371+FX$3,2+FX$2)&lt;&gt;"",INDEX('×入力'!$A$1:$L$1300,370,2+FX$2)&lt;&gt;"",INDEX('×入力'!$A$1:$L$1300,371+FX$3,1)&lt;&gt;""),1,0),0)</f>
        <v/>
      </c>
      <c r="FY23">
        <f>IF(FY$4=1,IF(OR(INDEX('×入力'!$A$1:$L$1300,371+FY$3,2+FY$2)&lt;&gt;"",INDEX('×入力'!$A$1:$L$1300,370,2+FY$2)&lt;&gt;"",INDEX('×入力'!$A$1:$L$1300,371+FY$3,1)&lt;&gt;""),1,0),0)</f>
        <v/>
      </c>
      <c r="FZ23">
        <f>IF(FZ$4=1,IF(OR(INDEX('×入力'!$A$1:$L$1300,371+FZ$3,2+FZ$2)&lt;&gt;"",INDEX('×入力'!$A$1:$L$1300,370,2+FZ$2)&lt;&gt;"",INDEX('×入力'!$A$1:$L$1300,371+FZ$3,1)&lt;&gt;""),1,0),0)</f>
        <v/>
      </c>
      <c r="GA23">
        <f>IF(GA$4=1,IF(OR(INDEX('×入力'!$A$1:$L$1300,371+GA$3,2+GA$2)&lt;&gt;"",INDEX('×入力'!$A$1:$L$1300,370,2+GA$2)&lt;&gt;"",INDEX('×入力'!$A$1:$L$1300,371+GA$3,1)&lt;&gt;""),1,0),0)</f>
        <v/>
      </c>
      <c r="GB23">
        <f>IF(GB$4=1,IF(OR(INDEX('×入力'!$A$1:$L$1300,371+GB$3,2+GB$2)&lt;&gt;"",INDEX('×入力'!$A$1:$L$1300,370,2+GB$2)&lt;&gt;"",INDEX('×入力'!$A$1:$L$1300,371+GB$3,1)&lt;&gt;""),1,0),0)</f>
        <v/>
      </c>
      <c r="GC23">
        <f>IF(GC$4=1,IF(OR(INDEX('×入力'!$A$1:$L$1300,371+GC$3,2+GC$2)&lt;&gt;"",INDEX('×入力'!$A$1:$L$1300,370,2+GC$2)&lt;&gt;"",INDEX('×入力'!$A$1:$L$1300,371+GC$3,1)&lt;&gt;""),1,0),0)</f>
        <v/>
      </c>
      <c r="GD23">
        <f>IF(GD$4=1,IF(OR(INDEX('×入力'!$A$1:$L$1300,371+GD$3,2+GD$2)&lt;&gt;"",INDEX('×入力'!$A$1:$L$1300,370,2+GD$2)&lt;&gt;"",INDEX('×入力'!$A$1:$L$1300,371+GD$3,1)&lt;&gt;""),1,0),0)</f>
        <v/>
      </c>
      <c r="GE23">
        <f>IF(GE$4=1,IF(OR(INDEX('×入力'!$A$1:$L$1300,371+GE$3,2+GE$2)&lt;&gt;"",INDEX('×入力'!$A$1:$L$1300,370,2+GE$2)&lt;&gt;"",INDEX('×入力'!$A$1:$L$1300,371+GE$3,1)&lt;&gt;""),1,0),0)</f>
        <v/>
      </c>
      <c r="GF23">
        <f>IF(GF$4=1,IF(OR(INDEX('×入力'!$A$1:$L$1300,371+GF$3,2+GF$2)&lt;&gt;"",INDEX('×入力'!$A$1:$L$1300,370,2+GF$2)&lt;&gt;"",INDEX('×入力'!$A$1:$L$1300,371+GF$3,1)&lt;&gt;""),1,0),0)</f>
        <v/>
      </c>
      <c r="GG23">
        <f>IF(GG$4=1,IF(OR(INDEX('×入力'!$A$1:$L$1300,371+GG$3,2+GG$2)&lt;&gt;"",INDEX('×入力'!$A$1:$L$1300,370,2+GG$2)&lt;&gt;"",INDEX('×入力'!$A$1:$L$1300,371+GG$3,1)&lt;&gt;""),1,0),0)</f>
        <v/>
      </c>
      <c r="GH23">
        <f>IF(GH$4=1,IF(OR(INDEX('×入力'!$A$1:$L$1300,371+GH$3,2+GH$2)&lt;&gt;"",INDEX('×入力'!$A$1:$L$1300,370,2+GH$2)&lt;&gt;"",INDEX('×入力'!$A$1:$L$1300,371+GH$3,1)&lt;&gt;""),1,0),0)</f>
        <v/>
      </c>
      <c r="GI23">
        <f>IF(GI$4=1,IF(OR(INDEX('×入力'!$A$1:$L$1300,371+GI$3,2+GI$2)&lt;&gt;"",INDEX('×入力'!$A$1:$L$1300,370,2+GI$2)&lt;&gt;"",INDEX('×入力'!$A$1:$L$1300,371+GI$3,1)&lt;&gt;""),1,0),0)</f>
        <v/>
      </c>
      <c r="GJ23">
        <f>IF(GJ$4=1,IF(OR(INDEX('×入力'!$A$1:$L$1300,371+GJ$3,2+GJ$2)&lt;&gt;"",INDEX('×入力'!$A$1:$L$1300,370,2+GJ$2)&lt;&gt;"",INDEX('×入力'!$A$1:$L$1300,371+GJ$3,1)&lt;&gt;""),1,0),0)</f>
        <v/>
      </c>
      <c r="GK23">
        <f>IF(GK$4=1,IF(OR(INDEX('×入力'!$A$1:$L$1300,371+GK$3,2+GK$2)&lt;&gt;"",INDEX('×入力'!$A$1:$L$1300,370,2+GK$2)&lt;&gt;"",INDEX('×入力'!$A$1:$L$1300,371+GK$3,1)&lt;&gt;""),1,0),0)</f>
        <v/>
      </c>
      <c r="GL23">
        <f>IF(GL$4=1,IF(OR(INDEX('×入力'!$A$1:$L$1300,371+GL$3,2+GL$2)&lt;&gt;"",INDEX('×入力'!$A$1:$L$1300,370,2+GL$2)&lt;&gt;"",INDEX('×入力'!$A$1:$L$1300,371+GL$3,1)&lt;&gt;""),1,0),0)</f>
        <v/>
      </c>
      <c r="GM23">
        <f>IF(GM$4=1,IF(OR(INDEX('×入力'!$A$1:$L$1300,371+GM$3,2+GM$2)&lt;&gt;"",INDEX('×入力'!$A$1:$L$1300,370,2+GM$2)&lt;&gt;"",INDEX('×入力'!$A$1:$L$1300,371+GM$3,1)&lt;&gt;""),1,0),0)</f>
        <v/>
      </c>
      <c r="GN23">
        <f>IF(GN$4=1,IF(OR(INDEX('×入力'!$A$1:$L$1300,371+GN$3,2+GN$2)&lt;&gt;"",INDEX('×入力'!$A$1:$L$1300,370,2+GN$2)&lt;&gt;"",INDEX('×入力'!$A$1:$L$1300,371+GN$3,1)&lt;&gt;""),1,0),0)</f>
        <v/>
      </c>
      <c r="GO23">
        <f>IF(GO$4=1,IF(OR(INDEX('×入力'!$A$1:$L$1300,371+GO$3,2+GO$2)&lt;&gt;"",INDEX('×入力'!$A$1:$L$1300,370,2+GO$2)&lt;&gt;"",INDEX('×入力'!$A$1:$L$1300,371+GO$3,1)&lt;&gt;""),1,0),0)</f>
        <v/>
      </c>
      <c r="GP23">
        <f>IF(GP$4=1,IF(OR(INDEX('×入力'!$A$1:$L$1300,371+GP$3,2+GP$2)&lt;&gt;"",INDEX('×入力'!$A$1:$L$1300,370,2+GP$2)&lt;&gt;"",INDEX('×入力'!$A$1:$L$1300,371+GP$3,1)&lt;&gt;""),1,0),0)</f>
        <v/>
      </c>
      <c r="GQ23">
        <f>IF(GQ$4=1,IF(OR(INDEX('×入力'!$A$1:$L$1300,371+GQ$3,2+GQ$2)&lt;&gt;"",INDEX('×入力'!$A$1:$L$1300,370,2+GQ$2)&lt;&gt;"",INDEX('×入力'!$A$1:$L$1300,371+GQ$3,1)&lt;&gt;""),1,0),0)</f>
        <v/>
      </c>
      <c r="GR23">
        <f>IF(GR$4=1,IF(OR(INDEX('×入力'!$A$1:$L$1300,371+GR$3,2+GR$2)&lt;&gt;"",INDEX('×入力'!$A$1:$L$1300,370,2+GR$2)&lt;&gt;"",INDEX('×入力'!$A$1:$L$1300,371+GR$3,1)&lt;&gt;""),1,0),0)</f>
        <v/>
      </c>
      <c r="GS23">
        <f>IF(GS$4=1,IF(OR(INDEX('×入力'!$A$1:$L$1300,371+GS$3,2+GS$2)&lt;&gt;"",INDEX('×入力'!$A$1:$L$1300,370,2+GS$2)&lt;&gt;"",INDEX('×入力'!$A$1:$L$1300,371+GS$3,1)&lt;&gt;""),1,0),0)</f>
        <v/>
      </c>
      <c r="GT23">
        <f>IF(GT$4=1,IF(OR(INDEX('×入力'!$A$1:$L$1300,371+GT$3,2+GT$2)&lt;&gt;"",INDEX('×入力'!$A$1:$L$1300,370,2+GT$2)&lt;&gt;"",INDEX('×入力'!$A$1:$L$1300,371+GT$3,1)&lt;&gt;""),1,0),0)</f>
        <v/>
      </c>
      <c r="GU23">
        <f>IF(GU$4=1,IF(OR(INDEX('×入力'!$A$1:$L$1300,371+GU$3,2+GU$2)&lt;&gt;"",INDEX('×入力'!$A$1:$L$1300,370,2+GU$2)&lt;&gt;"",INDEX('×入力'!$A$1:$L$1300,371+GU$3,1)&lt;&gt;""),1,0),0)</f>
        <v/>
      </c>
      <c r="GV23">
        <f>IF(GV$4=1,IF(OR(INDEX('×入力'!$A$1:$L$1300,371+GV$3,2+GV$2)&lt;&gt;"",INDEX('×入力'!$A$1:$L$1300,370,2+GV$2)&lt;&gt;"",INDEX('×入力'!$A$1:$L$1300,371+GV$3,1)&lt;&gt;""),1,0),0)</f>
        <v/>
      </c>
      <c r="GW23">
        <f>IF(GW$4=1,IF(OR(INDEX('×入力'!$A$1:$L$1300,371+GW$3,2+GW$2)&lt;&gt;"",INDEX('×入力'!$A$1:$L$1300,370,2+GW$2)&lt;&gt;"",INDEX('×入力'!$A$1:$L$1300,371+GW$3,1)&lt;&gt;""),1,0),0)</f>
        <v/>
      </c>
      <c r="GX23">
        <f>IF(GX$4=1,IF(OR(INDEX('×入力'!$A$1:$L$1300,371+GX$3,2+GX$2)&lt;&gt;"",INDEX('×入力'!$A$1:$L$1300,370,2+GX$2)&lt;&gt;"",INDEX('×入力'!$A$1:$L$1300,371+GX$3,1)&lt;&gt;""),1,0),0)</f>
        <v/>
      </c>
      <c r="GY23">
        <f>IF(GY$4=1,IF(OR(INDEX('×入力'!$A$1:$L$1300,371+GY$3,2+GY$2)&lt;&gt;"",INDEX('×入力'!$A$1:$L$1300,370,2+GY$2)&lt;&gt;"",INDEX('×入力'!$A$1:$L$1300,371+GY$3,1)&lt;&gt;""),1,0),0)</f>
        <v/>
      </c>
      <c r="GZ23">
        <f>IF(GZ$4=1,IF(OR(INDEX('×入力'!$A$1:$L$1300,371+GZ$3,2+GZ$2)&lt;&gt;"",INDEX('×入力'!$A$1:$L$1300,370,2+GZ$2)&lt;&gt;"",INDEX('×入力'!$A$1:$L$1300,371+GZ$3,1)&lt;&gt;""),1,0),0)</f>
        <v/>
      </c>
      <c r="HA23">
        <f>IF(HA$4=1,IF(OR(INDEX('×入力'!$A$1:$L$1300,371+HA$3,2+HA$2)&lt;&gt;"",INDEX('×入力'!$A$1:$L$1300,370,2+HA$2)&lt;&gt;"",INDEX('×入力'!$A$1:$L$1300,371+HA$3,1)&lt;&gt;""),1,0),0)</f>
        <v/>
      </c>
      <c r="HB23">
        <f>IF(HB$4=1,IF(OR(INDEX('×入力'!$A$1:$L$1300,371+HB$3,2+HB$2)&lt;&gt;"",INDEX('×入力'!$A$1:$L$1300,370,2+HB$2)&lt;&gt;"",INDEX('×入力'!$A$1:$L$1300,371+HB$3,1)&lt;&gt;""),1,0),0)</f>
        <v/>
      </c>
      <c r="HC23">
        <f>IF(HC$4=1,IF(OR(INDEX('×入力'!$A$1:$L$1300,371+HC$3,2+HC$2)&lt;&gt;"",INDEX('×入力'!$A$1:$L$1300,370,2+HC$2)&lt;&gt;"",INDEX('×入力'!$A$1:$L$1300,371+HC$3,1)&lt;&gt;""),1,0),0)</f>
        <v/>
      </c>
      <c r="HD23">
        <f>IF(HD$4=1,IF(OR(INDEX('×入力'!$A$1:$L$1300,371+HD$3,2+HD$2)&lt;&gt;"",INDEX('×入力'!$A$1:$L$1300,370,2+HD$2)&lt;&gt;"",INDEX('×入力'!$A$1:$L$1300,371+HD$3,1)&lt;&gt;""),1,0),0)</f>
        <v/>
      </c>
      <c r="HE23">
        <f>IF(HE$4=1,IF(OR(INDEX('×入力'!$A$1:$L$1300,371+HE$3,2+HE$2)&lt;&gt;"",INDEX('×入力'!$A$1:$L$1300,370,2+HE$2)&lt;&gt;"",INDEX('×入力'!$A$1:$L$1300,371+HE$3,1)&lt;&gt;""),1,0),0)</f>
        <v/>
      </c>
      <c r="HF23">
        <f>IF(HF$4=1,IF(OR(INDEX('×入力'!$A$1:$L$1300,371+HF$3,2+HF$2)&lt;&gt;"",INDEX('×入力'!$A$1:$L$1300,370,2+HF$2)&lt;&gt;"",INDEX('×入力'!$A$1:$L$1300,371+HF$3,1)&lt;&gt;""),1,0),0)</f>
        <v/>
      </c>
      <c r="HG23">
        <f>IF(HG$4=1,IF(OR(INDEX('×入力'!$A$1:$L$1300,371+HG$3,2+HG$2)&lt;&gt;"",INDEX('×入力'!$A$1:$L$1300,370,2+HG$2)&lt;&gt;"",INDEX('×入力'!$A$1:$L$1300,371+HG$3,1)&lt;&gt;""),1,0),0)</f>
        <v/>
      </c>
      <c r="HH23">
        <f>IF(HH$4=1,IF(OR(INDEX('×入力'!$A$1:$L$1300,371+HH$3,2+HH$2)&lt;&gt;"",INDEX('×入力'!$A$1:$L$1300,370,2+HH$2)&lt;&gt;"",INDEX('×入力'!$A$1:$L$1300,371+HH$3,1)&lt;&gt;""),1,0),0)</f>
        <v/>
      </c>
      <c r="HI23">
        <f>IF(HI$4=1,IF(OR(INDEX('×入力'!$A$1:$L$1300,371+HI$3,2+HI$2)&lt;&gt;"",INDEX('×入力'!$A$1:$L$1300,370,2+HI$2)&lt;&gt;"",INDEX('×入力'!$A$1:$L$1300,371+HI$3,1)&lt;&gt;""),1,0),0)</f>
        <v/>
      </c>
      <c r="HJ23">
        <f>IF(HJ$4=1,IF(OR(INDEX('×入力'!$A$1:$L$1300,371+HJ$3,2+HJ$2)&lt;&gt;"",INDEX('×入力'!$A$1:$L$1300,370,2+HJ$2)&lt;&gt;"",INDEX('×入力'!$A$1:$L$1300,371+HJ$3,1)&lt;&gt;""),1,0),0)</f>
        <v/>
      </c>
      <c r="HK23">
        <f>IF(HK$4=1,IF(OR(INDEX('×入力'!$A$1:$L$1300,371+HK$3,2+HK$2)&lt;&gt;"",INDEX('×入力'!$A$1:$L$1300,370,2+HK$2)&lt;&gt;"",INDEX('×入力'!$A$1:$L$1300,371+HK$3,1)&lt;&gt;""),1,0),0)</f>
        <v/>
      </c>
      <c r="HL23">
        <f>IF(HL$4=1,IF(OR(INDEX('×入力'!$A$1:$L$1300,371+HL$3,2+HL$2)&lt;&gt;"",INDEX('×入力'!$A$1:$L$1300,370,2+HL$2)&lt;&gt;"",INDEX('×入力'!$A$1:$L$1300,371+HL$3,1)&lt;&gt;""),1,0),0)</f>
        <v/>
      </c>
      <c r="HM23">
        <f>IF(HM$4=1,IF(OR(INDEX('×入力'!$A$1:$L$1300,371+HM$3,2+HM$2)&lt;&gt;"",INDEX('×入力'!$A$1:$L$1300,370,2+HM$2)&lt;&gt;"",INDEX('×入力'!$A$1:$L$1300,371+HM$3,1)&lt;&gt;""),1,0),0)</f>
        <v/>
      </c>
      <c r="HN23">
        <f>IF(HN$4=1,IF(OR(INDEX('×入力'!$A$1:$L$1300,371+HN$3,2+HN$2)&lt;&gt;"",INDEX('×入力'!$A$1:$L$1300,370,2+HN$2)&lt;&gt;"",INDEX('×入力'!$A$1:$L$1300,371+HN$3,1)&lt;&gt;""),1,0),0)</f>
        <v/>
      </c>
      <c r="HO23">
        <f>IF(HO$4=1,IF(OR(INDEX('×入力'!$A$1:$L$1300,371+HO$3,2+HO$2)&lt;&gt;"",INDEX('×入力'!$A$1:$L$1300,370,2+HO$2)&lt;&gt;"",INDEX('×入力'!$A$1:$L$1300,371+HO$3,1)&lt;&gt;""),1,0),0)</f>
        <v/>
      </c>
      <c r="HP23">
        <f>IF(HP$4=1,IF(OR(INDEX('×入力'!$A$1:$L$1300,371+HP$3,2+HP$2)&lt;&gt;"",INDEX('×入力'!$A$1:$L$1300,370,2+HP$2)&lt;&gt;"",INDEX('×入力'!$A$1:$L$1300,371+HP$3,1)&lt;&gt;""),1,0),0)</f>
        <v/>
      </c>
      <c r="HQ23">
        <f>IF(HQ$4=1,IF(OR(INDEX('×入力'!$A$1:$L$1300,371+HQ$3,2+HQ$2)&lt;&gt;"",INDEX('×入力'!$A$1:$L$1300,370,2+HQ$2)&lt;&gt;"",INDEX('×入力'!$A$1:$L$1300,371+HQ$3,1)&lt;&gt;""),1,0),0)</f>
        <v/>
      </c>
      <c r="HR23">
        <f>IF(HR$4=1,IF(OR(INDEX('×入力'!$A$1:$L$1300,371+HR$3,2+HR$2)&lt;&gt;"",INDEX('×入力'!$A$1:$L$1300,370,2+HR$2)&lt;&gt;"",INDEX('×入力'!$A$1:$L$1300,371+HR$3,1)&lt;&gt;""),1,0),0)</f>
        <v/>
      </c>
      <c r="HS23">
        <f>IF(HS$4=1,IF(OR(INDEX('×入力'!$A$1:$L$1300,371+HS$3,2+HS$2)&lt;&gt;"",INDEX('×入力'!$A$1:$L$1300,370,2+HS$2)&lt;&gt;"",INDEX('×入力'!$A$1:$L$1300,371+HS$3,1)&lt;&gt;""),1,0),0)</f>
        <v/>
      </c>
      <c r="HT23">
        <f>IF(HT$4=1,IF(OR(INDEX('×入力'!$A$1:$L$1300,371+HT$3,2+HT$2)&lt;&gt;"",INDEX('×入力'!$A$1:$L$1300,370,2+HT$2)&lt;&gt;"",INDEX('×入力'!$A$1:$L$1300,371+HT$3,1)&lt;&gt;""),1,0),0)</f>
        <v/>
      </c>
      <c r="HU23">
        <f>IF(HU$4=1,IF(OR(INDEX('×入力'!$A$1:$L$1300,371+HU$3,2+HU$2)&lt;&gt;"",INDEX('×入力'!$A$1:$L$1300,370,2+HU$2)&lt;&gt;"",INDEX('×入力'!$A$1:$L$1300,371+HU$3,1)&lt;&gt;""),1,0),0)</f>
        <v/>
      </c>
      <c r="HV23">
        <f>IF(HV$4=1,IF(OR(INDEX('×入力'!$A$1:$L$1300,371+HV$3,2+HV$2)&lt;&gt;"",INDEX('×入力'!$A$1:$L$1300,370,2+HV$2)&lt;&gt;"",INDEX('×入力'!$A$1:$L$1300,371+HV$3,1)&lt;&gt;""),1,0),0)</f>
        <v/>
      </c>
      <c r="HW23">
        <f>IF(HW$4=1,IF(OR(INDEX('×入力'!$A$1:$L$1300,371+HW$3,2+HW$2)&lt;&gt;"",INDEX('×入力'!$A$1:$L$1300,370,2+HW$2)&lt;&gt;"",INDEX('×入力'!$A$1:$L$1300,371+HW$3,1)&lt;&gt;""),1,0),0)</f>
        <v/>
      </c>
      <c r="HX23">
        <f>IF(HX$4=1,IF(OR(INDEX('×入力'!$A$1:$L$1300,371+HX$3,2+HX$2)&lt;&gt;"",INDEX('×入力'!$A$1:$L$1300,370,2+HX$2)&lt;&gt;"",INDEX('×入力'!$A$1:$L$1300,371+HX$3,1)&lt;&gt;""),1,0),0)</f>
        <v/>
      </c>
      <c r="HY23">
        <f>IF(HY$4=1,IF(OR(INDEX('×入力'!$A$1:$L$1300,371+HY$3,2+HY$2)&lt;&gt;"",INDEX('×入力'!$A$1:$L$1300,370,2+HY$2)&lt;&gt;"",INDEX('×入力'!$A$1:$L$1300,371+HY$3,1)&lt;&gt;""),1,0),0)</f>
        <v/>
      </c>
      <c r="HZ23">
        <f>IF(HZ$4=1,IF(OR(INDEX('×入力'!$A$1:$L$1300,371+HZ$3,2+HZ$2)&lt;&gt;"",INDEX('×入力'!$A$1:$L$1300,370,2+HZ$2)&lt;&gt;"",INDEX('×入力'!$A$1:$L$1300,371+HZ$3,1)&lt;&gt;""),1,0),0)</f>
        <v/>
      </c>
      <c r="IA23">
        <f>IF(IA$4=1,IF(OR(INDEX('×入力'!$A$1:$L$1300,371+IA$3,2+IA$2)&lt;&gt;"",INDEX('×入力'!$A$1:$L$1300,370,2+IA$2)&lt;&gt;"",INDEX('×入力'!$A$1:$L$1300,371+IA$3,1)&lt;&gt;""),1,0),0)</f>
        <v/>
      </c>
      <c r="IB23">
        <f>IF(IB$4=1,IF(OR(INDEX('×入力'!$A$1:$L$1300,371+IB$3,2+IB$2)&lt;&gt;"",INDEX('×入力'!$A$1:$L$1300,370,2+IB$2)&lt;&gt;"",INDEX('×入力'!$A$1:$L$1300,371+IB$3,1)&lt;&gt;""),1,0),0)</f>
        <v/>
      </c>
      <c r="IC23">
        <f>IF(IC$4=1,IF(OR(INDEX('×入力'!$A$1:$L$1300,371+IC$3,2+IC$2)&lt;&gt;"",INDEX('×入力'!$A$1:$L$1300,370,2+IC$2)&lt;&gt;"",INDEX('×入力'!$A$1:$L$1300,371+IC$3,1)&lt;&gt;""),1,0),0)</f>
        <v/>
      </c>
      <c r="ID23">
        <f>IF(ID$4=1,IF(OR(INDEX('×入力'!$A$1:$L$1300,371+ID$3,2+ID$2)&lt;&gt;"",INDEX('×入力'!$A$1:$L$1300,370,2+ID$2)&lt;&gt;"",INDEX('×入力'!$A$1:$L$1300,371+ID$3,1)&lt;&gt;""),1,0),0)</f>
        <v/>
      </c>
      <c r="IE23">
        <f>IF(IE$4=1,IF(OR(INDEX('×入力'!$A$1:$L$1300,371+IE$3,2+IE$2)&lt;&gt;"",INDEX('×入力'!$A$1:$L$1300,370,2+IE$2)&lt;&gt;"",INDEX('×入力'!$A$1:$L$1300,371+IE$3,1)&lt;&gt;""),1,0),0)</f>
        <v/>
      </c>
      <c r="IF23">
        <f>IF(IF$4=1,IF(OR(INDEX('×入力'!$A$1:$L$1300,371+IF$3,2+IF$2)&lt;&gt;"",INDEX('×入力'!$A$1:$L$1300,370,2+IF$2)&lt;&gt;"",INDEX('×入力'!$A$1:$L$1300,371+IF$3,1)&lt;&gt;""),1,0),0)</f>
        <v/>
      </c>
      <c r="IG23">
        <f>IF(IG$4=1,IF(OR(INDEX('×入力'!$A$1:$L$1300,371+IG$3,2+IG$2)&lt;&gt;"",INDEX('×入力'!$A$1:$L$1300,370,2+IG$2)&lt;&gt;"",INDEX('×入力'!$A$1:$L$1300,371+IG$3,1)&lt;&gt;""),1,0),0)</f>
        <v/>
      </c>
      <c r="IH23">
        <f>IF(IH$4=1,IF(OR(INDEX('×入力'!$A$1:$L$1300,371+IH$3,2+IH$2)&lt;&gt;"",INDEX('×入力'!$A$1:$L$1300,370,2+IH$2)&lt;&gt;"",INDEX('×入力'!$A$1:$L$1300,371+IH$3,1)&lt;&gt;""),1,0),0)</f>
        <v/>
      </c>
      <c r="II23">
        <f>IF(II$4=1,IF(OR(INDEX('×入力'!$A$1:$L$1300,371+II$3,2+II$2)&lt;&gt;"",INDEX('×入力'!$A$1:$L$1300,370,2+II$2)&lt;&gt;"",INDEX('×入力'!$A$1:$L$1300,371+II$3,1)&lt;&gt;""),1,0),0)</f>
        <v/>
      </c>
      <c r="IK23">
        <f>IFERROR(INDEX('計算B'!$C$3:$C$47,MATCH(A23,'計算B'!$B$3:$B$47,0)),0)</f>
        <v/>
      </c>
      <c r="IL23">
        <f>IF(AND(C23=1,IK23=0),1,0)</f>
        <v/>
      </c>
      <c r="IM23">
        <f>SUMPRODUCT(D73:II73*(1-$D$7:$II$7))</f>
        <v/>
      </c>
      <c r="IN23">
        <f>SUM(D23:II23)</f>
        <v/>
      </c>
      <c r="IO23">
        <f>IF(B23="",0,IF(COUNTIF('調整・決定'!$C$6:$L$29,B23)=1,SUMPRODUCT(('調整・決定'!$C$6:$L$29=B23)*((COLUMN('調整・決定'!$C$6:$L$29)-3)*24+ROW('調整・決定'!$C$6:$L$29)-5)),0))</f>
        <v/>
      </c>
      <c r="IP23">
        <f>IFERROR(MATCH('名簿'!E18,{"早い時刻","遅い時刻","早い日","遅い日"},0),0)</f>
        <v/>
      </c>
      <c r="IQ23">
        <f>IF('名簿'!F18="必ず空けたい",2,IF('名簿'!F18="出来れば空けたい",1,0))</f>
        <v/>
      </c>
    </row>
    <row r="24">
      <c r="A24" t="n">
        <v>15</v>
      </c>
      <c r="B24">
        <f>'名簿'!G19</f>
        <v/>
      </c>
      <c r="C24">
        <f>IF(AND(B24&lt;&gt;"",OR('名簿'!H19="入力済み",'名簿'!H19="×なし"),IO24=0,COUNTIF('調整・決定'!$C$6:$L$29,B24)=0),1,0)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ER24">
        <f>IF(ER$4=1,IF(OR(INDEX('×入力'!$A$1:$L$1300,399+ER$3,2+ER$2)&lt;&gt;"",INDEX('×入力'!$A$1:$L$1300,398,2+ER$2)&lt;&gt;"",INDEX('×入力'!$A$1:$L$1300,399+ER$3,1)&lt;&gt;""),1,0),0)</f>
        <v/>
      </c>
      <c r="ES24">
        <f>IF(ES$4=1,IF(OR(INDEX('×入力'!$A$1:$L$1300,399+ES$3,2+ES$2)&lt;&gt;"",INDEX('×入力'!$A$1:$L$1300,398,2+ES$2)&lt;&gt;"",INDEX('×入力'!$A$1:$L$1300,399+ES$3,1)&lt;&gt;""),1,0),0)</f>
        <v/>
      </c>
      <c r="ET24">
        <f>IF(ET$4=1,IF(OR(INDEX('×入力'!$A$1:$L$1300,399+ET$3,2+ET$2)&lt;&gt;"",INDEX('×入力'!$A$1:$L$1300,398,2+ET$2)&lt;&gt;"",INDEX('×入力'!$A$1:$L$1300,399+ET$3,1)&lt;&gt;""),1,0),0)</f>
        <v/>
      </c>
      <c r="EU24">
        <f>IF(EU$4=1,IF(OR(INDEX('×入力'!$A$1:$L$1300,399+EU$3,2+EU$2)&lt;&gt;"",INDEX('×入力'!$A$1:$L$1300,398,2+EU$2)&lt;&gt;"",INDEX('×入力'!$A$1:$L$1300,399+EU$3,1)&lt;&gt;""),1,0),0)</f>
        <v/>
      </c>
      <c r="EV24">
        <f>IF(EV$4=1,IF(OR(INDEX('×入力'!$A$1:$L$1300,399+EV$3,2+EV$2)&lt;&gt;"",INDEX('×入力'!$A$1:$L$1300,398,2+EV$2)&lt;&gt;"",INDEX('×入力'!$A$1:$L$1300,399+EV$3,1)&lt;&gt;""),1,0),0)</f>
        <v/>
      </c>
      <c r="EW24">
        <f>IF(EW$4=1,IF(OR(INDEX('×入力'!$A$1:$L$1300,399+EW$3,2+EW$2)&lt;&gt;"",INDEX('×入力'!$A$1:$L$1300,398,2+EW$2)&lt;&gt;"",INDEX('×入力'!$A$1:$L$1300,399+EW$3,1)&lt;&gt;""),1,0),0)</f>
        <v/>
      </c>
      <c r="EX24">
        <f>IF(EX$4=1,IF(OR(INDEX('×入力'!$A$1:$L$1300,399+EX$3,2+EX$2)&lt;&gt;"",INDEX('×入力'!$A$1:$L$1300,398,2+EX$2)&lt;&gt;"",INDEX('×入力'!$A$1:$L$1300,399+EX$3,1)&lt;&gt;""),1,0),0)</f>
        <v/>
      </c>
      <c r="EY24">
        <f>IF(EY$4=1,IF(OR(INDEX('×入力'!$A$1:$L$1300,399+EY$3,2+EY$2)&lt;&gt;"",INDEX('×入力'!$A$1:$L$1300,398,2+EY$2)&lt;&gt;"",INDEX('×入力'!$A$1:$L$1300,399+EY$3,1)&lt;&gt;""),1,0),0)</f>
        <v/>
      </c>
      <c r="EZ24">
        <f>IF(EZ$4=1,IF(OR(INDEX('×入力'!$A$1:$L$1300,399+EZ$3,2+EZ$2)&lt;&gt;"",INDEX('×入力'!$A$1:$L$1300,398,2+EZ$2)&lt;&gt;"",INDEX('×入力'!$A$1:$L$1300,399+EZ$3,1)&lt;&gt;""),1,0),0)</f>
        <v/>
      </c>
      <c r="FA24">
        <f>IF(FA$4=1,IF(OR(INDEX('×入力'!$A$1:$L$1300,399+FA$3,2+FA$2)&lt;&gt;"",INDEX('×入力'!$A$1:$L$1300,398,2+FA$2)&lt;&gt;"",INDEX('×入力'!$A$1:$L$1300,399+FA$3,1)&lt;&gt;""),1,0),0)</f>
        <v/>
      </c>
      <c r="FB24">
        <f>IF(FB$4=1,IF(OR(INDEX('×入力'!$A$1:$L$1300,399+FB$3,2+FB$2)&lt;&gt;"",INDEX('×入力'!$A$1:$L$1300,398,2+FB$2)&lt;&gt;"",INDEX('×入力'!$A$1:$L$1300,399+FB$3,1)&lt;&gt;""),1,0),0)</f>
        <v/>
      </c>
      <c r="FC24">
        <f>IF(FC$4=1,IF(OR(INDEX('×入力'!$A$1:$L$1300,399+FC$3,2+FC$2)&lt;&gt;"",INDEX('×入力'!$A$1:$L$1300,398,2+FC$2)&lt;&gt;"",INDEX('×入力'!$A$1:$L$1300,399+FC$3,1)&lt;&gt;""),1,0),0)</f>
        <v/>
      </c>
      <c r="FD24">
        <f>IF(FD$4=1,IF(OR(INDEX('×入力'!$A$1:$L$1300,399+FD$3,2+FD$2)&lt;&gt;"",INDEX('×入力'!$A$1:$L$1300,398,2+FD$2)&lt;&gt;"",INDEX('×入力'!$A$1:$L$1300,399+FD$3,1)&lt;&gt;""),1,0),0)</f>
        <v/>
      </c>
      <c r="FE24">
        <f>IF(FE$4=1,IF(OR(INDEX('×入力'!$A$1:$L$1300,399+FE$3,2+FE$2)&lt;&gt;"",INDEX('×入力'!$A$1:$L$1300,398,2+FE$2)&lt;&gt;"",INDEX('×入力'!$A$1:$L$1300,399+FE$3,1)&lt;&gt;""),1,0),0)</f>
        <v/>
      </c>
      <c r="FF24">
        <f>IF(FF$4=1,IF(OR(INDEX('×入力'!$A$1:$L$1300,399+FF$3,2+FF$2)&lt;&gt;"",INDEX('×入力'!$A$1:$L$1300,398,2+FF$2)&lt;&gt;"",INDEX('×入力'!$A$1:$L$1300,399+FF$3,1)&lt;&gt;""),1,0),0)</f>
        <v/>
      </c>
      <c r="FG24">
        <f>IF(FG$4=1,IF(OR(INDEX('×入力'!$A$1:$L$1300,399+FG$3,2+FG$2)&lt;&gt;"",INDEX('×入力'!$A$1:$L$1300,398,2+FG$2)&lt;&gt;"",INDEX('×入力'!$A$1:$L$1300,399+FG$3,1)&lt;&gt;""),1,0),0)</f>
        <v/>
      </c>
      <c r="FH24">
        <f>IF(FH$4=1,IF(OR(INDEX('×入力'!$A$1:$L$1300,399+FH$3,2+FH$2)&lt;&gt;"",INDEX('×入力'!$A$1:$L$1300,398,2+FH$2)&lt;&gt;"",INDEX('×入力'!$A$1:$L$1300,399+FH$3,1)&lt;&gt;""),1,0),0)</f>
        <v/>
      </c>
      <c r="FI24">
        <f>IF(FI$4=1,IF(OR(INDEX('×入力'!$A$1:$L$1300,399+FI$3,2+FI$2)&lt;&gt;"",INDEX('×入力'!$A$1:$L$1300,398,2+FI$2)&lt;&gt;"",INDEX('×入力'!$A$1:$L$1300,399+FI$3,1)&lt;&gt;""),1,0),0)</f>
        <v/>
      </c>
      <c r="FJ24">
        <f>IF(FJ$4=1,IF(OR(INDEX('×入力'!$A$1:$L$1300,399+FJ$3,2+FJ$2)&lt;&gt;"",INDEX('×入力'!$A$1:$L$1300,398,2+FJ$2)&lt;&gt;"",INDEX('×入力'!$A$1:$L$1300,399+FJ$3,1)&lt;&gt;""),1,0),0)</f>
        <v/>
      </c>
      <c r="FK24">
        <f>IF(FK$4=1,IF(OR(INDEX('×入力'!$A$1:$L$1300,399+FK$3,2+FK$2)&lt;&gt;"",INDEX('×入力'!$A$1:$L$1300,398,2+FK$2)&lt;&gt;"",INDEX('×入力'!$A$1:$L$1300,399+FK$3,1)&lt;&gt;""),1,0),0)</f>
        <v/>
      </c>
      <c r="FL24">
        <f>IF(FL$4=1,IF(OR(INDEX('×入力'!$A$1:$L$1300,399+FL$3,2+FL$2)&lt;&gt;"",INDEX('×入力'!$A$1:$L$1300,398,2+FL$2)&lt;&gt;"",INDEX('×入力'!$A$1:$L$1300,399+FL$3,1)&lt;&gt;""),1,0),0)</f>
        <v/>
      </c>
      <c r="FM24">
        <f>IF(FM$4=1,IF(OR(INDEX('×入力'!$A$1:$L$1300,399+FM$3,2+FM$2)&lt;&gt;"",INDEX('×入力'!$A$1:$L$1300,398,2+FM$2)&lt;&gt;"",INDEX('×入力'!$A$1:$L$1300,399+FM$3,1)&lt;&gt;""),1,0),0)</f>
        <v/>
      </c>
      <c r="FN24">
        <f>IF(FN$4=1,IF(OR(INDEX('×入力'!$A$1:$L$1300,399+FN$3,2+FN$2)&lt;&gt;"",INDEX('×入力'!$A$1:$L$1300,398,2+FN$2)&lt;&gt;"",INDEX('×入力'!$A$1:$L$1300,399+FN$3,1)&lt;&gt;""),1,0),0)</f>
        <v/>
      </c>
      <c r="FO24">
        <f>IF(FO$4=1,IF(OR(INDEX('×入力'!$A$1:$L$1300,399+FO$3,2+FO$2)&lt;&gt;"",INDEX('×入力'!$A$1:$L$1300,398,2+FO$2)&lt;&gt;"",INDEX('×入力'!$A$1:$L$1300,399+FO$3,1)&lt;&gt;""),1,0),0)</f>
        <v/>
      </c>
      <c r="FP24">
        <f>IF(FP$4=1,IF(OR(INDEX('×入力'!$A$1:$L$1300,399+FP$3,2+FP$2)&lt;&gt;"",INDEX('×入力'!$A$1:$L$1300,398,2+FP$2)&lt;&gt;"",INDEX('×入力'!$A$1:$L$1300,399+FP$3,1)&lt;&gt;""),1,0),0)</f>
        <v/>
      </c>
      <c r="FQ24">
        <f>IF(FQ$4=1,IF(OR(INDEX('×入力'!$A$1:$L$1300,399+FQ$3,2+FQ$2)&lt;&gt;"",INDEX('×入力'!$A$1:$L$1300,398,2+FQ$2)&lt;&gt;"",INDEX('×入力'!$A$1:$L$1300,399+FQ$3,1)&lt;&gt;""),1,0),0)</f>
        <v/>
      </c>
      <c r="FR24">
        <f>IF(FR$4=1,IF(OR(INDEX('×入力'!$A$1:$L$1300,399+FR$3,2+FR$2)&lt;&gt;"",INDEX('×入力'!$A$1:$L$1300,398,2+FR$2)&lt;&gt;"",INDEX('×入力'!$A$1:$L$1300,399+FR$3,1)&lt;&gt;""),1,0),0)</f>
        <v/>
      </c>
      <c r="FS24">
        <f>IF(FS$4=1,IF(OR(INDEX('×入力'!$A$1:$L$1300,399+FS$3,2+FS$2)&lt;&gt;"",INDEX('×入力'!$A$1:$L$1300,398,2+FS$2)&lt;&gt;"",INDEX('×入力'!$A$1:$L$1300,399+FS$3,1)&lt;&gt;""),1,0),0)</f>
        <v/>
      </c>
      <c r="FT24">
        <f>IF(FT$4=1,IF(OR(INDEX('×入力'!$A$1:$L$1300,399+FT$3,2+FT$2)&lt;&gt;"",INDEX('×入力'!$A$1:$L$1300,398,2+FT$2)&lt;&gt;"",INDEX('×入力'!$A$1:$L$1300,399+FT$3,1)&lt;&gt;""),1,0),0)</f>
        <v/>
      </c>
      <c r="FU24">
        <f>IF(FU$4=1,IF(OR(INDEX('×入力'!$A$1:$L$1300,399+FU$3,2+FU$2)&lt;&gt;"",INDEX('×入力'!$A$1:$L$1300,398,2+FU$2)&lt;&gt;"",INDEX('×入力'!$A$1:$L$1300,399+FU$3,1)&lt;&gt;""),1,0),0)</f>
        <v/>
      </c>
      <c r="FV24">
        <f>IF(FV$4=1,IF(OR(INDEX('×入力'!$A$1:$L$1300,399+FV$3,2+FV$2)&lt;&gt;"",INDEX('×入力'!$A$1:$L$1300,398,2+FV$2)&lt;&gt;"",INDEX('×入力'!$A$1:$L$1300,399+FV$3,1)&lt;&gt;""),1,0),0)</f>
        <v/>
      </c>
      <c r="FW24">
        <f>IF(FW$4=1,IF(OR(INDEX('×入力'!$A$1:$L$1300,399+FW$3,2+FW$2)&lt;&gt;"",INDEX('×入力'!$A$1:$L$1300,398,2+FW$2)&lt;&gt;"",INDEX('×入力'!$A$1:$L$1300,399+FW$3,1)&lt;&gt;""),1,0),0)</f>
        <v/>
      </c>
      <c r="FX24">
        <f>IF(FX$4=1,IF(OR(INDEX('×入力'!$A$1:$L$1300,399+FX$3,2+FX$2)&lt;&gt;"",INDEX('×入力'!$A$1:$L$1300,398,2+FX$2)&lt;&gt;"",INDEX('×入力'!$A$1:$L$1300,399+FX$3,1)&lt;&gt;""),1,0),0)</f>
        <v/>
      </c>
      <c r="FY24">
        <f>IF(FY$4=1,IF(OR(INDEX('×入力'!$A$1:$L$1300,399+FY$3,2+FY$2)&lt;&gt;"",INDEX('×入力'!$A$1:$L$1300,398,2+FY$2)&lt;&gt;"",INDEX('×入力'!$A$1:$L$1300,399+FY$3,1)&lt;&gt;""),1,0),0)</f>
        <v/>
      </c>
      <c r="FZ24">
        <f>IF(FZ$4=1,IF(OR(INDEX('×入力'!$A$1:$L$1300,399+FZ$3,2+FZ$2)&lt;&gt;"",INDEX('×入力'!$A$1:$L$1300,398,2+FZ$2)&lt;&gt;"",INDEX('×入力'!$A$1:$L$1300,399+FZ$3,1)&lt;&gt;""),1,0),0)</f>
        <v/>
      </c>
      <c r="GA24">
        <f>IF(GA$4=1,IF(OR(INDEX('×入力'!$A$1:$L$1300,399+GA$3,2+GA$2)&lt;&gt;"",INDEX('×入力'!$A$1:$L$1300,398,2+GA$2)&lt;&gt;"",INDEX('×入力'!$A$1:$L$1300,399+GA$3,1)&lt;&gt;""),1,0),0)</f>
        <v/>
      </c>
      <c r="GB24">
        <f>IF(GB$4=1,IF(OR(INDEX('×入力'!$A$1:$L$1300,399+GB$3,2+GB$2)&lt;&gt;"",INDEX('×入力'!$A$1:$L$1300,398,2+GB$2)&lt;&gt;"",INDEX('×入力'!$A$1:$L$1300,399+GB$3,1)&lt;&gt;""),1,0),0)</f>
        <v/>
      </c>
      <c r="GC24">
        <f>IF(GC$4=1,IF(OR(INDEX('×入力'!$A$1:$L$1300,399+GC$3,2+GC$2)&lt;&gt;"",INDEX('×入力'!$A$1:$L$1300,398,2+GC$2)&lt;&gt;"",INDEX('×入力'!$A$1:$L$1300,399+GC$3,1)&lt;&gt;""),1,0),0)</f>
        <v/>
      </c>
      <c r="GD24">
        <f>IF(GD$4=1,IF(OR(INDEX('×入力'!$A$1:$L$1300,399+GD$3,2+GD$2)&lt;&gt;"",INDEX('×入力'!$A$1:$L$1300,398,2+GD$2)&lt;&gt;"",INDEX('×入力'!$A$1:$L$1300,399+GD$3,1)&lt;&gt;""),1,0),0)</f>
        <v/>
      </c>
      <c r="GE24">
        <f>IF(GE$4=1,IF(OR(INDEX('×入力'!$A$1:$L$1300,399+GE$3,2+GE$2)&lt;&gt;"",INDEX('×入力'!$A$1:$L$1300,398,2+GE$2)&lt;&gt;"",INDEX('×入力'!$A$1:$L$1300,399+GE$3,1)&lt;&gt;""),1,0),0)</f>
        <v/>
      </c>
      <c r="GF24">
        <f>IF(GF$4=1,IF(OR(INDEX('×入力'!$A$1:$L$1300,399+GF$3,2+GF$2)&lt;&gt;"",INDEX('×入力'!$A$1:$L$1300,398,2+GF$2)&lt;&gt;"",INDEX('×入力'!$A$1:$L$1300,399+GF$3,1)&lt;&gt;""),1,0),0)</f>
        <v/>
      </c>
      <c r="GG24">
        <f>IF(GG$4=1,IF(OR(INDEX('×入力'!$A$1:$L$1300,399+GG$3,2+GG$2)&lt;&gt;"",INDEX('×入力'!$A$1:$L$1300,398,2+GG$2)&lt;&gt;"",INDEX('×入力'!$A$1:$L$1300,399+GG$3,1)&lt;&gt;""),1,0),0)</f>
        <v/>
      </c>
      <c r="GH24">
        <f>IF(GH$4=1,IF(OR(INDEX('×入力'!$A$1:$L$1300,399+GH$3,2+GH$2)&lt;&gt;"",INDEX('×入力'!$A$1:$L$1300,398,2+GH$2)&lt;&gt;"",INDEX('×入力'!$A$1:$L$1300,399+GH$3,1)&lt;&gt;""),1,0),0)</f>
        <v/>
      </c>
      <c r="GI24">
        <f>IF(GI$4=1,IF(OR(INDEX('×入力'!$A$1:$L$1300,399+GI$3,2+GI$2)&lt;&gt;"",INDEX('×入力'!$A$1:$L$1300,398,2+GI$2)&lt;&gt;"",INDEX('×入力'!$A$1:$L$1300,399+GI$3,1)&lt;&gt;""),1,0),0)</f>
        <v/>
      </c>
      <c r="GJ24">
        <f>IF(GJ$4=1,IF(OR(INDEX('×入力'!$A$1:$L$1300,399+GJ$3,2+GJ$2)&lt;&gt;"",INDEX('×入力'!$A$1:$L$1300,398,2+GJ$2)&lt;&gt;"",INDEX('×入力'!$A$1:$L$1300,399+GJ$3,1)&lt;&gt;""),1,0),0)</f>
        <v/>
      </c>
      <c r="GK24">
        <f>IF(GK$4=1,IF(OR(INDEX('×入力'!$A$1:$L$1300,399+GK$3,2+GK$2)&lt;&gt;"",INDEX('×入力'!$A$1:$L$1300,398,2+GK$2)&lt;&gt;"",INDEX('×入力'!$A$1:$L$1300,399+GK$3,1)&lt;&gt;""),1,0),0)</f>
        <v/>
      </c>
      <c r="GL24">
        <f>IF(GL$4=1,IF(OR(INDEX('×入力'!$A$1:$L$1300,399+GL$3,2+GL$2)&lt;&gt;"",INDEX('×入力'!$A$1:$L$1300,398,2+GL$2)&lt;&gt;"",INDEX('×入力'!$A$1:$L$1300,399+GL$3,1)&lt;&gt;""),1,0),0)</f>
        <v/>
      </c>
      <c r="GM24">
        <f>IF(GM$4=1,IF(OR(INDEX('×入力'!$A$1:$L$1300,399+GM$3,2+GM$2)&lt;&gt;"",INDEX('×入力'!$A$1:$L$1300,398,2+GM$2)&lt;&gt;"",INDEX('×入力'!$A$1:$L$1300,399+GM$3,1)&lt;&gt;""),1,0),0)</f>
        <v/>
      </c>
      <c r="GN24">
        <f>IF(GN$4=1,IF(OR(INDEX('×入力'!$A$1:$L$1300,399+GN$3,2+GN$2)&lt;&gt;"",INDEX('×入力'!$A$1:$L$1300,398,2+GN$2)&lt;&gt;"",INDEX('×入力'!$A$1:$L$1300,399+GN$3,1)&lt;&gt;""),1,0),0)</f>
        <v/>
      </c>
      <c r="GO24">
        <f>IF(GO$4=1,IF(OR(INDEX('×入力'!$A$1:$L$1300,399+GO$3,2+GO$2)&lt;&gt;"",INDEX('×入力'!$A$1:$L$1300,398,2+GO$2)&lt;&gt;"",INDEX('×入力'!$A$1:$L$1300,399+GO$3,1)&lt;&gt;""),1,0),0)</f>
        <v/>
      </c>
      <c r="GP24">
        <f>IF(GP$4=1,IF(OR(INDEX('×入力'!$A$1:$L$1300,399+GP$3,2+GP$2)&lt;&gt;"",INDEX('×入力'!$A$1:$L$1300,398,2+GP$2)&lt;&gt;"",INDEX('×入力'!$A$1:$L$1300,399+GP$3,1)&lt;&gt;""),1,0),0)</f>
        <v/>
      </c>
      <c r="GQ24">
        <f>IF(GQ$4=1,IF(OR(INDEX('×入力'!$A$1:$L$1300,399+GQ$3,2+GQ$2)&lt;&gt;"",INDEX('×入力'!$A$1:$L$1300,398,2+GQ$2)&lt;&gt;"",INDEX('×入力'!$A$1:$L$1300,399+GQ$3,1)&lt;&gt;""),1,0),0)</f>
        <v/>
      </c>
      <c r="GR24">
        <f>IF(GR$4=1,IF(OR(INDEX('×入力'!$A$1:$L$1300,399+GR$3,2+GR$2)&lt;&gt;"",INDEX('×入力'!$A$1:$L$1300,398,2+GR$2)&lt;&gt;"",INDEX('×入力'!$A$1:$L$1300,399+GR$3,1)&lt;&gt;""),1,0),0)</f>
        <v/>
      </c>
      <c r="GS24">
        <f>IF(GS$4=1,IF(OR(INDEX('×入力'!$A$1:$L$1300,399+GS$3,2+GS$2)&lt;&gt;"",INDEX('×入力'!$A$1:$L$1300,398,2+GS$2)&lt;&gt;"",INDEX('×入力'!$A$1:$L$1300,399+GS$3,1)&lt;&gt;""),1,0),0)</f>
        <v/>
      </c>
      <c r="GT24">
        <f>IF(GT$4=1,IF(OR(INDEX('×入力'!$A$1:$L$1300,399+GT$3,2+GT$2)&lt;&gt;"",INDEX('×入力'!$A$1:$L$1300,398,2+GT$2)&lt;&gt;"",INDEX('×入力'!$A$1:$L$1300,399+GT$3,1)&lt;&gt;""),1,0),0)</f>
        <v/>
      </c>
      <c r="GU24">
        <f>IF(GU$4=1,IF(OR(INDEX('×入力'!$A$1:$L$1300,399+GU$3,2+GU$2)&lt;&gt;"",INDEX('×入力'!$A$1:$L$1300,398,2+GU$2)&lt;&gt;"",INDEX('×入力'!$A$1:$L$1300,399+GU$3,1)&lt;&gt;""),1,0),0)</f>
        <v/>
      </c>
      <c r="GV24">
        <f>IF(GV$4=1,IF(OR(INDEX('×入力'!$A$1:$L$1300,399+GV$3,2+GV$2)&lt;&gt;"",INDEX('×入力'!$A$1:$L$1300,398,2+GV$2)&lt;&gt;"",INDEX('×入力'!$A$1:$L$1300,399+GV$3,1)&lt;&gt;""),1,0),0)</f>
        <v/>
      </c>
      <c r="GW24">
        <f>IF(GW$4=1,IF(OR(INDEX('×入力'!$A$1:$L$1300,399+GW$3,2+GW$2)&lt;&gt;"",INDEX('×入力'!$A$1:$L$1300,398,2+GW$2)&lt;&gt;"",INDEX('×入力'!$A$1:$L$1300,399+GW$3,1)&lt;&gt;""),1,0),0)</f>
        <v/>
      </c>
      <c r="GX24">
        <f>IF(GX$4=1,IF(OR(INDEX('×入力'!$A$1:$L$1300,399+GX$3,2+GX$2)&lt;&gt;"",INDEX('×入力'!$A$1:$L$1300,398,2+GX$2)&lt;&gt;"",INDEX('×入力'!$A$1:$L$1300,399+GX$3,1)&lt;&gt;""),1,0),0)</f>
        <v/>
      </c>
      <c r="GY24">
        <f>IF(GY$4=1,IF(OR(INDEX('×入力'!$A$1:$L$1300,399+GY$3,2+GY$2)&lt;&gt;"",INDEX('×入力'!$A$1:$L$1300,398,2+GY$2)&lt;&gt;"",INDEX('×入力'!$A$1:$L$1300,399+GY$3,1)&lt;&gt;""),1,0),0)</f>
        <v/>
      </c>
      <c r="GZ24">
        <f>IF(GZ$4=1,IF(OR(INDEX('×入力'!$A$1:$L$1300,399+GZ$3,2+GZ$2)&lt;&gt;"",INDEX('×入力'!$A$1:$L$1300,398,2+GZ$2)&lt;&gt;"",INDEX('×入力'!$A$1:$L$1300,399+GZ$3,1)&lt;&gt;""),1,0),0)</f>
        <v/>
      </c>
      <c r="HA24">
        <f>IF(HA$4=1,IF(OR(INDEX('×入力'!$A$1:$L$1300,399+HA$3,2+HA$2)&lt;&gt;"",INDEX('×入力'!$A$1:$L$1300,398,2+HA$2)&lt;&gt;"",INDEX('×入力'!$A$1:$L$1300,399+HA$3,1)&lt;&gt;""),1,0),0)</f>
        <v/>
      </c>
      <c r="HB24">
        <f>IF(HB$4=1,IF(OR(INDEX('×入力'!$A$1:$L$1300,399+HB$3,2+HB$2)&lt;&gt;"",INDEX('×入力'!$A$1:$L$1300,398,2+HB$2)&lt;&gt;"",INDEX('×入力'!$A$1:$L$1300,399+HB$3,1)&lt;&gt;""),1,0),0)</f>
        <v/>
      </c>
      <c r="HC24">
        <f>IF(HC$4=1,IF(OR(INDEX('×入力'!$A$1:$L$1300,399+HC$3,2+HC$2)&lt;&gt;"",INDEX('×入力'!$A$1:$L$1300,398,2+HC$2)&lt;&gt;"",INDEX('×入力'!$A$1:$L$1300,399+HC$3,1)&lt;&gt;""),1,0),0)</f>
        <v/>
      </c>
      <c r="HD24">
        <f>IF(HD$4=1,IF(OR(INDEX('×入力'!$A$1:$L$1300,399+HD$3,2+HD$2)&lt;&gt;"",INDEX('×入力'!$A$1:$L$1300,398,2+HD$2)&lt;&gt;"",INDEX('×入力'!$A$1:$L$1300,399+HD$3,1)&lt;&gt;""),1,0),0)</f>
        <v/>
      </c>
      <c r="HE24">
        <f>IF(HE$4=1,IF(OR(INDEX('×入力'!$A$1:$L$1300,399+HE$3,2+HE$2)&lt;&gt;"",INDEX('×入力'!$A$1:$L$1300,398,2+HE$2)&lt;&gt;"",INDEX('×入力'!$A$1:$L$1300,399+HE$3,1)&lt;&gt;""),1,0),0)</f>
        <v/>
      </c>
      <c r="HF24">
        <f>IF(HF$4=1,IF(OR(INDEX('×入力'!$A$1:$L$1300,399+HF$3,2+HF$2)&lt;&gt;"",INDEX('×入力'!$A$1:$L$1300,398,2+HF$2)&lt;&gt;"",INDEX('×入力'!$A$1:$L$1300,399+HF$3,1)&lt;&gt;""),1,0),0)</f>
        <v/>
      </c>
      <c r="HG24">
        <f>IF(HG$4=1,IF(OR(INDEX('×入力'!$A$1:$L$1300,399+HG$3,2+HG$2)&lt;&gt;"",INDEX('×入力'!$A$1:$L$1300,398,2+HG$2)&lt;&gt;"",INDEX('×入力'!$A$1:$L$1300,399+HG$3,1)&lt;&gt;""),1,0),0)</f>
        <v/>
      </c>
      <c r="HH24">
        <f>IF(HH$4=1,IF(OR(INDEX('×入力'!$A$1:$L$1300,399+HH$3,2+HH$2)&lt;&gt;"",INDEX('×入力'!$A$1:$L$1300,398,2+HH$2)&lt;&gt;"",INDEX('×入力'!$A$1:$L$1300,399+HH$3,1)&lt;&gt;""),1,0),0)</f>
        <v/>
      </c>
      <c r="HI24">
        <f>IF(HI$4=1,IF(OR(INDEX('×入力'!$A$1:$L$1300,399+HI$3,2+HI$2)&lt;&gt;"",INDEX('×入力'!$A$1:$L$1300,398,2+HI$2)&lt;&gt;"",INDEX('×入力'!$A$1:$L$1300,399+HI$3,1)&lt;&gt;""),1,0),0)</f>
        <v/>
      </c>
      <c r="HJ24">
        <f>IF(HJ$4=1,IF(OR(INDEX('×入力'!$A$1:$L$1300,399+HJ$3,2+HJ$2)&lt;&gt;"",INDEX('×入力'!$A$1:$L$1300,398,2+HJ$2)&lt;&gt;"",INDEX('×入力'!$A$1:$L$1300,399+HJ$3,1)&lt;&gt;""),1,0),0)</f>
        <v/>
      </c>
      <c r="HK24">
        <f>IF(HK$4=1,IF(OR(INDEX('×入力'!$A$1:$L$1300,399+HK$3,2+HK$2)&lt;&gt;"",INDEX('×入力'!$A$1:$L$1300,398,2+HK$2)&lt;&gt;"",INDEX('×入力'!$A$1:$L$1300,399+HK$3,1)&lt;&gt;""),1,0),0)</f>
        <v/>
      </c>
      <c r="HL24">
        <f>IF(HL$4=1,IF(OR(INDEX('×入力'!$A$1:$L$1300,399+HL$3,2+HL$2)&lt;&gt;"",INDEX('×入力'!$A$1:$L$1300,398,2+HL$2)&lt;&gt;"",INDEX('×入力'!$A$1:$L$1300,399+HL$3,1)&lt;&gt;""),1,0),0)</f>
        <v/>
      </c>
      <c r="HM24">
        <f>IF(HM$4=1,IF(OR(INDEX('×入力'!$A$1:$L$1300,399+HM$3,2+HM$2)&lt;&gt;"",INDEX('×入力'!$A$1:$L$1300,398,2+HM$2)&lt;&gt;"",INDEX('×入力'!$A$1:$L$1300,399+HM$3,1)&lt;&gt;""),1,0),0)</f>
        <v/>
      </c>
      <c r="HN24">
        <f>IF(HN$4=1,IF(OR(INDEX('×入力'!$A$1:$L$1300,399+HN$3,2+HN$2)&lt;&gt;"",INDEX('×入力'!$A$1:$L$1300,398,2+HN$2)&lt;&gt;"",INDEX('×入力'!$A$1:$L$1300,399+HN$3,1)&lt;&gt;""),1,0),0)</f>
        <v/>
      </c>
      <c r="HO24">
        <f>IF(HO$4=1,IF(OR(INDEX('×入力'!$A$1:$L$1300,399+HO$3,2+HO$2)&lt;&gt;"",INDEX('×入力'!$A$1:$L$1300,398,2+HO$2)&lt;&gt;"",INDEX('×入力'!$A$1:$L$1300,399+HO$3,1)&lt;&gt;""),1,0),0)</f>
        <v/>
      </c>
      <c r="HP24">
        <f>IF(HP$4=1,IF(OR(INDEX('×入力'!$A$1:$L$1300,399+HP$3,2+HP$2)&lt;&gt;"",INDEX('×入力'!$A$1:$L$1300,398,2+HP$2)&lt;&gt;"",INDEX('×入力'!$A$1:$L$1300,399+HP$3,1)&lt;&gt;""),1,0),0)</f>
        <v/>
      </c>
      <c r="HQ24">
        <f>IF(HQ$4=1,IF(OR(INDEX('×入力'!$A$1:$L$1300,399+HQ$3,2+HQ$2)&lt;&gt;"",INDEX('×入力'!$A$1:$L$1300,398,2+HQ$2)&lt;&gt;"",INDEX('×入力'!$A$1:$L$1300,399+HQ$3,1)&lt;&gt;""),1,0),0)</f>
        <v/>
      </c>
      <c r="HR24">
        <f>IF(HR$4=1,IF(OR(INDEX('×入力'!$A$1:$L$1300,399+HR$3,2+HR$2)&lt;&gt;"",INDEX('×入力'!$A$1:$L$1300,398,2+HR$2)&lt;&gt;"",INDEX('×入力'!$A$1:$L$1300,399+HR$3,1)&lt;&gt;""),1,0),0)</f>
        <v/>
      </c>
      <c r="HS24">
        <f>IF(HS$4=1,IF(OR(INDEX('×入力'!$A$1:$L$1300,399+HS$3,2+HS$2)&lt;&gt;"",INDEX('×入力'!$A$1:$L$1300,398,2+HS$2)&lt;&gt;"",INDEX('×入力'!$A$1:$L$1300,399+HS$3,1)&lt;&gt;""),1,0),0)</f>
        <v/>
      </c>
      <c r="HT24">
        <f>IF(HT$4=1,IF(OR(INDEX('×入力'!$A$1:$L$1300,399+HT$3,2+HT$2)&lt;&gt;"",INDEX('×入力'!$A$1:$L$1300,398,2+HT$2)&lt;&gt;"",INDEX('×入力'!$A$1:$L$1300,399+HT$3,1)&lt;&gt;""),1,0),0)</f>
        <v/>
      </c>
      <c r="HU24">
        <f>IF(HU$4=1,IF(OR(INDEX('×入力'!$A$1:$L$1300,399+HU$3,2+HU$2)&lt;&gt;"",INDEX('×入力'!$A$1:$L$1300,398,2+HU$2)&lt;&gt;"",INDEX('×入力'!$A$1:$L$1300,399+HU$3,1)&lt;&gt;""),1,0),0)</f>
        <v/>
      </c>
      <c r="HV24">
        <f>IF(HV$4=1,IF(OR(INDEX('×入力'!$A$1:$L$1300,399+HV$3,2+HV$2)&lt;&gt;"",INDEX('×入力'!$A$1:$L$1300,398,2+HV$2)&lt;&gt;"",INDEX('×入力'!$A$1:$L$1300,399+HV$3,1)&lt;&gt;""),1,0),0)</f>
        <v/>
      </c>
      <c r="HW24">
        <f>IF(HW$4=1,IF(OR(INDEX('×入力'!$A$1:$L$1300,399+HW$3,2+HW$2)&lt;&gt;"",INDEX('×入力'!$A$1:$L$1300,398,2+HW$2)&lt;&gt;"",INDEX('×入力'!$A$1:$L$1300,399+HW$3,1)&lt;&gt;""),1,0),0)</f>
        <v/>
      </c>
      <c r="HX24">
        <f>IF(HX$4=1,IF(OR(INDEX('×入力'!$A$1:$L$1300,399+HX$3,2+HX$2)&lt;&gt;"",INDEX('×入力'!$A$1:$L$1300,398,2+HX$2)&lt;&gt;"",INDEX('×入力'!$A$1:$L$1300,399+HX$3,1)&lt;&gt;""),1,0),0)</f>
        <v/>
      </c>
      <c r="HY24">
        <f>IF(HY$4=1,IF(OR(INDEX('×入力'!$A$1:$L$1300,399+HY$3,2+HY$2)&lt;&gt;"",INDEX('×入力'!$A$1:$L$1300,398,2+HY$2)&lt;&gt;"",INDEX('×入力'!$A$1:$L$1300,399+HY$3,1)&lt;&gt;""),1,0),0)</f>
        <v/>
      </c>
      <c r="HZ24">
        <f>IF(HZ$4=1,IF(OR(INDEX('×入力'!$A$1:$L$1300,399+HZ$3,2+HZ$2)&lt;&gt;"",INDEX('×入力'!$A$1:$L$1300,398,2+HZ$2)&lt;&gt;"",INDEX('×入力'!$A$1:$L$1300,399+HZ$3,1)&lt;&gt;""),1,0),0)</f>
        <v/>
      </c>
      <c r="IA24">
        <f>IF(IA$4=1,IF(OR(INDEX('×入力'!$A$1:$L$1300,399+IA$3,2+IA$2)&lt;&gt;"",INDEX('×入力'!$A$1:$L$1300,398,2+IA$2)&lt;&gt;"",INDEX('×入力'!$A$1:$L$1300,399+IA$3,1)&lt;&gt;""),1,0),0)</f>
        <v/>
      </c>
      <c r="IB24">
        <f>IF(IB$4=1,IF(OR(INDEX('×入力'!$A$1:$L$1300,399+IB$3,2+IB$2)&lt;&gt;"",INDEX('×入力'!$A$1:$L$1300,398,2+IB$2)&lt;&gt;"",INDEX('×入力'!$A$1:$L$1300,399+IB$3,1)&lt;&gt;""),1,0),0)</f>
        <v/>
      </c>
      <c r="IC24">
        <f>IF(IC$4=1,IF(OR(INDEX('×入力'!$A$1:$L$1300,399+IC$3,2+IC$2)&lt;&gt;"",INDEX('×入力'!$A$1:$L$1300,398,2+IC$2)&lt;&gt;"",INDEX('×入力'!$A$1:$L$1300,399+IC$3,1)&lt;&gt;""),1,0),0)</f>
        <v/>
      </c>
      <c r="ID24">
        <f>IF(ID$4=1,IF(OR(INDEX('×入力'!$A$1:$L$1300,399+ID$3,2+ID$2)&lt;&gt;"",INDEX('×入力'!$A$1:$L$1300,398,2+ID$2)&lt;&gt;"",INDEX('×入力'!$A$1:$L$1300,399+ID$3,1)&lt;&gt;""),1,0),0)</f>
        <v/>
      </c>
      <c r="IE24">
        <f>IF(IE$4=1,IF(OR(INDEX('×入力'!$A$1:$L$1300,399+IE$3,2+IE$2)&lt;&gt;"",INDEX('×入力'!$A$1:$L$1300,398,2+IE$2)&lt;&gt;"",INDEX('×入力'!$A$1:$L$1300,399+IE$3,1)&lt;&gt;""),1,0),0)</f>
        <v/>
      </c>
      <c r="IF24">
        <f>IF(IF$4=1,IF(OR(INDEX('×入力'!$A$1:$L$1300,399+IF$3,2+IF$2)&lt;&gt;"",INDEX('×入力'!$A$1:$L$1300,398,2+IF$2)&lt;&gt;"",INDEX('×入力'!$A$1:$L$1300,399+IF$3,1)&lt;&gt;""),1,0),0)</f>
        <v/>
      </c>
      <c r="IG24">
        <f>IF(IG$4=1,IF(OR(INDEX('×入力'!$A$1:$L$1300,399+IG$3,2+IG$2)&lt;&gt;"",INDEX('×入力'!$A$1:$L$1300,398,2+IG$2)&lt;&gt;"",INDEX('×入力'!$A$1:$L$1300,399+IG$3,1)&lt;&gt;""),1,0),0)</f>
        <v/>
      </c>
      <c r="IH24">
        <f>IF(IH$4=1,IF(OR(INDEX('×入力'!$A$1:$L$1300,399+IH$3,2+IH$2)&lt;&gt;"",INDEX('×入力'!$A$1:$L$1300,398,2+IH$2)&lt;&gt;"",INDEX('×入力'!$A$1:$L$1300,399+IH$3,1)&lt;&gt;""),1,0),0)</f>
        <v/>
      </c>
      <c r="II24">
        <f>IF(II$4=1,IF(OR(INDEX('×入力'!$A$1:$L$1300,399+II$3,2+II$2)&lt;&gt;"",INDEX('×入力'!$A$1:$L$1300,398,2+II$2)&lt;&gt;"",INDEX('×入力'!$A$1:$L$1300,399+II$3,1)&lt;&gt;""),1,0),0)</f>
        <v/>
      </c>
      <c r="IK24">
        <f>IFERROR(INDEX('計算B'!$C$3:$C$47,MATCH(A24,'計算B'!$B$3:$B$47,0)),0)</f>
        <v/>
      </c>
      <c r="IL24">
        <f>IF(AND(C24=1,IK24=0),1,0)</f>
        <v/>
      </c>
      <c r="IM24">
        <f>SUMPRODUCT(D74:II74*(1-$D$7:$II$7))</f>
        <v/>
      </c>
      <c r="IN24">
        <f>SUM(D24:II24)</f>
        <v/>
      </c>
      <c r="IO24">
        <f>IF(B24="",0,IF(COUNTIF('調整・決定'!$C$6:$L$29,B24)=1,SUMPRODUCT(('調整・決定'!$C$6:$L$29=B24)*((COLUMN('調整・決定'!$C$6:$L$29)-3)*24+ROW('調整・決定'!$C$6:$L$29)-5)),0))</f>
        <v/>
      </c>
      <c r="IP24">
        <f>IFERROR(MATCH('名簿'!E19,{"早い時刻","遅い時刻","早い日","遅い日"},0),0)</f>
        <v/>
      </c>
      <c r="IQ24">
        <f>IF('名簿'!F19="必ず空けたい",2,IF('名簿'!F19="出来れば空けたい",1,0))</f>
        <v/>
      </c>
    </row>
    <row r="25">
      <c r="A25" t="n">
        <v>16</v>
      </c>
      <c r="B25">
        <f>'名簿'!G20</f>
        <v/>
      </c>
      <c r="C25">
        <f>IF(AND(B25&lt;&gt;"",OR('名簿'!H20="入力済み",'名簿'!H20="×なし"),IO25=0,COUNTIF('調整・決定'!$C$6:$L$29,B25)=0),1,0)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ER25">
        <f>IF(ER$4=1,IF(OR(INDEX('×入力'!$A$1:$L$1300,427+ER$3,2+ER$2)&lt;&gt;"",INDEX('×入力'!$A$1:$L$1300,426,2+ER$2)&lt;&gt;"",INDEX('×入力'!$A$1:$L$1300,427+ER$3,1)&lt;&gt;""),1,0),0)</f>
        <v/>
      </c>
      <c r="ES25">
        <f>IF(ES$4=1,IF(OR(INDEX('×入力'!$A$1:$L$1300,427+ES$3,2+ES$2)&lt;&gt;"",INDEX('×入力'!$A$1:$L$1300,426,2+ES$2)&lt;&gt;"",INDEX('×入力'!$A$1:$L$1300,427+ES$3,1)&lt;&gt;""),1,0),0)</f>
        <v/>
      </c>
      <c r="ET25">
        <f>IF(ET$4=1,IF(OR(INDEX('×入力'!$A$1:$L$1300,427+ET$3,2+ET$2)&lt;&gt;"",INDEX('×入力'!$A$1:$L$1300,426,2+ET$2)&lt;&gt;"",INDEX('×入力'!$A$1:$L$1300,427+ET$3,1)&lt;&gt;""),1,0),0)</f>
        <v/>
      </c>
      <c r="EU25">
        <f>IF(EU$4=1,IF(OR(INDEX('×入力'!$A$1:$L$1300,427+EU$3,2+EU$2)&lt;&gt;"",INDEX('×入力'!$A$1:$L$1300,426,2+EU$2)&lt;&gt;"",INDEX('×入力'!$A$1:$L$1300,427+EU$3,1)&lt;&gt;""),1,0),0)</f>
        <v/>
      </c>
      <c r="EV25">
        <f>IF(EV$4=1,IF(OR(INDEX('×入力'!$A$1:$L$1300,427+EV$3,2+EV$2)&lt;&gt;"",INDEX('×入力'!$A$1:$L$1300,426,2+EV$2)&lt;&gt;"",INDEX('×入力'!$A$1:$L$1300,427+EV$3,1)&lt;&gt;""),1,0),0)</f>
        <v/>
      </c>
      <c r="EW25">
        <f>IF(EW$4=1,IF(OR(INDEX('×入力'!$A$1:$L$1300,427+EW$3,2+EW$2)&lt;&gt;"",INDEX('×入力'!$A$1:$L$1300,426,2+EW$2)&lt;&gt;"",INDEX('×入力'!$A$1:$L$1300,427+EW$3,1)&lt;&gt;""),1,0),0)</f>
        <v/>
      </c>
      <c r="EX25">
        <f>IF(EX$4=1,IF(OR(INDEX('×入力'!$A$1:$L$1300,427+EX$3,2+EX$2)&lt;&gt;"",INDEX('×入力'!$A$1:$L$1300,426,2+EX$2)&lt;&gt;"",INDEX('×入力'!$A$1:$L$1300,427+EX$3,1)&lt;&gt;""),1,0),0)</f>
        <v/>
      </c>
      <c r="EY25">
        <f>IF(EY$4=1,IF(OR(INDEX('×入力'!$A$1:$L$1300,427+EY$3,2+EY$2)&lt;&gt;"",INDEX('×入力'!$A$1:$L$1300,426,2+EY$2)&lt;&gt;"",INDEX('×入力'!$A$1:$L$1300,427+EY$3,1)&lt;&gt;""),1,0),0)</f>
        <v/>
      </c>
      <c r="EZ25">
        <f>IF(EZ$4=1,IF(OR(INDEX('×入力'!$A$1:$L$1300,427+EZ$3,2+EZ$2)&lt;&gt;"",INDEX('×入力'!$A$1:$L$1300,426,2+EZ$2)&lt;&gt;"",INDEX('×入力'!$A$1:$L$1300,427+EZ$3,1)&lt;&gt;""),1,0),0)</f>
        <v/>
      </c>
      <c r="FA25">
        <f>IF(FA$4=1,IF(OR(INDEX('×入力'!$A$1:$L$1300,427+FA$3,2+FA$2)&lt;&gt;"",INDEX('×入力'!$A$1:$L$1300,426,2+FA$2)&lt;&gt;"",INDEX('×入力'!$A$1:$L$1300,427+FA$3,1)&lt;&gt;""),1,0),0)</f>
        <v/>
      </c>
      <c r="FB25">
        <f>IF(FB$4=1,IF(OR(INDEX('×入力'!$A$1:$L$1300,427+FB$3,2+FB$2)&lt;&gt;"",INDEX('×入力'!$A$1:$L$1300,426,2+FB$2)&lt;&gt;"",INDEX('×入力'!$A$1:$L$1300,427+FB$3,1)&lt;&gt;""),1,0),0)</f>
        <v/>
      </c>
      <c r="FC25">
        <f>IF(FC$4=1,IF(OR(INDEX('×入力'!$A$1:$L$1300,427+FC$3,2+FC$2)&lt;&gt;"",INDEX('×入力'!$A$1:$L$1300,426,2+FC$2)&lt;&gt;"",INDEX('×入力'!$A$1:$L$1300,427+FC$3,1)&lt;&gt;""),1,0),0)</f>
        <v/>
      </c>
      <c r="FD25">
        <f>IF(FD$4=1,IF(OR(INDEX('×入力'!$A$1:$L$1300,427+FD$3,2+FD$2)&lt;&gt;"",INDEX('×入力'!$A$1:$L$1300,426,2+FD$2)&lt;&gt;"",INDEX('×入力'!$A$1:$L$1300,427+FD$3,1)&lt;&gt;""),1,0),0)</f>
        <v/>
      </c>
      <c r="FE25">
        <f>IF(FE$4=1,IF(OR(INDEX('×入力'!$A$1:$L$1300,427+FE$3,2+FE$2)&lt;&gt;"",INDEX('×入力'!$A$1:$L$1300,426,2+FE$2)&lt;&gt;"",INDEX('×入力'!$A$1:$L$1300,427+FE$3,1)&lt;&gt;""),1,0),0)</f>
        <v/>
      </c>
      <c r="FF25">
        <f>IF(FF$4=1,IF(OR(INDEX('×入力'!$A$1:$L$1300,427+FF$3,2+FF$2)&lt;&gt;"",INDEX('×入力'!$A$1:$L$1300,426,2+FF$2)&lt;&gt;"",INDEX('×入力'!$A$1:$L$1300,427+FF$3,1)&lt;&gt;""),1,0),0)</f>
        <v/>
      </c>
      <c r="FG25">
        <f>IF(FG$4=1,IF(OR(INDEX('×入力'!$A$1:$L$1300,427+FG$3,2+FG$2)&lt;&gt;"",INDEX('×入力'!$A$1:$L$1300,426,2+FG$2)&lt;&gt;"",INDEX('×入力'!$A$1:$L$1300,427+FG$3,1)&lt;&gt;""),1,0),0)</f>
        <v/>
      </c>
      <c r="FH25">
        <f>IF(FH$4=1,IF(OR(INDEX('×入力'!$A$1:$L$1300,427+FH$3,2+FH$2)&lt;&gt;"",INDEX('×入力'!$A$1:$L$1300,426,2+FH$2)&lt;&gt;"",INDEX('×入力'!$A$1:$L$1300,427+FH$3,1)&lt;&gt;""),1,0),0)</f>
        <v/>
      </c>
      <c r="FI25">
        <f>IF(FI$4=1,IF(OR(INDEX('×入力'!$A$1:$L$1300,427+FI$3,2+FI$2)&lt;&gt;"",INDEX('×入力'!$A$1:$L$1300,426,2+FI$2)&lt;&gt;"",INDEX('×入力'!$A$1:$L$1300,427+FI$3,1)&lt;&gt;""),1,0),0)</f>
        <v/>
      </c>
      <c r="FJ25">
        <f>IF(FJ$4=1,IF(OR(INDEX('×入力'!$A$1:$L$1300,427+FJ$3,2+FJ$2)&lt;&gt;"",INDEX('×入力'!$A$1:$L$1300,426,2+FJ$2)&lt;&gt;"",INDEX('×入力'!$A$1:$L$1300,427+FJ$3,1)&lt;&gt;""),1,0),0)</f>
        <v/>
      </c>
      <c r="FK25">
        <f>IF(FK$4=1,IF(OR(INDEX('×入力'!$A$1:$L$1300,427+FK$3,2+FK$2)&lt;&gt;"",INDEX('×入力'!$A$1:$L$1300,426,2+FK$2)&lt;&gt;"",INDEX('×入力'!$A$1:$L$1300,427+FK$3,1)&lt;&gt;""),1,0),0)</f>
        <v/>
      </c>
      <c r="FL25">
        <f>IF(FL$4=1,IF(OR(INDEX('×入力'!$A$1:$L$1300,427+FL$3,2+FL$2)&lt;&gt;"",INDEX('×入力'!$A$1:$L$1300,426,2+FL$2)&lt;&gt;"",INDEX('×入力'!$A$1:$L$1300,427+FL$3,1)&lt;&gt;""),1,0),0)</f>
        <v/>
      </c>
      <c r="FM25">
        <f>IF(FM$4=1,IF(OR(INDEX('×入力'!$A$1:$L$1300,427+FM$3,2+FM$2)&lt;&gt;"",INDEX('×入力'!$A$1:$L$1300,426,2+FM$2)&lt;&gt;"",INDEX('×入力'!$A$1:$L$1300,427+FM$3,1)&lt;&gt;""),1,0),0)</f>
        <v/>
      </c>
      <c r="FN25">
        <f>IF(FN$4=1,IF(OR(INDEX('×入力'!$A$1:$L$1300,427+FN$3,2+FN$2)&lt;&gt;"",INDEX('×入力'!$A$1:$L$1300,426,2+FN$2)&lt;&gt;"",INDEX('×入力'!$A$1:$L$1300,427+FN$3,1)&lt;&gt;""),1,0),0)</f>
        <v/>
      </c>
      <c r="FO25">
        <f>IF(FO$4=1,IF(OR(INDEX('×入力'!$A$1:$L$1300,427+FO$3,2+FO$2)&lt;&gt;"",INDEX('×入力'!$A$1:$L$1300,426,2+FO$2)&lt;&gt;"",INDEX('×入力'!$A$1:$L$1300,427+FO$3,1)&lt;&gt;""),1,0),0)</f>
        <v/>
      </c>
      <c r="FP25">
        <f>IF(FP$4=1,IF(OR(INDEX('×入力'!$A$1:$L$1300,427+FP$3,2+FP$2)&lt;&gt;"",INDEX('×入力'!$A$1:$L$1300,426,2+FP$2)&lt;&gt;"",INDEX('×入力'!$A$1:$L$1300,427+FP$3,1)&lt;&gt;""),1,0),0)</f>
        <v/>
      </c>
      <c r="FQ25">
        <f>IF(FQ$4=1,IF(OR(INDEX('×入力'!$A$1:$L$1300,427+FQ$3,2+FQ$2)&lt;&gt;"",INDEX('×入力'!$A$1:$L$1300,426,2+FQ$2)&lt;&gt;"",INDEX('×入力'!$A$1:$L$1300,427+FQ$3,1)&lt;&gt;""),1,0),0)</f>
        <v/>
      </c>
      <c r="FR25">
        <f>IF(FR$4=1,IF(OR(INDEX('×入力'!$A$1:$L$1300,427+FR$3,2+FR$2)&lt;&gt;"",INDEX('×入力'!$A$1:$L$1300,426,2+FR$2)&lt;&gt;"",INDEX('×入力'!$A$1:$L$1300,427+FR$3,1)&lt;&gt;""),1,0),0)</f>
        <v/>
      </c>
      <c r="FS25">
        <f>IF(FS$4=1,IF(OR(INDEX('×入力'!$A$1:$L$1300,427+FS$3,2+FS$2)&lt;&gt;"",INDEX('×入力'!$A$1:$L$1300,426,2+FS$2)&lt;&gt;"",INDEX('×入力'!$A$1:$L$1300,427+FS$3,1)&lt;&gt;""),1,0),0)</f>
        <v/>
      </c>
      <c r="FT25">
        <f>IF(FT$4=1,IF(OR(INDEX('×入力'!$A$1:$L$1300,427+FT$3,2+FT$2)&lt;&gt;"",INDEX('×入力'!$A$1:$L$1300,426,2+FT$2)&lt;&gt;"",INDEX('×入力'!$A$1:$L$1300,427+FT$3,1)&lt;&gt;""),1,0),0)</f>
        <v/>
      </c>
      <c r="FU25">
        <f>IF(FU$4=1,IF(OR(INDEX('×入力'!$A$1:$L$1300,427+FU$3,2+FU$2)&lt;&gt;"",INDEX('×入力'!$A$1:$L$1300,426,2+FU$2)&lt;&gt;"",INDEX('×入力'!$A$1:$L$1300,427+FU$3,1)&lt;&gt;""),1,0),0)</f>
        <v/>
      </c>
      <c r="FV25">
        <f>IF(FV$4=1,IF(OR(INDEX('×入力'!$A$1:$L$1300,427+FV$3,2+FV$2)&lt;&gt;"",INDEX('×入力'!$A$1:$L$1300,426,2+FV$2)&lt;&gt;"",INDEX('×入力'!$A$1:$L$1300,427+FV$3,1)&lt;&gt;""),1,0),0)</f>
        <v/>
      </c>
      <c r="FW25">
        <f>IF(FW$4=1,IF(OR(INDEX('×入力'!$A$1:$L$1300,427+FW$3,2+FW$2)&lt;&gt;"",INDEX('×入力'!$A$1:$L$1300,426,2+FW$2)&lt;&gt;"",INDEX('×入力'!$A$1:$L$1300,427+FW$3,1)&lt;&gt;""),1,0),0)</f>
        <v/>
      </c>
      <c r="FX25">
        <f>IF(FX$4=1,IF(OR(INDEX('×入力'!$A$1:$L$1300,427+FX$3,2+FX$2)&lt;&gt;"",INDEX('×入力'!$A$1:$L$1300,426,2+FX$2)&lt;&gt;"",INDEX('×入力'!$A$1:$L$1300,427+FX$3,1)&lt;&gt;""),1,0),0)</f>
        <v/>
      </c>
      <c r="FY25">
        <f>IF(FY$4=1,IF(OR(INDEX('×入力'!$A$1:$L$1300,427+FY$3,2+FY$2)&lt;&gt;"",INDEX('×入力'!$A$1:$L$1300,426,2+FY$2)&lt;&gt;"",INDEX('×入力'!$A$1:$L$1300,427+FY$3,1)&lt;&gt;""),1,0),0)</f>
        <v/>
      </c>
      <c r="FZ25">
        <f>IF(FZ$4=1,IF(OR(INDEX('×入力'!$A$1:$L$1300,427+FZ$3,2+FZ$2)&lt;&gt;"",INDEX('×入力'!$A$1:$L$1300,426,2+FZ$2)&lt;&gt;"",INDEX('×入力'!$A$1:$L$1300,427+FZ$3,1)&lt;&gt;""),1,0),0)</f>
        <v/>
      </c>
      <c r="GA25">
        <f>IF(GA$4=1,IF(OR(INDEX('×入力'!$A$1:$L$1300,427+GA$3,2+GA$2)&lt;&gt;"",INDEX('×入力'!$A$1:$L$1300,426,2+GA$2)&lt;&gt;"",INDEX('×入力'!$A$1:$L$1300,427+GA$3,1)&lt;&gt;""),1,0),0)</f>
        <v/>
      </c>
      <c r="GB25">
        <f>IF(GB$4=1,IF(OR(INDEX('×入力'!$A$1:$L$1300,427+GB$3,2+GB$2)&lt;&gt;"",INDEX('×入力'!$A$1:$L$1300,426,2+GB$2)&lt;&gt;"",INDEX('×入力'!$A$1:$L$1300,427+GB$3,1)&lt;&gt;""),1,0),0)</f>
        <v/>
      </c>
      <c r="GC25">
        <f>IF(GC$4=1,IF(OR(INDEX('×入力'!$A$1:$L$1300,427+GC$3,2+GC$2)&lt;&gt;"",INDEX('×入力'!$A$1:$L$1300,426,2+GC$2)&lt;&gt;"",INDEX('×入力'!$A$1:$L$1300,427+GC$3,1)&lt;&gt;""),1,0),0)</f>
        <v/>
      </c>
      <c r="GD25">
        <f>IF(GD$4=1,IF(OR(INDEX('×入力'!$A$1:$L$1300,427+GD$3,2+GD$2)&lt;&gt;"",INDEX('×入力'!$A$1:$L$1300,426,2+GD$2)&lt;&gt;"",INDEX('×入力'!$A$1:$L$1300,427+GD$3,1)&lt;&gt;""),1,0),0)</f>
        <v/>
      </c>
      <c r="GE25">
        <f>IF(GE$4=1,IF(OR(INDEX('×入力'!$A$1:$L$1300,427+GE$3,2+GE$2)&lt;&gt;"",INDEX('×入力'!$A$1:$L$1300,426,2+GE$2)&lt;&gt;"",INDEX('×入力'!$A$1:$L$1300,427+GE$3,1)&lt;&gt;""),1,0),0)</f>
        <v/>
      </c>
      <c r="GF25">
        <f>IF(GF$4=1,IF(OR(INDEX('×入力'!$A$1:$L$1300,427+GF$3,2+GF$2)&lt;&gt;"",INDEX('×入力'!$A$1:$L$1300,426,2+GF$2)&lt;&gt;"",INDEX('×入力'!$A$1:$L$1300,427+GF$3,1)&lt;&gt;""),1,0),0)</f>
        <v/>
      </c>
      <c r="GG25">
        <f>IF(GG$4=1,IF(OR(INDEX('×入力'!$A$1:$L$1300,427+GG$3,2+GG$2)&lt;&gt;"",INDEX('×入力'!$A$1:$L$1300,426,2+GG$2)&lt;&gt;"",INDEX('×入力'!$A$1:$L$1300,427+GG$3,1)&lt;&gt;""),1,0),0)</f>
        <v/>
      </c>
      <c r="GH25">
        <f>IF(GH$4=1,IF(OR(INDEX('×入力'!$A$1:$L$1300,427+GH$3,2+GH$2)&lt;&gt;"",INDEX('×入力'!$A$1:$L$1300,426,2+GH$2)&lt;&gt;"",INDEX('×入力'!$A$1:$L$1300,427+GH$3,1)&lt;&gt;""),1,0),0)</f>
        <v/>
      </c>
      <c r="GI25">
        <f>IF(GI$4=1,IF(OR(INDEX('×入力'!$A$1:$L$1300,427+GI$3,2+GI$2)&lt;&gt;"",INDEX('×入力'!$A$1:$L$1300,426,2+GI$2)&lt;&gt;"",INDEX('×入力'!$A$1:$L$1300,427+GI$3,1)&lt;&gt;""),1,0),0)</f>
        <v/>
      </c>
      <c r="GJ25">
        <f>IF(GJ$4=1,IF(OR(INDEX('×入力'!$A$1:$L$1300,427+GJ$3,2+GJ$2)&lt;&gt;"",INDEX('×入力'!$A$1:$L$1300,426,2+GJ$2)&lt;&gt;"",INDEX('×入力'!$A$1:$L$1300,427+GJ$3,1)&lt;&gt;""),1,0),0)</f>
        <v/>
      </c>
      <c r="GK25">
        <f>IF(GK$4=1,IF(OR(INDEX('×入力'!$A$1:$L$1300,427+GK$3,2+GK$2)&lt;&gt;"",INDEX('×入力'!$A$1:$L$1300,426,2+GK$2)&lt;&gt;"",INDEX('×入力'!$A$1:$L$1300,427+GK$3,1)&lt;&gt;""),1,0),0)</f>
        <v/>
      </c>
      <c r="GL25">
        <f>IF(GL$4=1,IF(OR(INDEX('×入力'!$A$1:$L$1300,427+GL$3,2+GL$2)&lt;&gt;"",INDEX('×入力'!$A$1:$L$1300,426,2+GL$2)&lt;&gt;"",INDEX('×入力'!$A$1:$L$1300,427+GL$3,1)&lt;&gt;""),1,0),0)</f>
        <v/>
      </c>
      <c r="GM25">
        <f>IF(GM$4=1,IF(OR(INDEX('×入力'!$A$1:$L$1300,427+GM$3,2+GM$2)&lt;&gt;"",INDEX('×入力'!$A$1:$L$1300,426,2+GM$2)&lt;&gt;"",INDEX('×入力'!$A$1:$L$1300,427+GM$3,1)&lt;&gt;""),1,0),0)</f>
        <v/>
      </c>
      <c r="GN25">
        <f>IF(GN$4=1,IF(OR(INDEX('×入力'!$A$1:$L$1300,427+GN$3,2+GN$2)&lt;&gt;"",INDEX('×入力'!$A$1:$L$1300,426,2+GN$2)&lt;&gt;"",INDEX('×入力'!$A$1:$L$1300,427+GN$3,1)&lt;&gt;""),1,0),0)</f>
        <v/>
      </c>
      <c r="GO25">
        <f>IF(GO$4=1,IF(OR(INDEX('×入力'!$A$1:$L$1300,427+GO$3,2+GO$2)&lt;&gt;"",INDEX('×入力'!$A$1:$L$1300,426,2+GO$2)&lt;&gt;"",INDEX('×入力'!$A$1:$L$1300,427+GO$3,1)&lt;&gt;""),1,0),0)</f>
        <v/>
      </c>
      <c r="GP25">
        <f>IF(GP$4=1,IF(OR(INDEX('×入力'!$A$1:$L$1300,427+GP$3,2+GP$2)&lt;&gt;"",INDEX('×入力'!$A$1:$L$1300,426,2+GP$2)&lt;&gt;"",INDEX('×入力'!$A$1:$L$1300,427+GP$3,1)&lt;&gt;""),1,0),0)</f>
        <v/>
      </c>
      <c r="GQ25">
        <f>IF(GQ$4=1,IF(OR(INDEX('×入力'!$A$1:$L$1300,427+GQ$3,2+GQ$2)&lt;&gt;"",INDEX('×入力'!$A$1:$L$1300,426,2+GQ$2)&lt;&gt;"",INDEX('×入力'!$A$1:$L$1300,427+GQ$3,1)&lt;&gt;""),1,0),0)</f>
        <v/>
      </c>
      <c r="GR25">
        <f>IF(GR$4=1,IF(OR(INDEX('×入力'!$A$1:$L$1300,427+GR$3,2+GR$2)&lt;&gt;"",INDEX('×入力'!$A$1:$L$1300,426,2+GR$2)&lt;&gt;"",INDEX('×入力'!$A$1:$L$1300,427+GR$3,1)&lt;&gt;""),1,0),0)</f>
        <v/>
      </c>
      <c r="GS25">
        <f>IF(GS$4=1,IF(OR(INDEX('×入力'!$A$1:$L$1300,427+GS$3,2+GS$2)&lt;&gt;"",INDEX('×入力'!$A$1:$L$1300,426,2+GS$2)&lt;&gt;"",INDEX('×入力'!$A$1:$L$1300,427+GS$3,1)&lt;&gt;""),1,0),0)</f>
        <v/>
      </c>
      <c r="GT25">
        <f>IF(GT$4=1,IF(OR(INDEX('×入力'!$A$1:$L$1300,427+GT$3,2+GT$2)&lt;&gt;"",INDEX('×入力'!$A$1:$L$1300,426,2+GT$2)&lt;&gt;"",INDEX('×入力'!$A$1:$L$1300,427+GT$3,1)&lt;&gt;""),1,0),0)</f>
        <v/>
      </c>
      <c r="GU25">
        <f>IF(GU$4=1,IF(OR(INDEX('×入力'!$A$1:$L$1300,427+GU$3,2+GU$2)&lt;&gt;"",INDEX('×入力'!$A$1:$L$1300,426,2+GU$2)&lt;&gt;"",INDEX('×入力'!$A$1:$L$1300,427+GU$3,1)&lt;&gt;""),1,0),0)</f>
        <v/>
      </c>
      <c r="GV25">
        <f>IF(GV$4=1,IF(OR(INDEX('×入力'!$A$1:$L$1300,427+GV$3,2+GV$2)&lt;&gt;"",INDEX('×入力'!$A$1:$L$1300,426,2+GV$2)&lt;&gt;"",INDEX('×入力'!$A$1:$L$1300,427+GV$3,1)&lt;&gt;""),1,0),0)</f>
        <v/>
      </c>
      <c r="GW25">
        <f>IF(GW$4=1,IF(OR(INDEX('×入力'!$A$1:$L$1300,427+GW$3,2+GW$2)&lt;&gt;"",INDEX('×入力'!$A$1:$L$1300,426,2+GW$2)&lt;&gt;"",INDEX('×入力'!$A$1:$L$1300,427+GW$3,1)&lt;&gt;""),1,0),0)</f>
        <v/>
      </c>
      <c r="GX25">
        <f>IF(GX$4=1,IF(OR(INDEX('×入力'!$A$1:$L$1300,427+GX$3,2+GX$2)&lt;&gt;"",INDEX('×入力'!$A$1:$L$1300,426,2+GX$2)&lt;&gt;"",INDEX('×入力'!$A$1:$L$1300,427+GX$3,1)&lt;&gt;""),1,0),0)</f>
        <v/>
      </c>
      <c r="GY25">
        <f>IF(GY$4=1,IF(OR(INDEX('×入力'!$A$1:$L$1300,427+GY$3,2+GY$2)&lt;&gt;"",INDEX('×入力'!$A$1:$L$1300,426,2+GY$2)&lt;&gt;"",INDEX('×入力'!$A$1:$L$1300,427+GY$3,1)&lt;&gt;""),1,0),0)</f>
        <v/>
      </c>
      <c r="GZ25">
        <f>IF(GZ$4=1,IF(OR(INDEX('×入力'!$A$1:$L$1300,427+GZ$3,2+GZ$2)&lt;&gt;"",INDEX('×入力'!$A$1:$L$1300,426,2+GZ$2)&lt;&gt;"",INDEX('×入力'!$A$1:$L$1300,427+GZ$3,1)&lt;&gt;""),1,0),0)</f>
        <v/>
      </c>
      <c r="HA25">
        <f>IF(HA$4=1,IF(OR(INDEX('×入力'!$A$1:$L$1300,427+HA$3,2+HA$2)&lt;&gt;"",INDEX('×入力'!$A$1:$L$1300,426,2+HA$2)&lt;&gt;"",INDEX('×入力'!$A$1:$L$1300,427+HA$3,1)&lt;&gt;""),1,0),0)</f>
        <v/>
      </c>
      <c r="HB25">
        <f>IF(HB$4=1,IF(OR(INDEX('×入力'!$A$1:$L$1300,427+HB$3,2+HB$2)&lt;&gt;"",INDEX('×入力'!$A$1:$L$1300,426,2+HB$2)&lt;&gt;"",INDEX('×入力'!$A$1:$L$1300,427+HB$3,1)&lt;&gt;""),1,0),0)</f>
        <v/>
      </c>
      <c r="HC25">
        <f>IF(HC$4=1,IF(OR(INDEX('×入力'!$A$1:$L$1300,427+HC$3,2+HC$2)&lt;&gt;"",INDEX('×入力'!$A$1:$L$1300,426,2+HC$2)&lt;&gt;"",INDEX('×入力'!$A$1:$L$1300,427+HC$3,1)&lt;&gt;""),1,0),0)</f>
        <v/>
      </c>
      <c r="HD25">
        <f>IF(HD$4=1,IF(OR(INDEX('×入力'!$A$1:$L$1300,427+HD$3,2+HD$2)&lt;&gt;"",INDEX('×入力'!$A$1:$L$1300,426,2+HD$2)&lt;&gt;"",INDEX('×入力'!$A$1:$L$1300,427+HD$3,1)&lt;&gt;""),1,0),0)</f>
        <v/>
      </c>
      <c r="HE25">
        <f>IF(HE$4=1,IF(OR(INDEX('×入力'!$A$1:$L$1300,427+HE$3,2+HE$2)&lt;&gt;"",INDEX('×入力'!$A$1:$L$1300,426,2+HE$2)&lt;&gt;"",INDEX('×入力'!$A$1:$L$1300,427+HE$3,1)&lt;&gt;""),1,0),0)</f>
        <v/>
      </c>
      <c r="HF25">
        <f>IF(HF$4=1,IF(OR(INDEX('×入力'!$A$1:$L$1300,427+HF$3,2+HF$2)&lt;&gt;"",INDEX('×入力'!$A$1:$L$1300,426,2+HF$2)&lt;&gt;"",INDEX('×入力'!$A$1:$L$1300,427+HF$3,1)&lt;&gt;""),1,0),0)</f>
        <v/>
      </c>
      <c r="HG25">
        <f>IF(HG$4=1,IF(OR(INDEX('×入力'!$A$1:$L$1300,427+HG$3,2+HG$2)&lt;&gt;"",INDEX('×入力'!$A$1:$L$1300,426,2+HG$2)&lt;&gt;"",INDEX('×入力'!$A$1:$L$1300,427+HG$3,1)&lt;&gt;""),1,0),0)</f>
        <v/>
      </c>
      <c r="HH25">
        <f>IF(HH$4=1,IF(OR(INDEX('×入力'!$A$1:$L$1300,427+HH$3,2+HH$2)&lt;&gt;"",INDEX('×入力'!$A$1:$L$1300,426,2+HH$2)&lt;&gt;"",INDEX('×入力'!$A$1:$L$1300,427+HH$3,1)&lt;&gt;""),1,0),0)</f>
        <v/>
      </c>
      <c r="HI25">
        <f>IF(HI$4=1,IF(OR(INDEX('×入力'!$A$1:$L$1300,427+HI$3,2+HI$2)&lt;&gt;"",INDEX('×入力'!$A$1:$L$1300,426,2+HI$2)&lt;&gt;"",INDEX('×入力'!$A$1:$L$1300,427+HI$3,1)&lt;&gt;""),1,0),0)</f>
        <v/>
      </c>
      <c r="HJ25">
        <f>IF(HJ$4=1,IF(OR(INDEX('×入力'!$A$1:$L$1300,427+HJ$3,2+HJ$2)&lt;&gt;"",INDEX('×入力'!$A$1:$L$1300,426,2+HJ$2)&lt;&gt;"",INDEX('×入力'!$A$1:$L$1300,427+HJ$3,1)&lt;&gt;""),1,0),0)</f>
        <v/>
      </c>
      <c r="HK25">
        <f>IF(HK$4=1,IF(OR(INDEX('×入力'!$A$1:$L$1300,427+HK$3,2+HK$2)&lt;&gt;"",INDEX('×入力'!$A$1:$L$1300,426,2+HK$2)&lt;&gt;"",INDEX('×入力'!$A$1:$L$1300,427+HK$3,1)&lt;&gt;""),1,0),0)</f>
        <v/>
      </c>
      <c r="HL25">
        <f>IF(HL$4=1,IF(OR(INDEX('×入力'!$A$1:$L$1300,427+HL$3,2+HL$2)&lt;&gt;"",INDEX('×入力'!$A$1:$L$1300,426,2+HL$2)&lt;&gt;"",INDEX('×入力'!$A$1:$L$1300,427+HL$3,1)&lt;&gt;""),1,0),0)</f>
        <v/>
      </c>
      <c r="HM25">
        <f>IF(HM$4=1,IF(OR(INDEX('×入力'!$A$1:$L$1300,427+HM$3,2+HM$2)&lt;&gt;"",INDEX('×入力'!$A$1:$L$1300,426,2+HM$2)&lt;&gt;"",INDEX('×入力'!$A$1:$L$1300,427+HM$3,1)&lt;&gt;""),1,0),0)</f>
        <v/>
      </c>
      <c r="HN25">
        <f>IF(HN$4=1,IF(OR(INDEX('×入力'!$A$1:$L$1300,427+HN$3,2+HN$2)&lt;&gt;"",INDEX('×入力'!$A$1:$L$1300,426,2+HN$2)&lt;&gt;"",INDEX('×入力'!$A$1:$L$1300,427+HN$3,1)&lt;&gt;""),1,0),0)</f>
        <v/>
      </c>
      <c r="HO25">
        <f>IF(HO$4=1,IF(OR(INDEX('×入力'!$A$1:$L$1300,427+HO$3,2+HO$2)&lt;&gt;"",INDEX('×入力'!$A$1:$L$1300,426,2+HO$2)&lt;&gt;"",INDEX('×入力'!$A$1:$L$1300,427+HO$3,1)&lt;&gt;""),1,0),0)</f>
        <v/>
      </c>
      <c r="HP25">
        <f>IF(HP$4=1,IF(OR(INDEX('×入力'!$A$1:$L$1300,427+HP$3,2+HP$2)&lt;&gt;"",INDEX('×入力'!$A$1:$L$1300,426,2+HP$2)&lt;&gt;"",INDEX('×入力'!$A$1:$L$1300,427+HP$3,1)&lt;&gt;""),1,0),0)</f>
        <v/>
      </c>
      <c r="HQ25">
        <f>IF(HQ$4=1,IF(OR(INDEX('×入力'!$A$1:$L$1300,427+HQ$3,2+HQ$2)&lt;&gt;"",INDEX('×入力'!$A$1:$L$1300,426,2+HQ$2)&lt;&gt;"",INDEX('×入力'!$A$1:$L$1300,427+HQ$3,1)&lt;&gt;""),1,0),0)</f>
        <v/>
      </c>
      <c r="HR25">
        <f>IF(HR$4=1,IF(OR(INDEX('×入力'!$A$1:$L$1300,427+HR$3,2+HR$2)&lt;&gt;"",INDEX('×入力'!$A$1:$L$1300,426,2+HR$2)&lt;&gt;"",INDEX('×入力'!$A$1:$L$1300,427+HR$3,1)&lt;&gt;""),1,0),0)</f>
        <v/>
      </c>
      <c r="HS25">
        <f>IF(HS$4=1,IF(OR(INDEX('×入力'!$A$1:$L$1300,427+HS$3,2+HS$2)&lt;&gt;"",INDEX('×入力'!$A$1:$L$1300,426,2+HS$2)&lt;&gt;"",INDEX('×入力'!$A$1:$L$1300,427+HS$3,1)&lt;&gt;""),1,0),0)</f>
        <v/>
      </c>
      <c r="HT25">
        <f>IF(HT$4=1,IF(OR(INDEX('×入力'!$A$1:$L$1300,427+HT$3,2+HT$2)&lt;&gt;"",INDEX('×入力'!$A$1:$L$1300,426,2+HT$2)&lt;&gt;"",INDEX('×入力'!$A$1:$L$1300,427+HT$3,1)&lt;&gt;""),1,0),0)</f>
        <v/>
      </c>
      <c r="HU25">
        <f>IF(HU$4=1,IF(OR(INDEX('×入力'!$A$1:$L$1300,427+HU$3,2+HU$2)&lt;&gt;"",INDEX('×入力'!$A$1:$L$1300,426,2+HU$2)&lt;&gt;"",INDEX('×入力'!$A$1:$L$1300,427+HU$3,1)&lt;&gt;""),1,0),0)</f>
        <v/>
      </c>
      <c r="HV25">
        <f>IF(HV$4=1,IF(OR(INDEX('×入力'!$A$1:$L$1300,427+HV$3,2+HV$2)&lt;&gt;"",INDEX('×入力'!$A$1:$L$1300,426,2+HV$2)&lt;&gt;"",INDEX('×入力'!$A$1:$L$1300,427+HV$3,1)&lt;&gt;""),1,0),0)</f>
        <v/>
      </c>
      <c r="HW25">
        <f>IF(HW$4=1,IF(OR(INDEX('×入力'!$A$1:$L$1300,427+HW$3,2+HW$2)&lt;&gt;"",INDEX('×入力'!$A$1:$L$1300,426,2+HW$2)&lt;&gt;"",INDEX('×入力'!$A$1:$L$1300,427+HW$3,1)&lt;&gt;""),1,0),0)</f>
        <v/>
      </c>
      <c r="HX25">
        <f>IF(HX$4=1,IF(OR(INDEX('×入力'!$A$1:$L$1300,427+HX$3,2+HX$2)&lt;&gt;"",INDEX('×入力'!$A$1:$L$1300,426,2+HX$2)&lt;&gt;"",INDEX('×入力'!$A$1:$L$1300,427+HX$3,1)&lt;&gt;""),1,0),0)</f>
        <v/>
      </c>
      <c r="HY25">
        <f>IF(HY$4=1,IF(OR(INDEX('×入力'!$A$1:$L$1300,427+HY$3,2+HY$2)&lt;&gt;"",INDEX('×入力'!$A$1:$L$1300,426,2+HY$2)&lt;&gt;"",INDEX('×入力'!$A$1:$L$1300,427+HY$3,1)&lt;&gt;""),1,0),0)</f>
        <v/>
      </c>
      <c r="HZ25">
        <f>IF(HZ$4=1,IF(OR(INDEX('×入力'!$A$1:$L$1300,427+HZ$3,2+HZ$2)&lt;&gt;"",INDEX('×入力'!$A$1:$L$1300,426,2+HZ$2)&lt;&gt;"",INDEX('×入力'!$A$1:$L$1300,427+HZ$3,1)&lt;&gt;""),1,0),0)</f>
        <v/>
      </c>
      <c r="IA25">
        <f>IF(IA$4=1,IF(OR(INDEX('×入力'!$A$1:$L$1300,427+IA$3,2+IA$2)&lt;&gt;"",INDEX('×入力'!$A$1:$L$1300,426,2+IA$2)&lt;&gt;"",INDEX('×入力'!$A$1:$L$1300,427+IA$3,1)&lt;&gt;""),1,0),0)</f>
        <v/>
      </c>
      <c r="IB25">
        <f>IF(IB$4=1,IF(OR(INDEX('×入力'!$A$1:$L$1300,427+IB$3,2+IB$2)&lt;&gt;"",INDEX('×入力'!$A$1:$L$1300,426,2+IB$2)&lt;&gt;"",INDEX('×入力'!$A$1:$L$1300,427+IB$3,1)&lt;&gt;""),1,0),0)</f>
        <v/>
      </c>
      <c r="IC25">
        <f>IF(IC$4=1,IF(OR(INDEX('×入力'!$A$1:$L$1300,427+IC$3,2+IC$2)&lt;&gt;"",INDEX('×入力'!$A$1:$L$1300,426,2+IC$2)&lt;&gt;"",INDEX('×入力'!$A$1:$L$1300,427+IC$3,1)&lt;&gt;""),1,0),0)</f>
        <v/>
      </c>
      <c r="ID25">
        <f>IF(ID$4=1,IF(OR(INDEX('×入力'!$A$1:$L$1300,427+ID$3,2+ID$2)&lt;&gt;"",INDEX('×入力'!$A$1:$L$1300,426,2+ID$2)&lt;&gt;"",INDEX('×入力'!$A$1:$L$1300,427+ID$3,1)&lt;&gt;""),1,0),0)</f>
        <v/>
      </c>
      <c r="IE25">
        <f>IF(IE$4=1,IF(OR(INDEX('×入力'!$A$1:$L$1300,427+IE$3,2+IE$2)&lt;&gt;"",INDEX('×入力'!$A$1:$L$1300,426,2+IE$2)&lt;&gt;"",INDEX('×入力'!$A$1:$L$1300,427+IE$3,1)&lt;&gt;""),1,0),0)</f>
        <v/>
      </c>
      <c r="IF25">
        <f>IF(IF$4=1,IF(OR(INDEX('×入力'!$A$1:$L$1300,427+IF$3,2+IF$2)&lt;&gt;"",INDEX('×入力'!$A$1:$L$1300,426,2+IF$2)&lt;&gt;"",INDEX('×入力'!$A$1:$L$1300,427+IF$3,1)&lt;&gt;""),1,0),0)</f>
        <v/>
      </c>
      <c r="IG25">
        <f>IF(IG$4=1,IF(OR(INDEX('×入力'!$A$1:$L$1300,427+IG$3,2+IG$2)&lt;&gt;"",INDEX('×入力'!$A$1:$L$1300,426,2+IG$2)&lt;&gt;"",INDEX('×入力'!$A$1:$L$1300,427+IG$3,1)&lt;&gt;""),1,0),0)</f>
        <v/>
      </c>
      <c r="IH25">
        <f>IF(IH$4=1,IF(OR(INDEX('×入力'!$A$1:$L$1300,427+IH$3,2+IH$2)&lt;&gt;"",INDEX('×入力'!$A$1:$L$1300,426,2+IH$2)&lt;&gt;"",INDEX('×入力'!$A$1:$L$1300,427+IH$3,1)&lt;&gt;""),1,0),0)</f>
        <v/>
      </c>
      <c r="II25">
        <f>IF(II$4=1,IF(OR(INDEX('×入力'!$A$1:$L$1300,427+II$3,2+II$2)&lt;&gt;"",INDEX('×入力'!$A$1:$L$1300,426,2+II$2)&lt;&gt;"",INDEX('×入力'!$A$1:$L$1300,427+II$3,1)&lt;&gt;""),1,0),0)</f>
        <v/>
      </c>
      <c r="IK25">
        <f>IFERROR(INDEX('計算B'!$C$3:$C$47,MATCH(A25,'計算B'!$B$3:$B$47,0)),0)</f>
        <v/>
      </c>
      <c r="IL25">
        <f>IF(AND(C25=1,IK25=0),1,0)</f>
        <v/>
      </c>
      <c r="IM25">
        <f>SUMPRODUCT(D75:II75*(1-$D$7:$II$7))</f>
        <v/>
      </c>
      <c r="IN25">
        <f>SUM(D25:II25)</f>
        <v/>
      </c>
      <c r="IO25">
        <f>IF(B25="",0,IF(COUNTIF('調整・決定'!$C$6:$L$29,B25)=1,SUMPRODUCT(('調整・決定'!$C$6:$L$29=B25)*((COLUMN('調整・決定'!$C$6:$L$29)-3)*24+ROW('調整・決定'!$C$6:$L$29)-5)),0))</f>
        <v/>
      </c>
      <c r="IP25">
        <f>IFERROR(MATCH('名簿'!E20,{"早い時刻","遅い時刻","早い日","遅い日"},0),0)</f>
        <v/>
      </c>
      <c r="IQ25">
        <f>IF('名簿'!F20="必ず空けたい",2,IF('名簿'!F20="出来れば空けたい",1,0))</f>
        <v/>
      </c>
    </row>
    <row r="26">
      <c r="A26" t="n">
        <v>17</v>
      </c>
      <c r="B26">
        <f>'名簿'!G21</f>
        <v/>
      </c>
      <c r="C26">
        <f>IF(AND(B26&lt;&gt;"",OR('名簿'!H21="入力済み",'名簿'!H21="×なし"),IO26=0,COUNTIF('調整・決定'!$C$6:$L$29,B26)=0),1,0)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ER26">
        <f>IF(ER$4=1,IF(OR(INDEX('×入力'!$A$1:$L$1300,455+ER$3,2+ER$2)&lt;&gt;"",INDEX('×入力'!$A$1:$L$1300,454,2+ER$2)&lt;&gt;"",INDEX('×入力'!$A$1:$L$1300,455+ER$3,1)&lt;&gt;""),1,0),0)</f>
        <v/>
      </c>
      <c r="ES26">
        <f>IF(ES$4=1,IF(OR(INDEX('×入力'!$A$1:$L$1300,455+ES$3,2+ES$2)&lt;&gt;"",INDEX('×入力'!$A$1:$L$1300,454,2+ES$2)&lt;&gt;"",INDEX('×入力'!$A$1:$L$1300,455+ES$3,1)&lt;&gt;""),1,0),0)</f>
        <v/>
      </c>
      <c r="ET26">
        <f>IF(ET$4=1,IF(OR(INDEX('×入力'!$A$1:$L$1300,455+ET$3,2+ET$2)&lt;&gt;"",INDEX('×入力'!$A$1:$L$1300,454,2+ET$2)&lt;&gt;"",INDEX('×入力'!$A$1:$L$1300,455+ET$3,1)&lt;&gt;""),1,0),0)</f>
        <v/>
      </c>
      <c r="EU26">
        <f>IF(EU$4=1,IF(OR(INDEX('×入力'!$A$1:$L$1300,455+EU$3,2+EU$2)&lt;&gt;"",INDEX('×入力'!$A$1:$L$1300,454,2+EU$2)&lt;&gt;"",INDEX('×入力'!$A$1:$L$1300,455+EU$3,1)&lt;&gt;""),1,0),0)</f>
        <v/>
      </c>
      <c r="EV26">
        <f>IF(EV$4=1,IF(OR(INDEX('×入力'!$A$1:$L$1300,455+EV$3,2+EV$2)&lt;&gt;"",INDEX('×入力'!$A$1:$L$1300,454,2+EV$2)&lt;&gt;"",INDEX('×入力'!$A$1:$L$1300,455+EV$3,1)&lt;&gt;""),1,0),0)</f>
        <v/>
      </c>
      <c r="EW26">
        <f>IF(EW$4=1,IF(OR(INDEX('×入力'!$A$1:$L$1300,455+EW$3,2+EW$2)&lt;&gt;"",INDEX('×入力'!$A$1:$L$1300,454,2+EW$2)&lt;&gt;"",INDEX('×入力'!$A$1:$L$1300,455+EW$3,1)&lt;&gt;""),1,0),0)</f>
        <v/>
      </c>
      <c r="EX26">
        <f>IF(EX$4=1,IF(OR(INDEX('×入力'!$A$1:$L$1300,455+EX$3,2+EX$2)&lt;&gt;"",INDEX('×入力'!$A$1:$L$1300,454,2+EX$2)&lt;&gt;"",INDEX('×入力'!$A$1:$L$1300,455+EX$3,1)&lt;&gt;""),1,0),0)</f>
        <v/>
      </c>
      <c r="EY26">
        <f>IF(EY$4=1,IF(OR(INDEX('×入力'!$A$1:$L$1300,455+EY$3,2+EY$2)&lt;&gt;"",INDEX('×入力'!$A$1:$L$1300,454,2+EY$2)&lt;&gt;"",INDEX('×入力'!$A$1:$L$1300,455+EY$3,1)&lt;&gt;""),1,0),0)</f>
        <v/>
      </c>
      <c r="EZ26">
        <f>IF(EZ$4=1,IF(OR(INDEX('×入力'!$A$1:$L$1300,455+EZ$3,2+EZ$2)&lt;&gt;"",INDEX('×入力'!$A$1:$L$1300,454,2+EZ$2)&lt;&gt;"",INDEX('×入力'!$A$1:$L$1300,455+EZ$3,1)&lt;&gt;""),1,0),0)</f>
        <v/>
      </c>
      <c r="FA26">
        <f>IF(FA$4=1,IF(OR(INDEX('×入力'!$A$1:$L$1300,455+FA$3,2+FA$2)&lt;&gt;"",INDEX('×入力'!$A$1:$L$1300,454,2+FA$2)&lt;&gt;"",INDEX('×入力'!$A$1:$L$1300,455+FA$3,1)&lt;&gt;""),1,0),0)</f>
        <v/>
      </c>
      <c r="FB26">
        <f>IF(FB$4=1,IF(OR(INDEX('×入力'!$A$1:$L$1300,455+FB$3,2+FB$2)&lt;&gt;"",INDEX('×入力'!$A$1:$L$1300,454,2+FB$2)&lt;&gt;"",INDEX('×入力'!$A$1:$L$1300,455+FB$3,1)&lt;&gt;""),1,0),0)</f>
        <v/>
      </c>
      <c r="FC26">
        <f>IF(FC$4=1,IF(OR(INDEX('×入力'!$A$1:$L$1300,455+FC$3,2+FC$2)&lt;&gt;"",INDEX('×入力'!$A$1:$L$1300,454,2+FC$2)&lt;&gt;"",INDEX('×入力'!$A$1:$L$1300,455+FC$3,1)&lt;&gt;""),1,0),0)</f>
        <v/>
      </c>
      <c r="FD26">
        <f>IF(FD$4=1,IF(OR(INDEX('×入力'!$A$1:$L$1300,455+FD$3,2+FD$2)&lt;&gt;"",INDEX('×入力'!$A$1:$L$1300,454,2+FD$2)&lt;&gt;"",INDEX('×入力'!$A$1:$L$1300,455+FD$3,1)&lt;&gt;""),1,0),0)</f>
        <v/>
      </c>
      <c r="FE26">
        <f>IF(FE$4=1,IF(OR(INDEX('×入力'!$A$1:$L$1300,455+FE$3,2+FE$2)&lt;&gt;"",INDEX('×入力'!$A$1:$L$1300,454,2+FE$2)&lt;&gt;"",INDEX('×入力'!$A$1:$L$1300,455+FE$3,1)&lt;&gt;""),1,0),0)</f>
        <v/>
      </c>
      <c r="FF26">
        <f>IF(FF$4=1,IF(OR(INDEX('×入力'!$A$1:$L$1300,455+FF$3,2+FF$2)&lt;&gt;"",INDEX('×入力'!$A$1:$L$1300,454,2+FF$2)&lt;&gt;"",INDEX('×入力'!$A$1:$L$1300,455+FF$3,1)&lt;&gt;""),1,0),0)</f>
        <v/>
      </c>
      <c r="FG26">
        <f>IF(FG$4=1,IF(OR(INDEX('×入力'!$A$1:$L$1300,455+FG$3,2+FG$2)&lt;&gt;"",INDEX('×入力'!$A$1:$L$1300,454,2+FG$2)&lt;&gt;"",INDEX('×入力'!$A$1:$L$1300,455+FG$3,1)&lt;&gt;""),1,0),0)</f>
        <v/>
      </c>
      <c r="FH26">
        <f>IF(FH$4=1,IF(OR(INDEX('×入力'!$A$1:$L$1300,455+FH$3,2+FH$2)&lt;&gt;"",INDEX('×入力'!$A$1:$L$1300,454,2+FH$2)&lt;&gt;"",INDEX('×入力'!$A$1:$L$1300,455+FH$3,1)&lt;&gt;""),1,0),0)</f>
        <v/>
      </c>
      <c r="FI26">
        <f>IF(FI$4=1,IF(OR(INDEX('×入力'!$A$1:$L$1300,455+FI$3,2+FI$2)&lt;&gt;"",INDEX('×入力'!$A$1:$L$1300,454,2+FI$2)&lt;&gt;"",INDEX('×入力'!$A$1:$L$1300,455+FI$3,1)&lt;&gt;""),1,0),0)</f>
        <v/>
      </c>
      <c r="FJ26">
        <f>IF(FJ$4=1,IF(OR(INDEX('×入力'!$A$1:$L$1300,455+FJ$3,2+FJ$2)&lt;&gt;"",INDEX('×入力'!$A$1:$L$1300,454,2+FJ$2)&lt;&gt;"",INDEX('×入力'!$A$1:$L$1300,455+FJ$3,1)&lt;&gt;""),1,0),0)</f>
        <v/>
      </c>
      <c r="FK26">
        <f>IF(FK$4=1,IF(OR(INDEX('×入力'!$A$1:$L$1300,455+FK$3,2+FK$2)&lt;&gt;"",INDEX('×入力'!$A$1:$L$1300,454,2+FK$2)&lt;&gt;"",INDEX('×入力'!$A$1:$L$1300,455+FK$3,1)&lt;&gt;""),1,0),0)</f>
        <v/>
      </c>
      <c r="FL26">
        <f>IF(FL$4=1,IF(OR(INDEX('×入力'!$A$1:$L$1300,455+FL$3,2+FL$2)&lt;&gt;"",INDEX('×入力'!$A$1:$L$1300,454,2+FL$2)&lt;&gt;"",INDEX('×入力'!$A$1:$L$1300,455+FL$3,1)&lt;&gt;""),1,0),0)</f>
        <v/>
      </c>
      <c r="FM26">
        <f>IF(FM$4=1,IF(OR(INDEX('×入力'!$A$1:$L$1300,455+FM$3,2+FM$2)&lt;&gt;"",INDEX('×入力'!$A$1:$L$1300,454,2+FM$2)&lt;&gt;"",INDEX('×入力'!$A$1:$L$1300,455+FM$3,1)&lt;&gt;""),1,0),0)</f>
        <v/>
      </c>
      <c r="FN26">
        <f>IF(FN$4=1,IF(OR(INDEX('×入力'!$A$1:$L$1300,455+FN$3,2+FN$2)&lt;&gt;"",INDEX('×入力'!$A$1:$L$1300,454,2+FN$2)&lt;&gt;"",INDEX('×入力'!$A$1:$L$1300,455+FN$3,1)&lt;&gt;""),1,0),0)</f>
        <v/>
      </c>
      <c r="FO26">
        <f>IF(FO$4=1,IF(OR(INDEX('×入力'!$A$1:$L$1300,455+FO$3,2+FO$2)&lt;&gt;"",INDEX('×入力'!$A$1:$L$1300,454,2+FO$2)&lt;&gt;"",INDEX('×入力'!$A$1:$L$1300,455+FO$3,1)&lt;&gt;""),1,0),0)</f>
        <v/>
      </c>
      <c r="FP26">
        <f>IF(FP$4=1,IF(OR(INDEX('×入力'!$A$1:$L$1300,455+FP$3,2+FP$2)&lt;&gt;"",INDEX('×入力'!$A$1:$L$1300,454,2+FP$2)&lt;&gt;"",INDEX('×入力'!$A$1:$L$1300,455+FP$3,1)&lt;&gt;""),1,0),0)</f>
        <v/>
      </c>
      <c r="FQ26">
        <f>IF(FQ$4=1,IF(OR(INDEX('×入力'!$A$1:$L$1300,455+FQ$3,2+FQ$2)&lt;&gt;"",INDEX('×入力'!$A$1:$L$1300,454,2+FQ$2)&lt;&gt;"",INDEX('×入力'!$A$1:$L$1300,455+FQ$3,1)&lt;&gt;""),1,0),0)</f>
        <v/>
      </c>
      <c r="FR26">
        <f>IF(FR$4=1,IF(OR(INDEX('×入力'!$A$1:$L$1300,455+FR$3,2+FR$2)&lt;&gt;"",INDEX('×入力'!$A$1:$L$1300,454,2+FR$2)&lt;&gt;"",INDEX('×入力'!$A$1:$L$1300,455+FR$3,1)&lt;&gt;""),1,0),0)</f>
        <v/>
      </c>
      <c r="FS26">
        <f>IF(FS$4=1,IF(OR(INDEX('×入力'!$A$1:$L$1300,455+FS$3,2+FS$2)&lt;&gt;"",INDEX('×入力'!$A$1:$L$1300,454,2+FS$2)&lt;&gt;"",INDEX('×入力'!$A$1:$L$1300,455+FS$3,1)&lt;&gt;""),1,0),0)</f>
        <v/>
      </c>
      <c r="FT26">
        <f>IF(FT$4=1,IF(OR(INDEX('×入力'!$A$1:$L$1300,455+FT$3,2+FT$2)&lt;&gt;"",INDEX('×入力'!$A$1:$L$1300,454,2+FT$2)&lt;&gt;"",INDEX('×入力'!$A$1:$L$1300,455+FT$3,1)&lt;&gt;""),1,0),0)</f>
        <v/>
      </c>
      <c r="FU26">
        <f>IF(FU$4=1,IF(OR(INDEX('×入力'!$A$1:$L$1300,455+FU$3,2+FU$2)&lt;&gt;"",INDEX('×入力'!$A$1:$L$1300,454,2+FU$2)&lt;&gt;"",INDEX('×入力'!$A$1:$L$1300,455+FU$3,1)&lt;&gt;""),1,0),0)</f>
        <v/>
      </c>
      <c r="FV26">
        <f>IF(FV$4=1,IF(OR(INDEX('×入力'!$A$1:$L$1300,455+FV$3,2+FV$2)&lt;&gt;"",INDEX('×入力'!$A$1:$L$1300,454,2+FV$2)&lt;&gt;"",INDEX('×入力'!$A$1:$L$1300,455+FV$3,1)&lt;&gt;""),1,0),0)</f>
        <v/>
      </c>
      <c r="FW26">
        <f>IF(FW$4=1,IF(OR(INDEX('×入力'!$A$1:$L$1300,455+FW$3,2+FW$2)&lt;&gt;"",INDEX('×入力'!$A$1:$L$1300,454,2+FW$2)&lt;&gt;"",INDEX('×入力'!$A$1:$L$1300,455+FW$3,1)&lt;&gt;""),1,0),0)</f>
        <v/>
      </c>
      <c r="FX26">
        <f>IF(FX$4=1,IF(OR(INDEX('×入力'!$A$1:$L$1300,455+FX$3,2+FX$2)&lt;&gt;"",INDEX('×入力'!$A$1:$L$1300,454,2+FX$2)&lt;&gt;"",INDEX('×入力'!$A$1:$L$1300,455+FX$3,1)&lt;&gt;""),1,0),0)</f>
        <v/>
      </c>
      <c r="FY26">
        <f>IF(FY$4=1,IF(OR(INDEX('×入力'!$A$1:$L$1300,455+FY$3,2+FY$2)&lt;&gt;"",INDEX('×入力'!$A$1:$L$1300,454,2+FY$2)&lt;&gt;"",INDEX('×入力'!$A$1:$L$1300,455+FY$3,1)&lt;&gt;""),1,0),0)</f>
        <v/>
      </c>
      <c r="FZ26">
        <f>IF(FZ$4=1,IF(OR(INDEX('×入力'!$A$1:$L$1300,455+FZ$3,2+FZ$2)&lt;&gt;"",INDEX('×入力'!$A$1:$L$1300,454,2+FZ$2)&lt;&gt;"",INDEX('×入力'!$A$1:$L$1300,455+FZ$3,1)&lt;&gt;""),1,0),0)</f>
        <v/>
      </c>
      <c r="GA26">
        <f>IF(GA$4=1,IF(OR(INDEX('×入力'!$A$1:$L$1300,455+GA$3,2+GA$2)&lt;&gt;"",INDEX('×入力'!$A$1:$L$1300,454,2+GA$2)&lt;&gt;"",INDEX('×入力'!$A$1:$L$1300,455+GA$3,1)&lt;&gt;""),1,0),0)</f>
        <v/>
      </c>
      <c r="GB26">
        <f>IF(GB$4=1,IF(OR(INDEX('×入力'!$A$1:$L$1300,455+GB$3,2+GB$2)&lt;&gt;"",INDEX('×入力'!$A$1:$L$1300,454,2+GB$2)&lt;&gt;"",INDEX('×入力'!$A$1:$L$1300,455+GB$3,1)&lt;&gt;""),1,0),0)</f>
        <v/>
      </c>
      <c r="GC26">
        <f>IF(GC$4=1,IF(OR(INDEX('×入力'!$A$1:$L$1300,455+GC$3,2+GC$2)&lt;&gt;"",INDEX('×入力'!$A$1:$L$1300,454,2+GC$2)&lt;&gt;"",INDEX('×入力'!$A$1:$L$1300,455+GC$3,1)&lt;&gt;""),1,0),0)</f>
        <v/>
      </c>
      <c r="GD26">
        <f>IF(GD$4=1,IF(OR(INDEX('×入力'!$A$1:$L$1300,455+GD$3,2+GD$2)&lt;&gt;"",INDEX('×入力'!$A$1:$L$1300,454,2+GD$2)&lt;&gt;"",INDEX('×入力'!$A$1:$L$1300,455+GD$3,1)&lt;&gt;""),1,0),0)</f>
        <v/>
      </c>
      <c r="GE26">
        <f>IF(GE$4=1,IF(OR(INDEX('×入力'!$A$1:$L$1300,455+GE$3,2+GE$2)&lt;&gt;"",INDEX('×入力'!$A$1:$L$1300,454,2+GE$2)&lt;&gt;"",INDEX('×入力'!$A$1:$L$1300,455+GE$3,1)&lt;&gt;""),1,0),0)</f>
        <v/>
      </c>
      <c r="GF26">
        <f>IF(GF$4=1,IF(OR(INDEX('×入力'!$A$1:$L$1300,455+GF$3,2+GF$2)&lt;&gt;"",INDEX('×入力'!$A$1:$L$1300,454,2+GF$2)&lt;&gt;"",INDEX('×入力'!$A$1:$L$1300,455+GF$3,1)&lt;&gt;""),1,0),0)</f>
        <v/>
      </c>
      <c r="GG26">
        <f>IF(GG$4=1,IF(OR(INDEX('×入力'!$A$1:$L$1300,455+GG$3,2+GG$2)&lt;&gt;"",INDEX('×入力'!$A$1:$L$1300,454,2+GG$2)&lt;&gt;"",INDEX('×入力'!$A$1:$L$1300,455+GG$3,1)&lt;&gt;""),1,0),0)</f>
        <v/>
      </c>
      <c r="GH26">
        <f>IF(GH$4=1,IF(OR(INDEX('×入力'!$A$1:$L$1300,455+GH$3,2+GH$2)&lt;&gt;"",INDEX('×入力'!$A$1:$L$1300,454,2+GH$2)&lt;&gt;"",INDEX('×入力'!$A$1:$L$1300,455+GH$3,1)&lt;&gt;""),1,0),0)</f>
        <v/>
      </c>
      <c r="GI26">
        <f>IF(GI$4=1,IF(OR(INDEX('×入力'!$A$1:$L$1300,455+GI$3,2+GI$2)&lt;&gt;"",INDEX('×入力'!$A$1:$L$1300,454,2+GI$2)&lt;&gt;"",INDEX('×入力'!$A$1:$L$1300,455+GI$3,1)&lt;&gt;""),1,0),0)</f>
        <v/>
      </c>
      <c r="GJ26">
        <f>IF(GJ$4=1,IF(OR(INDEX('×入力'!$A$1:$L$1300,455+GJ$3,2+GJ$2)&lt;&gt;"",INDEX('×入力'!$A$1:$L$1300,454,2+GJ$2)&lt;&gt;"",INDEX('×入力'!$A$1:$L$1300,455+GJ$3,1)&lt;&gt;""),1,0),0)</f>
        <v/>
      </c>
      <c r="GK26">
        <f>IF(GK$4=1,IF(OR(INDEX('×入力'!$A$1:$L$1300,455+GK$3,2+GK$2)&lt;&gt;"",INDEX('×入力'!$A$1:$L$1300,454,2+GK$2)&lt;&gt;"",INDEX('×入力'!$A$1:$L$1300,455+GK$3,1)&lt;&gt;""),1,0),0)</f>
        <v/>
      </c>
      <c r="GL26">
        <f>IF(GL$4=1,IF(OR(INDEX('×入力'!$A$1:$L$1300,455+GL$3,2+GL$2)&lt;&gt;"",INDEX('×入力'!$A$1:$L$1300,454,2+GL$2)&lt;&gt;"",INDEX('×入力'!$A$1:$L$1300,455+GL$3,1)&lt;&gt;""),1,0),0)</f>
        <v/>
      </c>
      <c r="GM26">
        <f>IF(GM$4=1,IF(OR(INDEX('×入力'!$A$1:$L$1300,455+GM$3,2+GM$2)&lt;&gt;"",INDEX('×入力'!$A$1:$L$1300,454,2+GM$2)&lt;&gt;"",INDEX('×入力'!$A$1:$L$1300,455+GM$3,1)&lt;&gt;""),1,0),0)</f>
        <v/>
      </c>
      <c r="GN26">
        <f>IF(GN$4=1,IF(OR(INDEX('×入力'!$A$1:$L$1300,455+GN$3,2+GN$2)&lt;&gt;"",INDEX('×入力'!$A$1:$L$1300,454,2+GN$2)&lt;&gt;"",INDEX('×入力'!$A$1:$L$1300,455+GN$3,1)&lt;&gt;""),1,0),0)</f>
        <v/>
      </c>
      <c r="GO26">
        <f>IF(GO$4=1,IF(OR(INDEX('×入力'!$A$1:$L$1300,455+GO$3,2+GO$2)&lt;&gt;"",INDEX('×入力'!$A$1:$L$1300,454,2+GO$2)&lt;&gt;"",INDEX('×入力'!$A$1:$L$1300,455+GO$3,1)&lt;&gt;""),1,0),0)</f>
        <v/>
      </c>
      <c r="GP26">
        <f>IF(GP$4=1,IF(OR(INDEX('×入力'!$A$1:$L$1300,455+GP$3,2+GP$2)&lt;&gt;"",INDEX('×入力'!$A$1:$L$1300,454,2+GP$2)&lt;&gt;"",INDEX('×入力'!$A$1:$L$1300,455+GP$3,1)&lt;&gt;""),1,0),0)</f>
        <v/>
      </c>
      <c r="GQ26">
        <f>IF(GQ$4=1,IF(OR(INDEX('×入力'!$A$1:$L$1300,455+GQ$3,2+GQ$2)&lt;&gt;"",INDEX('×入力'!$A$1:$L$1300,454,2+GQ$2)&lt;&gt;"",INDEX('×入力'!$A$1:$L$1300,455+GQ$3,1)&lt;&gt;""),1,0),0)</f>
        <v/>
      </c>
      <c r="GR26">
        <f>IF(GR$4=1,IF(OR(INDEX('×入力'!$A$1:$L$1300,455+GR$3,2+GR$2)&lt;&gt;"",INDEX('×入力'!$A$1:$L$1300,454,2+GR$2)&lt;&gt;"",INDEX('×入力'!$A$1:$L$1300,455+GR$3,1)&lt;&gt;""),1,0),0)</f>
        <v/>
      </c>
      <c r="GS26">
        <f>IF(GS$4=1,IF(OR(INDEX('×入力'!$A$1:$L$1300,455+GS$3,2+GS$2)&lt;&gt;"",INDEX('×入力'!$A$1:$L$1300,454,2+GS$2)&lt;&gt;"",INDEX('×入力'!$A$1:$L$1300,455+GS$3,1)&lt;&gt;""),1,0),0)</f>
        <v/>
      </c>
      <c r="GT26">
        <f>IF(GT$4=1,IF(OR(INDEX('×入力'!$A$1:$L$1300,455+GT$3,2+GT$2)&lt;&gt;"",INDEX('×入力'!$A$1:$L$1300,454,2+GT$2)&lt;&gt;"",INDEX('×入力'!$A$1:$L$1300,455+GT$3,1)&lt;&gt;""),1,0),0)</f>
        <v/>
      </c>
      <c r="GU26">
        <f>IF(GU$4=1,IF(OR(INDEX('×入力'!$A$1:$L$1300,455+GU$3,2+GU$2)&lt;&gt;"",INDEX('×入力'!$A$1:$L$1300,454,2+GU$2)&lt;&gt;"",INDEX('×入力'!$A$1:$L$1300,455+GU$3,1)&lt;&gt;""),1,0),0)</f>
        <v/>
      </c>
      <c r="GV26">
        <f>IF(GV$4=1,IF(OR(INDEX('×入力'!$A$1:$L$1300,455+GV$3,2+GV$2)&lt;&gt;"",INDEX('×入力'!$A$1:$L$1300,454,2+GV$2)&lt;&gt;"",INDEX('×入力'!$A$1:$L$1300,455+GV$3,1)&lt;&gt;""),1,0),0)</f>
        <v/>
      </c>
      <c r="GW26">
        <f>IF(GW$4=1,IF(OR(INDEX('×入力'!$A$1:$L$1300,455+GW$3,2+GW$2)&lt;&gt;"",INDEX('×入力'!$A$1:$L$1300,454,2+GW$2)&lt;&gt;"",INDEX('×入力'!$A$1:$L$1300,455+GW$3,1)&lt;&gt;""),1,0),0)</f>
        <v/>
      </c>
      <c r="GX26">
        <f>IF(GX$4=1,IF(OR(INDEX('×入力'!$A$1:$L$1300,455+GX$3,2+GX$2)&lt;&gt;"",INDEX('×入力'!$A$1:$L$1300,454,2+GX$2)&lt;&gt;"",INDEX('×入力'!$A$1:$L$1300,455+GX$3,1)&lt;&gt;""),1,0),0)</f>
        <v/>
      </c>
      <c r="GY26">
        <f>IF(GY$4=1,IF(OR(INDEX('×入力'!$A$1:$L$1300,455+GY$3,2+GY$2)&lt;&gt;"",INDEX('×入力'!$A$1:$L$1300,454,2+GY$2)&lt;&gt;"",INDEX('×入力'!$A$1:$L$1300,455+GY$3,1)&lt;&gt;""),1,0),0)</f>
        <v/>
      </c>
      <c r="GZ26">
        <f>IF(GZ$4=1,IF(OR(INDEX('×入力'!$A$1:$L$1300,455+GZ$3,2+GZ$2)&lt;&gt;"",INDEX('×入力'!$A$1:$L$1300,454,2+GZ$2)&lt;&gt;"",INDEX('×入力'!$A$1:$L$1300,455+GZ$3,1)&lt;&gt;""),1,0),0)</f>
        <v/>
      </c>
      <c r="HA26">
        <f>IF(HA$4=1,IF(OR(INDEX('×入力'!$A$1:$L$1300,455+HA$3,2+HA$2)&lt;&gt;"",INDEX('×入力'!$A$1:$L$1300,454,2+HA$2)&lt;&gt;"",INDEX('×入力'!$A$1:$L$1300,455+HA$3,1)&lt;&gt;""),1,0),0)</f>
        <v/>
      </c>
      <c r="HB26">
        <f>IF(HB$4=1,IF(OR(INDEX('×入力'!$A$1:$L$1300,455+HB$3,2+HB$2)&lt;&gt;"",INDEX('×入力'!$A$1:$L$1300,454,2+HB$2)&lt;&gt;"",INDEX('×入力'!$A$1:$L$1300,455+HB$3,1)&lt;&gt;""),1,0),0)</f>
        <v/>
      </c>
      <c r="HC26">
        <f>IF(HC$4=1,IF(OR(INDEX('×入力'!$A$1:$L$1300,455+HC$3,2+HC$2)&lt;&gt;"",INDEX('×入力'!$A$1:$L$1300,454,2+HC$2)&lt;&gt;"",INDEX('×入力'!$A$1:$L$1300,455+HC$3,1)&lt;&gt;""),1,0),0)</f>
        <v/>
      </c>
      <c r="HD26">
        <f>IF(HD$4=1,IF(OR(INDEX('×入力'!$A$1:$L$1300,455+HD$3,2+HD$2)&lt;&gt;"",INDEX('×入力'!$A$1:$L$1300,454,2+HD$2)&lt;&gt;"",INDEX('×入力'!$A$1:$L$1300,455+HD$3,1)&lt;&gt;""),1,0),0)</f>
        <v/>
      </c>
      <c r="HE26">
        <f>IF(HE$4=1,IF(OR(INDEX('×入力'!$A$1:$L$1300,455+HE$3,2+HE$2)&lt;&gt;"",INDEX('×入力'!$A$1:$L$1300,454,2+HE$2)&lt;&gt;"",INDEX('×入力'!$A$1:$L$1300,455+HE$3,1)&lt;&gt;""),1,0),0)</f>
        <v/>
      </c>
      <c r="HF26">
        <f>IF(HF$4=1,IF(OR(INDEX('×入力'!$A$1:$L$1300,455+HF$3,2+HF$2)&lt;&gt;"",INDEX('×入力'!$A$1:$L$1300,454,2+HF$2)&lt;&gt;"",INDEX('×入力'!$A$1:$L$1300,455+HF$3,1)&lt;&gt;""),1,0),0)</f>
        <v/>
      </c>
      <c r="HG26">
        <f>IF(HG$4=1,IF(OR(INDEX('×入力'!$A$1:$L$1300,455+HG$3,2+HG$2)&lt;&gt;"",INDEX('×入力'!$A$1:$L$1300,454,2+HG$2)&lt;&gt;"",INDEX('×入力'!$A$1:$L$1300,455+HG$3,1)&lt;&gt;""),1,0),0)</f>
        <v/>
      </c>
      <c r="HH26">
        <f>IF(HH$4=1,IF(OR(INDEX('×入力'!$A$1:$L$1300,455+HH$3,2+HH$2)&lt;&gt;"",INDEX('×入力'!$A$1:$L$1300,454,2+HH$2)&lt;&gt;"",INDEX('×入力'!$A$1:$L$1300,455+HH$3,1)&lt;&gt;""),1,0),0)</f>
        <v/>
      </c>
      <c r="HI26">
        <f>IF(HI$4=1,IF(OR(INDEX('×入力'!$A$1:$L$1300,455+HI$3,2+HI$2)&lt;&gt;"",INDEX('×入力'!$A$1:$L$1300,454,2+HI$2)&lt;&gt;"",INDEX('×入力'!$A$1:$L$1300,455+HI$3,1)&lt;&gt;""),1,0),0)</f>
        <v/>
      </c>
      <c r="HJ26">
        <f>IF(HJ$4=1,IF(OR(INDEX('×入力'!$A$1:$L$1300,455+HJ$3,2+HJ$2)&lt;&gt;"",INDEX('×入力'!$A$1:$L$1300,454,2+HJ$2)&lt;&gt;"",INDEX('×入力'!$A$1:$L$1300,455+HJ$3,1)&lt;&gt;""),1,0),0)</f>
        <v/>
      </c>
      <c r="HK26">
        <f>IF(HK$4=1,IF(OR(INDEX('×入力'!$A$1:$L$1300,455+HK$3,2+HK$2)&lt;&gt;"",INDEX('×入力'!$A$1:$L$1300,454,2+HK$2)&lt;&gt;"",INDEX('×入力'!$A$1:$L$1300,455+HK$3,1)&lt;&gt;""),1,0),0)</f>
        <v/>
      </c>
      <c r="HL26">
        <f>IF(HL$4=1,IF(OR(INDEX('×入力'!$A$1:$L$1300,455+HL$3,2+HL$2)&lt;&gt;"",INDEX('×入力'!$A$1:$L$1300,454,2+HL$2)&lt;&gt;"",INDEX('×入力'!$A$1:$L$1300,455+HL$3,1)&lt;&gt;""),1,0),0)</f>
        <v/>
      </c>
      <c r="HM26">
        <f>IF(HM$4=1,IF(OR(INDEX('×入力'!$A$1:$L$1300,455+HM$3,2+HM$2)&lt;&gt;"",INDEX('×入力'!$A$1:$L$1300,454,2+HM$2)&lt;&gt;"",INDEX('×入力'!$A$1:$L$1300,455+HM$3,1)&lt;&gt;""),1,0),0)</f>
        <v/>
      </c>
      <c r="HN26">
        <f>IF(HN$4=1,IF(OR(INDEX('×入力'!$A$1:$L$1300,455+HN$3,2+HN$2)&lt;&gt;"",INDEX('×入力'!$A$1:$L$1300,454,2+HN$2)&lt;&gt;"",INDEX('×入力'!$A$1:$L$1300,455+HN$3,1)&lt;&gt;""),1,0),0)</f>
        <v/>
      </c>
      <c r="HO26">
        <f>IF(HO$4=1,IF(OR(INDEX('×入力'!$A$1:$L$1300,455+HO$3,2+HO$2)&lt;&gt;"",INDEX('×入力'!$A$1:$L$1300,454,2+HO$2)&lt;&gt;"",INDEX('×入力'!$A$1:$L$1300,455+HO$3,1)&lt;&gt;""),1,0),0)</f>
        <v/>
      </c>
      <c r="HP26">
        <f>IF(HP$4=1,IF(OR(INDEX('×入力'!$A$1:$L$1300,455+HP$3,2+HP$2)&lt;&gt;"",INDEX('×入力'!$A$1:$L$1300,454,2+HP$2)&lt;&gt;"",INDEX('×入力'!$A$1:$L$1300,455+HP$3,1)&lt;&gt;""),1,0),0)</f>
        <v/>
      </c>
      <c r="HQ26">
        <f>IF(HQ$4=1,IF(OR(INDEX('×入力'!$A$1:$L$1300,455+HQ$3,2+HQ$2)&lt;&gt;"",INDEX('×入力'!$A$1:$L$1300,454,2+HQ$2)&lt;&gt;"",INDEX('×入力'!$A$1:$L$1300,455+HQ$3,1)&lt;&gt;""),1,0),0)</f>
        <v/>
      </c>
      <c r="HR26">
        <f>IF(HR$4=1,IF(OR(INDEX('×入力'!$A$1:$L$1300,455+HR$3,2+HR$2)&lt;&gt;"",INDEX('×入力'!$A$1:$L$1300,454,2+HR$2)&lt;&gt;"",INDEX('×入力'!$A$1:$L$1300,455+HR$3,1)&lt;&gt;""),1,0),0)</f>
        <v/>
      </c>
      <c r="HS26">
        <f>IF(HS$4=1,IF(OR(INDEX('×入力'!$A$1:$L$1300,455+HS$3,2+HS$2)&lt;&gt;"",INDEX('×入力'!$A$1:$L$1300,454,2+HS$2)&lt;&gt;"",INDEX('×入力'!$A$1:$L$1300,455+HS$3,1)&lt;&gt;""),1,0),0)</f>
        <v/>
      </c>
      <c r="HT26">
        <f>IF(HT$4=1,IF(OR(INDEX('×入力'!$A$1:$L$1300,455+HT$3,2+HT$2)&lt;&gt;"",INDEX('×入力'!$A$1:$L$1300,454,2+HT$2)&lt;&gt;"",INDEX('×入力'!$A$1:$L$1300,455+HT$3,1)&lt;&gt;""),1,0),0)</f>
        <v/>
      </c>
      <c r="HU26">
        <f>IF(HU$4=1,IF(OR(INDEX('×入力'!$A$1:$L$1300,455+HU$3,2+HU$2)&lt;&gt;"",INDEX('×入力'!$A$1:$L$1300,454,2+HU$2)&lt;&gt;"",INDEX('×入力'!$A$1:$L$1300,455+HU$3,1)&lt;&gt;""),1,0),0)</f>
        <v/>
      </c>
      <c r="HV26">
        <f>IF(HV$4=1,IF(OR(INDEX('×入力'!$A$1:$L$1300,455+HV$3,2+HV$2)&lt;&gt;"",INDEX('×入力'!$A$1:$L$1300,454,2+HV$2)&lt;&gt;"",INDEX('×入力'!$A$1:$L$1300,455+HV$3,1)&lt;&gt;""),1,0),0)</f>
        <v/>
      </c>
      <c r="HW26">
        <f>IF(HW$4=1,IF(OR(INDEX('×入力'!$A$1:$L$1300,455+HW$3,2+HW$2)&lt;&gt;"",INDEX('×入力'!$A$1:$L$1300,454,2+HW$2)&lt;&gt;"",INDEX('×入力'!$A$1:$L$1300,455+HW$3,1)&lt;&gt;""),1,0),0)</f>
        <v/>
      </c>
      <c r="HX26">
        <f>IF(HX$4=1,IF(OR(INDEX('×入力'!$A$1:$L$1300,455+HX$3,2+HX$2)&lt;&gt;"",INDEX('×入力'!$A$1:$L$1300,454,2+HX$2)&lt;&gt;"",INDEX('×入力'!$A$1:$L$1300,455+HX$3,1)&lt;&gt;""),1,0),0)</f>
        <v/>
      </c>
      <c r="HY26">
        <f>IF(HY$4=1,IF(OR(INDEX('×入力'!$A$1:$L$1300,455+HY$3,2+HY$2)&lt;&gt;"",INDEX('×入力'!$A$1:$L$1300,454,2+HY$2)&lt;&gt;"",INDEX('×入力'!$A$1:$L$1300,455+HY$3,1)&lt;&gt;""),1,0),0)</f>
        <v/>
      </c>
      <c r="HZ26">
        <f>IF(HZ$4=1,IF(OR(INDEX('×入力'!$A$1:$L$1300,455+HZ$3,2+HZ$2)&lt;&gt;"",INDEX('×入力'!$A$1:$L$1300,454,2+HZ$2)&lt;&gt;"",INDEX('×入力'!$A$1:$L$1300,455+HZ$3,1)&lt;&gt;""),1,0),0)</f>
        <v/>
      </c>
      <c r="IA26">
        <f>IF(IA$4=1,IF(OR(INDEX('×入力'!$A$1:$L$1300,455+IA$3,2+IA$2)&lt;&gt;"",INDEX('×入力'!$A$1:$L$1300,454,2+IA$2)&lt;&gt;"",INDEX('×入力'!$A$1:$L$1300,455+IA$3,1)&lt;&gt;""),1,0),0)</f>
        <v/>
      </c>
      <c r="IB26">
        <f>IF(IB$4=1,IF(OR(INDEX('×入力'!$A$1:$L$1300,455+IB$3,2+IB$2)&lt;&gt;"",INDEX('×入力'!$A$1:$L$1300,454,2+IB$2)&lt;&gt;"",INDEX('×入力'!$A$1:$L$1300,455+IB$3,1)&lt;&gt;""),1,0),0)</f>
        <v/>
      </c>
      <c r="IC26">
        <f>IF(IC$4=1,IF(OR(INDEX('×入力'!$A$1:$L$1300,455+IC$3,2+IC$2)&lt;&gt;"",INDEX('×入力'!$A$1:$L$1300,454,2+IC$2)&lt;&gt;"",INDEX('×入力'!$A$1:$L$1300,455+IC$3,1)&lt;&gt;""),1,0),0)</f>
        <v/>
      </c>
      <c r="ID26">
        <f>IF(ID$4=1,IF(OR(INDEX('×入力'!$A$1:$L$1300,455+ID$3,2+ID$2)&lt;&gt;"",INDEX('×入力'!$A$1:$L$1300,454,2+ID$2)&lt;&gt;"",INDEX('×入力'!$A$1:$L$1300,455+ID$3,1)&lt;&gt;""),1,0),0)</f>
        <v/>
      </c>
      <c r="IE26">
        <f>IF(IE$4=1,IF(OR(INDEX('×入力'!$A$1:$L$1300,455+IE$3,2+IE$2)&lt;&gt;"",INDEX('×入力'!$A$1:$L$1300,454,2+IE$2)&lt;&gt;"",INDEX('×入力'!$A$1:$L$1300,455+IE$3,1)&lt;&gt;""),1,0),0)</f>
        <v/>
      </c>
      <c r="IF26">
        <f>IF(IF$4=1,IF(OR(INDEX('×入力'!$A$1:$L$1300,455+IF$3,2+IF$2)&lt;&gt;"",INDEX('×入力'!$A$1:$L$1300,454,2+IF$2)&lt;&gt;"",INDEX('×入力'!$A$1:$L$1300,455+IF$3,1)&lt;&gt;""),1,0),0)</f>
        <v/>
      </c>
      <c r="IG26">
        <f>IF(IG$4=1,IF(OR(INDEX('×入力'!$A$1:$L$1300,455+IG$3,2+IG$2)&lt;&gt;"",INDEX('×入力'!$A$1:$L$1300,454,2+IG$2)&lt;&gt;"",INDEX('×入力'!$A$1:$L$1300,455+IG$3,1)&lt;&gt;""),1,0),0)</f>
        <v/>
      </c>
      <c r="IH26">
        <f>IF(IH$4=1,IF(OR(INDEX('×入力'!$A$1:$L$1300,455+IH$3,2+IH$2)&lt;&gt;"",INDEX('×入力'!$A$1:$L$1300,454,2+IH$2)&lt;&gt;"",INDEX('×入力'!$A$1:$L$1300,455+IH$3,1)&lt;&gt;""),1,0),0)</f>
        <v/>
      </c>
      <c r="II26">
        <f>IF(II$4=1,IF(OR(INDEX('×入力'!$A$1:$L$1300,455+II$3,2+II$2)&lt;&gt;"",INDEX('×入力'!$A$1:$L$1300,454,2+II$2)&lt;&gt;"",INDEX('×入力'!$A$1:$L$1300,455+II$3,1)&lt;&gt;""),1,0),0)</f>
        <v/>
      </c>
      <c r="IK26">
        <f>IFERROR(INDEX('計算B'!$C$3:$C$47,MATCH(A26,'計算B'!$B$3:$B$47,0)),0)</f>
        <v/>
      </c>
      <c r="IL26">
        <f>IF(AND(C26=1,IK26=0),1,0)</f>
        <v/>
      </c>
      <c r="IM26">
        <f>SUMPRODUCT(D76:II76*(1-$D$7:$II$7))</f>
        <v/>
      </c>
      <c r="IN26">
        <f>SUM(D26:II26)</f>
        <v/>
      </c>
      <c r="IO26">
        <f>IF(B26="",0,IF(COUNTIF('調整・決定'!$C$6:$L$29,B26)=1,SUMPRODUCT(('調整・決定'!$C$6:$L$29=B26)*((COLUMN('調整・決定'!$C$6:$L$29)-3)*24+ROW('調整・決定'!$C$6:$L$29)-5)),0))</f>
        <v/>
      </c>
      <c r="IP26">
        <f>IFERROR(MATCH('名簿'!E21,{"早い時刻","遅い時刻","早い日","遅い日"},0),0)</f>
        <v/>
      </c>
      <c r="IQ26">
        <f>IF('名簿'!F21="必ず空けたい",2,IF('名簿'!F21="出来れば空けたい",1,0))</f>
        <v/>
      </c>
    </row>
    <row r="27">
      <c r="A27" t="n">
        <v>18</v>
      </c>
      <c r="B27">
        <f>'名簿'!G22</f>
        <v/>
      </c>
      <c r="C27">
        <f>IF(AND(B27&lt;&gt;"",OR('名簿'!H22="入力済み",'名簿'!H22="×なし"),IO27=0,COUNTIF('調整・決定'!$C$6:$L$29,B27)=0),1,0)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ER27">
        <f>IF(ER$4=1,IF(OR(INDEX('×入力'!$A$1:$L$1300,483+ER$3,2+ER$2)&lt;&gt;"",INDEX('×入力'!$A$1:$L$1300,482,2+ER$2)&lt;&gt;"",INDEX('×入力'!$A$1:$L$1300,483+ER$3,1)&lt;&gt;""),1,0),0)</f>
        <v/>
      </c>
      <c r="ES27">
        <f>IF(ES$4=1,IF(OR(INDEX('×入力'!$A$1:$L$1300,483+ES$3,2+ES$2)&lt;&gt;"",INDEX('×入力'!$A$1:$L$1300,482,2+ES$2)&lt;&gt;"",INDEX('×入力'!$A$1:$L$1300,483+ES$3,1)&lt;&gt;""),1,0),0)</f>
        <v/>
      </c>
      <c r="ET27">
        <f>IF(ET$4=1,IF(OR(INDEX('×入力'!$A$1:$L$1300,483+ET$3,2+ET$2)&lt;&gt;"",INDEX('×入力'!$A$1:$L$1300,482,2+ET$2)&lt;&gt;"",INDEX('×入力'!$A$1:$L$1300,483+ET$3,1)&lt;&gt;""),1,0),0)</f>
        <v/>
      </c>
      <c r="EU27">
        <f>IF(EU$4=1,IF(OR(INDEX('×入力'!$A$1:$L$1300,483+EU$3,2+EU$2)&lt;&gt;"",INDEX('×入力'!$A$1:$L$1300,482,2+EU$2)&lt;&gt;"",INDEX('×入力'!$A$1:$L$1300,483+EU$3,1)&lt;&gt;""),1,0),0)</f>
        <v/>
      </c>
      <c r="EV27">
        <f>IF(EV$4=1,IF(OR(INDEX('×入力'!$A$1:$L$1300,483+EV$3,2+EV$2)&lt;&gt;"",INDEX('×入力'!$A$1:$L$1300,482,2+EV$2)&lt;&gt;"",INDEX('×入力'!$A$1:$L$1300,483+EV$3,1)&lt;&gt;""),1,0),0)</f>
        <v/>
      </c>
      <c r="EW27">
        <f>IF(EW$4=1,IF(OR(INDEX('×入力'!$A$1:$L$1300,483+EW$3,2+EW$2)&lt;&gt;"",INDEX('×入力'!$A$1:$L$1300,482,2+EW$2)&lt;&gt;"",INDEX('×入力'!$A$1:$L$1300,483+EW$3,1)&lt;&gt;""),1,0),0)</f>
        <v/>
      </c>
      <c r="EX27">
        <f>IF(EX$4=1,IF(OR(INDEX('×入力'!$A$1:$L$1300,483+EX$3,2+EX$2)&lt;&gt;"",INDEX('×入力'!$A$1:$L$1300,482,2+EX$2)&lt;&gt;"",INDEX('×入力'!$A$1:$L$1300,483+EX$3,1)&lt;&gt;""),1,0),0)</f>
        <v/>
      </c>
      <c r="EY27">
        <f>IF(EY$4=1,IF(OR(INDEX('×入力'!$A$1:$L$1300,483+EY$3,2+EY$2)&lt;&gt;"",INDEX('×入力'!$A$1:$L$1300,482,2+EY$2)&lt;&gt;"",INDEX('×入力'!$A$1:$L$1300,483+EY$3,1)&lt;&gt;""),1,0),0)</f>
        <v/>
      </c>
      <c r="EZ27">
        <f>IF(EZ$4=1,IF(OR(INDEX('×入力'!$A$1:$L$1300,483+EZ$3,2+EZ$2)&lt;&gt;"",INDEX('×入力'!$A$1:$L$1300,482,2+EZ$2)&lt;&gt;"",INDEX('×入力'!$A$1:$L$1300,483+EZ$3,1)&lt;&gt;""),1,0),0)</f>
        <v/>
      </c>
      <c r="FA27">
        <f>IF(FA$4=1,IF(OR(INDEX('×入力'!$A$1:$L$1300,483+FA$3,2+FA$2)&lt;&gt;"",INDEX('×入力'!$A$1:$L$1300,482,2+FA$2)&lt;&gt;"",INDEX('×入力'!$A$1:$L$1300,483+FA$3,1)&lt;&gt;""),1,0),0)</f>
        <v/>
      </c>
      <c r="FB27">
        <f>IF(FB$4=1,IF(OR(INDEX('×入力'!$A$1:$L$1300,483+FB$3,2+FB$2)&lt;&gt;"",INDEX('×入力'!$A$1:$L$1300,482,2+FB$2)&lt;&gt;"",INDEX('×入力'!$A$1:$L$1300,483+FB$3,1)&lt;&gt;""),1,0),0)</f>
        <v/>
      </c>
      <c r="FC27">
        <f>IF(FC$4=1,IF(OR(INDEX('×入力'!$A$1:$L$1300,483+FC$3,2+FC$2)&lt;&gt;"",INDEX('×入力'!$A$1:$L$1300,482,2+FC$2)&lt;&gt;"",INDEX('×入力'!$A$1:$L$1300,483+FC$3,1)&lt;&gt;""),1,0),0)</f>
        <v/>
      </c>
      <c r="FD27">
        <f>IF(FD$4=1,IF(OR(INDEX('×入力'!$A$1:$L$1300,483+FD$3,2+FD$2)&lt;&gt;"",INDEX('×入力'!$A$1:$L$1300,482,2+FD$2)&lt;&gt;"",INDEX('×入力'!$A$1:$L$1300,483+FD$3,1)&lt;&gt;""),1,0),0)</f>
        <v/>
      </c>
      <c r="FE27">
        <f>IF(FE$4=1,IF(OR(INDEX('×入力'!$A$1:$L$1300,483+FE$3,2+FE$2)&lt;&gt;"",INDEX('×入力'!$A$1:$L$1300,482,2+FE$2)&lt;&gt;"",INDEX('×入力'!$A$1:$L$1300,483+FE$3,1)&lt;&gt;""),1,0),0)</f>
        <v/>
      </c>
      <c r="FF27">
        <f>IF(FF$4=1,IF(OR(INDEX('×入力'!$A$1:$L$1300,483+FF$3,2+FF$2)&lt;&gt;"",INDEX('×入力'!$A$1:$L$1300,482,2+FF$2)&lt;&gt;"",INDEX('×入力'!$A$1:$L$1300,483+FF$3,1)&lt;&gt;""),1,0),0)</f>
        <v/>
      </c>
      <c r="FG27">
        <f>IF(FG$4=1,IF(OR(INDEX('×入力'!$A$1:$L$1300,483+FG$3,2+FG$2)&lt;&gt;"",INDEX('×入力'!$A$1:$L$1300,482,2+FG$2)&lt;&gt;"",INDEX('×入力'!$A$1:$L$1300,483+FG$3,1)&lt;&gt;""),1,0),0)</f>
        <v/>
      </c>
      <c r="FH27">
        <f>IF(FH$4=1,IF(OR(INDEX('×入力'!$A$1:$L$1300,483+FH$3,2+FH$2)&lt;&gt;"",INDEX('×入力'!$A$1:$L$1300,482,2+FH$2)&lt;&gt;"",INDEX('×入力'!$A$1:$L$1300,483+FH$3,1)&lt;&gt;""),1,0),0)</f>
        <v/>
      </c>
      <c r="FI27">
        <f>IF(FI$4=1,IF(OR(INDEX('×入力'!$A$1:$L$1300,483+FI$3,2+FI$2)&lt;&gt;"",INDEX('×入力'!$A$1:$L$1300,482,2+FI$2)&lt;&gt;"",INDEX('×入力'!$A$1:$L$1300,483+FI$3,1)&lt;&gt;""),1,0),0)</f>
        <v/>
      </c>
      <c r="FJ27">
        <f>IF(FJ$4=1,IF(OR(INDEX('×入力'!$A$1:$L$1300,483+FJ$3,2+FJ$2)&lt;&gt;"",INDEX('×入力'!$A$1:$L$1300,482,2+FJ$2)&lt;&gt;"",INDEX('×入力'!$A$1:$L$1300,483+FJ$3,1)&lt;&gt;""),1,0),0)</f>
        <v/>
      </c>
      <c r="FK27">
        <f>IF(FK$4=1,IF(OR(INDEX('×入力'!$A$1:$L$1300,483+FK$3,2+FK$2)&lt;&gt;"",INDEX('×入力'!$A$1:$L$1300,482,2+FK$2)&lt;&gt;"",INDEX('×入力'!$A$1:$L$1300,483+FK$3,1)&lt;&gt;""),1,0),0)</f>
        <v/>
      </c>
      <c r="FL27">
        <f>IF(FL$4=1,IF(OR(INDEX('×入力'!$A$1:$L$1300,483+FL$3,2+FL$2)&lt;&gt;"",INDEX('×入力'!$A$1:$L$1300,482,2+FL$2)&lt;&gt;"",INDEX('×入力'!$A$1:$L$1300,483+FL$3,1)&lt;&gt;""),1,0),0)</f>
        <v/>
      </c>
      <c r="FM27">
        <f>IF(FM$4=1,IF(OR(INDEX('×入力'!$A$1:$L$1300,483+FM$3,2+FM$2)&lt;&gt;"",INDEX('×入力'!$A$1:$L$1300,482,2+FM$2)&lt;&gt;"",INDEX('×入力'!$A$1:$L$1300,483+FM$3,1)&lt;&gt;""),1,0),0)</f>
        <v/>
      </c>
      <c r="FN27">
        <f>IF(FN$4=1,IF(OR(INDEX('×入力'!$A$1:$L$1300,483+FN$3,2+FN$2)&lt;&gt;"",INDEX('×入力'!$A$1:$L$1300,482,2+FN$2)&lt;&gt;"",INDEX('×入力'!$A$1:$L$1300,483+FN$3,1)&lt;&gt;""),1,0),0)</f>
        <v/>
      </c>
      <c r="FO27">
        <f>IF(FO$4=1,IF(OR(INDEX('×入力'!$A$1:$L$1300,483+FO$3,2+FO$2)&lt;&gt;"",INDEX('×入力'!$A$1:$L$1300,482,2+FO$2)&lt;&gt;"",INDEX('×入力'!$A$1:$L$1300,483+FO$3,1)&lt;&gt;""),1,0),0)</f>
        <v/>
      </c>
      <c r="FP27">
        <f>IF(FP$4=1,IF(OR(INDEX('×入力'!$A$1:$L$1300,483+FP$3,2+FP$2)&lt;&gt;"",INDEX('×入力'!$A$1:$L$1300,482,2+FP$2)&lt;&gt;"",INDEX('×入力'!$A$1:$L$1300,483+FP$3,1)&lt;&gt;""),1,0),0)</f>
        <v/>
      </c>
      <c r="FQ27">
        <f>IF(FQ$4=1,IF(OR(INDEX('×入力'!$A$1:$L$1300,483+FQ$3,2+FQ$2)&lt;&gt;"",INDEX('×入力'!$A$1:$L$1300,482,2+FQ$2)&lt;&gt;"",INDEX('×入力'!$A$1:$L$1300,483+FQ$3,1)&lt;&gt;""),1,0),0)</f>
        <v/>
      </c>
      <c r="FR27">
        <f>IF(FR$4=1,IF(OR(INDEX('×入力'!$A$1:$L$1300,483+FR$3,2+FR$2)&lt;&gt;"",INDEX('×入力'!$A$1:$L$1300,482,2+FR$2)&lt;&gt;"",INDEX('×入力'!$A$1:$L$1300,483+FR$3,1)&lt;&gt;""),1,0),0)</f>
        <v/>
      </c>
      <c r="FS27">
        <f>IF(FS$4=1,IF(OR(INDEX('×入力'!$A$1:$L$1300,483+FS$3,2+FS$2)&lt;&gt;"",INDEX('×入力'!$A$1:$L$1300,482,2+FS$2)&lt;&gt;"",INDEX('×入力'!$A$1:$L$1300,483+FS$3,1)&lt;&gt;""),1,0),0)</f>
        <v/>
      </c>
      <c r="FT27">
        <f>IF(FT$4=1,IF(OR(INDEX('×入力'!$A$1:$L$1300,483+FT$3,2+FT$2)&lt;&gt;"",INDEX('×入力'!$A$1:$L$1300,482,2+FT$2)&lt;&gt;"",INDEX('×入力'!$A$1:$L$1300,483+FT$3,1)&lt;&gt;""),1,0),0)</f>
        <v/>
      </c>
      <c r="FU27">
        <f>IF(FU$4=1,IF(OR(INDEX('×入力'!$A$1:$L$1300,483+FU$3,2+FU$2)&lt;&gt;"",INDEX('×入力'!$A$1:$L$1300,482,2+FU$2)&lt;&gt;"",INDEX('×入力'!$A$1:$L$1300,483+FU$3,1)&lt;&gt;""),1,0),0)</f>
        <v/>
      </c>
      <c r="FV27">
        <f>IF(FV$4=1,IF(OR(INDEX('×入力'!$A$1:$L$1300,483+FV$3,2+FV$2)&lt;&gt;"",INDEX('×入力'!$A$1:$L$1300,482,2+FV$2)&lt;&gt;"",INDEX('×入力'!$A$1:$L$1300,483+FV$3,1)&lt;&gt;""),1,0),0)</f>
        <v/>
      </c>
      <c r="FW27">
        <f>IF(FW$4=1,IF(OR(INDEX('×入力'!$A$1:$L$1300,483+FW$3,2+FW$2)&lt;&gt;"",INDEX('×入力'!$A$1:$L$1300,482,2+FW$2)&lt;&gt;"",INDEX('×入力'!$A$1:$L$1300,483+FW$3,1)&lt;&gt;""),1,0),0)</f>
        <v/>
      </c>
      <c r="FX27">
        <f>IF(FX$4=1,IF(OR(INDEX('×入力'!$A$1:$L$1300,483+FX$3,2+FX$2)&lt;&gt;"",INDEX('×入力'!$A$1:$L$1300,482,2+FX$2)&lt;&gt;"",INDEX('×入力'!$A$1:$L$1300,483+FX$3,1)&lt;&gt;""),1,0),0)</f>
        <v/>
      </c>
      <c r="FY27">
        <f>IF(FY$4=1,IF(OR(INDEX('×入力'!$A$1:$L$1300,483+FY$3,2+FY$2)&lt;&gt;"",INDEX('×入力'!$A$1:$L$1300,482,2+FY$2)&lt;&gt;"",INDEX('×入力'!$A$1:$L$1300,483+FY$3,1)&lt;&gt;""),1,0),0)</f>
        <v/>
      </c>
      <c r="FZ27">
        <f>IF(FZ$4=1,IF(OR(INDEX('×入力'!$A$1:$L$1300,483+FZ$3,2+FZ$2)&lt;&gt;"",INDEX('×入力'!$A$1:$L$1300,482,2+FZ$2)&lt;&gt;"",INDEX('×入力'!$A$1:$L$1300,483+FZ$3,1)&lt;&gt;""),1,0),0)</f>
        <v/>
      </c>
      <c r="GA27">
        <f>IF(GA$4=1,IF(OR(INDEX('×入力'!$A$1:$L$1300,483+GA$3,2+GA$2)&lt;&gt;"",INDEX('×入力'!$A$1:$L$1300,482,2+GA$2)&lt;&gt;"",INDEX('×入力'!$A$1:$L$1300,483+GA$3,1)&lt;&gt;""),1,0),0)</f>
        <v/>
      </c>
      <c r="GB27">
        <f>IF(GB$4=1,IF(OR(INDEX('×入力'!$A$1:$L$1300,483+GB$3,2+GB$2)&lt;&gt;"",INDEX('×入力'!$A$1:$L$1300,482,2+GB$2)&lt;&gt;"",INDEX('×入力'!$A$1:$L$1300,483+GB$3,1)&lt;&gt;""),1,0),0)</f>
        <v/>
      </c>
      <c r="GC27">
        <f>IF(GC$4=1,IF(OR(INDEX('×入力'!$A$1:$L$1300,483+GC$3,2+GC$2)&lt;&gt;"",INDEX('×入力'!$A$1:$L$1300,482,2+GC$2)&lt;&gt;"",INDEX('×入力'!$A$1:$L$1300,483+GC$3,1)&lt;&gt;""),1,0),0)</f>
        <v/>
      </c>
      <c r="GD27">
        <f>IF(GD$4=1,IF(OR(INDEX('×入力'!$A$1:$L$1300,483+GD$3,2+GD$2)&lt;&gt;"",INDEX('×入力'!$A$1:$L$1300,482,2+GD$2)&lt;&gt;"",INDEX('×入力'!$A$1:$L$1300,483+GD$3,1)&lt;&gt;""),1,0),0)</f>
        <v/>
      </c>
      <c r="GE27">
        <f>IF(GE$4=1,IF(OR(INDEX('×入力'!$A$1:$L$1300,483+GE$3,2+GE$2)&lt;&gt;"",INDEX('×入力'!$A$1:$L$1300,482,2+GE$2)&lt;&gt;"",INDEX('×入力'!$A$1:$L$1300,483+GE$3,1)&lt;&gt;""),1,0),0)</f>
        <v/>
      </c>
      <c r="GF27">
        <f>IF(GF$4=1,IF(OR(INDEX('×入力'!$A$1:$L$1300,483+GF$3,2+GF$2)&lt;&gt;"",INDEX('×入力'!$A$1:$L$1300,482,2+GF$2)&lt;&gt;"",INDEX('×入力'!$A$1:$L$1300,483+GF$3,1)&lt;&gt;""),1,0),0)</f>
        <v/>
      </c>
      <c r="GG27">
        <f>IF(GG$4=1,IF(OR(INDEX('×入力'!$A$1:$L$1300,483+GG$3,2+GG$2)&lt;&gt;"",INDEX('×入力'!$A$1:$L$1300,482,2+GG$2)&lt;&gt;"",INDEX('×入力'!$A$1:$L$1300,483+GG$3,1)&lt;&gt;""),1,0),0)</f>
        <v/>
      </c>
      <c r="GH27">
        <f>IF(GH$4=1,IF(OR(INDEX('×入力'!$A$1:$L$1300,483+GH$3,2+GH$2)&lt;&gt;"",INDEX('×入力'!$A$1:$L$1300,482,2+GH$2)&lt;&gt;"",INDEX('×入力'!$A$1:$L$1300,483+GH$3,1)&lt;&gt;""),1,0),0)</f>
        <v/>
      </c>
      <c r="GI27">
        <f>IF(GI$4=1,IF(OR(INDEX('×入力'!$A$1:$L$1300,483+GI$3,2+GI$2)&lt;&gt;"",INDEX('×入力'!$A$1:$L$1300,482,2+GI$2)&lt;&gt;"",INDEX('×入力'!$A$1:$L$1300,483+GI$3,1)&lt;&gt;""),1,0),0)</f>
        <v/>
      </c>
      <c r="GJ27">
        <f>IF(GJ$4=1,IF(OR(INDEX('×入力'!$A$1:$L$1300,483+GJ$3,2+GJ$2)&lt;&gt;"",INDEX('×入力'!$A$1:$L$1300,482,2+GJ$2)&lt;&gt;"",INDEX('×入力'!$A$1:$L$1300,483+GJ$3,1)&lt;&gt;""),1,0),0)</f>
        <v/>
      </c>
      <c r="GK27">
        <f>IF(GK$4=1,IF(OR(INDEX('×入力'!$A$1:$L$1300,483+GK$3,2+GK$2)&lt;&gt;"",INDEX('×入力'!$A$1:$L$1300,482,2+GK$2)&lt;&gt;"",INDEX('×入力'!$A$1:$L$1300,483+GK$3,1)&lt;&gt;""),1,0),0)</f>
        <v/>
      </c>
      <c r="GL27">
        <f>IF(GL$4=1,IF(OR(INDEX('×入力'!$A$1:$L$1300,483+GL$3,2+GL$2)&lt;&gt;"",INDEX('×入力'!$A$1:$L$1300,482,2+GL$2)&lt;&gt;"",INDEX('×入力'!$A$1:$L$1300,483+GL$3,1)&lt;&gt;""),1,0),0)</f>
        <v/>
      </c>
      <c r="GM27">
        <f>IF(GM$4=1,IF(OR(INDEX('×入力'!$A$1:$L$1300,483+GM$3,2+GM$2)&lt;&gt;"",INDEX('×入力'!$A$1:$L$1300,482,2+GM$2)&lt;&gt;"",INDEX('×入力'!$A$1:$L$1300,483+GM$3,1)&lt;&gt;""),1,0),0)</f>
        <v/>
      </c>
      <c r="GN27">
        <f>IF(GN$4=1,IF(OR(INDEX('×入力'!$A$1:$L$1300,483+GN$3,2+GN$2)&lt;&gt;"",INDEX('×入力'!$A$1:$L$1300,482,2+GN$2)&lt;&gt;"",INDEX('×入力'!$A$1:$L$1300,483+GN$3,1)&lt;&gt;""),1,0),0)</f>
        <v/>
      </c>
      <c r="GO27">
        <f>IF(GO$4=1,IF(OR(INDEX('×入力'!$A$1:$L$1300,483+GO$3,2+GO$2)&lt;&gt;"",INDEX('×入力'!$A$1:$L$1300,482,2+GO$2)&lt;&gt;"",INDEX('×入力'!$A$1:$L$1300,483+GO$3,1)&lt;&gt;""),1,0),0)</f>
        <v/>
      </c>
      <c r="GP27">
        <f>IF(GP$4=1,IF(OR(INDEX('×入力'!$A$1:$L$1300,483+GP$3,2+GP$2)&lt;&gt;"",INDEX('×入力'!$A$1:$L$1300,482,2+GP$2)&lt;&gt;"",INDEX('×入力'!$A$1:$L$1300,483+GP$3,1)&lt;&gt;""),1,0),0)</f>
        <v/>
      </c>
      <c r="GQ27">
        <f>IF(GQ$4=1,IF(OR(INDEX('×入力'!$A$1:$L$1300,483+GQ$3,2+GQ$2)&lt;&gt;"",INDEX('×入力'!$A$1:$L$1300,482,2+GQ$2)&lt;&gt;"",INDEX('×入力'!$A$1:$L$1300,483+GQ$3,1)&lt;&gt;""),1,0),0)</f>
        <v/>
      </c>
      <c r="GR27">
        <f>IF(GR$4=1,IF(OR(INDEX('×入力'!$A$1:$L$1300,483+GR$3,2+GR$2)&lt;&gt;"",INDEX('×入力'!$A$1:$L$1300,482,2+GR$2)&lt;&gt;"",INDEX('×入力'!$A$1:$L$1300,483+GR$3,1)&lt;&gt;""),1,0),0)</f>
        <v/>
      </c>
      <c r="GS27">
        <f>IF(GS$4=1,IF(OR(INDEX('×入力'!$A$1:$L$1300,483+GS$3,2+GS$2)&lt;&gt;"",INDEX('×入力'!$A$1:$L$1300,482,2+GS$2)&lt;&gt;"",INDEX('×入力'!$A$1:$L$1300,483+GS$3,1)&lt;&gt;""),1,0),0)</f>
        <v/>
      </c>
      <c r="GT27">
        <f>IF(GT$4=1,IF(OR(INDEX('×入力'!$A$1:$L$1300,483+GT$3,2+GT$2)&lt;&gt;"",INDEX('×入力'!$A$1:$L$1300,482,2+GT$2)&lt;&gt;"",INDEX('×入力'!$A$1:$L$1300,483+GT$3,1)&lt;&gt;""),1,0),0)</f>
        <v/>
      </c>
      <c r="GU27">
        <f>IF(GU$4=1,IF(OR(INDEX('×入力'!$A$1:$L$1300,483+GU$3,2+GU$2)&lt;&gt;"",INDEX('×入力'!$A$1:$L$1300,482,2+GU$2)&lt;&gt;"",INDEX('×入力'!$A$1:$L$1300,483+GU$3,1)&lt;&gt;""),1,0),0)</f>
        <v/>
      </c>
      <c r="GV27">
        <f>IF(GV$4=1,IF(OR(INDEX('×入力'!$A$1:$L$1300,483+GV$3,2+GV$2)&lt;&gt;"",INDEX('×入力'!$A$1:$L$1300,482,2+GV$2)&lt;&gt;"",INDEX('×入力'!$A$1:$L$1300,483+GV$3,1)&lt;&gt;""),1,0),0)</f>
        <v/>
      </c>
      <c r="GW27">
        <f>IF(GW$4=1,IF(OR(INDEX('×入力'!$A$1:$L$1300,483+GW$3,2+GW$2)&lt;&gt;"",INDEX('×入力'!$A$1:$L$1300,482,2+GW$2)&lt;&gt;"",INDEX('×入力'!$A$1:$L$1300,483+GW$3,1)&lt;&gt;""),1,0),0)</f>
        <v/>
      </c>
      <c r="GX27">
        <f>IF(GX$4=1,IF(OR(INDEX('×入力'!$A$1:$L$1300,483+GX$3,2+GX$2)&lt;&gt;"",INDEX('×入力'!$A$1:$L$1300,482,2+GX$2)&lt;&gt;"",INDEX('×入力'!$A$1:$L$1300,483+GX$3,1)&lt;&gt;""),1,0),0)</f>
        <v/>
      </c>
      <c r="GY27">
        <f>IF(GY$4=1,IF(OR(INDEX('×入力'!$A$1:$L$1300,483+GY$3,2+GY$2)&lt;&gt;"",INDEX('×入力'!$A$1:$L$1300,482,2+GY$2)&lt;&gt;"",INDEX('×入力'!$A$1:$L$1300,483+GY$3,1)&lt;&gt;""),1,0),0)</f>
        <v/>
      </c>
      <c r="GZ27">
        <f>IF(GZ$4=1,IF(OR(INDEX('×入力'!$A$1:$L$1300,483+GZ$3,2+GZ$2)&lt;&gt;"",INDEX('×入力'!$A$1:$L$1300,482,2+GZ$2)&lt;&gt;"",INDEX('×入力'!$A$1:$L$1300,483+GZ$3,1)&lt;&gt;""),1,0),0)</f>
        <v/>
      </c>
      <c r="HA27">
        <f>IF(HA$4=1,IF(OR(INDEX('×入力'!$A$1:$L$1300,483+HA$3,2+HA$2)&lt;&gt;"",INDEX('×入力'!$A$1:$L$1300,482,2+HA$2)&lt;&gt;"",INDEX('×入力'!$A$1:$L$1300,483+HA$3,1)&lt;&gt;""),1,0),0)</f>
        <v/>
      </c>
      <c r="HB27">
        <f>IF(HB$4=1,IF(OR(INDEX('×入力'!$A$1:$L$1300,483+HB$3,2+HB$2)&lt;&gt;"",INDEX('×入力'!$A$1:$L$1300,482,2+HB$2)&lt;&gt;"",INDEX('×入力'!$A$1:$L$1300,483+HB$3,1)&lt;&gt;""),1,0),0)</f>
        <v/>
      </c>
      <c r="HC27">
        <f>IF(HC$4=1,IF(OR(INDEX('×入力'!$A$1:$L$1300,483+HC$3,2+HC$2)&lt;&gt;"",INDEX('×入力'!$A$1:$L$1300,482,2+HC$2)&lt;&gt;"",INDEX('×入力'!$A$1:$L$1300,483+HC$3,1)&lt;&gt;""),1,0),0)</f>
        <v/>
      </c>
      <c r="HD27">
        <f>IF(HD$4=1,IF(OR(INDEX('×入力'!$A$1:$L$1300,483+HD$3,2+HD$2)&lt;&gt;"",INDEX('×入力'!$A$1:$L$1300,482,2+HD$2)&lt;&gt;"",INDEX('×入力'!$A$1:$L$1300,483+HD$3,1)&lt;&gt;""),1,0),0)</f>
        <v/>
      </c>
      <c r="HE27">
        <f>IF(HE$4=1,IF(OR(INDEX('×入力'!$A$1:$L$1300,483+HE$3,2+HE$2)&lt;&gt;"",INDEX('×入力'!$A$1:$L$1300,482,2+HE$2)&lt;&gt;"",INDEX('×入力'!$A$1:$L$1300,483+HE$3,1)&lt;&gt;""),1,0),0)</f>
        <v/>
      </c>
      <c r="HF27">
        <f>IF(HF$4=1,IF(OR(INDEX('×入力'!$A$1:$L$1300,483+HF$3,2+HF$2)&lt;&gt;"",INDEX('×入力'!$A$1:$L$1300,482,2+HF$2)&lt;&gt;"",INDEX('×入力'!$A$1:$L$1300,483+HF$3,1)&lt;&gt;""),1,0),0)</f>
        <v/>
      </c>
      <c r="HG27">
        <f>IF(HG$4=1,IF(OR(INDEX('×入力'!$A$1:$L$1300,483+HG$3,2+HG$2)&lt;&gt;"",INDEX('×入力'!$A$1:$L$1300,482,2+HG$2)&lt;&gt;"",INDEX('×入力'!$A$1:$L$1300,483+HG$3,1)&lt;&gt;""),1,0),0)</f>
        <v/>
      </c>
      <c r="HH27">
        <f>IF(HH$4=1,IF(OR(INDEX('×入力'!$A$1:$L$1300,483+HH$3,2+HH$2)&lt;&gt;"",INDEX('×入力'!$A$1:$L$1300,482,2+HH$2)&lt;&gt;"",INDEX('×入力'!$A$1:$L$1300,483+HH$3,1)&lt;&gt;""),1,0),0)</f>
        <v/>
      </c>
      <c r="HI27">
        <f>IF(HI$4=1,IF(OR(INDEX('×入力'!$A$1:$L$1300,483+HI$3,2+HI$2)&lt;&gt;"",INDEX('×入力'!$A$1:$L$1300,482,2+HI$2)&lt;&gt;"",INDEX('×入力'!$A$1:$L$1300,483+HI$3,1)&lt;&gt;""),1,0),0)</f>
        <v/>
      </c>
      <c r="HJ27">
        <f>IF(HJ$4=1,IF(OR(INDEX('×入力'!$A$1:$L$1300,483+HJ$3,2+HJ$2)&lt;&gt;"",INDEX('×入力'!$A$1:$L$1300,482,2+HJ$2)&lt;&gt;"",INDEX('×入力'!$A$1:$L$1300,483+HJ$3,1)&lt;&gt;""),1,0),0)</f>
        <v/>
      </c>
      <c r="HK27">
        <f>IF(HK$4=1,IF(OR(INDEX('×入力'!$A$1:$L$1300,483+HK$3,2+HK$2)&lt;&gt;"",INDEX('×入力'!$A$1:$L$1300,482,2+HK$2)&lt;&gt;"",INDEX('×入力'!$A$1:$L$1300,483+HK$3,1)&lt;&gt;""),1,0),0)</f>
        <v/>
      </c>
      <c r="HL27">
        <f>IF(HL$4=1,IF(OR(INDEX('×入力'!$A$1:$L$1300,483+HL$3,2+HL$2)&lt;&gt;"",INDEX('×入力'!$A$1:$L$1300,482,2+HL$2)&lt;&gt;"",INDEX('×入力'!$A$1:$L$1300,483+HL$3,1)&lt;&gt;""),1,0),0)</f>
        <v/>
      </c>
      <c r="HM27">
        <f>IF(HM$4=1,IF(OR(INDEX('×入力'!$A$1:$L$1300,483+HM$3,2+HM$2)&lt;&gt;"",INDEX('×入力'!$A$1:$L$1300,482,2+HM$2)&lt;&gt;"",INDEX('×入力'!$A$1:$L$1300,483+HM$3,1)&lt;&gt;""),1,0),0)</f>
        <v/>
      </c>
      <c r="HN27">
        <f>IF(HN$4=1,IF(OR(INDEX('×入力'!$A$1:$L$1300,483+HN$3,2+HN$2)&lt;&gt;"",INDEX('×入力'!$A$1:$L$1300,482,2+HN$2)&lt;&gt;"",INDEX('×入力'!$A$1:$L$1300,483+HN$3,1)&lt;&gt;""),1,0),0)</f>
        <v/>
      </c>
      <c r="HO27">
        <f>IF(HO$4=1,IF(OR(INDEX('×入力'!$A$1:$L$1300,483+HO$3,2+HO$2)&lt;&gt;"",INDEX('×入力'!$A$1:$L$1300,482,2+HO$2)&lt;&gt;"",INDEX('×入力'!$A$1:$L$1300,483+HO$3,1)&lt;&gt;""),1,0),0)</f>
        <v/>
      </c>
      <c r="HP27">
        <f>IF(HP$4=1,IF(OR(INDEX('×入力'!$A$1:$L$1300,483+HP$3,2+HP$2)&lt;&gt;"",INDEX('×入力'!$A$1:$L$1300,482,2+HP$2)&lt;&gt;"",INDEX('×入力'!$A$1:$L$1300,483+HP$3,1)&lt;&gt;""),1,0),0)</f>
        <v/>
      </c>
      <c r="HQ27">
        <f>IF(HQ$4=1,IF(OR(INDEX('×入力'!$A$1:$L$1300,483+HQ$3,2+HQ$2)&lt;&gt;"",INDEX('×入力'!$A$1:$L$1300,482,2+HQ$2)&lt;&gt;"",INDEX('×入力'!$A$1:$L$1300,483+HQ$3,1)&lt;&gt;""),1,0),0)</f>
        <v/>
      </c>
      <c r="HR27">
        <f>IF(HR$4=1,IF(OR(INDEX('×入力'!$A$1:$L$1300,483+HR$3,2+HR$2)&lt;&gt;"",INDEX('×入力'!$A$1:$L$1300,482,2+HR$2)&lt;&gt;"",INDEX('×入力'!$A$1:$L$1300,483+HR$3,1)&lt;&gt;""),1,0),0)</f>
        <v/>
      </c>
      <c r="HS27">
        <f>IF(HS$4=1,IF(OR(INDEX('×入力'!$A$1:$L$1300,483+HS$3,2+HS$2)&lt;&gt;"",INDEX('×入力'!$A$1:$L$1300,482,2+HS$2)&lt;&gt;"",INDEX('×入力'!$A$1:$L$1300,483+HS$3,1)&lt;&gt;""),1,0),0)</f>
        <v/>
      </c>
      <c r="HT27">
        <f>IF(HT$4=1,IF(OR(INDEX('×入力'!$A$1:$L$1300,483+HT$3,2+HT$2)&lt;&gt;"",INDEX('×入力'!$A$1:$L$1300,482,2+HT$2)&lt;&gt;"",INDEX('×入力'!$A$1:$L$1300,483+HT$3,1)&lt;&gt;""),1,0),0)</f>
        <v/>
      </c>
      <c r="HU27">
        <f>IF(HU$4=1,IF(OR(INDEX('×入力'!$A$1:$L$1300,483+HU$3,2+HU$2)&lt;&gt;"",INDEX('×入力'!$A$1:$L$1300,482,2+HU$2)&lt;&gt;"",INDEX('×入力'!$A$1:$L$1300,483+HU$3,1)&lt;&gt;""),1,0),0)</f>
        <v/>
      </c>
      <c r="HV27">
        <f>IF(HV$4=1,IF(OR(INDEX('×入力'!$A$1:$L$1300,483+HV$3,2+HV$2)&lt;&gt;"",INDEX('×入力'!$A$1:$L$1300,482,2+HV$2)&lt;&gt;"",INDEX('×入力'!$A$1:$L$1300,483+HV$3,1)&lt;&gt;""),1,0),0)</f>
        <v/>
      </c>
      <c r="HW27">
        <f>IF(HW$4=1,IF(OR(INDEX('×入力'!$A$1:$L$1300,483+HW$3,2+HW$2)&lt;&gt;"",INDEX('×入力'!$A$1:$L$1300,482,2+HW$2)&lt;&gt;"",INDEX('×入力'!$A$1:$L$1300,483+HW$3,1)&lt;&gt;""),1,0),0)</f>
        <v/>
      </c>
      <c r="HX27">
        <f>IF(HX$4=1,IF(OR(INDEX('×入力'!$A$1:$L$1300,483+HX$3,2+HX$2)&lt;&gt;"",INDEX('×入力'!$A$1:$L$1300,482,2+HX$2)&lt;&gt;"",INDEX('×入力'!$A$1:$L$1300,483+HX$3,1)&lt;&gt;""),1,0),0)</f>
        <v/>
      </c>
      <c r="HY27">
        <f>IF(HY$4=1,IF(OR(INDEX('×入力'!$A$1:$L$1300,483+HY$3,2+HY$2)&lt;&gt;"",INDEX('×入力'!$A$1:$L$1300,482,2+HY$2)&lt;&gt;"",INDEX('×入力'!$A$1:$L$1300,483+HY$3,1)&lt;&gt;""),1,0),0)</f>
        <v/>
      </c>
      <c r="HZ27">
        <f>IF(HZ$4=1,IF(OR(INDEX('×入力'!$A$1:$L$1300,483+HZ$3,2+HZ$2)&lt;&gt;"",INDEX('×入力'!$A$1:$L$1300,482,2+HZ$2)&lt;&gt;"",INDEX('×入力'!$A$1:$L$1300,483+HZ$3,1)&lt;&gt;""),1,0),0)</f>
        <v/>
      </c>
      <c r="IA27">
        <f>IF(IA$4=1,IF(OR(INDEX('×入力'!$A$1:$L$1300,483+IA$3,2+IA$2)&lt;&gt;"",INDEX('×入力'!$A$1:$L$1300,482,2+IA$2)&lt;&gt;"",INDEX('×入力'!$A$1:$L$1300,483+IA$3,1)&lt;&gt;""),1,0),0)</f>
        <v/>
      </c>
      <c r="IB27">
        <f>IF(IB$4=1,IF(OR(INDEX('×入力'!$A$1:$L$1300,483+IB$3,2+IB$2)&lt;&gt;"",INDEX('×入力'!$A$1:$L$1300,482,2+IB$2)&lt;&gt;"",INDEX('×入力'!$A$1:$L$1300,483+IB$3,1)&lt;&gt;""),1,0),0)</f>
        <v/>
      </c>
      <c r="IC27">
        <f>IF(IC$4=1,IF(OR(INDEX('×入力'!$A$1:$L$1300,483+IC$3,2+IC$2)&lt;&gt;"",INDEX('×入力'!$A$1:$L$1300,482,2+IC$2)&lt;&gt;"",INDEX('×入力'!$A$1:$L$1300,483+IC$3,1)&lt;&gt;""),1,0),0)</f>
        <v/>
      </c>
      <c r="ID27">
        <f>IF(ID$4=1,IF(OR(INDEX('×入力'!$A$1:$L$1300,483+ID$3,2+ID$2)&lt;&gt;"",INDEX('×入力'!$A$1:$L$1300,482,2+ID$2)&lt;&gt;"",INDEX('×入力'!$A$1:$L$1300,483+ID$3,1)&lt;&gt;""),1,0),0)</f>
        <v/>
      </c>
      <c r="IE27">
        <f>IF(IE$4=1,IF(OR(INDEX('×入力'!$A$1:$L$1300,483+IE$3,2+IE$2)&lt;&gt;"",INDEX('×入力'!$A$1:$L$1300,482,2+IE$2)&lt;&gt;"",INDEX('×入力'!$A$1:$L$1300,483+IE$3,1)&lt;&gt;""),1,0),0)</f>
        <v/>
      </c>
      <c r="IF27">
        <f>IF(IF$4=1,IF(OR(INDEX('×入力'!$A$1:$L$1300,483+IF$3,2+IF$2)&lt;&gt;"",INDEX('×入力'!$A$1:$L$1300,482,2+IF$2)&lt;&gt;"",INDEX('×入力'!$A$1:$L$1300,483+IF$3,1)&lt;&gt;""),1,0),0)</f>
        <v/>
      </c>
      <c r="IG27">
        <f>IF(IG$4=1,IF(OR(INDEX('×入力'!$A$1:$L$1300,483+IG$3,2+IG$2)&lt;&gt;"",INDEX('×入力'!$A$1:$L$1300,482,2+IG$2)&lt;&gt;"",INDEX('×入力'!$A$1:$L$1300,483+IG$3,1)&lt;&gt;""),1,0),0)</f>
        <v/>
      </c>
      <c r="IH27">
        <f>IF(IH$4=1,IF(OR(INDEX('×入力'!$A$1:$L$1300,483+IH$3,2+IH$2)&lt;&gt;"",INDEX('×入力'!$A$1:$L$1300,482,2+IH$2)&lt;&gt;"",INDEX('×入力'!$A$1:$L$1300,483+IH$3,1)&lt;&gt;""),1,0),0)</f>
        <v/>
      </c>
      <c r="II27">
        <f>IF(II$4=1,IF(OR(INDEX('×入力'!$A$1:$L$1300,483+II$3,2+II$2)&lt;&gt;"",INDEX('×入力'!$A$1:$L$1300,482,2+II$2)&lt;&gt;"",INDEX('×入力'!$A$1:$L$1300,483+II$3,1)&lt;&gt;""),1,0),0)</f>
        <v/>
      </c>
      <c r="IK27">
        <f>IFERROR(INDEX('計算B'!$C$3:$C$47,MATCH(A27,'計算B'!$B$3:$B$47,0)),0)</f>
        <v/>
      </c>
      <c r="IL27">
        <f>IF(AND(C27=1,IK27=0),1,0)</f>
        <v/>
      </c>
      <c r="IM27">
        <f>SUMPRODUCT(D77:II77*(1-$D$7:$II$7))</f>
        <v/>
      </c>
      <c r="IN27">
        <f>SUM(D27:II27)</f>
        <v/>
      </c>
      <c r="IO27">
        <f>IF(B27="",0,IF(COUNTIF('調整・決定'!$C$6:$L$29,B27)=1,SUMPRODUCT(('調整・決定'!$C$6:$L$29=B27)*((COLUMN('調整・決定'!$C$6:$L$29)-3)*24+ROW('調整・決定'!$C$6:$L$29)-5)),0))</f>
        <v/>
      </c>
      <c r="IP27">
        <f>IFERROR(MATCH('名簿'!E22,{"早い時刻","遅い時刻","早い日","遅い日"},0),0)</f>
        <v/>
      </c>
      <c r="IQ27">
        <f>IF('名簿'!F22="必ず空けたい",2,IF('名簿'!F22="出来れば空けたい",1,0))</f>
        <v/>
      </c>
    </row>
    <row r="28">
      <c r="A28" t="n">
        <v>19</v>
      </c>
      <c r="B28">
        <f>'名簿'!G23</f>
        <v/>
      </c>
      <c r="C28">
        <f>IF(AND(B28&lt;&gt;"",OR('名簿'!H23="入力済み",'名簿'!H23="×なし"),IO28=0,COUNTIF('調整・決定'!$C$6:$L$29,B28)=0),1,0)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ER28">
        <f>IF(ER$4=1,IF(OR(INDEX('×入力'!$A$1:$L$1300,511+ER$3,2+ER$2)&lt;&gt;"",INDEX('×入力'!$A$1:$L$1300,510,2+ER$2)&lt;&gt;"",INDEX('×入力'!$A$1:$L$1300,511+ER$3,1)&lt;&gt;""),1,0),0)</f>
        <v/>
      </c>
      <c r="ES28">
        <f>IF(ES$4=1,IF(OR(INDEX('×入力'!$A$1:$L$1300,511+ES$3,2+ES$2)&lt;&gt;"",INDEX('×入力'!$A$1:$L$1300,510,2+ES$2)&lt;&gt;"",INDEX('×入力'!$A$1:$L$1300,511+ES$3,1)&lt;&gt;""),1,0),0)</f>
        <v/>
      </c>
      <c r="ET28">
        <f>IF(ET$4=1,IF(OR(INDEX('×入力'!$A$1:$L$1300,511+ET$3,2+ET$2)&lt;&gt;"",INDEX('×入力'!$A$1:$L$1300,510,2+ET$2)&lt;&gt;"",INDEX('×入力'!$A$1:$L$1300,511+ET$3,1)&lt;&gt;""),1,0),0)</f>
        <v/>
      </c>
      <c r="EU28">
        <f>IF(EU$4=1,IF(OR(INDEX('×入力'!$A$1:$L$1300,511+EU$3,2+EU$2)&lt;&gt;"",INDEX('×入力'!$A$1:$L$1300,510,2+EU$2)&lt;&gt;"",INDEX('×入力'!$A$1:$L$1300,511+EU$3,1)&lt;&gt;""),1,0),0)</f>
        <v/>
      </c>
      <c r="EV28">
        <f>IF(EV$4=1,IF(OR(INDEX('×入力'!$A$1:$L$1300,511+EV$3,2+EV$2)&lt;&gt;"",INDEX('×入力'!$A$1:$L$1300,510,2+EV$2)&lt;&gt;"",INDEX('×入力'!$A$1:$L$1300,511+EV$3,1)&lt;&gt;""),1,0),0)</f>
        <v/>
      </c>
      <c r="EW28">
        <f>IF(EW$4=1,IF(OR(INDEX('×入力'!$A$1:$L$1300,511+EW$3,2+EW$2)&lt;&gt;"",INDEX('×入力'!$A$1:$L$1300,510,2+EW$2)&lt;&gt;"",INDEX('×入力'!$A$1:$L$1300,511+EW$3,1)&lt;&gt;""),1,0),0)</f>
        <v/>
      </c>
      <c r="EX28">
        <f>IF(EX$4=1,IF(OR(INDEX('×入力'!$A$1:$L$1300,511+EX$3,2+EX$2)&lt;&gt;"",INDEX('×入力'!$A$1:$L$1300,510,2+EX$2)&lt;&gt;"",INDEX('×入力'!$A$1:$L$1300,511+EX$3,1)&lt;&gt;""),1,0),0)</f>
        <v/>
      </c>
      <c r="EY28">
        <f>IF(EY$4=1,IF(OR(INDEX('×入力'!$A$1:$L$1300,511+EY$3,2+EY$2)&lt;&gt;"",INDEX('×入力'!$A$1:$L$1300,510,2+EY$2)&lt;&gt;"",INDEX('×入力'!$A$1:$L$1300,511+EY$3,1)&lt;&gt;""),1,0),0)</f>
        <v/>
      </c>
      <c r="EZ28">
        <f>IF(EZ$4=1,IF(OR(INDEX('×入力'!$A$1:$L$1300,511+EZ$3,2+EZ$2)&lt;&gt;"",INDEX('×入力'!$A$1:$L$1300,510,2+EZ$2)&lt;&gt;"",INDEX('×入力'!$A$1:$L$1300,511+EZ$3,1)&lt;&gt;""),1,0),0)</f>
        <v/>
      </c>
      <c r="FA28">
        <f>IF(FA$4=1,IF(OR(INDEX('×入力'!$A$1:$L$1300,511+FA$3,2+FA$2)&lt;&gt;"",INDEX('×入力'!$A$1:$L$1300,510,2+FA$2)&lt;&gt;"",INDEX('×入力'!$A$1:$L$1300,511+FA$3,1)&lt;&gt;""),1,0),0)</f>
        <v/>
      </c>
      <c r="FB28">
        <f>IF(FB$4=1,IF(OR(INDEX('×入力'!$A$1:$L$1300,511+FB$3,2+FB$2)&lt;&gt;"",INDEX('×入力'!$A$1:$L$1300,510,2+FB$2)&lt;&gt;"",INDEX('×入力'!$A$1:$L$1300,511+FB$3,1)&lt;&gt;""),1,0),0)</f>
        <v/>
      </c>
      <c r="FC28">
        <f>IF(FC$4=1,IF(OR(INDEX('×入力'!$A$1:$L$1300,511+FC$3,2+FC$2)&lt;&gt;"",INDEX('×入力'!$A$1:$L$1300,510,2+FC$2)&lt;&gt;"",INDEX('×入力'!$A$1:$L$1300,511+FC$3,1)&lt;&gt;""),1,0),0)</f>
        <v/>
      </c>
      <c r="FD28">
        <f>IF(FD$4=1,IF(OR(INDEX('×入力'!$A$1:$L$1300,511+FD$3,2+FD$2)&lt;&gt;"",INDEX('×入力'!$A$1:$L$1300,510,2+FD$2)&lt;&gt;"",INDEX('×入力'!$A$1:$L$1300,511+FD$3,1)&lt;&gt;""),1,0),0)</f>
        <v/>
      </c>
      <c r="FE28">
        <f>IF(FE$4=1,IF(OR(INDEX('×入力'!$A$1:$L$1300,511+FE$3,2+FE$2)&lt;&gt;"",INDEX('×入力'!$A$1:$L$1300,510,2+FE$2)&lt;&gt;"",INDEX('×入力'!$A$1:$L$1300,511+FE$3,1)&lt;&gt;""),1,0),0)</f>
        <v/>
      </c>
      <c r="FF28">
        <f>IF(FF$4=1,IF(OR(INDEX('×入力'!$A$1:$L$1300,511+FF$3,2+FF$2)&lt;&gt;"",INDEX('×入力'!$A$1:$L$1300,510,2+FF$2)&lt;&gt;"",INDEX('×入力'!$A$1:$L$1300,511+FF$3,1)&lt;&gt;""),1,0),0)</f>
        <v/>
      </c>
      <c r="FG28">
        <f>IF(FG$4=1,IF(OR(INDEX('×入力'!$A$1:$L$1300,511+FG$3,2+FG$2)&lt;&gt;"",INDEX('×入力'!$A$1:$L$1300,510,2+FG$2)&lt;&gt;"",INDEX('×入力'!$A$1:$L$1300,511+FG$3,1)&lt;&gt;""),1,0),0)</f>
        <v/>
      </c>
      <c r="FH28">
        <f>IF(FH$4=1,IF(OR(INDEX('×入力'!$A$1:$L$1300,511+FH$3,2+FH$2)&lt;&gt;"",INDEX('×入力'!$A$1:$L$1300,510,2+FH$2)&lt;&gt;"",INDEX('×入力'!$A$1:$L$1300,511+FH$3,1)&lt;&gt;""),1,0),0)</f>
        <v/>
      </c>
      <c r="FI28">
        <f>IF(FI$4=1,IF(OR(INDEX('×入力'!$A$1:$L$1300,511+FI$3,2+FI$2)&lt;&gt;"",INDEX('×入力'!$A$1:$L$1300,510,2+FI$2)&lt;&gt;"",INDEX('×入力'!$A$1:$L$1300,511+FI$3,1)&lt;&gt;""),1,0),0)</f>
        <v/>
      </c>
      <c r="FJ28">
        <f>IF(FJ$4=1,IF(OR(INDEX('×入力'!$A$1:$L$1300,511+FJ$3,2+FJ$2)&lt;&gt;"",INDEX('×入力'!$A$1:$L$1300,510,2+FJ$2)&lt;&gt;"",INDEX('×入力'!$A$1:$L$1300,511+FJ$3,1)&lt;&gt;""),1,0),0)</f>
        <v/>
      </c>
      <c r="FK28">
        <f>IF(FK$4=1,IF(OR(INDEX('×入力'!$A$1:$L$1300,511+FK$3,2+FK$2)&lt;&gt;"",INDEX('×入力'!$A$1:$L$1300,510,2+FK$2)&lt;&gt;"",INDEX('×入力'!$A$1:$L$1300,511+FK$3,1)&lt;&gt;""),1,0),0)</f>
        <v/>
      </c>
      <c r="FL28">
        <f>IF(FL$4=1,IF(OR(INDEX('×入力'!$A$1:$L$1300,511+FL$3,2+FL$2)&lt;&gt;"",INDEX('×入力'!$A$1:$L$1300,510,2+FL$2)&lt;&gt;"",INDEX('×入力'!$A$1:$L$1300,511+FL$3,1)&lt;&gt;""),1,0),0)</f>
        <v/>
      </c>
      <c r="FM28">
        <f>IF(FM$4=1,IF(OR(INDEX('×入力'!$A$1:$L$1300,511+FM$3,2+FM$2)&lt;&gt;"",INDEX('×入力'!$A$1:$L$1300,510,2+FM$2)&lt;&gt;"",INDEX('×入力'!$A$1:$L$1300,511+FM$3,1)&lt;&gt;""),1,0),0)</f>
        <v/>
      </c>
      <c r="FN28">
        <f>IF(FN$4=1,IF(OR(INDEX('×入力'!$A$1:$L$1300,511+FN$3,2+FN$2)&lt;&gt;"",INDEX('×入力'!$A$1:$L$1300,510,2+FN$2)&lt;&gt;"",INDEX('×入力'!$A$1:$L$1300,511+FN$3,1)&lt;&gt;""),1,0),0)</f>
        <v/>
      </c>
      <c r="FO28">
        <f>IF(FO$4=1,IF(OR(INDEX('×入力'!$A$1:$L$1300,511+FO$3,2+FO$2)&lt;&gt;"",INDEX('×入力'!$A$1:$L$1300,510,2+FO$2)&lt;&gt;"",INDEX('×入力'!$A$1:$L$1300,511+FO$3,1)&lt;&gt;""),1,0),0)</f>
        <v/>
      </c>
      <c r="FP28">
        <f>IF(FP$4=1,IF(OR(INDEX('×入力'!$A$1:$L$1300,511+FP$3,2+FP$2)&lt;&gt;"",INDEX('×入力'!$A$1:$L$1300,510,2+FP$2)&lt;&gt;"",INDEX('×入力'!$A$1:$L$1300,511+FP$3,1)&lt;&gt;""),1,0),0)</f>
        <v/>
      </c>
      <c r="FQ28">
        <f>IF(FQ$4=1,IF(OR(INDEX('×入力'!$A$1:$L$1300,511+FQ$3,2+FQ$2)&lt;&gt;"",INDEX('×入力'!$A$1:$L$1300,510,2+FQ$2)&lt;&gt;"",INDEX('×入力'!$A$1:$L$1300,511+FQ$3,1)&lt;&gt;""),1,0),0)</f>
        <v/>
      </c>
      <c r="FR28">
        <f>IF(FR$4=1,IF(OR(INDEX('×入力'!$A$1:$L$1300,511+FR$3,2+FR$2)&lt;&gt;"",INDEX('×入力'!$A$1:$L$1300,510,2+FR$2)&lt;&gt;"",INDEX('×入力'!$A$1:$L$1300,511+FR$3,1)&lt;&gt;""),1,0),0)</f>
        <v/>
      </c>
      <c r="FS28">
        <f>IF(FS$4=1,IF(OR(INDEX('×入力'!$A$1:$L$1300,511+FS$3,2+FS$2)&lt;&gt;"",INDEX('×入力'!$A$1:$L$1300,510,2+FS$2)&lt;&gt;"",INDEX('×入力'!$A$1:$L$1300,511+FS$3,1)&lt;&gt;""),1,0),0)</f>
        <v/>
      </c>
      <c r="FT28">
        <f>IF(FT$4=1,IF(OR(INDEX('×入力'!$A$1:$L$1300,511+FT$3,2+FT$2)&lt;&gt;"",INDEX('×入力'!$A$1:$L$1300,510,2+FT$2)&lt;&gt;"",INDEX('×入力'!$A$1:$L$1300,511+FT$3,1)&lt;&gt;""),1,0),0)</f>
        <v/>
      </c>
      <c r="FU28">
        <f>IF(FU$4=1,IF(OR(INDEX('×入力'!$A$1:$L$1300,511+FU$3,2+FU$2)&lt;&gt;"",INDEX('×入力'!$A$1:$L$1300,510,2+FU$2)&lt;&gt;"",INDEX('×入力'!$A$1:$L$1300,511+FU$3,1)&lt;&gt;""),1,0),0)</f>
        <v/>
      </c>
      <c r="FV28">
        <f>IF(FV$4=1,IF(OR(INDEX('×入力'!$A$1:$L$1300,511+FV$3,2+FV$2)&lt;&gt;"",INDEX('×入力'!$A$1:$L$1300,510,2+FV$2)&lt;&gt;"",INDEX('×入力'!$A$1:$L$1300,511+FV$3,1)&lt;&gt;""),1,0),0)</f>
        <v/>
      </c>
      <c r="FW28">
        <f>IF(FW$4=1,IF(OR(INDEX('×入力'!$A$1:$L$1300,511+FW$3,2+FW$2)&lt;&gt;"",INDEX('×入力'!$A$1:$L$1300,510,2+FW$2)&lt;&gt;"",INDEX('×入力'!$A$1:$L$1300,511+FW$3,1)&lt;&gt;""),1,0),0)</f>
        <v/>
      </c>
      <c r="FX28">
        <f>IF(FX$4=1,IF(OR(INDEX('×入力'!$A$1:$L$1300,511+FX$3,2+FX$2)&lt;&gt;"",INDEX('×入力'!$A$1:$L$1300,510,2+FX$2)&lt;&gt;"",INDEX('×入力'!$A$1:$L$1300,511+FX$3,1)&lt;&gt;""),1,0),0)</f>
        <v/>
      </c>
      <c r="FY28">
        <f>IF(FY$4=1,IF(OR(INDEX('×入力'!$A$1:$L$1300,511+FY$3,2+FY$2)&lt;&gt;"",INDEX('×入力'!$A$1:$L$1300,510,2+FY$2)&lt;&gt;"",INDEX('×入力'!$A$1:$L$1300,511+FY$3,1)&lt;&gt;""),1,0),0)</f>
        <v/>
      </c>
      <c r="FZ28">
        <f>IF(FZ$4=1,IF(OR(INDEX('×入力'!$A$1:$L$1300,511+FZ$3,2+FZ$2)&lt;&gt;"",INDEX('×入力'!$A$1:$L$1300,510,2+FZ$2)&lt;&gt;"",INDEX('×入力'!$A$1:$L$1300,511+FZ$3,1)&lt;&gt;""),1,0),0)</f>
        <v/>
      </c>
      <c r="GA28">
        <f>IF(GA$4=1,IF(OR(INDEX('×入力'!$A$1:$L$1300,511+GA$3,2+GA$2)&lt;&gt;"",INDEX('×入力'!$A$1:$L$1300,510,2+GA$2)&lt;&gt;"",INDEX('×入力'!$A$1:$L$1300,511+GA$3,1)&lt;&gt;""),1,0),0)</f>
        <v/>
      </c>
      <c r="GB28">
        <f>IF(GB$4=1,IF(OR(INDEX('×入力'!$A$1:$L$1300,511+GB$3,2+GB$2)&lt;&gt;"",INDEX('×入力'!$A$1:$L$1300,510,2+GB$2)&lt;&gt;"",INDEX('×入力'!$A$1:$L$1300,511+GB$3,1)&lt;&gt;""),1,0),0)</f>
        <v/>
      </c>
      <c r="GC28">
        <f>IF(GC$4=1,IF(OR(INDEX('×入力'!$A$1:$L$1300,511+GC$3,2+GC$2)&lt;&gt;"",INDEX('×入力'!$A$1:$L$1300,510,2+GC$2)&lt;&gt;"",INDEX('×入力'!$A$1:$L$1300,511+GC$3,1)&lt;&gt;""),1,0),0)</f>
        <v/>
      </c>
      <c r="GD28">
        <f>IF(GD$4=1,IF(OR(INDEX('×入力'!$A$1:$L$1300,511+GD$3,2+GD$2)&lt;&gt;"",INDEX('×入力'!$A$1:$L$1300,510,2+GD$2)&lt;&gt;"",INDEX('×入力'!$A$1:$L$1300,511+GD$3,1)&lt;&gt;""),1,0),0)</f>
        <v/>
      </c>
      <c r="GE28">
        <f>IF(GE$4=1,IF(OR(INDEX('×入力'!$A$1:$L$1300,511+GE$3,2+GE$2)&lt;&gt;"",INDEX('×入力'!$A$1:$L$1300,510,2+GE$2)&lt;&gt;"",INDEX('×入力'!$A$1:$L$1300,511+GE$3,1)&lt;&gt;""),1,0),0)</f>
        <v/>
      </c>
      <c r="GF28">
        <f>IF(GF$4=1,IF(OR(INDEX('×入力'!$A$1:$L$1300,511+GF$3,2+GF$2)&lt;&gt;"",INDEX('×入力'!$A$1:$L$1300,510,2+GF$2)&lt;&gt;"",INDEX('×入力'!$A$1:$L$1300,511+GF$3,1)&lt;&gt;""),1,0),0)</f>
        <v/>
      </c>
      <c r="GG28">
        <f>IF(GG$4=1,IF(OR(INDEX('×入力'!$A$1:$L$1300,511+GG$3,2+GG$2)&lt;&gt;"",INDEX('×入力'!$A$1:$L$1300,510,2+GG$2)&lt;&gt;"",INDEX('×入力'!$A$1:$L$1300,511+GG$3,1)&lt;&gt;""),1,0),0)</f>
        <v/>
      </c>
      <c r="GH28">
        <f>IF(GH$4=1,IF(OR(INDEX('×入力'!$A$1:$L$1300,511+GH$3,2+GH$2)&lt;&gt;"",INDEX('×入力'!$A$1:$L$1300,510,2+GH$2)&lt;&gt;"",INDEX('×入力'!$A$1:$L$1300,511+GH$3,1)&lt;&gt;""),1,0),0)</f>
        <v/>
      </c>
      <c r="GI28">
        <f>IF(GI$4=1,IF(OR(INDEX('×入力'!$A$1:$L$1300,511+GI$3,2+GI$2)&lt;&gt;"",INDEX('×入力'!$A$1:$L$1300,510,2+GI$2)&lt;&gt;"",INDEX('×入力'!$A$1:$L$1300,511+GI$3,1)&lt;&gt;""),1,0),0)</f>
        <v/>
      </c>
      <c r="GJ28">
        <f>IF(GJ$4=1,IF(OR(INDEX('×入力'!$A$1:$L$1300,511+GJ$3,2+GJ$2)&lt;&gt;"",INDEX('×入力'!$A$1:$L$1300,510,2+GJ$2)&lt;&gt;"",INDEX('×入力'!$A$1:$L$1300,511+GJ$3,1)&lt;&gt;""),1,0),0)</f>
        <v/>
      </c>
      <c r="GK28">
        <f>IF(GK$4=1,IF(OR(INDEX('×入力'!$A$1:$L$1300,511+GK$3,2+GK$2)&lt;&gt;"",INDEX('×入力'!$A$1:$L$1300,510,2+GK$2)&lt;&gt;"",INDEX('×入力'!$A$1:$L$1300,511+GK$3,1)&lt;&gt;""),1,0),0)</f>
        <v/>
      </c>
      <c r="GL28">
        <f>IF(GL$4=1,IF(OR(INDEX('×入力'!$A$1:$L$1300,511+GL$3,2+GL$2)&lt;&gt;"",INDEX('×入力'!$A$1:$L$1300,510,2+GL$2)&lt;&gt;"",INDEX('×入力'!$A$1:$L$1300,511+GL$3,1)&lt;&gt;""),1,0),0)</f>
        <v/>
      </c>
      <c r="GM28">
        <f>IF(GM$4=1,IF(OR(INDEX('×入力'!$A$1:$L$1300,511+GM$3,2+GM$2)&lt;&gt;"",INDEX('×入力'!$A$1:$L$1300,510,2+GM$2)&lt;&gt;"",INDEX('×入力'!$A$1:$L$1300,511+GM$3,1)&lt;&gt;""),1,0),0)</f>
        <v/>
      </c>
      <c r="GN28">
        <f>IF(GN$4=1,IF(OR(INDEX('×入力'!$A$1:$L$1300,511+GN$3,2+GN$2)&lt;&gt;"",INDEX('×入力'!$A$1:$L$1300,510,2+GN$2)&lt;&gt;"",INDEX('×入力'!$A$1:$L$1300,511+GN$3,1)&lt;&gt;""),1,0),0)</f>
        <v/>
      </c>
      <c r="GO28">
        <f>IF(GO$4=1,IF(OR(INDEX('×入力'!$A$1:$L$1300,511+GO$3,2+GO$2)&lt;&gt;"",INDEX('×入力'!$A$1:$L$1300,510,2+GO$2)&lt;&gt;"",INDEX('×入力'!$A$1:$L$1300,511+GO$3,1)&lt;&gt;""),1,0),0)</f>
        <v/>
      </c>
      <c r="GP28">
        <f>IF(GP$4=1,IF(OR(INDEX('×入力'!$A$1:$L$1300,511+GP$3,2+GP$2)&lt;&gt;"",INDEX('×入力'!$A$1:$L$1300,510,2+GP$2)&lt;&gt;"",INDEX('×入力'!$A$1:$L$1300,511+GP$3,1)&lt;&gt;""),1,0),0)</f>
        <v/>
      </c>
      <c r="GQ28">
        <f>IF(GQ$4=1,IF(OR(INDEX('×入力'!$A$1:$L$1300,511+GQ$3,2+GQ$2)&lt;&gt;"",INDEX('×入力'!$A$1:$L$1300,510,2+GQ$2)&lt;&gt;"",INDEX('×入力'!$A$1:$L$1300,511+GQ$3,1)&lt;&gt;""),1,0),0)</f>
        <v/>
      </c>
      <c r="GR28">
        <f>IF(GR$4=1,IF(OR(INDEX('×入力'!$A$1:$L$1300,511+GR$3,2+GR$2)&lt;&gt;"",INDEX('×入力'!$A$1:$L$1300,510,2+GR$2)&lt;&gt;"",INDEX('×入力'!$A$1:$L$1300,511+GR$3,1)&lt;&gt;""),1,0),0)</f>
        <v/>
      </c>
      <c r="GS28">
        <f>IF(GS$4=1,IF(OR(INDEX('×入力'!$A$1:$L$1300,511+GS$3,2+GS$2)&lt;&gt;"",INDEX('×入力'!$A$1:$L$1300,510,2+GS$2)&lt;&gt;"",INDEX('×入力'!$A$1:$L$1300,511+GS$3,1)&lt;&gt;""),1,0),0)</f>
        <v/>
      </c>
      <c r="GT28">
        <f>IF(GT$4=1,IF(OR(INDEX('×入力'!$A$1:$L$1300,511+GT$3,2+GT$2)&lt;&gt;"",INDEX('×入力'!$A$1:$L$1300,510,2+GT$2)&lt;&gt;"",INDEX('×入力'!$A$1:$L$1300,511+GT$3,1)&lt;&gt;""),1,0),0)</f>
        <v/>
      </c>
      <c r="GU28">
        <f>IF(GU$4=1,IF(OR(INDEX('×入力'!$A$1:$L$1300,511+GU$3,2+GU$2)&lt;&gt;"",INDEX('×入力'!$A$1:$L$1300,510,2+GU$2)&lt;&gt;"",INDEX('×入力'!$A$1:$L$1300,511+GU$3,1)&lt;&gt;""),1,0),0)</f>
        <v/>
      </c>
      <c r="GV28">
        <f>IF(GV$4=1,IF(OR(INDEX('×入力'!$A$1:$L$1300,511+GV$3,2+GV$2)&lt;&gt;"",INDEX('×入力'!$A$1:$L$1300,510,2+GV$2)&lt;&gt;"",INDEX('×入力'!$A$1:$L$1300,511+GV$3,1)&lt;&gt;""),1,0),0)</f>
        <v/>
      </c>
      <c r="GW28">
        <f>IF(GW$4=1,IF(OR(INDEX('×入力'!$A$1:$L$1300,511+GW$3,2+GW$2)&lt;&gt;"",INDEX('×入力'!$A$1:$L$1300,510,2+GW$2)&lt;&gt;"",INDEX('×入力'!$A$1:$L$1300,511+GW$3,1)&lt;&gt;""),1,0),0)</f>
        <v/>
      </c>
      <c r="GX28">
        <f>IF(GX$4=1,IF(OR(INDEX('×入力'!$A$1:$L$1300,511+GX$3,2+GX$2)&lt;&gt;"",INDEX('×入力'!$A$1:$L$1300,510,2+GX$2)&lt;&gt;"",INDEX('×入力'!$A$1:$L$1300,511+GX$3,1)&lt;&gt;""),1,0),0)</f>
        <v/>
      </c>
      <c r="GY28">
        <f>IF(GY$4=1,IF(OR(INDEX('×入力'!$A$1:$L$1300,511+GY$3,2+GY$2)&lt;&gt;"",INDEX('×入力'!$A$1:$L$1300,510,2+GY$2)&lt;&gt;"",INDEX('×入力'!$A$1:$L$1300,511+GY$3,1)&lt;&gt;""),1,0),0)</f>
        <v/>
      </c>
      <c r="GZ28">
        <f>IF(GZ$4=1,IF(OR(INDEX('×入力'!$A$1:$L$1300,511+GZ$3,2+GZ$2)&lt;&gt;"",INDEX('×入力'!$A$1:$L$1300,510,2+GZ$2)&lt;&gt;"",INDEX('×入力'!$A$1:$L$1300,511+GZ$3,1)&lt;&gt;""),1,0),0)</f>
        <v/>
      </c>
      <c r="HA28">
        <f>IF(HA$4=1,IF(OR(INDEX('×入力'!$A$1:$L$1300,511+HA$3,2+HA$2)&lt;&gt;"",INDEX('×入力'!$A$1:$L$1300,510,2+HA$2)&lt;&gt;"",INDEX('×入力'!$A$1:$L$1300,511+HA$3,1)&lt;&gt;""),1,0),0)</f>
        <v/>
      </c>
      <c r="HB28">
        <f>IF(HB$4=1,IF(OR(INDEX('×入力'!$A$1:$L$1300,511+HB$3,2+HB$2)&lt;&gt;"",INDEX('×入力'!$A$1:$L$1300,510,2+HB$2)&lt;&gt;"",INDEX('×入力'!$A$1:$L$1300,511+HB$3,1)&lt;&gt;""),1,0),0)</f>
        <v/>
      </c>
      <c r="HC28">
        <f>IF(HC$4=1,IF(OR(INDEX('×入力'!$A$1:$L$1300,511+HC$3,2+HC$2)&lt;&gt;"",INDEX('×入力'!$A$1:$L$1300,510,2+HC$2)&lt;&gt;"",INDEX('×入力'!$A$1:$L$1300,511+HC$3,1)&lt;&gt;""),1,0),0)</f>
        <v/>
      </c>
      <c r="HD28">
        <f>IF(HD$4=1,IF(OR(INDEX('×入力'!$A$1:$L$1300,511+HD$3,2+HD$2)&lt;&gt;"",INDEX('×入力'!$A$1:$L$1300,510,2+HD$2)&lt;&gt;"",INDEX('×入力'!$A$1:$L$1300,511+HD$3,1)&lt;&gt;""),1,0),0)</f>
        <v/>
      </c>
      <c r="HE28">
        <f>IF(HE$4=1,IF(OR(INDEX('×入力'!$A$1:$L$1300,511+HE$3,2+HE$2)&lt;&gt;"",INDEX('×入力'!$A$1:$L$1300,510,2+HE$2)&lt;&gt;"",INDEX('×入力'!$A$1:$L$1300,511+HE$3,1)&lt;&gt;""),1,0),0)</f>
        <v/>
      </c>
      <c r="HF28">
        <f>IF(HF$4=1,IF(OR(INDEX('×入力'!$A$1:$L$1300,511+HF$3,2+HF$2)&lt;&gt;"",INDEX('×入力'!$A$1:$L$1300,510,2+HF$2)&lt;&gt;"",INDEX('×入力'!$A$1:$L$1300,511+HF$3,1)&lt;&gt;""),1,0),0)</f>
        <v/>
      </c>
      <c r="HG28">
        <f>IF(HG$4=1,IF(OR(INDEX('×入力'!$A$1:$L$1300,511+HG$3,2+HG$2)&lt;&gt;"",INDEX('×入力'!$A$1:$L$1300,510,2+HG$2)&lt;&gt;"",INDEX('×入力'!$A$1:$L$1300,511+HG$3,1)&lt;&gt;""),1,0),0)</f>
        <v/>
      </c>
      <c r="HH28">
        <f>IF(HH$4=1,IF(OR(INDEX('×入力'!$A$1:$L$1300,511+HH$3,2+HH$2)&lt;&gt;"",INDEX('×入力'!$A$1:$L$1300,510,2+HH$2)&lt;&gt;"",INDEX('×入力'!$A$1:$L$1300,511+HH$3,1)&lt;&gt;""),1,0),0)</f>
        <v/>
      </c>
      <c r="HI28">
        <f>IF(HI$4=1,IF(OR(INDEX('×入力'!$A$1:$L$1300,511+HI$3,2+HI$2)&lt;&gt;"",INDEX('×入力'!$A$1:$L$1300,510,2+HI$2)&lt;&gt;"",INDEX('×入力'!$A$1:$L$1300,511+HI$3,1)&lt;&gt;""),1,0),0)</f>
        <v/>
      </c>
      <c r="HJ28">
        <f>IF(HJ$4=1,IF(OR(INDEX('×入力'!$A$1:$L$1300,511+HJ$3,2+HJ$2)&lt;&gt;"",INDEX('×入力'!$A$1:$L$1300,510,2+HJ$2)&lt;&gt;"",INDEX('×入力'!$A$1:$L$1300,511+HJ$3,1)&lt;&gt;""),1,0),0)</f>
        <v/>
      </c>
      <c r="HK28">
        <f>IF(HK$4=1,IF(OR(INDEX('×入力'!$A$1:$L$1300,511+HK$3,2+HK$2)&lt;&gt;"",INDEX('×入力'!$A$1:$L$1300,510,2+HK$2)&lt;&gt;"",INDEX('×入力'!$A$1:$L$1300,511+HK$3,1)&lt;&gt;""),1,0),0)</f>
        <v/>
      </c>
      <c r="HL28">
        <f>IF(HL$4=1,IF(OR(INDEX('×入力'!$A$1:$L$1300,511+HL$3,2+HL$2)&lt;&gt;"",INDEX('×入力'!$A$1:$L$1300,510,2+HL$2)&lt;&gt;"",INDEX('×入力'!$A$1:$L$1300,511+HL$3,1)&lt;&gt;""),1,0),0)</f>
        <v/>
      </c>
      <c r="HM28">
        <f>IF(HM$4=1,IF(OR(INDEX('×入力'!$A$1:$L$1300,511+HM$3,2+HM$2)&lt;&gt;"",INDEX('×入力'!$A$1:$L$1300,510,2+HM$2)&lt;&gt;"",INDEX('×入力'!$A$1:$L$1300,511+HM$3,1)&lt;&gt;""),1,0),0)</f>
        <v/>
      </c>
      <c r="HN28">
        <f>IF(HN$4=1,IF(OR(INDEX('×入力'!$A$1:$L$1300,511+HN$3,2+HN$2)&lt;&gt;"",INDEX('×入力'!$A$1:$L$1300,510,2+HN$2)&lt;&gt;"",INDEX('×入力'!$A$1:$L$1300,511+HN$3,1)&lt;&gt;""),1,0),0)</f>
        <v/>
      </c>
      <c r="HO28">
        <f>IF(HO$4=1,IF(OR(INDEX('×入力'!$A$1:$L$1300,511+HO$3,2+HO$2)&lt;&gt;"",INDEX('×入力'!$A$1:$L$1300,510,2+HO$2)&lt;&gt;"",INDEX('×入力'!$A$1:$L$1300,511+HO$3,1)&lt;&gt;""),1,0),0)</f>
        <v/>
      </c>
      <c r="HP28">
        <f>IF(HP$4=1,IF(OR(INDEX('×入力'!$A$1:$L$1300,511+HP$3,2+HP$2)&lt;&gt;"",INDEX('×入力'!$A$1:$L$1300,510,2+HP$2)&lt;&gt;"",INDEX('×入力'!$A$1:$L$1300,511+HP$3,1)&lt;&gt;""),1,0),0)</f>
        <v/>
      </c>
      <c r="HQ28">
        <f>IF(HQ$4=1,IF(OR(INDEX('×入力'!$A$1:$L$1300,511+HQ$3,2+HQ$2)&lt;&gt;"",INDEX('×入力'!$A$1:$L$1300,510,2+HQ$2)&lt;&gt;"",INDEX('×入力'!$A$1:$L$1300,511+HQ$3,1)&lt;&gt;""),1,0),0)</f>
        <v/>
      </c>
      <c r="HR28">
        <f>IF(HR$4=1,IF(OR(INDEX('×入力'!$A$1:$L$1300,511+HR$3,2+HR$2)&lt;&gt;"",INDEX('×入力'!$A$1:$L$1300,510,2+HR$2)&lt;&gt;"",INDEX('×入力'!$A$1:$L$1300,511+HR$3,1)&lt;&gt;""),1,0),0)</f>
        <v/>
      </c>
      <c r="HS28">
        <f>IF(HS$4=1,IF(OR(INDEX('×入力'!$A$1:$L$1300,511+HS$3,2+HS$2)&lt;&gt;"",INDEX('×入力'!$A$1:$L$1300,510,2+HS$2)&lt;&gt;"",INDEX('×入力'!$A$1:$L$1300,511+HS$3,1)&lt;&gt;""),1,0),0)</f>
        <v/>
      </c>
      <c r="HT28">
        <f>IF(HT$4=1,IF(OR(INDEX('×入力'!$A$1:$L$1300,511+HT$3,2+HT$2)&lt;&gt;"",INDEX('×入力'!$A$1:$L$1300,510,2+HT$2)&lt;&gt;"",INDEX('×入力'!$A$1:$L$1300,511+HT$3,1)&lt;&gt;""),1,0),0)</f>
        <v/>
      </c>
      <c r="HU28">
        <f>IF(HU$4=1,IF(OR(INDEX('×入力'!$A$1:$L$1300,511+HU$3,2+HU$2)&lt;&gt;"",INDEX('×入力'!$A$1:$L$1300,510,2+HU$2)&lt;&gt;"",INDEX('×入力'!$A$1:$L$1300,511+HU$3,1)&lt;&gt;""),1,0),0)</f>
        <v/>
      </c>
      <c r="HV28">
        <f>IF(HV$4=1,IF(OR(INDEX('×入力'!$A$1:$L$1300,511+HV$3,2+HV$2)&lt;&gt;"",INDEX('×入力'!$A$1:$L$1300,510,2+HV$2)&lt;&gt;"",INDEX('×入力'!$A$1:$L$1300,511+HV$3,1)&lt;&gt;""),1,0),0)</f>
        <v/>
      </c>
      <c r="HW28">
        <f>IF(HW$4=1,IF(OR(INDEX('×入力'!$A$1:$L$1300,511+HW$3,2+HW$2)&lt;&gt;"",INDEX('×入力'!$A$1:$L$1300,510,2+HW$2)&lt;&gt;"",INDEX('×入力'!$A$1:$L$1300,511+HW$3,1)&lt;&gt;""),1,0),0)</f>
        <v/>
      </c>
      <c r="HX28">
        <f>IF(HX$4=1,IF(OR(INDEX('×入力'!$A$1:$L$1300,511+HX$3,2+HX$2)&lt;&gt;"",INDEX('×入力'!$A$1:$L$1300,510,2+HX$2)&lt;&gt;"",INDEX('×入力'!$A$1:$L$1300,511+HX$3,1)&lt;&gt;""),1,0),0)</f>
        <v/>
      </c>
      <c r="HY28">
        <f>IF(HY$4=1,IF(OR(INDEX('×入力'!$A$1:$L$1300,511+HY$3,2+HY$2)&lt;&gt;"",INDEX('×入力'!$A$1:$L$1300,510,2+HY$2)&lt;&gt;"",INDEX('×入力'!$A$1:$L$1300,511+HY$3,1)&lt;&gt;""),1,0),0)</f>
        <v/>
      </c>
      <c r="HZ28">
        <f>IF(HZ$4=1,IF(OR(INDEX('×入力'!$A$1:$L$1300,511+HZ$3,2+HZ$2)&lt;&gt;"",INDEX('×入力'!$A$1:$L$1300,510,2+HZ$2)&lt;&gt;"",INDEX('×入力'!$A$1:$L$1300,511+HZ$3,1)&lt;&gt;""),1,0),0)</f>
        <v/>
      </c>
      <c r="IA28">
        <f>IF(IA$4=1,IF(OR(INDEX('×入力'!$A$1:$L$1300,511+IA$3,2+IA$2)&lt;&gt;"",INDEX('×入力'!$A$1:$L$1300,510,2+IA$2)&lt;&gt;"",INDEX('×入力'!$A$1:$L$1300,511+IA$3,1)&lt;&gt;""),1,0),0)</f>
        <v/>
      </c>
      <c r="IB28">
        <f>IF(IB$4=1,IF(OR(INDEX('×入力'!$A$1:$L$1300,511+IB$3,2+IB$2)&lt;&gt;"",INDEX('×入力'!$A$1:$L$1300,510,2+IB$2)&lt;&gt;"",INDEX('×入力'!$A$1:$L$1300,511+IB$3,1)&lt;&gt;""),1,0),0)</f>
        <v/>
      </c>
      <c r="IC28">
        <f>IF(IC$4=1,IF(OR(INDEX('×入力'!$A$1:$L$1300,511+IC$3,2+IC$2)&lt;&gt;"",INDEX('×入力'!$A$1:$L$1300,510,2+IC$2)&lt;&gt;"",INDEX('×入力'!$A$1:$L$1300,511+IC$3,1)&lt;&gt;""),1,0),0)</f>
        <v/>
      </c>
      <c r="ID28">
        <f>IF(ID$4=1,IF(OR(INDEX('×入力'!$A$1:$L$1300,511+ID$3,2+ID$2)&lt;&gt;"",INDEX('×入力'!$A$1:$L$1300,510,2+ID$2)&lt;&gt;"",INDEX('×入力'!$A$1:$L$1300,511+ID$3,1)&lt;&gt;""),1,0),0)</f>
        <v/>
      </c>
      <c r="IE28">
        <f>IF(IE$4=1,IF(OR(INDEX('×入力'!$A$1:$L$1300,511+IE$3,2+IE$2)&lt;&gt;"",INDEX('×入力'!$A$1:$L$1300,510,2+IE$2)&lt;&gt;"",INDEX('×入力'!$A$1:$L$1300,511+IE$3,1)&lt;&gt;""),1,0),0)</f>
        <v/>
      </c>
      <c r="IF28">
        <f>IF(IF$4=1,IF(OR(INDEX('×入力'!$A$1:$L$1300,511+IF$3,2+IF$2)&lt;&gt;"",INDEX('×入力'!$A$1:$L$1300,510,2+IF$2)&lt;&gt;"",INDEX('×入力'!$A$1:$L$1300,511+IF$3,1)&lt;&gt;""),1,0),0)</f>
        <v/>
      </c>
      <c r="IG28">
        <f>IF(IG$4=1,IF(OR(INDEX('×入力'!$A$1:$L$1300,511+IG$3,2+IG$2)&lt;&gt;"",INDEX('×入力'!$A$1:$L$1300,510,2+IG$2)&lt;&gt;"",INDEX('×入力'!$A$1:$L$1300,511+IG$3,1)&lt;&gt;""),1,0),0)</f>
        <v/>
      </c>
      <c r="IH28">
        <f>IF(IH$4=1,IF(OR(INDEX('×入力'!$A$1:$L$1300,511+IH$3,2+IH$2)&lt;&gt;"",INDEX('×入力'!$A$1:$L$1300,510,2+IH$2)&lt;&gt;"",INDEX('×入力'!$A$1:$L$1300,511+IH$3,1)&lt;&gt;""),1,0),0)</f>
        <v/>
      </c>
      <c r="II28">
        <f>IF(II$4=1,IF(OR(INDEX('×入力'!$A$1:$L$1300,511+II$3,2+II$2)&lt;&gt;"",INDEX('×入力'!$A$1:$L$1300,510,2+II$2)&lt;&gt;"",INDEX('×入力'!$A$1:$L$1300,511+II$3,1)&lt;&gt;""),1,0),0)</f>
        <v/>
      </c>
      <c r="IK28">
        <f>IFERROR(INDEX('計算B'!$C$3:$C$47,MATCH(A28,'計算B'!$B$3:$B$47,0)),0)</f>
        <v/>
      </c>
      <c r="IL28">
        <f>IF(AND(C28=1,IK28=0),1,0)</f>
        <v/>
      </c>
      <c r="IM28">
        <f>SUMPRODUCT(D78:II78*(1-$D$7:$II$7))</f>
        <v/>
      </c>
      <c r="IN28">
        <f>SUM(D28:II28)</f>
        <v/>
      </c>
      <c r="IO28">
        <f>IF(B28="",0,IF(COUNTIF('調整・決定'!$C$6:$L$29,B28)=1,SUMPRODUCT(('調整・決定'!$C$6:$L$29=B28)*((COLUMN('調整・決定'!$C$6:$L$29)-3)*24+ROW('調整・決定'!$C$6:$L$29)-5)),0))</f>
        <v/>
      </c>
      <c r="IP28">
        <f>IFERROR(MATCH('名簿'!E23,{"早い時刻","遅い時刻","早い日","遅い日"},0),0)</f>
        <v/>
      </c>
      <c r="IQ28">
        <f>IF('名簿'!F23="必ず空けたい",2,IF('名簿'!F23="出来れば空けたい",1,0))</f>
        <v/>
      </c>
    </row>
    <row r="29">
      <c r="A29" t="n">
        <v>20</v>
      </c>
      <c r="B29">
        <f>'名簿'!G24</f>
        <v/>
      </c>
      <c r="C29">
        <f>IF(AND(B29&lt;&gt;"",OR('名簿'!H24="入力済み",'名簿'!H24="×なし"),IO29=0,COUNTIF('調整・決定'!$C$6:$L$29,B29)=0),1,0)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ER29">
        <f>IF(ER$4=1,IF(OR(INDEX('×入力'!$A$1:$L$1300,539+ER$3,2+ER$2)&lt;&gt;"",INDEX('×入力'!$A$1:$L$1300,538,2+ER$2)&lt;&gt;"",INDEX('×入力'!$A$1:$L$1300,539+ER$3,1)&lt;&gt;""),1,0),0)</f>
        <v/>
      </c>
      <c r="ES29">
        <f>IF(ES$4=1,IF(OR(INDEX('×入力'!$A$1:$L$1300,539+ES$3,2+ES$2)&lt;&gt;"",INDEX('×入力'!$A$1:$L$1300,538,2+ES$2)&lt;&gt;"",INDEX('×入力'!$A$1:$L$1300,539+ES$3,1)&lt;&gt;""),1,0),0)</f>
        <v/>
      </c>
      <c r="ET29">
        <f>IF(ET$4=1,IF(OR(INDEX('×入力'!$A$1:$L$1300,539+ET$3,2+ET$2)&lt;&gt;"",INDEX('×入力'!$A$1:$L$1300,538,2+ET$2)&lt;&gt;"",INDEX('×入力'!$A$1:$L$1300,539+ET$3,1)&lt;&gt;""),1,0),0)</f>
        <v/>
      </c>
      <c r="EU29">
        <f>IF(EU$4=1,IF(OR(INDEX('×入力'!$A$1:$L$1300,539+EU$3,2+EU$2)&lt;&gt;"",INDEX('×入力'!$A$1:$L$1300,538,2+EU$2)&lt;&gt;"",INDEX('×入力'!$A$1:$L$1300,539+EU$3,1)&lt;&gt;""),1,0),0)</f>
        <v/>
      </c>
      <c r="EV29">
        <f>IF(EV$4=1,IF(OR(INDEX('×入力'!$A$1:$L$1300,539+EV$3,2+EV$2)&lt;&gt;"",INDEX('×入力'!$A$1:$L$1300,538,2+EV$2)&lt;&gt;"",INDEX('×入力'!$A$1:$L$1300,539+EV$3,1)&lt;&gt;""),1,0),0)</f>
        <v/>
      </c>
      <c r="EW29">
        <f>IF(EW$4=1,IF(OR(INDEX('×入力'!$A$1:$L$1300,539+EW$3,2+EW$2)&lt;&gt;"",INDEX('×入力'!$A$1:$L$1300,538,2+EW$2)&lt;&gt;"",INDEX('×入力'!$A$1:$L$1300,539+EW$3,1)&lt;&gt;""),1,0),0)</f>
        <v/>
      </c>
      <c r="EX29">
        <f>IF(EX$4=1,IF(OR(INDEX('×入力'!$A$1:$L$1300,539+EX$3,2+EX$2)&lt;&gt;"",INDEX('×入力'!$A$1:$L$1300,538,2+EX$2)&lt;&gt;"",INDEX('×入力'!$A$1:$L$1300,539+EX$3,1)&lt;&gt;""),1,0),0)</f>
        <v/>
      </c>
      <c r="EY29">
        <f>IF(EY$4=1,IF(OR(INDEX('×入力'!$A$1:$L$1300,539+EY$3,2+EY$2)&lt;&gt;"",INDEX('×入力'!$A$1:$L$1300,538,2+EY$2)&lt;&gt;"",INDEX('×入力'!$A$1:$L$1300,539+EY$3,1)&lt;&gt;""),1,0),0)</f>
        <v/>
      </c>
      <c r="EZ29">
        <f>IF(EZ$4=1,IF(OR(INDEX('×入力'!$A$1:$L$1300,539+EZ$3,2+EZ$2)&lt;&gt;"",INDEX('×入力'!$A$1:$L$1300,538,2+EZ$2)&lt;&gt;"",INDEX('×入力'!$A$1:$L$1300,539+EZ$3,1)&lt;&gt;""),1,0),0)</f>
        <v/>
      </c>
      <c r="FA29">
        <f>IF(FA$4=1,IF(OR(INDEX('×入力'!$A$1:$L$1300,539+FA$3,2+FA$2)&lt;&gt;"",INDEX('×入力'!$A$1:$L$1300,538,2+FA$2)&lt;&gt;"",INDEX('×入力'!$A$1:$L$1300,539+FA$3,1)&lt;&gt;""),1,0),0)</f>
        <v/>
      </c>
      <c r="FB29">
        <f>IF(FB$4=1,IF(OR(INDEX('×入力'!$A$1:$L$1300,539+FB$3,2+FB$2)&lt;&gt;"",INDEX('×入力'!$A$1:$L$1300,538,2+FB$2)&lt;&gt;"",INDEX('×入力'!$A$1:$L$1300,539+FB$3,1)&lt;&gt;""),1,0),0)</f>
        <v/>
      </c>
      <c r="FC29">
        <f>IF(FC$4=1,IF(OR(INDEX('×入力'!$A$1:$L$1300,539+FC$3,2+FC$2)&lt;&gt;"",INDEX('×入力'!$A$1:$L$1300,538,2+FC$2)&lt;&gt;"",INDEX('×入力'!$A$1:$L$1300,539+FC$3,1)&lt;&gt;""),1,0),0)</f>
        <v/>
      </c>
      <c r="FD29">
        <f>IF(FD$4=1,IF(OR(INDEX('×入力'!$A$1:$L$1300,539+FD$3,2+FD$2)&lt;&gt;"",INDEX('×入力'!$A$1:$L$1300,538,2+FD$2)&lt;&gt;"",INDEX('×入力'!$A$1:$L$1300,539+FD$3,1)&lt;&gt;""),1,0),0)</f>
        <v/>
      </c>
      <c r="FE29">
        <f>IF(FE$4=1,IF(OR(INDEX('×入力'!$A$1:$L$1300,539+FE$3,2+FE$2)&lt;&gt;"",INDEX('×入力'!$A$1:$L$1300,538,2+FE$2)&lt;&gt;"",INDEX('×入力'!$A$1:$L$1300,539+FE$3,1)&lt;&gt;""),1,0),0)</f>
        <v/>
      </c>
      <c r="FF29">
        <f>IF(FF$4=1,IF(OR(INDEX('×入力'!$A$1:$L$1300,539+FF$3,2+FF$2)&lt;&gt;"",INDEX('×入力'!$A$1:$L$1300,538,2+FF$2)&lt;&gt;"",INDEX('×入力'!$A$1:$L$1300,539+FF$3,1)&lt;&gt;""),1,0),0)</f>
        <v/>
      </c>
      <c r="FG29">
        <f>IF(FG$4=1,IF(OR(INDEX('×入力'!$A$1:$L$1300,539+FG$3,2+FG$2)&lt;&gt;"",INDEX('×入力'!$A$1:$L$1300,538,2+FG$2)&lt;&gt;"",INDEX('×入力'!$A$1:$L$1300,539+FG$3,1)&lt;&gt;""),1,0),0)</f>
        <v/>
      </c>
      <c r="FH29">
        <f>IF(FH$4=1,IF(OR(INDEX('×入力'!$A$1:$L$1300,539+FH$3,2+FH$2)&lt;&gt;"",INDEX('×入力'!$A$1:$L$1300,538,2+FH$2)&lt;&gt;"",INDEX('×入力'!$A$1:$L$1300,539+FH$3,1)&lt;&gt;""),1,0),0)</f>
        <v/>
      </c>
      <c r="FI29">
        <f>IF(FI$4=1,IF(OR(INDEX('×入力'!$A$1:$L$1300,539+FI$3,2+FI$2)&lt;&gt;"",INDEX('×入力'!$A$1:$L$1300,538,2+FI$2)&lt;&gt;"",INDEX('×入力'!$A$1:$L$1300,539+FI$3,1)&lt;&gt;""),1,0),0)</f>
        <v/>
      </c>
      <c r="FJ29">
        <f>IF(FJ$4=1,IF(OR(INDEX('×入力'!$A$1:$L$1300,539+FJ$3,2+FJ$2)&lt;&gt;"",INDEX('×入力'!$A$1:$L$1300,538,2+FJ$2)&lt;&gt;"",INDEX('×入力'!$A$1:$L$1300,539+FJ$3,1)&lt;&gt;""),1,0),0)</f>
        <v/>
      </c>
      <c r="FK29">
        <f>IF(FK$4=1,IF(OR(INDEX('×入力'!$A$1:$L$1300,539+FK$3,2+FK$2)&lt;&gt;"",INDEX('×入力'!$A$1:$L$1300,538,2+FK$2)&lt;&gt;"",INDEX('×入力'!$A$1:$L$1300,539+FK$3,1)&lt;&gt;""),1,0),0)</f>
        <v/>
      </c>
      <c r="FL29">
        <f>IF(FL$4=1,IF(OR(INDEX('×入力'!$A$1:$L$1300,539+FL$3,2+FL$2)&lt;&gt;"",INDEX('×入力'!$A$1:$L$1300,538,2+FL$2)&lt;&gt;"",INDEX('×入力'!$A$1:$L$1300,539+FL$3,1)&lt;&gt;""),1,0),0)</f>
        <v/>
      </c>
      <c r="FM29">
        <f>IF(FM$4=1,IF(OR(INDEX('×入力'!$A$1:$L$1300,539+FM$3,2+FM$2)&lt;&gt;"",INDEX('×入力'!$A$1:$L$1300,538,2+FM$2)&lt;&gt;"",INDEX('×入力'!$A$1:$L$1300,539+FM$3,1)&lt;&gt;""),1,0),0)</f>
        <v/>
      </c>
      <c r="FN29">
        <f>IF(FN$4=1,IF(OR(INDEX('×入力'!$A$1:$L$1300,539+FN$3,2+FN$2)&lt;&gt;"",INDEX('×入力'!$A$1:$L$1300,538,2+FN$2)&lt;&gt;"",INDEX('×入力'!$A$1:$L$1300,539+FN$3,1)&lt;&gt;""),1,0),0)</f>
        <v/>
      </c>
      <c r="FO29">
        <f>IF(FO$4=1,IF(OR(INDEX('×入力'!$A$1:$L$1300,539+FO$3,2+FO$2)&lt;&gt;"",INDEX('×入力'!$A$1:$L$1300,538,2+FO$2)&lt;&gt;"",INDEX('×入力'!$A$1:$L$1300,539+FO$3,1)&lt;&gt;""),1,0),0)</f>
        <v/>
      </c>
      <c r="FP29">
        <f>IF(FP$4=1,IF(OR(INDEX('×入力'!$A$1:$L$1300,539+FP$3,2+FP$2)&lt;&gt;"",INDEX('×入力'!$A$1:$L$1300,538,2+FP$2)&lt;&gt;"",INDEX('×入力'!$A$1:$L$1300,539+FP$3,1)&lt;&gt;""),1,0),0)</f>
        <v/>
      </c>
      <c r="FQ29">
        <f>IF(FQ$4=1,IF(OR(INDEX('×入力'!$A$1:$L$1300,539+FQ$3,2+FQ$2)&lt;&gt;"",INDEX('×入力'!$A$1:$L$1300,538,2+FQ$2)&lt;&gt;"",INDEX('×入力'!$A$1:$L$1300,539+FQ$3,1)&lt;&gt;""),1,0),0)</f>
        <v/>
      </c>
      <c r="FR29">
        <f>IF(FR$4=1,IF(OR(INDEX('×入力'!$A$1:$L$1300,539+FR$3,2+FR$2)&lt;&gt;"",INDEX('×入力'!$A$1:$L$1300,538,2+FR$2)&lt;&gt;"",INDEX('×入力'!$A$1:$L$1300,539+FR$3,1)&lt;&gt;""),1,0),0)</f>
        <v/>
      </c>
      <c r="FS29">
        <f>IF(FS$4=1,IF(OR(INDEX('×入力'!$A$1:$L$1300,539+FS$3,2+FS$2)&lt;&gt;"",INDEX('×入力'!$A$1:$L$1300,538,2+FS$2)&lt;&gt;"",INDEX('×入力'!$A$1:$L$1300,539+FS$3,1)&lt;&gt;""),1,0),0)</f>
        <v/>
      </c>
      <c r="FT29">
        <f>IF(FT$4=1,IF(OR(INDEX('×入力'!$A$1:$L$1300,539+FT$3,2+FT$2)&lt;&gt;"",INDEX('×入力'!$A$1:$L$1300,538,2+FT$2)&lt;&gt;"",INDEX('×入力'!$A$1:$L$1300,539+FT$3,1)&lt;&gt;""),1,0),0)</f>
        <v/>
      </c>
      <c r="FU29">
        <f>IF(FU$4=1,IF(OR(INDEX('×入力'!$A$1:$L$1300,539+FU$3,2+FU$2)&lt;&gt;"",INDEX('×入力'!$A$1:$L$1300,538,2+FU$2)&lt;&gt;"",INDEX('×入力'!$A$1:$L$1300,539+FU$3,1)&lt;&gt;""),1,0),0)</f>
        <v/>
      </c>
      <c r="FV29">
        <f>IF(FV$4=1,IF(OR(INDEX('×入力'!$A$1:$L$1300,539+FV$3,2+FV$2)&lt;&gt;"",INDEX('×入力'!$A$1:$L$1300,538,2+FV$2)&lt;&gt;"",INDEX('×入力'!$A$1:$L$1300,539+FV$3,1)&lt;&gt;""),1,0),0)</f>
        <v/>
      </c>
      <c r="FW29">
        <f>IF(FW$4=1,IF(OR(INDEX('×入力'!$A$1:$L$1300,539+FW$3,2+FW$2)&lt;&gt;"",INDEX('×入力'!$A$1:$L$1300,538,2+FW$2)&lt;&gt;"",INDEX('×入力'!$A$1:$L$1300,539+FW$3,1)&lt;&gt;""),1,0),0)</f>
        <v/>
      </c>
      <c r="FX29">
        <f>IF(FX$4=1,IF(OR(INDEX('×入力'!$A$1:$L$1300,539+FX$3,2+FX$2)&lt;&gt;"",INDEX('×入力'!$A$1:$L$1300,538,2+FX$2)&lt;&gt;"",INDEX('×入力'!$A$1:$L$1300,539+FX$3,1)&lt;&gt;""),1,0),0)</f>
        <v/>
      </c>
      <c r="FY29">
        <f>IF(FY$4=1,IF(OR(INDEX('×入力'!$A$1:$L$1300,539+FY$3,2+FY$2)&lt;&gt;"",INDEX('×入力'!$A$1:$L$1300,538,2+FY$2)&lt;&gt;"",INDEX('×入力'!$A$1:$L$1300,539+FY$3,1)&lt;&gt;""),1,0),0)</f>
        <v/>
      </c>
      <c r="FZ29">
        <f>IF(FZ$4=1,IF(OR(INDEX('×入力'!$A$1:$L$1300,539+FZ$3,2+FZ$2)&lt;&gt;"",INDEX('×入力'!$A$1:$L$1300,538,2+FZ$2)&lt;&gt;"",INDEX('×入力'!$A$1:$L$1300,539+FZ$3,1)&lt;&gt;""),1,0),0)</f>
        <v/>
      </c>
      <c r="GA29">
        <f>IF(GA$4=1,IF(OR(INDEX('×入力'!$A$1:$L$1300,539+GA$3,2+GA$2)&lt;&gt;"",INDEX('×入力'!$A$1:$L$1300,538,2+GA$2)&lt;&gt;"",INDEX('×入力'!$A$1:$L$1300,539+GA$3,1)&lt;&gt;""),1,0),0)</f>
        <v/>
      </c>
      <c r="GB29">
        <f>IF(GB$4=1,IF(OR(INDEX('×入力'!$A$1:$L$1300,539+GB$3,2+GB$2)&lt;&gt;"",INDEX('×入力'!$A$1:$L$1300,538,2+GB$2)&lt;&gt;"",INDEX('×入力'!$A$1:$L$1300,539+GB$3,1)&lt;&gt;""),1,0),0)</f>
        <v/>
      </c>
      <c r="GC29">
        <f>IF(GC$4=1,IF(OR(INDEX('×入力'!$A$1:$L$1300,539+GC$3,2+GC$2)&lt;&gt;"",INDEX('×入力'!$A$1:$L$1300,538,2+GC$2)&lt;&gt;"",INDEX('×入力'!$A$1:$L$1300,539+GC$3,1)&lt;&gt;""),1,0),0)</f>
        <v/>
      </c>
      <c r="GD29">
        <f>IF(GD$4=1,IF(OR(INDEX('×入力'!$A$1:$L$1300,539+GD$3,2+GD$2)&lt;&gt;"",INDEX('×入力'!$A$1:$L$1300,538,2+GD$2)&lt;&gt;"",INDEX('×入力'!$A$1:$L$1300,539+GD$3,1)&lt;&gt;""),1,0),0)</f>
        <v/>
      </c>
      <c r="GE29">
        <f>IF(GE$4=1,IF(OR(INDEX('×入力'!$A$1:$L$1300,539+GE$3,2+GE$2)&lt;&gt;"",INDEX('×入力'!$A$1:$L$1300,538,2+GE$2)&lt;&gt;"",INDEX('×入力'!$A$1:$L$1300,539+GE$3,1)&lt;&gt;""),1,0),0)</f>
        <v/>
      </c>
      <c r="GF29">
        <f>IF(GF$4=1,IF(OR(INDEX('×入力'!$A$1:$L$1300,539+GF$3,2+GF$2)&lt;&gt;"",INDEX('×入力'!$A$1:$L$1300,538,2+GF$2)&lt;&gt;"",INDEX('×入力'!$A$1:$L$1300,539+GF$3,1)&lt;&gt;""),1,0),0)</f>
        <v/>
      </c>
      <c r="GG29">
        <f>IF(GG$4=1,IF(OR(INDEX('×入力'!$A$1:$L$1300,539+GG$3,2+GG$2)&lt;&gt;"",INDEX('×入力'!$A$1:$L$1300,538,2+GG$2)&lt;&gt;"",INDEX('×入力'!$A$1:$L$1300,539+GG$3,1)&lt;&gt;""),1,0),0)</f>
        <v/>
      </c>
      <c r="GH29">
        <f>IF(GH$4=1,IF(OR(INDEX('×入力'!$A$1:$L$1300,539+GH$3,2+GH$2)&lt;&gt;"",INDEX('×入力'!$A$1:$L$1300,538,2+GH$2)&lt;&gt;"",INDEX('×入力'!$A$1:$L$1300,539+GH$3,1)&lt;&gt;""),1,0),0)</f>
        <v/>
      </c>
      <c r="GI29">
        <f>IF(GI$4=1,IF(OR(INDEX('×入力'!$A$1:$L$1300,539+GI$3,2+GI$2)&lt;&gt;"",INDEX('×入力'!$A$1:$L$1300,538,2+GI$2)&lt;&gt;"",INDEX('×入力'!$A$1:$L$1300,539+GI$3,1)&lt;&gt;""),1,0),0)</f>
        <v/>
      </c>
      <c r="GJ29">
        <f>IF(GJ$4=1,IF(OR(INDEX('×入力'!$A$1:$L$1300,539+GJ$3,2+GJ$2)&lt;&gt;"",INDEX('×入力'!$A$1:$L$1300,538,2+GJ$2)&lt;&gt;"",INDEX('×入力'!$A$1:$L$1300,539+GJ$3,1)&lt;&gt;""),1,0),0)</f>
        <v/>
      </c>
      <c r="GK29">
        <f>IF(GK$4=1,IF(OR(INDEX('×入力'!$A$1:$L$1300,539+GK$3,2+GK$2)&lt;&gt;"",INDEX('×入力'!$A$1:$L$1300,538,2+GK$2)&lt;&gt;"",INDEX('×入力'!$A$1:$L$1300,539+GK$3,1)&lt;&gt;""),1,0),0)</f>
        <v/>
      </c>
      <c r="GL29">
        <f>IF(GL$4=1,IF(OR(INDEX('×入力'!$A$1:$L$1300,539+GL$3,2+GL$2)&lt;&gt;"",INDEX('×入力'!$A$1:$L$1300,538,2+GL$2)&lt;&gt;"",INDEX('×入力'!$A$1:$L$1300,539+GL$3,1)&lt;&gt;""),1,0),0)</f>
        <v/>
      </c>
      <c r="GM29">
        <f>IF(GM$4=1,IF(OR(INDEX('×入力'!$A$1:$L$1300,539+GM$3,2+GM$2)&lt;&gt;"",INDEX('×入力'!$A$1:$L$1300,538,2+GM$2)&lt;&gt;"",INDEX('×入力'!$A$1:$L$1300,539+GM$3,1)&lt;&gt;""),1,0),0)</f>
        <v/>
      </c>
      <c r="GN29">
        <f>IF(GN$4=1,IF(OR(INDEX('×入力'!$A$1:$L$1300,539+GN$3,2+GN$2)&lt;&gt;"",INDEX('×入力'!$A$1:$L$1300,538,2+GN$2)&lt;&gt;"",INDEX('×入力'!$A$1:$L$1300,539+GN$3,1)&lt;&gt;""),1,0),0)</f>
        <v/>
      </c>
      <c r="GO29">
        <f>IF(GO$4=1,IF(OR(INDEX('×入力'!$A$1:$L$1300,539+GO$3,2+GO$2)&lt;&gt;"",INDEX('×入力'!$A$1:$L$1300,538,2+GO$2)&lt;&gt;"",INDEX('×入力'!$A$1:$L$1300,539+GO$3,1)&lt;&gt;""),1,0),0)</f>
        <v/>
      </c>
      <c r="GP29">
        <f>IF(GP$4=1,IF(OR(INDEX('×入力'!$A$1:$L$1300,539+GP$3,2+GP$2)&lt;&gt;"",INDEX('×入力'!$A$1:$L$1300,538,2+GP$2)&lt;&gt;"",INDEX('×入力'!$A$1:$L$1300,539+GP$3,1)&lt;&gt;""),1,0),0)</f>
        <v/>
      </c>
      <c r="GQ29">
        <f>IF(GQ$4=1,IF(OR(INDEX('×入力'!$A$1:$L$1300,539+GQ$3,2+GQ$2)&lt;&gt;"",INDEX('×入力'!$A$1:$L$1300,538,2+GQ$2)&lt;&gt;"",INDEX('×入力'!$A$1:$L$1300,539+GQ$3,1)&lt;&gt;""),1,0),0)</f>
        <v/>
      </c>
      <c r="GR29">
        <f>IF(GR$4=1,IF(OR(INDEX('×入力'!$A$1:$L$1300,539+GR$3,2+GR$2)&lt;&gt;"",INDEX('×入力'!$A$1:$L$1300,538,2+GR$2)&lt;&gt;"",INDEX('×入力'!$A$1:$L$1300,539+GR$3,1)&lt;&gt;""),1,0),0)</f>
        <v/>
      </c>
      <c r="GS29">
        <f>IF(GS$4=1,IF(OR(INDEX('×入力'!$A$1:$L$1300,539+GS$3,2+GS$2)&lt;&gt;"",INDEX('×入力'!$A$1:$L$1300,538,2+GS$2)&lt;&gt;"",INDEX('×入力'!$A$1:$L$1300,539+GS$3,1)&lt;&gt;""),1,0),0)</f>
        <v/>
      </c>
      <c r="GT29">
        <f>IF(GT$4=1,IF(OR(INDEX('×入力'!$A$1:$L$1300,539+GT$3,2+GT$2)&lt;&gt;"",INDEX('×入力'!$A$1:$L$1300,538,2+GT$2)&lt;&gt;"",INDEX('×入力'!$A$1:$L$1300,539+GT$3,1)&lt;&gt;""),1,0),0)</f>
        <v/>
      </c>
      <c r="GU29">
        <f>IF(GU$4=1,IF(OR(INDEX('×入力'!$A$1:$L$1300,539+GU$3,2+GU$2)&lt;&gt;"",INDEX('×入力'!$A$1:$L$1300,538,2+GU$2)&lt;&gt;"",INDEX('×入力'!$A$1:$L$1300,539+GU$3,1)&lt;&gt;""),1,0),0)</f>
        <v/>
      </c>
      <c r="GV29">
        <f>IF(GV$4=1,IF(OR(INDEX('×入力'!$A$1:$L$1300,539+GV$3,2+GV$2)&lt;&gt;"",INDEX('×入力'!$A$1:$L$1300,538,2+GV$2)&lt;&gt;"",INDEX('×入力'!$A$1:$L$1300,539+GV$3,1)&lt;&gt;""),1,0),0)</f>
        <v/>
      </c>
      <c r="GW29">
        <f>IF(GW$4=1,IF(OR(INDEX('×入力'!$A$1:$L$1300,539+GW$3,2+GW$2)&lt;&gt;"",INDEX('×入力'!$A$1:$L$1300,538,2+GW$2)&lt;&gt;"",INDEX('×入力'!$A$1:$L$1300,539+GW$3,1)&lt;&gt;""),1,0),0)</f>
        <v/>
      </c>
      <c r="GX29">
        <f>IF(GX$4=1,IF(OR(INDEX('×入力'!$A$1:$L$1300,539+GX$3,2+GX$2)&lt;&gt;"",INDEX('×入力'!$A$1:$L$1300,538,2+GX$2)&lt;&gt;"",INDEX('×入力'!$A$1:$L$1300,539+GX$3,1)&lt;&gt;""),1,0),0)</f>
        <v/>
      </c>
      <c r="GY29">
        <f>IF(GY$4=1,IF(OR(INDEX('×入力'!$A$1:$L$1300,539+GY$3,2+GY$2)&lt;&gt;"",INDEX('×入力'!$A$1:$L$1300,538,2+GY$2)&lt;&gt;"",INDEX('×入力'!$A$1:$L$1300,539+GY$3,1)&lt;&gt;""),1,0),0)</f>
        <v/>
      </c>
      <c r="GZ29">
        <f>IF(GZ$4=1,IF(OR(INDEX('×入力'!$A$1:$L$1300,539+GZ$3,2+GZ$2)&lt;&gt;"",INDEX('×入力'!$A$1:$L$1300,538,2+GZ$2)&lt;&gt;"",INDEX('×入力'!$A$1:$L$1300,539+GZ$3,1)&lt;&gt;""),1,0),0)</f>
        <v/>
      </c>
      <c r="HA29">
        <f>IF(HA$4=1,IF(OR(INDEX('×入力'!$A$1:$L$1300,539+HA$3,2+HA$2)&lt;&gt;"",INDEX('×入力'!$A$1:$L$1300,538,2+HA$2)&lt;&gt;"",INDEX('×入力'!$A$1:$L$1300,539+HA$3,1)&lt;&gt;""),1,0),0)</f>
        <v/>
      </c>
      <c r="HB29">
        <f>IF(HB$4=1,IF(OR(INDEX('×入力'!$A$1:$L$1300,539+HB$3,2+HB$2)&lt;&gt;"",INDEX('×入力'!$A$1:$L$1300,538,2+HB$2)&lt;&gt;"",INDEX('×入力'!$A$1:$L$1300,539+HB$3,1)&lt;&gt;""),1,0),0)</f>
        <v/>
      </c>
      <c r="HC29">
        <f>IF(HC$4=1,IF(OR(INDEX('×入力'!$A$1:$L$1300,539+HC$3,2+HC$2)&lt;&gt;"",INDEX('×入力'!$A$1:$L$1300,538,2+HC$2)&lt;&gt;"",INDEX('×入力'!$A$1:$L$1300,539+HC$3,1)&lt;&gt;""),1,0),0)</f>
        <v/>
      </c>
      <c r="HD29">
        <f>IF(HD$4=1,IF(OR(INDEX('×入力'!$A$1:$L$1300,539+HD$3,2+HD$2)&lt;&gt;"",INDEX('×入力'!$A$1:$L$1300,538,2+HD$2)&lt;&gt;"",INDEX('×入力'!$A$1:$L$1300,539+HD$3,1)&lt;&gt;""),1,0),0)</f>
        <v/>
      </c>
      <c r="HE29">
        <f>IF(HE$4=1,IF(OR(INDEX('×入力'!$A$1:$L$1300,539+HE$3,2+HE$2)&lt;&gt;"",INDEX('×入力'!$A$1:$L$1300,538,2+HE$2)&lt;&gt;"",INDEX('×入力'!$A$1:$L$1300,539+HE$3,1)&lt;&gt;""),1,0),0)</f>
        <v/>
      </c>
      <c r="HF29">
        <f>IF(HF$4=1,IF(OR(INDEX('×入力'!$A$1:$L$1300,539+HF$3,2+HF$2)&lt;&gt;"",INDEX('×入力'!$A$1:$L$1300,538,2+HF$2)&lt;&gt;"",INDEX('×入力'!$A$1:$L$1300,539+HF$3,1)&lt;&gt;""),1,0),0)</f>
        <v/>
      </c>
      <c r="HG29">
        <f>IF(HG$4=1,IF(OR(INDEX('×入力'!$A$1:$L$1300,539+HG$3,2+HG$2)&lt;&gt;"",INDEX('×入力'!$A$1:$L$1300,538,2+HG$2)&lt;&gt;"",INDEX('×入力'!$A$1:$L$1300,539+HG$3,1)&lt;&gt;""),1,0),0)</f>
        <v/>
      </c>
      <c r="HH29">
        <f>IF(HH$4=1,IF(OR(INDEX('×入力'!$A$1:$L$1300,539+HH$3,2+HH$2)&lt;&gt;"",INDEX('×入力'!$A$1:$L$1300,538,2+HH$2)&lt;&gt;"",INDEX('×入力'!$A$1:$L$1300,539+HH$3,1)&lt;&gt;""),1,0),0)</f>
        <v/>
      </c>
      <c r="HI29">
        <f>IF(HI$4=1,IF(OR(INDEX('×入力'!$A$1:$L$1300,539+HI$3,2+HI$2)&lt;&gt;"",INDEX('×入力'!$A$1:$L$1300,538,2+HI$2)&lt;&gt;"",INDEX('×入力'!$A$1:$L$1300,539+HI$3,1)&lt;&gt;""),1,0),0)</f>
        <v/>
      </c>
      <c r="HJ29">
        <f>IF(HJ$4=1,IF(OR(INDEX('×入力'!$A$1:$L$1300,539+HJ$3,2+HJ$2)&lt;&gt;"",INDEX('×入力'!$A$1:$L$1300,538,2+HJ$2)&lt;&gt;"",INDEX('×入力'!$A$1:$L$1300,539+HJ$3,1)&lt;&gt;""),1,0),0)</f>
        <v/>
      </c>
      <c r="HK29">
        <f>IF(HK$4=1,IF(OR(INDEX('×入力'!$A$1:$L$1300,539+HK$3,2+HK$2)&lt;&gt;"",INDEX('×入力'!$A$1:$L$1300,538,2+HK$2)&lt;&gt;"",INDEX('×入力'!$A$1:$L$1300,539+HK$3,1)&lt;&gt;""),1,0),0)</f>
        <v/>
      </c>
      <c r="HL29">
        <f>IF(HL$4=1,IF(OR(INDEX('×入力'!$A$1:$L$1300,539+HL$3,2+HL$2)&lt;&gt;"",INDEX('×入力'!$A$1:$L$1300,538,2+HL$2)&lt;&gt;"",INDEX('×入力'!$A$1:$L$1300,539+HL$3,1)&lt;&gt;""),1,0),0)</f>
        <v/>
      </c>
      <c r="HM29">
        <f>IF(HM$4=1,IF(OR(INDEX('×入力'!$A$1:$L$1300,539+HM$3,2+HM$2)&lt;&gt;"",INDEX('×入力'!$A$1:$L$1300,538,2+HM$2)&lt;&gt;"",INDEX('×入力'!$A$1:$L$1300,539+HM$3,1)&lt;&gt;""),1,0),0)</f>
        <v/>
      </c>
      <c r="HN29">
        <f>IF(HN$4=1,IF(OR(INDEX('×入力'!$A$1:$L$1300,539+HN$3,2+HN$2)&lt;&gt;"",INDEX('×入力'!$A$1:$L$1300,538,2+HN$2)&lt;&gt;"",INDEX('×入力'!$A$1:$L$1300,539+HN$3,1)&lt;&gt;""),1,0),0)</f>
        <v/>
      </c>
      <c r="HO29">
        <f>IF(HO$4=1,IF(OR(INDEX('×入力'!$A$1:$L$1300,539+HO$3,2+HO$2)&lt;&gt;"",INDEX('×入力'!$A$1:$L$1300,538,2+HO$2)&lt;&gt;"",INDEX('×入力'!$A$1:$L$1300,539+HO$3,1)&lt;&gt;""),1,0),0)</f>
        <v/>
      </c>
      <c r="HP29">
        <f>IF(HP$4=1,IF(OR(INDEX('×入力'!$A$1:$L$1300,539+HP$3,2+HP$2)&lt;&gt;"",INDEX('×入力'!$A$1:$L$1300,538,2+HP$2)&lt;&gt;"",INDEX('×入力'!$A$1:$L$1300,539+HP$3,1)&lt;&gt;""),1,0),0)</f>
        <v/>
      </c>
      <c r="HQ29">
        <f>IF(HQ$4=1,IF(OR(INDEX('×入力'!$A$1:$L$1300,539+HQ$3,2+HQ$2)&lt;&gt;"",INDEX('×入力'!$A$1:$L$1300,538,2+HQ$2)&lt;&gt;"",INDEX('×入力'!$A$1:$L$1300,539+HQ$3,1)&lt;&gt;""),1,0),0)</f>
        <v/>
      </c>
      <c r="HR29">
        <f>IF(HR$4=1,IF(OR(INDEX('×入力'!$A$1:$L$1300,539+HR$3,2+HR$2)&lt;&gt;"",INDEX('×入力'!$A$1:$L$1300,538,2+HR$2)&lt;&gt;"",INDEX('×入力'!$A$1:$L$1300,539+HR$3,1)&lt;&gt;""),1,0),0)</f>
        <v/>
      </c>
      <c r="HS29">
        <f>IF(HS$4=1,IF(OR(INDEX('×入力'!$A$1:$L$1300,539+HS$3,2+HS$2)&lt;&gt;"",INDEX('×入力'!$A$1:$L$1300,538,2+HS$2)&lt;&gt;"",INDEX('×入力'!$A$1:$L$1300,539+HS$3,1)&lt;&gt;""),1,0),0)</f>
        <v/>
      </c>
      <c r="HT29">
        <f>IF(HT$4=1,IF(OR(INDEX('×入力'!$A$1:$L$1300,539+HT$3,2+HT$2)&lt;&gt;"",INDEX('×入力'!$A$1:$L$1300,538,2+HT$2)&lt;&gt;"",INDEX('×入力'!$A$1:$L$1300,539+HT$3,1)&lt;&gt;""),1,0),0)</f>
        <v/>
      </c>
      <c r="HU29">
        <f>IF(HU$4=1,IF(OR(INDEX('×入力'!$A$1:$L$1300,539+HU$3,2+HU$2)&lt;&gt;"",INDEX('×入力'!$A$1:$L$1300,538,2+HU$2)&lt;&gt;"",INDEX('×入力'!$A$1:$L$1300,539+HU$3,1)&lt;&gt;""),1,0),0)</f>
        <v/>
      </c>
      <c r="HV29">
        <f>IF(HV$4=1,IF(OR(INDEX('×入力'!$A$1:$L$1300,539+HV$3,2+HV$2)&lt;&gt;"",INDEX('×入力'!$A$1:$L$1300,538,2+HV$2)&lt;&gt;"",INDEX('×入力'!$A$1:$L$1300,539+HV$3,1)&lt;&gt;""),1,0),0)</f>
        <v/>
      </c>
      <c r="HW29">
        <f>IF(HW$4=1,IF(OR(INDEX('×入力'!$A$1:$L$1300,539+HW$3,2+HW$2)&lt;&gt;"",INDEX('×入力'!$A$1:$L$1300,538,2+HW$2)&lt;&gt;"",INDEX('×入力'!$A$1:$L$1300,539+HW$3,1)&lt;&gt;""),1,0),0)</f>
        <v/>
      </c>
      <c r="HX29">
        <f>IF(HX$4=1,IF(OR(INDEX('×入力'!$A$1:$L$1300,539+HX$3,2+HX$2)&lt;&gt;"",INDEX('×入力'!$A$1:$L$1300,538,2+HX$2)&lt;&gt;"",INDEX('×入力'!$A$1:$L$1300,539+HX$3,1)&lt;&gt;""),1,0),0)</f>
        <v/>
      </c>
      <c r="HY29">
        <f>IF(HY$4=1,IF(OR(INDEX('×入力'!$A$1:$L$1300,539+HY$3,2+HY$2)&lt;&gt;"",INDEX('×入力'!$A$1:$L$1300,538,2+HY$2)&lt;&gt;"",INDEX('×入力'!$A$1:$L$1300,539+HY$3,1)&lt;&gt;""),1,0),0)</f>
        <v/>
      </c>
      <c r="HZ29">
        <f>IF(HZ$4=1,IF(OR(INDEX('×入力'!$A$1:$L$1300,539+HZ$3,2+HZ$2)&lt;&gt;"",INDEX('×入力'!$A$1:$L$1300,538,2+HZ$2)&lt;&gt;"",INDEX('×入力'!$A$1:$L$1300,539+HZ$3,1)&lt;&gt;""),1,0),0)</f>
        <v/>
      </c>
      <c r="IA29">
        <f>IF(IA$4=1,IF(OR(INDEX('×入力'!$A$1:$L$1300,539+IA$3,2+IA$2)&lt;&gt;"",INDEX('×入力'!$A$1:$L$1300,538,2+IA$2)&lt;&gt;"",INDEX('×入力'!$A$1:$L$1300,539+IA$3,1)&lt;&gt;""),1,0),0)</f>
        <v/>
      </c>
      <c r="IB29">
        <f>IF(IB$4=1,IF(OR(INDEX('×入力'!$A$1:$L$1300,539+IB$3,2+IB$2)&lt;&gt;"",INDEX('×入力'!$A$1:$L$1300,538,2+IB$2)&lt;&gt;"",INDEX('×入力'!$A$1:$L$1300,539+IB$3,1)&lt;&gt;""),1,0),0)</f>
        <v/>
      </c>
      <c r="IC29">
        <f>IF(IC$4=1,IF(OR(INDEX('×入力'!$A$1:$L$1300,539+IC$3,2+IC$2)&lt;&gt;"",INDEX('×入力'!$A$1:$L$1300,538,2+IC$2)&lt;&gt;"",INDEX('×入力'!$A$1:$L$1300,539+IC$3,1)&lt;&gt;""),1,0),0)</f>
        <v/>
      </c>
      <c r="ID29">
        <f>IF(ID$4=1,IF(OR(INDEX('×入力'!$A$1:$L$1300,539+ID$3,2+ID$2)&lt;&gt;"",INDEX('×入力'!$A$1:$L$1300,538,2+ID$2)&lt;&gt;"",INDEX('×入力'!$A$1:$L$1300,539+ID$3,1)&lt;&gt;""),1,0),0)</f>
        <v/>
      </c>
      <c r="IE29">
        <f>IF(IE$4=1,IF(OR(INDEX('×入力'!$A$1:$L$1300,539+IE$3,2+IE$2)&lt;&gt;"",INDEX('×入力'!$A$1:$L$1300,538,2+IE$2)&lt;&gt;"",INDEX('×入力'!$A$1:$L$1300,539+IE$3,1)&lt;&gt;""),1,0),0)</f>
        <v/>
      </c>
      <c r="IF29">
        <f>IF(IF$4=1,IF(OR(INDEX('×入力'!$A$1:$L$1300,539+IF$3,2+IF$2)&lt;&gt;"",INDEX('×入力'!$A$1:$L$1300,538,2+IF$2)&lt;&gt;"",INDEX('×入力'!$A$1:$L$1300,539+IF$3,1)&lt;&gt;""),1,0),0)</f>
        <v/>
      </c>
      <c r="IG29">
        <f>IF(IG$4=1,IF(OR(INDEX('×入力'!$A$1:$L$1300,539+IG$3,2+IG$2)&lt;&gt;"",INDEX('×入力'!$A$1:$L$1300,538,2+IG$2)&lt;&gt;"",INDEX('×入力'!$A$1:$L$1300,539+IG$3,1)&lt;&gt;""),1,0),0)</f>
        <v/>
      </c>
      <c r="IH29">
        <f>IF(IH$4=1,IF(OR(INDEX('×入力'!$A$1:$L$1300,539+IH$3,2+IH$2)&lt;&gt;"",INDEX('×入力'!$A$1:$L$1300,538,2+IH$2)&lt;&gt;"",INDEX('×入力'!$A$1:$L$1300,539+IH$3,1)&lt;&gt;""),1,0),0)</f>
        <v/>
      </c>
      <c r="II29">
        <f>IF(II$4=1,IF(OR(INDEX('×入力'!$A$1:$L$1300,539+II$3,2+II$2)&lt;&gt;"",INDEX('×入力'!$A$1:$L$1300,538,2+II$2)&lt;&gt;"",INDEX('×入力'!$A$1:$L$1300,539+II$3,1)&lt;&gt;""),1,0),0)</f>
        <v/>
      </c>
      <c r="IK29">
        <f>IFERROR(INDEX('計算B'!$C$3:$C$47,MATCH(A29,'計算B'!$B$3:$B$47,0)),0)</f>
        <v/>
      </c>
      <c r="IL29">
        <f>IF(AND(C29=1,IK29=0),1,0)</f>
        <v/>
      </c>
      <c r="IM29">
        <f>SUMPRODUCT(D79:II79*(1-$D$7:$II$7))</f>
        <v/>
      </c>
      <c r="IN29">
        <f>SUM(D29:II29)</f>
        <v/>
      </c>
      <c r="IO29">
        <f>IF(B29="",0,IF(COUNTIF('調整・決定'!$C$6:$L$29,B29)=1,SUMPRODUCT(('調整・決定'!$C$6:$L$29=B29)*((COLUMN('調整・決定'!$C$6:$L$29)-3)*24+ROW('調整・決定'!$C$6:$L$29)-5)),0))</f>
        <v/>
      </c>
      <c r="IP29">
        <f>IFERROR(MATCH('名簿'!E24,{"早い時刻","遅い時刻","早い日","遅い日"},0),0)</f>
        <v/>
      </c>
      <c r="IQ29">
        <f>IF('名簿'!F24="必ず空けたい",2,IF('名簿'!F24="出来れば空けたい",1,0))</f>
        <v/>
      </c>
    </row>
    <row r="30">
      <c r="A30" t="n">
        <v>21</v>
      </c>
      <c r="B30">
        <f>'名簿'!G25</f>
        <v/>
      </c>
      <c r="C30">
        <f>IF(AND(B30&lt;&gt;"",OR('名簿'!H25="入力済み",'名簿'!H25="×なし"),IO30=0,COUNTIF('調整・決定'!$C$6:$L$29,B30)=0),1,0)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ER30">
        <f>IF(ER$4=1,IF(OR(INDEX('×入力'!$A$1:$L$1300,567+ER$3,2+ER$2)&lt;&gt;"",INDEX('×入力'!$A$1:$L$1300,566,2+ER$2)&lt;&gt;"",INDEX('×入力'!$A$1:$L$1300,567+ER$3,1)&lt;&gt;""),1,0),0)</f>
        <v/>
      </c>
      <c r="ES30">
        <f>IF(ES$4=1,IF(OR(INDEX('×入力'!$A$1:$L$1300,567+ES$3,2+ES$2)&lt;&gt;"",INDEX('×入力'!$A$1:$L$1300,566,2+ES$2)&lt;&gt;"",INDEX('×入力'!$A$1:$L$1300,567+ES$3,1)&lt;&gt;""),1,0),0)</f>
        <v/>
      </c>
      <c r="ET30">
        <f>IF(ET$4=1,IF(OR(INDEX('×入力'!$A$1:$L$1300,567+ET$3,2+ET$2)&lt;&gt;"",INDEX('×入力'!$A$1:$L$1300,566,2+ET$2)&lt;&gt;"",INDEX('×入力'!$A$1:$L$1300,567+ET$3,1)&lt;&gt;""),1,0),0)</f>
        <v/>
      </c>
      <c r="EU30">
        <f>IF(EU$4=1,IF(OR(INDEX('×入力'!$A$1:$L$1300,567+EU$3,2+EU$2)&lt;&gt;"",INDEX('×入力'!$A$1:$L$1300,566,2+EU$2)&lt;&gt;"",INDEX('×入力'!$A$1:$L$1300,567+EU$3,1)&lt;&gt;""),1,0),0)</f>
        <v/>
      </c>
      <c r="EV30">
        <f>IF(EV$4=1,IF(OR(INDEX('×入力'!$A$1:$L$1300,567+EV$3,2+EV$2)&lt;&gt;"",INDEX('×入力'!$A$1:$L$1300,566,2+EV$2)&lt;&gt;"",INDEX('×入力'!$A$1:$L$1300,567+EV$3,1)&lt;&gt;""),1,0),0)</f>
        <v/>
      </c>
      <c r="EW30">
        <f>IF(EW$4=1,IF(OR(INDEX('×入力'!$A$1:$L$1300,567+EW$3,2+EW$2)&lt;&gt;"",INDEX('×入力'!$A$1:$L$1300,566,2+EW$2)&lt;&gt;"",INDEX('×入力'!$A$1:$L$1300,567+EW$3,1)&lt;&gt;""),1,0),0)</f>
        <v/>
      </c>
      <c r="EX30">
        <f>IF(EX$4=1,IF(OR(INDEX('×入力'!$A$1:$L$1300,567+EX$3,2+EX$2)&lt;&gt;"",INDEX('×入力'!$A$1:$L$1300,566,2+EX$2)&lt;&gt;"",INDEX('×入力'!$A$1:$L$1300,567+EX$3,1)&lt;&gt;""),1,0),0)</f>
        <v/>
      </c>
      <c r="EY30">
        <f>IF(EY$4=1,IF(OR(INDEX('×入力'!$A$1:$L$1300,567+EY$3,2+EY$2)&lt;&gt;"",INDEX('×入力'!$A$1:$L$1300,566,2+EY$2)&lt;&gt;"",INDEX('×入力'!$A$1:$L$1300,567+EY$3,1)&lt;&gt;""),1,0),0)</f>
        <v/>
      </c>
      <c r="EZ30">
        <f>IF(EZ$4=1,IF(OR(INDEX('×入力'!$A$1:$L$1300,567+EZ$3,2+EZ$2)&lt;&gt;"",INDEX('×入力'!$A$1:$L$1300,566,2+EZ$2)&lt;&gt;"",INDEX('×入力'!$A$1:$L$1300,567+EZ$3,1)&lt;&gt;""),1,0),0)</f>
        <v/>
      </c>
      <c r="FA30">
        <f>IF(FA$4=1,IF(OR(INDEX('×入力'!$A$1:$L$1300,567+FA$3,2+FA$2)&lt;&gt;"",INDEX('×入力'!$A$1:$L$1300,566,2+FA$2)&lt;&gt;"",INDEX('×入力'!$A$1:$L$1300,567+FA$3,1)&lt;&gt;""),1,0),0)</f>
        <v/>
      </c>
      <c r="FB30">
        <f>IF(FB$4=1,IF(OR(INDEX('×入力'!$A$1:$L$1300,567+FB$3,2+FB$2)&lt;&gt;"",INDEX('×入力'!$A$1:$L$1300,566,2+FB$2)&lt;&gt;"",INDEX('×入力'!$A$1:$L$1300,567+FB$3,1)&lt;&gt;""),1,0),0)</f>
        <v/>
      </c>
      <c r="FC30">
        <f>IF(FC$4=1,IF(OR(INDEX('×入力'!$A$1:$L$1300,567+FC$3,2+FC$2)&lt;&gt;"",INDEX('×入力'!$A$1:$L$1300,566,2+FC$2)&lt;&gt;"",INDEX('×入力'!$A$1:$L$1300,567+FC$3,1)&lt;&gt;""),1,0),0)</f>
        <v/>
      </c>
      <c r="FD30">
        <f>IF(FD$4=1,IF(OR(INDEX('×入力'!$A$1:$L$1300,567+FD$3,2+FD$2)&lt;&gt;"",INDEX('×入力'!$A$1:$L$1300,566,2+FD$2)&lt;&gt;"",INDEX('×入力'!$A$1:$L$1300,567+FD$3,1)&lt;&gt;""),1,0),0)</f>
        <v/>
      </c>
      <c r="FE30">
        <f>IF(FE$4=1,IF(OR(INDEX('×入力'!$A$1:$L$1300,567+FE$3,2+FE$2)&lt;&gt;"",INDEX('×入力'!$A$1:$L$1300,566,2+FE$2)&lt;&gt;"",INDEX('×入力'!$A$1:$L$1300,567+FE$3,1)&lt;&gt;""),1,0),0)</f>
        <v/>
      </c>
      <c r="FF30">
        <f>IF(FF$4=1,IF(OR(INDEX('×入力'!$A$1:$L$1300,567+FF$3,2+FF$2)&lt;&gt;"",INDEX('×入力'!$A$1:$L$1300,566,2+FF$2)&lt;&gt;"",INDEX('×入力'!$A$1:$L$1300,567+FF$3,1)&lt;&gt;""),1,0),0)</f>
        <v/>
      </c>
      <c r="FG30">
        <f>IF(FG$4=1,IF(OR(INDEX('×入力'!$A$1:$L$1300,567+FG$3,2+FG$2)&lt;&gt;"",INDEX('×入力'!$A$1:$L$1300,566,2+FG$2)&lt;&gt;"",INDEX('×入力'!$A$1:$L$1300,567+FG$3,1)&lt;&gt;""),1,0),0)</f>
        <v/>
      </c>
      <c r="FH30">
        <f>IF(FH$4=1,IF(OR(INDEX('×入力'!$A$1:$L$1300,567+FH$3,2+FH$2)&lt;&gt;"",INDEX('×入力'!$A$1:$L$1300,566,2+FH$2)&lt;&gt;"",INDEX('×入力'!$A$1:$L$1300,567+FH$3,1)&lt;&gt;""),1,0),0)</f>
        <v/>
      </c>
      <c r="FI30">
        <f>IF(FI$4=1,IF(OR(INDEX('×入力'!$A$1:$L$1300,567+FI$3,2+FI$2)&lt;&gt;"",INDEX('×入力'!$A$1:$L$1300,566,2+FI$2)&lt;&gt;"",INDEX('×入力'!$A$1:$L$1300,567+FI$3,1)&lt;&gt;""),1,0),0)</f>
        <v/>
      </c>
      <c r="FJ30">
        <f>IF(FJ$4=1,IF(OR(INDEX('×入力'!$A$1:$L$1300,567+FJ$3,2+FJ$2)&lt;&gt;"",INDEX('×入力'!$A$1:$L$1300,566,2+FJ$2)&lt;&gt;"",INDEX('×入力'!$A$1:$L$1300,567+FJ$3,1)&lt;&gt;""),1,0),0)</f>
        <v/>
      </c>
      <c r="FK30">
        <f>IF(FK$4=1,IF(OR(INDEX('×入力'!$A$1:$L$1300,567+FK$3,2+FK$2)&lt;&gt;"",INDEX('×入力'!$A$1:$L$1300,566,2+FK$2)&lt;&gt;"",INDEX('×入力'!$A$1:$L$1300,567+FK$3,1)&lt;&gt;""),1,0),0)</f>
        <v/>
      </c>
      <c r="FL30">
        <f>IF(FL$4=1,IF(OR(INDEX('×入力'!$A$1:$L$1300,567+FL$3,2+FL$2)&lt;&gt;"",INDEX('×入力'!$A$1:$L$1300,566,2+FL$2)&lt;&gt;"",INDEX('×入力'!$A$1:$L$1300,567+FL$3,1)&lt;&gt;""),1,0),0)</f>
        <v/>
      </c>
      <c r="FM30">
        <f>IF(FM$4=1,IF(OR(INDEX('×入力'!$A$1:$L$1300,567+FM$3,2+FM$2)&lt;&gt;"",INDEX('×入力'!$A$1:$L$1300,566,2+FM$2)&lt;&gt;"",INDEX('×入力'!$A$1:$L$1300,567+FM$3,1)&lt;&gt;""),1,0),0)</f>
        <v/>
      </c>
      <c r="FN30">
        <f>IF(FN$4=1,IF(OR(INDEX('×入力'!$A$1:$L$1300,567+FN$3,2+FN$2)&lt;&gt;"",INDEX('×入力'!$A$1:$L$1300,566,2+FN$2)&lt;&gt;"",INDEX('×入力'!$A$1:$L$1300,567+FN$3,1)&lt;&gt;""),1,0),0)</f>
        <v/>
      </c>
      <c r="FO30">
        <f>IF(FO$4=1,IF(OR(INDEX('×入力'!$A$1:$L$1300,567+FO$3,2+FO$2)&lt;&gt;"",INDEX('×入力'!$A$1:$L$1300,566,2+FO$2)&lt;&gt;"",INDEX('×入力'!$A$1:$L$1300,567+FO$3,1)&lt;&gt;""),1,0),0)</f>
        <v/>
      </c>
      <c r="FP30">
        <f>IF(FP$4=1,IF(OR(INDEX('×入力'!$A$1:$L$1300,567+FP$3,2+FP$2)&lt;&gt;"",INDEX('×入力'!$A$1:$L$1300,566,2+FP$2)&lt;&gt;"",INDEX('×入力'!$A$1:$L$1300,567+FP$3,1)&lt;&gt;""),1,0),0)</f>
        <v/>
      </c>
      <c r="FQ30">
        <f>IF(FQ$4=1,IF(OR(INDEX('×入力'!$A$1:$L$1300,567+FQ$3,2+FQ$2)&lt;&gt;"",INDEX('×入力'!$A$1:$L$1300,566,2+FQ$2)&lt;&gt;"",INDEX('×入力'!$A$1:$L$1300,567+FQ$3,1)&lt;&gt;""),1,0),0)</f>
        <v/>
      </c>
      <c r="FR30">
        <f>IF(FR$4=1,IF(OR(INDEX('×入力'!$A$1:$L$1300,567+FR$3,2+FR$2)&lt;&gt;"",INDEX('×入力'!$A$1:$L$1300,566,2+FR$2)&lt;&gt;"",INDEX('×入力'!$A$1:$L$1300,567+FR$3,1)&lt;&gt;""),1,0),0)</f>
        <v/>
      </c>
      <c r="FS30">
        <f>IF(FS$4=1,IF(OR(INDEX('×入力'!$A$1:$L$1300,567+FS$3,2+FS$2)&lt;&gt;"",INDEX('×入力'!$A$1:$L$1300,566,2+FS$2)&lt;&gt;"",INDEX('×入力'!$A$1:$L$1300,567+FS$3,1)&lt;&gt;""),1,0),0)</f>
        <v/>
      </c>
      <c r="FT30">
        <f>IF(FT$4=1,IF(OR(INDEX('×入力'!$A$1:$L$1300,567+FT$3,2+FT$2)&lt;&gt;"",INDEX('×入力'!$A$1:$L$1300,566,2+FT$2)&lt;&gt;"",INDEX('×入力'!$A$1:$L$1300,567+FT$3,1)&lt;&gt;""),1,0),0)</f>
        <v/>
      </c>
      <c r="FU30">
        <f>IF(FU$4=1,IF(OR(INDEX('×入力'!$A$1:$L$1300,567+FU$3,2+FU$2)&lt;&gt;"",INDEX('×入力'!$A$1:$L$1300,566,2+FU$2)&lt;&gt;"",INDEX('×入力'!$A$1:$L$1300,567+FU$3,1)&lt;&gt;""),1,0),0)</f>
        <v/>
      </c>
      <c r="FV30">
        <f>IF(FV$4=1,IF(OR(INDEX('×入力'!$A$1:$L$1300,567+FV$3,2+FV$2)&lt;&gt;"",INDEX('×入力'!$A$1:$L$1300,566,2+FV$2)&lt;&gt;"",INDEX('×入力'!$A$1:$L$1300,567+FV$3,1)&lt;&gt;""),1,0),0)</f>
        <v/>
      </c>
      <c r="FW30">
        <f>IF(FW$4=1,IF(OR(INDEX('×入力'!$A$1:$L$1300,567+FW$3,2+FW$2)&lt;&gt;"",INDEX('×入力'!$A$1:$L$1300,566,2+FW$2)&lt;&gt;"",INDEX('×入力'!$A$1:$L$1300,567+FW$3,1)&lt;&gt;""),1,0),0)</f>
        <v/>
      </c>
      <c r="FX30">
        <f>IF(FX$4=1,IF(OR(INDEX('×入力'!$A$1:$L$1300,567+FX$3,2+FX$2)&lt;&gt;"",INDEX('×入力'!$A$1:$L$1300,566,2+FX$2)&lt;&gt;"",INDEX('×入力'!$A$1:$L$1300,567+FX$3,1)&lt;&gt;""),1,0),0)</f>
        <v/>
      </c>
      <c r="FY30">
        <f>IF(FY$4=1,IF(OR(INDEX('×入力'!$A$1:$L$1300,567+FY$3,2+FY$2)&lt;&gt;"",INDEX('×入力'!$A$1:$L$1300,566,2+FY$2)&lt;&gt;"",INDEX('×入力'!$A$1:$L$1300,567+FY$3,1)&lt;&gt;""),1,0),0)</f>
        <v/>
      </c>
      <c r="FZ30">
        <f>IF(FZ$4=1,IF(OR(INDEX('×入力'!$A$1:$L$1300,567+FZ$3,2+FZ$2)&lt;&gt;"",INDEX('×入力'!$A$1:$L$1300,566,2+FZ$2)&lt;&gt;"",INDEX('×入力'!$A$1:$L$1300,567+FZ$3,1)&lt;&gt;""),1,0),0)</f>
        <v/>
      </c>
      <c r="GA30">
        <f>IF(GA$4=1,IF(OR(INDEX('×入力'!$A$1:$L$1300,567+GA$3,2+GA$2)&lt;&gt;"",INDEX('×入力'!$A$1:$L$1300,566,2+GA$2)&lt;&gt;"",INDEX('×入力'!$A$1:$L$1300,567+GA$3,1)&lt;&gt;""),1,0),0)</f>
        <v/>
      </c>
      <c r="GB30">
        <f>IF(GB$4=1,IF(OR(INDEX('×入力'!$A$1:$L$1300,567+GB$3,2+GB$2)&lt;&gt;"",INDEX('×入力'!$A$1:$L$1300,566,2+GB$2)&lt;&gt;"",INDEX('×入力'!$A$1:$L$1300,567+GB$3,1)&lt;&gt;""),1,0),0)</f>
        <v/>
      </c>
      <c r="GC30">
        <f>IF(GC$4=1,IF(OR(INDEX('×入力'!$A$1:$L$1300,567+GC$3,2+GC$2)&lt;&gt;"",INDEX('×入力'!$A$1:$L$1300,566,2+GC$2)&lt;&gt;"",INDEX('×入力'!$A$1:$L$1300,567+GC$3,1)&lt;&gt;""),1,0),0)</f>
        <v/>
      </c>
      <c r="GD30">
        <f>IF(GD$4=1,IF(OR(INDEX('×入力'!$A$1:$L$1300,567+GD$3,2+GD$2)&lt;&gt;"",INDEX('×入力'!$A$1:$L$1300,566,2+GD$2)&lt;&gt;"",INDEX('×入力'!$A$1:$L$1300,567+GD$3,1)&lt;&gt;""),1,0),0)</f>
        <v/>
      </c>
      <c r="GE30">
        <f>IF(GE$4=1,IF(OR(INDEX('×入力'!$A$1:$L$1300,567+GE$3,2+GE$2)&lt;&gt;"",INDEX('×入力'!$A$1:$L$1300,566,2+GE$2)&lt;&gt;"",INDEX('×入力'!$A$1:$L$1300,567+GE$3,1)&lt;&gt;""),1,0),0)</f>
        <v/>
      </c>
      <c r="GF30">
        <f>IF(GF$4=1,IF(OR(INDEX('×入力'!$A$1:$L$1300,567+GF$3,2+GF$2)&lt;&gt;"",INDEX('×入力'!$A$1:$L$1300,566,2+GF$2)&lt;&gt;"",INDEX('×入力'!$A$1:$L$1300,567+GF$3,1)&lt;&gt;""),1,0),0)</f>
        <v/>
      </c>
      <c r="GG30">
        <f>IF(GG$4=1,IF(OR(INDEX('×入力'!$A$1:$L$1300,567+GG$3,2+GG$2)&lt;&gt;"",INDEX('×入力'!$A$1:$L$1300,566,2+GG$2)&lt;&gt;"",INDEX('×入力'!$A$1:$L$1300,567+GG$3,1)&lt;&gt;""),1,0),0)</f>
        <v/>
      </c>
      <c r="GH30">
        <f>IF(GH$4=1,IF(OR(INDEX('×入力'!$A$1:$L$1300,567+GH$3,2+GH$2)&lt;&gt;"",INDEX('×入力'!$A$1:$L$1300,566,2+GH$2)&lt;&gt;"",INDEX('×入力'!$A$1:$L$1300,567+GH$3,1)&lt;&gt;""),1,0),0)</f>
        <v/>
      </c>
      <c r="GI30">
        <f>IF(GI$4=1,IF(OR(INDEX('×入力'!$A$1:$L$1300,567+GI$3,2+GI$2)&lt;&gt;"",INDEX('×入力'!$A$1:$L$1300,566,2+GI$2)&lt;&gt;"",INDEX('×入力'!$A$1:$L$1300,567+GI$3,1)&lt;&gt;""),1,0),0)</f>
        <v/>
      </c>
      <c r="GJ30">
        <f>IF(GJ$4=1,IF(OR(INDEX('×入力'!$A$1:$L$1300,567+GJ$3,2+GJ$2)&lt;&gt;"",INDEX('×入力'!$A$1:$L$1300,566,2+GJ$2)&lt;&gt;"",INDEX('×入力'!$A$1:$L$1300,567+GJ$3,1)&lt;&gt;""),1,0),0)</f>
        <v/>
      </c>
      <c r="GK30">
        <f>IF(GK$4=1,IF(OR(INDEX('×入力'!$A$1:$L$1300,567+GK$3,2+GK$2)&lt;&gt;"",INDEX('×入力'!$A$1:$L$1300,566,2+GK$2)&lt;&gt;"",INDEX('×入力'!$A$1:$L$1300,567+GK$3,1)&lt;&gt;""),1,0),0)</f>
        <v/>
      </c>
      <c r="GL30">
        <f>IF(GL$4=1,IF(OR(INDEX('×入力'!$A$1:$L$1300,567+GL$3,2+GL$2)&lt;&gt;"",INDEX('×入力'!$A$1:$L$1300,566,2+GL$2)&lt;&gt;"",INDEX('×入力'!$A$1:$L$1300,567+GL$3,1)&lt;&gt;""),1,0),0)</f>
        <v/>
      </c>
      <c r="GM30">
        <f>IF(GM$4=1,IF(OR(INDEX('×入力'!$A$1:$L$1300,567+GM$3,2+GM$2)&lt;&gt;"",INDEX('×入力'!$A$1:$L$1300,566,2+GM$2)&lt;&gt;"",INDEX('×入力'!$A$1:$L$1300,567+GM$3,1)&lt;&gt;""),1,0),0)</f>
        <v/>
      </c>
      <c r="GN30">
        <f>IF(GN$4=1,IF(OR(INDEX('×入力'!$A$1:$L$1300,567+GN$3,2+GN$2)&lt;&gt;"",INDEX('×入力'!$A$1:$L$1300,566,2+GN$2)&lt;&gt;"",INDEX('×入力'!$A$1:$L$1300,567+GN$3,1)&lt;&gt;""),1,0),0)</f>
        <v/>
      </c>
      <c r="GO30">
        <f>IF(GO$4=1,IF(OR(INDEX('×入力'!$A$1:$L$1300,567+GO$3,2+GO$2)&lt;&gt;"",INDEX('×入力'!$A$1:$L$1300,566,2+GO$2)&lt;&gt;"",INDEX('×入力'!$A$1:$L$1300,567+GO$3,1)&lt;&gt;""),1,0),0)</f>
        <v/>
      </c>
      <c r="GP30">
        <f>IF(GP$4=1,IF(OR(INDEX('×入力'!$A$1:$L$1300,567+GP$3,2+GP$2)&lt;&gt;"",INDEX('×入力'!$A$1:$L$1300,566,2+GP$2)&lt;&gt;"",INDEX('×入力'!$A$1:$L$1300,567+GP$3,1)&lt;&gt;""),1,0),0)</f>
        <v/>
      </c>
      <c r="GQ30">
        <f>IF(GQ$4=1,IF(OR(INDEX('×入力'!$A$1:$L$1300,567+GQ$3,2+GQ$2)&lt;&gt;"",INDEX('×入力'!$A$1:$L$1300,566,2+GQ$2)&lt;&gt;"",INDEX('×入力'!$A$1:$L$1300,567+GQ$3,1)&lt;&gt;""),1,0),0)</f>
        <v/>
      </c>
      <c r="GR30">
        <f>IF(GR$4=1,IF(OR(INDEX('×入力'!$A$1:$L$1300,567+GR$3,2+GR$2)&lt;&gt;"",INDEX('×入力'!$A$1:$L$1300,566,2+GR$2)&lt;&gt;"",INDEX('×入力'!$A$1:$L$1300,567+GR$3,1)&lt;&gt;""),1,0),0)</f>
        <v/>
      </c>
      <c r="GS30">
        <f>IF(GS$4=1,IF(OR(INDEX('×入力'!$A$1:$L$1300,567+GS$3,2+GS$2)&lt;&gt;"",INDEX('×入力'!$A$1:$L$1300,566,2+GS$2)&lt;&gt;"",INDEX('×入力'!$A$1:$L$1300,567+GS$3,1)&lt;&gt;""),1,0),0)</f>
        <v/>
      </c>
      <c r="GT30">
        <f>IF(GT$4=1,IF(OR(INDEX('×入力'!$A$1:$L$1300,567+GT$3,2+GT$2)&lt;&gt;"",INDEX('×入力'!$A$1:$L$1300,566,2+GT$2)&lt;&gt;"",INDEX('×入力'!$A$1:$L$1300,567+GT$3,1)&lt;&gt;""),1,0),0)</f>
        <v/>
      </c>
      <c r="GU30">
        <f>IF(GU$4=1,IF(OR(INDEX('×入力'!$A$1:$L$1300,567+GU$3,2+GU$2)&lt;&gt;"",INDEX('×入力'!$A$1:$L$1300,566,2+GU$2)&lt;&gt;"",INDEX('×入力'!$A$1:$L$1300,567+GU$3,1)&lt;&gt;""),1,0),0)</f>
        <v/>
      </c>
      <c r="GV30">
        <f>IF(GV$4=1,IF(OR(INDEX('×入力'!$A$1:$L$1300,567+GV$3,2+GV$2)&lt;&gt;"",INDEX('×入力'!$A$1:$L$1300,566,2+GV$2)&lt;&gt;"",INDEX('×入力'!$A$1:$L$1300,567+GV$3,1)&lt;&gt;""),1,0),0)</f>
        <v/>
      </c>
      <c r="GW30">
        <f>IF(GW$4=1,IF(OR(INDEX('×入力'!$A$1:$L$1300,567+GW$3,2+GW$2)&lt;&gt;"",INDEX('×入力'!$A$1:$L$1300,566,2+GW$2)&lt;&gt;"",INDEX('×入力'!$A$1:$L$1300,567+GW$3,1)&lt;&gt;""),1,0),0)</f>
        <v/>
      </c>
      <c r="GX30">
        <f>IF(GX$4=1,IF(OR(INDEX('×入力'!$A$1:$L$1300,567+GX$3,2+GX$2)&lt;&gt;"",INDEX('×入力'!$A$1:$L$1300,566,2+GX$2)&lt;&gt;"",INDEX('×入力'!$A$1:$L$1300,567+GX$3,1)&lt;&gt;""),1,0),0)</f>
        <v/>
      </c>
      <c r="GY30">
        <f>IF(GY$4=1,IF(OR(INDEX('×入力'!$A$1:$L$1300,567+GY$3,2+GY$2)&lt;&gt;"",INDEX('×入力'!$A$1:$L$1300,566,2+GY$2)&lt;&gt;"",INDEX('×入力'!$A$1:$L$1300,567+GY$3,1)&lt;&gt;""),1,0),0)</f>
        <v/>
      </c>
      <c r="GZ30">
        <f>IF(GZ$4=1,IF(OR(INDEX('×入力'!$A$1:$L$1300,567+GZ$3,2+GZ$2)&lt;&gt;"",INDEX('×入力'!$A$1:$L$1300,566,2+GZ$2)&lt;&gt;"",INDEX('×入力'!$A$1:$L$1300,567+GZ$3,1)&lt;&gt;""),1,0),0)</f>
        <v/>
      </c>
      <c r="HA30">
        <f>IF(HA$4=1,IF(OR(INDEX('×入力'!$A$1:$L$1300,567+HA$3,2+HA$2)&lt;&gt;"",INDEX('×入力'!$A$1:$L$1300,566,2+HA$2)&lt;&gt;"",INDEX('×入力'!$A$1:$L$1300,567+HA$3,1)&lt;&gt;""),1,0),0)</f>
        <v/>
      </c>
      <c r="HB30">
        <f>IF(HB$4=1,IF(OR(INDEX('×入力'!$A$1:$L$1300,567+HB$3,2+HB$2)&lt;&gt;"",INDEX('×入力'!$A$1:$L$1300,566,2+HB$2)&lt;&gt;"",INDEX('×入力'!$A$1:$L$1300,567+HB$3,1)&lt;&gt;""),1,0),0)</f>
        <v/>
      </c>
      <c r="HC30">
        <f>IF(HC$4=1,IF(OR(INDEX('×入力'!$A$1:$L$1300,567+HC$3,2+HC$2)&lt;&gt;"",INDEX('×入力'!$A$1:$L$1300,566,2+HC$2)&lt;&gt;"",INDEX('×入力'!$A$1:$L$1300,567+HC$3,1)&lt;&gt;""),1,0),0)</f>
        <v/>
      </c>
      <c r="HD30">
        <f>IF(HD$4=1,IF(OR(INDEX('×入力'!$A$1:$L$1300,567+HD$3,2+HD$2)&lt;&gt;"",INDEX('×入力'!$A$1:$L$1300,566,2+HD$2)&lt;&gt;"",INDEX('×入力'!$A$1:$L$1300,567+HD$3,1)&lt;&gt;""),1,0),0)</f>
        <v/>
      </c>
      <c r="HE30">
        <f>IF(HE$4=1,IF(OR(INDEX('×入力'!$A$1:$L$1300,567+HE$3,2+HE$2)&lt;&gt;"",INDEX('×入力'!$A$1:$L$1300,566,2+HE$2)&lt;&gt;"",INDEX('×入力'!$A$1:$L$1300,567+HE$3,1)&lt;&gt;""),1,0),0)</f>
        <v/>
      </c>
      <c r="HF30">
        <f>IF(HF$4=1,IF(OR(INDEX('×入力'!$A$1:$L$1300,567+HF$3,2+HF$2)&lt;&gt;"",INDEX('×入力'!$A$1:$L$1300,566,2+HF$2)&lt;&gt;"",INDEX('×入力'!$A$1:$L$1300,567+HF$3,1)&lt;&gt;""),1,0),0)</f>
        <v/>
      </c>
      <c r="HG30">
        <f>IF(HG$4=1,IF(OR(INDEX('×入力'!$A$1:$L$1300,567+HG$3,2+HG$2)&lt;&gt;"",INDEX('×入力'!$A$1:$L$1300,566,2+HG$2)&lt;&gt;"",INDEX('×入力'!$A$1:$L$1300,567+HG$3,1)&lt;&gt;""),1,0),0)</f>
        <v/>
      </c>
      <c r="HH30">
        <f>IF(HH$4=1,IF(OR(INDEX('×入力'!$A$1:$L$1300,567+HH$3,2+HH$2)&lt;&gt;"",INDEX('×入力'!$A$1:$L$1300,566,2+HH$2)&lt;&gt;"",INDEX('×入力'!$A$1:$L$1300,567+HH$3,1)&lt;&gt;""),1,0),0)</f>
        <v/>
      </c>
      <c r="HI30">
        <f>IF(HI$4=1,IF(OR(INDEX('×入力'!$A$1:$L$1300,567+HI$3,2+HI$2)&lt;&gt;"",INDEX('×入力'!$A$1:$L$1300,566,2+HI$2)&lt;&gt;"",INDEX('×入力'!$A$1:$L$1300,567+HI$3,1)&lt;&gt;""),1,0),0)</f>
        <v/>
      </c>
      <c r="HJ30">
        <f>IF(HJ$4=1,IF(OR(INDEX('×入力'!$A$1:$L$1300,567+HJ$3,2+HJ$2)&lt;&gt;"",INDEX('×入力'!$A$1:$L$1300,566,2+HJ$2)&lt;&gt;"",INDEX('×入力'!$A$1:$L$1300,567+HJ$3,1)&lt;&gt;""),1,0),0)</f>
        <v/>
      </c>
      <c r="HK30">
        <f>IF(HK$4=1,IF(OR(INDEX('×入力'!$A$1:$L$1300,567+HK$3,2+HK$2)&lt;&gt;"",INDEX('×入力'!$A$1:$L$1300,566,2+HK$2)&lt;&gt;"",INDEX('×入力'!$A$1:$L$1300,567+HK$3,1)&lt;&gt;""),1,0),0)</f>
        <v/>
      </c>
      <c r="HL30">
        <f>IF(HL$4=1,IF(OR(INDEX('×入力'!$A$1:$L$1300,567+HL$3,2+HL$2)&lt;&gt;"",INDEX('×入力'!$A$1:$L$1300,566,2+HL$2)&lt;&gt;"",INDEX('×入力'!$A$1:$L$1300,567+HL$3,1)&lt;&gt;""),1,0),0)</f>
        <v/>
      </c>
      <c r="HM30">
        <f>IF(HM$4=1,IF(OR(INDEX('×入力'!$A$1:$L$1300,567+HM$3,2+HM$2)&lt;&gt;"",INDEX('×入力'!$A$1:$L$1300,566,2+HM$2)&lt;&gt;"",INDEX('×入力'!$A$1:$L$1300,567+HM$3,1)&lt;&gt;""),1,0),0)</f>
        <v/>
      </c>
      <c r="HN30">
        <f>IF(HN$4=1,IF(OR(INDEX('×入力'!$A$1:$L$1300,567+HN$3,2+HN$2)&lt;&gt;"",INDEX('×入力'!$A$1:$L$1300,566,2+HN$2)&lt;&gt;"",INDEX('×入力'!$A$1:$L$1300,567+HN$3,1)&lt;&gt;""),1,0),0)</f>
        <v/>
      </c>
      <c r="HO30">
        <f>IF(HO$4=1,IF(OR(INDEX('×入力'!$A$1:$L$1300,567+HO$3,2+HO$2)&lt;&gt;"",INDEX('×入力'!$A$1:$L$1300,566,2+HO$2)&lt;&gt;"",INDEX('×入力'!$A$1:$L$1300,567+HO$3,1)&lt;&gt;""),1,0),0)</f>
        <v/>
      </c>
      <c r="HP30">
        <f>IF(HP$4=1,IF(OR(INDEX('×入力'!$A$1:$L$1300,567+HP$3,2+HP$2)&lt;&gt;"",INDEX('×入力'!$A$1:$L$1300,566,2+HP$2)&lt;&gt;"",INDEX('×入力'!$A$1:$L$1300,567+HP$3,1)&lt;&gt;""),1,0),0)</f>
        <v/>
      </c>
      <c r="HQ30">
        <f>IF(HQ$4=1,IF(OR(INDEX('×入力'!$A$1:$L$1300,567+HQ$3,2+HQ$2)&lt;&gt;"",INDEX('×入力'!$A$1:$L$1300,566,2+HQ$2)&lt;&gt;"",INDEX('×入力'!$A$1:$L$1300,567+HQ$3,1)&lt;&gt;""),1,0),0)</f>
        <v/>
      </c>
      <c r="HR30">
        <f>IF(HR$4=1,IF(OR(INDEX('×入力'!$A$1:$L$1300,567+HR$3,2+HR$2)&lt;&gt;"",INDEX('×入力'!$A$1:$L$1300,566,2+HR$2)&lt;&gt;"",INDEX('×入力'!$A$1:$L$1300,567+HR$3,1)&lt;&gt;""),1,0),0)</f>
        <v/>
      </c>
      <c r="HS30">
        <f>IF(HS$4=1,IF(OR(INDEX('×入力'!$A$1:$L$1300,567+HS$3,2+HS$2)&lt;&gt;"",INDEX('×入力'!$A$1:$L$1300,566,2+HS$2)&lt;&gt;"",INDEX('×入力'!$A$1:$L$1300,567+HS$3,1)&lt;&gt;""),1,0),0)</f>
        <v/>
      </c>
      <c r="HT30">
        <f>IF(HT$4=1,IF(OR(INDEX('×入力'!$A$1:$L$1300,567+HT$3,2+HT$2)&lt;&gt;"",INDEX('×入力'!$A$1:$L$1300,566,2+HT$2)&lt;&gt;"",INDEX('×入力'!$A$1:$L$1300,567+HT$3,1)&lt;&gt;""),1,0),0)</f>
        <v/>
      </c>
      <c r="HU30">
        <f>IF(HU$4=1,IF(OR(INDEX('×入力'!$A$1:$L$1300,567+HU$3,2+HU$2)&lt;&gt;"",INDEX('×入力'!$A$1:$L$1300,566,2+HU$2)&lt;&gt;"",INDEX('×入力'!$A$1:$L$1300,567+HU$3,1)&lt;&gt;""),1,0),0)</f>
        <v/>
      </c>
      <c r="HV30">
        <f>IF(HV$4=1,IF(OR(INDEX('×入力'!$A$1:$L$1300,567+HV$3,2+HV$2)&lt;&gt;"",INDEX('×入力'!$A$1:$L$1300,566,2+HV$2)&lt;&gt;"",INDEX('×入力'!$A$1:$L$1300,567+HV$3,1)&lt;&gt;""),1,0),0)</f>
        <v/>
      </c>
      <c r="HW30">
        <f>IF(HW$4=1,IF(OR(INDEX('×入力'!$A$1:$L$1300,567+HW$3,2+HW$2)&lt;&gt;"",INDEX('×入力'!$A$1:$L$1300,566,2+HW$2)&lt;&gt;"",INDEX('×入力'!$A$1:$L$1300,567+HW$3,1)&lt;&gt;""),1,0),0)</f>
        <v/>
      </c>
      <c r="HX30">
        <f>IF(HX$4=1,IF(OR(INDEX('×入力'!$A$1:$L$1300,567+HX$3,2+HX$2)&lt;&gt;"",INDEX('×入力'!$A$1:$L$1300,566,2+HX$2)&lt;&gt;"",INDEX('×入力'!$A$1:$L$1300,567+HX$3,1)&lt;&gt;""),1,0),0)</f>
        <v/>
      </c>
      <c r="HY30">
        <f>IF(HY$4=1,IF(OR(INDEX('×入力'!$A$1:$L$1300,567+HY$3,2+HY$2)&lt;&gt;"",INDEX('×入力'!$A$1:$L$1300,566,2+HY$2)&lt;&gt;"",INDEX('×入力'!$A$1:$L$1300,567+HY$3,1)&lt;&gt;""),1,0),0)</f>
        <v/>
      </c>
      <c r="HZ30">
        <f>IF(HZ$4=1,IF(OR(INDEX('×入力'!$A$1:$L$1300,567+HZ$3,2+HZ$2)&lt;&gt;"",INDEX('×入力'!$A$1:$L$1300,566,2+HZ$2)&lt;&gt;"",INDEX('×入力'!$A$1:$L$1300,567+HZ$3,1)&lt;&gt;""),1,0),0)</f>
        <v/>
      </c>
      <c r="IA30">
        <f>IF(IA$4=1,IF(OR(INDEX('×入力'!$A$1:$L$1300,567+IA$3,2+IA$2)&lt;&gt;"",INDEX('×入力'!$A$1:$L$1300,566,2+IA$2)&lt;&gt;"",INDEX('×入力'!$A$1:$L$1300,567+IA$3,1)&lt;&gt;""),1,0),0)</f>
        <v/>
      </c>
      <c r="IB30">
        <f>IF(IB$4=1,IF(OR(INDEX('×入力'!$A$1:$L$1300,567+IB$3,2+IB$2)&lt;&gt;"",INDEX('×入力'!$A$1:$L$1300,566,2+IB$2)&lt;&gt;"",INDEX('×入力'!$A$1:$L$1300,567+IB$3,1)&lt;&gt;""),1,0),0)</f>
        <v/>
      </c>
      <c r="IC30">
        <f>IF(IC$4=1,IF(OR(INDEX('×入力'!$A$1:$L$1300,567+IC$3,2+IC$2)&lt;&gt;"",INDEX('×入力'!$A$1:$L$1300,566,2+IC$2)&lt;&gt;"",INDEX('×入力'!$A$1:$L$1300,567+IC$3,1)&lt;&gt;""),1,0),0)</f>
        <v/>
      </c>
      <c r="ID30">
        <f>IF(ID$4=1,IF(OR(INDEX('×入力'!$A$1:$L$1300,567+ID$3,2+ID$2)&lt;&gt;"",INDEX('×入力'!$A$1:$L$1300,566,2+ID$2)&lt;&gt;"",INDEX('×入力'!$A$1:$L$1300,567+ID$3,1)&lt;&gt;""),1,0),0)</f>
        <v/>
      </c>
      <c r="IE30">
        <f>IF(IE$4=1,IF(OR(INDEX('×入力'!$A$1:$L$1300,567+IE$3,2+IE$2)&lt;&gt;"",INDEX('×入力'!$A$1:$L$1300,566,2+IE$2)&lt;&gt;"",INDEX('×入力'!$A$1:$L$1300,567+IE$3,1)&lt;&gt;""),1,0),0)</f>
        <v/>
      </c>
      <c r="IF30">
        <f>IF(IF$4=1,IF(OR(INDEX('×入力'!$A$1:$L$1300,567+IF$3,2+IF$2)&lt;&gt;"",INDEX('×入力'!$A$1:$L$1300,566,2+IF$2)&lt;&gt;"",INDEX('×入力'!$A$1:$L$1300,567+IF$3,1)&lt;&gt;""),1,0),0)</f>
        <v/>
      </c>
      <c r="IG30">
        <f>IF(IG$4=1,IF(OR(INDEX('×入力'!$A$1:$L$1300,567+IG$3,2+IG$2)&lt;&gt;"",INDEX('×入力'!$A$1:$L$1300,566,2+IG$2)&lt;&gt;"",INDEX('×入力'!$A$1:$L$1300,567+IG$3,1)&lt;&gt;""),1,0),0)</f>
        <v/>
      </c>
      <c r="IH30">
        <f>IF(IH$4=1,IF(OR(INDEX('×入力'!$A$1:$L$1300,567+IH$3,2+IH$2)&lt;&gt;"",INDEX('×入力'!$A$1:$L$1300,566,2+IH$2)&lt;&gt;"",INDEX('×入力'!$A$1:$L$1300,567+IH$3,1)&lt;&gt;""),1,0),0)</f>
        <v/>
      </c>
      <c r="II30">
        <f>IF(II$4=1,IF(OR(INDEX('×入力'!$A$1:$L$1300,567+II$3,2+II$2)&lt;&gt;"",INDEX('×入力'!$A$1:$L$1300,566,2+II$2)&lt;&gt;"",INDEX('×入力'!$A$1:$L$1300,567+II$3,1)&lt;&gt;""),1,0),0)</f>
        <v/>
      </c>
      <c r="IK30">
        <f>IFERROR(INDEX('計算B'!$C$3:$C$47,MATCH(A30,'計算B'!$B$3:$B$47,0)),0)</f>
        <v/>
      </c>
      <c r="IL30">
        <f>IF(AND(C30=1,IK30=0),1,0)</f>
        <v/>
      </c>
      <c r="IM30">
        <f>SUMPRODUCT(D80:II80*(1-$D$7:$II$7))</f>
        <v/>
      </c>
      <c r="IN30">
        <f>SUM(D30:II30)</f>
        <v/>
      </c>
      <c r="IO30">
        <f>IF(B30="",0,IF(COUNTIF('調整・決定'!$C$6:$L$29,B30)=1,SUMPRODUCT(('調整・決定'!$C$6:$L$29=B30)*((COLUMN('調整・決定'!$C$6:$L$29)-3)*24+ROW('調整・決定'!$C$6:$L$29)-5)),0))</f>
        <v/>
      </c>
      <c r="IP30">
        <f>IFERROR(MATCH('名簿'!E25,{"早い時刻","遅い時刻","早い日","遅い日"},0),0)</f>
        <v/>
      </c>
      <c r="IQ30">
        <f>IF('名簿'!F25="必ず空けたい",2,IF('名簿'!F25="出来れば空けたい",1,0))</f>
        <v/>
      </c>
    </row>
    <row r="31">
      <c r="A31" t="n">
        <v>22</v>
      </c>
      <c r="B31">
        <f>'名簿'!G26</f>
        <v/>
      </c>
      <c r="C31">
        <f>IF(AND(B31&lt;&gt;"",OR('名簿'!H26="入力済み",'名簿'!H26="×なし"),IO31=0,COUNTIF('調整・決定'!$C$6:$L$29,B31)=0),1,0)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ER31">
        <f>IF(ER$4=1,IF(OR(INDEX('×入力'!$A$1:$L$1300,595+ER$3,2+ER$2)&lt;&gt;"",INDEX('×入力'!$A$1:$L$1300,594,2+ER$2)&lt;&gt;"",INDEX('×入力'!$A$1:$L$1300,595+ER$3,1)&lt;&gt;""),1,0),0)</f>
        <v/>
      </c>
      <c r="ES31">
        <f>IF(ES$4=1,IF(OR(INDEX('×入力'!$A$1:$L$1300,595+ES$3,2+ES$2)&lt;&gt;"",INDEX('×入力'!$A$1:$L$1300,594,2+ES$2)&lt;&gt;"",INDEX('×入力'!$A$1:$L$1300,595+ES$3,1)&lt;&gt;""),1,0),0)</f>
        <v/>
      </c>
      <c r="ET31">
        <f>IF(ET$4=1,IF(OR(INDEX('×入力'!$A$1:$L$1300,595+ET$3,2+ET$2)&lt;&gt;"",INDEX('×入力'!$A$1:$L$1300,594,2+ET$2)&lt;&gt;"",INDEX('×入力'!$A$1:$L$1300,595+ET$3,1)&lt;&gt;""),1,0),0)</f>
        <v/>
      </c>
      <c r="EU31">
        <f>IF(EU$4=1,IF(OR(INDEX('×入力'!$A$1:$L$1300,595+EU$3,2+EU$2)&lt;&gt;"",INDEX('×入力'!$A$1:$L$1300,594,2+EU$2)&lt;&gt;"",INDEX('×入力'!$A$1:$L$1300,595+EU$3,1)&lt;&gt;""),1,0),0)</f>
        <v/>
      </c>
      <c r="EV31">
        <f>IF(EV$4=1,IF(OR(INDEX('×入力'!$A$1:$L$1300,595+EV$3,2+EV$2)&lt;&gt;"",INDEX('×入力'!$A$1:$L$1300,594,2+EV$2)&lt;&gt;"",INDEX('×入力'!$A$1:$L$1300,595+EV$3,1)&lt;&gt;""),1,0),0)</f>
        <v/>
      </c>
      <c r="EW31">
        <f>IF(EW$4=1,IF(OR(INDEX('×入力'!$A$1:$L$1300,595+EW$3,2+EW$2)&lt;&gt;"",INDEX('×入力'!$A$1:$L$1300,594,2+EW$2)&lt;&gt;"",INDEX('×入力'!$A$1:$L$1300,595+EW$3,1)&lt;&gt;""),1,0),0)</f>
        <v/>
      </c>
      <c r="EX31">
        <f>IF(EX$4=1,IF(OR(INDEX('×入力'!$A$1:$L$1300,595+EX$3,2+EX$2)&lt;&gt;"",INDEX('×入力'!$A$1:$L$1300,594,2+EX$2)&lt;&gt;"",INDEX('×入力'!$A$1:$L$1300,595+EX$3,1)&lt;&gt;""),1,0),0)</f>
        <v/>
      </c>
      <c r="EY31">
        <f>IF(EY$4=1,IF(OR(INDEX('×入力'!$A$1:$L$1300,595+EY$3,2+EY$2)&lt;&gt;"",INDEX('×入力'!$A$1:$L$1300,594,2+EY$2)&lt;&gt;"",INDEX('×入力'!$A$1:$L$1300,595+EY$3,1)&lt;&gt;""),1,0),0)</f>
        <v/>
      </c>
      <c r="EZ31">
        <f>IF(EZ$4=1,IF(OR(INDEX('×入力'!$A$1:$L$1300,595+EZ$3,2+EZ$2)&lt;&gt;"",INDEX('×入力'!$A$1:$L$1300,594,2+EZ$2)&lt;&gt;"",INDEX('×入力'!$A$1:$L$1300,595+EZ$3,1)&lt;&gt;""),1,0),0)</f>
        <v/>
      </c>
      <c r="FA31">
        <f>IF(FA$4=1,IF(OR(INDEX('×入力'!$A$1:$L$1300,595+FA$3,2+FA$2)&lt;&gt;"",INDEX('×入力'!$A$1:$L$1300,594,2+FA$2)&lt;&gt;"",INDEX('×入力'!$A$1:$L$1300,595+FA$3,1)&lt;&gt;""),1,0),0)</f>
        <v/>
      </c>
      <c r="FB31">
        <f>IF(FB$4=1,IF(OR(INDEX('×入力'!$A$1:$L$1300,595+FB$3,2+FB$2)&lt;&gt;"",INDEX('×入力'!$A$1:$L$1300,594,2+FB$2)&lt;&gt;"",INDEX('×入力'!$A$1:$L$1300,595+FB$3,1)&lt;&gt;""),1,0),0)</f>
        <v/>
      </c>
      <c r="FC31">
        <f>IF(FC$4=1,IF(OR(INDEX('×入力'!$A$1:$L$1300,595+FC$3,2+FC$2)&lt;&gt;"",INDEX('×入力'!$A$1:$L$1300,594,2+FC$2)&lt;&gt;"",INDEX('×入力'!$A$1:$L$1300,595+FC$3,1)&lt;&gt;""),1,0),0)</f>
        <v/>
      </c>
      <c r="FD31">
        <f>IF(FD$4=1,IF(OR(INDEX('×入力'!$A$1:$L$1300,595+FD$3,2+FD$2)&lt;&gt;"",INDEX('×入力'!$A$1:$L$1300,594,2+FD$2)&lt;&gt;"",INDEX('×入力'!$A$1:$L$1300,595+FD$3,1)&lt;&gt;""),1,0),0)</f>
        <v/>
      </c>
      <c r="FE31">
        <f>IF(FE$4=1,IF(OR(INDEX('×入力'!$A$1:$L$1300,595+FE$3,2+FE$2)&lt;&gt;"",INDEX('×入力'!$A$1:$L$1300,594,2+FE$2)&lt;&gt;"",INDEX('×入力'!$A$1:$L$1300,595+FE$3,1)&lt;&gt;""),1,0),0)</f>
        <v/>
      </c>
      <c r="FF31">
        <f>IF(FF$4=1,IF(OR(INDEX('×入力'!$A$1:$L$1300,595+FF$3,2+FF$2)&lt;&gt;"",INDEX('×入力'!$A$1:$L$1300,594,2+FF$2)&lt;&gt;"",INDEX('×入力'!$A$1:$L$1300,595+FF$3,1)&lt;&gt;""),1,0),0)</f>
        <v/>
      </c>
      <c r="FG31">
        <f>IF(FG$4=1,IF(OR(INDEX('×入力'!$A$1:$L$1300,595+FG$3,2+FG$2)&lt;&gt;"",INDEX('×入力'!$A$1:$L$1300,594,2+FG$2)&lt;&gt;"",INDEX('×入力'!$A$1:$L$1300,595+FG$3,1)&lt;&gt;""),1,0),0)</f>
        <v/>
      </c>
      <c r="FH31">
        <f>IF(FH$4=1,IF(OR(INDEX('×入力'!$A$1:$L$1300,595+FH$3,2+FH$2)&lt;&gt;"",INDEX('×入力'!$A$1:$L$1300,594,2+FH$2)&lt;&gt;"",INDEX('×入力'!$A$1:$L$1300,595+FH$3,1)&lt;&gt;""),1,0),0)</f>
        <v/>
      </c>
      <c r="FI31">
        <f>IF(FI$4=1,IF(OR(INDEX('×入力'!$A$1:$L$1300,595+FI$3,2+FI$2)&lt;&gt;"",INDEX('×入力'!$A$1:$L$1300,594,2+FI$2)&lt;&gt;"",INDEX('×入力'!$A$1:$L$1300,595+FI$3,1)&lt;&gt;""),1,0),0)</f>
        <v/>
      </c>
      <c r="FJ31">
        <f>IF(FJ$4=1,IF(OR(INDEX('×入力'!$A$1:$L$1300,595+FJ$3,2+FJ$2)&lt;&gt;"",INDEX('×入力'!$A$1:$L$1300,594,2+FJ$2)&lt;&gt;"",INDEX('×入力'!$A$1:$L$1300,595+FJ$3,1)&lt;&gt;""),1,0),0)</f>
        <v/>
      </c>
      <c r="FK31">
        <f>IF(FK$4=1,IF(OR(INDEX('×入力'!$A$1:$L$1300,595+FK$3,2+FK$2)&lt;&gt;"",INDEX('×入力'!$A$1:$L$1300,594,2+FK$2)&lt;&gt;"",INDEX('×入力'!$A$1:$L$1300,595+FK$3,1)&lt;&gt;""),1,0),0)</f>
        <v/>
      </c>
      <c r="FL31">
        <f>IF(FL$4=1,IF(OR(INDEX('×入力'!$A$1:$L$1300,595+FL$3,2+FL$2)&lt;&gt;"",INDEX('×入力'!$A$1:$L$1300,594,2+FL$2)&lt;&gt;"",INDEX('×入力'!$A$1:$L$1300,595+FL$3,1)&lt;&gt;""),1,0),0)</f>
        <v/>
      </c>
      <c r="FM31">
        <f>IF(FM$4=1,IF(OR(INDEX('×入力'!$A$1:$L$1300,595+FM$3,2+FM$2)&lt;&gt;"",INDEX('×入力'!$A$1:$L$1300,594,2+FM$2)&lt;&gt;"",INDEX('×入力'!$A$1:$L$1300,595+FM$3,1)&lt;&gt;""),1,0),0)</f>
        <v/>
      </c>
      <c r="FN31">
        <f>IF(FN$4=1,IF(OR(INDEX('×入力'!$A$1:$L$1300,595+FN$3,2+FN$2)&lt;&gt;"",INDEX('×入力'!$A$1:$L$1300,594,2+FN$2)&lt;&gt;"",INDEX('×入力'!$A$1:$L$1300,595+FN$3,1)&lt;&gt;""),1,0),0)</f>
        <v/>
      </c>
      <c r="FO31">
        <f>IF(FO$4=1,IF(OR(INDEX('×入力'!$A$1:$L$1300,595+FO$3,2+FO$2)&lt;&gt;"",INDEX('×入力'!$A$1:$L$1300,594,2+FO$2)&lt;&gt;"",INDEX('×入力'!$A$1:$L$1300,595+FO$3,1)&lt;&gt;""),1,0),0)</f>
        <v/>
      </c>
      <c r="FP31">
        <f>IF(FP$4=1,IF(OR(INDEX('×入力'!$A$1:$L$1300,595+FP$3,2+FP$2)&lt;&gt;"",INDEX('×入力'!$A$1:$L$1300,594,2+FP$2)&lt;&gt;"",INDEX('×入力'!$A$1:$L$1300,595+FP$3,1)&lt;&gt;""),1,0),0)</f>
        <v/>
      </c>
      <c r="FQ31">
        <f>IF(FQ$4=1,IF(OR(INDEX('×入力'!$A$1:$L$1300,595+FQ$3,2+FQ$2)&lt;&gt;"",INDEX('×入力'!$A$1:$L$1300,594,2+FQ$2)&lt;&gt;"",INDEX('×入力'!$A$1:$L$1300,595+FQ$3,1)&lt;&gt;""),1,0),0)</f>
        <v/>
      </c>
      <c r="FR31">
        <f>IF(FR$4=1,IF(OR(INDEX('×入力'!$A$1:$L$1300,595+FR$3,2+FR$2)&lt;&gt;"",INDEX('×入力'!$A$1:$L$1300,594,2+FR$2)&lt;&gt;"",INDEX('×入力'!$A$1:$L$1300,595+FR$3,1)&lt;&gt;""),1,0),0)</f>
        <v/>
      </c>
      <c r="FS31">
        <f>IF(FS$4=1,IF(OR(INDEX('×入力'!$A$1:$L$1300,595+FS$3,2+FS$2)&lt;&gt;"",INDEX('×入力'!$A$1:$L$1300,594,2+FS$2)&lt;&gt;"",INDEX('×入力'!$A$1:$L$1300,595+FS$3,1)&lt;&gt;""),1,0),0)</f>
        <v/>
      </c>
      <c r="FT31">
        <f>IF(FT$4=1,IF(OR(INDEX('×入力'!$A$1:$L$1300,595+FT$3,2+FT$2)&lt;&gt;"",INDEX('×入力'!$A$1:$L$1300,594,2+FT$2)&lt;&gt;"",INDEX('×入力'!$A$1:$L$1300,595+FT$3,1)&lt;&gt;""),1,0),0)</f>
        <v/>
      </c>
      <c r="FU31">
        <f>IF(FU$4=1,IF(OR(INDEX('×入力'!$A$1:$L$1300,595+FU$3,2+FU$2)&lt;&gt;"",INDEX('×入力'!$A$1:$L$1300,594,2+FU$2)&lt;&gt;"",INDEX('×入力'!$A$1:$L$1300,595+FU$3,1)&lt;&gt;""),1,0),0)</f>
        <v/>
      </c>
      <c r="FV31">
        <f>IF(FV$4=1,IF(OR(INDEX('×入力'!$A$1:$L$1300,595+FV$3,2+FV$2)&lt;&gt;"",INDEX('×入力'!$A$1:$L$1300,594,2+FV$2)&lt;&gt;"",INDEX('×入力'!$A$1:$L$1300,595+FV$3,1)&lt;&gt;""),1,0),0)</f>
        <v/>
      </c>
      <c r="FW31">
        <f>IF(FW$4=1,IF(OR(INDEX('×入力'!$A$1:$L$1300,595+FW$3,2+FW$2)&lt;&gt;"",INDEX('×入力'!$A$1:$L$1300,594,2+FW$2)&lt;&gt;"",INDEX('×入力'!$A$1:$L$1300,595+FW$3,1)&lt;&gt;""),1,0),0)</f>
        <v/>
      </c>
      <c r="FX31">
        <f>IF(FX$4=1,IF(OR(INDEX('×入力'!$A$1:$L$1300,595+FX$3,2+FX$2)&lt;&gt;"",INDEX('×入力'!$A$1:$L$1300,594,2+FX$2)&lt;&gt;"",INDEX('×入力'!$A$1:$L$1300,595+FX$3,1)&lt;&gt;""),1,0),0)</f>
        <v/>
      </c>
      <c r="FY31">
        <f>IF(FY$4=1,IF(OR(INDEX('×入力'!$A$1:$L$1300,595+FY$3,2+FY$2)&lt;&gt;"",INDEX('×入力'!$A$1:$L$1300,594,2+FY$2)&lt;&gt;"",INDEX('×入力'!$A$1:$L$1300,595+FY$3,1)&lt;&gt;""),1,0),0)</f>
        <v/>
      </c>
      <c r="FZ31">
        <f>IF(FZ$4=1,IF(OR(INDEX('×入力'!$A$1:$L$1300,595+FZ$3,2+FZ$2)&lt;&gt;"",INDEX('×入力'!$A$1:$L$1300,594,2+FZ$2)&lt;&gt;"",INDEX('×入力'!$A$1:$L$1300,595+FZ$3,1)&lt;&gt;""),1,0),0)</f>
        <v/>
      </c>
      <c r="GA31">
        <f>IF(GA$4=1,IF(OR(INDEX('×入力'!$A$1:$L$1300,595+GA$3,2+GA$2)&lt;&gt;"",INDEX('×入力'!$A$1:$L$1300,594,2+GA$2)&lt;&gt;"",INDEX('×入力'!$A$1:$L$1300,595+GA$3,1)&lt;&gt;""),1,0),0)</f>
        <v/>
      </c>
      <c r="GB31">
        <f>IF(GB$4=1,IF(OR(INDEX('×入力'!$A$1:$L$1300,595+GB$3,2+GB$2)&lt;&gt;"",INDEX('×入力'!$A$1:$L$1300,594,2+GB$2)&lt;&gt;"",INDEX('×入力'!$A$1:$L$1300,595+GB$3,1)&lt;&gt;""),1,0),0)</f>
        <v/>
      </c>
      <c r="GC31">
        <f>IF(GC$4=1,IF(OR(INDEX('×入力'!$A$1:$L$1300,595+GC$3,2+GC$2)&lt;&gt;"",INDEX('×入力'!$A$1:$L$1300,594,2+GC$2)&lt;&gt;"",INDEX('×入力'!$A$1:$L$1300,595+GC$3,1)&lt;&gt;""),1,0),0)</f>
        <v/>
      </c>
      <c r="GD31">
        <f>IF(GD$4=1,IF(OR(INDEX('×入力'!$A$1:$L$1300,595+GD$3,2+GD$2)&lt;&gt;"",INDEX('×入力'!$A$1:$L$1300,594,2+GD$2)&lt;&gt;"",INDEX('×入力'!$A$1:$L$1300,595+GD$3,1)&lt;&gt;""),1,0),0)</f>
        <v/>
      </c>
      <c r="GE31">
        <f>IF(GE$4=1,IF(OR(INDEX('×入力'!$A$1:$L$1300,595+GE$3,2+GE$2)&lt;&gt;"",INDEX('×入力'!$A$1:$L$1300,594,2+GE$2)&lt;&gt;"",INDEX('×入力'!$A$1:$L$1300,595+GE$3,1)&lt;&gt;""),1,0),0)</f>
        <v/>
      </c>
      <c r="GF31">
        <f>IF(GF$4=1,IF(OR(INDEX('×入力'!$A$1:$L$1300,595+GF$3,2+GF$2)&lt;&gt;"",INDEX('×入力'!$A$1:$L$1300,594,2+GF$2)&lt;&gt;"",INDEX('×入力'!$A$1:$L$1300,595+GF$3,1)&lt;&gt;""),1,0),0)</f>
        <v/>
      </c>
      <c r="GG31">
        <f>IF(GG$4=1,IF(OR(INDEX('×入力'!$A$1:$L$1300,595+GG$3,2+GG$2)&lt;&gt;"",INDEX('×入力'!$A$1:$L$1300,594,2+GG$2)&lt;&gt;"",INDEX('×入力'!$A$1:$L$1300,595+GG$3,1)&lt;&gt;""),1,0),0)</f>
        <v/>
      </c>
      <c r="GH31">
        <f>IF(GH$4=1,IF(OR(INDEX('×入力'!$A$1:$L$1300,595+GH$3,2+GH$2)&lt;&gt;"",INDEX('×入力'!$A$1:$L$1300,594,2+GH$2)&lt;&gt;"",INDEX('×入力'!$A$1:$L$1300,595+GH$3,1)&lt;&gt;""),1,0),0)</f>
        <v/>
      </c>
      <c r="GI31">
        <f>IF(GI$4=1,IF(OR(INDEX('×入力'!$A$1:$L$1300,595+GI$3,2+GI$2)&lt;&gt;"",INDEX('×入力'!$A$1:$L$1300,594,2+GI$2)&lt;&gt;"",INDEX('×入力'!$A$1:$L$1300,595+GI$3,1)&lt;&gt;""),1,0),0)</f>
        <v/>
      </c>
      <c r="GJ31">
        <f>IF(GJ$4=1,IF(OR(INDEX('×入力'!$A$1:$L$1300,595+GJ$3,2+GJ$2)&lt;&gt;"",INDEX('×入力'!$A$1:$L$1300,594,2+GJ$2)&lt;&gt;"",INDEX('×入力'!$A$1:$L$1300,595+GJ$3,1)&lt;&gt;""),1,0),0)</f>
        <v/>
      </c>
      <c r="GK31">
        <f>IF(GK$4=1,IF(OR(INDEX('×入力'!$A$1:$L$1300,595+GK$3,2+GK$2)&lt;&gt;"",INDEX('×入力'!$A$1:$L$1300,594,2+GK$2)&lt;&gt;"",INDEX('×入力'!$A$1:$L$1300,595+GK$3,1)&lt;&gt;""),1,0),0)</f>
        <v/>
      </c>
      <c r="GL31">
        <f>IF(GL$4=1,IF(OR(INDEX('×入力'!$A$1:$L$1300,595+GL$3,2+GL$2)&lt;&gt;"",INDEX('×入力'!$A$1:$L$1300,594,2+GL$2)&lt;&gt;"",INDEX('×入力'!$A$1:$L$1300,595+GL$3,1)&lt;&gt;""),1,0),0)</f>
        <v/>
      </c>
      <c r="GM31">
        <f>IF(GM$4=1,IF(OR(INDEX('×入力'!$A$1:$L$1300,595+GM$3,2+GM$2)&lt;&gt;"",INDEX('×入力'!$A$1:$L$1300,594,2+GM$2)&lt;&gt;"",INDEX('×入力'!$A$1:$L$1300,595+GM$3,1)&lt;&gt;""),1,0),0)</f>
        <v/>
      </c>
      <c r="GN31">
        <f>IF(GN$4=1,IF(OR(INDEX('×入力'!$A$1:$L$1300,595+GN$3,2+GN$2)&lt;&gt;"",INDEX('×入力'!$A$1:$L$1300,594,2+GN$2)&lt;&gt;"",INDEX('×入力'!$A$1:$L$1300,595+GN$3,1)&lt;&gt;""),1,0),0)</f>
        <v/>
      </c>
      <c r="GO31">
        <f>IF(GO$4=1,IF(OR(INDEX('×入力'!$A$1:$L$1300,595+GO$3,2+GO$2)&lt;&gt;"",INDEX('×入力'!$A$1:$L$1300,594,2+GO$2)&lt;&gt;"",INDEX('×入力'!$A$1:$L$1300,595+GO$3,1)&lt;&gt;""),1,0),0)</f>
        <v/>
      </c>
      <c r="GP31">
        <f>IF(GP$4=1,IF(OR(INDEX('×入力'!$A$1:$L$1300,595+GP$3,2+GP$2)&lt;&gt;"",INDEX('×入力'!$A$1:$L$1300,594,2+GP$2)&lt;&gt;"",INDEX('×入力'!$A$1:$L$1300,595+GP$3,1)&lt;&gt;""),1,0),0)</f>
        <v/>
      </c>
      <c r="GQ31">
        <f>IF(GQ$4=1,IF(OR(INDEX('×入力'!$A$1:$L$1300,595+GQ$3,2+GQ$2)&lt;&gt;"",INDEX('×入力'!$A$1:$L$1300,594,2+GQ$2)&lt;&gt;"",INDEX('×入力'!$A$1:$L$1300,595+GQ$3,1)&lt;&gt;""),1,0),0)</f>
        <v/>
      </c>
      <c r="GR31">
        <f>IF(GR$4=1,IF(OR(INDEX('×入力'!$A$1:$L$1300,595+GR$3,2+GR$2)&lt;&gt;"",INDEX('×入力'!$A$1:$L$1300,594,2+GR$2)&lt;&gt;"",INDEX('×入力'!$A$1:$L$1300,595+GR$3,1)&lt;&gt;""),1,0),0)</f>
        <v/>
      </c>
      <c r="GS31">
        <f>IF(GS$4=1,IF(OR(INDEX('×入力'!$A$1:$L$1300,595+GS$3,2+GS$2)&lt;&gt;"",INDEX('×入力'!$A$1:$L$1300,594,2+GS$2)&lt;&gt;"",INDEX('×入力'!$A$1:$L$1300,595+GS$3,1)&lt;&gt;""),1,0),0)</f>
        <v/>
      </c>
      <c r="GT31">
        <f>IF(GT$4=1,IF(OR(INDEX('×入力'!$A$1:$L$1300,595+GT$3,2+GT$2)&lt;&gt;"",INDEX('×入力'!$A$1:$L$1300,594,2+GT$2)&lt;&gt;"",INDEX('×入力'!$A$1:$L$1300,595+GT$3,1)&lt;&gt;""),1,0),0)</f>
        <v/>
      </c>
      <c r="GU31">
        <f>IF(GU$4=1,IF(OR(INDEX('×入力'!$A$1:$L$1300,595+GU$3,2+GU$2)&lt;&gt;"",INDEX('×入力'!$A$1:$L$1300,594,2+GU$2)&lt;&gt;"",INDEX('×入力'!$A$1:$L$1300,595+GU$3,1)&lt;&gt;""),1,0),0)</f>
        <v/>
      </c>
      <c r="GV31">
        <f>IF(GV$4=1,IF(OR(INDEX('×入力'!$A$1:$L$1300,595+GV$3,2+GV$2)&lt;&gt;"",INDEX('×入力'!$A$1:$L$1300,594,2+GV$2)&lt;&gt;"",INDEX('×入力'!$A$1:$L$1300,595+GV$3,1)&lt;&gt;""),1,0),0)</f>
        <v/>
      </c>
      <c r="GW31">
        <f>IF(GW$4=1,IF(OR(INDEX('×入力'!$A$1:$L$1300,595+GW$3,2+GW$2)&lt;&gt;"",INDEX('×入力'!$A$1:$L$1300,594,2+GW$2)&lt;&gt;"",INDEX('×入力'!$A$1:$L$1300,595+GW$3,1)&lt;&gt;""),1,0),0)</f>
        <v/>
      </c>
      <c r="GX31">
        <f>IF(GX$4=1,IF(OR(INDEX('×入力'!$A$1:$L$1300,595+GX$3,2+GX$2)&lt;&gt;"",INDEX('×入力'!$A$1:$L$1300,594,2+GX$2)&lt;&gt;"",INDEX('×入力'!$A$1:$L$1300,595+GX$3,1)&lt;&gt;""),1,0),0)</f>
        <v/>
      </c>
      <c r="GY31">
        <f>IF(GY$4=1,IF(OR(INDEX('×入力'!$A$1:$L$1300,595+GY$3,2+GY$2)&lt;&gt;"",INDEX('×入力'!$A$1:$L$1300,594,2+GY$2)&lt;&gt;"",INDEX('×入力'!$A$1:$L$1300,595+GY$3,1)&lt;&gt;""),1,0),0)</f>
        <v/>
      </c>
      <c r="GZ31">
        <f>IF(GZ$4=1,IF(OR(INDEX('×入力'!$A$1:$L$1300,595+GZ$3,2+GZ$2)&lt;&gt;"",INDEX('×入力'!$A$1:$L$1300,594,2+GZ$2)&lt;&gt;"",INDEX('×入力'!$A$1:$L$1300,595+GZ$3,1)&lt;&gt;""),1,0),0)</f>
        <v/>
      </c>
      <c r="HA31">
        <f>IF(HA$4=1,IF(OR(INDEX('×入力'!$A$1:$L$1300,595+HA$3,2+HA$2)&lt;&gt;"",INDEX('×入力'!$A$1:$L$1300,594,2+HA$2)&lt;&gt;"",INDEX('×入力'!$A$1:$L$1300,595+HA$3,1)&lt;&gt;""),1,0),0)</f>
        <v/>
      </c>
      <c r="HB31">
        <f>IF(HB$4=1,IF(OR(INDEX('×入力'!$A$1:$L$1300,595+HB$3,2+HB$2)&lt;&gt;"",INDEX('×入力'!$A$1:$L$1300,594,2+HB$2)&lt;&gt;"",INDEX('×入力'!$A$1:$L$1300,595+HB$3,1)&lt;&gt;""),1,0),0)</f>
        <v/>
      </c>
      <c r="HC31">
        <f>IF(HC$4=1,IF(OR(INDEX('×入力'!$A$1:$L$1300,595+HC$3,2+HC$2)&lt;&gt;"",INDEX('×入力'!$A$1:$L$1300,594,2+HC$2)&lt;&gt;"",INDEX('×入力'!$A$1:$L$1300,595+HC$3,1)&lt;&gt;""),1,0),0)</f>
        <v/>
      </c>
      <c r="HD31">
        <f>IF(HD$4=1,IF(OR(INDEX('×入力'!$A$1:$L$1300,595+HD$3,2+HD$2)&lt;&gt;"",INDEX('×入力'!$A$1:$L$1300,594,2+HD$2)&lt;&gt;"",INDEX('×入力'!$A$1:$L$1300,595+HD$3,1)&lt;&gt;""),1,0),0)</f>
        <v/>
      </c>
      <c r="HE31">
        <f>IF(HE$4=1,IF(OR(INDEX('×入力'!$A$1:$L$1300,595+HE$3,2+HE$2)&lt;&gt;"",INDEX('×入力'!$A$1:$L$1300,594,2+HE$2)&lt;&gt;"",INDEX('×入力'!$A$1:$L$1300,595+HE$3,1)&lt;&gt;""),1,0),0)</f>
        <v/>
      </c>
      <c r="HF31">
        <f>IF(HF$4=1,IF(OR(INDEX('×入力'!$A$1:$L$1300,595+HF$3,2+HF$2)&lt;&gt;"",INDEX('×入力'!$A$1:$L$1300,594,2+HF$2)&lt;&gt;"",INDEX('×入力'!$A$1:$L$1300,595+HF$3,1)&lt;&gt;""),1,0),0)</f>
        <v/>
      </c>
      <c r="HG31">
        <f>IF(HG$4=1,IF(OR(INDEX('×入力'!$A$1:$L$1300,595+HG$3,2+HG$2)&lt;&gt;"",INDEX('×入力'!$A$1:$L$1300,594,2+HG$2)&lt;&gt;"",INDEX('×入力'!$A$1:$L$1300,595+HG$3,1)&lt;&gt;""),1,0),0)</f>
        <v/>
      </c>
      <c r="HH31">
        <f>IF(HH$4=1,IF(OR(INDEX('×入力'!$A$1:$L$1300,595+HH$3,2+HH$2)&lt;&gt;"",INDEX('×入力'!$A$1:$L$1300,594,2+HH$2)&lt;&gt;"",INDEX('×入力'!$A$1:$L$1300,595+HH$3,1)&lt;&gt;""),1,0),0)</f>
        <v/>
      </c>
      <c r="HI31">
        <f>IF(HI$4=1,IF(OR(INDEX('×入力'!$A$1:$L$1300,595+HI$3,2+HI$2)&lt;&gt;"",INDEX('×入力'!$A$1:$L$1300,594,2+HI$2)&lt;&gt;"",INDEX('×入力'!$A$1:$L$1300,595+HI$3,1)&lt;&gt;""),1,0),0)</f>
        <v/>
      </c>
      <c r="HJ31">
        <f>IF(HJ$4=1,IF(OR(INDEX('×入力'!$A$1:$L$1300,595+HJ$3,2+HJ$2)&lt;&gt;"",INDEX('×入力'!$A$1:$L$1300,594,2+HJ$2)&lt;&gt;"",INDEX('×入力'!$A$1:$L$1300,595+HJ$3,1)&lt;&gt;""),1,0),0)</f>
        <v/>
      </c>
      <c r="HK31">
        <f>IF(HK$4=1,IF(OR(INDEX('×入力'!$A$1:$L$1300,595+HK$3,2+HK$2)&lt;&gt;"",INDEX('×入力'!$A$1:$L$1300,594,2+HK$2)&lt;&gt;"",INDEX('×入力'!$A$1:$L$1300,595+HK$3,1)&lt;&gt;""),1,0),0)</f>
        <v/>
      </c>
      <c r="HL31">
        <f>IF(HL$4=1,IF(OR(INDEX('×入力'!$A$1:$L$1300,595+HL$3,2+HL$2)&lt;&gt;"",INDEX('×入力'!$A$1:$L$1300,594,2+HL$2)&lt;&gt;"",INDEX('×入力'!$A$1:$L$1300,595+HL$3,1)&lt;&gt;""),1,0),0)</f>
        <v/>
      </c>
      <c r="HM31">
        <f>IF(HM$4=1,IF(OR(INDEX('×入力'!$A$1:$L$1300,595+HM$3,2+HM$2)&lt;&gt;"",INDEX('×入力'!$A$1:$L$1300,594,2+HM$2)&lt;&gt;"",INDEX('×入力'!$A$1:$L$1300,595+HM$3,1)&lt;&gt;""),1,0),0)</f>
        <v/>
      </c>
      <c r="HN31">
        <f>IF(HN$4=1,IF(OR(INDEX('×入力'!$A$1:$L$1300,595+HN$3,2+HN$2)&lt;&gt;"",INDEX('×入力'!$A$1:$L$1300,594,2+HN$2)&lt;&gt;"",INDEX('×入力'!$A$1:$L$1300,595+HN$3,1)&lt;&gt;""),1,0),0)</f>
        <v/>
      </c>
      <c r="HO31">
        <f>IF(HO$4=1,IF(OR(INDEX('×入力'!$A$1:$L$1300,595+HO$3,2+HO$2)&lt;&gt;"",INDEX('×入力'!$A$1:$L$1300,594,2+HO$2)&lt;&gt;"",INDEX('×入力'!$A$1:$L$1300,595+HO$3,1)&lt;&gt;""),1,0),0)</f>
        <v/>
      </c>
      <c r="HP31">
        <f>IF(HP$4=1,IF(OR(INDEX('×入力'!$A$1:$L$1300,595+HP$3,2+HP$2)&lt;&gt;"",INDEX('×入力'!$A$1:$L$1300,594,2+HP$2)&lt;&gt;"",INDEX('×入力'!$A$1:$L$1300,595+HP$3,1)&lt;&gt;""),1,0),0)</f>
        <v/>
      </c>
      <c r="HQ31">
        <f>IF(HQ$4=1,IF(OR(INDEX('×入力'!$A$1:$L$1300,595+HQ$3,2+HQ$2)&lt;&gt;"",INDEX('×入力'!$A$1:$L$1300,594,2+HQ$2)&lt;&gt;"",INDEX('×入力'!$A$1:$L$1300,595+HQ$3,1)&lt;&gt;""),1,0),0)</f>
        <v/>
      </c>
      <c r="HR31">
        <f>IF(HR$4=1,IF(OR(INDEX('×入力'!$A$1:$L$1300,595+HR$3,2+HR$2)&lt;&gt;"",INDEX('×入力'!$A$1:$L$1300,594,2+HR$2)&lt;&gt;"",INDEX('×入力'!$A$1:$L$1300,595+HR$3,1)&lt;&gt;""),1,0),0)</f>
        <v/>
      </c>
      <c r="HS31">
        <f>IF(HS$4=1,IF(OR(INDEX('×入力'!$A$1:$L$1300,595+HS$3,2+HS$2)&lt;&gt;"",INDEX('×入力'!$A$1:$L$1300,594,2+HS$2)&lt;&gt;"",INDEX('×入力'!$A$1:$L$1300,595+HS$3,1)&lt;&gt;""),1,0),0)</f>
        <v/>
      </c>
      <c r="HT31">
        <f>IF(HT$4=1,IF(OR(INDEX('×入力'!$A$1:$L$1300,595+HT$3,2+HT$2)&lt;&gt;"",INDEX('×入力'!$A$1:$L$1300,594,2+HT$2)&lt;&gt;"",INDEX('×入力'!$A$1:$L$1300,595+HT$3,1)&lt;&gt;""),1,0),0)</f>
        <v/>
      </c>
      <c r="HU31">
        <f>IF(HU$4=1,IF(OR(INDEX('×入力'!$A$1:$L$1300,595+HU$3,2+HU$2)&lt;&gt;"",INDEX('×入力'!$A$1:$L$1300,594,2+HU$2)&lt;&gt;"",INDEX('×入力'!$A$1:$L$1300,595+HU$3,1)&lt;&gt;""),1,0),0)</f>
        <v/>
      </c>
      <c r="HV31">
        <f>IF(HV$4=1,IF(OR(INDEX('×入力'!$A$1:$L$1300,595+HV$3,2+HV$2)&lt;&gt;"",INDEX('×入力'!$A$1:$L$1300,594,2+HV$2)&lt;&gt;"",INDEX('×入力'!$A$1:$L$1300,595+HV$3,1)&lt;&gt;""),1,0),0)</f>
        <v/>
      </c>
      <c r="HW31">
        <f>IF(HW$4=1,IF(OR(INDEX('×入力'!$A$1:$L$1300,595+HW$3,2+HW$2)&lt;&gt;"",INDEX('×入力'!$A$1:$L$1300,594,2+HW$2)&lt;&gt;"",INDEX('×入力'!$A$1:$L$1300,595+HW$3,1)&lt;&gt;""),1,0),0)</f>
        <v/>
      </c>
      <c r="HX31">
        <f>IF(HX$4=1,IF(OR(INDEX('×入力'!$A$1:$L$1300,595+HX$3,2+HX$2)&lt;&gt;"",INDEX('×入力'!$A$1:$L$1300,594,2+HX$2)&lt;&gt;"",INDEX('×入力'!$A$1:$L$1300,595+HX$3,1)&lt;&gt;""),1,0),0)</f>
        <v/>
      </c>
      <c r="HY31">
        <f>IF(HY$4=1,IF(OR(INDEX('×入力'!$A$1:$L$1300,595+HY$3,2+HY$2)&lt;&gt;"",INDEX('×入力'!$A$1:$L$1300,594,2+HY$2)&lt;&gt;"",INDEX('×入力'!$A$1:$L$1300,595+HY$3,1)&lt;&gt;""),1,0),0)</f>
        <v/>
      </c>
      <c r="HZ31">
        <f>IF(HZ$4=1,IF(OR(INDEX('×入力'!$A$1:$L$1300,595+HZ$3,2+HZ$2)&lt;&gt;"",INDEX('×入力'!$A$1:$L$1300,594,2+HZ$2)&lt;&gt;"",INDEX('×入力'!$A$1:$L$1300,595+HZ$3,1)&lt;&gt;""),1,0),0)</f>
        <v/>
      </c>
      <c r="IA31">
        <f>IF(IA$4=1,IF(OR(INDEX('×入力'!$A$1:$L$1300,595+IA$3,2+IA$2)&lt;&gt;"",INDEX('×入力'!$A$1:$L$1300,594,2+IA$2)&lt;&gt;"",INDEX('×入力'!$A$1:$L$1300,595+IA$3,1)&lt;&gt;""),1,0),0)</f>
        <v/>
      </c>
      <c r="IB31">
        <f>IF(IB$4=1,IF(OR(INDEX('×入力'!$A$1:$L$1300,595+IB$3,2+IB$2)&lt;&gt;"",INDEX('×入力'!$A$1:$L$1300,594,2+IB$2)&lt;&gt;"",INDEX('×入力'!$A$1:$L$1300,595+IB$3,1)&lt;&gt;""),1,0),0)</f>
        <v/>
      </c>
      <c r="IC31">
        <f>IF(IC$4=1,IF(OR(INDEX('×入力'!$A$1:$L$1300,595+IC$3,2+IC$2)&lt;&gt;"",INDEX('×入力'!$A$1:$L$1300,594,2+IC$2)&lt;&gt;"",INDEX('×入力'!$A$1:$L$1300,595+IC$3,1)&lt;&gt;""),1,0),0)</f>
        <v/>
      </c>
      <c r="ID31">
        <f>IF(ID$4=1,IF(OR(INDEX('×入力'!$A$1:$L$1300,595+ID$3,2+ID$2)&lt;&gt;"",INDEX('×入力'!$A$1:$L$1300,594,2+ID$2)&lt;&gt;"",INDEX('×入力'!$A$1:$L$1300,595+ID$3,1)&lt;&gt;""),1,0),0)</f>
        <v/>
      </c>
      <c r="IE31">
        <f>IF(IE$4=1,IF(OR(INDEX('×入力'!$A$1:$L$1300,595+IE$3,2+IE$2)&lt;&gt;"",INDEX('×入力'!$A$1:$L$1300,594,2+IE$2)&lt;&gt;"",INDEX('×入力'!$A$1:$L$1300,595+IE$3,1)&lt;&gt;""),1,0),0)</f>
        <v/>
      </c>
      <c r="IF31">
        <f>IF(IF$4=1,IF(OR(INDEX('×入力'!$A$1:$L$1300,595+IF$3,2+IF$2)&lt;&gt;"",INDEX('×入力'!$A$1:$L$1300,594,2+IF$2)&lt;&gt;"",INDEX('×入力'!$A$1:$L$1300,595+IF$3,1)&lt;&gt;""),1,0),0)</f>
        <v/>
      </c>
      <c r="IG31">
        <f>IF(IG$4=1,IF(OR(INDEX('×入力'!$A$1:$L$1300,595+IG$3,2+IG$2)&lt;&gt;"",INDEX('×入力'!$A$1:$L$1300,594,2+IG$2)&lt;&gt;"",INDEX('×入力'!$A$1:$L$1300,595+IG$3,1)&lt;&gt;""),1,0),0)</f>
        <v/>
      </c>
      <c r="IH31">
        <f>IF(IH$4=1,IF(OR(INDEX('×入力'!$A$1:$L$1300,595+IH$3,2+IH$2)&lt;&gt;"",INDEX('×入力'!$A$1:$L$1300,594,2+IH$2)&lt;&gt;"",INDEX('×入力'!$A$1:$L$1300,595+IH$3,1)&lt;&gt;""),1,0),0)</f>
        <v/>
      </c>
      <c r="II31">
        <f>IF(II$4=1,IF(OR(INDEX('×入力'!$A$1:$L$1300,595+II$3,2+II$2)&lt;&gt;"",INDEX('×入力'!$A$1:$L$1300,594,2+II$2)&lt;&gt;"",INDEX('×入力'!$A$1:$L$1300,595+II$3,1)&lt;&gt;""),1,0),0)</f>
        <v/>
      </c>
      <c r="IK31">
        <f>IFERROR(INDEX('計算B'!$C$3:$C$47,MATCH(A31,'計算B'!$B$3:$B$47,0)),0)</f>
        <v/>
      </c>
      <c r="IL31">
        <f>IF(AND(C31=1,IK31=0),1,0)</f>
        <v/>
      </c>
      <c r="IM31">
        <f>SUMPRODUCT(D81:II81*(1-$D$7:$II$7))</f>
        <v/>
      </c>
      <c r="IN31">
        <f>SUM(D31:II31)</f>
        <v/>
      </c>
      <c r="IO31">
        <f>IF(B31="",0,IF(COUNTIF('調整・決定'!$C$6:$L$29,B31)=1,SUMPRODUCT(('調整・決定'!$C$6:$L$29=B31)*((COLUMN('調整・決定'!$C$6:$L$29)-3)*24+ROW('調整・決定'!$C$6:$L$29)-5)),0))</f>
        <v/>
      </c>
      <c r="IP31">
        <f>IFERROR(MATCH('名簿'!E26,{"早い時刻","遅い時刻","早い日","遅い日"},0),0)</f>
        <v/>
      </c>
      <c r="IQ31">
        <f>IF('名簿'!F26="必ず空けたい",2,IF('名簿'!F26="出来れば空けたい",1,0))</f>
        <v/>
      </c>
    </row>
    <row r="32">
      <c r="A32" t="n">
        <v>23</v>
      </c>
      <c r="B32">
        <f>'名簿'!G27</f>
        <v/>
      </c>
      <c r="C32">
        <f>IF(AND(B32&lt;&gt;"",OR('名簿'!H27="入力済み",'名簿'!H27="×なし"),IO32=0,COUNTIF('調整・決定'!$C$6:$L$29,B32)=0),1,0)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ER32">
        <f>IF(ER$4=1,IF(OR(INDEX('×入力'!$A$1:$L$1300,623+ER$3,2+ER$2)&lt;&gt;"",INDEX('×入力'!$A$1:$L$1300,622,2+ER$2)&lt;&gt;"",INDEX('×入力'!$A$1:$L$1300,623+ER$3,1)&lt;&gt;""),1,0),0)</f>
        <v/>
      </c>
      <c r="ES32">
        <f>IF(ES$4=1,IF(OR(INDEX('×入力'!$A$1:$L$1300,623+ES$3,2+ES$2)&lt;&gt;"",INDEX('×入力'!$A$1:$L$1300,622,2+ES$2)&lt;&gt;"",INDEX('×入力'!$A$1:$L$1300,623+ES$3,1)&lt;&gt;""),1,0),0)</f>
        <v/>
      </c>
      <c r="ET32">
        <f>IF(ET$4=1,IF(OR(INDEX('×入力'!$A$1:$L$1300,623+ET$3,2+ET$2)&lt;&gt;"",INDEX('×入力'!$A$1:$L$1300,622,2+ET$2)&lt;&gt;"",INDEX('×入力'!$A$1:$L$1300,623+ET$3,1)&lt;&gt;""),1,0),0)</f>
        <v/>
      </c>
      <c r="EU32">
        <f>IF(EU$4=1,IF(OR(INDEX('×入力'!$A$1:$L$1300,623+EU$3,2+EU$2)&lt;&gt;"",INDEX('×入力'!$A$1:$L$1300,622,2+EU$2)&lt;&gt;"",INDEX('×入力'!$A$1:$L$1300,623+EU$3,1)&lt;&gt;""),1,0),0)</f>
        <v/>
      </c>
      <c r="EV32">
        <f>IF(EV$4=1,IF(OR(INDEX('×入力'!$A$1:$L$1300,623+EV$3,2+EV$2)&lt;&gt;"",INDEX('×入力'!$A$1:$L$1300,622,2+EV$2)&lt;&gt;"",INDEX('×入力'!$A$1:$L$1300,623+EV$3,1)&lt;&gt;""),1,0),0)</f>
        <v/>
      </c>
      <c r="EW32">
        <f>IF(EW$4=1,IF(OR(INDEX('×入力'!$A$1:$L$1300,623+EW$3,2+EW$2)&lt;&gt;"",INDEX('×入力'!$A$1:$L$1300,622,2+EW$2)&lt;&gt;"",INDEX('×入力'!$A$1:$L$1300,623+EW$3,1)&lt;&gt;""),1,0),0)</f>
        <v/>
      </c>
      <c r="EX32">
        <f>IF(EX$4=1,IF(OR(INDEX('×入力'!$A$1:$L$1300,623+EX$3,2+EX$2)&lt;&gt;"",INDEX('×入力'!$A$1:$L$1300,622,2+EX$2)&lt;&gt;"",INDEX('×入力'!$A$1:$L$1300,623+EX$3,1)&lt;&gt;""),1,0),0)</f>
        <v/>
      </c>
      <c r="EY32">
        <f>IF(EY$4=1,IF(OR(INDEX('×入力'!$A$1:$L$1300,623+EY$3,2+EY$2)&lt;&gt;"",INDEX('×入力'!$A$1:$L$1300,622,2+EY$2)&lt;&gt;"",INDEX('×入力'!$A$1:$L$1300,623+EY$3,1)&lt;&gt;""),1,0),0)</f>
        <v/>
      </c>
      <c r="EZ32">
        <f>IF(EZ$4=1,IF(OR(INDEX('×入力'!$A$1:$L$1300,623+EZ$3,2+EZ$2)&lt;&gt;"",INDEX('×入力'!$A$1:$L$1300,622,2+EZ$2)&lt;&gt;"",INDEX('×入力'!$A$1:$L$1300,623+EZ$3,1)&lt;&gt;""),1,0),0)</f>
        <v/>
      </c>
      <c r="FA32">
        <f>IF(FA$4=1,IF(OR(INDEX('×入力'!$A$1:$L$1300,623+FA$3,2+FA$2)&lt;&gt;"",INDEX('×入力'!$A$1:$L$1300,622,2+FA$2)&lt;&gt;"",INDEX('×入力'!$A$1:$L$1300,623+FA$3,1)&lt;&gt;""),1,0),0)</f>
        <v/>
      </c>
      <c r="FB32">
        <f>IF(FB$4=1,IF(OR(INDEX('×入力'!$A$1:$L$1300,623+FB$3,2+FB$2)&lt;&gt;"",INDEX('×入力'!$A$1:$L$1300,622,2+FB$2)&lt;&gt;"",INDEX('×入力'!$A$1:$L$1300,623+FB$3,1)&lt;&gt;""),1,0),0)</f>
        <v/>
      </c>
      <c r="FC32">
        <f>IF(FC$4=1,IF(OR(INDEX('×入力'!$A$1:$L$1300,623+FC$3,2+FC$2)&lt;&gt;"",INDEX('×入力'!$A$1:$L$1300,622,2+FC$2)&lt;&gt;"",INDEX('×入力'!$A$1:$L$1300,623+FC$3,1)&lt;&gt;""),1,0),0)</f>
        <v/>
      </c>
      <c r="FD32">
        <f>IF(FD$4=1,IF(OR(INDEX('×入力'!$A$1:$L$1300,623+FD$3,2+FD$2)&lt;&gt;"",INDEX('×入力'!$A$1:$L$1300,622,2+FD$2)&lt;&gt;"",INDEX('×入力'!$A$1:$L$1300,623+FD$3,1)&lt;&gt;""),1,0),0)</f>
        <v/>
      </c>
      <c r="FE32">
        <f>IF(FE$4=1,IF(OR(INDEX('×入力'!$A$1:$L$1300,623+FE$3,2+FE$2)&lt;&gt;"",INDEX('×入力'!$A$1:$L$1300,622,2+FE$2)&lt;&gt;"",INDEX('×入力'!$A$1:$L$1300,623+FE$3,1)&lt;&gt;""),1,0),0)</f>
        <v/>
      </c>
      <c r="FF32">
        <f>IF(FF$4=1,IF(OR(INDEX('×入力'!$A$1:$L$1300,623+FF$3,2+FF$2)&lt;&gt;"",INDEX('×入力'!$A$1:$L$1300,622,2+FF$2)&lt;&gt;"",INDEX('×入力'!$A$1:$L$1300,623+FF$3,1)&lt;&gt;""),1,0),0)</f>
        <v/>
      </c>
      <c r="FG32">
        <f>IF(FG$4=1,IF(OR(INDEX('×入力'!$A$1:$L$1300,623+FG$3,2+FG$2)&lt;&gt;"",INDEX('×入力'!$A$1:$L$1300,622,2+FG$2)&lt;&gt;"",INDEX('×入力'!$A$1:$L$1300,623+FG$3,1)&lt;&gt;""),1,0),0)</f>
        <v/>
      </c>
      <c r="FH32">
        <f>IF(FH$4=1,IF(OR(INDEX('×入力'!$A$1:$L$1300,623+FH$3,2+FH$2)&lt;&gt;"",INDEX('×入力'!$A$1:$L$1300,622,2+FH$2)&lt;&gt;"",INDEX('×入力'!$A$1:$L$1300,623+FH$3,1)&lt;&gt;""),1,0),0)</f>
        <v/>
      </c>
      <c r="FI32">
        <f>IF(FI$4=1,IF(OR(INDEX('×入力'!$A$1:$L$1300,623+FI$3,2+FI$2)&lt;&gt;"",INDEX('×入力'!$A$1:$L$1300,622,2+FI$2)&lt;&gt;"",INDEX('×入力'!$A$1:$L$1300,623+FI$3,1)&lt;&gt;""),1,0),0)</f>
        <v/>
      </c>
      <c r="FJ32">
        <f>IF(FJ$4=1,IF(OR(INDEX('×入力'!$A$1:$L$1300,623+FJ$3,2+FJ$2)&lt;&gt;"",INDEX('×入力'!$A$1:$L$1300,622,2+FJ$2)&lt;&gt;"",INDEX('×入力'!$A$1:$L$1300,623+FJ$3,1)&lt;&gt;""),1,0),0)</f>
        <v/>
      </c>
      <c r="FK32">
        <f>IF(FK$4=1,IF(OR(INDEX('×入力'!$A$1:$L$1300,623+FK$3,2+FK$2)&lt;&gt;"",INDEX('×入力'!$A$1:$L$1300,622,2+FK$2)&lt;&gt;"",INDEX('×入力'!$A$1:$L$1300,623+FK$3,1)&lt;&gt;""),1,0),0)</f>
        <v/>
      </c>
      <c r="FL32">
        <f>IF(FL$4=1,IF(OR(INDEX('×入力'!$A$1:$L$1300,623+FL$3,2+FL$2)&lt;&gt;"",INDEX('×入力'!$A$1:$L$1300,622,2+FL$2)&lt;&gt;"",INDEX('×入力'!$A$1:$L$1300,623+FL$3,1)&lt;&gt;""),1,0),0)</f>
        <v/>
      </c>
      <c r="FM32">
        <f>IF(FM$4=1,IF(OR(INDEX('×入力'!$A$1:$L$1300,623+FM$3,2+FM$2)&lt;&gt;"",INDEX('×入力'!$A$1:$L$1300,622,2+FM$2)&lt;&gt;"",INDEX('×入力'!$A$1:$L$1300,623+FM$3,1)&lt;&gt;""),1,0),0)</f>
        <v/>
      </c>
      <c r="FN32">
        <f>IF(FN$4=1,IF(OR(INDEX('×入力'!$A$1:$L$1300,623+FN$3,2+FN$2)&lt;&gt;"",INDEX('×入力'!$A$1:$L$1300,622,2+FN$2)&lt;&gt;"",INDEX('×入力'!$A$1:$L$1300,623+FN$3,1)&lt;&gt;""),1,0),0)</f>
        <v/>
      </c>
      <c r="FO32">
        <f>IF(FO$4=1,IF(OR(INDEX('×入力'!$A$1:$L$1300,623+FO$3,2+FO$2)&lt;&gt;"",INDEX('×入力'!$A$1:$L$1300,622,2+FO$2)&lt;&gt;"",INDEX('×入力'!$A$1:$L$1300,623+FO$3,1)&lt;&gt;""),1,0),0)</f>
        <v/>
      </c>
      <c r="FP32">
        <f>IF(FP$4=1,IF(OR(INDEX('×入力'!$A$1:$L$1300,623+FP$3,2+FP$2)&lt;&gt;"",INDEX('×入力'!$A$1:$L$1300,622,2+FP$2)&lt;&gt;"",INDEX('×入力'!$A$1:$L$1300,623+FP$3,1)&lt;&gt;""),1,0),0)</f>
        <v/>
      </c>
      <c r="FQ32">
        <f>IF(FQ$4=1,IF(OR(INDEX('×入力'!$A$1:$L$1300,623+FQ$3,2+FQ$2)&lt;&gt;"",INDEX('×入力'!$A$1:$L$1300,622,2+FQ$2)&lt;&gt;"",INDEX('×入力'!$A$1:$L$1300,623+FQ$3,1)&lt;&gt;""),1,0),0)</f>
        <v/>
      </c>
      <c r="FR32">
        <f>IF(FR$4=1,IF(OR(INDEX('×入力'!$A$1:$L$1300,623+FR$3,2+FR$2)&lt;&gt;"",INDEX('×入力'!$A$1:$L$1300,622,2+FR$2)&lt;&gt;"",INDEX('×入力'!$A$1:$L$1300,623+FR$3,1)&lt;&gt;""),1,0),0)</f>
        <v/>
      </c>
      <c r="FS32">
        <f>IF(FS$4=1,IF(OR(INDEX('×入力'!$A$1:$L$1300,623+FS$3,2+FS$2)&lt;&gt;"",INDEX('×入力'!$A$1:$L$1300,622,2+FS$2)&lt;&gt;"",INDEX('×入力'!$A$1:$L$1300,623+FS$3,1)&lt;&gt;""),1,0),0)</f>
        <v/>
      </c>
      <c r="FT32">
        <f>IF(FT$4=1,IF(OR(INDEX('×入力'!$A$1:$L$1300,623+FT$3,2+FT$2)&lt;&gt;"",INDEX('×入力'!$A$1:$L$1300,622,2+FT$2)&lt;&gt;"",INDEX('×入力'!$A$1:$L$1300,623+FT$3,1)&lt;&gt;""),1,0),0)</f>
        <v/>
      </c>
      <c r="FU32">
        <f>IF(FU$4=1,IF(OR(INDEX('×入力'!$A$1:$L$1300,623+FU$3,2+FU$2)&lt;&gt;"",INDEX('×入力'!$A$1:$L$1300,622,2+FU$2)&lt;&gt;"",INDEX('×入力'!$A$1:$L$1300,623+FU$3,1)&lt;&gt;""),1,0),0)</f>
        <v/>
      </c>
      <c r="FV32">
        <f>IF(FV$4=1,IF(OR(INDEX('×入力'!$A$1:$L$1300,623+FV$3,2+FV$2)&lt;&gt;"",INDEX('×入力'!$A$1:$L$1300,622,2+FV$2)&lt;&gt;"",INDEX('×入力'!$A$1:$L$1300,623+FV$3,1)&lt;&gt;""),1,0),0)</f>
        <v/>
      </c>
      <c r="FW32">
        <f>IF(FW$4=1,IF(OR(INDEX('×入力'!$A$1:$L$1300,623+FW$3,2+FW$2)&lt;&gt;"",INDEX('×入力'!$A$1:$L$1300,622,2+FW$2)&lt;&gt;"",INDEX('×入力'!$A$1:$L$1300,623+FW$3,1)&lt;&gt;""),1,0),0)</f>
        <v/>
      </c>
      <c r="FX32">
        <f>IF(FX$4=1,IF(OR(INDEX('×入力'!$A$1:$L$1300,623+FX$3,2+FX$2)&lt;&gt;"",INDEX('×入力'!$A$1:$L$1300,622,2+FX$2)&lt;&gt;"",INDEX('×入力'!$A$1:$L$1300,623+FX$3,1)&lt;&gt;""),1,0),0)</f>
        <v/>
      </c>
      <c r="FY32">
        <f>IF(FY$4=1,IF(OR(INDEX('×入力'!$A$1:$L$1300,623+FY$3,2+FY$2)&lt;&gt;"",INDEX('×入力'!$A$1:$L$1300,622,2+FY$2)&lt;&gt;"",INDEX('×入力'!$A$1:$L$1300,623+FY$3,1)&lt;&gt;""),1,0),0)</f>
        <v/>
      </c>
      <c r="FZ32">
        <f>IF(FZ$4=1,IF(OR(INDEX('×入力'!$A$1:$L$1300,623+FZ$3,2+FZ$2)&lt;&gt;"",INDEX('×入力'!$A$1:$L$1300,622,2+FZ$2)&lt;&gt;"",INDEX('×入力'!$A$1:$L$1300,623+FZ$3,1)&lt;&gt;""),1,0),0)</f>
        <v/>
      </c>
      <c r="GA32">
        <f>IF(GA$4=1,IF(OR(INDEX('×入力'!$A$1:$L$1300,623+GA$3,2+GA$2)&lt;&gt;"",INDEX('×入力'!$A$1:$L$1300,622,2+GA$2)&lt;&gt;"",INDEX('×入力'!$A$1:$L$1300,623+GA$3,1)&lt;&gt;""),1,0),0)</f>
        <v/>
      </c>
      <c r="GB32">
        <f>IF(GB$4=1,IF(OR(INDEX('×入力'!$A$1:$L$1300,623+GB$3,2+GB$2)&lt;&gt;"",INDEX('×入力'!$A$1:$L$1300,622,2+GB$2)&lt;&gt;"",INDEX('×入力'!$A$1:$L$1300,623+GB$3,1)&lt;&gt;""),1,0),0)</f>
        <v/>
      </c>
      <c r="GC32">
        <f>IF(GC$4=1,IF(OR(INDEX('×入力'!$A$1:$L$1300,623+GC$3,2+GC$2)&lt;&gt;"",INDEX('×入力'!$A$1:$L$1300,622,2+GC$2)&lt;&gt;"",INDEX('×入力'!$A$1:$L$1300,623+GC$3,1)&lt;&gt;""),1,0),0)</f>
        <v/>
      </c>
      <c r="GD32">
        <f>IF(GD$4=1,IF(OR(INDEX('×入力'!$A$1:$L$1300,623+GD$3,2+GD$2)&lt;&gt;"",INDEX('×入力'!$A$1:$L$1300,622,2+GD$2)&lt;&gt;"",INDEX('×入力'!$A$1:$L$1300,623+GD$3,1)&lt;&gt;""),1,0),0)</f>
        <v/>
      </c>
      <c r="GE32">
        <f>IF(GE$4=1,IF(OR(INDEX('×入力'!$A$1:$L$1300,623+GE$3,2+GE$2)&lt;&gt;"",INDEX('×入力'!$A$1:$L$1300,622,2+GE$2)&lt;&gt;"",INDEX('×入力'!$A$1:$L$1300,623+GE$3,1)&lt;&gt;""),1,0),0)</f>
        <v/>
      </c>
      <c r="GF32">
        <f>IF(GF$4=1,IF(OR(INDEX('×入力'!$A$1:$L$1300,623+GF$3,2+GF$2)&lt;&gt;"",INDEX('×入力'!$A$1:$L$1300,622,2+GF$2)&lt;&gt;"",INDEX('×入力'!$A$1:$L$1300,623+GF$3,1)&lt;&gt;""),1,0),0)</f>
        <v/>
      </c>
      <c r="GG32">
        <f>IF(GG$4=1,IF(OR(INDEX('×入力'!$A$1:$L$1300,623+GG$3,2+GG$2)&lt;&gt;"",INDEX('×入力'!$A$1:$L$1300,622,2+GG$2)&lt;&gt;"",INDEX('×入力'!$A$1:$L$1300,623+GG$3,1)&lt;&gt;""),1,0),0)</f>
        <v/>
      </c>
      <c r="GH32">
        <f>IF(GH$4=1,IF(OR(INDEX('×入力'!$A$1:$L$1300,623+GH$3,2+GH$2)&lt;&gt;"",INDEX('×入力'!$A$1:$L$1300,622,2+GH$2)&lt;&gt;"",INDEX('×入力'!$A$1:$L$1300,623+GH$3,1)&lt;&gt;""),1,0),0)</f>
        <v/>
      </c>
      <c r="GI32">
        <f>IF(GI$4=1,IF(OR(INDEX('×入力'!$A$1:$L$1300,623+GI$3,2+GI$2)&lt;&gt;"",INDEX('×入力'!$A$1:$L$1300,622,2+GI$2)&lt;&gt;"",INDEX('×入力'!$A$1:$L$1300,623+GI$3,1)&lt;&gt;""),1,0),0)</f>
        <v/>
      </c>
      <c r="GJ32">
        <f>IF(GJ$4=1,IF(OR(INDEX('×入力'!$A$1:$L$1300,623+GJ$3,2+GJ$2)&lt;&gt;"",INDEX('×入力'!$A$1:$L$1300,622,2+GJ$2)&lt;&gt;"",INDEX('×入力'!$A$1:$L$1300,623+GJ$3,1)&lt;&gt;""),1,0),0)</f>
        <v/>
      </c>
      <c r="GK32">
        <f>IF(GK$4=1,IF(OR(INDEX('×入力'!$A$1:$L$1300,623+GK$3,2+GK$2)&lt;&gt;"",INDEX('×入力'!$A$1:$L$1300,622,2+GK$2)&lt;&gt;"",INDEX('×入力'!$A$1:$L$1300,623+GK$3,1)&lt;&gt;""),1,0),0)</f>
        <v/>
      </c>
      <c r="GL32">
        <f>IF(GL$4=1,IF(OR(INDEX('×入力'!$A$1:$L$1300,623+GL$3,2+GL$2)&lt;&gt;"",INDEX('×入力'!$A$1:$L$1300,622,2+GL$2)&lt;&gt;"",INDEX('×入力'!$A$1:$L$1300,623+GL$3,1)&lt;&gt;""),1,0),0)</f>
        <v/>
      </c>
      <c r="GM32">
        <f>IF(GM$4=1,IF(OR(INDEX('×入力'!$A$1:$L$1300,623+GM$3,2+GM$2)&lt;&gt;"",INDEX('×入力'!$A$1:$L$1300,622,2+GM$2)&lt;&gt;"",INDEX('×入力'!$A$1:$L$1300,623+GM$3,1)&lt;&gt;""),1,0),0)</f>
        <v/>
      </c>
      <c r="GN32">
        <f>IF(GN$4=1,IF(OR(INDEX('×入力'!$A$1:$L$1300,623+GN$3,2+GN$2)&lt;&gt;"",INDEX('×入力'!$A$1:$L$1300,622,2+GN$2)&lt;&gt;"",INDEX('×入力'!$A$1:$L$1300,623+GN$3,1)&lt;&gt;""),1,0),0)</f>
        <v/>
      </c>
      <c r="GO32">
        <f>IF(GO$4=1,IF(OR(INDEX('×入力'!$A$1:$L$1300,623+GO$3,2+GO$2)&lt;&gt;"",INDEX('×入力'!$A$1:$L$1300,622,2+GO$2)&lt;&gt;"",INDEX('×入力'!$A$1:$L$1300,623+GO$3,1)&lt;&gt;""),1,0),0)</f>
        <v/>
      </c>
      <c r="GP32">
        <f>IF(GP$4=1,IF(OR(INDEX('×入力'!$A$1:$L$1300,623+GP$3,2+GP$2)&lt;&gt;"",INDEX('×入力'!$A$1:$L$1300,622,2+GP$2)&lt;&gt;"",INDEX('×入力'!$A$1:$L$1300,623+GP$3,1)&lt;&gt;""),1,0),0)</f>
        <v/>
      </c>
      <c r="GQ32">
        <f>IF(GQ$4=1,IF(OR(INDEX('×入力'!$A$1:$L$1300,623+GQ$3,2+GQ$2)&lt;&gt;"",INDEX('×入力'!$A$1:$L$1300,622,2+GQ$2)&lt;&gt;"",INDEX('×入力'!$A$1:$L$1300,623+GQ$3,1)&lt;&gt;""),1,0),0)</f>
        <v/>
      </c>
      <c r="GR32">
        <f>IF(GR$4=1,IF(OR(INDEX('×入力'!$A$1:$L$1300,623+GR$3,2+GR$2)&lt;&gt;"",INDEX('×入力'!$A$1:$L$1300,622,2+GR$2)&lt;&gt;"",INDEX('×入力'!$A$1:$L$1300,623+GR$3,1)&lt;&gt;""),1,0),0)</f>
        <v/>
      </c>
      <c r="GS32">
        <f>IF(GS$4=1,IF(OR(INDEX('×入力'!$A$1:$L$1300,623+GS$3,2+GS$2)&lt;&gt;"",INDEX('×入力'!$A$1:$L$1300,622,2+GS$2)&lt;&gt;"",INDEX('×入力'!$A$1:$L$1300,623+GS$3,1)&lt;&gt;""),1,0),0)</f>
        <v/>
      </c>
      <c r="GT32">
        <f>IF(GT$4=1,IF(OR(INDEX('×入力'!$A$1:$L$1300,623+GT$3,2+GT$2)&lt;&gt;"",INDEX('×入力'!$A$1:$L$1300,622,2+GT$2)&lt;&gt;"",INDEX('×入力'!$A$1:$L$1300,623+GT$3,1)&lt;&gt;""),1,0),0)</f>
        <v/>
      </c>
      <c r="GU32">
        <f>IF(GU$4=1,IF(OR(INDEX('×入力'!$A$1:$L$1300,623+GU$3,2+GU$2)&lt;&gt;"",INDEX('×入力'!$A$1:$L$1300,622,2+GU$2)&lt;&gt;"",INDEX('×入力'!$A$1:$L$1300,623+GU$3,1)&lt;&gt;""),1,0),0)</f>
        <v/>
      </c>
      <c r="GV32">
        <f>IF(GV$4=1,IF(OR(INDEX('×入力'!$A$1:$L$1300,623+GV$3,2+GV$2)&lt;&gt;"",INDEX('×入力'!$A$1:$L$1300,622,2+GV$2)&lt;&gt;"",INDEX('×入力'!$A$1:$L$1300,623+GV$3,1)&lt;&gt;""),1,0),0)</f>
        <v/>
      </c>
      <c r="GW32">
        <f>IF(GW$4=1,IF(OR(INDEX('×入力'!$A$1:$L$1300,623+GW$3,2+GW$2)&lt;&gt;"",INDEX('×入力'!$A$1:$L$1300,622,2+GW$2)&lt;&gt;"",INDEX('×入力'!$A$1:$L$1300,623+GW$3,1)&lt;&gt;""),1,0),0)</f>
        <v/>
      </c>
      <c r="GX32">
        <f>IF(GX$4=1,IF(OR(INDEX('×入力'!$A$1:$L$1300,623+GX$3,2+GX$2)&lt;&gt;"",INDEX('×入力'!$A$1:$L$1300,622,2+GX$2)&lt;&gt;"",INDEX('×入力'!$A$1:$L$1300,623+GX$3,1)&lt;&gt;""),1,0),0)</f>
        <v/>
      </c>
      <c r="GY32">
        <f>IF(GY$4=1,IF(OR(INDEX('×入力'!$A$1:$L$1300,623+GY$3,2+GY$2)&lt;&gt;"",INDEX('×入力'!$A$1:$L$1300,622,2+GY$2)&lt;&gt;"",INDEX('×入力'!$A$1:$L$1300,623+GY$3,1)&lt;&gt;""),1,0),0)</f>
        <v/>
      </c>
      <c r="GZ32">
        <f>IF(GZ$4=1,IF(OR(INDEX('×入力'!$A$1:$L$1300,623+GZ$3,2+GZ$2)&lt;&gt;"",INDEX('×入力'!$A$1:$L$1300,622,2+GZ$2)&lt;&gt;"",INDEX('×入力'!$A$1:$L$1300,623+GZ$3,1)&lt;&gt;""),1,0),0)</f>
        <v/>
      </c>
      <c r="HA32">
        <f>IF(HA$4=1,IF(OR(INDEX('×入力'!$A$1:$L$1300,623+HA$3,2+HA$2)&lt;&gt;"",INDEX('×入力'!$A$1:$L$1300,622,2+HA$2)&lt;&gt;"",INDEX('×入力'!$A$1:$L$1300,623+HA$3,1)&lt;&gt;""),1,0),0)</f>
        <v/>
      </c>
      <c r="HB32">
        <f>IF(HB$4=1,IF(OR(INDEX('×入力'!$A$1:$L$1300,623+HB$3,2+HB$2)&lt;&gt;"",INDEX('×入力'!$A$1:$L$1300,622,2+HB$2)&lt;&gt;"",INDEX('×入力'!$A$1:$L$1300,623+HB$3,1)&lt;&gt;""),1,0),0)</f>
        <v/>
      </c>
      <c r="HC32">
        <f>IF(HC$4=1,IF(OR(INDEX('×入力'!$A$1:$L$1300,623+HC$3,2+HC$2)&lt;&gt;"",INDEX('×入力'!$A$1:$L$1300,622,2+HC$2)&lt;&gt;"",INDEX('×入力'!$A$1:$L$1300,623+HC$3,1)&lt;&gt;""),1,0),0)</f>
        <v/>
      </c>
      <c r="HD32">
        <f>IF(HD$4=1,IF(OR(INDEX('×入力'!$A$1:$L$1300,623+HD$3,2+HD$2)&lt;&gt;"",INDEX('×入力'!$A$1:$L$1300,622,2+HD$2)&lt;&gt;"",INDEX('×入力'!$A$1:$L$1300,623+HD$3,1)&lt;&gt;""),1,0),0)</f>
        <v/>
      </c>
      <c r="HE32">
        <f>IF(HE$4=1,IF(OR(INDEX('×入力'!$A$1:$L$1300,623+HE$3,2+HE$2)&lt;&gt;"",INDEX('×入力'!$A$1:$L$1300,622,2+HE$2)&lt;&gt;"",INDEX('×入力'!$A$1:$L$1300,623+HE$3,1)&lt;&gt;""),1,0),0)</f>
        <v/>
      </c>
      <c r="HF32">
        <f>IF(HF$4=1,IF(OR(INDEX('×入力'!$A$1:$L$1300,623+HF$3,2+HF$2)&lt;&gt;"",INDEX('×入力'!$A$1:$L$1300,622,2+HF$2)&lt;&gt;"",INDEX('×入力'!$A$1:$L$1300,623+HF$3,1)&lt;&gt;""),1,0),0)</f>
        <v/>
      </c>
      <c r="HG32">
        <f>IF(HG$4=1,IF(OR(INDEX('×入力'!$A$1:$L$1300,623+HG$3,2+HG$2)&lt;&gt;"",INDEX('×入力'!$A$1:$L$1300,622,2+HG$2)&lt;&gt;"",INDEX('×入力'!$A$1:$L$1300,623+HG$3,1)&lt;&gt;""),1,0),0)</f>
        <v/>
      </c>
      <c r="HH32">
        <f>IF(HH$4=1,IF(OR(INDEX('×入力'!$A$1:$L$1300,623+HH$3,2+HH$2)&lt;&gt;"",INDEX('×入力'!$A$1:$L$1300,622,2+HH$2)&lt;&gt;"",INDEX('×入力'!$A$1:$L$1300,623+HH$3,1)&lt;&gt;""),1,0),0)</f>
        <v/>
      </c>
      <c r="HI32">
        <f>IF(HI$4=1,IF(OR(INDEX('×入力'!$A$1:$L$1300,623+HI$3,2+HI$2)&lt;&gt;"",INDEX('×入力'!$A$1:$L$1300,622,2+HI$2)&lt;&gt;"",INDEX('×入力'!$A$1:$L$1300,623+HI$3,1)&lt;&gt;""),1,0),0)</f>
        <v/>
      </c>
      <c r="HJ32">
        <f>IF(HJ$4=1,IF(OR(INDEX('×入力'!$A$1:$L$1300,623+HJ$3,2+HJ$2)&lt;&gt;"",INDEX('×入力'!$A$1:$L$1300,622,2+HJ$2)&lt;&gt;"",INDEX('×入力'!$A$1:$L$1300,623+HJ$3,1)&lt;&gt;""),1,0),0)</f>
        <v/>
      </c>
      <c r="HK32">
        <f>IF(HK$4=1,IF(OR(INDEX('×入力'!$A$1:$L$1300,623+HK$3,2+HK$2)&lt;&gt;"",INDEX('×入力'!$A$1:$L$1300,622,2+HK$2)&lt;&gt;"",INDEX('×入力'!$A$1:$L$1300,623+HK$3,1)&lt;&gt;""),1,0),0)</f>
        <v/>
      </c>
      <c r="HL32">
        <f>IF(HL$4=1,IF(OR(INDEX('×入力'!$A$1:$L$1300,623+HL$3,2+HL$2)&lt;&gt;"",INDEX('×入力'!$A$1:$L$1300,622,2+HL$2)&lt;&gt;"",INDEX('×入力'!$A$1:$L$1300,623+HL$3,1)&lt;&gt;""),1,0),0)</f>
        <v/>
      </c>
      <c r="HM32">
        <f>IF(HM$4=1,IF(OR(INDEX('×入力'!$A$1:$L$1300,623+HM$3,2+HM$2)&lt;&gt;"",INDEX('×入力'!$A$1:$L$1300,622,2+HM$2)&lt;&gt;"",INDEX('×入力'!$A$1:$L$1300,623+HM$3,1)&lt;&gt;""),1,0),0)</f>
        <v/>
      </c>
      <c r="HN32">
        <f>IF(HN$4=1,IF(OR(INDEX('×入力'!$A$1:$L$1300,623+HN$3,2+HN$2)&lt;&gt;"",INDEX('×入力'!$A$1:$L$1300,622,2+HN$2)&lt;&gt;"",INDEX('×入力'!$A$1:$L$1300,623+HN$3,1)&lt;&gt;""),1,0),0)</f>
        <v/>
      </c>
      <c r="HO32">
        <f>IF(HO$4=1,IF(OR(INDEX('×入力'!$A$1:$L$1300,623+HO$3,2+HO$2)&lt;&gt;"",INDEX('×入力'!$A$1:$L$1300,622,2+HO$2)&lt;&gt;"",INDEX('×入力'!$A$1:$L$1300,623+HO$3,1)&lt;&gt;""),1,0),0)</f>
        <v/>
      </c>
      <c r="HP32">
        <f>IF(HP$4=1,IF(OR(INDEX('×入力'!$A$1:$L$1300,623+HP$3,2+HP$2)&lt;&gt;"",INDEX('×入力'!$A$1:$L$1300,622,2+HP$2)&lt;&gt;"",INDEX('×入力'!$A$1:$L$1300,623+HP$3,1)&lt;&gt;""),1,0),0)</f>
        <v/>
      </c>
      <c r="HQ32">
        <f>IF(HQ$4=1,IF(OR(INDEX('×入力'!$A$1:$L$1300,623+HQ$3,2+HQ$2)&lt;&gt;"",INDEX('×入力'!$A$1:$L$1300,622,2+HQ$2)&lt;&gt;"",INDEX('×入力'!$A$1:$L$1300,623+HQ$3,1)&lt;&gt;""),1,0),0)</f>
        <v/>
      </c>
      <c r="HR32">
        <f>IF(HR$4=1,IF(OR(INDEX('×入力'!$A$1:$L$1300,623+HR$3,2+HR$2)&lt;&gt;"",INDEX('×入力'!$A$1:$L$1300,622,2+HR$2)&lt;&gt;"",INDEX('×入力'!$A$1:$L$1300,623+HR$3,1)&lt;&gt;""),1,0),0)</f>
        <v/>
      </c>
      <c r="HS32">
        <f>IF(HS$4=1,IF(OR(INDEX('×入力'!$A$1:$L$1300,623+HS$3,2+HS$2)&lt;&gt;"",INDEX('×入力'!$A$1:$L$1300,622,2+HS$2)&lt;&gt;"",INDEX('×入力'!$A$1:$L$1300,623+HS$3,1)&lt;&gt;""),1,0),0)</f>
        <v/>
      </c>
      <c r="HT32">
        <f>IF(HT$4=1,IF(OR(INDEX('×入力'!$A$1:$L$1300,623+HT$3,2+HT$2)&lt;&gt;"",INDEX('×入力'!$A$1:$L$1300,622,2+HT$2)&lt;&gt;"",INDEX('×入力'!$A$1:$L$1300,623+HT$3,1)&lt;&gt;""),1,0),0)</f>
        <v/>
      </c>
      <c r="HU32">
        <f>IF(HU$4=1,IF(OR(INDEX('×入力'!$A$1:$L$1300,623+HU$3,2+HU$2)&lt;&gt;"",INDEX('×入力'!$A$1:$L$1300,622,2+HU$2)&lt;&gt;"",INDEX('×入力'!$A$1:$L$1300,623+HU$3,1)&lt;&gt;""),1,0),0)</f>
        <v/>
      </c>
      <c r="HV32">
        <f>IF(HV$4=1,IF(OR(INDEX('×入力'!$A$1:$L$1300,623+HV$3,2+HV$2)&lt;&gt;"",INDEX('×入力'!$A$1:$L$1300,622,2+HV$2)&lt;&gt;"",INDEX('×入力'!$A$1:$L$1300,623+HV$3,1)&lt;&gt;""),1,0),0)</f>
        <v/>
      </c>
      <c r="HW32">
        <f>IF(HW$4=1,IF(OR(INDEX('×入力'!$A$1:$L$1300,623+HW$3,2+HW$2)&lt;&gt;"",INDEX('×入力'!$A$1:$L$1300,622,2+HW$2)&lt;&gt;"",INDEX('×入力'!$A$1:$L$1300,623+HW$3,1)&lt;&gt;""),1,0),0)</f>
        <v/>
      </c>
      <c r="HX32">
        <f>IF(HX$4=1,IF(OR(INDEX('×入力'!$A$1:$L$1300,623+HX$3,2+HX$2)&lt;&gt;"",INDEX('×入力'!$A$1:$L$1300,622,2+HX$2)&lt;&gt;"",INDEX('×入力'!$A$1:$L$1300,623+HX$3,1)&lt;&gt;""),1,0),0)</f>
        <v/>
      </c>
      <c r="HY32">
        <f>IF(HY$4=1,IF(OR(INDEX('×入力'!$A$1:$L$1300,623+HY$3,2+HY$2)&lt;&gt;"",INDEX('×入力'!$A$1:$L$1300,622,2+HY$2)&lt;&gt;"",INDEX('×入力'!$A$1:$L$1300,623+HY$3,1)&lt;&gt;""),1,0),0)</f>
        <v/>
      </c>
      <c r="HZ32">
        <f>IF(HZ$4=1,IF(OR(INDEX('×入力'!$A$1:$L$1300,623+HZ$3,2+HZ$2)&lt;&gt;"",INDEX('×入力'!$A$1:$L$1300,622,2+HZ$2)&lt;&gt;"",INDEX('×入力'!$A$1:$L$1300,623+HZ$3,1)&lt;&gt;""),1,0),0)</f>
        <v/>
      </c>
      <c r="IA32">
        <f>IF(IA$4=1,IF(OR(INDEX('×入力'!$A$1:$L$1300,623+IA$3,2+IA$2)&lt;&gt;"",INDEX('×入力'!$A$1:$L$1300,622,2+IA$2)&lt;&gt;"",INDEX('×入力'!$A$1:$L$1300,623+IA$3,1)&lt;&gt;""),1,0),0)</f>
        <v/>
      </c>
      <c r="IB32">
        <f>IF(IB$4=1,IF(OR(INDEX('×入力'!$A$1:$L$1300,623+IB$3,2+IB$2)&lt;&gt;"",INDEX('×入力'!$A$1:$L$1300,622,2+IB$2)&lt;&gt;"",INDEX('×入力'!$A$1:$L$1300,623+IB$3,1)&lt;&gt;""),1,0),0)</f>
        <v/>
      </c>
      <c r="IC32">
        <f>IF(IC$4=1,IF(OR(INDEX('×入力'!$A$1:$L$1300,623+IC$3,2+IC$2)&lt;&gt;"",INDEX('×入力'!$A$1:$L$1300,622,2+IC$2)&lt;&gt;"",INDEX('×入力'!$A$1:$L$1300,623+IC$3,1)&lt;&gt;""),1,0),0)</f>
        <v/>
      </c>
      <c r="ID32">
        <f>IF(ID$4=1,IF(OR(INDEX('×入力'!$A$1:$L$1300,623+ID$3,2+ID$2)&lt;&gt;"",INDEX('×入力'!$A$1:$L$1300,622,2+ID$2)&lt;&gt;"",INDEX('×入力'!$A$1:$L$1300,623+ID$3,1)&lt;&gt;""),1,0),0)</f>
        <v/>
      </c>
      <c r="IE32">
        <f>IF(IE$4=1,IF(OR(INDEX('×入力'!$A$1:$L$1300,623+IE$3,2+IE$2)&lt;&gt;"",INDEX('×入力'!$A$1:$L$1300,622,2+IE$2)&lt;&gt;"",INDEX('×入力'!$A$1:$L$1300,623+IE$3,1)&lt;&gt;""),1,0),0)</f>
        <v/>
      </c>
      <c r="IF32">
        <f>IF(IF$4=1,IF(OR(INDEX('×入力'!$A$1:$L$1300,623+IF$3,2+IF$2)&lt;&gt;"",INDEX('×入力'!$A$1:$L$1300,622,2+IF$2)&lt;&gt;"",INDEX('×入力'!$A$1:$L$1300,623+IF$3,1)&lt;&gt;""),1,0),0)</f>
        <v/>
      </c>
      <c r="IG32">
        <f>IF(IG$4=1,IF(OR(INDEX('×入力'!$A$1:$L$1300,623+IG$3,2+IG$2)&lt;&gt;"",INDEX('×入力'!$A$1:$L$1300,622,2+IG$2)&lt;&gt;"",INDEX('×入力'!$A$1:$L$1300,623+IG$3,1)&lt;&gt;""),1,0),0)</f>
        <v/>
      </c>
      <c r="IH32">
        <f>IF(IH$4=1,IF(OR(INDEX('×入力'!$A$1:$L$1300,623+IH$3,2+IH$2)&lt;&gt;"",INDEX('×入力'!$A$1:$L$1300,622,2+IH$2)&lt;&gt;"",INDEX('×入力'!$A$1:$L$1300,623+IH$3,1)&lt;&gt;""),1,0),0)</f>
        <v/>
      </c>
      <c r="II32">
        <f>IF(II$4=1,IF(OR(INDEX('×入力'!$A$1:$L$1300,623+II$3,2+II$2)&lt;&gt;"",INDEX('×入力'!$A$1:$L$1300,622,2+II$2)&lt;&gt;"",INDEX('×入力'!$A$1:$L$1300,623+II$3,1)&lt;&gt;""),1,0),0)</f>
        <v/>
      </c>
      <c r="IK32">
        <f>IFERROR(INDEX('計算B'!$C$3:$C$47,MATCH(A32,'計算B'!$B$3:$B$47,0)),0)</f>
        <v/>
      </c>
      <c r="IL32">
        <f>IF(AND(C32=1,IK32=0),1,0)</f>
        <v/>
      </c>
      <c r="IM32">
        <f>SUMPRODUCT(D82:II82*(1-$D$7:$II$7))</f>
        <v/>
      </c>
      <c r="IN32">
        <f>SUM(D32:II32)</f>
        <v/>
      </c>
      <c r="IO32">
        <f>IF(B32="",0,IF(COUNTIF('調整・決定'!$C$6:$L$29,B32)=1,SUMPRODUCT(('調整・決定'!$C$6:$L$29=B32)*((COLUMN('調整・決定'!$C$6:$L$29)-3)*24+ROW('調整・決定'!$C$6:$L$29)-5)),0))</f>
        <v/>
      </c>
      <c r="IP32">
        <f>IFERROR(MATCH('名簿'!E27,{"早い時刻","遅い時刻","早い日","遅い日"},0),0)</f>
        <v/>
      </c>
      <c r="IQ32">
        <f>IF('名簿'!F27="必ず空けたい",2,IF('名簿'!F27="出来れば空けたい",1,0))</f>
        <v/>
      </c>
    </row>
    <row r="33">
      <c r="A33" t="n">
        <v>24</v>
      </c>
      <c r="B33">
        <f>'名簿'!G28</f>
        <v/>
      </c>
      <c r="C33">
        <f>IF(AND(B33&lt;&gt;"",OR('名簿'!H28="入力済み",'名簿'!H28="×なし"),IO33=0,COUNTIF('調整・決定'!$C$6:$L$29,B33)=0),1,0)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ER33">
        <f>IF(ER$4=1,IF(OR(INDEX('×入力'!$A$1:$L$1300,651+ER$3,2+ER$2)&lt;&gt;"",INDEX('×入力'!$A$1:$L$1300,650,2+ER$2)&lt;&gt;"",INDEX('×入力'!$A$1:$L$1300,651+ER$3,1)&lt;&gt;""),1,0),0)</f>
        <v/>
      </c>
      <c r="ES33">
        <f>IF(ES$4=1,IF(OR(INDEX('×入力'!$A$1:$L$1300,651+ES$3,2+ES$2)&lt;&gt;"",INDEX('×入力'!$A$1:$L$1300,650,2+ES$2)&lt;&gt;"",INDEX('×入力'!$A$1:$L$1300,651+ES$3,1)&lt;&gt;""),1,0),0)</f>
        <v/>
      </c>
      <c r="ET33">
        <f>IF(ET$4=1,IF(OR(INDEX('×入力'!$A$1:$L$1300,651+ET$3,2+ET$2)&lt;&gt;"",INDEX('×入力'!$A$1:$L$1300,650,2+ET$2)&lt;&gt;"",INDEX('×入力'!$A$1:$L$1300,651+ET$3,1)&lt;&gt;""),1,0),0)</f>
        <v/>
      </c>
      <c r="EU33">
        <f>IF(EU$4=1,IF(OR(INDEX('×入力'!$A$1:$L$1300,651+EU$3,2+EU$2)&lt;&gt;"",INDEX('×入力'!$A$1:$L$1300,650,2+EU$2)&lt;&gt;"",INDEX('×入力'!$A$1:$L$1300,651+EU$3,1)&lt;&gt;""),1,0),0)</f>
        <v/>
      </c>
      <c r="EV33">
        <f>IF(EV$4=1,IF(OR(INDEX('×入力'!$A$1:$L$1300,651+EV$3,2+EV$2)&lt;&gt;"",INDEX('×入力'!$A$1:$L$1300,650,2+EV$2)&lt;&gt;"",INDEX('×入力'!$A$1:$L$1300,651+EV$3,1)&lt;&gt;""),1,0),0)</f>
        <v/>
      </c>
      <c r="EW33">
        <f>IF(EW$4=1,IF(OR(INDEX('×入力'!$A$1:$L$1300,651+EW$3,2+EW$2)&lt;&gt;"",INDEX('×入力'!$A$1:$L$1300,650,2+EW$2)&lt;&gt;"",INDEX('×入力'!$A$1:$L$1300,651+EW$3,1)&lt;&gt;""),1,0),0)</f>
        <v/>
      </c>
      <c r="EX33">
        <f>IF(EX$4=1,IF(OR(INDEX('×入力'!$A$1:$L$1300,651+EX$3,2+EX$2)&lt;&gt;"",INDEX('×入力'!$A$1:$L$1300,650,2+EX$2)&lt;&gt;"",INDEX('×入力'!$A$1:$L$1300,651+EX$3,1)&lt;&gt;""),1,0),0)</f>
        <v/>
      </c>
      <c r="EY33">
        <f>IF(EY$4=1,IF(OR(INDEX('×入力'!$A$1:$L$1300,651+EY$3,2+EY$2)&lt;&gt;"",INDEX('×入力'!$A$1:$L$1300,650,2+EY$2)&lt;&gt;"",INDEX('×入力'!$A$1:$L$1300,651+EY$3,1)&lt;&gt;""),1,0),0)</f>
        <v/>
      </c>
      <c r="EZ33">
        <f>IF(EZ$4=1,IF(OR(INDEX('×入力'!$A$1:$L$1300,651+EZ$3,2+EZ$2)&lt;&gt;"",INDEX('×入力'!$A$1:$L$1300,650,2+EZ$2)&lt;&gt;"",INDEX('×入力'!$A$1:$L$1300,651+EZ$3,1)&lt;&gt;""),1,0),0)</f>
        <v/>
      </c>
      <c r="FA33">
        <f>IF(FA$4=1,IF(OR(INDEX('×入力'!$A$1:$L$1300,651+FA$3,2+FA$2)&lt;&gt;"",INDEX('×入力'!$A$1:$L$1300,650,2+FA$2)&lt;&gt;"",INDEX('×入力'!$A$1:$L$1300,651+FA$3,1)&lt;&gt;""),1,0),0)</f>
        <v/>
      </c>
      <c r="FB33">
        <f>IF(FB$4=1,IF(OR(INDEX('×入力'!$A$1:$L$1300,651+FB$3,2+FB$2)&lt;&gt;"",INDEX('×入力'!$A$1:$L$1300,650,2+FB$2)&lt;&gt;"",INDEX('×入力'!$A$1:$L$1300,651+FB$3,1)&lt;&gt;""),1,0),0)</f>
        <v/>
      </c>
      <c r="FC33">
        <f>IF(FC$4=1,IF(OR(INDEX('×入力'!$A$1:$L$1300,651+FC$3,2+FC$2)&lt;&gt;"",INDEX('×入力'!$A$1:$L$1300,650,2+FC$2)&lt;&gt;"",INDEX('×入力'!$A$1:$L$1300,651+FC$3,1)&lt;&gt;""),1,0),0)</f>
        <v/>
      </c>
      <c r="FD33">
        <f>IF(FD$4=1,IF(OR(INDEX('×入力'!$A$1:$L$1300,651+FD$3,2+FD$2)&lt;&gt;"",INDEX('×入力'!$A$1:$L$1300,650,2+FD$2)&lt;&gt;"",INDEX('×入力'!$A$1:$L$1300,651+FD$3,1)&lt;&gt;""),1,0),0)</f>
        <v/>
      </c>
      <c r="FE33">
        <f>IF(FE$4=1,IF(OR(INDEX('×入力'!$A$1:$L$1300,651+FE$3,2+FE$2)&lt;&gt;"",INDEX('×入力'!$A$1:$L$1300,650,2+FE$2)&lt;&gt;"",INDEX('×入力'!$A$1:$L$1300,651+FE$3,1)&lt;&gt;""),1,0),0)</f>
        <v/>
      </c>
      <c r="FF33">
        <f>IF(FF$4=1,IF(OR(INDEX('×入力'!$A$1:$L$1300,651+FF$3,2+FF$2)&lt;&gt;"",INDEX('×入力'!$A$1:$L$1300,650,2+FF$2)&lt;&gt;"",INDEX('×入力'!$A$1:$L$1300,651+FF$3,1)&lt;&gt;""),1,0),0)</f>
        <v/>
      </c>
      <c r="FG33">
        <f>IF(FG$4=1,IF(OR(INDEX('×入力'!$A$1:$L$1300,651+FG$3,2+FG$2)&lt;&gt;"",INDEX('×入力'!$A$1:$L$1300,650,2+FG$2)&lt;&gt;"",INDEX('×入力'!$A$1:$L$1300,651+FG$3,1)&lt;&gt;""),1,0),0)</f>
        <v/>
      </c>
      <c r="FH33">
        <f>IF(FH$4=1,IF(OR(INDEX('×入力'!$A$1:$L$1300,651+FH$3,2+FH$2)&lt;&gt;"",INDEX('×入力'!$A$1:$L$1300,650,2+FH$2)&lt;&gt;"",INDEX('×入力'!$A$1:$L$1300,651+FH$3,1)&lt;&gt;""),1,0),0)</f>
        <v/>
      </c>
      <c r="FI33">
        <f>IF(FI$4=1,IF(OR(INDEX('×入力'!$A$1:$L$1300,651+FI$3,2+FI$2)&lt;&gt;"",INDEX('×入力'!$A$1:$L$1300,650,2+FI$2)&lt;&gt;"",INDEX('×入力'!$A$1:$L$1300,651+FI$3,1)&lt;&gt;""),1,0),0)</f>
        <v/>
      </c>
      <c r="FJ33">
        <f>IF(FJ$4=1,IF(OR(INDEX('×入力'!$A$1:$L$1300,651+FJ$3,2+FJ$2)&lt;&gt;"",INDEX('×入力'!$A$1:$L$1300,650,2+FJ$2)&lt;&gt;"",INDEX('×入力'!$A$1:$L$1300,651+FJ$3,1)&lt;&gt;""),1,0),0)</f>
        <v/>
      </c>
      <c r="FK33">
        <f>IF(FK$4=1,IF(OR(INDEX('×入力'!$A$1:$L$1300,651+FK$3,2+FK$2)&lt;&gt;"",INDEX('×入力'!$A$1:$L$1300,650,2+FK$2)&lt;&gt;"",INDEX('×入力'!$A$1:$L$1300,651+FK$3,1)&lt;&gt;""),1,0),0)</f>
        <v/>
      </c>
      <c r="FL33">
        <f>IF(FL$4=1,IF(OR(INDEX('×入力'!$A$1:$L$1300,651+FL$3,2+FL$2)&lt;&gt;"",INDEX('×入力'!$A$1:$L$1300,650,2+FL$2)&lt;&gt;"",INDEX('×入力'!$A$1:$L$1300,651+FL$3,1)&lt;&gt;""),1,0),0)</f>
        <v/>
      </c>
      <c r="FM33">
        <f>IF(FM$4=1,IF(OR(INDEX('×入力'!$A$1:$L$1300,651+FM$3,2+FM$2)&lt;&gt;"",INDEX('×入力'!$A$1:$L$1300,650,2+FM$2)&lt;&gt;"",INDEX('×入力'!$A$1:$L$1300,651+FM$3,1)&lt;&gt;""),1,0),0)</f>
        <v/>
      </c>
      <c r="FN33">
        <f>IF(FN$4=1,IF(OR(INDEX('×入力'!$A$1:$L$1300,651+FN$3,2+FN$2)&lt;&gt;"",INDEX('×入力'!$A$1:$L$1300,650,2+FN$2)&lt;&gt;"",INDEX('×入力'!$A$1:$L$1300,651+FN$3,1)&lt;&gt;""),1,0),0)</f>
        <v/>
      </c>
      <c r="FO33">
        <f>IF(FO$4=1,IF(OR(INDEX('×入力'!$A$1:$L$1300,651+FO$3,2+FO$2)&lt;&gt;"",INDEX('×入力'!$A$1:$L$1300,650,2+FO$2)&lt;&gt;"",INDEX('×入力'!$A$1:$L$1300,651+FO$3,1)&lt;&gt;""),1,0),0)</f>
        <v/>
      </c>
      <c r="FP33">
        <f>IF(FP$4=1,IF(OR(INDEX('×入力'!$A$1:$L$1300,651+FP$3,2+FP$2)&lt;&gt;"",INDEX('×入力'!$A$1:$L$1300,650,2+FP$2)&lt;&gt;"",INDEX('×入力'!$A$1:$L$1300,651+FP$3,1)&lt;&gt;""),1,0),0)</f>
        <v/>
      </c>
      <c r="FQ33">
        <f>IF(FQ$4=1,IF(OR(INDEX('×入力'!$A$1:$L$1300,651+FQ$3,2+FQ$2)&lt;&gt;"",INDEX('×入力'!$A$1:$L$1300,650,2+FQ$2)&lt;&gt;"",INDEX('×入力'!$A$1:$L$1300,651+FQ$3,1)&lt;&gt;""),1,0),0)</f>
        <v/>
      </c>
      <c r="FR33">
        <f>IF(FR$4=1,IF(OR(INDEX('×入力'!$A$1:$L$1300,651+FR$3,2+FR$2)&lt;&gt;"",INDEX('×入力'!$A$1:$L$1300,650,2+FR$2)&lt;&gt;"",INDEX('×入力'!$A$1:$L$1300,651+FR$3,1)&lt;&gt;""),1,0),0)</f>
        <v/>
      </c>
      <c r="FS33">
        <f>IF(FS$4=1,IF(OR(INDEX('×入力'!$A$1:$L$1300,651+FS$3,2+FS$2)&lt;&gt;"",INDEX('×入力'!$A$1:$L$1300,650,2+FS$2)&lt;&gt;"",INDEX('×入力'!$A$1:$L$1300,651+FS$3,1)&lt;&gt;""),1,0),0)</f>
        <v/>
      </c>
      <c r="FT33">
        <f>IF(FT$4=1,IF(OR(INDEX('×入力'!$A$1:$L$1300,651+FT$3,2+FT$2)&lt;&gt;"",INDEX('×入力'!$A$1:$L$1300,650,2+FT$2)&lt;&gt;"",INDEX('×入力'!$A$1:$L$1300,651+FT$3,1)&lt;&gt;""),1,0),0)</f>
        <v/>
      </c>
      <c r="FU33">
        <f>IF(FU$4=1,IF(OR(INDEX('×入力'!$A$1:$L$1300,651+FU$3,2+FU$2)&lt;&gt;"",INDEX('×入力'!$A$1:$L$1300,650,2+FU$2)&lt;&gt;"",INDEX('×入力'!$A$1:$L$1300,651+FU$3,1)&lt;&gt;""),1,0),0)</f>
        <v/>
      </c>
      <c r="FV33">
        <f>IF(FV$4=1,IF(OR(INDEX('×入力'!$A$1:$L$1300,651+FV$3,2+FV$2)&lt;&gt;"",INDEX('×入力'!$A$1:$L$1300,650,2+FV$2)&lt;&gt;"",INDEX('×入力'!$A$1:$L$1300,651+FV$3,1)&lt;&gt;""),1,0),0)</f>
        <v/>
      </c>
      <c r="FW33">
        <f>IF(FW$4=1,IF(OR(INDEX('×入力'!$A$1:$L$1300,651+FW$3,2+FW$2)&lt;&gt;"",INDEX('×入力'!$A$1:$L$1300,650,2+FW$2)&lt;&gt;"",INDEX('×入力'!$A$1:$L$1300,651+FW$3,1)&lt;&gt;""),1,0),0)</f>
        <v/>
      </c>
      <c r="FX33">
        <f>IF(FX$4=1,IF(OR(INDEX('×入力'!$A$1:$L$1300,651+FX$3,2+FX$2)&lt;&gt;"",INDEX('×入力'!$A$1:$L$1300,650,2+FX$2)&lt;&gt;"",INDEX('×入力'!$A$1:$L$1300,651+FX$3,1)&lt;&gt;""),1,0),0)</f>
        <v/>
      </c>
      <c r="FY33">
        <f>IF(FY$4=1,IF(OR(INDEX('×入力'!$A$1:$L$1300,651+FY$3,2+FY$2)&lt;&gt;"",INDEX('×入力'!$A$1:$L$1300,650,2+FY$2)&lt;&gt;"",INDEX('×入力'!$A$1:$L$1300,651+FY$3,1)&lt;&gt;""),1,0),0)</f>
        <v/>
      </c>
      <c r="FZ33">
        <f>IF(FZ$4=1,IF(OR(INDEX('×入力'!$A$1:$L$1300,651+FZ$3,2+FZ$2)&lt;&gt;"",INDEX('×入力'!$A$1:$L$1300,650,2+FZ$2)&lt;&gt;"",INDEX('×入力'!$A$1:$L$1300,651+FZ$3,1)&lt;&gt;""),1,0),0)</f>
        <v/>
      </c>
      <c r="GA33">
        <f>IF(GA$4=1,IF(OR(INDEX('×入力'!$A$1:$L$1300,651+GA$3,2+GA$2)&lt;&gt;"",INDEX('×入力'!$A$1:$L$1300,650,2+GA$2)&lt;&gt;"",INDEX('×入力'!$A$1:$L$1300,651+GA$3,1)&lt;&gt;""),1,0),0)</f>
        <v/>
      </c>
      <c r="GB33">
        <f>IF(GB$4=1,IF(OR(INDEX('×入力'!$A$1:$L$1300,651+GB$3,2+GB$2)&lt;&gt;"",INDEX('×入力'!$A$1:$L$1300,650,2+GB$2)&lt;&gt;"",INDEX('×入力'!$A$1:$L$1300,651+GB$3,1)&lt;&gt;""),1,0),0)</f>
        <v/>
      </c>
      <c r="GC33">
        <f>IF(GC$4=1,IF(OR(INDEX('×入力'!$A$1:$L$1300,651+GC$3,2+GC$2)&lt;&gt;"",INDEX('×入力'!$A$1:$L$1300,650,2+GC$2)&lt;&gt;"",INDEX('×入力'!$A$1:$L$1300,651+GC$3,1)&lt;&gt;""),1,0),0)</f>
        <v/>
      </c>
      <c r="GD33">
        <f>IF(GD$4=1,IF(OR(INDEX('×入力'!$A$1:$L$1300,651+GD$3,2+GD$2)&lt;&gt;"",INDEX('×入力'!$A$1:$L$1300,650,2+GD$2)&lt;&gt;"",INDEX('×入力'!$A$1:$L$1300,651+GD$3,1)&lt;&gt;""),1,0),0)</f>
        <v/>
      </c>
      <c r="GE33">
        <f>IF(GE$4=1,IF(OR(INDEX('×入力'!$A$1:$L$1300,651+GE$3,2+GE$2)&lt;&gt;"",INDEX('×入力'!$A$1:$L$1300,650,2+GE$2)&lt;&gt;"",INDEX('×入力'!$A$1:$L$1300,651+GE$3,1)&lt;&gt;""),1,0),0)</f>
        <v/>
      </c>
      <c r="GF33">
        <f>IF(GF$4=1,IF(OR(INDEX('×入力'!$A$1:$L$1300,651+GF$3,2+GF$2)&lt;&gt;"",INDEX('×入力'!$A$1:$L$1300,650,2+GF$2)&lt;&gt;"",INDEX('×入力'!$A$1:$L$1300,651+GF$3,1)&lt;&gt;""),1,0),0)</f>
        <v/>
      </c>
      <c r="GG33">
        <f>IF(GG$4=1,IF(OR(INDEX('×入力'!$A$1:$L$1300,651+GG$3,2+GG$2)&lt;&gt;"",INDEX('×入力'!$A$1:$L$1300,650,2+GG$2)&lt;&gt;"",INDEX('×入力'!$A$1:$L$1300,651+GG$3,1)&lt;&gt;""),1,0),0)</f>
        <v/>
      </c>
      <c r="GH33">
        <f>IF(GH$4=1,IF(OR(INDEX('×入力'!$A$1:$L$1300,651+GH$3,2+GH$2)&lt;&gt;"",INDEX('×入力'!$A$1:$L$1300,650,2+GH$2)&lt;&gt;"",INDEX('×入力'!$A$1:$L$1300,651+GH$3,1)&lt;&gt;""),1,0),0)</f>
        <v/>
      </c>
      <c r="GI33">
        <f>IF(GI$4=1,IF(OR(INDEX('×入力'!$A$1:$L$1300,651+GI$3,2+GI$2)&lt;&gt;"",INDEX('×入力'!$A$1:$L$1300,650,2+GI$2)&lt;&gt;"",INDEX('×入力'!$A$1:$L$1300,651+GI$3,1)&lt;&gt;""),1,0),0)</f>
        <v/>
      </c>
      <c r="GJ33">
        <f>IF(GJ$4=1,IF(OR(INDEX('×入力'!$A$1:$L$1300,651+GJ$3,2+GJ$2)&lt;&gt;"",INDEX('×入力'!$A$1:$L$1300,650,2+GJ$2)&lt;&gt;"",INDEX('×入力'!$A$1:$L$1300,651+GJ$3,1)&lt;&gt;""),1,0),0)</f>
        <v/>
      </c>
      <c r="GK33">
        <f>IF(GK$4=1,IF(OR(INDEX('×入力'!$A$1:$L$1300,651+GK$3,2+GK$2)&lt;&gt;"",INDEX('×入力'!$A$1:$L$1300,650,2+GK$2)&lt;&gt;"",INDEX('×入力'!$A$1:$L$1300,651+GK$3,1)&lt;&gt;""),1,0),0)</f>
        <v/>
      </c>
      <c r="GL33">
        <f>IF(GL$4=1,IF(OR(INDEX('×入力'!$A$1:$L$1300,651+GL$3,2+GL$2)&lt;&gt;"",INDEX('×入力'!$A$1:$L$1300,650,2+GL$2)&lt;&gt;"",INDEX('×入力'!$A$1:$L$1300,651+GL$3,1)&lt;&gt;""),1,0),0)</f>
        <v/>
      </c>
      <c r="GM33">
        <f>IF(GM$4=1,IF(OR(INDEX('×入力'!$A$1:$L$1300,651+GM$3,2+GM$2)&lt;&gt;"",INDEX('×入力'!$A$1:$L$1300,650,2+GM$2)&lt;&gt;"",INDEX('×入力'!$A$1:$L$1300,651+GM$3,1)&lt;&gt;""),1,0),0)</f>
        <v/>
      </c>
      <c r="GN33">
        <f>IF(GN$4=1,IF(OR(INDEX('×入力'!$A$1:$L$1300,651+GN$3,2+GN$2)&lt;&gt;"",INDEX('×入力'!$A$1:$L$1300,650,2+GN$2)&lt;&gt;"",INDEX('×入力'!$A$1:$L$1300,651+GN$3,1)&lt;&gt;""),1,0),0)</f>
        <v/>
      </c>
      <c r="GO33">
        <f>IF(GO$4=1,IF(OR(INDEX('×入力'!$A$1:$L$1300,651+GO$3,2+GO$2)&lt;&gt;"",INDEX('×入力'!$A$1:$L$1300,650,2+GO$2)&lt;&gt;"",INDEX('×入力'!$A$1:$L$1300,651+GO$3,1)&lt;&gt;""),1,0),0)</f>
        <v/>
      </c>
      <c r="GP33">
        <f>IF(GP$4=1,IF(OR(INDEX('×入力'!$A$1:$L$1300,651+GP$3,2+GP$2)&lt;&gt;"",INDEX('×入力'!$A$1:$L$1300,650,2+GP$2)&lt;&gt;"",INDEX('×入力'!$A$1:$L$1300,651+GP$3,1)&lt;&gt;""),1,0),0)</f>
        <v/>
      </c>
      <c r="GQ33">
        <f>IF(GQ$4=1,IF(OR(INDEX('×入力'!$A$1:$L$1300,651+GQ$3,2+GQ$2)&lt;&gt;"",INDEX('×入力'!$A$1:$L$1300,650,2+GQ$2)&lt;&gt;"",INDEX('×入力'!$A$1:$L$1300,651+GQ$3,1)&lt;&gt;""),1,0),0)</f>
        <v/>
      </c>
      <c r="GR33">
        <f>IF(GR$4=1,IF(OR(INDEX('×入力'!$A$1:$L$1300,651+GR$3,2+GR$2)&lt;&gt;"",INDEX('×入力'!$A$1:$L$1300,650,2+GR$2)&lt;&gt;"",INDEX('×入力'!$A$1:$L$1300,651+GR$3,1)&lt;&gt;""),1,0),0)</f>
        <v/>
      </c>
      <c r="GS33">
        <f>IF(GS$4=1,IF(OR(INDEX('×入力'!$A$1:$L$1300,651+GS$3,2+GS$2)&lt;&gt;"",INDEX('×入力'!$A$1:$L$1300,650,2+GS$2)&lt;&gt;"",INDEX('×入力'!$A$1:$L$1300,651+GS$3,1)&lt;&gt;""),1,0),0)</f>
        <v/>
      </c>
      <c r="GT33">
        <f>IF(GT$4=1,IF(OR(INDEX('×入力'!$A$1:$L$1300,651+GT$3,2+GT$2)&lt;&gt;"",INDEX('×入力'!$A$1:$L$1300,650,2+GT$2)&lt;&gt;"",INDEX('×入力'!$A$1:$L$1300,651+GT$3,1)&lt;&gt;""),1,0),0)</f>
        <v/>
      </c>
      <c r="GU33">
        <f>IF(GU$4=1,IF(OR(INDEX('×入力'!$A$1:$L$1300,651+GU$3,2+GU$2)&lt;&gt;"",INDEX('×入力'!$A$1:$L$1300,650,2+GU$2)&lt;&gt;"",INDEX('×入力'!$A$1:$L$1300,651+GU$3,1)&lt;&gt;""),1,0),0)</f>
        <v/>
      </c>
      <c r="GV33">
        <f>IF(GV$4=1,IF(OR(INDEX('×入力'!$A$1:$L$1300,651+GV$3,2+GV$2)&lt;&gt;"",INDEX('×入力'!$A$1:$L$1300,650,2+GV$2)&lt;&gt;"",INDEX('×入力'!$A$1:$L$1300,651+GV$3,1)&lt;&gt;""),1,0),0)</f>
        <v/>
      </c>
      <c r="GW33">
        <f>IF(GW$4=1,IF(OR(INDEX('×入力'!$A$1:$L$1300,651+GW$3,2+GW$2)&lt;&gt;"",INDEX('×入力'!$A$1:$L$1300,650,2+GW$2)&lt;&gt;"",INDEX('×入力'!$A$1:$L$1300,651+GW$3,1)&lt;&gt;""),1,0),0)</f>
        <v/>
      </c>
      <c r="GX33">
        <f>IF(GX$4=1,IF(OR(INDEX('×入力'!$A$1:$L$1300,651+GX$3,2+GX$2)&lt;&gt;"",INDEX('×入力'!$A$1:$L$1300,650,2+GX$2)&lt;&gt;"",INDEX('×入力'!$A$1:$L$1300,651+GX$3,1)&lt;&gt;""),1,0),0)</f>
        <v/>
      </c>
      <c r="GY33">
        <f>IF(GY$4=1,IF(OR(INDEX('×入力'!$A$1:$L$1300,651+GY$3,2+GY$2)&lt;&gt;"",INDEX('×入力'!$A$1:$L$1300,650,2+GY$2)&lt;&gt;"",INDEX('×入力'!$A$1:$L$1300,651+GY$3,1)&lt;&gt;""),1,0),0)</f>
        <v/>
      </c>
      <c r="GZ33">
        <f>IF(GZ$4=1,IF(OR(INDEX('×入力'!$A$1:$L$1300,651+GZ$3,2+GZ$2)&lt;&gt;"",INDEX('×入力'!$A$1:$L$1300,650,2+GZ$2)&lt;&gt;"",INDEX('×入力'!$A$1:$L$1300,651+GZ$3,1)&lt;&gt;""),1,0),0)</f>
        <v/>
      </c>
      <c r="HA33">
        <f>IF(HA$4=1,IF(OR(INDEX('×入力'!$A$1:$L$1300,651+HA$3,2+HA$2)&lt;&gt;"",INDEX('×入力'!$A$1:$L$1300,650,2+HA$2)&lt;&gt;"",INDEX('×入力'!$A$1:$L$1300,651+HA$3,1)&lt;&gt;""),1,0),0)</f>
        <v/>
      </c>
      <c r="HB33">
        <f>IF(HB$4=1,IF(OR(INDEX('×入力'!$A$1:$L$1300,651+HB$3,2+HB$2)&lt;&gt;"",INDEX('×入力'!$A$1:$L$1300,650,2+HB$2)&lt;&gt;"",INDEX('×入力'!$A$1:$L$1300,651+HB$3,1)&lt;&gt;""),1,0),0)</f>
        <v/>
      </c>
      <c r="HC33">
        <f>IF(HC$4=1,IF(OR(INDEX('×入力'!$A$1:$L$1300,651+HC$3,2+HC$2)&lt;&gt;"",INDEX('×入力'!$A$1:$L$1300,650,2+HC$2)&lt;&gt;"",INDEX('×入力'!$A$1:$L$1300,651+HC$3,1)&lt;&gt;""),1,0),0)</f>
        <v/>
      </c>
      <c r="HD33">
        <f>IF(HD$4=1,IF(OR(INDEX('×入力'!$A$1:$L$1300,651+HD$3,2+HD$2)&lt;&gt;"",INDEX('×入力'!$A$1:$L$1300,650,2+HD$2)&lt;&gt;"",INDEX('×入力'!$A$1:$L$1300,651+HD$3,1)&lt;&gt;""),1,0),0)</f>
        <v/>
      </c>
      <c r="HE33">
        <f>IF(HE$4=1,IF(OR(INDEX('×入力'!$A$1:$L$1300,651+HE$3,2+HE$2)&lt;&gt;"",INDEX('×入力'!$A$1:$L$1300,650,2+HE$2)&lt;&gt;"",INDEX('×入力'!$A$1:$L$1300,651+HE$3,1)&lt;&gt;""),1,0),0)</f>
        <v/>
      </c>
      <c r="HF33">
        <f>IF(HF$4=1,IF(OR(INDEX('×入力'!$A$1:$L$1300,651+HF$3,2+HF$2)&lt;&gt;"",INDEX('×入力'!$A$1:$L$1300,650,2+HF$2)&lt;&gt;"",INDEX('×入力'!$A$1:$L$1300,651+HF$3,1)&lt;&gt;""),1,0),0)</f>
        <v/>
      </c>
      <c r="HG33">
        <f>IF(HG$4=1,IF(OR(INDEX('×入力'!$A$1:$L$1300,651+HG$3,2+HG$2)&lt;&gt;"",INDEX('×入力'!$A$1:$L$1300,650,2+HG$2)&lt;&gt;"",INDEX('×入力'!$A$1:$L$1300,651+HG$3,1)&lt;&gt;""),1,0),0)</f>
        <v/>
      </c>
      <c r="HH33">
        <f>IF(HH$4=1,IF(OR(INDEX('×入力'!$A$1:$L$1300,651+HH$3,2+HH$2)&lt;&gt;"",INDEX('×入力'!$A$1:$L$1300,650,2+HH$2)&lt;&gt;"",INDEX('×入力'!$A$1:$L$1300,651+HH$3,1)&lt;&gt;""),1,0),0)</f>
        <v/>
      </c>
      <c r="HI33">
        <f>IF(HI$4=1,IF(OR(INDEX('×入力'!$A$1:$L$1300,651+HI$3,2+HI$2)&lt;&gt;"",INDEX('×入力'!$A$1:$L$1300,650,2+HI$2)&lt;&gt;"",INDEX('×入力'!$A$1:$L$1300,651+HI$3,1)&lt;&gt;""),1,0),0)</f>
        <v/>
      </c>
      <c r="HJ33">
        <f>IF(HJ$4=1,IF(OR(INDEX('×入力'!$A$1:$L$1300,651+HJ$3,2+HJ$2)&lt;&gt;"",INDEX('×入力'!$A$1:$L$1300,650,2+HJ$2)&lt;&gt;"",INDEX('×入力'!$A$1:$L$1300,651+HJ$3,1)&lt;&gt;""),1,0),0)</f>
        <v/>
      </c>
      <c r="HK33">
        <f>IF(HK$4=1,IF(OR(INDEX('×入力'!$A$1:$L$1300,651+HK$3,2+HK$2)&lt;&gt;"",INDEX('×入力'!$A$1:$L$1300,650,2+HK$2)&lt;&gt;"",INDEX('×入力'!$A$1:$L$1300,651+HK$3,1)&lt;&gt;""),1,0),0)</f>
        <v/>
      </c>
      <c r="HL33">
        <f>IF(HL$4=1,IF(OR(INDEX('×入力'!$A$1:$L$1300,651+HL$3,2+HL$2)&lt;&gt;"",INDEX('×入力'!$A$1:$L$1300,650,2+HL$2)&lt;&gt;"",INDEX('×入力'!$A$1:$L$1300,651+HL$3,1)&lt;&gt;""),1,0),0)</f>
        <v/>
      </c>
      <c r="HM33">
        <f>IF(HM$4=1,IF(OR(INDEX('×入力'!$A$1:$L$1300,651+HM$3,2+HM$2)&lt;&gt;"",INDEX('×入力'!$A$1:$L$1300,650,2+HM$2)&lt;&gt;"",INDEX('×入力'!$A$1:$L$1300,651+HM$3,1)&lt;&gt;""),1,0),0)</f>
        <v/>
      </c>
      <c r="HN33">
        <f>IF(HN$4=1,IF(OR(INDEX('×入力'!$A$1:$L$1300,651+HN$3,2+HN$2)&lt;&gt;"",INDEX('×入力'!$A$1:$L$1300,650,2+HN$2)&lt;&gt;"",INDEX('×入力'!$A$1:$L$1300,651+HN$3,1)&lt;&gt;""),1,0),0)</f>
        <v/>
      </c>
      <c r="HO33">
        <f>IF(HO$4=1,IF(OR(INDEX('×入力'!$A$1:$L$1300,651+HO$3,2+HO$2)&lt;&gt;"",INDEX('×入力'!$A$1:$L$1300,650,2+HO$2)&lt;&gt;"",INDEX('×入力'!$A$1:$L$1300,651+HO$3,1)&lt;&gt;""),1,0),0)</f>
        <v/>
      </c>
      <c r="HP33">
        <f>IF(HP$4=1,IF(OR(INDEX('×入力'!$A$1:$L$1300,651+HP$3,2+HP$2)&lt;&gt;"",INDEX('×入力'!$A$1:$L$1300,650,2+HP$2)&lt;&gt;"",INDEX('×入力'!$A$1:$L$1300,651+HP$3,1)&lt;&gt;""),1,0),0)</f>
        <v/>
      </c>
      <c r="HQ33">
        <f>IF(HQ$4=1,IF(OR(INDEX('×入力'!$A$1:$L$1300,651+HQ$3,2+HQ$2)&lt;&gt;"",INDEX('×入力'!$A$1:$L$1300,650,2+HQ$2)&lt;&gt;"",INDEX('×入力'!$A$1:$L$1300,651+HQ$3,1)&lt;&gt;""),1,0),0)</f>
        <v/>
      </c>
      <c r="HR33">
        <f>IF(HR$4=1,IF(OR(INDEX('×入力'!$A$1:$L$1300,651+HR$3,2+HR$2)&lt;&gt;"",INDEX('×入力'!$A$1:$L$1300,650,2+HR$2)&lt;&gt;"",INDEX('×入力'!$A$1:$L$1300,651+HR$3,1)&lt;&gt;""),1,0),0)</f>
        <v/>
      </c>
      <c r="HS33">
        <f>IF(HS$4=1,IF(OR(INDEX('×入力'!$A$1:$L$1300,651+HS$3,2+HS$2)&lt;&gt;"",INDEX('×入力'!$A$1:$L$1300,650,2+HS$2)&lt;&gt;"",INDEX('×入力'!$A$1:$L$1300,651+HS$3,1)&lt;&gt;""),1,0),0)</f>
        <v/>
      </c>
      <c r="HT33">
        <f>IF(HT$4=1,IF(OR(INDEX('×入力'!$A$1:$L$1300,651+HT$3,2+HT$2)&lt;&gt;"",INDEX('×入力'!$A$1:$L$1300,650,2+HT$2)&lt;&gt;"",INDEX('×入力'!$A$1:$L$1300,651+HT$3,1)&lt;&gt;""),1,0),0)</f>
        <v/>
      </c>
      <c r="HU33">
        <f>IF(HU$4=1,IF(OR(INDEX('×入力'!$A$1:$L$1300,651+HU$3,2+HU$2)&lt;&gt;"",INDEX('×入力'!$A$1:$L$1300,650,2+HU$2)&lt;&gt;"",INDEX('×入力'!$A$1:$L$1300,651+HU$3,1)&lt;&gt;""),1,0),0)</f>
        <v/>
      </c>
      <c r="HV33">
        <f>IF(HV$4=1,IF(OR(INDEX('×入力'!$A$1:$L$1300,651+HV$3,2+HV$2)&lt;&gt;"",INDEX('×入力'!$A$1:$L$1300,650,2+HV$2)&lt;&gt;"",INDEX('×入力'!$A$1:$L$1300,651+HV$3,1)&lt;&gt;""),1,0),0)</f>
        <v/>
      </c>
      <c r="HW33">
        <f>IF(HW$4=1,IF(OR(INDEX('×入力'!$A$1:$L$1300,651+HW$3,2+HW$2)&lt;&gt;"",INDEX('×入力'!$A$1:$L$1300,650,2+HW$2)&lt;&gt;"",INDEX('×入力'!$A$1:$L$1300,651+HW$3,1)&lt;&gt;""),1,0),0)</f>
        <v/>
      </c>
      <c r="HX33">
        <f>IF(HX$4=1,IF(OR(INDEX('×入力'!$A$1:$L$1300,651+HX$3,2+HX$2)&lt;&gt;"",INDEX('×入力'!$A$1:$L$1300,650,2+HX$2)&lt;&gt;"",INDEX('×入力'!$A$1:$L$1300,651+HX$3,1)&lt;&gt;""),1,0),0)</f>
        <v/>
      </c>
      <c r="HY33">
        <f>IF(HY$4=1,IF(OR(INDEX('×入力'!$A$1:$L$1300,651+HY$3,2+HY$2)&lt;&gt;"",INDEX('×入力'!$A$1:$L$1300,650,2+HY$2)&lt;&gt;"",INDEX('×入力'!$A$1:$L$1300,651+HY$3,1)&lt;&gt;""),1,0),0)</f>
        <v/>
      </c>
      <c r="HZ33">
        <f>IF(HZ$4=1,IF(OR(INDEX('×入力'!$A$1:$L$1300,651+HZ$3,2+HZ$2)&lt;&gt;"",INDEX('×入力'!$A$1:$L$1300,650,2+HZ$2)&lt;&gt;"",INDEX('×入力'!$A$1:$L$1300,651+HZ$3,1)&lt;&gt;""),1,0),0)</f>
        <v/>
      </c>
      <c r="IA33">
        <f>IF(IA$4=1,IF(OR(INDEX('×入力'!$A$1:$L$1300,651+IA$3,2+IA$2)&lt;&gt;"",INDEX('×入力'!$A$1:$L$1300,650,2+IA$2)&lt;&gt;"",INDEX('×入力'!$A$1:$L$1300,651+IA$3,1)&lt;&gt;""),1,0),0)</f>
        <v/>
      </c>
      <c r="IB33">
        <f>IF(IB$4=1,IF(OR(INDEX('×入力'!$A$1:$L$1300,651+IB$3,2+IB$2)&lt;&gt;"",INDEX('×入力'!$A$1:$L$1300,650,2+IB$2)&lt;&gt;"",INDEX('×入力'!$A$1:$L$1300,651+IB$3,1)&lt;&gt;""),1,0),0)</f>
        <v/>
      </c>
      <c r="IC33">
        <f>IF(IC$4=1,IF(OR(INDEX('×入力'!$A$1:$L$1300,651+IC$3,2+IC$2)&lt;&gt;"",INDEX('×入力'!$A$1:$L$1300,650,2+IC$2)&lt;&gt;"",INDEX('×入力'!$A$1:$L$1300,651+IC$3,1)&lt;&gt;""),1,0),0)</f>
        <v/>
      </c>
      <c r="ID33">
        <f>IF(ID$4=1,IF(OR(INDEX('×入力'!$A$1:$L$1300,651+ID$3,2+ID$2)&lt;&gt;"",INDEX('×入力'!$A$1:$L$1300,650,2+ID$2)&lt;&gt;"",INDEX('×入力'!$A$1:$L$1300,651+ID$3,1)&lt;&gt;""),1,0),0)</f>
        <v/>
      </c>
      <c r="IE33">
        <f>IF(IE$4=1,IF(OR(INDEX('×入力'!$A$1:$L$1300,651+IE$3,2+IE$2)&lt;&gt;"",INDEX('×入力'!$A$1:$L$1300,650,2+IE$2)&lt;&gt;"",INDEX('×入力'!$A$1:$L$1300,651+IE$3,1)&lt;&gt;""),1,0),0)</f>
        <v/>
      </c>
      <c r="IF33">
        <f>IF(IF$4=1,IF(OR(INDEX('×入力'!$A$1:$L$1300,651+IF$3,2+IF$2)&lt;&gt;"",INDEX('×入力'!$A$1:$L$1300,650,2+IF$2)&lt;&gt;"",INDEX('×入力'!$A$1:$L$1300,651+IF$3,1)&lt;&gt;""),1,0),0)</f>
        <v/>
      </c>
      <c r="IG33">
        <f>IF(IG$4=1,IF(OR(INDEX('×入力'!$A$1:$L$1300,651+IG$3,2+IG$2)&lt;&gt;"",INDEX('×入力'!$A$1:$L$1300,650,2+IG$2)&lt;&gt;"",INDEX('×入力'!$A$1:$L$1300,651+IG$3,1)&lt;&gt;""),1,0),0)</f>
        <v/>
      </c>
      <c r="IH33">
        <f>IF(IH$4=1,IF(OR(INDEX('×入力'!$A$1:$L$1300,651+IH$3,2+IH$2)&lt;&gt;"",INDEX('×入力'!$A$1:$L$1300,650,2+IH$2)&lt;&gt;"",INDEX('×入力'!$A$1:$L$1300,651+IH$3,1)&lt;&gt;""),1,0),0)</f>
        <v/>
      </c>
      <c r="II33">
        <f>IF(II$4=1,IF(OR(INDEX('×入力'!$A$1:$L$1300,651+II$3,2+II$2)&lt;&gt;"",INDEX('×入力'!$A$1:$L$1300,650,2+II$2)&lt;&gt;"",INDEX('×入力'!$A$1:$L$1300,651+II$3,1)&lt;&gt;""),1,0),0)</f>
        <v/>
      </c>
      <c r="IK33">
        <f>IFERROR(INDEX('計算B'!$C$3:$C$47,MATCH(A33,'計算B'!$B$3:$B$47,0)),0)</f>
        <v/>
      </c>
      <c r="IL33">
        <f>IF(AND(C33=1,IK33=0),1,0)</f>
        <v/>
      </c>
      <c r="IM33">
        <f>SUMPRODUCT(D83:II83*(1-$D$7:$II$7))</f>
        <v/>
      </c>
      <c r="IN33">
        <f>SUM(D33:II33)</f>
        <v/>
      </c>
      <c r="IO33">
        <f>IF(B33="",0,IF(COUNTIF('調整・決定'!$C$6:$L$29,B33)=1,SUMPRODUCT(('調整・決定'!$C$6:$L$29=B33)*((COLUMN('調整・決定'!$C$6:$L$29)-3)*24+ROW('調整・決定'!$C$6:$L$29)-5)),0))</f>
        <v/>
      </c>
      <c r="IP33">
        <f>IFERROR(MATCH('名簿'!E28,{"早い時刻","遅い時刻","早い日","遅い日"},0),0)</f>
        <v/>
      </c>
      <c r="IQ33">
        <f>IF('名簿'!F28="必ず空けたい",2,IF('名簿'!F28="出来れば空けたい",1,0))</f>
        <v/>
      </c>
    </row>
    <row r="34">
      <c r="A34" t="n">
        <v>25</v>
      </c>
      <c r="B34">
        <f>'名簿'!G29</f>
        <v/>
      </c>
      <c r="C34">
        <f>IF(AND(B34&lt;&gt;"",OR('名簿'!H29="入力済み",'名簿'!H29="×なし"),IO34=0,COUNTIF('調整・決定'!$C$6:$L$29,B34)=0),1,0)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ER34">
        <f>IF(ER$4=1,IF(OR(INDEX('×入力'!$A$1:$L$1300,679+ER$3,2+ER$2)&lt;&gt;"",INDEX('×入力'!$A$1:$L$1300,678,2+ER$2)&lt;&gt;"",INDEX('×入力'!$A$1:$L$1300,679+ER$3,1)&lt;&gt;""),1,0),0)</f>
        <v/>
      </c>
      <c r="ES34">
        <f>IF(ES$4=1,IF(OR(INDEX('×入力'!$A$1:$L$1300,679+ES$3,2+ES$2)&lt;&gt;"",INDEX('×入力'!$A$1:$L$1300,678,2+ES$2)&lt;&gt;"",INDEX('×入力'!$A$1:$L$1300,679+ES$3,1)&lt;&gt;""),1,0),0)</f>
        <v/>
      </c>
      <c r="ET34">
        <f>IF(ET$4=1,IF(OR(INDEX('×入力'!$A$1:$L$1300,679+ET$3,2+ET$2)&lt;&gt;"",INDEX('×入力'!$A$1:$L$1300,678,2+ET$2)&lt;&gt;"",INDEX('×入力'!$A$1:$L$1300,679+ET$3,1)&lt;&gt;""),1,0),0)</f>
        <v/>
      </c>
      <c r="EU34">
        <f>IF(EU$4=1,IF(OR(INDEX('×入力'!$A$1:$L$1300,679+EU$3,2+EU$2)&lt;&gt;"",INDEX('×入力'!$A$1:$L$1300,678,2+EU$2)&lt;&gt;"",INDEX('×入力'!$A$1:$L$1300,679+EU$3,1)&lt;&gt;""),1,0),0)</f>
        <v/>
      </c>
      <c r="EV34">
        <f>IF(EV$4=1,IF(OR(INDEX('×入力'!$A$1:$L$1300,679+EV$3,2+EV$2)&lt;&gt;"",INDEX('×入力'!$A$1:$L$1300,678,2+EV$2)&lt;&gt;"",INDEX('×入力'!$A$1:$L$1300,679+EV$3,1)&lt;&gt;""),1,0),0)</f>
        <v/>
      </c>
      <c r="EW34">
        <f>IF(EW$4=1,IF(OR(INDEX('×入力'!$A$1:$L$1300,679+EW$3,2+EW$2)&lt;&gt;"",INDEX('×入力'!$A$1:$L$1300,678,2+EW$2)&lt;&gt;"",INDEX('×入力'!$A$1:$L$1300,679+EW$3,1)&lt;&gt;""),1,0),0)</f>
        <v/>
      </c>
      <c r="EX34">
        <f>IF(EX$4=1,IF(OR(INDEX('×入力'!$A$1:$L$1300,679+EX$3,2+EX$2)&lt;&gt;"",INDEX('×入力'!$A$1:$L$1300,678,2+EX$2)&lt;&gt;"",INDEX('×入力'!$A$1:$L$1300,679+EX$3,1)&lt;&gt;""),1,0),0)</f>
        <v/>
      </c>
      <c r="EY34">
        <f>IF(EY$4=1,IF(OR(INDEX('×入力'!$A$1:$L$1300,679+EY$3,2+EY$2)&lt;&gt;"",INDEX('×入力'!$A$1:$L$1300,678,2+EY$2)&lt;&gt;"",INDEX('×入力'!$A$1:$L$1300,679+EY$3,1)&lt;&gt;""),1,0),0)</f>
        <v/>
      </c>
      <c r="EZ34">
        <f>IF(EZ$4=1,IF(OR(INDEX('×入力'!$A$1:$L$1300,679+EZ$3,2+EZ$2)&lt;&gt;"",INDEX('×入力'!$A$1:$L$1300,678,2+EZ$2)&lt;&gt;"",INDEX('×入力'!$A$1:$L$1300,679+EZ$3,1)&lt;&gt;""),1,0),0)</f>
        <v/>
      </c>
      <c r="FA34">
        <f>IF(FA$4=1,IF(OR(INDEX('×入力'!$A$1:$L$1300,679+FA$3,2+FA$2)&lt;&gt;"",INDEX('×入力'!$A$1:$L$1300,678,2+FA$2)&lt;&gt;"",INDEX('×入力'!$A$1:$L$1300,679+FA$3,1)&lt;&gt;""),1,0),0)</f>
        <v/>
      </c>
      <c r="FB34">
        <f>IF(FB$4=1,IF(OR(INDEX('×入力'!$A$1:$L$1300,679+FB$3,2+FB$2)&lt;&gt;"",INDEX('×入力'!$A$1:$L$1300,678,2+FB$2)&lt;&gt;"",INDEX('×入力'!$A$1:$L$1300,679+FB$3,1)&lt;&gt;""),1,0),0)</f>
        <v/>
      </c>
      <c r="FC34">
        <f>IF(FC$4=1,IF(OR(INDEX('×入力'!$A$1:$L$1300,679+FC$3,2+FC$2)&lt;&gt;"",INDEX('×入力'!$A$1:$L$1300,678,2+FC$2)&lt;&gt;"",INDEX('×入力'!$A$1:$L$1300,679+FC$3,1)&lt;&gt;""),1,0),0)</f>
        <v/>
      </c>
      <c r="FD34">
        <f>IF(FD$4=1,IF(OR(INDEX('×入力'!$A$1:$L$1300,679+FD$3,2+FD$2)&lt;&gt;"",INDEX('×入力'!$A$1:$L$1300,678,2+FD$2)&lt;&gt;"",INDEX('×入力'!$A$1:$L$1300,679+FD$3,1)&lt;&gt;""),1,0),0)</f>
        <v/>
      </c>
      <c r="FE34">
        <f>IF(FE$4=1,IF(OR(INDEX('×入力'!$A$1:$L$1300,679+FE$3,2+FE$2)&lt;&gt;"",INDEX('×入力'!$A$1:$L$1300,678,2+FE$2)&lt;&gt;"",INDEX('×入力'!$A$1:$L$1300,679+FE$3,1)&lt;&gt;""),1,0),0)</f>
        <v/>
      </c>
      <c r="FF34">
        <f>IF(FF$4=1,IF(OR(INDEX('×入力'!$A$1:$L$1300,679+FF$3,2+FF$2)&lt;&gt;"",INDEX('×入力'!$A$1:$L$1300,678,2+FF$2)&lt;&gt;"",INDEX('×入力'!$A$1:$L$1300,679+FF$3,1)&lt;&gt;""),1,0),0)</f>
        <v/>
      </c>
      <c r="FG34">
        <f>IF(FG$4=1,IF(OR(INDEX('×入力'!$A$1:$L$1300,679+FG$3,2+FG$2)&lt;&gt;"",INDEX('×入力'!$A$1:$L$1300,678,2+FG$2)&lt;&gt;"",INDEX('×入力'!$A$1:$L$1300,679+FG$3,1)&lt;&gt;""),1,0),0)</f>
        <v/>
      </c>
      <c r="FH34">
        <f>IF(FH$4=1,IF(OR(INDEX('×入力'!$A$1:$L$1300,679+FH$3,2+FH$2)&lt;&gt;"",INDEX('×入力'!$A$1:$L$1300,678,2+FH$2)&lt;&gt;"",INDEX('×入力'!$A$1:$L$1300,679+FH$3,1)&lt;&gt;""),1,0),0)</f>
        <v/>
      </c>
      <c r="FI34">
        <f>IF(FI$4=1,IF(OR(INDEX('×入力'!$A$1:$L$1300,679+FI$3,2+FI$2)&lt;&gt;"",INDEX('×入力'!$A$1:$L$1300,678,2+FI$2)&lt;&gt;"",INDEX('×入力'!$A$1:$L$1300,679+FI$3,1)&lt;&gt;""),1,0),0)</f>
        <v/>
      </c>
      <c r="FJ34">
        <f>IF(FJ$4=1,IF(OR(INDEX('×入力'!$A$1:$L$1300,679+FJ$3,2+FJ$2)&lt;&gt;"",INDEX('×入力'!$A$1:$L$1300,678,2+FJ$2)&lt;&gt;"",INDEX('×入力'!$A$1:$L$1300,679+FJ$3,1)&lt;&gt;""),1,0),0)</f>
        <v/>
      </c>
      <c r="FK34">
        <f>IF(FK$4=1,IF(OR(INDEX('×入力'!$A$1:$L$1300,679+FK$3,2+FK$2)&lt;&gt;"",INDEX('×入力'!$A$1:$L$1300,678,2+FK$2)&lt;&gt;"",INDEX('×入力'!$A$1:$L$1300,679+FK$3,1)&lt;&gt;""),1,0),0)</f>
        <v/>
      </c>
      <c r="FL34">
        <f>IF(FL$4=1,IF(OR(INDEX('×入力'!$A$1:$L$1300,679+FL$3,2+FL$2)&lt;&gt;"",INDEX('×入力'!$A$1:$L$1300,678,2+FL$2)&lt;&gt;"",INDEX('×入力'!$A$1:$L$1300,679+FL$3,1)&lt;&gt;""),1,0),0)</f>
        <v/>
      </c>
      <c r="FM34">
        <f>IF(FM$4=1,IF(OR(INDEX('×入力'!$A$1:$L$1300,679+FM$3,2+FM$2)&lt;&gt;"",INDEX('×入力'!$A$1:$L$1300,678,2+FM$2)&lt;&gt;"",INDEX('×入力'!$A$1:$L$1300,679+FM$3,1)&lt;&gt;""),1,0),0)</f>
        <v/>
      </c>
      <c r="FN34">
        <f>IF(FN$4=1,IF(OR(INDEX('×入力'!$A$1:$L$1300,679+FN$3,2+FN$2)&lt;&gt;"",INDEX('×入力'!$A$1:$L$1300,678,2+FN$2)&lt;&gt;"",INDEX('×入力'!$A$1:$L$1300,679+FN$3,1)&lt;&gt;""),1,0),0)</f>
        <v/>
      </c>
      <c r="FO34">
        <f>IF(FO$4=1,IF(OR(INDEX('×入力'!$A$1:$L$1300,679+FO$3,2+FO$2)&lt;&gt;"",INDEX('×入力'!$A$1:$L$1300,678,2+FO$2)&lt;&gt;"",INDEX('×入力'!$A$1:$L$1300,679+FO$3,1)&lt;&gt;""),1,0),0)</f>
        <v/>
      </c>
      <c r="FP34">
        <f>IF(FP$4=1,IF(OR(INDEX('×入力'!$A$1:$L$1300,679+FP$3,2+FP$2)&lt;&gt;"",INDEX('×入力'!$A$1:$L$1300,678,2+FP$2)&lt;&gt;"",INDEX('×入力'!$A$1:$L$1300,679+FP$3,1)&lt;&gt;""),1,0),0)</f>
        <v/>
      </c>
      <c r="FQ34">
        <f>IF(FQ$4=1,IF(OR(INDEX('×入力'!$A$1:$L$1300,679+FQ$3,2+FQ$2)&lt;&gt;"",INDEX('×入力'!$A$1:$L$1300,678,2+FQ$2)&lt;&gt;"",INDEX('×入力'!$A$1:$L$1300,679+FQ$3,1)&lt;&gt;""),1,0),0)</f>
        <v/>
      </c>
      <c r="FR34">
        <f>IF(FR$4=1,IF(OR(INDEX('×入力'!$A$1:$L$1300,679+FR$3,2+FR$2)&lt;&gt;"",INDEX('×入力'!$A$1:$L$1300,678,2+FR$2)&lt;&gt;"",INDEX('×入力'!$A$1:$L$1300,679+FR$3,1)&lt;&gt;""),1,0),0)</f>
        <v/>
      </c>
      <c r="FS34">
        <f>IF(FS$4=1,IF(OR(INDEX('×入力'!$A$1:$L$1300,679+FS$3,2+FS$2)&lt;&gt;"",INDEX('×入力'!$A$1:$L$1300,678,2+FS$2)&lt;&gt;"",INDEX('×入力'!$A$1:$L$1300,679+FS$3,1)&lt;&gt;""),1,0),0)</f>
        <v/>
      </c>
      <c r="FT34">
        <f>IF(FT$4=1,IF(OR(INDEX('×入力'!$A$1:$L$1300,679+FT$3,2+FT$2)&lt;&gt;"",INDEX('×入力'!$A$1:$L$1300,678,2+FT$2)&lt;&gt;"",INDEX('×入力'!$A$1:$L$1300,679+FT$3,1)&lt;&gt;""),1,0),0)</f>
        <v/>
      </c>
      <c r="FU34">
        <f>IF(FU$4=1,IF(OR(INDEX('×入力'!$A$1:$L$1300,679+FU$3,2+FU$2)&lt;&gt;"",INDEX('×入力'!$A$1:$L$1300,678,2+FU$2)&lt;&gt;"",INDEX('×入力'!$A$1:$L$1300,679+FU$3,1)&lt;&gt;""),1,0),0)</f>
        <v/>
      </c>
      <c r="FV34">
        <f>IF(FV$4=1,IF(OR(INDEX('×入力'!$A$1:$L$1300,679+FV$3,2+FV$2)&lt;&gt;"",INDEX('×入力'!$A$1:$L$1300,678,2+FV$2)&lt;&gt;"",INDEX('×入力'!$A$1:$L$1300,679+FV$3,1)&lt;&gt;""),1,0),0)</f>
        <v/>
      </c>
      <c r="FW34">
        <f>IF(FW$4=1,IF(OR(INDEX('×入力'!$A$1:$L$1300,679+FW$3,2+FW$2)&lt;&gt;"",INDEX('×入力'!$A$1:$L$1300,678,2+FW$2)&lt;&gt;"",INDEX('×入力'!$A$1:$L$1300,679+FW$3,1)&lt;&gt;""),1,0),0)</f>
        <v/>
      </c>
      <c r="FX34">
        <f>IF(FX$4=1,IF(OR(INDEX('×入力'!$A$1:$L$1300,679+FX$3,2+FX$2)&lt;&gt;"",INDEX('×入力'!$A$1:$L$1300,678,2+FX$2)&lt;&gt;"",INDEX('×入力'!$A$1:$L$1300,679+FX$3,1)&lt;&gt;""),1,0),0)</f>
        <v/>
      </c>
      <c r="FY34">
        <f>IF(FY$4=1,IF(OR(INDEX('×入力'!$A$1:$L$1300,679+FY$3,2+FY$2)&lt;&gt;"",INDEX('×入力'!$A$1:$L$1300,678,2+FY$2)&lt;&gt;"",INDEX('×入力'!$A$1:$L$1300,679+FY$3,1)&lt;&gt;""),1,0),0)</f>
        <v/>
      </c>
      <c r="FZ34">
        <f>IF(FZ$4=1,IF(OR(INDEX('×入力'!$A$1:$L$1300,679+FZ$3,2+FZ$2)&lt;&gt;"",INDEX('×入力'!$A$1:$L$1300,678,2+FZ$2)&lt;&gt;"",INDEX('×入力'!$A$1:$L$1300,679+FZ$3,1)&lt;&gt;""),1,0),0)</f>
        <v/>
      </c>
      <c r="GA34">
        <f>IF(GA$4=1,IF(OR(INDEX('×入力'!$A$1:$L$1300,679+GA$3,2+GA$2)&lt;&gt;"",INDEX('×入力'!$A$1:$L$1300,678,2+GA$2)&lt;&gt;"",INDEX('×入力'!$A$1:$L$1300,679+GA$3,1)&lt;&gt;""),1,0),0)</f>
        <v/>
      </c>
      <c r="GB34">
        <f>IF(GB$4=1,IF(OR(INDEX('×入力'!$A$1:$L$1300,679+GB$3,2+GB$2)&lt;&gt;"",INDEX('×入力'!$A$1:$L$1300,678,2+GB$2)&lt;&gt;"",INDEX('×入力'!$A$1:$L$1300,679+GB$3,1)&lt;&gt;""),1,0),0)</f>
        <v/>
      </c>
      <c r="GC34">
        <f>IF(GC$4=1,IF(OR(INDEX('×入力'!$A$1:$L$1300,679+GC$3,2+GC$2)&lt;&gt;"",INDEX('×入力'!$A$1:$L$1300,678,2+GC$2)&lt;&gt;"",INDEX('×入力'!$A$1:$L$1300,679+GC$3,1)&lt;&gt;""),1,0),0)</f>
        <v/>
      </c>
      <c r="GD34">
        <f>IF(GD$4=1,IF(OR(INDEX('×入力'!$A$1:$L$1300,679+GD$3,2+GD$2)&lt;&gt;"",INDEX('×入力'!$A$1:$L$1300,678,2+GD$2)&lt;&gt;"",INDEX('×入力'!$A$1:$L$1300,679+GD$3,1)&lt;&gt;""),1,0),0)</f>
        <v/>
      </c>
      <c r="GE34">
        <f>IF(GE$4=1,IF(OR(INDEX('×入力'!$A$1:$L$1300,679+GE$3,2+GE$2)&lt;&gt;"",INDEX('×入力'!$A$1:$L$1300,678,2+GE$2)&lt;&gt;"",INDEX('×入力'!$A$1:$L$1300,679+GE$3,1)&lt;&gt;""),1,0),0)</f>
        <v/>
      </c>
      <c r="GF34">
        <f>IF(GF$4=1,IF(OR(INDEX('×入力'!$A$1:$L$1300,679+GF$3,2+GF$2)&lt;&gt;"",INDEX('×入力'!$A$1:$L$1300,678,2+GF$2)&lt;&gt;"",INDEX('×入力'!$A$1:$L$1300,679+GF$3,1)&lt;&gt;""),1,0),0)</f>
        <v/>
      </c>
      <c r="GG34">
        <f>IF(GG$4=1,IF(OR(INDEX('×入力'!$A$1:$L$1300,679+GG$3,2+GG$2)&lt;&gt;"",INDEX('×入力'!$A$1:$L$1300,678,2+GG$2)&lt;&gt;"",INDEX('×入力'!$A$1:$L$1300,679+GG$3,1)&lt;&gt;""),1,0),0)</f>
        <v/>
      </c>
      <c r="GH34">
        <f>IF(GH$4=1,IF(OR(INDEX('×入力'!$A$1:$L$1300,679+GH$3,2+GH$2)&lt;&gt;"",INDEX('×入力'!$A$1:$L$1300,678,2+GH$2)&lt;&gt;"",INDEX('×入力'!$A$1:$L$1300,679+GH$3,1)&lt;&gt;""),1,0),0)</f>
        <v/>
      </c>
      <c r="GI34">
        <f>IF(GI$4=1,IF(OR(INDEX('×入力'!$A$1:$L$1300,679+GI$3,2+GI$2)&lt;&gt;"",INDEX('×入力'!$A$1:$L$1300,678,2+GI$2)&lt;&gt;"",INDEX('×入力'!$A$1:$L$1300,679+GI$3,1)&lt;&gt;""),1,0),0)</f>
        <v/>
      </c>
      <c r="GJ34">
        <f>IF(GJ$4=1,IF(OR(INDEX('×入力'!$A$1:$L$1300,679+GJ$3,2+GJ$2)&lt;&gt;"",INDEX('×入力'!$A$1:$L$1300,678,2+GJ$2)&lt;&gt;"",INDEX('×入力'!$A$1:$L$1300,679+GJ$3,1)&lt;&gt;""),1,0),0)</f>
        <v/>
      </c>
      <c r="GK34">
        <f>IF(GK$4=1,IF(OR(INDEX('×入力'!$A$1:$L$1300,679+GK$3,2+GK$2)&lt;&gt;"",INDEX('×入力'!$A$1:$L$1300,678,2+GK$2)&lt;&gt;"",INDEX('×入力'!$A$1:$L$1300,679+GK$3,1)&lt;&gt;""),1,0),0)</f>
        <v/>
      </c>
      <c r="GL34">
        <f>IF(GL$4=1,IF(OR(INDEX('×入力'!$A$1:$L$1300,679+GL$3,2+GL$2)&lt;&gt;"",INDEX('×入力'!$A$1:$L$1300,678,2+GL$2)&lt;&gt;"",INDEX('×入力'!$A$1:$L$1300,679+GL$3,1)&lt;&gt;""),1,0),0)</f>
        <v/>
      </c>
      <c r="GM34">
        <f>IF(GM$4=1,IF(OR(INDEX('×入力'!$A$1:$L$1300,679+GM$3,2+GM$2)&lt;&gt;"",INDEX('×入力'!$A$1:$L$1300,678,2+GM$2)&lt;&gt;"",INDEX('×入力'!$A$1:$L$1300,679+GM$3,1)&lt;&gt;""),1,0),0)</f>
        <v/>
      </c>
      <c r="GN34">
        <f>IF(GN$4=1,IF(OR(INDEX('×入力'!$A$1:$L$1300,679+GN$3,2+GN$2)&lt;&gt;"",INDEX('×入力'!$A$1:$L$1300,678,2+GN$2)&lt;&gt;"",INDEX('×入力'!$A$1:$L$1300,679+GN$3,1)&lt;&gt;""),1,0),0)</f>
        <v/>
      </c>
      <c r="GO34">
        <f>IF(GO$4=1,IF(OR(INDEX('×入力'!$A$1:$L$1300,679+GO$3,2+GO$2)&lt;&gt;"",INDEX('×入力'!$A$1:$L$1300,678,2+GO$2)&lt;&gt;"",INDEX('×入力'!$A$1:$L$1300,679+GO$3,1)&lt;&gt;""),1,0),0)</f>
        <v/>
      </c>
      <c r="GP34">
        <f>IF(GP$4=1,IF(OR(INDEX('×入力'!$A$1:$L$1300,679+GP$3,2+GP$2)&lt;&gt;"",INDEX('×入力'!$A$1:$L$1300,678,2+GP$2)&lt;&gt;"",INDEX('×入力'!$A$1:$L$1300,679+GP$3,1)&lt;&gt;""),1,0),0)</f>
        <v/>
      </c>
      <c r="GQ34">
        <f>IF(GQ$4=1,IF(OR(INDEX('×入力'!$A$1:$L$1300,679+GQ$3,2+GQ$2)&lt;&gt;"",INDEX('×入力'!$A$1:$L$1300,678,2+GQ$2)&lt;&gt;"",INDEX('×入力'!$A$1:$L$1300,679+GQ$3,1)&lt;&gt;""),1,0),0)</f>
        <v/>
      </c>
      <c r="GR34">
        <f>IF(GR$4=1,IF(OR(INDEX('×入力'!$A$1:$L$1300,679+GR$3,2+GR$2)&lt;&gt;"",INDEX('×入力'!$A$1:$L$1300,678,2+GR$2)&lt;&gt;"",INDEX('×入力'!$A$1:$L$1300,679+GR$3,1)&lt;&gt;""),1,0),0)</f>
        <v/>
      </c>
      <c r="GS34">
        <f>IF(GS$4=1,IF(OR(INDEX('×入力'!$A$1:$L$1300,679+GS$3,2+GS$2)&lt;&gt;"",INDEX('×入力'!$A$1:$L$1300,678,2+GS$2)&lt;&gt;"",INDEX('×入力'!$A$1:$L$1300,679+GS$3,1)&lt;&gt;""),1,0),0)</f>
        <v/>
      </c>
      <c r="GT34">
        <f>IF(GT$4=1,IF(OR(INDEX('×入力'!$A$1:$L$1300,679+GT$3,2+GT$2)&lt;&gt;"",INDEX('×入力'!$A$1:$L$1300,678,2+GT$2)&lt;&gt;"",INDEX('×入力'!$A$1:$L$1300,679+GT$3,1)&lt;&gt;""),1,0),0)</f>
        <v/>
      </c>
      <c r="GU34">
        <f>IF(GU$4=1,IF(OR(INDEX('×入力'!$A$1:$L$1300,679+GU$3,2+GU$2)&lt;&gt;"",INDEX('×入力'!$A$1:$L$1300,678,2+GU$2)&lt;&gt;"",INDEX('×入力'!$A$1:$L$1300,679+GU$3,1)&lt;&gt;""),1,0),0)</f>
        <v/>
      </c>
      <c r="GV34">
        <f>IF(GV$4=1,IF(OR(INDEX('×入力'!$A$1:$L$1300,679+GV$3,2+GV$2)&lt;&gt;"",INDEX('×入力'!$A$1:$L$1300,678,2+GV$2)&lt;&gt;"",INDEX('×入力'!$A$1:$L$1300,679+GV$3,1)&lt;&gt;""),1,0),0)</f>
        <v/>
      </c>
      <c r="GW34">
        <f>IF(GW$4=1,IF(OR(INDEX('×入力'!$A$1:$L$1300,679+GW$3,2+GW$2)&lt;&gt;"",INDEX('×入力'!$A$1:$L$1300,678,2+GW$2)&lt;&gt;"",INDEX('×入力'!$A$1:$L$1300,679+GW$3,1)&lt;&gt;""),1,0),0)</f>
        <v/>
      </c>
      <c r="GX34">
        <f>IF(GX$4=1,IF(OR(INDEX('×入力'!$A$1:$L$1300,679+GX$3,2+GX$2)&lt;&gt;"",INDEX('×入力'!$A$1:$L$1300,678,2+GX$2)&lt;&gt;"",INDEX('×入力'!$A$1:$L$1300,679+GX$3,1)&lt;&gt;""),1,0),0)</f>
        <v/>
      </c>
      <c r="GY34">
        <f>IF(GY$4=1,IF(OR(INDEX('×入力'!$A$1:$L$1300,679+GY$3,2+GY$2)&lt;&gt;"",INDEX('×入力'!$A$1:$L$1300,678,2+GY$2)&lt;&gt;"",INDEX('×入力'!$A$1:$L$1300,679+GY$3,1)&lt;&gt;""),1,0),0)</f>
        <v/>
      </c>
      <c r="GZ34">
        <f>IF(GZ$4=1,IF(OR(INDEX('×入力'!$A$1:$L$1300,679+GZ$3,2+GZ$2)&lt;&gt;"",INDEX('×入力'!$A$1:$L$1300,678,2+GZ$2)&lt;&gt;"",INDEX('×入力'!$A$1:$L$1300,679+GZ$3,1)&lt;&gt;""),1,0),0)</f>
        <v/>
      </c>
      <c r="HA34">
        <f>IF(HA$4=1,IF(OR(INDEX('×入力'!$A$1:$L$1300,679+HA$3,2+HA$2)&lt;&gt;"",INDEX('×入力'!$A$1:$L$1300,678,2+HA$2)&lt;&gt;"",INDEX('×入力'!$A$1:$L$1300,679+HA$3,1)&lt;&gt;""),1,0),0)</f>
        <v/>
      </c>
      <c r="HB34">
        <f>IF(HB$4=1,IF(OR(INDEX('×入力'!$A$1:$L$1300,679+HB$3,2+HB$2)&lt;&gt;"",INDEX('×入力'!$A$1:$L$1300,678,2+HB$2)&lt;&gt;"",INDEX('×入力'!$A$1:$L$1300,679+HB$3,1)&lt;&gt;""),1,0),0)</f>
        <v/>
      </c>
      <c r="HC34">
        <f>IF(HC$4=1,IF(OR(INDEX('×入力'!$A$1:$L$1300,679+HC$3,2+HC$2)&lt;&gt;"",INDEX('×入力'!$A$1:$L$1300,678,2+HC$2)&lt;&gt;"",INDEX('×入力'!$A$1:$L$1300,679+HC$3,1)&lt;&gt;""),1,0),0)</f>
        <v/>
      </c>
      <c r="HD34">
        <f>IF(HD$4=1,IF(OR(INDEX('×入力'!$A$1:$L$1300,679+HD$3,2+HD$2)&lt;&gt;"",INDEX('×入力'!$A$1:$L$1300,678,2+HD$2)&lt;&gt;"",INDEX('×入力'!$A$1:$L$1300,679+HD$3,1)&lt;&gt;""),1,0),0)</f>
        <v/>
      </c>
      <c r="HE34">
        <f>IF(HE$4=1,IF(OR(INDEX('×入力'!$A$1:$L$1300,679+HE$3,2+HE$2)&lt;&gt;"",INDEX('×入力'!$A$1:$L$1300,678,2+HE$2)&lt;&gt;"",INDEX('×入力'!$A$1:$L$1300,679+HE$3,1)&lt;&gt;""),1,0),0)</f>
        <v/>
      </c>
      <c r="HF34">
        <f>IF(HF$4=1,IF(OR(INDEX('×入力'!$A$1:$L$1300,679+HF$3,2+HF$2)&lt;&gt;"",INDEX('×入力'!$A$1:$L$1300,678,2+HF$2)&lt;&gt;"",INDEX('×入力'!$A$1:$L$1300,679+HF$3,1)&lt;&gt;""),1,0),0)</f>
        <v/>
      </c>
      <c r="HG34">
        <f>IF(HG$4=1,IF(OR(INDEX('×入力'!$A$1:$L$1300,679+HG$3,2+HG$2)&lt;&gt;"",INDEX('×入力'!$A$1:$L$1300,678,2+HG$2)&lt;&gt;"",INDEX('×入力'!$A$1:$L$1300,679+HG$3,1)&lt;&gt;""),1,0),0)</f>
        <v/>
      </c>
      <c r="HH34">
        <f>IF(HH$4=1,IF(OR(INDEX('×入力'!$A$1:$L$1300,679+HH$3,2+HH$2)&lt;&gt;"",INDEX('×入力'!$A$1:$L$1300,678,2+HH$2)&lt;&gt;"",INDEX('×入力'!$A$1:$L$1300,679+HH$3,1)&lt;&gt;""),1,0),0)</f>
        <v/>
      </c>
      <c r="HI34">
        <f>IF(HI$4=1,IF(OR(INDEX('×入力'!$A$1:$L$1300,679+HI$3,2+HI$2)&lt;&gt;"",INDEX('×入力'!$A$1:$L$1300,678,2+HI$2)&lt;&gt;"",INDEX('×入力'!$A$1:$L$1300,679+HI$3,1)&lt;&gt;""),1,0),0)</f>
        <v/>
      </c>
      <c r="HJ34">
        <f>IF(HJ$4=1,IF(OR(INDEX('×入力'!$A$1:$L$1300,679+HJ$3,2+HJ$2)&lt;&gt;"",INDEX('×入力'!$A$1:$L$1300,678,2+HJ$2)&lt;&gt;"",INDEX('×入力'!$A$1:$L$1300,679+HJ$3,1)&lt;&gt;""),1,0),0)</f>
        <v/>
      </c>
      <c r="HK34">
        <f>IF(HK$4=1,IF(OR(INDEX('×入力'!$A$1:$L$1300,679+HK$3,2+HK$2)&lt;&gt;"",INDEX('×入力'!$A$1:$L$1300,678,2+HK$2)&lt;&gt;"",INDEX('×入力'!$A$1:$L$1300,679+HK$3,1)&lt;&gt;""),1,0),0)</f>
        <v/>
      </c>
      <c r="HL34">
        <f>IF(HL$4=1,IF(OR(INDEX('×入力'!$A$1:$L$1300,679+HL$3,2+HL$2)&lt;&gt;"",INDEX('×入力'!$A$1:$L$1300,678,2+HL$2)&lt;&gt;"",INDEX('×入力'!$A$1:$L$1300,679+HL$3,1)&lt;&gt;""),1,0),0)</f>
        <v/>
      </c>
      <c r="HM34">
        <f>IF(HM$4=1,IF(OR(INDEX('×入力'!$A$1:$L$1300,679+HM$3,2+HM$2)&lt;&gt;"",INDEX('×入力'!$A$1:$L$1300,678,2+HM$2)&lt;&gt;"",INDEX('×入力'!$A$1:$L$1300,679+HM$3,1)&lt;&gt;""),1,0),0)</f>
        <v/>
      </c>
      <c r="HN34">
        <f>IF(HN$4=1,IF(OR(INDEX('×入力'!$A$1:$L$1300,679+HN$3,2+HN$2)&lt;&gt;"",INDEX('×入力'!$A$1:$L$1300,678,2+HN$2)&lt;&gt;"",INDEX('×入力'!$A$1:$L$1300,679+HN$3,1)&lt;&gt;""),1,0),0)</f>
        <v/>
      </c>
      <c r="HO34">
        <f>IF(HO$4=1,IF(OR(INDEX('×入力'!$A$1:$L$1300,679+HO$3,2+HO$2)&lt;&gt;"",INDEX('×入力'!$A$1:$L$1300,678,2+HO$2)&lt;&gt;"",INDEX('×入力'!$A$1:$L$1300,679+HO$3,1)&lt;&gt;""),1,0),0)</f>
        <v/>
      </c>
      <c r="HP34">
        <f>IF(HP$4=1,IF(OR(INDEX('×入力'!$A$1:$L$1300,679+HP$3,2+HP$2)&lt;&gt;"",INDEX('×入力'!$A$1:$L$1300,678,2+HP$2)&lt;&gt;"",INDEX('×入力'!$A$1:$L$1300,679+HP$3,1)&lt;&gt;""),1,0),0)</f>
        <v/>
      </c>
      <c r="HQ34">
        <f>IF(HQ$4=1,IF(OR(INDEX('×入力'!$A$1:$L$1300,679+HQ$3,2+HQ$2)&lt;&gt;"",INDEX('×入力'!$A$1:$L$1300,678,2+HQ$2)&lt;&gt;"",INDEX('×入力'!$A$1:$L$1300,679+HQ$3,1)&lt;&gt;""),1,0),0)</f>
        <v/>
      </c>
      <c r="HR34">
        <f>IF(HR$4=1,IF(OR(INDEX('×入力'!$A$1:$L$1300,679+HR$3,2+HR$2)&lt;&gt;"",INDEX('×入力'!$A$1:$L$1300,678,2+HR$2)&lt;&gt;"",INDEX('×入力'!$A$1:$L$1300,679+HR$3,1)&lt;&gt;""),1,0),0)</f>
        <v/>
      </c>
      <c r="HS34">
        <f>IF(HS$4=1,IF(OR(INDEX('×入力'!$A$1:$L$1300,679+HS$3,2+HS$2)&lt;&gt;"",INDEX('×入力'!$A$1:$L$1300,678,2+HS$2)&lt;&gt;"",INDEX('×入力'!$A$1:$L$1300,679+HS$3,1)&lt;&gt;""),1,0),0)</f>
        <v/>
      </c>
      <c r="HT34">
        <f>IF(HT$4=1,IF(OR(INDEX('×入力'!$A$1:$L$1300,679+HT$3,2+HT$2)&lt;&gt;"",INDEX('×入力'!$A$1:$L$1300,678,2+HT$2)&lt;&gt;"",INDEX('×入力'!$A$1:$L$1300,679+HT$3,1)&lt;&gt;""),1,0),0)</f>
        <v/>
      </c>
      <c r="HU34">
        <f>IF(HU$4=1,IF(OR(INDEX('×入力'!$A$1:$L$1300,679+HU$3,2+HU$2)&lt;&gt;"",INDEX('×入力'!$A$1:$L$1300,678,2+HU$2)&lt;&gt;"",INDEX('×入力'!$A$1:$L$1300,679+HU$3,1)&lt;&gt;""),1,0),0)</f>
        <v/>
      </c>
      <c r="HV34">
        <f>IF(HV$4=1,IF(OR(INDEX('×入力'!$A$1:$L$1300,679+HV$3,2+HV$2)&lt;&gt;"",INDEX('×入力'!$A$1:$L$1300,678,2+HV$2)&lt;&gt;"",INDEX('×入力'!$A$1:$L$1300,679+HV$3,1)&lt;&gt;""),1,0),0)</f>
        <v/>
      </c>
      <c r="HW34">
        <f>IF(HW$4=1,IF(OR(INDEX('×入力'!$A$1:$L$1300,679+HW$3,2+HW$2)&lt;&gt;"",INDEX('×入力'!$A$1:$L$1300,678,2+HW$2)&lt;&gt;"",INDEX('×入力'!$A$1:$L$1300,679+HW$3,1)&lt;&gt;""),1,0),0)</f>
        <v/>
      </c>
      <c r="HX34">
        <f>IF(HX$4=1,IF(OR(INDEX('×入力'!$A$1:$L$1300,679+HX$3,2+HX$2)&lt;&gt;"",INDEX('×入力'!$A$1:$L$1300,678,2+HX$2)&lt;&gt;"",INDEX('×入力'!$A$1:$L$1300,679+HX$3,1)&lt;&gt;""),1,0),0)</f>
        <v/>
      </c>
      <c r="HY34">
        <f>IF(HY$4=1,IF(OR(INDEX('×入力'!$A$1:$L$1300,679+HY$3,2+HY$2)&lt;&gt;"",INDEX('×入力'!$A$1:$L$1300,678,2+HY$2)&lt;&gt;"",INDEX('×入力'!$A$1:$L$1300,679+HY$3,1)&lt;&gt;""),1,0),0)</f>
        <v/>
      </c>
      <c r="HZ34">
        <f>IF(HZ$4=1,IF(OR(INDEX('×入力'!$A$1:$L$1300,679+HZ$3,2+HZ$2)&lt;&gt;"",INDEX('×入力'!$A$1:$L$1300,678,2+HZ$2)&lt;&gt;"",INDEX('×入力'!$A$1:$L$1300,679+HZ$3,1)&lt;&gt;""),1,0),0)</f>
        <v/>
      </c>
      <c r="IA34">
        <f>IF(IA$4=1,IF(OR(INDEX('×入力'!$A$1:$L$1300,679+IA$3,2+IA$2)&lt;&gt;"",INDEX('×入力'!$A$1:$L$1300,678,2+IA$2)&lt;&gt;"",INDEX('×入力'!$A$1:$L$1300,679+IA$3,1)&lt;&gt;""),1,0),0)</f>
        <v/>
      </c>
      <c r="IB34">
        <f>IF(IB$4=1,IF(OR(INDEX('×入力'!$A$1:$L$1300,679+IB$3,2+IB$2)&lt;&gt;"",INDEX('×入力'!$A$1:$L$1300,678,2+IB$2)&lt;&gt;"",INDEX('×入力'!$A$1:$L$1300,679+IB$3,1)&lt;&gt;""),1,0),0)</f>
        <v/>
      </c>
      <c r="IC34">
        <f>IF(IC$4=1,IF(OR(INDEX('×入力'!$A$1:$L$1300,679+IC$3,2+IC$2)&lt;&gt;"",INDEX('×入力'!$A$1:$L$1300,678,2+IC$2)&lt;&gt;"",INDEX('×入力'!$A$1:$L$1300,679+IC$3,1)&lt;&gt;""),1,0),0)</f>
        <v/>
      </c>
      <c r="ID34">
        <f>IF(ID$4=1,IF(OR(INDEX('×入力'!$A$1:$L$1300,679+ID$3,2+ID$2)&lt;&gt;"",INDEX('×入力'!$A$1:$L$1300,678,2+ID$2)&lt;&gt;"",INDEX('×入力'!$A$1:$L$1300,679+ID$3,1)&lt;&gt;""),1,0),0)</f>
        <v/>
      </c>
      <c r="IE34">
        <f>IF(IE$4=1,IF(OR(INDEX('×入力'!$A$1:$L$1300,679+IE$3,2+IE$2)&lt;&gt;"",INDEX('×入力'!$A$1:$L$1300,678,2+IE$2)&lt;&gt;"",INDEX('×入力'!$A$1:$L$1300,679+IE$3,1)&lt;&gt;""),1,0),0)</f>
        <v/>
      </c>
      <c r="IF34">
        <f>IF(IF$4=1,IF(OR(INDEX('×入力'!$A$1:$L$1300,679+IF$3,2+IF$2)&lt;&gt;"",INDEX('×入力'!$A$1:$L$1300,678,2+IF$2)&lt;&gt;"",INDEX('×入力'!$A$1:$L$1300,679+IF$3,1)&lt;&gt;""),1,0),0)</f>
        <v/>
      </c>
      <c r="IG34">
        <f>IF(IG$4=1,IF(OR(INDEX('×入力'!$A$1:$L$1300,679+IG$3,2+IG$2)&lt;&gt;"",INDEX('×入力'!$A$1:$L$1300,678,2+IG$2)&lt;&gt;"",INDEX('×入力'!$A$1:$L$1300,679+IG$3,1)&lt;&gt;""),1,0),0)</f>
        <v/>
      </c>
      <c r="IH34">
        <f>IF(IH$4=1,IF(OR(INDEX('×入力'!$A$1:$L$1300,679+IH$3,2+IH$2)&lt;&gt;"",INDEX('×入力'!$A$1:$L$1300,678,2+IH$2)&lt;&gt;"",INDEX('×入力'!$A$1:$L$1300,679+IH$3,1)&lt;&gt;""),1,0),0)</f>
        <v/>
      </c>
      <c r="II34">
        <f>IF(II$4=1,IF(OR(INDEX('×入力'!$A$1:$L$1300,679+II$3,2+II$2)&lt;&gt;"",INDEX('×入力'!$A$1:$L$1300,678,2+II$2)&lt;&gt;"",INDEX('×入力'!$A$1:$L$1300,679+II$3,1)&lt;&gt;""),1,0),0)</f>
        <v/>
      </c>
      <c r="IK34">
        <f>IFERROR(INDEX('計算B'!$C$3:$C$47,MATCH(A34,'計算B'!$B$3:$B$47,0)),0)</f>
        <v/>
      </c>
      <c r="IL34">
        <f>IF(AND(C34=1,IK34=0),1,0)</f>
        <v/>
      </c>
      <c r="IM34">
        <f>SUMPRODUCT(D84:II84*(1-$D$7:$II$7))</f>
        <v/>
      </c>
      <c r="IN34">
        <f>SUM(D34:II34)</f>
        <v/>
      </c>
      <c r="IO34">
        <f>IF(B34="",0,IF(COUNTIF('調整・決定'!$C$6:$L$29,B34)=1,SUMPRODUCT(('調整・決定'!$C$6:$L$29=B34)*((COLUMN('調整・決定'!$C$6:$L$29)-3)*24+ROW('調整・決定'!$C$6:$L$29)-5)),0))</f>
        <v/>
      </c>
      <c r="IP34">
        <f>IFERROR(MATCH('名簿'!E29,{"早い時刻","遅い時刻","早い日","遅い日"},0),0)</f>
        <v/>
      </c>
      <c r="IQ34">
        <f>IF('名簿'!F29="必ず空けたい",2,IF('名簿'!F29="出来れば空けたい",1,0))</f>
        <v/>
      </c>
    </row>
    <row r="35">
      <c r="A35" t="n">
        <v>26</v>
      </c>
      <c r="B35">
        <f>'名簿'!G30</f>
        <v/>
      </c>
      <c r="C35">
        <f>IF(AND(B35&lt;&gt;"",OR('名簿'!H30="入力済み",'名簿'!H30="×なし"),IO35=0,COUNTIF('調整・決定'!$C$6:$L$29,B35)=0),1,0)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ER35">
        <f>IF(ER$4=1,IF(OR(INDEX('×入力'!$A$1:$L$1300,707+ER$3,2+ER$2)&lt;&gt;"",INDEX('×入力'!$A$1:$L$1300,706,2+ER$2)&lt;&gt;"",INDEX('×入力'!$A$1:$L$1300,707+ER$3,1)&lt;&gt;""),1,0),0)</f>
        <v/>
      </c>
      <c r="ES35">
        <f>IF(ES$4=1,IF(OR(INDEX('×入力'!$A$1:$L$1300,707+ES$3,2+ES$2)&lt;&gt;"",INDEX('×入力'!$A$1:$L$1300,706,2+ES$2)&lt;&gt;"",INDEX('×入力'!$A$1:$L$1300,707+ES$3,1)&lt;&gt;""),1,0),0)</f>
        <v/>
      </c>
      <c r="ET35">
        <f>IF(ET$4=1,IF(OR(INDEX('×入力'!$A$1:$L$1300,707+ET$3,2+ET$2)&lt;&gt;"",INDEX('×入力'!$A$1:$L$1300,706,2+ET$2)&lt;&gt;"",INDEX('×入力'!$A$1:$L$1300,707+ET$3,1)&lt;&gt;""),1,0),0)</f>
        <v/>
      </c>
      <c r="EU35">
        <f>IF(EU$4=1,IF(OR(INDEX('×入力'!$A$1:$L$1300,707+EU$3,2+EU$2)&lt;&gt;"",INDEX('×入力'!$A$1:$L$1300,706,2+EU$2)&lt;&gt;"",INDEX('×入力'!$A$1:$L$1300,707+EU$3,1)&lt;&gt;""),1,0),0)</f>
        <v/>
      </c>
      <c r="EV35">
        <f>IF(EV$4=1,IF(OR(INDEX('×入力'!$A$1:$L$1300,707+EV$3,2+EV$2)&lt;&gt;"",INDEX('×入力'!$A$1:$L$1300,706,2+EV$2)&lt;&gt;"",INDEX('×入力'!$A$1:$L$1300,707+EV$3,1)&lt;&gt;""),1,0),0)</f>
        <v/>
      </c>
      <c r="EW35">
        <f>IF(EW$4=1,IF(OR(INDEX('×入力'!$A$1:$L$1300,707+EW$3,2+EW$2)&lt;&gt;"",INDEX('×入力'!$A$1:$L$1300,706,2+EW$2)&lt;&gt;"",INDEX('×入力'!$A$1:$L$1300,707+EW$3,1)&lt;&gt;""),1,0),0)</f>
        <v/>
      </c>
      <c r="EX35">
        <f>IF(EX$4=1,IF(OR(INDEX('×入力'!$A$1:$L$1300,707+EX$3,2+EX$2)&lt;&gt;"",INDEX('×入力'!$A$1:$L$1300,706,2+EX$2)&lt;&gt;"",INDEX('×入力'!$A$1:$L$1300,707+EX$3,1)&lt;&gt;""),1,0),0)</f>
        <v/>
      </c>
      <c r="EY35">
        <f>IF(EY$4=1,IF(OR(INDEX('×入力'!$A$1:$L$1300,707+EY$3,2+EY$2)&lt;&gt;"",INDEX('×入力'!$A$1:$L$1300,706,2+EY$2)&lt;&gt;"",INDEX('×入力'!$A$1:$L$1300,707+EY$3,1)&lt;&gt;""),1,0),0)</f>
        <v/>
      </c>
      <c r="EZ35">
        <f>IF(EZ$4=1,IF(OR(INDEX('×入力'!$A$1:$L$1300,707+EZ$3,2+EZ$2)&lt;&gt;"",INDEX('×入力'!$A$1:$L$1300,706,2+EZ$2)&lt;&gt;"",INDEX('×入力'!$A$1:$L$1300,707+EZ$3,1)&lt;&gt;""),1,0),0)</f>
        <v/>
      </c>
      <c r="FA35">
        <f>IF(FA$4=1,IF(OR(INDEX('×入力'!$A$1:$L$1300,707+FA$3,2+FA$2)&lt;&gt;"",INDEX('×入力'!$A$1:$L$1300,706,2+FA$2)&lt;&gt;"",INDEX('×入力'!$A$1:$L$1300,707+FA$3,1)&lt;&gt;""),1,0),0)</f>
        <v/>
      </c>
      <c r="FB35">
        <f>IF(FB$4=1,IF(OR(INDEX('×入力'!$A$1:$L$1300,707+FB$3,2+FB$2)&lt;&gt;"",INDEX('×入力'!$A$1:$L$1300,706,2+FB$2)&lt;&gt;"",INDEX('×入力'!$A$1:$L$1300,707+FB$3,1)&lt;&gt;""),1,0),0)</f>
        <v/>
      </c>
      <c r="FC35">
        <f>IF(FC$4=1,IF(OR(INDEX('×入力'!$A$1:$L$1300,707+FC$3,2+FC$2)&lt;&gt;"",INDEX('×入力'!$A$1:$L$1300,706,2+FC$2)&lt;&gt;"",INDEX('×入力'!$A$1:$L$1300,707+FC$3,1)&lt;&gt;""),1,0),0)</f>
        <v/>
      </c>
      <c r="FD35">
        <f>IF(FD$4=1,IF(OR(INDEX('×入力'!$A$1:$L$1300,707+FD$3,2+FD$2)&lt;&gt;"",INDEX('×入力'!$A$1:$L$1300,706,2+FD$2)&lt;&gt;"",INDEX('×入力'!$A$1:$L$1300,707+FD$3,1)&lt;&gt;""),1,0),0)</f>
        <v/>
      </c>
      <c r="FE35">
        <f>IF(FE$4=1,IF(OR(INDEX('×入力'!$A$1:$L$1300,707+FE$3,2+FE$2)&lt;&gt;"",INDEX('×入力'!$A$1:$L$1300,706,2+FE$2)&lt;&gt;"",INDEX('×入力'!$A$1:$L$1300,707+FE$3,1)&lt;&gt;""),1,0),0)</f>
        <v/>
      </c>
      <c r="FF35">
        <f>IF(FF$4=1,IF(OR(INDEX('×入力'!$A$1:$L$1300,707+FF$3,2+FF$2)&lt;&gt;"",INDEX('×入力'!$A$1:$L$1300,706,2+FF$2)&lt;&gt;"",INDEX('×入力'!$A$1:$L$1300,707+FF$3,1)&lt;&gt;""),1,0),0)</f>
        <v/>
      </c>
      <c r="FG35">
        <f>IF(FG$4=1,IF(OR(INDEX('×入力'!$A$1:$L$1300,707+FG$3,2+FG$2)&lt;&gt;"",INDEX('×入力'!$A$1:$L$1300,706,2+FG$2)&lt;&gt;"",INDEX('×入力'!$A$1:$L$1300,707+FG$3,1)&lt;&gt;""),1,0),0)</f>
        <v/>
      </c>
      <c r="FH35">
        <f>IF(FH$4=1,IF(OR(INDEX('×入力'!$A$1:$L$1300,707+FH$3,2+FH$2)&lt;&gt;"",INDEX('×入力'!$A$1:$L$1300,706,2+FH$2)&lt;&gt;"",INDEX('×入力'!$A$1:$L$1300,707+FH$3,1)&lt;&gt;""),1,0),0)</f>
        <v/>
      </c>
      <c r="FI35">
        <f>IF(FI$4=1,IF(OR(INDEX('×入力'!$A$1:$L$1300,707+FI$3,2+FI$2)&lt;&gt;"",INDEX('×入力'!$A$1:$L$1300,706,2+FI$2)&lt;&gt;"",INDEX('×入力'!$A$1:$L$1300,707+FI$3,1)&lt;&gt;""),1,0),0)</f>
        <v/>
      </c>
      <c r="FJ35">
        <f>IF(FJ$4=1,IF(OR(INDEX('×入力'!$A$1:$L$1300,707+FJ$3,2+FJ$2)&lt;&gt;"",INDEX('×入力'!$A$1:$L$1300,706,2+FJ$2)&lt;&gt;"",INDEX('×入力'!$A$1:$L$1300,707+FJ$3,1)&lt;&gt;""),1,0),0)</f>
        <v/>
      </c>
      <c r="FK35">
        <f>IF(FK$4=1,IF(OR(INDEX('×入力'!$A$1:$L$1300,707+FK$3,2+FK$2)&lt;&gt;"",INDEX('×入力'!$A$1:$L$1300,706,2+FK$2)&lt;&gt;"",INDEX('×入力'!$A$1:$L$1300,707+FK$3,1)&lt;&gt;""),1,0),0)</f>
        <v/>
      </c>
      <c r="FL35">
        <f>IF(FL$4=1,IF(OR(INDEX('×入力'!$A$1:$L$1300,707+FL$3,2+FL$2)&lt;&gt;"",INDEX('×入力'!$A$1:$L$1300,706,2+FL$2)&lt;&gt;"",INDEX('×入力'!$A$1:$L$1300,707+FL$3,1)&lt;&gt;""),1,0),0)</f>
        <v/>
      </c>
      <c r="FM35">
        <f>IF(FM$4=1,IF(OR(INDEX('×入力'!$A$1:$L$1300,707+FM$3,2+FM$2)&lt;&gt;"",INDEX('×入力'!$A$1:$L$1300,706,2+FM$2)&lt;&gt;"",INDEX('×入力'!$A$1:$L$1300,707+FM$3,1)&lt;&gt;""),1,0),0)</f>
        <v/>
      </c>
      <c r="FN35">
        <f>IF(FN$4=1,IF(OR(INDEX('×入力'!$A$1:$L$1300,707+FN$3,2+FN$2)&lt;&gt;"",INDEX('×入力'!$A$1:$L$1300,706,2+FN$2)&lt;&gt;"",INDEX('×入力'!$A$1:$L$1300,707+FN$3,1)&lt;&gt;""),1,0),0)</f>
        <v/>
      </c>
      <c r="FO35">
        <f>IF(FO$4=1,IF(OR(INDEX('×入力'!$A$1:$L$1300,707+FO$3,2+FO$2)&lt;&gt;"",INDEX('×入力'!$A$1:$L$1300,706,2+FO$2)&lt;&gt;"",INDEX('×入力'!$A$1:$L$1300,707+FO$3,1)&lt;&gt;""),1,0),0)</f>
        <v/>
      </c>
      <c r="FP35">
        <f>IF(FP$4=1,IF(OR(INDEX('×入力'!$A$1:$L$1300,707+FP$3,2+FP$2)&lt;&gt;"",INDEX('×入力'!$A$1:$L$1300,706,2+FP$2)&lt;&gt;"",INDEX('×入力'!$A$1:$L$1300,707+FP$3,1)&lt;&gt;""),1,0),0)</f>
        <v/>
      </c>
      <c r="FQ35">
        <f>IF(FQ$4=1,IF(OR(INDEX('×入力'!$A$1:$L$1300,707+FQ$3,2+FQ$2)&lt;&gt;"",INDEX('×入力'!$A$1:$L$1300,706,2+FQ$2)&lt;&gt;"",INDEX('×入力'!$A$1:$L$1300,707+FQ$3,1)&lt;&gt;""),1,0),0)</f>
        <v/>
      </c>
      <c r="FR35">
        <f>IF(FR$4=1,IF(OR(INDEX('×入力'!$A$1:$L$1300,707+FR$3,2+FR$2)&lt;&gt;"",INDEX('×入力'!$A$1:$L$1300,706,2+FR$2)&lt;&gt;"",INDEX('×入力'!$A$1:$L$1300,707+FR$3,1)&lt;&gt;""),1,0),0)</f>
        <v/>
      </c>
      <c r="FS35">
        <f>IF(FS$4=1,IF(OR(INDEX('×入力'!$A$1:$L$1300,707+FS$3,2+FS$2)&lt;&gt;"",INDEX('×入力'!$A$1:$L$1300,706,2+FS$2)&lt;&gt;"",INDEX('×入力'!$A$1:$L$1300,707+FS$3,1)&lt;&gt;""),1,0),0)</f>
        <v/>
      </c>
      <c r="FT35">
        <f>IF(FT$4=1,IF(OR(INDEX('×入力'!$A$1:$L$1300,707+FT$3,2+FT$2)&lt;&gt;"",INDEX('×入力'!$A$1:$L$1300,706,2+FT$2)&lt;&gt;"",INDEX('×入力'!$A$1:$L$1300,707+FT$3,1)&lt;&gt;""),1,0),0)</f>
        <v/>
      </c>
      <c r="FU35">
        <f>IF(FU$4=1,IF(OR(INDEX('×入力'!$A$1:$L$1300,707+FU$3,2+FU$2)&lt;&gt;"",INDEX('×入力'!$A$1:$L$1300,706,2+FU$2)&lt;&gt;"",INDEX('×入力'!$A$1:$L$1300,707+FU$3,1)&lt;&gt;""),1,0),0)</f>
        <v/>
      </c>
      <c r="FV35">
        <f>IF(FV$4=1,IF(OR(INDEX('×入力'!$A$1:$L$1300,707+FV$3,2+FV$2)&lt;&gt;"",INDEX('×入力'!$A$1:$L$1300,706,2+FV$2)&lt;&gt;"",INDEX('×入力'!$A$1:$L$1300,707+FV$3,1)&lt;&gt;""),1,0),0)</f>
        <v/>
      </c>
      <c r="FW35">
        <f>IF(FW$4=1,IF(OR(INDEX('×入力'!$A$1:$L$1300,707+FW$3,2+FW$2)&lt;&gt;"",INDEX('×入力'!$A$1:$L$1300,706,2+FW$2)&lt;&gt;"",INDEX('×入力'!$A$1:$L$1300,707+FW$3,1)&lt;&gt;""),1,0),0)</f>
        <v/>
      </c>
      <c r="FX35">
        <f>IF(FX$4=1,IF(OR(INDEX('×入力'!$A$1:$L$1300,707+FX$3,2+FX$2)&lt;&gt;"",INDEX('×入力'!$A$1:$L$1300,706,2+FX$2)&lt;&gt;"",INDEX('×入力'!$A$1:$L$1300,707+FX$3,1)&lt;&gt;""),1,0),0)</f>
        <v/>
      </c>
      <c r="FY35">
        <f>IF(FY$4=1,IF(OR(INDEX('×入力'!$A$1:$L$1300,707+FY$3,2+FY$2)&lt;&gt;"",INDEX('×入力'!$A$1:$L$1300,706,2+FY$2)&lt;&gt;"",INDEX('×入力'!$A$1:$L$1300,707+FY$3,1)&lt;&gt;""),1,0),0)</f>
        <v/>
      </c>
      <c r="FZ35">
        <f>IF(FZ$4=1,IF(OR(INDEX('×入力'!$A$1:$L$1300,707+FZ$3,2+FZ$2)&lt;&gt;"",INDEX('×入力'!$A$1:$L$1300,706,2+FZ$2)&lt;&gt;"",INDEX('×入力'!$A$1:$L$1300,707+FZ$3,1)&lt;&gt;""),1,0),0)</f>
        <v/>
      </c>
      <c r="GA35">
        <f>IF(GA$4=1,IF(OR(INDEX('×入力'!$A$1:$L$1300,707+GA$3,2+GA$2)&lt;&gt;"",INDEX('×入力'!$A$1:$L$1300,706,2+GA$2)&lt;&gt;"",INDEX('×入力'!$A$1:$L$1300,707+GA$3,1)&lt;&gt;""),1,0),0)</f>
        <v/>
      </c>
      <c r="GB35">
        <f>IF(GB$4=1,IF(OR(INDEX('×入力'!$A$1:$L$1300,707+GB$3,2+GB$2)&lt;&gt;"",INDEX('×入力'!$A$1:$L$1300,706,2+GB$2)&lt;&gt;"",INDEX('×入力'!$A$1:$L$1300,707+GB$3,1)&lt;&gt;""),1,0),0)</f>
        <v/>
      </c>
      <c r="GC35">
        <f>IF(GC$4=1,IF(OR(INDEX('×入力'!$A$1:$L$1300,707+GC$3,2+GC$2)&lt;&gt;"",INDEX('×入力'!$A$1:$L$1300,706,2+GC$2)&lt;&gt;"",INDEX('×入力'!$A$1:$L$1300,707+GC$3,1)&lt;&gt;""),1,0),0)</f>
        <v/>
      </c>
      <c r="GD35">
        <f>IF(GD$4=1,IF(OR(INDEX('×入力'!$A$1:$L$1300,707+GD$3,2+GD$2)&lt;&gt;"",INDEX('×入力'!$A$1:$L$1300,706,2+GD$2)&lt;&gt;"",INDEX('×入力'!$A$1:$L$1300,707+GD$3,1)&lt;&gt;""),1,0),0)</f>
        <v/>
      </c>
      <c r="GE35">
        <f>IF(GE$4=1,IF(OR(INDEX('×入力'!$A$1:$L$1300,707+GE$3,2+GE$2)&lt;&gt;"",INDEX('×入力'!$A$1:$L$1300,706,2+GE$2)&lt;&gt;"",INDEX('×入力'!$A$1:$L$1300,707+GE$3,1)&lt;&gt;""),1,0),0)</f>
        <v/>
      </c>
      <c r="GF35">
        <f>IF(GF$4=1,IF(OR(INDEX('×入力'!$A$1:$L$1300,707+GF$3,2+GF$2)&lt;&gt;"",INDEX('×入力'!$A$1:$L$1300,706,2+GF$2)&lt;&gt;"",INDEX('×入力'!$A$1:$L$1300,707+GF$3,1)&lt;&gt;""),1,0),0)</f>
        <v/>
      </c>
      <c r="GG35">
        <f>IF(GG$4=1,IF(OR(INDEX('×入力'!$A$1:$L$1300,707+GG$3,2+GG$2)&lt;&gt;"",INDEX('×入力'!$A$1:$L$1300,706,2+GG$2)&lt;&gt;"",INDEX('×入力'!$A$1:$L$1300,707+GG$3,1)&lt;&gt;""),1,0),0)</f>
        <v/>
      </c>
      <c r="GH35">
        <f>IF(GH$4=1,IF(OR(INDEX('×入力'!$A$1:$L$1300,707+GH$3,2+GH$2)&lt;&gt;"",INDEX('×入力'!$A$1:$L$1300,706,2+GH$2)&lt;&gt;"",INDEX('×入力'!$A$1:$L$1300,707+GH$3,1)&lt;&gt;""),1,0),0)</f>
        <v/>
      </c>
      <c r="GI35">
        <f>IF(GI$4=1,IF(OR(INDEX('×入力'!$A$1:$L$1300,707+GI$3,2+GI$2)&lt;&gt;"",INDEX('×入力'!$A$1:$L$1300,706,2+GI$2)&lt;&gt;"",INDEX('×入力'!$A$1:$L$1300,707+GI$3,1)&lt;&gt;""),1,0),0)</f>
        <v/>
      </c>
      <c r="GJ35">
        <f>IF(GJ$4=1,IF(OR(INDEX('×入力'!$A$1:$L$1300,707+GJ$3,2+GJ$2)&lt;&gt;"",INDEX('×入力'!$A$1:$L$1300,706,2+GJ$2)&lt;&gt;"",INDEX('×入力'!$A$1:$L$1300,707+GJ$3,1)&lt;&gt;""),1,0),0)</f>
        <v/>
      </c>
      <c r="GK35">
        <f>IF(GK$4=1,IF(OR(INDEX('×入力'!$A$1:$L$1300,707+GK$3,2+GK$2)&lt;&gt;"",INDEX('×入力'!$A$1:$L$1300,706,2+GK$2)&lt;&gt;"",INDEX('×入力'!$A$1:$L$1300,707+GK$3,1)&lt;&gt;""),1,0),0)</f>
        <v/>
      </c>
      <c r="GL35">
        <f>IF(GL$4=1,IF(OR(INDEX('×入力'!$A$1:$L$1300,707+GL$3,2+GL$2)&lt;&gt;"",INDEX('×入力'!$A$1:$L$1300,706,2+GL$2)&lt;&gt;"",INDEX('×入力'!$A$1:$L$1300,707+GL$3,1)&lt;&gt;""),1,0),0)</f>
        <v/>
      </c>
      <c r="GM35">
        <f>IF(GM$4=1,IF(OR(INDEX('×入力'!$A$1:$L$1300,707+GM$3,2+GM$2)&lt;&gt;"",INDEX('×入力'!$A$1:$L$1300,706,2+GM$2)&lt;&gt;"",INDEX('×入力'!$A$1:$L$1300,707+GM$3,1)&lt;&gt;""),1,0),0)</f>
        <v/>
      </c>
      <c r="GN35">
        <f>IF(GN$4=1,IF(OR(INDEX('×入力'!$A$1:$L$1300,707+GN$3,2+GN$2)&lt;&gt;"",INDEX('×入力'!$A$1:$L$1300,706,2+GN$2)&lt;&gt;"",INDEX('×入力'!$A$1:$L$1300,707+GN$3,1)&lt;&gt;""),1,0),0)</f>
        <v/>
      </c>
      <c r="GO35">
        <f>IF(GO$4=1,IF(OR(INDEX('×入力'!$A$1:$L$1300,707+GO$3,2+GO$2)&lt;&gt;"",INDEX('×入力'!$A$1:$L$1300,706,2+GO$2)&lt;&gt;"",INDEX('×入力'!$A$1:$L$1300,707+GO$3,1)&lt;&gt;""),1,0),0)</f>
        <v/>
      </c>
      <c r="GP35">
        <f>IF(GP$4=1,IF(OR(INDEX('×入力'!$A$1:$L$1300,707+GP$3,2+GP$2)&lt;&gt;"",INDEX('×入力'!$A$1:$L$1300,706,2+GP$2)&lt;&gt;"",INDEX('×入力'!$A$1:$L$1300,707+GP$3,1)&lt;&gt;""),1,0),0)</f>
        <v/>
      </c>
      <c r="GQ35">
        <f>IF(GQ$4=1,IF(OR(INDEX('×入力'!$A$1:$L$1300,707+GQ$3,2+GQ$2)&lt;&gt;"",INDEX('×入力'!$A$1:$L$1300,706,2+GQ$2)&lt;&gt;"",INDEX('×入力'!$A$1:$L$1300,707+GQ$3,1)&lt;&gt;""),1,0),0)</f>
        <v/>
      </c>
      <c r="GR35">
        <f>IF(GR$4=1,IF(OR(INDEX('×入力'!$A$1:$L$1300,707+GR$3,2+GR$2)&lt;&gt;"",INDEX('×入力'!$A$1:$L$1300,706,2+GR$2)&lt;&gt;"",INDEX('×入力'!$A$1:$L$1300,707+GR$3,1)&lt;&gt;""),1,0),0)</f>
        <v/>
      </c>
      <c r="GS35">
        <f>IF(GS$4=1,IF(OR(INDEX('×入力'!$A$1:$L$1300,707+GS$3,2+GS$2)&lt;&gt;"",INDEX('×入力'!$A$1:$L$1300,706,2+GS$2)&lt;&gt;"",INDEX('×入力'!$A$1:$L$1300,707+GS$3,1)&lt;&gt;""),1,0),0)</f>
        <v/>
      </c>
      <c r="GT35">
        <f>IF(GT$4=1,IF(OR(INDEX('×入力'!$A$1:$L$1300,707+GT$3,2+GT$2)&lt;&gt;"",INDEX('×入力'!$A$1:$L$1300,706,2+GT$2)&lt;&gt;"",INDEX('×入力'!$A$1:$L$1300,707+GT$3,1)&lt;&gt;""),1,0),0)</f>
        <v/>
      </c>
      <c r="GU35">
        <f>IF(GU$4=1,IF(OR(INDEX('×入力'!$A$1:$L$1300,707+GU$3,2+GU$2)&lt;&gt;"",INDEX('×入力'!$A$1:$L$1300,706,2+GU$2)&lt;&gt;"",INDEX('×入力'!$A$1:$L$1300,707+GU$3,1)&lt;&gt;""),1,0),0)</f>
        <v/>
      </c>
      <c r="GV35">
        <f>IF(GV$4=1,IF(OR(INDEX('×入力'!$A$1:$L$1300,707+GV$3,2+GV$2)&lt;&gt;"",INDEX('×入力'!$A$1:$L$1300,706,2+GV$2)&lt;&gt;"",INDEX('×入力'!$A$1:$L$1300,707+GV$3,1)&lt;&gt;""),1,0),0)</f>
        <v/>
      </c>
      <c r="GW35">
        <f>IF(GW$4=1,IF(OR(INDEX('×入力'!$A$1:$L$1300,707+GW$3,2+GW$2)&lt;&gt;"",INDEX('×入力'!$A$1:$L$1300,706,2+GW$2)&lt;&gt;"",INDEX('×入力'!$A$1:$L$1300,707+GW$3,1)&lt;&gt;""),1,0),0)</f>
        <v/>
      </c>
      <c r="GX35">
        <f>IF(GX$4=1,IF(OR(INDEX('×入力'!$A$1:$L$1300,707+GX$3,2+GX$2)&lt;&gt;"",INDEX('×入力'!$A$1:$L$1300,706,2+GX$2)&lt;&gt;"",INDEX('×入力'!$A$1:$L$1300,707+GX$3,1)&lt;&gt;""),1,0),0)</f>
        <v/>
      </c>
      <c r="GY35">
        <f>IF(GY$4=1,IF(OR(INDEX('×入力'!$A$1:$L$1300,707+GY$3,2+GY$2)&lt;&gt;"",INDEX('×入力'!$A$1:$L$1300,706,2+GY$2)&lt;&gt;"",INDEX('×入力'!$A$1:$L$1300,707+GY$3,1)&lt;&gt;""),1,0),0)</f>
        <v/>
      </c>
      <c r="GZ35">
        <f>IF(GZ$4=1,IF(OR(INDEX('×入力'!$A$1:$L$1300,707+GZ$3,2+GZ$2)&lt;&gt;"",INDEX('×入力'!$A$1:$L$1300,706,2+GZ$2)&lt;&gt;"",INDEX('×入力'!$A$1:$L$1300,707+GZ$3,1)&lt;&gt;""),1,0),0)</f>
        <v/>
      </c>
      <c r="HA35">
        <f>IF(HA$4=1,IF(OR(INDEX('×入力'!$A$1:$L$1300,707+HA$3,2+HA$2)&lt;&gt;"",INDEX('×入力'!$A$1:$L$1300,706,2+HA$2)&lt;&gt;"",INDEX('×入力'!$A$1:$L$1300,707+HA$3,1)&lt;&gt;""),1,0),0)</f>
        <v/>
      </c>
      <c r="HB35">
        <f>IF(HB$4=1,IF(OR(INDEX('×入力'!$A$1:$L$1300,707+HB$3,2+HB$2)&lt;&gt;"",INDEX('×入力'!$A$1:$L$1300,706,2+HB$2)&lt;&gt;"",INDEX('×入力'!$A$1:$L$1300,707+HB$3,1)&lt;&gt;""),1,0),0)</f>
        <v/>
      </c>
      <c r="HC35">
        <f>IF(HC$4=1,IF(OR(INDEX('×入力'!$A$1:$L$1300,707+HC$3,2+HC$2)&lt;&gt;"",INDEX('×入力'!$A$1:$L$1300,706,2+HC$2)&lt;&gt;"",INDEX('×入力'!$A$1:$L$1300,707+HC$3,1)&lt;&gt;""),1,0),0)</f>
        <v/>
      </c>
      <c r="HD35">
        <f>IF(HD$4=1,IF(OR(INDEX('×入力'!$A$1:$L$1300,707+HD$3,2+HD$2)&lt;&gt;"",INDEX('×入力'!$A$1:$L$1300,706,2+HD$2)&lt;&gt;"",INDEX('×入力'!$A$1:$L$1300,707+HD$3,1)&lt;&gt;""),1,0),0)</f>
        <v/>
      </c>
      <c r="HE35">
        <f>IF(HE$4=1,IF(OR(INDEX('×入力'!$A$1:$L$1300,707+HE$3,2+HE$2)&lt;&gt;"",INDEX('×入力'!$A$1:$L$1300,706,2+HE$2)&lt;&gt;"",INDEX('×入力'!$A$1:$L$1300,707+HE$3,1)&lt;&gt;""),1,0),0)</f>
        <v/>
      </c>
      <c r="HF35">
        <f>IF(HF$4=1,IF(OR(INDEX('×入力'!$A$1:$L$1300,707+HF$3,2+HF$2)&lt;&gt;"",INDEX('×入力'!$A$1:$L$1300,706,2+HF$2)&lt;&gt;"",INDEX('×入力'!$A$1:$L$1300,707+HF$3,1)&lt;&gt;""),1,0),0)</f>
        <v/>
      </c>
      <c r="HG35">
        <f>IF(HG$4=1,IF(OR(INDEX('×入力'!$A$1:$L$1300,707+HG$3,2+HG$2)&lt;&gt;"",INDEX('×入力'!$A$1:$L$1300,706,2+HG$2)&lt;&gt;"",INDEX('×入力'!$A$1:$L$1300,707+HG$3,1)&lt;&gt;""),1,0),0)</f>
        <v/>
      </c>
      <c r="HH35">
        <f>IF(HH$4=1,IF(OR(INDEX('×入力'!$A$1:$L$1300,707+HH$3,2+HH$2)&lt;&gt;"",INDEX('×入力'!$A$1:$L$1300,706,2+HH$2)&lt;&gt;"",INDEX('×入力'!$A$1:$L$1300,707+HH$3,1)&lt;&gt;""),1,0),0)</f>
        <v/>
      </c>
      <c r="HI35">
        <f>IF(HI$4=1,IF(OR(INDEX('×入力'!$A$1:$L$1300,707+HI$3,2+HI$2)&lt;&gt;"",INDEX('×入力'!$A$1:$L$1300,706,2+HI$2)&lt;&gt;"",INDEX('×入力'!$A$1:$L$1300,707+HI$3,1)&lt;&gt;""),1,0),0)</f>
        <v/>
      </c>
      <c r="HJ35">
        <f>IF(HJ$4=1,IF(OR(INDEX('×入力'!$A$1:$L$1300,707+HJ$3,2+HJ$2)&lt;&gt;"",INDEX('×入力'!$A$1:$L$1300,706,2+HJ$2)&lt;&gt;"",INDEX('×入力'!$A$1:$L$1300,707+HJ$3,1)&lt;&gt;""),1,0),0)</f>
        <v/>
      </c>
      <c r="HK35">
        <f>IF(HK$4=1,IF(OR(INDEX('×入力'!$A$1:$L$1300,707+HK$3,2+HK$2)&lt;&gt;"",INDEX('×入力'!$A$1:$L$1300,706,2+HK$2)&lt;&gt;"",INDEX('×入力'!$A$1:$L$1300,707+HK$3,1)&lt;&gt;""),1,0),0)</f>
        <v/>
      </c>
      <c r="HL35">
        <f>IF(HL$4=1,IF(OR(INDEX('×入力'!$A$1:$L$1300,707+HL$3,2+HL$2)&lt;&gt;"",INDEX('×入力'!$A$1:$L$1300,706,2+HL$2)&lt;&gt;"",INDEX('×入力'!$A$1:$L$1300,707+HL$3,1)&lt;&gt;""),1,0),0)</f>
        <v/>
      </c>
      <c r="HM35">
        <f>IF(HM$4=1,IF(OR(INDEX('×入力'!$A$1:$L$1300,707+HM$3,2+HM$2)&lt;&gt;"",INDEX('×入力'!$A$1:$L$1300,706,2+HM$2)&lt;&gt;"",INDEX('×入力'!$A$1:$L$1300,707+HM$3,1)&lt;&gt;""),1,0),0)</f>
        <v/>
      </c>
      <c r="HN35">
        <f>IF(HN$4=1,IF(OR(INDEX('×入力'!$A$1:$L$1300,707+HN$3,2+HN$2)&lt;&gt;"",INDEX('×入力'!$A$1:$L$1300,706,2+HN$2)&lt;&gt;"",INDEX('×入力'!$A$1:$L$1300,707+HN$3,1)&lt;&gt;""),1,0),0)</f>
        <v/>
      </c>
      <c r="HO35">
        <f>IF(HO$4=1,IF(OR(INDEX('×入力'!$A$1:$L$1300,707+HO$3,2+HO$2)&lt;&gt;"",INDEX('×入力'!$A$1:$L$1300,706,2+HO$2)&lt;&gt;"",INDEX('×入力'!$A$1:$L$1300,707+HO$3,1)&lt;&gt;""),1,0),0)</f>
        <v/>
      </c>
      <c r="HP35">
        <f>IF(HP$4=1,IF(OR(INDEX('×入力'!$A$1:$L$1300,707+HP$3,2+HP$2)&lt;&gt;"",INDEX('×入力'!$A$1:$L$1300,706,2+HP$2)&lt;&gt;"",INDEX('×入力'!$A$1:$L$1300,707+HP$3,1)&lt;&gt;""),1,0),0)</f>
        <v/>
      </c>
      <c r="HQ35">
        <f>IF(HQ$4=1,IF(OR(INDEX('×入力'!$A$1:$L$1300,707+HQ$3,2+HQ$2)&lt;&gt;"",INDEX('×入力'!$A$1:$L$1300,706,2+HQ$2)&lt;&gt;"",INDEX('×入力'!$A$1:$L$1300,707+HQ$3,1)&lt;&gt;""),1,0),0)</f>
        <v/>
      </c>
      <c r="HR35">
        <f>IF(HR$4=1,IF(OR(INDEX('×入力'!$A$1:$L$1300,707+HR$3,2+HR$2)&lt;&gt;"",INDEX('×入力'!$A$1:$L$1300,706,2+HR$2)&lt;&gt;"",INDEX('×入力'!$A$1:$L$1300,707+HR$3,1)&lt;&gt;""),1,0),0)</f>
        <v/>
      </c>
      <c r="HS35">
        <f>IF(HS$4=1,IF(OR(INDEX('×入力'!$A$1:$L$1300,707+HS$3,2+HS$2)&lt;&gt;"",INDEX('×入力'!$A$1:$L$1300,706,2+HS$2)&lt;&gt;"",INDEX('×入力'!$A$1:$L$1300,707+HS$3,1)&lt;&gt;""),1,0),0)</f>
        <v/>
      </c>
      <c r="HT35">
        <f>IF(HT$4=1,IF(OR(INDEX('×入力'!$A$1:$L$1300,707+HT$3,2+HT$2)&lt;&gt;"",INDEX('×入力'!$A$1:$L$1300,706,2+HT$2)&lt;&gt;"",INDEX('×入力'!$A$1:$L$1300,707+HT$3,1)&lt;&gt;""),1,0),0)</f>
        <v/>
      </c>
      <c r="HU35">
        <f>IF(HU$4=1,IF(OR(INDEX('×入力'!$A$1:$L$1300,707+HU$3,2+HU$2)&lt;&gt;"",INDEX('×入力'!$A$1:$L$1300,706,2+HU$2)&lt;&gt;"",INDEX('×入力'!$A$1:$L$1300,707+HU$3,1)&lt;&gt;""),1,0),0)</f>
        <v/>
      </c>
      <c r="HV35">
        <f>IF(HV$4=1,IF(OR(INDEX('×入力'!$A$1:$L$1300,707+HV$3,2+HV$2)&lt;&gt;"",INDEX('×入力'!$A$1:$L$1300,706,2+HV$2)&lt;&gt;"",INDEX('×入力'!$A$1:$L$1300,707+HV$3,1)&lt;&gt;""),1,0),0)</f>
        <v/>
      </c>
      <c r="HW35">
        <f>IF(HW$4=1,IF(OR(INDEX('×入力'!$A$1:$L$1300,707+HW$3,2+HW$2)&lt;&gt;"",INDEX('×入力'!$A$1:$L$1300,706,2+HW$2)&lt;&gt;"",INDEX('×入力'!$A$1:$L$1300,707+HW$3,1)&lt;&gt;""),1,0),0)</f>
        <v/>
      </c>
      <c r="HX35">
        <f>IF(HX$4=1,IF(OR(INDEX('×入力'!$A$1:$L$1300,707+HX$3,2+HX$2)&lt;&gt;"",INDEX('×入力'!$A$1:$L$1300,706,2+HX$2)&lt;&gt;"",INDEX('×入力'!$A$1:$L$1300,707+HX$3,1)&lt;&gt;""),1,0),0)</f>
        <v/>
      </c>
      <c r="HY35">
        <f>IF(HY$4=1,IF(OR(INDEX('×入力'!$A$1:$L$1300,707+HY$3,2+HY$2)&lt;&gt;"",INDEX('×入力'!$A$1:$L$1300,706,2+HY$2)&lt;&gt;"",INDEX('×入力'!$A$1:$L$1300,707+HY$3,1)&lt;&gt;""),1,0),0)</f>
        <v/>
      </c>
      <c r="HZ35">
        <f>IF(HZ$4=1,IF(OR(INDEX('×入力'!$A$1:$L$1300,707+HZ$3,2+HZ$2)&lt;&gt;"",INDEX('×入力'!$A$1:$L$1300,706,2+HZ$2)&lt;&gt;"",INDEX('×入力'!$A$1:$L$1300,707+HZ$3,1)&lt;&gt;""),1,0),0)</f>
        <v/>
      </c>
      <c r="IA35">
        <f>IF(IA$4=1,IF(OR(INDEX('×入力'!$A$1:$L$1300,707+IA$3,2+IA$2)&lt;&gt;"",INDEX('×入力'!$A$1:$L$1300,706,2+IA$2)&lt;&gt;"",INDEX('×入力'!$A$1:$L$1300,707+IA$3,1)&lt;&gt;""),1,0),0)</f>
        <v/>
      </c>
      <c r="IB35">
        <f>IF(IB$4=1,IF(OR(INDEX('×入力'!$A$1:$L$1300,707+IB$3,2+IB$2)&lt;&gt;"",INDEX('×入力'!$A$1:$L$1300,706,2+IB$2)&lt;&gt;"",INDEX('×入力'!$A$1:$L$1300,707+IB$3,1)&lt;&gt;""),1,0),0)</f>
        <v/>
      </c>
      <c r="IC35">
        <f>IF(IC$4=1,IF(OR(INDEX('×入力'!$A$1:$L$1300,707+IC$3,2+IC$2)&lt;&gt;"",INDEX('×入力'!$A$1:$L$1300,706,2+IC$2)&lt;&gt;"",INDEX('×入力'!$A$1:$L$1300,707+IC$3,1)&lt;&gt;""),1,0),0)</f>
        <v/>
      </c>
      <c r="ID35">
        <f>IF(ID$4=1,IF(OR(INDEX('×入力'!$A$1:$L$1300,707+ID$3,2+ID$2)&lt;&gt;"",INDEX('×入力'!$A$1:$L$1300,706,2+ID$2)&lt;&gt;"",INDEX('×入力'!$A$1:$L$1300,707+ID$3,1)&lt;&gt;""),1,0),0)</f>
        <v/>
      </c>
      <c r="IE35">
        <f>IF(IE$4=1,IF(OR(INDEX('×入力'!$A$1:$L$1300,707+IE$3,2+IE$2)&lt;&gt;"",INDEX('×入力'!$A$1:$L$1300,706,2+IE$2)&lt;&gt;"",INDEX('×入力'!$A$1:$L$1300,707+IE$3,1)&lt;&gt;""),1,0),0)</f>
        <v/>
      </c>
      <c r="IF35">
        <f>IF(IF$4=1,IF(OR(INDEX('×入力'!$A$1:$L$1300,707+IF$3,2+IF$2)&lt;&gt;"",INDEX('×入力'!$A$1:$L$1300,706,2+IF$2)&lt;&gt;"",INDEX('×入力'!$A$1:$L$1300,707+IF$3,1)&lt;&gt;""),1,0),0)</f>
        <v/>
      </c>
      <c r="IG35">
        <f>IF(IG$4=1,IF(OR(INDEX('×入力'!$A$1:$L$1300,707+IG$3,2+IG$2)&lt;&gt;"",INDEX('×入力'!$A$1:$L$1300,706,2+IG$2)&lt;&gt;"",INDEX('×入力'!$A$1:$L$1300,707+IG$3,1)&lt;&gt;""),1,0),0)</f>
        <v/>
      </c>
      <c r="IH35">
        <f>IF(IH$4=1,IF(OR(INDEX('×入力'!$A$1:$L$1300,707+IH$3,2+IH$2)&lt;&gt;"",INDEX('×入力'!$A$1:$L$1300,706,2+IH$2)&lt;&gt;"",INDEX('×入力'!$A$1:$L$1300,707+IH$3,1)&lt;&gt;""),1,0),0)</f>
        <v/>
      </c>
      <c r="II35">
        <f>IF(II$4=1,IF(OR(INDEX('×入力'!$A$1:$L$1300,707+II$3,2+II$2)&lt;&gt;"",INDEX('×入力'!$A$1:$L$1300,706,2+II$2)&lt;&gt;"",INDEX('×入力'!$A$1:$L$1300,707+II$3,1)&lt;&gt;""),1,0),0)</f>
        <v/>
      </c>
      <c r="IK35">
        <f>IFERROR(INDEX('計算B'!$C$3:$C$47,MATCH(A35,'計算B'!$B$3:$B$47,0)),0)</f>
        <v/>
      </c>
      <c r="IL35">
        <f>IF(AND(C35=1,IK35=0),1,0)</f>
        <v/>
      </c>
      <c r="IM35">
        <f>SUMPRODUCT(D85:II85*(1-$D$7:$II$7))</f>
        <v/>
      </c>
      <c r="IN35">
        <f>SUM(D35:II35)</f>
        <v/>
      </c>
      <c r="IO35">
        <f>IF(B35="",0,IF(COUNTIF('調整・決定'!$C$6:$L$29,B35)=1,SUMPRODUCT(('調整・決定'!$C$6:$L$29=B35)*((COLUMN('調整・決定'!$C$6:$L$29)-3)*24+ROW('調整・決定'!$C$6:$L$29)-5)),0))</f>
        <v/>
      </c>
      <c r="IP35">
        <f>IFERROR(MATCH('名簿'!E30,{"早い時刻","遅い時刻","早い日","遅い日"},0),0)</f>
        <v/>
      </c>
      <c r="IQ35">
        <f>IF('名簿'!F30="必ず空けたい",2,IF('名簿'!F30="出来れば空けたい",1,0))</f>
        <v/>
      </c>
    </row>
    <row r="36">
      <c r="A36" t="n">
        <v>27</v>
      </c>
      <c r="B36">
        <f>'名簿'!G31</f>
        <v/>
      </c>
      <c r="C36">
        <f>IF(AND(B36&lt;&gt;"",OR('名簿'!H31="入力済み",'名簿'!H31="×なし"),IO36=0,COUNTIF('調整・決定'!$C$6:$L$29,B36)=0),1,0)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ER36">
        <f>IF(ER$4=1,IF(OR(INDEX('×入力'!$A$1:$L$1300,735+ER$3,2+ER$2)&lt;&gt;"",INDEX('×入力'!$A$1:$L$1300,734,2+ER$2)&lt;&gt;"",INDEX('×入力'!$A$1:$L$1300,735+ER$3,1)&lt;&gt;""),1,0),0)</f>
        <v/>
      </c>
      <c r="ES36">
        <f>IF(ES$4=1,IF(OR(INDEX('×入力'!$A$1:$L$1300,735+ES$3,2+ES$2)&lt;&gt;"",INDEX('×入力'!$A$1:$L$1300,734,2+ES$2)&lt;&gt;"",INDEX('×入力'!$A$1:$L$1300,735+ES$3,1)&lt;&gt;""),1,0),0)</f>
        <v/>
      </c>
      <c r="ET36">
        <f>IF(ET$4=1,IF(OR(INDEX('×入力'!$A$1:$L$1300,735+ET$3,2+ET$2)&lt;&gt;"",INDEX('×入力'!$A$1:$L$1300,734,2+ET$2)&lt;&gt;"",INDEX('×入力'!$A$1:$L$1300,735+ET$3,1)&lt;&gt;""),1,0),0)</f>
        <v/>
      </c>
      <c r="EU36">
        <f>IF(EU$4=1,IF(OR(INDEX('×入力'!$A$1:$L$1300,735+EU$3,2+EU$2)&lt;&gt;"",INDEX('×入力'!$A$1:$L$1300,734,2+EU$2)&lt;&gt;"",INDEX('×入力'!$A$1:$L$1300,735+EU$3,1)&lt;&gt;""),1,0),0)</f>
        <v/>
      </c>
      <c r="EV36">
        <f>IF(EV$4=1,IF(OR(INDEX('×入力'!$A$1:$L$1300,735+EV$3,2+EV$2)&lt;&gt;"",INDEX('×入力'!$A$1:$L$1300,734,2+EV$2)&lt;&gt;"",INDEX('×入力'!$A$1:$L$1300,735+EV$3,1)&lt;&gt;""),1,0),0)</f>
        <v/>
      </c>
      <c r="EW36">
        <f>IF(EW$4=1,IF(OR(INDEX('×入力'!$A$1:$L$1300,735+EW$3,2+EW$2)&lt;&gt;"",INDEX('×入力'!$A$1:$L$1300,734,2+EW$2)&lt;&gt;"",INDEX('×入力'!$A$1:$L$1300,735+EW$3,1)&lt;&gt;""),1,0),0)</f>
        <v/>
      </c>
      <c r="EX36">
        <f>IF(EX$4=1,IF(OR(INDEX('×入力'!$A$1:$L$1300,735+EX$3,2+EX$2)&lt;&gt;"",INDEX('×入力'!$A$1:$L$1300,734,2+EX$2)&lt;&gt;"",INDEX('×入力'!$A$1:$L$1300,735+EX$3,1)&lt;&gt;""),1,0),0)</f>
        <v/>
      </c>
      <c r="EY36">
        <f>IF(EY$4=1,IF(OR(INDEX('×入力'!$A$1:$L$1300,735+EY$3,2+EY$2)&lt;&gt;"",INDEX('×入力'!$A$1:$L$1300,734,2+EY$2)&lt;&gt;"",INDEX('×入力'!$A$1:$L$1300,735+EY$3,1)&lt;&gt;""),1,0),0)</f>
        <v/>
      </c>
      <c r="EZ36">
        <f>IF(EZ$4=1,IF(OR(INDEX('×入力'!$A$1:$L$1300,735+EZ$3,2+EZ$2)&lt;&gt;"",INDEX('×入力'!$A$1:$L$1300,734,2+EZ$2)&lt;&gt;"",INDEX('×入力'!$A$1:$L$1300,735+EZ$3,1)&lt;&gt;""),1,0),0)</f>
        <v/>
      </c>
      <c r="FA36">
        <f>IF(FA$4=1,IF(OR(INDEX('×入力'!$A$1:$L$1300,735+FA$3,2+FA$2)&lt;&gt;"",INDEX('×入力'!$A$1:$L$1300,734,2+FA$2)&lt;&gt;"",INDEX('×入力'!$A$1:$L$1300,735+FA$3,1)&lt;&gt;""),1,0),0)</f>
        <v/>
      </c>
      <c r="FB36">
        <f>IF(FB$4=1,IF(OR(INDEX('×入力'!$A$1:$L$1300,735+FB$3,2+FB$2)&lt;&gt;"",INDEX('×入力'!$A$1:$L$1300,734,2+FB$2)&lt;&gt;"",INDEX('×入力'!$A$1:$L$1300,735+FB$3,1)&lt;&gt;""),1,0),0)</f>
        <v/>
      </c>
      <c r="FC36">
        <f>IF(FC$4=1,IF(OR(INDEX('×入力'!$A$1:$L$1300,735+FC$3,2+FC$2)&lt;&gt;"",INDEX('×入力'!$A$1:$L$1300,734,2+FC$2)&lt;&gt;"",INDEX('×入力'!$A$1:$L$1300,735+FC$3,1)&lt;&gt;""),1,0),0)</f>
        <v/>
      </c>
      <c r="FD36">
        <f>IF(FD$4=1,IF(OR(INDEX('×入力'!$A$1:$L$1300,735+FD$3,2+FD$2)&lt;&gt;"",INDEX('×入力'!$A$1:$L$1300,734,2+FD$2)&lt;&gt;"",INDEX('×入力'!$A$1:$L$1300,735+FD$3,1)&lt;&gt;""),1,0),0)</f>
        <v/>
      </c>
      <c r="FE36">
        <f>IF(FE$4=1,IF(OR(INDEX('×入力'!$A$1:$L$1300,735+FE$3,2+FE$2)&lt;&gt;"",INDEX('×入力'!$A$1:$L$1300,734,2+FE$2)&lt;&gt;"",INDEX('×入力'!$A$1:$L$1300,735+FE$3,1)&lt;&gt;""),1,0),0)</f>
        <v/>
      </c>
      <c r="FF36">
        <f>IF(FF$4=1,IF(OR(INDEX('×入力'!$A$1:$L$1300,735+FF$3,2+FF$2)&lt;&gt;"",INDEX('×入力'!$A$1:$L$1300,734,2+FF$2)&lt;&gt;"",INDEX('×入力'!$A$1:$L$1300,735+FF$3,1)&lt;&gt;""),1,0),0)</f>
        <v/>
      </c>
      <c r="FG36">
        <f>IF(FG$4=1,IF(OR(INDEX('×入力'!$A$1:$L$1300,735+FG$3,2+FG$2)&lt;&gt;"",INDEX('×入力'!$A$1:$L$1300,734,2+FG$2)&lt;&gt;"",INDEX('×入力'!$A$1:$L$1300,735+FG$3,1)&lt;&gt;""),1,0),0)</f>
        <v/>
      </c>
      <c r="FH36">
        <f>IF(FH$4=1,IF(OR(INDEX('×入力'!$A$1:$L$1300,735+FH$3,2+FH$2)&lt;&gt;"",INDEX('×入力'!$A$1:$L$1300,734,2+FH$2)&lt;&gt;"",INDEX('×入力'!$A$1:$L$1300,735+FH$3,1)&lt;&gt;""),1,0),0)</f>
        <v/>
      </c>
      <c r="FI36">
        <f>IF(FI$4=1,IF(OR(INDEX('×入力'!$A$1:$L$1300,735+FI$3,2+FI$2)&lt;&gt;"",INDEX('×入力'!$A$1:$L$1300,734,2+FI$2)&lt;&gt;"",INDEX('×入力'!$A$1:$L$1300,735+FI$3,1)&lt;&gt;""),1,0),0)</f>
        <v/>
      </c>
      <c r="FJ36">
        <f>IF(FJ$4=1,IF(OR(INDEX('×入力'!$A$1:$L$1300,735+FJ$3,2+FJ$2)&lt;&gt;"",INDEX('×入力'!$A$1:$L$1300,734,2+FJ$2)&lt;&gt;"",INDEX('×入力'!$A$1:$L$1300,735+FJ$3,1)&lt;&gt;""),1,0),0)</f>
        <v/>
      </c>
      <c r="FK36">
        <f>IF(FK$4=1,IF(OR(INDEX('×入力'!$A$1:$L$1300,735+FK$3,2+FK$2)&lt;&gt;"",INDEX('×入力'!$A$1:$L$1300,734,2+FK$2)&lt;&gt;"",INDEX('×入力'!$A$1:$L$1300,735+FK$3,1)&lt;&gt;""),1,0),0)</f>
        <v/>
      </c>
      <c r="FL36">
        <f>IF(FL$4=1,IF(OR(INDEX('×入力'!$A$1:$L$1300,735+FL$3,2+FL$2)&lt;&gt;"",INDEX('×入力'!$A$1:$L$1300,734,2+FL$2)&lt;&gt;"",INDEX('×入力'!$A$1:$L$1300,735+FL$3,1)&lt;&gt;""),1,0),0)</f>
        <v/>
      </c>
      <c r="FM36">
        <f>IF(FM$4=1,IF(OR(INDEX('×入力'!$A$1:$L$1300,735+FM$3,2+FM$2)&lt;&gt;"",INDEX('×入力'!$A$1:$L$1300,734,2+FM$2)&lt;&gt;"",INDEX('×入力'!$A$1:$L$1300,735+FM$3,1)&lt;&gt;""),1,0),0)</f>
        <v/>
      </c>
      <c r="FN36">
        <f>IF(FN$4=1,IF(OR(INDEX('×入力'!$A$1:$L$1300,735+FN$3,2+FN$2)&lt;&gt;"",INDEX('×入力'!$A$1:$L$1300,734,2+FN$2)&lt;&gt;"",INDEX('×入力'!$A$1:$L$1300,735+FN$3,1)&lt;&gt;""),1,0),0)</f>
        <v/>
      </c>
      <c r="FO36">
        <f>IF(FO$4=1,IF(OR(INDEX('×入力'!$A$1:$L$1300,735+FO$3,2+FO$2)&lt;&gt;"",INDEX('×入力'!$A$1:$L$1300,734,2+FO$2)&lt;&gt;"",INDEX('×入力'!$A$1:$L$1300,735+FO$3,1)&lt;&gt;""),1,0),0)</f>
        <v/>
      </c>
      <c r="FP36">
        <f>IF(FP$4=1,IF(OR(INDEX('×入力'!$A$1:$L$1300,735+FP$3,2+FP$2)&lt;&gt;"",INDEX('×入力'!$A$1:$L$1300,734,2+FP$2)&lt;&gt;"",INDEX('×入力'!$A$1:$L$1300,735+FP$3,1)&lt;&gt;""),1,0),0)</f>
        <v/>
      </c>
      <c r="FQ36">
        <f>IF(FQ$4=1,IF(OR(INDEX('×入力'!$A$1:$L$1300,735+FQ$3,2+FQ$2)&lt;&gt;"",INDEX('×入力'!$A$1:$L$1300,734,2+FQ$2)&lt;&gt;"",INDEX('×入力'!$A$1:$L$1300,735+FQ$3,1)&lt;&gt;""),1,0),0)</f>
        <v/>
      </c>
      <c r="FR36">
        <f>IF(FR$4=1,IF(OR(INDEX('×入力'!$A$1:$L$1300,735+FR$3,2+FR$2)&lt;&gt;"",INDEX('×入力'!$A$1:$L$1300,734,2+FR$2)&lt;&gt;"",INDEX('×入力'!$A$1:$L$1300,735+FR$3,1)&lt;&gt;""),1,0),0)</f>
        <v/>
      </c>
      <c r="FS36">
        <f>IF(FS$4=1,IF(OR(INDEX('×入力'!$A$1:$L$1300,735+FS$3,2+FS$2)&lt;&gt;"",INDEX('×入力'!$A$1:$L$1300,734,2+FS$2)&lt;&gt;"",INDEX('×入力'!$A$1:$L$1300,735+FS$3,1)&lt;&gt;""),1,0),0)</f>
        <v/>
      </c>
      <c r="FT36">
        <f>IF(FT$4=1,IF(OR(INDEX('×入力'!$A$1:$L$1300,735+FT$3,2+FT$2)&lt;&gt;"",INDEX('×入力'!$A$1:$L$1300,734,2+FT$2)&lt;&gt;"",INDEX('×入力'!$A$1:$L$1300,735+FT$3,1)&lt;&gt;""),1,0),0)</f>
        <v/>
      </c>
      <c r="FU36">
        <f>IF(FU$4=1,IF(OR(INDEX('×入力'!$A$1:$L$1300,735+FU$3,2+FU$2)&lt;&gt;"",INDEX('×入力'!$A$1:$L$1300,734,2+FU$2)&lt;&gt;"",INDEX('×入力'!$A$1:$L$1300,735+FU$3,1)&lt;&gt;""),1,0),0)</f>
        <v/>
      </c>
      <c r="FV36">
        <f>IF(FV$4=1,IF(OR(INDEX('×入力'!$A$1:$L$1300,735+FV$3,2+FV$2)&lt;&gt;"",INDEX('×入力'!$A$1:$L$1300,734,2+FV$2)&lt;&gt;"",INDEX('×入力'!$A$1:$L$1300,735+FV$3,1)&lt;&gt;""),1,0),0)</f>
        <v/>
      </c>
      <c r="FW36">
        <f>IF(FW$4=1,IF(OR(INDEX('×入力'!$A$1:$L$1300,735+FW$3,2+FW$2)&lt;&gt;"",INDEX('×入力'!$A$1:$L$1300,734,2+FW$2)&lt;&gt;"",INDEX('×入力'!$A$1:$L$1300,735+FW$3,1)&lt;&gt;""),1,0),0)</f>
        <v/>
      </c>
      <c r="FX36">
        <f>IF(FX$4=1,IF(OR(INDEX('×入力'!$A$1:$L$1300,735+FX$3,2+FX$2)&lt;&gt;"",INDEX('×入力'!$A$1:$L$1300,734,2+FX$2)&lt;&gt;"",INDEX('×入力'!$A$1:$L$1300,735+FX$3,1)&lt;&gt;""),1,0),0)</f>
        <v/>
      </c>
      <c r="FY36">
        <f>IF(FY$4=1,IF(OR(INDEX('×入力'!$A$1:$L$1300,735+FY$3,2+FY$2)&lt;&gt;"",INDEX('×入力'!$A$1:$L$1300,734,2+FY$2)&lt;&gt;"",INDEX('×入力'!$A$1:$L$1300,735+FY$3,1)&lt;&gt;""),1,0),0)</f>
        <v/>
      </c>
      <c r="FZ36">
        <f>IF(FZ$4=1,IF(OR(INDEX('×入力'!$A$1:$L$1300,735+FZ$3,2+FZ$2)&lt;&gt;"",INDEX('×入力'!$A$1:$L$1300,734,2+FZ$2)&lt;&gt;"",INDEX('×入力'!$A$1:$L$1300,735+FZ$3,1)&lt;&gt;""),1,0),0)</f>
        <v/>
      </c>
      <c r="GA36">
        <f>IF(GA$4=1,IF(OR(INDEX('×入力'!$A$1:$L$1300,735+GA$3,2+GA$2)&lt;&gt;"",INDEX('×入力'!$A$1:$L$1300,734,2+GA$2)&lt;&gt;"",INDEX('×入力'!$A$1:$L$1300,735+GA$3,1)&lt;&gt;""),1,0),0)</f>
        <v/>
      </c>
      <c r="GB36">
        <f>IF(GB$4=1,IF(OR(INDEX('×入力'!$A$1:$L$1300,735+GB$3,2+GB$2)&lt;&gt;"",INDEX('×入力'!$A$1:$L$1300,734,2+GB$2)&lt;&gt;"",INDEX('×入力'!$A$1:$L$1300,735+GB$3,1)&lt;&gt;""),1,0),0)</f>
        <v/>
      </c>
      <c r="GC36">
        <f>IF(GC$4=1,IF(OR(INDEX('×入力'!$A$1:$L$1300,735+GC$3,2+GC$2)&lt;&gt;"",INDEX('×入力'!$A$1:$L$1300,734,2+GC$2)&lt;&gt;"",INDEX('×入力'!$A$1:$L$1300,735+GC$3,1)&lt;&gt;""),1,0),0)</f>
        <v/>
      </c>
      <c r="GD36">
        <f>IF(GD$4=1,IF(OR(INDEX('×入力'!$A$1:$L$1300,735+GD$3,2+GD$2)&lt;&gt;"",INDEX('×入力'!$A$1:$L$1300,734,2+GD$2)&lt;&gt;"",INDEX('×入力'!$A$1:$L$1300,735+GD$3,1)&lt;&gt;""),1,0),0)</f>
        <v/>
      </c>
      <c r="GE36">
        <f>IF(GE$4=1,IF(OR(INDEX('×入力'!$A$1:$L$1300,735+GE$3,2+GE$2)&lt;&gt;"",INDEX('×入力'!$A$1:$L$1300,734,2+GE$2)&lt;&gt;"",INDEX('×入力'!$A$1:$L$1300,735+GE$3,1)&lt;&gt;""),1,0),0)</f>
        <v/>
      </c>
      <c r="GF36">
        <f>IF(GF$4=1,IF(OR(INDEX('×入力'!$A$1:$L$1300,735+GF$3,2+GF$2)&lt;&gt;"",INDEX('×入力'!$A$1:$L$1300,734,2+GF$2)&lt;&gt;"",INDEX('×入力'!$A$1:$L$1300,735+GF$3,1)&lt;&gt;""),1,0),0)</f>
        <v/>
      </c>
      <c r="GG36">
        <f>IF(GG$4=1,IF(OR(INDEX('×入力'!$A$1:$L$1300,735+GG$3,2+GG$2)&lt;&gt;"",INDEX('×入力'!$A$1:$L$1300,734,2+GG$2)&lt;&gt;"",INDEX('×入力'!$A$1:$L$1300,735+GG$3,1)&lt;&gt;""),1,0),0)</f>
        <v/>
      </c>
      <c r="GH36">
        <f>IF(GH$4=1,IF(OR(INDEX('×入力'!$A$1:$L$1300,735+GH$3,2+GH$2)&lt;&gt;"",INDEX('×入力'!$A$1:$L$1300,734,2+GH$2)&lt;&gt;"",INDEX('×入力'!$A$1:$L$1300,735+GH$3,1)&lt;&gt;""),1,0),0)</f>
        <v/>
      </c>
      <c r="GI36">
        <f>IF(GI$4=1,IF(OR(INDEX('×入力'!$A$1:$L$1300,735+GI$3,2+GI$2)&lt;&gt;"",INDEX('×入力'!$A$1:$L$1300,734,2+GI$2)&lt;&gt;"",INDEX('×入力'!$A$1:$L$1300,735+GI$3,1)&lt;&gt;""),1,0),0)</f>
        <v/>
      </c>
      <c r="GJ36">
        <f>IF(GJ$4=1,IF(OR(INDEX('×入力'!$A$1:$L$1300,735+GJ$3,2+GJ$2)&lt;&gt;"",INDEX('×入力'!$A$1:$L$1300,734,2+GJ$2)&lt;&gt;"",INDEX('×入力'!$A$1:$L$1300,735+GJ$3,1)&lt;&gt;""),1,0),0)</f>
        <v/>
      </c>
      <c r="GK36">
        <f>IF(GK$4=1,IF(OR(INDEX('×入力'!$A$1:$L$1300,735+GK$3,2+GK$2)&lt;&gt;"",INDEX('×入力'!$A$1:$L$1300,734,2+GK$2)&lt;&gt;"",INDEX('×入力'!$A$1:$L$1300,735+GK$3,1)&lt;&gt;""),1,0),0)</f>
        <v/>
      </c>
      <c r="GL36">
        <f>IF(GL$4=1,IF(OR(INDEX('×入力'!$A$1:$L$1300,735+GL$3,2+GL$2)&lt;&gt;"",INDEX('×入力'!$A$1:$L$1300,734,2+GL$2)&lt;&gt;"",INDEX('×入力'!$A$1:$L$1300,735+GL$3,1)&lt;&gt;""),1,0),0)</f>
        <v/>
      </c>
      <c r="GM36">
        <f>IF(GM$4=1,IF(OR(INDEX('×入力'!$A$1:$L$1300,735+GM$3,2+GM$2)&lt;&gt;"",INDEX('×入力'!$A$1:$L$1300,734,2+GM$2)&lt;&gt;"",INDEX('×入力'!$A$1:$L$1300,735+GM$3,1)&lt;&gt;""),1,0),0)</f>
        <v/>
      </c>
      <c r="GN36">
        <f>IF(GN$4=1,IF(OR(INDEX('×入力'!$A$1:$L$1300,735+GN$3,2+GN$2)&lt;&gt;"",INDEX('×入力'!$A$1:$L$1300,734,2+GN$2)&lt;&gt;"",INDEX('×入力'!$A$1:$L$1300,735+GN$3,1)&lt;&gt;""),1,0),0)</f>
        <v/>
      </c>
      <c r="GO36">
        <f>IF(GO$4=1,IF(OR(INDEX('×入力'!$A$1:$L$1300,735+GO$3,2+GO$2)&lt;&gt;"",INDEX('×入力'!$A$1:$L$1300,734,2+GO$2)&lt;&gt;"",INDEX('×入力'!$A$1:$L$1300,735+GO$3,1)&lt;&gt;""),1,0),0)</f>
        <v/>
      </c>
      <c r="GP36">
        <f>IF(GP$4=1,IF(OR(INDEX('×入力'!$A$1:$L$1300,735+GP$3,2+GP$2)&lt;&gt;"",INDEX('×入力'!$A$1:$L$1300,734,2+GP$2)&lt;&gt;"",INDEX('×入力'!$A$1:$L$1300,735+GP$3,1)&lt;&gt;""),1,0),0)</f>
        <v/>
      </c>
      <c r="GQ36">
        <f>IF(GQ$4=1,IF(OR(INDEX('×入力'!$A$1:$L$1300,735+GQ$3,2+GQ$2)&lt;&gt;"",INDEX('×入力'!$A$1:$L$1300,734,2+GQ$2)&lt;&gt;"",INDEX('×入力'!$A$1:$L$1300,735+GQ$3,1)&lt;&gt;""),1,0),0)</f>
        <v/>
      </c>
      <c r="GR36">
        <f>IF(GR$4=1,IF(OR(INDEX('×入力'!$A$1:$L$1300,735+GR$3,2+GR$2)&lt;&gt;"",INDEX('×入力'!$A$1:$L$1300,734,2+GR$2)&lt;&gt;"",INDEX('×入力'!$A$1:$L$1300,735+GR$3,1)&lt;&gt;""),1,0),0)</f>
        <v/>
      </c>
      <c r="GS36">
        <f>IF(GS$4=1,IF(OR(INDEX('×入力'!$A$1:$L$1300,735+GS$3,2+GS$2)&lt;&gt;"",INDEX('×入力'!$A$1:$L$1300,734,2+GS$2)&lt;&gt;"",INDEX('×入力'!$A$1:$L$1300,735+GS$3,1)&lt;&gt;""),1,0),0)</f>
        <v/>
      </c>
      <c r="GT36">
        <f>IF(GT$4=1,IF(OR(INDEX('×入力'!$A$1:$L$1300,735+GT$3,2+GT$2)&lt;&gt;"",INDEX('×入力'!$A$1:$L$1300,734,2+GT$2)&lt;&gt;"",INDEX('×入力'!$A$1:$L$1300,735+GT$3,1)&lt;&gt;""),1,0),0)</f>
        <v/>
      </c>
      <c r="GU36">
        <f>IF(GU$4=1,IF(OR(INDEX('×入力'!$A$1:$L$1300,735+GU$3,2+GU$2)&lt;&gt;"",INDEX('×入力'!$A$1:$L$1300,734,2+GU$2)&lt;&gt;"",INDEX('×入力'!$A$1:$L$1300,735+GU$3,1)&lt;&gt;""),1,0),0)</f>
        <v/>
      </c>
      <c r="GV36">
        <f>IF(GV$4=1,IF(OR(INDEX('×入力'!$A$1:$L$1300,735+GV$3,2+GV$2)&lt;&gt;"",INDEX('×入力'!$A$1:$L$1300,734,2+GV$2)&lt;&gt;"",INDEX('×入力'!$A$1:$L$1300,735+GV$3,1)&lt;&gt;""),1,0),0)</f>
        <v/>
      </c>
      <c r="GW36">
        <f>IF(GW$4=1,IF(OR(INDEX('×入力'!$A$1:$L$1300,735+GW$3,2+GW$2)&lt;&gt;"",INDEX('×入力'!$A$1:$L$1300,734,2+GW$2)&lt;&gt;"",INDEX('×入力'!$A$1:$L$1300,735+GW$3,1)&lt;&gt;""),1,0),0)</f>
        <v/>
      </c>
      <c r="GX36">
        <f>IF(GX$4=1,IF(OR(INDEX('×入力'!$A$1:$L$1300,735+GX$3,2+GX$2)&lt;&gt;"",INDEX('×入力'!$A$1:$L$1300,734,2+GX$2)&lt;&gt;"",INDEX('×入力'!$A$1:$L$1300,735+GX$3,1)&lt;&gt;""),1,0),0)</f>
        <v/>
      </c>
      <c r="GY36">
        <f>IF(GY$4=1,IF(OR(INDEX('×入力'!$A$1:$L$1300,735+GY$3,2+GY$2)&lt;&gt;"",INDEX('×入力'!$A$1:$L$1300,734,2+GY$2)&lt;&gt;"",INDEX('×入力'!$A$1:$L$1300,735+GY$3,1)&lt;&gt;""),1,0),0)</f>
        <v/>
      </c>
      <c r="GZ36">
        <f>IF(GZ$4=1,IF(OR(INDEX('×入力'!$A$1:$L$1300,735+GZ$3,2+GZ$2)&lt;&gt;"",INDEX('×入力'!$A$1:$L$1300,734,2+GZ$2)&lt;&gt;"",INDEX('×入力'!$A$1:$L$1300,735+GZ$3,1)&lt;&gt;""),1,0),0)</f>
        <v/>
      </c>
      <c r="HA36">
        <f>IF(HA$4=1,IF(OR(INDEX('×入力'!$A$1:$L$1300,735+HA$3,2+HA$2)&lt;&gt;"",INDEX('×入力'!$A$1:$L$1300,734,2+HA$2)&lt;&gt;"",INDEX('×入力'!$A$1:$L$1300,735+HA$3,1)&lt;&gt;""),1,0),0)</f>
        <v/>
      </c>
      <c r="HB36">
        <f>IF(HB$4=1,IF(OR(INDEX('×入力'!$A$1:$L$1300,735+HB$3,2+HB$2)&lt;&gt;"",INDEX('×入力'!$A$1:$L$1300,734,2+HB$2)&lt;&gt;"",INDEX('×入力'!$A$1:$L$1300,735+HB$3,1)&lt;&gt;""),1,0),0)</f>
        <v/>
      </c>
      <c r="HC36">
        <f>IF(HC$4=1,IF(OR(INDEX('×入力'!$A$1:$L$1300,735+HC$3,2+HC$2)&lt;&gt;"",INDEX('×入力'!$A$1:$L$1300,734,2+HC$2)&lt;&gt;"",INDEX('×入力'!$A$1:$L$1300,735+HC$3,1)&lt;&gt;""),1,0),0)</f>
        <v/>
      </c>
      <c r="HD36">
        <f>IF(HD$4=1,IF(OR(INDEX('×入力'!$A$1:$L$1300,735+HD$3,2+HD$2)&lt;&gt;"",INDEX('×入力'!$A$1:$L$1300,734,2+HD$2)&lt;&gt;"",INDEX('×入力'!$A$1:$L$1300,735+HD$3,1)&lt;&gt;""),1,0),0)</f>
        <v/>
      </c>
      <c r="HE36">
        <f>IF(HE$4=1,IF(OR(INDEX('×入力'!$A$1:$L$1300,735+HE$3,2+HE$2)&lt;&gt;"",INDEX('×入力'!$A$1:$L$1300,734,2+HE$2)&lt;&gt;"",INDEX('×入力'!$A$1:$L$1300,735+HE$3,1)&lt;&gt;""),1,0),0)</f>
        <v/>
      </c>
      <c r="HF36">
        <f>IF(HF$4=1,IF(OR(INDEX('×入力'!$A$1:$L$1300,735+HF$3,2+HF$2)&lt;&gt;"",INDEX('×入力'!$A$1:$L$1300,734,2+HF$2)&lt;&gt;"",INDEX('×入力'!$A$1:$L$1300,735+HF$3,1)&lt;&gt;""),1,0),0)</f>
        <v/>
      </c>
      <c r="HG36">
        <f>IF(HG$4=1,IF(OR(INDEX('×入力'!$A$1:$L$1300,735+HG$3,2+HG$2)&lt;&gt;"",INDEX('×入力'!$A$1:$L$1300,734,2+HG$2)&lt;&gt;"",INDEX('×入力'!$A$1:$L$1300,735+HG$3,1)&lt;&gt;""),1,0),0)</f>
        <v/>
      </c>
      <c r="HH36">
        <f>IF(HH$4=1,IF(OR(INDEX('×入力'!$A$1:$L$1300,735+HH$3,2+HH$2)&lt;&gt;"",INDEX('×入力'!$A$1:$L$1300,734,2+HH$2)&lt;&gt;"",INDEX('×入力'!$A$1:$L$1300,735+HH$3,1)&lt;&gt;""),1,0),0)</f>
        <v/>
      </c>
      <c r="HI36">
        <f>IF(HI$4=1,IF(OR(INDEX('×入力'!$A$1:$L$1300,735+HI$3,2+HI$2)&lt;&gt;"",INDEX('×入力'!$A$1:$L$1300,734,2+HI$2)&lt;&gt;"",INDEX('×入力'!$A$1:$L$1300,735+HI$3,1)&lt;&gt;""),1,0),0)</f>
        <v/>
      </c>
      <c r="HJ36">
        <f>IF(HJ$4=1,IF(OR(INDEX('×入力'!$A$1:$L$1300,735+HJ$3,2+HJ$2)&lt;&gt;"",INDEX('×入力'!$A$1:$L$1300,734,2+HJ$2)&lt;&gt;"",INDEX('×入力'!$A$1:$L$1300,735+HJ$3,1)&lt;&gt;""),1,0),0)</f>
        <v/>
      </c>
      <c r="HK36">
        <f>IF(HK$4=1,IF(OR(INDEX('×入力'!$A$1:$L$1300,735+HK$3,2+HK$2)&lt;&gt;"",INDEX('×入力'!$A$1:$L$1300,734,2+HK$2)&lt;&gt;"",INDEX('×入力'!$A$1:$L$1300,735+HK$3,1)&lt;&gt;""),1,0),0)</f>
        <v/>
      </c>
      <c r="HL36">
        <f>IF(HL$4=1,IF(OR(INDEX('×入力'!$A$1:$L$1300,735+HL$3,2+HL$2)&lt;&gt;"",INDEX('×入力'!$A$1:$L$1300,734,2+HL$2)&lt;&gt;"",INDEX('×入力'!$A$1:$L$1300,735+HL$3,1)&lt;&gt;""),1,0),0)</f>
        <v/>
      </c>
      <c r="HM36">
        <f>IF(HM$4=1,IF(OR(INDEX('×入力'!$A$1:$L$1300,735+HM$3,2+HM$2)&lt;&gt;"",INDEX('×入力'!$A$1:$L$1300,734,2+HM$2)&lt;&gt;"",INDEX('×入力'!$A$1:$L$1300,735+HM$3,1)&lt;&gt;""),1,0),0)</f>
        <v/>
      </c>
      <c r="HN36">
        <f>IF(HN$4=1,IF(OR(INDEX('×入力'!$A$1:$L$1300,735+HN$3,2+HN$2)&lt;&gt;"",INDEX('×入力'!$A$1:$L$1300,734,2+HN$2)&lt;&gt;"",INDEX('×入力'!$A$1:$L$1300,735+HN$3,1)&lt;&gt;""),1,0),0)</f>
        <v/>
      </c>
      <c r="HO36">
        <f>IF(HO$4=1,IF(OR(INDEX('×入力'!$A$1:$L$1300,735+HO$3,2+HO$2)&lt;&gt;"",INDEX('×入力'!$A$1:$L$1300,734,2+HO$2)&lt;&gt;"",INDEX('×入力'!$A$1:$L$1300,735+HO$3,1)&lt;&gt;""),1,0),0)</f>
        <v/>
      </c>
      <c r="HP36">
        <f>IF(HP$4=1,IF(OR(INDEX('×入力'!$A$1:$L$1300,735+HP$3,2+HP$2)&lt;&gt;"",INDEX('×入力'!$A$1:$L$1300,734,2+HP$2)&lt;&gt;"",INDEX('×入力'!$A$1:$L$1300,735+HP$3,1)&lt;&gt;""),1,0),0)</f>
        <v/>
      </c>
      <c r="HQ36">
        <f>IF(HQ$4=1,IF(OR(INDEX('×入力'!$A$1:$L$1300,735+HQ$3,2+HQ$2)&lt;&gt;"",INDEX('×入力'!$A$1:$L$1300,734,2+HQ$2)&lt;&gt;"",INDEX('×入力'!$A$1:$L$1300,735+HQ$3,1)&lt;&gt;""),1,0),0)</f>
        <v/>
      </c>
      <c r="HR36">
        <f>IF(HR$4=1,IF(OR(INDEX('×入力'!$A$1:$L$1300,735+HR$3,2+HR$2)&lt;&gt;"",INDEX('×入力'!$A$1:$L$1300,734,2+HR$2)&lt;&gt;"",INDEX('×入力'!$A$1:$L$1300,735+HR$3,1)&lt;&gt;""),1,0),0)</f>
        <v/>
      </c>
      <c r="HS36">
        <f>IF(HS$4=1,IF(OR(INDEX('×入力'!$A$1:$L$1300,735+HS$3,2+HS$2)&lt;&gt;"",INDEX('×入力'!$A$1:$L$1300,734,2+HS$2)&lt;&gt;"",INDEX('×入力'!$A$1:$L$1300,735+HS$3,1)&lt;&gt;""),1,0),0)</f>
        <v/>
      </c>
      <c r="HT36">
        <f>IF(HT$4=1,IF(OR(INDEX('×入力'!$A$1:$L$1300,735+HT$3,2+HT$2)&lt;&gt;"",INDEX('×入力'!$A$1:$L$1300,734,2+HT$2)&lt;&gt;"",INDEX('×入力'!$A$1:$L$1300,735+HT$3,1)&lt;&gt;""),1,0),0)</f>
        <v/>
      </c>
      <c r="HU36">
        <f>IF(HU$4=1,IF(OR(INDEX('×入力'!$A$1:$L$1300,735+HU$3,2+HU$2)&lt;&gt;"",INDEX('×入力'!$A$1:$L$1300,734,2+HU$2)&lt;&gt;"",INDEX('×入力'!$A$1:$L$1300,735+HU$3,1)&lt;&gt;""),1,0),0)</f>
        <v/>
      </c>
      <c r="HV36">
        <f>IF(HV$4=1,IF(OR(INDEX('×入力'!$A$1:$L$1300,735+HV$3,2+HV$2)&lt;&gt;"",INDEX('×入力'!$A$1:$L$1300,734,2+HV$2)&lt;&gt;"",INDEX('×入力'!$A$1:$L$1300,735+HV$3,1)&lt;&gt;""),1,0),0)</f>
        <v/>
      </c>
      <c r="HW36">
        <f>IF(HW$4=1,IF(OR(INDEX('×入力'!$A$1:$L$1300,735+HW$3,2+HW$2)&lt;&gt;"",INDEX('×入力'!$A$1:$L$1300,734,2+HW$2)&lt;&gt;"",INDEX('×入力'!$A$1:$L$1300,735+HW$3,1)&lt;&gt;""),1,0),0)</f>
        <v/>
      </c>
      <c r="HX36">
        <f>IF(HX$4=1,IF(OR(INDEX('×入力'!$A$1:$L$1300,735+HX$3,2+HX$2)&lt;&gt;"",INDEX('×入力'!$A$1:$L$1300,734,2+HX$2)&lt;&gt;"",INDEX('×入力'!$A$1:$L$1300,735+HX$3,1)&lt;&gt;""),1,0),0)</f>
        <v/>
      </c>
      <c r="HY36">
        <f>IF(HY$4=1,IF(OR(INDEX('×入力'!$A$1:$L$1300,735+HY$3,2+HY$2)&lt;&gt;"",INDEX('×入力'!$A$1:$L$1300,734,2+HY$2)&lt;&gt;"",INDEX('×入力'!$A$1:$L$1300,735+HY$3,1)&lt;&gt;""),1,0),0)</f>
        <v/>
      </c>
      <c r="HZ36">
        <f>IF(HZ$4=1,IF(OR(INDEX('×入力'!$A$1:$L$1300,735+HZ$3,2+HZ$2)&lt;&gt;"",INDEX('×入力'!$A$1:$L$1300,734,2+HZ$2)&lt;&gt;"",INDEX('×入力'!$A$1:$L$1300,735+HZ$3,1)&lt;&gt;""),1,0),0)</f>
        <v/>
      </c>
      <c r="IA36">
        <f>IF(IA$4=1,IF(OR(INDEX('×入力'!$A$1:$L$1300,735+IA$3,2+IA$2)&lt;&gt;"",INDEX('×入力'!$A$1:$L$1300,734,2+IA$2)&lt;&gt;"",INDEX('×入力'!$A$1:$L$1300,735+IA$3,1)&lt;&gt;""),1,0),0)</f>
        <v/>
      </c>
      <c r="IB36">
        <f>IF(IB$4=1,IF(OR(INDEX('×入力'!$A$1:$L$1300,735+IB$3,2+IB$2)&lt;&gt;"",INDEX('×入力'!$A$1:$L$1300,734,2+IB$2)&lt;&gt;"",INDEX('×入力'!$A$1:$L$1300,735+IB$3,1)&lt;&gt;""),1,0),0)</f>
        <v/>
      </c>
      <c r="IC36">
        <f>IF(IC$4=1,IF(OR(INDEX('×入力'!$A$1:$L$1300,735+IC$3,2+IC$2)&lt;&gt;"",INDEX('×入力'!$A$1:$L$1300,734,2+IC$2)&lt;&gt;"",INDEX('×入力'!$A$1:$L$1300,735+IC$3,1)&lt;&gt;""),1,0),0)</f>
        <v/>
      </c>
      <c r="ID36">
        <f>IF(ID$4=1,IF(OR(INDEX('×入力'!$A$1:$L$1300,735+ID$3,2+ID$2)&lt;&gt;"",INDEX('×入力'!$A$1:$L$1300,734,2+ID$2)&lt;&gt;"",INDEX('×入力'!$A$1:$L$1300,735+ID$3,1)&lt;&gt;""),1,0),0)</f>
        <v/>
      </c>
      <c r="IE36">
        <f>IF(IE$4=1,IF(OR(INDEX('×入力'!$A$1:$L$1300,735+IE$3,2+IE$2)&lt;&gt;"",INDEX('×入力'!$A$1:$L$1300,734,2+IE$2)&lt;&gt;"",INDEX('×入力'!$A$1:$L$1300,735+IE$3,1)&lt;&gt;""),1,0),0)</f>
        <v/>
      </c>
      <c r="IF36">
        <f>IF(IF$4=1,IF(OR(INDEX('×入力'!$A$1:$L$1300,735+IF$3,2+IF$2)&lt;&gt;"",INDEX('×入力'!$A$1:$L$1300,734,2+IF$2)&lt;&gt;"",INDEX('×入力'!$A$1:$L$1300,735+IF$3,1)&lt;&gt;""),1,0),0)</f>
        <v/>
      </c>
      <c r="IG36">
        <f>IF(IG$4=1,IF(OR(INDEX('×入力'!$A$1:$L$1300,735+IG$3,2+IG$2)&lt;&gt;"",INDEX('×入力'!$A$1:$L$1300,734,2+IG$2)&lt;&gt;"",INDEX('×入力'!$A$1:$L$1300,735+IG$3,1)&lt;&gt;""),1,0),0)</f>
        <v/>
      </c>
      <c r="IH36">
        <f>IF(IH$4=1,IF(OR(INDEX('×入力'!$A$1:$L$1300,735+IH$3,2+IH$2)&lt;&gt;"",INDEX('×入力'!$A$1:$L$1300,734,2+IH$2)&lt;&gt;"",INDEX('×入力'!$A$1:$L$1300,735+IH$3,1)&lt;&gt;""),1,0),0)</f>
        <v/>
      </c>
      <c r="II36">
        <f>IF(II$4=1,IF(OR(INDEX('×入力'!$A$1:$L$1300,735+II$3,2+II$2)&lt;&gt;"",INDEX('×入力'!$A$1:$L$1300,734,2+II$2)&lt;&gt;"",INDEX('×入力'!$A$1:$L$1300,735+II$3,1)&lt;&gt;""),1,0),0)</f>
        <v/>
      </c>
      <c r="IK36">
        <f>IFERROR(INDEX('計算B'!$C$3:$C$47,MATCH(A36,'計算B'!$B$3:$B$47,0)),0)</f>
        <v/>
      </c>
      <c r="IL36">
        <f>IF(AND(C36=1,IK36=0),1,0)</f>
        <v/>
      </c>
      <c r="IM36">
        <f>SUMPRODUCT(D86:II86*(1-$D$7:$II$7))</f>
        <v/>
      </c>
      <c r="IN36">
        <f>SUM(D36:II36)</f>
        <v/>
      </c>
      <c r="IO36">
        <f>IF(B36="",0,IF(COUNTIF('調整・決定'!$C$6:$L$29,B36)=1,SUMPRODUCT(('調整・決定'!$C$6:$L$29=B36)*((COLUMN('調整・決定'!$C$6:$L$29)-3)*24+ROW('調整・決定'!$C$6:$L$29)-5)),0))</f>
        <v/>
      </c>
      <c r="IP36">
        <f>IFERROR(MATCH('名簿'!E31,{"早い時刻","遅い時刻","早い日","遅い日"},0),0)</f>
        <v/>
      </c>
      <c r="IQ36">
        <f>IF('名簿'!F31="必ず空けたい",2,IF('名簿'!F31="出来れば空けたい",1,0))</f>
        <v/>
      </c>
    </row>
    <row r="37">
      <c r="A37" t="n">
        <v>28</v>
      </c>
      <c r="B37">
        <f>'名簿'!G32</f>
        <v/>
      </c>
      <c r="C37">
        <f>IF(AND(B37&lt;&gt;"",OR('名簿'!H32="入力済み",'名簿'!H32="×なし"),IO37=0,COUNTIF('調整・決定'!$C$6:$L$29,B37)=0),1,0)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ER37">
        <f>IF(ER$4=1,IF(OR(INDEX('×入力'!$A$1:$L$1300,763+ER$3,2+ER$2)&lt;&gt;"",INDEX('×入力'!$A$1:$L$1300,762,2+ER$2)&lt;&gt;"",INDEX('×入力'!$A$1:$L$1300,763+ER$3,1)&lt;&gt;""),1,0),0)</f>
        <v/>
      </c>
      <c r="ES37">
        <f>IF(ES$4=1,IF(OR(INDEX('×入力'!$A$1:$L$1300,763+ES$3,2+ES$2)&lt;&gt;"",INDEX('×入力'!$A$1:$L$1300,762,2+ES$2)&lt;&gt;"",INDEX('×入力'!$A$1:$L$1300,763+ES$3,1)&lt;&gt;""),1,0),0)</f>
        <v/>
      </c>
      <c r="ET37">
        <f>IF(ET$4=1,IF(OR(INDEX('×入力'!$A$1:$L$1300,763+ET$3,2+ET$2)&lt;&gt;"",INDEX('×入力'!$A$1:$L$1300,762,2+ET$2)&lt;&gt;"",INDEX('×入力'!$A$1:$L$1300,763+ET$3,1)&lt;&gt;""),1,0),0)</f>
        <v/>
      </c>
      <c r="EU37">
        <f>IF(EU$4=1,IF(OR(INDEX('×入力'!$A$1:$L$1300,763+EU$3,2+EU$2)&lt;&gt;"",INDEX('×入力'!$A$1:$L$1300,762,2+EU$2)&lt;&gt;"",INDEX('×入力'!$A$1:$L$1300,763+EU$3,1)&lt;&gt;""),1,0),0)</f>
        <v/>
      </c>
      <c r="EV37">
        <f>IF(EV$4=1,IF(OR(INDEX('×入力'!$A$1:$L$1300,763+EV$3,2+EV$2)&lt;&gt;"",INDEX('×入力'!$A$1:$L$1300,762,2+EV$2)&lt;&gt;"",INDEX('×入力'!$A$1:$L$1300,763+EV$3,1)&lt;&gt;""),1,0),0)</f>
        <v/>
      </c>
      <c r="EW37">
        <f>IF(EW$4=1,IF(OR(INDEX('×入力'!$A$1:$L$1300,763+EW$3,2+EW$2)&lt;&gt;"",INDEX('×入力'!$A$1:$L$1300,762,2+EW$2)&lt;&gt;"",INDEX('×入力'!$A$1:$L$1300,763+EW$3,1)&lt;&gt;""),1,0),0)</f>
        <v/>
      </c>
      <c r="EX37">
        <f>IF(EX$4=1,IF(OR(INDEX('×入力'!$A$1:$L$1300,763+EX$3,2+EX$2)&lt;&gt;"",INDEX('×入力'!$A$1:$L$1300,762,2+EX$2)&lt;&gt;"",INDEX('×入力'!$A$1:$L$1300,763+EX$3,1)&lt;&gt;""),1,0),0)</f>
        <v/>
      </c>
      <c r="EY37">
        <f>IF(EY$4=1,IF(OR(INDEX('×入力'!$A$1:$L$1300,763+EY$3,2+EY$2)&lt;&gt;"",INDEX('×入力'!$A$1:$L$1300,762,2+EY$2)&lt;&gt;"",INDEX('×入力'!$A$1:$L$1300,763+EY$3,1)&lt;&gt;""),1,0),0)</f>
        <v/>
      </c>
      <c r="EZ37">
        <f>IF(EZ$4=1,IF(OR(INDEX('×入力'!$A$1:$L$1300,763+EZ$3,2+EZ$2)&lt;&gt;"",INDEX('×入力'!$A$1:$L$1300,762,2+EZ$2)&lt;&gt;"",INDEX('×入力'!$A$1:$L$1300,763+EZ$3,1)&lt;&gt;""),1,0),0)</f>
        <v/>
      </c>
      <c r="FA37">
        <f>IF(FA$4=1,IF(OR(INDEX('×入力'!$A$1:$L$1300,763+FA$3,2+FA$2)&lt;&gt;"",INDEX('×入力'!$A$1:$L$1300,762,2+FA$2)&lt;&gt;"",INDEX('×入力'!$A$1:$L$1300,763+FA$3,1)&lt;&gt;""),1,0),0)</f>
        <v/>
      </c>
      <c r="FB37">
        <f>IF(FB$4=1,IF(OR(INDEX('×入力'!$A$1:$L$1300,763+FB$3,2+FB$2)&lt;&gt;"",INDEX('×入力'!$A$1:$L$1300,762,2+FB$2)&lt;&gt;"",INDEX('×入力'!$A$1:$L$1300,763+FB$3,1)&lt;&gt;""),1,0),0)</f>
        <v/>
      </c>
      <c r="FC37">
        <f>IF(FC$4=1,IF(OR(INDEX('×入力'!$A$1:$L$1300,763+FC$3,2+FC$2)&lt;&gt;"",INDEX('×入力'!$A$1:$L$1300,762,2+FC$2)&lt;&gt;"",INDEX('×入力'!$A$1:$L$1300,763+FC$3,1)&lt;&gt;""),1,0),0)</f>
        <v/>
      </c>
      <c r="FD37">
        <f>IF(FD$4=1,IF(OR(INDEX('×入力'!$A$1:$L$1300,763+FD$3,2+FD$2)&lt;&gt;"",INDEX('×入力'!$A$1:$L$1300,762,2+FD$2)&lt;&gt;"",INDEX('×入力'!$A$1:$L$1300,763+FD$3,1)&lt;&gt;""),1,0),0)</f>
        <v/>
      </c>
      <c r="FE37">
        <f>IF(FE$4=1,IF(OR(INDEX('×入力'!$A$1:$L$1300,763+FE$3,2+FE$2)&lt;&gt;"",INDEX('×入力'!$A$1:$L$1300,762,2+FE$2)&lt;&gt;"",INDEX('×入力'!$A$1:$L$1300,763+FE$3,1)&lt;&gt;""),1,0),0)</f>
        <v/>
      </c>
      <c r="FF37">
        <f>IF(FF$4=1,IF(OR(INDEX('×入力'!$A$1:$L$1300,763+FF$3,2+FF$2)&lt;&gt;"",INDEX('×入力'!$A$1:$L$1300,762,2+FF$2)&lt;&gt;"",INDEX('×入力'!$A$1:$L$1300,763+FF$3,1)&lt;&gt;""),1,0),0)</f>
        <v/>
      </c>
      <c r="FG37">
        <f>IF(FG$4=1,IF(OR(INDEX('×入力'!$A$1:$L$1300,763+FG$3,2+FG$2)&lt;&gt;"",INDEX('×入力'!$A$1:$L$1300,762,2+FG$2)&lt;&gt;"",INDEX('×入力'!$A$1:$L$1300,763+FG$3,1)&lt;&gt;""),1,0),0)</f>
        <v/>
      </c>
      <c r="FH37">
        <f>IF(FH$4=1,IF(OR(INDEX('×入力'!$A$1:$L$1300,763+FH$3,2+FH$2)&lt;&gt;"",INDEX('×入力'!$A$1:$L$1300,762,2+FH$2)&lt;&gt;"",INDEX('×入力'!$A$1:$L$1300,763+FH$3,1)&lt;&gt;""),1,0),0)</f>
        <v/>
      </c>
      <c r="FI37">
        <f>IF(FI$4=1,IF(OR(INDEX('×入力'!$A$1:$L$1300,763+FI$3,2+FI$2)&lt;&gt;"",INDEX('×入力'!$A$1:$L$1300,762,2+FI$2)&lt;&gt;"",INDEX('×入力'!$A$1:$L$1300,763+FI$3,1)&lt;&gt;""),1,0),0)</f>
        <v/>
      </c>
      <c r="FJ37">
        <f>IF(FJ$4=1,IF(OR(INDEX('×入力'!$A$1:$L$1300,763+FJ$3,2+FJ$2)&lt;&gt;"",INDEX('×入力'!$A$1:$L$1300,762,2+FJ$2)&lt;&gt;"",INDEX('×入力'!$A$1:$L$1300,763+FJ$3,1)&lt;&gt;""),1,0),0)</f>
        <v/>
      </c>
      <c r="FK37">
        <f>IF(FK$4=1,IF(OR(INDEX('×入力'!$A$1:$L$1300,763+FK$3,2+FK$2)&lt;&gt;"",INDEX('×入力'!$A$1:$L$1300,762,2+FK$2)&lt;&gt;"",INDEX('×入力'!$A$1:$L$1300,763+FK$3,1)&lt;&gt;""),1,0),0)</f>
        <v/>
      </c>
      <c r="FL37">
        <f>IF(FL$4=1,IF(OR(INDEX('×入力'!$A$1:$L$1300,763+FL$3,2+FL$2)&lt;&gt;"",INDEX('×入力'!$A$1:$L$1300,762,2+FL$2)&lt;&gt;"",INDEX('×入力'!$A$1:$L$1300,763+FL$3,1)&lt;&gt;""),1,0),0)</f>
        <v/>
      </c>
      <c r="FM37">
        <f>IF(FM$4=1,IF(OR(INDEX('×入力'!$A$1:$L$1300,763+FM$3,2+FM$2)&lt;&gt;"",INDEX('×入力'!$A$1:$L$1300,762,2+FM$2)&lt;&gt;"",INDEX('×入力'!$A$1:$L$1300,763+FM$3,1)&lt;&gt;""),1,0),0)</f>
        <v/>
      </c>
      <c r="FN37">
        <f>IF(FN$4=1,IF(OR(INDEX('×入力'!$A$1:$L$1300,763+FN$3,2+FN$2)&lt;&gt;"",INDEX('×入力'!$A$1:$L$1300,762,2+FN$2)&lt;&gt;"",INDEX('×入力'!$A$1:$L$1300,763+FN$3,1)&lt;&gt;""),1,0),0)</f>
        <v/>
      </c>
      <c r="FO37">
        <f>IF(FO$4=1,IF(OR(INDEX('×入力'!$A$1:$L$1300,763+FO$3,2+FO$2)&lt;&gt;"",INDEX('×入力'!$A$1:$L$1300,762,2+FO$2)&lt;&gt;"",INDEX('×入力'!$A$1:$L$1300,763+FO$3,1)&lt;&gt;""),1,0),0)</f>
        <v/>
      </c>
      <c r="FP37">
        <f>IF(FP$4=1,IF(OR(INDEX('×入力'!$A$1:$L$1300,763+FP$3,2+FP$2)&lt;&gt;"",INDEX('×入力'!$A$1:$L$1300,762,2+FP$2)&lt;&gt;"",INDEX('×入力'!$A$1:$L$1300,763+FP$3,1)&lt;&gt;""),1,0),0)</f>
        <v/>
      </c>
      <c r="FQ37">
        <f>IF(FQ$4=1,IF(OR(INDEX('×入力'!$A$1:$L$1300,763+FQ$3,2+FQ$2)&lt;&gt;"",INDEX('×入力'!$A$1:$L$1300,762,2+FQ$2)&lt;&gt;"",INDEX('×入力'!$A$1:$L$1300,763+FQ$3,1)&lt;&gt;""),1,0),0)</f>
        <v/>
      </c>
      <c r="FR37">
        <f>IF(FR$4=1,IF(OR(INDEX('×入力'!$A$1:$L$1300,763+FR$3,2+FR$2)&lt;&gt;"",INDEX('×入力'!$A$1:$L$1300,762,2+FR$2)&lt;&gt;"",INDEX('×入力'!$A$1:$L$1300,763+FR$3,1)&lt;&gt;""),1,0),0)</f>
        <v/>
      </c>
      <c r="FS37">
        <f>IF(FS$4=1,IF(OR(INDEX('×入力'!$A$1:$L$1300,763+FS$3,2+FS$2)&lt;&gt;"",INDEX('×入力'!$A$1:$L$1300,762,2+FS$2)&lt;&gt;"",INDEX('×入力'!$A$1:$L$1300,763+FS$3,1)&lt;&gt;""),1,0),0)</f>
        <v/>
      </c>
      <c r="FT37">
        <f>IF(FT$4=1,IF(OR(INDEX('×入力'!$A$1:$L$1300,763+FT$3,2+FT$2)&lt;&gt;"",INDEX('×入力'!$A$1:$L$1300,762,2+FT$2)&lt;&gt;"",INDEX('×入力'!$A$1:$L$1300,763+FT$3,1)&lt;&gt;""),1,0),0)</f>
        <v/>
      </c>
      <c r="FU37">
        <f>IF(FU$4=1,IF(OR(INDEX('×入力'!$A$1:$L$1300,763+FU$3,2+FU$2)&lt;&gt;"",INDEX('×入力'!$A$1:$L$1300,762,2+FU$2)&lt;&gt;"",INDEX('×入力'!$A$1:$L$1300,763+FU$3,1)&lt;&gt;""),1,0),0)</f>
        <v/>
      </c>
      <c r="FV37">
        <f>IF(FV$4=1,IF(OR(INDEX('×入力'!$A$1:$L$1300,763+FV$3,2+FV$2)&lt;&gt;"",INDEX('×入力'!$A$1:$L$1300,762,2+FV$2)&lt;&gt;"",INDEX('×入力'!$A$1:$L$1300,763+FV$3,1)&lt;&gt;""),1,0),0)</f>
        <v/>
      </c>
      <c r="FW37">
        <f>IF(FW$4=1,IF(OR(INDEX('×入力'!$A$1:$L$1300,763+FW$3,2+FW$2)&lt;&gt;"",INDEX('×入力'!$A$1:$L$1300,762,2+FW$2)&lt;&gt;"",INDEX('×入力'!$A$1:$L$1300,763+FW$3,1)&lt;&gt;""),1,0),0)</f>
        <v/>
      </c>
      <c r="FX37">
        <f>IF(FX$4=1,IF(OR(INDEX('×入力'!$A$1:$L$1300,763+FX$3,2+FX$2)&lt;&gt;"",INDEX('×入力'!$A$1:$L$1300,762,2+FX$2)&lt;&gt;"",INDEX('×入力'!$A$1:$L$1300,763+FX$3,1)&lt;&gt;""),1,0),0)</f>
        <v/>
      </c>
      <c r="FY37">
        <f>IF(FY$4=1,IF(OR(INDEX('×入力'!$A$1:$L$1300,763+FY$3,2+FY$2)&lt;&gt;"",INDEX('×入力'!$A$1:$L$1300,762,2+FY$2)&lt;&gt;"",INDEX('×入力'!$A$1:$L$1300,763+FY$3,1)&lt;&gt;""),1,0),0)</f>
        <v/>
      </c>
      <c r="FZ37">
        <f>IF(FZ$4=1,IF(OR(INDEX('×入力'!$A$1:$L$1300,763+FZ$3,2+FZ$2)&lt;&gt;"",INDEX('×入力'!$A$1:$L$1300,762,2+FZ$2)&lt;&gt;"",INDEX('×入力'!$A$1:$L$1300,763+FZ$3,1)&lt;&gt;""),1,0),0)</f>
        <v/>
      </c>
      <c r="GA37">
        <f>IF(GA$4=1,IF(OR(INDEX('×入力'!$A$1:$L$1300,763+GA$3,2+GA$2)&lt;&gt;"",INDEX('×入力'!$A$1:$L$1300,762,2+GA$2)&lt;&gt;"",INDEX('×入力'!$A$1:$L$1300,763+GA$3,1)&lt;&gt;""),1,0),0)</f>
        <v/>
      </c>
      <c r="GB37">
        <f>IF(GB$4=1,IF(OR(INDEX('×入力'!$A$1:$L$1300,763+GB$3,2+GB$2)&lt;&gt;"",INDEX('×入力'!$A$1:$L$1300,762,2+GB$2)&lt;&gt;"",INDEX('×入力'!$A$1:$L$1300,763+GB$3,1)&lt;&gt;""),1,0),0)</f>
        <v/>
      </c>
      <c r="GC37">
        <f>IF(GC$4=1,IF(OR(INDEX('×入力'!$A$1:$L$1300,763+GC$3,2+GC$2)&lt;&gt;"",INDEX('×入力'!$A$1:$L$1300,762,2+GC$2)&lt;&gt;"",INDEX('×入力'!$A$1:$L$1300,763+GC$3,1)&lt;&gt;""),1,0),0)</f>
        <v/>
      </c>
      <c r="GD37">
        <f>IF(GD$4=1,IF(OR(INDEX('×入力'!$A$1:$L$1300,763+GD$3,2+GD$2)&lt;&gt;"",INDEX('×入力'!$A$1:$L$1300,762,2+GD$2)&lt;&gt;"",INDEX('×入力'!$A$1:$L$1300,763+GD$3,1)&lt;&gt;""),1,0),0)</f>
        <v/>
      </c>
      <c r="GE37">
        <f>IF(GE$4=1,IF(OR(INDEX('×入力'!$A$1:$L$1300,763+GE$3,2+GE$2)&lt;&gt;"",INDEX('×入力'!$A$1:$L$1300,762,2+GE$2)&lt;&gt;"",INDEX('×入力'!$A$1:$L$1300,763+GE$3,1)&lt;&gt;""),1,0),0)</f>
        <v/>
      </c>
      <c r="GF37">
        <f>IF(GF$4=1,IF(OR(INDEX('×入力'!$A$1:$L$1300,763+GF$3,2+GF$2)&lt;&gt;"",INDEX('×入力'!$A$1:$L$1300,762,2+GF$2)&lt;&gt;"",INDEX('×入力'!$A$1:$L$1300,763+GF$3,1)&lt;&gt;""),1,0),0)</f>
        <v/>
      </c>
      <c r="GG37">
        <f>IF(GG$4=1,IF(OR(INDEX('×入力'!$A$1:$L$1300,763+GG$3,2+GG$2)&lt;&gt;"",INDEX('×入力'!$A$1:$L$1300,762,2+GG$2)&lt;&gt;"",INDEX('×入力'!$A$1:$L$1300,763+GG$3,1)&lt;&gt;""),1,0),0)</f>
        <v/>
      </c>
      <c r="GH37">
        <f>IF(GH$4=1,IF(OR(INDEX('×入力'!$A$1:$L$1300,763+GH$3,2+GH$2)&lt;&gt;"",INDEX('×入力'!$A$1:$L$1300,762,2+GH$2)&lt;&gt;"",INDEX('×入力'!$A$1:$L$1300,763+GH$3,1)&lt;&gt;""),1,0),0)</f>
        <v/>
      </c>
      <c r="GI37">
        <f>IF(GI$4=1,IF(OR(INDEX('×入力'!$A$1:$L$1300,763+GI$3,2+GI$2)&lt;&gt;"",INDEX('×入力'!$A$1:$L$1300,762,2+GI$2)&lt;&gt;"",INDEX('×入力'!$A$1:$L$1300,763+GI$3,1)&lt;&gt;""),1,0),0)</f>
        <v/>
      </c>
      <c r="GJ37">
        <f>IF(GJ$4=1,IF(OR(INDEX('×入力'!$A$1:$L$1300,763+GJ$3,2+GJ$2)&lt;&gt;"",INDEX('×入力'!$A$1:$L$1300,762,2+GJ$2)&lt;&gt;"",INDEX('×入力'!$A$1:$L$1300,763+GJ$3,1)&lt;&gt;""),1,0),0)</f>
        <v/>
      </c>
      <c r="GK37">
        <f>IF(GK$4=1,IF(OR(INDEX('×入力'!$A$1:$L$1300,763+GK$3,2+GK$2)&lt;&gt;"",INDEX('×入力'!$A$1:$L$1300,762,2+GK$2)&lt;&gt;"",INDEX('×入力'!$A$1:$L$1300,763+GK$3,1)&lt;&gt;""),1,0),0)</f>
        <v/>
      </c>
      <c r="GL37">
        <f>IF(GL$4=1,IF(OR(INDEX('×入力'!$A$1:$L$1300,763+GL$3,2+GL$2)&lt;&gt;"",INDEX('×入力'!$A$1:$L$1300,762,2+GL$2)&lt;&gt;"",INDEX('×入力'!$A$1:$L$1300,763+GL$3,1)&lt;&gt;""),1,0),0)</f>
        <v/>
      </c>
      <c r="GM37">
        <f>IF(GM$4=1,IF(OR(INDEX('×入力'!$A$1:$L$1300,763+GM$3,2+GM$2)&lt;&gt;"",INDEX('×入力'!$A$1:$L$1300,762,2+GM$2)&lt;&gt;"",INDEX('×入力'!$A$1:$L$1300,763+GM$3,1)&lt;&gt;""),1,0),0)</f>
        <v/>
      </c>
      <c r="GN37">
        <f>IF(GN$4=1,IF(OR(INDEX('×入力'!$A$1:$L$1300,763+GN$3,2+GN$2)&lt;&gt;"",INDEX('×入力'!$A$1:$L$1300,762,2+GN$2)&lt;&gt;"",INDEX('×入力'!$A$1:$L$1300,763+GN$3,1)&lt;&gt;""),1,0),0)</f>
        <v/>
      </c>
      <c r="GO37">
        <f>IF(GO$4=1,IF(OR(INDEX('×入力'!$A$1:$L$1300,763+GO$3,2+GO$2)&lt;&gt;"",INDEX('×入力'!$A$1:$L$1300,762,2+GO$2)&lt;&gt;"",INDEX('×入力'!$A$1:$L$1300,763+GO$3,1)&lt;&gt;""),1,0),0)</f>
        <v/>
      </c>
      <c r="GP37">
        <f>IF(GP$4=1,IF(OR(INDEX('×入力'!$A$1:$L$1300,763+GP$3,2+GP$2)&lt;&gt;"",INDEX('×入力'!$A$1:$L$1300,762,2+GP$2)&lt;&gt;"",INDEX('×入力'!$A$1:$L$1300,763+GP$3,1)&lt;&gt;""),1,0),0)</f>
        <v/>
      </c>
      <c r="GQ37">
        <f>IF(GQ$4=1,IF(OR(INDEX('×入力'!$A$1:$L$1300,763+GQ$3,2+GQ$2)&lt;&gt;"",INDEX('×入力'!$A$1:$L$1300,762,2+GQ$2)&lt;&gt;"",INDEX('×入力'!$A$1:$L$1300,763+GQ$3,1)&lt;&gt;""),1,0),0)</f>
        <v/>
      </c>
      <c r="GR37">
        <f>IF(GR$4=1,IF(OR(INDEX('×入力'!$A$1:$L$1300,763+GR$3,2+GR$2)&lt;&gt;"",INDEX('×入力'!$A$1:$L$1300,762,2+GR$2)&lt;&gt;"",INDEX('×入力'!$A$1:$L$1300,763+GR$3,1)&lt;&gt;""),1,0),0)</f>
        <v/>
      </c>
      <c r="GS37">
        <f>IF(GS$4=1,IF(OR(INDEX('×入力'!$A$1:$L$1300,763+GS$3,2+GS$2)&lt;&gt;"",INDEX('×入力'!$A$1:$L$1300,762,2+GS$2)&lt;&gt;"",INDEX('×入力'!$A$1:$L$1300,763+GS$3,1)&lt;&gt;""),1,0),0)</f>
        <v/>
      </c>
      <c r="GT37">
        <f>IF(GT$4=1,IF(OR(INDEX('×入力'!$A$1:$L$1300,763+GT$3,2+GT$2)&lt;&gt;"",INDEX('×入力'!$A$1:$L$1300,762,2+GT$2)&lt;&gt;"",INDEX('×入力'!$A$1:$L$1300,763+GT$3,1)&lt;&gt;""),1,0),0)</f>
        <v/>
      </c>
      <c r="GU37">
        <f>IF(GU$4=1,IF(OR(INDEX('×入力'!$A$1:$L$1300,763+GU$3,2+GU$2)&lt;&gt;"",INDEX('×入力'!$A$1:$L$1300,762,2+GU$2)&lt;&gt;"",INDEX('×入力'!$A$1:$L$1300,763+GU$3,1)&lt;&gt;""),1,0),0)</f>
        <v/>
      </c>
      <c r="GV37">
        <f>IF(GV$4=1,IF(OR(INDEX('×入力'!$A$1:$L$1300,763+GV$3,2+GV$2)&lt;&gt;"",INDEX('×入力'!$A$1:$L$1300,762,2+GV$2)&lt;&gt;"",INDEX('×入力'!$A$1:$L$1300,763+GV$3,1)&lt;&gt;""),1,0),0)</f>
        <v/>
      </c>
      <c r="GW37">
        <f>IF(GW$4=1,IF(OR(INDEX('×入力'!$A$1:$L$1300,763+GW$3,2+GW$2)&lt;&gt;"",INDEX('×入力'!$A$1:$L$1300,762,2+GW$2)&lt;&gt;"",INDEX('×入力'!$A$1:$L$1300,763+GW$3,1)&lt;&gt;""),1,0),0)</f>
        <v/>
      </c>
      <c r="GX37">
        <f>IF(GX$4=1,IF(OR(INDEX('×入力'!$A$1:$L$1300,763+GX$3,2+GX$2)&lt;&gt;"",INDEX('×入力'!$A$1:$L$1300,762,2+GX$2)&lt;&gt;"",INDEX('×入力'!$A$1:$L$1300,763+GX$3,1)&lt;&gt;""),1,0),0)</f>
        <v/>
      </c>
      <c r="GY37">
        <f>IF(GY$4=1,IF(OR(INDEX('×入力'!$A$1:$L$1300,763+GY$3,2+GY$2)&lt;&gt;"",INDEX('×入力'!$A$1:$L$1300,762,2+GY$2)&lt;&gt;"",INDEX('×入力'!$A$1:$L$1300,763+GY$3,1)&lt;&gt;""),1,0),0)</f>
        <v/>
      </c>
      <c r="GZ37">
        <f>IF(GZ$4=1,IF(OR(INDEX('×入力'!$A$1:$L$1300,763+GZ$3,2+GZ$2)&lt;&gt;"",INDEX('×入力'!$A$1:$L$1300,762,2+GZ$2)&lt;&gt;"",INDEX('×入力'!$A$1:$L$1300,763+GZ$3,1)&lt;&gt;""),1,0),0)</f>
        <v/>
      </c>
      <c r="HA37">
        <f>IF(HA$4=1,IF(OR(INDEX('×入力'!$A$1:$L$1300,763+HA$3,2+HA$2)&lt;&gt;"",INDEX('×入力'!$A$1:$L$1300,762,2+HA$2)&lt;&gt;"",INDEX('×入力'!$A$1:$L$1300,763+HA$3,1)&lt;&gt;""),1,0),0)</f>
        <v/>
      </c>
      <c r="HB37">
        <f>IF(HB$4=1,IF(OR(INDEX('×入力'!$A$1:$L$1300,763+HB$3,2+HB$2)&lt;&gt;"",INDEX('×入力'!$A$1:$L$1300,762,2+HB$2)&lt;&gt;"",INDEX('×入力'!$A$1:$L$1300,763+HB$3,1)&lt;&gt;""),1,0),0)</f>
        <v/>
      </c>
      <c r="HC37">
        <f>IF(HC$4=1,IF(OR(INDEX('×入力'!$A$1:$L$1300,763+HC$3,2+HC$2)&lt;&gt;"",INDEX('×入力'!$A$1:$L$1300,762,2+HC$2)&lt;&gt;"",INDEX('×入力'!$A$1:$L$1300,763+HC$3,1)&lt;&gt;""),1,0),0)</f>
        <v/>
      </c>
      <c r="HD37">
        <f>IF(HD$4=1,IF(OR(INDEX('×入力'!$A$1:$L$1300,763+HD$3,2+HD$2)&lt;&gt;"",INDEX('×入力'!$A$1:$L$1300,762,2+HD$2)&lt;&gt;"",INDEX('×入力'!$A$1:$L$1300,763+HD$3,1)&lt;&gt;""),1,0),0)</f>
        <v/>
      </c>
      <c r="HE37">
        <f>IF(HE$4=1,IF(OR(INDEX('×入力'!$A$1:$L$1300,763+HE$3,2+HE$2)&lt;&gt;"",INDEX('×入力'!$A$1:$L$1300,762,2+HE$2)&lt;&gt;"",INDEX('×入力'!$A$1:$L$1300,763+HE$3,1)&lt;&gt;""),1,0),0)</f>
        <v/>
      </c>
      <c r="HF37">
        <f>IF(HF$4=1,IF(OR(INDEX('×入力'!$A$1:$L$1300,763+HF$3,2+HF$2)&lt;&gt;"",INDEX('×入力'!$A$1:$L$1300,762,2+HF$2)&lt;&gt;"",INDEX('×入力'!$A$1:$L$1300,763+HF$3,1)&lt;&gt;""),1,0),0)</f>
        <v/>
      </c>
      <c r="HG37">
        <f>IF(HG$4=1,IF(OR(INDEX('×入力'!$A$1:$L$1300,763+HG$3,2+HG$2)&lt;&gt;"",INDEX('×入力'!$A$1:$L$1300,762,2+HG$2)&lt;&gt;"",INDEX('×入力'!$A$1:$L$1300,763+HG$3,1)&lt;&gt;""),1,0),0)</f>
        <v/>
      </c>
      <c r="HH37">
        <f>IF(HH$4=1,IF(OR(INDEX('×入力'!$A$1:$L$1300,763+HH$3,2+HH$2)&lt;&gt;"",INDEX('×入力'!$A$1:$L$1300,762,2+HH$2)&lt;&gt;"",INDEX('×入力'!$A$1:$L$1300,763+HH$3,1)&lt;&gt;""),1,0),0)</f>
        <v/>
      </c>
      <c r="HI37">
        <f>IF(HI$4=1,IF(OR(INDEX('×入力'!$A$1:$L$1300,763+HI$3,2+HI$2)&lt;&gt;"",INDEX('×入力'!$A$1:$L$1300,762,2+HI$2)&lt;&gt;"",INDEX('×入力'!$A$1:$L$1300,763+HI$3,1)&lt;&gt;""),1,0),0)</f>
        <v/>
      </c>
      <c r="HJ37">
        <f>IF(HJ$4=1,IF(OR(INDEX('×入力'!$A$1:$L$1300,763+HJ$3,2+HJ$2)&lt;&gt;"",INDEX('×入力'!$A$1:$L$1300,762,2+HJ$2)&lt;&gt;"",INDEX('×入力'!$A$1:$L$1300,763+HJ$3,1)&lt;&gt;""),1,0),0)</f>
        <v/>
      </c>
      <c r="HK37">
        <f>IF(HK$4=1,IF(OR(INDEX('×入力'!$A$1:$L$1300,763+HK$3,2+HK$2)&lt;&gt;"",INDEX('×入力'!$A$1:$L$1300,762,2+HK$2)&lt;&gt;"",INDEX('×入力'!$A$1:$L$1300,763+HK$3,1)&lt;&gt;""),1,0),0)</f>
        <v/>
      </c>
      <c r="HL37">
        <f>IF(HL$4=1,IF(OR(INDEX('×入力'!$A$1:$L$1300,763+HL$3,2+HL$2)&lt;&gt;"",INDEX('×入力'!$A$1:$L$1300,762,2+HL$2)&lt;&gt;"",INDEX('×入力'!$A$1:$L$1300,763+HL$3,1)&lt;&gt;""),1,0),0)</f>
        <v/>
      </c>
      <c r="HM37">
        <f>IF(HM$4=1,IF(OR(INDEX('×入力'!$A$1:$L$1300,763+HM$3,2+HM$2)&lt;&gt;"",INDEX('×入力'!$A$1:$L$1300,762,2+HM$2)&lt;&gt;"",INDEX('×入力'!$A$1:$L$1300,763+HM$3,1)&lt;&gt;""),1,0),0)</f>
        <v/>
      </c>
      <c r="HN37">
        <f>IF(HN$4=1,IF(OR(INDEX('×入力'!$A$1:$L$1300,763+HN$3,2+HN$2)&lt;&gt;"",INDEX('×入力'!$A$1:$L$1300,762,2+HN$2)&lt;&gt;"",INDEX('×入力'!$A$1:$L$1300,763+HN$3,1)&lt;&gt;""),1,0),0)</f>
        <v/>
      </c>
      <c r="HO37">
        <f>IF(HO$4=1,IF(OR(INDEX('×入力'!$A$1:$L$1300,763+HO$3,2+HO$2)&lt;&gt;"",INDEX('×入力'!$A$1:$L$1300,762,2+HO$2)&lt;&gt;"",INDEX('×入力'!$A$1:$L$1300,763+HO$3,1)&lt;&gt;""),1,0),0)</f>
        <v/>
      </c>
      <c r="HP37">
        <f>IF(HP$4=1,IF(OR(INDEX('×入力'!$A$1:$L$1300,763+HP$3,2+HP$2)&lt;&gt;"",INDEX('×入力'!$A$1:$L$1300,762,2+HP$2)&lt;&gt;"",INDEX('×入力'!$A$1:$L$1300,763+HP$3,1)&lt;&gt;""),1,0),0)</f>
        <v/>
      </c>
      <c r="HQ37">
        <f>IF(HQ$4=1,IF(OR(INDEX('×入力'!$A$1:$L$1300,763+HQ$3,2+HQ$2)&lt;&gt;"",INDEX('×入力'!$A$1:$L$1300,762,2+HQ$2)&lt;&gt;"",INDEX('×入力'!$A$1:$L$1300,763+HQ$3,1)&lt;&gt;""),1,0),0)</f>
        <v/>
      </c>
      <c r="HR37">
        <f>IF(HR$4=1,IF(OR(INDEX('×入力'!$A$1:$L$1300,763+HR$3,2+HR$2)&lt;&gt;"",INDEX('×入力'!$A$1:$L$1300,762,2+HR$2)&lt;&gt;"",INDEX('×入力'!$A$1:$L$1300,763+HR$3,1)&lt;&gt;""),1,0),0)</f>
        <v/>
      </c>
      <c r="HS37">
        <f>IF(HS$4=1,IF(OR(INDEX('×入力'!$A$1:$L$1300,763+HS$3,2+HS$2)&lt;&gt;"",INDEX('×入力'!$A$1:$L$1300,762,2+HS$2)&lt;&gt;"",INDEX('×入力'!$A$1:$L$1300,763+HS$3,1)&lt;&gt;""),1,0),0)</f>
        <v/>
      </c>
      <c r="HT37">
        <f>IF(HT$4=1,IF(OR(INDEX('×入力'!$A$1:$L$1300,763+HT$3,2+HT$2)&lt;&gt;"",INDEX('×入力'!$A$1:$L$1300,762,2+HT$2)&lt;&gt;"",INDEX('×入力'!$A$1:$L$1300,763+HT$3,1)&lt;&gt;""),1,0),0)</f>
        <v/>
      </c>
      <c r="HU37">
        <f>IF(HU$4=1,IF(OR(INDEX('×入力'!$A$1:$L$1300,763+HU$3,2+HU$2)&lt;&gt;"",INDEX('×入力'!$A$1:$L$1300,762,2+HU$2)&lt;&gt;"",INDEX('×入力'!$A$1:$L$1300,763+HU$3,1)&lt;&gt;""),1,0),0)</f>
        <v/>
      </c>
      <c r="HV37">
        <f>IF(HV$4=1,IF(OR(INDEX('×入力'!$A$1:$L$1300,763+HV$3,2+HV$2)&lt;&gt;"",INDEX('×入力'!$A$1:$L$1300,762,2+HV$2)&lt;&gt;"",INDEX('×入力'!$A$1:$L$1300,763+HV$3,1)&lt;&gt;""),1,0),0)</f>
        <v/>
      </c>
      <c r="HW37">
        <f>IF(HW$4=1,IF(OR(INDEX('×入力'!$A$1:$L$1300,763+HW$3,2+HW$2)&lt;&gt;"",INDEX('×入力'!$A$1:$L$1300,762,2+HW$2)&lt;&gt;"",INDEX('×入力'!$A$1:$L$1300,763+HW$3,1)&lt;&gt;""),1,0),0)</f>
        <v/>
      </c>
      <c r="HX37">
        <f>IF(HX$4=1,IF(OR(INDEX('×入力'!$A$1:$L$1300,763+HX$3,2+HX$2)&lt;&gt;"",INDEX('×入力'!$A$1:$L$1300,762,2+HX$2)&lt;&gt;"",INDEX('×入力'!$A$1:$L$1300,763+HX$3,1)&lt;&gt;""),1,0),0)</f>
        <v/>
      </c>
      <c r="HY37">
        <f>IF(HY$4=1,IF(OR(INDEX('×入力'!$A$1:$L$1300,763+HY$3,2+HY$2)&lt;&gt;"",INDEX('×入力'!$A$1:$L$1300,762,2+HY$2)&lt;&gt;"",INDEX('×入力'!$A$1:$L$1300,763+HY$3,1)&lt;&gt;""),1,0),0)</f>
        <v/>
      </c>
      <c r="HZ37">
        <f>IF(HZ$4=1,IF(OR(INDEX('×入力'!$A$1:$L$1300,763+HZ$3,2+HZ$2)&lt;&gt;"",INDEX('×入力'!$A$1:$L$1300,762,2+HZ$2)&lt;&gt;"",INDEX('×入力'!$A$1:$L$1300,763+HZ$3,1)&lt;&gt;""),1,0),0)</f>
        <v/>
      </c>
      <c r="IA37">
        <f>IF(IA$4=1,IF(OR(INDEX('×入力'!$A$1:$L$1300,763+IA$3,2+IA$2)&lt;&gt;"",INDEX('×入力'!$A$1:$L$1300,762,2+IA$2)&lt;&gt;"",INDEX('×入力'!$A$1:$L$1300,763+IA$3,1)&lt;&gt;""),1,0),0)</f>
        <v/>
      </c>
      <c r="IB37">
        <f>IF(IB$4=1,IF(OR(INDEX('×入力'!$A$1:$L$1300,763+IB$3,2+IB$2)&lt;&gt;"",INDEX('×入力'!$A$1:$L$1300,762,2+IB$2)&lt;&gt;"",INDEX('×入力'!$A$1:$L$1300,763+IB$3,1)&lt;&gt;""),1,0),0)</f>
        <v/>
      </c>
      <c r="IC37">
        <f>IF(IC$4=1,IF(OR(INDEX('×入力'!$A$1:$L$1300,763+IC$3,2+IC$2)&lt;&gt;"",INDEX('×入力'!$A$1:$L$1300,762,2+IC$2)&lt;&gt;"",INDEX('×入力'!$A$1:$L$1300,763+IC$3,1)&lt;&gt;""),1,0),0)</f>
        <v/>
      </c>
      <c r="ID37">
        <f>IF(ID$4=1,IF(OR(INDEX('×入力'!$A$1:$L$1300,763+ID$3,2+ID$2)&lt;&gt;"",INDEX('×入力'!$A$1:$L$1300,762,2+ID$2)&lt;&gt;"",INDEX('×入力'!$A$1:$L$1300,763+ID$3,1)&lt;&gt;""),1,0),0)</f>
        <v/>
      </c>
      <c r="IE37">
        <f>IF(IE$4=1,IF(OR(INDEX('×入力'!$A$1:$L$1300,763+IE$3,2+IE$2)&lt;&gt;"",INDEX('×入力'!$A$1:$L$1300,762,2+IE$2)&lt;&gt;"",INDEX('×入力'!$A$1:$L$1300,763+IE$3,1)&lt;&gt;""),1,0),0)</f>
        <v/>
      </c>
      <c r="IF37">
        <f>IF(IF$4=1,IF(OR(INDEX('×入力'!$A$1:$L$1300,763+IF$3,2+IF$2)&lt;&gt;"",INDEX('×入力'!$A$1:$L$1300,762,2+IF$2)&lt;&gt;"",INDEX('×入力'!$A$1:$L$1300,763+IF$3,1)&lt;&gt;""),1,0),0)</f>
        <v/>
      </c>
      <c r="IG37">
        <f>IF(IG$4=1,IF(OR(INDEX('×入力'!$A$1:$L$1300,763+IG$3,2+IG$2)&lt;&gt;"",INDEX('×入力'!$A$1:$L$1300,762,2+IG$2)&lt;&gt;"",INDEX('×入力'!$A$1:$L$1300,763+IG$3,1)&lt;&gt;""),1,0),0)</f>
        <v/>
      </c>
      <c r="IH37">
        <f>IF(IH$4=1,IF(OR(INDEX('×入力'!$A$1:$L$1300,763+IH$3,2+IH$2)&lt;&gt;"",INDEX('×入力'!$A$1:$L$1300,762,2+IH$2)&lt;&gt;"",INDEX('×入力'!$A$1:$L$1300,763+IH$3,1)&lt;&gt;""),1,0),0)</f>
        <v/>
      </c>
      <c r="II37">
        <f>IF(II$4=1,IF(OR(INDEX('×入力'!$A$1:$L$1300,763+II$3,2+II$2)&lt;&gt;"",INDEX('×入力'!$A$1:$L$1300,762,2+II$2)&lt;&gt;"",INDEX('×入力'!$A$1:$L$1300,763+II$3,1)&lt;&gt;""),1,0),0)</f>
        <v/>
      </c>
      <c r="IK37">
        <f>IFERROR(INDEX('計算B'!$C$3:$C$47,MATCH(A37,'計算B'!$B$3:$B$47,0)),0)</f>
        <v/>
      </c>
      <c r="IL37">
        <f>IF(AND(C37=1,IK37=0),1,0)</f>
        <v/>
      </c>
      <c r="IM37">
        <f>SUMPRODUCT(D87:II87*(1-$D$7:$II$7))</f>
        <v/>
      </c>
      <c r="IN37">
        <f>SUM(D37:II37)</f>
        <v/>
      </c>
      <c r="IO37">
        <f>IF(B37="",0,IF(COUNTIF('調整・決定'!$C$6:$L$29,B37)=1,SUMPRODUCT(('調整・決定'!$C$6:$L$29=B37)*((COLUMN('調整・決定'!$C$6:$L$29)-3)*24+ROW('調整・決定'!$C$6:$L$29)-5)),0))</f>
        <v/>
      </c>
      <c r="IP37">
        <f>IFERROR(MATCH('名簿'!E32,{"早い時刻","遅い時刻","早い日","遅い日"},0),0)</f>
        <v/>
      </c>
      <c r="IQ37">
        <f>IF('名簿'!F32="必ず空けたい",2,IF('名簿'!F32="出来れば空けたい",1,0))</f>
        <v/>
      </c>
    </row>
    <row r="38">
      <c r="A38" t="n">
        <v>29</v>
      </c>
      <c r="B38">
        <f>'名簿'!G33</f>
        <v/>
      </c>
      <c r="C38">
        <f>IF(AND(B38&lt;&gt;"",OR('名簿'!H33="入力済み",'名簿'!H33="×なし"),IO38=0,COUNTIF('調整・決定'!$C$6:$L$29,B38)=0),1,0)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ER38">
        <f>IF(ER$4=1,IF(OR(INDEX('×入力'!$A$1:$L$1300,791+ER$3,2+ER$2)&lt;&gt;"",INDEX('×入力'!$A$1:$L$1300,790,2+ER$2)&lt;&gt;"",INDEX('×入力'!$A$1:$L$1300,791+ER$3,1)&lt;&gt;""),1,0),0)</f>
        <v/>
      </c>
      <c r="ES38">
        <f>IF(ES$4=1,IF(OR(INDEX('×入力'!$A$1:$L$1300,791+ES$3,2+ES$2)&lt;&gt;"",INDEX('×入力'!$A$1:$L$1300,790,2+ES$2)&lt;&gt;"",INDEX('×入力'!$A$1:$L$1300,791+ES$3,1)&lt;&gt;""),1,0),0)</f>
        <v/>
      </c>
      <c r="ET38">
        <f>IF(ET$4=1,IF(OR(INDEX('×入力'!$A$1:$L$1300,791+ET$3,2+ET$2)&lt;&gt;"",INDEX('×入力'!$A$1:$L$1300,790,2+ET$2)&lt;&gt;"",INDEX('×入力'!$A$1:$L$1300,791+ET$3,1)&lt;&gt;""),1,0),0)</f>
        <v/>
      </c>
      <c r="EU38">
        <f>IF(EU$4=1,IF(OR(INDEX('×入力'!$A$1:$L$1300,791+EU$3,2+EU$2)&lt;&gt;"",INDEX('×入力'!$A$1:$L$1300,790,2+EU$2)&lt;&gt;"",INDEX('×入力'!$A$1:$L$1300,791+EU$3,1)&lt;&gt;""),1,0),0)</f>
        <v/>
      </c>
      <c r="EV38">
        <f>IF(EV$4=1,IF(OR(INDEX('×入力'!$A$1:$L$1300,791+EV$3,2+EV$2)&lt;&gt;"",INDEX('×入力'!$A$1:$L$1300,790,2+EV$2)&lt;&gt;"",INDEX('×入力'!$A$1:$L$1300,791+EV$3,1)&lt;&gt;""),1,0),0)</f>
        <v/>
      </c>
      <c r="EW38">
        <f>IF(EW$4=1,IF(OR(INDEX('×入力'!$A$1:$L$1300,791+EW$3,2+EW$2)&lt;&gt;"",INDEX('×入力'!$A$1:$L$1300,790,2+EW$2)&lt;&gt;"",INDEX('×入力'!$A$1:$L$1300,791+EW$3,1)&lt;&gt;""),1,0),0)</f>
        <v/>
      </c>
      <c r="EX38">
        <f>IF(EX$4=1,IF(OR(INDEX('×入力'!$A$1:$L$1300,791+EX$3,2+EX$2)&lt;&gt;"",INDEX('×入力'!$A$1:$L$1300,790,2+EX$2)&lt;&gt;"",INDEX('×入力'!$A$1:$L$1300,791+EX$3,1)&lt;&gt;""),1,0),0)</f>
        <v/>
      </c>
      <c r="EY38">
        <f>IF(EY$4=1,IF(OR(INDEX('×入力'!$A$1:$L$1300,791+EY$3,2+EY$2)&lt;&gt;"",INDEX('×入力'!$A$1:$L$1300,790,2+EY$2)&lt;&gt;"",INDEX('×入力'!$A$1:$L$1300,791+EY$3,1)&lt;&gt;""),1,0),0)</f>
        <v/>
      </c>
      <c r="EZ38">
        <f>IF(EZ$4=1,IF(OR(INDEX('×入力'!$A$1:$L$1300,791+EZ$3,2+EZ$2)&lt;&gt;"",INDEX('×入力'!$A$1:$L$1300,790,2+EZ$2)&lt;&gt;"",INDEX('×入力'!$A$1:$L$1300,791+EZ$3,1)&lt;&gt;""),1,0),0)</f>
        <v/>
      </c>
      <c r="FA38">
        <f>IF(FA$4=1,IF(OR(INDEX('×入力'!$A$1:$L$1300,791+FA$3,2+FA$2)&lt;&gt;"",INDEX('×入力'!$A$1:$L$1300,790,2+FA$2)&lt;&gt;"",INDEX('×入力'!$A$1:$L$1300,791+FA$3,1)&lt;&gt;""),1,0),0)</f>
        <v/>
      </c>
      <c r="FB38">
        <f>IF(FB$4=1,IF(OR(INDEX('×入力'!$A$1:$L$1300,791+FB$3,2+FB$2)&lt;&gt;"",INDEX('×入力'!$A$1:$L$1300,790,2+FB$2)&lt;&gt;"",INDEX('×入力'!$A$1:$L$1300,791+FB$3,1)&lt;&gt;""),1,0),0)</f>
        <v/>
      </c>
      <c r="FC38">
        <f>IF(FC$4=1,IF(OR(INDEX('×入力'!$A$1:$L$1300,791+FC$3,2+FC$2)&lt;&gt;"",INDEX('×入力'!$A$1:$L$1300,790,2+FC$2)&lt;&gt;"",INDEX('×入力'!$A$1:$L$1300,791+FC$3,1)&lt;&gt;""),1,0),0)</f>
        <v/>
      </c>
      <c r="FD38">
        <f>IF(FD$4=1,IF(OR(INDEX('×入力'!$A$1:$L$1300,791+FD$3,2+FD$2)&lt;&gt;"",INDEX('×入力'!$A$1:$L$1300,790,2+FD$2)&lt;&gt;"",INDEX('×入力'!$A$1:$L$1300,791+FD$3,1)&lt;&gt;""),1,0),0)</f>
        <v/>
      </c>
      <c r="FE38">
        <f>IF(FE$4=1,IF(OR(INDEX('×入力'!$A$1:$L$1300,791+FE$3,2+FE$2)&lt;&gt;"",INDEX('×入力'!$A$1:$L$1300,790,2+FE$2)&lt;&gt;"",INDEX('×入力'!$A$1:$L$1300,791+FE$3,1)&lt;&gt;""),1,0),0)</f>
        <v/>
      </c>
      <c r="FF38">
        <f>IF(FF$4=1,IF(OR(INDEX('×入力'!$A$1:$L$1300,791+FF$3,2+FF$2)&lt;&gt;"",INDEX('×入力'!$A$1:$L$1300,790,2+FF$2)&lt;&gt;"",INDEX('×入力'!$A$1:$L$1300,791+FF$3,1)&lt;&gt;""),1,0),0)</f>
        <v/>
      </c>
      <c r="FG38">
        <f>IF(FG$4=1,IF(OR(INDEX('×入力'!$A$1:$L$1300,791+FG$3,2+FG$2)&lt;&gt;"",INDEX('×入力'!$A$1:$L$1300,790,2+FG$2)&lt;&gt;"",INDEX('×入力'!$A$1:$L$1300,791+FG$3,1)&lt;&gt;""),1,0),0)</f>
        <v/>
      </c>
      <c r="FH38">
        <f>IF(FH$4=1,IF(OR(INDEX('×入力'!$A$1:$L$1300,791+FH$3,2+FH$2)&lt;&gt;"",INDEX('×入力'!$A$1:$L$1300,790,2+FH$2)&lt;&gt;"",INDEX('×入力'!$A$1:$L$1300,791+FH$3,1)&lt;&gt;""),1,0),0)</f>
        <v/>
      </c>
      <c r="FI38">
        <f>IF(FI$4=1,IF(OR(INDEX('×入力'!$A$1:$L$1300,791+FI$3,2+FI$2)&lt;&gt;"",INDEX('×入力'!$A$1:$L$1300,790,2+FI$2)&lt;&gt;"",INDEX('×入力'!$A$1:$L$1300,791+FI$3,1)&lt;&gt;""),1,0),0)</f>
        <v/>
      </c>
      <c r="FJ38">
        <f>IF(FJ$4=1,IF(OR(INDEX('×入力'!$A$1:$L$1300,791+FJ$3,2+FJ$2)&lt;&gt;"",INDEX('×入力'!$A$1:$L$1300,790,2+FJ$2)&lt;&gt;"",INDEX('×入力'!$A$1:$L$1300,791+FJ$3,1)&lt;&gt;""),1,0),0)</f>
        <v/>
      </c>
      <c r="FK38">
        <f>IF(FK$4=1,IF(OR(INDEX('×入力'!$A$1:$L$1300,791+FK$3,2+FK$2)&lt;&gt;"",INDEX('×入力'!$A$1:$L$1300,790,2+FK$2)&lt;&gt;"",INDEX('×入力'!$A$1:$L$1300,791+FK$3,1)&lt;&gt;""),1,0),0)</f>
        <v/>
      </c>
      <c r="FL38">
        <f>IF(FL$4=1,IF(OR(INDEX('×入力'!$A$1:$L$1300,791+FL$3,2+FL$2)&lt;&gt;"",INDEX('×入力'!$A$1:$L$1300,790,2+FL$2)&lt;&gt;"",INDEX('×入力'!$A$1:$L$1300,791+FL$3,1)&lt;&gt;""),1,0),0)</f>
        <v/>
      </c>
      <c r="FM38">
        <f>IF(FM$4=1,IF(OR(INDEX('×入力'!$A$1:$L$1300,791+FM$3,2+FM$2)&lt;&gt;"",INDEX('×入力'!$A$1:$L$1300,790,2+FM$2)&lt;&gt;"",INDEX('×入力'!$A$1:$L$1300,791+FM$3,1)&lt;&gt;""),1,0),0)</f>
        <v/>
      </c>
      <c r="FN38">
        <f>IF(FN$4=1,IF(OR(INDEX('×入力'!$A$1:$L$1300,791+FN$3,2+FN$2)&lt;&gt;"",INDEX('×入力'!$A$1:$L$1300,790,2+FN$2)&lt;&gt;"",INDEX('×入力'!$A$1:$L$1300,791+FN$3,1)&lt;&gt;""),1,0),0)</f>
        <v/>
      </c>
      <c r="FO38">
        <f>IF(FO$4=1,IF(OR(INDEX('×入力'!$A$1:$L$1300,791+FO$3,2+FO$2)&lt;&gt;"",INDEX('×入力'!$A$1:$L$1300,790,2+FO$2)&lt;&gt;"",INDEX('×入力'!$A$1:$L$1300,791+FO$3,1)&lt;&gt;""),1,0),0)</f>
        <v/>
      </c>
      <c r="FP38">
        <f>IF(FP$4=1,IF(OR(INDEX('×入力'!$A$1:$L$1300,791+FP$3,2+FP$2)&lt;&gt;"",INDEX('×入力'!$A$1:$L$1300,790,2+FP$2)&lt;&gt;"",INDEX('×入力'!$A$1:$L$1300,791+FP$3,1)&lt;&gt;""),1,0),0)</f>
        <v/>
      </c>
      <c r="FQ38">
        <f>IF(FQ$4=1,IF(OR(INDEX('×入力'!$A$1:$L$1300,791+FQ$3,2+FQ$2)&lt;&gt;"",INDEX('×入力'!$A$1:$L$1300,790,2+FQ$2)&lt;&gt;"",INDEX('×入力'!$A$1:$L$1300,791+FQ$3,1)&lt;&gt;""),1,0),0)</f>
        <v/>
      </c>
      <c r="FR38">
        <f>IF(FR$4=1,IF(OR(INDEX('×入力'!$A$1:$L$1300,791+FR$3,2+FR$2)&lt;&gt;"",INDEX('×入力'!$A$1:$L$1300,790,2+FR$2)&lt;&gt;"",INDEX('×入力'!$A$1:$L$1300,791+FR$3,1)&lt;&gt;""),1,0),0)</f>
        <v/>
      </c>
      <c r="FS38">
        <f>IF(FS$4=1,IF(OR(INDEX('×入力'!$A$1:$L$1300,791+FS$3,2+FS$2)&lt;&gt;"",INDEX('×入力'!$A$1:$L$1300,790,2+FS$2)&lt;&gt;"",INDEX('×入力'!$A$1:$L$1300,791+FS$3,1)&lt;&gt;""),1,0),0)</f>
        <v/>
      </c>
      <c r="FT38">
        <f>IF(FT$4=1,IF(OR(INDEX('×入力'!$A$1:$L$1300,791+FT$3,2+FT$2)&lt;&gt;"",INDEX('×入力'!$A$1:$L$1300,790,2+FT$2)&lt;&gt;"",INDEX('×入力'!$A$1:$L$1300,791+FT$3,1)&lt;&gt;""),1,0),0)</f>
        <v/>
      </c>
      <c r="FU38">
        <f>IF(FU$4=1,IF(OR(INDEX('×入力'!$A$1:$L$1300,791+FU$3,2+FU$2)&lt;&gt;"",INDEX('×入力'!$A$1:$L$1300,790,2+FU$2)&lt;&gt;"",INDEX('×入力'!$A$1:$L$1300,791+FU$3,1)&lt;&gt;""),1,0),0)</f>
        <v/>
      </c>
      <c r="FV38">
        <f>IF(FV$4=1,IF(OR(INDEX('×入力'!$A$1:$L$1300,791+FV$3,2+FV$2)&lt;&gt;"",INDEX('×入力'!$A$1:$L$1300,790,2+FV$2)&lt;&gt;"",INDEX('×入力'!$A$1:$L$1300,791+FV$3,1)&lt;&gt;""),1,0),0)</f>
        <v/>
      </c>
      <c r="FW38">
        <f>IF(FW$4=1,IF(OR(INDEX('×入力'!$A$1:$L$1300,791+FW$3,2+FW$2)&lt;&gt;"",INDEX('×入力'!$A$1:$L$1300,790,2+FW$2)&lt;&gt;"",INDEX('×入力'!$A$1:$L$1300,791+FW$3,1)&lt;&gt;""),1,0),0)</f>
        <v/>
      </c>
      <c r="FX38">
        <f>IF(FX$4=1,IF(OR(INDEX('×入力'!$A$1:$L$1300,791+FX$3,2+FX$2)&lt;&gt;"",INDEX('×入力'!$A$1:$L$1300,790,2+FX$2)&lt;&gt;"",INDEX('×入力'!$A$1:$L$1300,791+FX$3,1)&lt;&gt;""),1,0),0)</f>
        <v/>
      </c>
      <c r="FY38">
        <f>IF(FY$4=1,IF(OR(INDEX('×入力'!$A$1:$L$1300,791+FY$3,2+FY$2)&lt;&gt;"",INDEX('×入力'!$A$1:$L$1300,790,2+FY$2)&lt;&gt;"",INDEX('×入力'!$A$1:$L$1300,791+FY$3,1)&lt;&gt;""),1,0),0)</f>
        <v/>
      </c>
      <c r="FZ38">
        <f>IF(FZ$4=1,IF(OR(INDEX('×入力'!$A$1:$L$1300,791+FZ$3,2+FZ$2)&lt;&gt;"",INDEX('×入力'!$A$1:$L$1300,790,2+FZ$2)&lt;&gt;"",INDEX('×入力'!$A$1:$L$1300,791+FZ$3,1)&lt;&gt;""),1,0),0)</f>
        <v/>
      </c>
      <c r="GA38">
        <f>IF(GA$4=1,IF(OR(INDEX('×入力'!$A$1:$L$1300,791+GA$3,2+GA$2)&lt;&gt;"",INDEX('×入力'!$A$1:$L$1300,790,2+GA$2)&lt;&gt;"",INDEX('×入力'!$A$1:$L$1300,791+GA$3,1)&lt;&gt;""),1,0),0)</f>
        <v/>
      </c>
      <c r="GB38">
        <f>IF(GB$4=1,IF(OR(INDEX('×入力'!$A$1:$L$1300,791+GB$3,2+GB$2)&lt;&gt;"",INDEX('×入力'!$A$1:$L$1300,790,2+GB$2)&lt;&gt;"",INDEX('×入力'!$A$1:$L$1300,791+GB$3,1)&lt;&gt;""),1,0),0)</f>
        <v/>
      </c>
      <c r="GC38">
        <f>IF(GC$4=1,IF(OR(INDEX('×入力'!$A$1:$L$1300,791+GC$3,2+GC$2)&lt;&gt;"",INDEX('×入力'!$A$1:$L$1300,790,2+GC$2)&lt;&gt;"",INDEX('×入力'!$A$1:$L$1300,791+GC$3,1)&lt;&gt;""),1,0),0)</f>
        <v/>
      </c>
      <c r="GD38">
        <f>IF(GD$4=1,IF(OR(INDEX('×入力'!$A$1:$L$1300,791+GD$3,2+GD$2)&lt;&gt;"",INDEX('×入力'!$A$1:$L$1300,790,2+GD$2)&lt;&gt;"",INDEX('×入力'!$A$1:$L$1300,791+GD$3,1)&lt;&gt;""),1,0),0)</f>
        <v/>
      </c>
      <c r="GE38">
        <f>IF(GE$4=1,IF(OR(INDEX('×入力'!$A$1:$L$1300,791+GE$3,2+GE$2)&lt;&gt;"",INDEX('×入力'!$A$1:$L$1300,790,2+GE$2)&lt;&gt;"",INDEX('×入力'!$A$1:$L$1300,791+GE$3,1)&lt;&gt;""),1,0),0)</f>
        <v/>
      </c>
      <c r="GF38">
        <f>IF(GF$4=1,IF(OR(INDEX('×入力'!$A$1:$L$1300,791+GF$3,2+GF$2)&lt;&gt;"",INDEX('×入力'!$A$1:$L$1300,790,2+GF$2)&lt;&gt;"",INDEX('×入力'!$A$1:$L$1300,791+GF$3,1)&lt;&gt;""),1,0),0)</f>
        <v/>
      </c>
      <c r="GG38">
        <f>IF(GG$4=1,IF(OR(INDEX('×入力'!$A$1:$L$1300,791+GG$3,2+GG$2)&lt;&gt;"",INDEX('×入力'!$A$1:$L$1300,790,2+GG$2)&lt;&gt;"",INDEX('×入力'!$A$1:$L$1300,791+GG$3,1)&lt;&gt;""),1,0),0)</f>
        <v/>
      </c>
      <c r="GH38">
        <f>IF(GH$4=1,IF(OR(INDEX('×入力'!$A$1:$L$1300,791+GH$3,2+GH$2)&lt;&gt;"",INDEX('×入力'!$A$1:$L$1300,790,2+GH$2)&lt;&gt;"",INDEX('×入力'!$A$1:$L$1300,791+GH$3,1)&lt;&gt;""),1,0),0)</f>
        <v/>
      </c>
      <c r="GI38">
        <f>IF(GI$4=1,IF(OR(INDEX('×入力'!$A$1:$L$1300,791+GI$3,2+GI$2)&lt;&gt;"",INDEX('×入力'!$A$1:$L$1300,790,2+GI$2)&lt;&gt;"",INDEX('×入力'!$A$1:$L$1300,791+GI$3,1)&lt;&gt;""),1,0),0)</f>
        <v/>
      </c>
      <c r="GJ38">
        <f>IF(GJ$4=1,IF(OR(INDEX('×入力'!$A$1:$L$1300,791+GJ$3,2+GJ$2)&lt;&gt;"",INDEX('×入力'!$A$1:$L$1300,790,2+GJ$2)&lt;&gt;"",INDEX('×入力'!$A$1:$L$1300,791+GJ$3,1)&lt;&gt;""),1,0),0)</f>
        <v/>
      </c>
      <c r="GK38">
        <f>IF(GK$4=1,IF(OR(INDEX('×入力'!$A$1:$L$1300,791+GK$3,2+GK$2)&lt;&gt;"",INDEX('×入力'!$A$1:$L$1300,790,2+GK$2)&lt;&gt;"",INDEX('×入力'!$A$1:$L$1300,791+GK$3,1)&lt;&gt;""),1,0),0)</f>
        <v/>
      </c>
      <c r="GL38">
        <f>IF(GL$4=1,IF(OR(INDEX('×入力'!$A$1:$L$1300,791+GL$3,2+GL$2)&lt;&gt;"",INDEX('×入力'!$A$1:$L$1300,790,2+GL$2)&lt;&gt;"",INDEX('×入力'!$A$1:$L$1300,791+GL$3,1)&lt;&gt;""),1,0),0)</f>
        <v/>
      </c>
      <c r="GM38">
        <f>IF(GM$4=1,IF(OR(INDEX('×入力'!$A$1:$L$1300,791+GM$3,2+GM$2)&lt;&gt;"",INDEX('×入力'!$A$1:$L$1300,790,2+GM$2)&lt;&gt;"",INDEX('×入力'!$A$1:$L$1300,791+GM$3,1)&lt;&gt;""),1,0),0)</f>
        <v/>
      </c>
      <c r="GN38">
        <f>IF(GN$4=1,IF(OR(INDEX('×入力'!$A$1:$L$1300,791+GN$3,2+GN$2)&lt;&gt;"",INDEX('×入力'!$A$1:$L$1300,790,2+GN$2)&lt;&gt;"",INDEX('×入力'!$A$1:$L$1300,791+GN$3,1)&lt;&gt;""),1,0),0)</f>
        <v/>
      </c>
      <c r="GO38">
        <f>IF(GO$4=1,IF(OR(INDEX('×入力'!$A$1:$L$1300,791+GO$3,2+GO$2)&lt;&gt;"",INDEX('×入力'!$A$1:$L$1300,790,2+GO$2)&lt;&gt;"",INDEX('×入力'!$A$1:$L$1300,791+GO$3,1)&lt;&gt;""),1,0),0)</f>
        <v/>
      </c>
      <c r="GP38">
        <f>IF(GP$4=1,IF(OR(INDEX('×入力'!$A$1:$L$1300,791+GP$3,2+GP$2)&lt;&gt;"",INDEX('×入力'!$A$1:$L$1300,790,2+GP$2)&lt;&gt;"",INDEX('×入力'!$A$1:$L$1300,791+GP$3,1)&lt;&gt;""),1,0),0)</f>
        <v/>
      </c>
      <c r="GQ38">
        <f>IF(GQ$4=1,IF(OR(INDEX('×入力'!$A$1:$L$1300,791+GQ$3,2+GQ$2)&lt;&gt;"",INDEX('×入力'!$A$1:$L$1300,790,2+GQ$2)&lt;&gt;"",INDEX('×入力'!$A$1:$L$1300,791+GQ$3,1)&lt;&gt;""),1,0),0)</f>
        <v/>
      </c>
      <c r="GR38">
        <f>IF(GR$4=1,IF(OR(INDEX('×入力'!$A$1:$L$1300,791+GR$3,2+GR$2)&lt;&gt;"",INDEX('×入力'!$A$1:$L$1300,790,2+GR$2)&lt;&gt;"",INDEX('×入力'!$A$1:$L$1300,791+GR$3,1)&lt;&gt;""),1,0),0)</f>
        <v/>
      </c>
      <c r="GS38">
        <f>IF(GS$4=1,IF(OR(INDEX('×入力'!$A$1:$L$1300,791+GS$3,2+GS$2)&lt;&gt;"",INDEX('×入力'!$A$1:$L$1300,790,2+GS$2)&lt;&gt;"",INDEX('×入力'!$A$1:$L$1300,791+GS$3,1)&lt;&gt;""),1,0),0)</f>
        <v/>
      </c>
      <c r="GT38">
        <f>IF(GT$4=1,IF(OR(INDEX('×入力'!$A$1:$L$1300,791+GT$3,2+GT$2)&lt;&gt;"",INDEX('×入力'!$A$1:$L$1300,790,2+GT$2)&lt;&gt;"",INDEX('×入力'!$A$1:$L$1300,791+GT$3,1)&lt;&gt;""),1,0),0)</f>
        <v/>
      </c>
      <c r="GU38">
        <f>IF(GU$4=1,IF(OR(INDEX('×入力'!$A$1:$L$1300,791+GU$3,2+GU$2)&lt;&gt;"",INDEX('×入力'!$A$1:$L$1300,790,2+GU$2)&lt;&gt;"",INDEX('×入力'!$A$1:$L$1300,791+GU$3,1)&lt;&gt;""),1,0),0)</f>
        <v/>
      </c>
      <c r="GV38">
        <f>IF(GV$4=1,IF(OR(INDEX('×入力'!$A$1:$L$1300,791+GV$3,2+GV$2)&lt;&gt;"",INDEX('×入力'!$A$1:$L$1300,790,2+GV$2)&lt;&gt;"",INDEX('×入力'!$A$1:$L$1300,791+GV$3,1)&lt;&gt;""),1,0),0)</f>
        <v/>
      </c>
      <c r="GW38">
        <f>IF(GW$4=1,IF(OR(INDEX('×入力'!$A$1:$L$1300,791+GW$3,2+GW$2)&lt;&gt;"",INDEX('×入力'!$A$1:$L$1300,790,2+GW$2)&lt;&gt;"",INDEX('×入力'!$A$1:$L$1300,791+GW$3,1)&lt;&gt;""),1,0),0)</f>
        <v/>
      </c>
      <c r="GX38">
        <f>IF(GX$4=1,IF(OR(INDEX('×入力'!$A$1:$L$1300,791+GX$3,2+GX$2)&lt;&gt;"",INDEX('×入力'!$A$1:$L$1300,790,2+GX$2)&lt;&gt;"",INDEX('×入力'!$A$1:$L$1300,791+GX$3,1)&lt;&gt;""),1,0),0)</f>
        <v/>
      </c>
      <c r="GY38">
        <f>IF(GY$4=1,IF(OR(INDEX('×入力'!$A$1:$L$1300,791+GY$3,2+GY$2)&lt;&gt;"",INDEX('×入力'!$A$1:$L$1300,790,2+GY$2)&lt;&gt;"",INDEX('×入力'!$A$1:$L$1300,791+GY$3,1)&lt;&gt;""),1,0),0)</f>
        <v/>
      </c>
      <c r="GZ38">
        <f>IF(GZ$4=1,IF(OR(INDEX('×入力'!$A$1:$L$1300,791+GZ$3,2+GZ$2)&lt;&gt;"",INDEX('×入力'!$A$1:$L$1300,790,2+GZ$2)&lt;&gt;"",INDEX('×入力'!$A$1:$L$1300,791+GZ$3,1)&lt;&gt;""),1,0),0)</f>
        <v/>
      </c>
      <c r="HA38">
        <f>IF(HA$4=1,IF(OR(INDEX('×入力'!$A$1:$L$1300,791+HA$3,2+HA$2)&lt;&gt;"",INDEX('×入力'!$A$1:$L$1300,790,2+HA$2)&lt;&gt;"",INDEX('×入力'!$A$1:$L$1300,791+HA$3,1)&lt;&gt;""),1,0),0)</f>
        <v/>
      </c>
      <c r="HB38">
        <f>IF(HB$4=1,IF(OR(INDEX('×入力'!$A$1:$L$1300,791+HB$3,2+HB$2)&lt;&gt;"",INDEX('×入力'!$A$1:$L$1300,790,2+HB$2)&lt;&gt;"",INDEX('×入力'!$A$1:$L$1300,791+HB$3,1)&lt;&gt;""),1,0),0)</f>
        <v/>
      </c>
      <c r="HC38">
        <f>IF(HC$4=1,IF(OR(INDEX('×入力'!$A$1:$L$1300,791+HC$3,2+HC$2)&lt;&gt;"",INDEX('×入力'!$A$1:$L$1300,790,2+HC$2)&lt;&gt;"",INDEX('×入力'!$A$1:$L$1300,791+HC$3,1)&lt;&gt;""),1,0),0)</f>
        <v/>
      </c>
      <c r="HD38">
        <f>IF(HD$4=1,IF(OR(INDEX('×入力'!$A$1:$L$1300,791+HD$3,2+HD$2)&lt;&gt;"",INDEX('×入力'!$A$1:$L$1300,790,2+HD$2)&lt;&gt;"",INDEX('×入力'!$A$1:$L$1300,791+HD$3,1)&lt;&gt;""),1,0),0)</f>
        <v/>
      </c>
      <c r="HE38">
        <f>IF(HE$4=1,IF(OR(INDEX('×入力'!$A$1:$L$1300,791+HE$3,2+HE$2)&lt;&gt;"",INDEX('×入力'!$A$1:$L$1300,790,2+HE$2)&lt;&gt;"",INDEX('×入力'!$A$1:$L$1300,791+HE$3,1)&lt;&gt;""),1,0),0)</f>
        <v/>
      </c>
      <c r="HF38">
        <f>IF(HF$4=1,IF(OR(INDEX('×入力'!$A$1:$L$1300,791+HF$3,2+HF$2)&lt;&gt;"",INDEX('×入力'!$A$1:$L$1300,790,2+HF$2)&lt;&gt;"",INDEX('×入力'!$A$1:$L$1300,791+HF$3,1)&lt;&gt;""),1,0),0)</f>
        <v/>
      </c>
      <c r="HG38">
        <f>IF(HG$4=1,IF(OR(INDEX('×入力'!$A$1:$L$1300,791+HG$3,2+HG$2)&lt;&gt;"",INDEX('×入力'!$A$1:$L$1300,790,2+HG$2)&lt;&gt;"",INDEX('×入力'!$A$1:$L$1300,791+HG$3,1)&lt;&gt;""),1,0),0)</f>
        <v/>
      </c>
      <c r="HH38">
        <f>IF(HH$4=1,IF(OR(INDEX('×入力'!$A$1:$L$1300,791+HH$3,2+HH$2)&lt;&gt;"",INDEX('×入力'!$A$1:$L$1300,790,2+HH$2)&lt;&gt;"",INDEX('×入力'!$A$1:$L$1300,791+HH$3,1)&lt;&gt;""),1,0),0)</f>
        <v/>
      </c>
      <c r="HI38">
        <f>IF(HI$4=1,IF(OR(INDEX('×入力'!$A$1:$L$1300,791+HI$3,2+HI$2)&lt;&gt;"",INDEX('×入力'!$A$1:$L$1300,790,2+HI$2)&lt;&gt;"",INDEX('×入力'!$A$1:$L$1300,791+HI$3,1)&lt;&gt;""),1,0),0)</f>
        <v/>
      </c>
      <c r="HJ38">
        <f>IF(HJ$4=1,IF(OR(INDEX('×入力'!$A$1:$L$1300,791+HJ$3,2+HJ$2)&lt;&gt;"",INDEX('×入力'!$A$1:$L$1300,790,2+HJ$2)&lt;&gt;"",INDEX('×入力'!$A$1:$L$1300,791+HJ$3,1)&lt;&gt;""),1,0),0)</f>
        <v/>
      </c>
      <c r="HK38">
        <f>IF(HK$4=1,IF(OR(INDEX('×入力'!$A$1:$L$1300,791+HK$3,2+HK$2)&lt;&gt;"",INDEX('×入力'!$A$1:$L$1300,790,2+HK$2)&lt;&gt;"",INDEX('×入力'!$A$1:$L$1300,791+HK$3,1)&lt;&gt;""),1,0),0)</f>
        <v/>
      </c>
      <c r="HL38">
        <f>IF(HL$4=1,IF(OR(INDEX('×入力'!$A$1:$L$1300,791+HL$3,2+HL$2)&lt;&gt;"",INDEX('×入力'!$A$1:$L$1300,790,2+HL$2)&lt;&gt;"",INDEX('×入力'!$A$1:$L$1300,791+HL$3,1)&lt;&gt;""),1,0),0)</f>
        <v/>
      </c>
      <c r="HM38">
        <f>IF(HM$4=1,IF(OR(INDEX('×入力'!$A$1:$L$1300,791+HM$3,2+HM$2)&lt;&gt;"",INDEX('×入力'!$A$1:$L$1300,790,2+HM$2)&lt;&gt;"",INDEX('×入力'!$A$1:$L$1300,791+HM$3,1)&lt;&gt;""),1,0),0)</f>
        <v/>
      </c>
      <c r="HN38">
        <f>IF(HN$4=1,IF(OR(INDEX('×入力'!$A$1:$L$1300,791+HN$3,2+HN$2)&lt;&gt;"",INDEX('×入力'!$A$1:$L$1300,790,2+HN$2)&lt;&gt;"",INDEX('×入力'!$A$1:$L$1300,791+HN$3,1)&lt;&gt;""),1,0),0)</f>
        <v/>
      </c>
      <c r="HO38">
        <f>IF(HO$4=1,IF(OR(INDEX('×入力'!$A$1:$L$1300,791+HO$3,2+HO$2)&lt;&gt;"",INDEX('×入力'!$A$1:$L$1300,790,2+HO$2)&lt;&gt;"",INDEX('×入力'!$A$1:$L$1300,791+HO$3,1)&lt;&gt;""),1,0),0)</f>
        <v/>
      </c>
      <c r="HP38">
        <f>IF(HP$4=1,IF(OR(INDEX('×入力'!$A$1:$L$1300,791+HP$3,2+HP$2)&lt;&gt;"",INDEX('×入力'!$A$1:$L$1300,790,2+HP$2)&lt;&gt;"",INDEX('×入力'!$A$1:$L$1300,791+HP$3,1)&lt;&gt;""),1,0),0)</f>
        <v/>
      </c>
      <c r="HQ38">
        <f>IF(HQ$4=1,IF(OR(INDEX('×入力'!$A$1:$L$1300,791+HQ$3,2+HQ$2)&lt;&gt;"",INDEX('×入力'!$A$1:$L$1300,790,2+HQ$2)&lt;&gt;"",INDEX('×入力'!$A$1:$L$1300,791+HQ$3,1)&lt;&gt;""),1,0),0)</f>
        <v/>
      </c>
      <c r="HR38">
        <f>IF(HR$4=1,IF(OR(INDEX('×入力'!$A$1:$L$1300,791+HR$3,2+HR$2)&lt;&gt;"",INDEX('×入力'!$A$1:$L$1300,790,2+HR$2)&lt;&gt;"",INDEX('×入力'!$A$1:$L$1300,791+HR$3,1)&lt;&gt;""),1,0),0)</f>
        <v/>
      </c>
      <c r="HS38">
        <f>IF(HS$4=1,IF(OR(INDEX('×入力'!$A$1:$L$1300,791+HS$3,2+HS$2)&lt;&gt;"",INDEX('×入力'!$A$1:$L$1300,790,2+HS$2)&lt;&gt;"",INDEX('×入力'!$A$1:$L$1300,791+HS$3,1)&lt;&gt;""),1,0),0)</f>
        <v/>
      </c>
      <c r="HT38">
        <f>IF(HT$4=1,IF(OR(INDEX('×入力'!$A$1:$L$1300,791+HT$3,2+HT$2)&lt;&gt;"",INDEX('×入力'!$A$1:$L$1300,790,2+HT$2)&lt;&gt;"",INDEX('×入力'!$A$1:$L$1300,791+HT$3,1)&lt;&gt;""),1,0),0)</f>
        <v/>
      </c>
      <c r="HU38">
        <f>IF(HU$4=1,IF(OR(INDEX('×入力'!$A$1:$L$1300,791+HU$3,2+HU$2)&lt;&gt;"",INDEX('×入力'!$A$1:$L$1300,790,2+HU$2)&lt;&gt;"",INDEX('×入力'!$A$1:$L$1300,791+HU$3,1)&lt;&gt;""),1,0),0)</f>
        <v/>
      </c>
      <c r="HV38">
        <f>IF(HV$4=1,IF(OR(INDEX('×入力'!$A$1:$L$1300,791+HV$3,2+HV$2)&lt;&gt;"",INDEX('×入力'!$A$1:$L$1300,790,2+HV$2)&lt;&gt;"",INDEX('×入力'!$A$1:$L$1300,791+HV$3,1)&lt;&gt;""),1,0),0)</f>
        <v/>
      </c>
      <c r="HW38">
        <f>IF(HW$4=1,IF(OR(INDEX('×入力'!$A$1:$L$1300,791+HW$3,2+HW$2)&lt;&gt;"",INDEX('×入力'!$A$1:$L$1300,790,2+HW$2)&lt;&gt;"",INDEX('×入力'!$A$1:$L$1300,791+HW$3,1)&lt;&gt;""),1,0),0)</f>
        <v/>
      </c>
      <c r="HX38">
        <f>IF(HX$4=1,IF(OR(INDEX('×入力'!$A$1:$L$1300,791+HX$3,2+HX$2)&lt;&gt;"",INDEX('×入力'!$A$1:$L$1300,790,2+HX$2)&lt;&gt;"",INDEX('×入力'!$A$1:$L$1300,791+HX$3,1)&lt;&gt;""),1,0),0)</f>
        <v/>
      </c>
      <c r="HY38">
        <f>IF(HY$4=1,IF(OR(INDEX('×入力'!$A$1:$L$1300,791+HY$3,2+HY$2)&lt;&gt;"",INDEX('×入力'!$A$1:$L$1300,790,2+HY$2)&lt;&gt;"",INDEX('×入力'!$A$1:$L$1300,791+HY$3,1)&lt;&gt;""),1,0),0)</f>
        <v/>
      </c>
      <c r="HZ38">
        <f>IF(HZ$4=1,IF(OR(INDEX('×入力'!$A$1:$L$1300,791+HZ$3,2+HZ$2)&lt;&gt;"",INDEX('×入力'!$A$1:$L$1300,790,2+HZ$2)&lt;&gt;"",INDEX('×入力'!$A$1:$L$1300,791+HZ$3,1)&lt;&gt;""),1,0),0)</f>
        <v/>
      </c>
      <c r="IA38">
        <f>IF(IA$4=1,IF(OR(INDEX('×入力'!$A$1:$L$1300,791+IA$3,2+IA$2)&lt;&gt;"",INDEX('×入力'!$A$1:$L$1300,790,2+IA$2)&lt;&gt;"",INDEX('×入力'!$A$1:$L$1300,791+IA$3,1)&lt;&gt;""),1,0),0)</f>
        <v/>
      </c>
      <c r="IB38">
        <f>IF(IB$4=1,IF(OR(INDEX('×入力'!$A$1:$L$1300,791+IB$3,2+IB$2)&lt;&gt;"",INDEX('×入力'!$A$1:$L$1300,790,2+IB$2)&lt;&gt;"",INDEX('×入力'!$A$1:$L$1300,791+IB$3,1)&lt;&gt;""),1,0),0)</f>
        <v/>
      </c>
      <c r="IC38">
        <f>IF(IC$4=1,IF(OR(INDEX('×入力'!$A$1:$L$1300,791+IC$3,2+IC$2)&lt;&gt;"",INDEX('×入力'!$A$1:$L$1300,790,2+IC$2)&lt;&gt;"",INDEX('×入力'!$A$1:$L$1300,791+IC$3,1)&lt;&gt;""),1,0),0)</f>
        <v/>
      </c>
      <c r="ID38">
        <f>IF(ID$4=1,IF(OR(INDEX('×入力'!$A$1:$L$1300,791+ID$3,2+ID$2)&lt;&gt;"",INDEX('×入力'!$A$1:$L$1300,790,2+ID$2)&lt;&gt;"",INDEX('×入力'!$A$1:$L$1300,791+ID$3,1)&lt;&gt;""),1,0),0)</f>
        <v/>
      </c>
      <c r="IE38">
        <f>IF(IE$4=1,IF(OR(INDEX('×入力'!$A$1:$L$1300,791+IE$3,2+IE$2)&lt;&gt;"",INDEX('×入力'!$A$1:$L$1300,790,2+IE$2)&lt;&gt;"",INDEX('×入力'!$A$1:$L$1300,791+IE$3,1)&lt;&gt;""),1,0),0)</f>
        <v/>
      </c>
      <c r="IF38">
        <f>IF(IF$4=1,IF(OR(INDEX('×入力'!$A$1:$L$1300,791+IF$3,2+IF$2)&lt;&gt;"",INDEX('×入力'!$A$1:$L$1300,790,2+IF$2)&lt;&gt;"",INDEX('×入力'!$A$1:$L$1300,791+IF$3,1)&lt;&gt;""),1,0),0)</f>
        <v/>
      </c>
      <c r="IG38">
        <f>IF(IG$4=1,IF(OR(INDEX('×入力'!$A$1:$L$1300,791+IG$3,2+IG$2)&lt;&gt;"",INDEX('×入力'!$A$1:$L$1300,790,2+IG$2)&lt;&gt;"",INDEX('×入力'!$A$1:$L$1300,791+IG$3,1)&lt;&gt;""),1,0),0)</f>
        <v/>
      </c>
      <c r="IH38">
        <f>IF(IH$4=1,IF(OR(INDEX('×入力'!$A$1:$L$1300,791+IH$3,2+IH$2)&lt;&gt;"",INDEX('×入力'!$A$1:$L$1300,790,2+IH$2)&lt;&gt;"",INDEX('×入力'!$A$1:$L$1300,791+IH$3,1)&lt;&gt;""),1,0),0)</f>
        <v/>
      </c>
      <c r="II38">
        <f>IF(II$4=1,IF(OR(INDEX('×入力'!$A$1:$L$1300,791+II$3,2+II$2)&lt;&gt;"",INDEX('×入力'!$A$1:$L$1300,790,2+II$2)&lt;&gt;"",INDEX('×入力'!$A$1:$L$1300,791+II$3,1)&lt;&gt;""),1,0),0)</f>
        <v/>
      </c>
      <c r="IK38">
        <f>IFERROR(INDEX('計算B'!$C$3:$C$47,MATCH(A38,'計算B'!$B$3:$B$47,0)),0)</f>
        <v/>
      </c>
      <c r="IL38">
        <f>IF(AND(C38=1,IK38=0),1,0)</f>
        <v/>
      </c>
      <c r="IM38">
        <f>SUMPRODUCT(D88:II88*(1-$D$7:$II$7))</f>
        <v/>
      </c>
      <c r="IN38">
        <f>SUM(D38:II38)</f>
        <v/>
      </c>
      <c r="IO38">
        <f>IF(B38="",0,IF(COUNTIF('調整・決定'!$C$6:$L$29,B38)=1,SUMPRODUCT(('調整・決定'!$C$6:$L$29=B38)*((COLUMN('調整・決定'!$C$6:$L$29)-3)*24+ROW('調整・決定'!$C$6:$L$29)-5)),0))</f>
        <v/>
      </c>
      <c r="IP38">
        <f>IFERROR(MATCH('名簿'!E33,{"早い時刻","遅い時刻","早い日","遅い日"},0),0)</f>
        <v/>
      </c>
      <c r="IQ38">
        <f>IF('名簿'!F33="必ず空けたい",2,IF('名簿'!F33="出来れば空けたい",1,0))</f>
        <v/>
      </c>
    </row>
    <row r="39">
      <c r="A39" t="n">
        <v>30</v>
      </c>
      <c r="B39">
        <f>'名簿'!G34</f>
        <v/>
      </c>
      <c r="C39">
        <f>IF(AND(B39&lt;&gt;"",OR('名簿'!H34="入力済み",'名簿'!H34="×なし"),IO39=0,COUNTIF('調整・決定'!$C$6:$L$29,B39)=0),1,0)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ER39">
        <f>IF(ER$4=1,IF(OR(INDEX('×入力'!$A$1:$L$1300,819+ER$3,2+ER$2)&lt;&gt;"",INDEX('×入力'!$A$1:$L$1300,818,2+ER$2)&lt;&gt;"",INDEX('×入力'!$A$1:$L$1300,819+ER$3,1)&lt;&gt;""),1,0),0)</f>
        <v/>
      </c>
      <c r="ES39">
        <f>IF(ES$4=1,IF(OR(INDEX('×入力'!$A$1:$L$1300,819+ES$3,2+ES$2)&lt;&gt;"",INDEX('×入力'!$A$1:$L$1300,818,2+ES$2)&lt;&gt;"",INDEX('×入力'!$A$1:$L$1300,819+ES$3,1)&lt;&gt;""),1,0),0)</f>
        <v/>
      </c>
      <c r="ET39">
        <f>IF(ET$4=1,IF(OR(INDEX('×入力'!$A$1:$L$1300,819+ET$3,2+ET$2)&lt;&gt;"",INDEX('×入力'!$A$1:$L$1300,818,2+ET$2)&lt;&gt;"",INDEX('×入力'!$A$1:$L$1300,819+ET$3,1)&lt;&gt;""),1,0),0)</f>
        <v/>
      </c>
      <c r="EU39">
        <f>IF(EU$4=1,IF(OR(INDEX('×入力'!$A$1:$L$1300,819+EU$3,2+EU$2)&lt;&gt;"",INDEX('×入力'!$A$1:$L$1300,818,2+EU$2)&lt;&gt;"",INDEX('×入力'!$A$1:$L$1300,819+EU$3,1)&lt;&gt;""),1,0),0)</f>
        <v/>
      </c>
      <c r="EV39">
        <f>IF(EV$4=1,IF(OR(INDEX('×入力'!$A$1:$L$1300,819+EV$3,2+EV$2)&lt;&gt;"",INDEX('×入力'!$A$1:$L$1300,818,2+EV$2)&lt;&gt;"",INDEX('×入力'!$A$1:$L$1300,819+EV$3,1)&lt;&gt;""),1,0),0)</f>
        <v/>
      </c>
      <c r="EW39">
        <f>IF(EW$4=1,IF(OR(INDEX('×入力'!$A$1:$L$1300,819+EW$3,2+EW$2)&lt;&gt;"",INDEX('×入力'!$A$1:$L$1300,818,2+EW$2)&lt;&gt;"",INDEX('×入力'!$A$1:$L$1300,819+EW$3,1)&lt;&gt;""),1,0),0)</f>
        <v/>
      </c>
      <c r="EX39">
        <f>IF(EX$4=1,IF(OR(INDEX('×入力'!$A$1:$L$1300,819+EX$3,2+EX$2)&lt;&gt;"",INDEX('×入力'!$A$1:$L$1300,818,2+EX$2)&lt;&gt;"",INDEX('×入力'!$A$1:$L$1300,819+EX$3,1)&lt;&gt;""),1,0),0)</f>
        <v/>
      </c>
      <c r="EY39">
        <f>IF(EY$4=1,IF(OR(INDEX('×入力'!$A$1:$L$1300,819+EY$3,2+EY$2)&lt;&gt;"",INDEX('×入力'!$A$1:$L$1300,818,2+EY$2)&lt;&gt;"",INDEX('×入力'!$A$1:$L$1300,819+EY$3,1)&lt;&gt;""),1,0),0)</f>
        <v/>
      </c>
      <c r="EZ39">
        <f>IF(EZ$4=1,IF(OR(INDEX('×入力'!$A$1:$L$1300,819+EZ$3,2+EZ$2)&lt;&gt;"",INDEX('×入力'!$A$1:$L$1300,818,2+EZ$2)&lt;&gt;"",INDEX('×入力'!$A$1:$L$1300,819+EZ$3,1)&lt;&gt;""),1,0),0)</f>
        <v/>
      </c>
      <c r="FA39">
        <f>IF(FA$4=1,IF(OR(INDEX('×入力'!$A$1:$L$1300,819+FA$3,2+FA$2)&lt;&gt;"",INDEX('×入力'!$A$1:$L$1300,818,2+FA$2)&lt;&gt;"",INDEX('×入力'!$A$1:$L$1300,819+FA$3,1)&lt;&gt;""),1,0),0)</f>
        <v/>
      </c>
      <c r="FB39">
        <f>IF(FB$4=1,IF(OR(INDEX('×入力'!$A$1:$L$1300,819+FB$3,2+FB$2)&lt;&gt;"",INDEX('×入力'!$A$1:$L$1300,818,2+FB$2)&lt;&gt;"",INDEX('×入力'!$A$1:$L$1300,819+FB$3,1)&lt;&gt;""),1,0),0)</f>
        <v/>
      </c>
      <c r="FC39">
        <f>IF(FC$4=1,IF(OR(INDEX('×入力'!$A$1:$L$1300,819+FC$3,2+FC$2)&lt;&gt;"",INDEX('×入力'!$A$1:$L$1300,818,2+FC$2)&lt;&gt;"",INDEX('×入力'!$A$1:$L$1300,819+FC$3,1)&lt;&gt;""),1,0),0)</f>
        <v/>
      </c>
      <c r="FD39">
        <f>IF(FD$4=1,IF(OR(INDEX('×入力'!$A$1:$L$1300,819+FD$3,2+FD$2)&lt;&gt;"",INDEX('×入力'!$A$1:$L$1300,818,2+FD$2)&lt;&gt;"",INDEX('×入力'!$A$1:$L$1300,819+FD$3,1)&lt;&gt;""),1,0),0)</f>
        <v/>
      </c>
      <c r="FE39">
        <f>IF(FE$4=1,IF(OR(INDEX('×入力'!$A$1:$L$1300,819+FE$3,2+FE$2)&lt;&gt;"",INDEX('×入力'!$A$1:$L$1300,818,2+FE$2)&lt;&gt;"",INDEX('×入力'!$A$1:$L$1300,819+FE$3,1)&lt;&gt;""),1,0),0)</f>
        <v/>
      </c>
      <c r="FF39">
        <f>IF(FF$4=1,IF(OR(INDEX('×入力'!$A$1:$L$1300,819+FF$3,2+FF$2)&lt;&gt;"",INDEX('×入力'!$A$1:$L$1300,818,2+FF$2)&lt;&gt;"",INDEX('×入力'!$A$1:$L$1300,819+FF$3,1)&lt;&gt;""),1,0),0)</f>
        <v/>
      </c>
      <c r="FG39">
        <f>IF(FG$4=1,IF(OR(INDEX('×入力'!$A$1:$L$1300,819+FG$3,2+FG$2)&lt;&gt;"",INDEX('×入力'!$A$1:$L$1300,818,2+FG$2)&lt;&gt;"",INDEX('×入力'!$A$1:$L$1300,819+FG$3,1)&lt;&gt;""),1,0),0)</f>
        <v/>
      </c>
      <c r="FH39">
        <f>IF(FH$4=1,IF(OR(INDEX('×入力'!$A$1:$L$1300,819+FH$3,2+FH$2)&lt;&gt;"",INDEX('×入力'!$A$1:$L$1300,818,2+FH$2)&lt;&gt;"",INDEX('×入力'!$A$1:$L$1300,819+FH$3,1)&lt;&gt;""),1,0),0)</f>
        <v/>
      </c>
      <c r="FI39">
        <f>IF(FI$4=1,IF(OR(INDEX('×入力'!$A$1:$L$1300,819+FI$3,2+FI$2)&lt;&gt;"",INDEX('×入力'!$A$1:$L$1300,818,2+FI$2)&lt;&gt;"",INDEX('×入力'!$A$1:$L$1300,819+FI$3,1)&lt;&gt;""),1,0),0)</f>
        <v/>
      </c>
      <c r="FJ39">
        <f>IF(FJ$4=1,IF(OR(INDEX('×入力'!$A$1:$L$1300,819+FJ$3,2+FJ$2)&lt;&gt;"",INDEX('×入力'!$A$1:$L$1300,818,2+FJ$2)&lt;&gt;"",INDEX('×入力'!$A$1:$L$1300,819+FJ$3,1)&lt;&gt;""),1,0),0)</f>
        <v/>
      </c>
      <c r="FK39">
        <f>IF(FK$4=1,IF(OR(INDEX('×入力'!$A$1:$L$1300,819+FK$3,2+FK$2)&lt;&gt;"",INDEX('×入力'!$A$1:$L$1300,818,2+FK$2)&lt;&gt;"",INDEX('×入力'!$A$1:$L$1300,819+FK$3,1)&lt;&gt;""),1,0),0)</f>
        <v/>
      </c>
      <c r="FL39">
        <f>IF(FL$4=1,IF(OR(INDEX('×入力'!$A$1:$L$1300,819+FL$3,2+FL$2)&lt;&gt;"",INDEX('×入力'!$A$1:$L$1300,818,2+FL$2)&lt;&gt;"",INDEX('×入力'!$A$1:$L$1300,819+FL$3,1)&lt;&gt;""),1,0),0)</f>
        <v/>
      </c>
      <c r="FM39">
        <f>IF(FM$4=1,IF(OR(INDEX('×入力'!$A$1:$L$1300,819+FM$3,2+FM$2)&lt;&gt;"",INDEX('×入力'!$A$1:$L$1300,818,2+FM$2)&lt;&gt;"",INDEX('×入力'!$A$1:$L$1300,819+FM$3,1)&lt;&gt;""),1,0),0)</f>
        <v/>
      </c>
      <c r="FN39">
        <f>IF(FN$4=1,IF(OR(INDEX('×入力'!$A$1:$L$1300,819+FN$3,2+FN$2)&lt;&gt;"",INDEX('×入力'!$A$1:$L$1300,818,2+FN$2)&lt;&gt;"",INDEX('×入力'!$A$1:$L$1300,819+FN$3,1)&lt;&gt;""),1,0),0)</f>
        <v/>
      </c>
      <c r="FO39">
        <f>IF(FO$4=1,IF(OR(INDEX('×入力'!$A$1:$L$1300,819+FO$3,2+FO$2)&lt;&gt;"",INDEX('×入力'!$A$1:$L$1300,818,2+FO$2)&lt;&gt;"",INDEX('×入力'!$A$1:$L$1300,819+FO$3,1)&lt;&gt;""),1,0),0)</f>
        <v/>
      </c>
      <c r="FP39">
        <f>IF(FP$4=1,IF(OR(INDEX('×入力'!$A$1:$L$1300,819+FP$3,2+FP$2)&lt;&gt;"",INDEX('×入力'!$A$1:$L$1300,818,2+FP$2)&lt;&gt;"",INDEX('×入力'!$A$1:$L$1300,819+FP$3,1)&lt;&gt;""),1,0),0)</f>
        <v/>
      </c>
      <c r="FQ39">
        <f>IF(FQ$4=1,IF(OR(INDEX('×入力'!$A$1:$L$1300,819+FQ$3,2+FQ$2)&lt;&gt;"",INDEX('×入力'!$A$1:$L$1300,818,2+FQ$2)&lt;&gt;"",INDEX('×入力'!$A$1:$L$1300,819+FQ$3,1)&lt;&gt;""),1,0),0)</f>
        <v/>
      </c>
      <c r="FR39">
        <f>IF(FR$4=1,IF(OR(INDEX('×入力'!$A$1:$L$1300,819+FR$3,2+FR$2)&lt;&gt;"",INDEX('×入力'!$A$1:$L$1300,818,2+FR$2)&lt;&gt;"",INDEX('×入力'!$A$1:$L$1300,819+FR$3,1)&lt;&gt;""),1,0),0)</f>
        <v/>
      </c>
      <c r="FS39">
        <f>IF(FS$4=1,IF(OR(INDEX('×入力'!$A$1:$L$1300,819+FS$3,2+FS$2)&lt;&gt;"",INDEX('×入力'!$A$1:$L$1300,818,2+FS$2)&lt;&gt;"",INDEX('×入力'!$A$1:$L$1300,819+FS$3,1)&lt;&gt;""),1,0),0)</f>
        <v/>
      </c>
      <c r="FT39">
        <f>IF(FT$4=1,IF(OR(INDEX('×入力'!$A$1:$L$1300,819+FT$3,2+FT$2)&lt;&gt;"",INDEX('×入力'!$A$1:$L$1300,818,2+FT$2)&lt;&gt;"",INDEX('×入力'!$A$1:$L$1300,819+FT$3,1)&lt;&gt;""),1,0),0)</f>
        <v/>
      </c>
      <c r="FU39">
        <f>IF(FU$4=1,IF(OR(INDEX('×入力'!$A$1:$L$1300,819+FU$3,2+FU$2)&lt;&gt;"",INDEX('×入力'!$A$1:$L$1300,818,2+FU$2)&lt;&gt;"",INDEX('×入力'!$A$1:$L$1300,819+FU$3,1)&lt;&gt;""),1,0),0)</f>
        <v/>
      </c>
      <c r="FV39">
        <f>IF(FV$4=1,IF(OR(INDEX('×入力'!$A$1:$L$1300,819+FV$3,2+FV$2)&lt;&gt;"",INDEX('×入力'!$A$1:$L$1300,818,2+FV$2)&lt;&gt;"",INDEX('×入力'!$A$1:$L$1300,819+FV$3,1)&lt;&gt;""),1,0),0)</f>
        <v/>
      </c>
      <c r="FW39">
        <f>IF(FW$4=1,IF(OR(INDEX('×入力'!$A$1:$L$1300,819+FW$3,2+FW$2)&lt;&gt;"",INDEX('×入力'!$A$1:$L$1300,818,2+FW$2)&lt;&gt;"",INDEX('×入力'!$A$1:$L$1300,819+FW$3,1)&lt;&gt;""),1,0),0)</f>
        <v/>
      </c>
      <c r="FX39">
        <f>IF(FX$4=1,IF(OR(INDEX('×入力'!$A$1:$L$1300,819+FX$3,2+FX$2)&lt;&gt;"",INDEX('×入力'!$A$1:$L$1300,818,2+FX$2)&lt;&gt;"",INDEX('×入力'!$A$1:$L$1300,819+FX$3,1)&lt;&gt;""),1,0),0)</f>
        <v/>
      </c>
      <c r="FY39">
        <f>IF(FY$4=1,IF(OR(INDEX('×入力'!$A$1:$L$1300,819+FY$3,2+FY$2)&lt;&gt;"",INDEX('×入力'!$A$1:$L$1300,818,2+FY$2)&lt;&gt;"",INDEX('×入力'!$A$1:$L$1300,819+FY$3,1)&lt;&gt;""),1,0),0)</f>
        <v/>
      </c>
      <c r="FZ39">
        <f>IF(FZ$4=1,IF(OR(INDEX('×入力'!$A$1:$L$1300,819+FZ$3,2+FZ$2)&lt;&gt;"",INDEX('×入力'!$A$1:$L$1300,818,2+FZ$2)&lt;&gt;"",INDEX('×入力'!$A$1:$L$1300,819+FZ$3,1)&lt;&gt;""),1,0),0)</f>
        <v/>
      </c>
      <c r="GA39">
        <f>IF(GA$4=1,IF(OR(INDEX('×入力'!$A$1:$L$1300,819+GA$3,2+GA$2)&lt;&gt;"",INDEX('×入力'!$A$1:$L$1300,818,2+GA$2)&lt;&gt;"",INDEX('×入力'!$A$1:$L$1300,819+GA$3,1)&lt;&gt;""),1,0),0)</f>
        <v/>
      </c>
      <c r="GB39">
        <f>IF(GB$4=1,IF(OR(INDEX('×入力'!$A$1:$L$1300,819+GB$3,2+GB$2)&lt;&gt;"",INDEX('×入力'!$A$1:$L$1300,818,2+GB$2)&lt;&gt;"",INDEX('×入力'!$A$1:$L$1300,819+GB$3,1)&lt;&gt;""),1,0),0)</f>
        <v/>
      </c>
      <c r="GC39">
        <f>IF(GC$4=1,IF(OR(INDEX('×入力'!$A$1:$L$1300,819+GC$3,2+GC$2)&lt;&gt;"",INDEX('×入力'!$A$1:$L$1300,818,2+GC$2)&lt;&gt;"",INDEX('×入力'!$A$1:$L$1300,819+GC$3,1)&lt;&gt;""),1,0),0)</f>
        <v/>
      </c>
      <c r="GD39">
        <f>IF(GD$4=1,IF(OR(INDEX('×入力'!$A$1:$L$1300,819+GD$3,2+GD$2)&lt;&gt;"",INDEX('×入力'!$A$1:$L$1300,818,2+GD$2)&lt;&gt;"",INDEX('×入力'!$A$1:$L$1300,819+GD$3,1)&lt;&gt;""),1,0),0)</f>
        <v/>
      </c>
      <c r="GE39">
        <f>IF(GE$4=1,IF(OR(INDEX('×入力'!$A$1:$L$1300,819+GE$3,2+GE$2)&lt;&gt;"",INDEX('×入力'!$A$1:$L$1300,818,2+GE$2)&lt;&gt;"",INDEX('×入力'!$A$1:$L$1300,819+GE$3,1)&lt;&gt;""),1,0),0)</f>
        <v/>
      </c>
      <c r="GF39">
        <f>IF(GF$4=1,IF(OR(INDEX('×入力'!$A$1:$L$1300,819+GF$3,2+GF$2)&lt;&gt;"",INDEX('×入力'!$A$1:$L$1300,818,2+GF$2)&lt;&gt;"",INDEX('×入力'!$A$1:$L$1300,819+GF$3,1)&lt;&gt;""),1,0),0)</f>
        <v/>
      </c>
      <c r="GG39">
        <f>IF(GG$4=1,IF(OR(INDEX('×入力'!$A$1:$L$1300,819+GG$3,2+GG$2)&lt;&gt;"",INDEX('×入力'!$A$1:$L$1300,818,2+GG$2)&lt;&gt;"",INDEX('×入力'!$A$1:$L$1300,819+GG$3,1)&lt;&gt;""),1,0),0)</f>
        <v/>
      </c>
      <c r="GH39">
        <f>IF(GH$4=1,IF(OR(INDEX('×入力'!$A$1:$L$1300,819+GH$3,2+GH$2)&lt;&gt;"",INDEX('×入力'!$A$1:$L$1300,818,2+GH$2)&lt;&gt;"",INDEX('×入力'!$A$1:$L$1300,819+GH$3,1)&lt;&gt;""),1,0),0)</f>
        <v/>
      </c>
      <c r="GI39">
        <f>IF(GI$4=1,IF(OR(INDEX('×入力'!$A$1:$L$1300,819+GI$3,2+GI$2)&lt;&gt;"",INDEX('×入力'!$A$1:$L$1300,818,2+GI$2)&lt;&gt;"",INDEX('×入力'!$A$1:$L$1300,819+GI$3,1)&lt;&gt;""),1,0),0)</f>
        <v/>
      </c>
      <c r="GJ39">
        <f>IF(GJ$4=1,IF(OR(INDEX('×入力'!$A$1:$L$1300,819+GJ$3,2+GJ$2)&lt;&gt;"",INDEX('×入力'!$A$1:$L$1300,818,2+GJ$2)&lt;&gt;"",INDEX('×入力'!$A$1:$L$1300,819+GJ$3,1)&lt;&gt;""),1,0),0)</f>
        <v/>
      </c>
      <c r="GK39">
        <f>IF(GK$4=1,IF(OR(INDEX('×入力'!$A$1:$L$1300,819+GK$3,2+GK$2)&lt;&gt;"",INDEX('×入力'!$A$1:$L$1300,818,2+GK$2)&lt;&gt;"",INDEX('×入力'!$A$1:$L$1300,819+GK$3,1)&lt;&gt;""),1,0),0)</f>
        <v/>
      </c>
      <c r="GL39">
        <f>IF(GL$4=1,IF(OR(INDEX('×入力'!$A$1:$L$1300,819+GL$3,2+GL$2)&lt;&gt;"",INDEX('×入力'!$A$1:$L$1300,818,2+GL$2)&lt;&gt;"",INDEX('×入力'!$A$1:$L$1300,819+GL$3,1)&lt;&gt;""),1,0),0)</f>
        <v/>
      </c>
      <c r="GM39">
        <f>IF(GM$4=1,IF(OR(INDEX('×入力'!$A$1:$L$1300,819+GM$3,2+GM$2)&lt;&gt;"",INDEX('×入力'!$A$1:$L$1300,818,2+GM$2)&lt;&gt;"",INDEX('×入力'!$A$1:$L$1300,819+GM$3,1)&lt;&gt;""),1,0),0)</f>
        <v/>
      </c>
      <c r="GN39">
        <f>IF(GN$4=1,IF(OR(INDEX('×入力'!$A$1:$L$1300,819+GN$3,2+GN$2)&lt;&gt;"",INDEX('×入力'!$A$1:$L$1300,818,2+GN$2)&lt;&gt;"",INDEX('×入力'!$A$1:$L$1300,819+GN$3,1)&lt;&gt;""),1,0),0)</f>
        <v/>
      </c>
      <c r="GO39">
        <f>IF(GO$4=1,IF(OR(INDEX('×入力'!$A$1:$L$1300,819+GO$3,2+GO$2)&lt;&gt;"",INDEX('×入力'!$A$1:$L$1300,818,2+GO$2)&lt;&gt;"",INDEX('×入力'!$A$1:$L$1300,819+GO$3,1)&lt;&gt;""),1,0),0)</f>
        <v/>
      </c>
      <c r="GP39">
        <f>IF(GP$4=1,IF(OR(INDEX('×入力'!$A$1:$L$1300,819+GP$3,2+GP$2)&lt;&gt;"",INDEX('×入力'!$A$1:$L$1300,818,2+GP$2)&lt;&gt;"",INDEX('×入力'!$A$1:$L$1300,819+GP$3,1)&lt;&gt;""),1,0),0)</f>
        <v/>
      </c>
      <c r="GQ39">
        <f>IF(GQ$4=1,IF(OR(INDEX('×入力'!$A$1:$L$1300,819+GQ$3,2+GQ$2)&lt;&gt;"",INDEX('×入力'!$A$1:$L$1300,818,2+GQ$2)&lt;&gt;"",INDEX('×入力'!$A$1:$L$1300,819+GQ$3,1)&lt;&gt;""),1,0),0)</f>
        <v/>
      </c>
      <c r="GR39">
        <f>IF(GR$4=1,IF(OR(INDEX('×入力'!$A$1:$L$1300,819+GR$3,2+GR$2)&lt;&gt;"",INDEX('×入力'!$A$1:$L$1300,818,2+GR$2)&lt;&gt;"",INDEX('×入力'!$A$1:$L$1300,819+GR$3,1)&lt;&gt;""),1,0),0)</f>
        <v/>
      </c>
      <c r="GS39">
        <f>IF(GS$4=1,IF(OR(INDEX('×入力'!$A$1:$L$1300,819+GS$3,2+GS$2)&lt;&gt;"",INDEX('×入力'!$A$1:$L$1300,818,2+GS$2)&lt;&gt;"",INDEX('×入力'!$A$1:$L$1300,819+GS$3,1)&lt;&gt;""),1,0),0)</f>
        <v/>
      </c>
      <c r="GT39">
        <f>IF(GT$4=1,IF(OR(INDEX('×入力'!$A$1:$L$1300,819+GT$3,2+GT$2)&lt;&gt;"",INDEX('×入力'!$A$1:$L$1300,818,2+GT$2)&lt;&gt;"",INDEX('×入力'!$A$1:$L$1300,819+GT$3,1)&lt;&gt;""),1,0),0)</f>
        <v/>
      </c>
      <c r="GU39">
        <f>IF(GU$4=1,IF(OR(INDEX('×入力'!$A$1:$L$1300,819+GU$3,2+GU$2)&lt;&gt;"",INDEX('×入力'!$A$1:$L$1300,818,2+GU$2)&lt;&gt;"",INDEX('×入力'!$A$1:$L$1300,819+GU$3,1)&lt;&gt;""),1,0),0)</f>
        <v/>
      </c>
      <c r="GV39">
        <f>IF(GV$4=1,IF(OR(INDEX('×入力'!$A$1:$L$1300,819+GV$3,2+GV$2)&lt;&gt;"",INDEX('×入力'!$A$1:$L$1300,818,2+GV$2)&lt;&gt;"",INDEX('×入力'!$A$1:$L$1300,819+GV$3,1)&lt;&gt;""),1,0),0)</f>
        <v/>
      </c>
      <c r="GW39">
        <f>IF(GW$4=1,IF(OR(INDEX('×入力'!$A$1:$L$1300,819+GW$3,2+GW$2)&lt;&gt;"",INDEX('×入力'!$A$1:$L$1300,818,2+GW$2)&lt;&gt;"",INDEX('×入力'!$A$1:$L$1300,819+GW$3,1)&lt;&gt;""),1,0),0)</f>
        <v/>
      </c>
      <c r="GX39">
        <f>IF(GX$4=1,IF(OR(INDEX('×入力'!$A$1:$L$1300,819+GX$3,2+GX$2)&lt;&gt;"",INDEX('×入力'!$A$1:$L$1300,818,2+GX$2)&lt;&gt;"",INDEX('×入力'!$A$1:$L$1300,819+GX$3,1)&lt;&gt;""),1,0),0)</f>
        <v/>
      </c>
      <c r="GY39">
        <f>IF(GY$4=1,IF(OR(INDEX('×入力'!$A$1:$L$1300,819+GY$3,2+GY$2)&lt;&gt;"",INDEX('×入力'!$A$1:$L$1300,818,2+GY$2)&lt;&gt;"",INDEX('×入力'!$A$1:$L$1300,819+GY$3,1)&lt;&gt;""),1,0),0)</f>
        <v/>
      </c>
      <c r="GZ39">
        <f>IF(GZ$4=1,IF(OR(INDEX('×入力'!$A$1:$L$1300,819+GZ$3,2+GZ$2)&lt;&gt;"",INDEX('×入力'!$A$1:$L$1300,818,2+GZ$2)&lt;&gt;"",INDEX('×入力'!$A$1:$L$1300,819+GZ$3,1)&lt;&gt;""),1,0),0)</f>
        <v/>
      </c>
      <c r="HA39">
        <f>IF(HA$4=1,IF(OR(INDEX('×入力'!$A$1:$L$1300,819+HA$3,2+HA$2)&lt;&gt;"",INDEX('×入力'!$A$1:$L$1300,818,2+HA$2)&lt;&gt;"",INDEX('×入力'!$A$1:$L$1300,819+HA$3,1)&lt;&gt;""),1,0),0)</f>
        <v/>
      </c>
      <c r="HB39">
        <f>IF(HB$4=1,IF(OR(INDEX('×入力'!$A$1:$L$1300,819+HB$3,2+HB$2)&lt;&gt;"",INDEX('×入力'!$A$1:$L$1300,818,2+HB$2)&lt;&gt;"",INDEX('×入力'!$A$1:$L$1300,819+HB$3,1)&lt;&gt;""),1,0),0)</f>
        <v/>
      </c>
      <c r="HC39">
        <f>IF(HC$4=1,IF(OR(INDEX('×入力'!$A$1:$L$1300,819+HC$3,2+HC$2)&lt;&gt;"",INDEX('×入力'!$A$1:$L$1300,818,2+HC$2)&lt;&gt;"",INDEX('×入力'!$A$1:$L$1300,819+HC$3,1)&lt;&gt;""),1,0),0)</f>
        <v/>
      </c>
      <c r="HD39">
        <f>IF(HD$4=1,IF(OR(INDEX('×入力'!$A$1:$L$1300,819+HD$3,2+HD$2)&lt;&gt;"",INDEX('×入力'!$A$1:$L$1300,818,2+HD$2)&lt;&gt;"",INDEX('×入力'!$A$1:$L$1300,819+HD$3,1)&lt;&gt;""),1,0),0)</f>
        <v/>
      </c>
      <c r="HE39">
        <f>IF(HE$4=1,IF(OR(INDEX('×入力'!$A$1:$L$1300,819+HE$3,2+HE$2)&lt;&gt;"",INDEX('×入力'!$A$1:$L$1300,818,2+HE$2)&lt;&gt;"",INDEX('×入力'!$A$1:$L$1300,819+HE$3,1)&lt;&gt;""),1,0),0)</f>
        <v/>
      </c>
      <c r="HF39">
        <f>IF(HF$4=1,IF(OR(INDEX('×入力'!$A$1:$L$1300,819+HF$3,2+HF$2)&lt;&gt;"",INDEX('×入力'!$A$1:$L$1300,818,2+HF$2)&lt;&gt;"",INDEX('×入力'!$A$1:$L$1300,819+HF$3,1)&lt;&gt;""),1,0),0)</f>
        <v/>
      </c>
      <c r="HG39">
        <f>IF(HG$4=1,IF(OR(INDEX('×入力'!$A$1:$L$1300,819+HG$3,2+HG$2)&lt;&gt;"",INDEX('×入力'!$A$1:$L$1300,818,2+HG$2)&lt;&gt;"",INDEX('×入力'!$A$1:$L$1300,819+HG$3,1)&lt;&gt;""),1,0),0)</f>
        <v/>
      </c>
      <c r="HH39">
        <f>IF(HH$4=1,IF(OR(INDEX('×入力'!$A$1:$L$1300,819+HH$3,2+HH$2)&lt;&gt;"",INDEX('×入力'!$A$1:$L$1300,818,2+HH$2)&lt;&gt;"",INDEX('×入力'!$A$1:$L$1300,819+HH$3,1)&lt;&gt;""),1,0),0)</f>
        <v/>
      </c>
      <c r="HI39">
        <f>IF(HI$4=1,IF(OR(INDEX('×入力'!$A$1:$L$1300,819+HI$3,2+HI$2)&lt;&gt;"",INDEX('×入力'!$A$1:$L$1300,818,2+HI$2)&lt;&gt;"",INDEX('×入力'!$A$1:$L$1300,819+HI$3,1)&lt;&gt;""),1,0),0)</f>
        <v/>
      </c>
      <c r="HJ39">
        <f>IF(HJ$4=1,IF(OR(INDEX('×入力'!$A$1:$L$1300,819+HJ$3,2+HJ$2)&lt;&gt;"",INDEX('×入力'!$A$1:$L$1300,818,2+HJ$2)&lt;&gt;"",INDEX('×入力'!$A$1:$L$1300,819+HJ$3,1)&lt;&gt;""),1,0),0)</f>
        <v/>
      </c>
      <c r="HK39">
        <f>IF(HK$4=1,IF(OR(INDEX('×入力'!$A$1:$L$1300,819+HK$3,2+HK$2)&lt;&gt;"",INDEX('×入力'!$A$1:$L$1300,818,2+HK$2)&lt;&gt;"",INDEX('×入力'!$A$1:$L$1300,819+HK$3,1)&lt;&gt;""),1,0),0)</f>
        <v/>
      </c>
      <c r="HL39">
        <f>IF(HL$4=1,IF(OR(INDEX('×入力'!$A$1:$L$1300,819+HL$3,2+HL$2)&lt;&gt;"",INDEX('×入力'!$A$1:$L$1300,818,2+HL$2)&lt;&gt;"",INDEX('×入力'!$A$1:$L$1300,819+HL$3,1)&lt;&gt;""),1,0),0)</f>
        <v/>
      </c>
      <c r="HM39">
        <f>IF(HM$4=1,IF(OR(INDEX('×入力'!$A$1:$L$1300,819+HM$3,2+HM$2)&lt;&gt;"",INDEX('×入力'!$A$1:$L$1300,818,2+HM$2)&lt;&gt;"",INDEX('×入力'!$A$1:$L$1300,819+HM$3,1)&lt;&gt;""),1,0),0)</f>
        <v/>
      </c>
      <c r="HN39">
        <f>IF(HN$4=1,IF(OR(INDEX('×入力'!$A$1:$L$1300,819+HN$3,2+HN$2)&lt;&gt;"",INDEX('×入力'!$A$1:$L$1300,818,2+HN$2)&lt;&gt;"",INDEX('×入力'!$A$1:$L$1300,819+HN$3,1)&lt;&gt;""),1,0),0)</f>
        <v/>
      </c>
      <c r="HO39">
        <f>IF(HO$4=1,IF(OR(INDEX('×入力'!$A$1:$L$1300,819+HO$3,2+HO$2)&lt;&gt;"",INDEX('×入力'!$A$1:$L$1300,818,2+HO$2)&lt;&gt;"",INDEX('×入力'!$A$1:$L$1300,819+HO$3,1)&lt;&gt;""),1,0),0)</f>
        <v/>
      </c>
      <c r="HP39">
        <f>IF(HP$4=1,IF(OR(INDEX('×入力'!$A$1:$L$1300,819+HP$3,2+HP$2)&lt;&gt;"",INDEX('×入力'!$A$1:$L$1300,818,2+HP$2)&lt;&gt;"",INDEX('×入力'!$A$1:$L$1300,819+HP$3,1)&lt;&gt;""),1,0),0)</f>
        <v/>
      </c>
      <c r="HQ39">
        <f>IF(HQ$4=1,IF(OR(INDEX('×入力'!$A$1:$L$1300,819+HQ$3,2+HQ$2)&lt;&gt;"",INDEX('×入力'!$A$1:$L$1300,818,2+HQ$2)&lt;&gt;"",INDEX('×入力'!$A$1:$L$1300,819+HQ$3,1)&lt;&gt;""),1,0),0)</f>
        <v/>
      </c>
      <c r="HR39">
        <f>IF(HR$4=1,IF(OR(INDEX('×入力'!$A$1:$L$1300,819+HR$3,2+HR$2)&lt;&gt;"",INDEX('×入力'!$A$1:$L$1300,818,2+HR$2)&lt;&gt;"",INDEX('×入力'!$A$1:$L$1300,819+HR$3,1)&lt;&gt;""),1,0),0)</f>
        <v/>
      </c>
      <c r="HS39">
        <f>IF(HS$4=1,IF(OR(INDEX('×入力'!$A$1:$L$1300,819+HS$3,2+HS$2)&lt;&gt;"",INDEX('×入力'!$A$1:$L$1300,818,2+HS$2)&lt;&gt;"",INDEX('×入力'!$A$1:$L$1300,819+HS$3,1)&lt;&gt;""),1,0),0)</f>
        <v/>
      </c>
      <c r="HT39">
        <f>IF(HT$4=1,IF(OR(INDEX('×入力'!$A$1:$L$1300,819+HT$3,2+HT$2)&lt;&gt;"",INDEX('×入力'!$A$1:$L$1300,818,2+HT$2)&lt;&gt;"",INDEX('×入力'!$A$1:$L$1300,819+HT$3,1)&lt;&gt;""),1,0),0)</f>
        <v/>
      </c>
      <c r="HU39">
        <f>IF(HU$4=1,IF(OR(INDEX('×入力'!$A$1:$L$1300,819+HU$3,2+HU$2)&lt;&gt;"",INDEX('×入力'!$A$1:$L$1300,818,2+HU$2)&lt;&gt;"",INDEX('×入力'!$A$1:$L$1300,819+HU$3,1)&lt;&gt;""),1,0),0)</f>
        <v/>
      </c>
      <c r="HV39">
        <f>IF(HV$4=1,IF(OR(INDEX('×入力'!$A$1:$L$1300,819+HV$3,2+HV$2)&lt;&gt;"",INDEX('×入力'!$A$1:$L$1300,818,2+HV$2)&lt;&gt;"",INDEX('×入力'!$A$1:$L$1300,819+HV$3,1)&lt;&gt;""),1,0),0)</f>
        <v/>
      </c>
      <c r="HW39">
        <f>IF(HW$4=1,IF(OR(INDEX('×入力'!$A$1:$L$1300,819+HW$3,2+HW$2)&lt;&gt;"",INDEX('×入力'!$A$1:$L$1300,818,2+HW$2)&lt;&gt;"",INDEX('×入力'!$A$1:$L$1300,819+HW$3,1)&lt;&gt;""),1,0),0)</f>
        <v/>
      </c>
      <c r="HX39">
        <f>IF(HX$4=1,IF(OR(INDEX('×入力'!$A$1:$L$1300,819+HX$3,2+HX$2)&lt;&gt;"",INDEX('×入力'!$A$1:$L$1300,818,2+HX$2)&lt;&gt;"",INDEX('×入力'!$A$1:$L$1300,819+HX$3,1)&lt;&gt;""),1,0),0)</f>
        <v/>
      </c>
      <c r="HY39">
        <f>IF(HY$4=1,IF(OR(INDEX('×入力'!$A$1:$L$1300,819+HY$3,2+HY$2)&lt;&gt;"",INDEX('×入力'!$A$1:$L$1300,818,2+HY$2)&lt;&gt;"",INDEX('×入力'!$A$1:$L$1300,819+HY$3,1)&lt;&gt;""),1,0),0)</f>
        <v/>
      </c>
      <c r="HZ39">
        <f>IF(HZ$4=1,IF(OR(INDEX('×入力'!$A$1:$L$1300,819+HZ$3,2+HZ$2)&lt;&gt;"",INDEX('×入力'!$A$1:$L$1300,818,2+HZ$2)&lt;&gt;"",INDEX('×入力'!$A$1:$L$1300,819+HZ$3,1)&lt;&gt;""),1,0),0)</f>
        <v/>
      </c>
      <c r="IA39">
        <f>IF(IA$4=1,IF(OR(INDEX('×入力'!$A$1:$L$1300,819+IA$3,2+IA$2)&lt;&gt;"",INDEX('×入力'!$A$1:$L$1300,818,2+IA$2)&lt;&gt;"",INDEX('×入力'!$A$1:$L$1300,819+IA$3,1)&lt;&gt;""),1,0),0)</f>
        <v/>
      </c>
      <c r="IB39">
        <f>IF(IB$4=1,IF(OR(INDEX('×入力'!$A$1:$L$1300,819+IB$3,2+IB$2)&lt;&gt;"",INDEX('×入力'!$A$1:$L$1300,818,2+IB$2)&lt;&gt;"",INDEX('×入力'!$A$1:$L$1300,819+IB$3,1)&lt;&gt;""),1,0),0)</f>
        <v/>
      </c>
      <c r="IC39">
        <f>IF(IC$4=1,IF(OR(INDEX('×入力'!$A$1:$L$1300,819+IC$3,2+IC$2)&lt;&gt;"",INDEX('×入力'!$A$1:$L$1300,818,2+IC$2)&lt;&gt;"",INDEX('×入力'!$A$1:$L$1300,819+IC$3,1)&lt;&gt;""),1,0),0)</f>
        <v/>
      </c>
      <c r="ID39">
        <f>IF(ID$4=1,IF(OR(INDEX('×入力'!$A$1:$L$1300,819+ID$3,2+ID$2)&lt;&gt;"",INDEX('×入力'!$A$1:$L$1300,818,2+ID$2)&lt;&gt;"",INDEX('×入力'!$A$1:$L$1300,819+ID$3,1)&lt;&gt;""),1,0),0)</f>
        <v/>
      </c>
      <c r="IE39">
        <f>IF(IE$4=1,IF(OR(INDEX('×入力'!$A$1:$L$1300,819+IE$3,2+IE$2)&lt;&gt;"",INDEX('×入力'!$A$1:$L$1300,818,2+IE$2)&lt;&gt;"",INDEX('×入力'!$A$1:$L$1300,819+IE$3,1)&lt;&gt;""),1,0),0)</f>
        <v/>
      </c>
      <c r="IF39">
        <f>IF(IF$4=1,IF(OR(INDEX('×入力'!$A$1:$L$1300,819+IF$3,2+IF$2)&lt;&gt;"",INDEX('×入力'!$A$1:$L$1300,818,2+IF$2)&lt;&gt;"",INDEX('×入力'!$A$1:$L$1300,819+IF$3,1)&lt;&gt;""),1,0),0)</f>
        <v/>
      </c>
      <c r="IG39">
        <f>IF(IG$4=1,IF(OR(INDEX('×入力'!$A$1:$L$1300,819+IG$3,2+IG$2)&lt;&gt;"",INDEX('×入力'!$A$1:$L$1300,818,2+IG$2)&lt;&gt;"",INDEX('×入力'!$A$1:$L$1300,819+IG$3,1)&lt;&gt;""),1,0),0)</f>
        <v/>
      </c>
      <c r="IH39">
        <f>IF(IH$4=1,IF(OR(INDEX('×入力'!$A$1:$L$1300,819+IH$3,2+IH$2)&lt;&gt;"",INDEX('×入力'!$A$1:$L$1300,818,2+IH$2)&lt;&gt;"",INDEX('×入力'!$A$1:$L$1300,819+IH$3,1)&lt;&gt;""),1,0),0)</f>
        <v/>
      </c>
      <c r="II39">
        <f>IF(II$4=1,IF(OR(INDEX('×入力'!$A$1:$L$1300,819+II$3,2+II$2)&lt;&gt;"",INDEX('×入力'!$A$1:$L$1300,818,2+II$2)&lt;&gt;"",INDEX('×入力'!$A$1:$L$1300,819+II$3,1)&lt;&gt;""),1,0),0)</f>
        <v/>
      </c>
      <c r="IK39">
        <f>IFERROR(INDEX('計算B'!$C$3:$C$47,MATCH(A39,'計算B'!$B$3:$B$47,0)),0)</f>
        <v/>
      </c>
      <c r="IL39">
        <f>IF(AND(C39=1,IK39=0),1,0)</f>
        <v/>
      </c>
      <c r="IM39">
        <f>SUMPRODUCT(D89:II89*(1-$D$7:$II$7))</f>
        <v/>
      </c>
      <c r="IN39">
        <f>SUM(D39:II39)</f>
        <v/>
      </c>
      <c r="IO39">
        <f>IF(B39="",0,IF(COUNTIF('調整・決定'!$C$6:$L$29,B39)=1,SUMPRODUCT(('調整・決定'!$C$6:$L$29=B39)*((COLUMN('調整・決定'!$C$6:$L$29)-3)*24+ROW('調整・決定'!$C$6:$L$29)-5)),0))</f>
        <v/>
      </c>
      <c r="IP39">
        <f>IFERROR(MATCH('名簿'!E34,{"早い時刻","遅い時刻","早い日","遅い日"},0),0)</f>
        <v/>
      </c>
      <c r="IQ39">
        <f>IF('名簿'!F34="必ず空けたい",2,IF('名簿'!F34="出来れば空けたい",1,0))</f>
        <v/>
      </c>
    </row>
    <row r="40">
      <c r="A40" t="n">
        <v>31</v>
      </c>
      <c r="B40">
        <f>'名簿'!G35</f>
        <v/>
      </c>
      <c r="C40">
        <f>IF(AND(B40&lt;&gt;"",OR('名簿'!H35="入力済み",'名簿'!H35="×なし"),IO40=0,COUNTIF('調整・決定'!$C$6:$L$29,B40)=0),1,0)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ER40">
        <f>IF(ER$4=1,IF(OR(INDEX('×入力'!$A$1:$L$1300,847+ER$3,2+ER$2)&lt;&gt;"",INDEX('×入力'!$A$1:$L$1300,846,2+ER$2)&lt;&gt;"",INDEX('×入力'!$A$1:$L$1300,847+ER$3,1)&lt;&gt;""),1,0),0)</f>
        <v/>
      </c>
      <c r="ES40">
        <f>IF(ES$4=1,IF(OR(INDEX('×入力'!$A$1:$L$1300,847+ES$3,2+ES$2)&lt;&gt;"",INDEX('×入力'!$A$1:$L$1300,846,2+ES$2)&lt;&gt;"",INDEX('×入力'!$A$1:$L$1300,847+ES$3,1)&lt;&gt;""),1,0),0)</f>
        <v/>
      </c>
      <c r="ET40">
        <f>IF(ET$4=1,IF(OR(INDEX('×入力'!$A$1:$L$1300,847+ET$3,2+ET$2)&lt;&gt;"",INDEX('×入力'!$A$1:$L$1300,846,2+ET$2)&lt;&gt;"",INDEX('×入力'!$A$1:$L$1300,847+ET$3,1)&lt;&gt;""),1,0),0)</f>
        <v/>
      </c>
      <c r="EU40">
        <f>IF(EU$4=1,IF(OR(INDEX('×入力'!$A$1:$L$1300,847+EU$3,2+EU$2)&lt;&gt;"",INDEX('×入力'!$A$1:$L$1300,846,2+EU$2)&lt;&gt;"",INDEX('×入力'!$A$1:$L$1300,847+EU$3,1)&lt;&gt;""),1,0),0)</f>
        <v/>
      </c>
      <c r="EV40">
        <f>IF(EV$4=1,IF(OR(INDEX('×入力'!$A$1:$L$1300,847+EV$3,2+EV$2)&lt;&gt;"",INDEX('×入力'!$A$1:$L$1300,846,2+EV$2)&lt;&gt;"",INDEX('×入力'!$A$1:$L$1300,847+EV$3,1)&lt;&gt;""),1,0),0)</f>
        <v/>
      </c>
      <c r="EW40">
        <f>IF(EW$4=1,IF(OR(INDEX('×入力'!$A$1:$L$1300,847+EW$3,2+EW$2)&lt;&gt;"",INDEX('×入力'!$A$1:$L$1300,846,2+EW$2)&lt;&gt;"",INDEX('×入力'!$A$1:$L$1300,847+EW$3,1)&lt;&gt;""),1,0),0)</f>
        <v/>
      </c>
      <c r="EX40">
        <f>IF(EX$4=1,IF(OR(INDEX('×入力'!$A$1:$L$1300,847+EX$3,2+EX$2)&lt;&gt;"",INDEX('×入力'!$A$1:$L$1300,846,2+EX$2)&lt;&gt;"",INDEX('×入力'!$A$1:$L$1300,847+EX$3,1)&lt;&gt;""),1,0),0)</f>
        <v/>
      </c>
      <c r="EY40">
        <f>IF(EY$4=1,IF(OR(INDEX('×入力'!$A$1:$L$1300,847+EY$3,2+EY$2)&lt;&gt;"",INDEX('×入力'!$A$1:$L$1300,846,2+EY$2)&lt;&gt;"",INDEX('×入力'!$A$1:$L$1300,847+EY$3,1)&lt;&gt;""),1,0),0)</f>
        <v/>
      </c>
      <c r="EZ40">
        <f>IF(EZ$4=1,IF(OR(INDEX('×入力'!$A$1:$L$1300,847+EZ$3,2+EZ$2)&lt;&gt;"",INDEX('×入力'!$A$1:$L$1300,846,2+EZ$2)&lt;&gt;"",INDEX('×入力'!$A$1:$L$1300,847+EZ$3,1)&lt;&gt;""),1,0),0)</f>
        <v/>
      </c>
      <c r="FA40">
        <f>IF(FA$4=1,IF(OR(INDEX('×入力'!$A$1:$L$1300,847+FA$3,2+FA$2)&lt;&gt;"",INDEX('×入力'!$A$1:$L$1300,846,2+FA$2)&lt;&gt;"",INDEX('×入力'!$A$1:$L$1300,847+FA$3,1)&lt;&gt;""),1,0),0)</f>
        <v/>
      </c>
      <c r="FB40">
        <f>IF(FB$4=1,IF(OR(INDEX('×入力'!$A$1:$L$1300,847+FB$3,2+FB$2)&lt;&gt;"",INDEX('×入力'!$A$1:$L$1300,846,2+FB$2)&lt;&gt;"",INDEX('×入力'!$A$1:$L$1300,847+FB$3,1)&lt;&gt;""),1,0),0)</f>
        <v/>
      </c>
      <c r="FC40">
        <f>IF(FC$4=1,IF(OR(INDEX('×入力'!$A$1:$L$1300,847+FC$3,2+FC$2)&lt;&gt;"",INDEX('×入力'!$A$1:$L$1300,846,2+FC$2)&lt;&gt;"",INDEX('×入力'!$A$1:$L$1300,847+FC$3,1)&lt;&gt;""),1,0),0)</f>
        <v/>
      </c>
      <c r="FD40">
        <f>IF(FD$4=1,IF(OR(INDEX('×入力'!$A$1:$L$1300,847+FD$3,2+FD$2)&lt;&gt;"",INDEX('×入力'!$A$1:$L$1300,846,2+FD$2)&lt;&gt;"",INDEX('×入力'!$A$1:$L$1300,847+FD$3,1)&lt;&gt;""),1,0),0)</f>
        <v/>
      </c>
      <c r="FE40">
        <f>IF(FE$4=1,IF(OR(INDEX('×入力'!$A$1:$L$1300,847+FE$3,2+FE$2)&lt;&gt;"",INDEX('×入力'!$A$1:$L$1300,846,2+FE$2)&lt;&gt;"",INDEX('×入力'!$A$1:$L$1300,847+FE$3,1)&lt;&gt;""),1,0),0)</f>
        <v/>
      </c>
      <c r="FF40">
        <f>IF(FF$4=1,IF(OR(INDEX('×入力'!$A$1:$L$1300,847+FF$3,2+FF$2)&lt;&gt;"",INDEX('×入力'!$A$1:$L$1300,846,2+FF$2)&lt;&gt;"",INDEX('×入力'!$A$1:$L$1300,847+FF$3,1)&lt;&gt;""),1,0),0)</f>
        <v/>
      </c>
      <c r="FG40">
        <f>IF(FG$4=1,IF(OR(INDEX('×入力'!$A$1:$L$1300,847+FG$3,2+FG$2)&lt;&gt;"",INDEX('×入力'!$A$1:$L$1300,846,2+FG$2)&lt;&gt;"",INDEX('×入力'!$A$1:$L$1300,847+FG$3,1)&lt;&gt;""),1,0),0)</f>
        <v/>
      </c>
      <c r="FH40">
        <f>IF(FH$4=1,IF(OR(INDEX('×入力'!$A$1:$L$1300,847+FH$3,2+FH$2)&lt;&gt;"",INDEX('×入力'!$A$1:$L$1300,846,2+FH$2)&lt;&gt;"",INDEX('×入力'!$A$1:$L$1300,847+FH$3,1)&lt;&gt;""),1,0),0)</f>
        <v/>
      </c>
      <c r="FI40">
        <f>IF(FI$4=1,IF(OR(INDEX('×入力'!$A$1:$L$1300,847+FI$3,2+FI$2)&lt;&gt;"",INDEX('×入力'!$A$1:$L$1300,846,2+FI$2)&lt;&gt;"",INDEX('×入力'!$A$1:$L$1300,847+FI$3,1)&lt;&gt;""),1,0),0)</f>
        <v/>
      </c>
      <c r="FJ40">
        <f>IF(FJ$4=1,IF(OR(INDEX('×入力'!$A$1:$L$1300,847+FJ$3,2+FJ$2)&lt;&gt;"",INDEX('×入力'!$A$1:$L$1300,846,2+FJ$2)&lt;&gt;"",INDEX('×入力'!$A$1:$L$1300,847+FJ$3,1)&lt;&gt;""),1,0),0)</f>
        <v/>
      </c>
      <c r="FK40">
        <f>IF(FK$4=1,IF(OR(INDEX('×入力'!$A$1:$L$1300,847+FK$3,2+FK$2)&lt;&gt;"",INDEX('×入力'!$A$1:$L$1300,846,2+FK$2)&lt;&gt;"",INDEX('×入力'!$A$1:$L$1300,847+FK$3,1)&lt;&gt;""),1,0),0)</f>
        <v/>
      </c>
      <c r="FL40">
        <f>IF(FL$4=1,IF(OR(INDEX('×入力'!$A$1:$L$1300,847+FL$3,2+FL$2)&lt;&gt;"",INDEX('×入力'!$A$1:$L$1300,846,2+FL$2)&lt;&gt;"",INDEX('×入力'!$A$1:$L$1300,847+FL$3,1)&lt;&gt;""),1,0),0)</f>
        <v/>
      </c>
      <c r="FM40">
        <f>IF(FM$4=1,IF(OR(INDEX('×入力'!$A$1:$L$1300,847+FM$3,2+FM$2)&lt;&gt;"",INDEX('×入力'!$A$1:$L$1300,846,2+FM$2)&lt;&gt;"",INDEX('×入力'!$A$1:$L$1300,847+FM$3,1)&lt;&gt;""),1,0),0)</f>
        <v/>
      </c>
      <c r="FN40">
        <f>IF(FN$4=1,IF(OR(INDEX('×入力'!$A$1:$L$1300,847+FN$3,2+FN$2)&lt;&gt;"",INDEX('×入力'!$A$1:$L$1300,846,2+FN$2)&lt;&gt;"",INDEX('×入力'!$A$1:$L$1300,847+FN$3,1)&lt;&gt;""),1,0),0)</f>
        <v/>
      </c>
      <c r="FO40">
        <f>IF(FO$4=1,IF(OR(INDEX('×入力'!$A$1:$L$1300,847+FO$3,2+FO$2)&lt;&gt;"",INDEX('×入力'!$A$1:$L$1300,846,2+FO$2)&lt;&gt;"",INDEX('×入力'!$A$1:$L$1300,847+FO$3,1)&lt;&gt;""),1,0),0)</f>
        <v/>
      </c>
      <c r="FP40">
        <f>IF(FP$4=1,IF(OR(INDEX('×入力'!$A$1:$L$1300,847+FP$3,2+FP$2)&lt;&gt;"",INDEX('×入力'!$A$1:$L$1300,846,2+FP$2)&lt;&gt;"",INDEX('×入力'!$A$1:$L$1300,847+FP$3,1)&lt;&gt;""),1,0),0)</f>
        <v/>
      </c>
      <c r="FQ40">
        <f>IF(FQ$4=1,IF(OR(INDEX('×入力'!$A$1:$L$1300,847+FQ$3,2+FQ$2)&lt;&gt;"",INDEX('×入力'!$A$1:$L$1300,846,2+FQ$2)&lt;&gt;"",INDEX('×入力'!$A$1:$L$1300,847+FQ$3,1)&lt;&gt;""),1,0),0)</f>
        <v/>
      </c>
      <c r="FR40">
        <f>IF(FR$4=1,IF(OR(INDEX('×入力'!$A$1:$L$1300,847+FR$3,2+FR$2)&lt;&gt;"",INDEX('×入力'!$A$1:$L$1300,846,2+FR$2)&lt;&gt;"",INDEX('×入力'!$A$1:$L$1300,847+FR$3,1)&lt;&gt;""),1,0),0)</f>
        <v/>
      </c>
      <c r="FS40">
        <f>IF(FS$4=1,IF(OR(INDEX('×入力'!$A$1:$L$1300,847+FS$3,2+FS$2)&lt;&gt;"",INDEX('×入力'!$A$1:$L$1300,846,2+FS$2)&lt;&gt;"",INDEX('×入力'!$A$1:$L$1300,847+FS$3,1)&lt;&gt;""),1,0),0)</f>
        <v/>
      </c>
      <c r="FT40">
        <f>IF(FT$4=1,IF(OR(INDEX('×入力'!$A$1:$L$1300,847+FT$3,2+FT$2)&lt;&gt;"",INDEX('×入力'!$A$1:$L$1300,846,2+FT$2)&lt;&gt;"",INDEX('×入力'!$A$1:$L$1300,847+FT$3,1)&lt;&gt;""),1,0),0)</f>
        <v/>
      </c>
      <c r="FU40">
        <f>IF(FU$4=1,IF(OR(INDEX('×入力'!$A$1:$L$1300,847+FU$3,2+FU$2)&lt;&gt;"",INDEX('×入力'!$A$1:$L$1300,846,2+FU$2)&lt;&gt;"",INDEX('×入力'!$A$1:$L$1300,847+FU$3,1)&lt;&gt;""),1,0),0)</f>
        <v/>
      </c>
      <c r="FV40">
        <f>IF(FV$4=1,IF(OR(INDEX('×入力'!$A$1:$L$1300,847+FV$3,2+FV$2)&lt;&gt;"",INDEX('×入力'!$A$1:$L$1300,846,2+FV$2)&lt;&gt;"",INDEX('×入力'!$A$1:$L$1300,847+FV$3,1)&lt;&gt;""),1,0),0)</f>
        <v/>
      </c>
      <c r="FW40">
        <f>IF(FW$4=1,IF(OR(INDEX('×入力'!$A$1:$L$1300,847+FW$3,2+FW$2)&lt;&gt;"",INDEX('×入力'!$A$1:$L$1300,846,2+FW$2)&lt;&gt;"",INDEX('×入力'!$A$1:$L$1300,847+FW$3,1)&lt;&gt;""),1,0),0)</f>
        <v/>
      </c>
      <c r="FX40">
        <f>IF(FX$4=1,IF(OR(INDEX('×入力'!$A$1:$L$1300,847+FX$3,2+FX$2)&lt;&gt;"",INDEX('×入力'!$A$1:$L$1300,846,2+FX$2)&lt;&gt;"",INDEX('×入力'!$A$1:$L$1300,847+FX$3,1)&lt;&gt;""),1,0),0)</f>
        <v/>
      </c>
      <c r="FY40">
        <f>IF(FY$4=1,IF(OR(INDEX('×入力'!$A$1:$L$1300,847+FY$3,2+FY$2)&lt;&gt;"",INDEX('×入力'!$A$1:$L$1300,846,2+FY$2)&lt;&gt;"",INDEX('×入力'!$A$1:$L$1300,847+FY$3,1)&lt;&gt;""),1,0),0)</f>
        <v/>
      </c>
      <c r="FZ40">
        <f>IF(FZ$4=1,IF(OR(INDEX('×入力'!$A$1:$L$1300,847+FZ$3,2+FZ$2)&lt;&gt;"",INDEX('×入力'!$A$1:$L$1300,846,2+FZ$2)&lt;&gt;"",INDEX('×入力'!$A$1:$L$1300,847+FZ$3,1)&lt;&gt;""),1,0),0)</f>
        <v/>
      </c>
      <c r="GA40">
        <f>IF(GA$4=1,IF(OR(INDEX('×入力'!$A$1:$L$1300,847+GA$3,2+GA$2)&lt;&gt;"",INDEX('×入力'!$A$1:$L$1300,846,2+GA$2)&lt;&gt;"",INDEX('×入力'!$A$1:$L$1300,847+GA$3,1)&lt;&gt;""),1,0),0)</f>
        <v/>
      </c>
      <c r="GB40">
        <f>IF(GB$4=1,IF(OR(INDEX('×入力'!$A$1:$L$1300,847+GB$3,2+GB$2)&lt;&gt;"",INDEX('×入力'!$A$1:$L$1300,846,2+GB$2)&lt;&gt;"",INDEX('×入力'!$A$1:$L$1300,847+GB$3,1)&lt;&gt;""),1,0),0)</f>
        <v/>
      </c>
      <c r="GC40">
        <f>IF(GC$4=1,IF(OR(INDEX('×入力'!$A$1:$L$1300,847+GC$3,2+GC$2)&lt;&gt;"",INDEX('×入力'!$A$1:$L$1300,846,2+GC$2)&lt;&gt;"",INDEX('×入力'!$A$1:$L$1300,847+GC$3,1)&lt;&gt;""),1,0),0)</f>
        <v/>
      </c>
      <c r="GD40">
        <f>IF(GD$4=1,IF(OR(INDEX('×入力'!$A$1:$L$1300,847+GD$3,2+GD$2)&lt;&gt;"",INDEX('×入力'!$A$1:$L$1300,846,2+GD$2)&lt;&gt;"",INDEX('×入力'!$A$1:$L$1300,847+GD$3,1)&lt;&gt;""),1,0),0)</f>
        <v/>
      </c>
      <c r="GE40">
        <f>IF(GE$4=1,IF(OR(INDEX('×入力'!$A$1:$L$1300,847+GE$3,2+GE$2)&lt;&gt;"",INDEX('×入力'!$A$1:$L$1300,846,2+GE$2)&lt;&gt;"",INDEX('×入力'!$A$1:$L$1300,847+GE$3,1)&lt;&gt;""),1,0),0)</f>
        <v/>
      </c>
      <c r="GF40">
        <f>IF(GF$4=1,IF(OR(INDEX('×入力'!$A$1:$L$1300,847+GF$3,2+GF$2)&lt;&gt;"",INDEX('×入力'!$A$1:$L$1300,846,2+GF$2)&lt;&gt;"",INDEX('×入力'!$A$1:$L$1300,847+GF$3,1)&lt;&gt;""),1,0),0)</f>
        <v/>
      </c>
      <c r="GG40">
        <f>IF(GG$4=1,IF(OR(INDEX('×入力'!$A$1:$L$1300,847+GG$3,2+GG$2)&lt;&gt;"",INDEX('×入力'!$A$1:$L$1300,846,2+GG$2)&lt;&gt;"",INDEX('×入力'!$A$1:$L$1300,847+GG$3,1)&lt;&gt;""),1,0),0)</f>
        <v/>
      </c>
      <c r="GH40">
        <f>IF(GH$4=1,IF(OR(INDEX('×入力'!$A$1:$L$1300,847+GH$3,2+GH$2)&lt;&gt;"",INDEX('×入力'!$A$1:$L$1300,846,2+GH$2)&lt;&gt;"",INDEX('×入力'!$A$1:$L$1300,847+GH$3,1)&lt;&gt;""),1,0),0)</f>
        <v/>
      </c>
      <c r="GI40">
        <f>IF(GI$4=1,IF(OR(INDEX('×入力'!$A$1:$L$1300,847+GI$3,2+GI$2)&lt;&gt;"",INDEX('×入力'!$A$1:$L$1300,846,2+GI$2)&lt;&gt;"",INDEX('×入力'!$A$1:$L$1300,847+GI$3,1)&lt;&gt;""),1,0),0)</f>
        <v/>
      </c>
      <c r="GJ40">
        <f>IF(GJ$4=1,IF(OR(INDEX('×入力'!$A$1:$L$1300,847+GJ$3,2+GJ$2)&lt;&gt;"",INDEX('×入力'!$A$1:$L$1300,846,2+GJ$2)&lt;&gt;"",INDEX('×入力'!$A$1:$L$1300,847+GJ$3,1)&lt;&gt;""),1,0),0)</f>
        <v/>
      </c>
      <c r="GK40">
        <f>IF(GK$4=1,IF(OR(INDEX('×入力'!$A$1:$L$1300,847+GK$3,2+GK$2)&lt;&gt;"",INDEX('×入力'!$A$1:$L$1300,846,2+GK$2)&lt;&gt;"",INDEX('×入力'!$A$1:$L$1300,847+GK$3,1)&lt;&gt;""),1,0),0)</f>
        <v/>
      </c>
      <c r="GL40">
        <f>IF(GL$4=1,IF(OR(INDEX('×入力'!$A$1:$L$1300,847+GL$3,2+GL$2)&lt;&gt;"",INDEX('×入力'!$A$1:$L$1300,846,2+GL$2)&lt;&gt;"",INDEX('×入力'!$A$1:$L$1300,847+GL$3,1)&lt;&gt;""),1,0),0)</f>
        <v/>
      </c>
      <c r="GM40">
        <f>IF(GM$4=1,IF(OR(INDEX('×入力'!$A$1:$L$1300,847+GM$3,2+GM$2)&lt;&gt;"",INDEX('×入力'!$A$1:$L$1300,846,2+GM$2)&lt;&gt;"",INDEX('×入力'!$A$1:$L$1300,847+GM$3,1)&lt;&gt;""),1,0),0)</f>
        <v/>
      </c>
      <c r="GN40">
        <f>IF(GN$4=1,IF(OR(INDEX('×入力'!$A$1:$L$1300,847+GN$3,2+GN$2)&lt;&gt;"",INDEX('×入力'!$A$1:$L$1300,846,2+GN$2)&lt;&gt;"",INDEX('×入力'!$A$1:$L$1300,847+GN$3,1)&lt;&gt;""),1,0),0)</f>
        <v/>
      </c>
      <c r="GO40">
        <f>IF(GO$4=1,IF(OR(INDEX('×入力'!$A$1:$L$1300,847+GO$3,2+GO$2)&lt;&gt;"",INDEX('×入力'!$A$1:$L$1300,846,2+GO$2)&lt;&gt;"",INDEX('×入力'!$A$1:$L$1300,847+GO$3,1)&lt;&gt;""),1,0),0)</f>
        <v/>
      </c>
      <c r="GP40">
        <f>IF(GP$4=1,IF(OR(INDEX('×入力'!$A$1:$L$1300,847+GP$3,2+GP$2)&lt;&gt;"",INDEX('×入力'!$A$1:$L$1300,846,2+GP$2)&lt;&gt;"",INDEX('×入力'!$A$1:$L$1300,847+GP$3,1)&lt;&gt;""),1,0),0)</f>
        <v/>
      </c>
      <c r="GQ40">
        <f>IF(GQ$4=1,IF(OR(INDEX('×入力'!$A$1:$L$1300,847+GQ$3,2+GQ$2)&lt;&gt;"",INDEX('×入力'!$A$1:$L$1300,846,2+GQ$2)&lt;&gt;"",INDEX('×入力'!$A$1:$L$1300,847+GQ$3,1)&lt;&gt;""),1,0),0)</f>
        <v/>
      </c>
      <c r="GR40">
        <f>IF(GR$4=1,IF(OR(INDEX('×入力'!$A$1:$L$1300,847+GR$3,2+GR$2)&lt;&gt;"",INDEX('×入力'!$A$1:$L$1300,846,2+GR$2)&lt;&gt;"",INDEX('×入力'!$A$1:$L$1300,847+GR$3,1)&lt;&gt;""),1,0),0)</f>
        <v/>
      </c>
      <c r="GS40">
        <f>IF(GS$4=1,IF(OR(INDEX('×入力'!$A$1:$L$1300,847+GS$3,2+GS$2)&lt;&gt;"",INDEX('×入力'!$A$1:$L$1300,846,2+GS$2)&lt;&gt;"",INDEX('×入力'!$A$1:$L$1300,847+GS$3,1)&lt;&gt;""),1,0),0)</f>
        <v/>
      </c>
      <c r="GT40">
        <f>IF(GT$4=1,IF(OR(INDEX('×入力'!$A$1:$L$1300,847+GT$3,2+GT$2)&lt;&gt;"",INDEX('×入力'!$A$1:$L$1300,846,2+GT$2)&lt;&gt;"",INDEX('×入力'!$A$1:$L$1300,847+GT$3,1)&lt;&gt;""),1,0),0)</f>
        <v/>
      </c>
      <c r="GU40">
        <f>IF(GU$4=1,IF(OR(INDEX('×入力'!$A$1:$L$1300,847+GU$3,2+GU$2)&lt;&gt;"",INDEX('×入力'!$A$1:$L$1300,846,2+GU$2)&lt;&gt;"",INDEX('×入力'!$A$1:$L$1300,847+GU$3,1)&lt;&gt;""),1,0),0)</f>
        <v/>
      </c>
      <c r="GV40">
        <f>IF(GV$4=1,IF(OR(INDEX('×入力'!$A$1:$L$1300,847+GV$3,2+GV$2)&lt;&gt;"",INDEX('×入力'!$A$1:$L$1300,846,2+GV$2)&lt;&gt;"",INDEX('×入力'!$A$1:$L$1300,847+GV$3,1)&lt;&gt;""),1,0),0)</f>
        <v/>
      </c>
      <c r="GW40">
        <f>IF(GW$4=1,IF(OR(INDEX('×入力'!$A$1:$L$1300,847+GW$3,2+GW$2)&lt;&gt;"",INDEX('×入力'!$A$1:$L$1300,846,2+GW$2)&lt;&gt;"",INDEX('×入力'!$A$1:$L$1300,847+GW$3,1)&lt;&gt;""),1,0),0)</f>
        <v/>
      </c>
      <c r="GX40">
        <f>IF(GX$4=1,IF(OR(INDEX('×入力'!$A$1:$L$1300,847+GX$3,2+GX$2)&lt;&gt;"",INDEX('×入力'!$A$1:$L$1300,846,2+GX$2)&lt;&gt;"",INDEX('×入力'!$A$1:$L$1300,847+GX$3,1)&lt;&gt;""),1,0),0)</f>
        <v/>
      </c>
      <c r="GY40">
        <f>IF(GY$4=1,IF(OR(INDEX('×入力'!$A$1:$L$1300,847+GY$3,2+GY$2)&lt;&gt;"",INDEX('×入力'!$A$1:$L$1300,846,2+GY$2)&lt;&gt;"",INDEX('×入力'!$A$1:$L$1300,847+GY$3,1)&lt;&gt;""),1,0),0)</f>
        <v/>
      </c>
      <c r="GZ40">
        <f>IF(GZ$4=1,IF(OR(INDEX('×入力'!$A$1:$L$1300,847+GZ$3,2+GZ$2)&lt;&gt;"",INDEX('×入力'!$A$1:$L$1300,846,2+GZ$2)&lt;&gt;"",INDEX('×入力'!$A$1:$L$1300,847+GZ$3,1)&lt;&gt;""),1,0),0)</f>
        <v/>
      </c>
      <c r="HA40">
        <f>IF(HA$4=1,IF(OR(INDEX('×入力'!$A$1:$L$1300,847+HA$3,2+HA$2)&lt;&gt;"",INDEX('×入力'!$A$1:$L$1300,846,2+HA$2)&lt;&gt;"",INDEX('×入力'!$A$1:$L$1300,847+HA$3,1)&lt;&gt;""),1,0),0)</f>
        <v/>
      </c>
      <c r="HB40">
        <f>IF(HB$4=1,IF(OR(INDEX('×入力'!$A$1:$L$1300,847+HB$3,2+HB$2)&lt;&gt;"",INDEX('×入力'!$A$1:$L$1300,846,2+HB$2)&lt;&gt;"",INDEX('×入力'!$A$1:$L$1300,847+HB$3,1)&lt;&gt;""),1,0),0)</f>
        <v/>
      </c>
      <c r="HC40">
        <f>IF(HC$4=1,IF(OR(INDEX('×入力'!$A$1:$L$1300,847+HC$3,2+HC$2)&lt;&gt;"",INDEX('×入力'!$A$1:$L$1300,846,2+HC$2)&lt;&gt;"",INDEX('×入力'!$A$1:$L$1300,847+HC$3,1)&lt;&gt;""),1,0),0)</f>
        <v/>
      </c>
      <c r="HD40">
        <f>IF(HD$4=1,IF(OR(INDEX('×入力'!$A$1:$L$1300,847+HD$3,2+HD$2)&lt;&gt;"",INDEX('×入力'!$A$1:$L$1300,846,2+HD$2)&lt;&gt;"",INDEX('×入力'!$A$1:$L$1300,847+HD$3,1)&lt;&gt;""),1,0),0)</f>
        <v/>
      </c>
      <c r="HE40">
        <f>IF(HE$4=1,IF(OR(INDEX('×入力'!$A$1:$L$1300,847+HE$3,2+HE$2)&lt;&gt;"",INDEX('×入力'!$A$1:$L$1300,846,2+HE$2)&lt;&gt;"",INDEX('×入力'!$A$1:$L$1300,847+HE$3,1)&lt;&gt;""),1,0),0)</f>
        <v/>
      </c>
      <c r="HF40">
        <f>IF(HF$4=1,IF(OR(INDEX('×入力'!$A$1:$L$1300,847+HF$3,2+HF$2)&lt;&gt;"",INDEX('×入力'!$A$1:$L$1300,846,2+HF$2)&lt;&gt;"",INDEX('×入力'!$A$1:$L$1300,847+HF$3,1)&lt;&gt;""),1,0),0)</f>
        <v/>
      </c>
      <c r="HG40">
        <f>IF(HG$4=1,IF(OR(INDEX('×入力'!$A$1:$L$1300,847+HG$3,2+HG$2)&lt;&gt;"",INDEX('×入力'!$A$1:$L$1300,846,2+HG$2)&lt;&gt;"",INDEX('×入力'!$A$1:$L$1300,847+HG$3,1)&lt;&gt;""),1,0),0)</f>
        <v/>
      </c>
      <c r="HH40">
        <f>IF(HH$4=1,IF(OR(INDEX('×入力'!$A$1:$L$1300,847+HH$3,2+HH$2)&lt;&gt;"",INDEX('×入力'!$A$1:$L$1300,846,2+HH$2)&lt;&gt;"",INDEX('×入力'!$A$1:$L$1300,847+HH$3,1)&lt;&gt;""),1,0),0)</f>
        <v/>
      </c>
      <c r="HI40">
        <f>IF(HI$4=1,IF(OR(INDEX('×入力'!$A$1:$L$1300,847+HI$3,2+HI$2)&lt;&gt;"",INDEX('×入力'!$A$1:$L$1300,846,2+HI$2)&lt;&gt;"",INDEX('×入力'!$A$1:$L$1300,847+HI$3,1)&lt;&gt;""),1,0),0)</f>
        <v/>
      </c>
      <c r="HJ40">
        <f>IF(HJ$4=1,IF(OR(INDEX('×入力'!$A$1:$L$1300,847+HJ$3,2+HJ$2)&lt;&gt;"",INDEX('×入力'!$A$1:$L$1300,846,2+HJ$2)&lt;&gt;"",INDEX('×入力'!$A$1:$L$1300,847+HJ$3,1)&lt;&gt;""),1,0),0)</f>
        <v/>
      </c>
      <c r="HK40">
        <f>IF(HK$4=1,IF(OR(INDEX('×入力'!$A$1:$L$1300,847+HK$3,2+HK$2)&lt;&gt;"",INDEX('×入力'!$A$1:$L$1300,846,2+HK$2)&lt;&gt;"",INDEX('×入力'!$A$1:$L$1300,847+HK$3,1)&lt;&gt;""),1,0),0)</f>
        <v/>
      </c>
      <c r="HL40">
        <f>IF(HL$4=1,IF(OR(INDEX('×入力'!$A$1:$L$1300,847+HL$3,2+HL$2)&lt;&gt;"",INDEX('×入力'!$A$1:$L$1300,846,2+HL$2)&lt;&gt;"",INDEX('×入力'!$A$1:$L$1300,847+HL$3,1)&lt;&gt;""),1,0),0)</f>
        <v/>
      </c>
      <c r="HM40">
        <f>IF(HM$4=1,IF(OR(INDEX('×入力'!$A$1:$L$1300,847+HM$3,2+HM$2)&lt;&gt;"",INDEX('×入力'!$A$1:$L$1300,846,2+HM$2)&lt;&gt;"",INDEX('×入力'!$A$1:$L$1300,847+HM$3,1)&lt;&gt;""),1,0),0)</f>
        <v/>
      </c>
      <c r="HN40">
        <f>IF(HN$4=1,IF(OR(INDEX('×入力'!$A$1:$L$1300,847+HN$3,2+HN$2)&lt;&gt;"",INDEX('×入力'!$A$1:$L$1300,846,2+HN$2)&lt;&gt;"",INDEX('×入力'!$A$1:$L$1300,847+HN$3,1)&lt;&gt;""),1,0),0)</f>
        <v/>
      </c>
      <c r="HO40">
        <f>IF(HO$4=1,IF(OR(INDEX('×入力'!$A$1:$L$1300,847+HO$3,2+HO$2)&lt;&gt;"",INDEX('×入力'!$A$1:$L$1300,846,2+HO$2)&lt;&gt;"",INDEX('×入力'!$A$1:$L$1300,847+HO$3,1)&lt;&gt;""),1,0),0)</f>
        <v/>
      </c>
      <c r="HP40">
        <f>IF(HP$4=1,IF(OR(INDEX('×入力'!$A$1:$L$1300,847+HP$3,2+HP$2)&lt;&gt;"",INDEX('×入力'!$A$1:$L$1300,846,2+HP$2)&lt;&gt;"",INDEX('×入力'!$A$1:$L$1300,847+HP$3,1)&lt;&gt;""),1,0),0)</f>
        <v/>
      </c>
      <c r="HQ40">
        <f>IF(HQ$4=1,IF(OR(INDEX('×入力'!$A$1:$L$1300,847+HQ$3,2+HQ$2)&lt;&gt;"",INDEX('×入力'!$A$1:$L$1300,846,2+HQ$2)&lt;&gt;"",INDEX('×入力'!$A$1:$L$1300,847+HQ$3,1)&lt;&gt;""),1,0),0)</f>
        <v/>
      </c>
      <c r="HR40">
        <f>IF(HR$4=1,IF(OR(INDEX('×入力'!$A$1:$L$1300,847+HR$3,2+HR$2)&lt;&gt;"",INDEX('×入力'!$A$1:$L$1300,846,2+HR$2)&lt;&gt;"",INDEX('×入力'!$A$1:$L$1300,847+HR$3,1)&lt;&gt;""),1,0),0)</f>
        <v/>
      </c>
      <c r="HS40">
        <f>IF(HS$4=1,IF(OR(INDEX('×入力'!$A$1:$L$1300,847+HS$3,2+HS$2)&lt;&gt;"",INDEX('×入力'!$A$1:$L$1300,846,2+HS$2)&lt;&gt;"",INDEX('×入力'!$A$1:$L$1300,847+HS$3,1)&lt;&gt;""),1,0),0)</f>
        <v/>
      </c>
      <c r="HT40">
        <f>IF(HT$4=1,IF(OR(INDEX('×入力'!$A$1:$L$1300,847+HT$3,2+HT$2)&lt;&gt;"",INDEX('×入力'!$A$1:$L$1300,846,2+HT$2)&lt;&gt;"",INDEX('×入力'!$A$1:$L$1300,847+HT$3,1)&lt;&gt;""),1,0),0)</f>
        <v/>
      </c>
      <c r="HU40">
        <f>IF(HU$4=1,IF(OR(INDEX('×入力'!$A$1:$L$1300,847+HU$3,2+HU$2)&lt;&gt;"",INDEX('×入力'!$A$1:$L$1300,846,2+HU$2)&lt;&gt;"",INDEX('×入力'!$A$1:$L$1300,847+HU$3,1)&lt;&gt;""),1,0),0)</f>
        <v/>
      </c>
      <c r="HV40">
        <f>IF(HV$4=1,IF(OR(INDEX('×入力'!$A$1:$L$1300,847+HV$3,2+HV$2)&lt;&gt;"",INDEX('×入力'!$A$1:$L$1300,846,2+HV$2)&lt;&gt;"",INDEX('×入力'!$A$1:$L$1300,847+HV$3,1)&lt;&gt;""),1,0),0)</f>
        <v/>
      </c>
      <c r="HW40">
        <f>IF(HW$4=1,IF(OR(INDEX('×入力'!$A$1:$L$1300,847+HW$3,2+HW$2)&lt;&gt;"",INDEX('×入力'!$A$1:$L$1300,846,2+HW$2)&lt;&gt;"",INDEX('×入力'!$A$1:$L$1300,847+HW$3,1)&lt;&gt;""),1,0),0)</f>
        <v/>
      </c>
      <c r="HX40">
        <f>IF(HX$4=1,IF(OR(INDEX('×入力'!$A$1:$L$1300,847+HX$3,2+HX$2)&lt;&gt;"",INDEX('×入力'!$A$1:$L$1300,846,2+HX$2)&lt;&gt;"",INDEX('×入力'!$A$1:$L$1300,847+HX$3,1)&lt;&gt;""),1,0),0)</f>
        <v/>
      </c>
      <c r="HY40">
        <f>IF(HY$4=1,IF(OR(INDEX('×入力'!$A$1:$L$1300,847+HY$3,2+HY$2)&lt;&gt;"",INDEX('×入力'!$A$1:$L$1300,846,2+HY$2)&lt;&gt;"",INDEX('×入力'!$A$1:$L$1300,847+HY$3,1)&lt;&gt;""),1,0),0)</f>
        <v/>
      </c>
      <c r="HZ40">
        <f>IF(HZ$4=1,IF(OR(INDEX('×入力'!$A$1:$L$1300,847+HZ$3,2+HZ$2)&lt;&gt;"",INDEX('×入力'!$A$1:$L$1300,846,2+HZ$2)&lt;&gt;"",INDEX('×入力'!$A$1:$L$1300,847+HZ$3,1)&lt;&gt;""),1,0),0)</f>
        <v/>
      </c>
      <c r="IA40">
        <f>IF(IA$4=1,IF(OR(INDEX('×入力'!$A$1:$L$1300,847+IA$3,2+IA$2)&lt;&gt;"",INDEX('×入力'!$A$1:$L$1300,846,2+IA$2)&lt;&gt;"",INDEX('×入力'!$A$1:$L$1300,847+IA$3,1)&lt;&gt;""),1,0),0)</f>
        <v/>
      </c>
      <c r="IB40">
        <f>IF(IB$4=1,IF(OR(INDEX('×入力'!$A$1:$L$1300,847+IB$3,2+IB$2)&lt;&gt;"",INDEX('×入力'!$A$1:$L$1300,846,2+IB$2)&lt;&gt;"",INDEX('×入力'!$A$1:$L$1300,847+IB$3,1)&lt;&gt;""),1,0),0)</f>
        <v/>
      </c>
      <c r="IC40">
        <f>IF(IC$4=1,IF(OR(INDEX('×入力'!$A$1:$L$1300,847+IC$3,2+IC$2)&lt;&gt;"",INDEX('×入力'!$A$1:$L$1300,846,2+IC$2)&lt;&gt;"",INDEX('×入力'!$A$1:$L$1300,847+IC$3,1)&lt;&gt;""),1,0),0)</f>
        <v/>
      </c>
      <c r="ID40">
        <f>IF(ID$4=1,IF(OR(INDEX('×入力'!$A$1:$L$1300,847+ID$3,2+ID$2)&lt;&gt;"",INDEX('×入力'!$A$1:$L$1300,846,2+ID$2)&lt;&gt;"",INDEX('×入力'!$A$1:$L$1300,847+ID$3,1)&lt;&gt;""),1,0),0)</f>
        <v/>
      </c>
      <c r="IE40">
        <f>IF(IE$4=1,IF(OR(INDEX('×入力'!$A$1:$L$1300,847+IE$3,2+IE$2)&lt;&gt;"",INDEX('×入力'!$A$1:$L$1300,846,2+IE$2)&lt;&gt;"",INDEX('×入力'!$A$1:$L$1300,847+IE$3,1)&lt;&gt;""),1,0),0)</f>
        <v/>
      </c>
      <c r="IF40">
        <f>IF(IF$4=1,IF(OR(INDEX('×入力'!$A$1:$L$1300,847+IF$3,2+IF$2)&lt;&gt;"",INDEX('×入力'!$A$1:$L$1300,846,2+IF$2)&lt;&gt;"",INDEX('×入力'!$A$1:$L$1300,847+IF$3,1)&lt;&gt;""),1,0),0)</f>
        <v/>
      </c>
      <c r="IG40">
        <f>IF(IG$4=1,IF(OR(INDEX('×入力'!$A$1:$L$1300,847+IG$3,2+IG$2)&lt;&gt;"",INDEX('×入力'!$A$1:$L$1300,846,2+IG$2)&lt;&gt;"",INDEX('×入力'!$A$1:$L$1300,847+IG$3,1)&lt;&gt;""),1,0),0)</f>
        <v/>
      </c>
      <c r="IH40">
        <f>IF(IH$4=1,IF(OR(INDEX('×入力'!$A$1:$L$1300,847+IH$3,2+IH$2)&lt;&gt;"",INDEX('×入力'!$A$1:$L$1300,846,2+IH$2)&lt;&gt;"",INDEX('×入力'!$A$1:$L$1300,847+IH$3,1)&lt;&gt;""),1,0),0)</f>
        <v/>
      </c>
      <c r="II40">
        <f>IF(II$4=1,IF(OR(INDEX('×入力'!$A$1:$L$1300,847+II$3,2+II$2)&lt;&gt;"",INDEX('×入力'!$A$1:$L$1300,846,2+II$2)&lt;&gt;"",INDEX('×入力'!$A$1:$L$1300,847+II$3,1)&lt;&gt;""),1,0),0)</f>
        <v/>
      </c>
      <c r="IK40">
        <f>IFERROR(INDEX('計算B'!$C$3:$C$47,MATCH(A40,'計算B'!$B$3:$B$47,0)),0)</f>
        <v/>
      </c>
      <c r="IL40">
        <f>IF(AND(C40=1,IK40=0),1,0)</f>
        <v/>
      </c>
      <c r="IM40">
        <f>SUMPRODUCT(D90:II90*(1-$D$7:$II$7))</f>
        <v/>
      </c>
      <c r="IN40">
        <f>SUM(D40:II40)</f>
        <v/>
      </c>
      <c r="IO40">
        <f>IF(B40="",0,IF(COUNTIF('調整・決定'!$C$6:$L$29,B40)=1,SUMPRODUCT(('調整・決定'!$C$6:$L$29=B40)*((COLUMN('調整・決定'!$C$6:$L$29)-3)*24+ROW('調整・決定'!$C$6:$L$29)-5)),0))</f>
        <v/>
      </c>
      <c r="IP40">
        <f>IFERROR(MATCH('名簿'!E35,{"早い時刻","遅い時刻","早い日","遅い日"},0),0)</f>
        <v/>
      </c>
      <c r="IQ40">
        <f>IF('名簿'!F35="必ず空けたい",2,IF('名簿'!F35="出来れば空けたい",1,0))</f>
        <v/>
      </c>
    </row>
    <row r="41">
      <c r="A41" t="n">
        <v>32</v>
      </c>
      <c r="B41">
        <f>'名簿'!G36</f>
        <v/>
      </c>
      <c r="C41">
        <f>IF(AND(B41&lt;&gt;"",OR('名簿'!H36="入力済み",'名簿'!H36="×なし"),IO41=0,COUNTIF('調整・決定'!$C$6:$L$29,B41)=0),1,0)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ER41">
        <f>IF(ER$4=1,IF(OR(INDEX('×入力'!$A$1:$L$1300,875+ER$3,2+ER$2)&lt;&gt;"",INDEX('×入力'!$A$1:$L$1300,874,2+ER$2)&lt;&gt;"",INDEX('×入力'!$A$1:$L$1300,875+ER$3,1)&lt;&gt;""),1,0),0)</f>
        <v/>
      </c>
      <c r="ES41">
        <f>IF(ES$4=1,IF(OR(INDEX('×入力'!$A$1:$L$1300,875+ES$3,2+ES$2)&lt;&gt;"",INDEX('×入力'!$A$1:$L$1300,874,2+ES$2)&lt;&gt;"",INDEX('×入力'!$A$1:$L$1300,875+ES$3,1)&lt;&gt;""),1,0),0)</f>
        <v/>
      </c>
      <c r="ET41">
        <f>IF(ET$4=1,IF(OR(INDEX('×入力'!$A$1:$L$1300,875+ET$3,2+ET$2)&lt;&gt;"",INDEX('×入力'!$A$1:$L$1300,874,2+ET$2)&lt;&gt;"",INDEX('×入力'!$A$1:$L$1300,875+ET$3,1)&lt;&gt;""),1,0),0)</f>
        <v/>
      </c>
      <c r="EU41">
        <f>IF(EU$4=1,IF(OR(INDEX('×入力'!$A$1:$L$1300,875+EU$3,2+EU$2)&lt;&gt;"",INDEX('×入力'!$A$1:$L$1300,874,2+EU$2)&lt;&gt;"",INDEX('×入力'!$A$1:$L$1300,875+EU$3,1)&lt;&gt;""),1,0),0)</f>
        <v/>
      </c>
      <c r="EV41">
        <f>IF(EV$4=1,IF(OR(INDEX('×入力'!$A$1:$L$1300,875+EV$3,2+EV$2)&lt;&gt;"",INDEX('×入力'!$A$1:$L$1300,874,2+EV$2)&lt;&gt;"",INDEX('×入力'!$A$1:$L$1300,875+EV$3,1)&lt;&gt;""),1,0),0)</f>
        <v/>
      </c>
      <c r="EW41">
        <f>IF(EW$4=1,IF(OR(INDEX('×入力'!$A$1:$L$1300,875+EW$3,2+EW$2)&lt;&gt;"",INDEX('×入力'!$A$1:$L$1300,874,2+EW$2)&lt;&gt;"",INDEX('×入力'!$A$1:$L$1300,875+EW$3,1)&lt;&gt;""),1,0),0)</f>
        <v/>
      </c>
      <c r="EX41">
        <f>IF(EX$4=1,IF(OR(INDEX('×入力'!$A$1:$L$1300,875+EX$3,2+EX$2)&lt;&gt;"",INDEX('×入力'!$A$1:$L$1300,874,2+EX$2)&lt;&gt;"",INDEX('×入力'!$A$1:$L$1300,875+EX$3,1)&lt;&gt;""),1,0),0)</f>
        <v/>
      </c>
      <c r="EY41">
        <f>IF(EY$4=1,IF(OR(INDEX('×入力'!$A$1:$L$1300,875+EY$3,2+EY$2)&lt;&gt;"",INDEX('×入力'!$A$1:$L$1300,874,2+EY$2)&lt;&gt;"",INDEX('×入力'!$A$1:$L$1300,875+EY$3,1)&lt;&gt;""),1,0),0)</f>
        <v/>
      </c>
      <c r="EZ41">
        <f>IF(EZ$4=1,IF(OR(INDEX('×入力'!$A$1:$L$1300,875+EZ$3,2+EZ$2)&lt;&gt;"",INDEX('×入力'!$A$1:$L$1300,874,2+EZ$2)&lt;&gt;"",INDEX('×入力'!$A$1:$L$1300,875+EZ$3,1)&lt;&gt;""),1,0),0)</f>
        <v/>
      </c>
      <c r="FA41">
        <f>IF(FA$4=1,IF(OR(INDEX('×入力'!$A$1:$L$1300,875+FA$3,2+FA$2)&lt;&gt;"",INDEX('×入力'!$A$1:$L$1300,874,2+FA$2)&lt;&gt;"",INDEX('×入力'!$A$1:$L$1300,875+FA$3,1)&lt;&gt;""),1,0),0)</f>
        <v/>
      </c>
      <c r="FB41">
        <f>IF(FB$4=1,IF(OR(INDEX('×入力'!$A$1:$L$1300,875+FB$3,2+FB$2)&lt;&gt;"",INDEX('×入力'!$A$1:$L$1300,874,2+FB$2)&lt;&gt;"",INDEX('×入力'!$A$1:$L$1300,875+FB$3,1)&lt;&gt;""),1,0),0)</f>
        <v/>
      </c>
      <c r="FC41">
        <f>IF(FC$4=1,IF(OR(INDEX('×入力'!$A$1:$L$1300,875+FC$3,2+FC$2)&lt;&gt;"",INDEX('×入力'!$A$1:$L$1300,874,2+FC$2)&lt;&gt;"",INDEX('×入力'!$A$1:$L$1300,875+FC$3,1)&lt;&gt;""),1,0),0)</f>
        <v/>
      </c>
      <c r="FD41">
        <f>IF(FD$4=1,IF(OR(INDEX('×入力'!$A$1:$L$1300,875+FD$3,2+FD$2)&lt;&gt;"",INDEX('×入力'!$A$1:$L$1300,874,2+FD$2)&lt;&gt;"",INDEX('×入力'!$A$1:$L$1300,875+FD$3,1)&lt;&gt;""),1,0),0)</f>
        <v/>
      </c>
      <c r="FE41">
        <f>IF(FE$4=1,IF(OR(INDEX('×入力'!$A$1:$L$1300,875+FE$3,2+FE$2)&lt;&gt;"",INDEX('×入力'!$A$1:$L$1300,874,2+FE$2)&lt;&gt;"",INDEX('×入力'!$A$1:$L$1300,875+FE$3,1)&lt;&gt;""),1,0),0)</f>
        <v/>
      </c>
      <c r="FF41">
        <f>IF(FF$4=1,IF(OR(INDEX('×入力'!$A$1:$L$1300,875+FF$3,2+FF$2)&lt;&gt;"",INDEX('×入力'!$A$1:$L$1300,874,2+FF$2)&lt;&gt;"",INDEX('×入力'!$A$1:$L$1300,875+FF$3,1)&lt;&gt;""),1,0),0)</f>
        <v/>
      </c>
      <c r="FG41">
        <f>IF(FG$4=1,IF(OR(INDEX('×入力'!$A$1:$L$1300,875+FG$3,2+FG$2)&lt;&gt;"",INDEX('×入力'!$A$1:$L$1300,874,2+FG$2)&lt;&gt;"",INDEX('×入力'!$A$1:$L$1300,875+FG$3,1)&lt;&gt;""),1,0),0)</f>
        <v/>
      </c>
      <c r="FH41">
        <f>IF(FH$4=1,IF(OR(INDEX('×入力'!$A$1:$L$1300,875+FH$3,2+FH$2)&lt;&gt;"",INDEX('×入力'!$A$1:$L$1300,874,2+FH$2)&lt;&gt;"",INDEX('×入力'!$A$1:$L$1300,875+FH$3,1)&lt;&gt;""),1,0),0)</f>
        <v/>
      </c>
      <c r="FI41">
        <f>IF(FI$4=1,IF(OR(INDEX('×入力'!$A$1:$L$1300,875+FI$3,2+FI$2)&lt;&gt;"",INDEX('×入力'!$A$1:$L$1300,874,2+FI$2)&lt;&gt;"",INDEX('×入力'!$A$1:$L$1300,875+FI$3,1)&lt;&gt;""),1,0),0)</f>
        <v/>
      </c>
      <c r="FJ41">
        <f>IF(FJ$4=1,IF(OR(INDEX('×入力'!$A$1:$L$1300,875+FJ$3,2+FJ$2)&lt;&gt;"",INDEX('×入力'!$A$1:$L$1300,874,2+FJ$2)&lt;&gt;"",INDEX('×入力'!$A$1:$L$1300,875+FJ$3,1)&lt;&gt;""),1,0),0)</f>
        <v/>
      </c>
      <c r="FK41">
        <f>IF(FK$4=1,IF(OR(INDEX('×入力'!$A$1:$L$1300,875+FK$3,2+FK$2)&lt;&gt;"",INDEX('×入力'!$A$1:$L$1300,874,2+FK$2)&lt;&gt;"",INDEX('×入力'!$A$1:$L$1300,875+FK$3,1)&lt;&gt;""),1,0),0)</f>
        <v/>
      </c>
      <c r="FL41">
        <f>IF(FL$4=1,IF(OR(INDEX('×入力'!$A$1:$L$1300,875+FL$3,2+FL$2)&lt;&gt;"",INDEX('×入力'!$A$1:$L$1300,874,2+FL$2)&lt;&gt;"",INDEX('×入力'!$A$1:$L$1300,875+FL$3,1)&lt;&gt;""),1,0),0)</f>
        <v/>
      </c>
      <c r="FM41">
        <f>IF(FM$4=1,IF(OR(INDEX('×入力'!$A$1:$L$1300,875+FM$3,2+FM$2)&lt;&gt;"",INDEX('×入力'!$A$1:$L$1300,874,2+FM$2)&lt;&gt;"",INDEX('×入力'!$A$1:$L$1300,875+FM$3,1)&lt;&gt;""),1,0),0)</f>
        <v/>
      </c>
      <c r="FN41">
        <f>IF(FN$4=1,IF(OR(INDEX('×入力'!$A$1:$L$1300,875+FN$3,2+FN$2)&lt;&gt;"",INDEX('×入力'!$A$1:$L$1300,874,2+FN$2)&lt;&gt;"",INDEX('×入力'!$A$1:$L$1300,875+FN$3,1)&lt;&gt;""),1,0),0)</f>
        <v/>
      </c>
      <c r="FO41">
        <f>IF(FO$4=1,IF(OR(INDEX('×入力'!$A$1:$L$1300,875+FO$3,2+FO$2)&lt;&gt;"",INDEX('×入力'!$A$1:$L$1300,874,2+FO$2)&lt;&gt;"",INDEX('×入力'!$A$1:$L$1300,875+FO$3,1)&lt;&gt;""),1,0),0)</f>
        <v/>
      </c>
      <c r="FP41">
        <f>IF(FP$4=1,IF(OR(INDEX('×入力'!$A$1:$L$1300,875+FP$3,2+FP$2)&lt;&gt;"",INDEX('×入力'!$A$1:$L$1300,874,2+FP$2)&lt;&gt;"",INDEX('×入力'!$A$1:$L$1300,875+FP$3,1)&lt;&gt;""),1,0),0)</f>
        <v/>
      </c>
      <c r="FQ41">
        <f>IF(FQ$4=1,IF(OR(INDEX('×入力'!$A$1:$L$1300,875+FQ$3,2+FQ$2)&lt;&gt;"",INDEX('×入力'!$A$1:$L$1300,874,2+FQ$2)&lt;&gt;"",INDEX('×入力'!$A$1:$L$1300,875+FQ$3,1)&lt;&gt;""),1,0),0)</f>
        <v/>
      </c>
      <c r="FR41">
        <f>IF(FR$4=1,IF(OR(INDEX('×入力'!$A$1:$L$1300,875+FR$3,2+FR$2)&lt;&gt;"",INDEX('×入力'!$A$1:$L$1300,874,2+FR$2)&lt;&gt;"",INDEX('×入力'!$A$1:$L$1300,875+FR$3,1)&lt;&gt;""),1,0),0)</f>
        <v/>
      </c>
      <c r="FS41">
        <f>IF(FS$4=1,IF(OR(INDEX('×入力'!$A$1:$L$1300,875+FS$3,2+FS$2)&lt;&gt;"",INDEX('×入力'!$A$1:$L$1300,874,2+FS$2)&lt;&gt;"",INDEX('×入力'!$A$1:$L$1300,875+FS$3,1)&lt;&gt;""),1,0),0)</f>
        <v/>
      </c>
      <c r="FT41">
        <f>IF(FT$4=1,IF(OR(INDEX('×入力'!$A$1:$L$1300,875+FT$3,2+FT$2)&lt;&gt;"",INDEX('×入力'!$A$1:$L$1300,874,2+FT$2)&lt;&gt;"",INDEX('×入力'!$A$1:$L$1300,875+FT$3,1)&lt;&gt;""),1,0),0)</f>
        <v/>
      </c>
      <c r="FU41">
        <f>IF(FU$4=1,IF(OR(INDEX('×入力'!$A$1:$L$1300,875+FU$3,2+FU$2)&lt;&gt;"",INDEX('×入力'!$A$1:$L$1300,874,2+FU$2)&lt;&gt;"",INDEX('×入力'!$A$1:$L$1300,875+FU$3,1)&lt;&gt;""),1,0),0)</f>
        <v/>
      </c>
      <c r="FV41">
        <f>IF(FV$4=1,IF(OR(INDEX('×入力'!$A$1:$L$1300,875+FV$3,2+FV$2)&lt;&gt;"",INDEX('×入力'!$A$1:$L$1300,874,2+FV$2)&lt;&gt;"",INDEX('×入力'!$A$1:$L$1300,875+FV$3,1)&lt;&gt;""),1,0),0)</f>
        <v/>
      </c>
      <c r="FW41">
        <f>IF(FW$4=1,IF(OR(INDEX('×入力'!$A$1:$L$1300,875+FW$3,2+FW$2)&lt;&gt;"",INDEX('×入力'!$A$1:$L$1300,874,2+FW$2)&lt;&gt;"",INDEX('×入力'!$A$1:$L$1300,875+FW$3,1)&lt;&gt;""),1,0),0)</f>
        <v/>
      </c>
      <c r="FX41">
        <f>IF(FX$4=1,IF(OR(INDEX('×入力'!$A$1:$L$1300,875+FX$3,2+FX$2)&lt;&gt;"",INDEX('×入力'!$A$1:$L$1300,874,2+FX$2)&lt;&gt;"",INDEX('×入力'!$A$1:$L$1300,875+FX$3,1)&lt;&gt;""),1,0),0)</f>
        <v/>
      </c>
      <c r="FY41">
        <f>IF(FY$4=1,IF(OR(INDEX('×入力'!$A$1:$L$1300,875+FY$3,2+FY$2)&lt;&gt;"",INDEX('×入力'!$A$1:$L$1300,874,2+FY$2)&lt;&gt;"",INDEX('×入力'!$A$1:$L$1300,875+FY$3,1)&lt;&gt;""),1,0),0)</f>
        <v/>
      </c>
      <c r="FZ41">
        <f>IF(FZ$4=1,IF(OR(INDEX('×入力'!$A$1:$L$1300,875+FZ$3,2+FZ$2)&lt;&gt;"",INDEX('×入力'!$A$1:$L$1300,874,2+FZ$2)&lt;&gt;"",INDEX('×入力'!$A$1:$L$1300,875+FZ$3,1)&lt;&gt;""),1,0),0)</f>
        <v/>
      </c>
      <c r="GA41">
        <f>IF(GA$4=1,IF(OR(INDEX('×入力'!$A$1:$L$1300,875+GA$3,2+GA$2)&lt;&gt;"",INDEX('×入力'!$A$1:$L$1300,874,2+GA$2)&lt;&gt;"",INDEX('×入力'!$A$1:$L$1300,875+GA$3,1)&lt;&gt;""),1,0),0)</f>
        <v/>
      </c>
      <c r="GB41">
        <f>IF(GB$4=1,IF(OR(INDEX('×入力'!$A$1:$L$1300,875+GB$3,2+GB$2)&lt;&gt;"",INDEX('×入力'!$A$1:$L$1300,874,2+GB$2)&lt;&gt;"",INDEX('×入力'!$A$1:$L$1300,875+GB$3,1)&lt;&gt;""),1,0),0)</f>
        <v/>
      </c>
      <c r="GC41">
        <f>IF(GC$4=1,IF(OR(INDEX('×入力'!$A$1:$L$1300,875+GC$3,2+GC$2)&lt;&gt;"",INDEX('×入力'!$A$1:$L$1300,874,2+GC$2)&lt;&gt;"",INDEX('×入力'!$A$1:$L$1300,875+GC$3,1)&lt;&gt;""),1,0),0)</f>
        <v/>
      </c>
      <c r="GD41">
        <f>IF(GD$4=1,IF(OR(INDEX('×入力'!$A$1:$L$1300,875+GD$3,2+GD$2)&lt;&gt;"",INDEX('×入力'!$A$1:$L$1300,874,2+GD$2)&lt;&gt;"",INDEX('×入力'!$A$1:$L$1300,875+GD$3,1)&lt;&gt;""),1,0),0)</f>
        <v/>
      </c>
      <c r="GE41">
        <f>IF(GE$4=1,IF(OR(INDEX('×入力'!$A$1:$L$1300,875+GE$3,2+GE$2)&lt;&gt;"",INDEX('×入力'!$A$1:$L$1300,874,2+GE$2)&lt;&gt;"",INDEX('×入力'!$A$1:$L$1300,875+GE$3,1)&lt;&gt;""),1,0),0)</f>
        <v/>
      </c>
      <c r="GF41">
        <f>IF(GF$4=1,IF(OR(INDEX('×入力'!$A$1:$L$1300,875+GF$3,2+GF$2)&lt;&gt;"",INDEX('×入力'!$A$1:$L$1300,874,2+GF$2)&lt;&gt;"",INDEX('×入力'!$A$1:$L$1300,875+GF$3,1)&lt;&gt;""),1,0),0)</f>
        <v/>
      </c>
      <c r="GG41">
        <f>IF(GG$4=1,IF(OR(INDEX('×入力'!$A$1:$L$1300,875+GG$3,2+GG$2)&lt;&gt;"",INDEX('×入力'!$A$1:$L$1300,874,2+GG$2)&lt;&gt;"",INDEX('×入力'!$A$1:$L$1300,875+GG$3,1)&lt;&gt;""),1,0),0)</f>
        <v/>
      </c>
      <c r="GH41">
        <f>IF(GH$4=1,IF(OR(INDEX('×入力'!$A$1:$L$1300,875+GH$3,2+GH$2)&lt;&gt;"",INDEX('×入力'!$A$1:$L$1300,874,2+GH$2)&lt;&gt;"",INDEX('×入力'!$A$1:$L$1300,875+GH$3,1)&lt;&gt;""),1,0),0)</f>
        <v/>
      </c>
      <c r="GI41">
        <f>IF(GI$4=1,IF(OR(INDEX('×入力'!$A$1:$L$1300,875+GI$3,2+GI$2)&lt;&gt;"",INDEX('×入力'!$A$1:$L$1300,874,2+GI$2)&lt;&gt;"",INDEX('×入力'!$A$1:$L$1300,875+GI$3,1)&lt;&gt;""),1,0),0)</f>
        <v/>
      </c>
      <c r="GJ41">
        <f>IF(GJ$4=1,IF(OR(INDEX('×入力'!$A$1:$L$1300,875+GJ$3,2+GJ$2)&lt;&gt;"",INDEX('×入力'!$A$1:$L$1300,874,2+GJ$2)&lt;&gt;"",INDEX('×入力'!$A$1:$L$1300,875+GJ$3,1)&lt;&gt;""),1,0),0)</f>
        <v/>
      </c>
      <c r="GK41">
        <f>IF(GK$4=1,IF(OR(INDEX('×入力'!$A$1:$L$1300,875+GK$3,2+GK$2)&lt;&gt;"",INDEX('×入力'!$A$1:$L$1300,874,2+GK$2)&lt;&gt;"",INDEX('×入力'!$A$1:$L$1300,875+GK$3,1)&lt;&gt;""),1,0),0)</f>
        <v/>
      </c>
      <c r="GL41">
        <f>IF(GL$4=1,IF(OR(INDEX('×入力'!$A$1:$L$1300,875+GL$3,2+GL$2)&lt;&gt;"",INDEX('×入力'!$A$1:$L$1300,874,2+GL$2)&lt;&gt;"",INDEX('×入力'!$A$1:$L$1300,875+GL$3,1)&lt;&gt;""),1,0),0)</f>
        <v/>
      </c>
      <c r="GM41">
        <f>IF(GM$4=1,IF(OR(INDEX('×入力'!$A$1:$L$1300,875+GM$3,2+GM$2)&lt;&gt;"",INDEX('×入力'!$A$1:$L$1300,874,2+GM$2)&lt;&gt;"",INDEX('×入力'!$A$1:$L$1300,875+GM$3,1)&lt;&gt;""),1,0),0)</f>
        <v/>
      </c>
      <c r="GN41">
        <f>IF(GN$4=1,IF(OR(INDEX('×入力'!$A$1:$L$1300,875+GN$3,2+GN$2)&lt;&gt;"",INDEX('×入力'!$A$1:$L$1300,874,2+GN$2)&lt;&gt;"",INDEX('×入力'!$A$1:$L$1300,875+GN$3,1)&lt;&gt;""),1,0),0)</f>
        <v/>
      </c>
      <c r="GO41">
        <f>IF(GO$4=1,IF(OR(INDEX('×入力'!$A$1:$L$1300,875+GO$3,2+GO$2)&lt;&gt;"",INDEX('×入力'!$A$1:$L$1300,874,2+GO$2)&lt;&gt;"",INDEX('×入力'!$A$1:$L$1300,875+GO$3,1)&lt;&gt;""),1,0),0)</f>
        <v/>
      </c>
      <c r="GP41">
        <f>IF(GP$4=1,IF(OR(INDEX('×入力'!$A$1:$L$1300,875+GP$3,2+GP$2)&lt;&gt;"",INDEX('×入力'!$A$1:$L$1300,874,2+GP$2)&lt;&gt;"",INDEX('×入力'!$A$1:$L$1300,875+GP$3,1)&lt;&gt;""),1,0),0)</f>
        <v/>
      </c>
      <c r="GQ41">
        <f>IF(GQ$4=1,IF(OR(INDEX('×入力'!$A$1:$L$1300,875+GQ$3,2+GQ$2)&lt;&gt;"",INDEX('×入力'!$A$1:$L$1300,874,2+GQ$2)&lt;&gt;"",INDEX('×入力'!$A$1:$L$1300,875+GQ$3,1)&lt;&gt;""),1,0),0)</f>
        <v/>
      </c>
      <c r="GR41">
        <f>IF(GR$4=1,IF(OR(INDEX('×入力'!$A$1:$L$1300,875+GR$3,2+GR$2)&lt;&gt;"",INDEX('×入力'!$A$1:$L$1300,874,2+GR$2)&lt;&gt;"",INDEX('×入力'!$A$1:$L$1300,875+GR$3,1)&lt;&gt;""),1,0),0)</f>
        <v/>
      </c>
      <c r="GS41">
        <f>IF(GS$4=1,IF(OR(INDEX('×入力'!$A$1:$L$1300,875+GS$3,2+GS$2)&lt;&gt;"",INDEX('×入力'!$A$1:$L$1300,874,2+GS$2)&lt;&gt;"",INDEX('×入力'!$A$1:$L$1300,875+GS$3,1)&lt;&gt;""),1,0),0)</f>
        <v/>
      </c>
      <c r="GT41">
        <f>IF(GT$4=1,IF(OR(INDEX('×入力'!$A$1:$L$1300,875+GT$3,2+GT$2)&lt;&gt;"",INDEX('×入力'!$A$1:$L$1300,874,2+GT$2)&lt;&gt;"",INDEX('×入力'!$A$1:$L$1300,875+GT$3,1)&lt;&gt;""),1,0),0)</f>
        <v/>
      </c>
      <c r="GU41">
        <f>IF(GU$4=1,IF(OR(INDEX('×入力'!$A$1:$L$1300,875+GU$3,2+GU$2)&lt;&gt;"",INDEX('×入力'!$A$1:$L$1300,874,2+GU$2)&lt;&gt;"",INDEX('×入力'!$A$1:$L$1300,875+GU$3,1)&lt;&gt;""),1,0),0)</f>
        <v/>
      </c>
      <c r="GV41">
        <f>IF(GV$4=1,IF(OR(INDEX('×入力'!$A$1:$L$1300,875+GV$3,2+GV$2)&lt;&gt;"",INDEX('×入力'!$A$1:$L$1300,874,2+GV$2)&lt;&gt;"",INDEX('×入力'!$A$1:$L$1300,875+GV$3,1)&lt;&gt;""),1,0),0)</f>
        <v/>
      </c>
      <c r="GW41">
        <f>IF(GW$4=1,IF(OR(INDEX('×入力'!$A$1:$L$1300,875+GW$3,2+GW$2)&lt;&gt;"",INDEX('×入力'!$A$1:$L$1300,874,2+GW$2)&lt;&gt;"",INDEX('×入力'!$A$1:$L$1300,875+GW$3,1)&lt;&gt;""),1,0),0)</f>
        <v/>
      </c>
      <c r="GX41">
        <f>IF(GX$4=1,IF(OR(INDEX('×入力'!$A$1:$L$1300,875+GX$3,2+GX$2)&lt;&gt;"",INDEX('×入力'!$A$1:$L$1300,874,2+GX$2)&lt;&gt;"",INDEX('×入力'!$A$1:$L$1300,875+GX$3,1)&lt;&gt;""),1,0),0)</f>
        <v/>
      </c>
      <c r="GY41">
        <f>IF(GY$4=1,IF(OR(INDEX('×入力'!$A$1:$L$1300,875+GY$3,2+GY$2)&lt;&gt;"",INDEX('×入力'!$A$1:$L$1300,874,2+GY$2)&lt;&gt;"",INDEX('×入力'!$A$1:$L$1300,875+GY$3,1)&lt;&gt;""),1,0),0)</f>
        <v/>
      </c>
      <c r="GZ41">
        <f>IF(GZ$4=1,IF(OR(INDEX('×入力'!$A$1:$L$1300,875+GZ$3,2+GZ$2)&lt;&gt;"",INDEX('×入力'!$A$1:$L$1300,874,2+GZ$2)&lt;&gt;"",INDEX('×入力'!$A$1:$L$1300,875+GZ$3,1)&lt;&gt;""),1,0),0)</f>
        <v/>
      </c>
      <c r="HA41">
        <f>IF(HA$4=1,IF(OR(INDEX('×入力'!$A$1:$L$1300,875+HA$3,2+HA$2)&lt;&gt;"",INDEX('×入力'!$A$1:$L$1300,874,2+HA$2)&lt;&gt;"",INDEX('×入力'!$A$1:$L$1300,875+HA$3,1)&lt;&gt;""),1,0),0)</f>
        <v/>
      </c>
      <c r="HB41">
        <f>IF(HB$4=1,IF(OR(INDEX('×入力'!$A$1:$L$1300,875+HB$3,2+HB$2)&lt;&gt;"",INDEX('×入力'!$A$1:$L$1300,874,2+HB$2)&lt;&gt;"",INDEX('×入力'!$A$1:$L$1300,875+HB$3,1)&lt;&gt;""),1,0),0)</f>
        <v/>
      </c>
      <c r="HC41">
        <f>IF(HC$4=1,IF(OR(INDEX('×入力'!$A$1:$L$1300,875+HC$3,2+HC$2)&lt;&gt;"",INDEX('×入力'!$A$1:$L$1300,874,2+HC$2)&lt;&gt;"",INDEX('×入力'!$A$1:$L$1300,875+HC$3,1)&lt;&gt;""),1,0),0)</f>
        <v/>
      </c>
      <c r="HD41">
        <f>IF(HD$4=1,IF(OR(INDEX('×入力'!$A$1:$L$1300,875+HD$3,2+HD$2)&lt;&gt;"",INDEX('×入力'!$A$1:$L$1300,874,2+HD$2)&lt;&gt;"",INDEX('×入力'!$A$1:$L$1300,875+HD$3,1)&lt;&gt;""),1,0),0)</f>
        <v/>
      </c>
      <c r="HE41">
        <f>IF(HE$4=1,IF(OR(INDEX('×入力'!$A$1:$L$1300,875+HE$3,2+HE$2)&lt;&gt;"",INDEX('×入力'!$A$1:$L$1300,874,2+HE$2)&lt;&gt;"",INDEX('×入力'!$A$1:$L$1300,875+HE$3,1)&lt;&gt;""),1,0),0)</f>
        <v/>
      </c>
      <c r="HF41">
        <f>IF(HF$4=1,IF(OR(INDEX('×入力'!$A$1:$L$1300,875+HF$3,2+HF$2)&lt;&gt;"",INDEX('×入力'!$A$1:$L$1300,874,2+HF$2)&lt;&gt;"",INDEX('×入力'!$A$1:$L$1300,875+HF$3,1)&lt;&gt;""),1,0),0)</f>
        <v/>
      </c>
      <c r="HG41">
        <f>IF(HG$4=1,IF(OR(INDEX('×入力'!$A$1:$L$1300,875+HG$3,2+HG$2)&lt;&gt;"",INDEX('×入力'!$A$1:$L$1300,874,2+HG$2)&lt;&gt;"",INDEX('×入力'!$A$1:$L$1300,875+HG$3,1)&lt;&gt;""),1,0),0)</f>
        <v/>
      </c>
      <c r="HH41">
        <f>IF(HH$4=1,IF(OR(INDEX('×入力'!$A$1:$L$1300,875+HH$3,2+HH$2)&lt;&gt;"",INDEX('×入力'!$A$1:$L$1300,874,2+HH$2)&lt;&gt;"",INDEX('×入力'!$A$1:$L$1300,875+HH$3,1)&lt;&gt;""),1,0),0)</f>
        <v/>
      </c>
      <c r="HI41">
        <f>IF(HI$4=1,IF(OR(INDEX('×入力'!$A$1:$L$1300,875+HI$3,2+HI$2)&lt;&gt;"",INDEX('×入力'!$A$1:$L$1300,874,2+HI$2)&lt;&gt;"",INDEX('×入力'!$A$1:$L$1300,875+HI$3,1)&lt;&gt;""),1,0),0)</f>
        <v/>
      </c>
      <c r="HJ41">
        <f>IF(HJ$4=1,IF(OR(INDEX('×入力'!$A$1:$L$1300,875+HJ$3,2+HJ$2)&lt;&gt;"",INDEX('×入力'!$A$1:$L$1300,874,2+HJ$2)&lt;&gt;"",INDEX('×入力'!$A$1:$L$1300,875+HJ$3,1)&lt;&gt;""),1,0),0)</f>
        <v/>
      </c>
      <c r="HK41">
        <f>IF(HK$4=1,IF(OR(INDEX('×入力'!$A$1:$L$1300,875+HK$3,2+HK$2)&lt;&gt;"",INDEX('×入力'!$A$1:$L$1300,874,2+HK$2)&lt;&gt;"",INDEX('×入力'!$A$1:$L$1300,875+HK$3,1)&lt;&gt;""),1,0),0)</f>
        <v/>
      </c>
      <c r="HL41">
        <f>IF(HL$4=1,IF(OR(INDEX('×入力'!$A$1:$L$1300,875+HL$3,2+HL$2)&lt;&gt;"",INDEX('×入力'!$A$1:$L$1300,874,2+HL$2)&lt;&gt;"",INDEX('×入力'!$A$1:$L$1300,875+HL$3,1)&lt;&gt;""),1,0),0)</f>
        <v/>
      </c>
      <c r="HM41">
        <f>IF(HM$4=1,IF(OR(INDEX('×入力'!$A$1:$L$1300,875+HM$3,2+HM$2)&lt;&gt;"",INDEX('×入力'!$A$1:$L$1300,874,2+HM$2)&lt;&gt;"",INDEX('×入力'!$A$1:$L$1300,875+HM$3,1)&lt;&gt;""),1,0),0)</f>
        <v/>
      </c>
      <c r="HN41">
        <f>IF(HN$4=1,IF(OR(INDEX('×入力'!$A$1:$L$1300,875+HN$3,2+HN$2)&lt;&gt;"",INDEX('×入力'!$A$1:$L$1300,874,2+HN$2)&lt;&gt;"",INDEX('×入力'!$A$1:$L$1300,875+HN$3,1)&lt;&gt;""),1,0),0)</f>
        <v/>
      </c>
      <c r="HO41">
        <f>IF(HO$4=1,IF(OR(INDEX('×入力'!$A$1:$L$1300,875+HO$3,2+HO$2)&lt;&gt;"",INDEX('×入力'!$A$1:$L$1300,874,2+HO$2)&lt;&gt;"",INDEX('×入力'!$A$1:$L$1300,875+HO$3,1)&lt;&gt;""),1,0),0)</f>
        <v/>
      </c>
      <c r="HP41">
        <f>IF(HP$4=1,IF(OR(INDEX('×入力'!$A$1:$L$1300,875+HP$3,2+HP$2)&lt;&gt;"",INDEX('×入力'!$A$1:$L$1300,874,2+HP$2)&lt;&gt;"",INDEX('×入力'!$A$1:$L$1300,875+HP$3,1)&lt;&gt;""),1,0),0)</f>
        <v/>
      </c>
      <c r="HQ41">
        <f>IF(HQ$4=1,IF(OR(INDEX('×入力'!$A$1:$L$1300,875+HQ$3,2+HQ$2)&lt;&gt;"",INDEX('×入力'!$A$1:$L$1300,874,2+HQ$2)&lt;&gt;"",INDEX('×入力'!$A$1:$L$1300,875+HQ$3,1)&lt;&gt;""),1,0),0)</f>
        <v/>
      </c>
      <c r="HR41">
        <f>IF(HR$4=1,IF(OR(INDEX('×入力'!$A$1:$L$1300,875+HR$3,2+HR$2)&lt;&gt;"",INDEX('×入力'!$A$1:$L$1300,874,2+HR$2)&lt;&gt;"",INDEX('×入力'!$A$1:$L$1300,875+HR$3,1)&lt;&gt;""),1,0),0)</f>
        <v/>
      </c>
      <c r="HS41">
        <f>IF(HS$4=1,IF(OR(INDEX('×入力'!$A$1:$L$1300,875+HS$3,2+HS$2)&lt;&gt;"",INDEX('×入力'!$A$1:$L$1300,874,2+HS$2)&lt;&gt;"",INDEX('×入力'!$A$1:$L$1300,875+HS$3,1)&lt;&gt;""),1,0),0)</f>
        <v/>
      </c>
      <c r="HT41">
        <f>IF(HT$4=1,IF(OR(INDEX('×入力'!$A$1:$L$1300,875+HT$3,2+HT$2)&lt;&gt;"",INDEX('×入力'!$A$1:$L$1300,874,2+HT$2)&lt;&gt;"",INDEX('×入力'!$A$1:$L$1300,875+HT$3,1)&lt;&gt;""),1,0),0)</f>
        <v/>
      </c>
      <c r="HU41">
        <f>IF(HU$4=1,IF(OR(INDEX('×入力'!$A$1:$L$1300,875+HU$3,2+HU$2)&lt;&gt;"",INDEX('×入力'!$A$1:$L$1300,874,2+HU$2)&lt;&gt;"",INDEX('×入力'!$A$1:$L$1300,875+HU$3,1)&lt;&gt;""),1,0),0)</f>
        <v/>
      </c>
      <c r="HV41">
        <f>IF(HV$4=1,IF(OR(INDEX('×入力'!$A$1:$L$1300,875+HV$3,2+HV$2)&lt;&gt;"",INDEX('×入力'!$A$1:$L$1300,874,2+HV$2)&lt;&gt;"",INDEX('×入力'!$A$1:$L$1300,875+HV$3,1)&lt;&gt;""),1,0),0)</f>
        <v/>
      </c>
      <c r="HW41">
        <f>IF(HW$4=1,IF(OR(INDEX('×入力'!$A$1:$L$1300,875+HW$3,2+HW$2)&lt;&gt;"",INDEX('×入力'!$A$1:$L$1300,874,2+HW$2)&lt;&gt;"",INDEX('×入力'!$A$1:$L$1300,875+HW$3,1)&lt;&gt;""),1,0),0)</f>
        <v/>
      </c>
      <c r="HX41">
        <f>IF(HX$4=1,IF(OR(INDEX('×入力'!$A$1:$L$1300,875+HX$3,2+HX$2)&lt;&gt;"",INDEX('×入力'!$A$1:$L$1300,874,2+HX$2)&lt;&gt;"",INDEX('×入力'!$A$1:$L$1300,875+HX$3,1)&lt;&gt;""),1,0),0)</f>
        <v/>
      </c>
      <c r="HY41">
        <f>IF(HY$4=1,IF(OR(INDEX('×入力'!$A$1:$L$1300,875+HY$3,2+HY$2)&lt;&gt;"",INDEX('×入力'!$A$1:$L$1300,874,2+HY$2)&lt;&gt;"",INDEX('×入力'!$A$1:$L$1300,875+HY$3,1)&lt;&gt;""),1,0),0)</f>
        <v/>
      </c>
      <c r="HZ41">
        <f>IF(HZ$4=1,IF(OR(INDEX('×入力'!$A$1:$L$1300,875+HZ$3,2+HZ$2)&lt;&gt;"",INDEX('×入力'!$A$1:$L$1300,874,2+HZ$2)&lt;&gt;"",INDEX('×入力'!$A$1:$L$1300,875+HZ$3,1)&lt;&gt;""),1,0),0)</f>
        <v/>
      </c>
      <c r="IA41">
        <f>IF(IA$4=1,IF(OR(INDEX('×入力'!$A$1:$L$1300,875+IA$3,2+IA$2)&lt;&gt;"",INDEX('×入力'!$A$1:$L$1300,874,2+IA$2)&lt;&gt;"",INDEX('×入力'!$A$1:$L$1300,875+IA$3,1)&lt;&gt;""),1,0),0)</f>
        <v/>
      </c>
      <c r="IB41">
        <f>IF(IB$4=1,IF(OR(INDEX('×入力'!$A$1:$L$1300,875+IB$3,2+IB$2)&lt;&gt;"",INDEX('×入力'!$A$1:$L$1300,874,2+IB$2)&lt;&gt;"",INDEX('×入力'!$A$1:$L$1300,875+IB$3,1)&lt;&gt;""),1,0),0)</f>
        <v/>
      </c>
      <c r="IC41">
        <f>IF(IC$4=1,IF(OR(INDEX('×入力'!$A$1:$L$1300,875+IC$3,2+IC$2)&lt;&gt;"",INDEX('×入力'!$A$1:$L$1300,874,2+IC$2)&lt;&gt;"",INDEX('×入力'!$A$1:$L$1300,875+IC$3,1)&lt;&gt;""),1,0),0)</f>
        <v/>
      </c>
      <c r="ID41">
        <f>IF(ID$4=1,IF(OR(INDEX('×入力'!$A$1:$L$1300,875+ID$3,2+ID$2)&lt;&gt;"",INDEX('×入力'!$A$1:$L$1300,874,2+ID$2)&lt;&gt;"",INDEX('×入力'!$A$1:$L$1300,875+ID$3,1)&lt;&gt;""),1,0),0)</f>
        <v/>
      </c>
      <c r="IE41">
        <f>IF(IE$4=1,IF(OR(INDEX('×入力'!$A$1:$L$1300,875+IE$3,2+IE$2)&lt;&gt;"",INDEX('×入力'!$A$1:$L$1300,874,2+IE$2)&lt;&gt;"",INDEX('×入力'!$A$1:$L$1300,875+IE$3,1)&lt;&gt;""),1,0),0)</f>
        <v/>
      </c>
      <c r="IF41">
        <f>IF(IF$4=1,IF(OR(INDEX('×入力'!$A$1:$L$1300,875+IF$3,2+IF$2)&lt;&gt;"",INDEX('×入力'!$A$1:$L$1300,874,2+IF$2)&lt;&gt;"",INDEX('×入力'!$A$1:$L$1300,875+IF$3,1)&lt;&gt;""),1,0),0)</f>
        <v/>
      </c>
      <c r="IG41">
        <f>IF(IG$4=1,IF(OR(INDEX('×入力'!$A$1:$L$1300,875+IG$3,2+IG$2)&lt;&gt;"",INDEX('×入力'!$A$1:$L$1300,874,2+IG$2)&lt;&gt;"",INDEX('×入力'!$A$1:$L$1300,875+IG$3,1)&lt;&gt;""),1,0),0)</f>
        <v/>
      </c>
      <c r="IH41">
        <f>IF(IH$4=1,IF(OR(INDEX('×入力'!$A$1:$L$1300,875+IH$3,2+IH$2)&lt;&gt;"",INDEX('×入力'!$A$1:$L$1300,874,2+IH$2)&lt;&gt;"",INDEX('×入力'!$A$1:$L$1300,875+IH$3,1)&lt;&gt;""),1,0),0)</f>
        <v/>
      </c>
      <c r="II41">
        <f>IF(II$4=1,IF(OR(INDEX('×入力'!$A$1:$L$1300,875+II$3,2+II$2)&lt;&gt;"",INDEX('×入力'!$A$1:$L$1300,874,2+II$2)&lt;&gt;"",INDEX('×入力'!$A$1:$L$1300,875+II$3,1)&lt;&gt;""),1,0),0)</f>
        <v/>
      </c>
      <c r="IK41">
        <f>IFERROR(INDEX('計算B'!$C$3:$C$47,MATCH(A41,'計算B'!$B$3:$B$47,0)),0)</f>
        <v/>
      </c>
      <c r="IL41">
        <f>IF(AND(C41=1,IK41=0),1,0)</f>
        <v/>
      </c>
      <c r="IM41">
        <f>SUMPRODUCT(D91:II91*(1-$D$7:$II$7))</f>
        <v/>
      </c>
      <c r="IN41">
        <f>SUM(D41:II41)</f>
        <v/>
      </c>
      <c r="IO41">
        <f>IF(B41="",0,IF(COUNTIF('調整・決定'!$C$6:$L$29,B41)=1,SUMPRODUCT(('調整・決定'!$C$6:$L$29=B41)*((COLUMN('調整・決定'!$C$6:$L$29)-3)*24+ROW('調整・決定'!$C$6:$L$29)-5)),0))</f>
        <v/>
      </c>
      <c r="IP41">
        <f>IFERROR(MATCH('名簿'!E36,{"早い時刻","遅い時刻","早い日","遅い日"},0),0)</f>
        <v/>
      </c>
      <c r="IQ41">
        <f>IF('名簿'!F36="必ず空けたい",2,IF('名簿'!F36="出来れば空けたい",1,0))</f>
        <v/>
      </c>
    </row>
    <row r="42">
      <c r="A42" t="n">
        <v>33</v>
      </c>
      <c r="B42">
        <f>'名簿'!G37</f>
        <v/>
      </c>
      <c r="C42">
        <f>IF(AND(B42&lt;&gt;"",OR('名簿'!H37="入力済み",'名簿'!H37="×なし"),IO42=0,COUNTIF('調整・決定'!$C$6:$L$29,B42)=0),1,0)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ER42">
        <f>IF(ER$4=1,IF(OR(INDEX('×入力'!$A$1:$L$1300,903+ER$3,2+ER$2)&lt;&gt;"",INDEX('×入力'!$A$1:$L$1300,902,2+ER$2)&lt;&gt;"",INDEX('×入力'!$A$1:$L$1300,903+ER$3,1)&lt;&gt;""),1,0),0)</f>
        <v/>
      </c>
      <c r="ES42">
        <f>IF(ES$4=1,IF(OR(INDEX('×入力'!$A$1:$L$1300,903+ES$3,2+ES$2)&lt;&gt;"",INDEX('×入力'!$A$1:$L$1300,902,2+ES$2)&lt;&gt;"",INDEX('×入力'!$A$1:$L$1300,903+ES$3,1)&lt;&gt;""),1,0),0)</f>
        <v/>
      </c>
      <c r="ET42">
        <f>IF(ET$4=1,IF(OR(INDEX('×入力'!$A$1:$L$1300,903+ET$3,2+ET$2)&lt;&gt;"",INDEX('×入力'!$A$1:$L$1300,902,2+ET$2)&lt;&gt;"",INDEX('×入力'!$A$1:$L$1300,903+ET$3,1)&lt;&gt;""),1,0),0)</f>
        <v/>
      </c>
      <c r="EU42">
        <f>IF(EU$4=1,IF(OR(INDEX('×入力'!$A$1:$L$1300,903+EU$3,2+EU$2)&lt;&gt;"",INDEX('×入力'!$A$1:$L$1300,902,2+EU$2)&lt;&gt;"",INDEX('×入力'!$A$1:$L$1300,903+EU$3,1)&lt;&gt;""),1,0),0)</f>
        <v/>
      </c>
      <c r="EV42">
        <f>IF(EV$4=1,IF(OR(INDEX('×入力'!$A$1:$L$1300,903+EV$3,2+EV$2)&lt;&gt;"",INDEX('×入力'!$A$1:$L$1300,902,2+EV$2)&lt;&gt;"",INDEX('×入力'!$A$1:$L$1300,903+EV$3,1)&lt;&gt;""),1,0),0)</f>
        <v/>
      </c>
      <c r="EW42">
        <f>IF(EW$4=1,IF(OR(INDEX('×入力'!$A$1:$L$1300,903+EW$3,2+EW$2)&lt;&gt;"",INDEX('×入力'!$A$1:$L$1300,902,2+EW$2)&lt;&gt;"",INDEX('×入力'!$A$1:$L$1300,903+EW$3,1)&lt;&gt;""),1,0),0)</f>
        <v/>
      </c>
      <c r="EX42">
        <f>IF(EX$4=1,IF(OR(INDEX('×入力'!$A$1:$L$1300,903+EX$3,2+EX$2)&lt;&gt;"",INDEX('×入力'!$A$1:$L$1300,902,2+EX$2)&lt;&gt;"",INDEX('×入力'!$A$1:$L$1300,903+EX$3,1)&lt;&gt;""),1,0),0)</f>
        <v/>
      </c>
      <c r="EY42">
        <f>IF(EY$4=1,IF(OR(INDEX('×入力'!$A$1:$L$1300,903+EY$3,2+EY$2)&lt;&gt;"",INDEX('×入力'!$A$1:$L$1300,902,2+EY$2)&lt;&gt;"",INDEX('×入力'!$A$1:$L$1300,903+EY$3,1)&lt;&gt;""),1,0),0)</f>
        <v/>
      </c>
      <c r="EZ42">
        <f>IF(EZ$4=1,IF(OR(INDEX('×入力'!$A$1:$L$1300,903+EZ$3,2+EZ$2)&lt;&gt;"",INDEX('×入力'!$A$1:$L$1300,902,2+EZ$2)&lt;&gt;"",INDEX('×入力'!$A$1:$L$1300,903+EZ$3,1)&lt;&gt;""),1,0),0)</f>
        <v/>
      </c>
      <c r="FA42">
        <f>IF(FA$4=1,IF(OR(INDEX('×入力'!$A$1:$L$1300,903+FA$3,2+FA$2)&lt;&gt;"",INDEX('×入力'!$A$1:$L$1300,902,2+FA$2)&lt;&gt;"",INDEX('×入力'!$A$1:$L$1300,903+FA$3,1)&lt;&gt;""),1,0),0)</f>
        <v/>
      </c>
      <c r="FB42">
        <f>IF(FB$4=1,IF(OR(INDEX('×入力'!$A$1:$L$1300,903+FB$3,2+FB$2)&lt;&gt;"",INDEX('×入力'!$A$1:$L$1300,902,2+FB$2)&lt;&gt;"",INDEX('×入力'!$A$1:$L$1300,903+FB$3,1)&lt;&gt;""),1,0),0)</f>
        <v/>
      </c>
      <c r="FC42">
        <f>IF(FC$4=1,IF(OR(INDEX('×入力'!$A$1:$L$1300,903+FC$3,2+FC$2)&lt;&gt;"",INDEX('×入力'!$A$1:$L$1300,902,2+FC$2)&lt;&gt;"",INDEX('×入力'!$A$1:$L$1300,903+FC$3,1)&lt;&gt;""),1,0),0)</f>
        <v/>
      </c>
      <c r="FD42">
        <f>IF(FD$4=1,IF(OR(INDEX('×入力'!$A$1:$L$1300,903+FD$3,2+FD$2)&lt;&gt;"",INDEX('×入力'!$A$1:$L$1300,902,2+FD$2)&lt;&gt;"",INDEX('×入力'!$A$1:$L$1300,903+FD$3,1)&lt;&gt;""),1,0),0)</f>
        <v/>
      </c>
      <c r="FE42">
        <f>IF(FE$4=1,IF(OR(INDEX('×入力'!$A$1:$L$1300,903+FE$3,2+FE$2)&lt;&gt;"",INDEX('×入力'!$A$1:$L$1300,902,2+FE$2)&lt;&gt;"",INDEX('×入力'!$A$1:$L$1300,903+FE$3,1)&lt;&gt;""),1,0),0)</f>
        <v/>
      </c>
      <c r="FF42">
        <f>IF(FF$4=1,IF(OR(INDEX('×入力'!$A$1:$L$1300,903+FF$3,2+FF$2)&lt;&gt;"",INDEX('×入力'!$A$1:$L$1300,902,2+FF$2)&lt;&gt;"",INDEX('×入力'!$A$1:$L$1300,903+FF$3,1)&lt;&gt;""),1,0),0)</f>
        <v/>
      </c>
      <c r="FG42">
        <f>IF(FG$4=1,IF(OR(INDEX('×入力'!$A$1:$L$1300,903+FG$3,2+FG$2)&lt;&gt;"",INDEX('×入力'!$A$1:$L$1300,902,2+FG$2)&lt;&gt;"",INDEX('×入力'!$A$1:$L$1300,903+FG$3,1)&lt;&gt;""),1,0),0)</f>
        <v/>
      </c>
      <c r="FH42">
        <f>IF(FH$4=1,IF(OR(INDEX('×入力'!$A$1:$L$1300,903+FH$3,2+FH$2)&lt;&gt;"",INDEX('×入力'!$A$1:$L$1300,902,2+FH$2)&lt;&gt;"",INDEX('×入力'!$A$1:$L$1300,903+FH$3,1)&lt;&gt;""),1,0),0)</f>
        <v/>
      </c>
      <c r="FI42">
        <f>IF(FI$4=1,IF(OR(INDEX('×入力'!$A$1:$L$1300,903+FI$3,2+FI$2)&lt;&gt;"",INDEX('×入力'!$A$1:$L$1300,902,2+FI$2)&lt;&gt;"",INDEX('×入力'!$A$1:$L$1300,903+FI$3,1)&lt;&gt;""),1,0),0)</f>
        <v/>
      </c>
      <c r="FJ42">
        <f>IF(FJ$4=1,IF(OR(INDEX('×入力'!$A$1:$L$1300,903+FJ$3,2+FJ$2)&lt;&gt;"",INDEX('×入力'!$A$1:$L$1300,902,2+FJ$2)&lt;&gt;"",INDEX('×入力'!$A$1:$L$1300,903+FJ$3,1)&lt;&gt;""),1,0),0)</f>
        <v/>
      </c>
      <c r="FK42">
        <f>IF(FK$4=1,IF(OR(INDEX('×入力'!$A$1:$L$1300,903+FK$3,2+FK$2)&lt;&gt;"",INDEX('×入力'!$A$1:$L$1300,902,2+FK$2)&lt;&gt;"",INDEX('×入力'!$A$1:$L$1300,903+FK$3,1)&lt;&gt;""),1,0),0)</f>
        <v/>
      </c>
      <c r="FL42">
        <f>IF(FL$4=1,IF(OR(INDEX('×入力'!$A$1:$L$1300,903+FL$3,2+FL$2)&lt;&gt;"",INDEX('×入力'!$A$1:$L$1300,902,2+FL$2)&lt;&gt;"",INDEX('×入力'!$A$1:$L$1300,903+FL$3,1)&lt;&gt;""),1,0),0)</f>
        <v/>
      </c>
      <c r="FM42">
        <f>IF(FM$4=1,IF(OR(INDEX('×入力'!$A$1:$L$1300,903+FM$3,2+FM$2)&lt;&gt;"",INDEX('×入力'!$A$1:$L$1300,902,2+FM$2)&lt;&gt;"",INDEX('×入力'!$A$1:$L$1300,903+FM$3,1)&lt;&gt;""),1,0),0)</f>
        <v/>
      </c>
      <c r="FN42">
        <f>IF(FN$4=1,IF(OR(INDEX('×入力'!$A$1:$L$1300,903+FN$3,2+FN$2)&lt;&gt;"",INDEX('×入力'!$A$1:$L$1300,902,2+FN$2)&lt;&gt;"",INDEX('×入力'!$A$1:$L$1300,903+FN$3,1)&lt;&gt;""),1,0),0)</f>
        <v/>
      </c>
      <c r="FO42">
        <f>IF(FO$4=1,IF(OR(INDEX('×入力'!$A$1:$L$1300,903+FO$3,2+FO$2)&lt;&gt;"",INDEX('×入力'!$A$1:$L$1300,902,2+FO$2)&lt;&gt;"",INDEX('×入力'!$A$1:$L$1300,903+FO$3,1)&lt;&gt;""),1,0),0)</f>
        <v/>
      </c>
      <c r="FP42">
        <f>IF(FP$4=1,IF(OR(INDEX('×入力'!$A$1:$L$1300,903+FP$3,2+FP$2)&lt;&gt;"",INDEX('×入力'!$A$1:$L$1300,902,2+FP$2)&lt;&gt;"",INDEX('×入力'!$A$1:$L$1300,903+FP$3,1)&lt;&gt;""),1,0),0)</f>
        <v/>
      </c>
      <c r="FQ42">
        <f>IF(FQ$4=1,IF(OR(INDEX('×入力'!$A$1:$L$1300,903+FQ$3,2+FQ$2)&lt;&gt;"",INDEX('×入力'!$A$1:$L$1300,902,2+FQ$2)&lt;&gt;"",INDEX('×入力'!$A$1:$L$1300,903+FQ$3,1)&lt;&gt;""),1,0),0)</f>
        <v/>
      </c>
      <c r="FR42">
        <f>IF(FR$4=1,IF(OR(INDEX('×入力'!$A$1:$L$1300,903+FR$3,2+FR$2)&lt;&gt;"",INDEX('×入力'!$A$1:$L$1300,902,2+FR$2)&lt;&gt;"",INDEX('×入力'!$A$1:$L$1300,903+FR$3,1)&lt;&gt;""),1,0),0)</f>
        <v/>
      </c>
      <c r="FS42">
        <f>IF(FS$4=1,IF(OR(INDEX('×入力'!$A$1:$L$1300,903+FS$3,2+FS$2)&lt;&gt;"",INDEX('×入力'!$A$1:$L$1300,902,2+FS$2)&lt;&gt;"",INDEX('×入力'!$A$1:$L$1300,903+FS$3,1)&lt;&gt;""),1,0),0)</f>
        <v/>
      </c>
      <c r="FT42">
        <f>IF(FT$4=1,IF(OR(INDEX('×入力'!$A$1:$L$1300,903+FT$3,2+FT$2)&lt;&gt;"",INDEX('×入力'!$A$1:$L$1300,902,2+FT$2)&lt;&gt;"",INDEX('×入力'!$A$1:$L$1300,903+FT$3,1)&lt;&gt;""),1,0),0)</f>
        <v/>
      </c>
      <c r="FU42">
        <f>IF(FU$4=1,IF(OR(INDEX('×入力'!$A$1:$L$1300,903+FU$3,2+FU$2)&lt;&gt;"",INDEX('×入力'!$A$1:$L$1300,902,2+FU$2)&lt;&gt;"",INDEX('×入力'!$A$1:$L$1300,903+FU$3,1)&lt;&gt;""),1,0),0)</f>
        <v/>
      </c>
      <c r="FV42">
        <f>IF(FV$4=1,IF(OR(INDEX('×入力'!$A$1:$L$1300,903+FV$3,2+FV$2)&lt;&gt;"",INDEX('×入力'!$A$1:$L$1300,902,2+FV$2)&lt;&gt;"",INDEX('×入力'!$A$1:$L$1300,903+FV$3,1)&lt;&gt;""),1,0),0)</f>
        <v/>
      </c>
      <c r="FW42">
        <f>IF(FW$4=1,IF(OR(INDEX('×入力'!$A$1:$L$1300,903+FW$3,2+FW$2)&lt;&gt;"",INDEX('×入力'!$A$1:$L$1300,902,2+FW$2)&lt;&gt;"",INDEX('×入力'!$A$1:$L$1300,903+FW$3,1)&lt;&gt;""),1,0),0)</f>
        <v/>
      </c>
      <c r="FX42">
        <f>IF(FX$4=1,IF(OR(INDEX('×入力'!$A$1:$L$1300,903+FX$3,2+FX$2)&lt;&gt;"",INDEX('×入力'!$A$1:$L$1300,902,2+FX$2)&lt;&gt;"",INDEX('×入力'!$A$1:$L$1300,903+FX$3,1)&lt;&gt;""),1,0),0)</f>
        <v/>
      </c>
      <c r="FY42">
        <f>IF(FY$4=1,IF(OR(INDEX('×入力'!$A$1:$L$1300,903+FY$3,2+FY$2)&lt;&gt;"",INDEX('×入力'!$A$1:$L$1300,902,2+FY$2)&lt;&gt;"",INDEX('×入力'!$A$1:$L$1300,903+FY$3,1)&lt;&gt;""),1,0),0)</f>
        <v/>
      </c>
      <c r="FZ42">
        <f>IF(FZ$4=1,IF(OR(INDEX('×入力'!$A$1:$L$1300,903+FZ$3,2+FZ$2)&lt;&gt;"",INDEX('×入力'!$A$1:$L$1300,902,2+FZ$2)&lt;&gt;"",INDEX('×入力'!$A$1:$L$1300,903+FZ$3,1)&lt;&gt;""),1,0),0)</f>
        <v/>
      </c>
      <c r="GA42">
        <f>IF(GA$4=1,IF(OR(INDEX('×入力'!$A$1:$L$1300,903+GA$3,2+GA$2)&lt;&gt;"",INDEX('×入力'!$A$1:$L$1300,902,2+GA$2)&lt;&gt;"",INDEX('×入力'!$A$1:$L$1300,903+GA$3,1)&lt;&gt;""),1,0),0)</f>
        <v/>
      </c>
      <c r="GB42">
        <f>IF(GB$4=1,IF(OR(INDEX('×入力'!$A$1:$L$1300,903+GB$3,2+GB$2)&lt;&gt;"",INDEX('×入力'!$A$1:$L$1300,902,2+GB$2)&lt;&gt;"",INDEX('×入力'!$A$1:$L$1300,903+GB$3,1)&lt;&gt;""),1,0),0)</f>
        <v/>
      </c>
      <c r="GC42">
        <f>IF(GC$4=1,IF(OR(INDEX('×入力'!$A$1:$L$1300,903+GC$3,2+GC$2)&lt;&gt;"",INDEX('×入力'!$A$1:$L$1300,902,2+GC$2)&lt;&gt;"",INDEX('×入力'!$A$1:$L$1300,903+GC$3,1)&lt;&gt;""),1,0),0)</f>
        <v/>
      </c>
      <c r="GD42">
        <f>IF(GD$4=1,IF(OR(INDEX('×入力'!$A$1:$L$1300,903+GD$3,2+GD$2)&lt;&gt;"",INDEX('×入力'!$A$1:$L$1300,902,2+GD$2)&lt;&gt;"",INDEX('×入力'!$A$1:$L$1300,903+GD$3,1)&lt;&gt;""),1,0),0)</f>
        <v/>
      </c>
      <c r="GE42">
        <f>IF(GE$4=1,IF(OR(INDEX('×入力'!$A$1:$L$1300,903+GE$3,2+GE$2)&lt;&gt;"",INDEX('×入力'!$A$1:$L$1300,902,2+GE$2)&lt;&gt;"",INDEX('×入力'!$A$1:$L$1300,903+GE$3,1)&lt;&gt;""),1,0),0)</f>
        <v/>
      </c>
      <c r="GF42">
        <f>IF(GF$4=1,IF(OR(INDEX('×入力'!$A$1:$L$1300,903+GF$3,2+GF$2)&lt;&gt;"",INDEX('×入力'!$A$1:$L$1300,902,2+GF$2)&lt;&gt;"",INDEX('×入力'!$A$1:$L$1300,903+GF$3,1)&lt;&gt;""),1,0),0)</f>
        <v/>
      </c>
      <c r="GG42">
        <f>IF(GG$4=1,IF(OR(INDEX('×入力'!$A$1:$L$1300,903+GG$3,2+GG$2)&lt;&gt;"",INDEX('×入力'!$A$1:$L$1300,902,2+GG$2)&lt;&gt;"",INDEX('×入力'!$A$1:$L$1300,903+GG$3,1)&lt;&gt;""),1,0),0)</f>
        <v/>
      </c>
      <c r="GH42">
        <f>IF(GH$4=1,IF(OR(INDEX('×入力'!$A$1:$L$1300,903+GH$3,2+GH$2)&lt;&gt;"",INDEX('×入力'!$A$1:$L$1300,902,2+GH$2)&lt;&gt;"",INDEX('×入力'!$A$1:$L$1300,903+GH$3,1)&lt;&gt;""),1,0),0)</f>
        <v/>
      </c>
      <c r="GI42">
        <f>IF(GI$4=1,IF(OR(INDEX('×入力'!$A$1:$L$1300,903+GI$3,2+GI$2)&lt;&gt;"",INDEX('×入力'!$A$1:$L$1300,902,2+GI$2)&lt;&gt;"",INDEX('×入力'!$A$1:$L$1300,903+GI$3,1)&lt;&gt;""),1,0),0)</f>
        <v/>
      </c>
      <c r="GJ42">
        <f>IF(GJ$4=1,IF(OR(INDEX('×入力'!$A$1:$L$1300,903+GJ$3,2+GJ$2)&lt;&gt;"",INDEX('×入力'!$A$1:$L$1300,902,2+GJ$2)&lt;&gt;"",INDEX('×入力'!$A$1:$L$1300,903+GJ$3,1)&lt;&gt;""),1,0),0)</f>
        <v/>
      </c>
      <c r="GK42">
        <f>IF(GK$4=1,IF(OR(INDEX('×入力'!$A$1:$L$1300,903+GK$3,2+GK$2)&lt;&gt;"",INDEX('×入力'!$A$1:$L$1300,902,2+GK$2)&lt;&gt;"",INDEX('×入力'!$A$1:$L$1300,903+GK$3,1)&lt;&gt;""),1,0),0)</f>
        <v/>
      </c>
      <c r="GL42">
        <f>IF(GL$4=1,IF(OR(INDEX('×入力'!$A$1:$L$1300,903+GL$3,2+GL$2)&lt;&gt;"",INDEX('×入力'!$A$1:$L$1300,902,2+GL$2)&lt;&gt;"",INDEX('×入力'!$A$1:$L$1300,903+GL$3,1)&lt;&gt;""),1,0),0)</f>
        <v/>
      </c>
      <c r="GM42">
        <f>IF(GM$4=1,IF(OR(INDEX('×入力'!$A$1:$L$1300,903+GM$3,2+GM$2)&lt;&gt;"",INDEX('×入力'!$A$1:$L$1300,902,2+GM$2)&lt;&gt;"",INDEX('×入力'!$A$1:$L$1300,903+GM$3,1)&lt;&gt;""),1,0),0)</f>
        <v/>
      </c>
      <c r="GN42">
        <f>IF(GN$4=1,IF(OR(INDEX('×入力'!$A$1:$L$1300,903+GN$3,2+GN$2)&lt;&gt;"",INDEX('×入力'!$A$1:$L$1300,902,2+GN$2)&lt;&gt;"",INDEX('×入力'!$A$1:$L$1300,903+GN$3,1)&lt;&gt;""),1,0),0)</f>
        <v/>
      </c>
      <c r="GO42">
        <f>IF(GO$4=1,IF(OR(INDEX('×入力'!$A$1:$L$1300,903+GO$3,2+GO$2)&lt;&gt;"",INDEX('×入力'!$A$1:$L$1300,902,2+GO$2)&lt;&gt;"",INDEX('×入力'!$A$1:$L$1300,903+GO$3,1)&lt;&gt;""),1,0),0)</f>
        <v/>
      </c>
      <c r="GP42">
        <f>IF(GP$4=1,IF(OR(INDEX('×入力'!$A$1:$L$1300,903+GP$3,2+GP$2)&lt;&gt;"",INDEX('×入力'!$A$1:$L$1300,902,2+GP$2)&lt;&gt;"",INDEX('×入力'!$A$1:$L$1300,903+GP$3,1)&lt;&gt;""),1,0),0)</f>
        <v/>
      </c>
      <c r="GQ42">
        <f>IF(GQ$4=1,IF(OR(INDEX('×入力'!$A$1:$L$1300,903+GQ$3,2+GQ$2)&lt;&gt;"",INDEX('×入力'!$A$1:$L$1300,902,2+GQ$2)&lt;&gt;"",INDEX('×入力'!$A$1:$L$1300,903+GQ$3,1)&lt;&gt;""),1,0),0)</f>
        <v/>
      </c>
      <c r="GR42">
        <f>IF(GR$4=1,IF(OR(INDEX('×入力'!$A$1:$L$1300,903+GR$3,2+GR$2)&lt;&gt;"",INDEX('×入力'!$A$1:$L$1300,902,2+GR$2)&lt;&gt;"",INDEX('×入力'!$A$1:$L$1300,903+GR$3,1)&lt;&gt;""),1,0),0)</f>
        <v/>
      </c>
      <c r="GS42">
        <f>IF(GS$4=1,IF(OR(INDEX('×入力'!$A$1:$L$1300,903+GS$3,2+GS$2)&lt;&gt;"",INDEX('×入力'!$A$1:$L$1300,902,2+GS$2)&lt;&gt;"",INDEX('×入力'!$A$1:$L$1300,903+GS$3,1)&lt;&gt;""),1,0),0)</f>
        <v/>
      </c>
      <c r="GT42">
        <f>IF(GT$4=1,IF(OR(INDEX('×入力'!$A$1:$L$1300,903+GT$3,2+GT$2)&lt;&gt;"",INDEX('×入力'!$A$1:$L$1300,902,2+GT$2)&lt;&gt;"",INDEX('×入力'!$A$1:$L$1300,903+GT$3,1)&lt;&gt;""),1,0),0)</f>
        <v/>
      </c>
      <c r="GU42">
        <f>IF(GU$4=1,IF(OR(INDEX('×入力'!$A$1:$L$1300,903+GU$3,2+GU$2)&lt;&gt;"",INDEX('×入力'!$A$1:$L$1300,902,2+GU$2)&lt;&gt;"",INDEX('×入力'!$A$1:$L$1300,903+GU$3,1)&lt;&gt;""),1,0),0)</f>
        <v/>
      </c>
      <c r="GV42">
        <f>IF(GV$4=1,IF(OR(INDEX('×入力'!$A$1:$L$1300,903+GV$3,2+GV$2)&lt;&gt;"",INDEX('×入力'!$A$1:$L$1300,902,2+GV$2)&lt;&gt;"",INDEX('×入力'!$A$1:$L$1300,903+GV$3,1)&lt;&gt;""),1,0),0)</f>
        <v/>
      </c>
      <c r="GW42">
        <f>IF(GW$4=1,IF(OR(INDEX('×入力'!$A$1:$L$1300,903+GW$3,2+GW$2)&lt;&gt;"",INDEX('×入力'!$A$1:$L$1300,902,2+GW$2)&lt;&gt;"",INDEX('×入力'!$A$1:$L$1300,903+GW$3,1)&lt;&gt;""),1,0),0)</f>
        <v/>
      </c>
      <c r="GX42">
        <f>IF(GX$4=1,IF(OR(INDEX('×入力'!$A$1:$L$1300,903+GX$3,2+GX$2)&lt;&gt;"",INDEX('×入力'!$A$1:$L$1300,902,2+GX$2)&lt;&gt;"",INDEX('×入力'!$A$1:$L$1300,903+GX$3,1)&lt;&gt;""),1,0),0)</f>
        <v/>
      </c>
      <c r="GY42">
        <f>IF(GY$4=1,IF(OR(INDEX('×入力'!$A$1:$L$1300,903+GY$3,2+GY$2)&lt;&gt;"",INDEX('×入力'!$A$1:$L$1300,902,2+GY$2)&lt;&gt;"",INDEX('×入力'!$A$1:$L$1300,903+GY$3,1)&lt;&gt;""),1,0),0)</f>
        <v/>
      </c>
      <c r="GZ42">
        <f>IF(GZ$4=1,IF(OR(INDEX('×入力'!$A$1:$L$1300,903+GZ$3,2+GZ$2)&lt;&gt;"",INDEX('×入力'!$A$1:$L$1300,902,2+GZ$2)&lt;&gt;"",INDEX('×入力'!$A$1:$L$1300,903+GZ$3,1)&lt;&gt;""),1,0),0)</f>
        <v/>
      </c>
      <c r="HA42">
        <f>IF(HA$4=1,IF(OR(INDEX('×入力'!$A$1:$L$1300,903+HA$3,2+HA$2)&lt;&gt;"",INDEX('×入力'!$A$1:$L$1300,902,2+HA$2)&lt;&gt;"",INDEX('×入力'!$A$1:$L$1300,903+HA$3,1)&lt;&gt;""),1,0),0)</f>
        <v/>
      </c>
      <c r="HB42">
        <f>IF(HB$4=1,IF(OR(INDEX('×入力'!$A$1:$L$1300,903+HB$3,2+HB$2)&lt;&gt;"",INDEX('×入力'!$A$1:$L$1300,902,2+HB$2)&lt;&gt;"",INDEX('×入力'!$A$1:$L$1300,903+HB$3,1)&lt;&gt;""),1,0),0)</f>
        <v/>
      </c>
      <c r="HC42">
        <f>IF(HC$4=1,IF(OR(INDEX('×入力'!$A$1:$L$1300,903+HC$3,2+HC$2)&lt;&gt;"",INDEX('×入力'!$A$1:$L$1300,902,2+HC$2)&lt;&gt;"",INDEX('×入力'!$A$1:$L$1300,903+HC$3,1)&lt;&gt;""),1,0),0)</f>
        <v/>
      </c>
      <c r="HD42">
        <f>IF(HD$4=1,IF(OR(INDEX('×入力'!$A$1:$L$1300,903+HD$3,2+HD$2)&lt;&gt;"",INDEX('×入力'!$A$1:$L$1300,902,2+HD$2)&lt;&gt;"",INDEX('×入力'!$A$1:$L$1300,903+HD$3,1)&lt;&gt;""),1,0),0)</f>
        <v/>
      </c>
      <c r="HE42">
        <f>IF(HE$4=1,IF(OR(INDEX('×入力'!$A$1:$L$1300,903+HE$3,2+HE$2)&lt;&gt;"",INDEX('×入力'!$A$1:$L$1300,902,2+HE$2)&lt;&gt;"",INDEX('×入力'!$A$1:$L$1300,903+HE$3,1)&lt;&gt;""),1,0),0)</f>
        <v/>
      </c>
      <c r="HF42">
        <f>IF(HF$4=1,IF(OR(INDEX('×入力'!$A$1:$L$1300,903+HF$3,2+HF$2)&lt;&gt;"",INDEX('×入力'!$A$1:$L$1300,902,2+HF$2)&lt;&gt;"",INDEX('×入力'!$A$1:$L$1300,903+HF$3,1)&lt;&gt;""),1,0),0)</f>
        <v/>
      </c>
      <c r="HG42">
        <f>IF(HG$4=1,IF(OR(INDEX('×入力'!$A$1:$L$1300,903+HG$3,2+HG$2)&lt;&gt;"",INDEX('×入力'!$A$1:$L$1300,902,2+HG$2)&lt;&gt;"",INDEX('×入力'!$A$1:$L$1300,903+HG$3,1)&lt;&gt;""),1,0),0)</f>
        <v/>
      </c>
      <c r="HH42">
        <f>IF(HH$4=1,IF(OR(INDEX('×入力'!$A$1:$L$1300,903+HH$3,2+HH$2)&lt;&gt;"",INDEX('×入力'!$A$1:$L$1300,902,2+HH$2)&lt;&gt;"",INDEX('×入力'!$A$1:$L$1300,903+HH$3,1)&lt;&gt;""),1,0),0)</f>
        <v/>
      </c>
      <c r="HI42">
        <f>IF(HI$4=1,IF(OR(INDEX('×入力'!$A$1:$L$1300,903+HI$3,2+HI$2)&lt;&gt;"",INDEX('×入力'!$A$1:$L$1300,902,2+HI$2)&lt;&gt;"",INDEX('×入力'!$A$1:$L$1300,903+HI$3,1)&lt;&gt;""),1,0),0)</f>
        <v/>
      </c>
      <c r="HJ42">
        <f>IF(HJ$4=1,IF(OR(INDEX('×入力'!$A$1:$L$1300,903+HJ$3,2+HJ$2)&lt;&gt;"",INDEX('×入力'!$A$1:$L$1300,902,2+HJ$2)&lt;&gt;"",INDEX('×入力'!$A$1:$L$1300,903+HJ$3,1)&lt;&gt;""),1,0),0)</f>
        <v/>
      </c>
      <c r="HK42">
        <f>IF(HK$4=1,IF(OR(INDEX('×入力'!$A$1:$L$1300,903+HK$3,2+HK$2)&lt;&gt;"",INDEX('×入力'!$A$1:$L$1300,902,2+HK$2)&lt;&gt;"",INDEX('×入力'!$A$1:$L$1300,903+HK$3,1)&lt;&gt;""),1,0),0)</f>
        <v/>
      </c>
      <c r="HL42">
        <f>IF(HL$4=1,IF(OR(INDEX('×入力'!$A$1:$L$1300,903+HL$3,2+HL$2)&lt;&gt;"",INDEX('×入力'!$A$1:$L$1300,902,2+HL$2)&lt;&gt;"",INDEX('×入力'!$A$1:$L$1300,903+HL$3,1)&lt;&gt;""),1,0),0)</f>
        <v/>
      </c>
      <c r="HM42">
        <f>IF(HM$4=1,IF(OR(INDEX('×入力'!$A$1:$L$1300,903+HM$3,2+HM$2)&lt;&gt;"",INDEX('×入力'!$A$1:$L$1300,902,2+HM$2)&lt;&gt;"",INDEX('×入力'!$A$1:$L$1300,903+HM$3,1)&lt;&gt;""),1,0),0)</f>
        <v/>
      </c>
      <c r="HN42">
        <f>IF(HN$4=1,IF(OR(INDEX('×入力'!$A$1:$L$1300,903+HN$3,2+HN$2)&lt;&gt;"",INDEX('×入力'!$A$1:$L$1300,902,2+HN$2)&lt;&gt;"",INDEX('×入力'!$A$1:$L$1300,903+HN$3,1)&lt;&gt;""),1,0),0)</f>
        <v/>
      </c>
      <c r="HO42">
        <f>IF(HO$4=1,IF(OR(INDEX('×入力'!$A$1:$L$1300,903+HO$3,2+HO$2)&lt;&gt;"",INDEX('×入力'!$A$1:$L$1300,902,2+HO$2)&lt;&gt;"",INDEX('×入力'!$A$1:$L$1300,903+HO$3,1)&lt;&gt;""),1,0),0)</f>
        <v/>
      </c>
      <c r="HP42">
        <f>IF(HP$4=1,IF(OR(INDEX('×入力'!$A$1:$L$1300,903+HP$3,2+HP$2)&lt;&gt;"",INDEX('×入力'!$A$1:$L$1300,902,2+HP$2)&lt;&gt;"",INDEX('×入力'!$A$1:$L$1300,903+HP$3,1)&lt;&gt;""),1,0),0)</f>
        <v/>
      </c>
      <c r="HQ42">
        <f>IF(HQ$4=1,IF(OR(INDEX('×入力'!$A$1:$L$1300,903+HQ$3,2+HQ$2)&lt;&gt;"",INDEX('×入力'!$A$1:$L$1300,902,2+HQ$2)&lt;&gt;"",INDEX('×入力'!$A$1:$L$1300,903+HQ$3,1)&lt;&gt;""),1,0),0)</f>
        <v/>
      </c>
      <c r="HR42">
        <f>IF(HR$4=1,IF(OR(INDEX('×入力'!$A$1:$L$1300,903+HR$3,2+HR$2)&lt;&gt;"",INDEX('×入力'!$A$1:$L$1300,902,2+HR$2)&lt;&gt;"",INDEX('×入力'!$A$1:$L$1300,903+HR$3,1)&lt;&gt;""),1,0),0)</f>
        <v/>
      </c>
      <c r="HS42">
        <f>IF(HS$4=1,IF(OR(INDEX('×入力'!$A$1:$L$1300,903+HS$3,2+HS$2)&lt;&gt;"",INDEX('×入力'!$A$1:$L$1300,902,2+HS$2)&lt;&gt;"",INDEX('×入力'!$A$1:$L$1300,903+HS$3,1)&lt;&gt;""),1,0),0)</f>
        <v/>
      </c>
      <c r="HT42">
        <f>IF(HT$4=1,IF(OR(INDEX('×入力'!$A$1:$L$1300,903+HT$3,2+HT$2)&lt;&gt;"",INDEX('×入力'!$A$1:$L$1300,902,2+HT$2)&lt;&gt;"",INDEX('×入力'!$A$1:$L$1300,903+HT$3,1)&lt;&gt;""),1,0),0)</f>
        <v/>
      </c>
      <c r="HU42">
        <f>IF(HU$4=1,IF(OR(INDEX('×入力'!$A$1:$L$1300,903+HU$3,2+HU$2)&lt;&gt;"",INDEX('×入力'!$A$1:$L$1300,902,2+HU$2)&lt;&gt;"",INDEX('×入力'!$A$1:$L$1300,903+HU$3,1)&lt;&gt;""),1,0),0)</f>
        <v/>
      </c>
      <c r="HV42">
        <f>IF(HV$4=1,IF(OR(INDEX('×入力'!$A$1:$L$1300,903+HV$3,2+HV$2)&lt;&gt;"",INDEX('×入力'!$A$1:$L$1300,902,2+HV$2)&lt;&gt;"",INDEX('×入力'!$A$1:$L$1300,903+HV$3,1)&lt;&gt;""),1,0),0)</f>
        <v/>
      </c>
      <c r="HW42">
        <f>IF(HW$4=1,IF(OR(INDEX('×入力'!$A$1:$L$1300,903+HW$3,2+HW$2)&lt;&gt;"",INDEX('×入力'!$A$1:$L$1300,902,2+HW$2)&lt;&gt;"",INDEX('×入力'!$A$1:$L$1300,903+HW$3,1)&lt;&gt;""),1,0),0)</f>
        <v/>
      </c>
      <c r="HX42">
        <f>IF(HX$4=1,IF(OR(INDEX('×入力'!$A$1:$L$1300,903+HX$3,2+HX$2)&lt;&gt;"",INDEX('×入力'!$A$1:$L$1300,902,2+HX$2)&lt;&gt;"",INDEX('×入力'!$A$1:$L$1300,903+HX$3,1)&lt;&gt;""),1,0),0)</f>
        <v/>
      </c>
      <c r="HY42">
        <f>IF(HY$4=1,IF(OR(INDEX('×入力'!$A$1:$L$1300,903+HY$3,2+HY$2)&lt;&gt;"",INDEX('×入力'!$A$1:$L$1300,902,2+HY$2)&lt;&gt;"",INDEX('×入力'!$A$1:$L$1300,903+HY$3,1)&lt;&gt;""),1,0),0)</f>
        <v/>
      </c>
      <c r="HZ42">
        <f>IF(HZ$4=1,IF(OR(INDEX('×入力'!$A$1:$L$1300,903+HZ$3,2+HZ$2)&lt;&gt;"",INDEX('×入力'!$A$1:$L$1300,902,2+HZ$2)&lt;&gt;"",INDEX('×入力'!$A$1:$L$1300,903+HZ$3,1)&lt;&gt;""),1,0),0)</f>
        <v/>
      </c>
      <c r="IA42">
        <f>IF(IA$4=1,IF(OR(INDEX('×入力'!$A$1:$L$1300,903+IA$3,2+IA$2)&lt;&gt;"",INDEX('×入力'!$A$1:$L$1300,902,2+IA$2)&lt;&gt;"",INDEX('×入力'!$A$1:$L$1300,903+IA$3,1)&lt;&gt;""),1,0),0)</f>
        <v/>
      </c>
      <c r="IB42">
        <f>IF(IB$4=1,IF(OR(INDEX('×入力'!$A$1:$L$1300,903+IB$3,2+IB$2)&lt;&gt;"",INDEX('×入力'!$A$1:$L$1300,902,2+IB$2)&lt;&gt;"",INDEX('×入力'!$A$1:$L$1300,903+IB$3,1)&lt;&gt;""),1,0),0)</f>
        <v/>
      </c>
      <c r="IC42">
        <f>IF(IC$4=1,IF(OR(INDEX('×入力'!$A$1:$L$1300,903+IC$3,2+IC$2)&lt;&gt;"",INDEX('×入力'!$A$1:$L$1300,902,2+IC$2)&lt;&gt;"",INDEX('×入力'!$A$1:$L$1300,903+IC$3,1)&lt;&gt;""),1,0),0)</f>
        <v/>
      </c>
      <c r="ID42">
        <f>IF(ID$4=1,IF(OR(INDEX('×入力'!$A$1:$L$1300,903+ID$3,2+ID$2)&lt;&gt;"",INDEX('×入力'!$A$1:$L$1300,902,2+ID$2)&lt;&gt;"",INDEX('×入力'!$A$1:$L$1300,903+ID$3,1)&lt;&gt;""),1,0),0)</f>
        <v/>
      </c>
      <c r="IE42">
        <f>IF(IE$4=1,IF(OR(INDEX('×入力'!$A$1:$L$1300,903+IE$3,2+IE$2)&lt;&gt;"",INDEX('×入力'!$A$1:$L$1300,902,2+IE$2)&lt;&gt;"",INDEX('×入力'!$A$1:$L$1300,903+IE$3,1)&lt;&gt;""),1,0),0)</f>
        <v/>
      </c>
      <c r="IF42">
        <f>IF(IF$4=1,IF(OR(INDEX('×入力'!$A$1:$L$1300,903+IF$3,2+IF$2)&lt;&gt;"",INDEX('×入力'!$A$1:$L$1300,902,2+IF$2)&lt;&gt;"",INDEX('×入力'!$A$1:$L$1300,903+IF$3,1)&lt;&gt;""),1,0),0)</f>
        <v/>
      </c>
      <c r="IG42">
        <f>IF(IG$4=1,IF(OR(INDEX('×入力'!$A$1:$L$1300,903+IG$3,2+IG$2)&lt;&gt;"",INDEX('×入力'!$A$1:$L$1300,902,2+IG$2)&lt;&gt;"",INDEX('×入力'!$A$1:$L$1300,903+IG$3,1)&lt;&gt;""),1,0),0)</f>
        <v/>
      </c>
      <c r="IH42">
        <f>IF(IH$4=1,IF(OR(INDEX('×入力'!$A$1:$L$1300,903+IH$3,2+IH$2)&lt;&gt;"",INDEX('×入力'!$A$1:$L$1300,902,2+IH$2)&lt;&gt;"",INDEX('×入力'!$A$1:$L$1300,903+IH$3,1)&lt;&gt;""),1,0),0)</f>
        <v/>
      </c>
      <c r="II42">
        <f>IF(II$4=1,IF(OR(INDEX('×入力'!$A$1:$L$1300,903+II$3,2+II$2)&lt;&gt;"",INDEX('×入力'!$A$1:$L$1300,902,2+II$2)&lt;&gt;"",INDEX('×入力'!$A$1:$L$1300,903+II$3,1)&lt;&gt;""),1,0),0)</f>
        <v/>
      </c>
      <c r="IK42">
        <f>IFERROR(INDEX('計算B'!$C$3:$C$47,MATCH(A42,'計算B'!$B$3:$B$47,0)),0)</f>
        <v/>
      </c>
      <c r="IL42">
        <f>IF(AND(C42=1,IK42=0),1,0)</f>
        <v/>
      </c>
      <c r="IM42">
        <f>SUMPRODUCT(D92:II92*(1-$D$7:$II$7))</f>
        <v/>
      </c>
      <c r="IN42">
        <f>SUM(D42:II42)</f>
        <v/>
      </c>
      <c r="IO42">
        <f>IF(B42="",0,IF(COUNTIF('調整・決定'!$C$6:$L$29,B42)=1,SUMPRODUCT(('調整・決定'!$C$6:$L$29=B42)*((COLUMN('調整・決定'!$C$6:$L$29)-3)*24+ROW('調整・決定'!$C$6:$L$29)-5)),0))</f>
        <v/>
      </c>
      <c r="IP42">
        <f>IFERROR(MATCH('名簿'!E37,{"早い時刻","遅い時刻","早い日","遅い日"},0),0)</f>
        <v/>
      </c>
      <c r="IQ42">
        <f>IF('名簿'!F37="必ず空けたい",2,IF('名簿'!F37="出来れば空けたい",1,0))</f>
        <v/>
      </c>
    </row>
    <row r="43">
      <c r="A43" t="n">
        <v>34</v>
      </c>
      <c r="B43">
        <f>'名簿'!G38</f>
        <v/>
      </c>
      <c r="C43">
        <f>IF(AND(B43&lt;&gt;"",OR('名簿'!H38="入力済み",'名簿'!H38="×なし"),IO43=0,COUNTIF('調整・決定'!$C$6:$L$29,B43)=0),1,0)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ER43">
        <f>IF(ER$4=1,IF(OR(INDEX('×入力'!$A$1:$L$1300,931+ER$3,2+ER$2)&lt;&gt;"",INDEX('×入力'!$A$1:$L$1300,930,2+ER$2)&lt;&gt;"",INDEX('×入力'!$A$1:$L$1300,931+ER$3,1)&lt;&gt;""),1,0),0)</f>
        <v/>
      </c>
      <c r="ES43">
        <f>IF(ES$4=1,IF(OR(INDEX('×入力'!$A$1:$L$1300,931+ES$3,2+ES$2)&lt;&gt;"",INDEX('×入力'!$A$1:$L$1300,930,2+ES$2)&lt;&gt;"",INDEX('×入力'!$A$1:$L$1300,931+ES$3,1)&lt;&gt;""),1,0),0)</f>
        <v/>
      </c>
      <c r="ET43">
        <f>IF(ET$4=1,IF(OR(INDEX('×入力'!$A$1:$L$1300,931+ET$3,2+ET$2)&lt;&gt;"",INDEX('×入力'!$A$1:$L$1300,930,2+ET$2)&lt;&gt;"",INDEX('×入力'!$A$1:$L$1300,931+ET$3,1)&lt;&gt;""),1,0),0)</f>
        <v/>
      </c>
      <c r="EU43">
        <f>IF(EU$4=1,IF(OR(INDEX('×入力'!$A$1:$L$1300,931+EU$3,2+EU$2)&lt;&gt;"",INDEX('×入力'!$A$1:$L$1300,930,2+EU$2)&lt;&gt;"",INDEX('×入力'!$A$1:$L$1300,931+EU$3,1)&lt;&gt;""),1,0),0)</f>
        <v/>
      </c>
      <c r="EV43">
        <f>IF(EV$4=1,IF(OR(INDEX('×入力'!$A$1:$L$1300,931+EV$3,2+EV$2)&lt;&gt;"",INDEX('×入力'!$A$1:$L$1300,930,2+EV$2)&lt;&gt;"",INDEX('×入力'!$A$1:$L$1300,931+EV$3,1)&lt;&gt;""),1,0),0)</f>
        <v/>
      </c>
      <c r="EW43">
        <f>IF(EW$4=1,IF(OR(INDEX('×入力'!$A$1:$L$1300,931+EW$3,2+EW$2)&lt;&gt;"",INDEX('×入力'!$A$1:$L$1300,930,2+EW$2)&lt;&gt;"",INDEX('×入力'!$A$1:$L$1300,931+EW$3,1)&lt;&gt;""),1,0),0)</f>
        <v/>
      </c>
      <c r="EX43">
        <f>IF(EX$4=1,IF(OR(INDEX('×入力'!$A$1:$L$1300,931+EX$3,2+EX$2)&lt;&gt;"",INDEX('×入力'!$A$1:$L$1300,930,2+EX$2)&lt;&gt;"",INDEX('×入力'!$A$1:$L$1300,931+EX$3,1)&lt;&gt;""),1,0),0)</f>
        <v/>
      </c>
      <c r="EY43">
        <f>IF(EY$4=1,IF(OR(INDEX('×入力'!$A$1:$L$1300,931+EY$3,2+EY$2)&lt;&gt;"",INDEX('×入力'!$A$1:$L$1300,930,2+EY$2)&lt;&gt;"",INDEX('×入力'!$A$1:$L$1300,931+EY$3,1)&lt;&gt;""),1,0),0)</f>
        <v/>
      </c>
      <c r="EZ43">
        <f>IF(EZ$4=1,IF(OR(INDEX('×入力'!$A$1:$L$1300,931+EZ$3,2+EZ$2)&lt;&gt;"",INDEX('×入力'!$A$1:$L$1300,930,2+EZ$2)&lt;&gt;"",INDEX('×入力'!$A$1:$L$1300,931+EZ$3,1)&lt;&gt;""),1,0),0)</f>
        <v/>
      </c>
      <c r="FA43">
        <f>IF(FA$4=1,IF(OR(INDEX('×入力'!$A$1:$L$1300,931+FA$3,2+FA$2)&lt;&gt;"",INDEX('×入力'!$A$1:$L$1300,930,2+FA$2)&lt;&gt;"",INDEX('×入力'!$A$1:$L$1300,931+FA$3,1)&lt;&gt;""),1,0),0)</f>
        <v/>
      </c>
      <c r="FB43">
        <f>IF(FB$4=1,IF(OR(INDEX('×入力'!$A$1:$L$1300,931+FB$3,2+FB$2)&lt;&gt;"",INDEX('×入力'!$A$1:$L$1300,930,2+FB$2)&lt;&gt;"",INDEX('×入力'!$A$1:$L$1300,931+FB$3,1)&lt;&gt;""),1,0),0)</f>
        <v/>
      </c>
      <c r="FC43">
        <f>IF(FC$4=1,IF(OR(INDEX('×入力'!$A$1:$L$1300,931+FC$3,2+FC$2)&lt;&gt;"",INDEX('×入力'!$A$1:$L$1300,930,2+FC$2)&lt;&gt;"",INDEX('×入力'!$A$1:$L$1300,931+FC$3,1)&lt;&gt;""),1,0),0)</f>
        <v/>
      </c>
      <c r="FD43">
        <f>IF(FD$4=1,IF(OR(INDEX('×入力'!$A$1:$L$1300,931+FD$3,2+FD$2)&lt;&gt;"",INDEX('×入力'!$A$1:$L$1300,930,2+FD$2)&lt;&gt;"",INDEX('×入力'!$A$1:$L$1300,931+FD$3,1)&lt;&gt;""),1,0),0)</f>
        <v/>
      </c>
      <c r="FE43">
        <f>IF(FE$4=1,IF(OR(INDEX('×入力'!$A$1:$L$1300,931+FE$3,2+FE$2)&lt;&gt;"",INDEX('×入力'!$A$1:$L$1300,930,2+FE$2)&lt;&gt;"",INDEX('×入力'!$A$1:$L$1300,931+FE$3,1)&lt;&gt;""),1,0),0)</f>
        <v/>
      </c>
      <c r="FF43">
        <f>IF(FF$4=1,IF(OR(INDEX('×入力'!$A$1:$L$1300,931+FF$3,2+FF$2)&lt;&gt;"",INDEX('×入力'!$A$1:$L$1300,930,2+FF$2)&lt;&gt;"",INDEX('×入力'!$A$1:$L$1300,931+FF$3,1)&lt;&gt;""),1,0),0)</f>
        <v/>
      </c>
      <c r="FG43">
        <f>IF(FG$4=1,IF(OR(INDEX('×入力'!$A$1:$L$1300,931+FG$3,2+FG$2)&lt;&gt;"",INDEX('×入力'!$A$1:$L$1300,930,2+FG$2)&lt;&gt;"",INDEX('×入力'!$A$1:$L$1300,931+FG$3,1)&lt;&gt;""),1,0),0)</f>
        <v/>
      </c>
      <c r="FH43">
        <f>IF(FH$4=1,IF(OR(INDEX('×入力'!$A$1:$L$1300,931+FH$3,2+FH$2)&lt;&gt;"",INDEX('×入力'!$A$1:$L$1300,930,2+FH$2)&lt;&gt;"",INDEX('×入力'!$A$1:$L$1300,931+FH$3,1)&lt;&gt;""),1,0),0)</f>
        <v/>
      </c>
      <c r="FI43">
        <f>IF(FI$4=1,IF(OR(INDEX('×入力'!$A$1:$L$1300,931+FI$3,2+FI$2)&lt;&gt;"",INDEX('×入力'!$A$1:$L$1300,930,2+FI$2)&lt;&gt;"",INDEX('×入力'!$A$1:$L$1300,931+FI$3,1)&lt;&gt;""),1,0),0)</f>
        <v/>
      </c>
      <c r="FJ43">
        <f>IF(FJ$4=1,IF(OR(INDEX('×入力'!$A$1:$L$1300,931+FJ$3,2+FJ$2)&lt;&gt;"",INDEX('×入力'!$A$1:$L$1300,930,2+FJ$2)&lt;&gt;"",INDEX('×入力'!$A$1:$L$1300,931+FJ$3,1)&lt;&gt;""),1,0),0)</f>
        <v/>
      </c>
      <c r="FK43">
        <f>IF(FK$4=1,IF(OR(INDEX('×入力'!$A$1:$L$1300,931+FK$3,2+FK$2)&lt;&gt;"",INDEX('×入力'!$A$1:$L$1300,930,2+FK$2)&lt;&gt;"",INDEX('×入力'!$A$1:$L$1300,931+FK$3,1)&lt;&gt;""),1,0),0)</f>
        <v/>
      </c>
      <c r="FL43">
        <f>IF(FL$4=1,IF(OR(INDEX('×入力'!$A$1:$L$1300,931+FL$3,2+FL$2)&lt;&gt;"",INDEX('×入力'!$A$1:$L$1300,930,2+FL$2)&lt;&gt;"",INDEX('×入力'!$A$1:$L$1300,931+FL$3,1)&lt;&gt;""),1,0),0)</f>
        <v/>
      </c>
      <c r="FM43">
        <f>IF(FM$4=1,IF(OR(INDEX('×入力'!$A$1:$L$1300,931+FM$3,2+FM$2)&lt;&gt;"",INDEX('×入力'!$A$1:$L$1300,930,2+FM$2)&lt;&gt;"",INDEX('×入力'!$A$1:$L$1300,931+FM$3,1)&lt;&gt;""),1,0),0)</f>
        <v/>
      </c>
      <c r="FN43">
        <f>IF(FN$4=1,IF(OR(INDEX('×入力'!$A$1:$L$1300,931+FN$3,2+FN$2)&lt;&gt;"",INDEX('×入力'!$A$1:$L$1300,930,2+FN$2)&lt;&gt;"",INDEX('×入力'!$A$1:$L$1300,931+FN$3,1)&lt;&gt;""),1,0),0)</f>
        <v/>
      </c>
      <c r="FO43">
        <f>IF(FO$4=1,IF(OR(INDEX('×入力'!$A$1:$L$1300,931+FO$3,2+FO$2)&lt;&gt;"",INDEX('×入力'!$A$1:$L$1300,930,2+FO$2)&lt;&gt;"",INDEX('×入力'!$A$1:$L$1300,931+FO$3,1)&lt;&gt;""),1,0),0)</f>
        <v/>
      </c>
      <c r="FP43">
        <f>IF(FP$4=1,IF(OR(INDEX('×入力'!$A$1:$L$1300,931+FP$3,2+FP$2)&lt;&gt;"",INDEX('×入力'!$A$1:$L$1300,930,2+FP$2)&lt;&gt;"",INDEX('×入力'!$A$1:$L$1300,931+FP$3,1)&lt;&gt;""),1,0),0)</f>
        <v/>
      </c>
      <c r="FQ43">
        <f>IF(FQ$4=1,IF(OR(INDEX('×入力'!$A$1:$L$1300,931+FQ$3,2+FQ$2)&lt;&gt;"",INDEX('×入力'!$A$1:$L$1300,930,2+FQ$2)&lt;&gt;"",INDEX('×入力'!$A$1:$L$1300,931+FQ$3,1)&lt;&gt;""),1,0),0)</f>
        <v/>
      </c>
      <c r="FR43">
        <f>IF(FR$4=1,IF(OR(INDEX('×入力'!$A$1:$L$1300,931+FR$3,2+FR$2)&lt;&gt;"",INDEX('×入力'!$A$1:$L$1300,930,2+FR$2)&lt;&gt;"",INDEX('×入力'!$A$1:$L$1300,931+FR$3,1)&lt;&gt;""),1,0),0)</f>
        <v/>
      </c>
      <c r="FS43">
        <f>IF(FS$4=1,IF(OR(INDEX('×入力'!$A$1:$L$1300,931+FS$3,2+FS$2)&lt;&gt;"",INDEX('×入力'!$A$1:$L$1300,930,2+FS$2)&lt;&gt;"",INDEX('×入力'!$A$1:$L$1300,931+FS$3,1)&lt;&gt;""),1,0),0)</f>
        <v/>
      </c>
      <c r="FT43">
        <f>IF(FT$4=1,IF(OR(INDEX('×入力'!$A$1:$L$1300,931+FT$3,2+FT$2)&lt;&gt;"",INDEX('×入力'!$A$1:$L$1300,930,2+FT$2)&lt;&gt;"",INDEX('×入力'!$A$1:$L$1300,931+FT$3,1)&lt;&gt;""),1,0),0)</f>
        <v/>
      </c>
      <c r="FU43">
        <f>IF(FU$4=1,IF(OR(INDEX('×入力'!$A$1:$L$1300,931+FU$3,2+FU$2)&lt;&gt;"",INDEX('×入力'!$A$1:$L$1300,930,2+FU$2)&lt;&gt;"",INDEX('×入力'!$A$1:$L$1300,931+FU$3,1)&lt;&gt;""),1,0),0)</f>
        <v/>
      </c>
      <c r="FV43">
        <f>IF(FV$4=1,IF(OR(INDEX('×入力'!$A$1:$L$1300,931+FV$3,2+FV$2)&lt;&gt;"",INDEX('×入力'!$A$1:$L$1300,930,2+FV$2)&lt;&gt;"",INDEX('×入力'!$A$1:$L$1300,931+FV$3,1)&lt;&gt;""),1,0),0)</f>
        <v/>
      </c>
      <c r="FW43">
        <f>IF(FW$4=1,IF(OR(INDEX('×入力'!$A$1:$L$1300,931+FW$3,2+FW$2)&lt;&gt;"",INDEX('×入力'!$A$1:$L$1300,930,2+FW$2)&lt;&gt;"",INDEX('×入力'!$A$1:$L$1300,931+FW$3,1)&lt;&gt;""),1,0),0)</f>
        <v/>
      </c>
      <c r="FX43">
        <f>IF(FX$4=1,IF(OR(INDEX('×入力'!$A$1:$L$1300,931+FX$3,2+FX$2)&lt;&gt;"",INDEX('×入力'!$A$1:$L$1300,930,2+FX$2)&lt;&gt;"",INDEX('×入力'!$A$1:$L$1300,931+FX$3,1)&lt;&gt;""),1,0),0)</f>
        <v/>
      </c>
      <c r="FY43">
        <f>IF(FY$4=1,IF(OR(INDEX('×入力'!$A$1:$L$1300,931+FY$3,2+FY$2)&lt;&gt;"",INDEX('×入力'!$A$1:$L$1300,930,2+FY$2)&lt;&gt;"",INDEX('×入力'!$A$1:$L$1300,931+FY$3,1)&lt;&gt;""),1,0),0)</f>
        <v/>
      </c>
      <c r="FZ43">
        <f>IF(FZ$4=1,IF(OR(INDEX('×入力'!$A$1:$L$1300,931+FZ$3,2+FZ$2)&lt;&gt;"",INDEX('×入力'!$A$1:$L$1300,930,2+FZ$2)&lt;&gt;"",INDEX('×入力'!$A$1:$L$1300,931+FZ$3,1)&lt;&gt;""),1,0),0)</f>
        <v/>
      </c>
      <c r="GA43">
        <f>IF(GA$4=1,IF(OR(INDEX('×入力'!$A$1:$L$1300,931+GA$3,2+GA$2)&lt;&gt;"",INDEX('×入力'!$A$1:$L$1300,930,2+GA$2)&lt;&gt;"",INDEX('×入力'!$A$1:$L$1300,931+GA$3,1)&lt;&gt;""),1,0),0)</f>
        <v/>
      </c>
      <c r="GB43">
        <f>IF(GB$4=1,IF(OR(INDEX('×入力'!$A$1:$L$1300,931+GB$3,2+GB$2)&lt;&gt;"",INDEX('×入力'!$A$1:$L$1300,930,2+GB$2)&lt;&gt;"",INDEX('×入力'!$A$1:$L$1300,931+GB$3,1)&lt;&gt;""),1,0),0)</f>
        <v/>
      </c>
      <c r="GC43">
        <f>IF(GC$4=1,IF(OR(INDEX('×入力'!$A$1:$L$1300,931+GC$3,2+GC$2)&lt;&gt;"",INDEX('×入力'!$A$1:$L$1300,930,2+GC$2)&lt;&gt;"",INDEX('×入力'!$A$1:$L$1300,931+GC$3,1)&lt;&gt;""),1,0),0)</f>
        <v/>
      </c>
      <c r="GD43">
        <f>IF(GD$4=1,IF(OR(INDEX('×入力'!$A$1:$L$1300,931+GD$3,2+GD$2)&lt;&gt;"",INDEX('×入力'!$A$1:$L$1300,930,2+GD$2)&lt;&gt;"",INDEX('×入力'!$A$1:$L$1300,931+GD$3,1)&lt;&gt;""),1,0),0)</f>
        <v/>
      </c>
      <c r="GE43">
        <f>IF(GE$4=1,IF(OR(INDEX('×入力'!$A$1:$L$1300,931+GE$3,2+GE$2)&lt;&gt;"",INDEX('×入力'!$A$1:$L$1300,930,2+GE$2)&lt;&gt;"",INDEX('×入力'!$A$1:$L$1300,931+GE$3,1)&lt;&gt;""),1,0),0)</f>
        <v/>
      </c>
      <c r="GF43">
        <f>IF(GF$4=1,IF(OR(INDEX('×入力'!$A$1:$L$1300,931+GF$3,2+GF$2)&lt;&gt;"",INDEX('×入力'!$A$1:$L$1300,930,2+GF$2)&lt;&gt;"",INDEX('×入力'!$A$1:$L$1300,931+GF$3,1)&lt;&gt;""),1,0),0)</f>
        <v/>
      </c>
      <c r="GG43">
        <f>IF(GG$4=1,IF(OR(INDEX('×入力'!$A$1:$L$1300,931+GG$3,2+GG$2)&lt;&gt;"",INDEX('×入力'!$A$1:$L$1300,930,2+GG$2)&lt;&gt;"",INDEX('×入力'!$A$1:$L$1300,931+GG$3,1)&lt;&gt;""),1,0),0)</f>
        <v/>
      </c>
      <c r="GH43">
        <f>IF(GH$4=1,IF(OR(INDEX('×入力'!$A$1:$L$1300,931+GH$3,2+GH$2)&lt;&gt;"",INDEX('×入力'!$A$1:$L$1300,930,2+GH$2)&lt;&gt;"",INDEX('×入力'!$A$1:$L$1300,931+GH$3,1)&lt;&gt;""),1,0),0)</f>
        <v/>
      </c>
      <c r="GI43">
        <f>IF(GI$4=1,IF(OR(INDEX('×入力'!$A$1:$L$1300,931+GI$3,2+GI$2)&lt;&gt;"",INDEX('×入力'!$A$1:$L$1300,930,2+GI$2)&lt;&gt;"",INDEX('×入力'!$A$1:$L$1300,931+GI$3,1)&lt;&gt;""),1,0),0)</f>
        <v/>
      </c>
      <c r="GJ43">
        <f>IF(GJ$4=1,IF(OR(INDEX('×入力'!$A$1:$L$1300,931+GJ$3,2+GJ$2)&lt;&gt;"",INDEX('×入力'!$A$1:$L$1300,930,2+GJ$2)&lt;&gt;"",INDEX('×入力'!$A$1:$L$1300,931+GJ$3,1)&lt;&gt;""),1,0),0)</f>
        <v/>
      </c>
      <c r="GK43">
        <f>IF(GK$4=1,IF(OR(INDEX('×入力'!$A$1:$L$1300,931+GK$3,2+GK$2)&lt;&gt;"",INDEX('×入力'!$A$1:$L$1300,930,2+GK$2)&lt;&gt;"",INDEX('×入力'!$A$1:$L$1300,931+GK$3,1)&lt;&gt;""),1,0),0)</f>
        <v/>
      </c>
      <c r="GL43">
        <f>IF(GL$4=1,IF(OR(INDEX('×入力'!$A$1:$L$1300,931+GL$3,2+GL$2)&lt;&gt;"",INDEX('×入力'!$A$1:$L$1300,930,2+GL$2)&lt;&gt;"",INDEX('×入力'!$A$1:$L$1300,931+GL$3,1)&lt;&gt;""),1,0),0)</f>
        <v/>
      </c>
      <c r="GM43">
        <f>IF(GM$4=1,IF(OR(INDEX('×入力'!$A$1:$L$1300,931+GM$3,2+GM$2)&lt;&gt;"",INDEX('×入力'!$A$1:$L$1300,930,2+GM$2)&lt;&gt;"",INDEX('×入力'!$A$1:$L$1300,931+GM$3,1)&lt;&gt;""),1,0),0)</f>
        <v/>
      </c>
      <c r="GN43">
        <f>IF(GN$4=1,IF(OR(INDEX('×入力'!$A$1:$L$1300,931+GN$3,2+GN$2)&lt;&gt;"",INDEX('×入力'!$A$1:$L$1300,930,2+GN$2)&lt;&gt;"",INDEX('×入力'!$A$1:$L$1300,931+GN$3,1)&lt;&gt;""),1,0),0)</f>
        <v/>
      </c>
      <c r="GO43">
        <f>IF(GO$4=1,IF(OR(INDEX('×入力'!$A$1:$L$1300,931+GO$3,2+GO$2)&lt;&gt;"",INDEX('×入力'!$A$1:$L$1300,930,2+GO$2)&lt;&gt;"",INDEX('×入力'!$A$1:$L$1300,931+GO$3,1)&lt;&gt;""),1,0),0)</f>
        <v/>
      </c>
      <c r="GP43">
        <f>IF(GP$4=1,IF(OR(INDEX('×入力'!$A$1:$L$1300,931+GP$3,2+GP$2)&lt;&gt;"",INDEX('×入力'!$A$1:$L$1300,930,2+GP$2)&lt;&gt;"",INDEX('×入力'!$A$1:$L$1300,931+GP$3,1)&lt;&gt;""),1,0),0)</f>
        <v/>
      </c>
      <c r="GQ43">
        <f>IF(GQ$4=1,IF(OR(INDEX('×入力'!$A$1:$L$1300,931+GQ$3,2+GQ$2)&lt;&gt;"",INDEX('×入力'!$A$1:$L$1300,930,2+GQ$2)&lt;&gt;"",INDEX('×入力'!$A$1:$L$1300,931+GQ$3,1)&lt;&gt;""),1,0),0)</f>
        <v/>
      </c>
      <c r="GR43">
        <f>IF(GR$4=1,IF(OR(INDEX('×入力'!$A$1:$L$1300,931+GR$3,2+GR$2)&lt;&gt;"",INDEX('×入力'!$A$1:$L$1300,930,2+GR$2)&lt;&gt;"",INDEX('×入力'!$A$1:$L$1300,931+GR$3,1)&lt;&gt;""),1,0),0)</f>
        <v/>
      </c>
      <c r="GS43">
        <f>IF(GS$4=1,IF(OR(INDEX('×入力'!$A$1:$L$1300,931+GS$3,2+GS$2)&lt;&gt;"",INDEX('×入力'!$A$1:$L$1300,930,2+GS$2)&lt;&gt;"",INDEX('×入力'!$A$1:$L$1300,931+GS$3,1)&lt;&gt;""),1,0),0)</f>
        <v/>
      </c>
      <c r="GT43">
        <f>IF(GT$4=1,IF(OR(INDEX('×入力'!$A$1:$L$1300,931+GT$3,2+GT$2)&lt;&gt;"",INDEX('×入力'!$A$1:$L$1300,930,2+GT$2)&lt;&gt;"",INDEX('×入力'!$A$1:$L$1300,931+GT$3,1)&lt;&gt;""),1,0),0)</f>
        <v/>
      </c>
      <c r="GU43">
        <f>IF(GU$4=1,IF(OR(INDEX('×入力'!$A$1:$L$1300,931+GU$3,2+GU$2)&lt;&gt;"",INDEX('×入力'!$A$1:$L$1300,930,2+GU$2)&lt;&gt;"",INDEX('×入力'!$A$1:$L$1300,931+GU$3,1)&lt;&gt;""),1,0),0)</f>
        <v/>
      </c>
      <c r="GV43">
        <f>IF(GV$4=1,IF(OR(INDEX('×入力'!$A$1:$L$1300,931+GV$3,2+GV$2)&lt;&gt;"",INDEX('×入力'!$A$1:$L$1300,930,2+GV$2)&lt;&gt;"",INDEX('×入力'!$A$1:$L$1300,931+GV$3,1)&lt;&gt;""),1,0),0)</f>
        <v/>
      </c>
      <c r="GW43">
        <f>IF(GW$4=1,IF(OR(INDEX('×入力'!$A$1:$L$1300,931+GW$3,2+GW$2)&lt;&gt;"",INDEX('×入力'!$A$1:$L$1300,930,2+GW$2)&lt;&gt;"",INDEX('×入力'!$A$1:$L$1300,931+GW$3,1)&lt;&gt;""),1,0),0)</f>
        <v/>
      </c>
      <c r="GX43">
        <f>IF(GX$4=1,IF(OR(INDEX('×入力'!$A$1:$L$1300,931+GX$3,2+GX$2)&lt;&gt;"",INDEX('×入力'!$A$1:$L$1300,930,2+GX$2)&lt;&gt;"",INDEX('×入力'!$A$1:$L$1300,931+GX$3,1)&lt;&gt;""),1,0),0)</f>
        <v/>
      </c>
      <c r="GY43">
        <f>IF(GY$4=1,IF(OR(INDEX('×入力'!$A$1:$L$1300,931+GY$3,2+GY$2)&lt;&gt;"",INDEX('×入力'!$A$1:$L$1300,930,2+GY$2)&lt;&gt;"",INDEX('×入力'!$A$1:$L$1300,931+GY$3,1)&lt;&gt;""),1,0),0)</f>
        <v/>
      </c>
      <c r="GZ43">
        <f>IF(GZ$4=1,IF(OR(INDEX('×入力'!$A$1:$L$1300,931+GZ$3,2+GZ$2)&lt;&gt;"",INDEX('×入力'!$A$1:$L$1300,930,2+GZ$2)&lt;&gt;"",INDEX('×入力'!$A$1:$L$1300,931+GZ$3,1)&lt;&gt;""),1,0),0)</f>
        <v/>
      </c>
      <c r="HA43">
        <f>IF(HA$4=1,IF(OR(INDEX('×入力'!$A$1:$L$1300,931+HA$3,2+HA$2)&lt;&gt;"",INDEX('×入力'!$A$1:$L$1300,930,2+HA$2)&lt;&gt;"",INDEX('×入力'!$A$1:$L$1300,931+HA$3,1)&lt;&gt;""),1,0),0)</f>
        <v/>
      </c>
      <c r="HB43">
        <f>IF(HB$4=1,IF(OR(INDEX('×入力'!$A$1:$L$1300,931+HB$3,2+HB$2)&lt;&gt;"",INDEX('×入力'!$A$1:$L$1300,930,2+HB$2)&lt;&gt;"",INDEX('×入力'!$A$1:$L$1300,931+HB$3,1)&lt;&gt;""),1,0),0)</f>
        <v/>
      </c>
      <c r="HC43">
        <f>IF(HC$4=1,IF(OR(INDEX('×入力'!$A$1:$L$1300,931+HC$3,2+HC$2)&lt;&gt;"",INDEX('×入力'!$A$1:$L$1300,930,2+HC$2)&lt;&gt;"",INDEX('×入力'!$A$1:$L$1300,931+HC$3,1)&lt;&gt;""),1,0),0)</f>
        <v/>
      </c>
      <c r="HD43">
        <f>IF(HD$4=1,IF(OR(INDEX('×入力'!$A$1:$L$1300,931+HD$3,2+HD$2)&lt;&gt;"",INDEX('×入力'!$A$1:$L$1300,930,2+HD$2)&lt;&gt;"",INDEX('×入力'!$A$1:$L$1300,931+HD$3,1)&lt;&gt;""),1,0),0)</f>
        <v/>
      </c>
      <c r="HE43">
        <f>IF(HE$4=1,IF(OR(INDEX('×入力'!$A$1:$L$1300,931+HE$3,2+HE$2)&lt;&gt;"",INDEX('×入力'!$A$1:$L$1300,930,2+HE$2)&lt;&gt;"",INDEX('×入力'!$A$1:$L$1300,931+HE$3,1)&lt;&gt;""),1,0),0)</f>
        <v/>
      </c>
      <c r="HF43">
        <f>IF(HF$4=1,IF(OR(INDEX('×入力'!$A$1:$L$1300,931+HF$3,2+HF$2)&lt;&gt;"",INDEX('×入力'!$A$1:$L$1300,930,2+HF$2)&lt;&gt;"",INDEX('×入力'!$A$1:$L$1300,931+HF$3,1)&lt;&gt;""),1,0),0)</f>
        <v/>
      </c>
      <c r="HG43">
        <f>IF(HG$4=1,IF(OR(INDEX('×入力'!$A$1:$L$1300,931+HG$3,2+HG$2)&lt;&gt;"",INDEX('×入力'!$A$1:$L$1300,930,2+HG$2)&lt;&gt;"",INDEX('×入力'!$A$1:$L$1300,931+HG$3,1)&lt;&gt;""),1,0),0)</f>
        <v/>
      </c>
      <c r="HH43">
        <f>IF(HH$4=1,IF(OR(INDEX('×入力'!$A$1:$L$1300,931+HH$3,2+HH$2)&lt;&gt;"",INDEX('×入力'!$A$1:$L$1300,930,2+HH$2)&lt;&gt;"",INDEX('×入力'!$A$1:$L$1300,931+HH$3,1)&lt;&gt;""),1,0),0)</f>
        <v/>
      </c>
      <c r="HI43">
        <f>IF(HI$4=1,IF(OR(INDEX('×入力'!$A$1:$L$1300,931+HI$3,2+HI$2)&lt;&gt;"",INDEX('×入力'!$A$1:$L$1300,930,2+HI$2)&lt;&gt;"",INDEX('×入力'!$A$1:$L$1300,931+HI$3,1)&lt;&gt;""),1,0),0)</f>
        <v/>
      </c>
      <c r="HJ43">
        <f>IF(HJ$4=1,IF(OR(INDEX('×入力'!$A$1:$L$1300,931+HJ$3,2+HJ$2)&lt;&gt;"",INDEX('×入力'!$A$1:$L$1300,930,2+HJ$2)&lt;&gt;"",INDEX('×入力'!$A$1:$L$1300,931+HJ$3,1)&lt;&gt;""),1,0),0)</f>
        <v/>
      </c>
      <c r="HK43">
        <f>IF(HK$4=1,IF(OR(INDEX('×入力'!$A$1:$L$1300,931+HK$3,2+HK$2)&lt;&gt;"",INDEX('×入力'!$A$1:$L$1300,930,2+HK$2)&lt;&gt;"",INDEX('×入力'!$A$1:$L$1300,931+HK$3,1)&lt;&gt;""),1,0),0)</f>
        <v/>
      </c>
      <c r="HL43">
        <f>IF(HL$4=1,IF(OR(INDEX('×入力'!$A$1:$L$1300,931+HL$3,2+HL$2)&lt;&gt;"",INDEX('×入力'!$A$1:$L$1300,930,2+HL$2)&lt;&gt;"",INDEX('×入力'!$A$1:$L$1300,931+HL$3,1)&lt;&gt;""),1,0),0)</f>
        <v/>
      </c>
      <c r="HM43">
        <f>IF(HM$4=1,IF(OR(INDEX('×入力'!$A$1:$L$1300,931+HM$3,2+HM$2)&lt;&gt;"",INDEX('×入力'!$A$1:$L$1300,930,2+HM$2)&lt;&gt;"",INDEX('×入力'!$A$1:$L$1300,931+HM$3,1)&lt;&gt;""),1,0),0)</f>
        <v/>
      </c>
      <c r="HN43">
        <f>IF(HN$4=1,IF(OR(INDEX('×入力'!$A$1:$L$1300,931+HN$3,2+HN$2)&lt;&gt;"",INDEX('×入力'!$A$1:$L$1300,930,2+HN$2)&lt;&gt;"",INDEX('×入力'!$A$1:$L$1300,931+HN$3,1)&lt;&gt;""),1,0),0)</f>
        <v/>
      </c>
      <c r="HO43">
        <f>IF(HO$4=1,IF(OR(INDEX('×入力'!$A$1:$L$1300,931+HO$3,2+HO$2)&lt;&gt;"",INDEX('×入力'!$A$1:$L$1300,930,2+HO$2)&lt;&gt;"",INDEX('×入力'!$A$1:$L$1300,931+HO$3,1)&lt;&gt;""),1,0),0)</f>
        <v/>
      </c>
      <c r="HP43">
        <f>IF(HP$4=1,IF(OR(INDEX('×入力'!$A$1:$L$1300,931+HP$3,2+HP$2)&lt;&gt;"",INDEX('×入力'!$A$1:$L$1300,930,2+HP$2)&lt;&gt;"",INDEX('×入力'!$A$1:$L$1300,931+HP$3,1)&lt;&gt;""),1,0),0)</f>
        <v/>
      </c>
      <c r="HQ43">
        <f>IF(HQ$4=1,IF(OR(INDEX('×入力'!$A$1:$L$1300,931+HQ$3,2+HQ$2)&lt;&gt;"",INDEX('×入力'!$A$1:$L$1300,930,2+HQ$2)&lt;&gt;"",INDEX('×入力'!$A$1:$L$1300,931+HQ$3,1)&lt;&gt;""),1,0),0)</f>
        <v/>
      </c>
      <c r="HR43">
        <f>IF(HR$4=1,IF(OR(INDEX('×入力'!$A$1:$L$1300,931+HR$3,2+HR$2)&lt;&gt;"",INDEX('×入力'!$A$1:$L$1300,930,2+HR$2)&lt;&gt;"",INDEX('×入力'!$A$1:$L$1300,931+HR$3,1)&lt;&gt;""),1,0),0)</f>
        <v/>
      </c>
      <c r="HS43">
        <f>IF(HS$4=1,IF(OR(INDEX('×入力'!$A$1:$L$1300,931+HS$3,2+HS$2)&lt;&gt;"",INDEX('×入力'!$A$1:$L$1300,930,2+HS$2)&lt;&gt;"",INDEX('×入力'!$A$1:$L$1300,931+HS$3,1)&lt;&gt;""),1,0),0)</f>
        <v/>
      </c>
      <c r="HT43">
        <f>IF(HT$4=1,IF(OR(INDEX('×入力'!$A$1:$L$1300,931+HT$3,2+HT$2)&lt;&gt;"",INDEX('×入力'!$A$1:$L$1300,930,2+HT$2)&lt;&gt;"",INDEX('×入力'!$A$1:$L$1300,931+HT$3,1)&lt;&gt;""),1,0),0)</f>
        <v/>
      </c>
      <c r="HU43">
        <f>IF(HU$4=1,IF(OR(INDEX('×入力'!$A$1:$L$1300,931+HU$3,2+HU$2)&lt;&gt;"",INDEX('×入力'!$A$1:$L$1300,930,2+HU$2)&lt;&gt;"",INDEX('×入力'!$A$1:$L$1300,931+HU$3,1)&lt;&gt;""),1,0),0)</f>
        <v/>
      </c>
      <c r="HV43">
        <f>IF(HV$4=1,IF(OR(INDEX('×入力'!$A$1:$L$1300,931+HV$3,2+HV$2)&lt;&gt;"",INDEX('×入力'!$A$1:$L$1300,930,2+HV$2)&lt;&gt;"",INDEX('×入力'!$A$1:$L$1300,931+HV$3,1)&lt;&gt;""),1,0),0)</f>
        <v/>
      </c>
      <c r="HW43">
        <f>IF(HW$4=1,IF(OR(INDEX('×入力'!$A$1:$L$1300,931+HW$3,2+HW$2)&lt;&gt;"",INDEX('×入力'!$A$1:$L$1300,930,2+HW$2)&lt;&gt;"",INDEX('×入力'!$A$1:$L$1300,931+HW$3,1)&lt;&gt;""),1,0),0)</f>
        <v/>
      </c>
      <c r="HX43">
        <f>IF(HX$4=1,IF(OR(INDEX('×入力'!$A$1:$L$1300,931+HX$3,2+HX$2)&lt;&gt;"",INDEX('×入力'!$A$1:$L$1300,930,2+HX$2)&lt;&gt;"",INDEX('×入力'!$A$1:$L$1300,931+HX$3,1)&lt;&gt;""),1,0),0)</f>
        <v/>
      </c>
      <c r="HY43">
        <f>IF(HY$4=1,IF(OR(INDEX('×入力'!$A$1:$L$1300,931+HY$3,2+HY$2)&lt;&gt;"",INDEX('×入力'!$A$1:$L$1300,930,2+HY$2)&lt;&gt;"",INDEX('×入力'!$A$1:$L$1300,931+HY$3,1)&lt;&gt;""),1,0),0)</f>
        <v/>
      </c>
      <c r="HZ43">
        <f>IF(HZ$4=1,IF(OR(INDEX('×入力'!$A$1:$L$1300,931+HZ$3,2+HZ$2)&lt;&gt;"",INDEX('×入力'!$A$1:$L$1300,930,2+HZ$2)&lt;&gt;"",INDEX('×入力'!$A$1:$L$1300,931+HZ$3,1)&lt;&gt;""),1,0),0)</f>
        <v/>
      </c>
      <c r="IA43">
        <f>IF(IA$4=1,IF(OR(INDEX('×入力'!$A$1:$L$1300,931+IA$3,2+IA$2)&lt;&gt;"",INDEX('×入力'!$A$1:$L$1300,930,2+IA$2)&lt;&gt;"",INDEX('×入力'!$A$1:$L$1300,931+IA$3,1)&lt;&gt;""),1,0),0)</f>
        <v/>
      </c>
      <c r="IB43">
        <f>IF(IB$4=1,IF(OR(INDEX('×入力'!$A$1:$L$1300,931+IB$3,2+IB$2)&lt;&gt;"",INDEX('×入力'!$A$1:$L$1300,930,2+IB$2)&lt;&gt;"",INDEX('×入力'!$A$1:$L$1300,931+IB$3,1)&lt;&gt;""),1,0),0)</f>
        <v/>
      </c>
      <c r="IC43">
        <f>IF(IC$4=1,IF(OR(INDEX('×入力'!$A$1:$L$1300,931+IC$3,2+IC$2)&lt;&gt;"",INDEX('×入力'!$A$1:$L$1300,930,2+IC$2)&lt;&gt;"",INDEX('×入力'!$A$1:$L$1300,931+IC$3,1)&lt;&gt;""),1,0),0)</f>
        <v/>
      </c>
      <c r="ID43">
        <f>IF(ID$4=1,IF(OR(INDEX('×入力'!$A$1:$L$1300,931+ID$3,2+ID$2)&lt;&gt;"",INDEX('×入力'!$A$1:$L$1300,930,2+ID$2)&lt;&gt;"",INDEX('×入力'!$A$1:$L$1300,931+ID$3,1)&lt;&gt;""),1,0),0)</f>
        <v/>
      </c>
      <c r="IE43">
        <f>IF(IE$4=1,IF(OR(INDEX('×入力'!$A$1:$L$1300,931+IE$3,2+IE$2)&lt;&gt;"",INDEX('×入力'!$A$1:$L$1300,930,2+IE$2)&lt;&gt;"",INDEX('×入力'!$A$1:$L$1300,931+IE$3,1)&lt;&gt;""),1,0),0)</f>
        <v/>
      </c>
      <c r="IF43">
        <f>IF(IF$4=1,IF(OR(INDEX('×入力'!$A$1:$L$1300,931+IF$3,2+IF$2)&lt;&gt;"",INDEX('×入力'!$A$1:$L$1300,930,2+IF$2)&lt;&gt;"",INDEX('×入力'!$A$1:$L$1300,931+IF$3,1)&lt;&gt;""),1,0),0)</f>
        <v/>
      </c>
      <c r="IG43">
        <f>IF(IG$4=1,IF(OR(INDEX('×入力'!$A$1:$L$1300,931+IG$3,2+IG$2)&lt;&gt;"",INDEX('×入力'!$A$1:$L$1300,930,2+IG$2)&lt;&gt;"",INDEX('×入力'!$A$1:$L$1300,931+IG$3,1)&lt;&gt;""),1,0),0)</f>
        <v/>
      </c>
      <c r="IH43">
        <f>IF(IH$4=1,IF(OR(INDEX('×入力'!$A$1:$L$1300,931+IH$3,2+IH$2)&lt;&gt;"",INDEX('×入力'!$A$1:$L$1300,930,2+IH$2)&lt;&gt;"",INDEX('×入力'!$A$1:$L$1300,931+IH$3,1)&lt;&gt;""),1,0),0)</f>
        <v/>
      </c>
      <c r="II43">
        <f>IF(II$4=1,IF(OR(INDEX('×入力'!$A$1:$L$1300,931+II$3,2+II$2)&lt;&gt;"",INDEX('×入力'!$A$1:$L$1300,930,2+II$2)&lt;&gt;"",INDEX('×入力'!$A$1:$L$1300,931+II$3,1)&lt;&gt;""),1,0),0)</f>
        <v/>
      </c>
      <c r="IK43">
        <f>IFERROR(INDEX('計算B'!$C$3:$C$47,MATCH(A43,'計算B'!$B$3:$B$47,0)),0)</f>
        <v/>
      </c>
      <c r="IL43">
        <f>IF(AND(C43=1,IK43=0),1,0)</f>
        <v/>
      </c>
      <c r="IM43">
        <f>SUMPRODUCT(D93:II93*(1-$D$7:$II$7))</f>
        <v/>
      </c>
      <c r="IN43">
        <f>SUM(D43:II43)</f>
        <v/>
      </c>
      <c r="IO43">
        <f>IF(B43="",0,IF(COUNTIF('調整・決定'!$C$6:$L$29,B43)=1,SUMPRODUCT(('調整・決定'!$C$6:$L$29=B43)*((COLUMN('調整・決定'!$C$6:$L$29)-3)*24+ROW('調整・決定'!$C$6:$L$29)-5)),0))</f>
        <v/>
      </c>
      <c r="IP43">
        <f>IFERROR(MATCH('名簿'!E38,{"早い時刻","遅い時刻","早い日","遅い日"},0),0)</f>
        <v/>
      </c>
      <c r="IQ43">
        <f>IF('名簿'!F38="必ず空けたい",2,IF('名簿'!F38="出来れば空けたい",1,0))</f>
        <v/>
      </c>
    </row>
    <row r="44">
      <c r="A44" t="n">
        <v>35</v>
      </c>
      <c r="B44">
        <f>'名簿'!G39</f>
        <v/>
      </c>
      <c r="C44">
        <f>IF(AND(B44&lt;&gt;"",OR('名簿'!H39="入力済み",'名簿'!H39="×なし"),IO44=0,COUNTIF('調整・決定'!$C$6:$L$29,B44)=0),1,0)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ER44">
        <f>IF(ER$4=1,IF(OR(INDEX('×入力'!$A$1:$L$1300,959+ER$3,2+ER$2)&lt;&gt;"",INDEX('×入力'!$A$1:$L$1300,958,2+ER$2)&lt;&gt;"",INDEX('×入力'!$A$1:$L$1300,959+ER$3,1)&lt;&gt;""),1,0),0)</f>
        <v/>
      </c>
      <c r="ES44">
        <f>IF(ES$4=1,IF(OR(INDEX('×入力'!$A$1:$L$1300,959+ES$3,2+ES$2)&lt;&gt;"",INDEX('×入力'!$A$1:$L$1300,958,2+ES$2)&lt;&gt;"",INDEX('×入力'!$A$1:$L$1300,959+ES$3,1)&lt;&gt;""),1,0),0)</f>
        <v/>
      </c>
      <c r="ET44">
        <f>IF(ET$4=1,IF(OR(INDEX('×入力'!$A$1:$L$1300,959+ET$3,2+ET$2)&lt;&gt;"",INDEX('×入力'!$A$1:$L$1300,958,2+ET$2)&lt;&gt;"",INDEX('×入力'!$A$1:$L$1300,959+ET$3,1)&lt;&gt;""),1,0),0)</f>
        <v/>
      </c>
      <c r="EU44">
        <f>IF(EU$4=1,IF(OR(INDEX('×入力'!$A$1:$L$1300,959+EU$3,2+EU$2)&lt;&gt;"",INDEX('×入力'!$A$1:$L$1300,958,2+EU$2)&lt;&gt;"",INDEX('×入力'!$A$1:$L$1300,959+EU$3,1)&lt;&gt;""),1,0),0)</f>
        <v/>
      </c>
      <c r="EV44">
        <f>IF(EV$4=1,IF(OR(INDEX('×入力'!$A$1:$L$1300,959+EV$3,2+EV$2)&lt;&gt;"",INDEX('×入力'!$A$1:$L$1300,958,2+EV$2)&lt;&gt;"",INDEX('×入力'!$A$1:$L$1300,959+EV$3,1)&lt;&gt;""),1,0),0)</f>
        <v/>
      </c>
      <c r="EW44">
        <f>IF(EW$4=1,IF(OR(INDEX('×入力'!$A$1:$L$1300,959+EW$3,2+EW$2)&lt;&gt;"",INDEX('×入力'!$A$1:$L$1300,958,2+EW$2)&lt;&gt;"",INDEX('×入力'!$A$1:$L$1300,959+EW$3,1)&lt;&gt;""),1,0),0)</f>
        <v/>
      </c>
      <c r="EX44">
        <f>IF(EX$4=1,IF(OR(INDEX('×入力'!$A$1:$L$1300,959+EX$3,2+EX$2)&lt;&gt;"",INDEX('×入力'!$A$1:$L$1300,958,2+EX$2)&lt;&gt;"",INDEX('×入力'!$A$1:$L$1300,959+EX$3,1)&lt;&gt;""),1,0),0)</f>
        <v/>
      </c>
      <c r="EY44">
        <f>IF(EY$4=1,IF(OR(INDEX('×入力'!$A$1:$L$1300,959+EY$3,2+EY$2)&lt;&gt;"",INDEX('×入力'!$A$1:$L$1300,958,2+EY$2)&lt;&gt;"",INDEX('×入力'!$A$1:$L$1300,959+EY$3,1)&lt;&gt;""),1,0),0)</f>
        <v/>
      </c>
      <c r="EZ44">
        <f>IF(EZ$4=1,IF(OR(INDEX('×入力'!$A$1:$L$1300,959+EZ$3,2+EZ$2)&lt;&gt;"",INDEX('×入力'!$A$1:$L$1300,958,2+EZ$2)&lt;&gt;"",INDEX('×入力'!$A$1:$L$1300,959+EZ$3,1)&lt;&gt;""),1,0),0)</f>
        <v/>
      </c>
      <c r="FA44">
        <f>IF(FA$4=1,IF(OR(INDEX('×入力'!$A$1:$L$1300,959+FA$3,2+FA$2)&lt;&gt;"",INDEX('×入力'!$A$1:$L$1300,958,2+FA$2)&lt;&gt;"",INDEX('×入力'!$A$1:$L$1300,959+FA$3,1)&lt;&gt;""),1,0),0)</f>
        <v/>
      </c>
      <c r="FB44">
        <f>IF(FB$4=1,IF(OR(INDEX('×入力'!$A$1:$L$1300,959+FB$3,2+FB$2)&lt;&gt;"",INDEX('×入力'!$A$1:$L$1300,958,2+FB$2)&lt;&gt;"",INDEX('×入力'!$A$1:$L$1300,959+FB$3,1)&lt;&gt;""),1,0),0)</f>
        <v/>
      </c>
      <c r="FC44">
        <f>IF(FC$4=1,IF(OR(INDEX('×入力'!$A$1:$L$1300,959+FC$3,2+FC$2)&lt;&gt;"",INDEX('×入力'!$A$1:$L$1300,958,2+FC$2)&lt;&gt;"",INDEX('×入力'!$A$1:$L$1300,959+FC$3,1)&lt;&gt;""),1,0),0)</f>
        <v/>
      </c>
      <c r="FD44">
        <f>IF(FD$4=1,IF(OR(INDEX('×入力'!$A$1:$L$1300,959+FD$3,2+FD$2)&lt;&gt;"",INDEX('×入力'!$A$1:$L$1300,958,2+FD$2)&lt;&gt;"",INDEX('×入力'!$A$1:$L$1300,959+FD$3,1)&lt;&gt;""),1,0),0)</f>
        <v/>
      </c>
      <c r="FE44">
        <f>IF(FE$4=1,IF(OR(INDEX('×入力'!$A$1:$L$1300,959+FE$3,2+FE$2)&lt;&gt;"",INDEX('×入力'!$A$1:$L$1300,958,2+FE$2)&lt;&gt;"",INDEX('×入力'!$A$1:$L$1300,959+FE$3,1)&lt;&gt;""),1,0),0)</f>
        <v/>
      </c>
      <c r="FF44">
        <f>IF(FF$4=1,IF(OR(INDEX('×入力'!$A$1:$L$1300,959+FF$3,2+FF$2)&lt;&gt;"",INDEX('×入力'!$A$1:$L$1300,958,2+FF$2)&lt;&gt;"",INDEX('×入力'!$A$1:$L$1300,959+FF$3,1)&lt;&gt;""),1,0),0)</f>
        <v/>
      </c>
      <c r="FG44">
        <f>IF(FG$4=1,IF(OR(INDEX('×入力'!$A$1:$L$1300,959+FG$3,2+FG$2)&lt;&gt;"",INDEX('×入力'!$A$1:$L$1300,958,2+FG$2)&lt;&gt;"",INDEX('×入力'!$A$1:$L$1300,959+FG$3,1)&lt;&gt;""),1,0),0)</f>
        <v/>
      </c>
      <c r="FH44">
        <f>IF(FH$4=1,IF(OR(INDEX('×入力'!$A$1:$L$1300,959+FH$3,2+FH$2)&lt;&gt;"",INDEX('×入力'!$A$1:$L$1300,958,2+FH$2)&lt;&gt;"",INDEX('×入力'!$A$1:$L$1300,959+FH$3,1)&lt;&gt;""),1,0),0)</f>
        <v/>
      </c>
      <c r="FI44">
        <f>IF(FI$4=1,IF(OR(INDEX('×入力'!$A$1:$L$1300,959+FI$3,2+FI$2)&lt;&gt;"",INDEX('×入力'!$A$1:$L$1300,958,2+FI$2)&lt;&gt;"",INDEX('×入力'!$A$1:$L$1300,959+FI$3,1)&lt;&gt;""),1,0),0)</f>
        <v/>
      </c>
      <c r="FJ44">
        <f>IF(FJ$4=1,IF(OR(INDEX('×入力'!$A$1:$L$1300,959+FJ$3,2+FJ$2)&lt;&gt;"",INDEX('×入力'!$A$1:$L$1300,958,2+FJ$2)&lt;&gt;"",INDEX('×入力'!$A$1:$L$1300,959+FJ$3,1)&lt;&gt;""),1,0),0)</f>
        <v/>
      </c>
      <c r="FK44">
        <f>IF(FK$4=1,IF(OR(INDEX('×入力'!$A$1:$L$1300,959+FK$3,2+FK$2)&lt;&gt;"",INDEX('×入力'!$A$1:$L$1300,958,2+FK$2)&lt;&gt;"",INDEX('×入力'!$A$1:$L$1300,959+FK$3,1)&lt;&gt;""),1,0),0)</f>
        <v/>
      </c>
      <c r="FL44">
        <f>IF(FL$4=1,IF(OR(INDEX('×入力'!$A$1:$L$1300,959+FL$3,2+FL$2)&lt;&gt;"",INDEX('×入力'!$A$1:$L$1300,958,2+FL$2)&lt;&gt;"",INDEX('×入力'!$A$1:$L$1300,959+FL$3,1)&lt;&gt;""),1,0),0)</f>
        <v/>
      </c>
      <c r="FM44">
        <f>IF(FM$4=1,IF(OR(INDEX('×入力'!$A$1:$L$1300,959+FM$3,2+FM$2)&lt;&gt;"",INDEX('×入力'!$A$1:$L$1300,958,2+FM$2)&lt;&gt;"",INDEX('×入力'!$A$1:$L$1300,959+FM$3,1)&lt;&gt;""),1,0),0)</f>
        <v/>
      </c>
      <c r="FN44">
        <f>IF(FN$4=1,IF(OR(INDEX('×入力'!$A$1:$L$1300,959+FN$3,2+FN$2)&lt;&gt;"",INDEX('×入力'!$A$1:$L$1300,958,2+FN$2)&lt;&gt;"",INDEX('×入力'!$A$1:$L$1300,959+FN$3,1)&lt;&gt;""),1,0),0)</f>
        <v/>
      </c>
      <c r="FO44">
        <f>IF(FO$4=1,IF(OR(INDEX('×入力'!$A$1:$L$1300,959+FO$3,2+FO$2)&lt;&gt;"",INDEX('×入力'!$A$1:$L$1300,958,2+FO$2)&lt;&gt;"",INDEX('×入力'!$A$1:$L$1300,959+FO$3,1)&lt;&gt;""),1,0),0)</f>
        <v/>
      </c>
      <c r="FP44">
        <f>IF(FP$4=1,IF(OR(INDEX('×入力'!$A$1:$L$1300,959+FP$3,2+FP$2)&lt;&gt;"",INDEX('×入力'!$A$1:$L$1300,958,2+FP$2)&lt;&gt;"",INDEX('×入力'!$A$1:$L$1300,959+FP$3,1)&lt;&gt;""),1,0),0)</f>
        <v/>
      </c>
      <c r="FQ44">
        <f>IF(FQ$4=1,IF(OR(INDEX('×入力'!$A$1:$L$1300,959+FQ$3,2+FQ$2)&lt;&gt;"",INDEX('×入力'!$A$1:$L$1300,958,2+FQ$2)&lt;&gt;"",INDEX('×入力'!$A$1:$L$1300,959+FQ$3,1)&lt;&gt;""),1,0),0)</f>
        <v/>
      </c>
      <c r="FR44">
        <f>IF(FR$4=1,IF(OR(INDEX('×入力'!$A$1:$L$1300,959+FR$3,2+FR$2)&lt;&gt;"",INDEX('×入力'!$A$1:$L$1300,958,2+FR$2)&lt;&gt;"",INDEX('×入力'!$A$1:$L$1300,959+FR$3,1)&lt;&gt;""),1,0),0)</f>
        <v/>
      </c>
      <c r="FS44">
        <f>IF(FS$4=1,IF(OR(INDEX('×入力'!$A$1:$L$1300,959+FS$3,2+FS$2)&lt;&gt;"",INDEX('×入力'!$A$1:$L$1300,958,2+FS$2)&lt;&gt;"",INDEX('×入力'!$A$1:$L$1300,959+FS$3,1)&lt;&gt;""),1,0),0)</f>
        <v/>
      </c>
      <c r="FT44">
        <f>IF(FT$4=1,IF(OR(INDEX('×入力'!$A$1:$L$1300,959+FT$3,2+FT$2)&lt;&gt;"",INDEX('×入力'!$A$1:$L$1300,958,2+FT$2)&lt;&gt;"",INDEX('×入力'!$A$1:$L$1300,959+FT$3,1)&lt;&gt;""),1,0),0)</f>
        <v/>
      </c>
      <c r="FU44">
        <f>IF(FU$4=1,IF(OR(INDEX('×入力'!$A$1:$L$1300,959+FU$3,2+FU$2)&lt;&gt;"",INDEX('×入力'!$A$1:$L$1300,958,2+FU$2)&lt;&gt;"",INDEX('×入力'!$A$1:$L$1300,959+FU$3,1)&lt;&gt;""),1,0),0)</f>
        <v/>
      </c>
      <c r="FV44">
        <f>IF(FV$4=1,IF(OR(INDEX('×入力'!$A$1:$L$1300,959+FV$3,2+FV$2)&lt;&gt;"",INDEX('×入力'!$A$1:$L$1300,958,2+FV$2)&lt;&gt;"",INDEX('×入力'!$A$1:$L$1300,959+FV$3,1)&lt;&gt;""),1,0),0)</f>
        <v/>
      </c>
      <c r="FW44">
        <f>IF(FW$4=1,IF(OR(INDEX('×入力'!$A$1:$L$1300,959+FW$3,2+FW$2)&lt;&gt;"",INDEX('×入力'!$A$1:$L$1300,958,2+FW$2)&lt;&gt;"",INDEX('×入力'!$A$1:$L$1300,959+FW$3,1)&lt;&gt;""),1,0),0)</f>
        <v/>
      </c>
      <c r="FX44">
        <f>IF(FX$4=1,IF(OR(INDEX('×入力'!$A$1:$L$1300,959+FX$3,2+FX$2)&lt;&gt;"",INDEX('×入力'!$A$1:$L$1300,958,2+FX$2)&lt;&gt;"",INDEX('×入力'!$A$1:$L$1300,959+FX$3,1)&lt;&gt;""),1,0),0)</f>
        <v/>
      </c>
      <c r="FY44">
        <f>IF(FY$4=1,IF(OR(INDEX('×入力'!$A$1:$L$1300,959+FY$3,2+FY$2)&lt;&gt;"",INDEX('×入力'!$A$1:$L$1300,958,2+FY$2)&lt;&gt;"",INDEX('×入力'!$A$1:$L$1300,959+FY$3,1)&lt;&gt;""),1,0),0)</f>
        <v/>
      </c>
      <c r="FZ44">
        <f>IF(FZ$4=1,IF(OR(INDEX('×入力'!$A$1:$L$1300,959+FZ$3,2+FZ$2)&lt;&gt;"",INDEX('×入力'!$A$1:$L$1300,958,2+FZ$2)&lt;&gt;"",INDEX('×入力'!$A$1:$L$1300,959+FZ$3,1)&lt;&gt;""),1,0),0)</f>
        <v/>
      </c>
      <c r="GA44">
        <f>IF(GA$4=1,IF(OR(INDEX('×入力'!$A$1:$L$1300,959+GA$3,2+GA$2)&lt;&gt;"",INDEX('×入力'!$A$1:$L$1300,958,2+GA$2)&lt;&gt;"",INDEX('×入力'!$A$1:$L$1300,959+GA$3,1)&lt;&gt;""),1,0),0)</f>
        <v/>
      </c>
      <c r="GB44">
        <f>IF(GB$4=1,IF(OR(INDEX('×入力'!$A$1:$L$1300,959+GB$3,2+GB$2)&lt;&gt;"",INDEX('×入力'!$A$1:$L$1300,958,2+GB$2)&lt;&gt;"",INDEX('×入力'!$A$1:$L$1300,959+GB$3,1)&lt;&gt;""),1,0),0)</f>
        <v/>
      </c>
      <c r="GC44">
        <f>IF(GC$4=1,IF(OR(INDEX('×入力'!$A$1:$L$1300,959+GC$3,2+GC$2)&lt;&gt;"",INDEX('×入力'!$A$1:$L$1300,958,2+GC$2)&lt;&gt;"",INDEX('×入力'!$A$1:$L$1300,959+GC$3,1)&lt;&gt;""),1,0),0)</f>
        <v/>
      </c>
      <c r="GD44">
        <f>IF(GD$4=1,IF(OR(INDEX('×入力'!$A$1:$L$1300,959+GD$3,2+GD$2)&lt;&gt;"",INDEX('×入力'!$A$1:$L$1300,958,2+GD$2)&lt;&gt;"",INDEX('×入力'!$A$1:$L$1300,959+GD$3,1)&lt;&gt;""),1,0),0)</f>
        <v/>
      </c>
      <c r="GE44">
        <f>IF(GE$4=1,IF(OR(INDEX('×入力'!$A$1:$L$1300,959+GE$3,2+GE$2)&lt;&gt;"",INDEX('×入力'!$A$1:$L$1300,958,2+GE$2)&lt;&gt;"",INDEX('×入力'!$A$1:$L$1300,959+GE$3,1)&lt;&gt;""),1,0),0)</f>
        <v/>
      </c>
      <c r="GF44">
        <f>IF(GF$4=1,IF(OR(INDEX('×入力'!$A$1:$L$1300,959+GF$3,2+GF$2)&lt;&gt;"",INDEX('×入力'!$A$1:$L$1300,958,2+GF$2)&lt;&gt;"",INDEX('×入力'!$A$1:$L$1300,959+GF$3,1)&lt;&gt;""),1,0),0)</f>
        <v/>
      </c>
      <c r="GG44">
        <f>IF(GG$4=1,IF(OR(INDEX('×入力'!$A$1:$L$1300,959+GG$3,2+GG$2)&lt;&gt;"",INDEX('×入力'!$A$1:$L$1300,958,2+GG$2)&lt;&gt;"",INDEX('×入力'!$A$1:$L$1300,959+GG$3,1)&lt;&gt;""),1,0),0)</f>
        <v/>
      </c>
      <c r="GH44">
        <f>IF(GH$4=1,IF(OR(INDEX('×入力'!$A$1:$L$1300,959+GH$3,2+GH$2)&lt;&gt;"",INDEX('×入力'!$A$1:$L$1300,958,2+GH$2)&lt;&gt;"",INDEX('×入力'!$A$1:$L$1300,959+GH$3,1)&lt;&gt;""),1,0),0)</f>
        <v/>
      </c>
      <c r="GI44">
        <f>IF(GI$4=1,IF(OR(INDEX('×入力'!$A$1:$L$1300,959+GI$3,2+GI$2)&lt;&gt;"",INDEX('×入力'!$A$1:$L$1300,958,2+GI$2)&lt;&gt;"",INDEX('×入力'!$A$1:$L$1300,959+GI$3,1)&lt;&gt;""),1,0),0)</f>
        <v/>
      </c>
      <c r="GJ44">
        <f>IF(GJ$4=1,IF(OR(INDEX('×入力'!$A$1:$L$1300,959+GJ$3,2+GJ$2)&lt;&gt;"",INDEX('×入力'!$A$1:$L$1300,958,2+GJ$2)&lt;&gt;"",INDEX('×入力'!$A$1:$L$1300,959+GJ$3,1)&lt;&gt;""),1,0),0)</f>
        <v/>
      </c>
      <c r="GK44">
        <f>IF(GK$4=1,IF(OR(INDEX('×入力'!$A$1:$L$1300,959+GK$3,2+GK$2)&lt;&gt;"",INDEX('×入力'!$A$1:$L$1300,958,2+GK$2)&lt;&gt;"",INDEX('×入力'!$A$1:$L$1300,959+GK$3,1)&lt;&gt;""),1,0),0)</f>
        <v/>
      </c>
      <c r="GL44">
        <f>IF(GL$4=1,IF(OR(INDEX('×入力'!$A$1:$L$1300,959+GL$3,2+GL$2)&lt;&gt;"",INDEX('×入力'!$A$1:$L$1300,958,2+GL$2)&lt;&gt;"",INDEX('×入力'!$A$1:$L$1300,959+GL$3,1)&lt;&gt;""),1,0),0)</f>
        <v/>
      </c>
      <c r="GM44">
        <f>IF(GM$4=1,IF(OR(INDEX('×入力'!$A$1:$L$1300,959+GM$3,2+GM$2)&lt;&gt;"",INDEX('×入力'!$A$1:$L$1300,958,2+GM$2)&lt;&gt;"",INDEX('×入力'!$A$1:$L$1300,959+GM$3,1)&lt;&gt;""),1,0),0)</f>
        <v/>
      </c>
      <c r="GN44">
        <f>IF(GN$4=1,IF(OR(INDEX('×入力'!$A$1:$L$1300,959+GN$3,2+GN$2)&lt;&gt;"",INDEX('×入力'!$A$1:$L$1300,958,2+GN$2)&lt;&gt;"",INDEX('×入力'!$A$1:$L$1300,959+GN$3,1)&lt;&gt;""),1,0),0)</f>
        <v/>
      </c>
      <c r="GO44">
        <f>IF(GO$4=1,IF(OR(INDEX('×入力'!$A$1:$L$1300,959+GO$3,2+GO$2)&lt;&gt;"",INDEX('×入力'!$A$1:$L$1300,958,2+GO$2)&lt;&gt;"",INDEX('×入力'!$A$1:$L$1300,959+GO$3,1)&lt;&gt;""),1,0),0)</f>
        <v/>
      </c>
      <c r="GP44">
        <f>IF(GP$4=1,IF(OR(INDEX('×入力'!$A$1:$L$1300,959+GP$3,2+GP$2)&lt;&gt;"",INDEX('×入力'!$A$1:$L$1300,958,2+GP$2)&lt;&gt;"",INDEX('×入力'!$A$1:$L$1300,959+GP$3,1)&lt;&gt;""),1,0),0)</f>
        <v/>
      </c>
      <c r="GQ44">
        <f>IF(GQ$4=1,IF(OR(INDEX('×入力'!$A$1:$L$1300,959+GQ$3,2+GQ$2)&lt;&gt;"",INDEX('×入力'!$A$1:$L$1300,958,2+GQ$2)&lt;&gt;"",INDEX('×入力'!$A$1:$L$1300,959+GQ$3,1)&lt;&gt;""),1,0),0)</f>
        <v/>
      </c>
      <c r="GR44">
        <f>IF(GR$4=1,IF(OR(INDEX('×入力'!$A$1:$L$1300,959+GR$3,2+GR$2)&lt;&gt;"",INDEX('×入力'!$A$1:$L$1300,958,2+GR$2)&lt;&gt;"",INDEX('×入力'!$A$1:$L$1300,959+GR$3,1)&lt;&gt;""),1,0),0)</f>
        <v/>
      </c>
      <c r="GS44">
        <f>IF(GS$4=1,IF(OR(INDEX('×入力'!$A$1:$L$1300,959+GS$3,2+GS$2)&lt;&gt;"",INDEX('×入力'!$A$1:$L$1300,958,2+GS$2)&lt;&gt;"",INDEX('×入力'!$A$1:$L$1300,959+GS$3,1)&lt;&gt;""),1,0),0)</f>
        <v/>
      </c>
      <c r="GT44">
        <f>IF(GT$4=1,IF(OR(INDEX('×入力'!$A$1:$L$1300,959+GT$3,2+GT$2)&lt;&gt;"",INDEX('×入力'!$A$1:$L$1300,958,2+GT$2)&lt;&gt;"",INDEX('×入力'!$A$1:$L$1300,959+GT$3,1)&lt;&gt;""),1,0),0)</f>
        <v/>
      </c>
      <c r="GU44">
        <f>IF(GU$4=1,IF(OR(INDEX('×入力'!$A$1:$L$1300,959+GU$3,2+GU$2)&lt;&gt;"",INDEX('×入力'!$A$1:$L$1300,958,2+GU$2)&lt;&gt;"",INDEX('×入力'!$A$1:$L$1300,959+GU$3,1)&lt;&gt;""),1,0),0)</f>
        <v/>
      </c>
      <c r="GV44">
        <f>IF(GV$4=1,IF(OR(INDEX('×入力'!$A$1:$L$1300,959+GV$3,2+GV$2)&lt;&gt;"",INDEX('×入力'!$A$1:$L$1300,958,2+GV$2)&lt;&gt;"",INDEX('×入力'!$A$1:$L$1300,959+GV$3,1)&lt;&gt;""),1,0),0)</f>
        <v/>
      </c>
      <c r="GW44">
        <f>IF(GW$4=1,IF(OR(INDEX('×入力'!$A$1:$L$1300,959+GW$3,2+GW$2)&lt;&gt;"",INDEX('×入力'!$A$1:$L$1300,958,2+GW$2)&lt;&gt;"",INDEX('×入力'!$A$1:$L$1300,959+GW$3,1)&lt;&gt;""),1,0),0)</f>
        <v/>
      </c>
      <c r="GX44">
        <f>IF(GX$4=1,IF(OR(INDEX('×入力'!$A$1:$L$1300,959+GX$3,2+GX$2)&lt;&gt;"",INDEX('×入力'!$A$1:$L$1300,958,2+GX$2)&lt;&gt;"",INDEX('×入力'!$A$1:$L$1300,959+GX$3,1)&lt;&gt;""),1,0),0)</f>
        <v/>
      </c>
      <c r="GY44">
        <f>IF(GY$4=1,IF(OR(INDEX('×入力'!$A$1:$L$1300,959+GY$3,2+GY$2)&lt;&gt;"",INDEX('×入力'!$A$1:$L$1300,958,2+GY$2)&lt;&gt;"",INDEX('×入力'!$A$1:$L$1300,959+GY$3,1)&lt;&gt;""),1,0),0)</f>
        <v/>
      </c>
      <c r="GZ44">
        <f>IF(GZ$4=1,IF(OR(INDEX('×入力'!$A$1:$L$1300,959+GZ$3,2+GZ$2)&lt;&gt;"",INDEX('×入力'!$A$1:$L$1300,958,2+GZ$2)&lt;&gt;"",INDEX('×入力'!$A$1:$L$1300,959+GZ$3,1)&lt;&gt;""),1,0),0)</f>
        <v/>
      </c>
      <c r="HA44">
        <f>IF(HA$4=1,IF(OR(INDEX('×入力'!$A$1:$L$1300,959+HA$3,2+HA$2)&lt;&gt;"",INDEX('×入力'!$A$1:$L$1300,958,2+HA$2)&lt;&gt;"",INDEX('×入力'!$A$1:$L$1300,959+HA$3,1)&lt;&gt;""),1,0),0)</f>
        <v/>
      </c>
      <c r="HB44">
        <f>IF(HB$4=1,IF(OR(INDEX('×入力'!$A$1:$L$1300,959+HB$3,2+HB$2)&lt;&gt;"",INDEX('×入力'!$A$1:$L$1300,958,2+HB$2)&lt;&gt;"",INDEX('×入力'!$A$1:$L$1300,959+HB$3,1)&lt;&gt;""),1,0),0)</f>
        <v/>
      </c>
      <c r="HC44">
        <f>IF(HC$4=1,IF(OR(INDEX('×入力'!$A$1:$L$1300,959+HC$3,2+HC$2)&lt;&gt;"",INDEX('×入力'!$A$1:$L$1300,958,2+HC$2)&lt;&gt;"",INDEX('×入力'!$A$1:$L$1300,959+HC$3,1)&lt;&gt;""),1,0),0)</f>
        <v/>
      </c>
      <c r="HD44">
        <f>IF(HD$4=1,IF(OR(INDEX('×入力'!$A$1:$L$1300,959+HD$3,2+HD$2)&lt;&gt;"",INDEX('×入力'!$A$1:$L$1300,958,2+HD$2)&lt;&gt;"",INDEX('×入力'!$A$1:$L$1300,959+HD$3,1)&lt;&gt;""),1,0),0)</f>
        <v/>
      </c>
      <c r="HE44">
        <f>IF(HE$4=1,IF(OR(INDEX('×入力'!$A$1:$L$1300,959+HE$3,2+HE$2)&lt;&gt;"",INDEX('×入力'!$A$1:$L$1300,958,2+HE$2)&lt;&gt;"",INDEX('×入力'!$A$1:$L$1300,959+HE$3,1)&lt;&gt;""),1,0),0)</f>
        <v/>
      </c>
      <c r="HF44">
        <f>IF(HF$4=1,IF(OR(INDEX('×入力'!$A$1:$L$1300,959+HF$3,2+HF$2)&lt;&gt;"",INDEX('×入力'!$A$1:$L$1300,958,2+HF$2)&lt;&gt;"",INDEX('×入力'!$A$1:$L$1300,959+HF$3,1)&lt;&gt;""),1,0),0)</f>
        <v/>
      </c>
      <c r="HG44">
        <f>IF(HG$4=1,IF(OR(INDEX('×入力'!$A$1:$L$1300,959+HG$3,2+HG$2)&lt;&gt;"",INDEX('×入力'!$A$1:$L$1300,958,2+HG$2)&lt;&gt;"",INDEX('×入力'!$A$1:$L$1300,959+HG$3,1)&lt;&gt;""),1,0),0)</f>
        <v/>
      </c>
      <c r="HH44">
        <f>IF(HH$4=1,IF(OR(INDEX('×入力'!$A$1:$L$1300,959+HH$3,2+HH$2)&lt;&gt;"",INDEX('×入力'!$A$1:$L$1300,958,2+HH$2)&lt;&gt;"",INDEX('×入力'!$A$1:$L$1300,959+HH$3,1)&lt;&gt;""),1,0),0)</f>
        <v/>
      </c>
      <c r="HI44">
        <f>IF(HI$4=1,IF(OR(INDEX('×入力'!$A$1:$L$1300,959+HI$3,2+HI$2)&lt;&gt;"",INDEX('×入力'!$A$1:$L$1300,958,2+HI$2)&lt;&gt;"",INDEX('×入力'!$A$1:$L$1300,959+HI$3,1)&lt;&gt;""),1,0),0)</f>
        <v/>
      </c>
      <c r="HJ44">
        <f>IF(HJ$4=1,IF(OR(INDEX('×入力'!$A$1:$L$1300,959+HJ$3,2+HJ$2)&lt;&gt;"",INDEX('×入力'!$A$1:$L$1300,958,2+HJ$2)&lt;&gt;"",INDEX('×入力'!$A$1:$L$1300,959+HJ$3,1)&lt;&gt;""),1,0),0)</f>
        <v/>
      </c>
      <c r="HK44">
        <f>IF(HK$4=1,IF(OR(INDEX('×入力'!$A$1:$L$1300,959+HK$3,2+HK$2)&lt;&gt;"",INDEX('×入力'!$A$1:$L$1300,958,2+HK$2)&lt;&gt;"",INDEX('×入力'!$A$1:$L$1300,959+HK$3,1)&lt;&gt;""),1,0),0)</f>
        <v/>
      </c>
      <c r="HL44">
        <f>IF(HL$4=1,IF(OR(INDEX('×入力'!$A$1:$L$1300,959+HL$3,2+HL$2)&lt;&gt;"",INDEX('×入力'!$A$1:$L$1300,958,2+HL$2)&lt;&gt;"",INDEX('×入力'!$A$1:$L$1300,959+HL$3,1)&lt;&gt;""),1,0),0)</f>
        <v/>
      </c>
      <c r="HM44">
        <f>IF(HM$4=1,IF(OR(INDEX('×入力'!$A$1:$L$1300,959+HM$3,2+HM$2)&lt;&gt;"",INDEX('×入力'!$A$1:$L$1300,958,2+HM$2)&lt;&gt;"",INDEX('×入力'!$A$1:$L$1300,959+HM$3,1)&lt;&gt;""),1,0),0)</f>
        <v/>
      </c>
      <c r="HN44">
        <f>IF(HN$4=1,IF(OR(INDEX('×入力'!$A$1:$L$1300,959+HN$3,2+HN$2)&lt;&gt;"",INDEX('×入力'!$A$1:$L$1300,958,2+HN$2)&lt;&gt;"",INDEX('×入力'!$A$1:$L$1300,959+HN$3,1)&lt;&gt;""),1,0),0)</f>
        <v/>
      </c>
      <c r="HO44">
        <f>IF(HO$4=1,IF(OR(INDEX('×入力'!$A$1:$L$1300,959+HO$3,2+HO$2)&lt;&gt;"",INDEX('×入力'!$A$1:$L$1300,958,2+HO$2)&lt;&gt;"",INDEX('×入力'!$A$1:$L$1300,959+HO$3,1)&lt;&gt;""),1,0),0)</f>
        <v/>
      </c>
      <c r="HP44">
        <f>IF(HP$4=1,IF(OR(INDEX('×入力'!$A$1:$L$1300,959+HP$3,2+HP$2)&lt;&gt;"",INDEX('×入力'!$A$1:$L$1300,958,2+HP$2)&lt;&gt;"",INDEX('×入力'!$A$1:$L$1300,959+HP$3,1)&lt;&gt;""),1,0),0)</f>
        <v/>
      </c>
      <c r="HQ44">
        <f>IF(HQ$4=1,IF(OR(INDEX('×入力'!$A$1:$L$1300,959+HQ$3,2+HQ$2)&lt;&gt;"",INDEX('×入力'!$A$1:$L$1300,958,2+HQ$2)&lt;&gt;"",INDEX('×入力'!$A$1:$L$1300,959+HQ$3,1)&lt;&gt;""),1,0),0)</f>
        <v/>
      </c>
      <c r="HR44">
        <f>IF(HR$4=1,IF(OR(INDEX('×入力'!$A$1:$L$1300,959+HR$3,2+HR$2)&lt;&gt;"",INDEX('×入力'!$A$1:$L$1300,958,2+HR$2)&lt;&gt;"",INDEX('×入力'!$A$1:$L$1300,959+HR$3,1)&lt;&gt;""),1,0),0)</f>
        <v/>
      </c>
      <c r="HS44">
        <f>IF(HS$4=1,IF(OR(INDEX('×入力'!$A$1:$L$1300,959+HS$3,2+HS$2)&lt;&gt;"",INDEX('×入力'!$A$1:$L$1300,958,2+HS$2)&lt;&gt;"",INDEX('×入力'!$A$1:$L$1300,959+HS$3,1)&lt;&gt;""),1,0),0)</f>
        <v/>
      </c>
      <c r="HT44">
        <f>IF(HT$4=1,IF(OR(INDEX('×入力'!$A$1:$L$1300,959+HT$3,2+HT$2)&lt;&gt;"",INDEX('×入力'!$A$1:$L$1300,958,2+HT$2)&lt;&gt;"",INDEX('×入力'!$A$1:$L$1300,959+HT$3,1)&lt;&gt;""),1,0),0)</f>
        <v/>
      </c>
      <c r="HU44">
        <f>IF(HU$4=1,IF(OR(INDEX('×入力'!$A$1:$L$1300,959+HU$3,2+HU$2)&lt;&gt;"",INDEX('×入力'!$A$1:$L$1300,958,2+HU$2)&lt;&gt;"",INDEX('×入力'!$A$1:$L$1300,959+HU$3,1)&lt;&gt;""),1,0),0)</f>
        <v/>
      </c>
      <c r="HV44">
        <f>IF(HV$4=1,IF(OR(INDEX('×入力'!$A$1:$L$1300,959+HV$3,2+HV$2)&lt;&gt;"",INDEX('×入力'!$A$1:$L$1300,958,2+HV$2)&lt;&gt;"",INDEX('×入力'!$A$1:$L$1300,959+HV$3,1)&lt;&gt;""),1,0),0)</f>
        <v/>
      </c>
      <c r="HW44">
        <f>IF(HW$4=1,IF(OR(INDEX('×入力'!$A$1:$L$1300,959+HW$3,2+HW$2)&lt;&gt;"",INDEX('×入力'!$A$1:$L$1300,958,2+HW$2)&lt;&gt;"",INDEX('×入力'!$A$1:$L$1300,959+HW$3,1)&lt;&gt;""),1,0),0)</f>
        <v/>
      </c>
      <c r="HX44">
        <f>IF(HX$4=1,IF(OR(INDEX('×入力'!$A$1:$L$1300,959+HX$3,2+HX$2)&lt;&gt;"",INDEX('×入力'!$A$1:$L$1300,958,2+HX$2)&lt;&gt;"",INDEX('×入力'!$A$1:$L$1300,959+HX$3,1)&lt;&gt;""),1,0),0)</f>
        <v/>
      </c>
      <c r="HY44">
        <f>IF(HY$4=1,IF(OR(INDEX('×入力'!$A$1:$L$1300,959+HY$3,2+HY$2)&lt;&gt;"",INDEX('×入力'!$A$1:$L$1300,958,2+HY$2)&lt;&gt;"",INDEX('×入力'!$A$1:$L$1300,959+HY$3,1)&lt;&gt;""),1,0),0)</f>
        <v/>
      </c>
      <c r="HZ44">
        <f>IF(HZ$4=1,IF(OR(INDEX('×入力'!$A$1:$L$1300,959+HZ$3,2+HZ$2)&lt;&gt;"",INDEX('×入力'!$A$1:$L$1300,958,2+HZ$2)&lt;&gt;"",INDEX('×入力'!$A$1:$L$1300,959+HZ$3,1)&lt;&gt;""),1,0),0)</f>
        <v/>
      </c>
      <c r="IA44">
        <f>IF(IA$4=1,IF(OR(INDEX('×入力'!$A$1:$L$1300,959+IA$3,2+IA$2)&lt;&gt;"",INDEX('×入力'!$A$1:$L$1300,958,2+IA$2)&lt;&gt;"",INDEX('×入力'!$A$1:$L$1300,959+IA$3,1)&lt;&gt;""),1,0),0)</f>
        <v/>
      </c>
      <c r="IB44">
        <f>IF(IB$4=1,IF(OR(INDEX('×入力'!$A$1:$L$1300,959+IB$3,2+IB$2)&lt;&gt;"",INDEX('×入力'!$A$1:$L$1300,958,2+IB$2)&lt;&gt;"",INDEX('×入力'!$A$1:$L$1300,959+IB$3,1)&lt;&gt;""),1,0),0)</f>
        <v/>
      </c>
      <c r="IC44">
        <f>IF(IC$4=1,IF(OR(INDEX('×入力'!$A$1:$L$1300,959+IC$3,2+IC$2)&lt;&gt;"",INDEX('×入力'!$A$1:$L$1300,958,2+IC$2)&lt;&gt;"",INDEX('×入力'!$A$1:$L$1300,959+IC$3,1)&lt;&gt;""),1,0),0)</f>
        <v/>
      </c>
      <c r="ID44">
        <f>IF(ID$4=1,IF(OR(INDEX('×入力'!$A$1:$L$1300,959+ID$3,2+ID$2)&lt;&gt;"",INDEX('×入力'!$A$1:$L$1300,958,2+ID$2)&lt;&gt;"",INDEX('×入力'!$A$1:$L$1300,959+ID$3,1)&lt;&gt;""),1,0),0)</f>
        <v/>
      </c>
      <c r="IE44">
        <f>IF(IE$4=1,IF(OR(INDEX('×入力'!$A$1:$L$1300,959+IE$3,2+IE$2)&lt;&gt;"",INDEX('×入力'!$A$1:$L$1300,958,2+IE$2)&lt;&gt;"",INDEX('×入力'!$A$1:$L$1300,959+IE$3,1)&lt;&gt;""),1,0),0)</f>
        <v/>
      </c>
      <c r="IF44">
        <f>IF(IF$4=1,IF(OR(INDEX('×入力'!$A$1:$L$1300,959+IF$3,2+IF$2)&lt;&gt;"",INDEX('×入力'!$A$1:$L$1300,958,2+IF$2)&lt;&gt;"",INDEX('×入力'!$A$1:$L$1300,959+IF$3,1)&lt;&gt;""),1,0),0)</f>
        <v/>
      </c>
      <c r="IG44">
        <f>IF(IG$4=1,IF(OR(INDEX('×入力'!$A$1:$L$1300,959+IG$3,2+IG$2)&lt;&gt;"",INDEX('×入力'!$A$1:$L$1300,958,2+IG$2)&lt;&gt;"",INDEX('×入力'!$A$1:$L$1300,959+IG$3,1)&lt;&gt;""),1,0),0)</f>
        <v/>
      </c>
      <c r="IH44">
        <f>IF(IH$4=1,IF(OR(INDEX('×入力'!$A$1:$L$1300,959+IH$3,2+IH$2)&lt;&gt;"",INDEX('×入力'!$A$1:$L$1300,958,2+IH$2)&lt;&gt;"",INDEX('×入力'!$A$1:$L$1300,959+IH$3,1)&lt;&gt;""),1,0),0)</f>
        <v/>
      </c>
      <c r="II44">
        <f>IF(II$4=1,IF(OR(INDEX('×入力'!$A$1:$L$1300,959+II$3,2+II$2)&lt;&gt;"",INDEX('×入力'!$A$1:$L$1300,958,2+II$2)&lt;&gt;"",INDEX('×入力'!$A$1:$L$1300,959+II$3,1)&lt;&gt;""),1,0),0)</f>
        <v/>
      </c>
      <c r="IK44">
        <f>IFERROR(INDEX('計算B'!$C$3:$C$47,MATCH(A44,'計算B'!$B$3:$B$47,0)),0)</f>
        <v/>
      </c>
      <c r="IL44">
        <f>IF(AND(C44=1,IK44=0),1,0)</f>
        <v/>
      </c>
      <c r="IM44">
        <f>SUMPRODUCT(D94:II94*(1-$D$7:$II$7))</f>
        <v/>
      </c>
      <c r="IN44">
        <f>SUM(D44:II44)</f>
        <v/>
      </c>
      <c r="IO44">
        <f>IF(B44="",0,IF(COUNTIF('調整・決定'!$C$6:$L$29,B44)=1,SUMPRODUCT(('調整・決定'!$C$6:$L$29=B44)*((COLUMN('調整・決定'!$C$6:$L$29)-3)*24+ROW('調整・決定'!$C$6:$L$29)-5)),0))</f>
        <v/>
      </c>
      <c r="IP44">
        <f>IFERROR(MATCH('名簿'!E39,{"早い時刻","遅い時刻","早い日","遅い日"},0),0)</f>
        <v/>
      </c>
      <c r="IQ44">
        <f>IF('名簿'!F39="必ず空けたい",2,IF('名簿'!F39="出来れば空けたい",1,0))</f>
        <v/>
      </c>
    </row>
    <row r="45">
      <c r="A45" t="n">
        <v>36</v>
      </c>
      <c r="B45">
        <f>'名簿'!G40</f>
        <v/>
      </c>
      <c r="C45">
        <f>IF(AND(B45&lt;&gt;"",OR('名簿'!H40="入力済み",'名簿'!H40="×なし"),IO45=0,COUNTIF('調整・決定'!$C$6:$L$29,B45)=0),1,0)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ER45">
        <f>IF(ER$4=1,IF(OR(INDEX('×入力'!$A$1:$L$1300,987+ER$3,2+ER$2)&lt;&gt;"",INDEX('×入力'!$A$1:$L$1300,986,2+ER$2)&lt;&gt;"",INDEX('×入力'!$A$1:$L$1300,987+ER$3,1)&lt;&gt;""),1,0),0)</f>
        <v/>
      </c>
      <c r="ES45">
        <f>IF(ES$4=1,IF(OR(INDEX('×入力'!$A$1:$L$1300,987+ES$3,2+ES$2)&lt;&gt;"",INDEX('×入力'!$A$1:$L$1300,986,2+ES$2)&lt;&gt;"",INDEX('×入力'!$A$1:$L$1300,987+ES$3,1)&lt;&gt;""),1,0),0)</f>
        <v/>
      </c>
      <c r="ET45">
        <f>IF(ET$4=1,IF(OR(INDEX('×入力'!$A$1:$L$1300,987+ET$3,2+ET$2)&lt;&gt;"",INDEX('×入力'!$A$1:$L$1300,986,2+ET$2)&lt;&gt;"",INDEX('×入力'!$A$1:$L$1300,987+ET$3,1)&lt;&gt;""),1,0),0)</f>
        <v/>
      </c>
      <c r="EU45">
        <f>IF(EU$4=1,IF(OR(INDEX('×入力'!$A$1:$L$1300,987+EU$3,2+EU$2)&lt;&gt;"",INDEX('×入力'!$A$1:$L$1300,986,2+EU$2)&lt;&gt;"",INDEX('×入力'!$A$1:$L$1300,987+EU$3,1)&lt;&gt;""),1,0),0)</f>
        <v/>
      </c>
      <c r="EV45">
        <f>IF(EV$4=1,IF(OR(INDEX('×入力'!$A$1:$L$1300,987+EV$3,2+EV$2)&lt;&gt;"",INDEX('×入力'!$A$1:$L$1300,986,2+EV$2)&lt;&gt;"",INDEX('×入力'!$A$1:$L$1300,987+EV$3,1)&lt;&gt;""),1,0),0)</f>
        <v/>
      </c>
      <c r="EW45">
        <f>IF(EW$4=1,IF(OR(INDEX('×入力'!$A$1:$L$1300,987+EW$3,2+EW$2)&lt;&gt;"",INDEX('×入力'!$A$1:$L$1300,986,2+EW$2)&lt;&gt;"",INDEX('×入力'!$A$1:$L$1300,987+EW$3,1)&lt;&gt;""),1,0),0)</f>
        <v/>
      </c>
      <c r="EX45">
        <f>IF(EX$4=1,IF(OR(INDEX('×入力'!$A$1:$L$1300,987+EX$3,2+EX$2)&lt;&gt;"",INDEX('×入力'!$A$1:$L$1300,986,2+EX$2)&lt;&gt;"",INDEX('×入力'!$A$1:$L$1300,987+EX$3,1)&lt;&gt;""),1,0),0)</f>
        <v/>
      </c>
      <c r="EY45">
        <f>IF(EY$4=1,IF(OR(INDEX('×入力'!$A$1:$L$1300,987+EY$3,2+EY$2)&lt;&gt;"",INDEX('×入力'!$A$1:$L$1300,986,2+EY$2)&lt;&gt;"",INDEX('×入力'!$A$1:$L$1300,987+EY$3,1)&lt;&gt;""),1,0),0)</f>
        <v/>
      </c>
      <c r="EZ45">
        <f>IF(EZ$4=1,IF(OR(INDEX('×入力'!$A$1:$L$1300,987+EZ$3,2+EZ$2)&lt;&gt;"",INDEX('×入力'!$A$1:$L$1300,986,2+EZ$2)&lt;&gt;"",INDEX('×入力'!$A$1:$L$1300,987+EZ$3,1)&lt;&gt;""),1,0),0)</f>
        <v/>
      </c>
      <c r="FA45">
        <f>IF(FA$4=1,IF(OR(INDEX('×入力'!$A$1:$L$1300,987+FA$3,2+FA$2)&lt;&gt;"",INDEX('×入力'!$A$1:$L$1300,986,2+FA$2)&lt;&gt;"",INDEX('×入力'!$A$1:$L$1300,987+FA$3,1)&lt;&gt;""),1,0),0)</f>
        <v/>
      </c>
      <c r="FB45">
        <f>IF(FB$4=1,IF(OR(INDEX('×入力'!$A$1:$L$1300,987+FB$3,2+FB$2)&lt;&gt;"",INDEX('×入力'!$A$1:$L$1300,986,2+FB$2)&lt;&gt;"",INDEX('×入力'!$A$1:$L$1300,987+FB$3,1)&lt;&gt;""),1,0),0)</f>
        <v/>
      </c>
      <c r="FC45">
        <f>IF(FC$4=1,IF(OR(INDEX('×入力'!$A$1:$L$1300,987+FC$3,2+FC$2)&lt;&gt;"",INDEX('×入力'!$A$1:$L$1300,986,2+FC$2)&lt;&gt;"",INDEX('×入力'!$A$1:$L$1300,987+FC$3,1)&lt;&gt;""),1,0),0)</f>
        <v/>
      </c>
      <c r="FD45">
        <f>IF(FD$4=1,IF(OR(INDEX('×入力'!$A$1:$L$1300,987+FD$3,2+FD$2)&lt;&gt;"",INDEX('×入力'!$A$1:$L$1300,986,2+FD$2)&lt;&gt;"",INDEX('×入力'!$A$1:$L$1300,987+FD$3,1)&lt;&gt;""),1,0),0)</f>
        <v/>
      </c>
      <c r="FE45">
        <f>IF(FE$4=1,IF(OR(INDEX('×入力'!$A$1:$L$1300,987+FE$3,2+FE$2)&lt;&gt;"",INDEX('×入力'!$A$1:$L$1300,986,2+FE$2)&lt;&gt;"",INDEX('×入力'!$A$1:$L$1300,987+FE$3,1)&lt;&gt;""),1,0),0)</f>
        <v/>
      </c>
      <c r="FF45">
        <f>IF(FF$4=1,IF(OR(INDEX('×入力'!$A$1:$L$1300,987+FF$3,2+FF$2)&lt;&gt;"",INDEX('×入力'!$A$1:$L$1300,986,2+FF$2)&lt;&gt;"",INDEX('×入力'!$A$1:$L$1300,987+FF$3,1)&lt;&gt;""),1,0),0)</f>
        <v/>
      </c>
      <c r="FG45">
        <f>IF(FG$4=1,IF(OR(INDEX('×入力'!$A$1:$L$1300,987+FG$3,2+FG$2)&lt;&gt;"",INDEX('×入力'!$A$1:$L$1300,986,2+FG$2)&lt;&gt;"",INDEX('×入力'!$A$1:$L$1300,987+FG$3,1)&lt;&gt;""),1,0),0)</f>
        <v/>
      </c>
      <c r="FH45">
        <f>IF(FH$4=1,IF(OR(INDEX('×入力'!$A$1:$L$1300,987+FH$3,2+FH$2)&lt;&gt;"",INDEX('×入力'!$A$1:$L$1300,986,2+FH$2)&lt;&gt;"",INDEX('×入力'!$A$1:$L$1300,987+FH$3,1)&lt;&gt;""),1,0),0)</f>
        <v/>
      </c>
      <c r="FI45">
        <f>IF(FI$4=1,IF(OR(INDEX('×入力'!$A$1:$L$1300,987+FI$3,2+FI$2)&lt;&gt;"",INDEX('×入力'!$A$1:$L$1300,986,2+FI$2)&lt;&gt;"",INDEX('×入力'!$A$1:$L$1300,987+FI$3,1)&lt;&gt;""),1,0),0)</f>
        <v/>
      </c>
      <c r="FJ45">
        <f>IF(FJ$4=1,IF(OR(INDEX('×入力'!$A$1:$L$1300,987+FJ$3,2+FJ$2)&lt;&gt;"",INDEX('×入力'!$A$1:$L$1300,986,2+FJ$2)&lt;&gt;"",INDEX('×入力'!$A$1:$L$1300,987+FJ$3,1)&lt;&gt;""),1,0),0)</f>
        <v/>
      </c>
      <c r="FK45">
        <f>IF(FK$4=1,IF(OR(INDEX('×入力'!$A$1:$L$1300,987+FK$3,2+FK$2)&lt;&gt;"",INDEX('×入力'!$A$1:$L$1300,986,2+FK$2)&lt;&gt;"",INDEX('×入力'!$A$1:$L$1300,987+FK$3,1)&lt;&gt;""),1,0),0)</f>
        <v/>
      </c>
      <c r="FL45">
        <f>IF(FL$4=1,IF(OR(INDEX('×入力'!$A$1:$L$1300,987+FL$3,2+FL$2)&lt;&gt;"",INDEX('×入力'!$A$1:$L$1300,986,2+FL$2)&lt;&gt;"",INDEX('×入力'!$A$1:$L$1300,987+FL$3,1)&lt;&gt;""),1,0),0)</f>
        <v/>
      </c>
      <c r="FM45">
        <f>IF(FM$4=1,IF(OR(INDEX('×入力'!$A$1:$L$1300,987+FM$3,2+FM$2)&lt;&gt;"",INDEX('×入力'!$A$1:$L$1300,986,2+FM$2)&lt;&gt;"",INDEX('×入力'!$A$1:$L$1300,987+FM$3,1)&lt;&gt;""),1,0),0)</f>
        <v/>
      </c>
      <c r="FN45">
        <f>IF(FN$4=1,IF(OR(INDEX('×入力'!$A$1:$L$1300,987+FN$3,2+FN$2)&lt;&gt;"",INDEX('×入力'!$A$1:$L$1300,986,2+FN$2)&lt;&gt;"",INDEX('×入力'!$A$1:$L$1300,987+FN$3,1)&lt;&gt;""),1,0),0)</f>
        <v/>
      </c>
      <c r="FO45">
        <f>IF(FO$4=1,IF(OR(INDEX('×入力'!$A$1:$L$1300,987+FO$3,2+FO$2)&lt;&gt;"",INDEX('×入力'!$A$1:$L$1300,986,2+FO$2)&lt;&gt;"",INDEX('×入力'!$A$1:$L$1300,987+FO$3,1)&lt;&gt;""),1,0),0)</f>
        <v/>
      </c>
      <c r="FP45">
        <f>IF(FP$4=1,IF(OR(INDEX('×入力'!$A$1:$L$1300,987+FP$3,2+FP$2)&lt;&gt;"",INDEX('×入力'!$A$1:$L$1300,986,2+FP$2)&lt;&gt;"",INDEX('×入力'!$A$1:$L$1300,987+FP$3,1)&lt;&gt;""),1,0),0)</f>
        <v/>
      </c>
      <c r="FQ45">
        <f>IF(FQ$4=1,IF(OR(INDEX('×入力'!$A$1:$L$1300,987+FQ$3,2+FQ$2)&lt;&gt;"",INDEX('×入力'!$A$1:$L$1300,986,2+FQ$2)&lt;&gt;"",INDEX('×入力'!$A$1:$L$1300,987+FQ$3,1)&lt;&gt;""),1,0),0)</f>
        <v/>
      </c>
      <c r="FR45">
        <f>IF(FR$4=1,IF(OR(INDEX('×入力'!$A$1:$L$1300,987+FR$3,2+FR$2)&lt;&gt;"",INDEX('×入力'!$A$1:$L$1300,986,2+FR$2)&lt;&gt;"",INDEX('×入力'!$A$1:$L$1300,987+FR$3,1)&lt;&gt;""),1,0),0)</f>
        <v/>
      </c>
      <c r="FS45">
        <f>IF(FS$4=1,IF(OR(INDEX('×入力'!$A$1:$L$1300,987+FS$3,2+FS$2)&lt;&gt;"",INDEX('×入力'!$A$1:$L$1300,986,2+FS$2)&lt;&gt;"",INDEX('×入力'!$A$1:$L$1300,987+FS$3,1)&lt;&gt;""),1,0),0)</f>
        <v/>
      </c>
      <c r="FT45">
        <f>IF(FT$4=1,IF(OR(INDEX('×入力'!$A$1:$L$1300,987+FT$3,2+FT$2)&lt;&gt;"",INDEX('×入力'!$A$1:$L$1300,986,2+FT$2)&lt;&gt;"",INDEX('×入力'!$A$1:$L$1300,987+FT$3,1)&lt;&gt;""),1,0),0)</f>
        <v/>
      </c>
      <c r="FU45">
        <f>IF(FU$4=1,IF(OR(INDEX('×入力'!$A$1:$L$1300,987+FU$3,2+FU$2)&lt;&gt;"",INDEX('×入力'!$A$1:$L$1300,986,2+FU$2)&lt;&gt;"",INDEX('×入力'!$A$1:$L$1300,987+FU$3,1)&lt;&gt;""),1,0),0)</f>
        <v/>
      </c>
      <c r="FV45">
        <f>IF(FV$4=1,IF(OR(INDEX('×入力'!$A$1:$L$1300,987+FV$3,2+FV$2)&lt;&gt;"",INDEX('×入力'!$A$1:$L$1300,986,2+FV$2)&lt;&gt;"",INDEX('×入力'!$A$1:$L$1300,987+FV$3,1)&lt;&gt;""),1,0),0)</f>
        <v/>
      </c>
      <c r="FW45">
        <f>IF(FW$4=1,IF(OR(INDEX('×入力'!$A$1:$L$1300,987+FW$3,2+FW$2)&lt;&gt;"",INDEX('×入力'!$A$1:$L$1300,986,2+FW$2)&lt;&gt;"",INDEX('×入力'!$A$1:$L$1300,987+FW$3,1)&lt;&gt;""),1,0),0)</f>
        <v/>
      </c>
      <c r="FX45">
        <f>IF(FX$4=1,IF(OR(INDEX('×入力'!$A$1:$L$1300,987+FX$3,2+FX$2)&lt;&gt;"",INDEX('×入力'!$A$1:$L$1300,986,2+FX$2)&lt;&gt;"",INDEX('×入力'!$A$1:$L$1300,987+FX$3,1)&lt;&gt;""),1,0),0)</f>
        <v/>
      </c>
      <c r="FY45">
        <f>IF(FY$4=1,IF(OR(INDEX('×入力'!$A$1:$L$1300,987+FY$3,2+FY$2)&lt;&gt;"",INDEX('×入力'!$A$1:$L$1300,986,2+FY$2)&lt;&gt;"",INDEX('×入力'!$A$1:$L$1300,987+FY$3,1)&lt;&gt;""),1,0),0)</f>
        <v/>
      </c>
      <c r="FZ45">
        <f>IF(FZ$4=1,IF(OR(INDEX('×入力'!$A$1:$L$1300,987+FZ$3,2+FZ$2)&lt;&gt;"",INDEX('×入力'!$A$1:$L$1300,986,2+FZ$2)&lt;&gt;"",INDEX('×入力'!$A$1:$L$1300,987+FZ$3,1)&lt;&gt;""),1,0),0)</f>
        <v/>
      </c>
      <c r="GA45">
        <f>IF(GA$4=1,IF(OR(INDEX('×入力'!$A$1:$L$1300,987+GA$3,2+GA$2)&lt;&gt;"",INDEX('×入力'!$A$1:$L$1300,986,2+GA$2)&lt;&gt;"",INDEX('×入力'!$A$1:$L$1300,987+GA$3,1)&lt;&gt;""),1,0),0)</f>
        <v/>
      </c>
      <c r="GB45">
        <f>IF(GB$4=1,IF(OR(INDEX('×入力'!$A$1:$L$1300,987+GB$3,2+GB$2)&lt;&gt;"",INDEX('×入力'!$A$1:$L$1300,986,2+GB$2)&lt;&gt;"",INDEX('×入力'!$A$1:$L$1300,987+GB$3,1)&lt;&gt;""),1,0),0)</f>
        <v/>
      </c>
      <c r="GC45">
        <f>IF(GC$4=1,IF(OR(INDEX('×入力'!$A$1:$L$1300,987+GC$3,2+GC$2)&lt;&gt;"",INDEX('×入力'!$A$1:$L$1300,986,2+GC$2)&lt;&gt;"",INDEX('×入力'!$A$1:$L$1300,987+GC$3,1)&lt;&gt;""),1,0),0)</f>
        <v/>
      </c>
      <c r="GD45">
        <f>IF(GD$4=1,IF(OR(INDEX('×入力'!$A$1:$L$1300,987+GD$3,2+GD$2)&lt;&gt;"",INDEX('×入力'!$A$1:$L$1300,986,2+GD$2)&lt;&gt;"",INDEX('×入力'!$A$1:$L$1300,987+GD$3,1)&lt;&gt;""),1,0),0)</f>
        <v/>
      </c>
      <c r="GE45">
        <f>IF(GE$4=1,IF(OR(INDEX('×入力'!$A$1:$L$1300,987+GE$3,2+GE$2)&lt;&gt;"",INDEX('×入力'!$A$1:$L$1300,986,2+GE$2)&lt;&gt;"",INDEX('×入力'!$A$1:$L$1300,987+GE$3,1)&lt;&gt;""),1,0),0)</f>
        <v/>
      </c>
      <c r="GF45">
        <f>IF(GF$4=1,IF(OR(INDEX('×入力'!$A$1:$L$1300,987+GF$3,2+GF$2)&lt;&gt;"",INDEX('×入力'!$A$1:$L$1300,986,2+GF$2)&lt;&gt;"",INDEX('×入力'!$A$1:$L$1300,987+GF$3,1)&lt;&gt;""),1,0),0)</f>
        <v/>
      </c>
      <c r="GG45">
        <f>IF(GG$4=1,IF(OR(INDEX('×入力'!$A$1:$L$1300,987+GG$3,2+GG$2)&lt;&gt;"",INDEX('×入力'!$A$1:$L$1300,986,2+GG$2)&lt;&gt;"",INDEX('×入力'!$A$1:$L$1300,987+GG$3,1)&lt;&gt;""),1,0),0)</f>
        <v/>
      </c>
      <c r="GH45">
        <f>IF(GH$4=1,IF(OR(INDEX('×入力'!$A$1:$L$1300,987+GH$3,2+GH$2)&lt;&gt;"",INDEX('×入力'!$A$1:$L$1300,986,2+GH$2)&lt;&gt;"",INDEX('×入力'!$A$1:$L$1300,987+GH$3,1)&lt;&gt;""),1,0),0)</f>
        <v/>
      </c>
      <c r="GI45">
        <f>IF(GI$4=1,IF(OR(INDEX('×入力'!$A$1:$L$1300,987+GI$3,2+GI$2)&lt;&gt;"",INDEX('×入力'!$A$1:$L$1300,986,2+GI$2)&lt;&gt;"",INDEX('×入力'!$A$1:$L$1300,987+GI$3,1)&lt;&gt;""),1,0),0)</f>
        <v/>
      </c>
      <c r="GJ45">
        <f>IF(GJ$4=1,IF(OR(INDEX('×入力'!$A$1:$L$1300,987+GJ$3,2+GJ$2)&lt;&gt;"",INDEX('×入力'!$A$1:$L$1300,986,2+GJ$2)&lt;&gt;"",INDEX('×入力'!$A$1:$L$1300,987+GJ$3,1)&lt;&gt;""),1,0),0)</f>
        <v/>
      </c>
      <c r="GK45">
        <f>IF(GK$4=1,IF(OR(INDEX('×入力'!$A$1:$L$1300,987+GK$3,2+GK$2)&lt;&gt;"",INDEX('×入力'!$A$1:$L$1300,986,2+GK$2)&lt;&gt;"",INDEX('×入力'!$A$1:$L$1300,987+GK$3,1)&lt;&gt;""),1,0),0)</f>
        <v/>
      </c>
      <c r="GL45">
        <f>IF(GL$4=1,IF(OR(INDEX('×入力'!$A$1:$L$1300,987+GL$3,2+GL$2)&lt;&gt;"",INDEX('×入力'!$A$1:$L$1300,986,2+GL$2)&lt;&gt;"",INDEX('×入力'!$A$1:$L$1300,987+GL$3,1)&lt;&gt;""),1,0),0)</f>
        <v/>
      </c>
      <c r="GM45">
        <f>IF(GM$4=1,IF(OR(INDEX('×入力'!$A$1:$L$1300,987+GM$3,2+GM$2)&lt;&gt;"",INDEX('×入力'!$A$1:$L$1300,986,2+GM$2)&lt;&gt;"",INDEX('×入力'!$A$1:$L$1300,987+GM$3,1)&lt;&gt;""),1,0),0)</f>
        <v/>
      </c>
      <c r="GN45">
        <f>IF(GN$4=1,IF(OR(INDEX('×入力'!$A$1:$L$1300,987+GN$3,2+GN$2)&lt;&gt;"",INDEX('×入力'!$A$1:$L$1300,986,2+GN$2)&lt;&gt;"",INDEX('×入力'!$A$1:$L$1300,987+GN$3,1)&lt;&gt;""),1,0),0)</f>
        <v/>
      </c>
      <c r="GO45">
        <f>IF(GO$4=1,IF(OR(INDEX('×入力'!$A$1:$L$1300,987+GO$3,2+GO$2)&lt;&gt;"",INDEX('×入力'!$A$1:$L$1300,986,2+GO$2)&lt;&gt;"",INDEX('×入力'!$A$1:$L$1300,987+GO$3,1)&lt;&gt;""),1,0),0)</f>
        <v/>
      </c>
      <c r="GP45">
        <f>IF(GP$4=1,IF(OR(INDEX('×入力'!$A$1:$L$1300,987+GP$3,2+GP$2)&lt;&gt;"",INDEX('×入力'!$A$1:$L$1300,986,2+GP$2)&lt;&gt;"",INDEX('×入力'!$A$1:$L$1300,987+GP$3,1)&lt;&gt;""),1,0),0)</f>
        <v/>
      </c>
      <c r="GQ45">
        <f>IF(GQ$4=1,IF(OR(INDEX('×入力'!$A$1:$L$1300,987+GQ$3,2+GQ$2)&lt;&gt;"",INDEX('×入力'!$A$1:$L$1300,986,2+GQ$2)&lt;&gt;"",INDEX('×入力'!$A$1:$L$1300,987+GQ$3,1)&lt;&gt;""),1,0),0)</f>
        <v/>
      </c>
      <c r="GR45">
        <f>IF(GR$4=1,IF(OR(INDEX('×入力'!$A$1:$L$1300,987+GR$3,2+GR$2)&lt;&gt;"",INDEX('×入力'!$A$1:$L$1300,986,2+GR$2)&lt;&gt;"",INDEX('×入力'!$A$1:$L$1300,987+GR$3,1)&lt;&gt;""),1,0),0)</f>
        <v/>
      </c>
      <c r="GS45">
        <f>IF(GS$4=1,IF(OR(INDEX('×入力'!$A$1:$L$1300,987+GS$3,2+GS$2)&lt;&gt;"",INDEX('×入力'!$A$1:$L$1300,986,2+GS$2)&lt;&gt;"",INDEX('×入力'!$A$1:$L$1300,987+GS$3,1)&lt;&gt;""),1,0),0)</f>
        <v/>
      </c>
      <c r="GT45">
        <f>IF(GT$4=1,IF(OR(INDEX('×入力'!$A$1:$L$1300,987+GT$3,2+GT$2)&lt;&gt;"",INDEX('×入力'!$A$1:$L$1300,986,2+GT$2)&lt;&gt;"",INDEX('×入力'!$A$1:$L$1300,987+GT$3,1)&lt;&gt;""),1,0),0)</f>
        <v/>
      </c>
      <c r="GU45">
        <f>IF(GU$4=1,IF(OR(INDEX('×入力'!$A$1:$L$1300,987+GU$3,2+GU$2)&lt;&gt;"",INDEX('×入力'!$A$1:$L$1300,986,2+GU$2)&lt;&gt;"",INDEX('×入力'!$A$1:$L$1300,987+GU$3,1)&lt;&gt;""),1,0),0)</f>
        <v/>
      </c>
      <c r="GV45">
        <f>IF(GV$4=1,IF(OR(INDEX('×入力'!$A$1:$L$1300,987+GV$3,2+GV$2)&lt;&gt;"",INDEX('×入力'!$A$1:$L$1300,986,2+GV$2)&lt;&gt;"",INDEX('×入力'!$A$1:$L$1300,987+GV$3,1)&lt;&gt;""),1,0),0)</f>
        <v/>
      </c>
      <c r="GW45">
        <f>IF(GW$4=1,IF(OR(INDEX('×入力'!$A$1:$L$1300,987+GW$3,2+GW$2)&lt;&gt;"",INDEX('×入力'!$A$1:$L$1300,986,2+GW$2)&lt;&gt;"",INDEX('×入力'!$A$1:$L$1300,987+GW$3,1)&lt;&gt;""),1,0),0)</f>
        <v/>
      </c>
      <c r="GX45">
        <f>IF(GX$4=1,IF(OR(INDEX('×入力'!$A$1:$L$1300,987+GX$3,2+GX$2)&lt;&gt;"",INDEX('×入力'!$A$1:$L$1300,986,2+GX$2)&lt;&gt;"",INDEX('×入力'!$A$1:$L$1300,987+GX$3,1)&lt;&gt;""),1,0),0)</f>
        <v/>
      </c>
      <c r="GY45">
        <f>IF(GY$4=1,IF(OR(INDEX('×入力'!$A$1:$L$1300,987+GY$3,2+GY$2)&lt;&gt;"",INDEX('×入力'!$A$1:$L$1300,986,2+GY$2)&lt;&gt;"",INDEX('×入力'!$A$1:$L$1300,987+GY$3,1)&lt;&gt;""),1,0),0)</f>
        <v/>
      </c>
      <c r="GZ45">
        <f>IF(GZ$4=1,IF(OR(INDEX('×入力'!$A$1:$L$1300,987+GZ$3,2+GZ$2)&lt;&gt;"",INDEX('×入力'!$A$1:$L$1300,986,2+GZ$2)&lt;&gt;"",INDEX('×入力'!$A$1:$L$1300,987+GZ$3,1)&lt;&gt;""),1,0),0)</f>
        <v/>
      </c>
      <c r="HA45">
        <f>IF(HA$4=1,IF(OR(INDEX('×入力'!$A$1:$L$1300,987+HA$3,2+HA$2)&lt;&gt;"",INDEX('×入力'!$A$1:$L$1300,986,2+HA$2)&lt;&gt;"",INDEX('×入力'!$A$1:$L$1300,987+HA$3,1)&lt;&gt;""),1,0),0)</f>
        <v/>
      </c>
      <c r="HB45">
        <f>IF(HB$4=1,IF(OR(INDEX('×入力'!$A$1:$L$1300,987+HB$3,2+HB$2)&lt;&gt;"",INDEX('×入力'!$A$1:$L$1300,986,2+HB$2)&lt;&gt;"",INDEX('×入力'!$A$1:$L$1300,987+HB$3,1)&lt;&gt;""),1,0),0)</f>
        <v/>
      </c>
      <c r="HC45">
        <f>IF(HC$4=1,IF(OR(INDEX('×入力'!$A$1:$L$1300,987+HC$3,2+HC$2)&lt;&gt;"",INDEX('×入力'!$A$1:$L$1300,986,2+HC$2)&lt;&gt;"",INDEX('×入力'!$A$1:$L$1300,987+HC$3,1)&lt;&gt;""),1,0),0)</f>
        <v/>
      </c>
      <c r="HD45">
        <f>IF(HD$4=1,IF(OR(INDEX('×入力'!$A$1:$L$1300,987+HD$3,2+HD$2)&lt;&gt;"",INDEX('×入力'!$A$1:$L$1300,986,2+HD$2)&lt;&gt;"",INDEX('×入力'!$A$1:$L$1300,987+HD$3,1)&lt;&gt;""),1,0),0)</f>
        <v/>
      </c>
      <c r="HE45">
        <f>IF(HE$4=1,IF(OR(INDEX('×入力'!$A$1:$L$1300,987+HE$3,2+HE$2)&lt;&gt;"",INDEX('×入力'!$A$1:$L$1300,986,2+HE$2)&lt;&gt;"",INDEX('×入力'!$A$1:$L$1300,987+HE$3,1)&lt;&gt;""),1,0),0)</f>
        <v/>
      </c>
      <c r="HF45">
        <f>IF(HF$4=1,IF(OR(INDEX('×入力'!$A$1:$L$1300,987+HF$3,2+HF$2)&lt;&gt;"",INDEX('×入力'!$A$1:$L$1300,986,2+HF$2)&lt;&gt;"",INDEX('×入力'!$A$1:$L$1300,987+HF$3,1)&lt;&gt;""),1,0),0)</f>
        <v/>
      </c>
      <c r="HG45">
        <f>IF(HG$4=1,IF(OR(INDEX('×入力'!$A$1:$L$1300,987+HG$3,2+HG$2)&lt;&gt;"",INDEX('×入力'!$A$1:$L$1300,986,2+HG$2)&lt;&gt;"",INDEX('×入力'!$A$1:$L$1300,987+HG$3,1)&lt;&gt;""),1,0),0)</f>
        <v/>
      </c>
      <c r="HH45">
        <f>IF(HH$4=1,IF(OR(INDEX('×入力'!$A$1:$L$1300,987+HH$3,2+HH$2)&lt;&gt;"",INDEX('×入力'!$A$1:$L$1300,986,2+HH$2)&lt;&gt;"",INDEX('×入力'!$A$1:$L$1300,987+HH$3,1)&lt;&gt;""),1,0),0)</f>
        <v/>
      </c>
      <c r="HI45">
        <f>IF(HI$4=1,IF(OR(INDEX('×入力'!$A$1:$L$1300,987+HI$3,2+HI$2)&lt;&gt;"",INDEX('×入力'!$A$1:$L$1300,986,2+HI$2)&lt;&gt;"",INDEX('×入力'!$A$1:$L$1300,987+HI$3,1)&lt;&gt;""),1,0),0)</f>
        <v/>
      </c>
      <c r="HJ45">
        <f>IF(HJ$4=1,IF(OR(INDEX('×入力'!$A$1:$L$1300,987+HJ$3,2+HJ$2)&lt;&gt;"",INDEX('×入力'!$A$1:$L$1300,986,2+HJ$2)&lt;&gt;"",INDEX('×入力'!$A$1:$L$1300,987+HJ$3,1)&lt;&gt;""),1,0),0)</f>
        <v/>
      </c>
      <c r="HK45">
        <f>IF(HK$4=1,IF(OR(INDEX('×入力'!$A$1:$L$1300,987+HK$3,2+HK$2)&lt;&gt;"",INDEX('×入力'!$A$1:$L$1300,986,2+HK$2)&lt;&gt;"",INDEX('×入力'!$A$1:$L$1300,987+HK$3,1)&lt;&gt;""),1,0),0)</f>
        <v/>
      </c>
      <c r="HL45">
        <f>IF(HL$4=1,IF(OR(INDEX('×入力'!$A$1:$L$1300,987+HL$3,2+HL$2)&lt;&gt;"",INDEX('×入力'!$A$1:$L$1300,986,2+HL$2)&lt;&gt;"",INDEX('×入力'!$A$1:$L$1300,987+HL$3,1)&lt;&gt;""),1,0),0)</f>
        <v/>
      </c>
      <c r="HM45">
        <f>IF(HM$4=1,IF(OR(INDEX('×入力'!$A$1:$L$1300,987+HM$3,2+HM$2)&lt;&gt;"",INDEX('×入力'!$A$1:$L$1300,986,2+HM$2)&lt;&gt;"",INDEX('×入力'!$A$1:$L$1300,987+HM$3,1)&lt;&gt;""),1,0),0)</f>
        <v/>
      </c>
      <c r="HN45">
        <f>IF(HN$4=1,IF(OR(INDEX('×入力'!$A$1:$L$1300,987+HN$3,2+HN$2)&lt;&gt;"",INDEX('×入力'!$A$1:$L$1300,986,2+HN$2)&lt;&gt;"",INDEX('×入力'!$A$1:$L$1300,987+HN$3,1)&lt;&gt;""),1,0),0)</f>
        <v/>
      </c>
      <c r="HO45">
        <f>IF(HO$4=1,IF(OR(INDEX('×入力'!$A$1:$L$1300,987+HO$3,2+HO$2)&lt;&gt;"",INDEX('×入力'!$A$1:$L$1300,986,2+HO$2)&lt;&gt;"",INDEX('×入力'!$A$1:$L$1300,987+HO$3,1)&lt;&gt;""),1,0),0)</f>
        <v/>
      </c>
      <c r="HP45">
        <f>IF(HP$4=1,IF(OR(INDEX('×入力'!$A$1:$L$1300,987+HP$3,2+HP$2)&lt;&gt;"",INDEX('×入力'!$A$1:$L$1300,986,2+HP$2)&lt;&gt;"",INDEX('×入力'!$A$1:$L$1300,987+HP$3,1)&lt;&gt;""),1,0),0)</f>
        <v/>
      </c>
      <c r="HQ45">
        <f>IF(HQ$4=1,IF(OR(INDEX('×入力'!$A$1:$L$1300,987+HQ$3,2+HQ$2)&lt;&gt;"",INDEX('×入力'!$A$1:$L$1300,986,2+HQ$2)&lt;&gt;"",INDEX('×入力'!$A$1:$L$1300,987+HQ$3,1)&lt;&gt;""),1,0),0)</f>
        <v/>
      </c>
      <c r="HR45">
        <f>IF(HR$4=1,IF(OR(INDEX('×入力'!$A$1:$L$1300,987+HR$3,2+HR$2)&lt;&gt;"",INDEX('×入力'!$A$1:$L$1300,986,2+HR$2)&lt;&gt;"",INDEX('×入力'!$A$1:$L$1300,987+HR$3,1)&lt;&gt;""),1,0),0)</f>
        <v/>
      </c>
      <c r="HS45">
        <f>IF(HS$4=1,IF(OR(INDEX('×入力'!$A$1:$L$1300,987+HS$3,2+HS$2)&lt;&gt;"",INDEX('×入力'!$A$1:$L$1300,986,2+HS$2)&lt;&gt;"",INDEX('×入力'!$A$1:$L$1300,987+HS$3,1)&lt;&gt;""),1,0),0)</f>
        <v/>
      </c>
      <c r="HT45">
        <f>IF(HT$4=1,IF(OR(INDEX('×入力'!$A$1:$L$1300,987+HT$3,2+HT$2)&lt;&gt;"",INDEX('×入力'!$A$1:$L$1300,986,2+HT$2)&lt;&gt;"",INDEX('×入力'!$A$1:$L$1300,987+HT$3,1)&lt;&gt;""),1,0),0)</f>
        <v/>
      </c>
      <c r="HU45">
        <f>IF(HU$4=1,IF(OR(INDEX('×入力'!$A$1:$L$1300,987+HU$3,2+HU$2)&lt;&gt;"",INDEX('×入力'!$A$1:$L$1300,986,2+HU$2)&lt;&gt;"",INDEX('×入力'!$A$1:$L$1300,987+HU$3,1)&lt;&gt;""),1,0),0)</f>
        <v/>
      </c>
      <c r="HV45">
        <f>IF(HV$4=1,IF(OR(INDEX('×入力'!$A$1:$L$1300,987+HV$3,2+HV$2)&lt;&gt;"",INDEX('×入力'!$A$1:$L$1300,986,2+HV$2)&lt;&gt;"",INDEX('×入力'!$A$1:$L$1300,987+HV$3,1)&lt;&gt;""),1,0),0)</f>
        <v/>
      </c>
      <c r="HW45">
        <f>IF(HW$4=1,IF(OR(INDEX('×入力'!$A$1:$L$1300,987+HW$3,2+HW$2)&lt;&gt;"",INDEX('×入力'!$A$1:$L$1300,986,2+HW$2)&lt;&gt;"",INDEX('×入力'!$A$1:$L$1300,987+HW$3,1)&lt;&gt;""),1,0),0)</f>
        <v/>
      </c>
      <c r="HX45">
        <f>IF(HX$4=1,IF(OR(INDEX('×入力'!$A$1:$L$1300,987+HX$3,2+HX$2)&lt;&gt;"",INDEX('×入力'!$A$1:$L$1300,986,2+HX$2)&lt;&gt;"",INDEX('×入力'!$A$1:$L$1300,987+HX$3,1)&lt;&gt;""),1,0),0)</f>
        <v/>
      </c>
      <c r="HY45">
        <f>IF(HY$4=1,IF(OR(INDEX('×入力'!$A$1:$L$1300,987+HY$3,2+HY$2)&lt;&gt;"",INDEX('×入力'!$A$1:$L$1300,986,2+HY$2)&lt;&gt;"",INDEX('×入力'!$A$1:$L$1300,987+HY$3,1)&lt;&gt;""),1,0),0)</f>
        <v/>
      </c>
      <c r="HZ45">
        <f>IF(HZ$4=1,IF(OR(INDEX('×入力'!$A$1:$L$1300,987+HZ$3,2+HZ$2)&lt;&gt;"",INDEX('×入力'!$A$1:$L$1300,986,2+HZ$2)&lt;&gt;"",INDEX('×入力'!$A$1:$L$1300,987+HZ$3,1)&lt;&gt;""),1,0),0)</f>
        <v/>
      </c>
      <c r="IA45">
        <f>IF(IA$4=1,IF(OR(INDEX('×入力'!$A$1:$L$1300,987+IA$3,2+IA$2)&lt;&gt;"",INDEX('×入力'!$A$1:$L$1300,986,2+IA$2)&lt;&gt;"",INDEX('×入力'!$A$1:$L$1300,987+IA$3,1)&lt;&gt;""),1,0),0)</f>
        <v/>
      </c>
      <c r="IB45">
        <f>IF(IB$4=1,IF(OR(INDEX('×入力'!$A$1:$L$1300,987+IB$3,2+IB$2)&lt;&gt;"",INDEX('×入力'!$A$1:$L$1300,986,2+IB$2)&lt;&gt;"",INDEX('×入力'!$A$1:$L$1300,987+IB$3,1)&lt;&gt;""),1,0),0)</f>
        <v/>
      </c>
      <c r="IC45">
        <f>IF(IC$4=1,IF(OR(INDEX('×入力'!$A$1:$L$1300,987+IC$3,2+IC$2)&lt;&gt;"",INDEX('×入力'!$A$1:$L$1300,986,2+IC$2)&lt;&gt;"",INDEX('×入力'!$A$1:$L$1300,987+IC$3,1)&lt;&gt;""),1,0),0)</f>
        <v/>
      </c>
      <c r="ID45">
        <f>IF(ID$4=1,IF(OR(INDEX('×入力'!$A$1:$L$1300,987+ID$3,2+ID$2)&lt;&gt;"",INDEX('×入力'!$A$1:$L$1300,986,2+ID$2)&lt;&gt;"",INDEX('×入力'!$A$1:$L$1300,987+ID$3,1)&lt;&gt;""),1,0),0)</f>
        <v/>
      </c>
      <c r="IE45">
        <f>IF(IE$4=1,IF(OR(INDEX('×入力'!$A$1:$L$1300,987+IE$3,2+IE$2)&lt;&gt;"",INDEX('×入力'!$A$1:$L$1300,986,2+IE$2)&lt;&gt;"",INDEX('×入力'!$A$1:$L$1300,987+IE$3,1)&lt;&gt;""),1,0),0)</f>
        <v/>
      </c>
      <c r="IF45">
        <f>IF(IF$4=1,IF(OR(INDEX('×入力'!$A$1:$L$1300,987+IF$3,2+IF$2)&lt;&gt;"",INDEX('×入力'!$A$1:$L$1300,986,2+IF$2)&lt;&gt;"",INDEX('×入力'!$A$1:$L$1300,987+IF$3,1)&lt;&gt;""),1,0),0)</f>
        <v/>
      </c>
      <c r="IG45">
        <f>IF(IG$4=1,IF(OR(INDEX('×入力'!$A$1:$L$1300,987+IG$3,2+IG$2)&lt;&gt;"",INDEX('×入力'!$A$1:$L$1300,986,2+IG$2)&lt;&gt;"",INDEX('×入力'!$A$1:$L$1300,987+IG$3,1)&lt;&gt;""),1,0),0)</f>
        <v/>
      </c>
      <c r="IH45">
        <f>IF(IH$4=1,IF(OR(INDEX('×入力'!$A$1:$L$1300,987+IH$3,2+IH$2)&lt;&gt;"",INDEX('×入力'!$A$1:$L$1300,986,2+IH$2)&lt;&gt;"",INDEX('×入力'!$A$1:$L$1300,987+IH$3,1)&lt;&gt;""),1,0),0)</f>
        <v/>
      </c>
      <c r="II45">
        <f>IF(II$4=1,IF(OR(INDEX('×入力'!$A$1:$L$1300,987+II$3,2+II$2)&lt;&gt;"",INDEX('×入力'!$A$1:$L$1300,986,2+II$2)&lt;&gt;"",INDEX('×入力'!$A$1:$L$1300,987+II$3,1)&lt;&gt;""),1,0),0)</f>
        <v/>
      </c>
      <c r="IK45">
        <f>IFERROR(INDEX('計算B'!$C$3:$C$47,MATCH(A45,'計算B'!$B$3:$B$47,0)),0)</f>
        <v/>
      </c>
      <c r="IL45">
        <f>IF(AND(C45=1,IK45=0),1,0)</f>
        <v/>
      </c>
      <c r="IM45">
        <f>SUMPRODUCT(D95:II95*(1-$D$7:$II$7))</f>
        <v/>
      </c>
      <c r="IN45">
        <f>SUM(D45:II45)</f>
        <v/>
      </c>
      <c r="IO45">
        <f>IF(B45="",0,IF(COUNTIF('調整・決定'!$C$6:$L$29,B45)=1,SUMPRODUCT(('調整・決定'!$C$6:$L$29=B45)*((COLUMN('調整・決定'!$C$6:$L$29)-3)*24+ROW('調整・決定'!$C$6:$L$29)-5)),0))</f>
        <v/>
      </c>
      <c r="IP45">
        <f>IFERROR(MATCH('名簿'!E40,{"早い時刻","遅い時刻","早い日","遅い日"},0),0)</f>
        <v/>
      </c>
      <c r="IQ45">
        <f>IF('名簿'!F40="必ず空けたい",2,IF('名簿'!F40="出来れば空けたい",1,0))</f>
        <v/>
      </c>
    </row>
    <row r="46">
      <c r="A46" t="n">
        <v>37</v>
      </c>
      <c r="B46">
        <f>'名簿'!G41</f>
        <v/>
      </c>
      <c r="C46">
        <f>IF(AND(B46&lt;&gt;"",OR('名簿'!H41="入力済み",'名簿'!H41="×なし"),IO46=0,COUNTIF('調整・決定'!$C$6:$L$29,B46)=0),1,0)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ER46">
        <f>IF(ER$4=1,IF(OR(INDEX('×入力'!$A$1:$L$1300,1015+ER$3,2+ER$2)&lt;&gt;"",INDEX('×入力'!$A$1:$L$1300,1014,2+ER$2)&lt;&gt;"",INDEX('×入力'!$A$1:$L$1300,1015+ER$3,1)&lt;&gt;""),1,0),0)</f>
        <v/>
      </c>
      <c r="ES46">
        <f>IF(ES$4=1,IF(OR(INDEX('×入力'!$A$1:$L$1300,1015+ES$3,2+ES$2)&lt;&gt;"",INDEX('×入力'!$A$1:$L$1300,1014,2+ES$2)&lt;&gt;"",INDEX('×入力'!$A$1:$L$1300,1015+ES$3,1)&lt;&gt;""),1,0),0)</f>
        <v/>
      </c>
      <c r="ET46">
        <f>IF(ET$4=1,IF(OR(INDEX('×入力'!$A$1:$L$1300,1015+ET$3,2+ET$2)&lt;&gt;"",INDEX('×入力'!$A$1:$L$1300,1014,2+ET$2)&lt;&gt;"",INDEX('×入力'!$A$1:$L$1300,1015+ET$3,1)&lt;&gt;""),1,0),0)</f>
        <v/>
      </c>
      <c r="EU46">
        <f>IF(EU$4=1,IF(OR(INDEX('×入力'!$A$1:$L$1300,1015+EU$3,2+EU$2)&lt;&gt;"",INDEX('×入力'!$A$1:$L$1300,1014,2+EU$2)&lt;&gt;"",INDEX('×入力'!$A$1:$L$1300,1015+EU$3,1)&lt;&gt;""),1,0),0)</f>
        <v/>
      </c>
      <c r="EV46">
        <f>IF(EV$4=1,IF(OR(INDEX('×入力'!$A$1:$L$1300,1015+EV$3,2+EV$2)&lt;&gt;"",INDEX('×入力'!$A$1:$L$1300,1014,2+EV$2)&lt;&gt;"",INDEX('×入力'!$A$1:$L$1300,1015+EV$3,1)&lt;&gt;""),1,0),0)</f>
        <v/>
      </c>
      <c r="EW46">
        <f>IF(EW$4=1,IF(OR(INDEX('×入力'!$A$1:$L$1300,1015+EW$3,2+EW$2)&lt;&gt;"",INDEX('×入力'!$A$1:$L$1300,1014,2+EW$2)&lt;&gt;"",INDEX('×入力'!$A$1:$L$1300,1015+EW$3,1)&lt;&gt;""),1,0),0)</f>
        <v/>
      </c>
      <c r="EX46">
        <f>IF(EX$4=1,IF(OR(INDEX('×入力'!$A$1:$L$1300,1015+EX$3,2+EX$2)&lt;&gt;"",INDEX('×入力'!$A$1:$L$1300,1014,2+EX$2)&lt;&gt;"",INDEX('×入力'!$A$1:$L$1300,1015+EX$3,1)&lt;&gt;""),1,0),0)</f>
        <v/>
      </c>
      <c r="EY46">
        <f>IF(EY$4=1,IF(OR(INDEX('×入力'!$A$1:$L$1300,1015+EY$3,2+EY$2)&lt;&gt;"",INDEX('×入力'!$A$1:$L$1300,1014,2+EY$2)&lt;&gt;"",INDEX('×入力'!$A$1:$L$1300,1015+EY$3,1)&lt;&gt;""),1,0),0)</f>
        <v/>
      </c>
      <c r="EZ46">
        <f>IF(EZ$4=1,IF(OR(INDEX('×入力'!$A$1:$L$1300,1015+EZ$3,2+EZ$2)&lt;&gt;"",INDEX('×入力'!$A$1:$L$1300,1014,2+EZ$2)&lt;&gt;"",INDEX('×入力'!$A$1:$L$1300,1015+EZ$3,1)&lt;&gt;""),1,0),0)</f>
        <v/>
      </c>
      <c r="FA46">
        <f>IF(FA$4=1,IF(OR(INDEX('×入力'!$A$1:$L$1300,1015+FA$3,2+FA$2)&lt;&gt;"",INDEX('×入力'!$A$1:$L$1300,1014,2+FA$2)&lt;&gt;"",INDEX('×入力'!$A$1:$L$1300,1015+FA$3,1)&lt;&gt;""),1,0),0)</f>
        <v/>
      </c>
      <c r="FB46">
        <f>IF(FB$4=1,IF(OR(INDEX('×入力'!$A$1:$L$1300,1015+FB$3,2+FB$2)&lt;&gt;"",INDEX('×入力'!$A$1:$L$1300,1014,2+FB$2)&lt;&gt;"",INDEX('×入力'!$A$1:$L$1300,1015+FB$3,1)&lt;&gt;""),1,0),0)</f>
        <v/>
      </c>
      <c r="FC46">
        <f>IF(FC$4=1,IF(OR(INDEX('×入力'!$A$1:$L$1300,1015+FC$3,2+FC$2)&lt;&gt;"",INDEX('×入力'!$A$1:$L$1300,1014,2+FC$2)&lt;&gt;"",INDEX('×入力'!$A$1:$L$1300,1015+FC$3,1)&lt;&gt;""),1,0),0)</f>
        <v/>
      </c>
      <c r="FD46">
        <f>IF(FD$4=1,IF(OR(INDEX('×入力'!$A$1:$L$1300,1015+FD$3,2+FD$2)&lt;&gt;"",INDEX('×入力'!$A$1:$L$1300,1014,2+FD$2)&lt;&gt;"",INDEX('×入力'!$A$1:$L$1300,1015+FD$3,1)&lt;&gt;""),1,0),0)</f>
        <v/>
      </c>
      <c r="FE46">
        <f>IF(FE$4=1,IF(OR(INDEX('×入力'!$A$1:$L$1300,1015+FE$3,2+FE$2)&lt;&gt;"",INDEX('×入力'!$A$1:$L$1300,1014,2+FE$2)&lt;&gt;"",INDEX('×入力'!$A$1:$L$1300,1015+FE$3,1)&lt;&gt;""),1,0),0)</f>
        <v/>
      </c>
      <c r="FF46">
        <f>IF(FF$4=1,IF(OR(INDEX('×入力'!$A$1:$L$1300,1015+FF$3,2+FF$2)&lt;&gt;"",INDEX('×入力'!$A$1:$L$1300,1014,2+FF$2)&lt;&gt;"",INDEX('×入力'!$A$1:$L$1300,1015+FF$3,1)&lt;&gt;""),1,0),0)</f>
        <v/>
      </c>
      <c r="FG46">
        <f>IF(FG$4=1,IF(OR(INDEX('×入力'!$A$1:$L$1300,1015+FG$3,2+FG$2)&lt;&gt;"",INDEX('×入力'!$A$1:$L$1300,1014,2+FG$2)&lt;&gt;"",INDEX('×入力'!$A$1:$L$1300,1015+FG$3,1)&lt;&gt;""),1,0),0)</f>
        <v/>
      </c>
      <c r="FH46">
        <f>IF(FH$4=1,IF(OR(INDEX('×入力'!$A$1:$L$1300,1015+FH$3,2+FH$2)&lt;&gt;"",INDEX('×入力'!$A$1:$L$1300,1014,2+FH$2)&lt;&gt;"",INDEX('×入力'!$A$1:$L$1300,1015+FH$3,1)&lt;&gt;""),1,0),0)</f>
        <v/>
      </c>
      <c r="FI46">
        <f>IF(FI$4=1,IF(OR(INDEX('×入力'!$A$1:$L$1300,1015+FI$3,2+FI$2)&lt;&gt;"",INDEX('×入力'!$A$1:$L$1300,1014,2+FI$2)&lt;&gt;"",INDEX('×入力'!$A$1:$L$1300,1015+FI$3,1)&lt;&gt;""),1,0),0)</f>
        <v/>
      </c>
      <c r="FJ46">
        <f>IF(FJ$4=1,IF(OR(INDEX('×入力'!$A$1:$L$1300,1015+FJ$3,2+FJ$2)&lt;&gt;"",INDEX('×入力'!$A$1:$L$1300,1014,2+FJ$2)&lt;&gt;"",INDEX('×入力'!$A$1:$L$1300,1015+FJ$3,1)&lt;&gt;""),1,0),0)</f>
        <v/>
      </c>
      <c r="FK46">
        <f>IF(FK$4=1,IF(OR(INDEX('×入力'!$A$1:$L$1300,1015+FK$3,2+FK$2)&lt;&gt;"",INDEX('×入力'!$A$1:$L$1300,1014,2+FK$2)&lt;&gt;"",INDEX('×入力'!$A$1:$L$1300,1015+FK$3,1)&lt;&gt;""),1,0),0)</f>
        <v/>
      </c>
      <c r="FL46">
        <f>IF(FL$4=1,IF(OR(INDEX('×入力'!$A$1:$L$1300,1015+FL$3,2+FL$2)&lt;&gt;"",INDEX('×入力'!$A$1:$L$1300,1014,2+FL$2)&lt;&gt;"",INDEX('×入力'!$A$1:$L$1300,1015+FL$3,1)&lt;&gt;""),1,0),0)</f>
        <v/>
      </c>
      <c r="FM46">
        <f>IF(FM$4=1,IF(OR(INDEX('×入力'!$A$1:$L$1300,1015+FM$3,2+FM$2)&lt;&gt;"",INDEX('×入力'!$A$1:$L$1300,1014,2+FM$2)&lt;&gt;"",INDEX('×入力'!$A$1:$L$1300,1015+FM$3,1)&lt;&gt;""),1,0),0)</f>
        <v/>
      </c>
      <c r="FN46">
        <f>IF(FN$4=1,IF(OR(INDEX('×入力'!$A$1:$L$1300,1015+FN$3,2+FN$2)&lt;&gt;"",INDEX('×入力'!$A$1:$L$1300,1014,2+FN$2)&lt;&gt;"",INDEX('×入力'!$A$1:$L$1300,1015+FN$3,1)&lt;&gt;""),1,0),0)</f>
        <v/>
      </c>
      <c r="FO46">
        <f>IF(FO$4=1,IF(OR(INDEX('×入力'!$A$1:$L$1300,1015+FO$3,2+FO$2)&lt;&gt;"",INDEX('×入力'!$A$1:$L$1300,1014,2+FO$2)&lt;&gt;"",INDEX('×入力'!$A$1:$L$1300,1015+FO$3,1)&lt;&gt;""),1,0),0)</f>
        <v/>
      </c>
      <c r="FP46">
        <f>IF(FP$4=1,IF(OR(INDEX('×入力'!$A$1:$L$1300,1015+FP$3,2+FP$2)&lt;&gt;"",INDEX('×入力'!$A$1:$L$1300,1014,2+FP$2)&lt;&gt;"",INDEX('×入力'!$A$1:$L$1300,1015+FP$3,1)&lt;&gt;""),1,0),0)</f>
        <v/>
      </c>
      <c r="FQ46">
        <f>IF(FQ$4=1,IF(OR(INDEX('×入力'!$A$1:$L$1300,1015+FQ$3,2+FQ$2)&lt;&gt;"",INDEX('×入力'!$A$1:$L$1300,1014,2+FQ$2)&lt;&gt;"",INDEX('×入力'!$A$1:$L$1300,1015+FQ$3,1)&lt;&gt;""),1,0),0)</f>
        <v/>
      </c>
      <c r="FR46">
        <f>IF(FR$4=1,IF(OR(INDEX('×入力'!$A$1:$L$1300,1015+FR$3,2+FR$2)&lt;&gt;"",INDEX('×入力'!$A$1:$L$1300,1014,2+FR$2)&lt;&gt;"",INDEX('×入力'!$A$1:$L$1300,1015+FR$3,1)&lt;&gt;""),1,0),0)</f>
        <v/>
      </c>
      <c r="FS46">
        <f>IF(FS$4=1,IF(OR(INDEX('×入力'!$A$1:$L$1300,1015+FS$3,2+FS$2)&lt;&gt;"",INDEX('×入力'!$A$1:$L$1300,1014,2+FS$2)&lt;&gt;"",INDEX('×入力'!$A$1:$L$1300,1015+FS$3,1)&lt;&gt;""),1,0),0)</f>
        <v/>
      </c>
      <c r="FT46">
        <f>IF(FT$4=1,IF(OR(INDEX('×入力'!$A$1:$L$1300,1015+FT$3,2+FT$2)&lt;&gt;"",INDEX('×入力'!$A$1:$L$1300,1014,2+FT$2)&lt;&gt;"",INDEX('×入力'!$A$1:$L$1300,1015+FT$3,1)&lt;&gt;""),1,0),0)</f>
        <v/>
      </c>
      <c r="FU46">
        <f>IF(FU$4=1,IF(OR(INDEX('×入力'!$A$1:$L$1300,1015+FU$3,2+FU$2)&lt;&gt;"",INDEX('×入力'!$A$1:$L$1300,1014,2+FU$2)&lt;&gt;"",INDEX('×入力'!$A$1:$L$1300,1015+FU$3,1)&lt;&gt;""),1,0),0)</f>
        <v/>
      </c>
      <c r="FV46">
        <f>IF(FV$4=1,IF(OR(INDEX('×入力'!$A$1:$L$1300,1015+FV$3,2+FV$2)&lt;&gt;"",INDEX('×入力'!$A$1:$L$1300,1014,2+FV$2)&lt;&gt;"",INDEX('×入力'!$A$1:$L$1300,1015+FV$3,1)&lt;&gt;""),1,0),0)</f>
        <v/>
      </c>
      <c r="FW46">
        <f>IF(FW$4=1,IF(OR(INDEX('×入力'!$A$1:$L$1300,1015+FW$3,2+FW$2)&lt;&gt;"",INDEX('×入力'!$A$1:$L$1300,1014,2+FW$2)&lt;&gt;"",INDEX('×入力'!$A$1:$L$1300,1015+FW$3,1)&lt;&gt;""),1,0),0)</f>
        <v/>
      </c>
      <c r="FX46">
        <f>IF(FX$4=1,IF(OR(INDEX('×入力'!$A$1:$L$1300,1015+FX$3,2+FX$2)&lt;&gt;"",INDEX('×入力'!$A$1:$L$1300,1014,2+FX$2)&lt;&gt;"",INDEX('×入力'!$A$1:$L$1300,1015+FX$3,1)&lt;&gt;""),1,0),0)</f>
        <v/>
      </c>
      <c r="FY46">
        <f>IF(FY$4=1,IF(OR(INDEX('×入力'!$A$1:$L$1300,1015+FY$3,2+FY$2)&lt;&gt;"",INDEX('×入力'!$A$1:$L$1300,1014,2+FY$2)&lt;&gt;"",INDEX('×入力'!$A$1:$L$1300,1015+FY$3,1)&lt;&gt;""),1,0),0)</f>
        <v/>
      </c>
      <c r="FZ46">
        <f>IF(FZ$4=1,IF(OR(INDEX('×入力'!$A$1:$L$1300,1015+FZ$3,2+FZ$2)&lt;&gt;"",INDEX('×入力'!$A$1:$L$1300,1014,2+FZ$2)&lt;&gt;"",INDEX('×入力'!$A$1:$L$1300,1015+FZ$3,1)&lt;&gt;""),1,0),0)</f>
        <v/>
      </c>
      <c r="GA46">
        <f>IF(GA$4=1,IF(OR(INDEX('×入力'!$A$1:$L$1300,1015+GA$3,2+GA$2)&lt;&gt;"",INDEX('×入力'!$A$1:$L$1300,1014,2+GA$2)&lt;&gt;"",INDEX('×入力'!$A$1:$L$1300,1015+GA$3,1)&lt;&gt;""),1,0),0)</f>
        <v/>
      </c>
      <c r="GB46">
        <f>IF(GB$4=1,IF(OR(INDEX('×入力'!$A$1:$L$1300,1015+GB$3,2+GB$2)&lt;&gt;"",INDEX('×入力'!$A$1:$L$1300,1014,2+GB$2)&lt;&gt;"",INDEX('×入力'!$A$1:$L$1300,1015+GB$3,1)&lt;&gt;""),1,0),0)</f>
        <v/>
      </c>
      <c r="GC46">
        <f>IF(GC$4=1,IF(OR(INDEX('×入力'!$A$1:$L$1300,1015+GC$3,2+GC$2)&lt;&gt;"",INDEX('×入力'!$A$1:$L$1300,1014,2+GC$2)&lt;&gt;"",INDEX('×入力'!$A$1:$L$1300,1015+GC$3,1)&lt;&gt;""),1,0),0)</f>
        <v/>
      </c>
      <c r="GD46">
        <f>IF(GD$4=1,IF(OR(INDEX('×入力'!$A$1:$L$1300,1015+GD$3,2+GD$2)&lt;&gt;"",INDEX('×入力'!$A$1:$L$1300,1014,2+GD$2)&lt;&gt;"",INDEX('×入力'!$A$1:$L$1300,1015+GD$3,1)&lt;&gt;""),1,0),0)</f>
        <v/>
      </c>
      <c r="GE46">
        <f>IF(GE$4=1,IF(OR(INDEX('×入力'!$A$1:$L$1300,1015+GE$3,2+GE$2)&lt;&gt;"",INDEX('×入力'!$A$1:$L$1300,1014,2+GE$2)&lt;&gt;"",INDEX('×入力'!$A$1:$L$1300,1015+GE$3,1)&lt;&gt;""),1,0),0)</f>
        <v/>
      </c>
      <c r="GF46">
        <f>IF(GF$4=1,IF(OR(INDEX('×入力'!$A$1:$L$1300,1015+GF$3,2+GF$2)&lt;&gt;"",INDEX('×入力'!$A$1:$L$1300,1014,2+GF$2)&lt;&gt;"",INDEX('×入力'!$A$1:$L$1300,1015+GF$3,1)&lt;&gt;""),1,0),0)</f>
        <v/>
      </c>
      <c r="GG46">
        <f>IF(GG$4=1,IF(OR(INDEX('×入力'!$A$1:$L$1300,1015+GG$3,2+GG$2)&lt;&gt;"",INDEX('×入力'!$A$1:$L$1300,1014,2+GG$2)&lt;&gt;"",INDEX('×入力'!$A$1:$L$1300,1015+GG$3,1)&lt;&gt;""),1,0),0)</f>
        <v/>
      </c>
      <c r="GH46">
        <f>IF(GH$4=1,IF(OR(INDEX('×入力'!$A$1:$L$1300,1015+GH$3,2+GH$2)&lt;&gt;"",INDEX('×入力'!$A$1:$L$1300,1014,2+GH$2)&lt;&gt;"",INDEX('×入力'!$A$1:$L$1300,1015+GH$3,1)&lt;&gt;""),1,0),0)</f>
        <v/>
      </c>
      <c r="GI46">
        <f>IF(GI$4=1,IF(OR(INDEX('×入力'!$A$1:$L$1300,1015+GI$3,2+GI$2)&lt;&gt;"",INDEX('×入力'!$A$1:$L$1300,1014,2+GI$2)&lt;&gt;"",INDEX('×入力'!$A$1:$L$1300,1015+GI$3,1)&lt;&gt;""),1,0),0)</f>
        <v/>
      </c>
      <c r="GJ46">
        <f>IF(GJ$4=1,IF(OR(INDEX('×入力'!$A$1:$L$1300,1015+GJ$3,2+GJ$2)&lt;&gt;"",INDEX('×入力'!$A$1:$L$1300,1014,2+GJ$2)&lt;&gt;"",INDEX('×入力'!$A$1:$L$1300,1015+GJ$3,1)&lt;&gt;""),1,0),0)</f>
        <v/>
      </c>
      <c r="GK46">
        <f>IF(GK$4=1,IF(OR(INDEX('×入力'!$A$1:$L$1300,1015+GK$3,2+GK$2)&lt;&gt;"",INDEX('×入力'!$A$1:$L$1300,1014,2+GK$2)&lt;&gt;"",INDEX('×入力'!$A$1:$L$1300,1015+GK$3,1)&lt;&gt;""),1,0),0)</f>
        <v/>
      </c>
      <c r="GL46">
        <f>IF(GL$4=1,IF(OR(INDEX('×入力'!$A$1:$L$1300,1015+GL$3,2+GL$2)&lt;&gt;"",INDEX('×入力'!$A$1:$L$1300,1014,2+GL$2)&lt;&gt;"",INDEX('×入力'!$A$1:$L$1300,1015+GL$3,1)&lt;&gt;""),1,0),0)</f>
        <v/>
      </c>
      <c r="GM46">
        <f>IF(GM$4=1,IF(OR(INDEX('×入力'!$A$1:$L$1300,1015+GM$3,2+GM$2)&lt;&gt;"",INDEX('×入力'!$A$1:$L$1300,1014,2+GM$2)&lt;&gt;"",INDEX('×入力'!$A$1:$L$1300,1015+GM$3,1)&lt;&gt;""),1,0),0)</f>
        <v/>
      </c>
      <c r="GN46">
        <f>IF(GN$4=1,IF(OR(INDEX('×入力'!$A$1:$L$1300,1015+GN$3,2+GN$2)&lt;&gt;"",INDEX('×入力'!$A$1:$L$1300,1014,2+GN$2)&lt;&gt;"",INDEX('×入力'!$A$1:$L$1300,1015+GN$3,1)&lt;&gt;""),1,0),0)</f>
        <v/>
      </c>
      <c r="GO46">
        <f>IF(GO$4=1,IF(OR(INDEX('×入力'!$A$1:$L$1300,1015+GO$3,2+GO$2)&lt;&gt;"",INDEX('×入力'!$A$1:$L$1300,1014,2+GO$2)&lt;&gt;"",INDEX('×入力'!$A$1:$L$1300,1015+GO$3,1)&lt;&gt;""),1,0),0)</f>
        <v/>
      </c>
      <c r="GP46">
        <f>IF(GP$4=1,IF(OR(INDEX('×入力'!$A$1:$L$1300,1015+GP$3,2+GP$2)&lt;&gt;"",INDEX('×入力'!$A$1:$L$1300,1014,2+GP$2)&lt;&gt;"",INDEX('×入力'!$A$1:$L$1300,1015+GP$3,1)&lt;&gt;""),1,0),0)</f>
        <v/>
      </c>
      <c r="GQ46">
        <f>IF(GQ$4=1,IF(OR(INDEX('×入力'!$A$1:$L$1300,1015+GQ$3,2+GQ$2)&lt;&gt;"",INDEX('×入力'!$A$1:$L$1300,1014,2+GQ$2)&lt;&gt;"",INDEX('×入力'!$A$1:$L$1300,1015+GQ$3,1)&lt;&gt;""),1,0),0)</f>
        <v/>
      </c>
      <c r="GR46">
        <f>IF(GR$4=1,IF(OR(INDEX('×入力'!$A$1:$L$1300,1015+GR$3,2+GR$2)&lt;&gt;"",INDEX('×入力'!$A$1:$L$1300,1014,2+GR$2)&lt;&gt;"",INDEX('×入力'!$A$1:$L$1300,1015+GR$3,1)&lt;&gt;""),1,0),0)</f>
        <v/>
      </c>
      <c r="GS46">
        <f>IF(GS$4=1,IF(OR(INDEX('×入力'!$A$1:$L$1300,1015+GS$3,2+GS$2)&lt;&gt;"",INDEX('×入力'!$A$1:$L$1300,1014,2+GS$2)&lt;&gt;"",INDEX('×入力'!$A$1:$L$1300,1015+GS$3,1)&lt;&gt;""),1,0),0)</f>
        <v/>
      </c>
      <c r="GT46">
        <f>IF(GT$4=1,IF(OR(INDEX('×入力'!$A$1:$L$1300,1015+GT$3,2+GT$2)&lt;&gt;"",INDEX('×入力'!$A$1:$L$1300,1014,2+GT$2)&lt;&gt;"",INDEX('×入力'!$A$1:$L$1300,1015+GT$3,1)&lt;&gt;""),1,0),0)</f>
        <v/>
      </c>
      <c r="GU46">
        <f>IF(GU$4=1,IF(OR(INDEX('×入力'!$A$1:$L$1300,1015+GU$3,2+GU$2)&lt;&gt;"",INDEX('×入力'!$A$1:$L$1300,1014,2+GU$2)&lt;&gt;"",INDEX('×入力'!$A$1:$L$1300,1015+GU$3,1)&lt;&gt;""),1,0),0)</f>
        <v/>
      </c>
      <c r="GV46">
        <f>IF(GV$4=1,IF(OR(INDEX('×入力'!$A$1:$L$1300,1015+GV$3,2+GV$2)&lt;&gt;"",INDEX('×入力'!$A$1:$L$1300,1014,2+GV$2)&lt;&gt;"",INDEX('×入力'!$A$1:$L$1300,1015+GV$3,1)&lt;&gt;""),1,0),0)</f>
        <v/>
      </c>
      <c r="GW46">
        <f>IF(GW$4=1,IF(OR(INDEX('×入力'!$A$1:$L$1300,1015+GW$3,2+GW$2)&lt;&gt;"",INDEX('×入力'!$A$1:$L$1300,1014,2+GW$2)&lt;&gt;"",INDEX('×入力'!$A$1:$L$1300,1015+GW$3,1)&lt;&gt;""),1,0),0)</f>
        <v/>
      </c>
      <c r="GX46">
        <f>IF(GX$4=1,IF(OR(INDEX('×入力'!$A$1:$L$1300,1015+GX$3,2+GX$2)&lt;&gt;"",INDEX('×入力'!$A$1:$L$1300,1014,2+GX$2)&lt;&gt;"",INDEX('×入力'!$A$1:$L$1300,1015+GX$3,1)&lt;&gt;""),1,0),0)</f>
        <v/>
      </c>
      <c r="GY46">
        <f>IF(GY$4=1,IF(OR(INDEX('×入力'!$A$1:$L$1300,1015+GY$3,2+GY$2)&lt;&gt;"",INDEX('×入力'!$A$1:$L$1300,1014,2+GY$2)&lt;&gt;"",INDEX('×入力'!$A$1:$L$1300,1015+GY$3,1)&lt;&gt;""),1,0),0)</f>
        <v/>
      </c>
      <c r="GZ46">
        <f>IF(GZ$4=1,IF(OR(INDEX('×入力'!$A$1:$L$1300,1015+GZ$3,2+GZ$2)&lt;&gt;"",INDEX('×入力'!$A$1:$L$1300,1014,2+GZ$2)&lt;&gt;"",INDEX('×入力'!$A$1:$L$1300,1015+GZ$3,1)&lt;&gt;""),1,0),0)</f>
        <v/>
      </c>
      <c r="HA46">
        <f>IF(HA$4=1,IF(OR(INDEX('×入力'!$A$1:$L$1300,1015+HA$3,2+HA$2)&lt;&gt;"",INDEX('×入力'!$A$1:$L$1300,1014,2+HA$2)&lt;&gt;"",INDEX('×入力'!$A$1:$L$1300,1015+HA$3,1)&lt;&gt;""),1,0),0)</f>
        <v/>
      </c>
      <c r="HB46">
        <f>IF(HB$4=1,IF(OR(INDEX('×入力'!$A$1:$L$1300,1015+HB$3,2+HB$2)&lt;&gt;"",INDEX('×入力'!$A$1:$L$1300,1014,2+HB$2)&lt;&gt;"",INDEX('×入力'!$A$1:$L$1300,1015+HB$3,1)&lt;&gt;""),1,0),0)</f>
        <v/>
      </c>
      <c r="HC46">
        <f>IF(HC$4=1,IF(OR(INDEX('×入力'!$A$1:$L$1300,1015+HC$3,2+HC$2)&lt;&gt;"",INDEX('×入力'!$A$1:$L$1300,1014,2+HC$2)&lt;&gt;"",INDEX('×入力'!$A$1:$L$1300,1015+HC$3,1)&lt;&gt;""),1,0),0)</f>
        <v/>
      </c>
      <c r="HD46">
        <f>IF(HD$4=1,IF(OR(INDEX('×入力'!$A$1:$L$1300,1015+HD$3,2+HD$2)&lt;&gt;"",INDEX('×入力'!$A$1:$L$1300,1014,2+HD$2)&lt;&gt;"",INDEX('×入力'!$A$1:$L$1300,1015+HD$3,1)&lt;&gt;""),1,0),0)</f>
        <v/>
      </c>
      <c r="HE46">
        <f>IF(HE$4=1,IF(OR(INDEX('×入力'!$A$1:$L$1300,1015+HE$3,2+HE$2)&lt;&gt;"",INDEX('×入力'!$A$1:$L$1300,1014,2+HE$2)&lt;&gt;"",INDEX('×入力'!$A$1:$L$1300,1015+HE$3,1)&lt;&gt;""),1,0),0)</f>
        <v/>
      </c>
      <c r="HF46">
        <f>IF(HF$4=1,IF(OR(INDEX('×入力'!$A$1:$L$1300,1015+HF$3,2+HF$2)&lt;&gt;"",INDEX('×入力'!$A$1:$L$1300,1014,2+HF$2)&lt;&gt;"",INDEX('×入力'!$A$1:$L$1300,1015+HF$3,1)&lt;&gt;""),1,0),0)</f>
        <v/>
      </c>
      <c r="HG46">
        <f>IF(HG$4=1,IF(OR(INDEX('×入力'!$A$1:$L$1300,1015+HG$3,2+HG$2)&lt;&gt;"",INDEX('×入力'!$A$1:$L$1300,1014,2+HG$2)&lt;&gt;"",INDEX('×入力'!$A$1:$L$1300,1015+HG$3,1)&lt;&gt;""),1,0),0)</f>
        <v/>
      </c>
      <c r="HH46">
        <f>IF(HH$4=1,IF(OR(INDEX('×入力'!$A$1:$L$1300,1015+HH$3,2+HH$2)&lt;&gt;"",INDEX('×入力'!$A$1:$L$1300,1014,2+HH$2)&lt;&gt;"",INDEX('×入力'!$A$1:$L$1300,1015+HH$3,1)&lt;&gt;""),1,0),0)</f>
        <v/>
      </c>
      <c r="HI46">
        <f>IF(HI$4=1,IF(OR(INDEX('×入力'!$A$1:$L$1300,1015+HI$3,2+HI$2)&lt;&gt;"",INDEX('×入力'!$A$1:$L$1300,1014,2+HI$2)&lt;&gt;"",INDEX('×入力'!$A$1:$L$1300,1015+HI$3,1)&lt;&gt;""),1,0),0)</f>
        <v/>
      </c>
      <c r="HJ46">
        <f>IF(HJ$4=1,IF(OR(INDEX('×入力'!$A$1:$L$1300,1015+HJ$3,2+HJ$2)&lt;&gt;"",INDEX('×入力'!$A$1:$L$1300,1014,2+HJ$2)&lt;&gt;"",INDEX('×入力'!$A$1:$L$1300,1015+HJ$3,1)&lt;&gt;""),1,0),0)</f>
        <v/>
      </c>
      <c r="HK46">
        <f>IF(HK$4=1,IF(OR(INDEX('×入力'!$A$1:$L$1300,1015+HK$3,2+HK$2)&lt;&gt;"",INDEX('×入力'!$A$1:$L$1300,1014,2+HK$2)&lt;&gt;"",INDEX('×入力'!$A$1:$L$1300,1015+HK$3,1)&lt;&gt;""),1,0),0)</f>
        <v/>
      </c>
      <c r="HL46">
        <f>IF(HL$4=1,IF(OR(INDEX('×入力'!$A$1:$L$1300,1015+HL$3,2+HL$2)&lt;&gt;"",INDEX('×入力'!$A$1:$L$1300,1014,2+HL$2)&lt;&gt;"",INDEX('×入力'!$A$1:$L$1300,1015+HL$3,1)&lt;&gt;""),1,0),0)</f>
        <v/>
      </c>
      <c r="HM46">
        <f>IF(HM$4=1,IF(OR(INDEX('×入力'!$A$1:$L$1300,1015+HM$3,2+HM$2)&lt;&gt;"",INDEX('×入力'!$A$1:$L$1300,1014,2+HM$2)&lt;&gt;"",INDEX('×入力'!$A$1:$L$1300,1015+HM$3,1)&lt;&gt;""),1,0),0)</f>
        <v/>
      </c>
      <c r="HN46">
        <f>IF(HN$4=1,IF(OR(INDEX('×入力'!$A$1:$L$1300,1015+HN$3,2+HN$2)&lt;&gt;"",INDEX('×入力'!$A$1:$L$1300,1014,2+HN$2)&lt;&gt;"",INDEX('×入力'!$A$1:$L$1300,1015+HN$3,1)&lt;&gt;""),1,0),0)</f>
        <v/>
      </c>
      <c r="HO46">
        <f>IF(HO$4=1,IF(OR(INDEX('×入力'!$A$1:$L$1300,1015+HO$3,2+HO$2)&lt;&gt;"",INDEX('×入力'!$A$1:$L$1300,1014,2+HO$2)&lt;&gt;"",INDEX('×入力'!$A$1:$L$1300,1015+HO$3,1)&lt;&gt;""),1,0),0)</f>
        <v/>
      </c>
      <c r="HP46">
        <f>IF(HP$4=1,IF(OR(INDEX('×入力'!$A$1:$L$1300,1015+HP$3,2+HP$2)&lt;&gt;"",INDEX('×入力'!$A$1:$L$1300,1014,2+HP$2)&lt;&gt;"",INDEX('×入力'!$A$1:$L$1300,1015+HP$3,1)&lt;&gt;""),1,0),0)</f>
        <v/>
      </c>
      <c r="HQ46">
        <f>IF(HQ$4=1,IF(OR(INDEX('×入力'!$A$1:$L$1300,1015+HQ$3,2+HQ$2)&lt;&gt;"",INDEX('×入力'!$A$1:$L$1300,1014,2+HQ$2)&lt;&gt;"",INDEX('×入力'!$A$1:$L$1300,1015+HQ$3,1)&lt;&gt;""),1,0),0)</f>
        <v/>
      </c>
      <c r="HR46">
        <f>IF(HR$4=1,IF(OR(INDEX('×入力'!$A$1:$L$1300,1015+HR$3,2+HR$2)&lt;&gt;"",INDEX('×入力'!$A$1:$L$1300,1014,2+HR$2)&lt;&gt;"",INDEX('×入力'!$A$1:$L$1300,1015+HR$3,1)&lt;&gt;""),1,0),0)</f>
        <v/>
      </c>
      <c r="HS46">
        <f>IF(HS$4=1,IF(OR(INDEX('×入力'!$A$1:$L$1300,1015+HS$3,2+HS$2)&lt;&gt;"",INDEX('×入力'!$A$1:$L$1300,1014,2+HS$2)&lt;&gt;"",INDEX('×入力'!$A$1:$L$1300,1015+HS$3,1)&lt;&gt;""),1,0),0)</f>
        <v/>
      </c>
      <c r="HT46">
        <f>IF(HT$4=1,IF(OR(INDEX('×入力'!$A$1:$L$1300,1015+HT$3,2+HT$2)&lt;&gt;"",INDEX('×入力'!$A$1:$L$1300,1014,2+HT$2)&lt;&gt;"",INDEX('×入力'!$A$1:$L$1300,1015+HT$3,1)&lt;&gt;""),1,0),0)</f>
        <v/>
      </c>
      <c r="HU46">
        <f>IF(HU$4=1,IF(OR(INDEX('×入力'!$A$1:$L$1300,1015+HU$3,2+HU$2)&lt;&gt;"",INDEX('×入力'!$A$1:$L$1300,1014,2+HU$2)&lt;&gt;"",INDEX('×入力'!$A$1:$L$1300,1015+HU$3,1)&lt;&gt;""),1,0),0)</f>
        <v/>
      </c>
      <c r="HV46">
        <f>IF(HV$4=1,IF(OR(INDEX('×入力'!$A$1:$L$1300,1015+HV$3,2+HV$2)&lt;&gt;"",INDEX('×入力'!$A$1:$L$1300,1014,2+HV$2)&lt;&gt;"",INDEX('×入力'!$A$1:$L$1300,1015+HV$3,1)&lt;&gt;""),1,0),0)</f>
        <v/>
      </c>
      <c r="HW46">
        <f>IF(HW$4=1,IF(OR(INDEX('×入力'!$A$1:$L$1300,1015+HW$3,2+HW$2)&lt;&gt;"",INDEX('×入力'!$A$1:$L$1300,1014,2+HW$2)&lt;&gt;"",INDEX('×入力'!$A$1:$L$1300,1015+HW$3,1)&lt;&gt;""),1,0),0)</f>
        <v/>
      </c>
      <c r="HX46">
        <f>IF(HX$4=1,IF(OR(INDEX('×入力'!$A$1:$L$1300,1015+HX$3,2+HX$2)&lt;&gt;"",INDEX('×入力'!$A$1:$L$1300,1014,2+HX$2)&lt;&gt;"",INDEX('×入力'!$A$1:$L$1300,1015+HX$3,1)&lt;&gt;""),1,0),0)</f>
        <v/>
      </c>
      <c r="HY46">
        <f>IF(HY$4=1,IF(OR(INDEX('×入力'!$A$1:$L$1300,1015+HY$3,2+HY$2)&lt;&gt;"",INDEX('×入力'!$A$1:$L$1300,1014,2+HY$2)&lt;&gt;"",INDEX('×入力'!$A$1:$L$1300,1015+HY$3,1)&lt;&gt;""),1,0),0)</f>
        <v/>
      </c>
      <c r="HZ46">
        <f>IF(HZ$4=1,IF(OR(INDEX('×入力'!$A$1:$L$1300,1015+HZ$3,2+HZ$2)&lt;&gt;"",INDEX('×入力'!$A$1:$L$1300,1014,2+HZ$2)&lt;&gt;"",INDEX('×入力'!$A$1:$L$1300,1015+HZ$3,1)&lt;&gt;""),1,0),0)</f>
        <v/>
      </c>
      <c r="IA46">
        <f>IF(IA$4=1,IF(OR(INDEX('×入力'!$A$1:$L$1300,1015+IA$3,2+IA$2)&lt;&gt;"",INDEX('×入力'!$A$1:$L$1300,1014,2+IA$2)&lt;&gt;"",INDEX('×入力'!$A$1:$L$1300,1015+IA$3,1)&lt;&gt;""),1,0),0)</f>
        <v/>
      </c>
      <c r="IB46">
        <f>IF(IB$4=1,IF(OR(INDEX('×入力'!$A$1:$L$1300,1015+IB$3,2+IB$2)&lt;&gt;"",INDEX('×入力'!$A$1:$L$1300,1014,2+IB$2)&lt;&gt;"",INDEX('×入力'!$A$1:$L$1300,1015+IB$3,1)&lt;&gt;""),1,0),0)</f>
        <v/>
      </c>
      <c r="IC46">
        <f>IF(IC$4=1,IF(OR(INDEX('×入力'!$A$1:$L$1300,1015+IC$3,2+IC$2)&lt;&gt;"",INDEX('×入力'!$A$1:$L$1300,1014,2+IC$2)&lt;&gt;"",INDEX('×入力'!$A$1:$L$1300,1015+IC$3,1)&lt;&gt;""),1,0),0)</f>
        <v/>
      </c>
      <c r="ID46">
        <f>IF(ID$4=1,IF(OR(INDEX('×入力'!$A$1:$L$1300,1015+ID$3,2+ID$2)&lt;&gt;"",INDEX('×入力'!$A$1:$L$1300,1014,2+ID$2)&lt;&gt;"",INDEX('×入力'!$A$1:$L$1300,1015+ID$3,1)&lt;&gt;""),1,0),0)</f>
        <v/>
      </c>
      <c r="IE46">
        <f>IF(IE$4=1,IF(OR(INDEX('×入力'!$A$1:$L$1300,1015+IE$3,2+IE$2)&lt;&gt;"",INDEX('×入力'!$A$1:$L$1300,1014,2+IE$2)&lt;&gt;"",INDEX('×入力'!$A$1:$L$1300,1015+IE$3,1)&lt;&gt;""),1,0),0)</f>
        <v/>
      </c>
      <c r="IF46">
        <f>IF(IF$4=1,IF(OR(INDEX('×入力'!$A$1:$L$1300,1015+IF$3,2+IF$2)&lt;&gt;"",INDEX('×入力'!$A$1:$L$1300,1014,2+IF$2)&lt;&gt;"",INDEX('×入力'!$A$1:$L$1300,1015+IF$3,1)&lt;&gt;""),1,0),0)</f>
        <v/>
      </c>
      <c r="IG46">
        <f>IF(IG$4=1,IF(OR(INDEX('×入力'!$A$1:$L$1300,1015+IG$3,2+IG$2)&lt;&gt;"",INDEX('×入力'!$A$1:$L$1300,1014,2+IG$2)&lt;&gt;"",INDEX('×入力'!$A$1:$L$1300,1015+IG$3,1)&lt;&gt;""),1,0),0)</f>
        <v/>
      </c>
      <c r="IH46">
        <f>IF(IH$4=1,IF(OR(INDEX('×入力'!$A$1:$L$1300,1015+IH$3,2+IH$2)&lt;&gt;"",INDEX('×入力'!$A$1:$L$1300,1014,2+IH$2)&lt;&gt;"",INDEX('×入力'!$A$1:$L$1300,1015+IH$3,1)&lt;&gt;""),1,0),0)</f>
        <v/>
      </c>
      <c r="II46">
        <f>IF(II$4=1,IF(OR(INDEX('×入力'!$A$1:$L$1300,1015+II$3,2+II$2)&lt;&gt;"",INDEX('×入力'!$A$1:$L$1300,1014,2+II$2)&lt;&gt;"",INDEX('×入力'!$A$1:$L$1300,1015+II$3,1)&lt;&gt;""),1,0),0)</f>
        <v/>
      </c>
      <c r="IK46">
        <f>IFERROR(INDEX('計算B'!$C$3:$C$47,MATCH(A46,'計算B'!$B$3:$B$47,0)),0)</f>
        <v/>
      </c>
      <c r="IL46">
        <f>IF(AND(C46=1,IK46=0),1,0)</f>
        <v/>
      </c>
      <c r="IM46">
        <f>SUMPRODUCT(D96:II96*(1-$D$7:$II$7))</f>
        <v/>
      </c>
      <c r="IN46">
        <f>SUM(D46:II46)</f>
        <v/>
      </c>
      <c r="IO46">
        <f>IF(B46="",0,IF(COUNTIF('調整・決定'!$C$6:$L$29,B46)=1,SUMPRODUCT(('調整・決定'!$C$6:$L$29=B46)*((COLUMN('調整・決定'!$C$6:$L$29)-3)*24+ROW('調整・決定'!$C$6:$L$29)-5)),0))</f>
        <v/>
      </c>
      <c r="IP46">
        <f>IFERROR(MATCH('名簿'!E41,{"早い時刻","遅い時刻","早い日","遅い日"},0),0)</f>
        <v/>
      </c>
      <c r="IQ46">
        <f>IF('名簿'!F41="必ず空けたい",2,IF('名簿'!F41="出来れば空けたい",1,0))</f>
        <v/>
      </c>
    </row>
    <row r="47">
      <c r="A47" t="n">
        <v>38</v>
      </c>
      <c r="B47">
        <f>'名簿'!G42</f>
        <v/>
      </c>
      <c r="C47">
        <f>IF(AND(B47&lt;&gt;"",OR('名簿'!H42="入力済み",'名簿'!H42="×なし"),IO47=0,COUNTIF('調整・決定'!$C$6:$L$29,B47)=0),1,0)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ER47">
        <f>IF(ER$4=1,IF(OR(INDEX('×入力'!$A$1:$L$1300,1043+ER$3,2+ER$2)&lt;&gt;"",INDEX('×入力'!$A$1:$L$1300,1042,2+ER$2)&lt;&gt;"",INDEX('×入力'!$A$1:$L$1300,1043+ER$3,1)&lt;&gt;""),1,0),0)</f>
        <v/>
      </c>
      <c r="ES47">
        <f>IF(ES$4=1,IF(OR(INDEX('×入力'!$A$1:$L$1300,1043+ES$3,2+ES$2)&lt;&gt;"",INDEX('×入力'!$A$1:$L$1300,1042,2+ES$2)&lt;&gt;"",INDEX('×入力'!$A$1:$L$1300,1043+ES$3,1)&lt;&gt;""),1,0),0)</f>
        <v/>
      </c>
      <c r="ET47">
        <f>IF(ET$4=1,IF(OR(INDEX('×入力'!$A$1:$L$1300,1043+ET$3,2+ET$2)&lt;&gt;"",INDEX('×入力'!$A$1:$L$1300,1042,2+ET$2)&lt;&gt;"",INDEX('×入力'!$A$1:$L$1300,1043+ET$3,1)&lt;&gt;""),1,0),0)</f>
        <v/>
      </c>
      <c r="EU47">
        <f>IF(EU$4=1,IF(OR(INDEX('×入力'!$A$1:$L$1300,1043+EU$3,2+EU$2)&lt;&gt;"",INDEX('×入力'!$A$1:$L$1300,1042,2+EU$2)&lt;&gt;"",INDEX('×入力'!$A$1:$L$1300,1043+EU$3,1)&lt;&gt;""),1,0),0)</f>
        <v/>
      </c>
      <c r="EV47">
        <f>IF(EV$4=1,IF(OR(INDEX('×入力'!$A$1:$L$1300,1043+EV$3,2+EV$2)&lt;&gt;"",INDEX('×入力'!$A$1:$L$1300,1042,2+EV$2)&lt;&gt;"",INDEX('×入力'!$A$1:$L$1300,1043+EV$3,1)&lt;&gt;""),1,0),0)</f>
        <v/>
      </c>
      <c r="EW47">
        <f>IF(EW$4=1,IF(OR(INDEX('×入力'!$A$1:$L$1300,1043+EW$3,2+EW$2)&lt;&gt;"",INDEX('×入力'!$A$1:$L$1300,1042,2+EW$2)&lt;&gt;"",INDEX('×入力'!$A$1:$L$1300,1043+EW$3,1)&lt;&gt;""),1,0),0)</f>
        <v/>
      </c>
      <c r="EX47">
        <f>IF(EX$4=1,IF(OR(INDEX('×入力'!$A$1:$L$1300,1043+EX$3,2+EX$2)&lt;&gt;"",INDEX('×入力'!$A$1:$L$1300,1042,2+EX$2)&lt;&gt;"",INDEX('×入力'!$A$1:$L$1300,1043+EX$3,1)&lt;&gt;""),1,0),0)</f>
        <v/>
      </c>
      <c r="EY47">
        <f>IF(EY$4=1,IF(OR(INDEX('×入力'!$A$1:$L$1300,1043+EY$3,2+EY$2)&lt;&gt;"",INDEX('×入力'!$A$1:$L$1300,1042,2+EY$2)&lt;&gt;"",INDEX('×入力'!$A$1:$L$1300,1043+EY$3,1)&lt;&gt;""),1,0),0)</f>
        <v/>
      </c>
      <c r="EZ47">
        <f>IF(EZ$4=1,IF(OR(INDEX('×入力'!$A$1:$L$1300,1043+EZ$3,2+EZ$2)&lt;&gt;"",INDEX('×入力'!$A$1:$L$1300,1042,2+EZ$2)&lt;&gt;"",INDEX('×入力'!$A$1:$L$1300,1043+EZ$3,1)&lt;&gt;""),1,0),0)</f>
        <v/>
      </c>
      <c r="FA47">
        <f>IF(FA$4=1,IF(OR(INDEX('×入力'!$A$1:$L$1300,1043+FA$3,2+FA$2)&lt;&gt;"",INDEX('×入力'!$A$1:$L$1300,1042,2+FA$2)&lt;&gt;"",INDEX('×入力'!$A$1:$L$1300,1043+FA$3,1)&lt;&gt;""),1,0),0)</f>
        <v/>
      </c>
      <c r="FB47">
        <f>IF(FB$4=1,IF(OR(INDEX('×入力'!$A$1:$L$1300,1043+FB$3,2+FB$2)&lt;&gt;"",INDEX('×入力'!$A$1:$L$1300,1042,2+FB$2)&lt;&gt;"",INDEX('×入力'!$A$1:$L$1300,1043+FB$3,1)&lt;&gt;""),1,0),0)</f>
        <v/>
      </c>
      <c r="FC47">
        <f>IF(FC$4=1,IF(OR(INDEX('×入力'!$A$1:$L$1300,1043+FC$3,2+FC$2)&lt;&gt;"",INDEX('×入力'!$A$1:$L$1300,1042,2+FC$2)&lt;&gt;"",INDEX('×入力'!$A$1:$L$1300,1043+FC$3,1)&lt;&gt;""),1,0),0)</f>
        <v/>
      </c>
      <c r="FD47">
        <f>IF(FD$4=1,IF(OR(INDEX('×入力'!$A$1:$L$1300,1043+FD$3,2+FD$2)&lt;&gt;"",INDEX('×入力'!$A$1:$L$1300,1042,2+FD$2)&lt;&gt;"",INDEX('×入力'!$A$1:$L$1300,1043+FD$3,1)&lt;&gt;""),1,0),0)</f>
        <v/>
      </c>
      <c r="FE47">
        <f>IF(FE$4=1,IF(OR(INDEX('×入力'!$A$1:$L$1300,1043+FE$3,2+FE$2)&lt;&gt;"",INDEX('×入力'!$A$1:$L$1300,1042,2+FE$2)&lt;&gt;"",INDEX('×入力'!$A$1:$L$1300,1043+FE$3,1)&lt;&gt;""),1,0),0)</f>
        <v/>
      </c>
      <c r="FF47">
        <f>IF(FF$4=1,IF(OR(INDEX('×入力'!$A$1:$L$1300,1043+FF$3,2+FF$2)&lt;&gt;"",INDEX('×入力'!$A$1:$L$1300,1042,2+FF$2)&lt;&gt;"",INDEX('×入力'!$A$1:$L$1300,1043+FF$3,1)&lt;&gt;""),1,0),0)</f>
        <v/>
      </c>
      <c r="FG47">
        <f>IF(FG$4=1,IF(OR(INDEX('×入力'!$A$1:$L$1300,1043+FG$3,2+FG$2)&lt;&gt;"",INDEX('×入力'!$A$1:$L$1300,1042,2+FG$2)&lt;&gt;"",INDEX('×入力'!$A$1:$L$1300,1043+FG$3,1)&lt;&gt;""),1,0),0)</f>
        <v/>
      </c>
      <c r="FH47">
        <f>IF(FH$4=1,IF(OR(INDEX('×入力'!$A$1:$L$1300,1043+FH$3,2+FH$2)&lt;&gt;"",INDEX('×入力'!$A$1:$L$1300,1042,2+FH$2)&lt;&gt;"",INDEX('×入力'!$A$1:$L$1300,1043+FH$3,1)&lt;&gt;""),1,0),0)</f>
        <v/>
      </c>
      <c r="FI47">
        <f>IF(FI$4=1,IF(OR(INDEX('×入力'!$A$1:$L$1300,1043+FI$3,2+FI$2)&lt;&gt;"",INDEX('×入力'!$A$1:$L$1300,1042,2+FI$2)&lt;&gt;"",INDEX('×入力'!$A$1:$L$1300,1043+FI$3,1)&lt;&gt;""),1,0),0)</f>
        <v/>
      </c>
      <c r="FJ47">
        <f>IF(FJ$4=1,IF(OR(INDEX('×入力'!$A$1:$L$1300,1043+FJ$3,2+FJ$2)&lt;&gt;"",INDEX('×入力'!$A$1:$L$1300,1042,2+FJ$2)&lt;&gt;"",INDEX('×入力'!$A$1:$L$1300,1043+FJ$3,1)&lt;&gt;""),1,0),0)</f>
        <v/>
      </c>
      <c r="FK47">
        <f>IF(FK$4=1,IF(OR(INDEX('×入力'!$A$1:$L$1300,1043+FK$3,2+FK$2)&lt;&gt;"",INDEX('×入力'!$A$1:$L$1300,1042,2+FK$2)&lt;&gt;"",INDEX('×入力'!$A$1:$L$1300,1043+FK$3,1)&lt;&gt;""),1,0),0)</f>
        <v/>
      </c>
      <c r="FL47">
        <f>IF(FL$4=1,IF(OR(INDEX('×入力'!$A$1:$L$1300,1043+FL$3,2+FL$2)&lt;&gt;"",INDEX('×入力'!$A$1:$L$1300,1042,2+FL$2)&lt;&gt;"",INDEX('×入力'!$A$1:$L$1300,1043+FL$3,1)&lt;&gt;""),1,0),0)</f>
        <v/>
      </c>
      <c r="FM47">
        <f>IF(FM$4=1,IF(OR(INDEX('×入力'!$A$1:$L$1300,1043+FM$3,2+FM$2)&lt;&gt;"",INDEX('×入力'!$A$1:$L$1300,1042,2+FM$2)&lt;&gt;"",INDEX('×入力'!$A$1:$L$1300,1043+FM$3,1)&lt;&gt;""),1,0),0)</f>
        <v/>
      </c>
      <c r="FN47">
        <f>IF(FN$4=1,IF(OR(INDEX('×入力'!$A$1:$L$1300,1043+FN$3,2+FN$2)&lt;&gt;"",INDEX('×入力'!$A$1:$L$1300,1042,2+FN$2)&lt;&gt;"",INDEX('×入力'!$A$1:$L$1300,1043+FN$3,1)&lt;&gt;""),1,0),0)</f>
        <v/>
      </c>
      <c r="FO47">
        <f>IF(FO$4=1,IF(OR(INDEX('×入力'!$A$1:$L$1300,1043+FO$3,2+FO$2)&lt;&gt;"",INDEX('×入力'!$A$1:$L$1300,1042,2+FO$2)&lt;&gt;"",INDEX('×入力'!$A$1:$L$1300,1043+FO$3,1)&lt;&gt;""),1,0),0)</f>
        <v/>
      </c>
      <c r="FP47">
        <f>IF(FP$4=1,IF(OR(INDEX('×入力'!$A$1:$L$1300,1043+FP$3,2+FP$2)&lt;&gt;"",INDEX('×入力'!$A$1:$L$1300,1042,2+FP$2)&lt;&gt;"",INDEX('×入力'!$A$1:$L$1300,1043+FP$3,1)&lt;&gt;""),1,0),0)</f>
        <v/>
      </c>
      <c r="FQ47">
        <f>IF(FQ$4=1,IF(OR(INDEX('×入力'!$A$1:$L$1300,1043+FQ$3,2+FQ$2)&lt;&gt;"",INDEX('×入力'!$A$1:$L$1300,1042,2+FQ$2)&lt;&gt;"",INDEX('×入力'!$A$1:$L$1300,1043+FQ$3,1)&lt;&gt;""),1,0),0)</f>
        <v/>
      </c>
      <c r="FR47">
        <f>IF(FR$4=1,IF(OR(INDEX('×入力'!$A$1:$L$1300,1043+FR$3,2+FR$2)&lt;&gt;"",INDEX('×入力'!$A$1:$L$1300,1042,2+FR$2)&lt;&gt;"",INDEX('×入力'!$A$1:$L$1300,1043+FR$3,1)&lt;&gt;""),1,0),0)</f>
        <v/>
      </c>
      <c r="FS47">
        <f>IF(FS$4=1,IF(OR(INDEX('×入力'!$A$1:$L$1300,1043+FS$3,2+FS$2)&lt;&gt;"",INDEX('×入力'!$A$1:$L$1300,1042,2+FS$2)&lt;&gt;"",INDEX('×入力'!$A$1:$L$1300,1043+FS$3,1)&lt;&gt;""),1,0),0)</f>
        <v/>
      </c>
      <c r="FT47">
        <f>IF(FT$4=1,IF(OR(INDEX('×入力'!$A$1:$L$1300,1043+FT$3,2+FT$2)&lt;&gt;"",INDEX('×入力'!$A$1:$L$1300,1042,2+FT$2)&lt;&gt;"",INDEX('×入力'!$A$1:$L$1300,1043+FT$3,1)&lt;&gt;""),1,0),0)</f>
        <v/>
      </c>
      <c r="FU47">
        <f>IF(FU$4=1,IF(OR(INDEX('×入力'!$A$1:$L$1300,1043+FU$3,2+FU$2)&lt;&gt;"",INDEX('×入力'!$A$1:$L$1300,1042,2+FU$2)&lt;&gt;"",INDEX('×入力'!$A$1:$L$1300,1043+FU$3,1)&lt;&gt;""),1,0),0)</f>
        <v/>
      </c>
      <c r="FV47">
        <f>IF(FV$4=1,IF(OR(INDEX('×入力'!$A$1:$L$1300,1043+FV$3,2+FV$2)&lt;&gt;"",INDEX('×入力'!$A$1:$L$1300,1042,2+FV$2)&lt;&gt;"",INDEX('×入力'!$A$1:$L$1300,1043+FV$3,1)&lt;&gt;""),1,0),0)</f>
        <v/>
      </c>
      <c r="FW47">
        <f>IF(FW$4=1,IF(OR(INDEX('×入力'!$A$1:$L$1300,1043+FW$3,2+FW$2)&lt;&gt;"",INDEX('×入力'!$A$1:$L$1300,1042,2+FW$2)&lt;&gt;"",INDEX('×入力'!$A$1:$L$1300,1043+FW$3,1)&lt;&gt;""),1,0),0)</f>
        <v/>
      </c>
      <c r="FX47">
        <f>IF(FX$4=1,IF(OR(INDEX('×入力'!$A$1:$L$1300,1043+FX$3,2+FX$2)&lt;&gt;"",INDEX('×入力'!$A$1:$L$1300,1042,2+FX$2)&lt;&gt;"",INDEX('×入力'!$A$1:$L$1300,1043+FX$3,1)&lt;&gt;""),1,0),0)</f>
        <v/>
      </c>
      <c r="FY47">
        <f>IF(FY$4=1,IF(OR(INDEX('×入力'!$A$1:$L$1300,1043+FY$3,2+FY$2)&lt;&gt;"",INDEX('×入力'!$A$1:$L$1300,1042,2+FY$2)&lt;&gt;"",INDEX('×入力'!$A$1:$L$1300,1043+FY$3,1)&lt;&gt;""),1,0),0)</f>
        <v/>
      </c>
      <c r="FZ47">
        <f>IF(FZ$4=1,IF(OR(INDEX('×入力'!$A$1:$L$1300,1043+FZ$3,2+FZ$2)&lt;&gt;"",INDEX('×入力'!$A$1:$L$1300,1042,2+FZ$2)&lt;&gt;"",INDEX('×入力'!$A$1:$L$1300,1043+FZ$3,1)&lt;&gt;""),1,0),0)</f>
        <v/>
      </c>
      <c r="GA47">
        <f>IF(GA$4=1,IF(OR(INDEX('×入力'!$A$1:$L$1300,1043+GA$3,2+GA$2)&lt;&gt;"",INDEX('×入力'!$A$1:$L$1300,1042,2+GA$2)&lt;&gt;"",INDEX('×入力'!$A$1:$L$1300,1043+GA$3,1)&lt;&gt;""),1,0),0)</f>
        <v/>
      </c>
      <c r="GB47">
        <f>IF(GB$4=1,IF(OR(INDEX('×入力'!$A$1:$L$1300,1043+GB$3,2+GB$2)&lt;&gt;"",INDEX('×入力'!$A$1:$L$1300,1042,2+GB$2)&lt;&gt;"",INDEX('×入力'!$A$1:$L$1300,1043+GB$3,1)&lt;&gt;""),1,0),0)</f>
        <v/>
      </c>
      <c r="GC47">
        <f>IF(GC$4=1,IF(OR(INDEX('×入力'!$A$1:$L$1300,1043+GC$3,2+GC$2)&lt;&gt;"",INDEX('×入力'!$A$1:$L$1300,1042,2+GC$2)&lt;&gt;"",INDEX('×入力'!$A$1:$L$1300,1043+GC$3,1)&lt;&gt;""),1,0),0)</f>
        <v/>
      </c>
      <c r="GD47">
        <f>IF(GD$4=1,IF(OR(INDEX('×入力'!$A$1:$L$1300,1043+GD$3,2+GD$2)&lt;&gt;"",INDEX('×入力'!$A$1:$L$1300,1042,2+GD$2)&lt;&gt;"",INDEX('×入力'!$A$1:$L$1300,1043+GD$3,1)&lt;&gt;""),1,0),0)</f>
        <v/>
      </c>
      <c r="GE47">
        <f>IF(GE$4=1,IF(OR(INDEX('×入力'!$A$1:$L$1300,1043+GE$3,2+GE$2)&lt;&gt;"",INDEX('×入力'!$A$1:$L$1300,1042,2+GE$2)&lt;&gt;"",INDEX('×入力'!$A$1:$L$1300,1043+GE$3,1)&lt;&gt;""),1,0),0)</f>
        <v/>
      </c>
      <c r="GF47">
        <f>IF(GF$4=1,IF(OR(INDEX('×入力'!$A$1:$L$1300,1043+GF$3,2+GF$2)&lt;&gt;"",INDEX('×入力'!$A$1:$L$1300,1042,2+GF$2)&lt;&gt;"",INDEX('×入力'!$A$1:$L$1300,1043+GF$3,1)&lt;&gt;""),1,0),0)</f>
        <v/>
      </c>
      <c r="GG47">
        <f>IF(GG$4=1,IF(OR(INDEX('×入力'!$A$1:$L$1300,1043+GG$3,2+GG$2)&lt;&gt;"",INDEX('×入力'!$A$1:$L$1300,1042,2+GG$2)&lt;&gt;"",INDEX('×入力'!$A$1:$L$1300,1043+GG$3,1)&lt;&gt;""),1,0),0)</f>
        <v/>
      </c>
      <c r="GH47">
        <f>IF(GH$4=1,IF(OR(INDEX('×入力'!$A$1:$L$1300,1043+GH$3,2+GH$2)&lt;&gt;"",INDEX('×入力'!$A$1:$L$1300,1042,2+GH$2)&lt;&gt;"",INDEX('×入力'!$A$1:$L$1300,1043+GH$3,1)&lt;&gt;""),1,0),0)</f>
        <v/>
      </c>
      <c r="GI47">
        <f>IF(GI$4=1,IF(OR(INDEX('×入力'!$A$1:$L$1300,1043+GI$3,2+GI$2)&lt;&gt;"",INDEX('×入力'!$A$1:$L$1300,1042,2+GI$2)&lt;&gt;"",INDEX('×入力'!$A$1:$L$1300,1043+GI$3,1)&lt;&gt;""),1,0),0)</f>
        <v/>
      </c>
      <c r="GJ47">
        <f>IF(GJ$4=1,IF(OR(INDEX('×入力'!$A$1:$L$1300,1043+GJ$3,2+GJ$2)&lt;&gt;"",INDEX('×入力'!$A$1:$L$1300,1042,2+GJ$2)&lt;&gt;"",INDEX('×入力'!$A$1:$L$1300,1043+GJ$3,1)&lt;&gt;""),1,0),0)</f>
        <v/>
      </c>
      <c r="GK47">
        <f>IF(GK$4=1,IF(OR(INDEX('×入力'!$A$1:$L$1300,1043+GK$3,2+GK$2)&lt;&gt;"",INDEX('×入力'!$A$1:$L$1300,1042,2+GK$2)&lt;&gt;"",INDEX('×入力'!$A$1:$L$1300,1043+GK$3,1)&lt;&gt;""),1,0),0)</f>
        <v/>
      </c>
      <c r="GL47">
        <f>IF(GL$4=1,IF(OR(INDEX('×入力'!$A$1:$L$1300,1043+GL$3,2+GL$2)&lt;&gt;"",INDEX('×入力'!$A$1:$L$1300,1042,2+GL$2)&lt;&gt;"",INDEX('×入力'!$A$1:$L$1300,1043+GL$3,1)&lt;&gt;""),1,0),0)</f>
        <v/>
      </c>
      <c r="GM47">
        <f>IF(GM$4=1,IF(OR(INDEX('×入力'!$A$1:$L$1300,1043+GM$3,2+GM$2)&lt;&gt;"",INDEX('×入力'!$A$1:$L$1300,1042,2+GM$2)&lt;&gt;"",INDEX('×入力'!$A$1:$L$1300,1043+GM$3,1)&lt;&gt;""),1,0),0)</f>
        <v/>
      </c>
      <c r="GN47">
        <f>IF(GN$4=1,IF(OR(INDEX('×入力'!$A$1:$L$1300,1043+GN$3,2+GN$2)&lt;&gt;"",INDEX('×入力'!$A$1:$L$1300,1042,2+GN$2)&lt;&gt;"",INDEX('×入力'!$A$1:$L$1300,1043+GN$3,1)&lt;&gt;""),1,0),0)</f>
        <v/>
      </c>
      <c r="GO47">
        <f>IF(GO$4=1,IF(OR(INDEX('×入力'!$A$1:$L$1300,1043+GO$3,2+GO$2)&lt;&gt;"",INDEX('×入力'!$A$1:$L$1300,1042,2+GO$2)&lt;&gt;"",INDEX('×入力'!$A$1:$L$1300,1043+GO$3,1)&lt;&gt;""),1,0),0)</f>
        <v/>
      </c>
      <c r="GP47">
        <f>IF(GP$4=1,IF(OR(INDEX('×入力'!$A$1:$L$1300,1043+GP$3,2+GP$2)&lt;&gt;"",INDEX('×入力'!$A$1:$L$1300,1042,2+GP$2)&lt;&gt;"",INDEX('×入力'!$A$1:$L$1300,1043+GP$3,1)&lt;&gt;""),1,0),0)</f>
        <v/>
      </c>
      <c r="GQ47">
        <f>IF(GQ$4=1,IF(OR(INDEX('×入力'!$A$1:$L$1300,1043+GQ$3,2+GQ$2)&lt;&gt;"",INDEX('×入力'!$A$1:$L$1300,1042,2+GQ$2)&lt;&gt;"",INDEX('×入力'!$A$1:$L$1300,1043+GQ$3,1)&lt;&gt;""),1,0),0)</f>
        <v/>
      </c>
      <c r="GR47">
        <f>IF(GR$4=1,IF(OR(INDEX('×入力'!$A$1:$L$1300,1043+GR$3,2+GR$2)&lt;&gt;"",INDEX('×入力'!$A$1:$L$1300,1042,2+GR$2)&lt;&gt;"",INDEX('×入力'!$A$1:$L$1300,1043+GR$3,1)&lt;&gt;""),1,0),0)</f>
        <v/>
      </c>
      <c r="GS47">
        <f>IF(GS$4=1,IF(OR(INDEX('×入力'!$A$1:$L$1300,1043+GS$3,2+GS$2)&lt;&gt;"",INDEX('×入力'!$A$1:$L$1300,1042,2+GS$2)&lt;&gt;"",INDEX('×入力'!$A$1:$L$1300,1043+GS$3,1)&lt;&gt;""),1,0),0)</f>
        <v/>
      </c>
      <c r="GT47">
        <f>IF(GT$4=1,IF(OR(INDEX('×入力'!$A$1:$L$1300,1043+GT$3,2+GT$2)&lt;&gt;"",INDEX('×入力'!$A$1:$L$1300,1042,2+GT$2)&lt;&gt;"",INDEX('×入力'!$A$1:$L$1300,1043+GT$3,1)&lt;&gt;""),1,0),0)</f>
        <v/>
      </c>
      <c r="GU47">
        <f>IF(GU$4=1,IF(OR(INDEX('×入力'!$A$1:$L$1300,1043+GU$3,2+GU$2)&lt;&gt;"",INDEX('×入力'!$A$1:$L$1300,1042,2+GU$2)&lt;&gt;"",INDEX('×入力'!$A$1:$L$1300,1043+GU$3,1)&lt;&gt;""),1,0),0)</f>
        <v/>
      </c>
      <c r="GV47">
        <f>IF(GV$4=1,IF(OR(INDEX('×入力'!$A$1:$L$1300,1043+GV$3,2+GV$2)&lt;&gt;"",INDEX('×入力'!$A$1:$L$1300,1042,2+GV$2)&lt;&gt;"",INDEX('×入力'!$A$1:$L$1300,1043+GV$3,1)&lt;&gt;""),1,0),0)</f>
        <v/>
      </c>
      <c r="GW47">
        <f>IF(GW$4=1,IF(OR(INDEX('×入力'!$A$1:$L$1300,1043+GW$3,2+GW$2)&lt;&gt;"",INDEX('×入力'!$A$1:$L$1300,1042,2+GW$2)&lt;&gt;"",INDEX('×入力'!$A$1:$L$1300,1043+GW$3,1)&lt;&gt;""),1,0),0)</f>
        <v/>
      </c>
      <c r="GX47">
        <f>IF(GX$4=1,IF(OR(INDEX('×入力'!$A$1:$L$1300,1043+GX$3,2+GX$2)&lt;&gt;"",INDEX('×入力'!$A$1:$L$1300,1042,2+GX$2)&lt;&gt;"",INDEX('×入力'!$A$1:$L$1300,1043+GX$3,1)&lt;&gt;""),1,0),0)</f>
        <v/>
      </c>
      <c r="GY47">
        <f>IF(GY$4=1,IF(OR(INDEX('×入力'!$A$1:$L$1300,1043+GY$3,2+GY$2)&lt;&gt;"",INDEX('×入力'!$A$1:$L$1300,1042,2+GY$2)&lt;&gt;"",INDEX('×入力'!$A$1:$L$1300,1043+GY$3,1)&lt;&gt;""),1,0),0)</f>
        <v/>
      </c>
      <c r="GZ47">
        <f>IF(GZ$4=1,IF(OR(INDEX('×入力'!$A$1:$L$1300,1043+GZ$3,2+GZ$2)&lt;&gt;"",INDEX('×入力'!$A$1:$L$1300,1042,2+GZ$2)&lt;&gt;"",INDEX('×入力'!$A$1:$L$1300,1043+GZ$3,1)&lt;&gt;""),1,0),0)</f>
        <v/>
      </c>
      <c r="HA47">
        <f>IF(HA$4=1,IF(OR(INDEX('×入力'!$A$1:$L$1300,1043+HA$3,2+HA$2)&lt;&gt;"",INDEX('×入力'!$A$1:$L$1300,1042,2+HA$2)&lt;&gt;"",INDEX('×入力'!$A$1:$L$1300,1043+HA$3,1)&lt;&gt;""),1,0),0)</f>
        <v/>
      </c>
      <c r="HB47">
        <f>IF(HB$4=1,IF(OR(INDEX('×入力'!$A$1:$L$1300,1043+HB$3,2+HB$2)&lt;&gt;"",INDEX('×入力'!$A$1:$L$1300,1042,2+HB$2)&lt;&gt;"",INDEX('×入力'!$A$1:$L$1300,1043+HB$3,1)&lt;&gt;""),1,0),0)</f>
        <v/>
      </c>
      <c r="HC47">
        <f>IF(HC$4=1,IF(OR(INDEX('×入力'!$A$1:$L$1300,1043+HC$3,2+HC$2)&lt;&gt;"",INDEX('×入力'!$A$1:$L$1300,1042,2+HC$2)&lt;&gt;"",INDEX('×入力'!$A$1:$L$1300,1043+HC$3,1)&lt;&gt;""),1,0),0)</f>
        <v/>
      </c>
      <c r="HD47">
        <f>IF(HD$4=1,IF(OR(INDEX('×入力'!$A$1:$L$1300,1043+HD$3,2+HD$2)&lt;&gt;"",INDEX('×入力'!$A$1:$L$1300,1042,2+HD$2)&lt;&gt;"",INDEX('×入力'!$A$1:$L$1300,1043+HD$3,1)&lt;&gt;""),1,0),0)</f>
        <v/>
      </c>
      <c r="HE47">
        <f>IF(HE$4=1,IF(OR(INDEX('×入力'!$A$1:$L$1300,1043+HE$3,2+HE$2)&lt;&gt;"",INDEX('×入力'!$A$1:$L$1300,1042,2+HE$2)&lt;&gt;"",INDEX('×入力'!$A$1:$L$1300,1043+HE$3,1)&lt;&gt;""),1,0),0)</f>
        <v/>
      </c>
      <c r="HF47">
        <f>IF(HF$4=1,IF(OR(INDEX('×入力'!$A$1:$L$1300,1043+HF$3,2+HF$2)&lt;&gt;"",INDEX('×入力'!$A$1:$L$1300,1042,2+HF$2)&lt;&gt;"",INDEX('×入力'!$A$1:$L$1300,1043+HF$3,1)&lt;&gt;""),1,0),0)</f>
        <v/>
      </c>
      <c r="HG47">
        <f>IF(HG$4=1,IF(OR(INDEX('×入力'!$A$1:$L$1300,1043+HG$3,2+HG$2)&lt;&gt;"",INDEX('×入力'!$A$1:$L$1300,1042,2+HG$2)&lt;&gt;"",INDEX('×入力'!$A$1:$L$1300,1043+HG$3,1)&lt;&gt;""),1,0),0)</f>
        <v/>
      </c>
      <c r="HH47">
        <f>IF(HH$4=1,IF(OR(INDEX('×入力'!$A$1:$L$1300,1043+HH$3,2+HH$2)&lt;&gt;"",INDEX('×入力'!$A$1:$L$1300,1042,2+HH$2)&lt;&gt;"",INDEX('×入力'!$A$1:$L$1300,1043+HH$3,1)&lt;&gt;""),1,0),0)</f>
        <v/>
      </c>
      <c r="HI47">
        <f>IF(HI$4=1,IF(OR(INDEX('×入力'!$A$1:$L$1300,1043+HI$3,2+HI$2)&lt;&gt;"",INDEX('×入力'!$A$1:$L$1300,1042,2+HI$2)&lt;&gt;"",INDEX('×入力'!$A$1:$L$1300,1043+HI$3,1)&lt;&gt;""),1,0),0)</f>
        <v/>
      </c>
      <c r="HJ47">
        <f>IF(HJ$4=1,IF(OR(INDEX('×入力'!$A$1:$L$1300,1043+HJ$3,2+HJ$2)&lt;&gt;"",INDEX('×入力'!$A$1:$L$1300,1042,2+HJ$2)&lt;&gt;"",INDEX('×入力'!$A$1:$L$1300,1043+HJ$3,1)&lt;&gt;""),1,0),0)</f>
        <v/>
      </c>
      <c r="HK47">
        <f>IF(HK$4=1,IF(OR(INDEX('×入力'!$A$1:$L$1300,1043+HK$3,2+HK$2)&lt;&gt;"",INDEX('×入力'!$A$1:$L$1300,1042,2+HK$2)&lt;&gt;"",INDEX('×入力'!$A$1:$L$1300,1043+HK$3,1)&lt;&gt;""),1,0),0)</f>
        <v/>
      </c>
      <c r="HL47">
        <f>IF(HL$4=1,IF(OR(INDEX('×入力'!$A$1:$L$1300,1043+HL$3,2+HL$2)&lt;&gt;"",INDEX('×入力'!$A$1:$L$1300,1042,2+HL$2)&lt;&gt;"",INDEX('×入力'!$A$1:$L$1300,1043+HL$3,1)&lt;&gt;""),1,0),0)</f>
        <v/>
      </c>
      <c r="HM47">
        <f>IF(HM$4=1,IF(OR(INDEX('×入力'!$A$1:$L$1300,1043+HM$3,2+HM$2)&lt;&gt;"",INDEX('×入力'!$A$1:$L$1300,1042,2+HM$2)&lt;&gt;"",INDEX('×入力'!$A$1:$L$1300,1043+HM$3,1)&lt;&gt;""),1,0),0)</f>
        <v/>
      </c>
      <c r="HN47">
        <f>IF(HN$4=1,IF(OR(INDEX('×入力'!$A$1:$L$1300,1043+HN$3,2+HN$2)&lt;&gt;"",INDEX('×入力'!$A$1:$L$1300,1042,2+HN$2)&lt;&gt;"",INDEX('×入力'!$A$1:$L$1300,1043+HN$3,1)&lt;&gt;""),1,0),0)</f>
        <v/>
      </c>
      <c r="HO47">
        <f>IF(HO$4=1,IF(OR(INDEX('×入力'!$A$1:$L$1300,1043+HO$3,2+HO$2)&lt;&gt;"",INDEX('×入力'!$A$1:$L$1300,1042,2+HO$2)&lt;&gt;"",INDEX('×入力'!$A$1:$L$1300,1043+HO$3,1)&lt;&gt;""),1,0),0)</f>
        <v/>
      </c>
      <c r="HP47">
        <f>IF(HP$4=1,IF(OR(INDEX('×入力'!$A$1:$L$1300,1043+HP$3,2+HP$2)&lt;&gt;"",INDEX('×入力'!$A$1:$L$1300,1042,2+HP$2)&lt;&gt;"",INDEX('×入力'!$A$1:$L$1300,1043+HP$3,1)&lt;&gt;""),1,0),0)</f>
        <v/>
      </c>
      <c r="HQ47">
        <f>IF(HQ$4=1,IF(OR(INDEX('×入力'!$A$1:$L$1300,1043+HQ$3,2+HQ$2)&lt;&gt;"",INDEX('×入力'!$A$1:$L$1300,1042,2+HQ$2)&lt;&gt;"",INDEX('×入力'!$A$1:$L$1300,1043+HQ$3,1)&lt;&gt;""),1,0),0)</f>
        <v/>
      </c>
      <c r="HR47">
        <f>IF(HR$4=1,IF(OR(INDEX('×入力'!$A$1:$L$1300,1043+HR$3,2+HR$2)&lt;&gt;"",INDEX('×入力'!$A$1:$L$1300,1042,2+HR$2)&lt;&gt;"",INDEX('×入力'!$A$1:$L$1300,1043+HR$3,1)&lt;&gt;""),1,0),0)</f>
        <v/>
      </c>
      <c r="HS47">
        <f>IF(HS$4=1,IF(OR(INDEX('×入力'!$A$1:$L$1300,1043+HS$3,2+HS$2)&lt;&gt;"",INDEX('×入力'!$A$1:$L$1300,1042,2+HS$2)&lt;&gt;"",INDEX('×入力'!$A$1:$L$1300,1043+HS$3,1)&lt;&gt;""),1,0),0)</f>
        <v/>
      </c>
      <c r="HT47">
        <f>IF(HT$4=1,IF(OR(INDEX('×入力'!$A$1:$L$1300,1043+HT$3,2+HT$2)&lt;&gt;"",INDEX('×入力'!$A$1:$L$1300,1042,2+HT$2)&lt;&gt;"",INDEX('×入力'!$A$1:$L$1300,1043+HT$3,1)&lt;&gt;""),1,0),0)</f>
        <v/>
      </c>
      <c r="HU47">
        <f>IF(HU$4=1,IF(OR(INDEX('×入力'!$A$1:$L$1300,1043+HU$3,2+HU$2)&lt;&gt;"",INDEX('×入力'!$A$1:$L$1300,1042,2+HU$2)&lt;&gt;"",INDEX('×入力'!$A$1:$L$1300,1043+HU$3,1)&lt;&gt;""),1,0),0)</f>
        <v/>
      </c>
      <c r="HV47">
        <f>IF(HV$4=1,IF(OR(INDEX('×入力'!$A$1:$L$1300,1043+HV$3,2+HV$2)&lt;&gt;"",INDEX('×入力'!$A$1:$L$1300,1042,2+HV$2)&lt;&gt;"",INDEX('×入力'!$A$1:$L$1300,1043+HV$3,1)&lt;&gt;""),1,0),0)</f>
        <v/>
      </c>
      <c r="HW47">
        <f>IF(HW$4=1,IF(OR(INDEX('×入力'!$A$1:$L$1300,1043+HW$3,2+HW$2)&lt;&gt;"",INDEX('×入力'!$A$1:$L$1300,1042,2+HW$2)&lt;&gt;"",INDEX('×入力'!$A$1:$L$1300,1043+HW$3,1)&lt;&gt;""),1,0),0)</f>
        <v/>
      </c>
      <c r="HX47">
        <f>IF(HX$4=1,IF(OR(INDEX('×入力'!$A$1:$L$1300,1043+HX$3,2+HX$2)&lt;&gt;"",INDEX('×入力'!$A$1:$L$1300,1042,2+HX$2)&lt;&gt;"",INDEX('×入力'!$A$1:$L$1300,1043+HX$3,1)&lt;&gt;""),1,0),0)</f>
        <v/>
      </c>
      <c r="HY47">
        <f>IF(HY$4=1,IF(OR(INDEX('×入力'!$A$1:$L$1300,1043+HY$3,2+HY$2)&lt;&gt;"",INDEX('×入力'!$A$1:$L$1300,1042,2+HY$2)&lt;&gt;"",INDEX('×入力'!$A$1:$L$1300,1043+HY$3,1)&lt;&gt;""),1,0),0)</f>
        <v/>
      </c>
      <c r="HZ47">
        <f>IF(HZ$4=1,IF(OR(INDEX('×入力'!$A$1:$L$1300,1043+HZ$3,2+HZ$2)&lt;&gt;"",INDEX('×入力'!$A$1:$L$1300,1042,2+HZ$2)&lt;&gt;"",INDEX('×入力'!$A$1:$L$1300,1043+HZ$3,1)&lt;&gt;""),1,0),0)</f>
        <v/>
      </c>
      <c r="IA47">
        <f>IF(IA$4=1,IF(OR(INDEX('×入力'!$A$1:$L$1300,1043+IA$3,2+IA$2)&lt;&gt;"",INDEX('×入力'!$A$1:$L$1300,1042,2+IA$2)&lt;&gt;"",INDEX('×入力'!$A$1:$L$1300,1043+IA$3,1)&lt;&gt;""),1,0),0)</f>
        <v/>
      </c>
      <c r="IB47">
        <f>IF(IB$4=1,IF(OR(INDEX('×入力'!$A$1:$L$1300,1043+IB$3,2+IB$2)&lt;&gt;"",INDEX('×入力'!$A$1:$L$1300,1042,2+IB$2)&lt;&gt;"",INDEX('×入力'!$A$1:$L$1300,1043+IB$3,1)&lt;&gt;""),1,0),0)</f>
        <v/>
      </c>
      <c r="IC47">
        <f>IF(IC$4=1,IF(OR(INDEX('×入力'!$A$1:$L$1300,1043+IC$3,2+IC$2)&lt;&gt;"",INDEX('×入力'!$A$1:$L$1300,1042,2+IC$2)&lt;&gt;"",INDEX('×入力'!$A$1:$L$1300,1043+IC$3,1)&lt;&gt;""),1,0),0)</f>
        <v/>
      </c>
      <c r="ID47">
        <f>IF(ID$4=1,IF(OR(INDEX('×入力'!$A$1:$L$1300,1043+ID$3,2+ID$2)&lt;&gt;"",INDEX('×入力'!$A$1:$L$1300,1042,2+ID$2)&lt;&gt;"",INDEX('×入力'!$A$1:$L$1300,1043+ID$3,1)&lt;&gt;""),1,0),0)</f>
        <v/>
      </c>
      <c r="IE47">
        <f>IF(IE$4=1,IF(OR(INDEX('×入力'!$A$1:$L$1300,1043+IE$3,2+IE$2)&lt;&gt;"",INDEX('×入力'!$A$1:$L$1300,1042,2+IE$2)&lt;&gt;"",INDEX('×入力'!$A$1:$L$1300,1043+IE$3,1)&lt;&gt;""),1,0),0)</f>
        <v/>
      </c>
      <c r="IF47">
        <f>IF(IF$4=1,IF(OR(INDEX('×入力'!$A$1:$L$1300,1043+IF$3,2+IF$2)&lt;&gt;"",INDEX('×入力'!$A$1:$L$1300,1042,2+IF$2)&lt;&gt;"",INDEX('×入力'!$A$1:$L$1300,1043+IF$3,1)&lt;&gt;""),1,0),0)</f>
        <v/>
      </c>
      <c r="IG47">
        <f>IF(IG$4=1,IF(OR(INDEX('×入力'!$A$1:$L$1300,1043+IG$3,2+IG$2)&lt;&gt;"",INDEX('×入力'!$A$1:$L$1300,1042,2+IG$2)&lt;&gt;"",INDEX('×入力'!$A$1:$L$1300,1043+IG$3,1)&lt;&gt;""),1,0),0)</f>
        <v/>
      </c>
      <c r="IH47">
        <f>IF(IH$4=1,IF(OR(INDEX('×入力'!$A$1:$L$1300,1043+IH$3,2+IH$2)&lt;&gt;"",INDEX('×入力'!$A$1:$L$1300,1042,2+IH$2)&lt;&gt;"",INDEX('×入力'!$A$1:$L$1300,1043+IH$3,1)&lt;&gt;""),1,0),0)</f>
        <v/>
      </c>
      <c r="II47">
        <f>IF(II$4=1,IF(OR(INDEX('×入力'!$A$1:$L$1300,1043+II$3,2+II$2)&lt;&gt;"",INDEX('×入力'!$A$1:$L$1300,1042,2+II$2)&lt;&gt;"",INDEX('×入力'!$A$1:$L$1300,1043+II$3,1)&lt;&gt;""),1,0),0)</f>
        <v/>
      </c>
      <c r="IK47">
        <f>IFERROR(INDEX('計算B'!$C$3:$C$47,MATCH(A47,'計算B'!$B$3:$B$47,0)),0)</f>
        <v/>
      </c>
      <c r="IL47">
        <f>IF(AND(C47=1,IK47=0),1,0)</f>
        <v/>
      </c>
      <c r="IM47">
        <f>SUMPRODUCT(D97:II97*(1-$D$7:$II$7))</f>
        <v/>
      </c>
      <c r="IN47">
        <f>SUM(D47:II47)</f>
        <v/>
      </c>
      <c r="IO47">
        <f>IF(B47="",0,IF(COUNTIF('調整・決定'!$C$6:$L$29,B47)=1,SUMPRODUCT(('調整・決定'!$C$6:$L$29=B47)*((COLUMN('調整・決定'!$C$6:$L$29)-3)*24+ROW('調整・決定'!$C$6:$L$29)-5)),0))</f>
        <v/>
      </c>
      <c r="IP47">
        <f>IFERROR(MATCH('名簿'!E42,{"早い時刻","遅い時刻","早い日","遅い日"},0),0)</f>
        <v/>
      </c>
      <c r="IQ47">
        <f>IF('名簿'!F42="必ず空けたい",2,IF('名簿'!F42="出来れば空けたい",1,0))</f>
        <v/>
      </c>
    </row>
    <row r="48">
      <c r="A48" t="n">
        <v>39</v>
      </c>
      <c r="B48">
        <f>'名簿'!G43</f>
        <v/>
      </c>
      <c r="C48">
        <f>IF(AND(B48&lt;&gt;"",OR('名簿'!H43="入力済み",'名簿'!H43="×なし"),IO48=0,COUNTIF('調整・決定'!$C$6:$L$29,B48)=0),1,0)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ER48">
        <f>IF(ER$4=1,IF(OR(INDEX('×入力'!$A$1:$L$1300,1071+ER$3,2+ER$2)&lt;&gt;"",INDEX('×入力'!$A$1:$L$1300,1070,2+ER$2)&lt;&gt;"",INDEX('×入力'!$A$1:$L$1300,1071+ER$3,1)&lt;&gt;""),1,0),0)</f>
        <v/>
      </c>
      <c r="ES48">
        <f>IF(ES$4=1,IF(OR(INDEX('×入力'!$A$1:$L$1300,1071+ES$3,2+ES$2)&lt;&gt;"",INDEX('×入力'!$A$1:$L$1300,1070,2+ES$2)&lt;&gt;"",INDEX('×入力'!$A$1:$L$1300,1071+ES$3,1)&lt;&gt;""),1,0),0)</f>
        <v/>
      </c>
      <c r="ET48">
        <f>IF(ET$4=1,IF(OR(INDEX('×入力'!$A$1:$L$1300,1071+ET$3,2+ET$2)&lt;&gt;"",INDEX('×入力'!$A$1:$L$1300,1070,2+ET$2)&lt;&gt;"",INDEX('×入力'!$A$1:$L$1300,1071+ET$3,1)&lt;&gt;""),1,0),0)</f>
        <v/>
      </c>
      <c r="EU48">
        <f>IF(EU$4=1,IF(OR(INDEX('×入力'!$A$1:$L$1300,1071+EU$3,2+EU$2)&lt;&gt;"",INDEX('×入力'!$A$1:$L$1300,1070,2+EU$2)&lt;&gt;"",INDEX('×入力'!$A$1:$L$1300,1071+EU$3,1)&lt;&gt;""),1,0),0)</f>
        <v/>
      </c>
      <c r="EV48">
        <f>IF(EV$4=1,IF(OR(INDEX('×入力'!$A$1:$L$1300,1071+EV$3,2+EV$2)&lt;&gt;"",INDEX('×入力'!$A$1:$L$1300,1070,2+EV$2)&lt;&gt;"",INDEX('×入力'!$A$1:$L$1300,1071+EV$3,1)&lt;&gt;""),1,0),0)</f>
        <v/>
      </c>
      <c r="EW48">
        <f>IF(EW$4=1,IF(OR(INDEX('×入力'!$A$1:$L$1300,1071+EW$3,2+EW$2)&lt;&gt;"",INDEX('×入力'!$A$1:$L$1300,1070,2+EW$2)&lt;&gt;"",INDEX('×入力'!$A$1:$L$1300,1071+EW$3,1)&lt;&gt;""),1,0),0)</f>
        <v/>
      </c>
      <c r="EX48">
        <f>IF(EX$4=1,IF(OR(INDEX('×入力'!$A$1:$L$1300,1071+EX$3,2+EX$2)&lt;&gt;"",INDEX('×入力'!$A$1:$L$1300,1070,2+EX$2)&lt;&gt;"",INDEX('×入力'!$A$1:$L$1300,1071+EX$3,1)&lt;&gt;""),1,0),0)</f>
        <v/>
      </c>
      <c r="EY48">
        <f>IF(EY$4=1,IF(OR(INDEX('×入力'!$A$1:$L$1300,1071+EY$3,2+EY$2)&lt;&gt;"",INDEX('×入力'!$A$1:$L$1300,1070,2+EY$2)&lt;&gt;"",INDEX('×入力'!$A$1:$L$1300,1071+EY$3,1)&lt;&gt;""),1,0),0)</f>
        <v/>
      </c>
      <c r="EZ48">
        <f>IF(EZ$4=1,IF(OR(INDEX('×入力'!$A$1:$L$1300,1071+EZ$3,2+EZ$2)&lt;&gt;"",INDEX('×入力'!$A$1:$L$1300,1070,2+EZ$2)&lt;&gt;"",INDEX('×入力'!$A$1:$L$1300,1071+EZ$3,1)&lt;&gt;""),1,0),0)</f>
        <v/>
      </c>
      <c r="FA48">
        <f>IF(FA$4=1,IF(OR(INDEX('×入力'!$A$1:$L$1300,1071+FA$3,2+FA$2)&lt;&gt;"",INDEX('×入力'!$A$1:$L$1300,1070,2+FA$2)&lt;&gt;"",INDEX('×入力'!$A$1:$L$1300,1071+FA$3,1)&lt;&gt;""),1,0),0)</f>
        <v/>
      </c>
      <c r="FB48">
        <f>IF(FB$4=1,IF(OR(INDEX('×入力'!$A$1:$L$1300,1071+FB$3,2+FB$2)&lt;&gt;"",INDEX('×入力'!$A$1:$L$1300,1070,2+FB$2)&lt;&gt;"",INDEX('×入力'!$A$1:$L$1300,1071+FB$3,1)&lt;&gt;""),1,0),0)</f>
        <v/>
      </c>
      <c r="FC48">
        <f>IF(FC$4=1,IF(OR(INDEX('×入力'!$A$1:$L$1300,1071+FC$3,2+FC$2)&lt;&gt;"",INDEX('×入力'!$A$1:$L$1300,1070,2+FC$2)&lt;&gt;"",INDEX('×入力'!$A$1:$L$1300,1071+FC$3,1)&lt;&gt;""),1,0),0)</f>
        <v/>
      </c>
      <c r="FD48">
        <f>IF(FD$4=1,IF(OR(INDEX('×入力'!$A$1:$L$1300,1071+FD$3,2+FD$2)&lt;&gt;"",INDEX('×入力'!$A$1:$L$1300,1070,2+FD$2)&lt;&gt;"",INDEX('×入力'!$A$1:$L$1300,1071+FD$3,1)&lt;&gt;""),1,0),0)</f>
        <v/>
      </c>
      <c r="FE48">
        <f>IF(FE$4=1,IF(OR(INDEX('×入力'!$A$1:$L$1300,1071+FE$3,2+FE$2)&lt;&gt;"",INDEX('×入力'!$A$1:$L$1300,1070,2+FE$2)&lt;&gt;"",INDEX('×入力'!$A$1:$L$1300,1071+FE$3,1)&lt;&gt;""),1,0),0)</f>
        <v/>
      </c>
      <c r="FF48">
        <f>IF(FF$4=1,IF(OR(INDEX('×入力'!$A$1:$L$1300,1071+FF$3,2+FF$2)&lt;&gt;"",INDEX('×入力'!$A$1:$L$1300,1070,2+FF$2)&lt;&gt;"",INDEX('×入力'!$A$1:$L$1300,1071+FF$3,1)&lt;&gt;""),1,0),0)</f>
        <v/>
      </c>
      <c r="FG48">
        <f>IF(FG$4=1,IF(OR(INDEX('×入力'!$A$1:$L$1300,1071+FG$3,2+FG$2)&lt;&gt;"",INDEX('×入力'!$A$1:$L$1300,1070,2+FG$2)&lt;&gt;"",INDEX('×入力'!$A$1:$L$1300,1071+FG$3,1)&lt;&gt;""),1,0),0)</f>
        <v/>
      </c>
      <c r="FH48">
        <f>IF(FH$4=1,IF(OR(INDEX('×入力'!$A$1:$L$1300,1071+FH$3,2+FH$2)&lt;&gt;"",INDEX('×入力'!$A$1:$L$1300,1070,2+FH$2)&lt;&gt;"",INDEX('×入力'!$A$1:$L$1300,1071+FH$3,1)&lt;&gt;""),1,0),0)</f>
        <v/>
      </c>
      <c r="FI48">
        <f>IF(FI$4=1,IF(OR(INDEX('×入力'!$A$1:$L$1300,1071+FI$3,2+FI$2)&lt;&gt;"",INDEX('×入力'!$A$1:$L$1300,1070,2+FI$2)&lt;&gt;"",INDEX('×入力'!$A$1:$L$1300,1071+FI$3,1)&lt;&gt;""),1,0),0)</f>
        <v/>
      </c>
      <c r="FJ48">
        <f>IF(FJ$4=1,IF(OR(INDEX('×入力'!$A$1:$L$1300,1071+FJ$3,2+FJ$2)&lt;&gt;"",INDEX('×入力'!$A$1:$L$1300,1070,2+FJ$2)&lt;&gt;"",INDEX('×入力'!$A$1:$L$1300,1071+FJ$3,1)&lt;&gt;""),1,0),0)</f>
        <v/>
      </c>
      <c r="FK48">
        <f>IF(FK$4=1,IF(OR(INDEX('×入力'!$A$1:$L$1300,1071+FK$3,2+FK$2)&lt;&gt;"",INDEX('×入力'!$A$1:$L$1300,1070,2+FK$2)&lt;&gt;"",INDEX('×入力'!$A$1:$L$1300,1071+FK$3,1)&lt;&gt;""),1,0),0)</f>
        <v/>
      </c>
      <c r="FL48">
        <f>IF(FL$4=1,IF(OR(INDEX('×入力'!$A$1:$L$1300,1071+FL$3,2+FL$2)&lt;&gt;"",INDEX('×入力'!$A$1:$L$1300,1070,2+FL$2)&lt;&gt;"",INDEX('×入力'!$A$1:$L$1300,1071+FL$3,1)&lt;&gt;""),1,0),0)</f>
        <v/>
      </c>
      <c r="FM48">
        <f>IF(FM$4=1,IF(OR(INDEX('×入力'!$A$1:$L$1300,1071+FM$3,2+FM$2)&lt;&gt;"",INDEX('×入力'!$A$1:$L$1300,1070,2+FM$2)&lt;&gt;"",INDEX('×入力'!$A$1:$L$1300,1071+FM$3,1)&lt;&gt;""),1,0),0)</f>
        <v/>
      </c>
      <c r="FN48">
        <f>IF(FN$4=1,IF(OR(INDEX('×入力'!$A$1:$L$1300,1071+FN$3,2+FN$2)&lt;&gt;"",INDEX('×入力'!$A$1:$L$1300,1070,2+FN$2)&lt;&gt;"",INDEX('×入力'!$A$1:$L$1300,1071+FN$3,1)&lt;&gt;""),1,0),0)</f>
        <v/>
      </c>
      <c r="FO48">
        <f>IF(FO$4=1,IF(OR(INDEX('×入力'!$A$1:$L$1300,1071+FO$3,2+FO$2)&lt;&gt;"",INDEX('×入力'!$A$1:$L$1300,1070,2+FO$2)&lt;&gt;"",INDEX('×入力'!$A$1:$L$1300,1071+FO$3,1)&lt;&gt;""),1,0),0)</f>
        <v/>
      </c>
      <c r="FP48">
        <f>IF(FP$4=1,IF(OR(INDEX('×入力'!$A$1:$L$1300,1071+FP$3,2+FP$2)&lt;&gt;"",INDEX('×入力'!$A$1:$L$1300,1070,2+FP$2)&lt;&gt;"",INDEX('×入力'!$A$1:$L$1300,1071+FP$3,1)&lt;&gt;""),1,0),0)</f>
        <v/>
      </c>
      <c r="FQ48">
        <f>IF(FQ$4=1,IF(OR(INDEX('×入力'!$A$1:$L$1300,1071+FQ$3,2+FQ$2)&lt;&gt;"",INDEX('×入力'!$A$1:$L$1300,1070,2+FQ$2)&lt;&gt;"",INDEX('×入力'!$A$1:$L$1300,1071+FQ$3,1)&lt;&gt;""),1,0),0)</f>
        <v/>
      </c>
      <c r="FR48">
        <f>IF(FR$4=1,IF(OR(INDEX('×入力'!$A$1:$L$1300,1071+FR$3,2+FR$2)&lt;&gt;"",INDEX('×入力'!$A$1:$L$1300,1070,2+FR$2)&lt;&gt;"",INDEX('×入力'!$A$1:$L$1300,1071+FR$3,1)&lt;&gt;""),1,0),0)</f>
        <v/>
      </c>
      <c r="FS48">
        <f>IF(FS$4=1,IF(OR(INDEX('×入力'!$A$1:$L$1300,1071+FS$3,2+FS$2)&lt;&gt;"",INDEX('×入力'!$A$1:$L$1300,1070,2+FS$2)&lt;&gt;"",INDEX('×入力'!$A$1:$L$1300,1071+FS$3,1)&lt;&gt;""),1,0),0)</f>
        <v/>
      </c>
      <c r="FT48">
        <f>IF(FT$4=1,IF(OR(INDEX('×入力'!$A$1:$L$1300,1071+FT$3,2+FT$2)&lt;&gt;"",INDEX('×入力'!$A$1:$L$1300,1070,2+FT$2)&lt;&gt;"",INDEX('×入力'!$A$1:$L$1300,1071+FT$3,1)&lt;&gt;""),1,0),0)</f>
        <v/>
      </c>
      <c r="FU48">
        <f>IF(FU$4=1,IF(OR(INDEX('×入力'!$A$1:$L$1300,1071+FU$3,2+FU$2)&lt;&gt;"",INDEX('×入力'!$A$1:$L$1300,1070,2+FU$2)&lt;&gt;"",INDEX('×入力'!$A$1:$L$1300,1071+FU$3,1)&lt;&gt;""),1,0),0)</f>
        <v/>
      </c>
      <c r="FV48">
        <f>IF(FV$4=1,IF(OR(INDEX('×入力'!$A$1:$L$1300,1071+FV$3,2+FV$2)&lt;&gt;"",INDEX('×入力'!$A$1:$L$1300,1070,2+FV$2)&lt;&gt;"",INDEX('×入力'!$A$1:$L$1300,1071+FV$3,1)&lt;&gt;""),1,0),0)</f>
        <v/>
      </c>
      <c r="FW48">
        <f>IF(FW$4=1,IF(OR(INDEX('×入力'!$A$1:$L$1300,1071+FW$3,2+FW$2)&lt;&gt;"",INDEX('×入力'!$A$1:$L$1300,1070,2+FW$2)&lt;&gt;"",INDEX('×入力'!$A$1:$L$1300,1071+FW$3,1)&lt;&gt;""),1,0),0)</f>
        <v/>
      </c>
      <c r="FX48">
        <f>IF(FX$4=1,IF(OR(INDEX('×入力'!$A$1:$L$1300,1071+FX$3,2+FX$2)&lt;&gt;"",INDEX('×入力'!$A$1:$L$1300,1070,2+FX$2)&lt;&gt;"",INDEX('×入力'!$A$1:$L$1300,1071+FX$3,1)&lt;&gt;""),1,0),0)</f>
        <v/>
      </c>
      <c r="FY48">
        <f>IF(FY$4=1,IF(OR(INDEX('×入力'!$A$1:$L$1300,1071+FY$3,2+FY$2)&lt;&gt;"",INDEX('×入力'!$A$1:$L$1300,1070,2+FY$2)&lt;&gt;"",INDEX('×入力'!$A$1:$L$1300,1071+FY$3,1)&lt;&gt;""),1,0),0)</f>
        <v/>
      </c>
      <c r="FZ48">
        <f>IF(FZ$4=1,IF(OR(INDEX('×入力'!$A$1:$L$1300,1071+FZ$3,2+FZ$2)&lt;&gt;"",INDEX('×入力'!$A$1:$L$1300,1070,2+FZ$2)&lt;&gt;"",INDEX('×入力'!$A$1:$L$1300,1071+FZ$3,1)&lt;&gt;""),1,0),0)</f>
        <v/>
      </c>
      <c r="GA48">
        <f>IF(GA$4=1,IF(OR(INDEX('×入力'!$A$1:$L$1300,1071+GA$3,2+GA$2)&lt;&gt;"",INDEX('×入力'!$A$1:$L$1300,1070,2+GA$2)&lt;&gt;"",INDEX('×入力'!$A$1:$L$1300,1071+GA$3,1)&lt;&gt;""),1,0),0)</f>
        <v/>
      </c>
      <c r="GB48">
        <f>IF(GB$4=1,IF(OR(INDEX('×入力'!$A$1:$L$1300,1071+GB$3,2+GB$2)&lt;&gt;"",INDEX('×入力'!$A$1:$L$1300,1070,2+GB$2)&lt;&gt;"",INDEX('×入力'!$A$1:$L$1300,1071+GB$3,1)&lt;&gt;""),1,0),0)</f>
        <v/>
      </c>
      <c r="GC48">
        <f>IF(GC$4=1,IF(OR(INDEX('×入力'!$A$1:$L$1300,1071+GC$3,2+GC$2)&lt;&gt;"",INDEX('×入力'!$A$1:$L$1300,1070,2+GC$2)&lt;&gt;"",INDEX('×入力'!$A$1:$L$1300,1071+GC$3,1)&lt;&gt;""),1,0),0)</f>
        <v/>
      </c>
      <c r="GD48">
        <f>IF(GD$4=1,IF(OR(INDEX('×入力'!$A$1:$L$1300,1071+GD$3,2+GD$2)&lt;&gt;"",INDEX('×入力'!$A$1:$L$1300,1070,2+GD$2)&lt;&gt;"",INDEX('×入力'!$A$1:$L$1300,1071+GD$3,1)&lt;&gt;""),1,0),0)</f>
        <v/>
      </c>
      <c r="GE48">
        <f>IF(GE$4=1,IF(OR(INDEX('×入力'!$A$1:$L$1300,1071+GE$3,2+GE$2)&lt;&gt;"",INDEX('×入力'!$A$1:$L$1300,1070,2+GE$2)&lt;&gt;"",INDEX('×入力'!$A$1:$L$1300,1071+GE$3,1)&lt;&gt;""),1,0),0)</f>
        <v/>
      </c>
      <c r="GF48">
        <f>IF(GF$4=1,IF(OR(INDEX('×入力'!$A$1:$L$1300,1071+GF$3,2+GF$2)&lt;&gt;"",INDEX('×入力'!$A$1:$L$1300,1070,2+GF$2)&lt;&gt;"",INDEX('×入力'!$A$1:$L$1300,1071+GF$3,1)&lt;&gt;""),1,0),0)</f>
        <v/>
      </c>
      <c r="GG48">
        <f>IF(GG$4=1,IF(OR(INDEX('×入力'!$A$1:$L$1300,1071+GG$3,2+GG$2)&lt;&gt;"",INDEX('×入力'!$A$1:$L$1300,1070,2+GG$2)&lt;&gt;"",INDEX('×入力'!$A$1:$L$1300,1071+GG$3,1)&lt;&gt;""),1,0),0)</f>
        <v/>
      </c>
      <c r="GH48">
        <f>IF(GH$4=1,IF(OR(INDEX('×入力'!$A$1:$L$1300,1071+GH$3,2+GH$2)&lt;&gt;"",INDEX('×入力'!$A$1:$L$1300,1070,2+GH$2)&lt;&gt;"",INDEX('×入力'!$A$1:$L$1300,1071+GH$3,1)&lt;&gt;""),1,0),0)</f>
        <v/>
      </c>
      <c r="GI48">
        <f>IF(GI$4=1,IF(OR(INDEX('×入力'!$A$1:$L$1300,1071+GI$3,2+GI$2)&lt;&gt;"",INDEX('×入力'!$A$1:$L$1300,1070,2+GI$2)&lt;&gt;"",INDEX('×入力'!$A$1:$L$1300,1071+GI$3,1)&lt;&gt;""),1,0),0)</f>
        <v/>
      </c>
      <c r="GJ48">
        <f>IF(GJ$4=1,IF(OR(INDEX('×入力'!$A$1:$L$1300,1071+GJ$3,2+GJ$2)&lt;&gt;"",INDEX('×入力'!$A$1:$L$1300,1070,2+GJ$2)&lt;&gt;"",INDEX('×入力'!$A$1:$L$1300,1071+GJ$3,1)&lt;&gt;""),1,0),0)</f>
        <v/>
      </c>
      <c r="GK48">
        <f>IF(GK$4=1,IF(OR(INDEX('×入力'!$A$1:$L$1300,1071+GK$3,2+GK$2)&lt;&gt;"",INDEX('×入力'!$A$1:$L$1300,1070,2+GK$2)&lt;&gt;"",INDEX('×入力'!$A$1:$L$1300,1071+GK$3,1)&lt;&gt;""),1,0),0)</f>
        <v/>
      </c>
      <c r="GL48">
        <f>IF(GL$4=1,IF(OR(INDEX('×入力'!$A$1:$L$1300,1071+GL$3,2+GL$2)&lt;&gt;"",INDEX('×入力'!$A$1:$L$1300,1070,2+GL$2)&lt;&gt;"",INDEX('×入力'!$A$1:$L$1300,1071+GL$3,1)&lt;&gt;""),1,0),0)</f>
        <v/>
      </c>
      <c r="GM48">
        <f>IF(GM$4=1,IF(OR(INDEX('×入力'!$A$1:$L$1300,1071+GM$3,2+GM$2)&lt;&gt;"",INDEX('×入力'!$A$1:$L$1300,1070,2+GM$2)&lt;&gt;"",INDEX('×入力'!$A$1:$L$1300,1071+GM$3,1)&lt;&gt;""),1,0),0)</f>
        <v/>
      </c>
      <c r="GN48">
        <f>IF(GN$4=1,IF(OR(INDEX('×入力'!$A$1:$L$1300,1071+GN$3,2+GN$2)&lt;&gt;"",INDEX('×入力'!$A$1:$L$1300,1070,2+GN$2)&lt;&gt;"",INDEX('×入力'!$A$1:$L$1300,1071+GN$3,1)&lt;&gt;""),1,0),0)</f>
        <v/>
      </c>
      <c r="GO48">
        <f>IF(GO$4=1,IF(OR(INDEX('×入力'!$A$1:$L$1300,1071+GO$3,2+GO$2)&lt;&gt;"",INDEX('×入力'!$A$1:$L$1300,1070,2+GO$2)&lt;&gt;"",INDEX('×入力'!$A$1:$L$1300,1071+GO$3,1)&lt;&gt;""),1,0),0)</f>
        <v/>
      </c>
      <c r="GP48">
        <f>IF(GP$4=1,IF(OR(INDEX('×入力'!$A$1:$L$1300,1071+GP$3,2+GP$2)&lt;&gt;"",INDEX('×入力'!$A$1:$L$1300,1070,2+GP$2)&lt;&gt;"",INDEX('×入力'!$A$1:$L$1300,1071+GP$3,1)&lt;&gt;""),1,0),0)</f>
        <v/>
      </c>
      <c r="GQ48">
        <f>IF(GQ$4=1,IF(OR(INDEX('×入力'!$A$1:$L$1300,1071+GQ$3,2+GQ$2)&lt;&gt;"",INDEX('×入力'!$A$1:$L$1300,1070,2+GQ$2)&lt;&gt;"",INDEX('×入力'!$A$1:$L$1300,1071+GQ$3,1)&lt;&gt;""),1,0),0)</f>
        <v/>
      </c>
      <c r="GR48">
        <f>IF(GR$4=1,IF(OR(INDEX('×入力'!$A$1:$L$1300,1071+GR$3,2+GR$2)&lt;&gt;"",INDEX('×入力'!$A$1:$L$1300,1070,2+GR$2)&lt;&gt;"",INDEX('×入力'!$A$1:$L$1300,1071+GR$3,1)&lt;&gt;""),1,0),0)</f>
        <v/>
      </c>
      <c r="GS48">
        <f>IF(GS$4=1,IF(OR(INDEX('×入力'!$A$1:$L$1300,1071+GS$3,2+GS$2)&lt;&gt;"",INDEX('×入力'!$A$1:$L$1300,1070,2+GS$2)&lt;&gt;"",INDEX('×入力'!$A$1:$L$1300,1071+GS$3,1)&lt;&gt;""),1,0),0)</f>
        <v/>
      </c>
      <c r="GT48">
        <f>IF(GT$4=1,IF(OR(INDEX('×入力'!$A$1:$L$1300,1071+GT$3,2+GT$2)&lt;&gt;"",INDEX('×入力'!$A$1:$L$1300,1070,2+GT$2)&lt;&gt;"",INDEX('×入力'!$A$1:$L$1300,1071+GT$3,1)&lt;&gt;""),1,0),0)</f>
        <v/>
      </c>
      <c r="GU48">
        <f>IF(GU$4=1,IF(OR(INDEX('×入力'!$A$1:$L$1300,1071+GU$3,2+GU$2)&lt;&gt;"",INDEX('×入力'!$A$1:$L$1300,1070,2+GU$2)&lt;&gt;"",INDEX('×入力'!$A$1:$L$1300,1071+GU$3,1)&lt;&gt;""),1,0),0)</f>
        <v/>
      </c>
      <c r="GV48">
        <f>IF(GV$4=1,IF(OR(INDEX('×入力'!$A$1:$L$1300,1071+GV$3,2+GV$2)&lt;&gt;"",INDEX('×入力'!$A$1:$L$1300,1070,2+GV$2)&lt;&gt;"",INDEX('×入力'!$A$1:$L$1300,1071+GV$3,1)&lt;&gt;""),1,0),0)</f>
        <v/>
      </c>
      <c r="GW48">
        <f>IF(GW$4=1,IF(OR(INDEX('×入力'!$A$1:$L$1300,1071+GW$3,2+GW$2)&lt;&gt;"",INDEX('×入力'!$A$1:$L$1300,1070,2+GW$2)&lt;&gt;"",INDEX('×入力'!$A$1:$L$1300,1071+GW$3,1)&lt;&gt;""),1,0),0)</f>
        <v/>
      </c>
      <c r="GX48">
        <f>IF(GX$4=1,IF(OR(INDEX('×入力'!$A$1:$L$1300,1071+GX$3,2+GX$2)&lt;&gt;"",INDEX('×入力'!$A$1:$L$1300,1070,2+GX$2)&lt;&gt;"",INDEX('×入力'!$A$1:$L$1300,1071+GX$3,1)&lt;&gt;""),1,0),0)</f>
        <v/>
      </c>
      <c r="GY48">
        <f>IF(GY$4=1,IF(OR(INDEX('×入力'!$A$1:$L$1300,1071+GY$3,2+GY$2)&lt;&gt;"",INDEX('×入力'!$A$1:$L$1300,1070,2+GY$2)&lt;&gt;"",INDEX('×入力'!$A$1:$L$1300,1071+GY$3,1)&lt;&gt;""),1,0),0)</f>
        <v/>
      </c>
      <c r="GZ48">
        <f>IF(GZ$4=1,IF(OR(INDEX('×入力'!$A$1:$L$1300,1071+GZ$3,2+GZ$2)&lt;&gt;"",INDEX('×入力'!$A$1:$L$1300,1070,2+GZ$2)&lt;&gt;"",INDEX('×入力'!$A$1:$L$1300,1071+GZ$3,1)&lt;&gt;""),1,0),0)</f>
        <v/>
      </c>
      <c r="HA48">
        <f>IF(HA$4=1,IF(OR(INDEX('×入力'!$A$1:$L$1300,1071+HA$3,2+HA$2)&lt;&gt;"",INDEX('×入力'!$A$1:$L$1300,1070,2+HA$2)&lt;&gt;"",INDEX('×入力'!$A$1:$L$1300,1071+HA$3,1)&lt;&gt;""),1,0),0)</f>
        <v/>
      </c>
      <c r="HB48">
        <f>IF(HB$4=1,IF(OR(INDEX('×入力'!$A$1:$L$1300,1071+HB$3,2+HB$2)&lt;&gt;"",INDEX('×入力'!$A$1:$L$1300,1070,2+HB$2)&lt;&gt;"",INDEX('×入力'!$A$1:$L$1300,1071+HB$3,1)&lt;&gt;""),1,0),0)</f>
        <v/>
      </c>
      <c r="HC48">
        <f>IF(HC$4=1,IF(OR(INDEX('×入力'!$A$1:$L$1300,1071+HC$3,2+HC$2)&lt;&gt;"",INDEX('×入力'!$A$1:$L$1300,1070,2+HC$2)&lt;&gt;"",INDEX('×入力'!$A$1:$L$1300,1071+HC$3,1)&lt;&gt;""),1,0),0)</f>
        <v/>
      </c>
      <c r="HD48">
        <f>IF(HD$4=1,IF(OR(INDEX('×入力'!$A$1:$L$1300,1071+HD$3,2+HD$2)&lt;&gt;"",INDEX('×入力'!$A$1:$L$1300,1070,2+HD$2)&lt;&gt;"",INDEX('×入力'!$A$1:$L$1300,1071+HD$3,1)&lt;&gt;""),1,0),0)</f>
        <v/>
      </c>
      <c r="HE48">
        <f>IF(HE$4=1,IF(OR(INDEX('×入力'!$A$1:$L$1300,1071+HE$3,2+HE$2)&lt;&gt;"",INDEX('×入力'!$A$1:$L$1300,1070,2+HE$2)&lt;&gt;"",INDEX('×入力'!$A$1:$L$1300,1071+HE$3,1)&lt;&gt;""),1,0),0)</f>
        <v/>
      </c>
      <c r="HF48">
        <f>IF(HF$4=1,IF(OR(INDEX('×入力'!$A$1:$L$1300,1071+HF$3,2+HF$2)&lt;&gt;"",INDEX('×入力'!$A$1:$L$1300,1070,2+HF$2)&lt;&gt;"",INDEX('×入力'!$A$1:$L$1300,1071+HF$3,1)&lt;&gt;""),1,0),0)</f>
        <v/>
      </c>
      <c r="HG48">
        <f>IF(HG$4=1,IF(OR(INDEX('×入力'!$A$1:$L$1300,1071+HG$3,2+HG$2)&lt;&gt;"",INDEX('×入力'!$A$1:$L$1300,1070,2+HG$2)&lt;&gt;"",INDEX('×入力'!$A$1:$L$1300,1071+HG$3,1)&lt;&gt;""),1,0),0)</f>
        <v/>
      </c>
      <c r="HH48">
        <f>IF(HH$4=1,IF(OR(INDEX('×入力'!$A$1:$L$1300,1071+HH$3,2+HH$2)&lt;&gt;"",INDEX('×入力'!$A$1:$L$1300,1070,2+HH$2)&lt;&gt;"",INDEX('×入力'!$A$1:$L$1300,1071+HH$3,1)&lt;&gt;""),1,0),0)</f>
        <v/>
      </c>
      <c r="HI48">
        <f>IF(HI$4=1,IF(OR(INDEX('×入力'!$A$1:$L$1300,1071+HI$3,2+HI$2)&lt;&gt;"",INDEX('×入力'!$A$1:$L$1300,1070,2+HI$2)&lt;&gt;"",INDEX('×入力'!$A$1:$L$1300,1071+HI$3,1)&lt;&gt;""),1,0),0)</f>
        <v/>
      </c>
      <c r="HJ48">
        <f>IF(HJ$4=1,IF(OR(INDEX('×入力'!$A$1:$L$1300,1071+HJ$3,2+HJ$2)&lt;&gt;"",INDEX('×入力'!$A$1:$L$1300,1070,2+HJ$2)&lt;&gt;"",INDEX('×入力'!$A$1:$L$1300,1071+HJ$3,1)&lt;&gt;""),1,0),0)</f>
        <v/>
      </c>
      <c r="HK48">
        <f>IF(HK$4=1,IF(OR(INDEX('×入力'!$A$1:$L$1300,1071+HK$3,2+HK$2)&lt;&gt;"",INDEX('×入力'!$A$1:$L$1300,1070,2+HK$2)&lt;&gt;"",INDEX('×入力'!$A$1:$L$1300,1071+HK$3,1)&lt;&gt;""),1,0),0)</f>
        <v/>
      </c>
      <c r="HL48">
        <f>IF(HL$4=1,IF(OR(INDEX('×入力'!$A$1:$L$1300,1071+HL$3,2+HL$2)&lt;&gt;"",INDEX('×入力'!$A$1:$L$1300,1070,2+HL$2)&lt;&gt;"",INDEX('×入力'!$A$1:$L$1300,1071+HL$3,1)&lt;&gt;""),1,0),0)</f>
        <v/>
      </c>
      <c r="HM48">
        <f>IF(HM$4=1,IF(OR(INDEX('×入力'!$A$1:$L$1300,1071+HM$3,2+HM$2)&lt;&gt;"",INDEX('×入力'!$A$1:$L$1300,1070,2+HM$2)&lt;&gt;"",INDEX('×入力'!$A$1:$L$1300,1071+HM$3,1)&lt;&gt;""),1,0),0)</f>
        <v/>
      </c>
      <c r="HN48">
        <f>IF(HN$4=1,IF(OR(INDEX('×入力'!$A$1:$L$1300,1071+HN$3,2+HN$2)&lt;&gt;"",INDEX('×入力'!$A$1:$L$1300,1070,2+HN$2)&lt;&gt;"",INDEX('×入力'!$A$1:$L$1300,1071+HN$3,1)&lt;&gt;""),1,0),0)</f>
        <v/>
      </c>
      <c r="HO48">
        <f>IF(HO$4=1,IF(OR(INDEX('×入力'!$A$1:$L$1300,1071+HO$3,2+HO$2)&lt;&gt;"",INDEX('×入力'!$A$1:$L$1300,1070,2+HO$2)&lt;&gt;"",INDEX('×入力'!$A$1:$L$1300,1071+HO$3,1)&lt;&gt;""),1,0),0)</f>
        <v/>
      </c>
      <c r="HP48">
        <f>IF(HP$4=1,IF(OR(INDEX('×入力'!$A$1:$L$1300,1071+HP$3,2+HP$2)&lt;&gt;"",INDEX('×入力'!$A$1:$L$1300,1070,2+HP$2)&lt;&gt;"",INDEX('×入力'!$A$1:$L$1300,1071+HP$3,1)&lt;&gt;""),1,0),0)</f>
        <v/>
      </c>
      <c r="HQ48">
        <f>IF(HQ$4=1,IF(OR(INDEX('×入力'!$A$1:$L$1300,1071+HQ$3,2+HQ$2)&lt;&gt;"",INDEX('×入力'!$A$1:$L$1300,1070,2+HQ$2)&lt;&gt;"",INDEX('×入力'!$A$1:$L$1300,1071+HQ$3,1)&lt;&gt;""),1,0),0)</f>
        <v/>
      </c>
      <c r="HR48">
        <f>IF(HR$4=1,IF(OR(INDEX('×入力'!$A$1:$L$1300,1071+HR$3,2+HR$2)&lt;&gt;"",INDEX('×入力'!$A$1:$L$1300,1070,2+HR$2)&lt;&gt;"",INDEX('×入力'!$A$1:$L$1300,1071+HR$3,1)&lt;&gt;""),1,0),0)</f>
        <v/>
      </c>
      <c r="HS48">
        <f>IF(HS$4=1,IF(OR(INDEX('×入力'!$A$1:$L$1300,1071+HS$3,2+HS$2)&lt;&gt;"",INDEX('×入力'!$A$1:$L$1300,1070,2+HS$2)&lt;&gt;"",INDEX('×入力'!$A$1:$L$1300,1071+HS$3,1)&lt;&gt;""),1,0),0)</f>
        <v/>
      </c>
      <c r="HT48">
        <f>IF(HT$4=1,IF(OR(INDEX('×入力'!$A$1:$L$1300,1071+HT$3,2+HT$2)&lt;&gt;"",INDEX('×入力'!$A$1:$L$1300,1070,2+HT$2)&lt;&gt;"",INDEX('×入力'!$A$1:$L$1300,1071+HT$3,1)&lt;&gt;""),1,0),0)</f>
        <v/>
      </c>
      <c r="HU48">
        <f>IF(HU$4=1,IF(OR(INDEX('×入力'!$A$1:$L$1300,1071+HU$3,2+HU$2)&lt;&gt;"",INDEX('×入力'!$A$1:$L$1300,1070,2+HU$2)&lt;&gt;"",INDEX('×入力'!$A$1:$L$1300,1071+HU$3,1)&lt;&gt;""),1,0),0)</f>
        <v/>
      </c>
      <c r="HV48">
        <f>IF(HV$4=1,IF(OR(INDEX('×入力'!$A$1:$L$1300,1071+HV$3,2+HV$2)&lt;&gt;"",INDEX('×入力'!$A$1:$L$1300,1070,2+HV$2)&lt;&gt;"",INDEX('×入力'!$A$1:$L$1300,1071+HV$3,1)&lt;&gt;""),1,0),0)</f>
        <v/>
      </c>
      <c r="HW48">
        <f>IF(HW$4=1,IF(OR(INDEX('×入力'!$A$1:$L$1300,1071+HW$3,2+HW$2)&lt;&gt;"",INDEX('×入力'!$A$1:$L$1300,1070,2+HW$2)&lt;&gt;"",INDEX('×入力'!$A$1:$L$1300,1071+HW$3,1)&lt;&gt;""),1,0),0)</f>
        <v/>
      </c>
      <c r="HX48">
        <f>IF(HX$4=1,IF(OR(INDEX('×入力'!$A$1:$L$1300,1071+HX$3,2+HX$2)&lt;&gt;"",INDEX('×入力'!$A$1:$L$1300,1070,2+HX$2)&lt;&gt;"",INDEX('×入力'!$A$1:$L$1300,1071+HX$3,1)&lt;&gt;""),1,0),0)</f>
        <v/>
      </c>
      <c r="HY48">
        <f>IF(HY$4=1,IF(OR(INDEX('×入力'!$A$1:$L$1300,1071+HY$3,2+HY$2)&lt;&gt;"",INDEX('×入力'!$A$1:$L$1300,1070,2+HY$2)&lt;&gt;"",INDEX('×入力'!$A$1:$L$1300,1071+HY$3,1)&lt;&gt;""),1,0),0)</f>
        <v/>
      </c>
      <c r="HZ48">
        <f>IF(HZ$4=1,IF(OR(INDEX('×入力'!$A$1:$L$1300,1071+HZ$3,2+HZ$2)&lt;&gt;"",INDEX('×入力'!$A$1:$L$1300,1070,2+HZ$2)&lt;&gt;"",INDEX('×入力'!$A$1:$L$1300,1071+HZ$3,1)&lt;&gt;""),1,0),0)</f>
        <v/>
      </c>
      <c r="IA48">
        <f>IF(IA$4=1,IF(OR(INDEX('×入力'!$A$1:$L$1300,1071+IA$3,2+IA$2)&lt;&gt;"",INDEX('×入力'!$A$1:$L$1300,1070,2+IA$2)&lt;&gt;"",INDEX('×入力'!$A$1:$L$1300,1071+IA$3,1)&lt;&gt;""),1,0),0)</f>
        <v/>
      </c>
      <c r="IB48">
        <f>IF(IB$4=1,IF(OR(INDEX('×入力'!$A$1:$L$1300,1071+IB$3,2+IB$2)&lt;&gt;"",INDEX('×入力'!$A$1:$L$1300,1070,2+IB$2)&lt;&gt;"",INDEX('×入力'!$A$1:$L$1300,1071+IB$3,1)&lt;&gt;""),1,0),0)</f>
        <v/>
      </c>
      <c r="IC48">
        <f>IF(IC$4=1,IF(OR(INDEX('×入力'!$A$1:$L$1300,1071+IC$3,2+IC$2)&lt;&gt;"",INDEX('×入力'!$A$1:$L$1300,1070,2+IC$2)&lt;&gt;"",INDEX('×入力'!$A$1:$L$1300,1071+IC$3,1)&lt;&gt;""),1,0),0)</f>
        <v/>
      </c>
      <c r="ID48">
        <f>IF(ID$4=1,IF(OR(INDEX('×入力'!$A$1:$L$1300,1071+ID$3,2+ID$2)&lt;&gt;"",INDEX('×入力'!$A$1:$L$1300,1070,2+ID$2)&lt;&gt;"",INDEX('×入力'!$A$1:$L$1300,1071+ID$3,1)&lt;&gt;""),1,0),0)</f>
        <v/>
      </c>
      <c r="IE48">
        <f>IF(IE$4=1,IF(OR(INDEX('×入力'!$A$1:$L$1300,1071+IE$3,2+IE$2)&lt;&gt;"",INDEX('×入力'!$A$1:$L$1300,1070,2+IE$2)&lt;&gt;"",INDEX('×入力'!$A$1:$L$1300,1071+IE$3,1)&lt;&gt;""),1,0),0)</f>
        <v/>
      </c>
      <c r="IF48">
        <f>IF(IF$4=1,IF(OR(INDEX('×入力'!$A$1:$L$1300,1071+IF$3,2+IF$2)&lt;&gt;"",INDEX('×入力'!$A$1:$L$1300,1070,2+IF$2)&lt;&gt;"",INDEX('×入力'!$A$1:$L$1300,1071+IF$3,1)&lt;&gt;""),1,0),0)</f>
        <v/>
      </c>
      <c r="IG48">
        <f>IF(IG$4=1,IF(OR(INDEX('×入力'!$A$1:$L$1300,1071+IG$3,2+IG$2)&lt;&gt;"",INDEX('×入力'!$A$1:$L$1300,1070,2+IG$2)&lt;&gt;"",INDEX('×入力'!$A$1:$L$1300,1071+IG$3,1)&lt;&gt;""),1,0),0)</f>
        <v/>
      </c>
      <c r="IH48">
        <f>IF(IH$4=1,IF(OR(INDEX('×入力'!$A$1:$L$1300,1071+IH$3,2+IH$2)&lt;&gt;"",INDEX('×入力'!$A$1:$L$1300,1070,2+IH$2)&lt;&gt;"",INDEX('×入力'!$A$1:$L$1300,1071+IH$3,1)&lt;&gt;""),1,0),0)</f>
        <v/>
      </c>
      <c r="II48">
        <f>IF(II$4=1,IF(OR(INDEX('×入力'!$A$1:$L$1300,1071+II$3,2+II$2)&lt;&gt;"",INDEX('×入力'!$A$1:$L$1300,1070,2+II$2)&lt;&gt;"",INDEX('×入力'!$A$1:$L$1300,1071+II$3,1)&lt;&gt;""),1,0),0)</f>
        <v/>
      </c>
      <c r="IK48">
        <f>IFERROR(INDEX('計算B'!$C$3:$C$47,MATCH(A48,'計算B'!$B$3:$B$47,0)),0)</f>
        <v/>
      </c>
      <c r="IL48">
        <f>IF(AND(C48=1,IK48=0),1,0)</f>
        <v/>
      </c>
      <c r="IM48">
        <f>SUMPRODUCT(D98:II98*(1-$D$7:$II$7))</f>
        <v/>
      </c>
      <c r="IN48">
        <f>SUM(D48:II48)</f>
        <v/>
      </c>
      <c r="IO48">
        <f>IF(B48="",0,IF(COUNTIF('調整・決定'!$C$6:$L$29,B48)=1,SUMPRODUCT(('調整・決定'!$C$6:$L$29=B48)*((COLUMN('調整・決定'!$C$6:$L$29)-3)*24+ROW('調整・決定'!$C$6:$L$29)-5)),0))</f>
        <v/>
      </c>
      <c r="IP48">
        <f>IFERROR(MATCH('名簿'!E43,{"早い時刻","遅い時刻","早い日","遅い日"},0),0)</f>
        <v/>
      </c>
      <c r="IQ48">
        <f>IF('名簿'!F43="必ず空けたい",2,IF('名簿'!F43="出来れば空けたい",1,0))</f>
        <v/>
      </c>
    </row>
    <row r="49">
      <c r="A49" t="n">
        <v>40</v>
      </c>
      <c r="B49">
        <f>'名簿'!G44</f>
        <v/>
      </c>
      <c r="C49">
        <f>IF(AND(B49&lt;&gt;"",OR('名簿'!H44="入力済み",'名簿'!H44="×なし"),IO49=0,COUNTIF('調整・決定'!$C$6:$L$29,B49)=0),1,0)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ER49">
        <f>IF(ER$4=1,IF(OR(INDEX('×入力'!$A$1:$L$1300,1099+ER$3,2+ER$2)&lt;&gt;"",INDEX('×入力'!$A$1:$L$1300,1098,2+ER$2)&lt;&gt;"",INDEX('×入力'!$A$1:$L$1300,1099+ER$3,1)&lt;&gt;""),1,0),0)</f>
        <v/>
      </c>
      <c r="ES49">
        <f>IF(ES$4=1,IF(OR(INDEX('×入力'!$A$1:$L$1300,1099+ES$3,2+ES$2)&lt;&gt;"",INDEX('×入力'!$A$1:$L$1300,1098,2+ES$2)&lt;&gt;"",INDEX('×入力'!$A$1:$L$1300,1099+ES$3,1)&lt;&gt;""),1,0),0)</f>
        <v/>
      </c>
      <c r="ET49">
        <f>IF(ET$4=1,IF(OR(INDEX('×入力'!$A$1:$L$1300,1099+ET$3,2+ET$2)&lt;&gt;"",INDEX('×入力'!$A$1:$L$1300,1098,2+ET$2)&lt;&gt;"",INDEX('×入力'!$A$1:$L$1300,1099+ET$3,1)&lt;&gt;""),1,0),0)</f>
        <v/>
      </c>
      <c r="EU49">
        <f>IF(EU$4=1,IF(OR(INDEX('×入力'!$A$1:$L$1300,1099+EU$3,2+EU$2)&lt;&gt;"",INDEX('×入力'!$A$1:$L$1300,1098,2+EU$2)&lt;&gt;"",INDEX('×入力'!$A$1:$L$1300,1099+EU$3,1)&lt;&gt;""),1,0),0)</f>
        <v/>
      </c>
      <c r="EV49">
        <f>IF(EV$4=1,IF(OR(INDEX('×入力'!$A$1:$L$1300,1099+EV$3,2+EV$2)&lt;&gt;"",INDEX('×入力'!$A$1:$L$1300,1098,2+EV$2)&lt;&gt;"",INDEX('×入力'!$A$1:$L$1300,1099+EV$3,1)&lt;&gt;""),1,0),0)</f>
        <v/>
      </c>
      <c r="EW49">
        <f>IF(EW$4=1,IF(OR(INDEX('×入力'!$A$1:$L$1300,1099+EW$3,2+EW$2)&lt;&gt;"",INDEX('×入力'!$A$1:$L$1300,1098,2+EW$2)&lt;&gt;"",INDEX('×入力'!$A$1:$L$1300,1099+EW$3,1)&lt;&gt;""),1,0),0)</f>
        <v/>
      </c>
      <c r="EX49">
        <f>IF(EX$4=1,IF(OR(INDEX('×入力'!$A$1:$L$1300,1099+EX$3,2+EX$2)&lt;&gt;"",INDEX('×入力'!$A$1:$L$1300,1098,2+EX$2)&lt;&gt;"",INDEX('×入力'!$A$1:$L$1300,1099+EX$3,1)&lt;&gt;""),1,0),0)</f>
        <v/>
      </c>
      <c r="EY49">
        <f>IF(EY$4=1,IF(OR(INDEX('×入力'!$A$1:$L$1300,1099+EY$3,2+EY$2)&lt;&gt;"",INDEX('×入力'!$A$1:$L$1300,1098,2+EY$2)&lt;&gt;"",INDEX('×入力'!$A$1:$L$1300,1099+EY$3,1)&lt;&gt;""),1,0),0)</f>
        <v/>
      </c>
      <c r="EZ49">
        <f>IF(EZ$4=1,IF(OR(INDEX('×入力'!$A$1:$L$1300,1099+EZ$3,2+EZ$2)&lt;&gt;"",INDEX('×入力'!$A$1:$L$1300,1098,2+EZ$2)&lt;&gt;"",INDEX('×入力'!$A$1:$L$1300,1099+EZ$3,1)&lt;&gt;""),1,0),0)</f>
        <v/>
      </c>
      <c r="FA49">
        <f>IF(FA$4=1,IF(OR(INDEX('×入力'!$A$1:$L$1300,1099+FA$3,2+FA$2)&lt;&gt;"",INDEX('×入力'!$A$1:$L$1300,1098,2+FA$2)&lt;&gt;"",INDEX('×入力'!$A$1:$L$1300,1099+FA$3,1)&lt;&gt;""),1,0),0)</f>
        <v/>
      </c>
      <c r="FB49">
        <f>IF(FB$4=1,IF(OR(INDEX('×入力'!$A$1:$L$1300,1099+FB$3,2+FB$2)&lt;&gt;"",INDEX('×入力'!$A$1:$L$1300,1098,2+FB$2)&lt;&gt;"",INDEX('×入力'!$A$1:$L$1300,1099+FB$3,1)&lt;&gt;""),1,0),0)</f>
        <v/>
      </c>
      <c r="FC49">
        <f>IF(FC$4=1,IF(OR(INDEX('×入力'!$A$1:$L$1300,1099+FC$3,2+FC$2)&lt;&gt;"",INDEX('×入力'!$A$1:$L$1300,1098,2+FC$2)&lt;&gt;"",INDEX('×入力'!$A$1:$L$1300,1099+FC$3,1)&lt;&gt;""),1,0),0)</f>
        <v/>
      </c>
      <c r="FD49">
        <f>IF(FD$4=1,IF(OR(INDEX('×入力'!$A$1:$L$1300,1099+FD$3,2+FD$2)&lt;&gt;"",INDEX('×入力'!$A$1:$L$1300,1098,2+FD$2)&lt;&gt;"",INDEX('×入力'!$A$1:$L$1300,1099+FD$3,1)&lt;&gt;""),1,0),0)</f>
        <v/>
      </c>
      <c r="FE49">
        <f>IF(FE$4=1,IF(OR(INDEX('×入力'!$A$1:$L$1300,1099+FE$3,2+FE$2)&lt;&gt;"",INDEX('×入力'!$A$1:$L$1300,1098,2+FE$2)&lt;&gt;"",INDEX('×入力'!$A$1:$L$1300,1099+FE$3,1)&lt;&gt;""),1,0),0)</f>
        <v/>
      </c>
      <c r="FF49">
        <f>IF(FF$4=1,IF(OR(INDEX('×入力'!$A$1:$L$1300,1099+FF$3,2+FF$2)&lt;&gt;"",INDEX('×入力'!$A$1:$L$1300,1098,2+FF$2)&lt;&gt;"",INDEX('×入力'!$A$1:$L$1300,1099+FF$3,1)&lt;&gt;""),1,0),0)</f>
        <v/>
      </c>
      <c r="FG49">
        <f>IF(FG$4=1,IF(OR(INDEX('×入力'!$A$1:$L$1300,1099+FG$3,2+FG$2)&lt;&gt;"",INDEX('×入力'!$A$1:$L$1300,1098,2+FG$2)&lt;&gt;"",INDEX('×入力'!$A$1:$L$1300,1099+FG$3,1)&lt;&gt;""),1,0),0)</f>
        <v/>
      </c>
      <c r="FH49">
        <f>IF(FH$4=1,IF(OR(INDEX('×入力'!$A$1:$L$1300,1099+FH$3,2+FH$2)&lt;&gt;"",INDEX('×入力'!$A$1:$L$1300,1098,2+FH$2)&lt;&gt;"",INDEX('×入力'!$A$1:$L$1300,1099+FH$3,1)&lt;&gt;""),1,0),0)</f>
        <v/>
      </c>
      <c r="FI49">
        <f>IF(FI$4=1,IF(OR(INDEX('×入力'!$A$1:$L$1300,1099+FI$3,2+FI$2)&lt;&gt;"",INDEX('×入力'!$A$1:$L$1300,1098,2+FI$2)&lt;&gt;"",INDEX('×入力'!$A$1:$L$1300,1099+FI$3,1)&lt;&gt;""),1,0),0)</f>
        <v/>
      </c>
      <c r="FJ49">
        <f>IF(FJ$4=1,IF(OR(INDEX('×入力'!$A$1:$L$1300,1099+FJ$3,2+FJ$2)&lt;&gt;"",INDEX('×入力'!$A$1:$L$1300,1098,2+FJ$2)&lt;&gt;"",INDEX('×入力'!$A$1:$L$1300,1099+FJ$3,1)&lt;&gt;""),1,0),0)</f>
        <v/>
      </c>
      <c r="FK49">
        <f>IF(FK$4=1,IF(OR(INDEX('×入力'!$A$1:$L$1300,1099+FK$3,2+FK$2)&lt;&gt;"",INDEX('×入力'!$A$1:$L$1300,1098,2+FK$2)&lt;&gt;"",INDEX('×入力'!$A$1:$L$1300,1099+FK$3,1)&lt;&gt;""),1,0),0)</f>
        <v/>
      </c>
      <c r="FL49">
        <f>IF(FL$4=1,IF(OR(INDEX('×入力'!$A$1:$L$1300,1099+FL$3,2+FL$2)&lt;&gt;"",INDEX('×入力'!$A$1:$L$1300,1098,2+FL$2)&lt;&gt;"",INDEX('×入力'!$A$1:$L$1300,1099+FL$3,1)&lt;&gt;""),1,0),0)</f>
        <v/>
      </c>
      <c r="FM49">
        <f>IF(FM$4=1,IF(OR(INDEX('×入力'!$A$1:$L$1300,1099+FM$3,2+FM$2)&lt;&gt;"",INDEX('×入力'!$A$1:$L$1300,1098,2+FM$2)&lt;&gt;"",INDEX('×入力'!$A$1:$L$1300,1099+FM$3,1)&lt;&gt;""),1,0),0)</f>
        <v/>
      </c>
      <c r="FN49">
        <f>IF(FN$4=1,IF(OR(INDEX('×入力'!$A$1:$L$1300,1099+FN$3,2+FN$2)&lt;&gt;"",INDEX('×入力'!$A$1:$L$1300,1098,2+FN$2)&lt;&gt;"",INDEX('×入力'!$A$1:$L$1300,1099+FN$3,1)&lt;&gt;""),1,0),0)</f>
        <v/>
      </c>
      <c r="FO49">
        <f>IF(FO$4=1,IF(OR(INDEX('×入力'!$A$1:$L$1300,1099+FO$3,2+FO$2)&lt;&gt;"",INDEX('×入力'!$A$1:$L$1300,1098,2+FO$2)&lt;&gt;"",INDEX('×入力'!$A$1:$L$1300,1099+FO$3,1)&lt;&gt;""),1,0),0)</f>
        <v/>
      </c>
      <c r="FP49">
        <f>IF(FP$4=1,IF(OR(INDEX('×入力'!$A$1:$L$1300,1099+FP$3,2+FP$2)&lt;&gt;"",INDEX('×入力'!$A$1:$L$1300,1098,2+FP$2)&lt;&gt;"",INDEX('×入力'!$A$1:$L$1300,1099+FP$3,1)&lt;&gt;""),1,0),0)</f>
        <v/>
      </c>
      <c r="FQ49">
        <f>IF(FQ$4=1,IF(OR(INDEX('×入力'!$A$1:$L$1300,1099+FQ$3,2+FQ$2)&lt;&gt;"",INDEX('×入力'!$A$1:$L$1300,1098,2+FQ$2)&lt;&gt;"",INDEX('×入力'!$A$1:$L$1300,1099+FQ$3,1)&lt;&gt;""),1,0),0)</f>
        <v/>
      </c>
      <c r="FR49">
        <f>IF(FR$4=1,IF(OR(INDEX('×入力'!$A$1:$L$1300,1099+FR$3,2+FR$2)&lt;&gt;"",INDEX('×入力'!$A$1:$L$1300,1098,2+FR$2)&lt;&gt;"",INDEX('×入力'!$A$1:$L$1300,1099+FR$3,1)&lt;&gt;""),1,0),0)</f>
        <v/>
      </c>
      <c r="FS49">
        <f>IF(FS$4=1,IF(OR(INDEX('×入力'!$A$1:$L$1300,1099+FS$3,2+FS$2)&lt;&gt;"",INDEX('×入力'!$A$1:$L$1300,1098,2+FS$2)&lt;&gt;"",INDEX('×入力'!$A$1:$L$1300,1099+FS$3,1)&lt;&gt;""),1,0),0)</f>
        <v/>
      </c>
      <c r="FT49">
        <f>IF(FT$4=1,IF(OR(INDEX('×入力'!$A$1:$L$1300,1099+FT$3,2+FT$2)&lt;&gt;"",INDEX('×入力'!$A$1:$L$1300,1098,2+FT$2)&lt;&gt;"",INDEX('×入力'!$A$1:$L$1300,1099+FT$3,1)&lt;&gt;""),1,0),0)</f>
        <v/>
      </c>
      <c r="FU49">
        <f>IF(FU$4=1,IF(OR(INDEX('×入力'!$A$1:$L$1300,1099+FU$3,2+FU$2)&lt;&gt;"",INDEX('×入力'!$A$1:$L$1300,1098,2+FU$2)&lt;&gt;"",INDEX('×入力'!$A$1:$L$1300,1099+FU$3,1)&lt;&gt;""),1,0),0)</f>
        <v/>
      </c>
      <c r="FV49">
        <f>IF(FV$4=1,IF(OR(INDEX('×入力'!$A$1:$L$1300,1099+FV$3,2+FV$2)&lt;&gt;"",INDEX('×入力'!$A$1:$L$1300,1098,2+FV$2)&lt;&gt;"",INDEX('×入力'!$A$1:$L$1300,1099+FV$3,1)&lt;&gt;""),1,0),0)</f>
        <v/>
      </c>
      <c r="FW49">
        <f>IF(FW$4=1,IF(OR(INDEX('×入力'!$A$1:$L$1300,1099+FW$3,2+FW$2)&lt;&gt;"",INDEX('×入力'!$A$1:$L$1300,1098,2+FW$2)&lt;&gt;"",INDEX('×入力'!$A$1:$L$1300,1099+FW$3,1)&lt;&gt;""),1,0),0)</f>
        <v/>
      </c>
      <c r="FX49">
        <f>IF(FX$4=1,IF(OR(INDEX('×入力'!$A$1:$L$1300,1099+FX$3,2+FX$2)&lt;&gt;"",INDEX('×入力'!$A$1:$L$1300,1098,2+FX$2)&lt;&gt;"",INDEX('×入力'!$A$1:$L$1300,1099+FX$3,1)&lt;&gt;""),1,0),0)</f>
        <v/>
      </c>
      <c r="FY49">
        <f>IF(FY$4=1,IF(OR(INDEX('×入力'!$A$1:$L$1300,1099+FY$3,2+FY$2)&lt;&gt;"",INDEX('×入力'!$A$1:$L$1300,1098,2+FY$2)&lt;&gt;"",INDEX('×入力'!$A$1:$L$1300,1099+FY$3,1)&lt;&gt;""),1,0),0)</f>
        <v/>
      </c>
      <c r="FZ49">
        <f>IF(FZ$4=1,IF(OR(INDEX('×入力'!$A$1:$L$1300,1099+FZ$3,2+FZ$2)&lt;&gt;"",INDEX('×入力'!$A$1:$L$1300,1098,2+FZ$2)&lt;&gt;"",INDEX('×入力'!$A$1:$L$1300,1099+FZ$3,1)&lt;&gt;""),1,0),0)</f>
        <v/>
      </c>
      <c r="GA49">
        <f>IF(GA$4=1,IF(OR(INDEX('×入力'!$A$1:$L$1300,1099+GA$3,2+GA$2)&lt;&gt;"",INDEX('×入力'!$A$1:$L$1300,1098,2+GA$2)&lt;&gt;"",INDEX('×入力'!$A$1:$L$1300,1099+GA$3,1)&lt;&gt;""),1,0),0)</f>
        <v/>
      </c>
      <c r="GB49">
        <f>IF(GB$4=1,IF(OR(INDEX('×入力'!$A$1:$L$1300,1099+GB$3,2+GB$2)&lt;&gt;"",INDEX('×入力'!$A$1:$L$1300,1098,2+GB$2)&lt;&gt;"",INDEX('×入力'!$A$1:$L$1300,1099+GB$3,1)&lt;&gt;""),1,0),0)</f>
        <v/>
      </c>
      <c r="GC49">
        <f>IF(GC$4=1,IF(OR(INDEX('×入力'!$A$1:$L$1300,1099+GC$3,2+GC$2)&lt;&gt;"",INDEX('×入力'!$A$1:$L$1300,1098,2+GC$2)&lt;&gt;"",INDEX('×入力'!$A$1:$L$1300,1099+GC$3,1)&lt;&gt;""),1,0),0)</f>
        <v/>
      </c>
      <c r="GD49">
        <f>IF(GD$4=1,IF(OR(INDEX('×入力'!$A$1:$L$1300,1099+GD$3,2+GD$2)&lt;&gt;"",INDEX('×入力'!$A$1:$L$1300,1098,2+GD$2)&lt;&gt;"",INDEX('×入力'!$A$1:$L$1300,1099+GD$3,1)&lt;&gt;""),1,0),0)</f>
        <v/>
      </c>
      <c r="GE49">
        <f>IF(GE$4=1,IF(OR(INDEX('×入力'!$A$1:$L$1300,1099+GE$3,2+GE$2)&lt;&gt;"",INDEX('×入力'!$A$1:$L$1300,1098,2+GE$2)&lt;&gt;"",INDEX('×入力'!$A$1:$L$1300,1099+GE$3,1)&lt;&gt;""),1,0),0)</f>
        <v/>
      </c>
      <c r="GF49">
        <f>IF(GF$4=1,IF(OR(INDEX('×入力'!$A$1:$L$1300,1099+GF$3,2+GF$2)&lt;&gt;"",INDEX('×入力'!$A$1:$L$1300,1098,2+GF$2)&lt;&gt;"",INDEX('×入力'!$A$1:$L$1300,1099+GF$3,1)&lt;&gt;""),1,0),0)</f>
        <v/>
      </c>
      <c r="GG49">
        <f>IF(GG$4=1,IF(OR(INDEX('×入力'!$A$1:$L$1300,1099+GG$3,2+GG$2)&lt;&gt;"",INDEX('×入力'!$A$1:$L$1300,1098,2+GG$2)&lt;&gt;"",INDEX('×入力'!$A$1:$L$1300,1099+GG$3,1)&lt;&gt;""),1,0),0)</f>
        <v/>
      </c>
      <c r="GH49">
        <f>IF(GH$4=1,IF(OR(INDEX('×入力'!$A$1:$L$1300,1099+GH$3,2+GH$2)&lt;&gt;"",INDEX('×入力'!$A$1:$L$1300,1098,2+GH$2)&lt;&gt;"",INDEX('×入力'!$A$1:$L$1300,1099+GH$3,1)&lt;&gt;""),1,0),0)</f>
        <v/>
      </c>
      <c r="GI49">
        <f>IF(GI$4=1,IF(OR(INDEX('×入力'!$A$1:$L$1300,1099+GI$3,2+GI$2)&lt;&gt;"",INDEX('×入力'!$A$1:$L$1300,1098,2+GI$2)&lt;&gt;"",INDEX('×入力'!$A$1:$L$1300,1099+GI$3,1)&lt;&gt;""),1,0),0)</f>
        <v/>
      </c>
      <c r="GJ49">
        <f>IF(GJ$4=1,IF(OR(INDEX('×入力'!$A$1:$L$1300,1099+GJ$3,2+GJ$2)&lt;&gt;"",INDEX('×入力'!$A$1:$L$1300,1098,2+GJ$2)&lt;&gt;"",INDEX('×入力'!$A$1:$L$1300,1099+GJ$3,1)&lt;&gt;""),1,0),0)</f>
        <v/>
      </c>
      <c r="GK49">
        <f>IF(GK$4=1,IF(OR(INDEX('×入力'!$A$1:$L$1300,1099+GK$3,2+GK$2)&lt;&gt;"",INDEX('×入力'!$A$1:$L$1300,1098,2+GK$2)&lt;&gt;"",INDEX('×入力'!$A$1:$L$1300,1099+GK$3,1)&lt;&gt;""),1,0),0)</f>
        <v/>
      </c>
      <c r="GL49">
        <f>IF(GL$4=1,IF(OR(INDEX('×入力'!$A$1:$L$1300,1099+GL$3,2+GL$2)&lt;&gt;"",INDEX('×入力'!$A$1:$L$1300,1098,2+GL$2)&lt;&gt;"",INDEX('×入力'!$A$1:$L$1300,1099+GL$3,1)&lt;&gt;""),1,0),0)</f>
        <v/>
      </c>
      <c r="GM49">
        <f>IF(GM$4=1,IF(OR(INDEX('×入力'!$A$1:$L$1300,1099+GM$3,2+GM$2)&lt;&gt;"",INDEX('×入力'!$A$1:$L$1300,1098,2+GM$2)&lt;&gt;"",INDEX('×入力'!$A$1:$L$1300,1099+GM$3,1)&lt;&gt;""),1,0),0)</f>
        <v/>
      </c>
      <c r="GN49">
        <f>IF(GN$4=1,IF(OR(INDEX('×入力'!$A$1:$L$1300,1099+GN$3,2+GN$2)&lt;&gt;"",INDEX('×入力'!$A$1:$L$1300,1098,2+GN$2)&lt;&gt;"",INDEX('×入力'!$A$1:$L$1300,1099+GN$3,1)&lt;&gt;""),1,0),0)</f>
        <v/>
      </c>
      <c r="GO49">
        <f>IF(GO$4=1,IF(OR(INDEX('×入力'!$A$1:$L$1300,1099+GO$3,2+GO$2)&lt;&gt;"",INDEX('×入力'!$A$1:$L$1300,1098,2+GO$2)&lt;&gt;"",INDEX('×入力'!$A$1:$L$1300,1099+GO$3,1)&lt;&gt;""),1,0),0)</f>
        <v/>
      </c>
      <c r="GP49">
        <f>IF(GP$4=1,IF(OR(INDEX('×入力'!$A$1:$L$1300,1099+GP$3,2+GP$2)&lt;&gt;"",INDEX('×入力'!$A$1:$L$1300,1098,2+GP$2)&lt;&gt;"",INDEX('×入力'!$A$1:$L$1300,1099+GP$3,1)&lt;&gt;""),1,0),0)</f>
        <v/>
      </c>
      <c r="GQ49">
        <f>IF(GQ$4=1,IF(OR(INDEX('×入力'!$A$1:$L$1300,1099+GQ$3,2+GQ$2)&lt;&gt;"",INDEX('×入力'!$A$1:$L$1300,1098,2+GQ$2)&lt;&gt;"",INDEX('×入力'!$A$1:$L$1300,1099+GQ$3,1)&lt;&gt;""),1,0),0)</f>
        <v/>
      </c>
      <c r="GR49">
        <f>IF(GR$4=1,IF(OR(INDEX('×入力'!$A$1:$L$1300,1099+GR$3,2+GR$2)&lt;&gt;"",INDEX('×入力'!$A$1:$L$1300,1098,2+GR$2)&lt;&gt;"",INDEX('×入力'!$A$1:$L$1300,1099+GR$3,1)&lt;&gt;""),1,0),0)</f>
        <v/>
      </c>
      <c r="GS49">
        <f>IF(GS$4=1,IF(OR(INDEX('×入力'!$A$1:$L$1300,1099+GS$3,2+GS$2)&lt;&gt;"",INDEX('×入力'!$A$1:$L$1300,1098,2+GS$2)&lt;&gt;"",INDEX('×入力'!$A$1:$L$1300,1099+GS$3,1)&lt;&gt;""),1,0),0)</f>
        <v/>
      </c>
      <c r="GT49">
        <f>IF(GT$4=1,IF(OR(INDEX('×入力'!$A$1:$L$1300,1099+GT$3,2+GT$2)&lt;&gt;"",INDEX('×入力'!$A$1:$L$1300,1098,2+GT$2)&lt;&gt;"",INDEX('×入力'!$A$1:$L$1300,1099+GT$3,1)&lt;&gt;""),1,0),0)</f>
        <v/>
      </c>
      <c r="GU49">
        <f>IF(GU$4=1,IF(OR(INDEX('×入力'!$A$1:$L$1300,1099+GU$3,2+GU$2)&lt;&gt;"",INDEX('×入力'!$A$1:$L$1300,1098,2+GU$2)&lt;&gt;"",INDEX('×入力'!$A$1:$L$1300,1099+GU$3,1)&lt;&gt;""),1,0),0)</f>
        <v/>
      </c>
      <c r="GV49">
        <f>IF(GV$4=1,IF(OR(INDEX('×入力'!$A$1:$L$1300,1099+GV$3,2+GV$2)&lt;&gt;"",INDEX('×入力'!$A$1:$L$1300,1098,2+GV$2)&lt;&gt;"",INDEX('×入力'!$A$1:$L$1300,1099+GV$3,1)&lt;&gt;""),1,0),0)</f>
        <v/>
      </c>
      <c r="GW49">
        <f>IF(GW$4=1,IF(OR(INDEX('×入力'!$A$1:$L$1300,1099+GW$3,2+GW$2)&lt;&gt;"",INDEX('×入力'!$A$1:$L$1300,1098,2+GW$2)&lt;&gt;"",INDEX('×入力'!$A$1:$L$1300,1099+GW$3,1)&lt;&gt;""),1,0),0)</f>
        <v/>
      </c>
      <c r="GX49">
        <f>IF(GX$4=1,IF(OR(INDEX('×入力'!$A$1:$L$1300,1099+GX$3,2+GX$2)&lt;&gt;"",INDEX('×入力'!$A$1:$L$1300,1098,2+GX$2)&lt;&gt;"",INDEX('×入力'!$A$1:$L$1300,1099+GX$3,1)&lt;&gt;""),1,0),0)</f>
        <v/>
      </c>
      <c r="GY49">
        <f>IF(GY$4=1,IF(OR(INDEX('×入力'!$A$1:$L$1300,1099+GY$3,2+GY$2)&lt;&gt;"",INDEX('×入力'!$A$1:$L$1300,1098,2+GY$2)&lt;&gt;"",INDEX('×入力'!$A$1:$L$1300,1099+GY$3,1)&lt;&gt;""),1,0),0)</f>
        <v/>
      </c>
      <c r="GZ49">
        <f>IF(GZ$4=1,IF(OR(INDEX('×入力'!$A$1:$L$1300,1099+GZ$3,2+GZ$2)&lt;&gt;"",INDEX('×入力'!$A$1:$L$1300,1098,2+GZ$2)&lt;&gt;"",INDEX('×入力'!$A$1:$L$1300,1099+GZ$3,1)&lt;&gt;""),1,0),0)</f>
        <v/>
      </c>
      <c r="HA49">
        <f>IF(HA$4=1,IF(OR(INDEX('×入力'!$A$1:$L$1300,1099+HA$3,2+HA$2)&lt;&gt;"",INDEX('×入力'!$A$1:$L$1300,1098,2+HA$2)&lt;&gt;"",INDEX('×入力'!$A$1:$L$1300,1099+HA$3,1)&lt;&gt;""),1,0),0)</f>
        <v/>
      </c>
      <c r="HB49">
        <f>IF(HB$4=1,IF(OR(INDEX('×入力'!$A$1:$L$1300,1099+HB$3,2+HB$2)&lt;&gt;"",INDEX('×入力'!$A$1:$L$1300,1098,2+HB$2)&lt;&gt;"",INDEX('×入力'!$A$1:$L$1300,1099+HB$3,1)&lt;&gt;""),1,0),0)</f>
        <v/>
      </c>
      <c r="HC49">
        <f>IF(HC$4=1,IF(OR(INDEX('×入力'!$A$1:$L$1300,1099+HC$3,2+HC$2)&lt;&gt;"",INDEX('×入力'!$A$1:$L$1300,1098,2+HC$2)&lt;&gt;"",INDEX('×入力'!$A$1:$L$1300,1099+HC$3,1)&lt;&gt;""),1,0),0)</f>
        <v/>
      </c>
      <c r="HD49">
        <f>IF(HD$4=1,IF(OR(INDEX('×入力'!$A$1:$L$1300,1099+HD$3,2+HD$2)&lt;&gt;"",INDEX('×入力'!$A$1:$L$1300,1098,2+HD$2)&lt;&gt;"",INDEX('×入力'!$A$1:$L$1300,1099+HD$3,1)&lt;&gt;""),1,0),0)</f>
        <v/>
      </c>
      <c r="HE49">
        <f>IF(HE$4=1,IF(OR(INDEX('×入力'!$A$1:$L$1300,1099+HE$3,2+HE$2)&lt;&gt;"",INDEX('×入力'!$A$1:$L$1300,1098,2+HE$2)&lt;&gt;"",INDEX('×入力'!$A$1:$L$1300,1099+HE$3,1)&lt;&gt;""),1,0),0)</f>
        <v/>
      </c>
      <c r="HF49">
        <f>IF(HF$4=1,IF(OR(INDEX('×入力'!$A$1:$L$1300,1099+HF$3,2+HF$2)&lt;&gt;"",INDEX('×入力'!$A$1:$L$1300,1098,2+HF$2)&lt;&gt;"",INDEX('×入力'!$A$1:$L$1300,1099+HF$3,1)&lt;&gt;""),1,0),0)</f>
        <v/>
      </c>
      <c r="HG49">
        <f>IF(HG$4=1,IF(OR(INDEX('×入力'!$A$1:$L$1300,1099+HG$3,2+HG$2)&lt;&gt;"",INDEX('×入力'!$A$1:$L$1300,1098,2+HG$2)&lt;&gt;"",INDEX('×入力'!$A$1:$L$1300,1099+HG$3,1)&lt;&gt;""),1,0),0)</f>
        <v/>
      </c>
      <c r="HH49">
        <f>IF(HH$4=1,IF(OR(INDEX('×入力'!$A$1:$L$1300,1099+HH$3,2+HH$2)&lt;&gt;"",INDEX('×入力'!$A$1:$L$1300,1098,2+HH$2)&lt;&gt;"",INDEX('×入力'!$A$1:$L$1300,1099+HH$3,1)&lt;&gt;""),1,0),0)</f>
        <v/>
      </c>
      <c r="HI49">
        <f>IF(HI$4=1,IF(OR(INDEX('×入力'!$A$1:$L$1300,1099+HI$3,2+HI$2)&lt;&gt;"",INDEX('×入力'!$A$1:$L$1300,1098,2+HI$2)&lt;&gt;"",INDEX('×入力'!$A$1:$L$1300,1099+HI$3,1)&lt;&gt;""),1,0),0)</f>
        <v/>
      </c>
      <c r="HJ49">
        <f>IF(HJ$4=1,IF(OR(INDEX('×入力'!$A$1:$L$1300,1099+HJ$3,2+HJ$2)&lt;&gt;"",INDEX('×入力'!$A$1:$L$1300,1098,2+HJ$2)&lt;&gt;"",INDEX('×入力'!$A$1:$L$1300,1099+HJ$3,1)&lt;&gt;""),1,0),0)</f>
        <v/>
      </c>
      <c r="HK49">
        <f>IF(HK$4=1,IF(OR(INDEX('×入力'!$A$1:$L$1300,1099+HK$3,2+HK$2)&lt;&gt;"",INDEX('×入力'!$A$1:$L$1300,1098,2+HK$2)&lt;&gt;"",INDEX('×入力'!$A$1:$L$1300,1099+HK$3,1)&lt;&gt;""),1,0),0)</f>
        <v/>
      </c>
      <c r="HL49">
        <f>IF(HL$4=1,IF(OR(INDEX('×入力'!$A$1:$L$1300,1099+HL$3,2+HL$2)&lt;&gt;"",INDEX('×入力'!$A$1:$L$1300,1098,2+HL$2)&lt;&gt;"",INDEX('×入力'!$A$1:$L$1300,1099+HL$3,1)&lt;&gt;""),1,0),0)</f>
        <v/>
      </c>
      <c r="HM49">
        <f>IF(HM$4=1,IF(OR(INDEX('×入力'!$A$1:$L$1300,1099+HM$3,2+HM$2)&lt;&gt;"",INDEX('×入力'!$A$1:$L$1300,1098,2+HM$2)&lt;&gt;"",INDEX('×入力'!$A$1:$L$1300,1099+HM$3,1)&lt;&gt;""),1,0),0)</f>
        <v/>
      </c>
      <c r="HN49">
        <f>IF(HN$4=1,IF(OR(INDEX('×入力'!$A$1:$L$1300,1099+HN$3,2+HN$2)&lt;&gt;"",INDEX('×入力'!$A$1:$L$1300,1098,2+HN$2)&lt;&gt;"",INDEX('×入力'!$A$1:$L$1300,1099+HN$3,1)&lt;&gt;""),1,0),0)</f>
        <v/>
      </c>
      <c r="HO49">
        <f>IF(HO$4=1,IF(OR(INDEX('×入力'!$A$1:$L$1300,1099+HO$3,2+HO$2)&lt;&gt;"",INDEX('×入力'!$A$1:$L$1300,1098,2+HO$2)&lt;&gt;"",INDEX('×入力'!$A$1:$L$1300,1099+HO$3,1)&lt;&gt;""),1,0),0)</f>
        <v/>
      </c>
      <c r="HP49">
        <f>IF(HP$4=1,IF(OR(INDEX('×入力'!$A$1:$L$1300,1099+HP$3,2+HP$2)&lt;&gt;"",INDEX('×入力'!$A$1:$L$1300,1098,2+HP$2)&lt;&gt;"",INDEX('×入力'!$A$1:$L$1300,1099+HP$3,1)&lt;&gt;""),1,0),0)</f>
        <v/>
      </c>
      <c r="HQ49">
        <f>IF(HQ$4=1,IF(OR(INDEX('×入力'!$A$1:$L$1300,1099+HQ$3,2+HQ$2)&lt;&gt;"",INDEX('×入力'!$A$1:$L$1300,1098,2+HQ$2)&lt;&gt;"",INDEX('×入力'!$A$1:$L$1300,1099+HQ$3,1)&lt;&gt;""),1,0),0)</f>
        <v/>
      </c>
      <c r="HR49">
        <f>IF(HR$4=1,IF(OR(INDEX('×入力'!$A$1:$L$1300,1099+HR$3,2+HR$2)&lt;&gt;"",INDEX('×入力'!$A$1:$L$1300,1098,2+HR$2)&lt;&gt;"",INDEX('×入力'!$A$1:$L$1300,1099+HR$3,1)&lt;&gt;""),1,0),0)</f>
        <v/>
      </c>
      <c r="HS49">
        <f>IF(HS$4=1,IF(OR(INDEX('×入力'!$A$1:$L$1300,1099+HS$3,2+HS$2)&lt;&gt;"",INDEX('×入力'!$A$1:$L$1300,1098,2+HS$2)&lt;&gt;"",INDEX('×入力'!$A$1:$L$1300,1099+HS$3,1)&lt;&gt;""),1,0),0)</f>
        <v/>
      </c>
      <c r="HT49">
        <f>IF(HT$4=1,IF(OR(INDEX('×入力'!$A$1:$L$1300,1099+HT$3,2+HT$2)&lt;&gt;"",INDEX('×入力'!$A$1:$L$1300,1098,2+HT$2)&lt;&gt;"",INDEX('×入力'!$A$1:$L$1300,1099+HT$3,1)&lt;&gt;""),1,0),0)</f>
        <v/>
      </c>
      <c r="HU49">
        <f>IF(HU$4=1,IF(OR(INDEX('×入力'!$A$1:$L$1300,1099+HU$3,2+HU$2)&lt;&gt;"",INDEX('×入力'!$A$1:$L$1300,1098,2+HU$2)&lt;&gt;"",INDEX('×入力'!$A$1:$L$1300,1099+HU$3,1)&lt;&gt;""),1,0),0)</f>
        <v/>
      </c>
      <c r="HV49">
        <f>IF(HV$4=1,IF(OR(INDEX('×入力'!$A$1:$L$1300,1099+HV$3,2+HV$2)&lt;&gt;"",INDEX('×入力'!$A$1:$L$1300,1098,2+HV$2)&lt;&gt;"",INDEX('×入力'!$A$1:$L$1300,1099+HV$3,1)&lt;&gt;""),1,0),0)</f>
        <v/>
      </c>
      <c r="HW49">
        <f>IF(HW$4=1,IF(OR(INDEX('×入力'!$A$1:$L$1300,1099+HW$3,2+HW$2)&lt;&gt;"",INDEX('×入力'!$A$1:$L$1300,1098,2+HW$2)&lt;&gt;"",INDEX('×入力'!$A$1:$L$1300,1099+HW$3,1)&lt;&gt;""),1,0),0)</f>
        <v/>
      </c>
      <c r="HX49">
        <f>IF(HX$4=1,IF(OR(INDEX('×入力'!$A$1:$L$1300,1099+HX$3,2+HX$2)&lt;&gt;"",INDEX('×入力'!$A$1:$L$1300,1098,2+HX$2)&lt;&gt;"",INDEX('×入力'!$A$1:$L$1300,1099+HX$3,1)&lt;&gt;""),1,0),0)</f>
        <v/>
      </c>
      <c r="HY49">
        <f>IF(HY$4=1,IF(OR(INDEX('×入力'!$A$1:$L$1300,1099+HY$3,2+HY$2)&lt;&gt;"",INDEX('×入力'!$A$1:$L$1300,1098,2+HY$2)&lt;&gt;"",INDEX('×入力'!$A$1:$L$1300,1099+HY$3,1)&lt;&gt;""),1,0),0)</f>
        <v/>
      </c>
      <c r="HZ49">
        <f>IF(HZ$4=1,IF(OR(INDEX('×入力'!$A$1:$L$1300,1099+HZ$3,2+HZ$2)&lt;&gt;"",INDEX('×入力'!$A$1:$L$1300,1098,2+HZ$2)&lt;&gt;"",INDEX('×入力'!$A$1:$L$1300,1099+HZ$3,1)&lt;&gt;""),1,0),0)</f>
        <v/>
      </c>
      <c r="IA49">
        <f>IF(IA$4=1,IF(OR(INDEX('×入力'!$A$1:$L$1300,1099+IA$3,2+IA$2)&lt;&gt;"",INDEX('×入力'!$A$1:$L$1300,1098,2+IA$2)&lt;&gt;"",INDEX('×入力'!$A$1:$L$1300,1099+IA$3,1)&lt;&gt;""),1,0),0)</f>
        <v/>
      </c>
      <c r="IB49">
        <f>IF(IB$4=1,IF(OR(INDEX('×入力'!$A$1:$L$1300,1099+IB$3,2+IB$2)&lt;&gt;"",INDEX('×入力'!$A$1:$L$1300,1098,2+IB$2)&lt;&gt;"",INDEX('×入力'!$A$1:$L$1300,1099+IB$3,1)&lt;&gt;""),1,0),0)</f>
        <v/>
      </c>
      <c r="IC49">
        <f>IF(IC$4=1,IF(OR(INDEX('×入力'!$A$1:$L$1300,1099+IC$3,2+IC$2)&lt;&gt;"",INDEX('×入力'!$A$1:$L$1300,1098,2+IC$2)&lt;&gt;"",INDEX('×入力'!$A$1:$L$1300,1099+IC$3,1)&lt;&gt;""),1,0),0)</f>
        <v/>
      </c>
      <c r="ID49">
        <f>IF(ID$4=1,IF(OR(INDEX('×入力'!$A$1:$L$1300,1099+ID$3,2+ID$2)&lt;&gt;"",INDEX('×入力'!$A$1:$L$1300,1098,2+ID$2)&lt;&gt;"",INDEX('×入力'!$A$1:$L$1300,1099+ID$3,1)&lt;&gt;""),1,0),0)</f>
        <v/>
      </c>
      <c r="IE49">
        <f>IF(IE$4=1,IF(OR(INDEX('×入力'!$A$1:$L$1300,1099+IE$3,2+IE$2)&lt;&gt;"",INDEX('×入力'!$A$1:$L$1300,1098,2+IE$2)&lt;&gt;"",INDEX('×入力'!$A$1:$L$1300,1099+IE$3,1)&lt;&gt;""),1,0),0)</f>
        <v/>
      </c>
      <c r="IF49">
        <f>IF(IF$4=1,IF(OR(INDEX('×入力'!$A$1:$L$1300,1099+IF$3,2+IF$2)&lt;&gt;"",INDEX('×入力'!$A$1:$L$1300,1098,2+IF$2)&lt;&gt;"",INDEX('×入力'!$A$1:$L$1300,1099+IF$3,1)&lt;&gt;""),1,0),0)</f>
        <v/>
      </c>
      <c r="IG49">
        <f>IF(IG$4=1,IF(OR(INDEX('×入力'!$A$1:$L$1300,1099+IG$3,2+IG$2)&lt;&gt;"",INDEX('×入力'!$A$1:$L$1300,1098,2+IG$2)&lt;&gt;"",INDEX('×入力'!$A$1:$L$1300,1099+IG$3,1)&lt;&gt;""),1,0),0)</f>
        <v/>
      </c>
      <c r="IH49">
        <f>IF(IH$4=1,IF(OR(INDEX('×入力'!$A$1:$L$1300,1099+IH$3,2+IH$2)&lt;&gt;"",INDEX('×入力'!$A$1:$L$1300,1098,2+IH$2)&lt;&gt;"",INDEX('×入力'!$A$1:$L$1300,1099+IH$3,1)&lt;&gt;""),1,0),0)</f>
        <v/>
      </c>
      <c r="II49">
        <f>IF(II$4=1,IF(OR(INDEX('×入力'!$A$1:$L$1300,1099+II$3,2+II$2)&lt;&gt;"",INDEX('×入力'!$A$1:$L$1300,1098,2+II$2)&lt;&gt;"",INDEX('×入力'!$A$1:$L$1300,1099+II$3,1)&lt;&gt;""),1,0),0)</f>
        <v/>
      </c>
      <c r="IK49">
        <f>IFERROR(INDEX('計算B'!$C$3:$C$47,MATCH(A49,'計算B'!$B$3:$B$47,0)),0)</f>
        <v/>
      </c>
      <c r="IL49">
        <f>IF(AND(C49=1,IK49=0),1,0)</f>
        <v/>
      </c>
      <c r="IM49">
        <f>SUMPRODUCT(D99:II99*(1-$D$7:$II$7))</f>
        <v/>
      </c>
      <c r="IN49">
        <f>SUM(D49:II49)</f>
        <v/>
      </c>
      <c r="IO49">
        <f>IF(B49="",0,IF(COUNTIF('調整・決定'!$C$6:$L$29,B49)=1,SUMPRODUCT(('調整・決定'!$C$6:$L$29=B49)*((COLUMN('調整・決定'!$C$6:$L$29)-3)*24+ROW('調整・決定'!$C$6:$L$29)-5)),0))</f>
        <v/>
      </c>
      <c r="IP49">
        <f>IFERROR(MATCH('名簿'!E44,{"早い時刻","遅い時刻","早い日","遅い日"},0),0)</f>
        <v/>
      </c>
      <c r="IQ49">
        <f>IF('名簿'!F44="必ず空けたい",2,IF('名簿'!F44="出来れば空けたい",1,0))</f>
        <v/>
      </c>
    </row>
    <row r="50">
      <c r="A50" t="n">
        <v>41</v>
      </c>
      <c r="B50">
        <f>'名簿'!G45</f>
        <v/>
      </c>
      <c r="C50">
        <f>IF(AND(B50&lt;&gt;"",OR('名簿'!H45="入力済み",'名簿'!H45="×なし"),IO50=0,COUNTIF('調整・決定'!$C$6:$L$29,B50)=0),1,0)</f>
        <v/>
      </c>
      <c r="D50">
        <f>IF(D$4=1,IF(OR(INDEX('×入力'!$A$1:$L$1300,1127+D$3,2+D$2)&lt;&gt;"",INDEX('×入力'!$A$1:$L$1300,1126,2+D$2)&lt;&gt;"",INDEX('×入力'!$A$1:$L$1300,1127+D$3,1)&lt;&gt;""),1,0),0)</f>
        <v/>
      </c>
      <c r="E50">
        <f>IF(E$4=1,IF(OR(INDEX('×入力'!$A$1:$L$1300,1127+E$3,2+E$2)&lt;&gt;"",INDEX('×入力'!$A$1:$L$1300,1126,2+E$2)&lt;&gt;"",INDEX('×入力'!$A$1:$L$1300,1127+E$3,1)&lt;&gt;""),1,0),0)</f>
        <v/>
      </c>
      <c r="F50">
        <f>IF(F$4=1,IF(OR(INDEX('×入力'!$A$1:$L$1300,1127+F$3,2+F$2)&lt;&gt;"",INDEX('×入力'!$A$1:$L$1300,1126,2+F$2)&lt;&gt;"",INDEX('×入力'!$A$1:$L$1300,1127+F$3,1)&lt;&gt;""),1,0),0)</f>
        <v/>
      </c>
      <c r="G50">
        <f>IF(G$4=1,IF(OR(INDEX('×入力'!$A$1:$L$1300,1127+G$3,2+G$2)&lt;&gt;"",INDEX('×入力'!$A$1:$L$1300,1126,2+G$2)&lt;&gt;"",INDEX('×入力'!$A$1:$L$1300,1127+G$3,1)&lt;&gt;""),1,0),0)</f>
        <v/>
      </c>
      <c r="H50">
        <f>IF(H$4=1,IF(OR(INDEX('×入力'!$A$1:$L$1300,1127+H$3,2+H$2)&lt;&gt;"",INDEX('×入力'!$A$1:$L$1300,1126,2+H$2)&lt;&gt;"",INDEX('×入力'!$A$1:$L$1300,1127+H$3,1)&lt;&gt;""),1,0),0)</f>
        <v/>
      </c>
      <c r="I50">
        <f>IF(I$4=1,IF(OR(INDEX('×入力'!$A$1:$L$1300,1127+I$3,2+I$2)&lt;&gt;"",INDEX('×入力'!$A$1:$L$1300,1126,2+I$2)&lt;&gt;"",INDEX('×入力'!$A$1:$L$1300,1127+I$3,1)&lt;&gt;""),1,0),0)</f>
        <v/>
      </c>
      <c r="J50">
        <f>IF(J$4=1,IF(OR(INDEX('×入力'!$A$1:$L$1300,1127+J$3,2+J$2)&lt;&gt;"",INDEX('×入力'!$A$1:$L$1300,1126,2+J$2)&lt;&gt;"",INDEX('×入力'!$A$1:$L$1300,1127+J$3,1)&lt;&gt;""),1,0),0)</f>
        <v/>
      </c>
      <c r="K50">
        <f>IF(K$4=1,IF(OR(INDEX('×入力'!$A$1:$L$1300,1127+K$3,2+K$2)&lt;&gt;"",INDEX('×入力'!$A$1:$L$1300,1126,2+K$2)&lt;&gt;"",INDEX('×入力'!$A$1:$L$1300,1127+K$3,1)&lt;&gt;""),1,0),0)</f>
        <v/>
      </c>
      <c r="L50">
        <f>IF(L$4=1,IF(OR(INDEX('×入力'!$A$1:$L$1300,1127+L$3,2+L$2)&lt;&gt;"",INDEX('×入力'!$A$1:$L$1300,1126,2+L$2)&lt;&gt;"",INDEX('×入力'!$A$1:$L$1300,1127+L$3,1)&lt;&gt;""),1,0),0)</f>
        <v/>
      </c>
      <c r="M50">
        <f>IF(M$4=1,IF(OR(INDEX('×入力'!$A$1:$L$1300,1127+M$3,2+M$2)&lt;&gt;"",INDEX('×入力'!$A$1:$L$1300,1126,2+M$2)&lt;&gt;"",INDEX('×入力'!$A$1:$L$1300,1127+M$3,1)&lt;&gt;""),1,0),0)</f>
        <v/>
      </c>
      <c r="N50">
        <f>IF(N$4=1,IF(OR(INDEX('×入力'!$A$1:$L$1300,1127+N$3,2+N$2)&lt;&gt;"",INDEX('×入力'!$A$1:$L$1300,1126,2+N$2)&lt;&gt;"",INDEX('×入力'!$A$1:$L$1300,1127+N$3,1)&lt;&gt;""),1,0),0)</f>
        <v/>
      </c>
      <c r="O50">
        <f>IF(O$4=1,IF(OR(INDEX('×入力'!$A$1:$L$1300,1127+O$3,2+O$2)&lt;&gt;"",INDEX('×入力'!$A$1:$L$1300,1126,2+O$2)&lt;&gt;"",INDEX('×入力'!$A$1:$L$1300,1127+O$3,1)&lt;&gt;""),1,0),0)</f>
        <v/>
      </c>
      <c r="P50">
        <f>IF(P$4=1,IF(OR(INDEX('×入力'!$A$1:$L$1300,1127+P$3,2+P$2)&lt;&gt;"",INDEX('×入力'!$A$1:$L$1300,1126,2+P$2)&lt;&gt;"",INDEX('×入力'!$A$1:$L$1300,1127+P$3,1)&lt;&gt;""),1,0),0)</f>
        <v/>
      </c>
      <c r="Q50">
        <f>IF(Q$4=1,IF(OR(INDEX('×入力'!$A$1:$L$1300,1127+Q$3,2+Q$2)&lt;&gt;"",INDEX('×入力'!$A$1:$L$1300,1126,2+Q$2)&lt;&gt;"",INDEX('×入力'!$A$1:$L$1300,1127+Q$3,1)&lt;&gt;""),1,0),0)</f>
        <v/>
      </c>
      <c r="R50">
        <f>IF(R$4=1,IF(OR(INDEX('×入力'!$A$1:$L$1300,1127+R$3,2+R$2)&lt;&gt;"",INDEX('×入力'!$A$1:$L$1300,1126,2+R$2)&lt;&gt;"",INDEX('×入力'!$A$1:$L$1300,1127+R$3,1)&lt;&gt;""),1,0),0)</f>
        <v/>
      </c>
      <c r="S50">
        <f>IF(S$4=1,IF(OR(INDEX('×入力'!$A$1:$L$1300,1127+S$3,2+S$2)&lt;&gt;"",INDEX('×入力'!$A$1:$L$1300,1126,2+S$2)&lt;&gt;"",INDEX('×入力'!$A$1:$L$1300,1127+S$3,1)&lt;&gt;""),1,0),0)</f>
        <v/>
      </c>
      <c r="T50">
        <f>IF(T$4=1,IF(OR(INDEX('×入力'!$A$1:$L$1300,1127+T$3,2+T$2)&lt;&gt;"",INDEX('×入力'!$A$1:$L$1300,1126,2+T$2)&lt;&gt;"",INDEX('×入力'!$A$1:$L$1300,1127+T$3,1)&lt;&gt;""),1,0),0)</f>
        <v/>
      </c>
      <c r="U50">
        <f>IF(U$4=1,IF(OR(INDEX('×入力'!$A$1:$L$1300,1127+U$3,2+U$2)&lt;&gt;"",INDEX('×入力'!$A$1:$L$1300,1126,2+U$2)&lt;&gt;"",INDEX('×入力'!$A$1:$L$1300,1127+U$3,1)&lt;&gt;""),1,0),0)</f>
        <v/>
      </c>
      <c r="V50">
        <f>IF(V$4=1,IF(OR(INDEX('×入力'!$A$1:$L$1300,1127+V$3,2+V$2)&lt;&gt;"",INDEX('×入力'!$A$1:$L$1300,1126,2+V$2)&lt;&gt;"",INDEX('×入力'!$A$1:$L$1300,1127+V$3,1)&lt;&gt;""),1,0),0)</f>
        <v/>
      </c>
      <c r="W50">
        <f>IF(W$4=1,IF(OR(INDEX('×入力'!$A$1:$L$1300,1127+W$3,2+W$2)&lt;&gt;"",INDEX('×入力'!$A$1:$L$1300,1126,2+W$2)&lt;&gt;"",INDEX('×入力'!$A$1:$L$1300,1127+W$3,1)&lt;&gt;""),1,0),0)</f>
        <v/>
      </c>
      <c r="X50">
        <f>IF(X$4=1,IF(OR(INDEX('×入力'!$A$1:$L$1300,1127+X$3,2+X$2)&lt;&gt;"",INDEX('×入力'!$A$1:$L$1300,1126,2+X$2)&lt;&gt;"",INDEX('×入力'!$A$1:$L$1300,1127+X$3,1)&lt;&gt;""),1,0),0)</f>
        <v/>
      </c>
      <c r="Y50">
        <f>IF(Y$4=1,IF(OR(INDEX('×入力'!$A$1:$L$1300,1127+Y$3,2+Y$2)&lt;&gt;"",INDEX('×入力'!$A$1:$L$1300,1126,2+Y$2)&lt;&gt;"",INDEX('×入力'!$A$1:$L$1300,1127+Y$3,1)&lt;&gt;""),1,0),0)</f>
        <v/>
      </c>
      <c r="Z50">
        <f>IF(Z$4=1,IF(OR(INDEX('×入力'!$A$1:$L$1300,1127+Z$3,2+Z$2)&lt;&gt;"",INDEX('×入力'!$A$1:$L$1300,1126,2+Z$2)&lt;&gt;"",INDEX('×入力'!$A$1:$L$1300,1127+Z$3,1)&lt;&gt;""),1,0),0)</f>
        <v/>
      </c>
      <c r="AA50">
        <f>IF(AA$4=1,IF(OR(INDEX('×入力'!$A$1:$L$1300,1127+AA$3,2+AA$2)&lt;&gt;"",INDEX('×入力'!$A$1:$L$1300,1126,2+AA$2)&lt;&gt;"",INDEX('×入力'!$A$1:$L$1300,1127+AA$3,1)&lt;&gt;""),1,0),0)</f>
        <v/>
      </c>
      <c r="AB50">
        <f>IF(AB$4=1,IF(OR(INDEX('×入力'!$A$1:$L$1300,1127+AB$3,2+AB$2)&lt;&gt;"",INDEX('×入力'!$A$1:$L$1300,1126,2+AB$2)&lt;&gt;"",INDEX('×入力'!$A$1:$L$1300,1127+AB$3,1)&lt;&gt;""),1,0),0)</f>
        <v/>
      </c>
      <c r="AC50">
        <f>IF(AC$4=1,IF(OR(INDEX('×入力'!$A$1:$L$1300,1127+AC$3,2+AC$2)&lt;&gt;"",INDEX('×入力'!$A$1:$L$1300,1126,2+AC$2)&lt;&gt;"",INDEX('×入力'!$A$1:$L$1300,1127+AC$3,1)&lt;&gt;""),1,0),0)</f>
        <v/>
      </c>
      <c r="AD50">
        <f>IF(AD$4=1,IF(OR(INDEX('×入力'!$A$1:$L$1300,1127+AD$3,2+AD$2)&lt;&gt;"",INDEX('×入力'!$A$1:$L$1300,1126,2+AD$2)&lt;&gt;"",INDEX('×入力'!$A$1:$L$1300,1127+AD$3,1)&lt;&gt;""),1,0),0)</f>
        <v/>
      </c>
      <c r="AE50">
        <f>IF(AE$4=1,IF(OR(INDEX('×入力'!$A$1:$L$1300,1127+AE$3,2+AE$2)&lt;&gt;"",INDEX('×入力'!$A$1:$L$1300,1126,2+AE$2)&lt;&gt;"",INDEX('×入力'!$A$1:$L$1300,1127+AE$3,1)&lt;&gt;""),1,0),0)</f>
        <v/>
      </c>
      <c r="AF50">
        <f>IF(AF$4=1,IF(OR(INDEX('×入力'!$A$1:$L$1300,1127+AF$3,2+AF$2)&lt;&gt;"",INDEX('×入力'!$A$1:$L$1300,1126,2+AF$2)&lt;&gt;"",INDEX('×入力'!$A$1:$L$1300,1127+AF$3,1)&lt;&gt;""),1,0),0)</f>
        <v/>
      </c>
      <c r="AG50">
        <f>IF(AG$4=1,IF(OR(INDEX('×入力'!$A$1:$L$1300,1127+AG$3,2+AG$2)&lt;&gt;"",INDEX('×入力'!$A$1:$L$1300,1126,2+AG$2)&lt;&gt;"",INDEX('×入力'!$A$1:$L$1300,1127+AG$3,1)&lt;&gt;""),1,0),0)</f>
        <v/>
      </c>
      <c r="AH50">
        <f>IF(AH$4=1,IF(OR(INDEX('×入力'!$A$1:$L$1300,1127+AH$3,2+AH$2)&lt;&gt;"",INDEX('×入力'!$A$1:$L$1300,1126,2+AH$2)&lt;&gt;"",INDEX('×入力'!$A$1:$L$1300,1127+AH$3,1)&lt;&gt;""),1,0),0)</f>
        <v/>
      </c>
      <c r="AI50">
        <f>IF(AI$4=1,IF(OR(INDEX('×入力'!$A$1:$L$1300,1127+AI$3,2+AI$2)&lt;&gt;"",INDEX('×入力'!$A$1:$L$1300,1126,2+AI$2)&lt;&gt;"",INDEX('×入力'!$A$1:$L$1300,1127+AI$3,1)&lt;&gt;""),1,0),0)</f>
        <v/>
      </c>
      <c r="AJ50">
        <f>IF(AJ$4=1,IF(OR(INDEX('×入力'!$A$1:$L$1300,1127+AJ$3,2+AJ$2)&lt;&gt;"",INDEX('×入力'!$A$1:$L$1300,1126,2+AJ$2)&lt;&gt;"",INDEX('×入力'!$A$1:$L$1300,1127+AJ$3,1)&lt;&gt;""),1,0),0)</f>
        <v/>
      </c>
      <c r="AK50">
        <f>IF(AK$4=1,IF(OR(INDEX('×入力'!$A$1:$L$1300,1127+AK$3,2+AK$2)&lt;&gt;"",INDEX('×入力'!$A$1:$L$1300,1126,2+AK$2)&lt;&gt;"",INDEX('×入力'!$A$1:$L$1300,1127+AK$3,1)&lt;&gt;""),1,0),0)</f>
        <v/>
      </c>
      <c r="AL50">
        <f>IF(AL$4=1,IF(OR(INDEX('×入力'!$A$1:$L$1300,1127+AL$3,2+AL$2)&lt;&gt;"",INDEX('×入力'!$A$1:$L$1300,1126,2+AL$2)&lt;&gt;"",INDEX('×入力'!$A$1:$L$1300,1127+AL$3,1)&lt;&gt;""),1,0),0)</f>
        <v/>
      </c>
      <c r="AM50">
        <f>IF(AM$4=1,IF(OR(INDEX('×入力'!$A$1:$L$1300,1127+AM$3,2+AM$2)&lt;&gt;"",INDEX('×入力'!$A$1:$L$1300,1126,2+AM$2)&lt;&gt;"",INDEX('×入力'!$A$1:$L$1300,1127+AM$3,1)&lt;&gt;""),1,0),0)</f>
        <v/>
      </c>
      <c r="AN50">
        <f>IF(AN$4=1,IF(OR(INDEX('×入力'!$A$1:$L$1300,1127+AN$3,2+AN$2)&lt;&gt;"",INDEX('×入力'!$A$1:$L$1300,1126,2+AN$2)&lt;&gt;"",INDEX('×入力'!$A$1:$L$1300,1127+AN$3,1)&lt;&gt;""),1,0),0)</f>
        <v/>
      </c>
      <c r="AO50">
        <f>IF(AO$4=1,IF(OR(INDEX('×入力'!$A$1:$L$1300,1127+AO$3,2+AO$2)&lt;&gt;"",INDEX('×入力'!$A$1:$L$1300,1126,2+AO$2)&lt;&gt;"",INDEX('×入力'!$A$1:$L$1300,1127+AO$3,1)&lt;&gt;""),1,0),0)</f>
        <v/>
      </c>
      <c r="AP50">
        <f>IF(AP$4=1,IF(OR(INDEX('×入力'!$A$1:$L$1300,1127+AP$3,2+AP$2)&lt;&gt;"",INDEX('×入力'!$A$1:$L$1300,1126,2+AP$2)&lt;&gt;"",INDEX('×入力'!$A$1:$L$1300,1127+AP$3,1)&lt;&gt;""),1,0),0)</f>
        <v/>
      </c>
      <c r="AQ50">
        <f>IF(AQ$4=1,IF(OR(INDEX('×入力'!$A$1:$L$1300,1127+AQ$3,2+AQ$2)&lt;&gt;"",INDEX('×入力'!$A$1:$L$1300,1126,2+AQ$2)&lt;&gt;"",INDEX('×入力'!$A$1:$L$1300,1127+AQ$3,1)&lt;&gt;""),1,0),0)</f>
        <v/>
      </c>
      <c r="AR50">
        <f>IF(AR$4=1,IF(OR(INDEX('×入力'!$A$1:$L$1300,1127+AR$3,2+AR$2)&lt;&gt;"",INDEX('×入力'!$A$1:$L$1300,1126,2+AR$2)&lt;&gt;"",INDEX('×入力'!$A$1:$L$1300,1127+AR$3,1)&lt;&gt;""),1,0),0)</f>
        <v/>
      </c>
      <c r="AS50">
        <f>IF(AS$4=1,IF(OR(INDEX('×入力'!$A$1:$L$1300,1127+AS$3,2+AS$2)&lt;&gt;"",INDEX('×入力'!$A$1:$L$1300,1126,2+AS$2)&lt;&gt;"",INDEX('×入力'!$A$1:$L$1300,1127+AS$3,1)&lt;&gt;""),1,0),0)</f>
        <v/>
      </c>
      <c r="AT50">
        <f>IF(AT$4=1,IF(OR(INDEX('×入力'!$A$1:$L$1300,1127+AT$3,2+AT$2)&lt;&gt;"",INDEX('×入力'!$A$1:$L$1300,1126,2+AT$2)&lt;&gt;"",INDEX('×入力'!$A$1:$L$1300,1127+AT$3,1)&lt;&gt;""),1,0),0)</f>
        <v/>
      </c>
      <c r="AU50">
        <f>IF(AU$4=1,IF(OR(INDEX('×入力'!$A$1:$L$1300,1127+AU$3,2+AU$2)&lt;&gt;"",INDEX('×入力'!$A$1:$L$1300,1126,2+AU$2)&lt;&gt;"",INDEX('×入力'!$A$1:$L$1300,1127+AU$3,1)&lt;&gt;""),1,0),0)</f>
        <v/>
      </c>
      <c r="AV50">
        <f>IF(AV$4=1,IF(OR(INDEX('×入力'!$A$1:$L$1300,1127+AV$3,2+AV$2)&lt;&gt;"",INDEX('×入力'!$A$1:$L$1300,1126,2+AV$2)&lt;&gt;"",INDEX('×入力'!$A$1:$L$1300,1127+AV$3,1)&lt;&gt;""),1,0),0)</f>
        <v/>
      </c>
      <c r="AW50">
        <f>IF(AW$4=1,IF(OR(INDEX('×入力'!$A$1:$L$1300,1127+AW$3,2+AW$2)&lt;&gt;"",INDEX('×入力'!$A$1:$L$1300,1126,2+AW$2)&lt;&gt;"",INDEX('×入力'!$A$1:$L$1300,1127+AW$3,1)&lt;&gt;""),1,0),0)</f>
        <v/>
      </c>
      <c r="AX50">
        <f>IF(AX$4=1,IF(OR(INDEX('×入力'!$A$1:$L$1300,1127+AX$3,2+AX$2)&lt;&gt;"",INDEX('×入力'!$A$1:$L$1300,1126,2+AX$2)&lt;&gt;"",INDEX('×入力'!$A$1:$L$1300,1127+AX$3,1)&lt;&gt;""),1,0),0)</f>
        <v/>
      </c>
      <c r="AY50">
        <f>IF(AY$4=1,IF(OR(INDEX('×入力'!$A$1:$L$1300,1127+AY$3,2+AY$2)&lt;&gt;"",INDEX('×入力'!$A$1:$L$1300,1126,2+AY$2)&lt;&gt;"",INDEX('×入力'!$A$1:$L$1300,1127+AY$3,1)&lt;&gt;""),1,0),0)</f>
        <v/>
      </c>
      <c r="AZ50">
        <f>IF(AZ$4=1,IF(OR(INDEX('×入力'!$A$1:$L$1300,1127+AZ$3,2+AZ$2)&lt;&gt;"",INDEX('×入力'!$A$1:$L$1300,1126,2+AZ$2)&lt;&gt;"",INDEX('×入力'!$A$1:$L$1300,1127+AZ$3,1)&lt;&gt;""),1,0),0)</f>
        <v/>
      </c>
      <c r="BA50">
        <f>IF(BA$4=1,IF(OR(INDEX('×入力'!$A$1:$L$1300,1127+BA$3,2+BA$2)&lt;&gt;"",INDEX('×入力'!$A$1:$L$1300,1126,2+BA$2)&lt;&gt;"",INDEX('×入力'!$A$1:$L$1300,1127+BA$3,1)&lt;&gt;""),1,0),0)</f>
        <v/>
      </c>
      <c r="BB50">
        <f>IF(BB$4=1,IF(OR(INDEX('×入力'!$A$1:$L$1300,1127+BB$3,2+BB$2)&lt;&gt;"",INDEX('×入力'!$A$1:$L$1300,1126,2+BB$2)&lt;&gt;"",INDEX('×入力'!$A$1:$L$1300,1127+BB$3,1)&lt;&gt;""),1,0),0)</f>
        <v/>
      </c>
      <c r="BC50">
        <f>IF(BC$4=1,IF(OR(INDEX('×入力'!$A$1:$L$1300,1127+BC$3,2+BC$2)&lt;&gt;"",INDEX('×入力'!$A$1:$L$1300,1126,2+BC$2)&lt;&gt;"",INDEX('×入力'!$A$1:$L$1300,1127+BC$3,1)&lt;&gt;""),1,0),0)</f>
        <v/>
      </c>
      <c r="BD50">
        <f>IF(BD$4=1,IF(OR(INDEX('×入力'!$A$1:$L$1300,1127+BD$3,2+BD$2)&lt;&gt;"",INDEX('×入力'!$A$1:$L$1300,1126,2+BD$2)&lt;&gt;"",INDEX('×入力'!$A$1:$L$1300,1127+BD$3,1)&lt;&gt;""),1,0),0)</f>
        <v/>
      </c>
      <c r="BE50">
        <f>IF(BE$4=1,IF(OR(INDEX('×入力'!$A$1:$L$1300,1127+BE$3,2+BE$2)&lt;&gt;"",INDEX('×入力'!$A$1:$L$1300,1126,2+BE$2)&lt;&gt;"",INDEX('×入力'!$A$1:$L$1300,1127+BE$3,1)&lt;&gt;""),1,0),0)</f>
        <v/>
      </c>
      <c r="BF50">
        <f>IF(BF$4=1,IF(OR(INDEX('×入力'!$A$1:$L$1300,1127+BF$3,2+BF$2)&lt;&gt;"",INDEX('×入力'!$A$1:$L$1300,1126,2+BF$2)&lt;&gt;"",INDEX('×入力'!$A$1:$L$1300,1127+BF$3,1)&lt;&gt;""),1,0),0)</f>
        <v/>
      </c>
      <c r="BG50">
        <f>IF(BG$4=1,IF(OR(INDEX('×入力'!$A$1:$L$1300,1127+BG$3,2+BG$2)&lt;&gt;"",INDEX('×入力'!$A$1:$L$1300,1126,2+BG$2)&lt;&gt;"",INDEX('×入力'!$A$1:$L$1300,1127+BG$3,1)&lt;&gt;""),1,0),0)</f>
        <v/>
      </c>
      <c r="BH50">
        <f>IF(BH$4=1,IF(OR(INDEX('×入力'!$A$1:$L$1300,1127+BH$3,2+BH$2)&lt;&gt;"",INDEX('×入力'!$A$1:$L$1300,1126,2+BH$2)&lt;&gt;"",INDEX('×入力'!$A$1:$L$1300,1127+BH$3,1)&lt;&gt;""),1,0),0)</f>
        <v/>
      </c>
      <c r="BI50">
        <f>IF(BI$4=1,IF(OR(INDEX('×入力'!$A$1:$L$1300,1127+BI$3,2+BI$2)&lt;&gt;"",INDEX('×入力'!$A$1:$L$1300,1126,2+BI$2)&lt;&gt;"",INDEX('×入力'!$A$1:$L$1300,1127+BI$3,1)&lt;&gt;""),1,0),0)</f>
        <v/>
      </c>
      <c r="BJ50">
        <f>IF(BJ$4=1,IF(OR(INDEX('×入力'!$A$1:$L$1300,1127+BJ$3,2+BJ$2)&lt;&gt;"",INDEX('×入力'!$A$1:$L$1300,1126,2+BJ$2)&lt;&gt;"",INDEX('×入力'!$A$1:$L$1300,1127+BJ$3,1)&lt;&gt;""),1,0),0)</f>
        <v/>
      </c>
      <c r="BK50">
        <f>IF(BK$4=1,IF(OR(INDEX('×入力'!$A$1:$L$1300,1127+BK$3,2+BK$2)&lt;&gt;"",INDEX('×入力'!$A$1:$L$1300,1126,2+BK$2)&lt;&gt;"",INDEX('×入力'!$A$1:$L$1300,1127+BK$3,1)&lt;&gt;""),1,0),0)</f>
        <v/>
      </c>
      <c r="BL50">
        <f>IF(BL$4=1,IF(OR(INDEX('×入力'!$A$1:$L$1300,1127+BL$3,2+BL$2)&lt;&gt;"",INDEX('×入力'!$A$1:$L$1300,1126,2+BL$2)&lt;&gt;"",INDEX('×入力'!$A$1:$L$1300,1127+BL$3,1)&lt;&gt;""),1,0),0)</f>
        <v/>
      </c>
      <c r="BM50">
        <f>IF(BM$4=1,IF(OR(INDEX('×入力'!$A$1:$L$1300,1127+BM$3,2+BM$2)&lt;&gt;"",INDEX('×入力'!$A$1:$L$1300,1126,2+BM$2)&lt;&gt;"",INDEX('×入力'!$A$1:$L$1300,1127+BM$3,1)&lt;&gt;""),1,0),0)</f>
        <v/>
      </c>
      <c r="BN50">
        <f>IF(BN$4=1,IF(OR(INDEX('×入力'!$A$1:$L$1300,1127+BN$3,2+BN$2)&lt;&gt;"",INDEX('×入力'!$A$1:$L$1300,1126,2+BN$2)&lt;&gt;"",INDEX('×入力'!$A$1:$L$1300,1127+BN$3,1)&lt;&gt;""),1,0),0)</f>
        <v/>
      </c>
      <c r="BO50">
        <f>IF(BO$4=1,IF(OR(INDEX('×入力'!$A$1:$L$1300,1127+BO$3,2+BO$2)&lt;&gt;"",INDEX('×入力'!$A$1:$L$1300,1126,2+BO$2)&lt;&gt;"",INDEX('×入力'!$A$1:$L$1300,1127+BO$3,1)&lt;&gt;""),1,0),0)</f>
        <v/>
      </c>
      <c r="BP50">
        <f>IF(BP$4=1,IF(OR(INDEX('×入力'!$A$1:$L$1300,1127+BP$3,2+BP$2)&lt;&gt;"",INDEX('×入力'!$A$1:$L$1300,1126,2+BP$2)&lt;&gt;"",INDEX('×入力'!$A$1:$L$1300,1127+BP$3,1)&lt;&gt;""),1,0),0)</f>
        <v/>
      </c>
      <c r="BQ50">
        <f>IF(BQ$4=1,IF(OR(INDEX('×入力'!$A$1:$L$1300,1127+BQ$3,2+BQ$2)&lt;&gt;"",INDEX('×入力'!$A$1:$L$1300,1126,2+BQ$2)&lt;&gt;"",INDEX('×入力'!$A$1:$L$1300,1127+BQ$3,1)&lt;&gt;""),1,0),0)</f>
        <v/>
      </c>
      <c r="BR50">
        <f>IF(BR$4=1,IF(OR(INDEX('×入力'!$A$1:$L$1300,1127+BR$3,2+BR$2)&lt;&gt;"",INDEX('×入力'!$A$1:$L$1300,1126,2+BR$2)&lt;&gt;"",INDEX('×入力'!$A$1:$L$1300,1127+BR$3,1)&lt;&gt;""),1,0),0)</f>
        <v/>
      </c>
      <c r="BS50">
        <f>IF(BS$4=1,IF(OR(INDEX('×入力'!$A$1:$L$1300,1127+BS$3,2+BS$2)&lt;&gt;"",INDEX('×入力'!$A$1:$L$1300,1126,2+BS$2)&lt;&gt;"",INDEX('×入力'!$A$1:$L$1300,1127+BS$3,1)&lt;&gt;""),1,0),0)</f>
        <v/>
      </c>
      <c r="BT50">
        <f>IF(BT$4=1,IF(OR(INDEX('×入力'!$A$1:$L$1300,1127+BT$3,2+BT$2)&lt;&gt;"",INDEX('×入力'!$A$1:$L$1300,1126,2+BT$2)&lt;&gt;"",INDEX('×入力'!$A$1:$L$1300,1127+BT$3,1)&lt;&gt;""),1,0),0)</f>
        <v/>
      </c>
      <c r="BU50">
        <f>IF(BU$4=1,IF(OR(INDEX('×入力'!$A$1:$L$1300,1127+BU$3,2+BU$2)&lt;&gt;"",INDEX('×入力'!$A$1:$L$1300,1126,2+BU$2)&lt;&gt;"",INDEX('×入力'!$A$1:$L$1300,1127+BU$3,1)&lt;&gt;""),1,0),0)</f>
        <v/>
      </c>
      <c r="BV50">
        <f>IF(BV$4=1,IF(OR(INDEX('×入力'!$A$1:$L$1300,1127+BV$3,2+BV$2)&lt;&gt;"",INDEX('×入力'!$A$1:$L$1300,1126,2+BV$2)&lt;&gt;"",INDEX('×入力'!$A$1:$L$1300,1127+BV$3,1)&lt;&gt;""),1,0),0)</f>
        <v/>
      </c>
      <c r="BW50">
        <f>IF(BW$4=1,IF(OR(INDEX('×入力'!$A$1:$L$1300,1127+BW$3,2+BW$2)&lt;&gt;"",INDEX('×入力'!$A$1:$L$1300,1126,2+BW$2)&lt;&gt;"",INDEX('×入力'!$A$1:$L$1300,1127+BW$3,1)&lt;&gt;""),1,0),0)</f>
        <v/>
      </c>
      <c r="BX50">
        <f>IF(BX$4=1,IF(OR(INDEX('×入力'!$A$1:$L$1300,1127+BX$3,2+BX$2)&lt;&gt;"",INDEX('×入力'!$A$1:$L$1300,1126,2+BX$2)&lt;&gt;"",INDEX('×入力'!$A$1:$L$1300,1127+BX$3,1)&lt;&gt;""),1,0),0)</f>
        <v/>
      </c>
      <c r="BY50">
        <f>IF(BY$4=1,IF(OR(INDEX('×入力'!$A$1:$L$1300,1127+BY$3,2+BY$2)&lt;&gt;"",INDEX('×入力'!$A$1:$L$1300,1126,2+BY$2)&lt;&gt;"",INDEX('×入力'!$A$1:$L$1300,1127+BY$3,1)&lt;&gt;""),1,0),0)</f>
        <v/>
      </c>
      <c r="BZ50">
        <f>IF(BZ$4=1,IF(OR(INDEX('×入力'!$A$1:$L$1300,1127+BZ$3,2+BZ$2)&lt;&gt;"",INDEX('×入力'!$A$1:$L$1300,1126,2+BZ$2)&lt;&gt;"",INDEX('×入力'!$A$1:$L$1300,1127+BZ$3,1)&lt;&gt;""),1,0),0)</f>
        <v/>
      </c>
      <c r="CA50">
        <f>IF(CA$4=1,IF(OR(INDEX('×入力'!$A$1:$L$1300,1127+CA$3,2+CA$2)&lt;&gt;"",INDEX('×入力'!$A$1:$L$1300,1126,2+CA$2)&lt;&gt;"",INDEX('×入力'!$A$1:$L$1300,1127+CA$3,1)&lt;&gt;""),1,0),0)</f>
        <v/>
      </c>
      <c r="CB50">
        <f>IF(CB$4=1,IF(OR(INDEX('×入力'!$A$1:$L$1300,1127+CB$3,2+CB$2)&lt;&gt;"",INDEX('×入力'!$A$1:$L$1300,1126,2+CB$2)&lt;&gt;"",INDEX('×入力'!$A$1:$L$1300,1127+CB$3,1)&lt;&gt;""),1,0),0)</f>
        <v/>
      </c>
      <c r="CC50">
        <f>IF(CC$4=1,IF(OR(INDEX('×入力'!$A$1:$L$1300,1127+CC$3,2+CC$2)&lt;&gt;"",INDEX('×入力'!$A$1:$L$1300,1126,2+CC$2)&lt;&gt;"",INDEX('×入力'!$A$1:$L$1300,1127+CC$3,1)&lt;&gt;""),1,0),0)</f>
        <v/>
      </c>
      <c r="CD50">
        <f>IF(CD$4=1,IF(OR(INDEX('×入力'!$A$1:$L$1300,1127+CD$3,2+CD$2)&lt;&gt;"",INDEX('×入力'!$A$1:$L$1300,1126,2+CD$2)&lt;&gt;"",INDEX('×入力'!$A$1:$L$1300,1127+CD$3,1)&lt;&gt;""),1,0),0)</f>
        <v/>
      </c>
      <c r="CE50">
        <f>IF(CE$4=1,IF(OR(INDEX('×入力'!$A$1:$L$1300,1127+CE$3,2+CE$2)&lt;&gt;"",INDEX('×入力'!$A$1:$L$1300,1126,2+CE$2)&lt;&gt;"",INDEX('×入力'!$A$1:$L$1300,1127+CE$3,1)&lt;&gt;""),1,0),0)</f>
        <v/>
      </c>
      <c r="CF50">
        <f>IF(CF$4=1,IF(OR(INDEX('×入力'!$A$1:$L$1300,1127+CF$3,2+CF$2)&lt;&gt;"",INDEX('×入力'!$A$1:$L$1300,1126,2+CF$2)&lt;&gt;"",INDEX('×入力'!$A$1:$L$1300,1127+CF$3,1)&lt;&gt;""),1,0),0)</f>
        <v/>
      </c>
      <c r="CG50">
        <f>IF(CG$4=1,IF(OR(INDEX('×入力'!$A$1:$L$1300,1127+CG$3,2+CG$2)&lt;&gt;"",INDEX('×入力'!$A$1:$L$1300,1126,2+CG$2)&lt;&gt;"",INDEX('×入力'!$A$1:$L$1300,1127+CG$3,1)&lt;&gt;""),1,0),0)</f>
        <v/>
      </c>
      <c r="CH50">
        <f>IF(CH$4=1,IF(OR(INDEX('×入力'!$A$1:$L$1300,1127+CH$3,2+CH$2)&lt;&gt;"",INDEX('×入力'!$A$1:$L$1300,1126,2+CH$2)&lt;&gt;"",INDEX('×入力'!$A$1:$L$1300,1127+CH$3,1)&lt;&gt;""),1,0),0)</f>
        <v/>
      </c>
      <c r="CI50">
        <f>IF(CI$4=1,IF(OR(INDEX('×入力'!$A$1:$L$1300,1127+CI$3,2+CI$2)&lt;&gt;"",INDEX('×入力'!$A$1:$L$1300,1126,2+CI$2)&lt;&gt;"",INDEX('×入力'!$A$1:$L$1300,1127+CI$3,1)&lt;&gt;""),1,0),0)</f>
        <v/>
      </c>
      <c r="CJ50">
        <f>IF(CJ$4=1,IF(OR(INDEX('×入力'!$A$1:$L$1300,1127+CJ$3,2+CJ$2)&lt;&gt;"",INDEX('×入力'!$A$1:$L$1300,1126,2+CJ$2)&lt;&gt;"",INDEX('×入力'!$A$1:$L$1300,1127+CJ$3,1)&lt;&gt;""),1,0),0)</f>
        <v/>
      </c>
      <c r="CK50">
        <f>IF(CK$4=1,IF(OR(INDEX('×入力'!$A$1:$L$1300,1127+CK$3,2+CK$2)&lt;&gt;"",INDEX('×入力'!$A$1:$L$1300,1126,2+CK$2)&lt;&gt;"",INDEX('×入力'!$A$1:$L$1300,1127+CK$3,1)&lt;&gt;""),1,0),0)</f>
        <v/>
      </c>
      <c r="CL50">
        <f>IF(CL$4=1,IF(OR(INDEX('×入力'!$A$1:$L$1300,1127+CL$3,2+CL$2)&lt;&gt;"",INDEX('×入力'!$A$1:$L$1300,1126,2+CL$2)&lt;&gt;"",INDEX('×入力'!$A$1:$L$1300,1127+CL$3,1)&lt;&gt;""),1,0),0)</f>
        <v/>
      </c>
      <c r="CM50">
        <f>IF(CM$4=1,IF(OR(INDEX('×入力'!$A$1:$L$1300,1127+CM$3,2+CM$2)&lt;&gt;"",INDEX('×入力'!$A$1:$L$1300,1126,2+CM$2)&lt;&gt;"",INDEX('×入力'!$A$1:$L$1300,1127+CM$3,1)&lt;&gt;""),1,0),0)</f>
        <v/>
      </c>
      <c r="CN50">
        <f>IF(CN$4=1,IF(OR(INDEX('×入力'!$A$1:$L$1300,1127+CN$3,2+CN$2)&lt;&gt;"",INDEX('×入力'!$A$1:$L$1300,1126,2+CN$2)&lt;&gt;"",INDEX('×入力'!$A$1:$L$1300,1127+CN$3,1)&lt;&gt;""),1,0),0)</f>
        <v/>
      </c>
      <c r="CO50">
        <f>IF(CO$4=1,IF(OR(INDEX('×入力'!$A$1:$L$1300,1127+CO$3,2+CO$2)&lt;&gt;"",INDEX('×入力'!$A$1:$L$1300,1126,2+CO$2)&lt;&gt;"",INDEX('×入力'!$A$1:$L$1300,1127+CO$3,1)&lt;&gt;""),1,0),0)</f>
        <v/>
      </c>
      <c r="CP50">
        <f>IF(CP$4=1,IF(OR(INDEX('×入力'!$A$1:$L$1300,1127+CP$3,2+CP$2)&lt;&gt;"",INDEX('×入力'!$A$1:$L$1300,1126,2+CP$2)&lt;&gt;"",INDEX('×入力'!$A$1:$L$1300,1127+CP$3,1)&lt;&gt;""),1,0),0)</f>
        <v/>
      </c>
      <c r="CQ50">
        <f>IF(CQ$4=1,IF(OR(INDEX('×入力'!$A$1:$L$1300,1127+CQ$3,2+CQ$2)&lt;&gt;"",INDEX('×入力'!$A$1:$L$1300,1126,2+CQ$2)&lt;&gt;"",INDEX('×入力'!$A$1:$L$1300,1127+CQ$3,1)&lt;&gt;""),1,0),0)</f>
        <v/>
      </c>
      <c r="CR50">
        <f>IF(CR$4=1,IF(OR(INDEX('×入力'!$A$1:$L$1300,1127+CR$3,2+CR$2)&lt;&gt;"",INDEX('×入力'!$A$1:$L$1300,1126,2+CR$2)&lt;&gt;"",INDEX('×入力'!$A$1:$L$1300,1127+CR$3,1)&lt;&gt;""),1,0),0)</f>
        <v/>
      </c>
      <c r="CS50">
        <f>IF(CS$4=1,IF(OR(INDEX('×入力'!$A$1:$L$1300,1127+CS$3,2+CS$2)&lt;&gt;"",INDEX('×入力'!$A$1:$L$1300,1126,2+CS$2)&lt;&gt;"",INDEX('×入力'!$A$1:$L$1300,1127+CS$3,1)&lt;&gt;""),1,0),0)</f>
        <v/>
      </c>
      <c r="CT50">
        <f>IF(CT$4=1,IF(OR(INDEX('×入力'!$A$1:$L$1300,1127+CT$3,2+CT$2)&lt;&gt;"",INDEX('×入力'!$A$1:$L$1300,1126,2+CT$2)&lt;&gt;"",INDEX('×入力'!$A$1:$L$1300,1127+CT$3,1)&lt;&gt;""),1,0),0)</f>
        <v/>
      </c>
      <c r="CU50">
        <f>IF(CU$4=1,IF(OR(INDEX('×入力'!$A$1:$L$1300,1127+CU$3,2+CU$2)&lt;&gt;"",INDEX('×入力'!$A$1:$L$1300,1126,2+CU$2)&lt;&gt;"",INDEX('×入力'!$A$1:$L$1300,1127+CU$3,1)&lt;&gt;""),1,0),0)</f>
        <v/>
      </c>
      <c r="CV50">
        <f>IF(CV$4=1,IF(OR(INDEX('×入力'!$A$1:$L$1300,1127+CV$3,2+CV$2)&lt;&gt;"",INDEX('×入力'!$A$1:$L$1300,1126,2+CV$2)&lt;&gt;"",INDEX('×入力'!$A$1:$L$1300,1127+CV$3,1)&lt;&gt;""),1,0),0)</f>
        <v/>
      </c>
      <c r="CW50">
        <f>IF(CW$4=1,IF(OR(INDEX('×入力'!$A$1:$L$1300,1127+CW$3,2+CW$2)&lt;&gt;"",INDEX('×入力'!$A$1:$L$1300,1126,2+CW$2)&lt;&gt;"",INDEX('×入力'!$A$1:$L$1300,1127+CW$3,1)&lt;&gt;""),1,0),0)</f>
        <v/>
      </c>
      <c r="CX50">
        <f>IF(CX$4=1,IF(OR(INDEX('×入力'!$A$1:$L$1300,1127+CX$3,2+CX$2)&lt;&gt;"",INDEX('×入力'!$A$1:$L$1300,1126,2+CX$2)&lt;&gt;"",INDEX('×入力'!$A$1:$L$1300,1127+CX$3,1)&lt;&gt;""),1,0),0)</f>
        <v/>
      </c>
      <c r="CY50">
        <f>IF(CY$4=1,IF(OR(INDEX('×入力'!$A$1:$L$1300,1127+CY$3,2+CY$2)&lt;&gt;"",INDEX('×入力'!$A$1:$L$1300,1126,2+CY$2)&lt;&gt;"",INDEX('×入力'!$A$1:$L$1300,1127+CY$3,1)&lt;&gt;""),1,0),0)</f>
        <v/>
      </c>
      <c r="CZ50">
        <f>IF(CZ$4=1,IF(OR(INDEX('×入力'!$A$1:$L$1300,1127+CZ$3,2+CZ$2)&lt;&gt;"",INDEX('×入力'!$A$1:$L$1300,1126,2+CZ$2)&lt;&gt;"",INDEX('×入力'!$A$1:$L$1300,1127+CZ$3,1)&lt;&gt;""),1,0),0)</f>
        <v/>
      </c>
      <c r="DA50">
        <f>IF(DA$4=1,IF(OR(INDEX('×入力'!$A$1:$L$1300,1127+DA$3,2+DA$2)&lt;&gt;"",INDEX('×入力'!$A$1:$L$1300,1126,2+DA$2)&lt;&gt;"",INDEX('×入力'!$A$1:$L$1300,1127+DA$3,1)&lt;&gt;""),1,0),0)</f>
        <v/>
      </c>
      <c r="DB50">
        <f>IF(DB$4=1,IF(OR(INDEX('×入力'!$A$1:$L$1300,1127+DB$3,2+DB$2)&lt;&gt;"",INDEX('×入力'!$A$1:$L$1300,1126,2+DB$2)&lt;&gt;"",INDEX('×入力'!$A$1:$L$1300,1127+DB$3,1)&lt;&gt;""),1,0),0)</f>
        <v/>
      </c>
      <c r="DC50">
        <f>IF(DC$4=1,IF(OR(INDEX('×入力'!$A$1:$L$1300,1127+DC$3,2+DC$2)&lt;&gt;"",INDEX('×入力'!$A$1:$L$1300,1126,2+DC$2)&lt;&gt;"",INDEX('×入力'!$A$1:$L$1300,1127+DC$3,1)&lt;&gt;""),1,0),0)</f>
        <v/>
      </c>
      <c r="DD50">
        <f>IF(DD$4=1,IF(OR(INDEX('×入力'!$A$1:$L$1300,1127+DD$3,2+DD$2)&lt;&gt;"",INDEX('×入力'!$A$1:$L$1300,1126,2+DD$2)&lt;&gt;"",INDEX('×入力'!$A$1:$L$1300,1127+DD$3,1)&lt;&gt;""),1,0),0)</f>
        <v/>
      </c>
      <c r="DE50">
        <f>IF(DE$4=1,IF(OR(INDEX('×入力'!$A$1:$L$1300,1127+DE$3,2+DE$2)&lt;&gt;"",INDEX('×入力'!$A$1:$L$1300,1126,2+DE$2)&lt;&gt;"",INDEX('×入力'!$A$1:$L$1300,1127+DE$3,1)&lt;&gt;""),1,0),0)</f>
        <v/>
      </c>
      <c r="DF50">
        <f>IF(DF$4=1,IF(OR(INDEX('×入力'!$A$1:$L$1300,1127+DF$3,2+DF$2)&lt;&gt;"",INDEX('×入力'!$A$1:$L$1300,1126,2+DF$2)&lt;&gt;"",INDEX('×入力'!$A$1:$L$1300,1127+DF$3,1)&lt;&gt;""),1,0),0)</f>
        <v/>
      </c>
      <c r="DG50">
        <f>IF(DG$4=1,IF(OR(INDEX('×入力'!$A$1:$L$1300,1127+DG$3,2+DG$2)&lt;&gt;"",INDEX('×入力'!$A$1:$L$1300,1126,2+DG$2)&lt;&gt;"",INDEX('×入力'!$A$1:$L$1300,1127+DG$3,1)&lt;&gt;""),1,0),0)</f>
        <v/>
      </c>
      <c r="DH50">
        <f>IF(DH$4=1,IF(OR(INDEX('×入力'!$A$1:$L$1300,1127+DH$3,2+DH$2)&lt;&gt;"",INDEX('×入力'!$A$1:$L$1300,1126,2+DH$2)&lt;&gt;"",INDEX('×入力'!$A$1:$L$1300,1127+DH$3,1)&lt;&gt;""),1,0),0)</f>
        <v/>
      </c>
      <c r="DI50">
        <f>IF(DI$4=1,IF(OR(INDEX('×入力'!$A$1:$L$1300,1127+DI$3,2+DI$2)&lt;&gt;"",INDEX('×入力'!$A$1:$L$1300,1126,2+DI$2)&lt;&gt;"",INDEX('×入力'!$A$1:$L$1300,1127+DI$3,1)&lt;&gt;""),1,0),0)</f>
        <v/>
      </c>
      <c r="DJ50">
        <f>IF(DJ$4=1,IF(OR(INDEX('×入力'!$A$1:$L$1300,1127+DJ$3,2+DJ$2)&lt;&gt;"",INDEX('×入力'!$A$1:$L$1300,1126,2+DJ$2)&lt;&gt;"",INDEX('×入力'!$A$1:$L$1300,1127+DJ$3,1)&lt;&gt;""),1,0),0)</f>
        <v/>
      </c>
      <c r="DK50">
        <f>IF(DK$4=1,IF(OR(INDEX('×入力'!$A$1:$L$1300,1127+DK$3,2+DK$2)&lt;&gt;"",INDEX('×入力'!$A$1:$L$1300,1126,2+DK$2)&lt;&gt;"",INDEX('×入力'!$A$1:$L$1300,1127+DK$3,1)&lt;&gt;""),1,0),0)</f>
        <v/>
      </c>
      <c r="DL50">
        <f>IF(DL$4=1,IF(OR(INDEX('×入力'!$A$1:$L$1300,1127+DL$3,2+DL$2)&lt;&gt;"",INDEX('×入力'!$A$1:$L$1300,1126,2+DL$2)&lt;&gt;"",INDEX('×入力'!$A$1:$L$1300,1127+DL$3,1)&lt;&gt;""),1,0),0)</f>
        <v/>
      </c>
      <c r="DM50">
        <f>IF(DM$4=1,IF(OR(INDEX('×入力'!$A$1:$L$1300,1127+DM$3,2+DM$2)&lt;&gt;"",INDEX('×入力'!$A$1:$L$1300,1126,2+DM$2)&lt;&gt;"",INDEX('×入力'!$A$1:$L$1300,1127+DM$3,1)&lt;&gt;""),1,0),0)</f>
        <v/>
      </c>
      <c r="DN50">
        <f>IF(DN$4=1,IF(OR(INDEX('×入力'!$A$1:$L$1300,1127+DN$3,2+DN$2)&lt;&gt;"",INDEX('×入力'!$A$1:$L$1300,1126,2+DN$2)&lt;&gt;"",INDEX('×入力'!$A$1:$L$1300,1127+DN$3,1)&lt;&gt;""),1,0),0)</f>
        <v/>
      </c>
      <c r="DO50">
        <f>IF(DO$4=1,IF(OR(INDEX('×入力'!$A$1:$L$1300,1127+DO$3,2+DO$2)&lt;&gt;"",INDEX('×入力'!$A$1:$L$1300,1126,2+DO$2)&lt;&gt;"",INDEX('×入力'!$A$1:$L$1300,1127+DO$3,1)&lt;&gt;""),1,0),0)</f>
        <v/>
      </c>
      <c r="DP50">
        <f>IF(DP$4=1,IF(OR(INDEX('×入力'!$A$1:$L$1300,1127+DP$3,2+DP$2)&lt;&gt;"",INDEX('×入力'!$A$1:$L$1300,1126,2+DP$2)&lt;&gt;"",INDEX('×入力'!$A$1:$L$1300,1127+DP$3,1)&lt;&gt;""),1,0),0)</f>
        <v/>
      </c>
      <c r="DQ50">
        <f>IF(DQ$4=1,IF(OR(INDEX('×入力'!$A$1:$L$1300,1127+DQ$3,2+DQ$2)&lt;&gt;"",INDEX('×入力'!$A$1:$L$1300,1126,2+DQ$2)&lt;&gt;"",INDEX('×入力'!$A$1:$L$1300,1127+DQ$3,1)&lt;&gt;""),1,0),0)</f>
        <v/>
      </c>
      <c r="DR50">
        <f>IF(DR$4=1,IF(OR(INDEX('×入力'!$A$1:$L$1300,1127+DR$3,2+DR$2)&lt;&gt;"",INDEX('×入力'!$A$1:$L$1300,1126,2+DR$2)&lt;&gt;"",INDEX('×入力'!$A$1:$L$1300,1127+DR$3,1)&lt;&gt;""),1,0),0)</f>
        <v/>
      </c>
      <c r="DS50">
        <f>IF(DS$4=1,IF(OR(INDEX('×入力'!$A$1:$L$1300,1127+DS$3,2+DS$2)&lt;&gt;"",INDEX('×入力'!$A$1:$L$1300,1126,2+DS$2)&lt;&gt;"",INDEX('×入力'!$A$1:$L$1300,1127+DS$3,1)&lt;&gt;""),1,0),0)</f>
        <v/>
      </c>
      <c r="DT50">
        <f>IF(DT$4=1,IF(OR(INDEX('×入力'!$A$1:$L$1300,1127+DT$3,2+DT$2)&lt;&gt;"",INDEX('×入力'!$A$1:$L$1300,1126,2+DT$2)&lt;&gt;"",INDEX('×入力'!$A$1:$L$1300,1127+DT$3,1)&lt;&gt;""),1,0),0)</f>
        <v/>
      </c>
      <c r="DU50">
        <f>IF(DU$4=1,IF(OR(INDEX('×入力'!$A$1:$L$1300,1127+DU$3,2+DU$2)&lt;&gt;"",INDEX('×入力'!$A$1:$L$1300,1126,2+DU$2)&lt;&gt;"",INDEX('×入力'!$A$1:$L$1300,1127+DU$3,1)&lt;&gt;""),1,0),0)</f>
        <v/>
      </c>
      <c r="DV50">
        <f>IF(DV$4=1,IF(OR(INDEX('×入力'!$A$1:$L$1300,1127+DV$3,2+DV$2)&lt;&gt;"",INDEX('×入力'!$A$1:$L$1300,1126,2+DV$2)&lt;&gt;"",INDEX('×入力'!$A$1:$L$1300,1127+DV$3,1)&lt;&gt;""),1,0),0)</f>
        <v/>
      </c>
      <c r="DW50">
        <f>IF(DW$4=1,IF(OR(INDEX('×入力'!$A$1:$L$1300,1127+DW$3,2+DW$2)&lt;&gt;"",INDEX('×入力'!$A$1:$L$1300,1126,2+DW$2)&lt;&gt;"",INDEX('×入力'!$A$1:$L$1300,1127+DW$3,1)&lt;&gt;""),1,0),0)</f>
        <v/>
      </c>
      <c r="DX50">
        <f>IF(DX$4=1,IF(OR(INDEX('×入力'!$A$1:$L$1300,1127+DX$3,2+DX$2)&lt;&gt;"",INDEX('×入力'!$A$1:$L$1300,1126,2+DX$2)&lt;&gt;"",INDEX('×入力'!$A$1:$L$1300,1127+DX$3,1)&lt;&gt;""),1,0),0)</f>
        <v/>
      </c>
      <c r="DY50">
        <f>IF(DY$4=1,IF(OR(INDEX('×入力'!$A$1:$L$1300,1127+DY$3,2+DY$2)&lt;&gt;"",INDEX('×入力'!$A$1:$L$1300,1126,2+DY$2)&lt;&gt;"",INDEX('×入力'!$A$1:$L$1300,1127+DY$3,1)&lt;&gt;""),1,0),0)</f>
        <v/>
      </c>
      <c r="DZ50">
        <f>IF(DZ$4=1,IF(OR(INDEX('×入力'!$A$1:$L$1300,1127+DZ$3,2+DZ$2)&lt;&gt;"",INDEX('×入力'!$A$1:$L$1300,1126,2+DZ$2)&lt;&gt;"",INDEX('×入力'!$A$1:$L$1300,1127+DZ$3,1)&lt;&gt;""),1,0),0)</f>
        <v/>
      </c>
      <c r="EA50">
        <f>IF(EA$4=1,IF(OR(INDEX('×入力'!$A$1:$L$1300,1127+EA$3,2+EA$2)&lt;&gt;"",INDEX('×入力'!$A$1:$L$1300,1126,2+EA$2)&lt;&gt;"",INDEX('×入力'!$A$1:$L$1300,1127+EA$3,1)&lt;&gt;""),1,0),0)</f>
        <v/>
      </c>
      <c r="EB50">
        <f>IF(EB$4=1,IF(OR(INDEX('×入力'!$A$1:$L$1300,1127+EB$3,2+EB$2)&lt;&gt;"",INDEX('×入力'!$A$1:$L$1300,1126,2+EB$2)&lt;&gt;"",INDEX('×入力'!$A$1:$L$1300,1127+EB$3,1)&lt;&gt;""),1,0),0)</f>
        <v/>
      </c>
      <c r="EC50">
        <f>IF(EC$4=1,IF(OR(INDEX('×入力'!$A$1:$L$1300,1127+EC$3,2+EC$2)&lt;&gt;"",INDEX('×入力'!$A$1:$L$1300,1126,2+EC$2)&lt;&gt;"",INDEX('×入力'!$A$1:$L$1300,1127+EC$3,1)&lt;&gt;""),1,0),0)</f>
        <v/>
      </c>
      <c r="ED50">
        <f>IF(ED$4=1,IF(OR(INDEX('×入力'!$A$1:$L$1300,1127+ED$3,2+ED$2)&lt;&gt;"",INDEX('×入力'!$A$1:$L$1300,1126,2+ED$2)&lt;&gt;"",INDEX('×入力'!$A$1:$L$1300,1127+ED$3,1)&lt;&gt;""),1,0),0)</f>
        <v/>
      </c>
      <c r="EE50">
        <f>IF(EE$4=1,IF(OR(INDEX('×入力'!$A$1:$L$1300,1127+EE$3,2+EE$2)&lt;&gt;"",INDEX('×入力'!$A$1:$L$1300,1126,2+EE$2)&lt;&gt;"",INDEX('×入力'!$A$1:$L$1300,1127+EE$3,1)&lt;&gt;""),1,0),0)</f>
        <v/>
      </c>
      <c r="EF50">
        <f>IF(EF$4=1,IF(OR(INDEX('×入力'!$A$1:$L$1300,1127+EF$3,2+EF$2)&lt;&gt;"",INDEX('×入力'!$A$1:$L$1300,1126,2+EF$2)&lt;&gt;"",INDEX('×入力'!$A$1:$L$1300,1127+EF$3,1)&lt;&gt;""),1,0),0)</f>
        <v/>
      </c>
      <c r="EG50">
        <f>IF(EG$4=1,IF(OR(INDEX('×入力'!$A$1:$L$1300,1127+EG$3,2+EG$2)&lt;&gt;"",INDEX('×入力'!$A$1:$L$1300,1126,2+EG$2)&lt;&gt;"",INDEX('×入力'!$A$1:$L$1300,1127+EG$3,1)&lt;&gt;""),1,0),0)</f>
        <v/>
      </c>
      <c r="EH50">
        <f>IF(EH$4=1,IF(OR(INDEX('×入力'!$A$1:$L$1300,1127+EH$3,2+EH$2)&lt;&gt;"",INDEX('×入力'!$A$1:$L$1300,1126,2+EH$2)&lt;&gt;"",INDEX('×入力'!$A$1:$L$1300,1127+EH$3,1)&lt;&gt;""),1,0),0)</f>
        <v/>
      </c>
      <c r="EI50">
        <f>IF(EI$4=1,IF(OR(INDEX('×入力'!$A$1:$L$1300,1127+EI$3,2+EI$2)&lt;&gt;"",INDEX('×入力'!$A$1:$L$1300,1126,2+EI$2)&lt;&gt;"",INDEX('×入力'!$A$1:$L$1300,1127+EI$3,1)&lt;&gt;""),1,0),0)</f>
        <v/>
      </c>
      <c r="EJ50">
        <f>IF(EJ$4=1,IF(OR(INDEX('×入力'!$A$1:$L$1300,1127+EJ$3,2+EJ$2)&lt;&gt;"",INDEX('×入力'!$A$1:$L$1300,1126,2+EJ$2)&lt;&gt;"",INDEX('×入力'!$A$1:$L$1300,1127+EJ$3,1)&lt;&gt;""),1,0),0)</f>
        <v/>
      </c>
      <c r="EK50">
        <f>IF(EK$4=1,IF(OR(INDEX('×入力'!$A$1:$L$1300,1127+EK$3,2+EK$2)&lt;&gt;"",INDEX('×入力'!$A$1:$L$1300,1126,2+EK$2)&lt;&gt;"",INDEX('×入力'!$A$1:$L$1300,1127+EK$3,1)&lt;&gt;""),1,0),0)</f>
        <v/>
      </c>
      <c r="EL50">
        <f>IF(EL$4=1,IF(OR(INDEX('×入力'!$A$1:$L$1300,1127+EL$3,2+EL$2)&lt;&gt;"",INDEX('×入力'!$A$1:$L$1300,1126,2+EL$2)&lt;&gt;"",INDEX('×入力'!$A$1:$L$1300,1127+EL$3,1)&lt;&gt;""),1,0),0)</f>
        <v/>
      </c>
      <c r="EM50">
        <f>IF(EM$4=1,IF(OR(INDEX('×入力'!$A$1:$L$1300,1127+EM$3,2+EM$2)&lt;&gt;"",INDEX('×入力'!$A$1:$L$1300,1126,2+EM$2)&lt;&gt;"",INDEX('×入力'!$A$1:$L$1300,1127+EM$3,1)&lt;&gt;""),1,0),0)</f>
        <v/>
      </c>
      <c r="EN50">
        <f>IF(EN$4=1,IF(OR(INDEX('×入力'!$A$1:$L$1300,1127+EN$3,2+EN$2)&lt;&gt;"",INDEX('×入力'!$A$1:$L$1300,1126,2+EN$2)&lt;&gt;"",INDEX('×入力'!$A$1:$L$1300,1127+EN$3,1)&lt;&gt;""),1,0),0)</f>
        <v/>
      </c>
      <c r="EO50">
        <f>IF(EO$4=1,IF(OR(INDEX('×入力'!$A$1:$L$1300,1127+EO$3,2+EO$2)&lt;&gt;"",INDEX('×入力'!$A$1:$L$1300,1126,2+EO$2)&lt;&gt;"",INDEX('×入力'!$A$1:$L$1300,1127+EO$3,1)&lt;&gt;""),1,0),0)</f>
        <v/>
      </c>
      <c r="EP50">
        <f>IF(EP$4=1,IF(OR(INDEX('×入力'!$A$1:$L$1300,1127+EP$3,2+EP$2)&lt;&gt;"",INDEX('×入力'!$A$1:$L$1300,1126,2+EP$2)&lt;&gt;"",INDEX('×入力'!$A$1:$L$1300,1127+EP$3,1)&lt;&gt;""),1,0),0)</f>
        <v/>
      </c>
      <c r="EQ50">
        <f>IF(EQ$4=1,IF(OR(INDEX('×入力'!$A$1:$L$1300,1127+EQ$3,2+EQ$2)&lt;&gt;"",INDEX('×入力'!$A$1:$L$1300,1126,2+EQ$2)&lt;&gt;"",INDEX('×入力'!$A$1:$L$1300,1127+EQ$3,1)&lt;&gt;""),1,0),0)</f>
        <v/>
      </c>
      <c r="ER50">
        <f>IF(ER$4=1,IF(OR(INDEX('×入力'!$A$1:$L$1300,1127+ER$3,2+ER$2)&lt;&gt;"",INDEX('×入力'!$A$1:$L$1300,1126,2+ER$2)&lt;&gt;"",INDEX('×入力'!$A$1:$L$1300,1127+ER$3,1)&lt;&gt;""),1,0),0)</f>
        <v/>
      </c>
      <c r="ES50">
        <f>IF(ES$4=1,IF(OR(INDEX('×入力'!$A$1:$L$1300,1127+ES$3,2+ES$2)&lt;&gt;"",INDEX('×入力'!$A$1:$L$1300,1126,2+ES$2)&lt;&gt;"",INDEX('×入力'!$A$1:$L$1300,1127+ES$3,1)&lt;&gt;""),1,0),0)</f>
        <v/>
      </c>
      <c r="ET50">
        <f>IF(ET$4=1,IF(OR(INDEX('×入力'!$A$1:$L$1300,1127+ET$3,2+ET$2)&lt;&gt;"",INDEX('×入力'!$A$1:$L$1300,1126,2+ET$2)&lt;&gt;"",INDEX('×入力'!$A$1:$L$1300,1127+ET$3,1)&lt;&gt;""),1,0),0)</f>
        <v/>
      </c>
      <c r="EU50">
        <f>IF(EU$4=1,IF(OR(INDEX('×入力'!$A$1:$L$1300,1127+EU$3,2+EU$2)&lt;&gt;"",INDEX('×入力'!$A$1:$L$1300,1126,2+EU$2)&lt;&gt;"",INDEX('×入力'!$A$1:$L$1300,1127+EU$3,1)&lt;&gt;""),1,0),0)</f>
        <v/>
      </c>
      <c r="EV50">
        <f>IF(EV$4=1,IF(OR(INDEX('×入力'!$A$1:$L$1300,1127+EV$3,2+EV$2)&lt;&gt;"",INDEX('×入力'!$A$1:$L$1300,1126,2+EV$2)&lt;&gt;"",INDEX('×入力'!$A$1:$L$1300,1127+EV$3,1)&lt;&gt;""),1,0),0)</f>
        <v/>
      </c>
      <c r="EW50">
        <f>IF(EW$4=1,IF(OR(INDEX('×入力'!$A$1:$L$1300,1127+EW$3,2+EW$2)&lt;&gt;"",INDEX('×入力'!$A$1:$L$1300,1126,2+EW$2)&lt;&gt;"",INDEX('×入力'!$A$1:$L$1300,1127+EW$3,1)&lt;&gt;""),1,0),0)</f>
        <v/>
      </c>
      <c r="EX50">
        <f>IF(EX$4=1,IF(OR(INDEX('×入力'!$A$1:$L$1300,1127+EX$3,2+EX$2)&lt;&gt;"",INDEX('×入力'!$A$1:$L$1300,1126,2+EX$2)&lt;&gt;"",INDEX('×入力'!$A$1:$L$1300,1127+EX$3,1)&lt;&gt;""),1,0),0)</f>
        <v/>
      </c>
      <c r="EY50">
        <f>IF(EY$4=1,IF(OR(INDEX('×入力'!$A$1:$L$1300,1127+EY$3,2+EY$2)&lt;&gt;"",INDEX('×入力'!$A$1:$L$1300,1126,2+EY$2)&lt;&gt;"",INDEX('×入力'!$A$1:$L$1300,1127+EY$3,1)&lt;&gt;""),1,0),0)</f>
        <v/>
      </c>
      <c r="EZ50">
        <f>IF(EZ$4=1,IF(OR(INDEX('×入力'!$A$1:$L$1300,1127+EZ$3,2+EZ$2)&lt;&gt;"",INDEX('×入力'!$A$1:$L$1300,1126,2+EZ$2)&lt;&gt;"",INDEX('×入力'!$A$1:$L$1300,1127+EZ$3,1)&lt;&gt;""),1,0),0)</f>
        <v/>
      </c>
      <c r="FA50">
        <f>IF(FA$4=1,IF(OR(INDEX('×入力'!$A$1:$L$1300,1127+FA$3,2+FA$2)&lt;&gt;"",INDEX('×入力'!$A$1:$L$1300,1126,2+FA$2)&lt;&gt;"",INDEX('×入力'!$A$1:$L$1300,1127+FA$3,1)&lt;&gt;""),1,0),0)</f>
        <v/>
      </c>
      <c r="FB50">
        <f>IF(FB$4=1,IF(OR(INDEX('×入力'!$A$1:$L$1300,1127+FB$3,2+FB$2)&lt;&gt;"",INDEX('×入力'!$A$1:$L$1300,1126,2+FB$2)&lt;&gt;"",INDEX('×入力'!$A$1:$L$1300,1127+FB$3,1)&lt;&gt;""),1,0),0)</f>
        <v/>
      </c>
      <c r="FC50">
        <f>IF(FC$4=1,IF(OR(INDEX('×入力'!$A$1:$L$1300,1127+FC$3,2+FC$2)&lt;&gt;"",INDEX('×入力'!$A$1:$L$1300,1126,2+FC$2)&lt;&gt;"",INDEX('×入力'!$A$1:$L$1300,1127+FC$3,1)&lt;&gt;""),1,0),0)</f>
        <v/>
      </c>
      <c r="FD50">
        <f>IF(FD$4=1,IF(OR(INDEX('×入力'!$A$1:$L$1300,1127+FD$3,2+FD$2)&lt;&gt;"",INDEX('×入力'!$A$1:$L$1300,1126,2+FD$2)&lt;&gt;"",INDEX('×入力'!$A$1:$L$1300,1127+FD$3,1)&lt;&gt;""),1,0),0)</f>
        <v/>
      </c>
      <c r="FE50">
        <f>IF(FE$4=1,IF(OR(INDEX('×入力'!$A$1:$L$1300,1127+FE$3,2+FE$2)&lt;&gt;"",INDEX('×入力'!$A$1:$L$1300,1126,2+FE$2)&lt;&gt;"",INDEX('×入力'!$A$1:$L$1300,1127+FE$3,1)&lt;&gt;""),1,0),0)</f>
        <v/>
      </c>
      <c r="FF50">
        <f>IF(FF$4=1,IF(OR(INDEX('×入力'!$A$1:$L$1300,1127+FF$3,2+FF$2)&lt;&gt;"",INDEX('×入力'!$A$1:$L$1300,1126,2+FF$2)&lt;&gt;"",INDEX('×入力'!$A$1:$L$1300,1127+FF$3,1)&lt;&gt;""),1,0),0)</f>
        <v/>
      </c>
      <c r="FG50">
        <f>IF(FG$4=1,IF(OR(INDEX('×入力'!$A$1:$L$1300,1127+FG$3,2+FG$2)&lt;&gt;"",INDEX('×入力'!$A$1:$L$1300,1126,2+FG$2)&lt;&gt;"",INDEX('×入力'!$A$1:$L$1300,1127+FG$3,1)&lt;&gt;""),1,0),0)</f>
        <v/>
      </c>
      <c r="FH50">
        <f>IF(FH$4=1,IF(OR(INDEX('×入力'!$A$1:$L$1300,1127+FH$3,2+FH$2)&lt;&gt;"",INDEX('×入力'!$A$1:$L$1300,1126,2+FH$2)&lt;&gt;"",INDEX('×入力'!$A$1:$L$1300,1127+FH$3,1)&lt;&gt;""),1,0),0)</f>
        <v/>
      </c>
      <c r="FI50">
        <f>IF(FI$4=1,IF(OR(INDEX('×入力'!$A$1:$L$1300,1127+FI$3,2+FI$2)&lt;&gt;"",INDEX('×入力'!$A$1:$L$1300,1126,2+FI$2)&lt;&gt;"",INDEX('×入力'!$A$1:$L$1300,1127+FI$3,1)&lt;&gt;""),1,0),0)</f>
        <v/>
      </c>
      <c r="FJ50">
        <f>IF(FJ$4=1,IF(OR(INDEX('×入力'!$A$1:$L$1300,1127+FJ$3,2+FJ$2)&lt;&gt;"",INDEX('×入力'!$A$1:$L$1300,1126,2+FJ$2)&lt;&gt;"",INDEX('×入力'!$A$1:$L$1300,1127+FJ$3,1)&lt;&gt;""),1,0),0)</f>
        <v/>
      </c>
      <c r="FK50">
        <f>IF(FK$4=1,IF(OR(INDEX('×入力'!$A$1:$L$1300,1127+FK$3,2+FK$2)&lt;&gt;"",INDEX('×入力'!$A$1:$L$1300,1126,2+FK$2)&lt;&gt;"",INDEX('×入力'!$A$1:$L$1300,1127+FK$3,1)&lt;&gt;""),1,0),0)</f>
        <v/>
      </c>
      <c r="FL50">
        <f>IF(FL$4=1,IF(OR(INDEX('×入力'!$A$1:$L$1300,1127+FL$3,2+FL$2)&lt;&gt;"",INDEX('×入力'!$A$1:$L$1300,1126,2+FL$2)&lt;&gt;"",INDEX('×入力'!$A$1:$L$1300,1127+FL$3,1)&lt;&gt;""),1,0),0)</f>
        <v/>
      </c>
      <c r="FM50">
        <f>IF(FM$4=1,IF(OR(INDEX('×入力'!$A$1:$L$1300,1127+FM$3,2+FM$2)&lt;&gt;"",INDEX('×入力'!$A$1:$L$1300,1126,2+FM$2)&lt;&gt;"",INDEX('×入力'!$A$1:$L$1300,1127+FM$3,1)&lt;&gt;""),1,0),0)</f>
        <v/>
      </c>
      <c r="FN50">
        <f>IF(FN$4=1,IF(OR(INDEX('×入力'!$A$1:$L$1300,1127+FN$3,2+FN$2)&lt;&gt;"",INDEX('×入力'!$A$1:$L$1300,1126,2+FN$2)&lt;&gt;"",INDEX('×入力'!$A$1:$L$1300,1127+FN$3,1)&lt;&gt;""),1,0),0)</f>
        <v/>
      </c>
      <c r="FO50">
        <f>IF(FO$4=1,IF(OR(INDEX('×入力'!$A$1:$L$1300,1127+FO$3,2+FO$2)&lt;&gt;"",INDEX('×入力'!$A$1:$L$1300,1126,2+FO$2)&lt;&gt;"",INDEX('×入力'!$A$1:$L$1300,1127+FO$3,1)&lt;&gt;""),1,0),0)</f>
        <v/>
      </c>
      <c r="FP50">
        <f>IF(FP$4=1,IF(OR(INDEX('×入力'!$A$1:$L$1300,1127+FP$3,2+FP$2)&lt;&gt;"",INDEX('×入力'!$A$1:$L$1300,1126,2+FP$2)&lt;&gt;"",INDEX('×入力'!$A$1:$L$1300,1127+FP$3,1)&lt;&gt;""),1,0),0)</f>
        <v/>
      </c>
      <c r="FQ50">
        <f>IF(FQ$4=1,IF(OR(INDEX('×入力'!$A$1:$L$1300,1127+FQ$3,2+FQ$2)&lt;&gt;"",INDEX('×入力'!$A$1:$L$1300,1126,2+FQ$2)&lt;&gt;"",INDEX('×入力'!$A$1:$L$1300,1127+FQ$3,1)&lt;&gt;""),1,0),0)</f>
        <v/>
      </c>
      <c r="FR50">
        <f>IF(FR$4=1,IF(OR(INDEX('×入力'!$A$1:$L$1300,1127+FR$3,2+FR$2)&lt;&gt;"",INDEX('×入力'!$A$1:$L$1300,1126,2+FR$2)&lt;&gt;"",INDEX('×入力'!$A$1:$L$1300,1127+FR$3,1)&lt;&gt;""),1,0),0)</f>
        <v/>
      </c>
      <c r="FS50">
        <f>IF(FS$4=1,IF(OR(INDEX('×入力'!$A$1:$L$1300,1127+FS$3,2+FS$2)&lt;&gt;"",INDEX('×入力'!$A$1:$L$1300,1126,2+FS$2)&lt;&gt;"",INDEX('×入力'!$A$1:$L$1300,1127+FS$3,1)&lt;&gt;""),1,0),0)</f>
        <v/>
      </c>
      <c r="FT50">
        <f>IF(FT$4=1,IF(OR(INDEX('×入力'!$A$1:$L$1300,1127+FT$3,2+FT$2)&lt;&gt;"",INDEX('×入力'!$A$1:$L$1300,1126,2+FT$2)&lt;&gt;"",INDEX('×入力'!$A$1:$L$1300,1127+FT$3,1)&lt;&gt;""),1,0),0)</f>
        <v/>
      </c>
      <c r="FU50">
        <f>IF(FU$4=1,IF(OR(INDEX('×入力'!$A$1:$L$1300,1127+FU$3,2+FU$2)&lt;&gt;"",INDEX('×入力'!$A$1:$L$1300,1126,2+FU$2)&lt;&gt;"",INDEX('×入力'!$A$1:$L$1300,1127+FU$3,1)&lt;&gt;""),1,0),0)</f>
        <v/>
      </c>
      <c r="FV50">
        <f>IF(FV$4=1,IF(OR(INDEX('×入力'!$A$1:$L$1300,1127+FV$3,2+FV$2)&lt;&gt;"",INDEX('×入力'!$A$1:$L$1300,1126,2+FV$2)&lt;&gt;"",INDEX('×入力'!$A$1:$L$1300,1127+FV$3,1)&lt;&gt;""),1,0),0)</f>
        <v/>
      </c>
      <c r="FW50">
        <f>IF(FW$4=1,IF(OR(INDEX('×入力'!$A$1:$L$1300,1127+FW$3,2+FW$2)&lt;&gt;"",INDEX('×入力'!$A$1:$L$1300,1126,2+FW$2)&lt;&gt;"",INDEX('×入力'!$A$1:$L$1300,1127+FW$3,1)&lt;&gt;""),1,0),0)</f>
        <v/>
      </c>
      <c r="FX50">
        <f>IF(FX$4=1,IF(OR(INDEX('×入力'!$A$1:$L$1300,1127+FX$3,2+FX$2)&lt;&gt;"",INDEX('×入力'!$A$1:$L$1300,1126,2+FX$2)&lt;&gt;"",INDEX('×入力'!$A$1:$L$1300,1127+FX$3,1)&lt;&gt;""),1,0),0)</f>
        <v/>
      </c>
      <c r="FY50">
        <f>IF(FY$4=1,IF(OR(INDEX('×入力'!$A$1:$L$1300,1127+FY$3,2+FY$2)&lt;&gt;"",INDEX('×入力'!$A$1:$L$1300,1126,2+FY$2)&lt;&gt;"",INDEX('×入力'!$A$1:$L$1300,1127+FY$3,1)&lt;&gt;""),1,0),0)</f>
        <v/>
      </c>
      <c r="FZ50">
        <f>IF(FZ$4=1,IF(OR(INDEX('×入力'!$A$1:$L$1300,1127+FZ$3,2+FZ$2)&lt;&gt;"",INDEX('×入力'!$A$1:$L$1300,1126,2+FZ$2)&lt;&gt;"",INDEX('×入力'!$A$1:$L$1300,1127+FZ$3,1)&lt;&gt;""),1,0),0)</f>
        <v/>
      </c>
      <c r="GA50">
        <f>IF(GA$4=1,IF(OR(INDEX('×入力'!$A$1:$L$1300,1127+GA$3,2+GA$2)&lt;&gt;"",INDEX('×入力'!$A$1:$L$1300,1126,2+GA$2)&lt;&gt;"",INDEX('×入力'!$A$1:$L$1300,1127+GA$3,1)&lt;&gt;""),1,0),0)</f>
        <v/>
      </c>
      <c r="GB50">
        <f>IF(GB$4=1,IF(OR(INDEX('×入力'!$A$1:$L$1300,1127+GB$3,2+GB$2)&lt;&gt;"",INDEX('×入力'!$A$1:$L$1300,1126,2+GB$2)&lt;&gt;"",INDEX('×入力'!$A$1:$L$1300,1127+GB$3,1)&lt;&gt;""),1,0),0)</f>
        <v/>
      </c>
      <c r="GC50">
        <f>IF(GC$4=1,IF(OR(INDEX('×入力'!$A$1:$L$1300,1127+GC$3,2+GC$2)&lt;&gt;"",INDEX('×入力'!$A$1:$L$1300,1126,2+GC$2)&lt;&gt;"",INDEX('×入力'!$A$1:$L$1300,1127+GC$3,1)&lt;&gt;""),1,0),0)</f>
        <v/>
      </c>
      <c r="GD50">
        <f>IF(GD$4=1,IF(OR(INDEX('×入力'!$A$1:$L$1300,1127+GD$3,2+GD$2)&lt;&gt;"",INDEX('×入力'!$A$1:$L$1300,1126,2+GD$2)&lt;&gt;"",INDEX('×入力'!$A$1:$L$1300,1127+GD$3,1)&lt;&gt;""),1,0),0)</f>
        <v/>
      </c>
      <c r="GE50">
        <f>IF(GE$4=1,IF(OR(INDEX('×入力'!$A$1:$L$1300,1127+GE$3,2+GE$2)&lt;&gt;"",INDEX('×入力'!$A$1:$L$1300,1126,2+GE$2)&lt;&gt;"",INDEX('×入力'!$A$1:$L$1300,1127+GE$3,1)&lt;&gt;""),1,0),0)</f>
        <v/>
      </c>
      <c r="GF50">
        <f>IF(GF$4=1,IF(OR(INDEX('×入力'!$A$1:$L$1300,1127+GF$3,2+GF$2)&lt;&gt;"",INDEX('×入力'!$A$1:$L$1300,1126,2+GF$2)&lt;&gt;"",INDEX('×入力'!$A$1:$L$1300,1127+GF$3,1)&lt;&gt;""),1,0),0)</f>
        <v/>
      </c>
      <c r="GG50">
        <f>IF(GG$4=1,IF(OR(INDEX('×入力'!$A$1:$L$1300,1127+GG$3,2+GG$2)&lt;&gt;"",INDEX('×入力'!$A$1:$L$1300,1126,2+GG$2)&lt;&gt;"",INDEX('×入力'!$A$1:$L$1300,1127+GG$3,1)&lt;&gt;""),1,0),0)</f>
        <v/>
      </c>
      <c r="GH50">
        <f>IF(GH$4=1,IF(OR(INDEX('×入力'!$A$1:$L$1300,1127+GH$3,2+GH$2)&lt;&gt;"",INDEX('×入力'!$A$1:$L$1300,1126,2+GH$2)&lt;&gt;"",INDEX('×入力'!$A$1:$L$1300,1127+GH$3,1)&lt;&gt;""),1,0),0)</f>
        <v/>
      </c>
      <c r="GI50">
        <f>IF(GI$4=1,IF(OR(INDEX('×入力'!$A$1:$L$1300,1127+GI$3,2+GI$2)&lt;&gt;"",INDEX('×入力'!$A$1:$L$1300,1126,2+GI$2)&lt;&gt;"",INDEX('×入力'!$A$1:$L$1300,1127+GI$3,1)&lt;&gt;""),1,0),0)</f>
        <v/>
      </c>
      <c r="GJ50">
        <f>IF(GJ$4=1,IF(OR(INDEX('×入力'!$A$1:$L$1300,1127+GJ$3,2+GJ$2)&lt;&gt;"",INDEX('×入力'!$A$1:$L$1300,1126,2+GJ$2)&lt;&gt;"",INDEX('×入力'!$A$1:$L$1300,1127+GJ$3,1)&lt;&gt;""),1,0),0)</f>
        <v/>
      </c>
      <c r="GK50">
        <f>IF(GK$4=1,IF(OR(INDEX('×入力'!$A$1:$L$1300,1127+GK$3,2+GK$2)&lt;&gt;"",INDEX('×入力'!$A$1:$L$1300,1126,2+GK$2)&lt;&gt;"",INDEX('×入力'!$A$1:$L$1300,1127+GK$3,1)&lt;&gt;""),1,0),0)</f>
        <v/>
      </c>
      <c r="GL50">
        <f>IF(GL$4=1,IF(OR(INDEX('×入力'!$A$1:$L$1300,1127+GL$3,2+GL$2)&lt;&gt;"",INDEX('×入力'!$A$1:$L$1300,1126,2+GL$2)&lt;&gt;"",INDEX('×入力'!$A$1:$L$1300,1127+GL$3,1)&lt;&gt;""),1,0),0)</f>
        <v/>
      </c>
      <c r="GM50">
        <f>IF(GM$4=1,IF(OR(INDEX('×入力'!$A$1:$L$1300,1127+GM$3,2+GM$2)&lt;&gt;"",INDEX('×入力'!$A$1:$L$1300,1126,2+GM$2)&lt;&gt;"",INDEX('×入力'!$A$1:$L$1300,1127+GM$3,1)&lt;&gt;""),1,0),0)</f>
        <v/>
      </c>
      <c r="GN50">
        <f>IF(GN$4=1,IF(OR(INDEX('×入力'!$A$1:$L$1300,1127+GN$3,2+GN$2)&lt;&gt;"",INDEX('×入力'!$A$1:$L$1300,1126,2+GN$2)&lt;&gt;"",INDEX('×入力'!$A$1:$L$1300,1127+GN$3,1)&lt;&gt;""),1,0),0)</f>
        <v/>
      </c>
      <c r="GO50">
        <f>IF(GO$4=1,IF(OR(INDEX('×入力'!$A$1:$L$1300,1127+GO$3,2+GO$2)&lt;&gt;"",INDEX('×入力'!$A$1:$L$1300,1126,2+GO$2)&lt;&gt;"",INDEX('×入力'!$A$1:$L$1300,1127+GO$3,1)&lt;&gt;""),1,0),0)</f>
        <v/>
      </c>
      <c r="GP50">
        <f>IF(GP$4=1,IF(OR(INDEX('×入力'!$A$1:$L$1300,1127+GP$3,2+GP$2)&lt;&gt;"",INDEX('×入力'!$A$1:$L$1300,1126,2+GP$2)&lt;&gt;"",INDEX('×入力'!$A$1:$L$1300,1127+GP$3,1)&lt;&gt;""),1,0),0)</f>
        <v/>
      </c>
      <c r="GQ50">
        <f>IF(GQ$4=1,IF(OR(INDEX('×入力'!$A$1:$L$1300,1127+GQ$3,2+GQ$2)&lt;&gt;"",INDEX('×入力'!$A$1:$L$1300,1126,2+GQ$2)&lt;&gt;"",INDEX('×入力'!$A$1:$L$1300,1127+GQ$3,1)&lt;&gt;""),1,0),0)</f>
        <v/>
      </c>
      <c r="GR50">
        <f>IF(GR$4=1,IF(OR(INDEX('×入力'!$A$1:$L$1300,1127+GR$3,2+GR$2)&lt;&gt;"",INDEX('×入力'!$A$1:$L$1300,1126,2+GR$2)&lt;&gt;"",INDEX('×入力'!$A$1:$L$1300,1127+GR$3,1)&lt;&gt;""),1,0),0)</f>
        <v/>
      </c>
      <c r="GS50">
        <f>IF(GS$4=1,IF(OR(INDEX('×入力'!$A$1:$L$1300,1127+GS$3,2+GS$2)&lt;&gt;"",INDEX('×入力'!$A$1:$L$1300,1126,2+GS$2)&lt;&gt;"",INDEX('×入力'!$A$1:$L$1300,1127+GS$3,1)&lt;&gt;""),1,0),0)</f>
        <v/>
      </c>
      <c r="GT50">
        <f>IF(GT$4=1,IF(OR(INDEX('×入力'!$A$1:$L$1300,1127+GT$3,2+GT$2)&lt;&gt;"",INDEX('×入力'!$A$1:$L$1300,1126,2+GT$2)&lt;&gt;"",INDEX('×入力'!$A$1:$L$1300,1127+GT$3,1)&lt;&gt;""),1,0),0)</f>
        <v/>
      </c>
      <c r="GU50">
        <f>IF(GU$4=1,IF(OR(INDEX('×入力'!$A$1:$L$1300,1127+GU$3,2+GU$2)&lt;&gt;"",INDEX('×入力'!$A$1:$L$1300,1126,2+GU$2)&lt;&gt;"",INDEX('×入力'!$A$1:$L$1300,1127+GU$3,1)&lt;&gt;""),1,0),0)</f>
        <v/>
      </c>
      <c r="GV50">
        <f>IF(GV$4=1,IF(OR(INDEX('×入力'!$A$1:$L$1300,1127+GV$3,2+GV$2)&lt;&gt;"",INDEX('×入力'!$A$1:$L$1300,1126,2+GV$2)&lt;&gt;"",INDEX('×入力'!$A$1:$L$1300,1127+GV$3,1)&lt;&gt;""),1,0),0)</f>
        <v/>
      </c>
      <c r="GW50">
        <f>IF(GW$4=1,IF(OR(INDEX('×入力'!$A$1:$L$1300,1127+GW$3,2+GW$2)&lt;&gt;"",INDEX('×入力'!$A$1:$L$1300,1126,2+GW$2)&lt;&gt;"",INDEX('×入力'!$A$1:$L$1300,1127+GW$3,1)&lt;&gt;""),1,0),0)</f>
        <v/>
      </c>
      <c r="GX50">
        <f>IF(GX$4=1,IF(OR(INDEX('×入力'!$A$1:$L$1300,1127+GX$3,2+GX$2)&lt;&gt;"",INDEX('×入力'!$A$1:$L$1300,1126,2+GX$2)&lt;&gt;"",INDEX('×入力'!$A$1:$L$1300,1127+GX$3,1)&lt;&gt;""),1,0),0)</f>
        <v/>
      </c>
      <c r="GY50">
        <f>IF(GY$4=1,IF(OR(INDEX('×入力'!$A$1:$L$1300,1127+GY$3,2+GY$2)&lt;&gt;"",INDEX('×入力'!$A$1:$L$1300,1126,2+GY$2)&lt;&gt;"",INDEX('×入力'!$A$1:$L$1300,1127+GY$3,1)&lt;&gt;""),1,0),0)</f>
        <v/>
      </c>
      <c r="GZ50">
        <f>IF(GZ$4=1,IF(OR(INDEX('×入力'!$A$1:$L$1300,1127+GZ$3,2+GZ$2)&lt;&gt;"",INDEX('×入力'!$A$1:$L$1300,1126,2+GZ$2)&lt;&gt;"",INDEX('×入力'!$A$1:$L$1300,1127+GZ$3,1)&lt;&gt;""),1,0),0)</f>
        <v/>
      </c>
      <c r="HA50">
        <f>IF(HA$4=1,IF(OR(INDEX('×入力'!$A$1:$L$1300,1127+HA$3,2+HA$2)&lt;&gt;"",INDEX('×入力'!$A$1:$L$1300,1126,2+HA$2)&lt;&gt;"",INDEX('×入力'!$A$1:$L$1300,1127+HA$3,1)&lt;&gt;""),1,0),0)</f>
        <v/>
      </c>
      <c r="HB50">
        <f>IF(HB$4=1,IF(OR(INDEX('×入力'!$A$1:$L$1300,1127+HB$3,2+HB$2)&lt;&gt;"",INDEX('×入力'!$A$1:$L$1300,1126,2+HB$2)&lt;&gt;"",INDEX('×入力'!$A$1:$L$1300,1127+HB$3,1)&lt;&gt;""),1,0),0)</f>
        <v/>
      </c>
      <c r="HC50">
        <f>IF(HC$4=1,IF(OR(INDEX('×入力'!$A$1:$L$1300,1127+HC$3,2+HC$2)&lt;&gt;"",INDEX('×入力'!$A$1:$L$1300,1126,2+HC$2)&lt;&gt;"",INDEX('×入力'!$A$1:$L$1300,1127+HC$3,1)&lt;&gt;""),1,0),0)</f>
        <v/>
      </c>
      <c r="HD50">
        <f>IF(HD$4=1,IF(OR(INDEX('×入力'!$A$1:$L$1300,1127+HD$3,2+HD$2)&lt;&gt;"",INDEX('×入力'!$A$1:$L$1300,1126,2+HD$2)&lt;&gt;"",INDEX('×入力'!$A$1:$L$1300,1127+HD$3,1)&lt;&gt;""),1,0),0)</f>
        <v/>
      </c>
      <c r="HE50">
        <f>IF(HE$4=1,IF(OR(INDEX('×入力'!$A$1:$L$1300,1127+HE$3,2+HE$2)&lt;&gt;"",INDEX('×入力'!$A$1:$L$1300,1126,2+HE$2)&lt;&gt;"",INDEX('×入力'!$A$1:$L$1300,1127+HE$3,1)&lt;&gt;""),1,0),0)</f>
        <v/>
      </c>
      <c r="HF50">
        <f>IF(HF$4=1,IF(OR(INDEX('×入力'!$A$1:$L$1300,1127+HF$3,2+HF$2)&lt;&gt;"",INDEX('×入力'!$A$1:$L$1300,1126,2+HF$2)&lt;&gt;"",INDEX('×入力'!$A$1:$L$1300,1127+HF$3,1)&lt;&gt;""),1,0),0)</f>
        <v/>
      </c>
      <c r="HG50">
        <f>IF(HG$4=1,IF(OR(INDEX('×入力'!$A$1:$L$1300,1127+HG$3,2+HG$2)&lt;&gt;"",INDEX('×入力'!$A$1:$L$1300,1126,2+HG$2)&lt;&gt;"",INDEX('×入力'!$A$1:$L$1300,1127+HG$3,1)&lt;&gt;""),1,0),0)</f>
        <v/>
      </c>
      <c r="HH50">
        <f>IF(HH$4=1,IF(OR(INDEX('×入力'!$A$1:$L$1300,1127+HH$3,2+HH$2)&lt;&gt;"",INDEX('×入力'!$A$1:$L$1300,1126,2+HH$2)&lt;&gt;"",INDEX('×入力'!$A$1:$L$1300,1127+HH$3,1)&lt;&gt;""),1,0),0)</f>
        <v/>
      </c>
      <c r="HI50">
        <f>IF(HI$4=1,IF(OR(INDEX('×入力'!$A$1:$L$1300,1127+HI$3,2+HI$2)&lt;&gt;"",INDEX('×入力'!$A$1:$L$1300,1126,2+HI$2)&lt;&gt;"",INDEX('×入力'!$A$1:$L$1300,1127+HI$3,1)&lt;&gt;""),1,0),0)</f>
        <v/>
      </c>
      <c r="HJ50">
        <f>IF(HJ$4=1,IF(OR(INDEX('×入力'!$A$1:$L$1300,1127+HJ$3,2+HJ$2)&lt;&gt;"",INDEX('×入力'!$A$1:$L$1300,1126,2+HJ$2)&lt;&gt;"",INDEX('×入力'!$A$1:$L$1300,1127+HJ$3,1)&lt;&gt;""),1,0),0)</f>
        <v/>
      </c>
      <c r="HK50">
        <f>IF(HK$4=1,IF(OR(INDEX('×入力'!$A$1:$L$1300,1127+HK$3,2+HK$2)&lt;&gt;"",INDEX('×入力'!$A$1:$L$1300,1126,2+HK$2)&lt;&gt;"",INDEX('×入力'!$A$1:$L$1300,1127+HK$3,1)&lt;&gt;""),1,0),0)</f>
        <v/>
      </c>
      <c r="HL50">
        <f>IF(HL$4=1,IF(OR(INDEX('×入力'!$A$1:$L$1300,1127+HL$3,2+HL$2)&lt;&gt;"",INDEX('×入力'!$A$1:$L$1300,1126,2+HL$2)&lt;&gt;"",INDEX('×入力'!$A$1:$L$1300,1127+HL$3,1)&lt;&gt;""),1,0),0)</f>
        <v/>
      </c>
      <c r="HM50">
        <f>IF(HM$4=1,IF(OR(INDEX('×入力'!$A$1:$L$1300,1127+HM$3,2+HM$2)&lt;&gt;"",INDEX('×入力'!$A$1:$L$1300,1126,2+HM$2)&lt;&gt;"",INDEX('×入力'!$A$1:$L$1300,1127+HM$3,1)&lt;&gt;""),1,0),0)</f>
        <v/>
      </c>
      <c r="HN50">
        <f>IF(HN$4=1,IF(OR(INDEX('×入力'!$A$1:$L$1300,1127+HN$3,2+HN$2)&lt;&gt;"",INDEX('×入力'!$A$1:$L$1300,1126,2+HN$2)&lt;&gt;"",INDEX('×入力'!$A$1:$L$1300,1127+HN$3,1)&lt;&gt;""),1,0),0)</f>
        <v/>
      </c>
      <c r="HO50">
        <f>IF(HO$4=1,IF(OR(INDEX('×入力'!$A$1:$L$1300,1127+HO$3,2+HO$2)&lt;&gt;"",INDEX('×入力'!$A$1:$L$1300,1126,2+HO$2)&lt;&gt;"",INDEX('×入力'!$A$1:$L$1300,1127+HO$3,1)&lt;&gt;""),1,0),0)</f>
        <v/>
      </c>
      <c r="HP50">
        <f>IF(HP$4=1,IF(OR(INDEX('×入力'!$A$1:$L$1300,1127+HP$3,2+HP$2)&lt;&gt;"",INDEX('×入力'!$A$1:$L$1300,1126,2+HP$2)&lt;&gt;"",INDEX('×入力'!$A$1:$L$1300,1127+HP$3,1)&lt;&gt;""),1,0),0)</f>
        <v/>
      </c>
      <c r="HQ50">
        <f>IF(HQ$4=1,IF(OR(INDEX('×入力'!$A$1:$L$1300,1127+HQ$3,2+HQ$2)&lt;&gt;"",INDEX('×入力'!$A$1:$L$1300,1126,2+HQ$2)&lt;&gt;"",INDEX('×入力'!$A$1:$L$1300,1127+HQ$3,1)&lt;&gt;""),1,0),0)</f>
        <v/>
      </c>
      <c r="HR50">
        <f>IF(HR$4=1,IF(OR(INDEX('×入力'!$A$1:$L$1300,1127+HR$3,2+HR$2)&lt;&gt;"",INDEX('×入力'!$A$1:$L$1300,1126,2+HR$2)&lt;&gt;"",INDEX('×入力'!$A$1:$L$1300,1127+HR$3,1)&lt;&gt;""),1,0),0)</f>
        <v/>
      </c>
      <c r="HS50">
        <f>IF(HS$4=1,IF(OR(INDEX('×入力'!$A$1:$L$1300,1127+HS$3,2+HS$2)&lt;&gt;"",INDEX('×入力'!$A$1:$L$1300,1126,2+HS$2)&lt;&gt;"",INDEX('×入力'!$A$1:$L$1300,1127+HS$3,1)&lt;&gt;""),1,0),0)</f>
        <v/>
      </c>
      <c r="HT50">
        <f>IF(HT$4=1,IF(OR(INDEX('×入力'!$A$1:$L$1300,1127+HT$3,2+HT$2)&lt;&gt;"",INDEX('×入力'!$A$1:$L$1300,1126,2+HT$2)&lt;&gt;"",INDEX('×入力'!$A$1:$L$1300,1127+HT$3,1)&lt;&gt;""),1,0),0)</f>
        <v/>
      </c>
      <c r="HU50">
        <f>IF(HU$4=1,IF(OR(INDEX('×入力'!$A$1:$L$1300,1127+HU$3,2+HU$2)&lt;&gt;"",INDEX('×入力'!$A$1:$L$1300,1126,2+HU$2)&lt;&gt;"",INDEX('×入力'!$A$1:$L$1300,1127+HU$3,1)&lt;&gt;""),1,0),0)</f>
        <v/>
      </c>
      <c r="HV50">
        <f>IF(HV$4=1,IF(OR(INDEX('×入力'!$A$1:$L$1300,1127+HV$3,2+HV$2)&lt;&gt;"",INDEX('×入力'!$A$1:$L$1300,1126,2+HV$2)&lt;&gt;"",INDEX('×入力'!$A$1:$L$1300,1127+HV$3,1)&lt;&gt;""),1,0),0)</f>
        <v/>
      </c>
      <c r="HW50">
        <f>IF(HW$4=1,IF(OR(INDEX('×入力'!$A$1:$L$1300,1127+HW$3,2+HW$2)&lt;&gt;"",INDEX('×入力'!$A$1:$L$1300,1126,2+HW$2)&lt;&gt;"",INDEX('×入力'!$A$1:$L$1300,1127+HW$3,1)&lt;&gt;""),1,0),0)</f>
        <v/>
      </c>
      <c r="HX50">
        <f>IF(HX$4=1,IF(OR(INDEX('×入力'!$A$1:$L$1300,1127+HX$3,2+HX$2)&lt;&gt;"",INDEX('×入力'!$A$1:$L$1300,1126,2+HX$2)&lt;&gt;"",INDEX('×入力'!$A$1:$L$1300,1127+HX$3,1)&lt;&gt;""),1,0),0)</f>
        <v/>
      </c>
      <c r="HY50">
        <f>IF(HY$4=1,IF(OR(INDEX('×入力'!$A$1:$L$1300,1127+HY$3,2+HY$2)&lt;&gt;"",INDEX('×入力'!$A$1:$L$1300,1126,2+HY$2)&lt;&gt;"",INDEX('×入力'!$A$1:$L$1300,1127+HY$3,1)&lt;&gt;""),1,0),0)</f>
        <v/>
      </c>
      <c r="HZ50">
        <f>IF(HZ$4=1,IF(OR(INDEX('×入力'!$A$1:$L$1300,1127+HZ$3,2+HZ$2)&lt;&gt;"",INDEX('×入力'!$A$1:$L$1300,1126,2+HZ$2)&lt;&gt;"",INDEX('×入力'!$A$1:$L$1300,1127+HZ$3,1)&lt;&gt;""),1,0),0)</f>
        <v/>
      </c>
      <c r="IA50">
        <f>IF(IA$4=1,IF(OR(INDEX('×入力'!$A$1:$L$1300,1127+IA$3,2+IA$2)&lt;&gt;"",INDEX('×入力'!$A$1:$L$1300,1126,2+IA$2)&lt;&gt;"",INDEX('×入力'!$A$1:$L$1300,1127+IA$3,1)&lt;&gt;""),1,0),0)</f>
        <v/>
      </c>
      <c r="IB50">
        <f>IF(IB$4=1,IF(OR(INDEX('×入力'!$A$1:$L$1300,1127+IB$3,2+IB$2)&lt;&gt;"",INDEX('×入力'!$A$1:$L$1300,1126,2+IB$2)&lt;&gt;"",INDEX('×入力'!$A$1:$L$1300,1127+IB$3,1)&lt;&gt;""),1,0),0)</f>
        <v/>
      </c>
      <c r="IC50">
        <f>IF(IC$4=1,IF(OR(INDEX('×入力'!$A$1:$L$1300,1127+IC$3,2+IC$2)&lt;&gt;"",INDEX('×入力'!$A$1:$L$1300,1126,2+IC$2)&lt;&gt;"",INDEX('×入力'!$A$1:$L$1300,1127+IC$3,1)&lt;&gt;""),1,0),0)</f>
        <v/>
      </c>
      <c r="ID50">
        <f>IF(ID$4=1,IF(OR(INDEX('×入力'!$A$1:$L$1300,1127+ID$3,2+ID$2)&lt;&gt;"",INDEX('×入力'!$A$1:$L$1300,1126,2+ID$2)&lt;&gt;"",INDEX('×入力'!$A$1:$L$1300,1127+ID$3,1)&lt;&gt;""),1,0),0)</f>
        <v/>
      </c>
      <c r="IE50">
        <f>IF(IE$4=1,IF(OR(INDEX('×入力'!$A$1:$L$1300,1127+IE$3,2+IE$2)&lt;&gt;"",INDEX('×入力'!$A$1:$L$1300,1126,2+IE$2)&lt;&gt;"",INDEX('×入力'!$A$1:$L$1300,1127+IE$3,1)&lt;&gt;""),1,0),0)</f>
        <v/>
      </c>
      <c r="IF50">
        <f>IF(IF$4=1,IF(OR(INDEX('×入力'!$A$1:$L$1300,1127+IF$3,2+IF$2)&lt;&gt;"",INDEX('×入力'!$A$1:$L$1300,1126,2+IF$2)&lt;&gt;"",INDEX('×入力'!$A$1:$L$1300,1127+IF$3,1)&lt;&gt;""),1,0),0)</f>
        <v/>
      </c>
      <c r="IG50">
        <f>IF(IG$4=1,IF(OR(INDEX('×入力'!$A$1:$L$1300,1127+IG$3,2+IG$2)&lt;&gt;"",INDEX('×入力'!$A$1:$L$1300,1126,2+IG$2)&lt;&gt;"",INDEX('×入力'!$A$1:$L$1300,1127+IG$3,1)&lt;&gt;""),1,0),0)</f>
        <v/>
      </c>
      <c r="IH50">
        <f>IF(IH$4=1,IF(OR(INDEX('×入力'!$A$1:$L$1300,1127+IH$3,2+IH$2)&lt;&gt;"",INDEX('×入力'!$A$1:$L$1300,1126,2+IH$2)&lt;&gt;"",INDEX('×入力'!$A$1:$L$1300,1127+IH$3,1)&lt;&gt;""),1,0),0)</f>
        <v/>
      </c>
      <c r="II50">
        <f>IF(II$4=1,IF(OR(INDEX('×入力'!$A$1:$L$1300,1127+II$3,2+II$2)&lt;&gt;"",INDEX('×入力'!$A$1:$L$1300,1126,2+II$2)&lt;&gt;"",INDEX('×入力'!$A$1:$L$1300,1127+II$3,1)&lt;&gt;""),1,0),0)</f>
        <v/>
      </c>
      <c r="IK50">
        <f>IFERROR(INDEX('計算B'!$C$3:$C$47,MATCH(A50,'計算B'!$B$3:$B$47,0)),0)</f>
        <v/>
      </c>
      <c r="IL50">
        <f>IF(AND(C50=1,IK50=0),1,0)</f>
        <v/>
      </c>
      <c r="IM50">
        <f>SUMPRODUCT(D100:II100*(1-$D$7:$II$7))</f>
        <v/>
      </c>
      <c r="IN50">
        <f>SUM(D50:II50)</f>
        <v/>
      </c>
      <c r="IO50">
        <f>IF(B50="",0,IF(COUNTIF('調整・決定'!$C$6:$L$29,B50)=1,SUMPRODUCT(('調整・決定'!$C$6:$L$29=B50)*((COLUMN('調整・決定'!$C$6:$L$29)-3)*24+ROW('調整・決定'!$C$6:$L$29)-5)),0))</f>
        <v/>
      </c>
      <c r="IP50">
        <f>IFERROR(MATCH('名簿'!E45,{"早い時刻","遅い時刻","早い日","遅い日"},0),0)</f>
        <v/>
      </c>
      <c r="IQ50">
        <f>IF('名簿'!F45="必ず空けたい",2,IF('名簿'!F45="出来れば空けたい",1,0))</f>
        <v/>
      </c>
    </row>
    <row r="51">
      <c r="A51" t="n">
        <v>42</v>
      </c>
      <c r="B51">
        <f>'名簿'!G46</f>
        <v/>
      </c>
      <c r="C51">
        <f>IF(AND(B51&lt;&gt;"",OR('名簿'!H46="入力済み",'名簿'!H46="×なし"),IO51=0,COUNTIF('調整・決定'!$C$6:$L$29,B51)=0),1,0)</f>
        <v/>
      </c>
      <c r="D51">
        <f>IF(D$4=1,IF(OR(INDEX('×入力'!$A$1:$L$1300,1155+D$3,2+D$2)&lt;&gt;"",INDEX('×入力'!$A$1:$L$1300,1154,2+D$2)&lt;&gt;"",INDEX('×入力'!$A$1:$L$1300,1155+D$3,1)&lt;&gt;""),1,0),0)</f>
        <v/>
      </c>
      <c r="E51">
        <f>IF(E$4=1,IF(OR(INDEX('×入力'!$A$1:$L$1300,1155+E$3,2+E$2)&lt;&gt;"",INDEX('×入力'!$A$1:$L$1300,1154,2+E$2)&lt;&gt;"",INDEX('×入力'!$A$1:$L$1300,1155+E$3,1)&lt;&gt;""),1,0),0)</f>
        <v/>
      </c>
      <c r="F51">
        <f>IF(F$4=1,IF(OR(INDEX('×入力'!$A$1:$L$1300,1155+F$3,2+F$2)&lt;&gt;"",INDEX('×入力'!$A$1:$L$1300,1154,2+F$2)&lt;&gt;"",INDEX('×入力'!$A$1:$L$1300,1155+F$3,1)&lt;&gt;""),1,0),0)</f>
        <v/>
      </c>
      <c r="G51">
        <f>IF(G$4=1,IF(OR(INDEX('×入力'!$A$1:$L$1300,1155+G$3,2+G$2)&lt;&gt;"",INDEX('×入力'!$A$1:$L$1300,1154,2+G$2)&lt;&gt;"",INDEX('×入力'!$A$1:$L$1300,1155+G$3,1)&lt;&gt;""),1,0),0)</f>
        <v/>
      </c>
      <c r="H51">
        <f>IF(H$4=1,IF(OR(INDEX('×入力'!$A$1:$L$1300,1155+H$3,2+H$2)&lt;&gt;"",INDEX('×入力'!$A$1:$L$1300,1154,2+H$2)&lt;&gt;"",INDEX('×入力'!$A$1:$L$1300,1155+H$3,1)&lt;&gt;""),1,0),0)</f>
        <v/>
      </c>
      <c r="I51">
        <f>IF(I$4=1,IF(OR(INDEX('×入力'!$A$1:$L$1300,1155+I$3,2+I$2)&lt;&gt;"",INDEX('×入力'!$A$1:$L$1300,1154,2+I$2)&lt;&gt;"",INDEX('×入力'!$A$1:$L$1300,1155+I$3,1)&lt;&gt;""),1,0),0)</f>
        <v/>
      </c>
      <c r="J51">
        <f>IF(J$4=1,IF(OR(INDEX('×入力'!$A$1:$L$1300,1155+J$3,2+J$2)&lt;&gt;"",INDEX('×入力'!$A$1:$L$1300,1154,2+J$2)&lt;&gt;"",INDEX('×入力'!$A$1:$L$1300,1155+J$3,1)&lt;&gt;""),1,0),0)</f>
        <v/>
      </c>
      <c r="K51">
        <f>IF(K$4=1,IF(OR(INDEX('×入力'!$A$1:$L$1300,1155+K$3,2+K$2)&lt;&gt;"",INDEX('×入力'!$A$1:$L$1300,1154,2+K$2)&lt;&gt;"",INDEX('×入力'!$A$1:$L$1300,1155+K$3,1)&lt;&gt;""),1,0),0)</f>
        <v/>
      </c>
      <c r="L51">
        <f>IF(L$4=1,IF(OR(INDEX('×入力'!$A$1:$L$1300,1155+L$3,2+L$2)&lt;&gt;"",INDEX('×入力'!$A$1:$L$1300,1154,2+L$2)&lt;&gt;"",INDEX('×入力'!$A$1:$L$1300,1155+L$3,1)&lt;&gt;""),1,0),0)</f>
        <v/>
      </c>
      <c r="M51">
        <f>IF(M$4=1,IF(OR(INDEX('×入力'!$A$1:$L$1300,1155+M$3,2+M$2)&lt;&gt;"",INDEX('×入力'!$A$1:$L$1300,1154,2+M$2)&lt;&gt;"",INDEX('×入力'!$A$1:$L$1300,1155+M$3,1)&lt;&gt;""),1,0),0)</f>
        <v/>
      </c>
      <c r="N51">
        <f>IF(N$4=1,IF(OR(INDEX('×入力'!$A$1:$L$1300,1155+N$3,2+N$2)&lt;&gt;"",INDEX('×入力'!$A$1:$L$1300,1154,2+N$2)&lt;&gt;"",INDEX('×入力'!$A$1:$L$1300,1155+N$3,1)&lt;&gt;""),1,0),0)</f>
        <v/>
      </c>
      <c r="O51">
        <f>IF(O$4=1,IF(OR(INDEX('×入力'!$A$1:$L$1300,1155+O$3,2+O$2)&lt;&gt;"",INDEX('×入力'!$A$1:$L$1300,1154,2+O$2)&lt;&gt;"",INDEX('×入力'!$A$1:$L$1300,1155+O$3,1)&lt;&gt;""),1,0),0)</f>
        <v/>
      </c>
      <c r="P51">
        <f>IF(P$4=1,IF(OR(INDEX('×入力'!$A$1:$L$1300,1155+P$3,2+P$2)&lt;&gt;"",INDEX('×入力'!$A$1:$L$1300,1154,2+P$2)&lt;&gt;"",INDEX('×入力'!$A$1:$L$1300,1155+P$3,1)&lt;&gt;""),1,0),0)</f>
        <v/>
      </c>
      <c r="Q51">
        <f>IF(Q$4=1,IF(OR(INDEX('×入力'!$A$1:$L$1300,1155+Q$3,2+Q$2)&lt;&gt;"",INDEX('×入力'!$A$1:$L$1300,1154,2+Q$2)&lt;&gt;"",INDEX('×入力'!$A$1:$L$1300,1155+Q$3,1)&lt;&gt;""),1,0),0)</f>
        <v/>
      </c>
      <c r="R51">
        <f>IF(R$4=1,IF(OR(INDEX('×入力'!$A$1:$L$1300,1155+R$3,2+R$2)&lt;&gt;"",INDEX('×入力'!$A$1:$L$1300,1154,2+R$2)&lt;&gt;"",INDEX('×入力'!$A$1:$L$1300,1155+R$3,1)&lt;&gt;""),1,0),0)</f>
        <v/>
      </c>
      <c r="S51">
        <f>IF(S$4=1,IF(OR(INDEX('×入力'!$A$1:$L$1300,1155+S$3,2+S$2)&lt;&gt;"",INDEX('×入力'!$A$1:$L$1300,1154,2+S$2)&lt;&gt;"",INDEX('×入力'!$A$1:$L$1300,1155+S$3,1)&lt;&gt;""),1,0),0)</f>
        <v/>
      </c>
      <c r="T51">
        <f>IF(T$4=1,IF(OR(INDEX('×入力'!$A$1:$L$1300,1155+T$3,2+T$2)&lt;&gt;"",INDEX('×入力'!$A$1:$L$1300,1154,2+T$2)&lt;&gt;"",INDEX('×入力'!$A$1:$L$1300,1155+T$3,1)&lt;&gt;""),1,0),0)</f>
        <v/>
      </c>
      <c r="U51">
        <f>IF(U$4=1,IF(OR(INDEX('×入力'!$A$1:$L$1300,1155+U$3,2+U$2)&lt;&gt;"",INDEX('×入力'!$A$1:$L$1300,1154,2+U$2)&lt;&gt;"",INDEX('×入力'!$A$1:$L$1300,1155+U$3,1)&lt;&gt;""),1,0),0)</f>
        <v/>
      </c>
      <c r="V51">
        <f>IF(V$4=1,IF(OR(INDEX('×入力'!$A$1:$L$1300,1155+V$3,2+V$2)&lt;&gt;"",INDEX('×入力'!$A$1:$L$1300,1154,2+V$2)&lt;&gt;"",INDEX('×入力'!$A$1:$L$1300,1155+V$3,1)&lt;&gt;""),1,0),0)</f>
        <v/>
      </c>
      <c r="W51">
        <f>IF(W$4=1,IF(OR(INDEX('×入力'!$A$1:$L$1300,1155+W$3,2+W$2)&lt;&gt;"",INDEX('×入力'!$A$1:$L$1300,1154,2+W$2)&lt;&gt;"",INDEX('×入力'!$A$1:$L$1300,1155+W$3,1)&lt;&gt;""),1,0),0)</f>
        <v/>
      </c>
      <c r="X51">
        <f>IF(X$4=1,IF(OR(INDEX('×入力'!$A$1:$L$1300,1155+X$3,2+X$2)&lt;&gt;"",INDEX('×入力'!$A$1:$L$1300,1154,2+X$2)&lt;&gt;"",INDEX('×入力'!$A$1:$L$1300,1155+X$3,1)&lt;&gt;""),1,0),0)</f>
        <v/>
      </c>
      <c r="Y51">
        <f>IF(Y$4=1,IF(OR(INDEX('×入力'!$A$1:$L$1300,1155+Y$3,2+Y$2)&lt;&gt;"",INDEX('×入力'!$A$1:$L$1300,1154,2+Y$2)&lt;&gt;"",INDEX('×入力'!$A$1:$L$1300,1155+Y$3,1)&lt;&gt;""),1,0),0)</f>
        <v/>
      </c>
      <c r="Z51">
        <f>IF(Z$4=1,IF(OR(INDEX('×入力'!$A$1:$L$1300,1155+Z$3,2+Z$2)&lt;&gt;"",INDEX('×入力'!$A$1:$L$1300,1154,2+Z$2)&lt;&gt;"",INDEX('×入力'!$A$1:$L$1300,1155+Z$3,1)&lt;&gt;""),1,0),0)</f>
        <v/>
      </c>
      <c r="AA51">
        <f>IF(AA$4=1,IF(OR(INDEX('×入力'!$A$1:$L$1300,1155+AA$3,2+AA$2)&lt;&gt;"",INDEX('×入力'!$A$1:$L$1300,1154,2+AA$2)&lt;&gt;"",INDEX('×入力'!$A$1:$L$1300,1155+AA$3,1)&lt;&gt;""),1,0),0)</f>
        <v/>
      </c>
      <c r="AB51">
        <f>IF(AB$4=1,IF(OR(INDEX('×入力'!$A$1:$L$1300,1155+AB$3,2+AB$2)&lt;&gt;"",INDEX('×入力'!$A$1:$L$1300,1154,2+AB$2)&lt;&gt;"",INDEX('×入力'!$A$1:$L$1300,1155+AB$3,1)&lt;&gt;""),1,0),0)</f>
        <v/>
      </c>
      <c r="AC51">
        <f>IF(AC$4=1,IF(OR(INDEX('×入力'!$A$1:$L$1300,1155+AC$3,2+AC$2)&lt;&gt;"",INDEX('×入力'!$A$1:$L$1300,1154,2+AC$2)&lt;&gt;"",INDEX('×入力'!$A$1:$L$1300,1155+AC$3,1)&lt;&gt;""),1,0),0)</f>
        <v/>
      </c>
      <c r="AD51">
        <f>IF(AD$4=1,IF(OR(INDEX('×入力'!$A$1:$L$1300,1155+AD$3,2+AD$2)&lt;&gt;"",INDEX('×入力'!$A$1:$L$1300,1154,2+AD$2)&lt;&gt;"",INDEX('×入力'!$A$1:$L$1300,1155+AD$3,1)&lt;&gt;""),1,0),0)</f>
        <v/>
      </c>
      <c r="AE51">
        <f>IF(AE$4=1,IF(OR(INDEX('×入力'!$A$1:$L$1300,1155+AE$3,2+AE$2)&lt;&gt;"",INDEX('×入力'!$A$1:$L$1300,1154,2+AE$2)&lt;&gt;"",INDEX('×入力'!$A$1:$L$1300,1155+AE$3,1)&lt;&gt;""),1,0),0)</f>
        <v/>
      </c>
      <c r="AF51">
        <f>IF(AF$4=1,IF(OR(INDEX('×入力'!$A$1:$L$1300,1155+AF$3,2+AF$2)&lt;&gt;"",INDEX('×入力'!$A$1:$L$1300,1154,2+AF$2)&lt;&gt;"",INDEX('×入力'!$A$1:$L$1300,1155+AF$3,1)&lt;&gt;""),1,0),0)</f>
        <v/>
      </c>
      <c r="AG51">
        <f>IF(AG$4=1,IF(OR(INDEX('×入力'!$A$1:$L$1300,1155+AG$3,2+AG$2)&lt;&gt;"",INDEX('×入力'!$A$1:$L$1300,1154,2+AG$2)&lt;&gt;"",INDEX('×入力'!$A$1:$L$1300,1155+AG$3,1)&lt;&gt;""),1,0),0)</f>
        <v/>
      </c>
      <c r="AH51">
        <f>IF(AH$4=1,IF(OR(INDEX('×入力'!$A$1:$L$1300,1155+AH$3,2+AH$2)&lt;&gt;"",INDEX('×入力'!$A$1:$L$1300,1154,2+AH$2)&lt;&gt;"",INDEX('×入力'!$A$1:$L$1300,1155+AH$3,1)&lt;&gt;""),1,0),0)</f>
        <v/>
      </c>
      <c r="AI51">
        <f>IF(AI$4=1,IF(OR(INDEX('×入力'!$A$1:$L$1300,1155+AI$3,2+AI$2)&lt;&gt;"",INDEX('×入力'!$A$1:$L$1300,1154,2+AI$2)&lt;&gt;"",INDEX('×入力'!$A$1:$L$1300,1155+AI$3,1)&lt;&gt;""),1,0),0)</f>
        <v/>
      </c>
      <c r="AJ51">
        <f>IF(AJ$4=1,IF(OR(INDEX('×入力'!$A$1:$L$1300,1155+AJ$3,2+AJ$2)&lt;&gt;"",INDEX('×入力'!$A$1:$L$1300,1154,2+AJ$2)&lt;&gt;"",INDEX('×入力'!$A$1:$L$1300,1155+AJ$3,1)&lt;&gt;""),1,0),0)</f>
        <v/>
      </c>
      <c r="AK51">
        <f>IF(AK$4=1,IF(OR(INDEX('×入力'!$A$1:$L$1300,1155+AK$3,2+AK$2)&lt;&gt;"",INDEX('×入力'!$A$1:$L$1300,1154,2+AK$2)&lt;&gt;"",INDEX('×入力'!$A$1:$L$1300,1155+AK$3,1)&lt;&gt;""),1,0),0)</f>
        <v/>
      </c>
      <c r="AL51">
        <f>IF(AL$4=1,IF(OR(INDEX('×入力'!$A$1:$L$1300,1155+AL$3,2+AL$2)&lt;&gt;"",INDEX('×入力'!$A$1:$L$1300,1154,2+AL$2)&lt;&gt;"",INDEX('×入力'!$A$1:$L$1300,1155+AL$3,1)&lt;&gt;""),1,0),0)</f>
        <v/>
      </c>
      <c r="AM51">
        <f>IF(AM$4=1,IF(OR(INDEX('×入力'!$A$1:$L$1300,1155+AM$3,2+AM$2)&lt;&gt;"",INDEX('×入力'!$A$1:$L$1300,1154,2+AM$2)&lt;&gt;"",INDEX('×入力'!$A$1:$L$1300,1155+AM$3,1)&lt;&gt;""),1,0),0)</f>
        <v/>
      </c>
      <c r="AN51">
        <f>IF(AN$4=1,IF(OR(INDEX('×入力'!$A$1:$L$1300,1155+AN$3,2+AN$2)&lt;&gt;"",INDEX('×入力'!$A$1:$L$1300,1154,2+AN$2)&lt;&gt;"",INDEX('×入力'!$A$1:$L$1300,1155+AN$3,1)&lt;&gt;""),1,0),0)</f>
        <v/>
      </c>
      <c r="AO51">
        <f>IF(AO$4=1,IF(OR(INDEX('×入力'!$A$1:$L$1300,1155+AO$3,2+AO$2)&lt;&gt;"",INDEX('×入力'!$A$1:$L$1300,1154,2+AO$2)&lt;&gt;"",INDEX('×入力'!$A$1:$L$1300,1155+AO$3,1)&lt;&gt;""),1,0),0)</f>
        <v/>
      </c>
      <c r="AP51">
        <f>IF(AP$4=1,IF(OR(INDEX('×入力'!$A$1:$L$1300,1155+AP$3,2+AP$2)&lt;&gt;"",INDEX('×入力'!$A$1:$L$1300,1154,2+AP$2)&lt;&gt;"",INDEX('×入力'!$A$1:$L$1300,1155+AP$3,1)&lt;&gt;""),1,0),0)</f>
        <v/>
      </c>
      <c r="AQ51">
        <f>IF(AQ$4=1,IF(OR(INDEX('×入力'!$A$1:$L$1300,1155+AQ$3,2+AQ$2)&lt;&gt;"",INDEX('×入力'!$A$1:$L$1300,1154,2+AQ$2)&lt;&gt;"",INDEX('×入力'!$A$1:$L$1300,1155+AQ$3,1)&lt;&gt;""),1,0),0)</f>
        <v/>
      </c>
      <c r="AR51">
        <f>IF(AR$4=1,IF(OR(INDEX('×入力'!$A$1:$L$1300,1155+AR$3,2+AR$2)&lt;&gt;"",INDEX('×入力'!$A$1:$L$1300,1154,2+AR$2)&lt;&gt;"",INDEX('×入力'!$A$1:$L$1300,1155+AR$3,1)&lt;&gt;""),1,0),0)</f>
        <v/>
      </c>
      <c r="AS51">
        <f>IF(AS$4=1,IF(OR(INDEX('×入力'!$A$1:$L$1300,1155+AS$3,2+AS$2)&lt;&gt;"",INDEX('×入力'!$A$1:$L$1300,1154,2+AS$2)&lt;&gt;"",INDEX('×入力'!$A$1:$L$1300,1155+AS$3,1)&lt;&gt;""),1,0),0)</f>
        <v/>
      </c>
      <c r="AT51">
        <f>IF(AT$4=1,IF(OR(INDEX('×入力'!$A$1:$L$1300,1155+AT$3,2+AT$2)&lt;&gt;"",INDEX('×入力'!$A$1:$L$1300,1154,2+AT$2)&lt;&gt;"",INDEX('×入力'!$A$1:$L$1300,1155+AT$3,1)&lt;&gt;""),1,0),0)</f>
        <v/>
      </c>
      <c r="AU51">
        <f>IF(AU$4=1,IF(OR(INDEX('×入力'!$A$1:$L$1300,1155+AU$3,2+AU$2)&lt;&gt;"",INDEX('×入力'!$A$1:$L$1300,1154,2+AU$2)&lt;&gt;"",INDEX('×入力'!$A$1:$L$1300,1155+AU$3,1)&lt;&gt;""),1,0),0)</f>
        <v/>
      </c>
      <c r="AV51">
        <f>IF(AV$4=1,IF(OR(INDEX('×入力'!$A$1:$L$1300,1155+AV$3,2+AV$2)&lt;&gt;"",INDEX('×入力'!$A$1:$L$1300,1154,2+AV$2)&lt;&gt;"",INDEX('×入力'!$A$1:$L$1300,1155+AV$3,1)&lt;&gt;""),1,0),0)</f>
        <v/>
      </c>
      <c r="AW51">
        <f>IF(AW$4=1,IF(OR(INDEX('×入力'!$A$1:$L$1300,1155+AW$3,2+AW$2)&lt;&gt;"",INDEX('×入力'!$A$1:$L$1300,1154,2+AW$2)&lt;&gt;"",INDEX('×入力'!$A$1:$L$1300,1155+AW$3,1)&lt;&gt;""),1,0),0)</f>
        <v/>
      </c>
      <c r="AX51">
        <f>IF(AX$4=1,IF(OR(INDEX('×入力'!$A$1:$L$1300,1155+AX$3,2+AX$2)&lt;&gt;"",INDEX('×入力'!$A$1:$L$1300,1154,2+AX$2)&lt;&gt;"",INDEX('×入力'!$A$1:$L$1300,1155+AX$3,1)&lt;&gt;""),1,0),0)</f>
        <v/>
      </c>
      <c r="AY51">
        <f>IF(AY$4=1,IF(OR(INDEX('×入力'!$A$1:$L$1300,1155+AY$3,2+AY$2)&lt;&gt;"",INDEX('×入力'!$A$1:$L$1300,1154,2+AY$2)&lt;&gt;"",INDEX('×入力'!$A$1:$L$1300,1155+AY$3,1)&lt;&gt;""),1,0),0)</f>
        <v/>
      </c>
      <c r="AZ51">
        <f>IF(AZ$4=1,IF(OR(INDEX('×入力'!$A$1:$L$1300,1155+AZ$3,2+AZ$2)&lt;&gt;"",INDEX('×入力'!$A$1:$L$1300,1154,2+AZ$2)&lt;&gt;"",INDEX('×入力'!$A$1:$L$1300,1155+AZ$3,1)&lt;&gt;""),1,0),0)</f>
        <v/>
      </c>
      <c r="BA51">
        <f>IF(BA$4=1,IF(OR(INDEX('×入力'!$A$1:$L$1300,1155+BA$3,2+BA$2)&lt;&gt;"",INDEX('×入力'!$A$1:$L$1300,1154,2+BA$2)&lt;&gt;"",INDEX('×入力'!$A$1:$L$1300,1155+BA$3,1)&lt;&gt;""),1,0),0)</f>
        <v/>
      </c>
      <c r="BB51">
        <f>IF(BB$4=1,IF(OR(INDEX('×入力'!$A$1:$L$1300,1155+BB$3,2+BB$2)&lt;&gt;"",INDEX('×入力'!$A$1:$L$1300,1154,2+BB$2)&lt;&gt;"",INDEX('×入力'!$A$1:$L$1300,1155+BB$3,1)&lt;&gt;""),1,0),0)</f>
        <v/>
      </c>
      <c r="BC51">
        <f>IF(BC$4=1,IF(OR(INDEX('×入力'!$A$1:$L$1300,1155+BC$3,2+BC$2)&lt;&gt;"",INDEX('×入力'!$A$1:$L$1300,1154,2+BC$2)&lt;&gt;"",INDEX('×入力'!$A$1:$L$1300,1155+BC$3,1)&lt;&gt;""),1,0),0)</f>
        <v/>
      </c>
      <c r="BD51">
        <f>IF(BD$4=1,IF(OR(INDEX('×入力'!$A$1:$L$1300,1155+BD$3,2+BD$2)&lt;&gt;"",INDEX('×入力'!$A$1:$L$1300,1154,2+BD$2)&lt;&gt;"",INDEX('×入力'!$A$1:$L$1300,1155+BD$3,1)&lt;&gt;""),1,0),0)</f>
        <v/>
      </c>
      <c r="BE51">
        <f>IF(BE$4=1,IF(OR(INDEX('×入力'!$A$1:$L$1300,1155+BE$3,2+BE$2)&lt;&gt;"",INDEX('×入力'!$A$1:$L$1300,1154,2+BE$2)&lt;&gt;"",INDEX('×入力'!$A$1:$L$1300,1155+BE$3,1)&lt;&gt;""),1,0),0)</f>
        <v/>
      </c>
      <c r="BF51">
        <f>IF(BF$4=1,IF(OR(INDEX('×入力'!$A$1:$L$1300,1155+BF$3,2+BF$2)&lt;&gt;"",INDEX('×入力'!$A$1:$L$1300,1154,2+BF$2)&lt;&gt;"",INDEX('×入力'!$A$1:$L$1300,1155+BF$3,1)&lt;&gt;""),1,0),0)</f>
        <v/>
      </c>
      <c r="BG51">
        <f>IF(BG$4=1,IF(OR(INDEX('×入力'!$A$1:$L$1300,1155+BG$3,2+BG$2)&lt;&gt;"",INDEX('×入力'!$A$1:$L$1300,1154,2+BG$2)&lt;&gt;"",INDEX('×入力'!$A$1:$L$1300,1155+BG$3,1)&lt;&gt;""),1,0),0)</f>
        <v/>
      </c>
      <c r="BH51">
        <f>IF(BH$4=1,IF(OR(INDEX('×入力'!$A$1:$L$1300,1155+BH$3,2+BH$2)&lt;&gt;"",INDEX('×入力'!$A$1:$L$1300,1154,2+BH$2)&lt;&gt;"",INDEX('×入力'!$A$1:$L$1300,1155+BH$3,1)&lt;&gt;""),1,0),0)</f>
        <v/>
      </c>
      <c r="BI51">
        <f>IF(BI$4=1,IF(OR(INDEX('×入力'!$A$1:$L$1300,1155+BI$3,2+BI$2)&lt;&gt;"",INDEX('×入力'!$A$1:$L$1300,1154,2+BI$2)&lt;&gt;"",INDEX('×入力'!$A$1:$L$1300,1155+BI$3,1)&lt;&gt;""),1,0),0)</f>
        <v/>
      </c>
      <c r="BJ51">
        <f>IF(BJ$4=1,IF(OR(INDEX('×入力'!$A$1:$L$1300,1155+BJ$3,2+BJ$2)&lt;&gt;"",INDEX('×入力'!$A$1:$L$1300,1154,2+BJ$2)&lt;&gt;"",INDEX('×入力'!$A$1:$L$1300,1155+BJ$3,1)&lt;&gt;""),1,0),0)</f>
        <v/>
      </c>
      <c r="BK51">
        <f>IF(BK$4=1,IF(OR(INDEX('×入力'!$A$1:$L$1300,1155+BK$3,2+BK$2)&lt;&gt;"",INDEX('×入力'!$A$1:$L$1300,1154,2+BK$2)&lt;&gt;"",INDEX('×入力'!$A$1:$L$1300,1155+BK$3,1)&lt;&gt;""),1,0),0)</f>
        <v/>
      </c>
      <c r="BL51">
        <f>IF(BL$4=1,IF(OR(INDEX('×入力'!$A$1:$L$1300,1155+BL$3,2+BL$2)&lt;&gt;"",INDEX('×入力'!$A$1:$L$1300,1154,2+BL$2)&lt;&gt;"",INDEX('×入力'!$A$1:$L$1300,1155+BL$3,1)&lt;&gt;""),1,0),0)</f>
        <v/>
      </c>
      <c r="BM51">
        <f>IF(BM$4=1,IF(OR(INDEX('×入力'!$A$1:$L$1300,1155+BM$3,2+BM$2)&lt;&gt;"",INDEX('×入力'!$A$1:$L$1300,1154,2+BM$2)&lt;&gt;"",INDEX('×入力'!$A$1:$L$1300,1155+BM$3,1)&lt;&gt;""),1,0),0)</f>
        <v/>
      </c>
      <c r="BN51">
        <f>IF(BN$4=1,IF(OR(INDEX('×入力'!$A$1:$L$1300,1155+BN$3,2+BN$2)&lt;&gt;"",INDEX('×入力'!$A$1:$L$1300,1154,2+BN$2)&lt;&gt;"",INDEX('×入力'!$A$1:$L$1300,1155+BN$3,1)&lt;&gt;""),1,0),0)</f>
        <v/>
      </c>
      <c r="BO51">
        <f>IF(BO$4=1,IF(OR(INDEX('×入力'!$A$1:$L$1300,1155+BO$3,2+BO$2)&lt;&gt;"",INDEX('×入力'!$A$1:$L$1300,1154,2+BO$2)&lt;&gt;"",INDEX('×入力'!$A$1:$L$1300,1155+BO$3,1)&lt;&gt;""),1,0),0)</f>
        <v/>
      </c>
      <c r="BP51">
        <f>IF(BP$4=1,IF(OR(INDEX('×入力'!$A$1:$L$1300,1155+BP$3,2+BP$2)&lt;&gt;"",INDEX('×入力'!$A$1:$L$1300,1154,2+BP$2)&lt;&gt;"",INDEX('×入力'!$A$1:$L$1300,1155+BP$3,1)&lt;&gt;""),1,0),0)</f>
        <v/>
      </c>
      <c r="BQ51">
        <f>IF(BQ$4=1,IF(OR(INDEX('×入力'!$A$1:$L$1300,1155+BQ$3,2+BQ$2)&lt;&gt;"",INDEX('×入力'!$A$1:$L$1300,1154,2+BQ$2)&lt;&gt;"",INDEX('×入力'!$A$1:$L$1300,1155+BQ$3,1)&lt;&gt;""),1,0),0)</f>
        <v/>
      </c>
      <c r="BR51">
        <f>IF(BR$4=1,IF(OR(INDEX('×入力'!$A$1:$L$1300,1155+BR$3,2+BR$2)&lt;&gt;"",INDEX('×入力'!$A$1:$L$1300,1154,2+BR$2)&lt;&gt;"",INDEX('×入力'!$A$1:$L$1300,1155+BR$3,1)&lt;&gt;""),1,0),0)</f>
        <v/>
      </c>
      <c r="BS51">
        <f>IF(BS$4=1,IF(OR(INDEX('×入力'!$A$1:$L$1300,1155+BS$3,2+BS$2)&lt;&gt;"",INDEX('×入力'!$A$1:$L$1300,1154,2+BS$2)&lt;&gt;"",INDEX('×入力'!$A$1:$L$1300,1155+BS$3,1)&lt;&gt;""),1,0),0)</f>
        <v/>
      </c>
      <c r="BT51">
        <f>IF(BT$4=1,IF(OR(INDEX('×入力'!$A$1:$L$1300,1155+BT$3,2+BT$2)&lt;&gt;"",INDEX('×入力'!$A$1:$L$1300,1154,2+BT$2)&lt;&gt;"",INDEX('×入力'!$A$1:$L$1300,1155+BT$3,1)&lt;&gt;""),1,0),0)</f>
        <v/>
      </c>
      <c r="BU51">
        <f>IF(BU$4=1,IF(OR(INDEX('×入力'!$A$1:$L$1300,1155+BU$3,2+BU$2)&lt;&gt;"",INDEX('×入力'!$A$1:$L$1300,1154,2+BU$2)&lt;&gt;"",INDEX('×入力'!$A$1:$L$1300,1155+BU$3,1)&lt;&gt;""),1,0),0)</f>
        <v/>
      </c>
      <c r="BV51">
        <f>IF(BV$4=1,IF(OR(INDEX('×入力'!$A$1:$L$1300,1155+BV$3,2+BV$2)&lt;&gt;"",INDEX('×入力'!$A$1:$L$1300,1154,2+BV$2)&lt;&gt;"",INDEX('×入力'!$A$1:$L$1300,1155+BV$3,1)&lt;&gt;""),1,0),0)</f>
        <v/>
      </c>
      <c r="BW51">
        <f>IF(BW$4=1,IF(OR(INDEX('×入力'!$A$1:$L$1300,1155+BW$3,2+BW$2)&lt;&gt;"",INDEX('×入力'!$A$1:$L$1300,1154,2+BW$2)&lt;&gt;"",INDEX('×入力'!$A$1:$L$1300,1155+BW$3,1)&lt;&gt;""),1,0),0)</f>
        <v/>
      </c>
      <c r="BX51">
        <f>IF(BX$4=1,IF(OR(INDEX('×入力'!$A$1:$L$1300,1155+BX$3,2+BX$2)&lt;&gt;"",INDEX('×入力'!$A$1:$L$1300,1154,2+BX$2)&lt;&gt;"",INDEX('×入力'!$A$1:$L$1300,1155+BX$3,1)&lt;&gt;""),1,0),0)</f>
        <v/>
      </c>
      <c r="BY51">
        <f>IF(BY$4=1,IF(OR(INDEX('×入力'!$A$1:$L$1300,1155+BY$3,2+BY$2)&lt;&gt;"",INDEX('×入力'!$A$1:$L$1300,1154,2+BY$2)&lt;&gt;"",INDEX('×入力'!$A$1:$L$1300,1155+BY$3,1)&lt;&gt;""),1,0),0)</f>
        <v/>
      </c>
      <c r="BZ51">
        <f>IF(BZ$4=1,IF(OR(INDEX('×入力'!$A$1:$L$1300,1155+BZ$3,2+BZ$2)&lt;&gt;"",INDEX('×入力'!$A$1:$L$1300,1154,2+BZ$2)&lt;&gt;"",INDEX('×入力'!$A$1:$L$1300,1155+BZ$3,1)&lt;&gt;""),1,0),0)</f>
        <v/>
      </c>
      <c r="CA51">
        <f>IF(CA$4=1,IF(OR(INDEX('×入力'!$A$1:$L$1300,1155+CA$3,2+CA$2)&lt;&gt;"",INDEX('×入力'!$A$1:$L$1300,1154,2+CA$2)&lt;&gt;"",INDEX('×入力'!$A$1:$L$1300,1155+CA$3,1)&lt;&gt;""),1,0),0)</f>
        <v/>
      </c>
      <c r="CB51">
        <f>IF(CB$4=1,IF(OR(INDEX('×入力'!$A$1:$L$1300,1155+CB$3,2+CB$2)&lt;&gt;"",INDEX('×入力'!$A$1:$L$1300,1154,2+CB$2)&lt;&gt;"",INDEX('×入力'!$A$1:$L$1300,1155+CB$3,1)&lt;&gt;""),1,0),0)</f>
        <v/>
      </c>
      <c r="CC51">
        <f>IF(CC$4=1,IF(OR(INDEX('×入力'!$A$1:$L$1300,1155+CC$3,2+CC$2)&lt;&gt;"",INDEX('×入力'!$A$1:$L$1300,1154,2+CC$2)&lt;&gt;"",INDEX('×入力'!$A$1:$L$1300,1155+CC$3,1)&lt;&gt;""),1,0),0)</f>
        <v/>
      </c>
      <c r="CD51">
        <f>IF(CD$4=1,IF(OR(INDEX('×入力'!$A$1:$L$1300,1155+CD$3,2+CD$2)&lt;&gt;"",INDEX('×入力'!$A$1:$L$1300,1154,2+CD$2)&lt;&gt;"",INDEX('×入力'!$A$1:$L$1300,1155+CD$3,1)&lt;&gt;""),1,0),0)</f>
        <v/>
      </c>
      <c r="CE51">
        <f>IF(CE$4=1,IF(OR(INDEX('×入力'!$A$1:$L$1300,1155+CE$3,2+CE$2)&lt;&gt;"",INDEX('×入力'!$A$1:$L$1300,1154,2+CE$2)&lt;&gt;"",INDEX('×入力'!$A$1:$L$1300,1155+CE$3,1)&lt;&gt;""),1,0),0)</f>
        <v/>
      </c>
      <c r="CF51">
        <f>IF(CF$4=1,IF(OR(INDEX('×入力'!$A$1:$L$1300,1155+CF$3,2+CF$2)&lt;&gt;"",INDEX('×入力'!$A$1:$L$1300,1154,2+CF$2)&lt;&gt;"",INDEX('×入力'!$A$1:$L$1300,1155+CF$3,1)&lt;&gt;""),1,0),0)</f>
        <v/>
      </c>
      <c r="CG51">
        <f>IF(CG$4=1,IF(OR(INDEX('×入力'!$A$1:$L$1300,1155+CG$3,2+CG$2)&lt;&gt;"",INDEX('×入力'!$A$1:$L$1300,1154,2+CG$2)&lt;&gt;"",INDEX('×入力'!$A$1:$L$1300,1155+CG$3,1)&lt;&gt;""),1,0),0)</f>
        <v/>
      </c>
      <c r="CH51">
        <f>IF(CH$4=1,IF(OR(INDEX('×入力'!$A$1:$L$1300,1155+CH$3,2+CH$2)&lt;&gt;"",INDEX('×入力'!$A$1:$L$1300,1154,2+CH$2)&lt;&gt;"",INDEX('×入力'!$A$1:$L$1300,1155+CH$3,1)&lt;&gt;""),1,0),0)</f>
        <v/>
      </c>
      <c r="CI51">
        <f>IF(CI$4=1,IF(OR(INDEX('×入力'!$A$1:$L$1300,1155+CI$3,2+CI$2)&lt;&gt;"",INDEX('×入力'!$A$1:$L$1300,1154,2+CI$2)&lt;&gt;"",INDEX('×入力'!$A$1:$L$1300,1155+CI$3,1)&lt;&gt;""),1,0),0)</f>
        <v/>
      </c>
      <c r="CJ51">
        <f>IF(CJ$4=1,IF(OR(INDEX('×入力'!$A$1:$L$1300,1155+CJ$3,2+CJ$2)&lt;&gt;"",INDEX('×入力'!$A$1:$L$1300,1154,2+CJ$2)&lt;&gt;"",INDEX('×入力'!$A$1:$L$1300,1155+CJ$3,1)&lt;&gt;""),1,0),0)</f>
        <v/>
      </c>
      <c r="CK51">
        <f>IF(CK$4=1,IF(OR(INDEX('×入力'!$A$1:$L$1300,1155+CK$3,2+CK$2)&lt;&gt;"",INDEX('×入力'!$A$1:$L$1300,1154,2+CK$2)&lt;&gt;"",INDEX('×入力'!$A$1:$L$1300,1155+CK$3,1)&lt;&gt;""),1,0),0)</f>
        <v/>
      </c>
      <c r="CL51">
        <f>IF(CL$4=1,IF(OR(INDEX('×入力'!$A$1:$L$1300,1155+CL$3,2+CL$2)&lt;&gt;"",INDEX('×入力'!$A$1:$L$1300,1154,2+CL$2)&lt;&gt;"",INDEX('×入力'!$A$1:$L$1300,1155+CL$3,1)&lt;&gt;""),1,0),0)</f>
        <v/>
      </c>
      <c r="CM51">
        <f>IF(CM$4=1,IF(OR(INDEX('×入力'!$A$1:$L$1300,1155+CM$3,2+CM$2)&lt;&gt;"",INDEX('×入力'!$A$1:$L$1300,1154,2+CM$2)&lt;&gt;"",INDEX('×入力'!$A$1:$L$1300,1155+CM$3,1)&lt;&gt;""),1,0),0)</f>
        <v/>
      </c>
      <c r="CN51">
        <f>IF(CN$4=1,IF(OR(INDEX('×入力'!$A$1:$L$1300,1155+CN$3,2+CN$2)&lt;&gt;"",INDEX('×入力'!$A$1:$L$1300,1154,2+CN$2)&lt;&gt;"",INDEX('×入力'!$A$1:$L$1300,1155+CN$3,1)&lt;&gt;""),1,0),0)</f>
        <v/>
      </c>
      <c r="CO51">
        <f>IF(CO$4=1,IF(OR(INDEX('×入力'!$A$1:$L$1300,1155+CO$3,2+CO$2)&lt;&gt;"",INDEX('×入力'!$A$1:$L$1300,1154,2+CO$2)&lt;&gt;"",INDEX('×入力'!$A$1:$L$1300,1155+CO$3,1)&lt;&gt;""),1,0),0)</f>
        <v/>
      </c>
      <c r="CP51">
        <f>IF(CP$4=1,IF(OR(INDEX('×入力'!$A$1:$L$1300,1155+CP$3,2+CP$2)&lt;&gt;"",INDEX('×入力'!$A$1:$L$1300,1154,2+CP$2)&lt;&gt;"",INDEX('×入力'!$A$1:$L$1300,1155+CP$3,1)&lt;&gt;""),1,0),0)</f>
        <v/>
      </c>
      <c r="CQ51">
        <f>IF(CQ$4=1,IF(OR(INDEX('×入力'!$A$1:$L$1300,1155+CQ$3,2+CQ$2)&lt;&gt;"",INDEX('×入力'!$A$1:$L$1300,1154,2+CQ$2)&lt;&gt;"",INDEX('×入力'!$A$1:$L$1300,1155+CQ$3,1)&lt;&gt;""),1,0),0)</f>
        <v/>
      </c>
      <c r="CR51">
        <f>IF(CR$4=1,IF(OR(INDEX('×入力'!$A$1:$L$1300,1155+CR$3,2+CR$2)&lt;&gt;"",INDEX('×入力'!$A$1:$L$1300,1154,2+CR$2)&lt;&gt;"",INDEX('×入力'!$A$1:$L$1300,1155+CR$3,1)&lt;&gt;""),1,0),0)</f>
        <v/>
      </c>
      <c r="CS51">
        <f>IF(CS$4=1,IF(OR(INDEX('×入力'!$A$1:$L$1300,1155+CS$3,2+CS$2)&lt;&gt;"",INDEX('×入力'!$A$1:$L$1300,1154,2+CS$2)&lt;&gt;"",INDEX('×入力'!$A$1:$L$1300,1155+CS$3,1)&lt;&gt;""),1,0),0)</f>
        <v/>
      </c>
      <c r="CT51">
        <f>IF(CT$4=1,IF(OR(INDEX('×入力'!$A$1:$L$1300,1155+CT$3,2+CT$2)&lt;&gt;"",INDEX('×入力'!$A$1:$L$1300,1154,2+CT$2)&lt;&gt;"",INDEX('×入力'!$A$1:$L$1300,1155+CT$3,1)&lt;&gt;""),1,0),0)</f>
        <v/>
      </c>
      <c r="CU51">
        <f>IF(CU$4=1,IF(OR(INDEX('×入力'!$A$1:$L$1300,1155+CU$3,2+CU$2)&lt;&gt;"",INDEX('×入力'!$A$1:$L$1300,1154,2+CU$2)&lt;&gt;"",INDEX('×入力'!$A$1:$L$1300,1155+CU$3,1)&lt;&gt;""),1,0),0)</f>
        <v/>
      </c>
      <c r="CV51">
        <f>IF(CV$4=1,IF(OR(INDEX('×入力'!$A$1:$L$1300,1155+CV$3,2+CV$2)&lt;&gt;"",INDEX('×入力'!$A$1:$L$1300,1154,2+CV$2)&lt;&gt;"",INDEX('×入力'!$A$1:$L$1300,1155+CV$3,1)&lt;&gt;""),1,0),0)</f>
        <v/>
      </c>
      <c r="CW51">
        <f>IF(CW$4=1,IF(OR(INDEX('×入力'!$A$1:$L$1300,1155+CW$3,2+CW$2)&lt;&gt;"",INDEX('×入力'!$A$1:$L$1300,1154,2+CW$2)&lt;&gt;"",INDEX('×入力'!$A$1:$L$1300,1155+CW$3,1)&lt;&gt;""),1,0),0)</f>
        <v/>
      </c>
      <c r="CX51">
        <f>IF(CX$4=1,IF(OR(INDEX('×入力'!$A$1:$L$1300,1155+CX$3,2+CX$2)&lt;&gt;"",INDEX('×入力'!$A$1:$L$1300,1154,2+CX$2)&lt;&gt;"",INDEX('×入力'!$A$1:$L$1300,1155+CX$3,1)&lt;&gt;""),1,0),0)</f>
        <v/>
      </c>
      <c r="CY51">
        <f>IF(CY$4=1,IF(OR(INDEX('×入力'!$A$1:$L$1300,1155+CY$3,2+CY$2)&lt;&gt;"",INDEX('×入力'!$A$1:$L$1300,1154,2+CY$2)&lt;&gt;"",INDEX('×入力'!$A$1:$L$1300,1155+CY$3,1)&lt;&gt;""),1,0),0)</f>
        <v/>
      </c>
      <c r="CZ51">
        <f>IF(CZ$4=1,IF(OR(INDEX('×入力'!$A$1:$L$1300,1155+CZ$3,2+CZ$2)&lt;&gt;"",INDEX('×入力'!$A$1:$L$1300,1154,2+CZ$2)&lt;&gt;"",INDEX('×入力'!$A$1:$L$1300,1155+CZ$3,1)&lt;&gt;""),1,0),0)</f>
        <v/>
      </c>
      <c r="DA51">
        <f>IF(DA$4=1,IF(OR(INDEX('×入力'!$A$1:$L$1300,1155+DA$3,2+DA$2)&lt;&gt;"",INDEX('×入力'!$A$1:$L$1300,1154,2+DA$2)&lt;&gt;"",INDEX('×入力'!$A$1:$L$1300,1155+DA$3,1)&lt;&gt;""),1,0),0)</f>
        <v/>
      </c>
      <c r="DB51">
        <f>IF(DB$4=1,IF(OR(INDEX('×入力'!$A$1:$L$1300,1155+DB$3,2+DB$2)&lt;&gt;"",INDEX('×入力'!$A$1:$L$1300,1154,2+DB$2)&lt;&gt;"",INDEX('×入力'!$A$1:$L$1300,1155+DB$3,1)&lt;&gt;""),1,0),0)</f>
        <v/>
      </c>
      <c r="DC51">
        <f>IF(DC$4=1,IF(OR(INDEX('×入力'!$A$1:$L$1300,1155+DC$3,2+DC$2)&lt;&gt;"",INDEX('×入力'!$A$1:$L$1300,1154,2+DC$2)&lt;&gt;"",INDEX('×入力'!$A$1:$L$1300,1155+DC$3,1)&lt;&gt;""),1,0),0)</f>
        <v/>
      </c>
      <c r="DD51">
        <f>IF(DD$4=1,IF(OR(INDEX('×入力'!$A$1:$L$1300,1155+DD$3,2+DD$2)&lt;&gt;"",INDEX('×入力'!$A$1:$L$1300,1154,2+DD$2)&lt;&gt;"",INDEX('×入力'!$A$1:$L$1300,1155+DD$3,1)&lt;&gt;""),1,0),0)</f>
        <v/>
      </c>
      <c r="DE51">
        <f>IF(DE$4=1,IF(OR(INDEX('×入力'!$A$1:$L$1300,1155+DE$3,2+DE$2)&lt;&gt;"",INDEX('×入力'!$A$1:$L$1300,1154,2+DE$2)&lt;&gt;"",INDEX('×入力'!$A$1:$L$1300,1155+DE$3,1)&lt;&gt;""),1,0),0)</f>
        <v/>
      </c>
      <c r="DF51">
        <f>IF(DF$4=1,IF(OR(INDEX('×入力'!$A$1:$L$1300,1155+DF$3,2+DF$2)&lt;&gt;"",INDEX('×入力'!$A$1:$L$1300,1154,2+DF$2)&lt;&gt;"",INDEX('×入力'!$A$1:$L$1300,1155+DF$3,1)&lt;&gt;""),1,0),0)</f>
        <v/>
      </c>
      <c r="DG51">
        <f>IF(DG$4=1,IF(OR(INDEX('×入力'!$A$1:$L$1300,1155+DG$3,2+DG$2)&lt;&gt;"",INDEX('×入力'!$A$1:$L$1300,1154,2+DG$2)&lt;&gt;"",INDEX('×入力'!$A$1:$L$1300,1155+DG$3,1)&lt;&gt;""),1,0),0)</f>
        <v/>
      </c>
      <c r="DH51">
        <f>IF(DH$4=1,IF(OR(INDEX('×入力'!$A$1:$L$1300,1155+DH$3,2+DH$2)&lt;&gt;"",INDEX('×入力'!$A$1:$L$1300,1154,2+DH$2)&lt;&gt;"",INDEX('×入力'!$A$1:$L$1300,1155+DH$3,1)&lt;&gt;""),1,0),0)</f>
        <v/>
      </c>
      <c r="DI51">
        <f>IF(DI$4=1,IF(OR(INDEX('×入力'!$A$1:$L$1300,1155+DI$3,2+DI$2)&lt;&gt;"",INDEX('×入力'!$A$1:$L$1300,1154,2+DI$2)&lt;&gt;"",INDEX('×入力'!$A$1:$L$1300,1155+DI$3,1)&lt;&gt;""),1,0),0)</f>
        <v/>
      </c>
      <c r="DJ51">
        <f>IF(DJ$4=1,IF(OR(INDEX('×入力'!$A$1:$L$1300,1155+DJ$3,2+DJ$2)&lt;&gt;"",INDEX('×入力'!$A$1:$L$1300,1154,2+DJ$2)&lt;&gt;"",INDEX('×入力'!$A$1:$L$1300,1155+DJ$3,1)&lt;&gt;""),1,0),0)</f>
        <v/>
      </c>
      <c r="DK51">
        <f>IF(DK$4=1,IF(OR(INDEX('×入力'!$A$1:$L$1300,1155+DK$3,2+DK$2)&lt;&gt;"",INDEX('×入力'!$A$1:$L$1300,1154,2+DK$2)&lt;&gt;"",INDEX('×入力'!$A$1:$L$1300,1155+DK$3,1)&lt;&gt;""),1,0),0)</f>
        <v/>
      </c>
      <c r="DL51">
        <f>IF(DL$4=1,IF(OR(INDEX('×入力'!$A$1:$L$1300,1155+DL$3,2+DL$2)&lt;&gt;"",INDEX('×入力'!$A$1:$L$1300,1154,2+DL$2)&lt;&gt;"",INDEX('×入力'!$A$1:$L$1300,1155+DL$3,1)&lt;&gt;""),1,0),0)</f>
        <v/>
      </c>
      <c r="DM51">
        <f>IF(DM$4=1,IF(OR(INDEX('×入力'!$A$1:$L$1300,1155+DM$3,2+DM$2)&lt;&gt;"",INDEX('×入力'!$A$1:$L$1300,1154,2+DM$2)&lt;&gt;"",INDEX('×入力'!$A$1:$L$1300,1155+DM$3,1)&lt;&gt;""),1,0),0)</f>
        <v/>
      </c>
      <c r="DN51">
        <f>IF(DN$4=1,IF(OR(INDEX('×入力'!$A$1:$L$1300,1155+DN$3,2+DN$2)&lt;&gt;"",INDEX('×入力'!$A$1:$L$1300,1154,2+DN$2)&lt;&gt;"",INDEX('×入力'!$A$1:$L$1300,1155+DN$3,1)&lt;&gt;""),1,0),0)</f>
        <v/>
      </c>
      <c r="DO51">
        <f>IF(DO$4=1,IF(OR(INDEX('×入力'!$A$1:$L$1300,1155+DO$3,2+DO$2)&lt;&gt;"",INDEX('×入力'!$A$1:$L$1300,1154,2+DO$2)&lt;&gt;"",INDEX('×入力'!$A$1:$L$1300,1155+DO$3,1)&lt;&gt;""),1,0),0)</f>
        <v/>
      </c>
      <c r="DP51">
        <f>IF(DP$4=1,IF(OR(INDEX('×入力'!$A$1:$L$1300,1155+DP$3,2+DP$2)&lt;&gt;"",INDEX('×入力'!$A$1:$L$1300,1154,2+DP$2)&lt;&gt;"",INDEX('×入力'!$A$1:$L$1300,1155+DP$3,1)&lt;&gt;""),1,0),0)</f>
        <v/>
      </c>
      <c r="DQ51">
        <f>IF(DQ$4=1,IF(OR(INDEX('×入力'!$A$1:$L$1300,1155+DQ$3,2+DQ$2)&lt;&gt;"",INDEX('×入力'!$A$1:$L$1300,1154,2+DQ$2)&lt;&gt;"",INDEX('×入力'!$A$1:$L$1300,1155+DQ$3,1)&lt;&gt;""),1,0),0)</f>
        <v/>
      </c>
      <c r="DR51">
        <f>IF(DR$4=1,IF(OR(INDEX('×入力'!$A$1:$L$1300,1155+DR$3,2+DR$2)&lt;&gt;"",INDEX('×入力'!$A$1:$L$1300,1154,2+DR$2)&lt;&gt;"",INDEX('×入力'!$A$1:$L$1300,1155+DR$3,1)&lt;&gt;""),1,0),0)</f>
        <v/>
      </c>
      <c r="DS51">
        <f>IF(DS$4=1,IF(OR(INDEX('×入力'!$A$1:$L$1300,1155+DS$3,2+DS$2)&lt;&gt;"",INDEX('×入力'!$A$1:$L$1300,1154,2+DS$2)&lt;&gt;"",INDEX('×入力'!$A$1:$L$1300,1155+DS$3,1)&lt;&gt;""),1,0),0)</f>
        <v/>
      </c>
      <c r="DT51">
        <f>IF(DT$4=1,IF(OR(INDEX('×入力'!$A$1:$L$1300,1155+DT$3,2+DT$2)&lt;&gt;"",INDEX('×入力'!$A$1:$L$1300,1154,2+DT$2)&lt;&gt;"",INDEX('×入力'!$A$1:$L$1300,1155+DT$3,1)&lt;&gt;""),1,0),0)</f>
        <v/>
      </c>
      <c r="DU51">
        <f>IF(DU$4=1,IF(OR(INDEX('×入力'!$A$1:$L$1300,1155+DU$3,2+DU$2)&lt;&gt;"",INDEX('×入力'!$A$1:$L$1300,1154,2+DU$2)&lt;&gt;"",INDEX('×入力'!$A$1:$L$1300,1155+DU$3,1)&lt;&gt;""),1,0),0)</f>
        <v/>
      </c>
      <c r="DV51">
        <f>IF(DV$4=1,IF(OR(INDEX('×入力'!$A$1:$L$1300,1155+DV$3,2+DV$2)&lt;&gt;"",INDEX('×入力'!$A$1:$L$1300,1154,2+DV$2)&lt;&gt;"",INDEX('×入力'!$A$1:$L$1300,1155+DV$3,1)&lt;&gt;""),1,0),0)</f>
        <v/>
      </c>
      <c r="DW51">
        <f>IF(DW$4=1,IF(OR(INDEX('×入力'!$A$1:$L$1300,1155+DW$3,2+DW$2)&lt;&gt;"",INDEX('×入力'!$A$1:$L$1300,1154,2+DW$2)&lt;&gt;"",INDEX('×入力'!$A$1:$L$1300,1155+DW$3,1)&lt;&gt;""),1,0),0)</f>
        <v/>
      </c>
      <c r="DX51">
        <f>IF(DX$4=1,IF(OR(INDEX('×入力'!$A$1:$L$1300,1155+DX$3,2+DX$2)&lt;&gt;"",INDEX('×入力'!$A$1:$L$1300,1154,2+DX$2)&lt;&gt;"",INDEX('×入力'!$A$1:$L$1300,1155+DX$3,1)&lt;&gt;""),1,0),0)</f>
        <v/>
      </c>
      <c r="DY51">
        <f>IF(DY$4=1,IF(OR(INDEX('×入力'!$A$1:$L$1300,1155+DY$3,2+DY$2)&lt;&gt;"",INDEX('×入力'!$A$1:$L$1300,1154,2+DY$2)&lt;&gt;"",INDEX('×入力'!$A$1:$L$1300,1155+DY$3,1)&lt;&gt;""),1,0),0)</f>
        <v/>
      </c>
      <c r="DZ51">
        <f>IF(DZ$4=1,IF(OR(INDEX('×入力'!$A$1:$L$1300,1155+DZ$3,2+DZ$2)&lt;&gt;"",INDEX('×入力'!$A$1:$L$1300,1154,2+DZ$2)&lt;&gt;"",INDEX('×入力'!$A$1:$L$1300,1155+DZ$3,1)&lt;&gt;""),1,0),0)</f>
        <v/>
      </c>
      <c r="EA51">
        <f>IF(EA$4=1,IF(OR(INDEX('×入力'!$A$1:$L$1300,1155+EA$3,2+EA$2)&lt;&gt;"",INDEX('×入力'!$A$1:$L$1300,1154,2+EA$2)&lt;&gt;"",INDEX('×入力'!$A$1:$L$1300,1155+EA$3,1)&lt;&gt;""),1,0),0)</f>
        <v/>
      </c>
      <c r="EB51">
        <f>IF(EB$4=1,IF(OR(INDEX('×入力'!$A$1:$L$1300,1155+EB$3,2+EB$2)&lt;&gt;"",INDEX('×入力'!$A$1:$L$1300,1154,2+EB$2)&lt;&gt;"",INDEX('×入力'!$A$1:$L$1300,1155+EB$3,1)&lt;&gt;""),1,0),0)</f>
        <v/>
      </c>
      <c r="EC51">
        <f>IF(EC$4=1,IF(OR(INDEX('×入力'!$A$1:$L$1300,1155+EC$3,2+EC$2)&lt;&gt;"",INDEX('×入力'!$A$1:$L$1300,1154,2+EC$2)&lt;&gt;"",INDEX('×入力'!$A$1:$L$1300,1155+EC$3,1)&lt;&gt;""),1,0),0)</f>
        <v/>
      </c>
      <c r="ED51">
        <f>IF(ED$4=1,IF(OR(INDEX('×入力'!$A$1:$L$1300,1155+ED$3,2+ED$2)&lt;&gt;"",INDEX('×入力'!$A$1:$L$1300,1154,2+ED$2)&lt;&gt;"",INDEX('×入力'!$A$1:$L$1300,1155+ED$3,1)&lt;&gt;""),1,0),0)</f>
        <v/>
      </c>
      <c r="EE51">
        <f>IF(EE$4=1,IF(OR(INDEX('×入力'!$A$1:$L$1300,1155+EE$3,2+EE$2)&lt;&gt;"",INDEX('×入力'!$A$1:$L$1300,1154,2+EE$2)&lt;&gt;"",INDEX('×入力'!$A$1:$L$1300,1155+EE$3,1)&lt;&gt;""),1,0),0)</f>
        <v/>
      </c>
      <c r="EF51">
        <f>IF(EF$4=1,IF(OR(INDEX('×入力'!$A$1:$L$1300,1155+EF$3,2+EF$2)&lt;&gt;"",INDEX('×入力'!$A$1:$L$1300,1154,2+EF$2)&lt;&gt;"",INDEX('×入力'!$A$1:$L$1300,1155+EF$3,1)&lt;&gt;""),1,0),0)</f>
        <v/>
      </c>
      <c r="EG51">
        <f>IF(EG$4=1,IF(OR(INDEX('×入力'!$A$1:$L$1300,1155+EG$3,2+EG$2)&lt;&gt;"",INDEX('×入力'!$A$1:$L$1300,1154,2+EG$2)&lt;&gt;"",INDEX('×入力'!$A$1:$L$1300,1155+EG$3,1)&lt;&gt;""),1,0),0)</f>
        <v/>
      </c>
      <c r="EH51">
        <f>IF(EH$4=1,IF(OR(INDEX('×入力'!$A$1:$L$1300,1155+EH$3,2+EH$2)&lt;&gt;"",INDEX('×入力'!$A$1:$L$1300,1154,2+EH$2)&lt;&gt;"",INDEX('×入力'!$A$1:$L$1300,1155+EH$3,1)&lt;&gt;""),1,0),0)</f>
        <v/>
      </c>
      <c r="EI51">
        <f>IF(EI$4=1,IF(OR(INDEX('×入力'!$A$1:$L$1300,1155+EI$3,2+EI$2)&lt;&gt;"",INDEX('×入力'!$A$1:$L$1300,1154,2+EI$2)&lt;&gt;"",INDEX('×入力'!$A$1:$L$1300,1155+EI$3,1)&lt;&gt;""),1,0),0)</f>
        <v/>
      </c>
      <c r="EJ51">
        <f>IF(EJ$4=1,IF(OR(INDEX('×入力'!$A$1:$L$1300,1155+EJ$3,2+EJ$2)&lt;&gt;"",INDEX('×入力'!$A$1:$L$1300,1154,2+EJ$2)&lt;&gt;"",INDEX('×入力'!$A$1:$L$1300,1155+EJ$3,1)&lt;&gt;""),1,0),0)</f>
        <v/>
      </c>
      <c r="EK51">
        <f>IF(EK$4=1,IF(OR(INDEX('×入力'!$A$1:$L$1300,1155+EK$3,2+EK$2)&lt;&gt;"",INDEX('×入力'!$A$1:$L$1300,1154,2+EK$2)&lt;&gt;"",INDEX('×入力'!$A$1:$L$1300,1155+EK$3,1)&lt;&gt;""),1,0),0)</f>
        <v/>
      </c>
      <c r="EL51">
        <f>IF(EL$4=1,IF(OR(INDEX('×入力'!$A$1:$L$1300,1155+EL$3,2+EL$2)&lt;&gt;"",INDEX('×入力'!$A$1:$L$1300,1154,2+EL$2)&lt;&gt;"",INDEX('×入力'!$A$1:$L$1300,1155+EL$3,1)&lt;&gt;""),1,0),0)</f>
        <v/>
      </c>
      <c r="EM51">
        <f>IF(EM$4=1,IF(OR(INDEX('×入力'!$A$1:$L$1300,1155+EM$3,2+EM$2)&lt;&gt;"",INDEX('×入力'!$A$1:$L$1300,1154,2+EM$2)&lt;&gt;"",INDEX('×入力'!$A$1:$L$1300,1155+EM$3,1)&lt;&gt;""),1,0),0)</f>
        <v/>
      </c>
      <c r="EN51">
        <f>IF(EN$4=1,IF(OR(INDEX('×入力'!$A$1:$L$1300,1155+EN$3,2+EN$2)&lt;&gt;"",INDEX('×入力'!$A$1:$L$1300,1154,2+EN$2)&lt;&gt;"",INDEX('×入力'!$A$1:$L$1300,1155+EN$3,1)&lt;&gt;""),1,0),0)</f>
        <v/>
      </c>
      <c r="EO51">
        <f>IF(EO$4=1,IF(OR(INDEX('×入力'!$A$1:$L$1300,1155+EO$3,2+EO$2)&lt;&gt;"",INDEX('×入力'!$A$1:$L$1300,1154,2+EO$2)&lt;&gt;"",INDEX('×入力'!$A$1:$L$1300,1155+EO$3,1)&lt;&gt;""),1,0),0)</f>
        <v/>
      </c>
      <c r="EP51">
        <f>IF(EP$4=1,IF(OR(INDEX('×入力'!$A$1:$L$1300,1155+EP$3,2+EP$2)&lt;&gt;"",INDEX('×入力'!$A$1:$L$1300,1154,2+EP$2)&lt;&gt;"",INDEX('×入力'!$A$1:$L$1300,1155+EP$3,1)&lt;&gt;""),1,0),0)</f>
        <v/>
      </c>
      <c r="EQ51">
        <f>IF(EQ$4=1,IF(OR(INDEX('×入力'!$A$1:$L$1300,1155+EQ$3,2+EQ$2)&lt;&gt;"",INDEX('×入力'!$A$1:$L$1300,1154,2+EQ$2)&lt;&gt;"",INDEX('×入力'!$A$1:$L$1300,1155+EQ$3,1)&lt;&gt;""),1,0),0)</f>
        <v/>
      </c>
      <c r="ER51">
        <f>IF(ER$4=1,IF(OR(INDEX('×入力'!$A$1:$L$1300,1155+ER$3,2+ER$2)&lt;&gt;"",INDEX('×入力'!$A$1:$L$1300,1154,2+ER$2)&lt;&gt;"",INDEX('×入力'!$A$1:$L$1300,1155+ER$3,1)&lt;&gt;""),1,0),0)</f>
        <v/>
      </c>
      <c r="ES51">
        <f>IF(ES$4=1,IF(OR(INDEX('×入力'!$A$1:$L$1300,1155+ES$3,2+ES$2)&lt;&gt;"",INDEX('×入力'!$A$1:$L$1300,1154,2+ES$2)&lt;&gt;"",INDEX('×入力'!$A$1:$L$1300,1155+ES$3,1)&lt;&gt;""),1,0),0)</f>
        <v/>
      </c>
      <c r="ET51">
        <f>IF(ET$4=1,IF(OR(INDEX('×入力'!$A$1:$L$1300,1155+ET$3,2+ET$2)&lt;&gt;"",INDEX('×入力'!$A$1:$L$1300,1154,2+ET$2)&lt;&gt;"",INDEX('×入力'!$A$1:$L$1300,1155+ET$3,1)&lt;&gt;""),1,0),0)</f>
        <v/>
      </c>
      <c r="EU51">
        <f>IF(EU$4=1,IF(OR(INDEX('×入力'!$A$1:$L$1300,1155+EU$3,2+EU$2)&lt;&gt;"",INDEX('×入力'!$A$1:$L$1300,1154,2+EU$2)&lt;&gt;"",INDEX('×入力'!$A$1:$L$1300,1155+EU$3,1)&lt;&gt;""),1,0),0)</f>
        <v/>
      </c>
      <c r="EV51">
        <f>IF(EV$4=1,IF(OR(INDEX('×入力'!$A$1:$L$1300,1155+EV$3,2+EV$2)&lt;&gt;"",INDEX('×入力'!$A$1:$L$1300,1154,2+EV$2)&lt;&gt;"",INDEX('×入力'!$A$1:$L$1300,1155+EV$3,1)&lt;&gt;""),1,0),0)</f>
        <v/>
      </c>
      <c r="EW51">
        <f>IF(EW$4=1,IF(OR(INDEX('×入力'!$A$1:$L$1300,1155+EW$3,2+EW$2)&lt;&gt;"",INDEX('×入力'!$A$1:$L$1300,1154,2+EW$2)&lt;&gt;"",INDEX('×入力'!$A$1:$L$1300,1155+EW$3,1)&lt;&gt;""),1,0),0)</f>
        <v/>
      </c>
      <c r="EX51">
        <f>IF(EX$4=1,IF(OR(INDEX('×入力'!$A$1:$L$1300,1155+EX$3,2+EX$2)&lt;&gt;"",INDEX('×入力'!$A$1:$L$1300,1154,2+EX$2)&lt;&gt;"",INDEX('×入力'!$A$1:$L$1300,1155+EX$3,1)&lt;&gt;""),1,0),0)</f>
        <v/>
      </c>
      <c r="EY51">
        <f>IF(EY$4=1,IF(OR(INDEX('×入力'!$A$1:$L$1300,1155+EY$3,2+EY$2)&lt;&gt;"",INDEX('×入力'!$A$1:$L$1300,1154,2+EY$2)&lt;&gt;"",INDEX('×入力'!$A$1:$L$1300,1155+EY$3,1)&lt;&gt;""),1,0),0)</f>
        <v/>
      </c>
      <c r="EZ51">
        <f>IF(EZ$4=1,IF(OR(INDEX('×入力'!$A$1:$L$1300,1155+EZ$3,2+EZ$2)&lt;&gt;"",INDEX('×入力'!$A$1:$L$1300,1154,2+EZ$2)&lt;&gt;"",INDEX('×入力'!$A$1:$L$1300,1155+EZ$3,1)&lt;&gt;""),1,0),0)</f>
        <v/>
      </c>
      <c r="FA51">
        <f>IF(FA$4=1,IF(OR(INDEX('×入力'!$A$1:$L$1300,1155+FA$3,2+FA$2)&lt;&gt;"",INDEX('×入力'!$A$1:$L$1300,1154,2+FA$2)&lt;&gt;"",INDEX('×入力'!$A$1:$L$1300,1155+FA$3,1)&lt;&gt;""),1,0),0)</f>
        <v/>
      </c>
      <c r="FB51">
        <f>IF(FB$4=1,IF(OR(INDEX('×入力'!$A$1:$L$1300,1155+FB$3,2+FB$2)&lt;&gt;"",INDEX('×入力'!$A$1:$L$1300,1154,2+FB$2)&lt;&gt;"",INDEX('×入力'!$A$1:$L$1300,1155+FB$3,1)&lt;&gt;""),1,0),0)</f>
        <v/>
      </c>
      <c r="FC51">
        <f>IF(FC$4=1,IF(OR(INDEX('×入力'!$A$1:$L$1300,1155+FC$3,2+FC$2)&lt;&gt;"",INDEX('×入力'!$A$1:$L$1300,1154,2+FC$2)&lt;&gt;"",INDEX('×入力'!$A$1:$L$1300,1155+FC$3,1)&lt;&gt;""),1,0),0)</f>
        <v/>
      </c>
      <c r="FD51">
        <f>IF(FD$4=1,IF(OR(INDEX('×入力'!$A$1:$L$1300,1155+FD$3,2+FD$2)&lt;&gt;"",INDEX('×入力'!$A$1:$L$1300,1154,2+FD$2)&lt;&gt;"",INDEX('×入力'!$A$1:$L$1300,1155+FD$3,1)&lt;&gt;""),1,0),0)</f>
        <v/>
      </c>
      <c r="FE51">
        <f>IF(FE$4=1,IF(OR(INDEX('×入力'!$A$1:$L$1300,1155+FE$3,2+FE$2)&lt;&gt;"",INDEX('×入力'!$A$1:$L$1300,1154,2+FE$2)&lt;&gt;"",INDEX('×入力'!$A$1:$L$1300,1155+FE$3,1)&lt;&gt;""),1,0),0)</f>
        <v/>
      </c>
      <c r="FF51">
        <f>IF(FF$4=1,IF(OR(INDEX('×入力'!$A$1:$L$1300,1155+FF$3,2+FF$2)&lt;&gt;"",INDEX('×入力'!$A$1:$L$1300,1154,2+FF$2)&lt;&gt;"",INDEX('×入力'!$A$1:$L$1300,1155+FF$3,1)&lt;&gt;""),1,0),0)</f>
        <v/>
      </c>
      <c r="FG51">
        <f>IF(FG$4=1,IF(OR(INDEX('×入力'!$A$1:$L$1300,1155+FG$3,2+FG$2)&lt;&gt;"",INDEX('×入力'!$A$1:$L$1300,1154,2+FG$2)&lt;&gt;"",INDEX('×入力'!$A$1:$L$1300,1155+FG$3,1)&lt;&gt;""),1,0),0)</f>
        <v/>
      </c>
      <c r="FH51">
        <f>IF(FH$4=1,IF(OR(INDEX('×入力'!$A$1:$L$1300,1155+FH$3,2+FH$2)&lt;&gt;"",INDEX('×入力'!$A$1:$L$1300,1154,2+FH$2)&lt;&gt;"",INDEX('×入力'!$A$1:$L$1300,1155+FH$3,1)&lt;&gt;""),1,0),0)</f>
        <v/>
      </c>
      <c r="FI51">
        <f>IF(FI$4=1,IF(OR(INDEX('×入力'!$A$1:$L$1300,1155+FI$3,2+FI$2)&lt;&gt;"",INDEX('×入力'!$A$1:$L$1300,1154,2+FI$2)&lt;&gt;"",INDEX('×入力'!$A$1:$L$1300,1155+FI$3,1)&lt;&gt;""),1,0),0)</f>
        <v/>
      </c>
      <c r="FJ51">
        <f>IF(FJ$4=1,IF(OR(INDEX('×入力'!$A$1:$L$1300,1155+FJ$3,2+FJ$2)&lt;&gt;"",INDEX('×入力'!$A$1:$L$1300,1154,2+FJ$2)&lt;&gt;"",INDEX('×入力'!$A$1:$L$1300,1155+FJ$3,1)&lt;&gt;""),1,0),0)</f>
        <v/>
      </c>
      <c r="FK51">
        <f>IF(FK$4=1,IF(OR(INDEX('×入力'!$A$1:$L$1300,1155+FK$3,2+FK$2)&lt;&gt;"",INDEX('×入力'!$A$1:$L$1300,1154,2+FK$2)&lt;&gt;"",INDEX('×入力'!$A$1:$L$1300,1155+FK$3,1)&lt;&gt;""),1,0),0)</f>
        <v/>
      </c>
      <c r="FL51">
        <f>IF(FL$4=1,IF(OR(INDEX('×入力'!$A$1:$L$1300,1155+FL$3,2+FL$2)&lt;&gt;"",INDEX('×入力'!$A$1:$L$1300,1154,2+FL$2)&lt;&gt;"",INDEX('×入力'!$A$1:$L$1300,1155+FL$3,1)&lt;&gt;""),1,0),0)</f>
        <v/>
      </c>
      <c r="FM51">
        <f>IF(FM$4=1,IF(OR(INDEX('×入力'!$A$1:$L$1300,1155+FM$3,2+FM$2)&lt;&gt;"",INDEX('×入力'!$A$1:$L$1300,1154,2+FM$2)&lt;&gt;"",INDEX('×入力'!$A$1:$L$1300,1155+FM$3,1)&lt;&gt;""),1,0),0)</f>
        <v/>
      </c>
      <c r="FN51">
        <f>IF(FN$4=1,IF(OR(INDEX('×入力'!$A$1:$L$1300,1155+FN$3,2+FN$2)&lt;&gt;"",INDEX('×入力'!$A$1:$L$1300,1154,2+FN$2)&lt;&gt;"",INDEX('×入力'!$A$1:$L$1300,1155+FN$3,1)&lt;&gt;""),1,0),0)</f>
        <v/>
      </c>
      <c r="FO51">
        <f>IF(FO$4=1,IF(OR(INDEX('×入力'!$A$1:$L$1300,1155+FO$3,2+FO$2)&lt;&gt;"",INDEX('×入力'!$A$1:$L$1300,1154,2+FO$2)&lt;&gt;"",INDEX('×入力'!$A$1:$L$1300,1155+FO$3,1)&lt;&gt;""),1,0),0)</f>
        <v/>
      </c>
      <c r="FP51">
        <f>IF(FP$4=1,IF(OR(INDEX('×入力'!$A$1:$L$1300,1155+FP$3,2+FP$2)&lt;&gt;"",INDEX('×入力'!$A$1:$L$1300,1154,2+FP$2)&lt;&gt;"",INDEX('×入力'!$A$1:$L$1300,1155+FP$3,1)&lt;&gt;""),1,0),0)</f>
        <v/>
      </c>
      <c r="FQ51">
        <f>IF(FQ$4=1,IF(OR(INDEX('×入力'!$A$1:$L$1300,1155+FQ$3,2+FQ$2)&lt;&gt;"",INDEX('×入力'!$A$1:$L$1300,1154,2+FQ$2)&lt;&gt;"",INDEX('×入力'!$A$1:$L$1300,1155+FQ$3,1)&lt;&gt;""),1,0),0)</f>
        <v/>
      </c>
      <c r="FR51">
        <f>IF(FR$4=1,IF(OR(INDEX('×入力'!$A$1:$L$1300,1155+FR$3,2+FR$2)&lt;&gt;"",INDEX('×入力'!$A$1:$L$1300,1154,2+FR$2)&lt;&gt;"",INDEX('×入力'!$A$1:$L$1300,1155+FR$3,1)&lt;&gt;""),1,0),0)</f>
        <v/>
      </c>
      <c r="FS51">
        <f>IF(FS$4=1,IF(OR(INDEX('×入力'!$A$1:$L$1300,1155+FS$3,2+FS$2)&lt;&gt;"",INDEX('×入力'!$A$1:$L$1300,1154,2+FS$2)&lt;&gt;"",INDEX('×入力'!$A$1:$L$1300,1155+FS$3,1)&lt;&gt;""),1,0),0)</f>
        <v/>
      </c>
      <c r="FT51">
        <f>IF(FT$4=1,IF(OR(INDEX('×入力'!$A$1:$L$1300,1155+FT$3,2+FT$2)&lt;&gt;"",INDEX('×入力'!$A$1:$L$1300,1154,2+FT$2)&lt;&gt;"",INDEX('×入力'!$A$1:$L$1300,1155+FT$3,1)&lt;&gt;""),1,0),0)</f>
        <v/>
      </c>
      <c r="FU51">
        <f>IF(FU$4=1,IF(OR(INDEX('×入力'!$A$1:$L$1300,1155+FU$3,2+FU$2)&lt;&gt;"",INDEX('×入力'!$A$1:$L$1300,1154,2+FU$2)&lt;&gt;"",INDEX('×入力'!$A$1:$L$1300,1155+FU$3,1)&lt;&gt;""),1,0),0)</f>
        <v/>
      </c>
      <c r="FV51">
        <f>IF(FV$4=1,IF(OR(INDEX('×入力'!$A$1:$L$1300,1155+FV$3,2+FV$2)&lt;&gt;"",INDEX('×入力'!$A$1:$L$1300,1154,2+FV$2)&lt;&gt;"",INDEX('×入力'!$A$1:$L$1300,1155+FV$3,1)&lt;&gt;""),1,0),0)</f>
        <v/>
      </c>
      <c r="FW51">
        <f>IF(FW$4=1,IF(OR(INDEX('×入力'!$A$1:$L$1300,1155+FW$3,2+FW$2)&lt;&gt;"",INDEX('×入力'!$A$1:$L$1300,1154,2+FW$2)&lt;&gt;"",INDEX('×入力'!$A$1:$L$1300,1155+FW$3,1)&lt;&gt;""),1,0),0)</f>
        <v/>
      </c>
      <c r="FX51">
        <f>IF(FX$4=1,IF(OR(INDEX('×入力'!$A$1:$L$1300,1155+FX$3,2+FX$2)&lt;&gt;"",INDEX('×入力'!$A$1:$L$1300,1154,2+FX$2)&lt;&gt;"",INDEX('×入力'!$A$1:$L$1300,1155+FX$3,1)&lt;&gt;""),1,0),0)</f>
        <v/>
      </c>
      <c r="FY51">
        <f>IF(FY$4=1,IF(OR(INDEX('×入力'!$A$1:$L$1300,1155+FY$3,2+FY$2)&lt;&gt;"",INDEX('×入力'!$A$1:$L$1300,1154,2+FY$2)&lt;&gt;"",INDEX('×入力'!$A$1:$L$1300,1155+FY$3,1)&lt;&gt;""),1,0),0)</f>
        <v/>
      </c>
      <c r="FZ51">
        <f>IF(FZ$4=1,IF(OR(INDEX('×入力'!$A$1:$L$1300,1155+FZ$3,2+FZ$2)&lt;&gt;"",INDEX('×入力'!$A$1:$L$1300,1154,2+FZ$2)&lt;&gt;"",INDEX('×入力'!$A$1:$L$1300,1155+FZ$3,1)&lt;&gt;""),1,0),0)</f>
        <v/>
      </c>
      <c r="GA51">
        <f>IF(GA$4=1,IF(OR(INDEX('×入力'!$A$1:$L$1300,1155+GA$3,2+GA$2)&lt;&gt;"",INDEX('×入力'!$A$1:$L$1300,1154,2+GA$2)&lt;&gt;"",INDEX('×入力'!$A$1:$L$1300,1155+GA$3,1)&lt;&gt;""),1,0),0)</f>
        <v/>
      </c>
      <c r="GB51">
        <f>IF(GB$4=1,IF(OR(INDEX('×入力'!$A$1:$L$1300,1155+GB$3,2+GB$2)&lt;&gt;"",INDEX('×入力'!$A$1:$L$1300,1154,2+GB$2)&lt;&gt;"",INDEX('×入力'!$A$1:$L$1300,1155+GB$3,1)&lt;&gt;""),1,0),0)</f>
        <v/>
      </c>
      <c r="GC51">
        <f>IF(GC$4=1,IF(OR(INDEX('×入力'!$A$1:$L$1300,1155+GC$3,2+GC$2)&lt;&gt;"",INDEX('×入力'!$A$1:$L$1300,1154,2+GC$2)&lt;&gt;"",INDEX('×入力'!$A$1:$L$1300,1155+GC$3,1)&lt;&gt;""),1,0),0)</f>
        <v/>
      </c>
      <c r="GD51">
        <f>IF(GD$4=1,IF(OR(INDEX('×入力'!$A$1:$L$1300,1155+GD$3,2+GD$2)&lt;&gt;"",INDEX('×入力'!$A$1:$L$1300,1154,2+GD$2)&lt;&gt;"",INDEX('×入力'!$A$1:$L$1300,1155+GD$3,1)&lt;&gt;""),1,0),0)</f>
        <v/>
      </c>
      <c r="GE51">
        <f>IF(GE$4=1,IF(OR(INDEX('×入力'!$A$1:$L$1300,1155+GE$3,2+GE$2)&lt;&gt;"",INDEX('×入力'!$A$1:$L$1300,1154,2+GE$2)&lt;&gt;"",INDEX('×入力'!$A$1:$L$1300,1155+GE$3,1)&lt;&gt;""),1,0),0)</f>
        <v/>
      </c>
      <c r="GF51">
        <f>IF(GF$4=1,IF(OR(INDEX('×入力'!$A$1:$L$1300,1155+GF$3,2+GF$2)&lt;&gt;"",INDEX('×入力'!$A$1:$L$1300,1154,2+GF$2)&lt;&gt;"",INDEX('×入力'!$A$1:$L$1300,1155+GF$3,1)&lt;&gt;""),1,0),0)</f>
        <v/>
      </c>
      <c r="GG51">
        <f>IF(GG$4=1,IF(OR(INDEX('×入力'!$A$1:$L$1300,1155+GG$3,2+GG$2)&lt;&gt;"",INDEX('×入力'!$A$1:$L$1300,1154,2+GG$2)&lt;&gt;"",INDEX('×入力'!$A$1:$L$1300,1155+GG$3,1)&lt;&gt;""),1,0),0)</f>
        <v/>
      </c>
      <c r="GH51">
        <f>IF(GH$4=1,IF(OR(INDEX('×入力'!$A$1:$L$1300,1155+GH$3,2+GH$2)&lt;&gt;"",INDEX('×入力'!$A$1:$L$1300,1154,2+GH$2)&lt;&gt;"",INDEX('×入力'!$A$1:$L$1300,1155+GH$3,1)&lt;&gt;""),1,0),0)</f>
        <v/>
      </c>
      <c r="GI51">
        <f>IF(GI$4=1,IF(OR(INDEX('×入力'!$A$1:$L$1300,1155+GI$3,2+GI$2)&lt;&gt;"",INDEX('×入力'!$A$1:$L$1300,1154,2+GI$2)&lt;&gt;"",INDEX('×入力'!$A$1:$L$1300,1155+GI$3,1)&lt;&gt;""),1,0),0)</f>
        <v/>
      </c>
      <c r="GJ51">
        <f>IF(GJ$4=1,IF(OR(INDEX('×入力'!$A$1:$L$1300,1155+GJ$3,2+GJ$2)&lt;&gt;"",INDEX('×入力'!$A$1:$L$1300,1154,2+GJ$2)&lt;&gt;"",INDEX('×入力'!$A$1:$L$1300,1155+GJ$3,1)&lt;&gt;""),1,0),0)</f>
        <v/>
      </c>
      <c r="GK51">
        <f>IF(GK$4=1,IF(OR(INDEX('×入力'!$A$1:$L$1300,1155+GK$3,2+GK$2)&lt;&gt;"",INDEX('×入力'!$A$1:$L$1300,1154,2+GK$2)&lt;&gt;"",INDEX('×入力'!$A$1:$L$1300,1155+GK$3,1)&lt;&gt;""),1,0),0)</f>
        <v/>
      </c>
      <c r="GL51">
        <f>IF(GL$4=1,IF(OR(INDEX('×入力'!$A$1:$L$1300,1155+GL$3,2+GL$2)&lt;&gt;"",INDEX('×入力'!$A$1:$L$1300,1154,2+GL$2)&lt;&gt;"",INDEX('×入力'!$A$1:$L$1300,1155+GL$3,1)&lt;&gt;""),1,0),0)</f>
        <v/>
      </c>
      <c r="GM51">
        <f>IF(GM$4=1,IF(OR(INDEX('×入力'!$A$1:$L$1300,1155+GM$3,2+GM$2)&lt;&gt;"",INDEX('×入力'!$A$1:$L$1300,1154,2+GM$2)&lt;&gt;"",INDEX('×入力'!$A$1:$L$1300,1155+GM$3,1)&lt;&gt;""),1,0),0)</f>
        <v/>
      </c>
      <c r="GN51">
        <f>IF(GN$4=1,IF(OR(INDEX('×入力'!$A$1:$L$1300,1155+GN$3,2+GN$2)&lt;&gt;"",INDEX('×入力'!$A$1:$L$1300,1154,2+GN$2)&lt;&gt;"",INDEX('×入力'!$A$1:$L$1300,1155+GN$3,1)&lt;&gt;""),1,0),0)</f>
        <v/>
      </c>
      <c r="GO51">
        <f>IF(GO$4=1,IF(OR(INDEX('×入力'!$A$1:$L$1300,1155+GO$3,2+GO$2)&lt;&gt;"",INDEX('×入力'!$A$1:$L$1300,1154,2+GO$2)&lt;&gt;"",INDEX('×入力'!$A$1:$L$1300,1155+GO$3,1)&lt;&gt;""),1,0),0)</f>
        <v/>
      </c>
      <c r="GP51">
        <f>IF(GP$4=1,IF(OR(INDEX('×入力'!$A$1:$L$1300,1155+GP$3,2+GP$2)&lt;&gt;"",INDEX('×入力'!$A$1:$L$1300,1154,2+GP$2)&lt;&gt;"",INDEX('×入力'!$A$1:$L$1300,1155+GP$3,1)&lt;&gt;""),1,0),0)</f>
        <v/>
      </c>
      <c r="GQ51">
        <f>IF(GQ$4=1,IF(OR(INDEX('×入力'!$A$1:$L$1300,1155+GQ$3,2+GQ$2)&lt;&gt;"",INDEX('×入力'!$A$1:$L$1300,1154,2+GQ$2)&lt;&gt;"",INDEX('×入力'!$A$1:$L$1300,1155+GQ$3,1)&lt;&gt;""),1,0),0)</f>
        <v/>
      </c>
      <c r="GR51">
        <f>IF(GR$4=1,IF(OR(INDEX('×入力'!$A$1:$L$1300,1155+GR$3,2+GR$2)&lt;&gt;"",INDEX('×入力'!$A$1:$L$1300,1154,2+GR$2)&lt;&gt;"",INDEX('×入力'!$A$1:$L$1300,1155+GR$3,1)&lt;&gt;""),1,0),0)</f>
        <v/>
      </c>
      <c r="GS51">
        <f>IF(GS$4=1,IF(OR(INDEX('×入力'!$A$1:$L$1300,1155+GS$3,2+GS$2)&lt;&gt;"",INDEX('×入力'!$A$1:$L$1300,1154,2+GS$2)&lt;&gt;"",INDEX('×入力'!$A$1:$L$1300,1155+GS$3,1)&lt;&gt;""),1,0),0)</f>
        <v/>
      </c>
      <c r="GT51">
        <f>IF(GT$4=1,IF(OR(INDEX('×入力'!$A$1:$L$1300,1155+GT$3,2+GT$2)&lt;&gt;"",INDEX('×入力'!$A$1:$L$1300,1154,2+GT$2)&lt;&gt;"",INDEX('×入力'!$A$1:$L$1300,1155+GT$3,1)&lt;&gt;""),1,0),0)</f>
        <v/>
      </c>
      <c r="GU51">
        <f>IF(GU$4=1,IF(OR(INDEX('×入力'!$A$1:$L$1300,1155+GU$3,2+GU$2)&lt;&gt;"",INDEX('×入力'!$A$1:$L$1300,1154,2+GU$2)&lt;&gt;"",INDEX('×入力'!$A$1:$L$1300,1155+GU$3,1)&lt;&gt;""),1,0),0)</f>
        <v/>
      </c>
      <c r="GV51">
        <f>IF(GV$4=1,IF(OR(INDEX('×入力'!$A$1:$L$1300,1155+GV$3,2+GV$2)&lt;&gt;"",INDEX('×入力'!$A$1:$L$1300,1154,2+GV$2)&lt;&gt;"",INDEX('×入力'!$A$1:$L$1300,1155+GV$3,1)&lt;&gt;""),1,0),0)</f>
        <v/>
      </c>
      <c r="GW51">
        <f>IF(GW$4=1,IF(OR(INDEX('×入力'!$A$1:$L$1300,1155+GW$3,2+GW$2)&lt;&gt;"",INDEX('×入力'!$A$1:$L$1300,1154,2+GW$2)&lt;&gt;"",INDEX('×入力'!$A$1:$L$1300,1155+GW$3,1)&lt;&gt;""),1,0),0)</f>
        <v/>
      </c>
      <c r="GX51">
        <f>IF(GX$4=1,IF(OR(INDEX('×入力'!$A$1:$L$1300,1155+GX$3,2+GX$2)&lt;&gt;"",INDEX('×入力'!$A$1:$L$1300,1154,2+GX$2)&lt;&gt;"",INDEX('×入力'!$A$1:$L$1300,1155+GX$3,1)&lt;&gt;""),1,0),0)</f>
        <v/>
      </c>
      <c r="GY51">
        <f>IF(GY$4=1,IF(OR(INDEX('×入力'!$A$1:$L$1300,1155+GY$3,2+GY$2)&lt;&gt;"",INDEX('×入力'!$A$1:$L$1300,1154,2+GY$2)&lt;&gt;"",INDEX('×入力'!$A$1:$L$1300,1155+GY$3,1)&lt;&gt;""),1,0),0)</f>
        <v/>
      </c>
      <c r="GZ51">
        <f>IF(GZ$4=1,IF(OR(INDEX('×入力'!$A$1:$L$1300,1155+GZ$3,2+GZ$2)&lt;&gt;"",INDEX('×入力'!$A$1:$L$1300,1154,2+GZ$2)&lt;&gt;"",INDEX('×入力'!$A$1:$L$1300,1155+GZ$3,1)&lt;&gt;""),1,0),0)</f>
        <v/>
      </c>
      <c r="HA51">
        <f>IF(HA$4=1,IF(OR(INDEX('×入力'!$A$1:$L$1300,1155+HA$3,2+HA$2)&lt;&gt;"",INDEX('×入力'!$A$1:$L$1300,1154,2+HA$2)&lt;&gt;"",INDEX('×入力'!$A$1:$L$1300,1155+HA$3,1)&lt;&gt;""),1,0),0)</f>
        <v/>
      </c>
      <c r="HB51">
        <f>IF(HB$4=1,IF(OR(INDEX('×入力'!$A$1:$L$1300,1155+HB$3,2+HB$2)&lt;&gt;"",INDEX('×入力'!$A$1:$L$1300,1154,2+HB$2)&lt;&gt;"",INDEX('×入力'!$A$1:$L$1300,1155+HB$3,1)&lt;&gt;""),1,0),0)</f>
        <v/>
      </c>
      <c r="HC51">
        <f>IF(HC$4=1,IF(OR(INDEX('×入力'!$A$1:$L$1300,1155+HC$3,2+HC$2)&lt;&gt;"",INDEX('×入力'!$A$1:$L$1300,1154,2+HC$2)&lt;&gt;"",INDEX('×入力'!$A$1:$L$1300,1155+HC$3,1)&lt;&gt;""),1,0),0)</f>
        <v/>
      </c>
      <c r="HD51">
        <f>IF(HD$4=1,IF(OR(INDEX('×入力'!$A$1:$L$1300,1155+HD$3,2+HD$2)&lt;&gt;"",INDEX('×入力'!$A$1:$L$1300,1154,2+HD$2)&lt;&gt;"",INDEX('×入力'!$A$1:$L$1300,1155+HD$3,1)&lt;&gt;""),1,0),0)</f>
        <v/>
      </c>
      <c r="HE51">
        <f>IF(HE$4=1,IF(OR(INDEX('×入力'!$A$1:$L$1300,1155+HE$3,2+HE$2)&lt;&gt;"",INDEX('×入力'!$A$1:$L$1300,1154,2+HE$2)&lt;&gt;"",INDEX('×入力'!$A$1:$L$1300,1155+HE$3,1)&lt;&gt;""),1,0),0)</f>
        <v/>
      </c>
      <c r="HF51">
        <f>IF(HF$4=1,IF(OR(INDEX('×入力'!$A$1:$L$1300,1155+HF$3,2+HF$2)&lt;&gt;"",INDEX('×入力'!$A$1:$L$1300,1154,2+HF$2)&lt;&gt;"",INDEX('×入力'!$A$1:$L$1300,1155+HF$3,1)&lt;&gt;""),1,0),0)</f>
        <v/>
      </c>
      <c r="HG51">
        <f>IF(HG$4=1,IF(OR(INDEX('×入力'!$A$1:$L$1300,1155+HG$3,2+HG$2)&lt;&gt;"",INDEX('×入力'!$A$1:$L$1300,1154,2+HG$2)&lt;&gt;"",INDEX('×入力'!$A$1:$L$1300,1155+HG$3,1)&lt;&gt;""),1,0),0)</f>
        <v/>
      </c>
      <c r="HH51">
        <f>IF(HH$4=1,IF(OR(INDEX('×入力'!$A$1:$L$1300,1155+HH$3,2+HH$2)&lt;&gt;"",INDEX('×入力'!$A$1:$L$1300,1154,2+HH$2)&lt;&gt;"",INDEX('×入力'!$A$1:$L$1300,1155+HH$3,1)&lt;&gt;""),1,0),0)</f>
        <v/>
      </c>
      <c r="HI51">
        <f>IF(HI$4=1,IF(OR(INDEX('×入力'!$A$1:$L$1300,1155+HI$3,2+HI$2)&lt;&gt;"",INDEX('×入力'!$A$1:$L$1300,1154,2+HI$2)&lt;&gt;"",INDEX('×入力'!$A$1:$L$1300,1155+HI$3,1)&lt;&gt;""),1,0),0)</f>
        <v/>
      </c>
      <c r="HJ51">
        <f>IF(HJ$4=1,IF(OR(INDEX('×入力'!$A$1:$L$1300,1155+HJ$3,2+HJ$2)&lt;&gt;"",INDEX('×入力'!$A$1:$L$1300,1154,2+HJ$2)&lt;&gt;"",INDEX('×入力'!$A$1:$L$1300,1155+HJ$3,1)&lt;&gt;""),1,0),0)</f>
        <v/>
      </c>
      <c r="HK51">
        <f>IF(HK$4=1,IF(OR(INDEX('×入力'!$A$1:$L$1300,1155+HK$3,2+HK$2)&lt;&gt;"",INDEX('×入力'!$A$1:$L$1300,1154,2+HK$2)&lt;&gt;"",INDEX('×入力'!$A$1:$L$1300,1155+HK$3,1)&lt;&gt;""),1,0),0)</f>
        <v/>
      </c>
      <c r="HL51">
        <f>IF(HL$4=1,IF(OR(INDEX('×入力'!$A$1:$L$1300,1155+HL$3,2+HL$2)&lt;&gt;"",INDEX('×入力'!$A$1:$L$1300,1154,2+HL$2)&lt;&gt;"",INDEX('×入力'!$A$1:$L$1300,1155+HL$3,1)&lt;&gt;""),1,0),0)</f>
        <v/>
      </c>
      <c r="HM51">
        <f>IF(HM$4=1,IF(OR(INDEX('×入力'!$A$1:$L$1300,1155+HM$3,2+HM$2)&lt;&gt;"",INDEX('×入力'!$A$1:$L$1300,1154,2+HM$2)&lt;&gt;"",INDEX('×入力'!$A$1:$L$1300,1155+HM$3,1)&lt;&gt;""),1,0),0)</f>
        <v/>
      </c>
      <c r="HN51">
        <f>IF(HN$4=1,IF(OR(INDEX('×入力'!$A$1:$L$1300,1155+HN$3,2+HN$2)&lt;&gt;"",INDEX('×入力'!$A$1:$L$1300,1154,2+HN$2)&lt;&gt;"",INDEX('×入力'!$A$1:$L$1300,1155+HN$3,1)&lt;&gt;""),1,0),0)</f>
        <v/>
      </c>
      <c r="HO51">
        <f>IF(HO$4=1,IF(OR(INDEX('×入力'!$A$1:$L$1300,1155+HO$3,2+HO$2)&lt;&gt;"",INDEX('×入力'!$A$1:$L$1300,1154,2+HO$2)&lt;&gt;"",INDEX('×入力'!$A$1:$L$1300,1155+HO$3,1)&lt;&gt;""),1,0),0)</f>
        <v/>
      </c>
      <c r="HP51">
        <f>IF(HP$4=1,IF(OR(INDEX('×入力'!$A$1:$L$1300,1155+HP$3,2+HP$2)&lt;&gt;"",INDEX('×入力'!$A$1:$L$1300,1154,2+HP$2)&lt;&gt;"",INDEX('×入力'!$A$1:$L$1300,1155+HP$3,1)&lt;&gt;""),1,0),0)</f>
        <v/>
      </c>
      <c r="HQ51">
        <f>IF(HQ$4=1,IF(OR(INDEX('×入力'!$A$1:$L$1300,1155+HQ$3,2+HQ$2)&lt;&gt;"",INDEX('×入力'!$A$1:$L$1300,1154,2+HQ$2)&lt;&gt;"",INDEX('×入力'!$A$1:$L$1300,1155+HQ$3,1)&lt;&gt;""),1,0),0)</f>
        <v/>
      </c>
      <c r="HR51">
        <f>IF(HR$4=1,IF(OR(INDEX('×入力'!$A$1:$L$1300,1155+HR$3,2+HR$2)&lt;&gt;"",INDEX('×入力'!$A$1:$L$1300,1154,2+HR$2)&lt;&gt;"",INDEX('×入力'!$A$1:$L$1300,1155+HR$3,1)&lt;&gt;""),1,0),0)</f>
        <v/>
      </c>
      <c r="HS51">
        <f>IF(HS$4=1,IF(OR(INDEX('×入力'!$A$1:$L$1300,1155+HS$3,2+HS$2)&lt;&gt;"",INDEX('×入力'!$A$1:$L$1300,1154,2+HS$2)&lt;&gt;"",INDEX('×入力'!$A$1:$L$1300,1155+HS$3,1)&lt;&gt;""),1,0),0)</f>
        <v/>
      </c>
      <c r="HT51">
        <f>IF(HT$4=1,IF(OR(INDEX('×入力'!$A$1:$L$1300,1155+HT$3,2+HT$2)&lt;&gt;"",INDEX('×入力'!$A$1:$L$1300,1154,2+HT$2)&lt;&gt;"",INDEX('×入力'!$A$1:$L$1300,1155+HT$3,1)&lt;&gt;""),1,0),0)</f>
        <v/>
      </c>
      <c r="HU51">
        <f>IF(HU$4=1,IF(OR(INDEX('×入力'!$A$1:$L$1300,1155+HU$3,2+HU$2)&lt;&gt;"",INDEX('×入力'!$A$1:$L$1300,1154,2+HU$2)&lt;&gt;"",INDEX('×入力'!$A$1:$L$1300,1155+HU$3,1)&lt;&gt;""),1,0),0)</f>
        <v/>
      </c>
      <c r="HV51">
        <f>IF(HV$4=1,IF(OR(INDEX('×入力'!$A$1:$L$1300,1155+HV$3,2+HV$2)&lt;&gt;"",INDEX('×入力'!$A$1:$L$1300,1154,2+HV$2)&lt;&gt;"",INDEX('×入力'!$A$1:$L$1300,1155+HV$3,1)&lt;&gt;""),1,0),0)</f>
        <v/>
      </c>
      <c r="HW51">
        <f>IF(HW$4=1,IF(OR(INDEX('×入力'!$A$1:$L$1300,1155+HW$3,2+HW$2)&lt;&gt;"",INDEX('×入力'!$A$1:$L$1300,1154,2+HW$2)&lt;&gt;"",INDEX('×入力'!$A$1:$L$1300,1155+HW$3,1)&lt;&gt;""),1,0),0)</f>
        <v/>
      </c>
      <c r="HX51">
        <f>IF(HX$4=1,IF(OR(INDEX('×入力'!$A$1:$L$1300,1155+HX$3,2+HX$2)&lt;&gt;"",INDEX('×入力'!$A$1:$L$1300,1154,2+HX$2)&lt;&gt;"",INDEX('×入力'!$A$1:$L$1300,1155+HX$3,1)&lt;&gt;""),1,0),0)</f>
        <v/>
      </c>
      <c r="HY51">
        <f>IF(HY$4=1,IF(OR(INDEX('×入力'!$A$1:$L$1300,1155+HY$3,2+HY$2)&lt;&gt;"",INDEX('×入力'!$A$1:$L$1300,1154,2+HY$2)&lt;&gt;"",INDEX('×入力'!$A$1:$L$1300,1155+HY$3,1)&lt;&gt;""),1,0),0)</f>
        <v/>
      </c>
      <c r="HZ51">
        <f>IF(HZ$4=1,IF(OR(INDEX('×入力'!$A$1:$L$1300,1155+HZ$3,2+HZ$2)&lt;&gt;"",INDEX('×入力'!$A$1:$L$1300,1154,2+HZ$2)&lt;&gt;"",INDEX('×入力'!$A$1:$L$1300,1155+HZ$3,1)&lt;&gt;""),1,0),0)</f>
        <v/>
      </c>
      <c r="IA51">
        <f>IF(IA$4=1,IF(OR(INDEX('×入力'!$A$1:$L$1300,1155+IA$3,2+IA$2)&lt;&gt;"",INDEX('×入力'!$A$1:$L$1300,1154,2+IA$2)&lt;&gt;"",INDEX('×入力'!$A$1:$L$1300,1155+IA$3,1)&lt;&gt;""),1,0),0)</f>
        <v/>
      </c>
      <c r="IB51">
        <f>IF(IB$4=1,IF(OR(INDEX('×入力'!$A$1:$L$1300,1155+IB$3,2+IB$2)&lt;&gt;"",INDEX('×入力'!$A$1:$L$1300,1154,2+IB$2)&lt;&gt;"",INDEX('×入力'!$A$1:$L$1300,1155+IB$3,1)&lt;&gt;""),1,0),0)</f>
        <v/>
      </c>
      <c r="IC51">
        <f>IF(IC$4=1,IF(OR(INDEX('×入力'!$A$1:$L$1300,1155+IC$3,2+IC$2)&lt;&gt;"",INDEX('×入力'!$A$1:$L$1300,1154,2+IC$2)&lt;&gt;"",INDEX('×入力'!$A$1:$L$1300,1155+IC$3,1)&lt;&gt;""),1,0),0)</f>
        <v/>
      </c>
      <c r="ID51">
        <f>IF(ID$4=1,IF(OR(INDEX('×入力'!$A$1:$L$1300,1155+ID$3,2+ID$2)&lt;&gt;"",INDEX('×入力'!$A$1:$L$1300,1154,2+ID$2)&lt;&gt;"",INDEX('×入力'!$A$1:$L$1300,1155+ID$3,1)&lt;&gt;""),1,0),0)</f>
        <v/>
      </c>
      <c r="IE51">
        <f>IF(IE$4=1,IF(OR(INDEX('×入力'!$A$1:$L$1300,1155+IE$3,2+IE$2)&lt;&gt;"",INDEX('×入力'!$A$1:$L$1300,1154,2+IE$2)&lt;&gt;"",INDEX('×入力'!$A$1:$L$1300,1155+IE$3,1)&lt;&gt;""),1,0),0)</f>
        <v/>
      </c>
      <c r="IF51">
        <f>IF(IF$4=1,IF(OR(INDEX('×入力'!$A$1:$L$1300,1155+IF$3,2+IF$2)&lt;&gt;"",INDEX('×入力'!$A$1:$L$1300,1154,2+IF$2)&lt;&gt;"",INDEX('×入力'!$A$1:$L$1300,1155+IF$3,1)&lt;&gt;""),1,0),0)</f>
        <v/>
      </c>
      <c r="IG51">
        <f>IF(IG$4=1,IF(OR(INDEX('×入力'!$A$1:$L$1300,1155+IG$3,2+IG$2)&lt;&gt;"",INDEX('×入力'!$A$1:$L$1300,1154,2+IG$2)&lt;&gt;"",INDEX('×入力'!$A$1:$L$1300,1155+IG$3,1)&lt;&gt;""),1,0),0)</f>
        <v/>
      </c>
      <c r="IH51">
        <f>IF(IH$4=1,IF(OR(INDEX('×入力'!$A$1:$L$1300,1155+IH$3,2+IH$2)&lt;&gt;"",INDEX('×入力'!$A$1:$L$1300,1154,2+IH$2)&lt;&gt;"",INDEX('×入力'!$A$1:$L$1300,1155+IH$3,1)&lt;&gt;""),1,0),0)</f>
        <v/>
      </c>
      <c r="II51">
        <f>IF(II$4=1,IF(OR(INDEX('×入力'!$A$1:$L$1300,1155+II$3,2+II$2)&lt;&gt;"",INDEX('×入力'!$A$1:$L$1300,1154,2+II$2)&lt;&gt;"",INDEX('×入力'!$A$1:$L$1300,1155+II$3,1)&lt;&gt;""),1,0),0)</f>
        <v/>
      </c>
      <c r="IK51">
        <f>IFERROR(INDEX('計算B'!$C$3:$C$47,MATCH(A51,'計算B'!$B$3:$B$47,0)),0)</f>
        <v/>
      </c>
      <c r="IL51">
        <f>IF(AND(C51=1,IK51=0),1,0)</f>
        <v/>
      </c>
      <c r="IM51">
        <f>SUMPRODUCT(D101:II101*(1-$D$7:$II$7))</f>
        <v/>
      </c>
      <c r="IN51">
        <f>SUM(D51:II51)</f>
        <v/>
      </c>
      <c r="IO51">
        <f>IF(B51="",0,IF(COUNTIF('調整・決定'!$C$6:$L$29,B51)=1,SUMPRODUCT(('調整・決定'!$C$6:$L$29=B51)*((COLUMN('調整・決定'!$C$6:$L$29)-3)*24+ROW('調整・決定'!$C$6:$L$29)-5)),0))</f>
        <v/>
      </c>
      <c r="IP51">
        <f>IFERROR(MATCH('名簿'!E46,{"早い時刻","遅い時刻","早い日","遅い日"},0),0)</f>
        <v/>
      </c>
      <c r="IQ51">
        <f>IF('名簿'!F46="必ず空けたい",2,IF('名簿'!F46="出来れば空けたい",1,0))</f>
        <v/>
      </c>
    </row>
    <row r="52">
      <c r="A52" t="n">
        <v>43</v>
      </c>
      <c r="B52">
        <f>'名簿'!G47</f>
        <v/>
      </c>
      <c r="C52">
        <f>IF(AND(B52&lt;&gt;"",OR('名簿'!H47="入力済み",'名簿'!H47="×なし"),IO52=0,COUNTIF('調整・決定'!$C$6:$L$29,B52)=0),1,0)</f>
        <v/>
      </c>
      <c r="D52">
        <f>IF(D$4=1,IF(OR(INDEX('×入力'!$A$1:$L$1300,1183+D$3,2+D$2)&lt;&gt;"",INDEX('×入力'!$A$1:$L$1300,1182,2+D$2)&lt;&gt;"",INDEX('×入力'!$A$1:$L$1300,1183+D$3,1)&lt;&gt;""),1,0),0)</f>
        <v/>
      </c>
      <c r="E52">
        <f>IF(E$4=1,IF(OR(INDEX('×入力'!$A$1:$L$1300,1183+E$3,2+E$2)&lt;&gt;"",INDEX('×入力'!$A$1:$L$1300,1182,2+E$2)&lt;&gt;"",INDEX('×入力'!$A$1:$L$1300,1183+E$3,1)&lt;&gt;""),1,0),0)</f>
        <v/>
      </c>
      <c r="F52">
        <f>IF(F$4=1,IF(OR(INDEX('×入力'!$A$1:$L$1300,1183+F$3,2+F$2)&lt;&gt;"",INDEX('×入力'!$A$1:$L$1300,1182,2+F$2)&lt;&gt;"",INDEX('×入力'!$A$1:$L$1300,1183+F$3,1)&lt;&gt;""),1,0),0)</f>
        <v/>
      </c>
      <c r="G52">
        <f>IF(G$4=1,IF(OR(INDEX('×入力'!$A$1:$L$1300,1183+G$3,2+G$2)&lt;&gt;"",INDEX('×入力'!$A$1:$L$1300,1182,2+G$2)&lt;&gt;"",INDEX('×入力'!$A$1:$L$1300,1183+G$3,1)&lt;&gt;""),1,0),0)</f>
        <v/>
      </c>
      <c r="H52">
        <f>IF(H$4=1,IF(OR(INDEX('×入力'!$A$1:$L$1300,1183+H$3,2+H$2)&lt;&gt;"",INDEX('×入力'!$A$1:$L$1300,1182,2+H$2)&lt;&gt;"",INDEX('×入力'!$A$1:$L$1300,1183+H$3,1)&lt;&gt;""),1,0),0)</f>
        <v/>
      </c>
      <c r="I52">
        <f>IF(I$4=1,IF(OR(INDEX('×入力'!$A$1:$L$1300,1183+I$3,2+I$2)&lt;&gt;"",INDEX('×入力'!$A$1:$L$1300,1182,2+I$2)&lt;&gt;"",INDEX('×入力'!$A$1:$L$1300,1183+I$3,1)&lt;&gt;""),1,0),0)</f>
        <v/>
      </c>
      <c r="J52">
        <f>IF(J$4=1,IF(OR(INDEX('×入力'!$A$1:$L$1300,1183+J$3,2+J$2)&lt;&gt;"",INDEX('×入力'!$A$1:$L$1300,1182,2+J$2)&lt;&gt;"",INDEX('×入力'!$A$1:$L$1300,1183+J$3,1)&lt;&gt;""),1,0),0)</f>
        <v/>
      </c>
      <c r="K52">
        <f>IF(K$4=1,IF(OR(INDEX('×入力'!$A$1:$L$1300,1183+K$3,2+K$2)&lt;&gt;"",INDEX('×入力'!$A$1:$L$1300,1182,2+K$2)&lt;&gt;"",INDEX('×入力'!$A$1:$L$1300,1183+K$3,1)&lt;&gt;""),1,0),0)</f>
        <v/>
      </c>
      <c r="L52">
        <f>IF(L$4=1,IF(OR(INDEX('×入力'!$A$1:$L$1300,1183+L$3,2+L$2)&lt;&gt;"",INDEX('×入力'!$A$1:$L$1300,1182,2+L$2)&lt;&gt;"",INDEX('×入力'!$A$1:$L$1300,1183+L$3,1)&lt;&gt;""),1,0),0)</f>
        <v/>
      </c>
      <c r="M52">
        <f>IF(M$4=1,IF(OR(INDEX('×入力'!$A$1:$L$1300,1183+M$3,2+M$2)&lt;&gt;"",INDEX('×入力'!$A$1:$L$1300,1182,2+M$2)&lt;&gt;"",INDEX('×入力'!$A$1:$L$1300,1183+M$3,1)&lt;&gt;""),1,0),0)</f>
        <v/>
      </c>
      <c r="N52">
        <f>IF(N$4=1,IF(OR(INDEX('×入力'!$A$1:$L$1300,1183+N$3,2+N$2)&lt;&gt;"",INDEX('×入力'!$A$1:$L$1300,1182,2+N$2)&lt;&gt;"",INDEX('×入力'!$A$1:$L$1300,1183+N$3,1)&lt;&gt;""),1,0),0)</f>
        <v/>
      </c>
      <c r="O52">
        <f>IF(O$4=1,IF(OR(INDEX('×入力'!$A$1:$L$1300,1183+O$3,2+O$2)&lt;&gt;"",INDEX('×入力'!$A$1:$L$1300,1182,2+O$2)&lt;&gt;"",INDEX('×入力'!$A$1:$L$1300,1183+O$3,1)&lt;&gt;""),1,0),0)</f>
        <v/>
      </c>
      <c r="P52">
        <f>IF(P$4=1,IF(OR(INDEX('×入力'!$A$1:$L$1300,1183+P$3,2+P$2)&lt;&gt;"",INDEX('×入力'!$A$1:$L$1300,1182,2+P$2)&lt;&gt;"",INDEX('×入力'!$A$1:$L$1300,1183+P$3,1)&lt;&gt;""),1,0),0)</f>
        <v/>
      </c>
      <c r="Q52">
        <f>IF(Q$4=1,IF(OR(INDEX('×入力'!$A$1:$L$1300,1183+Q$3,2+Q$2)&lt;&gt;"",INDEX('×入力'!$A$1:$L$1300,1182,2+Q$2)&lt;&gt;"",INDEX('×入力'!$A$1:$L$1300,1183+Q$3,1)&lt;&gt;""),1,0),0)</f>
        <v/>
      </c>
      <c r="R52">
        <f>IF(R$4=1,IF(OR(INDEX('×入力'!$A$1:$L$1300,1183+R$3,2+R$2)&lt;&gt;"",INDEX('×入力'!$A$1:$L$1300,1182,2+R$2)&lt;&gt;"",INDEX('×入力'!$A$1:$L$1300,1183+R$3,1)&lt;&gt;""),1,0),0)</f>
        <v/>
      </c>
      <c r="S52">
        <f>IF(S$4=1,IF(OR(INDEX('×入力'!$A$1:$L$1300,1183+S$3,2+S$2)&lt;&gt;"",INDEX('×入力'!$A$1:$L$1300,1182,2+S$2)&lt;&gt;"",INDEX('×入力'!$A$1:$L$1300,1183+S$3,1)&lt;&gt;""),1,0),0)</f>
        <v/>
      </c>
      <c r="T52">
        <f>IF(T$4=1,IF(OR(INDEX('×入力'!$A$1:$L$1300,1183+T$3,2+T$2)&lt;&gt;"",INDEX('×入力'!$A$1:$L$1300,1182,2+T$2)&lt;&gt;"",INDEX('×入力'!$A$1:$L$1300,1183+T$3,1)&lt;&gt;""),1,0),0)</f>
        <v/>
      </c>
      <c r="U52">
        <f>IF(U$4=1,IF(OR(INDEX('×入力'!$A$1:$L$1300,1183+U$3,2+U$2)&lt;&gt;"",INDEX('×入力'!$A$1:$L$1300,1182,2+U$2)&lt;&gt;"",INDEX('×入力'!$A$1:$L$1300,1183+U$3,1)&lt;&gt;""),1,0),0)</f>
        <v/>
      </c>
      <c r="V52">
        <f>IF(V$4=1,IF(OR(INDEX('×入力'!$A$1:$L$1300,1183+V$3,2+V$2)&lt;&gt;"",INDEX('×入力'!$A$1:$L$1300,1182,2+V$2)&lt;&gt;"",INDEX('×入力'!$A$1:$L$1300,1183+V$3,1)&lt;&gt;""),1,0),0)</f>
        <v/>
      </c>
      <c r="W52">
        <f>IF(W$4=1,IF(OR(INDEX('×入力'!$A$1:$L$1300,1183+W$3,2+W$2)&lt;&gt;"",INDEX('×入力'!$A$1:$L$1300,1182,2+W$2)&lt;&gt;"",INDEX('×入力'!$A$1:$L$1300,1183+W$3,1)&lt;&gt;""),1,0),0)</f>
        <v/>
      </c>
      <c r="X52">
        <f>IF(X$4=1,IF(OR(INDEX('×入力'!$A$1:$L$1300,1183+X$3,2+X$2)&lt;&gt;"",INDEX('×入力'!$A$1:$L$1300,1182,2+X$2)&lt;&gt;"",INDEX('×入力'!$A$1:$L$1300,1183+X$3,1)&lt;&gt;""),1,0),0)</f>
        <v/>
      </c>
      <c r="Y52">
        <f>IF(Y$4=1,IF(OR(INDEX('×入力'!$A$1:$L$1300,1183+Y$3,2+Y$2)&lt;&gt;"",INDEX('×入力'!$A$1:$L$1300,1182,2+Y$2)&lt;&gt;"",INDEX('×入力'!$A$1:$L$1300,1183+Y$3,1)&lt;&gt;""),1,0),0)</f>
        <v/>
      </c>
      <c r="Z52">
        <f>IF(Z$4=1,IF(OR(INDEX('×入力'!$A$1:$L$1300,1183+Z$3,2+Z$2)&lt;&gt;"",INDEX('×入力'!$A$1:$L$1300,1182,2+Z$2)&lt;&gt;"",INDEX('×入力'!$A$1:$L$1300,1183+Z$3,1)&lt;&gt;""),1,0),0)</f>
        <v/>
      </c>
      <c r="AA52">
        <f>IF(AA$4=1,IF(OR(INDEX('×入力'!$A$1:$L$1300,1183+AA$3,2+AA$2)&lt;&gt;"",INDEX('×入力'!$A$1:$L$1300,1182,2+AA$2)&lt;&gt;"",INDEX('×入力'!$A$1:$L$1300,1183+AA$3,1)&lt;&gt;""),1,0),0)</f>
        <v/>
      </c>
      <c r="AB52">
        <f>IF(AB$4=1,IF(OR(INDEX('×入力'!$A$1:$L$1300,1183+AB$3,2+AB$2)&lt;&gt;"",INDEX('×入力'!$A$1:$L$1300,1182,2+AB$2)&lt;&gt;"",INDEX('×入力'!$A$1:$L$1300,1183+AB$3,1)&lt;&gt;""),1,0),0)</f>
        <v/>
      </c>
      <c r="AC52">
        <f>IF(AC$4=1,IF(OR(INDEX('×入力'!$A$1:$L$1300,1183+AC$3,2+AC$2)&lt;&gt;"",INDEX('×入力'!$A$1:$L$1300,1182,2+AC$2)&lt;&gt;"",INDEX('×入力'!$A$1:$L$1300,1183+AC$3,1)&lt;&gt;""),1,0),0)</f>
        <v/>
      </c>
      <c r="AD52">
        <f>IF(AD$4=1,IF(OR(INDEX('×入力'!$A$1:$L$1300,1183+AD$3,2+AD$2)&lt;&gt;"",INDEX('×入力'!$A$1:$L$1300,1182,2+AD$2)&lt;&gt;"",INDEX('×入力'!$A$1:$L$1300,1183+AD$3,1)&lt;&gt;""),1,0),0)</f>
        <v/>
      </c>
      <c r="AE52">
        <f>IF(AE$4=1,IF(OR(INDEX('×入力'!$A$1:$L$1300,1183+AE$3,2+AE$2)&lt;&gt;"",INDEX('×入力'!$A$1:$L$1300,1182,2+AE$2)&lt;&gt;"",INDEX('×入力'!$A$1:$L$1300,1183+AE$3,1)&lt;&gt;""),1,0),0)</f>
        <v/>
      </c>
      <c r="AF52">
        <f>IF(AF$4=1,IF(OR(INDEX('×入力'!$A$1:$L$1300,1183+AF$3,2+AF$2)&lt;&gt;"",INDEX('×入力'!$A$1:$L$1300,1182,2+AF$2)&lt;&gt;"",INDEX('×入力'!$A$1:$L$1300,1183+AF$3,1)&lt;&gt;""),1,0),0)</f>
        <v/>
      </c>
      <c r="AG52">
        <f>IF(AG$4=1,IF(OR(INDEX('×入力'!$A$1:$L$1300,1183+AG$3,2+AG$2)&lt;&gt;"",INDEX('×入力'!$A$1:$L$1300,1182,2+AG$2)&lt;&gt;"",INDEX('×入力'!$A$1:$L$1300,1183+AG$3,1)&lt;&gt;""),1,0),0)</f>
        <v/>
      </c>
      <c r="AH52">
        <f>IF(AH$4=1,IF(OR(INDEX('×入力'!$A$1:$L$1300,1183+AH$3,2+AH$2)&lt;&gt;"",INDEX('×入力'!$A$1:$L$1300,1182,2+AH$2)&lt;&gt;"",INDEX('×入力'!$A$1:$L$1300,1183+AH$3,1)&lt;&gt;""),1,0),0)</f>
        <v/>
      </c>
      <c r="AI52">
        <f>IF(AI$4=1,IF(OR(INDEX('×入力'!$A$1:$L$1300,1183+AI$3,2+AI$2)&lt;&gt;"",INDEX('×入力'!$A$1:$L$1300,1182,2+AI$2)&lt;&gt;"",INDEX('×入力'!$A$1:$L$1300,1183+AI$3,1)&lt;&gt;""),1,0),0)</f>
        <v/>
      </c>
      <c r="AJ52">
        <f>IF(AJ$4=1,IF(OR(INDEX('×入力'!$A$1:$L$1300,1183+AJ$3,2+AJ$2)&lt;&gt;"",INDEX('×入力'!$A$1:$L$1300,1182,2+AJ$2)&lt;&gt;"",INDEX('×入力'!$A$1:$L$1300,1183+AJ$3,1)&lt;&gt;""),1,0),0)</f>
        <v/>
      </c>
      <c r="AK52">
        <f>IF(AK$4=1,IF(OR(INDEX('×入力'!$A$1:$L$1300,1183+AK$3,2+AK$2)&lt;&gt;"",INDEX('×入力'!$A$1:$L$1300,1182,2+AK$2)&lt;&gt;"",INDEX('×入力'!$A$1:$L$1300,1183+AK$3,1)&lt;&gt;""),1,0),0)</f>
        <v/>
      </c>
      <c r="AL52">
        <f>IF(AL$4=1,IF(OR(INDEX('×入力'!$A$1:$L$1300,1183+AL$3,2+AL$2)&lt;&gt;"",INDEX('×入力'!$A$1:$L$1300,1182,2+AL$2)&lt;&gt;"",INDEX('×入力'!$A$1:$L$1300,1183+AL$3,1)&lt;&gt;""),1,0),0)</f>
        <v/>
      </c>
      <c r="AM52">
        <f>IF(AM$4=1,IF(OR(INDEX('×入力'!$A$1:$L$1300,1183+AM$3,2+AM$2)&lt;&gt;"",INDEX('×入力'!$A$1:$L$1300,1182,2+AM$2)&lt;&gt;"",INDEX('×入力'!$A$1:$L$1300,1183+AM$3,1)&lt;&gt;""),1,0),0)</f>
        <v/>
      </c>
      <c r="AN52">
        <f>IF(AN$4=1,IF(OR(INDEX('×入力'!$A$1:$L$1300,1183+AN$3,2+AN$2)&lt;&gt;"",INDEX('×入力'!$A$1:$L$1300,1182,2+AN$2)&lt;&gt;"",INDEX('×入力'!$A$1:$L$1300,1183+AN$3,1)&lt;&gt;""),1,0),0)</f>
        <v/>
      </c>
      <c r="AO52">
        <f>IF(AO$4=1,IF(OR(INDEX('×入力'!$A$1:$L$1300,1183+AO$3,2+AO$2)&lt;&gt;"",INDEX('×入力'!$A$1:$L$1300,1182,2+AO$2)&lt;&gt;"",INDEX('×入力'!$A$1:$L$1300,1183+AO$3,1)&lt;&gt;""),1,0),0)</f>
        <v/>
      </c>
      <c r="AP52">
        <f>IF(AP$4=1,IF(OR(INDEX('×入力'!$A$1:$L$1300,1183+AP$3,2+AP$2)&lt;&gt;"",INDEX('×入力'!$A$1:$L$1300,1182,2+AP$2)&lt;&gt;"",INDEX('×入力'!$A$1:$L$1300,1183+AP$3,1)&lt;&gt;""),1,0),0)</f>
        <v/>
      </c>
      <c r="AQ52">
        <f>IF(AQ$4=1,IF(OR(INDEX('×入力'!$A$1:$L$1300,1183+AQ$3,2+AQ$2)&lt;&gt;"",INDEX('×入力'!$A$1:$L$1300,1182,2+AQ$2)&lt;&gt;"",INDEX('×入力'!$A$1:$L$1300,1183+AQ$3,1)&lt;&gt;""),1,0),0)</f>
        <v/>
      </c>
      <c r="AR52">
        <f>IF(AR$4=1,IF(OR(INDEX('×入力'!$A$1:$L$1300,1183+AR$3,2+AR$2)&lt;&gt;"",INDEX('×入力'!$A$1:$L$1300,1182,2+AR$2)&lt;&gt;"",INDEX('×入力'!$A$1:$L$1300,1183+AR$3,1)&lt;&gt;""),1,0),0)</f>
        <v/>
      </c>
      <c r="AS52">
        <f>IF(AS$4=1,IF(OR(INDEX('×入力'!$A$1:$L$1300,1183+AS$3,2+AS$2)&lt;&gt;"",INDEX('×入力'!$A$1:$L$1300,1182,2+AS$2)&lt;&gt;"",INDEX('×入力'!$A$1:$L$1300,1183+AS$3,1)&lt;&gt;""),1,0),0)</f>
        <v/>
      </c>
      <c r="AT52">
        <f>IF(AT$4=1,IF(OR(INDEX('×入力'!$A$1:$L$1300,1183+AT$3,2+AT$2)&lt;&gt;"",INDEX('×入力'!$A$1:$L$1300,1182,2+AT$2)&lt;&gt;"",INDEX('×入力'!$A$1:$L$1300,1183+AT$3,1)&lt;&gt;""),1,0),0)</f>
        <v/>
      </c>
      <c r="AU52">
        <f>IF(AU$4=1,IF(OR(INDEX('×入力'!$A$1:$L$1300,1183+AU$3,2+AU$2)&lt;&gt;"",INDEX('×入力'!$A$1:$L$1300,1182,2+AU$2)&lt;&gt;"",INDEX('×入力'!$A$1:$L$1300,1183+AU$3,1)&lt;&gt;""),1,0),0)</f>
        <v/>
      </c>
      <c r="AV52">
        <f>IF(AV$4=1,IF(OR(INDEX('×入力'!$A$1:$L$1300,1183+AV$3,2+AV$2)&lt;&gt;"",INDEX('×入力'!$A$1:$L$1300,1182,2+AV$2)&lt;&gt;"",INDEX('×入力'!$A$1:$L$1300,1183+AV$3,1)&lt;&gt;""),1,0),0)</f>
        <v/>
      </c>
      <c r="AW52">
        <f>IF(AW$4=1,IF(OR(INDEX('×入力'!$A$1:$L$1300,1183+AW$3,2+AW$2)&lt;&gt;"",INDEX('×入力'!$A$1:$L$1300,1182,2+AW$2)&lt;&gt;"",INDEX('×入力'!$A$1:$L$1300,1183+AW$3,1)&lt;&gt;""),1,0),0)</f>
        <v/>
      </c>
      <c r="AX52">
        <f>IF(AX$4=1,IF(OR(INDEX('×入力'!$A$1:$L$1300,1183+AX$3,2+AX$2)&lt;&gt;"",INDEX('×入力'!$A$1:$L$1300,1182,2+AX$2)&lt;&gt;"",INDEX('×入力'!$A$1:$L$1300,1183+AX$3,1)&lt;&gt;""),1,0),0)</f>
        <v/>
      </c>
      <c r="AY52">
        <f>IF(AY$4=1,IF(OR(INDEX('×入力'!$A$1:$L$1300,1183+AY$3,2+AY$2)&lt;&gt;"",INDEX('×入力'!$A$1:$L$1300,1182,2+AY$2)&lt;&gt;"",INDEX('×入力'!$A$1:$L$1300,1183+AY$3,1)&lt;&gt;""),1,0),0)</f>
        <v/>
      </c>
      <c r="AZ52">
        <f>IF(AZ$4=1,IF(OR(INDEX('×入力'!$A$1:$L$1300,1183+AZ$3,2+AZ$2)&lt;&gt;"",INDEX('×入力'!$A$1:$L$1300,1182,2+AZ$2)&lt;&gt;"",INDEX('×入力'!$A$1:$L$1300,1183+AZ$3,1)&lt;&gt;""),1,0),0)</f>
        <v/>
      </c>
      <c r="BA52">
        <f>IF(BA$4=1,IF(OR(INDEX('×入力'!$A$1:$L$1300,1183+BA$3,2+BA$2)&lt;&gt;"",INDEX('×入力'!$A$1:$L$1300,1182,2+BA$2)&lt;&gt;"",INDEX('×入力'!$A$1:$L$1300,1183+BA$3,1)&lt;&gt;""),1,0),0)</f>
        <v/>
      </c>
      <c r="BB52">
        <f>IF(BB$4=1,IF(OR(INDEX('×入力'!$A$1:$L$1300,1183+BB$3,2+BB$2)&lt;&gt;"",INDEX('×入力'!$A$1:$L$1300,1182,2+BB$2)&lt;&gt;"",INDEX('×入力'!$A$1:$L$1300,1183+BB$3,1)&lt;&gt;""),1,0),0)</f>
        <v/>
      </c>
      <c r="BC52">
        <f>IF(BC$4=1,IF(OR(INDEX('×入力'!$A$1:$L$1300,1183+BC$3,2+BC$2)&lt;&gt;"",INDEX('×入力'!$A$1:$L$1300,1182,2+BC$2)&lt;&gt;"",INDEX('×入力'!$A$1:$L$1300,1183+BC$3,1)&lt;&gt;""),1,0),0)</f>
        <v/>
      </c>
      <c r="BD52">
        <f>IF(BD$4=1,IF(OR(INDEX('×入力'!$A$1:$L$1300,1183+BD$3,2+BD$2)&lt;&gt;"",INDEX('×入力'!$A$1:$L$1300,1182,2+BD$2)&lt;&gt;"",INDEX('×入力'!$A$1:$L$1300,1183+BD$3,1)&lt;&gt;""),1,0),0)</f>
        <v/>
      </c>
      <c r="BE52">
        <f>IF(BE$4=1,IF(OR(INDEX('×入力'!$A$1:$L$1300,1183+BE$3,2+BE$2)&lt;&gt;"",INDEX('×入力'!$A$1:$L$1300,1182,2+BE$2)&lt;&gt;"",INDEX('×入力'!$A$1:$L$1300,1183+BE$3,1)&lt;&gt;""),1,0),0)</f>
        <v/>
      </c>
      <c r="BF52">
        <f>IF(BF$4=1,IF(OR(INDEX('×入力'!$A$1:$L$1300,1183+BF$3,2+BF$2)&lt;&gt;"",INDEX('×入力'!$A$1:$L$1300,1182,2+BF$2)&lt;&gt;"",INDEX('×入力'!$A$1:$L$1300,1183+BF$3,1)&lt;&gt;""),1,0),0)</f>
        <v/>
      </c>
      <c r="BG52">
        <f>IF(BG$4=1,IF(OR(INDEX('×入力'!$A$1:$L$1300,1183+BG$3,2+BG$2)&lt;&gt;"",INDEX('×入力'!$A$1:$L$1300,1182,2+BG$2)&lt;&gt;"",INDEX('×入力'!$A$1:$L$1300,1183+BG$3,1)&lt;&gt;""),1,0),0)</f>
        <v/>
      </c>
      <c r="BH52">
        <f>IF(BH$4=1,IF(OR(INDEX('×入力'!$A$1:$L$1300,1183+BH$3,2+BH$2)&lt;&gt;"",INDEX('×入力'!$A$1:$L$1300,1182,2+BH$2)&lt;&gt;"",INDEX('×入力'!$A$1:$L$1300,1183+BH$3,1)&lt;&gt;""),1,0),0)</f>
        <v/>
      </c>
      <c r="BI52">
        <f>IF(BI$4=1,IF(OR(INDEX('×入力'!$A$1:$L$1300,1183+BI$3,2+BI$2)&lt;&gt;"",INDEX('×入力'!$A$1:$L$1300,1182,2+BI$2)&lt;&gt;"",INDEX('×入力'!$A$1:$L$1300,1183+BI$3,1)&lt;&gt;""),1,0),0)</f>
        <v/>
      </c>
      <c r="BJ52">
        <f>IF(BJ$4=1,IF(OR(INDEX('×入力'!$A$1:$L$1300,1183+BJ$3,2+BJ$2)&lt;&gt;"",INDEX('×入力'!$A$1:$L$1300,1182,2+BJ$2)&lt;&gt;"",INDEX('×入力'!$A$1:$L$1300,1183+BJ$3,1)&lt;&gt;""),1,0),0)</f>
        <v/>
      </c>
      <c r="BK52">
        <f>IF(BK$4=1,IF(OR(INDEX('×入力'!$A$1:$L$1300,1183+BK$3,2+BK$2)&lt;&gt;"",INDEX('×入力'!$A$1:$L$1300,1182,2+BK$2)&lt;&gt;"",INDEX('×入力'!$A$1:$L$1300,1183+BK$3,1)&lt;&gt;""),1,0),0)</f>
        <v/>
      </c>
      <c r="BL52">
        <f>IF(BL$4=1,IF(OR(INDEX('×入力'!$A$1:$L$1300,1183+BL$3,2+BL$2)&lt;&gt;"",INDEX('×入力'!$A$1:$L$1300,1182,2+BL$2)&lt;&gt;"",INDEX('×入力'!$A$1:$L$1300,1183+BL$3,1)&lt;&gt;""),1,0),0)</f>
        <v/>
      </c>
      <c r="BM52">
        <f>IF(BM$4=1,IF(OR(INDEX('×入力'!$A$1:$L$1300,1183+BM$3,2+BM$2)&lt;&gt;"",INDEX('×入力'!$A$1:$L$1300,1182,2+BM$2)&lt;&gt;"",INDEX('×入力'!$A$1:$L$1300,1183+BM$3,1)&lt;&gt;""),1,0),0)</f>
        <v/>
      </c>
      <c r="BN52">
        <f>IF(BN$4=1,IF(OR(INDEX('×入力'!$A$1:$L$1300,1183+BN$3,2+BN$2)&lt;&gt;"",INDEX('×入力'!$A$1:$L$1300,1182,2+BN$2)&lt;&gt;"",INDEX('×入力'!$A$1:$L$1300,1183+BN$3,1)&lt;&gt;""),1,0),0)</f>
        <v/>
      </c>
      <c r="BO52">
        <f>IF(BO$4=1,IF(OR(INDEX('×入力'!$A$1:$L$1300,1183+BO$3,2+BO$2)&lt;&gt;"",INDEX('×入力'!$A$1:$L$1300,1182,2+BO$2)&lt;&gt;"",INDEX('×入力'!$A$1:$L$1300,1183+BO$3,1)&lt;&gt;""),1,0),0)</f>
        <v/>
      </c>
      <c r="BP52">
        <f>IF(BP$4=1,IF(OR(INDEX('×入力'!$A$1:$L$1300,1183+BP$3,2+BP$2)&lt;&gt;"",INDEX('×入力'!$A$1:$L$1300,1182,2+BP$2)&lt;&gt;"",INDEX('×入力'!$A$1:$L$1300,1183+BP$3,1)&lt;&gt;""),1,0),0)</f>
        <v/>
      </c>
      <c r="BQ52">
        <f>IF(BQ$4=1,IF(OR(INDEX('×入力'!$A$1:$L$1300,1183+BQ$3,2+BQ$2)&lt;&gt;"",INDEX('×入力'!$A$1:$L$1300,1182,2+BQ$2)&lt;&gt;"",INDEX('×入力'!$A$1:$L$1300,1183+BQ$3,1)&lt;&gt;""),1,0),0)</f>
        <v/>
      </c>
      <c r="BR52">
        <f>IF(BR$4=1,IF(OR(INDEX('×入力'!$A$1:$L$1300,1183+BR$3,2+BR$2)&lt;&gt;"",INDEX('×入力'!$A$1:$L$1300,1182,2+BR$2)&lt;&gt;"",INDEX('×入力'!$A$1:$L$1300,1183+BR$3,1)&lt;&gt;""),1,0),0)</f>
        <v/>
      </c>
      <c r="BS52">
        <f>IF(BS$4=1,IF(OR(INDEX('×入力'!$A$1:$L$1300,1183+BS$3,2+BS$2)&lt;&gt;"",INDEX('×入力'!$A$1:$L$1300,1182,2+BS$2)&lt;&gt;"",INDEX('×入力'!$A$1:$L$1300,1183+BS$3,1)&lt;&gt;""),1,0),0)</f>
        <v/>
      </c>
      <c r="BT52">
        <f>IF(BT$4=1,IF(OR(INDEX('×入力'!$A$1:$L$1300,1183+BT$3,2+BT$2)&lt;&gt;"",INDEX('×入力'!$A$1:$L$1300,1182,2+BT$2)&lt;&gt;"",INDEX('×入力'!$A$1:$L$1300,1183+BT$3,1)&lt;&gt;""),1,0),0)</f>
        <v/>
      </c>
      <c r="BU52">
        <f>IF(BU$4=1,IF(OR(INDEX('×入力'!$A$1:$L$1300,1183+BU$3,2+BU$2)&lt;&gt;"",INDEX('×入力'!$A$1:$L$1300,1182,2+BU$2)&lt;&gt;"",INDEX('×入力'!$A$1:$L$1300,1183+BU$3,1)&lt;&gt;""),1,0),0)</f>
        <v/>
      </c>
      <c r="BV52">
        <f>IF(BV$4=1,IF(OR(INDEX('×入力'!$A$1:$L$1300,1183+BV$3,2+BV$2)&lt;&gt;"",INDEX('×入力'!$A$1:$L$1300,1182,2+BV$2)&lt;&gt;"",INDEX('×入力'!$A$1:$L$1300,1183+BV$3,1)&lt;&gt;""),1,0),0)</f>
        <v/>
      </c>
      <c r="BW52">
        <f>IF(BW$4=1,IF(OR(INDEX('×入力'!$A$1:$L$1300,1183+BW$3,2+BW$2)&lt;&gt;"",INDEX('×入力'!$A$1:$L$1300,1182,2+BW$2)&lt;&gt;"",INDEX('×入力'!$A$1:$L$1300,1183+BW$3,1)&lt;&gt;""),1,0),0)</f>
        <v/>
      </c>
      <c r="BX52">
        <f>IF(BX$4=1,IF(OR(INDEX('×入力'!$A$1:$L$1300,1183+BX$3,2+BX$2)&lt;&gt;"",INDEX('×入力'!$A$1:$L$1300,1182,2+BX$2)&lt;&gt;"",INDEX('×入力'!$A$1:$L$1300,1183+BX$3,1)&lt;&gt;""),1,0),0)</f>
        <v/>
      </c>
      <c r="BY52">
        <f>IF(BY$4=1,IF(OR(INDEX('×入力'!$A$1:$L$1300,1183+BY$3,2+BY$2)&lt;&gt;"",INDEX('×入力'!$A$1:$L$1300,1182,2+BY$2)&lt;&gt;"",INDEX('×入力'!$A$1:$L$1300,1183+BY$3,1)&lt;&gt;""),1,0),0)</f>
        <v/>
      </c>
      <c r="BZ52">
        <f>IF(BZ$4=1,IF(OR(INDEX('×入力'!$A$1:$L$1300,1183+BZ$3,2+BZ$2)&lt;&gt;"",INDEX('×入力'!$A$1:$L$1300,1182,2+BZ$2)&lt;&gt;"",INDEX('×入力'!$A$1:$L$1300,1183+BZ$3,1)&lt;&gt;""),1,0),0)</f>
        <v/>
      </c>
      <c r="CA52">
        <f>IF(CA$4=1,IF(OR(INDEX('×入力'!$A$1:$L$1300,1183+CA$3,2+CA$2)&lt;&gt;"",INDEX('×入力'!$A$1:$L$1300,1182,2+CA$2)&lt;&gt;"",INDEX('×入力'!$A$1:$L$1300,1183+CA$3,1)&lt;&gt;""),1,0),0)</f>
        <v/>
      </c>
      <c r="CB52">
        <f>IF(CB$4=1,IF(OR(INDEX('×入力'!$A$1:$L$1300,1183+CB$3,2+CB$2)&lt;&gt;"",INDEX('×入力'!$A$1:$L$1300,1182,2+CB$2)&lt;&gt;"",INDEX('×入力'!$A$1:$L$1300,1183+CB$3,1)&lt;&gt;""),1,0),0)</f>
        <v/>
      </c>
      <c r="CC52">
        <f>IF(CC$4=1,IF(OR(INDEX('×入力'!$A$1:$L$1300,1183+CC$3,2+CC$2)&lt;&gt;"",INDEX('×入力'!$A$1:$L$1300,1182,2+CC$2)&lt;&gt;"",INDEX('×入力'!$A$1:$L$1300,1183+CC$3,1)&lt;&gt;""),1,0),0)</f>
        <v/>
      </c>
      <c r="CD52">
        <f>IF(CD$4=1,IF(OR(INDEX('×入力'!$A$1:$L$1300,1183+CD$3,2+CD$2)&lt;&gt;"",INDEX('×入力'!$A$1:$L$1300,1182,2+CD$2)&lt;&gt;"",INDEX('×入力'!$A$1:$L$1300,1183+CD$3,1)&lt;&gt;""),1,0),0)</f>
        <v/>
      </c>
      <c r="CE52">
        <f>IF(CE$4=1,IF(OR(INDEX('×入力'!$A$1:$L$1300,1183+CE$3,2+CE$2)&lt;&gt;"",INDEX('×入力'!$A$1:$L$1300,1182,2+CE$2)&lt;&gt;"",INDEX('×入力'!$A$1:$L$1300,1183+CE$3,1)&lt;&gt;""),1,0),0)</f>
        <v/>
      </c>
      <c r="CF52">
        <f>IF(CF$4=1,IF(OR(INDEX('×入力'!$A$1:$L$1300,1183+CF$3,2+CF$2)&lt;&gt;"",INDEX('×入力'!$A$1:$L$1300,1182,2+CF$2)&lt;&gt;"",INDEX('×入力'!$A$1:$L$1300,1183+CF$3,1)&lt;&gt;""),1,0),0)</f>
        <v/>
      </c>
      <c r="CG52">
        <f>IF(CG$4=1,IF(OR(INDEX('×入力'!$A$1:$L$1300,1183+CG$3,2+CG$2)&lt;&gt;"",INDEX('×入力'!$A$1:$L$1300,1182,2+CG$2)&lt;&gt;"",INDEX('×入力'!$A$1:$L$1300,1183+CG$3,1)&lt;&gt;""),1,0),0)</f>
        <v/>
      </c>
      <c r="CH52">
        <f>IF(CH$4=1,IF(OR(INDEX('×入力'!$A$1:$L$1300,1183+CH$3,2+CH$2)&lt;&gt;"",INDEX('×入力'!$A$1:$L$1300,1182,2+CH$2)&lt;&gt;"",INDEX('×入力'!$A$1:$L$1300,1183+CH$3,1)&lt;&gt;""),1,0),0)</f>
        <v/>
      </c>
      <c r="CI52">
        <f>IF(CI$4=1,IF(OR(INDEX('×入力'!$A$1:$L$1300,1183+CI$3,2+CI$2)&lt;&gt;"",INDEX('×入力'!$A$1:$L$1300,1182,2+CI$2)&lt;&gt;"",INDEX('×入力'!$A$1:$L$1300,1183+CI$3,1)&lt;&gt;""),1,0),0)</f>
        <v/>
      </c>
      <c r="CJ52">
        <f>IF(CJ$4=1,IF(OR(INDEX('×入力'!$A$1:$L$1300,1183+CJ$3,2+CJ$2)&lt;&gt;"",INDEX('×入力'!$A$1:$L$1300,1182,2+CJ$2)&lt;&gt;"",INDEX('×入力'!$A$1:$L$1300,1183+CJ$3,1)&lt;&gt;""),1,0),0)</f>
        <v/>
      </c>
      <c r="CK52">
        <f>IF(CK$4=1,IF(OR(INDEX('×入力'!$A$1:$L$1300,1183+CK$3,2+CK$2)&lt;&gt;"",INDEX('×入力'!$A$1:$L$1300,1182,2+CK$2)&lt;&gt;"",INDEX('×入力'!$A$1:$L$1300,1183+CK$3,1)&lt;&gt;""),1,0),0)</f>
        <v/>
      </c>
      <c r="CL52">
        <f>IF(CL$4=1,IF(OR(INDEX('×入力'!$A$1:$L$1300,1183+CL$3,2+CL$2)&lt;&gt;"",INDEX('×入力'!$A$1:$L$1300,1182,2+CL$2)&lt;&gt;"",INDEX('×入力'!$A$1:$L$1300,1183+CL$3,1)&lt;&gt;""),1,0),0)</f>
        <v/>
      </c>
      <c r="CM52">
        <f>IF(CM$4=1,IF(OR(INDEX('×入力'!$A$1:$L$1300,1183+CM$3,2+CM$2)&lt;&gt;"",INDEX('×入力'!$A$1:$L$1300,1182,2+CM$2)&lt;&gt;"",INDEX('×入力'!$A$1:$L$1300,1183+CM$3,1)&lt;&gt;""),1,0),0)</f>
        <v/>
      </c>
      <c r="CN52">
        <f>IF(CN$4=1,IF(OR(INDEX('×入力'!$A$1:$L$1300,1183+CN$3,2+CN$2)&lt;&gt;"",INDEX('×入力'!$A$1:$L$1300,1182,2+CN$2)&lt;&gt;"",INDEX('×入力'!$A$1:$L$1300,1183+CN$3,1)&lt;&gt;""),1,0),0)</f>
        <v/>
      </c>
      <c r="CO52">
        <f>IF(CO$4=1,IF(OR(INDEX('×入力'!$A$1:$L$1300,1183+CO$3,2+CO$2)&lt;&gt;"",INDEX('×入力'!$A$1:$L$1300,1182,2+CO$2)&lt;&gt;"",INDEX('×入力'!$A$1:$L$1300,1183+CO$3,1)&lt;&gt;""),1,0),0)</f>
        <v/>
      </c>
      <c r="CP52">
        <f>IF(CP$4=1,IF(OR(INDEX('×入力'!$A$1:$L$1300,1183+CP$3,2+CP$2)&lt;&gt;"",INDEX('×入力'!$A$1:$L$1300,1182,2+CP$2)&lt;&gt;"",INDEX('×入力'!$A$1:$L$1300,1183+CP$3,1)&lt;&gt;""),1,0),0)</f>
        <v/>
      </c>
      <c r="CQ52">
        <f>IF(CQ$4=1,IF(OR(INDEX('×入力'!$A$1:$L$1300,1183+CQ$3,2+CQ$2)&lt;&gt;"",INDEX('×入力'!$A$1:$L$1300,1182,2+CQ$2)&lt;&gt;"",INDEX('×入力'!$A$1:$L$1300,1183+CQ$3,1)&lt;&gt;""),1,0),0)</f>
        <v/>
      </c>
      <c r="CR52">
        <f>IF(CR$4=1,IF(OR(INDEX('×入力'!$A$1:$L$1300,1183+CR$3,2+CR$2)&lt;&gt;"",INDEX('×入力'!$A$1:$L$1300,1182,2+CR$2)&lt;&gt;"",INDEX('×入力'!$A$1:$L$1300,1183+CR$3,1)&lt;&gt;""),1,0),0)</f>
        <v/>
      </c>
      <c r="CS52">
        <f>IF(CS$4=1,IF(OR(INDEX('×入力'!$A$1:$L$1300,1183+CS$3,2+CS$2)&lt;&gt;"",INDEX('×入力'!$A$1:$L$1300,1182,2+CS$2)&lt;&gt;"",INDEX('×入力'!$A$1:$L$1300,1183+CS$3,1)&lt;&gt;""),1,0),0)</f>
        <v/>
      </c>
      <c r="CT52">
        <f>IF(CT$4=1,IF(OR(INDEX('×入力'!$A$1:$L$1300,1183+CT$3,2+CT$2)&lt;&gt;"",INDEX('×入力'!$A$1:$L$1300,1182,2+CT$2)&lt;&gt;"",INDEX('×入力'!$A$1:$L$1300,1183+CT$3,1)&lt;&gt;""),1,0),0)</f>
        <v/>
      </c>
      <c r="CU52">
        <f>IF(CU$4=1,IF(OR(INDEX('×入力'!$A$1:$L$1300,1183+CU$3,2+CU$2)&lt;&gt;"",INDEX('×入力'!$A$1:$L$1300,1182,2+CU$2)&lt;&gt;"",INDEX('×入力'!$A$1:$L$1300,1183+CU$3,1)&lt;&gt;""),1,0),0)</f>
        <v/>
      </c>
      <c r="CV52">
        <f>IF(CV$4=1,IF(OR(INDEX('×入力'!$A$1:$L$1300,1183+CV$3,2+CV$2)&lt;&gt;"",INDEX('×入力'!$A$1:$L$1300,1182,2+CV$2)&lt;&gt;"",INDEX('×入力'!$A$1:$L$1300,1183+CV$3,1)&lt;&gt;""),1,0),0)</f>
        <v/>
      </c>
      <c r="CW52">
        <f>IF(CW$4=1,IF(OR(INDEX('×入力'!$A$1:$L$1300,1183+CW$3,2+CW$2)&lt;&gt;"",INDEX('×入力'!$A$1:$L$1300,1182,2+CW$2)&lt;&gt;"",INDEX('×入力'!$A$1:$L$1300,1183+CW$3,1)&lt;&gt;""),1,0),0)</f>
        <v/>
      </c>
      <c r="CX52">
        <f>IF(CX$4=1,IF(OR(INDEX('×入力'!$A$1:$L$1300,1183+CX$3,2+CX$2)&lt;&gt;"",INDEX('×入力'!$A$1:$L$1300,1182,2+CX$2)&lt;&gt;"",INDEX('×入力'!$A$1:$L$1300,1183+CX$3,1)&lt;&gt;""),1,0),0)</f>
        <v/>
      </c>
      <c r="CY52">
        <f>IF(CY$4=1,IF(OR(INDEX('×入力'!$A$1:$L$1300,1183+CY$3,2+CY$2)&lt;&gt;"",INDEX('×入力'!$A$1:$L$1300,1182,2+CY$2)&lt;&gt;"",INDEX('×入力'!$A$1:$L$1300,1183+CY$3,1)&lt;&gt;""),1,0),0)</f>
        <v/>
      </c>
      <c r="CZ52">
        <f>IF(CZ$4=1,IF(OR(INDEX('×入力'!$A$1:$L$1300,1183+CZ$3,2+CZ$2)&lt;&gt;"",INDEX('×入力'!$A$1:$L$1300,1182,2+CZ$2)&lt;&gt;"",INDEX('×入力'!$A$1:$L$1300,1183+CZ$3,1)&lt;&gt;""),1,0),0)</f>
        <v/>
      </c>
      <c r="DA52">
        <f>IF(DA$4=1,IF(OR(INDEX('×入力'!$A$1:$L$1300,1183+DA$3,2+DA$2)&lt;&gt;"",INDEX('×入力'!$A$1:$L$1300,1182,2+DA$2)&lt;&gt;"",INDEX('×入力'!$A$1:$L$1300,1183+DA$3,1)&lt;&gt;""),1,0),0)</f>
        <v/>
      </c>
      <c r="DB52">
        <f>IF(DB$4=1,IF(OR(INDEX('×入力'!$A$1:$L$1300,1183+DB$3,2+DB$2)&lt;&gt;"",INDEX('×入力'!$A$1:$L$1300,1182,2+DB$2)&lt;&gt;"",INDEX('×入力'!$A$1:$L$1300,1183+DB$3,1)&lt;&gt;""),1,0),0)</f>
        <v/>
      </c>
      <c r="DC52">
        <f>IF(DC$4=1,IF(OR(INDEX('×入力'!$A$1:$L$1300,1183+DC$3,2+DC$2)&lt;&gt;"",INDEX('×入力'!$A$1:$L$1300,1182,2+DC$2)&lt;&gt;"",INDEX('×入力'!$A$1:$L$1300,1183+DC$3,1)&lt;&gt;""),1,0),0)</f>
        <v/>
      </c>
      <c r="DD52">
        <f>IF(DD$4=1,IF(OR(INDEX('×入力'!$A$1:$L$1300,1183+DD$3,2+DD$2)&lt;&gt;"",INDEX('×入力'!$A$1:$L$1300,1182,2+DD$2)&lt;&gt;"",INDEX('×入力'!$A$1:$L$1300,1183+DD$3,1)&lt;&gt;""),1,0),0)</f>
        <v/>
      </c>
      <c r="DE52">
        <f>IF(DE$4=1,IF(OR(INDEX('×入力'!$A$1:$L$1300,1183+DE$3,2+DE$2)&lt;&gt;"",INDEX('×入力'!$A$1:$L$1300,1182,2+DE$2)&lt;&gt;"",INDEX('×入力'!$A$1:$L$1300,1183+DE$3,1)&lt;&gt;""),1,0),0)</f>
        <v/>
      </c>
      <c r="DF52">
        <f>IF(DF$4=1,IF(OR(INDEX('×入力'!$A$1:$L$1300,1183+DF$3,2+DF$2)&lt;&gt;"",INDEX('×入力'!$A$1:$L$1300,1182,2+DF$2)&lt;&gt;"",INDEX('×入力'!$A$1:$L$1300,1183+DF$3,1)&lt;&gt;""),1,0),0)</f>
        <v/>
      </c>
      <c r="DG52">
        <f>IF(DG$4=1,IF(OR(INDEX('×入力'!$A$1:$L$1300,1183+DG$3,2+DG$2)&lt;&gt;"",INDEX('×入力'!$A$1:$L$1300,1182,2+DG$2)&lt;&gt;"",INDEX('×入力'!$A$1:$L$1300,1183+DG$3,1)&lt;&gt;""),1,0),0)</f>
        <v/>
      </c>
      <c r="DH52">
        <f>IF(DH$4=1,IF(OR(INDEX('×入力'!$A$1:$L$1300,1183+DH$3,2+DH$2)&lt;&gt;"",INDEX('×入力'!$A$1:$L$1300,1182,2+DH$2)&lt;&gt;"",INDEX('×入力'!$A$1:$L$1300,1183+DH$3,1)&lt;&gt;""),1,0),0)</f>
        <v/>
      </c>
      <c r="DI52">
        <f>IF(DI$4=1,IF(OR(INDEX('×入力'!$A$1:$L$1300,1183+DI$3,2+DI$2)&lt;&gt;"",INDEX('×入力'!$A$1:$L$1300,1182,2+DI$2)&lt;&gt;"",INDEX('×入力'!$A$1:$L$1300,1183+DI$3,1)&lt;&gt;""),1,0),0)</f>
        <v/>
      </c>
      <c r="DJ52">
        <f>IF(DJ$4=1,IF(OR(INDEX('×入力'!$A$1:$L$1300,1183+DJ$3,2+DJ$2)&lt;&gt;"",INDEX('×入力'!$A$1:$L$1300,1182,2+DJ$2)&lt;&gt;"",INDEX('×入力'!$A$1:$L$1300,1183+DJ$3,1)&lt;&gt;""),1,0),0)</f>
        <v/>
      </c>
      <c r="DK52">
        <f>IF(DK$4=1,IF(OR(INDEX('×入力'!$A$1:$L$1300,1183+DK$3,2+DK$2)&lt;&gt;"",INDEX('×入力'!$A$1:$L$1300,1182,2+DK$2)&lt;&gt;"",INDEX('×入力'!$A$1:$L$1300,1183+DK$3,1)&lt;&gt;""),1,0),0)</f>
        <v/>
      </c>
      <c r="DL52">
        <f>IF(DL$4=1,IF(OR(INDEX('×入力'!$A$1:$L$1300,1183+DL$3,2+DL$2)&lt;&gt;"",INDEX('×入力'!$A$1:$L$1300,1182,2+DL$2)&lt;&gt;"",INDEX('×入力'!$A$1:$L$1300,1183+DL$3,1)&lt;&gt;""),1,0),0)</f>
        <v/>
      </c>
      <c r="DM52">
        <f>IF(DM$4=1,IF(OR(INDEX('×入力'!$A$1:$L$1300,1183+DM$3,2+DM$2)&lt;&gt;"",INDEX('×入力'!$A$1:$L$1300,1182,2+DM$2)&lt;&gt;"",INDEX('×入力'!$A$1:$L$1300,1183+DM$3,1)&lt;&gt;""),1,0),0)</f>
        <v/>
      </c>
      <c r="DN52">
        <f>IF(DN$4=1,IF(OR(INDEX('×入力'!$A$1:$L$1300,1183+DN$3,2+DN$2)&lt;&gt;"",INDEX('×入力'!$A$1:$L$1300,1182,2+DN$2)&lt;&gt;"",INDEX('×入力'!$A$1:$L$1300,1183+DN$3,1)&lt;&gt;""),1,0),0)</f>
        <v/>
      </c>
      <c r="DO52">
        <f>IF(DO$4=1,IF(OR(INDEX('×入力'!$A$1:$L$1300,1183+DO$3,2+DO$2)&lt;&gt;"",INDEX('×入力'!$A$1:$L$1300,1182,2+DO$2)&lt;&gt;"",INDEX('×入力'!$A$1:$L$1300,1183+DO$3,1)&lt;&gt;""),1,0),0)</f>
        <v/>
      </c>
      <c r="DP52">
        <f>IF(DP$4=1,IF(OR(INDEX('×入力'!$A$1:$L$1300,1183+DP$3,2+DP$2)&lt;&gt;"",INDEX('×入力'!$A$1:$L$1300,1182,2+DP$2)&lt;&gt;"",INDEX('×入力'!$A$1:$L$1300,1183+DP$3,1)&lt;&gt;""),1,0),0)</f>
        <v/>
      </c>
      <c r="DQ52">
        <f>IF(DQ$4=1,IF(OR(INDEX('×入力'!$A$1:$L$1300,1183+DQ$3,2+DQ$2)&lt;&gt;"",INDEX('×入力'!$A$1:$L$1300,1182,2+DQ$2)&lt;&gt;"",INDEX('×入力'!$A$1:$L$1300,1183+DQ$3,1)&lt;&gt;""),1,0),0)</f>
        <v/>
      </c>
      <c r="DR52">
        <f>IF(DR$4=1,IF(OR(INDEX('×入力'!$A$1:$L$1300,1183+DR$3,2+DR$2)&lt;&gt;"",INDEX('×入力'!$A$1:$L$1300,1182,2+DR$2)&lt;&gt;"",INDEX('×入力'!$A$1:$L$1300,1183+DR$3,1)&lt;&gt;""),1,0),0)</f>
        <v/>
      </c>
      <c r="DS52">
        <f>IF(DS$4=1,IF(OR(INDEX('×入力'!$A$1:$L$1300,1183+DS$3,2+DS$2)&lt;&gt;"",INDEX('×入力'!$A$1:$L$1300,1182,2+DS$2)&lt;&gt;"",INDEX('×入力'!$A$1:$L$1300,1183+DS$3,1)&lt;&gt;""),1,0),0)</f>
        <v/>
      </c>
      <c r="DT52">
        <f>IF(DT$4=1,IF(OR(INDEX('×入力'!$A$1:$L$1300,1183+DT$3,2+DT$2)&lt;&gt;"",INDEX('×入力'!$A$1:$L$1300,1182,2+DT$2)&lt;&gt;"",INDEX('×入力'!$A$1:$L$1300,1183+DT$3,1)&lt;&gt;""),1,0),0)</f>
        <v/>
      </c>
      <c r="DU52">
        <f>IF(DU$4=1,IF(OR(INDEX('×入力'!$A$1:$L$1300,1183+DU$3,2+DU$2)&lt;&gt;"",INDEX('×入力'!$A$1:$L$1300,1182,2+DU$2)&lt;&gt;"",INDEX('×入力'!$A$1:$L$1300,1183+DU$3,1)&lt;&gt;""),1,0),0)</f>
        <v/>
      </c>
      <c r="DV52">
        <f>IF(DV$4=1,IF(OR(INDEX('×入力'!$A$1:$L$1300,1183+DV$3,2+DV$2)&lt;&gt;"",INDEX('×入力'!$A$1:$L$1300,1182,2+DV$2)&lt;&gt;"",INDEX('×入力'!$A$1:$L$1300,1183+DV$3,1)&lt;&gt;""),1,0),0)</f>
        <v/>
      </c>
      <c r="DW52">
        <f>IF(DW$4=1,IF(OR(INDEX('×入力'!$A$1:$L$1300,1183+DW$3,2+DW$2)&lt;&gt;"",INDEX('×入力'!$A$1:$L$1300,1182,2+DW$2)&lt;&gt;"",INDEX('×入力'!$A$1:$L$1300,1183+DW$3,1)&lt;&gt;""),1,0),0)</f>
        <v/>
      </c>
      <c r="DX52">
        <f>IF(DX$4=1,IF(OR(INDEX('×入力'!$A$1:$L$1300,1183+DX$3,2+DX$2)&lt;&gt;"",INDEX('×入力'!$A$1:$L$1300,1182,2+DX$2)&lt;&gt;"",INDEX('×入力'!$A$1:$L$1300,1183+DX$3,1)&lt;&gt;""),1,0),0)</f>
        <v/>
      </c>
      <c r="DY52">
        <f>IF(DY$4=1,IF(OR(INDEX('×入力'!$A$1:$L$1300,1183+DY$3,2+DY$2)&lt;&gt;"",INDEX('×入力'!$A$1:$L$1300,1182,2+DY$2)&lt;&gt;"",INDEX('×入力'!$A$1:$L$1300,1183+DY$3,1)&lt;&gt;""),1,0),0)</f>
        <v/>
      </c>
      <c r="DZ52">
        <f>IF(DZ$4=1,IF(OR(INDEX('×入力'!$A$1:$L$1300,1183+DZ$3,2+DZ$2)&lt;&gt;"",INDEX('×入力'!$A$1:$L$1300,1182,2+DZ$2)&lt;&gt;"",INDEX('×入力'!$A$1:$L$1300,1183+DZ$3,1)&lt;&gt;""),1,0),0)</f>
        <v/>
      </c>
      <c r="EA52">
        <f>IF(EA$4=1,IF(OR(INDEX('×入力'!$A$1:$L$1300,1183+EA$3,2+EA$2)&lt;&gt;"",INDEX('×入力'!$A$1:$L$1300,1182,2+EA$2)&lt;&gt;"",INDEX('×入力'!$A$1:$L$1300,1183+EA$3,1)&lt;&gt;""),1,0),0)</f>
        <v/>
      </c>
      <c r="EB52">
        <f>IF(EB$4=1,IF(OR(INDEX('×入力'!$A$1:$L$1300,1183+EB$3,2+EB$2)&lt;&gt;"",INDEX('×入力'!$A$1:$L$1300,1182,2+EB$2)&lt;&gt;"",INDEX('×入力'!$A$1:$L$1300,1183+EB$3,1)&lt;&gt;""),1,0),0)</f>
        <v/>
      </c>
      <c r="EC52">
        <f>IF(EC$4=1,IF(OR(INDEX('×入力'!$A$1:$L$1300,1183+EC$3,2+EC$2)&lt;&gt;"",INDEX('×入力'!$A$1:$L$1300,1182,2+EC$2)&lt;&gt;"",INDEX('×入力'!$A$1:$L$1300,1183+EC$3,1)&lt;&gt;""),1,0),0)</f>
        <v/>
      </c>
      <c r="ED52">
        <f>IF(ED$4=1,IF(OR(INDEX('×入力'!$A$1:$L$1300,1183+ED$3,2+ED$2)&lt;&gt;"",INDEX('×入力'!$A$1:$L$1300,1182,2+ED$2)&lt;&gt;"",INDEX('×入力'!$A$1:$L$1300,1183+ED$3,1)&lt;&gt;""),1,0),0)</f>
        <v/>
      </c>
      <c r="EE52">
        <f>IF(EE$4=1,IF(OR(INDEX('×入力'!$A$1:$L$1300,1183+EE$3,2+EE$2)&lt;&gt;"",INDEX('×入力'!$A$1:$L$1300,1182,2+EE$2)&lt;&gt;"",INDEX('×入力'!$A$1:$L$1300,1183+EE$3,1)&lt;&gt;""),1,0),0)</f>
        <v/>
      </c>
      <c r="EF52">
        <f>IF(EF$4=1,IF(OR(INDEX('×入力'!$A$1:$L$1300,1183+EF$3,2+EF$2)&lt;&gt;"",INDEX('×入力'!$A$1:$L$1300,1182,2+EF$2)&lt;&gt;"",INDEX('×入力'!$A$1:$L$1300,1183+EF$3,1)&lt;&gt;""),1,0),0)</f>
        <v/>
      </c>
      <c r="EG52">
        <f>IF(EG$4=1,IF(OR(INDEX('×入力'!$A$1:$L$1300,1183+EG$3,2+EG$2)&lt;&gt;"",INDEX('×入力'!$A$1:$L$1300,1182,2+EG$2)&lt;&gt;"",INDEX('×入力'!$A$1:$L$1300,1183+EG$3,1)&lt;&gt;""),1,0),0)</f>
        <v/>
      </c>
      <c r="EH52">
        <f>IF(EH$4=1,IF(OR(INDEX('×入力'!$A$1:$L$1300,1183+EH$3,2+EH$2)&lt;&gt;"",INDEX('×入力'!$A$1:$L$1300,1182,2+EH$2)&lt;&gt;"",INDEX('×入力'!$A$1:$L$1300,1183+EH$3,1)&lt;&gt;""),1,0),0)</f>
        <v/>
      </c>
      <c r="EI52">
        <f>IF(EI$4=1,IF(OR(INDEX('×入力'!$A$1:$L$1300,1183+EI$3,2+EI$2)&lt;&gt;"",INDEX('×入力'!$A$1:$L$1300,1182,2+EI$2)&lt;&gt;"",INDEX('×入力'!$A$1:$L$1300,1183+EI$3,1)&lt;&gt;""),1,0),0)</f>
        <v/>
      </c>
      <c r="EJ52">
        <f>IF(EJ$4=1,IF(OR(INDEX('×入力'!$A$1:$L$1300,1183+EJ$3,2+EJ$2)&lt;&gt;"",INDEX('×入力'!$A$1:$L$1300,1182,2+EJ$2)&lt;&gt;"",INDEX('×入力'!$A$1:$L$1300,1183+EJ$3,1)&lt;&gt;""),1,0),0)</f>
        <v/>
      </c>
      <c r="EK52">
        <f>IF(EK$4=1,IF(OR(INDEX('×入力'!$A$1:$L$1300,1183+EK$3,2+EK$2)&lt;&gt;"",INDEX('×入力'!$A$1:$L$1300,1182,2+EK$2)&lt;&gt;"",INDEX('×入力'!$A$1:$L$1300,1183+EK$3,1)&lt;&gt;""),1,0),0)</f>
        <v/>
      </c>
      <c r="EL52">
        <f>IF(EL$4=1,IF(OR(INDEX('×入力'!$A$1:$L$1300,1183+EL$3,2+EL$2)&lt;&gt;"",INDEX('×入力'!$A$1:$L$1300,1182,2+EL$2)&lt;&gt;"",INDEX('×入力'!$A$1:$L$1300,1183+EL$3,1)&lt;&gt;""),1,0),0)</f>
        <v/>
      </c>
      <c r="EM52">
        <f>IF(EM$4=1,IF(OR(INDEX('×入力'!$A$1:$L$1300,1183+EM$3,2+EM$2)&lt;&gt;"",INDEX('×入力'!$A$1:$L$1300,1182,2+EM$2)&lt;&gt;"",INDEX('×入力'!$A$1:$L$1300,1183+EM$3,1)&lt;&gt;""),1,0),0)</f>
        <v/>
      </c>
      <c r="EN52">
        <f>IF(EN$4=1,IF(OR(INDEX('×入力'!$A$1:$L$1300,1183+EN$3,2+EN$2)&lt;&gt;"",INDEX('×入力'!$A$1:$L$1300,1182,2+EN$2)&lt;&gt;"",INDEX('×入力'!$A$1:$L$1300,1183+EN$3,1)&lt;&gt;""),1,0),0)</f>
        <v/>
      </c>
      <c r="EO52">
        <f>IF(EO$4=1,IF(OR(INDEX('×入力'!$A$1:$L$1300,1183+EO$3,2+EO$2)&lt;&gt;"",INDEX('×入力'!$A$1:$L$1300,1182,2+EO$2)&lt;&gt;"",INDEX('×入力'!$A$1:$L$1300,1183+EO$3,1)&lt;&gt;""),1,0),0)</f>
        <v/>
      </c>
      <c r="EP52">
        <f>IF(EP$4=1,IF(OR(INDEX('×入力'!$A$1:$L$1300,1183+EP$3,2+EP$2)&lt;&gt;"",INDEX('×入力'!$A$1:$L$1300,1182,2+EP$2)&lt;&gt;"",INDEX('×入力'!$A$1:$L$1300,1183+EP$3,1)&lt;&gt;""),1,0),0)</f>
        <v/>
      </c>
      <c r="EQ52">
        <f>IF(EQ$4=1,IF(OR(INDEX('×入力'!$A$1:$L$1300,1183+EQ$3,2+EQ$2)&lt;&gt;"",INDEX('×入力'!$A$1:$L$1300,1182,2+EQ$2)&lt;&gt;"",INDEX('×入力'!$A$1:$L$1300,1183+EQ$3,1)&lt;&gt;""),1,0),0)</f>
        <v/>
      </c>
      <c r="ER52">
        <f>IF(ER$4=1,IF(OR(INDEX('×入力'!$A$1:$L$1300,1183+ER$3,2+ER$2)&lt;&gt;"",INDEX('×入力'!$A$1:$L$1300,1182,2+ER$2)&lt;&gt;"",INDEX('×入力'!$A$1:$L$1300,1183+ER$3,1)&lt;&gt;""),1,0),0)</f>
        <v/>
      </c>
      <c r="ES52">
        <f>IF(ES$4=1,IF(OR(INDEX('×入力'!$A$1:$L$1300,1183+ES$3,2+ES$2)&lt;&gt;"",INDEX('×入力'!$A$1:$L$1300,1182,2+ES$2)&lt;&gt;"",INDEX('×入力'!$A$1:$L$1300,1183+ES$3,1)&lt;&gt;""),1,0),0)</f>
        <v/>
      </c>
      <c r="ET52">
        <f>IF(ET$4=1,IF(OR(INDEX('×入力'!$A$1:$L$1300,1183+ET$3,2+ET$2)&lt;&gt;"",INDEX('×入力'!$A$1:$L$1300,1182,2+ET$2)&lt;&gt;"",INDEX('×入力'!$A$1:$L$1300,1183+ET$3,1)&lt;&gt;""),1,0),0)</f>
        <v/>
      </c>
      <c r="EU52">
        <f>IF(EU$4=1,IF(OR(INDEX('×入力'!$A$1:$L$1300,1183+EU$3,2+EU$2)&lt;&gt;"",INDEX('×入力'!$A$1:$L$1300,1182,2+EU$2)&lt;&gt;"",INDEX('×入力'!$A$1:$L$1300,1183+EU$3,1)&lt;&gt;""),1,0),0)</f>
        <v/>
      </c>
      <c r="EV52">
        <f>IF(EV$4=1,IF(OR(INDEX('×入力'!$A$1:$L$1300,1183+EV$3,2+EV$2)&lt;&gt;"",INDEX('×入力'!$A$1:$L$1300,1182,2+EV$2)&lt;&gt;"",INDEX('×入力'!$A$1:$L$1300,1183+EV$3,1)&lt;&gt;""),1,0),0)</f>
        <v/>
      </c>
      <c r="EW52">
        <f>IF(EW$4=1,IF(OR(INDEX('×入力'!$A$1:$L$1300,1183+EW$3,2+EW$2)&lt;&gt;"",INDEX('×入力'!$A$1:$L$1300,1182,2+EW$2)&lt;&gt;"",INDEX('×入力'!$A$1:$L$1300,1183+EW$3,1)&lt;&gt;""),1,0),0)</f>
        <v/>
      </c>
      <c r="EX52">
        <f>IF(EX$4=1,IF(OR(INDEX('×入力'!$A$1:$L$1300,1183+EX$3,2+EX$2)&lt;&gt;"",INDEX('×入力'!$A$1:$L$1300,1182,2+EX$2)&lt;&gt;"",INDEX('×入力'!$A$1:$L$1300,1183+EX$3,1)&lt;&gt;""),1,0),0)</f>
        <v/>
      </c>
      <c r="EY52">
        <f>IF(EY$4=1,IF(OR(INDEX('×入力'!$A$1:$L$1300,1183+EY$3,2+EY$2)&lt;&gt;"",INDEX('×入力'!$A$1:$L$1300,1182,2+EY$2)&lt;&gt;"",INDEX('×入力'!$A$1:$L$1300,1183+EY$3,1)&lt;&gt;""),1,0),0)</f>
        <v/>
      </c>
      <c r="EZ52">
        <f>IF(EZ$4=1,IF(OR(INDEX('×入力'!$A$1:$L$1300,1183+EZ$3,2+EZ$2)&lt;&gt;"",INDEX('×入力'!$A$1:$L$1300,1182,2+EZ$2)&lt;&gt;"",INDEX('×入力'!$A$1:$L$1300,1183+EZ$3,1)&lt;&gt;""),1,0),0)</f>
        <v/>
      </c>
      <c r="FA52">
        <f>IF(FA$4=1,IF(OR(INDEX('×入力'!$A$1:$L$1300,1183+FA$3,2+FA$2)&lt;&gt;"",INDEX('×入力'!$A$1:$L$1300,1182,2+FA$2)&lt;&gt;"",INDEX('×入力'!$A$1:$L$1300,1183+FA$3,1)&lt;&gt;""),1,0),0)</f>
        <v/>
      </c>
      <c r="FB52">
        <f>IF(FB$4=1,IF(OR(INDEX('×入力'!$A$1:$L$1300,1183+FB$3,2+FB$2)&lt;&gt;"",INDEX('×入力'!$A$1:$L$1300,1182,2+FB$2)&lt;&gt;"",INDEX('×入力'!$A$1:$L$1300,1183+FB$3,1)&lt;&gt;""),1,0),0)</f>
        <v/>
      </c>
      <c r="FC52">
        <f>IF(FC$4=1,IF(OR(INDEX('×入力'!$A$1:$L$1300,1183+FC$3,2+FC$2)&lt;&gt;"",INDEX('×入力'!$A$1:$L$1300,1182,2+FC$2)&lt;&gt;"",INDEX('×入力'!$A$1:$L$1300,1183+FC$3,1)&lt;&gt;""),1,0),0)</f>
        <v/>
      </c>
      <c r="FD52">
        <f>IF(FD$4=1,IF(OR(INDEX('×入力'!$A$1:$L$1300,1183+FD$3,2+FD$2)&lt;&gt;"",INDEX('×入力'!$A$1:$L$1300,1182,2+FD$2)&lt;&gt;"",INDEX('×入力'!$A$1:$L$1300,1183+FD$3,1)&lt;&gt;""),1,0),0)</f>
        <v/>
      </c>
      <c r="FE52">
        <f>IF(FE$4=1,IF(OR(INDEX('×入力'!$A$1:$L$1300,1183+FE$3,2+FE$2)&lt;&gt;"",INDEX('×入力'!$A$1:$L$1300,1182,2+FE$2)&lt;&gt;"",INDEX('×入力'!$A$1:$L$1300,1183+FE$3,1)&lt;&gt;""),1,0),0)</f>
        <v/>
      </c>
      <c r="FF52">
        <f>IF(FF$4=1,IF(OR(INDEX('×入力'!$A$1:$L$1300,1183+FF$3,2+FF$2)&lt;&gt;"",INDEX('×入力'!$A$1:$L$1300,1182,2+FF$2)&lt;&gt;"",INDEX('×入力'!$A$1:$L$1300,1183+FF$3,1)&lt;&gt;""),1,0),0)</f>
        <v/>
      </c>
      <c r="FG52">
        <f>IF(FG$4=1,IF(OR(INDEX('×入力'!$A$1:$L$1300,1183+FG$3,2+FG$2)&lt;&gt;"",INDEX('×入力'!$A$1:$L$1300,1182,2+FG$2)&lt;&gt;"",INDEX('×入力'!$A$1:$L$1300,1183+FG$3,1)&lt;&gt;""),1,0),0)</f>
        <v/>
      </c>
      <c r="FH52">
        <f>IF(FH$4=1,IF(OR(INDEX('×入力'!$A$1:$L$1300,1183+FH$3,2+FH$2)&lt;&gt;"",INDEX('×入力'!$A$1:$L$1300,1182,2+FH$2)&lt;&gt;"",INDEX('×入力'!$A$1:$L$1300,1183+FH$3,1)&lt;&gt;""),1,0),0)</f>
        <v/>
      </c>
      <c r="FI52">
        <f>IF(FI$4=1,IF(OR(INDEX('×入力'!$A$1:$L$1300,1183+FI$3,2+FI$2)&lt;&gt;"",INDEX('×入力'!$A$1:$L$1300,1182,2+FI$2)&lt;&gt;"",INDEX('×入力'!$A$1:$L$1300,1183+FI$3,1)&lt;&gt;""),1,0),0)</f>
        <v/>
      </c>
      <c r="FJ52">
        <f>IF(FJ$4=1,IF(OR(INDEX('×入力'!$A$1:$L$1300,1183+FJ$3,2+FJ$2)&lt;&gt;"",INDEX('×入力'!$A$1:$L$1300,1182,2+FJ$2)&lt;&gt;"",INDEX('×入力'!$A$1:$L$1300,1183+FJ$3,1)&lt;&gt;""),1,0),0)</f>
        <v/>
      </c>
      <c r="FK52">
        <f>IF(FK$4=1,IF(OR(INDEX('×入力'!$A$1:$L$1300,1183+FK$3,2+FK$2)&lt;&gt;"",INDEX('×入力'!$A$1:$L$1300,1182,2+FK$2)&lt;&gt;"",INDEX('×入力'!$A$1:$L$1300,1183+FK$3,1)&lt;&gt;""),1,0),0)</f>
        <v/>
      </c>
      <c r="FL52">
        <f>IF(FL$4=1,IF(OR(INDEX('×入力'!$A$1:$L$1300,1183+FL$3,2+FL$2)&lt;&gt;"",INDEX('×入力'!$A$1:$L$1300,1182,2+FL$2)&lt;&gt;"",INDEX('×入力'!$A$1:$L$1300,1183+FL$3,1)&lt;&gt;""),1,0),0)</f>
        <v/>
      </c>
      <c r="FM52">
        <f>IF(FM$4=1,IF(OR(INDEX('×入力'!$A$1:$L$1300,1183+FM$3,2+FM$2)&lt;&gt;"",INDEX('×入力'!$A$1:$L$1300,1182,2+FM$2)&lt;&gt;"",INDEX('×入力'!$A$1:$L$1300,1183+FM$3,1)&lt;&gt;""),1,0),0)</f>
        <v/>
      </c>
      <c r="FN52">
        <f>IF(FN$4=1,IF(OR(INDEX('×入力'!$A$1:$L$1300,1183+FN$3,2+FN$2)&lt;&gt;"",INDEX('×入力'!$A$1:$L$1300,1182,2+FN$2)&lt;&gt;"",INDEX('×入力'!$A$1:$L$1300,1183+FN$3,1)&lt;&gt;""),1,0),0)</f>
        <v/>
      </c>
      <c r="FO52">
        <f>IF(FO$4=1,IF(OR(INDEX('×入力'!$A$1:$L$1300,1183+FO$3,2+FO$2)&lt;&gt;"",INDEX('×入力'!$A$1:$L$1300,1182,2+FO$2)&lt;&gt;"",INDEX('×入力'!$A$1:$L$1300,1183+FO$3,1)&lt;&gt;""),1,0),0)</f>
        <v/>
      </c>
      <c r="FP52">
        <f>IF(FP$4=1,IF(OR(INDEX('×入力'!$A$1:$L$1300,1183+FP$3,2+FP$2)&lt;&gt;"",INDEX('×入力'!$A$1:$L$1300,1182,2+FP$2)&lt;&gt;"",INDEX('×入力'!$A$1:$L$1300,1183+FP$3,1)&lt;&gt;""),1,0),0)</f>
        <v/>
      </c>
      <c r="FQ52">
        <f>IF(FQ$4=1,IF(OR(INDEX('×入力'!$A$1:$L$1300,1183+FQ$3,2+FQ$2)&lt;&gt;"",INDEX('×入力'!$A$1:$L$1300,1182,2+FQ$2)&lt;&gt;"",INDEX('×入力'!$A$1:$L$1300,1183+FQ$3,1)&lt;&gt;""),1,0),0)</f>
        <v/>
      </c>
      <c r="FR52">
        <f>IF(FR$4=1,IF(OR(INDEX('×入力'!$A$1:$L$1300,1183+FR$3,2+FR$2)&lt;&gt;"",INDEX('×入力'!$A$1:$L$1300,1182,2+FR$2)&lt;&gt;"",INDEX('×入力'!$A$1:$L$1300,1183+FR$3,1)&lt;&gt;""),1,0),0)</f>
        <v/>
      </c>
      <c r="FS52">
        <f>IF(FS$4=1,IF(OR(INDEX('×入力'!$A$1:$L$1300,1183+FS$3,2+FS$2)&lt;&gt;"",INDEX('×入力'!$A$1:$L$1300,1182,2+FS$2)&lt;&gt;"",INDEX('×入力'!$A$1:$L$1300,1183+FS$3,1)&lt;&gt;""),1,0),0)</f>
        <v/>
      </c>
      <c r="FT52">
        <f>IF(FT$4=1,IF(OR(INDEX('×入力'!$A$1:$L$1300,1183+FT$3,2+FT$2)&lt;&gt;"",INDEX('×入力'!$A$1:$L$1300,1182,2+FT$2)&lt;&gt;"",INDEX('×入力'!$A$1:$L$1300,1183+FT$3,1)&lt;&gt;""),1,0),0)</f>
        <v/>
      </c>
      <c r="FU52">
        <f>IF(FU$4=1,IF(OR(INDEX('×入力'!$A$1:$L$1300,1183+FU$3,2+FU$2)&lt;&gt;"",INDEX('×入力'!$A$1:$L$1300,1182,2+FU$2)&lt;&gt;"",INDEX('×入力'!$A$1:$L$1300,1183+FU$3,1)&lt;&gt;""),1,0),0)</f>
        <v/>
      </c>
      <c r="FV52">
        <f>IF(FV$4=1,IF(OR(INDEX('×入力'!$A$1:$L$1300,1183+FV$3,2+FV$2)&lt;&gt;"",INDEX('×入力'!$A$1:$L$1300,1182,2+FV$2)&lt;&gt;"",INDEX('×入力'!$A$1:$L$1300,1183+FV$3,1)&lt;&gt;""),1,0),0)</f>
        <v/>
      </c>
      <c r="FW52">
        <f>IF(FW$4=1,IF(OR(INDEX('×入力'!$A$1:$L$1300,1183+FW$3,2+FW$2)&lt;&gt;"",INDEX('×入力'!$A$1:$L$1300,1182,2+FW$2)&lt;&gt;"",INDEX('×入力'!$A$1:$L$1300,1183+FW$3,1)&lt;&gt;""),1,0),0)</f>
        <v/>
      </c>
      <c r="FX52">
        <f>IF(FX$4=1,IF(OR(INDEX('×入力'!$A$1:$L$1300,1183+FX$3,2+FX$2)&lt;&gt;"",INDEX('×入力'!$A$1:$L$1300,1182,2+FX$2)&lt;&gt;"",INDEX('×入力'!$A$1:$L$1300,1183+FX$3,1)&lt;&gt;""),1,0),0)</f>
        <v/>
      </c>
      <c r="FY52">
        <f>IF(FY$4=1,IF(OR(INDEX('×入力'!$A$1:$L$1300,1183+FY$3,2+FY$2)&lt;&gt;"",INDEX('×入力'!$A$1:$L$1300,1182,2+FY$2)&lt;&gt;"",INDEX('×入力'!$A$1:$L$1300,1183+FY$3,1)&lt;&gt;""),1,0),0)</f>
        <v/>
      </c>
      <c r="FZ52">
        <f>IF(FZ$4=1,IF(OR(INDEX('×入力'!$A$1:$L$1300,1183+FZ$3,2+FZ$2)&lt;&gt;"",INDEX('×入力'!$A$1:$L$1300,1182,2+FZ$2)&lt;&gt;"",INDEX('×入力'!$A$1:$L$1300,1183+FZ$3,1)&lt;&gt;""),1,0),0)</f>
        <v/>
      </c>
      <c r="GA52">
        <f>IF(GA$4=1,IF(OR(INDEX('×入力'!$A$1:$L$1300,1183+GA$3,2+GA$2)&lt;&gt;"",INDEX('×入力'!$A$1:$L$1300,1182,2+GA$2)&lt;&gt;"",INDEX('×入力'!$A$1:$L$1300,1183+GA$3,1)&lt;&gt;""),1,0),0)</f>
        <v/>
      </c>
      <c r="GB52">
        <f>IF(GB$4=1,IF(OR(INDEX('×入力'!$A$1:$L$1300,1183+GB$3,2+GB$2)&lt;&gt;"",INDEX('×入力'!$A$1:$L$1300,1182,2+GB$2)&lt;&gt;"",INDEX('×入力'!$A$1:$L$1300,1183+GB$3,1)&lt;&gt;""),1,0),0)</f>
        <v/>
      </c>
      <c r="GC52">
        <f>IF(GC$4=1,IF(OR(INDEX('×入力'!$A$1:$L$1300,1183+GC$3,2+GC$2)&lt;&gt;"",INDEX('×入力'!$A$1:$L$1300,1182,2+GC$2)&lt;&gt;"",INDEX('×入力'!$A$1:$L$1300,1183+GC$3,1)&lt;&gt;""),1,0),0)</f>
        <v/>
      </c>
      <c r="GD52">
        <f>IF(GD$4=1,IF(OR(INDEX('×入力'!$A$1:$L$1300,1183+GD$3,2+GD$2)&lt;&gt;"",INDEX('×入力'!$A$1:$L$1300,1182,2+GD$2)&lt;&gt;"",INDEX('×入力'!$A$1:$L$1300,1183+GD$3,1)&lt;&gt;""),1,0),0)</f>
        <v/>
      </c>
      <c r="GE52">
        <f>IF(GE$4=1,IF(OR(INDEX('×入力'!$A$1:$L$1300,1183+GE$3,2+GE$2)&lt;&gt;"",INDEX('×入力'!$A$1:$L$1300,1182,2+GE$2)&lt;&gt;"",INDEX('×入力'!$A$1:$L$1300,1183+GE$3,1)&lt;&gt;""),1,0),0)</f>
        <v/>
      </c>
      <c r="GF52">
        <f>IF(GF$4=1,IF(OR(INDEX('×入力'!$A$1:$L$1300,1183+GF$3,2+GF$2)&lt;&gt;"",INDEX('×入力'!$A$1:$L$1300,1182,2+GF$2)&lt;&gt;"",INDEX('×入力'!$A$1:$L$1300,1183+GF$3,1)&lt;&gt;""),1,0),0)</f>
        <v/>
      </c>
      <c r="GG52">
        <f>IF(GG$4=1,IF(OR(INDEX('×入力'!$A$1:$L$1300,1183+GG$3,2+GG$2)&lt;&gt;"",INDEX('×入力'!$A$1:$L$1300,1182,2+GG$2)&lt;&gt;"",INDEX('×入力'!$A$1:$L$1300,1183+GG$3,1)&lt;&gt;""),1,0),0)</f>
        <v/>
      </c>
      <c r="GH52">
        <f>IF(GH$4=1,IF(OR(INDEX('×入力'!$A$1:$L$1300,1183+GH$3,2+GH$2)&lt;&gt;"",INDEX('×入力'!$A$1:$L$1300,1182,2+GH$2)&lt;&gt;"",INDEX('×入力'!$A$1:$L$1300,1183+GH$3,1)&lt;&gt;""),1,0),0)</f>
        <v/>
      </c>
      <c r="GI52">
        <f>IF(GI$4=1,IF(OR(INDEX('×入力'!$A$1:$L$1300,1183+GI$3,2+GI$2)&lt;&gt;"",INDEX('×入力'!$A$1:$L$1300,1182,2+GI$2)&lt;&gt;"",INDEX('×入力'!$A$1:$L$1300,1183+GI$3,1)&lt;&gt;""),1,0),0)</f>
        <v/>
      </c>
      <c r="GJ52">
        <f>IF(GJ$4=1,IF(OR(INDEX('×入力'!$A$1:$L$1300,1183+GJ$3,2+GJ$2)&lt;&gt;"",INDEX('×入力'!$A$1:$L$1300,1182,2+GJ$2)&lt;&gt;"",INDEX('×入力'!$A$1:$L$1300,1183+GJ$3,1)&lt;&gt;""),1,0),0)</f>
        <v/>
      </c>
      <c r="GK52">
        <f>IF(GK$4=1,IF(OR(INDEX('×入力'!$A$1:$L$1300,1183+GK$3,2+GK$2)&lt;&gt;"",INDEX('×入力'!$A$1:$L$1300,1182,2+GK$2)&lt;&gt;"",INDEX('×入力'!$A$1:$L$1300,1183+GK$3,1)&lt;&gt;""),1,0),0)</f>
        <v/>
      </c>
      <c r="GL52">
        <f>IF(GL$4=1,IF(OR(INDEX('×入力'!$A$1:$L$1300,1183+GL$3,2+GL$2)&lt;&gt;"",INDEX('×入力'!$A$1:$L$1300,1182,2+GL$2)&lt;&gt;"",INDEX('×入力'!$A$1:$L$1300,1183+GL$3,1)&lt;&gt;""),1,0),0)</f>
        <v/>
      </c>
      <c r="GM52">
        <f>IF(GM$4=1,IF(OR(INDEX('×入力'!$A$1:$L$1300,1183+GM$3,2+GM$2)&lt;&gt;"",INDEX('×入力'!$A$1:$L$1300,1182,2+GM$2)&lt;&gt;"",INDEX('×入力'!$A$1:$L$1300,1183+GM$3,1)&lt;&gt;""),1,0),0)</f>
        <v/>
      </c>
      <c r="GN52">
        <f>IF(GN$4=1,IF(OR(INDEX('×入力'!$A$1:$L$1300,1183+GN$3,2+GN$2)&lt;&gt;"",INDEX('×入力'!$A$1:$L$1300,1182,2+GN$2)&lt;&gt;"",INDEX('×入力'!$A$1:$L$1300,1183+GN$3,1)&lt;&gt;""),1,0),0)</f>
        <v/>
      </c>
      <c r="GO52">
        <f>IF(GO$4=1,IF(OR(INDEX('×入力'!$A$1:$L$1300,1183+GO$3,2+GO$2)&lt;&gt;"",INDEX('×入力'!$A$1:$L$1300,1182,2+GO$2)&lt;&gt;"",INDEX('×入力'!$A$1:$L$1300,1183+GO$3,1)&lt;&gt;""),1,0),0)</f>
        <v/>
      </c>
      <c r="GP52">
        <f>IF(GP$4=1,IF(OR(INDEX('×入力'!$A$1:$L$1300,1183+GP$3,2+GP$2)&lt;&gt;"",INDEX('×入力'!$A$1:$L$1300,1182,2+GP$2)&lt;&gt;"",INDEX('×入力'!$A$1:$L$1300,1183+GP$3,1)&lt;&gt;""),1,0),0)</f>
        <v/>
      </c>
      <c r="GQ52">
        <f>IF(GQ$4=1,IF(OR(INDEX('×入力'!$A$1:$L$1300,1183+GQ$3,2+GQ$2)&lt;&gt;"",INDEX('×入力'!$A$1:$L$1300,1182,2+GQ$2)&lt;&gt;"",INDEX('×入力'!$A$1:$L$1300,1183+GQ$3,1)&lt;&gt;""),1,0),0)</f>
        <v/>
      </c>
      <c r="GR52">
        <f>IF(GR$4=1,IF(OR(INDEX('×入力'!$A$1:$L$1300,1183+GR$3,2+GR$2)&lt;&gt;"",INDEX('×入力'!$A$1:$L$1300,1182,2+GR$2)&lt;&gt;"",INDEX('×入力'!$A$1:$L$1300,1183+GR$3,1)&lt;&gt;""),1,0),0)</f>
        <v/>
      </c>
      <c r="GS52">
        <f>IF(GS$4=1,IF(OR(INDEX('×入力'!$A$1:$L$1300,1183+GS$3,2+GS$2)&lt;&gt;"",INDEX('×入力'!$A$1:$L$1300,1182,2+GS$2)&lt;&gt;"",INDEX('×入力'!$A$1:$L$1300,1183+GS$3,1)&lt;&gt;""),1,0),0)</f>
        <v/>
      </c>
      <c r="GT52">
        <f>IF(GT$4=1,IF(OR(INDEX('×入力'!$A$1:$L$1300,1183+GT$3,2+GT$2)&lt;&gt;"",INDEX('×入力'!$A$1:$L$1300,1182,2+GT$2)&lt;&gt;"",INDEX('×入力'!$A$1:$L$1300,1183+GT$3,1)&lt;&gt;""),1,0),0)</f>
        <v/>
      </c>
      <c r="GU52">
        <f>IF(GU$4=1,IF(OR(INDEX('×入力'!$A$1:$L$1300,1183+GU$3,2+GU$2)&lt;&gt;"",INDEX('×入力'!$A$1:$L$1300,1182,2+GU$2)&lt;&gt;"",INDEX('×入力'!$A$1:$L$1300,1183+GU$3,1)&lt;&gt;""),1,0),0)</f>
        <v/>
      </c>
      <c r="GV52">
        <f>IF(GV$4=1,IF(OR(INDEX('×入力'!$A$1:$L$1300,1183+GV$3,2+GV$2)&lt;&gt;"",INDEX('×入力'!$A$1:$L$1300,1182,2+GV$2)&lt;&gt;"",INDEX('×入力'!$A$1:$L$1300,1183+GV$3,1)&lt;&gt;""),1,0),0)</f>
        <v/>
      </c>
      <c r="GW52">
        <f>IF(GW$4=1,IF(OR(INDEX('×入力'!$A$1:$L$1300,1183+GW$3,2+GW$2)&lt;&gt;"",INDEX('×入力'!$A$1:$L$1300,1182,2+GW$2)&lt;&gt;"",INDEX('×入力'!$A$1:$L$1300,1183+GW$3,1)&lt;&gt;""),1,0),0)</f>
        <v/>
      </c>
      <c r="GX52">
        <f>IF(GX$4=1,IF(OR(INDEX('×入力'!$A$1:$L$1300,1183+GX$3,2+GX$2)&lt;&gt;"",INDEX('×入力'!$A$1:$L$1300,1182,2+GX$2)&lt;&gt;"",INDEX('×入力'!$A$1:$L$1300,1183+GX$3,1)&lt;&gt;""),1,0),0)</f>
        <v/>
      </c>
      <c r="GY52">
        <f>IF(GY$4=1,IF(OR(INDEX('×入力'!$A$1:$L$1300,1183+GY$3,2+GY$2)&lt;&gt;"",INDEX('×入力'!$A$1:$L$1300,1182,2+GY$2)&lt;&gt;"",INDEX('×入力'!$A$1:$L$1300,1183+GY$3,1)&lt;&gt;""),1,0),0)</f>
        <v/>
      </c>
      <c r="GZ52">
        <f>IF(GZ$4=1,IF(OR(INDEX('×入力'!$A$1:$L$1300,1183+GZ$3,2+GZ$2)&lt;&gt;"",INDEX('×入力'!$A$1:$L$1300,1182,2+GZ$2)&lt;&gt;"",INDEX('×入力'!$A$1:$L$1300,1183+GZ$3,1)&lt;&gt;""),1,0),0)</f>
        <v/>
      </c>
      <c r="HA52">
        <f>IF(HA$4=1,IF(OR(INDEX('×入力'!$A$1:$L$1300,1183+HA$3,2+HA$2)&lt;&gt;"",INDEX('×入力'!$A$1:$L$1300,1182,2+HA$2)&lt;&gt;"",INDEX('×入力'!$A$1:$L$1300,1183+HA$3,1)&lt;&gt;""),1,0),0)</f>
        <v/>
      </c>
      <c r="HB52">
        <f>IF(HB$4=1,IF(OR(INDEX('×入力'!$A$1:$L$1300,1183+HB$3,2+HB$2)&lt;&gt;"",INDEX('×入力'!$A$1:$L$1300,1182,2+HB$2)&lt;&gt;"",INDEX('×入力'!$A$1:$L$1300,1183+HB$3,1)&lt;&gt;""),1,0),0)</f>
        <v/>
      </c>
      <c r="HC52">
        <f>IF(HC$4=1,IF(OR(INDEX('×入力'!$A$1:$L$1300,1183+HC$3,2+HC$2)&lt;&gt;"",INDEX('×入力'!$A$1:$L$1300,1182,2+HC$2)&lt;&gt;"",INDEX('×入力'!$A$1:$L$1300,1183+HC$3,1)&lt;&gt;""),1,0),0)</f>
        <v/>
      </c>
      <c r="HD52">
        <f>IF(HD$4=1,IF(OR(INDEX('×入力'!$A$1:$L$1300,1183+HD$3,2+HD$2)&lt;&gt;"",INDEX('×入力'!$A$1:$L$1300,1182,2+HD$2)&lt;&gt;"",INDEX('×入力'!$A$1:$L$1300,1183+HD$3,1)&lt;&gt;""),1,0),0)</f>
        <v/>
      </c>
      <c r="HE52">
        <f>IF(HE$4=1,IF(OR(INDEX('×入力'!$A$1:$L$1300,1183+HE$3,2+HE$2)&lt;&gt;"",INDEX('×入力'!$A$1:$L$1300,1182,2+HE$2)&lt;&gt;"",INDEX('×入力'!$A$1:$L$1300,1183+HE$3,1)&lt;&gt;""),1,0),0)</f>
        <v/>
      </c>
      <c r="HF52">
        <f>IF(HF$4=1,IF(OR(INDEX('×入力'!$A$1:$L$1300,1183+HF$3,2+HF$2)&lt;&gt;"",INDEX('×入力'!$A$1:$L$1300,1182,2+HF$2)&lt;&gt;"",INDEX('×入力'!$A$1:$L$1300,1183+HF$3,1)&lt;&gt;""),1,0),0)</f>
        <v/>
      </c>
      <c r="HG52">
        <f>IF(HG$4=1,IF(OR(INDEX('×入力'!$A$1:$L$1300,1183+HG$3,2+HG$2)&lt;&gt;"",INDEX('×入力'!$A$1:$L$1300,1182,2+HG$2)&lt;&gt;"",INDEX('×入力'!$A$1:$L$1300,1183+HG$3,1)&lt;&gt;""),1,0),0)</f>
        <v/>
      </c>
      <c r="HH52">
        <f>IF(HH$4=1,IF(OR(INDEX('×入力'!$A$1:$L$1300,1183+HH$3,2+HH$2)&lt;&gt;"",INDEX('×入力'!$A$1:$L$1300,1182,2+HH$2)&lt;&gt;"",INDEX('×入力'!$A$1:$L$1300,1183+HH$3,1)&lt;&gt;""),1,0),0)</f>
        <v/>
      </c>
      <c r="HI52">
        <f>IF(HI$4=1,IF(OR(INDEX('×入力'!$A$1:$L$1300,1183+HI$3,2+HI$2)&lt;&gt;"",INDEX('×入力'!$A$1:$L$1300,1182,2+HI$2)&lt;&gt;"",INDEX('×入力'!$A$1:$L$1300,1183+HI$3,1)&lt;&gt;""),1,0),0)</f>
        <v/>
      </c>
      <c r="HJ52">
        <f>IF(HJ$4=1,IF(OR(INDEX('×入力'!$A$1:$L$1300,1183+HJ$3,2+HJ$2)&lt;&gt;"",INDEX('×入力'!$A$1:$L$1300,1182,2+HJ$2)&lt;&gt;"",INDEX('×入力'!$A$1:$L$1300,1183+HJ$3,1)&lt;&gt;""),1,0),0)</f>
        <v/>
      </c>
      <c r="HK52">
        <f>IF(HK$4=1,IF(OR(INDEX('×入力'!$A$1:$L$1300,1183+HK$3,2+HK$2)&lt;&gt;"",INDEX('×入力'!$A$1:$L$1300,1182,2+HK$2)&lt;&gt;"",INDEX('×入力'!$A$1:$L$1300,1183+HK$3,1)&lt;&gt;""),1,0),0)</f>
        <v/>
      </c>
      <c r="HL52">
        <f>IF(HL$4=1,IF(OR(INDEX('×入力'!$A$1:$L$1300,1183+HL$3,2+HL$2)&lt;&gt;"",INDEX('×入力'!$A$1:$L$1300,1182,2+HL$2)&lt;&gt;"",INDEX('×入力'!$A$1:$L$1300,1183+HL$3,1)&lt;&gt;""),1,0),0)</f>
        <v/>
      </c>
      <c r="HM52">
        <f>IF(HM$4=1,IF(OR(INDEX('×入力'!$A$1:$L$1300,1183+HM$3,2+HM$2)&lt;&gt;"",INDEX('×入力'!$A$1:$L$1300,1182,2+HM$2)&lt;&gt;"",INDEX('×入力'!$A$1:$L$1300,1183+HM$3,1)&lt;&gt;""),1,0),0)</f>
        <v/>
      </c>
      <c r="HN52">
        <f>IF(HN$4=1,IF(OR(INDEX('×入力'!$A$1:$L$1300,1183+HN$3,2+HN$2)&lt;&gt;"",INDEX('×入力'!$A$1:$L$1300,1182,2+HN$2)&lt;&gt;"",INDEX('×入力'!$A$1:$L$1300,1183+HN$3,1)&lt;&gt;""),1,0),0)</f>
        <v/>
      </c>
      <c r="HO52">
        <f>IF(HO$4=1,IF(OR(INDEX('×入力'!$A$1:$L$1300,1183+HO$3,2+HO$2)&lt;&gt;"",INDEX('×入力'!$A$1:$L$1300,1182,2+HO$2)&lt;&gt;"",INDEX('×入力'!$A$1:$L$1300,1183+HO$3,1)&lt;&gt;""),1,0),0)</f>
        <v/>
      </c>
      <c r="HP52">
        <f>IF(HP$4=1,IF(OR(INDEX('×入力'!$A$1:$L$1300,1183+HP$3,2+HP$2)&lt;&gt;"",INDEX('×入力'!$A$1:$L$1300,1182,2+HP$2)&lt;&gt;"",INDEX('×入力'!$A$1:$L$1300,1183+HP$3,1)&lt;&gt;""),1,0),0)</f>
        <v/>
      </c>
      <c r="HQ52">
        <f>IF(HQ$4=1,IF(OR(INDEX('×入力'!$A$1:$L$1300,1183+HQ$3,2+HQ$2)&lt;&gt;"",INDEX('×入力'!$A$1:$L$1300,1182,2+HQ$2)&lt;&gt;"",INDEX('×入力'!$A$1:$L$1300,1183+HQ$3,1)&lt;&gt;""),1,0),0)</f>
        <v/>
      </c>
      <c r="HR52">
        <f>IF(HR$4=1,IF(OR(INDEX('×入力'!$A$1:$L$1300,1183+HR$3,2+HR$2)&lt;&gt;"",INDEX('×入力'!$A$1:$L$1300,1182,2+HR$2)&lt;&gt;"",INDEX('×入力'!$A$1:$L$1300,1183+HR$3,1)&lt;&gt;""),1,0),0)</f>
        <v/>
      </c>
      <c r="HS52">
        <f>IF(HS$4=1,IF(OR(INDEX('×入力'!$A$1:$L$1300,1183+HS$3,2+HS$2)&lt;&gt;"",INDEX('×入力'!$A$1:$L$1300,1182,2+HS$2)&lt;&gt;"",INDEX('×入力'!$A$1:$L$1300,1183+HS$3,1)&lt;&gt;""),1,0),0)</f>
        <v/>
      </c>
      <c r="HT52">
        <f>IF(HT$4=1,IF(OR(INDEX('×入力'!$A$1:$L$1300,1183+HT$3,2+HT$2)&lt;&gt;"",INDEX('×入力'!$A$1:$L$1300,1182,2+HT$2)&lt;&gt;"",INDEX('×入力'!$A$1:$L$1300,1183+HT$3,1)&lt;&gt;""),1,0),0)</f>
        <v/>
      </c>
      <c r="HU52">
        <f>IF(HU$4=1,IF(OR(INDEX('×入力'!$A$1:$L$1300,1183+HU$3,2+HU$2)&lt;&gt;"",INDEX('×入力'!$A$1:$L$1300,1182,2+HU$2)&lt;&gt;"",INDEX('×入力'!$A$1:$L$1300,1183+HU$3,1)&lt;&gt;""),1,0),0)</f>
        <v/>
      </c>
      <c r="HV52">
        <f>IF(HV$4=1,IF(OR(INDEX('×入力'!$A$1:$L$1300,1183+HV$3,2+HV$2)&lt;&gt;"",INDEX('×入力'!$A$1:$L$1300,1182,2+HV$2)&lt;&gt;"",INDEX('×入力'!$A$1:$L$1300,1183+HV$3,1)&lt;&gt;""),1,0),0)</f>
        <v/>
      </c>
      <c r="HW52">
        <f>IF(HW$4=1,IF(OR(INDEX('×入力'!$A$1:$L$1300,1183+HW$3,2+HW$2)&lt;&gt;"",INDEX('×入力'!$A$1:$L$1300,1182,2+HW$2)&lt;&gt;"",INDEX('×入力'!$A$1:$L$1300,1183+HW$3,1)&lt;&gt;""),1,0),0)</f>
        <v/>
      </c>
      <c r="HX52">
        <f>IF(HX$4=1,IF(OR(INDEX('×入力'!$A$1:$L$1300,1183+HX$3,2+HX$2)&lt;&gt;"",INDEX('×入力'!$A$1:$L$1300,1182,2+HX$2)&lt;&gt;"",INDEX('×入力'!$A$1:$L$1300,1183+HX$3,1)&lt;&gt;""),1,0),0)</f>
        <v/>
      </c>
      <c r="HY52">
        <f>IF(HY$4=1,IF(OR(INDEX('×入力'!$A$1:$L$1300,1183+HY$3,2+HY$2)&lt;&gt;"",INDEX('×入力'!$A$1:$L$1300,1182,2+HY$2)&lt;&gt;"",INDEX('×入力'!$A$1:$L$1300,1183+HY$3,1)&lt;&gt;""),1,0),0)</f>
        <v/>
      </c>
      <c r="HZ52">
        <f>IF(HZ$4=1,IF(OR(INDEX('×入力'!$A$1:$L$1300,1183+HZ$3,2+HZ$2)&lt;&gt;"",INDEX('×入力'!$A$1:$L$1300,1182,2+HZ$2)&lt;&gt;"",INDEX('×入力'!$A$1:$L$1300,1183+HZ$3,1)&lt;&gt;""),1,0),0)</f>
        <v/>
      </c>
      <c r="IA52">
        <f>IF(IA$4=1,IF(OR(INDEX('×入力'!$A$1:$L$1300,1183+IA$3,2+IA$2)&lt;&gt;"",INDEX('×入力'!$A$1:$L$1300,1182,2+IA$2)&lt;&gt;"",INDEX('×入力'!$A$1:$L$1300,1183+IA$3,1)&lt;&gt;""),1,0),0)</f>
        <v/>
      </c>
      <c r="IB52">
        <f>IF(IB$4=1,IF(OR(INDEX('×入力'!$A$1:$L$1300,1183+IB$3,2+IB$2)&lt;&gt;"",INDEX('×入力'!$A$1:$L$1300,1182,2+IB$2)&lt;&gt;"",INDEX('×入力'!$A$1:$L$1300,1183+IB$3,1)&lt;&gt;""),1,0),0)</f>
        <v/>
      </c>
      <c r="IC52">
        <f>IF(IC$4=1,IF(OR(INDEX('×入力'!$A$1:$L$1300,1183+IC$3,2+IC$2)&lt;&gt;"",INDEX('×入力'!$A$1:$L$1300,1182,2+IC$2)&lt;&gt;"",INDEX('×入力'!$A$1:$L$1300,1183+IC$3,1)&lt;&gt;""),1,0),0)</f>
        <v/>
      </c>
      <c r="ID52">
        <f>IF(ID$4=1,IF(OR(INDEX('×入力'!$A$1:$L$1300,1183+ID$3,2+ID$2)&lt;&gt;"",INDEX('×入力'!$A$1:$L$1300,1182,2+ID$2)&lt;&gt;"",INDEX('×入力'!$A$1:$L$1300,1183+ID$3,1)&lt;&gt;""),1,0),0)</f>
        <v/>
      </c>
      <c r="IE52">
        <f>IF(IE$4=1,IF(OR(INDEX('×入力'!$A$1:$L$1300,1183+IE$3,2+IE$2)&lt;&gt;"",INDEX('×入力'!$A$1:$L$1300,1182,2+IE$2)&lt;&gt;"",INDEX('×入力'!$A$1:$L$1300,1183+IE$3,1)&lt;&gt;""),1,0),0)</f>
        <v/>
      </c>
      <c r="IF52">
        <f>IF(IF$4=1,IF(OR(INDEX('×入力'!$A$1:$L$1300,1183+IF$3,2+IF$2)&lt;&gt;"",INDEX('×入力'!$A$1:$L$1300,1182,2+IF$2)&lt;&gt;"",INDEX('×入力'!$A$1:$L$1300,1183+IF$3,1)&lt;&gt;""),1,0),0)</f>
        <v/>
      </c>
      <c r="IG52">
        <f>IF(IG$4=1,IF(OR(INDEX('×入力'!$A$1:$L$1300,1183+IG$3,2+IG$2)&lt;&gt;"",INDEX('×入力'!$A$1:$L$1300,1182,2+IG$2)&lt;&gt;"",INDEX('×入力'!$A$1:$L$1300,1183+IG$3,1)&lt;&gt;""),1,0),0)</f>
        <v/>
      </c>
      <c r="IH52">
        <f>IF(IH$4=1,IF(OR(INDEX('×入力'!$A$1:$L$1300,1183+IH$3,2+IH$2)&lt;&gt;"",INDEX('×入力'!$A$1:$L$1300,1182,2+IH$2)&lt;&gt;"",INDEX('×入力'!$A$1:$L$1300,1183+IH$3,1)&lt;&gt;""),1,0),0)</f>
        <v/>
      </c>
      <c r="II52">
        <f>IF(II$4=1,IF(OR(INDEX('×入力'!$A$1:$L$1300,1183+II$3,2+II$2)&lt;&gt;"",INDEX('×入力'!$A$1:$L$1300,1182,2+II$2)&lt;&gt;"",INDEX('×入力'!$A$1:$L$1300,1183+II$3,1)&lt;&gt;""),1,0),0)</f>
        <v/>
      </c>
      <c r="IK52">
        <f>IFERROR(INDEX('計算B'!$C$3:$C$47,MATCH(A52,'計算B'!$B$3:$B$47,0)),0)</f>
        <v/>
      </c>
      <c r="IL52">
        <f>IF(AND(C52=1,IK52=0),1,0)</f>
        <v/>
      </c>
      <c r="IM52">
        <f>SUMPRODUCT(D102:II102*(1-$D$7:$II$7))</f>
        <v/>
      </c>
      <c r="IN52">
        <f>SUM(D52:II52)</f>
        <v/>
      </c>
      <c r="IO52">
        <f>IF(B52="",0,IF(COUNTIF('調整・決定'!$C$6:$L$29,B52)=1,SUMPRODUCT(('調整・決定'!$C$6:$L$29=B52)*((COLUMN('調整・決定'!$C$6:$L$29)-3)*24+ROW('調整・決定'!$C$6:$L$29)-5)),0))</f>
        <v/>
      </c>
      <c r="IP52">
        <f>IFERROR(MATCH('名簿'!E47,{"早い時刻","遅い時刻","早い日","遅い日"},0),0)</f>
        <v/>
      </c>
      <c r="IQ52">
        <f>IF('名簿'!F47="必ず空けたい",2,IF('名簿'!F47="出来れば空けたい",1,0))</f>
        <v/>
      </c>
    </row>
    <row r="53">
      <c r="A53" t="n">
        <v>44</v>
      </c>
      <c r="B53">
        <f>'名簿'!G48</f>
        <v/>
      </c>
      <c r="C53">
        <f>IF(AND(B53&lt;&gt;"",OR('名簿'!H48="入力済み",'名簿'!H48="×なし"),IO53=0,COUNTIF('調整・決定'!$C$6:$L$29,B53)=0),1,0)</f>
        <v/>
      </c>
      <c r="D53">
        <f>IF(D$4=1,IF(OR(INDEX('×入力'!$A$1:$L$1300,1211+D$3,2+D$2)&lt;&gt;"",INDEX('×入力'!$A$1:$L$1300,1210,2+D$2)&lt;&gt;"",INDEX('×入力'!$A$1:$L$1300,1211+D$3,1)&lt;&gt;""),1,0),0)</f>
        <v/>
      </c>
      <c r="E53">
        <f>IF(E$4=1,IF(OR(INDEX('×入力'!$A$1:$L$1300,1211+E$3,2+E$2)&lt;&gt;"",INDEX('×入力'!$A$1:$L$1300,1210,2+E$2)&lt;&gt;"",INDEX('×入力'!$A$1:$L$1300,1211+E$3,1)&lt;&gt;""),1,0),0)</f>
        <v/>
      </c>
      <c r="F53">
        <f>IF(F$4=1,IF(OR(INDEX('×入力'!$A$1:$L$1300,1211+F$3,2+F$2)&lt;&gt;"",INDEX('×入力'!$A$1:$L$1300,1210,2+F$2)&lt;&gt;"",INDEX('×入力'!$A$1:$L$1300,1211+F$3,1)&lt;&gt;""),1,0),0)</f>
        <v/>
      </c>
      <c r="G53">
        <f>IF(G$4=1,IF(OR(INDEX('×入力'!$A$1:$L$1300,1211+G$3,2+G$2)&lt;&gt;"",INDEX('×入力'!$A$1:$L$1300,1210,2+G$2)&lt;&gt;"",INDEX('×入力'!$A$1:$L$1300,1211+G$3,1)&lt;&gt;""),1,0),0)</f>
        <v/>
      </c>
      <c r="H53">
        <f>IF(H$4=1,IF(OR(INDEX('×入力'!$A$1:$L$1300,1211+H$3,2+H$2)&lt;&gt;"",INDEX('×入力'!$A$1:$L$1300,1210,2+H$2)&lt;&gt;"",INDEX('×入力'!$A$1:$L$1300,1211+H$3,1)&lt;&gt;""),1,0),0)</f>
        <v/>
      </c>
      <c r="I53">
        <f>IF(I$4=1,IF(OR(INDEX('×入力'!$A$1:$L$1300,1211+I$3,2+I$2)&lt;&gt;"",INDEX('×入力'!$A$1:$L$1300,1210,2+I$2)&lt;&gt;"",INDEX('×入力'!$A$1:$L$1300,1211+I$3,1)&lt;&gt;""),1,0),0)</f>
        <v/>
      </c>
      <c r="J53">
        <f>IF(J$4=1,IF(OR(INDEX('×入力'!$A$1:$L$1300,1211+J$3,2+J$2)&lt;&gt;"",INDEX('×入力'!$A$1:$L$1300,1210,2+J$2)&lt;&gt;"",INDEX('×入力'!$A$1:$L$1300,1211+J$3,1)&lt;&gt;""),1,0),0)</f>
        <v/>
      </c>
      <c r="K53">
        <f>IF(K$4=1,IF(OR(INDEX('×入力'!$A$1:$L$1300,1211+K$3,2+K$2)&lt;&gt;"",INDEX('×入力'!$A$1:$L$1300,1210,2+K$2)&lt;&gt;"",INDEX('×入力'!$A$1:$L$1300,1211+K$3,1)&lt;&gt;""),1,0),0)</f>
        <v/>
      </c>
      <c r="L53">
        <f>IF(L$4=1,IF(OR(INDEX('×入力'!$A$1:$L$1300,1211+L$3,2+L$2)&lt;&gt;"",INDEX('×入力'!$A$1:$L$1300,1210,2+L$2)&lt;&gt;"",INDEX('×入力'!$A$1:$L$1300,1211+L$3,1)&lt;&gt;""),1,0),0)</f>
        <v/>
      </c>
      <c r="M53">
        <f>IF(M$4=1,IF(OR(INDEX('×入力'!$A$1:$L$1300,1211+M$3,2+M$2)&lt;&gt;"",INDEX('×入力'!$A$1:$L$1300,1210,2+M$2)&lt;&gt;"",INDEX('×入力'!$A$1:$L$1300,1211+M$3,1)&lt;&gt;""),1,0),0)</f>
        <v/>
      </c>
      <c r="N53">
        <f>IF(N$4=1,IF(OR(INDEX('×入力'!$A$1:$L$1300,1211+N$3,2+N$2)&lt;&gt;"",INDEX('×入力'!$A$1:$L$1300,1210,2+N$2)&lt;&gt;"",INDEX('×入力'!$A$1:$L$1300,1211+N$3,1)&lt;&gt;""),1,0),0)</f>
        <v/>
      </c>
      <c r="O53">
        <f>IF(O$4=1,IF(OR(INDEX('×入力'!$A$1:$L$1300,1211+O$3,2+O$2)&lt;&gt;"",INDEX('×入力'!$A$1:$L$1300,1210,2+O$2)&lt;&gt;"",INDEX('×入力'!$A$1:$L$1300,1211+O$3,1)&lt;&gt;""),1,0),0)</f>
        <v/>
      </c>
      <c r="P53">
        <f>IF(P$4=1,IF(OR(INDEX('×入力'!$A$1:$L$1300,1211+P$3,2+P$2)&lt;&gt;"",INDEX('×入力'!$A$1:$L$1300,1210,2+P$2)&lt;&gt;"",INDEX('×入力'!$A$1:$L$1300,1211+P$3,1)&lt;&gt;""),1,0),0)</f>
        <v/>
      </c>
      <c r="Q53">
        <f>IF(Q$4=1,IF(OR(INDEX('×入力'!$A$1:$L$1300,1211+Q$3,2+Q$2)&lt;&gt;"",INDEX('×入力'!$A$1:$L$1300,1210,2+Q$2)&lt;&gt;"",INDEX('×入力'!$A$1:$L$1300,1211+Q$3,1)&lt;&gt;""),1,0),0)</f>
        <v/>
      </c>
      <c r="R53">
        <f>IF(R$4=1,IF(OR(INDEX('×入力'!$A$1:$L$1300,1211+R$3,2+R$2)&lt;&gt;"",INDEX('×入力'!$A$1:$L$1300,1210,2+R$2)&lt;&gt;"",INDEX('×入力'!$A$1:$L$1300,1211+R$3,1)&lt;&gt;""),1,0),0)</f>
        <v/>
      </c>
      <c r="S53">
        <f>IF(S$4=1,IF(OR(INDEX('×入力'!$A$1:$L$1300,1211+S$3,2+S$2)&lt;&gt;"",INDEX('×入力'!$A$1:$L$1300,1210,2+S$2)&lt;&gt;"",INDEX('×入力'!$A$1:$L$1300,1211+S$3,1)&lt;&gt;""),1,0),0)</f>
        <v/>
      </c>
      <c r="T53">
        <f>IF(T$4=1,IF(OR(INDEX('×入力'!$A$1:$L$1300,1211+T$3,2+T$2)&lt;&gt;"",INDEX('×入力'!$A$1:$L$1300,1210,2+T$2)&lt;&gt;"",INDEX('×入力'!$A$1:$L$1300,1211+T$3,1)&lt;&gt;""),1,0),0)</f>
        <v/>
      </c>
      <c r="U53">
        <f>IF(U$4=1,IF(OR(INDEX('×入力'!$A$1:$L$1300,1211+U$3,2+U$2)&lt;&gt;"",INDEX('×入力'!$A$1:$L$1300,1210,2+U$2)&lt;&gt;"",INDEX('×入力'!$A$1:$L$1300,1211+U$3,1)&lt;&gt;""),1,0),0)</f>
        <v/>
      </c>
      <c r="V53">
        <f>IF(V$4=1,IF(OR(INDEX('×入力'!$A$1:$L$1300,1211+V$3,2+V$2)&lt;&gt;"",INDEX('×入力'!$A$1:$L$1300,1210,2+V$2)&lt;&gt;"",INDEX('×入力'!$A$1:$L$1300,1211+V$3,1)&lt;&gt;""),1,0),0)</f>
        <v/>
      </c>
      <c r="W53">
        <f>IF(W$4=1,IF(OR(INDEX('×入力'!$A$1:$L$1300,1211+W$3,2+W$2)&lt;&gt;"",INDEX('×入力'!$A$1:$L$1300,1210,2+W$2)&lt;&gt;"",INDEX('×入力'!$A$1:$L$1300,1211+W$3,1)&lt;&gt;""),1,0),0)</f>
        <v/>
      </c>
      <c r="X53">
        <f>IF(X$4=1,IF(OR(INDEX('×入力'!$A$1:$L$1300,1211+X$3,2+X$2)&lt;&gt;"",INDEX('×入力'!$A$1:$L$1300,1210,2+X$2)&lt;&gt;"",INDEX('×入力'!$A$1:$L$1300,1211+X$3,1)&lt;&gt;""),1,0),0)</f>
        <v/>
      </c>
      <c r="Y53">
        <f>IF(Y$4=1,IF(OR(INDEX('×入力'!$A$1:$L$1300,1211+Y$3,2+Y$2)&lt;&gt;"",INDEX('×入力'!$A$1:$L$1300,1210,2+Y$2)&lt;&gt;"",INDEX('×入力'!$A$1:$L$1300,1211+Y$3,1)&lt;&gt;""),1,0),0)</f>
        <v/>
      </c>
      <c r="Z53">
        <f>IF(Z$4=1,IF(OR(INDEX('×入力'!$A$1:$L$1300,1211+Z$3,2+Z$2)&lt;&gt;"",INDEX('×入力'!$A$1:$L$1300,1210,2+Z$2)&lt;&gt;"",INDEX('×入力'!$A$1:$L$1300,1211+Z$3,1)&lt;&gt;""),1,0),0)</f>
        <v/>
      </c>
      <c r="AA53">
        <f>IF(AA$4=1,IF(OR(INDEX('×入力'!$A$1:$L$1300,1211+AA$3,2+AA$2)&lt;&gt;"",INDEX('×入力'!$A$1:$L$1300,1210,2+AA$2)&lt;&gt;"",INDEX('×入力'!$A$1:$L$1300,1211+AA$3,1)&lt;&gt;""),1,0),0)</f>
        <v/>
      </c>
      <c r="AB53">
        <f>IF(AB$4=1,IF(OR(INDEX('×入力'!$A$1:$L$1300,1211+AB$3,2+AB$2)&lt;&gt;"",INDEX('×入力'!$A$1:$L$1300,1210,2+AB$2)&lt;&gt;"",INDEX('×入力'!$A$1:$L$1300,1211+AB$3,1)&lt;&gt;""),1,0),0)</f>
        <v/>
      </c>
      <c r="AC53">
        <f>IF(AC$4=1,IF(OR(INDEX('×入力'!$A$1:$L$1300,1211+AC$3,2+AC$2)&lt;&gt;"",INDEX('×入力'!$A$1:$L$1300,1210,2+AC$2)&lt;&gt;"",INDEX('×入力'!$A$1:$L$1300,1211+AC$3,1)&lt;&gt;""),1,0),0)</f>
        <v/>
      </c>
      <c r="AD53">
        <f>IF(AD$4=1,IF(OR(INDEX('×入力'!$A$1:$L$1300,1211+AD$3,2+AD$2)&lt;&gt;"",INDEX('×入力'!$A$1:$L$1300,1210,2+AD$2)&lt;&gt;"",INDEX('×入力'!$A$1:$L$1300,1211+AD$3,1)&lt;&gt;""),1,0),0)</f>
        <v/>
      </c>
      <c r="AE53">
        <f>IF(AE$4=1,IF(OR(INDEX('×入力'!$A$1:$L$1300,1211+AE$3,2+AE$2)&lt;&gt;"",INDEX('×入力'!$A$1:$L$1300,1210,2+AE$2)&lt;&gt;"",INDEX('×入力'!$A$1:$L$1300,1211+AE$3,1)&lt;&gt;""),1,0),0)</f>
        <v/>
      </c>
      <c r="AF53">
        <f>IF(AF$4=1,IF(OR(INDEX('×入力'!$A$1:$L$1300,1211+AF$3,2+AF$2)&lt;&gt;"",INDEX('×入力'!$A$1:$L$1300,1210,2+AF$2)&lt;&gt;"",INDEX('×入力'!$A$1:$L$1300,1211+AF$3,1)&lt;&gt;""),1,0),0)</f>
        <v/>
      </c>
      <c r="AG53">
        <f>IF(AG$4=1,IF(OR(INDEX('×入力'!$A$1:$L$1300,1211+AG$3,2+AG$2)&lt;&gt;"",INDEX('×入力'!$A$1:$L$1300,1210,2+AG$2)&lt;&gt;"",INDEX('×入力'!$A$1:$L$1300,1211+AG$3,1)&lt;&gt;""),1,0),0)</f>
        <v/>
      </c>
      <c r="AH53">
        <f>IF(AH$4=1,IF(OR(INDEX('×入力'!$A$1:$L$1300,1211+AH$3,2+AH$2)&lt;&gt;"",INDEX('×入力'!$A$1:$L$1300,1210,2+AH$2)&lt;&gt;"",INDEX('×入力'!$A$1:$L$1300,1211+AH$3,1)&lt;&gt;""),1,0),0)</f>
        <v/>
      </c>
      <c r="AI53">
        <f>IF(AI$4=1,IF(OR(INDEX('×入力'!$A$1:$L$1300,1211+AI$3,2+AI$2)&lt;&gt;"",INDEX('×入力'!$A$1:$L$1300,1210,2+AI$2)&lt;&gt;"",INDEX('×入力'!$A$1:$L$1300,1211+AI$3,1)&lt;&gt;""),1,0),0)</f>
        <v/>
      </c>
      <c r="AJ53">
        <f>IF(AJ$4=1,IF(OR(INDEX('×入力'!$A$1:$L$1300,1211+AJ$3,2+AJ$2)&lt;&gt;"",INDEX('×入力'!$A$1:$L$1300,1210,2+AJ$2)&lt;&gt;"",INDEX('×入力'!$A$1:$L$1300,1211+AJ$3,1)&lt;&gt;""),1,0),0)</f>
        <v/>
      </c>
      <c r="AK53">
        <f>IF(AK$4=1,IF(OR(INDEX('×入力'!$A$1:$L$1300,1211+AK$3,2+AK$2)&lt;&gt;"",INDEX('×入力'!$A$1:$L$1300,1210,2+AK$2)&lt;&gt;"",INDEX('×入力'!$A$1:$L$1300,1211+AK$3,1)&lt;&gt;""),1,0),0)</f>
        <v/>
      </c>
      <c r="AL53">
        <f>IF(AL$4=1,IF(OR(INDEX('×入力'!$A$1:$L$1300,1211+AL$3,2+AL$2)&lt;&gt;"",INDEX('×入力'!$A$1:$L$1300,1210,2+AL$2)&lt;&gt;"",INDEX('×入力'!$A$1:$L$1300,1211+AL$3,1)&lt;&gt;""),1,0),0)</f>
        <v/>
      </c>
      <c r="AM53">
        <f>IF(AM$4=1,IF(OR(INDEX('×入力'!$A$1:$L$1300,1211+AM$3,2+AM$2)&lt;&gt;"",INDEX('×入力'!$A$1:$L$1300,1210,2+AM$2)&lt;&gt;"",INDEX('×入力'!$A$1:$L$1300,1211+AM$3,1)&lt;&gt;""),1,0),0)</f>
        <v/>
      </c>
      <c r="AN53">
        <f>IF(AN$4=1,IF(OR(INDEX('×入力'!$A$1:$L$1300,1211+AN$3,2+AN$2)&lt;&gt;"",INDEX('×入力'!$A$1:$L$1300,1210,2+AN$2)&lt;&gt;"",INDEX('×入力'!$A$1:$L$1300,1211+AN$3,1)&lt;&gt;""),1,0),0)</f>
        <v/>
      </c>
      <c r="AO53">
        <f>IF(AO$4=1,IF(OR(INDEX('×入力'!$A$1:$L$1300,1211+AO$3,2+AO$2)&lt;&gt;"",INDEX('×入力'!$A$1:$L$1300,1210,2+AO$2)&lt;&gt;"",INDEX('×入力'!$A$1:$L$1300,1211+AO$3,1)&lt;&gt;""),1,0),0)</f>
        <v/>
      </c>
      <c r="AP53">
        <f>IF(AP$4=1,IF(OR(INDEX('×入力'!$A$1:$L$1300,1211+AP$3,2+AP$2)&lt;&gt;"",INDEX('×入力'!$A$1:$L$1300,1210,2+AP$2)&lt;&gt;"",INDEX('×入力'!$A$1:$L$1300,1211+AP$3,1)&lt;&gt;""),1,0),0)</f>
        <v/>
      </c>
      <c r="AQ53">
        <f>IF(AQ$4=1,IF(OR(INDEX('×入力'!$A$1:$L$1300,1211+AQ$3,2+AQ$2)&lt;&gt;"",INDEX('×入力'!$A$1:$L$1300,1210,2+AQ$2)&lt;&gt;"",INDEX('×入力'!$A$1:$L$1300,1211+AQ$3,1)&lt;&gt;""),1,0),0)</f>
        <v/>
      </c>
      <c r="AR53">
        <f>IF(AR$4=1,IF(OR(INDEX('×入力'!$A$1:$L$1300,1211+AR$3,2+AR$2)&lt;&gt;"",INDEX('×入力'!$A$1:$L$1300,1210,2+AR$2)&lt;&gt;"",INDEX('×入力'!$A$1:$L$1300,1211+AR$3,1)&lt;&gt;""),1,0),0)</f>
        <v/>
      </c>
      <c r="AS53">
        <f>IF(AS$4=1,IF(OR(INDEX('×入力'!$A$1:$L$1300,1211+AS$3,2+AS$2)&lt;&gt;"",INDEX('×入力'!$A$1:$L$1300,1210,2+AS$2)&lt;&gt;"",INDEX('×入力'!$A$1:$L$1300,1211+AS$3,1)&lt;&gt;""),1,0),0)</f>
        <v/>
      </c>
      <c r="AT53">
        <f>IF(AT$4=1,IF(OR(INDEX('×入力'!$A$1:$L$1300,1211+AT$3,2+AT$2)&lt;&gt;"",INDEX('×入力'!$A$1:$L$1300,1210,2+AT$2)&lt;&gt;"",INDEX('×入力'!$A$1:$L$1300,1211+AT$3,1)&lt;&gt;""),1,0),0)</f>
        <v/>
      </c>
      <c r="AU53">
        <f>IF(AU$4=1,IF(OR(INDEX('×入力'!$A$1:$L$1300,1211+AU$3,2+AU$2)&lt;&gt;"",INDEX('×入力'!$A$1:$L$1300,1210,2+AU$2)&lt;&gt;"",INDEX('×入力'!$A$1:$L$1300,1211+AU$3,1)&lt;&gt;""),1,0),0)</f>
        <v/>
      </c>
      <c r="AV53">
        <f>IF(AV$4=1,IF(OR(INDEX('×入力'!$A$1:$L$1300,1211+AV$3,2+AV$2)&lt;&gt;"",INDEX('×入力'!$A$1:$L$1300,1210,2+AV$2)&lt;&gt;"",INDEX('×入力'!$A$1:$L$1300,1211+AV$3,1)&lt;&gt;""),1,0),0)</f>
        <v/>
      </c>
      <c r="AW53">
        <f>IF(AW$4=1,IF(OR(INDEX('×入力'!$A$1:$L$1300,1211+AW$3,2+AW$2)&lt;&gt;"",INDEX('×入力'!$A$1:$L$1300,1210,2+AW$2)&lt;&gt;"",INDEX('×入力'!$A$1:$L$1300,1211+AW$3,1)&lt;&gt;""),1,0),0)</f>
        <v/>
      </c>
      <c r="AX53">
        <f>IF(AX$4=1,IF(OR(INDEX('×入力'!$A$1:$L$1300,1211+AX$3,2+AX$2)&lt;&gt;"",INDEX('×入力'!$A$1:$L$1300,1210,2+AX$2)&lt;&gt;"",INDEX('×入力'!$A$1:$L$1300,1211+AX$3,1)&lt;&gt;""),1,0),0)</f>
        <v/>
      </c>
      <c r="AY53">
        <f>IF(AY$4=1,IF(OR(INDEX('×入力'!$A$1:$L$1300,1211+AY$3,2+AY$2)&lt;&gt;"",INDEX('×入力'!$A$1:$L$1300,1210,2+AY$2)&lt;&gt;"",INDEX('×入力'!$A$1:$L$1300,1211+AY$3,1)&lt;&gt;""),1,0),0)</f>
        <v/>
      </c>
      <c r="AZ53">
        <f>IF(AZ$4=1,IF(OR(INDEX('×入力'!$A$1:$L$1300,1211+AZ$3,2+AZ$2)&lt;&gt;"",INDEX('×入力'!$A$1:$L$1300,1210,2+AZ$2)&lt;&gt;"",INDEX('×入力'!$A$1:$L$1300,1211+AZ$3,1)&lt;&gt;""),1,0),0)</f>
        <v/>
      </c>
      <c r="BA53">
        <f>IF(BA$4=1,IF(OR(INDEX('×入力'!$A$1:$L$1300,1211+BA$3,2+BA$2)&lt;&gt;"",INDEX('×入力'!$A$1:$L$1300,1210,2+BA$2)&lt;&gt;"",INDEX('×入力'!$A$1:$L$1300,1211+BA$3,1)&lt;&gt;""),1,0),0)</f>
        <v/>
      </c>
      <c r="BB53">
        <f>IF(BB$4=1,IF(OR(INDEX('×入力'!$A$1:$L$1300,1211+BB$3,2+BB$2)&lt;&gt;"",INDEX('×入力'!$A$1:$L$1300,1210,2+BB$2)&lt;&gt;"",INDEX('×入力'!$A$1:$L$1300,1211+BB$3,1)&lt;&gt;""),1,0),0)</f>
        <v/>
      </c>
      <c r="BC53">
        <f>IF(BC$4=1,IF(OR(INDEX('×入力'!$A$1:$L$1300,1211+BC$3,2+BC$2)&lt;&gt;"",INDEX('×入力'!$A$1:$L$1300,1210,2+BC$2)&lt;&gt;"",INDEX('×入力'!$A$1:$L$1300,1211+BC$3,1)&lt;&gt;""),1,0),0)</f>
        <v/>
      </c>
      <c r="BD53">
        <f>IF(BD$4=1,IF(OR(INDEX('×入力'!$A$1:$L$1300,1211+BD$3,2+BD$2)&lt;&gt;"",INDEX('×入力'!$A$1:$L$1300,1210,2+BD$2)&lt;&gt;"",INDEX('×入力'!$A$1:$L$1300,1211+BD$3,1)&lt;&gt;""),1,0),0)</f>
        <v/>
      </c>
      <c r="BE53">
        <f>IF(BE$4=1,IF(OR(INDEX('×入力'!$A$1:$L$1300,1211+BE$3,2+BE$2)&lt;&gt;"",INDEX('×入力'!$A$1:$L$1300,1210,2+BE$2)&lt;&gt;"",INDEX('×入力'!$A$1:$L$1300,1211+BE$3,1)&lt;&gt;""),1,0),0)</f>
        <v/>
      </c>
      <c r="BF53">
        <f>IF(BF$4=1,IF(OR(INDEX('×入力'!$A$1:$L$1300,1211+BF$3,2+BF$2)&lt;&gt;"",INDEX('×入力'!$A$1:$L$1300,1210,2+BF$2)&lt;&gt;"",INDEX('×入力'!$A$1:$L$1300,1211+BF$3,1)&lt;&gt;""),1,0),0)</f>
        <v/>
      </c>
      <c r="BG53">
        <f>IF(BG$4=1,IF(OR(INDEX('×入力'!$A$1:$L$1300,1211+BG$3,2+BG$2)&lt;&gt;"",INDEX('×入力'!$A$1:$L$1300,1210,2+BG$2)&lt;&gt;"",INDEX('×入力'!$A$1:$L$1300,1211+BG$3,1)&lt;&gt;""),1,0),0)</f>
        <v/>
      </c>
      <c r="BH53">
        <f>IF(BH$4=1,IF(OR(INDEX('×入力'!$A$1:$L$1300,1211+BH$3,2+BH$2)&lt;&gt;"",INDEX('×入力'!$A$1:$L$1300,1210,2+BH$2)&lt;&gt;"",INDEX('×入力'!$A$1:$L$1300,1211+BH$3,1)&lt;&gt;""),1,0),0)</f>
        <v/>
      </c>
      <c r="BI53">
        <f>IF(BI$4=1,IF(OR(INDEX('×入力'!$A$1:$L$1300,1211+BI$3,2+BI$2)&lt;&gt;"",INDEX('×入力'!$A$1:$L$1300,1210,2+BI$2)&lt;&gt;"",INDEX('×入力'!$A$1:$L$1300,1211+BI$3,1)&lt;&gt;""),1,0),0)</f>
        <v/>
      </c>
      <c r="BJ53">
        <f>IF(BJ$4=1,IF(OR(INDEX('×入力'!$A$1:$L$1300,1211+BJ$3,2+BJ$2)&lt;&gt;"",INDEX('×入力'!$A$1:$L$1300,1210,2+BJ$2)&lt;&gt;"",INDEX('×入力'!$A$1:$L$1300,1211+BJ$3,1)&lt;&gt;""),1,0),0)</f>
        <v/>
      </c>
      <c r="BK53">
        <f>IF(BK$4=1,IF(OR(INDEX('×入力'!$A$1:$L$1300,1211+BK$3,2+BK$2)&lt;&gt;"",INDEX('×入力'!$A$1:$L$1300,1210,2+BK$2)&lt;&gt;"",INDEX('×入力'!$A$1:$L$1300,1211+BK$3,1)&lt;&gt;""),1,0),0)</f>
        <v/>
      </c>
      <c r="BL53">
        <f>IF(BL$4=1,IF(OR(INDEX('×入力'!$A$1:$L$1300,1211+BL$3,2+BL$2)&lt;&gt;"",INDEX('×入力'!$A$1:$L$1300,1210,2+BL$2)&lt;&gt;"",INDEX('×入力'!$A$1:$L$1300,1211+BL$3,1)&lt;&gt;""),1,0),0)</f>
        <v/>
      </c>
      <c r="BM53">
        <f>IF(BM$4=1,IF(OR(INDEX('×入力'!$A$1:$L$1300,1211+BM$3,2+BM$2)&lt;&gt;"",INDEX('×入力'!$A$1:$L$1300,1210,2+BM$2)&lt;&gt;"",INDEX('×入力'!$A$1:$L$1300,1211+BM$3,1)&lt;&gt;""),1,0),0)</f>
        <v/>
      </c>
      <c r="BN53">
        <f>IF(BN$4=1,IF(OR(INDEX('×入力'!$A$1:$L$1300,1211+BN$3,2+BN$2)&lt;&gt;"",INDEX('×入力'!$A$1:$L$1300,1210,2+BN$2)&lt;&gt;"",INDEX('×入力'!$A$1:$L$1300,1211+BN$3,1)&lt;&gt;""),1,0),0)</f>
        <v/>
      </c>
      <c r="BO53">
        <f>IF(BO$4=1,IF(OR(INDEX('×入力'!$A$1:$L$1300,1211+BO$3,2+BO$2)&lt;&gt;"",INDEX('×入力'!$A$1:$L$1300,1210,2+BO$2)&lt;&gt;"",INDEX('×入力'!$A$1:$L$1300,1211+BO$3,1)&lt;&gt;""),1,0),0)</f>
        <v/>
      </c>
      <c r="BP53">
        <f>IF(BP$4=1,IF(OR(INDEX('×入力'!$A$1:$L$1300,1211+BP$3,2+BP$2)&lt;&gt;"",INDEX('×入力'!$A$1:$L$1300,1210,2+BP$2)&lt;&gt;"",INDEX('×入力'!$A$1:$L$1300,1211+BP$3,1)&lt;&gt;""),1,0),0)</f>
        <v/>
      </c>
      <c r="BQ53">
        <f>IF(BQ$4=1,IF(OR(INDEX('×入力'!$A$1:$L$1300,1211+BQ$3,2+BQ$2)&lt;&gt;"",INDEX('×入力'!$A$1:$L$1300,1210,2+BQ$2)&lt;&gt;"",INDEX('×入力'!$A$1:$L$1300,1211+BQ$3,1)&lt;&gt;""),1,0),0)</f>
        <v/>
      </c>
      <c r="BR53">
        <f>IF(BR$4=1,IF(OR(INDEX('×入力'!$A$1:$L$1300,1211+BR$3,2+BR$2)&lt;&gt;"",INDEX('×入力'!$A$1:$L$1300,1210,2+BR$2)&lt;&gt;"",INDEX('×入力'!$A$1:$L$1300,1211+BR$3,1)&lt;&gt;""),1,0),0)</f>
        <v/>
      </c>
      <c r="BS53">
        <f>IF(BS$4=1,IF(OR(INDEX('×入力'!$A$1:$L$1300,1211+BS$3,2+BS$2)&lt;&gt;"",INDEX('×入力'!$A$1:$L$1300,1210,2+BS$2)&lt;&gt;"",INDEX('×入力'!$A$1:$L$1300,1211+BS$3,1)&lt;&gt;""),1,0),0)</f>
        <v/>
      </c>
      <c r="BT53">
        <f>IF(BT$4=1,IF(OR(INDEX('×入力'!$A$1:$L$1300,1211+BT$3,2+BT$2)&lt;&gt;"",INDEX('×入力'!$A$1:$L$1300,1210,2+BT$2)&lt;&gt;"",INDEX('×入力'!$A$1:$L$1300,1211+BT$3,1)&lt;&gt;""),1,0),0)</f>
        <v/>
      </c>
      <c r="BU53">
        <f>IF(BU$4=1,IF(OR(INDEX('×入力'!$A$1:$L$1300,1211+BU$3,2+BU$2)&lt;&gt;"",INDEX('×入力'!$A$1:$L$1300,1210,2+BU$2)&lt;&gt;"",INDEX('×入力'!$A$1:$L$1300,1211+BU$3,1)&lt;&gt;""),1,0),0)</f>
        <v/>
      </c>
      <c r="BV53">
        <f>IF(BV$4=1,IF(OR(INDEX('×入力'!$A$1:$L$1300,1211+BV$3,2+BV$2)&lt;&gt;"",INDEX('×入力'!$A$1:$L$1300,1210,2+BV$2)&lt;&gt;"",INDEX('×入力'!$A$1:$L$1300,1211+BV$3,1)&lt;&gt;""),1,0),0)</f>
        <v/>
      </c>
      <c r="BW53">
        <f>IF(BW$4=1,IF(OR(INDEX('×入力'!$A$1:$L$1300,1211+BW$3,2+BW$2)&lt;&gt;"",INDEX('×入力'!$A$1:$L$1300,1210,2+BW$2)&lt;&gt;"",INDEX('×入力'!$A$1:$L$1300,1211+BW$3,1)&lt;&gt;""),1,0),0)</f>
        <v/>
      </c>
      <c r="BX53">
        <f>IF(BX$4=1,IF(OR(INDEX('×入力'!$A$1:$L$1300,1211+BX$3,2+BX$2)&lt;&gt;"",INDEX('×入力'!$A$1:$L$1300,1210,2+BX$2)&lt;&gt;"",INDEX('×入力'!$A$1:$L$1300,1211+BX$3,1)&lt;&gt;""),1,0),0)</f>
        <v/>
      </c>
      <c r="BY53">
        <f>IF(BY$4=1,IF(OR(INDEX('×入力'!$A$1:$L$1300,1211+BY$3,2+BY$2)&lt;&gt;"",INDEX('×入力'!$A$1:$L$1300,1210,2+BY$2)&lt;&gt;"",INDEX('×入力'!$A$1:$L$1300,1211+BY$3,1)&lt;&gt;""),1,0),0)</f>
        <v/>
      </c>
      <c r="BZ53">
        <f>IF(BZ$4=1,IF(OR(INDEX('×入力'!$A$1:$L$1300,1211+BZ$3,2+BZ$2)&lt;&gt;"",INDEX('×入力'!$A$1:$L$1300,1210,2+BZ$2)&lt;&gt;"",INDEX('×入力'!$A$1:$L$1300,1211+BZ$3,1)&lt;&gt;""),1,0),0)</f>
        <v/>
      </c>
      <c r="CA53">
        <f>IF(CA$4=1,IF(OR(INDEX('×入力'!$A$1:$L$1300,1211+CA$3,2+CA$2)&lt;&gt;"",INDEX('×入力'!$A$1:$L$1300,1210,2+CA$2)&lt;&gt;"",INDEX('×入力'!$A$1:$L$1300,1211+CA$3,1)&lt;&gt;""),1,0),0)</f>
        <v/>
      </c>
      <c r="CB53">
        <f>IF(CB$4=1,IF(OR(INDEX('×入力'!$A$1:$L$1300,1211+CB$3,2+CB$2)&lt;&gt;"",INDEX('×入力'!$A$1:$L$1300,1210,2+CB$2)&lt;&gt;"",INDEX('×入力'!$A$1:$L$1300,1211+CB$3,1)&lt;&gt;""),1,0),0)</f>
        <v/>
      </c>
      <c r="CC53">
        <f>IF(CC$4=1,IF(OR(INDEX('×入力'!$A$1:$L$1300,1211+CC$3,2+CC$2)&lt;&gt;"",INDEX('×入力'!$A$1:$L$1300,1210,2+CC$2)&lt;&gt;"",INDEX('×入力'!$A$1:$L$1300,1211+CC$3,1)&lt;&gt;""),1,0),0)</f>
        <v/>
      </c>
      <c r="CD53">
        <f>IF(CD$4=1,IF(OR(INDEX('×入力'!$A$1:$L$1300,1211+CD$3,2+CD$2)&lt;&gt;"",INDEX('×入力'!$A$1:$L$1300,1210,2+CD$2)&lt;&gt;"",INDEX('×入力'!$A$1:$L$1300,1211+CD$3,1)&lt;&gt;""),1,0),0)</f>
        <v/>
      </c>
      <c r="CE53">
        <f>IF(CE$4=1,IF(OR(INDEX('×入力'!$A$1:$L$1300,1211+CE$3,2+CE$2)&lt;&gt;"",INDEX('×入力'!$A$1:$L$1300,1210,2+CE$2)&lt;&gt;"",INDEX('×入力'!$A$1:$L$1300,1211+CE$3,1)&lt;&gt;""),1,0),0)</f>
        <v/>
      </c>
      <c r="CF53">
        <f>IF(CF$4=1,IF(OR(INDEX('×入力'!$A$1:$L$1300,1211+CF$3,2+CF$2)&lt;&gt;"",INDEX('×入力'!$A$1:$L$1300,1210,2+CF$2)&lt;&gt;"",INDEX('×入力'!$A$1:$L$1300,1211+CF$3,1)&lt;&gt;""),1,0),0)</f>
        <v/>
      </c>
      <c r="CG53">
        <f>IF(CG$4=1,IF(OR(INDEX('×入力'!$A$1:$L$1300,1211+CG$3,2+CG$2)&lt;&gt;"",INDEX('×入力'!$A$1:$L$1300,1210,2+CG$2)&lt;&gt;"",INDEX('×入力'!$A$1:$L$1300,1211+CG$3,1)&lt;&gt;""),1,0),0)</f>
        <v/>
      </c>
      <c r="CH53">
        <f>IF(CH$4=1,IF(OR(INDEX('×入力'!$A$1:$L$1300,1211+CH$3,2+CH$2)&lt;&gt;"",INDEX('×入力'!$A$1:$L$1300,1210,2+CH$2)&lt;&gt;"",INDEX('×入力'!$A$1:$L$1300,1211+CH$3,1)&lt;&gt;""),1,0),0)</f>
        <v/>
      </c>
      <c r="CI53">
        <f>IF(CI$4=1,IF(OR(INDEX('×入力'!$A$1:$L$1300,1211+CI$3,2+CI$2)&lt;&gt;"",INDEX('×入力'!$A$1:$L$1300,1210,2+CI$2)&lt;&gt;"",INDEX('×入力'!$A$1:$L$1300,1211+CI$3,1)&lt;&gt;""),1,0),0)</f>
        <v/>
      </c>
      <c r="CJ53">
        <f>IF(CJ$4=1,IF(OR(INDEX('×入力'!$A$1:$L$1300,1211+CJ$3,2+CJ$2)&lt;&gt;"",INDEX('×入力'!$A$1:$L$1300,1210,2+CJ$2)&lt;&gt;"",INDEX('×入力'!$A$1:$L$1300,1211+CJ$3,1)&lt;&gt;""),1,0),0)</f>
        <v/>
      </c>
      <c r="CK53">
        <f>IF(CK$4=1,IF(OR(INDEX('×入力'!$A$1:$L$1300,1211+CK$3,2+CK$2)&lt;&gt;"",INDEX('×入力'!$A$1:$L$1300,1210,2+CK$2)&lt;&gt;"",INDEX('×入力'!$A$1:$L$1300,1211+CK$3,1)&lt;&gt;""),1,0),0)</f>
        <v/>
      </c>
      <c r="CL53">
        <f>IF(CL$4=1,IF(OR(INDEX('×入力'!$A$1:$L$1300,1211+CL$3,2+CL$2)&lt;&gt;"",INDEX('×入力'!$A$1:$L$1300,1210,2+CL$2)&lt;&gt;"",INDEX('×入力'!$A$1:$L$1300,1211+CL$3,1)&lt;&gt;""),1,0),0)</f>
        <v/>
      </c>
      <c r="CM53">
        <f>IF(CM$4=1,IF(OR(INDEX('×入力'!$A$1:$L$1300,1211+CM$3,2+CM$2)&lt;&gt;"",INDEX('×入力'!$A$1:$L$1300,1210,2+CM$2)&lt;&gt;"",INDEX('×入力'!$A$1:$L$1300,1211+CM$3,1)&lt;&gt;""),1,0),0)</f>
        <v/>
      </c>
      <c r="CN53">
        <f>IF(CN$4=1,IF(OR(INDEX('×入力'!$A$1:$L$1300,1211+CN$3,2+CN$2)&lt;&gt;"",INDEX('×入力'!$A$1:$L$1300,1210,2+CN$2)&lt;&gt;"",INDEX('×入力'!$A$1:$L$1300,1211+CN$3,1)&lt;&gt;""),1,0),0)</f>
        <v/>
      </c>
      <c r="CO53">
        <f>IF(CO$4=1,IF(OR(INDEX('×入力'!$A$1:$L$1300,1211+CO$3,2+CO$2)&lt;&gt;"",INDEX('×入力'!$A$1:$L$1300,1210,2+CO$2)&lt;&gt;"",INDEX('×入力'!$A$1:$L$1300,1211+CO$3,1)&lt;&gt;""),1,0),0)</f>
        <v/>
      </c>
      <c r="CP53">
        <f>IF(CP$4=1,IF(OR(INDEX('×入力'!$A$1:$L$1300,1211+CP$3,2+CP$2)&lt;&gt;"",INDEX('×入力'!$A$1:$L$1300,1210,2+CP$2)&lt;&gt;"",INDEX('×入力'!$A$1:$L$1300,1211+CP$3,1)&lt;&gt;""),1,0),0)</f>
        <v/>
      </c>
      <c r="CQ53">
        <f>IF(CQ$4=1,IF(OR(INDEX('×入力'!$A$1:$L$1300,1211+CQ$3,2+CQ$2)&lt;&gt;"",INDEX('×入力'!$A$1:$L$1300,1210,2+CQ$2)&lt;&gt;"",INDEX('×入力'!$A$1:$L$1300,1211+CQ$3,1)&lt;&gt;""),1,0),0)</f>
        <v/>
      </c>
      <c r="CR53">
        <f>IF(CR$4=1,IF(OR(INDEX('×入力'!$A$1:$L$1300,1211+CR$3,2+CR$2)&lt;&gt;"",INDEX('×入力'!$A$1:$L$1300,1210,2+CR$2)&lt;&gt;"",INDEX('×入力'!$A$1:$L$1300,1211+CR$3,1)&lt;&gt;""),1,0),0)</f>
        <v/>
      </c>
      <c r="CS53">
        <f>IF(CS$4=1,IF(OR(INDEX('×入力'!$A$1:$L$1300,1211+CS$3,2+CS$2)&lt;&gt;"",INDEX('×入力'!$A$1:$L$1300,1210,2+CS$2)&lt;&gt;"",INDEX('×入力'!$A$1:$L$1300,1211+CS$3,1)&lt;&gt;""),1,0),0)</f>
        <v/>
      </c>
      <c r="CT53">
        <f>IF(CT$4=1,IF(OR(INDEX('×入力'!$A$1:$L$1300,1211+CT$3,2+CT$2)&lt;&gt;"",INDEX('×入力'!$A$1:$L$1300,1210,2+CT$2)&lt;&gt;"",INDEX('×入力'!$A$1:$L$1300,1211+CT$3,1)&lt;&gt;""),1,0),0)</f>
        <v/>
      </c>
      <c r="CU53">
        <f>IF(CU$4=1,IF(OR(INDEX('×入力'!$A$1:$L$1300,1211+CU$3,2+CU$2)&lt;&gt;"",INDEX('×入力'!$A$1:$L$1300,1210,2+CU$2)&lt;&gt;"",INDEX('×入力'!$A$1:$L$1300,1211+CU$3,1)&lt;&gt;""),1,0),0)</f>
        <v/>
      </c>
      <c r="CV53">
        <f>IF(CV$4=1,IF(OR(INDEX('×入力'!$A$1:$L$1300,1211+CV$3,2+CV$2)&lt;&gt;"",INDEX('×入力'!$A$1:$L$1300,1210,2+CV$2)&lt;&gt;"",INDEX('×入力'!$A$1:$L$1300,1211+CV$3,1)&lt;&gt;""),1,0),0)</f>
        <v/>
      </c>
      <c r="CW53">
        <f>IF(CW$4=1,IF(OR(INDEX('×入力'!$A$1:$L$1300,1211+CW$3,2+CW$2)&lt;&gt;"",INDEX('×入力'!$A$1:$L$1300,1210,2+CW$2)&lt;&gt;"",INDEX('×入力'!$A$1:$L$1300,1211+CW$3,1)&lt;&gt;""),1,0),0)</f>
        <v/>
      </c>
      <c r="CX53">
        <f>IF(CX$4=1,IF(OR(INDEX('×入力'!$A$1:$L$1300,1211+CX$3,2+CX$2)&lt;&gt;"",INDEX('×入力'!$A$1:$L$1300,1210,2+CX$2)&lt;&gt;"",INDEX('×入力'!$A$1:$L$1300,1211+CX$3,1)&lt;&gt;""),1,0),0)</f>
        <v/>
      </c>
      <c r="CY53">
        <f>IF(CY$4=1,IF(OR(INDEX('×入力'!$A$1:$L$1300,1211+CY$3,2+CY$2)&lt;&gt;"",INDEX('×入力'!$A$1:$L$1300,1210,2+CY$2)&lt;&gt;"",INDEX('×入力'!$A$1:$L$1300,1211+CY$3,1)&lt;&gt;""),1,0),0)</f>
        <v/>
      </c>
      <c r="CZ53">
        <f>IF(CZ$4=1,IF(OR(INDEX('×入力'!$A$1:$L$1300,1211+CZ$3,2+CZ$2)&lt;&gt;"",INDEX('×入力'!$A$1:$L$1300,1210,2+CZ$2)&lt;&gt;"",INDEX('×入力'!$A$1:$L$1300,1211+CZ$3,1)&lt;&gt;""),1,0),0)</f>
        <v/>
      </c>
      <c r="DA53">
        <f>IF(DA$4=1,IF(OR(INDEX('×入力'!$A$1:$L$1300,1211+DA$3,2+DA$2)&lt;&gt;"",INDEX('×入力'!$A$1:$L$1300,1210,2+DA$2)&lt;&gt;"",INDEX('×入力'!$A$1:$L$1300,1211+DA$3,1)&lt;&gt;""),1,0),0)</f>
        <v/>
      </c>
      <c r="DB53">
        <f>IF(DB$4=1,IF(OR(INDEX('×入力'!$A$1:$L$1300,1211+DB$3,2+DB$2)&lt;&gt;"",INDEX('×入力'!$A$1:$L$1300,1210,2+DB$2)&lt;&gt;"",INDEX('×入力'!$A$1:$L$1300,1211+DB$3,1)&lt;&gt;""),1,0),0)</f>
        <v/>
      </c>
      <c r="DC53">
        <f>IF(DC$4=1,IF(OR(INDEX('×入力'!$A$1:$L$1300,1211+DC$3,2+DC$2)&lt;&gt;"",INDEX('×入力'!$A$1:$L$1300,1210,2+DC$2)&lt;&gt;"",INDEX('×入力'!$A$1:$L$1300,1211+DC$3,1)&lt;&gt;""),1,0),0)</f>
        <v/>
      </c>
      <c r="DD53">
        <f>IF(DD$4=1,IF(OR(INDEX('×入力'!$A$1:$L$1300,1211+DD$3,2+DD$2)&lt;&gt;"",INDEX('×入力'!$A$1:$L$1300,1210,2+DD$2)&lt;&gt;"",INDEX('×入力'!$A$1:$L$1300,1211+DD$3,1)&lt;&gt;""),1,0),0)</f>
        <v/>
      </c>
      <c r="DE53">
        <f>IF(DE$4=1,IF(OR(INDEX('×入力'!$A$1:$L$1300,1211+DE$3,2+DE$2)&lt;&gt;"",INDEX('×入力'!$A$1:$L$1300,1210,2+DE$2)&lt;&gt;"",INDEX('×入力'!$A$1:$L$1300,1211+DE$3,1)&lt;&gt;""),1,0),0)</f>
        <v/>
      </c>
      <c r="DF53">
        <f>IF(DF$4=1,IF(OR(INDEX('×入力'!$A$1:$L$1300,1211+DF$3,2+DF$2)&lt;&gt;"",INDEX('×入力'!$A$1:$L$1300,1210,2+DF$2)&lt;&gt;"",INDEX('×入力'!$A$1:$L$1300,1211+DF$3,1)&lt;&gt;""),1,0),0)</f>
        <v/>
      </c>
      <c r="DG53">
        <f>IF(DG$4=1,IF(OR(INDEX('×入力'!$A$1:$L$1300,1211+DG$3,2+DG$2)&lt;&gt;"",INDEX('×入力'!$A$1:$L$1300,1210,2+DG$2)&lt;&gt;"",INDEX('×入力'!$A$1:$L$1300,1211+DG$3,1)&lt;&gt;""),1,0),0)</f>
        <v/>
      </c>
      <c r="DH53">
        <f>IF(DH$4=1,IF(OR(INDEX('×入力'!$A$1:$L$1300,1211+DH$3,2+DH$2)&lt;&gt;"",INDEX('×入力'!$A$1:$L$1300,1210,2+DH$2)&lt;&gt;"",INDEX('×入力'!$A$1:$L$1300,1211+DH$3,1)&lt;&gt;""),1,0),0)</f>
        <v/>
      </c>
      <c r="DI53">
        <f>IF(DI$4=1,IF(OR(INDEX('×入力'!$A$1:$L$1300,1211+DI$3,2+DI$2)&lt;&gt;"",INDEX('×入力'!$A$1:$L$1300,1210,2+DI$2)&lt;&gt;"",INDEX('×入力'!$A$1:$L$1300,1211+DI$3,1)&lt;&gt;""),1,0),0)</f>
        <v/>
      </c>
      <c r="DJ53">
        <f>IF(DJ$4=1,IF(OR(INDEX('×入力'!$A$1:$L$1300,1211+DJ$3,2+DJ$2)&lt;&gt;"",INDEX('×入力'!$A$1:$L$1300,1210,2+DJ$2)&lt;&gt;"",INDEX('×入力'!$A$1:$L$1300,1211+DJ$3,1)&lt;&gt;""),1,0),0)</f>
        <v/>
      </c>
      <c r="DK53">
        <f>IF(DK$4=1,IF(OR(INDEX('×入力'!$A$1:$L$1300,1211+DK$3,2+DK$2)&lt;&gt;"",INDEX('×入力'!$A$1:$L$1300,1210,2+DK$2)&lt;&gt;"",INDEX('×入力'!$A$1:$L$1300,1211+DK$3,1)&lt;&gt;""),1,0),0)</f>
        <v/>
      </c>
      <c r="DL53">
        <f>IF(DL$4=1,IF(OR(INDEX('×入力'!$A$1:$L$1300,1211+DL$3,2+DL$2)&lt;&gt;"",INDEX('×入力'!$A$1:$L$1300,1210,2+DL$2)&lt;&gt;"",INDEX('×入力'!$A$1:$L$1300,1211+DL$3,1)&lt;&gt;""),1,0),0)</f>
        <v/>
      </c>
      <c r="DM53">
        <f>IF(DM$4=1,IF(OR(INDEX('×入力'!$A$1:$L$1300,1211+DM$3,2+DM$2)&lt;&gt;"",INDEX('×入力'!$A$1:$L$1300,1210,2+DM$2)&lt;&gt;"",INDEX('×入力'!$A$1:$L$1300,1211+DM$3,1)&lt;&gt;""),1,0),0)</f>
        <v/>
      </c>
      <c r="DN53">
        <f>IF(DN$4=1,IF(OR(INDEX('×入力'!$A$1:$L$1300,1211+DN$3,2+DN$2)&lt;&gt;"",INDEX('×入力'!$A$1:$L$1300,1210,2+DN$2)&lt;&gt;"",INDEX('×入力'!$A$1:$L$1300,1211+DN$3,1)&lt;&gt;""),1,0),0)</f>
        <v/>
      </c>
      <c r="DO53">
        <f>IF(DO$4=1,IF(OR(INDEX('×入力'!$A$1:$L$1300,1211+DO$3,2+DO$2)&lt;&gt;"",INDEX('×入力'!$A$1:$L$1300,1210,2+DO$2)&lt;&gt;"",INDEX('×入力'!$A$1:$L$1300,1211+DO$3,1)&lt;&gt;""),1,0),0)</f>
        <v/>
      </c>
      <c r="DP53">
        <f>IF(DP$4=1,IF(OR(INDEX('×入力'!$A$1:$L$1300,1211+DP$3,2+DP$2)&lt;&gt;"",INDEX('×入力'!$A$1:$L$1300,1210,2+DP$2)&lt;&gt;"",INDEX('×入力'!$A$1:$L$1300,1211+DP$3,1)&lt;&gt;""),1,0),0)</f>
        <v/>
      </c>
      <c r="DQ53">
        <f>IF(DQ$4=1,IF(OR(INDEX('×入力'!$A$1:$L$1300,1211+DQ$3,2+DQ$2)&lt;&gt;"",INDEX('×入力'!$A$1:$L$1300,1210,2+DQ$2)&lt;&gt;"",INDEX('×入力'!$A$1:$L$1300,1211+DQ$3,1)&lt;&gt;""),1,0),0)</f>
        <v/>
      </c>
      <c r="DR53">
        <f>IF(DR$4=1,IF(OR(INDEX('×入力'!$A$1:$L$1300,1211+DR$3,2+DR$2)&lt;&gt;"",INDEX('×入力'!$A$1:$L$1300,1210,2+DR$2)&lt;&gt;"",INDEX('×入力'!$A$1:$L$1300,1211+DR$3,1)&lt;&gt;""),1,0),0)</f>
        <v/>
      </c>
      <c r="DS53">
        <f>IF(DS$4=1,IF(OR(INDEX('×入力'!$A$1:$L$1300,1211+DS$3,2+DS$2)&lt;&gt;"",INDEX('×入力'!$A$1:$L$1300,1210,2+DS$2)&lt;&gt;"",INDEX('×入力'!$A$1:$L$1300,1211+DS$3,1)&lt;&gt;""),1,0),0)</f>
        <v/>
      </c>
      <c r="DT53">
        <f>IF(DT$4=1,IF(OR(INDEX('×入力'!$A$1:$L$1300,1211+DT$3,2+DT$2)&lt;&gt;"",INDEX('×入力'!$A$1:$L$1300,1210,2+DT$2)&lt;&gt;"",INDEX('×入力'!$A$1:$L$1300,1211+DT$3,1)&lt;&gt;""),1,0),0)</f>
        <v/>
      </c>
      <c r="DU53">
        <f>IF(DU$4=1,IF(OR(INDEX('×入力'!$A$1:$L$1300,1211+DU$3,2+DU$2)&lt;&gt;"",INDEX('×入力'!$A$1:$L$1300,1210,2+DU$2)&lt;&gt;"",INDEX('×入力'!$A$1:$L$1300,1211+DU$3,1)&lt;&gt;""),1,0),0)</f>
        <v/>
      </c>
      <c r="DV53">
        <f>IF(DV$4=1,IF(OR(INDEX('×入力'!$A$1:$L$1300,1211+DV$3,2+DV$2)&lt;&gt;"",INDEX('×入力'!$A$1:$L$1300,1210,2+DV$2)&lt;&gt;"",INDEX('×入力'!$A$1:$L$1300,1211+DV$3,1)&lt;&gt;""),1,0),0)</f>
        <v/>
      </c>
      <c r="DW53">
        <f>IF(DW$4=1,IF(OR(INDEX('×入力'!$A$1:$L$1300,1211+DW$3,2+DW$2)&lt;&gt;"",INDEX('×入力'!$A$1:$L$1300,1210,2+DW$2)&lt;&gt;"",INDEX('×入力'!$A$1:$L$1300,1211+DW$3,1)&lt;&gt;""),1,0),0)</f>
        <v/>
      </c>
      <c r="DX53">
        <f>IF(DX$4=1,IF(OR(INDEX('×入力'!$A$1:$L$1300,1211+DX$3,2+DX$2)&lt;&gt;"",INDEX('×入力'!$A$1:$L$1300,1210,2+DX$2)&lt;&gt;"",INDEX('×入力'!$A$1:$L$1300,1211+DX$3,1)&lt;&gt;""),1,0),0)</f>
        <v/>
      </c>
      <c r="DY53">
        <f>IF(DY$4=1,IF(OR(INDEX('×入力'!$A$1:$L$1300,1211+DY$3,2+DY$2)&lt;&gt;"",INDEX('×入力'!$A$1:$L$1300,1210,2+DY$2)&lt;&gt;"",INDEX('×入力'!$A$1:$L$1300,1211+DY$3,1)&lt;&gt;""),1,0),0)</f>
        <v/>
      </c>
      <c r="DZ53">
        <f>IF(DZ$4=1,IF(OR(INDEX('×入力'!$A$1:$L$1300,1211+DZ$3,2+DZ$2)&lt;&gt;"",INDEX('×入力'!$A$1:$L$1300,1210,2+DZ$2)&lt;&gt;"",INDEX('×入力'!$A$1:$L$1300,1211+DZ$3,1)&lt;&gt;""),1,0),0)</f>
        <v/>
      </c>
      <c r="EA53">
        <f>IF(EA$4=1,IF(OR(INDEX('×入力'!$A$1:$L$1300,1211+EA$3,2+EA$2)&lt;&gt;"",INDEX('×入力'!$A$1:$L$1300,1210,2+EA$2)&lt;&gt;"",INDEX('×入力'!$A$1:$L$1300,1211+EA$3,1)&lt;&gt;""),1,0),0)</f>
        <v/>
      </c>
      <c r="EB53">
        <f>IF(EB$4=1,IF(OR(INDEX('×入力'!$A$1:$L$1300,1211+EB$3,2+EB$2)&lt;&gt;"",INDEX('×入力'!$A$1:$L$1300,1210,2+EB$2)&lt;&gt;"",INDEX('×入力'!$A$1:$L$1300,1211+EB$3,1)&lt;&gt;""),1,0),0)</f>
        <v/>
      </c>
      <c r="EC53">
        <f>IF(EC$4=1,IF(OR(INDEX('×入力'!$A$1:$L$1300,1211+EC$3,2+EC$2)&lt;&gt;"",INDEX('×入力'!$A$1:$L$1300,1210,2+EC$2)&lt;&gt;"",INDEX('×入力'!$A$1:$L$1300,1211+EC$3,1)&lt;&gt;""),1,0),0)</f>
        <v/>
      </c>
      <c r="ED53">
        <f>IF(ED$4=1,IF(OR(INDEX('×入力'!$A$1:$L$1300,1211+ED$3,2+ED$2)&lt;&gt;"",INDEX('×入力'!$A$1:$L$1300,1210,2+ED$2)&lt;&gt;"",INDEX('×入力'!$A$1:$L$1300,1211+ED$3,1)&lt;&gt;""),1,0),0)</f>
        <v/>
      </c>
      <c r="EE53">
        <f>IF(EE$4=1,IF(OR(INDEX('×入力'!$A$1:$L$1300,1211+EE$3,2+EE$2)&lt;&gt;"",INDEX('×入力'!$A$1:$L$1300,1210,2+EE$2)&lt;&gt;"",INDEX('×入力'!$A$1:$L$1300,1211+EE$3,1)&lt;&gt;""),1,0),0)</f>
        <v/>
      </c>
      <c r="EF53">
        <f>IF(EF$4=1,IF(OR(INDEX('×入力'!$A$1:$L$1300,1211+EF$3,2+EF$2)&lt;&gt;"",INDEX('×入力'!$A$1:$L$1300,1210,2+EF$2)&lt;&gt;"",INDEX('×入力'!$A$1:$L$1300,1211+EF$3,1)&lt;&gt;""),1,0),0)</f>
        <v/>
      </c>
      <c r="EG53">
        <f>IF(EG$4=1,IF(OR(INDEX('×入力'!$A$1:$L$1300,1211+EG$3,2+EG$2)&lt;&gt;"",INDEX('×入力'!$A$1:$L$1300,1210,2+EG$2)&lt;&gt;"",INDEX('×入力'!$A$1:$L$1300,1211+EG$3,1)&lt;&gt;""),1,0),0)</f>
        <v/>
      </c>
      <c r="EH53">
        <f>IF(EH$4=1,IF(OR(INDEX('×入力'!$A$1:$L$1300,1211+EH$3,2+EH$2)&lt;&gt;"",INDEX('×入力'!$A$1:$L$1300,1210,2+EH$2)&lt;&gt;"",INDEX('×入力'!$A$1:$L$1300,1211+EH$3,1)&lt;&gt;""),1,0),0)</f>
        <v/>
      </c>
      <c r="EI53">
        <f>IF(EI$4=1,IF(OR(INDEX('×入力'!$A$1:$L$1300,1211+EI$3,2+EI$2)&lt;&gt;"",INDEX('×入力'!$A$1:$L$1300,1210,2+EI$2)&lt;&gt;"",INDEX('×入力'!$A$1:$L$1300,1211+EI$3,1)&lt;&gt;""),1,0),0)</f>
        <v/>
      </c>
      <c r="EJ53">
        <f>IF(EJ$4=1,IF(OR(INDEX('×入力'!$A$1:$L$1300,1211+EJ$3,2+EJ$2)&lt;&gt;"",INDEX('×入力'!$A$1:$L$1300,1210,2+EJ$2)&lt;&gt;"",INDEX('×入力'!$A$1:$L$1300,1211+EJ$3,1)&lt;&gt;""),1,0),0)</f>
        <v/>
      </c>
      <c r="EK53">
        <f>IF(EK$4=1,IF(OR(INDEX('×入力'!$A$1:$L$1300,1211+EK$3,2+EK$2)&lt;&gt;"",INDEX('×入力'!$A$1:$L$1300,1210,2+EK$2)&lt;&gt;"",INDEX('×入力'!$A$1:$L$1300,1211+EK$3,1)&lt;&gt;""),1,0),0)</f>
        <v/>
      </c>
      <c r="EL53">
        <f>IF(EL$4=1,IF(OR(INDEX('×入力'!$A$1:$L$1300,1211+EL$3,2+EL$2)&lt;&gt;"",INDEX('×入力'!$A$1:$L$1300,1210,2+EL$2)&lt;&gt;"",INDEX('×入力'!$A$1:$L$1300,1211+EL$3,1)&lt;&gt;""),1,0),0)</f>
        <v/>
      </c>
      <c r="EM53">
        <f>IF(EM$4=1,IF(OR(INDEX('×入力'!$A$1:$L$1300,1211+EM$3,2+EM$2)&lt;&gt;"",INDEX('×入力'!$A$1:$L$1300,1210,2+EM$2)&lt;&gt;"",INDEX('×入力'!$A$1:$L$1300,1211+EM$3,1)&lt;&gt;""),1,0),0)</f>
        <v/>
      </c>
      <c r="EN53">
        <f>IF(EN$4=1,IF(OR(INDEX('×入力'!$A$1:$L$1300,1211+EN$3,2+EN$2)&lt;&gt;"",INDEX('×入力'!$A$1:$L$1300,1210,2+EN$2)&lt;&gt;"",INDEX('×入力'!$A$1:$L$1300,1211+EN$3,1)&lt;&gt;""),1,0),0)</f>
        <v/>
      </c>
      <c r="EO53">
        <f>IF(EO$4=1,IF(OR(INDEX('×入力'!$A$1:$L$1300,1211+EO$3,2+EO$2)&lt;&gt;"",INDEX('×入力'!$A$1:$L$1300,1210,2+EO$2)&lt;&gt;"",INDEX('×入力'!$A$1:$L$1300,1211+EO$3,1)&lt;&gt;""),1,0),0)</f>
        <v/>
      </c>
      <c r="EP53">
        <f>IF(EP$4=1,IF(OR(INDEX('×入力'!$A$1:$L$1300,1211+EP$3,2+EP$2)&lt;&gt;"",INDEX('×入力'!$A$1:$L$1300,1210,2+EP$2)&lt;&gt;"",INDEX('×入力'!$A$1:$L$1300,1211+EP$3,1)&lt;&gt;""),1,0),0)</f>
        <v/>
      </c>
      <c r="EQ53">
        <f>IF(EQ$4=1,IF(OR(INDEX('×入力'!$A$1:$L$1300,1211+EQ$3,2+EQ$2)&lt;&gt;"",INDEX('×入力'!$A$1:$L$1300,1210,2+EQ$2)&lt;&gt;"",INDEX('×入力'!$A$1:$L$1300,1211+EQ$3,1)&lt;&gt;""),1,0),0)</f>
        <v/>
      </c>
      <c r="ER53">
        <f>IF(ER$4=1,IF(OR(INDEX('×入力'!$A$1:$L$1300,1211+ER$3,2+ER$2)&lt;&gt;"",INDEX('×入力'!$A$1:$L$1300,1210,2+ER$2)&lt;&gt;"",INDEX('×入力'!$A$1:$L$1300,1211+ER$3,1)&lt;&gt;""),1,0),0)</f>
        <v/>
      </c>
      <c r="ES53">
        <f>IF(ES$4=1,IF(OR(INDEX('×入力'!$A$1:$L$1300,1211+ES$3,2+ES$2)&lt;&gt;"",INDEX('×入力'!$A$1:$L$1300,1210,2+ES$2)&lt;&gt;"",INDEX('×入力'!$A$1:$L$1300,1211+ES$3,1)&lt;&gt;""),1,0),0)</f>
        <v/>
      </c>
      <c r="ET53">
        <f>IF(ET$4=1,IF(OR(INDEX('×入力'!$A$1:$L$1300,1211+ET$3,2+ET$2)&lt;&gt;"",INDEX('×入力'!$A$1:$L$1300,1210,2+ET$2)&lt;&gt;"",INDEX('×入力'!$A$1:$L$1300,1211+ET$3,1)&lt;&gt;""),1,0),0)</f>
        <v/>
      </c>
      <c r="EU53">
        <f>IF(EU$4=1,IF(OR(INDEX('×入力'!$A$1:$L$1300,1211+EU$3,2+EU$2)&lt;&gt;"",INDEX('×入力'!$A$1:$L$1300,1210,2+EU$2)&lt;&gt;"",INDEX('×入力'!$A$1:$L$1300,1211+EU$3,1)&lt;&gt;""),1,0),0)</f>
        <v/>
      </c>
      <c r="EV53">
        <f>IF(EV$4=1,IF(OR(INDEX('×入力'!$A$1:$L$1300,1211+EV$3,2+EV$2)&lt;&gt;"",INDEX('×入力'!$A$1:$L$1300,1210,2+EV$2)&lt;&gt;"",INDEX('×入力'!$A$1:$L$1300,1211+EV$3,1)&lt;&gt;""),1,0),0)</f>
        <v/>
      </c>
      <c r="EW53">
        <f>IF(EW$4=1,IF(OR(INDEX('×入力'!$A$1:$L$1300,1211+EW$3,2+EW$2)&lt;&gt;"",INDEX('×入力'!$A$1:$L$1300,1210,2+EW$2)&lt;&gt;"",INDEX('×入力'!$A$1:$L$1300,1211+EW$3,1)&lt;&gt;""),1,0),0)</f>
        <v/>
      </c>
      <c r="EX53">
        <f>IF(EX$4=1,IF(OR(INDEX('×入力'!$A$1:$L$1300,1211+EX$3,2+EX$2)&lt;&gt;"",INDEX('×入力'!$A$1:$L$1300,1210,2+EX$2)&lt;&gt;"",INDEX('×入力'!$A$1:$L$1300,1211+EX$3,1)&lt;&gt;""),1,0),0)</f>
        <v/>
      </c>
      <c r="EY53">
        <f>IF(EY$4=1,IF(OR(INDEX('×入力'!$A$1:$L$1300,1211+EY$3,2+EY$2)&lt;&gt;"",INDEX('×入力'!$A$1:$L$1300,1210,2+EY$2)&lt;&gt;"",INDEX('×入力'!$A$1:$L$1300,1211+EY$3,1)&lt;&gt;""),1,0),0)</f>
        <v/>
      </c>
      <c r="EZ53">
        <f>IF(EZ$4=1,IF(OR(INDEX('×入力'!$A$1:$L$1300,1211+EZ$3,2+EZ$2)&lt;&gt;"",INDEX('×入力'!$A$1:$L$1300,1210,2+EZ$2)&lt;&gt;"",INDEX('×入力'!$A$1:$L$1300,1211+EZ$3,1)&lt;&gt;""),1,0),0)</f>
        <v/>
      </c>
      <c r="FA53">
        <f>IF(FA$4=1,IF(OR(INDEX('×入力'!$A$1:$L$1300,1211+FA$3,2+FA$2)&lt;&gt;"",INDEX('×入力'!$A$1:$L$1300,1210,2+FA$2)&lt;&gt;"",INDEX('×入力'!$A$1:$L$1300,1211+FA$3,1)&lt;&gt;""),1,0),0)</f>
        <v/>
      </c>
      <c r="FB53">
        <f>IF(FB$4=1,IF(OR(INDEX('×入力'!$A$1:$L$1300,1211+FB$3,2+FB$2)&lt;&gt;"",INDEX('×入力'!$A$1:$L$1300,1210,2+FB$2)&lt;&gt;"",INDEX('×入力'!$A$1:$L$1300,1211+FB$3,1)&lt;&gt;""),1,0),0)</f>
        <v/>
      </c>
      <c r="FC53">
        <f>IF(FC$4=1,IF(OR(INDEX('×入力'!$A$1:$L$1300,1211+FC$3,2+FC$2)&lt;&gt;"",INDEX('×入力'!$A$1:$L$1300,1210,2+FC$2)&lt;&gt;"",INDEX('×入力'!$A$1:$L$1300,1211+FC$3,1)&lt;&gt;""),1,0),0)</f>
        <v/>
      </c>
      <c r="FD53">
        <f>IF(FD$4=1,IF(OR(INDEX('×入力'!$A$1:$L$1300,1211+FD$3,2+FD$2)&lt;&gt;"",INDEX('×入力'!$A$1:$L$1300,1210,2+FD$2)&lt;&gt;"",INDEX('×入力'!$A$1:$L$1300,1211+FD$3,1)&lt;&gt;""),1,0),0)</f>
        <v/>
      </c>
      <c r="FE53">
        <f>IF(FE$4=1,IF(OR(INDEX('×入力'!$A$1:$L$1300,1211+FE$3,2+FE$2)&lt;&gt;"",INDEX('×入力'!$A$1:$L$1300,1210,2+FE$2)&lt;&gt;"",INDEX('×入力'!$A$1:$L$1300,1211+FE$3,1)&lt;&gt;""),1,0),0)</f>
        <v/>
      </c>
      <c r="FF53">
        <f>IF(FF$4=1,IF(OR(INDEX('×入力'!$A$1:$L$1300,1211+FF$3,2+FF$2)&lt;&gt;"",INDEX('×入力'!$A$1:$L$1300,1210,2+FF$2)&lt;&gt;"",INDEX('×入力'!$A$1:$L$1300,1211+FF$3,1)&lt;&gt;""),1,0),0)</f>
        <v/>
      </c>
      <c r="FG53">
        <f>IF(FG$4=1,IF(OR(INDEX('×入力'!$A$1:$L$1300,1211+FG$3,2+FG$2)&lt;&gt;"",INDEX('×入力'!$A$1:$L$1300,1210,2+FG$2)&lt;&gt;"",INDEX('×入力'!$A$1:$L$1300,1211+FG$3,1)&lt;&gt;""),1,0),0)</f>
        <v/>
      </c>
      <c r="FH53">
        <f>IF(FH$4=1,IF(OR(INDEX('×入力'!$A$1:$L$1300,1211+FH$3,2+FH$2)&lt;&gt;"",INDEX('×入力'!$A$1:$L$1300,1210,2+FH$2)&lt;&gt;"",INDEX('×入力'!$A$1:$L$1300,1211+FH$3,1)&lt;&gt;""),1,0),0)</f>
        <v/>
      </c>
      <c r="FI53">
        <f>IF(FI$4=1,IF(OR(INDEX('×入力'!$A$1:$L$1300,1211+FI$3,2+FI$2)&lt;&gt;"",INDEX('×入力'!$A$1:$L$1300,1210,2+FI$2)&lt;&gt;"",INDEX('×入力'!$A$1:$L$1300,1211+FI$3,1)&lt;&gt;""),1,0),0)</f>
        <v/>
      </c>
      <c r="FJ53">
        <f>IF(FJ$4=1,IF(OR(INDEX('×入力'!$A$1:$L$1300,1211+FJ$3,2+FJ$2)&lt;&gt;"",INDEX('×入力'!$A$1:$L$1300,1210,2+FJ$2)&lt;&gt;"",INDEX('×入力'!$A$1:$L$1300,1211+FJ$3,1)&lt;&gt;""),1,0),0)</f>
        <v/>
      </c>
      <c r="FK53">
        <f>IF(FK$4=1,IF(OR(INDEX('×入力'!$A$1:$L$1300,1211+FK$3,2+FK$2)&lt;&gt;"",INDEX('×入力'!$A$1:$L$1300,1210,2+FK$2)&lt;&gt;"",INDEX('×入力'!$A$1:$L$1300,1211+FK$3,1)&lt;&gt;""),1,0),0)</f>
        <v/>
      </c>
      <c r="FL53">
        <f>IF(FL$4=1,IF(OR(INDEX('×入力'!$A$1:$L$1300,1211+FL$3,2+FL$2)&lt;&gt;"",INDEX('×入力'!$A$1:$L$1300,1210,2+FL$2)&lt;&gt;"",INDEX('×入力'!$A$1:$L$1300,1211+FL$3,1)&lt;&gt;""),1,0),0)</f>
        <v/>
      </c>
      <c r="FM53">
        <f>IF(FM$4=1,IF(OR(INDEX('×入力'!$A$1:$L$1300,1211+FM$3,2+FM$2)&lt;&gt;"",INDEX('×入力'!$A$1:$L$1300,1210,2+FM$2)&lt;&gt;"",INDEX('×入力'!$A$1:$L$1300,1211+FM$3,1)&lt;&gt;""),1,0),0)</f>
        <v/>
      </c>
      <c r="FN53">
        <f>IF(FN$4=1,IF(OR(INDEX('×入力'!$A$1:$L$1300,1211+FN$3,2+FN$2)&lt;&gt;"",INDEX('×入力'!$A$1:$L$1300,1210,2+FN$2)&lt;&gt;"",INDEX('×入力'!$A$1:$L$1300,1211+FN$3,1)&lt;&gt;""),1,0),0)</f>
        <v/>
      </c>
      <c r="FO53">
        <f>IF(FO$4=1,IF(OR(INDEX('×入力'!$A$1:$L$1300,1211+FO$3,2+FO$2)&lt;&gt;"",INDEX('×入力'!$A$1:$L$1300,1210,2+FO$2)&lt;&gt;"",INDEX('×入力'!$A$1:$L$1300,1211+FO$3,1)&lt;&gt;""),1,0),0)</f>
        <v/>
      </c>
      <c r="FP53">
        <f>IF(FP$4=1,IF(OR(INDEX('×入力'!$A$1:$L$1300,1211+FP$3,2+FP$2)&lt;&gt;"",INDEX('×入力'!$A$1:$L$1300,1210,2+FP$2)&lt;&gt;"",INDEX('×入力'!$A$1:$L$1300,1211+FP$3,1)&lt;&gt;""),1,0),0)</f>
        <v/>
      </c>
      <c r="FQ53">
        <f>IF(FQ$4=1,IF(OR(INDEX('×入力'!$A$1:$L$1300,1211+FQ$3,2+FQ$2)&lt;&gt;"",INDEX('×入力'!$A$1:$L$1300,1210,2+FQ$2)&lt;&gt;"",INDEX('×入力'!$A$1:$L$1300,1211+FQ$3,1)&lt;&gt;""),1,0),0)</f>
        <v/>
      </c>
      <c r="FR53">
        <f>IF(FR$4=1,IF(OR(INDEX('×入力'!$A$1:$L$1300,1211+FR$3,2+FR$2)&lt;&gt;"",INDEX('×入力'!$A$1:$L$1300,1210,2+FR$2)&lt;&gt;"",INDEX('×入力'!$A$1:$L$1300,1211+FR$3,1)&lt;&gt;""),1,0),0)</f>
        <v/>
      </c>
      <c r="FS53">
        <f>IF(FS$4=1,IF(OR(INDEX('×入力'!$A$1:$L$1300,1211+FS$3,2+FS$2)&lt;&gt;"",INDEX('×入力'!$A$1:$L$1300,1210,2+FS$2)&lt;&gt;"",INDEX('×入力'!$A$1:$L$1300,1211+FS$3,1)&lt;&gt;""),1,0),0)</f>
        <v/>
      </c>
      <c r="FT53">
        <f>IF(FT$4=1,IF(OR(INDEX('×入力'!$A$1:$L$1300,1211+FT$3,2+FT$2)&lt;&gt;"",INDEX('×入力'!$A$1:$L$1300,1210,2+FT$2)&lt;&gt;"",INDEX('×入力'!$A$1:$L$1300,1211+FT$3,1)&lt;&gt;""),1,0),0)</f>
        <v/>
      </c>
      <c r="FU53">
        <f>IF(FU$4=1,IF(OR(INDEX('×入力'!$A$1:$L$1300,1211+FU$3,2+FU$2)&lt;&gt;"",INDEX('×入力'!$A$1:$L$1300,1210,2+FU$2)&lt;&gt;"",INDEX('×入力'!$A$1:$L$1300,1211+FU$3,1)&lt;&gt;""),1,0),0)</f>
        <v/>
      </c>
      <c r="FV53">
        <f>IF(FV$4=1,IF(OR(INDEX('×入力'!$A$1:$L$1300,1211+FV$3,2+FV$2)&lt;&gt;"",INDEX('×入力'!$A$1:$L$1300,1210,2+FV$2)&lt;&gt;"",INDEX('×入力'!$A$1:$L$1300,1211+FV$3,1)&lt;&gt;""),1,0),0)</f>
        <v/>
      </c>
      <c r="FW53">
        <f>IF(FW$4=1,IF(OR(INDEX('×入力'!$A$1:$L$1300,1211+FW$3,2+FW$2)&lt;&gt;"",INDEX('×入力'!$A$1:$L$1300,1210,2+FW$2)&lt;&gt;"",INDEX('×入力'!$A$1:$L$1300,1211+FW$3,1)&lt;&gt;""),1,0),0)</f>
        <v/>
      </c>
      <c r="FX53">
        <f>IF(FX$4=1,IF(OR(INDEX('×入力'!$A$1:$L$1300,1211+FX$3,2+FX$2)&lt;&gt;"",INDEX('×入力'!$A$1:$L$1300,1210,2+FX$2)&lt;&gt;"",INDEX('×入力'!$A$1:$L$1300,1211+FX$3,1)&lt;&gt;""),1,0),0)</f>
        <v/>
      </c>
      <c r="FY53">
        <f>IF(FY$4=1,IF(OR(INDEX('×入力'!$A$1:$L$1300,1211+FY$3,2+FY$2)&lt;&gt;"",INDEX('×入力'!$A$1:$L$1300,1210,2+FY$2)&lt;&gt;"",INDEX('×入力'!$A$1:$L$1300,1211+FY$3,1)&lt;&gt;""),1,0),0)</f>
        <v/>
      </c>
      <c r="FZ53">
        <f>IF(FZ$4=1,IF(OR(INDEX('×入力'!$A$1:$L$1300,1211+FZ$3,2+FZ$2)&lt;&gt;"",INDEX('×入力'!$A$1:$L$1300,1210,2+FZ$2)&lt;&gt;"",INDEX('×入力'!$A$1:$L$1300,1211+FZ$3,1)&lt;&gt;""),1,0),0)</f>
        <v/>
      </c>
      <c r="GA53">
        <f>IF(GA$4=1,IF(OR(INDEX('×入力'!$A$1:$L$1300,1211+GA$3,2+GA$2)&lt;&gt;"",INDEX('×入力'!$A$1:$L$1300,1210,2+GA$2)&lt;&gt;"",INDEX('×入力'!$A$1:$L$1300,1211+GA$3,1)&lt;&gt;""),1,0),0)</f>
        <v/>
      </c>
      <c r="GB53">
        <f>IF(GB$4=1,IF(OR(INDEX('×入力'!$A$1:$L$1300,1211+GB$3,2+GB$2)&lt;&gt;"",INDEX('×入力'!$A$1:$L$1300,1210,2+GB$2)&lt;&gt;"",INDEX('×入力'!$A$1:$L$1300,1211+GB$3,1)&lt;&gt;""),1,0),0)</f>
        <v/>
      </c>
      <c r="GC53">
        <f>IF(GC$4=1,IF(OR(INDEX('×入力'!$A$1:$L$1300,1211+GC$3,2+GC$2)&lt;&gt;"",INDEX('×入力'!$A$1:$L$1300,1210,2+GC$2)&lt;&gt;"",INDEX('×入力'!$A$1:$L$1300,1211+GC$3,1)&lt;&gt;""),1,0),0)</f>
        <v/>
      </c>
      <c r="GD53">
        <f>IF(GD$4=1,IF(OR(INDEX('×入力'!$A$1:$L$1300,1211+GD$3,2+GD$2)&lt;&gt;"",INDEX('×入力'!$A$1:$L$1300,1210,2+GD$2)&lt;&gt;"",INDEX('×入力'!$A$1:$L$1300,1211+GD$3,1)&lt;&gt;""),1,0),0)</f>
        <v/>
      </c>
      <c r="GE53">
        <f>IF(GE$4=1,IF(OR(INDEX('×入力'!$A$1:$L$1300,1211+GE$3,2+GE$2)&lt;&gt;"",INDEX('×入力'!$A$1:$L$1300,1210,2+GE$2)&lt;&gt;"",INDEX('×入力'!$A$1:$L$1300,1211+GE$3,1)&lt;&gt;""),1,0),0)</f>
        <v/>
      </c>
      <c r="GF53">
        <f>IF(GF$4=1,IF(OR(INDEX('×入力'!$A$1:$L$1300,1211+GF$3,2+GF$2)&lt;&gt;"",INDEX('×入力'!$A$1:$L$1300,1210,2+GF$2)&lt;&gt;"",INDEX('×入力'!$A$1:$L$1300,1211+GF$3,1)&lt;&gt;""),1,0),0)</f>
        <v/>
      </c>
      <c r="GG53">
        <f>IF(GG$4=1,IF(OR(INDEX('×入力'!$A$1:$L$1300,1211+GG$3,2+GG$2)&lt;&gt;"",INDEX('×入力'!$A$1:$L$1300,1210,2+GG$2)&lt;&gt;"",INDEX('×入力'!$A$1:$L$1300,1211+GG$3,1)&lt;&gt;""),1,0),0)</f>
        <v/>
      </c>
      <c r="GH53">
        <f>IF(GH$4=1,IF(OR(INDEX('×入力'!$A$1:$L$1300,1211+GH$3,2+GH$2)&lt;&gt;"",INDEX('×入力'!$A$1:$L$1300,1210,2+GH$2)&lt;&gt;"",INDEX('×入力'!$A$1:$L$1300,1211+GH$3,1)&lt;&gt;""),1,0),0)</f>
        <v/>
      </c>
      <c r="GI53">
        <f>IF(GI$4=1,IF(OR(INDEX('×入力'!$A$1:$L$1300,1211+GI$3,2+GI$2)&lt;&gt;"",INDEX('×入力'!$A$1:$L$1300,1210,2+GI$2)&lt;&gt;"",INDEX('×入力'!$A$1:$L$1300,1211+GI$3,1)&lt;&gt;""),1,0),0)</f>
        <v/>
      </c>
      <c r="GJ53">
        <f>IF(GJ$4=1,IF(OR(INDEX('×入力'!$A$1:$L$1300,1211+GJ$3,2+GJ$2)&lt;&gt;"",INDEX('×入力'!$A$1:$L$1300,1210,2+GJ$2)&lt;&gt;"",INDEX('×入力'!$A$1:$L$1300,1211+GJ$3,1)&lt;&gt;""),1,0),0)</f>
        <v/>
      </c>
      <c r="GK53">
        <f>IF(GK$4=1,IF(OR(INDEX('×入力'!$A$1:$L$1300,1211+GK$3,2+GK$2)&lt;&gt;"",INDEX('×入力'!$A$1:$L$1300,1210,2+GK$2)&lt;&gt;"",INDEX('×入力'!$A$1:$L$1300,1211+GK$3,1)&lt;&gt;""),1,0),0)</f>
        <v/>
      </c>
      <c r="GL53">
        <f>IF(GL$4=1,IF(OR(INDEX('×入力'!$A$1:$L$1300,1211+GL$3,2+GL$2)&lt;&gt;"",INDEX('×入力'!$A$1:$L$1300,1210,2+GL$2)&lt;&gt;"",INDEX('×入力'!$A$1:$L$1300,1211+GL$3,1)&lt;&gt;""),1,0),0)</f>
        <v/>
      </c>
      <c r="GM53">
        <f>IF(GM$4=1,IF(OR(INDEX('×入力'!$A$1:$L$1300,1211+GM$3,2+GM$2)&lt;&gt;"",INDEX('×入力'!$A$1:$L$1300,1210,2+GM$2)&lt;&gt;"",INDEX('×入力'!$A$1:$L$1300,1211+GM$3,1)&lt;&gt;""),1,0),0)</f>
        <v/>
      </c>
      <c r="GN53">
        <f>IF(GN$4=1,IF(OR(INDEX('×入力'!$A$1:$L$1300,1211+GN$3,2+GN$2)&lt;&gt;"",INDEX('×入力'!$A$1:$L$1300,1210,2+GN$2)&lt;&gt;"",INDEX('×入力'!$A$1:$L$1300,1211+GN$3,1)&lt;&gt;""),1,0),0)</f>
        <v/>
      </c>
      <c r="GO53">
        <f>IF(GO$4=1,IF(OR(INDEX('×入力'!$A$1:$L$1300,1211+GO$3,2+GO$2)&lt;&gt;"",INDEX('×入力'!$A$1:$L$1300,1210,2+GO$2)&lt;&gt;"",INDEX('×入力'!$A$1:$L$1300,1211+GO$3,1)&lt;&gt;""),1,0),0)</f>
        <v/>
      </c>
      <c r="GP53">
        <f>IF(GP$4=1,IF(OR(INDEX('×入力'!$A$1:$L$1300,1211+GP$3,2+GP$2)&lt;&gt;"",INDEX('×入力'!$A$1:$L$1300,1210,2+GP$2)&lt;&gt;"",INDEX('×入力'!$A$1:$L$1300,1211+GP$3,1)&lt;&gt;""),1,0),0)</f>
        <v/>
      </c>
      <c r="GQ53">
        <f>IF(GQ$4=1,IF(OR(INDEX('×入力'!$A$1:$L$1300,1211+GQ$3,2+GQ$2)&lt;&gt;"",INDEX('×入力'!$A$1:$L$1300,1210,2+GQ$2)&lt;&gt;"",INDEX('×入力'!$A$1:$L$1300,1211+GQ$3,1)&lt;&gt;""),1,0),0)</f>
        <v/>
      </c>
      <c r="GR53">
        <f>IF(GR$4=1,IF(OR(INDEX('×入力'!$A$1:$L$1300,1211+GR$3,2+GR$2)&lt;&gt;"",INDEX('×入力'!$A$1:$L$1300,1210,2+GR$2)&lt;&gt;"",INDEX('×入力'!$A$1:$L$1300,1211+GR$3,1)&lt;&gt;""),1,0),0)</f>
        <v/>
      </c>
      <c r="GS53">
        <f>IF(GS$4=1,IF(OR(INDEX('×入力'!$A$1:$L$1300,1211+GS$3,2+GS$2)&lt;&gt;"",INDEX('×入力'!$A$1:$L$1300,1210,2+GS$2)&lt;&gt;"",INDEX('×入力'!$A$1:$L$1300,1211+GS$3,1)&lt;&gt;""),1,0),0)</f>
        <v/>
      </c>
      <c r="GT53">
        <f>IF(GT$4=1,IF(OR(INDEX('×入力'!$A$1:$L$1300,1211+GT$3,2+GT$2)&lt;&gt;"",INDEX('×入力'!$A$1:$L$1300,1210,2+GT$2)&lt;&gt;"",INDEX('×入力'!$A$1:$L$1300,1211+GT$3,1)&lt;&gt;""),1,0),0)</f>
        <v/>
      </c>
      <c r="GU53">
        <f>IF(GU$4=1,IF(OR(INDEX('×入力'!$A$1:$L$1300,1211+GU$3,2+GU$2)&lt;&gt;"",INDEX('×入力'!$A$1:$L$1300,1210,2+GU$2)&lt;&gt;"",INDEX('×入力'!$A$1:$L$1300,1211+GU$3,1)&lt;&gt;""),1,0),0)</f>
        <v/>
      </c>
      <c r="GV53">
        <f>IF(GV$4=1,IF(OR(INDEX('×入力'!$A$1:$L$1300,1211+GV$3,2+GV$2)&lt;&gt;"",INDEX('×入力'!$A$1:$L$1300,1210,2+GV$2)&lt;&gt;"",INDEX('×入力'!$A$1:$L$1300,1211+GV$3,1)&lt;&gt;""),1,0),0)</f>
        <v/>
      </c>
      <c r="GW53">
        <f>IF(GW$4=1,IF(OR(INDEX('×入力'!$A$1:$L$1300,1211+GW$3,2+GW$2)&lt;&gt;"",INDEX('×入力'!$A$1:$L$1300,1210,2+GW$2)&lt;&gt;"",INDEX('×入力'!$A$1:$L$1300,1211+GW$3,1)&lt;&gt;""),1,0),0)</f>
        <v/>
      </c>
      <c r="GX53">
        <f>IF(GX$4=1,IF(OR(INDEX('×入力'!$A$1:$L$1300,1211+GX$3,2+GX$2)&lt;&gt;"",INDEX('×入力'!$A$1:$L$1300,1210,2+GX$2)&lt;&gt;"",INDEX('×入力'!$A$1:$L$1300,1211+GX$3,1)&lt;&gt;""),1,0),0)</f>
        <v/>
      </c>
      <c r="GY53">
        <f>IF(GY$4=1,IF(OR(INDEX('×入力'!$A$1:$L$1300,1211+GY$3,2+GY$2)&lt;&gt;"",INDEX('×入力'!$A$1:$L$1300,1210,2+GY$2)&lt;&gt;"",INDEX('×入力'!$A$1:$L$1300,1211+GY$3,1)&lt;&gt;""),1,0),0)</f>
        <v/>
      </c>
      <c r="GZ53">
        <f>IF(GZ$4=1,IF(OR(INDEX('×入力'!$A$1:$L$1300,1211+GZ$3,2+GZ$2)&lt;&gt;"",INDEX('×入力'!$A$1:$L$1300,1210,2+GZ$2)&lt;&gt;"",INDEX('×入力'!$A$1:$L$1300,1211+GZ$3,1)&lt;&gt;""),1,0),0)</f>
        <v/>
      </c>
      <c r="HA53">
        <f>IF(HA$4=1,IF(OR(INDEX('×入力'!$A$1:$L$1300,1211+HA$3,2+HA$2)&lt;&gt;"",INDEX('×入力'!$A$1:$L$1300,1210,2+HA$2)&lt;&gt;"",INDEX('×入力'!$A$1:$L$1300,1211+HA$3,1)&lt;&gt;""),1,0),0)</f>
        <v/>
      </c>
      <c r="HB53">
        <f>IF(HB$4=1,IF(OR(INDEX('×入力'!$A$1:$L$1300,1211+HB$3,2+HB$2)&lt;&gt;"",INDEX('×入力'!$A$1:$L$1300,1210,2+HB$2)&lt;&gt;"",INDEX('×入力'!$A$1:$L$1300,1211+HB$3,1)&lt;&gt;""),1,0),0)</f>
        <v/>
      </c>
      <c r="HC53">
        <f>IF(HC$4=1,IF(OR(INDEX('×入力'!$A$1:$L$1300,1211+HC$3,2+HC$2)&lt;&gt;"",INDEX('×入力'!$A$1:$L$1300,1210,2+HC$2)&lt;&gt;"",INDEX('×入力'!$A$1:$L$1300,1211+HC$3,1)&lt;&gt;""),1,0),0)</f>
        <v/>
      </c>
      <c r="HD53">
        <f>IF(HD$4=1,IF(OR(INDEX('×入力'!$A$1:$L$1300,1211+HD$3,2+HD$2)&lt;&gt;"",INDEX('×入力'!$A$1:$L$1300,1210,2+HD$2)&lt;&gt;"",INDEX('×入力'!$A$1:$L$1300,1211+HD$3,1)&lt;&gt;""),1,0),0)</f>
        <v/>
      </c>
      <c r="HE53">
        <f>IF(HE$4=1,IF(OR(INDEX('×入力'!$A$1:$L$1300,1211+HE$3,2+HE$2)&lt;&gt;"",INDEX('×入力'!$A$1:$L$1300,1210,2+HE$2)&lt;&gt;"",INDEX('×入力'!$A$1:$L$1300,1211+HE$3,1)&lt;&gt;""),1,0),0)</f>
        <v/>
      </c>
      <c r="HF53">
        <f>IF(HF$4=1,IF(OR(INDEX('×入力'!$A$1:$L$1300,1211+HF$3,2+HF$2)&lt;&gt;"",INDEX('×入力'!$A$1:$L$1300,1210,2+HF$2)&lt;&gt;"",INDEX('×入力'!$A$1:$L$1300,1211+HF$3,1)&lt;&gt;""),1,0),0)</f>
        <v/>
      </c>
      <c r="HG53">
        <f>IF(HG$4=1,IF(OR(INDEX('×入力'!$A$1:$L$1300,1211+HG$3,2+HG$2)&lt;&gt;"",INDEX('×入力'!$A$1:$L$1300,1210,2+HG$2)&lt;&gt;"",INDEX('×入力'!$A$1:$L$1300,1211+HG$3,1)&lt;&gt;""),1,0),0)</f>
        <v/>
      </c>
      <c r="HH53">
        <f>IF(HH$4=1,IF(OR(INDEX('×入力'!$A$1:$L$1300,1211+HH$3,2+HH$2)&lt;&gt;"",INDEX('×入力'!$A$1:$L$1300,1210,2+HH$2)&lt;&gt;"",INDEX('×入力'!$A$1:$L$1300,1211+HH$3,1)&lt;&gt;""),1,0),0)</f>
        <v/>
      </c>
      <c r="HI53">
        <f>IF(HI$4=1,IF(OR(INDEX('×入力'!$A$1:$L$1300,1211+HI$3,2+HI$2)&lt;&gt;"",INDEX('×入力'!$A$1:$L$1300,1210,2+HI$2)&lt;&gt;"",INDEX('×入力'!$A$1:$L$1300,1211+HI$3,1)&lt;&gt;""),1,0),0)</f>
        <v/>
      </c>
      <c r="HJ53">
        <f>IF(HJ$4=1,IF(OR(INDEX('×入力'!$A$1:$L$1300,1211+HJ$3,2+HJ$2)&lt;&gt;"",INDEX('×入力'!$A$1:$L$1300,1210,2+HJ$2)&lt;&gt;"",INDEX('×入力'!$A$1:$L$1300,1211+HJ$3,1)&lt;&gt;""),1,0),0)</f>
        <v/>
      </c>
      <c r="HK53">
        <f>IF(HK$4=1,IF(OR(INDEX('×入力'!$A$1:$L$1300,1211+HK$3,2+HK$2)&lt;&gt;"",INDEX('×入力'!$A$1:$L$1300,1210,2+HK$2)&lt;&gt;"",INDEX('×入力'!$A$1:$L$1300,1211+HK$3,1)&lt;&gt;""),1,0),0)</f>
        <v/>
      </c>
      <c r="HL53">
        <f>IF(HL$4=1,IF(OR(INDEX('×入力'!$A$1:$L$1300,1211+HL$3,2+HL$2)&lt;&gt;"",INDEX('×入力'!$A$1:$L$1300,1210,2+HL$2)&lt;&gt;"",INDEX('×入力'!$A$1:$L$1300,1211+HL$3,1)&lt;&gt;""),1,0),0)</f>
        <v/>
      </c>
      <c r="HM53">
        <f>IF(HM$4=1,IF(OR(INDEX('×入力'!$A$1:$L$1300,1211+HM$3,2+HM$2)&lt;&gt;"",INDEX('×入力'!$A$1:$L$1300,1210,2+HM$2)&lt;&gt;"",INDEX('×入力'!$A$1:$L$1300,1211+HM$3,1)&lt;&gt;""),1,0),0)</f>
        <v/>
      </c>
      <c r="HN53">
        <f>IF(HN$4=1,IF(OR(INDEX('×入力'!$A$1:$L$1300,1211+HN$3,2+HN$2)&lt;&gt;"",INDEX('×入力'!$A$1:$L$1300,1210,2+HN$2)&lt;&gt;"",INDEX('×入力'!$A$1:$L$1300,1211+HN$3,1)&lt;&gt;""),1,0),0)</f>
        <v/>
      </c>
      <c r="HO53">
        <f>IF(HO$4=1,IF(OR(INDEX('×入力'!$A$1:$L$1300,1211+HO$3,2+HO$2)&lt;&gt;"",INDEX('×入力'!$A$1:$L$1300,1210,2+HO$2)&lt;&gt;"",INDEX('×入力'!$A$1:$L$1300,1211+HO$3,1)&lt;&gt;""),1,0),0)</f>
        <v/>
      </c>
      <c r="HP53">
        <f>IF(HP$4=1,IF(OR(INDEX('×入力'!$A$1:$L$1300,1211+HP$3,2+HP$2)&lt;&gt;"",INDEX('×入力'!$A$1:$L$1300,1210,2+HP$2)&lt;&gt;"",INDEX('×入力'!$A$1:$L$1300,1211+HP$3,1)&lt;&gt;""),1,0),0)</f>
        <v/>
      </c>
      <c r="HQ53">
        <f>IF(HQ$4=1,IF(OR(INDEX('×入力'!$A$1:$L$1300,1211+HQ$3,2+HQ$2)&lt;&gt;"",INDEX('×入力'!$A$1:$L$1300,1210,2+HQ$2)&lt;&gt;"",INDEX('×入力'!$A$1:$L$1300,1211+HQ$3,1)&lt;&gt;""),1,0),0)</f>
        <v/>
      </c>
      <c r="HR53">
        <f>IF(HR$4=1,IF(OR(INDEX('×入力'!$A$1:$L$1300,1211+HR$3,2+HR$2)&lt;&gt;"",INDEX('×入力'!$A$1:$L$1300,1210,2+HR$2)&lt;&gt;"",INDEX('×入力'!$A$1:$L$1300,1211+HR$3,1)&lt;&gt;""),1,0),0)</f>
        <v/>
      </c>
      <c r="HS53">
        <f>IF(HS$4=1,IF(OR(INDEX('×入力'!$A$1:$L$1300,1211+HS$3,2+HS$2)&lt;&gt;"",INDEX('×入力'!$A$1:$L$1300,1210,2+HS$2)&lt;&gt;"",INDEX('×入力'!$A$1:$L$1300,1211+HS$3,1)&lt;&gt;""),1,0),0)</f>
        <v/>
      </c>
      <c r="HT53">
        <f>IF(HT$4=1,IF(OR(INDEX('×入力'!$A$1:$L$1300,1211+HT$3,2+HT$2)&lt;&gt;"",INDEX('×入力'!$A$1:$L$1300,1210,2+HT$2)&lt;&gt;"",INDEX('×入力'!$A$1:$L$1300,1211+HT$3,1)&lt;&gt;""),1,0),0)</f>
        <v/>
      </c>
      <c r="HU53">
        <f>IF(HU$4=1,IF(OR(INDEX('×入力'!$A$1:$L$1300,1211+HU$3,2+HU$2)&lt;&gt;"",INDEX('×入力'!$A$1:$L$1300,1210,2+HU$2)&lt;&gt;"",INDEX('×入力'!$A$1:$L$1300,1211+HU$3,1)&lt;&gt;""),1,0),0)</f>
        <v/>
      </c>
      <c r="HV53">
        <f>IF(HV$4=1,IF(OR(INDEX('×入力'!$A$1:$L$1300,1211+HV$3,2+HV$2)&lt;&gt;"",INDEX('×入力'!$A$1:$L$1300,1210,2+HV$2)&lt;&gt;"",INDEX('×入力'!$A$1:$L$1300,1211+HV$3,1)&lt;&gt;""),1,0),0)</f>
        <v/>
      </c>
      <c r="HW53">
        <f>IF(HW$4=1,IF(OR(INDEX('×入力'!$A$1:$L$1300,1211+HW$3,2+HW$2)&lt;&gt;"",INDEX('×入力'!$A$1:$L$1300,1210,2+HW$2)&lt;&gt;"",INDEX('×入力'!$A$1:$L$1300,1211+HW$3,1)&lt;&gt;""),1,0),0)</f>
        <v/>
      </c>
      <c r="HX53">
        <f>IF(HX$4=1,IF(OR(INDEX('×入力'!$A$1:$L$1300,1211+HX$3,2+HX$2)&lt;&gt;"",INDEX('×入力'!$A$1:$L$1300,1210,2+HX$2)&lt;&gt;"",INDEX('×入力'!$A$1:$L$1300,1211+HX$3,1)&lt;&gt;""),1,0),0)</f>
        <v/>
      </c>
      <c r="HY53">
        <f>IF(HY$4=1,IF(OR(INDEX('×入力'!$A$1:$L$1300,1211+HY$3,2+HY$2)&lt;&gt;"",INDEX('×入力'!$A$1:$L$1300,1210,2+HY$2)&lt;&gt;"",INDEX('×入力'!$A$1:$L$1300,1211+HY$3,1)&lt;&gt;""),1,0),0)</f>
        <v/>
      </c>
      <c r="HZ53">
        <f>IF(HZ$4=1,IF(OR(INDEX('×入力'!$A$1:$L$1300,1211+HZ$3,2+HZ$2)&lt;&gt;"",INDEX('×入力'!$A$1:$L$1300,1210,2+HZ$2)&lt;&gt;"",INDEX('×入力'!$A$1:$L$1300,1211+HZ$3,1)&lt;&gt;""),1,0),0)</f>
        <v/>
      </c>
      <c r="IA53">
        <f>IF(IA$4=1,IF(OR(INDEX('×入力'!$A$1:$L$1300,1211+IA$3,2+IA$2)&lt;&gt;"",INDEX('×入力'!$A$1:$L$1300,1210,2+IA$2)&lt;&gt;"",INDEX('×入力'!$A$1:$L$1300,1211+IA$3,1)&lt;&gt;""),1,0),0)</f>
        <v/>
      </c>
      <c r="IB53">
        <f>IF(IB$4=1,IF(OR(INDEX('×入力'!$A$1:$L$1300,1211+IB$3,2+IB$2)&lt;&gt;"",INDEX('×入力'!$A$1:$L$1300,1210,2+IB$2)&lt;&gt;"",INDEX('×入力'!$A$1:$L$1300,1211+IB$3,1)&lt;&gt;""),1,0),0)</f>
        <v/>
      </c>
      <c r="IC53">
        <f>IF(IC$4=1,IF(OR(INDEX('×入力'!$A$1:$L$1300,1211+IC$3,2+IC$2)&lt;&gt;"",INDEX('×入力'!$A$1:$L$1300,1210,2+IC$2)&lt;&gt;"",INDEX('×入力'!$A$1:$L$1300,1211+IC$3,1)&lt;&gt;""),1,0),0)</f>
        <v/>
      </c>
      <c r="ID53">
        <f>IF(ID$4=1,IF(OR(INDEX('×入力'!$A$1:$L$1300,1211+ID$3,2+ID$2)&lt;&gt;"",INDEX('×入力'!$A$1:$L$1300,1210,2+ID$2)&lt;&gt;"",INDEX('×入力'!$A$1:$L$1300,1211+ID$3,1)&lt;&gt;""),1,0),0)</f>
        <v/>
      </c>
      <c r="IE53">
        <f>IF(IE$4=1,IF(OR(INDEX('×入力'!$A$1:$L$1300,1211+IE$3,2+IE$2)&lt;&gt;"",INDEX('×入力'!$A$1:$L$1300,1210,2+IE$2)&lt;&gt;"",INDEX('×入力'!$A$1:$L$1300,1211+IE$3,1)&lt;&gt;""),1,0),0)</f>
        <v/>
      </c>
      <c r="IF53">
        <f>IF(IF$4=1,IF(OR(INDEX('×入力'!$A$1:$L$1300,1211+IF$3,2+IF$2)&lt;&gt;"",INDEX('×入力'!$A$1:$L$1300,1210,2+IF$2)&lt;&gt;"",INDEX('×入力'!$A$1:$L$1300,1211+IF$3,1)&lt;&gt;""),1,0),0)</f>
        <v/>
      </c>
      <c r="IG53">
        <f>IF(IG$4=1,IF(OR(INDEX('×入力'!$A$1:$L$1300,1211+IG$3,2+IG$2)&lt;&gt;"",INDEX('×入力'!$A$1:$L$1300,1210,2+IG$2)&lt;&gt;"",INDEX('×入力'!$A$1:$L$1300,1211+IG$3,1)&lt;&gt;""),1,0),0)</f>
        <v/>
      </c>
      <c r="IH53">
        <f>IF(IH$4=1,IF(OR(INDEX('×入力'!$A$1:$L$1300,1211+IH$3,2+IH$2)&lt;&gt;"",INDEX('×入力'!$A$1:$L$1300,1210,2+IH$2)&lt;&gt;"",INDEX('×入力'!$A$1:$L$1300,1211+IH$3,1)&lt;&gt;""),1,0),0)</f>
        <v/>
      </c>
      <c r="II53">
        <f>IF(II$4=1,IF(OR(INDEX('×入力'!$A$1:$L$1300,1211+II$3,2+II$2)&lt;&gt;"",INDEX('×入力'!$A$1:$L$1300,1210,2+II$2)&lt;&gt;"",INDEX('×入力'!$A$1:$L$1300,1211+II$3,1)&lt;&gt;""),1,0),0)</f>
        <v/>
      </c>
      <c r="IK53">
        <f>IFERROR(INDEX('計算B'!$C$3:$C$47,MATCH(A53,'計算B'!$B$3:$B$47,0)),0)</f>
        <v/>
      </c>
      <c r="IL53">
        <f>IF(AND(C53=1,IK53=0),1,0)</f>
        <v/>
      </c>
      <c r="IM53">
        <f>SUMPRODUCT(D103:II103*(1-$D$7:$II$7))</f>
        <v/>
      </c>
      <c r="IN53">
        <f>SUM(D53:II53)</f>
        <v/>
      </c>
      <c r="IO53">
        <f>IF(B53="",0,IF(COUNTIF('調整・決定'!$C$6:$L$29,B53)=1,SUMPRODUCT(('調整・決定'!$C$6:$L$29=B53)*((COLUMN('調整・決定'!$C$6:$L$29)-3)*24+ROW('調整・決定'!$C$6:$L$29)-5)),0))</f>
        <v/>
      </c>
      <c r="IP53">
        <f>IFERROR(MATCH('名簿'!E48,{"早い時刻","遅い時刻","早い日","遅い日"},0),0)</f>
        <v/>
      </c>
      <c r="IQ53">
        <f>IF('名簿'!F48="必ず空けたい",2,IF('名簿'!F48="出来れば空けたい",1,0))</f>
        <v/>
      </c>
    </row>
    <row r="54">
      <c r="A54" t="n">
        <v>45</v>
      </c>
      <c r="B54">
        <f>'名簿'!G49</f>
        <v/>
      </c>
      <c r="C54">
        <f>IF(AND(B54&lt;&gt;"",OR('名簿'!H49="入力済み",'名簿'!H49="×なし"),IO54=0,COUNTIF('調整・決定'!$C$6:$L$29,B54)=0),1,0)</f>
        <v/>
      </c>
      <c r="D54">
        <f>IF(D$4=1,IF(OR(INDEX('×入力'!$A$1:$L$1300,1239+D$3,2+D$2)&lt;&gt;"",INDEX('×入力'!$A$1:$L$1300,1238,2+D$2)&lt;&gt;"",INDEX('×入力'!$A$1:$L$1300,1239+D$3,1)&lt;&gt;""),1,0),0)</f>
        <v/>
      </c>
      <c r="E54">
        <f>IF(E$4=1,IF(OR(INDEX('×入力'!$A$1:$L$1300,1239+E$3,2+E$2)&lt;&gt;"",INDEX('×入力'!$A$1:$L$1300,1238,2+E$2)&lt;&gt;"",INDEX('×入力'!$A$1:$L$1300,1239+E$3,1)&lt;&gt;""),1,0),0)</f>
        <v/>
      </c>
      <c r="F54">
        <f>IF(F$4=1,IF(OR(INDEX('×入力'!$A$1:$L$1300,1239+F$3,2+F$2)&lt;&gt;"",INDEX('×入力'!$A$1:$L$1300,1238,2+F$2)&lt;&gt;"",INDEX('×入力'!$A$1:$L$1300,1239+F$3,1)&lt;&gt;""),1,0),0)</f>
        <v/>
      </c>
      <c r="G54">
        <f>IF(G$4=1,IF(OR(INDEX('×入力'!$A$1:$L$1300,1239+G$3,2+G$2)&lt;&gt;"",INDEX('×入力'!$A$1:$L$1300,1238,2+G$2)&lt;&gt;"",INDEX('×入力'!$A$1:$L$1300,1239+G$3,1)&lt;&gt;""),1,0),0)</f>
        <v/>
      </c>
      <c r="H54">
        <f>IF(H$4=1,IF(OR(INDEX('×入力'!$A$1:$L$1300,1239+H$3,2+H$2)&lt;&gt;"",INDEX('×入力'!$A$1:$L$1300,1238,2+H$2)&lt;&gt;"",INDEX('×入力'!$A$1:$L$1300,1239+H$3,1)&lt;&gt;""),1,0),0)</f>
        <v/>
      </c>
      <c r="I54">
        <f>IF(I$4=1,IF(OR(INDEX('×入力'!$A$1:$L$1300,1239+I$3,2+I$2)&lt;&gt;"",INDEX('×入力'!$A$1:$L$1300,1238,2+I$2)&lt;&gt;"",INDEX('×入力'!$A$1:$L$1300,1239+I$3,1)&lt;&gt;""),1,0),0)</f>
        <v/>
      </c>
      <c r="J54">
        <f>IF(J$4=1,IF(OR(INDEX('×入力'!$A$1:$L$1300,1239+J$3,2+J$2)&lt;&gt;"",INDEX('×入力'!$A$1:$L$1300,1238,2+J$2)&lt;&gt;"",INDEX('×入力'!$A$1:$L$1300,1239+J$3,1)&lt;&gt;""),1,0),0)</f>
        <v/>
      </c>
      <c r="K54">
        <f>IF(K$4=1,IF(OR(INDEX('×入力'!$A$1:$L$1300,1239+K$3,2+K$2)&lt;&gt;"",INDEX('×入力'!$A$1:$L$1300,1238,2+K$2)&lt;&gt;"",INDEX('×入力'!$A$1:$L$1300,1239+K$3,1)&lt;&gt;""),1,0),0)</f>
        <v/>
      </c>
      <c r="L54">
        <f>IF(L$4=1,IF(OR(INDEX('×入力'!$A$1:$L$1300,1239+L$3,2+L$2)&lt;&gt;"",INDEX('×入力'!$A$1:$L$1300,1238,2+L$2)&lt;&gt;"",INDEX('×入力'!$A$1:$L$1300,1239+L$3,1)&lt;&gt;""),1,0),0)</f>
        <v/>
      </c>
      <c r="M54">
        <f>IF(M$4=1,IF(OR(INDEX('×入力'!$A$1:$L$1300,1239+M$3,2+M$2)&lt;&gt;"",INDEX('×入力'!$A$1:$L$1300,1238,2+M$2)&lt;&gt;"",INDEX('×入力'!$A$1:$L$1300,1239+M$3,1)&lt;&gt;""),1,0),0)</f>
        <v/>
      </c>
      <c r="N54">
        <f>IF(N$4=1,IF(OR(INDEX('×入力'!$A$1:$L$1300,1239+N$3,2+N$2)&lt;&gt;"",INDEX('×入力'!$A$1:$L$1300,1238,2+N$2)&lt;&gt;"",INDEX('×入力'!$A$1:$L$1300,1239+N$3,1)&lt;&gt;""),1,0),0)</f>
        <v/>
      </c>
      <c r="O54">
        <f>IF(O$4=1,IF(OR(INDEX('×入力'!$A$1:$L$1300,1239+O$3,2+O$2)&lt;&gt;"",INDEX('×入力'!$A$1:$L$1300,1238,2+O$2)&lt;&gt;"",INDEX('×入力'!$A$1:$L$1300,1239+O$3,1)&lt;&gt;""),1,0),0)</f>
        <v/>
      </c>
      <c r="P54">
        <f>IF(P$4=1,IF(OR(INDEX('×入力'!$A$1:$L$1300,1239+P$3,2+P$2)&lt;&gt;"",INDEX('×入力'!$A$1:$L$1300,1238,2+P$2)&lt;&gt;"",INDEX('×入力'!$A$1:$L$1300,1239+P$3,1)&lt;&gt;""),1,0),0)</f>
        <v/>
      </c>
      <c r="Q54">
        <f>IF(Q$4=1,IF(OR(INDEX('×入力'!$A$1:$L$1300,1239+Q$3,2+Q$2)&lt;&gt;"",INDEX('×入力'!$A$1:$L$1300,1238,2+Q$2)&lt;&gt;"",INDEX('×入力'!$A$1:$L$1300,1239+Q$3,1)&lt;&gt;""),1,0),0)</f>
        <v/>
      </c>
      <c r="R54">
        <f>IF(R$4=1,IF(OR(INDEX('×入力'!$A$1:$L$1300,1239+R$3,2+R$2)&lt;&gt;"",INDEX('×入力'!$A$1:$L$1300,1238,2+R$2)&lt;&gt;"",INDEX('×入力'!$A$1:$L$1300,1239+R$3,1)&lt;&gt;""),1,0),0)</f>
        <v/>
      </c>
      <c r="S54">
        <f>IF(S$4=1,IF(OR(INDEX('×入力'!$A$1:$L$1300,1239+S$3,2+S$2)&lt;&gt;"",INDEX('×入力'!$A$1:$L$1300,1238,2+S$2)&lt;&gt;"",INDEX('×入力'!$A$1:$L$1300,1239+S$3,1)&lt;&gt;""),1,0),0)</f>
        <v/>
      </c>
      <c r="T54">
        <f>IF(T$4=1,IF(OR(INDEX('×入力'!$A$1:$L$1300,1239+T$3,2+T$2)&lt;&gt;"",INDEX('×入力'!$A$1:$L$1300,1238,2+T$2)&lt;&gt;"",INDEX('×入力'!$A$1:$L$1300,1239+T$3,1)&lt;&gt;""),1,0),0)</f>
        <v/>
      </c>
      <c r="U54">
        <f>IF(U$4=1,IF(OR(INDEX('×入力'!$A$1:$L$1300,1239+U$3,2+U$2)&lt;&gt;"",INDEX('×入力'!$A$1:$L$1300,1238,2+U$2)&lt;&gt;"",INDEX('×入力'!$A$1:$L$1300,1239+U$3,1)&lt;&gt;""),1,0),0)</f>
        <v/>
      </c>
      <c r="V54">
        <f>IF(V$4=1,IF(OR(INDEX('×入力'!$A$1:$L$1300,1239+V$3,2+V$2)&lt;&gt;"",INDEX('×入力'!$A$1:$L$1300,1238,2+V$2)&lt;&gt;"",INDEX('×入力'!$A$1:$L$1300,1239+V$3,1)&lt;&gt;""),1,0),0)</f>
        <v/>
      </c>
      <c r="W54">
        <f>IF(W$4=1,IF(OR(INDEX('×入力'!$A$1:$L$1300,1239+W$3,2+W$2)&lt;&gt;"",INDEX('×入力'!$A$1:$L$1300,1238,2+W$2)&lt;&gt;"",INDEX('×入力'!$A$1:$L$1300,1239+W$3,1)&lt;&gt;""),1,0),0)</f>
        <v/>
      </c>
      <c r="X54">
        <f>IF(X$4=1,IF(OR(INDEX('×入力'!$A$1:$L$1300,1239+X$3,2+X$2)&lt;&gt;"",INDEX('×入力'!$A$1:$L$1300,1238,2+X$2)&lt;&gt;"",INDEX('×入力'!$A$1:$L$1300,1239+X$3,1)&lt;&gt;""),1,0),0)</f>
        <v/>
      </c>
      <c r="Y54">
        <f>IF(Y$4=1,IF(OR(INDEX('×入力'!$A$1:$L$1300,1239+Y$3,2+Y$2)&lt;&gt;"",INDEX('×入力'!$A$1:$L$1300,1238,2+Y$2)&lt;&gt;"",INDEX('×入力'!$A$1:$L$1300,1239+Y$3,1)&lt;&gt;""),1,0),0)</f>
        <v/>
      </c>
      <c r="Z54">
        <f>IF(Z$4=1,IF(OR(INDEX('×入力'!$A$1:$L$1300,1239+Z$3,2+Z$2)&lt;&gt;"",INDEX('×入力'!$A$1:$L$1300,1238,2+Z$2)&lt;&gt;"",INDEX('×入力'!$A$1:$L$1300,1239+Z$3,1)&lt;&gt;""),1,0),0)</f>
        <v/>
      </c>
      <c r="AA54">
        <f>IF(AA$4=1,IF(OR(INDEX('×入力'!$A$1:$L$1300,1239+AA$3,2+AA$2)&lt;&gt;"",INDEX('×入力'!$A$1:$L$1300,1238,2+AA$2)&lt;&gt;"",INDEX('×入力'!$A$1:$L$1300,1239+AA$3,1)&lt;&gt;""),1,0),0)</f>
        <v/>
      </c>
      <c r="AB54">
        <f>IF(AB$4=1,IF(OR(INDEX('×入力'!$A$1:$L$1300,1239+AB$3,2+AB$2)&lt;&gt;"",INDEX('×入力'!$A$1:$L$1300,1238,2+AB$2)&lt;&gt;"",INDEX('×入力'!$A$1:$L$1300,1239+AB$3,1)&lt;&gt;""),1,0),0)</f>
        <v/>
      </c>
      <c r="AC54">
        <f>IF(AC$4=1,IF(OR(INDEX('×入力'!$A$1:$L$1300,1239+AC$3,2+AC$2)&lt;&gt;"",INDEX('×入力'!$A$1:$L$1300,1238,2+AC$2)&lt;&gt;"",INDEX('×入力'!$A$1:$L$1300,1239+AC$3,1)&lt;&gt;""),1,0),0)</f>
        <v/>
      </c>
      <c r="AD54">
        <f>IF(AD$4=1,IF(OR(INDEX('×入力'!$A$1:$L$1300,1239+AD$3,2+AD$2)&lt;&gt;"",INDEX('×入力'!$A$1:$L$1300,1238,2+AD$2)&lt;&gt;"",INDEX('×入力'!$A$1:$L$1300,1239+AD$3,1)&lt;&gt;""),1,0),0)</f>
        <v/>
      </c>
      <c r="AE54">
        <f>IF(AE$4=1,IF(OR(INDEX('×入力'!$A$1:$L$1300,1239+AE$3,2+AE$2)&lt;&gt;"",INDEX('×入力'!$A$1:$L$1300,1238,2+AE$2)&lt;&gt;"",INDEX('×入力'!$A$1:$L$1300,1239+AE$3,1)&lt;&gt;""),1,0),0)</f>
        <v/>
      </c>
      <c r="AF54">
        <f>IF(AF$4=1,IF(OR(INDEX('×入力'!$A$1:$L$1300,1239+AF$3,2+AF$2)&lt;&gt;"",INDEX('×入力'!$A$1:$L$1300,1238,2+AF$2)&lt;&gt;"",INDEX('×入力'!$A$1:$L$1300,1239+AF$3,1)&lt;&gt;""),1,0),0)</f>
        <v/>
      </c>
      <c r="AG54">
        <f>IF(AG$4=1,IF(OR(INDEX('×入力'!$A$1:$L$1300,1239+AG$3,2+AG$2)&lt;&gt;"",INDEX('×入力'!$A$1:$L$1300,1238,2+AG$2)&lt;&gt;"",INDEX('×入力'!$A$1:$L$1300,1239+AG$3,1)&lt;&gt;""),1,0),0)</f>
        <v/>
      </c>
      <c r="AH54">
        <f>IF(AH$4=1,IF(OR(INDEX('×入力'!$A$1:$L$1300,1239+AH$3,2+AH$2)&lt;&gt;"",INDEX('×入力'!$A$1:$L$1300,1238,2+AH$2)&lt;&gt;"",INDEX('×入力'!$A$1:$L$1300,1239+AH$3,1)&lt;&gt;""),1,0),0)</f>
        <v/>
      </c>
      <c r="AI54">
        <f>IF(AI$4=1,IF(OR(INDEX('×入力'!$A$1:$L$1300,1239+AI$3,2+AI$2)&lt;&gt;"",INDEX('×入力'!$A$1:$L$1300,1238,2+AI$2)&lt;&gt;"",INDEX('×入力'!$A$1:$L$1300,1239+AI$3,1)&lt;&gt;""),1,0),0)</f>
        <v/>
      </c>
      <c r="AJ54">
        <f>IF(AJ$4=1,IF(OR(INDEX('×入力'!$A$1:$L$1300,1239+AJ$3,2+AJ$2)&lt;&gt;"",INDEX('×入力'!$A$1:$L$1300,1238,2+AJ$2)&lt;&gt;"",INDEX('×入力'!$A$1:$L$1300,1239+AJ$3,1)&lt;&gt;""),1,0),0)</f>
        <v/>
      </c>
      <c r="AK54">
        <f>IF(AK$4=1,IF(OR(INDEX('×入力'!$A$1:$L$1300,1239+AK$3,2+AK$2)&lt;&gt;"",INDEX('×入力'!$A$1:$L$1300,1238,2+AK$2)&lt;&gt;"",INDEX('×入力'!$A$1:$L$1300,1239+AK$3,1)&lt;&gt;""),1,0),0)</f>
        <v/>
      </c>
      <c r="AL54">
        <f>IF(AL$4=1,IF(OR(INDEX('×入力'!$A$1:$L$1300,1239+AL$3,2+AL$2)&lt;&gt;"",INDEX('×入力'!$A$1:$L$1300,1238,2+AL$2)&lt;&gt;"",INDEX('×入力'!$A$1:$L$1300,1239+AL$3,1)&lt;&gt;""),1,0),0)</f>
        <v/>
      </c>
      <c r="AM54">
        <f>IF(AM$4=1,IF(OR(INDEX('×入力'!$A$1:$L$1300,1239+AM$3,2+AM$2)&lt;&gt;"",INDEX('×入力'!$A$1:$L$1300,1238,2+AM$2)&lt;&gt;"",INDEX('×入力'!$A$1:$L$1300,1239+AM$3,1)&lt;&gt;""),1,0),0)</f>
        <v/>
      </c>
      <c r="AN54">
        <f>IF(AN$4=1,IF(OR(INDEX('×入力'!$A$1:$L$1300,1239+AN$3,2+AN$2)&lt;&gt;"",INDEX('×入力'!$A$1:$L$1300,1238,2+AN$2)&lt;&gt;"",INDEX('×入力'!$A$1:$L$1300,1239+AN$3,1)&lt;&gt;""),1,0),0)</f>
        <v/>
      </c>
      <c r="AO54">
        <f>IF(AO$4=1,IF(OR(INDEX('×入力'!$A$1:$L$1300,1239+AO$3,2+AO$2)&lt;&gt;"",INDEX('×入力'!$A$1:$L$1300,1238,2+AO$2)&lt;&gt;"",INDEX('×入力'!$A$1:$L$1300,1239+AO$3,1)&lt;&gt;""),1,0),0)</f>
        <v/>
      </c>
      <c r="AP54">
        <f>IF(AP$4=1,IF(OR(INDEX('×入力'!$A$1:$L$1300,1239+AP$3,2+AP$2)&lt;&gt;"",INDEX('×入力'!$A$1:$L$1300,1238,2+AP$2)&lt;&gt;"",INDEX('×入力'!$A$1:$L$1300,1239+AP$3,1)&lt;&gt;""),1,0),0)</f>
        <v/>
      </c>
      <c r="AQ54">
        <f>IF(AQ$4=1,IF(OR(INDEX('×入力'!$A$1:$L$1300,1239+AQ$3,2+AQ$2)&lt;&gt;"",INDEX('×入力'!$A$1:$L$1300,1238,2+AQ$2)&lt;&gt;"",INDEX('×入力'!$A$1:$L$1300,1239+AQ$3,1)&lt;&gt;""),1,0),0)</f>
        <v/>
      </c>
      <c r="AR54">
        <f>IF(AR$4=1,IF(OR(INDEX('×入力'!$A$1:$L$1300,1239+AR$3,2+AR$2)&lt;&gt;"",INDEX('×入力'!$A$1:$L$1300,1238,2+AR$2)&lt;&gt;"",INDEX('×入力'!$A$1:$L$1300,1239+AR$3,1)&lt;&gt;""),1,0),0)</f>
        <v/>
      </c>
      <c r="AS54">
        <f>IF(AS$4=1,IF(OR(INDEX('×入力'!$A$1:$L$1300,1239+AS$3,2+AS$2)&lt;&gt;"",INDEX('×入力'!$A$1:$L$1300,1238,2+AS$2)&lt;&gt;"",INDEX('×入力'!$A$1:$L$1300,1239+AS$3,1)&lt;&gt;""),1,0),0)</f>
        <v/>
      </c>
      <c r="AT54">
        <f>IF(AT$4=1,IF(OR(INDEX('×入力'!$A$1:$L$1300,1239+AT$3,2+AT$2)&lt;&gt;"",INDEX('×入力'!$A$1:$L$1300,1238,2+AT$2)&lt;&gt;"",INDEX('×入力'!$A$1:$L$1300,1239+AT$3,1)&lt;&gt;""),1,0),0)</f>
        <v/>
      </c>
      <c r="AU54">
        <f>IF(AU$4=1,IF(OR(INDEX('×入力'!$A$1:$L$1300,1239+AU$3,2+AU$2)&lt;&gt;"",INDEX('×入力'!$A$1:$L$1300,1238,2+AU$2)&lt;&gt;"",INDEX('×入力'!$A$1:$L$1300,1239+AU$3,1)&lt;&gt;""),1,0),0)</f>
        <v/>
      </c>
      <c r="AV54">
        <f>IF(AV$4=1,IF(OR(INDEX('×入力'!$A$1:$L$1300,1239+AV$3,2+AV$2)&lt;&gt;"",INDEX('×入力'!$A$1:$L$1300,1238,2+AV$2)&lt;&gt;"",INDEX('×入力'!$A$1:$L$1300,1239+AV$3,1)&lt;&gt;""),1,0),0)</f>
        <v/>
      </c>
      <c r="AW54">
        <f>IF(AW$4=1,IF(OR(INDEX('×入力'!$A$1:$L$1300,1239+AW$3,2+AW$2)&lt;&gt;"",INDEX('×入力'!$A$1:$L$1300,1238,2+AW$2)&lt;&gt;"",INDEX('×入力'!$A$1:$L$1300,1239+AW$3,1)&lt;&gt;""),1,0),0)</f>
        <v/>
      </c>
      <c r="AX54">
        <f>IF(AX$4=1,IF(OR(INDEX('×入力'!$A$1:$L$1300,1239+AX$3,2+AX$2)&lt;&gt;"",INDEX('×入力'!$A$1:$L$1300,1238,2+AX$2)&lt;&gt;"",INDEX('×入力'!$A$1:$L$1300,1239+AX$3,1)&lt;&gt;""),1,0),0)</f>
        <v/>
      </c>
      <c r="AY54">
        <f>IF(AY$4=1,IF(OR(INDEX('×入力'!$A$1:$L$1300,1239+AY$3,2+AY$2)&lt;&gt;"",INDEX('×入力'!$A$1:$L$1300,1238,2+AY$2)&lt;&gt;"",INDEX('×入力'!$A$1:$L$1300,1239+AY$3,1)&lt;&gt;""),1,0),0)</f>
        <v/>
      </c>
      <c r="AZ54">
        <f>IF(AZ$4=1,IF(OR(INDEX('×入力'!$A$1:$L$1300,1239+AZ$3,2+AZ$2)&lt;&gt;"",INDEX('×入力'!$A$1:$L$1300,1238,2+AZ$2)&lt;&gt;"",INDEX('×入力'!$A$1:$L$1300,1239+AZ$3,1)&lt;&gt;""),1,0),0)</f>
        <v/>
      </c>
      <c r="BA54">
        <f>IF(BA$4=1,IF(OR(INDEX('×入力'!$A$1:$L$1300,1239+BA$3,2+BA$2)&lt;&gt;"",INDEX('×入力'!$A$1:$L$1300,1238,2+BA$2)&lt;&gt;"",INDEX('×入力'!$A$1:$L$1300,1239+BA$3,1)&lt;&gt;""),1,0),0)</f>
        <v/>
      </c>
      <c r="BB54">
        <f>IF(BB$4=1,IF(OR(INDEX('×入力'!$A$1:$L$1300,1239+BB$3,2+BB$2)&lt;&gt;"",INDEX('×入力'!$A$1:$L$1300,1238,2+BB$2)&lt;&gt;"",INDEX('×入力'!$A$1:$L$1300,1239+BB$3,1)&lt;&gt;""),1,0),0)</f>
        <v/>
      </c>
      <c r="BC54">
        <f>IF(BC$4=1,IF(OR(INDEX('×入力'!$A$1:$L$1300,1239+BC$3,2+BC$2)&lt;&gt;"",INDEX('×入力'!$A$1:$L$1300,1238,2+BC$2)&lt;&gt;"",INDEX('×入力'!$A$1:$L$1300,1239+BC$3,1)&lt;&gt;""),1,0),0)</f>
        <v/>
      </c>
      <c r="BD54">
        <f>IF(BD$4=1,IF(OR(INDEX('×入力'!$A$1:$L$1300,1239+BD$3,2+BD$2)&lt;&gt;"",INDEX('×入力'!$A$1:$L$1300,1238,2+BD$2)&lt;&gt;"",INDEX('×入力'!$A$1:$L$1300,1239+BD$3,1)&lt;&gt;""),1,0),0)</f>
        <v/>
      </c>
      <c r="BE54">
        <f>IF(BE$4=1,IF(OR(INDEX('×入力'!$A$1:$L$1300,1239+BE$3,2+BE$2)&lt;&gt;"",INDEX('×入力'!$A$1:$L$1300,1238,2+BE$2)&lt;&gt;"",INDEX('×入力'!$A$1:$L$1300,1239+BE$3,1)&lt;&gt;""),1,0),0)</f>
        <v/>
      </c>
      <c r="BF54">
        <f>IF(BF$4=1,IF(OR(INDEX('×入力'!$A$1:$L$1300,1239+BF$3,2+BF$2)&lt;&gt;"",INDEX('×入力'!$A$1:$L$1300,1238,2+BF$2)&lt;&gt;"",INDEX('×入力'!$A$1:$L$1300,1239+BF$3,1)&lt;&gt;""),1,0),0)</f>
        <v/>
      </c>
      <c r="BG54">
        <f>IF(BG$4=1,IF(OR(INDEX('×入力'!$A$1:$L$1300,1239+BG$3,2+BG$2)&lt;&gt;"",INDEX('×入力'!$A$1:$L$1300,1238,2+BG$2)&lt;&gt;"",INDEX('×入力'!$A$1:$L$1300,1239+BG$3,1)&lt;&gt;""),1,0),0)</f>
        <v/>
      </c>
      <c r="BH54">
        <f>IF(BH$4=1,IF(OR(INDEX('×入力'!$A$1:$L$1300,1239+BH$3,2+BH$2)&lt;&gt;"",INDEX('×入力'!$A$1:$L$1300,1238,2+BH$2)&lt;&gt;"",INDEX('×入力'!$A$1:$L$1300,1239+BH$3,1)&lt;&gt;""),1,0),0)</f>
        <v/>
      </c>
      <c r="BI54">
        <f>IF(BI$4=1,IF(OR(INDEX('×入力'!$A$1:$L$1300,1239+BI$3,2+BI$2)&lt;&gt;"",INDEX('×入力'!$A$1:$L$1300,1238,2+BI$2)&lt;&gt;"",INDEX('×入力'!$A$1:$L$1300,1239+BI$3,1)&lt;&gt;""),1,0),0)</f>
        <v/>
      </c>
      <c r="BJ54">
        <f>IF(BJ$4=1,IF(OR(INDEX('×入力'!$A$1:$L$1300,1239+BJ$3,2+BJ$2)&lt;&gt;"",INDEX('×入力'!$A$1:$L$1300,1238,2+BJ$2)&lt;&gt;"",INDEX('×入力'!$A$1:$L$1300,1239+BJ$3,1)&lt;&gt;""),1,0),0)</f>
        <v/>
      </c>
      <c r="BK54">
        <f>IF(BK$4=1,IF(OR(INDEX('×入力'!$A$1:$L$1300,1239+BK$3,2+BK$2)&lt;&gt;"",INDEX('×入力'!$A$1:$L$1300,1238,2+BK$2)&lt;&gt;"",INDEX('×入力'!$A$1:$L$1300,1239+BK$3,1)&lt;&gt;""),1,0),0)</f>
        <v/>
      </c>
      <c r="BL54">
        <f>IF(BL$4=1,IF(OR(INDEX('×入力'!$A$1:$L$1300,1239+BL$3,2+BL$2)&lt;&gt;"",INDEX('×入力'!$A$1:$L$1300,1238,2+BL$2)&lt;&gt;"",INDEX('×入力'!$A$1:$L$1300,1239+BL$3,1)&lt;&gt;""),1,0),0)</f>
        <v/>
      </c>
      <c r="BM54">
        <f>IF(BM$4=1,IF(OR(INDEX('×入力'!$A$1:$L$1300,1239+BM$3,2+BM$2)&lt;&gt;"",INDEX('×入力'!$A$1:$L$1300,1238,2+BM$2)&lt;&gt;"",INDEX('×入力'!$A$1:$L$1300,1239+BM$3,1)&lt;&gt;""),1,0),0)</f>
        <v/>
      </c>
      <c r="BN54">
        <f>IF(BN$4=1,IF(OR(INDEX('×入力'!$A$1:$L$1300,1239+BN$3,2+BN$2)&lt;&gt;"",INDEX('×入力'!$A$1:$L$1300,1238,2+BN$2)&lt;&gt;"",INDEX('×入力'!$A$1:$L$1300,1239+BN$3,1)&lt;&gt;""),1,0),0)</f>
        <v/>
      </c>
      <c r="BO54">
        <f>IF(BO$4=1,IF(OR(INDEX('×入力'!$A$1:$L$1300,1239+BO$3,2+BO$2)&lt;&gt;"",INDEX('×入力'!$A$1:$L$1300,1238,2+BO$2)&lt;&gt;"",INDEX('×入力'!$A$1:$L$1300,1239+BO$3,1)&lt;&gt;""),1,0),0)</f>
        <v/>
      </c>
      <c r="BP54">
        <f>IF(BP$4=1,IF(OR(INDEX('×入力'!$A$1:$L$1300,1239+BP$3,2+BP$2)&lt;&gt;"",INDEX('×入力'!$A$1:$L$1300,1238,2+BP$2)&lt;&gt;"",INDEX('×入力'!$A$1:$L$1300,1239+BP$3,1)&lt;&gt;""),1,0),0)</f>
        <v/>
      </c>
      <c r="BQ54">
        <f>IF(BQ$4=1,IF(OR(INDEX('×入力'!$A$1:$L$1300,1239+BQ$3,2+BQ$2)&lt;&gt;"",INDEX('×入力'!$A$1:$L$1300,1238,2+BQ$2)&lt;&gt;"",INDEX('×入力'!$A$1:$L$1300,1239+BQ$3,1)&lt;&gt;""),1,0),0)</f>
        <v/>
      </c>
      <c r="BR54">
        <f>IF(BR$4=1,IF(OR(INDEX('×入力'!$A$1:$L$1300,1239+BR$3,2+BR$2)&lt;&gt;"",INDEX('×入力'!$A$1:$L$1300,1238,2+BR$2)&lt;&gt;"",INDEX('×入力'!$A$1:$L$1300,1239+BR$3,1)&lt;&gt;""),1,0),0)</f>
        <v/>
      </c>
      <c r="BS54">
        <f>IF(BS$4=1,IF(OR(INDEX('×入力'!$A$1:$L$1300,1239+BS$3,2+BS$2)&lt;&gt;"",INDEX('×入力'!$A$1:$L$1300,1238,2+BS$2)&lt;&gt;"",INDEX('×入力'!$A$1:$L$1300,1239+BS$3,1)&lt;&gt;""),1,0),0)</f>
        <v/>
      </c>
      <c r="BT54">
        <f>IF(BT$4=1,IF(OR(INDEX('×入力'!$A$1:$L$1300,1239+BT$3,2+BT$2)&lt;&gt;"",INDEX('×入力'!$A$1:$L$1300,1238,2+BT$2)&lt;&gt;"",INDEX('×入力'!$A$1:$L$1300,1239+BT$3,1)&lt;&gt;""),1,0),0)</f>
        <v/>
      </c>
      <c r="BU54">
        <f>IF(BU$4=1,IF(OR(INDEX('×入力'!$A$1:$L$1300,1239+BU$3,2+BU$2)&lt;&gt;"",INDEX('×入力'!$A$1:$L$1300,1238,2+BU$2)&lt;&gt;"",INDEX('×入力'!$A$1:$L$1300,1239+BU$3,1)&lt;&gt;""),1,0),0)</f>
        <v/>
      </c>
      <c r="BV54">
        <f>IF(BV$4=1,IF(OR(INDEX('×入力'!$A$1:$L$1300,1239+BV$3,2+BV$2)&lt;&gt;"",INDEX('×入力'!$A$1:$L$1300,1238,2+BV$2)&lt;&gt;"",INDEX('×入力'!$A$1:$L$1300,1239+BV$3,1)&lt;&gt;""),1,0),0)</f>
        <v/>
      </c>
      <c r="BW54">
        <f>IF(BW$4=1,IF(OR(INDEX('×入力'!$A$1:$L$1300,1239+BW$3,2+BW$2)&lt;&gt;"",INDEX('×入力'!$A$1:$L$1300,1238,2+BW$2)&lt;&gt;"",INDEX('×入力'!$A$1:$L$1300,1239+BW$3,1)&lt;&gt;""),1,0),0)</f>
        <v/>
      </c>
      <c r="BX54">
        <f>IF(BX$4=1,IF(OR(INDEX('×入力'!$A$1:$L$1300,1239+BX$3,2+BX$2)&lt;&gt;"",INDEX('×入力'!$A$1:$L$1300,1238,2+BX$2)&lt;&gt;"",INDEX('×入力'!$A$1:$L$1300,1239+BX$3,1)&lt;&gt;""),1,0),0)</f>
        <v/>
      </c>
      <c r="BY54">
        <f>IF(BY$4=1,IF(OR(INDEX('×入力'!$A$1:$L$1300,1239+BY$3,2+BY$2)&lt;&gt;"",INDEX('×入力'!$A$1:$L$1300,1238,2+BY$2)&lt;&gt;"",INDEX('×入力'!$A$1:$L$1300,1239+BY$3,1)&lt;&gt;""),1,0),0)</f>
        <v/>
      </c>
      <c r="BZ54">
        <f>IF(BZ$4=1,IF(OR(INDEX('×入力'!$A$1:$L$1300,1239+BZ$3,2+BZ$2)&lt;&gt;"",INDEX('×入力'!$A$1:$L$1300,1238,2+BZ$2)&lt;&gt;"",INDEX('×入力'!$A$1:$L$1300,1239+BZ$3,1)&lt;&gt;""),1,0),0)</f>
        <v/>
      </c>
      <c r="CA54">
        <f>IF(CA$4=1,IF(OR(INDEX('×入力'!$A$1:$L$1300,1239+CA$3,2+CA$2)&lt;&gt;"",INDEX('×入力'!$A$1:$L$1300,1238,2+CA$2)&lt;&gt;"",INDEX('×入力'!$A$1:$L$1300,1239+CA$3,1)&lt;&gt;""),1,0),0)</f>
        <v/>
      </c>
      <c r="CB54">
        <f>IF(CB$4=1,IF(OR(INDEX('×入力'!$A$1:$L$1300,1239+CB$3,2+CB$2)&lt;&gt;"",INDEX('×入力'!$A$1:$L$1300,1238,2+CB$2)&lt;&gt;"",INDEX('×入力'!$A$1:$L$1300,1239+CB$3,1)&lt;&gt;""),1,0),0)</f>
        <v/>
      </c>
      <c r="CC54">
        <f>IF(CC$4=1,IF(OR(INDEX('×入力'!$A$1:$L$1300,1239+CC$3,2+CC$2)&lt;&gt;"",INDEX('×入力'!$A$1:$L$1300,1238,2+CC$2)&lt;&gt;"",INDEX('×入力'!$A$1:$L$1300,1239+CC$3,1)&lt;&gt;""),1,0),0)</f>
        <v/>
      </c>
      <c r="CD54">
        <f>IF(CD$4=1,IF(OR(INDEX('×入力'!$A$1:$L$1300,1239+CD$3,2+CD$2)&lt;&gt;"",INDEX('×入力'!$A$1:$L$1300,1238,2+CD$2)&lt;&gt;"",INDEX('×入力'!$A$1:$L$1300,1239+CD$3,1)&lt;&gt;""),1,0),0)</f>
        <v/>
      </c>
      <c r="CE54">
        <f>IF(CE$4=1,IF(OR(INDEX('×入力'!$A$1:$L$1300,1239+CE$3,2+CE$2)&lt;&gt;"",INDEX('×入力'!$A$1:$L$1300,1238,2+CE$2)&lt;&gt;"",INDEX('×入力'!$A$1:$L$1300,1239+CE$3,1)&lt;&gt;""),1,0),0)</f>
        <v/>
      </c>
      <c r="CF54">
        <f>IF(CF$4=1,IF(OR(INDEX('×入力'!$A$1:$L$1300,1239+CF$3,2+CF$2)&lt;&gt;"",INDEX('×入力'!$A$1:$L$1300,1238,2+CF$2)&lt;&gt;"",INDEX('×入力'!$A$1:$L$1300,1239+CF$3,1)&lt;&gt;""),1,0),0)</f>
        <v/>
      </c>
      <c r="CG54">
        <f>IF(CG$4=1,IF(OR(INDEX('×入力'!$A$1:$L$1300,1239+CG$3,2+CG$2)&lt;&gt;"",INDEX('×入力'!$A$1:$L$1300,1238,2+CG$2)&lt;&gt;"",INDEX('×入力'!$A$1:$L$1300,1239+CG$3,1)&lt;&gt;""),1,0),0)</f>
        <v/>
      </c>
      <c r="CH54">
        <f>IF(CH$4=1,IF(OR(INDEX('×入力'!$A$1:$L$1300,1239+CH$3,2+CH$2)&lt;&gt;"",INDEX('×入力'!$A$1:$L$1300,1238,2+CH$2)&lt;&gt;"",INDEX('×入力'!$A$1:$L$1300,1239+CH$3,1)&lt;&gt;""),1,0),0)</f>
        <v/>
      </c>
      <c r="CI54">
        <f>IF(CI$4=1,IF(OR(INDEX('×入力'!$A$1:$L$1300,1239+CI$3,2+CI$2)&lt;&gt;"",INDEX('×入力'!$A$1:$L$1300,1238,2+CI$2)&lt;&gt;"",INDEX('×入力'!$A$1:$L$1300,1239+CI$3,1)&lt;&gt;""),1,0),0)</f>
        <v/>
      </c>
      <c r="CJ54">
        <f>IF(CJ$4=1,IF(OR(INDEX('×入力'!$A$1:$L$1300,1239+CJ$3,2+CJ$2)&lt;&gt;"",INDEX('×入力'!$A$1:$L$1300,1238,2+CJ$2)&lt;&gt;"",INDEX('×入力'!$A$1:$L$1300,1239+CJ$3,1)&lt;&gt;""),1,0),0)</f>
        <v/>
      </c>
      <c r="CK54">
        <f>IF(CK$4=1,IF(OR(INDEX('×入力'!$A$1:$L$1300,1239+CK$3,2+CK$2)&lt;&gt;"",INDEX('×入力'!$A$1:$L$1300,1238,2+CK$2)&lt;&gt;"",INDEX('×入力'!$A$1:$L$1300,1239+CK$3,1)&lt;&gt;""),1,0),0)</f>
        <v/>
      </c>
      <c r="CL54">
        <f>IF(CL$4=1,IF(OR(INDEX('×入力'!$A$1:$L$1300,1239+CL$3,2+CL$2)&lt;&gt;"",INDEX('×入力'!$A$1:$L$1300,1238,2+CL$2)&lt;&gt;"",INDEX('×入力'!$A$1:$L$1300,1239+CL$3,1)&lt;&gt;""),1,0),0)</f>
        <v/>
      </c>
      <c r="CM54">
        <f>IF(CM$4=1,IF(OR(INDEX('×入力'!$A$1:$L$1300,1239+CM$3,2+CM$2)&lt;&gt;"",INDEX('×入力'!$A$1:$L$1300,1238,2+CM$2)&lt;&gt;"",INDEX('×入力'!$A$1:$L$1300,1239+CM$3,1)&lt;&gt;""),1,0),0)</f>
        <v/>
      </c>
      <c r="CN54">
        <f>IF(CN$4=1,IF(OR(INDEX('×入力'!$A$1:$L$1300,1239+CN$3,2+CN$2)&lt;&gt;"",INDEX('×入力'!$A$1:$L$1300,1238,2+CN$2)&lt;&gt;"",INDEX('×入力'!$A$1:$L$1300,1239+CN$3,1)&lt;&gt;""),1,0),0)</f>
        <v/>
      </c>
      <c r="CO54">
        <f>IF(CO$4=1,IF(OR(INDEX('×入力'!$A$1:$L$1300,1239+CO$3,2+CO$2)&lt;&gt;"",INDEX('×入力'!$A$1:$L$1300,1238,2+CO$2)&lt;&gt;"",INDEX('×入力'!$A$1:$L$1300,1239+CO$3,1)&lt;&gt;""),1,0),0)</f>
        <v/>
      </c>
      <c r="CP54">
        <f>IF(CP$4=1,IF(OR(INDEX('×入力'!$A$1:$L$1300,1239+CP$3,2+CP$2)&lt;&gt;"",INDEX('×入力'!$A$1:$L$1300,1238,2+CP$2)&lt;&gt;"",INDEX('×入力'!$A$1:$L$1300,1239+CP$3,1)&lt;&gt;""),1,0),0)</f>
        <v/>
      </c>
      <c r="CQ54">
        <f>IF(CQ$4=1,IF(OR(INDEX('×入力'!$A$1:$L$1300,1239+CQ$3,2+CQ$2)&lt;&gt;"",INDEX('×入力'!$A$1:$L$1300,1238,2+CQ$2)&lt;&gt;"",INDEX('×入力'!$A$1:$L$1300,1239+CQ$3,1)&lt;&gt;""),1,0),0)</f>
        <v/>
      </c>
      <c r="CR54">
        <f>IF(CR$4=1,IF(OR(INDEX('×入力'!$A$1:$L$1300,1239+CR$3,2+CR$2)&lt;&gt;"",INDEX('×入力'!$A$1:$L$1300,1238,2+CR$2)&lt;&gt;"",INDEX('×入力'!$A$1:$L$1300,1239+CR$3,1)&lt;&gt;""),1,0),0)</f>
        <v/>
      </c>
      <c r="CS54">
        <f>IF(CS$4=1,IF(OR(INDEX('×入力'!$A$1:$L$1300,1239+CS$3,2+CS$2)&lt;&gt;"",INDEX('×入力'!$A$1:$L$1300,1238,2+CS$2)&lt;&gt;"",INDEX('×入力'!$A$1:$L$1300,1239+CS$3,1)&lt;&gt;""),1,0),0)</f>
        <v/>
      </c>
      <c r="CT54">
        <f>IF(CT$4=1,IF(OR(INDEX('×入力'!$A$1:$L$1300,1239+CT$3,2+CT$2)&lt;&gt;"",INDEX('×入力'!$A$1:$L$1300,1238,2+CT$2)&lt;&gt;"",INDEX('×入力'!$A$1:$L$1300,1239+CT$3,1)&lt;&gt;""),1,0),0)</f>
        <v/>
      </c>
      <c r="CU54">
        <f>IF(CU$4=1,IF(OR(INDEX('×入力'!$A$1:$L$1300,1239+CU$3,2+CU$2)&lt;&gt;"",INDEX('×入力'!$A$1:$L$1300,1238,2+CU$2)&lt;&gt;"",INDEX('×入力'!$A$1:$L$1300,1239+CU$3,1)&lt;&gt;""),1,0),0)</f>
        <v/>
      </c>
      <c r="CV54">
        <f>IF(CV$4=1,IF(OR(INDEX('×入力'!$A$1:$L$1300,1239+CV$3,2+CV$2)&lt;&gt;"",INDEX('×入力'!$A$1:$L$1300,1238,2+CV$2)&lt;&gt;"",INDEX('×入力'!$A$1:$L$1300,1239+CV$3,1)&lt;&gt;""),1,0),0)</f>
        <v/>
      </c>
      <c r="CW54">
        <f>IF(CW$4=1,IF(OR(INDEX('×入力'!$A$1:$L$1300,1239+CW$3,2+CW$2)&lt;&gt;"",INDEX('×入力'!$A$1:$L$1300,1238,2+CW$2)&lt;&gt;"",INDEX('×入力'!$A$1:$L$1300,1239+CW$3,1)&lt;&gt;""),1,0),0)</f>
        <v/>
      </c>
      <c r="CX54">
        <f>IF(CX$4=1,IF(OR(INDEX('×入力'!$A$1:$L$1300,1239+CX$3,2+CX$2)&lt;&gt;"",INDEX('×入力'!$A$1:$L$1300,1238,2+CX$2)&lt;&gt;"",INDEX('×入力'!$A$1:$L$1300,1239+CX$3,1)&lt;&gt;""),1,0),0)</f>
        <v/>
      </c>
      <c r="CY54">
        <f>IF(CY$4=1,IF(OR(INDEX('×入力'!$A$1:$L$1300,1239+CY$3,2+CY$2)&lt;&gt;"",INDEX('×入力'!$A$1:$L$1300,1238,2+CY$2)&lt;&gt;"",INDEX('×入力'!$A$1:$L$1300,1239+CY$3,1)&lt;&gt;""),1,0),0)</f>
        <v/>
      </c>
      <c r="CZ54">
        <f>IF(CZ$4=1,IF(OR(INDEX('×入力'!$A$1:$L$1300,1239+CZ$3,2+CZ$2)&lt;&gt;"",INDEX('×入力'!$A$1:$L$1300,1238,2+CZ$2)&lt;&gt;"",INDEX('×入力'!$A$1:$L$1300,1239+CZ$3,1)&lt;&gt;""),1,0),0)</f>
        <v/>
      </c>
      <c r="DA54">
        <f>IF(DA$4=1,IF(OR(INDEX('×入力'!$A$1:$L$1300,1239+DA$3,2+DA$2)&lt;&gt;"",INDEX('×入力'!$A$1:$L$1300,1238,2+DA$2)&lt;&gt;"",INDEX('×入力'!$A$1:$L$1300,1239+DA$3,1)&lt;&gt;""),1,0),0)</f>
        <v/>
      </c>
      <c r="DB54">
        <f>IF(DB$4=1,IF(OR(INDEX('×入力'!$A$1:$L$1300,1239+DB$3,2+DB$2)&lt;&gt;"",INDEX('×入力'!$A$1:$L$1300,1238,2+DB$2)&lt;&gt;"",INDEX('×入力'!$A$1:$L$1300,1239+DB$3,1)&lt;&gt;""),1,0),0)</f>
        <v/>
      </c>
      <c r="DC54">
        <f>IF(DC$4=1,IF(OR(INDEX('×入力'!$A$1:$L$1300,1239+DC$3,2+DC$2)&lt;&gt;"",INDEX('×入力'!$A$1:$L$1300,1238,2+DC$2)&lt;&gt;"",INDEX('×入力'!$A$1:$L$1300,1239+DC$3,1)&lt;&gt;""),1,0),0)</f>
        <v/>
      </c>
      <c r="DD54">
        <f>IF(DD$4=1,IF(OR(INDEX('×入力'!$A$1:$L$1300,1239+DD$3,2+DD$2)&lt;&gt;"",INDEX('×入力'!$A$1:$L$1300,1238,2+DD$2)&lt;&gt;"",INDEX('×入力'!$A$1:$L$1300,1239+DD$3,1)&lt;&gt;""),1,0),0)</f>
        <v/>
      </c>
      <c r="DE54">
        <f>IF(DE$4=1,IF(OR(INDEX('×入力'!$A$1:$L$1300,1239+DE$3,2+DE$2)&lt;&gt;"",INDEX('×入力'!$A$1:$L$1300,1238,2+DE$2)&lt;&gt;"",INDEX('×入力'!$A$1:$L$1300,1239+DE$3,1)&lt;&gt;""),1,0),0)</f>
        <v/>
      </c>
      <c r="DF54">
        <f>IF(DF$4=1,IF(OR(INDEX('×入力'!$A$1:$L$1300,1239+DF$3,2+DF$2)&lt;&gt;"",INDEX('×入力'!$A$1:$L$1300,1238,2+DF$2)&lt;&gt;"",INDEX('×入力'!$A$1:$L$1300,1239+DF$3,1)&lt;&gt;""),1,0),0)</f>
        <v/>
      </c>
      <c r="DG54">
        <f>IF(DG$4=1,IF(OR(INDEX('×入力'!$A$1:$L$1300,1239+DG$3,2+DG$2)&lt;&gt;"",INDEX('×入力'!$A$1:$L$1300,1238,2+DG$2)&lt;&gt;"",INDEX('×入力'!$A$1:$L$1300,1239+DG$3,1)&lt;&gt;""),1,0),0)</f>
        <v/>
      </c>
      <c r="DH54">
        <f>IF(DH$4=1,IF(OR(INDEX('×入力'!$A$1:$L$1300,1239+DH$3,2+DH$2)&lt;&gt;"",INDEX('×入力'!$A$1:$L$1300,1238,2+DH$2)&lt;&gt;"",INDEX('×入力'!$A$1:$L$1300,1239+DH$3,1)&lt;&gt;""),1,0),0)</f>
        <v/>
      </c>
      <c r="DI54">
        <f>IF(DI$4=1,IF(OR(INDEX('×入力'!$A$1:$L$1300,1239+DI$3,2+DI$2)&lt;&gt;"",INDEX('×入力'!$A$1:$L$1300,1238,2+DI$2)&lt;&gt;"",INDEX('×入力'!$A$1:$L$1300,1239+DI$3,1)&lt;&gt;""),1,0),0)</f>
        <v/>
      </c>
      <c r="DJ54">
        <f>IF(DJ$4=1,IF(OR(INDEX('×入力'!$A$1:$L$1300,1239+DJ$3,2+DJ$2)&lt;&gt;"",INDEX('×入力'!$A$1:$L$1300,1238,2+DJ$2)&lt;&gt;"",INDEX('×入力'!$A$1:$L$1300,1239+DJ$3,1)&lt;&gt;""),1,0),0)</f>
        <v/>
      </c>
      <c r="DK54">
        <f>IF(DK$4=1,IF(OR(INDEX('×入力'!$A$1:$L$1300,1239+DK$3,2+DK$2)&lt;&gt;"",INDEX('×入力'!$A$1:$L$1300,1238,2+DK$2)&lt;&gt;"",INDEX('×入力'!$A$1:$L$1300,1239+DK$3,1)&lt;&gt;""),1,0),0)</f>
        <v/>
      </c>
      <c r="DL54">
        <f>IF(DL$4=1,IF(OR(INDEX('×入力'!$A$1:$L$1300,1239+DL$3,2+DL$2)&lt;&gt;"",INDEX('×入力'!$A$1:$L$1300,1238,2+DL$2)&lt;&gt;"",INDEX('×入力'!$A$1:$L$1300,1239+DL$3,1)&lt;&gt;""),1,0),0)</f>
        <v/>
      </c>
      <c r="DM54">
        <f>IF(DM$4=1,IF(OR(INDEX('×入力'!$A$1:$L$1300,1239+DM$3,2+DM$2)&lt;&gt;"",INDEX('×入力'!$A$1:$L$1300,1238,2+DM$2)&lt;&gt;"",INDEX('×入力'!$A$1:$L$1300,1239+DM$3,1)&lt;&gt;""),1,0),0)</f>
        <v/>
      </c>
      <c r="DN54">
        <f>IF(DN$4=1,IF(OR(INDEX('×入力'!$A$1:$L$1300,1239+DN$3,2+DN$2)&lt;&gt;"",INDEX('×入力'!$A$1:$L$1300,1238,2+DN$2)&lt;&gt;"",INDEX('×入力'!$A$1:$L$1300,1239+DN$3,1)&lt;&gt;""),1,0),0)</f>
        <v/>
      </c>
      <c r="DO54">
        <f>IF(DO$4=1,IF(OR(INDEX('×入力'!$A$1:$L$1300,1239+DO$3,2+DO$2)&lt;&gt;"",INDEX('×入力'!$A$1:$L$1300,1238,2+DO$2)&lt;&gt;"",INDEX('×入力'!$A$1:$L$1300,1239+DO$3,1)&lt;&gt;""),1,0),0)</f>
        <v/>
      </c>
      <c r="DP54">
        <f>IF(DP$4=1,IF(OR(INDEX('×入力'!$A$1:$L$1300,1239+DP$3,2+DP$2)&lt;&gt;"",INDEX('×入力'!$A$1:$L$1300,1238,2+DP$2)&lt;&gt;"",INDEX('×入力'!$A$1:$L$1300,1239+DP$3,1)&lt;&gt;""),1,0),0)</f>
        <v/>
      </c>
      <c r="DQ54">
        <f>IF(DQ$4=1,IF(OR(INDEX('×入力'!$A$1:$L$1300,1239+DQ$3,2+DQ$2)&lt;&gt;"",INDEX('×入力'!$A$1:$L$1300,1238,2+DQ$2)&lt;&gt;"",INDEX('×入力'!$A$1:$L$1300,1239+DQ$3,1)&lt;&gt;""),1,0),0)</f>
        <v/>
      </c>
      <c r="DR54">
        <f>IF(DR$4=1,IF(OR(INDEX('×入力'!$A$1:$L$1300,1239+DR$3,2+DR$2)&lt;&gt;"",INDEX('×入力'!$A$1:$L$1300,1238,2+DR$2)&lt;&gt;"",INDEX('×入力'!$A$1:$L$1300,1239+DR$3,1)&lt;&gt;""),1,0),0)</f>
        <v/>
      </c>
      <c r="DS54">
        <f>IF(DS$4=1,IF(OR(INDEX('×入力'!$A$1:$L$1300,1239+DS$3,2+DS$2)&lt;&gt;"",INDEX('×入力'!$A$1:$L$1300,1238,2+DS$2)&lt;&gt;"",INDEX('×入力'!$A$1:$L$1300,1239+DS$3,1)&lt;&gt;""),1,0),0)</f>
        <v/>
      </c>
      <c r="DT54">
        <f>IF(DT$4=1,IF(OR(INDEX('×入力'!$A$1:$L$1300,1239+DT$3,2+DT$2)&lt;&gt;"",INDEX('×入力'!$A$1:$L$1300,1238,2+DT$2)&lt;&gt;"",INDEX('×入力'!$A$1:$L$1300,1239+DT$3,1)&lt;&gt;""),1,0),0)</f>
        <v/>
      </c>
      <c r="DU54">
        <f>IF(DU$4=1,IF(OR(INDEX('×入力'!$A$1:$L$1300,1239+DU$3,2+DU$2)&lt;&gt;"",INDEX('×入力'!$A$1:$L$1300,1238,2+DU$2)&lt;&gt;"",INDEX('×入力'!$A$1:$L$1300,1239+DU$3,1)&lt;&gt;""),1,0),0)</f>
        <v/>
      </c>
      <c r="DV54">
        <f>IF(DV$4=1,IF(OR(INDEX('×入力'!$A$1:$L$1300,1239+DV$3,2+DV$2)&lt;&gt;"",INDEX('×入力'!$A$1:$L$1300,1238,2+DV$2)&lt;&gt;"",INDEX('×入力'!$A$1:$L$1300,1239+DV$3,1)&lt;&gt;""),1,0),0)</f>
        <v/>
      </c>
      <c r="DW54">
        <f>IF(DW$4=1,IF(OR(INDEX('×入力'!$A$1:$L$1300,1239+DW$3,2+DW$2)&lt;&gt;"",INDEX('×入力'!$A$1:$L$1300,1238,2+DW$2)&lt;&gt;"",INDEX('×入力'!$A$1:$L$1300,1239+DW$3,1)&lt;&gt;""),1,0),0)</f>
        <v/>
      </c>
      <c r="DX54">
        <f>IF(DX$4=1,IF(OR(INDEX('×入力'!$A$1:$L$1300,1239+DX$3,2+DX$2)&lt;&gt;"",INDEX('×入力'!$A$1:$L$1300,1238,2+DX$2)&lt;&gt;"",INDEX('×入力'!$A$1:$L$1300,1239+DX$3,1)&lt;&gt;""),1,0),0)</f>
        <v/>
      </c>
      <c r="DY54">
        <f>IF(DY$4=1,IF(OR(INDEX('×入力'!$A$1:$L$1300,1239+DY$3,2+DY$2)&lt;&gt;"",INDEX('×入力'!$A$1:$L$1300,1238,2+DY$2)&lt;&gt;"",INDEX('×入力'!$A$1:$L$1300,1239+DY$3,1)&lt;&gt;""),1,0),0)</f>
        <v/>
      </c>
      <c r="DZ54">
        <f>IF(DZ$4=1,IF(OR(INDEX('×入力'!$A$1:$L$1300,1239+DZ$3,2+DZ$2)&lt;&gt;"",INDEX('×入力'!$A$1:$L$1300,1238,2+DZ$2)&lt;&gt;"",INDEX('×入力'!$A$1:$L$1300,1239+DZ$3,1)&lt;&gt;""),1,0),0)</f>
        <v/>
      </c>
      <c r="EA54">
        <f>IF(EA$4=1,IF(OR(INDEX('×入力'!$A$1:$L$1300,1239+EA$3,2+EA$2)&lt;&gt;"",INDEX('×入力'!$A$1:$L$1300,1238,2+EA$2)&lt;&gt;"",INDEX('×入力'!$A$1:$L$1300,1239+EA$3,1)&lt;&gt;""),1,0),0)</f>
        <v/>
      </c>
      <c r="EB54">
        <f>IF(EB$4=1,IF(OR(INDEX('×入力'!$A$1:$L$1300,1239+EB$3,2+EB$2)&lt;&gt;"",INDEX('×入力'!$A$1:$L$1300,1238,2+EB$2)&lt;&gt;"",INDEX('×入力'!$A$1:$L$1300,1239+EB$3,1)&lt;&gt;""),1,0),0)</f>
        <v/>
      </c>
      <c r="EC54">
        <f>IF(EC$4=1,IF(OR(INDEX('×入力'!$A$1:$L$1300,1239+EC$3,2+EC$2)&lt;&gt;"",INDEX('×入力'!$A$1:$L$1300,1238,2+EC$2)&lt;&gt;"",INDEX('×入力'!$A$1:$L$1300,1239+EC$3,1)&lt;&gt;""),1,0),0)</f>
        <v/>
      </c>
      <c r="ED54">
        <f>IF(ED$4=1,IF(OR(INDEX('×入力'!$A$1:$L$1300,1239+ED$3,2+ED$2)&lt;&gt;"",INDEX('×入力'!$A$1:$L$1300,1238,2+ED$2)&lt;&gt;"",INDEX('×入力'!$A$1:$L$1300,1239+ED$3,1)&lt;&gt;""),1,0),0)</f>
        <v/>
      </c>
      <c r="EE54">
        <f>IF(EE$4=1,IF(OR(INDEX('×入力'!$A$1:$L$1300,1239+EE$3,2+EE$2)&lt;&gt;"",INDEX('×入力'!$A$1:$L$1300,1238,2+EE$2)&lt;&gt;"",INDEX('×入力'!$A$1:$L$1300,1239+EE$3,1)&lt;&gt;""),1,0),0)</f>
        <v/>
      </c>
      <c r="EF54">
        <f>IF(EF$4=1,IF(OR(INDEX('×入力'!$A$1:$L$1300,1239+EF$3,2+EF$2)&lt;&gt;"",INDEX('×入力'!$A$1:$L$1300,1238,2+EF$2)&lt;&gt;"",INDEX('×入力'!$A$1:$L$1300,1239+EF$3,1)&lt;&gt;""),1,0),0)</f>
        <v/>
      </c>
      <c r="EG54">
        <f>IF(EG$4=1,IF(OR(INDEX('×入力'!$A$1:$L$1300,1239+EG$3,2+EG$2)&lt;&gt;"",INDEX('×入力'!$A$1:$L$1300,1238,2+EG$2)&lt;&gt;"",INDEX('×入力'!$A$1:$L$1300,1239+EG$3,1)&lt;&gt;""),1,0),0)</f>
        <v/>
      </c>
      <c r="EH54">
        <f>IF(EH$4=1,IF(OR(INDEX('×入力'!$A$1:$L$1300,1239+EH$3,2+EH$2)&lt;&gt;"",INDEX('×入力'!$A$1:$L$1300,1238,2+EH$2)&lt;&gt;"",INDEX('×入力'!$A$1:$L$1300,1239+EH$3,1)&lt;&gt;""),1,0),0)</f>
        <v/>
      </c>
      <c r="EI54">
        <f>IF(EI$4=1,IF(OR(INDEX('×入力'!$A$1:$L$1300,1239+EI$3,2+EI$2)&lt;&gt;"",INDEX('×入力'!$A$1:$L$1300,1238,2+EI$2)&lt;&gt;"",INDEX('×入力'!$A$1:$L$1300,1239+EI$3,1)&lt;&gt;""),1,0),0)</f>
        <v/>
      </c>
      <c r="EJ54">
        <f>IF(EJ$4=1,IF(OR(INDEX('×入力'!$A$1:$L$1300,1239+EJ$3,2+EJ$2)&lt;&gt;"",INDEX('×入力'!$A$1:$L$1300,1238,2+EJ$2)&lt;&gt;"",INDEX('×入力'!$A$1:$L$1300,1239+EJ$3,1)&lt;&gt;""),1,0),0)</f>
        <v/>
      </c>
      <c r="EK54">
        <f>IF(EK$4=1,IF(OR(INDEX('×入力'!$A$1:$L$1300,1239+EK$3,2+EK$2)&lt;&gt;"",INDEX('×入力'!$A$1:$L$1300,1238,2+EK$2)&lt;&gt;"",INDEX('×入力'!$A$1:$L$1300,1239+EK$3,1)&lt;&gt;""),1,0),0)</f>
        <v/>
      </c>
      <c r="EL54">
        <f>IF(EL$4=1,IF(OR(INDEX('×入力'!$A$1:$L$1300,1239+EL$3,2+EL$2)&lt;&gt;"",INDEX('×入力'!$A$1:$L$1300,1238,2+EL$2)&lt;&gt;"",INDEX('×入力'!$A$1:$L$1300,1239+EL$3,1)&lt;&gt;""),1,0),0)</f>
        <v/>
      </c>
      <c r="EM54">
        <f>IF(EM$4=1,IF(OR(INDEX('×入力'!$A$1:$L$1300,1239+EM$3,2+EM$2)&lt;&gt;"",INDEX('×入力'!$A$1:$L$1300,1238,2+EM$2)&lt;&gt;"",INDEX('×入力'!$A$1:$L$1300,1239+EM$3,1)&lt;&gt;""),1,0),0)</f>
        <v/>
      </c>
      <c r="EN54">
        <f>IF(EN$4=1,IF(OR(INDEX('×入力'!$A$1:$L$1300,1239+EN$3,2+EN$2)&lt;&gt;"",INDEX('×入力'!$A$1:$L$1300,1238,2+EN$2)&lt;&gt;"",INDEX('×入力'!$A$1:$L$1300,1239+EN$3,1)&lt;&gt;""),1,0),0)</f>
        <v/>
      </c>
      <c r="EO54">
        <f>IF(EO$4=1,IF(OR(INDEX('×入力'!$A$1:$L$1300,1239+EO$3,2+EO$2)&lt;&gt;"",INDEX('×入力'!$A$1:$L$1300,1238,2+EO$2)&lt;&gt;"",INDEX('×入力'!$A$1:$L$1300,1239+EO$3,1)&lt;&gt;""),1,0),0)</f>
        <v/>
      </c>
      <c r="EP54">
        <f>IF(EP$4=1,IF(OR(INDEX('×入力'!$A$1:$L$1300,1239+EP$3,2+EP$2)&lt;&gt;"",INDEX('×入力'!$A$1:$L$1300,1238,2+EP$2)&lt;&gt;"",INDEX('×入力'!$A$1:$L$1300,1239+EP$3,1)&lt;&gt;""),1,0),0)</f>
        <v/>
      </c>
      <c r="EQ54">
        <f>IF(EQ$4=1,IF(OR(INDEX('×入力'!$A$1:$L$1300,1239+EQ$3,2+EQ$2)&lt;&gt;"",INDEX('×入力'!$A$1:$L$1300,1238,2+EQ$2)&lt;&gt;"",INDEX('×入力'!$A$1:$L$1300,1239+EQ$3,1)&lt;&gt;""),1,0),0)</f>
        <v/>
      </c>
      <c r="ER54">
        <f>IF(ER$4=1,IF(OR(INDEX('×入力'!$A$1:$L$1300,1239+ER$3,2+ER$2)&lt;&gt;"",INDEX('×入力'!$A$1:$L$1300,1238,2+ER$2)&lt;&gt;"",INDEX('×入力'!$A$1:$L$1300,1239+ER$3,1)&lt;&gt;""),1,0),0)</f>
        <v/>
      </c>
      <c r="ES54">
        <f>IF(ES$4=1,IF(OR(INDEX('×入力'!$A$1:$L$1300,1239+ES$3,2+ES$2)&lt;&gt;"",INDEX('×入力'!$A$1:$L$1300,1238,2+ES$2)&lt;&gt;"",INDEX('×入力'!$A$1:$L$1300,1239+ES$3,1)&lt;&gt;""),1,0),0)</f>
        <v/>
      </c>
      <c r="ET54">
        <f>IF(ET$4=1,IF(OR(INDEX('×入力'!$A$1:$L$1300,1239+ET$3,2+ET$2)&lt;&gt;"",INDEX('×入力'!$A$1:$L$1300,1238,2+ET$2)&lt;&gt;"",INDEX('×入力'!$A$1:$L$1300,1239+ET$3,1)&lt;&gt;""),1,0),0)</f>
        <v/>
      </c>
      <c r="EU54">
        <f>IF(EU$4=1,IF(OR(INDEX('×入力'!$A$1:$L$1300,1239+EU$3,2+EU$2)&lt;&gt;"",INDEX('×入力'!$A$1:$L$1300,1238,2+EU$2)&lt;&gt;"",INDEX('×入力'!$A$1:$L$1300,1239+EU$3,1)&lt;&gt;""),1,0),0)</f>
        <v/>
      </c>
      <c r="EV54">
        <f>IF(EV$4=1,IF(OR(INDEX('×入力'!$A$1:$L$1300,1239+EV$3,2+EV$2)&lt;&gt;"",INDEX('×入力'!$A$1:$L$1300,1238,2+EV$2)&lt;&gt;"",INDEX('×入力'!$A$1:$L$1300,1239+EV$3,1)&lt;&gt;""),1,0),0)</f>
        <v/>
      </c>
      <c r="EW54">
        <f>IF(EW$4=1,IF(OR(INDEX('×入力'!$A$1:$L$1300,1239+EW$3,2+EW$2)&lt;&gt;"",INDEX('×入力'!$A$1:$L$1300,1238,2+EW$2)&lt;&gt;"",INDEX('×入力'!$A$1:$L$1300,1239+EW$3,1)&lt;&gt;""),1,0),0)</f>
        <v/>
      </c>
      <c r="EX54">
        <f>IF(EX$4=1,IF(OR(INDEX('×入力'!$A$1:$L$1300,1239+EX$3,2+EX$2)&lt;&gt;"",INDEX('×入力'!$A$1:$L$1300,1238,2+EX$2)&lt;&gt;"",INDEX('×入力'!$A$1:$L$1300,1239+EX$3,1)&lt;&gt;""),1,0),0)</f>
        <v/>
      </c>
      <c r="EY54">
        <f>IF(EY$4=1,IF(OR(INDEX('×入力'!$A$1:$L$1300,1239+EY$3,2+EY$2)&lt;&gt;"",INDEX('×入力'!$A$1:$L$1300,1238,2+EY$2)&lt;&gt;"",INDEX('×入力'!$A$1:$L$1300,1239+EY$3,1)&lt;&gt;""),1,0),0)</f>
        <v/>
      </c>
      <c r="EZ54">
        <f>IF(EZ$4=1,IF(OR(INDEX('×入力'!$A$1:$L$1300,1239+EZ$3,2+EZ$2)&lt;&gt;"",INDEX('×入力'!$A$1:$L$1300,1238,2+EZ$2)&lt;&gt;"",INDEX('×入力'!$A$1:$L$1300,1239+EZ$3,1)&lt;&gt;""),1,0),0)</f>
        <v/>
      </c>
      <c r="FA54">
        <f>IF(FA$4=1,IF(OR(INDEX('×入力'!$A$1:$L$1300,1239+FA$3,2+FA$2)&lt;&gt;"",INDEX('×入力'!$A$1:$L$1300,1238,2+FA$2)&lt;&gt;"",INDEX('×入力'!$A$1:$L$1300,1239+FA$3,1)&lt;&gt;""),1,0),0)</f>
        <v/>
      </c>
      <c r="FB54">
        <f>IF(FB$4=1,IF(OR(INDEX('×入力'!$A$1:$L$1300,1239+FB$3,2+FB$2)&lt;&gt;"",INDEX('×入力'!$A$1:$L$1300,1238,2+FB$2)&lt;&gt;"",INDEX('×入力'!$A$1:$L$1300,1239+FB$3,1)&lt;&gt;""),1,0),0)</f>
        <v/>
      </c>
      <c r="FC54">
        <f>IF(FC$4=1,IF(OR(INDEX('×入力'!$A$1:$L$1300,1239+FC$3,2+FC$2)&lt;&gt;"",INDEX('×入力'!$A$1:$L$1300,1238,2+FC$2)&lt;&gt;"",INDEX('×入力'!$A$1:$L$1300,1239+FC$3,1)&lt;&gt;""),1,0),0)</f>
        <v/>
      </c>
      <c r="FD54">
        <f>IF(FD$4=1,IF(OR(INDEX('×入力'!$A$1:$L$1300,1239+FD$3,2+FD$2)&lt;&gt;"",INDEX('×入力'!$A$1:$L$1300,1238,2+FD$2)&lt;&gt;"",INDEX('×入力'!$A$1:$L$1300,1239+FD$3,1)&lt;&gt;""),1,0),0)</f>
        <v/>
      </c>
      <c r="FE54">
        <f>IF(FE$4=1,IF(OR(INDEX('×入力'!$A$1:$L$1300,1239+FE$3,2+FE$2)&lt;&gt;"",INDEX('×入力'!$A$1:$L$1300,1238,2+FE$2)&lt;&gt;"",INDEX('×入力'!$A$1:$L$1300,1239+FE$3,1)&lt;&gt;""),1,0),0)</f>
        <v/>
      </c>
      <c r="FF54">
        <f>IF(FF$4=1,IF(OR(INDEX('×入力'!$A$1:$L$1300,1239+FF$3,2+FF$2)&lt;&gt;"",INDEX('×入力'!$A$1:$L$1300,1238,2+FF$2)&lt;&gt;"",INDEX('×入力'!$A$1:$L$1300,1239+FF$3,1)&lt;&gt;""),1,0),0)</f>
        <v/>
      </c>
      <c r="FG54">
        <f>IF(FG$4=1,IF(OR(INDEX('×入力'!$A$1:$L$1300,1239+FG$3,2+FG$2)&lt;&gt;"",INDEX('×入力'!$A$1:$L$1300,1238,2+FG$2)&lt;&gt;"",INDEX('×入力'!$A$1:$L$1300,1239+FG$3,1)&lt;&gt;""),1,0),0)</f>
        <v/>
      </c>
      <c r="FH54">
        <f>IF(FH$4=1,IF(OR(INDEX('×入力'!$A$1:$L$1300,1239+FH$3,2+FH$2)&lt;&gt;"",INDEX('×入力'!$A$1:$L$1300,1238,2+FH$2)&lt;&gt;"",INDEX('×入力'!$A$1:$L$1300,1239+FH$3,1)&lt;&gt;""),1,0),0)</f>
        <v/>
      </c>
      <c r="FI54">
        <f>IF(FI$4=1,IF(OR(INDEX('×入力'!$A$1:$L$1300,1239+FI$3,2+FI$2)&lt;&gt;"",INDEX('×入力'!$A$1:$L$1300,1238,2+FI$2)&lt;&gt;"",INDEX('×入力'!$A$1:$L$1300,1239+FI$3,1)&lt;&gt;""),1,0),0)</f>
        <v/>
      </c>
      <c r="FJ54">
        <f>IF(FJ$4=1,IF(OR(INDEX('×入力'!$A$1:$L$1300,1239+FJ$3,2+FJ$2)&lt;&gt;"",INDEX('×入力'!$A$1:$L$1300,1238,2+FJ$2)&lt;&gt;"",INDEX('×入力'!$A$1:$L$1300,1239+FJ$3,1)&lt;&gt;""),1,0),0)</f>
        <v/>
      </c>
      <c r="FK54">
        <f>IF(FK$4=1,IF(OR(INDEX('×入力'!$A$1:$L$1300,1239+FK$3,2+FK$2)&lt;&gt;"",INDEX('×入力'!$A$1:$L$1300,1238,2+FK$2)&lt;&gt;"",INDEX('×入力'!$A$1:$L$1300,1239+FK$3,1)&lt;&gt;""),1,0),0)</f>
        <v/>
      </c>
      <c r="FL54">
        <f>IF(FL$4=1,IF(OR(INDEX('×入力'!$A$1:$L$1300,1239+FL$3,2+FL$2)&lt;&gt;"",INDEX('×入力'!$A$1:$L$1300,1238,2+FL$2)&lt;&gt;"",INDEX('×入力'!$A$1:$L$1300,1239+FL$3,1)&lt;&gt;""),1,0),0)</f>
        <v/>
      </c>
      <c r="FM54">
        <f>IF(FM$4=1,IF(OR(INDEX('×入力'!$A$1:$L$1300,1239+FM$3,2+FM$2)&lt;&gt;"",INDEX('×入力'!$A$1:$L$1300,1238,2+FM$2)&lt;&gt;"",INDEX('×入力'!$A$1:$L$1300,1239+FM$3,1)&lt;&gt;""),1,0),0)</f>
        <v/>
      </c>
      <c r="FN54">
        <f>IF(FN$4=1,IF(OR(INDEX('×入力'!$A$1:$L$1300,1239+FN$3,2+FN$2)&lt;&gt;"",INDEX('×入力'!$A$1:$L$1300,1238,2+FN$2)&lt;&gt;"",INDEX('×入力'!$A$1:$L$1300,1239+FN$3,1)&lt;&gt;""),1,0),0)</f>
        <v/>
      </c>
      <c r="FO54">
        <f>IF(FO$4=1,IF(OR(INDEX('×入力'!$A$1:$L$1300,1239+FO$3,2+FO$2)&lt;&gt;"",INDEX('×入力'!$A$1:$L$1300,1238,2+FO$2)&lt;&gt;"",INDEX('×入力'!$A$1:$L$1300,1239+FO$3,1)&lt;&gt;""),1,0),0)</f>
        <v/>
      </c>
      <c r="FP54">
        <f>IF(FP$4=1,IF(OR(INDEX('×入力'!$A$1:$L$1300,1239+FP$3,2+FP$2)&lt;&gt;"",INDEX('×入力'!$A$1:$L$1300,1238,2+FP$2)&lt;&gt;"",INDEX('×入力'!$A$1:$L$1300,1239+FP$3,1)&lt;&gt;""),1,0),0)</f>
        <v/>
      </c>
      <c r="FQ54">
        <f>IF(FQ$4=1,IF(OR(INDEX('×入力'!$A$1:$L$1300,1239+FQ$3,2+FQ$2)&lt;&gt;"",INDEX('×入力'!$A$1:$L$1300,1238,2+FQ$2)&lt;&gt;"",INDEX('×入力'!$A$1:$L$1300,1239+FQ$3,1)&lt;&gt;""),1,0),0)</f>
        <v/>
      </c>
      <c r="FR54">
        <f>IF(FR$4=1,IF(OR(INDEX('×入力'!$A$1:$L$1300,1239+FR$3,2+FR$2)&lt;&gt;"",INDEX('×入力'!$A$1:$L$1300,1238,2+FR$2)&lt;&gt;"",INDEX('×入力'!$A$1:$L$1300,1239+FR$3,1)&lt;&gt;""),1,0),0)</f>
        <v/>
      </c>
      <c r="FS54">
        <f>IF(FS$4=1,IF(OR(INDEX('×入力'!$A$1:$L$1300,1239+FS$3,2+FS$2)&lt;&gt;"",INDEX('×入力'!$A$1:$L$1300,1238,2+FS$2)&lt;&gt;"",INDEX('×入力'!$A$1:$L$1300,1239+FS$3,1)&lt;&gt;""),1,0),0)</f>
        <v/>
      </c>
      <c r="FT54">
        <f>IF(FT$4=1,IF(OR(INDEX('×入力'!$A$1:$L$1300,1239+FT$3,2+FT$2)&lt;&gt;"",INDEX('×入力'!$A$1:$L$1300,1238,2+FT$2)&lt;&gt;"",INDEX('×入力'!$A$1:$L$1300,1239+FT$3,1)&lt;&gt;""),1,0),0)</f>
        <v/>
      </c>
      <c r="FU54">
        <f>IF(FU$4=1,IF(OR(INDEX('×入力'!$A$1:$L$1300,1239+FU$3,2+FU$2)&lt;&gt;"",INDEX('×入力'!$A$1:$L$1300,1238,2+FU$2)&lt;&gt;"",INDEX('×入力'!$A$1:$L$1300,1239+FU$3,1)&lt;&gt;""),1,0),0)</f>
        <v/>
      </c>
      <c r="FV54">
        <f>IF(FV$4=1,IF(OR(INDEX('×入力'!$A$1:$L$1300,1239+FV$3,2+FV$2)&lt;&gt;"",INDEX('×入力'!$A$1:$L$1300,1238,2+FV$2)&lt;&gt;"",INDEX('×入力'!$A$1:$L$1300,1239+FV$3,1)&lt;&gt;""),1,0),0)</f>
        <v/>
      </c>
      <c r="FW54">
        <f>IF(FW$4=1,IF(OR(INDEX('×入力'!$A$1:$L$1300,1239+FW$3,2+FW$2)&lt;&gt;"",INDEX('×入力'!$A$1:$L$1300,1238,2+FW$2)&lt;&gt;"",INDEX('×入力'!$A$1:$L$1300,1239+FW$3,1)&lt;&gt;""),1,0),0)</f>
        <v/>
      </c>
      <c r="FX54">
        <f>IF(FX$4=1,IF(OR(INDEX('×入力'!$A$1:$L$1300,1239+FX$3,2+FX$2)&lt;&gt;"",INDEX('×入力'!$A$1:$L$1300,1238,2+FX$2)&lt;&gt;"",INDEX('×入力'!$A$1:$L$1300,1239+FX$3,1)&lt;&gt;""),1,0),0)</f>
        <v/>
      </c>
      <c r="FY54">
        <f>IF(FY$4=1,IF(OR(INDEX('×入力'!$A$1:$L$1300,1239+FY$3,2+FY$2)&lt;&gt;"",INDEX('×入力'!$A$1:$L$1300,1238,2+FY$2)&lt;&gt;"",INDEX('×入力'!$A$1:$L$1300,1239+FY$3,1)&lt;&gt;""),1,0),0)</f>
        <v/>
      </c>
      <c r="FZ54">
        <f>IF(FZ$4=1,IF(OR(INDEX('×入力'!$A$1:$L$1300,1239+FZ$3,2+FZ$2)&lt;&gt;"",INDEX('×入力'!$A$1:$L$1300,1238,2+FZ$2)&lt;&gt;"",INDEX('×入力'!$A$1:$L$1300,1239+FZ$3,1)&lt;&gt;""),1,0),0)</f>
        <v/>
      </c>
      <c r="GA54">
        <f>IF(GA$4=1,IF(OR(INDEX('×入力'!$A$1:$L$1300,1239+GA$3,2+GA$2)&lt;&gt;"",INDEX('×入力'!$A$1:$L$1300,1238,2+GA$2)&lt;&gt;"",INDEX('×入力'!$A$1:$L$1300,1239+GA$3,1)&lt;&gt;""),1,0),0)</f>
        <v/>
      </c>
      <c r="GB54">
        <f>IF(GB$4=1,IF(OR(INDEX('×入力'!$A$1:$L$1300,1239+GB$3,2+GB$2)&lt;&gt;"",INDEX('×入力'!$A$1:$L$1300,1238,2+GB$2)&lt;&gt;"",INDEX('×入力'!$A$1:$L$1300,1239+GB$3,1)&lt;&gt;""),1,0),0)</f>
        <v/>
      </c>
      <c r="GC54">
        <f>IF(GC$4=1,IF(OR(INDEX('×入力'!$A$1:$L$1300,1239+GC$3,2+GC$2)&lt;&gt;"",INDEX('×入力'!$A$1:$L$1300,1238,2+GC$2)&lt;&gt;"",INDEX('×入力'!$A$1:$L$1300,1239+GC$3,1)&lt;&gt;""),1,0),0)</f>
        <v/>
      </c>
      <c r="GD54">
        <f>IF(GD$4=1,IF(OR(INDEX('×入力'!$A$1:$L$1300,1239+GD$3,2+GD$2)&lt;&gt;"",INDEX('×入力'!$A$1:$L$1300,1238,2+GD$2)&lt;&gt;"",INDEX('×入力'!$A$1:$L$1300,1239+GD$3,1)&lt;&gt;""),1,0),0)</f>
        <v/>
      </c>
      <c r="GE54">
        <f>IF(GE$4=1,IF(OR(INDEX('×入力'!$A$1:$L$1300,1239+GE$3,2+GE$2)&lt;&gt;"",INDEX('×入力'!$A$1:$L$1300,1238,2+GE$2)&lt;&gt;"",INDEX('×入力'!$A$1:$L$1300,1239+GE$3,1)&lt;&gt;""),1,0),0)</f>
        <v/>
      </c>
      <c r="GF54">
        <f>IF(GF$4=1,IF(OR(INDEX('×入力'!$A$1:$L$1300,1239+GF$3,2+GF$2)&lt;&gt;"",INDEX('×入力'!$A$1:$L$1300,1238,2+GF$2)&lt;&gt;"",INDEX('×入力'!$A$1:$L$1300,1239+GF$3,1)&lt;&gt;""),1,0),0)</f>
        <v/>
      </c>
      <c r="GG54">
        <f>IF(GG$4=1,IF(OR(INDEX('×入力'!$A$1:$L$1300,1239+GG$3,2+GG$2)&lt;&gt;"",INDEX('×入力'!$A$1:$L$1300,1238,2+GG$2)&lt;&gt;"",INDEX('×入力'!$A$1:$L$1300,1239+GG$3,1)&lt;&gt;""),1,0),0)</f>
        <v/>
      </c>
      <c r="GH54">
        <f>IF(GH$4=1,IF(OR(INDEX('×入力'!$A$1:$L$1300,1239+GH$3,2+GH$2)&lt;&gt;"",INDEX('×入力'!$A$1:$L$1300,1238,2+GH$2)&lt;&gt;"",INDEX('×入力'!$A$1:$L$1300,1239+GH$3,1)&lt;&gt;""),1,0),0)</f>
        <v/>
      </c>
      <c r="GI54">
        <f>IF(GI$4=1,IF(OR(INDEX('×入力'!$A$1:$L$1300,1239+GI$3,2+GI$2)&lt;&gt;"",INDEX('×入力'!$A$1:$L$1300,1238,2+GI$2)&lt;&gt;"",INDEX('×入力'!$A$1:$L$1300,1239+GI$3,1)&lt;&gt;""),1,0),0)</f>
        <v/>
      </c>
      <c r="GJ54">
        <f>IF(GJ$4=1,IF(OR(INDEX('×入力'!$A$1:$L$1300,1239+GJ$3,2+GJ$2)&lt;&gt;"",INDEX('×入力'!$A$1:$L$1300,1238,2+GJ$2)&lt;&gt;"",INDEX('×入力'!$A$1:$L$1300,1239+GJ$3,1)&lt;&gt;""),1,0),0)</f>
        <v/>
      </c>
      <c r="GK54">
        <f>IF(GK$4=1,IF(OR(INDEX('×入力'!$A$1:$L$1300,1239+GK$3,2+GK$2)&lt;&gt;"",INDEX('×入力'!$A$1:$L$1300,1238,2+GK$2)&lt;&gt;"",INDEX('×入力'!$A$1:$L$1300,1239+GK$3,1)&lt;&gt;""),1,0),0)</f>
        <v/>
      </c>
      <c r="GL54">
        <f>IF(GL$4=1,IF(OR(INDEX('×入力'!$A$1:$L$1300,1239+GL$3,2+GL$2)&lt;&gt;"",INDEX('×入力'!$A$1:$L$1300,1238,2+GL$2)&lt;&gt;"",INDEX('×入力'!$A$1:$L$1300,1239+GL$3,1)&lt;&gt;""),1,0),0)</f>
        <v/>
      </c>
      <c r="GM54">
        <f>IF(GM$4=1,IF(OR(INDEX('×入力'!$A$1:$L$1300,1239+GM$3,2+GM$2)&lt;&gt;"",INDEX('×入力'!$A$1:$L$1300,1238,2+GM$2)&lt;&gt;"",INDEX('×入力'!$A$1:$L$1300,1239+GM$3,1)&lt;&gt;""),1,0),0)</f>
        <v/>
      </c>
      <c r="GN54">
        <f>IF(GN$4=1,IF(OR(INDEX('×入力'!$A$1:$L$1300,1239+GN$3,2+GN$2)&lt;&gt;"",INDEX('×入力'!$A$1:$L$1300,1238,2+GN$2)&lt;&gt;"",INDEX('×入力'!$A$1:$L$1300,1239+GN$3,1)&lt;&gt;""),1,0),0)</f>
        <v/>
      </c>
      <c r="GO54">
        <f>IF(GO$4=1,IF(OR(INDEX('×入力'!$A$1:$L$1300,1239+GO$3,2+GO$2)&lt;&gt;"",INDEX('×入力'!$A$1:$L$1300,1238,2+GO$2)&lt;&gt;"",INDEX('×入力'!$A$1:$L$1300,1239+GO$3,1)&lt;&gt;""),1,0),0)</f>
        <v/>
      </c>
      <c r="GP54">
        <f>IF(GP$4=1,IF(OR(INDEX('×入力'!$A$1:$L$1300,1239+GP$3,2+GP$2)&lt;&gt;"",INDEX('×入力'!$A$1:$L$1300,1238,2+GP$2)&lt;&gt;"",INDEX('×入力'!$A$1:$L$1300,1239+GP$3,1)&lt;&gt;""),1,0),0)</f>
        <v/>
      </c>
      <c r="GQ54">
        <f>IF(GQ$4=1,IF(OR(INDEX('×入力'!$A$1:$L$1300,1239+GQ$3,2+GQ$2)&lt;&gt;"",INDEX('×入力'!$A$1:$L$1300,1238,2+GQ$2)&lt;&gt;"",INDEX('×入力'!$A$1:$L$1300,1239+GQ$3,1)&lt;&gt;""),1,0),0)</f>
        <v/>
      </c>
      <c r="GR54">
        <f>IF(GR$4=1,IF(OR(INDEX('×入力'!$A$1:$L$1300,1239+GR$3,2+GR$2)&lt;&gt;"",INDEX('×入力'!$A$1:$L$1300,1238,2+GR$2)&lt;&gt;"",INDEX('×入力'!$A$1:$L$1300,1239+GR$3,1)&lt;&gt;""),1,0),0)</f>
        <v/>
      </c>
      <c r="GS54">
        <f>IF(GS$4=1,IF(OR(INDEX('×入力'!$A$1:$L$1300,1239+GS$3,2+GS$2)&lt;&gt;"",INDEX('×入力'!$A$1:$L$1300,1238,2+GS$2)&lt;&gt;"",INDEX('×入力'!$A$1:$L$1300,1239+GS$3,1)&lt;&gt;""),1,0),0)</f>
        <v/>
      </c>
      <c r="GT54">
        <f>IF(GT$4=1,IF(OR(INDEX('×入力'!$A$1:$L$1300,1239+GT$3,2+GT$2)&lt;&gt;"",INDEX('×入力'!$A$1:$L$1300,1238,2+GT$2)&lt;&gt;"",INDEX('×入力'!$A$1:$L$1300,1239+GT$3,1)&lt;&gt;""),1,0),0)</f>
        <v/>
      </c>
      <c r="GU54">
        <f>IF(GU$4=1,IF(OR(INDEX('×入力'!$A$1:$L$1300,1239+GU$3,2+GU$2)&lt;&gt;"",INDEX('×入力'!$A$1:$L$1300,1238,2+GU$2)&lt;&gt;"",INDEX('×入力'!$A$1:$L$1300,1239+GU$3,1)&lt;&gt;""),1,0),0)</f>
        <v/>
      </c>
      <c r="GV54">
        <f>IF(GV$4=1,IF(OR(INDEX('×入力'!$A$1:$L$1300,1239+GV$3,2+GV$2)&lt;&gt;"",INDEX('×入力'!$A$1:$L$1300,1238,2+GV$2)&lt;&gt;"",INDEX('×入力'!$A$1:$L$1300,1239+GV$3,1)&lt;&gt;""),1,0),0)</f>
        <v/>
      </c>
      <c r="GW54">
        <f>IF(GW$4=1,IF(OR(INDEX('×入力'!$A$1:$L$1300,1239+GW$3,2+GW$2)&lt;&gt;"",INDEX('×入力'!$A$1:$L$1300,1238,2+GW$2)&lt;&gt;"",INDEX('×入力'!$A$1:$L$1300,1239+GW$3,1)&lt;&gt;""),1,0),0)</f>
        <v/>
      </c>
      <c r="GX54">
        <f>IF(GX$4=1,IF(OR(INDEX('×入力'!$A$1:$L$1300,1239+GX$3,2+GX$2)&lt;&gt;"",INDEX('×入力'!$A$1:$L$1300,1238,2+GX$2)&lt;&gt;"",INDEX('×入力'!$A$1:$L$1300,1239+GX$3,1)&lt;&gt;""),1,0),0)</f>
        <v/>
      </c>
      <c r="GY54">
        <f>IF(GY$4=1,IF(OR(INDEX('×入力'!$A$1:$L$1300,1239+GY$3,2+GY$2)&lt;&gt;"",INDEX('×入力'!$A$1:$L$1300,1238,2+GY$2)&lt;&gt;"",INDEX('×入力'!$A$1:$L$1300,1239+GY$3,1)&lt;&gt;""),1,0),0)</f>
        <v/>
      </c>
      <c r="GZ54">
        <f>IF(GZ$4=1,IF(OR(INDEX('×入力'!$A$1:$L$1300,1239+GZ$3,2+GZ$2)&lt;&gt;"",INDEX('×入力'!$A$1:$L$1300,1238,2+GZ$2)&lt;&gt;"",INDEX('×入力'!$A$1:$L$1300,1239+GZ$3,1)&lt;&gt;""),1,0),0)</f>
        <v/>
      </c>
      <c r="HA54">
        <f>IF(HA$4=1,IF(OR(INDEX('×入力'!$A$1:$L$1300,1239+HA$3,2+HA$2)&lt;&gt;"",INDEX('×入力'!$A$1:$L$1300,1238,2+HA$2)&lt;&gt;"",INDEX('×入力'!$A$1:$L$1300,1239+HA$3,1)&lt;&gt;""),1,0),0)</f>
        <v/>
      </c>
      <c r="HB54">
        <f>IF(HB$4=1,IF(OR(INDEX('×入力'!$A$1:$L$1300,1239+HB$3,2+HB$2)&lt;&gt;"",INDEX('×入力'!$A$1:$L$1300,1238,2+HB$2)&lt;&gt;"",INDEX('×入力'!$A$1:$L$1300,1239+HB$3,1)&lt;&gt;""),1,0),0)</f>
        <v/>
      </c>
      <c r="HC54">
        <f>IF(HC$4=1,IF(OR(INDEX('×入力'!$A$1:$L$1300,1239+HC$3,2+HC$2)&lt;&gt;"",INDEX('×入力'!$A$1:$L$1300,1238,2+HC$2)&lt;&gt;"",INDEX('×入力'!$A$1:$L$1300,1239+HC$3,1)&lt;&gt;""),1,0),0)</f>
        <v/>
      </c>
      <c r="HD54">
        <f>IF(HD$4=1,IF(OR(INDEX('×入力'!$A$1:$L$1300,1239+HD$3,2+HD$2)&lt;&gt;"",INDEX('×入力'!$A$1:$L$1300,1238,2+HD$2)&lt;&gt;"",INDEX('×入力'!$A$1:$L$1300,1239+HD$3,1)&lt;&gt;""),1,0),0)</f>
        <v/>
      </c>
      <c r="HE54">
        <f>IF(HE$4=1,IF(OR(INDEX('×入力'!$A$1:$L$1300,1239+HE$3,2+HE$2)&lt;&gt;"",INDEX('×入力'!$A$1:$L$1300,1238,2+HE$2)&lt;&gt;"",INDEX('×入力'!$A$1:$L$1300,1239+HE$3,1)&lt;&gt;""),1,0),0)</f>
        <v/>
      </c>
      <c r="HF54">
        <f>IF(HF$4=1,IF(OR(INDEX('×入力'!$A$1:$L$1300,1239+HF$3,2+HF$2)&lt;&gt;"",INDEX('×入力'!$A$1:$L$1300,1238,2+HF$2)&lt;&gt;"",INDEX('×入力'!$A$1:$L$1300,1239+HF$3,1)&lt;&gt;""),1,0),0)</f>
        <v/>
      </c>
      <c r="HG54">
        <f>IF(HG$4=1,IF(OR(INDEX('×入力'!$A$1:$L$1300,1239+HG$3,2+HG$2)&lt;&gt;"",INDEX('×入力'!$A$1:$L$1300,1238,2+HG$2)&lt;&gt;"",INDEX('×入力'!$A$1:$L$1300,1239+HG$3,1)&lt;&gt;""),1,0),0)</f>
        <v/>
      </c>
      <c r="HH54">
        <f>IF(HH$4=1,IF(OR(INDEX('×入力'!$A$1:$L$1300,1239+HH$3,2+HH$2)&lt;&gt;"",INDEX('×入力'!$A$1:$L$1300,1238,2+HH$2)&lt;&gt;"",INDEX('×入力'!$A$1:$L$1300,1239+HH$3,1)&lt;&gt;""),1,0),0)</f>
        <v/>
      </c>
      <c r="HI54">
        <f>IF(HI$4=1,IF(OR(INDEX('×入力'!$A$1:$L$1300,1239+HI$3,2+HI$2)&lt;&gt;"",INDEX('×入力'!$A$1:$L$1300,1238,2+HI$2)&lt;&gt;"",INDEX('×入力'!$A$1:$L$1300,1239+HI$3,1)&lt;&gt;""),1,0),0)</f>
        <v/>
      </c>
      <c r="HJ54">
        <f>IF(HJ$4=1,IF(OR(INDEX('×入力'!$A$1:$L$1300,1239+HJ$3,2+HJ$2)&lt;&gt;"",INDEX('×入力'!$A$1:$L$1300,1238,2+HJ$2)&lt;&gt;"",INDEX('×入力'!$A$1:$L$1300,1239+HJ$3,1)&lt;&gt;""),1,0),0)</f>
        <v/>
      </c>
      <c r="HK54">
        <f>IF(HK$4=1,IF(OR(INDEX('×入力'!$A$1:$L$1300,1239+HK$3,2+HK$2)&lt;&gt;"",INDEX('×入力'!$A$1:$L$1300,1238,2+HK$2)&lt;&gt;"",INDEX('×入力'!$A$1:$L$1300,1239+HK$3,1)&lt;&gt;""),1,0),0)</f>
        <v/>
      </c>
      <c r="HL54">
        <f>IF(HL$4=1,IF(OR(INDEX('×入力'!$A$1:$L$1300,1239+HL$3,2+HL$2)&lt;&gt;"",INDEX('×入力'!$A$1:$L$1300,1238,2+HL$2)&lt;&gt;"",INDEX('×入力'!$A$1:$L$1300,1239+HL$3,1)&lt;&gt;""),1,0),0)</f>
        <v/>
      </c>
      <c r="HM54">
        <f>IF(HM$4=1,IF(OR(INDEX('×入力'!$A$1:$L$1300,1239+HM$3,2+HM$2)&lt;&gt;"",INDEX('×入力'!$A$1:$L$1300,1238,2+HM$2)&lt;&gt;"",INDEX('×入力'!$A$1:$L$1300,1239+HM$3,1)&lt;&gt;""),1,0),0)</f>
        <v/>
      </c>
      <c r="HN54">
        <f>IF(HN$4=1,IF(OR(INDEX('×入力'!$A$1:$L$1300,1239+HN$3,2+HN$2)&lt;&gt;"",INDEX('×入力'!$A$1:$L$1300,1238,2+HN$2)&lt;&gt;"",INDEX('×入力'!$A$1:$L$1300,1239+HN$3,1)&lt;&gt;""),1,0),0)</f>
        <v/>
      </c>
      <c r="HO54">
        <f>IF(HO$4=1,IF(OR(INDEX('×入力'!$A$1:$L$1300,1239+HO$3,2+HO$2)&lt;&gt;"",INDEX('×入力'!$A$1:$L$1300,1238,2+HO$2)&lt;&gt;"",INDEX('×入力'!$A$1:$L$1300,1239+HO$3,1)&lt;&gt;""),1,0),0)</f>
        <v/>
      </c>
      <c r="HP54">
        <f>IF(HP$4=1,IF(OR(INDEX('×入力'!$A$1:$L$1300,1239+HP$3,2+HP$2)&lt;&gt;"",INDEX('×入力'!$A$1:$L$1300,1238,2+HP$2)&lt;&gt;"",INDEX('×入力'!$A$1:$L$1300,1239+HP$3,1)&lt;&gt;""),1,0),0)</f>
        <v/>
      </c>
      <c r="HQ54">
        <f>IF(HQ$4=1,IF(OR(INDEX('×入力'!$A$1:$L$1300,1239+HQ$3,2+HQ$2)&lt;&gt;"",INDEX('×入力'!$A$1:$L$1300,1238,2+HQ$2)&lt;&gt;"",INDEX('×入力'!$A$1:$L$1300,1239+HQ$3,1)&lt;&gt;""),1,0),0)</f>
        <v/>
      </c>
      <c r="HR54">
        <f>IF(HR$4=1,IF(OR(INDEX('×入力'!$A$1:$L$1300,1239+HR$3,2+HR$2)&lt;&gt;"",INDEX('×入力'!$A$1:$L$1300,1238,2+HR$2)&lt;&gt;"",INDEX('×入力'!$A$1:$L$1300,1239+HR$3,1)&lt;&gt;""),1,0),0)</f>
        <v/>
      </c>
      <c r="HS54">
        <f>IF(HS$4=1,IF(OR(INDEX('×入力'!$A$1:$L$1300,1239+HS$3,2+HS$2)&lt;&gt;"",INDEX('×入力'!$A$1:$L$1300,1238,2+HS$2)&lt;&gt;"",INDEX('×入力'!$A$1:$L$1300,1239+HS$3,1)&lt;&gt;""),1,0),0)</f>
        <v/>
      </c>
      <c r="HT54">
        <f>IF(HT$4=1,IF(OR(INDEX('×入力'!$A$1:$L$1300,1239+HT$3,2+HT$2)&lt;&gt;"",INDEX('×入力'!$A$1:$L$1300,1238,2+HT$2)&lt;&gt;"",INDEX('×入力'!$A$1:$L$1300,1239+HT$3,1)&lt;&gt;""),1,0),0)</f>
        <v/>
      </c>
      <c r="HU54">
        <f>IF(HU$4=1,IF(OR(INDEX('×入力'!$A$1:$L$1300,1239+HU$3,2+HU$2)&lt;&gt;"",INDEX('×入力'!$A$1:$L$1300,1238,2+HU$2)&lt;&gt;"",INDEX('×入力'!$A$1:$L$1300,1239+HU$3,1)&lt;&gt;""),1,0),0)</f>
        <v/>
      </c>
      <c r="HV54">
        <f>IF(HV$4=1,IF(OR(INDEX('×入力'!$A$1:$L$1300,1239+HV$3,2+HV$2)&lt;&gt;"",INDEX('×入力'!$A$1:$L$1300,1238,2+HV$2)&lt;&gt;"",INDEX('×入力'!$A$1:$L$1300,1239+HV$3,1)&lt;&gt;""),1,0),0)</f>
        <v/>
      </c>
      <c r="HW54">
        <f>IF(HW$4=1,IF(OR(INDEX('×入力'!$A$1:$L$1300,1239+HW$3,2+HW$2)&lt;&gt;"",INDEX('×入力'!$A$1:$L$1300,1238,2+HW$2)&lt;&gt;"",INDEX('×入力'!$A$1:$L$1300,1239+HW$3,1)&lt;&gt;""),1,0),0)</f>
        <v/>
      </c>
      <c r="HX54">
        <f>IF(HX$4=1,IF(OR(INDEX('×入力'!$A$1:$L$1300,1239+HX$3,2+HX$2)&lt;&gt;"",INDEX('×入力'!$A$1:$L$1300,1238,2+HX$2)&lt;&gt;"",INDEX('×入力'!$A$1:$L$1300,1239+HX$3,1)&lt;&gt;""),1,0),0)</f>
        <v/>
      </c>
      <c r="HY54">
        <f>IF(HY$4=1,IF(OR(INDEX('×入力'!$A$1:$L$1300,1239+HY$3,2+HY$2)&lt;&gt;"",INDEX('×入力'!$A$1:$L$1300,1238,2+HY$2)&lt;&gt;"",INDEX('×入力'!$A$1:$L$1300,1239+HY$3,1)&lt;&gt;""),1,0),0)</f>
        <v/>
      </c>
      <c r="HZ54">
        <f>IF(HZ$4=1,IF(OR(INDEX('×入力'!$A$1:$L$1300,1239+HZ$3,2+HZ$2)&lt;&gt;"",INDEX('×入力'!$A$1:$L$1300,1238,2+HZ$2)&lt;&gt;"",INDEX('×入力'!$A$1:$L$1300,1239+HZ$3,1)&lt;&gt;""),1,0),0)</f>
        <v/>
      </c>
      <c r="IA54">
        <f>IF(IA$4=1,IF(OR(INDEX('×入力'!$A$1:$L$1300,1239+IA$3,2+IA$2)&lt;&gt;"",INDEX('×入力'!$A$1:$L$1300,1238,2+IA$2)&lt;&gt;"",INDEX('×入力'!$A$1:$L$1300,1239+IA$3,1)&lt;&gt;""),1,0),0)</f>
        <v/>
      </c>
      <c r="IB54">
        <f>IF(IB$4=1,IF(OR(INDEX('×入力'!$A$1:$L$1300,1239+IB$3,2+IB$2)&lt;&gt;"",INDEX('×入力'!$A$1:$L$1300,1238,2+IB$2)&lt;&gt;"",INDEX('×入力'!$A$1:$L$1300,1239+IB$3,1)&lt;&gt;""),1,0),0)</f>
        <v/>
      </c>
      <c r="IC54">
        <f>IF(IC$4=1,IF(OR(INDEX('×入力'!$A$1:$L$1300,1239+IC$3,2+IC$2)&lt;&gt;"",INDEX('×入力'!$A$1:$L$1300,1238,2+IC$2)&lt;&gt;"",INDEX('×入力'!$A$1:$L$1300,1239+IC$3,1)&lt;&gt;""),1,0),0)</f>
        <v/>
      </c>
      <c r="ID54">
        <f>IF(ID$4=1,IF(OR(INDEX('×入力'!$A$1:$L$1300,1239+ID$3,2+ID$2)&lt;&gt;"",INDEX('×入力'!$A$1:$L$1300,1238,2+ID$2)&lt;&gt;"",INDEX('×入力'!$A$1:$L$1300,1239+ID$3,1)&lt;&gt;""),1,0),0)</f>
        <v/>
      </c>
      <c r="IE54">
        <f>IF(IE$4=1,IF(OR(INDEX('×入力'!$A$1:$L$1300,1239+IE$3,2+IE$2)&lt;&gt;"",INDEX('×入力'!$A$1:$L$1300,1238,2+IE$2)&lt;&gt;"",INDEX('×入力'!$A$1:$L$1300,1239+IE$3,1)&lt;&gt;""),1,0),0)</f>
        <v/>
      </c>
      <c r="IF54">
        <f>IF(IF$4=1,IF(OR(INDEX('×入力'!$A$1:$L$1300,1239+IF$3,2+IF$2)&lt;&gt;"",INDEX('×入力'!$A$1:$L$1300,1238,2+IF$2)&lt;&gt;"",INDEX('×入力'!$A$1:$L$1300,1239+IF$3,1)&lt;&gt;""),1,0),0)</f>
        <v/>
      </c>
      <c r="IG54">
        <f>IF(IG$4=1,IF(OR(INDEX('×入力'!$A$1:$L$1300,1239+IG$3,2+IG$2)&lt;&gt;"",INDEX('×入力'!$A$1:$L$1300,1238,2+IG$2)&lt;&gt;"",INDEX('×入力'!$A$1:$L$1300,1239+IG$3,1)&lt;&gt;""),1,0),0)</f>
        <v/>
      </c>
      <c r="IH54">
        <f>IF(IH$4=1,IF(OR(INDEX('×入力'!$A$1:$L$1300,1239+IH$3,2+IH$2)&lt;&gt;"",INDEX('×入力'!$A$1:$L$1300,1238,2+IH$2)&lt;&gt;"",INDEX('×入力'!$A$1:$L$1300,1239+IH$3,1)&lt;&gt;""),1,0),0)</f>
        <v/>
      </c>
      <c r="II54">
        <f>IF(II$4=1,IF(OR(INDEX('×入力'!$A$1:$L$1300,1239+II$3,2+II$2)&lt;&gt;"",INDEX('×入力'!$A$1:$L$1300,1238,2+II$2)&lt;&gt;"",INDEX('×入力'!$A$1:$L$1300,1239+II$3,1)&lt;&gt;""),1,0),0)</f>
        <v/>
      </c>
      <c r="IK54">
        <f>IFERROR(INDEX('計算B'!$C$3:$C$47,MATCH(A54,'計算B'!$B$3:$B$47,0)),0)</f>
        <v/>
      </c>
      <c r="IL54">
        <f>IF(AND(C54=1,IK54=0),1,0)</f>
        <v/>
      </c>
      <c r="IM54">
        <f>SUMPRODUCT(D104:II104*(1-$D$7:$II$7))</f>
        <v/>
      </c>
      <c r="IN54">
        <f>SUM(D54:II54)</f>
        <v/>
      </c>
      <c r="IO54">
        <f>IF(B54="",0,IF(COUNTIF('調整・決定'!$C$6:$L$29,B54)=1,SUMPRODUCT(('調整・決定'!$C$6:$L$29=B54)*((COLUMN('調整・決定'!$C$6:$L$29)-3)*24+ROW('調整・決定'!$C$6:$L$29)-5)),0))</f>
        <v/>
      </c>
      <c r="IP54">
        <f>IFERROR(MATCH('名簿'!E49,{"早い時刻","遅い時刻","早い日","遅い日"},0),0)</f>
        <v/>
      </c>
      <c r="IQ54">
        <f>IF('名簿'!F49="必ず空けたい",2,IF('名簿'!F49="出来れば空けたい",1,0))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c r="ER60">
        <f>IF(AND(ER$4=1,ER10=0),1,0)</f>
        <v/>
      </c>
      <c r="ES60">
        <f>IF(AND(ES$4=1,ES10=0),1,0)</f>
        <v/>
      </c>
      <c r="ET60">
        <f>IF(AND(ET$4=1,ET10=0),1,0)</f>
        <v/>
      </c>
      <c r="EU60">
        <f>IF(AND(EU$4=1,EU10=0),1,0)</f>
        <v/>
      </c>
      <c r="EV60">
        <f>IF(AND(EV$4=1,EV10=0),1,0)</f>
        <v/>
      </c>
      <c r="EW60">
        <f>IF(AND(EW$4=1,EW10=0),1,0)</f>
        <v/>
      </c>
      <c r="EX60">
        <f>IF(AND(EX$4=1,EX10=0),1,0)</f>
        <v/>
      </c>
      <c r="EY60">
        <f>IF(AND(EY$4=1,EY10=0),1,0)</f>
        <v/>
      </c>
      <c r="EZ60">
        <f>IF(AND(EZ$4=1,EZ10=0),1,0)</f>
        <v/>
      </c>
      <c r="FA60">
        <f>IF(AND(FA$4=1,FA10=0),1,0)</f>
        <v/>
      </c>
      <c r="FB60">
        <f>IF(AND(FB$4=1,FB10=0),1,0)</f>
        <v/>
      </c>
      <c r="FC60">
        <f>IF(AND(FC$4=1,FC10=0),1,0)</f>
        <v/>
      </c>
      <c r="FD60">
        <f>IF(AND(FD$4=1,FD10=0),1,0)</f>
        <v/>
      </c>
      <c r="FE60">
        <f>IF(AND(FE$4=1,FE10=0),1,0)</f>
        <v/>
      </c>
      <c r="FF60">
        <f>IF(AND(FF$4=1,FF10=0),1,0)</f>
        <v/>
      </c>
      <c r="FG60">
        <f>IF(AND(FG$4=1,FG10=0),1,0)</f>
        <v/>
      </c>
      <c r="FH60">
        <f>IF(AND(FH$4=1,FH10=0),1,0)</f>
        <v/>
      </c>
      <c r="FI60">
        <f>IF(AND(FI$4=1,FI10=0),1,0)</f>
        <v/>
      </c>
      <c r="FJ60">
        <f>IF(AND(FJ$4=1,FJ10=0),1,0)</f>
        <v/>
      </c>
      <c r="FK60">
        <f>IF(AND(FK$4=1,FK10=0),1,0)</f>
        <v/>
      </c>
      <c r="FL60">
        <f>IF(AND(FL$4=1,FL10=0),1,0)</f>
        <v/>
      </c>
      <c r="FM60">
        <f>IF(AND(FM$4=1,FM10=0),1,0)</f>
        <v/>
      </c>
      <c r="FN60">
        <f>IF(AND(FN$4=1,FN10=0),1,0)</f>
        <v/>
      </c>
      <c r="FO60">
        <f>IF(AND(FO$4=1,FO10=0),1,0)</f>
        <v/>
      </c>
      <c r="FP60">
        <f>IF(AND(FP$4=1,FP10=0),1,0)</f>
        <v/>
      </c>
      <c r="FQ60">
        <f>IF(AND(FQ$4=1,FQ10=0),1,0)</f>
        <v/>
      </c>
      <c r="FR60">
        <f>IF(AND(FR$4=1,FR10=0),1,0)</f>
        <v/>
      </c>
      <c r="FS60">
        <f>IF(AND(FS$4=1,FS10=0),1,0)</f>
        <v/>
      </c>
      <c r="FT60">
        <f>IF(AND(FT$4=1,FT10=0),1,0)</f>
        <v/>
      </c>
      <c r="FU60">
        <f>IF(AND(FU$4=1,FU10=0),1,0)</f>
        <v/>
      </c>
      <c r="FV60">
        <f>IF(AND(FV$4=1,FV10=0),1,0)</f>
        <v/>
      </c>
      <c r="FW60">
        <f>IF(AND(FW$4=1,FW10=0),1,0)</f>
        <v/>
      </c>
      <c r="FX60">
        <f>IF(AND(FX$4=1,FX10=0),1,0)</f>
        <v/>
      </c>
      <c r="FY60">
        <f>IF(AND(FY$4=1,FY10=0),1,0)</f>
        <v/>
      </c>
      <c r="FZ60">
        <f>IF(AND(FZ$4=1,FZ10=0),1,0)</f>
        <v/>
      </c>
      <c r="GA60">
        <f>IF(AND(GA$4=1,GA10=0),1,0)</f>
        <v/>
      </c>
      <c r="GB60">
        <f>IF(AND(GB$4=1,GB10=0),1,0)</f>
        <v/>
      </c>
      <c r="GC60">
        <f>IF(AND(GC$4=1,GC10=0),1,0)</f>
        <v/>
      </c>
      <c r="GD60">
        <f>IF(AND(GD$4=1,GD10=0),1,0)</f>
        <v/>
      </c>
      <c r="GE60">
        <f>IF(AND(GE$4=1,GE10=0),1,0)</f>
        <v/>
      </c>
      <c r="GF60">
        <f>IF(AND(GF$4=1,GF10=0),1,0)</f>
        <v/>
      </c>
      <c r="GG60">
        <f>IF(AND(GG$4=1,GG10=0),1,0)</f>
        <v/>
      </c>
      <c r="GH60">
        <f>IF(AND(GH$4=1,GH10=0),1,0)</f>
        <v/>
      </c>
      <c r="GI60">
        <f>IF(AND(GI$4=1,GI10=0),1,0)</f>
        <v/>
      </c>
      <c r="GJ60">
        <f>IF(AND(GJ$4=1,GJ10=0),1,0)</f>
        <v/>
      </c>
      <c r="GK60">
        <f>IF(AND(GK$4=1,GK10=0),1,0)</f>
        <v/>
      </c>
      <c r="GL60">
        <f>IF(AND(GL$4=1,GL10=0),1,0)</f>
        <v/>
      </c>
      <c r="GM60">
        <f>IF(AND(GM$4=1,GM10=0),1,0)</f>
        <v/>
      </c>
      <c r="GN60">
        <f>IF(AND(GN$4=1,GN10=0),1,0)</f>
        <v/>
      </c>
      <c r="GO60">
        <f>IF(AND(GO$4=1,GO10=0),1,0)</f>
        <v/>
      </c>
      <c r="GP60">
        <f>IF(AND(GP$4=1,GP10=0),1,0)</f>
        <v/>
      </c>
      <c r="GQ60">
        <f>IF(AND(GQ$4=1,GQ10=0),1,0)</f>
        <v/>
      </c>
      <c r="GR60">
        <f>IF(AND(GR$4=1,GR10=0),1,0)</f>
        <v/>
      </c>
      <c r="GS60">
        <f>IF(AND(GS$4=1,GS10=0),1,0)</f>
        <v/>
      </c>
      <c r="GT60">
        <f>IF(AND(GT$4=1,GT10=0),1,0)</f>
        <v/>
      </c>
      <c r="GU60">
        <f>IF(AND(GU$4=1,GU10=0),1,0)</f>
        <v/>
      </c>
      <c r="GV60">
        <f>IF(AND(GV$4=1,GV10=0),1,0)</f>
        <v/>
      </c>
      <c r="GW60">
        <f>IF(AND(GW$4=1,GW10=0),1,0)</f>
        <v/>
      </c>
      <c r="GX60">
        <f>IF(AND(GX$4=1,GX10=0),1,0)</f>
        <v/>
      </c>
      <c r="GY60">
        <f>IF(AND(GY$4=1,GY10=0),1,0)</f>
        <v/>
      </c>
      <c r="GZ60">
        <f>IF(AND(GZ$4=1,GZ10=0),1,0)</f>
        <v/>
      </c>
      <c r="HA60">
        <f>IF(AND(HA$4=1,HA10=0),1,0)</f>
        <v/>
      </c>
      <c r="HB60">
        <f>IF(AND(HB$4=1,HB10=0),1,0)</f>
        <v/>
      </c>
      <c r="HC60">
        <f>IF(AND(HC$4=1,HC10=0),1,0)</f>
        <v/>
      </c>
      <c r="HD60">
        <f>IF(AND(HD$4=1,HD10=0),1,0)</f>
        <v/>
      </c>
      <c r="HE60">
        <f>IF(AND(HE$4=1,HE10=0),1,0)</f>
        <v/>
      </c>
      <c r="HF60">
        <f>IF(AND(HF$4=1,HF10=0),1,0)</f>
        <v/>
      </c>
      <c r="HG60">
        <f>IF(AND(HG$4=1,HG10=0),1,0)</f>
        <v/>
      </c>
      <c r="HH60">
        <f>IF(AND(HH$4=1,HH10=0),1,0)</f>
        <v/>
      </c>
      <c r="HI60">
        <f>IF(AND(HI$4=1,HI10=0),1,0)</f>
        <v/>
      </c>
      <c r="HJ60">
        <f>IF(AND(HJ$4=1,HJ10=0),1,0)</f>
        <v/>
      </c>
      <c r="HK60">
        <f>IF(AND(HK$4=1,HK10=0),1,0)</f>
        <v/>
      </c>
      <c r="HL60">
        <f>IF(AND(HL$4=1,HL10=0),1,0)</f>
        <v/>
      </c>
      <c r="HM60">
        <f>IF(AND(HM$4=1,HM10=0),1,0)</f>
        <v/>
      </c>
      <c r="HN60">
        <f>IF(AND(HN$4=1,HN10=0),1,0)</f>
        <v/>
      </c>
      <c r="HO60">
        <f>IF(AND(HO$4=1,HO10=0),1,0)</f>
        <v/>
      </c>
      <c r="HP60">
        <f>IF(AND(HP$4=1,HP10=0),1,0)</f>
        <v/>
      </c>
      <c r="HQ60">
        <f>IF(AND(HQ$4=1,HQ10=0),1,0)</f>
        <v/>
      </c>
      <c r="HR60">
        <f>IF(AND(HR$4=1,HR10=0),1,0)</f>
        <v/>
      </c>
      <c r="HS60">
        <f>IF(AND(HS$4=1,HS10=0),1,0)</f>
        <v/>
      </c>
      <c r="HT60">
        <f>IF(AND(HT$4=1,HT10=0),1,0)</f>
        <v/>
      </c>
      <c r="HU60">
        <f>IF(AND(HU$4=1,HU10=0),1,0)</f>
        <v/>
      </c>
      <c r="HV60">
        <f>IF(AND(HV$4=1,HV10=0),1,0)</f>
        <v/>
      </c>
      <c r="HW60">
        <f>IF(AND(HW$4=1,HW10=0),1,0)</f>
        <v/>
      </c>
      <c r="HX60">
        <f>IF(AND(HX$4=1,HX10=0),1,0)</f>
        <v/>
      </c>
      <c r="HY60">
        <f>IF(AND(HY$4=1,HY10=0),1,0)</f>
        <v/>
      </c>
      <c r="HZ60">
        <f>IF(AND(HZ$4=1,HZ10=0),1,0)</f>
        <v/>
      </c>
      <c r="IA60">
        <f>IF(AND(IA$4=1,IA10=0),1,0)</f>
        <v/>
      </c>
      <c r="IB60">
        <f>IF(AND(IB$4=1,IB10=0),1,0)</f>
        <v/>
      </c>
      <c r="IC60">
        <f>IF(AND(IC$4=1,IC10=0),1,0)</f>
        <v/>
      </c>
      <c r="ID60">
        <f>IF(AND(ID$4=1,ID10=0),1,0)</f>
        <v/>
      </c>
      <c r="IE60">
        <f>IF(AND(IE$4=1,IE10=0),1,0)</f>
        <v/>
      </c>
      <c r="IF60">
        <f>IF(AND(IF$4=1,IF10=0),1,0)</f>
        <v/>
      </c>
      <c r="IG60">
        <f>IF(AND(IG$4=1,IG10=0),1,0)</f>
        <v/>
      </c>
      <c r="IH60">
        <f>IF(AND(IH$4=1,IH10=0),1,0)</f>
        <v/>
      </c>
      <c r="II60">
        <f>IF(AND(II$4=1,II10=0),1,0)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c r="ER61">
        <f>IF(AND(ER$4=1,ER11=0),1,0)</f>
        <v/>
      </c>
      <c r="ES61">
        <f>IF(AND(ES$4=1,ES11=0),1,0)</f>
        <v/>
      </c>
      <c r="ET61">
        <f>IF(AND(ET$4=1,ET11=0),1,0)</f>
        <v/>
      </c>
      <c r="EU61">
        <f>IF(AND(EU$4=1,EU11=0),1,0)</f>
        <v/>
      </c>
      <c r="EV61">
        <f>IF(AND(EV$4=1,EV11=0),1,0)</f>
        <v/>
      </c>
      <c r="EW61">
        <f>IF(AND(EW$4=1,EW11=0),1,0)</f>
        <v/>
      </c>
      <c r="EX61">
        <f>IF(AND(EX$4=1,EX11=0),1,0)</f>
        <v/>
      </c>
      <c r="EY61">
        <f>IF(AND(EY$4=1,EY11=0),1,0)</f>
        <v/>
      </c>
      <c r="EZ61">
        <f>IF(AND(EZ$4=1,EZ11=0),1,0)</f>
        <v/>
      </c>
      <c r="FA61">
        <f>IF(AND(FA$4=1,FA11=0),1,0)</f>
        <v/>
      </c>
      <c r="FB61">
        <f>IF(AND(FB$4=1,FB11=0),1,0)</f>
        <v/>
      </c>
      <c r="FC61">
        <f>IF(AND(FC$4=1,FC11=0),1,0)</f>
        <v/>
      </c>
      <c r="FD61">
        <f>IF(AND(FD$4=1,FD11=0),1,0)</f>
        <v/>
      </c>
      <c r="FE61">
        <f>IF(AND(FE$4=1,FE11=0),1,0)</f>
        <v/>
      </c>
      <c r="FF61">
        <f>IF(AND(FF$4=1,FF11=0),1,0)</f>
        <v/>
      </c>
      <c r="FG61">
        <f>IF(AND(FG$4=1,FG11=0),1,0)</f>
        <v/>
      </c>
      <c r="FH61">
        <f>IF(AND(FH$4=1,FH11=0),1,0)</f>
        <v/>
      </c>
      <c r="FI61">
        <f>IF(AND(FI$4=1,FI11=0),1,0)</f>
        <v/>
      </c>
      <c r="FJ61">
        <f>IF(AND(FJ$4=1,FJ11=0),1,0)</f>
        <v/>
      </c>
      <c r="FK61">
        <f>IF(AND(FK$4=1,FK11=0),1,0)</f>
        <v/>
      </c>
      <c r="FL61">
        <f>IF(AND(FL$4=1,FL11=0),1,0)</f>
        <v/>
      </c>
      <c r="FM61">
        <f>IF(AND(FM$4=1,FM11=0),1,0)</f>
        <v/>
      </c>
      <c r="FN61">
        <f>IF(AND(FN$4=1,FN11=0),1,0)</f>
        <v/>
      </c>
      <c r="FO61">
        <f>IF(AND(FO$4=1,FO11=0),1,0)</f>
        <v/>
      </c>
      <c r="FP61">
        <f>IF(AND(FP$4=1,FP11=0),1,0)</f>
        <v/>
      </c>
      <c r="FQ61">
        <f>IF(AND(FQ$4=1,FQ11=0),1,0)</f>
        <v/>
      </c>
      <c r="FR61">
        <f>IF(AND(FR$4=1,FR11=0),1,0)</f>
        <v/>
      </c>
      <c r="FS61">
        <f>IF(AND(FS$4=1,FS11=0),1,0)</f>
        <v/>
      </c>
      <c r="FT61">
        <f>IF(AND(FT$4=1,FT11=0),1,0)</f>
        <v/>
      </c>
      <c r="FU61">
        <f>IF(AND(FU$4=1,FU11=0),1,0)</f>
        <v/>
      </c>
      <c r="FV61">
        <f>IF(AND(FV$4=1,FV11=0),1,0)</f>
        <v/>
      </c>
      <c r="FW61">
        <f>IF(AND(FW$4=1,FW11=0),1,0)</f>
        <v/>
      </c>
      <c r="FX61">
        <f>IF(AND(FX$4=1,FX11=0),1,0)</f>
        <v/>
      </c>
      <c r="FY61">
        <f>IF(AND(FY$4=1,FY11=0),1,0)</f>
        <v/>
      </c>
      <c r="FZ61">
        <f>IF(AND(FZ$4=1,FZ11=0),1,0)</f>
        <v/>
      </c>
      <c r="GA61">
        <f>IF(AND(GA$4=1,GA11=0),1,0)</f>
        <v/>
      </c>
      <c r="GB61">
        <f>IF(AND(GB$4=1,GB11=0),1,0)</f>
        <v/>
      </c>
      <c r="GC61">
        <f>IF(AND(GC$4=1,GC11=0),1,0)</f>
        <v/>
      </c>
      <c r="GD61">
        <f>IF(AND(GD$4=1,GD11=0),1,0)</f>
        <v/>
      </c>
      <c r="GE61">
        <f>IF(AND(GE$4=1,GE11=0),1,0)</f>
        <v/>
      </c>
      <c r="GF61">
        <f>IF(AND(GF$4=1,GF11=0),1,0)</f>
        <v/>
      </c>
      <c r="GG61">
        <f>IF(AND(GG$4=1,GG11=0),1,0)</f>
        <v/>
      </c>
      <c r="GH61">
        <f>IF(AND(GH$4=1,GH11=0),1,0)</f>
        <v/>
      </c>
      <c r="GI61">
        <f>IF(AND(GI$4=1,GI11=0),1,0)</f>
        <v/>
      </c>
      <c r="GJ61">
        <f>IF(AND(GJ$4=1,GJ11=0),1,0)</f>
        <v/>
      </c>
      <c r="GK61">
        <f>IF(AND(GK$4=1,GK11=0),1,0)</f>
        <v/>
      </c>
      <c r="GL61">
        <f>IF(AND(GL$4=1,GL11=0),1,0)</f>
        <v/>
      </c>
      <c r="GM61">
        <f>IF(AND(GM$4=1,GM11=0),1,0)</f>
        <v/>
      </c>
      <c r="GN61">
        <f>IF(AND(GN$4=1,GN11=0),1,0)</f>
        <v/>
      </c>
      <c r="GO61">
        <f>IF(AND(GO$4=1,GO11=0),1,0)</f>
        <v/>
      </c>
      <c r="GP61">
        <f>IF(AND(GP$4=1,GP11=0),1,0)</f>
        <v/>
      </c>
      <c r="GQ61">
        <f>IF(AND(GQ$4=1,GQ11=0),1,0)</f>
        <v/>
      </c>
      <c r="GR61">
        <f>IF(AND(GR$4=1,GR11=0),1,0)</f>
        <v/>
      </c>
      <c r="GS61">
        <f>IF(AND(GS$4=1,GS11=0),1,0)</f>
        <v/>
      </c>
      <c r="GT61">
        <f>IF(AND(GT$4=1,GT11=0),1,0)</f>
        <v/>
      </c>
      <c r="GU61">
        <f>IF(AND(GU$4=1,GU11=0),1,0)</f>
        <v/>
      </c>
      <c r="GV61">
        <f>IF(AND(GV$4=1,GV11=0),1,0)</f>
        <v/>
      </c>
      <c r="GW61">
        <f>IF(AND(GW$4=1,GW11=0),1,0)</f>
        <v/>
      </c>
      <c r="GX61">
        <f>IF(AND(GX$4=1,GX11=0),1,0)</f>
        <v/>
      </c>
      <c r="GY61">
        <f>IF(AND(GY$4=1,GY11=0),1,0)</f>
        <v/>
      </c>
      <c r="GZ61">
        <f>IF(AND(GZ$4=1,GZ11=0),1,0)</f>
        <v/>
      </c>
      <c r="HA61">
        <f>IF(AND(HA$4=1,HA11=0),1,0)</f>
        <v/>
      </c>
      <c r="HB61">
        <f>IF(AND(HB$4=1,HB11=0),1,0)</f>
        <v/>
      </c>
      <c r="HC61">
        <f>IF(AND(HC$4=1,HC11=0),1,0)</f>
        <v/>
      </c>
      <c r="HD61">
        <f>IF(AND(HD$4=1,HD11=0),1,0)</f>
        <v/>
      </c>
      <c r="HE61">
        <f>IF(AND(HE$4=1,HE11=0),1,0)</f>
        <v/>
      </c>
      <c r="HF61">
        <f>IF(AND(HF$4=1,HF11=0),1,0)</f>
        <v/>
      </c>
      <c r="HG61">
        <f>IF(AND(HG$4=1,HG11=0),1,0)</f>
        <v/>
      </c>
      <c r="HH61">
        <f>IF(AND(HH$4=1,HH11=0),1,0)</f>
        <v/>
      </c>
      <c r="HI61">
        <f>IF(AND(HI$4=1,HI11=0),1,0)</f>
        <v/>
      </c>
      <c r="HJ61">
        <f>IF(AND(HJ$4=1,HJ11=0),1,0)</f>
        <v/>
      </c>
      <c r="HK61">
        <f>IF(AND(HK$4=1,HK11=0),1,0)</f>
        <v/>
      </c>
      <c r="HL61">
        <f>IF(AND(HL$4=1,HL11=0),1,0)</f>
        <v/>
      </c>
      <c r="HM61">
        <f>IF(AND(HM$4=1,HM11=0),1,0)</f>
        <v/>
      </c>
      <c r="HN61">
        <f>IF(AND(HN$4=1,HN11=0),1,0)</f>
        <v/>
      </c>
      <c r="HO61">
        <f>IF(AND(HO$4=1,HO11=0),1,0)</f>
        <v/>
      </c>
      <c r="HP61">
        <f>IF(AND(HP$4=1,HP11=0),1,0)</f>
        <v/>
      </c>
      <c r="HQ61">
        <f>IF(AND(HQ$4=1,HQ11=0),1,0)</f>
        <v/>
      </c>
      <c r="HR61">
        <f>IF(AND(HR$4=1,HR11=0),1,0)</f>
        <v/>
      </c>
      <c r="HS61">
        <f>IF(AND(HS$4=1,HS11=0),1,0)</f>
        <v/>
      </c>
      <c r="HT61">
        <f>IF(AND(HT$4=1,HT11=0),1,0)</f>
        <v/>
      </c>
      <c r="HU61">
        <f>IF(AND(HU$4=1,HU11=0),1,0)</f>
        <v/>
      </c>
      <c r="HV61">
        <f>IF(AND(HV$4=1,HV11=0),1,0)</f>
        <v/>
      </c>
      <c r="HW61">
        <f>IF(AND(HW$4=1,HW11=0),1,0)</f>
        <v/>
      </c>
      <c r="HX61">
        <f>IF(AND(HX$4=1,HX11=0),1,0)</f>
        <v/>
      </c>
      <c r="HY61">
        <f>IF(AND(HY$4=1,HY11=0),1,0)</f>
        <v/>
      </c>
      <c r="HZ61">
        <f>IF(AND(HZ$4=1,HZ11=0),1,0)</f>
        <v/>
      </c>
      <c r="IA61">
        <f>IF(AND(IA$4=1,IA11=0),1,0)</f>
        <v/>
      </c>
      <c r="IB61">
        <f>IF(AND(IB$4=1,IB11=0),1,0)</f>
        <v/>
      </c>
      <c r="IC61">
        <f>IF(AND(IC$4=1,IC11=0),1,0)</f>
        <v/>
      </c>
      <c r="ID61">
        <f>IF(AND(ID$4=1,ID11=0),1,0)</f>
        <v/>
      </c>
      <c r="IE61">
        <f>IF(AND(IE$4=1,IE11=0),1,0)</f>
        <v/>
      </c>
      <c r="IF61">
        <f>IF(AND(IF$4=1,IF11=0),1,0)</f>
        <v/>
      </c>
      <c r="IG61">
        <f>IF(AND(IG$4=1,IG11=0),1,0)</f>
        <v/>
      </c>
      <c r="IH61">
        <f>IF(AND(IH$4=1,IH11=0),1,0)</f>
        <v/>
      </c>
      <c r="II61">
        <f>IF(AND(II$4=1,II11=0),1,0)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c r="ER62">
        <f>IF(AND(ER$4=1,ER12=0),1,0)</f>
        <v/>
      </c>
      <c r="ES62">
        <f>IF(AND(ES$4=1,ES12=0),1,0)</f>
        <v/>
      </c>
      <c r="ET62">
        <f>IF(AND(ET$4=1,ET12=0),1,0)</f>
        <v/>
      </c>
      <c r="EU62">
        <f>IF(AND(EU$4=1,EU12=0),1,0)</f>
        <v/>
      </c>
      <c r="EV62">
        <f>IF(AND(EV$4=1,EV12=0),1,0)</f>
        <v/>
      </c>
      <c r="EW62">
        <f>IF(AND(EW$4=1,EW12=0),1,0)</f>
        <v/>
      </c>
      <c r="EX62">
        <f>IF(AND(EX$4=1,EX12=0),1,0)</f>
        <v/>
      </c>
      <c r="EY62">
        <f>IF(AND(EY$4=1,EY12=0),1,0)</f>
        <v/>
      </c>
      <c r="EZ62">
        <f>IF(AND(EZ$4=1,EZ12=0),1,0)</f>
        <v/>
      </c>
      <c r="FA62">
        <f>IF(AND(FA$4=1,FA12=0),1,0)</f>
        <v/>
      </c>
      <c r="FB62">
        <f>IF(AND(FB$4=1,FB12=0),1,0)</f>
        <v/>
      </c>
      <c r="FC62">
        <f>IF(AND(FC$4=1,FC12=0),1,0)</f>
        <v/>
      </c>
      <c r="FD62">
        <f>IF(AND(FD$4=1,FD12=0),1,0)</f>
        <v/>
      </c>
      <c r="FE62">
        <f>IF(AND(FE$4=1,FE12=0),1,0)</f>
        <v/>
      </c>
      <c r="FF62">
        <f>IF(AND(FF$4=1,FF12=0),1,0)</f>
        <v/>
      </c>
      <c r="FG62">
        <f>IF(AND(FG$4=1,FG12=0),1,0)</f>
        <v/>
      </c>
      <c r="FH62">
        <f>IF(AND(FH$4=1,FH12=0),1,0)</f>
        <v/>
      </c>
      <c r="FI62">
        <f>IF(AND(FI$4=1,FI12=0),1,0)</f>
        <v/>
      </c>
      <c r="FJ62">
        <f>IF(AND(FJ$4=1,FJ12=0),1,0)</f>
        <v/>
      </c>
      <c r="FK62">
        <f>IF(AND(FK$4=1,FK12=0),1,0)</f>
        <v/>
      </c>
      <c r="FL62">
        <f>IF(AND(FL$4=1,FL12=0),1,0)</f>
        <v/>
      </c>
      <c r="FM62">
        <f>IF(AND(FM$4=1,FM12=0),1,0)</f>
        <v/>
      </c>
      <c r="FN62">
        <f>IF(AND(FN$4=1,FN12=0),1,0)</f>
        <v/>
      </c>
      <c r="FO62">
        <f>IF(AND(FO$4=1,FO12=0),1,0)</f>
        <v/>
      </c>
      <c r="FP62">
        <f>IF(AND(FP$4=1,FP12=0),1,0)</f>
        <v/>
      </c>
      <c r="FQ62">
        <f>IF(AND(FQ$4=1,FQ12=0),1,0)</f>
        <v/>
      </c>
      <c r="FR62">
        <f>IF(AND(FR$4=1,FR12=0),1,0)</f>
        <v/>
      </c>
      <c r="FS62">
        <f>IF(AND(FS$4=1,FS12=0),1,0)</f>
        <v/>
      </c>
      <c r="FT62">
        <f>IF(AND(FT$4=1,FT12=0),1,0)</f>
        <v/>
      </c>
      <c r="FU62">
        <f>IF(AND(FU$4=1,FU12=0),1,0)</f>
        <v/>
      </c>
      <c r="FV62">
        <f>IF(AND(FV$4=1,FV12=0),1,0)</f>
        <v/>
      </c>
      <c r="FW62">
        <f>IF(AND(FW$4=1,FW12=0),1,0)</f>
        <v/>
      </c>
      <c r="FX62">
        <f>IF(AND(FX$4=1,FX12=0),1,0)</f>
        <v/>
      </c>
      <c r="FY62">
        <f>IF(AND(FY$4=1,FY12=0),1,0)</f>
        <v/>
      </c>
      <c r="FZ62">
        <f>IF(AND(FZ$4=1,FZ12=0),1,0)</f>
        <v/>
      </c>
      <c r="GA62">
        <f>IF(AND(GA$4=1,GA12=0),1,0)</f>
        <v/>
      </c>
      <c r="GB62">
        <f>IF(AND(GB$4=1,GB12=0),1,0)</f>
        <v/>
      </c>
      <c r="GC62">
        <f>IF(AND(GC$4=1,GC12=0),1,0)</f>
        <v/>
      </c>
      <c r="GD62">
        <f>IF(AND(GD$4=1,GD12=0),1,0)</f>
        <v/>
      </c>
      <c r="GE62">
        <f>IF(AND(GE$4=1,GE12=0),1,0)</f>
        <v/>
      </c>
      <c r="GF62">
        <f>IF(AND(GF$4=1,GF12=0),1,0)</f>
        <v/>
      </c>
      <c r="GG62">
        <f>IF(AND(GG$4=1,GG12=0),1,0)</f>
        <v/>
      </c>
      <c r="GH62">
        <f>IF(AND(GH$4=1,GH12=0),1,0)</f>
        <v/>
      </c>
      <c r="GI62">
        <f>IF(AND(GI$4=1,GI12=0),1,0)</f>
        <v/>
      </c>
      <c r="GJ62">
        <f>IF(AND(GJ$4=1,GJ12=0),1,0)</f>
        <v/>
      </c>
      <c r="GK62">
        <f>IF(AND(GK$4=1,GK12=0),1,0)</f>
        <v/>
      </c>
      <c r="GL62">
        <f>IF(AND(GL$4=1,GL12=0),1,0)</f>
        <v/>
      </c>
      <c r="GM62">
        <f>IF(AND(GM$4=1,GM12=0),1,0)</f>
        <v/>
      </c>
      <c r="GN62">
        <f>IF(AND(GN$4=1,GN12=0),1,0)</f>
        <v/>
      </c>
      <c r="GO62">
        <f>IF(AND(GO$4=1,GO12=0),1,0)</f>
        <v/>
      </c>
      <c r="GP62">
        <f>IF(AND(GP$4=1,GP12=0),1,0)</f>
        <v/>
      </c>
      <c r="GQ62">
        <f>IF(AND(GQ$4=1,GQ12=0),1,0)</f>
        <v/>
      </c>
      <c r="GR62">
        <f>IF(AND(GR$4=1,GR12=0),1,0)</f>
        <v/>
      </c>
      <c r="GS62">
        <f>IF(AND(GS$4=1,GS12=0),1,0)</f>
        <v/>
      </c>
      <c r="GT62">
        <f>IF(AND(GT$4=1,GT12=0),1,0)</f>
        <v/>
      </c>
      <c r="GU62">
        <f>IF(AND(GU$4=1,GU12=0),1,0)</f>
        <v/>
      </c>
      <c r="GV62">
        <f>IF(AND(GV$4=1,GV12=0),1,0)</f>
        <v/>
      </c>
      <c r="GW62">
        <f>IF(AND(GW$4=1,GW12=0),1,0)</f>
        <v/>
      </c>
      <c r="GX62">
        <f>IF(AND(GX$4=1,GX12=0),1,0)</f>
        <v/>
      </c>
      <c r="GY62">
        <f>IF(AND(GY$4=1,GY12=0),1,0)</f>
        <v/>
      </c>
      <c r="GZ62">
        <f>IF(AND(GZ$4=1,GZ12=0),1,0)</f>
        <v/>
      </c>
      <c r="HA62">
        <f>IF(AND(HA$4=1,HA12=0),1,0)</f>
        <v/>
      </c>
      <c r="HB62">
        <f>IF(AND(HB$4=1,HB12=0),1,0)</f>
        <v/>
      </c>
      <c r="HC62">
        <f>IF(AND(HC$4=1,HC12=0),1,0)</f>
        <v/>
      </c>
      <c r="HD62">
        <f>IF(AND(HD$4=1,HD12=0),1,0)</f>
        <v/>
      </c>
      <c r="HE62">
        <f>IF(AND(HE$4=1,HE12=0),1,0)</f>
        <v/>
      </c>
      <c r="HF62">
        <f>IF(AND(HF$4=1,HF12=0),1,0)</f>
        <v/>
      </c>
      <c r="HG62">
        <f>IF(AND(HG$4=1,HG12=0),1,0)</f>
        <v/>
      </c>
      <c r="HH62">
        <f>IF(AND(HH$4=1,HH12=0),1,0)</f>
        <v/>
      </c>
      <c r="HI62">
        <f>IF(AND(HI$4=1,HI12=0),1,0)</f>
        <v/>
      </c>
      <c r="HJ62">
        <f>IF(AND(HJ$4=1,HJ12=0),1,0)</f>
        <v/>
      </c>
      <c r="HK62">
        <f>IF(AND(HK$4=1,HK12=0),1,0)</f>
        <v/>
      </c>
      <c r="HL62">
        <f>IF(AND(HL$4=1,HL12=0),1,0)</f>
        <v/>
      </c>
      <c r="HM62">
        <f>IF(AND(HM$4=1,HM12=0),1,0)</f>
        <v/>
      </c>
      <c r="HN62">
        <f>IF(AND(HN$4=1,HN12=0),1,0)</f>
        <v/>
      </c>
      <c r="HO62">
        <f>IF(AND(HO$4=1,HO12=0),1,0)</f>
        <v/>
      </c>
      <c r="HP62">
        <f>IF(AND(HP$4=1,HP12=0),1,0)</f>
        <v/>
      </c>
      <c r="HQ62">
        <f>IF(AND(HQ$4=1,HQ12=0),1,0)</f>
        <v/>
      </c>
      <c r="HR62">
        <f>IF(AND(HR$4=1,HR12=0),1,0)</f>
        <v/>
      </c>
      <c r="HS62">
        <f>IF(AND(HS$4=1,HS12=0),1,0)</f>
        <v/>
      </c>
      <c r="HT62">
        <f>IF(AND(HT$4=1,HT12=0),1,0)</f>
        <v/>
      </c>
      <c r="HU62">
        <f>IF(AND(HU$4=1,HU12=0),1,0)</f>
        <v/>
      </c>
      <c r="HV62">
        <f>IF(AND(HV$4=1,HV12=0),1,0)</f>
        <v/>
      </c>
      <c r="HW62">
        <f>IF(AND(HW$4=1,HW12=0),1,0)</f>
        <v/>
      </c>
      <c r="HX62">
        <f>IF(AND(HX$4=1,HX12=0),1,0)</f>
        <v/>
      </c>
      <c r="HY62">
        <f>IF(AND(HY$4=1,HY12=0),1,0)</f>
        <v/>
      </c>
      <c r="HZ62">
        <f>IF(AND(HZ$4=1,HZ12=0),1,0)</f>
        <v/>
      </c>
      <c r="IA62">
        <f>IF(AND(IA$4=1,IA12=0),1,0)</f>
        <v/>
      </c>
      <c r="IB62">
        <f>IF(AND(IB$4=1,IB12=0),1,0)</f>
        <v/>
      </c>
      <c r="IC62">
        <f>IF(AND(IC$4=1,IC12=0),1,0)</f>
        <v/>
      </c>
      <c r="ID62">
        <f>IF(AND(ID$4=1,ID12=0),1,0)</f>
        <v/>
      </c>
      <c r="IE62">
        <f>IF(AND(IE$4=1,IE12=0),1,0)</f>
        <v/>
      </c>
      <c r="IF62">
        <f>IF(AND(IF$4=1,IF12=0),1,0)</f>
        <v/>
      </c>
      <c r="IG62">
        <f>IF(AND(IG$4=1,IG12=0),1,0)</f>
        <v/>
      </c>
      <c r="IH62">
        <f>IF(AND(IH$4=1,IH12=0),1,0)</f>
        <v/>
      </c>
      <c r="II62">
        <f>IF(AND(II$4=1,II12=0),1,0)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c r="ER63">
        <f>IF(AND(ER$4=1,ER13=0),1,0)</f>
        <v/>
      </c>
      <c r="ES63">
        <f>IF(AND(ES$4=1,ES13=0),1,0)</f>
        <v/>
      </c>
      <c r="ET63">
        <f>IF(AND(ET$4=1,ET13=0),1,0)</f>
        <v/>
      </c>
      <c r="EU63">
        <f>IF(AND(EU$4=1,EU13=0),1,0)</f>
        <v/>
      </c>
      <c r="EV63">
        <f>IF(AND(EV$4=1,EV13=0),1,0)</f>
        <v/>
      </c>
      <c r="EW63">
        <f>IF(AND(EW$4=1,EW13=0),1,0)</f>
        <v/>
      </c>
      <c r="EX63">
        <f>IF(AND(EX$4=1,EX13=0),1,0)</f>
        <v/>
      </c>
      <c r="EY63">
        <f>IF(AND(EY$4=1,EY13=0),1,0)</f>
        <v/>
      </c>
      <c r="EZ63">
        <f>IF(AND(EZ$4=1,EZ13=0),1,0)</f>
        <v/>
      </c>
      <c r="FA63">
        <f>IF(AND(FA$4=1,FA13=0),1,0)</f>
        <v/>
      </c>
      <c r="FB63">
        <f>IF(AND(FB$4=1,FB13=0),1,0)</f>
        <v/>
      </c>
      <c r="FC63">
        <f>IF(AND(FC$4=1,FC13=0),1,0)</f>
        <v/>
      </c>
      <c r="FD63">
        <f>IF(AND(FD$4=1,FD13=0),1,0)</f>
        <v/>
      </c>
      <c r="FE63">
        <f>IF(AND(FE$4=1,FE13=0),1,0)</f>
        <v/>
      </c>
      <c r="FF63">
        <f>IF(AND(FF$4=1,FF13=0),1,0)</f>
        <v/>
      </c>
      <c r="FG63">
        <f>IF(AND(FG$4=1,FG13=0),1,0)</f>
        <v/>
      </c>
      <c r="FH63">
        <f>IF(AND(FH$4=1,FH13=0),1,0)</f>
        <v/>
      </c>
      <c r="FI63">
        <f>IF(AND(FI$4=1,FI13=0),1,0)</f>
        <v/>
      </c>
      <c r="FJ63">
        <f>IF(AND(FJ$4=1,FJ13=0),1,0)</f>
        <v/>
      </c>
      <c r="FK63">
        <f>IF(AND(FK$4=1,FK13=0),1,0)</f>
        <v/>
      </c>
      <c r="FL63">
        <f>IF(AND(FL$4=1,FL13=0),1,0)</f>
        <v/>
      </c>
      <c r="FM63">
        <f>IF(AND(FM$4=1,FM13=0),1,0)</f>
        <v/>
      </c>
      <c r="FN63">
        <f>IF(AND(FN$4=1,FN13=0),1,0)</f>
        <v/>
      </c>
      <c r="FO63">
        <f>IF(AND(FO$4=1,FO13=0),1,0)</f>
        <v/>
      </c>
      <c r="FP63">
        <f>IF(AND(FP$4=1,FP13=0),1,0)</f>
        <v/>
      </c>
      <c r="FQ63">
        <f>IF(AND(FQ$4=1,FQ13=0),1,0)</f>
        <v/>
      </c>
      <c r="FR63">
        <f>IF(AND(FR$4=1,FR13=0),1,0)</f>
        <v/>
      </c>
      <c r="FS63">
        <f>IF(AND(FS$4=1,FS13=0),1,0)</f>
        <v/>
      </c>
      <c r="FT63">
        <f>IF(AND(FT$4=1,FT13=0),1,0)</f>
        <v/>
      </c>
      <c r="FU63">
        <f>IF(AND(FU$4=1,FU13=0),1,0)</f>
        <v/>
      </c>
      <c r="FV63">
        <f>IF(AND(FV$4=1,FV13=0),1,0)</f>
        <v/>
      </c>
      <c r="FW63">
        <f>IF(AND(FW$4=1,FW13=0),1,0)</f>
        <v/>
      </c>
      <c r="FX63">
        <f>IF(AND(FX$4=1,FX13=0),1,0)</f>
        <v/>
      </c>
      <c r="FY63">
        <f>IF(AND(FY$4=1,FY13=0),1,0)</f>
        <v/>
      </c>
      <c r="FZ63">
        <f>IF(AND(FZ$4=1,FZ13=0),1,0)</f>
        <v/>
      </c>
      <c r="GA63">
        <f>IF(AND(GA$4=1,GA13=0),1,0)</f>
        <v/>
      </c>
      <c r="GB63">
        <f>IF(AND(GB$4=1,GB13=0),1,0)</f>
        <v/>
      </c>
      <c r="GC63">
        <f>IF(AND(GC$4=1,GC13=0),1,0)</f>
        <v/>
      </c>
      <c r="GD63">
        <f>IF(AND(GD$4=1,GD13=0),1,0)</f>
        <v/>
      </c>
      <c r="GE63">
        <f>IF(AND(GE$4=1,GE13=0),1,0)</f>
        <v/>
      </c>
      <c r="GF63">
        <f>IF(AND(GF$4=1,GF13=0),1,0)</f>
        <v/>
      </c>
      <c r="GG63">
        <f>IF(AND(GG$4=1,GG13=0),1,0)</f>
        <v/>
      </c>
      <c r="GH63">
        <f>IF(AND(GH$4=1,GH13=0),1,0)</f>
        <v/>
      </c>
      <c r="GI63">
        <f>IF(AND(GI$4=1,GI13=0),1,0)</f>
        <v/>
      </c>
      <c r="GJ63">
        <f>IF(AND(GJ$4=1,GJ13=0),1,0)</f>
        <v/>
      </c>
      <c r="GK63">
        <f>IF(AND(GK$4=1,GK13=0),1,0)</f>
        <v/>
      </c>
      <c r="GL63">
        <f>IF(AND(GL$4=1,GL13=0),1,0)</f>
        <v/>
      </c>
      <c r="GM63">
        <f>IF(AND(GM$4=1,GM13=0),1,0)</f>
        <v/>
      </c>
      <c r="GN63">
        <f>IF(AND(GN$4=1,GN13=0),1,0)</f>
        <v/>
      </c>
      <c r="GO63">
        <f>IF(AND(GO$4=1,GO13=0),1,0)</f>
        <v/>
      </c>
      <c r="GP63">
        <f>IF(AND(GP$4=1,GP13=0),1,0)</f>
        <v/>
      </c>
      <c r="GQ63">
        <f>IF(AND(GQ$4=1,GQ13=0),1,0)</f>
        <v/>
      </c>
      <c r="GR63">
        <f>IF(AND(GR$4=1,GR13=0),1,0)</f>
        <v/>
      </c>
      <c r="GS63">
        <f>IF(AND(GS$4=1,GS13=0),1,0)</f>
        <v/>
      </c>
      <c r="GT63">
        <f>IF(AND(GT$4=1,GT13=0),1,0)</f>
        <v/>
      </c>
      <c r="GU63">
        <f>IF(AND(GU$4=1,GU13=0),1,0)</f>
        <v/>
      </c>
      <c r="GV63">
        <f>IF(AND(GV$4=1,GV13=0),1,0)</f>
        <v/>
      </c>
      <c r="GW63">
        <f>IF(AND(GW$4=1,GW13=0),1,0)</f>
        <v/>
      </c>
      <c r="GX63">
        <f>IF(AND(GX$4=1,GX13=0),1,0)</f>
        <v/>
      </c>
      <c r="GY63">
        <f>IF(AND(GY$4=1,GY13=0),1,0)</f>
        <v/>
      </c>
      <c r="GZ63">
        <f>IF(AND(GZ$4=1,GZ13=0),1,0)</f>
        <v/>
      </c>
      <c r="HA63">
        <f>IF(AND(HA$4=1,HA13=0),1,0)</f>
        <v/>
      </c>
      <c r="HB63">
        <f>IF(AND(HB$4=1,HB13=0),1,0)</f>
        <v/>
      </c>
      <c r="HC63">
        <f>IF(AND(HC$4=1,HC13=0),1,0)</f>
        <v/>
      </c>
      <c r="HD63">
        <f>IF(AND(HD$4=1,HD13=0),1,0)</f>
        <v/>
      </c>
      <c r="HE63">
        <f>IF(AND(HE$4=1,HE13=0),1,0)</f>
        <v/>
      </c>
      <c r="HF63">
        <f>IF(AND(HF$4=1,HF13=0),1,0)</f>
        <v/>
      </c>
      <c r="HG63">
        <f>IF(AND(HG$4=1,HG13=0),1,0)</f>
        <v/>
      </c>
      <c r="HH63">
        <f>IF(AND(HH$4=1,HH13=0),1,0)</f>
        <v/>
      </c>
      <c r="HI63">
        <f>IF(AND(HI$4=1,HI13=0),1,0)</f>
        <v/>
      </c>
      <c r="HJ63">
        <f>IF(AND(HJ$4=1,HJ13=0),1,0)</f>
        <v/>
      </c>
      <c r="HK63">
        <f>IF(AND(HK$4=1,HK13=0),1,0)</f>
        <v/>
      </c>
      <c r="HL63">
        <f>IF(AND(HL$4=1,HL13=0),1,0)</f>
        <v/>
      </c>
      <c r="HM63">
        <f>IF(AND(HM$4=1,HM13=0),1,0)</f>
        <v/>
      </c>
      <c r="HN63">
        <f>IF(AND(HN$4=1,HN13=0),1,0)</f>
        <v/>
      </c>
      <c r="HO63">
        <f>IF(AND(HO$4=1,HO13=0),1,0)</f>
        <v/>
      </c>
      <c r="HP63">
        <f>IF(AND(HP$4=1,HP13=0),1,0)</f>
        <v/>
      </c>
      <c r="HQ63">
        <f>IF(AND(HQ$4=1,HQ13=0),1,0)</f>
        <v/>
      </c>
      <c r="HR63">
        <f>IF(AND(HR$4=1,HR13=0),1,0)</f>
        <v/>
      </c>
      <c r="HS63">
        <f>IF(AND(HS$4=1,HS13=0),1,0)</f>
        <v/>
      </c>
      <c r="HT63">
        <f>IF(AND(HT$4=1,HT13=0),1,0)</f>
        <v/>
      </c>
      <c r="HU63">
        <f>IF(AND(HU$4=1,HU13=0),1,0)</f>
        <v/>
      </c>
      <c r="HV63">
        <f>IF(AND(HV$4=1,HV13=0),1,0)</f>
        <v/>
      </c>
      <c r="HW63">
        <f>IF(AND(HW$4=1,HW13=0),1,0)</f>
        <v/>
      </c>
      <c r="HX63">
        <f>IF(AND(HX$4=1,HX13=0),1,0)</f>
        <v/>
      </c>
      <c r="HY63">
        <f>IF(AND(HY$4=1,HY13=0),1,0)</f>
        <v/>
      </c>
      <c r="HZ63">
        <f>IF(AND(HZ$4=1,HZ13=0),1,0)</f>
        <v/>
      </c>
      <c r="IA63">
        <f>IF(AND(IA$4=1,IA13=0),1,0)</f>
        <v/>
      </c>
      <c r="IB63">
        <f>IF(AND(IB$4=1,IB13=0),1,0)</f>
        <v/>
      </c>
      <c r="IC63">
        <f>IF(AND(IC$4=1,IC13=0),1,0)</f>
        <v/>
      </c>
      <c r="ID63">
        <f>IF(AND(ID$4=1,ID13=0),1,0)</f>
        <v/>
      </c>
      <c r="IE63">
        <f>IF(AND(IE$4=1,IE13=0),1,0)</f>
        <v/>
      </c>
      <c r="IF63">
        <f>IF(AND(IF$4=1,IF13=0),1,0)</f>
        <v/>
      </c>
      <c r="IG63">
        <f>IF(AND(IG$4=1,IG13=0),1,0)</f>
        <v/>
      </c>
      <c r="IH63">
        <f>IF(AND(IH$4=1,IH13=0),1,0)</f>
        <v/>
      </c>
      <c r="II63">
        <f>IF(AND(II$4=1,II13=0),1,0)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c r="ER64">
        <f>IF(AND(ER$4=1,ER14=0),1,0)</f>
        <v/>
      </c>
      <c r="ES64">
        <f>IF(AND(ES$4=1,ES14=0),1,0)</f>
        <v/>
      </c>
      <c r="ET64">
        <f>IF(AND(ET$4=1,ET14=0),1,0)</f>
        <v/>
      </c>
      <c r="EU64">
        <f>IF(AND(EU$4=1,EU14=0),1,0)</f>
        <v/>
      </c>
      <c r="EV64">
        <f>IF(AND(EV$4=1,EV14=0),1,0)</f>
        <v/>
      </c>
      <c r="EW64">
        <f>IF(AND(EW$4=1,EW14=0),1,0)</f>
        <v/>
      </c>
      <c r="EX64">
        <f>IF(AND(EX$4=1,EX14=0),1,0)</f>
        <v/>
      </c>
      <c r="EY64">
        <f>IF(AND(EY$4=1,EY14=0),1,0)</f>
        <v/>
      </c>
      <c r="EZ64">
        <f>IF(AND(EZ$4=1,EZ14=0),1,0)</f>
        <v/>
      </c>
      <c r="FA64">
        <f>IF(AND(FA$4=1,FA14=0),1,0)</f>
        <v/>
      </c>
      <c r="FB64">
        <f>IF(AND(FB$4=1,FB14=0),1,0)</f>
        <v/>
      </c>
      <c r="FC64">
        <f>IF(AND(FC$4=1,FC14=0),1,0)</f>
        <v/>
      </c>
      <c r="FD64">
        <f>IF(AND(FD$4=1,FD14=0),1,0)</f>
        <v/>
      </c>
      <c r="FE64">
        <f>IF(AND(FE$4=1,FE14=0),1,0)</f>
        <v/>
      </c>
      <c r="FF64">
        <f>IF(AND(FF$4=1,FF14=0),1,0)</f>
        <v/>
      </c>
      <c r="FG64">
        <f>IF(AND(FG$4=1,FG14=0),1,0)</f>
        <v/>
      </c>
      <c r="FH64">
        <f>IF(AND(FH$4=1,FH14=0),1,0)</f>
        <v/>
      </c>
      <c r="FI64">
        <f>IF(AND(FI$4=1,FI14=0),1,0)</f>
        <v/>
      </c>
      <c r="FJ64">
        <f>IF(AND(FJ$4=1,FJ14=0),1,0)</f>
        <v/>
      </c>
      <c r="FK64">
        <f>IF(AND(FK$4=1,FK14=0),1,0)</f>
        <v/>
      </c>
      <c r="FL64">
        <f>IF(AND(FL$4=1,FL14=0),1,0)</f>
        <v/>
      </c>
      <c r="FM64">
        <f>IF(AND(FM$4=1,FM14=0),1,0)</f>
        <v/>
      </c>
      <c r="FN64">
        <f>IF(AND(FN$4=1,FN14=0),1,0)</f>
        <v/>
      </c>
      <c r="FO64">
        <f>IF(AND(FO$4=1,FO14=0),1,0)</f>
        <v/>
      </c>
      <c r="FP64">
        <f>IF(AND(FP$4=1,FP14=0),1,0)</f>
        <v/>
      </c>
      <c r="FQ64">
        <f>IF(AND(FQ$4=1,FQ14=0),1,0)</f>
        <v/>
      </c>
      <c r="FR64">
        <f>IF(AND(FR$4=1,FR14=0),1,0)</f>
        <v/>
      </c>
      <c r="FS64">
        <f>IF(AND(FS$4=1,FS14=0),1,0)</f>
        <v/>
      </c>
      <c r="FT64">
        <f>IF(AND(FT$4=1,FT14=0),1,0)</f>
        <v/>
      </c>
      <c r="FU64">
        <f>IF(AND(FU$4=1,FU14=0),1,0)</f>
        <v/>
      </c>
      <c r="FV64">
        <f>IF(AND(FV$4=1,FV14=0),1,0)</f>
        <v/>
      </c>
      <c r="FW64">
        <f>IF(AND(FW$4=1,FW14=0),1,0)</f>
        <v/>
      </c>
      <c r="FX64">
        <f>IF(AND(FX$4=1,FX14=0),1,0)</f>
        <v/>
      </c>
      <c r="FY64">
        <f>IF(AND(FY$4=1,FY14=0),1,0)</f>
        <v/>
      </c>
      <c r="FZ64">
        <f>IF(AND(FZ$4=1,FZ14=0),1,0)</f>
        <v/>
      </c>
      <c r="GA64">
        <f>IF(AND(GA$4=1,GA14=0),1,0)</f>
        <v/>
      </c>
      <c r="GB64">
        <f>IF(AND(GB$4=1,GB14=0),1,0)</f>
        <v/>
      </c>
      <c r="GC64">
        <f>IF(AND(GC$4=1,GC14=0),1,0)</f>
        <v/>
      </c>
      <c r="GD64">
        <f>IF(AND(GD$4=1,GD14=0),1,0)</f>
        <v/>
      </c>
      <c r="GE64">
        <f>IF(AND(GE$4=1,GE14=0),1,0)</f>
        <v/>
      </c>
      <c r="GF64">
        <f>IF(AND(GF$4=1,GF14=0),1,0)</f>
        <v/>
      </c>
      <c r="GG64">
        <f>IF(AND(GG$4=1,GG14=0),1,0)</f>
        <v/>
      </c>
      <c r="GH64">
        <f>IF(AND(GH$4=1,GH14=0),1,0)</f>
        <v/>
      </c>
      <c r="GI64">
        <f>IF(AND(GI$4=1,GI14=0),1,0)</f>
        <v/>
      </c>
      <c r="GJ64">
        <f>IF(AND(GJ$4=1,GJ14=0),1,0)</f>
        <v/>
      </c>
      <c r="GK64">
        <f>IF(AND(GK$4=1,GK14=0),1,0)</f>
        <v/>
      </c>
      <c r="GL64">
        <f>IF(AND(GL$4=1,GL14=0),1,0)</f>
        <v/>
      </c>
      <c r="GM64">
        <f>IF(AND(GM$4=1,GM14=0),1,0)</f>
        <v/>
      </c>
      <c r="GN64">
        <f>IF(AND(GN$4=1,GN14=0),1,0)</f>
        <v/>
      </c>
      <c r="GO64">
        <f>IF(AND(GO$4=1,GO14=0),1,0)</f>
        <v/>
      </c>
      <c r="GP64">
        <f>IF(AND(GP$4=1,GP14=0),1,0)</f>
        <v/>
      </c>
      <c r="GQ64">
        <f>IF(AND(GQ$4=1,GQ14=0),1,0)</f>
        <v/>
      </c>
      <c r="GR64">
        <f>IF(AND(GR$4=1,GR14=0),1,0)</f>
        <v/>
      </c>
      <c r="GS64">
        <f>IF(AND(GS$4=1,GS14=0),1,0)</f>
        <v/>
      </c>
      <c r="GT64">
        <f>IF(AND(GT$4=1,GT14=0),1,0)</f>
        <v/>
      </c>
      <c r="GU64">
        <f>IF(AND(GU$4=1,GU14=0),1,0)</f>
        <v/>
      </c>
      <c r="GV64">
        <f>IF(AND(GV$4=1,GV14=0),1,0)</f>
        <v/>
      </c>
      <c r="GW64">
        <f>IF(AND(GW$4=1,GW14=0),1,0)</f>
        <v/>
      </c>
      <c r="GX64">
        <f>IF(AND(GX$4=1,GX14=0),1,0)</f>
        <v/>
      </c>
      <c r="GY64">
        <f>IF(AND(GY$4=1,GY14=0),1,0)</f>
        <v/>
      </c>
      <c r="GZ64">
        <f>IF(AND(GZ$4=1,GZ14=0),1,0)</f>
        <v/>
      </c>
      <c r="HA64">
        <f>IF(AND(HA$4=1,HA14=0),1,0)</f>
        <v/>
      </c>
      <c r="HB64">
        <f>IF(AND(HB$4=1,HB14=0),1,0)</f>
        <v/>
      </c>
      <c r="HC64">
        <f>IF(AND(HC$4=1,HC14=0),1,0)</f>
        <v/>
      </c>
      <c r="HD64">
        <f>IF(AND(HD$4=1,HD14=0),1,0)</f>
        <v/>
      </c>
      <c r="HE64">
        <f>IF(AND(HE$4=1,HE14=0),1,0)</f>
        <v/>
      </c>
      <c r="HF64">
        <f>IF(AND(HF$4=1,HF14=0),1,0)</f>
        <v/>
      </c>
      <c r="HG64">
        <f>IF(AND(HG$4=1,HG14=0),1,0)</f>
        <v/>
      </c>
      <c r="HH64">
        <f>IF(AND(HH$4=1,HH14=0),1,0)</f>
        <v/>
      </c>
      <c r="HI64">
        <f>IF(AND(HI$4=1,HI14=0),1,0)</f>
        <v/>
      </c>
      <c r="HJ64">
        <f>IF(AND(HJ$4=1,HJ14=0),1,0)</f>
        <v/>
      </c>
      <c r="HK64">
        <f>IF(AND(HK$4=1,HK14=0),1,0)</f>
        <v/>
      </c>
      <c r="HL64">
        <f>IF(AND(HL$4=1,HL14=0),1,0)</f>
        <v/>
      </c>
      <c r="HM64">
        <f>IF(AND(HM$4=1,HM14=0),1,0)</f>
        <v/>
      </c>
      <c r="HN64">
        <f>IF(AND(HN$4=1,HN14=0),1,0)</f>
        <v/>
      </c>
      <c r="HO64">
        <f>IF(AND(HO$4=1,HO14=0),1,0)</f>
        <v/>
      </c>
      <c r="HP64">
        <f>IF(AND(HP$4=1,HP14=0),1,0)</f>
        <v/>
      </c>
      <c r="HQ64">
        <f>IF(AND(HQ$4=1,HQ14=0),1,0)</f>
        <v/>
      </c>
      <c r="HR64">
        <f>IF(AND(HR$4=1,HR14=0),1,0)</f>
        <v/>
      </c>
      <c r="HS64">
        <f>IF(AND(HS$4=1,HS14=0),1,0)</f>
        <v/>
      </c>
      <c r="HT64">
        <f>IF(AND(HT$4=1,HT14=0),1,0)</f>
        <v/>
      </c>
      <c r="HU64">
        <f>IF(AND(HU$4=1,HU14=0),1,0)</f>
        <v/>
      </c>
      <c r="HV64">
        <f>IF(AND(HV$4=1,HV14=0),1,0)</f>
        <v/>
      </c>
      <c r="HW64">
        <f>IF(AND(HW$4=1,HW14=0),1,0)</f>
        <v/>
      </c>
      <c r="HX64">
        <f>IF(AND(HX$4=1,HX14=0),1,0)</f>
        <v/>
      </c>
      <c r="HY64">
        <f>IF(AND(HY$4=1,HY14=0),1,0)</f>
        <v/>
      </c>
      <c r="HZ64">
        <f>IF(AND(HZ$4=1,HZ14=0),1,0)</f>
        <v/>
      </c>
      <c r="IA64">
        <f>IF(AND(IA$4=1,IA14=0),1,0)</f>
        <v/>
      </c>
      <c r="IB64">
        <f>IF(AND(IB$4=1,IB14=0),1,0)</f>
        <v/>
      </c>
      <c r="IC64">
        <f>IF(AND(IC$4=1,IC14=0),1,0)</f>
        <v/>
      </c>
      <c r="ID64">
        <f>IF(AND(ID$4=1,ID14=0),1,0)</f>
        <v/>
      </c>
      <c r="IE64">
        <f>IF(AND(IE$4=1,IE14=0),1,0)</f>
        <v/>
      </c>
      <c r="IF64">
        <f>IF(AND(IF$4=1,IF14=0),1,0)</f>
        <v/>
      </c>
      <c r="IG64">
        <f>IF(AND(IG$4=1,IG14=0),1,0)</f>
        <v/>
      </c>
      <c r="IH64">
        <f>IF(AND(IH$4=1,IH14=0),1,0)</f>
        <v/>
      </c>
      <c r="II64">
        <f>IF(AND(II$4=1,II14=0),1,0)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c r="ER65">
        <f>IF(AND(ER$4=1,ER15=0),1,0)</f>
        <v/>
      </c>
      <c r="ES65">
        <f>IF(AND(ES$4=1,ES15=0),1,0)</f>
        <v/>
      </c>
      <c r="ET65">
        <f>IF(AND(ET$4=1,ET15=0),1,0)</f>
        <v/>
      </c>
      <c r="EU65">
        <f>IF(AND(EU$4=1,EU15=0),1,0)</f>
        <v/>
      </c>
      <c r="EV65">
        <f>IF(AND(EV$4=1,EV15=0),1,0)</f>
        <v/>
      </c>
      <c r="EW65">
        <f>IF(AND(EW$4=1,EW15=0),1,0)</f>
        <v/>
      </c>
      <c r="EX65">
        <f>IF(AND(EX$4=1,EX15=0),1,0)</f>
        <v/>
      </c>
      <c r="EY65">
        <f>IF(AND(EY$4=1,EY15=0),1,0)</f>
        <v/>
      </c>
      <c r="EZ65">
        <f>IF(AND(EZ$4=1,EZ15=0),1,0)</f>
        <v/>
      </c>
      <c r="FA65">
        <f>IF(AND(FA$4=1,FA15=0),1,0)</f>
        <v/>
      </c>
      <c r="FB65">
        <f>IF(AND(FB$4=1,FB15=0),1,0)</f>
        <v/>
      </c>
      <c r="FC65">
        <f>IF(AND(FC$4=1,FC15=0),1,0)</f>
        <v/>
      </c>
      <c r="FD65">
        <f>IF(AND(FD$4=1,FD15=0),1,0)</f>
        <v/>
      </c>
      <c r="FE65">
        <f>IF(AND(FE$4=1,FE15=0),1,0)</f>
        <v/>
      </c>
      <c r="FF65">
        <f>IF(AND(FF$4=1,FF15=0),1,0)</f>
        <v/>
      </c>
      <c r="FG65">
        <f>IF(AND(FG$4=1,FG15=0),1,0)</f>
        <v/>
      </c>
      <c r="FH65">
        <f>IF(AND(FH$4=1,FH15=0),1,0)</f>
        <v/>
      </c>
      <c r="FI65">
        <f>IF(AND(FI$4=1,FI15=0),1,0)</f>
        <v/>
      </c>
      <c r="FJ65">
        <f>IF(AND(FJ$4=1,FJ15=0),1,0)</f>
        <v/>
      </c>
      <c r="FK65">
        <f>IF(AND(FK$4=1,FK15=0),1,0)</f>
        <v/>
      </c>
      <c r="FL65">
        <f>IF(AND(FL$4=1,FL15=0),1,0)</f>
        <v/>
      </c>
      <c r="FM65">
        <f>IF(AND(FM$4=1,FM15=0),1,0)</f>
        <v/>
      </c>
      <c r="FN65">
        <f>IF(AND(FN$4=1,FN15=0),1,0)</f>
        <v/>
      </c>
      <c r="FO65">
        <f>IF(AND(FO$4=1,FO15=0),1,0)</f>
        <v/>
      </c>
      <c r="FP65">
        <f>IF(AND(FP$4=1,FP15=0),1,0)</f>
        <v/>
      </c>
      <c r="FQ65">
        <f>IF(AND(FQ$4=1,FQ15=0),1,0)</f>
        <v/>
      </c>
      <c r="FR65">
        <f>IF(AND(FR$4=1,FR15=0),1,0)</f>
        <v/>
      </c>
      <c r="FS65">
        <f>IF(AND(FS$4=1,FS15=0),1,0)</f>
        <v/>
      </c>
      <c r="FT65">
        <f>IF(AND(FT$4=1,FT15=0),1,0)</f>
        <v/>
      </c>
      <c r="FU65">
        <f>IF(AND(FU$4=1,FU15=0),1,0)</f>
        <v/>
      </c>
      <c r="FV65">
        <f>IF(AND(FV$4=1,FV15=0),1,0)</f>
        <v/>
      </c>
      <c r="FW65">
        <f>IF(AND(FW$4=1,FW15=0),1,0)</f>
        <v/>
      </c>
      <c r="FX65">
        <f>IF(AND(FX$4=1,FX15=0),1,0)</f>
        <v/>
      </c>
      <c r="FY65">
        <f>IF(AND(FY$4=1,FY15=0),1,0)</f>
        <v/>
      </c>
      <c r="FZ65">
        <f>IF(AND(FZ$4=1,FZ15=0),1,0)</f>
        <v/>
      </c>
      <c r="GA65">
        <f>IF(AND(GA$4=1,GA15=0),1,0)</f>
        <v/>
      </c>
      <c r="GB65">
        <f>IF(AND(GB$4=1,GB15=0),1,0)</f>
        <v/>
      </c>
      <c r="GC65">
        <f>IF(AND(GC$4=1,GC15=0),1,0)</f>
        <v/>
      </c>
      <c r="GD65">
        <f>IF(AND(GD$4=1,GD15=0),1,0)</f>
        <v/>
      </c>
      <c r="GE65">
        <f>IF(AND(GE$4=1,GE15=0),1,0)</f>
        <v/>
      </c>
      <c r="GF65">
        <f>IF(AND(GF$4=1,GF15=0),1,0)</f>
        <v/>
      </c>
      <c r="GG65">
        <f>IF(AND(GG$4=1,GG15=0),1,0)</f>
        <v/>
      </c>
      <c r="GH65">
        <f>IF(AND(GH$4=1,GH15=0),1,0)</f>
        <v/>
      </c>
      <c r="GI65">
        <f>IF(AND(GI$4=1,GI15=0),1,0)</f>
        <v/>
      </c>
      <c r="GJ65">
        <f>IF(AND(GJ$4=1,GJ15=0),1,0)</f>
        <v/>
      </c>
      <c r="GK65">
        <f>IF(AND(GK$4=1,GK15=0),1,0)</f>
        <v/>
      </c>
      <c r="GL65">
        <f>IF(AND(GL$4=1,GL15=0),1,0)</f>
        <v/>
      </c>
      <c r="GM65">
        <f>IF(AND(GM$4=1,GM15=0),1,0)</f>
        <v/>
      </c>
      <c r="GN65">
        <f>IF(AND(GN$4=1,GN15=0),1,0)</f>
        <v/>
      </c>
      <c r="GO65">
        <f>IF(AND(GO$4=1,GO15=0),1,0)</f>
        <v/>
      </c>
      <c r="GP65">
        <f>IF(AND(GP$4=1,GP15=0),1,0)</f>
        <v/>
      </c>
      <c r="GQ65">
        <f>IF(AND(GQ$4=1,GQ15=0),1,0)</f>
        <v/>
      </c>
      <c r="GR65">
        <f>IF(AND(GR$4=1,GR15=0),1,0)</f>
        <v/>
      </c>
      <c r="GS65">
        <f>IF(AND(GS$4=1,GS15=0),1,0)</f>
        <v/>
      </c>
      <c r="GT65">
        <f>IF(AND(GT$4=1,GT15=0),1,0)</f>
        <v/>
      </c>
      <c r="GU65">
        <f>IF(AND(GU$4=1,GU15=0),1,0)</f>
        <v/>
      </c>
      <c r="GV65">
        <f>IF(AND(GV$4=1,GV15=0),1,0)</f>
        <v/>
      </c>
      <c r="GW65">
        <f>IF(AND(GW$4=1,GW15=0),1,0)</f>
        <v/>
      </c>
      <c r="GX65">
        <f>IF(AND(GX$4=1,GX15=0),1,0)</f>
        <v/>
      </c>
      <c r="GY65">
        <f>IF(AND(GY$4=1,GY15=0),1,0)</f>
        <v/>
      </c>
      <c r="GZ65">
        <f>IF(AND(GZ$4=1,GZ15=0),1,0)</f>
        <v/>
      </c>
      <c r="HA65">
        <f>IF(AND(HA$4=1,HA15=0),1,0)</f>
        <v/>
      </c>
      <c r="HB65">
        <f>IF(AND(HB$4=1,HB15=0),1,0)</f>
        <v/>
      </c>
      <c r="HC65">
        <f>IF(AND(HC$4=1,HC15=0),1,0)</f>
        <v/>
      </c>
      <c r="HD65">
        <f>IF(AND(HD$4=1,HD15=0),1,0)</f>
        <v/>
      </c>
      <c r="HE65">
        <f>IF(AND(HE$4=1,HE15=0),1,0)</f>
        <v/>
      </c>
      <c r="HF65">
        <f>IF(AND(HF$4=1,HF15=0),1,0)</f>
        <v/>
      </c>
      <c r="HG65">
        <f>IF(AND(HG$4=1,HG15=0),1,0)</f>
        <v/>
      </c>
      <c r="HH65">
        <f>IF(AND(HH$4=1,HH15=0),1,0)</f>
        <v/>
      </c>
      <c r="HI65">
        <f>IF(AND(HI$4=1,HI15=0),1,0)</f>
        <v/>
      </c>
      <c r="HJ65">
        <f>IF(AND(HJ$4=1,HJ15=0),1,0)</f>
        <v/>
      </c>
      <c r="HK65">
        <f>IF(AND(HK$4=1,HK15=0),1,0)</f>
        <v/>
      </c>
      <c r="HL65">
        <f>IF(AND(HL$4=1,HL15=0),1,0)</f>
        <v/>
      </c>
      <c r="HM65">
        <f>IF(AND(HM$4=1,HM15=0),1,0)</f>
        <v/>
      </c>
      <c r="HN65">
        <f>IF(AND(HN$4=1,HN15=0),1,0)</f>
        <v/>
      </c>
      <c r="HO65">
        <f>IF(AND(HO$4=1,HO15=0),1,0)</f>
        <v/>
      </c>
      <c r="HP65">
        <f>IF(AND(HP$4=1,HP15=0),1,0)</f>
        <v/>
      </c>
      <c r="HQ65">
        <f>IF(AND(HQ$4=1,HQ15=0),1,0)</f>
        <v/>
      </c>
      <c r="HR65">
        <f>IF(AND(HR$4=1,HR15=0),1,0)</f>
        <v/>
      </c>
      <c r="HS65">
        <f>IF(AND(HS$4=1,HS15=0),1,0)</f>
        <v/>
      </c>
      <c r="HT65">
        <f>IF(AND(HT$4=1,HT15=0),1,0)</f>
        <v/>
      </c>
      <c r="HU65">
        <f>IF(AND(HU$4=1,HU15=0),1,0)</f>
        <v/>
      </c>
      <c r="HV65">
        <f>IF(AND(HV$4=1,HV15=0),1,0)</f>
        <v/>
      </c>
      <c r="HW65">
        <f>IF(AND(HW$4=1,HW15=0),1,0)</f>
        <v/>
      </c>
      <c r="HX65">
        <f>IF(AND(HX$4=1,HX15=0),1,0)</f>
        <v/>
      </c>
      <c r="HY65">
        <f>IF(AND(HY$4=1,HY15=0),1,0)</f>
        <v/>
      </c>
      <c r="HZ65">
        <f>IF(AND(HZ$4=1,HZ15=0),1,0)</f>
        <v/>
      </c>
      <c r="IA65">
        <f>IF(AND(IA$4=1,IA15=0),1,0)</f>
        <v/>
      </c>
      <c r="IB65">
        <f>IF(AND(IB$4=1,IB15=0),1,0)</f>
        <v/>
      </c>
      <c r="IC65">
        <f>IF(AND(IC$4=1,IC15=0),1,0)</f>
        <v/>
      </c>
      <c r="ID65">
        <f>IF(AND(ID$4=1,ID15=0),1,0)</f>
        <v/>
      </c>
      <c r="IE65">
        <f>IF(AND(IE$4=1,IE15=0),1,0)</f>
        <v/>
      </c>
      <c r="IF65">
        <f>IF(AND(IF$4=1,IF15=0),1,0)</f>
        <v/>
      </c>
      <c r="IG65">
        <f>IF(AND(IG$4=1,IG15=0),1,0)</f>
        <v/>
      </c>
      <c r="IH65">
        <f>IF(AND(IH$4=1,IH15=0),1,0)</f>
        <v/>
      </c>
      <c r="II65">
        <f>IF(AND(II$4=1,II15=0),1,0)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c r="ER66">
        <f>IF(AND(ER$4=1,ER16=0),1,0)</f>
        <v/>
      </c>
      <c r="ES66">
        <f>IF(AND(ES$4=1,ES16=0),1,0)</f>
        <v/>
      </c>
      <c r="ET66">
        <f>IF(AND(ET$4=1,ET16=0),1,0)</f>
        <v/>
      </c>
      <c r="EU66">
        <f>IF(AND(EU$4=1,EU16=0),1,0)</f>
        <v/>
      </c>
      <c r="EV66">
        <f>IF(AND(EV$4=1,EV16=0),1,0)</f>
        <v/>
      </c>
      <c r="EW66">
        <f>IF(AND(EW$4=1,EW16=0),1,0)</f>
        <v/>
      </c>
      <c r="EX66">
        <f>IF(AND(EX$4=1,EX16=0),1,0)</f>
        <v/>
      </c>
      <c r="EY66">
        <f>IF(AND(EY$4=1,EY16=0),1,0)</f>
        <v/>
      </c>
      <c r="EZ66">
        <f>IF(AND(EZ$4=1,EZ16=0),1,0)</f>
        <v/>
      </c>
      <c r="FA66">
        <f>IF(AND(FA$4=1,FA16=0),1,0)</f>
        <v/>
      </c>
      <c r="FB66">
        <f>IF(AND(FB$4=1,FB16=0),1,0)</f>
        <v/>
      </c>
      <c r="FC66">
        <f>IF(AND(FC$4=1,FC16=0),1,0)</f>
        <v/>
      </c>
      <c r="FD66">
        <f>IF(AND(FD$4=1,FD16=0),1,0)</f>
        <v/>
      </c>
      <c r="FE66">
        <f>IF(AND(FE$4=1,FE16=0),1,0)</f>
        <v/>
      </c>
      <c r="FF66">
        <f>IF(AND(FF$4=1,FF16=0),1,0)</f>
        <v/>
      </c>
      <c r="FG66">
        <f>IF(AND(FG$4=1,FG16=0),1,0)</f>
        <v/>
      </c>
      <c r="FH66">
        <f>IF(AND(FH$4=1,FH16=0),1,0)</f>
        <v/>
      </c>
      <c r="FI66">
        <f>IF(AND(FI$4=1,FI16=0),1,0)</f>
        <v/>
      </c>
      <c r="FJ66">
        <f>IF(AND(FJ$4=1,FJ16=0),1,0)</f>
        <v/>
      </c>
      <c r="FK66">
        <f>IF(AND(FK$4=1,FK16=0),1,0)</f>
        <v/>
      </c>
      <c r="FL66">
        <f>IF(AND(FL$4=1,FL16=0),1,0)</f>
        <v/>
      </c>
      <c r="FM66">
        <f>IF(AND(FM$4=1,FM16=0),1,0)</f>
        <v/>
      </c>
      <c r="FN66">
        <f>IF(AND(FN$4=1,FN16=0),1,0)</f>
        <v/>
      </c>
      <c r="FO66">
        <f>IF(AND(FO$4=1,FO16=0),1,0)</f>
        <v/>
      </c>
      <c r="FP66">
        <f>IF(AND(FP$4=1,FP16=0),1,0)</f>
        <v/>
      </c>
      <c r="FQ66">
        <f>IF(AND(FQ$4=1,FQ16=0),1,0)</f>
        <v/>
      </c>
      <c r="FR66">
        <f>IF(AND(FR$4=1,FR16=0),1,0)</f>
        <v/>
      </c>
      <c r="FS66">
        <f>IF(AND(FS$4=1,FS16=0),1,0)</f>
        <v/>
      </c>
      <c r="FT66">
        <f>IF(AND(FT$4=1,FT16=0),1,0)</f>
        <v/>
      </c>
      <c r="FU66">
        <f>IF(AND(FU$4=1,FU16=0),1,0)</f>
        <v/>
      </c>
      <c r="FV66">
        <f>IF(AND(FV$4=1,FV16=0),1,0)</f>
        <v/>
      </c>
      <c r="FW66">
        <f>IF(AND(FW$4=1,FW16=0),1,0)</f>
        <v/>
      </c>
      <c r="FX66">
        <f>IF(AND(FX$4=1,FX16=0),1,0)</f>
        <v/>
      </c>
      <c r="FY66">
        <f>IF(AND(FY$4=1,FY16=0),1,0)</f>
        <v/>
      </c>
      <c r="FZ66">
        <f>IF(AND(FZ$4=1,FZ16=0),1,0)</f>
        <v/>
      </c>
      <c r="GA66">
        <f>IF(AND(GA$4=1,GA16=0),1,0)</f>
        <v/>
      </c>
      <c r="GB66">
        <f>IF(AND(GB$4=1,GB16=0),1,0)</f>
        <v/>
      </c>
      <c r="GC66">
        <f>IF(AND(GC$4=1,GC16=0),1,0)</f>
        <v/>
      </c>
      <c r="GD66">
        <f>IF(AND(GD$4=1,GD16=0),1,0)</f>
        <v/>
      </c>
      <c r="GE66">
        <f>IF(AND(GE$4=1,GE16=0),1,0)</f>
        <v/>
      </c>
      <c r="GF66">
        <f>IF(AND(GF$4=1,GF16=0),1,0)</f>
        <v/>
      </c>
      <c r="GG66">
        <f>IF(AND(GG$4=1,GG16=0),1,0)</f>
        <v/>
      </c>
      <c r="GH66">
        <f>IF(AND(GH$4=1,GH16=0),1,0)</f>
        <v/>
      </c>
      <c r="GI66">
        <f>IF(AND(GI$4=1,GI16=0),1,0)</f>
        <v/>
      </c>
      <c r="GJ66">
        <f>IF(AND(GJ$4=1,GJ16=0),1,0)</f>
        <v/>
      </c>
      <c r="GK66">
        <f>IF(AND(GK$4=1,GK16=0),1,0)</f>
        <v/>
      </c>
      <c r="GL66">
        <f>IF(AND(GL$4=1,GL16=0),1,0)</f>
        <v/>
      </c>
      <c r="GM66">
        <f>IF(AND(GM$4=1,GM16=0),1,0)</f>
        <v/>
      </c>
      <c r="GN66">
        <f>IF(AND(GN$4=1,GN16=0),1,0)</f>
        <v/>
      </c>
      <c r="GO66">
        <f>IF(AND(GO$4=1,GO16=0),1,0)</f>
        <v/>
      </c>
      <c r="GP66">
        <f>IF(AND(GP$4=1,GP16=0),1,0)</f>
        <v/>
      </c>
      <c r="GQ66">
        <f>IF(AND(GQ$4=1,GQ16=0),1,0)</f>
        <v/>
      </c>
      <c r="GR66">
        <f>IF(AND(GR$4=1,GR16=0),1,0)</f>
        <v/>
      </c>
      <c r="GS66">
        <f>IF(AND(GS$4=1,GS16=0),1,0)</f>
        <v/>
      </c>
      <c r="GT66">
        <f>IF(AND(GT$4=1,GT16=0),1,0)</f>
        <v/>
      </c>
      <c r="GU66">
        <f>IF(AND(GU$4=1,GU16=0),1,0)</f>
        <v/>
      </c>
      <c r="GV66">
        <f>IF(AND(GV$4=1,GV16=0),1,0)</f>
        <v/>
      </c>
      <c r="GW66">
        <f>IF(AND(GW$4=1,GW16=0),1,0)</f>
        <v/>
      </c>
      <c r="GX66">
        <f>IF(AND(GX$4=1,GX16=0),1,0)</f>
        <v/>
      </c>
      <c r="GY66">
        <f>IF(AND(GY$4=1,GY16=0),1,0)</f>
        <v/>
      </c>
      <c r="GZ66">
        <f>IF(AND(GZ$4=1,GZ16=0),1,0)</f>
        <v/>
      </c>
      <c r="HA66">
        <f>IF(AND(HA$4=1,HA16=0),1,0)</f>
        <v/>
      </c>
      <c r="HB66">
        <f>IF(AND(HB$4=1,HB16=0),1,0)</f>
        <v/>
      </c>
      <c r="HC66">
        <f>IF(AND(HC$4=1,HC16=0),1,0)</f>
        <v/>
      </c>
      <c r="HD66">
        <f>IF(AND(HD$4=1,HD16=0),1,0)</f>
        <v/>
      </c>
      <c r="HE66">
        <f>IF(AND(HE$4=1,HE16=0),1,0)</f>
        <v/>
      </c>
      <c r="HF66">
        <f>IF(AND(HF$4=1,HF16=0),1,0)</f>
        <v/>
      </c>
      <c r="HG66">
        <f>IF(AND(HG$4=1,HG16=0),1,0)</f>
        <v/>
      </c>
      <c r="HH66">
        <f>IF(AND(HH$4=1,HH16=0),1,0)</f>
        <v/>
      </c>
      <c r="HI66">
        <f>IF(AND(HI$4=1,HI16=0),1,0)</f>
        <v/>
      </c>
      <c r="HJ66">
        <f>IF(AND(HJ$4=1,HJ16=0),1,0)</f>
        <v/>
      </c>
      <c r="HK66">
        <f>IF(AND(HK$4=1,HK16=0),1,0)</f>
        <v/>
      </c>
      <c r="HL66">
        <f>IF(AND(HL$4=1,HL16=0),1,0)</f>
        <v/>
      </c>
      <c r="HM66">
        <f>IF(AND(HM$4=1,HM16=0),1,0)</f>
        <v/>
      </c>
      <c r="HN66">
        <f>IF(AND(HN$4=1,HN16=0),1,0)</f>
        <v/>
      </c>
      <c r="HO66">
        <f>IF(AND(HO$4=1,HO16=0),1,0)</f>
        <v/>
      </c>
      <c r="HP66">
        <f>IF(AND(HP$4=1,HP16=0),1,0)</f>
        <v/>
      </c>
      <c r="HQ66">
        <f>IF(AND(HQ$4=1,HQ16=0),1,0)</f>
        <v/>
      </c>
      <c r="HR66">
        <f>IF(AND(HR$4=1,HR16=0),1,0)</f>
        <v/>
      </c>
      <c r="HS66">
        <f>IF(AND(HS$4=1,HS16=0),1,0)</f>
        <v/>
      </c>
      <c r="HT66">
        <f>IF(AND(HT$4=1,HT16=0),1,0)</f>
        <v/>
      </c>
      <c r="HU66">
        <f>IF(AND(HU$4=1,HU16=0),1,0)</f>
        <v/>
      </c>
      <c r="HV66">
        <f>IF(AND(HV$4=1,HV16=0),1,0)</f>
        <v/>
      </c>
      <c r="HW66">
        <f>IF(AND(HW$4=1,HW16=0),1,0)</f>
        <v/>
      </c>
      <c r="HX66">
        <f>IF(AND(HX$4=1,HX16=0),1,0)</f>
        <v/>
      </c>
      <c r="HY66">
        <f>IF(AND(HY$4=1,HY16=0),1,0)</f>
        <v/>
      </c>
      <c r="HZ66">
        <f>IF(AND(HZ$4=1,HZ16=0),1,0)</f>
        <v/>
      </c>
      <c r="IA66">
        <f>IF(AND(IA$4=1,IA16=0),1,0)</f>
        <v/>
      </c>
      <c r="IB66">
        <f>IF(AND(IB$4=1,IB16=0),1,0)</f>
        <v/>
      </c>
      <c r="IC66">
        <f>IF(AND(IC$4=1,IC16=0),1,0)</f>
        <v/>
      </c>
      <c r="ID66">
        <f>IF(AND(ID$4=1,ID16=0),1,0)</f>
        <v/>
      </c>
      <c r="IE66">
        <f>IF(AND(IE$4=1,IE16=0),1,0)</f>
        <v/>
      </c>
      <c r="IF66">
        <f>IF(AND(IF$4=1,IF16=0),1,0)</f>
        <v/>
      </c>
      <c r="IG66">
        <f>IF(AND(IG$4=1,IG16=0),1,0)</f>
        <v/>
      </c>
      <c r="IH66">
        <f>IF(AND(IH$4=1,IH16=0),1,0)</f>
        <v/>
      </c>
      <c r="II66">
        <f>IF(AND(II$4=1,II16=0),1,0)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c r="ER67">
        <f>IF(AND(ER$4=1,ER17=0),1,0)</f>
        <v/>
      </c>
      <c r="ES67">
        <f>IF(AND(ES$4=1,ES17=0),1,0)</f>
        <v/>
      </c>
      <c r="ET67">
        <f>IF(AND(ET$4=1,ET17=0),1,0)</f>
        <v/>
      </c>
      <c r="EU67">
        <f>IF(AND(EU$4=1,EU17=0),1,0)</f>
        <v/>
      </c>
      <c r="EV67">
        <f>IF(AND(EV$4=1,EV17=0),1,0)</f>
        <v/>
      </c>
      <c r="EW67">
        <f>IF(AND(EW$4=1,EW17=0),1,0)</f>
        <v/>
      </c>
      <c r="EX67">
        <f>IF(AND(EX$4=1,EX17=0),1,0)</f>
        <v/>
      </c>
      <c r="EY67">
        <f>IF(AND(EY$4=1,EY17=0),1,0)</f>
        <v/>
      </c>
      <c r="EZ67">
        <f>IF(AND(EZ$4=1,EZ17=0),1,0)</f>
        <v/>
      </c>
      <c r="FA67">
        <f>IF(AND(FA$4=1,FA17=0),1,0)</f>
        <v/>
      </c>
      <c r="FB67">
        <f>IF(AND(FB$4=1,FB17=0),1,0)</f>
        <v/>
      </c>
      <c r="FC67">
        <f>IF(AND(FC$4=1,FC17=0),1,0)</f>
        <v/>
      </c>
      <c r="FD67">
        <f>IF(AND(FD$4=1,FD17=0),1,0)</f>
        <v/>
      </c>
      <c r="FE67">
        <f>IF(AND(FE$4=1,FE17=0),1,0)</f>
        <v/>
      </c>
      <c r="FF67">
        <f>IF(AND(FF$4=1,FF17=0),1,0)</f>
        <v/>
      </c>
      <c r="FG67">
        <f>IF(AND(FG$4=1,FG17=0),1,0)</f>
        <v/>
      </c>
      <c r="FH67">
        <f>IF(AND(FH$4=1,FH17=0),1,0)</f>
        <v/>
      </c>
      <c r="FI67">
        <f>IF(AND(FI$4=1,FI17=0),1,0)</f>
        <v/>
      </c>
      <c r="FJ67">
        <f>IF(AND(FJ$4=1,FJ17=0),1,0)</f>
        <v/>
      </c>
      <c r="FK67">
        <f>IF(AND(FK$4=1,FK17=0),1,0)</f>
        <v/>
      </c>
      <c r="FL67">
        <f>IF(AND(FL$4=1,FL17=0),1,0)</f>
        <v/>
      </c>
      <c r="FM67">
        <f>IF(AND(FM$4=1,FM17=0),1,0)</f>
        <v/>
      </c>
      <c r="FN67">
        <f>IF(AND(FN$4=1,FN17=0),1,0)</f>
        <v/>
      </c>
      <c r="FO67">
        <f>IF(AND(FO$4=1,FO17=0),1,0)</f>
        <v/>
      </c>
      <c r="FP67">
        <f>IF(AND(FP$4=1,FP17=0),1,0)</f>
        <v/>
      </c>
      <c r="FQ67">
        <f>IF(AND(FQ$4=1,FQ17=0),1,0)</f>
        <v/>
      </c>
      <c r="FR67">
        <f>IF(AND(FR$4=1,FR17=0),1,0)</f>
        <v/>
      </c>
      <c r="FS67">
        <f>IF(AND(FS$4=1,FS17=0),1,0)</f>
        <v/>
      </c>
      <c r="FT67">
        <f>IF(AND(FT$4=1,FT17=0),1,0)</f>
        <v/>
      </c>
      <c r="FU67">
        <f>IF(AND(FU$4=1,FU17=0),1,0)</f>
        <v/>
      </c>
      <c r="FV67">
        <f>IF(AND(FV$4=1,FV17=0),1,0)</f>
        <v/>
      </c>
      <c r="FW67">
        <f>IF(AND(FW$4=1,FW17=0),1,0)</f>
        <v/>
      </c>
      <c r="FX67">
        <f>IF(AND(FX$4=1,FX17=0),1,0)</f>
        <v/>
      </c>
      <c r="FY67">
        <f>IF(AND(FY$4=1,FY17=0),1,0)</f>
        <v/>
      </c>
      <c r="FZ67">
        <f>IF(AND(FZ$4=1,FZ17=0),1,0)</f>
        <v/>
      </c>
      <c r="GA67">
        <f>IF(AND(GA$4=1,GA17=0),1,0)</f>
        <v/>
      </c>
      <c r="GB67">
        <f>IF(AND(GB$4=1,GB17=0),1,0)</f>
        <v/>
      </c>
      <c r="GC67">
        <f>IF(AND(GC$4=1,GC17=0),1,0)</f>
        <v/>
      </c>
      <c r="GD67">
        <f>IF(AND(GD$4=1,GD17=0),1,0)</f>
        <v/>
      </c>
      <c r="GE67">
        <f>IF(AND(GE$4=1,GE17=0),1,0)</f>
        <v/>
      </c>
      <c r="GF67">
        <f>IF(AND(GF$4=1,GF17=0),1,0)</f>
        <v/>
      </c>
      <c r="GG67">
        <f>IF(AND(GG$4=1,GG17=0),1,0)</f>
        <v/>
      </c>
      <c r="GH67">
        <f>IF(AND(GH$4=1,GH17=0),1,0)</f>
        <v/>
      </c>
      <c r="GI67">
        <f>IF(AND(GI$4=1,GI17=0),1,0)</f>
        <v/>
      </c>
      <c r="GJ67">
        <f>IF(AND(GJ$4=1,GJ17=0),1,0)</f>
        <v/>
      </c>
      <c r="GK67">
        <f>IF(AND(GK$4=1,GK17=0),1,0)</f>
        <v/>
      </c>
      <c r="GL67">
        <f>IF(AND(GL$4=1,GL17=0),1,0)</f>
        <v/>
      </c>
      <c r="GM67">
        <f>IF(AND(GM$4=1,GM17=0),1,0)</f>
        <v/>
      </c>
      <c r="GN67">
        <f>IF(AND(GN$4=1,GN17=0),1,0)</f>
        <v/>
      </c>
      <c r="GO67">
        <f>IF(AND(GO$4=1,GO17=0),1,0)</f>
        <v/>
      </c>
      <c r="GP67">
        <f>IF(AND(GP$4=1,GP17=0),1,0)</f>
        <v/>
      </c>
      <c r="GQ67">
        <f>IF(AND(GQ$4=1,GQ17=0),1,0)</f>
        <v/>
      </c>
      <c r="GR67">
        <f>IF(AND(GR$4=1,GR17=0),1,0)</f>
        <v/>
      </c>
      <c r="GS67">
        <f>IF(AND(GS$4=1,GS17=0),1,0)</f>
        <v/>
      </c>
      <c r="GT67">
        <f>IF(AND(GT$4=1,GT17=0),1,0)</f>
        <v/>
      </c>
      <c r="GU67">
        <f>IF(AND(GU$4=1,GU17=0),1,0)</f>
        <v/>
      </c>
      <c r="GV67">
        <f>IF(AND(GV$4=1,GV17=0),1,0)</f>
        <v/>
      </c>
      <c r="GW67">
        <f>IF(AND(GW$4=1,GW17=0),1,0)</f>
        <v/>
      </c>
      <c r="GX67">
        <f>IF(AND(GX$4=1,GX17=0),1,0)</f>
        <v/>
      </c>
      <c r="GY67">
        <f>IF(AND(GY$4=1,GY17=0),1,0)</f>
        <v/>
      </c>
      <c r="GZ67">
        <f>IF(AND(GZ$4=1,GZ17=0),1,0)</f>
        <v/>
      </c>
      <c r="HA67">
        <f>IF(AND(HA$4=1,HA17=0),1,0)</f>
        <v/>
      </c>
      <c r="HB67">
        <f>IF(AND(HB$4=1,HB17=0),1,0)</f>
        <v/>
      </c>
      <c r="HC67">
        <f>IF(AND(HC$4=1,HC17=0),1,0)</f>
        <v/>
      </c>
      <c r="HD67">
        <f>IF(AND(HD$4=1,HD17=0),1,0)</f>
        <v/>
      </c>
      <c r="HE67">
        <f>IF(AND(HE$4=1,HE17=0),1,0)</f>
        <v/>
      </c>
      <c r="HF67">
        <f>IF(AND(HF$4=1,HF17=0),1,0)</f>
        <v/>
      </c>
      <c r="HG67">
        <f>IF(AND(HG$4=1,HG17=0),1,0)</f>
        <v/>
      </c>
      <c r="HH67">
        <f>IF(AND(HH$4=1,HH17=0),1,0)</f>
        <v/>
      </c>
      <c r="HI67">
        <f>IF(AND(HI$4=1,HI17=0),1,0)</f>
        <v/>
      </c>
      <c r="HJ67">
        <f>IF(AND(HJ$4=1,HJ17=0),1,0)</f>
        <v/>
      </c>
      <c r="HK67">
        <f>IF(AND(HK$4=1,HK17=0),1,0)</f>
        <v/>
      </c>
      <c r="HL67">
        <f>IF(AND(HL$4=1,HL17=0),1,0)</f>
        <v/>
      </c>
      <c r="HM67">
        <f>IF(AND(HM$4=1,HM17=0),1,0)</f>
        <v/>
      </c>
      <c r="HN67">
        <f>IF(AND(HN$4=1,HN17=0),1,0)</f>
        <v/>
      </c>
      <c r="HO67">
        <f>IF(AND(HO$4=1,HO17=0),1,0)</f>
        <v/>
      </c>
      <c r="HP67">
        <f>IF(AND(HP$4=1,HP17=0),1,0)</f>
        <v/>
      </c>
      <c r="HQ67">
        <f>IF(AND(HQ$4=1,HQ17=0),1,0)</f>
        <v/>
      </c>
      <c r="HR67">
        <f>IF(AND(HR$4=1,HR17=0),1,0)</f>
        <v/>
      </c>
      <c r="HS67">
        <f>IF(AND(HS$4=1,HS17=0),1,0)</f>
        <v/>
      </c>
      <c r="HT67">
        <f>IF(AND(HT$4=1,HT17=0),1,0)</f>
        <v/>
      </c>
      <c r="HU67">
        <f>IF(AND(HU$4=1,HU17=0),1,0)</f>
        <v/>
      </c>
      <c r="HV67">
        <f>IF(AND(HV$4=1,HV17=0),1,0)</f>
        <v/>
      </c>
      <c r="HW67">
        <f>IF(AND(HW$4=1,HW17=0),1,0)</f>
        <v/>
      </c>
      <c r="HX67">
        <f>IF(AND(HX$4=1,HX17=0),1,0)</f>
        <v/>
      </c>
      <c r="HY67">
        <f>IF(AND(HY$4=1,HY17=0),1,0)</f>
        <v/>
      </c>
      <c r="HZ67">
        <f>IF(AND(HZ$4=1,HZ17=0),1,0)</f>
        <v/>
      </c>
      <c r="IA67">
        <f>IF(AND(IA$4=1,IA17=0),1,0)</f>
        <v/>
      </c>
      <c r="IB67">
        <f>IF(AND(IB$4=1,IB17=0),1,0)</f>
        <v/>
      </c>
      <c r="IC67">
        <f>IF(AND(IC$4=1,IC17=0),1,0)</f>
        <v/>
      </c>
      <c r="ID67">
        <f>IF(AND(ID$4=1,ID17=0),1,0)</f>
        <v/>
      </c>
      <c r="IE67">
        <f>IF(AND(IE$4=1,IE17=0),1,0)</f>
        <v/>
      </c>
      <c r="IF67">
        <f>IF(AND(IF$4=1,IF17=0),1,0)</f>
        <v/>
      </c>
      <c r="IG67">
        <f>IF(AND(IG$4=1,IG17=0),1,0)</f>
        <v/>
      </c>
      <c r="IH67">
        <f>IF(AND(IH$4=1,IH17=0),1,0)</f>
        <v/>
      </c>
      <c r="II67">
        <f>IF(AND(II$4=1,II17=0),1,0)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c r="ER68">
        <f>IF(AND(ER$4=1,ER18=0),1,0)</f>
        <v/>
      </c>
      <c r="ES68">
        <f>IF(AND(ES$4=1,ES18=0),1,0)</f>
        <v/>
      </c>
      <c r="ET68">
        <f>IF(AND(ET$4=1,ET18=0),1,0)</f>
        <v/>
      </c>
      <c r="EU68">
        <f>IF(AND(EU$4=1,EU18=0),1,0)</f>
        <v/>
      </c>
      <c r="EV68">
        <f>IF(AND(EV$4=1,EV18=0),1,0)</f>
        <v/>
      </c>
      <c r="EW68">
        <f>IF(AND(EW$4=1,EW18=0),1,0)</f>
        <v/>
      </c>
      <c r="EX68">
        <f>IF(AND(EX$4=1,EX18=0),1,0)</f>
        <v/>
      </c>
      <c r="EY68">
        <f>IF(AND(EY$4=1,EY18=0),1,0)</f>
        <v/>
      </c>
      <c r="EZ68">
        <f>IF(AND(EZ$4=1,EZ18=0),1,0)</f>
        <v/>
      </c>
      <c r="FA68">
        <f>IF(AND(FA$4=1,FA18=0),1,0)</f>
        <v/>
      </c>
      <c r="FB68">
        <f>IF(AND(FB$4=1,FB18=0),1,0)</f>
        <v/>
      </c>
      <c r="FC68">
        <f>IF(AND(FC$4=1,FC18=0),1,0)</f>
        <v/>
      </c>
      <c r="FD68">
        <f>IF(AND(FD$4=1,FD18=0),1,0)</f>
        <v/>
      </c>
      <c r="FE68">
        <f>IF(AND(FE$4=1,FE18=0),1,0)</f>
        <v/>
      </c>
      <c r="FF68">
        <f>IF(AND(FF$4=1,FF18=0),1,0)</f>
        <v/>
      </c>
      <c r="FG68">
        <f>IF(AND(FG$4=1,FG18=0),1,0)</f>
        <v/>
      </c>
      <c r="FH68">
        <f>IF(AND(FH$4=1,FH18=0),1,0)</f>
        <v/>
      </c>
      <c r="FI68">
        <f>IF(AND(FI$4=1,FI18=0),1,0)</f>
        <v/>
      </c>
      <c r="FJ68">
        <f>IF(AND(FJ$4=1,FJ18=0),1,0)</f>
        <v/>
      </c>
      <c r="FK68">
        <f>IF(AND(FK$4=1,FK18=0),1,0)</f>
        <v/>
      </c>
      <c r="FL68">
        <f>IF(AND(FL$4=1,FL18=0),1,0)</f>
        <v/>
      </c>
      <c r="FM68">
        <f>IF(AND(FM$4=1,FM18=0),1,0)</f>
        <v/>
      </c>
      <c r="FN68">
        <f>IF(AND(FN$4=1,FN18=0),1,0)</f>
        <v/>
      </c>
      <c r="FO68">
        <f>IF(AND(FO$4=1,FO18=0),1,0)</f>
        <v/>
      </c>
      <c r="FP68">
        <f>IF(AND(FP$4=1,FP18=0),1,0)</f>
        <v/>
      </c>
      <c r="FQ68">
        <f>IF(AND(FQ$4=1,FQ18=0),1,0)</f>
        <v/>
      </c>
      <c r="FR68">
        <f>IF(AND(FR$4=1,FR18=0),1,0)</f>
        <v/>
      </c>
      <c r="FS68">
        <f>IF(AND(FS$4=1,FS18=0),1,0)</f>
        <v/>
      </c>
      <c r="FT68">
        <f>IF(AND(FT$4=1,FT18=0),1,0)</f>
        <v/>
      </c>
      <c r="FU68">
        <f>IF(AND(FU$4=1,FU18=0),1,0)</f>
        <v/>
      </c>
      <c r="FV68">
        <f>IF(AND(FV$4=1,FV18=0),1,0)</f>
        <v/>
      </c>
      <c r="FW68">
        <f>IF(AND(FW$4=1,FW18=0),1,0)</f>
        <v/>
      </c>
      <c r="FX68">
        <f>IF(AND(FX$4=1,FX18=0),1,0)</f>
        <v/>
      </c>
      <c r="FY68">
        <f>IF(AND(FY$4=1,FY18=0),1,0)</f>
        <v/>
      </c>
      <c r="FZ68">
        <f>IF(AND(FZ$4=1,FZ18=0),1,0)</f>
        <v/>
      </c>
      <c r="GA68">
        <f>IF(AND(GA$4=1,GA18=0),1,0)</f>
        <v/>
      </c>
      <c r="GB68">
        <f>IF(AND(GB$4=1,GB18=0),1,0)</f>
        <v/>
      </c>
      <c r="GC68">
        <f>IF(AND(GC$4=1,GC18=0),1,0)</f>
        <v/>
      </c>
      <c r="GD68">
        <f>IF(AND(GD$4=1,GD18=0),1,0)</f>
        <v/>
      </c>
      <c r="GE68">
        <f>IF(AND(GE$4=1,GE18=0),1,0)</f>
        <v/>
      </c>
      <c r="GF68">
        <f>IF(AND(GF$4=1,GF18=0),1,0)</f>
        <v/>
      </c>
      <c r="GG68">
        <f>IF(AND(GG$4=1,GG18=0),1,0)</f>
        <v/>
      </c>
      <c r="GH68">
        <f>IF(AND(GH$4=1,GH18=0),1,0)</f>
        <v/>
      </c>
      <c r="GI68">
        <f>IF(AND(GI$4=1,GI18=0),1,0)</f>
        <v/>
      </c>
      <c r="GJ68">
        <f>IF(AND(GJ$4=1,GJ18=0),1,0)</f>
        <v/>
      </c>
      <c r="GK68">
        <f>IF(AND(GK$4=1,GK18=0),1,0)</f>
        <v/>
      </c>
      <c r="GL68">
        <f>IF(AND(GL$4=1,GL18=0),1,0)</f>
        <v/>
      </c>
      <c r="GM68">
        <f>IF(AND(GM$4=1,GM18=0),1,0)</f>
        <v/>
      </c>
      <c r="GN68">
        <f>IF(AND(GN$4=1,GN18=0),1,0)</f>
        <v/>
      </c>
      <c r="GO68">
        <f>IF(AND(GO$4=1,GO18=0),1,0)</f>
        <v/>
      </c>
      <c r="GP68">
        <f>IF(AND(GP$4=1,GP18=0),1,0)</f>
        <v/>
      </c>
      <c r="GQ68">
        <f>IF(AND(GQ$4=1,GQ18=0),1,0)</f>
        <v/>
      </c>
      <c r="GR68">
        <f>IF(AND(GR$4=1,GR18=0),1,0)</f>
        <v/>
      </c>
      <c r="GS68">
        <f>IF(AND(GS$4=1,GS18=0),1,0)</f>
        <v/>
      </c>
      <c r="GT68">
        <f>IF(AND(GT$4=1,GT18=0),1,0)</f>
        <v/>
      </c>
      <c r="GU68">
        <f>IF(AND(GU$4=1,GU18=0),1,0)</f>
        <v/>
      </c>
      <c r="GV68">
        <f>IF(AND(GV$4=1,GV18=0),1,0)</f>
        <v/>
      </c>
      <c r="GW68">
        <f>IF(AND(GW$4=1,GW18=0),1,0)</f>
        <v/>
      </c>
      <c r="GX68">
        <f>IF(AND(GX$4=1,GX18=0),1,0)</f>
        <v/>
      </c>
      <c r="GY68">
        <f>IF(AND(GY$4=1,GY18=0),1,0)</f>
        <v/>
      </c>
      <c r="GZ68">
        <f>IF(AND(GZ$4=1,GZ18=0),1,0)</f>
        <v/>
      </c>
      <c r="HA68">
        <f>IF(AND(HA$4=1,HA18=0),1,0)</f>
        <v/>
      </c>
      <c r="HB68">
        <f>IF(AND(HB$4=1,HB18=0),1,0)</f>
        <v/>
      </c>
      <c r="HC68">
        <f>IF(AND(HC$4=1,HC18=0),1,0)</f>
        <v/>
      </c>
      <c r="HD68">
        <f>IF(AND(HD$4=1,HD18=0),1,0)</f>
        <v/>
      </c>
      <c r="HE68">
        <f>IF(AND(HE$4=1,HE18=0),1,0)</f>
        <v/>
      </c>
      <c r="HF68">
        <f>IF(AND(HF$4=1,HF18=0),1,0)</f>
        <v/>
      </c>
      <c r="HG68">
        <f>IF(AND(HG$4=1,HG18=0),1,0)</f>
        <v/>
      </c>
      <c r="HH68">
        <f>IF(AND(HH$4=1,HH18=0),1,0)</f>
        <v/>
      </c>
      <c r="HI68">
        <f>IF(AND(HI$4=1,HI18=0),1,0)</f>
        <v/>
      </c>
      <c r="HJ68">
        <f>IF(AND(HJ$4=1,HJ18=0),1,0)</f>
        <v/>
      </c>
      <c r="HK68">
        <f>IF(AND(HK$4=1,HK18=0),1,0)</f>
        <v/>
      </c>
      <c r="HL68">
        <f>IF(AND(HL$4=1,HL18=0),1,0)</f>
        <v/>
      </c>
      <c r="HM68">
        <f>IF(AND(HM$4=1,HM18=0),1,0)</f>
        <v/>
      </c>
      <c r="HN68">
        <f>IF(AND(HN$4=1,HN18=0),1,0)</f>
        <v/>
      </c>
      <c r="HO68">
        <f>IF(AND(HO$4=1,HO18=0),1,0)</f>
        <v/>
      </c>
      <c r="HP68">
        <f>IF(AND(HP$4=1,HP18=0),1,0)</f>
        <v/>
      </c>
      <c r="HQ68">
        <f>IF(AND(HQ$4=1,HQ18=0),1,0)</f>
        <v/>
      </c>
      <c r="HR68">
        <f>IF(AND(HR$4=1,HR18=0),1,0)</f>
        <v/>
      </c>
      <c r="HS68">
        <f>IF(AND(HS$4=1,HS18=0),1,0)</f>
        <v/>
      </c>
      <c r="HT68">
        <f>IF(AND(HT$4=1,HT18=0),1,0)</f>
        <v/>
      </c>
      <c r="HU68">
        <f>IF(AND(HU$4=1,HU18=0),1,0)</f>
        <v/>
      </c>
      <c r="HV68">
        <f>IF(AND(HV$4=1,HV18=0),1,0)</f>
        <v/>
      </c>
      <c r="HW68">
        <f>IF(AND(HW$4=1,HW18=0),1,0)</f>
        <v/>
      </c>
      <c r="HX68">
        <f>IF(AND(HX$4=1,HX18=0),1,0)</f>
        <v/>
      </c>
      <c r="HY68">
        <f>IF(AND(HY$4=1,HY18=0),1,0)</f>
        <v/>
      </c>
      <c r="HZ68">
        <f>IF(AND(HZ$4=1,HZ18=0),1,0)</f>
        <v/>
      </c>
      <c r="IA68">
        <f>IF(AND(IA$4=1,IA18=0),1,0)</f>
        <v/>
      </c>
      <c r="IB68">
        <f>IF(AND(IB$4=1,IB18=0),1,0)</f>
        <v/>
      </c>
      <c r="IC68">
        <f>IF(AND(IC$4=1,IC18=0),1,0)</f>
        <v/>
      </c>
      <c r="ID68">
        <f>IF(AND(ID$4=1,ID18=0),1,0)</f>
        <v/>
      </c>
      <c r="IE68">
        <f>IF(AND(IE$4=1,IE18=0),1,0)</f>
        <v/>
      </c>
      <c r="IF68">
        <f>IF(AND(IF$4=1,IF18=0),1,0)</f>
        <v/>
      </c>
      <c r="IG68">
        <f>IF(AND(IG$4=1,IG18=0),1,0)</f>
        <v/>
      </c>
      <c r="IH68">
        <f>IF(AND(IH$4=1,IH18=0),1,0)</f>
        <v/>
      </c>
      <c r="II68">
        <f>IF(AND(II$4=1,II18=0),1,0)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c r="ER69">
        <f>IF(AND(ER$4=1,ER19=0),1,0)</f>
        <v/>
      </c>
      <c r="ES69">
        <f>IF(AND(ES$4=1,ES19=0),1,0)</f>
        <v/>
      </c>
      <c r="ET69">
        <f>IF(AND(ET$4=1,ET19=0),1,0)</f>
        <v/>
      </c>
      <c r="EU69">
        <f>IF(AND(EU$4=1,EU19=0),1,0)</f>
        <v/>
      </c>
      <c r="EV69">
        <f>IF(AND(EV$4=1,EV19=0),1,0)</f>
        <v/>
      </c>
      <c r="EW69">
        <f>IF(AND(EW$4=1,EW19=0),1,0)</f>
        <v/>
      </c>
      <c r="EX69">
        <f>IF(AND(EX$4=1,EX19=0),1,0)</f>
        <v/>
      </c>
      <c r="EY69">
        <f>IF(AND(EY$4=1,EY19=0),1,0)</f>
        <v/>
      </c>
      <c r="EZ69">
        <f>IF(AND(EZ$4=1,EZ19=0),1,0)</f>
        <v/>
      </c>
      <c r="FA69">
        <f>IF(AND(FA$4=1,FA19=0),1,0)</f>
        <v/>
      </c>
      <c r="FB69">
        <f>IF(AND(FB$4=1,FB19=0),1,0)</f>
        <v/>
      </c>
      <c r="FC69">
        <f>IF(AND(FC$4=1,FC19=0),1,0)</f>
        <v/>
      </c>
      <c r="FD69">
        <f>IF(AND(FD$4=1,FD19=0),1,0)</f>
        <v/>
      </c>
      <c r="FE69">
        <f>IF(AND(FE$4=1,FE19=0),1,0)</f>
        <v/>
      </c>
      <c r="FF69">
        <f>IF(AND(FF$4=1,FF19=0),1,0)</f>
        <v/>
      </c>
      <c r="FG69">
        <f>IF(AND(FG$4=1,FG19=0),1,0)</f>
        <v/>
      </c>
      <c r="FH69">
        <f>IF(AND(FH$4=1,FH19=0),1,0)</f>
        <v/>
      </c>
      <c r="FI69">
        <f>IF(AND(FI$4=1,FI19=0),1,0)</f>
        <v/>
      </c>
      <c r="FJ69">
        <f>IF(AND(FJ$4=1,FJ19=0),1,0)</f>
        <v/>
      </c>
      <c r="FK69">
        <f>IF(AND(FK$4=1,FK19=0),1,0)</f>
        <v/>
      </c>
      <c r="FL69">
        <f>IF(AND(FL$4=1,FL19=0),1,0)</f>
        <v/>
      </c>
      <c r="FM69">
        <f>IF(AND(FM$4=1,FM19=0),1,0)</f>
        <v/>
      </c>
      <c r="FN69">
        <f>IF(AND(FN$4=1,FN19=0),1,0)</f>
        <v/>
      </c>
      <c r="FO69">
        <f>IF(AND(FO$4=1,FO19=0),1,0)</f>
        <v/>
      </c>
      <c r="FP69">
        <f>IF(AND(FP$4=1,FP19=0),1,0)</f>
        <v/>
      </c>
      <c r="FQ69">
        <f>IF(AND(FQ$4=1,FQ19=0),1,0)</f>
        <v/>
      </c>
      <c r="FR69">
        <f>IF(AND(FR$4=1,FR19=0),1,0)</f>
        <v/>
      </c>
      <c r="FS69">
        <f>IF(AND(FS$4=1,FS19=0),1,0)</f>
        <v/>
      </c>
      <c r="FT69">
        <f>IF(AND(FT$4=1,FT19=0),1,0)</f>
        <v/>
      </c>
      <c r="FU69">
        <f>IF(AND(FU$4=1,FU19=0),1,0)</f>
        <v/>
      </c>
      <c r="FV69">
        <f>IF(AND(FV$4=1,FV19=0),1,0)</f>
        <v/>
      </c>
      <c r="FW69">
        <f>IF(AND(FW$4=1,FW19=0),1,0)</f>
        <v/>
      </c>
      <c r="FX69">
        <f>IF(AND(FX$4=1,FX19=0),1,0)</f>
        <v/>
      </c>
      <c r="FY69">
        <f>IF(AND(FY$4=1,FY19=0),1,0)</f>
        <v/>
      </c>
      <c r="FZ69">
        <f>IF(AND(FZ$4=1,FZ19=0),1,0)</f>
        <v/>
      </c>
      <c r="GA69">
        <f>IF(AND(GA$4=1,GA19=0),1,0)</f>
        <v/>
      </c>
      <c r="GB69">
        <f>IF(AND(GB$4=1,GB19=0),1,0)</f>
        <v/>
      </c>
      <c r="GC69">
        <f>IF(AND(GC$4=1,GC19=0),1,0)</f>
        <v/>
      </c>
      <c r="GD69">
        <f>IF(AND(GD$4=1,GD19=0),1,0)</f>
        <v/>
      </c>
      <c r="GE69">
        <f>IF(AND(GE$4=1,GE19=0),1,0)</f>
        <v/>
      </c>
      <c r="GF69">
        <f>IF(AND(GF$4=1,GF19=0),1,0)</f>
        <v/>
      </c>
      <c r="GG69">
        <f>IF(AND(GG$4=1,GG19=0),1,0)</f>
        <v/>
      </c>
      <c r="GH69">
        <f>IF(AND(GH$4=1,GH19=0),1,0)</f>
        <v/>
      </c>
      <c r="GI69">
        <f>IF(AND(GI$4=1,GI19=0),1,0)</f>
        <v/>
      </c>
      <c r="GJ69">
        <f>IF(AND(GJ$4=1,GJ19=0),1,0)</f>
        <v/>
      </c>
      <c r="GK69">
        <f>IF(AND(GK$4=1,GK19=0),1,0)</f>
        <v/>
      </c>
      <c r="GL69">
        <f>IF(AND(GL$4=1,GL19=0),1,0)</f>
        <v/>
      </c>
      <c r="GM69">
        <f>IF(AND(GM$4=1,GM19=0),1,0)</f>
        <v/>
      </c>
      <c r="GN69">
        <f>IF(AND(GN$4=1,GN19=0),1,0)</f>
        <v/>
      </c>
      <c r="GO69">
        <f>IF(AND(GO$4=1,GO19=0),1,0)</f>
        <v/>
      </c>
      <c r="GP69">
        <f>IF(AND(GP$4=1,GP19=0),1,0)</f>
        <v/>
      </c>
      <c r="GQ69">
        <f>IF(AND(GQ$4=1,GQ19=0),1,0)</f>
        <v/>
      </c>
      <c r="GR69">
        <f>IF(AND(GR$4=1,GR19=0),1,0)</f>
        <v/>
      </c>
      <c r="GS69">
        <f>IF(AND(GS$4=1,GS19=0),1,0)</f>
        <v/>
      </c>
      <c r="GT69">
        <f>IF(AND(GT$4=1,GT19=0),1,0)</f>
        <v/>
      </c>
      <c r="GU69">
        <f>IF(AND(GU$4=1,GU19=0),1,0)</f>
        <v/>
      </c>
      <c r="GV69">
        <f>IF(AND(GV$4=1,GV19=0),1,0)</f>
        <v/>
      </c>
      <c r="GW69">
        <f>IF(AND(GW$4=1,GW19=0),1,0)</f>
        <v/>
      </c>
      <c r="GX69">
        <f>IF(AND(GX$4=1,GX19=0),1,0)</f>
        <v/>
      </c>
      <c r="GY69">
        <f>IF(AND(GY$4=1,GY19=0),1,0)</f>
        <v/>
      </c>
      <c r="GZ69">
        <f>IF(AND(GZ$4=1,GZ19=0),1,0)</f>
        <v/>
      </c>
      <c r="HA69">
        <f>IF(AND(HA$4=1,HA19=0),1,0)</f>
        <v/>
      </c>
      <c r="HB69">
        <f>IF(AND(HB$4=1,HB19=0),1,0)</f>
        <v/>
      </c>
      <c r="HC69">
        <f>IF(AND(HC$4=1,HC19=0),1,0)</f>
        <v/>
      </c>
      <c r="HD69">
        <f>IF(AND(HD$4=1,HD19=0),1,0)</f>
        <v/>
      </c>
      <c r="HE69">
        <f>IF(AND(HE$4=1,HE19=0),1,0)</f>
        <v/>
      </c>
      <c r="HF69">
        <f>IF(AND(HF$4=1,HF19=0),1,0)</f>
        <v/>
      </c>
      <c r="HG69">
        <f>IF(AND(HG$4=1,HG19=0),1,0)</f>
        <v/>
      </c>
      <c r="HH69">
        <f>IF(AND(HH$4=1,HH19=0),1,0)</f>
        <v/>
      </c>
      <c r="HI69">
        <f>IF(AND(HI$4=1,HI19=0),1,0)</f>
        <v/>
      </c>
      <c r="HJ69">
        <f>IF(AND(HJ$4=1,HJ19=0),1,0)</f>
        <v/>
      </c>
      <c r="HK69">
        <f>IF(AND(HK$4=1,HK19=0),1,0)</f>
        <v/>
      </c>
      <c r="HL69">
        <f>IF(AND(HL$4=1,HL19=0),1,0)</f>
        <v/>
      </c>
      <c r="HM69">
        <f>IF(AND(HM$4=1,HM19=0),1,0)</f>
        <v/>
      </c>
      <c r="HN69">
        <f>IF(AND(HN$4=1,HN19=0),1,0)</f>
        <v/>
      </c>
      <c r="HO69">
        <f>IF(AND(HO$4=1,HO19=0),1,0)</f>
        <v/>
      </c>
      <c r="HP69">
        <f>IF(AND(HP$4=1,HP19=0),1,0)</f>
        <v/>
      </c>
      <c r="HQ69">
        <f>IF(AND(HQ$4=1,HQ19=0),1,0)</f>
        <v/>
      </c>
      <c r="HR69">
        <f>IF(AND(HR$4=1,HR19=0),1,0)</f>
        <v/>
      </c>
      <c r="HS69">
        <f>IF(AND(HS$4=1,HS19=0),1,0)</f>
        <v/>
      </c>
      <c r="HT69">
        <f>IF(AND(HT$4=1,HT19=0),1,0)</f>
        <v/>
      </c>
      <c r="HU69">
        <f>IF(AND(HU$4=1,HU19=0),1,0)</f>
        <v/>
      </c>
      <c r="HV69">
        <f>IF(AND(HV$4=1,HV19=0),1,0)</f>
        <v/>
      </c>
      <c r="HW69">
        <f>IF(AND(HW$4=1,HW19=0),1,0)</f>
        <v/>
      </c>
      <c r="HX69">
        <f>IF(AND(HX$4=1,HX19=0),1,0)</f>
        <v/>
      </c>
      <c r="HY69">
        <f>IF(AND(HY$4=1,HY19=0),1,0)</f>
        <v/>
      </c>
      <c r="HZ69">
        <f>IF(AND(HZ$4=1,HZ19=0),1,0)</f>
        <v/>
      </c>
      <c r="IA69">
        <f>IF(AND(IA$4=1,IA19=0),1,0)</f>
        <v/>
      </c>
      <c r="IB69">
        <f>IF(AND(IB$4=1,IB19=0),1,0)</f>
        <v/>
      </c>
      <c r="IC69">
        <f>IF(AND(IC$4=1,IC19=0),1,0)</f>
        <v/>
      </c>
      <c r="ID69">
        <f>IF(AND(ID$4=1,ID19=0),1,0)</f>
        <v/>
      </c>
      <c r="IE69">
        <f>IF(AND(IE$4=1,IE19=0),1,0)</f>
        <v/>
      </c>
      <c r="IF69">
        <f>IF(AND(IF$4=1,IF19=0),1,0)</f>
        <v/>
      </c>
      <c r="IG69">
        <f>IF(AND(IG$4=1,IG19=0),1,0)</f>
        <v/>
      </c>
      <c r="IH69">
        <f>IF(AND(IH$4=1,IH19=0),1,0)</f>
        <v/>
      </c>
      <c r="II69">
        <f>IF(AND(II$4=1,II19=0),1,0)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c r="ER70">
        <f>IF(AND(ER$4=1,ER20=0),1,0)</f>
        <v/>
      </c>
      <c r="ES70">
        <f>IF(AND(ES$4=1,ES20=0),1,0)</f>
        <v/>
      </c>
      <c r="ET70">
        <f>IF(AND(ET$4=1,ET20=0),1,0)</f>
        <v/>
      </c>
      <c r="EU70">
        <f>IF(AND(EU$4=1,EU20=0),1,0)</f>
        <v/>
      </c>
      <c r="EV70">
        <f>IF(AND(EV$4=1,EV20=0),1,0)</f>
        <v/>
      </c>
      <c r="EW70">
        <f>IF(AND(EW$4=1,EW20=0),1,0)</f>
        <v/>
      </c>
      <c r="EX70">
        <f>IF(AND(EX$4=1,EX20=0),1,0)</f>
        <v/>
      </c>
      <c r="EY70">
        <f>IF(AND(EY$4=1,EY20=0),1,0)</f>
        <v/>
      </c>
      <c r="EZ70">
        <f>IF(AND(EZ$4=1,EZ20=0),1,0)</f>
        <v/>
      </c>
      <c r="FA70">
        <f>IF(AND(FA$4=1,FA20=0),1,0)</f>
        <v/>
      </c>
      <c r="FB70">
        <f>IF(AND(FB$4=1,FB20=0),1,0)</f>
        <v/>
      </c>
      <c r="FC70">
        <f>IF(AND(FC$4=1,FC20=0),1,0)</f>
        <v/>
      </c>
      <c r="FD70">
        <f>IF(AND(FD$4=1,FD20=0),1,0)</f>
        <v/>
      </c>
      <c r="FE70">
        <f>IF(AND(FE$4=1,FE20=0),1,0)</f>
        <v/>
      </c>
      <c r="FF70">
        <f>IF(AND(FF$4=1,FF20=0),1,0)</f>
        <v/>
      </c>
      <c r="FG70">
        <f>IF(AND(FG$4=1,FG20=0),1,0)</f>
        <v/>
      </c>
      <c r="FH70">
        <f>IF(AND(FH$4=1,FH20=0),1,0)</f>
        <v/>
      </c>
      <c r="FI70">
        <f>IF(AND(FI$4=1,FI20=0),1,0)</f>
        <v/>
      </c>
      <c r="FJ70">
        <f>IF(AND(FJ$4=1,FJ20=0),1,0)</f>
        <v/>
      </c>
      <c r="FK70">
        <f>IF(AND(FK$4=1,FK20=0),1,0)</f>
        <v/>
      </c>
      <c r="FL70">
        <f>IF(AND(FL$4=1,FL20=0),1,0)</f>
        <v/>
      </c>
      <c r="FM70">
        <f>IF(AND(FM$4=1,FM20=0),1,0)</f>
        <v/>
      </c>
      <c r="FN70">
        <f>IF(AND(FN$4=1,FN20=0),1,0)</f>
        <v/>
      </c>
      <c r="FO70">
        <f>IF(AND(FO$4=1,FO20=0),1,0)</f>
        <v/>
      </c>
      <c r="FP70">
        <f>IF(AND(FP$4=1,FP20=0),1,0)</f>
        <v/>
      </c>
      <c r="FQ70">
        <f>IF(AND(FQ$4=1,FQ20=0),1,0)</f>
        <v/>
      </c>
      <c r="FR70">
        <f>IF(AND(FR$4=1,FR20=0),1,0)</f>
        <v/>
      </c>
      <c r="FS70">
        <f>IF(AND(FS$4=1,FS20=0),1,0)</f>
        <v/>
      </c>
      <c r="FT70">
        <f>IF(AND(FT$4=1,FT20=0),1,0)</f>
        <v/>
      </c>
      <c r="FU70">
        <f>IF(AND(FU$4=1,FU20=0),1,0)</f>
        <v/>
      </c>
      <c r="FV70">
        <f>IF(AND(FV$4=1,FV20=0),1,0)</f>
        <v/>
      </c>
      <c r="FW70">
        <f>IF(AND(FW$4=1,FW20=0),1,0)</f>
        <v/>
      </c>
      <c r="FX70">
        <f>IF(AND(FX$4=1,FX20=0),1,0)</f>
        <v/>
      </c>
      <c r="FY70">
        <f>IF(AND(FY$4=1,FY20=0),1,0)</f>
        <v/>
      </c>
      <c r="FZ70">
        <f>IF(AND(FZ$4=1,FZ20=0),1,0)</f>
        <v/>
      </c>
      <c r="GA70">
        <f>IF(AND(GA$4=1,GA20=0),1,0)</f>
        <v/>
      </c>
      <c r="GB70">
        <f>IF(AND(GB$4=1,GB20=0),1,0)</f>
        <v/>
      </c>
      <c r="GC70">
        <f>IF(AND(GC$4=1,GC20=0),1,0)</f>
        <v/>
      </c>
      <c r="GD70">
        <f>IF(AND(GD$4=1,GD20=0),1,0)</f>
        <v/>
      </c>
      <c r="GE70">
        <f>IF(AND(GE$4=1,GE20=0),1,0)</f>
        <v/>
      </c>
      <c r="GF70">
        <f>IF(AND(GF$4=1,GF20=0),1,0)</f>
        <v/>
      </c>
      <c r="GG70">
        <f>IF(AND(GG$4=1,GG20=0),1,0)</f>
        <v/>
      </c>
      <c r="GH70">
        <f>IF(AND(GH$4=1,GH20=0),1,0)</f>
        <v/>
      </c>
      <c r="GI70">
        <f>IF(AND(GI$4=1,GI20=0),1,0)</f>
        <v/>
      </c>
      <c r="GJ70">
        <f>IF(AND(GJ$4=1,GJ20=0),1,0)</f>
        <v/>
      </c>
      <c r="GK70">
        <f>IF(AND(GK$4=1,GK20=0),1,0)</f>
        <v/>
      </c>
      <c r="GL70">
        <f>IF(AND(GL$4=1,GL20=0),1,0)</f>
        <v/>
      </c>
      <c r="GM70">
        <f>IF(AND(GM$4=1,GM20=0),1,0)</f>
        <v/>
      </c>
      <c r="GN70">
        <f>IF(AND(GN$4=1,GN20=0),1,0)</f>
        <v/>
      </c>
      <c r="GO70">
        <f>IF(AND(GO$4=1,GO20=0),1,0)</f>
        <v/>
      </c>
      <c r="GP70">
        <f>IF(AND(GP$4=1,GP20=0),1,0)</f>
        <v/>
      </c>
      <c r="GQ70">
        <f>IF(AND(GQ$4=1,GQ20=0),1,0)</f>
        <v/>
      </c>
      <c r="GR70">
        <f>IF(AND(GR$4=1,GR20=0),1,0)</f>
        <v/>
      </c>
      <c r="GS70">
        <f>IF(AND(GS$4=1,GS20=0),1,0)</f>
        <v/>
      </c>
      <c r="GT70">
        <f>IF(AND(GT$4=1,GT20=0),1,0)</f>
        <v/>
      </c>
      <c r="GU70">
        <f>IF(AND(GU$4=1,GU20=0),1,0)</f>
        <v/>
      </c>
      <c r="GV70">
        <f>IF(AND(GV$4=1,GV20=0),1,0)</f>
        <v/>
      </c>
      <c r="GW70">
        <f>IF(AND(GW$4=1,GW20=0),1,0)</f>
        <v/>
      </c>
      <c r="GX70">
        <f>IF(AND(GX$4=1,GX20=0),1,0)</f>
        <v/>
      </c>
      <c r="GY70">
        <f>IF(AND(GY$4=1,GY20=0),1,0)</f>
        <v/>
      </c>
      <c r="GZ70">
        <f>IF(AND(GZ$4=1,GZ20=0),1,0)</f>
        <v/>
      </c>
      <c r="HA70">
        <f>IF(AND(HA$4=1,HA20=0),1,0)</f>
        <v/>
      </c>
      <c r="HB70">
        <f>IF(AND(HB$4=1,HB20=0),1,0)</f>
        <v/>
      </c>
      <c r="HC70">
        <f>IF(AND(HC$4=1,HC20=0),1,0)</f>
        <v/>
      </c>
      <c r="HD70">
        <f>IF(AND(HD$4=1,HD20=0),1,0)</f>
        <v/>
      </c>
      <c r="HE70">
        <f>IF(AND(HE$4=1,HE20=0),1,0)</f>
        <v/>
      </c>
      <c r="HF70">
        <f>IF(AND(HF$4=1,HF20=0),1,0)</f>
        <v/>
      </c>
      <c r="HG70">
        <f>IF(AND(HG$4=1,HG20=0),1,0)</f>
        <v/>
      </c>
      <c r="HH70">
        <f>IF(AND(HH$4=1,HH20=0),1,0)</f>
        <v/>
      </c>
      <c r="HI70">
        <f>IF(AND(HI$4=1,HI20=0),1,0)</f>
        <v/>
      </c>
      <c r="HJ70">
        <f>IF(AND(HJ$4=1,HJ20=0),1,0)</f>
        <v/>
      </c>
      <c r="HK70">
        <f>IF(AND(HK$4=1,HK20=0),1,0)</f>
        <v/>
      </c>
      <c r="HL70">
        <f>IF(AND(HL$4=1,HL20=0),1,0)</f>
        <v/>
      </c>
      <c r="HM70">
        <f>IF(AND(HM$4=1,HM20=0),1,0)</f>
        <v/>
      </c>
      <c r="HN70">
        <f>IF(AND(HN$4=1,HN20=0),1,0)</f>
        <v/>
      </c>
      <c r="HO70">
        <f>IF(AND(HO$4=1,HO20=0),1,0)</f>
        <v/>
      </c>
      <c r="HP70">
        <f>IF(AND(HP$4=1,HP20=0),1,0)</f>
        <v/>
      </c>
      <c r="HQ70">
        <f>IF(AND(HQ$4=1,HQ20=0),1,0)</f>
        <v/>
      </c>
      <c r="HR70">
        <f>IF(AND(HR$4=1,HR20=0),1,0)</f>
        <v/>
      </c>
      <c r="HS70">
        <f>IF(AND(HS$4=1,HS20=0),1,0)</f>
        <v/>
      </c>
      <c r="HT70">
        <f>IF(AND(HT$4=1,HT20=0),1,0)</f>
        <v/>
      </c>
      <c r="HU70">
        <f>IF(AND(HU$4=1,HU20=0),1,0)</f>
        <v/>
      </c>
      <c r="HV70">
        <f>IF(AND(HV$4=1,HV20=0),1,0)</f>
        <v/>
      </c>
      <c r="HW70">
        <f>IF(AND(HW$4=1,HW20=0),1,0)</f>
        <v/>
      </c>
      <c r="HX70">
        <f>IF(AND(HX$4=1,HX20=0),1,0)</f>
        <v/>
      </c>
      <c r="HY70">
        <f>IF(AND(HY$4=1,HY20=0),1,0)</f>
        <v/>
      </c>
      <c r="HZ70">
        <f>IF(AND(HZ$4=1,HZ20=0),1,0)</f>
        <v/>
      </c>
      <c r="IA70">
        <f>IF(AND(IA$4=1,IA20=0),1,0)</f>
        <v/>
      </c>
      <c r="IB70">
        <f>IF(AND(IB$4=1,IB20=0),1,0)</f>
        <v/>
      </c>
      <c r="IC70">
        <f>IF(AND(IC$4=1,IC20=0),1,0)</f>
        <v/>
      </c>
      <c r="ID70">
        <f>IF(AND(ID$4=1,ID20=0),1,0)</f>
        <v/>
      </c>
      <c r="IE70">
        <f>IF(AND(IE$4=1,IE20=0),1,0)</f>
        <v/>
      </c>
      <c r="IF70">
        <f>IF(AND(IF$4=1,IF20=0),1,0)</f>
        <v/>
      </c>
      <c r="IG70">
        <f>IF(AND(IG$4=1,IG20=0),1,0)</f>
        <v/>
      </c>
      <c r="IH70">
        <f>IF(AND(IH$4=1,IH20=0),1,0)</f>
        <v/>
      </c>
      <c r="II70">
        <f>IF(AND(II$4=1,II20=0),1,0)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c r="ER71">
        <f>IF(AND(ER$4=1,ER21=0),1,0)</f>
        <v/>
      </c>
      <c r="ES71">
        <f>IF(AND(ES$4=1,ES21=0),1,0)</f>
        <v/>
      </c>
      <c r="ET71">
        <f>IF(AND(ET$4=1,ET21=0),1,0)</f>
        <v/>
      </c>
      <c r="EU71">
        <f>IF(AND(EU$4=1,EU21=0),1,0)</f>
        <v/>
      </c>
      <c r="EV71">
        <f>IF(AND(EV$4=1,EV21=0),1,0)</f>
        <v/>
      </c>
      <c r="EW71">
        <f>IF(AND(EW$4=1,EW21=0),1,0)</f>
        <v/>
      </c>
      <c r="EX71">
        <f>IF(AND(EX$4=1,EX21=0),1,0)</f>
        <v/>
      </c>
      <c r="EY71">
        <f>IF(AND(EY$4=1,EY21=0),1,0)</f>
        <v/>
      </c>
      <c r="EZ71">
        <f>IF(AND(EZ$4=1,EZ21=0),1,0)</f>
        <v/>
      </c>
      <c r="FA71">
        <f>IF(AND(FA$4=1,FA21=0),1,0)</f>
        <v/>
      </c>
      <c r="FB71">
        <f>IF(AND(FB$4=1,FB21=0),1,0)</f>
        <v/>
      </c>
      <c r="FC71">
        <f>IF(AND(FC$4=1,FC21=0),1,0)</f>
        <v/>
      </c>
      <c r="FD71">
        <f>IF(AND(FD$4=1,FD21=0),1,0)</f>
        <v/>
      </c>
      <c r="FE71">
        <f>IF(AND(FE$4=1,FE21=0),1,0)</f>
        <v/>
      </c>
      <c r="FF71">
        <f>IF(AND(FF$4=1,FF21=0),1,0)</f>
        <v/>
      </c>
      <c r="FG71">
        <f>IF(AND(FG$4=1,FG21=0),1,0)</f>
        <v/>
      </c>
      <c r="FH71">
        <f>IF(AND(FH$4=1,FH21=0),1,0)</f>
        <v/>
      </c>
      <c r="FI71">
        <f>IF(AND(FI$4=1,FI21=0),1,0)</f>
        <v/>
      </c>
      <c r="FJ71">
        <f>IF(AND(FJ$4=1,FJ21=0),1,0)</f>
        <v/>
      </c>
      <c r="FK71">
        <f>IF(AND(FK$4=1,FK21=0),1,0)</f>
        <v/>
      </c>
      <c r="FL71">
        <f>IF(AND(FL$4=1,FL21=0),1,0)</f>
        <v/>
      </c>
      <c r="FM71">
        <f>IF(AND(FM$4=1,FM21=0),1,0)</f>
        <v/>
      </c>
      <c r="FN71">
        <f>IF(AND(FN$4=1,FN21=0),1,0)</f>
        <v/>
      </c>
      <c r="FO71">
        <f>IF(AND(FO$4=1,FO21=0),1,0)</f>
        <v/>
      </c>
      <c r="FP71">
        <f>IF(AND(FP$4=1,FP21=0),1,0)</f>
        <v/>
      </c>
      <c r="FQ71">
        <f>IF(AND(FQ$4=1,FQ21=0),1,0)</f>
        <v/>
      </c>
      <c r="FR71">
        <f>IF(AND(FR$4=1,FR21=0),1,0)</f>
        <v/>
      </c>
      <c r="FS71">
        <f>IF(AND(FS$4=1,FS21=0),1,0)</f>
        <v/>
      </c>
      <c r="FT71">
        <f>IF(AND(FT$4=1,FT21=0),1,0)</f>
        <v/>
      </c>
      <c r="FU71">
        <f>IF(AND(FU$4=1,FU21=0),1,0)</f>
        <v/>
      </c>
      <c r="FV71">
        <f>IF(AND(FV$4=1,FV21=0),1,0)</f>
        <v/>
      </c>
      <c r="FW71">
        <f>IF(AND(FW$4=1,FW21=0),1,0)</f>
        <v/>
      </c>
      <c r="FX71">
        <f>IF(AND(FX$4=1,FX21=0),1,0)</f>
        <v/>
      </c>
      <c r="FY71">
        <f>IF(AND(FY$4=1,FY21=0),1,0)</f>
        <v/>
      </c>
      <c r="FZ71">
        <f>IF(AND(FZ$4=1,FZ21=0),1,0)</f>
        <v/>
      </c>
      <c r="GA71">
        <f>IF(AND(GA$4=1,GA21=0),1,0)</f>
        <v/>
      </c>
      <c r="GB71">
        <f>IF(AND(GB$4=1,GB21=0),1,0)</f>
        <v/>
      </c>
      <c r="GC71">
        <f>IF(AND(GC$4=1,GC21=0),1,0)</f>
        <v/>
      </c>
      <c r="GD71">
        <f>IF(AND(GD$4=1,GD21=0),1,0)</f>
        <v/>
      </c>
      <c r="GE71">
        <f>IF(AND(GE$4=1,GE21=0),1,0)</f>
        <v/>
      </c>
      <c r="GF71">
        <f>IF(AND(GF$4=1,GF21=0),1,0)</f>
        <v/>
      </c>
      <c r="GG71">
        <f>IF(AND(GG$4=1,GG21=0),1,0)</f>
        <v/>
      </c>
      <c r="GH71">
        <f>IF(AND(GH$4=1,GH21=0),1,0)</f>
        <v/>
      </c>
      <c r="GI71">
        <f>IF(AND(GI$4=1,GI21=0),1,0)</f>
        <v/>
      </c>
      <c r="GJ71">
        <f>IF(AND(GJ$4=1,GJ21=0),1,0)</f>
        <v/>
      </c>
      <c r="GK71">
        <f>IF(AND(GK$4=1,GK21=0),1,0)</f>
        <v/>
      </c>
      <c r="GL71">
        <f>IF(AND(GL$4=1,GL21=0),1,0)</f>
        <v/>
      </c>
      <c r="GM71">
        <f>IF(AND(GM$4=1,GM21=0),1,0)</f>
        <v/>
      </c>
      <c r="GN71">
        <f>IF(AND(GN$4=1,GN21=0),1,0)</f>
        <v/>
      </c>
      <c r="GO71">
        <f>IF(AND(GO$4=1,GO21=0),1,0)</f>
        <v/>
      </c>
      <c r="GP71">
        <f>IF(AND(GP$4=1,GP21=0),1,0)</f>
        <v/>
      </c>
      <c r="GQ71">
        <f>IF(AND(GQ$4=1,GQ21=0),1,0)</f>
        <v/>
      </c>
      <c r="GR71">
        <f>IF(AND(GR$4=1,GR21=0),1,0)</f>
        <v/>
      </c>
      <c r="GS71">
        <f>IF(AND(GS$4=1,GS21=0),1,0)</f>
        <v/>
      </c>
      <c r="GT71">
        <f>IF(AND(GT$4=1,GT21=0),1,0)</f>
        <v/>
      </c>
      <c r="GU71">
        <f>IF(AND(GU$4=1,GU21=0),1,0)</f>
        <v/>
      </c>
      <c r="GV71">
        <f>IF(AND(GV$4=1,GV21=0),1,0)</f>
        <v/>
      </c>
      <c r="GW71">
        <f>IF(AND(GW$4=1,GW21=0),1,0)</f>
        <v/>
      </c>
      <c r="GX71">
        <f>IF(AND(GX$4=1,GX21=0),1,0)</f>
        <v/>
      </c>
      <c r="GY71">
        <f>IF(AND(GY$4=1,GY21=0),1,0)</f>
        <v/>
      </c>
      <c r="GZ71">
        <f>IF(AND(GZ$4=1,GZ21=0),1,0)</f>
        <v/>
      </c>
      <c r="HA71">
        <f>IF(AND(HA$4=1,HA21=0),1,0)</f>
        <v/>
      </c>
      <c r="HB71">
        <f>IF(AND(HB$4=1,HB21=0),1,0)</f>
        <v/>
      </c>
      <c r="HC71">
        <f>IF(AND(HC$4=1,HC21=0),1,0)</f>
        <v/>
      </c>
      <c r="HD71">
        <f>IF(AND(HD$4=1,HD21=0),1,0)</f>
        <v/>
      </c>
      <c r="HE71">
        <f>IF(AND(HE$4=1,HE21=0),1,0)</f>
        <v/>
      </c>
      <c r="HF71">
        <f>IF(AND(HF$4=1,HF21=0),1,0)</f>
        <v/>
      </c>
      <c r="HG71">
        <f>IF(AND(HG$4=1,HG21=0),1,0)</f>
        <v/>
      </c>
      <c r="HH71">
        <f>IF(AND(HH$4=1,HH21=0),1,0)</f>
        <v/>
      </c>
      <c r="HI71">
        <f>IF(AND(HI$4=1,HI21=0),1,0)</f>
        <v/>
      </c>
      <c r="HJ71">
        <f>IF(AND(HJ$4=1,HJ21=0),1,0)</f>
        <v/>
      </c>
      <c r="HK71">
        <f>IF(AND(HK$4=1,HK21=0),1,0)</f>
        <v/>
      </c>
      <c r="HL71">
        <f>IF(AND(HL$4=1,HL21=0),1,0)</f>
        <v/>
      </c>
      <c r="HM71">
        <f>IF(AND(HM$4=1,HM21=0),1,0)</f>
        <v/>
      </c>
      <c r="HN71">
        <f>IF(AND(HN$4=1,HN21=0),1,0)</f>
        <v/>
      </c>
      <c r="HO71">
        <f>IF(AND(HO$4=1,HO21=0),1,0)</f>
        <v/>
      </c>
      <c r="HP71">
        <f>IF(AND(HP$4=1,HP21=0),1,0)</f>
        <v/>
      </c>
      <c r="HQ71">
        <f>IF(AND(HQ$4=1,HQ21=0),1,0)</f>
        <v/>
      </c>
      <c r="HR71">
        <f>IF(AND(HR$4=1,HR21=0),1,0)</f>
        <v/>
      </c>
      <c r="HS71">
        <f>IF(AND(HS$4=1,HS21=0),1,0)</f>
        <v/>
      </c>
      <c r="HT71">
        <f>IF(AND(HT$4=1,HT21=0),1,0)</f>
        <v/>
      </c>
      <c r="HU71">
        <f>IF(AND(HU$4=1,HU21=0),1,0)</f>
        <v/>
      </c>
      <c r="HV71">
        <f>IF(AND(HV$4=1,HV21=0),1,0)</f>
        <v/>
      </c>
      <c r="HW71">
        <f>IF(AND(HW$4=1,HW21=0),1,0)</f>
        <v/>
      </c>
      <c r="HX71">
        <f>IF(AND(HX$4=1,HX21=0),1,0)</f>
        <v/>
      </c>
      <c r="HY71">
        <f>IF(AND(HY$4=1,HY21=0),1,0)</f>
        <v/>
      </c>
      <c r="HZ71">
        <f>IF(AND(HZ$4=1,HZ21=0),1,0)</f>
        <v/>
      </c>
      <c r="IA71">
        <f>IF(AND(IA$4=1,IA21=0),1,0)</f>
        <v/>
      </c>
      <c r="IB71">
        <f>IF(AND(IB$4=1,IB21=0),1,0)</f>
        <v/>
      </c>
      <c r="IC71">
        <f>IF(AND(IC$4=1,IC21=0),1,0)</f>
        <v/>
      </c>
      <c r="ID71">
        <f>IF(AND(ID$4=1,ID21=0),1,0)</f>
        <v/>
      </c>
      <c r="IE71">
        <f>IF(AND(IE$4=1,IE21=0),1,0)</f>
        <v/>
      </c>
      <c r="IF71">
        <f>IF(AND(IF$4=1,IF21=0),1,0)</f>
        <v/>
      </c>
      <c r="IG71">
        <f>IF(AND(IG$4=1,IG21=0),1,0)</f>
        <v/>
      </c>
      <c r="IH71">
        <f>IF(AND(IH$4=1,IH21=0),1,0)</f>
        <v/>
      </c>
      <c r="II71">
        <f>IF(AND(II$4=1,II21=0),1,0)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c r="ER72">
        <f>IF(AND(ER$4=1,ER22=0),1,0)</f>
        <v/>
      </c>
      <c r="ES72">
        <f>IF(AND(ES$4=1,ES22=0),1,0)</f>
        <v/>
      </c>
      <c r="ET72">
        <f>IF(AND(ET$4=1,ET22=0),1,0)</f>
        <v/>
      </c>
      <c r="EU72">
        <f>IF(AND(EU$4=1,EU22=0),1,0)</f>
        <v/>
      </c>
      <c r="EV72">
        <f>IF(AND(EV$4=1,EV22=0),1,0)</f>
        <v/>
      </c>
      <c r="EW72">
        <f>IF(AND(EW$4=1,EW22=0),1,0)</f>
        <v/>
      </c>
      <c r="EX72">
        <f>IF(AND(EX$4=1,EX22=0),1,0)</f>
        <v/>
      </c>
      <c r="EY72">
        <f>IF(AND(EY$4=1,EY22=0),1,0)</f>
        <v/>
      </c>
      <c r="EZ72">
        <f>IF(AND(EZ$4=1,EZ22=0),1,0)</f>
        <v/>
      </c>
      <c r="FA72">
        <f>IF(AND(FA$4=1,FA22=0),1,0)</f>
        <v/>
      </c>
      <c r="FB72">
        <f>IF(AND(FB$4=1,FB22=0),1,0)</f>
        <v/>
      </c>
      <c r="FC72">
        <f>IF(AND(FC$4=1,FC22=0),1,0)</f>
        <v/>
      </c>
      <c r="FD72">
        <f>IF(AND(FD$4=1,FD22=0),1,0)</f>
        <v/>
      </c>
      <c r="FE72">
        <f>IF(AND(FE$4=1,FE22=0),1,0)</f>
        <v/>
      </c>
      <c r="FF72">
        <f>IF(AND(FF$4=1,FF22=0),1,0)</f>
        <v/>
      </c>
      <c r="FG72">
        <f>IF(AND(FG$4=1,FG22=0),1,0)</f>
        <v/>
      </c>
      <c r="FH72">
        <f>IF(AND(FH$4=1,FH22=0),1,0)</f>
        <v/>
      </c>
      <c r="FI72">
        <f>IF(AND(FI$4=1,FI22=0),1,0)</f>
        <v/>
      </c>
      <c r="FJ72">
        <f>IF(AND(FJ$4=1,FJ22=0),1,0)</f>
        <v/>
      </c>
      <c r="FK72">
        <f>IF(AND(FK$4=1,FK22=0),1,0)</f>
        <v/>
      </c>
      <c r="FL72">
        <f>IF(AND(FL$4=1,FL22=0),1,0)</f>
        <v/>
      </c>
      <c r="FM72">
        <f>IF(AND(FM$4=1,FM22=0),1,0)</f>
        <v/>
      </c>
      <c r="FN72">
        <f>IF(AND(FN$4=1,FN22=0),1,0)</f>
        <v/>
      </c>
      <c r="FO72">
        <f>IF(AND(FO$4=1,FO22=0),1,0)</f>
        <v/>
      </c>
      <c r="FP72">
        <f>IF(AND(FP$4=1,FP22=0),1,0)</f>
        <v/>
      </c>
      <c r="FQ72">
        <f>IF(AND(FQ$4=1,FQ22=0),1,0)</f>
        <v/>
      </c>
      <c r="FR72">
        <f>IF(AND(FR$4=1,FR22=0),1,0)</f>
        <v/>
      </c>
      <c r="FS72">
        <f>IF(AND(FS$4=1,FS22=0),1,0)</f>
        <v/>
      </c>
      <c r="FT72">
        <f>IF(AND(FT$4=1,FT22=0),1,0)</f>
        <v/>
      </c>
      <c r="FU72">
        <f>IF(AND(FU$4=1,FU22=0),1,0)</f>
        <v/>
      </c>
      <c r="FV72">
        <f>IF(AND(FV$4=1,FV22=0),1,0)</f>
        <v/>
      </c>
      <c r="FW72">
        <f>IF(AND(FW$4=1,FW22=0),1,0)</f>
        <v/>
      </c>
      <c r="FX72">
        <f>IF(AND(FX$4=1,FX22=0),1,0)</f>
        <v/>
      </c>
      <c r="FY72">
        <f>IF(AND(FY$4=1,FY22=0),1,0)</f>
        <v/>
      </c>
      <c r="FZ72">
        <f>IF(AND(FZ$4=1,FZ22=0),1,0)</f>
        <v/>
      </c>
      <c r="GA72">
        <f>IF(AND(GA$4=1,GA22=0),1,0)</f>
        <v/>
      </c>
      <c r="GB72">
        <f>IF(AND(GB$4=1,GB22=0),1,0)</f>
        <v/>
      </c>
      <c r="GC72">
        <f>IF(AND(GC$4=1,GC22=0),1,0)</f>
        <v/>
      </c>
      <c r="GD72">
        <f>IF(AND(GD$4=1,GD22=0),1,0)</f>
        <v/>
      </c>
      <c r="GE72">
        <f>IF(AND(GE$4=1,GE22=0),1,0)</f>
        <v/>
      </c>
      <c r="GF72">
        <f>IF(AND(GF$4=1,GF22=0),1,0)</f>
        <v/>
      </c>
      <c r="GG72">
        <f>IF(AND(GG$4=1,GG22=0),1,0)</f>
        <v/>
      </c>
      <c r="GH72">
        <f>IF(AND(GH$4=1,GH22=0),1,0)</f>
        <v/>
      </c>
      <c r="GI72">
        <f>IF(AND(GI$4=1,GI22=0),1,0)</f>
        <v/>
      </c>
      <c r="GJ72">
        <f>IF(AND(GJ$4=1,GJ22=0),1,0)</f>
        <v/>
      </c>
      <c r="GK72">
        <f>IF(AND(GK$4=1,GK22=0),1,0)</f>
        <v/>
      </c>
      <c r="GL72">
        <f>IF(AND(GL$4=1,GL22=0),1,0)</f>
        <v/>
      </c>
      <c r="GM72">
        <f>IF(AND(GM$4=1,GM22=0),1,0)</f>
        <v/>
      </c>
      <c r="GN72">
        <f>IF(AND(GN$4=1,GN22=0),1,0)</f>
        <v/>
      </c>
      <c r="GO72">
        <f>IF(AND(GO$4=1,GO22=0),1,0)</f>
        <v/>
      </c>
      <c r="GP72">
        <f>IF(AND(GP$4=1,GP22=0),1,0)</f>
        <v/>
      </c>
      <c r="GQ72">
        <f>IF(AND(GQ$4=1,GQ22=0),1,0)</f>
        <v/>
      </c>
      <c r="GR72">
        <f>IF(AND(GR$4=1,GR22=0),1,0)</f>
        <v/>
      </c>
      <c r="GS72">
        <f>IF(AND(GS$4=1,GS22=0),1,0)</f>
        <v/>
      </c>
      <c r="GT72">
        <f>IF(AND(GT$4=1,GT22=0),1,0)</f>
        <v/>
      </c>
      <c r="GU72">
        <f>IF(AND(GU$4=1,GU22=0),1,0)</f>
        <v/>
      </c>
      <c r="GV72">
        <f>IF(AND(GV$4=1,GV22=0),1,0)</f>
        <v/>
      </c>
      <c r="GW72">
        <f>IF(AND(GW$4=1,GW22=0),1,0)</f>
        <v/>
      </c>
      <c r="GX72">
        <f>IF(AND(GX$4=1,GX22=0),1,0)</f>
        <v/>
      </c>
      <c r="GY72">
        <f>IF(AND(GY$4=1,GY22=0),1,0)</f>
        <v/>
      </c>
      <c r="GZ72">
        <f>IF(AND(GZ$4=1,GZ22=0),1,0)</f>
        <v/>
      </c>
      <c r="HA72">
        <f>IF(AND(HA$4=1,HA22=0),1,0)</f>
        <v/>
      </c>
      <c r="HB72">
        <f>IF(AND(HB$4=1,HB22=0),1,0)</f>
        <v/>
      </c>
      <c r="HC72">
        <f>IF(AND(HC$4=1,HC22=0),1,0)</f>
        <v/>
      </c>
      <c r="HD72">
        <f>IF(AND(HD$4=1,HD22=0),1,0)</f>
        <v/>
      </c>
      <c r="HE72">
        <f>IF(AND(HE$4=1,HE22=0),1,0)</f>
        <v/>
      </c>
      <c r="HF72">
        <f>IF(AND(HF$4=1,HF22=0),1,0)</f>
        <v/>
      </c>
      <c r="HG72">
        <f>IF(AND(HG$4=1,HG22=0),1,0)</f>
        <v/>
      </c>
      <c r="HH72">
        <f>IF(AND(HH$4=1,HH22=0),1,0)</f>
        <v/>
      </c>
      <c r="HI72">
        <f>IF(AND(HI$4=1,HI22=0),1,0)</f>
        <v/>
      </c>
      <c r="HJ72">
        <f>IF(AND(HJ$4=1,HJ22=0),1,0)</f>
        <v/>
      </c>
      <c r="HK72">
        <f>IF(AND(HK$4=1,HK22=0),1,0)</f>
        <v/>
      </c>
      <c r="HL72">
        <f>IF(AND(HL$4=1,HL22=0),1,0)</f>
        <v/>
      </c>
      <c r="HM72">
        <f>IF(AND(HM$4=1,HM22=0),1,0)</f>
        <v/>
      </c>
      <c r="HN72">
        <f>IF(AND(HN$4=1,HN22=0),1,0)</f>
        <v/>
      </c>
      <c r="HO72">
        <f>IF(AND(HO$4=1,HO22=0),1,0)</f>
        <v/>
      </c>
      <c r="HP72">
        <f>IF(AND(HP$4=1,HP22=0),1,0)</f>
        <v/>
      </c>
      <c r="HQ72">
        <f>IF(AND(HQ$4=1,HQ22=0),1,0)</f>
        <v/>
      </c>
      <c r="HR72">
        <f>IF(AND(HR$4=1,HR22=0),1,0)</f>
        <v/>
      </c>
      <c r="HS72">
        <f>IF(AND(HS$4=1,HS22=0),1,0)</f>
        <v/>
      </c>
      <c r="HT72">
        <f>IF(AND(HT$4=1,HT22=0),1,0)</f>
        <v/>
      </c>
      <c r="HU72">
        <f>IF(AND(HU$4=1,HU22=0),1,0)</f>
        <v/>
      </c>
      <c r="HV72">
        <f>IF(AND(HV$4=1,HV22=0),1,0)</f>
        <v/>
      </c>
      <c r="HW72">
        <f>IF(AND(HW$4=1,HW22=0),1,0)</f>
        <v/>
      </c>
      <c r="HX72">
        <f>IF(AND(HX$4=1,HX22=0),1,0)</f>
        <v/>
      </c>
      <c r="HY72">
        <f>IF(AND(HY$4=1,HY22=0),1,0)</f>
        <v/>
      </c>
      <c r="HZ72">
        <f>IF(AND(HZ$4=1,HZ22=0),1,0)</f>
        <v/>
      </c>
      <c r="IA72">
        <f>IF(AND(IA$4=1,IA22=0),1,0)</f>
        <v/>
      </c>
      <c r="IB72">
        <f>IF(AND(IB$4=1,IB22=0),1,0)</f>
        <v/>
      </c>
      <c r="IC72">
        <f>IF(AND(IC$4=1,IC22=0),1,0)</f>
        <v/>
      </c>
      <c r="ID72">
        <f>IF(AND(ID$4=1,ID22=0),1,0)</f>
        <v/>
      </c>
      <c r="IE72">
        <f>IF(AND(IE$4=1,IE22=0),1,0)</f>
        <v/>
      </c>
      <c r="IF72">
        <f>IF(AND(IF$4=1,IF22=0),1,0)</f>
        <v/>
      </c>
      <c r="IG72">
        <f>IF(AND(IG$4=1,IG22=0),1,0)</f>
        <v/>
      </c>
      <c r="IH72">
        <f>IF(AND(IH$4=1,IH22=0),1,0)</f>
        <v/>
      </c>
      <c r="II72">
        <f>IF(AND(II$4=1,II22=0),1,0)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c r="ER73">
        <f>IF(AND(ER$4=1,ER23=0),1,0)</f>
        <v/>
      </c>
      <c r="ES73">
        <f>IF(AND(ES$4=1,ES23=0),1,0)</f>
        <v/>
      </c>
      <c r="ET73">
        <f>IF(AND(ET$4=1,ET23=0),1,0)</f>
        <v/>
      </c>
      <c r="EU73">
        <f>IF(AND(EU$4=1,EU23=0),1,0)</f>
        <v/>
      </c>
      <c r="EV73">
        <f>IF(AND(EV$4=1,EV23=0),1,0)</f>
        <v/>
      </c>
      <c r="EW73">
        <f>IF(AND(EW$4=1,EW23=0),1,0)</f>
        <v/>
      </c>
      <c r="EX73">
        <f>IF(AND(EX$4=1,EX23=0),1,0)</f>
        <v/>
      </c>
      <c r="EY73">
        <f>IF(AND(EY$4=1,EY23=0),1,0)</f>
        <v/>
      </c>
      <c r="EZ73">
        <f>IF(AND(EZ$4=1,EZ23=0),1,0)</f>
        <v/>
      </c>
      <c r="FA73">
        <f>IF(AND(FA$4=1,FA23=0),1,0)</f>
        <v/>
      </c>
      <c r="FB73">
        <f>IF(AND(FB$4=1,FB23=0),1,0)</f>
        <v/>
      </c>
      <c r="FC73">
        <f>IF(AND(FC$4=1,FC23=0),1,0)</f>
        <v/>
      </c>
      <c r="FD73">
        <f>IF(AND(FD$4=1,FD23=0),1,0)</f>
        <v/>
      </c>
      <c r="FE73">
        <f>IF(AND(FE$4=1,FE23=0),1,0)</f>
        <v/>
      </c>
      <c r="FF73">
        <f>IF(AND(FF$4=1,FF23=0),1,0)</f>
        <v/>
      </c>
      <c r="FG73">
        <f>IF(AND(FG$4=1,FG23=0),1,0)</f>
        <v/>
      </c>
      <c r="FH73">
        <f>IF(AND(FH$4=1,FH23=0),1,0)</f>
        <v/>
      </c>
      <c r="FI73">
        <f>IF(AND(FI$4=1,FI23=0),1,0)</f>
        <v/>
      </c>
      <c r="FJ73">
        <f>IF(AND(FJ$4=1,FJ23=0),1,0)</f>
        <v/>
      </c>
      <c r="FK73">
        <f>IF(AND(FK$4=1,FK23=0),1,0)</f>
        <v/>
      </c>
      <c r="FL73">
        <f>IF(AND(FL$4=1,FL23=0),1,0)</f>
        <v/>
      </c>
      <c r="FM73">
        <f>IF(AND(FM$4=1,FM23=0),1,0)</f>
        <v/>
      </c>
      <c r="FN73">
        <f>IF(AND(FN$4=1,FN23=0),1,0)</f>
        <v/>
      </c>
      <c r="FO73">
        <f>IF(AND(FO$4=1,FO23=0),1,0)</f>
        <v/>
      </c>
      <c r="FP73">
        <f>IF(AND(FP$4=1,FP23=0),1,0)</f>
        <v/>
      </c>
      <c r="FQ73">
        <f>IF(AND(FQ$4=1,FQ23=0),1,0)</f>
        <v/>
      </c>
      <c r="FR73">
        <f>IF(AND(FR$4=1,FR23=0),1,0)</f>
        <v/>
      </c>
      <c r="FS73">
        <f>IF(AND(FS$4=1,FS23=0),1,0)</f>
        <v/>
      </c>
      <c r="FT73">
        <f>IF(AND(FT$4=1,FT23=0),1,0)</f>
        <v/>
      </c>
      <c r="FU73">
        <f>IF(AND(FU$4=1,FU23=0),1,0)</f>
        <v/>
      </c>
      <c r="FV73">
        <f>IF(AND(FV$4=1,FV23=0),1,0)</f>
        <v/>
      </c>
      <c r="FW73">
        <f>IF(AND(FW$4=1,FW23=0),1,0)</f>
        <v/>
      </c>
      <c r="FX73">
        <f>IF(AND(FX$4=1,FX23=0),1,0)</f>
        <v/>
      </c>
      <c r="FY73">
        <f>IF(AND(FY$4=1,FY23=0),1,0)</f>
        <v/>
      </c>
      <c r="FZ73">
        <f>IF(AND(FZ$4=1,FZ23=0),1,0)</f>
        <v/>
      </c>
      <c r="GA73">
        <f>IF(AND(GA$4=1,GA23=0),1,0)</f>
        <v/>
      </c>
      <c r="GB73">
        <f>IF(AND(GB$4=1,GB23=0),1,0)</f>
        <v/>
      </c>
      <c r="GC73">
        <f>IF(AND(GC$4=1,GC23=0),1,0)</f>
        <v/>
      </c>
      <c r="GD73">
        <f>IF(AND(GD$4=1,GD23=0),1,0)</f>
        <v/>
      </c>
      <c r="GE73">
        <f>IF(AND(GE$4=1,GE23=0),1,0)</f>
        <v/>
      </c>
      <c r="GF73">
        <f>IF(AND(GF$4=1,GF23=0),1,0)</f>
        <v/>
      </c>
      <c r="GG73">
        <f>IF(AND(GG$4=1,GG23=0),1,0)</f>
        <v/>
      </c>
      <c r="GH73">
        <f>IF(AND(GH$4=1,GH23=0),1,0)</f>
        <v/>
      </c>
      <c r="GI73">
        <f>IF(AND(GI$4=1,GI23=0),1,0)</f>
        <v/>
      </c>
      <c r="GJ73">
        <f>IF(AND(GJ$4=1,GJ23=0),1,0)</f>
        <v/>
      </c>
      <c r="GK73">
        <f>IF(AND(GK$4=1,GK23=0),1,0)</f>
        <v/>
      </c>
      <c r="GL73">
        <f>IF(AND(GL$4=1,GL23=0),1,0)</f>
        <v/>
      </c>
      <c r="GM73">
        <f>IF(AND(GM$4=1,GM23=0),1,0)</f>
        <v/>
      </c>
      <c r="GN73">
        <f>IF(AND(GN$4=1,GN23=0),1,0)</f>
        <v/>
      </c>
      <c r="GO73">
        <f>IF(AND(GO$4=1,GO23=0),1,0)</f>
        <v/>
      </c>
      <c r="GP73">
        <f>IF(AND(GP$4=1,GP23=0),1,0)</f>
        <v/>
      </c>
      <c r="GQ73">
        <f>IF(AND(GQ$4=1,GQ23=0),1,0)</f>
        <v/>
      </c>
      <c r="GR73">
        <f>IF(AND(GR$4=1,GR23=0),1,0)</f>
        <v/>
      </c>
      <c r="GS73">
        <f>IF(AND(GS$4=1,GS23=0),1,0)</f>
        <v/>
      </c>
      <c r="GT73">
        <f>IF(AND(GT$4=1,GT23=0),1,0)</f>
        <v/>
      </c>
      <c r="GU73">
        <f>IF(AND(GU$4=1,GU23=0),1,0)</f>
        <v/>
      </c>
      <c r="GV73">
        <f>IF(AND(GV$4=1,GV23=0),1,0)</f>
        <v/>
      </c>
      <c r="GW73">
        <f>IF(AND(GW$4=1,GW23=0),1,0)</f>
        <v/>
      </c>
      <c r="GX73">
        <f>IF(AND(GX$4=1,GX23=0),1,0)</f>
        <v/>
      </c>
      <c r="GY73">
        <f>IF(AND(GY$4=1,GY23=0),1,0)</f>
        <v/>
      </c>
      <c r="GZ73">
        <f>IF(AND(GZ$4=1,GZ23=0),1,0)</f>
        <v/>
      </c>
      <c r="HA73">
        <f>IF(AND(HA$4=1,HA23=0),1,0)</f>
        <v/>
      </c>
      <c r="HB73">
        <f>IF(AND(HB$4=1,HB23=0),1,0)</f>
        <v/>
      </c>
      <c r="HC73">
        <f>IF(AND(HC$4=1,HC23=0),1,0)</f>
        <v/>
      </c>
      <c r="HD73">
        <f>IF(AND(HD$4=1,HD23=0),1,0)</f>
        <v/>
      </c>
      <c r="HE73">
        <f>IF(AND(HE$4=1,HE23=0),1,0)</f>
        <v/>
      </c>
      <c r="HF73">
        <f>IF(AND(HF$4=1,HF23=0),1,0)</f>
        <v/>
      </c>
      <c r="HG73">
        <f>IF(AND(HG$4=1,HG23=0),1,0)</f>
        <v/>
      </c>
      <c r="HH73">
        <f>IF(AND(HH$4=1,HH23=0),1,0)</f>
        <v/>
      </c>
      <c r="HI73">
        <f>IF(AND(HI$4=1,HI23=0),1,0)</f>
        <v/>
      </c>
      <c r="HJ73">
        <f>IF(AND(HJ$4=1,HJ23=0),1,0)</f>
        <v/>
      </c>
      <c r="HK73">
        <f>IF(AND(HK$4=1,HK23=0),1,0)</f>
        <v/>
      </c>
      <c r="HL73">
        <f>IF(AND(HL$4=1,HL23=0),1,0)</f>
        <v/>
      </c>
      <c r="HM73">
        <f>IF(AND(HM$4=1,HM23=0),1,0)</f>
        <v/>
      </c>
      <c r="HN73">
        <f>IF(AND(HN$4=1,HN23=0),1,0)</f>
        <v/>
      </c>
      <c r="HO73">
        <f>IF(AND(HO$4=1,HO23=0),1,0)</f>
        <v/>
      </c>
      <c r="HP73">
        <f>IF(AND(HP$4=1,HP23=0),1,0)</f>
        <v/>
      </c>
      <c r="HQ73">
        <f>IF(AND(HQ$4=1,HQ23=0),1,0)</f>
        <v/>
      </c>
      <c r="HR73">
        <f>IF(AND(HR$4=1,HR23=0),1,0)</f>
        <v/>
      </c>
      <c r="HS73">
        <f>IF(AND(HS$4=1,HS23=0),1,0)</f>
        <v/>
      </c>
      <c r="HT73">
        <f>IF(AND(HT$4=1,HT23=0),1,0)</f>
        <v/>
      </c>
      <c r="HU73">
        <f>IF(AND(HU$4=1,HU23=0),1,0)</f>
        <v/>
      </c>
      <c r="HV73">
        <f>IF(AND(HV$4=1,HV23=0),1,0)</f>
        <v/>
      </c>
      <c r="HW73">
        <f>IF(AND(HW$4=1,HW23=0),1,0)</f>
        <v/>
      </c>
      <c r="HX73">
        <f>IF(AND(HX$4=1,HX23=0),1,0)</f>
        <v/>
      </c>
      <c r="HY73">
        <f>IF(AND(HY$4=1,HY23=0),1,0)</f>
        <v/>
      </c>
      <c r="HZ73">
        <f>IF(AND(HZ$4=1,HZ23=0),1,0)</f>
        <v/>
      </c>
      <c r="IA73">
        <f>IF(AND(IA$4=1,IA23=0),1,0)</f>
        <v/>
      </c>
      <c r="IB73">
        <f>IF(AND(IB$4=1,IB23=0),1,0)</f>
        <v/>
      </c>
      <c r="IC73">
        <f>IF(AND(IC$4=1,IC23=0),1,0)</f>
        <v/>
      </c>
      <c r="ID73">
        <f>IF(AND(ID$4=1,ID23=0),1,0)</f>
        <v/>
      </c>
      <c r="IE73">
        <f>IF(AND(IE$4=1,IE23=0),1,0)</f>
        <v/>
      </c>
      <c r="IF73">
        <f>IF(AND(IF$4=1,IF23=0),1,0)</f>
        <v/>
      </c>
      <c r="IG73">
        <f>IF(AND(IG$4=1,IG23=0),1,0)</f>
        <v/>
      </c>
      <c r="IH73">
        <f>IF(AND(IH$4=1,IH23=0),1,0)</f>
        <v/>
      </c>
      <c r="II73">
        <f>IF(AND(II$4=1,II23=0),1,0)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c r="ER74">
        <f>IF(AND(ER$4=1,ER24=0),1,0)</f>
        <v/>
      </c>
      <c r="ES74">
        <f>IF(AND(ES$4=1,ES24=0),1,0)</f>
        <v/>
      </c>
      <c r="ET74">
        <f>IF(AND(ET$4=1,ET24=0),1,0)</f>
        <v/>
      </c>
      <c r="EU74">
        <f>IF(AND(EU$4=1,EU24=0),1,0)</f>
        <v/>
      </c>
      <c r="EV74">
        <f>IF(AND(EV$4=1,EV24=0),1,0)</f>
        <v/>
      </c>
      <c r="EW74">
        <f>IF(AND(EW$4=1,EW24=0),1,0)</f>
        <v/>
      </c>
      <c r="EX74">
        <f>IF(AND(EX$4=1,EX24=0),1,0)</f>
        <v/>
      </c>
      <c r="EY74">
        <f>IF(AND(EY$4=1,EY24=0),1,0)</f>
        <v/>
      </c>
      <c r="EZ74">
        <f>IF(AND(EZ$4=1,EZ24=0),1,0)</f>
        <v/>
      </c>
      <c r="FA74">
        <f>IF(AND(FA$4=1,FA24=0),1,0)</f>
        <v/>
      </c>
      <c r="FB74">
        <f>IF(AND(FB$4=1,FB24=0),1,0)</f>
        <v/>
      </c>
      <c r="FC74">
        <f>IF(AND(FC$4=1,FC24=0),1,0)</f>
        <v/>
      </c>
      <c r="FD74">
        <f>IF(AND(FD$4=1,FD24=0),1,0)</f>
        <v/>
      </c>
      <c r="FE74">
        <f>IF(AND(FE$4=1,FE24=0),1,0)</f>
        <v/>
      </c>
      <c r="FF74">
        <f>IF(AND(FF$4=1,FF24=0),1,0)</f>
        <v/>
      </c>
      <c r="FG74">
        <f>IF(AND(FG$4=1,FG24=0),1,0)</f>
        <v/>
      </c>
      <c r="FH74">
        <f>IF(AND(FH$4=1,FH24=0),1,0)</f>
        <v/>
      </c>
      <c r="FI74">
        <f>IF(AND(FI$4=1,FI24=0),1,0)</f>
        <v/>
      </c>
      <c r="FJ74">
        <f>IF(AND(FJ$4=1,FJ24=0),1,0)</f>
        <v/>
      </c>
      <c r="FK74">
        <f>IF(AND(FK$4=1,FK24=0),1,0)</f>
        <v/>
      </c>
      <c r="FL74">
        <f>IF(AND(FL$4=1,FL24=0),1,0)</f>
        <v/>
      </c>
      <c r="FM74">
        <f>IF(AND(FM$4=1,FM24=0),1,0)</f>
        <v/>
      </c>
      <c r="FN74">
        <f>IF(AND(FN$4=1,FN24=0),1,0)</f>
        <v/>
      </c>
      <c r="FO74">
        <f>IF(AND(FO$4=1,FO24=0),1,0)</f>
        <v/>
      </c>
      <c r="FP74">
        <f>IF(AND(FP$4=1,FP24=0),1,0)</f>
        <v/>
      </c>
      <c r="FQ74">
        <f>IF(AND(FQ$4=1,FQ24=0),1,0)</f>
        <v/>
      </c>
      <c r="FR74">
        <f>IF(AND(FR$4=1,FR24=0),1,0)</f>
        <v/>
      </c>
      <c r="FS74">
        <f>IF(AND(FS$4=1,FS24=0),1,0)</f>
        <v/>
      </c>
      <c r="FT74">
        <f>IF(AND(FT$4=1,FT24=0),1,0)</f>
        <v/>
      </c>
      <c r="FU74">
        <f>IF(AND(FU$4=1,FU24=0),1,0)</f>
        <v/>
      </c>
      <c r="FV74">
        <f>IF(AND(FV$4=1,FV24=0),1,0)</f>
        <v/>
      </c>
      <c r="FW74">
        <f>IF(AND(FW$4=1,FW24=0),1,0)</f>
        <v/>
      </c>
      <c r="FX74">
        <f>IF(AND(FX$4=1,FX24=0),1,0)</f>
        <v/>
      </c>
      <c r="FY74">
        <f>IF(AND(FY$4=1,FY24=0),1,0)</f>
        <v/>
      </c>
      <c r="FZ74">
        <f>IF(AND(FZ$4=1,FZ24=0),1,0)</f>
        <v/>
      </c>
      <c r="GA74">
        <f>IF(AND(GA$4=1,GA24=0),1,0)</f>
        <v/>
      </c>
      <c r="GB74">
        <f>IF(AND(GB$4=1,GB24=0),1,0)</f>
        <v/>
      </c>
      <c r="GC74">
        <f>IF(AND(GC$4=1,GC24=0),1,0)</f>
        <v/>
      </c>
      <c r="GD74">
        <f>IF(AND(GD$4=1,GD24=0),1,0)</f>
        <v/>
      </c>
      <c r="GE74">
        <f>IF(AND(GE$4=1,GE24=0),1,0)</f>
        <v/>
      </c>
      <c r="GF74">
        <f>IF(AND(GF$4=1,GF24=0),1,0)</f>
        <v/>
      </c>
      <c r="GG74">
        <f>IF(AND(GG$4=1,GG24=0),1,0)</f>
        <v/>
      </c>
      <c r="GH74">
        <f>IF(AND(GH$4=1,GH24=0),1,0)</f>
        <v/>
      </c>
      <c r="GI74">
        <f>IF(AND(GI$4=1,GI24=0),1,0)</f>
        <v/>
      </c>
      <c r="GJ74">
        <f>IF(AND(GJ$4=1,GJ24=0),1,0)</f>
        <v/>
      </c>
      <c r="GK74">
        <f>IF(AND(GK$4=1,GK24=0),1,0)</f>
        <v/>
      </c>
      <c r="GL74">
        <f>IF(AND(GL$4=1,GL24=0),1,0)</f>
        <v/>
      </c>
      <c r="GM74">
        <f>IF(AND(GM$4=1,GM24=0),1,0)</f>
        <v/>
      </c>
      <c r="GN74">
        <f>IF(AND(GN$4=1,GN24=0),1,0)</f>
        <v/>
      </c>
      <c r="GO74">
        <f>IF(AND(GO$4=1,GO24=0),1,0)</f>
        <v/>
      </c>
      <c r="GP74">
        <f>IF(AND(GP$4=1,GP24=0),1,0)</f>
        <v/>
      </c>
      <c r="GQ74">
        <f>IF(AND(GQ$4=1,GQ24=0),1,0)</f>
        <v/>
      </c>
      <c r="GR74">
        <f>IF(AND(GR$4=1,GR24=0),1,0)</f>
        <v/>
      </c>
      <c r="GS74">
        <f>IF(AND(GS$4=1,GS24=0),1,0)</f>
        <v/>
      </c>
      <c r="GT74">
        <f>IF(AND(GT$4=1,GT24=0),1,0)</f>
        <v/>
      </c>
      <c r="GU74">
        <f>IF(AND(GU$4=1,GU24=0),1,0)</f>
        <v/>
      </c>
      <c r="GV74">
        <f>IF(AND(GV$4=1,GV24=0),1,0)</f>
        <v/>
      </c>
      <c r="GW74">
        <f>IF(AND(GW$4=1,GW24=0),1,0)</f>
        <v/>
      </c>
      <c r="GX74">
        <f>IF(AND(GX$4=1,GX24=0),1,0)</f>
        <v/>
      </c>
      <c r="GY74">
        <f>IF(AND(GY$4=1,GY24=0),1,0)</f>
        <v/>
      </c>
      <c r="GZ74">
        <f>IF(AND(GZ$4=1,GZ24=0),1,0)</f>
        <v/>
      </c>
      <c r="HA74">
        <f>IF(AND(HA$4=1,HA24=0),1,0)</f>
        <v/>
      </c>
      <c r="HB74">
        <f>IF(AND(HB$4=1,HB24=0),1,0)</f>
        <v/>
      </c>
      <c r="HC74">
        <f>IF(AND(HC$4=1,HC24=0),1,0)</f>
        <v/>
      </c>
      <c r="HD74">
        <f>IF(AND(HD$4=1,HD24=0),1,0)</f>
        <v/>
      </c>
      <c r="HE74">
        <f>IF(AND(HE$4=1,HE24=0),1,0)</f>
        <v/>
      </c>
      <c r="HF74">
        <f>IF(AND(HF$4=1,HF24=0),1,0)</f>
        <v/>
      </c>
      <c r="HG74">
        <f>IF(AND(HG$4=1,HG24=0),1,0)</f>
        <v/>
      </c>
      <c r="HH74">
        <f>IF(AND(HH$4=1,HH24=0),1,0)</f>
        <v/>
      </c>
      <c r="HI74">
        <f>IF(AND(HI$4=1,HI24=0),1,0)</f>
        <v/>
      </c>
      <c r="HJ74">
        <f>IF(AND(HJ$4=1,HJ24=0),1,0)</f>
        <v/>
      </c>
      <c r="HK74">
        <f>IF(AND(HK$4=1,HK24=0),1,0)</f>
        <v/>
      </c>
      <c r="HL74">
        <f>IF(AND(HL$4=1,HL24=0),1,0)</f>
        <v/>
      </c>
      <c r="HM74">
        <f>IF(AND(HM$4=1,HM24=0),1,0)</f>
        <v/>
      </c>
      <c r="HN74">
        <f>IF(AND(HN$4=1,HN24=0),1,0)</f>
        <v/>
      </c>
      <c r="HO74">
        <f>IF(AND(HO$4=1,HO24=0),1,0)</f>
        <v/>
      </c>
      <c r="HP74">
        <f>IF(AND(HP$4=1,HP24=0),1,0)</f>
        <v/>
      </c>
      <c r="HQ74">
        <f>IF(AND(HQ$4=1,HQ24=0),1,0)</f>
        <v/>
      </c>
      <c r="HR74">
        <f>IF(AND(HR$4=1,HR24=0),1,0)</f>
        <v/>
      </c>
      <c r="HS74">
        <f>IF(AND(HS$4=1,HS24=0),1,0)</f>
        <v/>
      </c>
      <c r="HT74">
        <f>IF(AND(HT$4=1,HT24=0),1,0)</f>
        <v/>
      </c>
      <c r="HU74">
        <f>IF(AND(HU$4=1,HU24=0),1,0)</f>
        <v/>
      </c>
      <c r="HV74">
        <f>IF(AND(HV$4=1,HV24=0),1,0)</f>
        <v/>
      </c>
      <c r="HW74">
        <f>IF(AND(HW$4=1,HW24=0),1,0)</f>
        <v/>
      </c>
      <c r="HX74">
        <f>IF(AND(HX$4=1,HX24=0),1,0)</f>
        <v/>
      </c>
      <c r="HY74">
        <f>IF(AND(HY$4=1,HY24=0),1,0)</f>
        <v/>
      </c>
      <c r="HZ74">
        <f>IF(AND(HZ$4=1,HZ24=0),1,0)</f>
        <v/>
      </c>
      <c r="IA74">
        <f>IF(AND(IA$4=1,IA24=0),1,0)</f>
        <v/>
      </c>
      <c r="IB74">
        <f>IF(AND(IB$4=1,IB24=0),1,0)</f>
        <v/>
      </c>
      <c r="IC74">
        <f>IF(AND(IC$4=1,IC24=0),1,0)</f>
        <v/>
      </c>
      <c r="ID74">
        <f>IF(AND(ID$4=1,ID24=0),1,0)</f>
        <v/>
      </c>
      <c r="IE74">
        <f>IF(AND(IE$4=1,IE24=0),1,0)</f>
        <v/>
      </c>
      <c r="IF74">
        <f>IF(AND(IF$4=1,IF24=0),1,0)</f>
        <v/>
      </c>
      <c r="IG74">
        <f>IF(AND(IG$4=1,IG24=0),1,0)</f>
        <v/>
      </c>
      <c r="IH74">
        <f>IF(AND(IH$4=1,IH24=0),1,0)</f>
        <v/>
      </c>
      <c r="II74">
        <f>IF(AND(II$4=1,II24=0),1,0)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c r="ER75">
        <f>IF(AND(ER$4=1,ER25=0),1,0)</f>
        <v/>
      </c>
      <c r="ES75">
        <f>IF(AND(ES$4=1,ES25=0),1,0)</f>
        <v/>
      </c>
      <c r="ET75">
        <f>IF(AND(ET$4=1,ET25=0),1,0)</f>
        <v/>
      </c>
      <c r="EU75">
        <f>IF(AND(EU$4=1,EU25=0),1,0)</f>
        <v/>
      </c>
      <c r="EV75">
        <f>IF(AND(EV$4=1,EV25=0),1,0)</f>
        <v/>
      </c>
      <c r="EW75">
        <f>IF(AND(EW$4=1,EW25=0),1,0)</f>
        <v/>
      </c>
      <c r="EX75">
        <f>IF(AND(EX$4=1,EX25=0),1,0)</f>
        <v/>
      </c>
      <c r="EY75">
        <f>IF(AND(EY$4=1,EY25=0),1,0)</f>
        <v/>
      </c>
      <c r="EZ75">
        <f>IF(AND(EZ$4=1,EZ25=0),1,0)</f>
        <v/>
      </c>
      <c r="FA75">
        <f>IF(AND(FA$4=1,FA25=0),1,0)</f>
        <v/>
      </c>
      <c r="FB75">
        <f>IF(AND(FB$4=1,FB25=0),1,0)</f>
        <v/>
      </c>
      <c r="FC75">
        <f>IF(AND(FC$4=1,FC25=0),1,0)</f>
        <v/>
      </c>
      <c r="FD75">
        <f>IF(AND(FD$4=1,FD25=0),1,0)</f>
        <v/>
      </c>
      <c r="FE75">
        <f>IF(AND(FE$4=1,FE25=0),1,0)</f>
        <v/>
      </c>
      <c r="FF75">
        <f>IF(AND(FF$4=1,FF25=0),1,0)</f>
        <v/>
      </c>
      <c r="FG75">
        <f>IF(AND(FG$4=1,FG25=0),1,0)</f>
        <v/>
      </c>
      <c r="FH75">
        <f>IF(AND(FH$4=1,FH25=0),1,0)</f>
        <v/>
      </c>
      <c r="FI75">
        <f>IF(AND(FI$4=1,FI25=0),1,0)</f>
        <v/>
      </c>
      <c r="FJ75">
        <f>IF(AND(FJ$4=1,FJ25=0),1,0)</f>
        <v/>
      </c>
      <c r="FK75">
        <f>IF(AND(FK$4=1,FK25=0),1,0)</f>
        <v/>
      </c>
      <c r="FL75">
        <f>IF(AND(FL$4=1,FL25=0),1,0)</f>
        <v/>
      </c>
      <c r="FM75">
        <f>IF(AND(FM$4=1,FM25=0),1,0)</f>
        <v/>
      </c>
      <c r="FN75">
        <f>IF(AND(FN$4=1,FN25=0),1,0)</f>
        <v/>
      </c>
      <c r="FO75">
        <f>IF(AND(FO$4=1,FO25=0),1,0)</f>
        <v/>
      </c>
      <c r="FP75">
        <f>IF(AND(FP$4=1,FP25=0),1,0)</f>
        <v/>
      </c>
      <c r="FQ75">
        <f>IF(AND(FQ$4=1,FQ25=0),1,0)</f>
        <v/>
      </c>
      <c r="FR75">
        <f>IF(AND(FR$4=1,FR25=0),1,0)</f>
        <v/>
      </c>
      <c r="FS75">
        <f>IF(AND(FS$4=1,FS25=0),1,0)</f>
        <v/>
      </c>
      <c r="FT75">
        <f>IF(AND(FT$4=1,FT25=0),1,0)</f>
        <v/>
      </c>
      <c r="FU75">
        <f>IF(AND(FU$4=1,FU25=0),1,0)</f>
        <v/>
      </c>
      <c r="FV75">
        <f>IF(AND(FV$4=1,FV25=0),1,0)</f>
        <v/>
      </c>
      <c r="FW75">
        <f>IF(AND(FW$4=1,FW25=0),1,0)</f>
        <v/>
      </c>
      <c r="FX75">
        <f>IF(AND(FX$4=1,FX25=0),1,0)</f>
        <v/>
      </c>
      <c r="FY75">
        <f>IF(AND(FY$4=1,FY25=0),1,0)</f>
        <v/>
      </c>
      <c r="FZ75">
        <f>IF(AND(FZ$4=1,FZ25=0),1,0)</f>
        <v/>
      </c>
      <c r="GA75">
        <f>IF(AND(GA$4=1,GA25=0),1,0)</f>
        <v/>
      </c>
      <c r="GB75">
        <f>IF(AND(GB$4=1,GB25=0),1,0)</f>
        <v/>
      </c>
      <c r="GC75">
        <f>IF(AND(GC$4=1,GC25=0),1,0)</f>
        <v/>
      </c>
      <c r="GD75">
        <f>IF(AND(GD$4=1,GD25=0),1,0)</f>
        <v/>
      </c>
      <c r="GE75">
        <f>IF(AND(GE$4=1,GE25=0),1,0)</f>
        <v/>
      </c>
      <c r="GF75">
        <f>IF(AND(GF$4=1,GF25=0),1,0)</f>
        <v/>
      </c>
      <c r="GG75">
        <f>IF(AND(GG$4=1,GG25=0),1,0)</f>
        <v/>
      </c>
      <c r="GH75">
        <f>IF(AND(GH$4=1,GH25=0),1,0)</f>
        <v/>
      </c>
      <c r="GI75">
        <f>IF(AND(GI$4=1,GI25=0),1,0)</f>
        <v/>
      </c>
      <c r="GJ75">
        <f>IF(AND(GJ$4=1,GJ25=0),1,0)</f>
        <v/>
      </c>
      <c r="GK75">
        <f>IF(AND(GK$4=1,GK25=0),1,0)</f>
        <v/>
      </c>
      <c r="GL75">
        <f>IF(AND(GL$4=1,GL25=0),1,0)</f>
        <v/>
      </c>
      <c r="GM75">
        <f>IF(AND(GM$4=1,GM25=0),1,0)</f>
        <v/>
      </c>
      <c r="GN75">
        <f>IF(AND(GN$4=1,GN25=0),1,0)</f>
        <v/>
      </c>
      <c r="GO75">
        <f>IF(AND(GO$4=1,GO25=0),1,0)</f>
        <v/>
      </c>
      <c r="GP75">
        <f>IF(AND(GP$4=1,GP25=0),1,0)</f>
        <v/>
      </c>
      <c r="GQ75">
        <f>IF(AND(GQ$4=1,GQ25=0),1,0)</f>
        <v/>
      </c>
      <c r="GR75">
        <f>IF(AND(GR$4=1,GR25=0),1,0)</f>
        <v/>
      </c>
      <c r="GS75">
        <f>IF(AND(GS$4=1,GS25=0),1,0)</f>
        <v/>
      </c>
      <c r="GT75">
        <f>IF(AND(GT$4=1,GT25=0),1,0)</f>
        <v/>
      </c>
      <c r="GU75">
        <f>IF(AND(GU$4=1,GU25=0),1,0)</f>
        <v/>
      </c>
      <c r="GV75">
        <f>IF(AND(GV$4=1,GV25=0),1,0)</f>
        <v/>
      </c>
      <c r="GW75">
        <f>IF(AND(GW$4=1,GW25=0),1,0)</f>
        <v/>
      </c>
      <c r="GX75">
        <f>IF(AND(GX$4=1,GX25=0),1,0)</f>
        <v/>
      </c>
      <c r="GY75">
        <f>IF(AND(GY$4=1,GY25=0),1,0)</f>
        <v/>
      </c>
      <c r="GZ75">
        <f>IF(AND(GZ$4=1,GZ25=0),1,0)</f>
        <v/>
      </c>
      <c r="HA75">
        <f>IF(AND(HA$4=1,HA25=0),1,0)</f>
        <v/>
      </c>
      <c r="HB75">
        <f>IF(AND(HB$4=1,HB25=0),1,0)</f>
        <v/>
      </c>
      <c r="HC75">
        <f>IF(AND(HC$4=1,HC25=0),1,0)</f>
        <v/>
      </c>
      <c r="HD75">
        <f>IF(AND(HD$4=1,HD25=0),1,0)</f>
        <v/>
      </c>
      <c r="HE75">
        <f>IF(AND(HE$4=1,HE25=0),1,0)</f>
        <v/>
      </c>
      <c r="HF75">
        <f>IF(AND(HF$4=1,HF25=0),1,0)</f>
        <v/>
      </c>
      <c r="HG75">
        <f>IF(AND(HG$4=1,HG25=0),1,0)</f>
        <v/>
      </c>
      <c r="HH75">
        <f>IF(AND(HH$4=1,HH25=0),1,0)</f>
        <v/>
      </c>
      <c r="HI75">
        <f>IF(AND(HI$4=1,HI25=0),1,0)</f>
        <v/>
      </c>
      <c r="HJ75">
        <f>IF(AND(HJ$4=1,HJ25=0),1,0)</f>
        <v/>
      </c>
      <c r="HK75">
        <f>IF(AND(HK$4=1,HK25=0),1,0)</f>
        <v/>
      </c>
      <c r="HL75">
        <f>IF(AND(HL$4=1,HL25=0),1,0)</f>
        <v/>
      </c>
      <c r="HM75">
        <f>IF(AND(HM$4=1,HM25=0),1,0)</f>
        <v/>
      </c>
      <c r="HN75">
        <f>IF(AND(HN$4=1,HN25=0),1,0)</f>
        <v/>
      </c>
      <c r="HO75">
        <f>IF(AND(HO$4=1,HO25=0),1,0)</f>
        <v/>
      </c>
      <c r="HP75">
        <f>IF(AND(HP$4=1,HP25=0),1,0)</f>
        <v/>
      </c>
      <c r="HQ75">
        <f>IF(AND(HQ$4=1,HQ25=0),1,0)</f>
        <v/>
      </c>
      <c r="HR75">
        <f>IF(AND(HR$4=1,HR25=0),1,0)</f>
        <v/>
      </c>
      <c r="HS75">
        <f>IF(AND(HS$4=1,HS25=0),1,0)</f>
        <v/>
      </c>
      <c r="HT75">
        <f>IF(AND(HT$4=1,HT25=0),1,0)</f>
        <v/>
      </c>
      <c r="HU75">
        <f>IF(AND(HU$4=1,HU25=0),1,0)</f>
        <v/>
      </c>
      <c r="HV75">
        <f>IF(AND(HV$4=1,HV25=0),1,0)</f>
        <v/>
      </c>
      <c r="HW75">
        <f>IF(AND(HW$4=1,HW25=0),1,0)</f>
        <v/>
      </c>
      <c r="HX75">
        <f>IF(AND(HX$4=1,HX25=0),1,0)</f>
        <v/>
      </c>
      <c r="HY75">
        <f>IF(AND(HY$4=1,HY25=0),1,0)</f>
        <v/>
      </c>
      <c r="HZ75">
        <f>IF(AND(HZ$4=1,HZ25=0),1,0)</f>
        <v/>
      </c>
      <c r="IA75">
        <f>IF(AND(IA$4=1,IA25=0),1,0)</f>
        <v/>
      </c>
      <c r="IB75">
        <f>IF(AND(IB$4=1,IB25=0),1,0)</f>
        <v/>
      </c>
      <c r="IC75">
        <f>IF(AND(IC$4=1,IC25=0),1,0)</f>
        <v/>
      </c>
      <c r="ID75">
        <f>IF(AND(ID$4=1,ID25=0),1,0)</f>
        <v/>
      </c>
      <c r="IE75">
        <f>IF(AND(IE$4=1,IE25=0),1,0)</f>
        <v/>
      </c>
      <c r="IF75">
        <f>IF(AND(IF$4=1,IF25=0),1,0)</f>
        <v/>
      </c>
      <c r="IG75">
        <f>IF(AND(IG$4=1,IG25=0),1,0)</f>
        <v/>
      </c>
      <c r="IH75">
        <f>IF(AND(IH$4=1,IH25=0),1,0)</f>
        <v/>
      </c>
      <c r="II75">
        <f>IF(AND(II$4=1,II25=0),1,0)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c r="ER76">
        <f>IF(AND(ER$4=1,ER26=0),1,0)</f>
        <v/>
      </c>
      <c r="ES76">
        <f>IF(AND(ES$4=1,ES26=0),1,0)</f>
        <v/>
      </c>
      <c r="ET76">
        <f>IF(AND(ET$4=1,ET26=0),1,0)</f>
        <v/>
      </c>
      <c r="EU76">
        <f>IF(AND(EU$4=1,EU26=0),1,0)</f>
        <v/>
      </c>
      <c r="EV76">
        <f>IF(AND(EV$4=1,EV26=0),1,0)</f>
        <v/>
      </c>
      <c r="EW76">
        <f>IF(AND(EW$4=1,EW26=0),1,0)</f>
        <v/>
      </c>
      <c r="EX76">
        <f>IF(AND(EX$4=1,EX26=0),1,0)</f>
        <v/>
      </c>
      <c r="EY76">
        <f>IF(AND(EY$4=1,EY26=0),1,0)</f>
        <v/>
      </c>
      <c r="EZ76">
        <f>IF(AND(EZ$4=1,EZ26=0),1,0)</f>
        <v/>
      </c>
      <c r="FA76">
        <f>IF(AND(FA$4=1,FA26=0),1,0)</f>
        <v/>
      </c>
      <c r="FB76">
        <f>IF(AND(FB$4=1,FB26=0),1,0)</f>
        <v/>
      </c>
      <c r="FC76">
        <f>IF(AND(FC$4=1,FC26=0),1,0)</f>
        <v/>
      </c>
      <c r="FD76">
        <f>IF(AND(FD$4=1,FD26=0),1,0)</f>
        <v/>
      </c>
      <c r="FE76">
        <f>IF(AND(FE$4=1,FE26=0),1,0)</f>
        <v/>
      </c>
      <c r="FF76">
        <f>IF(AND(FF$4=1,FF26=0),1,0)</f>
        <v/>
      </c>
      <c r="FG76">
        <f>IF(AND(FG$4=1,FG26=0),1,0)</f>
        <v/>
      </c>
      <c r="FH76">
        <f>IF(AND(FH$4=1,FH26=0),1,0)</f>
        <v/>
      </c>
      <c r="FI76">
        <f>IF(AND(FI$4=1,FI26=0),1,0)</f>
        <v/>
      </c>
      <c r="FJ76">
        <f>IF(AND(FJ$4=1,FJ26=0),1,0)</f>
        <v/>
      </c>
      <c r="FK76">
        <f>IF(AND(FK$4=1,FK26=0),1,0)</f>
        <v/>
      </c>
      <c r="FL76">
        <f>IF(AND(FL$4=1,FL26=0),1,0)</f>
        <v/>
      </c>
      <c r="FM76">
        <f>IF(AND(FM$4=1,FM26=0),1,0)</f>
        <v/>
      </c>
      <c r="FN76">
        <f>IF(AND(FN$4=1,FN26=0),1,0)</f>
        <v/>
      </c>
      <c r="FO76">
        <f>IF(AND(FO$4=1,FO26=0),1,0)</f>
        <v/>
      </c>
      <c r="FP76">
        <f>IF(AND(FP$4=1,FP26=0),1,0)</f>
        <v/>
      </c>
      <c r="FQ76">
        <f>IF(AND(FQ$4=1,FQ26=0),1,0)</f>
        <v/>
      </c>
      <c r="FR76">
        <f>IF(AND(FR$4=1,FR26=0),1,0)</f>
        <v/>
      </c>
      <c r="FS76">
        <f>IF(AND(FS$4=1,FS26=0),1,0)</f>
        <v/>
      </c>
      <c r="FT76">
        <f>IF(AND(FT$4=1,FT26=0),1,0)</f>
        <v/>
      </c>
      <c r="FU76">
        <f>IF(AND(FU$4=1,FU26=0),1,0)</f>
        <v/>
      </c>
      <c r="FV76">
        <f>IF(AND(FV$4=1,FV26=0),1,0)</f>
        <v/>
      </c>
      <c r="FW76">
        <f>IF(AND(FW$4=1,FW26=0),1,0)</f>
        <v/>
      </c>
      <c r="FX76">
        <f>IF(AND(FX$4=1,FX26=0),1,0)</f>
        <v/>
      </c>
      <c r="FY76">
        <f>IF(AND(FY$4=1,FY26=0),1,0)</f>
        <v/>
      </c>
      <c r="FZ76">
        <f>IF(AND(FZ$4=1,FZ26=0),1,0)</f>
        <v/>
      </c>
      <c r="GA76">
        <f>IF(AND(GA$4=1,GA26=0),1,0)</f>
        <v/>
      </c>
      <c r="GB76">
        <f>IF(AND(GB$4=1,GB26=0),1,0)</f>
        <v/>
      </c>
      <c r="GC76">
        <f>IF(AND(GC$4=1,GC26=0),1,0)</f>
        <v/>
      </c>
      <c r="GD76">
        <f>IF(AND(GD$4=1,GD26=0),1,0)</f>
        <v/>
      </c>
      <c r="GE76">
        <f>IF(AND(GE$4=1,GE26=0),1,0)</f>
        <v/>
      </c>
      <c r="GF76">
        <f>IF(AND(GF$4=1,GF26=0),1,0)</f>
        <v/>
      </c>
      <c r="GG76">
        <f>IF(AND(GG$4=1,GG26=0),1,0)</f>
        <v/>
      </c>
      <c r="GH76">
        <f>IF(AND(GH$4=1,GH26=0),1,0)</f>
        <v/>
      </c>
      <c r="GI76">
        <f>IF(AND(GI$4=1,GI26=0),1,0)</f>
        <v/>
      </c>
      <c r="GJ76">
        <f>IF(AND(GJ$4=1,GJ26=0),1,0)</f>
        <v/>
      </c>
      <c r="GK76">
        <f>IF(AND(GK$4=1,GK26=0),1,0)</f>
        <v/>
      </c>
      <c r="GL76">
        <f>IF(AND(GL$4=1,GL26=0),1,0)</f>
        <v/>
      </c>
      <c r="GM76">
        <f>IF(AND(GM$4=1,GM26=0),1,0)</f>
        <v/>
      </c>
      <c r="GN76">
        <f>IF(AND(GN$4=1,GN26=0),1,0)</f>
        <v/>
      </c>
      <c r="GO76">
        <f>IF(AND(GO$4=1,GO26=0),1,0)</f>
        <v/>
      </c>
      <c r="GP76">
        <f>IF(AND(GP$4=1,GP26=0),1,0)</f>
        <v/>
      </c>
      <c r="GQ76">
        <f>IF(AND(GQ$4=1,GQ26=0),1,0)</f>
        <v/>
      </c>
      <c r="GR76">
        <f>IF(AND(GR$4=1,GR26=0),1,0)</f>
        <v/>
      </c>
      <c r="GS76">
        <f>IF(AND(GS$4=1,GS26=0),1,0)</f>
        <v/>
      </c>
      <c r="GT76">
        <f>IF(AND(GT$4=1,GT26=0),1,0)</f>
        <v/>
      </c>
      <c r="GU76">
        <f>IF(AND(GU$4=1,GU26=0),1,0)</f>
        <v/>
      </c>
      <c r="GV76">
        <f>IF(AND(GV$4=1,GV26=0),1,0)</f>
        <v/>
      </c>
      <c r="GW76">
        <f>IF(AND(GW$4=1,GW26=0),1,0)</f>
        <v/>
      </c>
      <c r="GX76">
        <f>IF(AND(GX$4=1,GX26=0),1,0)</f>
        <v/>
      </c>
      <c r="GY76">
        <f>IF(AND(GY$4=1,GY26=0),1,0)</f>
        <v/>
      </c>
      <c r="GZ76">
        <f>IF(AND(GZ$4=1,GZ26=0),1,0)</f>
        <v/>
      </c>
      <c r="HA76">
        <f>IF(AND(HA$4=1,HA26=0),1,0)</f>
        <v/>
      </c>
      <c r="HB76">
        <f>IF(AND(HB$4=1,HB26=0),1,0)</f>
        <v/>
      </c>
      <c r="HC76">
        <f>IF(AND(HC$4=1,HC26=0),1,0)</f>
        <v/>
      </c>
      <c r="HD76">
        <f>IF(AND(HD$4=1,HD26=0),1,0)</f>
        <v/>
      </c>
      <c r="HE76">
        <f>IF(AND(HE$4=1,HE26=0),1,0)</f>
        <v/>
      </c>
      <c r="HF76">
        <f>IF(AND(HF$4=1,HF26=0),1,0)</f>
        <v/>
      </c>
      <c r="HG76">
        <f>IF(AND(HG$4=1,HG26=0),1,0)</f>
        <v/>
      </c>
      <c r="HH76">
        <f>IF(AND(HH$4=1,HH26=0),1,0)</f>
        <v/>
      </c>
      <c r="HI76">
        <f>IF(AND(HI$4=1,HI26=0),1,0)</f>
        <v/>
      </c>
      <c r="HJ76">
        <f>IF(AND(HJ$4=1,HJ26=0),1,0)</f>
        <v/>
      </c>
      <c r="HK76">
        <f>IF(AND(HK$4=1,HK26=0),1,0)</f>
        <v/>
      </c>
      <c r="HL76">
        <f>IF(AND(HL$4=1,HL26=0),1,0)</f>
        <v/>
      </c>
      <c r="HM76">
        <f>IF(AND(HM$4=1,HM26=0),1,0)</f>
        <v/>
      </c>
      <c r="HN76">
        <f>IF(AND(HN$4=1,HN26=0),1,0)</f>
        <v/>
      </c>
      <c r="HO76">
        <f>IF(AND(HO$4=1,HO26=0),1,0)</f>
        <v/>
      </c>
      <c r="HP76">
        <f>IF(AND(HP$4=1,HP26=0),1,0)</f>
        <v/>
      </c>
      <c r="HQ76">
        <f>IF(AND(HQ$4=1,HQ26=0),1,0)</f>
        <v/>
      </c>
      <c r="HR76">
        <f>IF(AND(HR$4=1,HR26=0),1,0)</f>
        <v/>
      </c>
      <c r="HS76">
        <f>IF(AND(HS$4=1,HS26=0),1,0)</f>
        <v/>
      </c>
      <c r="HT76">
        <f>IF(AND(HT$4=1,HT26=0),1,0)</f>
        <v/>
      </c>
      <c r="HU76">
        <f>IF(AND(HU$4=1,HU26=0),1,0)</f>
        <v/>
      </c>
      <c r="HV76">
        <f>IF(AND(HV$4=1,HV26=0),1,0)</f>
        <v/>
      </c>
      <c r="HW76">
        <f>IF(AND(HW$4=1,HW26=0),1,0)</f>
        <v/>
      </c>
      <c r="HX76">
        <f>IF(AND(HX$4=1,HX26=0),1,0)</f>
        <v/>
      </c>
      <c r="HY76">
        <f>IF(AND(HY$4=1,HY26=0),1,0)</f>
        <v/>
      </c>
      <c r="HZ76">
        <f>IF(AND(HZ$4=1,HZ26=0),1,0)</f>
        <v/>
      </c>
      <c r="IA76">
        <f>IF(AND(IA$4=1,IA26=0),1,0)</f>
        <v/>
      </c>
      <c r="IB76">
        <f>IF(AND(IB$4=1,IB26=0),1,0)</f>
        <v/>
      </c>
      <c r="IC76">
        <f>IF(AND(IC$4=1,IC26=0),1,0)</f>
        <v/>
      </c>
      <c r="ID76">
        <f>IF(AND(ID$4=1,ID26=0),1,0)</f>
        <v/>
      </c>
      <c r="IE76">
        <f>IF(AND(IE$4=1,IE26=0),1,0)</f>
        <v/>
      </c>
      <c r="IF76">
        <f>IF(AND(IF$4=1,IF26=0),1,0)</f>
        <v/>
      </c>
      <c r="IG76">
        <f>IF(AND(IG$4=1,IG26=0),1,0)</f>
        <v/>
      </c>
      <c r="IH76">
        <f>IF(AND(IH$4=1,IH26=0),1,0)</f>
        <v/>
      </c>
      <c r="II76">
        <f>IF(AND(II$4=1,II26=0),1,0)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c r="ER77">
        <f>IF(AND(ER$4=1,ER27=0),1,0)</f>
        <v/>
      </c>
      <c r="ES77">
        <f>IF(AND(ES$4=1,ES27=0),1,0)</f>
        <v/>
      </c>
      <c r="ET77">
        <f>IF(AND(ET$4=1,ET27=0),1,0)</f>
        <v/>
      </c>
      <c r="EU77">
        <f>IF(AND(EU$4=1,EU27=0),1,0)</f>
        <v/>
      </c>
      <c r="EV77">
        <f>IF(AND(EV$4=1,EV27=0),1,0)</f>
        <v/>
      </c>
      <c r="EW77">
        <f>IF(AND(EW$4=1,EW27=0),1,0)</f>
        <v/>
      </c>
      <c r="EX77">
        <f>IF(AND(EX$4=1,EX27=0),1,0)</f>
        <v/>
      </c>
      <c r="EY77">
        <f>IF(AND(EY$4=1,EY27=0),1,0)</f>
        <v/>
      </c>
      <c r="EZ77">
        <f>IF(AND(EZ$4=1,EZ27=0),1,0)</f>
        <v/>
      </c>
      <c r="FA77">
        <f>IF(AND(FA$4=1,FA27=0),1,0)</f>
        <v/>
      </c>
      <c r="FB77">
        <f>IF(AND(FB$4=1,FB27=0),1,0)</f>
        <v/>
      </c>
      <c r="FC77">
        <f>IF(AND(FC$4=1,FC27=0),1,0)</f>
        <v/>
      </c>
      <c r="FD77">
        <f>IF(AND(FD$4=1,FD27=0),1,0)</f>
        <v/>
      </c>
      <c r="FE77">
        <f>IF(AND(FE$4=1,FE27=0),1,0)</f>
        <v/>
      </c>
      <c r="FF77">
        <f>IF(AND(FF$4=1,FF27=0),1,0)</f>
        <v/>
      </c>
      <c r="FG77">
        <f>IF(AND(FG$4=1,FG27=0),1,0)</f>
        <v/>
      </c>
      <c r="FH77">
        <f>IF(AND(FH$4=1,FH27=0),1,0)</f>
        <v/>
      </c>
      <c r="FI77">
        <f>IF(AND(FI$4=1,FI27=0),1,0)</f>
        <v/>
      </c>
      <c r="FJ77">
        <f>IF(AND(FJ$4=1,FJ27=0),1,0)</f>
        <v/>
      </c>
      <c r="FK77">
        <f>IF(AND(FK$4=1,FK27=0),1,0)</f>
        <v/>
      </c>
      <c r="FL77">
        <f>IF(AND(FL$4=1,FL27=0),1,0)</f>
        <v/>
      </c>
      <c r="FM77">
        <f>IF(AND(FM$4=1,FM27=0),1,0)</f>
        <v/>
      </c>
      <c r="FN77">
        <f>IF(AND(FN$4=1,FN27=0),1,0)</f>
        <v/>
      </c>
      <c r="FO77">
        <f>IF(AND(FO$4=1,FO27=0),1,0)</f>
        <v/>
      </c>
      <c r="FP77">
        <f>IF(AND(FP$4=1,FP27=0),1,0)</f>
        <v/>
      </c>
      <c r="FQ77">
        <f>IF(AND(FQ$4=1,FQ27=0),1,0)</f>
        <v/>
      </c>
      <c r="FR77">
        <f>IF(AND(FR$4=1,FR27=0),1,0)</f>
        <v/>
      </c>
      <c r="FS77">
        <f>IF(AND(FS$4=1,FS27=0),1,0)</f>
        <v/>
      </c>
      <c r="FT77">
        <f>IF(AND(FT$4=1,FT27=0),1,0)</f>
        <v/>
      </c>
      <c r="FU77">
        <f>IF(AND(FU$4=1,FU27=0),1,0)</f>
        <v/>
      </c>
      <c r="FV77">
        <f>IF(AND(FV$4=1,FV27=0),1,0)</f>
        <v/>
      </c>
      <c r="FW77">
        <f>IF(AND(FW$4=1,FW27=0),1,0)</f>
        <v/>
      </c>
      <c r="FX77">
        <f>IF(AND(FX$4=1,FX27=0),1,0)</f>
        <v/>
      </c>
      <c r="FY77">
        <f>IF(AND(FY$4=1,FY27=0),1,0)</f>
        <v/>
      </c>
      <c r="FZ77">
        <f>IF(AND(FZ$4=1,FZ27=0),1,0)</f>
        <v/>
      </c>
      <c r="GA77">
        <f>IF(AND(GA$4=1,GA27=0),1,0)</f>
        <v/>
      </c>
      <c r="GB77">
        <f>IF(AND(GB$4=1,GB27=0),1,0)</f>
        <v/>
      </c>
      <c r="GC77">
        <f>IF(AND(GC$4=1,GC27=0),1,0)</f>
        <v/>
      </c>
      <c r="GD77">
        <f>IF(AND(GD$4=1,GD27=0),1,0)</f>
        <v/>
      </c>
      <c r="GE77">
        <f>IF(AND(GE$4=1,GE27=0),1,0)</f>
        <v/>
      </c>
      <c r="GF77">
        <f>IF(AND(GF$4=1,GF27=0),1,0)</f>
        <v/>
      </c>
      <c r="GG77">
        <f>IF(AND(GG$4=1,GG27=0),1,0)</f>
        <v/>
      </c>
      <c r="GH77">
        <f>IF(AND(GH$4=1,GH27=0),1,0)</f>
        <v/>
      </c>
      <c r="GI77">
        <f>IF(AND(GI$4=1,GI27=0),1,0)</f>
        <v/>
      </c>
      <c r="GJ77">
        <f>IF(AND(GJ$4=1,GJ27=0),1,0)</f>
        <v/>
      </c>
      <c r="GK77">
        <f>IF(AND(GK$4=1,GK27=0),1,0)</f>
        <v/>
      </c>
      <c r="GL77">
        <f>IF(AND(GL$4=1,GL27=0),1,0)</f>
        <v/>
      </c>
      <c r="GM77">
        <f>IF(AND(GM$4=1,GM27=0),1,0)</f>
        <v/>
      </c>
      <c r="GN77">
        <f>IF(AND(GN$4=1,GN27=0),1,0)</f>
        <v/>
      </c>
      <c r="GO77">
        <f>IF(AND(GO$4=1,GO27=0),1,0)</f>
        <v/>
      </c>
      <c r="GP77">
        <f>IF(AND(GP$4=1,GP27=0),1,0)</f>
        <v/>
      </c>
      <c r="GQ77">
        <f>IF(AND(GQ$4=1,GQ27=0),1,0)</f>
        <v/>
      </c>
      <c r="GR77">
        <f>IF(AND(GR$4=1,GR27=0),1,0)</f>
        <v/>
      </c>
      <c r="GS77">
        <f>IF(AND(GS$4=1,GS27=0),1,0)</f>
        <v/>
      </c>
      <c r="GT77">
        <f>IF(AND(GT$4=1,GT27=0),1,0)</f>
        <v/>
      </c>
      <c r="GU77">
        <f>IF(AND(GU$4=1,GU27=0),1,0)</f>
        <v/>
      </c>
      <c r="GV77">
        <f>IF(AND(GV$4=1,GV27=0),1,0)</f>
        <v/>
      </c>
      <c r="GW77">
        <f>IF(AND(GW$4=1,GW27=0),1,0)</f>
        <v/>
      </c>
      <c r="GX77">
        <f>IF(AND(GX$4=1,GX27=0),1,0)</f>
        <v/>
      </c>
      <c r="GY77">
        <f>IF(AND(GY$4=1,GY27=0),1,0)</f>
        <v/>
      </c>
      <c r="GZ77">
        <f>IF(AND(GZ$4=1,GZ27=0),1,0)</f>
        <v/>
      </c>
      <c r="HA77">
        <f>IF(AND(HA$4=1,HA27=0),1,0)</f>
        <v/>
      </c>
      <c r="HB77">
        <f>IF(AND(HB$4=1,HB27=0),1,0)</f>
        <v/>
      </c>
      <c r="HC77">
        <f>IF(AND(HC$4=1,HC27=0),1,0)</f>
        <v/>
      </c>
      <c r="HD77">
        <f>IF(AND(HD$4=1,HD27=0),1,0)</f>
        <v/>
      </c>
      <c r="HE77">
        <f>IF(AND(HE$4=1,HE27=0),1,0)</f>
        <v/>
      </c>
      <c r="HF77">
        <f>IF(AND(HF$4=1,HF27=0),1,0)</f>
        <v/>
      </c>
      <c r="HG77">
        <f>IF(AND(HG$4=1,HG27=0),1,0)</f>
        <v/>
      </c>
      <c r="HH77">
        <f>IF(AND(HH$4=1,HH27=0),1,0)</f>
        <v/>
      </c>
      <c r="HI77">
        <f>IF(AND(HI$4=1,HI27=0),1,0)</f>
        <v/>
      </c>
      <c r="HJ77">
        <f>IF(AND(HJ$4=1,HJ27=0),1,0)</f>
        <v/>
      </c>
      <c r="HK77">
        <f>IF(AND(HK$4=1,HK27=0),1,0)</f>
        <v/>
      </c>
      <c r="HL77">
        <f>IF(AND(HL$4=1,HL27=0),1,0)</f>
        <v/>
      </c>
      <c r="HM77">
        <f>IF(AND(HM$4=1,HM27=0),1,0)</f>
        <v/>
      </c>
      <c r="HN77">
        <f>IF(AND(HN$4=1,HN27=0),1,0)</f>
        <v/>
      </c>
      <c r="HO77">
        <f>IF(AND(HO$4=1,HO27=0),1,0)</f>
        <v/>
      </c>
      <c r="HP77">
        <f>IF(AND(HP$4=1,HP27=0),1,0)</f>
        <v/>
      </c>
      <c r="HQ77">
        <f>IF(AND(HQ$4=1,HQ27=0),1,0)</f>
        <v/>
      </c>
      <c r="HR77">
        <f>IF(AND(HR$4=1,HR27=0),1,0)</f>
        <v/>
      </c>
      <c r="HS77">
        <f>IF(AND(HS$4=1,HS27=0),1,0)</f>
        <v/>
      </c>
      <c r="HT77">
        <f>IF(AND(HT$4=1,HT27=0),1,0)</f>
        <v/>
      </c>
      <c r="HU77">
        <f>IF(AND(HU$4=1,HU27=0),1,0)</f>
        <v/>
      </c>
      <c r="HV77">
        <f>IF(AND(HV$4=1,HV27=0),1,0)</f>
        <v/>
      </c>
      <c r="HW77">
        <f>IF(AND(HW$4=1,HW27=0),1,0)</f>
        <v/>
      </c>
      <c r="HX77">
        <f>IF(AND(HX$4=1,HX27=0),1,0)</f>
        <v/>
      </c>
      <c r="HY77">
        <f>IF(AND(HY$4=1,HY27=0),1,0)</f>
        <v/>
      </c>
      <c r="HZ77">
        <f>IF(AND(HZ$4=1,HZ27=0),1,0)</f>
        <v/>
      </c>
      <c r="IA77">
        <f>IF(AND(IA$4=1,IA27=0),1,0)</f>
        <v/>
      </c>
      <c r="IB77">
        <f>IF(AND(IB$4=1,IB27=0),1,0)</f>
        <v/>
      </c>
      <c r="IC77">
        <f>IF(AND(IC$4=1,IC27=0),1,0)</f>
        <v/>
      </c>
      <c r="ID77">
        <f>IF(AND(ID$4=1,ID27=0),1,0)</f>
        <v/>
      </c>
      <c r="IE77">
        <f>IF(AND(IE$4=1,IE27=0),1,0)</f>
        <v/>
      </c>
      <c r="IF77">
        <f>IF(AND(IF$4=1,IF27=0),1,0)</f>
        <v/>
      </c>
      <c r="IG77">
        <f>IF(AND(IG$4=1,IG27=0),1,0)</f>
        <v/>
      </c>
      <c r="IH77">
        <f>IF(AND(IH$4=1,IH27=0),1,0)</f>
        <v/>
      </c>
      <c r="II77">
        <f>IF(AND(II$4=1,II27=0),1,0)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c r="ER78">
        <f>IF(AND(ER$4=1,ER28=0),1,0)</f>
        <v/>
      </c>
      <c r="ES78">
        <f>IF(AND(ES$4=1,ES28=0),1,0)</f>
        <v/>
      </c>
      <c r="ET78">
        <f>IF(AND(ET$4=1,ET28=0),1,0)</f>
        <v/>
      </c>
      <c r="EU78">
        <f>IF(AND(EU$4=1,EU28=0),1,0)</f>
        <v/>
      </c>
      <c r="EV78">
        <f>IF(AND(EV$4=1,EV28=0),1,0)</f>
        <v/>
      </c>
      <c r="EW78">
        <f>IF(AND(EW$4=1,EW28=0),1,0)</f>
        <v/>
      </c>
      <c r="EX78">
        <f>IF(AND(EX$4=1,EX28=0),1,0)</f>
        <v/>
      </c>
      <c r="EY78">
        <f>IF(AND(EY$4=1,EY28=0),1,0)</f>
        <v/>
      </c>
      <c r="EZ78">
        <f>IF(AND(EZ$4=1,EZ28=0),1,0)</f>
        <v/>
      </c>
      <c r="FA78">
        <f>IF(AND(FA$4=1,FA28=0),1,0)</f>
        <v/>
      </c>
      <c r="FB78">
        <f>IF(AND(FB$4=1,FB28=0),1,0)</f>
        <v/>
      </c>
      <c r="FC78">
        <f>IF(AND(FC$4=1,FC28=0),1,0)</f>
        <v/>
      </c>
      <c r="FD78">
        <f>IF(AND(FD$4=1,FD28=0),1,0)</f>
        <v/>
      </c>
      <c r="FE78">
        <f>IF(AND(FE$4=1,FE28=0),1,0)</f>
        <v/>
      </c>
      <c r="FF78">
        <f>IF(AND(FF$4=1,FF28=0),1,0)</f>
        <v/>
      </c>
      <c r="FG78">
        <f>IF(AND(FG$4=1,FG28=0),1,0)</f>
        <v/>
      </c>
      <c r="FH78">
        <f>IF(AND(FH$4=1,FH28=0),1,0)</f>
        <v/>
      </c>
      <c r="FI78">
        <f>IF(AND(FI$4=1,FI28=0),1,0)</f>
        <v/>
      </c>
      <c r="FJ78">
        <f>IF(AND(FJ$4=1,FJ28=0),1,0)</f>
        <v/>
      </c>
      <c r="FK78">
        <f>IF(AND(FK$4=1,FK28=0),1,0)</f>
        <v/>
      </c>
      <c r="FL78">
        <f>IF(AND(FL$4=1,FL28=0),1,0)</f>
        <v/>
      </c>
      <c r="FM78">
        <f>IF(AND(FM$4=1,FM28=0),1,0)</f>
        <v/>
      </c>
      <c r="FN78">
        <f>IF(AND(FN$4=1,FN28=0),1,0)</f>
        <v/>
      </c>
      <c r="FO78">
        <f>IF(AND(FO$4=1,FO28=0),1,0)</f>
        <v/>
      </c>
      <c r="FP78">
        <f>IF(AND(FP$4=1,FP28=0),1,0)</f>
        <v/>
      </c>
      <c r="FQ78">
        <f>IF(AND(FQ$4=1,FQ28=0),1,0)</f>
        <v/>
      </c>
      <c r="FR78">
        <f>IF(AND(FR$4=1,FR28=0),1,0)</f>
        <v/>
      </c>
      <c r="FS78">
        <f>IF(AND(FS$4=1,FS28=0),1,0)</f>
        <v/>
      </c>
      <c r="FT78">
        <f>IF(AND(FT$4=1,FT28=0),1,0)</f>
        <v/>
      </c>
      <c r="FU78">
        <f>IF(AND(FU$4=1,FU28=0),1,0)</f>
        <v/>
      </c>
      <c r="FV78">
        <f>IF(AND(FV$4=1,FV28=0),1,0)</f>
        <v/>
      </c>
      <c r="FW78">
        <f>IF(AND(FW$4=1,FW28=0),1,0)</f>
        <v/>
      </c>
      <c r="FX78">
        <f>IF(AND(FX$4=1,FX28=0),1,0)</f>
        <v/>
      </c>
      <c r="FY78">
        <f>IF(AND(FY$4=1,FY28=0),1,0)</f>
        <v/>
      </c>
      <c r="FZ78">
        <f>IF(AND(FZ$4=1,FZ28=0),1,0)</f>
        <v/>
      </c>
      <c r="GA78">
        <f>IF(AND(GA$4=1,GA28=0),1,0)</f>
        <v/>
      </c>
      <c r="GB78">
        <f>IF(AND(GB$4=1,GB28=0),1,0)</f>
        <v/>
      </c>
      <c r="GC78">
        <f>IF(AND(GC$4=1,GC28=0),1,0)</f>
        <v/>
      </c>
      <c r="GD78">
        <f>IF(AND(GD$4=1,GD28=0),1,0)</f>
        <v/>
      </c>
      <c r="GE78">
        <f>IF(AND(GE$4=1,GE28=0),1,0)</f>
        <v/>
      </c>
      <c r="GF78">
        <f>IF(AND(GF$4=1,GF28=0),1,0)</f>
        <v/>
      </c>
      <c r="GG78">
        <f>IF(AND(GG$4=1,GG28=0),1,0)</f>
        <v/>
      </c>
      <c r="GH78">
        <f>IF(AND(GH$4=1,GH28=0),1,0)</f>
        <v/>
      </c>
      <c r="GI78">
        <f>IF(AND(GI$4=1,GI28=0),1,0)</f>
        <v/>
      </c>
      <c r="GJ78">
        <f>IF(AND(GJ$4=1,GJ28=0),1,0)</f>
        <v/>
      </c>
      <c r="GK78">
        <f>IF(AND(GK$4=1,GK28=0),1,0)</f>
        <v/>
      </c>
      <c r="GL78">
        <f>IF(AND(GL$4=1,GL28=0),1,0)</f>
        <v/>
      </c>
      <c r="GM78">
        <f>IF(AND(GM$4=1,GM28=0),1,0)</f>
        <v/>
      </c>
      <c r="GN78">
        <f>IF(AND(GN$4=1,GN28=0),1,0)</f>
        <v/>
      </c>
      <c r="GO78">
        <f>IF(AND(GO$4=1,GO28=0),1,0)</f>
        <v/>
      </c>
      <c r="GP78">
        <f>IF(AND(GP$4=1,GP28=0),1,0)</f>
        <v/>
      </c>
      <c r="GQ78">
        <f>IF(AND(GQ$4=1,GQ28=0),1,0)</f>
        <v/>
      </c>
      <c r="GR78">
        <f>IF(AND(GR$4=1,GR28=0),1,0)</f>
        <v/>
      </c>
      <c r="GS78">
        <f>IF(AND(GS$4=1,GS28=0),1,0)</f>
        <v/>
      </c>
      <c r="GT78">
        <f>IF(AND(GT$4=1,GT28=0),1,0)</f>
        <v/>
      </c>
      <c r="GU78">
        <f>IF(AND(GU$4=1,GU28=0),1,0)</f>
        <v/>
      </c>
      <c r="GV78">
        <f>IF(AND(GV$4=1,GV28=0),1,0)</f>
        <v/>
      </c>
      <c r="GW78">
        <f>IF(AND(GW$4=1,GW28=0),1,0)</f>
        <v/>
      </c>
      <c r="GX78">
        <f>IF(AND(GX$4=1,GX28=0),1,0)</f>
        <v/>
      </c>
      <c r="GY78">
        <f>IF(AND(GY$4=1,GY28=0),1,0)</f>
        <v/>
      </c>
      <c r="GZ78">
        <f>IF(AND(GZ$4=1,GZ28=0),1,0)</f>
        <v/>
      </c>
      <c r="HA78">
        <f>IF(AND(HA$4=1,HA28=0),1,0)</f>
        <v/>
      </c>
      <c r="HB78">
        <f>IF(AND(HB$4=1,HB28=0),1,0)</f>
        <v/>
      </c>
      <c r="HC78">
        <f>IF(AND(HC$4=1,HC28=0),1,0)</f>
        <v/>
      </c>
      <c r="HD78">
        <f>IF(AND(HD$4=1,HD28=0),1,0)</f>
        <v/>
      </c>
      <c r="HE78">
        <f>IF(AND(HE$4=1,HE28=0),1,0)</f>
        <v/>
      </c>
      <c r="HF78">
        <f>IF(AND(HF$4=1,HF28=0),1,0)</f>
        <v/>
      </c>
      <c r="HG78">
        <f>IF(AND(HG$4=1,HG28=0),1,0)</f>
        <v/>
      </c>
      <c r="HH78">
        <f>IF(AND(HH$4=1,HH28=0),1,0)</f>
        <v/>
      </c>
      <c r="HI78">
        <f>IF(AND(HI$4=1,HI28=0),1,0)</f>
        <v/>
      </c>
      <c r="HJ78">
        <f>IF(AND(HJ$4=1,HJ28=0),1,0)</f>
        <v/>
      </c>
      <c r="HK78">
        <f>IF(AND(HK$4=1,HK28=0),1,0)</f>
        <v/>
      </c>
      <c r="HL78">
        <f>IF(AND(HL$4=1,HL28=0),1,0)</f>
        <v/>
      </c>
      <c r="HM78">
        <f>IF(AND(HM$4=1,HM28=0),1,0)</f>
        <v/>
      </c>
      <c r="HN78">
        <f>IF(AND(HN$4=1,HN28=0),1,0)</f>
        <v/>
      </c>
      <c r="HO78">
        <f>IF(AND(HO$4=1,HO28=0),1,0)</f>
        <v/>
      </c>
      <c r="HP78">
        <f>IF(AND(HP$4=1,HP28=0),1,0)</f>
        <v/>
      </c>
      <c r="HQ78">
        <f>IF(AND(HQ$4=1,HQ28=0),1,0)</f>
        <v/>
      </c>
      <c r="HR78">
        <f>IF(AND(HR$4=1,HR28=0),1,0)</f>
        <v/>
      </c>
      <c r="HS78">
        <f>IF(AND(HS$4=1,HS28=0),1,0)</f>
        <v/>
      </c>
      <c r="HT78">
        <f>IF(AND(HT$4=1,HT28=0),1,0)</f>
        <v/>
      </c>
      <c r="HU78">
        <f>IF(AND(HU$4=1,HU28=0),1,0)</f>
        <v/>
      </c>
      <c r="HV78">
        <f>IF(AND(HV$4=1,HV28=0),1,0)</f>
        <v/>
      </c>
      <c r="HW78">
        <f>IF(AND(HW$4=1,HW28=0),1,0)</f>
        <v/>
      </c>
      <c r="HX78">
        <f>IF(AND(HX$4=1,HX28=0),1,0)</f>
        <v/>
      </c>
      <c r="HY78">
        <f>IF(AND(HY$4=1,HY28=0),1,0)</f>
        <v/>
      </c>
      <c r="HZ78">
        <f>IF(AND(HZ$4=1,HZ28=0),1,0)</f>
        <v/>
      </c>
      <c r="IA78">
        <f>IF(AND(IA$4=1,IA28=0),1,0)</f>
        <v/>
      </c>
      <c r="IB78">
        <f>IF(AND(IB$4=1,IB28=0),1,0)</f>
        <v/>
      </c>
      <c r="IC78">
        <f>IF(AND(IC$4=1,IC28=0),1,0)</f>
        <v/>
      </c>
      <c r="ID78">
        <f>IF(AND(ID$4=1,ID28=0),1,0)</f>
        <v/>
      </c>
      <c r="IE78">
        <f>IF(AND(IE$4=1,IE28=0),1,0)</f>
        <v/>
      </c>
      <c r="IF78">
        <f>IF(AND(IF$4=1,IF28=0),1,0)</f>
        <v/>
      </c>
      <c r="IG78">
        <f>IF(AND(IG$4=1,IG28=0),1,0)</f>
        <v/>
      </c>
      <c r="IH78">
        <f>IF(AND(IH$4=1,IH28=0),1,0)</f>
        <v/>
      </c>
      <c r="II78">
        <f>IF(AND(II$4=1,II28=0),1,0)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c r="ER79">
        <f>IF(AND(ER$4=1,ER29=0),1,0)</f>
        <v/>
      </c>
      <c r="ES79">
        <f>IF(AND(ES$4=1,ES29=0),1,0)</f>
        <v/>
      </c>
      <c r="ET79">
        <f>IF(AND(ET$4=1,ET29=0),1,0)</f>
        <v/>
      </c>
      <c r="EU79">
        <f>IF(AND(EU$4=1,EU29=0),1,0)</f>
        <v/>
      </c>
      <c r="EV79">
        <f>IF(AND(EV$4=1,EV29=0),1,0)</f>
        <v/>
      </c>
      <c r="EW79">
        <f>IF(AND(EW$4=1,EW29=0),1,0)</f>
        <v/>
      </c>
      <c r="EX79">
        <f>IF(AND(EX$4=1,EX29=0),1,0)</f>
        <v/>
      </c>
      <c r="EY79">
        <f>IF(AND(EY$4=1,EY29=0),1,0)</f>
        <v/>
      </c>
      <c r="EZ79">
        <f>IF(AND(EZ$4=1,EZ29=0),1,0)</f>
        <v/>
      </c>
      <c r="FA79">
        <f>IF(AND(FA$4=1,FA29=0),1,0)</f>
        <v/>
      </c>
      <c r="FB79">
        <f>IF(AND(FB$4=1,FB29=0),1,0)</f>
        <v/>
      </c>
      <c r="FC79">
        <f>IF(AND(FC$4=1,FC29=0),1,0)</f>
        <v/>
      </c>
      <c r="FD79">
        <f>IF(AND(FD$4=1,FD29=0),1,0)</f>
        <v/>
      </c>
      <c r="FE79">
        <f>IF(AND(FE$4=1,FE29=0),1,0)</f>
        <v/>
      </c>
      <c r="FF79">
        <f>IF(AND(FF$4=1,FF29=0),1,0)</f>
        <v/>
      </c>
      <c r="FG79">
        <f>IF(AND(FG$4=1,FG29=0),1,0)</f>
        <v/>
      </c>
      <c r="FH79">
        <f>IF(AND(FH$4=1,FH29=0),1,0)</f>
        <v/>
      </c>
      <c r="FI79">
        <f>IF(AND(FI$4=1,FI29=0),1,0)</f>
        <v/>
      </c>
      <c r="FJ79">
        <f>IF(AND(FJ$4=1,FJ29=0),1,0)</f>
        <v/>
      </c>
      <c r="FK79">
        <f>IF(AND(FK$4=1,FK29=0),1,0)</f>
        <v/>
      </c>
      <c r="FL79">
        <f>IF(AND(FL$4=1,FL29=0),1,0)</f>
        <v/>
      </c>
      <c r="FM79">
        <f>IF(AND(FM$4=1,FM29=0),1,0)</f>
        <v/>
      </c>
      <c r="FN79">
        <f>IF(AND(FN$4=1,FN29=0),1,0)</f>
        <v/>
      </c>
      <c r="FO79">
        <f>IF(AND(FO$4=1,FO29=0),1,0)</f>
        <v/>
      </c>
      <c r="FP79">
        <f>IF(AND(FP$4=1,FP29=0),1,0)</f>
        <v/>
      </c>
      <c r="FQ79">
        <f>IF(AND(FQ$4=1,FQ29=0),1,0)</f>
        <v/>
      </c>
      <c r="FR79">
        <f>IF(AND(FR$4=1,FR29=0),1,0)</f>
        <v/>
      </c>
      <c r="FS79">
        <f>IF(AND(FS$4=1,FS29=0),1,0)</f>
        <v/>
      </c>
      <c r="FT79">
        <f>IF(AND(FT$4=1,FT29=0),1,0)</f>
        <v/>
      </c>
      <c r="FU79">
        <f>IF(AND(FU$4=1,FU29=0),1,0)</f>
        <v/>
      </c>
      <c r="FV79">
        <f>IF(AND(FV$4=1,FV29=0),1,0)</f>
        <v/>
      </c>
      <c r="FW79">
        <f>IF(AND(FW$4=1,FW29=0),1,0)</f>
        <v/>
      </c>
      <c r="FX79">
        <f>IF(AND(FX$4=1,FX29=0),1,0)</f>
        <v/>
      </c>
      <c r="FY79">
        <f>IF(AND(FY$4=1,FY29=0),1,0)</f>
        <v/>
      </c>
      <c r="FZ79">
        <f>IF(AND(FZ$4=1,FZ29=0),1,0)</f>
        <v/>
      </c>
      <c r="GA79">
        <f>IF(AND(GA$4=1,GA29=0),1,0)</f>
        <v/>
      </c>
      <c r="GB79">
        <f>IF(AND(GB$4=1,GB29=0),1,0)</f>
        <v/>
      </c>
      <c r="GC79">
        <f>IF(AND(GC$4=1,GC29=0),1,0)</f>
        <v/>
      </c>
      <c r="GD79">
        <f>IF(AND(GD$4=1,GD29=0),1,0)</f>
        <v/>
      </c>
      <c r="GE79">
        <f>IF(AND(GE$4=1,GE29=0),1,0)</f>
        <v/>
      </c>
      <c r="GF79">
        <f>IF(AND(GF$4=1,GF29=0),1,0)</f>
        <v/>
      </c>
      <c r="GG79">
        <f>IF(AND(GG$4=1,GG29=0),1,0)</f>
        <v/>
      </c>
      <c r="GH79">
        <f>IF(AND(GH$4=1,GH29=0),1,0)</f>
        <v/>
      </c>
      <c r="GI79">
        <f>IF(AND(GI$4=1,GI29=0),1,0)</f>
        <v/>
      </c>
      <c r="GJ79">
        <f>IF(AND(GJ$4=1,GJ29=0),1,0)</f>
        <v/>
      </c>
      <c r="GK79">
        <f>IF(AND(GK$4=1,GK29=0),1,0)</f>
        <v/>
      </c>
      <c r="GL79">
        <f>IF(AND(GL$4=1,GL29=0),1,0)</f>
        <v/>
      </c>
      <c r="GM79">
        <f>IF(AND(GM$4=1,GM29=0),1,0)</f>
        <v/>
      </c>
      <c r="GN79">
        <f>IF(AND(GN$4=1,GN29=0),1,0)</f>
        <v/>
      </c>
      <c r="GO79">
        <f>IF(AND(GO$4=1,GO29=0),1,0)</f>
        <v/>
      </c>
      <c r="GP79">
        <f>IF(AND(GP$4=1,GP29=0),1,0)</f>
        <v/>
      </c>
      <c r="GQ79">
        <f>IF(AND(GQ$4=1,GQ29=0),1,0)</f>
        <v/>
      </c>
      <c r="GR79">
        <f>IF(AND(GR$4=1,GR29=0),1,0)</f>
        <v/>
      </c>
      <c r="GS79">
        <f>IF(AND(GS$4=1,GS29=0),1,0)</f>
        <v/>
      </c>
      <c r="GT79">
        <f>IF(AND(GT$4=1,GT29=0),1,0)</f>
        <v/>
      </c>
      <c r="GU79">
        <f>IF(AND(GU$4=1,GU29=0),1,0)</f>
        <v/>
      </c>
      <c r="GV79">
        <f>IF(AND(GV$4=1,GV29=0),1,0)</f>
        <v/>
      </c>
      <c r="GW79">
        <f>IF(AND(GW$4=1,GW29=0),1,0)</f>
        <v/>
      </c>
      <c r="GX79">
        <f>IF(AND(GX$4=1,GX29=0),1,0)</f>
        <v/>
      </c>
      <c r="GY79">
        <f>IF(AND(GY$4=1,GY29=0),1,0)</f>
        <v/>
      </c>
      <c r="GZ79">
        <f>IF(AND(GZ$4=1,GZ29=0),1,0)</f>
        <v/>
      </c>
      <c r="HA79">
        <f>IF(AND(HA$4=1,HA29=0),1,0)</f>
        <v/>
      </c>
      <c r="HB79">
        <f>IF(AND(HB$4=1,HB29=0),1,0)</f>
        <v/>
      </c>
      <c r="HC79">
        <f>IF(AND(HC$4=1,HC29=0),1,0)</f>
        <v/>
      </c>
      <c r="HD79">
        <f>IF(AND(HD$4=1,HD29=0),1,0)</f>
        <v/>
      </c>
      <c r="HE79">
        <f>IF(AND(HE$4=1,HE29=0),1,0)</f>
        <v/>
      </c>
      <c r="HF79">
        <f>IF(AND(HF$4=1,HF29=0),1,0)</f>
        <v/>
      </c>
      <c r="HG79">
        <f>IF(AND(HG$4=1,HG29=0),1,0)</f>
        <v/>
      </c>
      <c r="HH79">
        <f>IF(AND(HH$4=1,HH29=0),1,0)</f>
        <v/>
      </c>
      <c r="HI79">
        <f>IF(AND(HI$4=1,HI29=0),1,0)</f>
        <v/>
      </c>
      <c r="HJ79">
        <f>IF(AND(HJ$4=1,HJ29=0),1,0)</f>
        <v/>
      </c>
      <c r="HK79">
        <f>IF(AND(HK$4=1,HK29=0),1,0)</f>
        <v/>
      </c>
      <c r="HL79">
        <f>IF(AND(HL$4=1,HL29=0),1,0)</f>
        <v/>
      </c>
      <c r="HM79">
        <f>IF(AND(HM$4=1,HM29=0),1,0)</f>
        <v/>
      </c>
      <c r="HN79">
        <f>IF(AND(HN$4=1,HN29=0),1,0)</f>
        <v/>
      </c>
      <c r="HO79">
        <f>IF(AND(HO$4=1,HO29=0),1,0)</f>
        <v/>
      </c>
      <c r="HP79">
        <f>IF(AND(HP$4=1,HP29=0),1,0)</f>
        <v/>
      </c>
      <c r="HQ79">
        <f>IF(AND(HQ$4=1,HQ29=0),1,0)</f>
        <v/>
      </c>
      <c r="HR79">
        <f>IF(AND(HR$4=1,HR29=0),1,0)</f>
        <v/>
      </c>
      <c r="HS79">
        <f>IF(AND(HS$4=1,HS29=0),1,0)</f>
        <v/>
      </c>
      <c r="HT79">
        <f>IF(AND(HT$4=1,HT29=0),1,0)</f>
        <v/>
      </c>
      <c r="HU79">
        <f>IF(AND(HU$4=1,HU29=0),1,0)</f>
        <v/>
      </c>
      <c r="HV79">
        <f>IF(AND(HV$4=1,HV29=0),1,0)</f>
        <v/>
      </c>
      <c r="HW79">
        <f>IF(AND(HW$4=1,HW29=0),1,0)</f>
        <v/>
      </c>
      <c r="HX79">
        <f>IF(AND(HX$4=1,HX29=0),1,0)</f>
        <v/>
      </c>
      <c r="HY79">
        <f>IF(AND(HY$4=1,HY29=0),1,0)</f>
        <v/>
      </c>
      <c r="HZ79">
        <f>IF(AND(HZ$4=1,HZ29=0),1,0)</f>
        <v/>
      </c>
      <c r="IA79">
        <f>IF(AND(IA$4=1,IA29=0),1,0)</f>
        <v/>
      </c>
      <c r="IB79">
        <f>IF(AND(IB$4=1,IB29=0),1,0)</f>
        <v/>
      </c>
      <c r="IC79">
        <f>IF(AND(IC$4=1,IC29=0),1,0)</f>
        <v/>
      </c>
      <c r="ID79">
        <f>IF(AND(ID$4=1,ID29=0),1,0)</f>
        <v/>
      </c>
      <c r="IE79">
        <f>IF(AND(IE$4=1,IE29=0),1,0)</f>
        <v/>
      </c>
      <c r="IF79">
        <f>IF(AND(IF$4=1,IF29=0),1,0)</f>
        <v/>
      </c>
      <c r="IG79">
        <f>IF(AND(IG$4=1,IG29=0),1,0)</f>
        <v/>
      </c>
      <c r="IH79">
        <f>IF(AND(IH$4=1,IH29=0),1,0)</f>
        <v/>
      </c>
      <c r="II79">
        <f>IF(AND(II$4=1,II29=0),1,0)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c r="ER80">
        <f>IF(AND(ER$4=1,ER30=0),1,0)</f>
        <v/>
      </c>
      <c r="ES80">
        <f>IF(AND(ES$4=1,ES30=0),1,0)</f>
        <v/>
      </c>
      <c r="ET80">
        <f>IF(AND(ET$4=1,ET30=0),1,0)</f>
        <v/>
      </c>
      <c r="EU80">
        <f>IF(AND(EU$4=1,EU30=0),1,0)</f>
        <v/>
      </c>
      <c r="EV80">
        <f>IF(AND(EV$4=1,EV30=0),1,0)</f>
        <v/>
      </c>
      <c r="EW80">
        <f>IF(AND(EW$4=1,EW30=0),1,0)</f>
        <v/>
      </c>
      <c r="EX80">
        <f>IF(AND(EX$4=1,EX30=0),1,0)</f>
        <v/>
      </c>
      <c r="EY80">
        <f>IF(AND(EY$4=1,EY30=0),1,0)</f>
        <v/>
      </c>
      <c r="EZ80">
        <f>IF(AND(EZ$4=1,EZ30=0),1,0)</f>
        <v/>
      </c>
      <c r="FA80">
        <f>IF(AND(FA$4=1,FA30=0),1,0)</f>
        <v/>
      </c>
      <c r="FB80">
        <f>IF(AND(FB$4=1,FB30=0),1,0)</f>
        <v/>
      </c>
      <c r="FC80">
        <f>IF(AND(FC$4=1,FC30=0),1,0)</f>
        <v/>
      </c>
      <c r="FD80">
        <f>IF(AND(FD$4=1,FD30=0),1,0)</f>
        <v/>
      </c>
      <c r="FE80">
        <f>IF(AND(FE$4=1,FE30=0),1,0)</f>
        <v/>
      </c>
      <c r="FF80">
        <f>IF(AND(FF$4=1,FF30=0),1,0)</f>
        <v/>
      </c>
      <c r="FG80">
        <f>IF(AND(FG$4=1,FG30=0),1,0)</f>
        <v/>
      </c>
      <c r="FH80">
        <f>IF(AND(FH$4=1,FH30=0),1,0)</f>
        <v/>
      </c>
      <c r="FI80">
        <f>IF(AND(FI$4=1,FI30=0),1,0)</f>
        <v/>
      </c>
      <c r="FJ80">
        <f>IF(AND(FJ$4=1,FJ30=0),1,0)</f>
        <v/>
      </c>
      <c r="FK80">
        <f>IF(AND(FK$4=1,FK30=0),1,0)</f>
        <v/>
      </c>
      <c r="FL80">
        <f>IF(AND(FL$4=1,FL30=0),1,0)</f>
        <v/>
      </c>
      <c r="FM80">
        <f>IF(AND(FM$4=1,FM30=0),1,0)</f>
        <v/>
      </c>
      <c r="FN80">
        <f>IF(AND(FN$4=1,FN30=0),1,0)</f>
        <v/>
      </c>
      <c r="FO80">
        <f>IF(AND(FO$4=1,FO30=0),1,0)</f>
        <v/>
      </c>
      <c r="FP80">
        <f>IF(AND(FP$4=1,FP30=0),1,0)</f>
        <v/>
      </c>
      <c r="FQ80">
        <f>IF(AND(FQ$4=1,FQ30=0),1,0)</f>
        <v/>
      </c>
      <c r="FR80">
        <f>IF(AND(FR$4=1,FR30=0),1,0)</f>
        <v/>
      </c>
      <c r="FS80">
        <f>IF(AND(FS$4=1,FS30=0),1,0)</f>
        <v/>
      </c>
      <c r="FT80">
        <f>IF(AND(FT$4=1,FT30=0),1,0)</f>
        <v/>
      </c>
      <c r="FU80">
        <f>IF(AND(FU$4=1,FU30=0),1,0)</f>
        <v/>
      </c>
      <c r="FV80">
        <f>IF(AND(FV$4=1,FV30=0),1,0)</f>
        <v/>
      </c>
      <c r="FW80">
        <f>IF(AND(FW$4=1,FW30=0),1,0)</f>
        <v/>
      </c>
      <c r="FX80">
        <f>IF(AND(FX$4=1,FX30=0),1,0)</f>
        <v/>
      </c>
      <c r="FY80">
        <f>IF(AND(FY$4=1,FY30=0),1,0)</f>
        <v/>
      </c>
      <c r="FZ80">
        <f>IF(AND(FZ$4=1,FZ30=0),1,0)</f>
        <v/>
      </c>
      <c r="GA80">
        <f>IF(AND(GA$4=1,GA30=0),1,0)</f>
        <v/>
      </c>
      <c r="GB80">
        <f>IF(AND(GB$4=1,GB30=0),1,0)</f>
        <v/>
      </c>
      <c r="GC80">
        <f>IF(AND(GC$4=1,GC30=0),1,0)</f>
        <v/>
      </c>
      <c r="GD80">
        <f>IF(AND(GD$4=1,GD30=0),1,0)</f>
        <v/>
      </c>
      <c r="GE80">
        <f>IF(AND(GE$4=1,GE30=0),1,0)</f>
        <v/>
      </c>
      <c r="GF80">
        <f>IF(AND(GF$4=1,GF30=0),1,0)</f>
        <v/>
      </c>
      <c r="GG80">
        <f>IF(AND(GG$4=1,GG30=0),1,0)</f>
        <v/>
      </c>
      <c r="GH80">
        <f>IF(AND(GH$4=1,GH30=0),1,0)</f>
        <v/>
      </c>
      <c r="GI80">
        <f>IF(AND(GI$4=1,GI30=0),1,0)</f>
        <v/>
      </c>
      <c r="GJ80">
        <f>IF(AND(GJ$4=1,GJ30=0),1,0)</f>
        <v/>
      </c>
      <c r="GK80">
        <f>IF(AND(GK$4=1,GK30=0),1,0)</f>
        <v/>
      </c>
      <c r="GL80">
        <f>IF(AND(GL$4=1,GL30=0),1,0)</f>
        <v/>
      </c>
      <c r="GM80">
        <f>IF(AND(GM$4=1,GM30=0),1,0)</f>
        <v/>
      </c>
      <c r="GN80">
        <f>IF(AND(GN$4=1,GN30=0),1,0)</f>
        <v/>
      </c>
      <c r="GO80">
        <f>IF(AND(GO$4=1,GO30=0),1,0)</f>
        <v/>
      </c>
      <c r="GP80">
        <f>IF(AND(GP$4=1,GP30=0),1,0)</f>
        <v/>
      </c>
      <c r="GQ80">
        <f>IF(AND(GQ$4=1,GQ30=0),1,0)</f>
        <v/>
      </c>
      <c r="GR80">
        <f>IF(AND(GR$4=1,GR30=0),1,0)</f>
        <v/>
      </c>
      <c r="GS80">
        <f>IF(AND(GS$4=1,GS30=0),1,0)</f>
        <v/>
      </c>
      <c r="GT80">
        <f>IF(AND(GT$4=1,GT30=0),1,0)</f>
        <v/>
      </c>
      <c r="GU80">
        <f>IF(AND(GU$4=1,GU30=0),1,0)</f>
        <v/>
      </c>
      <c r="GV80">
        <f>IF(AND(GV$4=1,GV30=0),1,0)</f>
        <v/>
      </c>
      <c r="GW80">
        <f>IF(AND(GW$4=1,GW30=0),1,0)</f>
        <v/>
      </c>
      <c r="GX80">
        <f>IF(AND(GX$4=1,GX30=0),1,0)</f>
        <v/>
      </c>
      <c r="GY80">
        <f>IF(AND(GY$4=1,GY30=0),1,0)</f>
        <v/>
      </c>
      <c r="GZ80">
        <f>IF(AND(GZ$4=1,GZ30=0),1,0)</f>
        <v/>
      </c>
      <c r="HA80">
        <f>IF(AND(HA$4=1,HA30=0),1,0)</f>
        <v/>
      </c>
      <c r="HB80">
        <f>IF(AND(HB$4=1,HB30=0),1,0)</f>
        <v/>
      </c>
      <c r="HC80">
        <f>IF(AND(HC$4=1,HC30=0),1,0)</f>
        <v/>
      </c>
      <c r="HD80">
        <f>IF(AND(HD$4=1,HD30=0),1,0)</f>
        <v/>
      </c>
      <c r="HE80">
        <f>IF(AND(HE$4=1,HE30=0),1,0)</f>
        <v/>
      </c>
      <c r="HF80">
        <f>IF(AND(HF$4=1,HF30=0),1,0)</f>
        <v/>
      </c>
      <c r="HG80">
        <f>IF(AND(HG$4=1,HG30=0),1,0)</f>
        <v/>
      </c>
      <c r="HH80">
        <f>IF(AND(HH$4=1,HH30=0),1,0)</f>
        <v/>
      </c>
      <c r="HI80">
        <f>IF(AND(HI$4=1,HI30=0),1,0)</f>
        <v/>
      </c>
      <c r="HJ80">
        <f>IF(AND(HJ$4=1,HJ30=0),1,0)</f>
        <v/>
      </c>
      <c r="HK80">
        <f>IF(AND(HK$4=1,HK30=0),1,0)</f>
        <v/>
      </c>
      <c r="HL80">
        <f>IF(AND(HL$4=1,HL30=0),1,0)</f>
        <v/>
      </c>
      <c r="HM80">
        <f>IF(AND(HM$4=1,HM30=0),1,0)</f>
        <v/>
      </c>
      <c r="HN80">
        <f>IF(AND(HN$4=1,HN30=0),1,0)</f>
        <v/>
      </c>
      <c r="HO80">
        <f>IF(AND(HO$4=1,HO30=0),1,0)</f>
        <v/>
      </c>
      <c r="HP80">
        <f>IF(AND(HP$4=1,HP30=0),1,0)</f>
        <v/>
      </c>
      <c r="HQ80">
        <f>IF(AND(HQ$4=1,HQ30=0),1,0)</f>
        <v/>
      </c>
      <c r="HR80">
        <f>IF(AND(HR$4=1,HR30=0),1,0)</f>
        <v/>
      </c>
      <c r="HS80">
        <f>IF(AND(HS$4=1,HS30=0),1,0)</f>
        <v/>
      </c>
      <c r="HT80">
        <f>IF(AND(HT$4=1,HT30=0),1,0)</f>
        <v/>
      </c>
      <c r="HU80">
        <f>IF(AND(HU$4=1,HU30=0),1,0)</f>
        <v/>
      </c>
      <c r="HV80">
        <f>IF(AND(HV$4=1,HV30=0),1,0)</f>
        <v/>
      </c>
      <c r="HW80">
        <f>IF(AND(HW$4=1,HW30=0),1,0)</f>
        <v/>
      </c>
      <c r="HX80">
        <f>IF(AND(HX$4=1,HX30=0),1,0)</f>
        <v/>
      </c>
      <c r="HY80">
        <f>IF(AND(HY$4=1,HY30=0),1,0)</f>
        <v/>
      </c>
      <c r="HZ80">
        <f>IF(AND(HZ$4=1,HZ30=0),1,0)</f>
        <v/>
      </c>
      <c r="IA80">
        <f>IF(AND(IA$4=1,IA30=0),1,0)</f>
        <v/>
      </c>
      <c r="IB80">
        <f>IF(AND(IB$4=1,IB30=0),1,0)</f>
        <v/>
      </c>
      <c r="IC80">
        <f>IF(AND(IC$4=1,IC30=0),1,0)</f>
        <v/>
      </c>
      <c r="ID80">
        <f>IF(AND(ID$4=1,ID30=0),1,0)</f>
        <v/>
      </c>
      <c r="IE80">
        <f>IF(AND(IE$4=1,IE30=0),1,0)</f>
        <v/>
      </c>
      <c r="IF80">
        <f>IF(AND(IF$4=1,IF30=0),1,0)</f>
        <v/>
      </c>
      <c r="IG80">
        <f>IF(AND(IG$4=1,IG30=0),1,0)</f>
        <v/>
      </c>
      <c r="IH80">
        <f>IF(AND(IH$4=1,IH30=0),1,0)</f>
        <v/>
      </c>
      <c r="II80">
        <f>IF(AND(II$4=1,II30=0),1,0)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c r="ER81">
        <f>IF(AND(ER$4=1,ER31=0),1,0)</f>
        <v/>
      </c>
      <c r="ES81">
        <f>IF(AND(ES$4=1,ES31=0),1,0)</f>
        <v/>
      </c>
      <c r="ET81">
        <f>IF(AND(ET$4=1,ET31=0),1,0)</f>
        <v/>
      </c>
      <c r="EU81">
        <f>IF(AND(EU$4=1,EU31=0),1,0)</f>
        <v/>
      </c>
      <c r="EV81">
        <f>IF(AND(EV$4=1,EV31=0),1,0)</f>
        <v/>
      </c>
      <c r="EW81">
        <f>IF(AND(EW$4=1,EW31=0),1,0)</f>
        <v/>
      </c>
      <c r="EX81">
        <f>IF(AND(EX$4=1,EX31=0),1,0)</f>
        <v/>
      </c>
      <c r="EY81">
        <f>IF(AND(EY$4=1,EY31=0),1,0)</f>
        <v/>
      </c>
      <c r="EZ81">
        <f>IF(AND(EZ$4=1,EZ31=0),1,0)</f>
        <v/>
      </c>
      <c r="FA81">
        <f>IF(AND(FA$4=1,FA31=0),1,0)</f>
        <v/>
      </c>
      <c r="FB81">
        <f>IF(AND(FB$4=1,FB31=0),1,0)</f>
        <v/>
      </c>
      <c r="FC81">
        <f>IF(AND(FC$4=1,FC31=0),1,0)</f>
        <v/>
      </c>
      <c r="FD81">
        <f>IF(AND(FD$4=1,FD31=0),1,0)</f>
        <v/>
      </c>
      <c r="FE81">
        <f>IF(AND(FE$4=1,FE31=0),1,0)</f>
        <v/>
      </c>
      <c r="FF81">
        <f>IF(AND(FF$4=1,FF31=0),1,0)</f>
        <v/>
      </c>
      <c r="FG81">
        <f>IF(AND(FG$4=1,FG31=0),1,0)</f>
        <v/>
      </c>
      <c r="FH81">
        <f>IF(AND(FH$4=1,FH31=0),1,0)</f>
        <v/>
      </c>
      <c r="FI81">
        <f>IF(AND(FI$4=1,FI31=0),1,0)</f>
        <v/>
      </c>
      <c r="FJ81">
        <f>IF(AND(FJ$4=1,FJ31=0),1,0)</f>
        <v/>
      </c>
      <c r="FK81">
        <f>IF(AND(FK$4=1,FK31=0),1,0)</f>
        <v/>
      </c>
      <c r="FL81">
        <f>IF(AND(FL$4=1,FL31=0),1,0)</f>
        <v/>
      </c>
      <c r="FM81">
        <f>IF(AND(FM$4=1,FM31=0),1,0)</f>
        <v/>
      </c>
      <c r="FN81">
        <f>IF(AND(FN$4=1,FN31=0),1,0)</f>
        <v/>
      </c>
      <c r="FO81">
        <f>IF(AND(FO$4=1,FO31=0),1,0)</f>
        <v/>
      </c>
      <c r="FP81">
        <f>IF(AND(FP$4=1,FP31=0),1,0)</f>
        <v/>
      </c>
      <c r="FQ81">
        <f>IF(AND(FQ$4=1,FQ31=0),1,0)</f>
        <v/>
      </c>
      <c r="FR81">
        <f>IF(AND(FR$4=1,FR31=0),1,0)</f>
        <v/>
      </c>
      <c r="FS81">
        <f>IF(AND(FS$4=1,FS31=0),1,0)</f>
        <v/>
      </c>
      <c r="FT81">
        <f>IF(AND(FT$4=1,FT31=0),1,0)</f>
        <v/>
      </c>
      <c r="FU81">
        <f>IF(AND(FU$4=1,FU31=0),1,0)</f>
        <v/>
      </c>
      <c r="FV81">
        <f>IF(AND(FV$4=1,FV31=0),1,0)</f>
        <v/>
      </c>
      <c r="FW81">
        <f>IF(AND(FW$4=1,FW31=0),1,0)</f>
        <v/>
      </c>
      <c r="FX81">
        <f>IF(AND(FX$4=1,FX31=0),1,0)</f>
        <v/>
      </c>
      <c r="FY81">
        <f>IF(AND(FY$4=1,FY31=0),1,0)</f>
        <v/>
      </c>
      <c r="FZ81">
        <f>IF(AND(FZ$4=1,FZ31=0),1,0)</f>
        <v/>
      </c>
      <c r="GA81">
        <f>IF(AND(GA$4=1,GA31=0),1,0)</f>
        <v/>
      </c>
      <c r="GB81">
        <f>IF(AND(GB$4=1,GB31=0),1,0)</f>
        <v/>
      </c>
      <c r="GC81">
        <f>IF(AND(GC$4=1,GC31=0),1,0)</f>
        <v/>
      </c>
      <c r="GD81">
        <f>IF(AND(GD$4=1,GD31=0),1,0)</f>
        <v/>
      </c>
      <c r="GE81">
        <f>IF(AND(GE$4=1,GE31=0),1,0)</f>
        <v/>
      </c>
      <c r="GF81">
        <f>IF(AND(GF$4=1,GF31=0),1,0)</f>
        <v/>
      </c>
      <c r="GG81">
        <f>IF(AND(GG$4=1,GG31=0),1,0)</f>
        <v/>
      </c>
      <c r="GH81">
        <f>IF(AND(GH$4=1,GH31=0),1,0)</f>
        <v/>
      </c>
      <c r="GI81">
        <f>IF(AND(GI$4=1,GI31=0),1,0)</f>
        <v/>
      </c>
      <c r="GJ81">
        <f>IF(AND(GJ$4=1,GJ31=0),1,0)</f>
        <v/>
      </c>
      <c r="GK81">
        <f>IF(AND(GK$4=1,GK31=0),1,0)</f>
        <v/>
      </c>
      <c r="GL81">
        <f>IF(AND(GL$4=1,GL31=0),1,0)</f>
        <v/>
      </c>
      <c r="GM81">
        <f>IF(AND(GM$4=1,GM31=0),1,0)</f>
        <v/>
      </c>
      <c r="GN81">
        <f>IF(AND(GN$4=1,GN31=0),1,0)</f>
        <v/>
      </c>
      <c r="GO81">
        <f>IF(AND(GO$4=1,GO31=0),1,0)</f>
        <v/>
      </c>
      <c r="GP81">
        <f>IF(AND(GP$4=1,GP31=0),1,0)</f>
        <v/>
      </c>
      <c r="GQ81">
        <f>IF(AND(GQ$4=1,GQ31=0),1,0)</f>
        <v/>
      </c>
      <c r="GR81">
        <f>IF(AND(GR$4=1,GR31=0),1,0)</f>
        <v/>
      </c>
      <c r="GS81">
        <f>IF(AND(GS$4=1,GS31=0),1,0)</f>
        <v/>
      </c>
      <c r="GT81">
        <f>IF(AND(GT$4=1,GT31=0),1,0)</f>
        <v/>
      </c>
      <c r="GU81">
        <f>IF(AND(GU$4=1,GU31=0),1,0)</f>
        <v/>
      </c>
      <c r="GV81">
        <f>IF(AND(GV$4=1,GV31=0),1,0)</f>
        <v/>
      </c>
      <c r="GW81">
        <f>IF(AND(GW$4=1,GW31=0),1,0)</f>
        <v/>
      </c>
      <c r="GX81">
        <f>IF(AND(GX$4=1,GX31=0),1,0)</f>
        <v/>
      </c>
      <c r="GY81">
        <f>IF(AND(GY$4=1,GY31=0),1,0)</f>
        <v/>
      </c>
      <c r="GZ81">
        <f>IF(AND(GZ$4=1,GZ31=0),1,0)</f>
        <v/>
      </c>
      <c r="HA81">
        <f>IF(AND(HA$4=1,HA31=0),1,0)</f>
        <v/>
      </c>
      <c r="HB81">
        <f>IF(AND(HB$4=1,HB31=0),1,0)</f>
        <v/>
      </c>
      <c r="HC81">
        <f>IF(AND(HC$4=1,HC31=0),1,0)</f>
        <v/>
      </c>
      <c r="HD81">
        <f>IF(AND(HD$4=1,HD31=0),1,0)</f>
        <v/>
      </c>
      <c r="HE81">
        <f>IF(AND(HE$4=1,HE31=0),1,0)</f>
        <v/>
      </c>
      <c r="HF81">
        <f>IF(AND(HF$4=1,HF31=0),1,0)</f>
        <v/>
      </c>
      <c r="HG81">
        <f>IF(AND(HG$4=1,HG31=0),1,0)</f>
        <v/>
      </c>
      <c r="HH81">
        <f>IF(AND(HH$4=1,HH31=0),1,0)</f>
        <v/>
      </c>
      <c r="HI81">
        <f>IF(AND(HI$4=1,HI31=0),1,0)</f>
        <v/>
      </c>
      <c r="HJ81">
        <f>IF(AND(HJ$4=1,HJ31=0),1,0)</f>
        <v/>
      </c>
      <c r="HK81">
        <f>IF(AND(HK$4=1,HK31=0),1,0)</f>
        <v/>
      </c>
      <c r="HL81">
        <f>IF(AND(HL$4=1,HL31=0),1,0)</f>
        <v/>
      </c>
      <c r="HM81">
        <f>IF(AND(HM$4=1,HM31=0),1,0)</f>
        <v/>
      </c>
      <c r="HN81">
        <f>IF(AND(HN$4=1,HN31=0),1,0)</f>
        <v/>
      </c>
      <c r="HO81">
        <f>IF(AND(HO$4=1,HO31=0),1,0)</f>
        <v/>
      </c>
      <c r="HP81">
        <f>IF(AND(HP$4=1,HP31=0),1,0)</f>
        <v/>
      </c>
      <c r="HQ81">
        <f>IF(AND(HQ$4=1,HQ31=0),1,0)</f>
        <v/>
      </c>
      <c r="HR81">
        <f>IF(AND(HR$4=1,HR31=0),1,0)</f>
        <v/>
      </c>
      <c r="HS81">
        <f>IF(AND(HS$4=1,HS31=0),1,0)</f>
        <v/>
      </c>
      <c r="HT81">
        <f>IF(AND(HT$4=1,HT31=0),1,0)</f>
        <v/>
      </c>
      <c r="HU81">
        <f>IF(AND(HU$4=1,HU31=0),1,0)</f>
        <v/>
      </c>
      <c r="HV81">
        <f>IF(AND(HV$4=1,HV31=0),1,0)</f>
        <v/>
      </c>
      <c r="HW81">
        <f>IF(AND(HW$4=1,HW31=0),1,0)</f>
        <v/>
      </c>
      <c r="HX81">
        <f>IF(AND(HX$4=1,HX31=0),1,0)</f>
        <v/>
      </c>
      <c r="HY81">
        <f>IF(AND(HY$4=1,HY31=0),1,0)</f>
        <v/>
      </c>
      <c r="HZ81">
        <f>IF(AND(HZ$4=1,HZ31=0),1,0)</f>
        <v/>
      </c>
      <c r="IA81">
        <f>IF(AND(IA$4=1,IA31=0),1,0)</f>
        <v/>
      </c>
      <c r="IB81">
        <f>IF(AND(IB$4=1,IB31=0),1,0)</f>
        <v/>
      </c>
      <c r="IC81">
        <f>IF(AND(IC$4=1,IC31=0),1,0)</f>
        <v/>
      </c>
      <c r="ID81">
        <f>IF(AND(ID$4=1,ID31=0),1,0)</f>
        <v/>
      </c>
      <c r="IE81">
        <f>IF(AND(IE$4=1,IE31=0),1,0)</f>
        <v/>
      </c>
      <c r="IF81">
        <f>IF(AND(IF$4=1,IF31=0),1,0)</f>
        <v/>
      </c>
      <c r="IG81">
        <f>IF(AND(IG$4=1,IG31=0),1,0)</f>
        <v/>
      </c>
      <c r="IH81">
        <f>IF(AND(IH$4=1,IH31=0),1,0)</f>
        <v/>
      </c>
      <c r="II81">
        <f>IF(AND(II$4=1,II31=0),1,0)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c r="ER82">
        <f>IF(AND(ER$4=1,ER32=0),1,0)</f>
        <v/>
      </c>
      <c r="ES82">
        <f>IF(AND(ES$4=1,ES32=0),1,0)</f>
        <v/>
      </c>
      <c r="ET82">
        <f>IF(AND(ET$4=1,ET32=0),1,0)</f>
        <v/>
      </c>
      <c r="EU82">
        <f>IF(AND(EU$4=1,EU32=0),1,0)</f>
        <v/>
      </c>
      <c r="EV82">
        <f>IF(AND(EV$4=1,EV32=0),1,0)</f>
        <v/>
      </c>
      <c r="EW82">
        <f>IF(AND(EW$4=1,EW32=0),1,0)</f>
        <v/>
      </c>
      <c r="EX82">
        <f>IF(AND(EX$4=1,EX32=0),1,0)</f>
        <v/>
      </c>
      <c r="EY82">
        <f>IF(AND(EY$4=1,EY32=0),1,0)</f>
        <v/>
      </c>
      <c r="EZ82">
        <f>IF(AND(EZ$4=1,EZ32=0),1,0)</f>
        <v/>
      </c>
      <c r="FA82">
        <f>IF(AND(FA$4=1,FA32=0),1,0)</f>
        <v/>
      </c>
      <c r="FB82">
        <f>IF(AND(FB$4=1,FB32=0),1,0)</f>
        <v/>
      </c>
      <c r="FC82">
        <f>IF(AND(FC$4=1,FC32=0),1,0)</f>
        <v/>
      </c>
      <c r="FD82">
        <f>IF(AND(FD$4=1,FD32=0),1,0)</f>
        <v/>
      </c>
      <c r="FE82">
        <f>IF(AND(FE$4=1,FE32=0),1,0)</f>
        <v/>
      </c>
      <c r="FF82">
        <f>IF(AND(FF$4=1,FF32=0),1,0)</f>
        <v/>
      </c>
      <c r="FG82">
        <f>IF(AND(FG$4=1,FG32=0),1,0)</f>
        <v/>
      </c>
      <c r="FH82">
        <f>IF(AND(FH$4=1,FH32=0),1,0)</f>
        <v/>
      </c>
      <c r="FI82">
        <f>IF(AND(FI$4=1,FI32=0),1,0)</f>
        <v/>
      </c>
      <c r="FJ82">
        <f>IF(AND(FJ$4=1,FJ32=0),1,0)</f>
        <v/>
      </c>
      <c r="FK82">
        <f>IF(AND(FK$4=1,FK32=0),1,0)</f>
        <v/>
      </c>
      <c r="FL82">
        <f>IF(AND(FL$4=1,FL32=0),1,0)</f>
        <v/>
      </c>
      <c r="FM82">
        <f>IF(AND(FM$4=1,FM32=0),1,0)</f>
        <v/>
      </c>
      <c r="FN82">
        <f>IF(AND(FN$4=1,FN32=0),1,0)</f>
        <v/>
      </c>
      <c r="FO82">
        <f>IF(AND(FO$4=1,FO32=0),1,0)</f>
        <v/>
      </c>
      <c r="FP82">
        <f>IF(AND(FP$4=1,FP32=0),1,0)</f>
        <v/>
      </c>
      <c r="FQ82">
        <f>IF(AND(FQ$4=1,FQ32=0),1,0)</f>
        <v/>
      </c>
      <c r="FR82">
        <f>IF(AND(FR$4=1,FR32=0),1,0)</f>
        <v/>
      </c>
      <c r="FS82">
        <f>IF(AND(FS$4=1,FS32=0),1,0)</f>
        <v/>
      </c>
      <c r="FT82">
        <f>IF(AND(FT$4=1,FT32=0),1,0)</f>
        <v/>
      </c>
      <c r="FU82">
        <f>IF(AND(FU$4=1,FU32=0),1,0)</f>
        <v/>
      </c>
      <c r="FV82">
        <f>IF(AND(FV$4=1,FV32=0),1,0)</f>
        <v/>
      </c>
      <c r="FW82">
        <f>IF(AND(FW$4=1,FW32=0),1,0)</f>
        <v/>
      </c>
      <c r="FX82">
        <f>IF(AND(FX$4=1,FX32=0),1,0)</f>
        <v/>
      </c>
      <c r="FY82">
        <f>IF(AND(FY$4=1,FY32=0),1,0)</f>
        <v/>
      </c>
      <c r="FZ82">
        <f>IF(AND(FZ$4=1,FZ32=0),1,0)</f>
        <v/>
      </c>
      <c r="GA82">
        <f>IF(AND(GA$4=1,GA32=0),1,0)</f>
        <v/>
      </c>
      <c r="GB82">
        <f>IF(AND(GB$4=1,GB32=0),1,0)</f>
        <v/>
      </c>
      <c r="GC82">
        <f>IF(AND(GC$4=1,GC32=0),1,0)</f>
        <v/>
      </c>
      <c r="GD82">
        <f>IF(AND(GD$4=1,GD32=0),1,0)</f>
        <v/>
      </c>
      <c r="GE82">
        <f>IF(AND(GE$4=1,GE32=0),1,0)</f>
        <v/>
      </c>
      <c r="GF82">
        <f>IF(AND(GF$4=1,GF32=0),1,0)</f>
        <v/>
      </c>
      <c r="GG82">
        <f>IF(AND(GG$4=1,GG32=0),1,0)</f>
        <v/>
      </c>
      <c r="GH82">
        <f>IF(AND(GH$4=1,GH32=0),1,0)</f>
        <v/>
      </c>
      <c r="GI82">
        <f>IF(AND(GI$4=1,GI32=0),1,0)</f>
        <v/>
      </c>
      <c r="GJ82">
        <f>IF(AND(GJ$4=1,GJ32=0),1,0)</f>
        <v/>
      </c>
      <c r="GK82">
        <f>IF(AND(GK$4=1,GK32=0),1,0)</f>
        <v/>
      </c>
      <c r="GL82">
        <f>IF(AND(GL$4=1,GL32=0),1,0)</f>
        <v/>
      </c>
      <c r="GM82">
        <f>IF(AND(GM$4=1,GM32=0),1,0)</f>
        <v/>
      </c>
      <c r="GN82">
        <f>IF(AND(GN$4=1,GN32=0),1,0)</f>
        <v/>
      </c>
      <c r="GO82">
        <f>IF(AND(GO$4=1,GO32=0),1,0)</f>
        <v/>
      </c>
      <c r="GP82">
        <f>IF(AND(GP$4=1,GP32=0),1,0)</f>
        <v/>
      </c>
      <c r="GQ82">
        <f>IF(AND(GQ$4=1,GQ32=0),1,0)</f>
        <v/>
      </c>
      <c r="GR82">
        <f>IF(AND(GR$4=1,GR32=0),1,0)</f>
        <v/>
      </c>
      <c r="GS82">
        <f>IF(AND(GS$4=1,GS32=0),1,0)</f>
        <v/>
      </c>
      <c r="GT82">
        <f>IF(AND(GT$4=1,GT32=0),1,0)</f>
        <v/>
      </c>
      <c r="GU82">
        <f>IF(AND(GU$4=1,GU32=0),1,0)</f>
        <v/>
      </c>
      <c r="GV82">
        <f>IF(AND(GV$4=1,GV32=0),1,0)</f>
        <v/>
      </c>
      <c r="GW82">
        <f>IF(AND(GW$4=1,GW32=0),1,0)</f>
        <v/>
      </c>
      <c r="GX82">
        <f>IF(AND(GX$4=1,GX32=0),1,0)</f>
        <v/>
      </c>
      <c r="GY82">
        <f>IF(AND(GY$4=1,GY32=0),1,0)</f>
        <v/>
      </c>
      <c r="GZ82">
        <f>IF(AND(GZ$4=1,GZ32=0),1,0)</f>
        <v/>
      </c>
      <c r="HA82">
        <f>IF(AND(HA$4=1,HA32=0),1,0)</f>
        <v/>
      </c>
      <c r="HB82">
        <f>IF(AND(HB$4=1,HB32=0),1,0)</f>
        <v/>
      </c>
      <c r="HC82">
        <f>IF(AND(HC$4=1,HC32=0),1,0)</f>
        <v/>
      </c>
      <c r="HD82">
        <f>IF(AND(HD$4=1,HD32=0),1,0)</f>
        <v/>
      </c>
      <c r="HE82">
        <f>IF(AND(HE$4=1,HE32=0),1,0)</f>
        <v/>
      </c>
      <c r="HF82">
        <f>IF(AND(HF$4=1,HF32=0),1,0)</f>
        <v/>
      </c>
      <c r="HG82">
        <f>IF(AND(HG$4=1,HG32=0),1,0)</f>
        <v/>
      </c>
      <c r="HH82">
        <f>IF(AND(HH$4=1,HH32=0),1,0)</f>
        <v/>
      </c>
      <c r="HI82">
        <f>IF(AND(HI$4=1,HI32=0),1,0)</f>
        <v/>
      </c>
      <c r="HJ82">
        <f>IF(AND(HJ$4=1,HJ32=0),1,0)</f>
        <v/>
      </c>
      <c r="HK82">
        <f>IF(AND(HK$4=1,HK32=0),1,0)</f>
        <v/>
      </c>
      <c r="HL82">
        <f>IF(AND(HL$4=1,HL32=0),1,0)</f>
        <v/>
      </c>
      <c r="HM82">
        <f>IF(AND(HM$4=1,HM32=0),1,0)</f>
        <v/>
      </c>
      <c r="HN82">
        <f>IF(AND(HN$4=1,HN32=0),1,0)</f>
        <v/>
      </c>
      <c r="HO82">
        <f>IF(AND(HO$4=1,HO32=0),1,0)</f>
        <v/>
      </c>
      <c r="HP82">
        <f>IF(AND(HP$4=1,HP32=0),1,0)</f>
        <v/>
      </c>
      <c r="HQ82">
        <f>IF(AND(HQ$4=1,HQ32=0),1,0)</f>
        <v/>
      </c>
      <c r="HR82">
        <f>IF(AND(HR$4=1,HR32=0),1,0)</f>
        <v/>
      </c>
      <c r="HS82">
        <f>IF(AND(HS$4=1,HS32=0),1,0)</f>
        <v/>
      </c>
      <c r="HT82">
        <f>IF(AND(HT$4=1,HT32=0),1,0)</f>
        <v/>
      </c>
      <c r="HU82">
        <f>IF(AND(HU$4=1,HU32=0),1,0)</f>
        <v/>
      </c>
      <c r="HV82">
        <f>IF(AND(HV$4=1,HV32=0),1,0)</f>
        <v/>
      </c>
      <c r="HW82">
        <f>IF(AND(HW$4=1,HW32=0),1,0)</f>
        <v/>
      </c>
      <c r="HX82">
        <f>IF(AND(HX$4=1,HX32=0),1,0)</f>
        <v/>
      </c>
      <c r="HY82">
        <f>IF(AND(HY$4=1,HY32=0),1,0)</f>
        <v/>
      </c>
      <c r="HZ82">
        <f>IF(AND(HZ$4=1,HZ32=0),1,0)</f>
        <v/>
      </c>
      <c r="IA82">
        <f>IF(AND(IA$4=1,IA32=0),1,0)</f>
        <v/>
      </c>
      <c r="IB82">
        <f>IF(AND(IB$4=1,IB32=0),1,0)</f>
        <v/>
      </c>
      <c r="IC82">
        <f>IF(AND(IC$4=1,IC32=0),1,0)</f>
        <v/>
      </c>
      <c r="ID82">
        <f>IF(AND(ID$4=1,ID32=0),1,0)</f>
        <v/>
      </c>
      <c r="IE82">
        <f>IF(AND(IE$4=1,IE32=0),1,0)</f>
        <v/>
      </c>
      <c r="IF82">
        <f>IF(AND(IF$4=1,IF32=0),1,0)</f>
        <v/>
      </c>
      <c r="IG82">
        <f>IF(AND(IG$4=1,IG32=0),1,0)</f>
        <v/>
      </c>
      <c r="IH82">
        <f>IF(AND(IH$4=1,IH32=0),1,0)</f>
        <v/>
      </c>
      <c r="II82">
        <f>IF(AND(II$4=1,II32=0),1,0)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c r="ER83">
        <f>IF(AND(ER$4=1,ER33=0),1,0)</f>
        <v/>
      </c>
      <c r="ES83">
        <f>IF(AND(ES$4=1,ES33=0),1,0)</f>
        <v/>
      </c>
      <c r="ET83">
        <f>IF(AND(ET$4=1,ET33=0),1,0)</f>
        <v/>
      </c>
      <c r="EU83">
        <f>IF(AND(EU$4=1,EU33=0),1,0)</f>
        <v/>
      </c>
      <c r="EV83">
        <f>IF(AND(EV$4=1,EV33=0),1,0)</f>
        <v/>
      </c>
      <c r="EW83">
        <f>IF(AND(EW$4=1,EW33=0),1,0)</f>
        <v/>
      </c>
      <c r="EX83">
        <f>IF(AND(EX$4=1,EX33=0),1,0)</f>
        <v/>
      </c>
      <c r="EY83">
        <f>IF(AND(EY$4=1,EY33=0),1,0)</f>
        <v/>
      </c>
      <c r="EZ83">
        <f>IF(AND(EZ$4=1,EZ33=0),1,0)</f>
        <v/>
      </c>
      <c r="FA83">
        <f>IF(AND(FA$4=1,FA33=0),1,0)</f>
        <v/>
      </c>
      <c r="FB83">
        <f>IF(AND(FB$4=1,FB33=0),1,0)</f>
        <v/>
      </c>
      <c r="FC83">
        <f>IF(AND(FC$4=1,FC33=0),1,0)</f>
        <v/>
      </c>
      <c r="FD83">
        <f>IF(AND(FD$4=1,FD33=0),1,0)</f>
        <v/>
      </c>
      <c r="FE83">
        <f>IF(AND(FE$4=1,FE33=0),1,0)</f>
        <v/>
      </c>
      <c r="FF83">
        <f>IF(AND(FF$4=1,FF33=0),1,0)</f>
        <v/>
      </c>
      <c r="FG83">
        <f>IF(AND(FG$4=1,FG33=0),1,0)</f>
        <v/>
      </c>
      <c r="FH83">
        <f>IF(AND(FH$4=1,FH33=0),1,0)</f>
        <v/>
      </c>
      <c r="FI83">
        <f>IF(AND(FI$4=1,FI33=0),1,0)</f>
        <v/>
      </c>
      <c r="FJ83">
        <f>IF(AND(FJ$4=1,FJ33=0),1,0)</f>
        <v/>
      </c>
      <c r="FK83">
        <f>IF(AND(FK$4=1,FK33=0),1,0)</f>
        <v/>
      </c>
      <c r="FL83">
        <f>IF(AND(FL$4=1,FL33=0),1,0)</f>
        <v/>
      </c>
      <c r="FM83">
        <f>IF(AND(FM$4=1,FM33=0),1,0)</f>
        <v/>
      </c>
      <c r="FN83">
        <f>IF(AND(FN$4=1,FN33=0),1,0)</f>
        <v/>
      </c>
      <c r="FO83">
        <f>IF(AND(FO$4=1,FO33=0),1,0)</f>
        <v/>
      </c>
      <c r="FP83">
        <f>IF(AND(FP$4=1,FP33=0),1,0)</f>
        <v/>
      </c>
      <c r="FQ83">
        <f>IF(AND(FQ$4=1,FQ33=0),1,0)</f>
        <v/>
      </c>
      <c r="FR83">
        <f>IF(AND(FR$4=1,FR33=0),1,0)</f>
        <v/>
      </c>
      <c r="FS83">
        <f>IF(AND(FS$4=1,FS33=0),1,0)</f>
        <v/>
      </c>
      <c r="FT83">
        <f>IF(AND(FT$4=1,FT33=0),1,0)</f>
        <v/>
      </c>
      <c r="FU83">
        <f>IF(AND(FU$4=1,FU33=0),1,0)</f>
        <v/>
      </c>
      <c r="FV83">
        <f>IF(AND(FV$4=1,FV33=0),1,0)</f>
        <v/>
      </c>
      <c r="FW83">
        <f>IF(AND(FW$4=1,FW33=0),1,0)</f>
        <v/>
      </c>
      <c r="FX83">
        <f>IF(AND(FX$4=1,FX33=0),1,0)</f>
        <v/>
      </c>
      <c r="FY83">
        <f>IF(AND(FY$4=1,FY33=0),1,0)</f>
        <v/>
      </c>
      <c r="FZ83">
        <f>IF(AND(FZ$4=1,FZ33=0),1,0)</f>
        <v/>
      </c>
      <c r="GA83">
        <f>IF(AND(GA$4=1,GA33=0),1,0)</f>
        <v/>
      </c>
      <c r="GB83">
        <f>IF(AND(GB$4=1,GB33=0),1,0)</f>
        <v/>
      </c>
      <c r="GC83">
        <f>IF(AND(GC$4=1,GC33=0),1,0)</f>
        <v/>
      </c>
      <c r="GD83">
        <f>IF(AND(GD$4=1,GD33=0),1,0)</f>
        <v/>
      </c>
      <c r="GE83">
        <f>IF(AND(GE$4=1,GE33=0),1,0)</f>
        <v/>
      </c>
      <c r="GF83">
        <f>IF(AND(GF$4=1,GF33=0),1,0)</f>
        <v/>
      </c>
      <c r="GG83">
        <f>IF(AND(GG$4=1,GG33=0),1,0)</f>
        <v/>
      </c>
      <c r="GH83">
        <f>IF(AND(GH$4=1,GH33=0),1,0)</f>
        <v/>
      </c>
      <c r="GI83">
        <f>IF(AND(GI$4=1,GI33=0),1,0)</f>
        <v/>
      </c>
      <c r="GJ83">
        <f>IF(AND(GJ$4=1,GJ33=0),1,0)</f>
        <v/>
      </c>
      <c r="GK83">
        <f>IF(AND(GK$4=1,GK33=0),1,0)</f>
        <v/>
      </c>
      <c r="GL83">
        <f>IF(AND(GL$4=1,GL33=0),1,0)</f>
        <v/>
      </c>
      <c r="GM83">
        <f>IF(AND(GM$4=1,GM33=0),1,0)</f>
        <v/>
      </c>
      <c r="GN83">
        <f>IF(AND(GN$4=1,GN33=0),1,0)</f>
        <v/>
      </c>
      <c r="GO83">
        <f>IF(AND(GO$4=1,GO33=0),1,0)</f>
        <v/>
      </c>
      <c r="GP83">
        <f>IF(AND(GP$4=1,GP33=0),1,0)</f>
        <v/>
      </c>
      <c r="GQ83">
        <f>IF(AND(GQ$4=1,GQ33=0),1,0)</f>
        <v/>
      </c>
      <c r="GR83">
        <f>IF(AND(GR$4=1,GR33=0),1,0)</f>
        <v/>
      </c>
      <c r="GS83">
        <f>IF(AND(GS$4=1,GS33=0),1,0)</f>
        <v/>
      </c>
      <c r="GT83">
        <f>IF(AND(GT$4=1,GT33=0),1,0)</f>
        <v/>
      </c>
      <c r="GU83">
        <f>IF(AND(GU$4=1,GU33=0),1,0)</f>
        <v/>
      </c>
      <c r="GV83">
        <f>IF(AND(GV$4=1,GV33=0),1,0)</f>
        <v/>
      </c>
      <c r="GW83">
        <f>IF(AND(GW$4=1,GW33=0),1,0)</f>
        <v/>
      </c>
      <c r="GX83">
        <f>IF(AND(GX$4=1,GX33=0),1,0)</f>
        <v/>
      </c>
      <c r="GY83">
        <f>IF(AND(GY$4=1,GY33=0),1,0)</f>
        <v/>
      </c>
      <c r="GZ83">
        <f>IF(AND(GZ$4=1,GZ33=0),1,0)</f>
        <v/>
      </c>
      <c r="HA83">
        <f>IF(AND(HA$4=1,HA33=0),1,0)</f>
        <v/>
      </c>
      <c r="HB83">
        <f>IF(AND(HB$4=1,HB33=0),1,0)</f>
        <v/>
      </c>
      <c r="HC83">
        <f>IF(AND(HC$4=1,HC33=0),1,0)</f>
        <v/>
      </c>
      <c r="HD83">
        <f>IF(AND(HD$4=1,HD33=0),1,0)</f>
        <v/>
      </c>
      <c r="HE83">
        <f>IF(AND(HE$4=1,HE33=0),1,0)</f>
        <v/>
      </c>
      <c r="HF83">
        <f>IF(AND(HF$4=1,HF33=0),1,0)</f>
        <v/>
      </c>
      <c r="HG83">
        <f>IF(AND(HG$4=1,HG33=0),1,0)</f>
        <v/>
      </c>
      <c r="HH83">
        <f>IF(AND(HH$4=1,HH33=0),1,0)</f>
        <v/>
      </c>
      <c r="HI83">
        <f>IF(AND(HI$4=1,HI33=0),1,0)</f>
        <v/>
      </c>
      <c r="HJ83">
        <f>IF(AND(HJ$4=1,HJ33=0),1,0)</f>
        <v/>
      </c>
      <c r="HK83">
        <f>IF(AND(HK$4=1,HK33=0),1,0)</f>
        <v/>
      </c>
      <c r="HL83">
        <f>IF(AND(HL$4=1,HL33=0),1,0)</f>
        <v/>
      </c>
      <c r="HM83">
        <f>IF(AND(HM$4=1,HM33=0),1,0)</f>
        <v/>
      </c>
      <c r="HN83">
        <f>IF(AND(HN$4=1,HN33=0),1,0)</f>
        <v/>
      </c>
      <c r="HO83">
        <f>IF(AND(HO$4=1,HO33=0),1,0)</f>
        <v/>
      </c>
      <c r="HP83">
        <f>IF(AND(HP$4=1,HP33=0),1,0)</f>
        <v/>
      </c>
      <c r="HQ83">
        <f>IF(AND(HQ$4=1,HQ33=0),1,0)</f>
        <v/>
      </c>
      <c r="HR83">
        <f>IF(AND(HR$4=1,HR33=0),1,0)</f>
        <v/>
      </c>
      <c r="HS83">
        <f>IF(AND(HS$4=1,HS33=0),1,0)</f>
        <v/>
      </c>
      <c r="HT83">
        <f>IF(AND(HT$4=1,HT33=0),1,0)</f>
        <v/>
      </c>
      <c r="HU83">
        <f>IF(AND(HU$4=1,HU33=0),1,0)</f>
        <v/>
      </c>
      <c r="HV83">
        <f>IF(AND(HV$4=1,HV33=0),1,0)</f>
        <v/>
      </c>
      <c r="HW83">
        <f>IF(AND(HW$4=1,HW33=0),1,0)</f>
        <v/>
      </c>
      <c r="HX83">
        <f>IF(AND(HX$4=1,HX33=0),1,0)</f>
        <v/>
      </c>
      <c r="HY83">
        <f>IF(AND(HY$4=1,HY33=0),1,0)</f>
        <v/>
      </c>
      <c r="HZ83">
        <f>IF(AND(HZ$4=1,HZ33=0),1,0)</f>
        <v/>
      </c>
      <c r="IA83">
        <f>IF(AND(IA$4=1,IA33=0),1,0)</f>
        <v/>
      </c>
      <c r="IB83">
        <f>IF(AND(IB$4=1,IB33=0),1,0)</f>
        <v/>
      </c>
      <c r="IC83">
        <f>IF(AND(IC$4=1,IC33=0),1,0)</f>
        <v/>
      </c>
      <c r="ID83">
        <f>IF(AND(ID$4=1,ID33=0),1,0)</f>
        <v/>
      </c>
      <c r="IE83">
        <f>IF(AND(IE$4=1,IE33=0),1,0)</f>
        <v/>
      </c>
      <c r="IF83">
        <f>IF(AND(IF$4=1,IF33=0),1,0)</f>
        <v/>
      </c>
      <c r="IG83">
        <f>IF(AND(IG$4=1,IG33=0),1,0)</f>
        <v/>
      </c>
      <c r="IH83">
        <f>IF(AND(IH$4=1,IH33=0),1,0)</f>
        <v/>
      </c>
      <c r="II83">
        <f>IF(AND(II$4=1,II33=0),1,0)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c r="ER84">
        <f>IF(AND(ER$4=1,ER34=0),1,0)</f>
        <v/>
      </c>
      <c r="ES84">
        <f>IF(AND(ES$4=1,ES34=0),1,0)</f>
        <v/>
      </c>
      <c r="ET84">
        <f>IF(AND(ET$4=1,ET34=0),1,0)</f>
        <v/>
      </c>
      <c r="EU84">
        <f>IF(AND(EU$4=1,EU34=0),1,0)</f>
        <v/>
      </c>
      <c r="EV84">
        <f>IF(AND(EV$4=1,EV34=0),1,0)</f>
        <v/>
      </c>
      <c r="EW84">
        <f>IF(AND(EW$4=1,EW34=0),1,0)</f>
        <v/>
      </c>
      <c r="EX84">
        <f>IF(AND(EX$4=1,EX34=0),1,0)</f>
        <v/>
      </c>
      <c r="EY84">
        <f>IF(AND(EY$4=1,EY34=0),1,0)</f>
        <v/>
      </c>
      <c r="EZ84">
        <f>IF(AND(EZ$4=1,EZ34=0),1,0)</f>
        <v/>
      </c>
      <c r="FA84">
        <f>IF(AND(FA$4=1,FA34=0),1,0)</f>
        <v/>
      </c>
      <c r="FB84">
        <f>IF(AND(FB$4=1,FB34=0),1,0)</f>
        <v/>
      </c>
      <c r="FC84">
        <f>IF(AND(FC$4=1,FC34=0),1,0)</f>
        <v/>
      </c>
      <c r="FD84">
        <f>IF(AND(FD$4=1,FD34=0),1,0)</f>
        <v/>
      </c>
      <c r="FE84">
        <f>IF(AND(FE$4=1,FE34=0),1,0)</f>
        <v/>
      </c>
      <c r="FF84">
        <f>IF(AND(FF$4=1,FF34=0),1,0)</f>
        <v/>
      </c>
      <c r="FG84">
        <f>IF(AND(FG$4=1,FG34=0),1,0)</f>
        <v/>
      </c>
      <c r="FH84">
        <f>IF(AND(FH$4=1,FH34=0),1,0)</f>
        <v/>
      </c>
      <c r="FI84">
        <f>IF(AND(FI$4=1,FI34=0),1,0)</f>
        <v/>
      </c>
      <c r="FJ84">
        <f>IF(AND(FJ$4=1,FJ34=0),1,0)</f>
        <v/>
      </c>
      <c r="FK84">
        <f>IF(AND(FK$4=1,FK34=0),1,0)</f>
        <v/>
      </c>
      <c r="FL84">
        <f>IF(AND(FL$4=1,FL34=0),1,0)</f>
        <v/>
      </c>
      <c r="FM84">
        <f>IF(AND(FM$4=1,FM34=0),1,0)</f>
        <v/>
      </c>
      <c r="FN84">
        <f>IF(AND(FN$4=1,FN34=0),1,0)</f>
        <v/>
      </c>
      <c r="FO84">
        <f>IF(AND(FO$4=1,FO34=0),1,0)</f>
        <v/>
      </c>
      <c r="FP84">
        <f>IF(AND(FP$4=1,FP34=0),1,0)</f>
        <v/>
      </c>
      <c r="FQ84">
        <f>IF(AND(FQ$4=1,FQ34=0),1,0)</f>
        <v/>
      </c>
      <c r="FR84">
        <f>IF(AND(FR$4=1,FR34=0),1,0)</f>
        <v/>
      </c>
      <c r="FS84">
        <f>IF(AND(FS$4=1,FS34=0),1,0)</f>
        <v/>
      </c>
      <c r="FT84">
        <f>IF(AND(FT$4=1,FT34=0),1,0)</f>
        <v/>
      </c>
      <c r="FU84">
        <f>IF(AND(FU$4=1,FU34=0),1,0)</f>
        <v/>
      </c>
      <c r="FV84">
        <f>IF(AND(FV$4=1,FV34=0),1,0)</f>
        <v/>
      </c>
      <c r="FW84">
        <f>IF(AND(FW$4=1,FW34=0),1,0)</f>
        <v/>
      </c>
      <c r="FX84">
        <f>IF(AND(FX$4=1,FX34=0),1,0)</f>
        <v/>
      </c>
      <c r="FY84">
        <f>IF(AND(FY$4=1,FY34=0),1,0)</f>
        <v/>
      </c>
      <c r="FZ84">
        <f>IF(AND(FZ$4=1,FZ34=0),1,0)</f>
        <v/>
      </c>
      <c r="GA84">
        <f>IF(AND(GA$4=1,GA34=0),1,0)</f>
        <v/>
      </c>
      <c r="GB84">
        <f>IF(AND(GB$4=1,GB34=0),1,0)</f>
        <v/>
      </c>
      <c r="GC84">
        <f>IF(AND(GC$4=1,GC34=0),1,0)</f>
        <v/>
      </c>
      <c r="GD84">
        <f>IF(AND(GD$4=1,GD34=0),1,0)</f>
        <v/>
      </c>
      <c r="GE84">
        <f>IF(AND(GE$4=1,GE34=0),1,0)</f>
        <v/>
      </c>
      <c r="GF84">
        <f>IF(AND(GF$4=1,GF34=0),1,0)</f>
        <v/>
      </c>
      <c r="GG84">
        <f>IF(AND(GG$4=1,GG34=0),1,0)</f>
        <v/>
      </c>
      <c r="GH84">
        <f>IF(AND(GH$4=1,GH34=0),1,0)</f>
        <v/>
      </c>
      <c r="GI84">
        <f>IF(AND(GI$4=1,GI34=0),1,0)</f>
        <v/>
      </c>
      <c r="GJ84">
        <f>IF(AND(GJ$4=1,GJ34=0),1,0)</f>
        <v/>
      </c>
      <c r="GK84">
        <f>IF(AND(GK$4=1,GK34=0),1,0)</f>
        <v/>
      </c>
      <c r="GL84">
        <f>IF(AND(GL$4=1,GL34=0),1,0)</f>
        <v/>
      </c>
      <c r="GM84">
        <f>IF(AND(GM$4=1,GM34=0),1,0)</f>
        <v/>
      </c>
      <c r="GN84">
        <f>IF(AND(GN$4=1,GN34=0),1,0)</f>
        <v/>
      </c>
      <c r="GO84">
        <f>IF(AND(GO$4=1,GO34=0),1,0)</f>
        <v/>
      </c>
      <c r="GP84">
        <f>IF(AND(GP$4=1,GP34=0),1,0)</f>
        <v/>
      </c>
      <c r="GQ84">
        <f>IF(AND(GQ$4=1,GQ34=0),1,0)</f>
        <v/>
      </c>
      <c r="GR84">
        <f>IF(AND(GR$4=1,GR34=0),1,0)</f>
        <v/>
      </c>
      <c r="GS84">
        <f>IF(AND(GS$4=1,GS34=0),1,0)</f>
        <v/>
      </c>
      <c r="GT84">
        <f>IF(AND(GT$4=1,GT34=0),1,0)</f>
        <v/>
      </c>
      <c r="GU84">
        <f>IF(AND(GU$4=1,GU34=0),1,0)</f>
        <v/>
      </c>
      <c r="GV84">
        <f>IF(AND(GV$4=1,GV34=0),1,0)</f>
        <v/>
      </c>
      <c r="GW84">
        <f>IF(AND(GW$4=1,GW34=0),1,0)</f>
        <v/>
      </c>
      <c r="GX84">
        <f>IF(AND(GX$4=1,GX34=0),1,0)</f>
        <v/>
      </c>
      <c r="GY84">
        <f>IF(AND(GY$4=1,GY34=0),1,0)</f>
        <v/>
      </c>
      <c r="GZ84">
        <f>IF(AND(GZ$4=1,GZ34=0),1,0)</f>
        <v/>
      </c>
      <c r="HA84">
        <f>IF(AND(HA$4=1,HA34=0),1,0)</f>
        <v/>
      </c>
      <c r="HB84">
        <f>IF(AND(HB$4=1,HB34=0),1,0)</f>
        <v/>
      </c>
      <c r="HC84">
        <f>IF(AND(HC$4=1,HC34=0),1,0)</f>
        <v/>
      </c>
      <c r="HD84">
        <f>IF(AND(HD$4=1,HD34=0),1,0)</f>
        <v/>
      </c>
      <c r="HE84">
        <f>IF(AND(HE$4=1,HE34=0),1,0)</f>
        <v/>
      </c>
      <c r="HF84">
        <f>IF(AND(HF$4=1,HF34=0),1,0)</f>
        <v/>
      </c>
      <c r="HG84">
        <f>IF(AND(HG$4=1,HG34=0),1,0)</f>
        <v/>
      </c>
      <c r="HH84">
        <f>IF(AND(HH$4=1,HH34=0),1,0)</f>
        <v/>
      </c>
      <c r="HI84">
        <f>IF(AND(HI$4=1,HI34=0),1,0)</f>
        <v/>
      </c>
      <c r="HJ84">
        <f>IF(AND(HJ$4=1,HJ34=0),1,0)</f>
        <v/>
      </c>
      <c r="HK84">
        <f>IF(AND(HK$4=1,HK34=0),1,0)</f>
        <v/>
      </c>
      <c r="HL84">
        <f>IF(AND(HL$4=1,HL34=0),1,0)</f>
        <v/>
      </c>
      <c r="HM84">
        <f>IF(AND(HM$4=1,HM34=0),1,0)</f>
        <v/>
      </c>
      <c r="HN84">
        <f>IF(AND(HN$4=1,HN34=0),1,0)</f>
        <v/>
      </c>
      <c r="HO84">
        <f>IF(AND(HO$4=1,HO34=0),1,0)</f>
        <v/>
      </c>
      <c r="HP84">
        <f>IF(AND(HP$4=1,HP34=0),1,0)</f>
        <v/>
      </c>
      <c r="HQ84">
        <f>IF(AND(HQ$4=1,HQ34=0),1,0)</f>
        <v/>
      </c>
      <c r="HR84">
        <f>IF(AND(HR$4=1,HR34=0),1,0)</f>
        <v/>
      </c>
      <c r="HS84">
        <f>IF(AND(HS$4=1,HS34=0),1,0)</f>
        <v/>
      </c>
      <c r="HT84">
        <f>IF(AND(HT$4=1,HT34=0),1,0)</f>
        <v/>
      </c>
      <c r="HU84">
        <f>IF(AND(HU$4=1,HU34=0),1,0)</f>
        <v/>
      </c>
      <c r="HV84">
        <f>IF(AND(HV$4=1,HV34=0),1,0)</f>
        <v/>
      </c>
      <c r="HW84">
        <f>IF(AND(HW$4=1,HW34=0),1,0)</f>
        <v/>
      </c>
      <c r="HX84">
        <f>IF(AND(HX$4=1,HX34=0),1,0)</f>
        <v/>
      </c>
      <c r="HY84">
        <f>IF(AND(HY$4=1,HY34=0),1,0)</f>
        <v/>
      </c>
      <c r="HZ84">
        <f>IF(AND(HZ$4=1,HZ34=0),1,0)</f>
        <v/>
      </c>
      <c r="IA84">
        <f>IF(AND(IA$4=1,IA34=0),1,0)</f>
        <v/>
      </c>
      <c r="IB84">
        <f>IF(AND(IB$4=1,IB34=0),1,0)</f>
        <v/>
      </c>
      <c r="IC84">
        <f>IF(AND(IC$4=1,IC34=0),1,0)</f>
        <v/>
      </c>
      <c r="ID84">
        <f>IF(AND(ID$4=1,ID34=0),1,0)</f>
        <v/>
      </c>
      <c r="IE84">
        <f>IF(AND(IE$4=1,IE34=0),1,0)</f>
        <v/>
      </c>
      <c r="IF84">
        <f>IF(AND(IF$4=1,IF34=0),1,0)</f>
        <v/>
      </c>
      <c r="IG84">
        <f>IF(AND(IG$4=1,IG34=0),1,0)</f>
        <v/>
      </c>
      <c r="IH84">
        <f>IF(AND(IH$4=1,IH34=0),1,0)</f>
        <v/>
      </c>
      <c r="II84">
        <f>IF(AND(II$4=1,II34=0),1,0)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c r="ER85">
        <f>IF(AND(ER$4=1,ER35=0),1,0)</f>
        <v/>
      </c>
      <c r="ES85">
        <f>IF(AND(ES$4=1,ES35=0),1,0)</f>
        <v/>
      </c>
      <c r="ET85">
        <f>IF(AND(ET$4=1,ET35=0),1,0)</f>
        <v/>
      </c>
      <c r="EU85">
        <f>IF(AND(EU$4=1,EU35=0),1,0)</f>
        <v/>
      </c>
      <c r="EV85">
        <f>IF(AND(EV$4=1,EV35=0),1,0)</f>
        <v/>
      </c>
      <c r="EW85">
        <f>IF(AND(EW$4=1,EW35=0),1,0)</f>
        <v/>
      </c>
      <c r="EX85">
        <f>IF(AND(EX$4=1,EX35=0),1,0)</f>
        <v/>
      </c>
      <c r="EY85">
        <f>IF(AND(EY$4=1,EY35=0),1,0)</f>
        <v/>
      </c>
      <c r="EZ85">
        <f>IF(AND(EZ$4=1,EZ35=0),1,0)</f>
        <v/>
      </c>
      <c r="FA85">
        <f>IF(AND(FA$4=1,FA35=0),1,0)</f>
        <v/>
      </c>
      <c r="FB85">
        <f>IF(AND(FB$4=1,FB35=0),1,0)</f>
        <v/>
      </c>
      <c r="FC85">
        <f>IF(AND(FC$4=1,FC35=0),1,0)</f>
        <v/>
      </c>
      <c r="FD85">
        <f>IF(AND(FD$4=1,FD35=0),1,0)</f>
        <v/>
      </c>
      <c r="FE85">
        <f>IF(AND(FE$4=1,FE35=0),1,0)</f>
        <v/>
      </c>
      <c r="FF85">
        <f>IF(AND(FF$4=1,FF35=0),1,0)</f>
        <v/>
      </c>
      <c r="FG85">
        <f>IF(AND(FG$4=1,FG35=0),1,0)</f>
        <v/>
      </c>
      <c r="FH85">
        <f>IF(AND(FH$4=1,FH35=0),1,0)</f>
        <v/>
      </c>
      <c r="FI85">
        <f>IF(AND(FI$4=1,FI35=0),1,0)</f>
        <v/>
      </c>
      <c r="FJ85">
        <f>IF(AND(FJ$4=1,FJ35=0),1,0)</f>
        <v/>
      </c>
      <c r="FK85">
        <f>IF(AND(FK$4=1,FK35=0),1,0)</f>
        <v/>
      </c>
      <c r="FL85">
        <f>IF(AND(FL$4=1,FL35=0),1,0)</f>
        <v/>
      </c>
      <c r="FM85">
        <f>IF(AND(FM$4=1,FM35=0),1,0)</f>
        <v/>
      </c>
      <c r="FN85">
        <f>IF(AND(FN$4=1,FN35=0),1,0)</f>
        <v/>
      </c>
      <c r="FO85">
        <f>IF(AND(FO$4=1,FO35=0),1,0)</f>
        <v/>
      </c>
      <c r="FP85">
        <f>IF(AND(FP$4=1,FP35=0),1,0)</f>
        <v/>
      </c>
      <c r="FQ85">
        <f>IF(AND(FQ$4=1,FQ35=0),1,0)</f>
        <v/>
      </c>
      <c r="FR85">
        <f>IF(AND(FR$4=1,FR35=0),1,0)</f>
        <v/>
      </c>
      <c r="FS85">
        <f>IF(AND(FS$4=1,FS35=0),1,0)</f>
        <v/>
      </c>
      <c r="FT85">
        <f>IF(AND(FT$4=1,FT35=0),1,0)</f>
        <v/>
      </c>
      <c r="FU85">
        <f>IF(AND(FU$4=1,FU35=0),1,0)</f>
        <v/>
      </c>
      <c r="FV85">
        <f>IF(AND(FV$4=1,FV35=0),1,0)</f>
        <v/>
      </c>
      <c r="FW85">
        <f>IF(AND(FW$4=1,FW35=0),1,0)</f>
        <v/>
      </c>
      <c r="FX85">
        <f>IF(AND(FX$4=1,FX35=0),1,0)</f>
        <v/>
      </c>
      <c r="FY85">
        <f>IF(AND(FY$4=1,FY35=0),1,0)</f>
        <v/>
      </c>
      <c r="FZ85">
        <f>IF(AND(FZ$4=1,FZ35=0),1,0)</f>
        <v/>
      </c>
      <c r="GA85">
        <f>IF(AND(GA$4=1,GA35=0),1,0)</f>
        <v/>
      </c>
      <c r="GB85">
        <f>IF(AND(GB$4=1,GB35=0),1,0)</f>
        <v/>
      </c>
      <c r="GC85">
        <f>IF(AND(GC$4=1,GC35=0),1,0)</f>
        <v/>
      </c>
      <c r="GD85">
        <f>IF(AND(GD$4=1,GD35=0),1,0)</f>
        <v/>
      </c>
      <c r="GE85">
        <f>IF(AND(GE$4=1,GE35=0),1,0)</f>
        <v/>
      </c>
      <c r="GF85">
        <f>IF(AND(GF$4=1,GF35=0),1,0)</f>
        <v/>
      </c>
      <c r="GG85">
        <f>IF(AND(GG$4=1,GG35=0),1,0)</f>
        <v/>
      </c>
      <c r="GH85">
        <f>IF(AND(GH$4=1,GH35=0),1,0)</f>
        <v/>
      </c>
      <c r="GI85">
        <f>IF(AND(GI$4=1,GI35=0),1,0)</f>
        <v/>
      </c>
      <c r="GJ85">
        <f>IF(AND(GJ$4=1,GJ35=0),1,0)</f>
        <v/>
      </c>
      <c r="GK85">
        <f>IF(AND(GK$4=1,GK35=0),1,0)</f>
        <v/>
      </c>
      <c r="GL85">
        <f>IF(AND(GL$4=1,GL35=0),1,0)</f>
        <v/>
      </c>
      <c r="GM85">
        <f>IF(AND(GM$4=1,GM35=0),1,0)</f>
        <v/>
      </c>
      <c r="GN85">
        <f>IF(AND(GN$4=1,GN35=0),1,0)</f>
        <v/>
      </c>
      <c r="GO85">
        <f>IF(AND(GO$4=1,GO35=0),1,0)</f>
        <v/>
      </c>
      <c r="GP85">
        <f>IF(AND(GP$4=1,GP35=0),1,0)</f>
        <v/>
      </c>
      <c r="GQ85">
        <f>IF(AND(GQ$4=1,GQ35=0),1,0)</f>
        <v/>
      </c>
      <c r="GR85">
        <f>IF(AND(GR$4=1,GR35=0),1,0)</f>
        <v/>
      </c>
      <c r="GS85">
        <f>IF(AND(GS$4=1,GS35=0),1,0)</f>
        <v/>
      </c>
      <c r="GT85">
        <f>IF(AND(GT$4=1,GT35=0),1,0)</f>
        <v/>
      </c>
      <c r="GU85">
        <f>IF(AND(GU$4=1,GU35=0),1,0)</f>
        <v/>
      </c>
      <c r="GV85">
        <f>IF(AND(GV$4=1,GV35=0),1,0)</f>
        <v/>
      </c>
      <c r="GW85">
        <f>IF(AND(GW$4=1,GW35=0),1,0)</f>
        <v/>
      </c>
      <c r="GX85">
        <f>IF(AND(GX$4=1,GX35=0),1,0)</f>
        <v/>
      </c>
      <c r="GY85">
        <f>IF(AND(GY$4=1,GY35=0),1,0)</f>
        <v/>
      </c>
      <c r="GZ85">
        <f>IF(AND(GZ$4=1,GZ35=0),1,0)</f>
        <v/>
      </c>
      <c r="HA85">
        <f>IF(AND(HA$4=1,HA35=0),1,0)</f>
        <v/>
      </c>
      <c r="HB85">
        <f>IF(AND(HB$4=1,HB35=0),1,0)</f>
        <v/>
      </c>
      <c r="HC85">
        <f>IF(AND(HC$4=1,HC35=0),1,0)</f>
        <v/>
      </c>
      <c r="HD85">
        <f>IF(AND(HD$4=1,HD35=0),1,0)</f>
        <v/>
      </c>
      <c r="HE85">
        <f>IF(AND(HE$4=1,HE35=0),1,0)</f>
        <v/>
      </c>
      <c r="HF85">
        <f>IF(AND(HF$4=1,HF35=0),1,0)</f>
        <v/>
      </c>
      <c r="HG85">
        <f>IF(AND(HG$4=1,HG35=0),1,0)</f>
        <v/>
      </c>
      <c r="HH85">
        <f>IF(AND(HH$4=1,HH35=0),1,0)</f>
        <v/>
      </c>
      <c r="HI85">
        <f>IF(AND(HI$4=1,HI35=0),1,0)</f>
        <v/>
      </c>
      <c r="HJ85">
        <f>IF(AND(HJ$4=1,HJ35=0),1,0)</f>
        <v/>
      </c>
      <c r="HK85">
        <f>IF(AND(HK$4=1,HK35=0),1,0)</f>
        <v/>
      </c>
      <c r="HL85">
        <f>IF(AND(HL$4=1,HL35=0),1,0)</f>
        <v/>
      </c>
      <c r="HM85">
        <f>IF(AND(HM$4=1,HM35=0),1,0)</f>
        <v/>
      </c>
      <c r="HN85">
        <f>IF(AND(HN$4=1,HN35=0),1,0)</f>
        <v/>
      </c>
      <c r="HO85">
        <f>IF(AND(HO$4=1,HO35=0),1,0)</f>
        <v/>
      </c>
      <c r="HP85">
        <f>IF(AND(HP$4=1,HP35=0),1,0)</f>
        <v/>
      </c>
      <c r="HQ85">
        <f>IF(AND(HQ$4=1,HQ35=0),1,0)</f>
        <v/>
      </c>
      <c r="HR85">
        <f>IF(AND(HR$4=1,HR35=0),1,0)</f>
        <v/>
      </c>
      <c r="HS85">
        <f>IF(AND(HS$4=1,HS35=0),1,0)</f>
        <v/>
      </c>
      <c r="HT85">
        <f>IF(AND(HT$4=1,HT35=0),1,0)</f>
        <v/>
      </c>
      <c r="HU85">
        <f>IF(AND(HU$4=1,HU35=0),1,0)</f>
        <v/>
      </c>
      <c r="HV85">
        <f>IF(AND(HV$4=1,HV35=0),1,0)</f>
        <v/>
      </c>
      <c r="HW85">
        <f>IF(AND(HW$4=1,HW35=0),1,0)</f>
        <v/>
      </c>
      <c r="HX85">
        <f>IF(AND(HX$4=1,HX35=0),1,0)</f>
        <v/>
      </c>
      <c r="HY85">
        <f>IF(AND(HY$4=1,HY35=0),1,0)</f>
        <v/>
      </c>
      <c r="HZ85">
        <f>IF(AND(HZ$4=1,HZ35=0),1,0)</f>
        <v/>
      </c>
      <c r="IA85">
        <f>IF(AND(IA$4=1,IA35=0),1,0)</f>
        <v/>
      </c>
      <c r="IB85">
        <f>IF(AND(IB$4=1,IB35=0),1,0)</f>
        <v/>
      </c>
      <c r="IC85">
        <f>IF(AND(IC$4=1,IC35=0),1,0)</f>
        <v/>
      </c>
      <c r="ID85">
        <f>IF(AND(ID$4=1,ID35=0),1,0)</f>
        <v/>
      </c>
      <c r="IE85">
        <f>IF(AND(IE$4=1,IE35=0),1,0)</f>
        <v/>
      </c>
      <c r="IF85">
        <f>IF(AND(IF$4=1,IF35=0),1,0)</f>
        <v/>
      </c>
      <c r="IG85">
        <f>IF(AND(IG$4=1,IG35=0),1,0)</f>
        <v/>
      </c>
      <c r="IH85">
        <f>IF(AND(IH$4=1,IH35=0),1,0)</f>
        <v/>
      </c>
      <c r="II85">
        <f>IF(AND(II$4=1,II35=0),1,0)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c r="ER86">
        <f>IF(AND(ER$4=1,ER36=0),1,0)</f>
        <v/>
      </c>
      <c r="ES86">
        <f>IF(AND(ES$4=1,ES36=0),1,0)</f>
        <v/>
      </c>
      <c r="ET86">
        <f>IF(AND(ET$4=1,ET36=0),1,0)</f>
        <v/>
      </c>
      <c r="EU86">
        <f>IF(AND(EU$4=1,EU36=0),1,0)</f>
        <v/>
      </c>
      <c r="EV86">
        <f>IF(AND(EV$4=1,EV36=0),1,0)</f>
        <v/>
      </c>
      <c r="EW86">
        <f>IF(AND(EW$4=1,EW36=0),1,0)</f>
        <v/>
      </c>
      <c r="EX86">
        <f>IF(AND(EX$4=1,EX36=0),1,0)</f>
        <v/>
      </c>
      <c r="EY86">
        <f>IF(AND(EY$4=1,EY36=0),1,0)</f>
        <v/>
      </c>
      <c r="EZ86">
        <f>IF(AND(EZ$4=1,EZ36=0),1,0)</f>
        <v/>
      </c>
      <c r="FA86">
        <f>IF(AND(FA$4=1,FA36=0),1,0)</f>
        <v/>
      </c>
      <c r="FB86">
        <f>IF(AND(FB$4=1,FB36=0),1,0)</f>
        <v/>
      </c>
      <c r="FC86">
        <f>IF(AND(FC$4=1,FC36=0),1,0)</f>
        <v/>
      </c>
      <c r="FD86">
        <f>IF(AND(FD$4=1,FD36=0),1,0)</f>
        <v/>
      </c>
      <c r="FE86">
        <f>IF(AND(FE$4=1,FE36=0),1,0)</f>
        <v/>
      </c>
      <c r="FF86">
        <f>IF(AND(FF$4=1,FF36=0),1,0)</f>
        <v/>
      </c>
      <c r="FG86">
        <f>IF(AND(FG$4=1,FG36=0),1,0)</f>
        <v/>
      </c>
      <c r="FH86">
        <f>IF(AND(FH$4=1,FH36=0),1,0)</f>
        <v/>
      </c>
      <c r="FI86">
        <f>IF(AND(FI$4=1,FI36=0),1,0)</f>
        <v/>
      </c>
      <c r="FJ86">
        <f>IF(AND(FJ$4=1,FJ36=0),1,0)</f>
        <v/>
      </c>
      <c r="FK86">
        <f>IF(AND(FK$4=1,FK36=0),1,0)</f>
        <v/>
      </c>
      <c r="FL86">
        <f>IF(AND(FL$4=1,FL36=0),1,0)</f>
        <v/>
      </c>
      <c r="FM86">
        <f>IF(AND(FM$4=1,FM36=0),1,0)</f>
        <v/>
      </c>
      <c r="FN86">
        <f>IF(AND(FN$4=1,FN36=0),1,0)</f>
        <v/>
      </c>
      <c r="FO86">
        <f>IF(AND(FO$4=1,FO36=0),1,0)</f>
        <v/>
      </c>
      <c r="FP86">
        <f>IF(AND(FP$4=1,FP36=0),1,0)</f>
        <v/>
      </c>
      <c r="FQ86">
        <f>IF(AND(FQ$4=1,FQ36=0),1,0)</f>
        <v/>
      </c>
      <c r="FR86">
        <f>IF(AND(FR$4=1,FR36=0),1,0)</f>
        <v/>
      </c>
      <c r="FS86">
        <f>IF(AND(FS$4=1,FS36=0),1,0)</f>
        <v/>
      </c>
      <c r="FT86">
        <f>IF(AND(FT$4=1,FT36=0),1,0)</f>
        <v/>
      </c>
      <c r="FU86">
        <f>IF(AND(FU$4=1,FU36=0),1,0)</f>
        <v/>
      </c>
      <c r="FV86">
        <f>IF(AND(FV$4=1,FV36=0),1,0)</f>
        <v/>
      </c>
      <c r="FW86">
        <f>IF(AND(FW$4=1,FW36=0),1,0)</f>
        <v/>
      </c>
      <c r="FX86">
        <f>IF(AND(FX$4=1,FX36=0),1,0)</f>
        <v/>
      </c>
      <c r="FY86">
        <f>IF(AND(FY$4=1,FY36=0),1,0)</f>
        <v/>
      </c>
      <c r="FZ86">
        <f>IF(AND(FZ$4=1,FZ36=0),1,0)</f>
        <v/>
      </c>
      <c r="GA86">
        <f>IF(AND(GA$4=1,GA36=0),1,0)</f>
        <v/>
      </c>
      <c r="GB86">
        <f>IF(AND(GB$4=1,GB36=0),1,0)</f>
        <v/>
      </c>
      <c r="GC86">
        <f>IF(AND(GC$4=1,GC36=0),1,0)</f>
        <v/>
      </c>
      <c r="GD86">
        <f>IF(AND(GD$4=1,GD36=0),1,0)</f>
        <v/>
      </c>
      <c r="GE86">
        <f>IF(AND(GE$4=1,GE36=0),1,0)</f>
        <v/>
      </c>
      <c r="GF86">
        <f>IF(AND(GF$4=1,GF36=0),1,0)</f>
        <v/>
      </c>
      <c r="GG86">
        <f>IF(AND(GG$4=1,GG36=0),1,0)</f>
        <v/>
      </c>
      <c r="GH86">
        <f>IF(AND(GH$4=1,GH36=0),1,0)</f>
        <v/>
      </c>
      <c r="GI86">
        <f>IF(AND(GI$4=1,GI36=0),1,0)</f>
        <v/>
      </c>
      <c r="GJ86">
        <f>IF(AND(GJ$4=1,GJ36=0),1,0)</f>
        <v/>
      </c>
      <c r="GK86">
        <f>IF(AND(GK$4=1,GK36=0),1,0)</f>
        <v/>
      </c>
      <c r="GL86">
        <f>IF(AND(GL$4=1,GL36=0),1,0)</f>
        <v/>
      </c>
      <c r="GM86">
        <f>IF(AND(GM$4=1,GM36=0),1,0)</f>
        <v/>
      </c>
      <c r="GN86">
        <f>IF(AND(GN$4=1,GN36=0),1,0)</f>
        <v/>
      </c>
      <c r="GO86">
        <f>IF(AND(GO$4=1,GO36=0),1,0)</f>
        <v/>
      </c>
      <c r="GP86">
        <f>IF(AND(GP$4=1,GP36=0),1,0)</f>
        <v/>
      </c>
      <c r="GQ86">
        <f>IF(AND(GQ$4=1,GQ36=0),1,0)</f>
        <v/>
      </c>
      <c r="GR86">
        <f>IF(AND(GR$4=1,GR36=0),1,0)</f>
        <v/>
      </c>
      <c r="GS86">
        <f>IF(AND(GS$4=1,GS36=0),1,0)</f>
        <v/>
      </c>
      <c r="GT86">
        <f>IF(AND(GT$4=1,GT36=0),1,0)</f>
        <v/>
      </c>
      <c r="GU86">
        <f>IF(AND(GU$4=1,GU36=0),1,0)</f>
        <v/>
      </c>
      <c r="GV86">
        <f>IF(AND(GV$4=1,GV36=0),1,0)</f>
        <v/>
      </c>
      <c r="GW86">
        <f>IF(AND(GW$4=1,GW36=0),1,0)</f>
        <v/>
      </c>
      <c r="GX86">
        <f>IF(AND(GX$4=1,GX36=0),1,0)</f>
        <v/>
      </c>
      <c r="GY86">
        <f>IF(AND(GY$4=1,GY36=0),1,0)</f>
        <v/>
      </c>
      <c r="GZ86">
        <f>IF(AND(GZ$4=1,GZ36=0),1,0)</f>
        <v/>
      </c>
      <c r="HA86">
        <f>IF(AND(HA$4=1,HA36=0),1,0)</f>
        <v/>
      </c>
      <c r="HB86">
        <f>IF(AND(HB$4=1,HB36=0),1,0)</f>
        <v/>
      </c>
      <c r="HC86">
        <f>IF(AND(HC$4=1,HC36=0),1,0)</f>
        <v/>
      </c>
      <c r="HD86">
        <f>IF(AND(HD$4=1,HD36=0),1,0)</f>
        <v/>
      </c>
      <c r="HE86">
        <f>IF(AND(HE$4=1,HE36=0),1,0)</f>
        <v/>
      </c>
      <c r="HF86">
        <f>IF(AND(HF$4=1,HF36=0),1,0)</f>
        <v/>
      </c>
      <c r="HG86">
        <f>IF(AND(HG$4=1,HG36=0),1,0)</f>
        <v/>
      </c>
      <c r="HH86">
        <f>IF(AND(HH$4=1,HH36=0),1,0)</f>
        <v/>
      </c>
      <c r="HI86">
        <f>IF(AND(HI$4=1,HI36=0),1,0)</f>
        <v/>
      </c>
      <c r="HJ86">
        <f>IF(AND(HJ$4=1,HJ36=0),1,0)</f>
        <v/>
      </c>
      <c r="HK86">
        <f>IF(AND(HK$4=1,HK36=0),1,0)</f>
        <v/>
      </c>
      <c r="HL86">
        <f>IF(AND(HL$4=1,HL36=0),1,0)</f>
        <v/>
      </c>
      <c r="HM86">
        <f>IF(AND(HM$4=1,HM36=0),1,0)</f>
        <v/>
      </c>
      <c r="HN86">
        <f>IF(AND(HN$4=1,HN36=0),1,0)</f>
        <v/>
      </c>
      <c r="HO86">
        <f>IF(AND(HO$4=1,HO36=0),1,0)</f>
        <v/>
      </c>
      <c r="HP86">
        <f>IF(AND(HP$4=1,HP36=0),1,0)</f>
        <v/>
      </c>
      <c r="HQ86">
        <f>IF(AND(HQ$4=1,HQ36=0),1,0)</f>
        <v/>
      </c>
      <c r="HR86">
        <f>IF(AND(HR$4=1,HR36=0),1,0)</f>
        <v/>
      </c>
      <c r="HS86">
        <f>IF(AND(HS$4=1,HS36=0),1,0)</f>
        <v/>
      </c>
      <c r="HT86">
        <f>IF(AND(HT$4=1,HT36=0),1,0)</f>
        <v/>
      </c>
      <c r="HU86">
        <f>IF(AND(HU$4=1,HU36=0),1,0)</f>
        <v/>
      </c>
      <c r="HV86">
        <f>IF(AND(HV$4=1,HV36=0),1,0)</f>
        <v/>
      </c>
      <c r="HW86">
        <f>IF(AND(HW$4=1,HW36=0),1,0)</f>
        <v/>
      </c>
      <c r="HX86">
        <f>IF(AND(HX$4=1,HX36=0),1,0)</f>
        <v/>
      </c>
      <c r="HY86">
        <f>IF(AND(HY$4=1,HY36=0),1,0)</f>
        <v/>
      </c>
      <c r="HZ86">
        <f>IF(AND(HZ$4=1,HZ36=0),1,0)</f>
        <v/>
      </c>
      <c r="IA86">
        <f>IF(AND(IA$4=1,IA36=0),1,0)</f>
        <v/>
      </c>
      <c r="IB86">
        <f>IF(AND(IB$4=1,IB36=0),1,0)</f>
        <v/>
      </c>
      <c r="IC86">
        <f>IF(AND(IC$4=1,IC36=0),1,0)</f>
        <v/>
      </c>
      <c r="ID86">
        <f>IF(AND(ID$4=1,ID36=0),1,0)</f>
        <v/>
      </c>
      <c r="IE86">
        <f>IF(AND(IE$4=1,IE36=0),1,0)</f>
        <v/>
      </c>
      <c r="IF86">
        <f>IF(AND(IF$4=1,IF36=0),1,0)</f>
        <v/>
      </c>
      <c r="IG86">
        <f>IF(AND(IG$4=1,IG36=0),1,0)</f>
        <v/>
      </c>
      <c r="IH86">
        <f>IF(AND(IH$4=1,IH36=0),1,0)</f>
        <v/>
      </c>
      <c r="II86">
        <f>IF(AND(II$4=1,II36=0),1,0)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c r="ER87">
        <f>IF(AND(ER$4=1,ER37=0),1,0)</f>
        <v/>
      </c>
      <c r="ES87">
        <f>IF(AND(ES$4=1,ES37=0),1,0)</f>
        <v/>
      </c>
      <c r="ET87">
        <f>IF(AND(ET$4=1,ET37=0),1,0)</f>
        <v/>
      </c>
      <c r="EU87">
        <f>IF(AND(EU$4=1,EU37=0),1,0)</f>
        <v/>
      </c>
      <c r="EV87">
        <f>IF(AND(EV$4=1,EV37=0),1,0)</f>
        <v/>
      </c>
      <c r="EW87">
        <f>IF(AND(EW$4=1,EW37=0),1,0)</f>
        <v/>
      </c>
      <c r="EX87">
        <f>IF(AND(EX$4=1,EX37=0),1,0)</f>
        <v/>
      </c>
      <c r="EY87">
        <f>IF(AND(EY$4=1,EY37=0),1,0)</f>
        <v/>
      </c>
      <c r="EZ87">
        <f>IF(AND(EZ$4=1,EZ37=0),1,0)</f>
        <v/>
      </c>
      <c r="FA87">
        <f>IF(AND(FA$4=1,FA37=0),1,0)</f>
        <v/>
      </c>
      <c r="FB87">
        <f>IF(AND(FB$4=1,FB37=0),1,0)</f>
        <v/>
      </c>
      <c r="FC87">
        <f>IF(AND(FC$4=1,FC37=0),1,0)</f>
        <v/>
      </c>
      <c r="FD87">
        <f>IF(AND(FD$4=1,FD37=0),1,0)</f>
        <v/>
      </c>
      <c r="FE87">
        <f>IF(AND(FE$4=1,FE37=0),1,0)</f>
        <v/>
      </c>
      <c r="FF87">
        <f>IF(AND(FF$4=1,FF37=0),1,0)</f>
        <v/>
      </c>
      <c r="FG87">
        <f>IF(AND(FG$4=1,FG37=0),1,0)</f>
        <v/>
      </c>
      <c r="FH87">
        <f>IF(AND(FH$4=1,FH37=0),1,0)</f>
        <v/>
      </c>
      <c r="FI87">
        <f>IF(AND(FI$4=1,FI37=0),1,0)</f>
        <v/>
      </c>
      <c r="FJ87">
        <f>IF(AND(FJ$4=1,FJ37=0),1,0)</f>
        <v/>
      </c>
      <c r="FK87">
        <f>IF(AND(FK$4=1,FK37=0),1,0)</f>
        <v/>
      </c>
      <c r="FL87">
        <f>IF(AND(FL$4=1,FL37=0),1,0)</f>
        <v/>
      </c>
      <c r="FM87">
        <f>IF(AND(FM$4=1,FM37=0),1,0)</f>
        <v/>
      </c>
      <c r="FN87">
        <f>IF(AND(FN$4=1,FN37=0),1,0)</f>
        <v/>
      </c>
      <c r="FO87">
        <f>IF(AND(FO$4=1,FO37=0),1,0)</f>
        <v/>
      </c>
      <c r="FP87">
        <f>IF(AND(FP$4=1,FP37=0),1,0)</f>
        <v/>
      </c>
      <c r="FQ87">
        <f>IF(AND(FQ$4=1,FQ37=0),1,0)</f>
        <v/>
      </c>
      <c r="FR87">
        <f>IF(AND(FR$4=1,FR37=0),1,0)</f>
        <v/>
      </c>
      <c r="FS87">
        <f>IF(AND(FS$4=1,FS37=0),1,0)</f>
        <v/>
      </c>
      <c r="FT87">
        <f>IF(AND(FT$4=1,FT37=0),1,0)</f>
        <v/>
      </c>
      <c r="FU87">
        <f>IF(AND(FU$4=1,FU37=0),1,0)</f>
        <v/>
      </c>
      <c r="FV87">
        <f>IF(AND(FV$4=1,FV37=0),1,0)</f>
        <v/>
      </c>
      <c r="FW87">
        <f>IF(AND(FW$4=1,FW37=0),1,0)</f>
        <v/>
      </c>
      <c r="FX87">
        <f>IF(AND(FX$4=1,FX37=0),1,0)</f>
        <v/>
      </c>
      <c r="FY87">
        <f>IF(AND(FY$4=1,FY37=0),1,0)</f>
        <v/>
      </c>
      <c r="FZ87">
        <f>IF(AND(FZ$4=1,FZ37=0),1,0)</f>
        <v/>
      </c>
      <c r="GA87">
        <f>IF(AND(GA$4=1,GA37=0),1,0)</f>
        <v/>
      </c>
      <c r="GB87">
        <f>IF(AND(GB$4=1,GB37=0),1,0)</f>
        <v/>
      </c>
      <c r="GC87">
        <f>IF(AND(GC$4=1,GC37=0),1,0)</f>
        <v/>
      </c>
      <c r="GD87">
        <f>IF(AND(GD$4=1,GD37=0),1,0)</f>
        <v/>
      </c>
      <c r="GE87">
        <f>IF(AND(GE$4=1,GE37=0),1,0)</f>
        <v/>
      </c>
      <c r="GF87">
        <f>IF(AND(GF$4=1,GF37=0),1,0)</f>
        <v/>
      </c>
      <c r="GG87">
        <f>IF(AND(GG$4=1,GG37=0),1,0)</f>
        <v/>
      </c>
      <c r="GH87">
        <f>IF(AND(GH$4=1,GH37=0),1,0)</f>
        <v/>
      </c>
      <c r="GI87">
        <f>IF(AND(GI$4=1,GI37=0),1,0)</f>
        <v/>
      </c>
      <c r="GJ87">
        <f>IF(AND(GJ$4=1,GJ37=0),1,0)</f>
        <v/>
      </c>
      <c r="GK87">
        <f>IF(AND(GK$4=1,GK37=0),1,0)</f>
        <v/>
      </c>
      <c r="GL87">
        <f>IF(AND(GL$4=1,GL37=0),1,0)</f>
        <v/>
      </c>
      <c r="GM87">
        <f>IF(AND(GM$4=1,GM37=0),1,0)</f>
        <v/>
      </c>
      <c r="GN87">
        <f>IF(AND(GN$4=1,GN37=0),1,0)</f>
        <v/>
      </c>
      <c r="GO87">
        <f>IF(AND(GO$4=1,GO37=0),1,0)</f>
        <v/>
      </c>
      <c r="GP87">
        <f>IF(AND(GP$4=1,GP37=0),1,0)</f>
        <v/>
      </c>
      <c r="GQ87">
        <f>IF(AND(GQ$4=1,GQ37=0),1,0)</f>
        <v/>
      </c>
      <c r="GR87">
        <f>IF(AND(GR$4=1,GR37=0),1,0)</f>
        <v/>
      </c>
      <c r="GS87">
        <f>IF(AND(GS$4=1,GS37=0),1,0)</f>
        <v/>
      </c>
      <c r="GT87">
        <f>IF(AND(GT$4=1,GT37=0),1,0)</f>
        <v/>
      </c>
      <c r="GU87">
        <f>IF(AND(GU$4=1,GU37=0),1,0)</f>
        <v/>
      </c>
      <c r="GV87">
        <f>IF(AND(GV$4=1,GV37=0),1,0)</f>
        <v/>
      </c>
      <c r="GW87">
        <f>IF(AND(GW$4=1,GW37=0),1,0)</f>
        <v/>
      </c>
      <c r="GX87">
        <f>IF(AND(GX$4=1,GX37=0),1,0)</f>
        <v/>
      </c>
      <c r="GY87">
        <f>IF(AND(GY$4=1,GY37=0),1,0)</f>
        <v/>
      </c>
      <c r="GZ87">
        <f>IF(AND(GZ$4=1,GZ37=0),1,0)</f>
        <v/>
      </c>
      <c r="HA87">
        <f>IF(AND(HA$4=1,HA37=0),1,0)</f>
        <v/>
      </c>
      <c r="HB87">
        <f>IF(AND(HB$4=1,HB37=0),1,0)</f>
        <v/>
      </c>
      <c r="HC87">
        <f>IF(AND(HC$4=1,HC37=0),1,0)</f>
        <v/>
      </c>
      <c r="HD87">
        <f>IF(AND(HD$4=1,HD37=0),1,0)</f>
        <v/>
      </c>
      <c r="HE87">
        <f>IF(AND(HE$4=1,HE37=0),1,0)</f>
        <v/>
      </c>
      <c r="HF87">
        <f>IF(AND(HF$4=1,HF37=0),1,0)</f>
        <v/>
      </c>
      <c r="HG87">
        <f>IF(AND(HG$4=1,HG37=0),1,0)</f>
        <v/>
      </c>
      <c r="HH87">
        <f>IF(AND(HH$4=1,HH37=0),1,0)</f>
        <v/>
      </c>
      <c r="HI87">
        <f>IF(AND(HI$4=1,HI37=0),1,0)</f>
        <v/>
      </c>
      <c r="HJ87">
        <f>IF(AND(HJ$4=1,HJ37=0),1,0)</f>
        <v/>
      </c>
      <c r="HK87">
        <f>IF(AND(HK$4=1,HK37=0),1,0)</f>
        <v/>
      </c>
      <c r="HL87">
        <f>IF(AND(HL$4=1,HL37=0),1,0)</f>
        <v/>
      </c>
      <c r="HM87">
        <f>IF(AND(HM$4=1,HM37=0),1,0)</f>
        <v/>
      </c>
      <c r="HN87">
        <f>IF(AND(HN$4=1,HN37=0),1,0)</f>
        <v/>
      </c>
      <c r="HO87">
        <f>IF(AND(HO$4=1,HO37=0),1,0)</f>
        <v/>
      </c>
      <c r="HP87">
        <f>IF(AND(HP$4=1,HP37=0),1,0)</f>
        <v/>
      </c>
      <c r="HQ87">
        <f>IF(AND(HQ$4=1,HQ37=0),1,0)</f>
        <v/>
      </c>
      <c r="HR87">
        <f>IF(AND(HR$4=1,HR37=0),1,0)</f>
        <v/>
      </c>
      <c r="HS87">
        <f>IF(AND(HS$4=1,HS37=0),1,0)</f>
        <v/>
      </c>
      <c r="HT87">
        <f>IF(AND(HT$4=1,HT37=0),1,0)</f>
        <v/>
      </c>
      <c r="HU87">
        <f>IF(AND(HU$4=1,HU37=0),1,0)</f>
        <v/>
      </c>
      <c r="HV87">
        <f>IF(AND(HV$4=1,HV37=0),1,0)</f>
        <v/>
      </c>
      <c r="HW87">
        <f>IF(AND(HW$4=1,HW37=0),1,0)</f>
        <v/>
      </c>
      <c r="HX87">
        <f>IF(AND(HX$4=1,HX37=0),1,0)</f>
        <v/>
      </c>
      <c r="HY87">
        <f>IF(AND(HY$4=1,HY37=0),1,0)</f>
        <v/>
      </c>
      <c r="HZ87">
        <f>IF(AND(HZ$4=1,HZ37=0),1,0)</f>
        <v/>
      </c>
      <c r="IA87">
        <f>IF(AND(IA$4=1,IA37=0),1,0)</f>
        <v/>
      </c>
      <c r="IB87">
        <f>IF(AND(IB$4=1,IB37=0),1,0)</f>
        <v/>
      </c>
      <c r="IC87">
        <f>IF(AND(IC$4=1,IC37=0),1,0)</f>
        <v/>
      </c>
      <c r="ID87">
        <f>IF(AND(ID$4=1,ID37=0),1,0)</f>
        <v/>
      </c>
      <c r="IE87">
        <f>IF(AND(IE$4=1,IE37=0),1,0)</f>
        <v/>
      </c>
      <c r="IF87">
        <f>IF(AND(IF$4=1,IF37=0),1,0)</f>
        <v/>
      </c>
      <c r="IG87">
        <f>IF(AND(IG$4=1,IG37=0),1,0)</f>
        <v/>
      </c>
      <c r="IH87">
        <f>IF(AND(IH$4=1,IH37=0),1,0)</f>
        <v/>
      </c>
      <c r="II87">
        <f>IF(AND(II$4=1,II37=0),1,0)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c r="ER88">
        <f>IF(AND(ER$4=1,ER38=0),1,0)</f>
        <v/>
      </c>
      <c r="ES88">
        <f>IF(AND(ES$4=1,ES38=0),1,0)</f>
        <v/>
      </c>
      <c r="ET88">
        <f>IF(AND(ET$4=1,ET38=0),1,0)</f>
        <v/>
      </c>
      <c r="EU88">
        <f>IF(AND(EU$4=1,EU38=0),1,0)</f>
        <v/>
      </c>
      <c r="EV88">
        <f>IF(AND(EV$4=1,EV38=0),1,0)</f>
        <v/>
      </c>
      <c r="EW88">
        <f>IF(AND(EW$4=1,EW38=0),1,0)</f>
        <v/>
      </c>
      <c r="EX88">
        <f>IF(AND(EX$4=1,EX38=0),1,0)</f>
        <v/>
      </c>
      <c r="EY88">
        <f>IF(AND(EY$4=1,EY38=0),1,0)</f>
        <v/>
      </c>
      <c r="EZ88">
        <f>IF(AND(EZ$4=1,EZ38=0),1,0)</f>
        <v/>
      </c>
      <c r="FA88">
        <f>IF(AND(FA$4=1,FA38=0),1,0)</f>
        <v/>
      </c>
      <c r="FB88">
        <f>IF(AND(FB$4=1,FB38=0),1,0)</f>
        <v/>
      </c>
      <c r="FC88">
        <f>IF(AND(FC$4=1,FC38=0),1,0)</f>
        <v/>
      </c>
      <c r="FD88">
        <f>IF(AND(FD$4=1,FD38=0),1,0)</f>
        <v/>
      </c>
      <c r="FE88">
        <f>IF(AND(FE$4=1,FE38=0),1,0)</f>
        <v/>
      </c>
      <c r="FF88">
        <f>IF(AND(FF$4=1,FF38=0),1,0)</f>
        <v/>
      </c>
      <c r="FG88">
        <f>IF(AND(FG$4=1,FG38=0),1,0)</f>
        <v/>
      </c>
      <c r="FH88">
        <f>IF(AND(FH$4=1,FH38=0),1,0)</f>
        <v/>
      </c>
      <c r="FI88">
        <f>IF(AND(FI$4=1,FI38=0),1,0)</f>
        <v/>
      </c>
      <c r="FJ88">
        <f>IF(AND(FJ$4=1,FJ38=0),1,0)</f>
        <v/>
      </c>
      <c r="FK88">
        <f>IF(AND(FK$4=1,FK38=0),1,0)</f>
        <v/>
      </c>
      <c r="FL88">
        <f>IF(AND(FL$4=1,FL38=0),1,0)</f>
        <v/>
      </c>
      <c r="FM88">
        <f>IF(AND(FM$4=1,FM38=0),1,0)</f>
        <v/>
      </c>
      <c r="FN88">
        <f>IF(AND(FN$4=1,FN38=0),1,0)</f>
        <v/>
      </c>
      <c r="FO88">
        <f>IF(AND(FO$4=1,FO38=0),1,0)</f>
        <v/>
      </c>
      <c r="FP88">
        <f>IF(AND(FP$4=1,FP38=0),1,0)</f>
        <v/>
      </c>
      <c r="FQ88">
        <f>IF(AND(FQ$4=1,FQ38=0),1,0)</f>
        <v/>
      </c>
      <c r="FR88">
        <f>IF(AND(FR$4=1,FR38=0),1,0)</f>
        <v/>
      </c>
      <c r="FS88">
        <f>IF(AND(FS$4=1,FS38=0),1,0)</f>
        <v/>
      </c>
      <c r="FT88">
        <f>IF(AND(FT$4=1,FT38=0),1,0)</f>
        <v/>
      </c>
      <c r="FU88">
        <f>IF(AND(FU$4=1,FU38=0),1,0)</f>
        <v/>
      </c>
      <c r="FV88">
        <f>IF(AND(FV$4=1,FV38=0),1,0)</f>
        <v/>
      </c>
      <c r="FW88">
        <f>IF(AND(FW$4=1,FW38=0),1,0)</f>
        <v/>
      </c>
      <c r="FX88">
        <f>IF(AND(FX$4=1,FX38=0),1,0)</f>
        <v/>
      </c>
      <c r="FY88">
        <f>IF(AND(FY$4=1,FY38=0),1,0)</f>
        <v/>
      </c>
      <c r="FZ88">
        <f>IF(AND(FZ$4=1,FZ38=0),1,0)</f>
        <v/>
      </c>
      <c r="GA88">
        <f>IF(AND(GA$4=1,GA38=0),1,0)</f>
        <v/>
      </c>
      <c r="GB88">
        <f>IF(AND(GB$4=1,GB38=0),1,0)</f>
        <v/>
      </c>
      <c r="GC88">
        <f>IF(AND(GC$4=1,GC38=0),1,0)</f>
        <v/>
      </c>
      <c r="GD88">
        <f>IF(AND(GD$4=1,GD38=0),1,0)</f>
        <v/>
      </c>
      <c r="GE88">
        <f>IF(AND(GE$4=1,GE38=0),1,0)</f>
        <v/>
      </c>
      <c r="GF88">
        <f>IF(AND(GF$4=1,GF38=0),1,0)</f>
        <v/>
      </c>
      <c r="GG88">
        <f>IF(AND(GG$4=1,GG38=0),1,0)</f>
        <v/>
      </c>
      <c r="GH88">
        <f>IF(AND(GH$4=1,GH38=0),1,0)</f>
        <v/>
      </c>
      <c r="GI88">
        <f>IF(AND(GI$4=1,GI38=0),1,0)</f>
        <v/>
      </c>
      <c r="GJ88">
        <f>IF(AND(GJ$4=1,GJ38=0),1,0)</f>
        <v/>
      </c>
      <c r="GK88">
        <f>IF(AND(GK$4=1,GK38=0),1,0)</f>
        <v/>
      </c>
      <c r="GL88">
        <f>IF(AND(GL$4=1,GL38=0),1,0)</f>
        <v/>
      </c>
      <c r="GM88">
        <f>IF(AND(GM$4=1,GM38=0),1,0)</f>
        <v/>
      </c>
      <c r="GN88">
        <f>IF(AND(GN$4=1,GN38=0),1,0)</f>
        <v/>
      </c>
      <c r="GO88">
        <f>IF(AND(GO$4=1,GO38=0),1,0)</f>
        <v/>
      </c>
      <c r="GP88">
        <f>IF(AND(GP$4=1,GP38=0),1,0)</f>
        <v/>
      </c>
      <c r="GQ88">
        <f>IF(AND(GQ$4=1,GQ38=0),1,0)</f>
        <v/>
      </c>
      <c r="GR88">
        <f>IF(AND(GR$4=1,GR38=0),1,0)</f>
        <v/>
      </c>
      <c r="GS88">
        <f>IF(AND(GS$4=1,GS38=0),1,0)</f>
        <v/>
      </c>
      <c r="GT88">
        <f>IF(AND(GT$4=1,GT38=0),1,0)</f>
        <v/>
      </c>
      <c r="GU88">
        <f>IF(AND(GU$4=1,GU38=0),1,0)</f>
        <v/>
      </c>
      <c r="GV88">
        <f>IF(AND(GV$4=1,GV38=0),1,0)</f>
        <v/>
      </c>
      <c r="GW88">
        <f>IF(AND(GW$4=1,GW38=0),1,0)</f>
        <v/>
      </c>
      <c r="GX88">
        <f>IF(AND(GX$4=1,GX38=0),1,0)</f>
        <v/>
      </c>
      <c r="GY88">
        <f>IF(AND(GY$4=1,GY38=0),1,0)</f>
        <v/>
      </c>
      <c r="GZ88">
        <f>IF(AND(GZ$4=1,GZ38=0),1,0)</f>
        <v/>
      </c>
      <c r="HA88">
        <f>IF(AND(HA$4=1,HA38=0),1,0)</f>
        <v/>
      </c>
      <c r="HB88">
        <f>IF(AND(HB$4=1,HB38=0),1,0)</f>
        <v/>
      </c>
      <c r="HC88">
        <f>IF(AND(HC$4=1,HC38=0),1,0)</f>
        <v/>
      </c>
      <c r="HD88">
        <f>IF(AND(HD$4=1,HD38=0),1,0)</f>
        <v/>
      </c>
      <c r="HE88">
        <f>IF(AND(HE$4=1,HE38=0),1,0)</f>
        <v/>
      </c>
      <c r="HF88">
        <f>IF(AND(HF$4=1,HF38=0),1,0)</f>
        <v/>
      </c>
      <c r="HG88">
        <f>IF(AND(HG$4=1,HG38=0),1,0)</f>
        <v/>
      </c>
      <c r="HH88">
        <f>IF(AND(HH$4=1,HH38=0),1,0)</f>
        <v/>
      </c>
      <c r="HI88">
        <f>IF(AND(HI$4=1,HI38=0),1,0)</f>
        <v/>
      </c>
      <c r="HJ88">
        <f>IF(AND(HJ$4=1,HJ38=0),1,0)</f>
        <v/>
      </c>
      <c r="HK88">
        <f>IF(AND(HK$4=1,HK38=0),1,0)</f>
        <v/>
      </c>
      <c r="HL88">
        <f>IF(AND(HL$4=1,HL38=0),1,0)</f>
        <v/>
      </c>
      <c r="HM88">
        <f>IF(AND(HM$4=1,HM38=0),1,0)</f>
        <v/>
      </c>
      <c r="HN88">
        <f>IF(AND(HN$4=1,HN38=0),1,0)</f>
        <v/>
      </c>
      <c r="HO88">
        <f>IF(AND(HO$4=1,HO38=0),1,0)</f>
        <v/>
      </c>
      <c r="HP88">
        <f>IF(AND(HP$4=1,HP38=0),1,0)</f>
        <v/>
      </c>
      <c r="HQ88">
        <f>IF(AND(HQ$4=1,HQ38=0),1,0)</f>
        <v/>
      </c>
      <c r="HR88">
        <f>IF(AND(HR$4=1,HR38=0),1,0)</f>
        <v/>
      </c>
      <c r="HS88">
        <f>IF(AND(HS$4=1,HS38=0),1,0)</f>
        <v/>
      </c>
      <c r="HT88">
        <f>IF(AND(HT$4=1,HT38=0),1,0)</f>
        <v/>
      </c>
      <c r="HU88">
        <f>IF(AND(HU$4=1,HU38=0),1,0)</f>
        <v/>
      </c>
      <c r="HV88">
        <f>IF(AND(HV$4=1,HV38=0),1,0)</f>
        <v/>
      </c>
      <c r="HW88">
        <f>IF(AND(HW$4=1,HW38=0),1,0)</f>
        <v/>
      </c>
      <c r="HX88">
        <f>IF(AND(HX$4=1,HX38=0),1,0)</f>
        <v/>
      </c>
      <c r="HY88">
        <f>IF(AND(HY$4=1,HY38=0),1,0)</f>
        <v/>
      </c>
      <c r="HZ88">
        <f>IF(AND(HZ$4=1,HZ38=0),1,0)</f>
        <v/>
      </c>
      <c r="IA88">
        <f>IF(AND(IA$4=1,IA38=0),1,0)</f>
        <v/>
      </c>
      <c r="IB88">
        <f>IF(AND(IB$4=1,IB38=0),1,0)</f>
        <v/>
      </c>
      <c r="IC88">
        <f>IF(AND(IC$4=1,IC38=0),1,0)</f>
        <v/>
      </c>
      <c r="ID88">
        <f>IF(AND(ID$4=1,ID38=0),1,0)</f>
        <v/>
      </c>
      <c r="IE88">
        <f>IF(AND(IE$4=1,IE38=0),1,0)</f>
        <v/>
      </c>
      <c r="IF88">
        <f>IF(AND(IF$4=1,IF38=0),1,0)</f>
        <v/>
      </c>
      <c r="IG88">
        <f>IF(AND(IG$4=1,IG38=0),1,0)</f>
        <v/>
      </c>
      <c r="IH88">
        <f>IF(AND(IH$4=1,IH38=0),1,0)</f>
        <v/>
      </c>
      <c r="II88">
        <f>IF(AND(II$4=1,II38=0),1,0)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c r="ER89">
        <f>IF(AND(ER$4=1,ER39=0),1,0)</f>
        <v/>
      </c>
      <c r="ES89">
        <f>IF(AND(ES$4=1,ES39=0),1,0)</f>
        <v/>
      </c>
      <c r="ET89">
        <f>IF(AND(ET$4=1,ET39=0),1,0)</f>
        <v/>
      </c>
      <c r="EU89">
        <f>IF(AND(EU$4=1,EU39=0),1,0)</f>
        <v/>
      </c>
      <c r="EV89">
        <f>IF(AND(EV$4=1,EV39=0),1,0)</f>
        <v/>
      </c>
      <c r="EW89">
        <f>IF(AND(EW$4=1,EW39=0),1,0)</f>
        <v/>
      </c>
      <c r="EX89">
        <f>IF(AND(EX$4=1,EX39=0),1,0)</f>
        <v/>
      </c>
      <c r="EY89">
        <f>IF(AND(EY$4=1,EY39=0),1,0)</f>
        <v/>
      </c>
      <c r="EZ89">
        <f>IF(AND(EZ$4=1,EZ39=0),1,0)</f>
        <v/>
      </c>
      <c r="FA89">
        <f>IF(AND(FA$4=1,FA39=0),1,0)</f>
        <v/>
      </c>
      <c r="FB89">
        <f>IF(AND(FB$4=1,FB39=0),1,0)</f>
        <v/>
      </c>
      <c r="FC89">
        <f>IF(AND(FC$4=1,FC39=0),1,0)</f>
        <v/>
      </c>
      <c r="FD89">
        <f>IF(AND(FD$4=1,FD39=0),1,0)</f>
        <v/>
      </c>
      <c r="FE89">
        <f>IF(AND(FE$4=1,FE39=0),1,0)</f>
        <v/>
      </c>
      <c r="FF89">
        <f>IF(AND(FF$4=1,FF39=0),1,0)</f>
        <v/>
      </c>
      <c r="FG89">
        <f>IF(AND(FG$4=1,FG39=0),1,0)</f>
        <v/>
      </c>
      <c r="FH89">
        <f>IF(AND(FH$4=1,FH39=0),1,0)</f>
        <v/>
      </c>
      <c r="FI89">
        <f>IF(AND(FI$4=1,FI39=0),1,0)</f>
        <v/>
      </c>
      <c r="FJ89">
        <f>IF(AND(FJ$4=1,FJ39=0),1,0)</f>
        <v/>
      </c>
      <c r="FK89">
        <f>IF(AND(FK$4=1,FK39=0),1,0)</f>
        <v/>
      </c>
      <c r="FL89">
        <f>IF(AND(FL$4=1,FL39=0),1,0)</f>
        <v/>
      </c>
      <c r="FM89">
        <f>IF(AND(FM$4=1,FM39=0),1,0)</f>
        <v/>
      </c>
      <c r="FN89">
        <f>IF(AND(FN$4=1,FN39=0),1,0)</f>
        <v/>
      </c>
      <c r="FO89">
        <f>IF(AND(FO$4=1,FO39=0),1,0)</f>
        <v/>
      </c>
      <c r="FP89">
        <f>IF(AND(FP$4=1,FP39=0),1,0)</f>
        <v/>
      </c>
      <c r="FQ89">
        <f>IF(AND(FQ$4=1,FQ39=0),1,0)</f>
        <v/>
      </c>
      <c r="FR89">
        <f>IF(AND(FR$4=1,FR39=0),1,0)</f>
        <v/>
      </c>
      <c r="FS89">
        <f>IF(AND(FS$4=1,FS39=0),1,0)</f>
        <v/>
      </c>
      <c r="FT89">
        <f>IF(AND(FT$4=1,FT39=0),1,0)</f>
        <v/>
      </c>
      <c r="FU89">
        <f>IF(AND(FU$4=1,FU39=0),1,0)</f>
        <v/>
      </c>
      <c r="FV89">
        <f>IF(AND(FV$4=1,FV39=0),1,0)</f>
        <v/>
      </c>
      <c r="FW89">
        <f>IF(AND(FW$4=1,FW39=0),1,0)</f>
        <v/>
      </c>
      <c r="FX89">
        <f>IF(AND(FX$4=1,FX39=0),1,0)</f>
        <v/>
      </c>
      <c r="FY89">
        <f>IF(AND(FY$4=1,FY39=0),1,0)</f>
        <v/>
      </c>
      <c r="FZ89">
        <f>IF(AND(FZ$4=1,FZ39=0),1,0)</f>
        <v/>
      </c>
      <c r="GA89">
        <f>IF(AND(GA$4=1,GA39=0),1,0)</f>
        <v/>
      </c>
      <c r="GB89">
        <f>IF(AND(GB$4=1,GB39=0),1,0)</f>
        <v/>
      </c>
      <c r="GC89">
        <f>IF(AND(GC$4=1,GC39=0),1,0)</f>
        <v/>
      </c>
      <c r="GD89">
        <f>IF(AND(GD$4=1,GD39=0),1,0)</f>
        <v/>
      </c>
      <c r="GE89">
        <f>IF(AND(GE$4=1,GE39=0),1,0)</f>
        <v/>
      </c>
      <c r="GF89">
        <f>IF(AND(GF$4=1,GF39=0),1,0)</f>
        <v/>
      </c>
      <c r="GG89">
        <f>IF(AND(GG$4=1,GG39=0),1,0)</f>
        <v/>
      </c>
      <c r="GH89">
        <f>IF(AND(GH$4=1,GH39=0),1,0)</f>
        <v/>
      </c>
      <c r="GI89">
        <f>IF(AND(GI$4=1,GI39=0),1,0)</f>
        <v/>
      </c>
      <c r="GJ89">
        <f>IF(AND(GJ$4=1,GJ39=0),1,0)</f>
        <v/>
      </c>
      <c r="GK89">
        <f>IF(AND(GK$4=1,GK39=0),1,0)</f>
        <v/>
      </c>
      <c r="GL89">
        <f>IF(AND(GL$4=1,GL39=0),1,0)</f>
        <v/>
      </c>
      <c r="GM89">
        <f>IF(AND(GM$4=1,GM39=0),1,0)</f>
        <v/>
      </c>
      <c r="GN89">
        <f>IF(AND(GN$4=1,GN39=0),1,0)</f>
        <v/>
      </c>
      <c r="GO89">
        <f>IF(AND(GO$4=1,GO39=0),1,0)</f>
        <v/>
      </c>
      <c r="GP89">
        <f>IF(AND(GP$4=1,GP39=0),1,0)</f>
        <v/>
      </c>
      <c r="GQ89">
        <f>IF(AND(GQ$4=1,GQ39=0),1,0)</f>
        <v/>
      </c>
      <c r="GR89">
        <f>IF(AND(GR$4=1,GR39=0),1,0)</f>
        <v/>
      </c>
      <c r="GS89">
        <f>IF(AND(GS$4=1,GS39=0),1,0)</f>
        <v/>
      </c>
      <c r="GT89">
        <f>IF(AND(GT$4=1,GT39=0),1,0)</f>
        <v/>
      </c>
      <c r="GU89">
        <f>IF(AND(GU$4=1,GU39=0),1,0)</f>
        <v/>
      </c>
      <c r="GV89">
        <f>IF(AND(GV$4=1,GV39=0),1,0)</f>
        <v/>
      </c>
      <c r="GW89">
        <f>IF(AND(GW$4=1,GW39=0),1,0)</f>
        <v/>
      </c>
      <c r="GX89">
        <f>IF(AND(GX$4=1,GX39=0),1,0)</f>
        <v/>
      </c>
      <c r="GY89">
        <f>IF(AND(GY$4=1,GY39=0),1,0)</f>
        <v/>
      </c>
      <c r="GZ89">
        <f>IF(AND(GZ$4=1,GZ39=0),1,0)</f>
        <v/>
      </c>
      <c r="HA89">
        <f>IF(AND(HA$4=1,HA39=0),1,0)</f>
        <v/>
      </c>
      <c r="HB89">
        <f>IF(AND(HB$4=1,HB39=0),1,0)</f>
        <v/>
      </c>
      <c r="HC89">
        <f>IF(AND(HC$4=1,HC39=0),1,0)</f>
        <v/>
      </c>
      <c r="HD89">
        <f>IF(AND(HD$4=1,HD39=0),1,0)</f>
        <v/>
      </c>
      <c r="HE89">
        <f>IF(AND(HE$4=1,HE39=0),1,0)</f>
        <v/>
      </c>
      <c r="HF89">
        <f>IF(AND(HF$4=1,HF39=0),1,0)</f>
        <v/>
      </c>
      <c r="HG89">
        <f>IF(AND(HG$4=1,HG39=0),1,0)</f>
        <v/>
      </c>
      <c r="HH89">
        <f>IF(AND(HH$4=1,HH39=0),1,0)</f>
        <v/>
      </c>
      <c r="HI89">
        <f>IF(AND(HI$4=1,HI39=0),1,0)</f>
        <v/>
      </c>
      <c r="HJ89">
        <f>IF(AND(HJ$4=1,HJ39=0),1,0)</f>
        <v/>
      </c>
      <c r="HK89">
        <f>IF(AND(HK$4=1,HK39=0),1,0)</f>
        <v/>
      </c>
      <c r="HL89">
        <f>IF(AND(HL$4=1,HL39=0),1,0)</f>
        <v/>
      </c>
      <c r="HM89">
        <f>IF(AND(HM$4=1,HM39=0),1,0)</f>
        <v/>
      </c>
      <c r="HN89">
        <f>IF(AND(HN$4=1,HN39=0),1,0)</f>
        <v/>
      </c>
      <c r="HO89">
        <f>IF(AND(HO$4=1,HO39=0),1,0)</f>
        <v/>
      </c>
      <c r="HP89">
        <f>IF(AND(HP$4=1,HP39=0),1,0)</f>
        <v/>
      </c>
      <c r="HQ89">
        <f>IF(AND(HQ$4=1,HQ39=0),1,0)</f>
        <v/>
      </c>
      <c r="HR89">
        <f>IF(AND(HR$4=1,HR39=0),1,0)</f>
        <v/>
      </c>
      <c r="HS89">
        <f>IF(AND(HS$4=1,HS39=0),1,0)</f>
        <v/>
      </c>
      <c r="HT89">
        <f>IF(AND(HT$4=1,HT39=0),1,0)</f>
        <v/>
      </c>
      <c r="HU89">
        <f>IF(AND(HU$4=1,HU39=0),1,0)</f>
        <v/>
      </c>
      <c r="HV89">
        <f>IF(AND(HV$4=1,HV39=0),1,0)</f>
        <v/>
      </c>
      <c r="HW89">
        <f>IF(AND(HW$4=1,HW39=0),1,0)</f>
        <v/>
      </c>
      <c r="HX89">
        <f>IF(AND(HX$4=1,HX39=0),1,0)</f>
        <v/>
      </c>
      <c r="HY89">
        <f>IF(AND(HY$4=1,HY39=0),1,0)</f>
        <v/>
      </c>
      <c r="HZ89">
        <f>IF(AND(HZ$4=1,HZ39=0),1,0)</f>
        <v/>
      </c>
      <c r="IA89">
        <f>IF(AND(IA$4=1,IA39=0),1,0)</f>
        <v/>
      </c>
      <c r="IB89">
        <f>IF(AND(IB$4=1,IB39=0),1,0)</f>
        <v/>
      </c>
      <c r="IC89">
        <f>IF(AND(IC$4=1,IC39=0),1,0)</f>
        <v/>
      </c>
      <c r="ID89">
        <f>IF(AND(ID$4=1,ID39=0),1,0)</f>
        <v/>
      </c>
      <c r="IE89">
        <f>IF(AND(IE$4=1,IE39=0),1,0)</f>
        <v/>
      </c>
      <c r="IF89">
        <f>IF(AND(IF$4=1,IF39=0),1,0)</f>
        <v/>
      </c>
      <c r="IG89">
        <f>IF(AND(IG$4=1,IG39=0),1,0)</f>
        <v/>
      </c>
      <c r="IH89">
        <f>IF(AND(IH$4=1,IH39=0),1,0)</f>
        <v/>
      </c>
      <c r="II89">
        <f>IF(AND(II$4=1,II39=0),1,0)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c r="ER90">
        <f>IF(AND(ER$4=1,ER40=0),1,0)</f>
        <v/>
      </c>
      <c r="ES90">
        <f>IF(AND(ES$4=1,ES40=0),1,0)</f>
        <v/>
      </c>
      <c r="ET90">
        <f>IF(AND(ET$4=1,ET40=0),1,0)</f>
        <v/>
      </c>
      <c r="EU90">
        <f>IF(AND(EU$4=1,EU40=0),1,0)</f>
        <v/>
      </c>
      <c r="EV90">
        <f>IF(AND(EV$4=1,EV40=0),1,0)</f>
        <v/>
      </c>
      <c r="EW90">
        <f>IF(AND(EW$4=1,EW40=0),1,0)</f>
        <v/>
      </c>
      <c r="EX90">
        <f>IF(AND(EX$4=1,EX40=0),1,0)</f>
        <v/>
      </c>
      <c r="EY90">
        <f>IF(AND(EY$4=1,EY40=0),1,0)</f>
        <v/>
      </c>
      <c r="EZ90">
        <f>IF(AND(EZ$4=1,EZ40=0),1,0)</f>
        <v/>
      </c>
      <c r="FA90">
        <f>IF(AND(FA$4=1,FA40=0),1,0)</f>
        <v/>
      </c>
      <c r="FB90">
        <f>IF(AND(FB$4=1,FB40=0),1,0)</f>
        <v/>
      </c>
      <c r="FC90">
        <f>IF(AND(FC$4=1,FC40=0),1,0)</f>
        <v/>
      </c>
      <c r="FD90">
        <f>IF(AND(FD$4=1,FD40=0),1,0)</f>
        <v/>
      </c>
      <c r="FE90">
        <f>IF(AND(FE$4=1,FE40=0),1,0)</f>
        <v/>
      </c>
      <c r="FF90">
        <f>IF(AND(FF$4=1,FF40=0),1,0)</f>
        <v/>
      </c>
      <c r="FG90">
        <f>IF(AND(FG$4=1,FG40=0),1,0)</f>
        <v/>
      </c>
      <c r="FH90">
        <f>IF(AND(FH$4=1,FH40=0),1,0)</f>
        <v/>
      </c>
      <c r="FI90">
        <f>IF(AND(FI$4=1,FI40=0),1,0)</f>
        <v/>
      </c>
      <c r="FJ90">
        <f>IF(AND(FJ$4=1,FJ40=0),1,0)</f>
        <v/>
      </c>
      <c r="FK90">
        <f>IF(AND(FK$4=1,FK40=0),1,0)</f>
        <v/>
      </c>
      <c r="FL90">
        <f>IF(AND(FL$4=1,FL40=0),1,0)</f>
        <v/>
      </c>
      <c r="FM90">
        <f>IF(AND(FM$4=1,FM40=0),1,0)</f>
        <v/>
      </c>
      <c r="FN90">
        <f>IF(AND(FN$4=1,FN40=0),1,0)</f>
        <v/>
      </c>
      <c r="FO90">
        <f>IF(AND(FO$4=1,FO40=0),1,0)</f>
        <v/>
      </c>
      <c r="FP90">
        <f>IF(AND(FP$4=1,FP40=0),1,0)</f>
        <v/>
      </c>
      <c r="FQ90">
        <f>IF(AND(FQ$4=1,FQ40=0),1,0)</f>
        <v/>
      </c>
      <c r="FR90">
        <f>IF(AND(FR$4=1,FR40=0),1,0)</f>
        <v/>
      </c>
      <c r="FS90">
        <f>IF(AND(FS$4=1,FS40=0),1,0)</f>
        <v/>
      </c>
      <c r="FT90">
        <f>IF(AND(FT$4=1,FT40=0),1,0)</f>
        <v/>
      </c>
      <c r="FU90">
        <f>IF(AND(FU$4=1,FU40=0),1,0)</f>
        <v/>
      </c>
      <c r="FV90">
        <f>IF(AND(FV$4=1,FV40=0),1,0)</f>
        <v/>
      </c>
      <c r="FW90">
        <f>IF(AND(FW$4=1,FW40=0),1,0)</f>
        <v/>
      </c>
      <c r="FX90">
        <f>IF(AND(FX$4=1,FX40=0),1,0)</f>
        <v/>
      </c>
      <c r="FY90">
        <f>IF(AND(FY$4=1,FY40=0),1,0)</f>
        <v/>
      </c>
      <c r="FZ90">
        <f>IF(AND(FZ$4=1,FZ40=0),1,0)</f>
        <v/>
      </c>
      <c r="GA90">
        <f>IF(AND(GA$4=1,GA40=0),1,0)</f>
        <v/>
      </c>
      <c r="GB90">
        <f>IF(AND(GB$4=1,GB40=0),1,0)</f>
        <v/>
      </c>
      <c r="GC90">
        <f>IF(AND(GC$4=1,GC40=0),1,0)</f>
        <v/>
      </c>
      <c r="GD90">
        <f>IF(AND(GD$4=1,GD40=0),1,0)</f>
        <v/>
      </c>
      <c r="GE90">
        <f>IF(AND(GE$4=1,GE40=0),1,0)</f>
        <v/>
      </c>
      <c r="GF90">
        <f>IF(AND(GF$4=1,GF40=0),1,0)</f>
        <v/>
      </c>
      <c r="GG90">
        <f>IF(AND(GG$4=1,GG40=0),1,0)</f>
        <v/>
      </c>
      <c r="GH90">
        <f>IF(AND(GH$4=1,GH40=0),1,0)</f>
        <v/>
      </c>
      <c r="GI90">
        <f>IF(AND(GI$4=1,GI40=0),1,0)</f>
        <v/>
      </c>
      <c r="GJ90">
        <f>IF(AND(GJ$4=1,GJ40=0),1,0)</f>
        <v/>
      </c>
      <c r="GK90">
        <f>IF(AND(GK$4=1,GK40=0),1,0)</f>
        <v/>
      </c>
      <c r="GL90">
        <f>IF(AND(GL$4=1,GL40=0),1,0)</f>
        <v/>
      </c>
      <c r="GM90">
        <f>IF(AND(GM$4=1,GM40=0),1,0)</f>
        <v/>
      </c>
      <c r="GN90">
        <f>IF(AND(GN$4=1,GN40=0),1,0)</f>
        <v/>
      </c>
      <c r="GO90">
        <f>IF(AND(GO$4=1,GO40=0),1,0)</f>
        <v/>
      </c>
      <c r="GP90">
        <f>IF(AND(GP$4=1,GP40=0),1,0)</f>
        <v/>
      </c>
      <c r="GQ90">
        <f>IF(AND(GQ$4=1,GQ40=0),1,0)</f>
        <v/>
      </c>
      <c r="GR90">
        <f>IF(AND(GR$4=1,GR40=0),1,0)</f>
        <v/>
      </c>
      <c r="GS90">
        <f>IF(AND(GS$4=1,GS40=0),1,0)</f>
        <v/>
      </c>
      <c r="GT90">
        <f>IF(AND(GT$4=1,GT40=0),1,0)</f>
        <v/>
      </c>
      <c r="GU90">
        <f>IF(AND(GU$4=1,GU40=0),1,0)</f>
        <v/>
      </c>
      <c r="GV90">
        <f>IF(AND(GV$4=1,GV40=0),1,0)</f>
        <v/>
      </c>
      <c r="GW90">
        <f>IF(AND(GW$4=1,GW40=0),1,0)</f>
        <v/>
      </c>
      <c r="GX90">
        <f>IF(AND(GX$4=1,GX40=0),1,0)</f>
        <v/>
      </c>
      <c r="GY90">
        <f>IF(AND(GY$4=1,GY40=0),1,0)</f>
        <v/>
      </c>
      <c r="GZ90">
        <f>IF(AND(GZ$4=1,GZ40=0),1,0)</f>
        <v/>
      </c>
      <c r="HA90">
        <f>IF(AND(HA$4=1,HA40=0),1,0)</f>
        <v/>
      </c>
      <c r="HB90">
        <f>IF(AND(HB$4=1,HB40=0),1,0)</f>
        <v/>
      </c>
      <c r="HC90">
        <f>IF(AND(HC$4=1,HC40=0),1,0)</f>
        <v/>
      </c>
      <c r="HD90">
        <f>IF(AND(HD$4=1,HD40=0),1,0)</f>
        <v/>
      </c>
      <c r="HE90">
        <f>IF(AND(HE$4=1,HE40=0),1,0)</f>
        <v/>
      </c>
      <c r="HF90">
        <f>IF(AND(HF$4=1,HF40=0),1,0)</f>
        <v/>
      </c>
      <c r="HG90">
        <f>IF(AND(HG$4=1,HG40=0),1,0)</f>
        <v/>
      </c>
      <c r="HH90">
        <f>IF(AND(HH$4=1,HH40=0),1,0)</f>
        <v/>
      </c>
      <c r="HI90">
        <f>IF(AND(HI$4=1,HI40=0),1,0)</f>
        <v/>
      </c>
      <c r="HJ90">
        <f>IF(AND(HJ$4=1,HJ40=0),1,0)</f>
        <v/>
      </c>
      <c r="HK90">
        <f>IF(AND(HK$4=1,HK40=0),1,0)</f>
        <v/>
      </c>
      <c r="HL90">
        <f>IF(AND(HL$4=1,HL40=0),1,0)</f>
        <v/>
      </c>
      <c r="HM90">
        <f>IF(AND(HM$4=1,HM40=0),1,0)</f>
        <v/>
      </c>
      <c r="HN90">
        <f>IF(AND(HN$4=1,HN40=0),1,0)</f>
        <v/>
      </c>
      <c r="HO90">
        <f>IF(AND(HO$4=1,HO40=0),1,0)</f>
        <v/>
      </c>
      <c r="HP90">
        <f>IF(AND(HP$4=1,HP40=0),1,0)</f>
        <v/>
      </c>
      <c r="HQ90">
        <f>IF(AND(HQ$4=1,HQ40=0),1,0)</f>
        <v/>
      </c>
      <c r="HR90">
        <f>IF(AND(HR$4=1,HR40=0),1,0)</f>
        <v/>
      </c>
      <c r="HS90">
        <f>IF(AND(HS$4=1,HS40=0),1,0)</f>
        <v/>
      </c>
      <c r="HT90">
        <f>IF(AND(HT$4=1,HT40=0),1,0)</f>
        <v/>
      </c>
      <c r="HU90">
        <f>IF(AND(HU$4=1,HU40=0),1,0)</f>
        <v/>
      </c>
      <c r="HV90">
        <f>IF(AND(HV$4=1,HV40=0),1,0)</f>
        <v/>
      </c>
      <c r="HW90">
        <f>IF(AND(HW$4=1,HW40=0),1,0)</f>
        <v/>
      </c>
      <c r="HX90">
        <f>IF(AND(HX$4=1,HX40=0),1,0)</f>
        <v/>
      </c>
      <c r="HY90">
        <f>IF(AND(HY$4=1,HY40=0),1,0)</f>
        <v/>
      </c>
      <c r="HZ90">
        <f>IF(AND(HZ$4=1,HZ40=0),1,0)</f>
        <v/>
      </c>
      <c r="IA90">
        <f>IF(AND(IA$4=1,IA40=0),1,0)</f>
        <v/>
      </c>
      <c r="IB90">
        <f>IF(AND(IB$4=1,IB40=0),1,0)</f>
        <v/>
      </c>
      <c r="IC90">
        <f>IF(AND(IC$4=1,IC40=0),1,0)</f>
        <v/>
      </c>
      <c r="ID90">
        <f>IF(AND(ID$4=1,ID40=0),1,0)</f>
        <v/>
      </c>
      <c r="IE90">
        <f>IF(AND(IE$4=1,IE40=0),1,0)</f>
        <v/>
      </c>
      <c r="IF90">
        <f>IF(AND(IF$4=1,IF40=0),1,0)</f>
        <v/>
      </c>
      <c r="IG90">
        <f>IF(AND(IG$4=1,IG40=0),1,0)</f>
        <v/>
      </c>
      <c r="IH90">
        <f>IF(AND(IH$4=1,IH40=0),1,0)</f>
        <v/>
      </c>
      <c r="II90">
        <f>IF(AND(II$4=1,II40=0),1,0)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c r="ER91">
        <f>IF(AND(ER$4=1,ER41=0),1,0)</f>
        <v/>
      </c>
      <c r="ES91">
        <f>IF(AND(ES$4=1,ES41=0),1,0)</f>
        <v/>
      </c>
      <c r="ET91">
        <f>IF(AND(ET$4=1,ET41=0),1,0)</f>
        <v/>
      </c>
      <c r="EU91">
        <f>IF(AND(EU$4=1,EU41=0),1,0)</f>
        <v/>
      </c>
      <c r="EV91">
        <f>IF(AND(EV$4=1,EV41=0),1,0)</f>
        <v/>
      </c>
      <c r="EW91">
        <f>IF(AND(EW$4=1,EW41=0),1,0)</f>
        <v/>
      </c>
      <c r="EX91">
        <f>IF(AND(EX$4=1,EX41=0),1,0)</f>
        <v/>
      </c>
      <c r="EY91">
        <f>IF(AND(EY$4=1,EY41=0),1,0)</f>
        <v/>
      </c>
      <c r="EZ91">
        <f>IF(AND(EZ$4=1,EZ41=0),1,0)</f>
        <v/>
      </c>
      <c r="FA91">
        <f>IF(AND(FA$4=1,FA41=0),1,0)</f>
        <v/>
      </c>
      <c r="FB91">
        <f>IF(AND(FB$4=1,FB41=0),1,0)</f>
        <v/>
      </c>
      <c r="FC91">
        <f>IF(AND(FC$4=1,FC41=0),1,0)</f>
        <v/>
      </c>
      <c r="FD91">
        <f>IF(AND(FD$4=1,FD41=0),1,0)</f>
        <v/>
      </c>
      <c r="FE91">
        <f>IF(AND(FE$4=1,FE41=0),1,0)</f>
        <v/>
      </c>
      <c r="FF91">
        <f>IF(AND(FF$4=1,FF41=0),1,0)</f>
        <v/>
      </c>
      <c r="FG91">
        <f>IF(AND(FG$4=1,FG41=0),1,0)</f>
        <v/>
      </c>
      <c r="FH91">
        <f>IF(AND(FH$4=1,FH41=0),1,0)</f>
        <v/>
      </c>
      <c r="FI91">
        <f>IF(AND(FI$4=1,FI41=0),1,0)</f>
        <v/>
      </c>
      <c r="FJ91">
        <f>IF(AND(FJ$4=1,FJ41=0),1,0)</f>
        <v/>
      </c>
      <c r="FK91">
        <f>IF(AND(FK$4=1,FK41=0),1,0)</f>
        <v/>
      </c>
      <c r="FL91">
        <f>IF(AND(FL$4=1,FL41=0),1,0)</f>
        <v/>
      </c>
      <c r="FM91">
        <f>IF(AND(FM$4=1,FM41=0),1,0)</f>
        <v/>
      </c>
      <c r="FN91">
        <f>IF(AND(FN$4=1,FN41=0),1,0)</f>
        <v/>
      </c>
      <c r="FO91">
        <f>IF(AND(FO$4=1,FO41=0),1,0)</f>
        <v/>
      </c>
      <c r="FP91">
        <f>IF(AND(FP$4=1,FP41=0),1,0)</f>
        <v/>
      </c>
      <c r="FQ91">
        <f>IF(AND(FQ$4=1,FQ41=0),1,0)</f>
        <v/>
      </c>
      <c r="FR91">
        <f>IF(AND(FR$4=1,FR41=0),1,0)</f>
        <v/>
      </c>
      <c r="FS91">
        <f>IF(AND(FS$4=1,FS41=0),1,0)</f>
        <v/>
      </c>
      <c r="FT91">
        <f>IF(AND(FT$4=1,FT41=0),1,0)</f>
        <v/>
      </c>
      <c r="FU91">
        <f>IF(AND(FU$4=1,FU41=0),1,0)</f>
        <v/>
      </c>
      <c r="FV91">
        <f>IF(AND(FV$4=1,FV41=0),1,0)</f>
        <v/>
      </c>
      <c r="FW91">
        <f>IF(AND(FW$4=1,FW41=0),1,0)</f>
        <v/>
      </c>
      <c r="FX91">
        <f>IF(AND(FX$4=1,FX41=0),1,0)</f>
        <v/>
      </c>
      <c r="FY91">
        <f>IF(AND(FY$4=1,FY41=0),1,0)</f>
        <v/>
      </c>
      <c r="FZ91">
        <f>IF(AND(FZ$4=1,FZ41=0),1,0)</f>
        <v/>
      </c>
      <c r="GA91">
        <f>IF(AND(GA$4=1,GA41=0),1,0)</f>
        <v/>
      </c>
      <c r="GB91">
        <f>IF(AND(GB$4=1,GB41=0),1,0)</f>
        <v/>
      </c>
      <c r="GC91">
        <f>IF(AND(GC$4=1,GC41=0),1,0)</f>
        <v/>
      </c>
      <c r="GD91">
        <f>IF(AND(GD$4=1,GD41=0),1,0)</f>
        <v/>
      </c>
      <c r="GE91">
        <f>IF(AND(GE$4=1,GE41=0),1,0)</f>
        <v/>
      </c>
      <c r="GF91">
        <f>IF(AND(GF$4=1,GF41=0),1,0)</f>
        <v/>
      </c>
      <c r="GG91">
        <f>IF(AND(GG$4=1,GG41=0),1,0)</f>
        <v/>
      </c>
      <c r="GH91">
        <f>IF(AND(GH$4=1,GH41=0),1,0)</f>
        <v/>
      </c>
      <c r="GI91">
        <f>IF(AND(GI$4=1,GI41=0),1,0)</f>
        <v/>
      </c>
      <c r="GJ91">
        <f>IF(AND(GJ$4=1,GJ41=0),1,0)</f>
        <v/>
      </c>
      <c r="GK91">
        <f>IF(AND(GK$4=1,GK41=0),1,0)</f>
        <v/>
      </c>
      <c r="GL91">
        <f>IF(AND(GL$4=1,GL41=0),1,0)</f>
        <v/>
      </c>
      <c r="GM91">
        <f>IF(AND(GM$4=1,GM41=0),1,0)</f>
        <v/>
      </c>
      <c r="GN91">
        <f>IF(AND(GN$4=1,GN41=0),1,0)</f>
        <v/>
      </c>
      <c r="GO91">
        <f>IF(AND(GO$4=1,GO41=0),1,0)</f>
        <v/>
      </c>
      <c r="GP91">
        <f>IF(AND(GP$4=1,GP41=0),1,0)</f>
        <v/>
      </c>
      <c r="GQ91">
        <f>IF(AND(GQ$4=1,GQ41=0),1,0)</f>
        <v/>
      </c>
      <c r="GR91">
        <f>IF(AND(GR$4=1,GR41=0),1,0)</f>
        <v/>
      </c>
      <c r="GS91">
        <f>IF(AND(GS$4=1,GS41=0),1,0)</f>
        <v/>
      </c>
      <c r="GT91">
        <f>IF(AND(GT$4=1,GT41=0),1,0)</f>
        <v/>
      </c>
      <c r="GU91">
        <f>IF(AND(GU$4=1,GU41=0),1,0)</f>
        <v/>
      </c>
      <c r="GV91">
        <f>IF(AND(GV$4=1,GV41=0),1,0)</f>
        <v/>
      </c>
      <c r="GW91">
        <f>IF(AND(GW$4=1,GW41=0),1,0)</f>
        <v/>
      </c>
      <c r="GX91">
        <f>IF(AND(GX$4=1,GX41=0),1,0)</f>
        <v/>
      </c>
      <c r="GY91">
        <f>IF(AND(GY$4=1,GY41=0),1,0)</f>
        <v/>
      </c>
      <c r="GZ91">
        <f>IF(AND(GZ$4=1,GZ41=0),1,0)</f>
        <v/>
      </c>
      <c r="HA91">
        <f>IF(AND(HA$4=1,HA41=0),1,0)</f>
        <v/>
      </c>
      <c r="HB91">
        <f>IF(AND(HB$4=1,HB41=0),1,0)</f>
        <v/>
      </c>
      <c r="HC91">
        <f>IF(AND(HC$4=1,HC41=0),1,0)</f>
        <v/>
      </c>
      <c r="HD91">
        <f>IF(AND(HD$4=1,HD41=0),1,0)</f>
        <v/>
      </c>
      <c r="HE91">
        <f>IF(AND(HE$4=1,HE41=0),1,0)</f>
        <v/>
      </c>
      <c r="HF91">
        <f>IF(AND(HF$4=1,HF41=0),1,0)</f>
        <v/>
      </c>
      <c r="HG91">
        <f>IF(AND(HG$4=1,HG41=0),1,0)</f>
        <v/>
      </c>
      <c r="HH91">
        <f>IF(AND(HH$4=1,HH41=0),1,0)</f>
        <v/>
      </c>
      <c r="HI91">
        <f>IF(AND(HI$4=1,HI41=0),1,0)</f>
        <v/>
      </c>
      <c r="HJ91">
        <f>IF(AND(HJ$4=1,HJ41=0),1,0)</f>
        <v/>
      </c>
      <c r="HK91">
        <f>IF(AND(HK$4=1,HK41=0),1,0)</f>
        <v/>
      </c>
      <c r="HL91">
        <f>IF(AND(HL$4=1,HL41=0),1,0)</f>
        <v/>
      </c>
      <c r="HM91">
        <f>IF(AND(HM$4=1,HM41=0),1,0)</f>
        <v/>
      </c>
      <c r="HN91">
        <f>IF(AND(HN$4=1,HN41=0),1,0)</f>
        <v/>
      </c>
      <c r="HO91">
        <f>IF(AND(HO$4=1,HO41=0),1,0)</f>
        <v/>
      </c>
      <c r="HP91">
        <f>IF(AND(HP$4=1,HP41=0),1,0)</f>
        <v/>
      </c>
      <c r="HQ91">
        <f>IF(AND(HQ$4=1,HQ41=0),1,0)</f>
        <v/>
      </c>
      <c r="HR91">
        <f>IF(AND(HR$4=1,HR41=0),1,0)</f>
        <v/>
      </c>
      <c r="HS91">
        <f>IF(AND(HS$4=1,HS41=0),1,0)</f>
        <v/>
      </c>
      <c r="HT91">
        <f>IF(AND(HT$4=1,HT41=0),1,0)</f>
        <v/>
      </c>
      <c r="HU91">
        <f>IF(AND(HU$4=1,HU41=0),1,0)</f>
        <v/>
      </c>
      <c r="HV91">
        <f>IF(AND(HV$4=1,HV41=0),1,0)</f>
        <v/>
      </c>
      <c r="HW91">
        <f>IF(AND(HW$4=1,HW41=0),1,0)</f>
        <v/>
      </c>
      <c r="HX91">
        <f>IF(AND(HX$4=1,HX41=0),1,0)</f>
        <v/>
      </c>
      <c r="HY91">
        <f>IF(AND(HY$4=1,HY41=0),1,0)</f>
        <v/>
      </c>
      <c r="HZ91">
        <f>IF(AND(HZ$4=1,HZ41=0),1,0)</f>
        <v/>
      </c>
      <c r="IA91">
        <f>IF(AND(IA$4=1,IA41=0),1,0)</f>
        <v/>
      </c>
      <c r="IB91">
        <f>IF(AND(IB$4=1,IB41=0),1,0)</f>
        <v/>
      </c>
      <c r="IC91">
        <f>IF(AND(IC$4=1,IC41=0),1,0)</f>
        <v/>
      </c>
      <c r="ID91">
        <f>IF(AND(ID$4=1,ID41=0),1,0)</f>
        <v/>
      </c>
      <c r="IE91">
        <f>IF(AND(IE$4=1,IE41=0),1,0)</f>
        <v/>
      </c>
      <c r="IF91">
        <f>IF(AND(IF$4=1,IF41=0),1,0)</f>
        <v/>
      </c>
      <c r="IG91">
        <f>IF(AND(IG$4=1,IG41=0),1,0)</f>
        <v/>
      </c>
      <c r="IH91">
        <f>IF(AND(IH$4=1,IH41=0),1,0)</f>
        <v/>
      </c>
      <c r="II91">
        <f>IF(AND(II$4=1,II41=0),1,0)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c r="ER92">
        <f>IF(AND(ER$4=1,ER42=0),1,0)</f>
        <v/>
      </c>
      <c r="ES92">
        <f>IF(AND(ES$4=1,ES42=0),1,0)</f>
        <v/>
      </c>
      <c r="ET92">
        <f>IF(AND(ET$4=1,ET42=0),1,0)</f>
        <v/>
      </c>
      <c r="EU92">
        <f>IF(AND(EU$4=1,EU42=0),1,0)</f>
        <v/>
      </c>
      <c r="EV92">
        <f>IF(AND(EV$4=1,EV42=0),1,0)</f>
        <v/>
      </c>
      <c r="EW92">
        <f>IF(AND(EW$4=1,EW42=0),1,0)</f>
        <v/>
      </c>
      <c r="EX92">
        <f>IF(AND(EX$4=1,EX42=0),1,0)</f>
        <v/>
      </c>
      <c r="EY92">
        <f>IF(AND(EY$4=1,EY42=0),1,0)</f>
        <v/>
      </c>
      <c r="EZ92">
        <f>IF(AND(EZ$4=1,EZ42=0),1,0)</f>
        <v/>
      </c>
      <c r="FA92">
        <f>IF(AND(FA$4=1,FA42=0),1,0)</f>
        <v/>
      </c>
      <c r="FB92">
        <f>IF(AND(FB$4=1,FB42=0),1,0)</f>
        <v/>
      </c>
      <c r="FC92">
        <f>IF(AND(FC$4=1,FC42=0),1,0)</f>
        <v/>
      </c>
      <c r="FD92">
        <f>IF(AND(FD$4=1,FD42=0),1,0)</f>
        <v/>
      </c>
      <c r="FE92">
        <f>IF(AND(FE$4=1,FE42=0),1,0)</f>
        <v/>
      </c>
      <c r="FF92">
        <f>IF(AND(FF$4=1,FF42=0),1,0)</f>
        <v/>
      </c>
      <c r="FG92">
        <f>IF(AND(FG$4=1,FG42=0),1,0)</f>
        <v/>
      </c>
      <c r="FH92">
        <f>IF(AND(FH$4=1,FH42=0),1,0)</f>
        <v/>
      </c>
      <c r="FI92">
        <f>IF(AND(FI$4=1,FI42=0),1,0)</f>
        <v/>
      </c>
      <c r="FJ92">
        <f>IF(AND(FJ$4=1,FJ42=0),1,0)</f>
        <v/>
      </c>
      <c r="FK92">
        <f>IF(AND(FK$4=1,FK42=0),1,0)</f>
        <v/>
      </c>
      <c r="FL92">
        <f>IF(AND(FL$4=1,FL42=0),1,0)</f>
        <v/>
      </c>
      <c r="FM92">
        <f>IF(AND(FM$4=1,FM42=0),1,0)</f>
        <v/>
      </c>
      <c r="FN92">
        <f>IF(AND(FN$4=1,FN42=0),1,0)</f>
        <v/>
      </c>
      <c r="FO92">
        <f>IF(AND(FO$4=1,FO42=0),1,0)</f>
        <v/>
      </c>
      <c r="FP92">
        <f>IF(AND(FP$4=1,FP42=0),1,0)</f>
        <v/>
      </c>
      <c r="FQ92">
        <f>IF(AND(FQ$4=1,FQ42=0),1,0)</f>
        <v/>
      </c>
      <c r="FR92">
        <f>IF(AND(FR$4=1,FR42=0),1,0)</f>
        <v/>
      </c>
      <c r="FS92">
        <f>IF(AND(FS$4=1,FS42=0),1,0)</f>
        <v/>
      </c>
      <c r="FT92">
        <f>IF(AND(FT$4=1,FT42=0),1,0)</f>
        <v/>
      </c>
      <c r="FU92">
        <f>IF(AND(FU$4=1,FU42=0),1,0)</f>
        <v/>
      </c>
      <c r="FV92">
        <f>IF(AND(FV$4=1,FV42=0),1,0)</f>
        <v/>
      </c>
      <c r="FW92">
        <f>IF(AND(FW$4=1,FW42=0),1,0)</f>
        <v/>
      </c>
      <c r="FX92">
        <f>IF(AND(FX$4=1,FX42=0),1,0)</f>
        <v/>
      </c>
      <c r="FY92">
        <f>IF(AND(FY$4=1,FY42=0),1,0)</f>
        <v/>
      </c>
      <c r="FZ92">
        <f>IF(AND(FZ$4=1,FZ42=0),1,0)</f>
        <v/>
      </c>
      <c r="GA92">
        <f>IF(AND(GA$4=1,GA42=0),1,0)</f>
        <v/>
      </c>
      <c r="GB92">
        <f>IF(AND(GB$4=1,GB42=0),1,0)</f>
        <v/>
      </c>
      <c r="GC92">
        <f>IF(AND(GC$4=1,GC42=0),1,0)</f>
        <v/>
      </c>
      <c r="GD92">
        <f>IF(AND(GD$4=1,GD42=0),1,0)</f>
        <v/>
      </c>
      <c r="GE92">
        <f>IF(AND(GE$4=1,GE42=0),1,0)</f>
        <v/>
      </c>
      <c r="GF92">
        <f>IF(AND(GF$4=1,GF42=0),1,0)</f>
        <v/>
      </c>
      <c r="GG92">
        <f>IF(AND(GG$4=1,GG42=0),1,0)</f>
        <v/>
      </c>
      <c r="GH92">
        <f>IF(AND(GH$4=1,GH42=0),1,0)</f>
        <v/>
      </c>
      <c r="GI92">
        <f>IF(AND(GI$4=1,GI42=0),1,0)</f>
        <v/>
      </c>
      <c r="GJ92">
        <f>IF(AND(GJ$4=1,GJ42=0),1,0)</f>
        <v/>
      </c>
      <c r="GK92">
        <f>IF(AND(GK$4=1,GK42=0),1,0)</f>
        <v/>
      </c>
      <c r="GL92">
        <f>IF(AND(GL$4=1,GL42=0),1,0)</f>
        <v/>
      </c>
      <c r="GM92">
        <f>IF(AND(GM$4=1,GM42=0),1,0)</f>
        <v/>
      </c>
      <c r="GN92">
        <f>IF(AND(GN$4=1,GN42=0),1,0)</f>
        <v/>
      </c>
      <c r="GO92">
        <f>IF(AND(GO$4=1,GO42=0),1,0)</f>
        <v/>
      </c>
      <c r="GP92">
        <f>IF(AND(GP$4=1,GP42=0),1,0)</f>
        <v/>
      </c>
      <c r="GQ92">
        <f>IF(AND(GQ$4=1,GQ42=0),1,0)</f>
        <v/>
      </c>
      <c r="GR92">
        <f>IF(AND(GR$4=1,GR42=0),1,0)</f>
        <v/>
      </c>
      <c r="GS92">
        <f>IF(AND(GS$4=1,GS42=0),1,0)</f>
        <v/>
      </c>
      <c r="GT92">
        <f>IF(AND(GT$4=1,GT42=0),1,0)</f>
        <v/>
      </c>
      <c r="GU92">
        <f>IF(AND(GU$4=1,GU42=0),1,0)</f>
        <v/>
      </c>
      <c r="GV92">
        <f>IF(AND(GV$4=1,GV42=0),1,0)</f>
        <v/>
      </c>
      <c r="GW92">
        <f>IF(AND(GW$4=1,GW42=0),1,0)</f>
        <v/>
      </c>
      <c r="GX92">
        <f>IF(AND(GX$4=1,GX42=0),1,0)</f>
        <v/>
      </c>
      <c r="GY92">
        <f>IF(AND(GY$4=1,GY42=0),1,0)</f>
        <v/>
      </c>
      <c r="GZ92">
        <f>IF(AND(GZ$4=1,GZ42=0),1,0)</f>
        <v/>
      </c>
      <c r="HA92">
        <f>IF(AND(HA$4=1,HA42=0),1,0)</f>
        <v/>
      </c>
      <c r="HB92">
        <f>IF(AND(HB$4=1,HB42=0),1,0)</f>
        <v/>
      </c>
      <c r="HC92">
        <f>IF(AND(HC$4=1,HC42=0),1,0)</f>
        <v/>
      </c>
      <c r="HD92">
        <f>IF(AND(HD$4=1,HD42=0),1,0)</f>
        <v/>
      </c>
      <c r="HE92">
        <f>IF(AND(HE$4=1,HE42=0),1,0)</f>
        <v/>
      </c>
      <c r="HF92">
        <f>IF(AND(HF$4=1,HF42=0),1,0)</f>
        <v/>
      </c>
      <c r="HG92">
        <f>IF(AND(HG$4=1,HG42=0),1,0)</f>
        <v/>
      </c>
      <c r="HH92">
        <f>IF(AND(HH$4=1,HH42=0),1,0)</f>
        <v/>
      </c>
      <c r="HI92">
        <f>IF(AND(HI$4=1,HI42=0),1,0)</f>
        <v/>
      </c>
      <c r="HJ92">
        <f>IF(AND(HJ$4=1,HJ42=0),1,0)</f>
        <v/>
      </c>
      <c r="HK92">
        <f>IF(AND(HK$4=1,HK42=0),1,0)</f>
        <v/>
      </c>
      <c r="HL92">
        <f>IF(AND(HL$4=1,HL42=0),1,0)</f>
        <v/>
      </c>
      <c r="HM92">
        <f>IF(AND(HM$4=1,HM42=0),1,0)</f>
        <v/>
      </c>
      <c r="HN92">
        <f>IF(AND(HN$4=1,HN42=0),1,0)</f>
        <v/>
      </c>
      <c r="HO92">
        <f>IF(AND(HO$4=1,HO42=0),1,0)</f>
        <v/>
      </c>
      <c r="HP92">
        <f>IF(AND(HP$4=1,HP42=0),1,0)</f>
        <v/>
      </c>
      <c r="HQ92">
        <f>IF(AND(HQ$4=1,HQ42=0),1,0)</f>
        <v/>
      </c>
      <c r="HR92">
        <f>IF(AND(HR$4=1,HR42=0),1,0)</f>
        <v/>
      </c>
      <c r="HS92">
        <f>IF(AND(HS$4=1,HS42=0),1,0)</f>
        <v/>
      </c>
      <c r="HT92">
        <f>IF(AND(HT$4=1,HT42=0),1,0)</f>
        <v/>
      </c>
      <c r="HU92">
        <f>IF(AND(HU$4=1,HU42=0),1,0)</f>
        <v/>
      </c>
      <c r="HV92">
        <f>IF(AND(HV$4=1,HV42=0),1,0)</f>
        <v/>
      </c>
      <c r="HW92">
        <f>IF(AND(HW$4=1,HW42=0),1,0)</f>
        <v/>
      </c>
      <c r="HX92">
        <f>IF(AND(HX$4=1,HX42=0),1,0)</f>
        <v/>
      </c>
      <c r="HY92">
        <f>IF(AND(HY$4=1,HY42=0),1,0)</f>
        <v/>
      </c>
      <c r="HZ92">
        <f>IF(AND(HZ$4=1,HZ42=0),1,0)</f>
        <v/>
      </c>
      <c r="IA92">
        <f>IF(AND(IA$4=1,IA42=0),1,0)</f>
        <v/>
      </c>
      <c r="IB92">
        <f>IF(AND(IB$4=1,IB42=0),1,0)</f>
        <v/>
      </c>
      <c r="IC92">
        <f>IF(AND(IC$4=1,IC42=0),1,0)</f>
        <v/>
      </c>
      <c r="ID92">
        <f>IF(AND(ID$4=1,ID42=0),1,0)</f>
        <v/>
      </c>
      <c r="IE92">
        <f>IF(AND(IE$4=1,IE42=0),1,0)</f>
        <v/>
      </c>
      <c r="IF92">
        <f>IF(AND(IF$4=1,IF42=0),1,0)</f>
        <v/>
      </c>
      <c r="IG92">
        <f>IF(AND(IG$4=1,IG42=0),1,0)</f>
        <v/>
      </c>
      <c r="IH92">
        <f>IF(AND(IH$4=1,IH42=0),1,0)</f>
        <v/>
      </c>
      <c r="II92">
        <f>IF(AND(II$4=1,II42=0),1,0)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c r="ER93">
        <f>IF(AND(ER$4=1,ER43=0),1,0)</f>
        <v/>
      </c>
      <c r="ES93">
        <f>IF(AND(ES$4=1,ES43=0),1,0)</f>
        <v/>
      </c>
      <c r="ET93">
        <f>IF(AND(ET$4=1,ET43=0),1,0)</f>
        <v/>
      </c>
      <c r="EU93">
        <f>IF(AND(EU$4=1,EU43=0),1,0)</f>
        <v/>
      </c>
      <c r="EV93">
        <f>IF(AND(EV$4=1,EV43=0),1,0)</f>
        <v/>
      </c>
      <c r="EW93">
        <f>IF(AND(EW$4=1,EW43=0),1,0)</f>
        <v/>
      </c>
      <c r="EX93">
        <f>IF(AND(EX$4=1,EX43=0),1,0)</f>
        <v/>
      </c>
      <c r="EY93">
        <f>IF(AND(EY$4=1,EY43=0),1,0)</f>
        <v/>
      </c>
      <c r="EZ93">
        <f>IF(AND(EZ$4=1,EZ43=0),1,0)</f>
        <v/>
      </c>
      <c r="FA93">
        <f>IF(AND(FA$4=1,FA43=0),1,0)</f>
        <v/>
      </c>
      <c r="FB93">
        <f>IF(AND(FB$4=1,FB43=0),1,0)</f>
        <v/>
      </c>
      <c r="FC93">
        <f>IF(AND(FC$4=1,FC43=0),1,0)</f>
        <v/>
      </c>
      <c r="FD93">
        <f>IF(AND(FD$4=1,FD43=0),1,0)</f>
        <v/>
      </c>
      <c r="FE93">
        <f>IF(AND(FE$4=1,FE43=0),1,0)</f>
        <v/>
      </c>
      <c r="FF93">
        <f>IF(AND(FF$4=1,FF43=0),1,0)</f>
        <v/>
      </c>
      <c r="FG93">
        <f>IF(AND(FG$4=1,FG43=0),1,0)</f>
        <v/>
      </c>
      <c r="FH93">
        <f>IF(AND(FH$4=1,FH43=0),1,0)</f>
        <v/>
      </c>
      <c r="FI93">
        <f>IF(AND(FI$4=1,FI43=0),1,0)</f>
        <v/>
      </c>
      <c r="FJ93">
        <f>IF(AND(FJ$4=1,FJ43=0),1,0)</f>
        <v/>
      </c>
      <c r="FK93">
        <f>IF(AND(FK$4=1,FK43=0),1,0)</f>
        <v/>
      </c>
      <c r="FL93">
        <f>IF(AND(FL$4=1,FL43=0),1,0)</f>
        <v/>
      </c>
      <c r="FM93">
        <f>IF(AND(FM$4=1,FM43=0),1,0)</f>
        <v/>
      </c>
      <c r="FN93">
        <f>IF(AND(FN$4=1,FN43=0),1,0)</f>
        <v/>
      </c>
      <c r="FO93">
        <f>IF(AND(FO$4=1,FO43=0),1,0)</f>
        <v/>
      </c>
      <c r="FP93">
        <f>IF(AND(FP$4=1,FP43=0),1,0)</f>
        <v/>
      </c>
      <c r="FQ93">
        <f>IF(AND(FQ$4=1,FQ43=0),1,0)</f>
        <v/>
      </c>
      <c r="FR93">
        <f>IF(AND(FR$4=1,FR43=0),1,0)</f>
        <v/>
      </c>
      <c r="FS93">
        <f>IF(AND(FS$4=1,FS43=0),1,0)</f>
        <v/>
      </c>
      <c r="FT93">
        <f>IF(AND(FT$4=1,FT43=0),1,0)</f>
        <v/>
      </c>
      <c r="FU93">
        <f>IF(AND(FU$4=1,FU43=0),1,0)</f>
        <v/>
      </c>
      <c r="FV93">
        <f>IF(AND(FV$4=1,FV43=0),1,0)</f>
        <v/>
      </c>
      <c r="FW93">
        <f>IF(AND(FW$4=1,FW43=0),1,0)</f>
        <v/>
      </c>
      <c r="FX93">
        <f>IF(AND(FX$4=1,FX43=0),1,0)</f>
        <v/>
      </c>
      <c r="FY93">
        <f>IF(AND(FY$4=1,FY43=0),1,0)</f>
        <v/>
      </c>
      <c r="FZ93">
        <f>IF(AND(FZ$4=1,FZ43=0),1,0)</f>
        <v/>
      </c>
      <c r="GA93">
        <f>IF(AND(GA$4=1,GA43=0),1,0)</f>
        <v/>
      </c>
      <c r="GB93">
        <f>IF(AND(GB$4=1,GB43=0),1,0)</f>
        <v/>
      </c>
      <c r="GC93">
        <f>IF(AND(GC$4=1,GC43=0),1,0)</f>
        <v/>
      </c>
      <c r="GD93">
        <f>IF(AND(GD$4=1,GD43=0),1,0)</f>
        <v/>
      </c>
      <c r="GE93">
        <f>IF(AND(GE$4=1,GE43=0),1,0)</f>
        <v/>
      </c>
      <c r="GF93">
        <f>IF(AND(GF$4=1,GF43=0),1,0)</f>
        <v/>
      </c>
      <c r="GG93">
        <f>IF(AND(GG$4=1,GG43=0),1,0)</f>
        <v/>
      </c>
      <c r="GH93">
        <f>IF(AND(GH$4=1,GH43=0),1,0)</f>
        <v/>
      </c>
      <c r="GI93">
        <f>IF(AND(GI$4=1,GI43=0),1,0)</f>
        <v/>
      </c>
      <c r="GJ93">
        <f>IF(AND(GJ$4=1,GJ43=0),1,0)</f>
        <v/>
      </c>
      <c r="GK93">
        <f>IF(AND(GK$4=1,GK43=0),1,0)</f>
        <v/>
      </c>
      <c r="GL93">
        <f>IF(AND(GL$4=1,GL43=0),1,0)</f>
        <v/>
      </c>
      <c r="GM93">
        <f>IF(AND(GM$4=1,GM43=0),1,0)</f>
        <v/>
      </c>
      <c r="GN93">
        <f>IF(AND(GN$4=1,GN43=0),1,0)</f>
        <v/>
      </c>
      <c r="GO93">
        <f>IF(AND(GO$4=1,GO43=0),1,0)</f>
        <v/>
      </c>
      <c r="GP93">
        <f>IF(AND(GP$4=1,GP43=0),1,0)</f>
        <v/>
      </c>
      <c r="GQ93">
        <f>IF(AND(GQ$4=1,GQ43=0),1,0)</f>
        <v/>
      </c>
      <c r="GR93">
        <f>IF(AND(GR$4=1,GR43=0),1,0)</f>
        <v/>
      </c>
      <c r="GS93">
        <f>IF(AND(GS$4=1,GS43=0),1,0)</f>
        <v/>
      </c>
      <c r="GT93">
        <f>IF(AND(GT$4=1,GT43=0),1,0)</f>
        <v/>
      </c>
      <c r="GU93">
        <f>IF(AND(GU$4=1,GU43=0),1,0)</f>
        <v/>
      </c>
      <c r="GV93">
        <f>IF(AND(GV$4=1,GV43=0),1,0)</f>
        <v/>
      </c>
      <c r="GW93">
        <f>IF(AND(GW$4=1,GW43=0),1,0)</f>
        <v/>
      </c>
      <c r="GX93">
        <f>IF(AND(GX$4=1,GX43=0),1,0)</f>
        <v/>
      </c>
      <c r="GY93">
        <f>IF(AND(GY$4=1,GY43=0),1,0)</f>
        <v/>
      </c>
      <c r="GZ93">
        <f>IF(AND(GZ$4=1,GZ43=0),1,0)</f>
        <v/>
      </c>
      <c r="HA93">
        <f>IF(AND(HA$4=1,HA43=0),1,0)</f>
        <v/>
      </c>
      <c r="HB93">
        <f>IF(AND(HB$4=1,HB43=0),1,0)</f>
        <v/>
      </c>
      <c r="HC93">
        <f>IF(AND(HC$4=1,HC43=0),1,0)</f>
        <v/>
      </c>
      <c r="HD93">
        <f>IF(AND(HD$4=1,HD43=0),1,0)</f>
        <v/>
      </c>
      <c r="HE93">
        <f>IF(AND(HE$4=1,HE43=0),1,0)</f>
        <v/>
      </c>
      <c r="HF93">
        <f>IF(AND(HF$4=1,HF43=0),1,0)</f>
        <v/>
      </c>
      <c r="HG93">
        <f>IF(AND(HG$4=1,HG43=0),1,0)</f>
        <v/>
      </c>
      <c r="HH93">
        <f>IF(AND(HH$4=1,HH43=0),1,0)</f>
        <v/>
      </c>
      <c r="HI93">
        <f>IF(AND(HI$4=1,HI43=0),1,0)</f>
        <v/>
      </c>
      <c r="HJ93">
        <f>IF(AND(HJ$4=1,HJ43=0),1,0)</f>
        <v/>
      </c>
      <c r="HK93">
        <f>IF(AND(HK$4=1,HK43=0),1,0)</f>
        <v/>
      </c>
      <c r="HL93">
        <f>IF(AND(HL$4=1,HL43=0),1,0)</f>
        <v/>
      </c>
      <c r="HM93">
        <f>IF(AND(HM$4=1,HM43=0),1,0)</f>
        <v/>
      </c>
      <c r="HN93">
        <f>IF(AND(HN$4=1,HN43=0),1,0)</f>
        <v/>
      </c>
      <c r="HO93">
        <f>IF(AND(HO$4=1,HO43=0),1,0)</f>
        <v/>
      </c>
      <c r="HP93">
        <f>IF(AND(HP$4=1,HP43=0),1,0)</f>
        <v/>
      </c>
      <c r="HQ93">
        <f>IF(AND(HQ$4=1,HQ43=0),1,0)</f>
        <v/>
      </c>
      <c r="HR93">
        <f>IF(AND(HR$4=1,HR43=0),1,0)</f>
        <v/>
      </c>
      <c r="HS93">
        <f>IF(AND(HS$4=1,HS43=0),1,0)</f>
        <v/>
      </c>
      <c r="HT93">
        <f>IF(AND(HT$4=1,HT43=0),1,0)</f>
        <v/>
      </c>
      <c r="HU93">
        <f>IF(AND(HU$4=1,HU43=0),1,0)</f>
        <v/>
      </c>
      <c r="HV93">
        <f>IF(AND(HV$4=1,HV43=0),1,0)</f>
        <v/>
      </c>
      <c r="HW93">
        <f>IF(AND(HW$4=1,HW43=0),1,0)</f>
        <v/>
      </c>
      <c r="HX93">
        <f>IF(AND(HX$4=1,HX43=0),1,0)</f>
        <v/>
      </c>
      <c r="HY93">
        <f>IF(AND(HY$4=1,HY43=0),1,0)</f>
        <v/>
      </c>
      <c r="HZ93">
        <f>IF(AND(HZ$4=1,HZ43=0),1,0)</f>
        <v/>
      </c>
      <c r="IA93">
        <f>IF(AND(IA$4=1,IA43=0),1,0)</f>
        <v/>
      </c>
      <c r="IB93">
        <f>IF(AND(IB$4=1,IB43=0),1,0)</f>
        <v/>
      </c>
      <c r="IC93">
        <f>IF(AND(IC$4=1,IC43=0),1,0)</f>
        <v/>
      </c>
      <c r="ID93">
        <f>IF(AND(ID$4=1,ID43=0),1,0)</f>
        <v/>
      </c>
      <c r="IE93">
        <f>IF(AND(IE$4=1,IE43=0),1,0)</f>
        <v/>
      </c>
      <c r="IF93">
        <f>IF(AND(IF$4=1,IF43=0),1,0)</f>
        <v/>
      </c>
      <c r="IG93">
        <f>IF(AND(IG$4=1,IG43=0),1,0)</f>
        <v/>
      </c>
      <c r="IH93">
        <f>IF(AND(IH$4=1,IH43=0),1,0)</f>
        <v/>
      </c>
      <c r="II93">
        <f>IF(AND(II$4=1,II43=0),1,0)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c r="ER94">
        <f>IF(AND(ER$4=1,ER44=0),1,0)</f>
        <v/>
      </c>
      <c r="ES94">
        <f>IF(AND(ES$4=1,ES44=0),1,0)</f>
        <v/>
      </c>
      <c r="ET94">
        <f>IF(AND(ET$4=1,ET44=0),1,0)</f>
        <v/>
      </c>
      <c r="EU94">
        <f>IF(AND(EU$4=1,EU44=0),1,0)</f>
        <v/>
      </c>
      <c r="EV94">
        <f>IF(AND(EV$4=1,EV44=0),1,0)</f>
        <v/>
      </c>
      <c r="EW94">
        <f>IF(AND(EW$4=1,EW44=0),1,0)</f>
        <v/>
      </c>
      <c r="EX94">
        <f>IF(AND(EX$4=1,EX44=0),1,0)</f>
        <v/>
      </c>
      <c r="EY94">
        <f>IF(AND(EY$4=1,EY44=0),1,0)</f>
        <v/>
      </c>
      <c r="EZ94">
        <f>IF(AND(EZ$4=1,EZ44=0),1,0)</f>
        <v/>
      </c>
      <c r="FA94">
        <f>IF(AND(FA$4=1,FA44=0),1,0)</f>
        <v/>
      </c>
      <c r="FB94">
        <f>IF(AND(FB$4=1,FB44=0),1,0)</f>
        <v/>
      </c>
      <c r="FC94">
        <f>IF(AND(FC$4=1,FC44=0),1,0)</f>
        <v/>
      </c>
      <c r="FD94">
        <f>IF(AND(FD$4=1,FD44=0),1,0)</f>
        <v/>
      </c>
      <c r="FE94">
        <f>IF(AND(FE$4=1,FE44=0),1,0)</f>
        <v/>
      </c>
      <c r="FF94">
        <f>IF(AND(FF$4=1,FF44=0),1,0)</f>
        <v/>
      </c>
      <c r="FG94">
        <f>IF(AND(FG$4=1,FG44=0),1,0)</f>
        <v/>
      </c>
      <c r="FH94">
        <f>IF(AND(FH$4=1,FH44=0),1,0)</f>
        <v/>
      </c>
      <c r="FI94">
        <f>IF(AND(FI$4=1,FI44=0),1,0)</f>
        <v/>
      </c>
      <c r="FJ94">
        <f>IF(AND(FJ$4=1,FJ44=0),1,0)</f>
        <v/>
      </c>
      <c r="FK94">
        <f>IF(AND(FK$4=1,FK44=0),1,0)</f>
        <v/>
      </c>
      <c r="FL94">
        <f>IF(AND(FL$4=1,FL44=0),1,0)</f>
        <v/>
      </c>
      <c r="FM94">
        <f>IF(AND(FM$4=1,FM44=0),1,0)</f>
        <v/>
      </c>
      <c r="FN94">
        <f>IF(AND(FN$4=1,FN44=0),1,0)</f>
        <v/>
      </c>
      <c r="FO94">
        <f>IF(AND(FO$4=1,FO44=0),1,0)</f>
        <v/>
      </c>
      <c r="FP94">
        <f>IF(AND(FP$4=1,FP44=0),1,0)</f>
        <v/>
      </c>
      <c r="FQ94">
        <f>IF(AND(FQ$4=1,FQ44=0),1,0)</f>
        <v/>
      </c>
      <c r="FR94">
        <f>IF(AND(FR$4=1,FR44=0),1,0)</f>
        <v/>
      </c>
      <c r="FS94">
        <f>IF(AND(FS$4=1,FS44=0),1,0)</f>
        <v/>
      </c>
      <c r="FT94">
        <f>IF(AND(FT$4=1,FT44=0),1,0)</f>
        <v/>
      </c>
      <c r="FU94">
        <f>IF(AND(FU$4=1,FU44=0),1,0)</f>
        <v/>
      </c>
      <c r="FV94">
        <f>IF(AND(FV$4=1,FV44=0),1,0)</f>
        <v/>
      </c>
      <c r="FW94">
        <f>IF(AND(FW$4=1,FW44=0),1,0)</f>
        <v/>
      </c>
      <c r="FX94">
        <f>IF(AND(FX$4=1,FX44=0),1,0)</f>
        <v/>
      </c>
      <c r="FY94">
        <f>IF(AND(FY$4=1,FY44=0),1,0)</f>
        <v/>
      </c>
      <c r="FZ94">
        <f>IF(AND(FZ$4=1,FZ44=0),1,0)</f>
        <v/>
      </c>
      <c r="GA94">
        <f>IF(AND(GA$4=1,GA44=0),1,0)</f>
        <v/>
      </c>
      <c r="GB94">
        <f>IF(AND(GB$4=1,GB44=0),1,0)</f>
        <v/>
      </c>
      <c r="GC94">
        <f>IF(AND(GC$4=1,GC44=0),1,0)</f>
        <v/>
      </c>
      <c r="GD94">
        <f>IF(AND(GD$4=1,GD44=0),1,0)</f>
        <v/>
      </c>
      <c r="GE94">
        <f>IF(AND(GE$4=1,GE44=0),1,0)</f>
        <v/>
      </c>
      <c r="GF94">
        <f>IF(AND(GF$4=1,GF44=0),1,0)</f>
        <v/>
      </c>
      <c r="GG94">
        <f>IF(AND(GG$4=1,GG44=0),1,0)</f>
        <v/>
      </c>
      <c r="GH94">
        <f>IF(AND(GH$4=1,GH44=0),1,0)</f>
        <v/>
      </c>
      <c r="GI94">
        <f>IF(AND(GI$4=1,GI44=0),1,0)</f>
        <v/>
      </c>
      <c r="GJ94">
        <f>IF(AND(GJ$4=1,GJ44=0),1,0)</f>
        <v/>
      </c>
      <c r="GK94">
        <f>IF(AND(GK$4=1,GK44=0),1,0)</f>
        <v/>
      </c>
      <c r="GL94">
        <f>IF(AND(GL$4=1,GL44=0),1,0)</f>
        <v/>
      </c>
      <c r="GM94">
        <f>IF(AND(GM$4=1,GM44=0),1,0)</f>
        <v/>
      </c>
      <c r="GN94">
        <f>IF(AND(GN$4=1,GN44=0),1,0)</f>
        <v/>
      </c>
      <c r="GO94">
        <f>IF(AND(GO$4=1,GO44=0),1,0)</f>
        <v/>
      </c>
      <c r="GP94">
        <f>IF(AND(GP$4=1,GP44=0),1,0)</f>
        <v/>
      </c>
      <c r="GQ94">
        <f>IF(AND(GQ$4=1,GQ44=0),1,0)</f>
        <v/>
      </c>
      <c r="GR94">
        <f>IF(AND(GR$4=1,GR44=0),1,0)</f>
        <v/>
      </c>
      <c r="GS94">
        <f>IF(AND(GS$4=1,GS44=0),1,0)</f>
        <v/>
      </c>
      <c r="GT94">
        <f>IF(AND(GT$4=1,GT44=0),1,0)</f>
        <v/>
      </c>
      <c r="GU94">
        <f>IF(AND(GU$4=1,GU44=0),1,0)</f>
        <v/>
      </c>
      <c r="GV94">
        <f>IF(AND(GV$4=1,GV44=0),1,0)</f>
        <v/>
      </c>
      <c r="GW94">
        <f>IF(AND(GW$4=1,GW44=0),1,0)</f>
        <v/>
      </c>
      <c r="GX94">
        <f>IF(AND(GX$4=1,GX44=0),1,0)</f>
        <v/>
      </c>
      <c r="GY94">
        <f>IF(AND(GY$4=1,GY44=0),1,0)</f>
        <v/>
      </c>
      <c r="GZ94">
        <f>IF(AND(GZ$4=1,GZ44=0),1,0)</f>
        <v/>
      </c>
      <c r="HA94">
        <f>IF(AND(HA$4=1,HA44=0),1,0)</f>
        <v/>
      </c>
      <c r="HB94">
        <f>IF(AND(HB$4=1,HB44=0),1,0)</f>
        <v/>
      </c>
      <c r="HC94">
        <f>IF(AND(HC$4=1,HC44=0),1,0)</f>
        <v/>
      </c>
      <c r="HD94">
        <f>IF(AND(HD$4=1,HD44=0),1,0)</f>
        <v/>
      </c>
      <c r="HE94">
        <f>IF(AND(HE$4=1,HE44=0),1,0)</f>
        <v/>
      </c>
      <c r="HF94">
        <f>IF(AND(HF$4=1,HF44=0),1,0)</f>
        <v/>
      </c>
      <c r="HG94">
        <f>IF(AND(HG$4=1,HG44=0),1,0)</f>
        <v/>
      </c>
      <c r="HH94">
        <f>IF(AND(HH$4=1,HH44=0),1,0)</f>
        <v/>
      </c>
      <c r="HI94">
        <f>IF(AND(HI$4=1,HI44=0),1,0)</f>
        <v/>
      </c>
      <c r="HJ94">
        <f>IF(AND(HJ$4=1,HJ44=0),1,0)</f>
        <v/>
      </c>
      <c r="HK94">
        <f>IF(AND(HK$4=1,HK44=0),1,0)</f>
        <v/>
      </c>
      <c r="HL94">
        <f>IF(AND(HL$4=1,HL44=0),1,0)</f>
        <v/>
      </c>
      <c r="HM94">
        <f>IF(AND(HM$4=1,HM44=0),1,0)</f>
        <v/>
      </c>
      <c r="HN94">
        <f>IF(AND(HN$4=1,HN44=0),1,0)</f>
        <v/>
      </c>
      <c r="HO94">
        <f>IF(AND(HO$4=1,HO44=0),1,0)</f>
        <v/>
      </c>
      <c r="HP94">
        <f>IF(AND(HP$4=1,HP44=0),1,0)</f>
        <v/>
      </c>
      <c r="HQ94">
        <f>IF(AND(HQ$4=1,HQ44=0),1,0)</f>
        <v/>
      </c>
      <c r="HR94">
        <f>IF(AND(HR$4=1,HR44=0),1,0)</f>
        <v/>
      </c>
      <c r="HS94">
        <f>IF(AND(HS$4=1,HS44=0),1,0)</f>
        <v/>
      </c>
      <c r="HT94">
        <f>IF(AND(HT$4=1,HT44=0),1,0)</f>
        <v/>
      </c>
      <c r="HU94">
        <f>IF(AND(HU$4=1,HU44=0),1,0)</f>
        <v/>
      </c>
      <c r="HV94">
        <f>IF(AND(HV$4=1,HV44=0),1,0)</f>
        <v/>
      </c>
      <c r="HW94">
        <f>IF(AND(HW$4=1,HW44=0),1,0)</f>
        <v/>
      </c>
      <c r="HX94">
        <f>IF(AND(HX$4=1,HX44=0),1,0)</f>
        <v/>
      </c>
      <c r="HY94">
        <f>IF(AND(HY$4=1,HY44=0),1,0)</f>
        <v/>
      </c>
      <c r="HZ94">
        <f>IF(AND(HZ$4=1,HZ44=0),1,0)</f>
        <v/>
      </c>
      <c r="IA94">
        <f>IF(AND(IA$4=1,IA44=0),1,0)</f>
        <v/>
      </c>
      <c r="IB94">
        <f>IF(AND(IB$4=1,IB44=0),1,0)</f>
        <v/>
      </c>
      <c r="IC94">
        <f>IF(AND(IC$4=1,IC44=0),1,0)</f>
        <v/>
      </c>
      <c r="ID94">
        <f>IF(AND(ID$4=1,ID44=0),1,0)</f>
        <v/>
      </c>
      <c r="IE94">
        <f>IF(AND(IE$4=1,IE44=0),1,0)</f>
        <v/>
      </c>
      <c r="IF94">
        <f>IF(AND(IF$4=1,IF44=0),1,0)</f>
        <v/>
      </c>
      <c r="IG94">
        <f>IF(AND(IG$4=1,IG44=0),1,0)</f>
        <v/>
      </c>
      <c r="IH94">
        <f>IF(AND(IH$4=1,IH44=0),1,0)</f>
        <v/>
      </c>
      <c r="II94">
        <f>IF(AND(II$4=1,II44=0),1,0)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c r="ER95">
        <f>IF(AND(ER$4=1,ER45=0),1,0)</f>
        <v/>
      </c>
      <c r="ES95">
        <f>IF(AND(ES$4=1,ES45=0),1,0)</f>
        <v/>
      </c>
      <c r="ET95">
        <f>IF(AND(ET$4=1,ET45=0),1,0)</f>
        <v/>
      </c>
      <c r="EU95">
        <f>IF(AND(EU$4=1,EU45=0),1,0)</f>
        <v/>
      </c>
      <c r="EV95">
        <f>IF(AND(EV$4=1,EV45=0),1,0)</f>
        <v/>
      </c>
      <c r="EW95">
        <f>IF(AND(EW$4=1,EW45=0),1,0)</f>
        <v/>
      </c>
      <c r="EX95">
        <f>IF(AND(EX$4=1,EX45=0),1,0)</f>
        <v/>
      </c>
      <c r="EY95">
        <f>IF(AND(EY$4=1,EY45=0),1,0)</f>
        <v/>
      </c>
      <c r="EZ95">
        <f>IF(AND(EZ$4=1,EZ45=0),1,0)</f>
        <v/>
      </c>
      <c r="FA95">
        <f>IF(AND(FA$4=1,FA45=0),1,0)</f>
        <v/>
      </c>
      <c r="FB95">
        <f>IF(AND(FB$4=1,FB45=0),1,0)</f>
        <v/>
      </c>
      <c r="FC95">
        <f>IF(AND(FC$4=1,FC45=0),1,0)</f>
        <v/>
      </c>
      <c r="FD95">
        <f>IF(AND(FD$4=1,FD45=0),1,0)</f>
        <v/>
      </c>
      <c r="FE95">
        <f>IF(AND(FE$4=1,FE45=0),1,0)</f>
        <v/>
      </c>
      <c r="FF95">
        <f>IF(AND(FF$4=1,FF45=0),1,0)</f>
        <v/>
      </c>
      <c r="FG95">
        <f>IF(AND(FG$4=1,FG45=0),1,0)</f>
        <v/>
      </c>
      <c r="FH95">
        <f>IF(AND(FH$4=1,FH45=0),1,0)</f>
        <v/>
      </c>
      <c r="FI95">
        <f>IF(AND(FI$4=1,FI45=0),1,0)</f>
        <v/>
      </c>
      <c r="FJ95">
        <f>IF(AND(FJ$4=1,FJ45=0),1,0)</f>
        <v/>
      </c>
      <c r="FK95">
        <f>IF(AND(FK$4=1,FK45=0),1,0)</f>
        <v/>
      </c>
      <c r="FL95">
        <f>IF(AND(FL$4=1,FL45=0),1,0)</f>
        <v/>
      </c>
      <c r="FM95">
        <f>IF(AND(FM$4=1,FM45=0),1,0)</f>
        <v/>
      </c>
      <c r="FN95">
        <f>IF(AND(FN$4=1,FN45=0),1,0)</f>
        <v/>
      </c>
      <c r="FO95">
        <f>IF(AND(FO$4=1,FO45=0),1,0)</f>
        <v/>
      </c>
      <c r="FP95">
        <f>IF(AND(FP$4=1,FP45=0),1,0)</f>
        <v/>
      </c>
      <c r="FQ95">
        <f>IF(AND(FQ$4=1,FQ45=0),1,0)</f>
        <v/>
      </c>
      <c r="FR95">
        <f>IF(AND(FR$4=1,FR45=0),1,0)</f>
        <v/>
      </c>
      <c r="FS95">
        <f>IF(AND(FS$4=1,FS45=0),1,0)</f>
        <v/>
      </c>
      <c r="FT95">
        <f>IF(AND(FT$4=1,FT45=0),1,0)</f>
        <v/>
      </c>
      <c r="FU95">
        <f>IF(AND(FU$4=1,FU45=0),1,0)</f>
        <v/>
      </c>
      <c r="FV95">
        <f>IF(AND(FV$4=1,FV45=0),1,0)</f>
        <v/>
      </c>
      <c r="FW95">
        <f>IF(AND(FW$4=1,FW45=0),1,0)</f>
        <v/>
      </c>
      <c r="FX95">
        <f>IF(AND(FX$4=1,FX45=0),1,0)</f>
        <v/>
      </c>
      <c r="FY95">
        <f>IF(AND(FY$4=1,FY45=0),1,0)</f>
        <v/>
      </c>
      <c r="FZ95">
        <f>IF(AND(FZ$4=1,FZ45=0),1,0)</f>
        <v/>
      </c>
      <c r="GA95">
        <f>IF(AND(GA$4=1,GA45=0),1,0)</f>
        <v/>
      </c>
      <c r="GB95">
        <f>IF(AND(GB$4=1,GB45=0),1,0)</f>
        <v/>
      </c>
      <c r="GC95">
        <f>IF(AND(GC$4=1,GC45=0),1,0)</f>
        <v/>
      </c>
      <c r="GD95">
        <f>IF(AND(GD$4=1,GD45=0),1,0)</f>
        <v/>
      </c>
      <c r="GE95">
        <f>IF(AND(GE$4=1,GE45=0),1,0)</f>
        <v/>
      </c>
      <c r="GF95">
        <f>IF(AND(GF$4=1,GF45=0),1,0)</f>
        <v/>
      </c>
      <c r="GG95">
        <f>IF(AND(GG$4=1,GG45=0),1,0)</f>
        <v/>
      </c>
      <c r="GH95">
        <f>IF(AND(GH$4=1,GH45=0),1,0)</f>
        <v/>
      </c>
      <c r="GI95">
        <f>IF(AND(GI$4=1,GI45=0),1,0)</f>
        <v/>
      </c>
      <c r="GJ95">
        <f>IF(AND(GJ$4=1,GJ45=0),1,0)</f>
        <v/>
      </c>
      <c r="GK95">
        <f>IF(AND(GK$4=1,GK45=0),1,0)</f>
        <v/>
      </c>
      <c r="GL95">
        <f>IF(AND(GL$4=1,GL45=0),1,0)</f>
        <v/>
      </c>
      <c r="GM95">
        <f>IF(AND(GM$4=1,GM45=0),1,0)</f>
        <v/>
      </c>
      <c r="GN95">
        <f>IF(AND(GN$4=1,GN45=0),1,0)</f>
        <v/>
      </c>
      <c r="GO95">
        <f>IF(AND(GO$4=1,GO45=0),1,0)</f>
        <v/>
      </c>
      <c r="GP95">
        <f>IF(AND(GP$4=1,GP45=0),1,0)</f>
        <v/>
      </c>
      <c r="GQ95">
        <f>IF(AND(GQ$4=1,GQ45=0),1,0)</f>
        <v/>
      </c>
      <c r="GR95">
        <f>IF(AND(GR$4=1,GR45=0),1,0)</f>
        <v/>
      </c>
      <c r="GS95">
        <f>IF(AND(GS$4=1,GS45=0),1,0)</f>
        <v/>
      </c>
      <c r="GT95">
        <f>IF(AND(GT$4=1,GT45=0),1,0)</f>
        <v/>
      </c>
      <c r="GU95">
        <f>IF(AND(GU$4=1,GU45=0),1,0)</f>
        <v/>
      </c>
      <c r="GV95">
        <f>IF(AND(GV$4=1,GV45=0),1,0)</f>
        <v/>
      </c>
      <c r="GW95">
        <f>IF(AND(GW$4=1,GW45=0),1,0)</f>
        <v/>
      </c>
      <c r="GX95">
        <f>IF(AND(GX$4=1,GX45=0),1,0)</f>
        <v/>
      </c>
      <c r="GY95">
        <f>IF(AND(GY$4=1,GY45=0),1,0)</f>
        <v/>
      </c>
      <c r="GZ95">
        <f>IF(AND(GZ$4=1,GZ45=0),1,0)</f>
        <v/>
      </c>
      <c r="HA95">
        <f>IF(AND(HA$4=1,HA45=0),1,0)</f>
        <v/>
      </c>
      <c r="HB95">
        <f>IF(AND(HB$4=1,HB45=0),1,0)</f>
        <v/>
      </c>
      <c r="HC95">
        <f>IF(AND(HC$4=1,HC45=0),1,0)</f>
        <v/>
      </c>
      <c r="HD95">
        <f>IF(AND(HD$4=1,HD45=0),1,0)</f>
        <v/>
      </c>
      <c r="HE95">
        <f>IF(AND(HE$4=1,HE45=0),1,0)</f>
        <v/>
      </c>
      <c r="HF95">
        <f>IF(AND(HF$4=1,HF45=0),1,0)</f>
        <v/>
      </c>
      <c r="HG95">
        <f>IF(AND(HG$4=1,HG45=0),1,0)</f>
        <v/>
      </c>
      <c r="HH95">
        <f>IF(AND(HH$4=1,HH45=0),1,0)</f>
        <v/>
      </c>
      <c r="HI95">
        <f>IF(AND(HI$4=1,HI45=0),1,0)</f>
        <v/>
      </c>
      <c r="HJ95">
        <f>IF(AND(HJ$4=1,HJ45=0),1,0)</f>
        <v/>
      </c>
      <c r="HK95">
        <f>IF(AND(HK$4=1,HK45=0),1,0)</f>
        <v/>
      </c>
      <c r="HL95">
        <f>IF(AND(HL$4=1,HL45=0),1,0)</f>
        <v/>
      </c>
      <c r="HM95">
        <f>IF(AND(HM$4=1,HM45=0),1,0)</f>
        <v/>
      </c>
      <c r="HN95">
        <f>IF(AND(HN$4=1,HN45=0),1,0)</f>
        <v/>
      </c>
      <c r="HO95">
        <f>IF(AND(HO$4=1,HO45=0),1,0)</f>
        <v/>
      </c>
      <c r="HP95">
        <f>IF(AND(HP$4=1,HP45=0),1,0)</f>
        <v/>
      </c>
      <c r="HQ95">
        <f>IF(AND(HQ$4=1,HQ45=0),1,0)</f>
        <v/>
      </c>
      <c r="HR95">
        <f>IF(AND(HR$4=1,HR45=0),1,0)</f>
        <v/>
      </c>
      <c r="HS95">
        <f>IF(AND(HS$4=1,HS45=0),1,0)</f>
        <v/>
      </c>
      <c r="HT95">
        <f>IF(AND(HT$4=1,HT45=0),1,0)</f>
        <v/>
      </c>
      <c r="HU95">
        <f>IF(AND(HU$4=1,HU45=0),1,0)</f>
        <v/>
      </c>
      <c r="HV95">
        <f>IF(AND(HV$4=1,HV45=0),1,0)</f>
        <v/>
      </c>
      <c r="HW95">
        <f>IF(AND(HW$4=1,HW45=0),1,0)</f>
        <v/>
      </c>
      <c r="HX95">
        <f>IF(AND(HX$4=1,HX45=0),1,0)</f>
        <v/>
      </c>
      <c r="HY95">
        <f>IF(AND(HY$4=1,HY45=0),1,0)</f>
        <v/>
      </c>
      <c r="HZ95">
        <f>IF(AND(HZ$4=1,HZ45=0),1,0)</f>
        <v/>
      </c>
      <c r="IA95">
        <f>IF(AND(IA$4=1,IA45=0),1,0)</f>
        <v/>
      </c>
      <c r="IB95">
        <f>IF(AND(IB$4=1,IB45=0),1,0)</f>
        <v/>
      </c>
      <c r="IC95">
        <f>IF(AND(IC$4=1,IC45=0),1,0)</f>
        <v/>
      </c>
      <c r="ID95">
        <f>IF(AND(ID$4=1,ID45=0),1,0)</f>
        <v/>
      </c>
      <c r="IE95">
        <f>IF(AND(IE$4=1,IE45=0),1,0)</f>
        <v/>
      </c>
      <c r="IF95">
        <f>IF(AND(IF$4=1,IF45=0),1,0)</f>
        <v/>
      </c>
      <c r="IG95">
        <f>IF(AND(IG$4=1,IG45=0),1,0)</f>
        <v/>
      </c>
      <c r="IH95">
        <f>IF(AND(IH$4=1,IH45=0),1,0)</f>
        <v/>
      </c>
      <c r="II95">
        <f>IF(AND(II$4=1,II45=0),1,0)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c r="ER96">
        <f>IF(AND(ER$4=1,ER46=0),1,0)</f>
        <v/>
      </c>
      <c r="ES96">
        <f>IF(AND(ES$4=1,ES46=0),1,0)</f>
        <v/>
      </c>
      <c r="ET96">
        <f>IF(AND(ET$4=1,ET46=0),1,0)</f>
        <v/>
      </c>
      <c r="EU96">
        <f>IF(AND(EU$4=1,EU46=0),1,0)</f>
        <v/>
      </c>
      <c r="EV96">
        <f>IF(AND(EV$4=1,EV46=0),1,0)</f>
        <v/>
      </c>
      <c r="EW96">
        <f>IF(AND(EW$4=1,EW46=0),1,0)</f>
        <v/>
      </c>
      <c r="EX96">
        <f>IF(AND(EX$4=1,EX46=0),1,0)</f>
        <v/>
      </c>
      <c r="EY96">
        <f>IF(AND(EY$4=1,EY46=0),1,0)</f>
        <v/>
      </c>
      <c r="EZ96">
        <f>IF(AND(EZ$4=1,EZ46=0),1,0)</f>
        <v/>
      </c>
      <c r="FA96">
        <f>IF(AND(FA$4=1,FA46=0),1,0)</f>
        <v/>
      </c>
      <c r="FB96">
        <f>IF(AND(FB$4=1,FB46=0),1,0)</f>
        <v/>
      </c>
      <c r="FC96">
        <f>IF(AND(FC$4=1,FC46=0),1,0)</f>
        <v/>
      </c>
      <c r="FD96">
        <f>IF(AND(FD$4=1,FD46=0),1,0)</f>
        <v/>
      </c>
      <c r="FE96">
        <f>IF(AND(FE$4=1,FE46=0),1,0)</f>
        <v/>
      </c>
      <c r="FF96">
        <f>IF(AND(FF$4=1,FF46=0),1,0)</f>
        <v/>
      </c>
      <c r="FG96">
        <f>IF(AND(FG$4=1,FG46=0),1,0)</f>
        <v/>
      </c>
      <c r="FH96">
        <f>IF(AND(FH$4=1,FH46=0),1,0)</f>
        <v/>
      </c>
      <c r="FI96">
        <f>IF(AND(FI$4=1,FI46=0),1,0)</f>
        <v/>
      </c>
      <c r="FJ96">
        <f>IF(AND(FJ$4=1,FJ46=0),1,0)</f>
        <v/>
      </c>
      <c r="FK96">
        <f>IF(AND(FK$4=1,FK46=0),1,0)</f>
        <v/>
      </c>
      <c r="FL96">
        <f>IF(AND(FL$4=1,FL46=0),1,0)</f>
        <v/>
      </c>
      <c r="FM96">
        <f>IF(AND(FM$4=1,FM46=0),1,0)</f>
        <v/>
      </c>
      <c r="FN96">
        <f>IF(AND(FN$4=1,FN46=0),1,0)</f>
        <v/>
      </c>
      <c r="FO96">
        <f>IF(AND(FO$4=1,FO46=0),1,0)</f>
        <v/>
      </c>
      <c r="FP96">
        <f>IF(AND(FP$4=1,FP46=0),1,0)</f>
        <v/>
      </c>
      <c r="FQ96">
        <f>IF(AND(FQ$4=1,FQ46=0),1,0)</f>
        <v/>
      </c>
      <c r="FR96">
        <f>IF(AND(FR$4=1,FR46=0),1,0)</f>
        <v/>
      </c>
      <c r="FS96">
        <f>IF(AND(FS$4=1,FS46=0),1,0)</f>
        <v/>
      </c>
      <c r="FT96">
        <f>IF(AND(FT$4=1,FT46=0),1,0)</f>
        <v/>
      </c>
      <c r="FU96">
        <f>IF(AND(FU$4=1,FU46=0),1,0)</f>
        <v/>
      </c>
      <c r="FV96">
        <f>IF(AND(FV$4=1,FV46=0),1,0)</f>
        <v/>
      </c>
      <c r="FW96">
        <f>IF(AND(FW$4=1,FW46=0),1,0)</f>
        <v/>
      </c>
      <c r="FX96">
        <f>IF(AND(FX$4=1,FX46=0),1,0)</f>
        <v/>
      </c>
      <c r="FY96">
        <f>IF(AND(FY$4=1,FY46=0),1,0)</f>
        <v/>
      </c>
      <c r="FZ96">
        <f>IF(AND(FZ$4=1,FZ46=0),1,0)</f>
        <v/>
      </c>
      <c r="GA96">
        <f>IF(AND(GA$4=1,GA46=0),1,0)</f>
        <v/>
      </c>
      <c r="GB96">
        <f>IF(AND(GB$4=1,GB46=0),1,0)</f>
        <v/>
      </c>
      <c r="GC96">
        <f>IF(AND(GC$4=1,GC46=0),1,0)</f>
        <v/>
      </c>
      <c r="GD96">
        <f>IF(AND(GD$4=1,GD46=0),1,0)</f>
        <v/>
      </c>
      <c r="GE96">
        <f>IF(AND(GE$4=1,GE46=0),1,0)</f>
        <v/>
      </c>
      <c r="GF96">
        <f>IF(AND(GF$4=1,GF46=0),1,0)</f>
        <v/>
      </c>
      <c r="GG96">
        <f>IF(AND(GG$4=1,GG46=0),1,0)</f>
        <v/>
      </c>
      <c r="GH96">
        <f>IF(AND(GH$4=1,GH46=0),1,0)</f>
        <v/>
      </c>
      <c r="GI96">
        <f>IF(AND(GI$4=1,GI46=0),1,0)</f>
        <v/>
      </c>
      <c r="GJ96">
        <f>IF(AND(GJ$4=1,GJ46=0),1,0)</f>
        <v/>
      </c>
      <c r="GK96">
        <f>IF(AND(GK$4=1,GK46=0),1,0)</f>
        <v/>
      </c>
      <c r="GL96">
        <f>IF(AND(GL$4=1,GL46=0),1,0)</f>
        <v/>
      </c>
      <c r="GM96">
        <f>IF(AND(GM$4=1,GM46=0),1,0)</f>
        <v/>
      </c>
      <c r="GN96">
        <f>IF(AND(GN$4=1,GN46=0),1,0)</f>
        <v/>
      </c>
      <c r="GO96">
        <f>IF(AND(GO$4=1,GO46=0),1,0)</f>
        <v/>
      </c>
      <c r="GP96">
        <f>IF(AND(GP$4=1,GP46=0),1,0)</f>
        <v/>
      </c>
      <c r="GQ96">
        <f>IF(AND(GQ$4=1,GQ46=0),1,0)</f>
        <v/>
      </c>
      <c r="GR96">
        <f>IF(AND(GR$4=1,GR46=0),1,0)</f>
        <v/>
      </c>
      <c r="GS96">
        <f>IF(AND(GS$4=1,GS46=0),1,0)</f>
        <v/>
      </c>
      <c r="GT96">
        <f>IF(AND(GT$4=1,GT46=0),1,0)</f>
        <v/>
      </c>
      <c r="GU96">
        <f>IF(AND(GU$4=1,GU46=0),1,0)</f>
        <v/>
      </c>
      <c r="GV96">
        <f>IF(AND(GV$4=1,GV46=0),1,0)</f>
        <v/>
      </c>
      <c r="GW96">
        <f>IF(AND(GW$4=1,GW46=0),1,0)</f>
        <v/>
      </c>
      <c r="GX96">
        <f>IF(AND(GX$4=1,GX46=0),1,0)</f>
        <v/>
      </c>
      <c r="GY96">
        <f>IF(AND(GY$4=1,GY46=0),1,0)</f>
        <v/>
      </c>
      <c r="GZ96">
        <f>IF(AND(GZ$4=1,GZ46=0),1,0)</f>
        <v/>
      </c>
      <c r="HA96">
        <f>IF(AND(HA$4=1,HA46=0),1,0)</f>
        <v/>
      </c>
      <c r="HB96">
        <f>IF(AND(HB$4=1,HB46=0),1,0)</f>
        <v/>
      </c>
      <c r="HC96">
        <f>IF(AND(HC$4=1,HC46=0),1,0)</f>
        <v/>
      </c>
      <c r="HD96">
        <f>IF(AND(HD$4=1,HD46=0),1,0)</f>
        <v/>
      </c>
      <c r="HE96">
        <f>IF(AND(HE$4=1,HE46=0),1,0)</f>
        <v/>
      </c>
      <c r="HF96">
        <f>IF(AND(HF$4=1,HF46=0),1,0)</f>
        <v/>
      </c>
      <c r="HG96">
        <f>IF(AND(HG$4=1,HG46=0),1,0)</f>
        <v/>
      </c>
      <c r="HH96">
        <f>IF(AND(HH$4=1,HH46=0),1,0)</f>
        <v/>
      </c>
      <c r="HI96">
        <f>IF(AND(HI$4=1,HI46=0),1,0)</f>
        <v/>
      </c>
      <c r="HJ96">
        <f>IF(AND(HJ$4=1,HJ46=0),1,0)</f>
        <v/>
      </c>
      <c r="HK96">
        <f>IF(AND(HK$4=1,HK46=0),1,0)</f>
        <v/>
      </c>
      <c r="HL96">
        <f>IF(AND(HL$4=1,HL46=0),1,0)</f>
        <v/>
      </c>
      <c r="HM96">
        <f>IF(AND(HM$4=1,HM46=0),1,0)</f>
        <v/>
      </c>
      <c r="HN96">
        <f>IF(AND(HN$4=1,HN46=0),1,0)</f>
        <v/>
      </c>
      <c r="HO96">
        <f>IF(AND(HO$4=1,HO46=0),1,0)</f>
        <v/>
      </c>
      <c r="HP96">
        <f>IF(AND(HP$4=1,HP46=0),1,0)</f>
        <v/>
      </c>
      <c r="HQ96">
        <f>IF(AND(HQ$4=1,HQ46=0),1,0)</f>
        <v/>
      </c>
      <c r="HR96">
        <f>IF(AND(HR$4=1,HR46=0),1,0)</f>
        <v/>
      </c>
      <c r="HS96">
        <f>IF(AND(HS$4=1,HS46=0),1,0)</f>
        <v/>
      </c>
      <c r="HT96">
        <f>IF(AND(HT$4=1,HT46=0),1,0)</f>
        <v/>
      </c>
      <c r="HU96">
        <f>IF(AND(HU$4=1,HU46=0),1,0)</f>
        <v/>
      </c>
      <c r="HV96">
        <f>IF(AND(HV$4=1,HV46=0),1,0)</f>
        <v/>
      </c>
      <c r="HW96">
        <f>IF(AND(HW$4=1,HW46=0),1,0)</f>
        <v/>
      </c>
      <c r="HX96">
        <f>IF(AND(HX$4=1,HX46=0),1,0)</f>
        <v/>
      </c>
      <c r="HY96">
        <f>IF(AND(HY$4=1,HY46=0),1,0)</f>
        <v/>
      </c>
      <c r="HZ96">
        <f>IF(AND(HZ$4=1,HZ46=0),1,0)</f>
        <v/>
      </c>
      <c r="IA96">
        <f>IF(AND(IA$4=1,IA46=0),1,0)</f>
        <v/>
      </c>
      <c r="IB96">
        <f>IF(AND(IB$4=1,IB46=0),1,0)</f>
        <v/>
      </c>
      <c r="IC96">
        <f>IF(AND(IC$4=1,IC46=0),1,0)</f>
        <v/>
      </c>
      <c r="ID96">
        <f>IF(AND(ID$4=1,ID46=0),1,0)</f>
        <v/>
      </c>
      <c r="IE96">
        <f>IF(AND(IE$4=1,IE46=0),1,0)</f>
        <v/>
      </c>
      <c r="IF96">
        <f>IF(AND(IF$4=1,IF46=0),1,0)</f>
        <v/>
      </c>
      <c r="IG96">
        <f>IF(AND(IG$4=1,IG46=0),1,0)</f>
        <v/>
      </c>
      <c r="IH96">
        <f>IF(AND(IH$4=1,IH46=0),1,0)</f>
        <v/>
      </c>
      <c r="II96">
        <f>IF(AND(II$4=1,II46=0),1,0)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c r="ER97">
        <f>IF(AND(ER$4=1,ER47=0),1,0)</f>
        <v/>
      </c>
      <c r="ES97">
        <f>IF(AND(ES$4=1,ES47=0),1,0)</f>
        <v/>
      </c>
      <c r="ET97">
        <f>IF(AND(ET$4=1,ET47=0),1,0)</f>
        <v/>
      </c>
      <c r="EU97">
        <f>IF(AND(EU$4=1,EU47=0),1,0)</f>
        <v/>
      </c>
      <c r="EV97">
        <f>IF(AND(EV$4=1,EV47=0),1,0)</f>
        <v/>
      </c>
      <c r="EW97">
        <f>IF(AND(EW$4=1,EW47=0),1,0)</f>
        <v/>
      </c>
      <c r="EX97">
        <f>IF(AND(EX$4=1,EX47=0),1,0)</f>
        <v/>
      </c>
      <c r="EY97">
        <f>IF(AND(EY$4=1,EY47=0),1,0)</f>
        <v/>
      </c>
      <c r="EZ97">
        <f>IF(AND(EZ$4=1,EZ47=0),1,0)</f>
        <v/>
      </c>
      <c r="FA97">
        <f>IF(AND(FA$4=1,FA47=0),1,0)</f>
        <v/>
      </c>
      <c r="FB97">
        <f>IF(AND(FB$4=1,FB47=0),1,0)</f>
        <v/>
      </c>
      <c r="FC97">
        <f>IF(AND(FC$4=1,FC47=0),1,0)</f>
        <v/>
      </c>
      <c r="FD97">
        <f>IF(AND(FD$4=1,FD47=0),1,0)</f>
        <v/>
      </c>
      <c r="FE97">
        <f>IF(AND(FE$4=1,FE47=0),1,0)</f>
        <v/>
      </c>
      <c r="FF97">
        <f>IF(AND(FF$4=1,FF47=0),1,0)</f>
        <v/>
      </c>
      <c r="FG97">
        <f>IF(AND(FG$4=1,FG47=0),1,0)</f>
        <v/>
      </c>
      <c r="FH97">
        <f>IF(AND(FH$4=1,FH47=0),1,0)</f>
        <v/>
      </c>
      <c r="FI97">
        <f>IF(AND(FI$4=1,FI47=0),1,0)</f>
        <v/>
      </c>
      <c r="FJ97">
        <f>IF(AND(FJ$4=1,FJ47=0),1,0)</f>
        <v/>
      </c>
      <c r="FK97">
        <f>IF(AND(FK$4=1,FK47=0),1,0)</f>
        <v/>
      </c>
      <c r="FL97">
        <f>IF(AND(FL$4=1,FL47=0),1,0)</f>
        <v/>
      </c>
      <c r="FM97">
        <f>IF(AND(FM$4=1,FM47=0),1,0)</f>
        <v/>
      </c>
      <c r="FN97">
        <f>IF(AND(FN$4=1,FN47=0),1,0)</f>
        <v/>
      </c>
      <c r="FO97">
        <f>IF(AND(FO$4=1,FO47=0),1,0)</f>
        <v/>
      </c>
      <c r="FP97">
        <f>IF(AND(FP$4=1,FP47=0),1,0)</f>
        <v/>
      </c>
      <c r="FQ97">
        <f>IF(AND(FQ$4=1,FQ47=0),1,0)</f>
        <v/>
      </c>
      <c r="FR97">
        <f>IF(AND(FR$4=1,FR47=0),1,0)</f>
        <v/>
      </c>
      <c r="FS97">
        <f>IF(AND(FS$4=1,FS47=0),1,0)</f>
        <v/>
      </c>
      <c r="FT97">
        <f>IF(AND(FT$4=1,FT47=0),1,0)</f>
        <v/>
      </c>
      <c r="FU97">
        <f>IF(AND(FU$4=1,FU47=0),1,0)</f>
        <v/>
      </c>
      <c r="FV97">
        <f>IF(AND(FV$4=1,FV47=0),1,0)</f>
        <v/>
      </c>
      <c r="FW97">
        <f>IF(AND(FW$4=1,FW47=0),1,0)</f>
        <v/>
      </c>
      <c r="FX97">
        <f>IF(AND(FX$4=1,FX47=0),1,0)</f>
        <v/>
      </c>
      <c r="FY97">
        <f>IF(AND(FY$4=1,FY47=0),1,0)</f>
        <v/>
      </c>
      <c r="FZ97">
        <f>IF(AND(FZ$4=1,FZ47=0),1,0)</f>
        <v/>
      </c>
      <c r="GA97">
        <f>IF(AND(GA$4=1,GA47=0),1,0)</f>
        <v/>
      </c>
      <c r="GB97">
        <f>IF(AND(GB$4=1,GB47=0),1,0)</f>
        <v/>
      </c>
      <c r="GC97">
        <f>IF(AND(GC$4=1,GC47=0),1,0)</f>
        <v/>
      </c>
      <c r="GD97">
        <f>IF(AND(GD$4=1,GD47=0),1,0)</f>
        <v/>
      </c>
      <c r="GE97">
        <f>IF(AND(GE$4=1,GE47=0),1,0)</f>
        <v/>
      </c>
      <c r="GF97">
        <f>IF(AND(GF$4=1,GF47=0),1,0)</f>
        <v/>
      </c>
      <c r="GG97">
        <f>IF(AND(GG$4=1,GG47=0),1,0)</f>
        <v/>
      </c>
      <c r="GH97">
        <f>IF(AND(GH$4=1,GH47=0),1,0)</f>
        <v/>
      </c>
      <c r="GI97">
        <f>IF(AND(GI$4=1,GI47=0),1,0)</f>
        <v/>
      </c>
      <c r="GJ97">
        <f>IF(AND(GJ$4=1,GJ47=0),1,0)</f>
        <v/>
      </c>
      <c r="GK97">
        <f>IF(AND(GK$4=1,GK47=0),1,0)</f>
        <v/>
      </c>
      <c r="GL97">
        <f>IF(AND(GL$4=1,GL47=0),1,0)</f>
        <v/>
      </c>
      <c r="GM97">
        <f>IF(AND(GM$4=1,GM47=0),1,0)</f>
        <v/>
      </c>
      <c r="GN97">
        <f>IF(AND(GN$4=1,GN47=0),1,0)</f>
        <v/>
      </c>
      <c r="GO97">
        <f>IF(AND(GO$4=1,GO47=0),1,0)</f>
        <v/>
      </c>
      <c r="GP97">
        <f>IF(AND(GP$4=1,GP47=0),1,0)</f>
        <v/>
      </c>
      <c r="GQ97">
        <f>IF(AND(GQ$4=1,GQ47=0),1,0)</f>
        <v/>
      </c>
      <c r="GR97">
        <f>IF(AND(GR$4=1,GR47=0),1,0)</f>
        <v/>
      </c>
      <c r="GS97">
        <f>IF(AND(GS$4=1,GS47=0),1,0)</f>
        <v/>
      </c>
      <c r="GT97">
        <f>IF(AND(GT$4=1,GT47=0),1,0)</f>
        <v/>
      </c>
      <c r="GU97">
        <f>IF(AND(GU$4=1,GU47=0),1,0)</f>
        <v/>
      </c>
      <c r="GV97">
        <f>IF(AND(GV$4=1,GV47=0),1,0)</f>
        <v/>
      </c>
      <c r="GW97">
        <f>IF(AND(GW$4=1,GW47=0),1,0)</f>
        <v/>
      </c>
      <c r="GX97">
        <f>IF(AND(GX$4=1,GX47=0),1,0)</f>
        <v/>
      </c>
      <c r="GY97">
        <f>IF(AND(GY$4=1,GY47=0),1,0)</f>
        <v/>
      </c>
      <c r="GZ97">
        <f>IF(AND(GZ$4=1,GZ47=0),1,0)</f>
        <v/>
      </c>
      <c r="HA97">
        <f>IF(AND(HA$4=1,HA47=0),1,0)</f>
        <v/>
      </c>
      <c r="HB97">
        <f>IF(AND(HB$4=1,HB47=0),1,0)</f>
        <v/>
      </c>
      <c r="HC97">
        <f>IF(AND(HC$4=1,HC47=0),1,0)</f>
        <v/>
      </c>
      <c r="HD97">
        <f>IF(AND(HD$4=1,HD47=0),1,0)</f>
        <v/>
      </c>
      <c r="HE97">
        <f>IF(AND(HE$4=1,HE47=0),1,0)</f>
        <v/>
      </c>
      <c r="HF97">
        <f>IF(AND(HF$4=1,HF47=0),1,0)</f>
        <v/>
      </c>
      <c r="HG97">
        <f>IF(AND(HG$4=1,HG47=0),1,0)</f>
        <v/>
      </c>
      <c r="HH97">
        <f>IF(AND(HH$4=1,HH47=0),1,0)</f>
        <v/>
      </c>
      <c r="HI97">
        <f>IF(AND(HI$4=1,HI47=0),1,0)</f>
        <v/>
      </c>
      <c r="HJ97">
        <f>IF(AND(HJ$4=1,HJ47=0),1,0)</f>
        <v/>
      </c>
      <c r="HK97">
        <f>IF(AND(HK$4=1,HK47=0),1,0)</f>
        <v/>
      </c>
      <c r="HL97">
        <f>IF(AND(HL$4=1,HL47=0),1,0)</f>
        <v/>
      </c>
      <c r="HM97">
        <f>IF(AND(HM$4=1,HM47=0),1,0)</f>
        <v/>
      </c>
      <c r="HN97">
        <f>IF(AND(HN$4=1,HN47=0),1,0)</f>
        <v/>
      </c>
      <c r="HO97">
        <f>IF(AND(HO$4=1,HO47=0),1,0)</f>
        <v/>
      </c>
      <c r="HP97">
        <f>IF(AND(HP$4=1,HP47=0),1,0)</f>
        <v/>
      </c>
      <c r="HQ97">
        <f>IF(AND(HQ$4=1,HQ47=0),1,0)</f>
        <v/>
      </c>
      <c r="HR97">
        <f>IF(AND(HR$4=1,HR47=0),1,0)</f>
        <v/>
      </c>
      <c r="HS97">
        <f>IF(AND(HS$4=1,HS47=0),1,0)</f>
        <v/>
      </c>
      <c r="HT97">
        <f>IF(AND(HT$4=1,HT47=0),1,0)</f>
        <v/>
      </c>
      <c r="HU97">
        <f>IF(AND(HU$4=1,HU47=0),1,0)</f>
        <v/>
      </c>
      <c r="HV97">
        <f>IF(AND(HV$4=1,HV47=0),1,0)</f>
        <v/>
      </c>
      <c r="HW97">
        <f>IF(AND(HW$4=1,HW47=0),1,0)</f>
        <v/>
      </c>
      <c r="HX97">
        <f>IF(AND(HX$4=1,HX47=0),1,0)</f>
        <v/>
      </c>
      <c r="HY97">
        <f>IF(AND(HY$4=1,HY47=0),1,0)</f>
        <v/>
      </c>
      <c r="HZ97">
        <f>IF(AND(HZ$4=1,HZ47=0),1,0)</f>
        <v/>
      </c>
      <c r="IA97">
        <f>IF(AND(IA$4=1,IA47=0),1,0)</f>
        <v/>
      </c>
      <c r="IB97">
        <f>IF(AND(IB$4=1,IB47=0),1,0)</f>
        <v/>
      </c>
      <c r="IC97">
        <f>IF(AND(IC$4=1,IC47=0),1,0)</f>
        <v/>
      </c>
      <c r="ID97">
        <f>IF(AND(ID$4=1,ID47=0),1,0)</f>
        <v/>
      </c>
      <c r="IE97">
        <f>IF(AND(IE$4=1,IE47=0),1,0)</f>
        <v/>
      </c>
      <c r="IF97">
        <f>IF(AND(IF$4=1,IF47=0),1,0)</f>
        <v/>
      </c>
      <c r="IG97">
        <f>IF(AND(IG$4=1,IG47=0),1,0)</f>
        <v/>
      </c>
      <c r="IH97">
        <f>IF(AND(IH$4=1,IH47=0),1,0)</f>
        <v/>
      </c>
      <c r="II97">
        <f>IF(AND(II$4=1,II47=0),1,0)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c r="ER98">
        <f>IF(AND(ER$4=1,ER48=0),1,0)</f>
        <v/>
      </c>
      <c r="ES98">
        <f>IF(AND(ES$4=1,ES48=0),1,0)</f>
        <v/>
      </c>
      <c r="ET98">
        <f>IF(AND(ET$4=1,ET48=0),1,0)</f>
        <v/>
      </c>
      <c r="EU98">
        <f>IF(AND(EU$4=1,EU48=0),1,0)</f>
        <v/>
      </c>
      <c r="EV98">
        <f>IF(AND(EV$4=1,EV48=0),1,0)</f>
        <v/>
      </c>
      <c r="EW98">
        <f>IF(AND(EW$4=1,EW48=0),1,0)</f>
        <v/>
      </c>
      <c r="EX98">
        <f>IF(AND(EX$4=1,EX48=0),1,0)</f>
        <v/>
      </c>
      <c r="EY98">
        <f>IF(AND(EY$4=1,EY48=0),1,0)</f>
        <v/>
      </c>
      <c r="EZ98">
        <f>IF(AND(EZ$4=1,EZ48=0),1,0)</f>
        <v/>
      </c>
      <c r="FA98">
        <f>IF(AND(FA$4=1,FA48=0),1,0)</f>
        <v/>
      </c>
      <c r="FB98">
        <f>IF(AND(FB$4=1,FB48=0),1,0)</f>
        <v/>
      </c>
      <c r="FC98">
        <f>IF(AND(FC$4=1,FC48=0),1,0)</f>
        <v/>
      </c>
      <c r="FD98">
        <f>IF(AND(FD$4=1,FD48=0),1,0)</f>
        <v/>
      </c>
      <c r="FE98">
        <f>IF(AND(FE$4=1,FE48=0),1,0)</f>
        <v/>
      </c>
      <c r="FF98">
        <f>IF(AND(FF$4=1,FF48=0),1,0)</f>
        <v/>
      </c>
      <c r="FG98">
        <f>IF(AND(FG$4=1,FG48=0),1,0)</f>
        <v/>
      </c>
      <c r="FH98">
        <f>IF(AND(FH$4=1,FH48=0),1,0)</f>
        <v/>
      </c>
      <c r="FI98">
        <f>IF(AND(FI$4=1,FI48=0),1,0)</f>
        <v/>
      </c>
      <c r="FJ98">
        <f>IF(AND(FJ$4=1,FJ48=0),1,0)</f>
        <v/>
      </c>
      <c r="FK98">
        <f>IF(AND(FK$4=1,FK48=0),1,0)</f>
        <v/>
      </c>
      <c r="FL98">
        <f>IF(AND(FL$4=1,FL48=0),1,0)</f>
        <v/>
      </c>
      <c r="FM98">
        <f>IF(AND(FM$4=1,FM48=0),1,0)</f>
        <v/>
      </c>
      <c r="FN98">
        <f>IF(AND(FN$4=1,FN48=0),1,0)</f>
        <v/>
      </c>
      <c r="FO98">
        <f>IF(AND(FO$4=1,FO48=0),1,0)</f>
        <v/>
      </c>
      <c r="FP98">
        <f>IF(AND(FP$4=1,FP48=0),1,0)</f>
        <v/>
      </c>
      <c r="FQ98">
        <f>IF(AND(FQ$4=1,FQ48=0),1,0)</f>
        <v/>
      </c>
      <c r="FR98">
        <f>IF(AND(FR$4=1,FR48=0),1,0)</f>
        <v/>
      </c>
      <c r="FS98">
        <f>IF(AND(FS$4=1,FS48=0),1,0)</f>
        <v/>
      </c>
      <c r="FT98">
        <f>IF(AND(FT$4=1,FT48=0),1,0)</f>
        <v/>
      </c>
      <c r="FU98">
        <f>IF(AND(FU$4=1,FU48=0),1,0)</f>
        <v/>
      </c>
      <c r="FV98">
        <f>IF(AND(FV$4=1,FV48=0),1,0)</f>
        <v/>
      </c>
      <c r="FW98">
        <f>IF(AND(FW$4=1,FW48=0),1,0)</f>
        <v/>
      </c>
      <c r="FX98">
        <f>IF(AND(FX$4=1,FX48=0),1,0)</f>
        <v/>
      </c>
      <c r="FY98">
        <f>IF(AND(FY$4=1,FY48=0),1,0)</f>
        <v/>
      </c>
      <c r="FZ98">
        <f>IF(AND(FZ$4=1,FZ48=0),1,0)</f>
        <v/>
      </c>
      <c r="GA98">
        <f>IF(AND(GA$4=1,GA48=0),1,0)</f>
        <v/>
      </c>
      <c r="GB98">
        <f>IF(AND(GB$4=1,GB48=0),1,0)</f>
        <v/>
      </c>
      <c r="GC98">
        <f>IF(AND(GC$4=1,GC48=0),1,0)</f>
        <v/>
      </c>
      <c r="GD98">
        <f>IF(AND(GD$4=1,GD48=0),1,0)</f>
        <v/>
      </c>
      <c r="GE98">
        <f>IF(AND(GE$4=1,GE48=0),1,0)</f>
        <v/>
      </c>
      <c r="GF98">
        <f>IF(AND(GF$4=1,GF48=0),1,0)</f>
        <v/>
      </c>
      <c r="GG98">
        <f>IF(AND(GG$4=1,GG48=0),1,0)</f>
        <v/>
      </c>
      <c r="GH98">
        <f>IF(AND(GH$4=1,GH48=0),1,0)</f>
        <v/>
      </c>
      <c r="GI98">
        <f>IF(AND(GI$4=1,GI48=0),1,0)</f>
        <v/>
      </c>
      <c r="GJ98">
        <f>IF(AND(GJ$4=1,GJ48=0),1,0)</f>
        <v/>
      </c>
      <c r="GK98">
        <f>IF(AND(GK$4=1,GK48=0),1,0)</f>
        <v/>
      </c>
      <c r="GL98">
        <f>IF(AND(GL$4=1,GL48=0),1,0)</f>
        <v/>
      </c>
      <c r="GM98">
        <f>IF(AND(GM$4=1,GM48=0),1,0)</f>
        <v/>
      </c>
      <c r="GN98">
        <f>IF(AND(GN$4=1,GN48=0),1,0)</f>
        <v/>
      </c>
      <c r="GO98">
        <f>IF(AND(GO$4=1,GO48=0),1,0)</f>
        <v/>
      </c>
      <c r="GP98">
        <f>IF(AND(GP$4=1,GP48=0),1,0)</f>
        <v/>
      </c>
      <c r="GQ98">
        <f>IF(AND(GQ$4=1,GQ48=0),1,0)</f>
        <v/>
      </c>
      <c r="GR98">
        <f>IF(AND(GR$4=1,GR48=0),1,0)</f>
        <v/>
      </c>
      <c r="GS98">
        <f>IF(AND(GS$4=1,GS48=0),1,0)</f>
        <v/>
      </c>
      <c r="GT98">
        <f>IF(AND(GT$4=1,GT48=0),1,0)</f>
        <v/>
      </c>
      <c r="GU98">
        <f>IF(AND(GU$4=1,GU48=0),1,0)</f>
        <v/>
      </c>
      <c r="GV98">
        <f>IF(AND(GV$4=1,GV48=0),1,0)</f>
        <v/>
      </c>
      <c r="GW98">
        <f>IF(AND(GW$4=1,GW48=0),1,0)</f>
        <v/>
      </c>
      <c r="GX98">
        <f>IF(AND(GX$4=1,GX48=0),1,0)</f>
        <v/>
      </c>
      <c r="GY98">
        <f>IF(AND(GY$4=1,GY48=0),1,0)</f>
        <v/>
      </c>
      <c r="GZ98">
        <f>IF(AND(GZ$4=1,GZ48=0),1,0)</f>
        <v/>
      </c>
      <c r="HA98">
        <f>IF(AND(HA$4=1,HA48=0),1,0)</f>
        <v/>
      </c>
      <c r="HB98">
        <f>IF(AND(HB$4=1,HB48=0),1,0)</f>
        <v/>
      </c>
      <c r="HC98">
        <f>IF(AND(HC$4=1,HC48=0),1,0)</f>
        <v/>
      </c>
      <c r="HD98">
        <f>IF(AND(HD$4=1,HD48=0),1,0)</f>
        <v/>
      </c>
      <c r="HE98">
        <f>IF(AND(HE$4=1,HE48=0),1,0)</f>
        <v/>
      </c>
      <c r="HF98">
        <f>IF(AND(HF$4=1,HF48=0),1,0)</f>
        <v/>
      </c>
      <c r="HG98">
        <f>IF(AND(HG$4=1,HG48=0),1,0)</f>
        <v/>
      </c>
      <c r="HH98">
        <f>IF(AND(HH$4=1,HH48=0),1,0)</f>
        <v/>
      </c>
      <c r="HI98">
        <f>IF(AND(HI$4=1,HI48=0),1,0)</f>
        <v/>
      </c>
      <c r="HJ98">
        <f>IF(AND(HJ$4=1,HJ48=0),1,0)</f>
        <v/>
      </c>
      <c r="HK98">
        <f>IF(AND(HK$4=1,HK48=0),1,0)</f>
        <v/>
      </c>
      <c r="HL98">
        <f>IF(AND(HL$4=1,HL48=0),1,0)</f>
        <v/>
      </c>
      <c r="HM98">
        <f>IF(AND(HM$4=1,HM48=0),1,0)</f>
        <v/>
      </c>
      <c r="HN98">
        <f>IF(AND(HN$4=1,HN48=0),1,0)</f>
        <v/>
      </c>
      <c r="HO98">
        <f>IF(AND(HO$4=1,HO48=0),1,0)</f>
        <v/>
      </c>
      <c r="HP98">
        <f>IF(AND(HP$4=1,HP48=0),1,0)</f>
        <v/>
      </c>
      <c r="HQ98">
        <f>IF(AND(HQ$4=1,HQ48=0),1,0)</f>
        <v/>
      </c>
      <c r="HR98">
        <f>IF(AND(HR$4=1,HR48=0),1,0)</f>
        <v/>
      </c>
      <c r="HS98">
        <f>IF(AND(HS$4=1,HS48=0),1,0)</f>
        <v/>
      </c>
      <c r="HT98">
        <f>IF(AND(HT$4=1,HT48=0),1,0)</f>
        <v/>
      </c>
      <c r="HU98">
        <f>IF(AND(HU$4=1,HU48=0),1,0)</f>
        <v/>
      </c>
      <c r="HV98">
        <f>IF(AND(HV$4=1,HV48=0),1,0)</f>
        <v/>
      </c>
      <c r="HW98">
        <f>IF(AND(HW$4=1,HW48=0),1,0)</f>
        <v/>
      </c>
      <c r="HX98">
        <f>IF(AND(HX$4=1,HX48=0),1,0)</f>
        <v/>
      </c>
      <c r="HY98">
        <f>IF(AND(HY$4=1,HY48=0),1,0)</f>
        <v/>
      </c>
      <c r="HZ98">
        <f>IF(AND(HZ$4=1,HZ48=0),1,0)</f>
        <v/>
      </c>
      <c r="IA98">
        <f>IF(AND(IA$4=1,IA48=0),1,0)</f>
        <v/>
      </c>
      <c r="IB98">
        <f>IF(AND(IB$4=1,IB48=0),1,0)</f>
        <v/>
      </c>
      <c r="IC98">
        <f>IF(AND(IC$4=1,IC48=0),1,0)</f>
        <v/>
      </c>
      <c r="ID98">
        <f>IF(AND(ID$4=1,ID48=0),1,0)</f>
        <v/>
      </c>
      <c r="IE98">
        <f>IF(AND(IE$4=1,IE48=0),1,0)</f>
        <v/>
      </c>
      <c r="IF98">
        <f>IF(AND(IF$4=1,IF48=0),1,0)</f>
        <v/>
      </c>
      <c r="IG98">
        <f>IF(AND(IG$4=1,IG48=0),1,0)</f>
        <v/>
      </c>
      <c r="IH98">
        <f>IF(AND(IH$4=1,IH48=0),1,0)</f>
        <v/>
      </c>
      <c r="II98">
        <f>IF(AND(II$4=1,II48=0),1,0)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c r="ER99">
        <f>IF(AND(ER$4=1,ER49=0),1,0)</f>
        <v/>
      </c>
      <c r="ES99">
        <f>IF(AND(ES$4=1,ES49=0),1,0)</f>
        <v/>
      </c>
      <c r="ET99">
        <f>IF(AND(ET$4=1,ET49=0),1,0)</f>
        <v/>
      </c>
      <c r="EU99">
        <f>IF(AND(EU$4=1,EU49=0),1,0)</f>
        <v/>
      </c>
      <c r="EV99">
        <f>IF(AND(EV$4=1,EV49=0),1,0)</f>
        <v/>
      </c>
      <c r="EW99">
        <f>IF(AND(EW$4=1,EW49=0),1,0)</f>
        <v/>
      </c>
      <c r="EX99">
        <f>IF(AND(EX$4=1,EX49=0),1,0)</f>
        <v/>
      </c>
      <c r="EY99">
        <f>IF(AND(EY$4=1,EY49=0),1,0)</f>
        <v/>
      </c>
      <c r="EZ99">
        <f>IF(AND(EZ$4=1,EZ49=0),1,0)</f>
        <v/>
      </c>
      <c r="FA99">
        <f>IF(AND(FA$4=1,FA49=0),1,0)</f>
        <v/>
      </c>
      <c r="FB99">
        <f>IF(AND(FB$4=1,FB49=0),1,0)</f>
        <v/>
      </c>
      <c r="FC99">
        <f>IF(AND(FC$4=1,FC49=0),1,0)</f>
        <v/>
      </c>
      <c r="FD99">
        <f>IF(AND(FD$4=1,FD49=0),1,0)</f>
        <v/>
      </c>
      <c r="FE99">
        <f>IF(AND(FE$4=1,FE49=0),1,0)</f>
        <v/>
      </c>
      <c r="FF99">
        <f>IF(AND(FF$4=1,FF49=0),1,0)</f>
        <v/>
      </c>
      <c r="FG99">
        <f>IF(AND(FG$4=1,FG49=0),1,0)</f>
        <v/>
      </c>
      <c r="FH99">
        <f>IF(AND(FH$4=1,FH49=0),1,0)</f>
        <v/>
      </c>
      <c r="FI99">
        <f>IF(AND(FI$4=1,FI49=0),1,0)</f>
        <v/>
      </c>
      <c r="FJ99">
        <f>IF(AND(FJ$4=1,FJ49=0),1,0)</f>
        <v/>
      </c>
      <c r="FK99">
        <f>IF(AND(FK$4=1,FK49=0),1,0)</f>
        <v/>
      </c>
      <c r="FL99">
        <f>IF(AND(FL$4=1,FL49=0),1,0)</f>
        <v/>
      </c>
      <c r="FM99">
        <f>IF(AND(FM$4=1,FM49=0),1,0)</f>
        <v/>
      </c>
      <c r="FN99">
        <f>IF(AND(FN$4=1,FN49=0),1,0)</f>
        <v/>
      </c>
      <c r="FO99">
        <f>IF(AND(FO$4=1,FO49=0),1,0)</f>
        <v/>
      </c>
      <c r="FP99">
        <f>IF(AND(FP$4=1,FP49=0),1,0)</f>
        <v/>
      </c>
      <c r="FQ99">
        <f>IF(AND(FQ$4=1,FQ49=0),1,0)</f>
        <v/>
      </c>
      <c r="FR99">
        <f>IF(AND(FR$4=1,FR49=0),1,0)</f>
        <v/>
      </c>
      <c r="FS99">
        <f>IF(AND(FS$4=1,FS49=0),1,0)</f>
        <v/>
      </c>
      <c r="FT99">
        <f>IF(AND(FT$4=1,FT49=0),1,0)</f>
        <v/>
      </c>
      <c r="FU99">
        <f>IF(AND(FU$4=1,FU49=0),1,0)</f>
        <v/>
      </c>
      <c r="FV99">
        <f>IF(AND(FV$4=1,FV49=0),1,0)</f>
        <v/>
      </c>
      <c r="FW99">
        <f>IF(AND(FW$4=1,FW49=0),1,0)</f>
        <v/>
      </c>
      <c r="FX99">
        <f>IF(AND(FX$4=1,FX49=0),1,0)</f>
        <v/>
      </c>
      <c r="FY99">
        <f>IF(AND(FY$4=1,FY49=0),1,0)</f>
        <v/>
      </c>
      <c r="FZ99">
        <f>IF(AND(FZ$4=1,FZ49=0),1,0)</f>
        <v/>
      </c>
      <c r="GA99">
        <f>IF(AND(GA$4=1,GA49=0),1,0)</f>
        <v/>
      </c>
      <c r="GB99">
        <f>IF(AND(GB$4=1,GB49=0),1,0)</f>
        <v/>
      </c>
      <c r="GC99">
        <f>IF(AND(GC$4=1,GC49=0),1,0)</f>
        <v/>
      </c>
      <c r="GD99">
        <f>IF(AND(GD$4=1,GD49=0),1,0)</f>
        <v/>
      </c>
      <c r="GE99">
        <f>IF(AND(GE$4=1,GE49=0),1,0)</f>
        <v/>
      </c>
      <c r="GF99">
        <f>IF(AND(GF$4=1,GF49=0),1,0)</f>
        <v/>
      </c>
      <c r="GG99">
        <f>IF(AND(GG$4=1,GG49=0),1,0)</f>
        <v/>
      </c>
      <c r="GH99">
        <f>IF(AND(GH$4=1,GH49=0),1,0)</f>
        <v/>
      </c>
      <c r="GI99">
        <f>IF(AND(GI$4=1,GI49=0),1,0)</f>
        <v/>
      </c>
      <c r="GJ99">
        <f>IF(AND(GJ$4=1,GJ49=0),1,0)</f>
        <v/>
      </c>
      <c r="GK99">
        <f>IF(AND(GK$4=1,GK49=0),1,0)</f>
        <v/>
      </c>
      <c r="GL99">
        <f>IF(AND(GL$4=1,GL49=0),1,0)</f>
        <v/>
      </c>
      <c r="GM99">
        <f>IF(AND(GM$4=1,GM49=0),1,0)</f>
        <v/>
      </c>
      <c r="GN99">
        <f>IF(AND(GN$4=1,GN49=0),1,0)</f>
        <v/>
      </c>
      <c r="GO99">
        <f>IF(AND(GO$4=1,GO49=0),1,0)</f>
        <v/>
      </c>
      <c r="GP99">
        <f>IF(AND(GP$4=1,GP49=0),1,0)</f>
        <v/>
      </c>
      <c r="GQ99">
        <f>IF(AND(GQ$4=1,GQ49=0),1,0)</f>
        <v/>
      </c>
      <c r="GR99">
        <f>IF(AND(GR$4=1,GR49=0),1,0)</f>
        <v/>
      </c>
      <c r="GS99">
        <f>IF(AND(GS$4=1,GS49=0),1,0)</f>
        <v/>
      </c>
      <c r="GT99">
        <f>IF(AND(GT$4=1,GT49=0),1,0)</f>
        <v/>
      </c>
      <c r="GU99">
        <f>IF(AND(GU$4=1,GU49=0),1,0)</f>
        <v/>
      </c>
      <c r="GV99">
        <f>IF(AND(GV$4=1,GV49=0),1,0)</f>
        <v/>
      </c>
      <c r="GW99">
        <f>IF(AND(GW$4=1,GW49=0),1,0)</f>
        <v/>
      </c>
      <c r="GX99">
        <f>IF(AND(GX$4=1,GX49=0),1,0)</f>
        <v/>
      </c>
      <c r="GY99">
        <f>IF(AND(GY$4=1,GY49=0),1,0)</f>
        <v/>
      </c>
      <c r="GZ99">
        <f>IF(AND(GZ$4=1,GZ49=0),1,0)</f>
        <v/>
      </c>
      <c r="HA99">
        <f>IF(AND(HA$4=1,HA49=0),1,0)</f>
        <v/>
      </c>
      <c r="HB99">
        <f>IF(AND(HB$4=1,HB49=0),1,0)</f>
        <v/>
      </c>
      <c r="HC99">
        <f>IF(AND(HC$4=1,HC49=0),1,0)</f>
        <v/>
      </c>
      <c r="HD99">
        <f>IF(AND(HD$4=1,HD49=0),1,0)</f>
        <v/>
      </c>
      <c r="HE99">
        <f>IF(AND(HE$4=1,HE49=0),1,0)</f>
        <v/>
      </c>
      <c r="HF99">
        <f>IF(AND(HF$4=1,HF49=0),1,0)</f>
        <v/>
      </c>
      <c r="HG99">
        <f>IF(AND(HG$4=1,HG49=0),1,0)</f>
        <v/>
      </c>
      <c r="HH99">
        <f>IF(AND(HH$4=1,HH49=0),1,0)</f>
        <v/>
      </c>
      <c r="HI99">
        <f>IF(AND(HI$4=1,HI49=0),1,0)</f>
        <v/>
      </c>
      <c r="HJ99">
        <f>IF(AND(HJ$4=1,HJ49=0),1,0)</f>
        <v/>
      </c>
      <c r="HK99">
        <f>IF(AND(HK$4=1,HK49=0),1,0)</f>
        <v/>
      </c>
      <c r="HL99">
        <f>IF(AND(HL$4=1,HL49=0),1,0)</f>
        <v/>
      </c>
      <c r="HM99">
        <f>IF(AND(HM$4=1,HM49=0),1,0)</f>
        <v/>
      </c>
      <c r="HN99">
        <f>IF(AND(HN$4=1,HN49=0),1,0)</f>
        <v/>
      </c>
      <c r="HO99">
        <f>IF(AND(HO$4=1,HO49=0),1,0)</f>
        <v/>
      </c>
      <c r="HP99">
        <f>IF(AND(HP$4=1,HP49=0),1,0)</f>
        <v/>
      </c>
      <c r="HQ99">
        <f>IF(AND(HQ$4=1,HQ49=0),1,0)</f>
        <v/>
      </c>
      <c r="HR99">
        <f>IF(AND(HR$4=1,HR49=0),1,0)</f>
        <v/>
      </c>
      <c r="HS99">
        <f>IF(AND(HS$4=1,HS49=0),1,0)</f>
        <v/>
      </c>
      <c r="HT99">
        <f>IF(AND(HT$4=1,HT49=0),1,0)</f>
        <v/>
      </c>
      <c r="HU99">
        <f>IF(AND(HU$4=1,HU49=0),1,0)</f>
        <v/>
      </c>
      <c r="HV99">
        <f>IF(AND(HV$4=1,HV49=0),1,0)</f>
        <v/>
      </c>
      <c r="HW99">
        <f>IF(AND(HW$4=1,HW49=0),1,0)</f>
        <v/>
      </c>
      <c r="HX99">
        <f>IF(AND(HX$4=1,HX49=0),1,0)</f>
        <v/>
      </c>
      <c r="HY99">
        <f>IF(AND(HY$4=1,HY49=0),1,0)</f>
        <v/>
      </c>
      <c r="HZ99">
        <f>IF(AND(HZ$4=1,HZ49=0),1,0)</f>
        <v/>
      </c>
      <c r="IA99">
        <f>IF(AND(IA$4=1,IA49=0),1,0)</f>
        <v/>
      </c>
      <c r="IB99">
        <f>IF(AND(IB$4=1,IB49=0),1,0)</f>
        <v/>
      </c>
      <c r="IC99">
        <f>IF(AND(IC$4=1,IC49=0),1,0)</f>
        <v/>
      </c>
      <c r="ID99">
        <f>IF(AND(ID$4=1,ID49=0),1,0)</f>
        <v/>
      </c>
      <c r="IE99">
        <f>IF(AND(IE$4=1,IE49=0),1,0)</f>
        <v/>
      </c>
      <c r="IF99">
        <f>IF(AND(IF$4=1,IF49=0),1,0)</f>
        <v/>
      </c>
      <c r="IG99">
        <f>IF(AND(IG$4=1,IG49=0),1,0)</f>
        <v/>
      </c>
      <c r="IH99">
        <f>IF(AND(IH$4=1,IH49=0),1,0)</f>
        <v/>
      </c>
      <c r="II99">
        <f>IF(AND(II$4=1,II49=0),1,0)</f>
        <v/>
      </c>
    </row>
    <row r="100">
      <c r="A100" t="n">
        <v>41</v>
      </c>
      <c r="D100">
        <f>IF(AND(D$4=1,D50=0),1,0)</f>
        <v/>
      </c>
      <c r="E100">
        <f>IF(AND(E$4=1,E50=0),1,0)</f>
        <v/>
      </c>
      <c r="F100">
        <f>IF(AND(F$4=1,F50=0),1,0)</f>
        <v/>
      </c>
      <c r="G100">
        <f>IF(AND(G$4=1,G50=0),1,0)</f>
        <v/>
      </c>
      <c r="H100">
        <f>IF(AND(H$4=1,H50=0),1,0)</f>
        <v/>
      </c>
      <c r="I100">
        <f>IF(AND(I$4=1,I50=0),1,0)</f>
        <v/>
      </c>
      <c r="J100">
        <f>IF(AND(J$4=1,J50=0),1,0)</f>
        <v/>
      </c>
      <c r="K100">
        <f>IF(AND(K$4=1,K50=0),1,0)</f>
        <v/>
      </c>
      <c r="L100">
        <f>IF(AND(L$4=1,L50=0),1,0)</f>
        <v/>
      </c>
      <c r="M100">
        <f>IF(AND(M$4=1,M50=0),1,0)</f>
        <v/>
      </c>
      <c r="N100">
        <f>IF(AND(N$4=1,N50=0),1,0)</f>
        <v/>
      </c>
      <c r="O100">
        <f>IF(AND(O$4=1,O50=0),1,0)</f>
        <v/>
      </c>
      <c r="P100">
        <f>IF(AND(P$4=1,P50=0),1,0)</f>
        <v/>
      </c>
      <c r="Q100">
        <f>IF(AND(Q$4=1,Q50=0),1,0)</f>
        <v/>
      </c>
      <c r="R100">
        <f>IF(AND(R$4=1,R50=0),1,0)</f>
        <v/>
      </c>
      <c r="S100">
        <f>IF(AND(S$4=1,S50=0),1,0)</f>
        <v/>
      </c>
      <c r="T100">
        <f>IF(AND(T$4=1,T50=0),1,0)</f>
        <v/>
      </c>
      <c r="U100">
        <f>IF(AND(U$4=1,U50=0),1,0)</f>
        <v/>
      </c>
      <c r="V100">
        <f>IF(AND(V$4=1,V50=0),1,0)</f>
        <v/>
      </c>
      <c r="W100">
        <f>IF(AND(W$4=1,W50=0),1,0)</f>
        <v/>
      </c>
      <c r="X100">
        <f>IF(AND(X$4=1,X50=0),1,0)</f>
        <v/>
      </c>
      <c r="Y100">
        <f>IF(AND(Y$4=1,Y50=0),1,0)</f>
        <v/>
      </c>
      <c r="Z100">
        <f>IF(AND(Z$4=1,Z50=0),1,0)</f>
        <v/>
      </c>
      <c r="AA100">
        <f>IF(AND(AA$4=1,AA50=0),1,0)</f>
        <v/>
      </c>
      <c r="AB100">
        <f>IF(AND(AB$4=1,AB50=0),1,0)</f>
        <v/>
      </c>
      <c r="AC100">
        <f>IF(AND(AC$4=1,AC50=0),1,0)</f>
        <v/>
      </c>
      <c r="AD100">
        <f>IF(AND(AD$4=1,AD50=0),1,0)</f>
        <v/>
      </c>
      <c r="AE100">
        <f>IF(AND(AE$4=1,AE50=0),1,0)</f>
        <v/>
      </c>
      <c r="AF100">
        <f>IF(AND(AF$4=1,AF50=0),1,0)</f>
        <v/>
      </c>
      <c r="AG100">
        <f>IF(AND(AG$4=1,AG50=0),1,0)</f>
        <v/>
      </c>
      <c r="AH100">
        <f>IF(AND(AH$4=1,AH50=0),1,0)</f>
        <v/>
      </c>
      <c r="AI100">
        <f>IF(AND(AI$4=1,AI50=0),1,0)</f>
        <v/>
      </c>
      <c r="AJ100">
        <f>IF(AND(AJ$4=1,AJ50=0),1,0)</f>
        <v/>
      </c>
      <c r="AK100">
        <f>IF(AND(AK$4=1,AK50=0),1,0)</f>
        <v/>
      </c>
      <c r="AL100">
        <f>IF(AND(AL$4=1,AL50=0),1,0)</f>
        <v/>
      </c>
      <c r="AM100">
        <f>IF(AND(AM$4=1,AM50=0),1,0)</f>
        <v/>
      </c>
      <c r="AN100">
        <f>IF(AND(AN$4=1,AN50=0),1,0)</f>
        <v/>
      </c>
      <c r="AO100">
        <f>IF(AND(AO$4=1,AO50=0),1,0)</f>
        <v/>
      </c>
      <c r="AP100">
        <f>IF(AND(AP$4=1,AP50=0),1,0)</f>
        <v/>
      </c>
      <c r="AQ100">
        <f>IF(AND(AQ$4=1,AQ50=0),1,0)</f>
        <v/>
      </c>
      <c r="AR100">
        <f>IF(AND(AR$4=1,AR50=0),1,0)</f>
        <v/>
      </c>
      <c r="AS100">
        <f>IF(AND(AS$4=1,AS50=0),1,0)</f>
        <v/>
      </c>
      <c r="AT100">
        <f>IF(AND(AT$4=1,AT50=0),1,0)</f>
        <v/>
      </c>
      <c r="AU100">
        <f>IF(AND(AU$4=1,AU50=0),1,0)</f>
        <v/>
      </c>
      <c r="AV100">
        <f>IF(AND(AV$4=1,AV50=0),1,0)</f>
        <v/>
      </c>
      <c r="AW100">
        <f>IF(AND(AW$4=1,AW50=0),1,0)</f>
        <v/>
      </c>
      <c r="AX100">
        <f>IF(AND(AX$4=1,AX50=0),1,0)</f>
        <v/>
      </c>
      <c r="AY100">
        <f>IF(AND(AY$4=1,AY50=0),1,0)</f>
        <v/>
      </c>
      <c r="AZ100">
        <f>IF(AND(AZ$4=1,AZ50=0),1,0)</f>
        <v/>
      </c>
      <c r="BA100">
        <f>IF(AND(BA$4=1,BA50=0),1,0)</f>
        <v/>
      </c>
      <c r="BB100">
        <f>IF(AND(BB$4=1,BB50=0),1,0)</f>
        <v/>
      </c>
      <c r="BC100">
        <f>IF(AND(BC$4=1,BC50=0),1,0)</f>
        <v/>
      </c>
      <c r="BD100">
        <f>IF(AND(BD$4=1,BD50=0),1,0)</f>
        <v/>
      </c>
      <c r="BE100">
        <f>IF(AND(BE$4=1,BE50=0),1,0)</f>
        <v/>
      </c>
      <c r="BF100">
        <f>IF(AND(BF$4=1,BF50=0),1,0)</f>
        <v/>
      </c>
      <c r="BG100">
        <f>IF(AND(BG$4=1,BG50=0),1,0)</f>
        <v/>
      </c>
      <c r="BH100">
        <f>IF(AND(BH$4=1,BH50=0),1,0)</f>
        <v/>
      </c>
      <c r="BI100">
        <f>IF(AND(BI$4=1,BI50=0),1,0)</f>
        <v/>
      </c>
      <c r="BJ100">
        <f>IF(AND(BJ$4=1,BJ50=0),1,0)</f>
        <v/>
      </c>
      <c r="BK100">
        <f>IF(AND(BK$4=1,BK50=0),1,0)</f>
        <v/>
      </c>
      <c r="BL100">
        <f>IF(AND(BL$4=1,BL50=0),1,0)</f>
        <v/>
      </c>
      <c r="BM100">
        <f>IF(AND(BM$4=1,BM50=0),1,0)</f>
        <v/>
      </c>
      <c r="BN100">
        <f>IF(AND(BN$4=1,BN50=0),1,0)</f>
        <v/>
      </c>
      <c r="BO100">
        <f>IF(AND(BO$4=1,BO50=0),1,0)</f>
        <v/>
      </c>
      <c r="BP100">
        <f>IF(AND(BP$4=1,BP50=0),1,0)</f>
        <v/>
      </c>
      <c r="BQ100">
        <f>IF(AND(BQ$4=1,BQ50=0),1,0)</f>
        <v/>
      </c>
      <c r="BR100">
        <f>IF(AND(BR$4=1,BR50=0),1,0)</f>
        <v/>
      </c>
      <c r="BS100">
        <f>IF(AND(BS$4=1,BS50=0),1,0)</f>
        <v/>
      </c>
      <c r="BT100">
        <f>IF(AND(BT$4=1,BT50=0),1,0)</f>
        <v/>
      </c>
      <c r="BU100">
        <f>IF(AND(BU$4=1,BU50=0),1,0)</f>
        <v/>
      </c>
      <c r="BV100">
        <f>IF(AND(BV$4=1,BV50=0),1,0)</f>
        <v/>
      </c>
      <c r="BW100">
        <f>IF(AND(BW$4=1,BW50=0),1,0)</f>
        <v/>
      </c>
      <c r="BX100">
        <f>IF(AND(BX$4=1,BX50=0),1,0)</f>
        <v/>
      </c>
      <c r="BY100">
        <f>IF(AND(BY$4=1,BY50=0),1,0)</f>
        <v/>
      </c>
      <c r="BZ100">
        <f>IF(AND(BZ$4=1,BZ50=0),1,0)</f>
        <v/>
      </c>
      <c r="CA100">
        <f>IF(AND(CA$4=1,CA50=0),1,0)</f>
        <v/>
      </c>
      <c r="CB100">
        <f>IF(AND(CB$4=1,CB50=0),1,0)</f>
        <v/>
      </c>
      <c r="CC100">
        <f>IF(AND(CC$4=1,CC50=0),1,0)</f>
        <v/>
      </c>
      <c r="CD100">
        <f>IF(AND(CD$4=1,CD50=0),1,0)</f>
        <v/>
      </c>
      <c r="CE100">
        <f>IF(AND(CE$4=1,CE50=0),1,0)</f>
        <v/>
      </c>
      <c r="CF100">
        <f>IF(AND(CF$4=1,CF50=0),1,0)</f>
        <v/>
      </c>
      <c r="CG100">
        <f>IF(AND(CG$4=1,CG50=0),1,0)</f>
        <v/>
      </c>
      <c r="CH100">
        <f>IF(AND(CH$4=1,CH50=0),1,0)</f>
        <v/>
      </c>
      <c r="CI100">
        <f>IF(AND(CI$4=1,CI50=0),1,0)</f>
        <v/>
      </c>
      <c r="CJ100">
        <f>IF(AND(CJ$4=1,CJ50=0),1,0)</f>
        <v/>
      </c>
      <c r="CK100">
        <f>IF(AND(CK$4=1,CK50=0),1,0)</f>
        <v/>
      </c>
      <c r="CL100">
        <f>IF(AND(CL$4=1,CL50=0),1,0)</f>
        <v/>
      </c>
      <c r="CM100">
        <f>IF(AND(CM$4=1,CM50=0),1,0)</f>
        <v/>
      </c>
      <c r="CN100">
        <f>IF(AND(CN$4=1,CN50=0),1,0)</f>
        <v/>
      </c>
      <c r="CO100">
        <f>IF(AND(CO$4=1,CO50=0),1,0)</f>
        <v/>
      </c>
      <c r="CP100">
        <f>IF(AND(CP$4=1,CP50=0),1,0)</f>
        <v/>
      </c>
      <c r="CQ100">
        <f>IF(AND(CQ$4=1,CQ50=0),1,0)</f>
        <v/>
      </c>
      <c r="CR100">
        <f>IF(AND(CR$4=1,CR50=0),1,0)</f>
        <v/>
      </c>
      <c r="CS100">
        <f>IF(AND(CS$4=1,CS50=0),1,0)</f>
        <v/>
      </c>
      <c r="CT100">
        <f>IF(AND(CT$4=1,CT50=0),1,0)</f>
        <v/>
      </c>
      <c r="CU100">
        <f>IF(AND(CU$4=1,CU50=0),1,0)</f>
        <v/>
      </c>
      <c r="CV100">
        <f>IF(AND(CV$4=1,CV50=0),1,0)</f>
        <v/>
      </c>
      <c r="CW100">
        <f>IF(AND(CW$4=1,CW50=0),1,0)</f>
        <v/>
      </c>
      <c r="CX100">
        <f>IF(AND(CX$4=1,CX50=0),1,0)</f>
        <v/>
      </c>
      <c r="CY100">
        <f>IF(AND(CY$4=1,CY50=0),1,0)</f>
        <v/>
      </c>
      <c r="CZ100">
        <f>IF(AND(CZ$4=1,CZ50=0),1,0)</f>
        <v/>
      </c>
      <c r="DA100">
        <f>IF(AND(DA$4=1,DA50=0),1,0)</f>
        <v/>
      </c>
      <c r="DB100">
        <f>IF(AND(DB$4=1,DB50=0),1,0)</f>
        <v/>
      </c>
      <c r="DC100">
        <f>IF(AND(DC$4=1,DC50=0),1,0)</f>
        <v/>
      </c>
      <c r="DD100">
        <f>IF(AND(DD$4=1,DD50=0),1,0)</f>
        <v/>
      </c>
      <c r="DE100">
        <f>IF(AND(DE$4=1,DE50=0),1,0)</f>
        <v/>
      </c>
      <c r="DF100">
        <f>IF(AND(DF$4=1,DF50=0),1,0)</f>
        <v/>
      </c>
      <c r="DG100">
        <f>IF(AND(DG$4=1,DG50=0),1,0)</f>
        <v/>
      </c>
      <c r="DH100">
        <f>IF(AND(DH$4=1,DH50=0),1,0)</f>
        <v/>
      </c>
      <c r="DI100">
        <f>IF(AND(DI$4=1,DI50=0),1,0)</f>
        <v/>
      </c>
      <c r="DJ100">
        <f>IF(AND(DJ$4=1,DJ50=0),1,0)</f>
        <v/>
      </c>
      <c r="DK100">
        <f>IF(AND(DK$4=1,DK50=0),1,0)</f>
        <v/>
      </c>
      <c r="DL100">
        <f>IF(AND(DL$4=1,DL50=0),1,0)</f>
        <v/>
      </c>
      <c r="DM100">
        <f>IF(AND(DM$4=1,DM50=0),1,0)</f>
        <v/>
      </c>
      <c r="DN100">
        <f>IF(AND(DN$4=1,DN50=0),1,0)</f>
        <v/>
      </c>
      <c r="DO100">
        <f>IF(AND(DO$4=1,DO50=0),1,0)</f>
        <v/>
      </c>
      <c r="DP100">
        <f>IF(AND(DP$4=1,DP50=0),1,0)</f>
        <v/>
      </c>
      <c r="DQ100">
        <f>IF(AND(DQ$4=1,DQ50=0),1,0)</f>
        <v/>
      </c>
      <c r="DR100">
        <f>IF(AND(DR$4=1,DR50=0),1,0)</f>
        <v/>
      </c>
      <c r="DS100">
        <f>IF(AND(DS$4=1,DS50=0),1,0)</f>
        <v/>
      </c>
      <c r="DT100">
        <f>IF(AND(DT$4=1,DT50=0),1,0)</f>
        <v/>
      </c>
      <c r="DU100">
        <f>IF(AND(DU$4=1,DU50=0),1,0)</f>
        <v/>
      </c>
      <c r="DV100">
        <f>IF(AND(DV$4=1,DV50=0),1,0)</f>
        <v/>
      </c>
      <c r="DW100">
        <f>IF(AND(DW$4=1,DW50=0),1,0)</f>
        <v/>
      </c>
      <c r="DX100">
        <f>IF(AND(DX$4=1,DX50=0),1,0)</f>
        <v/>
      </c>
      <c r="DY100">
        <f>IF(AND(DY$4=1,DY50=0),1,0)</f>
        <v/>
      </c>
      <c r="DZ100">
        <f>IF(AND(DZ$4=1,DZ50=0),1,0)</f>
        <v/>
      </c>
      <c r="EA100">
        <f>IF(AND(EA$4=1,EA50=0),1,0)</f>
        <v/>
      </c>
      <c r="EB100">
        <f>IF(AND(EB$4=1,EB50=0),1,0)</f>
        <v/>
      </c>
      <c r="EC100">
        <f>IF(AND(EC$4=1,EC50=0),1,0)</f>
        <v/>
      </c>
      <c r="ED100">
        <f>IF(AND(ED$4=1,ED50=0),1,0)</f>
        <v/>
      </c>
      <c r="EE100">
        <f>IF(AND(EE$4=1,EE50=0),1,0)</f>
        <v/>
      </c>
      <c r="EF100">
        <f>IF(AND(EF$4=1,EF50=0),1,0)</f>
        <v/>
      </c>
      <c r="EG100">
        <f>IF(AND(EG$4=1,EG50=0),1,0)</f>
        <v/>
      </c>
      <c r="EH100">
        <f>IF(AND(EH$4=1,EH50=0),1,0)</f>
        <v/>
      </c>
      <c r="EI100">
        <f>IF(AND(EI$4=1,EI50=0),1,0)</f>
        <v/>
      </c>
      <c r="EJ100">
        <f>IF(AND(EJ$4=1,EJ50=0),1,0)</f>
        <v/>
      </c>
      <c r="EK100">
        <f>IF(AND(EK$4=1,EK50=0),1,0)</f>
        <v/>
      </c>
      <c r="EL100">
        <f>IF(AND(EL$4=1,EL50=0),1,0)</f>
        <v/>
      </c>
      <c r="EM100">
        <f>IF(AND(EM$4=1,EM50=0),1,0)</f>
        <v/>
      </c>
      <c r="EN100">
        <f>IF(AND(EN$4=1,EN50=0),1,0)</f>
        <v/>
      </c>
      <c r="EO100">
        <f>IF(AND(EO$4=1,EO50=0),1,0)</f>
        <v/>
      </c>
      <c r="EP100">
        <f>IF(AND(EP$4=1,EP50=0),1,0)</f>
        <v/>
      </c>
      <c r="EQ100">
        <f>IF(AND(EQ$4=1,EQ50=0),1,0)</f>
        <v/>
      </c>
      <c r="ER100">
        <f>IF(AND(ER$4=1,ER50=0),1,0)</f>
        <v/>
      </c>
      <c r="ES100">
        <f>IF(AND(ES$4=1,ES50=0),1,0)</f>
        <v/>
      </c>
      <c r="ET100">
        <f>IF(AND(ET$4=1,ET50=0),1,0)</f>
        <v/>
      </c>
      <c r="EU100">
        <f>IF(AND(EU$4=1,EU50=0),1,0)</f>
        <v/>
      </c>
      <c r="EV100">
        <f>IF(AND(EV$4=1,EV50=0),1,0)</f>
        <v/>
      </c>
      <c r="EW100">
        <f>IF(AND(EW$4=1,EW50=0),1,0)</f>
        <v/>
      </c>
      <c r="EX100">
        <f>IF(AND(EX$4=1,EX50=0),1,0)</f>
        <v/>
      </c>
      <c r="EY100">
        <f>IF(AND(EY$4=1,EY50=0),1,0)</f>
        <v/>
      </c>
      <c r="EZ100">
        <f>IF(AND(EZ$4=1,EZ50=0),1,0)</f>
        <v/>
      </c>
      <c r="FA100">
        <f>IF(AND(FA$4=1,FA50=0),1,0)</f>
        <v/>
      </c>
      <c r="FB100">
        <f>IF(AND(FB$4=1,FB50=0),1,0)</f>
        <v/>
      </c>
      <c r="FC100">
        <f>IF(AND(FC$4=1,FC50=0),1,0)</f>
        <v/>
      </c>
      <c r="FD100">
        <f>IF(AND(FD$4=1,FD50=0),1,0)</f>
        <v/>
      </c>
      <c r="FE100">
        <f>IF(AND(FE$4=1,FE50=0),1,0)</f>
        <v/>
      </c>
      <c r="FF100">
        <f>IF(AND(FF$4=1,FF50=0),1,0)</f>
        <v/>
      </c>
      <c r="FG100">
        <f>IF(AND(FG$4=1,FG50=0),1,0)</f>
        <v/>
      </c>
      <c r="FH100">
        <f>IF(AND(FH$4=1,FH50=0),1,0)</f>
        <v/>
      </c>
      <c r="FI100">
        <f>IF(AND(FI$4=1,FI50=0),1,0)</f>
        <v/>
      </c>
      <c r="FJ100">
        <f>IF(AND(FJ$4=1,FJ50=0),1,0)</f>
        <v/>
      </c>
      <c r="FK100">
        <f>IF(AND(FK$4=1,FK50=0),1,0)</f>
        <v/>
      </c>
      <c r="FL100">
        <f>IF(AND(FL$4=1,FL50=0),1,0)</f>
        <v/>
      </c>
      <c r="FM100">
        <f>IF(AND(FM$4=1,FM50=0),1,0)</f>
        <v/>
      </c>
      <c r="FN100">
        <f>IF(AND(FN$4=1,FN50=0),1,0)</f>
        <v/>
      </c>
      <c r="FO100">
        <f>IF(AND(FO$4=1,FO50=0),1,0)</f>
        <v/>
      </c>
      <c r="FP100">
        <f>IF(AND(FP$4=1,FP50=0),1,0)</f>
        <v/>
      </c>
      <c r="FQ100">
        <f>IF(AND(FQ$4=1,FQ50=0),1,0)</f>
        <v/>
      </c>
      <c r="FR100">
        <f>IF(AND(FR$4=1,FR50=0),1,0)</f>
        <v/>
      </c>
      <c r="FS100">
        <f>IF(AND(FS$4=1,FS50=0),1,0)</f>
        <v/>
      </c>
      <c r="FT100">
        <f>IF(AND(FT$4=1,FT50=0),1,0)</f>
        <v/>
      </c>
      <c r="FU100">
        <f>IF(AND(FU$4=1,FU50=0),1,0)</f>
        <v/>
      </c>
      <c r="FV100">
        <f>IF(AND(FV$4=1,FV50=0),1,0)</f>
        <v/>
      </c>
      <c r="FW100">
        <f>IF(AND(FW$4=1,FW50=0),1,0)</f>
        <v/>
      </c>
      <c r="FX100">
        <f>IF(AND(FX$4=1,FX50=0),1,0)</f>
        <v/>
      </c>
      <c r="FY100">
        <f>IF(AND(FY$4=1,FY50=0),1,0)</f>
        <v/>
      </c>
      <c r="FZ100">
        <f>IF(AND(FZ$4=1,FZ50=0),1,0)</f>
        <v/>
      </c>
      <c r="GA100">
        <f>IF(AND(GA$4=1,GA50=0),1,0)</f>
        <v/>
      </c>
      <c r="GB100">
        <f>IF(AND(GB$4=1,GB50=0),1,0)</f>
        <v/>
      </c>
      <c r="GC100">
        <f>IF(AND(GC$4=1,GC50=0),1,0)</f>
        <v/>
      </c>
      <c r="GD100">
        <f>IF(AND(GD$4=1,GD50=0),1,0)</f>
        <v/>
      </c>
      <c r="GE100">
        <f>IF(AND(GE$4=1,GE50=0),1,0)</f>
        <v/>
      </c>
      <c r="GF100">
        <f>IF(AND(GF$4=1,GF50=0),1,0)</f>
        <v/>
      </c>
      <c r="GG100">
        <f>IF(AND(GG$4=1,GG50=0),1,0)</f>
        <v/>
      </c>
      <c r="GH100">
        <f>IF(AND(GH$4=1,GH50=0),1,0)</f>
        <v/>
      </c>
      <c r="GI100">
        <f>IF(AND(GI$4=1,GI50=0),1,0)</f>
        <v/>
      </c>
      <c r="GJ100">
        <f>IF(AND(GJ$4=1,GJ50=0),1,0)</f>
        <v/>
      </c>
      <c r="GK100">
        <f>IF(AND(GK$4=1,GK50=0),1,0)</f>
        <v/>
      </c>
      <c r="GL100">
        <f>IF(AND(GL$4=1,GL50=0),1,0)</f>
        <v/>
      </c>
      <c r="GM100">
        <f>IF(AND(GM$4=1,GM50=0),1,0)</f>
        <v/>
      </c>
      <c r="GN100">
        <f>IF(AND(GN$4=1,GN50=0),1,0)</f>
        <v/>
      </c>
      <c r="GO100">
        <f>IF(AND(GO$4=1,GO50=0),1,0)</f>
        <v/>
      </c>
      <c r="GP100">
        <f>IF(AND(GP$4=1,GP50=0),1,0)</f>
        <v/>
      </c>
      <c r="GQ100">
        <f>IF(AND(GQ$4=1,GQ50=0),1,0)</f>
        <v/>
      </c>
      <c r="GR100">
        <f>IF(AND(GR$4=1,GR50=0),1,0)</f>
        <v/>
      </c>
      <c r="GS100">
        <f>IF(AND(GS$4=1,GS50=0),1,0)</f>
        <v/>
      </c>
      <c r="GT100">
        <f>IF(AND(GT$4=1,GT50=0),1,0)</f>
        <v/>
      </c>
      <c r="GU100">
        <f>IF(AND(GU$4=1,GU50=0),1,0)</f>
        <v/>
      </c>
      <c r="GV100">
        <f>IF(AND(GV$4=1,GV50=0),1,0)</f>
        <v/>
      </c>
      <c r="GW100">
        <f>IF(AND(GW$4=1,GW50=0),1,0)</f>
        <v/>
      </c>
      <c r="GX100">
        <f>IF(AND(GX$4=1,GX50=0),1,0)</f>
        <v/>
      </c>
      <c r="GY100">
        <f>IF(AND(GY$4=1,GY50=0),1,0)</f>
        <v/>
      </c>
      <c r="GZ100">
        <f>IF(AND(GZ$4=1,GZ50=0),1,0)</f>
        <v/>
      </c>
      <c r="HA100">
        <f>IF(AND(HA$4=1,HA50=0),1,0)</f>
        <v/>
      </c>
      <c r="HB100">
        <f>IF(AND(HB$4=1,HB50=0),1,0)</f>
        <v/>
      </c>
      <c r="HC100">
        <f>IF(AND(HC$4=1,HC50=0),1,0)</f>
        <v/>
      </c>
      <c r="HD100">
        <f>IF(AND(HD$4=1,HD50=0),1,0)</f>
        <v/>
      </c>
      <c r="HE100">
        <f>IF(AND(HE$4=1,HE50=0),1,0)</f>
        <v/>
      </c>
      <c r="HF100">
        <f>IF(AND(HF$4=1,HF50=0),1,0)</f>
        <v/>
      </c>
      <c r="HG100">
        <f>IF(AND(HG$4=1,HG50=0),1,0)</f>
        <v/>
      </c>
      <c r="HH100">
        <f>IF(AND(HH$4=1,HH50=0),1,0)</f>
        <v/>
      </c>
      <c r="HI100">
        <f>IF(AND(HI$4=1,HI50=0),1,0)</f>
        <v/>
      </c>
      <c r="HJ100">
        <f>IF(AND(HJ$4=1,HJ50=0),1,0)</f>
        <v/>
      </c>
      <c r="HK100">
        <f>IF(AND(HK$4=1,HK50=0),1,0)</f>
        <v/>
      </c>
      <c r="HL100">
        <f>IF(AND(HL$4=1,HL50=0),1,0)</f>
        <v/>
      </c>
      <c r="HM100">
        <f>IF(AND(HM$4=1,HM50=0),1,0)</f>
        <v/>
      </c>
      <c r="HN100">
        <f>IF(AND(HN$4=1,HN50=0),1,0)</f>
        <v/>
      </c>
      <c r="HO100">
        <f>IF(AND(HO$4=1,HO50=0),1,0)</f>
        <v/>
      </c>
      <c r="HP100">
        <f>IF(AND(HP$4=1,HP50=0),1,0)</f>
        <v/>
      </c>
      <c r="HQ100">
        <f>IF(AND(HQ$4=1,HQ50=0),1,0)</f>
        <v/>
      </c>
      <c r="HR100">
        <f>IF(AND(HR$4=1,HR50=0),1,0)</f>
        <v/>
      </c>
      <c r="HS100">
        <f>IF(AND(HS$4=1,HS50=0),1,0)</f>
        <v/>
      </c>
      <c r="HT100">
        <f>IF(AND(HT$4=1,HT50=0),1,0)</f>
        <v/>
      </c>
      <c r="HU100">
        <f>IF(AND(HU$4=1,HU50=0),1,0)</f>
        <v/>
      </c>
      <c r="HV100">
        <f>IF(AND(HV$4=1,HV50=0),1,0)</f>
        <v/>
      </c>
      <c r="HW100">
        <f>IF(AND(HW$4=1,HW50=0),1,0)</f>
        <v/>
      </c>
      <c r="HX100">
        <f>IF(AND(HX$4=1,HX50=0),1,0)</f>
        <v/>
      </c>
      <c r="HY100">
        <f>IF(AND(HY$4=1,HY50=0),1,0)</f>
        <v/>
      </c>
      <c r="HZ100">
        <f>IF(AND(HZ$4=1,HZ50=0),1,0)</f>
        <v/>
      </c>
      <c r="IA100">
        <f>IF(AND(IA$4=1,IA50=0),1,0)</f>
        <v/>
      </c>
      <c r="IB100">
        <f>IF(AND(IB$4=1,IB50=0),1,0)</f>
        <v/>
      </c>
      <c r="IC100">
        <f>IF(AND(IC$4=1,IC50=0),1,0)</f>
        <v/>
      </c>
      <c r="ID100">
        <f>IF(AND(ID$4=1,ID50=0),1,0)</f>
        <v/>
      </c>
      <c r="IE100">
        <f>IF(AND(IE$4=1,IE50=0),1,0)</f>
        <v/>
      </c>
      <c r="IF100">
        <f>IF(AND(IF$4=1,IF50=0),1,0)</f>
        <v/>
      </c>
      <c r="IG100">
        <f>IF(AND(IG$4=1,IG50=0),1,0)</f>
        <v/>
      </c>
      <c r="IH100">
        <f>IF(AND(IH$4=1,IH50=0),1,0)</f>
        <v/>
      </c>
      <c r="II100">
        <f>IF(AND(II$4=1,II50=0),1,0)</f>
        <v/>
      </c>
    </row>
    <row r="101">
      <c r="A101" t="n">
        <v>42</v>
      </c>
      <c r="D101">
        <f>IF(AND(D$4=1,D51=0),1,0)</f>
        <v/>
      </c>
      <c r="E101">
        <f>IF(AND(E$4=1,E51=0),1,0)</f>
        <v/>
      </c>
      <c r="F101">
        <f>IF(AND(F$4=1,F51=0),1,0)</f>
        <v/>
      </c>
      <c r="G101">
        <f>IF(AND(G$4=1,G51=0),1,0)</f>
        <v/>
      </c>
      <c r="H101">
        <f>IF(AND(H$4=1,H51=0),1,0)</f>
        <v/>
      </c>
      <c r="I101">
        <f>IF(AND(I$4=1,I51=0),1,0)</f>
        <v/>
      </c>
      <c r="J101">
        <f>IF(AND(J$4=1,J51=0),1,0)</f>
        <v/>
      </c>
      <c r="K101">
        <f>IF(AND(K$4=1,K51=0),1,0)</f>
        <v/>
      </c>
      <c r="L101">
        <f>IF(AND(L$4=1,L51=0),1,0)</f>
        <v/>
      </c>
      <c r="M101">
        <f>IF(AND(M$4=1,M51=0),1,0)</f>
        <v/>
      </c>
      <c r="N101">
        <f>IF(AND(N$4=1,N51=0),1,0)</f>
        <v/>
      </c>
      <c r="O101">
        <f>IF(AND(O$4=1,O51=0),1,0)</f>
        <v/>
      </c>
      <c r="P101">
        <f>IF(AND(P$4=1,P51=0),1,0)</f>
        <v/>
      </c>
      <c r="Q101">
        <f>IF(AND(Q$4=1,Q51=0),1,0)</f>
        <v/>
      </c>
      <c r="R101">
        <f>IF(AND(R$4=1,R51=0),1,0)</f>
        <v/>
      </c>
      <c r="S101">
        <f>IF(AND(S$4=1,S51=0),1,0)</f>
        <v/>
      </c>
      <c r="T101">
        <f>IF(AND(T$4=1,T51=0),1,0)</f>
        <v/>
      </c>
      <c r="U101">
        <f>IF(AND(U$4=1,U51=0),1,0)</f>
        <v/>
      </c>
      <c r="V101">
        <f>IF(AND(V$4=1,V51=0),1,0)</f>
        <v/>
      </c>
      <c r="W101">
        <f>IF(AND(W$4=1,W51=0),1,0)</f>
        <v/>
      </c>
      <c r="X101">
        <f>IF(AND(X$4=1,X51=0),1,0)</f>
        <v/>
      </c>
      <c r="Y101">
        <f>IF(AND(Y$4=1,Y51=0),1,0)</f>
        <v/>
      </c>
      <c r="Z101">
        <f>IF(AND(Z$4=1,Z51=0),1,0)</f>
        <v/>
      </c>
      <c r="AA101">
        <f>IF(AND(AA$4=1,AA51=0),1,0)</f>
        <v/>
      </c>
      <c r="AB101">
        <f>IF(AND(AB$4=1,AB51=0),1,0)</f>
        <v/>
      </c>
      <c r="AC101">
        <f>IF(AND(AC$4=1,AC51=0),1,0)</f>
        <v/>
      </c>
      <c r="AD101">
        <f>IF(AND(AD$4=1,AD51=0),1,0)</f>
        <v/>
      </c>
      <c r="AE101">
        <f>IF(AND(AE$4=1,AE51=0),1,0)</f>
        <v/>
      </c>
      <c r="AF101">
        <f>IF(AND(AF$4=1,AF51=0),1,0)</f>
        <v/>
      </c>
      <c r="AG101">
        <f>IF(AND(AG$4=1,AG51=0),1,0)</f>
        <v/>
      </c>
      <c r="AH101">
        <f>IF(AND(AH$4=1,AH51=0),1,0)</f>
        <v/>
      </c>
      <c r="AI101">
        <f>IF(AND(AI$4=1,AI51=0),1,0)</f>
        <v/>
      </c>
      <c r="AJ101">
        <f>IF(AND(AJ$4=1,AJ51=0),1,0)</f>
        <v/>
      </c>
      <c r="AK101">
        <f>IF(AND(AK$4=1,AK51=0),1,0)</f>
        <v/>
      </c>
      <c r="AL101">
        <f>IF(AND(AL$4=1,AL51=0),1,0)</f>
        <v/>
      </c>
      <c r="AM101">
        <f>IF(AND(AM$4=1,AM51=0),1,0)</f>
        <v/>
      </c>
      <c r="AN101">
        <f>IF(AND(AN$4=1,AN51=0),1,0)</f>
        <v/>
      </c>
      <c r="AO101">
        <f>IF(AND(AO$4=1,AO51=0),1,0)</f>
        <v/>
      </c>
      <c r="AP101">
        <f>IF(AND(AP$4=1,AP51=0),1,0)</f>
        <v/>
      </c>
      <c r="AQ101">
        <f>IF(AND(AQ$4=1,AQ51=0),1,0)</f>
        <v/>
      </c>
      <c r="AR101">
        <f>IF(AND(AR$4=1,AR51=0),1,0)</f>
        <v/>
      </c>
      <c r="AS101">
        <f>IF(AND(AS$4=1,AS51=0),1,0)</f>
        <v/>
      </c>
      <c r="AT101">
        <f>IF(AND(AT$4=1,AT51=0),1,0)</f>
        <v/>
      </c>
      <c r="AU101">
        <f>IF(AND(AU$4=1,AU51=0),1,0)</f>
        <v/>
      </c>
      <c r="AV101">
        <f>IF(AND(AV$4=1,AV51=0),1,0)</f>
        <v/>
      </c>
      <c r="AW101">
        <f>IF(AND(AW$4=1,AW51=0),1,0)</f>
        <v/>
      </c>
      <c r="AX101">
        <f>IF(AND(AX$4=1,AX51=0),1,0)</f>
        <v/>
      </c>
      <c r="AY101">
        <f>IF(AND(AY$4=1,AY51=0),1,0)</f>
        <v/>
      </c>
      <c r="AZ101">
        <f>IF(AND(AZ$4=1,AZ51=0),1,0)</f>
        <v/>
      </c>
      <c r="BA101">
        <f>IF(AND(BA$4=1,BA51=0),1,0)</f>
        <v/>
      </c>
      <c r="BB101">
        <f>IF(AND(BB$4=1,BB51=0),1,0)</f>
        <v/>
      </c>
      <c r="BC101">
        <f>IF(AND(BC$4=1,BC51=0),1,0)</f>
        <v/>
      </c>
      <c r="BD101">
        <f>IF(AND(BD$4=1,BD51=0),1,0)</f>
        <v/>
      </c>
      <c r="BE101">
        <f>IF(AND(BE$4=1,BE51=0),1,0)</f>
        <v/>
      </c>
      <c r="BF101">
        <f>IF(AND(BF$4=1,BF51=0),1,0)</f>
        <v/>
      </c>
      <c r="BG101">
        <f>IF(AND(BG$4=1,BG51=0),1,0)</f>
        <v/>
      </c>
      <c r="BH101">
        <f>IF(AND(BH$4=1,BH51=0),1,0)</f>
        <v/>
      </c>
      <c r="BI101">
        <f>IF(AND(BI$4=1,BI51=0),1,0)</f>
        <v/>
      </c>
      <c r="BJ101">
        <f>IF(AND(BJ$4=1,BJ51=0),1,0)</f>
        <v/>
      </c>
      <c r="BK101">
        <f>IF(AND(BK$4=1,BK51=0),1,0)</f>
        <v/>
      </c>
      <c r="BL101">
        <f>IF(AND(BL$4=1,BL51=0),1,0)</f>
        <v/>
      </c>
      <c r="BM101">
        <f>IF(AND(BM$4=1,BM51=0),1,0)</f>
        <v/>
      </c>
      <c r="BN101">
        <f>IF(AND(BN$4=1,BN51=0),1,0)</f>
        <v/>
      </c>
      <c r="BO101">
        <f>IF(AND(BO$4=1,BO51=0),1,0)</f>
        <v/>
      </c>
      <c r="BP101">
        <f>IF(AND(BP$4=1,BP51=0),1,0)</f>
        <v/>
      </c>
      <c r="BQ101">
        <f>IF(AND(BQ$4=1,BQ51=0),1,0)</f>
        <v/>
      </c>
      <c r="BR101">
        <f>IF(AND(BR$4=1,BR51=0),1,0)</f>
        <v/>
      </c>
      <c r="BS101">
        <f>IF(AND(BS$4=1,BS51=0),1,0)</f>
        <v/>
      </c>
      <c r="BT101">
        <f>IF(AND(BT$4=1,BT51=0),1,0)</f>
        <v/>
      </c>
      <c r="BU101">
        <f>IF(AND(BU$4=1,BU51=0),1,0)</f>
        <v/>
      </c>
      <c r="BV101">
        <f>IF(AND(BV$4=1,BV51=0),1,0)</f>
        <v/>
      </c>
      <c r="BW101">
        <f>IF(AND(BW$4=1,BW51=0),1,0)</f>
        <v/>
      </c>
      <c r="BX101">
        <f>IF(AND(BX$4=1,BX51=0),1,0)</f>
        <v/>
      </c>
      <c r="BY101">
        <f>IF(AND(BY$4=1,BY51=0),1,0)</f>
        <v/>
      </c>
      <c r="BZ101">
        <f>IF(AND(BZ$4=1,BZ51=0),1,0)</f>
        <v/>
      </c>
      <c r="CA101">
        <f>IF(AND(CA$4=1,CA51=0),1,0)</f>
        <v/>
      </c>
      <c r="CB101">
        <f>IF(AND(CB$4=1,CB51=0),1,0)</f>
        <v/>
      </c>
      <c r="CC101">
        <f>IF(AND(CC$4=1,CC51=0),1,0)</f>
        <v/>
      </c>
      <c r="CD101">
        <f>IF(AND(CD$4=1,CD51=0),1,0)</f>
        <v/>
      </c>
      <c r="CE101">
        <f>IF(AND(CE$4=1,CE51=0),1,0)</f>
        <v/>
      </c>
      <c r="CF101">
        <f>IF(AND(CF$4=1,CF51=0),1,0)</f>
        <v/>
      </c>
      <c r="CG101">
        <f>IF(AND(CG$4=1,CG51=0),1,0)</f>
        <v/>
      </c>
      <c r="CH101">
        <f>IF(AND(CH$4=1,CH51=0),1,0)</f>
        <v/>
      </c>
      <c r="CI101">
        <f>IF(AND(CI$4=1,CI51=0),1,0)</f>
        <v/>
      </c>
      <c r="CJ101">
        <f>IF(AND(CJ$4=1,CJ51=0),1,0)</f>
        <v/>
      </c>
      <c r="CK101">
        <f>IF(AND(CK$4=1,CK51=0),1,0)</f>
        <v/>
      </c>
      <c r="CL101">
        <f>IF(AND(CL$4=1,CL51=0),1,0)</f>
        <v/>
      </c>
      <c r="CM101">
        <f>IF(AND(CM$4=1,CM51=0),1,0)</f>
        <v/>
      </c>
      <c r="CN101">
        <f>IF(AND(CN$4=1,CN51=0),1,0)</f>
        <v/>
      </c>
      <c r="CO101">
        <f>IF(AND(CO$4=1,CO51=0),1,0)</f>
        <v/>
      </c>
      <c r="CP101">
        <f>IF(AND(CP$4=1,CP51=0),1,0)</f>
        <v/>
      </c>
      <c r="CQ101">
        <f>IF(AND(CQ$4=1,CQ51=0),1,0)</f>
        <v/>
      </c>
      <c r="CR101">
        <f>IF(AND(CR$4=1,CR51=0),1,0)</f>
        <v/>
      </c>
      <c r="CS101">
        <f>IF(AND(CS$4=1,CS51=0),1,0)</f>
        <v/>
      </c>
      <c r="CT101">
        <f>IF(AND(CT$4=1,CT51=0),1,0)</f>
        <v/>
      </c>
      <c r="CU101">
        <f>IF(AND(CU$4=1,CU51=0),1,0)</f>
        <v/>
      </c>
      <c r="CV101">
        <f>IF(AND(CV$4=1,CV51=0),1,0)</f>
        <v/>
      </c>
      <c r="CW101">
        <f>IF(AND(CW$4=1,CW51=0),1,0)</f>
        <v/>
      </c>
      <c r="CX101">
        <f>IF(AND(CX$4=1,CX51=0),1,0)</f>
        <v/>
      </c>
      <c r="CY101">
        <f>IF(AND(CY$4=1,CY51=0),1,0)</f>
        <v/>
      </c>
      <c r="CZ101">
        <f>IF(AND(CZ$4=1,CZ51=0),1,0)</f>
        <v/>
      </c>
      <c r="DA101">
        <f>IF(AND(DA$4=1,DA51=0),1,0)</f>
        <v/>
      </c>
      <c r="DB101">
        <f>IF(AND(DB$4=1,DB51=0),1,0)</f>
        <v/>
      </c>
      <c r="DC101">
        <f>IF(AND(DC$4=1,DC51=0),1,0)</f>
        <v/>
      </c>
      <c r="DD101">
        <f>IF(AND(DD$4=1,DD51=0),1,0)</f>
        <v/>
      </c>
      <c r="DE101">
        <f>IF(AND(DE$4=1,DE51=0),1,0)</f>
        <v/>
      </c>
      <c r="DF101">
        <f>IF(AND(DF$4=1,DF51=0),1,0)</f>
        <v/>
      </c>
      <c r="DG101">
        <f>IF(AND(DG$4=1,DG51=0),1,0)</f>
        <v/>
      </c>
      <c r="DH101">
        <f>IF(AND(DH$4=1,DH51=0),1,0)</f>
        <v/>
      </c>
      <c r="DI101">
        <f>IF(AND(DI$4=1,DI51=0),1,0)</f>
        <v/>
      </c>
      <c r="DJ101">
        <f>IF(AND(DJ$4=1,DJ51=0),1,0)</f>
        <v/>
      </c>
      <c r="DK101">
        <f>IF(AND(DK$4=1,DK51=0),1,0)</f>
        <v/>
      </c>
      <c r="DL101">
        <f>IF(AND(DL$4=1,DL51=0),1,0)</f>
        <v/>
      </c>
      <c r="DM101">
        <f>IF(AND(DM$4=1,DM51=0),1,0)</f>
        <v/>
      </c>
      <c r="DN101">
        <f>IF(AND(DN$4=1,DN51=0),1,0)</f>
        <v/>
      </c>
      <c r="DO101">
        <f>IF(AND(DO$4=1,DO51=0),1,0)</f>
        <v/>
      </c>
      <c r="DP101">
        <f>IF(AND(DP$4=1,DP51=0),1,0)</f>
        <v/>
      </c>
      <c r="DQ101">
        <f>IF(AND(DQ$4=1,DQ51=0),1,0)</f>
        <v/>
      </c>
      <c r="DR101">
        <f>IF(AND(DR$4=1,DR51=0),1,0)</f>
        <v/>
      </c>
      <c r="DS101">
        <f>IF(AND(DS$4=1,DS51=0),1,0)</f>
        <v/>
      </c>
      <c r="DT101">
        <f>IF(AND(DT$4=1,DT51=0),1,0)</f>
        <v/>
      </c>
      <c r="DU101">
        <f>IF(AND(DU$4=1,DU51=0),1,0)</f>
        <v/>
      </c>
      <c r="DV101">
        <f>IF(AND(DV$4=1,DV51=0),1,0)</f>
        <v/>
      </c>
      <c r="DW101">
        <f>IF(AND(DW$4=1,DW51=0),1,0)</f>
        <v/>
      </c>
      <c r="DX101">
        <f>IF(AND(DX$4=1,DX51=0),1,0)</f>
        <v/>
      </c>
      <c r="DY101">
        <f>IF(AND(DY$4=1,DY51=0),1,0)</f>
        <v/>
      </c>
      <c r="DZ101">
        <f>IF(AND(DZ$4=1,DZ51=0),1,0)</f>
        <v/>
      </c>
      <c r="EA101">
        <f>IF(AND(EA$4=1,EA51=0),1,0)</f>
        <v/>
      </c>
      <c r="EB101">
        <f>IF(AND(EB$4=1,EB51=0),1,0)</f>
        <v/>
      </c>
      <c r="EC101">
        <f>IF(AND(EC$4=1,EC51=0),1,0)</f>
        <v/>
      </c>
      <c r="ED101">
        <f>IF(AND(ED$4=1,ED51=0),1,0)</f>
        <v/>
      </c>
      <c r="EE101">
        <f>IF(AND(EE$4=1,EE51=0),1,0)</f>
        <v/>
      </c>
      <c r="EF101">
        <f>IF(AND(EF$4=1,EF51=0),1,0)</f>
        <v/>
      </c>
      <c r="EG101">
        <f>IF(AND(EG$4=1,EG51=0),1,0)</f>
        <v/>
      </c>
      <c r="EH101">
        <f>IF(AND(EH$4=1,EH51=0),1,0)</f>
        <v/>
      </c>
      <c r="EI101">
        <f>IF(AND(EI$4=1,EI51=0),1,0)</f>
        <v/>
      </c>
      <c r="EJ101">
        <f>IF(AND(EJ$4=1,EJ51=0),1,0)</f>
        <v/>
      </c>
      <c r="EK101">
        <f>IF(AND(EK$4=1,EK51=0),1,0)</f>
        <v/>
      </c>
      <c r="EL101">
        <f>IF(AND(EL$4=1,EL51=0),1,0)</f>
        <v/>
      </c>
      <c r="EM101">
        <f>IF(AND(EM$4=1,EM51=0),1,0)</f>
        <v/>
      </c>
      <c r="EN101">
        <f>IF(AND(EN$4=1,EN51=0),1,0)</f>
        <v/>
      </c>
      <c r="EO101">
        <f>IF(AND(EO$4=1,EO51=0),1,0)</f>
        <v/>
      </c>
      <c r="EP101">
        <f>IF(AND(EP$4=1,EP51=0),1,0)</f>
        <v/>
      </c>
      <c r="EQ101">
        <f>IF(AND(EQ$4=1,EQ51=0),1,0)</f>
        <v/>
      </c>
      <c r="ER101">
        <f>IF(AND(ER$4=1,ER51=0),1,0)</f>
        <v/>
      </c>
      <c r="ES101">
        <f>IF(AND(ES$4=1,ES51=0),1,0)</f>
        <v/>
      </c>
      <c r="ET101">
        <f>IF(AND(ET$4=1,ET51=0),1,0)</f>
        <v/>
      </c>
      <c r="EU101">
        <f>IF(AND(EU$4=1,EU51=0),1,0)</f>
        <v/>
      </c>
      <c r="EV101">
        <f>IF(AND(EV$4=1,EV51=0),1,0)</f>
        <v/>
      </c>
      <c r="EW101">
        <f>IF(AND(EW$4=1,EW51=0),1,0)</f>
        <v/>
      </c>
      <c r="EX101">
        <f>IF(AND(EX$4=1,EX51=0),1,0)</f>
        <v/>
      </c>
      <c r="EY101">
        <f>IF(AND(EY$4=1,EY51=0),1,0)</f>
        <v/>
      </c>
      <c r="EZ101">
        <f>IF(AND(EZ$4=1,EZ51=0),1,0)</f>
        <v/>
      </c>
      <c r="FA101">
        <f>IF(AND(FA$4=1,FA51=0),1,0)</f>
        <v/>
      </c>
      <c r="FB101">
        <f>IF(AND(FB$4=1,FB51=0),1,0)</f>
        <v/>
      </c>
      <c r="FC101">
        <f>IF(AND(FC$4=1,FC51=0),1,0)</f>
        <v/>
      </c>
      <c r="FD101">
        <f>IF(AND(FD$4=1,FD51=0),1,0)</f>
        <v/>
      </c>
      <c r="FE101">
        <f>IF(AND(FE$4=1,FE51=0),1,0)</f>
        <v/>
      </c>
      <c r="FF101">
        <f>IF(AND(FF$4=1,FF51=0),1,0)</f>
        <v/>
      </c>
      <c r="FG101">
        <f>IF(AND(FG$4=1,FG51=0),1,0)</f>
        <v/>
      </c>
      <c r="FH101">
        <f>IF(AND(FH$4=1,FH51=0),1,0)</f>
        <v/>
      </c>
      <c r="FI101">
        <f>IF(AND(FI$4=1,FI51=0),1,0)</f>
        <v/>
      </c>
      <c r="FJ101">
        <f>IF(AND(FJ$4=1,FJ51=0),1,0)</f>
        <v/>
      </c>
      <c r="FK101">
        <f>IF(AND(FK$4=1,FK51=0),1,0)</f>
        <v/>
      </c>
      <c r="FL101">
        <f>IF(AND(FL$4=1,FL51=0),1,0)</f>
        <v/>
      </c>
      <c r="FM101">
        <f>IF(AND(FM$4=1,FM51=0),1,0)</f>
        <v/>
      </c>
      <c r="FN101">
        <f>IF(AND(FN$4=1,FN51=0),1,0)</f>
        <v/>
      </c>
      <c r="FO101">
        <f>IF(AND(FO$4=1,FO51=0),1,0)</f>
        <v/>
      </c>
      <c r="FP101">
        <f>IF(AND(FP$4=1,FP51=0),1,0)</f>
        <v/>
      </c>
      <c r="FQ101">
        <f>IF(AND(FQ$4=1,FQ51=0),1,0)</f>
        <v/>
      </c>
      <c r="FR101">
        <f>IF(AND(FR$4=1,FR51=0),1,0)</f>
        <v/>
      </c>
      <c r="FS101">
        <f>IF(AND(FS$4=1,FS51=0),1,0)</f>
        <v/>
      </c>
      <c r="FT101">
        <f>IF(AND(FT$4=1,FT51=0),1,0)</f>
        <v/>
      </c>
      <c r="FU101">
        <f>IF(AND(FU$4=1,FU51=0),1,0)</f>
        <v/>
      </c>
      <c r="FV101">
        <f>IF(AND(FV$4=1,FV51=0),1,0)</f>
        <v/>
      </c>
      <c r="FW101">
        <f>IF(AND(FW$4=1,FW51=0),1,0)</f>
        <v/>
      </c>
      <c r="FX101">
        <f>IF(AND(FX$4=1,FX51=0),1,0)</f>
        <v/>
      </c>
      <c r="FY101">
        <f>IF(AND(FY$4=1,FY51=0),1,0)</f>
        <v/>
      </c>
      <c r="FZ101">
        <f>IF(AND(FZ$4=1,FZ51=0),1,0)</f>
        <v/>
      </c>
      <c r="GA101">
        <f>IF(AND(GA$4=1,GA51=0),1,0)</f>
        <v/>
      </c>
      <c r="GB101">
        <f>IF(AND(GB$4=1,GB51=0),1,0)</f>
        <v/>
      </c>
      <c r="GC101">
        <f>IF(AND(GC$4=1,GC51=0),1,0)</f>
        <v/>
      </c>
      <c r="GD101">
        <f>IF(AND(GD$4=1,GD51=0),1,0)</f>
        <v/>
      </c>
      <c r="GE101">
        <f>IF(AND(GE$4=1,GE51=0),1,0)</f>
        <v/>
      </c>
      <c r="GF101">
        <f>IF(AND(GF$4=1,GF51=0),1,0)</f>
        <v/>
      </c>
      <c r="GG101">
        <f>IF(AND(GG$4=1,GG51=0),1,0)</f>
        <v/>
      </c>
      <c r="GH101">
        <f>IF(AND(GH$4=1,GH51=0),1,0)</f>
        <v/>
      </c>
      <c r="GI101">
        <f>IF(AND(GI$4=1,GI51=0),1,0)</f>
        <v/>
      </c>
      <c r="GJ101">
        <f>IF(AND(GJ$4=1,GJ51=0),1,0)</f>
        <v/>
      </c>
      <c r="GK101">
        <f>IF(AND(GK$4=1,GK51=0),1,0)</f>
        <v/>
      </c>
      <c r="GL101">
        <f>IF(AND(GL$4=1,GL51=0),1,0)</f>
        <v/>
      </c>
      <c r="GM101">
        <f>IF(AND(GM$4=1,GM51=0),1,0)</f>
        <v/>
      </c>
      <c r="GN101">
        <f>IF(AND(GN$4=1,GN51=0),1,0)</f>
        <v/>
      </c>
      <c r="GO101">
        <f>IF(AND(GO$4=1,GO51=0),1,0)</f>
        <v/>
      </c>
      <c r="GP101">
        <f>IF(AND(GP$4=1,GP51=0),1,0)</f>
        <v/>
      </c>
      <c r="GQ101">
        <f>IF(AND(GQ$4=1,GQ51=0),1,0)</f>
        <v/>
      </c>
      <c r="GR101">
        <f>IF(AND(GR$4=1,GR51=0),1,0)</f>
        <v/>
      </c>
      <c r="GS101">
        <f>IF(AND(GS$4=1,GS51=0),1,0)</f>
        <v/>
      </c>
      <c r="GT101">
        <f>IF(AND(GT$4=1,GT51=0),1,0)</f>
        <v/>
      </c>
      <c r="GU101">
        <f>IF(AND(GU$4=1,GU51=0),1,0)</f>
        <v/>
      </c>
      <c r="GV101">
        <f>IF(AND(GV$4=1,GV51=0),1,0)</f>
        <v/>
      </c>
      <c r="GW101">
        <f>IF(AND(GW$4=1,GW51=0),1,0)</f>
        <v/>
      </c>
      <c r="GX101">
        <f>IF(AND(GX$4=1,GX51=0),1,0)</f>
        <v/>
      </c>
      <c r="GY101">
        <f>IF(AND(GY$4=1,GY51=0),1,0)</f>
        <v/>
      </c>
      <c r="GZ101">
        <f>IF(AND(GZ$4=1,GZ51=0),1,0)</f>
        <v/>
      </c>
      <c r="HA101">
        <f>IF(AND(HA$4=1,HA51=0),1,0)</f>
        <v/>
      </c>
      <c r="HB101">
        <f>IF(AND(HB$4=1,HB51=0),1,0)</f>
        <v/>
      </c>
      <c r="HC101">
        <f>IF(AND(HC$4=1,HC51=0),1,0)</f>
        <v/>
      </c>
      <c r="HD101">
        <f>IF(AND(HD$4=1,HD51=0),1,0)</f>
        <v/>
      </c>
      <c r="HE101">
        <f>IF(AND(HE$4=1,HE51=0),1,0)</f>
        <v/>
      </c>
      <c r="HF101">
        <f>IF(AND(HF$4=1,HF51=0),1,0)</f>
        <v/>
      </c>
      <c r="HG101">
        <f>IF(AND(HG$4=1,HG51=0),1,0)</f>
        <v/>
      </c>
      <c r="HH101">
        <f>IF(AND(HH$4=1,HH51=0),1,0)</f>
        <v/>
      </c>
      <c r="HI101">
        <f>IF(AND(HI$4=1,HI51=0),1,0)</f>
        <v/>
      </c>
      <c r="HJ101">
        <f>IF(AND(HJ$4=1,HJ51=0),1,0)</f>
        <v/>
      </c>
      <c r="HK101">
        <f>IF(AND(HK$4=1,HK51=0),1,0)</f>
        <v/>
      </c>
      <c r="HL101">
        <f>IF(AND(HL$4=1,HL51=0),1,0)</f>
        <v/>
      </c>
      <c r="HM101">
        <f>IF(AND(HM$4=1,HM51=0),1,0)</f>
        <v/>
      </c>
      <c r="HN101">
        <f>IF(AND(HN$4=1,HN51=0),1,0)</f>
        <v/>
      </c>
      <c r="HO101">
        <f>IF(AND(HO$4=1,HO51=0),1,0)</f>
        <v/>
      </c>
      <c r="HP101">
        <f>IF(AND(HP$4=1,HP51=0),1,0)</f>
        <v/>
      </c>
      <c r="HQ101">
        <f>IF(AND(HQ$4=1,HQ51=0),1,0)</f>
        <v/>
      </c>
      <c r="HR101">
        <f>IF(AND(HR$4=1,HR51=0),1,0)</f>
        <v/>
      </c>
      <c r="HS101">
        <f>IF(AND(HS$4=1,HS51=0),1,0)</f>
        <v/>
      </c>
      <c r="HT101">
        <f>IF(AND(HT$4=1,HT51=0),1,0)</f>
        <v/>
      </c>
      <c r="HU101">
        <f>IF(AND(HU$4=1,HU51=0),1,0)</f>
        <v/>
      </c>
      <c r="HV101">
        <f>IF(AND(HV$4=1,HV51=0),1,0)</f>
        <v/>
      </c>
      <c r="HW101">
        <f>IF(AND(HW$4=1,HW51=0),1,0)</f>
        <v/>
      </c>
      <c r="HX101">
        <f>IF(AND(HX$4=1,HX51=0),1,0)</f>
        <v/>
      </c>
      <c r="HY101">
        <f>IF(AND(HY$4=1,HY51=0),1,0)</f>
        <v/>
      </c>
      <c r="HZ101">
        <f>IF(AND(HZ$4=1,HZ51=0),1,0)</f>
        <v/>
      </c>
      <c r="IA101">
        <f>IF(AND(IA$4=1,IA51=0),1,0)</f>
        <v/>
      </c>
      <c r="IB101">
        <f>IF(AND(IB$4=1,IB51=0),1,0)</f>
        <v/>
      </c>
      <c r="IC101">
        <f>IF(AND(IC$4=1,IC51=0),1,0)</f>
        <v/>
      </c>
      <c r="ID101">
        <f>IF(AND(ID$4=1,ID51=0),1,0)</f>
        <v/>
      </c>
      <c r="IE101">
        <f>IF(AND(IE$4=1,IE51=0),1,0)</f>
        <v/>
      </c>
      <c r="IF101">
        <f>IF(AND(IF$4=1,IF51=0),1,0)</f>
        <v/>
      </c>
      <c r="IG101">
        <f>IF(AND(IG$4=1,IG51=0),1,0)</f>
        <v/>
      </c>
      <c r="IH101">
        <f>IF(AND(IH$4=1,IH51=0),1,0)</f>
        <v/>
      </c>
      <c r="II101">
        <f>IF(AND(II$4=1,II51=0),1,0)</f>
        <v/>
      </c>
    </row>
    <row r="102">
      <c r="A102" t="n">
        <v>43</v>
      </c>
      <c r="D102">
        <f>IF(AND(D$4=1,D52=0),1,0)</f>
        <v/>
      </c>
      <c r="E102">
        <f>IF(AND(E$4=1,E52=0),1,0)</f>
        <v/>
      </c>
      <c r="F102">
        <f>IF(AND(F$4=1,F52=0),1,0)</f>
        <v/>
      </c>
      <c r="G102">
        <f>IF(AND(G$4=1,G52=0),1,0)</f>
        <v/>
      </c>
      <c r="H102">
        <f>IF(AND(H$4=1,H52=0),1,0)</f>
        <v/>
      </c>
      <c r="I102">
        <f>IF(AND(I$4=1,I52=0),1,0)</f>
        <v/>
      </c>
      <c r="J102">
        <f>IF(AND(J$4=1,J52=0),1,0)</f>
        <v/>
      </c>
      <c r="K102">
        <f>IF(AND(K$4=1,K52=0),1,0)</f>
        <v/>
      </c>
      <c r="L102">
        <f>IF(AND(L$4=1,L52=0),1,0)</f>
        <v/>
      </c>
      <c r="M102">
        <f>IF(AND(M$4=1,M52=0),1,0)</f>
        <v/>
      </c>
      <c r="N102">
        <f>IF(AND(N$4=1,N52=0),1,0)</f>
        <v/>
      </c>
      <c r="O102">
        <f>IF(AND(O$4=1,O52=0),1,0)</f>
        <v/>
      </c>
      <c r="P102">
        <f>IF(AND(P$4=1,P52=0),1,0)</f>
        <v/>
      </c>
      <c r="Q102">
        <f>IF(AND(Q$4=1,Q52=0),1,0)</f>
        <v/>
      </c>
      <c r="R102">
        <f>IF(AND(R$4=1,R52=0),1,0)</f>
        <v/>
      </c>
      <c r="S102">
        <f>IF(AND(S$4=1,S52=0),1,0)</f>
        <v/>
      </c>
      <c r="T102">
        <f>IF(AND(T$4=1,T52=0),1,0)</f>
        <v/>
      </c>
      <c r="U102">
        <f>IF(AND(U$4=1,U52=0),1,0)</f>
        <v/>
      </c>
      <c r="V102">
        <f>IF(AND(V$4=1,V52=0),1,0)</f>
        <v/>
      </c>
      <c r="W102">
        <f>IF(AND(W$4=1,W52=0),1,0)</f>
        <v/>
      </c>
      <c r="X102">
        <f>IF(AND(X$4=1,X52=0),1,0)</f>
        <v/>
      </c>
      <c r="Y102">
        <f>IF(AND(Y$4=1,Y52=0),1,0)</f>
        <v/>
      </c>
      <c r="Z102">
        <f>IF(AND(Z$4=1,Z52=0),1,0)</f>
        <v/>
      </c>
      <c r="AA102">
        <f>IF(AND(AA$4=1,AA52=0),1,0)</f>
        <v/>
      </c>
      <c r="AB102">
        <f>IF(AND(AB$4=1,AB52=0),1,0)</f>
        <v/>
      </c>
      <c r="AC102">
        <f>IF(AND(AC$4=1,AC52=0),1,0)</f>
        <v/>
      </c>
      <c r="AD102">
        <f>IF(AND(AD$4=1,AD52=0),1,0)</f>
        <v/>
      </c>
      <c r="AE102">
        <f>IF(AND(AE$4=1,AE52=0),1,0)</f>
        <v/>
      </c>
      <c r="AF102">
        <f>IF(AND(AF$4=1,AF52=0),1,0)</f>
        <v/>
      </c>
      <c r="AG102">
        <f>IF(AND(AG$4=1,AG52=0),1,0)</f>
        <v/>
      </c>
      <c r="AH102">
        <f>IF(AND(AH$4=1,AH52=0),1,0)</f>
        <v/>
      </c>
      <c r="AI102">
        <f>IF(AND(AI$4=1,AI52=0),1,0)</f>
        <v/>
      </c>
      <c r="AJ102">
        <f>IF(AND(AJ$4=1,AJ52=0),1,0)</f>
        <v/>
      </c>
      <c r="AK102">
        <f>IF(AND(AK$4=1,AK52=0),1,0)</f>
        <v/>
      </c>
      <c r="AL102">
        <f>IF(AND(AL$4=1,AL52=0),1,0)</f>
        <v/>
      </c>
      <c r="AM102">
        <f>IF(AND(AM$4=1,AM52=0),1,0)</f>
        <v/>
      </c>
      <c r="AN102">
        <f>IF(AND(AN$4=1,AN52=0),1,0)</f>
        <v/>
      </c>
      <c r="AO102">
        <f>IF(AND(AO$4=1,AO52=0),1,0)</f>
        <v/>
      </c>
      <c r="AP102">
        <f>IF(AND(AP$4=1,AP52=0),1,0)</f>
        <v/>
      </c>
      <c r="AQ102">
        <f>IF(AND(AQ$4=1,AQ52=0),1,0)</f>
        <v/>
      </c>
      <c r="AR102">
        <f>IF(AND(AR$4=1,AR52=0),1,0)</f>
        <v/>
      </c>
      <c r="AS102">
        <f>IF(AND(AS$4=1,AS52=0),1,0)</f>
        <v/>
      </c>
      <c r="AT102">
        <f>IF(AND(AT$4=1,AT52=0),1,0)</f>
        <v/>
      </c>
      <c r="AU102">
        <f>IF(AND(AU$4=1,AU52=0),1,0)</f>
        <v/>
      </c>
      <c r="AV102">
        <f>IF(AND(AV$4=1,AV52=0),1,0)</f>
        <v/>
      </c>
      <c r="AW102">
        <f>IF(AND(AW$4=1,AW52=0),1,0)</f>
        <v/>
      </c>
      <c r="AX102">
        <f>IF(AND(AX$4=1,AX52=0),1,0)</f>
        <v/>
      </c>
      <c r="AY102">
        <f>IF(AND(AY$4=1,AY52=0),1,0)</f>
        <v/>
      </c>
      <c r="AZ102">
        <f>IF(AND(AZ$4=1,AZ52=0),1,0)</f>
        <v/>
      </c>
      <c r="BA102">
        <f>IF(AND(BA$4=1,BA52=0),1,0)</f>
        <v/>
      </c>
      <c r="BB102">
        <f>IF(AND(BB$4=1,BB52=0),1,0)</f>
        <v/>
      </c>
      <c r="BC102">
        <f>IF(AND(BC$4=1,BC52=0),1,0)</f>
        <v/>
      </c>
      <c r="BD102">
        <f>IF(AND(BD$4=1,BD52=0),1,0)</f>
        <v/>
      </c>
      <c r="BE102">
        <f>IF(AND(BE$4=1,BE52=0),1,0)</f>
        <v/>
      </c>
      <c r="BF102">
        <f>IF(AND(BF$4=1,BF52=0),1,0)</f>
        <v/>
      </c>
      <c r="BG102">
        <f>IF(AND(BG$4=1,BG52=0),1,0)</f>
        <v/>
      </c>
      <c r="BH102">
        <f>IF(AND(BH$4=1,BH52=0),1,0)</f>
        <v/>
      </c>
      <c r="BI102">
        <f>IF(AND(BI$4=1,BI52=0),1,0)</f>
        <v/>
      </c>
      <c r="BJ102">
        <f>IF(AND(BJ$4=1,BJ52=0),1,0)</f>
        <v/>
      </c>
      <c r="BK102">
        <f>IF(AND(BK$4=1,BK52=0),1,0)</f>
        <v/>
      </c>
      <c r="BL102">
        <f>IF(AND(BL$4=1,BL52=0),1,0)</f>
        <v/>
      </c>
      <c r="BM102">
        <f>IF(AND(BM$4=1,BM52=0),1,0)</f>
        <v/>
      </c>
      <c r="BN102">
        <f>IF(AND(BN$4=1,BN52=0),1,0)</f>
        <v/>
      </c>
      <c r="BO102">
        <f>IF(AND(BO$4=1,BO52=0),1,0)</f>
        <v/>
      </c>
      <c r="BP102">
        <f>IF(AND(BP$4=1,BP52=0),1,0)</f>
        <v/>
      </c>
      <c r="BQ102">
        <f>IF(AND(BQ$4=1,BQ52=0),1,0)</f>
        <v/>
      </c>
      <c r="BR102">
        <f>IF(AND(BR$4=1,BR52=0),1,0)</f>
        <v/>
      </c>
      <c r="BS102">
        <f>IF(AND(BS$4=1,BS52=0),1,0)</f>
        <v/>
      </c>
      <c r="BT102">
        <f>IF(AND(BT$4=1,BT52=0),1,0)</f>
        <v/>
      </c>
      <c r="BU102">
        <f>IF(AND(BU$4=1,BU52=0),1,0)</f>
        <v/>
      </c>
      <c r="BV102">
        <f>IF(AND(BV$4=1,BV52=0),1,0)</f>
        <v/>
      </c>
      <c r="BW102">
        <f>IF(AND(BW$4=1,BW52=0),1,0)</f>
        <v/>
      </c>
      <c r="BX102">
        <f>IF(AND(BX$4=1,BX52=0),1,0)</f>
        <v/>
      </c>
      <c r="BY102">
        <f>IF(AND(BY$4=1,BY52=0),1,0)</f>
        <v/>
      </c>
      <c r="BZ102">
        <f>IF(AND(BZ$4=1,BZ52=0),1,0)</f>
        <v/>
      </c>
      <c r="CA102">
        <f>IF(AND(CA$4=1,CA52=0),1,0)</f>
        <v/>
      </c>
      <c r="CB102">
        <f>IF(AND(CB$4=1,CB52=0),1,0)</f>
        <v/>
      </c>
      <c r="CC102">
        <f>IF(AND(CC$4=1,CC52=0),1,0)</f>
        <v/>
      </c>
      <c r="CD102">
        <f>IF(AND(CD$4=1,CD52=0),1,0)</f>
        <v/>
      </c>
      <c r="CE102">
        <f>IF(AND(CE$4=1,CE52=0),1,0)</f>
        <v/>
      </c>
      <c r="CF102">
        <f>IF(AND(CF$4=1,CF52=0),1,0)</f>
        <v/>
      </c>
      <c r="CG102">
        <f>IF(AND(CG$4=1,CG52=0),1,0)</f>
        <v/>
      </c>
      <c r="CH102">
        <f>IF(AND(CH$4=1,CH52=0),1,0)</f>
        <v/>
      </c>
      <c r="CI102">
        <f>IF(AND(CI$4=1,CI52=0),1,0)</f>
        <v/>
      </c>
      <c r="CJ102">
        <f>IF(AND(CJ$4=1,CJ52=0),1,0)</f>
        <v/>
      </c>
      <c r="CK102">
        <f>IF(AND(CK$4=1,CK52=0),1,0)</f>
        <v/>
      </c>
      <c r="CL102">
        <f>IF(AND(CL$4=1,CL52=0),1,0)</f>
        <v/>
      </c>
      <c r="CM102">
        <f>IF(AND(CM$4=1,CM52=0),1,0)</f>
        <v/>
      </c>
      <c r="CN102">
        <f>IF(AND(CN$4=1,CN52=0),1,0)</f>
        <v/>
      </c>
      <c r="CO102">
        <f>IF(AND(CO$4=1,CO52=0),1,0)</f>
        <v/>
      </c>
      <c r="CP102">
        <f>IF(AND(CP$4=1,CP52=0),1,0)</f>
        <v/>
      </c>
      <c r="CQ102">
        <f>IF(AND(CQ$4=1,CQ52=0),1,0)</f>
        <v/>
      </c>
      <c r="CR102">
        <f>IF(AND(CR$4=1,CR52=0),1,0)</f>
        <v/>
      </c>
      <c r="CS102">
        <f>IF(AND(CS$4=1,CS52=0),1,0)</f>
        <v/>
      </c>
      <c r="CT102">
        <f>IF(AND(CT$4=1,CT52=0),1,0)</f>
        <v/>
      </c>
      <c r="CU102">
        <f>IF(AND(CU$4=1,CU52=0),1,0)</f>
        <v/>
      </c>
      <c r="CV102">
        <f>IF(AND(CV$4=1,CV52=0),1,0)</f>
        <v/>
      </c>
      <c r="CW102">
        <f>IF(AND(CW$4=1,CW52=0),1,0)</f>
        <v/>
      </c>
      <c r="CX102">
        <f>IF(AND(CX$4=1,CX52=0),1,0)</f>
        <v/>
      </c>
      <c r="CY102">
        <f>IF(AND(CY$4=1,CY52=0),1,0)</f>
        <v/>
      </c>
      <c r="CZ102">
        <f>IF(AND(CZ$4=1,CZ52=0),1,0)</f>
        <v/>
      </c>
      <c r="DA102">
        <f>IF(AND(DA$4=1,DA52=0),1,0)</f>
        <v/>
      </c>
      <c r="DB102">
        <f>IF(AND(DB$4=1,DB52=0),1,0)</f>
        <v/>
      </c>
      <c r="DC102">
        <f>IF(AND(DC$4=1,DC52=0),1,0)</f>
        <v/>
      </c>
      <c r="DD102">
        <f>IF(AND(DD$4=1,DD52=0),1,0)</f>
        <v/>
      </c>
      <c r="DE102">
        <f>IF(AND(DE$4=1,DE52=0),1,0)</f>
        <v/>
      </c>
      <c r="DF102">
        <f>IF(AND(DF$4=1,DF52=0),1,0)</f>
        <v/>
      </c>
      <c r="DG102">
        <f>IF(AND(DG$4=1,DG52=0),1,0)</f>
        <v/>
      </c>
      <c r="DH102">
        <f>IF(AND(DH$4=1,DH52=0),1,0)</f>
        <v/>
      </c>
      <c r="DI102">
        <f>IF(AND(DI$4=1,DI52=0),1,0)</f>
        <v/>
      </c>
      <c r="DJ102">
        <f>IF(AND(DJ$4=1,DJ52=0),1,0)</f>
        <v/>
      </c>
      <c r="DK102">
        <f>IF(AND(DK$4=1,DK52=0),1,0)</f>
        <v/>
      </c>
      <c r="DL102">
        <f>IF(AND(DL$4=1,DL52=0),1,0)</f>
        <v/>
      </c>
      <c r="DM102">
        <f>IF(AND(DM$4=1,DM52=0),1,0)</f>
        <v/>
      </c>
      <c r="DN102">
        <f>IF(AND(DN$4=1,DN52=0),1,0)</f>
        <v/>
      </c>
      <c r="DO102">
        <f>IF(AND(DO$4=1,DO52=0),1,0)</f>
        <v/>
      </c>
      <c r="DP102">
        <f>IF(AND(DP$4=1,DP52=0),1,0)</f>
        <v/>
      </c>
      <c r="DQ102">
        <f>IF(AND(DQ$4=1,DQ52=0),1,0)</f>
        <v/>
      </c>
      <c r="DR102">
        <f>IF(AND(DR$4=1,DR52=0),1,0)</f>
        <v/>
      </c>
      <c r="DS102">
        <f>IF(AND(DS$4=1,DS52=0),1,0)</f>
        <v/>
      </c>
      <c r="DT102">
        <f>IF(AND(DT$4=1,DT52=0),1,0)</f>
        <v/>
      </c>
      <c r="DU102">
        <f>IF(AND(DU$4=1,DU52=0),1,0)</f>
        <v/>
      </c>
      <c r="DV102">
        <f>IF(AND(DV$4=1,DV52=0),1,0)</f>
        <v/>
      </c>
      <c r="DW102">
        <f>IF(AND(DW$4=1,DW52=0),1,0)</f>
        <v/>
      </c>
      <c r="DX102">
        <f>IF(AND(DX$4=1,DX52=0),1,0)</f>
        <v/>
      </c>
      <c r="DY102">
        <f>IF(AND(DY$4=1,DY52=0),1,0)</f>
        <v/>
      </c>
      <c r="DZ102">
        <f>IF(AND(DZ$4=1,DZ52=0),1,0)</f>
        <v/>
      </c>
      <c r="EA102">
        <f>IF(AND(EA$4=1,EA52=0),1,0)</f>
        <v/>
      </c>
      <c r="EB102">
        <f>IF(AND(EB$4=1,EB52=0),1,0)</f>
        <v/>
      </c>
      <c r="EC102">
        <f>IF(AND(EC$4=1,EC52=0),1,0)</f>
        <v/>
      </c>
      <c r="ED102">
        <f>IF(AND(ED$4=1,ED52=0),1,0)</f>
        <v/>
      </c>
      <c r="EE102">
        <f>IF(AND(EE$4=1,EE52=0),1,0)</f>
        <v/>
      </c>
      <c r="EF102">
        <f>IF(AND(EF$4=1,EF52=0),1,0)</f>
        <v/>
      </c>
      <c r="EG102">
        <f>IF(AND(EG$4=1,EG52=0),1,0)</f>
        <v/>
      </c>
      <c r="EH102">
        <f>IF(AND(EH$4=1,EH52=0),1,0)</f>
        <v/>
      </c>
      <c r="EI102">
        <f>IF(AND(EI$4=1,EI52=0),1,0)</f>
        <v/>
      </c>
      <c r="EJ102">
        <f>IF(AND(EJ$4=1,EJ52=0),1,0)</f>
        <v/>
      </c>
      <c r="EK102">
        <f>IF(AND(EK$4=1,EK52=0),1,0)</f>
        <v/>
      </c>
      <c r="EL102">
        <f>IF(AND(EL$4=1,EL52=0),1,0)</f>
        <v/>
      </c>
      <c r="EM102">
        <f>IF(AND(EM$4=1,EM52=0),1,0)</f>
        <v/>
      </c>
      <c r="EN102">
        <f>IF(AND(EN$4=1,EN52=0),1,0)</f>
        <v/>
      </c>
      <c r="EO102">
        <f>IF(AND(EO$4=1,EO52=0),1,0)</f>
        <v/>
      </c>
      <c r="EP102">
        <f>IF(AND(EP$4=1,EP52=0),1,0)</f>
        <v/>
      </c>
      <c r="EQ102">
        <f>IF(AND(EQ$4=1,EQ52=0),1,0)</f>
        <v/>
      </c>
      <c r="ER102">
        <f>IF(AND(ER$4=1,ER52=0),1,0)</f>
        <v/>
      </c>
      <c r="ES102">
        <f>IF(AND(ES$4=1,ES52=0),1,0)</f>
        <v/>
      </c>
      <c r="ET102">
        <f>IF(AND(ET$4=1,ET52=0),1,0)</f>
        <v/>
      </c>
      <c r="EU102">
        <f>IF(AND(EU$4=1,EU52=0),1,0)</f>
        <v/>
      </c>
      <c r="EV102">
        <f>IF(AND(EV$4=1,EV52=0),1,0)</f>
        <v/>
      </c>
      <c r="EW102">
        <f>IF(AND(EW$4=1,EW52=0),1,0)</f>
        <v/>
      </c>
      <c r="EX102">
        <f>IF(AND(EX$4=1,EX52=0),1,0)</f>
        <v/>
      </c>
      <c r="EY102">
        <f>IF(AND(EY$4=1,EY52=0),1,0)</f>
        <v/>
      </c>
      <c r="EZ102">
        <f>IF(AND(EZ$4=1,EZ52=0),1,0)</f>
        <v/>
      </c>
      <c r="FA102">
        <f>IF(AND(FA$4=1,FA52=0),1,0)</f>
        <v/>
      </c>
      <c r="FB102">
        <f>IF(AND(FB$4=1,FB52=0),1,0)</f>
        <v/>
      </c>
      <c r="FC102">
        <f>IF(AND(FC$4=1,FC52=0),1,0)</f>
        <v/>
      </c>
      <c r="FD102">
        <f>IF(AND(FD$4=1,FD52=0),1,0)</f>
        <v/>
      </c>
      <c r="FE102">
        <f>IF(AND(FE$4=1,FE52=0),1,0)</f>
        <v/>
      </c>
      <c r="FF102">
        <f>IF(AND(FF$4=1,FF52=0),1,0)</f>
        <v/>
      </c>
      <c r="FG102">
        <f>IF(AND(FG$4=1,FG52=0),1,0)</f>
        <v/>
      </c>
      <c r="FH102">
        <f>IF(AND(FH$4=1,FH52=0),1,0)</f>
        <v/>
      </c>
      <c r="FI102">
        <f>IF(AND(FI$4=1,FI52=0),1,0)</f>
        <v/>
      </c>
      <c r="FJ102">
        <f>IF(AND(FJ$4=1,FJ52=0),1,0)</f>
        <v/>
      </c>
      <c r="FK102">
        <f>IF(AND(FK$4=1,FK52=0),1,0)</f>
        <v/>
      </c>
      <c r="FL102">
        <f>IF(AND(FL$4=1,FL52=0),1,0)</f>
        <v/>
      </c>
      <c r="FM102">
        <f>IF(AND(FM$4=1,FM52=0),1,0)</f>
        <v/>
      </c>
      <c r="FN102">
        <f>IF(AND(FN$4=1,FN52=0),1,0)</f>
        <v/>
      </c>
      <c r="FO102">
        <f>IF(AND(FO$4=1,FO52=0),1,0)</f>
        <v/>
      </c>
      <c r="FP102">
        <f>IF(AND(FP$4=1,FP52=0),1,0)</f>
        <v/>
      </c>
      <c r="FQ102">
        <f>IF(AND(FQ$4=1,FQ52=0),1,0)</f>
        <v/>
      </c>
      <c r="FR102">
        <f>IF(AND(FR$4=1,FR52=0),1,0)</f>
        <v/>
      </c>
      <c r="FS102">
        <f>IF(AND(FS$4=1,FS52=0),1,0)</f>
        <v/>
      </c>
      <c r="FT102">
        <f>IF(AND(FT$4=1,FT52=0),1,0)</f>
        <v/>
      </c>
      <c r="FU102">
        <f>IF(AND(FU$4=1,FU52=0),1,0)</f>
        <v/>
      </c>
      <c r="FV102">
        <f>IF(AND(FV$4=1,FV52=0),1,0)</f>
        <v/>
      </c>
      <c r="FW102">
        <f>IF(AND(FW$4=1,FW52=0),1,0)</f>
        <v/>
      </c>
      <c r="FX102">
        <f>IF(AND(FX$4=1,FX52=0),1,0)</f>
        <v/>
      </c>
      <c r="FY102">
        <f>IF(AND(FY$4=1,FY52=0),1,0)</f>
        <v/>
      </c>
      <c r="FZ102">
        <f>IF(AND(FZ$4=1,FZ52=0),1,0)</f>
        <v/>
      </c>
      <c r="GA102">
        <f>IF(AND(GA$4=1,GA52=0),1,0)</f>
        <v/>
      </c>
      <c r="GB102">
        <f>IF(AND(GB$4=1,GB52=0),1,0)</f>
        <v/>
      </c>
      <c r="GC102">
        <f>IF(AND(GC$4=1,GC52=0),1,0)</f>
        <v/>
      </c>
      <c r="GD102">
        <f>IF(AND(GD$4=1,GD52=0),1,0)</f>
        <v/>
      </c>
      <c r="GE102">
        <f>IF(AND(GE$4=1,GE52=0),1,0)</f>
        <v/>
      </c>
      <c r="GF102">
        <f>IF(AND(GF$4=1,GF52=0),1,0)</f>
        <v/>
      </c>
      <c r="GG102">
        <f>IF(AND(GG$4=1,GG52=0),1,0)</f>
        <v/>
      </c>
      <c r="GH102">
        <f>IF(AND(GH$4=1,GH52=0),1,0)</f>
        <v/>
      </c>
      <c r="GI102">
        <f>IF(AND(GI$4=1,GI52=0),1,0)</f>
        <v/>
      </c>
      <c r="GJ102">
        <f>IF(AND(GJ$4=1,GJ52=0),1,0)</f>
        <v/>
      </c>
      <c r="GK102">
        <f>IF(AND(GK$4=1,GK52=0),1,0)</f>
        <v/>
      </c>
      <c r="GL102">
        <f>IF(AND(GL$4=1,GL52=0),1,0)</f>
        <v/>
      </c>
      <c r="GM102">
        <f>IF(AND(GM$4=1,GM52=0),1,0)</f>
        <v/>
      </c>
      <c r="GN102">
        <f>IF(AND(GN$4=1,GN52=0),1,0)</f>
        <v/>
      </c>
      <c r="GO102">
        <f>IF(AND(GO$4=1,GO52=0),1,0)</f>
        <v/>
      </c>
      <c r="GP102">
        <f>IF(AND(GP$4=1,GP52=0),1,0)</f>
        <v/>
      </c>
      <c r="GQ102">
        <f>IF(AND(GQ$4=1,GQ52=0),1,0)</f>
        <v/>
      </c>
      <c r="GR102">
        <f>IF(AND(GR$4=1,GR52=0),1,0)</f>
        <v/>
      </c>
      <c r="GS102">
        <f>IF(AND(GS$4=1,GS52=0),1,0)</f>
        <v/>
      </c>
      <c r="GT102">
        <f>IF(AND(GT$4=1,GT52=0),1,0)</f>
        <v/>
      </c>
      <c r="GU102">
        <f>IF(AND(GU$4=1,GU52=0),1,0)</f>
        <v/>
      </c>
      <c r="GV102">
        <f>IF(AND(GV$4=1,GV52=0),1,0)</f>
        <v/>
      </c>
      <c r="GW102">
        <f>IF(AND(GW$4=1,GW52=0),1,0)</f>
        <v/>
      </c>
      <c r="GX102">
        <f>IF(AND(GX$4=1,GX52=0),1,0)</f>
        <v/>
      </c>
      <c r="GY102">
        <f>IF(AND(GY$4=1,GY52=0),1,0)</f>
        <v/>
      </c>
      <c r="GZ102">
        <f>IF(AND(GZ$4=1,GZ52=0),1,0)</f>
        <v/>
      </c>
      <c r="HA102">
        <f>IF(AND(HA$4=1,HA52=0),1,0)</f>
        <v/>
      </c>
      <c r="HB102">
        <f>IF(AND(HB$4=1,HB52=0),1,0)</f>
        <v/>
      </c>
      <c r="HC102">
        <f>IF(AND(HC$4=1,HC52=0),1,0)</f>
        <v/>
      </c>
      <c r="HD102">
        <f>IF(AND(HD$4=1,HD52=0),1,0)</f>
        <v/>
      </c>
      <c r="HE102">
        <f>IF(AND(HE$4=1,HE52=0),1,0)</f>
        <v/>
      </c>
      <c r="HF102">
        <f>IF(AND(HF$4=1,HF52=0),1,0)</f>
        <v/>
      </c>
      <c r="HG102">
        <f>IF(AND(HG$4=1,HG52=0),1,0)</f>
        <v/>
      </c>
      <c r="HH102">
        <f>IF(AND(HH$4=1,HH52=0),1,0)</f>
        <v/>
      </c>
      <c r="HI102">
        <f>IF(AND(HI$4=1,HI52=0),1,0)</f>
        <v/>
      </c>
      <c r="HJ102">
        <f>IF(AND(HJ$4=1,HJ52=0),1,0)</f>
        <v/>
      </c>
      <c r="HK102">
        <f>IF(AND(HK$4=1,HK52=0),1,0)</f>
        <v/>
      </c>
      <c r="HL102">
        <f>IF(AND(HL$4=1,HL52=0),1,0)</f>
        <v/>
      </c>
      <c r="HM102">
        <f>IF(AND(HM$4=1,HM52=0),1,0)</f>
        <v/>
      </c>
      <c r="HN102">
        <f>IF(AND(HN$4=1,HN52=0),1,0)</f>
        <v/>
      </c>
      <c r="HO102">
        <f>IF(AND(HO$4=1,HO52=0),1,0)</f>
        <v/>
      </c>
      <c r="HP102">
        <f>IF(AND(HP$4=1,HP52=0),1,0)</f>
        <v/>
      </c>
      <c r="HQ102">
        <f>IF(AND(HQ$4=1,HQ52=0),1,0)</f>
        <v/>
      </c>
      <c r="HR102">
        <f>IF(AND(HR$4=1,HR52=0),1,0)</f>
        <v/>
      </c>
      <c r="HS102">
        <f>IF(AND(HS$4=1,HS52=0),1,0)</f>
        <v/>
      </c>
      <c r="HT102">
        <f>IF(AND(HT$4=1,HT52=0),1,0)</f>
        <v/>
      </c>
      <c r="HU102">
        <f>IF(AND(HU$4=1,HU52=0),1,0)</f>
        <v/>
      </c>
      <c r="HV102">
        <f>IF(AND(HV$4=1,HV52=0),1,0)</f>
        <v/>
      </c>
      <c r="HW102">
        <f>IF(AND(HW$4=1,HW52=0),1,0)</f>
        <v/>
      </c>
      <c r="HX102">
        <f>IF(AND(HX$4=1,HX52=0),1,0)</f>
        <v/>
      </c>
      <c r="HY102">
        <f>IF(AND(HY$4=1,HY52=0),1,0)</f>
        <v/>
      </c>
      <c r="HZ102">
        <f>IF(AND(HZ$4=1,HZ52=0),1,0)</f>
        <v/>
      </c>
      <c r="IA102">
        <f>IF(AND(IA$4=1,IA52=0),1,0)</f>
        <v/>
      </c>
      <c r="IB102">
        <f>IF(AND(IB$4=1,IB52=0),1,0)</f>
        <v/>
      </c>
      <c r="IC102">
        <f>IF(AND(IC$4=1,IC52=0),1,0)</f>
        <v/>
      </c>
      <c r="ID102">
        <f>IF(AND(ID$4=1,ID52=0),1,0)</f>
        <v/>
      </c>
      <c r="IE102">
        <f>IF(AND(IE$4=1,IE52=0),1,0)</f>
        <v/>
      </c>
      <c r="IF102">
        <f>IF(AND(IF$4=1,IF52=0),1,0)</f>
        <v/>
      </c>
      <c r="IG102">
        <f>IF(AND(IG$4=1,IG52=0),1,0)</f>
        <v/>
      </c>
      <c r="IH102">
        <f>IF(AND(IH$4=1,IH52=0),1,0)</f>
        <v/>
      </c>
      <c r="II102">
        <f>IF(AND(II$4=1,II52=0),1,0)</f>
        <v/>
      </c>
    </row>
    <row r="103">
      <c r="A103" t="n">
        <v>44</v>
      </c>
      <c r="D103">
        <f>IF(AND(D$4=1,D53=0),1,0)</f>
        <v/>
      </c>
      <c r="E103">
        <f>IF(AND(E$4=1,E53=0),1,0)</f>
        <v/>
      </c>
      <c r="F103">
        <f>IF(AND(F$4=1,F53=0),1,0)</f>
        <v/>
      </c>
      <c r="G103">
        <f>IF(AND(G$4=1,G53=0),1,0)</f>
        <v/>
      </c>
      <c r="H103">
        <f>IF(AND(H$4=1,H53=0),1,0)</f>
        <v/>
      </c>
      <c r="I103">
        <f>IF(AND(I$4=1,I53=0),1,0)</f>
        <v/>
      </c>
      <c r="J103">
        <f>IF(AND(J$4=1,J53=0),1,0)</f>
        <v/>
      </c>
      <c r="K103">
        <f>IF(AND(K$4=1,K53=0),1,0)</f>
        <v/>
      </c>
      <c r="L103">
        <f>IF(AND(L$4=1,L53=0),1,0)</f>
        <v/>
      </c>
      <c r="M103">
        <f>IF(AND(M$4=1,M53=0),1,0)</f>
        <v/>
      </c>
      <c r="N103">
        <f>IF(AND(N$4=1,N53=0),1,0)</f>
        <v/>
      </c>
      <c r="O103">
        <f>IF(AND(O$4=1,O53=0),1,0)</f>
        <v/>
      </c>
      <c r="P103">
        <f>IF(AND(P$4=1,P53=0),1,0)</f>
        <v/>
      </c>
      <c r="Q103">
        <f>IF(AND(Q$4=1,Q53=0),1,0)</f>
        <v/>
      </c>
      <c r="R103">
        <f>IF(AND(R$4=1,R53=0),1,0)</f>
        <v/>
      </c>
      <c r="S103">
        <f>IF(AND(S$4=1,S53=0),1,0)</f>
        <v/>
      </c>
      <c r="T103">
        <f>IF(AND(T$4=1,T53=0),1,0)</f>
        <v/>
      </c>
      <c r="U103">
        <f>IF(AND(U$4=1,U53=0),1,0)</f>
        <v/>
      </c>
      <c r="V103">
        <f>IF(AND(V$4=1,V53=0),1,0)</f>
        <v/>
      </c>
      <c r="W103">
        <f>IF(AND(W$4=1,W53=0),1,0)</f>
        <v/>
      </c>
      <c r="X103">
        <f>IF(AND(X$4=1,X53=0),1,0)</f>
        <v/>
      </c>
      <c r="Y103">
        <f>IF(AND(Y$4=1,Y53=0),1,0)</f>
        <v/>
      </c>
      <c r="Z103">
        <f>IF(AND(Z$4=1,Z53=0),1,0)</f>
        <v/>
      </c>
      <c r="AA103">
        <f>IF(AND(AA$4=1,AA53=0),1,0)</f>
        <v/>
      </c>
      <c r="AB103">
        <f>IF(AND(AB$4=1,AB53=0),1,0)</f>
        <v/>
      </c>
      <c r="AC103">
        <f>IF(AND(AC$4=1,AC53=0),1,0)</f>
        <v/>
      </c>
      <c r="AD103">
        <f>IF(AND(AD$4=1,AD53=0),1,0)</f>
        <v/>
      </c>
      <c r="AE103">
        <f>IF(AND(AE$4=1,AE53=0),1,0)</f>
        <v/>
      </c>
      <c r="AF103">
        <f>IF(AND(AF$4=1,AF53=0),1,0)</f>
        <v/>
      </c>
      <c r="AG103">
        <f>IF(AND(AG$4=1,AG53=0),1,0)</f>
        <v/>
      </c>
      <c r="AH103">
        <f>IF(AND(AH$4=1,AH53=0),1,0)</f>
        <v/>
      </c>
      <c r="AI103">
        <f>IF(AND(AI$4=1,AI53=0),1,0)</f>
        <v/>
      </c>
      <c r="AJ103">
        <f>IF(AND(AJ$4=1,AJ53=0),1,0)</f>
        <v/>
      </c>
      <c r="AK103">
        <f>IF(AND(AK$4=1,AK53=0),1,0)</f>
        <v/>
      </c>
      <c r="AL103">
        <f>IF(AND(AL$4=1,AL53=0),1,0)</f>
        <v/>
      </c>
      <c r="AM103">
        <f>IF(AND(AM$4=1,AM53=0),1,0)</f>
        <v/>
      </c>
      <c r="AN103">
        <f>IF(AND(AN$4=1,AN53=0),1,0)</f>
        <v/>
      </c>
      <c r="AO103">
        <f>IF(AND(AO$4=1,AO53=0),1,0)</f>
        <v/>
      </c>
      <c r="AP103">
        <f>IF(AND(AP$4=1,AP53=0),1,0)</f>
        <v/>
      </c>
      <c r="AQ103">
        <f>IF(AND(AQ$4=1,AQ53=0),1,0)</f>
        <v/>
      </c>
      <c r="AR103">
        <f>IF(AND(AR$4=1,AR53=0),1,0)</f>
        <v/>
      </c>
      <c r="AS103">
        <f>IF(AND(AS$4=1,AS53=0),1,0)</f>
        <v/>
      </c>
      <c r="AT103">
        <f>IF(AND(AT$4=1,AT53=0),1,0)</f>
        <v/>
      </c>
      <c r="AU103">
        <f>IF(AND(AU$4=1,AU53=0),1,0)</f>
        <v/>
      </c>
      <c r="AV103">
        <f>IF(AND(AV$4=1,AV53=0),1,0)</f>
        <v/>
      </c>
      <c r="AW103">
        <f>IF(AND(AW$4=1,AW53=0),1,0)</f>
        <v/>
      </c>
      <c r="AX103">
        <f>IF(AND(AX$4=1,AX53=0),1,0)</f>
        <v/>
      </c>
      <c r="AY103">
        <f>IF(AND(AY$4=1,AY53=0),1,0)</f>
        <v/>
      </c>
      <c r="AZ103">
        <f>IF(AND(AZ$4=1,AZ53=0),1,0)</f>
        <v/>
      </c>
      <c r="BA103">
        <f>IF(AND(BA$4=1,BA53=0),1,0)</f>
        <v/>
      </c>
      <c r="BB103">
        <f>IF(AND(BB$4=1,BB53=0),1,0)</f>
        <v/>
      </c>
      <c r="BC103">
        <f>IF(AND(BC$4=1,BC53=0),1,0)</f>
        <v/>
      </c>
      <c r="BD103">
        <f>IF(AND(BD$4=1,BD53=0),1,0)</f>
        <v/>
      </c>
      <c r="BE103">
        <f>IF(AND(BE$4=1,BE53=0),1,0)</f>
        <v/>
      </c>
      <c r="BF103">
        <f>IF(AND(BF$4=1,BF53=0),1,0)</f>
        <v/>
      </c>
      <c r="BG103">
        <f>IF(AND(BG$4=1,BG53=0),1,0)</f>
        <v/>
      </c>
      <c r="BH103">
        <f>IF(AND(BH$4=1,BH53=0),1,0)</f>
        <v/>
      </c>
      <c r="BI103">
        <f>IF(AND(BI$4=1,BI53=0),1,0)</f>
        <v/>
      </c>
      <c r="BJ103">
        <f>IF(AND(BJ$4=1,BJ53=0),1,0)</f>
        <v/>
      </c>
      <c r="BK103">
        <f>IF(AND(BK$4=1,BK53=0),1,0)</f>
        <v/>
      </c>
      <c r="BL103">
        <f>IF(AND(BL$4=1,BL53=0),1,0)</f>
        <v/>
      </c>
      <c r="BM103">
        <f>IF(AND(BM$4=1,BM53=0),1,0)</f>
        <v/>
      </c>
      <c r="BN103">
        <f>IF(AND(BN$4=1,BN53=0),1,0)</f>
        <v/>
      </c>
      <c r="BO103">
        <f>IF(AND(BO$4=1,BO53=0),1,0)</f>
        <v/>
      </c>
      <c r="BP103">
        <f>IF(AND(BP$4=1,BP53=0),1,0)</f>
        <v/>
      </c>
      <c r="BQ103">
        <f>IF(AND(BQ$4=1,BQ53=0),1,0)</f>
        <v/>
      </c>
      <c r="BR103">
        <f>IF(AND(BR$4=1,BR53=0),1,0)</f>
        <v/>
      </c>
      <c r="BS103">
        <f>IF(AND(BS$4=1,BS53=0),1,0)</f>
        <v/>
      </c>
      <c r="BT103">
        <f>IF(AND(BT$4=1,BT53=0),1,0)</f>
        <v/>
      </c>
      <c r="BU103">
        <f>IF(AND(BU$4=1,BU53=0),1,0)</f>
        <v/>
      </c>
      <c r="BV103">
        <f>IF(AND(BV$4=1,BV53=0),1,0)</f>
        <v/>
      </c>
      <c r="BW103">
        <f>IF(AND(BW$4=1,BW53=0),1,0)</f>
        <v/>
      </c>
      <c r="BX103">
        <f>IF(AND(BX$4=1,BX53=0),1,0)</f>
        <v/>
      </c>
      <c r="BY103">
        <f>IF(AND(BY$4=1,BY53=0),1,0)</f>
        <v/>
      </c>
      <c r="BZ103">
        <f>IF(AND(BZ$4=1,BZ53=0),1,0)</f>
        <v/>
      </c>
      <c r="CA103">
        <f>IF(AND(CA$4=1,CA53=0),1,0)</f>
        <v/>
      </c>
      <c r="CB103">
        <f>IF(AND(CB$4=1,CB53=0),1,0)</f>
        <v/>
      </c>
      <c r="CC103">
        <f>IF(AND(CC$4=1,CC53=0),1,0)</f>
        <v/>
      </c>
      <c r="CD103">
        <f>IF(AND(CD$4=1,CD53=0),1,0)</f>
        <v/>
      </c>
      <c r="CE103">
        <f>IF(AND(CE$4=1,CE53=0),1,0)</f>
        <v/>
      </c>
      <c r="CF103">
        <f>IF(AND(CF$4=1,CF53=0),1,0)</f>
        <v/>
      </c>
      <c r="CG103">
        <f>IF(AND(CG$4=1,CG53=0),1,0)</f>
        <v/>
      </c>
      <c r="CH103">
        <f>IF(AND(CH$4=1,CH53=0),1,0)</f>
        <v/>
      </c>
      <c r="CI103">
        <f>IF(AND(CI$4=1,CI53=0),1,0)</f>
        <v/>
      </c>
      <c r="CJ103">
        <f>IF(AND(CJ$4=1,CJ53=0),1,0)</f>
        <v/>
      </c>
      <c r="CK103">
        <f>IF(AND(CK$4=1,CK53=0),1,0)</f>
        <v/>
      </c>
      <c r="CL103">
        <f>IF(AND(CL$4=1,CL53=0),1,0)</f>
        <v/>
      </c>
      <c r="CM103">
        <f>IF(AND(CM$4=1,CM53=0),1,0)</f>
        <v/>
      </c>
      <c r="CN103">
        <f>IF(AND(CN$4=1,CN53=0),1,0)</f>
        <v/>
      </c>
      <c r="CO103">
        <f>IF(AND(CO$4=1,CO53=0),1,0)</f>
        <v/>
      </c>
      <c r="CP103">
        <f>IF(AND(CP$4=1,CP53=0),1,0)</f>
        <v/>
      </c>
      <c r="CQ103">
        <f>IF(AND(CQ$4=1,CQ53=0),1,0)</f>
        <v/>
      </c>
      <c r="CR103">
        <f>IF(AND(CR$4=1,CR53=0),1,0)</f>
        <v/>
      </c>
      <c r="CS103">
        <f>IF(AND(CS$4=1,CS53=0),1,0)</f>
        <v/>
      </c>
      <c r="CT103">
        <f>IF(AND(CT$4=1,CT53=0),1,0)</f>
        <v/>
      </c>
      <c r="CU103">
        <f>IF(AND(CU$4=1,CU53=0),1,0)</f>
        <v/>
      </c>
      <c r="CV103">
        <f>IF(AND(CV$4=1,CV53=0),1,0)</f>
        <v/>
      </c>
      <c r="CW103">
        <f>IF(AND(CW$4=1,CW53=0),1,0)</f>
        <v/>
      </c>
      <c r="CX103">
        <f>IF(AND(CX$4=1,CX53=0),1,0)</f>
        <v/>
      </c>
      <c r="CY103">
        <f>IF(AND(CY$4=1,CY53=0),1,0)</f>
        <v/>
      </c>
      <c r="CZ103">
        <f>IF(AND(CZ$4=1,CZ53=0),1,0)</f>
        <v/>
      </c>
      <c r="DA103">
        <f>IF(AND(DA$4=1,DA53=0),1,0)</f>
        <v/>
      </c>
      <c r="DB103">
        <f>IF(AND(DB$4=1,DB53=0),1,0)</f>
        <v/>
      </c>
      <c r="DC103">
        <f>IF(AND(DC$4=1,DC53=0),1,0)</f>
        <v/>
      </c>
      <c r="DD103">
        <f>IF(AND(DD$4=1,DD53=0),1,0)</f>
        <v/>
      </c>
      <c r="DE103">
        <f>IF(AND(DE$4=1,DE53=0),1,0)</f>
        <v/>
      </c>
      <c r="DF103">
        <f>IF(AND(DF$4=1,DF53=0),1,0)</f>
        <v/>
      </c>
      <c r="DG103">
        <f>IF(AND(DG$4=1,DG53=0),1,0)</f>
        <v/>
      </c>
      <c r="DH103">
        <f>IF(AND(DH$4=1,DH53=0),1,0)</f>
        <v/>
      </c>
      <c r="DI103">
        <f>IF(AND(DI$4=1,DI53=0),1,0)</f>
        <v/>
      </c>
      <c r="DJ103">
        <f>IF(AND(DJ$4=1,DJ53=0),1,0)</f>
        <v/>
      </c>
      <c r="DK103">
        <f>IF(AND(DK$4=1,DK53=0),1,0)</f>
        <v/>
      </c>
      <c r="DL103">
        <f>IF(AND(DL$4=1,DL53=0),1,0)</f>
        <v/>
      </c>
      <c r="DM103">
        <f>IF(AND(DM$4=1,DM53=0),1,0)</f>
        <v/>
      </c>
      <c r="DN103">
        <f>IF(AND(DN$4=1,DN53=0),1,0)</f>
        <v/>
      </c>
      <c r="DO103">
        <f>IF(AND(DO$4=1,DO53=0),1,0)</f>
        <v/>
      </c>
      <c r="DP103">
        <f>IF(AND(DP$4=1,DP53=0),1,0)</f>
        <v/>
      </c>
      <c r="DQ103">
        <f>IF(AND(DQ$4=1,DQ53=0),1,0)</f>
        <v/>
      </c>
      <c r="DR103">
        <f>IF(AND(DR$4=1,DR53=0),1,0)</f>
        <v/>
      </c>
      <c r="DS103">
        <f>IF(AND(DS$4=1,DS53=0),1,0)</f>
        <v/>
      </c>
      <c r="DT103">
        <f>IF(AND(DT$4=1,DT53=0),1,0)</f>
        <v/>
      </c>
      <c r="DU103">
        <f>IF(AND(DU$4=1,DU53=0),1,0)</f>
        <v/>
      </c>
      <c r="DV103">
        <f>IF(AND(DV$4=1,DV53=0),1,0)</f>
        <v/>
      </c>
      <c r="DW103">
        <f>IF(AND(DW$4=1,DW53=0),1,0)</f>
        <v/>
      </c>
      <c r="DX103">
        <f>IF(AND(DX$4=1,DX53=0),1,0)</f>
        <v/>
      </c>
      <c r="DY103">
        <f>IF(AND(DY$4=1,DY53=0),1,0)</f>
        <v/>
      </c>
      <c r="DZ103">
        <f>IF(AND(DZ$4=1,DZ53=0),1,0)</f>
        <v/>
      </c>
      <c r="EA103">
        <f>IF(AND(EA$4=1,EA53=0),1,0)</f>
        <v/>
      </c>
      <c r="EB103">
        <f>IF(AND(EB$4=1,EB53=0),1,0)</f>
        <v/>
      </c>
      <c r="EC103">
        <f>IF(AND(EC$4=1,EC53=0),1,0)</f>
        <v/>
      </c>
      <c r="ED103">
        <f>IF(AND(ED$4=1,ED53=0),1,0)</f>
        <v/>
      </c>
      <c r="EE103">
        <f>IF(AND(EE$4=1,EE53=0),1,0)</f>
        <v/>
      </c>
      <c r="EF103">
        <f>IF(AND(EF$4=1,EF53=0),1,0)</f>
        <v/>
      </c>
      <c r="EG103">
        <f>IF(AND(EG$4=1,EG53=0),1,0)</f>
        <v/>
      </c>
      <c r="EH103">
        <f>IF(AND(EH$4=1,EH53=0),1,0)</f>
        <v/>
      </c>
      <c r="EI103">
        <f>IF(AND(EI$4=1,EI53=0),1,0)</f>
        <v/>
      </c>
      <c r="EJ103">
        <f>IF(AND(EJ$4=1,EJ53=0),1,0)</f>
        <v/>
      </c>
      <c r="EK103">
        <f>IF(AND(EK$4=1,EK53=0),1,0)</f>
        <v/>
      </c>
      <c r="EL103">
        <f>IF(AND(EL$4=1,EL53=0),1,0)</f>
        <v/>
      </c>
      <c r="EM103">
        <f>IF(AND(EM$4=1,EM53=0),1,0)</f>
        <v/>
      </c>
      <c r="EN103">
        <f>IF(AND(EN$4=1,EN53=0),1,0)</f>
        <v/>
      </c>
      <c r="EO103">
        <f>IF(AND(EO$4=1,EO53=0),1,0)</f>
        <v/>
      </c>
      <c r="EP103">
        <f>IF(AND(EP$4=1,EP53=0),1,0)</f>
        <v/>
      </c>
      <c r="EQ103">
        <f>IF(AND(EQ$4=1,EQ53=0),1,0)</f>
        <v/>
      </c>
      <c r="ER103">
        <f>IF(AND(ER$4=1,ER53=0),1,0)</f>
        <v/>
      </c>
      <c r="ES103">
        <f>IF(AND(ES$4=1,ES53=0),1,0)</f>
        <v/>
      </c>
      <c r="ET103">
        <f>IF(AND(ET$4=1,ET53=0),1,0)</f>
        <v/>
      </c>
      <c r="EU103">
        <f>IF(AND(EU$4=1,EU53=0),1,0)</f>
        <v/>
      </c>
      <c r="EV103">
        <f>IF(AND(EV$4=1,EV53=0),1,0)</f>
        <v/>
      </c>
      <c r="EW103">
        <f>IF(AND(EW$4=1,EW53=0),1,0)</f>
        <v/>
      </c>
      <c r="EX103">
        <f>IF(AND(EX$4=1,EX53=0),1,0)</f>
        <v/>
      </c>
      <c r="EY103">
        <f>IF(AND(EY$4=1,EY53=0),1,0)</f>
        <v/>
      </c>
      <c r="EZ103">
        <f>IF(AND(EZ$4=1,EZ53=0),1,0)</f>
        <v/>
      </c>
      <c r="FA103">
        <f>IF(AND(FA$4=1,FA53=0),1,0)</f>
        <v/>
      </c>
      <c r="FB103">
        <f>IF(AND(FB$4=1,FB53=0),1,0)</f>
        <v/>
      </c>
      <c r="FC103">
        <f>IF(AND(FC$4=1,FC53=0),1,0)</f>
        <v/>
      </c>
      <c r="FD103">
        <f>IF(AND(FD$4=1,FD53=0),1,0)</f>
        <v/>
      </c>
      <c r="FE103">
        <f>IF(AND(FE$4=1,FE53=0),1,0)</f>
        <v/>
      </c>
      <c r="FF103">
        <f>IF(AND(FF$4=1,FF53=0),1,0)</f>
        <v/>
      </c>
      <c r="FG103">
        <f>IF(AND(FG$4=1,FG53=0),1,0)</f>
        <v/>
      </c>
      <c r="FH103">
        <f>IF(AND(FH$4=1,FH53=0),1,0)</f>
        <v/>
      </c>
      <c r="FI103">
        <f>IF(AND(FI$4=1,FI53=0),1,0)</f>
        <v/>
      </c>
      <c r="FJ103">
        <f>IF(AND(FJ$4=1,FJ53=0),1,0)</f>
        <v/>
      </c>
      <c r="FK103">
        <f>IF(AND(FK$4=1,FK53=0),1,0)</f>
        <v/>
      </c>
      <c r="FL103">
        <f>IF(AND(FL$4=1,FL53=0),1,0)</f>
        <v/>
      </c>
      <c r="FM103">
        <f>IF(AND(FM$4=1,FM53=0),1,0)</f>
        <v/>
      </c>
      <c r="FN103">
        <f>IF(AND(FN$4=1,FN53=0),1,0)</f>
        <v/>
      </c>
      <c r="FO103">
        <f>IF(AND(FO$4=1,FO53=0),1,0)</f>
        <v/>
      </c>
      <c r="FP103">
        <f>IF(AND(FP$4=1,FP53=0),1,0)</f>
        <v/>
      </c>
      <c r="FQ103">
        <f>IF(AND(FQ$4=1,FQ53=0),1,0)</f>
        <v/>
      </c>
      <c r="FR103">
        <f>IF(AND(FR$4=1,FR53=0),1,0)</f>
        <v/>
      </c>
      <c r="FS103">
        <f>IF(AND(FS$4=1,FS53=0),1,0)</f>
        <v/>
      </c>
      <c r="FT103">
        <f>IF(AND(FT$4=1,FT53=0),1,0)</f>
        <v/>
      </c>
      <c r="FU103">
        <f>IF(AND(FU$4=1,FU53=0),1,0)</f>
        <v/>
      </c>
      <c r="FV103">
        <f>IF(AND(FV$4=1,FV53=0),1,0)</f>
        <v/>
      </c>
      <c r="FW103">
        <f>IF(AND(FW$4=1,FW53=0),1,0)</f>
        <v/>
      </c>
      <c r="FX103">
        <f>IF(AND(FX$4=1,FX53=0),1,0)</f>
        <v/>
      </c>
      <c r="FY103">
        <f>IF(AND(FY$4=1,FY53=0),1,0)</f>
        <v/>
      </c>
      <c r="FZ103">
        <f>IF(AND(FZ$4=1,FZ53=0),1,0)</f>
        <v/>
      </c>
      <c r="GA103">
        <f>IF(AND(GA$4=1,GA53=0),1,0)</f>
        <v/>
      </c>
      <c r="GB103">
        <f>IF(AND(GB$4=1,GB53=0),1,0)</f>
        <v/>
      </c>
      <c r="GC103">
        <f>IF(AND(GC$4=1,GC53=0),1,0)</f>
        <v/>
      </c>
      <c r="GD103">
        <f>IF(AND(GD$4=1,GD53=0),1,0)</f>
        <v/>
      </c>
      <c r="GE103">
        <f>IF(AND(GE$4=1,GE53=0),1,0)</f>
        <v/>
      </c>
      <c r="GF103">
        <f>IF(AND(GF$4=1,GF53=0),1,0)</f>
        <v/>
      </c>
      <c r="GG103">
        <f>IF(AND(GG$4=1,GG53=0),1,0)</f>
        <v/>
      </c>
      <c r="GH103">
        <f>IF(AND(GH$4=1,GH53=0),1,0)</f>
        <v/>
      </c>
      <c r="GI103">
        <f>IF(AND(GI$4=1,GI53=0),1,0)</f>
        <v/>
      </c>
      <c r="GJ103">
        <f>IF(AND(GJ$4=1,GJ53=0),1,0)</f>
        <v/>
      </c>
      <c r="GK103">
        <f>IF(AND(GK$4=1,GK53=0),1,0)</f>
        <v/>
      </c>
      <c r="GL103">
        <f>IF(AND(GL$4=1,GL53=0),1,0)</f>
        <v/>
      </c>
      <c r="GM103">
        <f>IF(AND(GM$4=1,GM53=0),1,0)</f>
        <v/>
      </c>
      <c r="GN103">
        <f>IF(AND(GN$4=1,GN53=0),1,0)</f>
        <v/>
      </c>
      <c r="GO103">
        <f>IF(AND(GO$4=1,GO53=0),1,0)</f>
        <v/>
      </c>
      <c r="GP103">
        <f>IF(AND(GP$4=1,GP53=0),1,0)</f>
        <v/>
      </c>
      <c r="GQ103">
        <f>IF(AND(GQ$4=1,GQ53=0),1,0)</f>
        <v/>
      </c>
      <c r="GR103">
        <f>IF(AND(GR$4=1,GR53=0),1,0)</f>
        <v/>
      </c>
      <c r="GS103">
        <f>IF(AND(GS$4=1,GS53=0),1,0)</f>
        <v/>
      </c>
      <c r="GT103">
        <f>IF(AND(GT$4=1,GT53=0),1,0)</f>
        <v/>
      </c>
      <c r="GU103">
        <f>IF(AND(GU$4=1,GU53=0),1,0)</f>
        <v/>
      </c>
      <c r="GV103">
        <f>IF(AND(GV$4=1,GV53=0),1,0)</f>
        <v/>
      </c>
      <c r="GW103">
        <f>IF(AND(GW$4=1,GW53=0),1,0)</f>
        <v/>
      </c>
      <c r="GX103">
        <f>IF(AND(GX$4=1,GX53=0),1,0)</f>
        <v/>
      </c>
      <c r="GY103">
        <f>IF(AND(GY$4=1,GY53=0),1,0)</f>
        <v/>
      </c>
      <c r="GZ103">
        <f>IF(AND(GZ$4=1,GZ53=0),1,0)</f>
        <v/>
      </c>
      <c r="HA103">
        <f>IF(AND(HA$4=1,HA53=0),1,0)</f>
        <v/>
      </c>
      <c r="HB103">
        <f>IF(AND(HB$4=1,HB53=0),1,0)</f>
        <v/>
      </c>
      <c r="HC103">
        <f>IF(AND(HC$4=1,HC53=0),1,0)</f>
        <v/>
      </c>
      <c r="HD103">
        <f>IF(AND(HD$4=1,HD53=0),1,0)</f>
        <v/>
      </c>
      <c r="HE103">
        <f>IF(AND(HE$4=1,HE53=0),1,0)</f>
        <v/>
      </c>
      <c r="HF103">
        <f>IF(AND(HF$4=1,HF53=0),1,0)</f>
        <v/>
      </c>
      <c r="HG103">
        <f>IF(AND(HG$4=1,HG53=0),1,0)</f>
        <v/>
      </c>
      <c r="HH103">
        <f>IF(AND(HH$4=1,HH53=0),1,0)</f>
        <v/>
      </c>
      <c r="HI103">
        <f>IF(AND(HI$4=1,HI53=0),1,0)</f>
        <v/>
      </c>
      <c r="HJ103">
        <f>IF(AND(HJ$4=1,HJ53=0),1,0)</f>
        <v/>
      </c>
      <c r="HK103">
        <f>IF(AND(HK$4=1,HK53=0),1,0)</f>
        <v/>
      </c>
      <c r="HL103">
        <f>IF(AND(HL$4=1,HL53=0),1,0)</f>
        <v/>
      </c>
      <c r="HM103">
        <f>IF(AND(HM$4=1,HM53=0),1,0)</f>
        <v/>
      </c>
      <c r="HN103">
        <f>IF(AND(HN$4=1,HN53=0),1,0)</f>
        <v/>
      </c>
      <c r="HO103">
        <f>IF(AND(HO$4=1,HO53=0),1,0)</f>
        <v/>
      </c>
      <c r="HP103">
        <f>IF(AND(HP$4=1,HP53=0),1,0)</f>
        <v/>
      </c>
      <c r="HQ103">
        <f>IF(AND(HQ$4=1,HQ53=0),1,0)</f>
        <v/>
      </c>
      <c r="HR103">
        <f>IF(AND(HR$4=1,HR53=0),1,0)</f>
        <v/>
      </c>
      <c r="HS103">
        <f>IF(AND(HS$4=1,HS53=0),1,0)</f>
        <v/>
      </c>
      <c r="HT103">
        <f>IF(AND(HT$4=1,HT53=0),1,0)</f>
        <v/>
      </c>
      <c r="HU103">
        <f>IF(AND(HU$4=1,HU53=0),1,0)</f>
        <v/>
      </c>
      <c r="HV103">
        <f>IF(AND(HV$4=1,HV53=0),1,0)</f>
        <v/>
      </c>
      <c r="HW103">
        <f>IF(AND(HW$4=1,HW53=0),1,0)</f>
        <v/>
      </c>
      <c r="HX103">
        <f>IF(AND(HX$4=1,HX53=0),1,0)</f>
        <v/>
      </c>
      <c r="HY103">
        <f>IF(AND(HY$4=1,HY53=0),1,0)</f>
        <v/>
      </c>
      <c r="HZ103">
        <f>IF(AND(HZ$4=1,HZ53=0),1,0)</f>
        <v/>
      </c>
      <c r="IA103">
        <f>IF(AND(IA$4=1,IA53=0),1,0)</f>
        <v/>
      </c>
      <c r="IB103">
        <f>IF(AND(IB$4=1,IB53=0),1,0)</f>
        <v/>
      </c>
      <c r="IC103">
        <f>IF(AND(IC$4=1,IC53=0),1,0)</f>
        <v/>
      </c>
      <c r="ID103">
        <f>IF(AND(ID$4=1,ID53=0),1,0)</f>
        <v/>
      </c>
      <c r="IE103">
        <f>IF(AND(IE$4=1,IE53=0),1,0)</f>
        <v/>
      </c>
      <c r="IF103">
        <f>IF(AND(IF$4=1,IF53=0),1,0)</f>
        <v/>
      </c>
      <c r="IG103">
        <f>IF(AND(IG$4=1,IG53=0),1,0)</f>
        <v/>
      </c>
      <c r="IH103">
        <f>IF(AND(IH$4=1,IH53=0),1,0)</f>
        <v/>
      </c>
      <c r="II103">
        <f>IF(AND(II$4=1,II53=0),1,0)</f>
        <v/>
      </c>
    </row>
    <row r="104">
      <c r="A104" t="n">
        <v>45</v>
      </c>
      <c r="D104">
        <f>IF(AND(D$4=1,D54=0),1,0)</f>
        <v/>
      </c>
      <c r="E104">
        <f>IF(AND(E$4=1,E54=0),1,0)</f>
        <v/>
      </c>
      <c r="F104">
        <f>IF(AND(F$4=1,F54=0),1,0)</f>
        <v/>
      </c>
      <c r="G104">
        <f>IF(AND(G$4=1,G54=0),1,0)</f>
        <v/>
      </c>
      <c r="H104">
        <f>IF(AND(H$4=1,H54=0),1,0)</f>
        <v/>
      </c>
      <c r="I104">
        <f>IF(AND(I$4=1,I54=0),1,0)</f>
        <v/>
      </c>
      <c r="J104">
        <f>IF(AND(J$4=1,J54=0),1,0)</f>
        <v/>
      </c>
      <c r="K104">
        <f>IF(AND(K$4=1,K54=0),1,0)</f>
        <v/>
      </c>
      <c r="L104">
        <f>IF(AND(L$4=1,L54=0),1,0)</f>
        <v/>
      </c>
      <c r="M104">
        <f>IF(AND(M$4=1,M54=0),1,0)</f>
        <v/>
      </c>
      <c r="N104">
        <f>IF(AND(N$4=1,N54=0),1,0)</f>
        <v/>
      </c>
      <c r="O104">
        <f>IF(AND(O$4=1,O54=0),1,0)</f>
        <v/>
      </c>
      <c r="P104">
        <f>IF(AND(P$4=1,P54=0),1,0)</f>
        <v/>
      </c>
      <c r="Q104">
        <f>IF(AND(Q$4=1,Q54=0),1,0)</f>
        <v/>
      </c>
      <c r="R104">
        <f>IF(AND(R$4=1,R54=0),1,0)</f>
        <v/>
      </c>
      <c r="S104">
        <f>IF(AND(S$4=1,S54=0),1,0)</f>
        <v/>
      </c>
      <c r="T104">
        <f>IF(AND(T$4=1,T54=0),1,0)</f>
        <v/>
      </c>
      <c r="U104">
        <f>IF(AND(U$4=1,U54=0),1,0)</f>
        <v/>
      </c>
      <c r="V104">
        <f>IF(AND(V$4=1,V54=0),1,0)</f>
        <v/>
      </c>
      <c r="W104">
        <f>IF(AND(W$4=1,W54=0),1,0)</f>
        <v/>
      </c>
      <c r="X104">
        <f>IF(AND(X$4=1,X54=0),1,0)</f>
        <v/>
      </c>
      <c r="Y104">
        <f>IF(AND(Y$4=1,Y54=0),1,0)</f>
        <v/>
      </c>
      <c r="Z104">
        <f>IF(AND(Z$4=1,Z54=0),1,0)</f>
        <v/>
      </c>
      <c r="AA104">
        <f>IF(AND(AA$4=1,AA54=0),1,0)</f>
        <v/>
      </c>
      <c r="AB104">
        <f>IF(AND(AB$4=1,AB54=0),1,0)</f>
        <v/>
      </c>
      <c r="AC104">
        <f>IF(AND(AC$4=1,AC54=0),1,0)</f>
        <v/>
      </c>
      <c r="AD104">
        <f>IF(AND(AD$4=1,AD54=0),1,0)</f>
        <v/>
      </c>
      <c r="AE104">
        <f>IF(AND(AE$4=1,AE54=0),1,0)</f>
        <v/>
      </c>
      <c r="AF104">
        <f>IF(AND(AF$4=1,AF54=0),1,0)</f>
        <v/>
      </c>
      <c r="AG104">
        <f>IF(AND(AG$4=1,AG54=0),1,0)</f>
        <v/>
      </c>
      <c r="AH104">
        <f>IF(AND(AH$4=1,AH54=0),1,0)</f>
        <v/>
      </c>
      <c r="AI104">
        <f>IF(AND(AI$4=1,AI54=0),1,0)</f>
        <v/>
      </c>
      <c r="AJ104">
        <f>IF(AND(AJ$4=1,AJ54=0),1,0)</f>
        <v/>
      </c>
      <c r="AK104">
        <f>IF(AND(AK$4=1,AK54=0),1,0)</f>
        <v/>
      </c>
      <c r="AL104">
        <f>IF(AND(AL$4=1,AL54=0),1,0)</f>
        <v/>
      </c>
      <c r="AM104">
        <f>IF(AND(AM$4=1,AM54=0),1,0)</f>
        <v/>
      </c>
      <c r="AN104">
        <f>IF(AND(AN$4=1,AN54=0),1,0)</f>
        <v/>
      </c>
      <c r="AO104">
        <f>IF(AND(AO$4=1,AO54=0),1,0)</f>
        <v/>
      </c>
      <c r="AP104">
        <f>IF(AND(AP$4=1,AP54=0),1,0)</f>
        <v/>
      </c>
      <c r="AQ104">
        <f>IF(AND(AQ$4=1,AQ54=0),1,0)</f>
        <v/>
      </c>
      <c r="AR104">
        <f>IF(AND(AR$4=1,AR54=0),1,0)</f>
        <v/>
      </c>
      <c r="AS104">
        <f>IF(AND(AS$4=1,AS54=0),1,0)</f>
        <v/>
      </c>
      <c r="AT104">
        <f>IF(AND(AT$4=1,AT54=0),1,0)</f>
        <v/>
      </c>
      <c r="AU104">
        <f>IF(AND(AU$4=1,AU54=0),1,0)</f>
        <v/>
      </c>
      <c r="AV104">
        <f>IF(AND(AV$4=1,AV54=0),1,0)</f>
        <v/>
      </c>
      <c r="AW104">
        <f>IF(AND(AW$4=1,AW54=0),1,0)</f>
        <v/>
      </c>
      <c r="AX104">
        <f>IF(AND(AX$4=1,AX54=0),1,0)</f>
        <v/>
      </c>
      <c r="AY104">
        <f>IF(AND(AY$4=1,AY54=0),1,0)</f>
        <v/>
      </c>
      <c r="AZ104">
        <f>IF(AND(AZ$4=1,AZ54=0),1,0)</f>
        <v/>
      </c>
      <c r="BA104">
        <f>IF(AND(BA$4=1,BA54=0),1,0)</f>
        <v/>
      </c>
      <c r="BB104">
        <f>IF(AND(BB$4=1,BB54=0),1,0)</f>
        <v/>
      </c>
      <c r="BC104">
        <f>IF(AND(BC$4=1,BC54=0),1,0)</f>
        <v/>
      </c>
      <c r="BD104">
        <f>IF(AND(BD$4=1,BD54=0),1,0)</f>
        <v/>
      </c>
      <c r="BE104">
        <f>IF(AND(BE$4=1,BE54=0),1,0)</f>
        <v/>
      </c>
      <c r="BF104">
        <f>IF(AND(BF$4=1,BF54=0),1,0)</f>
        <v/>
      </c>
      <c r="BG104">
        <f>IF(AND(BG$4=1,BG54=0),1,0)</f>
        <v/>
      </c>
      <c r="BH104">
        <f>IF(AND(BH$4=1,BH54=0),1,0)</f>
        <v/>
      </c>
      <c r="BI104">
        <f>IF(AND(BI$4=1,BI54=0),1,0)</f>
        <v/>
      </c>
      <c r="BJ104">
        <f>IF(AND(BJ$4=1,BJ54=0),1,0)</f>
        <v/>
      </c>
      <c r="BK104">
        <f>IF(AND(BK$4=1,BK54=0),1,0)</f>
        <v/>
      </c>
      <c r="BL104">
        <f>IF(AND(BL$4=1,BL54=0),1,0)</f>
        <v/>
      </c>
      <c r="BM104">
        <f>IF(AND(BM$4=1,BM54=0),1,0)</f>
        <v/>
      </c>
      <c r="BN104">
        <f>IF(AND(BN$4=1,BN54=0),1,0)</f>
        <v/>
      </c>
      <c r="BO104">
        <f>IF(AND(BO$4=1,BO54=0),1,0)</f>
        <v/>
      </c>
      <c r="BP104">
        <f>IF(AND(BP$4=1,BP54=0),1,0)</f>
        <v/>
      </c>
      <c r="BQ104">
        <f>IF(AND(BQ$4=1,BQ54=0),1,0)</f>
        <v/>
      </c>
      <c r="BR104">
        <f>IF(AND(BR$4=1,BR54=0),1,0)</f>
        <v/>
      </c>
      <c r="BS104">
        <f>IF(AND(BS$4=1,BS54=0),1,0)</f>
        <v/>
      </c>
      <c r="BT104">
        <f>IF(AND(BT$4=1,BT54=0),1,0)</f>
        <v/>
      </c>
      <c r="BU104">
        <f>IF(AND(BU$4=1,BU54=0),1,0)</f>
        <v/>
      </c>
      <c r="BV104">
        <f>IF(AND(BV$4=1,BV54=0),1,0)</f>
        <v/>
      </c>
      <c r="BW104">
        <f>IF(AND(BW$4=1,BW54=0),1,0)</f>
        <v/>
      </c>
      <c r="BX104">
        <f>IF(AND(BX$4=1,BX54=0),1,0)</f>
        <v/>
      </c>
      <c r="BY104">
        <f>IF(AND(BY$4=1,BY54=0),1,0)</f>
        <v/>
      </c>
      <c r="BZ104">
        <f>IF(AND(BZ$4=1,BZ54=0),1,0)</f>
        <v/>
      </c>
      <c r="CA104">
        <f>IF(AND(CA$4=1,CA54=0),1,0)</f>
        <v/>
      </c>
      <c r="CB104">
        <f>IF(AND(CB$4=1,CB54=0),1,0)</f>
        <v/>
      </c>
      <c r="CC104">
        <f>IF(AND(CC$4=1,CC54=0),1,0)</f>
        <v/>
      </c>
      <c r="CD104">
        <f>IF(AND(CD$4=1,CD54=0),1,0)</f>
        <v/>
      </c>
      <c r="CE104">
        <f>IF(AND(CE$4=1,CE54=0),1,0)</f>
        <v/>
      </c>
      <c r="CF104">
        <f>IF(AND(CF$4=1,CF54=0),1,0)</f>
        <v/>
      </c>
      <c r="CG104">
        <f>IF(AND(CG$4=1,CG54=0),1,0)</f>
        <v/>
      </c>
      <c r="CH104">
        <f>IF(AND(CH$4=1,CH54=0),1,0)</f>
        <v/>
      </c>
      <c r="CI104">
        <f>IF(AND(CI$4=1,CI54=0),1,0)</f>
        <v/>
      </c>
      <c r="CJ104">
        <f>IF(AND(CJ$4=1,CJ54=0),1,0)</f>
        <v/>
      </c>
      <c r="CK104">
        <f>IF(AND(CK$4=1,CK54=0),1,0)</f>
        <v/>
      </c>
      <c r="CL104">
        <f>IF(AND(CL$4=1,CL54=0),1,0)</f>
        <v/>
      </c>
      <c r="CM104">
        <f>IF(AND(CM$4=1,CM54=0),1,0)</f>
        <v/>
      </c>
      <c r="CN104">
        <f>IF(AND(CN$4=1,CN54=0),1,0)</f>
        <v/>
      </c>
      <c r="CO104">
        <f>IF(AND(CO$4=1,CO54=0),1,0)</f>
        <v/>
      </c>
      <c r="CP104">
        <f>IF(AND(CP$4=1,CP54=0),1,0)</f>
        <v/>
      </c>
      <c r="CQ104">
        <f>IF(AND(CQ$4=1,CQ54=0),1,0)</f>
        <v/>
      </c>
      <c r="CR104">
        <f>IF(AND(CR$4=1,CR54=0),1,0)</f>
        <v/>
      </c>
      <c r="CS104">
        <f>IF(AND(CS$4=1,CS54=0),1,0)</f>
        <v/>
      </c>
      <c r="CT104">
        <f>IF(AND(CT$4=1,CT54=0),1,0)</f>
        <v/>
      </c>
      <c r="CU104">
        <f>IF(AND(CU$4=1,CU54=0),1,0)</f>
        <v/>
      </c>
      <c r="CV104">
        <f>IF(AND(CV$4=1,CV54=0),1,0)</f>
        <v/>
      </c>
      <c r="CW104">
        <f>IF(AND(CW$4=1,CW54=0),1,0)</f>
        <v/>
      </c>
      <c r="CX104">
        <f>IF(AND(CX$4=1,CX54=0),1,0)</f>
        <v/>
      </c>
      <c r="CY104">
        <f>IF(AND(CY$4=1,CY54=0),1,0)</f>
        <v/>
      </c>
      <c r="CZ104">
        <f>IF(AND(CZ$4=1,CZ54=0),1,0)</f>
        <v/>
      </c>
      <c r="DA104">
        <f>IF(AND(DA$4=1,DA54=0),1,0)</f>
        <v/>
      </c>
      <c r="DB104">
        <f>IF(AND(DB$4=1,DB54=0),1,0)</f>
        <v/>
      </c>
      <c r="DC104">
        <f>IF(AND(DC$4=1,DC54=0),1,0)</f>
        <v/>
      </c>
      <c r="DD104">
        <f>IF(AND(DD$4=1,DD54=0),1,0)</f>
        <v/>
      </c>
      <c r="DE104">
        <f>IF(AND(DE$4=1,DE54=0),1,0)</f>
        <v/>
      </c>
      <c r="DF104">
        <f>IF(AND(DF$4=1,DF54=0),1,0)</f>
        <v/>
      </c>
      <c r="DG104">
        <f>IF(AND(DG$4=1,DG54=0),1,0)</f>
        <v/>
      </c>
      <c r="DH104">
        <f>IF(AND(DH$4=1,DH54=0),1,0)</f>
        <v/>
      </c>
      <c r="DI104">
        <f>IF(AND(DI$4=1,DI54=0),1,0)</f>
        <v/>
      </c>
      <c r="DJ104">
        <f>IF(AND(DJ$4=1,DJ54=0),1,0)</f>
        <v/>
      </c>
      <c r="DK104">
        <f>IF(AND(DK$4=1,DK54=0),1,0)</f>
        <v/>
      </c>
      <c r="DL104">
        <f>IF(AND(DL$4=1,DL54=0),1,0)</f>
        <v/>
      </c>
      <c r="DM104">
        <f>IF(AND(DM$4=1,DM54=0),1,0)</f>
        <v/>
      </c>
      <c r="DN104">
        <f>IF(AND(DN$4=1,DN54=0),1,0)</f>
        <v/>
      </c>
      <c r="DO104">
        <f>IF(AND(DO$4=1,DO54=0),1,0)</f>
        <v/>
      </c>
      <c r="DP104">
        <f>IF(AND(DP$4=1,DP54=0),1,0)</f>
        <v/>
      </c>
      <c r="DQ104">
        <f>IF(AND(DQ$4=1,DQ54=0),1,0)</f>
        <v/>
      </c>
      <c r="DR104">
        <f>IF(AND(DR$4=1,DR54=0),1,0)</f>
        <v/>
      </c>
      <c r="DS104">
        <f>IF(AND(DS$4=1,DS54=0),1,0)</f>
        <v/>
      </c>
      <c r="DT104">
        <f>IF(AND(DT$4=1,DT54=0),1,0)</f>
        <v/>
      </c>
      <c r="DU104">
        <f>IF(AND(DU$4=1,DU54=0),1,0)</f>
        <v/>
      </c>
      <c r="DV104">
        <f>IF(AND(DV$4=1,DV54=0),1,0)</f>
        <v/>
      </c>
      <c r="DW104">
        <f>IF(AND(DW$4=1,DW54=0),1,0)</f>
        <v/>
      </c>
      <c r="DX104">
        <f>IF(AND(DX$4=1,DX54=0),1,0)</f>
        <v/>
      </c>
      <c r="DY104">
        <f>IF(AND(DY$4=1,DY54=0),1,0)</f>
        <v/>
      </c>
      <c r="DZ104">
        <f>IF(AND(DZ$4=1,DZ54=0),1,0)</f>
        <v/>
      </c>
      <c r="EA104">
        <f>IF(AND(EA$4=1,EA54=0),1,0)</f>
        <v/>
      </c>
      <c r="EB104">
        <f>IF(AND(EB$4=1,EB54=0),1,0)</f>
        <v/>
      </c>
      <c r="EC104">
        <f>IF(AND(EC$4=1,EC54=0),1,0)</f>
        <v/>
      </c>
      <c r="ED104">
        <f>IF(AND(ED$4=1,ED54=0),1,0)</f>
        <v/>
      </c>
      <c r="EE104">
        <f>IF(AND(EE$4=1,EE54=0),1,0)</f>
        <v/>
      </c>
      <c r="EF104">
        <f>IF(AND(EF$4=1,EF54=0),1,0)</f>
        <v/>
      </c>
      <c r="EG104">
        <f>IF(AND(EG$4=1,EG54=0),1,0)</f>
        <v/>
      </c>
      <c r="EH104">
        <f>IF(AND(EH$4=1,EH54=0),1,0)</f>
        <v/>
      </c>
      <c r="EI104">
        <f>IF(AND(EI$4=1,EI54=0),1,0)</f>
        <v/>
      </c>
      <c r="EJ104">
        <f>IF(AND(EJ$4=1,EJ54=0),1,0)</f>
        <v/>
      </c>
      <c r="EK104">
        <f>IF(AND(EK$4=1,EK54=0),1,0)</f>
        <v/>
      </c>
      <c r="EL104">
        <f>IF(AND(EL$4=1,EL54=0),1,0)</f>
        <v/>
      </c>
      <c r="EM104">
        <f>IF(AND(EM$4=1,EM54=0),1,0)</f>
        <v/>
      </c>
      <c r="EN104">
        <f>IF(AND(EN$4=1,EN54=0),1,0)</f>
        <v/>
      </c>
      <c r="EO104">
        <f>IF(AND(EO$4=1,EO54=0),1,0)</f>
        <v/>
      </c>
      <c r="EP104">
        <f>IF(AND(EP$4=1,EP54=0),1,0)</f>
        <v/>
      </c>
      <c r="EQ104">
        <f>IF(AND(EQ$4=1,EQ54=0),1,0)</f>
        <v/>
      </c>
      <c r="ER104">
        <f>IF(AND(ER$4=1,ER54=0),1,0)</f>
        <v/>
      </c>
      <c r="ES104">
        <f>IF(AND(ES$4=1,ES54=0),1,0)</f>
        <v/>
      </c>
      <c r="ET104">
        <f>IF(AND(ET$4=1,ET54=0),1,0)</f>
        <v/>
      </c>
      <c r="EU104">
        <f>IF(AND(EU$4=1,EU54=0),1,0)</f>
        <v/>
      </c>
      <c r="EV104">
        <f>IF(AND(EV$4=1,EV54=0),1,0)</f>
        <v/>
      </c>
      <c r="EW104">
        <f>IF(AND(EW$4=1,EW54=0),1,0)</f>
        <v/>
      </c>
      <c r="EX104">
        <f>IF(AND(EX$4=1,EX54=0),1,0)</f>
        <v/>
      </c>
      <c r="EY104">
        <f>IF(AND(EY$4=1,EY54=0),1,0)</f>
        <v/>
      </c>
      <c r="EZ104">
        <f>IF(AND(EZ$4=1,EZ54=0),1,0)</f>
        <v/>
      </c>
      <c r="FA104">
        <f>IF(AND(FA$4=1,FA54=0),1,0)</f>
        <v/>
      </c>
      <c r="FB104">
        <f>IF(AND(FB$4=1,FB54=0),1,0)</f>
        <v/>
      </c>
      <c r="FC104">
        <f>IF(AND(FC$4=1,FC54=0),1,0)</f>
        <v/>
      </c>
      <c r="FD104">
        <f>IF(AND(FD$4=1,FD54=0),1,0)</f>
        <v/>
      </c>
      <c r="FE104">
        <f>IF(AND(FE$4=1,FE54=0),1,0)</f>
        <v/>
      </c>
      <c r="FF104">
        <f>IF(AND(FF$4=1,FF54=0),1,0)</f>
        <v/>
      </c>
      <c r="FG104">
        <f>IF(AND(FG$4=1,FG54=0),1,0)</f>
        <v/>
      </c>
      <c r="FH104">
        <f>IF(AND(FH$4=1,FH54=0),1,0)</f>
        <v/>
      </c>
      <c r="FI104">
        <f>IF(AND(FI$4=1,FI54=0),1,0)</f>
        <v/>
      </c>
      <c r="FJ104">
        <f>IF(AND(FJ$4=1,FJ54=0),1,0)</f>
        <v/>
      </c>
      <c r="FK104">
        <f>IF(AND(FK$4=1,FK54=0),1,0)</f>
        <v/>
      </c>
      <c r="FL104">
        <f>IF(AND(FL$4=1,FL54=0),1,0)</f>
        <v/>
      </c>
      <c r="FM104">
        <f>IF(AND(FM$4=1,FM54=0),1,0)</f>
        <v/>
      </c>
      <c r="FN104">
        <f>IF(AND(FN$4=1,FN54=0),1,0)</f>
        <v/>
      </c>
      <c r="FO104">
        <f>IF(AND(FO$4=1,FO54=0),1,0)</f>
        <v/>
      </c>
      <c r="FP104">
        <f>IF(AND(FP$4=1,FP54=0),1,0)</f>
        <v/>
      </c>
      <c r="FQ104">
        <f>IF(AND(FQ$4=1,FQ54=0),1,0)</f>
        <v/>
      </c>
      <c r="FR104">
        <f>IF(AND(FR$4=1,FR54=0),1,0)</f>
        <v/>
      </c>
      <c r="FS104">
        <f>IF(AND(FS$4=1,FS54=0),1,0)</f>
        <v/>
      </c>
      <c r="FT104">
        <f>IF(AND(FT$4=1,FT54=0),1,0)</f>
        <v/>
      </c>
      <c r="FU104">
        <f>IF(AND(FU$4=1,FU54=0),1,0)</f>
        <v/>
      </c>
      <c r="FV104">
        <f>IF(AND(FV$4=1,FV54=0),1,0)</f>
        <v/>
      </c>
      <c r="FW104">
        <f>IF(AND(FW$4=1,FW54=0),1,0)</f>
        <v/>
      </c>
      <c r="FX104">
        <f>IF(AND(FX$4=1,FX54=0),1,0)</f>
        <v/>
      </c>
      <c r="FY104">
        <f>IF(AND(FY$4=1,FY54=0),1,0)</f>
        <v/>
      </c>
      <c r="FZ104">
        <f>IF(AND(FZ$4=1,FZ54=0),1,0)</f>
        <v/>
      </c>
      <c r="GA104">
        <f>IF(AND(GA$4=1,GA54=0),1,0)</f>
        <v/>
      </c>
      <c r="GB104">
        <f>IF(AND(GB$4=1,GB54=0),1,0)</f>
        <v/>
      </c>
      <c r="GC104">
        <f>IF(AND(GC$4=1,GC54=0),1,0)</f>
        <v/>
      </c>
      <c r="GD104">
        <f>IF(AND(GD$4=1,GD54=0),1,0)</f>
        <v/>
      </c>
      <c r="GE104">
        <f>IF(AND(GE$4=1,GE54=0),1,0)</f>
        <v/>
      </c>
      <c r="GF104">
        <f>IF(AND(GF$4=1,GF54=0),1,0)</f>
        <v/>
      </c>
      <c r="GG104">
        <f>IF(AND(GG$4=1,GG54=0),1,0)</f>
        <v/>
      </c>
      <c r="GH104">
        <f>IF(AND(GH$4=1,GH54=0),1,0)</f>
        <v/>
      </c>
      <c r="GI104">
        <f>IF(AND(GI$4=1,GI54=0),1,0)</f>
        <v/>
      </c>
      <c r="GJ104">
        <f>IF(AND(GJ$4=1,GJ54=0),1,0)</f>
        <v/>
      </c>
      <c r="GK104">
        <f>IF(AND(GK$4=1,GK54=0),1,0)</f>
        <v/>
      </c>
      <c r="GL104">
        <f>IF(AND(GL$4=1,GL54=0),1,0)</f>
        <v/>
      </c>
      <c r="GM104">
        <f>IF(AND(GM$4=1,GM54=0),1,0)</f>
        <v/>
      </c>
      <c r="GN104">
        <f>IF(AND(GN$4=1,GN54=0),1,0)</f>
        <v/>
      </c>
      <c r="GO104">
        <f>IF(AND(GO$4=1,GO54=0),1,0)</f>
        <v/>
      </c>
      <c r="GP104">
        <f>IF(AND(GP$4=1,GP54=0),1,0)</f>
        <v/>
      </c>
      <c r="GQ104">
        <f>IF(AND(GQ$4=1,GQ54=0),1,0)</f>
        <v/>
      </c>
      <c r="GR104">
        <f>IF(AND(GR$4=1,GR54=0),1,0)</f>
        <v/>
      </c>
      <c r="GS104">
        <f>IF(AND(GS$4=1,GS54=0),1,0)</f>
        <v/>
      </c>
      <c r="GT104">
        <f>IF(AND(GT$4=1,GT54=0),1,0)</f>
        <v/>
      </c>
      <c r="GU104">
        <f>IF(AND(GU$4=1,GU54=0),1,0)</f>
        <v/>
      </c>
      <c r="GV104">
        <f>IF(AND(GV$4=1,GV54=0),1,0)</f>
        <v/>
      </c>
      <c r="GW104">
        <f>IF(AND(GW$4=1,GW54=0),1,0)</f>
        <v/>
      </c>
      <c r="GX104">
        <f>IF(AND(GX$4=1,GX54=0),1,0)</f>
        <v/>
      </c>
      <c r="GY104">
        <f>IF(AND(GY$4=1,GY54=0),1,0)</f>
        <v/>
      </c>
      <c r="GZ104">
        <f>IF(AND(GZ$4=1,GZ54=0),1,0)</f>
        <v/>
      </c>
      <c r="HA104">
        <f>IF(AND(HA$4=1,HA54=0),1,0)</f>
        <v/>
      </c>
      <c r="HB104">
        <f>IF(AND(HB$4=1,HB54=0),1,0)</f>
        <v/>
      </c>
      <c r="HC104">
        <f>IF(AND(HC$4=1,HC54=0),1,0)</f>
        <v/>
      </c>
      <c r="HD104">
        <f>IF(AND(HD$4=1,HD54=0),1,0)</f>
        <v/>
      </c>
      <c r="HE104">
        <f>IF(AND(HE$4=1,HE54=0),1,0)</f>
        <v/>
      </c>
      <c r="HF104">
        <f>IF(AND(HF$4=1,HF54=0),1,0)</f>
        <v/>
      </c>
      <c r="HG104">
        <f>IF(AND(HG$4=1,HG54=0),1,0)</f>
        <v/>
      </c>
      <c r="HH104">
        <f>IF(AND(HH$4=1,HH54=0),1,0)</f>
        <v/>
      </c>
      <c r="HI104">
        <f>IF(AND(HI$4=1,HI54=0),1,0)</f>
        <v/>
      </c>
      <c r="HJ104">
        <f>IF(AND(HJ$4=1,HJ54=0),1,0)</f>
        <v/>
      </c>
      <c r="HK104">
        <f>IF(AND(HK$4=1,HK54=0),1,0)</f>
        <v/>
      </c>
      <c r="HL104">
        <f>IF(AND(HL$4=1,HL54=0),1,0)</f>
        <v/>
      </c>
      <c r="HM104">
        <f>IF(AND(HM$4=1,HM54=0),1,0)</f>
        <v/>
      </c>
      <c r="HN104">
        <f>IF(AND(HN$4=1,HN54=0),1,0)</f>
        <v/>
      </c>
      <c r="HO104">
        <f>IF(AND(HO$4=1,HO54=0),1,0)</f>
        <v/>
      </c>
      <c r="HP104">
        <f>IF(AND(HP$4=1,HP54=0),1,0)</f>
        <v/>
      </c>
      <c r="HQ104">
        <f>IF(AND(HQ$4=1,HQ54=0),1,0)</f>
        <v/>
      </c>
      <c r="HR104">
        <f>IF(AND(HR$4=1,HR54=0),1,0)</f>
        <v/>
      </c>
      <c r="HS104">
        <f>IF(AND(HS$4=1,HS54=0),1,0)</f>
        <v/>
      </c>
      <c r="HT104">
        <f>IF(AND(HT$4=1,HT54=0),1,0)</f>
        <v/>
      </c>
      <c r="HU104">
        <f>IF(AND(HU$4=1,HU54=0),1,0)</f>
        <v/>
      </c>
      <c r="HV104">
        <f>IF(AND(HV$4=1,HV54=0),1,0)</f>
        <v/>
      </c>
      <c r="HW104">
        <f>IF(AND(HW$4=1,HW54=0),1,0)</f>
        <v/>
      </c>
      <c r="HX104">
        <f>IF(AND(HX$4=1,HX54=0),1,0)</f>
        <v/>
      </c>
      <c r="HY104">
        <f>IF(AND(HY$4=1,HY54=0),1,0)</f>
        <v/>
      </c>
      <c r="HZ104">
        <f>IF(AND(HZ$4=1,HZ54=0),1,0)</f>
        <v/>
      </c>
      <c r="IA104">
        <f>IF(AND(IA$4=1,IA54=0),1,0)</f>
        <v/>
      </c>
      <c r="IB104">
        <f>IF(AND(IB$4=1,IB54=0),1,0)</f>
        <v/>
      </c>
      <c r="IC104">
        <f>IF(AND(IC$4=1,IC54=0),1,0)</f>
        <v/>
      </c>
      <c r="ID104">
        <f>IF(AND(ID$4=1,ID54=0),1,0)</f>
        <v/>
      </c>
      <c r="IE104">
        <f>IF(AND(IE$4=1,IE54=0),1,0)</f>
        <v/>
      </c>
      <c r="IF104">
        <f>IF(AND(IF$4=1,IF54=0),1,0)</f>
        <v/>
      </c>
      <c r="IG104">
        <f>IF(AND(IG$4=1,IG54=0),1,0)</f>
        <v/>
      </c>
      <c r="IH104">
        <f>IF(AND(IH$4=1,IH54=0),1,0)</f>
        <v/>
      </c>
      <c r="II104">
        <f>IF(AND(II$4=1,II54=0),1,0)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c r="ER106">
        <f>IF(AND(ES4=1,OR(ER3&lt;&gt;$A$3,$A$4=0)),1,0)</f>
        <v/>
      </c>
      <c r="ES106">
        <f>IF(AND(ET4=1,OR(ES3&lt;&gt;$A$3,$A$4=0)),1,0)</f>
        <v/>
      </c>
      <c r="ET106">
        <f>IF(AND(EU4=1,OR(ET3&lt;&gt;$A$3,$A$4=0)),1,0)</f>
        <v/>
      </c>
      <c r="EU106">
        <f>IF(AND(EV4=1,OR(EU3&lt;&gt;$A$3,$A$4=0)),1,0)</f>
        <v/>
      </c>
      <c r="EV106">
        <f>IF(AND(EW4=1,OR(EV3&lt;&gt;$A$3,$A$4=0)),1,0)</f>
        <v/>
      </c>
      <c r="EW106">
        <f>IF(AND(EX4=1,OR(EW3&lt;&gt;$A$3,$A$4=0)),1,0)</f>
        <v/>
      </c>
      <c r="EX106">
        <f>IF(AND(EY4=1,OR(EX3&lt;&gt;$A$3,$A$4=0)),1,0)</f>
        <v/>
      </c>
      <c r="EY106">
        <f>IF(AND(EZ4=1,OR(EY3&lt;&gt;$A$3,$A$4=0)),1,0)</f>
        <v/>
      </c>
      <c r="EZ106">
        <f>IF(AND(FA4=1,OR(EZ3&lt;&gt;$A$3,$A$4=0)),1,0)</f>
        <v/>
      </c>
      <c r="FA106">
        <f>IF(AND(FB4=1,OR(FA3&lt;&gt;$A$3,$A$4=0)),1,0)</f>
        <v/>
      </c>
      <c r="FB106">
        <f>IF(AND(FC4=1,OR(FB3&lt;&gt;$A$3,$A$4=0)),1,0)</f>
        <v/>
      </c>
      <c r="FC106">
        <f>IF(AND(FD4=1,OR(FC3&lt;&gt;$A$3,$A$4=0)),1,0)</f>
        <v/>
      </c>
      <c r="FD106">
        <f>IF(AND(FE4=1,OR(FD3&lt;&gt;$A$3,$A$4=0)),1,0)</f>
        <v/>
      </c>
      <c r="FE106">
        <f>IF(AND(FF4=1,OR(FE3&lt;&gt;$A$3,$A$4=0)),1,0)</f>
        <v/>
      </c>
      <c r="FF106">
        <f>IF(AND(FG4=1,OR(FF3&lt;&gt;$A$3,$A$4=0)),1,0)</f>
        <v/>
      </c>
      <c r="FG106">
        <f>IF(AND(FH4=1,OR(FG3&lt;&gt;$A$3,$A$4=0)),1,0)</f>
        <v/>
      </c>
      <c r="FH106">
        <f>IF(AND(FI4=1,OR(FH3&lt;&gt;$A$3,$A$4=0)),1,0)</f>
        <v/>
      </c>
      <c r="FI106">
        <f>IF(AND(FJ4=1,OR(FI3&lt;&gt;$A$3,$A$4=0)),1,0)</f>
        <v/>
      </c>
      <c r="FJ106">
        <f>IF(AND(FK4=1,OR(FJ3&lt;&gt;$A$3,$A$4=0)),1,0)</f>
        <v/>
      </c>
      <c r="FK106">
        <f>IF(AND(FL4=1,OR(FK3&lt;&gt;$A$3,$A$4=0)),1,0)</f>
        <v/>
      </c>
      <c r="FL106">
        <f>IF(AND(FM4=1,OR(FL3&lt;&gt;$A$3,$A$4=0)),1,0)</f>
        <v/>
      </c>
      <c r="FM106">
        <f>IF(AND(FN4=1,OR(FM3&lt;&gt;$A$3,$A$4=0)),1,0)</f>
        <v/>
      </c>
      <c r="FN106">
        <f>IF(AND(FO4=1,OR(FN3&lt;&gt;$A$3,$A$4=0)),1,0)</f>
        <v/>
      </c>
      <c r="FO106" t="n">
        <v>0</v>
      </c>
      <c r="FP106">
        <f>IF(AND(FQ4=1,OR(FP3&lt;&gt;$A$3,$A$4=0)),1,0)</f>
        <v/>
      </c>
      <c r="FQ106">
        <f>IF(AND(FR4=1,OR(FQ3&lt;&gt;$A$3,$A$4=0)),1,0)</f>
        <v/>
      </c>
      <c r="FR106">
        <f>IF(AND(FS4=1,OR(FR3&lt;&gt;$A$3,$A$4=0)),1,0)</f>
        <v/>
      </c>
      <c r="FS106">
        <f>IF(AND(FT4=1,OR(FS3&lt;&gt;$A$3,$A$4=0)),1,0)</f>
        <v/>
      </c>
      <c r="FT106">
        <f>IF(AND(FU4=1,OR(FT3&lt;&gt;$A$3,$A$4=0)),1,0)</f>
        <v/>
      </c>
      <c r="FU106">
        <f>IF(AND(FV4=1,OR(FU3&lt;&gt;$A$3,$A$4=0)),1,0)</f>
        <v/>
      </c>
      <c r="FV106">
        <f>IF(AND(FW4=1,OR(FV3&lt;&gt;$A$3,$A$4=0)),1,0)</f>
        <v/>
      </c>
      <c r="FW106">
        <f>IF(AND(FX4=1,OR(FW3&lt;&gt;$A$3,$A$4=0)),1,0)</f>
        <v/>
      </c>
      <c r="FX106">
        <f>IF(AND(FY4=1,OR(FX3&lt;&gt;$A$3,$A$4=0)),1,0)</f>
        <v/>
      </c>
      <c r="FY106">
        <f>IF(AND(FZ4=1,OR(FY3&lt;&gt;$A$3,$A$4=0)),1,0)</f>
        <v/>
      </c>
      <c r="FZ106">
        <f>IF(AND(GA4=1,OR(FZ3&lt;&gt;$A$3,$A$4=0)),1,0)</f>
        <v/>
      </c>
      <c r="GA106">
        <f>IF(AND(GB4=1,OR(GA3&lt;&gt;$A$3,$A$4=0)),1,0)</f>
        <v/>
      </c>
      <c r="GB106">
        <f>IF(AND(GC4=1,OR(GB3&lt;&gt;$A$3,$A$4=0)),1,0)</f>
        <v/>
      </c>
      <c r="GC106">
        <f>IF(AND(GD4=1,OR(GC3&lt;&gt;$A$3,$A$4=0)),1,0)</f>
        <v/>
      </c>
      <c r="GD106">
        <f>IF(AND(GE4=1,OR(GD3&lt;&gt;$A$3,$A$4=0)),1,0)</f>
        <v/>
      </c>
      <c r="GE106">
        <f>IF(AND(GF4=1,OR(GE3&lt;&gt;$A$3,$A$4=0)),1,0)</f>
        <v/>
      </c>
      <c r="GF106">
        <f>IF(AND(GG4=1,OR(GF3&lt;&gt;$A$3,$A$4=0)),1,0)</f>
        <v/>
      </c>
      <c r="GG106">
        <f>IF(AND(GH4=1,OR(GG3&lt;&gt;$A$3,$A$4=0)),1,0)</f>
        <v/>
      </c>
      <c r="GH106">
        <f>IF(AND(GI4=1,OR(GH3&lt;&gt;$A$3,$A$4=0)),1,0)</f>
        <v/>
      </c>
      <c r="GI106">
        <f>IF(AND(GJ4=1,OR(GI3&lt;&gt;$A$3,$A$4=0)),1,0)</f>
        <v/>
      </c>
      <c r="GJ106">
        <f>IF(AND(GK4=1,OR(GJ3&lt;&gt;$A$3,$A$4=0)),1,0)</f>
        <v/>
      </c>
      <c r="GK106">
        <f>IF(AND(GL4=1,OR(GK3&lt;&gt;$A$3,$A$4=0)),1,0)</f>
        <v/>
      </c>
      <c r="GL106">
        <f>IF(AND(GM4=1,OR(GL3&lt;&gt;$A$3,$A$4=0)),1,0)</f>
        <v/>
      </c>
      <c r="GM106" t="n">
        <v>0</v>
      </c>
      <c r="GN106">
        <f>IF(AND(GO4=1,OR(GN3&lt;&gt;$A$3,$A$4=0)),1,0)</f>
        <v/>
      </c>
      <c r="GO106">
        <f>IF(AND(GP4=1,OR(GO3&lt;&gt;$A$3,$A$4=0)),1,0)</f>
        <v/>
      </c>
      <c r="GP106">
        <f>IF(AND(GQ4=1,OR(GP3&lt;&gt;$A$3,$A$4=0)),1,0)</f>
        <v/>
      </c>
      <c r="GQ106">
        <f>IF(AND(GR4=1,OR(GQ3&lt;&gt;$A$3,$A$4=0)),1,0)</f>
        <v/>
      </c>
      <c r="GR106">
        <f>IF(AND(GS4=1,OR(GR3&lt;&gt;$A$3,$A$4=0)),1,0)</f>
        <v/>
      </c>
      <c r="GS106">
        <f>IF(AND(GT4=1,OR(GS3&lt;&gt;$A$3,$A$4=0)),1,0)</f>
        <v/>
      </c>
      <c r="GT106">
        <f>IF(AND(GU4=1,OR(GT3&lt;&gt;$A$3,$A$4=0)),1,0)</f>
        <v/>
      </c>
      <c r="GU106">
        <f>IF(AND(GV4=1,OR(GU3&lt;&gt;$A$3,$A$4=0)),1,0)</f>
        <v/>
      </c>
      <c r="GV106">
        <f>IF(AND(GW4=1,OR(GV3&lt;&gt;$A$3,$A$4=0)),1,0)</f>
        <v/>
      </c>
      <c r="GW106">
        <f>IF(AND(GX4=1,OR(GW3&lt;&gt;$A$3,$A$4=0)),1,0)</f>
        <v/>
      </c>
      <c r="GX106">
        <f>IF(AND(GY4=1,OR(GX3&lt;&gt;$A$3,$A$4=0)),1,0)</f>
        <v/>
      </c>
      <c r="GY106">
        <f>IF(AND(GZ4=1,OR(GY3&lt;&gt;$A$3,$A$4=0)),1,0)</f>
        <v/>
      </c>
      <c r="GZ106">
        <f>IF(AND(HA4=1,OR(GZ3&lt;&gt;$A$3,$A$4=0)),1,0)</f>
        <v/>
      </c>
      <c r="HA106">
        <f>IF(AND(HB4=1,OR(HA3&lt;&gt;$A$3,$A$4=0)),1,0)</f>
        <v/>
      </c>
      <c r="HB106">
        <f>IF(AND(HC4=1,OR(HB3&lt;&gt;$A$3,$A$4=0)),1,0)</f>
        <v/>
      </c>
      <c r="HC106">
        <f>IF(AND(HD4=1,OR(HC3&lt;&gt;$A$3,$A$4=0)),1,0)</f>
        <v/>
      </c>
      <c r="HD106">
        <f>IF(AND(HE4=1,OR(HD3&lt;&gt;$A$3,$A$4=0)),1,0)</f>
        <v/>
      </c>
      <c r="HE106">
        <f>IF(AND(HF4=1,OR(HE3&lt;&gt;$A$3,$A$4=0)),1,0)</f>
        <v/>
      </c>
      <c r="HF106">
        <f>IF(AND(HG4=1,OR(HF3&lt;&gt;$A$3,$A$4=0)),1,0)</f>
        <v/>
      </c>
      <c r="HG106">
        <f>IF(AND(HH4=1,OR(HG3&lt;&gt;$A$3,$A$4=0)),1,0)</f>
        <v/>
      </c>
      <c r="HH106">
        <f>IF(AND(HI4=1,OR(HH3&lt;&gt;$A$3,$A$4=0)),1,0)</f>
        <v/>
      </c>
      <c r="HI106">
        <f>IF(AND(HJ4=1,OR(HI3&lt;&gt;$A$3,$A$4=0)),1,0)</f>
        <v/>
      </c>
      <c r="HJ106">
        <f>IF(AND(HK4=1,OR(HJ3&lt;&gt;$A$3,$A$4=0)),1,0)</f>
        <v/>
      </c>
      <c r="HK106" t="n">
        <v>0</v>
      </c>
      <c r="HL106">
        <f>IF(AND(HM4=1,OR(HL3&lt;&gt;$A$3,$A$4=0)),1,0)</f>
        <v/>
      </c>
      <c r="HM106">
        <f>IF(AND(HN4=1,OR(HM3&lt;&gt;$A$3,$A$4=0)),1,0)</f>
        <v/>
      </c>
      <c r="HN106">
        <f>IF(AND(HO4=1,OR(HN3&lt;&gt;$A$3,$A$4=0)),1,0)</f>
        <v/>
      </c>
      <c r="HO106">
        <f>IF(AND(HP4=1,OR(HO3&lt;&gt;$A$3,$A$4=0)),1,0)</f>
        <v/>
      </c>
      <c r="HP106">
        <f>IF(AND(HQ4=1,OR(HP3&lt;&gt;$A$3,$A$4=0)),1,0)</f>
        <v/>
      </c>
      <c r="HQ106">
        <f>IF(AND(HR4=1,OR(HQ3&lt;&gt;$A$3,$A$4=0)),1,0)</f>
        <v/>
      </c>
      <c r="HR106">
        <f>IF(AND(HS4=1,OR(HR3&lt;&gt;$A$3,$A$4=0)),1,0)</f>
        <v/>
      </c>
      <c r="HS106">
        <f>IF(AND(HT4=1,OR(HS3&lt;&gt;$A$3,$A$4=0)),1,0)</f>
        <v/>
      </c>
      <c r="HT106">
        <f>IF(AND(HU4=1,OR(HT3&lt;&gt;$A$3,$A$4=0)),1,0)</f>
        <v/>
      </c>
      <c r="HU106">
        <f>IF(AND(HV4=1,OR(HU3&lt;&gt;$A$3,$A$4=0)),1,0)</f>
        <v/>
      </c>
      <c r="HV106">
        <f>IF(AND(HW4=1,OR(HV3&lt;&gt;$A$3,$A$4=0)),1,0)</f>
        <v/>
      </c>
      <c r="HW106">
        <f>IF(AND(HX4=1,OR(HW3&lt;&gt;$A$3,$A$4=0)),1,0)</f>
        <v/>
      </c>
      <c r="HX106">
        <f>IF(AND(HY4=1,OR(HX3&lt;&gt;$A$3,$A$4=0)),1,0)</f>
        <v/>
      </c>
      <c r="HY106">
        <f>IF(AND(HZ4=1,OR(HY3&lt;&gt;$A$3,$A$4=0)),1,0)</f>
        <v/>
      </c>
      <c r="HZ106">
        <f>IF(AND(IA4=1,OR(HZ3&lt;&gt;$A$3,$A$4=0)),1,0)</f>
        <v/>
      </c>
      <c r="IA106">
        <f>IF(AND(IB4=1,OR(IA3&lt;&gt;$A$3,$A$4=0)),1,0)</f>
        <v/>
      </c>
      <c r="IB106">
        <f>IF(AND(IC4=1,OR(IB3&lt;&gt;$A$3,$A$4=0)),1,0)</f>
        <v/>
      </c>
      <c r="IC106">
        <f>IF(AND(ID4=1,OR(IC3&lt;&gt;$A$3,$A$4=0)),1,0)</f>
        <v/>
      </c>
      <c r="ID106">
        <f>IF(AND(IE4=1,OR(ID3&lt;&gt;$A$3,$A$4=0)),1,0)</f>
        <v/>
      </c>
      <c r="IE106">
        <f>IF(AND(IF4=1,OR(IE3&lt;&gt;$A$3,$A$4=0)),1,0)</f>
        <v/>
      </c>
      <c r="IF106">
        <f>IF(AND(IG4=1,OR(IF3&lt;&gt;$A$3,$A$4=0)),1,0)</f>
        <v/>
      </c>
      <c r="IG106">
        <f>IF(AND(IH4=1,OR(IG3&lt;&gt;$A$3,$A$4=0)),1,0)</f>
        <v/>
      </c>
      <c r="IH106">
        <f>IF(AND(II4=1,OR(IH3&lt;&gt;$A$3,$A$4=0)),1,0)</f>
        <v/>
      </c>
      <c r="II106" t="n">
        <v>0</v>
      </c>
    </row>
    <row r="107">
      <c r="C107" t="inlineStr">
        <is>
          <t>自動で空ける</t>
        </is>
      </c>
      <c r="D107">
        <f>IF(COUNTIF('計算B'!$G$3:$G$47,1)&gt;0,1,0)</f>
        <v/>
      </c>
      <c r="E107">
        <f>IF(COUNTIF('計算B'!$G$3:$G$47,2)&gt;0,1,0)</f>
        <v/>
      </c>
      <c r="F107">
        <f>IF(COUNTIF('計算B'!$G$3:$G$47,3)&gt;0,1,0)</f>
        <v/>
      </c>
      <c r="G107">
        <f>IF(COUNTIF('計算B'!$G$3:$G$47,4)&gt;0,1,0)</f>
        <v/>
      </c>
      <c r="H107">
        <f>IF(COUNTIF('計算B'!$G$3:$G$47,5)&gt;0,1,0)</f>
        <v/>
      </c>
      <c r="I107">
        <f>IF(COUNTIF('計算B'!$G$3:$G$47,6)&gt;0,1,0)</f>
        <v/>
      </c>
      <c r="J107">
        <f>IF(COUNTIF('計算B'!$G$3:$G$47,7)&gt;0,1,0)</f>
        <v/>
      </c>
      <c r="K107">
        <f>IF(COUNTIF('計算B'!$G$3:$G$47,8)&gt;0,1,0)</f>
        <v/>
      </c>
      <c r="L107">
        <f>IF(COUNTIF('計算B'!$G$3:$G$47,9)&gt;0,1,0)</f>
        <v/>
      </c>
      <c r="M107">
        <f>IF(COUNTIF('計算B'!$G$3:$G$47,10)&gt;0,1,0)</f>
        <v/>
      </c>
      <c r="N107">
        <f>IF(COUNTIF('計算B'!$G$3:$G$47,11)&gt;0,1,0)</f>
        <v/>
      </c>
      <c r="O107">
        <f>IF(COUNTIF('計算B'!$G$3:$G$47,12)&gt;0,1,0)</f>
        <v/>
      </c>
      <c r="P107">
        <f>IF(COUNTIF('計算B'!$G$3:$G$47,13)&gt;0,1,0)</f>
        <v/>
      </c>
      <c r="Q107">
        <f>IF(COUNTIF('計算B'!$G$3:$G$47,14)&gt;0,1,0)</f>
        <v/>
      </c>
      <c r="R107">
        <f>IF(COUNTIF('計算B'!$G$3:$G$47,15)&gt;0,1,0)</f>
        <v/>
      </c>
      <c r="S107">
        <f>IF(COUNTIF('計算B'!$G$3:$G$47,16)&gt;0,1,0)</f>
        <v/>
      </c>
      <c r="T107">
        <f>IF(COUNTIF('計算B'!$G$3:$G$47,17)&gt;0,1,0)</f>
        <v/>
      </c>
      <c r="U107">
        <f>IF(COUNTIF('計算B'!$G$3:$G$47,18)&gt;0,1,0)</f>
        <v/>
      </c>
      <c r="V107">
        <f>IF(COUNTIF('計算B'!$G$3:$G$47,19)&gt;0,1,0)</f>
        <v/>
      </c>
      <c r="W107">
        <f>IF(COUNTIF('計算B'!$G$3:$G$47,20)&gt;0,1,0)</f>
        <v/>
      </c>
      <c r="X107">
        <f>IF(COUNTIF('計算B'!$G$3:$G$47,21)&gt;0,1,0)</f>
        <v/>
      </c>
      <c r="Y107">
        <f>IF(COUNTIF('計算B'!$G$3:$G$47,22)&gt;0,1,0)</f>
        <v/>
      </c>
      <c r="Z107">
        <f>IF(COUNTIF('計算B'!$G$3:$G$47,23)&gt;0,1,0)</f>
        <v/>
      </c>
      <c r="AA107">
        <f>IF(COUNTIF('計算B'!$G$3:$G$47,24)&gt;0,1,0)</f>
        <v/>
      </c>
      <c r="AB107">
        <f>IF(COUNTIF('計算B'!$G$3:$G$47,25)&gt;0,1,0)</f>
        <v/>
      </c>
      <c r="AC107">
        <f>IF(COUNTIF('計算B'!$G$3:$G$47,26)&gt;0,1,0)</f>
        <v/>
      </c>
      <c r="AD107">
        <f>IF(COUNTIF('計算B'!$G$3:$G$47,27)&gt;0,1,0)</f>
        <v/>
      </c>
      <c r="AE107">
        <f>IF(COUNTIF('計算B'!$G$3:$G$47,28)&gt;0,1,0)</f>
        <v/>
      </c>
      <c r="AF107">
        <f>IF(COUNTIF('計算B'!$G$3:$G$47,29)&gt;0,1,0)</f>
        <v/>
      </c>
      <c r="AG107">
        <f>IF(COUNTIF('計算B'!$G$3:$G$47,30)&gt;0,1,0)</f>
        <v/>
      </c>
      <c r="AH107">
        <f>IF(COUNTIF('計算B'!$G$3:$G$47,31)&gt;0,1,0)</f>
        <v/>
      </c>
      <c r="AI107">
        <f>IF(COUNTIF('計算B'!$G$3:$G$47,32)&gt;0,1,0)</f>
        <v/>
      </c>
      <c r="AJ107">
        <f>IF(COUNTIF('計算B'!$G$3:$G$47,33)&gt;0,1,0)</f>
        <v/>
      </c>
      <c r="AK107">
        <f>IF(COUNTIF('計算B'!$G$3:$G$47,34)&gt;0,1,0)</f>
        <v/>
      </c>
      <c r="AL107">
        <f>IF(COUNTIF('計算B'!$G$3:$G$47,35)&gt;0,1,0)</f>
        <v/>
      </c>
      <c r="AM107">
        <f>IF(COUNTIF('計算B'!$G$3:$G$47,36)&gt;0,1,0)</f>
        <v/>
      </c>
      <c r="AN107">
        <f>IF(COUNTIF('計算B'!$G$3:$G$47,37)&gt;0,1,0)</f>
        <v/>
      </c>
      <c r="AO107">
        <f>IF(COUNTIF('計算B'!$G$3:$G$47,38)&gt;0,1,0)</f>
        <v/>
      </c>
      <c r="AP107">
        <f>IF(COUNTIF('計算B'!$G$3:$G$47,39)&gt;0,1,0)</f>
        <v/>
      </c>
      <c r="AQ107">
        <f>IF(COUNTIF('計算B'!$G$3:$G$47,40)&gt;0,1,0)</f>
        <v/>
      </c>
      <c r="AR107">
        <f>IF(COUNTIF('計算B'!$G$3:$G$47,41)&gt;0,1,0)</f>
        <v/>
      </c>
      <c r="AS107">
        <f>IF(COUNTIF('計算B'!$G$3:$G$47,42)&gt;0,1,0)</f>
        <v/>
      </c>
      <c r="AT107">
        <f>IF(COUNTIF('計算B'!$G$3:$G$47,43)&gt;0,1,0)</f>
        <v/>
      </c>
      <c r="AU107">
        <f>IF(COUNTIF('計算B'!$G$3:$G$47,44)&gt;0,1,0)</f>
        <v/>
      </c>
      <c r="AV107">
        <f>IF(COUNTIF('計算B'!$G$3:$G$47,45)&gt;0,1,0)</f>
        <v/>
      </c>
      <c r="AW107">
        <f>IF(COUNTIF('計算B'!$G$3:$G$47,46)&gt;0,1,0)</f>
        <v/>
      </c>
      <c r="AX107">
        <f>IF(COUNTIF('計算B'!$G$3:$G$47,47)&gt;0,1,0)</f>
        <v/>
      </c>
      <c r="AY107">
        <f>IF(COUNTIF('計算B'!$G$3:$G$47,48)&gt;0,1,0)</f>
        <v/>
      </c>
      <c r="AZ107">
        <f>IF(COUNTIF('計算B'!$G$3:$G$47,49)&gt;0,1,0)</f>
        <v/>
      </c>
      <c r="BA107">
        <f>IF(COUNTIF('計算B'!$G$3:$G$47,50)&gt;0,1,0)</f>
        <v/>
      </c>
      <c r="BB107">
        <f>IF(COUNTIF('計算B'!$G$3:$G$47,51)&gt;0,1,0)</f>
        <v/>
      </c>
      <c r="BC107">
        <f>IF(COUNTIF('計算B'!$G$3:$G$47,52)&gt;0,1,0)</f>
        <v/>
      </c>
      <c r="BD107">
        <f>IF(COUNTIF('計算B'!$G$3:$G$47,53)&gt;0,1,0)</f>
        <v/>
      </c>
      <c r="BE107">
        <f>IF(COUNTIF('計算B'!$G$3:$G$47,54)&gt;0,1,0)</f>
        <v/>
      </c>
      <c r="BF107">
        <f>IF(COUNTIF('計算B'!$G$3:$G$47,55)&gt;0,1,0)</f>
        <v/>
      </c>
      <c r="BG107">
        <f>IF(COUNTIF('計算B'!$G$3:$G$47,56)&gt;0,1,0)</f>
        <v/>
      </c>
      <c r="BH107">
        <f>IF(COUNTIF('計算B'!$G$3:$G$47,57)&gt;0,1,0)</f>
        <v/>
      </c>
      <c r="BI107">
        <f>IF(COUNTIF('計算B'!$G$3:$G$47,58)&gt;0,1,0)</f>
        <v/>
      </c>
      <c r="BJ107">
        <f>IF(COUNTIF('計算B'!$G$3:$G$47,59)&gt;0,1,0)</f>
        <v/>
      </c>
      <c r="BK107">
        <f>IF(COUNTIF('計算B'!$G$3:$G$47,60)&gt;0,1,0)</f>
        <v/>
      </c>
      <c r="BL107">
        <f>IF(COUNTIF('計算B'!$G$3:$G$47,61)&gt;0,1,0)</f>
        <v/>
      </c>
      <c r="BM107">
        <f>IF(COUNTIF('計算B'!$G$3:$G$47,62)&gt;0,1,0)</f>
        <v/>
      </c>
      <c r="BN107">
        <f>IF(COUNTIF('計算B'!$G$3:$G$47,63)&gt;0,1,0)</f>
        <v/>
      </c>
      <c r="BO107">
        <f>IF(COUNTIF('計算B'!$G$3:$G$47,64)&gt;0,1,0)</f>
        <v/>
      </c>
      <c r="BP107">
        <f>IF(COUNTIF('計算B'!$G$3:$G$47,65)&gt;0,1,0)</f>
        <v/>
      </c>
      <c r="BQ107">
        <f>IF(COUNTIF('計算B'!$G$3:$G$47,66)&gt;0,1,0)</f>
        <v/>
      </c>
      <c r="BR107">
        <f>IF(COUNTIF('計算B'!$G$3:$G$47,67)&gt;0,1,0)</f>
        <v/>
      </c>
      <c r="BS107">
        <f>IF(COUNTIF('計算B'!$G$3:$G$47,68)&gt;0,1,0)</f>
        <v/>
      </c>
      <c r="BT107">
        <f>IF(COUNTIF('計算B'!$G$3:$G$47,69)&gt;0,1,0)</f>
        <v/>
      </c>
      <c r="BU107">
        <f>IF(COUNTIF('計算B'!$G$3:$G$47,70)&gt;0,1,0)</f>
        <v/>
      </c>
      <c r="BV107">
        <f>IF(COUNTIF('計算B'!$G$3:$G$47,71)&gt;0,1,0)</f>
        <v/>
      </c>
      <c r="BW107">
        <f>IF(COUNTIF('計算B'!$G$3:$G$47,72)&gt;0,1,0)</f>
        <v/>
      </c>
      <c r="BX107">
        <f>IF(COUNTIF('計算B'!$G$3:$G$47,73)&gt;0,1,0)</f>
        <v/>
      </c>
      <c r="BY107">
        <f>IF(COUNTIF('計算B'!$G$3:$G$47,74)&gt;0,1,0)</f>
        <v/>
      </c>
      <c r="BZ107">
        <f>IF(COUNTIF('計算B'!$G$3:$G$47,75)&gt;0,1,0)</f>
        <v/>
      </c>
      <c r="CA107">
        <f>IF(COUNTIF('計算B'!$G$3:$G$47,76)&gt;0,1,0)</f>
        <v/>
      </c>
      <c r="CB107">
        <f>IF(COUNTIF('計算B'!$G$3:$G$47,77)&gt;0,1,0)</f>
        <v/>
      </c>
      <c r="CC107">
        <f>IF(COUNTIF('計算B'!$G$3:$G$47,78)&gt;0,1,0)</f>
        <v/>
      </c>
      <c r="CD107">
        <f>IF(COUNTIF('計算B'!$G$3:$G$47,79)&gt;0,1,0)</f>
        <v/>
      </c>
      <c r="CE107">
        <f>IF(COUNTIF('計算B'!$G$3:$G$47,80)&gt;0,1,0)</f>
        <v/>
      </c>
      <c r="CF107">
        <f>IF(COUNTIF('計算B'!$G$3:$G$47,81)&gt;0,1,0)</f>
        <v/>
      </c>
      <c r="CG107">
        <f>IF(COUNTIF('計算B'!$G$3:$G$47,82)&gt;0,1,0)</f>
        <v/>
      </c>
      <c r="CH107">
        <f>IF(COUNTIF('計算B'!$G$3:$G$47,83)&gt;0,1,0)</f>
        <v/>
      </c>
      <c r="CI107">
        <f>IF(COUNTIF('計算B'!$G$3:$G$47,84)&gt;0,1,0)</f>
        <v/>
      </c>
      <c r="CJ107">
        <f>IF(COUNTIF('計算B'!$G$3:$G$47,85)&gt;0,1,0)</f>
        <v/>
      </c>
      <c r="CK107">
        <f>IF(COUNTIF('計算B'!$G$3:$G$47,86)&gt;0,1,0)</f>
        <v/>
      </c>
      <c r="CL107">
        <f>IF(COUNTIF('計算B'!$G$3:$G$47,87)&gt;0,1,0)</f>
        <v/>
      </c>
      <c r="CM107">
        <f>IF(COUNTIF('計算B'!$G$3:$G$47,88)&gt;0,1,0)</f>
        <v/>
      </c>
      <c r="CN107">
        <f>IF(COUNTIF('計算B'!$G$3:$G$47,89)&gt;0,1,0)</f>
        <v/>
      </c>
      <c r="CO107">
        <f>IF(COUNTIF('計算B'!$G$3:$G$47,90)&gt;0,1,0)</f>
        <v/>
      </c>
      <c r="CP107">
        <f>IF(COUNTIF('計算B'!$G$3:$G$47,91)&gt;0,1,0)</f>
        <v/>
      </c>
      <c r="CQ107">
        <f>IF(COUNTIF('計算B'!$G$3:$G$47,92)&gt;0,1,0)</f>
        <v/>
      </c>
      <c r="CR107">
        <f>IF(COUNTIF('計算B'!$G$3:$G$47,93)&gt;0,1,0)</f>
        <v/>
      </c>
      <c r="CS107">
        <f>IF(COUNTIF('計算B'!$G$3:$G$47,94)&gt;0,1,0)</f>
        <v/>
      </c>
      <c r="CT107">
        <f>IF(COUNTIF('計算B'!$G$3:$G$47,95)&gt;0,1,0)</f>
        <v/>
      </c>
      <c r="CU107">
        <f>IF(COUNTIF('計算B'!$G$3:$G$47,96)&gt;0,1,0)</f>
        <v/>
      </c>
      <c r="CV107">
        <f>IF(COUNTIF('計算B'!$G$3:$G$47,97)&gt;0,1,0)</f>
        <v/>
      </c>
      <c r="CW107">
        <f>IF(COUNTIF('計算B'!$G$3:$G$47,98)&gt;0,1,0)</f>
        <v/>
      </c>
      <c r="CX107">
        <f>IF(COUNTIF('計算B'!$G$3:$G$47,99)&gt;0,1,0)</f>
        <v/>
      </c>
      <c r="CY107">
        <f>IF(COUNTIF('計算B'!$G$3:$G$47,100)&gt;0,1,0)</f>
        <v/>
      </c>
      <c r="CZ107">
        <f>IF(COUNTIF('計算B'!$G$3:$G$47,101)&gt;0,1,0)</f>
        <v/>
      </c>
      <c r="DA107">
        <f>IF(COUNTIF('計算B'!$G$3:$G$47,102)&gt;0,1,0)</f>
        <v/>
      </c>
      <c r="DB107">
        <f>IF(COUNTIF('計算B'!$G$3:$G$47,103)&gt;0,1,0)</f>
        <v/>
      </c>
      <c r="DC107">
        <f>IF(COUNTIF('計算B'!$G$3:$G$47,104)&gt;0,1,0)</f>
        <v/>
      </c>
      <c r="DD107">
        <f>IF(COUNTIF('計算B'!$G$3:$G$47,105)&gt;0,1,0)</f>
        <v/>
      </c>
      <c r="DE107">
        <f>IF(COUNTIF('計算B'!$G$3:$G$47,106)&gt;0,1,0)</f>
        <v/>
      </c>
      <c r="DF107">
        <f>IF(COUNTIF('計算B'!$G$3:$G$47,107)&gt;0,1,0)</f>
        <v/>
      </c>
      <c r="DG107">
        <f>IF(COUNTIF('計算B'!$G$3:$G$47,108)&gt;0,1,0)</f>
        <v/>
      </c>
      <c r="DH107">
        <f>IF(COUNTIF('計算B'!$G$3:$G$47,109)&gt;0,1,0)</f>
        <v/>
      </c>
      <c r="DI107">
        <f>IF(COUNTIF('計算B'!$G$3:$G$47,110)&gt;0,1,0)</f>
        <v/>
      </c>
      <c r="DJ107">
        <f>IF(COUNTIF('計算B'!$G$3:$G$47,111)&gt;0,1,0)</f>
        <v/>
      </c>
      <c r="DK107">
        <f>IF(COUNTIF('計算B'!$G$3:$G$47,112)&gt;0,1,0)</f>
        <v/>
      </c>
      <c r="DL107">
        <f>IF(COUNTIF('計算B'!$G$3:$G$47,113)&gt;0,1,0)</f>
        <v/>
      </c>
      <c r="DM107">
        <f>IF(COUNTIF('計算B'!$G$3:$G$47,114)&gt;0,1,0)</f>
        <v/>
      </c>
      <c r="DN107">
        <f>IF(COUNTIF('計算B'!$G$3:$G$47,115)&gt;0,1,0)</f>
        <v/>
      </c>
      <c r="DO107">
        <f>IF(COUNTIF('計算B'!$G$3:$G$47,116)&gt;0,1,0)</f>
        <v/>
      </c>
      <c r="DP107">
        <f>IF(COUNTIF('計算B'!$G$3:$G$47,117)&gt;0,1,0)</f>
        <v/>
      </c>
      <c r="DQ107">
        <f>IF(COUNTIF('計算B'!$G$3:$G$47,118)&gt;0,1,0)</f>
        <v/>
      </c>
      <c r="DR107">
        <f>IF(COUNTIF('計算B'!$G$3:$G$47,119)&gt;0,1,0)</f>
        <v/>
      </c>
      <c r="DS107">
        <f>IF(COUNTIF('計算B'!$G$3:$G$47,120)&gt;0,1,0)</f>
        <v/>
      </c>
      <c r="DT107">
        <f>IF(COUNTIF('計算B'!$G$3:$G$47,121)&gt;0,1,0)</f>
        <v/>
      </c>
      <c r="DU107">
        <f>IF(COUNTIF('計算B'!$G$3:$G$47,122)&gt;0,1,0)</f>
        <v/>
      </c>
      <c r="DV107">
        <f>IF(COUNTIF('計算B'!$G$3:$G$47,123)&gt;0,1,0)</f>
        <v/>
      </c>
      <c r="DW107">
        <f>IF(COUNTIF('計算B'!$G$3:$G$47,124)&gt;0,1,0)</f>
        <v/>
      </c>
      <c r="DX107">
        <f>IF(COUNTIF('計算B'!$G$3:$G$47,125)&gt;0,1,0)</f>
        <v/>
      </c>
      <c r="DY107">
        <f>IF(COUNTIF('計算B'!$G$3:$G$47,126)&gt;0,1,0)</f>
        <v/>
      </c>
      <c r="DZ107">
        <f>IF(COUNTIF('計算B'!$G$3:$G$47,127)&gt;0,1,0)</f>
        <v/>
      </c>
      <c r="EA107">
        <f>IF(COUNTIF('計算B'!$G$3:$G$47,128)&gt;0,1,0)</f>
        <v/>
      </c>
      <c r="EB107">
        <f>IF(COUNTIF('計算B'!$G$3:$G$47,129)&gt;0,1,0)</f>
        <v/>
      </c>
      <c r="EC107">
        <f>IF(COUNTIF('計算B'!$G$3:$G$47,130)&gt;0,1,0)</f>
        <v/>
      </c>
      <c r="ED107">
        <f>IF(COUNTIF('計算B'!$G$3:$G$47,131)&gt;0,1,0)</f>
        <v/>
      </c>
      <c r="EE107">
        <f>IF(COUNTIF('計算B'!$G$3:$G$47,132)&gt;0,1,0)</f>
        <v/>
      </c>
      <c r="EF107">
        <f>IF(COUNTIF('計算B'!$G$3:$G$47,133)&gt;0,1,0)</f>
        <v/>
      </c>
      <c r="EG107">
        <f>IF(COUNTIF('計算B'!$G$3:$G$47,134)&gt;0,1,0)</f>
        <v/>
      </c>
      <c r="EH107">
        <f>IF(COUNTIF('計算B'!$G$3:$G$47,135)&gt;0,1,0)</f>
        <v/>
      </c>
      <c r="EI107">
        <f>IF(COUNTIF('計算B'!$G$3:$G$47,136)&gt;0,1,0)</f>
        <v/>
      </c>
      <c r="EJ107">
        <f>IF(COUNTIF('計算B'!$G$3:$G$47,137)&gt;0,1,0)</f>
        <v/>
      </c>
      <c r="EK107">
        <f>IF(COUNTIF('計算B'!$G$3:$G$47,138)&gt;0,1,0)</f>
        <v/>
      </c>
      <c r="EL107">
        <f>IF(COUNTIF('計算B'!$G$3:$G$47,139)&gt;0,1,0)</f>
        <v/>
      </c>
      <c r="EM107">
        <f>IF(COUNTIF('計算B'!$G$3:$G$47,140)&gt;0,1,0)</f>
        <v/>
      </c>
      <c r="EN107">
        <f>IF(COUNTIF('計算B'!$G$3:$G$47,141)&gt;0,1,0)</f>
        <v/>
      </c>
      <c r="EO107">
        <f>IF(COUNTIF('計算B'!$G$3:$G$47,142)&gt;0,1,0)</f>
        <v/>
      </c>
      <c r="EP107">
        <f>IF(COUNTIF('計算B'!$G$3:$G$47,143)&gt;0,1,0)</f>
        <v/>
      </c>
      <c r="EQ107">
        <f>IF(COUNTIF('計算B'!$G$3:$G$47,144)&gt;0,1,0)</f>
        <v/>
      </c>
      <c r="ER107">
        <f>IF(COUNTIF('計算B'!$G$3:$G$47,145)&gt;0,1,0)</f>
        <v/>
      </c>
      <c r="ES107">
        <f>IF(COUNTIF('計算B'!$G$3:$G$47,146)&gt;0,1,0)</f>
        <v/>
      </c>
      <c r="ET107">
        <f>IF(COUNTIF('計算B'!$G$3:$G$47,147)&gt;0,1,0)</f>
        <v/>
      </c>
      <c r="EU107">
        <f>IF(COUNTIF('計算B'!$G$3:$G$47,148)&gt;0,1,0)</f>
        <v/>
      </c>
      <c r="EV107">
        <f>IF(COUNTIF('計算B'!$G$3:$G$47,149)&gt;0,1,0)</f>
        <v/>
      </c>
      <c r="EW107">
        <f>IF(COUNTIF('計算B'!$G$3:$G$47,150)&gt;0,1,0)</f>
        <v/>
      </c>
      <c r="EX107">
        <f>IF(COUNTIF('計算B'!$G$3:$G$47,151)&gt;0,1,0)</f>
        <v/>
      </c>
      <c r="EY107">
        <f>IF(COUNTIF('計算B'!$G$3:$G$47,152)&gt;0,1,0)</f>
        <v/>
      </c>
      <c r="EZ107">
        <f>IF(COUNTIF('計算B'!$G$3:$G$47,153)&gt;0,1,0)</f>
        <v/>
      </c>
      <c r="FA107">
        <f>IF(COUNTIF('計算B'!$G$3:$G$47,154)&gt;0,1,0)</f>
        <v/>
      </c>
      <c r="FB107">
        <f>IF(COUNTIF('計算B'!$G$3:$G$47,155)&gt;0,1,0)</f>
        <v/>
      </c>
      <c r="FC107">
        <f>IF(COUNTIF('計算B'!$G$3:$G$47,156)&gt;0,1,0)</f>
        <v/>
      </c>
      <c r="FD107">
        <f>IF(COUNTIF('計算B'!$G$3:$G$47,157)&gt;0,1,0)</f>
        <v/>
      </c>
      <c r="FE107">
        <f>IF(COUNTIF('計算B'!$G$3:$G$47,158)&gt;0,1,0)</f>
        <v/>
      </c>
      <c r="FF107">
        <f>IF(COUNTIF('計算B'!$G$3:$G$47,159)&gt;0,1,0)</f>
        <v/>
      </c>
      <c r="FG107">
        <f>IF(COUNTIF('計算B'!$G$3:$G$47,160)&gt;0,1,0)</f>
        <v/>
      </c>
      <c r="FH107">
        <f>IF(COUNTIF('計算B'!$G$3:$G$47,161)&gt;0,1,0)</f>
        <v/>
      </c>
      <c r="FI107">
        <f>IF(COUNTIF('計算B'!$G$3:$G$47,162)&gt;0,1,0)</f>
        <v/>
      </c>
      <c r="FJ107">
        <f>IF(COUNTIF('計算B'!$G$3:$G$47,163)&gt;0,1,0)</f>
        <v/>
      </c>
      <c r="FK107">
        <f>IF(COUNTIF('計算B'!$G$3:$G$47,164)&gt;0,1,0)</f>
        <v/>
      </c>
      <c r="FL107">
        <f>IF(COUNTIF('計算B'!$G$3:$G$47,165)&gt;0,1,0)</f>
        <v/>
      </c>
      <c r="FM107">
        <f>IF(COUNTIF('計算B'!$G$3:$G$47,166)&gt;0,1,0)</f>
        <v/>
      </c>
      <c r="FN107">
        <f>IF(COUNTIF('計算B'!$G$3:$G$47,167)&gt;0,1,0)</f>
        <v/>
      </c>
      <c r="FO107">
        <f>IF(COUNTIF('計算B'!$G$3:$G$47,168)&gt;0,1,0)</f>
        <v/>
      </c>
      <c r="FP107">
        <f>IF(COUNTIF('計算B'!$G$3:$G$47,169)&gt;0,1,0)</f>
        <v/>
      </c>
      <c r="FQ107">
        <f>IF(COUNTIF('計算B'!$G$3:$G$47,170)&gt;0,1,0)</f>
        <v/>
      </c>
      <c r="FR107">
        <f>IF(COUNTIF('計算B'!$G$3:$G$47,171)&gt;0,1,0)</f>
        <v/>
      </c>
      <c r="FS107">
        <f>IF(COUNTIF('計算B'!$G$3:$G$47,172)&gt;0,1,0)</f>
        <v/>
      </c>
      <c r="FT107">
        <f>IF(COUNTIF('計算B'!$G$3:$G$47,173)&gt;0,1,0)</f>
        <v/>
      </c>
      <c r="FU107">
        <f>IF(COUNTIF('計算B'!$G$3:$G$47,174)&gt;0,1,0)</f>
        <v/>
      </c>
      <c r="FV107">
        <f>IF(COUNTIF('計算B'!$G$3:$G$47,175)&gt;0,1,0)</f>
        <v/>
      </c>
      <c r="FW107">
        <f>IF(COUNTIF('計算B'!$G$3:$G$47,176)&gt;0,1,0)</f>
        <v/>
      </c>
      <c r="FX107">
        <f>IF(COUNTIF('計算B'!$G$3:$G$47,177)&gt;0,1,0)</f>
        <v/>
      </c>
      <c r="FY107">
        <f>IF(COUNTIF('計算B'!$G$3:$G$47,178)&gt;0,1,0)</f>
        <v/>
      </c>
      <c r="FZ107">
        <f>IF(COUNTIF('計算B'!$G$3:$G$47,179)&gt;0,1,0)</f>
        <v/>
      </c>
      <c r="GA107">
        <f>IF(COUNTIF('計算B'!$G$3:$G$47,180)&gt;0,1,0)</f>
        <v/>
      </c>
      <c r="GB107">
        <f>IF(COUNTIF('計算B'!$G$3:$G$47,181)&gt;0,1,0)</f>
        <v/>
      </c>
      <c r="GC107">
        <f>IF(COUNTIF('計算B'!$G$3:$G$47,182)&gt;0,1,0)</f>
        <v/>
      </c>
      <c r="GD107">
        <f>IF(COUNTIF('計算B'!$G$3:$G$47,183)&gt;0,1,0)</f>
        <v/>
      </c>
      <c r="GE107">
        <f>IF(COUNTIF('計算B'!$G$3:$G$47,184)&gt;0,1,0)</f>
        <v/>
      </c>
      <c r="GF107">
        <f>IF(COUNTIF('計算B'!$G$3:$G$47,185)&gt;0,1,0)</f>
        <v/>
      </c>
      <c r="GG107">
        <f>IF(COUNTIF('計算B'!$G$3:$G$47,186)&gt;0,1,0)</f>
        <v/>
      </c>
      <c r="GH107">
        <f>IF(COUNTIF('計算B'!$G$3:$G$47,187)&gt;0,1,0)</f>
        <v/>
      </c>
      <c r="GI107">
        <f>IF(COUNTIF('計算B'!$G$3:$G$47,188)&gt;0,1,0)</f>
        <v/>
      </c>
      <c r="GJ107">
        <f>IF(COUNTIF('計算B'!$G$3:$G$47,189)&gt;0,1,0)</f>
        <v/>
      </c>
      <c r="GK107">
        <f>IF(COUNTIF('計算B'!$G$3:$G$47,190)&gt;0,1,0)</f>
        <v/>
      </c>
      <c r="GL107">
        <f>IF(COUNTIF('計算B'!$G$3:$G$47,191)&gt;0,1,0)</f>
        <v/>
      </c>
      <c r="GM107">
        <f>IF(COUNTIF('計算B'!$G$3:$G$47,192)&gt;0,1,0)</f>
        <v/>
      </c>
      <c r="GN107">
        <f>IF(COUNTIF('計算B'!$G$3:$G$47,193)&gt;0,1,0)</f>
        <v/>
      </c>
      <c r="GO107">
        <f>IF(COUNTIF('計算B'!$G$3:$G$47,194)&gt;0,1,0)</f>
        <v/>
      </c>
      <c r="GP107">
        <f>IF(COUNTIF('計算B'!$G$3:$G$47,195)&gt;0,1,0)</f>
        <v/>
      </c>
      <c r="GQ107">
        <f>IF(COUNTIF('計算B'!$G$3:$G$47,196)&gt;0,1,0)</f>
        <v/>
      </c>
      <c r="GR107">
        <f>IF(COUNTIF('計算B'!$G$3:$G$47,197)&gt;0,1,0)</f>
        <v/>
      </c>
      <c r="GS107">
        <f>IF(COUNTIF('計算B'!$G$3:$G$47,198)&gt;0,1,0)</f>
        <v/>
      </c>
      <c r="GT107">
        <f>IF(COUNTIF('計算B'!$G$3:$G$47,199)&gt;0,1,0)</f>
        <v/>
      </c>
      <c r="GU107">
        <f>IF(COUNTIF('計算B'!$G$3:$G$47,200)&gt;0,1,0)</f>
        <v/>
      </c>
      <c r="GV107">
        <f>IF(COUNTIF('計算B'!$G$3:$G$47,201)&gt;0,1,0)</f>
        <v/>
      </c>
      <c r="GW107">
        <f>IF(COUNTIF('計算B'!$G$3:$G$47,202)&gt;0,1,0)</f>
        <v/>
      </c>
      <c r="GX107">
        <f>IF(COUNTIF('計算B'!$G$3:$G$47,203)&gt;0,1,0)</f>
        <v/>
      </c>
      <c r="GY107">
        <f>IF(COUNTIF('計算B'!$G$3:$G$47,204)&gt;0,1,0)</f>
        <v/>
      </c>
      <c r="GZ107">
        <f>IF(COUNTIF('計算B'!$G$3:$G$47,205)&gt;0,1,0)</f>
        <v/>
      </c>
      <c r="HA107">
        <f>IF(COUNTIF('計算B'!$G$3:$G$47,206)&gt;0,1,0)</f>
        <v/>
      </c>
      <c r="HB107">
        <f>IF(COUNTIF('計算B'!$G$3:$G$47,207)&gt;0,1,0)</f>
        <v/>
      </c>
      <c r="HC107">
        <f>IF(COUNTIF('計算B'!$G$3:$G$47,208)&gt;0,1,0)</f>
        <v/>
      </c>
      <c r="HD107">
        <f>IF(COUNTIF('計算B'!$G$3:$G$47,209)&gt;0,1,0)</f>
        <v/>
      </c>
      <c r="HE107">
        <f>IF(COUNTIF('計算B'!$G$3:$G$47,210)&gt;0,1,0)</f>
        <v/>
      </c>
      <c r="HF107">
        <f>IF(COUNTIF('計算B'!$G$3:$G$47,211)&gt;0,1,0)</f>
        <v/>
      </c>
      <c r="HG107">
        <f>IF(COUNTIF('計算B'!$G$3:$G$47,212)&gt;0,1,0)</f>
        <v/>
      </c>
      <c r="HH107">
        <f>IF(COUNTIF('計算B'!$G$3:$G$47,213)&gt;0,1,0)</f>
        <v/>
      </c>
      <c r="HI107">
        <f>IF(COUNTIF('計算B'!$G$3:$G$47,214)&gt;0,1,0)</f>
        <v/>
      </c>
      <c r="HJ107">
        <f>IF(COUNTIF('計算B'!$G$3:$G$47,215)&gt;0,1,0)</f>
        <v/>
      </c>
      <c r="HK107">
        <f>IF(COUNTIF('計算B'!$G$3:$G$47,216)&gt;0,1,0)</f>
        <v/>
      </c>
      <c r="HL107">
        <f>IF(COUNTIF('計算B'!$G$3:$G$47,217)&gt;0,1,0)</f>
        <v/>
      </c>
      <c r="HM107">
        <f>IF(COUNTIF('計算B'!$G$3:$G$47,218)&gt;0,1,0)</f>
        <v/>
      </c>
      <c r="HN107">
        <f>IF(COUNTIF('計算B'!$G$3:$G$47,219)&gt;0,1,0)</f>
        <v/>
      </c>
      <c r="HO107">
        <f>IF(COUNTIF('計算B'!$G$3:$G$47,220)&gt;0,1,0)</f>
        <v/>
      </c>
      <c r="HP107">
        <f>IF(COUNTIF('計算B'!$G$3:$G$47,221)&gt;0,1,0)</f>
        <v/>
      </c>
      <c r="HQ107">
        <f>IF(COUNTIF('計算B'!$G$3:$G$47,222)&gt;0,1,0)</f>
        <v/>
      </c>
      <c r="HR107">
        <f>IF(COUNTIF('計算B'!$G$3:$G$47,223)&gt;0,1,0)</f>
        <v/>
      </c>
      <c r="HS107">
        <f>IF(COUNTIF('計算B'!$G$3:$G$47,224)&gt;0,1,0)</f>
        <v/>
      </c>
      <c r="HT107">
        <f>IF(COUNTIF('計算B'!$G$3:$G$47,225)&gt;0,1,0)</f>
        <v/>
      </c>
      <c r="HU107">
        <f>IF(COUNTIF('計算B'!$G$3:$G$47,226)&gt;0,1,0)</f>
        <v/>
      </c>
      <c r="HV107">
        <f>IF(COUNTIF('計算B'!$G$3:$G$47,227)&gt;0,1,0)</f>
        <v/>
      </c>
      <c r="HW107">
        <f>IF(COUNTIF('計算B'!$G$3:$G$47,228)&gt;0,1,0)</f>
        <v/>
      </c>
      <c r="HX107">
        <f>IF(COUNTIF('計算B'!$G$3:$G$47,229)&gt;0,1,0)</f>
        <v/>
      </c>
      <c r="HY107">
        <f>IF(COUNTIF('計算B'!$G$3:$G$47,230)&gt;0,1,0)</f>
        <v/>
      </c>
      <c r="HZ107">
        <f>IF(COUNTIF('計算B'!$G$3:$G$47,231)&gt;0,1,0)</f>
        <v/>
      </c>
      <c r="IA107">
        <f>IF(COUNTIF('計算B'!$G$3:$G$47,232)&gt;0,1,0)</f>
        <v/>
      </c>
      <c r="IB107">
        <f>IF(COUNTIF('計算B'!$G$3:$G$47,233)&gt;0,1,0)</f>
        <v/>
      </c>
      <c r="IC107">
        <f>IF(COUNTIF('計算B'!$G$3:$G$47,234)&gt;0,1,0)</f>
        <v/>
      </c>
      <c r="ID107">
        <f>IF(COUNTIF('計算B'!$G$3:$G$47,235)&gt;0,1,0)</f>
        <v/>
      </c>
      <c r="IE107">
        <f>IF(COUNTIF('計算B'!$G$3:$G$47,236)&gt;0,1,0)</f>
        <v/>
      </c>
      <c r="IF107">
        <f>IF(COUNTIF('計算B'!$G$3:$G$47,237)&gt;0,1,0)</f>
        <v/>
      </c>
      <c r="IG107">
        <f>IF(COUNTIF('計算B'!$G$3:$G$47,238)&gt;0,1,0)</f>
        <v/>
      </c>
      <c r="IH107">
        <f>IF(COUNTIF('計算B'!$G$3:$G$47,239)&gt;0,1,0)</f>
        <v/>
      </c>
      <c r="II107">
        <f>IF(COUNTIF('計算B'!$G$3:$G$47,240)&gt;0,1,0)</f>
        <v/>
      </c>
    </row>
    <row r="108">
      <c r="C108" t="inlineStr">
        <is>
          <t>後ろを空ける枠</t>
        </is>
      </c>
      <c r="D108" t="n">
        <v>0</v>
      </c>
      <c r="E108">
        <f>IF(OR(D106=0,INDEX('調整・決定'!$C$6:$L$29,E3-1,E2)=""),0,IF(IFERROR(INDEX('名簿'!$F$5:$F$49,MATCH(INDEX('調整・決定'!$C$6:$L$29,E3-1,E2),'名簿'!$G$5:$G$49,0)),"")&lt;&gt;"",1,0))</f>
        <v/>
      </c>
      <c r="F108">
        <f>IF(OR(E106=0,INDEX('調整・決定'!$C$6:$L$29,F3-1,F2)=""),0,IF(IFERROR(INDEX('名簿'!$F$5:$F$49,MATCH(INDEX('調整・決定'!$C$6:$L$29,F3-1,F2),'名簿'!$G$5:$G$49,0)),"")&lt;&gt;"",1,0))</f>
        <v/>
      </c>
      <c r="G108">
        <f>IF(OR(F106=0,INDEX('調整・決定'!$C$6:$L$29,G3-1,G2)=""),0,IF(IFERROR(INDEX('名簿'!$F$5:$F$49,MATCH(INDEX('調整・決定'!$C$6:$L$29,G3-1,G2),'名簿'!$G$5:$G$49,0)),"")&lt;&gt;"",1,0))</f>
        <v/>
      </c>
      <c r="H108">
        <f>IF(OR(G106=0,INDEX('調整・決定'!$C$6:$L$29,H3-1,H2)=""),0,IF(IFERROR(INDEX('名簿'!$F$5:$F$49,MATCH(INDEX('調整・決定'!$C$6:$L$29,H3-1,H2),'名簿'!$G$5:$G$49,0)),"")&lt;&gt;"",1,0))</f>
        <v/>
      </c>
      <c r="I108">
        <f>IF(OR(H106=0,INDEX('調整・決定'!$C$6:$L$29,I3-1,I2)=""),0,IF(IFERROR(INDEX('名簿'!$F$5:$F$49,MATCH(INDEX('調整・決定'!$C$6:$L$29,I3-1,I2),'名簿'!$G$5:$G$49,0)),"")&lt;&gt;"",1,0))</f>
        <v/>
      </c>
      <c r="J108">
        <f>IF(OR(I106=0,INDEX('調整・決定'!$C$6:$L$29,J3-1,J2)=""),0,IF(IFERROR(INDEX('名簿'!$F$5:$F$49,MATCH(INDEX('調整・決定'!$C$6:$L$29,J3-1,J2),'名簿'!$G$5:$G$49,0)),"")&lt;&gt;"",1,0))</f>
        <v/>
      </c>
      <c r="K108">
        <f>IF(OR(J106=0,INDEX('調整・決定'!$C$6:$L$29,K3-1,K2)=""),0,IF(IFERROR(INDEX('名簿'!$F$5:$F$49,MATCH(INDEX('調整・決定'!$C$6:$L$29,K3-1,K2),'名簿'!$G$5:$G$49,0)),"")&lt;&gt;"",1,0))</f>
        <v/>
      </c>
      <c r="L108">
        <f>IF(OR(K106=0,INDEX('調整・決定'!$C$6:$L$29,L3-1,L2)=""),0,IF(IFERROR(INDEX('名簿'!$F$5:$F$49,MATCH(INDEX('調整・決定'!$C$6:$L$29,L3-1,L2),'名簿'!$G$5:$G$49,0)),"")&lt;&gt;"",1,0))</f>
        <v/>
      </c>
      <c r="M108">
        <f>IF(OR(L106=0,INDEX('調整・決定'!$C$6:$L$29,M3-1,M2)=""),0,IF(IFERROR(INDEX('名簿'!$F$5:$F$49,MATCH(INDEX('調整・決定'!$C$6:$L$29,M3-1,M2),'名簿'!$G$5:$G$49,0)),"")&lt;&gt;"",1,0))</f>
        <v/>
      </c>
      <c r="N108">
        <f>IF(OR(M106=0,INDEX('調整・決定'!$C$6:$L$29,N3-1,N2)=""),0,IF(IFERROR(INDEX('名簿'!$F$5:$F$49,MATCH(INDEX('調整・決定'!$C$6:$L$29,N3-1,N2),'名簿'!$G$5:$G$49,0)),"")&lt;&gt;"",1,0))</f>
        <v/>
      </c>
      <c r="O108">
        <f>IF(OR(N106=0,INDEX('調整・決定'!$C$6:$L$29,O3-1,O2)=""),0,IF(IFERROR(INDEX('名簿'!$F$5:$F$49,MATCH(INDEX('調整・決定'!$C$6:$L$29,O3-1,O2),'名簿'!$G$5:$G$49,0)),"")&lt;&gt;"",1,0))</f>
        <v/>
      </c>
      <c r="P108">
        <f>IF(OR(O106=0,INDEX('調整・決定'!$C$6:$L$29,P3-1,P2)=""),0,IF(IFERROR(INDEX('名簿'!$F$5:$F$49,MATCH(INDEX('調整・決定'!$C$6:$L$29,P3-1,P2),'名簿'!$G$5:$G$49,0)),"")&lt;&gt;"",1,0))</f>
        <v/>
      </c>
      <c r="Q108">
        <f>IF(OR(P106=0,INDEX('調整・決定'!$C$6:$L$29,Q3-1,Q2)=""),0,IF(IFERROR(INDEX('名簿'!$F$5:$F$49,MATCH(INDEX('調整・決定'!$C$6:$L$29,Q3-1,Q2),'名簿'!$G$5:$G$49,0)),"")&lt;&gt;"",1,0))</f>
        <v/>
      </c>
      <c r="R108">
        <f>IF(OR(Q106=0,INDEX('調整・決定'!$C$6:$L$29,R3-1,R2)=""),0,IF(IFERROR(INDEX('名簿'!$F$5:$F$49,MATCH(INDEX('調整・決定'!$C$6:$L$29,R3-1,R2),'名簿'!$G$5:$G$49,0)),"")&lt;&gt;"",1,0))</f>
        <v/>
      </c>
      <c r="S108">
        <f>IF(OR(R106=0,INDEX('調整・決定'!$C$6:$L$29,S3-1,S2)=""),0,IF(IFERROR(INDEX('名簿'!$F$5:$F$49,MATCH(INDEX('調整・決定'!$C$6:$L$29,S3-1,S2),'名簿'!$G$5:$G$49,0)),"")&lt;&gt;"",1,0))</f>
        <v/>
      </c>
      <c r="T108">
        <f>IF(OR(S106=0,INDEX('調整・決定'!$C$6:$L$29,T3-1,T2)=""),0,IF(IFERROR(INDEX('名簿'!$F$5:$F$49,MATCH(INDEX('調整・決定'!$C$6:$L$29,T3-1,T2),'名簿'!$G$5:$G$49,0)),"")&lt;&gt;"",1,0))</f>
        <v/>
      </c>
      <c r="U108">
        <f>IF(OR(T106=0,INDEX('調整・決定'!$C$6:$L$29,U3-1,U2)=""),0,IF(IFERROR(INDEX('名簿'!$F$5:$F$49,MATCH(INDEX('調整・決定'!$C$6:$L$29,U3-1,U2),'名簿'!$G$5:$G$49,0)),"")&lt;&gt;"",1,0))</f>
        <v/>
      </c>
      <c r="V108">
        <f>IF(OR(U106=0,INDEX('調整・決定'!$C$6:$L$29,V3-1,V2)=""),0,IF(IFERROR(INDEX('名簿'!$F$5:$F$49,MATCH(INDEX('調整・決定'!$C$6:$L$29,V3-1,V2),'名簿'!$G$5:$G$49,0)),"")&lt;&gt;"",1,0))</f>
        <v/>
      </c>
      <c r="W108">
        <f>IF(OR(V106=0,INDEX('調整・決定'!$C$6:$L$29,W3-1,W2)=""),0,IF(IFERROR(INDEX('名簿'!$F$5:$F$49,MATCH(INDEX('調整・決定'!$C$6:$L$29,W3-1,W2),'名簿'!$G$5:$G$49,0)),"")&lt;&gt;"",1,0))</f>
        <v/>
      </c>
      <c r="X108">
        <f>IF(OR(W106=0,INDEX('調整・決定'!$C$6:$L$29,X3-1,X2)=""),0,IF(IFERROR(INDEX('名簿'!$F$5:$F$49,MATCH(INDEX('調整・決定'!$C$6:$L$29,X3-1,X2),'名簿'!$G$5:$G$49,0)),"")&lt;&gt;"",1,0))</f>
        <v/>
      </c>
      <c r="Y108">
        <f>IF(OR(X106=0,INDEX('調整・決定'!$C$6:$L$29,Y3-1,Y2)=""),0,IF(IFERROR(INDEX('名簿'!$F$5:$F$49,MATCH(INDEX('調整・決定'!$C$6:$L$29,Y3-1,Y2),'名簿'!$G$5:$G$49,0)),"")&lt;&gt;"",1,0))</f>
        <v/>
      </c>
      <c r="Z108">
        <f>IF(OR(Y106=0,INDEX('調整・決定'!$C$6:$L$29,Z3-1,Z2)=""),0,IF(IFERROR(INDEX('名簿'!$F$5:$F$49,MATCH(INDEX('調整・決定'!$C$6:$L$29,Z3-1,Z2),'名簿'!$G$5:$G$49,0)),"")&lt;&gt;"",1,0))</f>
        <v/>
      </c>
      <c r="AA108">
        <f>IF(OR(Z106=0,INDEX('調整・決定'!$C$6:$L$29,AA3-1,AA2)=""),0,IF(IFERROR(INDEX('名簿'!$F$5:$F$49,MATCH(INDEX('調整・決定'!$C$6:$L$29,AA3-1,AA2),'名簿'!$G$5:$G$49,0)),"")&lt;&gt;"",1,0))</f>
        <v/>
      </c>
      <c r="AB108" t="n">
        <v>0</v>
      </c>
      <c r="AC108">
        <f>IF(OR(AB106=0,INDEX('調整・決定'!$C$6:$L$29,AC3-1,AC2)=""),0,IF(IFERROR(INDEX('名簿'!$F$5:$F$49,MATCH(INDEX('調整・決定'!$C$6:$L$29,AC3-1,AC2),'名簿'!$G$5:$G$49,0)),"")&lt;&gt;"",1,0))</f>
        <v/>
      </c>
      <c r="AD108">
        <f>IF(OR(AC106=0,INDEX('調整・決定'!$C$6:$L$29,AD3-1,AD2)=""),0,IF(IFERROR(INDEX('名簿'!$F$5:$F$49,MATCH(INDEX('調整・決定'!$C$6:$L$29,AD3-1,AD2),'名簿'!$G$5:$G$49,0)),"")&lt;&gt;"",1,0))</f>
        <v/>
      </c>
      <c r="AE108">
        <f>IF(OR(AD106=0,INDEX('調整・決定'!$C$6:$L$29,AE3-1,AE2)=""),0,IF(IFERROR(INDEX('名簿'!$F$5:$F$49,MATCH(INDEX('調整・決定'!$C$6:$L$29,AE3-1,AE2),'名簿'!$G$5:$G$49,0)),"")&lt;&gt;"",1,0))</f>
        <v/>
      </c>
      <c r="AF108">
        <f>IF(OR(AE106=0,INDEX('調整・決定'!$C$6:$L$29,AF3-1,AF2)=""),0,IF(IFERROR(INDEX('名簿'!$F$5:$F$49,MATCH(INDEX('調整・決定'!$C$6:$L$29,AF3-1,AF2),'名簿'!$G$5:$G$49,0)),"")&lt;&gt;"",1,0))</f>
        <v/>
      </c>
      <c r="AG108">
        <f>IF(OR(AF106=0,INDEX('調整・決定'!$C$6:$L$29,AG3-1,AG2)=""),0,IF(IFERROR(INDEX('名簿'!$F$5:$F$49,MATCH(INDEX('調整・決定'!$C$6:$L$29,AG3-1,AG2),'名簿'!$G$5:$G$49,0)),"")&lt;&gt;"",1,0))</f>
        <v/>
      </c>
      <c r="AH108">
        <f>IF(OR(AG106=0,INDEX('調整・決定'!$C$6:$L$29,AH3-1,AH2)=""),0,IF(IFERROR(INDEX('名簿'!$F$5:$F$49,MATCH(INDEX('調整・決定'!$C$6:$L$29,AH3-1,AH2),'名簿'!$G$5:$G$49,0)),"")&lt;&gt;"",1,0))</f>
        <v/>
      </c>
      <c r="AI108">
        <f>IF(OR(AH106=0,INDEX('調整・決定'!$C$6:$L$29,AI3-1,AI2)=""),0,IF(IFERROR(INDEX('名簿'!$F$5:$F$49,MATCH(INDEX('調整・決定'!$C$6:$L$29,AI3-1,AI2),'名簿'!$G$5:$G$49,0)),"")&lt;&gt;"",1,0))</f>
        <v/>
      </c>
      <c r="AJ108">
        <f>IF(OR(AI106=0,INDEX('調整・決定'!$C$6:$L$29,AJ3-1,AJ2)=""),0,IF(IFERROR(INDEX('名簿'!$F$5:$F$49,MATCH(INDEX('調整・決定'!$C$6:$L$29,AJ3-1,AJ2),'名簿'!$G$5:$G$49,0)),"")&lt;&gt;"",1,0))</f>
        <v/>
      </c>
      <c r="AK108">
        <f>IF(OR(AJ106=0,INDEX('調整・決定'!$C$6:$L$29,AK3-1,AK2)=""),0,IF(IFERROR(INDEX('名簿'!$F$5:$F$49,MATCH(INDEX('調整・決定'!$C$6:$L$29,AK3-1,AK2),'名簿'!$G$5:$G$49,0)),"")&lt;&gt;"",1,0))</f>
        <v/>
      </c>
      <c r="AL108">
        <f>IF(OR(AK106=0,INDEX('調整・決定'!$C$6:$L$29,AL3-1,AL2)=""),0,IF(IFERROR(INDEX('名簿'!$F$5:$F$49,MATCH(INDEX('調整・決定'!$C$6:$L$29,AL3-1,AL2),'名簿'!$G$5:$G$49,0)),"")&lt;&gt;"",1,0))</f>
        <v/>
      </c>
      <c r="AM108">
        <f>IF(OR(AL106=0,INDEX('調整・決定'!$C$6:$L$29,AM3-1,AM2)=""),0,IF(IFERROR(INDEX('名簿'!$F$5:$F$49,MATCH(INDEX('調整・決定'!$C$6:$L$29,AM3-1,AM2),'名簿'!$G$5:$G$49,0)),"")&lt;&gt;"",1,0))</f>
        <v/>
      </c>
      <c r="AN108">
        <f>IF(OR(AM106=0,INDEX('調整・決定'!$C$6:$L$29,AN3-1,AN2)=""),0,IF(IFERROR(INDEX('名簿'!$F$5:$F$49,MATCH(INDEX('調整・決定'!$C$6:$L$29,AN3-1,AN2),'名簿'!$G$5:$G$49,0)),"")&lt;&gt;"",1,0))</f>
        <v/>
      </c>
      <c r="AO108">
        <f>IF(OR(AN106=0,INDEX('調整・決定'!$C$6:$L$29,AO3-1,AO2)=""),0,IF(IFERROR(INDEX('名簿'!$F$5:$F$49,MATCH(INDEX('調整・決定'!$C$6:$L$29,AO3-1,AO2),'名簿'!$G$5:$G$49,0)),"")&lt;&gt;"",1,0))</f>
        <v/>
      </c>
      <c r="AP108">
        <f>IF(OR(AO106=0,INDEX('調整・決定'!$C$6:$L$29,AP3-1,AP2)=""),0,IF(IFERROR(INDEX('名簿'!$F$5:$F$49,MATCH(INDEX('調整・決定'!$C$6:$L$29,AP3-1,AP2),'名簿'!$G$5:$G$49,0)),"")&lt;&gt;"",1,0))</f>
        <v/>
      </c>
      <c r="AQ108">
        <f>IF(OR(AP106=0,INDEX('調整・決定'!$C$6:$L$29,AQ3-1,AQ2)=""),0,IF(IFERROR(INDEX('名簿'!$F$5:$F$49,MATCH(INDEX('調整・決定'!$C$6:$L$29,AQ3-1,AQ2),'名簿'!$G$5:$G$49,0)),"")&lt;&gt;"",1,0))</f>
        <v/>
      </c>
      <c r="AR108">
        <f>IF(OR(AQ106=0,INDEX('調整・決定'!$C$6:$L$29,AR3-1,AR2)=""),0,IF(IFERROR(INDEX('名簿'!$F$5:$F$49,MATCH(INDEX('調整・決定'!$C$6:$L$29,AR3-1,AR2),'名簿'!$G$5:$G$49,0)),"")&lt;&gt;"",1,0))</f>
        <v/>
      </c>
      <c r="AS108">
        <f>IF(OR(AR106=0,INDEX('調整・決定'!$C$6:$L$29,AS3-1,AS2)=""),0,IF(IFERROR(INDEX('名簿'!$F$5:$F$49,MATCH(INDEX('調整・決定'!$C$6:$L$29,AS3-1,AS2),'名簿'!$G$5:$G$49,0)),"")&lt;&gt;"",1,0))</f>
        <v/>
      </c>
      <c r="AT108">
        <f>IF(OR(AS106=0,INDEX('調整・決定'!$C$6:$L$29,AT3-1,AT2)=""),0,IF(IFERROR(INDEX('名簿'!$F$5:$F$49,MATCH(INDEX('調整・決定'!$C$6:$L$29,AT3-1,AT2),'名簿'!$G$5:$G$49,0)),"")&lt;&gt;"",1,0))</f>
        <v/>
      </c>
      <c r="AU108">
        <f>IF(OR(AT106=0,INDEX('調整・決定'!$C$6:$L$29,AU3-1,AU2)=""),0,IF(IFERROR(INDEX('名簿'!$F$5:$F$49,MATCH(INDEX('調整・決定'!$C$6:$L$29,AU3-1,AU2),'名簿'!$G$5:$G$49,0)),"")&lt;&gt;"",1,0))</f>
        <v/>
      </c>
      <c r="AV108">
        <f>IF(OR(AU106=0,INDEX('調整・決定'!$C$6:$L$29,AV3-1,AV2)=""),0,IF(IFERROR(INDEX('名簿'!$F$5:$F$49,MATCH(INDEX('調整・決定'!$C$6:$L$29,AV3-1,AV2),'名簿'!$G$5:$G$49,0)),"")&lt;&gt;"",1,0))</f>
        <v/>
      </c>
      <c r="AW108">
        <f>IF(OR(AV106=0,INDEX('調整・決定'!$C$6:$L$29,AW3-1,AW2)=""),0,IF(IFERROR(INDEX('名簿'!$F$5:$F$49,MATCH(INDEX('調整・決定'!$C$6:$L$29,AW3-1,AW2),'名簿'!$G$5:$G$49,0)),"")&lt;&gt;"",1,0))</f>
        <v/>
      </c>
      <c r="AX108">
        <f>IF(OR(AW106=0,INDEX('調整・決定'!$C$6:$L$29,AX3-1,AX2)=""),0,IF(IFERROR(INDEX('名簿'!$F$5:$F$49,MATCH(INDEX('調整・決定'!$C$6:$L$29,AX3-1,AX2),'名簿'!$G$5:$G$49,0)),"")&lt;&gt;"",1,0))</f>
        <v/>
      </c>
      <c r="AY108">
        <f>IF(OR(AX106=0,INDEX('調整・決定'!$C$6:$L$29,AY3-1,AY2)=""),0,IF(IFERROR(INDEX('名簿'!$F$5:$F$49,MATCH(INDEX('調整・決定'!$C$6:$L$29,AY3-1,AY2),'名簿'!$G$5:$G$49,0)),"")&lt;&gt;"",1,0))</f>
        <v/>
      </c>
      <c r="AZ108" t="n">
        <v>0</v>
      </c>
      <c r="BA108">
        <f>IF(OR(AZ106=0,INDEX('調整・決定'!$C$6:$L$29,BA3-1,BA2)=""),0,IF(IFERROR(INDEX('名簿'!$F$5:$F$49,MATCH(INDEX('調整・決定'!$C$6:$L$29,BA3-1,BA2),'名簿'!$G$5:$G$49,0)),"")&lt;&gt;"",1,0))</f>
        <v/>
      </c>
      <c r="BB108">
        <f>IF(OR(BA106=0,INDEX('調整・決定'!$C$6:$L$29,BB3-1,BB2)=""),0,IF(IFERROR(INDEX('名簿'!$F$5:$F$49,MATCH(INDEX('調整・決定'!$C$6:$L$29,BB3-1,BB2),'名簿'!$G$5:$G$49,0)),"")&lt;&gt;"",1,0))</f>
        <v/>
      </c>
      <c r="BC108">
        <f>IF(OR(BB106=0,INDEX('調整・決定'!$C$6:$L$29,BC3-1,BC2)=""),0,IF(IFERROR(INDEX('名簿'!$F$5:$F$49,MATCH(INDEX('調整・決定'!$C$6:$L$29,BC3-1,BC2),'名簿'!$G$5:$G$49,0)),"")&lt;&gt;"",1,0))</f>
        <v/>
      </c>
      <c r="BD108">
        <f>IF(OR(BC106=0,INDEX('調整・決定'!$C$6:$L$29,BD3-1,BD2)=""),0,IF(IFERROR(INDEX('名簿'!$F$5:$F$49,MATCH(INDEX('調整・決定'!$C$6:$L$29,BD3-1,BD2),'名簿'!$G$5:$G$49,0)),"")&lt;&gt;"",1,0))</f>
        <v/>
      </c>
      <c r="BE108">
        <f>IF(OR(BD106=0,INDEX('調整・決定'!$C$6:$L$29,BE3-1,BE2)=""),0,IF(IFERROR(INDEX('名簿'!$F$5:$F$49,MATCH(INDEX('調整・決定'!$C$6:$L$29,BE3-1,BE2),'名簿'!$G$5:$G$49,0)),"")&lt;&gt;"",1,0))</f>
        <v/>
      </c>
      <c r="BF108">
        <f>IF(OR(BE106=0,INDEX('調整・決定'!$C$6:$L$29,BF3-1,BF2)=""),0,IF(IFERROR(INDEX('名簿'!$F$5:$F$49,MATCH(INDEX('調整・決定'!$C$6:$L$29,BF3-1,BF2),'名簿'!$G$5:$G$49,0)),"")&lt;&gt;"",1,0))</f>
        <v/>
      </c>
      <c r="BG108">
        <f>IF(OR(BF106=0,INDEX('調整・決定'!$C$6:$L$29,BG3-1,BG2)=""),0,IF(IFERROR(INDEX('名簿'!$F$5:$F$49,MATCH(INDEX('調整・決定'!$C$6:$L$29,BG3-1,BG2),'名簿'!$G$5:$G$49,0)),"")&lt;&gt;"",1,0))</f>
        <v/>
      </c>
      <c r="BH108">
        <f>IF(OR(BG106=0,INDEX('調整・決定'!$C$6:$L$29,BH3-1,BH2)=""),0,IF(IFERROR(INDEX('名簿'!$F$5:$F$49,MATCH(INDEX('調整・決定'!$C$6:$L$29,BH3-1,BH2),'名簿'!$G$5:$G$49,0)),"")&lt;&gt;"",1,0))</f>
        <v/>
      </c>
      <c r="BI108">
        <f>IF(OR(BH106=0,INDEX('調整・決定'!$C$6:$L$29,BI3-1,BI2)=""),0,IF(IFERROR(INDEX('名簿'!$F$5:$F$49,MATCH(INDEX('調整・決定'!$C$6:$L$29,BI3-1,BI2),'名簿'!$G$5:$G$49,0)),"")&lt;&gt;"",1,0))</f>
        <v/>
      </c>
      <c r="BJ108">
        <f>IF(OR(BI106=0,INDEX('調整・決定'!$C$6:$L$29,BJ3-1,BJ2)=""),0,IF(IFERROR(INDEX('名簿'!$F$5:$F$49,MATCH(INDEX('調整・決定'!$C$6:$L$29,BJ3-1,BJ2),'名簿'!$G$5:$G$49,0)),"")&lt;&gt;"",1,0))</f>
        <v/>
      </c>
      <c r="BK108">
        <f>IF(OR(BJ106=0,INDEX('調整・決定'!$C$6:$L$29,BK3-1,BK2)=""),0,IF(IFERROR(INDEX('名簿'!$F$5:$F$49,MATCH(INDEX('調整・決定'!$C$6:$L$29,BK3-1,BK2),'名簿'!$G$5:$G$49,0)),"")&lt;&gt;"",1,0))</f>
        <v/>
      </c>
      <c r="BL108">
        <f>IF(OR(BK106=0,INDEX('調整・決定'!$C$6:$L$29,BL3-1,BL2)=""),0,IF(IFERROR(INDEX('名簿'!$F$5:$F$49,MATCH(INDEX('調整・決定'!$C$6:$L$29,BL3-1,BL2),'名簿'!$G$5:$G$49,0)),"")&lt;&gt;"",1,0))</f>
        <v/>
      </c>
      <c r="BM108">
        <f>IF(OR(BL106=0,INDEX('調整・決定'!$C$6:$L$29,BM3-1,BM2)=""),0,IF(IFERROR(INDEX('名簿'!$F$5:$F$49,MATCH(INDEX('調整・決定'!$C$6:$L$29,BM3-1,BM2),'名簿'!$G$5:$G$49,0)),"")&lt;&gt;"",1,0))</f>
        <v/>
      </c>
      <c r="BN108">
        <f>IF(OR(BM106=0,INDEX('調整・決定'!$C$6:$L$29,BN3-1,BN2)=""),0,IF(IFERROR(INDEX('名簿'!$F$5:$F$49,MATCH(INDEX('調整・決定'!$C$6:$L$29,BN3-1,BN2),'名簿'!$G$5:$G$49,0)),"")&lt;&gt;"",1,0))</f>
        <v/>
      </c>
      <c r="BO108">
        <f>IF(OR(BN106=0,INDEX('調整・決定'!$C$6:$L$29,BO3-1,BO2)=""),0,IF(IFERROR(INDEX('名簿'!$F$5:$F$49,MATCH(INDEX('調整・決定'!$C$6:$L$29,BO3-1,BO2),'名簿'!$G$5:$G$49,0)),"")&lt;&gt;"",1,0))</f>
        <v/>
      </c>
      <c r="BP108">
        <f>IF(OR(BO106=0,INDEX('調整・決定'!$C$6:$L$29,BP3-1,BP2)=""),0,IF(IFERROR(INDEX('名簿'!$F$5:$F$49,MATCH(INDEX('調整・決定'!$C$6:$L$29,BP3-1,BP2),'名簿'!$G$5:$G$49,0)),"")&lt;&gt;"",1,0))</f>
        <v/>
      </c>
      <c r="BQ108">
        <f>IF(OR(BP106=0,INDEX('調整・決定'!$C$6:$L$29,BQ3-1,BQ2)=""),0,IF(IFERROR(INDEX('名簿'!$F$5:$F$49,MATCH(INDEX('調整・決定'!$C$6:$L$29,BQ3-1,BQ2),'名簿'!$G$5:$G$49,0)),"")&lt;&gt;"",1,0))</f>
        <v/>
      </c>
      <c r="BR108">
        <f>IF(OR(BQ106=0,INDEX('調整・決定'!$C$6:$L$29,BR3-1,BR2)=""),0,IF(IFERROR(INDEX('名簿'!$F$5:$F$49,MATCH(INDEX('調整・決定'!$C$6:$L$29,BR3-1,BR2),'名簿'!$G$5:$G$49,0)),"")&lt;&gt;"",1,0))</f>
        <v/>
      </c>
      <c r="BS108">
        <f>IF(OR(BR106=0,INDEX('調整・決定'!$C$6:$L$29,BS3-1,BS2)=""),0,IF(IFERROR(INDEX('名簿'!$F$5:$F$49,MATCH(INDEX('調整・決定'!$C$6:$L$29,BS3-1,BS2),'名簿'!$G$5:$G$49,0)),"")&lt;&gt;"",1,0))</f>
        <v/>
      </c>
      <c r="BT108">
        <f>IF(OR(BS106=0,INDEX('調整・決定'!$C$6:$L$29,BT3-1,BT2)=""),0,IF(IFERROR(INDEX('名簿'!$F$5:$F$49,MATCH(INDEX('調整・決定'!$C$6:$L$29,BT3-1,BT2),'名簿'!$G$5:$G$49,0)),"")&lt;&gt;"",1,0))</f>
        <v/>
      </c>
      <c r="BU108">
        <f>IF(OR(BT106=0,INDEX('調整・決定'!$C$6:$L$29,BU3-1,BU2)=""),0,IF(IFERROR(INDEX('名簿'!$F$5:$F$49,MATCH(INDEX('調整・決定'!$C$6:$L$29,BU3-1,BU2),'名簿'!$G$5:$G$49,0)),"")&lt;&gt;"",1,0))</f>
        <v/>
      </c>
      <c r="BV108">
        <f>IF(OR(BU106=0,INDEX('調整・決定'!$C$6:$L$29,BV3-1,BV2)=""),0,IF(IFERROR(INDEX('名簿'!$F$5:$F$49,MATCH(INDEX('調整・決定'!$C$6:$L$29,BV3-1,BV2),'名簿'!$G$5:$G$49,0)),"")&lt;&gt;"",1,0))</f>
        <v/>
      </c>
      <c r="BW108">
        <f>IF(OR(BV106=0,INDEX('調整・決定'!$C$6:$L$29,BW3-1,BW2)=""),0,IF(IFERROR(INDEX('名簿'!$F$5:$F$49,MATCH(INDEX('調整・決定'!$C$6:$L$29,BW3-1,BW2),'名簿'!$G$5:$G$49,0)),"")&lt;&gt;"",1,0))</f>
        <v/>
      </c>
      <c r="BX108" t="n">
        <v>0</v>
      </c>
      <c r="BY108">
        <f>IF(OR(BX106=0,INDEX('調整・決定'!$C$6:$L$29,BY3-1,BY2)=""),0,IF(IFERROR(INDEX('名簿'!$F$5:$F$49,MATCH(INDEX('調整・決定'!$C$6:$L$29,BY3-1,BY2),'名簿'!$G$5:$G$49,0)),"")&lt;&gt;"",1,0))</f>
        <v/>
      </c>
      <c r="BZ108">
        <f>IF(OR(BY106=0,INDEX('調整・決定'!$C$6:$L$29,BZ3-1,BZ2)=""),0,IF(IFERROR(INDEX('名簿'!$F$5:$F$49,MATCH(INDEX('調整・決定'!$C$6:$L$29,BZ3-1,BZ2),'名簿'!$G$5:$G$49,0)),"")&lt;&gt;"",1,0))</f>
        <v/>
      </c>
      <c r="CA108">
        <f>IF(OR(BZ106=0,INDEX('調整・決定'!$C$6:$L$29,CA3-1,CA2)=""),0,IF(IFERROR(INDEX('名簿'!$F$5:$F$49,MATCH(INDEX('調整・決定'!$C$6:$L$29,CA3-1,CA2),'名簿'!$G$5:$G$49,0)),"")&lt;&gt;"",1,0))</f>
        <v/>
      </c>
      <c r="CB108">
        <f>IF(OR(CA106=0,INDEX('調整・決定'!$C$6:$L$29,CB3-1,CB2)=""),0,IF(IFERROR(INDEX('名簿'!$F$5:$F$49,MATCH(INDEX('調整・決定'!$C$6:$L$29,CB3-1,CB2),'名簿'!$G$5:$G$49,0)),"")&lt;&gt;"",1,0))</f>
        <v/>
      </c>
      <c r="CC108">
        <f>IF(OR(CB106=0,INDEX('調整・決定'!$C$6:$L$29,CC3-1,CC2)=""),0,IF(IFERROR(INDEX('名簿'!$F$5:$F$49,MATCH(INDEX('調整・決定'!$C$6:$L$29,CC3-1,CC2),'名簿'!$G$5:$G$49,0)),"")&lt;&gt;"",1,0))</f>
        <v/>
      </c>
      <c r="CD108">
        <f>IF(OR(CC106=0,INDEX('調整・決定'!$C$6:$L$29,CD3-1,CD2)=""),0,IF(IFERROR(INDEX('名簿'!$F$5:$F$49,MATCH(INDEX('調整・決定'!$C$6:$L$29,CD3-1,CD2),'名簿'!$G$5:$G$49,0)),"")&lt;&gt;"",1,0))</f>
        <v/>
      </c>
      <c r="CE108">
        <f>IF(OR(CD106=0,INDEX('調整・決定'!$C$6:$L$29,CE3-1,CE2)=""),0,IF(IFERROR(INDEX('名簿'!$F$5:$F$49,MATCH(INDEX('調整・決定'!$C$6:$L$29,CE3-1,CE2),'名簿'!$G$5:$G$49,0)),"")&lt;&gt;"",1,0))</f>
        <v/>
      </c>
      <c r="CF108">
        <f>IF(OR(CE106=0,INDEX('調整・決定'!$C$6:$L$29,CF3-1,CF2)=""),0,IF(IFERROR(INDEX('名簿'!$F$5:$F$49,MATCH(INDEX('調整・決定'!$C$6:$L$29,CF3-1,CF2),'名簿'!$G$5:$G$49,0)),"")&lt;&gt;"",1,0))</f>
        <v/>
      </c>
      <c r="CG108">
        <f>IF(OR(CF106=0,INDEX('調整・決定'!$C$6:$L$29,CG3-1,CG2)=""),0,IF(IFERROR(INDEX('名簿'!$F$5:$F$49,MATCH(INDEX('調整・決定'!$C$6:$L$29,CG3-1,CG2),'名簿'!$G$5:$G$49,0)),"")&lt;&gt;"",1,0))</f>
        <v/>
      </c>
      <c r="CH108">
        <f>IF(OR(CG106=0,INDEX('調整・決定'!$C$6:$L$29,CH3-1,CH2)=""),0,IF(IFERROR(INDEX('名簿'!$F$5:$F$49,MATCH(INDEX('調整・決定'!$C$6:$L$29,CH3-1,CH2),'名簿'!$G$5:$G$49,0)),"")&lt;&gt;"",1,0))</f>
        <v/>
      </c>
      <c r="CI108">
        <f>IF(OR(CH106=0,INDEX('調整・決定'!$C$6:$L$29,CI3-1,CI2)=""),0,IF(IFERROR(INDEX('名簿'!$F$5:$F$49,MATCH(INDEX('調整・決定'!$C$6:$L$29,CI3-1,CI2),'名簿'!$G$5:$G$49,0)),"")&lt;&gt;"",1,0))</f>
        <v/>
      </c>
      <c r="CJ108">
        <f>IF(OR(CI106=0,INDEX('調整・決定'!$C$6:$L$29,CJ3-1,CJ2)=""),0,IF(IFERROR(INDEX('名簿'!$F$5:$F$49,MATCH(INDEX('調整・決定'!$C$6:$L$29,CJ3-1,CJ2),'名簿'!$G$5:$G$49,0)),"")&lt;&gt;"",1,0))</f>
        <v/>
      </c>
      <c r="CK108">
        <f>IF(OR(CJ106=0,INDEX('調整・決定'!$C$6:$L$29,CK3-1,CK2)=""),0,IF(IFERROR(INDEX('名簿'!$F$5:$F$49,MATCH(INDEX('調整・決定'!$C$6:$L$29,CK3-1,CK2),'名簿'!$G$5:$G$49,0)),"")&lt;&gt;"",1,0))</f>
        <v/>
      </c>
      <c r="CL108">
        <f>IF(OR(CK106=0,INDEX('調整・決定'!$C$6:$L$29,CL3-1,CL2)=""),0,IF(IFERROR(INDEX('名簿'!$F$5:$F$49,MATCH(INDEX('調整・決定'!$C$6:$L$29,CL3-1,CL2),'名簿'!$G$5:$G$49,0)),"")&lt;&gt;"",1,0))</f>
        <v/>
      </c>
      <c r="CM108">
        <f>IF(OR(CL106=0,INDEX('調整・決定'!$C$6:$L$29,CM3-1,CM2)=""),0,IF(IFERROR(INDEX('名簿'!$F$5:$F$49,MATCH(INDEX('調整・決定'!$C$6:$L$29,CM3-1,CM2),'名簿'!$G$5:$G$49,0)),"")&lt;&gt;"",1,0))</f>
        <v/>
      </c>
      <c r="CN108">
        <f>IF(OR(CM106=0,INDEX('調整・決定'!$C$6:$L$29,CN3-1,CN2)=""),0,IF(IFERROR(INDEX('名簿'!$F$5:$F$49,MATCH(INDEX('調整・決定'!$C$6:$L$29,CN3-1,CN2),'名簿'!$G$5:$G$49,0)),"")&lt;&gt;"",1,0))</f>
        <v/>
      </c>
      <c r="CO108">
        <f>IF(OR(CN106=0,INDEX('調整・決定'!$C$6:$L$29,CO3-1,CO2)=""),0,IF(IFERROR(INDEX('名簿'!$F$5:$F$49,MATCH(INDEX('調整・決定'!$C$6:$L$29,CO3-1,CO2),'名簿'!$G$5:$G$49,0)),"")&lt;&gt;"",1,0))</f>
        <v/>
      </c>
      <c r="CP108">
        <f>IF(OR(CO106=0,INDEX('調整・決定'!$C$6:$L$29,CP3-1,CP2)=""),0,IF(IFERROR(INDEX('名簿'!$F$5:$F$49,MATCH(INDEX('調整・決定'!$C$6:$L$29,CP3-1,CP2),'名簿'!$G$5:$G$49,0)),"")&lt;&gt;"",1,0))</f>
        <v/>
      </c>
      <c r="CQ108">
        <f>IF(OR(CP106=0,INDEX('調整・決定'!$C$6:$L$29,CQ3-1,CQ2)=""),0,IF(IFERROR(INDEX('名簿'!$F$5:$F$49,MATCH(INDEX('調整・決定'!$C$6:$L$29,CQ3-1,CQ2),'名簿'!$G$5:$G$49,0)),"")&lt;&gt;"",1,0))</f>
        <v/>
      </c>
      <c r="CR108">
        <f>IF(OR(CQ106=0,INDEX('調整・決定'!$C$6:$L$29,CR3-1,CR2)=""),0,IF(IFERROR(INDEX('名簿'!$F$5:$F$49,MATCH(INDEX('調整・決定'!$C$6:$L$29,CR3-1,CR2),'名簿'!$G$5:$G$49,0)),"")&lt;&gt;"",1,0))</f>
        <v/>
      </c>
      <c r="CS108">
        <f>IF(OR(CR106=0,INDEX('調整・決定'!$C$6:$L$29,CS3-1,CS2)=""),0,IF(IFERROR(INDEX('名簿'!$F$5:$F$49,MATCH(INDEX('調整・決定'!$C$6:$L$29,CS3-1,CS2),'名簿'!$G$5:$G$49,0)),"")&lt;&gt;"",1,0))</f>
        <v/>
      </c>
      <c r="CT108">
        <f>IF(OR(CS106=0,INDEX('調整・決定'!$C$6:$L$29,CT3-1,CT2)=""),0,IF(IFERROR(INDEX('名簿'!$F$5:$F$49,MATCH(INDEX('調整・決定'!$C$6:$L$29,CT3-1,CT2),'名簿'!$G$5:$G$49,0)),"")&lt;&gt;"",1,0))</f>
        <v/>
      </c>
      <c r="CU108">
        <f>IF(OR(CT106=0,INDEX('調整・決定'!$C$6:$L$29,CU3-1,CU2)=""),0,IF(IFERROR(INDEX('名簿'!$F$5:$F$49,MATCH(INDEX('調整・決定'!$C$6:$L$29,CU3-1,CU2),'名簿'!$G$5:$G$49,0)),"")&lt;&gt;"",1,0))</f>
        <v/>
      </c>
      <c r="CV108" t="n">
        <v>0</v>
      </c>
      <c r="CW108">
        <f>IF(OR(CV106=0,INDEX('調整・決定'!$C$6:$L$29,CW3-1,CW2)=""),0,IF(IFERROR(INDEX('名簿'!$F$5:$F$49,MATCH(INDEX('調整・決定'!$C$6:$L$29,CW3-1,CW2),'名簿'!$G$5:$G$49,0)),"")&lt;&gt;"",1,0))</f>
        <v/>
      </c>
      <c r="CX108">
        <f>IF(OR(CW106=0,INDEX('調整・決定'!$C$6:$L$29,CX3-1,CX2)=""),0,IF(IFERROR(INDEX('名簿'!$F$5:$F$49,MATCH(INDEX('調整・決定'!$C$6:$L$29,CX3-1,CX2),'名簿'!$G$5:$G$49,0)),"")&lt;&gt;"",1,0))</f>
        <v/>
      </c>
      <c r="CY108">
        <f>IF(OR(CX106=0,INDEX('調整・決定'!$C$6:$L$29,CY3-1,CY2)=""),0,IF(IFERROR(INDEX('名簿'!$F$5:$F$49,MATCH(INDEX('調整・決定'!$C$6:$L$29,CY3-1,CY2),'名簿'!$G$5:$G$49,0)),"")&lt;&gt;"",1,0))</f>
        <v/>
      </c>
      <c r="CZ108">
        <f>IF(OR(CY106=0,INDEX('調整・決定'!$C$6:$L$29,CZ3-1,CZ2)=""),0,IF(IFERROR(INDEX('名簿'!$F$5:$F$49,MATCH(INDEX('調整・決定'!$C$6:$L$29,CZ3-1,CZ2),'名簿'!$G$5:$G$49,0)),"")&lt;&gt;"",1,0))</f>
        <v/>
      </c>
      <c r="DA108">
        <f>IF(OR(CZ106=0,INDEX('調整・決定'!$C$6:$L$29,DA3-1,DA2)=""),0,IF(IFERROR(INDEX('名簿'!$F$5:$F$49,MATCH(INDEX('調整・決定'!$C$6:$L$29,DA3-1,DA2),'名簿'!$G$5:$G$49,0)),"")&lt;&gt;"",1,0))</f>
        <v/>
      </c>
      <c r="DB108">
        <f>IF(OR(DA106=0,INDEX('調整・決定'!$C$6:$L$29,DB3-1,DB2)=""),0,IF(IFERROR(INDEX('名簿'!$F$5:$F$49,MATCH(INDEX('調整・決定'!$C$6:$L$29,DB3-1,DB2),'名簿'!$G$5:$G$49,0)),"")&lt;&gt;"",1,0))</f>
        <v/>
      </c>
      <c r="DC108">
        <f>IF(OR(DB106=0,INDEX('調整・決定'!$C$6:$L$29,DC3-1,DC2)=""),0,IF(IFERROR(INDEX('名簿'!$F$5:$F$49,MATCH(INDEX('調整・決定'!$C$6:$L$29,DC3-1,DC2),'名簿'!$G$5:$G$49,0)),"")&lt;&gt;"",1,0))</f>
        <v/>
      </c>
      <c r="DD108">
        <f>IF(OR(DC106=0,INDEX('調整・決定'!$C$6:$L$29,DD3-1,DD2)=""),0,IF(IFERROR(INDEX('名簿'!$F$5:$F$49,MATCH(INDEX('調整・決定'!$C$6:$L$29,DD3-1,DD2),'名簿'!$G$5:$G$49,0)),"")&lt;&gt;"",1,0))</f>
        <v/>
      </c>
      <c r="DE108">
        <f>IF(OR(DD106=0,INDEX('調整・決定'!$C$6:$L$29,DE3-1,DE2)=""),0,IF(IFERROR(INDEX('名簿'!$F$5:$F$49,MATCH(INDEX('調整・決定'!$C$6:$L$29,DE3-1,DE2),'名簿'!$G$5:$G$49,0)),"")&lt;&gt;"",1,0))</f>
        <v/>
      </c>
      <c r="DF108">
        <f>IF(OR(DE106=0,INDEX('調整・決定'!$C$6:$L$29,DF3-1,DF2)=""),0,IF(IFERROR(INDEX('名簿'!$F$5:$F$49,MATCH(INDEX('調整・決定'!$C$6:$L$29,DF3-1,DF2),'名簿'!$G$5:$G$49,0)),"")&lt;&gt;"",1,0))</f>
        <v/>
      </c>
      <c r="DG108">
        <f>IF(OR(DF106=0,INDEX('調整・決定'!$C$6:$L$29,DG3-1,DG2)=""),0,IF(IFERROR(INDEX('名簿'!$F$5:$F$49,MATCH(INDEX('調整・決定'!$C$6:$L$29,DG3-1,DG2),'名簿'!$G$5:$G$49,0)),"")&lt;&gt;"",1,0))</f>
        <v/>
      </c>
      <c r="DH108">
        <f>IF(OR(DG106=0,INDEX('調整・決定'!$C$6:$L$29,DH3-1,DH2)=""),0,IF(IFERROR(INDEX('名簿'!$F$5:$F$49,MATCH(INDEX('調整・決定'!$C$6:$L$29,DH3-1,DH2),'名簿'!$G$5:$G$49,0)),"")&lt;&gt;"",1,0))</f>
        <v/>
      </c>
      <c r="DI108">
        <f>IF(OR(DH106=0,INDEX('調整・決定'!$C$6:$L$29,DI3-1,DI2)=""),0,IF(IFERROR(INDEX('名簿'!$F$5:$F$49,MATCH(INDEX('調整・決定'!$C$6:$L$29,DI3-1,DI2),'名簿'!$G$5:$G$49,0)),"")&lt;&gt;"",1,0))</f>
        <v/>
      </c>
      <c r="DJ108">
        <f>IF(OR(DI106=0,INDEX('調整・決定'!$C$6:$L$29,DJ3-1,DJ2)=""),0,IF(IFERROR(INDEX('名簿'!$F$5:$F$49,MATCH(INDEX('調整・決定'!$C$6:$L$29,DJ3-1,DJ2),'名簿'!$G$5:$G$49,0)),"")&lt;&gt;"",1,0))</f>
        <v/>
      </c>
      <c r="DK108">
        <f>IF(OR(DJ106=0,INDEX('調整・決定'!$C$6:$L$29,DK3-1,DK2)=""),0,IF(IFERROR(INDEX('名簿'!$F$5:$F$49,MATCH(INDEX('調整・決定'!$C$6:$L$29,DK3-1,DK2),'名簿'!$G$5:$G$49,0)),"")&lt;&gt;"",1,0))</f>
        <v/>
      </c>
      <c r="DL108">
        <f>IF(OR(DK106=0,INDEX('調整・決定'!$C$6:$L$29,DL3-1,DL2)=""),0,IF(IFERROR(INDEX('名簿'!$F$5:$F$49,MATCH(INDEX('調整・決定'!$C$6:$L$29,DL3-1,DL2),'名簿'!$G$5:$G$49,0)),"")&lt;&gt;"",1,0))</f>
        <v/>
      </c>
      <c r="DM108">
        <f>IF(OR(DL106=0,INDEX('調整・決定'!$C$6:$L$29,DM3-1,DM2)=""),0,IF(IFERROR(INDEX('名簿'!$F$5:$F$49,MATCH(INDEX('調整・決定'!$C$6:$L$29,DM3-1,DM2),'名簿'!$G$5:$G$49,0)),"")&lt;&gt;"",1,0))</f>
        <v/>
      </c>
      <c r="DN108">
        <f>IF(OR(DM106=0,INDEX('調整・決定'!$C$6:$L$29,DN3-1,DN2)=""),0,IF(IFERROR(INDEX('名簿'!$F$5:$F$49,MATCH(INDEX('調整・決定'!$C$6:$L$29,DN3-1,DN2),'名簿'!$G$5:$G$49,0)),"")&lt;&gt;"",1,0))</f>
        <v/>
      </c>
      <c r="DO108">
        <f>IF(OR(DN106=0,INDEX('調整・決定'!$C$6:$L$29,DO3-1,DO2)=""),0,IF(IFERROR(INDEX('名簿'!$F$5:$F$49,MATCH(INDEX('調整・決定'!$C$6:$L$29,DO3-1,DO2),'名簿'!$G$5:$G$49,0)),"")&lt;&gt;"",1,0))</f>
        <v/>
      </c>
      <c r="DP108">
        <f>IF(OR(DO106=0,INDEX('調整・決定'!$C$6:$L$29,DP3-1,DP2)=""),0,IF(IFERROR(INDEX('名簿'!$F$5:$F$49,MATCH(INDEX('調整・決定'!$C$6:$L$29,DP3-1,DP2),'名簿'!$G$5:$G$49,0)),"")&lt;&gt;"",1,0))</f>
        <v/>
      </c>
      <c r="DQ108">
        <f>IF(OR(DP106=0,INDEX('調整・決定'!$C$6:$L$29,DQ3-1,DQ2)=""),0,IF(IFERROR(INDEX('名簿'!$F$5:$F$49,MATCH(INDEX('調整・決定'!$C$6:$L$29,DQ3-1,DQ2),'名簿'!$G$5:$G$49,0)),"")&lt;&gt;"",1,0))</f>
        <v/>
      </c>
      <c r="DR108">
        <f>IF(OR(DQ106=0,INDEX('調整・決定'!$C$6:$L$29,DR3-1,DR2)=""),0,IF(IFERROR(INDEX('名簿'!$F$5:$F$49,MATCH(INDEX('調整・決定'!$C$6:$L$29,DR3-1,DR2),'名簿'!$G$5:$G$49,0)),"")&lt;&gt;"",1,0))</f>
        <v/>
      </c>
      <c r="DS108">
        <f>IF(OR(DR106=0,INDEX('調整・決定'!$C$6:$L$29,DS3-1,DS2)=""),0,IF(IFERROR(INDEX('名簿'!$F$5:$F$49,MATCH(INDEX('調整・決定'!$C$6:$L$29,DS3-1,DS2),'名簿'!$G$5:$G$49,0)),"")&lt;&gt;"",1,0))</f>
        <v/>
      </c>
      <c r="DT108" t="n">
        <v>0</v>
      </c>
      <c r="DU108">
        <f>IF(OR(DT106=0,INDEX('調整・決定'!$C$6:$L$29,DU3-1,DU2)=""),0,IF(IFERROR(INDEX('名簿'!$F$5:$F$49,MATCH(INDEX('調整・決定'!$C$6:$L$29,DU3-1,DU2),'名簿'!$G$5:$G$49,0)),"")&lt;&gt;"",1,0))</f>
        <v/>
      </c>
      <c r="DV108">
        <f>IF(OR(DU106=0,INDEX('調整・決定'!$C$6:$L$29,DV3-1,DV2)=""),0,IF(IFERROR(INDEX('名簿'!$F$5:$F$49,MATCH(INDEX('調整・決定'!$C$6:$L$29,DV3-1,DV2),'名簿'!$G$5:$G$49,0)),"")&lt;&gt;"",1,0))</f>
        <v/>
      </c>
      <c r="DW108">
        <f>IF(OR(DV106=0,INDEX('調整・決定'!$C$6:$L$29,DW3-1,DW2)=""),0,IF(IFERROR(INDEX('名簿'!$F$5:$F$49,MATCH(INDEX('調整・決定'!$C$6:$L$29,DW3-1,DW2),'名簿'!$G$5:$G$49,0)),"")&lt;&gt;"",1,0))</f>
        <v/>
      </c>
      <c r="DX108">
        <f>IF(OR(DW106=0,INDEX('調整・決定'!$C$6:$L$29,DX3-1,DX2)=""),0,IF(IFERROR(INDEX('名簿'!$F$5:$F$49,MATCH(INDEX('調整・決定'!$C$6:$L$29,DX3-1,DX2),'名簿'!$G$5:$G$49,0)),"")&lt;&gt;"",1,0))</f>
        <v/>
      </c>
      <c r="DY108">
        <f>IF(OR(DX106=0,INDEX('調整・決定'!$C$6:$L$29,DY3-1,DY2)=""),0,IF(IFERROR(INDEX('名簿'!$F$5:$F$49,MATCH(INDEX('調整・決定'!$C$6:$L$29,DY3-1,DY2),'名簿'!$G$5:$G$49,0)),"")&lt;&gt;"",1,0))</f>
        <v/>
      </c>
      <c r="DZ108">
        <f>IF(OR(DY106=0,INDEX('調整・決定'!$C$6:$L$29,DZ3-1,DZ2)=""),0,IF(IFERROR(INDEX('名簿'!$F$5:$F$49,MATCH(INDEX('調整・決定'!$C$6:$L$29,DZ3-1,DZ2),'名簿'!$G$5:$G$49,0)),"")&lt;&gt;"",1,0))</f>
        <v/>
      </c>
      <c r="EA108">
        <f>IF(OR(DZ106=0,INDEX('調整・決定'!$C$6:$L$29,EA3-1,EA2)=""),0,IF(IFERROR(INDEX('名簿'!$F$5:$F$49,MATCH(INDEX('調整・決定'!$C$6:$L$29,EA3-1,EA2),'名簿'!$G$5:$G$49,0)),"")&lt;&gt;"",1,0))</f>
        <v/>
      </c>
      <c r="EB108">
        <f>IF(OR(EA106=0,INDEX('調整・決定'!$C$6:$L$29,EB3-1,EB2)=""),0,IF(IFERROR(INDEX('名簿'!$F$5:$F$49,MATCH(INDEX('調整・決定'!$C$6:$L$29,EB3-1,EB2),'名簿'!$G$5:$G$49,0)),"")&lt;&gt;"",1,0))</f>
        <v/>
      </c>
      <c r="EC108">
        <f>IF(OR(EB106=0,INDEX('調整・決定'!$C$6:$L$29,EC3-1,EC2)=""),0,IF(IFERROR(INDEX('名簿'!$F$5:$F$49,MATCH(INDEX('調整・決定'!$C$6:$L$29,EC3-1,EC2),'名簿'!$G$5:$G$49,0)),"")&lt;&gt;"",1,0))</f>
        <v/>
      </c>
      <c r="ED108">
        <f>IF(OR(EC106=0,INDEX('調整・決定'!$C$6:$L$29,ED3-1,ED2)=""),0,IF(IFERROR(INDEX('名簿'!$F$5:$F$49,MATCH(INDEX('調整・決定'!$C$6:$L$29,ED3-1,ED2),'名簿'!$G$5:$G$49,0)),"")&lt;&gt;"",1,0))</f>
        <v/>
      </c>
      <c r="EE108">
        <f>IF(OR(ED106=0,INDEX('調整・決定'!$C$6:$L$29,EE3-1,EE2)=""),0,IF(IFERROR(INDEX('名簿'!$F$5:$F$49,MATCH(INDEX('調整・決定'!$C$6:$L$29,EE3-1,EE2),'名簿'!$G$5:$G$49,0)),"")&lt;&gt;"",1,0))</f>
        <v/>
      </c>
      <c r="EF108">
        <f>IF(OR(EE106=0,INDEX('調整・決定'!$C$6:$L$29,EF3-1,EF2)=""),0,IF(IFERROR(INDEX('名簿'!$F$5:$F$49,MATCH(INDEX('調整・決定'!$C$6:$L$29,EF3-1,EF2),'名簿'!$G$5:$G$49,0)),"")&lt;&gt;"",1,0))</f>
        <v/>
      </c>
      <c r="EG108">
        <f>IF(OR(EF106=0,INDEX('調整・決定'!$C$6:$L$29,EG3-1,EG2)=""),0,IF(IFERROR(INDEX('名簿'!$F$5:$F$49,MATCH(INDEX('調整・決定'!$C$6:$L$29,EG3-1,EG2),'名簿'!$G$5:$G$49,0)),"")&lt;&gt;"",1,0))</f>
        <v/>
      </c>
      <c r="EH108">
        <f>IF(OR(EG106=0,INDEX('調整・決定'!$C$6:$L$29,EH3-1,EH2)=""),0,IF(IFERROR(INDEX('名簿'!$F$5:$F$49,MATCH(INDEX('調整・決定'!$C$6:$L$29,EH3-1,EH2),'名簿'!$G$5:$G$49,0)),"")&lt;&gt;"",1,0))</f>
        <v/>
      </c>
      <c r="EI108">
        <f>IF(OR(EH106=0,INDEX('調整・決定'!$C$6:$L$29,EI3-1,EI2)=""),0,IF(IFERROR(INDEX('名簿'!$F$5:$F$49,MATCH(INDEX('調整・決定'!$C$6:$L$29,EI3-1,EI2),'名簿'!$G$5:$G$49,0)),"")&lt;&gt;"",1,0))</f>
        <v/>
      </c>
      <c r="EJ108">
        <f>IF(OR(EI106=0,INDEX('調整・決定'!$C$6:$L$29,EJ3-1,EJ2)=""),0,IF(IFERROR(INDEX('名簿'!$F$5:$F$49,MATCH(INDEX('調整・決定'!$C$6:$L$29,EJ3-1,EJ2),'名簿'!$G$5:$G$49,0)),"")&lt;&gt;"",1,0))</f>
        <v/>
      </c>
      <c r="EK108">
        <f>IF(OR(EJ106=0,INDEX('調整・決定'!$C$6:$L$29,EK3-1,EK2)=""),0,IF(IFERROR(INDEX('名簿'!$F$5:$F$49,MATCH(INDEX('調整・決定'!$C$6:$L$29,EK3-1,EK2),'名簿'!$G$5:$G$49,0)),"")&lt;&gt;"",1,0))</f>
        <v/>
      </c>
      <c r="EL108">
        <f>IF(OR(EK106=0,INDEX('調整・決定'!$C$6:$L$29,EL3-1,EL2)=""),0,IF(IFERROR(INDEX('名簿'!$F$5:$F$49,MATCH(INDEX('調整・決定'!$C$6:$L$29,EL3-1,EL2),'名簿'!$G$5:$G$49,0)),"")&lt;&gt;"",1,0))</f>
        <v/>
      </c>
      <c r="EM108">
        <f>IF(OR(EL106=0,INDEX('調整・決定'!$C$6:$L$29,EM3-1,EM2)=""),0,IF(IFERROR(INDEX('名簿'!$F$5:$F$49,MATCH(INDEX('調整・決定'!$C$6:$L$29,EM3-1,EM2),'名簿'!$G$5:$G$49,0)),"")&lt;&gt;"",1,0))</f>
        <v/>
      </c>
      <c r="EN108">
        <f>IF(OR(EM106=0,INDEX('調整・決定'!$C$6:$L$29,EN3-1,EN2)=""),0,IF(IFERROR(INDEX('名簿'!$F$5:$F$49,MATCH(INDEX('調整・決定'!$C$6:$L$29,EN3-1,EN2),'名簿'!$G$5:$G$49,0)),"")&lt;&gt;"",1,0))</f>
        <v/>
      </c>
      <c r="EO108">
        <f>IF(OR(EN106=0,INDEX('調整・決定'!$C$6:$L$29,EO3-1,EO2)=""),0,IF(IFERROR(INDEX('名簿'!$F$5:$F$49,MATCH(INDEX('調整・決定'!$C$6:$L$29,EO3-1,EO2),'名簿'!$G$5:$G$49,0)),"")&lt;&gt;"",1,0))</f>
        <v/>
      </c>
      <c r="EP108">
        <f>IF(OR(EO106=0,INDEX('調整・決定'!$C$6:$L$29,EP3-1,EP2)=""),0,IF(IFERROR(INDEX('名簿'!$F$5:$F$49,MATCH(INDEX('調整・決定'!$C$6:$L$29,EP3-1,EP2),'名簿'!$G$5:$G$49,0)),"")&lt;&gt;"",1,0))</f>
        <v/>
      </c>
      <c r="EQ108">
        <f>IF(OR(EP106=0,INDEX('調整・決定'!$C$6:$L$29,EQ3-1,EQ2)=""),0,IF(IFERROR(INDEX('名簿'!$F$5:$F$49,MATCH(INDEX('調整・決定'!$C$6:$L$29,EQ3-1,EQ2),'名簿'!$G$5:$G$49,0)),"")&lt;&gt;"",1,0))</f>
        <v/>
      </c>
      <c r="ER108" t="n">
        <v>0</v>
      </c>
      <c r="ES108">
        <f>IF(OR(ER106=0,INDEX('調整・決定'!$C$6:$L$29,ES3-1,ES2)=""),0,IF(IFERROR(INDEX('名簿'!$F$5:$F$49,MATCH(INDEX('調整・決定'!$C$6:$L$29,ES3-1,ES2),'名簿'!$G$5:$G$49,0)),"")&lt;&gt;"",1,0))</f>
        <v/>
      </c>
      <c r="ET108">
        <f>IF(OR(ES106=0,INDEX('調整・決定'!$C$6:$L$29,ET3-1,ET2)=""),0,IF(IFERROR(INDEX('名簿'!$F$5:$F$49,MATCH(INDEX('調整・決定'!$C$6:$L$29,ET3-1,ET2),'名簿'!$G$5:$G$49,0)),"")&lt;&gt;"",1,0))</f>
        <v/>
      </c>
      <c r="EU108">
        <f>IF(OR(ET106=0,INDEX('調整・決定'!$C$6:$L$29,EU3-1,EU2)=""),0,IF(IFERROR(INDEX('名簿'!$F$5:$F$49,MATCH(INDEX('調整・決定'!$C$6:$L$29,EU3-1,EU2),'名簿'!$G$5:$G$49,0)),"")&lt;&gt;"",1,0))</f>
        <v/>
      </c>
      <c r="EV108">
        <f>IF(OR(EU106=0,INDEX('調整・決定'!$C$6:$L$29,EV3-1,EV2)=""),0,IF(IFERROR(INDEX('名簿'!$F$5:$F$49,MATCH(INDEX('調整・決定'!$C$6:$L$29,EV3-1,EV2),'名簿'!$G$5:$G$49,0)),"")&lt;&gt;"",1,0))</f>
        <v/>
      </c>
      <c r="EW108">
        <f>IF(OR(EV106=0,INDEX('調整・決定'!$C$6:$L$29,EW3-1,EW2)=""),0,IF(IFERROR(INDEX('名簿'!$F$5:$F$49,MATCH(INDEX('調整・決定'!$C$6:$L$29,EW3-1,EW2),'名簿'!$G$5:$G$49,0)),"")&lt;&gt;"",1,0))</f>
        <v/>
      </c>
      <c r="EX108">
        <f>IF(OR(EW106=0,INDEX('調整・決定'!$C$6:$L$29,EX3-1,EX2)=""),0,IF(IFERROR(INDEX('名簿'!$F$5:$F$49,MATCH(INDEX('調整・決定'!$C$6:$L$29,EX3-1,EX2),'名簿'!$G$5:$G$49,0)),"")&lt;&gt;"",1,0))</f>
        <v/>
      </c>
      <c r="EY108">
        <f>IF(OR(EX106=0,INDEX('調整・決定'!$C$6:$L$29,EY3-1,EY2)=""),0,IF(IFERROR(INDEX('名簿'!$F$5:$F$49,MATCH(INDEX('調整・決定'!$C$6:$L$29,EY3-1,EY2),'名簿'!$G$5:$G$49,0)),"")&lt;&gt;"",1,0))</f>
        <v/>
      </c>
      <c r="EZ108">
        <f>IF(OR(EY106=0,INDEX('調整・決定'!$C$6:$L$29,EZ3-1,EZ2)=""),0,IF(IFERROR(INDEX('名簿'!$F$5:$F$49,MATCH(INDEX('調整・決定'!$C$6:$L$29,EZ3-1,EZ2),'名簿'!$G$5:$G$49,0)),"")&lt;&gt;"",1,0))</f>
        <v/>
      </c>
      <c r="FA108">
        <f>IF(OR(EZ106=0,INDEX('調整・決定'!$C$6:$L$29,FA3-1,FA2)=""),0,IF(IFERROR(INDEX('名簿'!$F$5:$F$49,MATCH(INDEX('調整・決定'!$C$6:$L$29,FA3-1,FA2),'名簿'!$G$5:$G$49,0)),"")&lt;&gt;"",1,0))</f>
        <v/>
      </c>
      <c r="FB108">
        <f>IF(OR(FA106=0,INDEX('調整・決定'!$C$6:$L$29,FB3-1,FB2)=""),0,IF(IFERROR(INDEX('名簿'!$F$5:$F$49,MATCH(INDEX('調整・決定'!$C$6:$L$29,FB3-1,FB2),'名簿'!$G$5:$G$49,0)),"")&lt;&gt;"",1,0))</f>
        <v/>
      </c>
      <c r="FC108">
        <f>IF(OR(FB106=0,INDEX('調整・決定'!$C$6:$L$29,FC3-1,FC2)=""),0,IF(IFERROR(INDEX('名簿'!$F$5:$F$49,MATCH(INDEX('調整・決定'!$C$6:$L$29,FC3-1,FC2),'名簿'!$G$5:$G$49,0)),"")&lt;&gt;"",1,0))</f>
        <v/>
      </c>
      <c r="FD108">
        <f>IF(OR(FC106=0,INDEX('調整・決定'!$C$6:$L$29,FD3-1,FD2)=""),0,IF(IFERROR(INDEX('名簿'!$F$5:$F$49,MATCH(INDEX('調整・決定'!$C$6:$L$29,FD3-1,FD2),'名簿'!$G$5:$G$49,0)),"")&lt;&gt;"",1,0))</f>
        <v/>
      </c>
      <c r="FE108">
        <f>IF(OR(FD106=0,INDEX('調整・決定'!$C$6:$L$29,FE3-1,FE2)=""),0,IF(IFERROR(INDEX('名簿'!$F$5:$F$49,MATCH(INDEX('調整・決定'!$C$6:$L$29,FE3-1,FE2),'名簿'!$G$5:$G$49,0)),"")&lt;&gt;"",1,0))</f>
        <v/>
      </c>
      <c r="FF108">
        <f>IF(OR(FE106=0,INDEX('調整・決定'!$C$6:$L$29,FF3-1,FF2)=""),0,IF(IFERROR(INDEX('名簿'!$F$5:$F$49,MATCH(INDEX('調整・決定'!$C$6:$L$29,FF3-1,FF2),'名簿'!$G$5:$G$49,0)),"")&lt;&gt;"",1,0))</f>
        <v/>
      </c>
      <c r="FG108">
        <f>IF(OR(FF106=0,INDEX('調整・決定'!$C$6:$L$29,FG3-1,FG2)=""),0,IF(IFERROR(INDEX('名簿'!$F$5:$F$49,MATCH(INDEX('調整・決定'!$C$6:$L$29,FG3-1,FG2),'名簿'!$G$5:$G$49,0)),"")&lt;&gt;"",1,0))</f>
        <v/>
      </c>
      <c r="FH108">
        <f>IF(OR(FG106=0,INDEX('調整・決定'!$C$6:$L$29,FH3-1,FH2)=""),0,IF(IFERROR(INDEX('名簿'!$F$5:$F$49,MATCH(INDEX('調整・決定'!$C$6:$L$29,FH3-1,FH2),'名簿'!$G$5:$G$49,0)),"")&lt;&gt;"",1,0))</f>
        <v/>
      </c>
      <c r="FI108">
        <f>IF(OR(FH106=0,INDEX('調整・決定'!$C$6:$L$29,FI3-1,FI2)=""),0,IF(IFERROR(INDEX('名簿'!$F$5:$F$49,MATCH(INDEX('調整・決定'!$C$6:$L$29,FI3-1,FI2),'名簿'!$G$5:$G$49,0)),"")&lt;&gt;"",1,0))</f>
        <v/>
      </c>
      <c r="FJ108">
        <f>IF(OR(FI106=0,INDEX('調整・決定'!$C$6:$L$29,FJ3-1,FJ2)=""),0,IF(IFERROR(INDEX('名簿'!$F$5:$F$49,MATCH(INDEX('調整・決定'!$C$6:$L$29,FJ3-1,FJ2),'名簿'!$G$5:$G$49,0)),"")&lt;&gt;"",1,0))</f>
        <v/>
      </c>
      <c r="FK108">
        <f>IF(OR(FJ106=0,INDEX('調整・決定'!$C$6:$L$29,FK3-1,FK2)=""),0,IF(IFERROR(INDEX('名簿'!$F$5:$F$49,MATCH(INDEX('調整・決定'!$C$6:$L$29,FK3-1,FK2),'名簿'!$G$5:$G$49,0)),"")&lt;&gt;"",1,0))</f>
        <v/>
      </c>
      <c r="FL108">
        <f>IF(OR(FK106=0,INDEX('調整・決定'!$C$6:$L$29,FL3-1,FL2)=""),0,IF(IFERROR(INDEX('名簿'!$F$5:$F$49,MATCH(INDEX('調整・決定'!$C$6:$L$29,FL3-1,FL2),'名簿'!$G$5:$G$49,0)),"")&lt;&gt;"",1,0))</f>
        <v/>
      </c>
      <c r="FM108">
        <f>IF(OR(FL106=0,INDEX('調整・決定'!$C$6:$L$29,FM3-1,FM2)=""),0,IF(IFERROR(INDEX('名簿'!$F$5:$F$49,MATCH(INDEX('調整・決定'!$C$6:$L$29,FM3-1,FM2),'名簿'!$G$5:$G$49,0)),"")&lt;&gt;"",1,0))</f>
        <v/>
      </c>
      <c r="FN108">
        <f>IF(OR(FM106=0,INDEX('調整・決定'!$C$6:$L$29,FN3-1,FN2)=""),0,IF(IFERROR(INDEX('名簿'!$F$5:$F$49,MATCH(INDEX('調整・決定'!$C$6:$L$29,FN3-1,FN2),'名簿'!$G$5:$G$49,0)),"")&lt;&gt;"",1,0))</f>
        <v/>
      </c>
      <c r="FO108">
        <f>IF(OR(FN106=0,INDEX('調整・決定'!$C$6:$L$29,FO3-1,FO2)=""),0,IF(IFERROR(INDEX('名簿'!$F$5:$F$49,MATCH(INDEX('調整・決定'!$C$6:$L$29,FO3-1,FO2),'名簿'!$G$5:$G$49,0)),"")&lt;&gt;"",1,0))</f>
        <v/>
      </c>
      <c r="FP108" t="n">
        <v>0</v>
      </c>
      <c r="FQ108">
        <f>IF(OR(FP106=0,INDEX('調整・決定'!$C$6:$L$29,FQ3-1,FQ2)=""),0,IF(IFERROR(INDEX('名簿'!$F$5:$F$49,MATCH(INDEX('調整・決定'!$C$6:$L$29,FQ3-1,FQ2),'名簿'!$G$5:$G$49,0)),"")&lt;&gt;"",1,0))</f>
        <v/>
      </c>
      <c r="FR108">
        <f>IF(OR(FQ106=0,INDEX('調整・決定'!$C$6:$L$29,FR3-1,FR2)=""),0,IF(IFERROR(INDEX('名簿'!$F$5:$F$49,MATCH(INDEX('調整・決定'!$C$6:$L$29,FR3-1,FR2),'名簿'!$G$5:$G$49,0)),"")&lt;&gt;"",1,0))</f>
        <v/>
      </c>
      <c r="FS108">
        <f>IF(OR(FR106=0,INDEX('調整・決定'!$C$6:$L$29,FS3-1,FS2)=""),0,IF(IFERROR(INDEX('名簿'!$F$5:$F$49,MATCH(INDEX('調整・決定'!$C$6:$L$29,FS3-1,FS2),'名簿'!$G$5:$G$49,0)),"")&lt;&gt;"",1,0))</f>
        <v/>
      </c>
      <c r="FT108">
        <f>IF(OR(FS106=0,INDEX('調整・決定'!$C$6:$L$29,FT3-1,FT2)=""),0,IF(IFERROR(INDEX('名簿'!$F$5:$F$49,MATCH(INDEX('調整・決定'!$C$6:$L$29,FT3-1,FT2),'名簿'!$G$5:$G$49,0)),"")&lt;&gt;"",1,0))</f>
        <v/>
      </c>
      <c r="FU108">
        <f>IF(OR(FT106=0,INDEX('調整・決定'!$C$6:$L$29,FU3-1,FU2)=""),0,IF(IFERROR(INDEX('名簿'!$F$5:$F$49,MATCH(INDEX('調整・決定'!$C$6:$L$29,FU3-1,FU2),'名簿'!$G$5:$G$49,0)),"")&lt;&gt;"",1,0))</f>
        <v/>
      </c>
      <c r="FV108">
        <f>IF(OR(FU106=0,INDEX('調整・決定'!$C$6:$L$29,FV3-1,FV2)=""),0,IF(IFERROR(INDEX('名簿'!$F$5:$F$49,MATCH(INDEX('調整・決定'!$C$6:$L$29,FV3-1,FV2),'名簿'!$G$5:$G$49,0)),"")&lt;&gt;"",1,0))</f>
        <v/>
      </c>
      <c r="FW108">
        <f>IF(OR(FV106=0,INDEX('調整・決定'!$C$6:$L$29,FW3-1,FW2)=""),0,IF(IFERROR(INDEX('名簿'!$F$5:$F$49,MATCH(INDEX('調整・決定'!$C$6:$L$29,FW3-1,FW2),'名簿'!$G$5:$G$49,0)),"")&lt;&gt;"",1,0))</f>
        <v/>
      </c>
      <c r="FX108">
        <f>IF(OR(FW106=0,INDEX('調整・決定'!$C$6:$L$29,FX3-1,FX2)=""),0,IF(IFERROR(INDEX('名簿'!$F$5:$F$49,MATCH(INDEX('調整・決定'!$C$6:$L$29,FX3-1,FX2),'名簿'!$G$5:$G$49,0)),"")&lt;&gt;"",1,0))</f>
        <v/>
      </c>
      <c r="FY108">
        <f>IF(OR(FX106=0,INDEX('調整・決定'!$C$6:$L$29,FY3-1,FY2)=""),0,IF(IFERROR(INDEX('名簿'!$F$5:$F$49,MATCH(INDEX('調整・決定'!$C$6:$L$29,FY3-1,FY2),'名簿'!$G$5:$G$49,0)),"")&lt;&gt;"",1,0))</f>
        <v/>
      </c>
      <c r="FZ108">
        <f>IF(OR(FY106=0,INDEX('調整・決定'!$C$6:$L$29,FZ3-1,FZ2)=""),0,IF(IFERROR(INDEX('名簿'!$F$5:$F$49,MATCH(INDEX('調整・決定'!$C$6:$L$29,FZ3-1,FZ2),'名簿'!$G$5:$G$49,0)),"")&lt;&gt;"",1,0))</f>
        <v/>
      </c>
      <c r="GA108">
        <f>IF(OR(FZ106=0,INDEX('調整・決定'!$C$6:$L$29,GA3-1,GA2)=""),0,IF(IFERROR(INDEX('名簿'!$F$5:$F$49,MATCH(INDEX('調整・決定'!$C$6:$L$29,GA3-1,GA2),'名簿'!$G$5:$G$49,0)),"")&lt;&gt;"",1,0))</f>
        <v/>
      </c>
      <c r="GB108">
        <f>IF(OR(GA106=0,INDEX('調整・決定'!$C$6:$L$29,GB3-1,GB2)=""),0,IF(IFERROR(INDEX('名簿'!$F$5:$F$49,MATCH(INDEX('調整・決定'!$C$6:$L$29,GB3-1,GB2),'名簿'!$G$5:$G$49,0)),"")&lt;&gt;"",1,0))</f>
        <v/>
      </c>
      <c r="GC108">
        <f>IF(OR(GB106=0,INDEX('調整・決定'!$C$6:$L$29,GC3-1,GC2)=""),0,IF(IFERROR(INDEX('名簿'!$F$5:$F$49,MATCH(INDEX('調整・決定'!$C$6:$L$29,GC3-1,GC2),'名簿'!$G$5:$G$49,0)),"")&lt;&gt;"",1,0))</f>
        <v/>
      </c>
      <c r="GD108">
        <f>IF(OR(GC106=0,INDEX('調整・決定'!$C$6:$L$29,GD3-1,GD2)=""),0,IF(IFERROR(INDEX('名簿'!$F$5:$F$49,MATCH(INDEX('調整・決定'!$C$6:$L$29,GD3-1,GD2),'名簿'!$G$5:$G$49,0)),"")&lt;&gt;"",1,0))</f>
        <v/>
      </c>
      <c r="GE108">
        <f>IF(OR(GD106=0,INDEX('調整・決定'!$C$6:$L$29,GE3-1,GE2)=""),0,IF(IFERROR(INDEX('名簿'!$F$5:$F$49,MATCH(INDEX('調整・決定'!$C$6:$L$29,GE3-1,GE2),'名簿'!$G$5:$G$49,0)),"")&lt;&gt;"",1,0))</f>
        <v/>
      </c>
      <c r="GF108">
        <f>IF(OR(GE106=0,INDEX('調整・決定'!$C$6:$L$29,GF3-1,GF2)=""),0,IF(IFERROR(INDEX('名簿'!$F$5:$F$49,MATCH(INDEX('調整・決定'!$C$6:$L$29,GF3-1,GF2),'名簿'!$G$5:$G$49,0)),"")&lt;&gt;"",1,0))</f>
        <v/>
      </c>
      <c r="GG108">
        <f>IF(OR(GF106=0,INDEX('調整・決定'!$C$6:$L$29,GG3-1,GG2)=""),0,IF(IFERROR(INDEX('名簿'!$F$5:$F$49,MATCH(INDEX('調整・決定'!$C$6:$L$29,GG3-1,GG2),'名簿'!$G$5:$G$49,0)),"")&lt;&gt;"",1,0))</f>
        <v/>
      </c>
      <c r="GH108">
        <f>IF(OR(GG106=0,INDEX('調整・決定'!$C$6:$L$29,GH3-1,GH2)=""),0,IF(IFERROR(INDEX('名簿'!$F$5:$F$49,MATCH(INDEX('調整・決定'!$C$6:$L$29,GH3-1,GH2),'名簿'!$G$5:$G$49,0)),"")&lt;&gt;"",1,0))</f>
        <v/>
      </c>
      <c r="GI108">
        <f>IF(OR(GH106=0,INDEX('調整・決定'!$C$6:$L$29,GI3-1,GI2)=""),0,IF(IFERROR(INDEX('名簿'!$F$5:$F$49,MATCH(INDEX('調整・決定'!$C$6:$L$29,GI3-1,GI2),'名簿'!$G$5:$G$49,0)),"")&lt;&gt;"",1,0))</f>
        <v/>
      </c>
      <c r="GJ108">
        <f>IF(OR(GI106=0,INDEX('調整・決定'!$C$6:$L$29,GJ3-1,GJ2)=""),0,IF(IFERROR(INDEX('名簿'!$F$5:$F$49,MATCH(INDEX('調整・決定'!$C$6:$L$29,GJ3-1,GJ2),'名簿'!$G$5:$G$49,0)),"")&lt;&gt;"",1,0))</f>
        <v/>
      </c>
      <c r="GK108">
        <f>IF(OR(GJ106=0,INDEX('調整・決定'!$C$6:$L$29,GK3-1,GK2)=""),0,IF(IFERROR(INDEX('名簿'!$F$5:$F$49,MATCH(INDEX('調整・決定'!$C$6:$L$29,GK3-1,GK2),'名簿'!$G$5:$G$49,0)),"")&lt;&gt;"",1,0))</f>
        <v/>
      </c>
      <c r="GL108">
        <f>IF(OR(GK106=0,INDEX('調整・決定'!$C$6:$L$29,GL3-1,GL2)=""),0,IF(IFERROR(INDEX('名簿'!$F$5:$F$49,MATCH(INDEX('調整・決定'!$C$6:$L$29,GL3-1,GL2),'名簿'!$G$5:$G$49,0)),"")&lt;&gt;"",1,0))</f>
        <v/>
      </c>
      <c r="GM108">
        <f>IF(OR(GL106=0,INDEX('調整・決定'!$C$6:$L$29,GM3-1,GM2)=""),0,IF(IFERROR(INDEX('名簿'!$F$5:$F$49,MATCH(INDEX('調整・決定'!$C$6:$L$29,GM3-1,GM2),'名簿'!$G$5:$G$49,0)),"")&lt;&gt;"",1,0))</f>
        <v/>
      </c>
      <c r="GN108" t="n">
        <v>0</v>
      </c>
      <c r="GO108">
        <f>IF(OR(GN106=0,INDEX('調整・決定'!$C$6:$L$29,GO3-1,GO2)=""),0,IF(IFERROR(INDEX('名簿'!$F$5:$F$49,MATCH(INDEX('調整・決定'!$C$6:$L$29,GO3-1,GO2),'名簿'!$G$5:$G$49,0)),"")&lt;&gt;"",1,0))</f>
        <v/>
      </c>
      <c r="GP108">
        <f>IF(OR(GO106=0,INDEX('調整・決定'!$C$6:$L$29,GP3-1,GP2)=""),0,IF(IFERROR(INDEX('名簿'!$F$5:$F$49,MATCH(INDEX('調整・決定'!$C$6:$L$29,GP3-1,GP2),'名簿'!$G$5:$G$49,0)),"")&lt;&gt;"",1,0))</f>
        <v/>
      </c>
      <c r="GQ108">
        <f>IF(OR(GP106=0,INDEX('調整・決定'!$C$6:$L$29,GQ3-1,GQ2)=""),0,IF(IFERROR(INDEX('名簿'!$F$5:$F$49,MATCH(INDEX('調整・決定'!$C$6:$L$29,GQ3-1,GQ2),'名簿'!$G$5:$G$49,0)),"")&lt;&gt;"",1,0))</f>
        <v/>
      </c>
      <c r="GR108">
        <f>IF(OR(GQ106=0,INDEX('調整・決定'!$C$6:$L$29,GR3-1,GR2)=""),0,IF(IFERROR(INDEX('名簿'!$F$5:$F$49,MATCH(INDEX('調整・決定'!$C$6:$L$29,GR3-1,GR2),'名簿'!$G$5:$G$49,0)),"")&lt;&gt;"",1,0))</f>
        <v/>
      </c>
      <c r="GS108">
        <f>IF(OR(GR106=0,INDEX('調整・決定'!$C$6:$L$29,GS3-1,GS2)=""),0,IF(IFERROR(INDEX('名簿'!$F$5:$F$49,MATCH(INDEX('調整・決定'!$C$6:$L$29,GS3-1,GS2),'名簿'!$G$5:$G$49,0)),"")&lt;&gt;"",1,0))</f>
        <v/>
      </c>
      <c r="GT108">
        <f>IF(OR(GS106=0,INDEX('調整・決定'!$C$6:$L$29,GT3-1,GT2)=""),0,IF(IFERROR(INDEX('名簿'!$F$5:$F$49,MATCH(INDEX('調整・決定'!$C$6:$L$29,GT3-1,GT2),'名簿'!$G$5:$G$49,0)),"")&lt;&gt;"",1,0))</f>
        <v/>
      </c>
      <c r="GU108">
        <f>IF(OR(GT106=0,INDEX('調整・決定'!$C$6:$L$29,GU3-1,GU2)=""),0,IF(IFERROR(INDEX('名簿'!$F$5:$F$49,MATCH(INDEX('調整・決定'!$C$6:$L$29,GU3-1,GU2),'名簿'!$G$5:$G$49,0)),"")&lt;&gt;"",1,0))</f>
        <v/>
      </c>
      <c r="GV108">
        <f>IF(OR(GU106=0,INDEX('調整・決定'!$C$6:$L$29,GV3-1,GV2)=""),0,IF(IFERROR(INDEX('名簿'!$F$5:$F$49,MATCH(INDEX('調整・決定'!$C$6:$L$29,GV3-1,GV2),'名簿'!$G$5:$G$49,0)),"")&lt;&gt;"",1,0))</f>
        <v/>
      </c>
      <c r="GW108">
        <f>IF(OR(GV106=0,INDEX('調整・決定'!$C$6:$L$29,GW3-1,GW2)=""),0,IF(IFERROR(INDEX('名簿'!$F$5:$F$49,MATCH(INDEX('調整・決定'!$C$6:$L$29,GW3-1,GW2),'名簿'!$G$5:$G$49,0)),"")&lt;&gt;"",1,0))</f>
        <v/>
      </c>
      <c r="GX108">
        <f>IF(OR(GW106=0,INDEX('調整・決定'!$C$6:$L$29,GX3-1,GX2)=""),0,IF(IFERROR(INDEX('名簿'!$F$5:$F$49,MATCH(INDEX('調整・決定'!$C$6:$L$29,GX3-1,GX2),'名簿'!$G$5:$G$49,0)),"")&lt;&gt;"",1,0))</f>
        <v/>
      </c>
      <c r="GY108">
        <f>IF(OR(GX106=0,INDEX('調整・決定'!$C$6:$L$29,GY3-1,GY2)=""),0,IF(IFERROR(INDEX('名簿'!$F$5:$F$49,MATCH(INDEX('調整・決定'!$C$6:$L$29,GY3-1,GY2),'名簿'!$G$5:$G$49,0)),"")&lt;&gt;"",1,0))</f>
        <v/>
      </c>
      <c r="GZ108">
        <f>IF(OR(GY106=0,INDEX('調整・決定'!$C$6:$L$29,GZ3-1,GZ2)=""),0,IF(IFERROR(INDEX('名簿'!$F$5:$F$49,MATCH(INDEX('調整・決定'!$C$6:$L$29,GZ3-1,GZ2),'名簿'!$G$5:$G$49,0)),"")&lt;&gt;"",1,0))</f>
        <v/>
      </c>
      <c r="HA108">
        <f>IF(OR(GZ106=0,INDEX('調整・決定'!$C$6:$L$29,HA3-1,HA2)=""),0,IF(IFERROR(INDEX('名簿'!$F$5:$F$49,MATCH(INDEX('調整・決定'!$C$6:$L$29,HA3-1,HA2),'名簿'!$G$5:$G$49,0)),"")&lt;&gt;"",1,0))</f>
        <v/>
      </c>
      <c r="HB108">
        <f>IF(OR(HA106=0,INDEX('調整・決定'!$C$6:$L$29,HB3-1,HB2)=""),0,IF(IFERROR(INDEX('名簿'!$F$5:$F$49,MATCH(INDEX('調整・決定'!$C$6:$L$29,HB3-1,HB2),'名簿'!$G$5:$G$49,0)),"")&lt;&gt;"",1,0))</f>
        <v/>
      </c>
      <c r="HC108">
        <f>IF(OR(HB106=0,INDEX('調整・決定'!$C$6:$L$29,HC3-1,HC2)=""),0,IF(IFERROR(INDEX('名簿'!$F$5:$F$49,MATCH(INDEX('調整・決定'!$C$6:$L$29,HC3-1,HC2),'名簿'!$G$5:$G$49,0)),"")&lt;&gt;"",1,0))</f>
        <v/>
      </c>
      <c r="HD108">
        <f>IF(OR(HC106=0,INDEX('調整・決定'!$C$6:$L$29,HD3-1,HD2)=""),0,IF(IFERROR(INDEX('名簿'!$F$5:$F$49,MATCH(INDEX('調整・決定'!$C$6:$L$29,HD3-1,HD2),'名簿'!$G$5:$G$49,0)),"")&lt;&gt;"",1,0))</f>
        <v/>
      </c>
      <c r="HE108">
        <f>IF(OR(HD106=0,INDEX('調整・決定'!$C$6:$L$29,HE3-1,HE2)=""),0,IF(IFERROR(INDEX('名簿'!$F$5:$F$49,MATCH(INDEX('調整・決定'!$C$6:$L$29,HE3-1,HE2),'名簿'!$G$5:$G$49,0)),"")&lt;&gt;"",1,0))</f>
        <v/>
      </c>
      <c r="HF108">
        <f>IF(OR(HE106=0,INDEX('調整・決定'!$C$6:$L$29,HF3-1,HF2)=""),0,IF(IFERROR(INDEX('名簿'!$F$5:$F$49,MATCH(INDEX('調整・決定'!$C$6:$L$29,HF3-1,HF2),'名簿'!$G$5:$G$49,0)),"")&lt;&gt;"",1,0))</f>
        <v/>
      </c>
      <c r="HG108">
        <f>IF(OR(HF106=0,INDEX('調整・決定'!$C$6:$L$29,HG3-1,HG2)=""),0,IF(IFERROR(INDEX('名簿'!$F$5:$F$49,MATCH(INDEX('調整・決定'!$C$6:$L$29,HG3-1,HG2),'名簿'!$G$5:$G$49,0)),"")&lt;&gt;"",1,0))</f>
        <v/>
      </c>
      <c r="HH108">
        <f>IF(OR(HG106=0,INDEX('調整・決定'!$C$6:$L$29,HH3-1,HH2)=""),0,IF(IFERROR(INDEX('名簿'!$F$5:$F$49,MATCH(INDEX('調整・決定'!$C$6:$L$29,HH3-1,HH2),'名簿'!$G$5:$G$49,0)),"")&lt;&gt;"",1,0))</f>
        <v/>
      </c>
      <c r="HI108">
        <f>IF(OR(HH106=0,INDEX('調整・決定'!$C$6:$L$29,HI3-1,HI2)=""),0,IF(IFERROR(INDEX('名簿'!$F$5:$F$49,MATCH(INDEX('調整・決定'!$C$6:$L$29,HI3-1,HI2),'名簿'!$G$5:$G$49,0)),"")&lt;&gt;"",1,0))</f>
        <v/>
      </c>
      <c r="HJ108">
        <f>IF(OR(HI106=0,INDEX('調整・決定'!$C$6:$L$29,HJ3-1,HJ2)=""),0,IF(IFERROR(INDEX('名簿'!$F$5:$F$49,MATCH(INDEX('調整・決定'!$C$6:$L$29,HJ3-1,HJ2),'名簿'!$G$5:$G$49,0)),"")&lt;&gt;"",1,0))</f>
        <v/>
      </c>
      <c r="HK108">
        <f>IF(OR(HJ106=0,INDEX('調整・決定'!$C$6:$L$29,HK3-1,HK2)=""),0,IF(IFERROR(INDEX('名簿'!$F$5:$F$49,MATCH(INDEX('調整・決定'!$C$6:$L$29,HK3-1,HK2),'名簿'!$G$5:$G$49,0)),"")&lt;&gt;"",1,0))</f>
        <v/>
      </c>
      <c r="HL108" t="n">
        <v>0</v>
      </c>
      <c r="HM108">
        <f>IF(OR(HL106=0,INDEX('調整・決定'!$C$6:$L$29,HM3-1,HM2)=""),0,IF(IFERROR(INDEX('名簿'!$F$5:$F$49,MATCH(INDEX('調整・決定'!$C$6:$L$29,HM3-1,HM2),'名簿'!$G$5:$G$49,0)),"")&lt;&gt;"",1,0))</f>
        <v/>
      </c>
      <c r="HN108">
        <f>IF(OR(HM106=0,INDEX('調整・決定'!$C$6:$L$29,HN3-1,HN2)=""),0,IF(IFERROR(INDEX('名簿'!$F$5:$F$49,MATCH(INDEX('調整・決定'!$C$6:$L$29,HN3-1,HN2),'名簿'!$G$5:$G$49,0)),"")&lt;&gt;"",1,0))</f>
        <v/>
      </c>
      <c r="HO108">
        <f>IF(OR(HN106=0,INDEX('調整・決定'!$C$6:$L$29,HO3-1,HO2)=""),0,IF(IFERROR(INDEX('名簿'!$F$5:$F$49,MATCH(INDEX('調整・決定'!$C$6:$L$29,HO3-1,HO2),'名簿'!$G$5:$G$49,0)),"")&lt;&gt;"",1,0))</f>
        <v/>
      </c>
      <c r="HP108">
        <f>IF(OR(HO106=0,INDEX('調整・決定'!$C$6:$L$29,HP3-1,HP2)=""),0,IF(IFERROR(INDEX('名簿'!$F$5:$F$49,MATCH(INDEX('調整・決定'!$C$6:$L$29,HP3-1,HP2),'名簿'!$G$5:$G$49,0)),"")&lt;&gt;"",1,0))</f>
        <v/>
      </c>
      <c r="HQ108">
        <f>IF(OR(HP106=0,INDEX('調整・決定'!$C$6:$L$29,HQ3-1,HQ2)=""),0,IF(IFERROR(INDEX('名簿'!$F$5:$F$49,MATCH(INDEX('調整・決定'!$C$6:$L$29,HQ3-1,HQ2),'名簿'!$G$5:$G$49,0)),"")&lt;&gt;"",1,0))</f>
        <v/>
      </c>
      <c r="HR108">
        <f>IF(OR(HQ106=0,INDEX('調整・決定'!$C$6:$L$29,HR3-1,HR2)=""),0,IF(IFERROR(INDEX('名簿'!$F$5:$F$49,MATCH(INDEX('調整・決定'!$C$6:$L$29,HR3-1,HR2),'名簿'!$G$5:$G$49,0)),"")&lt;&gt;"",1,0))</f>
        <v/>
      </c>
      <c r="HS108">
        <f>IF(OR(HR106=0,INDEX('調整・決定'!$C$6:$L$29,HS3-1,HS2)=""),0,IF(IFERROR(INDEX('名簿'!$F$5:$F$49,MATCH(INDEX('調整・決定'!$C$6:$L$29,HS3-1,HS2),'名簿'!$G$5:$G$49,0)),"")&lt;&gt;"",1,0))</f>
        <v/>
      </c>
      <c r="HT108">
        <f>IF(OR(HS106=0,INDEX('調整・決定'!$C$6:$L$29,HT3-1,HT2)=""),0,IF(IFERROR(INDEX('名簿'!$F$5:$F$49,MATCH(INDEX('調整・決定'!$C$6:$L$29,HT3-1,HT2),'名簿'!$G$5:$G$49,0)),"")&lt;&gt;"",1,0))</f>
        <v/>
      </c>
      <c r="HU108">
        <f>IF(OR(HT106=0,INDEX('調整・決定'!$C$6:$L$29,HU3-1,HU2)=""),0,IF(IFERROR(INDEX('名簿'!$F$5:$F$49,MATCH(INDEX('調整・決定'!$C$6:$L$29,HU3-1,HU2),'名簿'!$G$5:$G$49,0)),"")&lt;&gt;"",1,0))</f>
        <v/>
      </c>
      <c r="HV108">
        <f>IF(OR(HU106=0,INDEX('調整・決定'!$C$6:$L$29,HV3-1,HV2)=""),0,IF(IFERROR(INDEX('名簿'!$F$5:$F$49,MATCH(INDEX('調整・決定'!$C$6:$L$29,HV3-1,HV2),'名簿'!$G$5:$G$49,0)),"")&lt;&gt;"",1,0))</f>
        <v/>
      </c>
      <c r="HW108">
        <f>IF(OR(HV106=0,INDEX('調整・決定'!$C$6:$L$29,HW3-1,HW2)=""),0,IF(IFERROR(INDEX('名簿'!$F$5:$F$49,MATCH(INDEX('調整・決定'!$C$6:$L$29,HW3-1,HW2),'名簿'!$G$5:$G$49,0)),"")&lt;&gt;"",1,0))</f>
        <v/>
      </c>
      <c r="HX108">
        <f>IF(OR(HW106=0,INDEX('調整・決定'!$C$6:$L$29,HX3-1,HX2)=""),0,IF(IFERROR(INDEX('名簿'!$F$5:$F$49,MATCH(INDEX('調整・決定'!$C$6:$L$29,HX3-1,HX2),'名簿'!$G$5:$G$49,0)),"")&lt;&gt;"",1,0))</f>
        <v/>
      </c>
      <c r="HY108">
        <f>IF(OR(HX106=0,INDEX('調整・決定'!$C$6:$L$29,HY3-1,HY2)=""),0,IF(IFERROR(INDEX('名簿'!$F$5:$F$49,MATCH(INDEX('調整・決定'!$C$6:$L$29,HY3-1,HY2),'名簿'!$G$5:$G$49,0)),"")&lt;&gt;"",1,0))</f>
        <v/>
      </c>
      <c r="HZ108">
        <f>IF(OR(HY106=0,INDEX('調整・決定'!$C$6:$L$29,HZ3-1,HZ2)=""),0,IF(IFERROR(INDEX('名簿'!$F$5:$F$49,MATCH(INDEX('調整・決定'!$C$6:$L$29,HZ3-1,HZ2),'名簿'!$G$5:$G$49,0)),"")&lt;&gt;"",1,0))</f>
        <v/>
      </c>
      <c r="IA108">
        <f>IF(OR(HZ106=0,INDEX('調整・決定'!$C$6:$L$29,IA3-1,IA2)=""),0,IF(IFERROR(INDEX('名簿'!$F$5:$F$49,MATCH(INDEX('調整・決定'!$C$6:$L$29,IA3-1,IA2),'名簿'!$G$5:$G$49,0)),"")&lt;&gt;"",1,0))</f>
        <v/>
      </c>
      <c r="IB108">
        <f>IF(OR(IA106=0,INDEX('調整・決定'!$C$6:$L$29,IB3-1,IB2)=""),0,IF(IFERROR(INDEX('名簿'!$F$5:$F$49,MATCH(INDEX('調整・決定'!$C$6:$L$29,IB3-1,IB2),'名簿'!$G$5:$G$49,0)),"")&lt;&gt;"",1,0))</f>
        <v/>
      </c>
      <c r="IC108">
        <f>IF(OR(IB106=0,INDEX('調整・決定'!$C$6:$L$29,IC3-1,IC2)=""),0,IF(IFERROR(INDEX('名簿'!$F$5:$F$49,MATCH(INDEX('調整・決定'!$C$6:$L$29,IC3-1,IC2),'名簿'!$G$5:$G$49,0)),"")&lt;&gt;"",1,0))</f>
        <v/>
      </c>
      <c r="ID108">
        <f>IF(OR(IC106=0,INDEX('調整・決定'!$C$6:$L$29,ID3-1,ID2)=""),0,IF(IFERROR(INDEX('名簿'!$F$5:$F$49,MATCH(INDEX('調整・決定'!$C$6:$L$29,ID3-1,ID2),'名簿'!$G$5:$G$49,0)),"")&lt;&gt;"",1,0))</f>
        <v/>
      </c>
      <c r="IE108">
        <f>IF(OR(ID106=0,INDEX('調整・決定'!$C$6:$L$29,IE3-1,IE2)=""),0,IF(IFERROR(INDEX('名簿'!$F$5:$F$49,MATCH(INDEX('調整・決定'!$C$6:$L$29,IE3-1,IE2),'名簿'!$G$5:$G$49,0)),"")&lt;&gt;"",1,0))</f>
        <v/>
      </c>
      <c r="IF108">
        <f>IF(OR(IE106=0,INDEX('調整・決定'!$C$6:$L$29,IF3-1,IF2)=""),0,IF(IFERROR(INDEX('名簿'!$F$5:$F$49,MATCH(INDEX('調整・決定'!$C$6:$L$29,IF3-1,IF2),'名簿'!$G$5:$G$49,0)),"")&lt;&gt;"",1,0))</f>
        <v/>
      </c>
      <c r="IG108">
        <f>IF(OR(IF106=0,INDEX('調整・決定'!$C$6:$L$29,IG3-1,IG2)=""),0,IF(IFERROR(INDEX('名簿'!$F$5:$F$49,MATCH(INDEX('調整・決定'!$C$6:$L$29,IG3-1,IG2),'名簿'!$G$5:$G$49,0)),"")&lt;&gt;"",1,0))</f>
        <v/>
      </c>
      <c r="IH108">
        <f>IF(OR(IG106=0,INDEX('調整・決定'!$C$6:$L$29,IH3-1,IH2)=""),0,IF(IFERROR(INDEX('名簿'!$F$5:$F$49,MATCH(INDEX('調整・決定'!$C$6:$L$29,IH3-1,IH2),'名簿'!$G$5:$G$49,0)),"")&lt;&gt;"",1,0))</f>
        <v/>
      </c>
      <c r="II108">
        <f>IF(OR(IH106=0,INDEX('調整・決定'!$C$6:$L$29,II3-1,II2)=""),0,IF(IFERROR(INDEX('名簿'!$F$5:$F$49,MATCH(INDEX('調整・決定'!$C$6:$L$29,II3-1,II2),'名簿'!$G$5:$G$49,0)),"")&lt;&gt;"",1,0))</f>
        <v/>
      </c>
    </row>
    <row r="109">
      <c r="C109" t="inlineStr">
        <is>
          <t>人がいる</t>
        </is>
      </c>
      <c r="D109">
        <f>IF(INDEX('調整・決定'!$C$6:$L$29,D3,D2)&lt;&gt;"",1,0)</f>
        <v/>
      </c>
      <c r="E109">
        <f>IF(INDEX('調整・決定'!$C$6:$L$29,E3,E2)&lt;&gt;"",1,0)</f>
        <v/>
      </c>
      <c r="F109">
        <f>IF(INDEX('調整・決定'!$C$6:$L$29,F3,F2)&lt;&gt;"",1,0)</f>
        <v/>
      </c>
      <c r="G109">
        <f>IF(INDEX('調整・決定'!$C$6:$L$29,G3,G2)&lt;&gt;"",1,0)</f>
        <v/>
      </c>
      <c r="H109">
        <f>IF(INDEX('調整・決定'!$C$6:$L$29,H3,H2)&lt;&gt;"",1,0)</f>
        <v/>
      </c>
      <c r="I109">
        <f>IF(INDEX('調整・決定'!$C$6:$L$29,I3,I2)&lt;&gt;"",1,0)</f>
        <v/>
      </c>
      <c r="J109">
        <f>IF(INDEX('調整・決定'!$C$6:$L$29,J3,J2)&lt;&gt;"",1,0)</f>
        <v/>
      </c>
      <c r="K109">
        <f>IF(INDEX('調整・決定'!$C$6:$L$29,K3,K2)&lt;&gt;"",1,0)</f>
        <v/>
      </c>
      <c r="L109">
        <f>IF(INDEX('調整・決定'!$C$6:$L$29,L3,L2)&lt;&gt;"",1,0)</f>
        <v/>
      </c>
      <c r="M109">
        <f>IF(INDEX('調整・決定'!$C$6:$L$29,M3,M2)&lt;&gt;"",1,0)</f>
        <v/>
      </c>
      <c r="N109">
        <f>IF(INDEX('調整・決定'!$C$6:$L$29,N3,N2)&lt;&gt;"",1,0)</f>
        <v/>
      </c>
      <c r="O109">
        <f>IF(INDEX('調整・決定'!$C$6:$L$29,O3,O2)&lt;&gt;"",1,0)</f>
        <v/>
      </c>
      <c r="P109">
        <f>IF(INDEX('調整・決定'!$C$6:$L$29,P3,P2)&lt;&gt;"",1,0)</f>
        <v/>
      </c>
      <c r="Q109">
        <f>IF(INDEX('調整・決定'!$C$6:$L$29,Q3,Q2)&lt;&gt;"",1,0)</f>
        <v/>
      </c>
      <c r="R109">
        <f>IF(INDEX('調整・決定'!$C$6:$L$29,R3,R2)&lt;&gt;"",1,0)</f>
        <v/>
      </c>
      <c r="S109">
        <f>IF(INDEX('調整・決定'!$C$6:$L$29,S3,S2)&lt;&gt;"",1,0)</f>
        <v/>
      </c>
      <c r="T109">
        <f>IF(INDEX('調整・決定'!$C$6:$L$29,T3,T2)&lt;&gt;"",1,0)</f>
        <v/>
      </c>
      <c r="U109">
        <f>IF(INDEX('調整・決定'!$C$6:$L$29,U3,U2)&lt;&gt;"",1,0)</f>
        <v/>
      </c>
      <c r="V109">
        <f>IF(INDEX('調整・決定'!$C$6:$L$29,V3,V2)&lt;&gt;"",1,0)</f>
        <v/>
      </c>
      <c r="W109">
        <f>IF(INDEX('調整・決定'!$C$6:$L$29,W3,W2)&lt;&gt;"",1,0)</f>
        <v/>
      </c>
      <c r="X109">
        <f>IF(INDEX('調整・決定'!$C$6:$L$29,X3,X2)&lt;&gt;"",1,0)</f>
        <v/>
      </c>
      <c r="Y109">
        <f>IF(INDEX('調整・決定'!$C$6:$L$29,Y3,Y2)&lt;&gt;"",1,0)</f>
        <v/>
      </c>
      <c r="Z109">
        <f>IF(INDEX('調整・決定'!$C$6:$L$29,Z3,Z2)&lt;&gt;"",1,0)</f>
        <v/>
      </c>
      <c r="AA109">
        <f>IF(INDEX('調整・決定'!$C$6:$L$29,AA3,AA2)&lt;&gt;"",1,0)</f>
        <v/>
      </c>
      <c r="AB109">
        <f>IF(INDEX('調整・決定'!$C$6:$L$29,AB3,AB2)&lt;&gt;"",1,0)</f>
        <v/>
      </c>
      <c r="AC109">
        <f>IF(INDEX('調整・決定'!$C$6:$L$29,AC3,AC2)&lt;&gt;"",1,0)</f>
        <v/>
      </c>
      <c r="AD109">
        <f>IF(INDEX('調整・決定'!$C$6:$L$29,AD3,AD2)&lt;&gt;"",1,0)</f>
        <v/>
      </c>
      <c r="AE109">
        <f>IF(INDEX('調整・決定'!$C$6:$L$29,AE3,AE2)&lt;&gt;"",1,0)</f>
        <v/>
      </c>
      <c r="AF109">
        <f>IF(INDEX('調整・決定'!$C$6:$L$29,AF3,AF2)&lt;&gt;"",1,0)</f>
        <v/>
      </c>
      <c r="AG109">
        <f>IF(INDEX('調整・決定'!$C$6:$L$29,AG3,AG2)&lt;&gt;"",1,0)</f>
        <v/>
      </c>
      <c r="AH109">
        <f>IF(INDEX('調整・決定'!$C$6:$L$29,AH3,AH2)&lt;&gt;"",1,0)</f>
        <v/>
      </c>
      <c r="AI109">
        <f>IF(INDEX('調整・決定'!$C$6:$L$29,AI3,AI2)&lt;&gt;"",1,0)</f>
        <v/>
      </c>
      <c r="AJ109">
        <f>IF(INDEX('調整・決定'!$C$6:$L$29,AJ3,AJ2)&lt;&gt;"",1,0)</f>
        <v/>
      </c>
      <c r="AK109">
        <f>IF(INDEX('調整・決定'!$C$6:$L$29,AK3,AK2)&lt;&gt;"",1,0)</f>
        <v/>
      </c>
      <c r="AL109">
        <f>IF(INDEX('調整・決定'!$C$6:$L$29,AL3,AL2)&lt;&gt;"",1,0)</f>
        <v/>
      </c>
      <c r="AM109">
        <f>IF(INDEX('調整・決定'!$C$6:$L$29,AM3,AM2)&lt;&gt;"",1,0)</f>
        <v/>
      </c>
      <c r="AN109">
        <f>IF(INDEX('調整・決定'!$C$6:$L$29,AN3,AN2)&lt;&gt;"",1,0)</f>
        <v/>
      </c>
      <c r="AO109">
        <f>IF(INDEX('調整・決定'!$C$6:$L$29,AO3,AO2)&lt;&gt;"",1,0)</f>
        <v/>
      </c>
      <c r="AP109">
        <f>IF(INDEX('調整・決定'!$C$6:$L$29,AP3,AP2)&lt;&gt;"",1,0)</f>
        <v/>
      </c>
      <c r="AQ109">
        <f>IF(INDEX('調整・決定'!$C$6:$L$29,AQ3,AQ2)&lt;&gt;"",1,0)</f>
        <v/>
      </c>
      <c r="AR109">
        <f>IF(INDEX('調整・決定'!$C$6:$L$29,AR3,AR2)&lt;&gt;"",1,0)</f>
        <v/>
      </c>
      <c r="AS109">
        <f>IF(INDEX('調整・決定'!$C$6:$L$29,AS3,AS2)&lt;&gt;"",1,0)</f>
        <v/>
      </c>
      <c r="AT109">
        <f>IF(INDEX('調整・決定'!$C$6:$L$29,AT3,AT2)&lt;&gt;"",1,0)</f>
        <v/>
      </c>
      <c r="AU109">
        <f>IF(INDEX('調整・決定'!$C$6:$L$29,AU3,AU2)&lt;&gt;"",1,0)</f>
        <v/>
      </c>
      <c r="AV109">
        <f>IF(INDEX('調整・決定'!$C$6:$L$29,AV3,AV2)&lt;&gt;"",1,0)</f>
        <v/>
      </c>
      <c r="AW109">
        <f>IF(INDEX('調整・決定'!$C$6:$L$29,AW3,AW2)&lt;&gt;"",1,0)</f>
        <v/>
      </c>
      <c r="AX109">
        <f>IF(INDEX('調整・決定'!$C$6:$L$29,AX3,AX2)&lt;&gt;"",1,0)</f>
        <v/>
      </c>
      <c r="AY109">
        <f>IF(INDEX('調整・決定'!$C$6:$L$29,AY3,AY2)&lt;&gt;"",1,0)</f>
        <v/>
      </c>
      <c r="AZ109">
        <f>IF(INDEX('調整・決定'!$C$6:$L$29,AZ3,AZ2)&lt;&gt;"",1,0)</f>
        <v/>
      </c>
      <c r="BA109">
        <f>IF(INDEX('調整・決定'!$C$6:$L$29,BA3,BA2)&lt;&gt;"",1,0)</f>
        <v/>
      </c>
      <c r="BB109">
        <f>IF(INDEX('調整・決定'!$C$6:$L$29,BB3,BB2)&lt;&gt;"",1,0)</f>
        <v/>
      </c>
      <c r="BC109">
        <f>IF(INDEX('調整・決定'!$C$6:$L$29,BC3,BC2)&lt;&gt;"",1,0)</f>
        <v/>
      </c>
      <c r="BD109">
        <f>IF(INDEX('調整・決定'!$C$6:$L$29,BD3,BD2)&lt;&gt;"",1,0)</f>
        <v/>
      </c>
      <c r="BE109">
        <f>IF(INDEX('調整・決定'!$C$6:$L$29,BE3,BE2)&lt;&gt;"",1,0)</f>
        <v/>
      </c>
      <c r="BF109">
        <f>IF(INDEX('調整・決定'!$C$6:$L$29,BF3,BF2)&lt;&gt;"",1,0)</f>
        <v/>
      </c>
      <c r="BG109">
        <f>IF(INDEX('調整・決定'!$C$6:$L$29,BG3,BG2)&lt;&gt;"",1,0)</f>
        <v/>
      </c>
      <c r="BH109">
        <f>IF(INDEX('調整・決定'!$C$6:$L$29,BH3,BH2)&lt;&gt;"",1,0)</f>
        <v/>
      </c>
      <c r="BI109">
        <f>IF(INDEX('調整・決定'!$C$6:$L$29,BI3,BI2)&lt;&gt;"",1,0)</f>
        <v/>
      </c>
      <c r="BJ109">
        <f>IF(INDEX('調整・決定'!$C$6:$L$29,BJ3,BJ2)&lt;&gt;"",1,0)</f>
        <v/>
      </c>
      <c r="BK109">
        <f>IF(INDEX('調整・決定'!$C$6:$L$29,BK3,BK2)&lt;&gt;"",1,0)</f>
        <v/>
      </c>
      <c r="BL109">
        <f>IF(INDEX('調整・決定'!$C$6:$L$29,BL3,BL2)&lt;&gt;"",1,0)</f>
        <v/>
      </c>
      <c r="BM109">
        <f>IF(INDEX('調整・決定'!$C$6:$L$29,BM3,BM2)&lt;&gt;"",1,0)</f>
        <v/>
      </c>
      <c r="BN109">
        <f>IF(INDEX('調整・決定'!$C$6:$L$29,BN3,BN2)&lt;&gt;"",1,0)</f>
        <v/>
      </c>
      <c r="BO109">
        <f>IF(INDEX('調整・決定'!$C$6:$L$29,BO3,BO2)&lt;&gt;"",1,0)</f>
        <v/>
      </c>
      <c r="BP109">
        <f>IF(INDEX('調整・決定'!$C$6:$L$29,BP3,BP2)&lt;&gt;"",1,0)</f>
        <v/>
      </c>
      <c r="BQ109">
        <f>IF(INDEX('調整・決定'!$C$6:$L$29,BQ3,BQ2)&lt;&gt;"",1,0)</f>
        <v/>
      </c>
      <c r="BR109">
        <f>IF(INDEX('調整・決定'!$C$6:$L$29,BR3,BR2)&lt;&gt;"",1,0)</f>
        <v/>
      </c>
      <c r="BS109">
        <f>IF(INDEX('調整・決定'!$C$6:$L$29,BS3,BS2)&lt;&gt;"",1,0)</f>
        <v/>
      </c>
      <c r="BT109">
        <f>IF(INDEX('調整・決定'!$C$6:$L$29,BT3,BT2)&lt;&gt;"",1,0)</f>
        <v/>
      </c>
      <c r="BU109">
        <f>IF(INDEX('調整・決定'!$C$6:$L$29,BU3,BU2)&lt;&gt;"",1,0)</f>
        <v/>
      </c>
      <c r="BV109">
        <f>IF(INDEX('調整・決定'!$C$6:$L$29,BV3,BV2)&lt;&gt;"",1,0)</f>
        <v/>
      </c>
      <c r="BW109">
        <f>IF(INDEX('調整・決定'!$C$6:$L$29,BW3,BW2)&lt;&gt;"",1,0)</f>
        <v/>
      </c>
      <c r="BX109">
        <f>IF(INDEX('調整・決定'!$C$6:$L$29,BX3,BX2)&lt;&gt;"",1,0)</f>
        <v/>
      </c>
      <c r="BY109">
        <f>IF(INDEX('調整・決定'!$C$6:$L$29,BY3,BY2)&lt;&gt;"",1,0)</f>
        <v/>
      </c>
      <c r="BZ109">
        <f>IF(INDEX('調整・決定'!$C$6:$L$29,BZ3,BZ2)&lt;&gt;"",1,0)</f>
        <v/>
      </c>
      <c r="CA109">
        <f>IF(INDEX('調整・決定'!$C$6:$L$29,CA3,CA2)&lt;&gt;"",1,0)</f>
        <v/>
      </c>
      <c r="CB109">
        <f>IF(INDEX('調整・決定'!$C$6:$L$29,CB3,CB2)&lt;&gt;"",1,0)</f>
        <v/>
      </c>
      <c r="CC109">
        <f>IF(INDEX('調整・決定'!$C$6:$L$29,CC3,CC2)&lt;&gt;"",1,0)</f>
        <v/>
      </c>
      <c r="CD109">
        <f>IF(INDEX('調整・決定'!$C$6:$L$29,CD3,CD2)&lt;&gt;"",1,0)</f>
        <v/>
      </c>
      <c r="CE109">
        <f>IF(INDEX('調整・決定'!$C$6:$L$29,CE3,CE2)&lt;&gt;"",1,0)</f>
        <v/>
      </c>
      <c r="CF109">
        <f>IF(INDEX('調整・決定'!$C$6:$L$29,CF3,CF2)&lt;&gt;"",1,0)</f>
        <v/>
      </c>
      <c r="CG109">
        <f>IF(INDEX('調整・決定'!$C$6:$L$29,CG3,CG2)&lt;&gt;"",1,0)</f>
        <v/>
      </c>
      <c r="CH109">
        <f>IF(INDEX('調整・決定'!$C$6:$L$29,CH3,CH2)&lt;&gt;"",1,0)</f>
        <v/>
      </c>
      <c r="CI109">
        <f>IF(INDEX('調整・決定'!$C$6:$L$29,CI3,CI2)&lt;&gt;"",1,0)</f>
        <v/>
      </c>
      <c r="CJ109">
        <f>IF(INDEX('調整・決定'!$C$6:$L$29,CJ3,CJ2)&lt;&gt;"",1,0)</f>
        <v/>
      </c>
      <c r="CK109">
        <f>IF(INDEX('調整・決定'!$C$6:$L$29,CK3,CK2)&lt;&gt;"",1,0)</f>
        <v/>
      </c>
      <c r="CL109">
        <f>IF(INDEX('調整・決定'!$C$6:$L$29,CL3,CL2)&lt;&gt;"",1,0)</f>
        <v/>
      </c>
      <c r="CM109">
        <f>IF(INDEX('調整・決定'!$C$6:$L$29,CM3,CM2)&lt;&gt;"",1,0)</f>
        <v/>
      </c>
      <c r="CN109">
        <f>IF(INDEX('調整・決定'!$C$6:$L$29,CN3,CN2)&lt;&gt;"",1,0)</f>
        <v/>
      </c>
      <c r="CO109">
        <f>IF(INDEX('調整・決定'!$C$6:$L$29,CO3,CO2)&lt;&gt;"",1,0)</f>
        <v/>
      </c>
      <c r="CP109">
        <f>IF(INDEX('調整・決定'!$C$6:$L$29,CP3,CP2)&lt;&gt;"",1,0)</f>
        <v/>
      </c>
      <c r="CQ109">
        <f>IF(INDEX('調整・決定'!$C$6:$L$29,CQ3,CQ2)&lt;&gt;"",1,0)</f>
        <v/>
      </c>
      <c r="CR109">
        <f>IF(INDEX('調整・決定'!$C$6:$L$29,CR3,CR2)&lt;&gt;"",1,0)</f>
        <v/>
      </c>
      <c r="CS109">
        <f>IF(INDEX('調整・決定'!$C$6:$L$29,CS3,CS2)&lt;&gt;"",1,0)</f>
        <v/>
      </c>
      <c r="CT109">
        <f>IF(INDEX('調整・決定'!$C$6:$L$29,CT3,CT2)&lt;&gt;"",1,0)</f>
        <v/>
      </c>
      <c r="CU109">
        <f>IF(INDEX('調整・決定'!$C$6:$L$29,CU3,CU2)&lt;&gt;"",1,0)</f>
        <v/>
      </c>
      <c r="CV109">
        <f>IF(INDEX('調整・決定'!$C$6:$L$29,CV3,CV2)&lt;&gt;"",1,0)</f>
        <v/>
      </c>
      <c r="CW109">
        <f>IF(INDEX('調整・決定'!$C$6:$L$29,CW3,CW2)&lt;&gt;"",1,0)</f>
        <v/>
      </c>
      <c r="CX109">
        <f>IF(INDEX('調整・決定'!$C$6:$L$29,CX3,CX2)&lt;&gt;"",1,0)</f>
        <v/>
      </c>
      <c r="CY109">
        <f>IF(INDEX('調整・決定'!$C$6:$L$29,CY3,CY2)&lt;&gt;"",1,0)</f>
        <v/>
      </c>
      <c r="CZ109">
        <f>IF(INDEX('調整・決定'!$C$6:$L$29,CZ3,CZ2)&lt;&gt;"",1,0)</f>
        <v/>
      </c>
      <c r="DA109">
        <f>IF(INDEX('調整・決定'!$C$6:$L$29,DA3,DA2)&lt;&gt;"",1,0)</f>
        <v/>
      </c>
      <c r="DB109">
        <f>IF(INDEX('調整・決定'!$C$6:$L$29,DB3,DB2)&lt;&gt;"",1,0)</f>
        <v/>
      </c>
      <c r="DC109">
        <f>IF(INDEX('調整・決定'!$C$6:$L$29,DC3,DC2)&lt;&gt;"",1,0)</f>
        <v/>
      </c>
      <c r="DD109">
        <f>IF(INDEX('調整・決定'!$C$6:$L$29,DD3,DD2)&lt;&gt;"",1,0)</f>
        <v/>
      </c>
      <c r="DE109">
        <f>IF(INDEX('調整・決定'!$C$6:$L$29,DE3,DE2)&lt;&gt;"",1,0)</f>
        <v/>
      </c>
      <c r="DF109">
        <f>IF(INDEX('調整・決定'!$C$6:$L$29,DF3,DF2)&lt;&gt;"",1,0)</f>
        <v/>
      </c>
      <c r="DG109">
        <f>IF(INDEX('調整・決定'!$C$6:$L$29,DG3,DG2)&lt;&gt;"",1,0)</f>
        <v/>
      </c>
      <c r="DH109">
        <f>IF(INDEX('調整・決定'!$C$6:$L$29,DH3,DH2)&lt;&gt;"",1,0)</f>
        <v/>
      </c>
      <c r="DI109">
        <f>IF(INDEX('調整・決定'!$C$6:$L$29,DI3,DI2)&lt;&gt;"",1,0)</f>
        <v/>
      </c>
      <c r="DJ109">
        <f>IF(INDEX('調整・決定'!$C$6:$L$29,DJ3,DJ2)&lt;&gt;"",1,0)</f>
        <v/>
      </c>
      <c r="DK109">
        <f>IF(INDEX('調整・決定'!$C$6:$L$29,DK3,DK2)&lt;&gt;"",1,0)</f>
        <v/>
      </c>
      <c r="DL109">
        <f>IF(INDEX('調整・決定'!$C$6:$L$29,DL3,DL2)&lt;&gt;"",1,0)</f>
        <v/>
      </c>
      <c r="DM109">
        <f>IF(INDEX('調整・決定'!$C$6:$L$29,DM3,DM2)&lt;&gt;"",1,0)</f>
        <v/>
      </c>
      <c r="DN109">
        <f>IF(INDEX('調整・決定'!$C$6:$L$29,DN3,DN2)&lt;&gt;"",1,0)</f>
        <v/>
      </c>
      <c r="DO109">
        <f>IF(INDEX('調整・決定'!$C$6:$L$29,DO3,DO2)&lt;&gt;"",1,0)</f>
        <v/>
      </c>
      <c r="DP109">
        <f>IF(INDEX('調整・決定'!$C$6:$L$29,DP3,DP2)&lt;&gt;"",1,0)</f>
        <v/>
      </c>
      <c r="DQ109">
        <f>IF(INDEX('調整・決定'!$C$6:$L$29,DQ3,DQ2)&lt;&gt;"",1,0)</f>
        <v/>
      </c>
      <c r="DR109">
        <f>IF(INDEX('調整・決定'!$C$6:$L$29,DR3,DR2)&lt;&gt;"",1,0)</f>
        <v/>
      </c>
      <c r="DS109">
        <f>IF(INDEX('調整・決定'!$C$6:$L$29,DS3,DS2)&lt;&gt;"",1,0)</f>
        <v/>
      </c>
      <c r="DT109">
        <f>IF(INDEX('調整・決定'!$C$6:$L$29,DT3,DT2)&lt;&gt;"",1,0)</f>
        <v/>
      </c>
      <c r="DU109">
        <f>IF(INDEX('調整・決定'!$C$6:$L$29,DU3,DU2)&lt;&gt;"",1,0)</f>
        <v/>
      </c>
      <c r="DV109">
        <f>IF(INDEX('調整・決定'!$C$6:$L$29,DV3,DV2)&lt;&gt;"",1,0)</f>
        <v/>
      </c>
      <c r="DW109">
        <f>IF(INDEX('調整・決定'!$C$6:$L$29,DW3,DW2)&lt;&gt;"",1,0)</f>
        <v/>
      </c>
      <c r="DX109">
        <f>IF(INDEX('調整・決定'!$C$6:$L$29,DX3,DX2)&lt;&gt;"",1,0)</f>
        <v/>
      </c>
      <c r="DY109">
        <f>IF(INDEX('調整・決定'!$C$6:$L$29,DY3,DY2)&lt;&gt;"",1,0)</f>
        <v/>
      </c>
      <c r="DZ109">
        <f>IF(INDEX('調整・決定'!$C$6:$L$29,DZ3,DZ2)&lt;&gt;"",1,0)</f>
        <v/>
      </c>
      <c r="EA109">
        <f>IF(INDEX('調整・決定'!$C$6:$L$29,EA3,EA2)&lt;&gt;"",1,0)</f>
        <v/>
      </c>
      <c r="EB109">
        <f>IF(INDEX('調整・決定'!$C$6:$L$29,EB3,EB2)&lt;&gt;"",1,0)</f>
        <v/>
      </c>
      <c r="EC109">
        <f>IF(INDEX('調整・決定'!$C$6:$L$29,EC3,EC2)&lt;&gt;"",1,0)</f>
        <v/>
      </c>
      <c r="ED109">
        <f>IF(INDEX('調整・決定'!$C$6:$L$29,ED3,ED2)&lt;&gt;"",1,0)</f>
        <v/>
      </c>
      <c r="EE109">
        <f>IF(INDEX('調整・決定'!$C$6:$L$29,EE3,EE2)&lt;&gt;"",1,0)</f>
        <v/>
      </c>
      <c r="EF109">
        <f>IF(INDEX('調整・決定'!$C$6:$L$29,EF3,EF2)&lt;&gt;"",1,0)</f>
        <v/>
      </c>
      <c r="EG109">
        <f>IF(INDEX('調整・決定'!$C$6:$L$29,EG3,EG2)&lt;&gt;"",1,0)</f>
        <v/>
      </c>
      <c r="EH109">
        <f>IF(INDEX('調整・決定'!$C$6:$L$29,EH3,EH2)&lt;&gt;"",1,0)</f>
        <v/>
      </c>
      <c r="EI109">
        <f>IF(INDEX('調整・決定'!$C$6:$L$29,EI3,EI2)&lt;&gt;"",1,0)</f>
        <v/>
      </c>
      <c r="EJ109">
        <f>IF(INDEX('調整・決定'!$C$6:$L$29,EJ3,EJ2)&lt;&gt;"",1,0)</f>
        <v/>
      </c>
      <c r="EK109">
        <f>IF(INDEX('調整・決定'!$C$6:$L$29,EK3,EK2)&lt;&gt;"",1,0)</f>
        <v/>
      </c>
      <c r="EL109">
        <f>IF(INDEX('調整・決定'!$C$6:$L$29,EL3,EL2)&lt;&gt;"",1,0)</f>
        <v/>
      </c>
      <c r="EM109">
        <f>IF(INDEX('調整・決定'!$C$6:$L$29,EM3,EM2)&lt;&gt;"",1,0)</f>
        <v/>
      </c>
      <c r="EN109">
        <f>IF(INDEX('調整・決定'!$C$6:$L$29,EN3,EN2)&lt;&gt;"",1,0)</f>
        <v/>
      </c>
      <c r="EO109">
        <f>IF(INDEX('調整・決定'!$C$6:$L$29,EO3,EO2)&lt;&gt;"",1,0)</f>
        <v/>
      </c>
      <c r="EP109">
        <f>IF(INDEX('調整・決定'!$C$6:$L$29,EP3,EP2)&lt;&gt;"",1,0)</f>
        <v/>
      </c>
      <c r="EQ109">
        <f>IF(INDEX('調整・決定'!$C$6:$L$29,EQ3,EQ2)&lt;&gt;"",1,0)</f>
        <v/>
      </c>
      <c r="ER109">
        <f>IF(INDEX('調整・決定'!$C$6:$L$29,ER3,ER2)&lt;&gt;"",1,0)</f>
        <v/>
      </c>
      <c r="ES109">
        <f>IF(INDEX('調整・決定'!$C$6:$L$29,ES3,ES2)&lt;&gt;"",1,0)</f>
        <v/>
      </c>
      <c r="ET109">
        <f>IF(INDEX('調整・決定'!$C$6:$L$29,ET3,ET2)&lt;&gt;"",1,0)</f>
        <v/>
      </c>
      <c r="EU109">
        <f>IF(INDEX('調整・決定'!$C$6:$L$29,EU3,EU2)&lt;&gt;"",1,0)</f>
        <v/>
      </c>
      <c r="EV109">
        <f>IF(INDEX('調整・決定'!$C$6:$L$29,EV3,EV2)&lt;&gt;"",1,0)</f>
        <v/>
      </c>
      <c r="EW109">
        <f>IF(INDEX('調整・決定'!$C$6:$L$29,EW3,EW2)&lt;&gt;"",1,0)</f>
        <v/>
      </c>
      <c r="EX109">
        <f>IF(INDEX('調整・決定'!$C$6:$L$29,EX3,EX2)&lt;&gt;"",1,0)</f>
        <v/>
      </c>
      <c r="EY109">
        <f>IF(INDEX('調整・決定'!$C$6:$L$29,EY3,EY2)&lt;&gt;"",1,0)</f>
        <v/>
      </c>
      <c r="EZ109">
        <f>IF(INDEX('調整・決定'!$C$6:$L$29,EZ3,EZ2)&lt;&gt;"",1,0)</f>
        <v/>
      </c>
      <c r="FA109">
        <f>IF(INDEX('調整・決定'!$C$6:$L$29,FA3,FA2)&lt;&gt;"",1,0)</f>
        <v/>
      </c>
      <c r="FB109">
        <f>IF(INDEX('調整・決定'!$C$6:$L$29,FB3,FB2)&lt;&gt;"",1,0)</f>
        <v/>
      </c>
      <c r="FC109">
        <f>IF(INDEX('調整・決定'!$C$6:$L$29,FC3,FC2)&lt;&gt;"",1,0)</f>
        <v/>
      </c>
      <c r="FD109">
        <f>IF(INDEX('調整・決定'!$C$6:$L$29,FD3,FD2)&lt;&gt;"",1,0)</f>
        <v/>
      </c>
      <c r="FE109">
        <f>IF(INDEX('調整・決定'!$C$6:$L$29,FE3,FE2)&lt;&gt;"",1,0)</f>
        <v/>
      </c>
      <c r="FF109">
        <f>IF(INDEX('調整・決定'!$C$6:$L$29,FF3,FF2)&lt;&gt;"",1,0)</f>
        <v/>
      </c>
      <c r="FG109">
        <f>IF(INDEX('調整・決定'!$C$6:$L$29,FG3,FG2)&lt;&gt;"",1,0)</f>
        <v/>
      </c>
      <c r="FH109">
        <f>IF(INDEX('調整・決定'!$C$6:$L$29,FH3,FH2)&lt;&gt;"",1,0)</f>
        <v/>
      </c>
      <c r="FI109">
        <f>IF(INDEX('調整・決定'!$C$6:$L$29,FI3,FI2)&lt;&gt;"",1,0)</f>
        <v/>
      </c>
      <c r="FJ109">
        <f>IF(INDEX('調整・決定'!$C$6:$L$29,FJ3,FJ2)&lt;&gt;"",1,0)</f>
        <v/>
      </c>
      <c r="FK109">
        <f>IF(INDEX('調整・決定'!$C$6:$L$29,FK3,FK2)&lt;&gt;"",1,0)</f>
        <v/>
      </c>
      <c r="FL109">
        <f>IF(INDEX('調整・決定'!$C$6:$L$29,FL3,FL2)&lt;&gt;"",1,0)</f>
        <v/>
      </c>
      <c r="FM109">
        <f>IF(INDEX('調整・決定'!$C$6:$L$29,FM3,FM2)&lt;&gt;"",1,0)</f>
        <v/>
      </c>
      <c r="FN109">
        <f>IF(INDEX('調整・決定'!$C$6:$L$29,FN3,FN2)&lt;&gt;"",1,0)</f>
        <v/>
      </c>
      <c r="FO109">
        <f>IF(INDEX('調整・決定'!$C$6:$L$29,FO3,FO2)&lt;&gt;"",1,0)</f>
        <v/>
      </c>
      <c r="FP109">
        <f>IF(INDEX('調整・決定'!$C$6:$L$29,FP3,FP2)&lt;&gt;"",1,0)</f>
        <v/>
      </c>
      <c r="FQ109">
        <f>IF(INDEX('調整・決定'!$C$6:$L$29,FQ3,FQ2)&lt;&gt;"",1,0)</f>
        <v/>
      </c>
      <c r="FR109">
        <f>IF(INDEX('調整・決定'!$C$6:$L$29,FR3,FR2)&lt;&gt;"",1,0)</f>
        <v/>
      </c>
      <c r="FS109">
        <f>IF(INDEX('調整・決定'!$C$6:$L$29,FS3,FS2)&lt;&gt;"",1,0)</f>
        <v/>
      </c>
      <c r="FT109">
        <f>IF(INDEX('調整・決定'!$C$6:$L$29,FT3,FT2)&lt;&gt;"",1,0)</f>
        <v/>
      </c>
      <c r="FU109">
        <f>IF(INDEX('調整・決定'!$C$6:$L$29,FU3,FU2)&lt;&gt;"",1,0)</f>
        <v/>
      </c>
      <c r="FV109">
        <f>IF(INDEX('調整・決定'!$C$6:$L$29,FV3,FV2)&lt;&gt;"",1,0)</f>
        <v/>
      </c>
      <c r="FW109">
        <f>IF(INDEX('調整・決定'!$C$6:$L$29,FW3,FW2)&lt;&gt;"",1,0)</f>
        <v/>
      </c>
      <c r="FX109">
        <f>IF(INDEX('調整・決定'!$C$6:$L$29,FX3,FX2)&lt;&gt;"",1,0)</f>
        <v/>
      </c>
      <c r="FY109">
        <f>IF(INDEX('調整・決定'!$C$6:$L$29,FY3,FY2)&lt;&gt;"",1,0)</f>
        <v/>
      </c>
      <c r="FZ109">
        <f>IF(INDEX('調整・決定'!$C$6:$L$29,FZ3,FZ2)&lt;&gt;"",1,0)</f>
        <v/>
      </c>
      <c r="GA109">
        <f>IF(INDEX('調整・決定'!$C$6:$L$29,GA3,GA2)&lt;&gt;"",1,0)</f>
        <v/>
      </c>
      <c r="GB109">
        <f>IF(INDEX('調整・決定'!$C$6:$L$29,GB3,GB2)&lt;&gt;"",1,0)</f>
        <v/>
      </c>
      <c r="GC109">
        <f>IF(INDEX('調整・決定'!$C$6:$L$29,GC3,GC2)&lt;&gt;"",1,0)</f>
        <v/>
      </c>
      <c r="GD109">
        <f>IF(INDEX('調整・決定'!$C$6:$L$29,GD3,GD2)&lt;&gt;"",1,0)</f>
        <v/>
      </c>
      <c r="GE109">
        <f>IF(INDEX('調整・決定'!$C$6:$L$29,GE3,GE2)&lt;&gt;"",1,0)</f>
        <v/>
      </c>
      <c r="GF109">
        <f>IF(INDEX('調整・決定'!$C$6:$L$29,GF3,GF2)&lt;&gt;"",1,0)</f>
        <v/>
      </c>
      <c r="GG109">
        <f>IF(INDEX('調整・決定'!$C$6:$L$29,GG3,GG2)&lt;&gt;"",1,0)</f>
        <v/>
      </c>
      <c r="GH109">
        <f>IF(INDEX('調整・決定'!$C$6:$L$29,GH3,GH2)&lt;&gt;"",1,0)</f>
        <v/>
      </c>
      <c r="GI109">
        <f>IF(INDEX('調整・決定'!$C$6:$L$29,GI3,GI2)&lt;&gt;"",1,0)</f>
        <v/>
      </c>
      <c r="GJ109">
        <f>IF(INDEX('調整・決定'!$C$6:$L$29,GJ3,GJ2)&lt;&gt;"",1,0)</f>
        <v/>
      </c>
      <c r="GK109">
        <f>IF(INDEX('調整・決定'!$C$6:$L$29,GK3,GK2)&lt;&gt;"",1,0)</f>
        <v/>
      </c>
      <c r="GL109">
        <f>IF(INDEX('調整・決定'!$C$6:$L$29,GL3,GL2)&lt;&gt;"",1,0)</f>
        <v/>
      </c>
      <c r="GM109">
        <f>IF(INDEX('調整・決定'!$C$6:$L$29,GM3,GM2)&lt;&gt;"",1,0)</f>
        <v/>
      </c>
      <c r="GN109">
        <f>IF(INDEX('調整・決定'!$C$6:$L$29,GN3,GN2)&lt;&gt;"",1,0)</f>
        <v/>
      </c>
      <c r="GO109">
        <f>IF(INDEX('調整・決定'!$C$6:$L$29,GO3,GO2)&lt;&gt;"",1,0)</f>
        <v/>
      </c>
      <c r="GP109">
        <f>IF(INDEX('調整・決定'!$C$6:$L$29,GP3,GP2)&lt;&gt;"",1,0)</f>
        <v/>
      </c>
      <c r="GQ109">
        <f>IF(INDEX('調整・決定'!$C$6:$L$29,GQ3,GQ2)&lt;&gt;"",1,0)</f>
        <v/>
      </c>
      <c r="GR109">
        <f>IF(INDEX('調整・決定'!$C$6:$L$29,GR3,GR2)&lt;&gt;"",1,0)</f>
        <v/>
      </c>
      <c r="GS109">
        <f>IF(INDEX('調整・決定'!$C$6:$L$29,GS3,GS2)&lt;&gt;"",1,0)</f>
        <v/>
      </c>
      <c r="GT109">
        <f>IF(INDEX('調整・決定'!$C$6:$L$29,GT3,GT2)&lt;&gt;"",1,0)</f>
        <v/>
      </c>
      <c r="GU109">
        <f>IF(INDEX('調整・決定'!$C$6:$L$29,GU3,GU2)&lt;&gt;"",1,0)</f>
        <v/>
      </c>
      <c r="GV109">
        <f>IF(INDEX('調整・決定'!$C$6:$L$29,GV3,GV2)&lt;&gt;"",1,0)</f>
        <v/>
      </c>
      <c r="GW109">
        <f>IF(INDEX('調整・決定'!$C$6:$L$29,GW3,GW2)&lt;&gt;"",1,0)</f>
        <v/>
      </c>
      <c r="GX109">
        <f>IF(INDEX('調整・決定'!$C$6:$L$29,GX3,GX2)&lt;&gt;"",1,0)</f>
        <v/>
      </c>
      <c r="GY109">
        <f>IF(INDEX('調整・決定'!$C$6:$L$29,GY3,GY2)&lt;&gt;"",1,0)</f>
        <v/>
      </c>
      <c r="GZ109">
        <f>IF(INDEX('調整・決定'!$C$6:$L$29,GZ3,GZ2)&lt;&gt;"",1,0)</f>
        <v/>
      </c>
      <c r="HA109">
        <f>IF(INDEX('調整・決定'!$C$6:$L$29,HA3,HA2)&lt;&gt;"",1,0)</f>
        <v/>
      </c>
      <c r="HB109">
        <f>IF(INDEX('調整・決定'!$C$6:$L$29,HB3,HB2)&lt;&gt;"",1,0)</f>
        <v/>
      </c>
      <c r="HC109">
        <f>IF(INDEX('調整・決定'!$C$6:$L$29,HC3,HC2)&lt;&gt;"",1,0)</f>
        <v/>
      </c>
      <c r="HD109">
        <f>IF(INDEX('調整・決定'!$C$6:$L$29,HD3,HD2)&lt;&gt;"",1,0)</f>
        <v/>
      </c>
      <c r="HE109">
        <f>IF(INDEX('調整・決定'!$C$6:$L$29,HE3,HE2)&lt;&gt;"",1,0)</f>
        <v/>
      </c>
      <c r="HF109">
        <f>IF(INDEX('調整・決定'!$C$6:$L$29,HF3,HF2)&lt;&gt;"",1,0)</f>
        <v/>
      </c>
      <c r="HG109">
        <f>IF(INDEX('調整・決定'!$C$6:$L$29,HG3,HG2)&lt;&gt;"",1,0)</f>
        <v/>
      </c>
      <c r="HH109">
        <f>IF(INDEX('調整・決定'!$C$6:$L$29,HH3,HH2)&lt;&gt;"",1,0)</f>
        <v/>
      </c>
      <c r="HI109">
        <f>IF(INDEX('調整・決定'!$C$6:$L$29,HI3,HI2)&lt;&gt;"",1,0)</f>
        <v/>
      </c>
      <c r="HJ109">
        <f>IF(INDEX('調整・決定'!$C$6:$L$29,HJ3,HJ2)&lt;&gt;"",1,0)</f>
        <v/>
      </c>
      <c r="HK109">
        <f>IF(INDEX('調整・決定'!$C$6:$L$29,HK3,HK2)&lt;&gt;"",1,0)</f>
        <v/>
      </c>
      <c r="HL109">
        <f>IF(INDEX('調整・決定'!$C$6:$L$29,HL3,HL2)&lt;&gt;"",1,0)</f>
        <v/>
      </c>
      <c r="HM109">
        <f>IF(INDEX('調整・決定'!$C$6:$L$29,HM3,HM2)&lt;&gt;"",1,0)</f>
        <v/>
      </c>
      <c r="HN109">
        <f>IF(INDEX('調整・決定'!$C$6:$L$29,HN3,HN2)&lt;&gt;"",1,0)</f>
        <v/>
      </c>
      <c r="HO109">
        <f>IF(INDEX('調整・決定'!$C$6:$L$29,HO3,HO2)&lt;&gt;"",1,0)</f>
        <v/>
      </c>
      <c r="HP109">
        <f>IF(INDEX('調整・決定'!$C$6:$L$29,HP3,HP2)&lt;&gt;"",1,0)</f>
        <v/>
      </c>
      <c r="HQ109">
        <f>IF(INDEX('調整・決定'!$C$6:$L$29,HQ3,HQ2)&lt;&gt;"",1,0)</f>
        <v/>
      </c>
      <c r="HR109">
        <f>IF(INDEX('調整・決定'!$C$6:$L$29,HR3,HR2)&lt;&gt;"",1,0)</f>
        <v/>
      </c>
      <c r="HS109">
        <f>IF(INDEX('調整・決定'!$C$6:$L$29,HS3,HS2)&lt;&gt;"",1,0)</f>
        <v/>
      </c>
      <c r="HT109">
        <f>IF(INDEX('調整・決定'!$C$6:$L$29,HT3,HT2)&lt;&gt;"",1,0)</f>
        <v/>
      </c>
      <c r="HU109">
        <f>IF(INDEX('調整・決定'!$C$6:$L$29,HU3,HU2)&lt;&gt;"",1,0)</f>
        <v/>
      </c>
      <c r="HV109">
        <f>IF(INDEX('調整・決定'!$C$6:$L$29,HV3,HV2)&lt;&gt;"",1,0)</f>
        <v/>
      </c>
      <c r="HW109">
        <f>IF(INDEX('調整・決定'!$C$6:$L$29,HW3,HW2)&lt;&gt;"",1,0)</f>
        <v/>
      </c>
      <c r="HX109">
        <f>IF(INDEX('調整・決定'!$C$6:$L$29,HX3,HX2)&lt;&gt;"",1,0)</f>
        <v/>
      </c>
      <c r="HY109">
        <f>IF(INDEX('調整・決定'!$C$6:$L$29,HY3,HY2)&lt;&gt;"",1,0)</f>
        <v/>
      </c>
      <c r="HZ109">
        <f>IF(INDEX('調整・決定'!$C$6:$L$29,HZ3,HZ2)&lt;&gt;"",1,0)</f>
        <v/>
      </c>
      <c r="IA109">
        <f>IF(INDEX('調整・決定'!$C$6:$L$29,IA3,IA2)&lt;&gt;"",1,0)</f>
        <v/>
      </c>
      <c r="IB109">
        <f>IF(INDEX('調整・決定'!$C$6:$L$29,IB3,IB2)&lt;&gt;"",1,0)</f>
        <v/>
      </c>
      <c r="IC109">
        <f>IF(INDEX('調整・決定'!$C$6:$L$29,IC3,IC2)&lt;&gt;"",1,0)</f>
        <v/>
      </c>
      <c r="ID109">
        <f>IF(INDEX('調整・決定'!$C$6:$L$29,ID3,ID2)&lt;&gt;"",1,0)</f>
        <v/>
      </c>
      <c r="IE109">
        <f>IF(INDEX('調整・決定'!$C$6:$L$29,IE3,IE2)&lt;&gt;"",1,0)</f>
        <v/>
      </c>
      <c r="IF109">
        <f>IF(INDEX('調整・決定'!$C$6:$L$29,IF3,IF2)&lt;&gt;"",1,0)</f>
        <v/>
      </c>
      <c r="IG109">
        <f>IF(INDEX('調整・決定'!$C$6:$L$29,IG3,IG2)&lt;&gt;"",1,0)</f>
        <v/>
      </c>
      <c r="IH109">
        <f>IF(INDEX('調整・決定'!$C$6:$L$29,IH3,IH2)&lt;&gt;"",1,0)</f>
        <v/>
      </c>
      <c r="II109">
        <f>IF(INDEX('調整・決定'!$C$6:$L$29,II3,II2)&lt;&gt;"",1,0)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c r="ER110">
        <f>ER6</f>
        <v/>
      </c>
      <c r="ES110">
        <f>ES6</f>
        <v/>
      </c>
      <c r="ET110">
        <f>ET6</f>
        <v/>
      </c>
      <c r="EU110">
        <f>EU6</f>
        <v/>
      </c>
      <c r="EV110">
        <f>EV6</f>
        <v/>
      </c>
      <c r="EW110">
        <f>EW6</f>
        <v/>
      </c>
      <c r="EX110">
        <f>EX6</f>
        <v/>
      </c>
      <c r="EY110">
        <f>EY6</f>
        <v/>
      </c>
      <c r="EZ110">
        <f>EZ6</f>
        <v/>
      </c>
      <c r="FA110">
        <f>FA6</f>
        <v/>
      </c>
      <c r="FB110">
        <f>FB6</f>
        <v/>
      </c>
      <c r="FC110">
        <f>FC6</f>
        <v/>
      </c>
      <c r="FD110">
        <f>FD6</f>
        <v/>
      </c>
      <c r="FE110">
        <f>FE6</f>
        <v/>
      </c>
      <c r="FF110">
        <f>FF6</f>
        <v/>
      </c>
      <c r="FG110">
        <f>FG6</f>
        <v/>
      </c>
      <c r="FH110">
        <f>FH6</f>
        <v/>
      </c>
      <c r="FI110">
        <f>FI6</f>
        <v/>
      </c>
      <c r="FJ110">
        <f>FJ6</f>
        <v/>
      </c>
      <c r="FK110">
        <f>FK6</f>
        <v/>
      </c>
      <c r="FL110">
        <f>FL6</f>
        <v/>
      </c>
      <c r="FM110">
        <f>FM6</f>
        <v/>
      </c>
      <c r="FN110">
        <f>FN6</f>
        <v/>
      </c>
      <c r="FO110">
        <f>FO6</f>
        <v/>
      </c>
      <c r="FP110">
        <f>FP6</f>
        <v/>
      </c>
      <c r="FQ110">
        <f>FQ6</f>
        <v/>
      </c>
      <c r="FR110">
        <f>FR6</f>
        <v/>
      </c>
      <c r="FS110">
        <f>FS6</f>
        <v/>
      </c>
      <c r="FT110">
        <f>FT6</f>
        <v/>
      </c>
      <c r="FU110">
        <f>FU6</f>
        <v/>
      </c>
      <c r="FV110">
        <f>FV6</f>
        <v/>
      </c>
      <c r="FW110">
        <f>FW6</f>
        <v/>
      </c>
      <c r="FX110">
        <f>FX6</f>
        <v/>
      </c>
      <c r="FY110">
        <f>FY6</f>
        <v/>
      </c>
      <c r="FZ110">
        <f>FZ6</f>
        <v/>
      </c>
      <c r="GA110">
        <f>GA6</f>
        <v/>
      </c>
      <c r="GB110">
        <f>GB6</f>
        <v/>
      </c>
      <c r="GC110">
        <f>GC6</f>
        <v/>
      </c>
      <c r="GD110">
        <f>GD6</f>
        <v/>
      </c>
      <c r="GE110">
        <f>GE6</f>
        <v/>
      </c>
      <c r="GF110">
        <f>GF6</f>
        <v/>
      </c>
      <c r="GG110">
        <f>GG6</f>
        <v/>
      </c>
      <c r="GH110">
        <f>GH6</f>
        <v/>
      </c>
      <c r="GI110">
        <f>GI6</f>
        <v/>
      </c>
      <c r="GJ110">
        <f>GJ6</f>
        <v/>
      </c>
      <c r="GK110">
        <f>GK6</f>
        <v/>
      </c>
      <c r="GL110">
        <f>GL6</f>
        <v/>
      </c>
      <c r="GM110">
        <f>GM6</f>
        <v/>
      </c>
      <c r="GN110">
        <f>GN6</f>
        <v/>
      </c>
      <c r="GO110">
        <f>GO6</f>
        <v/>
      </c>
      <c r="GP110">
        <f>GP6</f>
        <v/>
      </c>
      <c r="GQ110">
        <f>GQ6</f>
        <v/>
      </c>
      <c r="GR110">
        <f>GR6</f>
        <v/>
      </c>
      <c r="GS110">
        <f>GS6</f>
        <v/>
      </c>
      <c r="GT110">
        <f>GT6</f>
        <v/>
      </c>
      <c r="GU110">
        <f>GU6</f>
        <v/>
      </c>
      <c r="GV110">
        <f>GV6</f>
        <v/>
      </c>
      <c r="GW110">
        <f>GW6</f>
        <v/>
      </c>
      <c r="GX110">
        <f>GX6</f>
        <v/>
      </c>
      <c r="GY110">
        <f>GY6</f>
        <v/>
      </c>
      <c r="GZ110">
        <f>GZ6</f>
        <v/>
      </c>
      <c r="HA110">
        <f>HA6</f>
        <v/>
      </c>
      <c r="HB110">
        <f>HB6</f>
        <v/>
      </c>
      <c r="HC110">
        <f>HC6</f>
        <v/>
      </c>
      <c r="HD110">
        <f>HD6</f>
        <v/>
      </c>
      <c r="HE110">
        <f>HE6</f>
        <v/>
      </c>
      <c r="HF110">
        <f>HF6</f>
        <v/>
      </c>
      <c r="HG110">
        <f>HG6</f>
        <v/>
      </c>
      <c r="HH110">
        <f>HH6</f>
        <v/>
      </c>
      <c r="HI110">
        <f>HI6</f>
        <v/>
      </c>
      <c r="HJ110">
        <f>HJ6</f>
        <v/>
      </c>
      <c r="HK110">
        <f>HK6</f>
        <v/>
      </c>
      <c r="HL110">
        <f>HL6</f>
        <v/>
      </c>
      <c r="HM110">
        <f>HM6</f>
        <v/>
      </c>
      <c r="HN110">
        <f>HN6</f>
        <v/>
      </c>
      <c r="HO110">
        <f>HO6</f>
        <v/>
      </c>
      <c r="HP110">
        <f>HP6</f>
        <v/>
      </c>
      <c r="HQ110">
        <f>HQ6</f>
        <v/>
      </c>
      <c r="HR110">
        <f>HR6</f>
        <v/>
      </c>
      <c r="HS110">
        <f>HS6</f>
        <v/>
      </c>
      <c r="HT110">
        <f>HT6</f>
        <v/>
      </c>
      <c r="HU110">
        <f>HU6</f>
        <v/>
      </c>
      <c r="HV110">
        <f>HV6</f>
        <v/>
      </c>
      <c r="HW110">
        <f>HW6</f>
        <v/>
      </c>
      <c r="HX110">
        <f>HX6</f>
        <v/>
      </c>
      <c r="HY110">
        <f>HY6</f>
        <v/>
      </c>
      <c r="HZ110">
        <f>HZ6</f>
        <v/>
      </c>
      <c r="IA110">
        <f>IA6</f>
        <v/>
      </c>
      <c r="IB110">
        <f>IB6</f>
        <v/>
      </c>
      <c r="IC110">
        <f>IC6</f>
        <v/>
      </c>
      <c r="ID110">
        <f>ID6</f>
        <v/>
      </c>
      <c r="IE110">
        <f>IE6</f>
        <v/>
      </c>
      <c r="IF110">
        <f>IF6</f>
        <v/>
      </c>
      <c r="IG110">
        <f>IG6</f>
        <v/>
      </c>
      <c r="IH110">
        <f>IH6</f>
        <v/>
      </c>
      <c r="II110">
        <f>II6</f>
        <v/>
      </c>
    </row>
    <row r="111">
      <c r="C111" t="inlineStr">
        <is>
          <t>早い時刻</t>
        </is>
      </c>
      <c r="D111">
        <f>(D3-1)*10+D2+D5*10000</f>
        <v/>
      </c>
      <c r="E111">
        <f>(E3-1)*10+E2+E5*10000</f>
        <v/>
      </c>
      <c r="F111">
        <f>(F3-1)*10+F2+F5*10000</f>
        <v/>
      </c>
      <c r="G111">
        <f>(G3-1)*10+G2+G5*10000</f>
        <v/>
      </c>
      <c r="H111">
        <f>(H3-1)*10+H2+H5*10000</f>
        <v/>
      </c>
      <c r="I111">
        <f>(I3-1)*10+I2+I5*10000</f>
        <v/>
      </c>
      <c r="J111">
        <f>(J3-1)*10+J2+J5*10000</f>
        <v/>
      </c>
      <c r="K111">
        <f>(K3-1)*10+K2+K5*10000</f>
        <v/>
      </c>
      <c r="L111">
        <f>(L3-1)*10+L2+L5*10000</f>
        <v/>
      </c>
      <c r="M111">
        <f>(M3-1)*10+M2+M5*10000</f>
        <v/>
      </c>
      <c r="N111">
        <f>(N3-1)*10+N2+N5*10000</f>
        <v/>
      </c>
      <c r="O111">
        <f>(O3-1)*10+O2+O5*10000</f>
        <v/>
      </c>
      <c r="P111">
        <f>(P3-1)*10+P2+P5*10000</f>
        <v/>
      </c>
      <c r="Q111">
        <f>(Q3-1)*10+Q2+Q5*10000</f>
        <v/>
      </c>
      <c r="R111">
        <f>(R3-1)*10+R2+R5*10000</f>
        <v/>
      </c>
      <c r="S111">
        <f>(S3-1)*10+S2+S5*10000</f>
        <v/>
      </c>
      <c r="T111">
        <f>(T3-1)*10+T2+T5*10000</f>
        <v/>
      </c>
      <c r="U111">
        <f>(U3-1)*10+U2+U5*10000</f>
        <v/>
      </c>
      <c r="V111">
        <f>(V3-1)*10+V2+V5*10000</f>
        <v/>
      </c>
      <c r="W111">
        <f>(W3-1)*10+W2+W5*10000</f>
        <v/>
      </c>
      <c r="X111">
        <f>(X3-1)*10+X2+X5*10000</f>
        <v/>
      </c>
      <c r="Y111">
        <f>(Y3-1)*10+Y2+Y5*10000</f>
        <v/>
      </c>
      <c r="Z111">
        <f>(Z3-1)*10+Z2+Z5*10000</f>
        <v/>
      </c>
      <c r="AA111">
        <f>(AA3-1)*10+AA2+AA5*10000</f>
        <v/>
      </c>
      <c r="AB111">
        <f>(AB3-1)*10+AB2+AB5*10000</f>
        <v/>
      </c>
      <c r="AC111">
        <f>(AC3-1)*10+AC2+AC5*10000</f>
        <v/>
      </c>
      <c r="AD111">
        <f>(AD3-1)*10+AD2+AD5*10000</f>
        <v/>
      </c>
      <c r="AE111">
        <f>(AE3-1)*10+AE2+AE5*10000</f>
        <v/>
      </c>
      <c r="AF111">
        <f>(AF3-1)*10+AF2+AF5*10000</f>
        <v/>
      </c>
      <c r="AG111">
        <f>(AG3-1)*10+AG2+AG5*10000</f>
        <v/>
      </c>
      <c r="AH111">
        <f>(AH3-1)*10+AH2+AH5*10000</f>
        <v/>
      </c>
      <c r="AI111">
        <f>(AI3-1)*10+AI2+AI5*10000</f>
        <v/>
      </c>
      <c r="AJ111">
        <f>(AJ3-1)*10+AJ2+AJ5*10000</f>
        <v/>
      </c>
      <c r="AK111">
        <f>(AK3-1)*10+AK2+AK5*10000</f>
        <v/>
      </c>
      <c r="AL111">
        <f>(AL3-1)*10+AL2+AL5*10000</f>
        <v/>
      </c>
      <c r="AM111">
        <f>(AM3-1)*10+AM2+AM5*10000</f>
        <v/>
      </c>
      <c r="AN111">
        <f>(AN3-1)*10+AN2+AN5*10000</f>
        <v/>
      </c>
      <c r="AO111">
        <f>(AO3-1)*10+AO2+AO5*10000</f>
        <v/>
      </c>
      <c r="AP111">
        <f>(AP3-1)*10+AP2+AP5*10000</f>
        <v/>
      </c>
      <c r="AQ111">
        <f>(AQ3-1)*10+AQ2+AQ5*10000</f>
        <v/>
      </c>
      <c r="AR111">
        <f>(AR3-1)*10+AR2+AR5*10000</f>
        <v/>
      </c>
      <c r="AS111">
        <f>(AS3-1)*10+AS2+AS5*10000</f>
        <v/>
      </c>
      <c r="AT111">
        <f>(AT3-1)*10+AT2+AT5*10000</f>
        <v/>
      </c>
      <c r="AU111">
        <f>(AU3-1)*10+AU2+AU5*10000</f>
        <v/>
      </c>
      <c r="AV111">
        <f>(AV3-1)*10+AV2+AV5*10000</f>
        <v/>
      </c>
      <c r="AW111">
        <f>(AW3-1)*10+AW2+AW5*10000</f>
        <v/>
      </c>
      <c r="AX111">
        <f>(AX3-1)*10+AX2+AX5*10000</f>
        <v/>
      </c>
      <c r="AY111">
        <f>(AY3-1)*10+AY2+AY5*10000</f>
        <v/>
      </c>
      <c r="AZ111">
        <f>(AZ3-1)*10+AZ2+AZ5*10000</f>
        <v/>
      </c>
      <c r="BA111">
        <f>(BA3-1)*10+BA2+BA5*10000</f>
        <v/>
      </c>
      <c r="BB111">
        <f>(BB3-1)*10+BB2+BB5*10000</f>
        <v/>
      </c>
      <c r="BC111">
        <f>(BC3-1)*10+BC2+BC5*10000</f>
        <v/>
      </c>
      <c r="BD111">
        <f>(BD3-1)*10+BD2+BD5*10000</f>
        <v/>
      </c>
      <c r="BE111">
        <f>(BE3-1)*10+BE2+BE5*10000</f>
        <v/>
      </c>
      <c r="BF111">
        <f>(BF3-1)*10+BF2+BF5*10000</f>
        <v/>
      </c>
      <c r="BG111">
        <f>(BG3-1)*10+BG2+BG5*10000</f>
        <v/>
      </c>
      <c r="BH111">
        <f>(BH3-1)*10+BH2+BH5*10000</f>
        <v/>
      </c>
      <c r="BI111">
        <f>(BI3-1)*10+BI2+BI5*10000</f>
        <v/>
      </c>
      <c r="BJ111">
        <f>(BJ3-1)*10+BJ2+BJ5*10000</f>
        <v/>
      </c>
      <c r="BK111">
        <f>(BK3-1)*10+BK2+BK5*10000</f>
        <v/>
      </c>
      <c r="BL111">
        <f>(BL3-1)*10+BL2+BL5*10000</f>
        <v/>
      </c>
      <c r="BM111">
        <f>(BM3-1)*10+BM2+BM5*10000</f>
        <v/>
      </c>
      <c r="BN111">
        <f>(BN3-1)*10+BN2+BN5*10000</f>
        <v/>
      </c>
      <c r="BO111">
        <f>(BO3-1)*10+BO2+BO5*10000</f>
        <v/>
      </c>
      <c r="BP111">
        <f>(BP3-1)*10+BP2+BP5*10000</f>
        <v/>
      </c>
      <c r="BQ111">
        <f>(BQ3-1)*10+BQ2+BQ5*10000</f>
        <v/>
      </c>
      <c r="BR111">
        <f>(BR3-1)*10+BR2+BR5*10000</f>
        <v/>
      </c>
      <c r="BS111">
        <f>(BS3-1)*10+BS2+BS5*10000</f>
        <v/>
      </c>
      <c r="BT111">
        <f>(BT3-1)*10+BT2+BT5*10000</f>
        <v/>
      </c>
      <c r="BU111">
        <f>(BU3-1)*10+BU2+BU5*10000</f>
        <v/>
      </c>
      <c r="BV111">
        <f>(BV3-1)*10+BV2+BV5*10000</f>
        <v/>
      </c>
      <c r="BW111">
        <f>(BW3-1)*10+BW2+BW5*10000</f>
        <v/>
      </c>
      <c r="BX111">
        <f>(BX3-1)*10+BX2+BX5*10000</f>
        <v/>
      </c>
      <c r="BY111">
        <f>(BY3-1)*10+BY2+BY5*10000</f>
        <v/>
      </c>
      <c r="BZ111">
        <f>(BZ3-1)*10+BZ2+BZ5*10000</f>
        <v/>
      </c>
      <c r="CA111">
        <f>(CA3-1)*10+CA2+CA5*10000</f>
        <v/>
      </c>
      <c r="CB111">
        <f>(CB3-1)*10+CB2+CB5*10000</f>
        <v/>
      </c>
      <c r="CC111">
        <f>(CC3-1)*10+CC2+CC5*10000</f>
        <v/>
      </c>
      <c r="CD111">
        <f>(CD3-1)*10+CD2+CD5*10000</f>
        <v/>
      </c>
      <c r="CE111">
        <f>(CE3-1)*10+CE2+CE5*10000</f>
        <v/>
      </c>
      <c r="CF111">
        <f>(CF3-1)*10+CF2+CF5*10000</f>
        <v/>
      </c>
      <c r="CG111">
        <f>(CG3-1)*10+CG2+CG5*10000</f>
        <v/>
      </c>
      <c r="CH111">
        <f>(CH3-1)*10+CH2+CH5*10000</f>
        <v/>
      </c>
      <c r="CI111">
        <f>(CI3-1)*10+CI2+CI5*10000</f>
        <v/>
      </c>
      <c r="CJ111">
        <f>(CJ3-1)*10+CJ2+CJ5*10000</f>
        <v/>
      </c>
      <c r="CK111">
        <f>(CK3-1)*10+CK2+CK5*10000</f>
        <v/>
      </c>
      <c r="CL111">
        <f>(CL3-1)*10+CL2+CL5*10000</f>
        <v/>
      </c>
      <c r="CM111">
        <f>(CM3-1)*10+CM2+CM5*10000</f>
        <v/>
      </c>
      <c r="CN111">
        <f>(CN3-1)*10+CN2+CN5*10000</f>
        <v/>
      </c>
      <c r="CO111">
        <f>(CO3-1)*10+CO2+CO5*10000</f>
        <v/>
      </c>
      <c r="CP111">
        <f>(CP3-1)*10+CP2+CP5*10000</f>
        <v/>
      </c>
      <c r="CQ111">
        <f>(CQ3-1)*10+CQ2+CQ5*10000</f>
        <v/>
      </c>
      <c r="CR111">
        <f>(CR3-1)*10+CR2+CR5*10000</f>
        <v/>
      </c>
      <c r="CS111">
        <f>(CS3-1)*10+CS2+CS5*10000</f>
        <v/>
      </c>
      <c r="CT111">
        <f>(CT3-1)*10+CT2+CT5*10000</f>
        <v/>
      </c>
      <c r="CU111">
        <f>(CU3-1)*10+CU2+CU5*10000</f>
        <v/>
      </c>
      <c r="CV111">
        <f>(CV3-1)*10+CV2+CV5*10000</f>
        <v/>
      </c>
      <c r="CW111">
        <f>(CW3-1)*10+CW2+CW5*10000</f>
        <v/>
      </c>
      <c r="CX111">
        <f>(CX3-1)*10+CX2+CX5*10000</f>
        <v/>
      </c>
      <c r="CY111">
        <f>(CY3-1)*10+CY2+CY5*10000</f>
        <v/>
      </c>
      <c r="CZ111">
        <f>(CZ3-1)*10+CZ2+CZ5*10000</f>
        <v/>
      </c>
      <c r="DA111">
        <f>(DA3-1)*10+DA2+DA5*10000</f>
        <v/>
      </c>
      <c r="DB111">
        <f>(DB3-1)*10+DB2+DB5*10000</f>
        <v/>
      </c>
      <c r="DC111">
        <f>(DC3-1)*10+DC2+DC5*10000</f>
        <v/>
      </c>
      <c r="DD111">
        <f>(DD3-1)*10+DD2+DD5*10000</f>
        <v/>
      </c>
      <c r="DE111">
        <f>(DE3-1)*10+DE2+DE5*10000</f>
        <v/>
      </c>
      <c r="DF111">
        <f>(DF3-1)*10+DF2+DF5*10000</f>
        <v/>
      </c>
      <c r="DG111">
        <f>(DG3-1)*10+DG2+DG5*10000</f>
        <v/>
      </c>
      <c r="DH111">
        <f>(DH3-1)*10+DH2+DH5*10000</f>
        <v/>
      </c>
      <c r="DI111">
        <f>(DI3-1)*10+DI2+DI5*10000</f>
        <v/>
      </c>
      <c r="DJ111">
        <f>(DJ3-1)*10+DJ2+DJ5*10000</f>
        <v/>
      </c>
      <c r="DK111">
        <f>(DK3-1)*10+DK2+DK5*10000</f>
        <v/>
      </c>
      <c r="DL111">
        <f>(DL3-1)*10+DL2+DL5*10000</f>
        <v/>
      </c>
      <c r="DM111">
        <f>(DM3-1)*10+DM2+DM5*10000</f>
        <v/>
      </c>
      <c r="DN111">
        <f>(DN3-1)*10+DN2+DN5*10000</f>
        <v/>
      </c>
      <c r="DO111">
        <f>(DO3-1)*10+DO2+DO5*10000</f>
        <v/>
      </c>
      <c r="DP111">
        <f>(DP3-1)*10+DP2+DP5*10000</f>
        <v/>
      </c>
      <c r="DQ111">
        <f>(DQ3-1)*10+DQ2+DQ5*10000</f>
        <v/>
      </c>
      <c r="DR111">
        <f>(DR3-1)*10+DR2+DR5*10000</f>
        <v/>
      </c>
      <c r="DS111">
        <f>(DS3-1)*10+DS2+DS5*10000</f>
        <v/>
      </c>
      <c r="DT111">
        <f>(DT3-1)*10+DT2+DT5*10000</f>
        <v/>
      </c>
      <c r="DU111">
        <f>(DU3-1)*10+DU2+DU5*10000</f>
        <v/>
      </c>
      <c r="DV111">
        <f>(DV3-1)*10+DV2+DV5*10000</f>
        <v/>
      </c>
      <c r="DW111">
        <f>(DW3-1)*10+DW2+DW5*10000</f>
        <v/>
      </c>
      <c r="DX111">
        <f>(DX3-1)*10+DX2+DX5*10000</f>
        <v/>
      </c>
      <c r="DY111">
        <f>(DY3-1)*10+DY2+DY5*10000</f>
        <v/>
      </c>
      <c r="DZ111">
        <f>(DZ3-1)*10+DZ2+DZ5*10000</f>
        <v/>
      </c>
      <c r="EA111">
        <f>(EA3-1)*10+EA2+EA5*10000</f>
        <v/>
      </c>
      <c r="EB111">
        <f>(EB3-1)*10+EB2+EB5*10000</f>
        <v/>
      </c>
      <c r="EC111">
        <f>(EC3-1)*10+EC2+EC5*10000</f>
        <v/>
      </c>
      <c r="ED111">
        <f>(ED3-1)*10+ED2+ED5*10000</f>
        <v/>
      </c>
      <c r="EE111">
        <f>(EE3-1)*10+EE2+EE5*10000</f>
        <v/>
      </c>
      <c r="EF111">
        <f>(EF3-1)*10+EF2+EF5*10000</f>
        <v/>
      </c>
      <c r="EG111">
        <f>(EG3-1)*10+EG2+EG5*10000</f>
        <v/>
      </c>
      <c r="EH111">
        <f>(EH3-1)*10+EH2+EH5*10000</f>
        <v/>
      </c>
      <c r="EI111">
        <f>(EI3-1)*10+EI2+EI5*10000</f>
        <v/>
      </c>
      <c r="EJ111">
        <f>(EJ3-1)*10+EJ2+EJ5*10000</f>
        <v/>
      </c>
      <c r="EK111">
        <f>(EK3-1)*10+EK2+EK5*10000</f>
        <v/>
      </c>
      <c r="EL111">
        <f>(EL3-1)*10+EL2+EL5*10000</f>
        <v/>
      </c>
      <c r="EM111">
        <f>(EM3-1)*10+EM2+EM5*10000</f>
        <v/>
      </c>
      <c r="EN111">
        <f>(EN3-1)*10+EN2+EN5*10000</f>
        <v/>
      </c>
      <c r="EO111">
        <f>(EO3-1)*10+EO2+EO5*10000</f>
        <v/>
      </c>
      <c r="EP111">
        <f>(EP3-1)*10+EP2+EP5*10000</f>
        <v/>
      </c>
      <c r="EQ111">
        <f>(EQ3-1)*10+EQ2+EQ5*10000</f>
        <v/>
      </c>
      <c r="ER111">
        <f>(ER3-1)*10+ER2+ER5*10000</f>
        <v/>
      </c>
      <c r="ES111">
        <f>(ES3-1)*10+ES2+ES5*10000</f>
        <v/>
      </c>
      <c r="ET111">
        <f>(ET3-1)*10+ET2+ET5*10000</f>
        <v/>
      </c>
      <c r="EU111">
        <f>(EU3-1)*10+EU2+EU5*10000</f>
        <v/>
      </c>
      <c r="EV111">
        <f>(EV3-1)*10+EV2+EV5*10000</f>
        <v/>
      </c>
      <c r="EW111">
        <f>(EW3-1)*10+EW2+EW5*10000</f>
        <v/>
      </c>
      <c r="EX111">
        <f>(EX3-1)*10+EX2+EX5*10000</f>
        <v/>
      </c>
      <c r="EY111">
        <f>(EY3-1)*10+EY2+EY5*10000</f>
        <v/>
      </c>
      <c r="EZ111">
        <f>(EZ3-1)*10+EZ2+EZ5*10000</f>
        <v/>
      </c>
      <c r="FA111">
        <f>(FA3-1)*10+FA2+FA5*10000</f>
        <v/>
      </c>
      <c r="FB111">
        <f>(FB3-1)*10+FB2+FB5*10000</f>
        <v/>
      </c>
      <c r="FC111">
        <f>(FC3-1)*10+FC2+FC5*10000</f>
        <v/>
      </c>
      <c r="FD111">
        <f>(FD3-1)*10+FD2+FD5*10000</f>
        <v/>
      </c>
      <c r="FE111">
        <f>(FE3-1)*10+FE2+FE5*10000</f>
        <v/>
      </c>
      <c r="FF111">
        <f>(FF3-1)*10+FF2+FF5*10000</f>
        <v/>
      </c>
      <c r="FG111">
        <f>(FG3-1)*10+FG2+FG5*10000</f>
        <v/>
      </c>
      <c r="FH111">
        <f>(FH3-1)*10+FH2+FH5*10000</f>
        <v/>
      </c>
      <c r="FI111">
        <f>(FI3-1)*10+FI2+FI5*10000</f>
        <v/>
      </c>
      <c r="FJ111">
        <f>(FJ3-1)*10+FJ2+FJ5*10000</f>
        <v/>
      </c>
      <c r="FK111">
        <f>(FK3-1)*10+FK2+FK5*10000</f>
        <v/>
      </c>
      <c r="FL111">
        <f>(FL3-1)*10+FL2+FL5*10000</f>
        <v/>
      </c>
      <c r="FM111">
        <f>(FM3-1)*10+FM2+FM5*10000</f>
        <v/>
      </c>
      <c r="FN111">
        <f>(FN3-1)*10+FN2+FN5*10000</f>
        <v/>
      </c>
      <c r="FO111">
        <f>(FO3-1)*10+FO2+FO5*10000</f>
        <v/>
      </c>
      <c r="FP111">
        <f>(FP3-1)*10+FP2+FP5*10000</f>
        <v/>
      </c>
      <c r="FQ111">
        <f>(FQ3-1)*10+FQ2+FQ5*10000</f>
        <v/>
      </c>
      <c r="FR111">
        <f>(FR3-1)*10+FR2+FR5*10000</f>
        <v/>
      </c>
      <c r="FS111">
        <f>(FS3-1)*10+FS2+FS5*10000</f>
        <v/>
      </c>
      <c r="FT111">
        <f>(FT3-1)*10+FT2+FT5*10000</f>
        <v/>
      </c>
      <c r="FU111">
        <f>(FU3-1)*10+FU2+FU5*10000</f>
        <v/>
      </c>
      <c r="FV111">
        <f>(FV3-1)*10+FV2+FV5*10000</f>
        <v/>
      </c>
      <c r="FW111">
        <f>(FW3-1)*10+FW2+FW5*10000</f>
        <v/>
      </c>
      <c r="FX111">
        <f>(FX3-1)*10+FX2+FX5*10000</f>
        <v/>
      </c>
      <c r="FY111">
        <f>(FY3-1)*10+FY2+FY5*10000</f>
        <v/>
      </c>
      <c r="FZ111">
        <f>(FZ3-1)*10+FZ2+FZ5*10000</f>
        <v/>
      </c>
      <c r="GA111">
        <f>(GA3-1)*10+GA2+GA5*10000</f>
        <v/>
      </c>
      <c r="GB111">
        <f>(GB3-1)*10+GB2+GB5*10000</f>
        <v/>
      </c>
      <c r="GC111">
        <f>(GC3-1)*10+GC2+GC5*10000</f>
        <v/>
      </c>
      <c r="GD111">
        <f>(GD3-1)*10+GD2+GD5*10000</f>
        <v/>
      </c>
      <c r="GE111">
        <f>(GE3-1)*10+GE2+GE5*10000</f>
        <v/>
      </c>
      <c r="GF111">
        <f>(GF3-1)*10+GF2+GF5*10000</f>
        <v/>
      </c>
      <c r="GG111">
        <f>(GG3-1)*10+GG2+GG5*10000</f>
        <v/>
      </c>
      <c r="GH111">
        <f>(GH3-1)*10+GH2+GH5*10000</f>
        <v/>
      </c>
      <c r="GI111">
        <f>(GI3-1)*10+GI2+GI5*10000</f>
        <v/>
      </c>
      <c r="GJ111">
        <f>(GJ3-1)*10+GJ2+GJ5*10000</f>
        <v/>
      </c>
      <c r="GK111">
        <f>(GK3-1)*10+GK2+GK5*10000</f>
        <v/>
      </c>
      <c r="GL111">
        <f>(GL3-1)*10+GL2+GL5*10000</f>
        <v/>
      </c>
      <c r="GM111">
        <f>(GM3-1)*10+GM2+GM5*10000</f>
        <v/>
      </c>
      <c r="GN111">
        <f>(GN3-1)*10+GN2+GN5*10000</f>
        <v/>
      </c>
      <c r="GO111">
        <f>(GO3-1)*10+GO2+GO5*10000</f>
        <v/>
      </c>
      <c r="GP111">
        <f>(GP3-1)*10+GP2+GP5*10000</f>
        <v/>
      </c>
      <c r="GQ111">
        <f>(GQ3-1)*10+GQ2+GQ5*10000</f>
        <v/>
      </c>
      <c r="GR111">
        <f>(GR3-1)*10+GR2+GR5*10000</f>
        <v/>
      </c>
      <c r="GS111">
        <f>(GS3-1)*10+GS2+GS5*10000</f>
        <v/>
      </c>
      <c r="GT111">
        <f>(GT3-1)*10+GT2+GT5*10000</f>
        <v/>
      </c>
      <c r="GU111">
        <f>(GU3-1)*10+GU2+GU5*10000</f>
        <v/>
      </c>
      <c r="GV111">
        <f>(GV3-1)*10+GV2+GV5*10000</f>
        <v/>
      </c>
      <c r="GW111">
        <f>(GW3-1)*10+GW2+GW5*10000</f>
        <v/>
      </c>
      <c r="GX111">
        <f>(GX3-1)*10+GX2+GX5*10000</f>
        <v/>
      </c>
      <c r="GY111">
        <f>(GY3-1)*10+GY2+GY5*10000</f>
        <v/>
      </c>
      <c r="GZ111">
        <f>(GZ3-1)*10+GZ2+GZ5*10000</f>
        <v/>
      </c>
      <c r="HA111">
        <f>(HA3-1)*10+HA2+HA5*10000</f>
        <v/>
      </c>
      <c r="HB111">
        <f>(HB3-1)*10+HB2+HB5*10000</f>
        <v/>
      </c>
      <c r="HC111">
        <f>(HC3-1)*10+HC2+HC5*10000</f>
        <v/>
      </c>
      <c r="HD111">
        <f>(HD3-1)*10+HD2+HD5*10000</f>
        <v/>
      </c>
      <c r="HE111">
        <f>(HE3-1)*10+HE2+HE5*10000</f>
        <v/>
      </c>
      <c r="HF111">
        <f>(HF3-1)*10+HF2+HF5*10000</f>
        <v/>
      </c>
      <c r="HG111">
        <f>(HG3-1)*10+HG2+HG5*10000</f>
        <v/>
      </c>
      <c r="HH111">
        <f>(HH3-1)*10+HH2+HH5*10000</f>
        <v/>
      </c>
      <c r="HI111">
        <f>(HI3-1)*10+HI2+HI5*10000</f>
        <v/>
      </c>
      <c r="HJ111">
        <f>(HJ3-1)*10+HJ2+HJ5*10000</f>
        <v/>
      </c>
      <c r="HK111">
        <f>(HK3-1)*10+HK2+HK5*10000</f>
        <v/>
      </c>
      <c r="HL111">
        <f>(HL3-1)*10+HL2+HL5*10000</f>
        <v/>
      </c>
      <c r="HM111">
        <f>(HM3-1)*10+HM2+HM5*10000</f>
        <v/>
      </c>
      <c r="HN111">
        <f>(HN3-1)*10+HN2+HN5*10000</f>
        <v/>
      </c>
      <c r="HO111">
        <f>(HO3-1)*10+HO2+HO5*10000</f>
        <v/>
      </c>
      <c r="HP111">
        <f>(HP3-1)*10+HP2+HP5*10000</f>
        <v/>
      </c>
      <c r="HQ111">
        <f>(HQ3-1)*10+HQ2+HQ5*10000</f>
        <v/>
      </c>
      <c r="HR111">
        <f>(HR3-1)*10+HR2+HR5*10000</f>
        <v/>
      </c>
      <c r="HS111">
        <f>(HS3-1)*10+HS2+HS5*10000</f>
        <v/>
      </c>
      <c r="HT111">
        <f>(HT3-1)*10+HT2+HT5*10000</f>
        <v/>
      </c>
      <c r="HU111">
        <f>(HU3-1)*10+HU2+HU5*10000</f>
        <v/>
      </c>
      <c r="HV111">
        <f>(HV3-1)*10+HV2+HV5*10000</f>
        <v/>
      </c>
      <c r="HW111">
        <f>(HW3-1)*10+HW2+HW5*10000</f>
        <v/>
      </c>
      <c r="HX111">
        <f>(HX3-1)*10+HX2+HX5*10000</f>
        <v/>
      </c>
      <c r="HY111">
        <f>(HY3-1)*10+HY2+HY5*10000</f>
        <v/>
      </c>
      <c r="HZ111">
        <f>(HZ3-1)*10+HZ2+HZ5*10000</f>
        <v/>
      </c>
      <c r="IA111">
        <f>(IA3-1)*10+IA2+IA5*10000</f>
        <v/>
      </c>
      <c r="IB111">
        <f>(IB3-1)*10+IB2+IB5*10000</f>
        <v/>
      </c>
      <c r="IC111">
        <f>(IC3-1)*10+IC2+IC5*10000</f>
        <v/>
      </c>
      <c r="ID111">
        <f>(ID3-1)*10+ID2+ID5*10000</f>
        <v/>
      </c>
      <c r="IE111">
        <f>(IE3-1)*10+IE2+IE5*10000</f>
        <v/>
      </c>
      <c r="IF111">
        <f>(IF3-1)*10+IF2+IF5*10000</f>
        <v/>
      </c>
      <c r="IG111">
        <f>(IG3-1)*10+IG2+IG5*10000</f>
        <v/>
      </c>
      <c r="IH111">
        <f>(IH3-1)*10+IH2+IH5*10000</f>
        <v/>
      </c>
      <c r="II111">
        <f>(II3-1)*10+II2+II5*10000</f>
        <v/>
      </c>
    </row>
    <row r="112">
      <c r="C112" t="inlineStr">
        <is>
          <t>遅い時刻</t>
        </is>
      </c>
      <c r="D112">
        <f>(24-D3)*10+D2+D5*10000</f>
        <v/>
      </c>
      <c r="E112">
        <f>(24-E3)*10+E2+E5*10000</f>
        <v/>
      </c>
      <c r="F112">
        <f>(24-F3)*10+F2+F5*10000</f>
        <v/>
      </c>
      <c r="G112">
        <f>(24-G3)*10+G2+G5*10000</f>
        <v/>
      </c>
      <c r="H112">
        <f>(24-H3)*10+H2+H5*10000</f>
        <v/>
      </c>
      <c r="I112">
        <f>(24-I3)*10+I2+I5*10000</f>
        <v/>
      </c>
      <c r="J112">
        <f>(24-J3)*10+J2+J5*10000</f>
        <v/>
      </c>
      <c r="K112">
        <f>(24-K3)*10+K2+K5*10000</f>
        <v/>
      </c>
      <c r="L112">
        <f>(24-L3)*10+L2+L5*10000</f>
        <v/>
      </c>
      <c r="M112">
        <f>(24-M3)*10+M2+M5*10000</f>
        <v/>
      </c>
      <c r="N112">
        <f>(24-N3)*10+N2+N5*10000</f>
        <v/>
      </c>
      <c r="O112">
        <f>(24-O3)*10+O2+O5*10000</f>
        <v/>
      </c>
      <c r="P112">
        <f>(24-P3)*10+P2+P5*10000</f>
        <v/>
      </c>
      <c r="Q112">
        <f>(24-Q3)*10+Q2+Q5*10000</f>
        <v/>
      </c>
      <c r="R112">
        <f>(24-R3)*10+R2+R5*10000</f>
        <v/>
      </c>
      <c r="S112">
        <f>(24-S3)*10+S2+S5*10000</f>
        <v/>
      </c>
      <c r="T112">
        <f>(24-T3)*10+T2+T5*10000</f>
        <v/>
      </c>
      <c r="U112">
        <f>(24-U3)*10+U2+U5*10000</f>
        <v/>
      </c>
      <c r="V112">
        <f>(24-V3)*10+V2+V5*10000</f>
        <v/>
      </c>
      <c r="W112">
        <f>(24-W3)*10+W2+W5*10000</f>
        <v/>
      </c>
      <c r="X112">
        <f>(24-X3)*10+X2+X5*10000</f>
        <v/>
      </c>
      <c r="Y112">
        <f>(24-Y3)*10+Y2+Y5*10000</f>
        <v/>
      </c>
      <c r="Z112">
        <f>(24-Z3)*10+Z2+Z5*10000</f>
        <v/>
      </c>
      <c r="AA112">
        <f>(24-AA3)*10+AA2+AA5*10000</f>
        <v/>
      </c>
      <c r="AB112">
        <f>(24-AB3)*10+AB2+AB5*10000</f>
        <v/>
      </c>
      <c r="AC112">
        <f>(24-AC3)*10+AC2+AC5*10000</f>
        <v/>
      </c>
      <c r="AD112">
        <f>(24-AD3)*10+AD2+AD5*10000</f>
        <v/>
      </c>
      <c r="AE112">
        <f>(24-AE3)*10+AE2+AE5*10000</f>
        <v/>
      </c>
      <c r="AF112">
        <f>(24-AF3)*10+AF2+AF5*10000</f>
        <v/>
      </c>
      <c r="AG112">
        <f>(24-AG3)*10+AG2+AG5*10000</f>
        <v/>
      </c>
      <c r="AH112">
        <f>(24-AH3)*10+AH2+AH5*10000</f>
        <v/>
      </c>
      <c r="AI112">
        <f>(24-AI3)*10+AI2+AI5*10000</f>
        <v/>
      </c>
      <c r="AJ112">
        <f>(24-AJ3)*10+AJ2+AJ5*10000</f>
        <v/>
      </c>
      <c r="AK112">
        <f>(24-AK3)*10+AK2+AK5*10000</f>
        <v/>
      </c>
      <c r="AL112">
        <f>(24-AL3)*10+AL2+AL5*10000</f>
        <v/>
      </c>
      <c r="AM112">
        <f>(24-AM3)*10+AM2+AM5*10000</f>
        <v/>
      </c>
      <c r="AN112">
        <f>(24-AN3)*10+AN2+AN5*10000</f>
        <v/>
      </c>
      <c r="AO112">
        <f>(24-AO3)*10+AO2+AO5*10000</f>
        <v/>
      </c>
      <c r="AP112">
        <f>(24-AP3)*10+AP2+AP5*10000</f>
        <v/>
      </c>
      <c r="AQ112">
        <f>(24-AQ3)*10+AQ2+AQ5*10000</f>
        <v/>
      </c>
      <c r="AR112">
        <f>(24-AR3)*10+AR2+AR5*10000</f>
        <v/>
      </c>
      <c r="AS112">
        <f>(24-AS3)*10+AS2+AS5*10000</f>
        <v/>
      </c>
      <c r="AT112">
        <f>(24-AT3)*10+AT2+AT5*10000</f>
        <v/>
      </c>
      <c r="AU112">
        <f>(24-AU3)*10+AU2+AU5*10000</f>
        <v/>
      </c>
      <c r="AV112">
        <f>(24-AV3)*10+AV2+AV5*10000</f>
        <v/>
      </c>
      <c r="AW112">
        <f>(24-AW3)*10+AW2+AW5*10000</f>
        <v/>
      </c>
      <c r="AX112">
        <f>(24-AX3)*10+AX2+AX5*10000</f>
        <v/>
      </c>
      <c r="AY112">
        <f>(24-AY3)*10+AY2+AY5*10000</f>
        <v/>
      </c>
      <c r="AZ112">
        <f>(24-AZ3)*10+AZ2+AZ5*10000</f>
        <v/>
      </c>
      <c r="BA112">
        <f>(24-BA3)*10+BA2+BA5*10000</f>
        <v/>
      </c>
      <c r="BB112">
        <f>(24-BB3)*10+BB2+BB5*10000</f>
        <v/>
      </c>
      <c r="BC112">
        <f>(24-BC3)*10+BC2+BC5*10000</f>
        <v/>
      </c>
      <c r="BD112">
        <f>(24-BD3)*10+BD2+BD5*10000</f>
        <v/>
      </c>
      <c r="BE112">
        <f>(24-BE3)*10+BE2+BE5*10000</f>
        <v/>
      </c>
      <c r="BF112">
        <f>(24-BF3)*10+BF2+BF5*10000</f>
        <v/>
      </c>
      <c r="BG112">
        <f>(24-BG3)*10+BG2+BG5*10000</f>
        <v/>
      </c>
      <c r="BH112">
        <f>(24-BH3)*10+BH2+BH5*10000</f>
        <v/>
      </c>
      <c r="BI112">
        <f>(24-BI3)*10+BI2+BI5*10000</f>
        <v/>
      </c>
      <c r="BJ112">
        <f>(24-BJ3)*10+BJ2+BJ5*10000</f>
        <v/>
      </c>
      <c r="BK112">
        <f>(24-BK3)*10+BK2+BK5*10000</f>
        <v/>
      </c>
      <c r="BL112">
        <f>(24-BL3)*10+BL2+BL5*10000</f>
        <v/>
      </c>
      <c r="BM112">
        <f>(24-BM3)*10+BM2+BM5*10000</f>
        <v/>
      </c>
      <c r="BN112">
        <f>(24-BN3)*10+BN2+BN5*10000</f>
        <v/>
      </c>
      <c r="BO112">
        <f>(24-BO3)*10+BO2+BO5*10000</f>
        <v/>
      </c>
      <c r="BP112">
        <f>(24-BP3)*10+BP2+BP5*10000</f>
        <v/>
      </c>
      <c r="BQ112">
        <f>(24-BQ3)*10+BQ2+BQ5*10000</f>
        <v/>
      </c>
      <c r="BR112">
        <f>(24-BR3)*10+BR2+BR5*10000</f>
        <v/>
      </c>
      <c r="BS112">
        <f>(24-BS3)*10+BS2+BS5*10000</f>
        <v/>
      </c>
      <c r="BT112">
        <f>(24-BT3)*10+BT2+BT5*10000</f>
        <v/>
      </c>
      <c r="BU112">
        <f>(24-BU3)*10+BU2+BU5*10000</f>
        <v/>
      </c>
      <c r="BV112">
        <f>(24-BV3)*10+BV2+BV5*10000</f>
        <v/>
      </c>
      <c r="BW112">
        <f>(24-BW3)*10+BW2+BW5*10000</f>
        <v/>
      </c>
      <c r="BX112">
        <f>(24-BX3)*10+BX2+BX5*10000</f>
        <v/>
      </c>
      <c r="BY112">
        <f>(24-BY3)*10+BY2+BY5*10000</f>
        <v/>
      </c>
      <c r="BZ112">
        <f>(24-BZ3)*10+BZ2+BZ5*10000</f>
        <v/>
      </c>
      <c r="CA112">
        <f>(24-CA3)*10+CA2+CA5*10000</f>
        <v/>
      </c>
      <c r="CB112">
        <f>(24-CB3)*10+CB2+CB5*10000</f>
        <v/>
      </c>
      <c r="CC112">
        <f>(24-CC3)*10+CC2+CC5*10000</f>
        <v/>
      </c>
      <c r="CD112">
        <f>(24-CD3)*10+CD2+CD5*10000</f>
        <v/>
      </c>
      <c r="CE112">
        <f>(24-CE3)*10+CE2+CE5*10000</f>
        <v/>
      </c>
      <c r="CF112">
        <f>(24-CF3)*10+CF2+CF5*10000</f>
        <v/>
      </c>
      <c r="CG112">
        <f>(24-CG3)*10+CG2+CG5*10000</f>
        <v/>
      </c>
      <c r="CH112">
        <f>(24-CH3)*10+CH2+CH5*10000</f>
        <v/>
      </c>
      <c r="CI112">
        <f>(24-CI3)*10+CI2+CI5*10000</f>
        <v/>
      </c>
      <c r="CJ112">
        <f>(24-CJ3)*10+CJ2+CJ5*10000</f>
        <v/>
      </c>
      <c r="CK112">
        <f>(24-CK3)*10+CK2+CK5*10000</f>
        <v/>
      </c>
      <c r="CL112">
        <f>(24-CL3)*10+CL2+CL5*10000</f>
        <v/>
      </c>
      <c r="CM112">
        <f>(24-CM3)*10+CM2+CM5*10000</f>
        <v/>
      </c>
      <c r="CN112">
        <f>(24-CN3)*10+CN2+CN5*10000</f>
        <v/>
      </c>
      <c r="CO112">
        <f>(24-CO3)*10+CO2+CO5*10000</f>
        <v/>
      </c>
      <c r="CP112">
        <f>(24-CP3)*10+CP2+CP5*10000</f>
        <v/>
      </c>
      <c r="CQ112">
        <f>(24-CQ3)*10+CQ2+CQ5*10000</f>
        <v/>
      </c>
      <c r="CR112">
        <f>(24-CR3)*10+CR2+CR5*10000</f>
        <v/>
      </c>
      <c r="CS112">
        <f>(24-CS3)*10+CS2+CS5*10000</f>
        <v/>
      </c>
      <c r="CT112">
        <f>(24-CT3)*10+CT2+CT5*10000</f>
        <v/>
      </c>
      <c r="CU112">
        <f>(24-CU3)*10+CU2+CU5*10000</f>
        <v/>
      </c>
      <c r="CV112">
        <f>(24-CV3)*10+CV2+CV5*10000</f>
        <v/>
      </c>
      <c r="CW112">
        <f>(24-CW3)*10+CW2+CW5*10000</f>
        <v/>
      </c>
      <c r="CX112">
        <f>(24-CX3)*10+CX2+CX5*10000</f>
        <v/>
      </c>
      <c r="CY112">
        <f>(24-CY3)*10+CY2+CY5*10000</f>
        <v/>
      </c>
      <c r="CZ112">
        <f>(24-CZ3)*10+CZ2+CZ5*10000</f>
        <v/>
      </c>
      <c r="DA112">
        <f>(24-DA3)*10+DA2+DA5*10000</f>
        <v/>
      </c>
      <c r="DB112">
        <f>(24-DB3)*10+DB2+DB5*10000</f>
        <v/>
      </c>
      <c r="DC112">
        <f>(24-DC3)*10+DC2+DC5*10000</f>
        <v/>
      </c>
      <c r="DD112">
        <f>(24-DD3)*10+DD2+DD5*10000</f>
        <v/>
      </c>
      <c r="DE112">
        <f>(24-DE3)*10+DE2+DE5*10000</f>
        <v/>
      </c>
      <c r="DF112">
        <f>(24-DF3)*10+DF2+DF5*10000</f>
        <v/>
      </c>
      <c r="DG112">
        <f>(24-DG3)*10+DG2+DG5*10000</f>
        <v/>
      </c>
      <c r="DH112">
        <f>(24-DH3)*10+DH2+DH5*10000</f>
        <v/>
      </c>
      <c r="DI112">
        <f>(24-DI3)*10+DI2+DI5*10000</f>
        <v/>
      </c>
      <c r="DJ112">
        <f>(24-DJ3)*10+DJ2+DJ5*10000</f>
        <v/>
      </c>
      <c r="DK112">
        <f>(24-DK3)*10+DK2+DK5*10000</f>
        <v/>
      </c>
      <c r="DL112">
        <f>(24-DL3)*10+DL2+DL5*10000</f>
        <v/>
      </c>
      <c r="DM112">
        <f>(24-DM3)*10+DM2+DM5*10000</f>
        <v/>
      </c>
      <c r="DN112">
        <f>(24-DN3)*10+DN2+DN5*10000</f>
        <v/>
      </c>
      <c r="DO112">
        <f>(24-DO3)*10+DO2+DO5*10000</f>
        <v/>
      </c>
      <c r="DP112">
        <f>(24-DP3)*10+DP2+DP5*10000</f>
        <v/>
      </c>
      <c r="DQ112">
        <f>(24-DQ3)*10+DQ2+DQ5*10000</f>
        <v/>
      </c>
      <c r="DR112">
        <f>(24-DR3)*10+DR2+DR5*10000</f>
        <v/>
      </c>
      <c r="DS112">
        <f>(24-DS3)*10+DS2+DS5*10000</f>
        <v/>
      </c>
      <c r="DT112">
        <f>(24-DT3)*10+DT2+DT5*10000</f>
        <v/>
      </c>
      <c r="DU112">
        <f>(24-DU3)*10+DU2+DU5*10000</f>
        <v/>
      </c>
      <c r="DV112">
        <f>(24-DV3)*10+DV2+DV5*10000</f>
        <v/>
      </c>
      <c r="DW112">
        <f>(24-DW3)*10+DW2+DW5*10000</f>
        <v/>
      </c>
      <c r="DX112">
        <f>(24-DX3)*10+DX2+DX5*10000</f>
        <v/>
      </c>
      <c r="DY112">
        <f>(24-DY3)*10+DY2+DY5*10000</f>
        <v/>
      </c>
      <c r="DZ112">
        <f>(24-DZ3)*10+DZ2+DZ5*10000</f>
        <v/>
      </c>
      <c r="EA112">
        <f>(24-EA3)*10+EA2+EA5*10000</f>
        <v/>
      </c>
      <c r="EB112">
        <f>(24-EB3)*10+EB2+EB5*10000</f>
        <v/>
      </c>
      <c r="EC112">
        <f>(24-EC3)*10+EC2+EC5*10000</f>
        <v/>
      </c>
      <c r="ED112">
        <f>(24-ED3)*10+ED2+ED5*10000</f>
        <v/>
      </c>
      <c r="EE112">
        <f>(24-EE3)*10+EE2+EE5*10000</f>
        <v/>
      </c>
      <c r="EF112">
        <f>(24-EF3)*10+EF2+EF5*10000</f>
        <v/>
      </c>
      <c r="EG112">
        <f>(24-EG3)*10+EG2+EG5*10000</f>
        <v/>
      </c>
      <c r="EH112">
        <f>(24-EH3)*10+EH2+EH5*10000</f>
        <v/>
      </c>
      <c r="EI112">
        <f>(24-EI3)*10+EI2+EI5*10000</f>
        <v/>
      </c>
      <c r="EJ112">
        <f>(24-EJ3)*10+EJ2+EJ5*10000</f>
        <v/>
      </c>
      <c r="EK112">
        <f>(24-EK3)*10+EK2+EK5*10000</f>
        <v/>
      </c>
      <c r="EL112">
        <f>(24-EL3)*10+EL2+EL5*10000</f>
        <v/>
      </c>
      <c r="EM112">
        <f>(24-EM3)*10+EM2+EM5*10000</f>
        <v/>
      </c>
      <c r="EN112">
        <f>(24-EN3)*10+EN2+EN5*10000</f>
        <v/>
      </c>
      <c r="EO112">
        <f>(24-EO3)*10+EO2+EO5*10000</f>
        <v/>
      </c>
      <c r="EP112">
        <f>(24-EP3)*10+EP2+EP5*10000</f>
        <v/>
      </c>
      <c r="EQ112">
        <f>(24-EQ3)*10+EQ2+EQ5*10000</f>
        <v/>
      </c>
      <c r="ER112">
        <f>(24-ER3)*10+ER2+ER5*10000</f>
        <v/>
      </c>
      <c r="ES112">
        <f>(24-ES3)*10+ES2+ES5*10000</f>
        <v/>
      </c>
      <c r="ET112">
        <f>(24-ET3)*10+ET2+ET5*10000</f>
        <v/>
      </c>
      <c r="EU112">
        <f>(24-EU3)*10+EU2+EU5*10000</f>
        <v/>
      </c>
      <c r="EV112">
        <f>(24-EV3)*10+EV2+EV5*10000</f>
        <v/>
      </c>
      <c r="EW112">
        <f>(24-EW3)*10+EW2+EW5*10000</f>
        <v/>
      </c>
      <c r="EX112">
        <f>(24-EX3)*10+EX2+EX5*10000</f>
        <v/>
      </c>
      <c r="EY112">
        <f>(24-EY3)*10+EY2+EY5*10000</f>
        <v/>
      </c>
      <c r="EZ112">
        <f>(24-EZ3)*10+EZ2+EZ5*10000</f>
        <v/>
      </c>
      <c r="FA112">
        <f>(24-FA3)*10+FA2+FA5*10000</f>
        <v/>
      </c>
      <c r="FB112">
        <f>(24-FB3)*10+FB2+FB5*10000</f>
        <v/>
      </c>
      <c r="FC112">
        <f>(24-FC3)*10+FC2+FC5*10000</f>
        <v/>
      </c>
      <c r="FD112">
        <f>(24-FD3)*10+FD2+FD5*10000</f>
        <v/>
      </c>
      <c r="FE112">
        <f>(24-FE3)*10+FE2+FE5*10000</f>
        <v/>
      </c>
      <c r="FF112">
        <f>(24-FF3)*10+FF2+FF5*10000</f>
        <v/>
      </c>
      <c r="FG112">
        <f>(24-FG3)*10+FG2+FG5*10000</f>
        <v/>
      </c>
      <c r="FH112">
        <f>(24-FH3)*10+FH2+FH5*10000</f>
        <v/>
      </c>
      <c r="FI112">
        <f>(24-FI3)*10+FI2+FI5*10000</f>
        <v/>
      </c>
      <c r="FJ112">
        <f>(24-FJ3)*10+FJ2+FJ5*10000</f>
        <v/>
      </c>
      <c r="FK112">
        <f>(24-FK3)*10+FK2+FK5*10000</f>
        <v/>
      </c>
      <c r="FL112">
        <f>(24-FL3)*10+FL2+FL5*10000</f>
        <v/>
      </c>
      <c r="FM112">
        <f>(24-FM3)*10+FM2+FM5*10000</f>
        <v/>
      </c>
      <c r="FN112">
        <f>(24-FN3)*10+FN2+FN5*10000</f>
        <v/>
      </c>
      <c r="FO112">
        <f>(24-FO3)*10+FO2+FO5*10000</f>
        <v/>
      </c>
      <c r="FP112">
        <f>(24-FP3)*10+FP2+FP5*10000</f>
        <v/>
      </c>
      <c r="FQ112">
        <f>(24-FQ3)*10+FQ2+FQ5*10000</f>
        <v/>
      </c>
      <c r="FR112">
        <f>(24-FR3)*10+FR2+FR5*10000</f>
        <v/>
      </c>
      <c r="FS112">
        <f>(24-FS3)*10+FS2+FS5*10000</f>
        <v/>
      </c>
      <c r="FT112">
        <f>(24-FT3)*10+FT2+FT5*10000</f>
        <v/>
      </c>
      <c r="FU112">
        <f>(24-FU3)*10+FU2+FU5*10000</f>
        <v/>
      </c>
      <c r="FV112">
        <f>(24-FV3)*10+FV2+FV5*10000</f>
        <v/>
      </c>
      <c r="FW112">
        <f>(24-FW3)*10+FW2+FW5*10000</f>
        <v/>
      </c>
      <c r="FX112">
        <f>(24-FX3)*10+FX2+FX5*10000</f>
        <v/>
      </c>
      <c r="FY112">
        <f>(24-FY3)*10+FY2+FY5*10000</f>
        <v/>
      </c>
      <c r="FZ112">
        <f>(24-FZ3)*10+FZ2+FZ5*10000</f>
        <v/>
      </c>
      <c r="GA112">
        <f>(24-GA3)*10+GA2+GA5*10000</f>
        <v/>
      </c>
      <c r="GB112">
        <f>(24-GB3)*10+GB2+GB5*10000</f>
        <v/>
      </c>
      <c r="GC112">
        <f>(24-GC3)*10+GC2+GC5*10000</f>
        <v/>
      </c>
      <c r="GD112">
        <f>(24-GD3)*10+GD2+GD5*10000</f>
        <v/>
      </c>
      <c r="GE112">
        <f>(24-GE3)*10+GE2+GE5*10000</f>
        <v/>
      </c>
      <c r="GF112">
        <f>(24-GF3)*10+GF2+GF5*10000</f>
        <v/>
      </c>
      <c r="GG112">
        <f>(24-GG3)*10+GG2+GG5*10000</f>
        <v/>
      </c>
      <c r="GH112">
        <f>(24-GH3)*10+GH2+GH5*10000</f>
        <v/>
      </c>
      <c r="GI112">
        <f>(24-GI3)*10+GI2+GI5*10000</f>
        <v/>
      </c>
      <c r="GJ112">
        <f>(24-GJ3)*10+GJ2+GJ5*10000</f>
        <v/>
      </c>
      <c r="GK112">
        <f>(24-GK3)*10+GK2+GK5*10000</f>
        <v/>
      </c>
      <c r="GL112">
        <f>(24-GL3)*10+GL2+GL5*10000</f>
        <v/>
      </c>
      <c r="GM112">
        <f>(24-GM3)*10+GM2+GM5*10000</f>
        <v/>
      </c>
      <c r="GN112">
        <f>(24-GN3)*10+GN2+GN5*10000</f>
        <v/>
      </c>
      <c r="GO112">
        <f>(24-GO3)*10+GO2+GO5*10000</f>
        <v/>
      </c>
      <c r="GP112">
        <f>(24-GP3)*10+GP2+GP5*10000</f>
        <v/>
      </c>
      <c r="GQ112">
        <f>(24-GQ3)*10+GQ2+GQ5*10000</f>
        <v/>
      </c>
      <c r="GR112">
        <f>(24-GR3)*10+GR2+GR5*10000</f>
        <v/>
      </c>
      <c r="GS112">
        <f>(24-GS3)*10+GS2+GS5*10000</f>
        <v/>
      </c>
      <c r="GT112">
        <f>(24-GT3)*10+GT2+GT5*10000</f>
        <v/>
      </c>
      <c r="GU112">
        <f>(24-GU3)*10+GU2+GU5*10000</f>
        <v/>
      </c>
      <c r="GV112">
        <f>(24-GV3)*10+GV2+GV5*10000</f>
        <v/>
      </c>
      <c r="GW112">
        <f>(24-GW3)*10+GW2+GW5*10000</f>
        <v/>
      </c>
      <c r="GX112">
        <f>(24-GX3)*10+GX2+GX5*10000</f>
        <v/>
      </c>
      <c r="GY112">
        <f>(24-GY3)*10+GY2+GY5*10000</f>
        <v/>
      </c>
      <c r="GZ112">
        <f>(24-GZ3)*10+GZ2+GZ5*10000</f>
        <v/>
      </c>
      <c r="HA112">
        <f>(24-HA3)*10+HA2+HA5*10000</f>
        <v/>
      </c>
      <c r="HB112">
        <f>(24-HB3)*10+HB2+HB5*10000</f>
        <v/>
      </c>
      <c r="HC112">
        <f>(24-HC3)*10+HC2+HC5*10000</f>
        <v/>
      </c>
      <c r="HD112">
        <f>(24-HD3)*10+HD2+HD5*10000</f>
        <v/>
      </c>
      <c r="HE112">
        <f>(24-HE3)*10+HE2+HE5*10000</f>
        <v/>
      </c>
      <c r="HF112">
        <f>(24-HF3)*10+HF2+HF5*10000</f>
        <v/>
      </c>
      <c r="HG112">
        <f>(24-HG3)*10+HG2+HG5*10000</f>
        <v/>
      </c>
      <c r="HH112">
        <f>(24-HH3)*10+HH2+HH5*10000</f>
        <v/>
      </c>
      <c r="HI112">
        <f>(24-HI3)*10+HI2+HI5*10000</f>
        <v/>
      </c>
      <c r="HJ112">
        <f>(24-HJ3)*10+HJ2+HJ5*10000</f>
        <v/>
      </c>
      <c r="HK112">
        <f>(24-HK3)*10+HK2+HK5*10000</f>
        <v/>
      </c>
      <c r="HL112">
        <f>(24-HL3)*10+HL2+HL5*10000</f>
        <v/>
      </c>
      <c r="HM112">
        <f>(24-HM3)*10+HM2+HM5*10000</f>
        <v/>
      </c>
      <c r="HN112">
        <f>(24-HN3)*10+HN2+HN5*10000</f>
        <v/>
      </c>
      <c r="HO112">
        <f>(24-HO3)*10+HO2+HO5*10000</f>
        <v/>
      </c>
      <c r="HP112">
        <f>(24-HP3)*10+HP2+HP5*10000</f>
        <v/>
      </c>
      <c r="HQ112">
        <f>(24-HQ3)*10+HQ2+HQ5*10000</f>
        <v/>
      </c>
      <c r="HR112">
        <f>(24-HR3)*10+HR2+HR5*10000</f>
        <v/>
      </c>
      <c r="HS112">
        <f>(24-HS3)*10+HS2+HS5*10000</f>
        <v/>
      </c>
      <c r="HT112">
        <f>(24-HT3)*10+HT2+HT5*10000</f>
        <v/>
      </c>
      <c r="HU112">
        <f>(24-HU3)*10+HU2+HU5*10000</f>
        <v/>
      </c>
      <c r="HV112">
        <f>(24-HV3)*10+HV2+HV5*10000</f>
        <v/>
      </c>
      <c r="HW112">
        <f>(24-HW3)*10+HW2+HW5*10000</f>
        <v/>
      </c>
      <c r="HX112">
        <f>(24-HX3)*10+HX2+HX5*10000</f>
        <v/>
      </c>
      <c r="HY112">
        <f>(24-HY3)*10+HY2+HY5*10000</f>
        <v/>
      </c>
      <c r="HZ112">
        <f>(24-HZ3)*10+HZ2+HZ5*10000</f>
        <v/>
      </c>
      <c r="IA112">
        <f>(24-IA3)*10+IA2+IA5*10000</f>
        <v/>
      </c>
      <c r="IB112">
        <f>(24-IB3)*10+IB2+IB5*10000</f>
        <v/>
      </c>
      <c r="IC112">
        <f>(24-IC3)*10+IC2+IC5*10000</f>
        <v/>
      </c>
      <c r="ID112">
        <f>(24-ID3)*10+ID2+ID5*10000</f>
        <v/>
      </c>
      <c r="IE112">
        <f>(24-IE3)*10+IE2+IE5*10000</f>
        <v/>
      </c>
      <c r="IF112">
        <f>(24-IF3)*10+IF2+IF5*10000</f>
        <v/>
      </c>
      <c r="IG112">
        <f>(24-IG3)*10+IG2+IG5*10000</f>
        <v/>
      </c>
      <c r="IH112">
        <f>(24-IH3)*10+IH2+IH5*10000</f>
        <v/>
      </c>
      <c r="II112">
        <f>(24-II3)*10+II2+II5*10000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c r="ER113">
        <f>(ER2-1)*24+ER3+ER5*10000</f>
        <v/>
      </c>
      <c r="ES113">
        <f>(ES2-1)*24+ES3+ES5*10000</f>
        <v/>
      </c>
      <c r="ET113">
        <f>(ET2-1)*24+ET3+ET5*10000</f>
        <v/>
      </c>
      <c r="EU113">
        <f>(EU2-1)*24+EU3+EU5*10000</f>
        <v/>
      </c>
      <c r="EV113">
        <f>(EV2-1)*24+EV3+EV5*10000</f>
        <v/>
      </c>
      <c r="EW113">
        <f>(EW2-1)*24+EW3+EW5*10000</f>
        <v/>
      </c>
      <c r="EX113">
        <f>(EX2-1)*24+EX3+EX5*10000</f>
        <v/>
      </c>
      <c r="EY113">
        <f>(EY2-1)*24+EY3+EY5*10000</f>
        <v/>
      </c>
      <c r="EZ113">
        <f>(EZ2-1)*24+EZ3+EZ5*10000</f>
        <v/>
      </c>
      <c r="FA113">
        <f>(FA2-1)*24+FA3+FA5*10000</f>
        <v/>
      </c>
      <c r="FB113">
        <f>(FB2-1)*24+FB3+FB5*10000</f>
        <v/>
      </c>
      <c r="FC113">
        <f>(FC2-1)*24+FC3+FC5*10000</f>
        <v/>
      </c>
      <c r="FD113">
        <f>(FD2-1)*24+FD3+FD5*10000</f>
        <v/>
      </c>
      <c r="FE113">
        <f>(FE2-1)*24+FE3+FE5*10000</f>
        <v/>
      </c>
      <c r="FF113">
        <f>(FF2-1)*24+FF3+FF5*10000</f>
        <v/>
      </c>
      <c r="FG113">
        <f>(FG2-1)*24+FG3+FG5*10000</f>
        <v/>
      </c>
      <c r="FH113">
        <f>(FH2-1)*24+FH3+FH5*10000</f>
        <v/>
      </c>
      <c r="FI113">
        <f>(FI2-1)*24+FI3+FI5*10000</f>
        <v/>
      </c>
      <c r="FJ113">
        <f>(FJ2-1)*24+FJ3+FJ5*10000</f>
        <v/>
      </c>
      <c r="FK113">
        <f>(FK2-1)*24+FK3+FK5*10000</f>
        <v/>
      </c>
      <c r="FL113">
        <f>(FL2-1)*24+FL3+FL5*10000</f>
        <v/>
      </c>
      <c r="FM113">
        <f>(FM2-1)*24+FM3+FM5*10000</f>
        <v/>
      </c>
      <c r="FN113">
        <f>(FN2-1)*24+FN3+FN5*10000</f>
        <v/>
      </c>
      <c r="FO113">
        <f>(FO2-1)*24+FO3+FO5*10000</f>
        <v/>
      </c>
      <c r="FP113">
        <f>(FP2-1)*24+FP3+FP5*10000</f>
        <v/>
      </c>
      <c r="FQ113">
        <f>(FQ2-1)*24+FQ3+FQ5*10000</f>
        <v/>
      </c>
      <c r="FR113">
        <f>(FR2-1)*24+FR3+FR5*10000</f>
        <v/>
      </c>
      <c r="FS113">
        <f>(FS2-1)*24+FS3+FS5*10000</f>
        <v/>
      </c>
      <c r="FT113">
        <f>(FT2-1)*24+FT3+FT5*10000</f>
        <v/>
      </c>
      <c r="FU113">
        <f>(FU2-1)*24+FU3+FU5*10000</f>
        <v/>
      </c>
      <c r="FV113">
        <f>(FV2-1)*24+FV3+FV5*10000</f>
        <v/>
      </c>
      <c r="FW113">
        <f>(FW2-1)*24+FW3+FW5*10000</f>
        <v/>
      </c>
      <c r="FX113">
        <f>(FX2-1)*24+FX3+FX5*10000</f>
        <v/>
      </c>
      <c r="FY113">
        <f>(FY2-1)*24+FY3+FY5*10000</f>
        <v/>
      </c>
      <c r="FZ113">
        <f>(FZ2-1)*24+FZ3+FZ5*10000</f>
        <v/>
      </c>
      <c r="GA113">
        <f>(GA2-1)*24+GA3+GA5*10000</f>
        <v/>
      </c>
      <c r="GB113">
        <f>(GB2-1)*24+GB3+GB5*10000</f>
        <v/>
      </c>
      <c r="GC113">
        <f>(GC2-1)*24+GC3+GC5*10000</f>
        <v/>
      </c>
      <c r="GD113">
        <f>(GD2-1)*24+GD3+GD5*10000</f>
        <v/>
      </c>
      <c r="GE113">
        <f>(GE2-1)*24+GE3+GE5*10000</f>
        <v/>
      </c>
      <c r="GF113">
        <f>(GF2-1)*24+GF3+GF5*10000</f>
        <v/>
      </c>
      <c r="GG113">
        <f>(GG2-1)*24+GG3+GG5*10000</f>
        <v/>
      </c>
      <c r="GH113">
        <f>(GH2-1)*24+GH3+GH5*10000</f>
        <v/>
      </c>
      <c r="GI113">
        <f>(GI2-1)*24+GI3+GI5*10000</f>
        <v/>
      </c>
      <c r="GJ113">
        <f>(GJ2-1)*24+GJ3+GJ5*10000</f>
        <v/>
      </c>
      <c r="GK113">
        <f>(GK2-1)*24+GK3+GK5*10000</f>
        <v/>
      </c>
      <c r="GL113">
        <f>(GL2-1)*24+GL3+GL5*10000</f>
        <v/>
      </c>
      <c r="GM113">
        <f>(GM2-1)*24+GM3+GM5*10000</f>
        <v/>
      </c>
      <c r="GN113">
        <f>(GN2-1)*24+GN3+GN5*10000</f>
        <v/>
      </c>
      <c r="GO113">
        <f>(GO2-1)*24+GO3+GO5*10000</f>
        <v/>
      </c>
      <c r="GP113">
        <f>(GP2-1)*24+GP3+GP5*10000</f>
        <v/>
      </c>
      <c r="GQ113">
        <f>(GQ2-1)*24+GQ3+GQ5*10000</f>
        <v/>
      </c>
      <c r="GR113">
        <f>(GR2-1)*24+GR3+GR5*10000</f>
        <v/>
      </c>
      <c r="GS113">
        <f>(GS2-1)*24+GS3+GS5*10000</f>
        <v/>
      </c>
      <c r="GT113">
        <f>(GT2-1)*24+GT3+GT5*10000</f>
        <v/>
      </c>
      <c r="GU113">
        <f>(GU2-1)*24+GU3+GU5*10000</f>
        <v/>
      </c>
      <c r="GV113">
        <f>(GV2-1)*24+GV3+GV5*10000</f>
        <v/>
      </c>
      <c r="GW113">
        <f>(GW2-1)*24+GW3+GW5*10000</f>
        <v/>
      </c>
      <c r="GX113">
        <f>(GX2-1)*24+GX3+GX5*10000</f>
        <v/>
      </c>
      <c r="GY113">
        <f>(GY2-1)*24+GY3+GY5*10000</f>
        <v/>
      </c>
      <c r="GZ113">
        <f>(GZ2-1)*24+GZ3+GZ5*10000</f>
        <v/>
      </c>
      <c r="HA113">
        <f>(HA2-1)*24+HA3+HA5*10000</f>
        <v/>
      </c>
      <c r="HB113">
        <f>(HB2-1)*24+HB3+HB5*10000</f>
        <v/>
      </c>
      <c r="HC113">
        <f>(HC2-1)*24+HC3+HC5*10000</f>
        <v/>
      </c>
      <c r="HD113">
        <f>(HD2-1)*24+HD3+HD5*10000</f>
        <v/>
      </c>
      <c r="HE113">
        <f>(HE2-1)*24+HE3+HE5*10000</f>
        <v/>
      </c>
      <c r="HF113">
        <f>(HF2-1)*24+HF3+HF5*10000</f>
        <v/>
      </c>
      <c r="HG113">
        <f>(HG2-1)*24+HG3+HG5*10000</f>
        <v/>
      </c>
      <c r="HH113">
        <f>(HH2-1)*24+HH3+HH5*10000</f>
        <v/>
      </c>
      <c r="HI113">
        <f>(HI2-1)*24+HI3+HI5*10000</f>
        <v/>
      </c>
      <c r="HJ113">
        <f>(HJ2-1)*24+HJ3+HJ5*10000</f>
        <v/>
      </c>
      <c r="HK113">
        <f>(HK2-1)*24+HK3+HK5*10000</f>
        <v/>
      </c>
      <c r="HL113">
        <f>(HL2-1)*24+HL3+HL5*10000</f>
        <v/>
      </c>
      <c r="HM113">
        <f>(HM2-1)*24+HM3+HM5*10000</f>
        <v/>
      </c>
      <c r="HN113">
        <f>(HN2-1)*24+HN3+HN5*10000</f>
        <v/>
      </c>
      <c r="HO113">
        <f>(HO2-1)*24+HO3+HO5*10000</f>
        <v/>
      </c>
      <c r="HP113">
        <f>(HP2-1)*24+HP3+HP5*10000</f>
        <v/>
      </c>
      <c r="HQ113">
        <f>(HQ2-1)*24+HQ3+HQ5*10000</f>
        <v/>
      </c>
      <c r="HR113">
        <f>(HR2-1)*24+HR3+HR5*10000</f>
        <v/>
      </c>
      <c r="HS113">
        <f>(HS2-1)*24+HS3+HS5*10000</f>
        <v/>
      </c>
      <c r="HT113">
        <f>(HT2-1)*24+HT3+HT5*10000</f>
        <v/>
      </c>
      <c r="HU113">
        <f>(HU2-1)*24+HU3+HU5*10000</f>
        <v/>
      </c>
      <c r="HV113">
        <f>(HV2-1)*24+HV3+HV5*10000</f>
        <v/>
      </c>
      <c r="HW113">
        <f>(HW2-1)*24+HW3+HW5*10000</f>
        <v/>
      </c>
      <c r="HX113">
        <f>(HX2-1)*24+HX3+HX5*10000</f>
        <v/>
      </c>
      <c r="HY113">
        <f>(HY2-1)*24+HY3+HY5*10000</f>
        <v/>
      </c>
      <c r="HZ113">
        <f>(HZ2-1)*24+HZ3+HZ5*10000</f>
        <v/>
      </c>
      <c r="IA113">
        <f>(IA2-1)*24+IA3+IA5*10000</f>
        <v/>
      </c>
      <c r="IB113">
        <f>(IB2-1)*24+IB3+IB5*10000</f>
        <v/>
      </c>
      <c r="IC113">
        <f>(IC2-1)*24+IC3+IC5*10000</f>
        <v/>
      </c>
      <c r="ID113">
        <f>(ID2-1)*24+ID3+ID5*10000</f>
        <v/>
      </c>
      <c r="IE113">
        <f>(IE2-1)*24+IE3+IE5*10000</f>
        <v/>
      </c>
      <c r="IF113">
        <f>(IF2-1)*24+IF3+IF5*10000</f>
        <v/>
      </c>
      <c r="IG113">
        <f>(IG2-1)*24+IG3+IG5*10000</f>
        <v/>
      </c>
      <c r="IH113">
        <f>(IH2-1)*24+IH3+IH5*10000</f>
        <v/>
      </c>
      <c r="II113">
        <f>(II2-1)*24+II3+II5*10000</f>
        <v/>
      </c>
    </row>
    <row r="114">
      <c r="C114" t="inlineStr">
        <is>
          <t>遅い日</t>
        </is>
      </c>
      <c r="D114">
        <f>(10-D2)*24+D3+D5*10000</f>
        <v/>
      </c>
      <c r="E114">
        <f>(10-E2)*24+E3+E5*10000</f>
        <v/>
      </c>
      <c r="F114">
        <f>(10-F2)*24+F3+F5*10000</f>
        <v/>
      </c>
      <c r="G114">
        <f>(10-G2)*24+G3+G5*10000</f>
        <v/>
      </c>
      <c r="H114">
        <f>(10-H2)*24+H3+H5*10000</f>
        <v/>
      </c>
      <c r="I114">
        <f>(10-I2)*24+I3+I5*10000</f>
        <v/>
      </c>
      <c r="J114">
        <f>(10-J2)*24+J3+J5*10000</f>
        <v/>
      </c>
      <c r="K114">
        <f>(10-K2)*24+K3+K5*10000</f>
        <v/>
      </c>
      <c r="L114">
        <f>(10-L2)*24+L3+L5*10000</f>
        <v/>
      </c>
      <c r="M114">
        <f>(10-M2)*24+M3+M5*10000</f>
        <v/>
      </c>
      <c r="N114">
        <f>(10-N2)*24+N3+N5*10000</f>
        <v/>
      </c>
      <c r="O114">
        <f>(10-O2)*24+O3+O5*10000</f>
        <v/>
      </c>
      <c r="P114">
        <f>(10-P2)*24+P3+P5*10000</f>
        <v/>
      </c>
      <c r="Q114">
        <f>(10-Q2)*24+Q3+Q5*10000</f>
        <v/>
      </c>
      <c r="R114">
        <f>(10-R2)*24+R3+R5*10000</f>
        <v/>
      </c>
      <c r="S114">
        <f>(10-S2)*24+S3+S5*10000</f>
        <v/>
      </c>
      <c r="T114">
        <f>(10-T2)*24+T3+T5*10000</f>
        <v/>
      </c>
      <c r="U114">
        <f>(10-U2)*24+U3+U5*10000</f>
        <v/>
      </c>
      <c r="V114">
        <f>(10-V2)*24+V3+V5*10000</f>
        <v/>
      </c>
      <c r="W114">
        <f>(10-W2)*24+W3+W5*10000</f>
        <v/>
      </c>
      <c r="X114">
        <f>(10-X2)*24+X3+X5*10000</f>
        <v/>
      </c>
      <c r="Y114">
        <f>(10-Y2)*24+Y3+Y5*10000</f>
        <v/>
      </c>
      <c r="Z114">
        <f>(10-Z2)*24+Z3+Z5*10000</f>
        <v/>
      </c>
      <c r="AA114">
        <f>(10-AA2)*24+AA3+AA5*10000</f>
        <v/>
      </c>
      <c r="AB114">
        <f>(10-AB2)*24+AB3+AB5*10000</f>
        <v/>
      </c>
      <c r="AC114">
        <f>(10-AC2)*24+AC3+AC5*10000</f>
        <v/>
      </c>
      <c r="AD114">
        <f>(10-AD2)*24+AD3+AD5*10000</f>
        <v/>
      </c>
      <c r="AE114">
        <f>(10-AE2)*24+AE3+AE5*10000</f>
        <v/>
      </c>
      <c r="AF114">
        <f>(10-AF2)*24+AF3+AF5*10000</f>
        <v/>
      </c>
      <c r="AG114">
        <f>(10-AG2)*24+AG3+AG5*10000</f>
        <v/>
      </c>
      <c r="AH114">
        <f>(10-AH2)*24+AH3+AH5*10000</f>
        <v/>
      </c>
      <c r="AI114">
        <f>(10-AI2)*24+AI3+AI5*10000</f>
        <v/>
      </c>
      <c r="AJ114">
        <f>(10-AJ2)*24+AJ3+AJ5*10000</f>
        <v/>
      </c>
      <c r="AK114">
        <f>(10-AK2)*24+AK3+AK5*10000</f>
        <v/>
      </c>
      <c r="AL114">
        <f>(10-AL2)*24+AL3+AL5*10000</f>
        <v/>
      </c>
      <c r="AM114">
        <f>(10-AM2)*24+AM3+AM5*10000</f>
        <v/>
      </c>
      <c r="AN114">
        <f>(10-AN2)*24+AN3+AN5*10000</f>
        <v/>
      </c>
      <c r="AO114">
        <f>(10-AO2)*24+AO3+AO5*10000</f>
        <v/>
      </c>
      <c r="AP114">
        <f>(10-AP2)*24+AP3+AP5*10000</f>
        <v/>
      </c>
      <c r="AQ114">
        <f>(10-AQ2)*24+AQ3+AQ5*10000</f>
        <v/>
      </c>
      <c r="AR114">
        <f>(10-AR2)*24+AR3+AR5*10000</f>
        <v/>
      </c>
      <c r="AS114">
        <f>(10-AS2)*24+AS3+AS5*10000</f>
        <v/>
      </c>
      <c r="AT114">
        <f>(10-AT2)*24+AT3+AT5*10000</f>
        <v/>
      </c>
      <c r="AU114">
        <f>(10-AU2)*24+AU3+AU5*10000</f>
        <v/>
      </c>
      <c r="AV114">
        <f>(10-AV2)*24+AV3+AV5*10000</f>
        <v/>
      </c>
      <c r="AW114">
        <f>(10-AW2)*24+AW3+AW5*10000</f>
        <v/>
      </c>
      <c r="AX114">
        <f>(10-AX2)*24+AX3+AX5*10000</f>
        <v/>
      </c>
      <c r="AY114">
        <f>(10-AY2)*24+AY3+AY5*10000</f>
        <v/>
      </c>
      <c r="AZ114">
        <f>(10-AZ2)*24+AZ3+AZ5*10000</f>
        <v/>
      </c>
      <c r="BA114">
        <f>(10-BA2)*24+BA3+BA5*10000</f>
        <v/>
      </c>
      <c r="BB114">
        <f>(10-BB2)*24+BB3+BB5*10000</f>
        <v/>
      </c>
      <c r="BC114">
        <f>(10-BC2)*24+BC3+BC5*10000</f>
        <v/>
      </c>
      <c r="BD114">
        <f>(10-BD2)*24+BD3+BD5*10000</f>
        <v/>
      </c>
      <c r="BE114">
        <f>(10-BE2)*24+BE3+BE5*10000</f>
        <v/>
      </c>
      <c r="BF114">
        <f>(10-BF2)*24+BF3+BF5*10000</f>
        <v/>
      </c>
      <c r="BG114">
        <f>(10-BG2)*24+BG3+BG5*10000</f>
        <v/>
      </c>
      <c r="BH114">
        <f>(10-BH2)*24+BH3+BH5*10000</f>
        <v/>
      </c>
      <c r="BI114">
        <f>(10-BI2)*24+BI3+BI5*10000</f>
        <v/>
      </c>
      <c r="BJ114">
        <f>(10-BJ2)*24+BJ3+BJ5*10000</f>
        <v/>
      </c>
      <c r="BK114">
        <f>(10-BK2)*24+BK3+BK5*10000</f>
        <v/>
      </c>
      <c r="BL114">
        <f>(10-BL2)*24+BL3+BL5*10000</f>
        <v/>
      </c>
      <c r="BM114">
        <f>(10-BM2)*24+BM3+BM5*10000</f>
        <v/>
      </c>
      <c r="BN114">
        <f>(10-BN2)*24+BN3+BN5*10000</f>
        <v/>
      </c>
      <c r="BO114">
        <f>(10-BO2)*24+BO3+BO5*10000</f>
        <v/>
      </c>
      <c r="BP114">
        <f>(10-BP2)*24+BP3+BP5*10000</f>
        <v/>
      </c>
      <c r="BQ114">
        <f>(10-BQ2)*24+BQ3+BQ5*10000</f>
        <v/>
      </c>
      <c r="BR114">
        <f>(10-BR2)*24+BR3+BR5*10000</f>
        <v/>
      </c>
      <c r="BS114">
        <f>(10-BS2)*24+BS3+BS5*10000</f>
        <v/>
      </c>
      <c r="BT114">
        <f>(10-BT2)*24+BT3+BT5*10000</f>
        <v/>
      </c>
      <c r="BU114">
        <f>(10-BU2)*24+BU3+BU5*10000</f>
        <v/>
      </c>
      <c r="BV114">
        <f>(10-BV2)*24+BV3+BV5*10000</f>
        <v/>
      </c>
      <c r="BW114">
        <f>(10-BW2)*24+BW3+BW5*10000</f>
        <v/>
      </c>
      <c r="BX114">
        <f>(10-BX2)*24+BX3+BX5*10000</f>
        <v/>
      </c>
      <c r="BY114">
        <f>(10-BY2)*24+BY3+BY5*10000</f>
        <v/>
      </c>
      <c r="BZ114">
        <f>(10-BZ2)*24+BZ3+BZ5*10000</f>
        <v/>
      </c>
      <c r="CA114">
        <f>(10-CA2)*24+CA3+CA5*10000</f>
        <v/>
      </c>
      <c r="CB114">
        <f>(10-CB2)*24+CB3+CB5*10000</f>
        <v/>
      </c>
      <c r="CC114">
        <f>(10-CC2)*24+CC3+CC5*10000</f>
        <v/>
      </c>
      <c r="CD114">
        <f>(10-CD2)*24+CD3+CD5*10000</f>
        <v/>
      </c>
      <c r="CE114">
        <f>(10-CE2)*24+CE3+CE5*10000</f>
        <v/>
      </c>
      <c r="CF114">
        <f>(10-CF2)*24+CF3+CF5*10000</f>
        <v/>
      </c>
      <c r="CG114">
        <f>(10-CG2)*24+CG3+CG5*10000</f>
        <v/>
      </c>
      <c r="CH114">
        <f>(10-CH2)*24+CH3+CH5*10000</f>
        <v/>
      </c>
      <c r="CI114">
        <f>(10-CI2)*24+CI3+CI5*10000</f>
        <v/>
      </c>
      <c r="CJ114">
        <f>(10-CJ2)*24+CJ3+CJ5*10000</f>
        <v/>
      </c>
      <c r="CK114">
        <f>(10-CK2)*24+CK3+CK5*10000</f>
        <v/>
      </c>
      <c r="CL114">
        <f>(10-CL2)*24+CL3+CL5*10000</f>
        <v/>
      </c>
      <c r="CM114">
        <f>(10-CM2)*24+CM3+CM5*10000</f>
        <v/>
      </c>
      <c r="CN114">
        <f>(10-CN2)*24+CN3+CN5*10000</f>
        <v/>
      </c>
      <c r="CO114">
        <f>(10-CO2)*24+CO3+CO5*10000</f>
        <v/>
      </c>
      <c r="CP114">
        <f>(10-CP2)*24+CP3+CP5*10000</f>
        <v/>
      </c>
      <c r="CQ114">
        <f>(10-CQ2)*24+CQ3+CQ5*10000</f>
        <v/>
      </c>
      <c r="CR114">
        <f>(10-CR2)*24+CR3+CR5*10000</f>
        <v/>
      </c>
      <c r="CS114">
        <f>(10-CS2)*24+CS3+CS5*10000</f>
        <v/>
      </c>
      <c r="CT114">
        <f>(10-CT2)*24+CT3+CT5*10000</f>
        <v/>
      </c>
      <c r="CU114">
        <f>(10-CU2)*24+CU3+CU5*10000</f>
        <v/>
      </c>
      <c r="CV114">
        <f>(10-CV2)*24+CV3+CV5*10000</f>
        <v/>
      </c>
      <c r="CW114">
        <f>(10-CW2)*24+CW3+CW5*10000</f>
        <v/>
      </c>
      <c r="CX114">
        <f>(10-CX2)*24+CX3+CX5*10000</f>
        <v/>
      </c>
      <c r="CY114">
        <f>(10-CY2)*24+CY3+CY5*10000</f>
        <v/>
      </c>
      <c r="CZ114">
        <f>(10-CZ2)*24+CZ3+CZ5*10000</f>
        <v/>
      </c>
      <c r="DA114">
        <f>(10-DA2)*24+DA3+DA5*10000</f>
        <v/>
      </c>
      <c r="DB114">
        <f>(10-DB2)*24+DB3+DB5*10000</f>
        <v/>
      </c>
      <c r="DC114">
        <f>(10-DC2)*24+DC3+DC5*10000</f>
        <v/>
      </c>
      <c r="DD114">
        <f>(10-DD2)*24+DD3+DD5*10000</f>
        <v/>
      </c>
      <c r="DE114">
        <f>(10-DE2)*24+DE3+DE5*10000</f>
        <v/>
      </c>
      <c r="DF114">
        <f>(10-DF2)*24+DF3+DF5*10000</f>
        <v/>
      </c>
      <c r="DG114">
        <f>(10-DG2)*24+DG3+DG5*10000</f>
        <v/>
      </c>
      <c r="DH114">
        <f>(10-DH2)*24+DH3+DH5*10000</f>
        <v/>
      </c>
      <c r="DI114">
        <f>(10-DI2)*24+DI3+DI5*10000</f>
        <v/>
      </c>
      <c r="DJ114">
        <f>(10-DJ2)*24+DJ3+DJ5*10000</f>
        <v/>
      </c>
      <c r="DK114">
        <f>(10-DK2)*24+DK3+DK5*10000</f>
        <v/>
      </c>
      <c r="DL114">
        <f>(10-DL2)*24+DL3+DL5*10000</f>
        <v/>
      </c>
      <c r="DM114">
        <f>(10-DM2)*24+DM3+DM5*10000</f>
        <v/>
      </c>
      <c r="DN114">
        <f>(10-DN2)*24+DN3+DN5*10000</f>
        <v/>
      </c>
      <c r="DO114">
        <f>(10-DO2)*24+DO3+DO5*10000</f>
        <v/>
      </c>
      <c r="DP114">
        <f>(10-DP2)*24+DP3+DP5*10000</f>
        <v/>
      </c>
      <c r="DQ114">
        <f>(10-DQ2)*24+DQ3+DQ5*10000</f>
        <v/>
      </c>
      <c r="DR114">
        <f>(10-DR2)*24+DR3+DR5*10000</f>
        <v/>
      </c>
      <c r="DS114">
        <f>(10-DS2)*24+DS3+DS5*10000</f>
        <v/>
      </c>
      <c r="DT114">
        <f>(10-DT2)*24+DT3+DT5*10000</f>
        <v/>
      </c>
      <c r="DU114">
        <f>(10-DU2)*24+DU3+DU5*10000</f>
        <v/>
      </c>
      <c r="DV114">
        <f>(10-DV2)*24+DV3+DV5*10000</f>
        <v/>
      </c>
      <c r="DW114">
        <f>(10-DW2)*24+DW3+DW5*10000</f>
        <v/>
      </c>
      <c r="DX114">
        <f>(10-DX2)*24+DX3+DX5*10000</f>
        <v/>
      </c>
      <c r="DY114">
        <f>(10-DY2)*24+DY3+DY5*10000</f>
        <v/>
      </c>
      <c r="DZ114">
        <f>(10-DZ2)*24+DZ3+DZ5*10000</f>
        <v/>
      </c>
      <c r="EA114">
        <f>(10-EA2)*24+EA3+EA5*10000</f>
        <v/>
      </c>
      <c r="EB114">
        <f>(10-EB2)*24+EB3+EB5*10000</f>
        <v/>
      </c>
      <c r="EC114">
        <f>(10-EC2)*24+EC3+EC5*10000</f>
        <v/>
      </c>
      <c r="ED114">
        <f>(10-ED2)*24+ED3+ED5*10000</f>
        <v/>
      </c>
      <c r="EE114">
        <f>(10-EE2)*24+EE3+EE5*10000</f>
        <v/>
      </c>
      <c r="EF114">
        <f>(10-EF2)*24+EF3+EF5*10000</f>
        <v/>
      </c>
      <c r="EG114">
        <f>(10-EG2)*24+EG3+EG5*10000</f>
        <v/>
      </c>
      <c r="EH114">
        <f>(10-EH2)*24+EH3+EH5*10000</f>
        <v/>
      </c>
      <c r="EI114">
        <f>(10-EI2)*24+EI3+EI5*10000</f>
        <v/>
      </c>
      <c r="EJ114">
        <f>(10-EJ2)*24+EJ3+EJ5*10000</f>
        <v/>
      </c>
      <c r="EK114">
        <f>(10-EK2)*24+EK3+EK5*10000</f>
        <v/>
      </c>
      <c r="EL114">
        <f>(10-EL2)*24+EL3+EL5*10000</f>
        <v/>
      </c>
      <c r="EM114">
        <f>(10-EM2)*24+EM3+EM5*10000</f>
        <v/>
      </c>
      <c r="EN114">
        <f>(10-EN2)*24+EN3+EN5*10000</f>
        <v/>
      </c>
      <c r="EO114">
        <f>(10-EO2)*24+EO3+EO5*10000</f>
        <v/>
      </c>
      <c r="EP114">
        <f>(10-EP2)*24+EP3+EP5*10000</f>
        <v/>
      </c>
      <c r="EQ114">
        <f>(10-EQ2)*24+EQ3+EQ5*10000</f>
        <v/>
      </c>
      <c r="ER114">
        <f>(10-ER2)*24+ER3+ER5*10000</f>
        <v/>
      </c>
      <c r="ES114">
        <f>(10-ES2)*24+ES3+ES5*10000</f>
        <v/>
      </c>
      <c r="ET114">
        <f>(10-ET2)*24+ET3+ET5*10000</f>
        <v/>
      </c>
      <c r="EU114">
        <f>(10-EU2)*24+EU3+EU5*10000</f>
        <v/>
      </c>
      <c r="EV114">
        <f>(10-EV2)*24+EV3+EV5*10000</f>
        <v/>
      </c>
      <c r="EW114">
        <f>(10-EW2)*24+EW3+EW5*10000</f>
        <v/>
      </c>
      <c r="EX114">
        <f>(10-EX2)*24+EX3+EX5*10000</f>
        <v/>
      </c>
      <c r="EY114">
        <f>(10-EY2)*24+EY3+EY5*10000</f>
        <v/>
      </c>
      <c r="EZ114">
        <f>(10-EZ2)*24+EZ3+EZ5*10000</f>
        <v/>
      </c>
      <c r="FA114">
        <f>(10-FA2)*24+FA3+FA5*10000</f>
        <v/>
      </c>
      <c r="FB114">
        <f>(10-FB2)*24+FB3+FB5*10000</f>
        <v/>
      </c>
      <c r="FC114">
        <f>(10-FC2)*24+FC3+FC5*10000</f>
        <v/>
      </c>
      <c r="FD114">
        <f>(10-FD2)*24+FD3+FD5*10000</f>
        <v/>
      </c>
      <c r="FE114">
        <f>(10-FE2)*24+FE3+FE5*10000</f>
        <v/>
      </c>
      <c r="FF114">
        <f>(10-FF2)*24+FF3+FF5*10000</f>
        <v/>
      </c>
      <c r="FG114">
        <f>(10-FG2)*24+FG3+FG5*10000</f>
        <v/>
      </c>
      <c r="FH114">
        <f>(10-FH2)*24+FH3+FH5*10000</f>
        <v/>
      </c>
      <c r="FI114">
        <f>(10-FI2)*24+FI3+FI5*10000</f>
        <v/>
      </c>
      <c r="FJ114">
        <f>(10-FJ2)*24+FJ3+FJ5*10000</f>
        <v/>
      </c>
      <c r="FK114">
        <f>(10-FK2)*24+FK3+FK5*10000</f>
        <v/>
      </c>
      <c r="FL114">
        <f>(10-FL2)*24+FL3+FL5*10000</f>
        <v/>
      </c>
      <c r="FM114">
        <f>(10-FM2)*24+FM3+FM5*10000</f>
        <v/>
      </c>
      <c r="FN114">
        <f>(10-FN2)*24+FN3+FN5*10000</f>
        <v/>
      </c>
      <c r="FO114">
        <f>(10-FO2)*24+FO3+FO5*10000</f>
        <v/>
      </c>
      <c r="FP114">
        <f>(10-FP2)*24+FP3+FP5*10000</f>
        <v/>
      </c>
      <c r="FQ114">
        <f>(10-FQ2)*24+FQ3+FQ5*10000</f>
        <v/>
      </c>
      <c r="FR114">
        <f>(10-FR2)*24+FR3+FR5*10000</f>
        <v/>
      </c>
      <c r="FS114">
        <f>(10-FS2)*24+FS3+FS5*10000</f>
        <v/>
      </c>
      <c r="FT114">
        <f>(10-FT2)*24+FT3+FT5*10000</f>
        <v/>
      </c>
      <c r="FU114">
        <f>(10-FU2)*24+FU3+FU5*10000</f>
        <v/>
      </c>
      <c r="FV114">
        <f>(10-FV2)*24+FV3+FV5*10000</f>
        <v/>
      </c>
      <c r="FW114">
        <f>(10-FW2)*24+FW3+FW5*10000</f>
        <v/>
      </c>
      <c r="FX114">
        <f>(10-FX2)*24+FX3+FX5*10000</f>
        <v/>
      </c>
      <c r="FY114">
        <f>(10-FY2)*24+FY3+FY5*10000</f>
        <v/>
      </c>
      <c r="FZ114">
        <f>(10-FZ2)*24+FZ3+FZ5*10000</f>
        <v/>
      </c>
      <c r="GA114">
        <f>(10-GA2)*24+GA3+GA5*10000</f>
        <v/>
      </c>
      <c r="GB114">
        <f>(10-GB2)*24+GB3+GB5*10000</f>
        <v/>
      </c>
      <c r="GC114">
        <f>(10-GC2)*24+GC3+GC5*10000</f>
        <v/>
      </c>
      <c r="GD114">
        <f>(10-GD2)*24+GD3+GD5*10000</f>
        <v/>
      </c>
      <c r="GE114">
        <f>(10-GE2)*24+GE3+GE5*10000</f>
        <v/>
      </c>
      <c r="GF114">
        <f>(10-GF2)*24+GF3+GF5*10000</f>
        <v/>
      </c>
      <c r="GG114">
        <f>(10-GG2)*24+GG3+GG5*10000</f>
        <v/>
      </c>
      <c r="GH114">
        <f>(10-GH2)*24+GH3+GH5*10000</f>
        <v/>
      </c>
      <c r="GI114">
        <f>(10-GI2)*24+GI3+GI5*10000</f>
        <v/>
      </c>
      <c r="GJ114">
        <f>(10-GJ2)*24+GJ3+GJ5*10000</f>
        <v/>
      </c>
      <c r="GK114">
        <f>(10-GK2)*24+GK3+GK5*10000</f>
        <v/>
      </c>
      <c r="GL114">
        <f>(10-GL2)*24+GL3+GL5*10000</f>
        <v/>
      </c>
      <c r="GM114">
        <f>(10-GM2)*24+GM3+GM5*10000</f>
        <v/>
      </c>
      <c r="GN114">
        <f>(10-GN2)*24+GN3+GN5*10000</f>
        <v/>
      </c>
      <c r="GO114">
        <f>(10-GO2)*24+GO3+GO5*10000</f>
        <v/>
      </c>
      <c r="GP114">
        <f>(10-GP2)*24+GP3+GP5*10000</f>
        <v/>
      </c>
      <c r="GQ114">
        <f>(10-GQ2)*24+GQ3+GQ5*10000</f>
        <v/>
      </c>
      <c r="GR114">
        <f>(10-GR2)*24+GR3+GR5*10000</f>
        <v/>
      </c>
      <c r="GS114">
        <f>(10-GS2)*24+GS3+GS5*10000</f>
        <v/>
      </c>
      <c r="GT114">
        <f>(10-GT2)*24+GT3+GT5*10000</f>
        <v/>
      </c>
      <c r="GU114">
        <f>(10-GU2)*24+GU3+GU5*10000</f>
        <v/>
      </c>
      <c r="GV114">
        <f>(10-GV2)*24+GV3+GV5*10000</f>
        <v/>
      </c>
      <c r="GW114">
        <f>(10-GW2)*24+GW3+GW5*10000</f>
        <v/>
      </c>
      <c r="GX114">
        <f>(10-GX2)*24+GX3+GX5*10000</f>
        <v/>
      </c>
      <c r="GY114">
        <f>(10-GY2)*24+GY3+GY5*10000</f>
        <v/>
      </c>
      <c r="GZ114">
        <f>(10-GZ2)*24+GZ3+GZ5*10000</f>
        <v/>
      </c>
      <c r="HA114">
        <f>(10-HA2)*24+HA3+HA5*10000</f>
        <v/>
      </c>
      <c r="HB114">
        <f>(10-HB2)*24+HB3+HB5*10000</f>
        <v/>
      </c>
      <c r="HC114">
        <f>(10-HC2)*24+HC3+HC5*10000</f>
        <v/>
      </c>
      <c r="HD114">
        <f>(10-HD2)*24+HD3+HD5*10000</f>
        <v/>
      </c>
      <c r="HE114">
        <f>(10-HE2)*24+HE3+HE5*10000</f>
        <v/>
      </c>
      <c r="HF114">
        <f>(10-HF2)*24+HF3+HF5*10000</f>
        <v/>
      </c>
      <c r="HG114">
        <f>(10-HG2)*24+HG3+HG5*10000</f>
        <v/>
      </c>
      <c r="HH114">
        <f>(10-HH2)*24+HH3+HH5*10000</f>
        <v/>
      </c>
      <c r="HI114">
        <f>(10-HI2)*24+HI3+HI5*10000</f>
        <v/>
      </c>
      <c r="HJ114">
        <f>(10-HJ2)*24+HJ3+HJ5*10000</f>
        <v/>
      </c>
      <c r="HK114">
        <f>(10-HK2)*24+HK3+HK5*10000</f>
        <v/>
      </c>
      <c r="HL114">
        <f>(10-HL2)*24+HL3+HL5*10000</f>
        <v/>
      </c>
      <c r="HM114">
        <f>(10-HM2)*24+HM3+HM5*10000</f>
        <v/>
      </c>
      <c r="HN114">
        <f>(10-HN2)*24+HN3+HN5*10000</f>
        <v/>
      </c>
      <c r="HO114">
        <f>(10-HO2)*24+HO3+HO5*10000</f>
        <v/>
      </c>
      <c r="HP114">
        <f>(10-HP2)*24+HP3+HP5*10000</f>
        <v/>
      </c>
      <c r="HQ114">
        <f>(10-HQ2)*24+HQ3+HQ5*10000</f>
        <v/>
      </c>
      <c r="HR114">
        <f>(10-HR2)*24+HR3+HR5*10000</f>
        <v/>
      </c>
      <c r="HS114">
        <f>(10-HS2)*24+HS3+HS5*10000</f>
        <v/>
      </c>
      <c r="HT114">
        <f>(10-HT2)*24+HT3+HT5*10000</f>
        <v/>
      </c>
      <c r="HU114">
        <f>(10-HU2)*24+HU3+HU5*10000</f>
        <v/>
      </c>
      <c r="HV114">
        <f>(10-HV2)*24+HV3+HV5*10000</f>
        <v/>
      </c>
      <c r="HW114">
        <f>(10-HW2)*24+HW3+HW5*10000</f>
        <v/>
      </c>
      <c r="HX114">
        <f>(10-HX2)*24+HX3+HX5*10000</f>
        <v/>
      </c>
      <c r="HY114">
        <f>(10-HY2)*24+HY3+HY5*10000</f>
        <v/>
      </c>
      <c r="HZ114">
        <f>(10-HZ2)*24+HZ3+HZ5*10000</f>
        <v/>
      </c>
      <c r="IA114">
        <f>(10-IA2)*24+IA3+IA5*10000</f>
        <v/>
      </c>
      <c r="IB114">
        <f>(10-IB2)*24+IB3+IB5*10000</f>
        <v/>
      </c>
      <c r="IC114">
        <f>(10-IC2)*24+IC3+IC5*10000</f>
        <v/>
      </c>
      <c r="ID114">
        <f>(10-ID2)*24+ID3+ID5*10000</f>
        <v/>
      </c>
      <c r="IE114">
        <f>(10-IE2)*24+IE3+IE5*10000</f>
        <v/>
      </c>
      <c r="IF114">
        <f>(10-IF2)*24+IF3+IF5*10000</f>
        <v/>
      </c>
      <c r="IG114">
        <f>(10-IG2)*24+IG3+IG5*10000</f>
        <v/>
      </c>
      <c r="IH114">
        <f>(10-IH2)*24+IH3+IH5*10000</f>
        <v/>
      </c>
      <c r="II114">
        <f>(10-II2)*24+II3+II5*10000</f>
        <v/>
      </c>
    </row>
    <row r="115">
      <c r="C115" t="inlineStr">
        <is>
          <t>設定にある枠</t>
        </is>
      </c>
      <c r="D115">
        <f>IF(AND(INDEX('設定'!$B$11:$B$20,D2)&lt;&gt;"",D3&lt;='設定'!$B$6),1,0)</f>
        <v/>
      </c>
      <c r="E115">
        <f>IF(AND(INDEX('設定'!$B$11:$B$20,E2)&lt;&gt;"",E3&lt;='設定'!$B$6),1,0)</f>
        <v/>
      </c>
      <c r="F115">
        <f>IF(AND(INDEX('設定'!$B$11:$B$20,F2)&lt;&gt;"",F3&lt;='設定'!$B$6),1,0)</f>
        <v/>
      </c>
      <c r="G115">
        <f>IF(AND(INDEX('設定'!$B$11:$B$20,G2)&lt;&gt;"",G3&lt;='設定'!$B$6),1,0)</f>
        <v/>
      </c>
      <c r="H115">
        <f>IF(AND(INDEX('設定'!$B$11:$B$20,H2)&lt;&gt;"",H3&lt;='設定'!$B$6),1,0)</f>
        <v/>
      </c>
      <c r="I115">
        <f>IF(AND(INDEX('設定'!$B$11:$B$20,I2)&lt;&gt;"",I3&lt;='設定'!$B$6),1,0)</f>
        <v/>
      </c>
      <c r="J115">
        <f>IF(AND(INDEX('設定'!$B$11:$B$20,J2)&lt;&gt;"",J3&lt;='設定'!$B$6),1,0)</f>
        <v/>
      </c>
      <c r="K115">
        <f>IF(AND(INDEX('設定'!$B$11:$B$20,K2)&lt;&gt;"",K3&lt;='設定'!$B$6),1,0)</f>
        <v/>
      </c>
      <c r="L115">
        <f>IF(AND(INDEX('設定'!$B$11:$B$20,L2)&lt;&gt;"",L3&lt;='設定'!$B$6),1,0)</f>
        <v/>
      </c>
      <c r="M115">
        <f>IF(AND(INDEX('設定'!$B$11:$B$20,M2)&lt;&gt;"",M3&lt;='設定'!$B$6),1,0)</f>
        <v/>
      </c>
      <c r="N115">
        <f>IF(AND(INDEX('設定'!$B$11:$B$20,N2)&lt;&gt;"",N3&lt;='設定'!$B$6),1,0)</f>
        <v/>
      </c>
      <c r="O115">
        <f>IF(AND(INDEX('設定'!$B$11:$B$20,O2)&lt;&gt;"",O3&lt;='設定'!$B$6),1,0)</f>
        <v/>
      </c>
      <c r="P115">
        <f>IF(AND(INDEX('設定'!$B$11:$B$20,P2)&lt;&gt;"",P3&lt;='設定'!$B$6),1,0)</f>
        <v/>
      </c>
      <c r="Q115">
        <f>IF(AND(INDEX('設定'!$B$11:$B$20,Q2)&lt;&gt;"",Q3&lt;='設定'!$B$6),1,0)</f>
        <v/>
      </c>
      <c r="R115">
        <f>IF(AND(INDEX('設定'!$B$11:$B$20,R2)&lt;&gt;"",R3&lt;='設定'!$B$6),1,0)</f>
        <v/>
      </c>
      <c r="S115">
        <f>IF(AND(INDEX('設定'!$B$11:$B$20,S2)&lt;&gt;"",S3&lt;='設定'!$B$6),1,0)</f>
        <v/>
      </c>
      <c r="T115">
        <f>IF(AND(INDEX('設定'!$B$11:$B$20,T2)&lt;&gt;"",T3&lt;='設定'!$B$6),1,0)</f>
        <v/>
      </c>
      <c r="U115">
        <f>IF(AND(INDEX('設定'!$B$11:$B$20,U2)&lt;&gt;"",U3&lt;='設定'!$B$6),1,0)</f>
        <v/>
      </c>
      <c r="V115">
        <f>IF(AND(INDEX('設定'!$B$11:$B$20,V2)&lt;&gt;"",V3&lt;='設定'!$B$6),1,0)</f>
        <v/>
      </c>
      <c r="W115">
        <f>IF(AND(INDEX('設定'!$B$11:$B$20,W2)&lt;&gt;"",W3&lt;='設定'!$B$6),1,0)</f>
        <v/>
      </c>
      <c r="X115">
        <f>IF(AND(INDEX('設定'!$B$11:$B$20,X2)&lt;&gt;"",X3&lt;='設定'!$B$6),1,0)</f>
        <v/>
      </c>
      <c r="Y115">
        <f>IF(AND(INDEX('設定'!$B$11:$B$20,Y2)&lt;&gt;"",Y3&lt;='設定'!$B$6),1,0)</f>
        <v/>
      </c>
      <c r="Z115">
        <f>IF(AND(INDEX('設定'!$B$11:$B$20,Z2)&lt;&gt;"",Z3&lt;='設定'!$B$6),1,0)</f>
        <v/>
      </c>
      <c r="AA115">
        <f>IF(AND(INDEX('設定'!$B$11:$B$20,AA2)&lt;&gt;"",AA3&lt;='設定'!$B$6),1,0)</f>
        <v/>
      </c>
      <c r="AB115">
        <f>IF(AND(INDEX('設定'!$B$11:$B$20,AB2)&lt;&gt;"",AB3&lt;='設定'!$B$6),1,0)</f>
        <v/>
      </c>
      <c r="AC115">
        <f>IF(AND(INDEX('設定'!$B$11:$B$20,AC2)&lt;&gt;"",AC3&lt;='設定'!$B$6),1,0)</f>
        <v/>
      </c>
      <c r="AD115">
        <f>IF(AND(INDEX('設定'!$B$11:$B$20,AD2)&lt;&gt;"",AD3&lt;='設定'!$B$6),1,0)</f>
        <v/>
      </c>
      <c r="AE115">
        <f>IF(AND(INDEX('設定'!$B$11:$B$20,AE2)&lt;&gt;"",AE3&lt;='設定'!$B$6),1,0)</f>
        <v/>
      </c>
      <c r="AF115">
        <f>IF(AND(INDEX('設定'!$B$11:$B$20,AF2)&lt;&gt;"",AF3&lt;='設定'!$B$6),1,0)</f>
        <v/>
      </c>
      <c r="AG115">
        <f>IF(AND(INDEX('設定'!$B$11:$B$20,AG2)&lt;&gt;"",AG3&lt;='設定'!$B$6),1,0)</f>
        <v/>
      </c>
      <c r="AH115">
        <f>IF(AND(INDEX('設定'!$B$11:$B$20,AH2)&lt;&gt;"",AH3&lt;='設定'!$B$6),1,0)</f>
        <v/>
      </c>
      <c r="AI115">
        <f>IF(AND(INDEX('設定'!$B$11:$B$20,AI2)&lt;&gt;"",AI3&lt;='設定'!$B$6),1,0)</f>
        <v/>
      </c>
      <c r="AJ115">
        <f>IF(AND(INDEX('設定'!$B$11:$B$20,AJ2)&lt;&gt;"",AJ3&lt;='設定'!$B$6),1,0)</f>
        <v/>
      </c>
      <c r="AK115">
        <f>IF(AND(INDEX('設定'!$B$11:$B$20,AK2)&lt;&gt;"",AK3&lt;='設定'!$B$6),1,0)</f>
        <v/>
      </c>
      <c r="AL115">
        <f>IF(AND(INDEX('設定'!$B$11:$B$20,AL2)&lt;&gt;"",AL3&lt;='設定'!$B$6),1,0)</f>
        <v/>
      </c>
      <c r="AM115">
        <f>IF(AND(INDEX('設定'!$B$11:$B$20,AM2)&lt;&gt;"",AM3&lt;='設定'!$B$6),1,0)</f>
        <v/>
      </c>
      <c r="AN115">
        <f>IF(AND(INDEX('設定'!$B$11:$B$20,AN2)&lt;&gt;"",AN3&lt;='設定'!$B$6),1,0)</f>
        <v/>
      </c>
      <c r="AO115">
        <f>IF(AND(INDEX('設定'!$B$11:$B$20,AO2)&lt;&gt;"",AO3&lt;='設定'!$B$6),1,0)</f>
        <v/>
      </c>
      <c r="AP115">
        <f>IF(AND(INDEX('設定'!$B$11:$B$20,AP2)&lt;&gt;"",AP3&lt;='設定'!$B$6),1,0)</f>
        <v/>
      </c>
      <c r="AQ115">
        <f>IF(AND(INDEX('設定'!$B$11:$B$20,AQ2)&lt;&gt;"",AQ3&lt;='設定'!$B$6),1,0)</f>
        <v/>
      </c>
      <c r="AR115">
        <f>IF(AND(INDEX('設定'!$B$11:$B$20,AR2)&lt;&gt;"",AR3&lt;='設定'!$B$6),1,0)</f>
        <v/>
      </c>
      <c r="AS115">
        <f>IF(AND(INDEX('設定'!$B$11:$B$20,AS2)&lt;&gt;"",AS3&lt;='設定'!$B$6),1,0)</f>
        <v/>
      </c>
      <c r="AT115">
        <f>IF(AND(INDEX('設定'!$B$11:$B$20,AT2)&lt;&gt;"",AT3&lt;='設定'!$B$6),1,0)</f>
        <v/>
      </c>
      <c r="AU115">
        <f>IF(AND(INDEX('設定'!$B$11:$B$20,AU2)&lt;&gt;"",AU3&lt;='設定'!$B$6),1,0)</f>
        <v/>
      </c>
      <c r="AV115">
        <f>IF(AND(INDEX('設定'!$B$11:$B$20,AV2)&lt;&gt;"",AV3&lt;='設定'!$B$6),1,0)</f>
        <v/>
      </c>
      <c r="AW115">
        <f>IF(AND(INDEX('設定'!$B$11:$B$20,AW2)&lt;&gt;"",AW3&lt;='設定'!$B$6),1,0)</f>
        <v/>
      </c>
      <c r="AX115">
        <f>IF(AND(INDEX('設定'!$B$11:$B$20,AX2)&lt;&gt;"",AX3&lt;='設定'!$B$6),1,0)</f>
        <v/>
      </c>
      <c r="AY115">
        <f>IF(AND(INDEX('設定'!$B$11:$B$20,AY2)&lt;&gt;"",AY3&lt;='設定'!$B$6),1,0)</f>
        <v/>
      </c>
      <c r="AZ115">
        <f>IF(AND(INDEX('設定'!$B$11:$B$20,AZ2)&lt;&gt;"",AZ3&lt;='設定'!$B$6),1,0)</f>
        <v/>
      </c>
      <c r="BA115">
        <f>IF(AND(INDEX('設定'!$B$11:$B$20,BA2)&lt;&gt;"",BA3&lt;='設定'!$B$6),1,0)</f>
        <v/>
      </c>
      <c r="BB115">
        <f>IF(AND(INDEX('設定'!$B$11:$B$20,BB2)&lt;&gt;"",BB3&lt;='設定'!$B$6),1,0)</f>
        <v/>
      </c>
      <c r="BC115">
        <f>IF(AND(INDEX('設定'!$B$11:$B$20,BC2)&lt;&gt;"",BC3&lt;='設定'!$B$6),1,0)</f>
        <v/>
      </c>
      <c r="BD115">
        <f>IF(AND(INDEX('設定'!$B$11:$B$20,BD2)&lt;&gt;"",BD3&lt;='設定'!$B$6),1,0)</f>
        <v/>
      </c>
      <c r="BE115">
        <f>IF(AND(INDEX('設定'!$B$11:$B$20,BE2)&lt;&gt;"",BE3&lt;='設定'!$B$6),1,0)</f>
        <v/>
      </c>
      <c r="BF115">
        <f>IF(AND(INDEX('設定'!$B$11:$B$20,BF2)&lt;&gt;"",BF3&lt;='設定'!$B$6),1,0)</f>
        <v/>
      </c>
      <c r="BG115">
        <f>IF(AND(INDEX('設定'!$B$11:$B$20,BG2)&lt;&gt;"",BG3&lt;='設定'!$B$6),1,0)</f>
        <v/>
      </c>
      <c r="BH115">
        <f>IF(AND(INDEX('設定'!$B$11:$B$20,BH2)&lt;&gt;"",BH3&lt;='設定'!$B$6),1,0)</f>
        <v/>
      </c>
      <c r="BI115">
        <f>IF(AND(INDEX('設定'!$B$11:$B$20,BI2)&lt;&gt;"",BI3&lt;='設定'!$B$6),1,0)</f>
        <v/>
      </c>
      <c r="BJ115">
        <f>IF(AND(INDEX('設定'!$B$11:$B$20,BJ2)&lt;&gt;"",BJ3&lt;='設定'!$B$6),1,0)</f>
        <v/>
      </c>
      <c r="BK115">
        <f>IF(AND(INDEX('設定'!$B$11:$B$20,BK2)&lt;&gt;"",BK3&lt;='設定'!$B$6),1,0)</f>
        <v/>
      </c>
      <c r="BL115">
        <f>IF(AND(INDEX('設定'!$B$11:$B$20,BL2)&lt;&gt;"",BL3&lt;='設定'!$B$6),1,0)</f>
        <v/>
      </c>
      <c r="BM115">
        <f>IF(AND(INDEX('設定'!$B$11:$B$20,BM2)&lt;&gt;"",BM3&lt;='設定'!$B$6),1,0)</f>
        <v/>
      </c>
      <c r="BN115">
        <f>IF(AND(INDEX('設定'!$B$11:$B$20,BN2)&lt;&gt;"",BN3&lt;='設定'!$B$6),1,0)</f>
        <v/>
      </c>
      <c r="BO115">
        <f>IF(AND(INDEX('設定'!$B$11:$B$20,BO2)&lt;&gt;"",BO3&lt;='設定'!$B$6),1,0)</f>
        <v/>
      </c>
      <c r="BP115">
        <f>IF(AND(INDEX('設定'!$B$11:$B$20,BP2)&lt;&gt;"",BP3&lt;='設定'!$B$6),1,0)</f>
        <v/>
      </c>
      <c r="BQ115">
        <f>IF(AND(INDEX('設定'!$B$11:$B$20,BQ2)&lt;&gt;"",BQ3&lt;='設定'!$B$6),1,0)</f>
        <v/>
      </c>
      <c r="BR115">
        <f>IF(AND(INDEX('設定'!$B$11:$B$20,BR2)&lt;&gt;"",BR3&lt;='設定'!$B$6),1,0)</f>
        <v/>
      </c>
      <c r="BS115">
        <f>IF(AND(INDEX('設定'!$B$11:$B$20,BS2)&lt;&gt;"",BS3&lt;='設定'!$B$6),1,0)</f>
        <v/>
      </c>
      <c r="BT115">
        <f>IF(AND(INDEX('設定'!$B$11:$B$20,BT2)&lt;&gt;"",BT3&lt;='設定'!$B$6),1,0)</f>
        <v/>
      </c>
      <c r="BU115">
        <f>IF(AND(INDEX('設定'!$B$11:$B$20,BU2)&lt;&gt;"",BU3&lt;='設定'!$B$6),1,0)</f>
        <v/>
      </c>
      <c r="BV115">
        <f>IF(AND(INDEX('設定'!$B$11:$B$20,BV2)&lt;&gt;"",BV3&lt;='設定'!$B$6),1,0)</f>
        <v/>
      </c>
      <c r="BW115">
        <f>IF(AND(INDEX('設定'!$B$11:$B$20,BW2)&lt;&gt;"",BW3&lt;='設定'!$B$6),1,0)</f>
        <v/>
      </c>
      <c r="BX115">
        <f>IF(AND(INDEX('設定'!$B$11:$B$20,BX2)&lt;&gt;"",BX3&lt;='設定'!$B$6),1,0)</f>
        <v/>
      </c>
      <c r="BY115">
        <f>IF(AND(INDEX('設定'!$B$11:$B$20,BY2)&lt;&gt;"",BY3&lt;='設定'!$B$6),1,0)</f>
        <v/>
      </c>
      <c r="BZ115">
        <f>IF(AND(INDEX('設定'!$B$11:$B$20,BZ2)&lt;&gt;"",BZ3&lt;='設定'!$B$6),1,0)</f>
        <v/>
      </c>
      <c r="CA115">
        <f>IF(AND(INDEX('設定'!$B$11:$B$20,CA2)&lt;&gt;"",CA3&lt;='設定'!$B$6),1,0)</f>
        <v/>
      </c>
      <c r="CB115">
        <f>IF(AND(INDEX('設定'!$B$11:$B$20,CB2)&lt;&gt;"",CB3&lt;='設定'!$B$6),1,0)</f>
        <v/>
      </c>
      <c r="CC115">
        <f>IF(AND(INDEX('設定'!$B$11:$B$20,CC2)&lt;&gt;"",CC3&lt;='設定'!$B$6),1,0)</f>
        <v/>
      </c>
      <c r="CD115">
        <f>IF(AND(INDEX('設定'!$B$11:$B$20,CD2)&lt;&gt;"",CD3&lt;='設定'!$B$6),1,0)</f>
        <v/>
      </c>
      <c r="CE115">
        <f>IF(AND(INDEX('設定'!$B$11:$B$20,CE2)&lt;&gt;"",CE3&lt;='設定'!$B$6),1,0)</f>
        <v/>
      </c>
      <c r="CF115">
        <f>IF(AND(INDEX('設定'!$B$11:$B$20,CF2)&lt;&gt;"",CF3&lt;='設定'!$B$6),1,0)</f>
        <v/>
      </c>
      <c r="CG115">
        <f>IF(AND(INDEX('設定'!$B$11:$B$20,CG2)&lt;&gt;"",CG3&lt;='設定'!$B$6),1,0)</f>
        <v/>
      </c>
      <c r="CH115">
        <f>IF(AND(INDEX('設定'!$B$11:$B$20,CH2)&lt;&gt;"",CH3&lt;='設定'!$B$6),1,0)</f>
        <v/>
      </c>
      <c r="CI115">
        <f>IF(AND(INDEX('設定'!$B$11:$B$20,CI2)&lt;&gt;"",CI3&lt;='設定'!$B$6),1,0)</f>
        <v/>
      </c>
      <c r="CJ115">
        <f>IF(AND(INDEX('設定'!$B$11:$B$20,CJ2)&lt;&gt;"",CJ3&lt;='設定'!$B$6),1,0)</f>
        <v/>
      </c>
      <c r="CK115">
        <f>IF(AND(INDEX('設定'!$B$11:$B$20,CK2)&lt;&gt;"",CK3&lt;='設定'!$B$6),1,0)</f>
        <v/>
      </c>
      <c r="CL115">
        <f>IF(AND(INDEX('設定'!$B$11:$B$20,CL2)&lt;&gt;"",CL3&lt;='設定'!$B$6),1,0)</f>
        <v/>
      </c>
      <c r="CM115">
        <f>IF(AND(INDEX('設定'!$B$11:$B$20,CM2)&lt;&gt;"",CM3&lt;='設定'!$B$6),1,0)</f>
        <v/>
      </c>
      <c r="CN115">
        <f>IF(AND(INDEX('設定'!$B$11:$B$20,CN2)&lt;&gt;"",CN3&lt;='設定'!$B$6),1,0)</f>
        <v/>
      </c>
      <c r="CO115">
        <f>IF(AND(INDEX('設定'!$B$11:$B$20,CO2)&lt;&gt;"",CO3&lt;='設定'!$B$6),1,0)</f>
        <v/>
      </c>
      <c r="CP115">
        <f>IF(AND(INDEX('設定'!$B$11:$B$20,CP2)&lt;&gt;"",CP3&lt;='設定'!$B$6),1,0)</f>
        <v/>
      </c>
      <c r="CQ115">
        <f>IF(AND(INDEX('設定'!$B$11:$B$20,CQ2)&lt;&gt;"",CQ3&lt;='設定'!$B$6),1,0)</f>
        <v/>
      </c>
      <c r="CR115">
        <f>IF(AND(INDEX('設定'!$B$11:$B$20,CR2)&lt;&gt;"",CR3&lt;='設定'!$B$6),1,0)</f>
        <v/>
      </c>
      <c r="CS115">
        <f>IF(AND(INDEX('設定'!$B$11:$B$20,CS2)&lt;&gt;"",CS3&lt;='設定'!$B$6),1,0)</f>
        <v/>
      </c>
      <c r="CT115">
        <f>IF(AND(INDEX('設定'!$B$11:$B$20,CT2)&lt;&gt;"",CT3&lt;='設定'!$B$6),1,0)</f>
        <v/>
      </c>
      <c r="CU115">
        <f>IF(AND(INDEX('設定'!$B$11:$B$20,CU2)&lt;&gt;"",CU3&lt;='設定'!$B$6),1,0)</f>
        <v/>
      </c>
      <c r="CV115">
        <f>IF(AND(INDEX('設定'!$B$11:$B$20,CV2)&lt;&gt;"",CV3&lt;='設定'!$B$6),1,0)</f>
        <v/>
      </c>
      <c r="CW115">
        <f>IF(AND(INDEX('設定'!$B$11:$B$20,CW2)&lt;&gt;"",CW3&lt;='設定'!$B$6),1,0)</f>
        <v/>
      </c>
      <c r="CX115">
        <f>IF(AND(INDEX('設定'!$B$11:$B$20,CX2)&lt;&gt;"",CX3&lt;='設定'!$B$6),1,0)</f>
        <v/>
      </c>
      <c r="CY115">
        <f>IF(AND(INDEX('設定'!$B$11:$B$20,CY2)&lt;&gt;"",CY3&lt;='設定'!$B$6),1,0)</f>
        <v/>
      </c>
      <c r="CZ115">
        <f>IF(AND(INDEX('設定'!$B$11:$B$20,CZ2)&lt;&gt;"",CZ3&lt;='設定'!$B$6),1,0)</f>
        <v/>
      </c>
      <c r="DA115">
        <f>IF(AND(INDEX('設定'!$B$11:$B$20,DA2)&lt;&gt;"",DA3&lt;='設定'!$B$6),1,0)</f>
        <v/>
      </c>
      <c r="DB115">
        <f>IF(AND(INDEX('設定'!$B$11:$B$20,DB2)&lt;&gt;"",DB3&lt;='設定'!$B$6),1,0)</f>
        <v/>
      </c>
      <c r="DC115">
        <f>IF(AND(INDEX('設定'!$B$11:$B$20,DC2)&lt;&gt;"",DC3&lt;='設定'!$B$6),1,0)</f>
        <v/>
      </c>
      <c r="DD115">
        <f>IF(AND(INDEX('設定'!$B$11:$B$20,DD2)&lt;&gt;"",DD3&lt;='設定'!$B$6),1,0)</f>
        <v/>
      </c>
      <c r="DE115">
        <f>IF(AND(INDEX('設定'!$B$11:$B$20,DE2)&lt;&gt;"",DE3&lt;='設定'!$B$6),1,0)</f>
        <v/>
      </c>
      <c r="DF115">
        <f>IF(AND(INDEX('設定'!$B$11:$B$20,DF2)&lt;&gt;"",DF3&lt;='設定'!$B$6),1,0)</f>
        <v/>
      </c>
      <c r="DG115">
        <f>IF(AND(INDEX('設定'!$B$11:$B$20,DG2)&lt;&gt;"",DG3&lt;='設定'!$B$6),1,0)</f>
        <v/>
      </c>
      <c r="DH115">
        <f>IF(AND(INDEX('設定'!$B$11:$B$20,DH2)&lt;&gt;"",DH3&lt;='設定'!$B$6),1,0)</f>
        <v/>
      </c>
      <c r="DI115">
        <f>IF(AND(INDEX('設定'!$B$11:$B$20,DI2)&lt;&gt;"",DI3&lt;='設定'!$B$6),1,0)</f>
        <v/>
      </c>
      <c r="DJ115">
        <f>IF(AND(INDEX('設定'!$B$11:$B$20,DJ2)&lt;&gt;"",DJ3&lt;='設定'!$B$6),1,0)</f>
        <v/>
      </c>
      <c r="DK115">
        <f>IF(AND(INDEX('設定'!$B$11:$B$20,DK2)&lt;&gt;"",DK3&lt;='設定'!$B$6),1,0)</f>
        <v/>
      </c>
      <c r="DL115">
        <f>IF(AND(INDEX('設定'!$B$11:$B$20,DL2)&lt;&gt;"",DL3&lt;='設定'!$B$6),1,0)</f>
        <v/>
      </c>
      <c r="DM115">
        <f>IF(AND(INDEX('設定'!$B$11:$B$20,DM2)&lt;&gt;"",DM3&lt;='設定'!$B$6),1,0)</f>
        <v/>
      </c>
      <c r="DN115">
        <f>IF(AND(INDEX('設定'!$B$11:$B$20,DN2)&lt;&gt;"",DN3&lt;='設定'!$B$6),1,0)</f>
        <v/>
      </c>
      <c r="DO115">
        <f>IF(AND(INDEX('設定'!$B$11:$B$20,DO2)&lt;&gt;"",DO3&lt;='設定'!$B$6),1,0)</f>
        <v/>
      </c>
      <c r="DP115">
        <f>IF(AND(INDEX('設定'!$B$11:$B$20,DP2)&lt;&gt;"",DP3&lt;='設定'!$B$6),1,0)</f>
        <v/>
      </c>
      <c r="DQ115">
        <f>IF(AND(INDEX('設定'!$B$11:$B$20,DQ2)&lt;&gt;"",DQ3&lt;='設定'!$B$6),1,0)</f>
        <v/>
      </c>
      <c r="DR115">
        <f>IF(AND(INDEX('設定'!$B$11:$B$20,DR2)&lt;&gt;"",DR3&lt;='設定'!$B$6),1,0)</f>
        <v/>
      </c>
      <c r="DS115">
        <f>IF(AND(INDEX('設定'!$B$11:$B$20,DS2)&lt;&gt;"",DS3&lt;='設定'!$B$6),1,0)</f>
        <v/>
      </c>
      <c r="DT115">
        <f>IF(AND(INDEX('設定'!$B$11:$B$20,DT2)&lt;&gt;"",DT3&lt;='設定'!$B$6),1,0)</f>
        <v/>
      </c>
      <c r="DU115">
        <f>IF(AND(INDEX('設定'!$B$11:$B$20,DU2)&lt;&gt;"",DU3&lt;='設定'!$B$6),1,0)</f>
        <v/>
      </c>
      <c r="DV115">
        <f>IF(AND(INDEX('設定'!$B$11:$B$20,DV2)&lt;&gt;"",DV3&lt;='設定'!$B$6),1,0)</f>
        <v/>
      </c>
      <c r="DW115">
        <f>IF(AND(INDEX('設定'!$B$11:$B$20,DW2)&lt;&gt;"",DW3&lt;='設定'!$B$6),1,0)</f>
        <v/>
      </c>
      <c r="DX115">
        <f>IF(AND(INDEX('設定'!$B$11:$B$20,DX2)&lt;&gt;"",DX3&lt;='設定'!$B$6),1,0)</f>
        <v/>
      </c>
      <c r="DY115">
        <f>IF(AND(INDEX('設定'!$B$11:$B$20,DY2)&lt;&gt;"",DY3&lt;='設定'!$B$6),1,0)</f>
        <v/>
      </c>
      <c r="DZ115">
        <f>IF(AND(INDEX('設定'!$B$11:$B$20,DZ2)&lt;&gt;"",DZ3&lt;='設定'!$B$6),1,0)</f>
        <v/>
      </c>
      <c r="EA115">
        <f>IF(AND(INDEX('設定'!$B$11:$B$20,EA2)&lt;&gt;"",EA3&lt;='設定'!$B$6),1,0)</f>
        <v/>
      </c>
      <c r="EB115">
        <f>IF(AND(INDEX('設定'!$B$11:$B$20,EB2)&lt;&gt;"",EB3&lt;='設定'!$B$6),1,0)</f>
        <v/>
      </c>
      <c r="EC115">
        <f>IF(AND(INDEX('設定'!$B$11:$B$20,EC2)&lt;&gt;"",EC3&lt;='設定'!$B$6),1,0)</f>
        <v/>
      </c>
      <c r="ED115">
        <f>IF(AND(INDEX('設定'!$B$11:$B$20,ED2)&lt;&gt;"",ED3&lt;='設定'!$B$6),1,0)</f>
        <v/>
      </c>
      <c r="EE115">
        <f>IF(AND(INDEX('設定'!$B$11:$B$20,EE2)&lt;&gt;"",EE3&lt;='設定'!$B$6),1,0)</f>
        <v/>
      </c>
      <c r="EF115">
        <f>IF(AND(INDEX('設定'!$B$11:$B$20,EF2)&lt;&gt;"",EF3&lt;='設定'!$B$6),1,0)</f>
        <v/>
      </c>
      <c r="EG115">
        <f>IF(AND(INDEX('設定'!$B$11:$B$20,EG2)&lt;&gt;"",EG3&lt;='設定'!$B$6),1,0)</f>
        <v/>
      </c>
      <c r="EH115">
        <f>IF(AND(INDEX('設定'!$B$11:$B$20,EH2)&lt;&gt;"",EH3&lt;='設定'!$B$6),1,0)</f>
        <v/>
      </c>
      <c r="EI115">
        <f>IF(AND(INDEX('設定'!$B$11:$B$20,EI2)&lt;&gt;"",EI3&lt;='設定'!$B$6),1,0)</f>
        <v/>
      </c>
      <c r="EJ115">
        <f>IF(AND(INDEX('設定'!$B$11:$B$20,EJ2)&lt;&gt;"",EJ3&lt;='設定'!$B$6),1,0)</f>
        <v/>
      </c>
      <c r="EK115">
        <f>IF(AND(INDEX('設定'!$B$11:$B$20,EK2)&lt;&gt;"",EK3&lt;='設定'!$B$6),1,0)</f>
        <v/>
      </c>
      <c r="EL115">
        <f>IF(AND(INDEX('設定'!$B$11:$B$20,EL2)&lt;&gt;"",EL3&lt;='設定'!$B$6),1,0)</f>
        <v/>
      </c>
      <c r="EM115">
        <f>IF(AND(INDEX('設定'!$B$11:$B$20,EM2)&lt;&gt;"",EM3&lt;='設定'!$B$6),1,0)</f>
        <v/>
      </c>
      <c r="EN115">
        <f>IF(AND(INDEX('設定'!$B$11:$B$20,EN2)&lt;&gt;"",EN3&lt;='設定'!$B$6),1,0)</f>
        <v/>
      </c>
      <c r="EO115">
        <f>IF(AND(INDEX('設定'!$B$11:$B$20,EO2)&lt;&gt;"",EO3&lt;='設定'!$B$6),1,0)</f>
        <v/>
      </c>
      <c r="EP115">
        <f>IF(AND(INDEX('設定'!$B$11:$B$20,EP2)&lt;&gt;"",EP3&lt;='設定'!$B$6),1,0)</f>
        <v/>
      </c>
      <c r="EQ115">
        <f>IF(AND(INDEX('設定'!$B$11:$B$20,EQ2)&lt;&gt;"",EQ3&lt;='設定'!$B$6),1,0)</f>
        <v/>
      </c>
      <c r="ER115">
        <f>IF(AND(INDEX('設定'!$B$11:$B$20,ER2)&lt;&gt;"",ER3&lt;='設定'!$B$6),1,0)</f>
        <v/>
      </c>
      <c r="ES115">
        <f>IF(AND(INDEX('設定'!$B$11:$B$20,ES2)&lt;&gt;"",ES3&lt;='設定'!$B$6),1,0)</f>
        <v/>
      </c>
      <c r="ET115">
        <f>IF(AND(INDEX('設定'!$B$11:$B$20,ET2)&lt;&gt;"",ET3&lt;='設定'!$B$6),1,0)</f>
        <v/>
      </c>
      <c r="EU115">
        <f>IF(AND(INDEX('設定'!$B$11:$B$20,EU2)&lt;&gt;"",EU3&lt;='設定'!$B$6),1,0)</f>
        <v/>
      </c>
      <c r="EV115">
        <f>IF(AND(INDEX('設定'!$B$11:$B$20,EV2)&lt;&gt;"",EV3&lt;='設定'!$B$6),1,0)</f>
        <v/>
      </c>
      <c r="EW115">
        <f>IF(AND(INDEX('設定'!$B$11:$B$20,EW2)&lt;&gt;"",EW3&lt;='設定'!$B$6),1,0)</f>
        <v/>
      </c>
      <c r="EX115">
        <f>IF(AND(INDEX('設定'!$B$11:$B$20,EX2)&lt;&gt;"",EX3&lt;='設定'!$B$6),1,0)</f>
        <v/>
      </c>
      <c r="EY115">
        <f>IF(AND(INDEX('設定'!$B$11:$B$20,EY2)&lt;&gt;"",EY3&lt;='設定'!$B$6),1,0)</f>
        <v/>
      </c>
      <c r="EZ115">
        <f>IF(AND(INDEX('設定'!$B$11:$B$20,EZ2)&lt;&gt;"",EZ3&lt;='設定'!$B$6),1,0)</f>
        <v/>
      </c>
      <c r="FA115">
        <f>IF(AND(INDEX('設定'!$B$11:$B$20,FA2)&lt;&gt;"",FA3&lt;='設定'!$B$6),1,0)</f>
        <v/>
      </c>
      <c r="FB115">
        <f>IF(AND(INDEX('設定'!$B$11:$B$20,FB2)&lt;&gt;"",FB3&lt;='設定'!$B$6),1,0)</f>
        <v/>
      </c>
      <c r="FC115">
        <f>IF(AND(INDEX('設定'!$B$11:$B$20,FC2)&lt;&gt;"",FC3&lt;='設定'!$B$6),1,0)</f>
        <v/>
      </c>
      <c r="FD115">
        <f>IF(AND(INDEX('設定'!$B$11:$B$20,FD2)&lt;&gt;"",FD3&lt;='設定'!$B$6),1,0)</f>
        <v/>
      </c>
      <c r="FE115">
        <f>IF(AND(INDEX('設定'!$B$11:$B$20,FE2)&lt;&gt;"",FE3&lt;='設定'!$B$6),1,0)</f>
        <v/>
      </c>
      <c r="FF115">
        <f>IF(AND(INDEX('設定'!$B$11:$B$20,FF2)&lt;&gt;"",FF3&lt;='設定'!$B$6),1,0)</f>
        <v/>
      </c>
      <c r="FG115">
        <f>IF(AND(INDEX('設定'!$B$11:$B$20,FG2)&lt;&gt;"",FG3&lt;='設定'!$B$6),1,0)</f>
        <v/>
      </c>
      <c r="FH115">
        <f>IF(AND(INDEX('設定'!$B$11:$B$20,FH2)&lt;&gt;"",FH3&lt;='設定'!$B$6),1,0)</f>
        <v/>
      </c>
      <c r="FI115">
        <f>IF(AND(INDEX('設定'!$B$11:$B$20,FI2)&lt;&gt;"",FI3&lt;='設定'!$B$6),1,0)</f>
        <v/>
      </c>
      <c r="FJ115">
        <f>IF(AND(INDEX('設定'!$B$11:$B$20,FJ2)&lt;&gt;"",FJ3&lt;='設定'!$B$6),1,0)</f>
        <v/>
      </c>
      <c r="FK115">
        <f>IF(AND(INDEX('設定'!$B$11:$B$20,FK2)&lt;&gt;"",FK3&lt;='設定'!$B$6),1,0)</f>
        <v/>
      </c>
      <c r="FL115">
        <f>IF(AND(INDEX('設定'!$B$11:$B$20,FL2)&lt;&gt;"",FL3&lt;='設定'!$B$6),1,0)</f>
        <v/>
      </c>
      <c r="FM115">
        <f>IF(AND(INDEX('設定'!$B$11:$B$20,FM2)&lt;&gt;"",FM3&lt;='設定'!$B$6),1,0)</f>
        <v/>
      </c>
      <c r="FN115">
        <f>IF(AND(INDEX('設定'!$B$11:$B$20,FN2)&lt;&gt;"",FN3&lt;='設定'!$B$6),1,0)</f>
        <v/>
      </c>
      <c r="FO115">
        <f>IF(AND(INDEX('設定'!$B$11:$B$20,FO2)&lt;&gt;"",FO3&lt;='設定'!$B$6),1,0)</f>
        <v/>
      </c>
      <c r="FP115">
        <f>IF(AND(INDEX('設定'!$B$11:$B$20,FP2)&lt;&gt;"",FP3&lt;='設定'!$B$6),1,0)</f>
        <v/>
      </c>
      <c r="FQ115">
        <f>IF(AND(INDEX('設定'!$B$11:$B$20,FQ2)&lt;&gt;"",FQ3&lt;='設定'!$B$6),1,0)</f>
        <v/>
      </c>
      <c r="FR115">
        <f>IF(AND(INDEX('設定'!$B$11:$B$20,FR2)&lt;&gt;"",FR3&lt;='設定'!$B$6),1,0)</f>
        <v/>
      </c>
      <c r="FS115">
        <f>IF(AND(INDEX('設定'!$B$11:$B$20,FS2)&lt;&gt;"",FS3&lt;='設定'!$B$6),1,0)</f>
        <v/>
      </c>
      <c r="FT115">
        <f>IF(AND(INDEX('設定'!$B$11:$B$20,FT2)&lt;&gt;"",FT3&lt;='設定'!$B$6),1,0)</f>
        <v/>
      </c>
      <c r="FU115">
        <f>IF(AND(INDEX('設定'!$B$11:$B$20,FU2)&lt;&gt;"",FU3&lt;='設定'!$B$6),1,0)</f>
        <v/>
      </c>
      <c r="FV115">
        <f>IF(AND(INDEX('設定'!$B$11:$B$20,FV2)&lt;&gt;"",FV3&lt;='設定'!$B$6),1,0)</f>
        <v/>
      </c>
      <c r="FW115">
        <f>IF(AND(INDEX('設定'!$B$11:$B$20,FW2)&lt;&gt;"",FW3&lt;='設定'!$B$6),1,0)</f>
        <v/>
      </c>
      <c r="FX115">
        <f>IF(AND(INDEX('設定'!$B$11:$B$20,FX2)&lt;&gt;"",FX3&lt;='設定'!$B$6),1,0)</f>
        <v/>
      </c>
      <c r="FY115">
        <f>IF(AND(INDEX('設定'!$B$11:$B$20,FY2)&lt;&gt;"",FY3&lt;='設定'!$B$6),1,0)</f>
        <v/>
      </c>
      <c r="FZ115">
        <f>IF(AND(INDEX('設定'!$B$11:$B$20,FZ2)&lt;&gt;"",FZ3&lt;='設定'!$B$6),1,0)</f>
        <v/>
      </c>
      <c r="GA115">
        <f>IF(AND(INDEX('設定'!$B$11:$B$20,GA2)&lt;&gt;"",GA3&lt;='設定'!$B$6),1,0)</f>
        <v/>
      </c>
      <c r="GB115">
        <f>IF(AND(INDEX('設定'!$B$11:$B$20,GB2)&lt;&gt;"",GB3&lt;='設定'!$B$6),1,0)</f>
        <v/>
      </c>
      <c r="GC115">
        <f>IF(AND(INDEX('設定'!$B$11:$B$20,GC2)&lt;&gt;"",GC3&lt;='設定'!$B$6),1,0)</f>
        <v/>
      </c>
      <c r="GD115">
        <f>IF(AND(INDEX('設定'!$B$11:$B$20,GD2)&lt;&gt;"",GD3&lt;='設定'!$B$6),1,0)</f>
        <v/>
      </c>
      <c r="GE115">
        <f>IF(AND(INDEX('設定'!$B$11:$B$20,GE2)&lt;&gt;"",GE3&lt;='設定'!$B$6),1,0)</f>
        <v/>
      </c>
      <c r="GF115">
        <f>IF(AND(INDEX('設定'!$B$11:$B$20,GF2)&lt;&gt;"",GF3&lt;='設定'!$B$6),1,0)</f>
        <v/>
      </c>
      <c r="GG115">
        <f>IF(AND(INDEX('設定'!$B$11:$B$20,GG2)&lt;&gt;"",GG3&lt;='設定'!$B$6),1,0)</f>
        <v/>
      </c>
      <c r="GH115">
        <f>IF(AND(INDEX('設定'!$B$11:$B$20,GH2)&lt;&gt;"",GH3&lt;='設定'!$B$6),1,0)</f>
        <v/>
      </c>
      <c r="GI115">
        <f>IF(AND(INDEX('設定'!$B$11:$B$20,GI2)&lt;&gt;"",GI3&lt;='設定'!$B$6),1,0)</f>
        <v/>
      </c>
      <c r="GJ115">
        <f>IF(AND(INDEX('設定'!$B$11:$B$20,GJ2)&lt;&gt;"",GJ3&lt;='設定'!$B$6),1,0)</f>
        <v/>
      </c>
      <c r="GK115">
        <f>IF(AND(INDEX('設定'!$B$11:$B$20,GK2)&lt;&gt;"",GK3&lt;='設定'!$B$6),1,0)</f>
        <v/>
      </c>
      <c r="GL115">
        <f>IF(AND(INDEX('設定'!$B$11:$B$20,GL2)&lt;&gt;"",GL3&lt;='設定'!$B$6),1,0)</f>
        <v/>
      </c>
      <c r="GM115">
        <f>IF(AND(INDEX('設定'!$B$11:$B$20,GM2)&lt;&gt;"",GM3&lt;='設定'!$B$6),1,0)</f>
        <v/>
      </c>
      <c r="GN115">
        <f>IF(AND(INDEX('設定'!$B$11:$B$20,GN2)&lt;&gt;"",GN3&lt;='設定'!$B$6),1,0)</f>
        <v/>
      </c>
      <c r="GO115">
        <f>IF(AND(INDEX('設定'!$B$11:$B$20,GO2)&lt;&gt;"",GO3&lt;='設定'!$B$6),1,0)</f>
        <v/>
      </c>
      <c r="GP115">
        <f>IF(AND(INDEX('設定'!$B$11:$B$20,GP2)&lt;&gt;"",GP3&lt;='設定'!$B$6),1,0)</f>
        <v/>
      </c>
      <c r="GQ115">
        <f>IF(AND(INDEX('設定'!$B$11:$B$20,GQ2)&lt;&gt;"",GQ3&lt;='設定'!$B$6),1,0)</f>
        <v/>
      </c>
      <c r="GR115">
        <f>IF(AND(INDEX('設定'!$B$11:$B$20,GR2)&lt;&gt;"",GR3&lt;='設定'!$B$6),1,0)</f>
        <v/>
      </c>
      <c r="GS115">
        <f>IF(AND(INDEX('設定'!$B$11:$B$20,GS2)&lt;&gt;"",GS3&lt;='設定'!$B$6),1,0)</f>
        <v/>
      </c>
      <c r="GT115">
        <f>IF(AND(INDEX('設定'!$B$11:$B$20,GT2)&lt;&gt;"",GT3&lt;='設定'!$B$6),1,0)</f>
        <v/>
      </c>
      <c r="GU115">
        <f>IF(AND(INDEX('設定'!$B$11:$B$20,GU2)&lt;&gt;"",GU3&lt;='設定'!$B$6),1,0)</f>
        <v/>
      </c>
      <c r="GV115">
        <f>IF(AND(INDEX('設定'!$B$11:$B$20,GV2)&lt;&gt;"",GV3&lt;='設定'!$B$6),1,0)</f>
        <v/>
      </c>
      <c r="GW115">
        <f>IF(AND(INDEX('設定'!$B$11:$B$20,GW2)&lt;&gt;"",GW3&lt;='設定'!$B$6),1,0)</f>
        <v/>
      </c>
      <c r="GX115">
        <f>IF(AND(INDEX('設定'!$B$11:$B$20,GX2)&lt;&gt;"",GX3&lt;='設定'!$B$6),1,0)</f>
        <v/>
      </c>
      <c r="GY115">
        <f>IF(AND(INDEX('設定'!$B$11:$B$20,GY2)&lt;&gt;"",GY3&lt;='設定'!$B$6),1,0)</f>
        <v/>
      </c>
      <c r="GZ115">
        <f>IF(AND(INDEX('設定'!$B$11:$B$20,GZ2)&lt;&gt;"",GZ3&lt;='設定'!$B$6),1,0)</f>
        <v/>
      </c>
      <c r="HA115">
        <f>IF(AND(INDEX('設定'!$B$11:$B$20,HA2)&lt;&gt;"",HA3&lt;='設定'!$B$6),1,0)</f>
        <v/>
      </c>
      <c r="HB115">
        <f>IF(AND(INDEX('設定'!$B$11:$B$20,HB2)&lt;&gt;"",HB3&lt;='設定'!$B$6),1,0)</f>
        <v/>
      </c>
      <c r="HC115">
        <f>IF(AND(INDEX('設定'!$B$11:$B$20,HC2)&lt;&gt;"",HC3&lt;='設定'!$B$6),1,0)</f>
        <v/>
      </c>
      <c r="HD115">
        <f>IF(AND(INDEX('設定'!$B$11:$B$20,HD2)&lt;&gt;"",HD3&lt;='設定'!$B$6),1,0)</f>
        <v/>
      </c>
      <c r="HE115">
        <f>IF(AND(INDEX('設定'!$B$11:$B$20,HE2)&lt;&gt;"",HE3&lt;='設定'!$B$6),1,0)</f>
        <v/>
      </c>
      <c r="HF115">
        <f>IF(AND(INDEX('設定'!$B$11:$B$20,HF2)&lt;&gt;"",HF3&lt;='設定'!$B$6),1,0)</f>
        <v/>
      </c>
      <c r="HG115">
        <f>IF(AND(INDEX('設定'!$B$11:$B$20,HG2)&lt;&gt;"",HG3&lt;='設定'!$B$6),1,0)</f>
        <v/>
      </c>
      <c r="HH115">
        <f>IF(AND(INDEX('設定'!$B$11:$B$20,HH2)&lt;&gt;"",HH3&lt;='設定'!$B$6),1,0)</f>
        <v/>
      </c>
      <c r="HI115">
        <f>IF(AND(INDEX('設定'!$B$11:$B$20,HI2)&lt;&gt;"",HI3&lt;='設定'!$B$6),1,0)</f>
        <v/>
      </c>
      <c r="HJ115">
        <f>IF(AND(INDEX('設定'!$B$11:$B$20,HJ2)&lt;&gt;"",HJ3&lt;='設定'!$B$6),1,0)</f>
        <v/>
      </c>
      <c r="HK115">
        <f>IF(AND(INDEX('設定'!$B$11:$B$20,HK2)&lt;&gt;"",HK3&lt;='設定'!$B$6),1,0)</f>
        <v/>
      </c>
      <c r="HL115">
        <f>IF(AND(INDEX('設定'!$B$11:$B$20,HL2)&lt;&gt;"",HL3&lt;='設定'!$B$6),1,0)</f>
        <v/>
      </c>
      <c r="HM115">
        <f>IF(AND(INDEX('設定'!$B$11:$B$20,HM2)&lt;&gt;"",HM3&lt;='設定'!$B$6),1,0)</f>
        <v/>
      </c>
      <c r="HN115">
        <f>IF(AND(INDEX('設定'!$B$11:$B$20,HN2)&lt;&gt;"",HN3&lt;='設定'!$B$6),1,0)</f>
        <v/>
      </c>
      <c r="HO115">
        <f>IF(AND(INDEX('設定'!$B$11:$B$20,HO2)&lt;&gt;"",HO3&lt;='設定'!$B$6),1,0)</f>
        <v/>
      </c>
      <c r="HP115">
        <f>IF(AND(INDEX('設定'!$B$11:$B$20,HP2)&lt;&gt;"",HP3&lt;='設定'!$B$6),1,0)</f>
        <v/>
      </c>
      <c r="HQ115">
        <f>IF(AND(INDEX('設定'!$B$11:$B$20,HQ2)&lt;&gt;"",HQ3&lt;='設定'!$B$6),1,0)</f>
        <v/>
      </c>
      <c r="HR115">
        <f>IF(AND(INDEX('設定'!$B$11:$B$20,HR2)&lt;&gt;"",HR3&lt;='設定'!$B$6),1,0)</f>
        <v/>
      </c>
      <c r="HS115">
        <f>IF(AND(INDEX('設定'!$B$11:$B$20,HS2)&lt;&gt;"",HS3&lt;='設定'!$B$6),1,0)</f>
        <v/>
      </c>
      <c r="HT115">
        <f>IF(AND(INDEX('設定'!$B$11:$B$20,HT2)&lt;&gt;"",HT3&lt;='設定'!$B$6),1,0)</f>
        <v/>
      </c>
      <c r="HU115">
        <f>IF(AND(INDEX('設定'!$B$11:$B$20,HU2)&lt;&gt;"",HU3&lt;='設定'!$B$6),1,0)</f>
        <v/>
      </c>
      <c r="HV115">
        <f>IF(AND(INDEX('設定'!$B$11:$B$20,HV2)&lt;&gt;"",HV3&lt;='設定'!$B$6),1,0)</f>
        <v/>
      </c>
      <c r="HW115">
        <f>IF(AND(INDEX('設定'!$B$11:$B$20,HW2)&lt;&gt;"",HW3&lt;='設定'!$B$6),1,0)</f>
        <v/>
      </c>
      <c r="HX115">
        <f>IF(AND(INDEX('設定'!$B$11:$B$20,HX2)&lt;&gt;"",HX3&lt;='設定'!$B$6),1,0)</f>
        <v/>
      </c>
      <c r="HY115">
        <f>IF(AND(INDEX('設定'!$B$11:$B$20,HY2)&lt;&gt;"",HY3&lt;='設定'!$B$6),1,0)</f>
        <v/>
      </c>
      <c r="HZ115">
        <f>IF(AND(INDEX('設定'!$B$11:$B$20,HZ2)&lt;&gt;"",HZ3&lt;='設定'!$B$6),1,0)</f>
        <v/>
      </c>
      <c r="IA115">
        <f>IF(AND(INDEX('設定'!$B$11:$B$20,IA2)&lt;&gt;"",IA3&lt;='設定'!$B$6),1,0)</f>
        <v/>
      </c>
      <c r="IB115">
        <f>IF(AND(INDEX('設定'!$B$11:$B$20,IB2)&lt;&gt;"",IB3&lt;='設定'!$B$6),1,0)</f>
        <v/>
      </c>
      <c r="IC115">
        <f>IF(AND(INDEX('設定'!$B$11:$B$20,IC2)&lt;&gt;"",IC3&lt;='設定'!$B$6),1,0)</f>
        <v/>
      </c>
      <c r="ID115">
        <f>IF(AND(INDEX('設定'!$B$11:$B$20,ID2)&lt;&gt;"",ID3&lt;='設定'!$B$6),1,0)</f>
        <v/>
      </c>
      <c r="IE115">
        <f>IF(AND(INDEX('設定'!$B$11:$B$20,IE2)&lt;&gt;"",IE3&lt;='設定'!$B$6),1,0)</f>
        <v/>
      </c>
      <c r="IF115">
        <f>IF(AND(INDEX('設定'!$B$11:$B$20,IF2)&lt;&gt;"",IF3&lt;='設定'!$B$6),1,0)</f>
        <v/>
      </c>
      <c r="IG115">
        <f>IF(AND(INDEX('設定'!$B$11:$B$20,IG2)&lt;&gt;"",IG3&lt;='設定'!$B$6),1,0)</f>
        <v/>
      </c>
      <c r="IH115">
        <f>IF(AND(INDEX('設定'!$B$11:$B$20,IH2)&lt;&gt;"",IH3&lt;='設定'!$B$6),1,0)</f>
        <v/>
      </c>
      <c r="II115">
        <f>IF(AND(INDEX('設定'!$B$11:$B$20,II2)&lt;&gt;"",II3&lt;='設定'!$B$6),1,0)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P47"/>
  <sheetViews>
    <sheetView showGridLines="0" workbookViewId="0">
      <selection activeCell="A1" sqref="A1"/>
    </sheetView>
  </sheetViews>
  <sheetFormatPr baseColWidth="8" defaultRowHeight="15"/>
  <sheetData>
    <row r="1">
      <c r="A1" s="67" t="inlineStr">
        <is>
          <t>計算用（さわらないでください）</t>
        </is>
      </c>
      <c r="I1" t="inlineStr">
        <is>
          <t>済</t>
        </is>
      </c>
      <c r="BC1" t="inlineStr">
        <is>
          <t>点数（入れられる枠の数）</t>
        </is>
      </c>
      <c r="CW1" t="inlineStr">
        <is>
          <t>空き</t>
        </is>
      </c>
      <c r="MD1" t="inlineStr">
        <is>
          <t>次の枠が空いている</t>
        </is>
      </c>
      <c r="VK1" t="inlineStr">
        <is>
          <t>枠の点数</t>
        </is>
      </c>
    </row>
    <row r="2">
      <c r="A2" t="inlineStr">
        <is>
          <t>k</t>
        </is>
      </c>
      <c r="B2" t="inlineStr">
        <is>
          <t>児童</t>
        </is>
      </c>
      <c r="C2" t="inlineStr">
        <is>
          <t>枠</t>
        </is>
      </c>
      <c r="D2" t="inlineStr">
        <is>
          <t>空けたい枠</t>
        </is>
      </c>
      <c r="E2" t="inlineStr">
        <is>
          <t>後ろ空け</t>
        </is>
      </c>
      <c r="F2" t="inlineStr">
        <is>
          <t>希望</t>
        </is>
      </c>
      <c r="G2" t="inlineStr">
        <is>
          <t>空けた枠</t>
        </is>
      </c>
      <c r="I2" t="n">
        <v>1</v>
      </c>
      <c r="J2" t="n">
        <v>2</v>
      </c>
      <c r="K2" t="n">
        <v>3</v>
      </c>
      <c r="L2" t="n">
        <v>4</v>
      </c>
      <c r="M2" t="n">
        <v>5</v>
      </c>
      <c r="N2" t="n">
        <v>6</v>
      </c>
      <c r="O2" t="n">
        <v>7</v>
      </c>
      <c r="P2" t="n">
        <v>8</v>
      </c>
      <c r="Q2" t="n">
        <v>9</v>
      </c>
      <c r="R2" t="n">
        <v>10</v>
      </c>
      <c r="S2" t="n">
        <v>11</v>
      </c>
      <c r="T2" t="n">
        <v>12</v>
      </c>
      <c r="U2" t="n">
        <v>13</v>
      </c>
      <c r="V2" t="n">
        <v>14</v>
      </c>
      <c r="W2" t="n">
        <v>15</v>
      </c>
      <c r="X2" t="n">
        <v>16</v>
      </c>
      <c r="Y2" t="n">
        <v>17</v>
      </c>
      <c r="Z2" t="n">
        <v>18</v>
      </c>
      <c r="AA2" t="n">
        <v>19</v>
      </c>
      <c r="AB2" t="n">
        <v>20</v>
      </c>
      <c r="AC2" t="n">
        <v>21</v>
      </c>
      <c r="AD2" t="n">
        <v>22</v>
      </c>
      <c r="AE2" t="n">
        <v>23</v>
      </c>
      <c r="AF2" t="n">
        <v>24</v>
      </c>
      <c r="AG2" t="n">
        <v>25</v>
      </c>
      <c r="AH2" t="n">
        <v>26</v>
      </c>
      <c r="AI2" t="n">
        <v>27</v>
      </c>
      <c r="AJ2" t="n">
        <v>28</v>
      </c>
      <c r="AK2" t="n">
        <v>29</v>
      </c>
      <c r="AL2" t="n">
        <v>30</v>
      </c>
      <c r="AM2" t="n">
        <v>31</v>
      </c>
      <c r="AN2" t="n">
        <v>32</v>
      </c>
      <c r="AO2" t="n">
        <v>33</v>
      </c>
      <c r="AP2" t="n">
        <v>34</v>
      </c>
      <c r="AQ2" t="n">
        <v>35</v>
      </c>
      <c r="AR2" t="n">
        <v>36</v>
      </c>
      <c r="AS2" t="n">
        <v>37</v>
      </c>
      <c r="AT2" t="n">
        <v>38</v>
      </c>
      <c r="AU2" t="n">
        <v>39</v>
      </c>
      <c r="AV2" t="n">
        <v>40</v>
      </c>
      <c r="AW2" t="n">
        <v>41</v>
      </c>
      <c r="AX2" t="n">
        <v>42</v>
      </c>
      <c r="AY2" t="n">
        <v>43</v>
      </c>
      <c r="AZ2" t="n">
        <v>44</v>
      </c>
      <c r="BA2" t="n">
        <v>45</v>
      </c>
      <c r="BC2" t="n">
        <v>1</v>
      </c>
      <c r="BD2" t="n">
        <v>2</v>
      </c>
      <c r="BE2" t="n">
        <v>3</v>
      </c>
      <c r="BF2" t="n">
        <v>4</v>
      </c>
      <c r="BG2" t="n">
        <v>5</v>
      </c>
      <c r="BH2" t="n">
        <v>6</v>
      </c>
      <c r="BI2" t="n">
        <v>7</v>
      </c>
      <c r="BJ2" t="n">
        <v>8</v>
      </c>
      <c r="BK2" t="n">
        <v>9</v>
      </c>
      <c r="BL2" t="n">
        <v>10</v>
      </c>
      <c r="BM2" t="n">
        <v>11</v>
      </c>
      <c r="BN2" t="n">
        <v>12</v>
      </c>
      <c r="BO2" t="n">
        <v>13</v>
      </c>
      <c r="BP2" t="n">
        <v>14</v>
      </c>
      <c r="BQ2" t="n">
        <v>15</v>
      </c>
      <c r="BR2" t="n">
        <v>16</v>
      </c>
      <c r="BS2" t="n">
        <v>17</v>
      </c>
      <c r="BT2" t="n">
        <v>18</v>
      </c>
      <c r="BU2" t="n">
        <v>19</v>
      </c>
      <c r="BV2" t="n">
        <v>20</v>
      </c>
      <c r="BW2" t="n">
        <v>21</v>
      </c>
      <c r="BX2" t="n">
        <v>22</v>
      </c>
      <c r="BY2" t="n">
        <v>23</v>
      </c>
      <c r="BZ2" t="n">
        <v>24</v>
      </c>
      <c r="CA2" t="n">
        <v>25</v>
      </c>
      <c r="CB2" t="n">
        <v>26</v>
      </c>
      <c r="CC2" t="n">
        <v>27</v>
      </c>
      <c r="CD2" t="n">
        <v>28</v>
      </c>
      <c r="CE2" t="n">
        <v>29</v>
      </c>
      <c r="CF2" t="n">
        <v>30</v>
      </c>
      <c r="CG2" t="n">
        <v>31</v>
      </c>
      <c r="CH2" t="n">
        <v>32</v>
      </c>
      <c r="CI2" t="n">
        <v>33</v>
      </c>
      <c r="CJ2" t="n">
        <v>34</v>
      </c>
      <c r="CK2" t="n">
        <v>35</v>
      </c>
      <c r="CL2" t="n">
        <v>36</v>
      </c>
      <c r="CM2" t="n">
        <v>37</v>
      </c>
      <c r="CN2" t="n">
        <v>38</v>
      </c>
      <c r="CO2" t="n">
        <v>39</v>
      </c>
      <c r="CP2" t="n">
        <v>40</v>
      </c>
      <c r="CQ2" t="n">
        <v>41</v>
      </c>
      <c r="CR2" t="n">
        <v>42</v>
      </c>
      <c r="CS2" t="n">
        <v>43</v>
      </c>
      <c r="CT2" t="n">
        <v>44</v>
      </c>
      <c r="CU2" t="n">
        <v>45</v>
      </c>
      <c r="CW2" t="n">
        <v>1</v>
      </c>
      <c r="CX2" t="n">
        <v>2</v>
      </c>
      <c r="CY2" t="n">
        <v>3</v>
      </c>
      <c r="CZ2" t="n">
        <v>4</v>
      </c>
      <c r="DA2" t="n">
        <v>5</v>
      </c>
      <c r="DB2" t="n">
        <v>6</v>
      </c>
      <c r="DC2" t="n">
        <v>7</v>
      </c>
      <c r="DD2" t="n">
        <v>8</v>
      </c>
      <c r="DE2" t="n">
        <v>9</v>
      </c>
      <c r="DF2" t="n">
        <v>10</v>
      </c>
      <c r="DG2" t="n">
        <v>11</v>
      </c>
      <c r="DH2" t="n">
        <v>12</v>
      </c>
      <c r="DI2" t="n">
        <v>13</v>
      </c>
      <c r="DJ2" t="n">
        <v>14</v>
      </c>
      <c r="DK2" t="n">
        <v>15</v>
      </c>
      <c r="DL2" t="n">
        <v>16</v>
      </c>
      <c r="DM2" t="n">
        <v>17</v>
      </c>
      <c r="DN2" t="n">
        <v>18</v>
      </c>
      <c r="DO2" t="n">
        <v>19</v>
      </c>
      <c r="DP2" t="n">
        <v>20</v>
      </c>
      <c r="DQ2" t="n">
        <v>21</v>
      </c>
      <c r="DR2" t="n">
        <v>22</v>
      </c>
      <c r="DS2" t="n">
        <v>23</v>
      </c>
      <c r="DT2" t="n">
        <v>24</v>
      </c>
      <c r="DU2" t="n">
        <v>25</v>
      </c>
      <c r="DV2" t="n">
        <v>26</v>
      </c>
      <c r="DW2" t="n">
        <v>27</v>
      </c>
      <c r="DX2" t="n">
        <v>28</v>
      </c>
      <c r="DY2" t="n">
        <v>29</v>
      </c>
      <c r="DZ2" t="n">
        <v>30</v>
      </c>
      <c r="EA2" t="n">
        <v>31</v>
      </c>
      <c r="EB2" t="n">
        <v>32</v>
      </c>
      <c r="EC2" t="n">
        <v>33</v>
      </c>
      <c r="ED2" t="n">
        <v>34</v>
      </c>
      <c r="EE2" t="n">
        <v>35</v>
      </c>
      <c r="EF2" t="n">
        <v>36</v>
      </c>
      <c r="EG2" t="n">
        <v>37</v>
      </c>
      <c r="EH2" t="n">
        <v>38</v>
      </c>
      <c r="EI2" t="n">
        <v>39</v>
      </c>
      <c r="EJ2" t="n">
        <v>40</v>
      </c>
      <c r="EK2" t="n">
        <v>41</v>
      </c>
      <c r="EL2" t="n">
        <v>42</v>
      </c>
      <c r="EM2" t="n">
        <v>43</v>
      </c>
      <c r="EN2" t="n">
        <v>44</v>
      </c>
      <c r="EO2" t="n">
        <v>45</v>
      </c>
      <c r="EP2" t="n">
        <v>46</v>
      </c>
      <c r="EQ2" t="n">
        <v>47</v>
      </c>
      <c r="ER2" t="n">
        <v>48</v>
      </c>
      <c r="ES2" t="n">
        <v>49</v>
      </c>
      <c r="ET2" t="n">
        <v>50</v>
      </c>
      <c r="EU2" t="n">
        <v>51</v>
      </c>
      <c r="EV2" t="n">
        <v>52</v>
      </c>
      <c r="EW2" t="n">
        <v>53</v>
      </c>
      <c r="EX2" t="n">
        <v>54</v>
      </c>
      <c r="EY2" t="n">
        <v>55</v>
      </c>
      <c r="EZ2" t="n">
        <v>56</v>
      </c>
      <c r="FA2" t="n">
        <v>57</v>
      </c>
      <c r="FB2" t="n">
        <v>58</v>
      </c>
      <c r="FC2" t="n">
        <v>59</v>
      </c>
      <c r="FD2" t="n">
        <v>60</v>
      </c>
      <c r="FE2" t="n">
        <v>61</v>
      </c>
      <c r="FF2" t="n">
        <v>62</v>
      </c>
      <c r="FG2" t="n">
        <v>63</v>
      </c>
      <c r="FH2" t="n">
        <v>64</v>
      </c>
      <c r="FI2" t="n">
        <v>65</v>
      </c>
      <c r="FJ2" t="n">
        <v>66</v>
      </c>
      <c r="FK2" t="n">
        <v>67</v>
      </c>
      <c r="FL2" t="n">
        <v>68</v>
      </c>
      <c r="FM2" t="n">
        <v>69</v>
      </c>
      <c r="FN2" t="n">
        <v>70</v>
      </c>
      <c r="FO2" t="n">
        <v>71</v>
      </c>
      <c r="FP2" t="n">
        <v>72</v>
      </c>
      <c r="FQ2" t="n">
        <v>73</v>
      </c>
      <c r="FR2" t="n">
        <v>74</v>
      </c>
      <c r="FS2" t="n">
        <v>75</v>
      </c>
      <c r="FT2" t="n">
        <v>76</v>
      </c>
      <c r="FU2" t="n">
        <v>77</v>
      </c>
      <c r="FV2" t="n">
        <v>78</v>
      </c>
      <c r="FW2" t="n">
        <v>79</v>
      </c>
      <c r="FX2" t="n">
        <v>80</v>
      </c>
      <c r="FY2" t="n">
        <v>81</v>
      </c>
      <c r="FZ2" t="n">
        <v>82</v>
      </c>
      <c r="GA2" t="n">
        <v>83</v>
      </c>
      <c r="GB2" t="n">
        <v>84</v>
      </c>
      <c r="GC2" t="n">
        <v>85</v>
      </c>
      <c r="GD2" t="n">
        <v>86</v>
      </c>
      <c r="GE2" t="n">
        <v>87</v>
      </c>
      <c r="GF2" t="n">
        <v>88</v>
      </c>
      <c r="GG2" t="n">
        <v>89</v>
      </c>
      <c r="GH2" t="n">
        <v>90</v>
      </c>
      <c r="GI2" t="n">
        <v>91</v>
      </c>
      <c r="GJ2" t="n">
        <v>92</v>
      </c>
      <c r="GK2" t="n">
        <v>93</v>
      </c>
      <c r="GL2" t="n">
        <v>94</v>
      </c>
      <c r="GM2" t="n">
        <v>95</v>
      </c>
      <c r="GN2" t="n">
        <v>96</v>
      </c>
      <c r="GO2" t="n">
        <v>97</v>
      </c>
      <c r="GP2" t="n">
        <v>98</v>
      </c>
      <c r="GQ2" t="n">
        <v>99</v>
      </c>
      <c r="GR2" t="n">
        <v>100</v>
      </c>
      <c r="GS2" t="n">
        <v>101</v>
      </c>
      <c r="GT2" t="n">
        <v>102</v>
      </c>
      <c r="GU2" t="n">
        <v>103</v>
      </c>
      <c r="GV2" t="n">
        <v>104</v>
      </c>
      <c r="GW2" t="n">
        <v>105</v>
      </c>
      <c r="GX2" t="n">
        <v>106</v>
      </c>
      <c r="GY2" t="n">
        <v>107</v>
      </c>
      <c r="GZ2" t="n">
        <v>108</v>
      </c>
      <c r="HA2" t="n">
        <v>109</v>
      </c>
      <c r="HB2" t="n">
        <v>110</v>
      </c>
      <c r="HC2" t="n">
        <v>111</v>
      </c>
      <c r="HD2" t="n">
        <v>112</v>
      </c>
      <c r="HE2" t="n">
        <v>113</v>
      </c>
      <c r="HF2" t="n">
        <v>114</v>
      </c>
      <c r="HG2" t="n">
        <v>115</v>
      </c>
      <c r="HH2" t="n">
        <v>116</v>
      </c>
      <c r="HI2" t="n">
        <v>117</v>
      </c>
      <c r="HJ2" t="n">
        <v>118</v>
      </c>
      <c r="HK2" t="n">
        <v>119</v>
      </c>
      <c r="HL2" t="n">
        <v>120</v>
      </c>
      <c r="HM2" t="n">
        <v>121</v>
      </c>
      <c r="HN2" t="n">
        <v>122</v>
      </c>
      <c r="HO2" t="n">
        <v>123</v>
      </c>
      <c r="HP2" t="n">
        <v>124</v>
      </c>
      <c r="HQ2" t="n">
        <v>125</v>
      </c>
      <c r="HR2" t="n">
        <v>126</v>
      </c>
      <c r="HS2" t="n">
        <v>127</v>
      </c>
      <c r="HT2" t="n">
        <v>128</v>
      </c>
      <c r="HU2" t="n">
        <v>129</v>
      </c>
      <c r="HV2" t="n">
        <v>130</v>
      </c>
      <c r="HW2" t="n">
        <v>131</v>
      </c>
      <c r="HX2" t="n">
        <v>132</v>
      </c>
      <c r="HY2" t="n">
        <v>133</v>
      </c>
      <c r="HZ2" t="n">
        <v>134</v>
      </c>
      <c r="IA2" t="n">
        <v>135</v>
      </c>
      <c r="IB2" t="n">
        <v>136</v>
      </c>
      <c r="IC2" t="n">
        <v>137</v>
      </c>
      <c r="ID2" t="n">
        <v>138</v>
      </c>
      <c r="IE2" t="n">
        <v>139</v>
      </c>
      <c r="IF2" t="n">
        <v>140</v>
      </c>
      <c r="IG2" t="n">
        <v>141</v>
      </c>
      <c r="IH2" t="n">
        <v>142</v>
      </c>
      <c r="II2" t="n">
        <v>143</v>
      </c>
      <c r="IJ2" t="n">
        <v>144</v>
      </c>
      <c r="IK2" t="n">
        <v>145</v>
      </c>
      <c r="IL2" t="n">
        <v>146</v>
      </c>
      <c r="IM2" t="n">
        <v>147</v>
      </c>
      <c r="IN2" t="n">
        <v>148</v>
      </c>
      <c r="IO2" t="n">
        <v>149</v>
      </c>
      <c r="IP2" t="n">
        <v>150</v>
      </c>
      <c r="IQ2" t="n">
        <v>151</v>
      </c>
      <c r="IR2" t="n">
        <v>152</v>
      </c>
      <c r="IS2" t="n">
        <v>153</v>
      </c>
      <c r="IT2" t="n">
        <v>154</v>
      </c>
      <c r="IU2" t="n">
        <v>155</v>
      </c>
      <c r="IV2" t="n">
        <v>156</v>
      </c>
      <c r="IW2" t="n">
        <v>157</v>
      </c>
      <c r="IX2" t="n">
        <v>158</v>
      </c>
      <c r="IY2" t="n">
        <v>159</v>
      </c>
      <c r="IZ2" t="n">
        <v>160</v>
      </c>
      <c r="JA2" t="n">
        <v>161</v>
      </c>
      <c r="JB2" t="n">
        <v>162</v>
      </c>
      <c r="JC2" t="n">
        <v>163</v>
      </c>
      <c r="JD2" t="n">
        <v>164</v>
      </c>
      <c r="JE2" t="n">
        <v>165</v>
      </c>
      <c r="JF2" t="n">
        <v>166</v>
      </c>
      <c r="JG2" t="n">
        <v>167</v>
      </c>
      <c r="JH2" t="n">
        <v>168</v>
      </c>
      <c r="JI2" t="n">
        <v>169</v>
      </c>
      <c r="JJ2" t="n">
        <v>170</v>
      </c>
      <c r="JK2" t="n">
        <v>171</v>
      </c>
      <c r="JL2" t="n">
        <v>172</v>
      </c>
      <c r="JM2" t="n">
        <v>173</v>
      </c>
      <c r="JN2" t="n">
        <v>174</v>
      </c>
      <c r="JO2" t="n">
        <v>175</v>
      </c>
      <c r="JP2" t="n">
        <v>176</v>
      </c>
      <c r="JQ2" t="n">
        <v>177</v>
      </c>
      <c r="JR2" t="n">
        <v>178</v>
      </c>
      <c r="JS2" t="n">
        <v>179</v>
      </c>
      <c r="JT2" t="n">
        <v>180</v>
      </c>
      <c r="JU2" t="n">
        <v>181</v>
      </c>
      <c r="JV2" t="n">
        <v>182</v>
      </c>
      <c r="JW2" t="n">
        <v>183</v>
      </c>
      <c r="JX2" t="n">
        <v>184</v>
      </c>
      <c r="JY2" t="n">
        <v>185</v>
      </c>
      <c r="JZ2" t="n">
        <v>186</v>
      </c>
      <c r="KA2" t="n">
        <v>187</v>
      </c>
      <c r="KB2" t="n">
        <v>188</v>
      </c>
      <c r="KC2" t="n">
        <v>189</v>
      </c>
      <c r="KD2" t="n">
        <v>190</v>
      </c>
      <c r="KE2" t="n">
        <v>191</v>
      </c>
      <c r="KF2" t="n">
        <v>192</v>
      </c>
      <c r="KG2" t="n">
        <v>193</v>
      </c>
      <c r="KH2" t="n">
        <v>194</v>
      </c>
      <c r="KI2" t="n">
        <v>195</v>
      </c>
      <c r="KJ2" t="n">
        <v>196</v>
      </c>
      <c r="KK2" t="n">
        <v>197</v>
      </c>
      <c r="KL2" t="n">
        <v>198</v>
      </c>
      <c r="KM2" t="n">
        <v>199</v>
      </c>
      <c r="KN2" t="n">
        <v>200</v>
      </c>
      <c r="KO2" t="n">
        <v>201</v>
      </c>
      <c r="KP2" t="n">
        <v>202</v>
      </c>
      <c r="KQ2" t="n">
        <v>203</v>
      </c>
      <c r="KR2" t="n">
        <v>204</v>
      </c>
      <c r="KS2" t="n">
        <v>205</v>
      </c>
      <c r="KT2" t="n">
        <v>206</v>
      </c>
      <c r="KU2" t="n">
        <v>207</v>
      </c>
      <c r="KV2" t="n">
        <v>208</v>
      </c>
      <c r="KW2" t="n">
        <v>209</v>
      </c>
      <c r="KX2" t="n">
        <v>210</v>
      </c>
      <c r="KY2" t="n">
        <v>211</v>
      </c>
      <c r="KZ2" t="n">
        <v>212</v>
      </c>
      <c r="LA2" t="n">
        <v>213</v>
      </c>
      <c r="LB2" t="n">
        <v>214</v>
      </c>
      <c r="LC2" t="n">
        <v>215</v>
      </c>
      <c r="LD2" t="n">
        <v>216</v>
      </c>
      <c r="LE2" t="n">
        <v>217</v>
      </c>
      <c r="LF2" t="n">
        <v>218</v>
      </c>
      <c r="LG2" t="n">
        <v>219</v>
      </c>
      <c r="LH2" t="n">
        <v>220</v>
      </c>
      <c r="LI2" t="n">
        <v>221</v>
      </c>
      <c r="LJ2" t="n">
        <v>222</v>
      </c>
      <c r="LK2" t="n">
        <v>223</v>
      </c>
      <c r="LL2" t="n">
        <v>224</v>
      </c>
      <c r="LM2" t="n">
        <v>225</v>
      </c>
      <c r="LN2" t="n">
        <v>226</v>
      </c>
      <c r="LO2" t="n">
        <v>227</v>
      </c>
      <c r="LP2" t="n">
        <v>228</v>
      </c>
      <c r="LQ2" t="n">
        <v>229</v>
      </c>
      <c r="LR2" t="n">
        <v>230</v>
      </c>
      <c r="LS2" t="n">
        <v>231</v>
      </c>
      <c r="LT2" t="n">
        <v>232</v>
      </c>
      <c r="LU2" t="n">
        <v>233</v>
      </c>
      <c r="LV2" t="n">
        <v>234</v>
      </c>
      <c r="LW2" t="n">
        <v>235</v>
      </c>
      <c r="LX2" t="n">
        <v>236</v>
      </c>
      <c r="LY2" t="n">
        <v>237</v>
      </c>
      <c r="LZ2" t="n">
        <v>238</v>
      </c>
      <c r="MA2" t="n">
        <v>239</v>
      </c>
      <c r="MB2" t="n">
        <v>240</v>
      </c>
      <c r="MD2" t="n">
        <v>1</v>
      </c>
      <c r="ME2" t="n">
        <v>2</v>
      </c>
      <c r="MF2" t="n">
        <v>3</v>
      </c>
      <c r="MG2" t="n">
        <v>4</v>
      </c>
      <c r="MH2" t="n">
        <v>5</v>
      </c>
      <c r="MI2" t="n">
        <v>6</v>
      </c>
      <c r="MJ2" t="n">
        <v>7</v>
      </c>
      <c r="MK2" t="n">
        <v>8</v>
      </c>
      <c r="ML2" t="n">
        <v>9</v>
      </c>
      <c r="MM2" t="n">
        <v>10</v>
      </c>
      <c r="MN2" t="n">
        <v>11</v>
      </c>
      <c r="MO2" t="n">
        <v>12</v>
      </c>
      <c r="MP2" t="n">
        <v>13</v>
      </c>
      <c r="MQ2" t="n">
        <v>14</v>
      </c>
      <c r="MR2" t="n">
        <v>15</v>
      </c>
      <c r="MS2" t="n">
        <v>16</v>
      </c>
      <c r="MT2" t="n">
        <v>17</v>
      </c>
      <c r="MU2" t="n">
        <v>18</v>
      </c>
      <c r="MV2" t="n">
        <v>19</v>
      </c>
      <c r="MW2" t="n">
        <v>20</v>
      </c>
      <c r="MX2" t="n">
        <v>21</v>
      </c>
      <c r="MY2" t="n">
        <v>22</v>
      </c>
      <c r="MZ2" t="n">
        <v>23</v>
      </c>
      <c r="NA2" t="n">
        <v>24</v>
      </c>
      <c r="NB2" t="n">
        <v>25</v>
      </c>
      <c r="NC2" t="n">
        <v>26</v>
      </c>
      <c r="ND2" t="n">
        <v>27</v>
      </c>
      <c r="NE2" t="n">
        <v>28</v>
      </c>
      <c r="NF2" t="n">
        <v>29</v>
      </c>
      <c r="NG2" t="n">
        <v>30</v>
      </c>
      <c r="NH2" t="n">
        <v>31</v>
      </c>
      <c r="NI2" t="n">
        <v>32</v>
      </c>
      <c r="NJ2" t="n">
        <v>33</v>
      </c>
      <c r="NK2" t="n">
        <v>34</v>
      </c>
      <c r="NL2" t="n">
        <v>35</v>
      </c>
      <c r="NM2" t="n">
        <v>36</v>
      </c>
      <c r="NN2" t="n">
        <v>37</v>
      </c>
      <c r="NO2" t="n">
        <v>38</v>
      </c>
      <c r="NP2" t="n">
        <v>39</v>
      </c>
      <c r="NQ2" t="n">
        <v>40</v>
      </c>
      <c r="NR2" t="n">
        <v>41</v>
      </c>
      <c r="NS2" t="n">
        <v>42</v>
      </c>
      <c r="NT2" t="n">
        <v>43</v>
      </c>
      <c r="NU2" t="n">
        <v>44</v>
      </c>
      <c r="NV2" t="n">
        <v>45</v>
      </c>
      <c r="NW2" t="n">
        <v>46</v>
      </c>
      <c r="NX2" t="n">
        <v>47</v>
      </c>
      <c r="NY2" t="n">
        <v>48</v>
      </c>
      <c r="NZ2" t="n">
        <v>49</v>
      </c>
      <c r="OA2" t="n">
        <v>50</v>
      </c>
      <c r="OB2" t="n">
        <v>51</v>
      </c>
      <c r="OC2" t="n">
        <v>52</v>
      </c>
      <c r="OD2" t="n">
        <v>53</v>
      </c>
      <c r="OE2" t="n">
        <v>54</v>
      </c>
      <c r="OF2" t="n">
        <v>55</v>
      </c>
      <c r="OG2" t="n">
        <v>56</v>
      </c>
      <c r="OH2" t="n">
        <v>57</v>
      </c>
      <c r="OI2" t="n">
        <v>58</v>
      </c>
      <c r="OJ2" t="n">
        <v>59</v>
      </c>
      <c r="OK2" t="n">
        <v>60</v>
      </c>
      <c r="OL2" t="n">
        <v>61</v>
      </c>
      <c r="OM2" t="n">
        <v>62</v>
      </c>
      <c r="ON2" t="n">
        <v>63</v>
      </c>
      <c r="OO2" t="n">
        <v>64</v>
      </c>
      <c r="OP2" t="n">
        <v>65</v>
      </c>
      <c r="OQ2" t="n">
        <v>66</v>
      </c>
      <c r="OR2" t="n">
        <v>67</v>
      </c>
      <c r="OS2" t="n">
        <v>68</v>
      </c>
      <c r="OT2" t="n">
        <v>69</v>
      </c>
      <c r="OU2" t="n">
        <v>70</v>
      </c>
      <c r="OV2" t="n">
        <v>71</v>
      </c>
      <c r="OW2" t="n">
        <v>72</v>
      </c>
      <c r="OX2" t="n">
        <v>73</v>
      </c>
      <c r="OY2" t="n">
        <v>74</v>
      </c>
      <c r="OZ2" t="n">
        <v>75</v>
      </c>
      <c r="PA2" t="n">
        <v>76</v>
      </c>
      <c r="PB2" t="n">
        <v>77</v>
      </c>
      <c r="PC2" t="n">
        <v>78</v>
      </c>
      <c r="PD2" t="n">
        <v>79</v>
      </c>
      <c r="PE2" t="n">
        <v>80</v>
      </c>
      <c r="PF2" t="n">
        <v>81</v>
      </c>
      <c r="PG2" t="n">
        <v>82</v>
      </c>
      <c r="PH2" t="n">
        <v>83</v>
      </c>
      <c r="PI2" t="n">
        <v>84</v>
      </c>
      <c r="PJ2" t="n">
        <v>85</v>
      </c>
      <c r="PK2" t="n">
        <v>86</v>
      </c>
      <c r="PL2" t="n">
        <v>87</v>
      </c>
      <c r="PM2" t="n">
        <v>88</v>
      </c>
      <c r="PN2" t="n">
        <v>89</v>
      </c>
      <c r="PO2" t="n">
        <v>90</v>
      </c>
      <c r="PP2" t="n">
        <v>91</v>
      </c>
      <c r="PQ2" t="n">
        <v>92</v>
      </c>
      <c r="PR2" t="n">
        <v>93</v>
      </c>
      <c r="PS2" t="n">
        <v>94</v>
      </c>
      <c r="PT2" t="n">
        <v>95</v>
      </c>
      <c r="PU2" t="n">
        <v>96</v>
      </c>
      <c r="PV2" t="n">
        <v>97</v>
      </c>
      <c r="PW2" t="n">
        <v>98</v>
      </c>
      <c r="PX2" t="n">
        <v>99</v>
      </c>
      <c r="PY2" t="n">
        <v>100</v>
      </c>
      <c r="PZ2" t="n">
        <v>101</v>
      </c>
      <c r="QA2" t="n">
        <v>102</v>
      </c>
      <c r="QB2" t="n">
        <v>103</v>
      </c>
      <c r="QC2" t="n">
        <v>104</v>
      </c>
      <c r="QD2" t="n">
        <v>105</v>
      </c>
      <c r="QE2" t="n">
        <v>106</v>
      </c>
      <c r="QF2" t="n">
        <v>107</v>
      </c>
      <c r="QG2" t="n">
        <v>108</v>
      </c>
      <c r="QH2" t="n">
        <v>109</v>
      </c>
      <c r="QI2" t="n">
        <v>110</v>
      </c>
      <c r="QJ2" t="n">
        <v>111</v>
      </c>
      <c r="QK2" t="n">
        <v>112</v>
      </c>
      <c r="QL2" t="n">
        <v>113</v>
      </c>
      <c r="QM2" t="n">
        <v>114</v>
      </c>
      <c r="QN2" t="n">
        <v>115</v>
      </c>
      <c r="QO2" t="n">
        <v>116</v>
      </c>
      <c r="QP2" t="n">
        <v>117</v>
      </c>
      <c r="QQ2" t="n">
        <v>118</v>
      </c>
      <c r="QR2" t="n">
        <v>119</v>
      </c>
      <c r="QS2" t="n">
        <v>120</v>
      </c>
      <c r="QT2" t="n">
        <v>121</v>
      </c>
      <c r="QU2" t="n">
        <v>122</v>
      </c>
      <c r="QV2" t="n">
        <v>123</v>
      </c>
      <c r="QW2" t="n">
        <v>124</v>
      </c>
      <c r="QX2" t="n">
        <v>125</v>
      </c>
      <c r="QY2" t="n">
        <v>126</v>
      </c>
      <c r="QZ2" t="n">
        <v>127</v>
      </c>
      <c r="RA2" t="n">
        <v>128</v>
      </c>
      <c r="RB2" t="n">
        <v>129</v>
      </c>
      <c r="RC2" t="n">
        <v>130</v>
      </c>
      <c r="RD2" t="n">
        <v>131</v>
      </c>
      <c r="RE2" t="n">
        <v>132</v>
      </c>
      <c r="RF2" t="n">
        <v>133</v>
      </c>
      <c r="RG2" t="n">
        <v>134</v>
      </c>
      <c r="RH2" t="n">
        <v>135</v>
      </c>
      <c r="RI2" t="n">
        <v>136</v>
      </c>
      <c r="RJ2" t="n">
        <v>137</v>
      </c>
      <c r="RK2" t="n">
        <v>138</v>
      </c>
      <c r="RL2" t="n">
        <v>139</v>
      </c>
      <c r="RM2" t="n">
        <v>140</v>
      </c>
      <c r="RN2" t="n">
        <v>141</v>
      </c>
      <c r="RO2" t="n">
        <v>142</v>
      </c>
      <c r="RP2" t="n">
        <v>143</v>
      </c>
      <c r="RQ2" t="n">
        <v>144</v>
      </c>
      <c r="RR2" t="n">
        <v>145</v>
      </c>
      <c r="RS2" t="n">
        <v>146</v>
      </c>
      <c r="RT2" t="n">
        <v>147</v>
      </c>
      <c r="RU2" t="n">
        <v>148</v>
      </c>
      <c r="RV2" t="n">
        <v>149</v>
      </c>
      <c r="RW2" t="n">
        <v>150</v>
      </c>
      <c r="RX2" t="n">
        <v>151</v>
      </c>
      <c r="RY2" t="n">
        <v>152</v>
      </c>
      <c r="RZ2" t="n">
        <v>153</v>
      </c>
      <c r="SA2" t="n">
        <v>154</v>
      </c>
      <c r="SB2" t="n">
        <v>155</v>
      </c>
      <c r="SC2" t="n">
        <v>156</v>
      </c>
      <c r="SD2" t="n">
        <v>157</v>
      </c>
      <c r="SE2" t="n">
        <v>158</v>
      </c>
      <c r="SF2" t="n">
        <v>159</v>
      </c>
      <c r="SG2" t="n">
        <v>160</v>
      </c>
      <c r="SH2" t="n">
        <v>161</v>
      </c>
      <c r="SI2" t="n">
        <v>162</v>
      </c>
      <c r="SJ2" t="n">
        <v>163</v>
      </c>
      <c r="SK2" t="n">
        <v>164</v>
      </c>
      <c r="SL2" t="n">
        <v>165</v>
      </c>
      <c r="SM2" t="n">
        <v>166</v>
      </c>
      <c r="SN2" t="n">
        <v>167</v>
      </c>
      <c r="SO2" t="n">
        <v>168</v>
      </c>
      <c r="SP2" t="n">
        <v>169</v>
      </c>
      <c r="SQ2" t="n">
        <v>170</v>
      </c>
      <c r="SR2" t="n">
        <v>171</v>
      </c>
      <c r="SS2" t="n">
        <v>172</v>
      </c>
      <c r="ST2" t="n">
        <v>173</v>
      </c>
      <c r="SU2" t="n">
        <v>174</v>
      </c>
      <c r="SV2" t="n">
        <v>175</v>
      </c>
      <c r="SW2" t="n">
        <v>176</v>
      </c>
      <c r="SX2" t="n">
        <v>177</v>
      </c>
      <c r="SY2" t="n">
        <v>178</v>
      </c>
      <c r="SZ2" t="n">
        <v>179</v>
      </c>
      <c r="TA2" t="n">
        <v>180</v>
      </c>
      <c r="TB2" t="n">
        <v>181</v>
      </c>
      <c r="TC2" t="n">
        <v>182</v>
      </c>
      <c r="TD2" t="n">
        <v>183</v>
      </c>
      <c r="TE2" t="n">
        <v>184</v>
      </c>
      <c r="TF2" t="n">
        <v>185</v>
      </c>
      <c r="TG2" t="n">
        <v>186</v>
      </c>
      <c r="TH2" t="n">
        <v>187</v>
      </c>
      <c r="TI2" t="n">
        <v>188</v>
      </c>
      <c r="TJ2" t="n">
        <v>189</v>
      </c>
      <c r="TK2" t="n">
        <v>190</v>
      </c>
      <c r="TL2" t="n">
        <v>191</v>
      </c>
      <c r="TM2" t="n">
        <v>192</v>
      </c>
      <c r="TN2" t="n">
        <v>193</v>
      </c>
      <c r="TO2" t="n">
        <v>194</v>
      </c>
      <c r="TP2" t="n">
        <v>195</v>
      </c>
      <c r="TQ2" t="n">
        <v>196</v>
      </c>
      <c r="TR2" t="n">
        <v>197</v>
      </c>
      <c r="TS2" t="n">
        <v>198</v>
      </c>
      <c r="TT2" t="n">
        <v>199</v>
      </c>
      <c r="TU2" t="n">
        <v>200</v>
      </c>
      <c r="TV2" t="n">
        <v>201</v>
      </c>
      <c r="TW2" t="n">
        <v>202</v>
      </c>
      <c r="TX2" t="n">
        <v>203</v>
      </c>
      <c r="TY2" t="n">
        <v>204</v>
      </c>
      <c r="TZ2" t="n">
        <v>205</v>
      </c>
      <c r="UA2" t="n">
        <v>206</v>
      </c>
      <c r="UB2" t="n">
        <v>207</v>
      </c>
      <c r="UC2" t="n">
        <v>208</v>
      </c>
      <c r="UD2" t="n">
        <v>209</v>
      </c>
      <c r="UE2" t="n">
        <v>210</v>
      </c>
      <c r="UF2" t="n">
        <v>211</v>
      </c>
      <c r="UG2" t="n">
        <v>212</v>
      </c>
      <c r="UH2" t="n">
        <v>213</v>
      </c>
      <c r="UI2" t="n">
        <v>214</v>
      </c>
      <c r="UJ2" t="n">
        <v>215</v>
      </c>
      <c r="UK2" t="n">
        <v>216</v>
      </c>
      <c r="UL2" t="n">
        <v>217</v>
      </c>
      <c r="UM2" t="n">
        <v>218</v>
      </c>
      <c r="UN2" t="n">
        <v>219</v>
      </c>
      <c r="UO2" t="n">
        <v>220</v>
      </c>
      <c r="UP2" t="n">
        <v>221</v>
      </c>
      <c r="UQ2" t="n">
        <v>222</v>
      </c>
      <c r="UR2" t="n">
        <v>223</v>
      </c>
      <c r="US2" t="n">
        <v>224</v>
      </c>
      <c r="UT2" t="n">
        <v>225</v>
      </c>
      <c r="UU2" t="n">
        <v>226</v>
      </c>
      <c r="UV2" t="n">
        <v>227</v>
      </c>
      <c r="UW2" t="n">
        <v>228</v>
      </c>
      <c r="UX2" t="n">
        <v>229</v>
      </c>
      <c r="UY2" t="n">
        <v>230</v>
      </c>
      <c r="UZ2" t="n">
        <v>231</v>
      </c>
      <c r="VA2" t="n">
        <v>232</v>
      </c>
      <c r="VB2" t="n">
        <v>233</v>
      </c>
      <c r="VC2" t="n">
        <v>234</v>
      </c>
      <c r="VD2" t="n">
        <v>235</v>
      </c>
      <c r="VE2" t="n">
        <v>236</v>
      </c>
      <c r="VF2" t="n">
        <v>237</v>
      </c>
      <c r="VG2" t="n">
        <v>238</v>
      </c>
      <c r="VH2" t="n">
        <v>239</v>
      </c>
      <c r="VI2" t="n">
        <v>240</v>
      </c>
      <c r="VK2" t="n">
        <v>1</v>
      </c>
      <c r="VL2" t="n">
        <v>2</v>
      </c>
      <c r="VM2" t="n">
        <v>3</v>
      </c>
      <c r="VN2" t="n">
        <v>4</v>
      </c>
      <c r="VO2" t="n">
        <v>5</v>
      </c>
      <c r="VP2" t="n">
        <v>6</v>
      </c>
      <c r="VQ2" t="n">
        <v>7</v>
      </c>
      <c r="VR2" t="n">
        <v>8</v>
      </c>
      <c r="VS2" t="n">
        <v>9</v>
      </c>
      <c r="VT2" t="n">
        <v>10</v>
      </c>
      <c r="VU2" t="n">
        <v>11</v>
      </c>
      <c r="VV2" t="n">
        <v>12</v>
      </c>
      <c r="VW2" t="n">
        <v>13</v>
      </c>
      <c r="VX2" t="n">
        <v>14</v>
      </c>
      <c r="VY2" t="n">
        <v>15</v>
      </c>
      <c r="VZ2" t="n">
        <v>16</v>
      </c>
      <c r="WA2" t="n">
        <v>17</v>
      </c>
      <c r="WB2" t="n">
        <v>18</v>
      </c>
      <c r="WC2" t="n">
        <v>19</v>
      </c>
      <c r="WD2" t="n">
        <v>20</v>
      </c>
      <c r="WE2" t="n">
        <v>21</v>
      </c>
      <c r="WF2" t="n">
        <v>22</v>
      </c>
      <c r="WG2" t="n">
        <v>23</v>
      </c>
      <c r="WH2" t="n">
        <v>24</v>
      </c>
      <c r="WI2" t="n">
        <v>25</v>
      </c>
      <c r="WJ2" t="n">
        <v>26</v>
      </c>
      <c r="WK2" t="n">
        <v>27</v>
      </c>
      <c r="WL2" t="n">
        <v>28</v>
      </c>
      <c r="WM2" t="n">
        <v>29</v>
      </c>
      <c r="WN2" t="n">
        <v>30</v>
      </c>
      <c r="WO2" t="n">
        <v>31</v>
      </c>
      <c r="WP2" t="n">
        <v>32</v>
      </c>
      <c r="WQ2" t="n">
        <v>33</v>
      </c>
      <c r="WR2" t="n">
        <v>34</v>
      </c>
      <c r="WS2" t="n">
        <v>35</v>
      </c>
      <c r="WT2" t="n">
        <v>36</v>
      </c>
      <c r="WU2" t="n">
        <v>37</v>
      </c>
      <c r="WV2" t="n">
        <v>38</v>
      </c>
      <c r="WW2" t="n">
        <v>39</v>
      </c>
      <c r="WX2" t="n">
        <v>40</v>
      </c>
      <c r="WY2" t="n">
        <v>41</v>
      </c>
      <c r="WZ2" t="n">
        <v>42</v>
      </c>
      <c r="XA2" t="n">
        <v>43</v>
      </c>
      <c r="XB2" t="n">
        <v>44</v>
      </c>
      <c r="XC2" t="n">
        <v>45</v>
      </c>
      <c r="XD2" t="n">
        <v>46</v>
      </c>
      <c r="XE2" t="n">
        <v>47</v>
      </c>
      <c r="XF2" t="n">
        <v>48</v>
      </c>
      <c r="XG2" t="n">
        <v>49</v>
      </c>
      <c r="XH2" t="n">
        <v>50</v>
      </c>
      <c r="XI2" t="n">
        <v>51</v>
      </c>
      <c r="XJ2" t="n">
        <v>52</v>
      </c>
      <c r="XK2" t="n">
        <v>53</v>
      </c>
      <c r="XL2" t="n">
        <v>54</v>
      </c>
      <c r="XM2" t="n">
        <v>55</v>
      </c>
      <c r="XN2" t="n">
        <v>56</v>
      </c>
      <c r="XO2" t="n">
        <v>57</v>
      </c>
      <c r="XP2" t="n">
        <v>58</v>
      </c>
      <c r="XQ2" t="n">
        <v>59</v>
      </c>
      <c r="XR2" t="n">
        <v>60</v>
      </c>
      <c r="XS2" t="n">
        <v>61</v>
      </c>
      <c r="XT2" t="n">
        <v>62</v>
      </c>
      <c r="XU2" t="n">
        <v>63</v>
      </c>
      <c r="XV2" t="n">
        <v>64</v>
      </c>
      <c r="XW2" t="n">
        <v>65</v>
      </c>
      <c r="XX2" t="n">
        <v>66</v>
      </c>
      <c r="XY2" t="n">
        <v>67</v>
      </c>
      <c r="XZ2" t="n">
        <v>68</v>
      </c>
      <c r="YA2" t="n">
        <v>69</v>
      </c>
      <c r="YB2" t="n">
        <v>70</v>
      </c>
      <c r="YC2" t="n">
        <v>71</v>
      </c>
      <c r="YD2" t="n">
        <v>72</v>
      </c>
      <c r="YE2" t="n">
        <v>73</v>
      </c>
      <c r="YF2" t="n">
        <v>74</v>
      </c>
      <c r="YG2" t="n">
        <v>75</v>
      </c>
      <c r="YH2" t="n">
        <v>76</v>
      </c>
      <c r="YI2" t="n">
        <v>77</v>
      </c>
      <c r="YJ2" t="n">
        <v>78</v>
      </c>
      <c r="YK2" t="n">
        <v>79</v>
      </c>
      <c r="YL2" t="n">
        <v>80</v>
      </c>
      <c r="YM2" t="n">
        <v>81</v>
      </c>
      <c r="YN2" t="n">
        <v>82</v>
      </c>
      <c r="YO2" t="n">
        <v>83</v>
      </c>
      <c r="YP2" t="n">
        <v>84</v>
      </c>
      <c r="YQ2" t="n">
        <v>85</v>
      </c>
      <c r="YR2" t="n">
        <v>86</v>
      </c>
      <c r="YS2" t="n">
        <v>87</v>
      </c>
      <c r="YT2" t="n">
        <v>88</v>
      </c>
      <c r="YU2" t="n">
        <v>89</v>
      </c>
      <c r="YV2" t="n">
        <v>90</v>
      </c>
      <c r="YW2" t="n">
        <v>91</v>
      </c>
      <c r="YX2" t="n">
        <v>92</v>
      </c>
      <c r="YY2" t="n">
        <v>93</v>
      </c>
      <c r="YZ2" t="n">
        <v>94</v>
      </c>
      <c r="ZA2" t="n">
        <v>95</v>
      </c>
      <c r="ZB2" t="n">
        <v>96</v>
      </c>
      <c r="ZC2" t="n">
        <v>97</v>
      </c>
      <c r="ZD2" t="n">
        <v>98</v>
      </c>
      <c r="ZE2" t="n">
        <v>99</v>
      </c>
      <c r="ZF2" t="n">
        <v>100</v>
      </c>
      <c r="ZG2" t="n">
        <v>101</v>
      </c>
      <c r="ZH2" t="n">
        <v>102</v>
      </c>
      <c r="ZI2" t="n">
        <v>103</v>
      </c>
      <c r="ZJ2" t="n">
        <v>104</v>
      </c>
      <c r="ZK2" t="n">
        <v>105</v>
      </c>
      <c r="ZL2" t="n">
        <v>106</v>
      </c>
      <c r="ZM2" t="n">
        <v>107</v>
      </c>
      <c r="ZN2" t="n">
        <v>108</v>
      </c>
      <c r="ZO2" t="n">
        <v>109</v>
      </c>
      <c r="ZP2" t="n">
        <v>110</v>
      </c>
      <c r="ZQ2" t="n">
        <v>111</v>
      </c>
      <c r="ZR2" t="n">
        <v>112</v>
      </c>
      <c r="ZS2" t="n">
        <v>113</v>
      </c>
      <c r="ZT2" t="n">
        <v>114</v>
      </c>
      <c r="ZU2" t="n">
        <v>115</v>
      </c>
      <c r="ZV2" t="n">
        <v>116</v>
      </c>
      <c r="ZW2" t="n">
        <v>117</v>
      </c>
      <c r="ZX2" t="n">
        <v>118</v>
      </c>
      <c r="ZY2" t="n">
        <v>119</v>
      </c>
      <c r="ZZ2" t="n">
        <v>120</v>
      </c>
      <c r="AAA2" t="n">
        <v>121</v>
      </c>
      <c r="AAB2" t="n">
        <v>122</v>
      </c>
      <c r="AAC2" t="n">
        <v>123</v>
      </c>
      <c r="AAD2" t="n">
        <v>124</v>
      </c>
      <c r="AAE2" t="n">
        <v>125</v>
      </c>
      <c r="AAF2" t="n">
        <v>126</v>
      </c>
      <c r="AAG2" t="n">
        <v>127</v>
      </c>
      <c r="AAH2" t="n">
        <v>128</v>
      </c>
      <c r="AAI2" t="n">
        <v>129</v>
      </c>
      <c r="AAJ2" t="n">
        <v>130</v>
      </c>
      <c r="AAK2" t="n">
        <v>131</v>
      </c>
      <c r="AAL2" t="n">
        <v>132</v>
      </c>
      <c r="AAM2" t="n">
        <v>133</v>
      </c>
      <c r="AAN2" t="n">
        <v>134</v>
      </c>
      <c r="AAO2" t="n">
        <v>135</v>
      </c>
      <c r="AAP2" t="n">
        <v>136</v>
      </c>
      <c r="AAQ2" t="n">
        <v>137</v>
      </c>
      <c r="AAR2" t="n">
        <v>138</v>
      </c>
      <c r="AAS2" t="n">
        <v>139</v>
      </c>
      <c r="AAT2" t="n">
        <v>140</v>
      </c>
      <c r="AAU2" t="n">
        <v>141</v>
      </c>
      <c r="AAV2" t="n">
        <v>142</v>
      </c>
      <c r="AAW2" t="n">
        <v>143</v>
      </c>
      <c r="AAX2" t="n">
        <v>144</v>
      </c>
      <c r="AAY2" t="n">
        <v>145</v>
      </c>
      <c r="AAZ2" t="n">
        <v>146</v>
      </c>
      <c r="ABA2" t="n">
        <v>147</v>
      </c>
      <c r="ABB2" t="n">
        <v>148</v>
      </c>
      <c r="ABC2" t="n">
        <v>149</v>
      </c>
      <c r="ABD2" t="n">
        <v>150</v>
      </c>
      <c r="ABE2" t="n">
        <v>151</v>
      </c>
      <c r="ABF2" t="n">
        <v>152</v>
      </c>
      <c r="ABG2" t="n">
        <v>153</v>
      </c>
      <c r="ABH2" t="n">
        <v>154</v>
      </c>
      <c r="ABI2" t="n">
        <v>155</v>
      </c>
      <c r="ABJ2" t="n">
        <v>156</v>
      </c>
      <c r="ABK2" t="n">
        <v>157</v>
      </c>
      <c r="ABL2" t="n">
        <v>158</v>
      </c>
      <c r="ABM2" t="n">
        <v>159</v>
      </c>
      <c r="ABN2" t="n">
        <v>160</v>
      </c>
      <c r="ABO2" t="n">
        <v>161</v>
      </c>
      <c r="ABP2" t="n">
        <v>162</v>
      </c>
      <c r="ABQ2" t="n">
        <v>163</v>
      </c>
      <c r="ABR2" t="n">
        <v>164</v>
      </c>
      <c r="ABS2" t="n">
        <v>165</v>
      </c>
      <c r="ABT2" t="n">
        <v>166</v>
      </c>
      <c r="ABU2" t="n">
        <v>167</v>
      </c>
      <c r="ABV2" t="n">
        <v>168</v>
      </c>
      <c r="ABW2" t="n">
        <v>169</v>
      </c>
      <c r="ABX2" t="n">
        <v>170</v>
      </c>
      <c r="ABY2" t="n">
        <v>171</v>
      </c>
      <c r="ABZ2" t="n">
        <v>172</v>
      </c>
      <c r="ACA2" t="n">
        <v>173</v>
      </c>
      <c r="ACB2" t="n">
        <v>174</v>
      </c>
      <c r="ACC2" t="n">
        <v>175</v>
      </c>
      <c r="ACD2" t="n">
        <v>176</v>
      </c>
      <c r="ACE2" t="n">
        <v>177</v>
      </c>
      <c r="ACF2" t="n">
        <v>178</v>
      </c>
      <c r="ACG2" t="n">
        <v>179</v>
      </c>
      <c r="ACH2" t="n">
        <v>180</v>
      </c>
      <c r="ACI2" t="n">
        <v>181</v>
      </c>
      <c r="ACJ2" t="n">
        <v>182</v>
      </c>
      <c r="ACK2" t="n">
        <v>183</v>
      </c>
      <c r="ACL2" t="n">
        <v>184</v>
      </c>
      <c r="ACM2" t="n">
        <v>185</v>
      </c>
      <c r="ACN2" t="n">
        <v>186</v>
      </c>
      <c r="ACO2" t="n">
        <v>187</v>
      </c>
      <c r="ACP2" t="n">
        <v>188</v>
      </c>
      <c r="ACQ2" t="n">
        <v>189</v>
      </c>
      <c r="ACR2" t="n">
        <v>190</v>
      </c>
      <c r="ACS2" t="n">
        <v>191</v>
      </c>
      <c r="ACT2" t="n">
        <v>192</v>
      </c>
      <c r="ACU2" t="n">
        <v>193</v>
      </c>
      <c r="ACV2" t="n">
        <v>194</v>
      </c>
      <c r="ACW2" t="n">
        <v>195</v>
      </c>
      <c r="ACX2" t="n">
        <v>196</v>
      </c>
      <c r="ACY2" t="n">
        <v>197</v>
      </c>
      <c r="ACZ2" t="n">
        <v>198</v>
      </c>
      <c r="ADA2" t="n">
        <v>199</v>
      </c>
      <c r="ADB2" t="n">
        <v>200</v>
      </c>
      <c r="ADC2" t="n">
        <v>201</v>
      </c>
      <c r="ADD2" t="n">
        <v>202</v>
      </c>
      <c r="ADE2" t="n">
        <v>203</v>
      </c>
      <c r="ADF2" t="n">
        <v>204</v>
      </c>
      <c r="ADG2" t="n">
        <v>205</v>
      </c>
      <c r="ADH2" t="n">
        <v>206</v>
      </c>
      <c r="ADI2" t="n">
        <v>207</v>
      </c>
      <c r="ADJ2" t="n">
        <v>208</v>
      </c>
      <c r="ADK2" t="n">
        <v>209</v>
      </c>
      <c r="ADL2" t="n">
        <v>210</v>
      </c>
      <c r="ADM2" t="n">
        <v>211</v>
      </c>
      <c r="ADN2" t="n">
        <v>212</v>
      </c>
      <c r="ADO2" t="n">
        <v>213</v>
      </c>
      <c r="ADP2" t="n">
        <v>214</v>
      </c>
      <c r="ADQ2" t="n">
        <v>215</v>
      </c>
      <c r="ADR2" t="n">
        <v>216</v>
      </c>
      <c r="ADS2" t="n">
        <v>217</v>
      </c>
      <c r="ADT2" t="n">
        <v>218</v>
      </c>
      <c r="ADU2" t="n">
        <v>219</v>
      </c>
      <c r="ADV2" t="n">
        <v>220</v>
      </c>
      <c r="ADW2" t="n">
        <v>221</v>
      </c>
      <c r="ADX2" t="n">
        <v>222</v>
      </c>
      <c r="ADY2" t="n">
        <v>223</v>
      </c>
      <c r="ADZ2" t="n">
        <v>224</v>
      </c>
      <c r="AEA2" t="n">
        <v>225</v>
      </c>
      <c r="AEB2" t="n">
        <v>226</v>
      </c>
      <c r="AEC2" t="n">
        <v>227</v>
      </c>
      <c r="AED2" t="n">
        <v>228</v>
      </c>
      <c r="AEE2" t="n">
        <v>229</v>
      </c>
      <c r="AEF2" t="n">
        <v>230</v>
      </c>
      <c r="AEG2" t="n">
        <v>231</v>
      </c>
      <c r="AEH2" t="n">
        <v>232</v>
      </c>
      <c r="AEI2" t="n">
        <v>233</v>
      </c>
      <c r="AEJ2" t="n">
        <v>234</v>
      </c>
      <c r="AEK2" t="n">
        <v>235</v>
      </c>
      <c r="AEL2" t="n">
        <v>236</v>
      </c>
      <c r="AEM2" t="n">
        <v>237</v>
      </c>
      <c r="AEN2" t="n">
        <v>238</v>
      </c>
      <c r="AEO2" t="n">
        <v>239</v>
      </c>
      <c r="AEP2" t="n">
        <v>240</v>
      </c>
    </row>
    <row r="3">
      <c r="A3" t="n">
        <v>1</v>
      </c>
      <c r="B3">
        <f>IF(MIN(BC3:CU3)&gt;=1000000,0,MATCH(MIN(BC3:CU3),BC3:CU3,0))</f>
        <v/>
      </c>
      <c r="C3">
        <f>IF(MIN(VK3:AEP3)&gt;=1000000,0,MATCH(MIN(VK3:AEP3),VK3:AEP3,0))</f>
        <v/>
      </c>
      <c r="D3">
        <f>IF(C3&gt;0,INDEX('計算A'!$D$5:$II$5,C3),0)</f>
        <v/>
      </c>
      <c r="E3">
        <f>IF(B3=0,0,INDEX('計算A'!$IQ$10:$IQ$54,B3))</f>
        <v/>
      </c>
      <c r="F3">
        <f>IF(B3=0,0,INDEX('計算A'!$IP$10:$IP$54,B3))</f>
        <v/>
      </c>
      <c r="G3">
        <f>IF(AND(C3&gt;0,E3&gt;0),IF(AND(INDEX('計算A'!$D$106:$II$106,C3)=1,INDEX($MD3:$VI3,C3)=1),C3+1,0),0)</f>
        <v/>
      </c>
      <c r="I3">
        <f>1-'計算A'!C10</f>
        <v/>
      </c>
      <c r="J3">
        <f>1-'計算A'!C11</f>
        <v/>
      </c>
      <c r="K3">
        <f>1-'計算A'!C12</f>
        <v/>
      </c>
      <c r="L3">
        <f>1-'計算A'!C13</f>
        <v/>
      </c>
      <c r="M3">
        <f>1-'計算A'!C14</f>
        <v/>
      </c>
      <c r="N3">
        <f>1-'計算A'!C15</f>
        <v/>
      </c>
      <c r="O3">
        <f>1-'計算A'!C16</f>
        <v/>
      </c>
      <c r="P3">
        <f>1-'計算A'!C17</f>
        <v/>
      </c>
      <c r="Q3">
        <f>1-'計算A'!C18</f>
        <v/>
      </c>
      <c r="R3">
        <f>1-'計算A'!C19</f>
        <v/>
      </c>
      <c r="S3">
        <f>1-'計算A'!C20</f>
        <v/>
      </c>
      <c r="T3">
        <f>1-'計算A'!C21</f>
        <v/>
      </c>
      <c r="U3">
        <f>1-'計算A'!C22</f>
        <v/>
      </c>
      <c r="V3">
        <f>1-'計算A'!C23</f>
        <v/>
      </c>
      <c r="W3">
        <f>1-'計算A'!C24</f>
        <v/>
      </c>
      <c r="X3">
        <f>1-'計算A'!C25</f>
        <v/>
      </c>
      <c r="Y3">
        <f>1-'計算A'!C26</f>
        <v/>
      </c>
      <c r="Z3">
        <f>1-'計算A'!C27</f>
        <v/>
      </c>
      <c r="AA3">
        <f>1-'計算A'!C28</f>
        <v/>
      </c>
      <c r="AB3">
        <f>1-'計算A'!C29</f>
        <v/>
      </c>
      <c r="AC3">
        <f>1-'計算A'!C30</f>
        <v/>
      </c>
      <c r="AD3">
        <f>1-'計算A'!C31</f>
        <v/>
      </c>
      <c r="AE3">
        <f>1-'計算A'!C32</f>
        <v/>
      </c>
      <c r="AF3">
        <f>1-'計算A'!C33</f>
        <v/>
      </c>
      <c r="AG3">
        <f>1-'計算A'!C34</f>
        <v/>
      </c>
      <c r="AH3">
        <f>1-'計算A'!C35</f>
        <v/>
      </c>
      <c r="AI3">
        <f>1-'計算A'!C36</f>
        <v/>
      </c>
      <c r="AJ3">
        <f>1-'計算A'!C37</f>
        <v/>
      </c>
      <c r="AK3">
        <f>1-'計算A'!C38</f>
        <v/>
      </c>
      <c r="AL3">
        <f>1-'計算A'!C39</f>
        <v/>
      </c>
      <c r="AM3">
        <f>1-'計算A'!C40</f>
        <v/>
      </c>
      <c r="AN3">
        <f>1-'計算A'!C41</f>
        <v/>
      </c>
      <c r="AO3">
        <f>1-'計算A'!C42</f>
        <v/>
      </c>
      <c r="AP3">
        <f>1-'計算A'!C43</f>
        <v/>
      </c>
      <c r="AQ3">
        <f>1-'計算A'!C44</f>
        <v/>
      </c>
      <c r="AR3">
        <f>1-'計算A'!C45</f>
        <v/>
      </c>
      <c r="AS3">
        <f>1-'計算A'!C46</f>
        <v/>
      </c>
      <c r="AT3">
        <f>1-'計算A'!C47</f>
        <v/>
      </c>
      <c r="AU3">
        <f>1-'計算A'!C48</f>
        <v/>
      </c>
      <c r="AV3">
        <f>1-'計算A'!C49</f>
        <v/>
      </c>
      <c r="AW3">
        <f>1-'計算A'!C50</f>
        <v/>
      </c>
      <c r="AX3">
        <f>1-'計算A'!C51</f>
        <v/>
      </c>
      <c r="AY3">
        <f>1-'計算A'!C52</f>
        <v/>
      </c>
      <c r="AZ3">
        <f>1-'計算A'!C53</f>
        <v/>
      </c>
      <c r="BA3">
        <f>1-'計算A'!C54</f>
        <v/>
      </c>
      <c r="BC3">
        <f>IF(I3=1,1000000,IF('計算A'!$IQ$10=2,SUMPRODUCT('計算A'!$D$60:$II$60,$CW3:$MB3,$MD3:$VI3),SUMPRODUCT('計算A'!$D$60:$II$60,$CW3:$MB3))*1000+1)</f>
        <v/>
      </c>
      <c r="BD3">
        <f>IF(J3=1,1000000,IF('計算A'!$IQ$11=2,SUMPRODUCT('計算A'!$D$61:$II$61,$CW3:$MB3,$MD3:$VI3),SUMPRODUCT('計算A'!$D$61:$II$61,$CW3:$MB3))*1000+2)</f>
        <v/>
      </c>
      <c r="BE3">
        <f>IF(K3=1,1000000,IF('計算A'!$IQ$12=2,SUMPRODUCT('計算A'!$D$62:$II$62,$CW3:$MB3,$MD3:$VI3),SUMPRODUCT('計算A'!$D$62:$II$62,$CW3:$MB3))*1000+3)</f>
        <v/>
      </c>
      <c r="BF3">
        <f>IF(L3=1,1000000,IF('計算A'!$IQ$13=2,SUMPRODUCT('計算A'!$D$63:$II$63,$CW3:$MB3,$MD3:$VI3),SUMPRODUCT('計算A'!$D$63:$II$63,$CW3:$MB3))*1000+4)</f>
        <v/>
      </c>
      <c r="BG3">
        <f>IF(M3=1,1000000,IF('計算A'!$IQ$14=2,SUMPRODUCT('計算A'!$D$64:$II$64,$CW3:$MB3,$MD3:$VI3),SUMPRODUCT('計算A'!$D$64:$II$64,$CW3:$MB3))*1000+5)</f>
        <v/>
      </c>
      <c r="BH3">
        <f>IF(N3=1,1000000,IF('計算A'!$IQ$15=2,SUMPRODUCT('計算A'!$D$65:$II$65,$CW3:$MB3,$MD3:$VI3),SUMPRODUCT('計算A'!$D$65:$II$65,$CW3:$MB3))*1000+6)</f>
        <v/>
      </c>
      <c r="BI3">
        <f>IF(O3=1,1000000,IF('計算A'!$IQ$16=2,SUMPRODUCT('計算A'!$D$66:$II$66,$CW3:$MB3,$MD3:$VI3),SUMPRODUCT('計算A'!$D$66:$II$66,$CW3:$MB3))*1000+7)</f>
        <v/>
      </c>
      <c r="BJ3">
        <f>IF(P3=1,1000000,IF('計算A'!$IQ$17=2,SUMPRODUCT('計算A'!$D$67:$II$67,$CW3:$MB3,$MD3:$VI3),SUMPRODUCT('計算A'!$D$67:$II$67,$CW3:$MB3))*1000+8)</f>
        <v/>
      </c>
      <c r="BK3">
        <f>IF(Q3=1,1000000,IF('計算A'!$IQ$18=2,SUMPRODUCT('計算A'!$D$68:$II$68,$CW3:$MB3,$MD3:$VI3),SUMPRODUCT('計算A'!$D$68:$II$68,$CW3:$MB3))*1000+9)</f>
        <v/>
      </c>
      <c r="BL3">
        <f>IF(R3=1,1000000,IF('計算A'!$IQ$19=2,SUMPRODUCT('計算A'!$D$69:$II$69,$CW3:$MB3,$MD3:$VI3),SUMPRODUCT('計算A'!$D$69:$II$69,$CW3:$MB3))*1000+10)</f>
        <v/>
      </c>
      <c r="BM3">
        <f>IF(S3=1,1000000,IF('計算A'!$IQ$20=2,SUMPRODUCT('計算A'!$D$70:$II$70,$CW3:$MB3,$MD3:$VI3),SUMPRODUCT('計算A'!$D$70:$II$70,$CW3:$MB3))*1000+11)</f>
        <v/>
      </c>
      <c r="BN3">
        <f>IF(T3=1,1000000,IF('計算A'!$IQ$21=2,SUMPRODUCT('計算A'!$D$71:$II$71,$CW3:$MB3,$MD3:$VI3),SUMPRODUCT('計算A'!$D$71:$II$71,$CW3:$MB3))*1000+12)</f>
        <v/>
      </c>
      <c r="BO3">
        <f>IF(U3=1,1000000,IF('計算A'!$IQ$22=2,SUMPRODUCT('計算A'!$D$72:$II$72,$CW3:$MB3,$MD3:$VI3),SUMPRODUCT('計算A'!$D$72:$II$72,$CW3:$MB3))*1000+13)</f>
        <v/>
      </c>
      <c r="BP3">
        <f>IF(V3=1,1000000,IF('計算A'!$IQ$23=2,SUMPRODUCT('計算A'!$D$73:$II$73,$CW3:$MB3,$MD3:$VI3),SUMPRODUCT('計算A'!$D$73:$II$73,$CW3:$MB3))*1000+14)</f>
        <v/>
      </c>
      <c r="BQ3">
        <f>IF(W3=1,1000000,IF('計算A'!$IQ$24=2,SUMPRODUCT('計算A'!$D$74:$II$74,$CW3:$MB3,$MD3:$VI3),SUMPRODUCT('計算A'!$D$74:$II$74,$CW3:$MB3))*1000+15)</f>
        <v/>
      </c>
      <c r="BR3">
        <f>IF(X3=1,1000000,IF('計算A'!$IQ$25=2,SUMPRODUCT('計算A'!$D$75:$II$75,$CW3:$MB3,$MD3:$VI3),SUMPRODUCT('計算A'!$D$75:$II$75,$CW3:$MB3))*1000+16)</f>
        <v/>
      </c>
      <c r="BS3">
        <f>IF(Y3=1,1000000,IF('計算A'!$IQ$26=2,SUMPRODUCT('計算A'!$D$76:$II$76,$CW3:$MB3,$MD3:$VI3),SUMPRODUCT('計算A'!$D$76:$II$76,$CW3:$MB3))*1000+17)</f>
        <v/>
      </c>
      <c r="BT3">
        <f>IF(Z3=1,1000000,IF('計算A'!$IQ$27=2,SUMPRODUCT('計算A'!$D$77:$II$77,$CW3:$MB3,$MD3:$VI3),SUMPRODUCT('計算A'!$D$77:$II$77,$CW3:$MB3))*1000+18)</f>
        <v/>
      </c>
      <c r="BU3">
        <f>IF(AA3=1,1000000,IF('計算A'!$IQ$28=2,SUMPRODUCT('計算A'!$D$78:$II$78,$CW3:$MB3,$MD3:$VI3),SUMPRODUCT('計算A'!$D$78:$II$78,$CW3:$MB3))*1000+19)</f>
        <v/>
      </c>
      <c r="BV3">
        <f>IF(AB3=1,1000000,IF('計算A'!$IQ$29=2,SUMPRODUCT('計算A'!$D$79:$II$79,$CW3:$MB3,$MD3:$VI3),SUMPRODUCT('計算A'!$D$79:$II$79,$CW3:$MB3))*1000+20)</f>
        <v/>
      </c>
      <c r="BW3">
        <f>IF(AC3=1,1000000,IF('計算A'!$IQ$30=2,SUMPRODUCT('計算A'!$D$80:$II$80,$CW3:$MB3,$MD3:$VI3),SUMPRODUCT('計算A'!$D$80:$II$80,$CW3:$MB3))*1000+21)</f>
        <v/>
      </c>
      <c r="BX3">
        <f>IF(AD3=1,1000000,IF('計算A'!$IQ$31=2,SUMPRODUCT('計算A'!$D$81:$II$81,$CW3:$MB3,$MD3:$VI3),SUMPRODUCT('計算A'!$D$81:$II$81,$CW3:$MB3))*1000+22)</f>
        <v/>
      </c>
      <c r="BY3">
        <f>IF(AE3=1,1000000,IF('計算A'!$IQ$32=2,SUMPRODUCT('計算A'!$D$82:$II$82,$CW3:$MB3,$MD3:$VI3),SUMPRODUCT('計算A'!$D$82:$II$82,$CW3:$MB3))*1000+23)</f>
        <v/>
      </c>
      <c r="BZ3">
        <f>IF(AF3=1,1000000,IF('計算A'!$IQ$33=2,SUMPRODUCT('計算A'!$D$83:$II$83,$CW3:$MB3,$MD3:$VI3),SUMPRODUCT('計算A'!$D$83:$II$83,$CW3:$MB3))*1000+24)</f>
        <v/>
      </c>
      <c r="CA3">
        <f>IF(AG3=1,1000000,IF('計算A'!$IQ$34=2,SUMPRODUCT('計算A'!$D$84:$II$84,$CW3:$MB3,$MD3:$VI3),SUMPRODUCT('計算A'!$D$84:$II$84,$CW3:$MB3))*1000+25)</f>
        <v/>
      </c>
      <c r="CB3">
        <f>IF(AH3=1,1000000,IF('計算A'!$IQ$35=2,SUMPRODUCT('計算A'!$D$85:$II$85,$CW3:$MB3,$MD3:$VI3),SUMPRODUCT('計算A'!$D$85:$II$85,$CW3:$MB3))*1000+26)</f>
        <v/>
      </c>
      <c r="CC3">
        <f>IF(AI3=1,1000000,IF('計算A'!$IQ$36=2,SUMPRODUCT('計算A'!$D$86:$II$86,$CW3:$MB3,$MD3:$VI3),SUMPRODUCT('計算A'!$D$86:$II$86,$CW3:$MB3))*1000+27)</f>
        <v/>
      </c>
      <c r="CD3">
        <f>IF(AJ3=1,1000000,IF('計算A'!$IQ$37=2,SUMPRODUCT('計算A'!$D$87:$II$87,$CW3:$MB3,$MD3:$VI3),SUMPRODUCT('計算A'!$D$87:$II$87,$CW3:$MB3))*1000+28)</f>
        <v/>
      </c>
      <c r="CE3">
        <f>IF(AK3=1,1000000,IF('計算A'!$IQ$38=2,SUMPRODUCT('計算A'!$D$88:$II$88,$CW3:$MB3,$MD3:$VI3),SUMPRODUCT('計算A'!$D$88:$II$88,$CW3:$MB3))*1000+29)</f>
        <v/>
      </c>
      <c r="CF3">
        <f>IF(AL3=1,1000000,IF('計算A'!$IQ$39=2,SUMPRODUCT('計算A'!$D$89:$II$89,$CW3:$MB3,$MD3:$VI3),SUMPRODUCT('計算A'!$D$89:$II$89,$CW3:$MB3))*1000+30)</f>
        <v/>
      </c>
      <c r="CG3">
        <f>IF(AM3=1,1000000,IF('計算A'!$IQ$40=2,SUMPRODUCT('計算A'!$D$90:$II$90,$CW3:$MB3,$MD3:$VI3),SUMPRODUCT('計算A'!$D$90:$II$90,$CW3:$MB3))*1000+31)</f>
        <v/>
      </c>
      <c r="CH3">
        <f>IF(AN3=1,1000000,IF('計算A'!$IQ$41=2,SUMPRODUCT('計算A'!$D$91:$II$91,$CW3:$MB3,$MD3:$VI3),SUMPRODUCT('計算A'!$D$91:$II$91,$CW3:$MB3))*1000+32)</f>
        <v/>
      </c>
      <c r="CI3">
        <f>IF(AO3=1,1000000,IF('計算A'!$IQ$42=2,SUMPRODUCT('計算A'!$D$92:$II$92,$CW3:$MB3,$MD3:$VI3),SUMPRODUCT('計算A'!$D$92:$II$92,$CW3:$MB3))*1000+33)</f>
        <v/>
      </c>
      <c r="CJ3">
        <f>IF(AP3=1,1000000,IF('計算A'!$IQ$43=2,SUMPRODUCT('計算A'!$D$93:$II$93,$CW3:$MB3,$MD3:$VI3),SUMPRODUCT('計算A'!$D$93:$II$93,$CW3:$MB3))*1000+34)</f>
        <v/>
      </c>
      <c r="CK3">
        <f>IF(AQ3=1,1000000,IF('計算A'!$IQ$44=2,SUMPRODUCT('計算A'!$D$94:$II$94,$CW3:$MB3,$MD3:$VI3),SUMPRODUCT('計算A'!$D$94:$II$94,$CW3:$MB3))*1000+35)</f>
        <v/>
      </c>
      <c r="CL3">
        <f>IF(AR3=1,1000000,IF('計算A'!$IQ$45=2,SUMPRODUCT('計算A'!$D$95:$II$95,$CW3:$MB3,$MD3:$VI3),SUMPRODUCT('計算A'!$D$95:$II$95,$CW3:$MB3))*1000+36)</f>
        <v/>
      </c>
      <c r="CM3">
        <f>IF(AS3=1,1000000,IF('計算A'!$IQ$46=2,SUMPRODUCT('計算A'!$D$96:$II$96,$CW3:$MB3,$MD3:$VI3),SUMPRODUCT('計算A'!$D$96:$II$96,$CW3:$MB3))*1000+37)</f>
        <v/>
      </c>
      <c r="CN3">
        <f>IF(AT3=1,1000000,IF('計算A'!$IQ$47=2,SUMPRODUCT('計算A'!$D$97:$II$97,$CW3:$MB3,$MD3:$VI3),SUMPRODUCT('計算A'!$D$97:$II$97,$CW3:$MB3))*1000+38)</f>
        <v/>
      </c>
      <c r="CO3">
        <f>IF(AU3=1,1000000,IF('計算A'!$IQ$48=2,SUMPRODUCT('計算A'!$D$98:$II$98,$CW3:$MB3,$MD3:$VI3),SUMPRODUCT('計算A'!$D$98:$II$98,$CW3:$MB3))*1000+39)</f>
        <v/>
      </c>
      <c r="CP3">
        <f>IF(AV3=1,1000000,IF('計算A'!$IQ$49=2,SUMPRODUCT('計算A'!$D$99:$II$99,$CW3:$MB3,$MD3:$VI3),SUMPRODUCT('計算A'!$D$99:$II$99,$CW3:$MB3))*1000+40)</f>
        <v/>
      </c>
      <c r="CQ3">
        <f>IF(AW3=1,1000000,IF('計算A'!$IQ$50=2,SUMPRODUCT('計算A'!$D$100:$II$100,$CW3:$MB3,$MD3:$VI3),SUMPRODUCT('計算A'!$D$100:$II$100,$CW3:$MB3))*1000+41)</f>
        <v/>
      </c>
      <c r="CR3">
        <f>IF(AX3=1,1000000,IF('計算A'!$IQ$51=2,SUMPRODUCT('計算A'!$D$101:$II$101,$CW3:$MB3,$MD3:$VI3),SUMPRODUCT('計算A'!$D$101:$II$101,$CW3:$MB3))*1000+42)</f>
        <v/>
      </c>
      <c r="CS3">
        <f>IF(AY3=1,1000000,IF('計算A'!$IQ$52=2,SUMPRODUCT('計算A'!$D$102:$II$102,$CW3:$MB3,$MD3:$VI3),SUMPRODUCT('計算A'!$D$102:$II$102,$CW3:$MB3))*1000+43)</f>
        <v/>
      </c>
      <c r="CT3">
        <f>IF(AZ3=1,1000000,IF('計算A'!$IQ$53=2,SUMPRODUCT('計算A'!$D$103:$II$103,$CW3:$MB3,$MD3:$VI3),SUMPRODUCT('計算A'!$D$103:$II$103,$CW3:$MB3))*1000+44)</f>
        <v/>
      </c>
      <c r="CU3">
        <f>IF(BA3=1,1000000,IF('計算A'!$IQ$54=2,SUMPRODUCT('計算A'!$D$104:$II$104,$CW3:$MB3,$MD3:$VI3),SUMPRODUCT('計算A'!$D$104:$II$104,$CW3:$MB3))*1000+45)</f>
        <v/>
      </c>
      <c r="CW3">
        <f>1-'計算A'!D$7</f>
        <v/>
      </c>
      <c r="CX3">
        <f>1-'計算A'!E$7</f>
        <v/>
      </c>
      <c r="CY3">
        <f>1-'計算A'!F$7</f>
        <v/>
      </c>
      <c r="CZ3">
        <f>1-'計算A'!G$7</f>
        <v/>
      </c>
      <c r="DA3">
        <f>1-'計算A'!H$7</f>
        <v/>
      </c>
      <c r="DB3">
        <f>1-'計算A'!I$7</f>
        <v/>
      </c>
      <c r="DC3">
        <f>1-'計算A'!J$7</f>
        <v/>
      </c>
      <c r="DD3">
        <f>1-'計算A'!K$7</f>
        <v/>
      </c>
      <c r="DE3">
        <f>1-'計算A'!L$7</f>
        <v/>
      </c>
      <c r="DF3">
        <f>1-'計算A'!M$7</f>
        <v/>
      </c>
      <c r="DG3">
        <f>1-'計算A'!N$7</f>
        <v/>
      </c>
      <c r="DH3">
        <f>1-'計算A'!O$7</f>
        <v/>
      </c>
      <c r="DI3">
        <f>1-'計算A'!P$7</f>
        <v/>
      </c>
      <c r="DJ3">
        <f>1-'計算A'!Q$7</f>
        <v/>
      </c>
      <c r="DK3">
        <f>1-'計算A'!R$7</f>
        <v/>
      </c>
      <c r="DL3">
        <f>1-'計算A'!S$7</f>
        <v/>
      </c>
      <c r="DM3">
        <f>1-'計算A'!T$7</f>
        <v/>
      </c>
      <c r="DN3">
        <f>1-'計算A'!U$7</f>
        <v/>
      </c>
      <c r="DO3">
        <f>1-'計算A'!V$7</f>
        <v/>
      </c>
      <c r="DP3">
        <f>1-'計算A'!W$7</f>
        <v/>
      </c>
      <c r="DQ3">
        <f>1-'計算A'!X$7</f>
        <v/>
      </c>
      <c r="DR3">
        <f>1-'計算A'!Y$7</f>
        <v/>
      </c>
      <c r="DS3">
        <f>1-'計算A'!Z$7</f>
        <v/>
      </c>
      <c r="DT3">
        <f>1-'計算A'!AA$7</f>
        <v/>
      </c>
      <c r="DU3">
        <f>1-'計算A'!AB$7</f>
        <v/>
      </c>
      <c r="DV3">
        <f>1-'計算A'!AC$7</f>
        <v/>
      </c>
      <c r="DW3">
        <f>1-'計算A'!AD$7</f>
        <v/>
      </c>
      <c r="DX3">
        <f>1-'計算A'!AE$7</f>
        <v/>
      </c>
      <c r="DY3">
        <f>1-'計算A'!AF$7</f>
        <v/>
      </c>
      <c r="DZ3">
        <f>1-'計算A'!AG$7</f>
        <v/>
      </c>
      <c r="EA3">
        <f>1-'計算A'!AH$7</f>
        <v/>
      </c>
      <c r="EB3">
        <f>1-'計算A'!AI$7</f>
        <v/>
      </c>
      <c r="EC3">
        <f>1-'計算A'!AJ$7</f>
        <v/>
      </c>
      <c r="ED3">
        <f>1-'計算A'!AK$7</f>
        <v/>
      </c>
      <c r="EE3">
        <f>1-'計算A'!AL$7</f>
        <v/>
      </c>
      <c r="EF3">
        <f>1-'計算A'!AM$7</f>
        <v/>
      </c>
      <c r="EG3">
        <f>1-'計算A'!AN$7</f>
        <v/>
      </c>
      <c r="EH3">
        <f>1-'計算A'!AO$7</f>
        <v/>
      </c>
      <c r="EI3">
        <f>1-'計算A'!AP$7</f>
        <v/>
      </c>
      <c r="EJ3">
        <f>1-'計算A'!AQ$7</f>
        <v/>
      </c>
      <c r="EK3">
        <f>1-'計算A'!AR$7</f>
        <v/>
      </c>
      <c r="EL3">
        <f>1-'計算A'!AS$7</f>
        <v/>
      </c>
      <c r="EM3">
        <f>1-'計算A'!AT$7</f>
        <v/>
      </c>
      <c r="EN3">
        <f>1-'計算A'!AU$7</f>
        <v/>
      </c>
      <c r="EO3">
        <f>1-'計算A'!AV$7</f>
        <v/>
      </c>
      <c r="EP3">
        <f>1-'計算A'!AW$7</f>
        <v/>
      </c>
      <c r="EQ3">
        <f>1-'計算A'!AX$7</f>
        <v/>
      </c>
      <c r="ER3">
        <f>1-'計算A'!AY$7</f>
        <v/>
      </c>
      <c r="ES3">
        <f>1-'計算A'!AZ$7</f>
        <v/>
      </c>
      <c r="ET3">
        <f>1-'計算A'!BA$7</f>
        <v/>
      </c>
      <c r="EU3">
        <f>1-'計算A'!BB$7</f>
        <v/>
      </c>
      <c r="EV3">
        <f>1-'計算A'!BC$7</f>
        <v/>
      </c>
      <c r="EW3">
        <f>1-'計算A'!BD$7</f>
        <v/>
      </c>
      <c r="EX3">
        <f>1-'計算A'!BE$7</f>
        <v/>
      </c>
      <c r="EY3">
        <f>1-'計算A'!BF$7</f>
        <v/>
      </c>
      <c r="EZ3">
        <f>1-'計算A'!BG$7</f>
        <v/>
      </c>
      <c r="FA3">
        <f>1-'計算A'!BH$7</f>
        <v/>
      </c>
      <c r="FB3">
        <f>1-'計算A'!BI$7</f>
        <v/>
      </c>
      <c r="FC3">
        <f>1-'計算A'!BJ$7</f>
        <v/>
      </c>
      <c r="FD3">
        <f>1-'計算A'!BK$7</f>
        <v/>
      </c>
      <c r="FE3">
        <f>1-'計算A'!BL$7</f>
        <v/>
      </c>
      <c r="FF3">
        <f>1-'計算A'!BM$7</f>
        <v/>
      </c>
      <c r="FG3">
        <f>1-'計算A'!BN$7</f>
        <v/>
      </c>
      <c r="FH3">
        <f>1-'計算A'!BO$7</f>
        <v/>
      </c>
      <c r="FI3">
        <f>1-'計算A'!BP$7</f>
        <v/>
      </c>
      <c r="FJ3">
        <f>1-'計算A'!BQ$7</f>
        <v/>
      </c>
      <c r="FK3">
        <f>1-'計算A'!BR$7</f>
        <v/>
      </c>
      <c r="FL3">
        <f>1-'計算A'!BS$7</f>
        <v/>
      </c>
      <c r="FM3">
        <f>1-'計算A'!BT$7</f>
        <v/>
      </c>
      <c r="FN3">
        <f>1-'計算A'!BU$7</f>
        <v/>
      </c>
      <c r="FO3">
        <f>1-'計算A'!BV$7</f>
        <v/>
      </c>
      <c r="FP3">
        <f>1-'計算A'!BW$7</f>
        <v/>
      </c>
      <c r="FQ3">
        <f>1-'計算A'!BX$7</f>
        <v/>
      </c>
      <c r="FR3">
        <f>1-'計算A'!BY$7</f>
        <v/>
      </c>
      <c r="FS3">
        <f>1-'計算A'!BZ$7</f>
        <v/>
      </c>
      <c r="FT3">
        <f>1-'計算A'!CA$7</f>
        <v/>
      </c>
      <c r="FU3">
        <f>1-'計算A'!CB$7</f>
        <v/>
      </c>
      <c r="FV3">
        <f>1-'計算A'!CC$7</f>
        <v/>
      </c>
      <c r="FW3">
        <f>1-'計算A'!CD$7</f>
        <v/>
      </c>
      <c r="FX3">
        <f>1-'計算A'!CE$7</f>
        <v/>
      </c>
      <c r="FY3">
        <f>1-'計算A'!CF$7</f>
        <v/>
      </c>
      <c r="FZ3">
        <f>1-'計算A'!CG$7</f>
        <v/>
      </c>
      <c r="GA3">
        <f>1-'計算A'!CH$7</f>
        <v/>
      </c>
      <c r="GB3">
        <f>1-'計算A'!CI$7</f>
        <v/>
      </c>
      <c r="GC3">
        <f>1-'計算A'!CJ$7</f>
        <v/>
      </c>
      <c r="GD3">
        <f>1-'計算A'!CK$7</f>
        <v/>
      </c>
      <c r="GE3">
        <f>1-'計算A'!CL$7</f>
        <v/>
      </c>
      <c r="GF3">
        <f>1-'計算A'!CM$7</f>
        <v/>
      </c>
      <c r="GG3">
        <f>1-'計算A'!CN$7</f>
        <v/>
      </c>
      <c r="GH3">
        <f>1-'計算A'!CO$7</f>
        <v/>
      </c>
      <c r="GI3">
        <f>1-'計算A'!CP$7</f>
        <v/>
      </c>
      <c r="GJ3">
        <f>1-'計算A'!CQ$7</f>
        <v/>
      </c>
      <c r="GK3">
        <f>1-'計算A'!CR$7</f>
        <v/>
      </c>
      <c r="GL3">
        <f>1-'計算A'!CS$7</f>
        <v/>
      </c>
      <c r="GM3">
        <f>1-'計算A'!CT$7</f>
        <v/>
      </c>
      <c r="GN3">
        <f>1-'計算A'!CU$7</f>
        <v/>
      </c>
      <c r="GO3">
        <f>1-'計算A'!CV$7</f>
        <v/>
      </c>
      <c r="GP3">
        <f>1-'計算A'!CW$7</f>
        <v/>
      </c>
      <c r="GQ3">
        <f>1-'計算A'!CX$7</f>
        <v/>
      </c>
      <c r="GR3">
        <f>1-'計算A'!CY$7</f>
        <v/>
      </c>
      <c r="GS3">
        <f>1-'計算A'!CZ$7</f>
        <v/>
      </c>
      <c r="GT3">
        <f>1-'計算A'!DA$7</f>
        <v/>
      </c>
      <c r="GU3">
        <f>1-'計算A'!DB$7</f>
        <v/>
      </c>
      <c r="GV3">
        <f>1-'計算A'!DC$7</f>
        <v/>
      </c>
      <c r="GW3">
        <f>1-'計算A'!DD$7</f>
        <v/>
      </c>
      <c r="GX3">
        <f>1-'計算A'!DE$7</f>
        <v/>
      </c>
      <c r="GY3">
        <f>1-'計算A'!DF$7</f>
        <v/>
      </c>
      <c r="GZ3">
        <f>1-'計算A'!DG$7</f>
        <v/>
      </c>
      <c r="HA3">
        <f>1-'計算A'!DH$7</f>
        <v/>
      </c>
      <c r="HB3">
        <f>1-'計算A'!DI$7</f>
        <v/>
      </c>
      <c r="HC3">
        <f>1-'計算A'!DJ$7</f>
        <v/>
      </c>
      <c r="HD3">
        <f>1-'計算A'!DK$7</f>
        <v/>
      </c>
      <c r="HE3">
        <f>1-'計算A'!DL$7</f>
        <v/>
      </c>
      <c r="HF3">
        <f>1-'計算A'!DM$7</f>
        <v/>
      </c>
      <c r="HG3">
        <f>1-'計算A'!DN$7</f>
        <v/>
      </c>
      <c r="HH3">
        <f>1-'計算A'!DO$7</f>
        <v/>
      </c>
      <c r="HI3">
        <f>1-'計算A'!DP$7</f>
        <v/>
      </c>
      <c r="HJ3">
        <f>1-'計算A'!DQ$7</f>
        <v/>
      </c>
      <c r="HK3">
        <f>1-'計算A'!DR$7</f>
        <v/>
      </c>
      <c r="HL3">
        <f>1-'計算A'!DS$7</f>
        <v/>
      </c>
      <c r="HM3">
        <f>1-'計算A'!DT$7</f>
        <v/>
      </c>
      <c r="HN3">
        <f>1-'計算A'!DU$7</f>
        <v/>
      </c>
      <c r="HO3">
        <f>1-'計算A'!DV$7</f>
        <v/>
      </c>
      <c r="HP3">
        <f>1-'計算A'!DW$7</f>
        <v/>
      </c>
      <c r="HQ3">
        <f>1-'計算A'!DX$7</f>
        <v/>
      </c>
      <c r="HR3">
        <f>1-'計算A'!DY$7</f>
        <v/>
      </c>
      <c r="HS3">
        <f>1-'計算A'!DZ$7</f>
        <v/>
      </c>
      <c r="HT3">
        <f>1-'計算A'!EA$7</f>
        <v/>
      </c>
      <c r="HU3">
        <f>1-'計算A'!EB$7</f>
        <v/>
      </c>
      <c r="HV3">
        <f>1-'計算A'!EC$7</f>
        <v/>
      </c>
      <c r="HW3">
        <f>1-'計算A'!ED$7</f>
        <v/>
      </c>
      <c r="HX3">
        <f>1-'計算A'!EE$7</f>
        <v/>
      </c>
      <c r="HY3">
        <f>1-'計算A'!EF$7</f>
        <v/>
      </c>
      <c r="HZ3">
        <f>1-'計算A'!EG$7</f>
        <v/>
      </c>
      <c r="IA3">
        <f>1-'計算A'!EH$7</f>
        <v/>
      </c>
      <c r="IB3">
        <f>1-'計算A'!EI$7</f>
        <v/>
      </c>
      <c r="IC3">
        <f>1-'計算A'!EJ$7</f>
        <v/>
      </c>
      <c r="ID3">
        <f>1-'計算A'!EK$7</f>
        <v/>
      </c>
      <c r="IE3">
        <f>1-'計算A'!EL$7</f>
        <v/>
      </c>
      <c r="IF3">
        <f>1-'計算A'!EM$7</f>
        <v/>
      </c>
      <c r="IG3">
        <f>1-'計算A'!EN$7</f>
        <v/>
      </c>
      <c r="IH3">
        <f>1-'計算A'!EO$7</f>
        <v/>
      </c>
      <c r="II3">
        <f>1-'計算A'!EP$7</f>
        <v/>
      </c>
      <c r="IJ3">
        <f>1-'計算A'!EQ$7</f>
        <v/>
      </c>
      <c r="IK3">
        <f>1-'計算A'!ER$7</f>
        <v/>
      </c>
      <c r="IL3">
        <f>1-'計算A'!ES$7</f>
        <v/>
      </c>
      <c r="IM3">
        <f>1-'計算A'!ET$7</f>
        <v/>
      </c>
      <c r="IN3">
        <f>1-'計算A'!EU$7</f>
        <v/>
      </c>
      <c r="IO3">
        <f>1-'計算A'!EV$7</f>
        <v/>
      </c>
      <c r="IP3">
        <f>1-'計算A'!EW$7</f>
        <v/>
      </c>
      <c r="IQ3">
        <f>1-'計算A'!EX$7</f>
        <v/>
      </c>
      <c r="IR3">
        <f>1-'計算A'!EY$7</f>
        <v/>
      </c>
      <c r="IS3">
        <f>1-'計算A'!EZ$7</f>
        <v/>
      </c>
      <c r="IT3">
        <f>1-'計算A'!FA$7</f>
        <v/>
      </c>
      <c r="IU3">
        <f>1-'計算A'!FB$7</f>
        <v/>
      </c>
      <c r="IV3">
        <f>1-'計算A'!FC$7</f>
        <v/>
      </c>
      <c r="IW3">
        <f>1-'計算A'!FD$7</f>
        <v/>
      </c>
      <c r="IX3">
        <f>1-'計算A'!FE$7</f>
        <v/>
      </c>
      <c r="IY3">
        <f>1-'計算A'!FF$7</f>
        <v/>
      </c>
      <c r="IZ3">
        <f>1-'計算A'!FG$7</f>
        <v/>
      </c>
      <c r="JA3">
        <f>1-'計算A'!FH$7</f>
        <v/>
      </c>
      <c r="JB3">
        <f>1-'計算A'!FI$7</f>
        <v/>
      </c>
      <c r="JC3">
        <f>1-'計算A'!FJ$7</f>
        <v/>
      </c>
      <c r="JD3">
        <f>1-'計算A'!FK$7</f>
        <v/>
      </c>
      <c r="JE3">
        <f>1-'計算A'!FL$7</f>
        <v/>
      </c>
      <c r="JF3">
        <f>1-'計算A'!FM$7</f>
        <v/>
      </c>
      <c r="JG3">
        <f>1-'計算A'!FN$7</f>
        <v/>
      </c>
      <c r="JH3">
        <f>1-'計算A'!FO$7</f>
        <v/>
      </c>
      <c r="JI3">
        <f>1-'計算A'!FP$7</f>
        <v/>
      </c>
      <c r="JJ3">
        <f>1-'計算A'!FQ$7</f>
        <v/>
      </c>
      <c r="JK3">
        <f>1-'計算A'!FR$7</f>
        <v/>
      </c>
      <c r="JL3">
        <f>1-'計算A'!FS$7</f>
        <v/>
      </c>
      <c r="JM3">
        <f>1-'計算A'!FT$7</f>
        <v/>
      </c>
      <c r="JN3">
        <f>1-'計算A'!FU$7</f>
        <v/>
      </c>
      <c r="JO3">
        <f>1-'計算A'!FV$7</f>
        <v/>
      </c>
      <c r="JP3">
        <f>1-'計算A'!FW$7</f>
        <v/>
      </c>
      <c r="JQ3">
        <f>1-'計算A'!FX$7</f>
        <v/>
      </c>
      <c r="JR3">
        <f>1-'計算A'!FY$7</f>
        <v/>
      </c>
      <c r="JS3">
        <f>1-'計算A'!FZ$7</f>
        <v/>
      </c>
      <c r="JT3">
        <f>1-'計算A'!GA$7</f>
        <v/>
      </c>
      <c r="JU3">
        <f>1-'計算A'!GB$7</f>
        <v/>
      </c>
      <c r="JV3">
        <f>1-'計算A'!GC$7</f>
        <v/>
      </c>
      <c r="JW3">
        <f>1-'計算A'!GD$7</f>
        <v/>
      </c>
      <c r="JX3">
        <f>1-'計算A'!GE$7</f>
        <v/>
      </c>
      <c r="JY3">
        <f>1-'計算A'!GF$7</f>
        <v/>
      </c>
      <c r="JZ3">
        <f>1-'計算A'!GG$7</f>
        <v/>
      </c>
      <c r="KA3">
        <f>1-'計算A'!GH$7</f>
        <v/>
      </c>
      <c r="KB3">
        <f>1-'計算A'!GI$7</f>
        <v/>
      </c>
      <c r="KC3">
        <f>1-'計算A'!GJ$7</f>
        <v/>
      </c>
      <c r="KD3">
        <f>1-'計算A'!GK$7</f>
        <v/>
      </c>
      <c r="KE3">
        <f>1-'計算A'!GL$7</f>
        <v/>
      </c>
      <c r="KF3">
        <f>1-'計算A'!GM$7</f>
        <v/>
      </c>
      <c r="KG3">
        <f>1-'計算A'!GN$7</f>
        <v/>
      </c>
      <c r="KH3">
        <f>1-'計算A'!GO$7</f>
        <v/>
      </c>
      <c r="KI3">
        <f>1-'計算A'!GP$7</f>
        <v/>
      </c>
      <c r="KJ3">
        <f>1-'計算A'!GQ$7</f>
        <v/>
      </c>
      <c r="KK3">
        <f>1-'計算A'!GR$7</f>
        <v/>
      </c>
      <c r="KL3">
        <f>1-'計算A'!GS$7</f>
        <v/>
      </c>
      <c r="KM3">
        <f>1-'計算A'!GT$7</f>
        <v/>
      </c>
      <c r="KN3">
        <f>1-'計算A'!GU$7</f>
        <v/>
      </c>
      <c r="KO3">
        <f>1-'計算A'!GV$7</f>
        <v/>
      </c>
      <c r="KP3">
        <f>1-'計算A'!GW$7</f>
        <v/>
      </c>
      <c r="KQ3">
        <f>1-'計算A'!GX$7</f>
        <v/>
      </c>
      <c r="KR3">
        <f>1-'計算A'!GY$7</f>
        <v/>
      </c>
      <c r="KS3">
        <f>1-'計算A'!GZ$7</f>
        <v/>
      </c>
      <c r="KT3">
        <f>1-'計算A'!HA$7</f>
        <v/>
      </c>
      <c r="KU3">
        <f>1-'計算A'!HB$7</f>
        <v/>
      </c>
      <c r="KV3">
        <f>1-'計算A'!HC$7</f>
        <v/>
      </c>
      <c r="KW3">
        <f>1-'計算A'!HD$7</f>
        <v/>
      </c>
      <c r="KX3">
        <f>1-'計算A'!HE$7</f>
        <v/>
      </c>
      <c r="KY3">
        <f>1-'計算A'!HF$7</f>
        <v/>
      </c>
      <c r="KZ3">
        <f>1-'計算A'!HG$7</f>
        <v/>
      </c>
      <c r="LA3">
        <f>1-'計算A'!HH$7</f>
        <v/>
      </c>
      <c r="LB3">
        <f>1-'計算A'!HI$7</f>
        <v/>
      </c>
      <c r="LC3">
        <f>1-'計算A'!HJ$7</f>
        <v/>
      </c>
      <c r="LD3">
        <f>1-'計算A'!HK$7</f>
        <v/>
      </c>
      <c r="LE3">
        <f>1-'計算A'!HL$7</f>
        <v/>
      </c>
      <c r="LF3">
        <f>1-'計算A'!HM$7</f>
        <v/>
      </c>
      <c r="LG3">
        <f>1-'計算A'!HN$7</f>
        <v/>
      </c>
      <c r="LH3">
        <f>1-'計算A'!HO$7</f>
        <v/>
      </c>
      <c r="LI3">
        <f>1-'計算A'!HP$7</f>
        <v/>
      </c>
      <c r="LJ3">
        <f>1-'計算A'!HQ$7</f>
        <v/>
      </c>
      <c r="LK3">
        <f>1-'計算A'!HR$7</f>
        <v/>
      </c>
      <c r="LL3">
        <f>1-'計算A'!HS$7</f>
        <v/>
      </c>
      <c r="LM3">
        <f>1-'計算A'!HT$7</f>
        <v/>
      </c>
      <c r="LN3">
        <f>1-'計算A'!HU$7</f>
        <v/>
      </c>
      <c r="LO3">
        <f>1-'計算A'!HV$7</f>
        <v/>
      </c>
      <c r="LP3">
        <f>1-'計算A'!HW$7</f>
        <v/>
      </c>
      <c r="LQ3">
        <f>1-'計算A'!HX$7</f>
        <v/>
      </c>
      <c r="LR3">
        <f>1-'計算A'!HY$7</f>
        <v/>
      </c>
      <c r="LS3">
        <f>1-'計算A'!HZ$7</f>
        <v/>
      </c>
      <c r="LT3">
        <f>1-'計算A'!IA$7</f>
        <v/>
      </c>
      <c r="LU3">
        <f>1-'計算A'!IB$7</f>
        <v/>
      </c>
      <c r="LV3">
        <f>1-'計算A'!IC$7</f>
        <v/>
      </c>
      <c r="LW3">
        <f>1-'計算A'!ID$7</f>
        <v/>
      </c>
      <c r="LX3">
        <f>1-'計算A'!IE$7</f>
        <v/>
      </c>
      <c r="LY3">
        <f>1-'計算A'!IF$7</f>
        <v/>
      </c>
      <c r="LZ3">
        <f>1-'計算A'!IG$7</f>
        <v/>
      </c>
      <c r="MA3">
        <f>1-'計算A'!IH$7</f>
        <v/>
      </c>
      <c r="MB3">
        <f>1-'計算A'!II$7</f>
        <v/>
      </c>
      <c r="MD3">
        <f>IF('計算A'!D$106=1,CX3,1)</f>
        <v/>
      </c>
      <c r="ME3">
        <f>IF('計算A'!E$106=1,CY3,1)</f>
        <v/>
      </c>
      <c r="MF3">
        <f>IF('計算A'!F$106=1,CZ3,1)</f>
        <v/>
      </c>
      <c r="MG3">
        <f>IF('計算A'!G$106=1,DA3,1)</f>
        <v/>
      </c>
      <c r="MH3">
        <f>IF('計算A'!H$106=1,DB3,1)</f>
        <v/>
      </c>
      <c r="MI3">
        <f>IF('計算A'!I$106=1,DC3,1)</f>
        <v/>
      </c>
      <c r="MJ3">
        <f>IF('計算A'!J$106=1,DD3,1)</f>
        <v/>
      </c>
      <c r="MK3">
        <f>IF('計算A'!K$106=1,DE3,1)</f>
        <v/>
      </c>
      <c r="ML3">
        <f>IF('計算A'!L$106=1,DF3,1)</f>
        <v/>
      </c>
      <c r="MM3">
        <f>IF('計算A'!M$106=1,DG3,1)</f>
        <v/>
      </c>
      <c r="MN3">
        <f>IF('計算A'!N$106=1,DH3,1)</f>
        <v/>
      </c>
      <c r="MO3">
        <f>IF('計算A'!O$106=1,DI3,1)</f>
        <v/>
      </c>
      <c r="MP3">
        <f>IF('計算A'!P$106=1,DJ3,1)</f>
        <v/>
      </c>
      <c r="MQ3">
        <f>IF('計算A'!Q$106=1,DK3,1)</f>
        <v/>
      </c>
      <c r="MR3">
        <f>IF('計算A'!R$106=1,DL3,1)</f>
        <v/>
      </c>
      <c r="MS3">
        <f>IF('計算A'!S$106=1,DM3,1)</f>
        <v/>
      </c>
      <c r="MT3">
        <f>IF('計算A'!T$106=1,DN3,1)</f>
        <v/>
      </c>
      <c r="MU3">
        <f>IF('計算A'!U$106=1,DO3,1)</f>
        <v/>
      </c>
      <c r="MV3">
        <f>IF('計算A'!V$106=1,DP3,1)</f>
        <v/>
      </c>
      <c r="MW3">
        <f>IF('計算A'!W$106=1,DQ3,1)</f>
        <v/>
      </c>
      <c r="MX3">
        <f>IF('計算A'!X$106=1,DR3,1)</f>
        <v/>
      </c>
      <c r="MY3">
        <f>IF('計算A'!Y$106=1,DS3,1)</f>
        <v/>
      </c>
      <c r="MZ3">
        <f>IF('計算A'!Z$106=1,DT3,1)</f>
        <v/>
      </c>
      <c r="NA3">
        <f>IF('計算A'!AA$106=1,DU3,1)</f>
        <v/>
      </c>
      <c r="NB3">
        <f>IF('計算A'!AB$106=1,DV3,1)</f>
        <v/>
      </c>
      <c r="NC3">
        <f>IF('計算A'!AC$106=1,DW3,1)</f>
        <v/>
      </c>
      <c r="ND3">
        <f>IF('計算A'!AD$106=1,DX3,1)</f>
        <v/>
      </c>
      <c r="NE3">
        <f>IF('計算A'!AE$106=1,DY3,1)</f>
        <v/>
      </c>
      <c r="NF3">
        <f>IF('計算A'!AF$106=1,DZ3,1)</f>
        <v/>
      </c>
      <c r="NG3">
        <f>IF('計算A'!AG$106=1,EA3,1)</f>
        <v/>
      </c>
      <c r="NH3">
        <f>IF('計算A'!AH$106=1,EB3,1)</f>
        <v/>
      </c>
      <c r="NI3">
        <f>IF('計算A'!AI$106=1,EC3,1)</f>
        <v/>
      </c>
      <c r="NJ3">
        <f>IF('計算A'!AJ$106=1,ED3,1)</f>
        <v/>
      </c>
      <c r="NK3">
        <f>IF('計算A'!AK$106=1,EE3,1)</f>
        <v/>
      </c>
      <c r="NL3">
        <f>IF('計算A'!AL$106=1,EF3,1)</f>
        <v/>
      </c>
      <c r="NM3">
        <f>IF('計算A'!AM$106=1,EG3,1)</f>
        <v/>
      </c>
      <c r="NN3">
        <f>IF('計算A'!AN$106=1,EH3,1)</f>
        <v/>
      </c>
      <c r="NO3">
        <f>IF('計算A'!AO$106=1,EI3,1)</f>
        <v/>
      </c>
      <c r="NP3">
        <f>IF('計算A'!AP$106=1,EJ3,1)</f>
        <v/>
      </c>
      <c r="NQ3">
        <f>IF('計算A'!AQ$106=1,EK3,1)</f>
        <v/>
      </c>
      <c r="NR3">
        <f>IF('計算A'!AR$106=1,EL3,1)</f>
        <v/>
      </c>
      <c r="NS3">
        <f>IF('計算A'!AS$106=1,EM3,1)</f>
        <v/>
      </c>
      <c r="NT3">
        <f>IF('計算A'!AT$106=1,EN3,1)</f>
        <v/>
      </c>
      <c r="NU3">
        <f>IF('計算A'!AU$106=1,EO3,1)</f>
        <v/>
      </c>
      <c r="NV3">
        <f>IF('計算A'!AV$106=1,EP3,1)</f>
        <v/>
      </c>
      <c r="NW3">
        <f>IF('計算A'!AW$106=1,EQ3,1)</f>
        <v/>
      </c>
      <c r="NX3">
        <f>IF('計算A'!AX$106=1,ER3,1)</f>
        <v/>
      </c>
      <c r="NY3">
        <f>IF('計算A'!AY$106=1,ES3,1)</f>
        <v/>
      </c>
      <c r="NZ3">
        <f>IF('計算A'!AZ$106=1,ET3,1)</f>
        <v/>
      </c>
      <c r="OA3">
        <f>IF('計算A'!BA$106=1,EU3,1)</f>
        <v/>
      </c>
      <c r="OB3">
        <f>IF('計算A'!BB$106=1,EV3,1)</f>
        <v/>
      </c>
      <c r="OC3">
        <f>IF('計算A'!BC$106=1,EW3,1)</f>
        <v/>
      </c>
      <c r="OD3">
        <f>IF('計算A'!BD$106=1,EX3,1)</f>
        <v/>
      </c>
      <c r="OE3">
        <f>IF('計算A'!BE$106=1,EY3,1)</f>
        <v/>
      </c>
      <c r="OF3">
        <f>IF('計算A'!BF$106=1,EZ3,1)</f>
        <v/>
      </c>
      <c r="OG3">
        <f>IF('計算A'!BG$106=1,FA3,1)</f>
        <v/>
      </c>
      <c r="OH3">
        <f>IF('計算A'!BH$106=1,FB3,1)</f>
        <v/>
      </c>
      <c r="OI3">
        <f>IF('計算A'!BI$106=1,FC3,1)</f>
        <v/>
      </c>
      <c r="OJ3">
        <f>IF('計算A'!BJ$106=1,FD3,1)</f>
        <v/>
      </c>
      <c r="OK3">
        <f>IF('計算A'!BK$106=1,FE3,1)</f>
        <v/>
      </c>
      <c r="OL3">
        <f>IF('計算A'!BL$106=1,FF3,1)</f>
        <v/>
      </c>
      <c r="OM3">
        <f>IF('計算A'!BM$106=1,FG3,1)</f>
        <v/>
      </c>
      <c r="ON3">
        <f>IF('計算A'!BN$106=1,FH3,1)</f>
        <v/>
      </c>
      <c r="OO3">
        <f>IF('計算A'!BO$106=1,FI3,1)</f>
        <v/>
      </c>
      <c r="OP3">
        <f>IF('計算A'!BP$106=1,FJ3,1)</f>
        <v/>
      </c>
      <c r="OQ3">
        <f>IF('計算A'!BQ$106=1,FK3,1)</f>
        <v/>
      </c>
      <c r="OR3">
        <f>IF('計算A'!BR$106=1,FL3,1)</f>
        <v/>
      </c>
      <c r="OS3">
        <f>IF('計算A'!BS$106=1,FM3,1)</f>
        <v/>
      </c>
      <c r="OT3">
        <f>IF('計算A'!BT$106=1,FN3,1)</f>
        <v/>
      </c>
      <c r="OU3">
        <f>IF('計算A'!BU$106=1,FO3,1)</f>
        <v/>
      </c>
      <c r="OV3">
        <f>IF('計算A'!BV$106=1,FP3,1)</f>
        <v/>
      </c>
      <c r="OW3">
        <f>IF('計算A'!BW$106=1,FQ3,1)</f>
        <v/>
      </c>
      <c r="OX3">
        <f>IF('計算A'!BX$106=1,FR3,1)</f>
        <v/>
      </c>
      <c r="OY3">
        <f>IF('計算A'!BY$106=1,FS3,1)</f>
        <v/>
      </c>
      <c r="OZ3">
        <f>IF('計算A'!BZ$106=1,FT3,1)</f>
        <v/>
      </c>
      <c r="PA3">
        <f>IF('計算A'!CA$106=1,FU3,1)</f>
        <v/>
      </c>
      <c r="PB3">
        <f>IF('計算A'!CB$106=1,FV3,1)</f>
        <v/>
      </c>
      <c r="PC3">
        <f>IF('計算A'!CC$106=1,FW3,1)</f>
        <v/>
      </c>
      <c r="PD3">
        <f>IF('計算A'!CD$106=1,FX3,1)</f>
        <v/>
      </c>
      <c r="PE3">
        <f>IF('計算A'!CE$106=1,FY3,1)</f>
        <v/>
      </c>
      <c r="PF3">
        <f>IF('計算A'!CF$106=1,FZ3,1)</f>
        <v/>
      </c>
      <c r="PG3">
        <f>IF('計算A'!CG$106=1,GA3,1)</f>
        <v/>
      </c>
      <c r="PH3">
        <f>IF('計算A'!CH$106=1,GB3,1)</f>
        <v/>
      </c>
      <c r="PI3">
        <f>IF('計算A'!CI$106=1,GC3,1)</f>
        <v/>
      </c>
      <c r="PJ3">
        <f>IF('計算A'!CJ$106=1,GD3,1)</f>
        <v/>
      </c>
      <c r="PK3">
        <f>IF('計算A'!CK$106=1,GE3,1)</f>
        <v/>
      </c>
      <c r="PL3">
        <f>IF('計算A'!CL$106=1,GF3,1)</f>
        <v/>
      </c>
      <c r="PM3">
        <f>IF('計算A'!CM$106=1,GG3,1)</f>
        <v/>
      </c>
      <c r="PN3">
        <f>IF('計算A'!CN$106=1,GH3,1)</f>
        <v/>
      </c>
      <c r="PO3">
        <f>IF('計算A'!CO$106=1,GI3,1)</f>
        <v/>
      </c>
      <c r="PP3">
        <f>IF('計算A'!CP$106=1,GJ3,1)</f>
        <v/>
      </c>
      <c r="PQ3">
        <f>IF('計算A'!CQ$106=1,GK3,1)</f>
        <v/>
      </c>
      <c r="PR3">
        <f>IF('計算A'!CR$106=1,GL3,1)</f>
        <v/>
      </c>
      <c r="PS3">
        <f>IF('計算A'!CS$106=1,GM3,1)</f>
        <v/>
      </c>
      <c r="PT3">
        <f>IF('計算A'!CT$106=1,GN3,1)</f>
        <v/>
      </c>
      <c r="PU3">
        <f>IF('計算A'!CU$106=1,GO3,1)</f>
        <v/>
      </c>
      <c r="PV3">
        <f>IF('計算A'!CV$106=1,GP3,1)</f>
        <v/>
      </c>
      <c r="PW3">
        <f>IF('計算A'!CW$106=1,GQ3,1)</f>
        <v/>
      </c>
      <c r="PX3">
        <f>IF('計算A'!CX$106=1,GR3,1)</f>
        <v/>
      </c>
      <c r="PY3">
        <f>IF('計算A'!CY$106=1,GS3,1)</f>
        <v/>
      </c>
      <c r="PZ3">
        <f>IF('計算A'!CZ$106=1,GT3,1)</f>
        <v/>
      </c>
      <c r="QA3">
        <f>IF('計算A'!DA$106=1,GU3,1)</f>
        <v/>
      </c>
      <c r="QB3">
        <f>IF('計算A'!DB$106=1,GV3,1)</f>
        <v/>
      </c>
      <c r="QC3">
        <f>IF('計算A'!DC$106=1,GW3,1)</f>
        <v/>
      </c>
      <c r="QD3">
        <f>IF('計算A'!DD$106=1,GX3,1)</f>
        <v/>
      </c>
      <c r="QE3">
        <f>IF('計算A'!DE$106=1,GY3,1)</f>
        <v/>
      </c>
      <c r="QF3">
        <f>IF('計算A'!DF$106=1,GZ3,1)</f>
        <v/>
      </c>
      <c r="QG3">
        <f>IF('計算A'!DG$106=1,HA3,1)</f>
        <v/>
      </c>
      <c r="QH3">
        <f>IF('計算A'!DH$106=1,HB3,1)</f>
        <v/>
      </c>
      <c r="QI3">
        <f>IF('計算A'!DI$106=1,HC3,1)</f>
        <v/>
      </c>
      <c r="QJ3">
        <f>IF('計算A'!DJ$106=1,HD3,1)</f>
        <v/>
      </c>
      <c r="QK3">
        <f>IF('計算A'!DK$106=1,HE3,1)</f>
        <v/>
      </c>
      <c r="QL3">
        <f>IF('計算A'!DL$106=1,HF3,1)</f>
        <v/>
      </c>
      <c r="QM3">
        <f>IF('計算A'!DM$106=1,HG3,1)</f>
        <v/>
      </c>
      <c r="QN3">
        <f>IF('計算A'!DN$106=1,HH3,1)</f>
        <v/>
      </c>
      <c r="QO3">
        <f>IF('計算A'!DO$106=1,HI3,1)</f>
        <v/>
      </c>
      <c r="QP3">
        <f>IF('計算A'!DP$106=1,HJ3,1)</f>
        <v/>
      </c>
      <c r="QQ3">
        <f>IF('計算A'!DQ$106=1,HK3,1)</f>
        <v/>
      </c>
      <c r="QR3">
        <f>IF('計算A'!DR$106=1,HL3,1)</f>
        <v/>
      </c>
      <c r="QS3">
        <f>IF('計算A'!DS$106=1,HM3,1)</f>
        <v/>
      </c>
      <c r="QT3">
        <f>IF('計算A'!DT$106=1,HN3,1)</f>
        <v/>
      </c>
      <c r="QU3">
        <f>IF('計算A'!DU$106=1,HO3,1)</f>
        <v/>
      </c>
      <c r="QV3">
        <f>IF('計算A'!DV$106=1,HP3,1)</f>
        <v/>
      </c>
      <c r="QW3">
        <f>IF('計算A'!DW$106=1,HQ3,1)</f>
        <v/>
      </c>
      <c r="QX3">
        <f>IF('計算A'!DX$106=1,HR3,1)</f>
        <v/>
      </c>
      <c r="QY3">
        <f>IF('計算A'!DY$106=1,HS3,1)</f>
        <v/>
      </c>
      <c r="QZ3">
        <f>IF('計算A'!DZ$106=1,HT3,1)</f>
        <v/>
      </c>
      <c r="RA3">
        <f>IF('計算A'!EA$106=1,HU3,1)</f>
        <v/>
      </c>
      <c r="RB3">
        <f>IF('計算A'!EB$106=1,HV3,1)</f>
        <v/>
      </c>
      <c r="RC3">
        <f>IF('計算A'!EC$106=1,HW3,1)</f>
        <v/>
      </c>
      <c r="RD3">
        <f>IF('計算A'!ED$106=1,HX3,1)</f>
        <v/>
      </c>
      <c r="RE3">
        <f>IF('計算A'!EE$106=1,HY3,1)</f>
        <v/>
      </c>
      <c r="RF3">
        <f>IF('計算A'!EF$106=1,HZ3,1)</f>
        <v/>
      </c>
      <c r="RG3">
        <f>IF('計算A'!EG$106=1,IA3,1)</f>
        <v/>
      </c>
      <c r="RH3">
        <f>IF('計算A'!EH$106=1,IB3,1)</f>
        <v/>
      </c>
      <c r="RI3">
        <f>IF('計算A'!EI$106=1,IC3,1)</f>
        <v/>
      </c>
      <c r="RJ3">
        <f>IF('計算A'!EJ$106=1,ID3,1)</f>
        <v/>
      </c>
      <c r="RK3">
        <f>IF('計算A'!EK$106=1,IE3,1)</f>
        <v/>
      </c>
      <c r="RL3">
        <f>IF('計算A'!EL$106=1,IF3,1)</f>
        <v/>
      </c>
      <c r="RM3">
        <f>IF('計算A'!EM$106=1,IG3,1)</f>
        <v/>
      </c>
      <c r="RN3">
        <f>IF('計算A'!EN$106=1,IH3,1)</f>
        <v/>
      </c>
      <c r="RO3">
        <f>IF('計算A'!EO$106=1,II3,1)</f>
        <v/>
      </c>
      <c r="RP3">
        <f>IF('計算A'!EP$106=1,IJ3,1)</f>
        <v/>
      </c>
      <c r="RQ3">
        <f>IF('計算A'!EQ$106=1,IK3,1)</f>
        <v/>
      </c>
      <c r="RR3">
        <f>IF('計算A'!ER$106=1,IL3,1)</f>
        <v/>
      </c>
      <c r="RS3">
        <f>IF('計算A'!ES$106=1,IM3,1)</f>
        <v/>
      </c>
      <c r="RT3">
        <f>IF('計算A'!ET$106=1,IN3,1)</f>
        <v/>
      </c>
      <c r="RU3">
        <f>IF('計算A'!EU$106=1,IO3,1)</f>
        <v/>
      </c>
      <c r="RV3">
        <f>IF('計算A'!EV$106=1,IP3,1)</f>
        <v/>
      </c>
      <c r="RW3">
        <f>IF('計算A'!EW$106=1,IQ3,1)</f>
        <v/>
      </c>
      <c r="RX3">
        <f>IF('計算A'!EX$106=1,IR3,1)</f>
        <v/>
      </c>
      <c r="RY3">
        <f>IF('計算A'!EY$106=1,IS3,1)</f>
        <v/>
      </c>
      <c r="RZ3">
        <f>IF('計算A'!EZ$106=1,IT3,1)</f>
        <v/>
      </c>
      <c r="SA3">
        <f>IF('計算A'!FA$106=1,IU3,1)</f>
        <v/>
      </c>
      <c r="SB3">
        <f>IF('計算A'!FB$106=1,IV3,1)</f>
        <v/>
      </c>
      <c r="SC3">
        <f>IF('計算A'!FC$106=1,IW3,1)</f>
        <v/>
      </c>
      <c r="SD3">
        <f>IF('計算A'!FD$106=1,IX3,1)</f>
        <v/>
      </c>
      <c r="SE3">
        <f>IF('計算A'!FE$106=1,IY3,1)</f>
        <v/>
      </c>
      <c r="SF3">
        <f>IF('計算A'!FF$106=1,IZ3,1)</f>
        <v/>
      </c>
      <c r="SG3">
        <f>IF('計算A'!FG$106=1,JA3,1)</f>
        <v/>
      </c>
      <c r="SH3">
        <f>IF('計算A'!FH$106=1,JB3,1)</f>
        <v/>
      </c>
      <c r="SI3">
        <f>IF('計算A'!FI$106=1,JC3,1)</f>
        <v/>
      </c>
      <c r="SJ3">
        <f>IF('計算A'!FJ$106=1,JD3,1)</f>
        <v/>
      </c>
      <c r="SK3">
        <f>IF('計算A'!FK$106=1,JE3,1)</f>
        <v/>
      </c>
      <c r="SL3">
        <f>IF('計算A'!FL$106=1,JF3,1)</f>
        <v/>
      </c>
      <c r="SM3">
        <f>IF('計算A'!FM$106=1,JG3,1)</f>
        <v/>
      </c>
      <c r="SN3">
        <f>IF('計算A'!FN$106=1,JH3,1)</f>
        <v/>
      </c>
      <c r="SO3">
        <f>IF('計算A'!FO$106=1,JI3,1)</f>
        <v/>
      </c>
      <c r="SP3">
        <f>IF('計算A'!FP$106=1,JJ3,1)</f>
        <v/>
      </c>
      <c r="SQ3">
        <f>IF('計算A'!FQ$106=1,JK3,1)</f>
        <v/>
      </c>
      <c r="SR3">
        <f>IF('計算A'!FR$106=1,JL3,1)</f>
        <v/>
      </c>
      <c r="SS3">
        <f>IF('計算A'!FS$106=1,JM3,1)</f>
        <v/>
      </c>
      <c r="ST3">
        <f>IF('計算A'!FT$106=1,JN3,1)</f>
        <v/>
      </c>
      <c r="SU3">
        <f>IF('計算A'!FU$106=1,JO3,1)</f>
        <v/>
      </c>
      <c r="SV3">
        <f>IF('計算A'!FV$106=1,JP3,1)</f>
        <v/>
      </c>
      <c r="SW3">
        <f>IF('計算A'!FW$106=1,JQ3,1)</f>
        <v/>
      </c>
      <c r="SX3">
        <f>IF('計算A'!FX$106=1,JR3,1)</f>
        <v/>
      </c>
      <c r="SY3">
        <f>IF('計算A'!FY$106=1,JS3,1)</f>
        <v/>
      </c>
      <c r="SZ3">
        <f>IF('計算A'!FZ$106=1,JT3,1)</f>
        <v/>
      </c>
      <c r="TA3">
        <f>IF('計算A'!GA$106=1,JU3,1)</f>
        <v/>
      </c>
      <c r="TB3">
        <f>IF('計算A'!GB$106=1,JV3,1)</f>
        <v/>
      </c>
      <c r="TC3">
        <f>IF('計算A'!GC$106=1,JW3,1)</f>
        <v/>
      </c>
      <c r="TD3">
        <f>IF('計算A'!GD$106=1,JX3,1)</f>
        <v/>
      </c>
      <c r="TE3">
        <f>IF('計算A'!GE$106=1,JY3,1)</f>
        <v/>
      </c>
      <c r="TF3">
        <f>IF('計算A'!GF$106=1,JZ3,1)</f>
        <v/>
      </c>
      <c r="TG3">
        <f>IF('計算A'!GG$106=1,KA3,1)</f>
        <v/>
      </c>
      <c r="TH3">
        <f>IF('計算A'!GH$106=1,KB3,1)</f>
        <v/>
      </c>
      <c r="TI3">
        <f>IF('計算A'!GI$106=1,KC3,1)</f>
        <v/>
      </c>
      <c r="TJ3">
        <f>IF('計算A'!GJ$106=1,KD3,1)</f>
        <v/>
      </c>
      <c r="TK3">
        <f>IF('計算A'!GK$106=1,KE3,1)</f>
        <v/>
      </c>
      <c r="TL3">
        <f>IF('計算A'!GL$106=1,KF3,1)</f>
        <v/>
      </c>
      <c r="TM3">
        <f>IF('計算A'!GM$106=1,KG3,1)</f>
        <v/>
      </c>
      <c r="TN3">
        <f>IF('計算A'!GN$106=1,KH3,1)</f>
        <v/>
      </c>
      <c r="TO3">
        <f>IF('計算A'!GO$106=1,KI3,1)</f>
        <v/>
      </c>
      <c r="TP3">
        <f>IF('計算A'!GP$106=1,KJ3,1)</f>
        <v/>
      </c>
      <c r="TQ3">
        <f>IF('計算A'!GQ$106=1,KK3,1)</f>
        <v/>
      </c>
      <c r="TR3">
        <f>IF('計算A'!GR$106=1,KL3,1)</f>
        <v/>
      </c>
      <c r="TS3">
        <f>IF('計算A'!GS$106=1,KM3,1)</f>
        <v/>
      </c>
      <c r="TT3">
        <f>IF('計算A'!GT$106=1,KN3,1)</f>
        <v/>
      </c>
      <c r="TU3">
        <f>IF('計算A'!GU$106=1,KO3,1)</f>
        <v/>
      </c>
      <c r="TV3">
        <f>IF('計算A'!GV$106=1,KP3,1)</f>
        <v/>
      </c>
      <c r="TW3">
        <f>IF('計算A'!GW$106=1,KQ3,1)</f>
        <v/>
      </c>
      <c r="TX3">
        <f>IF('計算A'!GX$106=1,KR3,1)</f>
        <v/>
      </c>
      <c r="TY3">
        <f>IF('計算A'!GY$106=1,KS3,1)</f>
        <v/>
      </c>
      <c r="TZ3">
        <f>IF('計算A'!GZ$106=1,KT3,1)</f>
        <v/>
      </c>
      <c r="UA3">
        <f>IF('計算A'!HA$106=1,KU3,1)</f>
        <v/>
      </c>
      <c r="UB3">
        <f>IF('計算A'!HB$106=1,KV3,1)</f>
        <v/>
      </c>
      <c r="UC3">
        <f>IF('計算A'!HC$106=1,KW3,1)</f>
        <v/>
      </c>
      <c r="UD3">
        <f>IF('計算A'!HD$106=1,KX3,1)</f>
        <v/>
      </c>
      <c r="UE3">
        <f>IF('計算A'!HE$106=1,KY3,1)</f>
        <v/>
      </c>
      <c r="UF3">
        <f>IF('計算A'!HF$106=1,KZ3,1)</f>
        <v/>
      </c>
      <c r="UG3">
        <f>IF('計算A'!HG$106=1,LA3,1)</f>
        <v/>
      </c>
      <c r="UH3">
        <f>IF('計算A'!HH$106=1,LB3,1)</f>
        <v/>
      </c>
      <c r="UI3">
        <f>IF('計算A'!HI$106=1,LC3,1)</f>
        <v/>
      </c>
      <c r="UJ3">
        <f>IF('計算A'!HJ$106=1,LD3,1)</f>
        <v/>
      </c>
      <c r="UK3">
        <f>IF('計算A'!HK$106=1,LE3,1)</f>
        <v/>
      </c>
      <c r="UL3">
        <f>IF('計算A'!HL$106=1,LF3,1)</f>
        <v/>
      </c>
      <c r="UM3">
        <f>IF('計算A'!HM$106=1,LG3,1)</f>
        <v/>
      </c>
      <c r="UN3">
        <f>IF('計算A'!HN$106=1,LH3,1)</f>
        <v/>
      </c>
      <c r="UO3">
        <f>IF('計算A'!HO$106=1,LI3,1)</f>
        <v/>
      </c>
      <c r="UP3">
        <f>IF('計算A'!HP$106=1,LJ3,1)</f>
        <v/>
      </c>
      <c r="UQ3">
        <f>IF('計算A'!HQ$106=1,LK3,1)</f>
        <v/>
      </c>
      <c r="UR3">
        <f>IF('計算A'!HR$106=1,LL3,1)</f>
        <v/>
      </c>
      <c r="US3">
        <f>IF('計算A'!HS$106=1,LM3,1)</f>
        <v/>
      </c>
      <c r="UT3">
        <f>IF('計算A'!HT$106=1,LN3,1)</f>
        <v/>
      </c>
      <c r="UU3">
        <f>IF('計算A'!HU$106=1,LO3,1)</f>
        <v/>
      </c>
      <c r="UV3">
        <f>IF('計算A'!HV$106=1,LP3,1)</f>
        <v/>
      </c>
      <c r="UW3">
        <f>IF('計算A'!HW$106=1,LQ3,1)</f>
        <v/>
      </c>
      <c r="UX3">
        <f>IF('計算A'!HX$106=1,LR3,1)</f>
        <v/>
      </c>
      <c r="UY3">
        <f>IF('計算A'!HY$106=1,LS3,1)</f>
        <v/>
      </c>
      <c r="UZ3">
        <f>IF('計算A'!HZ$106=1,LT3,1)</f>
        <v/>
      </c>
      <c r="VA3">
        <f>IF('計算A'!IA$106=1,LU3,1)</f>
        <v/>
      </c>
      <c r="VB3">
        <f>IF('計算A'!IB$106=1,LV3,1)</f>
        <v/>
      </c>
      <c r="VC3">
        <f>IF('計算A'!IC$106=1,LW3,1)</f>
        <v/>
      </c>
      <c r="VD3">
        <f>IF('計算A'!ID$106=1,LX3,1)</f>
        <v/>
      </c>
      <c r="VE3">
        <f>IF('計算A'!IE$106=1,LY3,1)</f>
        <v/>
      </c>
      <c r="VF3">
        <f>IF('計算A'!IF$106=1,LZ3,1)</f>
        <v/>
      </c>
      <c r="VG3">
        <f>IF('計算A'!IG$106=1,MA3,1)</f>
        <v/>
      </c>
      <c r="VH3">
        <f>IF('計算A'!IH$106=1,MB3,1)</f>
        <v/>
      </c>
      <c r="VI3" t="n">
        <v>1</v>
      </c>
      <c r="VK3">
        <f>IF($B3=0,1000000,IF(INDEX('計算A'!$D$60:$II$104,$B3,1)*CW3=1,IF(AND($E3=2,MD3=0),1000000,INDEX('計算A'!D$110:D$114,$F3+1)+IF(AND($E3=1,MD3=0),1000,0)),1000000))</f>
        <v/>
      </c>
      <c r="VL3">
        <f>IF($B3=0,1000000,IF(INDEX('計算A'!$D$60:$II$104,$B3,2)*CX3=1,IF(AND($E3=2,ME3=0),1000000,INDEX('計算A'!E$110:E$114,$F3+1)+IF(AND($E3=1,ME3=0),1000,0)),1000000))</f>
        <v/>
      </c>
      <c r="VM3">
        <f>IF($B3=0,1000000,IF(INDEX('計算A'!$D$60:$II$104,$B3,3)*CY3=1,IF(AND($E3=2,MF3=0),1000000,INDEX('計算A'!F$110:F$114,$F3+1)+IF(AND($E3=1,MF3=0),1000,0)),1000000))</f>
        <v/>
      </c>
      <c r="VN3">
        <f>IF($B3=0,1000000,IF(INDEX('計算A'!$D$60:$II$104,$B3,4)*CZ3=1,IF(AND($E3=2,MG3=0),1000000,INDEX('計算A'!G$110:G$114,$F3+1)+IF(AND($E3=1,MG3=0),1000,0)),1000000))</f>
        <v/>
      </c>
      <c r="VO3">
        <f>IF($B3=0,1000000,IF(INDEX('計算A'!$D$60:$II$104,$B3,5)*DA3=1,IF(AND($E3=2,MH3=0),1000000,INDEX('計算A'!H$110:H$114,$F3+1)+IF(AND($E3=1,MH3=0),1000,0)),1000000))</f>
        <v/>
      </c>
      <c r="VP3">
        <f>IF($B3=0,1000000,IF(INDEX('計算A'!$D$60:$II$104,$B3,6)*DB3=1,IF(AND($E3=2,MI3=0),1000000,INDEX('計算A'!I$110:I$114,$F3+1)+IF(AND($E3=1,MI3=0),1000,0)),1000000))</f>
        <v/>
      </c>
      <c r="VQ3">
        <f>IF($B3=0,1000000,IF(INDEX('計算A'!$D$60:$II$104,$B3,7)*DC3=1,IF(AND($E3=2,MJ3=0),1000000,INDEX('計算A'!J$110:J$114,$F3+1)+IF(AND($E3=1,MJ3=0),1000,0)),1000000))</f>
        <v/>
      </c>
      <c r="VR3">
        <f>IF($B3=0,1000000,IF(INDEX('計算A'!$D$60:$II$104,$B3,8)*DD3=1,IF(AND($E3=2,MK3=0),1000000,INDEX('計算A'!K$110:K$114,$F3+1)+IF(AND($E3=1,MK3=0),1000,0)),1000000))</f>
        <v/>
      </c>
      <c r="VS3">
        <f>IF($B3=0,1000000,IF(INDEX('計算A'!$D$60:$II$104,$B3,9)*DE3=1,IF(AND($E3=2,ML3=0),1000000,INDEX('計算A'!L$110:L$114,$F3+1)+IF(AND($E3=1,ML3=0),1000,0)),1000000))</f>
        <v/>
      </c>
      <c r="VT3">
        <f>IF($B3=0,1000000,IF(INDEX('計算A'!$D$60:$II$104,$B3,10)*DF3=1,IF(AND($E3=2,MM3=0),1000000,INDEX('計算A'!M$110:M$114,$F3+1)+IF(AND($E3=1,MM3=0),1000,0)),1000000))</f>
        <v/>
      </c>
      <c r="VU3">
        <f>IF($B3=0,1000000,IF(INDEX('計算A'!$D$60:$II$104,$B3,11)*DG3=1,IF(AND($E3=2,MN3=0),1000000,INDEX('計算A'!N$110:N$114,$F3+1)+IF(AND($E3=1,MN3=0),1000,0)),1000000))</f>
        <v/>
      </c>
      <c r="VV3">
        <f>IF($B3=0,1000000,IF(INDEX('計算A'!$D$60:$II$104,$B3,12)*DH3=1,IF(AND($E3=2,MO3=0),1000000,INDEX('計算A'!O$110:O$114,$F3+1)+IF(AND($E3=1,MO3=0),1000,0)),1000000))</f>
        <v/>
      </c>
      <c r="VW3">
        <f>IF($B3=0,1000000,IF(INDEX('計算A'!$D$60:$II$104,$B3,13)*DI3=1,IF(AND($E3=2,MP3=0),1000000,INDEX('計算A'!P$110:P$114,$F3+1)+IF(AND($E3=1,MP3=0),1000,0)),1000000))</f>
        <v/>
      </c>
      <c r="VX3">
        <f>IF($B3=0,1000000,IF(INDEX('計算A'!$D$60:$II$104,$B3,14)*DJ3=1,IF(AND($E3=2,MQ3=0),1000000,INDEX('計算A'!Q$110:Q$114,$F3+1)+IF(AND($E3=1,MQ3=0),1000,0)),1000000))</f>
        <v/>
      </c>
      <c r="VY3">
        <f>IF($B3=0,1000000,IF(INDEX('計算A'!$D$60:$II$104,$B3,15)*DK3=1,IF(AND($E3=2,MR3=0),1000000,INDEX('計算A'!R$110:R$114,$F3+1)+IF(AND($E3=1,MR3=0),1000,0)),1000000))</f>
        <v/>
      </c>
      <c r="VZ3">
        <f>IF($B3=0,1000000,IF(INDEX('計算A'!$D$60:$II$104,$B3,16)*DL3=1,IF(AND($E3=2,MS3=0),1000000,INDEX('計算A'!S$110:S$114,$F3+1)+IF(AND($E3=1,MS3=0),1000,0)),1000000))</f>
        <v/>
      </c>
      <c r="WA3">
        <f>IF($B3=0,1000000,IF(INDEX('計算A'!$D$60:$II$104,$B3,17)*DM3=1,IF(AND($E3=2,MT3=0),1000000,INDEX('計算A'!T$110:T$114,$F3+1)+IF(AND($E3=1,MT3=0),1000,0)),1000000))</f>
        <v/>
      </c>
      <c r="WB3">
        <f>IF($B3=0,1000000,IF(INDEX('計算A'!$D$60:$II$104,$B3,18)*DN3=1,IF(AND($E3=2,MU3=0),1000000,INDEX('計算A'!U$110:U$114,$F3+1)+IF(AND($E3=1,MU3=0),1000,0)),1000000))</f>
        <v/>
      </c>
      <c r="WC3">
        <f>IF($B3=0,1000000,IF(INDEX('計算A'!$D$60:$II$104,$B3,19)*DO3=1,IF(AND($E3=2,MV3=0),1000000,INDEX('計算A'!V$110:V$114,$F3+1)+IF(AND($E3=1,MV3=0),1000,0)),1000000))</f>
        <v/>
      </c>
      <c r="WD3">
        <f>IF($B3=0,1000000,IF(INDEX('計算A'!$D$60:$II$104,$B3,20)*DP3=1,IF(AND($E3=2,MW3=0),1000000,INDEX('計算A'!W$110:W$114,$F3+1)+IF(AND($E3=1,MW3=0),1000,0)),1000000))</f>
        <v/>
      </c>
      <c r="WE3">
        <f>IF($B3=0,1000000,IF(INDEX('計算A'!$D$60:$II$104,$B3,21)*DQ3=1,IF(AND($E3=2,MX3=0),1000000,INDEX('計算A'!X$110:X$114,$F3+1)+IF(AND($E3=1,MX3=0),1000,0)),1000000))</f>
        <v/>
      </c>
      <c r="WF3">
        <f>IF($B3=0,1000000,IF(INDEX('計算A'!$D$60:$II$104,$B3,22)*DR3=1,IF(AND($E3=2,MY3=0),1000000,INDEX('計算A'!Y$110:Y$114,$F3+1)+IF(AND($E3=1,MY3=0),1000,0)),1000000))</f>
        <v/>
      </c>
      <c r="WG3">
        <f>IF($B3=0,1000000,IF(INDEX('計算A'!$D$60:$II$104,$B3,23)*DS3=1,IF(AND($E3=2,MZ3=0),1000000,INDEX('計算A'!Z$110:Z$114,$F3+1)+IF(AND($E3=1,MZ3=0),1000,0)),1000000))</f>
        <v/>
      </c>
      <c r="WH3">
        <f>IF($B3=0,1000000,IF(INDEX('計算A'!$D$60:$II$104,$B3,24)*DT3=1,IF(AND($E3=2,NA3=0),1000000,INDEX('計算A'!AA$110:AA$114,$F3+1)+IF(AND($E3=1,NA3=0),1000,0)),1000000))</f>
        <v/>
      </c>
      <c r="WI3">
        <f>IF($B3=0,1000000,IF(INDEX('計算A'!$D$60:$II$104,$B3,25)*DU3=1,IF(AND($E3=2,NB3=0),1000000,INDEX('計算A'!AB$110:AB$114,$F3+1)+IF(AND($E3=1,NB3=0),1000,0)),1000000))</f>
        <v/>
      </c>
      <c r="WJ3">
        <f>IF($B3=0,1000000,IF(INDEX('計算A'!$D$60:$II$104,$B3,26)*DV3=1,IF(AND($E3=2,NC3=0),1000000,INDEX('計算A'!AC$110:AC$114,$F3+1)+IF(AND($E3=1,NC3=0),1000,0)),1000000))</f>
        <v/>
      </c>
      <c r="WK3">
        <f>IF($B3=0,1000000,IF(INDEX('計算A'!$D$60:$II$104,$B3,27)*DW3=1,IF(AND($E3=2,ND3=0),1000000,INDEX('計算A'!AD$110:AD$114,$F3+1)+IF(AND($E3=1,ND3=0),1000,0)),1000000))</f>
        <v/>
      </c>
      <c r="WL3">
        <f>IF($B3=0,1000000,IF(INDEX('計算A'!$D$60:$II$104,$B3,28)*DX3=1,IF(AND($E3=2,NE3=0),1000000,INDEX('計算A'!AE$110:AE$114,$F3+1)+IF(AND($E3=1,NE3=0),1000,0)),1000000))</f>
        <v/>
      </c>
      <c r="WM3">
        <f>IF($B3=0,1000000,IF(INDEX('計算A'!$D$60:$II$104,$B3,29)*DY3=1,IF(AND($E3=2,NF3=0),1000000,INDEX('計算A'!AF$110:AF$114,$F3+1)+IF(AND($E3=1,NF3=0),1000,0)),1000000))</f>
        <v/>
      </c>
      <c r="WN3">
        <f>IF($B3=0,1000000,IF(INDEX('計算A'!$D$60:$II$104,$B3,30)*DZ3=1,IF(AND($E3=2,NG3=0),1000000,INDEX('計算A'!AG$110:AG$114,$F3+1)+IF(AND($E3=1,NG3=0),1000,0)),1000000))</f>
        <v/>
      </c>
      <c r="WO3">
        <f>IF($B3=0,1000000,IF(INDEX('計算A'!$D$60:$II$104,$B3,31)*EA3=1,IF(AND($E3=2,NH3=0),1000000,INDEX('計算A'!AH$110:AH$114,$F3+1)+IF(AND($E3=1,NH3=0),1000,0)),1000000))</f>
        <v/>
      </c>
      <c r="WP3">
        <f>IF($B3=0,1000000,IF(INDEX('計算A'!$D$60:$II$104,$B3,32)*EB3=1,IF(AND($E3=2,NI3=0),1000000,INDEX('計算A'!AI$110:AI$114,$F3+1)+IF(AND($E3=1,NI3=0),1000,0)),1000000))</f>
        <v/>
      </c>
      <c r="WQ3">
        <f>IF($B3=0,1000000,IF(INDEX('計算A'!$D$60:$II$104,$B3,33)*EC3=1,IF(AND($E3=2,NJ3=0),1000000,INDEX('計算A'!AJ$110:AJ$114,$F3+1)+IF(AND($E3=1,NJ3=0),1000,0)),1000000))</f>
        <v/>
      </c>
      <c r="WR3">
        <f>IF($B3=0,1000000,IF(INDEX('計算A'!$D$60:$II$104,$B3,34)*ED3=1,IF(AND($E3=2,NK3=0),1000000,INDEX('計算A'!AK$110:AK$114,$F3+1)+IF(AND($E3=1,NK3=0),1000,0)),1000000))</f>
        <v/>
      </c>
      <c r="WS3">
        <f>IF($B3=0,1000000,IF(INDEX('計算A'!$D$60:$II$104,$B3,35)*EE3=1,IF(AND($E3=2,NL3=0),1000000,INDEX('計算A'!AL$110:AL$114,$F3+1)+IF(AND($E3=1,NL3=0),1000,0)),1000000))</f>
        <v/>
      </c>
      <c r="WT3">
        <f>IF($B3=0,1000000,IF(INDEX('計算A'!$D$60:$II$104,$B3,36)*EF3=1,IF(AND($E3=2,NM3=0),1000000,INDEX('計算A'!AM$110:AM$114,$F3+1)+IF(AND($E3=1,NM3=0),1000,0)),1000000))</f>
        <v/>
      </c>
      <c r="WU3">
        <f>IF($B3=0,1000000,IF(INDEX('計算A'!$D$60:$II$104,$B3,37)*EG3=1,IF(AND($E3=2,NN3=0),1000000,INDEX('計算A'!AN$110:AN$114,$F3+1)+IF(AND($E3=1,NN3=0),1000,0)),1000000))</f>
        <v/>
      </c>
      <c r="WV3">
        <f>IF($B3=0,1000000,IF(INDEX('計算A'!$D$60:$II$104,$B3,38)*EH3=1,IF(AND($E3=2,NO3=0),1000000,INDEX('計算A'!AO$110:AO$114,$F3+1)+IF(AND($E3=1,NO3=0),1000,0)),1000000))</f>
        <v/>
      </c>
      <c r="WW3">
        <f>IF($B3=0,1000000,IF(INDEX('計算A'!$D$60:$II$104,$B3,39)*EI3=1,IF(AND($E3=2,NP3=0),1000000,INDEX('計算A'!AP$110:AP$114,$F3+1)+IF(AND($E3=1,NP3=0),1000,0)),1000000))</f>
        <v/>
      </c>
      <c r="WX3">
        <f>IF($B3=0,1000000,IF(INDEX('計算A'!$D$60:$II$104,$B3,40)*EJ3=1,IF(AND($E3=2,NQ3=0),1000000,INDEX('計算A'!AQ$110:AQ$114,$F3+1)+IF(AND($E3=1,NQ3=0),1000,0)),1000000))</f>
        <v/>
      </c>
      <c r="WY3">
        <f>IF($B3=0,1000000,IF(INDEX('計算A'!$D$60:$II$104,$B3,41)*EK3=1,IF(AND($E3=2,NR3=0),1000000,INDEX('計算A'!AR$110:AR$114,$F3+1)+IF(AND($E3=1,NR3=0),1000,0)),1000000))</f>
        <v/>
      </c>
      <c r="WZ3">
        <f>IF($B3=0,1000000,IF(INDEX('計算A'!$D$60:$II$104,$B3,42)*EL3=1,IF(AND($E3=2,NS3=0),1000000,INDEX('計算A'!AS$110:AS$114,$F3+1)+IF(AND($E3=1,NS3=0),1000,0)),1000000))</f>
        <v/>
      </c>
      <c r="XA3">
        <f>IF($B3=0,1000000,IF(INDEX('計算A'!$D$60:$II$104,$B3,43)*EM3=1,IF(AND($E3=2,NT3=0),1000000,INDEX('計算A'!AT$110:AT$114,$F3+1)+IF(AND($E3=1,NT3=0),1000,0)),1000000))</f>
        <v/>
      </c>
      <c r="XB3">
        <f>IF($B3=0,1000000,IF(INDEX('計算A'!$D$60:$II$104,$B3,44)*EN3=1,IF(AND($E3=2,NU3=0),1000000,INDEX('計算A'!AU$110:AU$114,$F3+1)+IF(AND($E3=1,NU3=0),1000,0)),1000000))</f>
        <v/>
      </c>
      <c r="XC3">
        <f>IF($B3=0,1000000,IF(INDEX('計算A'!$D$60:$II$104,$B3,45)*EO3=1,IF(AND($E3=2,NV3=0),1000000,INDEX('計算A'!AV$110:AV$114,$F3+1)+IF(AND($E3=1,NV3=0),1000,0)),1000000))</f>
        <v/>
      </c>
      <c r="XD3">
        <f>IF($B3=0,1000000,IF(INDEX('計算A'!$D$60:$II$104,$B3,46)*EP3=1,IF(AND($E3=2,NW3=0),1000000,INDEX('計算A'!AW$110:AW$114,$F3+1)+IF(AND($E3=1,NW3=0),1000,0)),1000000))</f>
        <v/>
      </c>
      <c r="XE3">
        <f>IF($B3=0,1000000,IF(INDEX('計算A'!$D$60:$II$104,$B3,47)*EQ3=1,IF(AND($E3=2,NX3=0),1000000,INDEX('計算A'!AX$110:AX$114,$F3+1)+IF(AND($E3=1,NX3=0),1000,0)),1000000))</f>
        <v/>
      </c>
      <c r="XF3">
        <f>IF($B3=0,1000000,IF(INDEX('計算A'!$D$60:$II$104,$B3,48)*ER3=1,IF(AND($E3=2,NY3=0),1000000,INDEX('計算A'!AY$110:AY$114,$F3+1)+IF(AND($E3=1,NY3=0),1000,0)),1000000))</f>
        <v/>
      </c>
      <c r="XG3">
        <f>IF($B3=0,1000000,IF(INDEX('計算A'!$D$60:$II$104,$B3,49)*ES3=1,IF(AND($E3=2,NZ3=0),1000000,INDEX('計算A'!AZ$110:AZ$114,$F3+1)+IF(AND($E3=1,NZ3=0),1000,0)),1000000))</f>
        <v/>
      </c>
      <c r="XH3">
        <f>IF($B3=0,1000000,IF(INDEX('計算A'!$D$60:$II$104,$B3,50)*ET3=1,IF(AND($E3=2,OA3=0),1000000,INDEX('計算A'!BA$110:BA$114,$F3+1)+IF(AND($E3=1,OA3=0),1000,0)),1000000))</f>
        <v/>
      </c>
      <c r="XI3">
        <f>IF($B3=0,1000000,IF(INDEX('計算A'!$D$60:$II$104,$B3,51)*EU3=1,IF(AND($E3=2,OB3=0),1000000,INDEX('計算A'!BB$110:BB$114,$F3+1)+IF(AND($E3=1,OB3=0),1000,0)),1000000))</f>
        <v/>
      </c>
      <c r="XJ3">
        <f>IF($B3=0,1000000,IF(INDEX('計算A'!$D$60:$II$104,$B3,52)*EV3=1,IF(AND($E3=2,OC3=0),1000000,INDEX('計算A'!BC$110:BC$114,$F3+1)+IF(AND($E3=1,OC3=0),1000,0)),1000000))</f>
        <v/>
      </c>
      <c r="XK3">
        <f>IF($B3=0,1000000,IF(INDEX('計算A'!$D$60:$II$104,$B3,53)*EW3=1,IF(AND($E3=2,OD3=0),1000000,INDEX('計算A'!BD$110:BD$114,$F3+1)+IF(AND($E3=1,OD3=0),1000,0)),1000000))</f>
        <v/>
      </c>
      <c r="XL3">
        <f>IF($B3=0,1000000,IF(INDEX('計算A'!$D$60:$II$104,$B3,54)*EX3=1,IF(AND($E3=2,OE3=0),1000000,INDEX('計算A'!BE$110:BE$114,$F3+1)+IF(AND($E3=1,OE3=0),1000,0)),1000000))</f>
        <v/>
      </c>
      <c r="XM3">
        <f>IF($B3=0,1000000,IF(INDEX('計算A'!$D$60:$II$104,$B3,55)*EY3=1,IF(AND($E3=2,OF3=0),1000000,INDEX('計算A'!BF$110:BF$114,$F3+1)+IF(AND($E3=1,OF3=0),1000,0)),1000000))</f>
        <v/>
      </c>
      <c r="XN3">
        <f>IF($B3=0,1000000,IF(INDEX('計算A'!$D$60:$II$104,$B3,56)*EZ3=1,IF(AND($E3=2,OG3=0),1000000,INDEX('計算A'!BG$110:BG$114,$F3+1)+IF(AND($E3=1,OG3=0),1000,0)),1000000))</f>
        <v/>
      </c>
      <c r="XO3">
        <f>IF($B3=0,1000000,IF(INDEX('計算A'!$D$60:$II$104,$B3,57)*FA3=1,IF(AND($E3=2,OH3=0),1000000,INDEX('計算A'!BH$110:BH$114,$F3+1)+IF(AND($E3=1,OH3=0),1000,0)),1000000))</f>
        <v/>
      </c>
      <c r="XP3">
        <f>IF($B3=0,1000000,IF(INDEX('計算A'!$D$60:$II$104,$B3,58)*FB3=1,IF(AND($E3=2,OI3=0),1000000,INDEX('計算A'!BI$110:BI$114,$F3+1)+IF(AND($E3=1,OI3=0),1000,0)),1000000))</f>
        <v/>
      </c>
      <c r="XQ3">
        <f>IF($B3=0,1000000,IF(INDEX('計算A'!$D$60:$II$104,$B3,59)*FC3=1,IF(AND($E3=2,OJ3=0),1000000,INDEX('計算A'!BJ$110:BJ$114,$F3+1)+IF(AND($E3=1,OJ3=0),1000,0)),1000000))</f>
        <v/>
      </c>
      <c r="XR3">
        <f>IF($B3=0,1000000,IF(INDEX('計算A'!$D$60:$II$104,$B3,60)*FD3=1,IF(AND($E3=2,OK3=0),1000000,INDEX('計算A'!BK$110:BK$114,$F3+1)+IF(AND($E3=1,OK3=0),1000,0)),1000000))</f>
        <v/>
      </c>
      <c r="XS3">
        <f>IF($B3=0,1000000,IF(INDEX('計算A'!$D$60:$II$104,$B3,61)*FE3=1,IF(AND($E3=2,OL3=0),1000000,INDEX('計算A'!BL$110:BL$114,$F3+1)+IF(AND($E3=1,OL3=0),1000,0)),1000000))</f>
        <v/>
      </c>
      <c r="XT3">
        <f>IF($B3=0,1000000,IF(INDEX('計算A'!$D$60:$II$104,$B3,62)*FF3=1,IF(AND($E3=2,OM3=0),1000000,INDEX('計算A'!BM$110:BM$114,$F3+1)+IF(AND($E3=1,OM3=0),1000,0)),1000000))</f>
        <v/>
      </c>
      <c r="XU3">
        <f>IF($B3=0,1000000,IF(INDEX('計算A'!$D$60:$II$104,$B3,63)*FG3=1,IF(AND($E3=2,ON3=0),1000000,INDEX('計算A'!BN$110:BN$114,$F3+1)+IF(AND($E3=1,ON3=0),1000,0)),1000000))</f>
        <v/>
      </c>
      <c r="XV3">
        <f>IF($B3=0,1000000,IF(INDEX('計算A'!$D$60:$II$104,$B3,64)*FH3=1,IF(AND($E3=2,OO3=0),1000000,INDEX('計算A'!BO$110:BO$114,$F3+1)+IF(AND($E3=1,OO3=0),1000,0)),1000000))</f>
        <v/>
      </c>
      <c r="XW3">
        <f>IF($B3=0,1000000,IF(INDEX('計算A'!$D$60:$II$104,$B3,65)*FI3=1,IF(AND($E3=2,OP3=0),1000000,INDEX('計算A'!BP$110:BP$114,$F3+1)+IF(AND($E3=1,OP3=0),1000,0)),1000000))</f>
        <v/>
      </c>
      <c r="XX3">
        <f>IF($B3=0,1000000,IF(INDEX('計算A'!$D$60:$II$104,$B3,66)*FJ3=1,IF(AND($E3=2,OQ3=0),1000000,INDEX('計算A'!BQ$110:BQ$114,$F3+1)+IF(AND($E3=1,OQ3=0),1000,0)),1000000))</f>
        <v/>
      </c>
      <c r="XY3">
        <f>IF($B3=0,1000000,IF(INDEX('計算A'!$D$60:$II$104,$B3,67)*FK3=1,IF(AND($E3=2,OR3=0),1000000,INDEX('計算A'!BR$110:BR$114,$F3+1)+IF(AND($E3=1,OR3=0),1000,0)),1000000))</f>
        <v/>
      </c>
      <c r="XZ3">
        <f>IF($B3=0,1000000,IF(INDEX('計算A'!$D$60:$II$104,$B3,68)*FL3=1,IF(AND($E3=2,OS3=0),1000000,INDEX('計算A'!BS$110:BS$114,$F3+1)+IF(AND($E3=1,OS3=0),1000,0)),1000000))</f>
        <v/>
      </c>
      <c r="YA3">
        <f>IF($B3=0,1000000,IF(INDEX('計算A'!$D$60:$II$104,$B3,69)*FM3=1,IF(AND($E3=2,OT3=0),1000000,INDEX('計算A'!BT$110:BT$114,$F3+1)+IF(AND($E3=1,OT3=0),1000,0)),1000000))</f>
        <v/>
      </c>
      <c r="YB3">
        <f>IF($B3=0,1000000,IF(INDEX('計算A'!$D$60:$II$104,$B3,70)*FN3=1,IF(AND($E3=2,OU3=0),1000000,INDEX('計算A'!BU$110:BU$114,$F3+1)+IF(AND($E3=1,OU3=0),1000,0)),1000000))</f>
        <v/>
      </c>
      <c r="YC3">
        <f>IF($B3=0,1000000,IF(INDEX('計算A'!$D$60:$II$104,$B3,71)*FO3=1,IF(AND($E3=2,OV3=0),1000000,INDEX('計算A'!BV$110:BV$114,$F3+1)+IF(AND($E3=1,OV3=0),1000,0)),1000000))</f>
        <v/>
      </c>
      <c r="YD3">
        <f>IF($B3=0,1000000,IF(INDEX('計算A'!$D$60:$II$104,$B3,72)*FP3=1,IF(AND($E3=2,OW3=0),1000000,INDEX('計算A'!BW$110:BW$114,$F3+1)+IF(AND($E3=1,OW3=0),1000,0)),1000000))</f>
        <v/>
      </c>
      <c r="YE3">
        <f>IF($B3=0,1000000,IF(INDEX('計算A'!$D$60:$II$104,$B3,73)*FQ3=1,IF(AND($E3=2,OX3=0),1000000,INDEX('計算A'!BX$110:BX$114,$F3+1)+IF(AND($E3=1,OX3=0),1000,0)),1000000))</f>
        <v/>
      </c>
      <c r="YF3">
        <f>IF($B3=0,1000000,IF(INDEX('計算A'!$D$60:$II$104,$B3,74)*FR3=1,IF(AND($E3=2,OY3=0),1000000,INDEX('計算A'!BY$110:BY$114,$F3+1)+IF(AND($E3=1,OY3=0),1000,0)),1000000))</f>
        <v/>
      </c>
      <c r="YG3">
        <f>IF($B3=0,1000000,IF(INDEX('計算A'!$D$60:$II$104,$B3,75)*FS3=1,IF(AND($E3=2,OZ3=0),1000000,INDEX('計算A'!BZ$110:BZ$114,$F3+1)+IF(AND($E3=1,OZ3=0),1000,0)),1000000))</f>
        <v/>
      </c>
      <c r="YH3">
        <f>IF($B3=0,1000000,IF(INDEX('計算A'!$D$60:$II$104,$B3,76)*FT3=1,IF(AND($E3=2,PA3=0),1000000,INDEX('計算A'!CA$110:CA$114,$F3+1)+IF(AND($E3=1,PA3=0),1000,0)),1000000))</f>
        <v/>
      </c>
      <c r="YI3">
        <f>IF($B3=0,1000000,IF(INDEX('計算A'!$D$60:$II$104,$B3,77)*FU3=1,IF(AND($E3=2,PB3=0),1000000,INDEX('計算A'!CB$110:CB$114,$F3+1)+IF(AND($E3=1,PB3=0),1000,0)),1000000))</f>
        <v/>
      </c>
      <c r="YJ3">
        <f>IF($B3=0,1000000,IF(INDEX('計算A'!$D$60:$II$104,$B3,78)*FV3=1,IF(AND($E3=2,PC3=0),1000000,INDEX('計算A'!CC$110:CC$114,$F3+1)+IF(AND($E3=1,PC3=0),1000,0)),1000000))</f>
        <v/>
      </c>
      <c r="YK3">
        <f>IF($B3=0,1000000,IF(INDEX('計算A'!$D$60:$II$104,$B3,79)*FW3=1,IF(AND($E3=2,PD3=0),1000000,INDEX('計算A'!CD$110:CD$114,$F3+1)+IF(AND($E3=1,PD3=0),1000,0)),1000000))</f>
        <v/>
      </c>
      <c r="YL3">
        <f>IF($B3=0,1000000,IF(INDEX('計算A'!$D$60:$II$104,$B3,80)*FX3=1,IF(AND($E3=2,PE3=0),1000000,INDEX('計算A'!CE$110:CE$114,$F3+1)+IF(AND($E3=1,PE3=0),1000,0)),1000000))</f>
        <v/>
      </c>
      <c r="YM3">
        <f>IF($B3=0,1000000,IF(INDEX('計算A'!$D$60:$II$104,$B3,81)*FY3=1,IF(AND($E3=2,PF3=0),1000000,INDEX('計算A'!CF$110:CF$114,$F3+1)+IF(AND($E3=1,PF3=0),1000,0)),1000000))</f>
        <v/>
      </c>
      <c r="YN3">
        <f>IF($B3=0,1000000,IF(INDEX('計算A'!$D$60:$II$104,$B3,82)*FZ3=1,IF(AND($E3=2,PG3=0),1000000,INDEX('計算A'!CG$110:CG$114,$F3+1)+IF(AND($E3=1,PG3=0),1000,0)),1000000))</f>
        <v/>
      </c>
      <c r="YO3">
        <f>IF($B3=0,1000000,IF(INDEX('計算A'!$D$60:$II$104,$B3,83)*GA3=1,IF(AND($E3=2,PH3=0),1000000,INDEX('計算A'!CH$110:CH$114,$F3+1)+IF(AND($E3=1,PH3=0),1000,0)),1000000))</f>
        <v/>
      </c>
      <c r="YP3">
        <f>IF($B3=0,1000000,IF(INDEX('計算A'!$D$60:$II$104,$B3,84)*GB3=1,IF(AND($E3=2,PI3=0),1000000,INDEX('計算A'!CI$110:CI$114,$F3+1)+IF(AND($E3=1,PI3=0),1000,0)),1000000))</f>
        <v/>
      </c>
      <c r="YQ3">
        <f>IF($B3=0,1000000,IF(INDEX('計算A'!$D$60:$II$104,$B3,85)*GC3=1,IF(AND($E3=2,PJ3=0),1000000,INDEX('計算A'!CJ$110:CJ$114,$F3+1)+IF(AND($E3=1,PJ3=0),1000,0)),1000000))</f>
        <v/>
      </c>
      <c r="YR3">
        <f>IF($B3=0,1000000,IF(INDEX('計算A'!$D$60:$II$104,$B3,86)*GD3=1,IF(AND($E3=2,PK3=0),1000000,INDEX('計算A'!CK$110:CK$114,$F3+1)+IF(AND($E3=1,PK3=0),1000,0)),1000000))</f>
        <v/>
      </c>
      <c r="YS3">
        <f>IF($B3=0,1000000,IF(INDEX('計算A'!$D$60:$II$104,$B3,87)*GE3=1,IF(AND($E3=2,PL3=0),1000000,INDEX('計算A'!CL$110:CL$114,$F3+1)+IF(AND($E3=1,PL3=0),1000,0)),1000000))</f>
        <v/>
      </c>
      <c r="YT3">
        <f>IF($B3=0,1000000,IF(INDEX('計算A'!$D$60:$II$104,$B3,88)*GF3=1,IF(AND($E3=2,PM3=0),1000000,INDEX('計算A'!CM$110:CM$114,$F3+1)+IF(AND($E3=1,PM3=0),1000,0)),1000000))</f>
        <v/>
      </c>
      <c r="YU3">
        <f>IF($B3=0,1000000,IF(INDEX('計算A'!$D$60:$II$104,$B3,89)*GG3=1,IF(AND($E3=2,PN3=0),1000000,INDEX('計算A'!CN$110:CN$114,$F3+1)+IF(AND($E3=1,PN3=0),1000,0)),1000000))</f>
        <v/>
      </c>
      <c r="YV3">
        <f>IF($B3=0,1000000,IF(INDEX('計算A'!$D$60:$II$104,$B3,90)*GH3=1,IF(AND($E3=2,PO3=0),1000000,INDEX('計算A'!CO$110:CO$114,$F3+1)+IF(AND($E3=1,PO3=0),1000,0)),1000000))</f>
        <v/>
      </c>
      <c r="YW3">
        <f>IF($B3=0,1000000,IF(INDEX('計算A'!$D$60:$II$104,$B3,91)*GI3=1,IF(AND($E3=2,PP3=0),1000000,INDEX('計算A'!CP$110:CP$114,$F3+1)+IF(AND($E3=1,PP3=0),1000,0)),1000000))</f>
        <v/>
      </c>
      <c r="YX3">
        <f>IF($B3=0,1000000,IF(INDEX('計算A'!$D$60:$II$104,$B3,92)*GJ3=1,IF(AND($E3=2,PQ3=0),1000000,INDEX('計算A'!CQ$110:CQ$114,$F3+1)+IF(AND($E3=1,PQ3=0),1000,0)),1000000))</f>
        <v/>
      </c>
      <c r="YY3">
        <f>IF($B3=0,1000000,IF(INDEX('計算A'!$D$60:$II$104,$B3,93)*GK3=1,IF(AND($E3=2,PR3=0),1000000,INDEX('計算A'!CR$110:CR$114,$F3+1)+IF(AND($E3=1,PR3=0),1000,0)),1000000))</f>
        <v/>
      </c>
      <c r="YZ3">
        <f>IF($B3=0,1000000,IF(INDEX('計算A'!$D$60:$II$104,$B3,94)*GL3=1,IF(AND($E3=2,PS3=0),1000000,INDEX('計算A'!CS$110:CS$114,$F3+1)+IF(AND($E3=1,PS3=0),1000,0)),1000000))</f>
        <v/>
      </c>
      <c r="ZA3">
        <f>IF($B3=0,1000000,IF(INDEX('計算A'!$D$60:$II$104,$B3,95)*GM3=1,IF(AND($E3=2,PT3=0),1000000,INDEX('計算A'!CT$110:CT$114,$F3+1)+IF(AND($E3=1,PT3=0),1000,0)),1000000))</f>
        <v/>
      </c>
      <c r="ZB3">
        <f>IF($B3=0,1000000,IF(INDEX('計算A'!$D$60:$II$104,$B3,96)*GN3=1,IF(AND($E3=2,PU3=0),1000000,INDEX('計算A'!CU$110:CU$114,$F3+1)+IF(AND($E3=1,PU3=0),1000,0)),1000000))</f>
        <v/>
      </c>
      <c r="ZC3">
        <f>IF($B3=0,1000000,IF(INDEX('計算A'!$D$60:$II$104,$B3,97)*GO3=1,IF(AND($E3=2,PV3=0),1000000,INDEX('計算A'!CV$110:CV$114,$F3+1)+IF(AND($E3=1,PV3=0),1000,0)),1000000))</f>
        <v/>
      </c>
      <c r="ZD3">
        <f>IF($B3=0,1000000,IF(INDEX('計算A'!$D$60:$II$104,$B3,98)*GP3=1,IF(AND($E3=2,PW3=0),1000000,INDEX('計算A'!CW$110:CW$114,$F3+1)+IF(AND($E3=1,PW3=0),1000,0)),1000000))</f>
        <v/>
      </c>
      <c r="ZE3">
        <f>IF($B3=0,1000000,IF(INDEX('計算A'!$D$60:$II$104,$B3,99)*GQ3=1,IF(AND($E3=2,PX3=0),1000000,INDEX('計算A'!CX$110:CX$114,$F3+1)+IF(AND($E3=1,PX3=0),1000,0)),1000000))</f>
        <v/>
      </c>
      <c r="ZF3">
        <f>IF($B3=0,1000000,IF(INDEX('計算A'!$D$60:$II$104,$B3,100)*GR3=1,IF(AND($E3=2,PY3=0),1000000,INDEX('計算A'!CY$110:CY$114,$F3+1)+IF(AND($E3=1,PY3=0),1000,0)),1000000))</f>
        <v/>
      </c>
      <c r="ZG3">
        <f>IF($B3=0,1000000,IF(INDEX('計算A'!$D$60:$II$104,$B3,101)*GS3=1,IF(AND($E3=2,PZ3=0),1000000,INDEX('計算A'!CZ$110:CZ$114,$F3+1)+IF(AND($E3=1,PZ3=0),1000,0)),1000000))</f>
        <v/>
      </c>
      <c r="ZH3">
        <f>IF($B3=0,1000000,IF(INDEX('計算A'!$D$60:$II$104,$B3,102)*GT3=1,IF(AND($E3=2,QA3=0),1000000,INDEX('計算A'!DA$110:DA$114,$F3+1)+IF(AND($E3=1,QA3=0),1000,0)),1000000))</f>
        <v/>
      </c>
      <c r="ZI3">
        <f>IF($B3=0,1000000,IF(INDEX('計算A'!$D$60:$II$104,$B3,103)*GU3=1,IF(AND($E3=2,QB3=0),1000000,INDEX('計算A'!DB$110:DB$114,$F3+1)+IF(AND($E3=1,QB3=0),1000,0)),1000000))</f>
        <v/>
      </c>
      <c r="ZJ3">
        <f>IF($B3=0,1000000,IF(INDEX('計算A'!$D$60:$II$104,$B3,104)*GV3=1,IF(AND($E3=2,QC3=0),1000000,INDEX('計算A'!DC$110:DC$114,$F3+1)+IF(AND($E3=1,QC3=0),1000,0)),1000000))</f>
        <v/>
      </c>
      <c r="ZK3">
        <f>IF($B3=0,1000000,IF(INDEX('計算A'!$D$60:$II$104,$B3,105)*GW3=1,IF(AND($E3=2,QD3=0),1000000,INDEX('計算A'!DD$110:DD$114,$F3+1)+IF(AND($E3=1,QD3=0),1000,0)),1000000))</f>
        <v/>
      </c>
      <c r="ZL3">
        <f>IF($B3=0,1000000,IF(INDEX('計算A'!$D$60:$II$104,$B3,106)*GX3=1,IF(AND($E3=2,QE3=0),1000000,INDEX('計算A'!DE$110:DE$114,$F3+1)+IF(AND($E3=1,QE3=0),1000,0)),1000000))</f>
        <v/>
      </c>
      <c r="ZM3">
        <f>IF($B3=0,1000000,IF(INDEX('計算A'!$D$60:$II$104,$B3,107)*GY3=1,IF(AND($E3=2,QF3=0),1000000,INDEX('計算A'!DF$110:DF$114,$F3+1)+IF(AND($E3=1,QF3=0),1000,0)),1000000))</f>
        <v/>
      </c>
      <c r="ZN3">
        <f>IF($B3=0,1000000,IF(INDEX('計算A'!$D$60:$II$104,$B3,108)*GZ3=1,IF(AND($E3=2,QG3=0),1000000,INDEX('計算A'!DG$110:DG$114,$F3+1)+IF(AND($E3=1,QG3=0),1000,0)),1000000))</f>
        <v/>
      </c>
      <c r="ZO3">
        <f>IF($B3=0,1000000,IF(INDEX('計算A'!$D$60:$II$104,$B3,109)*HA3=1,IF(AND($E3=2,QH3=0),1000000,INDEX('計算A'!DH$110:DH$114,$F3+1)+IF(AND($E3=1,QH3=0),1000,0)),1000000))</f>
        <v/>
      </c>
      <c r="ZP3">
        <f>IF($B3=0,1000000,IF(INDEX('計算A'!$D$60:$II$104,$B3,110)*HB3=1,IF(AND($E3=2,QI3=0),1000000,INDEX('計算A'!DI$110:DI$114,$F3+1)+IF(AND($E3=1,QI3=0),1000,0)),1000000))</f>
        <v/>
      </c>
      <c r="ZQ3">
        <f>IF($B3=0,1000000,IF(INDEX('計算A'!$D$60:$II$104,$B3,111)*HC3=1,IF(AND($E3=2,QJ3=0),1000000,INDEX('計算A'!DJ$110:DJ$114,$F3+1)+IF(AND($E3=1,QJ3=0),1000,0)),1000000))</f>
        <v/>
      </c>
      <c r="ZR3">
        <f>IF($B3=0,1000000,IF(INDEX('計算A'!$D$60:$II$104,$B3,112)*HD3=1,IF(AND($E3=2,QK3=0),1000000,INDEX('計算A'!DK$110:DK$114,$F3+1)+IF(AND($E3=1,QK3=0),1000,0)),1000000))</f>
        <v/>
      </c>
      <c r="ZS3">
        <f>IF($B3=0,1000000,IF(INDEX('計算A'!$D$60:$II$104,$B3,113)*HE3=1,IF(AND($E3=2,QL3=0),1000000,INDEX('計算A'!DL$110:DL$114,$F3+1)+IF(AND($E3=1,QL3=0),1000,0)),1000000))</f>
        <v/>
      </c>
      <c r="ZT3">
        <f>IF($B3=0,1000000,IF(INDEX('計算A'!$D$60:$II$104,$B3,114)*HF3=1,IF(AND($E3=2,QM3=0),1000000,INDEX('計算A'!DM$110:DM$114,$F3+1)+IF(AND($E3=1,QM3=0),1000,0)),1000000))</f>
        <v/>
      </c>
      <c r="ZU3">
        <f>IF($B3=0,1000000,IF(INDEX('計算A'!$D$60:$II$104,$B3,115)*HG3=1,IF(AND($E3=2,QN3=0),1000000,INDEX('計算A'!DN$110:DN$114,$F3+1)+IF(AND($E3=1,QN3=0),1000,0)),1000000))</f>
        <v/>
      </c>
      <c r="ZV3">
        <f>IF($B3=0,1000000,IF(INDEX('計算A'!$D$60:$II$104,$B3,116)*HH3=1,IF(AND($E3=2,QO3=0),1000000,INDEX('計算A'!DO$110:DO$114,$F3+1)+IF(AND($E3=1,QO3=0),1000,0)),1000000))</f>
        <v/>
      </c>
      <c r="ZW3">
        <f>IF($B3=0,1000000,IF(INDEX('計算A'!$D$60:$II$104,$B3,117)*HI3=1,IF(AND($E3=2,QP3=0),1000000,INDEX('計算A'!DP$110:DP$114,$F3+1)+IF(AND($E3=1,QP3=0),1000,0)),1000000))</f>
        <v/>
      </c>
      <c r="ZX3">
        <f>IF($B3=0,1000000,IF(INDEX('計算A'!$D$60:$II$104,$B3,118)*HJ3=1,IF(AND($E3=2,QQ3=0),1000000,INDEX('計算A'!DQ$110:DQ$114,$F3+1)+IF(AND($E3=1,QQ3=0),1000,0)),1000000))</f>
        <v/>
      </c>
      <c r="ZY3">
        <f>IF($B3=0,1000000,IF(INDEX('計算A'!$D$60:$II$104,$B3,119)*HK3=1,IF(AND($E3=2,QR3=0),1000000,INDEX('計算A'!DR$110:DR$114,$F3+1)+IF(AND($E3=1,QR3=0),1000,0)),1000000))</f>
        <v/>
      </c>
      <c r="ZZ3">
        <f>IF($B3=0,1000000,IF(INDEX('計算A'!$D$60:$II$104,$B3,120)*HL3=1,IF(AND($E3=2,QS3=0),1000000,INDEX('計算A'!DS$110:DS$114,$F3+1)+IF(AND($E3=1,QS3=0),1000,0)),1000000))</f>
        <v/>
      </c>
      <c r="AAA3">
        <f>IF($B3=0,1000000,IF(INDEX('計算A'!$D$60:$II$104,$B3,121)*HM3=1,IF(AND($E3=2,QT3=0),1000000,INDEX('計算A'!DT$110:DT$114,$F3+1)+IF(AND($E3=1,QT3=0),1000,0)),1000000))</f>
        <v/>
      </c>
      <c r="AAB3">
        <f>IF($B3=0,1000000,IF(INDEX('計算A'!$D$60:$II$104,$B3,122)*HN3=1,IF(AND($E3=2,QU3=0),1000000,INDEX('計算A'!DU$110:DU$114,$F3+1)+IF(AND($E3=1,QU3=0),1000,0)),1000000))</f>
        <v/>
      </c>
      <c r="AAC3">
        <f>IF($B3=0,1000000,IF(INDEX('計算A'!$D$60:$II$104,$B3,123)*HO3=1,IF(AND($E3=2,QV3=0),1000000,INDEX('計算A'!DV$110:DV$114,$F3+1)+IF(AND($E3=1,QV3=0),1000,0)),1000000))</f>
        <v/>
      </c>
      <c r="AAD3">
        <f>IF($B3=0,1000000,IF(INDEX('計算A'!$D$60:$II$104,$B3,124)*HP3=1,IF(AND($E3=2,QW3=0),1000000,INDEX('計算A'!DW$110:DW$114,$F3+1)+IF(AND($E3=1,QW3=0),1000,0)),1000000))</f>
        <v/>
      </c>
      <c r="AAE3">
        <f>IF($B3=0,1000000,IF(INDEX('計算A'!$D$60:$II$104,$B3,125)*HQ3=1,IF(AND($E3=2,QX3=0),1000000,INDEX('計算A'!DX$110:DX$114,$F3+1)+IF(AND($E3=1,QX3=0),1000,0)),1000000))</f>
        <v/>
      </c>
      <c r="AAF3">
        <f>IF($B3=0,1000000,IF(INDEX('計算A'!$D$60:$II$104,$B3,126)*HR3=1,IF(AND($E3=2,QY3=0),1000000,INDEX('計算A'!DY$110:DY$114,$F3+1)+IF(AND($E3=1,QY3=0),1000,0)),1000000))</f>
        <v/>
      </c>
      <c r="AAG3">
        <f>IF($B3=0,1000000,IF(INDEX('計算A'!$D$60:$II$104,$B3,127)*HS3=1,IF(AND($E3=2,QZ3=0),1000000,INDEX('計算A'!DZ$110:DZ$114,$F3+1)+IF(AND($E3=1,QZ3=0),1000,0)),1000000))</f>
        <v/>
      </c>
      <c r="AAH3">
        <f>IF($B3=0,1000000,IF(INDEX('計算A'!$D$60:$II$104,$B3,128)*HT3=1,IF(AND($E3=2,RA3=0),1000000,INDEX('計算A'!EA$110:EA$114,$F3+1)+IF(AND($E3=1,RA3=0),1000,0)),1000000))</f>
        <v/>
      </c>
      <c r="AAI3">
        <f>IF($B3=0,1000000,IF(INDEX('計算A'!$D$60:$II$104,$B3,129)*HU3=1,IF(AND($E3=2,RB3=0),1000000,INDEX('計算A'!EB$110:EB$114,$F3+1)+IF(AND($E3=1,RB3=0),1000,0)),1000000))</f>
        <v/>
      </c>
      <c r="AAJ3">
        <f>IF($B3=0,1000000,IF(INDEX('計算A'!$D$60:$II$104,$B3,130)*HV3=1,IF(AND($E3=2,RC3=0),1000000,INDEX('計算A'!EC$110:EC$114,$F3+1)+IF(AND($E3=1,RC3=0),1000,0)),1000000))</f>
        <v/>
      </c>
      <c r="AAK3">
        <f>IF($B3=0,1000000,IF(INDEX('計算A'!$D$60:$II$104,$B3,131)*HW3=1,IF(AND($E3=2,RD3=0),1000000,INDEX('計算A'!ED$110:ED$114,$F3+1)+IF(AND($E3=1,RD3=0),1000,0)),1000000))</f>
        <v/>
      </c>
      <c r="AAL3">
        <f>IF($B3=0,1000000,IF(INDEX('計算A'!$D$60:$II$104,$B3,132)*HX3=1,IF(AND($E3=2,RE3=0),1000000,INDEX('計算A'!EE$110:EE$114,$F3+1)+IF(AND($E3=1,RE3=0),1000,0)),1000000))</f>
        <v/>
      </c>
      <c r="AAM3">
        <f>IF($B3=0,1000000,IF(INDEX('計算A'!$D$60:$II$104,$B3,133)*HY3=1,IF(AND($E3=2,RF3=0),1000000,INDEX('計算A'!EF$110:EF$114,$F3+1)+IF(AND($E3=1,RF3=0),1000,0)),1000000))</f>
        <v/>
      </c>
      <c r="AAN3">
        <f>IF($B3=0,1000000,IF(INDEX('計算A'!$D$60:$II$104,$B3,134)*HZ3=1,IF(AND($E3=2,RG3=0),1000000,INDEX('計算A'!EG$110:EG$114,$F3+1)+IF(AND($E3=1,RG3=0),1000,0)),1000000))</f>
        <v/>
      </c>
      <c r="AAO3">
        <f>IF($B3=0,1000000,IF(INDEX('計算A'!$D$60:$II$104,$B3,135)*IA3=1,IF(AND($E3=2,RH3=0),1000000,INDEX('計算A'!EH$110:EH$114,$F3+1)+IF(AND($E3=1,RH3=0),1000,0)),1000000))</f>
        <v/>
      </c>
      <c r="AAP3">
        <f>IF($B3=0,1000000,IF(INDEX('計算A'!$D$60:$II$104,$B3,136)*IB3=1,IF(AND($E3=2,RI3=0),1000000,INDEX('計算A'!EI$110:EI$114,$F3+1)+IF(AND($E3=1,RI3=0),1000,0)),1000000))</f>
        <v/>
      </c>
      <c r="AAQ3">
        <f>IF($B3=0,1000000,IF(INDEX('計算A'!$D$60:$II$104,$B3,137)*IC3=1,IF(AND($E3=2,RJ3=0),1000000,INDEX('計算A'!EJ$110:EJ$114,$F3+1)+IF(AND($E3=1,RJ3=0),1000,0)),1000000))</f>
        <v/>
      </c>
      <c r="AAR3">
        <f>IF($B3=0,1000000,IF(INDEX('計算A'!$D$60:$II$104,$B3,138)*ID3=1,IF(AND($E3=2,RK3=0),1000000,INDEX('計算A'!EK$110:EK$114,$F3+1)+IF(AND($E3=1,RK3=0),1000,0)),1000000))</f>
        <v/>
      </c>
      <c r="AAS3">
        <f>IF($B3=0,1000000,IF(INDEX('計算A'!$D$60:$II$104,$B3,139)*IE3=1,IF(AND($E3=2,RL3=0),1000000,INDEX('計算A'!EL$110:EL$114,$F3+1)+IF(AND($E3=1,RL3=0),1000,0)),1000000))</f>
        <v/>
      </c>
      <c r="AAT3">
        <f>IF($B3=0,1000000,IF(INDEX('計算A'!$D$60:$II$104,$B3,140)*IF3=1,IF(AND($E3=2,RM3=0),1000000,INDEX('計算A'!EM$110:EM$114,$F3+1)+IF(AND($E3=1,RM3=0),1000,0)),1000000))</f>
        <v/>
      </c>
      <c r="AAU3">
        <f>IF($B3=0,1000000,IF(INDEX('計算A'!$D$60:$II$104,$B3,141)*IG3=1,IF(AND($E3=2,RN3=0),1000000,INDEX('計算A'!EN$110:EN$114,$F3+1)+IF(AND($E3=1,RN3=0),1000,0)),1000000))</f>
        <v/>
      </c>
      <c r="AAV3">
        <f>IF($B3=0,1000000,IF(INDEX('計算A'!$D$60:$II$104,$B3,142)*IH3=1,IF(AND($E3=2,RO3=0),1000000,INDEX('計算A'!EO$110:EO$114,$F3+1)+IF(AND($E3=1,RO3=0),1000,0)),1000000))</f>
        <v/>
      </c>
      <c r="AAW3">
        <f>IF($B3=0,1000000,IF(INDEX('計算A'!$D$60:$II$104,$B3,143)*II3=1,IF(AND($E3=2,RP3=0),1000000,INDEX('計算A'!EP$110:EP$114,$F3+1)+IF(AND($E3=1,RP3=0),1000,0)),1000000))</f>
        <v/>
      </c>
      <c r="AAX3">
        <f>IF($B3=0,1000000,IF(INDEX('計算A'!$D$60:$II$104,$B3,144)*IJ3=1,IF(AND($E3=2,RQ3=0),1000000,INDEX('計算A'!EQ$110:EQ$114,$F3+1)+IF(AND($E3=1,RQ3=0),1000,0)),1000000))</f>
        <v/>
      </c>
      <c r="AAY3">
        <f>IF($B3=0,1000000,IF(INDEX('計算A'!$D$60:$II$104,$B3,145)*IK3=1,IF(AND($E3=2,RR3=0),1000000,INDEX('計算A'!ER$110:ER$114,$F3+1)+IF(AND($E3=1,RR3=0),1000,0)),1000000))</f>
        <v/>
      </c>
      <c r="AAZ3">
        <f>IF($B3=0,1000000,IF(INDEX('計算A'!$D$60:$II$104,$B3,146)*IL3=1,IF(AND($E3=2,RS3=0),1000000,INDEX('計算A'!ES$110:ES$114,$F3+1)+IF(AND($E3=1,RS3=0),1000,0)),1000000))</f>
        <v/>
      </c>
      <c r="ABA3">
        <f>IF($B3=0,1000000,IF(INDEX('計算A'!$D$60:$II$104,$B3,147)*IM3=1,IF(AND($E3=2,RT3=0),1000000,INDEX('計算A'!ET$110:ET$114,$F3+1)+IF(AND($E3=1,RT3=0),1000,0)),1000000))</f>
        <v/>
      </c>
      <c r="ABB3">
        <f>IF($B3=0,1000000,IF(INDEX('計算A'!$D$60:$II$104,$B3,148)*IN3=1,IF(AND($E3=2,RU3=0),1000000,INDEX('計算A'!EU$110:EU$114,$F3+1)+IF(AND($E3=1,RU3=0),1000,0)),1000000))</f>
        <v/>
      </c>
      <c r="ABC3">
        <f>IF($B3=0,1000000,IF(INDEX('計算A'!$D$60:$II$104,$B3,149)*IO3=1,IF(AND($E3=2,RV3=0),1000000,INDEX('計算A'!EV$110:EV$114,$F3+1)+IF(AND($E3=1,RV3=0),1000,0)),1000000))</f>
        <v/>
      </c>
      <c r="ABD3">
        <f>IF($B3=0,1000000,IF(INDEX('計算A'!$D$60:$II$104,$B3,150)*IP3=1,IF(AND($E3=2,RW3=0),1000000,INDEX('計算A'!EW$110:EW$114,$F3+1)+IF(AND($E3=1,RW3=0),1000,0)),1000000))</f>
        <v/>
      </c>
      <c r="ABE3">
        <f>IF($B3=0,1000000,IF(INDEX('計算A'!$D$60:$II$104,$B3,151)*IQ3=1,IF(AND($E3=2,RX3=0),1000000,INDEX('計算A'!EX$110:EX$114,$F3+1)+IF(AND($E3=1,RX3=0),1000,0)),1000000))</f>
        <v/>
      </c>
      <c r="ABF3">
        <f>IF($B3=0,1000000,IF(INDEX('計算A'!$D$60:$II$104,$B3,152)*IR3=1,IF(AND($E3=2,RY3=0),1000000,INDEX('計算A'!EY$110:EY$114,$F3+1)+IF(AND($E3=1,RY3=0),1000,0)),1000000))</f>
        <v/>
      </c>
      <c r="ABG3">
        <f>IF($B3=0,1000000,IF(INDEX('計算A'!$D$60:$II$104,$B3,153)*IS3=1,IF(AND($E3=2,RZ3=0),1000000,INDEX('計算A'!EZ$110:EZ$114,$F3+1)+IF(AND($E3=1,RZ3=0),1000,0)),1000000))</f>
        <v/>
      </c>
      <c r="ABH3">
        <f>IF($B3=0,1000000,IF(INDEX('計算A'!$D$60:$II$104,$B3,154)*IT3=1,IF(AND($E3=2,SA3=0),1000000,INDEX('計算A'!FA$110:FA$114,$F3+1)+IF(AND($E3=1,SA3=0),1000,0)),1000000))</f>
        <v/>
      </c>
      <c r="ABI3">
        <f>IF($B3=0,1000000,IF(INDEX('計算A'!$D$60:$II$104,$B3,155)*IU3=1,IF(AND($E3=2,SB3=0),1000000,INDEX('計算A'!FB$110:FB$114,$F3+1)+IF(AND($E3=1,SB3=0),1000,0)),1000000))</f>
        <v/>
      </c>
      <c r="ABJ3">
        <f>IF($B3=0,1000000,IF(INDEX('計算A'!$D$60:$II$104,$B3,156)*IV3=1,IF(AND($E3=2,SC3=0),1000000,INDEX('計算A'!FC$110:FC$114,$F3+1)+IF(AND($E3=1,SC3=0),1000,0)),1000000))</f>
        <v/>
      </c>
      <c r="ABK3">
        <f>IF($B3=0,1000000,IF(INDEX('計算A'!$D$60:$II$104,$B3,157)*IW3=1,IF(AND($E3=2,SD3=0),1000000,INDEX('計算A'!FD$110:FD$114,$F3+1)+IF(AND($E3=1,SD3=0),1000,0)),1000000))</f>
        <v/>
      </c>
      <c r="ABL3">
        <f>IF($B3=0,1000000,IF(INDEX('計算A'!$D$60:$II$104,$B3,158)*IX3=1,IF(AND($E3=2,SE3=0),1000000,INDEX('計算A'!FE$110:FE$114,$F3+1)+IF(AND($E3=1,SE3=0),1000,0)),1000000))</f>
        <v/>
      </c>
      <c r="ABM3">
        <f>IF($B3=0,1000000,IF(INDEX('計算A'!$D$60:$II$104,$B3,159)*IY3=1,IF(AND($E3=2,SF3=0),1000000,INDEX('計算A'!FF$110:FF$114,$F3+1)+IF(AND($E3=1,SF3=0),1000,0)),1000000))</f>
        <v/>
      </c>
      <c r="ABN3">
        <f>IF($B3=0,1000000,IF(INDEX('計算A'!$D$60:$II$104,$B3,160)*IZ3=1,IF(AND($E3=2,SG3=0),1000000,INDEX('計算A'!FG$110:FG$114,$F3+1)+IF(AND($E3=1,SG3=0),1000,0)),1000000))</f>
        <v/>
      </c>
      <c r="ABO3">
        <f>IF($B3=0,1000000,IF(INDEX('計算A'!$D$60:$II$104,$B3,161)*JA3=1,IF(AND($E3=2,SH3=0),1000000,INDEX('計算A'!FH$110:FH$114,$F3+1)+IF(AND($E3=1,SH3=0),1000,0)),1000000))</f>
        <v/>
      </c>
      <c r="ABP3">
        <f>IF($B3=0,1000000,IF(INDEX('計算A'!$D$60:$II$104,$B3,162)*JB3=1,IF(AND($E3=2,SI3=0),1000000,INDEX('計算A'!FI$110:FI$114,$F3+1)+IF(AND($E3=1,SI3=0),1000,0)),1000000))</f>
        <v/>
      </c>
      <c r="ABQ3">
        <f>IF($B3=0,1000000,IF(INDEX('計算A'!$D$60:$II$104,$B3,163)*JC3=1,IF(AND($E3=2,SJ3=0),1000000,INDEX('計算A'!FJ$110:FJ$114,$F3+1)+IF(AND($E3=1,SJ3=0),1000,0)),1000000))</f>
        <v/>
      </c>
      <c r="ABR3">
        <f>IF($B3=0,1000000,IF(INDEX('計算A'!$D$60:$II$104,$B3,164)*JD3=1,IF(AND($E3=2,SK3=0),1000000,INDEX('計算A'!FK$110:FK$114,$F3+1)+IF(AND($E3=1,SK3=0),1000,0)),1000000))</f>
        <v/>
      </c>
      <c r="ABS3">
        <f>IF($B3=0,1000000,IF(INDEX('計算A'!$D$60:$II$104,$B3,165)*JE3=1,IF(AND($E3=2,SL3=0),1000000,INDEX('計算A'!FL$110:FL$114,$F3+1)+IF(AND($E3=1,SL3=0),1000,0)),1000000))</f>
        <v/>
      </c>
      <c r="ABT3">
        <f>IF($B3=0,1000000,IF(INDEX('計算A'!$D$60:$II$104,$B3,166)*JF3=1,IF(AND($E3=2,SM3=0),1000000,INDEX('計算A'!FM$110:FM$114,$F3+1)+IF(AND($E3=1,SM3=0),1000,0)),1000000))</f>
        <v/>
      </c>
      <c r="ABU3">
        <f>IF($B3=0,1000000,IF(INDEX('計算A'!$D$60:$II$104,$B3,167)*JG3=1,IF(AND($E3=2,SN3=0),1000000,INDEX('計算A'!FN$110:FN$114,$F3+1)+IF(AND($E3=1,SN3=0),1000,0)),1000000))</f>
        <v/>
      </c>
      <c r="ABV3">
        <f>IF($B3=0,1000000,IF(INDEX('計算A'!$D$60:$II$104,$B3,168)*JH3=1,IF(AND($E3=2,SO3=0),1000000,INDEX('計算A'!FO$110:FO$114,$F3+1)+IF(AND($E3=1,SO3=0),1000,0)),1000000))</f>
        <v/>
      </c>
      <c r="ABW3">
        <f>IF($B3=0,1000000,IF(INDEX('計算A'!$D$60:$II$104,$B3,169)*JI3=1,IF(AND($E3=2,SP3=0),1000000,INDEX('計算A'!FP$110:FP$114,$F3+1)+IF(AND($E3=1,SP3=0),1000,0)),1000000))</f>
        <v/>
      </c>
      <c r="ABX3">
        <f>IF($B3=0,1000000,IF(INDEX('計算A'!$D$60:$II$104,$B3,170)*JJ3=1,IF(AND($E3=2,SQ3=0),1000000,INDEX('計算A'!FQ$110:FQ$114,$F3+1)+IF(AND($E3=1,SQ3=0),1000,0)),1000000))</f>
        <v/>
      </c>
      <c r="ABY3">
        <f>IF($B3=0,1000000,IF(INDEX('計算A'!$D$60:$II$104,$B3,171)*JK3=1,IF(AND($E3=2,SR3=0),1000000,INDEX('計算A'!FR$110:FR$114,$F3+1)+IF(AND($E3=1,SR3=0),1000,0)),1000000))</f>
        <v/>
      </c>
      <c r="ABZ3">
        <f>IF($B3=0,1000000,IF(INDEX('計算A'!$D$60:$II$104,$B3,172)*JL3=1,IF(AND($E3=2,SS3=0),1000000,INDEX('計算A'!FS$110:FS$114,$F3+1)+IF(AND($E3=1,SS3=0),1000,0)),1000000))</f>
        <v/>
      </c>
      <c r="ACA3">
        <f>IF($B3=0,1000000,IF(INDEX('計算A'!$D$60:$II$104,$B3,173)*JM3=1,IF(AND($E3=2,ST3=0),1000000,INDEX('計算A'!FT$110:FT$114,$F3+1)+IF(AND($E3=1,ST3=0),1000,0)),1000000))</f>
        <v/>
      </c>
      <c r="ACB3">
        <f>IF($B3=0,1000000,IF(INDEX('計算A'!$D$60:$II$104,$B3,174)*JN3=1,IF(AND($E3=2,SU3=0),1000000,INDEX('計算A'!FU$110:FU$114,$F3+1)+IF(AND($E3=1,SU3=0),1000,0)),1000000))</f>
        <v/>
      </c>
      <c r="ACC3">
        <f>IF($B3=0,1000000,IF(INDEX('計算A'!$D$60:$II$104,$B3,175)*JO3=1,IF(AND($E3=2,SV3=0),1000000,INDEX('計算A'!FV$110:FV$114,$F3+1)+IF(AND($E3=1,SV3=0),1000,0)),1000000))</f>
        <v/>
      </c>
      <c r="ACD3">
        <f>IF($B3=0,1000000,IF(INDEX('計算A'!$D$60:$II$104,$B3,176)*JP3=1,IF(AND($E3=2,SW3=0),1000000,INDEX('計算A'!FW$110:FW$114,$F3+1)+IF(AND($E3=1,SW3=0),1000,0)),1000000))</f>
        <v/>
      </c>
      <c r="ACE3">
        <f>IF($B3=0,1000000,IF(INDEX('計算A'!$D$60:$II$104,$B3,177)*JQ3=1,IF(AND($E3=2,SX3=0),1000000,INDEX('計算A'!FX$110:FX$114,$F3+1)+IF(AND($E3=1,SX3=0),1000,0)),1000000))</f>
        <v/>
      </c>
      <c r="ACF3">
        <f>IF($B3=0,1000000,IF(INDEX('計算A'!$D$60:$II$104,$B3,178)*JR3=1,IF(AND($E3=2,SY3=0),1000000,INDEX('計算A'!FY$110:FY$114,$F3+1)+IF(AND($E3=1,SY3=0),1000,0)),1000000))</f>
        <v/>
      </c>
      <c r="ACG3">
        <f>IF($B3=0,1000000,IF(INDEX('計算A'!$D$60:$II$104,$B3,179)*JS3=1,IF(AND($E3=2,SZ3=0),1000000,INDEX('計算A'!FZ$110:FZ$114,$F3+1)+IF(AND($E3=1,SZ3=0),1000,0)),1000000))</f>
        <v/>
      </c>
      <c r="ACH3">
        <f>IF($B3=0,1000000,IF(INDEX('計算A'!$D$60:$II$104,$B3,180)*JT3=1,IF(AND($E3=2,TA3=0),1000000,INDEX('計算A'!GA$110:GA$114,$F3+1)+IF(AND($E3=1,TA3=0),1000,0)),1000000))</f>
        <v/>
      </c>
      <c r="ACI3">
        <f>IF($B3=0,1000000,IF(INDEX('計算A'!$D$60:$II$104,$B3,181)*JU3=1,IF(AND($E3=2,TB3=0),1000000,INDEX('計算A'!GB$110:GB$114,$F3+1)+IF(AND($E3=1,TB3=0),1000,0)),1000000))</f>
        <v/>
      </c>
      <c r="ACJ3">
        <f>IF($B3=0,1000000,IF(INDEX('計算A'!$D$60:$II$104,$B3,182)*JV3=1,IF(AND($E3=2,TC3=0),1000000,INDEX('計算A'!GC$110:GC$114,$F3+1)+IF(AND($E3=1,TC3=0),1000,0)),1000000))</f>
        <v/>
      </c>
      <c r="ACK3">
        <f>IF($B3=0,1000000,IF(INDEX('計算A'!$D$60:$II$104,$B3,183)*JW3=1,IF(AND($E3=2,TD3=0),1000000,INDEX('計算A'!GD$110:GD$114,$F3+1)+IF(AND($E3=1,TD3=0),1000,0)),1000000))</f>
        <v/>
      </c>
      <c r="ACL3">
        <f>IF($B3=0,1000000,IF(INDEX('計算A'!$D$60:$II$104,$B3,184)*JX3=1,IF(AND($E3=2,TE3=0),1000000,INDEX('計算A'!GE$110:GE$114,$F3+1)+IF(AND($E3=1,TE3=0),1000,0)),1000000))</f>
        <v/>
      </c>
      <c r="ACM3">
        <f>IF($B3=0,1000000,IF(INDEX('計算A'!$D$60:$II$104,$B3,185)*JY3=1,IF(AND($E3=2,TF3=0),1000000,INDEX('計算A'!GF$110:GF$114,$F3+1)+IF(AND($E3=1,TF3=0),1000,0)),1000000))</f>
        <v/>
      </c>
      <c r="ACN3">
        <f>IF($B3=0,1000000,IF(INDEX('計算A'!$D$60:$II$104,$B3,186)*JZ3=1,IF(AND($E3=2,TG3=0),1000000,INDEX('計算A'!GG$110:GG$114,$F3+1)+IF(AND($E3=1,TG3=0),1000,0)),1000000))</f>
        <v/>
      </c>
      <c r="ACO3">
        <f>IF($B3=0,1000000,IF(INDEX('計算A'!$D$60:$II$104,$B3,187)*KA3=1,IF(AND($E3=2,TH3=0),1000000,INDEX('計算A'!GH$110:GH$114,$F3+1)+IF(AND($E3=1,TH3=0),1000,0)),1000000))</f>
        <v/>
      </c>
      <c r="ACP3">
        <f>IF($B3=0,1000000,IF(INDEX('計算A'!$D$60:$II$104,$B3,188)*KB3=1,IF(AND($E3=2,TI3=0),1000000,INDEX('計算A'!GI$110:GI$114,$F3+1)+IF(AND($E3=1,TI3=0),1000,0)),1000000))</f>
        <v/>
      </c>
      <c r="ACQ3">
        <f>IF($B3=0,1000000,IF(INDEX('計算A'!$D$60:$II$104,$B3,189)*KC3=1,IF(AND($E3=2,TJ3=0),1000000,INDEX('計算A'!GJ$110:GJ$114,$F3+1)+IF(AND($E3=1,TJ3=0),1000,0)),1000000))</f>
        <v/>
      </c>
      <c r="ACR3">
        <f>IF($B3=0,1000000,IF(INDEX('計算A'!$D$60:$II$104,$B3,190)*KD3=1,IF(AND($E3=2,TK3=0),1000000,INDEX('計算A'!GK$110:GK$114,$F3+1)+IF(AND($E3=1,TK3=0),1000,0)),1000000))</f>
        <v/>
      </c>
      <c r="ACS3">
        <f>IF($B3=0,1000000,IF(INDEX('計算A'!$D$60:$II$104,$B3,191)*KE3=1,IF(AND($E3=2,TL3=0),1000000,INDEX('計算A'!GL$110:GL$114,$F3+1)+IF(AND($E3=1,TL3=0),1000,0)),1000000))</f>
        <v/>
      </c>
      <c r="ACT3">
        <f>IF($B3=0,1000000,IF(INDEX('計算A'!$D$60:$II$104,$B3,192)*KF3=1,IF(AND($E3=2,TM3=0),1000000,INDEX('計算A'!GM$110:GM$114,$F3+1)+IF(AND($E3=1,TM3=0),1000,0)),1000000))</f>
        <v/>
      </c>
      <c r="ACU3">
        <f>IF($B3=0,1000000,IF(INDEX('計算A'!$D$60:$II$104,$B3,193)*KG3=1,IF(AND($E3=2,TN3=0),1000000,INDEX('計算A'!GN$110:GN$114,$F3+1)+IF(AND($E3=1,TN3=0),1000,0)),1000000))</f>
        <v/>
      </c>
      <c r="ACV3">
        <f>IF($B3=0,1000000,IF(INDEX('計算A'!$D$60:$II$104,$B3,194)*KH3=1,IF(AND($E3=2,TO3=0),1000000,INDEX('計算A'!GO$110:GO$114,$F3+1)+IF(AND($E3=1,TO3=0),1000,0)),1000000))</f>
        <v/>
      </c>
      <c r="ACW3">
        <f>IF($B3=0,1000000,IF(INDEX('計算A'!$D$60:$II$104,$B3,195)*KI3=1,IF(AND($E3=2,TP3=0),1000000,INDEX('計算A'!GP$110:GP$114,$F3+1)+IF(AND($E3=1,TP3=0),1000,0)),1000000))</f>
        <v/>
      </c>
      <c r="ACX3">
        <f>IF($B3=0,1000000,IF(INDEX('計算A'!$D$60:$II$104,$B3,196)*KJ3=1,IF(AND($E3=2,TQ3=0),1000000,INDEX('計算A'!GQ$110:GQ$114,$F3+1)+IF(AND($E3=1,TQ3=0),1000,0)),1000000))</f>
        <v/>
      </c>
      <c r="ACY3">
        <f>IF($B3=0,1000000,IF(INDEX('計算A'!$D$60:$II$104,$B3,197)*KK3=1,IF(AND($E3=2,TR3=0),1000000,INDEX('計算A'!GR$110:GR$114,$F3+1)+IF(AND($E3=1,TR3=0),1000,0)),1000000))</f>
        <v/>
      </c>
      <c r="ACZ3">
        <f>IF($B3=0,1000000,IF(INDEX('計算A'!$D$60:$II$104,$B3,198)*KL3=1,IF(AND($E3=2,TS3=0),1000000,INDEX('計算A'!GS$110:GS$114,$F3+1)+IF(AND($E3=1,TS3=0),1000,0)),1000000))</f>
        <v/>
      </c>
      <c r="ADA3">
        <f>IF($B3=0,1000000,IF(INDEX('計算A'!$D$60:$II$104,$B3,199)*KM3=1,IF(AND($E3=2,TT3=0),1000000,INDEX('計算A'!GT$110:GT$114,$F3+1)+IF(AND($E3=1,TT3=0),1000,0)),1000000))</f>
        <v/>
      </c>
      <c r="ADB3">
        <f>IF($B3=0,1000000,IF(INDEX('計算A'!$D$60:$II$104,$B3,200)*KN3=1,IF(AND($E3=2,TU3=0),1000000,INDEX('計算A'!GU$110:GU$114,$F3+1)+IF(AND($E3=1,TU3=0),1000,0)),1000000))</f>
        <v/>
      </c>
      <c r="ADC3">
        <f>IF($B3=0,1000000,IF(INDEX('計算A'!$D$60:$II$104,$B3,201)*KO3=1,IF(AND($E3=2,TV3=0),1000000,INDEX('計算A'!GV$110:GV$114,$F3+1)+IF(AND($E3=1,TV3=0),1000,0)),1000000))</f>
        <v/>
      </c>
      <c r="ADD3">
        <f>IF($B3=0,1000000,IF(INDEX('計算A'!$D$60:$II$104,$B3,202)*KP3=1,IF(AND($E3=2,TW3=0),1000000,INDEX('計算A'!GW$110:GW$114,$F3+1)+IF(AND($E3=1,TW3=0),1000,0)),1000000))</f>
        <v/>
      </c>
      <c r="ADE3">
        <f>IF($B3=0,1000000,IF(INDEX('計算A'!$D$60:$II$104,$B3,203)*KQ3=1,IF(AND($E3=2,TX3=0),1000000,INDEX('計算A'!GX$110:GX$114,$F3+1)+IF(AND($E3=1,TX3=0),1000,0)),1000000))</f>
        <v/>
      </c>
      <c r="ADF3">
        <f>IF($B3=0,1000000,IF(INDEX('計算A'!$D$60:$II$104,$B3,204)*KR3=1,IF(AND($E3=2,TY3=0),1000000,INDEX('計算A'!GY$110:GY$114,$F3+1)+IF(AND($E3=1,TY3=0),1000,0)),1000000))</f>
        <v/>
      </c>
      <c r="ADG3">
        <f>IF($B3=0,1000000,IF(INDEX('計算A'!$D$60:$II$104,$B3,205)*KS3=1,IF(AND($E3=2,TZ3=0),1000000,INDEX('計算A'!GZ$110:GZ$114,$F3+1)+IF(AND($E3=1,TZ3=0),1000,0)),1000000))</f>
        <v/>
      </c>
      <c r="ADH3">
        <f>IF($B3=0,1000000,IF(INDEX('計算A'!$D$60:$II$104,$B3,206)*KT3=1,IF(AND($E3=2,UA3=0),1000000,INDEX('計算A'!HA$110:HA$114,$F3+1)+IF(AND($E3=1,UA3=0),1000,0)),1000000))</f>
        <v/>
      </c>
      <c r="ADI3">
        <f>IF($B3=0,1000000,IF(INDEX('計算A'!$D$60:$II$104,$B3,207)*KU3=1,IF(AND($E3=2,UB3=0),1000000,INDEX('計算A'!HB$110:HB$114,$F3+1)+IF(AND($E3=1,UB3=0),1000,0)),1000000))</f>
        <v/>
      </c>
      <c r="ADJ3">
        <f>IF($B3=0,1000000,IF(INDEX('計算A'!$D$60:$II$104,$B3,208)*KV3=1,IF(AND($E3=2,UC3=0),1000000,INDEX('計算A'!HC$110:HC$114,$F3+1)+IF(AND($E3=1,UC3=0),1000,0)),1000000))</f>
        <v/>
      </c>
      <c r="ADK3">
        <f>IF($B3=0,1000000,IF(INDEX('計算A'!$D$60:$II$104,$B3,209)*KW3=1,IF(AND($E3=2,UD3=0),1000000,INDEX('計算A'!HD$110:HD$114,$F3+1)+IF(AND($E3=1,UD3=0),1000,0)),1000000))</f>
        <v/>
      </c>
      <c r="ADL3">
        <f>IF($B3=0,1000000,IF(INDEX('計算A'!$D$60:$II$104,$B3,210)*KX3=1,IF(AND($E3=2,UE3=0),1000000,INDEX('計算A'!HE$110:HE$114,$F3+1)+IF(AND($E3=1,UE3=0),1000,0)),1000000))</f>
        <v/>
      </c>
      <c r="ADM3">
        <f>IF($B3=0,1000000,IF(INDEX('計算A'!$D$60:$II$104,$B3,211)*KY3=1,IF(AND($E3=2,UF3=0),1000000,INDEX('計算A'!HF$110:HF$114,$F3+1)+IF(AND($E3=1,UF3=0),1000,0)),1000000))</f>
        <v/>
      </c>
      <c r="ADN3">
        <f>IF($B3=0,1000000,IF(INDEX('計算A'!$D$60:$II$104,$B3,212)*KZ3=1,IF(AND($E3=2,UG3=0),1000000,INDEX('計算A'!HG$110:HG$114,$F3+1)+IF(AND($E3=1,UG3=0),1000,0)),1000000))</f>
        <v/>
      </c>
      <c r="ADO3">
        <f>IF($B3=0,1000000,IF(INDEX('計算A'!$D$60:$II$104,$B3,213)*LA3=1,IF(AND($E3=2,UH3=0),1000000,INDEX('計算A'!HH$110:HH$114,$F3+1)+IF(AND($E3=1,UH3=0),1000,0)),1000000))</f>
        <v/>
      </c>
      <c r="ADP3">
        <f>IF($B3=0,1000000,IF(INDEX('計算A'!$D$60:$II$104,$B3,214)*LB3=1,IF(AND($E3=2,UI3=0),1000000,INDEX('計算A'!HI$110:HI$114,$F3+1)+IF(AND($E3=1,UI3=0),1000,0)),1000000))</f>
        <v/>
      </c>
      <c r="ADQ3">
        <f>IF($B3=0,1000000,IF(INDEX('計算A'!$D$60:$II$104,$B3,215)*LC3=1,IF(AND($E3=2,UJ3=0),1000000,INDEX('計算A'!HJ$110:HJ$114,$F3+1)+IF(AND($E3=1,UJ3=0),1000,0)),1000000))</f>
        <v/>
      </c>
      <c r="ADR3">
        <f>IF($B3=0,1000000,IF(INDEX('計算A'!$D$60:$II$104,$B3,216)*LD3=1,IF(AND($E3=2,UK3=0),1000000,INDEX('計算A'!HK$110:HK$114,$F3+1)+IF(AND($E3=1,UK3=0),1000,0)),1000000))</f>
        <v/>
      </c>
      <c r="ADS3">
        <f>IF($B3=0,1000000,IF(INDEX('計算A'!$D$60:$II$104,$B3,217)*LE3=1,IF(AND($E3=2,UL3=0),1000000,INDEX('計算A'!HL$110:HL$114,$F3+1)+IF(AND($E3=1,UL3=0),1000,0)),1000000))</f>
        <v/>
      </c>
      <c r="ADT3">
        <f>IF($B3=0,1000000,IF(INDEX('計算A'!$D$60:$II$104,$B3,218)*LF3=1,IF(AND($E3=2,UM3=0),1000000,INDEX('計算A'!HM$110:HM$114,$F3+1)+IF(AND($E3=1,UM3=0),1000,0)),1000000))</f>
        <v/>
      </c>
      <c r="ADU3">
        <f>IF($B3=0,1000000,IF(INDEX('計算A'!$D$60:$II$104,$B3,219)*LG3=1,IF(AND($E3=2,UN3=0),1000000,INDEX('計算A'!HN$110:HN$114,$F3+1)+IF(AND($E3=1,UN3=0),1000,0)),1000000))</f>
        <v/>
      </c>
      <c r="ADV3">
        <f>IF($B3=0,1000000,IF(INDEX('計算A'!$D$60:$II$104,$B3,220)*LH3=1,IF(AND($E3=2,UO3=0),1000000,INDEX('計算A'!HO$110:HO$114,$F3+1)+IF(AND($E3=1,UO3=0),1000,0)),1000000))</f>
        <v/>
      </c>
      <c r="ADW3">
        <f>IF($B3=0,1000000,IF(INDEX('計算A'!$D$60:$II$104,$B3,221)*LI3=1,IF(AND($E3=2,UP3=0),1000000,INDEX('計算A'!HP$110:HP$114,$F3+1)+IF(AND($E3=1,UP3=0),1000,0)),1000000))</f>
        <v/>
      </c>
      <c r="ADX3">
        <f>IF($B3=0,1000000,IF(INDEX('計算A'!$D$60:$II$104,$B3,222)*LJ3=1,IF(AND($E3=2,UQ3=0),1000000,INDEX('計算A'!HQ$110:HQ$114,$F3+1)+IF(AND($E3=1,UQ3=0),1000,0)),1000000))</f>
        <v/>
      </c>
      <c r="ADY3">
        <f>IF($B3=0,1000000,IF(INDEX('計算A'!$D$60:$II$104,$B3,223)*LK3=1,IF(AND($E3=2,UR3=0),1000000,INDEX('計算A'!HR$110:HR$114,$F3+1)+IF(AND($E3=1,UR3=0),1000,0)),1000000))</f>
        <v/>
      </c>
      <c r="ADZ3">
        <f>IF($B3=0,1000000,IF(INDEX('計算A'!$D$60:$II$104,$B3,224)*LL3=1,IF(AND($E3=2,US3=0),1000000,INDEX('計算A'!HS$110:HS$114,$F3+1)+IF(AND($E3=1,US3=0),1000,0)),1000000))</f>
        <v/>
      </c>
      <c r="AEA3">
        <f>IF($B3=0,1000000,IF(INDEX('計算A'!$D$60:$II$104,$B3,225)*LM3=1,IF(AND($E3=2,UT3=0),1000000,INDEX('計算A'!HT$110:HT$114,$F3+1)+IF(AND($E3=1,UT3=0),1000,0)),1000000))</f>
        <v/>
      </c>
      <c r="AEB3">
        <f>IF($B3=0,1000000,IF(INDEX('計算A'!$D$60:$II$104,$B3,226)*LN3=1,IF(AND($E3=2,UU3=0),1000000,INDEX('計算A'!HU$110:HU$114,$F3+1)+IF(AND($E3=1,UU3=0),1000,0)),1000000))</f>
        <v/>
      </c>
      <c r="AEC3">
        <f>IF($B3=0,1000000,IF(INDEX('計算A'!$D$60:$II$104,$B3,227)*LO3=1,IF(AND($E3=2,UV3=0),1000000,INDEX('計算A'!HV$110:HV$114,$F3+1)+IF(AND($E3=1,UV3=0),1000,0)),1000000))</f>
        <v/>
      </c>
      <c r="AED3">
        <f>IF($B3=0,1000000,IF(INDEX('計算A'!$D$60:$II$104,$B3,228)*LP3=1,IF(AND($E3=2,UW3=0),1000000,INDEX('計算A'!HW$110:HW$114,$F3+1)+IF(AND($E3=1,UW3=0),1000,0)),1000000))</f>
        <v/>
      </c>
      <c r="AEE3">
        <f>IF($B3=0,1000000,IF(INDEX('計算A'!$D$60:$II$104,$B3,229)*LQ3=1,IF(AND($E3=2,UX3=0),1000000,INDEX('計算A'!HX$110:HX$114,$F3+1)+IF(AND($E3=1,UX3=0),1000,0)),1000000))</f>
        <v/>
      </c>
      <c r="AEF3">
        <f>IF($B3=0,1000000,IF(INDEX('計算A'!$D$60:$II$104,$B3,230)*LR3=1,IF(AND($E3=2,UY3=0),1000000,INDEX('計算A'!HY$110:HY$114,$F3+1)+IF(AND($E3=1,UY3=0),1000,0)),1000000))</f>
        <v/>
      </c>
      <c r="AEG3">
        <f>IF($B3=0,1000000,IF(INDEX('計算A'!$D$60:$II$104,$B3,231)*LS3=1,IF(AND($E3=2,UZ3=0),1000000,INDEX('計算A'!HZ$110:HZ$114,$F3+1)+IF(AND($E3=1,UZ3=0),1000,0)),1000000))</f>
        <v/>
      </c>
      <c r="AEH3">
        <f>IF($B3=0,1000000,IF(INDEX('計算A'!$D$60:$II$104,$B3,232)*LT3=1,IF(AND($E3=2,VA3=0),1000000,INDEX('計算A'!IA$110:IA$114,$F3+1)+IF(AND($E3=1,VA3=0),1000,0)),1000000))</f>
        <v/>
      </c>
      <c r="AEI3">
        <f>IF($B3=0,1000000,IF(INDEX('計算A'!$D$60:$II$104,$B3,233)*LU3=1,IF(AND($E3=2,VB3=0),1000000,INDEX('計算A'!IB$110:IB$114,$F3+1)+IF(AND($E3=1,VB3=0),1000,0)),1000000))</f>
        <v/>
      </c>
      <c r="AEJ3">
        <f>IF($B3=0,1000000,IF(INDEX('計算A'!$D$60:$II$104,$B3,234)*LV3=1,IF(AND($E3=2,VC3=0),1000000,INDEX('計算A'!IC$110:IC$114,$F3+1)+IF(AND($E3=1,VC3=0),1000,0)),1000000))</f>
        <v/>
      </c>
      <c r="AEK3">
        <f>IF($B3=0,1000000,IF(INDEX('計算A'!$D$60:$II$104,$B3,235)*LW3=1,IF(AND($E3=2,VD3=0),1000000,INDEX('計算A'!ID$110:ID$114,$F3+1)+IF(AND($E3=1,VD3=0),1000,0)),1000000))</f>
        <v/>
      </c>
      <c r="AEL3">
        <f>IF($B3=0,1000000,IF(INDEX('計算A'!$D$60:$II$104,$B3,236)*LX3=1,IF(AND($E3=2,VE3=0),1000000,INDEX('計算A'!IE$110:IE$114,$F3+1)+IF(AND($E3=1,VE3=0),1000,0)),1000000))</f>
        <v/>
      </c>
      <c r="AEM3">
        <f>IF($B3=0,1000000,IF(INDEX('計算A'!$D$60:$II$104,$B3,237)*LY3=1,IF(AND($E3=2,VF3=0),1000000,INDEX('計算A'!IF$110:IF$114,$F3+1)+IF(AND($E3=1,VF3=0),1000,0)),1000000))</f>
        <v/>
      </c>
      <c r="AEN3">
        <f>IF($B3=0,1000000,IF(INDEX('計算A'!$D$60:$II$104,$B3,238)*LZ3=1,IF(AND($E3=2,VG3=0),1000000,INDEX('計算A'!IG$110:IG$114,$F3+1)+IF(AND($E3=1,VG3=0),1000,0)),1000000))</f>
        <v/>
      </c>
      <c r="AEO3">
        <f>IF($B3=0,1000000,IF(INDEX('計算A'!$D$60:$II$104,$B3,239)*MA3=1,IF(AND($E3=2,VH3=0),1000000,INDEX('計算A'!IH$110:IH$114,$F3+1)+IF(AND($E3=1,VH3=0),1000,0)),1000000))</f>
        <v/>
      </c>
      <c r="AEP3">
        <f>IF($B3=0,1000000,IF(INDEX('計算A'!$D$60:$II$104,$B3,240)*MB3=1,IF(AND($E3=2,VI3=0),1000000,INDEX('計算A'!II$110:II$114,$F3+1)+IF(AND($E3=1,VI3=0),1000,0)),1000000))</f>
        <v/>
      </c>
    </row>
    <row r="4">
      <c r="A4" t="n">
        <v>2</v>
      </c>
      <c r="B4">
        <f>IF(MIN(BC4:CU4)&gt;=1000000,0,MATCH(MIN(BC4:CU4),BC4:CU4,0))</f>
        <v/>
      </c>
      <c r="C4">
        <f>IF(MIN(VK4:AEP4)&gt;=1000000,0,MATCH(MIN(VK4:AEP4),VK4:AEP4,0))</f>
        <v/>
      </c>
      <c r="D4">
        <f>IF(C4&gt;0,INDEX('計算A'!$D$5:$II$5,C4),0)</f>
        <v/>
      </c>
      <c r="E4">
        <f>IF(B4=0,0,INDEX('計算A'!$IQ$10:$IQ$54,B4))</f>
        <v/>
      </c>
      <c r="F4">
        <f>IF(B4=0,0,INDEX('計算A'!$IP$10:$IP$54,B4))</f>
        <v/>
      </c>
      <c r="G4">
        <f>IF(AND(C4&gt;0,E4&gt;0),IF(AND(INDEX('計算A'!$D$106:$II$106,C4)=1,INDEX($MD4:$VI4,C4)=1),C4+1,0),0)</f>
        <v/>
      </c>
      <c r="I4">
        <f>MAX(I3,IF($B3=1,1,0))</f>
        <v/>
      </c>
      <c r="J4">
        <f>MAX(J3,IF($B3=2,1,0))</f>
        <v/>
      </c>
      <c r="K4">
        <f>MAX(K3,IF($B3=3,1,0))</f>
        <v/>
      </c>
      <c r="L4">
        <f>MAX(L3,IF($B3=4,1,0))</f>
        <v/>
      </c>
      <c r="M4">
        <f>MAX(M3,IF($B3=5,1,0))</f>
        <v/>
      </c>
      <c r="N4">
        <f>MAX(N3,IF($B3=6,1,0))</f>
        <v/>
      </c>
      <c r="O4">
        <f>MAX(O3,IF($B3=7,1,0))</f>
        <v/>
      </c>
      <c r="P4">
        <f>MAX(P3,IF($B3=8,1,0))</f>
        <v/>
      </c>
      <c r="Q4">
        <f>MAX(Q3,IF($B3=9,1,0))</f>
        <v/>
      </c>
      <c r="R4">
        <f>MAX(R3,IF($B3=10,1,0))</f>
        <v/>
      </c>
      <c r="S4">
        <f>MAX(S3,IF($B3=11,1,0))</f>
        <v/>
      </c>
      <c r="T4">
        <f>MAX(T3,IF($B3=12,1,0))</f>
        <v/>
      </c>
      <c r="U4">
        <f>MAX(U3,IF($B3=13,1,0))</f>
        <v/>
      </c>
      <c r="V4">
        <f>MAX(V3,IF($B3=14,1,0))</f>
        <v/>
      </c>
      <c r="W4">
        <f>MAX(W3,IF($B3=15,1,0))</f>
        <v/>
      </c>
      <c r="X4">
        <f>MAX(X3,IF($B3=16,1,0))</f>
        <v/>
      </c>
      <c r="Y4">
        <f>MAX(Y3,IF($B3=17,1,0))</f>
        <v/>
      </c>
      <c r="Z4">
        <f>MAX(Z3,IF($B3=18,1,0))</f>
        <v/>
      </c>
      <c r="AA4">
        <f>MAX(AA3,IF($B3=19,1,0))</f>
        <v/>
      </c>
      <c r="AB4">
        <f>MAX(AB3,IF($B3=20,1,0))</f>
        <v/>
      </c>
      <c r="AC4">
        <f>MAX(AC3,IF($B3=21,1,0))</f>
        <v/>
      </c>
      <c r="AD4">
        <f>MAX(AD3,IF($B3=22,1,0))</f>
        <v/>
      </c>
      <c r="AE4">
        <f>MAX(AE3,IF($B3=23,1,0))</f>
        <v/>
      </c>
      <c r="AF4">
        <f>MAX(AF3,IF($B3=24,1,0))</f>
        <v/>
      </c>
      <c r="AG4">
        <f>MAX(AG3,IF($B3=25,1,0))</f>
        <v/>
      </c>
      <c r="AH4">
        <f>MAX(AH3,IF($B3=26,1,0))</f>
        <v/>
      </c>
      <c r="AI4">
        <f>MAX(AI3,IF($B3=27,1,0))</f>
        <v/>
      </c>
      <c r="AJ4">
        <f>MAX(AJ3,IF($B3=28,1,0))</f>
        <v/>
      </c>
      <c r="AK4">
        <f>MAX(AK3,IF($B3=29,1,0))</f>
        <v/>
      </c>
      <c r="AL4">
        <f>MAX(AL3,IF($B3=30,1,0))</f>
        <v/>
      </c>
      <c r="AM4">
        <f>MAX(AM3,IF($B3=31,1,0))</f>
        <v/>
      </c>
      <c r="AN4">
        <f>MAX(AN3,IF($B3=32,1,0))</f>
        <v/>
      </c>
      <c r="AO4">
        <f>MAX(AO3,IF($B3=33,1,0))</f>
        <v/>
      </c>
      <c r="AP4">
        <f>MAX(AP3,IF($B3=34,1,0))</f>
        <v/>
      </c>
      <c r="AQ4">
        <f>MAX(AQ3,IF($B3=35,1,0))</f>
        <v/>
      </c>
      <c r="AR4">
        <f>MAX(AR3,IF($B3=36,1,0))</f>
        <v/>
      </c>
      <c r="AS4">
        <f>MAX(AS3,IF($B3=37,1,0))</f>
        <v/>
      </c>
      <c r="AT4">
        <f>MAX(AT3,IF($B3=38,1,0))</f>
        <v/>
      </c>
      <c r="AU4">
        <f>MAX(AU3,IF($B3=39,1,0))</f>
        <v/>
      </c>
      <c r="AV4">
        <f>MAX(AV3,IF($B3=40,1,0))</f>
        <v/>
      </c>
      <c r="AW4">
        <f>MAX(AW3,IF($B3=41,1,0))</f>
        <v/>
      </c>
      <c r="AX4">
        <f>MAX(AX3,IF($B3=42,1,0))</f>
        <v/>
      </c>
      <c r="AY4">
        <f>MAX(AY3,IF($B3=43,1,0))</f>
        <v/>
      </c>
      <c r="AZ4">
        <f>MAX(AZ3,IF($B3=44,1,0))</f>
        <v/>
      </c>
      <c r="BA4">
        <f>MAX(BA3,IF($B3=45,1,0))</f>
        <v/>
      </c>
      <c r="BC4">
        <f>IF(I4=1,1000000,IF('計算A'!$IQ$10=2,SUMPRODUCT('計算A'!$D$60:$II$60,$CW4:$MB4,$MD4:$VI4),SUMPRODUCT('計算A'!$D$60:$II$60,$CW4:$MB4))*1000+1)</f>
        <v/>
      </c>
      <c r="BD4">
        <f>IF(J4=1,1000000,IF('計算A'!$IQ$11=2,SUMPRODUCT('計算A'!$D$61:$II$61,$CW4:$MB4,$MD4:$VI4),SUMPRODUCT('計算A'!$D$61:$II$61,$CW4:$MB4))*1000+2)</f>
        <v/>
      </c>
      <c r="BE4">
        <f>IF(K4=1,1000000,IF('計算A'!$IQ$12=2,SUMPRODUCT('計算A'!$D$62:$II$62,$CW4:$MB4,$MD4:$VI4),SUMPRODUCT('計算A'!$D$62:$II$62,$CW4:$MB4))*1000+3)</f>
        <v/>
      </c>
      <c r="BF4">
        <f>IF(L4=1,1000000,IF('計算A'!$IQ$13=2,SUMPRODUCT('計算A'!$D$63:$II$63,$CW4:$MB4,$MD4:$VI4),SUMPRODUCT('計算A'!$D$63:$II$63,$CW4:$MB4))*1000+4)</f>
        <v/>
      </c>
      <c r="BG4">
        <f>IF(M4=1,1000000,IF('計算A'!$IQ$14=2,SUMPRODUCT('計算A'!$D$64:$II$64,$CW4:$MB4,$MD4:$VI4),SUMPRODUCT('計算A'!$D$64:$II$64,$CW4:$MB4))*1000+5)</f>
        <v/>
      </c>
      <c r="BH4">
        <f>IF(N4=1,1000000,IF('計算A'!$IQ$15=2,SUMPRODUCT('計算A'!$D$65:$II$65,$CW4:$MB4,$MD4:$VI4),SUMPRODUCT('計算A'!$D$65:$II$65,$CW4:$MB4))*1000+6)</f>
        <v/>
      </c>
      <c r="BI4">
        <f>IF(O4=1,1000000,IF('計算A'!$IQ$16=2,SUMPRODUCT('計算A'!$D$66:$II$66,$CW4:$MB4,$MD4:$VI4),SUMPRODUCT('計算A'!$D$66:$II$66,$CW4:$MB4))*1000+7)</f>
        <v/>
      </c>
      <c r="BJ4">
        <f>IF(P4=1,1000000,IF('計算A'!$IQ$17=2,SUMPRODUCT('計算A'!$D$67:$II$67,$CW4:$MB4,$MD4:$VI4),SUMPRODUCT('計算A'!$D$67:$II$67,$CW4:$MB4))*1000+8)</f>
        <v/>
      </c>
      <c r="BK4">
        <f>IF(Q4=1,1000000,IF('計算A'!$IQ$18=2,SUMPRODUCT('計算A'!$D$68:$II$68,$CW4:$MB4,$MD4:$VI4),SUMPRODUCT('計算A'!$D$68:$II$68,$CW4:$MB4))*1000+9)</f>
        <v/>
      </c>
      <c r="BL4">
        <f>IF(R4=1,1000000,IF('計算A'!$IQ$19=2,SUMPRODUCT('計算A'!$D$69:$II$69,$CW4:$MB4,$MD4:$VI4),SUMPRODUCT('計算A'!$D$69:$II$69,$CW4:$MB4))*1000+10)</f>
        <v/>
      </c>
      <c r="BM4">
        <f>IF(S4=1,1000000,IF('計算A'!$IQ$20=2,SUMPRODUCT('計算A'!$D$70:$II$70,$CW4:$MB4,$MD4:$VI4),SUMPRODUCT('計算A'!$D$70:$II$70,$CW4:$MB4))*1000+11)</f>
        <v/>
      </c>
      <c r="BN4">
        <f>IF(T4=1,1000000,IF('計算A'!$IQ$21=2,SUMPRODUCT('計算A'!$D$71:$II$71,$CW4:$MB4,$MD4:$VI4),SUMPRODUCT('計算A'!$D$71:$II$71,$CW4:$MB4))*1000+12)</f>
        <v/>
      </c>
      <c r="BO4">
        <f>IF(U4=1,1000000,IF('計算A'!$IQ$22=2,SUMPRODUCT('計算A'!$D$72:$II$72,$CW4:$MB4,$MD4:$VI4),SUMPRODUCT('計算A'!$D$72:$II$72,$CW4:$MB4))*1000+13)</f>
        <v/>
      </c>
      <c r="BP4">
        <f>IF(V4=1,1000000,IF('計算A'!$IQ$23=2,SUMPRODUCT('計算A'!$D$73:$II$73,$CW4:$MB4,$MD4:$VI4),SUMPRODUCT('計算A'!$D$73:$II$73,$CW4:$MB4))*1000+14)</f>
        <v/>
      </c>
      <c r="BQ4">
        <f>IF(W4=1,1000000,IF('計算A'!$IQ$24=2,SUMPRODUCT('計算A'!$D$74:$II$74,$CW4:$MB4,$MD4:$VI4),SUMPRODUCT('計算A'!$D$74:$II$74,$CW4:$MB4))*1000+15)</f>
        <v/>
      </c>
      <c r="BR4">
        <f>IF(X4=1,1000000,IF('計算A'!$IQ$25=2,SUMPRODUCT('計算A'!$D$75:$II$75,$CW4:$MB4,$MD4:$VI4),SUMPRODUCT('計算A'!$D$75:$II$75,$CW4:$MB4))*1000+16)</f>
        <v/>
      </c>
      <c r="BS4">
        <f>IF(Y4=1,1000000,IF('計算A'!$IQ$26=2,SUMPRODUCT('計算A'!$D$76:$II$76,$CW4:$MB4,$MD4:$VI4),SUMPRODUCT('計算A'!$D$76:$II$76,$CW4:$MB4))*1000+17)</f>
        <v/>
      </c>
      <c r="BT4">
        <f>IF(Z4=1,1000000,IF('計算A'!$IQ$27=2,SUMPRODUCT('計算A'!$D$77:$II$77,$CW4:$MB4,$MD4:$VI4),SUMPRODUCT('計算A'!$D$77:$II$77,$CW4:$MB4))*1000+18)</f>
        <v/>
      </c>
      <c r="BU4">
        <f>IF(AA4=1,1000000,IF('計算A'!$IQ$28=2,SUMPRODUCT('計算A'!$D$78:$II$78,$CW4:$MB4,$MD4:$VI4),SUMPRODUCT('計算A'!$D$78:$II$78,$CW4:$MB4))*1000+19)</f>
        <v/>
      </c>
      <c r="BV4">
        <f>IF(AB4=1,1000000,IF('計算A'!$IQ$29=2,SUMPRODUCT('計算A'!$D$79:$II$79,$CW4:$MB4,$MD4:$VI4),SUMPRODUCT('計算A'!$D$79:$II$79,$CW4:$MB4))*1000+20)</f>
        <v/>
      </c>
      <c r="BW4">
        <f>IF(AC4=1,1000000,IF('計算A'!$IQ$30=2,SUMPRODUCT('計算A'!$D$80:$II$80,$CW4:$MB4,$MD4:$VI4),SUMPRODUCT('計算A'!$D$80:$II$80,$CW4:$MB4))*1000+21)</f>
        <v/>
      </c>
      <c r="BX4">
        <f>IF(AD4=1,1000000,IF('計算A'!$IQ$31=2,SUMPRODUCT('計算A'!$D$81:$II$81,$CW4:$MB4,$MD4:$VI4),SUMPRODUCT('計算A'!$D$81:$II$81,$CW4:$MB4))*1000+22)</f>
        <v/>
      </c>
      <c r="BY4">
        <f>IF(AE4=1,1000000,IF('計算A'!$IQ$32=2,SUMPRODUCT('計算A'!$D$82:$II$82,$CW4:$MB4,$MD4:$VI4),SUMPRODUCT('計算A'!$D$82:$II$82,$CW4:$MB4))*1000+23)</f>
        <v/>
      </c>
      <c r="BZ4">
        <f>IF(AF4=1,1000000,IF('計算A'!$IQ$33=2,SUMPRODUCT('計算A'!$D$83:$II$83,$CW4:$MB4,$MD4:$VI4),SUMPRODUCT('計算A'!$D$83:$II$83,$CW4:$MB4))*1000+24)</f>
        <v/>
      </c>
      <c r="CA4">
        <f>IF(AG4=1,1000000,IF('計算A'!$IQ$34=2,SUMPRODUCT('計算A'!$D$84:$II$84,$CW4:$MB4,$MD4:$VI4),SUMPRODUCT('計算A'!$D$84:$II$84,$CW4:$MB4))*1000+25)</f>
        <v/>
      </c>
      <c r="CB4">
        <f>IF(AH4=1,1000000,IF('計算A'!$IQ$35=2,SUMPRODUCT('計算A'!$D$85:$II$85,$CW4:$MB4,$MD4:$VI4),SUMPRODUCT('計算A'!$D$85:$II$85,$CW4:$MB4))*1000+26)</f>
        <v/>
      </c>
      <c r="CC4">
        <f>IF(AI4=1,1000000,IF('計算A'!$IQ$36=2,SUMPRODUCT('計算A'!$D$86:$II$86,$CW4:$MB4,$MD4:$VI4),SUMPRODUCT('計算A'!$D$86:$II$86,$CW4:$MB4))*1000+27)</f>
        <v/>
      </c>
      <c r="CD4">
        <f>IF(AJ4=1,1000000,IF('計算A'!$IQ$37=2,SUMPRODUCT('計算A'!$D$87:$II$87,$CW4:$MB4,$MD4:$VI4),SUMPRODUCT('計算A'!$D$87:$II$87,$CW4:$MB4))*1000+28)</f>
        <v/>
      </c>
      <c r="CE4">
        <f>IF(AK4=1,1000000,IF('計算A'!$IQ$38=2,SUMPRODUCT('計算A'!$D$88:$II$88,$CW4:$MB4,$MD4:$VI4),SUMPRODUCT('計算A'!$D$88:$II$88,$CW4:$MB4))*1000+29)</f>
        <v/>
      </c>
      <c r="CF4">
        <f>IF(AL4=1,1000000,IF('計算A'!$IQ$39=2,SUMPRODUCT('計算A'!$D$89:$II$89,$CW4:$MB4,$MD4:$VI4),SUMPRODUCT('計算A'!$D$89:$II$89,$CW4:$MB4))*1000+30)</f>
        <v/>
      </c>
      <c r="CG4">
        <f>IF(AM4=1,1000000,IF('計算A'!$IQ$40=2,SUMPRODUCT('計算A'!$D$90:$II$90,$CW4:$MB4,$MD4:$VI4),SUMPRODUCT('計算A'!$D$90:$II$90,$CW4:$MB4))*1000+31)</f>
        <v/>
      </c>
      <c r="CH4">
        <f>IF(AN4=1,1000000,IF('計算A'!$IQ$41=2,SUMPRODUCT('計算A'!$D$91:$II$91,$CW4:$MB4,$MD4:$VI4),SUMPRODUCT('計算A'!$D$91:$II$91,$CW4:$MB4))*1000+32)</f>
        <v/>
      </c>
      <c r="CI4">
        <f>IF(AO4=1,1000000,IF('計算A'!$IQ$42=2,SUMPRODUCT('計算A'!$D$92:$II$92,$CW4:$MB4,$MD4:$VI4),SUMPRODUCT('計算A'!$D$92:$II$92,$CW4:$MB4))*1000+33)</f>
        <v/>
      </c>
      <c r="CJ4">
        <f>IF(AP4=1,1000000,IF('計算A'!$IQ$43=2,SUMPRODUCT('計算A'!$D$93:$II$93,$CW4:$MB4,$MD4:$VI4),SUMPRODUCT('計算A'!$D$93:$II$93,$CW4:$MB4))*1000+34)</f>
        <v/>
      </c>
      <c r="CK4">
        <f>IF(AQ4=1,1000000,IF('計算A'!$IQ$44=2,SUMPRODUCT('計算A'!$D$94:$II$94,$CW4:$MB4,$MD4:$VI4),SUMPRODUCT('計算A'!$D$94:$II$94,$CW4:$MB4))*1000+35)</f>
        <v/>
      </c>
      <c r="CL4">
        <f>IF(AR4=1,1000000,IF('計算A'!$IQ$45=2,SUMPRODUCT('計算A'!$D$95:$II$95,$CW4:$MB4,$MD4:$VI4),SUMPRODUCT('計算A'!$D$95:$II$95,$CW4:$MB4))*1000+36)</f>
        <v/>
      </c>
      <c r="CM4">
        <f>IF(AS4=1,1000000,IF('計算A'!$IQ$46=2,SUMPRODUCT('計算A'!$D$96:$II$96,$CW4:$MB4,$MD4:$VI4),SUMPRODUCT('計算A'!$D$96:$II$96,$CW4:$MB4))*1000+37)</f>
        <v/>
      </c>
      <c r="CN4">
        <f>IF(AT4=1,1000000,IF('計算A'!$IQ$47=2,SUMPRODUCT('計算A'!$D$97:$II$97,$CW4:$MB4,$MD4:$VI4),SUMPRODUCT('計算A'!$D$97:$II$97,$CW4:$MB4))*1000+38)</f>
        <v/>
      </c>
      <c r="CO4">
        <f>IF(AU4=1,1000000,IF('計算A'!$IQ$48=2,SUMPRODUCT('計算A'!$D$98:$II$98,$CW4:$MB4,$MD4:$VI4),SUMPRODUCT('計算A'!$D$98:$II$98,$CW4:$MB4))*1000+39)</f>
        <v/>
      </c>
      <c r="CP4">
        <f>IF(AV4=1,1000000,IF('計算A'!$IQ$49=2,SUMPRODUCT('計算A'!$D$99:$II$99,$CW4:$MB4,$MD4:$VI4),SUMPRODUCT('計算A'!$D$99:$II$99,$CW4:$MB4))*1000+40)</f>
        <v/>
      </c>
      <c r="CQ4">
        <f>IF(AW4=1,1000000,IF('計算A'!$IQ$50=2,SUMPRODUCT('計算A'!$D$100:$II$100,$CW4:$MB4,$MD4:$VI4),SUMPRODUCT('計算A'!$D$100:$II$100,$CW4:$MB4))*1000+41)</f>
        <v/>
      </c>
      <c r="CR4">
        <f>IF(AX4=1,1000000,IF('計算A'!$IQ$51=2,SUMPRODUCT('計算A'!$D$101:$II$101,$CW4:$MB4,$MD4:$VI4),SUMPRODUCT('計算A'!$D$101:$II$101,$CW4:$MB4))*1000+42)</f>
        <v/>
      </c>
      <c r="CS4">
        <f>IF(AY4=1,1000000,IF('計算A'!$IQ$52=2,SUMPRODUCT('計算A'!$D$102:$II$102,$CW4:$MB4,$MD4:$VI4),SUMPRODUCT('計算A'!$D$102:$II$102,$CW4:$MB4))*1000+43)</f>
        <v/>
      </c>
      <c r="CT4">
        <f>IF(AZ4=1,1000000,IF('計算A'!$IQ$53=2,SUMPRODUCT('計算A'!$D$103:$II$103,$CW4:$MB4,$MD4:$VI4),SUMPRODUCT('計算A'!$D$103:$II$103,$CW4:$MB4))*1000+44)</f>
        <v/>
      </c>
      <c r="CU4">
        <f>IF(BA4=1,1000000,IF('計算A'!$IQ$54=2,SUMPRODUCT('計算A'!$D$104:$II$104,$CW4:$MB4,$MD4:$VI4),SUMPRODUCT('計算A'!$D$104:$II$104,$CW4:$MB4))*1000+45)</f>
        <v/>
      </c>
      <c r="CW4">
        <f>CW3*IF(OR($C3=1,$G3=1),0,1)</f>
        <v/>
      </c>
      <c r="CX4">
        <f>CX3*IF(OR($C3=2,$G3=2),0,1)</f>
        <v/>
      </c>
      <c r="CY4">
        <f>CY3*IF(OR($C3=3,$G3=3),0,1)</f>
        <v/>
      </c>
      <c r="CZ4">
        <f>CZ3*IF(OR($C3=4,$G3=4),0,1)</f>
        <v/>
      </c>
      <c r="DA4">
        <f>DA3*IF(OR($C3=5,$G3=5),0,1)</f>
        <v/>
      </c>
      <c r="DB4">
        <f>DB3*IF(OR($C3=6,$G3=6),0,1)</f>
        <v/>
      </c>
      <c r="DC4">
        <f>DC3*IF(OR($C3=7,$G3=7),0,1)</f>
        <v/>
      </c>
      <c r="DD4">
        <f>DD3*IF(OR($C3=8,$G3=8),0,1)</f>
        <v/>
      </c>
      <c r="DE4">
        <f>DE3*IF(OR($C3=9,$G3=9),0,1)</f>
        <v/>
      </c>
      <c r="DF4">
        <f>DF3*IF(OR($C3=10,$G3=10),0,1)</f>
        <v/>
      </c>
      <c r="DG4">
        <f>DG3*IF(OR($C3=11,$G3=11),0,1)</f>
        <v/>
      </c>
      <c r="DH4">
        <f>DH3*IF(OR($C3=12,$G3=12),0,1)</f>
        <v/>
      </c>
      <c r="DI4">
        <f>DI3*IF(OR($C3=13,$G3=13),0,1)</f>
        <v/>
      </c>
      <c r="DJ4">
        <f>DJ3*IF(OR($C3=14,$G3=14),0,1)</f>
        <v/>
      </c>
      <c r="DK4">
        <f>DK3*IF(OR($C3=15,$G3=15),0,1)</f>
        <v/>
      </c>
      <c r="DL4">
        <f>DL3*IF(OR($C3=16,$G3=16),0,1)</f>
        <v/>
      </c>
      <c r="DM4">
        <f>DM3*IF(OR($C3=17,$G3=17),0,1)</f>
        <v/>
      </c>
      <c r="DN4">
        <f>DN3*IF(OR($C3=18,$G3=18),0,1)</f>
        <v/>
      </c>
      <c r="DO4">
        <f>DO3*IF(OR($C3=19,$G3=19),0,1)</f>
        <v/>
      </c>
      <c r="DP4">
        <f>DP3*IF(OR($C3=20,$G3=20),0,1)</f>
        <v/>
      </c>
      <c r="DQ4">
        <f>DQ3*IF(OR($C3=21,$G3=21),0,1)</f>
        <v/>
      </c>
      <c r="DR4">
        <f>DR3*IF(OR($C3=22,$G3=22),0,1)</f>
        <v/>
      </c>
      <c r="DS4">
        <f>DS3*IF(OR($C3=23,$G3=23),0,1)</f>
        <v/>
      </c>
      <c r="DT4">
        <f>DT3*IF(OR($C3=24,$G3=24),0,1)</f>
        <v/>
      </c>
      <c r="DU4">
        <f>DU3*IF(OR($C3=25,$G3=25),0,1)</f>
        <v/>
      </c>
      <c r="DV4">
        <f>DV3*IF(OR($C3=26,$G3=26),0,1)</f>
        <v/>
      </c>
      <c r="DW4">
        <f>DW3*IF(OR($C3=27,$G3=27),0,1)</f>
        <v/>
      </c>
      <c r="DX4">
        <f>DX3*IF(OR($C3=28,$G3=28),0,1)</f>
        <v/>
      </c>
      <c r="DY4">
        <f>DY3*IF(OR($C3=29,$G3=29),0,1)</f>
        <v/>
      </c>
      <c r="DZ4">
        <f>DZ3*IF(OR($C3=30,$G3=30),0,1)</f>
        <v/>
      </c>
      <c r="EA4">
        <f>EA3*IF(OR($C3=31,$G3=31),0,1)</f>
        <v/>
      </c>
      <c r="EB4">
        <f>EB3*IF(OR($C3=32,$G3=32),0,1)</f>
        <v/>
      </c>
      <c r="EC4">
        <f>EC3*IF(OR($C3=33,$G3=33),0,1)</f>
        <v/>
      </c>
      <c r="ED4">
        <f>ED3*IF(OR($C3=34,$G3=34),0,1)</f>
        <v/>
      </c>
      <c r="EE4">
        <f>EE3*IF(OR($C3=35,$G3=35),0,1)</f>
        <v/>
      </c>
      <c r="EF4">
        <f>EF3*IF(OR($C3=36,$G3=36),0,1)</f>
        <v/>
      </c>
      <c r="EG4">
        <f>EG3*IF(OR($C3=37,$G3=37),0,1)</f>
        <v/>
      </c>
      <c r="EH4">
        <f>EH3*IF(OR($C3=38,$G3=38),0,1)</f>
        <v/>
      </c>
      <c r="EI4">
        <f>EI3*IF(OR($C3=39,$G3=39),0,1)</f>
        <v/>
      </c>
      <c r="EJ4">
        <f>EJ3*IF(OR($C3=40,$G3=40),0,1)</f>
        <v/>
      </c>
      <c r="EK4">
        <f>EK3*IF(OR($C3=41,$G3=41),0,1)</f>
        <v/>
      </c>
      <c r="EL4">
        <f>EL3*IF(OR($C3=42,$G3=42),0,1)</f>
        <v/>
      </c>
      <c r="EM4">
        <f>EM3*IF(OR($C3=43,$G3=43),0,1)</f>
        <v/>
      </c>
      <c r="EN4">
        <f>EN3*IF(OR($C3=44,$G3=44),0,1)</f>
        <v/>
      </c>
      <c r="EO4">
        <f>EO3*IF(OR($C3=45,$G3=45),0,1)</f>
        <v/>
      </c>
      <c r="EP4">
        <f>EP3*IF(OR($C3=46,$G3=46),0,1)</f>
        <v/>
      </c>
      <c r="EQ4">
        <f>EQ3*IF(OR($C3=47,$G3=47),0,1)</f>
        <v/>
      </c>
      <c r="ER4">
        <f>ER3*IF(OR($C3=48,$G3=48),0,1)</f>
        <v/>
      </c>
      <c r="ES4">
        <f>ES3*IF(OR($C3=49,$G3=49),0,1)</f>
        <v/>
      </c>
      <c r="ET4">
        <f>ET3*IF(OR($C3=50,$G3=50),0,1)</f>
        <v/>
      </c>
      <c r="EU4">
        <f>EU3*IF(OR($C3=51,$G3=51),0,1)</f>
        <v/>
      </c>
      <c r="EV4">
        <f>EV3*IF(OR($C3=52,$G3=52),0,1)</f>
        <v/>
      </c>
      <c r="EW4">
        <f>EW3*IF(OR($C3=53,$G3=53),0,1)</f>
        <v/>
      </c>
      <c r="EX4">
        <f>EX3*IF(OR($C3=54,$G3=54),0,1)</f>
        <v/>
      </c>
      <c r="EY4">
        <f>EY3*IF(OR($C3=55,$G3=55),0,1)</f>
        <v/>
      </c>
      <c r="EZ4">
        <f>EZ3*IF(OR($C3=56,$G3=56),0,1)</f>
        <v/>
      </c>
      <c r="FA4">
        <f>FA3*IF(OR($C3=57,$G3=57),0,1)</f>
        <v/>
      </c>
      <c r="FB4">
        <f>FB3*IF(OR($C3=58,$G3=58),0,1)</f>
        <v/>
      </c>
      <c r="FC4">
        <f>FC3*IF(OR($C3=59,$G3=59),0,1)</f>
        <v/>
      </c>
      <c r="FD4">
        <f>FD3*IF(OR($C3=60,$G3=60),0,1)</f>
        <v/>
      </c>
      <c r="FE4">
        <f>FE3*IF(OR($C3=61,$G3=61),0,1)</f>
        <v/>
      </c>
      <c r="FF4">
        <f>FF3*IF(OR($C3=62,$G3=62),0,1)</f>
        <v/>
      </c>
      <c r="FG4">
        <f>FG3*IF(OR($C3=63,$G3=63),0,1)</f>
        <v/>
      </c>
      <c r="FH4">
        <f>FH3*IF(OR($C3=64,$G3=64),0,1)</f>
        <v/>
      </c>
      <c r="FI4">
        <f>FI3*IF(OR($C3=65,$G3=65),0,1)</f>
        <v/>
      </c>
      <c r="FJ4">
        <f>FJ3*IF(OR($C3=66,$G3=66),0,1)</f>
        <v/>
      </c>
      <c r="FK4">
        <f>FK3*IF(OR($C3=67,$G3=67),0,1)</f>
        <v/>
      </c>
      <c r="FL4">
        <f>FL3*IF(OR($C3=68,$G3=68),0,1)</f>
        <v/>
      </c>
      <c r="FM4">
        <f>FM3*IF(OR($C3=69,$G3=69),0,1)</f>
        <v/>
      </c>
      <c r="FN4">
        <f>FN3*IF(OR($C3=70,$G3=70),0,1)</f>
        <v/>
      </c>
      <c r="FO4">
        <f>FO3*IF(OR($C3=71,$G3=71),0,1)</f>
        <v/>
      </c>
      <c r="FP4">
        <f>FP3*IF(OR($C3=72,$G3=72),0,1)</f>
        <v/>
      </c>
      <c r="FQ4">
        <f>FQ3*IF(OR($C3=73,$G3=73),0,1)</f>
        <v/>
      </c>
      <c r="FR4">
        <f>FR3*IF(OR($C3=74,$G3=74),0,1)</f>
        <v/>
      </c>
      <c r="FS4">
        <f>FS3*IF(OR($C3=75,$G3=75),0,1)</f>
        <v/>
      </c>
      <c r="FT4">
        <f>FT3*IF(OR($C3=76,$G3=76),0,1)</f>
        <v/>
      </c>
      <c r="FU4">
        <f>FU3*IF(OR($C3=77,$G3=77),0,1)</f>
        <v/>
      </c>
      <c r="FV4">
        <f>FV3*IF(OR($C3=78,$G3=78),0,1)</f>
        <v/>
      </c>
      <c r="FW4">
        <f>FW3*IF(OR($C3=79,$G3=79),0,1)</f>
        <v/>
      </c>
      <c r="FX4">
        <f>FX3*IF(OR($C3=80,$G3=80),0,1)</f>
        <v/>
      </c>
      <c r="FY4">
        <f>FY3*IF(OR($C3=81,$G3=81),0,1)</f>
        <v/>
      </c>
      <c r="FZ4">
        <f>FZ3*IF(OR($C3=82,$G3=82),0,1)</f>
        <v/>
      </c>
      <c r="GA4">
        <f>GA3*IF(OR($C3=83,$G3=83),0,1)</f>
        <v/>
      </c>
      <c r="GB4">
        <f>GB3*IF(OR($C3=84,$G3=84),0,1)</f>
        <v/>
      </c>
      <c r="GC4">
        <f>GC3*IF(OR($C3=85,$G3=85),0,1)</f>
        <v/>
      </c>
      <c r="GD4">
        <f>GD3*IF(OR($C3=86,$G3=86),0,1)</f>
        <v/>
      </c>
      <c r="GE4">
        <f>GE3*IF(OR($C3=87,$G3=87),0,1)</f>
        <v/>
      </c>
      <c r="GF4">
        <f>GF3*IF(OR($C3=88,$G3=88),0,1)</f>
        <v/>
      </c>
      <c r="GG4">
        <f>GG3*IF(OR($C3=89,$G3=89),0,1)</f>
        <v/>
      </c>
      <c r="GH4">
        <f>GH3*IF(OR($C3=90,$G3=90),0,1)</f>
        <v/>
      </c>
      <c r="GI4">
        <f>GI3*IF(OR($C3=91,$G3=91),0,1)</f>
        <v/>
      </c>
      <c r="GJ4">
        <f>GJ3*IF(OR($C3=92,$G3=92),0,1)</f>
        <v/>
      </c>
      <c r="GK4">
        <f>GK3*IF(OR($C3=93,$G3=93),0,1)</f>
        <v/>
      </c>
      <c r="GL4">
        <f>GL3*IF(OR($C3=94,$G3=94),0,1)</f>
        <v/>
      </c>
      <c r="GM4">
        <f>GM3*IF(OR($C3=95,$G3=95),0,1)</f>
        <v/>
      </c>
      <c r="GN4">
        <f>GN3*IF(OR($C3=96,$G3=96),0,1)</f>
        <v/>
      </c>
      <c r="GO4">
        <f>GO3*IF(OR($C3=97,$G3=97),0,1)</f>
        <v/>
      </c>
      <c r="GP4">
        <f>GP3*IF(OR($C3=98,$G3=98),0,1)</f>
        <v/>
      </c>
      <c r="GQ4">
        <f>GQ3*IF(OR($C3=99,$G3=99),0,1)</f>
        <v/>
      </c>
      <c r="GR4">
        <f>GR3*IF(OR($C3=100,$G3=100),0,1)</f>
        <v/>
      </c>
      <c r="GS4">
        <f>GS3*IF(OR($C3=101,$G3=101),0,1)</f>
        <v/>
      </c>
      <c r="GT4">
        <f>GT3*IF(OR($C3=102,$G3=102),0,1)</f>
        <v/>
      </c>
      <c r="GU4">
        <f>GU3*IF(OR($C3=103,$G3=103),0,1)</f>
        <v/>
      </c>
      <c r="GV4">
        <f>GV3*IF(OR($C3=104,$G3=104),0,1)</f>
        <v/>
      </c>
      <c r="GW4">
        <f>GW3*IF(OR($C3=105,$G3=105),0,1)</f>
        <v/>
      </c>
      <c r="GX4">
        <f>GX3*IF(OR($C3=106,$G3=106),0,1)</f>
        <v/>
      </c>
      <c r="GY4">
        <f>GY3*IF(OR($C3=107,$G3=107),0,1)</f>
        <v/>
      </c>
      <c r="GZ4">
        <f>GZ3*IF(OR($C3=108,$G3=108),0,1)</f>
        <v/>
      </c>
      <c r="HA4">
        <f>HA3*IF(OR($C3=109,$G3=109),0,1)</f>
        <v/>
      </c>
      <c r="HB4">
        <f>HB3*IF(OR($C3=110,$G3=110),0,1)</f>
        <v/>
      </c>
      <c r="HC4">
        <f>HC3*IF(OR($C3=111,$G3=111),0,1)</f>
        <v/>
      </c>
      <c r="HD4">
        <f>HD3*IF(OR($C3=112,$G3=112),0,1)</f>
        <v/>
      </c>
      <c r="HE4">
        <f>HE3*IF(OR($C3=113,$G3=113),0,1)</f>
        <v/>
      </c>
      <c r="HF4">
        <f>HF3*IF(OR($C3=114,$G3=114),0,1)</f>
        <v/>
      </c>
      <c r="HG4">
        <f>HG3*IF(OR($C3=115,$G3=115),0,1)</f>
        <v/>
      </c>
      <c r="HH4">
        <f>HH3*IF(OR($C3=116,$G3=116),0,1)</f>
        <v/>
      </c>
      <c r="HI4">
        <f>HI3*IF(OR($C3=117,$G3=117),0,1)</f>
        <v/>
      </c>
      <c r="HJ4">
        <f>HJ3*IF(OR($C3=118,$G3=118),0,1)</f>
        <v/>
      </c>
      <c r="HK4">
        <f>HK3*IF(OR($C3=119,$G3=119),0,1)</f>
        <v/>
      </c>
      <c r="HL4">
        <f>HL3*IF(OR($C3=120,$G3=120),0,1)</f>
        <v/>
      </c>
      <c r="HM4">
        <f>HM3*IF(OR($C3=121,$G3=121),0,1)</f>
        <v/>
      </c>
      <c r="HN4">
        <f>HN3*IF(OR($C3=122,$G3=122),0,1)</f>
        <v/>
      </c>
      <c r="HO4">
        <f>HO3*IF(OR($C3=123,$G3=123),0,1)</f>
        <v/>
      </c>
      <c r="HP4">
        <f>HP3*IF(OR($C3=124,$G3=124),0,1)</f>
        <v/>
      </c>
      <c r="HQ4">
        <f>HQ3*IF(OR($C3=125,$G3=125),0,1)</f>
        <v/>
      </c>
      <c r="HR4">
        <f>HR3*IF(OR($C3=126,$G3=126),0,1)</f>
        <v/>
      </c>
      <c r="HS4">
        <f>HS3*IF(OR($C3=127,$G3=127),0,1)</f>
        <v/>
      </c>
      <c r="HT4">
        <f>HT3*IF(OR($C3=128,$G3=128),0,1)</f>
        <v/>
      </c>
      <c r="HU4">
        <f>HU3*IF(OR($C3=129,$G3=129),0,1)</f>
        <v/>
      </c>
      <c r="HV4">
        <f>HV3*IF(OR($C3=130,$G3=130),0,1)</f>
        <v/>
      </c>
      <c r="HW4">
        <f>HW3*IF(OR($C3=131,$G3=131),0,1)</f>
        <v/>
      </c>
      <c r="HX4">
        <f>HX3*IF(OR($C3=132,$G3=132),0,1)</f>
        <v/>
      </c>
      <c r="HY4">
        <f>HY3*IF(OR($C3=133,$G3=133),0,1)</f>
        <v/>
      </c>
      <c r="HZ4">
        <f>HZ3*IF(OR($C3=134,$G3=134),0,1)</f>
        <v/>
      </c>
      <c r="IA4">
        <f>IA3*IF(OR($C3=135,$G3=135),0,1)</f>
        <v/>
      </c>
      <c r="IB4">
        <f>IB3*IF(OR($C3=136,$G3=136),0,1)</f>
        <v/>
      </c>
      <c r="IC4">
        <f>IC3*IF(OR($C3=137,$G3=137),0,1)</f>
        <v/>
      </c>
      <c r="ID4">
        <f>ID3*IF(OR($C3=138,$G3=138),0,1)</f>
        <v/>
      </c>
      <c r="IE4">
        <f>IE3*IF(OR($C3=139,$G3=139),0,1)</f>
        <v/>
      </c>
      <c r="IF4">
        <f>IF3*IF(OR($C3=140,$G3=140),0,1)</f>
        <v/>
      </c>
      <c r="IG4">
        <f>IG3*IF(OR($C3=141,$G3=141),0,1)</f>
        <v/>
      </c>
      <c r="IH4">
        <f>IH3*IF(OR($C3=142,$G3=142),0,1)</f>
        <v/>
      </c>
      <c r="II4">
        <f>II3*IF(OR($C3=143,$G3=143),0,1)</f>
        <v/>
      </c>
      <c r="IJ4">
        <f>IJ3*IF(OR($C3=144,$G3=144),0,1)</f>
        <v/>
      </c>
      <c r="IK4">
        <f>IK3*IF(OR($C3=145,$G3=145),0,1)</f>
        <v/>
      </c>
      <c r="IL4">
        <f>IL3*IF(OR($C3=146,$G3=146),0,1)</f>
        <v/>
      </c>
      <c r="IM4">
        <f>IM3*IF(OR($C3=147,$G3=147),0,1)</f>
        <v/>
      </c>
      <c r="IN4">
        <f>IN3*IF(OR($C3=148,$G3=148),0,1)</f>
        <v/>
      </c>
      <c r="IO4">
        <f>IO3*IF(OR($C3=149,$G3=149),0,1)</f>
        <v/>
      </c>
      <c r="IP4">
        <f>IP3*IF(OR($C3=150,$G3=150),0,1)</f>
        <v/>
      </c>
      <c r="IQ4">
        <f>IQ3*IF(OR($C3=151,$G3=151),0,1)</f>
        <v/>
      </c>
      <c r="IR4">
        <f>IR3*IF(OR($C3=152,$G3=152),0,1)</f>
        <v/>
      </c>
      <c r="IS4">
        <f>IS3*IF(OR($C3=153,$G3=153),0,1)</f>
        <v/>
      </c>
      <c r="IT4">
        <f>IT3*IF(OR($C3=154,$G3=154),0,1)</f>
        <v/>
      </c>
      <c r="IU4">
        <f>IU3*IF(OR($C3=155,$G3=155),0,1)</f>
        <v/>
      </c>
      <c r="IV4">
        <f>IV3*IF(OR($C3=156,$G3=156),0,1)</f>
        <v/>
      </c>
      <c r="IW4">
        <f>IW3*IF(OR($C3=157,$G3=157),0,1)</f>
        <v/>
      </c>
      <c r="IX4">
        <f>IX3*IF(OR($C3=158,$G3=158),0,1)</f>
        <v/>
      </c>
      <c r="IY4">
        <f>IY3*IF(OR($C3=159,$G3=159),0,1)</f>
        <v/>
      </c>
      <c r="IZ4">
        <f>IZ3*IF(OR($C3=160,$G3=160),0,1)</f>
        <v/>
      </c>
      <c r="JA4">
        <f>JA3*IF(OR($C3=161,$G3=161),0,1)</f>
        <v/>
      </c>
      <c r="JB4">
        <f>JB3*IF(OR($C3=162,$G3=162),0,1)</f>
        <v/>
      </c>
      <c r="JC4">
        <f>JC3*IF(OR($C3=163,$G3=163),0,1)</f>
        <v/>
      </c>
      <c r="JD4">
        <f>JD3*IF(OR($C3=164,$G3=164),0,1)</f>
        <v/>
      </c>
      <c r="JE4">
        <f>JE3*IF(OR($C3=165,$G3=165),0,1)</f>
        <v/>
      </c>
      <c r="JF4">
        <f>JF3*IF(OR($C3=166,$G3=166),0,1)</f>
        <v/>
      </c>
      <c r="JG4">
        <f>JG3*IF(OR($C3=167,$G3=167),0,1)</f>
        <v/>
      </c>
      <c r="JH4">
        <f>JH3*IF(OR($C3=168,$G3=168),0,1)</f>
        <v/>
      </c>
      <c r="JI4">
        <f>JI3*IF(OR($C3=169,$G3=169),0,1)</f>
        <v/>
      </c>
      <c r="JJ4">
        <f>JJ3*IF(OR($C3=170,$G3=170),0,1)</f>
        <v/>
      </c>
      <c r="JK4">
        <f>JK3*IF(OR($C3=171,$G3=171),0,1)</f>
        <v/>
      </c>
      <c r="JL4">
        <f>JL3*IF(OR($C3=172,$G3=172),0,1)</f>
        <v/>
      </c>
      <c r="JM4">
        <f>JM3*IF(OR($C3=173,$G3=173),0,1)</f>
        <v/>
      </c>
      <c r="JN4">
        <f>JN3*IF(OR($C3=174,$G3=174),0,1)</f>
        <v/>
      </c>
      <c r="JO4">
        <f>JO3*IF(OR($C3=175,$G3=175),0,1)</f>
        <v/>
      </c>
      <c r="JP4">
        <f>JP3*IF(OR($C3=176,$G3=176),0,1)</f>
        <v/>
      </c>
      <c r="JQ4">
        <f>JQ3*IF(OR($C3=177,$G3=177),0,1)</f>
        <v/>
      </c>
      <c r="JR4">
        <f>JR3*IF(OR($C3=178,$G3=178),0,1)</f>
        <v/>
      </c>
      <c r="JS4">
        <f>JS3*IF(OR($C3=179,$G3=179),0,1)</f>
        <v/>
      </c>
      <c r="JT4">
        <f>JT3*IF(OR($C3=180,$G3=180),0,1)</f>
        <v/>
      </c>
      <c r="JU4">
        <f>JU3*IF(OR($C3=181,$G3=181),0,1)</f>
        <v/>
      </c>
      <c r="JV4">
        <f>JV3*IF(OR($C3=182,$G3=182),0,1)</f>
        <v/>
      </c>
      <c r="JW4">
        <f>JW3*IF(OR($C3=183,$G3=183),0,1)</f>
        <v/>
      </c>
      <c r="JX4">
        <f>JX3*IF(OR($C3=184,$G3=184),0,1)</f>
        <v/>
      </c>
      <c r="JY4">
        <f>JY3*IF(OR($C3=185,$G3=185),0,1)</f>
        <v/>
      </c>
      <c r="JZ4">
        <f>JZ3*IF(OR($C3=186,$G3=186),0,1)</f>
        <v/>
      </c>
      <c r="KA4">
        <f>KA3*IF(OR($C3=187,$G3=187),0,1)</f>
        <v/>
      </c>
      <c r="KB4">
        <f>KB3*IF(OR($C3=188,$G3=188),0,1)</f>
        <v/>
      </c>
      <c r="KC4">
        <f>KC3*IF(OR($C3=189,$G3=189),0,1)</f>
        <v/>
      </c>
      <c r="KD4">
        <f>KD3*IF(OR($C3=190,$G3=190),0,1)</f>
        <v/>
      </c>
      <c r="KE4">
        <f>KE3*IF(OR($C3=191,$G3=191),0,1)</f>
        <v/>
      </c>
      <c r="KF4">
        <f>KF3*IF(OR($C3=192,$G3=192),0,1)</f>
        <v/>
      </c>
      <c r="KG4">
        <f>KG3*IF(OR($C3=193,$G3=193),0,1)</f>
        <v/>
      </c>
      <c r="KH4">
        <f>KH3*IF(OR($C3=194,$G3=194),0,1)</f>
        <v/>
      </c>
      <c r="KI4">
        <f>KI3*IF(OR($C3=195,$G3=195),0,1)</f>
        <v/>
      </c>
      <c r="KJ4">
        <f>KJ3*IF(OR($C3=196,$G3=196),0,1)</f>
        <v/>
      </c>
      <c r="KK4">
        <f>KK3*IF(OR($C3=197,$G3=197),0,1)</f>
        <v/>
      </c>
      <c r="KL4">
        <f>KL3*IF(OR($C3=198,$G3=198),0,1)</f>
        <v/>
      </c>
      <c r="KM4">
        <f>KM3*IF(OR($C3=199,$G3=199),0,1)</f>
        <v/>
      </c>
      <c r="KN4">
        <f>KN3*IF(OR($C3=200,$G3=200),0,1)</f>
        <v/>
      </c>
      <c r="KO4">
        <f>KO3*IF(OR($C3=201,$G3=201),0,1)</f>
        <v/>
      </c>
      <c r="KP4">
        <f>KP3*IF(OR($C3=202,$G3=202),0,1)</f>
        <v/>
      </c>
      <c r="KQ4">
        <f>KQ3*IF(OR($C3=203,$G3=203),0,1)</f>
        <v/>
      </c>
      <c r="KR4">
        <f>KR3*IF(OR($C3=204,$G3=204),0,1)</f>
        <v/>
      </c>
      <c r="KS4">
        <f>KS3*IF(OR($C3=205,$G3=205),0,1)</f>
        <v/>
      </c>
      <c r="KT4">
        <f>KT3*IF(OR($C3=206,$G3=206),0,1)</f>
        <v/>
      </c>
      <c r="KU4">
        <f>KU3*IF(OR($C3=207,$G3=207),0,1)</f>
        <v/>
      </c>
      <c r="KV4">
        <f>KV3*IF(OR($C3=208,$G3=208),0,1)</f>
        <v/>
      </c>
      <c r="KW4">
        <f>KW3*IF(OR($C3=209,$G3=209),0,1)</f>
        <v/>
      </c>
      <c r="KX4">
        <f>KX3*IF(OR($C3=210,$G3=210),0,1)</f>
        <v/>
      </c>
      <c r="KY4">
        <f>KY3*IF(OR($C3=211,$G3=211),0,1)</f>
        <v/>
      </c>
      <c r="KZ4">
        <f>KZ3*IF(OR($C3=212,$G3=212),0,1)</f>
        <v/>
      </c>
      <c r="LA4">
        <f>LA3*IF(OR($C3=213,$G3=213),0,1)</f>
        <v/>
      </c>
      <c r="LB4">
        <f>LB3*IF(OR($C3=214,$G3=214),0,1)</f>
        <v/>
      </c>
      <c r="LC4">
        <f>LC3*IF(OR($C3=215,$G3=215),0,1)</f>
        <v/>
      </c>
      <c r="LD4">
        <f>LD3*IF(OR($C3=216,$G3=216),0,1)</f>
        <v/>
      </c>
      <c r="LE4">
        <f>LE3*IF(OR($C3=217,$G3=217),0,1)</f>
        <v/>
      </c>
      <c r="LF4">
        <f>LF3*IF(OR($C3=218,$G3=218),0,1)</f>
        <v/>
      </c>
      <c r="LG4">
        <f>LG3*IF(OR($C3=219,$G3=219),0,1)</f>
        <v/>
      </c>
      <c r="LH4">
        <f>LH3*IF(OR($C3=220,$G3=220),0,1)</f>
        <v/>
      </c>
      <c r="LI4">
        <f>LI3*IF(OR($C3=221,$G3=221),0,1)</f>
        <v/>
      </c>
      <c r="LJ4">
        <f>LJ3*IF(OR($C3=222,$G3=222),0,1)</f>
        <v/>
      </c>
      <c r="LK4">
        <f>LK3*IF(OR($C3=223,$G3=223),0,1)</f>
        <v/>
      </c>
      <c r="LL4">
        <f>LL3*IF(OR($C3=224,$G3=224),0,1)</f>
        <v/>
      </c>
      <c r="LM4">
        <f>LM3*IF(OR($C3=225,$G3=225),0,1)</f>
        <v/>
      </c>
      <c r="LN4">
        <f>LN3*IF(OR($C3=226,$G3=226),0,1)</f>
        <v/>
      </c>
      <c r="LO4">
        <f>LO3*IF(OR($C3=227,$G3=227),0,1)</f>
        <v/>
      </c>
      <c r="LP4">
        <f>LP3*IF(OR($C3=228,$G3=228),0,1)</f>
        <v/>
      </c>
      <c r="LQ4">
        <f>LQ3*IF(OR($C3=229,$G3=229),0,1)</f>
        <v/>
      </c>
      <c r="LR4">
        <f>LR3*IF(OR($C3=230,$G3=230),0,1)</f>
        <v/>
      </c>
      <c r="LS4">
        <f>LS3*IF(OR($C3=231,$G3=231),0,1)</f>
        <v/>
      </c>
      <c r="LT4">
        <f>LT3*IF(OR($C3=232,$G3=232),0,1)</f>
        <v/>
      </c>
      <c r="LU4">
        <f>LU3*IF(OR($C3=233,$G3=233),0,1)</f>
        <v/>
      </c>
      <c r="LV4">
        <f>LV3*IF(OR($C3=234,$G3=234),0,1)</f>
        <v/>
      </c>
      <c r="LW4">
        <f>LW3*IF(OR($C3=235,$G3=235),0,1)</f>
        <v/>
      </c>
      <c r="LX4">
        <f>LX3*IF(OR($C3=236,$G3=236),0,1)</f>
        <v/>
      </c>
      <c r="LY4">
        <f>LY3*IF(OR($C3=237,$G3=237),0,1)</f>
        <v/>
      </c>
      <c r="LZ4">
        <f>LZ3*IF(OR($C3=238,$G3=238),0,1)</f>
        <v/>
      </c>
      <c r="MA4">
        <f>MA3*IF(OR($C3=239,$G3=239),0,1)</f>
        <v/>
      </c>
      <c r="MB4">
        <f>MB3*IF(OR($C3=240,$G3=240),0,1)</f>
        <v/>
      </c>
      <c r="MD4">
        <f>IF('計算A'!D$106=1,CX4,1)</f>
        <v/>
      </c>
      <c r="ME4">
        <f>IF('計算A'!E$106=1,CY4,1)</f>
        <v/>
      </c>
      <c r="MF4">
        <f>IF('計算A'!F$106=1,CZ4,1)</f>
        <v/>
      </c>
      <c r="MG4">
        <f>IF('計算A'!G$106=1,DA4,1)</f>
        <v/>
      </c>
      <c r="MH4">
        <f>IF('計算A'!H$106=1,DB4,1)</f>
        <v/>
      </c>
      <c r="MI4">
        <f>IF('計算A'!I$106=1,DC4,1)</f>
        <v/>
      </c>
      <c r="MJ4">
        <f>IF('計算A'!J$106=1,DD4,1)</f>
        <v/>
      </c>
      <c r="MK4">
        <f>IF('計算A'!K$106=1,DE4,1)</f>
        <v/>
      </c>
      <c r="ML4">
        <f>IF('計算A'!L$106=1,DF4,1)</f>
        <v/>
      </c>
      <c r="MM4">
        <f>IF('計算A'!M$106=1,DG4,1)</f>
        <v/>
      </c>
      <c r="MN4">
        <f>IF('計算A'!N$106=1,DH4,1)</f>
        <v/>
      </c>
      <c r="MO4">
        <f>IF('計算A'!O$106=1,DI4,1)</f>
        <v/>
      </c>
      <c r="MP4">
        <f>IF('計算A'!P$106=1,DJ4,1)</f>
        <v/>
      </c>
      <c r="MQ4">
        <f>IF('計算A'!Q$106=1,DK4,1)</f>
        <v/>
      </c>
      <c r="MR4">
        <f>IF('計算A'!R$106=1,DL4,1)</f>
        <v/>
      </c>
      <c r="MS4">
        <f>IF('計算A'!S$106=1,DM4,1)</f>
        <v/>
      </c>
      <c r="MT4">
        <f>IF('計算A'!T$106=1,DN4,1)</f>
        <v/>
      </c>
      <c r="MU4">
        <f>IF('計算A'!U$106=1,DO4,1)</f>
        <v/>
      </c>
      <c r="MV4">
        <f>IF('計算A'!V$106=1,DP4,1)</f>
        <v/>
      </c>
      <c r="MW4">
        <f>IF('計算A'!W$106=1,DQ4,1)</f>
        <v/>
      </c>
      <c r="MX4">
        <f>IF('計算A'!X$106=1,DR4,1)</f>
        <v/>
      </c>
      <c r="MY4">
        <f>IF('計算A'!Y$106=1,DS4,1)</f>
        <v/>
      </c>
      <c r="MZ4">
        <f>IF('計算A'!Z$106=1,DT4,1)</f>
        <v/>
      </c>
      <c r="NA4">
        <f>IF('計算A'!AA$106=1,DU4,1)</f>
        <v/>
      </c>
      <c r="NB4">
        <f>IF('計算A'!AB$106=1,DV4,1)</f>
        <v/>
      </c>
      <c r="NC4">
        <f>IF('計算A'!AC$106=1,DW4,1)</f>
        <v/>
      </c>
      <c r="ND4">
        <f>IF('計算A'!AD$106=1,DX4,1)</f>
        <v/>
      </c>
      <c r="NE4">
        <f>IF('計算A'!AE$106=1,DY4,1)</f>
        <v/>
      </c>
      <c r="NF4">
        <f>IF('計算A'!AF$106=1,DZ4,1)</f>
        <v/>
      </c>
      <c r="NG4">
        <f>IF('計算A'!AG$106=1,EA4,1)</f>
        <v/>
      </c>
      <c r="NH4">
        <f>IF('計算A'!AH$106=1,EB4,1)</f>
        <v/>
      </c>
      <c r="NI4">
        <f>IF('計算A'!AI$106=1,EC4,1)</f>
        <v/>
      </c>
      <c r="NJ4">
        <f>IF('計算A'!AJ$106=1,ED4,1)</f>
        <v/>
      </c>
      <c r="NK4">
        <f>IF('計算A'!AK$106=1,EE4,1)</f>
        <v/>
      </c>
      <c r="NL4">
        <f>IF('計算A'!AL$106=1,EF4,1)</f>
        <v/>
      </c>
      <c r="NM4">
        <f>IF('計算A'!AM$106=1,EG4,1)</f>
        <v/>
      </c>
      <c r="NN4">
        <f>IF('計算A'!AN$106=1,EH4,1)</f>
        <v/>
      </c>
      <c r="NO4">
        <f>IF('計算A'!AO$106=1,EI4,1)</f>
        <v/>
      </c>
      <c r="NP4">
        <f>IF('計算A'!AP$106=1,EJ4,1)</f>
        <v/>
      </c>
      <c r="NQ4">
        <f>IF('計算A'!AQ$106=1,EK4,1)</f>
        <v/>
      </c>
      <c r="NR4">
        <f>IF('計算A'!AR$106=1,EL4,1)</f>
        <v/>
      </c>
      <c r="NS4">
        <f>IF('計算A'!AS$106=1,EM4,1)</f>
        <v/>
      </c>
      <c r="NT4">
        <f>IF('計算A'!AT$106=1,EN4,1)</f>
        <v/>
      </c>
      <c r="NU4">
        <f>IF('計算A'!AU$106=1,EO4,1)</f>
        <v/>
      </c>
      <c r="NV4">
        <f>IF('計算A'!AV$106=1,EP4,1)</f>
        <v/>
      </c>
      <c r="NW4">
        <f>IF('計算A'!AW$106=1,EQ4,1)</f>
        <v/>
      </c>
      <c r="NX4">
        <f>IF('計算A'!AX$106=1,ER4,1)</f>
        <v/>
      </c>
      <c r="NY4">
        <f>IF('計算A'!AY$106=1,ES4,1)</f>
        <v/>
      </c>
      <c r="NZ4">
        <f>IF('計算A'!AZ$106=1,ET4,1)</f>
        <v/>
      </c>
      <c r="OA4">
        <f>IF('計算A'!BA$106=1,EU4,1)</f>
        <v/>
      </c>
      <c r="OB4">
        <f>IF('計算A'!BB$106=1,EV4,1)</f>
        <v/>
      </c>
      <c r="OC4">
        <f>IF('計算A'!BC$106=1,EW4,1)</f>
        <v/>
      </c>
      <c r="OD4">
        <f>IF('計算A'!BD$106=1,EX4,1)</f>
        <v/>
      </c>
      <c r="OE4">
        <f>IF('計算A'!BE$106=1,EY4,1)</f>
        <v/>
      </c>
      <c r="OF4">
        <f>IF('計算A'!BF$106=1,EZ4,1)</f>
        <v/>
      </c>
      <c r="OG4">
        <f>IF('計算A'!BG$106=1,FA4,1)</f>
        <v/>
      </c>
      <c r="OH4">
        <f>IF('計算A'!BH$106=1,FB4,1)</f>
        <v/>
      </c>
      <c r="OI4">
        <f>IF('計算A'!BI$106=1,FC4,1)</f>
        <v/>
      </c>
      <c r="OJ4">
        <f>IF('計算A'!BJ$106=1,FD4,1)</f>
        <v/>
      </c>
      <c r="OK4">
        <f>IF('計算A'!BK$106=1,FE4,1)</f>
        <v/>
      </c>
      <c r="OL4">
        <f>IF('計算A'!BL$106=1,FF4,1)</f>
        <v/>
      </c>
      <c r="OM4">
        <f>IF('計算A'!BM$106=1,FG4,1)</f>
        <v/>
      </c>
      <c r="ON4">
        <f>IF('計算A'!BN$106=1,FH4,1)</f>
        <v/>
      </c>
      <c r="OO4">
        <f>IF('計算A'!BO$106=1,FI4,1)</f>
        <v/>
      </c>
      <c r="OP4">
        <f>IF('計算A'!BP$106=1,FJ4,1)</f>
        <v/>
      </c>
      <c r="OQ4">
        <f>IF('計算A'!BQ$106=1,FK4,1)</f>
        <v/>
      </c>
      <c r="OR4">
        <f>IF('計算A'!BR$106=1,FL4,1)</f>
        <v/>
      </c>
      <c r="OS4">
        <f>IF('計算A'!BS$106=1,FM4,1)</f>
        <v/>
      </c>
      <c r="OT4">
        <f>IF('計算A'!BT$106=1,FN4,1)</f>
        <v/>
      </c>
      <c r="OU4">
        <f>IF('計算A'!BU$106=1,FO4,1)</f>
        <v/>
      </c>
      <c r="OV4">
        <f>IF('計算A'!BV$106=1,FP4,1)</f>
        <v/>
      </c>
      <c r="OW4">
        <f>IF('計算A'!BW$106=1,FQ4,1)</f>
        <v/>
      </c>
      <c r="OX4">
        <f>IF('計算A'!BX$106=1,FR4,1)</f>
        <v/>
      </c>
      <c r="OY4">
        <f>IF('計算A'!BY$106=1,FS4,1)</f>
        <v/>
      </c>
      <c r="OZ4">
        <f>IF('計算A'!BZ$106=1,FT4,1)</f>
        <v/>
      </c>
      <c r="PA4">
        <f>IF('計算A'!CA$106=1,FU4,1)</f>
        <v/>
      </c>
      <c r="PB4">
        <f>IF('計算A'!CB$106=1,FV4,1)</f>
        <v/>
      </c>
      <c r="PC4">
        <f>IF('計算A'!CC$106=1,FW4,1)</f>
        <v/>
      </c>
      <c r="PD4">
        <f>IF('計算A'!CD$106=1,FX4,1)</f>
        <v/>
      </c>
      <c r="PE4">
        <f>IF('計算A'!CE$106=1,FY4,1)</f>
        <v/>
      </c>
      <c r="PF4">
        <f>IF('計算A'!CF$106=1,FZ4,1)</f>
        <v/>
      </c>
      <c r="PG4">
        <f>IF('計算A'!CG$106=1,GA4,1)</f>
        <v/>
      </c>
      <c r="PH4">
        <f>IF('計算A'!CH$106=1,GB4,1)</f>
        <v/>
      </c>
      <c r="PI4">
        <f>IF('計算A'!CI$106=1,GC4,1)</f>
        <v/>
      </c>
      <c r="PJ4">
        <f>IF('計算A'!CJ$106=1,GD4,1)</f>
        <v/>
      </c>
      <c r="PK4">
        <f>IF('計算A'!CK$106=1,GE4,1)</f>
        <v/>
      </c>
      <c r="PL4">
        <f>IF('計算A'!CL$106=1,GF4,1)</f>
        <v/>
      </c>
      <c r="PM4">
        <f>IF('計算A'!CM$106=1,GG4,1)</f>
        <v/>
      </c>
      <c r="PN4">
        <f>IF('計算A'!CN$106=1,GH4,1)</f>
        <v/>
      </c>
      <c r="PO4">
        <f>IF('計算A'!CO$106=1,GI4,1)</f>
        <v/>
      </c>
      <c r="PP4">
        <f>IF('計算A'!CP$106=1,GJ4,1)</f>
        <v/>
      </c>
      <c r="PQ4">
        <f>IF('計算A'!CQ$106=1,GK4,1)</f>
        <v/>
      </c>
      <c r="PR4">
        <f>IF('計算A'!CR$106=1,GL4,1)</f>
        <v/>
      </c>
      <c r="PS4">
        <f>IF('計算A'!CS$106=1,GM4,1)</f>
        <v/>
      </c>
      <c r="PT4">
        <f>IF('計算A'!CT$106=1,GN4,1)</f>
        <v/>
      </c>
      <c r="PU4">
        <f>IF('計算A'!CU$106=1,GO4,1)</f>
        <v/>
      </c>
      <c r="PV4">
        <f>IF('計算A'!CV$106=1,GP4,1)</f>
        <v/>
      </c>
      <c r="PW4">
        <f>IF('計算A'!CW$106=1,GQ4,1)</f>
        <v/>
      </c>
      <c r="PX4">
        <f>IF('計算A'!CX$106=1,GR4,1)</f>
        <v/>
      </c>
      <c r="PY4">
        <f>IF('計算A'!CY$106=1,GS4,1)</f>
        <v/>
      </c>
      <c r="PZ4">
        <f>IF('計算A'!CZ$106=1,GT4,1)</f>
        <v/>
      </c>
      <c r="QA4">
        <f>IF('計算A'!DA$106=1,GU4,1)</f>
        <v/>
      </c>
      <c r="QB4">
        <f>IF('計算A'!DB$106=1,GV4,1)</f>
        <v/>
      </c>
      <c r="QC4">
        <f>IF('計算A'!DC$106=1,GW4,1)</f>
        <v/>
      </c>
      <c r="QD4">
        <f>IF('計算A'!DD$106=1,GX4,1)</f>
        <v/>
      </c>
      <c r="QE4">
        <f>IF('計算A'!DE$106=1,GY4,1)</f>
        <v/>
      </c>
      <c r="QF4">
        <f>IF('計算A'!DF$106=1,GZ4,1)</f>
        <v/>
      </c>
      <c r="QG4">
        <f>IF('計算A'!DG$106=1,HA4,1)</f>
        <v/>
      </c>
      <c r="QH4">
        <f>IF('計算A'!DH$106=1,HB4,1)</f>
        <v/>
      </c>
      <c r="QI4">
        <f>IF('計算A'!DI$106=1,HC4,1)</f>
        <v/>
      </c>
      <c r="QJ4">
        <f>IF('計算A'!DJ$106=1,HD4,1)</f>
        <v/>
      </c>
      <c r="QK4">
        <f>IF('計算A'!DK$106=1,HE4,1)</f>
        <v/>
      </c>
      <c r="QL4">
        <f>IF('計算A'!DL$106=1,HF4,1)</f>
        <v/>
      </c>
      <c r="QM4">
        <f>IF('計算A'!DM$106=1,HG4,1)</f>
        <v/>
      </c>
      <c r="QN4">
        <f>IF('計算A'!DN$106=1,HH4,1)</f>
        <v/>
      </c>
      <c r="QO4">
        <f>IF('計算A'!DO$106=1,HI4,1)</f>
        <v/>
      </c>
      <c r="QP4">
        <f>IF('計算A'!DP$106=1,HJ4,1)</f>
        <v/>
      </c>
      <c r="QQ4">
        <f>IF('計算A'!DQ$106=1,HK4,1)</f>
        <v/>
      </c>
      <c r="QR4">
        <f>IF('計算A'!DR$106=1,HL4,1)</f>
        <v/>
      </c>
      <c r="QS4">
        <f>IF('計算A'!DS$106=1,HM4,1)</f>
        <v/>
      </c>
      <c r="QT4">
        <f>IF('計算A'!DT$106=1,HN4,1)</f>
        <v/>
      </c>
      <c r="QU4">
        <f>IF('計算A'!DU$106=1,HO4,1)</f>
        <v/>
      </c>
      <c r="QV4">
        <f>IF('計算A'!DV$106=1,HP4,1)</f>
        <v/>
      </c>
      <c r="QW4">
        <f>IF('計算A'!DW$106=1,HQ4,1)</f>
        <v/>
      </c>
      <c r="QX4">
        <f>IF('計算A'!DX$106=1,HR4,1)</f>
        <v/>
      </c>
      <c r="QY4">
        <f>IF('計算A'!DY$106=1,HS4,1)</f>
        <v/>
      </c>
      <c r="QZ4">
        <f>IF('計算A'!DZ$106=1,HT4,1)</f>
        <v/>
      </c>
      <c r="RA4">
        <f>IF('計算A'!EA$106=1,HU4,1)</f>
        <v/>
      </c>
      <c r="RB4">
        <f>IF('計算A'!EB$106=1,HV4,1)</f>
        <v/>
      </c>
      <c r="RC4">
        <f>IF('計算A'!EC$106=1,HW4,1)</f>
        <v/>
      </c>
      <c r="RD4">
        <f>IF('計算A'!ED$106=1,HX4,1)</f>
        <v/>
      </c>
      <c r="RE4">
        <f>IF('計算A'!EE$106=1,HY4,1)</f>
        <v/>
      </c>
      <c r="RF4">
        <f>IF('計算A'!EF$106=1,HZ4,1)</f>
        <v/>
      </c>
      <c r="RG4">
        <f>IF('計算A'!EG$106=1,IA4,1)</f>
        <v/>
      </c>
      <c r="RH4">
        <f>IF('計算A'!EH$106=1,IB4,1)</f>
        <v/>
      </c>
      <c r="RI4">
        <f>IF('計算A'!EI$106=1,IC4,1)</f>
        <v/>
      </c>
      <c r="RJ4">
        <f>IF('計算A'!EJ$106=1,ID4,1)</f>
        <v/>
      </c>
      <c r="RK4">
        <f>IF('計算A'!EK$106=1,IE4,1)</f>
        <v/>
      </c>
      <c r="RL4">
        <f>IF('計算A'!EL$106=1,IF4,1)</f>
        <v/>
      </c>
      <c r="RM4">
        <f>IF('計算A'!EM$106=1,IG4,1)</f>
        <v/>
      </c>
      <c r="RN4">
        <f>IF('計算A'!EN$106=1,IH4,1)</f>
        <v/>
      </c>
      <c r="RO4">
        <f>IF('計算A'!EO$106=1,II4,1)</f>
        <v/>
      </c>
      <c r="RP4">
        <f>IF('計算A'!EP$106=1,IJ4,1)</f>
        <v/>
      </c>
      <c r="RQ4">
        <f>IF('計算A'!EQ$106=1,IK4,1)</f>
        <v/>
      </c>
      <c r="RR4">
        <f>IF('計算A'!ER$106=1,IL4,1)</f>
        <v/>
      </c>
      <c r="RS4">
        <f>IF('計算A'!ES$106=1,IM4,1)</f>
        <v/>
      </c>
      <c r="RT4">
        <f>IF('計算A'!ET$106=1,IN4,1)</f>
        <v/>
      </c>
      <c r="RU4">
        <f>IF('計算A'!EU$106=1,IO4,1)</f>
        <v/>
      </c>
      <c r="RV4">
        <f>IF('計算A'!EV$106=1,IP4,1)</f>
        <v/>
      </c>
      <c r="RW4">
        <f>IF('計算A'!EW$106=1,IQ4,1)</f>
        <v/>
      </c>
      <c r="RX4">
        <f>IF('計算A'!EX$106=1,IR4,1)</f>
        <v/>
      </c>
      <c r="RY4">
        <f>IF('計算A'!EY$106=1,IS4,1)</f>
        <v/>
      </c>
      <c r="RZ4">
        <f>IF('計算A'!EZ$106=1,IT4,1)</f>
        <v/>
      </c>
      <c r="SA4">
        <f>IF('計算A'!FA$106=1,IU4,1)</f>
        <v/>
      </c>
      <c r="SB4">
        <f>IF('計算A'!FB$106=1,IV4,1)</f>
        <v/>
      </c>
      <c r="SC4">
        <f>IF('計算A'!FC$106=1,IW4,1)</f>
        <v/>
      </c>
      <c r="SD4">
        <f>IF('計算A'!FD$106=1,IX4,1)</f>
        <v/>
      </c>
      <c r="SE4">
        <f>IF('計算A'!FE$106=1,IY4,1)</f>
        <v/>
      </c>
      <c r="SF4">
        <f>IF('計算A'!FF$106=1,IZ4,1)</f>
        <v/>
      </c>
      <c r="SG4">
        <f>IF('計算A'!FG$106=1,JA4,1)</f>
        <v/>
      </c>
      <c r="SH4">
        <f>IF('計算A'!FH$106=1,JB4,1)</f>
        <v/>
      </c>
      <c r="SI4">
        <f>IF('計算A'!FI$106=1,JC4,1)</f>
        <v/>
      </c>
      <c r="SJ4">
        <f>IF('計算A'!FJ$106=1,JD4,1)</f>
        <v/>
      </c>
      <c r="SK4">
        <f>IF('計算A'!FK$106=1,JE4,1)</f>
        <v/>
      </c>
      <c r="SL4">
        <f>IF('計算A'!FL$106=1,JF4,1)</f>
        <v/>
      </c>
      <c r="SM4">
        <f>IF('計算A'!FM$106=1,JG4,1)</f>
        <v/>
      </c>
      <c r="SN4">
        <f>IF('計算A'!FN$106=1,JH4,1)</f>
        <v/>
      </c>
      <c r="SO4">
        <f>IF('計算A'!FO$106=1,JI4,1)</f>
        <v/>
      </c>
      <c r="SP4">
        <f>IF('計算A'!FP$106=1,JJ4,1)</f>
        <v/>
      </c>
      <c r="SQ4">
        <f>IF('計算A'!FQ$106=1,JK4,1)</f>
        <v/>
      </c>
      <c r="SR4">
        <f>IF('計算A'!FR$106=1,JL4,1)</f>
        <v/>
      </c>
      <c r="SS4">
        <f>IF('計算A'!FS$106=1,JM4,1)</f>
        <v/>
      </c>
      <c r="ST4">
        <f>IF('計算A'!FT$106=1,JN4,1)</f>
        <v/>
      </c>
      <c r="SU4">
        <f>IF('計算A'!FU$106=1,JO4,1)</f>
        <v/>
      </c>
      <c r="SV4">
        <f>IF('計算A'!FV$106=1,JP4,1)</f>
        <v/>
      </c>
      <c r="SW4">
        <f>IF('計算A'!FW$106=1,JQ4,1)</f>
        <v/>
      </c>
      <c r="SX4">
        <f>IF('計算A'!FX$106=1,JR4,1)</f>
        <v/>
      </c>
      <c r="SY4">
        <f>IF('計算A'!FY$106=1,JS4,1)</f>
        <v/>
      </c>
      <c r="SZ4">
        <f>IF('計算A'!FZ$106=1,JT4,1)</f>
        <v/>
      </c>
      <c r="TA4">
        <f>IF('計算A'!GA$106=1,JU4,1)</f>
        <v/>
      </c>
      <c r="TB4">
        <f>IF('計算A'!GB$106=1,JV4,1)</f>
        <v/>
      </c>
      <c r="TC4">
        <f>IF('計算A'!GC$106=1,JW4,1)</f>
        <v/>
      </c>
      <c r="TD4">
        <f>IF('計算A'!GD$106=1,JX4,1)</f>
        <v/>
      </c>
      <c r="TE4">
        <f>IF('計算A'!GE$106=1,JY4,1)</f>
        <v/>
      </c>
      <c r="TF4">
        <f>IF('計算A'!GF$106=1,JZ4,1)</f>
        <v/>
      </c>
      <c r="TG4">
        <f>IF('計算A'!GG$106=1,KA4,1)</f>
        <v/>
      </c>
      <c r="TH4">
        <f>IF('計算A'!GH$106=1,KB4,1)</f>
        <v/>
      </c>
      <c r="TI4">
        <f>IF('計算A'!GI$106=1,KC4,1)</f>
        <v/>
      </c>
      <c r="TJ4">
        <f>IF('計算A'!GJ$106=1,KD4,1)</f>
        <v/>
      </c>
      <c r="TK4">
        <f>IF('計算A'!GK$106=1,KE4,1)</f>
        <v/>
      </c>
      <c r="TL4">
        <f>IF('計算A'!GL$106=1,KF4,1)</f>
        <v/>
      </c>
      <c r="TM4">
        <f>IF('計算A'!GM$106=1,KG4,1)</f>
        <v/>
      </c>
      <c r="TN4">
        <f>IF('計算A'!GN$106=1,KH4,1)</f>
        <v/>
      </c>
      <c r="TO4">
        <f>IF('計算A'!GO$106=1,KI4,1)</f>
        <v/>
      </c>
      <c r="TP4">
        <f>IF('計算A'!GP$106=1,KJ4,1)</f>
        <v/>
      </c>
      <c r="TQ4">
        <f>IF('計算A'!GQ$106=1,KK4,1)</f>
        <v/>
      </c>
      <c r="TR4">
        <f>IF('計算A'!GR$106=1,KL4,1)</f>
        <v/>
      </c>
      <c r="TS4">
        <f>IF('計算A'!GS$106=1,KM4,1)</f>
        <v/>
      </c>
      <c r="TT4">
        <f>IF('計算A'!GT$106=1,KN4,1)</f>
        <v/>
      </c>
      <c r="TU4">
        <f>IF('計算A'!GU$106=1,KO4,1)</f>
        <v/>
      </c>
      <c r="TV4">
        <f>IF('計算A'!GV$106=1,KP4,1)</f>
        <v/>
      </c>
      <c r="TW4">
        <f>IF('計算A'!GW$106=1,KQ4,1)</f>
        <v/>
      </c>
      <c r="TX4">
        <f>IF('計算A'!GX$106=1,KR4,1)</f>
        <v/>
      </c>
      <c r="TY4">
        <f>IF('計算A'!GY$106=1,KS4,1)</f>
        <v/>
      </c>
      <c r="TZ4">
        <f>IF('計算A'!GZ$106=1,KT4,1)</f>
        <v/>
      </c>
      <c r="UA4">
        <f>IF('計算A'!HA$106=1,KU4,1)</f>
        <v/>
      </c>
      <c r="UB4">
        <f>IF('計算A'!HB$106=1,KV4,1)</f>
        <v/>
      </c>
      <c r="UC4">
        <f>IF('計算A'!HC$106=1,KW4,1)</f>
        <v/>
      </c>
      <c r="UD4">
        <f>IF('計算A'!HD$106=1,KX4,1)</f>
        <v/>
      </c>
      <c r="UE4">
        <f>IF('計算A'!HE$106=1,KY4,1)</f>
        <v/>
      </c>
      <c r="UF4">
        <f>IF('計算A'!HF$106=1,KZ4,1)</f>
        <v/>
      </c>
      <c r="UG4">
        <f>IF('計算A'!HG$106=1,LA4,1)</f>
        <v/>
      </c>
      <c r="UH4">
        <f>IF('計算A'!HH$106=1,LB4,1)</f>
        <v/>
      </c>
      <c r="UI4">
        <f>IF('計算A'!HI$106=1,LC4,1)</f>
        <v/>
      </c>
      <c r="UJ4">
        <f>IF('計算A'!HJ$106=1,LD4,1)</f>
        <v/>
      </c>
      <c r="UK4">
        <f>IF('計算A'!HK$106=1,LE4,1)</f>
        <v/>
      </c>
      <c r="UL4">
        <f>IF('計算A'!HL$106=1,LF4,1)</f>
        <v/>
      </c>
      <c r="UM4">
        <f>IF('計算A'!HM$106=1,LG4,1)</f>
        <v/>
      </c>
      <c r="UN4">
        <f>IF('計算A'!HN$106=1,LH4,1)</f>
        <v/>
      </c>
      <c r="UO4">
        <f>IF('計算A'!HO$106=1,LI4,1)</f>
        <v/>
      </c>
      <c r="UP4">
        <f>IF('計算A'!HP$106=1,LJ4,1)</f>
        <v/>
      </c>
      <c r="UQ4">
        <f>IF('計算A'!HQ$106=1,LK4,1)</f>
        <v/>
      </c>
      <c r="UR4">
        <f>IF('計算A'!HR$106=1,LL4,1)</f>
        <v/>
      </c>
      <c r="US4">
        <f>IF('計算A'!HS$106=1,LM4,1)</f>
        <v/>
      </c>
      <c r="UT4">
        <f>IF('計算A'!HT$106=1,LN4,1)</f>
        <v/>
      </c>
      <c r="UU4">
        <f>IF('計算A'!HU$106=1,LO4,1)</f>
        <v/>
      </c>
      <c r="UV4">
        <f>IF('計算A'!HV$106=1,LP4,1)</f>
        <v/>
      </c>
      <c r="UW4">
        <f>IF('計算A'!HW$106=1,LQ4,1)</f>
        <v/>
      </c>
      <c r="UX4">
        <f>IF('計算A'!HX$106=1,LR4,1)</f>
        <v/>
      </c>
      <c r="UY4">
        <f>IF('計算A'!HY$106=1,LS4,1)</f>
        <v/>
      </c>
      <c r="UZ4">
        <f>IF('計算A'!HZ$106=1,LT4,1)</f>
        <v/>
      </c>
      <c r="VA4">
        <f>IF('計算A'!IA$106=1,LU4,1)</f>
        <v/>
      </c>
      <c r="VB4">
        <f>IF('計算A'!IB$106=1,LV4,1)</f>
        <v/>
      </c>
      <c r="VC4">
        <f>IF('計算A'!IC$106=1,LW4,1)</f>
        <v/>
      </c>
      <c r="VD4">
        <f>IF('計算A'!ID$106=1,LX4,1)</f>
        <v/>
      </c>
      <c r="VE4">
        <f>IF('計算A'!IE$106=1,LY4,1)</f>
        <v/>
      </c>
      <c r="VF4">
        <f>IF('計算A'!IF$106=1,LZ4,1)</f>
        <v/>
      </c>
      <c r="VG4">
        <f>IF('計算A'!IG$106=1,MA4,1)</f>
        <v/>
      </c>
      <c r="VH4">
        <f>IF('計算A'!IH$106=1,MB4,1)</f>
        <v/>
      </c>
      <c r="VI4" t="n">
        <v>1</v>
      </c>
      <c r="VK4">
        <f>IF($B4=0,1000000,IF(INDEX('計算A'!$D$60:$II$104,$B4,1)*CW4=1,IF(AND($E4=2,MD4=0),1000000,INDEX('計算A'!D$110:D$114,$F4+1)+IF(AND($E4=1,MD4=0),1000,0)),1000000))</f>
        <v/>
      </c>
      <c r="VL4">
        <f>IF($B4=0,1000000,IF(INDEX('計算A'!$D$60:$II$104,$B4,2)*CX4=1,IF(AND($E4=2,ME4=0),1000000,INDEX('計算A'!E$110:E$114,$F4+1)+IF(AND($E4=1,ME4=0),1000,0)),1000000))</f>
        <v/>
      </c>
      <c r="VM4">
        <f>IF($B4=0,1000000,IF(INDEX('計算A'!$D$60:$II$104,$B4,3)*CY4=1,IF(AND($E4=2,MF4=0),1000000,INDEX('計算A'!F$110:F$114,$F4+1)+IF(AND($E4=1,MF4=0),1000,0)),1000000))</f>
        <v/>
      </c>
      <c r="VN4">
        <f>IF($B4=0,1000000,IF(INDEX('計算A'!$D$60:$II$104,$B4,4)*CZ4=1,IF(AND($E4=2,MG4=0),1000000,INDEX('計算A'!G$110:G$114,$F4+1)+IF(AND($E4=1,MG4=0),1000,0)),1000000))</f>
        <v/>
      </c>
      <c r="VO4">
        <f>IF($B4=0,1000000,IF(INDEX('計算A'!$D$60:$II$104,$B4,5)*DA4=1,IF(AND($E4=2,MH4=0),1000000,INDEX('計算A'!H$110:H$114,$F4+1)+IF(AND($E4=1,MH4=0),1000,0)),1000000))</f>
        <v/>
      </c>
      <c r="VP4">
        <f>IF($B4=0,1000000,IF(INDEX('計算A'!$D$60:$II$104,$B4,6)*DB4=1,IF(AND($E4=2,MI4=0),1000000,INDEX('計算A'!I$110:I$114,$F4+1)+IF(AND($E4=1,MI4=0),1000,0)),1000000))</f>
        <v/>
      </c>
      <c r="VQ4">
        <f>IF($B4=0,1000000,IF(INDEX('計算A'!$D$60:$II$104,$B4,7)*DC4=1,IF(AND($E4=2,MJ4=0),1000000,INDEX('計算A'!J$110:J$114,$F4+1)+IF(AND($E4=1,MJ4=0),1000,0)),1000000))</f>
        <v/>
      </c>
      <c r="VR4">
        <f>IF($B4=0,1000000,IF(INDEX('計算A'!$D$60:$II$104,$B4,8)*DD4=1,IF(AND($E4=2,MK4=0),1000000,INDEX('計算A'!K$110:K$114,$F4+1)+IF(AND($E4=1,MK4=0),1000,0)),1000000))</f>
        <v/>
      </c>
      <c r="VS4">
        <f>IF($B4=0,1000000,IF(INDEX('計算A'!$D$60:$II$104,$B4,9)*DE4=1,IF(AND($E4=2,ML4=0),1000000,INDEX('計算A'!L$110:L$114,$F4+1)+IF(AND($E4=1,ML4=0),1000,0)),1000000))</f>
        <v/>
      </c>
      <c r="VT4">
        <f>IF($B4=0,1000000,IF(INDEX('計算A'!$D$60:$II$104,$B4,10)*DF4=1,IF(AND($E4=2,MM4=0),1000000,INDEX('計算A'!M$110:M$114,$F4+1)+IF(AND($E4=1,MM4=0),1000,0)),1000000))</f>
        <v/>
      </c>
      <c r="VU4">
        <f>IF($B4=0,1000000,IF(INDEX('計算A'!$D$60:$II$104,$B4,11)*DG4=1,IF(AND($E4=2,MN4=0),1000000,INDEX('計算A'!N$110:N$114,$F4+1)+IF(AND($E4=1,MN4=0),1000,0)),1000000))</f>
        <v/>
      </c>
      <c r="VV4">
        <f>IF($B4=0,1000000,IF(INDEX('計算A'!$D$60:$II$104,$B4,12)*DH4=1,IF(AND($E4=2,MO4=0),1000000,INDEX('計算A'!O$110:O$114,$F4+1)+IF(AND($E4=1,MO4=0),1000,0)),1000000))</f>
        <v/>
      </c>
      <c r="VW4">
        <f>IF($B4=0,1000000,IF(INDEX('計算A'!$D$60:$II$104,$B4,13)*DI4=1,IF(AND($E4=2,MP4=0),1000000,INDEX('計算A'!P$110:P$114,$F4+1)+IF(AND($E4=1,MP4=0),1000,0)),1000000))</f>
        <v/>
      </c>
      <c r="VX4">
        <f>IF($B4=0,1000000,IF(INDEX('計算A'!$D$60:$II$104,$B4,14)*DJ4=1,IF(AND($E4=2,MQ4=0),1000000,INDEX('計算A'!Q$110:Q$114,$F4+1)+IF(AND($E4=1,MQ4=0),1000,0)),1000000))</f>
        <v/>
      </c>
      <c r="VY4">
        <f>IF($B4=0,1000000,IF(INDEX('計算A'!$D$60:$II$104,$B4,15)*DK4=1,IF(AND($E4=2,MR4=0),1000000,INDEX('計算A'!R$110:R$114,$F4+1)+IF(AND($E4=1,MR4=0),1000,0)),1000000))</f>
        <v/>
      </c>
      <c r="VZ4">
        <f>IF($B4=0,1000000,IF(INDEX('計算A'!$D$60:$II$104,$B4,16)*DL4=1,IF(AND($E4=2,MS4=0),1000000,INDEX('計算A'!S$110:S$114,$F4+1)+IF(AND($E4=1,MS4=0),1000,0)),1000000))</f>
        <v/>
      </c>
      <c r="WA4">
        <f>IF($B4=0,1000000,IF(INDEX('計算A'!$D$60:$II$104,$B4,17)*DM4=1,IF(AND($E4=2,MT4=0),1000000,INDEX('計算A'!T$110:T$114,$F4+1)+IF(AND($E4=1,MT4=0),1000,0)),1000000))</f>
        <v/>
      </c>
      <c r="WB4">
        <f>IF($B4=0,1000000,IF(INDEX('計算A'!$D$60:$II$104,$B4,18)*DN4=1,IF(AND($E4=2,MU4=0),1000000,INDEX('計算A'!U$110:U$114,$F4+1)+IF(AND($E4=1,MU4=0),1000,0)),1000000))</f>
        <v/>
      </c>
      <c r="WC4">
        <f>IF($B4=0,1000000,IF(INDEX('計算A'!$D$60:$II$104,$B4,19)*DO4=1,IF(AND($E4=2,MV4=0),1000000,INDEX('計算A'!V$110:V$114,$F4+1)+IF(AND($E4=1,MV4=0),1000,0)),1000000))</f>
        <v/>
      </c>
      <c r="WD4">
        <f>IF($B4=0,1000000,IF(INDEX('計算A'!$D$60:$II$104,$B4,20)*DP4=1,IF(AND($E4=2,MW4=0),1000000,INDEX('計算A'!W$110:W$114,$F4+1)+IF(AND($E4=1,MW4=0),1000,0)),1000000))</f>
        <v/>
      </c>
      <c r="WE4">
        <f>IF($B4=0,1000000,IF(INDEX('計算A'!$D$60:$II$104,$B4,21)*DQ4=1,IF(AND($E4=2,MX4=0),1000000,INDEX('計算A'!X$110:X$114,$F4+1)+IF(AND($E4=1,MX4=0),1000,0)),1000000))</f>
        <v/>
      </c>
      <c r="WF4">
        <f>IF($B4=0,1000000,IF(INDEX('計算A'!$D$60:$II$104,$B4,22)*DR4=1,IF(AND($E4=2,MY4=0),1000000,INDEX('計算A'!Y$110:Y$114,$F4+1)+IF(AND($E4=1,MY4=0),1000,0)),1000000))</f>
        <v/>
      </c>
      <c r="WG4">
        <f>IF($B4=0,1000000,IF(INDEX('計算A'!$D$60:$II$104,$B4,23)*DS4=1,IF(AND($E4=2,MZ4=0),1000000,INDEX('計算A'!Z$110:Z$114,$F4+1)+IF(AND($E4=1,MZ4=0),1000,0)),1000000))</f>
        <v/>
      </c>
      <c r="WH4">
        <f>IF($B4=0,1000000,IF(INDEX('計算A'!$D$60:$II$104,$B4,24)*DT4=1,IF(AND($E4=2,NA4=0),1000000,INDEX('計算A'!AA$110:AA$114,$F4+1)+IF(AND($E4=1,NA4=0),1000,0)),1000000))</f>
        <v/>
      </c>
      <c r="WI4">
        <f>IF($B4=0,1000000,IF(INDEX('計算A'!$D$60:$II$104,$B4,25)*DU4=1,IF(AND($E4=2,NB4=0),1000000,INDEX('計算A'!AB$110:AB$114,$F4+1)+IF(AND($E4=1,NB4=0),1000,0)),1000000))</f>
        <v/>
      </c>
      <c r="WJ4">
        <f>IF($B4=0,1000000,IF(INDEX('計算A'!$D$60:$II$104,$B4,26)*DV4=1,IF(AND($E4=2,NC4=0),1000000,INDEX('計算A'!AC$110:AC$114,$F4+1)+IF(AND($E4=1,NC4=0),1000,0)),1000000))</f>
        <v/>
      </c>
      <c r="WK4">
        <f>IF($B4=0,1000000,IF(INDEX('計算A'!$D$60:$II$104,$B4,27)*DW4=1,IF(AND($E4=2,ND4=0),1000000,INDEX('計算A'!AD$110:AD$114,$F4+1)+IF(AND($E4=1,ND4=0),1000,0)),1000000))</f>
        <v/>
      </c>
      <c r="WL4">
        <f>IF($B4=0,1000000,IF(INDEX('計算A'!$D$60:$II$104,$B4,28)*DX4=1,IF(AND($E4=2,NE4=0),1000000,INDEX('計算A'!AE$110:AE$114,$F4+1)+IF(AND($E4=1,NE4=0),1000,0)),1000000))</f>
        <v/>
      </c>
      <c r="WM4">
        <f>IF($B4=0,1000000,IF(INDEX('計算A'!$D$60:$II$104,$B4,29)*DY4=1,IF(AND($E4=2,NF4=0),1000000,INDEX('計算A'!AF$110:AF$114,$F4+1)+IF(AND($E4=1,NF4=0),1000,0)),1000000))</f>
        <v/>
      </c>
      <c r="WN4">
        <f>IF($B4=0,1000000,IF(INDEX('計算A'!$D$60:$II$104,$B4,30)*DZ4=1,IF(AND($E4=2,NG4=0),1000000,INDEX('計算A'!AG$110:AG$114,$F4+1)+IF(AND($E4=1,NG4=0),1000,0)),1000000))</f>
        <v/>
      </c>
      <c r="WO4">
        <f>IF($B4=0,1000000,IF(INDEX('計算A'!$D$60:$II$104,$B4,31)*EA4=1,IF(AND($E4=2,NH4=0),1000000,INDEX('計算A'!AH$110:AH$114,$F4+1)+IF(AND($E4=1,NH4=0),1000,0)),1000000))</f>
        <v/>
      </c>
      <c r="WP4">
        <f>IF($B4=0,1000000,IF(INDEX('計算A'!$D$60:$II$104,$B4,32)*EB4=1,IF(AND($E4=2,NI4=0),1000000,INDEX('計算A'!AI$110:AI$114,$F4+1)+IF(AND($E4=1,NI4=0),1000,0)),1000000))</f>
        <v/>
      </c>
      <c r="WQ4">
        <f>IF($B4=0,1000000,IF(INDEX('計算A'!$D$60:$II$104,$B4,33)*EC4=1,IF(AND($E4=2,NJ4=0),1000000,INDEX('計算A'!AJ$110:AJ$114,$F4+1)+IF(AND($E4=1,NJ4=0),1000,0)),1000000))</f>
        <v/>
      </c>
      <c r="WR4">
        <f>IF($B4=0,1000000,IF(INDEX('計算A'!$D$60:$II$104,$B4,34)*ED4=1,IF(AND($E4=2,NK4=0),1000000,INDEX('計算A'!AK$110:AK$114,$F4+1)+IF(AND($E4=1,NK4=0),1000,0)),1000000))</f>
        <v/>
      </c>
      <c r="WS4">
        <f>IF($B4=0,1000000,IF(INDEX('計算A'!$D$60:$II$104,$B4,35)*EE4=1,IF(AND($E4=2,NL4=0),1000000,INDEX('計算A'!AL$110:AL$114,$F4+1)+IF(AND($E4=1,NL4=0),1000,0)),1000000))</f>
        <v/>
      </c>
      <c r="WT4">
        <f>IF($B4=0,1000000,IF(INDEX('計算A'!$D$60:$II$104,$B4,36)*EF4=1,IF(AND($E4=2,NM4=0),1000000,INDEX('計算A'!AM$110:AM$114,$F4+1)+IF(AND($E4=1,NM4=0),1000,0)),1000000))</f>
        <v/>
      </c>
      <c r="WU4">
        <f>IF($B4=0,1000000,IF(INDEX('計算A'!$D$60:$II$104,$B4,37)*EG4=1,IF(AND($E4=2,NN4=0),1000000,INDEX('計算A'!AN$110:AN$114,$F4+1)+IF(AND($E4=1,NN4=0),1000,0)),1000000))</f>
        <v/>
      </c>
      <c r="WV4">
        <f>IF($B4=0,1000000,IF(INDEX('計算A'!$D$60:$II$104,$B4,38)*EH4=1,IF(AND($E4=2,NO4=0),1000000,INDEX('計算A'!AO$110:AO$114,$F4+1)+IF(AND($E4=1,NO4=0),1000,0)),1000000))</f>
        <v/>
      </c>
      <c r="WW4">
        <f>IF($B4=0,1000000,IF(INDEX('計算A'!$D$60:$II$104,$B4,39)*EI4=1,IF(AND($E4=2,NP4=0),1000000,INDEX('計算A'!AP$110:AP$114,$F4+1)+IF(AND($E4=1,NP4=0),1000,0)),1000000))</f>
        <v/>
      </c>
      <c r="WX4">
        <f>IF($B4=0,1000000,IF(INDEX('計算A'!$D$60:$II$104,$B4,40)*EJ4=1,IF(AND($E4=2,NQ4=0),1000000,INDEX('計算A'!AQ$110:AQ$114,$F4+1)+IF(AND($E4=1,NQ4=0),1000,0)),1000000))</f>
        <v/>
      </c>
      <c r="WY4">
        <f>IF($B4=0,1000000,IF(INDEX('計算A'!$D$60:$II$104,$B4,41)*EK4=1,IF(AND($E4=2,NR4=0),1000000,INDEX('計算A'!AR$110:AR$114,$F4+1)+IF(AND($E4=1,NR4=0),1000,0)),1000000))</f>
        <v/>
      </c>
      <c r="WZ4">
        <f>IF($B4=0,1000000,IF(INDEX('計算A'!$D$60:$II$104,$B4,42)*EL4=1,IF(AND($E4=2,NS4=0),1000000,INDEX('計算A'!AS$110:AS$114,$F4+1)+IF(AND($E4=1,NS4=0),1000,0)),1000000))</f>
        <v/>
      </c>
      <c r="XA4">
        <f>IF($B4=0,1000000,IF(INDEX('計算A'!$D$60:$II$104,$B4,43)*EM4=1,IF(AND($E4=2,NT4=0),1000000,INDEX('計算A'!AT$110:AT$114,$F4+1)+IF(AND($E4=1,NT4=0),1000,0)),1000000))</f>
        <v/>
      </c>
      <c r="XB4">
        <f>IF($B4=0,1000000,IF(INDEX('計算A'!$D$60:$II$104,$B4,44)*EN4=1,IF(AND($E4=2,NU4=0),1000000,INDEX('計算A'!AU$110:AU$114,$F4+1)+IF(AND($E4=1,NU4=0),1000,0)),1000000))</f>
        <v/>
      </c>
      <c r="XC4">
        <f>IF($B4=0,1000000,IF(INDEX('計算A'!$D$60:$II$104,$B4,45)*EO4=1,IF(AND($E4=2,NV4=0),1000000,INDEX('計算A'!AV$110:AV$114,$F4+1)+IF(AND($E4=1,NV4=0),1000,0)),1000000))</f>
        <v/>
      </c>
      <c r="XD4">
        <f>IF($B4=0,1000000,IF(INDEX('計算A'!$D$60:$II$104,$B4,46)*EP4=1,IF(AND($E4=2,NW4=0),1000000,INDEX('計算A'!AW$110:AW$114,$F4+1)+IF(AND($E4=1,NW4=0),1000,0)),1000000))</f>
        <v/>
      </c>
      <c r="XE4">
        <f>IF($B4=0,1000000,IF(INDEX('計算A'!$D$60:$II$104,$B4,47)*EQ4=1,IF(AND($E4=2,NX4=0),1000000,INDEX('計算A'!AX$110:AX$114,$F4+1)+IF(AND($E4=1,NX4=0),1000,0)),1000000))</f>
        <v/>
      </c>
      <c r="XF4">
        <f>IF($B4=0,1000000,IF(INDEX('計算A'!$D$60:$II$104,$B4,48)*ER4=1,IF(AND($E4=2,NY4=0),1000000,INDEX('計算A'!AY$110:AY$114,$F4+1)+IF(AND($E4=1,NY4=0),1000,0)),1000000))</f>
        <v/>
      </c>
      <c r="XG4">
        <f>IF($B4=0,1000000,IF(INDEX('計算A'!$D$60:$II$104,$B4,49)*ES4=1,IF(AND($E4=2,NZ4=0),1000000,INDEX('計算A'!AZ$110:AZ$114,$F4+1)+IF(AND($E4=1,NZ4=0),1000,0)),1000000))</f>
        <v/>
      </c>
      <c r="XH4">
        <f>IF($B4=0,1000000,IF(INDEX('計算A'!$D$60:$II$104,$B4,50)*ET4=1,IF(AND($E4=2,OA4=0),1000000,INDEX('計算A'!BA$110:BA$114,$F4+1)+IF(AND($E4=1,OA4=0),1000,0)),1000000))</f>
        <v/>
      </c>
      <c r="XI4">
        <f>IF($B4=0,1000000,IF(INDEX('計算A'!$D$60:$II$104,$B4,51)*EU4=1,IF(AND($E4=2,OB4=0),1000000,INDEX('計算A'!BB$110:BB$114,$F4+1)+IF(AND($E4=1,OB4=0),1000,0)),1000000))</f>
        <v/>
      </c>
      <c r="XJ4">
        <f>IF($B4=0,1000000,IF(INDEX('計算A'!$D$60:$II$104,$B4,52)*EV4=1,IF(AND($E4=2,OC4=0),1000000,INDEX('計算A'!BC$110:BC$114,$F4+1)+IF(AND($E4=1,OC4=0),1000,0)),1000000))</f>
        <v/>
      </c>
      <c r="XK4">
        <f>IF($B4=0,1000000,IF(INDEX('計算A'!$D$60:$II$104,$B4,53)*EW4=1,IF(AND($E4=2,OD4=0),1000000,INDEX('計算A'!BD$110:BD$114,$F4+1)+IF(AND($E4=1,OD4=0),1000,0)),1000000))</f>
        <v/>
      </c>
      <c r="XL4">
        <f>IF($B4=0,1000000,IF(INDEX('計算A'!$D$60:$II$104,$B4,54)*EX4=1,IF(AND($E4=2,OE4=0),1000000,INDEX('計算A'!BE$110:BE$114,$F4+1)+IF(AND($E4=1,OE4=0),1000,0)),1000000))</f>
        <v/>
      </c>
      <c r="XM4">
        <f>IF($B4=0,1000000,IF(INDEX('計算A'!$D$60:$II$104,$B4,55)*EY4=1,IF(AND($E4=2,OF4=0),1000000,INDEX('計算A'!BF$110:BF$114,$F4+1)+IF(AND($E4=1,OF4=0),1000,0)),1000000))</f>
        <v/>
      </c>
      <c r="XN4">
        <f>IF($B4=0,1000000,IF(INDEX('計算A'!$D$60:$II$104,$B4,56)*EZ4=1,IF(AND($E4=2,OG4=0),1000000,INDEX('計算A'!BG$110:BG$114,$F4+1)+IF(AND($E4=1,OG4=0),1000,0)),1000000))</f>
        <v/>
      </c>
      <c r="XO4">
        <f>IF($B4=0,1000000,IF(INDEX('計算A'!$D$60:$II$104,$B4,57)*FA4=1,IF(AND($E4=2,OH4=0),1000000,INDEX('計算A'!BH$110:BH$114,$F4+1)+IF(AND($E4=1,OH4=0),1000,0)),1000000))</f>
        <v/>
      </c>
      <c r="XP4">
        <f>IF($B4=0,1000000,IF(INDEX('計算A'!$D$60:$II$104,$B4,58)*FB4=1,IF(AND($E4=2,OI4=0),1000000,INDEX('計算A'!BI$110:BI$114,$F4+1)+IF(AND($E4=1,OI4=0),1000,0)),1000000))</f>
        <v/>
      </c>
      <c r="XQ4">
        <f>IF($B4=0,1000000,IF(INDEX('計算A'!$D$60:$II$104,$B4,59)*FC4=1,IF(AND($E4=2,OJ4=0),1000000,INDEX('計算A'!BJ$110:BJ$114,$F4+1)+IF(AND($E4=1,OJ4=0),1000,0)),1000000))</f>
        <v/>
      </c>
      <c r="XR4">
        <f>IF($B4=0,1000000,IF(INDEX('計算A'!$D$60:$II$104,$B4,60)*FD4=1,IF(AND($E4=2,OK4=0),1000000,INDEX('計算A'!BK$110:BK$114,$F4+1)+IF(AND($E4=1,OK4=0),1000,0)),1000000))</f>
        <v/>
      </c>
      <c r="XS4">
        <f>IF($B4=0,1000000,IF(INDEX('計算A'!$D$60:$II$104,$B4,61)*FE4=1,IF(AND($E4=2,OL4=0),1000000,INDEX('計算A'!BL$110:BL$114,$F4+1)+IF(AND($E4=1,OL4=0),1000,0)),1000000))</f>
        <v/>
      </c>
      <c r="XT4">
        <f>IF($B4=0,1000000,IF(INDEX('計算A'!$D$60:$II$104,$B4,62)*FF4=1,IF(AND($E4=2,OM4=0),1000000,INDEX('計算A'!BM$110:BM$114,$F4+1)+IF(AND($E4=1,OM4=0),1000,0)),1000000))</f>
        <v/>
      </c>
      <c r="XU4">
        <f>IF($B4=0,1000000,IF(INDEX('計算A'!$D$60:$II$104,$B4,63)*FG4=1,IF(AND($E4=2,ON4=0),1000000,INDEX('計算A'!BN$110:BN$114,$F4+1)+IF(AND($E4=1,ON4=0),1000,0)),1000000))</f>
        <v/>
      </c>
      <c r="XV4">
        <f>IF($B4=0,1000000,IF(INDEX('計算A'!$D$60:$II$104,$B4,64)*FH4=1,IF(AND($E4=2,OO4=0),1000000,INDEX('計算A'!BO$110:BO$114,$F4+1)+IF(AND($E4=1,OO4=0),1000,0)),1000000))</f>
        <v/>
      </c>
      <c r="XW4">
        <f>IF($B4=0,1000000,IF(INDEX('計算A'!$D$60:$II$104,$B4,65)*FI4=1,IF(AND($E4=2,OP4=0),1000000,INDEX('計算A'!BP$110:BP$114,$F4+1)+IF(AND($E4=1,OP4=0),1000,0)),1000000))</f>
        <v/>
      </c>
      <c r="XX4">
        <f>IF($B4=0,1000000,IF(INDEX('計算A'!$D$60:$II$104,$B4,66)*FJ4=1,IF(AND($E4=2,OQ4=0),1000000,INDEX('計算A'!BQ$110:BQ$114,$F4+1)+IF(AND($E4=1,OQ4=0),1000,0)),1000000))</f>
        <v/>
      </c>
      <c r="XY4">
        <f>IF($B4=0,1000000,IF(INDEX('計算A'!$D$60:$II$104,$B4,67)*FK4=1,IF(AND($E4=2,OR4=0),1000000,INDEX('計算A'!BR$110:BR$114,$F4+1)+IF(AND($E4=1,OR4=0),1000,0)),1000000))</f>
        <v/>
      </c>
      <c r="XZ4">
        <f>IF($B4=0,1000000,IF(INDEX('計算A'!$D$60:$II$104,$B4,68)*FL4=1,IF(AND($E4=2,OS4=0),1000000,INDEX('計算A'!BS$110:BS$114,$F4+1)+IF(AND($E4=1,OS4=0),1000,0)),1000000))</f>
        <v/>
      </c>
      <c r="YA4">
        <f>IF($B4=0,1000000,IF(INDEX('計算A'!$D$60:$II$104,$B4,69)*FM4=1,IF(AND($E4=2,OT4=0),1000000,INDEX('計算A'!BT$110:BT$114,$F4+1)+IF(AND($E4=1,OT4=0),1000,0)),1000000))</f>
        <v/>
      </c>
      <c r="YB4">
        <f>IF($B4=0,1000000,IF(INDEX('計算A'!$D$60:$II$104,$B4,70)*FN4=1,IF(AND($E4=2,OU4=0),1000000,INDEX('計算A'!BU$110:BU$114,$F4+1)+IF(AND($E4=1,OU4=0),1000,0)),1000000))</f>
        <v/>
      </c>
      <c r="YC4">
        <f>IF($B4=0,1000000,IF(INDEX('計算A'!$D$60:$II$104,$B4,71)*FO4=1,IF(AND($E4=2,OV4=0),1000000,INDEX('計算A'!BV$110:BV$114,$F4+1)+IF(AND($E4=1,OV4=0),1000,0)),1000000))</f>
        <v/>
      </c>
      <c r="YD4">
        <f>IF($B4=0,1000000,IF(INDEX('計算A'!$D$60:$II$104,$B4,72)*FP4=1,IF(AND($E4=2,OW4=0),1000000,INDEX('計算A'!BW$110:BW$114,$F4+1)+IF(AND($E4=1,OW4=0),1000,0)),1000000))</f>
        <v/>
      </c>
      <c r="YE4">
        <f>IF($B4=0,1000000,IF(INDEX('計算A'!$D$60:$II$104,$B4,73)*FQ4=1,IF(AND($E4=2,OX4=0),1000000,INDEX('計算A'!BX$110:BX$114,$F4+1)+IF(AND($E4=1,OX4=0),1000,0)),1000000))</f>
        <v/>
      </c>
      <c r="YF4">
        <f>IF($B4=0,1000000,IF(INDEX('計算A'!$D$60:$II$104,$B4,74)*FR4=1,IF(AND($E4=2,OY4=0),1000000,INDEX('計算A'!BY$110:BY$114,$F4+1)+IF(AND($E4=1,OY4=0),1000,0)),1000000))</f>
        <v/>
      </c>
      <c r="YG4">
        <f>IF($B4=0,1000000,IF(INDEX('計算A'!$D$60:$II$104,$B4,75)*FS4=1,IF(AND($E4=2,OZ4=0),1000000,INDEX('計算A'!BZ$110:BZ$114,$F4+1)+IF(AND($E4=1,OZ4=0),1000,0)),1000000))</f>
        <v/>
      </c>
      <c r="YH4">
        <f>IF($B4=0,1000000,IF(INDEX('計算A'!$D$60:$II$104,$B4,76)*FT4=1,IF(AND($E4=2,PA4=0),1000000,INDEX('計算A'!CA$110:CA$114,$F4+1)+IF(AND($E4=1,PA4=0),1000,0)),1000000))</f>
        <v/>
      </c>
      <c r="YI4">
        <f>IF($B4=0,1000000,IF(INDEX('計算A'!$D$60:$II$104,$B4,77)*FU4=1,IF(AND($E4=2,PB4=0),1000000,INDEX('計算A'!CB$110:CB$114,$F4+1)+IF(AND($E4=1,PB4=0),1000,0)),1000000))</f>
        <v/>
      </c>
      <c r="YJ4">
        <f>IF($B4=0,1000000,IF(INDEX('計算A'!$D$60:$II$104,$B4,78)*FV4=1,IF(AND($E4=2,PC4=0),1000000,INDEX('計算A'!CC$110:CC$114,$F4+1)+IF(AND($E4=1,PC4=0),1000,0)),1000000))</f>
        <v/>
      </c>
      <c r="YK4">
        <f>IF($B4=0,1000000,IF(INDEX('計算A'!$D$60:$II$104,$B4,79)*FW4=1,IF(AND($E4=2,PD4=0),1000000,INDEX('計算A'!CD$110:CD$114,$F4+1)+IF(AND($E4=1,PD4=0),1000,0)),1000000))</f>
        <v/>
      </c>
      <c r="YL4">
        <f>IF($B4=0,1000000,IF(INDEX('計算A'!$D$60:$II$104,$B4,80)*FX4=1,IF(AND($E4=2,PE4=0),1000000,INDEX('計算A'!CE$110:CE$114,$F4+1)+IF(AND($E4=1,PE4=0),1000,0)),1000000))</f>
        <v/>
      </c>
      <c r="YM4">
        <f>IF($B4=0,1000000,IF(INDEX('計算A'!$D$60:$II$104,$B4,81)*FY4=1,IF(AND($E4=2,PF4=0),1000000,INDEX('計算A'!CF$110:CF$114,$F4+1)+IF(AND($E4=1,PF4=0),1000,0)),1000000))</f>
        <v/>
      </c>
      <c r="YN4">
        <f>IF($B4=0,1000000,IF(INDEX('計算A'!$D$60:$II$104,$B4,82)*FZ4=1,IF(AND($E4=2,PG4=0),1000000,INDEX('計算A'!CG$110:CG$114,$F4+1)+IF(AND($E4=1,PG4=0),1000,0)),1000000))</f>
        <v/>
      </c>
      <c r="YO4">
        <f>IF($B4=0,1000000,IF(INDEX('計算A'!$D$60:$II$104,$B4,83)*GA4=1,IF(AND($E4=2,PH4=0),1000000,INDEX('計算A'!CH$110:CH$114,$F4+1)+IF(AND($E4=1,PH4=0),1000,0)),1000000))</f>
        <v/>
      </c>
      <c r="YP4">
        <f>IF($B4=0,1000000,IF(INDEX('計算A'!$D$60:$II$104,$B4,84)*GB4=1,IF(AND($E4=2,PI4=0),1000000,INDEX('計算A'!CI$110:CI$114,$F4+1)+IF(AND($E4=1,PI4=0),1000,0)),1000000))</f>
        <v/>
      </c>
      <c r="YQ4">
        <f>IF($B4=0,1000000,IF(INDEX('計算A'!$D$60:$II$104,$B4,85)*GC4=1,IF(AND($E4=2,PJ4=0),1000000,INDEX('計算A'!CJ$110:CJ$114,$F4+1)+IF(AND($E4=1,PJ4=0),1000,0)),1000000))</f>
        <v/>
      </c>
      <c r="YR4">
        <f>IF($B4=0,1000000,IF(INDEX('計算A'!$D$60:$II$104,$B4,86)*GD4=1,IF(AND($E4=2,PK4=0),1000000,INDEX('計算A'!CK$110:CK$114,$F4+1)+IF(AND($E4=1,PK4=0),1000,0)),1000000))</f>
        <v/>
      </c>
      <c r="YS4">
        <f>IF($B4=0,1000000,IF(INDEX('計算A'!$D$60:$II$104,$B4,87)*GE4=1,IF(AND($E4=2,PL4=0),1000000,INDEX('計算A'!CL$110:CL$114,$F4+1)+IF(AND($E4=1,PL4=0),1000,0)),1000000))</f>
        <v/>
      </c>
      <c r="YT4">
        <f>IF($B4=0,1000000,IF(INDEX('計算A'!$D$60:$II$104,$B4,88)*GF4=1,IF(AND($E4=2,PM4=0),1000000,INDEX('計算A'!CM$110:CM$114,$F4+1)+IF(AND($E4=1,PM4=0),1000,0)),1000000))</f>
        <v/>
      </c>
      <c r="YU4">
        <f>IF($B4=0,1000000,IF(INDEX('計算A'!$D$60:$II$104,$B4,89)*GG4=1,IF(AND($E4=2,PN4=0),1000000,INDEX('計算A'!CN$110:CN$114,$F4+1)+IF(AND($E4=1,PN4=0),1000,0)),1000000))</f>
        <v/>
      </c>
      <c r="YV4">
        <f>IF($B4=0,1000000,IF(INDEX('計算A'!$D$60:$II$104,$B4,90)*GH4=1,IF(AND($E4=2,PO4=0),1000000,INDEX('計算A'!CO$110:CO$114,$F4+1)+IF(AND($E4=1,PO4=0),1000,0)),1000000))</f>
        <v/>
      </c>
      <c r="YW4">
        <f>IF($B4=0,1000000,IF(INDEX('計算A'!$D$60:$II$104,$B4,91)*GI4=1,IF(AND($E4=2,PP4=0),1000000,INDEX('計算A'!CP$110:CP$114,$F4+1)+IF(AND($E4=1,PP4=0),1000,0)),1000000))</f>
        <v/>
      </c>
      <c r="YX4">
        <f>IF($B4=0,1000000,IF(INDEX('計算A'!$D$60:$II$104,$B4,92)*GJ4=1,IF(AND($E4=2,PQ4=0),1000000,INDEX('計算A'!CQ$110:CQ$114,$F4+1)+IF(AND($E4=1,PQ4=0),1000,0)),1000000))</f>
        <v/>
      </c>
      <c r="YY4">
        <f>IF($B4=0,1000000,IF(INDEX('計算A'!$D$60:$II$104,$B4,93)*GK4=1,IF(AND($E4=2,PR4=0),1000000,INDEX('計算A'!CR$110:CR$114,$F4+1)+IF(AND($E4=1,PR4=0),1000,0)),1000000))</f>
        <v/>
      </c>
      <c r="YZ4">
        <f>IF($B4=0,1000000,IF(INDEX('計算A'!$D$60:$II$104,$B4,94)*GL4=1,IF(AND($E4=2,PS4=0),1000000,INDEX('計算A'!CS$110:CS$114,$F4+1)+IF(AND($E4=1,PS4=0),1000,0)),1000000))</f>
        <v/>
      </c>
      <c r="ZA4">
        <f>IF($B4=0,1000000,IF(INDEX('計算A'!$D$60:$II$104,$B4,95)*GM4=1,IF(AND($E4=2,PT4=0),1000000,INDEX('計算A'!CT$110:CT$114,$F4+1)+IF(AND($E4=1,PT4=0),1000,0)),1000000))</f>
        <v/>
      </c>
      <c r="ZB4">
        <f>IF($B4=0,1000000,IF(INDEX('計算A'!$D$60:$II$104,$B4,96)*GN4=1,IF(AND($E4=2,PU4=0),1000000,INDEX('計算A'!CU$110:CU$114,$F4+1)+IF(AND($E4=1,PU4=0),1000,0)),1000000))</f>
        <v/>
      </c>
      <c r="ZC4">
        <f>IF($B4=0,1000000,IF(INDEX('計算A'!$D$60:$II$104,$B4,97)*GO4=1,IF(AND($E4=2,PV4=0),1000000,INDEX('計算A'!CV$110:CV$114,$F4+1)+IF(AND($E4=1,PV4=0),1000,0)),1000000))</f>
        <v/>
      </c>
      <c r="ZD4">
        <f>IF($B4=0,1000000,IF(INDEX('計算A'!$D$60:$II$104,$B4,98)*GP4=1,IF(AND($E4=2,PW4=0),1000000,INDEX('計算A'!CW$110:CW$114,$F4+1)+IF(AND($E4=1,PW4=0),1000,0)),1000000))</f>
        <v/>
      </c>
      <c r="ZE4">
        <f>IF($B4=0,1000000,IF(INDEX('計算A'!$D$60:$II$104,$B4,99)*GQ4=1,IF(AND($E4=2,PX4=0),1000000,INDEX('計算A'!CX$110:CX$114,$F4+1)+IF(AND($E4=1,PX4=0),1000,0)),1000000))</f>
        <v/>
      </c>
      <c r="ZF4">
        <f>IF($B4=0,1000000,IF(INDEX('計算A'!$D$60:$II$104,$B4,100)*GR4=1,IF(AND($E4=2,PY4=0),1000000,INDEX('計算A'!CY$110:CY$114,$F4+1)+IF(AND($E4=1,PY4=0),1000,0)),1000000))</f>
        <v/>
      </c>
      <c r="ZG4">
        <f>IF($B4=0,1000000,IF(INDEX('計算A'!$D$60:$II$104,$B4,101)*GS4=1,IF(AND($E4=2,PZ4=0),1000000,INDEX('計算A'!CZ$110:CZ$114,$F4+1)+IF(AND($E4=1,PZ4=0),1000,0)),1000000))</f>
        <v/>
      </c>
      <c r="ZH4">
        <f>IF($B4=0,1000000,IF(INDEX('計算A'!$D$60:$II$104,$B4,102)*GT4=1,IF(AND($E4=2,QA4=0),1000000,INDEX('計算A'!DA$110:DA$114,$F4+1)+IF(AND($E4=1,QA4=0),1000,0)),1000000))</f>
        <v/>
      </c>
      <c r="ZI4">
        <f>IF($B4=0,1000000,IF(INDEX('計算A'!$D$60:$II$104,$B4,103)*GU4=1,IF(AND($E4=2,QB4=0),1000000,INDEX('計算A'!DB$110:DB$114,$F4+1)+IF(AND($E4=1,QB4=0),1000,0)),1000000))</f>
        <v/>
      </c>
      <c r="ZJ4">
        <f>IF($B4=0,1000000,IF(INDEX('計算A'!$D$60:$II$104,$B4,104)*GV4=1,IF(AND($E4=2,QC4=0),1000000,INDEX('計算A'!DC$110:DC$114,$F4+1)+IF(AND($E4=1,QC4=0),1000,0)),1000000))</f>
        <v/>
      </c>
      <c r="ZK4">
        <f>IF($B4=0,1000000,IF(INDEX('計算A'!$D$60:$II$104,$B4,105)*GW4=1,IF(AND($E4=2,QD4=0),1000000,INDEX('計算A'!DD$110:DD$114,$F4+1)+IF(AND($E4=1,QD4=0),1000,0)),1000000))</f>
        <v/>
      </c>
      <c r="ZL4">
        <f>IF($B4=0,1000000,IF(INDEX('計算A'!$D$60:$II$104,$B4,106)*GX4=1,IF(AND($E4=2,QE4=0),1000000,INDEX('計算A'!DE$110:DE$114,$F4+1)+IF(AND($E4=1,QE4=0),1000,0)),1000000))</f>
        <v/>
      </c>
      <c r="ZM4">
        <f>IF($B4=0,1000000,IF(INDEX('計算A'!$D$60:$II$104,$B4,107)*GY4=1,IF(AND($E4=2,QF4=0),1000000,INDEX('計算A'!DF$110:DF$114,$F4+1)+IF(AND($E4=1,QF4=0),1000,0)),1000000))</f>
        <v/>
      </c>
      <c r="ZN4">
        <f>IF($B4=0,1000000,IF(INDEX('計算A'!$D$60:$II$104,$B4,108)*GZ4=1,IF(AND($E4=2,QG4=0),1000000,INDEX('計算A'!DG$110:DG$114,$F4+1)+IF(AND($E4=1,QG4=0),1000,0)),1000000))</f>
        <v/>
      </c>
      <c r="ZO4">
        <f>IF($B4=0,1000000,IF(INDEX('計算A'!$D$60:$II$104,$B4,109)*HA4=1,IF(AND($E4=2,QH4=0),1000000,INDEX('計算A'!DH$110:DH$114,$F4+1)+IF(AND($E4=1,QH4=0),1000,0)),1000000))</f>
        <v/>
      </c>
      <c r="ZP4">
        <f>IF($B4=0,1000000,IF(INDEX('計算A'!$D$60:$II$104,$B4,110)*HB4=1,IF(AND($E4=2,QI4=0),1000000,INDEX('計算A'!DI$110:DI$114,$F4+1)+IF(AND($E4=1,QI4=0),1000,0)),1000000))</f>
        <v/>
      </c>
      <c r="ZQ4">
        <f>IF($B4=0,1000000,IF(INDEX('計算A'!$D$60:$II$104,$B4,111)*HC4=1,IF(AND($E4=2,QJ4=0),1000000,INDEX('計算A'!DJ$110:DJ$114,$F4+1)+IF(AND($E4=1,QJ4=0),1000,0)),1000000))</f>
        <v/>
      </c>
      <c r="ZR4">
        <f>IF($B4=0,1000000,IF(INDEX('計算A'!$D$60:$II$104,$B4,112)*HD4=1,IF(AND($E4=2,QK4=0),1000000,INDEX('計算A'!DK$110:DK$114,$F4+1)+IF(AND($E4=1,QK4=0),1000,0)),1000000))</f>
        <v/>
      </c>
      <c r="ZS4">
        <f>IF($B4=0,1000000,IF(INDEX('計算A'!$D$60:$II$104,$B4,113)*HE4=1,IF(AND($E4=2,QL4=0),1000000,INDEX('計算A'!DL$110:DL$114,$F4+1)+IF(AND($E4=1,QL4=0),1000,0)),1000000))</f>
        <v/>
      </c>
      <c r="ZT4">
        <f>IF($B4=0,1000000,IF(INDEX('計算A'!$D$60:$II$104,$B4,114)*HF4=1,IF(AND($E4=2,QM4=0),1000000,INDEX('計算A'!DM$110:DM$114,$F4+1)+IF(AND($E4=1,QM4=0),1000,0)),1000000))</f>
        <v/>
      </c>
      <c r="ZU4">
        <f>IF($B4=0,1000000,IF(INDEX('計算A'!$D$60:$II$104,$B4,115)*HG4=1,IF(AND($E4=2,QN4=0),1000000,INDEX('計算A'!DN$110:DN$114,$F4+1)+IF(AND($E4=1,QN4=0),1000,0)),1000000))</f>
        <v/>
      </c>
      <c r="ZV4">
        <f>IF($B4=0,1000000,IF(INDEX('計算A'!$D$60:$II$104,$B4,116)*HH4=1,IF(AND($E4=2,QO4=0),1000000,INDEX('計算A'!DO$110:DO$114,$F4+1)+IF(AND($E4=1,QO4=0),1000,0)),1000000))</f>
        <v/>
      </c>
      <c r="ZW4">
        <f>IF($B4=0,1000000,IF(INDEX('計算A'!$D$60:$II$104,$B4,117)*HI4=1,IF(AND($E4=2,QP4=0),1000000,INDEX('計算A'!DP$110:DP$114,$F4+1)+IF(AND($E4=1,QP4=0),1000,0)),1000000))</f>
        <v/>
      </c>
      <c r="ZX4">
        <f>IF($B4=0,1000000,IF(INDEX('計算A'!$D$60:$II$104,$B4,118)*HJ4=1,IF(AND($E4=2,QQ4=0),1000000,INDEX('計算A'!DQ$110:DQ$114,$F4+1)+IF(AND($E4=1,QQ4=0),1000,0)),1000000))</f>
        <v/>
      </c>
      <c r="ZY4">
        <f>IF($B4=0,1000000,IF(INDEX('計算A'!$D$60:$II$104,$B4,119)*HK4=1,IF(AND($E4=2,QR4=0),1000000,INDEX('計算A'!DR$110:DR$114,$F4+1)+IF(AND($E4=1,QR4=0),1000,0)),1000000))</f>
        <v/>
      </c>
      <c r="ZZ4">
        <f>IF($B4=0,1000000,IF(INDEX('計算A'!$D$60:$II$104,$B4,120)*HL4=1,IF(AND($E4=2,QS4=0),1000000,INDEX('計算A'!DS$110:DS$114,$F4+1)+IF(AND($E4=1,QS4=0),1000,0)),1000000))</f>
        <v/>
      </c>
      <c r="AAA4">
        <f>IF($B4=0,1000000,IF(INDEX('計算A'!$D$60:$II$104,$B4,121)*HM4=1,IF(AND($E4=2,QT4=0),1000000,INDEX('計算A'!DT$110:DT$114,$F4+1)+IF(AND($E4=1,QT4=0),1000,0)),1000000))</f>
        <v/>
      </c>
      <c r="AAB4">
        <f>IF($B4=0,1000000,IF(INDEX('計算A'!$D$60:$II$104,$B4,122)*HN4=1,IF(AND($E4=2,QU4=0),1000000,INDEX('計算A'!DU$110:DU$114,$F4+1)+IF(AND($E4=1,QU4=0),1000,0)),1000000))</f>
        <v/>
      </c>
      <c r="AAC4">
        <f>IF($B4=0,1000000,IF(INDEX('計算A'!$D$60:$II$104,$B4,123)*HO4=1,IF(AND($E4=2,QV4=0),1000000,INDEX('計算A'!DV$110:DV$114,$F4+1)+IF(AND($E4=1,QV4=0),1000,0)),1000000))</f>
        <v/>
      </c>
      <c r="AAD4">
        <f>IF($B4=0,1000000,IF(INDEX('計算A'!$D$60:$II$104,$B4,124)*HP4=1,IF(AND($E4=2,QW4=0),1000000,INDEX('計算A'!DW$110:DW$114,$F4+1)+IF(AND($E4=1,QW4=0),1000,0)),1000000))</f>
        <v/>
      </c>
      <c r="AAE4">
        <f>IF($B4=0,1000000,IF(INDEX('計算A'!$D$60:$II$104,$B4,125)*HQ4=1,IF(AND($E4=2,QX4=0),1000000,INDEX('計算A'!DX$110:DX$114,$F4+1)+IF(AND($E4=1,QX4=0),1000,0)),1000000))</f>
        <v/>
      </c>
      <c r="AAF4">
        <f>IF($B4=0,1000000,IF(INDEX('計算A'!$D$60:$II$104,$B4,126)*HR4=1,IF(AND($E4=2,QY4=0),1000000,INDEX('計算A'!DY$110:DY$114,$F4+1)+IF(AND($E4=1,QY4=0),1000,0)),1000000))</f>
        <v/>
      </c>
      <c r="AAG4">
        <f>IF($B4=0,1000000,IF(INDEX('計算A'!$D$60:$II$104,$B4,127)*HS4=1,IF(AND($E4=2,QZ4=0),1000000,INDEX('計算A'!DZ$110:DZ$114,$F4+1)+IF(AND($E4=1,QZ4=0),1000,0)),1000000))</f>
        <v/>
      </c>
      <c r="AAH4">
        <f>IF($B4=0,1000000,IF(INDEX('計算A'!$D$60:$II$104,$B4,128)*HT4=1,IF(AND($E4=2,RA4=0),1000000,INDEX('計算A'!EA$110:EA$114,$F4+1)+IF(AND($E4=1,RA4=0),1000,0)),1000000))</f>
        <v/>
      </c>
      <c r="AAI4">
        <f>IF($B4=0,1000000,IF(INDEX('計算A'!$D$60:$II$104,$B4,129)*HU4=1,IF(AND($E4=2,RB4=0),1000000,INDEX('計算A'!EB$110:EB$114,$F4+1)+IF(AND($E4=1,RB4=0),1000,0)),1000000))</f>
        <v/>
      </c>
      <c r="AAJ4">
        <f>IF($B4=0,1000000,IF(INDEX('計算A'!$D$60:$II$104,$B4,130)*HV4=1,IF(AND($E4=2,RC4=0),1000000,INDEX('計算A'!EC$110:EC$114,$F4+1)+IF(AND($E4=1,RC4=0),1000,0)),1000000))</f>
        <v/>
      </c>
      <c r="AAK4">
        <f>IF($B4=0,1000000,IF(INDEX('計算A'!$D$60:$II$104,$B4,131)*HW4=1,IF(AND($E4=2,RD4=0),1000000,INDEX('計算A'!ED$110:ED$114,$F4+1)+IF(AND($E4=1,RD4=0),1000,0)),1000000))</f>
        <v/>
      </c>
      <c r="AAL4">
        <f>IF($B4=0,1000000,IF(INDEX('計算A'!$D$60:$II$104,$B4,132)*HX4=1,IF(AND($E4=2,RE4=0),1000000,INDEX('計算A'!EE$110:EE$114,$F4+1)+IF(AND($E4=1,RE4=0),1000,0)),1000000))</f>
        <v/>
      </c>
      <c r="AAM4">
        <f>IF($B4=0,1000000,IF(INDEX('計算A'!$D$60:$II$104,$B4,133)*HY4=1,IF(AND($E4=2,RF4=0),1000000,INDEX('計算A'!EF$110:EF$114,$F4+1)+IF(AND($E4=1,RF4=0),1000,0)),1000000))</f>
        <v/>
      </c>
      <c r="AAN4">
        <f>IF($B4=0,1000000,IF(INDEX('計算A'!$D$60:$II$104,$B4,134)*HZ4=1,IF(AND($E4=2,RG4=0),1000000,INDEX('計算A'!EG$110:EG$114,$F4+1)+IF(AND($E4=1,RG4=0),1000,0)),1000000))</f>
        <v/>
      </c>
      <c r="AAO4">
        <f>IF($B4=0,1000000,IF(INDEX('計算A'!$D$60:$II$104,$B4,135)*IA4=1,IF(AND($E4=2,RH4=0),1000000,INDEX('計算A'!EH$110:EH$114,$F4+1)+IF(AND($E4=1,RH4=0),1000,0)),1000000))</f>
        <v/>
      </c>
      <c r="AAP4">
        <f>IF($B4=0,1000000,IF(INDEX('計算A'!$D$60:$II$104,$B4,136)*IB4=1,IF(AND($E4=2,RI4=0),1000000,INDEX('計算A'!EI$110:EI$114,$F4+1)+IF(AND($E4=1,RI4=0),1000,0)),1000000))</f>
        <v/>
      </c>
      <c r="AAQ4">
        <f>IF($B4=0,1000000,IF(INDEX('計算A'!$D$60:$II$104,$B4,137)*IC4=1,IF(AND($E4=2,RJ4=0),1000000,INDEX('計算A'!EJ$110:EJ$114,$F4+1)+IF(AND($E4=1,RJ4=0),1000,0)),1000000))</f>
        <v/>
      </c>
      <c r="AAR4">
        <f>IF($B4=0,1000000,IF(INDEX('計算A'!$D$60:$II$104,$B4,138)*ID4=1,IF(AND($E4=2,RK4=0),1000000,INDEX('計算A'!EK$110:EK$114,$F4+1)+IF(AND($E4=1,RK4=0),1000,0)),1000000))</f>
        <v/>
      </c>
      <c r="AAS4">
        <f>IF($B4=0,1000000,IF(INDEX('計算A'!$D$60:$II$104,$B4,139)*IE4=1,IF(AND($E4=2,RL4=0),1000000,INDEX('計算A'!EL$110:EL$114,$F4+1)+IF(AND($E4=1,RL4=0),1000,0)),1000000))</f>
        <v/>
      </c>
      <c r="AAT4">
        <f>IF($B4=0,1000000,IF(INDEX('計算A'!$D$60:$II$104,$B4,140)*IF4=1,IF(AND($E4=2,RM4=0),1000000,INDEX('計算A'!EM$110:EM$114,$F4+1)+IF(AND($E4=1,RM4=0),1000,0)),1000000))</f>
        <v/>
      </c>
      <c r="AAU4">
        <f>IF($B4=0,1000000,IF(INDEX('計算A'!$D$60:$II$104,$B4,141)*IG4=1,IF(AND($E4=2,RN4=0),1000000,INDEX('計算A'!EN$110:EN$114,$F4+1)+IF(AND($E4=1,RN4=0),1000,0)),1000000))</f>
        <v/>
      </c>
      <c r="AAV4">
        <f>IF($B4=0,1000000,IF(INDEX('計算A'!$D$60:$II$104,$B4,142)*IH4=1,IF(AND($E4=2,RO4=0),1000000,INDEX('計算A'!EO$110:EO$114,$F4+1)+IF(AND($E4=1,RO4=0),1000,0)),1000000))</f>
        <v/>
      </c>
      <c r="AAW4">
        <f>IF($B4=0,1000000,IF(INDEX('計算A'!$D$60:$II$104,$B4,143)*II4=1,IF(AND($E4=2,RP4=0),1000000,INDEX('計算A'!EP$110:EP$114,$F4+1)+IF(AND($E4=1,RP4=0),1000,0)),1000000))</f>
        <v/>
      </c>
      <c r="AAX4">
        <f>IF($B4=0,1000000,IF(INDEX('計算A'!$D$60:$II$104,$B4,144)*IJ4=1,IF(AND($E4=2,RQ4=0),1000000,INDEX('計算A'!EQ$110:EQ$114,$F4+1)+IF(AND($E4=1,RQ4=0),1000,0)),1000000))</f>
        <v/>
      </c>
      <c r="AAY4">
        <f>IF($B4=0,1000000,IF(INDEX('計算A'!$D$60:$II$104,$B4,145)*IK4=1,IF(AND($E4=2,RR4=0),1000000,INDEX('計算A'!ER$110:ER$114,$F4+1)+IF(AND($E4=1,RR4=0),1000,0)),1000000))</f>
        <v/>
      </c>
      <c r="AAZ4">
        <f>IF($B4=0,1000000,IF(INDEX('計算A'!$D$60:$II$104,$B4,146)*IL4=1,IF(AND($E4=2,RS4=0),1000000,INDEX('計算A'!ES$110:ES$114,$F4+1)+IF(AND($E4=1,RS4=0),1000,0)),1000000))</f>
        <v/>
      </c>
      <c r="ABA4">
        <f>IF($B4=0,1000000,IF(INDEX('計算A'!$D$60:$II$104,$B4,147)*IM4=1,IF(AND($E4=2,RT4=0),1000000,INDEX('計算A'!ET$110:ET$114,$F4+1)+IF(AND($E4=1,RT4=0),1000,0)),1000000))</f>
        <v/>
      </c>
      <c r="ABB4">
        <f>IF($B4=0,1000000,IF(INDEX('計算A'!$D$60:$II$104,$B4,148)*IN4=1,IF(AND($E4=2,RU4=0),1000000,INDEX('計算A'!EU$110:EU$114,$F4+1)+IF(AND($E4=1,RU4=0),1000,0)),1000000))</f>
        <v/>
      </c>
      <c r="ABC4">
        <f>IF($B4=0,1000000,IF(INDEX('計算A'!$D$60:$II$104,$B4,149)*IO4=1,IF(AND($E4=2,RV4=0),1000000,INDEX('計算A'!EV$110:EV$114,$F4+1)+IF(AND($E4=1,RV4=0),1000,0)),1000000))</f>
        <v/>
      </c>
      <c r="ABD4">
        <f>IF($B4=0,1000000,IF(INDEX('計算A'!$D$60:$II$104,$B4,150)*IP4=1,IF(AND($E4=2,RW4=0),1000000,INDEX('計算A'!EW$110:EW$114,$F4+1)+IF(AND($E4=1,RW4=0),1000,0)),1000000))</f>
        <v/>
      </c>
      <c r="ABE4">
        <f>IF($B4=0,1000000,IF(INDEX('計算A'!$D$60:$II$104,$B4,151)*IQ4=1,IF(AND($E4=2,RX4=0),1000000,INDEX('計算A'!EX$110:EX$114,$F4+1)+IF(AND($E4=1,RX4=0),1000,0)),1000000))</f>
        <v/>
      </c>
      <c r="ABF4">
        <f>IF($B4=0,1000000,IF(INDEX('計算A'!$D$60:$II$104,$B4,152)*IR4=1,IF(AND($E4=2,RY4=0),1000000,INDEX('計算A'!EY$110:EY$114,$F4+1)+IF(AND($E4=1,RY4=0),1000,0)),1000000))</f>
        <v/>
      </c>
      <c r="ABG4">
        <f>IF($B4=0,1000000,IF(INDEX('計算A'!$D$60:$II$104,$B4,153)*IS4=1,IF(AND($E4=2,RZ4=0),1000000,INDEX('計算A'!EZ$110:EZ$114,$F4+1)+IF(AND($E4=1,RZ4=0),1000,0)),1000000))</f>
        <v/>
      </c>
      <c r="ABH4">
        <f>IF($B4=0,1000000,IF(INDEX('計算A'!$D$60:$II$104,$B4,154)*IT4=1,IF(AND($E4=2,SA4=0),1000000,INDEX('計算A'!FA$110:FA$114,$F4+1)+IF(AND($E4=1,SA4=0),1000,0)),1000000))</f>
        <v/>
      </c>
      <c r="ABI4">
        <f>IF($B4=0,1000000,IF(INDEX('計算A'!$D$60:$II$104,$B4,155)*IU4=1,IF(AND($E4=2,SB4=0),1000000,INDEX('計算A'!FB$110:FB$114,$F4+1)+IF(AND($E4=1,SB4=0),1000,0)),1000000))</f>
        <v/>
      </c>
      <c r="ABJ4">
        <f>IF($B4=0,1000000,IF(INDEX('計算A'!$D$60:$II$104,$B4,156)*IV4=1,IF(AND($E4=2,SC4=0),1000000,INDEX('計算A'!FC$110:FC$114,$F4+1)+IF(AND($E4=1,SC4=0),1000,0)),1000000))</f>
        <v/>
      </c>
      <c r="ABK4">
        <f>IF($B4=0,1000000,IF(INDEX('計算A'!$D$60:$II$104,$B4,157)*IW4=1,IF(AND($E4=2,SD4=0),1000000,INDEX('計算A'!FD$110:FD$114,$F4+1)+IF(AND($E4=1,SD4=0),1000,0)),1000000))</f>
        <v/>
      </c>
      <c r="ABL4">
        <f>IF($B4=0,1000000,IF(INDEX('計算A'!$D$60:$II$104,$B4,158)*IX4=1,IF(AND($E4=2,SE4=0),1000000,INDEX('計算A'!FE$110:FE$114,$F4+1)+IF(AND($E4=1,SE4=0),1000,0)),1000000))</f>
        <v/>
      </c>
      <c r="ABM4">
        <f>IF($B4=0,1000000,IF(INDEX('計算A'!$D$60:$II$104,$B4,159)*IY4=1,IF(AND($E4=2,SF4=0),1000000,INDEX('計算A'!FF$110:FF$114,$F4+1)+IF(AND($E4=1,SF4=0),1000,0)),1000000))</f>
        <v/>
      </c>
      <c r="ABN4">
        <f>IF($B4=0,1000000,IF(INDEX('計算A'!$D$60:$II$104,$B4,160)*IZ4=1,IF(AND($E4=2,SG4=0),1000000,INDEX('計算A'!FG$110:FG$114,$F4+1)+IF(AND($E4=1,SG4=0),1000,0)),1000000))</f>
        <v/>
      </c>
      <c r="ABO4">
        <f>IF($B4=0,1000000,IF(INDEX('計算A'!$D$60:$II$104,$B4,161)*JA4=1,IF(AND($E4=2,SH4=0),1000000,INDEX('計算A'!FH$110:FH$114,$F4+1)+IF(AND($E4=1,SH4=0),1000,0)),1000000))</f>
        <v/>
      </c>
      <c r="ABP4">
        <f>IF($B4=0,1000000,IF(INDEX('計算A'!$D$60:$II$104,$B4,162)*JB4=1,IF(AND($E4=2,SI4=0),1000000,INDEX('計算A'!FI$110:FI$114,$F4+1)+IF(AND($E4=1,SI4=0),1000,0)),1000000))</f>
        <v/>
      </c>
      <c r="ABQ4">
        <f>IF($B4=0,1000000,IF(INDEX('計算A'!$D$60:$II$104,$B4,163)*JC4=1,IF(AND($E4=2,SJ4=0),1000000,INDEX('計算A'!FJ$110:FJ$114,$F4+1)+IF(AND($E4=1,SJ4=0),1000,0)),1000000))</f>
        <v/>
      </c>
      <c r="ABR4">
        <f>IF($B4=0,1000000,IF(INDEX('計算A'!$D$60:$II$104,$B4,164)*JD4=1,IF(AND($E4=2,SK4=0),1000000,INDEX('計算A'!FK$110:FK$114,$F4+1)+IF(AND($E4=1,SK4=0),1000,0)),1000000))</f>
        <v/>
      </c>
      <c r="ABS4">
        <f>IF($B4=0,1000000,IF(INDEX('計算A'!$D$60:$II$104,$B4,165)*JE4=1,IF(AND($E4=2,SL4=0),1000000,INDEX('計算A'!FL$110:FL$114,$F4+1)+IF(AND($E4=1,SL4=0),1000,0)),1000000))</f>
        <v/>
      </c>
      <c r="ABT4">
        <f>IF($B4=0,1000000,IF(INDEX('計算A'!$D$60:$II$104,$B4,166)*JF4=1,IF(AND($E4=2,SM4=0),1000000,INDEX('計算A'!FM$110:FM$114,$F4+1)+IF(AND($E4=1,SM4=0),1000,0)),1000000))</f>
        <v/>
      </c>
      <c r="ABU4">
        <f>IF($B4=0,1000000,IF(INDEX('計算A'!$D$60:$II$104,$B4,167)*JG4=1,IF(AND($E4=2,SN4=0),1000000,INDEX('計算A'!FN$110:FN$114,$F4+1)+IF(AND($E4=1,SN4=0),1000,0)),1000000))</f>
        <v/>
      </c>
      <c r="ABV4">
        <f>IF($B4=0,1000000,IF(INDEX('計算A'!$D$60:$II$104,$B4,168)*JH4=1,IF(AND($E4=2,SO4=0),1000000,INDEX('計算A'!FO$110:FO$114,$F4+1)+IF(AND($E4=1,SO4=0),1000,0)),1000000))</f>
        <v/>
      </c>
      <c r="ABW4">
        <f>IF($B4=0,1000000,IF(INDEX('計算A'!$D$60:$II$104,$B4,169)*JI4=1,IF(AND($E4=2,SP4=0),1000000,INDEX('計算A'!FP$110:FP$114,$F4+1)+IF(AND($E4=1,SP4=0),1000,0)),1000000))</f>
        <v/>
      </c>
      <c r="ABX4">
        <f>IF($B4=0,1000000,IF(INDEX('計算A'!$D$60:$II$104,$B4,170)*JJ4=1,IF(AND($E4=2,SQ4=0),1000000,INDEX('計算A'!FQ$110:FQ$114,$F4+1)+IF(AND($E4=1,SQ4=0),1000,0)),1000000))</f>
        <v/>
      </c>
      <c r="ABY4">
        <f>IF($B4=0,1000000,IF(INDEX('計算A'!$D$60:$II$104,$B4,171)*JK4=1,IF(AND($E4=2,SR4=0),1000000,INDEX('計算A'!FR$110:FR$114,$F4+1)+IF(AND($E4=1,SR4=0),1000,0)),1000000))</f>
        <v/>
      </c>
      <c r="ABZ4">
        <f>IF($B4=0,1000000,IF(INDEX('計算A'!$D$60:$II$104,$B4,172)*JL4=1,IF(AND($E4=2,SS4=0),1000000,INDEX('計算A'!FS$110:FS$114,$F4+1)+IF(AND($E4=1,SS4=0),1000,0)),1000000))</f>
        <v/>
      </c>
      <c r="ACA4">
        <f>IF($B4=0,1000000,IF(INDEX('計算A'!$D$60:$II$104,$B4,173)*JM4=1,IF(AND($E4=2,ST4=0),1000000,INDEX('計算A'!FT$110:FT$114,$F4+1)+IF(AND($E4=1,ST4=0),1000,0)),1000000))</f>
        <v/>
      </c>
      <c r="ACB4">
        <f>IF($B4=0,1000000,IF(INDEX('計算A'!$D$60:$II$104,$B4,174)*JN4=1,IF(AND($E4=2,SU4=0),1000000,INDEX('計算A'!FU$110:FU$114,$F4+1)+IF(AND($E4=1,SU4=0),1000,0)),1000000))</f>
        <v/>
      </c>
      <c r="ACC4">
        <f>IF($B4=0,1000000,IF(INDEX('計算A'!$D$60:$II$104,$B4,175)*JO4=1,IF(AND($E4=2,SV4=0),1000000,INDEX('計算A'!FV$110:FV$114,$F4+1)+IF(AND($E4=1,SV4=0),1000,0)),1000000))</f>
        <v/>
      </c>
      <c r="ACD4">
        <f>IF($B4=0,1000000,IF(INDEX('計算A'!$D$60:$II$104,$B4,176)*JP4=1,IF(AND($E4=2,SW4=0),1000000,INDEX('計算A'!FW$110:FW$114,$F4+1)+IF(AND($E4=1,SW4=0),1000,0)),1000000))</f>
        <v/>
      </c>
      <c r="ACE4">
        <f>IF($B4=0,1000000,IF(INDEX('計算A'!$D$60:$II$104,$B4,177)*JQ4=1,IF(AND($E4=2,SX4=0),1000000,INDEX('計算A'!FX$110:FX$114,$F4+1)+IF(AND($E4=1,SX4=0),1000,0)),1000000))</f>
        <v/>
      </c>
      <c r="ACF4">
        <f>IF($B4=0,1000000,IF(INDEX('計算A'!$D$60:$II$104,$B4,178)*JR4=1,IF(AND($E4=2,SY4=0),1000000,INDEX('計算A'!FY$110:FY$114,$F4+1)+IF(AND($E4=1,SY4=0),1000,0)),1000000))</f>
        <v/>
      </c>
      <c r="ACG4">
        <f>IF($B4=0,1000000,IF(INDEX('計算A'!$D$60:$II$104,$B4,179)*JS4=1,IF(AND($E4=2,SZ4=0),1000000,INDEX('計算A'!FZ$110:FZ$114,$F4+1)+IF(AND($E4=1,SZ4=0),1000,0)),1000000))</f>
        <v/>
      </c>
      <c r="ACH4">
        <f>IF($B4=0,1000000,IF(INDEX('計算A'!$D$60:$II$104,$B4,180)*JT4=1,IF(AND($E4=2,TA4=0),1000000,INDEX('計算A'!GA$110:GA$114,$F4+1)+IF(AND($E4=1,TA4=0),1000,0)),1000000))</f>
        <v/>
      </c>
      <c r="ACI4">
        <f>IF($B4=0,1000000,IF(INDEX('計算A'!$D$60:$II$104,$B4,181)*JU4=1,IF(AND($E4=2,TB4=0),1000000,INDEX('計算A'!GB$110:GB$114,$F4+1)+IF(AND($E4=1,TB4=0),1000,0)),1000000))</f>
        <v/>
      </c>
      <c r="ACJ4">
        <f>IF($B4=0,1000000,IF(INDEX('計算A'!$D$60:$II$104,$B4,182)*JV4=1,IF(AND($E4=2,TC4=0),1000000,INDEX('計算A'!GC$110:GC$114,$F4+1)+IF(AND($E4=1,TC4=0),1000,0)),1000000))</f>
        <v/>
      </c>
      <c r="ACK4">
        <f>IF($B4=0,1000000,IF(INDEX('計算A'!$D$60:$II$104,$B4,183)*JW4=1,IF(AND($E4=2,TD4=0),1000000,INDEX('計算A'!GD$110:GD$114,$F4+1)+IF(AND($E4=1,TD4=0),1000,0)),1000000))</f>
        <v/>
      </c>
      <c r="ACL4">
        <f>IF($B4=0,1000000,IF(INDEX('計算A'!$D$60:$II$104,$B4,184)*JX4=1,IF(AND($E4=2,TE4=0),1000000,INDEX('計算A'!GE$110:GE$114,$F4+1)+IF(AND($E4=1,TE4=0),1000,0)),1000000))</f>
        <v/>
      </c>
      <c r="ACM4">
        <f>IF($B4=0,1000000,IF(INDEX('計算A'!$D$60:$II$104,$B4,185)*JY4=1,IF(AND($E4=2,TF4=0),1000000,INDEX('計算A'!GF$110:GF$114,$F4+1)+IF(AND($E4=1,TF4=0),1000,0)),1000000))</f>
        <v/>
      </c>
      <c r="ACN4">
        <f>IF($B4=0,1000000,IF(INDEX('計算A'!$D$60:$II$104,$B4,186)*JZ4=1,IF(AND($E4=2,TG4=0),1000000,INDEX('計算A'!GG$110:GG$114,$F4+1)+IF(AND($E4=1,TG4=0),1000,0)),1000000))</f>
        <v/>
      </c>
      <c r="ACO4">
        <f>IF($B4=0,1000000,IF(INDEX('計算A'!$D$60:$II$104,$B4,187)*KA4=1,IF(AND($E4=2,TH4=0),1000000,INDEX('計算A'!GH$110:GH$114,$F4+1)+IF(AND($E4=1,TH4=0),1000,0)),1000000))</f>
        <v/>
      </c>
      <c r="ACP4">
        <f>IF($B4=0,1000000,IF(INDEX('計算A'!$D$60:$II$104,$B4,188)*KB4=1,IF(AND($E4=2,TI4=0),1000000,INDEX('計算A'!GI$110:GI$114,$F4+1)+IF(AND($E4=1,TI4=0),1000,0)),1000000))</f>
        <v/>
      </c>
      <c r="ACQ4">
        <f>IF($B4=0,1000000,IF(INDEX('計算A'!$D$60:$II$104,$B4,189)*KC4=1,IF(AND($E4=2,TJ4=0),1000000,INDEX('計算A'!GJ$110:GJ$114,$F4+1)+IF(AND($E4=1,TJ4=0),1000,0)),1000000))</f>
        <v/>
      </c>
      <c r="ACR4">
        <f>IF($B4=0,1000000,IF(INDEX('計算A'!$D$60:$II$104,$B4,190)*KD4=1,IF(AND($E4=2,TK4=0),1000000,INDEX('計算A'!GK$110:GK$114,$F4+1)+IF(AND($E4=1,TK4=0),1000,0)),1000000))</f>
        <v/>
      </c>
      <c r="ACS4">
        <f>IF($B4=0,1000000,IF(INDEX('計算A'!$D$60:$II$104,$B4,191)*KE4=1,IF(AND($E4=2,TL4=0),1000000,INDEX('計算A'!GL$110:GL$114,$F4+1)+IF(AND($E4=1,TL4=0),1000,0)),1000000))</f>
        <v/>
      </c>
      <c r="ACT4">
        <f>IF($B4=0,1000000,IF(INDEX('計算A'!$D$60:$II$104,$B4,192)*KF4=1,IF(AND($E4=2,TM4=0),1000000,INDEX('計算A'!GM$110:GM$114,$F4+1)+IF(AND($E4=1,TM4=0),1000,0)),1000000))</f>
        <v/>
      </c>
      <c r="ACU4">
        <f>IF($B4=0,1000000,IF(INDEX('計算A'!$D$60:$II$104,$B4,193)*KG4=1,IF(AND($E4=2,TN4=0),1000000,INDEX('計算A'!GN$110:GN$114,$F4+1)+IF(AND($E4=1,TN4=0),1000,0)),1000000))</f>
        <v/>
      </c>
      <c r="ACV4">
        <f>IF($B4=0,1000000,IF(INDEX('計算A'!$D$60:$II$104,$B4,194)*KH4=1,IF(AND($E4=2,TO4=0),1000000,INDEX('計算A'!GO$110:GO$114,$F4+1)+IF(AND($E4=1,TO4=0),1000,0)),1000000))</f>
        <v/>
      </c>
      <c r="ACW4">
        <f>IF($B4=0,1000000,IF(INDEX('計算A'!$D$60:$II$104,$B4,195)*KI4=1,IF(AND($E4=2,TP4=0),1000000,INDEX('計算A'!GP$110:GP$114,$F4+1)+IF(AND($E4=1,TP4=0),1000,0)),1000000))</f>
        <v/>
      </c>
      <c r="ACX4">
        <f>IF($B4=0,1000000,IF(INDEX('計算A'!$D$60:$II$104,$B4,196)*KJ4=1,IF(AND($E4=2,TQ4=0),1000000,INDEX('計算A'!GQ$110:GQ$114,$F4+1)+IF(AND($E4=1,TQ4=0),1000,0)),1000000))</f>
        <v/>
      </c>
      <c r="ACY4">
        <f>IF($B4=0,1000000,IF(INDEX('計算A'!$D$60:$II$104,$B4,197)*KK4=1,IF(AND($E4=2,TR4=0),1000000,INDEX('計算A'!GR$110:GR$114,$F4+1)+IF(AND($E4=1,TR4=0),1000,0)),1000000))</f>
        <v/>
      </c>
      <c r="ACZ4">
        <f>IF($B4=0,1000000,IF(INDEX('計算A'!$D$60:$II$104,$B4,198)*KL4=1,IF(AND($E4=2,TS4=0),1000000,INDEX('計算A'!GS$110:GS$114,$F4+1)+IF(AND($E4=1,TS4=0),1000,0)),1000000))</f>
        <v/>
      </c>
      <c r="ADA4">
        <f>IF($B4=0,1000000,IF(INDEX('計算A'!$D$60:$II$104,$B4,199)*KM4=1,IF(AND($E4=2,TT4=0),1000000,INDEX('計算A'!GT$110:GT$114,$F4+1)+IF(AND($E4=1,TT4=0),1000,0)),1000000))</f>
        <v/>
      </c>
      <c r="ADB4">
        <f>IF($B4=0,1000000,IF(INDEX('計算A'!$D$60:$II$104,$B4,200)*KN4=1,IF(AND($E4=2,TU4=0),1000000,INDEX('計算A'!GU$110:GU$114,$F4+1)+IF(AND($E4=1,TU4=0),1000,0)),1000000))</f>
        <v/>
      </c>
      <c r="ADC4">
        <f>IF($B4=0,1000000,IF(INDEX('計算A'!$D$60:$II$104,$B4,201)*KO4=1,IF(AND($E4=2,TV4=0),1000000,INDEX('計算A'!GV$110:GV$114,$F4+1)+IF(AND($E4=1,TV4=0),1000,0)),1000000))</f>
        <v/>
      </c>
      <c r="ADD4">
        <f>IF($B4=0,1000000,IF(INDEX('計算A'!$D$60:$II$104,$B4,202)*KP4=1,IF(AND($E4=2,TW4=0),1000000,INDEX('計算A'!GW$110:GW$114,$F4+1)+IF(AND($E4=1,TW4=0),1000,0)),1000000))</f>
        <v/>
      </c>
      <c r="ADE4">
        <f>IF($B4=0,1000000,IF(INDEX('計算A'!$D$60:$II$104,$B4,203)*KQ4=1,IF(AND($E4=2,TX4=0),1000000,INDEX('計算A'!GX$110:GX$114,$F4+1)+IF(AND($E4=1,TX4=0),1000,0)),1000000))</f>
        <v/>
      </c>
      <c r="ADF4">
        <f>IF($B4=0,1000000,IF(INDEX('計算A'!$D$60:$II$104,$B4,204)*KR4=1,IF(AND($E4=2,TY4=0),1000000,INDEX('計算A'!GY$110:GY$114,$F4+1)+IF(AND($E4=1,TY4=0),1000,0)),1000000))</f>
        <v/>
      </c>
      <c r="ADG4">
        <f>IF($B4=0,1000000,IF(INDEX('計算A'!$D$60:$II$104,$B4,205)*KS4=1,IF(AND($E4=2,TZ4=0),1000000,INDEX('計算A'!GZ$110:GZ$114,$F4+1)+IF(AND($E4=1,TZ4=0),1000,0)),1000000))</f>
        <v/>
      </c>
      <c r="ADH4">
        <f>IF($B4=0,1000000,IF(INDEX('計算A'!$D$60:$II$104,$B4,206)*KT4=1,IF(AND($E4=2,UA4=0),1000000,INDEX('計算A'!HA$110:HA$114,$F4+1)+IF(AND($E4=1,UA4=0),1000,0)),1000000))</f>
        <v/>
      </c>
      <c r="ADI4">
        <f>IF($B4=0,1000000,IF(INDEX('計算A'!$D$60:$II$104,$B4,207)*KU4=1,IF(AND($E4=2,UB4=0),1000000,INDEX('計算A'!HB$110:HB$114,$F4+1)+IF(AND($E4=1,UB4=0),1000,0)),1000000))</f>
        <v/>
      </c>
      <c r="ADJ4">
        <f>IF($B4=0,1000000,IF(INDEX('計算A'!$D$60:$II$104,$B4,208)*KV4=1,IF(AND($E4=2,UC4=0),1000000,INDEX('計算A'!HC$110:HC$114,$F4+1)+IF(AND($E4=1,UC4=0),1000,0)),1000000))</f>
        <v/>
      </c>
      <c r="ADK4">
        <f>IF($B4=0,1000000,IF(INDEX('計算A'!$D$60:$II$104,$B4,209)*KW4=1,IF(AND($E4=2,UD4=0),1000000,INDEX('計算A'!HD$110:HD$114,$F4+1)+IF(AND($E4=1,UD4=0),1000,0)),1000000))</f>
        <v/>
      </c>
      <c r="ADL4">
        <f>IF($B4=0,1000000,IF(INDEX('計算A'!$D$60:$II$104,$B4,210)*KX4=1,IF(AND($E4=2,UE4=0),1000000,INDEX('計算A'!HE$110:HE$114,$F4+1)+IF(AND($E4=1,UE4=0),1000,0)),1000000))</f>
        <v/>
      </c>
      <c r="ADM4">
        <f>IF($B4=0,1000000,IF(INDEX('計算A'!$D$60:$II$104,$B4,211)*KY4=1,IF(AND($E4=2,UF4=0),1000000,INDEX('計算A'!HF$110:HF$114,$F4+1)+IF(AND($E4=1,UF4=0),1000,0)),1000000))</f>
        <v/>
      </c>
      <c r="ADN4">
        <f>IF($B4=0,1000000,IF(INDEX('計算A'!$D$60:$II$104,$B4,212)*KZ4=1,IF(AND($E4=2,UG4=0),1000000,INDEX('計算A'!HG$110:HG$114,$F4+1)+IF(AND($E4=1,UG4=0),1000,0)),1000000))</f>
        <v/>
      </c>
      <c r="ADO4">
        <f>IF($B4=0,1000000,IF(INDEX('計算A'!$D$60:$II$104,$B4,213)*LA4=1,IF(AND($E4=2,UH4=0),1000000,INDEX('計算A'!HH$110:HH$114,$F4+1)+IF(AND($E4=1,UH4=0),1000,0)),1000000))</f>
        <v/>
      </c>
      <c r="ADP4">
        <f>IF($B4=0,1000000,IF(INDEX('計算A'!$D$60:$II$104,$B4,214)*LB4=1,IF(AND($E4=2,UI4=0),1000000,INDEX('計算A'!HI$110:HI$114,$F4+1)+IF(AND($E4=1,UI4=0),1000,0)),1000000))</f>
        <v/>
      </c>
      <c r="ADQ4">
        <f>IF($B4=0,1000000,IF(INDEX('計算A'!$D$60:$II$104,$B4,215)*LC4=1,IF(AND($E4=2,UJ4=0),1000000,INDEX('計算A'!HJ$110:HJ$114,$F4+1)+IF(AND($E4=1,UJ4=0),1000,0)),1000000))</f>
        <v/>
      </c>
      <c r="ADR4">
        <f>IF($B4=0,1000000,IF(INDEX('計算A'!$D$60:$II$104,$B4,216)*LD4=1,IF(AND($E4=2,UK4=0),1000000,INDEX('計算A'!HK$110:HK$114,$F4+1)+IF(AND($E4=1,UK4=0),1000,0)),1000000))</f>
        <v/>
      </c>
      <c r="ADS4">
        <f>IF($B4=0,1000000,IF(INDEX('計算A'!$D$60:$II$104,$B4,217)*LE4=1,IF(AND($E4=2,UL4=0),1000000,INDEX('計算A'!HL$110:HL$114,$F4+1)+IF(AND($E4=1,UL4=0),1000,0)),1000000))</f>
        <v/>
      </c>
      <c r="ADT4">
        <f>IF($B4=0,1000000,IF(INDEX('計算A'!$D$60:$II$104,$B4,218)*LF4=1,IF(AND($E4=2,UM4=0),1000000,INDEX('計算A'!HM$110:HM$114,$F4+1)+IF(AND($E4=1,UM4=0),1000,0)),1000000))</f>
        <v/>
      </c>
      <c r="ADU4">
        <f>IF($B4=0,1000000,IF(INDEX('計算A'!$D$60:$II$104,$B4,219)*LG4=1,IF(AND($E4=2,UN4=0),1000000,INDEX('計算A'!HN$110:HN$114,$F4+1)+IF(AND($E4=1,UN4=0),1000,0)),1000000))</f>
        <v/>
      </c>
      <c r="ADV4">
        <f>IF($B4=0,1000000,IF(INDEX('計算A'!$D$60:$II$104,$B4,220)*LH4=1,IF(AND($E4=2,UO4=0),1000000,INDEX('計算A'!HO$110:HO$114,$F4+1)+IF(AND($E4=1,UO4=0),1000,0)),1000000))</f>
        <v/>
      </c>
      <c r="ADW4">
        <f>IF($B4=0,1000000,IF(INDEX('計算A'!$D$60:$II$104,$B4,221)*LI4=1,IF(AND($E4=2,UP4=0),1000000,INDEX('計算A'!HP$110:HP$114,$F4+1)+IF(AND($E4=1,UP4=0),1000,0)),1000000))</f>
        <v/>
      </c>
      <c r="ADX4">
        <f>IF($B4=0,1000000,IF(INDEX('計算A'!$D$60:$II$104,$B4,222)*LJ4=1,IF(AND($E4=2,UQ4=0),1000000,INDEX('計算A'!HQ$110:HQ$114,$F4+1)+IF(AND($E4=1,UQ4=0),1000,0)),1000000))</f>
        <v/>
      </c>
      <c r="ADY4">
        <f>IF($B4=0,1000000,IF(INDEX('計算A'!$D$60:$II$104,$B4,223)*LK4=1,IF(AND($E4=2,UR4=0),1000000,INDEX('計算A'!HR$110:HR$114,$F4+1)+IF(AND($E4=1,UR4=0),1000,0)),1000000))</f>
        <v/>
      </c>
      <c r="ADZ4">
        <f>IF($B4=0,1000000,IF(INDEX('計算A'!$D$60:$II$104,$B4,224)*LL4=1,IF(AND($E4=2,US4=0),1000000,INDEX('計算A'!HS$110:HS$114,$F4+1)+IF(AND($E4=1,US4=0),1000,0)),1000000))</f>
        <v/>
      </c>
      <c r="AEA4">
        <f>IF($B4=0,1000000,IF(INDEX('計算A'!$D$60:$II$104,$B4,225)*LM4=1,IF(AND($E4=2,UT4=0),1000000,INDEX('計算A'!HT$110:HT$114,$F4+1)+IF(AND($E4=1,UT4=0),1000,0)),1000000))</f>
        <v/>
      </c>
      <c r="AEB4">
        <f>IF($B4=0,1000000,IF(INDEX('計算A'!$D$60:$II$104,$B4,226)*LN4=1,IF(AND($E4=2,UU4=0),1000000,INDEX('計算A'!HU$110:HU$114,$F4+1)+IF(AND($E4=1,UU4=0),1000,0)),1000000))</f>
        <v/>
      </c>
      <c r="AEC4">
        <f>IF($B4=0,1000000,IF(INDEX('計算A'!$D$60:$II$104,$B4,227)*LO4=1,IF(AND($E4=2,UV4=0),1000000,INDEX('計算A'!HV$110:HV$114,$F4+1)+IF(AND($E4=1,UV4=0),1000,0)),1000000))</f>
        <v/>
      </c>
      <c r="AED4">
        <f>IF($B4=0,1000000,IF(INDEX('計算A'!$D$60:$II$104,$B4,228)*LP4=1,IF(AND($E4=2,UW4=0),1000000,INDEX('計算A'!HW$110:HW$114,$F4+1)+IF(AND($E4=1,UW4=0),1000,0)),1000000))</f>
        <v/>
      </c>
      <c r="AEE4">
        <f>IF($B4=0,1000000,IF(INDEX('計算A'!$D$60:$II$104,$B4,229)*LQ4=1,IF(AND($E4=2,UX4=0),1000000,INDEX('計算A'!HX$110:HX$114,$F4+1)+IF(AND($E4=1,UX4=0),1000,0)),1000000))</f>
        <v/>
      </c>
      <c r="AEF4">
        <f>IF($B4=0,1000000,IF(INDEX('計算A'!$D$60:$II$104,$B4,230)*LR4=1,IF(AND($E4=2,UY4=0),1000000,INDEX('計算A'!HY$110:HY$114,$F4+1)+IF(AND($E4=1,UY4=0),1000,0)),1000000))</f>
        <v/>
      </c>
      <c r="AEG4">
        <f>IF($B4=0,1000000,IF(INDEX('計算A'!$D$60:$II$104,$B4,231)*LS4=1,IF(AND($E4=2,UZ4=0),1000000,INDEX('計算A'!HZ$110:HZ$114,$F4+1)+IF(AND($E4=1,UZ4=0),1000,0)),1000000))</f>
        <v/>
      </c>
      <c r="AEH4">
        <f>IF($B4=0,1000000,IF(INDEX('計算A'!$D$60:$II$104,$B4,232)*LT4=1,IF(AND($E4=2,VA4=0),1000000,INDEX('計算A'!IA$110:IA$114,$F4+1)+IF(AND($E4=1,VA4=0),1000,0)),1000000))</f>
        <v/>
      </c>
      <c r="AEI4">
        <f>IF($B4=0,1000000,IF(INDEX('計算A'!$D$60:$II$104,$B4,233)*LU4=1,IF(AND($E4=2,VB4=0),1000000,INDEX('計算A'!IB$110:IB$114,$F4+1)+IF(AND($E4=1,VB4=0),1000,0)),1000000))</f>
        <v/>
      </c>
      <c r="AEJ4">
        <f>IF($B4=0,1000000,IF(INDEX('計算A'!$D$60:$II$104,$B4,234)*LV4=1,IF(AND($E4=2,VC4=0),1000000,INDEX('計算A'!IC$110:IC$114,$F4+1)+IF(AND($E4=1,VC4=0),1000,0)),1000000))</f>
        <v/>
      </c>
      <c r="AEK4">
        <f>IF($B4=0,1000000,IF(INDEX('計算A'!$D$60:$II$104,$B4,235)*LW4=1,IF(AND($E4=2,VD4=0),1000000,INDEX('計算A'!ID$110:ID$114,$F4+1)+IF(AND($E4=1,VD4=0),1000,0)),1000000))</f>
        <v/>
      </c>
      <c r="AEL4">
        <f>IF($B4=0,1000000,IF(INDEX('計算A'!$D$60:$II$104,$B4,236)*LX4=1,IF(AND($E4=2,VE4=0),1000000,INDEX('計算A'!IE$110:IE$114,$F4+1)+IF(AND($E4=1,VE4=0),1000,0)),1000000))</f>
        <v/>
      </c>
      <c r="AEM4">
        <f>IF($B4=0,1000000,IF(INDEX('計算A'!$D$60:$II$104,$B4,237)*LY4=1,IF(AND($E4=2,VF4=0),1000000,INDEX('計算A'!IF$110:IF$114,$F4+1)+IF(AND($E4=1,VF4=0),1000,0)),1000000))</f>
        <v/>
      </c>
      <c r="AEN4">
        <f>IF($B4=0,1000000,IF(INDEX('計算A'!$D$60:$II$104,$B4,238)*LZ4=1,IF(AND($E4=2,VG4=0),1000000,INDEX('計算A'!IG$110:IG$114,$F4+1)+IF(AND($E4=1,VG4=0),1000,0)),1000000))</f>
        <v/>
      </c>
      <c r="AEO4">
        <f>IF($B4=0,1000000,IF(INDEX('計算A'!$D$60:$II$104,$B4,239)*MA4=1,IF(AND($E4=2,VH4=0),1000000,INDEX('計算A'!IH$110:IH$114,$F4+1)+IF(AND($E4=1,VH4=0),1000,0)),1000000))</f>
        <v/>
      </c>
      <c r="AEP4">
        <f>IF($B4=0,1000000,IF(INDEX('計算A'!$D$60:$II$104,$B4,240)*MB4=1,IF(AND($E4=2,VI4=0),1000000,INDEX('計算A'!II$110:II$114,$F4+1)+IF(AND($E4=1,VI4=0),1000,0)),1000000))</f>
        <v/>
      </c>
    </row>
    <row r="5">
      <c r="A5" t="n">
        <v>3</v>
      </c>
      <c r="B5">
        <f>IF(MIN(BC5:CU5)&gt;=1000000,0,MATCH(MIN(BC5:CU5),BC5:CU5,0))</f>
        <v/>
      </c>
      <c r="C5">
        <f>IF(MIN(VK5:AEP5)&gt;=1000000,0,MATCH(MIN(VK5:AEP5),VK5:AEP5,0))</f>
        <v/>
      </c>
      <c r="D5">
        <f>IF(C5&gt;0,INDEX('計算A'!$D$5:$II$5,C5),0)</f>
        <v/>
      </c>
      <c r="E5">
        <f>IF(B5=0,0,INDEX('計算A'!$IQ$10:$IQ$54,B5))</f>
        <v/>
      </c>
      <c r="F5">
        <f>IF(B5=0,0,INDEX('計算A'!$IP$10:$IP$54,B5))</f>
        <v/>
      </c>
      <c r="G5">
        <f>IF(AND(C5&gt;0,E5&gt;0),IF(AND(INDEX('計算A'!$D$106:$II$106,C5)=1,INDEX($MD5:$VI5,C5)=1),C5+1,0),0)</f>
        <v/>
      </c>
      <c r="I5">
        <f>MAX(I4,IF($B4=1,1,0))</f>
        <v/>
      </c>
      <c r="J5">
        <f>MAX(J4,IF($B4=2,1,0))</f>
        <v/>
      </c>
      <c r="K5">
        <f>MAX(K4,IF($B4=3,1,0))</f>
        <v/>
      </c>
      <c r="L5">
        <f>MAX(L4,IF($B4=4,1,0))</f>
        <v/>
      </c>
      <c r="M5">
        <f>MAX(M4,IF($B4=5,1,0))</f>
        <v/>
      </c>
      <c r="N5">
        <f>MAX(N4,IF($B4=6,1,0))</f>
        <v/>
      </c>
      <c r="O5">
        <f>MAX(O4,IF($B4=7,1,0))</f>
        <v/>
      </c>
      <c r="P5">
        <f>MAX(P4,IF($B4=8,1,0))</f>
        <v/>
      </c>
      <c r="Q5">
        <f>MAX(Q4,IF($B4=9,1,0))</f>
        <v/>
      </c>
      <c r="R5">
        <f>MAX(R4,IF($B4=10,1,0))</f>
        <v/>
      </c>
      <c r="S5">
        <f>MAX(S4,IF($B4=11,1,0))</f>
        <v/>
      </c>
      <c r="T5">
        <f>MAX(T4,IF($B4=12,1,0))</f>
        <v/>
      </c>
      <c r="U5">
        <f>MAX(U4,IF($B4=13,1,0))</f>
        <v/>
      </c>
      <c r="V5">
        <f>MAX(V4,IF($B4=14,1,0))</f>
        <v/>
      </c>
      <c r="W5">
        <f>MAX(W4,IF($B4=15,1,0))</f>
        <v/>
      </c>
      <c r="X5">
        <f>MAX(X4,IF($B4=16,1,0))</f>
        <v/>
      </c>
      <c r="Y5">
        <f>MAX(Y4,IF($B4=17,1,0))</f>
        <v/>
      </c>
      <c r="Z5">
        <f>MAX(Z4,IF($B4=18,1,0))</f>
        <v/>
      </c>
      <c r="AA5">
        <f>MAX(AA4,IF($B4=19,1,0))</f>
        <v/>
      </c>
      <c r="AB5">
        <f>MAX(AB4,IF($B4=20,1,0))</f>
        <v/>
      </c>
      <c r="AC5">
        <f>MAX(AC4,IF($B4=21,1,0))</f>
        <v/>
      </c>
      <c r="AD5">
        <f>MAX(AD4,IF($B4=22,1,0))</f>
        <v/>
      </c>
      <c r="AE5">
        <f>MAX(AE4,IF($B4=23,1,0))</f>
        <v/>
      </c>
      <c r="AF5">
        <f>MAX(AF4,IF($B4=24,1,0))</f>
        <v/>
      </c>
      <c r="AG5">
        <f>MAX(AG4,IF($B4=25,1,0))</f>
        <v/>
      </c>
      <c r="AH5">
        <f>MAX(AH4,IF($B4=26,1,0))</f>
        <v/>
      </c>
      <c r="AI5">
        <f>MAX(AI4,IF($B4=27,1,0))</f>
        <v/>
      </c>
      <c r="AJ5">
        <f>MAX(AJ4,IF($B4=28,1,0))</f>
        <v/>
      </c>
      <c r="AK5">
        <f>MAX(AK4,IF($B4=29,1,0))</f>
        <v/>
      </c>
      <c r="AL5">
        <f>MAX(AL4,IF($B4=30,1,0))</f>
        <v/>
      </c>
      <c r="AM5">
        <f>MAX(AM4,IF($B4=31,1,0))</f>
        <v/>
      </c>
      <c r="AN5">
        <f>MAX(AN4,IF($B4=32,1,0))</f>
        <v/>
      </c>
      <c r="AO5">
        <f>MAX(AO4,IF($B4=33,1,0))</f>
        <v/>
      </c>
      <c r="AP5">
        <f>MAX(AP4,IF($B4=34,1,0))</f>
        <v/>
      </c>
      <c r="AQ5">
        <f>MAX(AQ4,IF($B4=35,1,0))</f>
        <v/>
      </c>
      <c r="AR5">
        <f>MAX(AR4,IF($B4=36,1,0))</f>
        <v/>
      </c>
      <c r="AS5">
        <f>MAX(AS4,IF($B4=37,1,0))</f>
        <v/>
      </c>
      <c r="AT5">
        <f>MAX(AT4,IF($B4=38,1,0))</f>
        <v/>
      </c>
      <c r="AU5">
        <f>MAX(AU4,IF($B4=39,1,0))</f>
        <v/>
      </c>
      <c r="AV5">
        <f>MAX(AV4,IF($B4=40,1,0))</f>
        <v/>
      </c>
      <c r="AW5">
        <f>MAX(AW4,IF($B4=41,1,0))</f>
        <v/>
      </c>
      <c r="AX5">
        <f>MAX(AX4,IF($B4=42,1,0))</f>
        <v/>
      </c>
      <c r="AY5">
        <f>MAX(AY4,IF($B4=43,1,0))</f>
        <v/>
      </c>
      <c r="AZ5">
        <f>MAX(AZ4,IF($B4=44,1,0))</f>
        <v/>
      </c>
      <c r="BA5">
        <f>MAX(BA4,IF($B4=45,1,0))</f>
        <v/>
      </c>
      <c r="BC5">
        <f>IF(I5=1,1000000,IF('計算A'!$IQ$10=2,SUMPRODUCT('計算A'!$D$60:$II$60,$CW5:$MB5,$MD5:$VI5),SUMPRODUCT('計算A'!$D$60:$II$60,$CW5:$MB5))*1000+1)</f>
        <v/>
      </c>
      <c r="BD5">
        <f>IF(J5=1,1000000,IF('計算A'!$IQ$11=2,SUMPRODUCT('計算A'!$D$61:$II$61,$CW5:$MB5,$MD5:$VI5),SUMPRODUCT('計算A'!$D$61:$II$61,$CW5:$MB5))*1000+2)</f>
        <v/>
      </c>
      <c r="BE5">
        <f>IF(K5=1,1000000,IF('計算A'!$IQ$12=2,SUMPRODUCT('計算A'!$D$62:$II$62,$CW5:$MB5,$MD5:$VI5),SUMPRODUCT('計算A'!$D$62:$II$62,$CW5:$MB5))*1000+3)</f>
        <v/>
      </c>
      <c r="BF5">
        <f>IF(L5=1,1000000,IF('計算A'!$IQ$13=2,SUMPRODUCT('計算A'!$D$63:$II$63,$CW5:$MB5,$MD5:$VI5),SUMPRODUCT('計算A'!$D$63:$II$63,$CW5:$MB5))*1000+4)</f>
        <v/>
      </c>
      <c r="BG5">
        <f>IF(M5=1,1000000,IF('計算A'!$IQ$14=2,SUMPRODUCT('計算A'!$D$64:$II$64,$CW5:$MB5,$MD5:$VI5),SUMPRODUCT('計算A'!$D$64:$II$64,$CW5:$MB5))*1000+5)</f>
        <v/>
      </c>
      <c r="BH5">
        <f>IF(N5=1,1000000,IF('計算A'!$IQ$15=2,SUMPRODUCT('計算A'!$D$65:$II$65,$CW5:$MB5,$MD5:$VI5),SUMPRODUCT('計算A'!$D$65:$II$65,$CW5:$MB5))*1000+6)</f>
        <v/>
      </c>
      <c r="BI5">
        <f>IF(O5=1,1000000,IF('計算A'!$IQ$16=2,SUMPRODUCT('計算A'!$D$66:$II$66,$CW5:$MB5,$MD5:$VI5),SUMPRODUCT('計算A'!$D$66:$II$66,$CW5:$MB5))*1000+7)</f>
        <v/>
      </c>
      <c r="BJ5">
        <f>IF(P5=1,1000000,IF('計算A'!$IQ$17=2,SUMPRODUCT('計算A'!$D$67:$II$67,$CW5:$MB5,$MD5:$VI5),SUMPRODUCT('計算A'!$D$67:$II$67,$CW5:$MB5))*1000+8)</f>
        <v/>
      </c>
      <c r="BK5">
        <f>IF(Q5=1,1000000,IF('計算A'!$IQ$18=2,SUMPRODUCT('計算A'!$D$68:$II$68,$CW5:$MB5,$MD5:$VI5),SUMPRODUCT('計算A'!$D$68:$II$68,$CW5:$MB5))*1000+9)</f>
        <v/>
      </c>
      <c r="BL5">
        <f>IF(R5=1,1000000,IF('計算A'!$IQ$19=2,SUMPRODUCT('計算A'!$D$69:$II$69,$CW5:$MB5,$MD5:$VI5),SUMPRODUCT('計算A'!$D$69:$II$69,$CW5:$MB5))*1000+10)</f>
        <v/>
      </c>
      <c r="BM5">
        <f>IF(S5=1,1000000,IF('計算A'!$IQ$20=2,SUMPRODUCT('計算A'!$D$70:$II$70,$CW5:$MB5,$MD5:$VI5),SUMPRODUCT('計算A'!$D$70:$II$70,$CW5:$MB5))*1000+11)</f>
        <v/>
      </c>
      <c r="BN5">
        <f>IF(T5=1,1000000,IF('計算A'!$IQ$21=2,SUMPRODUCT('計算A'!$D$71:$II$71,$CW5:$MB5,$MD5:$VI5),SUMPRODUCT('計算A'!$D$71:$II$71,$CW5:$MB5))*1000+12)</f>
        <v/>
      </c>
      <c r="BO5">
        <f>IF(U5=1,1000000,IF('計算A'!$IQ$22=2,SUMPRODUCT('計算A'!$D$72:$II$72,$CW5:$MB5,$MD5:$VI5),SUMPRODUCT('計算A'!$D$72:$II$72,$CW5:$MB5))*1000+13)</f>
        <v/>
      </c>
      <c r="BP5">
        <f>IF(V5=1,1000000,IF('計算A'!$IQ$23=2,SUMPRODUCT('計算A'!$D$73:$II$73,$CW5:$MB5,$MD5:$VI5),SUMPRODUCT('計算A'!$D$73:$II$73,$CW5:$MB5))*1000+14)</f>
        <v/>
      </c>
      <c r="BQ5">
        <f>IF(W5=1,1000000,IF('計算A'!$IQ$24=2,SUMPRODUCT('計算A'!$D$74:$II$74,$CW5:$MB5,$MD5:$VI5),SUMPRODUCT('計算A'!$D$74:$II$74,$CW5:$MB5))*1000+15)</f>
        <v/>
      </c>
      <c r="BR5">
        <f>IF(X5=1,1000000,IF('計算A'!$IQ$25=2,SUMPRODUCT('計算A'!$D$75:$II$75,$CW5:$MB5,$MD5:$VI5),SUMPRODUCT('計算A'!$D$75:$II$75,$CW5:$MB5))*1000+16)</f>
        <v/>
      </c>
      <c r="BS5">
        <f>IF(Y5=1,1000000,IF('計算A'!$IQ$26=2,SUMPRODUCT('計算A'!$D$76:$II$76,$CW5:$MB5,$MD5:$VI5),SUMPRODUCT('計算A'!$D$76:$II$76,$CW5:$MB5))*1000+17)</f>
        <v/>
      </c>
      <c r="BT5">
        <f>IF(Z5=1,1000000,IF('計算A'!$IQ$27=2,SUMPRODUCT('計算A'!$D$77:$II$77,$CW5:$MB5,$MD5:$VI5),SUMPRODUCT('計算A'!$D$77:$II$77,$CW5:$MB5))*1000+18)</f>
        <v/>
      </c>
      <c r="BU5">
        <f>IF(AA5=1,1000000,IF('計算A'!$IQ$28=2,SUMPRODUCT('計算A'!$D$78:$II$78,$CW5:$MB5,$MD5:$VI5),SUMPRODUCT('計算A'!$D$78:$II$78,$CW5:$MB5))*1000+19)</f>
        <v/>
      </c>
      <c r="BV5">
        <f>IF(AB5=1,1000000,IF('計算A'!$IQ$29=2,SUMPRODUCT('計算A'!$D$79:$II$79,$CW5:$MB5,$MD5:$VI5),SUMPRODUCT('計算A'!$D$79:$II$79,$CW5:$MB5))*1000+20)</f>
        <v/>
      </c>
      <c r="BW5">
        <f>IF(AC5=1,1000000,IF('計算A'!$IQ$30=2,SUMPRODUCT('計算A'!$D$80:$II$80,$CW5:$MB5,$MD5:$VI5),SUMPRODUCT('計算A'!$D$80:$II$80,$CW5:$MB5))*1000+21)</f>
        <v/>
      </c>
      <c r="BX5">
        <f>IF(AD5=1,1000000,IF('計算A'!$IQ$31=2,SUMPRODUCT('計算A'!$D$81:$II$81,$CW5:$MB5,$MD5:$VI5),SUMPRODUCT('計算A'!$D$81:$II$81,$CW5:$MB5))*1000+22)</f>
        <v/>
      </c>
      <c r="BY5">
        <f>IF(AE5=1,1000000,IF('計算A'!$IQ$32=2,SUMPRODUCT('計算A'!$D$82:$II$82,$CW5:$MB5,$MD5:$VI5),SUMPRODUCT('計算A'!$D$82:$II$82,$CW5:$MB5))*1000+23)</f>
        <v/>
      </c>
      <c r="BZ5">
        <f>IF(AF5=1,1000000,IF('計算A'!$IQ$33=2,SUMPRODUCT('計算A'!$D$83:$II$83,$CW5:$MB5,$MD5:$VI5),SUMPRODUCT('計算A'!$D$83:$II$83,$CW5:$MB5))*1000+24)</f>
        <v/>
      </c>
      <c r="CA5">
        <f>IF(AG5=1,1000000,IF('計算A'!$IQ$34=2,SUMPRODUCT('計算A'!$D$84:$II$84,$CW5:$MB5,$MD5:$VI5),SUMPRODUCT('計算A'!$D$84:$II$84,$CW5:$MB5))*1000+25)</f>
        <v/>
      </c>
      <c r="CB5">
        <f>IF(AH5=1,1000000,IF('計算A'!$IQ$35=2,SUMPRODUCT('計算A'!$D$85:$II$85,$CW5:$MB5,$MD5:$VI5),SUMPRODUCT('計算A'!$D$85:$II$85,$CW5:$MB5))*1000+26)</f>
        <v/>
      </c>
      <c r="CC5">
        <f>IF(AI5=1,1000000,IF('計算A'!$IQ$36=2,SUMPRODUCT('計算A'!$D$86:$II$86,$CW5:$MB5,$MD5:$VI5),SUMPRODUCT('計算A'!$D$86:$II$86,$CW5:$MB5))*1000+27)</f>
        <v/>
      </c>
      <c r="CD5">
        <f>IF(AJ5=1,1000000,IF('計算A'!$IQ$37=2,SUMPRODUCT('計算A'!$D$87:$II$87,$CW5:$MB5,$MD5:$VI5),SUMPRODUCT('計算A'!$D$87:$II$87,$CW5:$MB5))*1000+28)</f>
        <v/>
      </c>
      <c r="CE5">
        <f>IF(AK5=1,1000000,IF('計算A'!$IQ$38=2,SUMPRODUCT('計算A'!$D$88:$II$88,$CW5:$MB5,$MD5:$VI5),SUMPRODUCT('計算A'!$D$88:$II$88,$CW5:$MB5))*1000+29)</f>
        <v/>
      </c>
      <c r="CF5">
        <f>IF(AL5=1,1000000,IF('計算A'!$IQ$39=2,SUMPRODUCT('計算A'!$D$89:$II$89,$CW5:$MB5,$MD5:$VI5),SUMPRODUCT('計算A'!$D$89:$II$89,$CW5:$MB5))*1000+30)</f>
        <v/>
      </c>
      <c r="CG5">
        <f>IF(AM5=1,1000000,IF('計算A'!$IQ$40=2,SUMPRODUCT('計算A'!$D$90:$II$90,$CW5:$MB5,$MD5:$VI5),SUMPRODUCT('計算A'!$D$90:$II$90,$CW5:$MB5))*1000+31)</f>
        <v/>
      </c>
      <c r="CH5">
        <f>IF(AN5=1,1000000,IF('計算A'!$IQ$41=2,SUMPRODUCT('計算A'!$D$91:$II$91,$CW5:$MB5,$MD5:$VI5),SUMPRODUCT('計算A'!$D$91:$II$91,$CW5:$MB5))*1000+32)</f>
        <v/>
      </c>
      <c r="CI5">
        <f>IF(AO5=1,1000000,IF('計算A'!$IQ$42=2,SUMPRODUCT('計算A'!$D$92:$II$92,$CW5:$MB5,$MD5:$VI5),SUMPRODUCT('計算A'!$D$92:$II$92,$CW5:$MB5))*1000+33)</f>
        <v/>
      </c>
      <c r="CJ5">
        <f>IF(AP5=1,1000000,IF('計算A'!$IQ$43=2,SUMPRODUCT('計算A'!$D$93:$II$93,$CW5:$MB5,$MD5:$VI5),SUMPRODUCT('計算A'!$D$93:$II$93,$CW5:$MB5))*1000+34)</f>
        <v/>
      </c>
      <c r="CK5">
        <f>IF(AQ5=1,1000000,IF('計算A'!$IQ$44=2,SUMPRODUCT('計算A'!$D$94:$II$94,$CW5:$MB5,$MD5:$VI5),SUMPRODUCT('計算A'!$D$94:$II$94,$CW5:$MB5))*1000+35)</f>
        <v/>
      </c>
      <c r="CL5">
        <f>IF(AR5=1,1000000,IF('計算A'!$IQ$45=2,SUMPRODUCT('計算A'!$D$95:$II$95,$CW5:$MB5,$MD5:$VI5),SUMPRODUCT('計算A'!$D$95:$II$95,$CW5:$MB5))*1000+36)</f>
        <v/>
      </c>
      <c r="CM5">
        <f>IF(AS5=1,1000000,IF('計算A'!$IQ$46=2,SUMPRODUCT('計算A'!$D$96:$II$96,$CW5:$MB5,$MD5:$VI5),SUMPRODUCT('計算A'!$D$96:$II$96,$CW5:$MB5))*1000+37)</f>
        <v/>
      </c>
      <c r="CN5">
        <f>IF(AT5=1,1000000,IF('計算A'!$IQ$47=2,SUMPRODUCT('計算A'!$D$97:$II$97,$CW5:$MB5,$MD5:$VI5),SUMPRODUCT('計算A'!$D$97:$II$97,$CW5:$MB5))*1000+38)</f>
        <v/>
      </c>
      <c r="CO5">
        <f>IF(AU5=1,1000000,IF('計算A'!$IQ$48=2,SUMPRODUCT('計算A'!$D$98:$II$98,$CW5:$MB5,$MD5:$VI5),SUMPRODUCT('計算A'!$D$98:$II$98,$CW5:$MB5))*1000+39)</f>
        <v/>
      </c>
      <c r="CP5">
        <f>IF(AV5=1,1000000,IF('計算A'!$IQ$49=2,SUMPRODUCT('計算A'!$D$99:$II$99,$CW5:$MB5,$MD5:$VI5),SUMPRODUCT('計算A'!$D$99:$II$99,$CW5:$MB5))*1000+40)</f>
        <v/>
      </c>
      <c r="CQ5">
        <f>IF(AW5=1,1000000,IF('計算A'!$IQ$50=2,SUMPRODUCT('計算A'!$D$100:$II$100,$CW5:$MB5,$MD5:$VI5),SUMPRODUCT('計算A'!$D$100:$II$100,$CW5:$MB5))*1000+41)</f>
        <v/>
      </c>
      <c r="CR5">
        <f>IF(AX5=1,1000000,IF('計算A'!$IQ$51=2,SUMPRODUCT('計算A'!$D$101:$II$101,$CW5:$MB5,$MD5:$VI5),SUMPRODUCT('計算A'!$D$101:$II$101,$CW5:$MB5))*1000+42)</f>
        <v/>
      </c>
      <c r="CS5">
        <f>IF(AY5=1,1000000,IF('計算A'!$IQ$52=2,SUMPRODUCT('計算A'!$D$102:$II$102,$CW5:$MB5,$MD5:$VI5),SUMPRODUCT('計算A'!$D$102:$II$102,$CW5:$MB5))*1000+43)</f>
        <v/>
      </c>
      <c r="CT5">
        <f>IF(AZ5=1,1000000,IF('計算A'!$IQ$53=2,SUMPRODUCT('計算A'!$D$103:$II$103,$CW5:$MB5,$MD5:$VI5),SUMPRODUCT('計算A'!$D$103:$II$103,$CW5:$MB5))*1000+44)</f>
        <v/>
      </c>
      <c r="CU5">
        <f>IF(BA5=1,1000000,IF('計算A'!$IQ$54=2,SUMPRODUCT('計算A'!$D$104:$II$104,$CW5:$MB5,$MD5:$VI5),SUMPRODUCT('計算A'!$D$104:$II$104,$CW5:$MB5))*1000+45)</f>
        <v/>
      </c>
      <c r="CW5">
        <f>CW4*IF(OR($C4=1,$G4=1),0,1)</f>
        <v/>
      </c>
      <c r="CX5">
        <f>CX4*IF(OR($C4=2,$G4=2),0,1)</f>
        <v/>
      </c>
      <c r="CY5">
        <f>CY4*IF(OR($C4=3,$G4=3),0,1)</f>
        <v/>
      </c>
      <c r="CZ5">
        <f>CZ4*IF(OR($C4=4,$G4=4),0,1)</f>
        <v/>
      </c>
      <c r="DA5">
        <f>DA4*IF(OR($C4=5,$G4=5),0,1)</f>
        <v/>
      </c>
      <c r="DB5">
        <f>DB4*IF(OR($C4=6,$G4=6),0,1)</f>
        <v/>
      </c>
      <c r="DC5">
        <f>DC4*IF(OR($C4=7,$G4=7),0,1)</f>
        <v/>
      </c>
      <c r="DD5">
        <f>DD4*IF(OR($C4=8,$G4=8),0,1)</f>
        <v/>
      </c>
      <c r="DE5">
        <f>DE4*IF(OR($C4=9,$G4=9),0,1)</f>
        <v/>
      </c>
      <c r="DF5">
        <f>DF4*IF(OR($C4=10,$G4=10),0,1)</f>
        <v/>
      </c>
      <c r="DG5">
        <f>DG4*IF(OR($C4=11,$G4=11),0,1)</f>
        <v/>
      </c>
      <c r="DH5">
        <f>DH4*IF(OR($C4=12,$G4=12),0,1)</f>
        <v/>
      </c>
      <c r="DI5">
        <f>DI4*IF(OR($C4=13,$G4=13),0,1)</f>
        <v/>
      </c>
      <c r="DJ5">
        <f>DJ4*IF(OR($C4=14,$G4=14),0,1)</f>
        <v/>
      </c>
      <c r="DK5">
        <f>DK4*IF(OR($C4=15,$G4=15),0,1)</f>
        <v/>
      </c>
      <c r="DL5">
        <f>DL4*IF(OR($C4=16,$G4=16),0,1)</f>
        <v/>
      </c>
      <c r="DM5">
        <f>DM4*IF(OR($C4=17,$G4=17),0,1)</f>
        <v/>
      </c>
      <c r="DN5">
        <f>DN4*IF(OR($C4=18,$G4=18),0,1)</f>
        <v/>
      </c>
      <c r="DO5">
        <f>DO4*IF(OR($C4=19,$G4=19),0,1)</f>
        <v/>
      </c>
      <c r="DP5">
        <f>DP4*IF(OR($C4=20,$G4=20),0,1)</f>
        <v/>
      </c>
      <c r="DQ5">
        <f>DQ4*IF(OR($C4=21,$G4=21),0,1)</f>
        <v/>
      </c>
      <c r="DR5">
        <f>DR4*IF(OR($C4=22,$G4=22),0,1)</f>
        <v/>
      </c>
      <c r="DS5">
        <f>DS4*IF(OR($C4=23,$G4=23),0,1)</f>
        <v/>
      </c>
      <c r="DT5">
        <f>DT4*IF(OR($C4=24,$G4=24),0,1)</f>
        <v/>
      </c>
      <c r="DU5">
        <f>DU4*IF(OR($C4=25,$G4=25),0,1)</f>
        <v/>
      </c>
      <c r="DV5">
        <f>DV4*IF(OR($C4=26,$G4=26),0,1)</f>
        <v/>
      </c>
      <c r="DW5">
        <f>DW4*IF(OR($C4=27,$G4=27),0,1)</f>
        <v/>
      </c>
      <c r="DX5">
        <f>DX4*IF(OR($C4=28,$G4=28),0,1)</f>
        <v/>
      </c>
      <c r="DY5">
        <f>DY4*IF(OR($C4=29,$G4=29),0,1)</f>
        <v/>
      </c>
      <c r="DZ5">
        <f>DZ4*IF(OR($C4=30,$G4=30),0,1)</f>
        <v/>
      </c>
      <c r="EA5">
        <f>EA4*IF(OR($C4=31,$G4=31),0,1)</f>
        <v/>
      </c>
      <c r="EB5">
        <f>EB4*IF(OR($C4=32,$G4=32),0,1)</f>
        <v/>
      </c>
      <c r="EC5">
        <f>EC4*IF(OR($C4=33,$G4=33),0,1)</f>
        <v/>
      </c>
      <c r="ED5">
        <f>ED4*IF(OR($C4=34,$G4=34),0,1)</f>
        <v/>
      </c>
      <c r="EE5">
        <f>EE4*IF(OR($C4=35,$G4=35),0,1)</f>
        <v/>
      </c>
      <c r="EF5">
        <f>EF4*IF(OR($C4=36,$G4=36),0,1)</f>
        <v/>
      </c>
      <c r="EG5">
        <f>EG4*IF(OR($C4=37,$G4=37),0,1)</f>
        <v/>
      </c>
      <c r="EH5">
        <f>EH4*IF(OR($C4=38,$G4=38),0,1)</f>
        <v/>
      </c>
      <c r="EI5">
        <f>EI4*IF(OR($C4=39,$G4=39),0,1)</f>
        <v/>
      </c>
      <c r="EJ5">
        <f>EJ4*IF(OR($C4=40,$G4=40),0,1)</f>
        <v/>
      </c>
      <c r="EK5">
        <f>EK4*IF(OR($C4=41,$G4=41),0,1)</f>
        <v/>
      </c>
      <c r="EL5">
        <f>EL4*IF(OR($C4=42,$G4=42),0,1)</f>
        <v/>
      </c>
      <c r="EM5">
        <f>EM4*IF(OR($C4=43,$G4=43),0,1)</f>
        <v/>
      </c>
      <c r="EN5">
        <f>EN4*IF(OR($C4=44,$G4=44),0,1)</f>
        <v/>
      </c>
      <c r="EO5">
        <f>EO4*IF(OR($C4=45,$G4=45),0,1)</f>
        <v/>
      </c>
      <c r="EP5">
        <f>EP4*IF(OR($C4=46,$G4=46),0,1)</f>
        <v/>
      </c>
      <c r="EQ5">
        <f>EQ4*IF(OR($C4=47,$G4=47),0,1)</f>
        <v/>
      </c>
      <c r="ER5">
        <f>ER4*IF(OR($C4=48,$G4=48),0,1)</f>
        <v/>
      </c>
      <c r="ES5">
        <f>ES4*IF(OR($C4=49,$G4=49),0,1)</f>
        <v/>
      </c>
      <c r="ET5">
        <f>ET4*IF(OR($C4=50,$G4=50),0,1)</f>
        <v/>
      </c>
      <c r="EU5">
        <f>EU4*IF(OR($C4=51,$G4=51),0,1)</f>
        <v/>
      </c>
      <c r="EV5">
        <f>EV4*IF(OR($C4=52,$G4=52),0,1)</f>
        <v/>
      </c>
      <c r="EW5">
        <f>EW4*IF(OR($C4=53,$G4=53),0,1)</f>
        <v/>
      </c>
      <c r="EX5">
        <f>EX4*IF(OR($C4=54,$G4=54),0,1)</f>
        <v/>
      </c>
      <c r="EY5">
        <f>EY4*IF(OR($C4=55,$G4=55),0,1)</f>
        <v/>
      </c>
      <c r="EZ5">
        <f>EZ4*IF(OR($C4=56,$G4=56),0,1)</f>
        <v/>
      </c>
      <c r="FA5">
        <f>FA4*IF(OR($C4=57,$G4=57),0,1)</f>
        <v/>
      </c>
      <c r="FB5">
        <f>FB4*IF(OR($C4=58,$G4=58),0,1)</f>
        <v/>
      </c>
      <c r="FC5">
        <f>FC4*IF(OR($C4=59,$G4=59),0,1)</f>
        <v/>
      </c>
      <c r="FD5">
        <f>FD4*IF(OR($C4=60,$G4=60),0,1)</f>
        <v/>
      </c>
      <c r="FE5">
        <f>FE4*IF(OR($C4=61,$G4=61),0,1)</f>
        <v/>
      </c>
      <c r="FF5">
        <f>FF4*IF(OR($C4=62,$G4=62),0,1)</f>
        <v/>
      </c>
      <c r="FG5">
        <f>FG4*IF(OR($C4=63,$G4=63),0,1)</f>
        <v/>
      </c>
      <c r="FH5">
        <f>FH4*IF(OR($C4=64,$G4=64),0,1)</f>
        <v/>
      </c>
      <c r="FI5">
        <f>FI4*IF(OR($C4=65,$G4=65),0,1)</f>
        <v/>
      </c>
      <c r="FJ5">
        <f>FJ4*IF(OR($C4=66,$G4=66),0,1)</f>
        <v/>
      </c>
      <c r="FK5">
        <f>FK4*IF(OR($C4=67,$G4=67),0,1)</f>
        <v/>
      </c>
      <c r="FL5">
        <f>FL4*IF(OR($C4=68,$G4=68),0,1)</f>
        <v/>
      </c>
      <c r="FM5">
        <f>FM4*IF(OR($C4=69,$G4=69),0,1)</f>
        <v/>
      </c>
      <c r="FN5">
        <f>FN4*IF(OR($C4=70,$G4=70),0,1)</f>
        <v/>
      </c>
      <c r="FO5">
        <f>FO4*IF(OR($C4=71,$G4=71),0,1)</f>
        <v/>
      </c>
      <c r="FP5">
        <f>FP4*IF(OR($C4=72,$G4=72),0,1)</f>
        <v/>
      </c>
      <c r="FQ5">
        <f>FQ4*IF(OR($C4=73,$G4=73),0,1)</f>
        <v/>
      </c>
      <c r="FR5">
        <f>FR4*IF(OR($C4=74,$G4=74),0,1)</f>
        <v/>
      </c>
      <c r="FS5">
        <f>FS4*IF(OR($C4=75,$G4=75),0,1)</f>
        <v/>
      </c>
      <c r="FT5">
        <f>FT4*IF(OR($C4=76,$G4=76),0,1)</f>
        <v/>
      </c>
      <c r="FU5">
        <f>FU4*IF(OR($C4=77,$G4=77),0,1)</f>
        <v/>
      </c>
      <c r="FV5">
        <f>FV4*IF(OR($C4=78,$G4=78),0,1)</f>
        <v/>
      </c>
      <c r="FW5">
        <f>FW4*IF(OR($C4=79,$G4=79),0,1)</f>
        <v/>
      </c>
      <c r="FX5">
        <f>FX4*IF(OR($C4=80,$G4=80),0,1)</f>
        <v/>
      </c>
      <c r="FY5">
        <f>FY4*IF(OR($C4=81,$G4=81),0,1)</f>
        <v/>
      </c>
      <c r="FZ5">
        <f>FZ4*IF(OR($C4=82,$G4=82),0,1)</f>
        <v/>
      </c>
      <c r="GA5">
        <f>GA4*IF(OR($C4=83,$G4=83),0,1)</f>
        <v/>
      </c>
      <c r="GB5">
        <f>GB4*IF(OR($C4=84,$G4=84),0,1)</f>
        <v/>
      </c>
      <c r="GC5">
        <f>GC4*IF(OR($C4=85,$G4=85),0,1)</f>
        <v/>
      </c>
      <c r="GD5">
        <f>GD4*IF(OR($C4=86,$G4=86),0,1)</f>
        <v/>
      </c>
      <c r="GE5">
        <f>GE4*IF(OR($C4=87,$G4=87),0,1)</f>
        <v/>
      </c>
      <c r="GF5">
        <f>GF4*IF(OR($C4=88,$G4=88),0,1)</f>
        <v/>
      </c>
      <c r="GG5">
        <f>GG4*IF(OR($C4=89,$G4=89),0,1)</f>
        <v/>
      </c>
      <c r="GH5">
        <f>GH4*IF(OR($C4=90,$G4=90),0,1)</f>
        <v/>
      </c>
      <c r="GI5">
        <f>GI4*IF(OR($C4=91,$G4=91),0,1)</f>
        <v/>
      </c>
      <c r="GJ5">
        <f>GJ4*IF(OR($C4=92,$G4=92),0,1)</f>
        <v/>
      </c>
      <c r="GK5">
        <f>GK4*IF(OR($C4=93,$G4=93),0,1)</f>
        <v/>
      </c>
      <c r="GL5">
        <f>GL4*IF(OR($C4=94,$G4=94),0,1)</f>
        <v/>
      </c>
      <c r="GM5">
        <f>GM4*IF(OR($C4=95,$G4=95),0,1)</f>
        <v/>
      </c>
      <c r="GN5">
        <f>GN4*IF(OR($C4=96,$G4=96),0,1)</f>
        <v/>
      </c>
      <c r="GO5">
        <f>GO4*IF(OR($C4=97,$G4=97),0,1)</f>
        <v/>
      </c>
      <c r="GP5">
        <f>GP4*IF(OR($C4=98,$G4=98),0,1)</f>
        <v/>
      </c>
      <c r="GQ5">
        <f>GQ4*IF(OR($C4=99,$G4=99),0,1)</f>
        <v/>
      </c>
      <c r="GR5">
        <f>GR4*IF(OR($C4=100,$G4=100),0,1)</f>
        <v/>
      </c>
      <c r="GS5">
        <f>GS4*IF(OR($C4=101,$G4=101),0,1)</f>
        <v/>
      </c>
      <c r="GT5">
        <f>GT4*IF(OR($C4=102,$G4=102),0,1)</f>
        <v/>
      </c>
      <c r="GU5">
        <f>GU4*IF(OR($C4=103,$G4=103),0,1)</f>
        <v/>
      </c>
      <c r="GV5">
        <f>GV4*IF(OR($C4=104,$G4=104),0,1)</f>
        <v/>
      </c>
      <c r="GW5">
        <f>GW4*IF(OR($C4=105,$G4=105),0,1)</f>
        <v/>
      </c>
      <c r="GX5">
        <f>GX4*IF(OR($C4=106,$G4=106),0,1)</f>
        <v/>
      </c>
      <c r="GY5">
        <f>GY4*IF(OR($C4=107,$G4=107),0,1)</f>
        <v/>
      </c>
      <c r="GZ5">
        <f>GZ4*IF(OR($C4=108,$G4=108),0,1)</f>
        <v/>
      </c>
      <c r="HA5">
        <f>HA4*IF(OR($C4=109,$G4=109),0,1)</f>
        <v/>
      </c>
      <c r="HB5">
        <f>HB4*IF(OR($C4=110,$G4=110),0,1)</f>
        <v/>
      </c>
      <c r="HC5">
        <f>HC4*IF(OR($C4=111,$G4=111),0,1)</f>
        <v/>
      </c>
      <c r="HD5">
        <f>HD4*IF(OR($C4=112,$G4=112),0,1)</f>
        <v/>
      </c>
      <c r="HE5">
        <f>HE4*IF(OR($C4=113,$G4=113),0,1)</f>
        <v/>
      </c>
      <c r="HF5">
        <f>HF4*IF(OR($C4=114,$G4=114),0,1)</f>
        <v/>
      </c>
      <c r="HG5">
        <f>HG4*IF(OR($C4=115,$G4=115),0,1)</f>
        <v/>
      </c>
      <c r="HH5">
        <f>HH4*IF(OR($C4=116,$G4=116),0,1)</f>
        <v/>
      </c>
      <c r="HI5">
        <f>HI4*IF(OR($C4=117,$G4=117),0,1)</f>
        <v/>
      </c>
      <c r="HJ5">
        <f>HJ4*IF(OR($C4=118,$G4=118),0,1)</f>
        <v/>
      </c>
      <c r="HK5">
        <f>HK4*IF(OR($C4=119,$G4=119),0,1)</f>
        <v/>
      </c>
      <c r="HL5">
        <f>HL4*IF(OR($C4=120,$G4=120),0,1)</f>
        <v/>
      </c>
      <c r="HM5">
        <f>HM4*IF(OR($C4=121,$G4=121),0,1)</f>
        <v/>
      </c>
      <c r="HN5">
        <f>HN4*IF(OR($C4=122,$G4=122),0,1)</f>
        <v/>
      </c>
      <c r="HO5">
        <f>HO4*IF(OR($C4=123,$G4=123),0,1)</f>
        <v/>
      </c>
      <c r="HP5">
        <f>HP4*IF(OR($C4=124,$G4=124),0,1)</f>
        <v/>
      </c>
      <c r="HQ5">
        <f>HQ4*IF(OR($C4=125,$G4=125),0,1)</f>
        <v/>
      </c>
      <c r="HR5">
        <f>HR4*IF(OR($C4=126,$G4=126),0,1)</f>
        <v/>
      </c>
      <c r="HS5">
        <f>HS4*IF(OR($C4=127,$G4=127),0,1)</f>
        <v/>
      </c>
      <c r="HT5">
        <f>HT4*IF(OR($C4=128,$G4=128),0,1)</f>
        <v/>
      </c>
      <c r="HU5">
        <f>HU4*IF(OR($C4=129,$G4=129),0,1)</f>
        <v/>
      </c>
      <c r="HV5">
        <f>HV4*IF(OR($C4=130,$G4=130),0,1)</f>
        <v/>
      </c>
      <c r="HW5">
        <f>HW4*IF(OR($C4=131,$G4=131),0,1)</f>
        <v/>
      </c>
      <c r="HX5">
        <f>HX4*IF(OR($C4=132,$G4=132),0,1)</f>
        <v/>
      </c>
      <c r="HY5">
        <f>HY4*IF(OR($C4=133,$G4=133),0,1)</f>
        <v/>
      </c>
      <c r="HZ5">
        <f>HZ4*IF(OR($C4=134,$G4=134),0,1)</f>
        <v/>
      </c>
      <c r="IA5">
        <f>IA4*IF(OR($C4=135,$G4=135),0,1)</f>
        <v/>
      </c>
      <c r="IB5">
        <f>IB4*IF(OR($C4=136,$G4=136),0,1)</f>
        <v/>
      </c>
      <c r="IC5">
        <f>IC4*IF(OR($C4=137,$G4=137),0,1)</f>
        <v/>
      </c>
      <c r="ID5">
        <f>ID4*IF(OR($C4=138,$G4=138),0,1)</f>
        <v/>
      </c>
      <c r="IE5">
        <f>IE4*IF(OR($C4=139,$G4=139),0,1)</f>
        <v/>
      </c>
      <c r="IF5">
        <f>IF4*IF(OR($C4=140,$G4=140),0,1)</f>
        <v/>
      </c>
      <c r="IG5">
        <f>IG4*IF(OR($C4=141,$G4=141),0,1)</f>
        <v/>
      </c>
      <c r="IH5">
        <f>IH4*IF(OR($C4=142,$G4=142),0,1)</f>
        <v/>
      </c>
      <c r="II5">
        <f>II4*IF(OR($C4=143,$G4=143),0,1)</f>
        <v/>
      </c>
      <c r="IJ5">
        <f>IJ4*IF(OR($C4=144,$G4=144),0,1)</f>
        <v/>
      </c>
      <c r="IK5">
        <f>IK4*IF(OR($C4=145,$G4=145),0,1)</f>
        <v/>
      </c>
      <c r="IL5">
        <f>IL4*IF(OR($C4=146,$G4=146),0,1)</f>
        <v/>
      </c>
      <c r="IM5">
        <f>IM4*IF(OR($C4=147,$G4=147),0,1)</f>
        <v/>
      </c>
      <c r="IN5">
        <f>IN4*IF(OR($C4=148,$G4=148),0,1)</f>
        <v/>
      </c>
      <c r="IO5">
        <f>IO4*IF(OR($C4=149,$G4=149),0,1)</f>
        <v/>
      </c>
      <c r="IP5">
        <f>IP4*IF(OR($C4=150,$G4=150),0,1)</f>
        <v/>
      </c>
      <c r="IQ5">
        <f>IQ4*IF(OR($C4=151,$G4=151),0,1)</f>
        <v/>
      </c>
      <c r="IR5">
        <f>IR4*IF(OR($C4=152,$G4=152),0,1)</f>
        <v/>
      </c>
      <c r="IS5">
        <f>IS4*IF(OR($C4=153,$G4=153),0,1)</f>
        <v/>
      </c>
      <c r="IT5">
        <f>IT4*IF(OR($C4=154,$G4=154),0,1)</f>
        <v/>
      </c>
      <c r="IU5">
        <f>IU4*IF(OR($C4=155,$G4=155),0,1)</f>
        <v/>
      </c>
      <c r="IV5">
        <f>IV4*IF(OR($C4=156,$G4=156),0,1)</f>
        <v/>
      </c>
      <c r="IW5">
        <f>IW4*IF(OR($C4=157,$G4=157),0,1)</f>
        <v/>
      </c>
      <c r="IX5">
        <f>IX4*IF(OR($C4=158,$G4=158),0,1)</f>
        <v/>
      </c>
      <c r="IY5">
        <f>IY4*IF(OR($C4=159,$G4=159),0,1)</f>
        <v/>
      </c>
      <c r="IZ5">
        <f>IZ4*IF(OR($C4=160,$G4=160),0,1)</f>
        <v/>
      </c>
      <c r="JA5">
        <f>JA4*IF(OR($C4=161,$G4=161),0,1)</f>
        <v/>
      </c>
      <c r="JB5">
        <f>JB4*IF(OR($C4=162,$G4=162),0,1)</f>
        <v/>
      </c>
      <c r="JC5">
        <f>JC4*IF(OR($C4=163,$G4=163),0,1)</f>
        <v/>
      </c>
      <c r="JD5">
        <f>JD4*IF(OR($C4=164,$G4=164),0,1)</f>
        <v/>
      </c>
      <c r="JE5">
        <f>JE4*IF(OR($C4=165,$G4=165),0,1)</f>
        <v/>
      </c>
      <c r="JF5">
        <f>JF4*IF(OR($C4=166,$G4=166),0,1)</f>
        <v/>
      </c>
      <c r="JG5">
        <f>JG4*IF(OR($C4=167,$G4=167),0,1)</f>
        <v/>
      </c>
      <c r="JH5">
        <f>JH4*IF(OR($C4=168,$G4=168),0,1)</f>
        <v/>
      </c>
      <c r="JI5">
        <f>JI4*IF(OR($C4=169,$G4=169),0,1)</f>
        <v/>
      </c>
      <c r="JJ5">
        <f>JJ4*IF(OR($C4=170,$G4=170),0,1)</f>
        <v/>
      </c>
      <c r="JK5">
        <f>JK4*IF(OR($C4=171,$G4=171),0,1)</f>
        <v/>
      </c>
      <c r="JL5">
        <f>JL4*IF(OR($C4=172,$G4=172),0,1)</f>
        <v/>
      </c>
      <c r="JM5">
        <f>JM4*IF(OR($C4=173,$G4=173),0,1)</f>
        <v/>
      </c>
      <c r="JN5">
        <f>JN4*IF(OR($C4=174,$G4=174),0,1)</f>
        <v/>
      </c>
      <c r="JO5">
        <f>JO4*IF(OR($C4=175,$G4=175),0,1)</f>
        <v/>
      </c>
      <c r="JP5">
        <f>JP4*IF(OR($C4=176,$G4=176),0,1)</f>
        <v/>
      </c>
      <c r="JQ5">
        <f>JQ4*IF(OR($C4=177,$G4=177),0,1)</f>
        <v/>
      </c>
      <c r="JR5">
        <f>JR4*IF(OR($C4=178,$G4=178),0,1)</f>
        <v/>
      </c>
      <c r="JS5">
        <f>JS4*IF(OR($C4=179,$G4=179),0,1)</f>
        <v/>
      </c>
      <c r="JT5">
        <f>JT4*IF(OR($C4=180,$G4=180),0,1)</f>
        <v/>
      </c>
      <c r="JU5">
        <f>JU4*IF(OR($C4=181,$G4=181),0,1)</f>
        <v/>
      </c>
      <c r="JV5">
        <f>JV4*IF(OR($C4=182,$G4=182),0,1)</f>
        <v/>
      </c>
      <c r="JW5">
        <f>JW4*IF(OR($C4=183,$G4=183),0,1)</f>
        <v/>
      </c>
      <c r="JX5">
        <f>JX4*IF(OR($C4=184,$G4=184),0,1)</f>
        <v/>
      </c>
      <c r="JY5">
        <f>JY4*IF(OR($C4=185,$G4=185),0,1)</f>
        <v/>
      </c>
      <c r="JZ5">
        <f>JZ4*IF(OR($C4=186,$G4=186),0,1)</f>
        <v/>
      </c>
      <c r="KA5">
        <f>KA4*IF(OR($C4=187,$G4=187),0,1)</f>
        <v/>
      </c>
      <c r="KB5">
        <f>KB4*IF(OR($C4=188,$G4=188),0,1)</f>
        <v/>
      </c>
      <c r="KC5">
        <f>KC4*IF(OR($C4=189,$G4=189),0,1)</f>
        <v/>
      </c>
      <c r="KD5">
        <f>KD4*IF(OR($C4=190,$G4=190),0,1)</f>
        <v/>
      </c>
      <c r="KE5">
        <f>KE4*IF(OR($C4=191,$G4=191),0,1)</f>
        <v/>
      </c>
      <c r="KF5">
        <f>KF4*IF(OR($C4=192,$G4=192),0,1)</f>
        <v/>
      </c>
      <c r="KG5">
        <f>KG4*IF(OR($C4=193,$G4=193),0,1)</f>
        <v/>
      </c>
      <c r="KH5">
        <f>KH4*IF(OR($C4=194,$G4=194),0,1)</f>
        <v/>
      </c>
      <c r="KI5">
        <f>KI4*IF(OR($C4=195,$G4=195),0,1)</f>
        <v/>
      </c>
      <c r="KJ5">
        <f>KJ4*IF(OR($C4=196,$G4=196),0,1)</f>
        <v/>
      </c>
      <c r="KK5">
        <f>KK4*IF(OR($C4=197,$G4=197),0,1)</f>
        <v/>
      </c>
      <c r="KL5">
        <f>KL4*IF(OR($C4=198,$G4=198),0,1)</f>
        <v/>
      </c>
      <c r="KM5">
        <f>KM4*IF(OR($C4=199,$G4=199),0,1)</f>
        <v/>
      </c>
      <c r="KN5">
        <f>KN4*IF(OR($C4=200,$G4=200),0,1)</f>
        <v/>
      </c>
      <c r="KO5">
        <f>KO4*IF(OR($C4=201,$G4=201),0,1)</f>
        <v/>
      </c>
      <c r="KP5">
        <f>KP4*IF(OR($C4=202,$G4=202),0,1)</f>
        <v/>
      </c>
      <c r="KQ5">
        <f>KQ4*IF(OR($C4=203,$G4=203),0,1)</f>
        <v/>
      </c>
      <c r="KR5">
        <f>KR4*IF(OR($C4=204,$G4=204),0,1)</f>
        <v/>
      </c>
      <c r="KS5">
        <f>KS4*IF(OR($C4=205,$G4=205),0,1)</f>
        <v/>
      </c>
      <c r="KT5">
        <f>KT4*IF(OR($C4=206,$G4=206),0,1)</f>
        <v/>
      </c>
      <c r="KU5">
        <f>KU4*IF(OR($C4=207,$G4=207),0,1)</f>
        <v/>
      </c>
      <c r="KV5">
        <f>KV4*IF(OR($C4=208,$G4=208),0,1)</f>
        <v/>
      </c>
      <c r="KW5">
        <f>KW4*IF(OR($C4=209,$G4=209),0,1)</f>
        <v/>
      </c>
      <c r="KX5">
        <f>KX4*IF(OR($C4=210,$G4=210),0,1)</f>
        <v/>
      </c>
      <c r="KY5">
        <f>KY4*IF(OR($C4=211,$G4=211),0,1)</f>
        <v/>
      </c>
      <c r="KZ5">
        <f>KZ4*IF(OR($C4=212,$G4=212),0,1)</f>
        <v/>
      </c>
      <c r="LA5">
        <f>LA4*IF(OR($C4=213,$G4=213),0,1)</f>
        <v/>
      </c>
      <c r="LB5">
        <f>LB4*IF(OR($C4=214,$G4=214),0,1)</f>
        <v/>
      </c>
      <c r="LC5">
        <f>LC4*IF(OR($C4=215,$G4=215),0,1)</f>
        <v/>
      </c>
      <c r="LD5">
        <f>LD4*IF(OR($C4=216,$G4=216),0,1)</f>
        <v/>
      </c>
      <c r="LE5">
        <f>LE4*IF(OR($C4=217,$G4=217),0,1)</f>
        <v/>
      </c>
      <c r="LF5">
        <f>LF4*IF(OR($C4=218,$G4=218),0,1)</f>
        <v/>
      </c>
      <c r="LG5">
        <f>LG4*IF(OR($C4=219,$G4=219),0,1)</f>
        <v/>
      </c>
      <c r="LH5">
        <f>LH4*IF(OR($C4=220,$G4=220),0,1)</f>
        <v/>
      </c>
      <c r="LI5">
        <f>LI4*IF(OR($C4=221,$G4=221),0,1)</f>
        <v/>
      </c>
      <c r="LJ5">
        <f>LJ4*IF(OR($C4=222,$G4=222),0,1)</f>
        <v/>
      </c>
      <c r="LK5">
        <f>LK4*IF(OR($C4=223,$G4=223),0,1)</f>
        <v/>
      </c>
      <c r="LL5">
        <f>LL4*IF(OR($C4=224,$G4=224),0,1)</f>
        <v/>
      </c>
      <c r="LM5">
        <f>LM4*IF(OR($C4=225,$G4=225),0,1)</f>
        <v/>
      </c>
      <c r="LN5">
        <f>LN4*IF(OR($C4=226,$G4=226),0,1)</f>
        <v/>
      </c>
      <c r="LO5">
        <f>LO4*IF(OR($C4=227,$G4=227),0,1)</f>
        <v/>
      </c>
      <c r="LP5">
        <f>LP4*IF(OR($C4=228,$G4=228),0,1)</f>
        <v/>
      </c>
      <c r="LQ5">
        <f>LQ4*IF(OR($C4=229,$G4=229),0,1)</f>
        <v/>
      </c>
      <c r="LR5">
        <f>LR4*IF(OR($C4=230,$G4=230),0,1)</f>
        <v/>
      </c>
      <c r="LS5">
        <f>LS4*IF(OR($C4=231,$G4=231),0,1)</f>
        <v/>
      </c>
      <c r="LT5">
        <f>LT4*IF(OR($C4=232,$G4=232),0,1)</f>
        <v/>
      </c>
      <c r="LU5">
        <f>LU4*IF(OR($C4=233,$G4=233),0,1)</f>
        <v/>
      </c>
      <c r="LV5">
        <f>LV4*IF(OR($C4=234,$G4=234),0,1)</f>
        <v/>
      </c>
      <c r="LW5">
        <f>LW4*IF(OR($C4=235,$G4=235),0,1)</f>
        <v/>
      </c>
      <c r="LX5">
        <f>LX4*IF(OR($C4=236,$G4=236),0,1)</f>
        <v/>
      </c>
      <c r="LY5">
        <f>LY4*IF(OR($C4=237,$G4=237),0,1)</f>
        <v/>
      </c>
      <c r="LZ5">
        <f>LZ4*IF(OR($C4=238,$G4=238),0,1)</f>
        <v/>
      </c>
      <c r="MA5">
        <f>MA4*IF(OR($C4=239,$G4=239),0,1)</f>
        <v/>
      </c>
      <c r="MB5">
        <f>MB4*IF(OR($C4=240,$G4=240),0,1)</f>
        <v/>
      </c>
      <c r="MD5">
        <f>IF('計算A'!D$106=1,CX5,1)</f>
        <v/>
      </c>
      <c r="ME5">
        <f>IF('計算A'!E$106=1,CY5,1)</f>
        <v/>
      </c>
      <c r="MF5">
        <f>IF('計算A'!F$106=1,CZ5,1)</f>
        <v/>
      </c>
      <c r="MG5">
        <f>IF('計算A'!G$106=1,DA5,1)</f>
        <v/>
      </c>
      <c r="MH5">
        <f>IF('計算A'!H$106=1,DB5,1)</f>
        <v/>
      </c>
      <c r="MI5">
        <f>IF('計算A'!I$106=1,DC5,1)</f>
        <v/>
      </c>
      <c r="MJ5">
        <f>IF('計算A'!J$106=1,DD5,1)</f>
        <v/>
      </c>
      <c r="MK5">
        <f>IF('計算A'!K$106=1,DE5,1)</f>
        <v/>
      </c>
      <c r="ML5">
        <f>IF('計算A'!L$106=1,DF5,1)</f>
        <v/>
      </c>
      <c r="MM5">
        <f>IF('計算A'!M$106=1,DG5,1)</f>
        <v/>
      </c>
      <c r="MN5">
        <f>IF('計算A'!N$106=1,DH5,1)</f>
        <v/>
      </c>
      <c r="MO5">
        <f>IF('計算A'!O$106=1,DI5,1)</f>
        <v/>
      </c>
      <c r="MP5">
        <f>IF('計算A'!P$106=1,DJ5,1)</f>
        <v/>
      </c>
      <c r="MQ5">
        <f>IF('計算A'!Q$106=1,DK5,1)</f>
        <v/>
      </c>
      <c r="MR5">
        <f>IF('計算A'!R$106=1,DL5,1)</f>
        <v/>
      </c>
      <c r="MS5">
        <f>IF('計算A'!S$106=1,DM5,1)</f>
        <v/>
      </c>
      <c r="MT5">
        <f>IF('計算A'!T$106=1,DN5,1)</f>
        <v/>
      </c>
      <c r="MU5">
        <f>IF('計算A'!U$106=1,DO5,1)</f>
        <v/>
      </c>
      <c r="MV5">
        <f>IF('計算A'!V$106=1,DP5,1)</f>
        <v/>
      </c>
      <c r="MW5">
        <f>IF('計算A'!W$106=1,DQ5,1)</f>
        <v/>
      </c>
      <c r="MX5">
        <f>IF('計算A'!X$106=1,DR5,1)</f>
        <v/>
      </c>
      <c r="MY5">
        <f>IF('計算A'!Y$106=1,DS5,1)</f>
        <v/>
      </c>
      <c r="MZ5">
        <f>IF('計算A'!Z$106=1,DT5,1)</f>
        <v/>
      </c>
      <c r="NA5">
        <f>IF('計算A'!AA$106=1,DU5,1)</f>
        <v/>
      </c>
      <c r="NB5">
        <f>IF('計算A'!AB$106=1,DV5,1)</f>
        <v/>
      </c>
      <c r="NC5">
        <f>IF('計算A'!AC$106=1,DW5,1)</f>
        <v/>
      </c>
      <c r="ND5">
        <f>IF('計算A'!AD$106=1,DX5,1)</f>
        <v/>
      </c>
      <c r="NE5">
        <f>IF('計算A'!AE$106=1,DY5,1)</f>
        <v/>
      </c>
      <c r="NF5">
        <f>IF('計算A'!AF$106=1,DZ5,1)</f>
        <v/>
      </c>
      <c r="NG5">
        <f>IF('計算A'!AG$106=1,EA5,1)</f>
        <v/>
      </c>
      <c r="NH5">
        <f>IF('計算A'!AH$106=1,EB5,1)</f>
        <v/>
      </c>
      <c r="NI5">
        <f>IF('計算A'!AI$106=1,EC5,1)</f>
        <v/>
      </c>
      <c r="NJ5">
        <f>IF('計算A'!AJ$106=1,ED5,1)</f>
        <v/>
      </c>
      <c r="NK5">
        <f>IF('計算A'!AK$106=1,EE5,1)</f>
        <v/>
      </c>
      <c r="NL5">
        <f>IF('計算A'!AL$106=1,EF5,1)</f>
        <v/>
      </c>
      <c r="NM5">
        <f>IF('計算A'!AM$106=1,EG5,1)</f>
        <v/>
      </c>
      <c r="NN5">
        <f>IF('計算A'!AN$106=1,EH5,1)</f>
        <v/>
      </c>
      <c r="NO5">
        <f>IF('計算A'!AO$106=1,EI5,1)</f>
        <v/>
      </c>
      <c r="NP5">
        <f>IF('計算A'!AP$106=1,EJ5,1)</f>
        <v/>
      </c>
      <c r="NQ5">
        <f>IF('計算A'!AQ$106=1,EK5,1)</f>
        <v/>
      </c>
      <c r="NR5">
        <f>IF('計算A'!AR$106=1,EL5,1)</f>
        <v/>
      </c>
      <c r="NS5">
        <f>IF('計算A'!AS$106=1,EM5,1)</f>
        <v/>
      </c>
      <c r="NT5">
        <f>IF('計算A'!AT$106=1,EN5,1)</f>
        <v/>
      </c>
      <c r="NU5">
        <f>IF('計算A'!AU$106=1,EO5,1)</f>
        <v/>
      </c>
      <c r="NV5">
        <f>IF('計算A'!AV$106=1,EP5,1)</f>
        <v/>
      </c>
      <c r="NW5">
        <f>IF('計算A'!AW$106=1,EQ5,1)</f>
        <v/>
      </c>
      <c r="NX5">
        <f>IF('計算A'!AX$106=1,ER5,1)</f>
        <v/>
      </c>
      <c r="NY5">
        <f>IF('計算A'!AY$106=1,ES5,1)</f>
        <v/>
      </c>
      <c r="NZ5">
        <f>IF('計算A'!AZ$106=1,ET5,1)</f>
        <v/>
      </c>
      <c r="OA5">
        <f>IF('計算A'!BA$106=1,EU5,1)</f>
        <v/>
      </c>
      <c r="OB5">
        <f>IF('計算A'!BB$106=1,EV5,1)</f>
        <v/>
      </c>
      <c r="OC5">
        <f>IF('計算A'!BC$106=1,EW5,1)</f>
        <v/>
      </c>
      <c r="OD5">
        <f>IF('計算A'!BD$106=1,EX5,1)</f>
        <v/>
      </c>
      <c r="OE5">
        <f>IF('計算A'!BE$106=1,EY5,1)</f>
        <v/>
      </c>
      <c r="OF5">
        <f>IF('計算A'!BF$106=1,EZ5,1)</f>
        <v/>
      </c>
      <c r="OG5">
        <f>IF('計算A'!BG$106=1,FA5,1)</f>
        <v/>
      </c>
      <c r="OH5">
        <f>IF('計算A'!BH$106=1,FB5,1)</f>
        <v/>
      </c>
      <c r="OI5">
        <f>IF('計算A'!BI$106=1,FC5,1)</f>
        <v/>
      </c>
      <c r="OJ5">
        <f>IF('計算A'!BJ$106=1,FD5,1)</f>
        <v/>
      </c>
      <c r="OK5">
        <f>IF('計算A'!BK$106=1,FE5,1)</f>
        <v/>
      </c>
      <c r="OL5">
        <f>IF('計算A'!BL$106=1,FF5,1)</f>
        <v/>
      </c>
      <c r="OM5">
        <f>IF('計算A'!BM$106=1,FG5,1)</f>
        <v/>
      </c>
      <c r="ON5">
        <f>IF('計算A'!BN$106=1,FH5,1)</f>
        <v/>
      </c>
      <c r="OO5">
        <f>IF('計算A'!BO$106=1,FI5,1)</f>
        <v/>
      </c>
      <c r="OP5">
        <f>IF('計算A'!BP$106=1,FJ5,1)</f>
        <v/>
      </c>
      <c r="OQ5">
        <f>IF('計算A'!BQ$106=1,FK5,1)</f>
        <v/>
      </c>
      <c r="OR5">
        <f>IF('計算A'!BR$106=1,FL5,1)</f>
        <v/>
      </c>
      <c r="OS5">
        <f>IF('計算A'!BS$106=1,FM5,1)</f>
        <v/>
      </c>
      <c r="OT5">
        <f>IF('計算A'!BT$106=1,FN5,1)</f>
        <v/>
      </c>
      <c r="OU5">
        <f>IF('計算A'!BU$106=1,FO5,1)</f>
        <v/>
      </c>
      <c r="OV5">
        <f>IF('計算A'!BV$106=1,FP5,1)</f>
        <v/>
      </c>
      <c r="OW5">
        <f>IF('計算A'!BW$106=1,FQ5,1)</f>
        <v/>
      </c>
      <c r="OX5">
        <f>IF('計算A'!BX$106=1,FR5,1)</f>
        <v/>
      </c>
      <c r="OY5">
        <f>IF('計算A'!BY$106=1,FS5,1)</f>
        <v/>
      </c>
      <c r="OZ5">
        <f>IF('計算A'!BZ$106=1,FT5,1)</f>
        <v/>
      </c>
      <c r="PA5">
        <f>IF('計算A'!CA$106=1,FU5,1)</f>
        <v/>
      </c>
      <c r="PB5">
        <f>IF('計算A'!CB$106=1,FV5,1)</f>
        <v/>
      </c>
      <c r="PC5">
        <f>IF('計算A'!CC$106=1,FW5,1)</f>
        <v/>
      </c>
      <c r="PD5">
        <f>IF('計算A'!CD$106=1,FX5,1)</f>
        <v/>
      </c>
      <c r="PE5">
        <f>IF('計算A'!CE$106=1,FY5,1)</f>
        <v/>
      </c>
      <c r="PF5">
        <f>IF('計算A'!CF$106=1,FZ5,1)</f>
        <v/>
      </c>
      <c r="PG5">
        <f>IF('計算A'!CG$106=1,GA5,1)</f>
        <v/>
      </c>
      <c r="PH5">
        <f>IF('計算A'!CH$106=1,GB5,1)</f>
        <v/>
      </c>
      <c r="PI5">
        <f>IF('計算A'!CI$106=1,GC5,1)</f>
        <v/>
      </c>
      <c r="PJ5">
        <f>IF('計算A'!CJ$106=1,GD5,1)</f>
        <v/>
      </c>
      <c r="PK5">
        <f>IF('計算A'!CK$106=1,GE5,1)</f>
        <v/>
      </c>
      <c r="PL5">
        <f>IF('計算A'!CL$106=1,GF5,1)</f>
        <v/>
      </c>
      <c r="PM5">
        <f>IF('計算A'!CM$106=1,GG5,1)</f>
        <v/>
      </c>
      <c r="PN5">
        <f>IF('計算A'!CN$106=1,GH5,1)</f>
        <v/>
      </c>
      <c r="PO5">
        <f>IF('計算A'!CO$106=1,GI5,1)</f>
        <v/>
      </c>
      <c r="PP5">
        <f>IF('計算A'!CP$106=1,GJ5,1)</f>
        <v/>
      </c>
      <c r="PQ5">
        <f>IF('計算A'!CQ$106=1,GK5,1)</f>
        <v/>
      </c>
      <c r="PR5">
        <f>IF('計算A'!CR$106=1,GL5,1)</f>
        <v/>
      </c>
      <c r="PS5">
        <f>IF('計算A'!CS$106=1,GM5,1)</f>
        <v/>
      </c>
      <c r="PT5">
        <f>IF('計算A'!CT$106=1,GN5,1)</f>
        <v/>
      </c>
      <c r="PU5">
        <f>IF('計算A'!CU$106=1,GO5,1)</f>
        <v/>
      </c>
      <c r="PV5">
        <f>IF('計算A'!CV$106=1,GP5,1)</f>
        <v/>
      </c>
      <c r="PW5">
        <f>IF('計算A'!CW$106=1,GQ5,1)</f>
        <v/>
      </c>
      <c r="PX5">
        <f>IF('計算A'!CX$106=1,GR5,1)</f>
        <v/>
      </c>
      <c r="PY5">
        <f>IF('計算A'!CY$106=1,GS5,1)</f>
        <v/>
      </c>
      <c r="PZ5">
        <f>IF('計算A'!CZ$106=1,GT5,1)</f>
        <v/>
      </c>
      <c r="QA5">
        <f>IF('計算A'!DA$106=1,GU5,1)</f>
        <v/>
      </c>
      <c r="QB5">
        <f>IF('計算A'!DB$106=1,GV5,1)</f>
        <v/>
      </c>
      <c r="QC5">
        <f>IF('計算A'!DC$106=1,GW5,1)</f>
        <v/>
      </c>
      <c r="QD5">
        <f>IF('計算A'!DD$106=1,GX5,1)</f>
        <v/>
      </c>
      <c r="QE5">
        <f>IF('計算A'!DE$106=1,GY5,1)</f>
        <v/>
      </c>
      <c r="QF5">
        <f>IF('計算A'!DF$106=1,GZ5,1)</f>
        <v/>
      </c>
      <c r="QG5">
        <f>IF('計算A'!DG$106=1,HA5,1)</f>
        <v/>
      </c>
      <c r="QH5">
        <f>IF('計算A'!DH$106=1,HB5,1)</f>
        <v/>
      </c>
      <c r="QI5">
        <f>IF('計算A'!DI$106=1,HC5,1)</f>
        <v/>
      </c>
      <c r="QJ5">
        <f>IF('計算A'!DJ$106=1,HD5,1)</f>
        <v/>
      </c>
      <c r="QK5">
        <f>IF('計算A'!DK$106=1,HE5,1)</f>
        <v/>
      </c>
      <c r="QL5">
        <f>IF('計算A'!DL$106=1,HF5,1)</f>
        <v/>
      </c>
      <c r="QM5">
        <f>IF('計算A'!DM$106=1,HG5,1)</f>
        <v/>
      </c>
      <c r="QN5">
        <f>IF('計算A'!DN$106=1,HH5,1)</f>
        <v/>
      </c>
      <c r="QO5">
        <f>IF('計算A'!DO$106=1,HI5,1)</f>
        <v/>
      </c>
      <c r="QP5">
        <f>IF('計算A'!DP$106=1,HJ5,1)</f>
        <v/>
      </c>
      <c r="QQ5">
        <f>IF('計算A'!DQ$106=1,HK5,1)</f>
        <v/>
      </c>
      <c r="QR5">
        <f>IF('計算A'!DR$106=1,HL5,1)</f>
        <v/>
      </c>
      <c r="QS5">
        <f>IF('計算A'!DS$106=1,HM5,1)</f>
        <v/>
      </c>
      <c r="QT5">
        <f>IF('計算A'!DT$106=1,HN5,1)</f>
        <v/>
      </c>
      <c r="QU5">
        <f>IF('計算A'!DU$106=1,HO5,1)</f>
        <v/>
      </c>
      <c r="QV5">
        <f>IF('計算A'!DV$106=1,HP5,1)</f>
        <v/>
      </c>
      <c r="QW5">
        <f>IF('計算A'!DW$106=1,HQ5,1)</f>
        <v/>
      </c>
      <c r="QX5">
        <f>IF('計算A'!DX$106=1,HR5,1)</f>
        <v/>
      </c>
      <c r="QY5">
        <f>IF('計算A'!DY$106=1,HS5,1)</f>
        <v/>
      </c>
      <c r="QZ5">
        <f>IF('計算A'!DZ$106=1,HT5,1)</f>
        <v/>
      </c>
      <c r="RA5">
        <f>IF('計算A'!EA$106=1,HU5,1)</f>
        <v/>
      </c>
      <c r="RB5">
        <f>IF('計算A'!EB$106=1,HV5,1)</f>
        <v/>
      </c>
      <c r="RC5">
        <f>IF('計算A'!EC$106=1,HW5,1)</f>
        <v/>
      </c>
      <c r="RD5">
        <f>IF('計算A'!ED$106=1,HX5,1)</f>
        <v/>
      </c>
      <c r="RE5">
        <f>IF('計算A'!EE$106=1,HY5,1)</f>
        <v/>
      </c>
      <c r="RF5">
        <f>IF('計算A'!EF$106=1,HZ5,1)</f>
        <v/>
      </c>
      <c r="RG5">
        <f>IF('計算A'!EG$106=1,IA5,1)</f>
        <v/>
      </c>
      <c r="RH5">
        <f>IF('計算A'!EH$106=1,IB5,1)</f>
        <v/>
      </c>
      <c r="RI5">
        <f>IF('計算A'!EI$106=1,IC5,1)</f>
        <v/>
      </c>
      <c r="RJ5">
        <f>IF('計算A'!EJ$106=1,ID5,1)</f>
        <v/>
      </c>
      <c r="RK5">
        <f>IF('計算A'!EK$106=1,IE5,1)</f>
        <v/>
      </c>
      <c r="RL5">
        <f>IF('計算A'!EL$106=1,IF5,1)</f>
        <v/>
      </c>
      <c r="RM5">
        <f>IF('計算A'!EM$106=1,IG5,1)</f>
        <v/>
      </c>
      <c r="RN5">
        <f>IF('計算A'!EN$106=1,IH5,1)</f>
        <v/>
      </c>
      <c r="RO5">
        <f>IF('計算A'!EO$106=1,II5,1)</f>
        <v/>
      </c>
      <c r="RP5">
        <f>IF('計算A'!EP$106=1,IJ5,1)</f>
        <v/>
      </c>
      <c r="RQ5">
        <f>IF('計算A'!EQ$106=1,IK5,1)</f>
        <v/>
      </c>
      <c r="RR5">
        <f>IF('計算A'!ER$106=1,IL5,1)</f>
        <v/>
      </c>
      <c r="RS5">
        <f>IF('計算A'!ES$106=1,IM5,1)</f>
        <v/>
      </c>
      <c r="RT5">
        <f>IF('計算A'!ET$106=1,IN5,1)</f>
        <v/>
      </c>
      <c r="RU5">
        <f>IF('計算A'!EU$106=1,IO5,1)</f>
        <v/>
      </c>
      <c r="RV5">
        <f>IF('計算A'!EV$106=1,IP5,1)</f>
        <v/>
      </c>
      <c r="RW5">
        <f>IF('計算A'!EW$106=1,IQ5,1)</f>
        <v/>
      </c>
      <c r="RX5">
        <f>IF('計算A'!EX$106=1,IR5,1)</f>
        <v/>
      </c>
      <c r="RY5">
        <f>IF('計算A'!EY$106=1,IS5,1)</f>
        <v/>
      </c>
      <c r="RZ5">
        <f>IF('計算A'!EZ$106=1,IT5,1)</f>
        <v/>
      </c>
      <c r="SA5">
        <f>IF('計算A'!FA$106=1,IU5,1)</f>
        <v/>
      </c>
      <c r="SB5">
        <f>IF('計算A'!FB$106=1,IV5,1)</f>
        <v/>
      </c>
      <c r="SC5">
        <f>IF('計算A'!FC$106=1,IW5,1)</f>
        <v/>
      </c>
      <c r="SD5">
        <f>IF('計算A'!FD$106=1,IX5,1)</f>
        <v/>
      </c>
      <c r="SE5">
        <f>IF('計算A'!FE$106=1,IY5,1)</f>
        <v/>
      </c>
      <c r="SF5">
        <f>IF('計算A'!FF$106=1,IZ5,1)</f>
        <v/>
      </c>
      <c r="SG5">
        <f>IF('計算A'!FG$106=1,JA5,1)</f>
        <v/>
      </c>
      <c r="SH5">
        <f>IF('計算A'!FH$106=1,JB5,1)</f>
        <v/>
      </c>
      <c r="SI5">
        <f>IF('計算A'!FI$106=1,JC5,1)</f>
        <v/>
      </c>
      <c r="SJ5">
        <f>IF('計算A'!FJ$106=1,JD5,1)</f>
        <v/>
      </c>
      <c r="SK5">
        <f>IF('計算A'!FK$106=1,JE5,1)</f>
        <v/>
      </c>
      <c r="SL5">
        <f>IF('計算A'!FL$106=1,JF5,1)</f>
        <v/>
      </c>
      <c r="SM5">
        <f>IF('計算A'!FM$106=1,JG5,1)</f>
        <v/>
      </c>
      <c r="SN5">
        <f>IF('計算A'!FN$106=1,JH5,1)</f>
        <v/>
      </c>
      <c r="SO5">
        <f>IF('計算A'!FO$106=1,JI5,1)</f>
        <v/>
      </c>
      <c r="SP5">
        <f>IF('計算A'!FP$106=1,JJ5,1)</f>
        <v/>
      </c>
      <c r="SQ5">
        <f>IF('計算A'!FQ$106=1,JK5,1)</f>
        <v/>
      </c>
      <c r="SR5">
        <f>IF('計算A'!FR$106=1,JL5,1)</f>
        <v/>
      </c>
      <c r="SS5">
        <f>IF('計算A'!FS$106=1,JM5,1)</f>
        <v/>
      </c>
      <c r="ST5">
        <f>IF('計算A'!FT$106=1,JN5,1)</f>
        <v/>
      </c>
      <c r="SU5">
        <f>IF('計算A'!FU$106=1,JO5,1)</f>
        <v/>
      </c>
      <c r="SV5">
        <f>IF('計算A'!FV$106=1,JP5,1)</f>
        <v/>
      </c>
      <c r="SW5">
        <f>IF('計算A'!FW$106=1,JQ5,1)</f>
        <v/>
      </c>
      <c r="SX5">
        <f>IF('計算A'!FX$106=1,JR5,1)</f>
        <v/>
      </c>
      <c r="SY5">
        <f>IF('計算A'!FY$106=1,JS5,1)</f>
        <v/>
      </c>
      <c r="SZ5">
        <f>IF('計算A'!FZ$106=1,JT5,1)</f>
        <v/>
      </c>
      <c r="TA5">
        <f>IF('計算A'!GA$106=1,JU5,1)</f>
        <v/>
      </c>
      <c r="TB5">
        <f>IF('計算A'!GB$106=1,JV5,1)</f>
        <v/>
      </c>
      <c r="TC5">
        <f>IF('計算A'!GC$106=1,JW5,1)</f>
        <v/>
      </c>
      <c r="TD5">
        <f>IF('計算A'!GD$106=1,JX5,1)</f>
        <v/>
      </c>
      <c r="TE5">
        <f>IF('計算A'!GE$106=1,JY5,1)</f>
        <v/>
      </c>
      <c r="TF5">
        <f>IF('計算A'!GF$106=1,JZ5,1)</f>
        <v/>
      </c>
      <c r="TG5">
        <f>IF('計算A'!GG$106=1,KA5,1)</f>
        <v/>
      </c>
      <c r="TH5">
        <f>IF('計算A'!GH$106=1,KB5,1)</f>
        <v/>
      </c>
      <c r="TI5">
        <f>IF('計算A'!GI$106=1,KC5,1)</f>
        <v/>
      </c>
      <c r="TJ5">
        <f>IF('計算A'!GJ$106=1,KD5,1)</f>
        <v/>
      </c>
      <c r="TK5">
        <f>IF('計算A'!GK$106=1,KE5,1)</f>
        <v/>
      </c>
      <c r="TL5">
        <f>IF('計算A'!GL$106=1,KF5,1)</f>
        <v/>
      </c>
      <c r="TM5">
        <f>IF('計算A'!GM$106=1,KG5,1)</f>
        <v/>
      </c>
      <c r="TN5">
        <f>IF('計算A'!GN$106=1,KH5,1)</f>
        <v/>
      </c>
      <c r="TO5">
        <f>IF('計算A'!GO$106=1,KI5,1)</f>
        <v/>
      </c>
      <c r="TP5">
        <f>IF('計算A'!GP$106=1,KJ5,1)</f>
        <v/>
      </c>
      <c r="TQ5">
        <f>IF('計算A'!GQ$106=1,KK5,1)</f>
        <v/>
      </c>
      <c r="TR5">
        <f>IF('計算A'!GR$106=1,KL5,1)</f>
        <v/>
      </c>
      <c r="TS5">
        <f>IF('計算A'!GS$106=1,KM5,1)</f>
        <v/>
      </c>
      <c r="TT5">
        <f>IF('計算A'!GT$106=1,KN5,1)</f>
        <v/>
      </c>
      <c r="TU5">
        <f>IF('計算A'!GU$106=1,KO5,1)</f>
        <v/>
      </c>
      <c r="TV5">
        <f>IF('計算A'!GV$106=1,KP5,1)</f>
        <v/>
      </c>
      <c r="TW5">
        <f>IF('計算A'!GW$106=1,KQ5,1)</f>
        <v/>
      </c>
      <c r="TX5">
        <f>IF('計算A'!GX$106=1,KR5,1)</f>
        <v/>
      </c>
      <c r="TY5">
        <f>IF('計算A'!GY$106=1,KS5,1)</f>
        <v/>
      </c>
      <c r="TZ5">
        <f>IF('計算A'!GZ$106=1,KT5,1)</f>
        <v/>
      </c>
      <c r="UA5">
        <f>IF('計算A'!HA$106=1,KU5,1)</f>
        <v/>
      </c>
      <c r="UB5">
        <f>IF('計算A'!HB$106=1,KV5,1)</f>
        <v/>
      </c>
      <c r="UC5">
        <f>IF('計算A'!HC$106=1,KW5,1)</f>
        <v/>
      </c>
      <c r="UD5">
        <f>IF('計算A'!HD$106=1,KX5,1)</f>
        <v/>
      </c>
      <c r="UE5">
        <f>IF('計算A'!HE$106=1,KY5,1)</f>
        <v/>
      </c>
      <c r="UF5">
        <f>IF('計算A'!HF$106=1,KZ5,1)</f>
        <v/>
      </c>
      <c r="UG5">
        <f>IF('計算A'!HG$106=1,LA5,1)</f>
        <v/>
      </c>
      <c r="UH5">
        <f>IF('計算A'!HH$106=1,LB5,1)</f>
        <v/>
      </c>
      <c r="UI5">
        <f>IF('計算A'!HI$106=1,LC5,1)</f>
        <v/>
      </c>
      <c r="UJ5">
        <f>IF('計算A'!HJ$106=1,LD5,1)</f>
        <v/>
      </c>
      <c r="UK5">
        <f>IF('計算A'!HK$106=1,LE5,1)</f>
        <v/>
      </c>
      <c r="UL5">
        <f>IF('計算A'!HL$106=1,LF5,1)</f>
        <v/>
      </c>
      <c r="UM5">
        <f>IF('計算A'!HM$106=1,LG5,1)</f>
        <v/>
      </c>
      <c r="UN5">
        <f>IF('計算A'!HN$106=1,LH5,1)</f>
        <v/>
      </c>
      <c r="UO5">
        <f>IF('計算A'!HO$106=1,LI5,1)</f>
        <v/>
      </c>
      <c r="UP5">
        <f>IF('計算A'!HP$106=1,LJ5,1)</f>
        <v/>
      </c>
      <c r="UQ5">
        <f>IF('計算A'!HQ$106=1,LK5,1)</f>
        <v/>
      </c>
      <c r="UR5">
        <f>IF('計算A'!HR$106=1,LL5,1)</f>
        <v/>
      </c>
      <c r="US5">
        <f>IF('計算A'!HS$106=1,LM5,1)</f>
        <v/>
      </c>
      <c r="UT5">
        <f>IF('計算A'!HT$106=1,LN5,1)</f>
        <v/>
      </c>
      <c r="UU5">
        <f>IF('計算A'!HU$106=1,LO5,1)</f>
        <v/>
      </c>
      <c r="UV5">
        <f>IF('計算A'!HV$106=1,LP5,1)</f>
        <v/>
      </c>
      <c r="UW5">
        <f>IF('計算A'!HW$106=1,LQ5,1)</f>
        <v/>
      </c>
      <c r="UX5">
        <f>IF('計算A'!HX$106=1,LR5,1)</f>
        <v/>
      </c>
      <c r="UY5">
        <f>IF('計算A'!HY$106=1,LS5,1)</f>
        <v/>
      </c>
      <c r="UZ5">
        <f>IF('計算A'!HZ$106=1,LT5,1)</f>
        <v/>
      </c>
      <c r="VA5">
        <f>IF('計算A'!IA$106=1,LU5,1)</f>
        <v/>
      </c>
      <c r="VB5">
        <f>IF('計算A'!IB$106=1,LV5,1)</f>
        <v/>
      </c>
      <c r="VC5">
        <f>IF('計算A'!IC$106=1,LW5,1)</f>
        <v/>
      </c>
      <c r="VD5">
        <f>IF('計算A'!ID$106=1,LX5,1)</f>
        <v/>
      </c>
      <c r="VE5">
        <f>IF('計算A'!IE$106=1,LY5,1)</f>
        <v/>
      </c>
      <c r="VF5">
        <f>IF('計算A'!IF$106=1,LZ5,1)</f>
        <v/>
      </c>
      <c r="VG5">
        <f>IF('計算A'!IG$106=1,MA5,1)</f>
        <v/>
      </c>
      <c r="VH5">
        <f>IF('計算A'!IH$106=1,MB5,1)</f>
        <v/>
      </c>
      <c r="VI5" t="n">
        <v>1</v>
      </c>
      <c r="VK5">
        <f>IF($B5=0,1000000,IF(INDEX('計算A'!$D$60:$II$104,$B5,1)*CW5=1,IF(AND($E5=2,MD5=0),1000000,INDEX('計算A'!D$110:D$114,$F5+1)+IF(AND($E5=1,MD5=0),1000,0)),1000000))</f>
        <v/>
      </c>
      <c r="VL5">
        <f>IF($B5=0,1000000,IF(INDEX('計算A'!$D$60:$II$104,$B5,2)*CX5=1,IF(AND($E5=2,ME5=0),1000000,INDEX('計算A'!E$110:E$114,$F5+1)+IF(AND($E5=1,ME5=0),1000,0)),1000000))</f>
        <v/>
      </c>
      <c r="VM5">
        <f>IF($B5=0,1000000,IF(INDEX('計算A'!$D$60:$II$104,$B5,3)*CY5=1,IF(AND($E5=2,MF5=0),1000000,INDEX('計算A'!F$110:F$114,$F5+1)+IF(AND($E5=1,MF5=0),1000,0)),1000000))</f>
        <v/>
      </c>
      <c r="VN5">
        <f>IF($B5=0,1000000,IF(INDEX('計算A'!$D$60:$II$104,$B5,4)*CZ5=1,IF(AND($E5=2,MG5=0),1000000,INDEX('計算A'!G$110:G$114,$F5+1)+IF(AND($E5=1,MG5=0),1000,0)),1000000))</f>
        <v/>
      </c>
      <c r="VO5">
        <f>IF($B5=0,1000000,IF(INDEX('計算A'!$D$60:$II$104,$B5,5)*DA5=1,IF(AND($E5=2,MH5=0),1000000,INDEX('計算A'!H$110:H$114,$F5+1)+IF(AND($E5=1,MH5=0),1000,0)),1000000))</f>
        <v/>
      </c>
      <c r="VP5">
        <f>IF($B5=0,1000000,IF(INDEX('計算A'!$D$60:$II$104,$B5,6)*DB5=1,IF(AND($E5=2,MI5=0),1000000,INDEX('計算A'!I$110:I$114,$F5+1)+IF(AND($E5=1,MI5=0),1000,0)),1000000))</f>
        <v/>
      </c>
      <c r="VQ5">
        <f>IF($B5=0,1000000,IF(INDEX('計算A'!$D$60:$II$104,$B5,7)*DC5=1,IF(AND($E5=2,MJ5=0),1000000,INDEX('計算A'!J$110:J$114,$F5+1)+IF(AND($E5=1,MJ5=0),1000,0)),1000000))</f>
        <v/>
      </c>
      <c r="VR5">
        <f>IF($B5=0,1000000,IF(INDEX('計算A'!$D$60:$II$104,$B5,8)*DD5=1,IF(AND($E5=2,MK5=0),1000000,INDEX('計算A'!K$110:K$114,$F5+1)+IF(AND($E5=1,MK5=0),1000,0)),1000000))</f>
        <v/>
      </c>
      <c r="VS5">
        <f>IF($B5=0,1000000,IF(INDEX('計算A'!$D$60:$II$104,$B5,9)*DE5=1,IF(AND($E5=2,ML5=0),1000000,INDEX('計算A'!L$110:L$114,$F5+1)+IF(AND($E5=1,ML5=0),1000,0)),1000000))</f>
        <v/>
      </c>
      <c r="VT5">
        <f>IF($B5=0,1000000,IF(INDEX('計算A'!$D$60:$II$104,$B5,10)*DF5=1,IF(AND($E5=2,MM5=0),1000000,INDEX('計算A'!M$110:M$114,$F5+1)+IF(AND($E5=1,MM5=0),1000,0)),1000000))</f>
        <v/>
      </c>
      <c r="VU5">
        <f>IF($B5=0,1000000,IF(INDEX('計算A'!$D$60:$II$104,$B5,11)*DG5=1,IF(AND($E5=2,MN5=0),1000000,INDEX('計算A'!N$110:N$114,$F5+1)+IF(AND($E5=1,MN5=0),1000,0)),1000000))</f>
        <v/>
      </c>
      <c r="VV5">
        <f>IF($B5=0,1000000,IF(INDEX('計算A'!$D$60:$II$104,$B5,12)*DH5=1,IF(AND($E5=2,MO5=0),1000000,INDEX('計算A'!O$110:O$114,$F5+1)+IF(AND($E5=1,MO5=0),1000,0)),1000000))</f>
        <v/>
      </c>
      <c r="VW5">
        <f>IF($B5=0,1000000,IF(INDEX('計算A'!$D$60:$II$104,$B5,13)*DI5=1,IF(AND($E5=2,MP5=0),1000000,INDEX('計算A'!P$110:P$114,$F5+1)+IF(AND($E5=1,MP5=0),1000,0)),1000000))</f>
        <v/>
      </c>
      <c r="VX5">
        <f>IF($B5=0,1000000,IF(INDEX('計算A'!$D$60:$II$104,$B5,14)*DJ5=1,IF(AND($E5=2,MQ5=0),1000000,INDEX('計算A'!Q$110:Q$114,$F5+1)+IF(AND($E5=1,MQ5=0),1000,0)),1000000))</f>
        <v/>
      </c>
      <c r="VY5">
        <f>IF($B5=0,1000000,IF(INDEX('計算A'!$D$60:$II$104,$B5,15)*DK5=1,IF(AND($E5=2,MR5=0),1000000,INDEX('計算A'!R$110:R$114,$F5+1)+IF(AND($E5=1,MR5=0),1000,0)),1000000))</f>
        <v/>
      </c>
      <c r="VZ5">
        <f>IF($B5=0,1000000,IF(INDEX('計算A'!$D$60:$II$104,$B5,16)*DL5=1,IF(AND($E5=2,MS5=0),1000000,INDEX('計算A'!S$110:S$114,$F5+1)+IF(AND($E5=1,MS5=0),1000,0)),1000000))</f>
        <v/>
      </c>
      <c r="WA5">
        <f>IF($B5=0,1000000,IF(INDEX('計算A'!$D$60:$II$104,$B5,17)*DM5=1,IF(AND($E5=2,MT5=0),1000000,INDEX('計算A'!T$110:T$114,$F5+1)+IF(AND($E5=1,MT5=0),1000,0)),1000000))</f>
        <v/>
      </c>
      <c r="WB5">
        <f>IF($B5=0,1000000,IF(INDEX('計算A'!$D$60:$II$104,$B5,18)*DN5=1,IF(AND($E5=2,MU5=0),1000000,INDEX('計算A'!U$110:U$114,$F5+1)+IF(AND($E5=1,MU5=0),1000,0)),1000000))</f>
        <v/>
      </c>
      <c r="WC5">
        <f>IF($B5=0,1000000,IF(INDEX('計算A'!$D$60:$II$104,$B5,19)*DO5=1,IF(AND($E5=2,MV5=0),1000000,INDEX('計算A'!V$110:V$114,$F5+1)+IF(AND($E5=1,MV5=0),1000,0)),1000000))</f>
        <v/>
      </c>
      <c r="WD5">
        <f>IF($B5=0,1000000,IF(INDEX('計算A'!$D$60:$II$104,$B5,20)*DP5=1,IF(AND($E5=2,MW5=0),1000000,INDEX('計算A'!W$110:W$114,$F5+1)+IF(AND($E5=1,MW5=0),1000,0)),1000000))</f>
        <v/>
      </c>
      <c r="WE5">
        <f>IF($B5=0,1000000,IF(INDEX('計算A'!$D$60:$II$104,$B5,21)*DQ5=1,IF(AND($E5=2,MX5=0),1000000,INDEX('計算A'!X$110:X$114,$F5+1)+IF(AND($E5=1,MX5=0),1000,0)),1000000))</f>
        <v/>
      </c>
      <c r="WF5">
        <f>IF($B5=0,1000000,IF(INDEX('計算A'!$D$60:$II$104,$B5,22)*DR5=1,IF(AND($E5=2,MY5=0),1000000,INDEX('計算A'!Y$110:Y$114,$F5+1)+IF(AND($E5=1,MY5=0),1000,0)),1000000))</f>
        <v/>
      </c>
      <c r="WG5">
        <f>IF($B5=0,1000000,IF(INDEX('計算A'!$D$60:$II$104,$B5,23)*DS5=1,IF(AND($E5=2,MZ5=0),1000000,INDEX('計算A'!Z$110:Z$114,$F5+1)+IF(AND($E5=1,MZ5=0),1000,0)),1000000))</f>
        <v/>
      </c>
      <c r="WH5">
        <f>IF($B5=0,1000000,IF(INDEX('計算A'!$D$60:$II$104,$B5,24)*DT5=1,IF(AND($E5=2,NA5=0),1000000,INDEX('計算A'!AA$110:AA$114,$F5+1)+IF(AND($E5=1,NA5=0),1000,0)),1000000))</f>
        <v/>
      </c>
      <c r="WI5">
        <f>IF($B5=0,1000000,IF(INDEX('計算A'!$D$60:$II$104,$B5,25)*DU5=1,IF(AND($E5=2,NB5=0),1000000,INDEX('計算A'!AB$110:AB$114,$F5+1)+IF(AND($E5=1,NB5=0),1000,0)),1000000))</f>
        <v/>
      </c>
      <c r="WJ5">
        <f>IF($B5=0,1000000,IF(INDEX('計算A'!$D$60:$II$104,$B5,26)*DV5=1,IF(AND($E5=2,NC5=0),1000000,INDEX('計算A'!AC$110:AC$114,$F5+1)+IF(AND($E5=1,NC5=0),1000,0)),1000000))</f>
        <v/>
      </c>
      <c r="WK5">
        <f>IF($B5=0,1000000,IF(INDEX('計算A'!$D$60:$II$104,$B5,27)*DW5=1,IF(AND($E5=2,ND5=0),1000000,INDEX('計算A'!AD$110:AD$114,$F5+1)+IF(AND($E5=1,ND5=0),1000,0)),1000000))</f>
        <v/>
      </c>
      <c r="WL5">
        <f>IF($B5=0,1000000,IF(INDEX('計算A'!$D$60:$II$104,$B5,28)*DX5=1,IF(AND($E5=2,NE5=0),1000000,INDEX('計算A'!AE$110:AE$114,$F5+1)+IF(AND($E5=1,NE5=0),1000,0)),1000000))</f>
        <v/>
      </c>
      <c r="WM5">
        <f>IF($B5=0,1000000,IF(INDEX('計算A'!$D$60:$II$104,$B5,29)*DY5=1,IF(AND($E5=2,NF5=0),1000000,INDEX('計算A'!AF$110:AF$114,$F5+1)+IF(AND($E5=1,NF5=0),1000,0)),1000000))</f>
        <v/>
      </c>
      <c r="WN5">
        <f>IF($B5=0,1000000,IF(INDEX('計算A'!$D$60:$II$104,$B5,30)*DZ5=1,IF(AND($E5=2,NG5=0),1000000,INDEX('計算A'!AG$110:AG$114,$F5+1)+IF(AND($E5=1,NG5=0),1000,0)),1000000))</f>
        <v/>
      </c>
      <c r="WO5">
        <f>IF($B5=0,1000000,IF(INDEX('計算A'!$D$60:$II$104,$B5,31)*EA5=1,IF(AND($E5=2,NH5=0),1000000,INDEX('計算A'!AH$110:AH$114,$F5+1)+IF(AND($E5=1,NH5=0),1000,0)),1000000))</f>
        <v/>
      </c>
      <c r="WP5">
        <f>IF($B5=0,1000000,IF(INDEX('計算A'!$D$60:$II$104,$B5,32)*EB5=1,IF(AND($E5=2,NI5=0),1000000,INDEX('計算A'!AI$110:AI$114,$F5+1)+IF(AND($E5=1,NI5=0),1000,0)),1000000))</f>
        <v/>
      </c>
      <c r="WQ5">
        <f>IF($B5=0,1000000,IF(INDEX('計算A'!$D$60:$II$104,$B5,33)*EC5=1,IF(AND($E5=2,NJ5=0),1000000,INDEX('計算A'!AJ$110:AJ$114,$F5+1)+IF(AND($E5=1,NJ5=0),1000,0)),1000000))</f>
        <v/>
      </c>
      <c r="WR5">
        <f>IF($B5=0,1000000,IF(INDEX('計算A'!$D$60:$II$104,$B5,34)*ED5=1,IF(AND($E5=2,NK5=0),1000000,INDEX('計算A'!AK$110:AK$114,$F5+1)+IF(AND($E5=1,NK5=0),1000,0)),1000000))</f>
        <v/>
      </c>
      <c r="WS5">
        <f>IF($B5=0,1000000,IF(INDEX('計算A'!$D$60:$II$104,$B5,35)*EE5=1,IF(AND($E5=2,NL5=0),1000000,INDEX('計算A'!AL$110:AL$114,$F5+1)+IF(AND($E5=1,NL5=0),1000,0)),1000000))</f>
        <v/>
      </c>
      <c r="WT5">
        <f>IF($B5=0,1000000,IF(INDEX('計算A'!$D$60:$II$104,$B5,36)*EF5=1,IF(AND($E5=2,NM5=0),1000000,INDEX('計算A'!AM$110:AM$114,$F5+1)+IF(AND($E5=1,NM5=0),1000,0)),1000000))</f>
        <v/>
      </c>
      <c r="WU5">
        <f>IF($B5=0,1000000,IF(INDEX('計算A'!$D$60:$II$104,$B5,37)*EG5=1,IF(AND($E5=2,NN5=0),1000000,INDEX('計算A'!AN$110:AN$114,$F5+1)+IF(AND($E5=1,NN5=0),1000,0)),1000000))</f>
        <v/>
      </c>
      <c r="WV5">
        <f>IF($B5=0,1000000,IF(INDEX('計算A'!$D$60:$II$104,$B5,38)*EH5=1,IF(AND($E5=2,NO5=0),1000000,INDEX('計算A'!AO$110:AO$114,$F5+1)+IF(AND($E5=1,NO5=0),1000,0)),1000000))</f>
        <v/>
      </c>
      <c r="WW5">
        <f>IF($B5=0,1000000,IF(INDEX('計算A'!$D$60:$II$104,$B5,39)*EI5=1,IF(AND($E5=2,NP5=0),1000000,INDEX('計算A'!AP$110:AP$114,$F5+1)+IF(AND($E5=1,NP5=0),1000,0)),1000000))</f>
        <v/>
      </c>
      <c r="WX5">
        <f>IF($B5=0,1000000,IF(INDEX('計算A'!$D$60:$II$104,$B5,40)*EJ5=1,IF(AND($E5=2,NQ5=0),1000000,INDEX('計算A'!AQ$110:AQ$114,$F5+1)+IF(AND($E5=1,NQ5=0),1000,0)),1000000))</f>
        <v/>
      </c>
      <c r="WY5">
        <f>IF($B5=0,1000000,IF(INDEX('計算A'!$D$60:$II$104,$B5,41)*EK5=1,IF(AND($E5=2,NR5=0),1000000,INDEX('計算A'!AR$110:AR$114,$F5+1)+IF(AND($E5=1,NR5=0),1000,0)),1000000))</f>
        <v/>
      </c>
      <c r="WZ5">
        <f>IF($B5=0,1000000,IF(INDEX('計算A'!$D$60:$II$104,$B5,42)*EL5=1,IF(AND($E5=2,NS5=0),1000000,INDEX('計算A'!AS$110:AS$114,$F5+1)+IF(AND($E5=1,NS5=0),1000,0)),1000000))</f>
        <v/>
      </c>
      <c r="XA5">
        <f>IF($B5=0,1000000,IF(INDEX('計算A'!$D$60:$II$104,$B5,43)*EM5=1,IF(AND($E5=2,NT5=0),1000000,INDEX('計算A'!AT$110:AT$114,$F5+1)+IF(AND($E5=1,NT5=0),1000,0)),1000000))</f>
        <v/>
      </c>
      <c r="XB5">
        <f>IF($B5=0,1000000,IF(INDEX('計算A'!$D$60:$II$104,$B5,44)*EN5=1,IF(AND($E5=2,NU5=0),1000000,INDEX('計算A'!AU$110:AU$114,$F5+1)+IF(AND($E5=1,NU5=0),1000,0)),1000000))</f>
        <v/>
      </c>
      <c r="XC5">
        <f>IF($B5=0,1000000,IF(INDEX('計算A'!$D$60:$II$104,$B5,45)*EO5=1,IF(AND($E5=2,NV5=0),1000000,INDEX('計算A'!AV$110:AV$114,$F5+1)+IF(AND($E5=1,NV5=0),1000,0)),1000000))</f>
        <v/>
      </c>
      <c r="XD5">
        <f>IF($B5=0,1000000,IF(INDEX('計算A'!$D$60:$II$104,$B5,46)*EP5=1,IF(AND($E5=2,NW5=0),1000000,INDEX('計算A'!AW$110:AW$114,$F5+1)+IF(AND($E5=1,NW5=0),1000,0)),1000000))</f>
        <v/>
      </c>
      <c r="XE5">
        <f>IF($B5=0,1000000,IF(INDEX('計算A'!$D$60:$II$104,$B5,47)*EQ5=1,IF(AND($E5=2,NX5=0),1000000,INDEX('計算A'!AX$110:AX$114,$F5+1)+IF(AND($E5=1,NX5=0),1000,0)),1000000))</f>
        <v/>
      </c>
      <c r="XF5">
        <f>IF($B5=0,1000000,IF(INDEX('計算A'!$D$60:$II$104,$B5,48)*ER5=1,IF(AND($E5=2,NY5=0),1000000,INDEX('計算A'!AY$110:AY$114,$F5+1)+IF(AND($E5=1,NY5=0),1000,0)),1000000))</f>
        <v/>
      </c>
      <c r="XG5">
        <f>IF($B5=0,1000000,IF(INDEX('計算A'!$D$60:$II$104,$B5,49)*ES5=1,IF(AND($E5=2,NZ5=0),1000000,INDEX('計算A'!AZ$110:AZ$114,$F5+1)+IF(AND($E5=1,NZ5=0),1000,0)),1000000))</f>
        <v/>
      </c>
      <c r="XH5">
        <f>IF($B5=0,1000000,IF(INDEX('計算A'!$D$60:$II$104,$B5,50)*ET5=1,IF(AND($E5=2,OA5=0),1000000,INDEX('計算A'!BA$110:BA$114,$F5+1)+IF(AND($E5=1,OA5=0),1000,0)),1000000))</f>
        <v/>
      </c>
      <c r="XI5">
        <f>IF($B5=0,1000000,IF(INDEX('計算A'!$D$60:$II$104,$B5,51)*EU5=1,IF(AND($E5=2,OB5=0),1000000,INDEX('計算A'!BB$110:BB$114,$F5+1)+IF(AND($E5=1,OB5=0),1000,0)),1000000))</f>
        <v/>
      </c>
      <c r="XJ5">
        <f>IF($B5=0,1000000,IF(INDEX('計算A'!$D$60:$II$104,$B5,52)*EV5=1,IF(AND($E5=2,OC5=0),1000000,INDEX('計算A'!BC$110:BC$114,$F5+1)+IF(AND($E5=1,OC5=0),1000,0)),1000000))</f>
        <v/>
      </c>
      <c r="XK5">
        <f>IF($B5=0,1000000,IF(INDEX('計算A'!$D$60:$II$104,$B5,53)*EW5=1,IF(AND($E5=2,OD5=0),1000000,INDEX('計算A'!BD$110:BD$114,$F5+1)+IF(AND($E5=1,OD5=0),1000,0)),1000000))</f>
        <v/>
      </c>
      <c r="XL5">
        <f>IF($B5=0,1000000,IF(INDEX('計算A'!$D$60:$II$104,$B5,54)*EX5=1,IF(AND($E5=2,OE5=0),1000000,INDEX('計算A'!BE$110:BE$114,$F5+1)+IF(AND($E5=1,OE5=0),1000,0)),1000000))</f>
        <v/>
      </c>
      <c r="XM5">
        <f>IF($B5=0,1000000,IF(INDEX('計算A'!$D$60:$II$104,$B5,55)*EY5=1,IF(AND($E5=2,OF5=0),1000000,INDEX('計算A'!BF$110:BF$114,$F5+1)+IF(AND($E5=1,OF5=0),1000,0)),1000000))</f>
        <v/>
      </c>
      <c r="XN5">
        <f>IF($B5=0,1000000,IF(INDEX('計算A'!$D$60:$II$104,$B5,56)*EZ5=1,IF(AND($E5=2,OG5=0),1000000,INDEX('計算A'!BG$110:BG$114,$F5+1)+IF(AND($E5=1,OG5=0),1000,0)),1000000))</f>
        <v/>
      </c>
      <c r="XO5">
        <f>IF($B5=0,1000000,IF(INDEX('計算A'!$D$60:$II$104,$B5,57)*FA5=1,IF(AND($E5=2,OH5=0),1000000,INDEX('計算A'!BH$110:BH$114,$F5+1)+IF(AND($E5=1,OH5=0),1000,0)),1000000))</f>
        <v/>
      </c>
      <c r="XP5">
        <f>IF($B5=0,1000000,IF(INDEX('計算A'!$D$60:$II$104,$B5,58)*FB5=1,IF(AND($E5=2,OI5=0),1000000,INDEX('計算A'!BI$110:BI$114,$F5+1)+IF(AND($E5=1,OI5=0),1000,0)),1000000))</f>
        <v/>
      </c>
      <c r="XQ5">
        <f>IF($B5=0,1000000,IF(INDEX('計算A'!$D$60:$II$104,$B5,59)*FC5=1,IF(AND($E5=2,OJ5=0),1000000,INDEX('計算A'!BJ$110:BJ$114,$F5+1)+IF(AND($E5=1,OJ5=0),1000,0)),1000000))</f>
        <v/>
      </c>
      <c r="XR5">
        <f>IF($B5=0,1000000,IF(INDEX('計算A'!$D$60:$II$104,$B5,60)*FD5=1,IF(AND($E5=2,OK5=0),1000000,INDEX('計算A'!BK$110:BK$114,$F5+1)+IF(AND($E5=1,OK5=0),1000,0)),1000000))</f>
        <v/>
      </c>
      <c r="XS5">
        <f>IF($B5=0,1000000,IF(INDEX('計算A'!$D$60:$II$104,$B5,61)*FE5=1,IF(AND($E5=2,OL5=0),1000000,INDEX('計算A'!BL$110:BL$114,$F5+1)+IF(AND($E5=1,OL5=0),1000,0)),1000000))</f>
        <v/>
      </c>
      <c r="XT5">
        <f>IF($B5=0,1000000,IF(INDEX('計算A'!$D$60:$II$104,$B5,62)*FF5=1,IF(AND($E5=2,OM5=0),1000000,INDEX('計算A'!BM$110:BM$114,$F5+1)+IF(AND($E5=1,OM5=0),1000,0)),1000000))</f>
        <v/>
      </c>
      <c r="XU5">
        <f>IF($B5=0,1000000,IF(INDEX('計算A'!$D$60:$II$104,$B5,63)*FG5=1,IF(AND($E5=2,ON5=0),1000000,INDEX('計算A'!BN$110:BN$114,$F5+1)+IF(AND($E5=1,ON5=0),1000,0)),1000000))</f>
        <v/>
      </c>
      <c r="XV5">
        <f>IF($B5=0,1000000,IF(INDEX('計算A'!$D$60:$II$104,$B5,64)*FH5=1,IF(AND($E5=2,OO5=0),1000000,INDEX('計算A'!BO$110:BO$114,$F5+1)+IF(AND($E5=1,OO5=0),1000,0)),1000000))</f>
        <v/>
      </c>
      <c r="XW5">
        <f>IF($B5=0,1000000,IF(INDEX('計算A'!$D$60:$II$104,$B5,65)*FI5=1,IF(AND($E5=2,OP5=0),1000000,INDEX('計算A'!BP$110:BP$114,$F5+1)+IF(AND($E5=1,OP5=0),1000,0)),1000000))</f>
        <v/>
      </c>
      <c r="XX5">
        <f>IF($B5=0,1000000,IF(INDEX('計算A'!$D$60:$II$104,$B5,66)*FJ5=1,IF(AND($E5=2,OQ5=0),1000000,INDEX('計算A'!BQ$110:BQ$114,$F5+1)+IF(AND($E5=1,OQ5=0),1000,0)),1000000))</f>
        <v/>
      </c>
      <c r="XY5">
        <f>IF($B5=0,1000000,IF(INDEX('計算A'!$D$60:$II$104,$B5,67)*FK5=1,IF(AND($E5=2,OR5=0),1000000,INDEX('計算A'!BR$110:BR$114,$F5+1)+IF(AND($E5=1,OR5=0),1000,0)),1000000))</f>
        <v/>
      </c>
      <c r="XZ5">
        <f>IF($B5=0,1000000,IF(INDEX('計算A'!$D$60:$II$104,$B5,68)*FL5=1,IF(AND($E5=2,OS5=0),1000000,INDEX('計算A'!BS$110:BS$114,$F5+1)+IF(AND($E5=1,OS5=0),1000,0)),1000000))</f>
        <v/>
      </c>
      <c r="YA5">
        <f>IF($B5=0,1000000,IF(INDEX('計算A'!$D$60:$II$104,$B5,69)*FM5=1,IF(AND($E5=2,OT5=0),1000000,INDEX('計算A'!BT$110:BT$114,$F5+1)+IF(AND($E5=1,OT5=0),1000,0)),1000000))</f>
        <v/>
      </c>
      <c r="YB5">
        <f>IF($B5=0,1000000,IF(INDEX('計算A'!$D$60:$II$104,$B5,70)*FN5=1,IF(AND($E5=2,OU5=0),1000000,INDEX('計算A'!BU$110:BU$114,$F5+1)+IF(AND($E5=1,OU5=0),1000,0)),1000000))</f>
        <v/>
      </c>
      <c r="YC5">
        <f>IF($B5=0,1000000,IF(INDEX('計算A'!$D$60:$II$104,$B5,71)*FO5=1,IF(AND($E5=2,OV5=0),1000000,INDEX('計算A'!BV$110:BV$114,$F5+1)+IF(AND($E5=1,OV5=0),1000,0)),1000000))</f>
        <v/>
      </c>
      <c r="YD5">
        <f>IF($B5=0,1000000,IF(INDEX('計算A'!$D$60:$II$104,$B5,72)*FP5=1,IF(AND($E5=2,OW5=0),1000000,INDEX('計算A'!BW$110:BW$114,$F5+1)+IF(AND($E5=1,OW5=0),1000,0)),1000000))</f>
        <v/>
      </c>
      <c r="YE5">
        <f>IF($B5=0,1000000,IF(INDEX('計算A'!$D$60:$II$104,$B5,73)*FQ5=1,IF(AND($E5=2,OX5=0),1000000,INDEX('計算A'!BX$110:BX$114,$F5+1)+IF(AND($E5=1,OX5=0),1000,0)),1000000))</f>
        <v/>
      </c>
      <c r="YF5">
        <f>IF($B5=0,1000000,IF(INDEX('計算A'!$D$60:$II$104,$B5,74)*FR5=1,IF(AND($E5=2,OY5=0),1000000,INDEX('計算A'!BY$110:BY$114,$F5+1)+IF(AND($E5=1,OY5=0),1000,0)),1000000))</f>
        <v/>
      </c>
      <c r="YG5">
        <f>IF($B5=0,1000000,IF(INDEX('計算A'!$D$60:$II$104,$B5,75)*FS5=1,IF(AND($E5=2,OZ5=0),1000000,INDEX('計算A'!BZ$110:BZ$114,$F5+1)+IF(AND($E5=1,OZ5=0),1000,0)),1000000))</f>
        <v/>
      </c>
      <c r="YH5">
        <f>IF($B5=0,1000000,IF(INDEX('計算A'!$D$60:$II$104,$B5,76)*FT5=1,IF(AND($E5=2,PA5=0),1000000,INDEX('計算A'!CA$110:CA$114,$F5+1)+IF(AND($E5=1,PA5=0),1000,0)),1000000))</f>
        <v/>
      </c>
      <c r="YI5">
        <f>IF($B5=0,1000000,IF(INDEX('計算A'!$D$60:$II$104,$B5,77)*FU5=1,IF(AND($E5=2,PB5=0),1000000,INDEX('計算A'!CB$110:CB$114,$F5+1)+IF(AND($E5=1,PB5=0),1000,0)),1000000))</f>
        <v/>
      </c>
      <c r="YJ5">
        <f>IF($B5=0,1000000,IF(INDEX('計算A'!$D$60:$II$104,$B5,78)*FV5=1,IF(AND($E5=2,PC5=0),1000000,INDEX('計算A'!CC$110:CC$114,$F5+1)+IF(AND($E5=1,PC5=0),1000,0)),1000000))</f>
        <v/>
      </c>
      <c r="YK5">
        <f>IF($B5=0,1000000,IF(INDEX('計算A'!$D$60:$II$104,$B5,79)*FW5=1,IF(AND($E5=2,PD5=0),1000000,INDEX('計算A'!CD$110:CD$114,$F5+1)+IF(AND($E5=1,PD5=0),1000,0)),1000000))</f>
        <v/>
      </c>
      <c r="YL5">
        <f>IF($B5=0,1000000,IF(INDEX('計算A'!$D$60:$II$104,$B5,80)*FX5=1,IF(AND($E5=2,PE5=0),1000000,INDEX('計算A'!CE$110:CE$114,$F5+1)+IF(AND($E5=1,PE5=0),1000,0)),1000000))</f>
        <v/>
      </c>
      <c r="YM5">
        <f>IF($B5=0,1000000,IF(INDEX('計算A'!$D$60:$II$104,$B5,81)*FY5=1,IF(AND($E5=2,PF5=0),1000000,INDEX('計算A'!CF$110:CF$114,$F5+1)+IF(AND($E5=1,PF5=0),1000,0)),1000000))</f>
        <v/>
      </c>
      <c r="YN5">
        <f>IF($B5=0,1000000,IF(INDEX('計算A'!$D$60:$II$104,$B5,82)*FZ5=1,IF(AND($E5=2,PG5=0),1000000,INDEX('計算A'!CG$110:CG$114,$F5+1)+IF(AND($E5=1,PG5=0),1000,0)),1000000))</f>
        <v/>
      </c>
      <c r="YO5">
        <f>IF($B5=0,1000000,IF(INDEX('計算A'!$D$60:$II$104,$B5,83)*GA5=1,IF(AND($E5=2,PH5=0),1000000,INDEX('計算A'!CH$110:CH$114,$F5+1)+IF(AND($E5=1,PH5=0),1000,0)),1000000))</f>
        <v/>
      </c>
      <c r="YP5">
        <f>IF($B5=0,1000000,IF(INDEX('計算A'!$D$60:$II$104,$B5,84)*GB5=1,IF(AND($E5=2,PI5=0),1000000,INDEX('計算A'!CI$110:CI$114,$F5+1)+IF(AND($E5=1,PI5=0),1000,0)),1000000))</f>
        <v/>
      </c>
      <c r="YQ5">
        <f>IF($B5=0,1000000,IF(INDEX('計算A'!$D$60:$II$104,$B5,85)*GC5=1,IF(AND($E5=2,PJ5=0),1000000,INDEX('計算A'!CJ$110:CJ$114,$F5+1)+IF(AND($E5=1,PJ5=0),1000,0)),1000000))</f>
        <v/>
      </c>
      <c r="YR5">
        <f>IF($B5=0,1000000,IF(INDEX('計算A'!$D$60:$II$104,$B5,86)*GD5=1,IF(AND($E5=2,PK5=0),1000000,INDEX('計算A'!CK$110:CK$114,$F5+1)+IF(AND($E5=1,PK5=0),1000,0)),1000000))</f>
        <v/>
      </c>
      <c r="YS5">
        <f>IF($B5=0,1000000,IF(INDEX('計算A'!$D$60:$II$104,$B5,87)*GE5=1,IF(AND($E5=2,PL5=0),1000000,INDEX('計算A'!CL$110:CL$114,$F5+1)+IF(AND($E5=1,PL5=0),1000,0)),1000000))</f>
        <v/>
      </c>
      <c r="YT5">
        <f>IF($B5=0,1000000,IF(INDEX('計算A'!$D$60:$II$104,$B5,88)*GF5=1,IF(AND($E5=2,PM5=0),1000000,INDEX('計算A'!CM$110:CM$114,$F5+1)+IF(AND($E5=1,PM5=0),1000,0)),1000000))</f>
        <v/>
      </c>
      <c r="YU5">
        <f>IF($B5=0,1000000,IF(INDEX('計算A'!$D$60:$II$104,$B5,89)*GG5=1,IF(AND($E5=2,PN5=0),1000000,INDEX('計算A'!CN$110:CN$114,$F5+1)+IF(AND($E5=1,PN5=0),1000,0)),1000000))</f>
        <v/>
      </c>
      <c r="YV5">
        <f>IF($B5=0,1000000,IF(INDEX('計算A'!$D$60:$II$104,$B5,90)*GH5=1,IF(AND($E5=2,PO5=0),1000000,INDEX('計算A'!CO$110:CO$114,$F5+1)+IF(AND($E5=1,PO5=0),1000,0)),1000000))</f>
        <v/>
      </c>
      <c r="YW5">
        <f>IF($B5=0,1000000,IF(INDEX('計算A'!$D$60:$II$104,$B5,91)*GI5=1,IF(AND($E5=2,PP5=0),1000000,INDEX('計算A'!CP$110:CP$114,$F5+1)+IF(AND($E5=1,PP5=0),1000,0)),1000000))</f>
        <v/>
      </c>
      <c r="YX5">
        <f>IF($B5=0,1000000,IF(INDEX('計算A'!$D$60:$II$104,$B5,92)*GJ5=1,IF(AND($E5=2,PQ5=0),1000000,INDEX('計算A'!CQ$110:CQ$114,$F5+1)+IF(AND($E5=1,PQ5=0),1000,0)),1000000))</f>
        <v/>
      </c>
      <c r="YY5">
        <f>IF($B5=0,1000000,IF(INDEX('計算A'!$D$60:$II$104,$B5,93)*GK5=1,IF(AND($E5=2,PR5=0),1000000,INDEX('計算A'!CR$110:CR$114,$F5+1)+IF(AND($E5=1,PR5=0),1000,0)),1000000))</f>
        <v/>
      </c>
      <c r="YZ5">
        <f>IF($B5=0,1000000,IF(INDEX('計算A'!$D$60:$II$104,$B5,94)*GL5=1,IF(AND($E5=2,PS5=0),1000000,INDEX('計算A'!CS$110:CS$114,$F5+1)+IF(AND($E5=1,PS5=0),1000,0)),1000000))</f>
        <v/>
      </c>
      <c r="ZA5">
        <f>IF($B5=0,1000000,IF(INDEX('計算A'!$D$60:$II$104,$B5,95)*GM5=1,IF(AND($E5=2,PT5=0),1000000,INDEX('計算A'!CT$110:CT$114,$F5+1)+IF(AND($E5=1,PT5=0),1000,0)),1000000))</f>
        <v/>
      </c>
      <c r="ZB5">
        <f>IF($B5=0,1000000,IF(INDEX('計算A'!$D$60:$II$104,$B5,96)*GN5=1,IF(AND($E5=2,PU5=0),1000000,INDEX('計算A'!CU$110:CU$114,$F5+1)+IF(AND($E5=1,PU5=0),1000,0)),1000000))</f>
        <v/>
      </c>
      <c r="ZC5">
        <f>IF($B5=0,1000000,IF(INDEX('計算A'!$D$60:$II$104,$B5,97)*GO5=1,IF(AND($E5=2,PV5=0),1000000,INDEX('計算A'!CV$110:CV$114,$F5+1)+IF(AND($E5=1,PV5=0),1000,0)),1000000))</f>
        <v/>
      </c>
      <c r="ZD5">
        <f>IF($B5=0,1000000,IF(INDEX('計算A'!$D$60:$II$104,$B5,98)*GP5=1,IF(AND($E5=2,PW5=0),1000000,INDEX('計算A'!CW$110:CW$114,$F5+1)+IF(AND($E5=1,PW5=0),1000,0)),1000000))</f>
        <v/>
      </c>
      <c r="ZE5">
        <f>IF($B5=0,1000000,IF(INDEX('計算A'!$D$60:$II$104,$B5,99)*GQ5=1,IF(AND($E5=2,PX5=0),1000000,INDEX('計算A'!CX$110:CX$114,$F5+1)+IF(AND($E5=1,PX5=0),1000,0)),1000000))</f>
        <v/>
      </c>
      <c r="ZF5">
        <f>IF($B5=0,1000000,IF(INDEX('計算A'!$D$60:$II$104,$B5,100)*GR5=1,IF(AND($E5=2,PY5=0),1000000,INDEX('計算A'!CY$110:CY$114,$F5+1)+IF(AND($E5=1,PY5=0),1000,0)),1000000))</f>
        <v/>
      </c>
      <c r="ZG5">
        <f>IF($B5=0,1000000,IF(INDEX('計算A'!$D$60:$II$104,$B5,101)*GS5=1,IF(AND($E5=2,PZ5=0),1000000,INDEX('計算A'!CZ$110:CZ$114,$F5+1)+IF(AND($E5=1,PZ5=0),1000,0)),1000000))</f>
        <v/>
      </c>
      <c r="ZH5">
        <f>IF($B5=0,1000000,IF(INDEX('計算A'!$D$60:$II$104,$B5,102)*GT5=1,IF(AND($E5=2,QA5=0),1000000,INDEX('計算A'!DA$110:DA$114,$F5+1)+IF(AND($E5=1,QA5=0),1000,0)),1000000))</f>
        <v/>
      </c>
      <c r="ZI5">
        <f>IF($B5=0,1000000,IF(INDEX('計算A'!$D$60:$II$104,$B5,103)*GU5=1,IF(AND($E5=2,QB5=0),1000000,INDEX('計算A'!DB$110:DB$114,$F5+1)+IF(AND($E5=1,QB5=0),1000,0)),1000000))</f>
        <v/>
      </c>
      <c r="ZJ5">
        <f>IF($B5=0,1000000,IF(INDEX('計算A'!$D$60:$II$104,$B5,104)*GV5=1,IF(AND($E5=2,QC5=0),1000000,INDEX('計算A'!DC$110:DC$114,$F5+1)+IF(AND($E5=1,QC5=0),1000,0)),1000000))</f>
        <v/>
      </c>
      <c r="ZK5">
        <f>IF($B5=0,1000000,IF(INDEX('計算A'!$D$60:$II$104,$B5,105)*GW5=1,IF(AND($E5=2,QD5=0),1000000,INDEX('計算A'!DD$110:DD$114,$F5+1)+IF(AND($E5=1,QD5=0),1000,0)),1000000))</f>
        <v/>
      </c>
      <c r="ZL5">
        <f>IF($B5=0,1000000,IF(INDEX('計算A'!$D$60:$II$104,$B5,106)*GX5=1,IF(AND($E5=2,QE5=0),1000000,INDEX('計算A'!DE$110:DE$114,$F5+1)+IF(AND($E5=1,QE5=0),1000,0)),1000000))</f>
        <v/>
      </c>
      <c r="ZM5">
        <f>IF($B5=0,1000000,IF(INDEX('計算A'!$D$60:$II$104,$B5,107)*GY5=1,IF(AND($E5=2,QF5=0),1000000,INDEX('計算A'!DF$110:DF$114,$F5+1)+IF(AND($E5=1,QF5=0),1000,0)),1000000))</f>
        <v/>
      </c>
      <c r="ZN5">
        <f>IF($B5=0,1000000,IF(INDEX('計算A'!$D$60:$II$104,$B5,108)*GZ5=1,IF(AND($E5=2,QG5=0),1000000,INDEX('計算A'!DG$110:DG$114,$F5+1)+IF(AND($E5=1,QG5=0),1000,0)),1000000))</f>
        <v/>
      </c>
      <c r="ZO5">
        <f>IF($B5=0,1000000,IF(INDEX('計算A'!$D$60:$II$104,$B5,109)*HA5=1,IF(AND($E5=2,QH5=0),1000000,INDEX('計算A'!DH$110:DH$114,$F5+1)+IF(AND($E5=1,QH5=0),1000,0)),1000000))</f>
        <v/>
      </c>
      <c r="ZP5">
        <f>IF($B5=0,1000000,IF(INDEX('計算A'!$D$60:$II$104,$B5,110)*HB5=1,IF(AND($E5=2,QI5=0),1000000,INDEX('計算A'!DI$110:DI$114,$F5+1)+IF(AND($E5=1,QI5=0),1000,0)),1000000))</f>
        <v/>
      </c>
      <c r="ZQ5">
        <f>IF($B5=0,1000000,IF(INDEX('計算A'!$D$60:$II$104,$B5,111)*HC5=1,IF(AND($E5=2,QJ5=0),1000000,INDEX('計算A'!DJ$110:DJ$114,$F5+1)+IF(AND($E5=1,QJ5=0),1000,0)),1000000))</f>
        <v/>
      </c>
      <c r="ZR5">
        <f>IF($B5=0,1000000,IF(INDEX('計算A'!$D$60:$II$104,$B5,112)*HD5=1,IF(AND($E5=2,QK5=0),1000000,INDEX('計算A'!DK$110:DK$114,$F5+1)+IF(AND($E5=1,QK5=0),1000,0)),1000000))</f>
        <v/>
      </c>
      <c r="ZS5">
        <f>IF($B5=0,1000000,IF(INDEX('計算A'!$D$60:$II$104,$B5,113)*HE5=1,IF(AND($E5=2,QL5=0),1000000,INDEX('計算A'!DL$110:DL$114,$F5+1)+IF(AND($E5=1,QL5=0),1000,0)),1000000))</f>
        <v/>
      </c>
      <c r="ZT5">
        <f>IF($B5=0,1000000,IF(INDEX('計算A'!$D$60:$II$104,$B5,114)*HF5=1,IF(AND($E5=2,QM5=0),1000000,INDEX('計算A'!DM$110:DM$114,$F5+1)+IF(AND($E5=1,QM5=0),1000,0)),1000000))</f>
        <v/>
      </c>
      <c r="ZU5">
        <f>IF($B5=0,1000000,IF(INDEX('計算A'!$D$60:$II$104,$B5,115)*HG5=1,IF(AND($E5=2,QN5=0),1000000,INDEX('計算A'!DN$110:DN$114,$F5+1)+IF(AND($E5=1,QN5=0),1000,0)),1000000))</f>
        <v/>
      </c>
      <c r="ZV5">
        <f>IF($B5=0,1000000,IF(INDEX('計算A'!$D$60:$II$104,$B5,116)*HH5=1,IF(AND($E5=2,QO5=0),1000000,INDEX('計算A'!DO$110:DO$114,$F5+1)+IF(AND($E5=1,QO5=0),1000,0)),1000000))</f>
        <v/>
      </c>
      <c r="ZW5">
        <f>IF($B5=0,1000000,IF(INDEX('計算A'!$D$60:$II$104,$B5,117)*HI5=1,IF(AND($E5=2,QP5=0),1000000,INDEX('計算A'!DP$110:DP$114,$F5+1)+IF(AND($E5=1,QP5=0),1000,0)),1000000))</f>
        <v/>
      </c>
      <c r="ZX5">
        <f>IF($B5=0,1000000,IF(INDEX('計算A'!$D$60:$II$104,$B5,118)*HJ5=1,IF(AND($E5=2,QQ5=0),1000000,INDEX('計算A'!DQ$110:DQ$114,$F5+1)+IF(AND($E5=1,QQ5=0),1000,0)),1000000))</f>
        <v/>
      </c>
      <c r="ZY5">
        <f>IF($B5=0,1000000,IF(INDEX('計算A'!$D$60:$II$104,$B5,119)*HK5=1,IF(AND($E5=2,QR5=0),1000000,INDEX('計算A'!DR$110:DR$114,$F5+1)+IF(AND($E5=1,QR5=0),1000,0)),1000000))</f>
        <v/>
      </c>
      <c r="ZZ5">
        <f>IF($B5=0,1000000,IF(INDEX('計算A'!$D$60:$II$104,$B5,120)*HL5=1,IF(AND($E5=2,QS5=0),1000000,INDEX('計算A'!DS$110:DS$114,$F5+1)+IF(AND($E5=1,QS5=0),1000,0)),1000000))</f>
        <v/>
      </c>
      <c r="AAA5">
        <f>IF($B5=0,1000000,IF(INDEX('計算A'!$D$60:$II$104,$B5,121)*HM5=1,IF(AND($E5=2,QT5=0),1000000,INDEX('計算A'!DT$110:DT$114,$F5+1)+IF(AND($E5=1,QT5=0),1000,0)),1000000))</f>
        <v/>
      </c>
      <c r="AAB5">
        <f>IF($B5=0,1000000,IF(INDEX('計算A'!$D$60:$II$104,$B5,122)*HN5=1,IF(AND($E5=2,QU5=0),1000000,INDEX('計算A'!DU$110:DU$114,$F5+1)+IF(AND($E5=1,QU5=0),1000,0)),1000000))</f>
        <v/>
      </c>
      <c r="AAC5">
        <f>IF($B5=0,1000000,IF(INDEX('計算A'!$D$60:$II$104,$B5,123)*HO5=1,IF(AND($E5=2,QV5=0),1000000,INDEX('計算A'!DV$110:DV$114,$F5+1)+IF(AND($E5=1,QV5=0),1000,0)),1000000))</f>
        <v/>
      </c>
      <c r="AAD5">
        <f>IF($B5=0,1000000,IF(INDEX('計算A'!$D$60:$II$104,$B5,124)*HP5=1,IF(AND($E5=2,QW5=0),1000000,INDEX('計算A'!DW$110:DW$114,$F5+1)+IF(AND($E5=1,QW5=0),1000,0)),1000000))</f>
        <v/>
      </c>
      <c r="AAE5">
        <f>IF($B5=0,1000000,IF(INDEX('計算A'!$D$60:$II$104,$B5,125)*HQ5=1,IF(AND($E5=2,QX5=0),1000000,INDEX('計算A'!DX$110:DX$114,$F5+1)+IF(AND($E5=1,QX5=0),1000,0)),1000000))</f>
        <v/>
      </c>
      <c r="AAF5">
        <f>IF($B5=0,1000000,IF(INDEX('計算A'!$D$60:$II$104,$B5,126)*HR5=1,IF(AND($E5=2,QY5=0),1000000,INDEX('計算A'!DY$110:DY$114,$F5+1)+IF(AND($E5=1,QY5=0),1000,0)),1000000))</f>
        <v/>
      </c>
      <c r="AAG5">
        <f>IF($B5=0,1000000,IF(INDEX('計算A'!$D$60:$II$104,$B5,127)*HS5=1,IF(AND($E5=2,QZ5=0),1000000,INDEX('計算A'!DZ$110:DZ$114,$F5+1)+IF(AND($E5=1,QZ5=0),1000,0)),1000000))</f>
        <v/>
      </c>
      <c r="AAH5">
        <f>IF($B5=0,1000000,IF(INDEX('計算A'!$D$60:$II$104,$B5,128)*HT5=1,IF(AND($E5=2,RA5=0),1000000,INDEX('計算A'!EA$110:EA$114,$F5+1)+IF(AND($E5=1,RA5=0),1000,0)),1000000))</f>
        <v/>
      </c>
      <c r="AAI5">
        <f>IF($B5=0,1000000,IF(INDEX('計算A'!$D$60:$II$104,$B5,129)*HU5=1,IF(AND($E5=2,RB5=0),1000000,INDEX('計算A'!EB$110:EB$114,$F5+1)+IF(AND($E5=1,RB5=0),1000,0)),1000000))</f>
        <v/>
      </c>
      <c r="AAJ5">
        <f>IF($B5=0,1000000,IF(INDEX('計算A'!$D$60:$II$104,$B5,130)*HV5=1,IF(AND($E5=2,RC5=0),1000000,INDEX('計算A'!EC$110:EC$114,$F5+1)+IF(AND($E5=1,RC5=0),1000,0)),1000000))</f>
        <v/>
      </c>
      <c r="AAK5">
        <f>IF($B5=0,1000000,IF(INDEX('計算A'!$D$60:$II$104,$B5,131)*HW5=1,IF(AND($E5=2,RD5=0),1000000,INDEX('計算A'!ED$110:ED$114,$F5+1)+IF(AND($E5=1,RD5=0),1000,0)),1000000))</f>
        <v/>
      </c>
      <c r="AAL5">
        <f>IF($B5=0,1000000,IF(INDEX('計算A'!$D$60:$II$104,$B5,132)*HX5=1,IF(AND($E5=2,RE5=0),1000000,INDEX('計算A'!EE$110:EE$114,$F5+1)+IF(AND($E5=1,RE5=0),1000,0)),1000000))</f>
        <v/>
      </c>
      <c r="AAM5">
        <f>IF($B5=0,1000000,IF(INDEX('計算A'!$D$60:$II$104,$B5,133)*HY5=1,IF(AND($E5=2,RF5=0),1000000,INDEX('計算A'!EF$110:EF$114,$F5+1)+IF(AND($E5=1,RF5=0),1000,0)),1000000))</f>
        <v/>
      </c>
      <c r="AAN5">
        <f>IF($B5=0,1000000,IF(INDEX('計算A'!$D$60:$II$104,$B5,134)*HZ5=1,IF(AND($E5=2,RG5=0),1000000,INDEX('計算A'!EG$110:EG$114,$F5+1)+IF(AND($E5=1,RG5=0),1000,0)),1000000))</f>
        <v/>
      </c>
      <c r="AAO5">
        <f>IF($B5=0,1000000,IF(INDEX('計算A'!$D$60:$II$104,$B5,135)*IA5=1,IF(AND($E5=2,RH5=0),1000000,INDEX('計算A'!EH$110:EH$114,$F5+1)+IF(AND($E5=1,RH5=0),1000,0)),1000000))</f>
        <v/>
      </c>
      <c r="AAP5">
        <f>IF($B5=0,1000000,IF(INDEX('計算A'!$D$60:$II$104,$B5,136)*IB5=1,IF(AND($E5=2,RI5=0),1000000,INDEX('計算A'!EI$110:EI$114,$F5+1)+IF(AND($E5=1,RI5=0),1000,0)),1000000))</f>
        <v/>
      </c>
      <c r="AAQ5">
        <f>IF($B5=0,1000000,IF(INDEX('計算A'!$D$60:$II$104,$B5,137)*IC5=1,IF(AND($E5=2,RJ5=0),1000000,INDEX('計算A'!EJ$110:EJ$114,$F5+1)+IF(AND($E5=1,RJ5=0),1000,0)),1000000))</f>
        <v/>
      </c>
      <c r="AAR5">
        <f>IF($B5=0,1000000,IF(INDEX('計算A'!$D$60:$II$104,$B5,138)*ID5=1,IF(AND($E5=2,RK5=0),1000000,INDEX('計算A'!EK$110:EK$114,$F5+1)+IF(AND($E5=1,RK5=0),1000,0)),1000000))</f>
        <v/>
      </c>
      <c r="AAS5">
        <f>IF($B5=0,1000000,IF(INDEX('計算A'!$D$60:$II$104,$B5,139)*IE5=1,IF(AND($E5=2,RL5=0),1000000,INDEX('計算A'!EL$110:EL$114,$F5+1)+IF(AND($E5=1,RL5=0),1000,0)),1000000))</f>
        <v/>
      </c>
      <c r="AAT5">
        <f>IF($B5=0,1000000,IF(INDEX('計算A'!$D$60:$II$104,$B5,140)*IF5=1,IF(AND($E5=2,RM5=0),1000000,INDEX('計算A'!EM$110:EM$114,$F5+1)+IF(AND($E5=1,RM5=0),1000,0)),1000000))</f>
        <v/>
      </c>
      <c r="AAU5">
        <f>IF($B5=0,1000000,IF(INDEX('計算A'!$D$60:$II$104,$B5,141)*IG5=1,IF(AND($E5=2,RN5=0),1000000,INDEX('計算A'!EN$110:EN$114,$F5+1)+IF(AND($E5=1,RN5=0),1000,0)),1000000))</f>
        <v/>
      </c>
      <c r="AAV5">
        <f>IF($B5=0,1000000,IF(INDEX('計算A'!$D$60:$II$104,$B5,142)*IH5=1,IF(AND($E5=2,RO5=0),1000000,INDEX('計算A'!EO$110:EO$114,$F5+1)+IF(AND($E5=1,RO5=0),1000,0)),1000000))</f>
        <v/>
      </c>
      <c r="AAW5">
        <f>IF($B5=0,1000000,IF(INDEX('計算A'!$D$60:$II$104,$B5,143)*II5=1,IF(AND($E5=2,RP5=0),1000000,INDEX('計算A'!EP$110:EP$114,$F5+1)+IF(AND($E5=1,RP5=0),1000,0)),1000000))</f>
        <v/>
      </c>
      <c r="AAX5">
        <f>IF($B5=0,1000000,IF(INDEX('計算A'!$D$60:$II$104,$B5,144)*IJ5=1,IF(AND($E5=2,RQ5=0),1000000,INDEX('計算A'!EQ$110:EQ$114,$F5+1)+IF(AND($E5=1,RQ5=0),1000,0)),1000000))</f>
        <v/>
      </c>
      <c r="AAY5">
        <f>IF($B5=0,1000000,IF(INDEX('計算A'!$D$60:$II$104,$B5,145)*IK5=1,IF(AND($E5=2,RR5=0),1000000,INDEX('計算A'!ER$110:ER$114,$F5+1)+IF(AND($E5=1,RR5=0),1000,0)),1000000))</f>
        <v/>
      </c>
      <c r="AAZ5">
        <f>IF($B5=0,1000000,IF(INDEX('計算A'!$D$60:$II$104,$B5,146)*IL5=1,IF(AND($E5=2,RS5=0),1000000,INDEX('計算A'!ES$110:ES$114,$F5+1)+IF(AND($E5=1,RS5=0),1000,0)),1000000))</f>
        <v/>
      </c>
      <c r="ABA5">
        <f>IF($B5=0,1000000,IF(INDEX('計算A'!$D$60:$II$104,$B5,147)*IM5=1,IF(AND($E5=2,RT5=0),1000000,INDEX('計算A'!ET$110:ET$114,$F5+1)+IF(AND($E5=1,RT5=0),1000,0)),1000000))</f>
        <v/>
      </c>
      <c r="ABB5">
        <f>IF($B5=0,1000000,IF(INDEX('計算A'!$D$60:$II$104,$B5,148)*IN5=1,IF(AND($E5=2,RU5=0),1000000,INDEX('計算A'!EU$110:EU$114,$F5+1)+IF(AND($E5=1,RU5=0),1000,0)),1000000))</f>
        <v/>
      </c>
      <c r="ABC5">
        <f>IF($B5=0,1000000,IF(INDEX('計算A'!$D$60:$II$104,$B5,149)*IO5=1,IF(AND($E5=2,RV5=0),1000000,INDEX('計算A'!EV$110:EV$114,$F5+1)+IF(AND($E5=1,RV5=0),1000,0)),1000000))</f>
        <v/>
      </c>
      <c r="ABD5">
        <f>IF($B5=0,1000000,IF(INDEX('計算A'!$D$60:$II$104,$B5,150)*IP5=1,IF(AND($E5=2,RW5=0),1000000,INDEX('計算A'!EW$110:EW$114,$F5+1)+IF(AND($E5=1,RW5=0),1000,0)),1000000))</f>
        <v/>
      </c>
      <c r="ABE5">
        <f>IF($B5=0,1000000,IF(INDEX('計算A'!$D$60:$II$104,$B5,151)*IQ5=1,IF(AND($E5=2,RX5=0),1000000,INDEX('計算A'!EX$110:EX$114,$F5+1)+IF(AND($E5=1,RX5=0),1000,0)),1000000))</f>
        <v/>
      </c>
      <c r="ABF5">
        <f>IF($B5=0,1000000,IF(INDEX('計算A'!$D$60:$II$104,$B5,152)*IR5=1,IF(AND($E5=2,RY5=0),1000000,INDEX('計算A'!EY$110:EY$114,$F5+1)+IF(AND($E5=1,RY5=0),1000,0)),1000000))</f>
        <v/>
      </c>
      <c r="ABG5">
        <f>IF($B5=0,1000000,IF(INDEX('計算A'!$D$60:$II$104,$B5,153)*IS5=1,IF(AND($E5=2,RZ5=0),1000000,INDEX('計算A'!EZ$110:EZ$114,$F5+1)+IF(AND($E5=1,RZ5=0),1000,0)),1000000))</f>
        <v/>
      </c>
      <c r="ABH5">
        <f>IF($B5=0,1000000,IF(INDEX('計算A'!$D$60:$II$104,$B5,154)*IT5=1,IF(AND($E5=2,SA5=0),1000000,INDEX('計算A'!FA$110:FA$114,$F5+1)+IF(AND($E5=1,SA5=0),1000,0)),1000000))</f>
        <v/>
      </c>
      <c r="ABI5">
        <f>IF($B5=0,1000000,IF(INDEX('計算A'!$D$60:$II$104,$B5,155)*IU5=1,IF(AND($E5=2,SB5=0),1000000,INDEX('計算A'!FB$110:FB$114,$F5+1)+IF(AND($E5=1,SB5=0),1000,0)),1000000))</f>
        <v/>
      </c>
      <c r="ABJ5">
        <f>IF($B5=0,1000000,IF(INDEX('計算A'!$D$60:$II$104,$B5,156)*IV5=1,IF(AND($E5=2,SC5=0),1000000,INDEX('計算A'!FC$110:FC$114,$F5+1)+IF(AND($E5=1,SC5=0),1000,0)),1000000))</f>
        <v/>
      </c>
      <c r="ABK5">
        <f>IF($B5=0,1000000,IF(INDEX('計算A'!$D$60:$II$104,$B5,157)*IW5=1,IF(AND($E5=2,SD5=0),1000000,INDEX('計算A'!FD$110:FD$114,$F5+1)+IF(AND($E5=1,SD5=0),1000,0)),1000000))</f>
        <v/>
      </c>
      <c r="ABL5">
        <f>IF($B5=0,1000000,IF(INDEX('計算A'!$D$60:$II$104,$B5,158)*IX5=1,IF(AND($E5=2,SE5=0),1000000,INDEX('計算A'!FE$110:FE$114,$F5+1)+IF(AND($E5=1,SE5=0),1000,0)),1000000))</f>
        <v/>
      </c>
      <c r="ABM5">
        <f>IF($B5=0,1000000,IF(INDEX('計算A'!$D$60:$II$104,$B5,159)*IY5=1,IF(AND($E5=2,SF5=0),1000000,INDEX('計算A'!FF$110:FF$114,$F5+1)+IF(AND($E5=1,SF5=0),1000,0)),1000000))</f>
        <v/>
      </c>
      <c r="ABN5">
        <f>IF($B5=0,1000000,IF(INDEX('計算A'!$D$60:$II$104,$B5,160)*IZ5=1,IF(AND($E5=2,SG5=0),1000000,INDEX('計算A'!FG$110:FG$114,$F5+1)+IF(AND($E5=1,SG5=0),1000,0)),1000000))</f>
        <v/>
      </c>
      <c r="ABO5">
        <f>IF($B5=0,1000000,IF(INDEX('計算A'!$D$60:$II$104,$B5,161)*JA5=1,IF(AND($E5=2,SH5=0),1000000,INDEX('計算A'!FH$110:FH$114,$F5+1)+IF(AND($E5=1,SH5=0),1000,0)),1000000))</f>
        <v/>
      </c>
      <c r="ABP5">
        <f>IF($B5=0,1000000,IF(INDEX('計算A'!$D$60:$II$104,$B5,162)*JB5=1,IF(AND($E5=2,SI5=0),1000000,INDEX('計算A'!FI$110:FI$114,$F5+1)+IF(AND($E5=1,SI5=0),1000,0)),1000000))</f>
        <v/>
      </c>
      <c r="ABQ5">
        <f>IF($B5=0,1000000,IF(INDEX('計算A'!$D$60:$II$104,$B5,163)*JC5=1,IF(AND($E5=2,SJ5=0),1000000,INDEX('計算A'!FJ$110:FJ$114,$F5+1)+IF(AND($E5=1,SJ5=0),1000,0)),1000000))</f>
        <v/>
      </c>
      <c r="ABR5">
        <f>IF($B5=0,1000000,IF(INDEX('計算A'!$D$60:$II$104,$B5,164)*JD5=1,IF(AND($E5=2,SK5=0),1000000,INDEX('計算A'!FK$110:FK$114,$F5+1)+IF(AND($E5=1,SK5=0),1000,0)),1000000))</f>
        <v/>
      </c>
      <c r="ABS5">
        <f>IF($B5=0,1000000,IF(INDEX('計算A'!$D$60:$II$104,$B5,165)*JE5=1,IF(AND($E5=2,SL5=0),1000000,INDEX('計算A'!FL$110:FL$114,$F5+1)+IF(AND($E5=1,SL5=0),1000,0)),1000000))</f>
        <v/>
      </c>
      <c r="ABT5">
        <f>IF($B5=0,1000000,IF(INDEX('計算A'!$D$60:$II$104,$B5,166)*JF5=1,IF(AND($E5=2,SM5=0),1000000,INDEX('計算A'!FM$110:FM$114,$F5+1)+IF(AND($E5=1,SM5=0),1000,0)),1000000))</f>
        <v/>
      </c>
      <c r="ABU5">
        <f>IF($B5=0,1000000,IF(INDEX('計算A'!$D$60:$II$104,$B5,167)*JG5=1,IF(AND($E5=2,SN5=0),1000000,INDEX('計算A'!FN$110:FN$114,$F5+1)+IF(AND($E5=1,SN5=0),1000,0)),1000000))</f>
        <v/>
      </c>
      <c r="ABV5">
        <f>IF($B5=0,1000000,IF(INDEX('計算A'!$D$60:$II$104,$B5,168)*JH5=1,IF(AND($E5=2,SO5=0),1000000,INDEX('計算A'!FO$110:FO$114,$F5+1)+IF(AND($E5=1,SO5=0),1000,0)),1000000))</f>
        <v/>
      </c>
      <c r="ABW5">
        <f>IF($B5=0,1000000,IF(INDEX('計算A'!$D$60:$II$104,$B5,169)*JI5=1,IF(AND($E5=2,SP5=0),1000000,INDEX('計算A'!FP$110:FP$114,$F5+1)+IF(AND($E5=1,SP5=0),1000,0)),1000000))</f>
        <v/>
      </c>
      <c r="ABX5">
        <f>IF($B5=0,1000000,IF(INDEX('計算A'!$D$60:$II$104,$B5,170)*JJ5=1,IF(AND($E5=2,SQ5=0),1000000,INDEX('計算A'!FQ$110:FQ$114,$F5+1)+IF(AND($E5=1,SQ5=0),1000,0)),1000000))</f>
        <v/>
      </c>
      <c r="ABY5">
        <f>IF($B5=0,1000000,IF(INDEX('計算A'!$D$60:$II$104,$B5,171)*JK5=1,IF(AND($E5=2,SR5=0),1000000,INDEX('計算A'!FR$110:FR$114,$F5+1)+IF(AND($E5=1,SR5=0),1000,0)),1000000))</f>
        <v/>
      </c>
      <c r="ABZ5">
        <f>IF($B5=0,1000000,IF(INDEX('計算A'!$D$60:$II$104,$B5,172)*JL5=1,IF(AND($E5=2,SS5=0),1000000,INDEX('計算A'!FS$110:FS$114,$F5+1)+IF(AND($E5=1,SS5=0),1000,0)),1000000))</f>
        <v/>
      </c>
      <c r="ACA5">
        <f>IF($B5=0,1000000,IF(INDEX('計算A'!$D$60:$II$104,$B5,173)*JM5=1,IF(AND($E5=2,ST5=0),1000000,INDEX('計算A'!FT$110:FT$114,$F5+1)+IF(AND($E5=1,ST5=0),1000,0)),1000000))</f>
        <v/>
      </c>
      <c r="ACB5">
        <f>IF($B5=0,1000000,IF(INDEX('計算A'!$D$60:$II$104,$B5,174)*JN5=1,IF(AND($E5=2,SU5=0),1000000,INDEX('計算A'!FU$110:FU$114,$F5+1)+IF(AND($E5=1,SU5=0),1000,0)),1000000))</f>
        <v/>
      </c>
      <c r="ACC5">
        <f>IF($B5=0,1000000,IF(INDEX('計算A'!$D$60:$II$104,$B5,175)*JO5=1,IF(AND($E5=2,SV5=0),1000000,INDEX('計算A'!FV$110:FV$114,$F5+1)+IF(AND($E5=1,SV5=0),1000,0)),1000000))</f>
        <v/>
      </c>
      <c r="ACD5">
        <f>IF($B5=0,1000000,IF(INDEX('計算A'!$D$60:$II$104,$B5,176)*JP5=1,IF(AND($E5=2,SW5=0),1000000,INDEX('計算A'!FW$110:FW$114,$F5+1)+IF(AND($E5=1,SW5=0),1000,0)),1000000))</f>
        <v/>
      </c>
      <c r="ACE5">
        <f>IF($B5=0,1000000,IF(INDEX('計算A'!$D$60:$II$104,$B5,177)*JQ5=1,IF(AND($E5=2,SX5=0),1000000,INDEX('計算A'!FX$110:FX$114,$F5+1)+IF(AND($E5=1,SX5=0),1000,0)),1000000))</f>
        <v/>
      </c>
      <c r="ACF5">
        <f>IF($B5=0,1000000,IF(INDEX('計算A'!$D$60:$II$104,$B5,178)*JR5=1,IF(AND($E5=2,SY5=0),1000000,INDEX('計算A'!FY$110:FY$114,$F5+1)+IF(AND($E5=1,SY5=0),1000,0)),1000000))</f>
        <v/>
      </c>
      <c r="ACG5">
        <f>IF($B5=0,1000000,IF(INDEX('計算A'!$D$60:$II$104,$B5,179)*JS5=1,IF(AND($E5=2,SZ5=0),1000000,INDEX('計算A'!FZ$110:FZ$114,$F5+1)+IF(AND($E5=1,SZ5=0),1000,0)),1000000))</f>
        <v/>
      </c>
      <c r="ACH5">
        <f>IF($B5=0,1000000,IF(INDEX('計算A'!$D$60:$II$104,$B5,180)*JT5=1,IF(AND($E5=2,TA5=0),1000000,INDEX('計算A'!GA$110:GA$114,$F5+1)+IF(AND($E5=1,TA5=0),1000,0)),1000000))</f>
        <v/>
      </c>
      <c r="ACI5">
        <f>IF($B5=0,1000000,IF(INDEX('計算A'!$D$60:$II$104,$B5,181)*JU5=1,IF(AND($E5=2,TB5=0),1000000,INDEX('計算A'!GB$110:GB$114,$F5+1)+IF(AND($E5=1,TB5=0),1000,0)),1000000))</f>
        <v/>
      </c>
      <c r="ACJ5">
        <f>IF($B5=0,1000000,IF(INDEX('計算A'!$D$60:$II$104,$B5,182)*JV5=1,IF(AND($E5=2,TC5=0),1000000,INDEX('計算A'!GC$110:GC$114,$F5+1)+IF(AND($E5=1,TC5=0),1000,0)),1000000))</f>
        <v/>
      </c>
      <c r="ACK5">
        <f>IF($B5=0,1000000,IF(INDEX('計算A'!$D$60:$II$104,$B5,183)*JW5=1,IF(AND($E5=2,TD5=0),1000000,INDEX('計算A'!GD$110:GD$114,$F5+1)+IF(AND($E5=1,TD5=0),1000,0)),1000000))</f>
        <v/>
      </c>
      <c r="ACL5">
        <f>IF($B5=0,1000000,IF(INDEX('計算A'!$D$60:$II$104,$B5,184)*JX5=1,IF(AND($E5=2,TE5=0),1000000,INDEX('計算A'!GE$110:GE$114,$F5+1)+IF(AND($E5=1,TE5=0),1000,0)),1000000))</f>
        <v/>
      </c>
      <c r="ACM5">
        <f>IF($B5=0,1000000,IF(INDEX('計算A'!$D$60:$II$104,$B5,185)*JY5=1,IF(AND($E5=2,TF5=0),1000000,INDEX('計算A'!GF$110:GF$114,$F5+1)+IF(AND($E5=1,TF5=0),1000,0)),1000000))</f>
        <v/>
      </c>
      <c r="ACN5">
        <f>IF($B5=0,1000000,IF(INDEX('計算A'!$D$60:$II$104,$B5,186)*JZ5=1,IF(AND($E5=2,TG5=0),1000000,INDEX('計算A'!GG$110:GG$114,$F5+1)+IF(AND($E5=1,TG5=0),1000,0)),1000000))</f>
        <v/>
      </c>
      <c r="ACO5">
        <f>IF($B5=0,1000000,IF(INDEX('計算A'!$D$60:$II$104,$B5,187)*KA5=1,IF(AND($E5=2,TH5=0),1000000,INDEX('計算A'!GH$110:GH$114,$F5+1)+IF(AND($E5=1,TH5=0),1000,0)),1000000))</f>
        <v/>
      </c>
      <c r="ACP5">
        <f>IF($B5=0,1000000,IF(INDEX('計算A'!$D$60:$II$104,$B5,188)*KB5=1,IF(AND($E5=2,TI5=0),1000000,INDEX('計算A'!GI$110:GI$114,$F5+1)+IF(AND($E5=1,TI5=0),1000,0)),1000000))</f>
        <v/>
      </c>
      <c r="ACQ5">
        <f>IF($B5=0,1000000,IF(INDEX('計算A'!$D$60:$II$104,$B5,189)*KC5=1,IF(AND($E5=2,TJ5=0),1000000,INDEX('計算A'!GJ$110:GJ$114,$F5+1)+IF(AND($E5=1,TJ5=0),1000,0)),1000000))</f>
        <v/>
      </c>
      <c r="ACR5">
        <f>IF($B5=0,1000000,IF(INDEX('計算A'!$D$60:$II$104,$B5,190)*KD5=1,IF(AND($E5=2,TK5=0),1000000,INDEX('計算A'!GK$110:GK$114,$F5+1)+IF(AND($E5=1,TK5=0),1000,0)),1000000))</f>
        <v/>
      </c>
      <c r="ACS5">
        <f>IF($B5=0,1000000,IF(INDEX('計算A'!$D$60:$II$104,$B5,191)*KE5=1,IF(AND($E5=2,TL5=0),1000000,INDEX('計算A'!GL$110:GL$114,$F5+1)+IF(AND($E5=1,TL5=0),1000,0)),1000000))</f>
        <v/>
      </c>
      <c r="ACT5">
        <f>IF($B5=0,1000000,IF(INDEX('計算A'!$D$60:$II$104,$B5,192)*KF5=1,IF(AND($E5=2,TM5=0),1000000,INDEX('計算A'!GM$110:GM$114,$F5+1)+IF(AND($E5=1,TM5=0),1000,0)),1000000))</f>
        <v/>
      </c>
      <c r="ACU5">
        <f>IF($B5=0,1000000,IF(INDEX('計算A'!$D$60:$II$104,$B5,193)*KG5=1,IF(AND($E5=2,TN5=0),1000000,INDEX('計算A'!GN$110:GN$114,$F5+1)+IF(AND($E5=1,TN5=0),1000,0)),1000000))</f>
        <v/>
      </c>
      <c r="ACV5">
        <f>IF($B5=0,1000000,IF(INDEX('計算A'!$D$60:$II$104,$B5,194)*KH5=1,IF(AND($E5=2,TO5=0),1000000,INDEX('計算A'!GO$110:GO$114,$F5+1)+IF(AND($E5=1,TO5=0),1000,0)),1000000))</f>
        <v/>
      </c>
      <c r="ACW5">
        <f>IF($B5=0,1000000,IF(INDEX('計算A'!$D$60:$II$104,$B5,195)*KI5=1,IF(AND($E5=2,TP5=0),1000000,INDEX('計算A'!GP$110:GP$114,$F5+1)+IF(AND($E5=1,TP5=0),1000,0)),1000000))</f>
        <v/>
      </c>
      <c r="ACX5">
        <f>IF($B5=0,1000000,IF(INDEX('計算A'!$D$60:$II$104,$B5,196)*KJ5=1,IF(AND($E5=2,TQ5=0),1000000,INDEX('計算A'!GQ$110:GQ$114,$F5+1)+IF(AND($E5=1,TQ5=0),1000,0)),1000000))</f>
        <v/>
      </c>
      <c r="ACY5">
        <f>IF($B5=0,1000000,IF(INDEX('計算A'!$D$60:$II$104,$B5,197)*KK5=1,IF(AND($E5=2,TR5=0),1000000,INDEX('計算A'!GR$110:GR$114,$F5+1)+IF(AND($E5=1,TR5=0),1000,0)),1000000))</f>
        <v/>
      </c>
      <c r="ACZ5">
        <f>IF($B5=0,1000000,IF(INDEX('計算A'!$D$60:$II$104,$B5,198)*KL5=1,IF(AND($E5=2,TS5=0),1000000,INDEX('計算A'!GS$110:GS$114,$F5+1)+IF(AND($E5=1,TS5=0),1000,0)),1000000))</f>
        <v/>
      </c>
      <c r="ADA5">
        <f>IF($B5=0,1000000,IF(INDEX('計算A'!$D$60:$II$104,$B5,199)*KM5=1,IF(AND($E5=2,TT5=0),1000000,INDEX('計算A'!GT$110:GT$114,$F5+1)+IF(AND($E5=1,TT5=0),1000,0)),1000000))</f>
        <v/>
      </c>
      <c r="ADB5">
        <f>IF($B5=0,1000000,IF(INDEX('計算A'!$D$60:$II$104,$B5,200)*KN5=1,IF(AND($E5=2,TU5=0),1000000,INDEX('計算A'!GU$110:GU$114,$F5+1)+IF(AND($E5=1,TU5=0),1000,0)),1000000))</f>
        <v/>
      </c>
      <c r="ADC5">
        <f>IF($B5=0,1000000,IF(INDEX('計算A'!$D$60:$II$104,$B5,201)*KO5=1,IF(AND($E5=2,TV5=0),1000000,INDEX('計算A'!GV$110:GV$114,$F5+1)+IF(AND($E5=1,TV5=0),1000,0)),1000000))</f>
        <v/>
      </c>
      <c r="ADD5">
        <f>IF($B5=0,1000000,IF(INDEX('計算A'!$D$60:$II$104,$B5,202)*KP5=1,IF(AND($E5=2,TW5=0),1000000,INDEX('計算A'!GW$110:GW$114,$F5+1)+IF(AND($E5=1,TW5=0),1000,0)),1000000))</f>
        <v/>
      </c>
      <c r="ADE5">
        <f>IF($B5=0,1000000,IF(INDEX('計算A'!$D$60:$II$104,$B5,203)*KQ5=1,IF(AND($E5=2,TX5=0),1000000,INDEX('計算A'!GX$110:GX$114,$F5+1)+IF(AND($E5=1,TX5=0),1000,0)),1000000))</f>
        <v/>
      </c>
      <c r="ADF5">
        <f>IF($B5=0,1000000,IF(INDEX('計算A'!$D$60:$II$104,$B5,204)*KR5=1,IF(AND($E5=2,TY5=0),1000000,INDEX('計算A'!GY$110:GY$114,$F5+1)+IF(AND($E5=1,TY5=0),1000,0)),1000000))</f>
        <v/>
      </c>
      <c r="ADG5">
        <f>IF($B5=0,1000000,IF(INDEX('計算A'!$D$60:$II$104,$B5,205)*KS5=1,IF(AND($E5=2,TZ5=0),1000000,INDEX('計算A'!GZ$110:GZ$114,$F5+1)+IF(AND($E5=1,TZ5=0),1000,0)),1000000))</f>
        <v/>
      </c>
      <c r="ADH5">
        <f>IF($B5=0,1000000,IF(INDEX('計算A'!$D$60:$II$104,$B5,206)*KT5=1,IF(AND($E5=2,UA5=0),1000000,INDEX('計算A'!HA$110:HA$114,$F5+1)+IF(AND($E5=1,UA5=0),1000,0)),1000000))</f>
        <v/>
      </c>
      <c r="ADI5">
        <f>IF($B5=0,1000000,IF(INDEX('計算A'!$D$60:$II$104,$B5,207)*KU5=1,IF(AND($E5=2,UB5=0),1000000,INDEX('計算A'!HB$110:HB$114,$F5+1)+IF(AND($E5=1,UB5=0),1000,0)),1000000))</f>
        <v/>
      </c>
      <c r="ADJ5">
        <f>IF($B5=0,1000000,IF(INDEX('計算A'!$D$60:$II$104,$B5,208)*KV5=1,IF(AND($E5=2,UC5=0),1000000,INDEX('計算A'!HC$110:HC$114,$F5+1)+IF(AND($E5=1,UC5=0),1000,0)),1000000))</f>
        <v/>
      </c>
      <c r="ADK5">
        <f>IF($B5=0,1000000,IF(INDEX('計算A'!$D$60:$II$104,$B5,209)*KW5=1,IF(AND($E5=2,UD5=0),1000000,INDEX('計算A'!HD$110:HD$114,$F5+1)+IF(AND($E5=1,UD5=0),1000,0)),1000000))</f>
        <v/>
      </c>
      <c r="ADL5">
        <f>IF($B5=0,1000000,IF(INDEX('計算A'!$D$60:$II$104,$B5,210)*KX5=1,IF(AND($E5=2,UE5=0),1000000,INDEX('計算A'!HE$110:HE$114,$F5+1)+IF(AND($E5=1,UE5=0),1000,0)),1000000))</f>
        <v/>
      </c>
      <c r="ADM5">
        <f>IF($B5=0,1000000,IF(INDEX('計算A'!$D$60:$II$104,$B5,211)*KY5=1,IF(AND($E5=2,UF5=0),1000000,INDEX('計算A'!HF$110:HF$114,$F5+1)+IF(AND($E5=1,UF5=0),1000,0)),1000000))</f>
        <v/>
      </c>
      <c r="ADN5">
        <f>IF($B5=0,1000000,IF(INDEX('計算A'!$D$60:$II$104,$B5,212)*KZ5=1,IF(AND($E5=2,UG5=0),1000000,INDEX('計算A'!HG$110:HG$114,$F5+1)+IF(AND($E5=1,UG5=0),1000,0)),1000000))</f>
        <v/>
      </c>
      <c r="ADO5">
        <f>IF($B5=0,1000000,IF(INDEX('計算A'!$D$60:$II$104,$B5,213)*LA5=1,IF(AND($E5=2,UH5=0),1000000,INDEX('計算A'!HH$110:HH$114,$F5+1)+IF(AND($E5=1,UH5=0),1000,0)),1000000))</f>
        <v/>
      </c>
      <c r="ADP5">
        <f>IF($B5=0,1000000,IF(INDEX('計算A'!$D$60:$II$104,$B5,214)*LB5=1,IF(AND($E5=2,UI5=0),1000000,INDEX('計算A'!HI$110:HI$114,$F5+1)+IF(AND($E5=1,UI5=0),1000,0)),1000000))</f>
        <v/>
      </c>
      <c r="ADQ5">
        <f>IF($B5=0,1000000,IF(INDEX('計算A'!$D$60:$II$104,$B5,215)*LC5=1,IF(AND($E5=2,UJ5=0),1000000,INDEX('計算A'!HJ$110:HJ$114,$F5+1)+IF(AND($E5=1,UJ5=0),1000,0)),1000000))</f>
        <v/>
      </c>
      <c r="ADR5">
        <f>IF($B5=0,1000000,IF(INDEX('計算A'!$D$60:$II$104,$B5,216)*LD5=1,IF(AND($E5=2,UK5=0),1000000,INDEX('計算A'!HK$110:HK$114,$F5+1)+IF(AND($E5=1,UK5=0),1000,0)),1000000))</f>
        <v/>
      </c>
      <c r="ADS5">
        <f>IF($B5=0,1000000,IF(INDEX('計算A'!$D$60:$II$104,$B5,217)*LE5=1,IF(AND($E5=2,UL5=0),1000000,INDEX('計算A'!HL$110:HL$114,$F5+1)+IF(AND($E5=1,UL5=0),1000,0)),1000000))</f>
        <v/>
      </c>
      <c r="ADT5">
        <f>IF($B5=0,1000000,IF(INDEX('計算A'!$D$60:$II$104,$B5,218)*LF5=1,IF(AND($E5=2,UM5=0),1000000,INDEX('計算A'!HM$110:HM$114,$F5+1)+IF(AND($E5=1,UM5=0),1000,0)),1000000))</f>
        <v/>
      </c>
      <c r="ADU5">
        <f>IF($B5=0,1000000,IF(INDEX('計算A'!$D$60:$II$104,$B5,219)*LG5=1,IF(AND($E5=2,UN5=0),1000000,INDEX('計算A'!HN$110:HN$114,$F5+1)+IF(AND($E5=1,UN5=0),1000,0)),1000000))</f>
        <v/>
      </c>
      <c r="ADV5">
        <f>IF($B5=0,1000000,IF(INDEX('計算A'!$D$60:$II$104,$B5,220)*LH5=1,IF(AND($E5=2,UO5=0),1000000,INDEX('計算A'!HO$110:HO$114,$F5+1)+IF(AND($E5=1,UO5=0),1000,0)),1000000))</f>
        <v/>
      </c>
      <c r="ADW5">
        <f>IF($B5=0,1000000,IF(INDEX('計算A'!$D$60:$II$104,$B5,221)*LI5=1,IF(AND($E5=2,UP5=0),1000000,INDEX('計算A'!HP$110:HP$114,$F5+1)+IF(AND($E5=1,UP5=0),1000,0)),1000000))</f>
        <v/>
      </c>
      <c r="ADX5">
        <f>IF($B5=0,1000000,IF(INDEX('計算A'!$D$60:$II$104,$B5,222)*LJ5=1,IF(AND($E5=2,UQ5=0),1000000,INDEX('計算A'!HQ$110:HQ$114,$F5+1)+IF(AND($E5=1,UQ5=0),1000,0)),1000000))</f>
        <v/>
      </c>
      <c r="ADY5">
        <f>IF($B5=0,1000000,IF(INDEX('計算A'!$D$60:$II$104,$B5,223)*LK5=1,IF(AND($E5=2,UR5=0),1000000,INDEX('計算A'!HR$110:HR$114,$F5+1)+IF(AND($E5=1,UR5=0),1000,0)),1000000))</f>
        <v/>
      </c>
      <c r="ADZ5">
        <f>IF($B5=0,1000000,IF(INDEX('計算A'!$D$60:$II$104,$B5,224)*LL5=1,IF(AND($E5=2,US5=0),1000000,INDEX('計算A'!HS$110:HS$114,$F5+1)+IF(AND($E5=1,US5=0),1000,0)),1000000))</f>
        <v/>
      </c>
      <c r="AEA5">
        <f>IF($B5=0,1000000,IF(INDEX('計算A'!$D$60:$II$104,$B5,225)*LM5=1,IF(AND($E5=2,UT5=0),1000000,INDEX('計算A'!HT$110:HT$114,$F5+1)+IF(AND($E5=1,UT5=0),1000,0)),1000000))</f>
        <v/>
      </c>
      <c r="AEB5">
        <f>IF($B5=0,1000000,IF(INDEX('計算A'!$D$60:$II$104,$B5,226)*LN5=1,IF(AND($E5=2,UU5=0),1000000,INDEX('計算A'!HU$110:HU$114,$F5+1)+IF(AND($E5=1,UU5=0),1000,0)),1000000))</f>
        <v/>
      </c>
      <c r="AEC5">
        <f>IF($B5=0,1000000,IF(INDEX('計算A'!$D$60:$II$104,$B5,227)*LO5=1,IF(AND($E5=2,UV5=0),1000000,INDEX('計算A'!HV$110:HV$114,$F5+1)+IF(AND($E5=1,UV5=0),1000,0)),1000000))</f>
        <v/>
      </c>
      <c r="AED5">
        <f>IF($B5=0,1000000,IF(INDEX('計算A'!$D$60:$II$104,$B5,228)*LP5=1,IF(AND($E5=2,UW5=0),1000000,INDEX('計算A'!HW$110:HW$114,$F5+1)+IF(AND($E5=1,UW5=0),1000,0)),1000000))</f>
        <v/>
      </c>
      <c r="AEE5">
        <f>IF($B5=0,1000000,IF(INDEX('計算A'!$D$60:$II$104,$B5,229)*LQ5=1,IF(AND($E5=2,UX5=0),1000000,INDEX('計算A'!HX$110:HX$114,$F5+1)+IF(AND($E5=1,UX5=0),1000,0)),1000000))</f>
        <v/>
      </c>
      <c r="AEF5">
        <f>IF($B5=0,1000000,IF(INDEX('計算A'!$D$60:$II$104,$B5,230)*LR5=1,IF(AND($E5=2,UY5=0),1000000,INDEX('計算A'!HY$110:HY$114,$F5+1)+IF(AND($E5=1,UY5=0),1000,0)),1000000))</f>
        <v/>
      </c>
      <c r="AEG5">
        <f>IF($B5=0,1000000,IF(INDEX('計算A'!$D$60:$II$104,$B5,231)*LS5=1,IF(AND($E5=2,UZ5=0),1000000,INDEX('計算A'!HZ$110:HZ$114,$F5+1)+IF(AND($E5=1,UZ5=0),1000,0)),1000000))</f>
        <v/>
      </c>
      <c r="AEH5">
        <f>IF($B5=0,1000000,IF(INDEX('計算A'!$D$60:$II$104,$B5,232)*LT5=1,IF(AND($E5=2,VA5=0),1000000,INDEX('計算A'!IA$110:IA$114,$F5+1)+IF(AND($E5=1,VA5=0),1000,0)),1000000))</f>
        <v/>
      </c>
      <c r="AEI5">
        <f>IF($B5=0,1000000,IF(INDEX('計算A'!$D$60:$II$104,$B5,233)*LU5=1,IF(AND($E5=2,VB5=0),1000000,INDEX('計算A'!IB$110:IB$114,$F5+1)+IF(AND($E5=1,VB5=0),1000,0)),1000000))</f>
        <v/>
      </c>
      <c r="AEJ5">
        <f>IF($B5=0,1000000,IF(INDEX('計算A'!$D$60:$II$104,$B5,234)*LV5=1,IF(AND($E5=2,VC5=0),1000000,INDEX('計算A'!IC$110:IC$114,$F5+1)+IF(AND($E5=1,VC5=0),1000,0)),1000000))</f>
        <v/>
      </c>
      <c r="AEK5">
        <f>IF($B5=0,1000000,IF(INDEX('計算A'!$D$60:$II$104,$B5,235)*LW5=1,IF(AND($E5=2,VD5=0),1000000,INDEX('計算A'!ID$110:ID$114,$F5+1)+IF(AND($E5=1,VD5=0),1000,0)),1000000))</f>
        <v/>
      </c>
      <c r="AEL5">
        <f>IF($B5=0,1000000,IF(INDEX('計算A'!$D$60:$II$104,$B5,236)*LX5=1,IF(AND($E5=2,VE5=0),1000000,INDEX('計算A'!IE$110:IE$114,$F5+1)+IF(AND($E5=1,VE5=0),1000,0)),1000000))</f>
        <v/>
      </c>
      <c r="AEM5">
        <f>IF($B5=0,1000000,IF(INDEX('計算A'!$D$60:$II$104,$B5,237)*LY5=1,IF(AND($E5=2,VF5=0),1000000,INDEX('計算A'!IF$110:IF$114,$F5+1)+IF(AND($E5=1,VF5=0),1000,0)),1000000))</f>
        <v/>
      </c>
      <c r="AEN5">
        <f>IF($B5=0,1000000,IF(INDEX('計算A'!$D$60:$II$104,$B5,238)*LZ5=1,IF(AND($E5=2,VG5=0),1000000,INDEX('計算A'!IG$110:IG$114,$F5+1)+IF(AND($E5=1,VG5=0),1000,0)),1000000))</f>
        <v/>
      </c>
      <c r="AEO5">
        <f>IF($B5=0,1000000,IF(INDEX('計算A'!$D$60:$II$104,$B5,239)*MA5=1,IF(AND($E5=2,VH5=0),1000000,INDEX('計算A'!IH$110:IH$114,$F5+1)+IF(AND($E5=1,VH5=0),1000,0)),1000000))</f>
        <v/>
      </c>
      <c r="AEP5">
        <f>IF($B5=0,1000000,IF(INDEX('計算A'!$D$60:$II$104,$B5,240)*MB5=1,IF(AND($E5=2,VI5=0),1000000,INDEX('計算A'!II$110:II$114,$F5+1)+IF(AND($E5=1,VI5=0),1000,0)),1000000))</f>
        <v/>
      </c>
    </row>
    <row r="6">
      <c r="A6" t="n">
        <v>4</v>
      </c>
      <c r="B6">
        <f>IF(MIN(BC6:CU6)&gt;=1000000,0,MATCH(MIN(BC6:CU6),BC6:CU6,0))</f>
        <v/>
      </c>
      <c r="C6">
        <f>IF(MIN(VK6:AEP6)&gt;=1000000,0,MATCH(MIN(VK6:AEP6),VK6:AEP6,0))</f>
        <v/>
      </c>
      <c r="D6">
        <f>IF(C6&gt;0,INDEX('計算A'!$D$5:$II$5,C6),0)</f>
        <v/>
      </c>
      <c r="E6">
        <f>IF(B6=0,0,INDEX('計算A'!$IQ$10:$IQ$54,B6))</f>
        <v/>
      </c>
      <c r="F6">
        <f>IF(B6=0,0,INDEX('計算A'!$IP$10:$IP$54,B6))</f>
        <v/>
      </c>
      <c r="G6">
        <f>IF(AND(C6&gt;0,E6&gt;0),IF(AND(INDEX('計算A'!$D$106:$II$106,C6)=1,INDEX($MD6:$VI6,C6)=1),C6+1,0),0)</f>
        <v/>
      </c>
      <c r="I6">
        <f>MAX(I5,IF($B5=1,1,0))</f>
        <v/>
      </c>
      <c r="J6">
        <f>MAX(J5,IF($B5=2,1,0))</f>
        <v/>
      </c>
      <c r="K6">
        <f>MAX(K5,IF($B5=3,1,0))</f>
        <v/>
      </c>
      <c r="L6">
        <f>MAX(L5,IF($B5=4,1,0))</f>
        <v/>
      </c>
      <c r="M6">
        <f>MAX(M5,IF($B5=5,1,0))</f>
        <v/>
      </c>
      <c r="N6">
        <f>MAX(N5,IF($B5=6,1,0))</f>
        <v/>
      </c>
      <c r="O6">
        <f>MAX(O5,IF($B5=7,1,0))</f>
        <v/>
      </c>
      <c r="P6">
        <f>MAX(P5,IF($B5=8,1,0))</f>
        <v/>
      </c>
      <c r="Q6">
        <f>MAX(Q5,IF($B5=9,1,0))</f>
        <v/>
      </c>
      <c r="R6">
        <f>MAX(R5,IF($B5=10,1,0))</f>
        <v/>
      </c>
      <c r="S6">
        <f>MAX(S5,IF($B5=11,1,0))</f>
        <v/>
      </c>
      <c r="T6">
        <f>MAX(T5,IF($B5=12,1,0))</f>
        <v/>
      </c>
      <c r="U6">
        <f>MAX(U5,IF($B5=13,1,0))</f>
        <v/>
      </c>
      <c r="V6">
        <f>MAX(V5,IF($B5=14,1,0))</f>
        <v/>
      </c>
      <c r="W6">
        <f>MAX(W5,IF($B5=15,1,0))</f>
        <v/>
      </c>
      <c r="X6">
        <f>MAX(X5,IF($B5=16,1,0))</f>
        <v/>
      </c>
      <c r="Y6">
        <f>MAX(Y5,IF($B5=17,1,0))</f>
        <v/>
      </c>
      <c r="Z6">
        <f>MAX(Z5,IF($B5=18,1,0))</f>
        <v/>
      </c>
      <c r="AA6">
        <f>MAX(AA5,IF($B5=19,1,0))</f>
        <v/>
      </c>
      <c r="AB6">
        <f>MAX(AB5,IF($B5=20,1,0))</f>
        <v/>
      </c>
      <c r="AC6">
        <f>MAX(AC5,IF($B5=21,1,0))</f>
        <v/>
      </c>
      <c r="AD6">
        <f>MAX(AD5,IF($B5=22,1,0))</f>
        <v/>
      </c>
      <c r="AE6">
        <f>MAX(AE5,IF($B5=23,1,0))</f>
        <v/>
      </c>
      <c r="AF6">
        <f>MAX(AF5,IF($B5=24,1,0))</f>
        <v/>
      </c>
      <c r="AG6">
        <f>MAX(AG5,IF($B5=25,1,0))</f>
        <v/>
      </c>
      <c r="AH6">
        <f>MAX(AH5,IF($B5=26,1,0))</f>
        <v/>
      </c>
      <c r="AI6">
        <f>MAX(AI5,IF($B5=27,1,0))</f>
        <v/>
      </c>
      <c r="AJ6">
        <f>MAX(AJ5,IF($B5=28,1,0))</f>
        <v/>
      </c>
      <c r="AK6">
        <f>MAX(AK5,IF($B5=29,1,0))</f>
        <v/>
      </c>
      <c r="AL6">
        <f>MAX(AL5,IF($B5=30,1,0))</f>
        <v/>
      </c>
      <c r="AM6">
        <f>MAX(AM5,IF($B5=31,1,0))</f>
        <v/>
      </c>
      <c r="AN6">
        <f>MAX(AN5,IF($B5=32,1,0))</f>
        <v/>
      </c>
      <c r="AO6">
        <f>MAX(AO5,IF($B5=33,1,0))</f>
        <v/>
      </c>
      <c r="AP6">
        <f>MAX(AP5,IF($B5=34,1,0))</f>
        <v/>
      </c>
      <c r="AQ6">
        <f>MAX(AQ5,IF($B5=35,1,0))</f>
        <v/>
      </c>
      <c r="AR6">
        <f>MAX(AR5,IF($B5=36,1,0))</f>
        <v/>
      </c>
      <c r="AS6">
        <f>MAX(AS5,IF($B5=37,1,0))</f>
        <v/>
      </c>
      <c r="AT6">
        <f>MAX(AT5,IF($B5=38,1,0))</f>
        <v/>
      </c>
      <c r="AU6">
        <f>MAX(AU5,IF($B5=39,1,0))</f>
        <v/>
      </c>
      <c r="AV6">
        <f>MAX(AV5,IF($B5=40,1,0))</f>
        <v/>
      </c>
      <c r="AW6">
        <f>MAX(AW5,IF($B5=41,1,0))</f>
        <v/>
      </c>
      <c r="AX6">
        <f>MAX(AX5,IF($B5=42,1,0))</f>
        <v/>
      </c>
      <c r="AY6">
        <f>MAX(AY5,IF($B5=43,1,0))</f>
        <v/>
      </c>
      <c r="AZ6">
        <f>MAX(AZ5,IF($B5=44,1,0))</f>
        <v/>
      </c>
      <c r="BA6">
        <f>MAX(BA5,IF($B5=45,1,0))</f>
        <v/>
      </c>
      <c r="BC6">
        <f>IF(I6=1,1000000,IF('計算A'!$IQ$10=2,SUMPRODUCT('計算A'!$D$60:$II$60,$CW6:$MB6,$MD6:$VI6),SUMPRODUCT('計算A'!$D$60:$II$60,$CW6:$MB6))*1000+1)</f>
        <v/>
      </c>
      <c r="BD6">
        <f>IF(J6=1,1000000,IF('計算A'!$IQ$11=2,SUMPRODUCT('計算A'!$D$61:$II$61,$CW6:$MB6,$MD6:$VI6),SUMPRODUCT('計算A'!$D$61:$II$61,$CW6:$MB6))*1000+2)</f>
        <v/>
      </c>
      <c r="BE6">
        <f>IF(K6=1,1000000,IF('計算A'!$IQ$12=2,SUMPRODUCT('計算A'!$D$62:$II$62,$CW6:$MB6,$MD6:$VI6),SUMPRODUCT('計算A'!$D$62:$II$62,$CW6:$MB6))*1000+3)</f>
        <v/>
      </c>
      <c r="BF6">
        <f>IF(L6=1,1000000,IF('計算A'!$IQ$13=2,SUMPRODUCT('計算A'!$D$63:$II$63,$CW6:$MB6,$MD6:$VI6),SUMPRODUCT('計算A'!$D$63:$II$63,$CW6:$MB6))*1000+4)</f>
        <v/>
      </c>
      <c r="BG6">
        <f>IF(M6=1,1000000,IF('計算A'!$IQ$14=2,SUMPRODUCT('計算A'!$D$64:$II$64,$CW6:$MB6,$MD6:$VI6),SUMPRODUCT('計算A'!$D$64:$II$64,$CW6:$MB6))*1000+5)</f>
        <v/>
      </c>
      <c r="BH6">
        <f>IF(N6=1,1000000,IF('計算A'!$IQ$15=2,SUMPRODUCT('計算A'!$D$65:$II$65,$CW6:$MB6,$MD6:$VI6),SUMPRODUCT('計算A'!$D$65:$II$65,$CW6:$MB6))*1000+6)</f>
        <v/>
      </c>
      <c r="BI6">
        <f>IF(O6=1,1000000,IF('計算A'!$IQ$16=2,SUMPRODUCT('計算A'!$D$66:$II$66,$CW6:$MB6,$MD6:$VI6),SUMPRODUCT('計算A'!$D$66:$II$66,$CW6:$MB6))*1000+7)</f>
        <v/>
      </c>
      <c r="BJ6">
        <f>IF(P6=1,1000000,IF('計算A'!$IQ$17=2,SUMPRODUCT('計算A'!$D$67:$II$67,$CW6:$MB6,$MD6:$VI6),SUMPRODUCT('計算A'!$D$67:$II$67,$CW6:$MB6))*1000+8)</f>
        <v/>
      </c>
      <c r="BK6">
        <f>IF(Q6=1,1000000,IF('計算A'!$IQ$18=2,SUMPRODUCT('計算A'!$D$68:$II$68,$CW6:$MB6,$MD6:$VI6),SUMPRODUCT('計算A'!$D$68:$II$68,$CW6:$MB6))*1000+9)</f>
        <v/>
      </c>
      <c r="BL6">
        <f>IF(R6=1,1000000,IF('計算A'!$IQ$19=2,SUMPRODUCT('計算A'!$D$69:$II$69,$CW6:$MB6,$MD6:$VI6),SUMPRODUCT('計算A'!$D$69:$II$69,$CW6:$MB6))*1000+10)</f>
        <v/>
      </c>
      <c r="BM6">
        <f>IF(S6=1,1000000,IF('計算A'!$IQ$20=2,SUMPRODUCT('計算A'!$D$70:$II$70,$CW6:$MB6,$MD6:$VI6),SUMPRODUCT('計算A'!$D$70:$II$70,$CW6:$MB6))*1000+11)</f>
        <v/>
      </c>
      <c r="BN6">
        <f>IF(T6=1,1000000,IF('計算A'!$IQ$21=2,SUMPRODUCT('計算A'!$D$71:$II$71,$CW6:$MB6,$MD6:$VI6),SUMPRODUCT('計算A'!$D$71:$II$71,$CW6:$MB6))*1000+12)</f>
        <v/>
      </c>
      <c r="BO6">
        <f>IF(U6=1,1000000,IF('計算A'!$IQ$22=2,SUMPRODUCT('計算A'!$D$72:$II$72,$CW6:$MB6,$MD6:$VI6),SUMPRODUCT('計算A'!$D$72:$II$72,$CW6:$MB6))*1000+13)</f>
        <v/>
      </c>
      <c r="BP6">
        <f>IF(V6=1,1000000,IF('計算A'!$IQ$23=2,SUMPRODUCT('計算A'!$D$73:$II$73,$CW6:$MB6,$MD6:$VI6),SUMPRODUCT('計算A'!$D$73:$II$73,$CW6:$MB6))*1000+14)</f>
        <v/>
      </c>
      <c r="BQ6">
        <f>IF(W6=1,1000000,IF('計算A'!$IQ$24=2,SUMPRODUCT('計算A'!$D$74:$II$74,$CW6:$MB6,$MD6:$VI6),SUMPRODUCT('計算A'!$D$74:$II$74,$CW6:$MB6))*1000+15)</f>
        <v/>
      </c>
      <c r="BR6">
        <f>IF(X6=1,1000000,IF('計算A'!$IQ$25=2,SUMPRODUCT('計算A'!$D$75:$II$75,$CW6:$MB6,$MD6:$VI6),SUMPRODUCT('計算A'!$D$75:$II$75,$CW6:$MB6))*1000+16)</f>
        <v/>
      </c>
      <c r="BS6">
        <f>IF(Y6=1,1000000,IF('計算A'!$IQ$26=2,SUMPRODUCT('計算A'!$D$76:$II$76,$CW6:$MB6,$MD6:$VI6),SUMPRODUCT('計算A'!$D$76:$II$76,$CW6:$MB6))*1000+17)</f>
        <v/>
      </c>
      <c r="BT6">
        <f>IF(Z6=1,1000000,IF('計算A'!$IQ$27=2,SUMPRODUCT('計算A'!$D$77:$II$77,$CW6:$MB6,$MD6:$VI6),SUMPRODUCT('計算A'!$D$77:$II$77,$CW6:$MB6))*1000+18)</f>
        <v/>
      </c>
      <c r="BU6">
        <f>IF(AA6=1,1000000,IF('計算A'!$IQ$28=2,SUMPRODUCT('計算A'!$D$78:$II$78,$CW6:$MB6,$MD6:$VI6),SUMPRODUCT('計算A'!$D$78:$II$78,$CW6:$MB6))*1000+19)</f>
        <v/>
      </c>
      <c r="BV6">
        <f>IF(AB6=1,1000000,IF('計算A'!$IQ$29=2,SUMPRODUCT('計算A'!$D$79:$II$79,$CW6:$MB6,$MD6:$VI6),SUMPRODUCT('計算A'!$D$79:$II$79,$CW6:$MB6))*1000+20)</f>
        <v/>
      </c>
      <c r="BW6">
        <f>IF(AC6=1,1000000,IF('計算A'!$IQ$30=2,SUMPRODUCT('計算A'!$D$80:$II$80,$CW6:$MB6,$MD6:$VI6),SUMPRODUCT('計算A'!$D$80:$II$80,$CW6:$MB6))*1000+21)</f>
        <v/>
      </c>
      <c r="BX6">
        <f>IF(AD6=1,1000000,IF('計算A'!$IQ$31=2,SUMPRODUCT('計算A'!$D$81:$II$81,$CW6:$MB6,$MD6:$VI6),SUMPRODUCT('計算A'!$D$81:$II$81,$CW6:$MB6))*1000+22)</f>
        <v/>
      </c>
      <c r="BY6">
        <f>IF(AE6=1,1000000,IF('計算A'!$IQ$32=2,SUMPRODUCT('計算A'!$D$82:$II$82,$CW6:$MB6,$MD6:$VI6),SUMPRODUCT('計算A'!$D$82:$II$82,$CW6:$MB6))*1000+23)</f>
        <v/>
      </c>
      <c r="BZ6">
        <f>IF(AF6=1,1000000,IF('計算A'!$IQ$33=2,SUMPRODUCT('計算A'!$D$83:$II$83,$CW6:$MB6,$MD6:$VI6),SUMPRODUCT('計算A'!$D$83:$II$83,$CW6:$MB6))*1000+24)</f>
        <v/>
      </c>
      <c r="CA6">
        <f>IF(AG6=1,1000000,IF('計算A'!$IQ$34=2,SUMPRODUCT('計算A'!$D$84:$II$84,$CW6:$MB6,$MD6:$VI6),SUMPRODUCT('計算A'!$D$84:$II$84,$CW6:$MB6))*1000+25)</f>
        <v/>
      </c>
      <c r="CB6">
        <f>IF(AH6=1,1000000,IF('計算A'!$IQ$35=2,SUMPRODUCT('計算A'!$D$85:$II$85,$CW6:$MB6,$MD6:$VI6),SUMPRODUCT('計算A'!$D$85:$II$85,$CW6:$MB6))*1000+26)</f>
        <v/>
      </c>
      <c r="CC6">
        <f>IF(AI6=1,1000000,IF('計算A'!$IQ$36=2,SUMPRODUCT('計算A'!$D$86:$II$86,$CW6:$MB6,$MD6:$VI6),SUMPRODUCT('計算A'!$D$86:$II$86,$CW6:$MB6))*1000+27)</f>
        <v/>
      </c>
      <c r="CD6">
        <f>IF(AJ6=1,1000000,IF('計算A'!$IQ$37=2,SUMPRODUCT('計算A'!$D$87:$II$87,$CW6:$MB6,$MD6:$VI6),SUMPRODUCT('計算A'!$D$87:$II$87,$CW6:$MB6))*1000+28)</f>
        <v/>
      </c>
      <c r="CE6">
        <f>IF(AK6=1,1000000,IF('計算A'!$IQ$38=2,SUMPRODUCT('計算A'!$D$88:$II$88,$CW6:$MB6,$MD6:$VI6),SUMPRODUCT('計算A'!$D$88:$II$88,$CW6:$MB6))*1000+29)</f>
        <v/>
      </c>
      <c r="CF6">
        <f>IF(AL6=1,1000000,IF('計算A'!$IQ$39=2,SUMPRODUCT('計算A'!$D$89:$II$89,$CW6:$MB6,$MD6:$VI6),SUMPRODUCT('計算A'!$D$89:$II$89,$CW6:$MB6))*1000+30)</f>
        <v/>
      </c>
      <c r="CG6">
        <f>IF(AM6=1,1000000,IF('計算A'!$IQ$40=2,SUMPRODUCT('計算A'!$D$90:$II$90,$CW6:$MB6,$MD6:$VI6),SUMPRODUCT('計算A'!$D$90:$II$90,$CW6:$MB6))*1000+31)</f>
        <v/>
      </c>
      <c r="CH6">
        <f>IF(AN6=1,1000000,IF('計算A'!$IQ$41=2,SUMPRODUCT('計算A'!$D$91:$II$91,$CW6:$MB6,$MD6:$VI6),SUMPRODUCT('計算A'!$D$91:$II$91,$CW6:$MB6))*1000+32)</f>
        <v/>
      </c>
      <c r="CI6">
        <f>IF(AO6=1,1000000,IF('計算A'!$IQ$42=2,SUMPRODUCT('計算A'!$D$92:$II$92,$CW6:$MB6,$MD6:$VI6),SUMPRODUCT('計算A'!$D$92:$II$92,$CW6:$MB6))*1000+33)</f>
        <v/>
      </c>
      <c r="CJ6">
        <f>IF(AP6=1,1000000,IF('計算A'!$IQ$43=2,SUMPRODUCT('計算A'!$D$93:$II$93,$CW6:$MB6,$MD6:$VI6),SUMPRODUCT('計算A'!$D$93:$II$93,$CW6:$MB6))*1000+34)</f>
        <v/>
      </c>
      <c r="CK6">
        <f>IF(AQ6=1,1000000,IF('計算A'!$IQ$44=2,SUMPRODUCT('計算A'!$D$94:$II$94,$CW6:$MB6,$MD6:$VI6),SUMPRODUCT('計算A'!$D$94:$II$94,$CW6:$MB6))*1000+35)</f>
        <v/>
      </c>
      <c r="CL6">
        <f>IF(AR6=1,1000000,IF('計算A'!$IQ$45=2,SUMPRODUCT('計算A'!$D$95:$II$95,$CW6:$MB6,$MD6:$VI6),SUMPRODUCT('計算A'!$D$95:$II$95,$CW6:$MB6))*1000+36)</f>
        <v/>
      </c>
      <c r="CM6">
        <f>IF(AS6=1,1000000,IF('計算A'!$IQ$46=2,SUMPRODUCT('計算A'!$D$96:$II$96,$CW6:$MB6,$MD6:$VI6),SUMPRODUCT('計算A'!$D$96:$II$96,$CW6:$MB6))*1000+37)</f>
        <v/>
      </c>
      <c r="CN6">
        <f>IF(AT6=1,1000000,IF('計算A'!$IQ$47=2,SUMPRODUCT('計算A'!$D$97:$II$97,$CW6:$MB6,$MD6:$VI6),SUMPRODUCT('計算A'!$D$97:$II$97,$CW6:$MB6))*1000+38)</f>
        <v/>
      </c>
      <c r="CO6">
        <f>IF(AU6=1,1000000,IF('計算A'!$IQ$48=2,SUMPRODUCT('計算A'!$D$98:$II$98,$CW6:$MB6,$MD6:$VI6),SUMPRODUCT('計算A'!$D$98:$II$98,$CW6:$MB6))*1000+39)</f>
        <v/>
      </c>
      <c r="CP6">
        <f>IF(AV6=1,1000000,IF('計算A'!$IQ$49=2,SUMPRODUCT('計算A'!$D$99:$II$99,$CW6:$MB6,$MD6:$VI6),SUMPRODUCT('計算A'!$D$99:$II$99,$CW6:$MB6))*1000+40)</f>
        <v/>
      </c>
      <c r="CQ6">
        <f>IF(AW6=1,1000000,IF('計算A'!$IQ$50=2,SUMPRODUCT('計算A'!$D$100:$II$100,$CW6:$MB6,$MD6:$VI6),SUMPRODUCT('計算A'!$D$100:$II$100,$CW6:$MB6))*1000+41)</f>
        <v/>
      </c>
      <c r="CR6">
        <f>IF(AX6=1,1000000,IF('計算A'!$IQ$51=2,SUMPRODUCT('計算A'!$D$101:$II$101,$CW6:$MB6,$MD6:$VI6),SUMPRODUCT('計算A'!$D$101:$II$101,$CW6:$MB6))*1000+42)</f>
        <v/>
      </c>
      <c r="CS6">
        <f>IF(AY6=1,1000000,IF('計算A'!$IQ$52=2,SUMPRODUCT('計算A'!$D$102:$II$102,$CW6:$MB6,$MD6:$VI6),SUMPRODUCT('計算A'!$D$102:$II$102,$CW6:$MB6))*1000+43)</f>
        <v/>
      </c>
      <c r="CT6">
        <f>IF(AZ6=1,1000000,IF('計算A'!$IQ$53=2,SUMPRODUCT('計算A'!$D$103:$II$103,$CW6:$MB6,$MD6:$VI6),SUMPRODUCT('計算A'!$D$103:$II$103,$CW6:$MB6))*1000+44)</f>
        <v/>
      </c>
      <c r="CU6">
        <f>IF(BA6=1,1000000,IF('計算A'!$IQ$54=2,SUMPRODUCT('計算A'!$D$104:$II$104,$CW6:$MB6,$MD6:$VI6),SUMPRODUCT('計算A'!$D$104:$II$104,$CW6:$MB6))*1000+45)</f>
        <v/>
      </c>
      <c r="CW6">
        <f>CW5*IF(OR($C5=1,$G5=1),0,1)</f>
        <v/>
      </c>
      <c r="CX6">
        <f>CX5*IF(OR($C5=2,$G5=2),0,1)</f>
        <v/>
      </c>
      <c r="CY6">
        <f>CY5*IF(OR($C5=3,$G5=3),0,1)</f>
        <v/>
      </c>
      <c r="CZ6">
        <f>CZ5*IF(OR($C5=4,$G5=4),0,1)</f>
        <v/>
      </c>
      <c r="DA6">
        <f>DA5*IF(OR($C5=5,$G5=5),0,1)</f>
        <v/>
      </c>
      <c r="DB6">
        <f>DB5*IF(OR($C5=6,$G5=6),0,1)</f>
        <v/>
      </c>
      <c r="DC6">
        <f>DC5*IF(OR($C5=7,$G5=7),0,1)</f>
        <v/>
      </c>
      <c r="DD6">
        <f>DD5*IF(OR($C5=8,$G5=8),0,1)</f>
        <v/>
      </c>
      <c r="DE6">
        <f>DE5*IF(OR($C5=9,$G5=9),0,1)</f>
        <v/>
      </c>
      <c r="DF6">
        <f>DF5*IF(OR($C5=10,$G5=10),0,1)</f>
        <v/>
      </c>
      <c r="DG6">
        <f>DG5*IF(OR($C5=11,$G5=11),0,1)</f>
        <v/>
      </c>
      <c r="DH6">
        <f>DH5*IF(OR($C5=12,$G5=12),0,1)</f>
        <v/>
      </c>
      <c r="DI6">
        <f>DI5*IF(OR($C5=13,$G5=13),0,1)</f>
        <v/>
      </c>
      <c r="DJ6">
        <f>DJ5*IF(OR($C5=14,$G5=14),0,1)</f>
        <v/>
      </c>
      <c r="DK6">
        <f>DK5*IF(OR($C5=15,$G5=15),0,1)</f>
        <v/>
      </c>
      <c r="DL6">
        <f>DL5*IF(OR($C5=16,$G5=16),0,1)</f>
        <v/>
      </c>
      <c r="DM6">
        <f>DM5*IF(OR($C5=17,$G5=17),0,1)</f>
        <v/>
      </c>
      <c r="DN6">
        <f>DN5*IF(OR($C5=18,$G5=18),0,1)</f>
        <v/>
      </c>
      <c r="DO6">
        <f>DO5*IF(OR($C5=19,$G5=19),0,1)</f>
        <v/>
      </c>
      <c r="DP6">
        <f>DP5*IF(OR($C5=20,$G5=20),0,1)</f>
        <v/>
      </c>
      <c r="DQ6">
        <f>DQ5*IF(OR($C5=21,$G5=21),0,1)</f>
        <v/>
      </c>
      <c r="DR6">
        <f>DR5*IF(OR($C5=22,$G5=22),0,1)</f>
        <v/>
      </c>
      <c r="DS6">
        <f>DS5*IF(OR($C5=23,$G5=23),0,1)</f>
        <v/>
      </c>
      <c r="DT6">
        <f>DT5*IF(OR($C5=24,$G5=24),0,1)</f>
        <v/>
      </c>
      <c r="DU6">
        <f>DU5*IF(OR($C5=25,$G5=25),0,1)</f>
        <v/>
      </c>
      <c r="DV6">
        <f>DV5*IF(OR($C5=26,$G5=26),0,1)</f>
        <v/>
      </c>
      <c r="DW6">
        <f>DW5*IF(OR($C5=27,$G5=27),0,1)</f>
        <v/>
      </c>
      <c r="DX6">
        <f>DX5*IF(OR($C5=28,$G5=28),0,1)</f>
        <v/>
      </c>
      <c r="DY6">
        <f>DY5*IF(OR($C5=29,$G5=29),0,1)</f>
        <v/>
      </c>
      <c r="DZ6">
        <f>DZ5*IF(OR($C5=30,$G5=30),0,1)</f>
        <v/>
      </c>
      <c r="EA6">
        <f>EA5*IF(OR($C5=31,$G5=31),0,1)</f>
        <v/>
      </c>
      <c r="EB6">
        <f>EB5*IF(OR($C5=32,$G5=32),0,1)</f>
        <v/>
      </c>
      <c r="EC6">
        <f>EC5*IF(OR($C5=33,$G5=33),0,1)</f>
        <v/>
      </c>
      <c r="ED6">
        <f>ED5*IF(OR($C5=34,$G5=34),0,1)</f>
        <v/>
      </c>
      <c r="EE6">
        <f>EE5*IF(OR($C5=35,$G5=35),0,1)</f>
        <v/>
      </c>
      <c r="EF6">
        <f>EF5*IF(OR($C5=36,$G5=36),0,1)</f>
        <v/>
      </c>
      <c r="EG6">
        <f>EG5*IF(OR($C5=37,$G5=37),0,1)</f>
        <v/>
      </c>
      <c r="EH6">
        <f>EH5*IF(OR($C5=38,$G5=38),0,1)</f>
        <v/>
      </c>
      <c r="EI6">
        <f>EI5*IF(OR($C5=39,$G5=39),0,1)</f>
        <v/>
      </c>
      <c r="EJ6">
        <f>EJ5*IF(OR($C5=40,$G5=40),0,1)</f>
        <v/>
      </c>
      <c r="EK6">
        <f>EK5*IF(OR($C5=41,$G5=41),0,1)</f>
        <v/>
      </c>
      <c r="EL6">
        <f>EL5*IF(OR($C5=42,$G5=42),0,1)</f>
        <v/>
      </c>
      <c r="EM6">
        <f>EM5*IF(OR($C5=43,$G5=43),0,1)</f>
        <v/>
      </c>
      <c r="EN6">
        <f>EN5*IF(OR($C5=44,$G5=44),0,1)</f>
        <v/>
      </c>
      <c r="EO6">
        <f>EO5*IF(OR($C5=45,$G5=45),0,1)</f>
        <v/>
      </c>
      <c r="EP6">
        <f>EP5*IF(OR($C5=46,$G5=46),0,1)</f>
        <v/>
      </c>
      <c r="EQ6">
        <f>EQ5*IF(OR($C5=47,$G5=47),0,1)</f>
        <v/>
      </c>
      <c r="ER6">
        <f>ER5*IF(OR($C5=48,$G5=48),0,1)</f>
        <v/>
      </c>
      <c r="ES6">
        <f>ES5*IF(OR($C5=49,$G5=49),0,1)</f>
        <v/>
      </c>
      <c r="ET6">
        <f>ET5*IF(OR($C5=50,$G5=50),0,1)</f>
        <v/>
      </c>
      <c r="EU6">
        <f>EU5*IF(OR($C5=51,$G5=51),0,1)</f>
        <v/>
      </c>
      <c r="EV6">
        <f>EV5*IF(OR($C5=52,$G5=52),0,1)</f>
        <v/>
      </c>
      <c r="EW6">
        <f>EW5*IF(OR($C5=53,$G5=53),0,1)</f>
        <v/>
      </c>
      <c r="EX6">
        <f>EX5*IF(OR($C5=54,$G5=54),0,1)</f>
        <v/>
      </c>
      <c r="EY6">
        <f>EY5*IF(OR($C5=55,$G5=55),0,1)</f>
        <v/>
      </c>
      <c r="EZ6">
        <f>EZ5*IF(OR($C5=56,$G5=56),0,1)</f>
        <v/>
      </c>
      <c r="FA6">
        <f>FA5*IF(OR($C5=57,$G5=57),0,1)</f>
        <v/>
      </c>
      <c r="FB6">
        <f>FB5*IF(OR($C5=58,$G5=58),0,1)</f>
        <v/>
      </c>
      <c r="FC6">
        <f>FC5*IF(OR($C5=59,$G5=59),0,1)</f>
        <v/>
      </c>
      <c r="FD6">
        <f>FD5*IF(OR($C5=60,$G5=60),0,1)</f>
        <v/>
      </c>
      <c r="FE6">
        <f>FE5*IF(OR($C5=61,$G5=61),0,1)</f>
        <v/>
      </c>
      <c r="FF6">
        <f>FF5*IF(OR($C5=62,$G5=62),0,1)</f>
        <v/>
      </c>
      <c r="FG6">
        <f>FG5*IF(OR($C5=63,$G5=63),0,1)</f>
        <v/>
      </c>
      <c r="FH6">
        <f>FH5*IF(OR($C5=64,$G5=64),0,1)</f>
        <v/>
      </c>
      <c r="FI6">
        <f>FI5*IF(OR($C5=65,$G5=65),0,1)</f>
        <v/>
      </c>
      <c r="FJ6">
        <f>FJ5*IF(OR($C5=66,$G5=66),0,1)</f>
        <v/>
      </c>
      <c r="FK6">
        <f>FK5*IF(OR($C5=67,$G5=67),0,1)</f>
        <v/>
      </c>
      <c r="FL6">
        <f>FL5*IF(OR($C5=68,$G5=68),0,1)</f>
        <v/>
      </c>
      <c r="FM6">
        <f>FM5*IF(OR($C5=69,$G5=69),0,1)</f>
        <v/>
      </c>
      <c r="FN6">
        <f>FN5*IF(OR($C5=70,$G5=70),0,1)</f>
        <v/>
      </c>
      <c r="FO6">
        <f>FO5*IF(OR($C5=71,$G5=71),0,1)</f>
        <v/>
      </c>
      <c r="FP6">
        <f>FP5*IF(OR($C5=72,$G5=72),0,1)</f>
        <v/>
      </c>
      <c r="FQ6">
        <f>FQ5*IF(OR($C5=73,$G5=73),0,1)</f>
        <v/>
      </c>
      <c r="FR6">
        <f>FR5*IF(OR($C5=74,$G5=74),0,1)</f>
        <v/>
      </c>
      <c r="FS6">
        <f>FS5*IF(OR($C5=75,$G5=75),0,1)</f>
        <v/>
      </c>
      <c r="FT6">
        <f>FT5*IF(OR($C5=76,$G5=76),0,1)</f>
        <v/>
      </c>
      <c r="FU6">
        <f>FU5*IF(OR($C5=77,$G5=77),0,1)</f>
        <v/>
      </c>
      <c r="FV6">
        <f>FV5*IF(OR($C5=78,$G5=78),0,1)</f>
        <v/>
      </c>
      <c r="FW6">
        <f>FW5*IF(OR($C5=79,$G5=79),0,1)</f>
        <v/>
      </c>
      <c r="FX6">
        <f>FX5*IF(OR($C5=80,$G5=80),0,1)</f>
        <v/>
      </c>
      <c r="FY6">
        <f>FY5*IF(OR($C5=81,$G5=81),0,1)</f>
        <v/>
      </c>
      <c r="FZ6">
        <f>FZ5*IF(OR($C5=82,$G5=82),0,1)</f>
        <v/>
      </c>
      <c r="GA6">
        <f>GA5*IF(OR($C5=83,$G5=83),0,1)</f>
        <v/>
      </c>
      <c r="GB6">
        <f>GB5*IF(OR($C5=84,$G5=84),0,1)</f>
        <v/>
      </c>
      <c r="GC6">
        <f>GC5*IF(OR($C5=85,$G5=85),0,1)</f>
        <v/>
      </c>
      <c r="GD6">
        <f>GD5*IF(OR($C5=86,$G5=86),0,1)</f>
        <v/>
      </c>
      <c r="GE6">
        <f>GE5*IF(OR($C5=87,$G5=87),0,1)</f>
        <v/>
      </c>
      <c r="GF6">
        <f>GF5*IF(OR($C5=88,$G5=88),0,1)</f>
        <v/>
      </c>
      <c r="GG6">
        <f>GG5*IF(OR($C5=89,$G5=89),0,1)</f>
        <v/>
      </c>
      <c r="GH6">
        <f>GH5*IF(OR($C5=90,$G5=90),0,1)</f>
        <v/>
      </c>
      <c r="GI6">
        <f>GI5*IF(OR($C5=91,$G5=91),0,1)</f>
        <v/>
      </c>
      <c r="GJ6">
        <f>GJ5*IF(OR($C5=92,$G5=92),0,1)</f>
        <v/>
      </c>
      <c r="GK6">
        <f>GK5*IF(OR($C5=93,$G5=93),0,1)</f>
        <v/>
      </c>
      <c r="GL6">
        <f>GL5*IF(OR($C5=94,$G5=94),0,1)</f>
        <v/>
      </c>
      <c r="GM6">
        <f>GM5*IF(OR($C5=95,$G5=95),0,1)</f>
        <v/>
      </c>
      <c r="GN6">
        <f>GN5*IF(OR($C5=96,$G5=96),0,1)</f>
        <v/>
      </c>
      <c r="GO6">
        <f>GO5*IF(OR($C5=97,$G5=97),0,1)</f>
        <v/>
      </c>
      <c r="GP6">
        <f>GP5*IF(OR($C5=98,$G5=98),0,1)</f>
        <v/>
      </c>
      <c r="GQ6">
        <f>GQ5*IF(OR($C5=99,$G5=99),0,1)</f>
        <v/>
      </c>
      <c r="GR6">
        <f>GR5*IF(OR($C5=100,$G5=100),0,1)</f>
        <v/>
      </c>
      <c r="GS6">
        <f>GS5*IF(OR($C5=101,$G5=101),0,1)</f>
        <v/>
      </c>
      <c r="GT6">
        <f>GT5*IF(OR($C5=102,$G5=102),0,1)</f>
        <v/>
      </c>
      <c r="GU6">
        <f>GU5*IF(OR($C5=103,$G5=103),0,1)</f>
        <v/>
      </c>
      <c r="GV6">
        <f>GV5*IF(OR($C5=104,$G5=104),0,1)</f>
        <v/>
      </c>
      <c r="GW6">
        <f>GW5*IF(OR($C5=105,$G5=105),0,1)</f>
        <v/>
      </c>
      <c r="GX6">
        <f>GX5*IF(OR($C5=106,$G5=106),0,1)</f>
        <v/>
      </c>
      <c r="GY6">
        <f>GY5*IF(OR($C5=107,$G5=107),0,1)</f>
        <v/>
      </c>
      <c r="GZ6">
        <f>GZ5*IF(OR($C5=108,$G5=108),0,1)</f>
        <v/>
      </c>
      <c r="HA6">
        <f>HA5*IF(OR($C5=109,$G5=109),0,1)</f>
        <v/>
      </c>
      <c r="HB6">
        <f>HB5*IF(OR($C5=110,$G5=110),0,1)</f>
        <v/>
      </c>
      <c r="HC6">
        <f>HC5*IF(OR($C5=111,$G5=111),0,1)</f>
        <v/>
      </c>
      <c r="HD6">
        <f>HD5*IF(OR($C5=112,$G5=112),0,1)</f>
        <v/>
      </c>
      <c r="HE6">
        <f>HE5*IF(OR($C5=113,$G5=113),0,1)</f>
        <v/>
      </c>
      <c r="HF6">
        <f>HF5*IF(OR($C5=114,$G5=114),0,1)</f>
        <v/>
      </c>
      <c r="HG6">
        <f>HG5*IF(OR($C5=115,$G5=115),0,1)</f>
        <v/>
      </c>
      <c r="HH6">
        <f>HH5*IF(OR($C5=116,$G5=116),0,1)</f>
        <v/>
      </c>
      <c r="HI6">
        <f>HI5*IF(OR($C5=117,$G5=117),0,1)</f>
        <v/>
      </c>
      <c r="HJ6">
        <f>HJ5*IF(OR($C5=118,$G5=118),0,1)</f>
        <v/>
      </c>
      <c r="HK6">
        <f>HK5*IF(OR($C5=119,$G5=119),0,1)</f>
        <v/>
      </c>
      <c r="HL6">
        <f>HL5*IF(OR($C5=120,$G5=120),0,1)</f>
        <v/>
      </c>
      <c r="HM6">
        <f>HM5*IF(OR($C5=121,$G5=121),0,1)</f>
        <v/>
      </c>
      <c r="HN6">
        <f>HN5*IF(OR($C5=122,$G5=122),0,1)</f>
        <v/>
      </c>
      <c r="HO6">
        <f>HO5*IF(OR($C5=123,$G5=123),0,1)</f>
        <v/>
      </c>
      <c r="HP6">
        <f>HP5*IF(OR($C5=124,$G5=124),0,1)</f>
        <v/>
      </c>
      <c r="HQ6">
        <f>HQ5*IF(OR($C5=125,$G5=125),0,1)</f>
        <v/>
      </c>
      <c r="HR6">
        <f>HR5*IF(OR($C5=126,$G5=126),0,1)</f>
        <v/>
      </c>
      <c r="HS6">
        <f>HS5*IF(OR($C5=127,$G5=127),0,1)</f>
        <v/>
      </c>
      <c r="HT6">
        <f>HT5*IF(OR($C5=128,$G5=128),0,1)</f>
        <v/>
      </c>
      <c r="HU6">
        <f>HU5*IF(OR($C5=129,$G5=129),0,1)</f>
        <v/>
      </c>
      <c r="HV6">
        <f>HV5*IF(OR($C5=130,$G5=130),0,1)</f>
        <v/>
      </c>
      <c r="HW6">
        <f>HW5*IF(OR($C5=131,$G5=131),0,1)</f>
        <v/>
      </c>
      <c r="HX6">
        <f>HX5*IF(OR($C5=132,$G5=132),0,1)</f>
        <v/>
      </c>
      <c r="HY6">
        <f>HY5*IF(OR($C5=133,$G5=133),0,1)</f>
        <v/>
      </c>
      <c r="HZ6">
        <f>HZ5*IF(OR($C5=134,$G5=134),0,1)</f>
        <v/>
      </c>
      <c r="IA6">
        <f>IA5*IF(OR($C5=135,$G5=135),0,1)</f>
        <v/>
      </c>
      <c r="IB6">
        <f>IB5*IF(OR($C5=136,$G5=136),0,1)</f>
        <v/>
      </c>
      <c r="IC6">
        <f>IC5*IF(OR($C5=137,$G5=137),0,1)</f>
        <v/>
      </c>
      <c r="ID6">
        <f>ID5*IF(OR($C5=138,$G5=138),0,1)</f>
        <v/>
      </c>
      <c r="IE6">
        <f>IE5*IF(OR($C5=139,$G5=139),0,1)</f>
        <v/>
      </c>
      <c r="IF6">
        <f>IF5*IF(OR($C5=140,$G5=140),0,1)</f>
        <v/>
      </c>
      <c r="IG6">
        <f>IG5*IF(OR($C5=141,$G5=141),0,1)</f>
        <v/>
      </c>
      <c r="IH6">
        <f>IH5*IF(OR($C5=142,$G5=142),0,1)</f>
        <v/>
      </c>
      <c r="II6">
        <f>II5*IF(OR($C5=143,$G5=143),0,1)</f>
        <v/>
      </c>
      <c r="IJ6">
        <f>IJ5*IF(OR($C5=144,$G5=144),0,1)</f>
        <v/>
      </c>
      <c r="IK6">
        <f>IK5*IF(OR($C5=145,$G5=145),0,1)</f>
        <v/>
      </c>
      <c r="IL6">
        <f>IL5*IF(OR($C5=146,$G5=146),0,1)</f>
        <v/>
      </c>
      <c r="IM6">
        <f>IM5*IF(OR($C5=147,$G5=147),0,1)</f>
        <v/>
      </c>
      <c r="IN6">
        <f>IN5*IF(OR($C5=148,$G5=148),0,1)</f>
        <v/>
      </c>
      <c r="IO6">
        <f>IO5*IF(OR($C5=149,$G5=149),0,1)</f>
        <v/>
      </c>
      <c r="IP6">
        <f>IP5*IF(OR($C5=150,$G5=150),0,1)</f>
        <v/>
      </c>
      <c r="IQ6">
        <f>IQ5*IF(OR($C5=151,$G5=151),0,1)</f>
        <v/>
      </c>
      <c r="IR6">
        <f>IR5*IF(OR($C5=152,$G5=152),0,1)</f>
        <v/>
      </c>
      <c r="IS6">
        <f>IS5*IF(OR($C5=153,$G5=153),0,1)</f>
        <v/>
      </c>
      <c r="IT6">
        <f>IT5*IF(OR($C5=154,$G5=154),0,1)</f>
        <v/>
      </c>
      <c r="IU6">
        <f>IU5*IF(OR($C5=155,$G5=155),0,1)</f>
        <v/>
      </c>
      <c r="IV6">
        <f>IV5*IF(OR($C5=156,$G5=156),0,1)</f>
        <v/>
      </c>
      <c r="IW6">
        <f>IW5*IF(OR($C5=157,$G5=157),0,1)</f>
        <v/>
      </c>
      <c r="IX6">
        <f>IX5*IF(OR($C5=158,$G5=158),0,1)</f>
        <v/>
      </c>
      <c r="IY6">
        <f>IY5*IF(OR($C5=159,$G5=159),0,1)</f>
        <v/>
      </c>
      <c r="IZ6">
        <f>IZ5*IF(OR($C5=160,$G5=160),0,1)</f>
        <v/>
      </c>
      <c r="JA6">
        <f>JA5*IF(OR($C5=161,$G5=161),0,1)</f>
        <v/>
      </c>
      <c r="JB6">
        <f>JB5*IF(OR($C5=162,$G5=162),0,1)</f>
        <v/>
      </c>
      <c r="JC6">
        <f>JC5*IF(OR($C5=163,$G5=163),0,1)</f>
        <v/>
      </c>
      <c r="JD6">
        <f>JD5*IF(OR($C5=164,$G5=164),0,1)</f>
        <v/>
      </c>
      <c r="JE6">
        <f>JE5*IF(OR($C5=165,$G5=165),0,1)</f>
        <v/>
      </c>
      <c r="JF6">
        <f>JF5*IF(OR($C5=166,$G5=166),0,1)</f>
        <v/>
      </c>
      <c r="JG6">
        <f>JG5*IF(OR($C5=167,$G5=167),0,1)</f>
        <v/>
      </c>
      <c r="JH6">
        <f>JH5*IF(OR($C5=168,$G5=168),0,1)</f>
        <v/>
      </c>
      <c r="JI6">
        <f>JI5*IF(OR($C5=169,$G5=169),0,1)</f>
        <v/>
      </c>
      <c r="JJ6">
        <f>JJ5*IF(OR($C5=170,$G5=170),0,1)</f>
        <v/>
      </c>
      <c r="JK6">
        <f>JK5*IF(OR($C5=171,$G5=171),0,1)</f>
        <v/>
      </c>
      <c r="JL6">
        <f>JL5*IF(OR($C5=172,$G5=172),0,1)</f>
        <v/>
      </c>
      <c r="JM6">
        <f>JM5*IF(OR($C5=173,$G5=173),0,1)</f>
        <v/>
      </c>
      <c r="JN6">
        <f>JN5*IF(OR($C5=174,$G5=174),0,1)</f>
        <v/>
      </c>
      <c r="JO6">
        <f>JO5*IF(OR($C5=175,$G5=175),0,1)</f>
        <v/>
      </c>
      <c r="JP6">
        <f>JP5*IF(OR($C5=176,$G5=176),0,1)</f>
        <v/>
      </c>
      <c r="JQ6">
        <f>JQ5*IF(OR($C5=177,$G5=177),0,1)</f>
        <v/>
      </c>
      <c r="JR6">
        <f>JR5*IF(OR($C5=178,$G5=178),0,1)</f>
        <v/>
      </c>
      <c r="JS6">
        <f>JS5*IF(OR($C5=179,$G5=179),0,1)</f>
        <v/>
      </c>
      <c r="JT6">
        <f>JT5*IF(OR($C5=180,$G5=180),0,1)</f>
        <v/>
      </c>
      <c r="JU6">
        <f>JU5*IF(OR($C5=181,$G5=181),0,1)</f>
        <v/>
      </c>
      <c r="JV6">
        <f>JV5*IF(OR($C5=182,$G5=182),0,1)</f>
        <v/>
      </c>
      <c r="JW6">
        <f>JW5*IF(OR($C5=183,$G5=183),0,1)</f>
        <v/>
      </c>
      <c r="JX6">
        <f>JX5*IF(OR($C5=184,$G5=184),0,1)</f>
        <v/>
      </c>
      <c r="JY6">
        <f>JY5*IF(OR($C5=185,$G5=185),0,1)</f>
        <v/>
      </c>
      <c r="JZ6">
        <f>JZ5*IF(OR($C5=186,$G5=186),0,1)</f>
        <v/>
      </c>
      <c r="KA6">
        <f>KA5*IF(OR($C5=187,$G5=187),0,1)</f>
        <v/>
      </c>
      <c r="KB6">
        <f>KB5*IF(OR($C5=188,$G5=188),0,1)</f>
        <v/>
      </c>
      <c r="KC6">
        <f>KC5*IF(OR($C5=189,$G5=189),0,1)</f>
        <v/>
      </c>
      <c r="KD6">
        <f>KD5*IF(OR($C5=190,$G5=190),0,1)</f>
        <v/>
      </c>
      <c r="KE6">
        <f>KE5*IF(OR($C5=191,$G5=191),0,1)</f>
        <v/>
      </c>
      <c r="KF6">
        <f>KF5*IF(OR($C5=192,$G5=192),0,1)</f>
        <v/>
      </c>
      <c r="KG6">
        <f>KG5*IF(OR($C5=193,$G5=193),0,1)</f>
        <v/>
      </c>
      <c r="KH6">
        <f>KH5*IF(OR($C5=194,$G5=194),0,1)</f>
        <v/>
      </c>
      <c r="KI6">
        <f>KI5*IF(OR($C5=195,$G5=195),0,1)</f>
        <v/>
      </c>
      <c r="KJ6">
        <f>KJ5*IF(OR($C5=196,$G5=196),0,1)</f>
        <v/>
      </c>
      <c r="KK6">
        <f>KK5*IF(OR($C5=197,$G5=197),0,1)</f>
        <v/>
      </c>
      <c r="KL6">
        <f>KL5*IF(OR($C5=198,$G5=198),0,1)</f>
        <v/>
      </c>
      <c r="KM6">
        <f>KM5*IF(OR($C5=199,$G5=199),0,1)</f>
        <v/>
      </c>
      <c r="KN6">
        <f>KN5*IF(OR($C5=200,$G5=200),0,1)</f>
        <v/>
      </c>
      <c r="KO6">
        <f>KO5*IF(OR($C5=201,$G5=201),0,1)</f>
        <v/>
      </c>
      <c r="KP6">
        <f>KP5*IF(OR($C5=202,$G5=202),0,1)</f>
        <v/>
      </c>
      <c r="KQ6">
        <f>KQ5*IF(OR($C5=203,$G5=203),0,1)</f>
        <v/>
      </c>
      <c r="KR6">
        <f>KR5*IF(OR($C5=204,$G5=204),0,1)</f>
        <v/>
      </c>
      <c r="KS6">
        <f>KS5*IF(OR($C5=205,$G5=205),0,1)</f>
        <v/>
      </c>
      <c r="KT6">
        <f>KT5*IF(OR($C5=206,$G5=206),0,1)</f>
        <v/>
      </c>
      <c r="KU6">
        <f>KU5*IF(OR($C5=207,$G5=207),0,1)</f>
        <v/>
      </c>
      <c r="KV6">
        <f>KV5*IF(OR($C5=208,$G5=208),0,1)</f>
        <v/>
      </c>
      <c r="KW6">
        <f>KW5*IF(OR($C5=209,$G5=209),0,1)</f>
        <v/>
      </c>
      <c r="KX6">
        <f>KX5*IF(OR($C5=210,$G5=210),0,1)</f>
        <v/>
      </c>
      <c r="KY6">
        <f>KY5*IF(OR($C5=211,$G5=211),0,1)</f>
        <v/>
      </c>
      <c r="KZ6">
        <f>KZ5*IF(OR($C5=212,$G5=212),0,1)</f>
        <v/>
      </c>
      <c r="LA6">
        <f>LA5*IF(OR($C5=213,$G5=213),0,1)</f>
        <v/>
      </c>
      <c r="LB6">
        <f>LB5*IF(OR($C5=214,$G5=214),0,1)</f>
        <v/>
      </c>
      <c r="LC6">
        <f>LC5*IF(OR($C5=215,$G5=215),0,1)</f>
        <v/>
      </c>
      <c r="LD6">
        <f>LD5*IF(OR($C5=216,$G5=216),0,1)</f>
        <v/>
      </c>
      <c r="LE6">
        <f>LE5*IF(OR($C5=217,$G5=217),0,1)</f>
        <v/>
      </c>
      <c r="LF6">
        <f>LF5*IF(OR($C5=218,$G5=218),0,1)</f>
        <v/>
      </c>
      <c r="LG6">
        <f>LG5*IF(OR($C5=219,$G5=219),0,1)</f>
        <v/>
      </c>
      <c r="LH6">
        <f>LH5*IF(OR($C5=220,$G5=220),0,1)</f>
        <v/>
      </c>
      <c r="LI6">
        <f>LI5*IF(OR($C5=221,$G5=221),0,1)</f>
        <v/>
      </c>
      <c r="LJ6">
        <f>LJ5*IF(OR($C5=222,$G5=222),0,1)</f>
        <v/>
      </c>
      <c r="LK6">
        <f>LK5*IF(OR($C5=223,$G5=223),0,1)</f>
        <v/>
      </c>
      <c r="LL6">
        <f>LL5*IF(OR($C5=224,$G5=224),0,1)</f>
        <v/>
      </c>
      <c r="LM6">
        <f>LM5*IF(OR($C5=225,$G5=225),0,1)</f>
        <v/>
      </c>
      <c r="LN6">
        <f>LN5*IF(OR($C5=226,$G5=226),0,1)</f>
        <v/>
      </c>
      <c r="LO6">
        <f>LO5*IF(OR($C5=227,$G5=227),0,1)</f>
        <v/>
      </c>
      <c r="LP6">
        <f>LP5*IF(OR($C5=228,$G5=228),0,1)</f>
        <v/>
      </c>
      <c r="LQ6">
        <f>LQ5*IF(OR($C5=229,$G5=229),0,1)</f>
        <v/>
      </c>
      <c r="LR6">
        <f>LR5*IF(OR($C5=230,$G5=230),0,1)</f>
        <v/>
      </c>
      <c r="LS6">
        <f>LS5*IF(OR($C5=231,$G5=231),0,1)</f>
        <v/>
      </c>
      <c r="LT6">
        <f>LT5*IF(OR($C5=232,$G5=232),0,1)</f>
        <v/>
      </c>
      <c r="LU6">
        <f>LU5*IF(OR($C5=233,$G5=233),0,1)</f>
        <v/>
      </c>
      <c r="LV6">
        <f>LV5*IF(OR($C5=234,$G5=234),0,1)</f>
        <v/>
      </c>
      <c r="LW6">
        <f>LW5*IF(OR($C5=235,$G5=235),0,1)</f>
        <v/>
      </c>
      <c r="LX6">
        <f>LX5*IF(OR($C5=236,$G5=236),0,1)</f>
        <v/>
      </c>
      <c r="LY6">
        <f>LY5*IF(OR($C5=237,$G5=237),0,1)</f>
        <v/>
      </c>
      <c r="LZ6">
        <f>LZ5*IF(OR($C5=238,$G5=238),0,1)</f>
        <v/>
      </c>
      <c r="MA6">
        <f>MA5*IF(OR($C5=239,$G5=239),0,1)</f>
        <v/>
      </c>
      <c r="MB6">
        <f>MB5*IF(OR($C5=240,$G5=240),0,1)</f>
        <v/>
      </c>
      <c r="MD6">
        <f>IF('計算A'!D$106=1,CX6,1)</f>
        <v/>
      </c>
      <c r="ME6">
        <f>IF('計算A'!E$106=1,CY6,1)</f>
        <v/>
      </c>
      <c r="MF6">
        <f>IF('計算A'!F$106=1,CZ6,1)</f>
        <v/>
      </c>
      <c r="MG6">
        <f>IF('計算A'!G$106=1,DA6,1)</f>
        <v/>
      </c>
      <c r="MH6">
        <f>IF('計算A'!H$106=1,DB6,1)</f>
        <v/>
      </c>
      <c r="MI6">
        <f>IF('計算A'!I$106=1,DC6,1)</f>
        <v/>
      </c>
      <c r="MJ6">
        <f>IF('計算A'!J$106=1,DD6,1)</f>
        <v/>
      </c>
      <c r="MK6">
        <f>IF('計算A'!K$106=1,DE6,1)</f>
        <v/>
      </c>
      <c r="ML6">
        <f>IF('計算A'!L$106=1,DF6,1)</f>
        <v/>
      </c>
      <c r="MM6">
        <f>IF('計算A'!M$106=1,DG6,1)</f>
        <v/>
      </c>
      <c r="MN6">
        <f>IF('計算A'!N$106=1,DH6,1)</f>
        <v/>
      </c>
      <c r="MO6">
        <f>IF('計算A'!O$106=1,DI6,1)</f>
        <v/>
      </c>
      <c r="MP6">
        <f>IF('計算A'!P$106=1,DJ6,1)</f>
        <v/>
      </c>
      <c r="MQ6">
        <f>IF('計算A'!Q$106=1,DK6,1)</f>
        <v/>
      </c>
      <c r="MR6">
        <f>IF('計算A'!R$106=1,DL6,1)</f>
        <v/>
      </c>
      <c r="MS6">
        <f>IF('計算A'!S$106=1,DM6,1)</f>
        <v/>
      </c>
      <c r="MT6">
        <f>IF('計算A'!T$106=1,DN6,1)</f>
        <v/>
      </c>
      <c r="MU6">
        <f>IF('計算A'!U$106=1,DO6,1)</f>
        <v/>
      </c>
      <c r="MV6">
        <f>IF('計算A'!V$106=1,DP6,1)</f>
        <v/>
      </c>
      <c r="MW6">
        <f>IF('計算A'!W$106=1,DQ6,1)</f>
        <v/>
      </c>
      <c r="MX6">
        <f>IF('計算A'!X$106=1,DR6,1)</f>
        <v/>
      </c>
      <c r="MY6">
        <f>IF('計算A'!Y$106=1,DS6,1)</f>
        <v/>
      </c>
      <c r="MZ6">
        <f>IF('計算A'!Z$106=1,DT6,1)</f>
        <v/>
      </c>
      <c r="NA6">
        <f>IF('計算A'!AA$106=1,DU6,1)</f>
        <v/>
      </c>
      <c r="NB6">
        <f>IF('計算A'!AB$106=1,DV6,1)</f>
        <v/>
      </c>
      <c r="NC6">
        <f>IF('計算A'!AC$106=1,DW6,1)</f>
        <v/>
      </c>
      <c r="ND6">
        <f>IF('計算A'!AD$106=1,DX6,1)</f>
        <v/>
      </c>
      <c r="NE6">
        <f>IF('計算A'!AE$106=1,DY6,1)</f>
        <v/>
      </c>
      <c r="NF6">
        <f>IF('計算A'!AF$106=1,DZ6,1)</f>
        <v/>
      </c>
      <c r="NG6">
        <f>IF('計算A'!AG$106=1,EA6,1)</f>
        <v/>
      </c>
      <c r="NH6">
        <f>IF('計算A'!AH$106=1,EB6,1)</f>
        <v/>
      </c>
      <c r="NI6">
        <f>IF('計算A'!AI$106=1,EC6,1)</f>
        <v/>
      </c>
      <c r="NJ6">
        <f>IF('計算A'!AJ$106=1,ED6,1)</f>
        <v/>
      </c>
      <c r="NK6">
        <f>IF('計算A'!AK$106=1,EE6,1)</f>
        <v/>
      </c>
      <c r="NL6">
        <f>IF('計算A'!AL$106=1,EF6,1)</f>
        <v/>
      </c>
      <c r="NM6">
        <f>IF('計算A'!AM$106=1,EG6,1)</f>
        <v/>
      </c>
      <c r="NN6">
        <f>IF('計算A'!AN$106=1,EH6,1)</f>
        <v/>
      </c>
      <c r="NO6">
        <f>IF('計算A'!AO$106=1,EI6,1)</f>
        <v/>
      </c>
      <c r="NP6">
        <f>IF('計算A'!AP$106=1,EJ6,1)</f>
        <v/>
      </c>
      <c r="NQ6">
        <f>IF('計算A'!AQ$106=1,EK6,1)</f>
        <v/>
      </c>
      <c r="NR6">
        <f>IF('計算A'!AR$106=1,EL6,1)</f>
        <v/>
      </c>
      <c r="NS6">
        <f>IF('計算A'!AS$106=1,EM6,1)</f>
        <v/>
      </c>
      <c r="NT6">
        <f>IF('計算A'!AT$106=1,EN6,1)</f>
        <v/>
      </c>
      <c r="NU6">
        <f>IF('計算A'!AU$106=1,EO6,1)</f>
        <v/>
      </c>
      <c r="NV6">
        <f>IF('計算A'!AV$106=1,EP6,1)</f>
        <v/>
      </c>
      <c r="NW6">
        <f>IF('計算A'!AW$106=1,EQ6,1)</f>
        <v/>
      </c>
      <c r="NX6">
        <f>IF('計算A'!AX$106=1,ER6,1)</f>
        <v/>
      </c>
      <c r="NY6">
        <f>IF('計算A'!AY$106=1,ES6,1)</f>
        <v/>
      </c>
      <c r="NZ6">
        <f>IF('計算A'!AZ$106=1,ET6,1)</f>
        <v/>
      </c>
      <c r="OA6">
        <f>IF('計算A'!BA$106=1,EU6,1)</f>
        <v/>
      </c>
      <c r="OB6">
        <f>IF('計算A'!BB$106=1,EV6,1)</f>
        <v/>
      </c>
      <c r="OC6">
        <f>IF('計算A'!BC$106=1,EW6,1)</f>
        <v/>
      </c>
      <c r="OD6">
        <f>IF('計算A'!BD$106=1,EX6,1)</f>
        <v/>
      </c>
      <c r="OE6">
        <f>IF('計算A'!BE$106=1,EY6,1)</f>
        <v/>
      </c>
      <c r="OF6">
        <f>IF('計算A'!BF$106=1,EZ6,1)</f>
        <v/>
      </c>
      <c r="OG6">
        <f>IF('計算A'!BG$106=1,FA6,1)</f>
        <v/>
      </c>
      <c r="OH6">
        <f>IF('計算A'!BH$106=1,FB6,1)</f>
        <v/>
      </c>
      <c r="OI6">
        <f>IF('計算A'!BI$106=1,FC6,1)</f>
        <v/>
      </c>
      <c r="OJ6">
        <f>IF('計算A'!BJ$106=1,FD6,1)</f>
        <v/>
      </c>
      <c r="OK6">
        <f>IF('計算A'!BK$106=1,FE6,1)</f>
        <v/>
      </c>
      <c r="OL6">
        <f>IF('計算A'!BL$106=1,FF6,1)</f>
        <v/>
      </c>
      <c r="OM6">
        <f>IF('計算A'!BM$106=1,FG6,1)</f>
        <v/>
      </c>
      <c r="ON6">
        <f>IF('計算A'!BN$106=1,FH6,1)</f>
        <v/>
      </c>
      <c r="OO6">
        <f>IF('計算A'!BO$106=1,FI6,1)</f>
        <v/>
      </c>
      <c r="OP6">
        <f>IF('計算A'!BP$106=1,FJ6,1)</f>
        <v/>
      </c>
      <c r="OQ6">
        <f>IF('計算A'!BQ$106=1,FK6,1)</f>
        <v/>
      </c>
      <c r="OR6">
        <f>IF('計算A'!BR$106=1,FL6,1)</f>
        <v/>
      </c>
      <c r="OS6">
        <f>IF('計算A'!BS$106=1,FM6,1)</f>
        <v/>
      </c>
      <c r="OT6">
        <f>IF('計算A'!BT$106=1,FN6,1)</f>
        <v/>
      </c>
      <c r="OU6">
        <f>IF('計算A'!BU$106=1,FO6,1)</f>
        <v/>
      </c>
      <c r="OV6">
        <f>IF('計算A'!BV$106=1,FP6,1)</f>
        <v/>
      </c>
      <c r="OW6">
        <f>IF('計算A'!BW$106=1,FQ6,1)</f>
        <v/>
      </c>
      <c r="OX6">
        <f>IF('計算A'!BX$106=1,FR6,1)</f>
        <v/>
      </c>
      <c r="OY6">
        <f>IF('計算A'!BY$106=1,FS6,1)</f>
        <v/>
      </c>
      <c r="OZ6">
        <f>IF('計算A'!BZ$106=1,FT6,1)</f>
        <v/>
      </c>
      <c r="PA6">
        <f>IF('計算A'!CA$106=1,FU6,1)</f>
        <v/>
      </c>
      <c r="PB6">
        <f>IF('計算A'!CB$106=1,FV6,1)</f>
        <v/>
      </c>
      <c r="PC6">
        <f>IF('計算A'!CC$106=1,FW6,1)</f>
        <v/>
      </c>
      <c r="PD6">
        <f>IF('計算A'!CD$106=1,FX6,1)</f>
        <v/>
      </c>
      <c r="PE6">
        <f>IF('計算A'!CE$106=1,FY6,1)</f>
        <v/>
      </c>
      <c r="PF6">
        <f>IF('計算A'!CF$106=1,FZ6,1)</f>
        <v/>
      </c>
      <c r="PG6">
        <f>IF('計算A'!CG$106=1,GA6,1)</f>
        <v/>
      </c>
      <c r="PH6">
        <f>IF('計算A'!CH$106=1,GB6,1)</f>
        <v/>
      </c>
      <c r="PI6">
        <f>IF('計算A'!CI$106=1,GC6,1)</f>
        <v/>
      </c>
      <c r="PJ6">
        <f>IF('計算A'!CJ$106=1,GD6,1)</f>
        <v/>
      </c>
      <c r="PK6">
        <f>IF('計算A'!CK$106=1,GE6,1)</f>
        <v/>
      </c>
      <c r="PL6">
        <f>IF('計算A'!CL$106=1,GF6,1)</f>
        <v/>
      </c>
      <c r="PM6">
        <f>IF('計算A'!CM$106=1,GG6,1)</f>
        <v/>
      </c>
      <c r="PN6">
        <f>IF('計算A'!CN$106=1,GH6,1)</f>
        <v/>
      </c>
      <c r="PO6">
        <f>IF('計算A'!CO$106=1,GI6,1)</f>
        <v/>
      </c>
      <c r="PP6">
        <f>IF('計算A'!CP$106=1,GJ6,1)</f>
        <v/>
      </c>
      <c r="PQ6">
        <f>IF('計算A'!CQ$106=1,GK6,1)</f>
        <v/>
      </c>
      <c r="PR6">
        <f>IF('計算A'!CR$106=1,GL6,1)</f>
        <v/>
      </c>
      <c r="PS6">
        <f>IF('計算A'!CS$106=1,GM6,1)</f>
        <v/>
      </c>
      <c r="PT6">
        <f>IF('計算A'!CT$106=1,GN6,1)</f>
        <v/>
      </c>
      <c r="PU6">
        <f>IF('計算A'!CU$106=1,GO6,1)</f>
        <v/>
      </c>
      <c r="PV6">
        <f>IF('計算A'!CV$106=1,GP6,1)</f>
        <v/>
      </c>
      <c r="PW6">
        <f>IF('計算A'!CW$106=1,GQ6,1)</f>
        <v/>
      </c>
      <c r="PX6">
        <f>IF('計算A'!CX$106=1,GR6,1)</f>
        <v/>
      </c>
      <c r="PY6">
        <f>IF('計算A'!CY$106=1,GS6,1)</f>
        <v/>
      </c>
      <c r="PZ6">
        <f>IF('計算A'!CZ$106=1,GT6,1)</f>
        <v/>
      </c>
      <c r="QA6">
        <f>IF('計算A'!DA$106=1,GU6,1)</f>
        <v/>
      </c>
      <c r="QB6">
        <f>IF('計算A'!DB$106=1,GV6,1)</f>
        <v/>
      </c>
      <c r="QC6">
        <f>IF('計算A'!DC$106=1,GW6,1)</f>
        <v/>
      </c>
      <c r="QD6">
        <f>IF('計算A'!DD$106=1,GX6,1)</f>
        <v/>
      </c>
      <c r="QE6">
        <f>IF('計算A'!DE$106=1,GY6,1)</f>
        <v/>
      </c>
      <c r="QF6">
        <f>IF('計算A'!DF$106=1,GZ6,1)</f>
        <v/>
      </c>
      <c r="QG6">
        <f>IF('計算A'!DG$106=1,HA6,1)</f>
        <v/>
      </c>
      <c r="QH6">
        <f>IF('計算A'!DH$106=1,HB6,1)</f>
        <v/>
      </c>
      <c r="QI6">
        <f>IF('計算A'!DI$106=1,HC6,1)</f>
        <v/>
      </c>
      <c r="QJ6">
        <f>IF('計算A'!DJ$106=1,HD6,1)</f>
        <v/>
      </c>
      <c r="QK6">
        <f>IF('計算A'!DK$106=1,HE6,1)</f>
        <v/>
      </c>
      <c r="QL6">
        <f>IF('計算A'!DL$106=1,HF6,1)</f>
        <v/>
      </c>
      <c r="QM6">
        <f>IF('計算A'!DM$106=1,HG6,1)</f>
        <v/>
      </c>
      <c r="QN6">
        <f>IF('計算A'!DN$106=1,HH6,1)</f>
        <v/>
      </c>
      <c r="QO6">
        <f>IF('計算A'!DO$106=1,HI6,1)</f>
        <v/>
      </c>
      <c r="QP6">
        <f>IF('計算A'!DP$106=1,HJ6,1)</f>
        <v/>
      </c>
      <c r="QQ6">
        <f>IF('計算A'!DQ$106=1,HK6,1)</f>
        <v/>
      </c>
      <c r="QR6">
        <f>IF('計算A'!DR$106=1,HL6,1)</f>
        <v/>
      </c>
      <c r="QS6">
        <f>IF('計算A'!DS$106=1,HM6,1)</f>
        <v/>
      </c>
      <c r="QT6">
        <f>IF('計算A'!DT$106=1,HN6,1)</f>
        <v/>
      </c>
      <c r="QU6">
        <f>IF('計算A'!DU$106=1,HO6,1)</f>
        <v/>
      </c>
      <c r="QV6">
        <f>IF('計算A'!DV$106=1,HP6,1)</f>
        <v/>
      </c>
      <c r="QW6">
        <f>IF('計算A'!DW$106=1,HQ6,1)</f>
        <v/>
      </c>
      <c r="QX6">
        <f>IF('計算A'!DX$106=1,HR6,1)</f>
        <v/>
      </c>
      <c r="QY6">
        <f>IF('計算A'!DY$106=1,HS6,1)</f>
        <v/>
      </c>
      <c r="QZ6">
        <f>IF('計算A'!DZ$106=1,HT6,1)</f>
        <v/>
      </c>
      <c r="RA6">
        <f>IF('計算A'!EA$106=1,HU6,1)</f>
        <v/>
      </c>
      <c r="RB6">
        <f>IF('計算A'!EB$106=1,HV6,1)</f>
        <v/>
      </c>
      <c r="RC6">
        <f>IF('計算A'!EC$106=1,HW6,1)</f>
        <v/>
      </c>
      <c r="RD6">
        <f>IF('計算A'!ED$106=1,HX6,1)</f>
        <v/>
      </c>
      <c r="RE6">
        <f>IF('計算A'!EE$106=1,HY6,1)</f>
        <v/>
      </c>
      <c r="RF6">
        <f>IF('計算A'!EF$106=1,HZ6,1)</f>
        <v/>
      </c>
      <c r="RG6">
        <f>IF('計算A'!EG$106=1,IA6,1)</f>
        <v/>
      </c>
      <c r="RH6">
        <f>IF('計算A'!EH$106=1,IB6,1)</f>
        <v/>
      </c>
      <c r="RI6">
        <f>IF('計算A'!EI$106=1,IC6,1)</f>
        <v/>
      </c>
      <c r="RJ6">
        <f>IF('計算A'!EJ$106=1,ID6,1)</f>
        <v/>
      </c>
      <c r="RK6">
        <f>IF('計算A'!EK$106=1,IE6,1)</f>
        <v/>
      </c>
      <c r="RL6">
        <f>IF('計算A'!EL$106=1,IF6,1)</f>
        <v/>
      </c>
      <c r="RM6">
        <f>IF('計算A'!EM$106=1,IG6,1)</f>
        <v/>
      </c>
      <c r="RN6">
        <f>IF('計算A'!EN$106=1,IH6,1)</f>
        <v/>
      </c>
      <c r="RO6">
        <f>IF('計算A'!EO$106=1,II6,1)</f>
        <v/>
      </c>
      <c r="RP6">
        <f>IF('計算A'!EP$106=1,IJ6,1)</f>
        <v/>
      </c>
      <c r="RQ6">
        <f>IF('計算A'!EQ$106=1,IK6,1)</f>
        <v/>
      </c>
      <c r="RR6">
        <f>IF('計算A'!ER$106=1,IL6,1)</f>
        <v/>
      </c>
      <c r="RS6">
        <f>IF('計算A'!ES$106=1,IM6,1)</f>
        <v/>
      </c>
      <c r="RT6">
        <f>IF('計算A'!ET$106=1,IN6,1)</f>
        <v/>
      </c>
      <c r="RU6">
        <f>IF('計算A'!EU$106=1,IO6,1)</f>
        <v/>
      </c>
      <c r="RV6">
        <f>IF('計算A'!EV$106=1,IP6,1)</f>
        <v/>
      </c>
      <c r="RW6">
        <f>IF('計算A'!EW$106=1,IQ6,1)</f>
        <v/>
      </c>
      <c r="RX6">
        <f>IF('計算A'!EX$106=1,IR6,1)</f>
        <v/>
      </c>
      <c r="RY6">
        <f>IF('計算A'!EY$106=1,IS6,1)</f>
        <v/>
      </c>
      <c r="RZ6">
        <f>IF('計算A'!EZ$106=1,IT6,1)</f>
        <v/>
      </c>
      <c r="SA6">
        <f>IF('計算A'!FA$106=1,IU6,1)</f>
        <v/>
      </c>
      <c r="SB6">
        <f>IF('計算A'!FB$106=1,IV6,1)</f>
        <v/>
      </c>
      <c r="SC6">
        <f>IF('計算A'!FC$106=1,IW6,1)</f>
        <v/>
      </c>
      <c r="SD6">
        <f>IF('計算A'!FD$106=1,IX6,1)</f>
        <v/>
      </c>
      <c r="SE6">
        <f>IF('計算A'!FE$106=1,IY6,1)</f>
        <v/>
      </c>
      <c r="SF6">
        <f>IF('計算A'!FF$106=1,IZ6,1)</f>
        <v/>
      </c>
      <c r="SG6">
        <f>IF('計算A'!FG$106=1,JA6,1)</f>
        <v/>
      </c>
      <c r="SH6">
        <f>IF('計算A'!FH$106=1,JB6,1)</f>
        <v/>
      </c>
      <c r="SI6">
        <f>IF('計算A'!FI$106=1,JC6,1)</f>
        <v/>
      </c>
      <c r="SJ6">
        <f>IF('計算A'!FJ$106=1,JD6,1)</f>
        <v/>
      </c>
      <c r="SK6">
        <f>IF('計算A'!FK$106=1,JE6,1)</f>
        <v/>
      </c>
      <c r="SL6">
        <f>IF('計算A'!FL$106=1,JF6,1)</f>
        <v/>
      </c>
      <c r="SM6">
        <f>IF('計算A'!FM$106=1,JG6,1)</f>
        <v/>
      </c>
      <c r="SN6">
        <f>IF('計算A'!FN$106=1,JH6,1)</f>
        <v/>
      </c>
      <c r="SO6">
        <f>IF('計算A'!FO$106=1,JI6,1)</f>
        <v/>
      </c>
      <c r="SP6">
        <f>IF('計算A'!FP$106=1,JJ6,1)</f>
        <v/>
      </c>
      <c r="SQ6">
        <f>IF('計算A'!FQ$106=1,JK6,1)</f>
        <v/>
      </c>
      <c r="SR6">
        <f>IF('計算A'!FR$106=1,JL6,1)</f>
        <v/>
      </c>
      <c r="SS6">
        <f>IF('計算A'!FS$106=1,JM6,1)</f>
        <v/>
      </c>
      <c r="ST6">
        <f>IF('計算A'!FT$106=1,JN6,1)</f>
        <v/>
      </c>
      <c r="SU6">
        <f>IF('計算A'!FU$106=1,JO6,1)</f>
        <v/>
      </c>
      <c r="SV6">
        <f>IF('計算A'!FV$106=1,JP6,1)</f>
        <v/>
      </c>
      <c r="SW6">
        <f>IF('計算A'!FW$106=1,JQ6,1)</f>
        <v/>
      </c>
      <c r="SX6">
        <f>IF('計算A'!FX$106=1,JR6,1)</f>
        <v/>
      </c>
      <c r="SY6">
        <f>IF('計算A'!FY$106=1,JS6,1)</f>
        <v/>
      </c>
      <c r="SZ6">
        <f>IF('計算A'!FZ$106=1,JT6,1)</f>
        <v/>
      </c>
      <c r="TA6">
        <f>IF('計算A'!GA$106=1,JU6,1)</f>
        <v/>
      </c>
      <c r="TB6">
        <f>IF('計算A'!GB$106=1,JV6,1)</f>
        <v/>
      </c>
      <c r="TC6">
        <f>IF('計算A'!GC$106=1,JW6,1)</f>
        <v/>
      </c>
      <c r="TD6">
        <f>IF('計算A'!GD$106=1,JX6,1)</f>
        <v/>
      </c>
      <c r="TE6">
        <f>IF('計算A'!GE$106=1,JY6,1)</f>
        <v/>
      </c>
      <c r="TF6">
        <f>IF('計算A'!GF$106=1,JZ6,1)</f>
        <v/>
      </c>
      <c r="TG6">
        <f>IF('計算A'!GG$106=1,KA6,1)</f>
        <v/>
      </c>
      <c r="TH6">
        <f>IF('計算A'!GH$106=1,KB6,1)</f>
        <v/>
      </c>
      <c r="TI6">
        <f>IF('計算A'!GI$106=1,KC6,1)</f>
        <v/>
      </c>
      <c r="TJ6">
        <f>IF('計算A'!GJ$106=1,KD6,1)</f>
        <v/>
      </c>
      <c r="TK6">
        <f>IF('計算A'!GK$106=1,KE6,1)</f>
        <v/>
      </c>
      <c r="TL6">
        <f>IF('計算A'!GL$106=1,KF6,1)</f>
        <v/>
      </c>
      <c r="TM6">
        <f>IF('計算A'!GM$106=1,KG6,1)</f>
        <v/>
      </c>
      <c r="TN6">
        <f>IF('計算A'!GN$106=1,KH6,1)</f>
        <v/>
      </c>
      <c r="TO6">
        <f>IF('計算A'!GO$106=1,KI6,1)</f>
        <v/>
      </c>
      <c r="TP6">
        <f>IF('計算A'!GP$106=1,KJ6,1)</f>
        <v/>
      </c>
      <c r="TQ6">
        <f>IF('計算A'!GQ$106=1,KK6,1)</f>
        <v/>
      </c>
      <c r="TR6">
        <f>IF('計算A'!GR$106=1,KL6,1)</f>
        <v/>
      </c>
      <c r="TS6">
        <f>IF('計算A'!GS$106=1,KM6,1)</f>
        <v/>
      </c>
      <c r="TT6">
        <f>IF('計算A'!GT$106=1,KN6,1)</f>
        <v/>
      </c>
      <c r="TU6">
        <f>IF('計算A'!GU$106=1,KO6,1)</f>
        <v/>
      </c>
      <c r="TV6">
        <f>IF('計算A'!GV$106=1,KP6,1)</f>
        <v/>
      </c>
      <c r="TW6">
        <f>IF('計算A'!GW$106=1,KQ6,1)</f>
        <v/>
      </c>
      <c r="TX6">
        <f>IF('計算A'!GX$106=1,KR6,1)</f>
        <v/>
      </c>
      <c r="TY6">
        <f>IF('計算A'!GY$106=1,KS6,1)</f>
        <v/>
      </c>
      <c r="TZ6">
        <f>IF('計算A'!GZ$106=1,KT6,1)</f>
        <v/>
      </c>
      <c r="UA6">
        <f>IF('計算A'!HA$106=1,KU6,1)</f>
        <v/>
      </c>
      <c r="UB6">
        <f>IF('計算A'!HB$106=1,KV6,1)</f>
        <v/>
      </c>
      <c r="UC6">
        <f>IF('計算A'!HC$106=1,KW6,1)</f>
        <v/>
      </c>
      <c r="UD6">
        <f>IF('計算A'!HD$106=1,KX6,1)</f>
        <v/>
      </c>
      <c r="UE6">
        <f>IF('計算A'!HE$106=1,KY6,1)</f>
        <v/>
      </c>
      <c r="UF6">
        <f>IF('計算A'!HF$106=1,KZ6,1)</f>
        <v/>
      </c>
      <c r="UG6">
        <f>IF('計算A'!HG$106=1,LA6,1)</f>
        <v/>
      </c>
      <c r="UH6">
        <f>IF('計算A'!HH$106=1,LB6,1)</f>
        <v/>
      </c>
      <c r="UI6">
        <f>IF('計算A'!HI$106=1,LC6,1)</f>
        <v/>
      </c>
      <c r="UJ6">
        <f>IF('計算A'!HJ$106=1,LD6,1)</f>
        <v/>
      </c>
      <c r="UK6">
        <f>IF('計算A'!HK$106=1,LE6,1)</f>
        <v/>
      </c>
      <c r="UL6">
        <f>IF('計算A'!HL$106=1,LF6,1)</f>
        <v/>
      </c>
      <c r="UM6">
        <f>IF('計算A'!HM$106=1,LG6,1)</f>
        <v/>
      </c>
      <c r="UN6">
        <f>IF('計算A'!HN$106=1,LH6,1)</f>
        <v/>
      </c>
      <c r="UO6">
        <f>IF('計算A'!HO$106=1,LI6,1)</f>
        <v/>
      </c>
      <c r="UP6">
        <f>IF('計算A'!HP$106=1,LJ6,1)</f>
        <v/>
      </c>
      <c r="UQ6">
        <f>IF('計算A'!HQ$106=1,LK6,1)</f>
        <v/>
      </c>
      <c r="UR6">
        <f>IF('計算A'!HR$106=1,LL6,1)</f>
        <v/>
      </c>
      <c r="US6">
        <f>IF('計算A'!HS$106=1,LM6,1)</f>
        <v/>
      </c>
      <c r="UT6">
        <f>IF('計算A'!HT$106=1,LN6,1)</f>
        <v/>
      </c>
      <c r="UU6">
        <f>IF('計算A'!HU$106=1,LO6,1)</f>
        <v/>
      </c>
      <c r="UV6">
        <f>IF('計算A'!HV$106=1,LP6,1)</f>
        <v/>
      </c>
      <c r="UW6">
        <f>IF('計算A'!HW$106=1,LQ6,1)</f>
        <v/>
      </c>
      <c r="UX6">
        <f>IF('計算A'!HX$106=1,LR6,1)</f>
        <v/>
      </c>
      <c r="UY6">
        <f>IF('計算A'!HY$106=1,LS6,1)</f>
        <v/>
      </c>
      <c r="UZ6">
        <f>IF('計算A'!HZ$106=1,LT6,1)</f>
        <v/>
      </c>
      <c r="VA6">
        <f>IF('計算A'!IA$106=1,LU6,1)</f>
        <v/>
      </c>
      <c r="VB6">
        <f>IF('計算A'!IB$106=1,LV6,1)</f>
        <v/>
      </c>
      <c r="VC6">
        <f>IF('計算A'!IC$106=1,LW6,1)</f>
        <v/>
      </c>
      <c r="VD6">
        <f>IF('計算A'!ID$106=1,LX6,1)</f>
        <v/>
      </c>
      <c r="VE6">
        <f>IF('計算A'!IE$106=1,LY6,1)</f>
        <v/>
      </c>
      <c r="VF6">
        <f>IF('計算A'!IF$106=1,LZ6,1)</f>
        <v/>
      </c>
      <c r="VG6">
        <f>IF('計算A'!IG$106=1,MA6,1)</f>
        <v/>
      </c>
      <c r="VH6">
        <f>IF('計算A'!IH$106=1,MB6,1)</f>
        <v/>
      </c>
      <c r="VI6" t="n">
        <v>1</v>
      </c>
      <c r="VK6">
        <f>IF($B6=0,1000000,IF(INDEX('計算A'!$D$60:$II$104,$B6,1)*CW6=1,IF(AND($E6=2,MD6=0),1000000,INDEX('計算A'!D$110:D$114,$F6+1)+IF(AND($E6=1,MD6=0),1000,0)),1000000))</f>
        <v/>
      </c>
      <c r="VL6">
        <f>IF($B6=0,1000000,IF(INDEX('計算A'!$D$60:$II$104,$B6,2)*CX6=1,IF(AND($E6=2,ME6=0),1000000,INDEX('計算A'!E$110:E$114,$F6+1)+IF(AND($E6=1,ME6=0),1000,0)),1000000))</f>
        <v/>
      </c>
      <c r="VM6">
        <f>IF($B6=0,1000000,IF(INDEX('計算A'!$D$60:$II$104,$B6,3)*CY6=1,IF(AND($E6=2,MF6=0),1000000,INDEX('計算A'!F$110:F$114,$F6+1)+IF(AND($E6=1,MF6=0),1000,0)),1000000))</f>
        <v/>
      </c>
      <c r="VN6">
        <f>IF($B6=0,1000000,IF(INDEX('計算A'!$D$60:$II$104,$B6,4)*CZ6=1,IF(AND($E6=2,MG6=0),1000000,INDEX('計算A'!G$110:G$114,$F6+1)+IF(AND($E6=1,MG6=0),1000,0)),1000000))</f>
        <v/>
      </c>
      <c r="VO6">
        <f>IF($B6=0,1000000,IF(INDEX('計算A'!$D$60:$II$104,$B6,5)*DA6=1,IF(AND($E6=2,MH6=0),1000000,INDEX('計算A'!H$110:H$114,$F6+1)+IF(AND($E6=1,MH6=0),1000,0)),1000000))</f>
        <v/>
      </c>
      <c r="VP6">
        <f>IF($B6=0,1000000,IF(INDEX('計算A'!$D$60:$II$104,$B6,6)*DB6=1,IF(AND($E6=2,MI6=0),1000000,INDEX('計算A'!I$110:I$114,$F6+1)+IF(AND($E6=1,MI6=0),1000,0)),1000000))</f>
        <v/>
      </c>
      <c r="VQ6">
        <f>IF($B6=0,1000000,IF(INDEX('計算A'!$D$60:$II$104,$B6,7)*DC6=1,IF(AND($E6=2,MJ6=0),1000000,INDEX('計算A'!J$110:J$114,$F6+1)+IF(AND($E6=1,MJ6=0),1000,0)),1000000))</f>
        <v/>
      </c>
      <c r="VR6">
        <f>IF($B6=0,1000000,IF(INDEX('計算A'!$D$60:$II$104,$B6,8)*DD6=1,IF(AND($E6=2,MK6=0),1000000,INDEX('計算A'!K$110:K$114,$F6+1)+IF(AND($E6=1,MK6=0),1000,0)),1000000))</f>
        <v/>
      </c>
      <c r="VS6">
        <f>IF($B6=0,1000000,IF(INDEX('計算A'!$D$60:$II$104,$B6,9)*DE6=1,IF(AND($E6=2,ML6=0),1000000,INDEX('計算A'!L$110:L$114,$F6+1)+IF(AND($E6=1,ML6=0),1000,0)),1000000))</f>
        <v/>
      </c>
      <c r="VT6">
        <f>IF($B6=0,1000000,IF(INDEX('計算A'!$D$60:$II$104,$B6,10)*DF6=1,IF(AND($E6=2,MM6=0),1000000,INDEX('計算A'!M$110:M$114,$F6+1)+IF(AND($E6=1,MM6=0),1000,0)),1000000))</f>
        <v/>
      </c>
      <c r="VU6">
        <f>IF($B6=0,1000000,IF(INDEX('計算A'!$D$60:$II$104,$B6,11)*DG6=1,IF(AND($E6=2,MN6=0),1000000,INDEX('計算A'!N$110:N$114,$F6+1)+IF(AND($E6=1,MN6=0),1000,0)),1000000))</f>
        <v/>
      </c>
      <c r="VV6">
        <f>IF($B6=0,1000000,IF(INDEX('計算A'!$D$60:$II$104,$B6,12)*DH6=1,IF(AND($E6=2,MO6=0),1000000,INDEX('計算A'!O$110:O$114,$F6+1)+IF(AND($E6=1,MO6=0),1000,0)),1000000))</f>
        <v/>
      </c>
      <c r="VW6">
        <f>IF($B6=0,1000000,IF(INDEX('計算A'!$D$60:$II$104,$B6,13)*DI6=1,IF(AND($E6=2,MP6=0),1000000,INDEX('計算A'!P$110:P$114,$F6+1)+IF(AND($E6=1,MP6=0),1000,0)),1000000))</f>
        <v/>
      </c>
      <c r="VX6">
        <f>IF($B6=0,1000000,IF(INDEX('計算A'!$D$60:$II$104,$B6,14)*DJ6=1,IF(AND($E6=2,MQ6=0),1000000,INDEX('計算A'!Q$110:Q$114,$F6+1)+IF(AND($E6=1,MQ6=0),1000,0)),1000000))</f>
        <v/>
      </c>
      <c r="VY6">
        <f>IF($B6=0,1000000,IF(INDEX('計算A'!$D$60:$II$104,$B6,15)*DK6=1,IF(AND($E6=2,MR6=0),1000000,INDEX('計算A'!R$110:R$114,$F6+1)+IF(AND($E6=1,MR6=0),1000,0)),1000000))</f>
        <v/>
      </c>
      <c r="VZ6">
        <f>IF($B6=0,1000000,IF(INDEX('計算A'!$D$60:$II$104,$B6,16)*DL6=1,IF(AND($E6=2,MS6=0),1000000,INDEX('計算A'!S$110:S$114,$F6+1)+IF(AND($E6=1,MS6=0),1000,0)),1000000))</f>
        <v/>
      </c>
      <c r="WA6">
        <f>IF($B6=0,1000000,IF(INDEX('計算A'!$D$60:$II$104,$B6,17)*DM6=1,IF(AND($E6=2,MT6=0),1000000,INDEX('計算A'!T$110:T$114,$F6+1)+IF(AND($E6=1,MT6=0),1000,0)),1000000))</f>
        <v/>
      </c>
      <c r="WB6">
        <f>IF($B6=0,1000000,IF(INDEX('計算A'!$D$60:$II$104,$B6,18)*DN6=1,IF(AND($E6=2,MU6=0),1000000,INDEX('計算A'!U$110:U$114,$F6+1)+IF(AND($E6=1,MU6=0),1000,0)),1000000))</f>
        <v/>
      </c>
      <c r="WC6">
        <f>IF($B6=0,1000000,IF(INDEX('計算A'!$D$60:$II$104,$B6,19)*DO6=1,IF(AND($E6=2,MV6=0),1000000,INDEX('計算A'!V$110:V$114,$F6+1)+IF(AND($E6=1,MV6=0),1000,0)),1000000))</f>
        <v/>
      </c>
      <c r="WD6">
        <f>IF($B6=0,1000000,IF(INDEX('計算A'!$D$60:$II$104,$B6,20)*DP6=1,IF(AND($E6=2,MW6=0),1000000,INDEX('計算A'!W$110:W$114,$F6+1)+IF(AND($E6=1,MW6=0),1000,0)),1000000))</f>
        <v/>
      </c>
      <c r="WE6">
        <f>IF($B6=0,1000000,IF(INDEX('計算A'!$D$60:$II$104,$B6,21)*DQ6=1,IF(AND($E6=2,MX6=0),1000000,INDEX('計算A'!X$110:X$114,$F6+1)+IF(AND($E6=1,MX6=0),1000,0)),1000000))</f>
        <v/>
      </c>
      <c r="WF6">
        <f>IF($B6=0,1000000,IF(INDEX('計算A'!$D$60:$II$104,$B6,22)*DR6=1,IF(AND($E6=2,MY6=0),1000000,INDEX('計算A'!Y$110:Y$114,$F6+1)+IF(AND($E6=1,MY6=0),1000,0)),1000000))</f>
        <v/>
      </c>
      <c r="WG6">
        <f>IF($B6=0,1000000,IF(INDEX('計算A'!$D$60:$II$104,$B6,23)*DS6=1,IF(AND($E6=2,MZ6=0),1000000,INDEX('計算A'!Z$110:Z$114,$F6+1)+IF(AND($E6=1,MZ6=0),1000,0)),1000000))</f>
        <v/>
      </c>
      <c r="WH6">
        <f>IF($B6=0,1000000,IF(INDEX('計算A'!$D$60:$II$104,$B6,24)*DT6=1,IF(AND($E6=2,NA6=0),1000000,INDEX('計算A'!AA$110:AA$114,$F6+1)+IF(AND($E6=1,NA6=0),1000,0)),1000000))</f>
        <v/>
      </c>
      <c r="WI6">
        <f>IF($B6=0,1000000,IF(INDEX('計算A'!$D$60:$II$104,$B6,25)*DU6=1,IF(AND($E6=2,NB6=0),1000000,INDEX('計算A'!AB$110:AB$114,$F6+1)+IF(AND($E6=1,NB6=0),1000,0)),1000000))</f>
        <v/>
      </c>
      <c r="WJ6">
        <f>IF($B6=0,1000000,IF(INDEX('計算A'!$D$60:$II$104,$B6,26)*DV6=1,IF(AND($E6=2,NC6=0),1000000,INDEX('計算A'!AC$110:AC$114,$F6+1)+IF(AND($E6=1,NC6=0),1000,0)),1000000))</f>
        <v/>
      </c>
      <c r="WK6">
        <f>IF($B6=0,1000000,IF(INDEX('計算A'!$D$60:$II$104,$B6,27)*DW6=1,IF(AND($E6=2,ND6=0),1000000,INDEX('計算A'!AD$110:AD$114,$F6+1)+IF(AND($E6=1,ND6=0),1000,0)),1000000))</f>
        <v/>
      </c>
      <c r="WL6">
        <f>IF($B6=0,1000000,IF(INDEX('計算A'!$D$60:$II$104,$B6,28)*DX6=1,IF(AND($E6=2,NE6=0),1000000,INDEX('計算A'!AE$110:AE$114,$F6+1)+IF(AND($E6=1,NE6=0),1000,0)),1000000))</f>
        <v/>
      </c>
      <c r="WM6">
        <f>IF($B6=0,1000000,IF(INDEX('計算A'!$D$60:$II$104,$B6,29)*DY6=1,IF(AND($E6=2,NF6=0),1000000,INDEX('計算A'!AF$110:AF$114,$F6+1)+IF(AND($E6=1,NF6=0),1000,0)),1000000))</f>
        <v/>
      </c>
      <c r="WN6">
        <f>IF($B6=0,1000000,IF(INDEX('計算A'!$D$60:$II$104,$B6,30)*DZ6=1,IF(AND($E6=2,NG6=0),1000000,INDEX('計算A'!AG$110:AG$114,$F6+1)+IF(AND($E6=1,NG6=0),1000,0)),1000000))</f>
        <v/>
      </c>
      <c r="WO6">
        <f>IF($B6=0,1000000,IF(INDEX('計算A'!$D$60:$II$104,$B6,31)*EA6=1,IF(AND($E6=2,NH6=0),1000000,INDEX('計算A'!AH$110:AH$114,$F6+1)+IF(AND($E6=1,NH6=0),1000,0)),1000000))</f>
        <v/>
      </c>
      <c r="WP6">
        <f>IF($B6=0,1000000,IF(INDEX('計算A'!$D$60:$II$104,$B6,32)*EB6=1,IF(AND($E6=2,NI6=0),1000000,INDEX('計算A'!AI$110:AI$114,$F6+1)+IF(AND($E6=1,NI6=0),1000,0)),1000000))</f>
        <v/>
      </c>
      <c r="WQ6">
        <f>IF($B6=0,1000000,IF(INDEX('計算A'!$D$60:$II$104,$B6,33)*EC6=1,IF(AND($E6=2,NJ6=0),1000000,INDEX('計算A'!AJ$110:AJ$114,$F6+1)+IF(AND($E6=1,NJ6=0),1000,0)),1000000))</f>
        <v/>
      </c>
      <c r="WR6">
        <f>IF($B6=0,1000000,IF(INDEX('計算A'!$D$60:$II$104,$B6,34)*ED6=1,IF(AND($E6=2,NK6=0),1000000,INDEX('計算A'!AK$110:AK$114,$F6+1)+IF(AND($E6=1,NK6=0),1000,0)),1000000))</f>
        <v/>
      </c>
      <c r="WS6">
        <f>IF($B6=0,1000000,IF(INDEX('計算A'!$D$60:$II$104,$B6,35)*EE6=1,IF(AND($E6=2,NL6=0),1000000,INDEX('計算A'!AL$110:AL$114,$F6+1)+IF(AND($E6=1,NL6=0),1000,0)),1000000))</f>
        <v/>
      </c>
      <c r="WT6">
        <f>IF($B6=0,1000000,IF(INDEX('計算A'!$D$60:$II$104,$B6,36)*EF6=1,IF(AND($E6=2,NM6=0),1000000,INDEX('計算A'!AM$110:AM$114,$F6+1)+IF(AND($E6=1,NM6=0),1000,0)),1000000))</f>
        <v/>
      </c>
      <c r="WU6">
        <f>IF($B6=0,1000000,IF(INDEX('計算A'!$D$60:$II$104,$B6,37)*EG6=1,IF(AND($E6=2,NN6=0),1000000,INDEX('計算A'!AN$110:AN$114,$F6+1)+IF(AND($E6=1,NN6=0),1000,0)),1000000))</f>
        <v/>
      </c>
      <c r="WV6">
        <f>IF($B6=0,1000000,IF(INDEX('計算A'!$D$60:$II$104,$B6,38)*EH6=1,IF(AND($E6=2,NO6=0),1000000,INDEX('計算A'!AO$110:AO$114,$F6+1)+IF(AND($E6=1,NO6=0),1000,0)),1000000))</f>
        <v/>
      </c>
      <c r="WW6">
        <f>IF($B6=0,1000000,IF(INDEX('計算A'!$D$60:$II$104,$B6,39)*EI6=1,IF(AND($E6=2,NP6=0),1000000,INDEX('計算A'!AP$110:AP$114,$F6+1)+IF(AND($E6=1,NP6=0),1000,0)),1000000))</f>
        <v/>
      </c>
      <c r="WX6">
        <f>IF($B6=0,1000000,IF(INDEX('計算A'!$D$60:$II$104,$B6,40)*EJ6=1,IF(AND($E6=2,NQ6=0),1000000,INDEX('計算A'!AQ$110:AQ$114,$F6+1)+IF(AND($E6=1,NQ6=0),1000,0)),1000000))</f>
        <v/>
      </c>
      <c r="WY6">
        <f>IF($B6=0,1000000,IF(INDEX('計算A'!$D$60:$II$104,$B6,41)*EK6=1,IF(AND($E6=2,NR6=0),1000000,INDEX('計算A'!AR$110:AR$114,$F6+1)+IF(AND($E6=1,NR6=0),1000,0)),1000000))</f>
        <v/>
      </c>
      <c r="WZ6">
        <f>IF($B6=0,1000000,IF(INDEX('計算A'!$D$60:$II$104,$B6,42)*EL6=1,IF(AND($E6=2,NS6=0),1000000,INDEX('計算A'!AS$110:AS$114,$F6+1)+IF(AND($E6=1,NS6=0),1000,0)),1000000))</f>
        <v/>
      </c>
      <c r="XA6">
        <f>IF($B6=0,1000000,IF(INDEX('計算A'!$D$60:$II$104,$B6,43)*EM6=1,IF(AND($E6=2,NT6=0),1000000,INDEX('計算A'!AT$110:AT$114,$F6+1)+IF(AND($E6=1,NT6=0),1000,0)),1000000))</f>
        <v/>
      </c>
      <c r="XB6">
        <f>IF($B6=0,1000000,IF(INDEX('計算A'!$D$60:$II$104,$B6,44)*EN6=1,IF(AND($E6=2,NU6=0),1000000,INDEX('計算A'!AU$110:AU$114,$F6+1)+IF(AND($E6=1,NU6=0),1000,0)),1000000))</f>
        <v/>
      </c>
      <c r="XC6">
        <f>IF($B6=0,1000000,IF(INDEX('計算A'!$D$60:$II$104,$B6,45)*EO6=1,IF(AND($E6=2,NV6=0),1000000,INDEX('計算A'!AV$110:AV$114,$F6+1)+IF(AND($E6=1,NV6=0),1000,0)),1000000))</f>
        <v/>
      </c>
      <c r="XD6">
        <f>IF($B6=0,1000000,IF(INDEX('計算A'!$D$60:$II$104,$B6,46)*EP6=1,IF(AND($E6=2,NW6=0),1000000,INDEX('計算A'!AW$110:AW$114,$F6+1)+IF(AND($E6=1,NW6=0),1000,0)),1000000))</f>
        <v/>
      </c>
      <c r="XE6">
        <f>IF($B6=0,1000000,IF(INDEX('計算A'!$D$60:$II$104,$B6,47)*EQ6=1,IF(AND($E6=2,NX6=0),1000000,INDEX('計算A'!AX$110:AX$114,$F6+1)+IF(AND($E6=1,NX6=0),1000,0)),1000000))</f>
        <v/>
      </c>
      <c r="XF6">
        <f>IF($B6=0,1000000,IF(INDEX('計算A'!$D$60:$II$104,$B6,48)*ER6=1,IF(AND($E6=2,NY6=0),1000000,INDEX('計算A'!AY$110:AY$114,$F6+1)+IF(AND($E6=1,NY6=0),1000,0)),1000000))</f>
        <v/>
      </c>
      <c r="XG6">
        <f>IF($B6=0,1000000,IF(INDEX('計算A'!$D$60:$II$104,$B6,49)*ES6=1,IF(AND($E6=2,NZ6=0),1000000,INDEX('計算A'!AZ$110:AZ$114,$F6+1)+IF(AND($E6=1,NZ6=0),1000,0)),1000000))</f>
        <v/>
      </c>
      <c r="XH6">
        <f>IF($B6=0,1000000,IF(INDEX('計算A'!$D$60:$II$104,$B6,50)*ET6=1,IF(AND($E6=2,OA6=0),1000000,INDEX('計算A'!BA$110:BA$114,$F6+1)+IF(AND($E6=1,OA6=0),1000,0)),1000000))</f>
        <v/>
      </c>
      <c r="XI6">
        <f>IF($B6=0,1000000,IF(INDEX('計算A'!$D$60:$II$104,$B6,51)*EU6=1,IF(AND($E6=2,OB6=0),1000000,INDEX('計算A'!BB$110:BB$114,$F6+1)+IF(AND($E6=1,OB6=0),1000,0)),1000000))</f>
        <v/>
      </c>
      <c r="XJ6">
        <f>IF($B6=0,1000000,IF(INDEX('計算A'!$D$60:$II$104,$B6,52)*EV6=1,IF(AND($E6=2,OC6=0),1000000,INDEX('計算A'!BC$110:BC$114,$F6+1)+IF(AND($E6=1,OC6=0),1000,0)),1000000))</f>
        <v/>
      </c>
      <c r="XK6">
        <f>IF($B6=0,1000000,IF(INDEX('計算A'!$D$60:$II$104,$B6,53)*EW6=1,IF(AND($E6=2,OD6=0),1000000,INDEX('計算A'!BD$110:BD$114,$F6+1)+IF(AND($E6=1,OD6=0),1000,0)),1000000))</f>
        <v/>
      </c>
      <c r="XL6">
        <f>IF($B6=0,1000000,IF(INDEX('計算A'!$D$60:$II$104,$B6,54)*EX6=1,IF(AND($E6=2,OE6=0),1000000,INDEX('計算A'!BE$110:BE$114,$F6+1)+IF(AND($E6=1,OE6=0),1000,0)),1000000))</f>
        <v/>
      </c>
      <c r="XM6">
        <f>IF($B6=0,1000000,IF(INDEX('計算A'!$D$60:$II$104,$B6,55)*EY6=1,IF(AND($E6=2,OF6=0),1000000,INDEX('計算A'!BF$110:BF$114,$F6+1)+IF(AND($E6=1,OF6=0),1000,0)),1000000))</f>
        <v/>
      </c>
      <c r="XN6">
        <f>IF($B6=0,1000000,IF(INDEX('計算A'!$D$60:$II$104,$B6,56)*EZ6=1,IF(AND($E6=2,OG6=0),1000000,INDEX('計算A'!BG$110:BG$114,$F6+1)+IF(AND($E6=1,OG6=0),1000,0)),1000000))</f>
        <v/>
      </c>
      <c r="XO6">
        <f>IF($B6=0,1000000,IF(INDEX('計算A'!$D$60:$II$104,$B6,57)*FA6=1,IF(AND($E6=2,OH6=0),1000000,INDEX('計算A'!BH$110:BH$114,$F6+1)+IF(AND($E6=1,OH6=0),1000,0)),1000000))</f>
        <v/>
      </c>
      <c r="XP6">
        <f>IF($B6=0,1000000,IF(INDEX('計算A'!$D$60:$II$104,$B6,58)*FB6=1,IF(AND($E6=2,OI6=0),1000000,INDEX('計算A'!BI$110:BI$114,$F6+1)+IF(AND($E6=1,OI6=0),1000,0)),1000000))</f>
        <v/>
      </c>
      <c r="XQ6">
        <f>IF($B6=0,1000000,IF(INDEX('計算A'!$D$60:$II$104,$B6,59)*FC6=1,IF(AND($E6=2,OJ6=0),1000000,INDEX('計算A'!BJ$110:BJ$114,$F6+1)+IF(AND($E6=1,OJ6=0),1000,0)),1000000))</f>
        <v/>
      </c>
      <c r="XR6">
        <f>IF($B6=0,1000000,IF(INDEX('計算A'!$D$60:$II$104,$B6,60)*FD6=1,IF(AND($E6=2,OK6=0),1000000,INDEX('計算A'!BK$110:BK$114,$F6+1)+IF(AND($E6=1,OK6=0),1000,0)),1000000))</f>
        <v/>
      </c>
      <c r="XS6">
        <f>IF($B6=0,1000000,IF(INDEX('計算A'!$D$60:$II$104,$B6,61)*FE6=1,IF(AND($E6=2,OL6=0),1000000,INDEX('計算A'!BL$110:BL$114,$F6+1)+IF(AND($E6=1,OL6=0),1000,0)),1000000))</f>
        <v/>
      </c>
      <c r="XT6">
        <f>IF($B6=0,1000000,IF(INDEX('計算A'!$D$60:$II$104,$B6,62)*FF6=1,IF(AND($E6=2,OM6=0),1000000,INDEX('計算A'!BM$110:BM$114,$F6+1)+IF(AND($E6=1,OM6=0),1000,0)),1000000))</f>
        <v/>
      </c>
      <c r="XU6">
        <f>IF($B6=0,1000000,IF(INDEX('計算A'!$D$60:$II$104,$B6,63)*FG6=1,IF(AND($E6=2,ON6=0),1000000,INDEX('計算A'!BN$110:BN$114,$F6+1)+IF(AND($E6=1,ON6=0),1000,0)),1000000))</f>
        <v/>
      </c>
      <c r="XV6">
        <f>IF($B6=0,1000000,IF(INDEX('計算A'!$D$60:$II$104,$B6,64)*FH6=1,IF(AND($E6=2,OO6=0),1000000,INDEX('計算A'!BO$110:BO$114,$F6+1)+IF(AND($E6=1,OO6=0),1000,0)),1000000))</f>
        <v/>
      </c>
      <c r="XW6">
        <f>IF($B6=0,1000000,IF(INDEX('計算A'!$D$60:$II$104,$B6,65)*FI6=1,IF(AND($E6=2,OP6=0),1000000,INDEX('計算A'!BP$110:BP$114,$F6+1)+IF(AND($E6=1,OP6=0),1000,0)),1000000))</f>
        <v/>
      </c>
      <c r="XX6">
        <f>IF($B6=0,1000000,IF(INDEX('計算A'!$D$60:$II$104,$B6,66)*FJ6=1,IF(AND($E6=2,OQ6=0),1000000,INDEX('計算A'!BQ$110:BQ$114,$F6+1)+IF(AND($E6=1,OQ6=0),1000,0)),1000000))</f>
        <v/>
      </c>
      <c r="XY6">
        <f>IF($B6=0,1000000,IF(INDEX('計算A'!$D$60:$II$104,$B6,67)*FK6=1,IF(AND($E6=2,OR6=0),1000000,INDEX('計算A'!BR$110:BR$114,$F6+1)+IF(AND($E6=1,OR6=0),1000,0)),1000000))</f>
        <v/>
      </c>
      <c r="XZ6">
        <f>IF($B6=0,1000000,IF(INDEX('計算A'!$D$60:$II$104,$B6,68)*FL6=1,IF(AND($E6=2,OS6=0),1000000,INDEX('計算A'!BS$110:BS$114,$F6+1)+IF(AND($E6=1,OS6=0),1000,0)),1000000))</f>
        <v/>
      </c>
      <c r="YA6">
        <f>IF($B6=0,1000000,IF(INDEX('計算A'!$D$60:$II$104,$B6,69)*FM6=1,IF(AND($E6=2,OT6=0),1000000,INDEX('計算A'!BT$110:BT$114,$F6+1)+IF(AND($E6=1,OT6=0),1000,0)),1000000))</f>
        <v/>
      </c>
      <c r="YB6">
        <f>IF($B6=0,1000000,IF(INDEX('計算A'!$D$60:$II$104,$B6,70)*FN6=1,IF(AND($E6=2,OU6=0),1000000,INDEX('計算A'!BU$110:BU$114,$F6+1)+IF(AND($E6=1,OU6=0),1000,0)),1000000))</f>
        <v/>
      </c>
      <c r="YC6">
        <f>IF($B6=0,1000000,IF(INDEX('計算A'!$D$60:$II$104,$B6,71)*FO6=1,IF(AND($E6=2,OV6=0),1000000,INDEX('計算A'!BV$110:BV$114,$F6+1)+IF(AND($E6=1,OV6=0),1000,0)),1000000))</f>
        <v/>
      </c>
      <c r="YD6">
        <f>IF($B6=0,1000000,IF(INDEX('計算A'!$D$60:$II$104,$B6,72)*FP6=1,IF(AND($E6=2,OW6=0),1000000,INDEX('計算A'!BW$110:BW$114,$F6+1)+IF(AND($E6=1,OW6=0),1000,0)),1000000))</f>
        <v/>
      </c>
      <c r="YE6">
        <f>IF($B6=0,1000000,IF(INDEX('計算A'!$D$60:$II$104,$B6,73)*FQ6=1,IF(AND($E6=2,OX6=0),1000000,INDEX('計算A'!BX$110:BX$114,$F6+1)+IF(AND($E6=1,OX6=0),1000,0)),1000000))</f>
        <v/>
      </c>
      <c r="YF6">
        <f>IF($B6=0,1000000,IF(INDEX('計算A'!$D$60:$II$104,$B6,74)*FR6=1,IF(AND($E6=2,OY6=0),1000000,INDEX('計算A'!BY$110:BY$114,$F6+1)+IF(AND($E6=1,OY6=0),1000,0)),1000000))</f>
        <v/>
      </c>
      <c r="YG6">
        <f>IF($B6=0,1000000,IF(INDEX('計算A'!$D$60:$II$104,$B6,75)*FS6=1,IF(AND($E6=2,OZ6=0),1000000,INDEX('計算A'!BZ$110:BZ$114,$F6+1)+IF(AND($E6=1,OZ6=0),1000,0)),1000000))</f>
        <v/>
      </c>
      <c r="YH6">
        <f>IF($B6=0,1000000,IF(INDEX('計算A'!$D$60:$II$104,$B6,76)*FT6=1,IF(AND($E6=2,PA6=0),1000000,INDEX('計算A'!CA$110:CA$114,$F6+1)+IF(AND($E6=1,PA6=0),1000,0)),1000000))</f>
        <v/>
      </c>
      <c r="YI6">
        <f>IF($B6=0,1000000,IF(INDEX('計算A'!$D$60:$II$104,$B6,77)*FU6=1,IF(AND($E6=2,PB6=0),1000000,INDEX('計算A'!CB$110:CB$114,$F6+1)+IF(AND($E6=1,PB6=0),1000,0)),1000000))</f>
        <v/>
      </c>
      <c r="YJ6">
        <f>IF($B6=0,1000000,IF(INDEX('計算A'!$D$60:$II$104,$B6,78)*FV6=1,IF(AND($E6=2,PC6=0),1000000,INDEX('計算A'!CC$110:CC$114,$F6+1)+IF(AND($E6=1,PC6=0),1000,0)),1000000))</f>
        <v/>
      </c>
      <c r="YK6">
        <f>IF($B6=0,1000000,IF(INDEX('計算A'!$D$60:$II$104,$B6,79)*FW6=1,IF(AND($E6=2,PD6=0),1000000,INDEX('計算A'!CD$110:CD$114,$F6+1)+IF(AND($E6=1,PD6=0),1000,0)),1000000))</f>
        <v/>
      </c>
      <c r="YL6">
        <f>IF($B6=0,1000000,IF(INDEX('計算A'!$D$60:$II$104,$B6,80)*FX6=1,IF(AND($E6=2,PE6=0),1000000,INDEX('計算A'!CE$110:CE$114,$F6+1)+IF(AND($E6=1,PE6=0),1000,0)),1000000))</f>
        <v/>
      </c>
      <c r="YM6">
        <f>IF($B6=0,1000000,IF(INDEX('計算A'!$D$60:$II$104,$B6,81)*FY6=1,IF(AND($E6=2,PF6=0),1000000,INDEX('計算A'!CF$110:CF$114,$F6+1)+IF(AND($E6=1,PF6=0),1000,0)),1000000))</f>
        <v/>
      </c>
      <c r="YN6">
        <f>IF($B6=0,1000000,IF(INDEX('計算A'!$D$60:$II$104,$B6,82)*FZ6=1,IF(AND($E6=2,PG6=0),1000000,INDEX('計算A'!CG$110:CG$114,$F6+1)+IF(AND($E6=1,PG6=0),1000,0)),1000000))</f>
        <v/>
      </c>
      <c r="YO6">
        <f>IF($B6=0,1000000,IF(INDEX('計算A'!$D$60:$II$104,$B6,83)*GA6=1,IF(AND($E6=2,PH6=0),1000000,INDEX('計算A'!CH$110:CH$114,$F6+1)+IF(AND($E6=1,PH6=0),1000,0)),1000000))</f>
        <v/>
      </c>
      <c r="YP6">
        <f>IF($B6=0,1000000,IF(INDEX('計算A'!$D$60:$II$104,$B6,84)*GB6=1,IF(AND($E6=2,PI6=0),1000000,INDEX('計算A'!CI$110:CI$114,$F6+1)+IF(AND($E6=1,PI6=0),1000,0)),1000000))</f>
        <v/>
      </c>
      <c r="YQ6">
        <f>IF($B6=0,1000000,IF(INDEX('計算A'!$D$60:$II$104,$B6,85)*GC6=1,IF(AND($E6=2,PJ6=0),1000000,INDEX('計算A'!CJ$110:CJ$114,$F6+1)+IF(AND($E6=1,PJ6=0),1000,0)),1000000))</f>
        <v/>
      </c>
      <c r="YR6">
        <f>IF($B6=0,1000000,IF(INDEX('計算A'!$D$60:$II$104,$B6,86)*GD6=1,IF(AND($E6=2,PK6=0),1000000,INDEX('計算A'!CK$110:CK$114,$F6+1)+IF(AND($E6=1,PK6=0),1000,0)),1000000))</f>
        <v/>
      </c>
      <c r="YS6">
        <f>IF($B6=0,1000000,IF(INDEX('計算A'!$D$60:$II$104,$B6,87)*GE6=1,IF(AND($E6=2,PL6=0),1000000,INDEX('計算A'!CL$110:CL$114,$F6+1)+IF(AND($E6=1,PL6=0),1000,0)),1000000))</f>
        <v/>
      </c>
      <c r="YT6">
        <f>IF($B6=0,1000000,IF(INDEX('計算A'!$D$60:$II$104,$B6,88)*GF6=1,IF(AND($E6=2,PM6=0),1000000,INDEX('計算A'!CM$110:CM$114,$F6+1)+IF(AND($E6=1,PM6=0),1000,0)),1000000))</f>
        <v/>
      </c>
      <c r="YU6">
        <f>IF($B6=0,1000000,IF(INDEX('計算A'!$D$60:$II$104,$B6,89)*GG6=1,IF(AND($E6=2,PN6=0),1000000,INDEX('計算A'!CN$110:CN$114,$F6+1)+IF(AND($E6=1,PN6=0),1000,0)),1000000))</f>
        <v/>
      </c>
      <c r="YV6">
        <f>IF($B6=0,1000000,IF(INDEX('計算A'!$D$60:$II$104,$B6,90)*GH6=1,IF(AND($E6=2,PO6=0),1000000,INDEX('計算A'!CO$110:CO$114,$F6+1)+IF(AND($E6=1,PO6=0),1000,0)),1000000))</f>
        <v/>
      </c>
      <c r="YW6">
        <f>IF($B6=0,1000000,IF(INDEX('計算A'!$D$60:$II$104,$B6,91)*GI6=1,IF(AND($E6=2,PP6=0),1000000,INDEX('計算A'!CP$110:CP$114,$F6+1)+IF(AND($E6=1,PP6=0),1000,0)),1000000))</f>
        <v/>
      </c>
      <c r="YX6">
        <f>IF($B6=0,1000000,IF(INDEX('計算A'!$D$60:$II$104,$B6,92)*GJ6=1,IF(AND($E6=2,PQ6=0),1000000,INDEX('計算A'!CQ$110:CQ$114,$F6+1)+IF(AND($E6=1,PQ6=0),1000,0)),1000000))</f>
        <v/>
      </c>
      <c r="YY6">
        <f>IF($B6=0,1000000,IF(INDEX('計算A'!$D$60:$II$104,$B6,93)*GK6=1,IF(AND($E6=2,PR6=0),1000000,INDEX('計算A'!CR$110:CR$114,$F6+1)+IF(AND($E6=1,PR6=0),1000,0)),1000000))</f>
        <v/>
      </c>
      <c r="YZ6">
        <f>IF($B6=0,1000000,IF(INDEX('計算A'!$D$60:$II$104,$B6,94)*GL6=1,IF(AND($E6=2,PS6=0),1000000,INDEX('計算A'!CS$110:CS$114,$F6+1)+IF(AND($E6=1,PS6=0),1000,0)),1000000))</f>
        <v/>
      </c>
      <c r="ZA6">
        <f>IF($B6=0,1000000,IF(INDEX('計算A'!$D$60:$II$104,$B6,95)*GM6=1,IF(AND($E6=2,PT6=0),1000000,INDEX('計算A'!CT$110:CT$114,$F6+1)+IF(AND($E6=1,PT6=0),1000,0)),1000000))</f>
        <v/>
      </c>
      <c r="ZB6">
        <f>IF($B6=0,1000000,IF(INDEX('計算A'!$D$60:$II$104,$B6,96)*GN6=1,IF(AND($E6=2,PU6=0),1000000,INDEX('計算A'!CU$110:CU$114,$F6+1)+IF(AND($E6=1,PU6=0),1000,0)),1000000))</f>
        <v/>
      </c>
      <c r="ZC6">
        <f>IF($B6=0,1000000,IF(INDEX('計算A'!$D$60:$II$104,$B6,97)*GO6=1,IF(AND($E6=2,PV6=0),1000000,INDEX('計算A'!CV$110:CV$114,$F6+1)+IF(AND($E6=1,PV6=0),1000,0)),1000000))</f>
        <v/>
      </c>
      <c r="ZD6">
        <f>IF($B6=0,1000000,IF(INDEX('計算A'!$D$60:$II$104,$B6,98)*GP6=1,IF(AND($E6=2,PW6=0),1000000,INDEX('計算A'!CW$110:CW$114,$F6+1)+IF(AND($E6=1,PW6=0),1000,0)),1000000))</f>
        <v/>
      </c>
      <c r="ZE6">
        <f>IF($B6=0,1000000,IF(INDEX('計算A'!$D$60:$II$104,$B6,99)*GQ6=1,IF(AND($E6=2,PX6=0),1000000,INDEX('計算A'!CX$110:CX$114,$F6+1)+IF(AND($E6=1,PX6=0),1000,0)),1000000))</f>
        <v/>
      </c>
      <c r="ZF6">
        <f>IF($B6=0,1000000,IF(INDEX('計算A'!$D$60:$II$104,$B6,100)*GR6=1,IF(AND($E6=2,PY6=0),1000000,INDEX('計算A'!CY$110:CY$114,$F6+1)+IF(AND($E6=1,PY6=0),1000,0)),1000000))</f>
        <v/>
      </c>
      <c r="ZG6">
        <f>IF($B6=0,1000000,IF(INDEX('計算A'!$D$60:$II$104,$B6,101)*GS6=1,IF(AND($E6=2,PZ6=0),1000000,INDEX('計算A'!CZ$110:CZ$114,$F6+1)+IF(AND($E6=1,PZ6=0),1000,0)),1000000))</f>
        <v/>
      </c>
      <c r="ZH6">
        <f>IF($B6=0,1000000,IF(INDEX('計算A'!$D$60:$II$104,$B6,102)*GT6=1,IF(AND($E6=2,QA6=0),1000000,INDEX('計算A'!DA$110:DA$114,$F6+1)+IF(AND($E6=1,QA6=0),1000,0)),1000000))</f>
        <v/>
      </c>
      <c r="ZI6">
        <f>IF($B6=0,1000000,IF(INDEX('計算A'!$D$60:$II$104,$B6,103)*GU6=1,IF(AND($E6=2,QB6=0),1000000,INDEX('計算A'!DB$110:DB$114,$F6+1)+IF(AND($E6=1,QB6=0),1000,0)),1000000))</f>
        <v/>
      </c>
      <c r="ZJ6">
        <f>IF($B6=0,1000000,IF(INDEX('計算A'!$D$60:$II$104,$B6,104)*GV6=1,IF(AND($E6=2,QC6=0),1000000,INDEX('計算A'!DC$110:DC$114,$F6+1)+IF(AND($E6=1,QC6=0),1000,0)),1000000))</f>
        <v/>
      </c>
      <c r="ZK6">
        <f>IF($B6=0,1000000,IF(INDEX('計算A'!$D$60:$II$104,$B6,105)*GW6=1,IF(AND($E6=2,QD6=0),1000000,INDEX('計算A'!DD$110:DD$114,$F6+1)+IF(AND($E6=1,QD6=0),1000,0)),1000000))</f>
        <v/>
      </c>
      <c r="ZL6">
        <f>IF($B6=0,1000000,IF(INDEX('計算A'!$D$60:$II$104,$B6,106)*GX6=1,IF(AND($E6=2,QE6=0),1000000,INDEX('計算A'!DE$110:DE$114,$F6+1)+IF(AND($E6=1,QE6=0),1000,0)),1000000))</f>
        <v/>
      </c>
      <c r="ZM6">
        <f>IF($B6=0,1000000,IF(INDEX('計算A'!$D$60:$II$104,$B6,107)*GY6=1,IF(AND($E6=2,QF6=0),1000000,INDEX('計算A'!DF$110:DF$114,$F6+1)+IF(AND($E6=1,QF6=0),1000,0)),1000000))</f>
        <v/>
      </c>
      <c r="ZN6">
        <f>IF($B6=0,1000000,IF(INDEX('計算A'!$D$60:$II$104,$B6,108)*GZ6=1,IF(AND($E6=2,QG6=0),1000000,INDEX('計算A'!DG$110:DG$114,$F6+1)+IF(AND($E6=1,QG6=0),1000,0)),1000000))</f>
        <v/>
      </c>
      <c r="ZO6">
        <f>IF($B6=0,1000000,IF(INDEX('計算A'!$D$60:$II$104,$B6,109)*HA6=1,IF(AND($E6=2,QH6=0),1000000,INDEX('計算A'!DH$110:DH$114,$F6+1)+IF(AND($E6=1,QH6=0),1000,0)),1000000))</f>
        <v/>
      </c>
      <c r="ZP6">
        <f>IF($B6=0,1000000,IF(INDEX('計算A'!$D$60:$II$104,$B6,110)*HB6=1,IF(AND($E6=2,QI6=0),1000000,INDEX('計算A'!DI$110:DI$114,$F6+1)+IF(AND($E6=1,QI6=0),1000,0)),1000000))</f>
        <v/>
      </c>
      <c r="ZQ6">
        <f>IF($B6=0,1000000,IF(INDEX('計算A'!$D$60:$II$104,$B6,111)*HC6=1,IF(AND($E6=2,QJ6=0),1000000,INDEX('計算A'!DJ$110:DJ$114,$F6+1)+IF(AND($E6=1,QJ6=0),1000,0)),1000000))</f>
        <v/>
      </c>
      <c r="ZR6">
        <f>IF($B6=0,1000000,IF(INDEX('計算A'!$D$60:$II$104,$B6,112)*HD6=1,IF(AND($E6=2,QK6=0),1000000,INDEX('計算A'!DK$110:DK$114,$F6+1)+IF(AND($E6=1,QK6=0),1000,0)),1000000))</f>
        <v/>
      </c>
      <c r="ZS6">
        <f>IF($B6=0,1000000,IF(INDEX('計算A'!$D$60:$II$104,$B6,113)*HE6=1,IF(AND($E6=2,QL6=0),1000000,INDEX('計算A'!DL$110:DL$114,$F6+1)+IF(AND($E6=1,QL6=0),1000,0)),1000000))</f>
        <v/>
      </c>
      <c r="ZT6">
        <f>IF($B6=0,1000000,IF(INDEX('計算A'!$D$60:$II$104,$B6,114)*HF6=1,IF(AND($E6=2,QM6=0),1000000,INDEX('計算A'!DM$110:DM$114,$F6+1)+IF(AND($E6=1,QM6=0),1000,0)),1000000))</f>
        <v/>
      </c>
      <c r="ZU6">
        <f>IF($B6=0,1000000,IF(INDEX('計算A'!$D$60:$II$104,$B6,115)*HG6=1,IF(AND($E6=2,QN6=0),1000000,INDEX('計算A'!DN$110:DN$114,$F6+1)+IF(AND($E6=1,QN6=0),1000,0)),1000000))</f>
        <v/>
      </c>
      <c r="ZV6">
        <f>IF($B6=0,1000000,IF(INDEX('計算A'!$D$60:$II$104,$B6,116)*HH6=1,IF(AND($E6=2,QO6=0),1000000,INDEX('計算A'!DO$110:DO$114,$F6+1)+IF(AND($E6=1,QO6=0),1000,0)),1000000))</f>
        <v/>
      </c>
      <c r="ZW6">
        <f>IF($B6=0,1000000,IF(INDEX('計算A'!$D$60:$II$104,$B6,117)*HI6=1,IF(AND($E6=2,QP6=0),1000000,INDEX('計算A'!DP$110:DP$114,$F6+1)+IF(AND($E6=1,QP6=0),1000,0)),1000000))</f>
        <v/>
      </c>
      <c r="ZX6">
        <f>IF($B6=0,1000000,IF(INDEX('計算A'!$D$60:$II$104,$B6,118)*HJ6=1,IF(AND($E6=2,QQ6=0),1000000,INDEX('計算A'!DQ$110:DQ$114,$F6+1)+IF(AND($E6=1,QQ6=0),1000,0)),1000000))</f>
        <v/>
      </c>
      <c r="ZY6">
        <f>IF($B6=0,1000000,IF(INDEX('計算A'!$D$60:$II$104,$B6,119)*HK6=1,IF(AND($E6=2,QR6=0),1000000,INDEX('計算A'!DR$110:DR$114,$F6+1)+IF(AND($E6=1,QR6=0),1000,0)),1000000))</f>
        <v/>
      </c>
      <c r="ZZ6">
        <f>IF($B6=0,1000000,IF(INDEX('計算A'!$D$60:$II$104,$B6,120)*HL6=1,IF(AND($E6=2,QS6=0),1000000,INDEX('計算A'!DS$110:DS$114,$F6+1)+IF(AND($E6=1,QS6=0),1000,0)),1000000))</f>
        <v/>
      </c>
      <c r="AAA6">
        <f>IF($B6=0,1000000,IF(INDEX('計算A'!$D$60:$II$104,$B6,121)*HM6=1,IF(AND($E6=2,QT6=0),1000000,INDEX('計算A'!DT$110:DT$114,$F6+1)+IF(AND($E6=1,QT6=0),1000,0)),1000000))</f>
        <v/>
      </c>
      <c r="AAB6">
        <f>IF($B6=0,1000000,IF(INDEX('計算A'!$D$60:$II$104,$B6,122)*HN6=1,IF(AND($E6=2,QU6=0),1000000,INDEX('計算A'!DU$110:DU$114,$F6+1)+IF(AND($E6=1,QU6=0),1000,0)),1000000))</f>
        <v/>
      </c>
      <c r="AAC6">
        <f>IF($B6=0,1000000,IF(INDEX('計算A'!$D$60:$II$104,$B6,123)*HO6=1,IF(AND($E6=2,QV6=0),1000000,INDEX('計算A'!DV$110:DV$114,$F6+1)+IF(AND($E6=1,QV6=0),1000,0)),1000000))</f>
        <v/>
      </c>
      <c r="AAD6">
        <f>IF($B6=0,1000000,IF(INDEX('計算A'!$D$60:$II$104,$B6,124)*HP6=1,IF(AND($E6=2,QW6=0),1000000,INDEX('計算A'!DW$110:DW$114,$F6+1)+IF(AND($E6=1,QW6=0),1000,0)),1000000))</f>
        <v/>
      </c>
      <c r="AAE6">
        <f>IF($B6=0,1000000,IF(INDEX('計算A'!$D$60:$II$104,$B6,125)*HQ6=1,IF(AND($E6=2,QX6=0),1000000,INDEX('計算A'!DX$110:DX$114,$F6+1)+IF(AND($E6=1,QX6=0),1000,0)),1000000))</f>
        <v/>
      </c>
      <c r="AAF6">
        <f>IF($B6=0,1000000,IF(INDEX('計算A'!$D$60:$II$104,$B6,126)*HR6=1,IF(AND($E6=2,QY6=0),1000000,INDEX('計算A'!DY$110:DY$114,$F6+1)+IF(AND($E6=1,QY6=0),1000,0)),1000000))</f>
        <v/>
      </c>
      <c r="AAG6">
        <f>IF($B6=0,1000000,IF(INDEX('計算A'!$D$60:$II$104,$B6,127)*HS6=1,IF(AND($E6=2,QZ6=0),1000000,INDEX('計算A'!DZ$110:DZ$114,$F6+1)+IF(AND($E6=1,QZ6=0),1000,0)),1000000))</f>
        <v/>
      </c>
      <c r="AAH6">
        <f>IF($B6=0,1000000,IF(INDEX('計算A'!$D$60:$II$104,$B6,128)*HT6=1,IF(AND($E6=2,RA6=0),1000000,INDEX('計算A'!EA$110:EA$114,$F6+1)+IF(AND($E6=1,RA6=0),1000,0)),1000000))</f>
        <v/>
      </c>
      <c r="AAI6">
        <f>IF($B6=0,1000000,IF(INDEX('計算A'!$D$60:$II$104,$B6,129)*HU6=1,IF(AND($E6=2,RB6=0),1000000,INDEX('計算A'!EB$110:EB$114,$F6+1)+IF(AND($E6=1,RB6=0),1000,0)),1000000))</f>
        <v/>
      </c>
      <c r="AAJ6">
        <f>IF($B6=0,1000000,IF(INDEX('計算A'!$D$60:$II$104,$B6,130)*HV6=1,IF(AND($E6=2,RC6=0),1000000,INDEX('計算A'!EC$110:EC$114,$F6+1)+IF(AND($E6=1,RC6=0),1000,0)),1000000))</f>
        <v/>
      </c>
      <c r="AAK6">
        <f>IF($B6=0,1000000,IF(INDEX('計算A'!$D$60:$II$104,$B6,131)*HW6=1,IF(AND($E6=2,RD6=0),1000000,INDEX('計算A'!ED$110:ED$114,$F6+1)+IF(AND($E6=1,RD6=0),1000,0)),1000000))</f>
        <v/>
      </c>
      <c r="AAL6">
        <f>IF($B6=0,1000000,IF(INDEX('計算A'!$D$60:$II$104,$B6,132)*HX6=1,IF(AND($E6=2,RE6=0),1000000,INDEX('計算A'!EE$110:EE$114,$F6+1)+IF(AND($E6=1,RE6=0),1000,0)),1000000))</f>
        <v/>
      </c>
      <c r="AAM6">
        <f>IF($B6=0,1000000,IF(INDEX('計算A'!$D$60:$II$104,$B6,133)*HY6=1,IF(AND($E6=2,RF6=0),1000000,INDEX('計算A'!EF$110:EF$114,$F6+1)+IF(AND($E6=1,RF6=0),1000,0)),1000000))</f>
        <v/>
      </c>
      <c r="AAN6">
        <f>IF($B6=0,1000000,IF(INDEX('計算A'!$D$60:$II$104,$B6,134)*HZ6=1,IF(AND($E6=2,RG6=0),1000000,INDEX('計算A'!EG$110:EG$114,$F6+1)+IF(AND($E6=1,RG6=0),1000,0)),1000000))</f>
        <v/>
      </c>
      <c r="AAO6">
        <f>IF($B6=0,1000000,IF(INDEX('計算A'!$D$60:$II$104,$B6,135)*IA6=1,IF(AND($E6=2,RH6=0),1000000,INDEX('計算A'!EH$110:EH$114,$F6+1)+IF(AND($E6=1,RH6=0),1000,0)),1000000))</f>
        <v/>
      </c>
      <c r="AAP6">
        <f>IF($B6=0,1000000,IF(INDEX('計算A'!$D$60:$II$104,$B6,136)*IB6=1,IF(AND($E6=2,RI6=0),1000000,INDEX('計算A'!EI$110:EI$114,$F6+1)+IF(AND($E6=1,RI6=0),1000,0)),1000000))</f>
        <v/>
      </c>
      <c r="AAQ6">
        <f>IF($B6=0,1000000,IF(INDEX('計算A'!$D$60:$II$104,$B6,137)*IC6=1,IF(AND($E6=2,RJ6=0),1000000,INDEX('計算A'!EJ$110:EJ$114,$F6+1)+IF(AND($E6=1,RJ6=0),1000,0)),1000000))</f>
        <v/>
      </c>
      <c r="AAR6">
        <f>IF($B6=0,1000000,IF(INDEX('計算A'!$D$60:$II$104,$B6,138)*ID6=1,IF(AND($E6=2,RK6=0),1000000,INDEX('計算A'!EK$110:EK$114,$F6+1)+IF(AND($E6=1,RK6=0),1000,0)),1000000))</f>
        <v/>
      </c>
      <c r="AAS6">
        <f>IF($B6=0,1000000,IF(INDEX('計算A'!$D$60:$II$104,$B6,139)*IE6=1,IF(AND($E6=2,RL6=0),1000000,INDEX('計算A'!EL$110:EL$114,$F6+1)+IF(AND($E6=1,RL6=0),1000,0)),1000000))</f>
        <v/>
      </c>
      <c r="AAT6">
        <f>IF($B6=0,1000000,IF(INDEX('計算A'!$D$60:$II$104,$B6,140)*IF6=1,IF(AND($E6=2,RM6=0),1000000,INDEX('計算A'!EM$110:EM$114,$F6+1)+IF(AND($E6=1,RM6=0),1000,0)),1000000))</f>
        <v/>
      </c>
      <c r="AAU6">
        <f>IF($B6=0,1000000,IF(INDEX('計算A'!$D$60:$II$104,$B6,141)*IG6=1,IF(AND($E6=2,RN6=0),1000000,INDEX('計算A'!EN$110:EN$114,$F6+1)+IF(AND($E6=1,RN6=0),1000,0)),1000000))</f>
        <v/>
      </c>
      <c r="AAV6">
        <f>IF($B6=0,1000000,IF(INDEX('計算A'!$D$60:$II$104,$B6,142)*IH6=1,IF(AND($E6=2,RO6=0),1000000,INDEX('計算A'!EO$110:EO$114,$F6+1)+IF(AND($E6=1,RO6=0),1000,0)),1000000))</f>
        <v/>
      </c>
      <c r="AAW6">
        <f>IF($B6=0,1000000,IF(INDEX('計算A'!$D$60:$II$104,$B6,143)*II6=1,IF(AND($E6=2,RP6=0),1000000,INDEX('計算A'!EP$110:EP$114,$F6+1)+IF(AND($E6=1,RP6=0),1000,0)),1000000))</f>
        <v/>
      </c>
      <c r="AAX6">
        <f>IF($B6=0,1000000,IF(INDEX('計算A'!$D$60:$II$104,$B6,144)*IJ6=1,IF(AND($E6=2,RQ6=0),1000000,INDEX('計算A'!EQ$110:EQ$114,$F6+1)+IF(AND($E6=1,RQ6=0),1000,0)),1000000))</f>
        <v/>
      </c>
      <c r="AAY6">
        <f>IF($B6=0,1000000,IF(INDEX('計算A'!$D$60:$II$104,$B6,145)*IK6=1,IF(AND($E6=2,RR6=0),1000000,INDEX('計算A'!ER$110:ER$114,$F6+1)+IF(AND($E6=1,RR6=0),1000,0)),1000000))</f>
        <v/>
      </c>
      <c r="AAZ6">
        <f>IF($B6=0,1000000,IF(INDEX('計算A'!$D$60:$II$104,$B6,146)*IL6=1,IF(AND($E6=2,RS6=0),1000000,INDEX('計算A'!ES$110:ES$114,$F6+1)+IF(AND($E6=1,RS6=0),1000,0)),1000000))</f>
        <v/>
      </c>
      <c r="ABA6">
        <f>IF($B6=0,1000000,IF(INDEX('計算A'!$D$60:$II$104,$B6,147)*IM6=1,IF(AND($E6=2,RT6=0),1000000,INDEX('計算A'!ET$110:ET$114,$F6+1)+IF(AND($E6=1,RT6=0),1000,0)),1000000))</f>
        <v/>
      </c>
      <c r="ABB6">
        <f>IF($B6=0,1000000,IF(INDEX('計算A'!$D$60:$II$104,$B6,148)*IN6=1,IF(AND($E6=2,RU6=0),1000000,INDEX('計算A'!EU$110:EU$114,$F6+1)+IF(AND($E6=1,RU6=0),1000,0)),1000000))</f>
        <v/>
      </c>
      <c r="ABC6">
        <f>IF($B6=0,1000000,IF(INDEX('計算A'!$D$60:$II$104,$B6,149)*IO6=1,IF(AND($E6=2,RV6=0),1000000,INDEX('計算A'!EV$110:EV$114,$F6+1)+IF(AND($E6=1,RV6=0),1000,0)),1000000))</f>
        <v/>
      </c>
      <c r="ABD6">
        <f>IF($B6=0,1000000,IF(INDEX('計算A'!$D$60:$II$104,$B6,150)*IP6=1,IF(AND($E6=2,RW6=0),1000000,INDEX('計算A'!EW$110:EW$114,$F6+1)+IF(AND($E6=1,RW6=0),1000,0)),1000000))</f>
        <v/>
      </c>
      <c r="ABE6">
        <f>IF($B6=0,1000000,IF(INDEX('計算A'!$D$60:$II$104,$B6,151)*IQ6=1,IF(AND($E6=2,RX6=0),1000000,INDEX('計算A'!EX$110:EX$114,$F6+1)+IF(AND($E6=1,RX6=0),1000,0)),1000000))</f>
        <v/>
      </c>
      <c r="ABF6">
        <f>IF($B6=0,1000000,IF(INDEX('計算A'!$D$60:$II$104,$B6,152)*IR6=1,IF(AND($E6=2,RY6=0),1000000,INDEX('計算A'!EY$110:EY$114,$F6+1)+IF(AND($E6=1,RY6=0),1000,0)),1000000))</f>
        <v/>
      </c>
      <c r="ABG6">
        <f>IF($B6=0,1000000,IF(INDEX('計算A'!$D$60:$II$104,$B6,153)*IS6=1,IF(AND($E6=2,RZ6=0),1000000,INDEX('計算A'!EZ$110:EZ$114,$F6+1)+IF(AND($E6=1,RZ6=0),1000,0)),1000000))</f>
        <v/>
      </c>
      <c r="ABH6">
        <f>IF($B6=0,1000000,IF(INDEX('計算A'!$D$60:$II$104,$B6,154)*IT6=1,IF(AND($E6=2,SA6=0),1000000,INDEX('計算A'!FA$110:FA$114,$F6+1)+IF(AND($E6=1,SA6=0),1000,0)),1000000))</f>
        <v/>
      </c>
      <c r="ABI6">
        <f>IF($B6=0,1000000,IF(INDEX('計算A'!$D$60:$II$104,$B6,155)*IU6=1,IF(AND($E6=2,SB6=0),1000000,INDEX('計算A'!FB$110:FB$114,$F6+1)+IF(AND($E6=1,SB6=0),1000,0)),1000000))</f>
        <v/>
      </c>
      <c r="ABJ6">
        <f>IF($B6=0,1000000,IF(INDEX('計算A'!$D$60:$II$104,$B6,156)*IV6=1,IF(AND($E6=2,SC6=0),1000000,INDEX('計算A'!FC$110:FC$114,$F6+1)+IF(AND($E6=1,SC6=0),1000,0)),1000000))</f>
        <v/>
      </c>
      <c r="ABK6">
        <f>IF($B6=0,1000000,IF(INDEX('計算A'!$D$60:$II$104,$B6,157)*IW6=1,IF(AND($E6=2,SD6=0),1000000,INDEX('計算A'!FD$110:FD$114,$F6+1)+IF(AND($E6=1,SD6=0),1000,0)),1000000))</f>
        <v/>
      </c>
      <c r="ABL6">
        <f>IF($B6=0,1000000,IF(INDEX('計算A'!$D$60:$II$104,$B6,158)*IX6=1,IF(AND($E6=2,SE6=0),1000000,INDEX('計算A'!FE$110:FE$114,$F6+1)+IF(AND($E6=1,SE6=0),1000,0)),1000000))</f>
        <v/>
      </c>
      <c r="ABM6">
        <f>IF($B6=0,1000000,IF(INDEX('計算A'!$D$60:$II$104,$B6,159)*IY6=1,IF(AND($E6=2,SF6=0),1000000,INDEX('計算A'!FF$110:FF$114,$F6+1)+IF(AND($E6=1,SF6=0),1000,0)),1000000))</f>
        <v/>
      </c>
      <c r="ABN6">
        <f>IF($B6=0,1000000,IF(INDEX('計算A'!$D$60:$II$104,$B6,160)*IZ6=1,IF(AND($E6=2,SG6=0),1000000,INDEX('計算A'!FG$110:FG$114,$F6+1)+IF(AND($E6=1,SG6=0),1000,0)),1000000))</f>
        <v/>
      </c>
      <c r="ABO6">
        <f>IF($B6=0,1000000,IF(INDEX('計算A'!$D$60:$II$104,$B6,161)*JA6=1,IF(AND($E6=2,SH6=0),1000000,INDEX('計算A'!FH$110:FH$114,$F6+1)+IF(AND($E6=1,SH6=0),1000,0)),1000000))</f>
        <v/>
      </c>
      <c r="ABP6">
        <f>IF($B6=0,1000000,IF(INDEX('計算A'!$D$60:$II$104,$B6,162)*JB6=1,IF(AND($E6=2,SI6=0),1000000,INDEX('計算A'!FI$110:FI$114,$F6+1)+IF(AND($E6=1,SI6=0),1000,0)),1000000))</f>
        <v/>
      </c>
      <c r="ABQ6">
        <f>IF($B6=0,1000000,IF(INDEX('計算A'!$D$60:$II$104,$B6,163)*JC6=1,IF(AND($E6=2,SJ6=0),1000000,INDEX('計算A'!FJ$110:FJ$114,$F6+1)+IF(AND($E6=1,SJ6=0),1000,0)),1000000))</f>
        <v/>
      </c>
      <c r="ABR6">
        <f>IF($B6=0,1000000,IF(INDEX('計算A'!$D$60:$II$104,$B6,164)*JD6=1,IF(AND($E6=2,SK6=0),1000000,INDEX('計算A'!FK$110:FK$114,$F6+1)+IF(AND($E6=1,SK6=0),1000,0)),1000000))</f>
        <v/>
      </c>
      <c r="ABS6">
        <f>IF($B6=0,1000000,IF(INDEX('計算A'!$D$60:$II$104,$B6,165)*JE6=1,IF(AND($E6=2,SL6=0),1000000,INDEX('計算A'!FL$110:FL$114,$F6+1)+IF(AND($E6=1,SL6=0),1000,0)),1000000))</f>
        <v/>
      </c>
      <c r="ABT6">
        <f>IF($B6=0,1000000,IF(INDEX('計算A'!$D$60:$II$104,$B6,166)*JF6=1,IF(AND($E6=2,SM6=0),1000000,INDEX('計算A'!FM$110:FM$114,$F6+1)+IF(AND($E6=1,SM6=0),1000,0)),1000000))</f>
        <v/>
      </c>
      <c r="ABU6">
        <f>IF($B6=0,1000000,IF(INDEX('計算A'!$D$60:$II$104,$B6,167)*JG6=1,IF(AND($E6=2,SN6=0),1000000,INDEX('計算A'!FN$110:FN$114,$F6+1)+IF(AND($E6=1,SN6=0),1000,0)),1000000))</f>
        <v/>
      </c>
      <c r="ABV6">
        <f>IF($B6=0,1000000,IF(INDEX('計算A'!$D$60:$II$104,$B6,168)*JH6=1,IF(AND($E6=2,SO6=0),1000000,INDEX('計算A'!FO$110:FO$114,$F6+1)+IF(AND($E6=1,SO6=0),1000,0)),1000000))</f>
        <v/>
      </c>
      <c r="ABW6">
        <f>IF($B6=0,1000000,IF(INDEX('計算A'!$D$60:$II$104,$B6,169)*JI6=1,IF(AND($E6=2,SP6=0),1000000,INDEX('計算A'!FP$110:FP$114,$F6+1)+IF(AND($E6=1,SP6=0),1000,0)),1000000))</f>
        <v/>
      </c>
      <c r="ABX6">
        <f>IF($B6=0,1000000,IF(INDEX('計算A'!$D$60:$II$104,$B6,170)*JJ6=1,IF(AND($E6=2,SQ6=0),1000000,INDEX('計算A'!FQ$110:FQ$114,$F6+1)+IF(AND($E6=1,SQ6=0),1000,0)),1000000))</f>
        <v/>
      </c>
      <c r="ABY6">
        <f>IF($B6=0,1000000,IF(INDEX('計算A'!$D$60:$II$104,$B6,171)*JK6=1,IF(AND($E6=2,SR6=0),1000000,INDEX('計算A'!FR$110:FR$114,$F6+1)+IF(AND($E6=1,SR6=0),1000,0)),1000000))</f>
        <v/>
      </c>
      <c r="ABZ6">
        <f>IF($B6=0,1000000,IF(INDEX('計算A'!$D$60:$II$104,$B6,172)*JL6=1,IF(AND($E6=2,SS6=0),1000000,INDEX('計算A'!FS$110:FS$114,$F6+1)+IF(AND($E6=1,SS6=0),1000,0)),1000000))</f>
        <v/>
      </c>
      <c r="ACA6">
        <f>IF($B6=0,1000000,IF(INDEX('計算A'!$D$60:$II$104,$B6,173)*JM6=1,IF(AND($E6=2,ST6=0),1000000,INDEX('計算A'!FT$110:FT$114,$F6+1)+IF(AND($E6=1,ST6=0),1000,0)),1000000))</f>
        <v/>
      </c>
      <c r="ACB6">
        <f>IF($B6=0,1000000,IF(INDEX('計算A'!$D$60:$II$104,$B6,174)*JN6=1,IF(AND($E6=2,SU6=0),1000000,INDEX('計算A'!FU$110:FU$114,$F6+1)+IF(AND($E6=1,SU6=0),1000,0)),1000000))</f>
        <v/>
      </c>
      <c r="ACC6">
        <f>IF($B6=0,1000000,IF(INDEX('計算A'!$D$60:$II$104,$B6,175)*JO6=1,IF(AND($E6=2,SV6=0),1000000,INDEX('計算A'!FV$110:FV$114,$F6+1)+IF(AND($E6=1,SV6=0),1000,0)),1000000))</f>
        <v/>
      </c>
      <c r="ACD6">
        <f>IF($B6=0,1000000,IF(INDEX('計算A'!$D$60:$II$104,$B6,176)*JP6=1,IF(AND($E6=2,SW6=0),1000000,INDEX('計算A'!FW$110:FW$114,$F6+1)+IF(AND($E6=1,SW6=0),1000,0)),1000000))</f>
        <v/>
      </c>
      <c r="ACE6">
        <f>IF($B6=0,1000000,IF(INDEX('計算A'!$D$60:$II$104,$B6,177)*JQ6=1,IF(AND($E6=2,SX6=0),1000000,INDEX('計算A'!FX$110:FX$114,$F6+1)+IF(AND($E6=1,SX6=0),1000,0)),1000000))</f>
        <v/>
      </c>
      <c r="ACF6">
        <f>IF($B6=0,1000000,IF(INDEX('計算A'!$D$60:$II$104,$B6,178)*JR6=1,IF(AND($E6=2,SY6=0),1000000,INDEX('計算A'!FY$110:FY$114,$F6+1)+IF(AND($E6=1,SY6=0),1000,0)),1000000))</f>
        <v/>
      </c>
      <c r="ACG6">
        <f>IF($B6=0,1000000,IF(INDEX('計算A'!$D$60:$II$104,$B6,179)*JS6=1,IF(AND($E6=2,SZ6=0),1000000,INDEX('計算A'!FZ$110:FZ$114,$F6+1)+IF(AND($E6=1,SZ6=0),1000,0)),1000000))</f>
        <v/>
      </c>
      <c r="ACH6">
        <f>IF($B6=0,1000000,IF(INDEX('計算A'!$D$60:$II$104,$B6,180)*JT6=1,IF(AND($E6=2,TA6=0),1000000,INDEX('計算A'!GA$110:GA$114,$F6+1)+IF(AND($E6=1,TA6=0),1000,0)),1000000))</f>
        <v/>
      </c>
      <c r="ACI6">
        <f>IF($B6=0,1000000,IF(INDEX('計算A'!$D$60:$II$104,$B6,181)*JU6=1,IF(AND($E6=2,TB6=0),1000000,INDEX('計算A'!GB$110:GB$114,$F6+1)+IF(AND($E6=1,TB6=0),1000,0)),1000000))</f>
        <v/>
      </c>
      <c r="ACJ6">
        <f>IF($B6=0,1000000,IF(INDEX('計算A'!$D$60:$II$104,$B6,182)*JV6=1,IF(AND($E6=2,TC6=0),1000000,INDEX('計算A'!GC$110:GC$114,$F6+1)+IF(AND($E6=1,TC6=0),1000,0)),1000000))</f>
        <v/>
      </c>
      <c r="ACK6">
        <f>IF($B6=0,1000000,IF(INDEX('計算A'!$D$60:$II$104,$B6,183)*JW6=1,IF(AND($E6=2,TD6=0),1000000,INDEX('計算A'!GD$110:GD$114,$F6+1)+IF(AND($E6=1,TD6=0),1000,0)),1000000))</f>
        <v/>
      </c>
      <c r="ACL6">
        <f>IF($B6=0,1000000,IF(INDEX('計算A'!$D$60:$II$104,$B6,184)*JX6=1,IF(AND($E6=2,TE6=0),1000000,INDEX('計算A'!GE$110:GE$114,$F6+1)+IF(AND($E6=1,TE6=0),1000,0)),1000000))</f>
        <v/>
      </c>
      <c r="ACM6">
        <f>IF($B6=0,1000000,IF(INDEX('計算A'!$D$60:$II$104,$B6,185)*JY6=1,IF(AND($E6=2,TF6=0),1000000,INDEX('計算A'!GF$110:GF$114,$F6+1)+IF(AND($E6=1,TF6=0),1000,0)),1000000))</f>
        <v/>
      </c>
      <c r="ACN6">
        <f>IF($B6=0,1000000,IF(INDEX('計算A'!$D$60:$II$104,$B6,186)*JZ6=1,IF(AND($E6=2,TG6=0),1000000,INDEX('計算A'!GG$110:GG$114,$F6+1)+IF(AND($E6=1,TG6=0),1000,0)),1000000))</f>
        <v/>
      </c>
      <c r="ACO6">
        <f>IF($B6=0,1000000,IF(INDEX('計算A'!$D$60:$II$104,$B6,187)*KA6=1,IF(AND($E6=2,TH6=0),1000000,INDEX('計算A'!GH$110:GH$114,$F6+1)+IF(AND($E6=1,TH6=0),1000,0)),1000000))</f>
        <v/>
      </c>
      <c r="ACP6">
        <f>IF($B6=0,1000000,IF(INDEX('計算A'!$D$60:$II$104,$B6,188)*KB6=1,IF(AND($E6=2,TI6=0),1000000,INDEX('計算A'!GI$110:GI$114,$F6+1)+IF(AND($E6=1,TI6=0),1000,0)),1000000))</f>
        <v/>
      </c>
      <c r="ACQ6">
        <f>IF($B6=0,1000000,IF(INDEX('計算A'!$D$60:$II$104,$B6,189)*KC6=1,IF(AND($E6=2,TJ6=0),1000000,INDEX('計算A'!GJ$110:GJ$114,$F6+1)+IF(AND($E6=1,TJ6=0),1000,0)),1000000))</f>
        <v/>
      </c>
      <c r="ACR6">
        <f>IF($B6=0,1000000,IF(INDEX('計算A'!$D$60:$II$104,$B6,190)*KD6=1,IF(AND($E6=2,TK6=0),1000000,INDEX('計算A'!GK$110:GK$114,$F6+1)+IF(AND($E6=1,TK6=0),1000,0)),1000000))</f>
        <v/>
      </c>
      <c r="ACS6">
        <f>IF($B6=0,1000000,IF(INDEX('計算A'!$D$60:$II$104,$B6,191)*KE6=1,IF(AND($E6=2,TL6=0),1000000,INDEX('計算A'!GL$110:GL$114,$F6+1)+IF(AND($E6=1,TL6=0),1000,0)),1000000))</f>
        <v/>
      </c>
      <c r="ACT6">
        <f>IF($B6=0,1000000,IF(INDEX('計算A'!$D$60:$II$104,$B6,192)*KF6=1,IF(AND($E6=2,TM6=0),1000000,INDEX('計算A'!GM$110:GM$114,$F6+1)+IF(AND($E6=1,TM6=0),1000,0)),1000000))</f>
        <v/>
      </c>
      <c r="ACU6">
        <f>IF($B6=0,1000000,IF(INDEX('計算A'!$D$60:$II$104,$B6,193)*KG6=1,IF(AND($E6=2,TN6=0),1000000,INDEX('計算A'!GN$110:GN$114,$F6+1)+IF(AND($E6=1,TN6=0),1000,0)),1000000))</f>
        <v/>
      </c>
      <c r="ACV6">
        <f>IF($B6=0,1000000,IF(INDEX('計算A'!$D$60:$II$104,$B6,194)*KH6=1,IF(AND($E6=2,TO6=0),1000000,INDEX('計算A'!GO$110:GO$114,$F6+1)+IF(AND($E6=1,TO6=0),1000,0)),1000000))</f>
        <v/>
      </c>
      <c r="ACW6">
        <f>IF($B6=0,1000000,IF(INDEX('計算A'!$D$60:$II$104,$B6,195)*KI6=1,IF(AND($E6=2,TP6=0),1000000,INDEX('計算A'!GP$110:GP$114,$F6+1)+IF(AND($E6=1,TP6=0),1000,0)),1000000))</f>
        <v/>
      </c>
      <c r="ACX6">
        <f>IF($B6=0,1000000,IF(INDEX('計算A'!$D$60:$II$104,$B6,196)*KJ6=1,IF(AND($E6=2,TQ6=0),1000000,INDEX('計算A'!GQ$110:GQ$114,$F6+1)+IF(AND($E6=1,TQ6=0),1000,0)),1000000))</f>
        <v/>
      </c>
      <c r="ACY6">
        <f>IF($B6=0,1000000,IF(INDEX('計算A'!$D$60:$II$104,$B6,197)*KK6=1,IF(AND($E6=2,TR6=0),1000000,INDEX('計算A'!GR$110:GR$114,$F6+1)+IF(AND($E6=1,TR6=0),1000,0)),1000000))</f>
        <v/>
      </c>
      <c r="ACZ6">
        <f>IF($B6=0,1000000,IF(INDEX('計算A'!$D$60:$II$104,$B6,198)*KL6=1,IF(AND($E6=2,TS6=0),1000000,INDEX('計算A'!GS$110:GS$114,$F6+1)+IF(AND($E6=1,TS6=0),1000,0)),1000000))</f>
        <v/>
      </c>
      <c r="ADA6">
        <f>IF($B6=0,1000000,IF(INDEX('計算A'!$D$60:$II$104,$B6,199)*KM6=1,IF(AND($E6=2,TT6=0),1000000,INDEX('計算A'!GT$110:GT$114,$F6+1)+IF(AND($E6=1,TT6=0),1000,0)),1000000))</f>
        <v/>
      </c>
      <c r="ADB6">
        <f>IF($B6=0,1000000,IF(INDEX('計算A'!$D$60:$II$104,$B6,200)*KN6=1,IF(AND($E6=2,TU6=0),1000000,INDEX('計算A'!GU$110:GU$114,$F6+1)+IF(AND($E6=1,TU6=0),1000,0)),1000000))</f>
        <v/>
      </c>
      <c r="ADC6">
        <f>IF($B6=0,1000000,IF(INDEX('計算A'!$D$60:$II$104,$B6,201)*KO6=1,IF(AND($E6=2,TV6=0),1000000,INDEX('計算A'!GV$110:GV$114,$F6+1)+IF(AND($E6=1,TV6=0),1000,0)),1000000))</f>
        <v/>
      </c>
      <c r="ADD6">
        <f>IF($B6=0,1000000,IF(INDEX('計算A'!$D$60:$II$104,$B6,202)*KP6=1,IF(AND($E6=2,TW6=0),1000000,INDEX('計算A'!GW$110:GW$114,$F6+1)+IF(AND($E6=1,TW6=0),1000,0)),1000000))</f>
        <v/>
      </c>
      <c r="ADE6">
        <f>IF($B6=0,1000000,IF(INDEX('計算A'!$D$60:$II$104,$B6,203)*KQ6=1,IF(AND($E6=2,TX6=0),1000000,INDEX('計算A'!GX$110:GX$114,$F6+1)+IF(AND($E6=1,TX6=0),1000,0)),1000000))</f>
        <v/>
      </c>
      <c r="ADF6">
        <f>IF($B6=0,1000000,IF(INDEX('計算A'!$D$60:$II$104,$B6,204)*KR6=1,IF(AND($E6=2,TY6=0),1000000,INDEX('計算A'!GY$110:GY$114,$F6+1)+IF(AND($E6=1,TY6=0),1000,0)),1000000))</f>
        <v/>
      </c>
      <c r="ADG6">
        <f>IF($B6=0,1000000,IF(INDEX('計算A'!$D$60:$II$104,$B6,205)*KS6=1,IF(AND($E6=2,TZ6=0),1000000,INDEX('計算A'!GZ$110:GZ$114,$F6+1)+IF(AND($E6=1,TZ6=0),1000,0)),1000000))</f>
        <v/>
      </c>
      <c r="ADH6">
        <f>IF($B6=0,1000000,IF(INDEX('計算A'!$D$60:$II$104,$B6,206)*KT6=1,IF(AND($E6=2,UA6=0),1000000,INDEX('計算A'!HA$110:HA$114,$F6+1)+IF(AND($E6=1,UA6=0),1000,0)),1000000))</f>
        <v/>
      </c>
      <c r="ADI6">
        <f>IF($B6=0,1000000,IF(INDEX('計算A'!$D$60:$II$104,$B6,207)*KU6=1,IF(AND($E6=2,UB6=0),1000000,INDEX('計算A'!HB$110:HB$114,$F6+1)+IF(AND($E6=1,UB6=0),1000,0)),1000000))</f>
        <v/>
      </c>
      <c r="ADJ6">
        <f>IF($B6=0,1000000,IF(INDEX('計算A'!$D$60:$II$104,$B6,208)*KV6=1,IF(AND($E6=2,UC6=0),1000000,INDEX('計算A'!HC$110:HC$114,$F6+1)+IF(AND($E6=1,UC6=0),1000,0)),1000000))</f>
        <v/>
      </c>
      <c r="ADK6">
        <f>IF($B6=0,1000000,IF(INDEX('計算A'!$D$60:$II$104,$B6,209)*KW6=1,IF(AND($E6=2,UD6=0),1000000,INDEX('計算A'!HD$110:HD$114,$F6+1)+IF(AND($E6=1,UD6=0),1000,0)),1000000))</f>
        <v/>
      </c>
      <c r="ADL6">
        <f>IF($B6=0,1000000,IF(INDEX('計算A'!$D$60:$II$104,$B6,210)*KX6=1,IF(AND($E6=2,UE6=0),1000000,INDEX('計算A'!HE$110:HE$114,$F6+1)+IF(AND($E6=1,UE6=0),1000,0)),1000000))</f>
        <v/>
      </c>
      <c r="ADM6">
        <f>IF($B6=0,1000000,IF(INDEX('計算A'!$D$60:$II$104,$B6,211)*KY6=1,IF(AND($E6=2,UF6=0),1000000,INDEX('計算A'!HF$110:HF$114,$F6+1)+IF(AND($E6=1,UF6=0),1000,0)),1000000))</f>
        <v/>
      </c>
      <c r="ADN6">
        <f>IF($B6=0,1000000,IF(INDEX('計算A'!$D$60:$II$104,$B6,212)*KZ6=1,IF(AND($E6=2,UG6=0),1000000,INDEX('計算A'!HG$110:HG$114,$F6+1)+IF(AND($E6=1,UG6=0),1000,0)),1000000))</f>
        <v/>
      </c>
      <c r="ADO6">
        <f>IF($B6=0,1000000,IF(INDEX('計算A'!$D$60:$II$104,$B6,213)*LA6=1,IF(AND($E6=2,UH6=0),1000000,INDEX('計算A'!HH$110:HH$114,$F6+1)+IF(AND($E6=1,UH6=0),1000,0)),1000000))</f>
        <v/>
      </c>
      <c r="ADP6">
        <f>IF($B6=0,1000000,IF(INDEX('計算A'!$D$60:$II$104,$B6,214)*LB6=1,IF(AND($E6=2,UI6=0),1000000,INDEX('計算A'!HI$110:HI$114,$F6+1)+IF(AND($E6=1,UI6=0),1000,0)),1000000))</f>
        <v/>
      </c>
      <c r="ADQ6">
        <f>IF($B6=0,1000000,IF(INDEX('計算A'!$D$60:$II$104,$B6,215)*LC6=1,IF(AND($E6=2,UJ6=0),1000000,INDEX('計算A'!HJ$110:HJ$114,$F6+1)+IF(AND($E6=1,UJ6=0),1000,0)),1000000))</f>
        <v/>
      </c>
      <c r="ADR6">
        <f>IF($B6=0,1000000,IF(INDEX('計算A'!$D$60:$II$104,$B6,216)*LD6=1,IF(AND($E6=2,UK6=0),1000000,INDEX('計算A'!HK$110:HK$114,$F6+1)+IF(AND($E6=1,UK6=0),1000,0)),1000000))</f>
        <v/>
      </c>
      <c r="ADS6">
        <f>IF($B6=0,1000000,IF(INDEX('計算A'!$D$60:$II$104,$B6,217)*LE6=1,IF(AND($E6=2,UL6=0),1000000,INDEX('計算A'!HL$110:HL$114,$F6+1)+IF(AND($E6=1,UL6=0),1000,0)),1000000))</f>
        <v/>
      </c>
      <c r="ADT6">
        <f>IF($B6=0,1000000,IF(INDEX('計算A'!$D$60:$II$104,$B6,218)*LF6=1,IF(AND($E6=2,UM6=0),1000000,INDEX('計算A'!HM$110:HM$114,$F6+1)+IF(AND($E6=1,UM6=0),1000,0)),1000000))</f>
        <v/>
      </c>
      <c r="ADU6">
        <f>IF($B6=0,1000000,IF(INDEX('計算A'!$D$60:$II$104,$B6,219)*LG6=1,IF(AND($E6=2,UN6=0),1000000,INDEX('計算A'!HN$110:HN$114,$F6+1)+IF(AND($E6=1,UN6=0),1000,0)),1000000))</f>
        <v/>
      </c>
      <c r="ADV6">
        <f>IF($B6=0,1000000,IF(INDEX('計算A'!$D$60:$II$104,$B6,220)*LH6=1,IF(AND($E6=2,UO6=0),1000000,INDEX('計算A'!HO$110:HO$114,$F6+1)+IF(AND($E6=1,UO6=0),1000,0)),1000000))</f>
        <v/>
      </c>
      <c r="ADW6">
        <f>IF($B6=0,1000000,IF(INDEX('計算A'!$D$60:$II$104,$B6,221)*LI6=1,IF(AND($E6=2,UP6=0),1000000,INDEX('計算A'!HP$110:HP$114,$F6+1)+IF(AND($E6=1,UP6=0),1000,0)),1000000))</f>
        <v/>
      </c>
      <c r="ADX6">
        <f>IF($B6=0,1000000,IF(INDEX('計算A'!$D$60:$II$104,$B6,222)*LJ6=1,IF(AND($E6=2,UQ6=0),1000000,INDEX('計算A'!HQ$110:HQ$114,$F6+1)+IF(AND($E6=1,UQ6=0),1000,0)),1000000))</f>
        <v/>
      </c>
      <c r="ADY6">
        <f>IF($B6=0,1000000,IF(INDEX('計算A'!$D$60:$II$104,$B6,223)*LK6=1,IF(AND($E6=2,UR6=0),1000000,INDEX('計算A'!HR$110:HR$114,$F6+1)+IF(AND($E6=1,UR6=0),1000,0)),1000000))</f>
        <v/>
      </c>
      <c r="ADZ6">
        <f>IF($B6=0,1000000,IF(INDEX('計算A'!$D$60:$II$104,$B6,224)*LL6=1,IF(AND($E6=2,US6=0),1000000,INDEX('計算A'!HS$110:HS$114,$F6+1)+IF(AND($E6=1,US6=0),1000,0)),1000000))</f>
        <v/>
      </c>
      <c r="AEA6">
        <f>IF($B6=0,1000000,IF(INDEX('計算A'!$D$60:$II$104,$B6,225)*LM6=1,IF(AND($E6=2,UT6=0),1000000,INDEX('計算A'!HT$110:HT$114,$F6+1)+IF(AND($E6=1,UT6=0),1000,0)),1000000))</f>
        <v/>
      </c>
      <c r="AEB6">
        <f>IF($B6=0,1000000,IF(INDEX('計算A'!$D$60:$II$104,$B6,226)*LN6=1,IF(AND($E6=2,UU6=0),1000000,INDEX('計算A'!HU$110:HU$114,$F6+1)+IF(AND($E6=1,UU6=0),1000,0)),1000000))</f>
        <v/>
      </c>
      <c r="AEC6">
        <f>IF($B6=0,1000000,IF(INDEX('計算A'!$D$60:$II$104,$B6,227)*LO6=1,IF(AND($E6=2,UV6=0),1000000,INDEX('計算A'!HV$110:HV$114,$F6+1)+IF(AND($E6=1,UV6=0),1000,0)),1000000))</f>
        <v/>
      </c>
      <c r="AED6">
        <f>IF($B6=0,1000000,IF(INDEX('計算A'!$D$60:$II$104,$B6,228)*LP6=1,IF(AND($E6=2,UW6=0),1000000,INDEX('計算A'!HW$110:HW$114,$F6+1)+IF(AND($E6=1,UW6=0),1000,0)),1000000))</f>
        <v/>
      </c>
      <c r="AEE6">
        <f>IF($B6=0,1000000,IF(INDEX('計算A'!$D$60:$II$104,$B6,229)*LQ6=1,IF(AND($E6=2,UX6=0),1000000,INDEX('計算A'!HX$110:HX$114,$F6+1)+IF(AND($E6=1,UX6=0),1000,0)),1000000))</f>
        <v/>
      </c>
      <c r="AEF6">
        <f>IF($B6=0,1000000,IF(INDEX('計算A'!$D$60:$II$104,$B6,230)*LR6=1,IF(AND($E6=2,UY6=0),1000000,INDEX('計算A'!HY$110:HY$114,$F6+1)+IF(AND($E6=1,UY6=0),1000,0)),1000000))</f>
        <v/>
      </c>
      <c r="AEG6">
        <f>IF($B6=0,1000000,IF(INDEX('計算A'!$D$60:$II$104,$B6,231)*LS6=1,IF(AND($E6=2,UZ6=0),1000000,INDEX('計算A'!HZ$110:HZ$114,$F6+1)+IF(AND($E6=1,UZ6=0),1000,0)),1000000))</f>
        <v/>
      </c>
      <c r="AEH6">
        <f>IF($B6=0,1000000,IF(INDEX('計算A'!$D$60:$II$104,$B6,232)*LT6=1,IF(AND($E6=2,VA6=0),1000000,INDEX('計算A'!IA$110:IA$114,$F6+1)+IF(AND($E6=1,VA6=0),1000,0)),1000000))</f>
        <v/>
      </c>
      <c r="AEI6">
        <f>IF($B6=0,1000000,IF(INDEX('計算A'!$D$60:$II$104,$B6,233)*LU6=1,IF(AND($E6=2,VB6=0),1000000,INDEX('計算A'!IB$110:IB$114,$F6+1)+IF(AND($E6=1,VB6=0),1000,0)),1000000))</f>
        <v/>
      </c>
      <c r="AEJ6">
        <f>IF($B6=0,1000000,IF(INDEX('計算A'!$D$60:$II$104,$B6,234)*LV6=1,IF(AND($E6=2,VC6=0),1000000,INDEX('計算A'!IC$110:IC$114,$F6+1)+IF(AND($E6=1,VC6=0),1000,0)),1000000))</f>
        <v/>
      </c>
      <c r="AEK6">
        <f>IF($B6=0,1000000,IF(INDEX('計算A'!$D$60:$II$104,$B6,235)*LW6=1,IF(AND($E6=2,VD6=0),1000000,INDEX('計算A'!ID$110:ID$114,$F6+1)+IF(AND($E6=1,VD6=0),1000,0)),1000000))</f>
        <v/>
      </c>
      <c r="AEL6">
        <f>IF($B6=0,1000000,IF(INDEX('計算A'!$D$60:$II$104,$B6,236)*LX6=1,IF(AND($E6=2,VE6=0),1000000,INDEX('計算A'!IE$110:IE$114,$F6+1)+IF(AND($E6=1,VE6=0),1000,0)),1000000))</f>
        <v/>
      </c>
      <c r="AEM6">
        <f>IF($B6=0,1000000,IF(INDEX('計算A'!$D$60:$II$104,$B6,237)*LY6=1,IF(AND($E6=2,VF6=0),1000000,INDEX('計算A'!IF$110:IF$114,$F6+1)+IF(AND($E6=1,VF6=0),1000,0)),1000000))</f>
        <v/>
      </c>
      <c r="AEN6">
        <f>IF($B6=0,1000000,IF(INDEX('計算A'!$D$60:$II$104,$B6,238)*LZ6=1,IF(AND($E6=2,VG6=0),1000000,INDEX('計算A'!IG$110:IG$114,$F6+1)+IF(AND($E6=1,VG6=0),1000,0)),1000000))</f>
        <v/>
      </c>
      <c r="AEO6">
        <f>IF($B6=0,1000000,IF(INDEX('計算A'!$D$60:$II$104,$B6,239)*MA6=1,IF(AND($E6=2,VH6=0),1000000,INDEX('計算A'!IH$110:IH$114,$F6+1)+IF(AND($E6=1,VH6=0),1000,0)),1000000))</f>
        <v/>
      </c>
      <c r="AEP6">
        <f>IF($B6=0,1000000,IF(INDEX('計算A'!$D$60:$II$104,$B6,240)*MB6=1,IF(AND($E6=2,VI6=0),1000000,INDEX('計算A'!II$110:II$114,$F6+1)+IF(AND($E6=1,VI6=0),1000,0)),1000000))</f>
        <v/>
      </c>
    </row>
    <row r="7">
      <c r="A7" t="n">
        <v>5</v>
      </c>
      <c r="B7">
        <f>IF(MIN(BC7:CU7)&gt;=1000000,0,MATCH(MIN(BC7:CU7),BC7:CU7,0))</f>
        <v/>
      </c>
      <c r="C7">
        <f>IF(MIN(VK7:AEP7)&gt;=1000000,0,MATCH(MIN(VK7:AEP7),VK7:AEP7,0))</f>
        <v/>
      </c>
      <c r="D7">
        <f>IF(C7&gt;0,INDEX('計算A'!$D$5:$II$5,C7),0)</f>
        <v/>
      </c>
      <c r="E7">
        <f>IF(B7=0,0,INDEX('計算A'!$IQ$10:$IQ$54,B7))</f>
        <v/>
      </c>
      <c r="F7">
        <f>IF(B7=0,0,INDEX('計算A'!$IP$10:$IP$54,B7))</f>
        <v/>
      </c>
      <c r="G7">
        <f>IF(AND(C7&gt;0,E7&gt;0),IF(AND(INDEX('計算A'!$D$106:$II$106,C7)=1,INDEX($MD7:$VI7,C7)=1),C7+1,0),0)</f>
        <v/>
      </c>
      <c r="I7">
        <f>MAX(I6,IF($B6=1,1,0))</f>
        <v/>
      </c>
      <c r="J7">
        <f>MAX(J6,IF($B6=2,1,0))</f>
        <v/>
      </c>
      <c r="K7">
        <f>MAX(K6,IF($B6=3,1,0))</f>
        <v/>
      </c>
      <c r="L7">
        <f>MAX(L6,IF($B6=4,1,0))</f>
        <v/>
      </c>
      <c r="M7">
        <f>MAX(M6,IF($B6=5,1,0))</f>
        <v/>
      </c>
      <c r="N7">
        <f>MAX(N6,IF($B6=6,1,0))</f>
        <v/>
      </c>
      <c r="O7">
        <f>MAX(O6,IF($B6=7,1,0))</f>
        <v/>
      </c>
      <c r="P7">
        <f>MAX(P6,IF($B6=8,1,0))</f>
        <v/>
      </c>
      <c r="Q7">
        <f>MAX(Q6,IF($B6=9,1,0))</f>
        <v/>
      </c>
      <c r="R7">
        <f>MAX(R6,IF($B6=10,1,0))</f>
        <v/>
      </c>
      <c r="S7">
        <f>MAX(S6,IF($B6=11,1,0))</f>
        <v/>
      </c>
      <c r="T7">
        <f>MAX(T6,IF($B6=12,1,0))</f>
        <v/>
      </c>
      <c r="U7">
        <f>MAX(U6,IF($B6=13,1,0))</f>
        <v/>
      </c>
      <c r="V7">
        <f>MAX(V6,IF($B6=14,1,0))</f>
        <v/>
      </c>
      <c r="W7">
        <f>MAX(W6,IF($B6=15,1,0))</f>
        <v/>
      </c>
      <c r="X7">
        <f>MAX(X6,IF($B6=16,1,0))</f>
        <v/>
      </c>
      <c r="Y7">
        <f>MAX(Y6,IF($B6=17,1,0))</f>
        <v/>
      </c>
      <c r="Z7">
        <f>MAX(Z6,IF($B6=18,1,0))</f>
        <v/>
      </c>
      <c r="AA7">
        <f>MAX(AA6,IF($B6=19,1,0))</f>
        <v/>
      </c>
      <c r="AB7">
        <f>MAX(AB6,IF($B6=20,1,0))</f>
        <v/>
      </c>
      <c r="AC7">
        <f>MAX(AC6,IF($B6=21,1,0))</f>
        <v/>
      </c>
      <c r="AD7">
        <f>MAX(AD6,IF($B6=22,1,0))</f>
        <v/>
      </c>
      <c r="AE7">
        <f>MAX(AE6,IF($B6=23,1,0))</f>
        <v/>
      </c>
      <c r="AF7">
        <f>MAX(AF6,IF($B6=24,1,0))</f>
        <v/>
      </c>
      <c r="AG7">
        <f>MAX(AG6,IF($B6=25,1,0))</f>
        <v/>
      </c>
      <c r="AH7">
        <f>MAX(AH6,IF($B6=26,1,0))</f>
        <v/>
      </c>
      <c r="AI7">
        <f>MAX(AI6,IF($B6=27,1,0))</f>
        <v/>
      </c>
      <c r="AJ7">
        <f>MAX(AJ6,IF($B6=28,1,0))</f>
        <v/>
      </c>
      <c r="AK7">
        <f>MAX(AK6,IF($B6=29,1,0))</f>
        <v/>
      </c>
      <c r="AL7">
        <f>MAX(AL6,IF($B6=30,1,0))</f>
        <v/>
      </c>
      <c r="AM7">
        <f>MAX(AM6,IF($B6=31,1,0))</f>
        <v/>
      </c>
      <c r="AN7">
        <f>MAX(AN6,IF($B6=32,1,0))</f>
        <v/>
      </c>
      <c r="AO7">
        <f>MAX(AO6,IF($B6=33,1,0))</f>
        <v/>
      </c>
      <c r="AP7">
        <f>MAX(AP6,IF($B6=34,1,0))</f>
        <v/>
      </c>
      <c r="AQ7">
        <f>MAX(AQ6,IF($B6=35,1,0))</f>
        <v/>
      </c>
      <c r="AR7">
        <f>MAX(AR6,IF($B6=36,1,0))</f>
        <v/>
      </c>
      <c r="AS7">
        <f>MAX(AS6,IF($B6=37,1,0))</f>
        <v/>
      </c>
      <c r="AT7">
        <f>MAX(AT6,IF($B6=38,1,0))</f>
        <v/>
      </c>
      <c r="AU7">
        <f>MAX(AU6,IF($B6=39,1,0))</f>
        <v/>
      </c>
      <c r="AV7">
        <f>MAX(AV6,IF($B6=40,1,0))</f>
        <v/>
      </c>
      <c r="AW7">
        <f>MAX(AW6,IF($B6=41,1,0))</f>
        <v/>
      </c>
      <c r="AX7">
        <f>MAX(AX6,IF($B6=42,1,0))</f>
        <v/>
      </c>
      <c r="AY7">
        <f>MAX(AY6,IF($B6=43,1,0))</f>
        <v/>
      </c>
      <c r="AZ7">
        <f>MAX(AZ6,IF($B6=44,1,0))</f>
        <v/>
      </c>
      <c r="BA7">
        <f>MAX(BA6,IF($B6=45,1,0))</f>
        <v/>
      </c>
      <c r="BC7">
        <f>IF(I7=1,1000000,IF('計算A'!$IQ$10=2,SUMPRODUCT('計算A'!$D$60:$II$60,$CW7:$MB7,$MD7:$VI7),SUMPRODUCT('計算A'!$D$60:$II$60,$CW7:$MB7))*1000+1)</f>
        <v/>
      </c>
      <c r="BD7">
        <f>IF(J7=1,1000000,IF('計算A'!$IQ$11=2,SUMPRODUCT('計算A'!$D$61:$II$61,$CW7:$MB7,$MD7:$VI7),SUMPRODUCT('計算A'!$D$61:$II$61,$CW7:$MB7))*1000+2)</f>
        <v/>
      </c>
      <c r="BE7">
        <f>IF(K7=1,1000000,IF('計算A'!$IQ$12=2,SUMPRODUCT('計算A'!$D$62:$II$62,$CW7:$MB7,$MD7:$VI7),SUMPRODUCT('計算A'!$D$62:$II$62,$CW7:$MB7))*1000+3)</f>
        <v/>
      </c>
      <c r="BF7">
        <f>IF(L7=1,1000000,IF('計算A'!$IQ$13=2,SUMPRODUCT('計算A'!$D$63:$II$63,$CW7:$MB7,$MD7:$VI7),SUMPRODUCT('計算A'!$D$63:$II$63,$CW7:$MB7))*1000+4)</f>
        <v/>
      </c>
      <c r="BG7">
        <f>IF(M7=1,1000000,IF('計算A'!$IQ$14=2,SUMPRODUCT('計算A'!$D$64:$II$64,$CW7:$MB7,$MD7:$VI7),SUMPRODUCT('計算A'!$D$64:$II$64,$CW7:$MB7))*1000+5)</f>
        <v/>
      </c>
      <c r="BH7">
        <f>IF(N7=1,1000000,IF('計算A'!$IQ$15=2,SUMPRODUCT('計算A'!$D$65:$II$65,$CW7:$MB7,$MD7:$VI7),SUMPRODUCT('計算A'!$D$65:$II$65,$CW7:$MB7))*1000+6)</f>
        <v/>
      </c>
      <c r="BI7">
        <f>IF(O7=1,1000000,IF('計算A'!$IQ$16=2,SUMPRODUCT('計算A'!$D$66:$II$66,$CW7:$MB7,$MD7:$VI7),SUMPRODUCT('計算A'!$D$66:$II$66,$CW7:$MB7))*1000+7)</f>
        <v/>
      </c>
      <c r="BJ7">
        <f>IF(P7=1,1000000,IF('計算A'!$IQ$17=2,SUMPRODUCT('計算A'!$D$67:$II$67,$CW7:$MB7,$MD7:$VI7),SUMPRODUCT('計算A'!$D$67:$II$67,$CW7:$MB7))*1000+8)</f>
        <v/>
      </c>
      <c r="BK7">
        <f>IF(Q7=1,1000000,IF('計算A'!$IQ$18=2,SUMPRODUCT('計算A'!$D$68:$II$68,$CW7:$MB7,$MD7:$VI7),SUMPRODUCT('計算A'!$D$68:$II$68,$CW7:$MB7))*1000+9)</f>
        <v/>
      </c>
      <c r="BL7">
        <f>IF(R7=1,1000000,IF('計算A'!$IQ$19=2,SUMPRODUCT('計算A'!$D$69:$II$69,$CW7:$MB7,$MD7:$VI7),SUMPRODUCT('計算A'!$D$69:$II$69,$CW7:$MB7))*1000+10)</f>
        <v/>
      </c>
      <c r="BM7">
        <f>IF(S7=1,1000000,IF('計算A'!$IQ$20=2,SUMPRODUCT('計算A'!$D$70:$II$70,$CW7:$MB7,$MD7:$VI7),SUMPRODUCT('計算A'!$D$70:$II$70,$CW7:$MB7))*1000+11)</f>
        <v/>
      </c>
      <c r="BN7">
        <f>IF(T7=1,1000000,IF('計算A'!$IQ$21=2,SUMPRODUCT('計算A'!$D$71:$II$71,$CW7:$MB7,$MD7:$VI7),SUMPRODUCT('計算A'!$D$71:$II$71,$CW7:$MB7))*1000+12)</f>
        <v/>
      </c>
      <c r="BO7">
        <f>IF(U7=1,1000000,IF('計算A'!$IQ$22=2,SUMPRODUCT('計算A'!$D$72:$II$72,$CW7:$MB7,$MD7:$VI7),SUMPRODUCT('計算A'!$D$72:$II$72,$CW7:$MB7))*1000+13)</f>
        <v/>
      </c>
      <c r="BP7">
        <f>IF(V7=1,1000000,IF('計算A'!$IQ$23=2,SUMPRODUCT('計算A'!$D$73:$II$73,$CW7:$MB7,$MD7:$VI7),SUMPRODUCT('計算A'!$D$73:$II$73,$CW7:$MB7))*1000+14)</f>
        <v/>
      </c>
      <c r="BQ7">
        <f>IF(W7=1,1000000,IF('計算A'!$IQ$24=2,SUMPRODUCT('計算A'!$D$74:$II$74,$CW7:$MB7,$MD7:$VI7),SUMPRODUCT('計算A'!$D$74:$II$74,$CW7:$MB7))*1000+15)</f>
        <v/>
      </c>
      <c r="BR7">
        <f>IF(X7=1,1000000,IF('計算A'!$IQ$25=2,SUMPRODUCT('計算A'!$D$75:$II$75,$CW7:$MB7,$MD7:$VI7),SUMPRODUCT('計算A'!$D$75:$II$75,$CW7:$MB7))*1000+16)</f>
        <v/>
      </c>
      <c r="BS7">
        <f>IF(Y7=1,1000000,IF('計算A'!$IQ$26=2,SUMPRODUCT('計算A'!$D$76:$II$76,$CW7:$MB7,$MD7:$VI7),SUMPRODUCT('計算A'!$D$76:$II$76,$CW7:$MB7))*1000+17)</f>
        <v/>
      </c>
      <c r="BT7">
        <f>IF(Z7=1,1000000,IF('計算A'!$IQ$27=2,SUMPRODUCT('計算A'!$D$77:$II$77,$CW7:$MB7,$MD7:$VI7),SUMPRODUCT('計算A'!$D$77:$II$77,$CW7:$MB7))*1000+18)</f>
        <v/>
      </c>
      <c r="BU7">
        <f>IF(AA7=1,1000000,IF('計算A'!$IQ$28=2,SUMPRODUCT('計算A'!$D$78:$II$78,$CW7:$MB7,$MD7:$VI7),SUMPRODUCT('計算A'!$D$78:$II$78,$CW7:$MB7))*1000+19)</f>
        <v/>
      </c>
      <c r="BV7">
        <f>IF(AB7=1,1000000,IF('計算A'!$IQ$29=2,SUMPRODUCT('計算A'!$D$79:$II$79,$CW7:$MB7,$MD7:$VI7),SUMPRODUCT('計算A'!$D$79:$II$79,$CW7:$MB7))*1000+20)</f>
        <v/>
      </c>
      <c r="BW7">
        <f>IF(AC7=1,1000000,IF('計算A'!$IQ$30=2,SUMPRODUCT('計算A'!$D$80:$II$80,$CW7:$MB7,$MD7:$VI7),SUMPRODUCT('計算A'!$D$80:$II$80,$CW7:$MB7))*1000+21)</f>
        <v/>
      </c>
      <c r="BX7">
        <f>IF(AD7=1,1000000,IF('計算A'!$IQ$31=2,SUMPRODUCT('計算A'!$D$81:$II$81,$CW7:$MB7,$MD7:$VI7),SUMPRODUCT('計算A'!$D$81:$II$81,$CW7:$MB7))*1000+22)</f>
        <v/>
      </c>
      <c r="BY7">
        <f>IF(AE7=1,1000000,IF('計算A'!$IQ$32=2,SUMPRODUCT('計算A'!$D$82:$II$82,$CW7:$MB7,$MD7:$VI7),SUMPRODUCT('計算A'!$D$82:$II$82,$CW7:$MB7))*1000+23)</f>
        <v/>
      </c>
      <c r="BZ7">
        <f>IF(AF7=1,1000000,IF('計算A'!$IQ$33=2,SUMPRODUCT('計算A'!$D$83:$II$83,$CW7:$MB7,$MD7:$VI7),SUMPRODUCT('計算A'!$D$83:$II$83,$CW7:$MB7))*1000+24)</f>
        <v/>
      </c>
      <c r="CA7">
        <f>IF(AG7=1,1000000,IF('計算A'!$IQ$34=2,SUMPRODUCT('計算A'!$D$84:$II$84,$CW7:$MB7,$MD7:$VI7),SUMPRODUCT('計算A'!$D$84:$II$84,$CW7:$MB7))*1000+25)</f>
        <v/>
      </c>
      <c r="CB7">
        <f>IF(AH7=1,1000000,IF('計算A'!$IQ$35=2,SUMPRODUCT('計算A'!$D$85:$II$85,$CW7:$MB7,$MD7:$VI7),SUMPRODUCT('計算A'!$D$85:$II$85,$CW7:$MB7))*1000+26)</f>
        <v/>
      </c>
      <c r="CC7">
        <f>IF(AI7=1,1000000,IF('計算A'!$IQ$36=2,SUMPRODUCT('計算A'!$D$86:$II$86,$CW7:$MB7,$MD7:$VI7),SUMPRODUCT('計算A'!$D$86:$II$86,$CW7:$MB7))*1000+27)</f>
        <v/>
      </c>
      <c r="CD7">
        <f>IF(AJ7=1,1000000,IF('計算A'!$IQ$37=2,SUMPRODUCT('計算A'!$D$87:$II$87,$CW7:$MB7,$MD7:$VI7),SUMPRODUCT('計算A'!$D$87:$II$87,$CW7:$MB7))*1000+28)</f>
        <v/>
      </c>
      <c r="CE7">
        <f>IF(AK7=1,1000000,IF('計算A'!$IQ$38=2,SUMPRODUCT('計算A'!$D$88:$II$88,$CW7:$MB7,$MD7:$VI7),SUMPRODUCT('計算A'!$D$88:$II$88,$CW7:$MB7))*1000+29)</f>
        <v/>
      </c>
      <c r="CF7">
        <f>IF(AL7=1,1000000,IF('計算A'!$IQ$39=2,SUMPRODUCT('計算A'!$D$89:$II$89,$CW7:$MB7,$MD7:$VI7),SUMPRODUCT('計算A'!$D$89:$II$89,$CW7:$MB7))*1000+30)</f>
        <v/>
      </c>
      <c r="CG7">
        <f>IF(AM7=1,1000000,IF('計算A'!$IQ$40=2,SUMPRODUCT('計算A'!$D$90:$II$90,$CW7:$MB7,$MD7:$VI7),SUMPRODUCT('計算A'!$D$90:$II$90,$CW7:$MB7))*1000+31)</f>
        <v/>
      </c>
      <c r="CH7">
        <f>IF(AN7=1,1000000,IF('計算A'!$IQ$41=2,SUMPRODUCT('計算A'!$D$91:$II$91,$CW7:$MB7,$MD7:$VI7),SUMPRODUCT('計算A'!$D$91:$II$91,$CW7:$MB7))*1000+32)</f>
        <v/>
      </c>
      <c r="CI7">
        <f>IF(AO7=1,1000000,IF('計算A'!$IQ$42=2,SUMPRODUCT('計算A'!$D$92:$II$92,$CW7:$MB7,$MD7:$VI7),SUMPRODUCT('計算A'!$D$92:$II$92,$CW7:$MB7))*1000+33)</f>
        <v/>
      </c>
      <c r="CJ7">
        <f>IF(AP7=1,1000000,IF('計算A'!$IQ$43=2,SUMPRODUCT('計算A'!$D$93:$II$93,$CW7:$MB7,$MD7:$VI7),SUMPRODUCT('計算A'!$D$93:$II$93,$CW7:$MB7))*1000+34)</f>
        <v/>
      </c>
      <c r="CK7">
        <f>IF(AQ7=1,1000000,IF('計算A'!$IQ$44=2,SUMPRODUCT('計算A'!$D$94:$II$94,$CW7:$MB7,$MD7:$VI7),SUMPRODUCT('計算A'!$D$94:$II$94,$CW7:$MB7))*1000+35)</f>
        <v/>
      </c>
      <c r="CL7">
        <f>IF(AR7=1,1000000,IF('計算A'!$IQ$45=2,SUMPRODUCT('計算A'!$D$95:$II$95,$CW7:$MB7,$MD7:$VI7),SUMPRODUCT('計算A'!$D$95:$II$95,$CW7:$MB7))*1000+36)</f>
        <v/>
      </c>
      <c r="CM7">
        <f>IF(AS7=1,1000000,IF('計算A'!$IQ$46=2,SUMPRODUCT('計算A'!$D$96:$II$96,$CW7:$MB7,$MD7:$VI7),SUMPRODUCT('計算A'!$D$96:$II$96,$CW7:$MB7))*1000+37)</f>
        <v/>
      </c>
      <c r="CN7">
        <f>IF(AT7=1,1000000,IF('計算A'!$IQ$47=2,SUMPRODUCT('計算A'!$D$97:$II$97,$CW7:$MB7,$MD7:$VI7),SUMPRODUCT('計算A'!$D$97:$II$97,$CW7:$MB7))*1000+38)</f>
        <v/>
      </c>
      <c r="CO7">
        <f>IF(AU7=1,1000000,IF('計算A'!$IQ$48=2,SUMPRODUCT('計算A'!$D$98:$II$98,$CW7:$MB7,$MD7:$VI7),SUMPRODUCT('計算A'!$D$98:$II$98,$CW7:$MB7))*1000+39)</f>
        <v/>
      </c>
      <c r="CP7">
        <f>IF(AV7=1,1000000,IF('計算A'!$IQ$49=2,SUMPRODUCT('計算A'!$D$99:$II$99,$CW7:$MB7,$MD7:$VI7),SUMPRODUCT('計算A'!$D$99:$II$99,$CW7:$MB7))*1000+40)</f>
        <v/>
      </c>
      <c r="CQ7">
        <f>IF(AW7=1,1000000,IF('計算A'!$IQ$50=2,SUMPRODUCT('計算A'!$D$100:$II$100,$CW7:$MB7,$MD7:$VI7),SUMPRODUCT('計算A'!$D$100:$II$100,$CW7:$MB7))*1000+41)</f>
        <v/>
      </c>
      <c r="CR7">
        <f>IF(AX7=1,1000000,IF('計算A'!$IQ$51=2,SUMPRODUCT('計算A'!$D$101:$II$101,$CW7:$MB7,$MD7:$VI7),SUMPRODUCT('計算A'!$D$101:$II$101,$CW7:$MB7))*1000+42)</f>
        <v/>
      </c>
      <c r="CS7">
        <f>IF(AY7=1,1000000,IF('計算A'!$IQ$52=2,SUMPRODUCT('計算A'!$D$102:$II$102,$CW7:$MB7,$MD7:$VI7),SUMPRODUCT('計算A'!$D$102:$II$102,$CW7:$MB7))*1000+43)</f>
        <v/>
      </c>
      <c r="CT7">
        <f>IF(AZ7=1,1000000,IF('計算A'!$IQ$53=2,SUMPRODUCT('計算A'!$D$103:$II$103,$CW7:$MB7,$MD7:$VI7),SUMPRODUCT('計算A'!$D$103:$II$103,$CW7:$MB7))*1000+44)</f>
        <v/>
      </c>
      <c r="CU7">
        <f>IF(BA7=1,1000000,IF('計算A'!$IQ$54=2,SUMPRODUCT('計算A'!$D$104:$II$104,$CW7:$MB7,$MD7:$VI7),SUMPRODUCT('計算A'!$D$104:$II$104,$CW7:$MB7))*1000+45)</f>
        <v/>
      </c>
      <c r="CW7">
        <f>CW6*IF(OR($C6=1,$G6=1),0,1)</f>
        <v/>
      </c>
      <c r="CX7">
        <f>CX6*IF(OR($C6=2,$G6=2),0,1)</f>
        <v/>
      </c>
      <c r="CY7">
        <f>CY6*IF(OR($C6=3,$G6=3),0,1)</f>
        <v/>
      </c>
      <c r="CZ7">
        <f>CZ6*IF(OR($C6=4,$G6=4),0,1)</f>
        <v/>
      </c>
      <c r="DA7">
        <f>DA6*IF(OR($C6=5,$G6=5),0,1)</f>
        <v/>
      </c>
      <c r="DB7">
        <f>DB6*IF(OR($C6=6,$G6=6),0,1)</f>
        <v/>
      </c>
      <c r="DC7">
        <f>DC6*IF(OR($C6=7,$G6=7),0,1)</f>
        <v/>
      </c>
      <c r="DD7">
        <f>DD6*IF(OR($C6=8,$G6=8),0,1)</f>
        <v/>
      </c>
      <c r="DE7">
        <f>DE6*IF(OR($C6=9,$G6=9),0,1)</f>
        <v/>
      </c>
      <c r="DF7">
        <f>DF6*IF(OR($C6=10,$G6=10),0,1)</f>
        <v/>
      </c>
      <c r="DG7">
        <f>DG6*IF(OR($C6=11,$G6=11),0,1)</f>
        <v/>
      </c>
      <c r="DH7">
        <f>DH6*IF(OR($C6=12,$G6=12),0,1)</f>
        <v/>
      </c>
      <c r="DI7">
        <f>DI6*IF(OR($C6=13,$G6=13),0,1)</f>
        <v/>
      </c>
      <c r="DJ7">
        <f>DJ6*IF(OR($C6=14,$G6=14),0,1)</f>
        <v/>
      </c>
      <c r="DK7">
        <f>DK6*IF(OR($C6=15,$G6=15),0,1)</f>
        <v/>
      </c>
      <c r="DL7">
        <f>DL6*IF(OR($C6=16,$G6=16),0,1)</f>
        <v/>
      </c>
      <c r="DM7">
        <f>DM6*IF(OR($C6=17,$G6=17),0,1)</f>
        <v/>
      </c>
      <c r="DN7">
        <f>DN6*IF(OR($C6=18,$G6=18),0,1)</f>
        <v/>
      </c>
      <c r="DO7">
        <f>DO6*IF(OR($C6=19,$G6=19),0,1)</f>
        <v/>
      </c>
      <c r="DP7">
        <f>DP6*IF(OR($C6=20,$G6=20),0,1)</f>
        <v/>
      </c>
      <c r="DQ7">
        <f>DQ6*IF(OR($C6=21,$G6=21),0,1)</f>
        <v/>
      </c>
      <c r="DR7">
        <f>DR6*IF(OR($C6=22,$G6=22),0,1)</f>
        <v/>
      </c>
      <c r="DS7">
        <f>DS6*IF(OR($C6=23,$G6=23),0,1)</f>
        <v/>
      </c>
      <c r="DT7">
        <f>DT6*IF(OR($C6=24,$G6=24),0,1)</f>
        <v/>
      </c>
      <c r="DU7">
        <f>DU6*IF(OR($C6=25,$G6=25),0,1)</f>
        <v/>
      </c>
      <c r="DV7">
        <f>DV6*IF(OR($C6=26,$G6=26),0,1)</f>
        <v/>
      </c>
      <c r="DW7">
        <f>DW6*IF(OR($C6=27,$G6=27),0,1)</f>
        <v/>
      </c>
      <c r="DX7">
        <f>DX6*IF(OR($C6=28,$G6=28),0,1)</f>
        <v/>
      </c>
      <c r="DY7">
        <f>DY6*IF(OR($C6=29,$G6=29),0,1)</f>
        <v/>
      </c>
      <c r="DZ7">
        <f>DZ6*IF(OR($C6=30,$G6=30),0,1)</f>
        <v/>
      </c>
      <c r="EA7">
        <f>EA6*IF(OR($C6=31,$G6=31),0,1)</f>
        <v/>
      </c>
      <c r="EB7">
        <f>EB6*IF(OR($C6=32,$G6=32),0,1)</f>
        <v/>
      </c>
      <c r="EC7">
        <f>EC6*IF(OR($C6=33,$G6=33),0,1)</f>
        <v/>
      </c>
      <c r="ED7">
        <f>ED6*IF(OR($C6=34,$G6=34),0,1)</f>
        <v/>
      </c>
      <c r="EE7">
        <f>EE6*IF(OR($C6=35,$G6=35),0,1)</f>
        <v/>
      </c>
      <c r="EF7">
        <f>EF6*IF(OR($C6=36,$G6=36),0,1)</f>
        <v/>
      </c>
      <c r="EG7">
        <f>EG6*IF(OR($C6=37,$G6=37),0,1)</f>
        <v/>
      </c>
      <c r="EH7">
        <f>EH6*IF(OR($C6=38,$G6=38),0,1)</f>
        <v/>
      </c>
      <c r="EI7">
        <f>EI6*IF(OR($C6=39,$G6=39),0,1)</f>
        <v/>
      </c>
      <c r="EJ7">
        <f>EJ6*IF(OR($C6=40,$G6=40),0,1)</f>
        <v/>
      </c>
      <c r="EK7">
        <f>EK6*IF(OR($C6=41,$G6=41),0,1)</f>
        <v/>
      </c>
      <c r="EL7">
        <f>EL6*IF(OR($C6=42,$G6=42),0,1)</f>
        <v/>
      </c>
      <c r="EM7">
        <f>EM6*IF(OR($C6=43,$G6=43),0,1)</f>
        <v/>
      </c>
      <c r="EN7">
        <f>EN6*IF(OR($C6=44,$G6=44),0,1)</f>
        <v/>
      </c>
      <c r="EO7">
        <f>EO6*IF(OR($C6=45,$G6=45),0,1)</f>
        <v/>
      </c>
      <c r="EP7">
        <f>EP6*IF(OR($C6=46,$G6=46),0,1)</f>
        <v/>
      </c>
      <c r="EQ7">
        <f>EQ6*IF(OR($C6=47,$G6=47),0,1)</f>
        <v/>
      </c>
      <c r="ER7">
        <f>ER6*IF(OR($C6=48,$G6=48),0,1)</f>
        <v/>
      </c>
      <c r="ES7">
        <f>ES6*IF(OR($C6=49,$G6=49),0,1)</f>
        <v/>
      </c>
      <c r="ET7">
        <f>ET6*IF(OR($C6=50,$G6=50),0,1)</f>
        <v/>
      </c>
      <c r="EU7">
        <f>EU6*IF(OR($C6=51,$G6=51),0,1)</f>
        <v/>
      </c>
      <c r="EV7">
        <f>EV6*IF(OR($C6=52,$G6=52),0,1)</f>
        <v/>
      </c>
      <c r="EW7">
        <f>EW6*IF(OR($C6=53,$G6=53),0,1)</f>
        <v/>
      </c>
      <c r="EX7">
        <f>EX6*IF(OR($C6=54,$G6=54),0,1)</f>
        <v/>
      </c>
      <c r="EY7">
        <f>EY6*IF(OR($C6=55,$G6=55),0,1)</f>
        <v/>
      </c>
      <c r="EZ7">
        <f>EZ6*IF(OR($C6=56,$G6=56),0,1)</f>
        <v/>
      </c>
      <c r="FA7">
        <f>FA6*IF(OR($C6=57,$G6=57),0,1)</f>
        <v/>
      </c>
      <c r="FB7">
        <f>FB6*IF(OR($C6=58,$G6=58),0,1)</f>
        <v/>
      </c>
      <c r="FC7">
        <f>FC6*IF(OR($C6=59,$G6=59),0,1)</f>
        <v/>
      </c>
      <c r="FD7">
        <f>FD6*IF(OR($C6=60,$G6=60),0,1)</f>
        <v/>
      </c>
      <c r="FE7">
        <f>FE6*IF(OR($C6=61,$G6=61),0,1)</f>
        <v/>
      </c>
      <c r="FF7">
        <f>FF6*IF(OR($C6=62,$G6=62),0,1)</f>
        <v/>
      </c>
      <c r="FG7">
        <f>FG6*IF(OR($C6=63,$G6=63),0,1)</f>
        <v/>
      </c>
      <c r="FH7">
        <f>FH6*IF(OR($C6=64,$G6=64),0,1)</f>
        <v/>
      </c>
      <c r="FI7">
        <f>FI6*IF(OR($C6=65,$G6=65),0,1)</f>
        <v/>
      </c>
      <c r="FJ7">
        <f>FJ6*IF(OR($C6=66,$G6=66),0,1)</f>
        <v/>
      </c>
      <c r="FK7">
        <f>FK6*IF(OR($C6=67,$G6=67),0,1)</f>
        <v/>
      </c>
      <c r="FL7">
        <f>FL6*IF(OR($C6=68,$G6=68),0,1)</f>
        <v/>
      </c>
      <c r="FM7">
        <f>FM6*IF(OR($C6=69,$G6=69),0,1)</f>
        <v/>
      </c>
      <c r="FN7">
        <f>FN6*IF(OR($C6=70,$G6=70),0,1)</f>
        <v/>
      </c>
      <c r="FO7">
        <f>FO6*IF(OR($C6=71,$G6=71),0,1)</f>
        <v/>
      </c>
      <c r="FP7">
        <f>FP6*IF(OR($C6=72,$G6=72),0,1)</f>
        <v/>
      </c>
      <c r="FQ7">
        <f>FQ6*IF(OR($C6=73,$G6=73),0,1)</f>
        <v/>
      </c>
      <c r="FR7">
        <f>FR6*IF(OR($C6=74,$G6=74),0,1)</f>
        <v/>
      </c>
      <c r="FS7">
        <f>FS6*IF(OR($C6=75,$G6=75),0,1)</f>
        <v/>
      </c>
      <c r="FT7">
        <f>FT6*IF(OR($C6=76,$G6=76),0,1)</f>
        <v/>
      </c>
      <c r="FU7">
        <f>FU6*IF(OR($C6=77,$G6=77),0,1)</f>
        <v/>
      </c>
      <c r="FV7">
        <f>FV6*IF(OR($C6=78,$G6=78),0,1)</f>
        <v/>
      </c>
      <c r="FW7">
        <f>FW6*IF(OR($C6=79,$G6=79),0,1)</f>
        <v/>
      </c>
      <c r="FX7">
        <f>FX6*IF(OR($C6=80,$G6=80),0,1)</f>
        <v/>
      </c>
      <c r="FY7">
        <f>FY6*IF(OR($C6=81,$G6=81),0,1)</f>
        <v/>
      </c>
      <c r="FZ7">
        <f>FZ6*IF(OR($C6=82,$G6=82),0,1)</f>
        <v/>
      </c>
      <c r="GA7">
        <f>GA6*IF(OR($C6=83,$G6=83),0,1)</f>
        <v/>
      </c>
      <c r="GB7">
        <f>GB6*IF(OR($C6=84,$G6=84),0,1)</f>
        <v/>
      </c>
      <c r="GC7">
        <f>GC6*IF(OR($C6=85,$G6=85),0,1)</f>
        <v/>
      </c>
      <c r="GD7">
        <f>GD6*IF(OR($C6=86,$G6=86),0,1)</f>
        <v/>
      </c>
      <c r="GE7">
        <f>GE6*IF(OR($C6=87,$G6=87),0,1)</f>
        <v/>
      </c>
      <c r="GF7">
        <f>GF6*IF(OR($C6=88,$G6=88),0,1)</f>
        <v/>
      </c>
      <c r="GG7">
        <f>GG6*IF(OR($C6=89,$G6=89),0,1)</f>
        <v/>
      </c>
      <c r="GH7">
        <f>GH6*IF(OR($C6=90,$G6=90),0,1)</f>
        <v/>
      </c>
      <c r="GI7">
        <f>GI6*IF(OR($C6=91,$G6=91),0,1)</f>
        <v/>
      </c>
      <c r="GJ7">
        <f>GJ6*IF(OR($C6=92,$G6=92),0,1)</f>
        <v/>
      </c>
      <c r="GK7">
        <f>GK6*IF(OR($C6=93,$G6=93),0,1)</f>
        <v/>
      </c>
      <c r="GL7">
        <f>GL6*IF(OR($C6=94,$G6=94),0,1)</f>
        <v/>
      </c>
      <c r="GM7">
        <f>GM6*IF(OR($C6=95,$G6=95),0,1)</f>
        <v/>
      </c>
      <c r="GN7">
        <f>GN6*IF(OR($C6=96,$G6=96),0,1)</f>
        <v/>
      </c>
      <c r="GO7">
        <f>GO6*IF(OR($C6=97,$G6=97),0,1)</f>
        <v/>
      </c>
      <c r="GP7">
        <f>GP6*IF(OR($C6=98,$G6=98),0,1)</f>
        <v/>
      </c>
      <c r="GQ7">
        <f>GQ6*IF(OR($C6=99,$G6=99),0,1)</f>
        <v/>
      </c>
      <c r="GR7">
        <f>GR6*IF(OR($C6=100,$G6=100),0,1)</f>
        <v/>
      </c>
      <c r="GS7">
        <f>GS6*IF(OR($C6=101,$G6=101),0,1)</f>
        <v/>
      </c>
      <c r="GT7">
        <f>GT6*IF(OR($C6=102,$G6=102),0,1)</f>
        <v/>
      </c>
      <c r="GU7">
        <f>GU6*IF(OR($C6=103,$G6=103),0,1)</f>
        <v/>
      </c>
      <c r="GV7">
        <f>GV6*IF(OR($C6=104,$G6=104),0,1)</f>
        <v/>
      </c>
      <c r="GW7">
        <f>GW6*IF(OR($C6=105,$G6=105),0,1)</f>
        <v/>
      </c>
      <c r="GX7">
        <f>GX6*IF(OR($C6=106,$G6=106),0,1)</f>
        <v/>
      </c>
      <c r="GY7">
        <f>GY6*IF(OR($C6=107,$G6=107),0,1)</f>
        <v/>
      </c>
      <c r="GZ7">
        <f>GZ6*IF(OR($C6=108,$G6=108),0,1)</f>
        <v/>
      </c>
      <c r="HA7">
        <f>HA6*IF(OR($C6=109,$G6=109),0,1)</f>
        <v/>
      </c>
      <c r="HB7">
        <f>HB6*IF(OR($C6=110,$G6=110),0,1)</f>
        <v/>
      </c>
      <c r="HC7">
        <f>HC6*IF(OR($C6=111,$G6=111),0,1)</f>
        <v/>
      </c>
      <c r="HD7">
        <f>HD6*IF(OR($C6=112,$G6=112),0,1)</f>
        <v/>
      </c>
      <c r="HE7">
        <f>HE6*IF(OR($C6=113,$G6=113),0,1)</f>
        <v/>
      </c>
      <c r="HF7">
        <f>HF6*IF(OR($C6=114,$G6=114),0,1)</f>
        <v/>
      </c>
      <c r="HG7">
        <f>HG6*IF(OR($C6=115,$G6=115),0,1)</f>
        <v/>
      </c>
      <c r="HH7">
        <f>HH6*IF(OR($C6=116,$G6=116),0,1)</f>
        <v/>
      </c>
      <c r="HI7">
        <f>HI6*IF(OR($C6=117,$G6=117),0,1)</f>
        <v/>
      </c>
      <c r="HJ7">
        <f>HJ6*IF(OR($C6=118,$G6=118),0,1)</f>
        <v/>
      </c>
      <c r="HK7">
        <f>HK6*IF(OR($C6=119,$G6=119),0,1)</f>
        <v/>
      </c>
      <c r="HL7">
        <f>HL6*IF(OR($C6=120,$G6=120),0,1)</f>
        <v/>
      </c>
      <c r="HM7">
        <f>HM6*IF(OR($C6=121,$G6=121),0,1)</f>
        <v/>
      </c>
      <c r="HN7">
        <f>HN6*IF(OR($C6=122,$G6=122),0,1)</f>
        <v/>
      </c>
      <c r="HO7">
        <f>HO6*IF(OR($C6=123,$G6=123),0,1)</f>
        <v/>
      </c>
      <c r="HP7">
        <f>HP6*IF(OR($C6=124,$G6=124),0,1)</f>
        <v/>
      </c>
      <c r="HQ7">
        <f>HQ6*IF(OR($C6=125,$G6=125),0,1)</f>
        <v/>
      </c>
      <c r="HR7">
        <f>HR6*IF(OR($C6=126,$G6=126),0,1)</f>
        <v/>
      </c>
      <c r="HS7">
        <f>HS6*IF(OR($C6=127,$G6=127),0,1)</f>
        <v/>
      </c>
      <c r="HT7">
        <f>HT6*IF(OR($C6=128,$G6=128),0,1)</f>
        <v/>
      </c>
      <c r="HU7">
        <f>HU6*IF(OR($C6=129,$G6=129),0,1)</f>
        <v/>
      </c>
      <c r="HV7">
        <f>HV6*IF(OR($C6=130,$G6=130),0,1)</f>
        <v/>
      </c>
      <c r="HW7">
        <f>HW6*IF(OR($C6=131,$G6=131),0,1)</f>
        <v/>
      </c>
      <c r="HX7">
        <f>HX6*IF(OR($C6=132,$G6=132),0,1)</f>
        <v/>
      </c>
      <c r="HY7">
        <f>HY6*IF(OR($C6=133,$G6=133),0,1)</f>
        <v/>
      </c>
      <c r="HZ7">
        <f>HZ6*IF(OR($C6=134,$G6=134),0,1)</f>
        <v/>
      </c>
      <c r="IA7">
        <f>IA6*IF(OR($C6=135,$G6=135),0,1)</f>
        <v/>
      </c>
      <c r="IB7">
        <f>IB6*IF(OR($C6=136,$G6=136),0,1)</f>
        <v/>
      </c>
      <c r="IC7">
        <f>IC6*IF(OR($C6=137,$G6=137),0,1)</f>
        <v/>
      </c>
      <c r="ID7">
        <f>ID6*IF(OR($C6=138,$G6=138),0,1)</f>
        <v/>
      </c>
      <c r="IE7">
        <f>IE6*IF(OR($C6=139,$G6=139),0,1)</f>
        <v/>
      </c>
      <c r="IF7">
        <f>IF6*IF(OR($C6=140,$G6=140),0,1)</f>
        <v/>
      </c>
      <c r="IG7">
        <f>IG6*IF(OR($C6=141,$G6=141),0,1)</f>
        <v/>
      </c>
      <c r="IH7">
        <f>IH6*IF(OR($C6=142,$G6=142),0,1)</f>
        <v/>
      </c>
      <c r="II7">
        <f>II6*IF(OR($C6=143,$G6=143),0,1)</f>
        <v/>
      </c>
      <c r="IJ7">
        <f>IJ6*IF(OR($C6=144,$G6=144),0,1)</f>
        <v/>
      </c>
      <c r="IK7">
        <f>IK6*IF(OR($C6=145,$G6=145),0,1)</f>
        <v/>
      </c>
      <c r="IL7">
        <f>IL6*IF(OR($C6=146,$G6=146),0,1)</f>
        <v/>
      </c>
      <c r="IM7">
        <f>IM6*IF(OR($C6=147,$G6=147),0,1)</f>
        <v/>
      </c>
      <c r="IN7">
        <f>IN6*IF(OR($C6=148,$G6=148),0,1)</f>
        <v/>
      </c>
      <c r="IO7">
        <f>IO6*IF(OR($C6=149,$G6=149),0,1)</f>
        <v/>
      </c>
      <c r="IP7">
        <f>IP6*IF(OR($C6=150,$G6=150),0,1)</f>
        <v/>
      </c>
      <c r="IQ7">
        <f>IQ6*IF(OR($C6=151,$G6=151),0,1)</f>
        <v/>
      </c>
      <c r="IR7">
        <f>IR6*IF(OR($C6=152,$G6=152),0,1)</f>
        <v/>
      </c>
      <c r="IS7">
        <f>IS6*IF(OR($C6=153,$G6=153),0,1)</f>
        <v/>
      </c>
      <c r="IT7">
        <f>IT6*IF(OR($C6=154,$G6=154),0,1)</f>
        <v/>
      </c>
      <c r="IU7">
        <f>IU6*IF(OR($C6=155,$G6=155),0,1)</f>
        <v/>
      </c>
      <c r="IV7">
        <f>IV6*IF(OR($C6=156,$G6=156),0,1)</f>
        <v/>
      </c>
      <c r="IW7">
        <f>IW6*IF(OR($C6=157,$G6=157),0,1)</f>
        <v/>
      </c>
      <c r="IX7">
        <f>IX6*IF(OR($C6=158,$G6=158),0,1)</f>
        <v/>
      </c>
      <c r="IY7">
        <f>IY6*IF(OR($C6=159,$G6=159),0,1)</f>
        <v/>
      </c>
      <c r="IZ7">
        <f>IZ6*IF(OR($C6=160,$G6=160),0,1)</f>
        <v/>
      </c>
      <c r="JA7">
        <f>JA6*IF(OR($C6=161,$G6=161),0,1)</f>
        <v/>
      </c>
      <c r="JB7">
        <f>JB6*IF(OR($C6=162,$G6=162),0,1)</f>
        <v/>
      </c>
      <c r="JC7">
        <f>JC6*IF(OR($C6=163,$G6=163),0,1)</f>
        <v/>
      </c>
      <c r="JD7">
        <f>JD6*IF(OR($C6=164,$G6=164),0,1)</f>
        <v/>
      </c>
      <c r="JE7">
        <f>JE6*IF(OR($C6=165,$G6=165),0,1)</f>
        <v/>
      </c>
      <c r="JF7">
        <f>JF6*IF(OR($C6=166,$G6=166),0,1)</f>
        <v/>
      </c>
      <c r="JG7">
        <f>JG6*IF(OR($C6=167,$G6=167),0,1)</f>
        <v/>
      </c>
      <c r="JH7">
        <f>JH6*IF(OR($C6=168,$G6=168),0,1)</f>
        <v/>
      </c>
      <c r="JI7">
        <f>JI6*IF(OR($C6=169,$G6=169),0,1)</f>
        <v/>
      </c>
      <c r="JJ7">
        <f>JJ6*IF(OR($C6=170,$G6=170),0,1)</f>
        <v/>
      </c>
      <c r="JK7">
        <f>JK6*IF(OR($C6=171,$G6=171),0,1)</f>
        <v/>
      </c>
      <c r="JL7">
        <f>JL6*IF(OR($C6=172,$G6=172),0,1)</f>
        <v/>
      </c>
      <c r="JM7">
        <f>JM6*IF(OR($C6=173,$G6=173),0,1)</f>
        <v/>
      </c>
      <c r="JN7">
        <f>JN6*IF(OR($C6=174,$G6=174),0,1)</f>
        <v/>
      </c>
      <c r="JO7">
        <f>JO6*IF(OR($C6=175,$G6=175),0,1)</f>
        <v/>
      </c>
      <c r="JP7">
        <f>JP6*IF(OR($C6=176,$G6=176),0,1)</f>
        <v/>
      </c>
      <c r="JQ7">
        <f>JQ6*IF(OR($C6=177,$G6=177),0,1)</f>
        <v/>
      </c>
      <c r="JR7">
        <f>JR6*IF(OR($C6=178,$G6=178),0,1)</f>
        <v/>
      </c>
      <c r="JS7">
        <f>JS6*IF(OR($C6=179,$G6=179),0,1)</f>
        <v/>
      </c>
      <c r="JT7">
        <f>JT6*IF(OR($C6=180,$G6=180),0,1)</f>
        <v/>
      </c>
      <c r="JU7">
        <f>JU6*IF(OR($C6=181,$G6=181),0,1)</f>
        <v/>
      </c>
      <c r="JV7">
        <f>JV6*IF(OR($C6=182,$G6=182),0,1)</f>
        <v/>
      </c>
      <c r="JW7">
        <f>JW6*IF(OR($C6=183,$G6=183),0,1)</f>
        <v/>
      </c>
      <c r="JX7">
        <f>JX6*IF(OR($C6=184,$G6=184),0,1)</f>
        <v/>
      </c>
      <c r="JY7">
        <f>JY6*IF(OR($C6=185,$G6=185),0,1)</f>
        <v/>
      </c>
      <c r="JZ7">
        <f>JZ6*IF(OR($C6=186,$G6=186),0,1)</f>
        <v/>
      </c>
      <c r="KA7">
        <f>KA6*IF(OR($C6=187,$G6=187),0,1)</f>
        <v/>
      </c>
      <c r="KB7">
        <f>KB6*IF(OR($C6=188,$G6=188),0,1)</f>
        <v/>
      </c>
      <c r="KC7">
        <f>KC6*IF(OR($C6=189,$G6=189),0,1)</f>
        <v/>
      </c>
      <c r="KD7">
        <f>KD6*IF(OR($C6=190,$G6=190),0,1)</f>
        <v/>
      </c>
      <c r="KE7">
        <f>KE6*IF(OR($C6=191,$G6=191),0,1)</f>
        <v/>
      </c>
      <c r="KF7">
        <f>KF6*IF(OR($C6=192,$G6=192),0,1)</f>
        <v/>
      </c>
      <c r="KG7">
        <f>KG6*IF(OR($C6=193,$G6=193),0,1)</f>
        <v/>
      </c>
      <c r="KH7">
        <f>KH6*IF(OR($C6=194,$G6=194),0,1)</f>
        <v/>
      </c>
      <c r="KI7">
        <f>KI6*IF(OR($C6=195,$G6=195),0,1)</f>
        <v/>
      </c>
      <c r="KJ7">
        <f>KJ6*IF(OR($C6=196,$G6=196),0,1)</f>
        <v/>
      </c>
      <c r="KK7">
        <f>KK6*IF(OR($C6=197,$G6=197),0,1)</f>
        <v/>
      </c>
      <c r="KL7">
        <f>KL6*IF(OR($C6=198,$G6=198),0,1)</f>
        <v/>
      </c>
      <c r="KM7">
        <f>KM6*IF(OR($C6=199,$G6=199),0,1)</f>
        <v/>
      </c>
      <c r="KN7">
        <f>KN6*IF(OR($C6=200,$G6=200),0,1)</f>
        <v/>
      </c>
      <c r="KO7">
        <f>KO6*IF(OR($C6=201,$G6=201),0,1)</f>
        <v/>
      </c>
      <c r="KP7">
        <f>KP6*IF(OR($C6=202,$G6=202),0,1)</f>
        <v/>
      </c>
      <c r="KQ7">
        <f>KQ6*IF(OR($C6=203,$G6=203),0,1)</f>
        <v/>
      </c>
      <c r="KR7">
        <f>KR6*IF(OR($C6=204,$G6=204),0,1)</f>
        <v/>
      </c>
      <c r="KS7">
        <f>KS6*IF(OR($C6=205,$G6=205),0,1)</f>
        <v/>
      </c>
      <c r="KT7">
        <f>KT6*IF(OR($C6=206,$G6=206),0,1)</f>
        <v/>
      </c>
      <c r="KU7">
        <f>KU6*IF(OR($C6=207,$G6=207),0,1)</f>
        <v/>
      </c>
      <c r="KV7">
        <f>KV6*IF(OR($C6=208,$G6=208),0,1)</f>
        <v/>
      </c>
      <c r="KW7">
        <f>KW6*IF(OR($C6=209,$G6=209),0,1)</f>
        <v/>
      </c>
      <c r="KX7">
        <f>KX6*IF(OR($C6=210,$G6=210),0,1)</f>
        <v/>
      </c>
      <c r="KY7">
        <f>KY6*IF(OR($C6=211,$G6=211),0,1)</f>
        <v/>
      </c>
      <c r="KZ7">
        <f>KZ6*IF(OR($C6=212,$G6=212),0,1)</f>
        <v/>
      </c>
      <c r="LA7">
        <f>LA6*IF(OR($C6=213,$G6=213),0,1)</f>
        <v/>
      </c>
      <c r="LB7">
        <f>LB6*IF(OR($C6=214,$G6=214),0,1)</f>
        <v/>
      </c>
      <c r="LC7">
        <f>LC6*IF(OR($C6=215,$G6=215),0,1)</f>
        <v/>
      </c>
      <c r="LD7">
        <f>LD6*IF(OR($C6=216,$G6=216),0,1)</f>
        <v/>
      </c>
      <c r="LE7">
        <f>LE6*IF(OR($C6=217,$G6=217),0,1)</f>
        <v/>
      </c>
      <c r="LF7">
        <f>LF6*IF(OR($C6=218,$G6=218),0,1)</f>
        <v/>
      </c>
      <c r="LG7">
        <f>LG6*IF(OR($C6=219,$G6=219),0,1)</f>
        <v/>
      </c>
      <c r="LH7">
        <f>LH6*IF(OR($C6=220,$G6=220),0,1)</f>
        <v/>
      </c>
      <c r="LI7">
        <f>LI6*IF(OR($C6=221,$G6=221),0,1)</f>
        <v/>
      </c>
      <c r="LJ7">
        <f>LJ6*IF(OR($C6=222,$G6=222),0,1)</f>
        <v/>
      </c>
      <c r="LK7">
        <f>LK6*IF(OR($C6=223,$G6=223),0,1)</f>
        <v/>
      </c>
      <c r="LL7">
        <f>LL6*IF(OR($C6=224,$G6=224),0,1)</f>
        <v/>
      </c>
      <c r="LM7">
        <f>LM6*IF(OR($C6=225,$G6=225),0,1)</f>
        <v/>
      </c>
      <c r="LN7">
        <f>LN6*IF(OR($C6=226,$G6=226),0,1)</f>
        <v/>
      </c>
      <c r="LO7">
        <f>LO6*IF(OR($C6=227,$G6=227),0,1)</f>
        <v/>
      </c>
      <c r="LP7">
        <f>LP6*IF(OR($C6=228,$G6=228),0,1)</f>
        <v/>
      </c>
      <c r="LQ7">
        <f>LQ6*IF(OR($C6=229,$G6=229),0,1)</f>
        <v/>
      </c>
      <c r="LR7">
        <f>LR6*IF(OR($C6=230,$G6=230),0,1)</f>
        <v/>
      </c>
      <c r="LS7">
        <f>LS6*IF(OR($C6=231,$G6=231),0,1)</f>
        <v/>
      </c>
      <c r="LT7">
        <f>LT6*IF(OR($C6=232,$G6=232),0,1)</f>
        <v/>
      </c>
      <c r="LU7">
        <f>LU6*IF(OR($C6=233,$G6=233),0,1)</f>
        <v/>
      </c>
      <c r="LV7">
        <f>LV6*IF(OR($C6=234,$G6=234),0,1)</f>
        <v/>
      </c>
      <c r="LW7">
        <f>LW6*IF(OR($C6=235,$G6=235),0,1)</f>
        <v/>
      </c>
      <c r="LX7">
        <f>LX6*IF(OR($C6=236,$G6=236),0,1)</f>
        <v/>
      </c>
      <c r="LY7">
        <f>LY6*IF(OR($C6=237,$G6=237),0,1)</f>
        <v/>
      </c>
      <c r="LZ7">
        <f>LZ6*IF(OR($C6=238,$G6=238),0,1)</f>
        <v/>
      </c>
      <c r="MA7">
        <f>MA6*IF(OR($C6=239,$G6=239),0,1)</f>
        <v/>
      </c>
      <c r="MB7">
        <f>MB6*IF(OR($C6=240,$G6=240),0,1)</f>
        <v/>
      </c>
      <c r="MD7">
        <f>IF('計算A'!D$106=1,CX7,1)</f>
        <v/>
      </c>
      <c r="ME7">
        <f>IF('計算A'!E$106=1,CY7,1)</f>
        <v/>
      </c>
      <c r="MF7">
        <f>IF('計算A'!F$106=1,CZ7,1)</f>
        <v/>
      </c>
      <c r="MG7">
        <f>IF('計算A'!G$106=1,DA7,1)</f>
        <v/>
      </c>
      <c r="MH7">
        <f>IF('計算A'!H$106=1,DB7,1)</f>
        <v/>
      </c>
      <c r="MI7">
        <f>IF('計算A'!I$106=1,DC7,1)</f>
        <v/>
      </c>
      <c r="MJ7">
        <f>IF('計算A'!J$106=1,DD7,1)</f>
        <v/>
      </c>
      <c r="MK7">
        <f>IF('計算A'!K$106=1,DE7,1)</f>
        <v/>
      </c>
      <c r="ML7">
        <f>IF('計算A'!L$106=1,DF7,1)</f>
        <v/>
      </c>
      <c r="MM7">
        <f>IF('計算A'!M$106=1,DG7,1)</f>
        <v/>
      </c>
      <c r="MN7">
        <f>IF('計算A'!N$106=1,DH7,1)</f>
        <v/>
      </c>
      <c r="MO7">
        <f>IF('計算A'!O$106=1,DI7,1)</f>
        <v/>
      </c>
      <c r="MP7">
        <f>IF('計算A'!P$106=1,DJ7,1)</f>
        <v/>
      </c>
      <c r="MQ7">
        <f>IF('計算A'!Q$106=1,DK7,1)</f>
        <v/>
      </c>
      <c r="MR7">
        <f>IF('計算A'!R$106=1,DL7,1)</f>
        <v/>
      </c>
      <c r="MS7">
        <f>IF('計算A'!S$106=1,DM7,1)</f>
        <v/>
      </c>
      <c r="MT7">
        <f>IF('計算A'!T$106=1,DN7,1)</f>
        <v/>
      </c>
      <c r="MU7">
        <f>IF('計算A'!U$106=1,DO7,1)</f>
        <v/>
      </c>
      <c r="MV7">
        <f>IF('計算A'!V$106=1,DP7,1)</f>
        <v/>
      </c>
      <c r="MW7">
        <f>IF('計算A'!W$106=1,DQ7,1)</f>
        <v/>
      </c>
      <c r="MX7">
        <f>IF('計算A'!X$106=1,DR7,1)</f>
        <v/>
      </c>
      <c r="MY7">
        <f>IF('計算A'!Y$106=1,DS7,1)</f>
        <v/>
      </c>
      <c r="MZ7">
        <f>IF('計算A'!Z$106=1,DT7,1)</f>
        <v/>
      </c>
      <c r="NA7">
        <f>IF('計算A'!AA$106=1,DU7,1)</f>
        <v/>
      </c>
      <c r="NB7">
        <f>IF('計算A'!AB$106=1,DV7,1)</f>
        <v/>
      </c>
      <c r="NC7">
        <f>IF('計算A'!AC$106=1,DW7,1)</f>
        <v/>
      </c>
      <c r="ND7">
        <f>IF('計算A'!AD$106=1,DX7,1)</f>
        <v/>
      </c>
      <c r="NE7">
        <f>IF('計算A'!AE$106=1,DY7,1)</f>
        <v/>
      </c>
      <c r="NF7">
        <f>IF('計算A'!AF$106=1,DZ7,1)</f>
        <v/>
      </c>
      <c r="NG7">
        <f>IF('計算A'!AG$106=1,EA7,1)</f>
        <v/>
      </c>
      <c r="NH7">
        <f>IF('計算A'!AH$106=1,EB7,1)</f>
        <v/>
      </c>
      <c r="NI7">
        <f>IF('計算A'!AI$106=1,EC7,1)</f>
        <v/>
      </c>
      <c r="NJ7">
        <f>IF('計算A'!AJ$106=1,ED7,1)</f>
        <v/>
      </c>
      <c r="NK7">
        <f>IF('計算A'!AK$106=1,EE7,1)</f>
        <v/>
      </c>
      <c r="NL7">
        <f>IF('計算A'!AL$106=1,EF7,1)</f>
        <v/>
      </c>
      <c r="NM7">
        <f>IF('計算A'!AM$106=1,EG7,1)</f>
        <v/>
      </c>
      <c r="NN7">
        <f>IF('計算A'!AN$106=1,EH7,1)</f>
        <v/>
      </c>
      <c r="NO7">
        <f>IF('計算A'!AO$106=1,EI7,1)</f>
        <v/>
      </c>
      <c r="NP7">
        <f>IF('計算A'!AP$106=1,EJ7,1)</f>
        <v/>
      </c>
      <c r="NQ7">
        <f>IF('計算A'!AQ$106=1,EK7,1)</f>
        <v/>
      </c>
      <c r="NR7">
        <f>IF('計算A'!AR$106=1,EL7,1)</f>
        <v/>
      </c>
      <c r="NS7">
        <f>IF('計算A'!AS$106=1,EM7,1)</f>
        <v/>
      </c>
      <c r="NT7">
        <f>IF('計算A'!AT$106=1,EN7,1)</f>
        <v/>
      </c>
      <c r="NU7">
        <f>IF('計算A'!AU$106=1,EO7,1)</f>
        <v/>
      </c>
      <c r="NV7">
        <f>IF('計算A'!AV$106=1,EP7,1)</f>
        <v/>
      </c>
      <c r="NW7">
        <f>IF('計算A'!AW$106=1,EQ7,1)</f>
        <v/>
      </c>
      <c r="NX7">
        <f>IF('計算A'!AX$106=1,ER7,1)</f>
        <v/>
      </c>
      <c r="NY7">
        <f>IF('計算A'!AY$106=1,ES7,1)</f>
        <v/>
      </c>
      <c r="NZ7">
        <f>IF('計算A'!AZ$106=1,ET7,1)</f>
        <v/>
      </c>
      <c r="OA7">
        <f>IF('計算A'!BA$106=1,EU7,1)</f>
        <v/>
      </c>
      <c r="OB7">
        <f>IF('計算A'!BB$106=1,EV7,1)</f>
        <v/>
      </c>
      <c r="OC7">
        <f>IF('計算A'!BC$106=1,EW7,1)</f>
        <v/>
      </c>
      <c r="OD7">
        <f>IF('計算A'!BD$106=1,EX7,1)</f>
        <v/>
      </c>
      <c r="OE7">
        <f>IF('計算A'!BE$106=1,EY7,1)</f>
        <v/>
      </c>
      <c r="OF7">
        <f>IF('計算A'!BF$106=1,EZ7,1)</f>
        <v/>
      </c>
      <c r="OG7">
        <f>IF('計算A'!BG$106=1,FA7,1)</f>
        <v/>
      </c>
      <c r="OH7">
        <f>IF('計算A'!BH$106=1,FB7,1)</f>
        <v/>
      </c>
      <c r="OI7">
        <f>IF('計算A'!BI$106=1,FC7,1)</f>
        <v/>
      </c>
      <c r="OJ7">
        <f>IF('計算A'!BJ$106=1,FD7,1)</f>
        <v/>
      </c>
      <c r="OK7">
        <f>IF('計算A'!BK$106=1,FE7,1)</f>
        <v/>
      </c>
      <c r="OL7">
        <f>IF('計算A'!BL$106=1,FF7,1)</f>
        <v/>
      </c>
      <c r="OM7">
        <f>IF('計算A'!BM$106=1,FG7,1)</f>
        <v/>
      </c>
      <c r="ON7">
        <f>IF('計算A'!BN$106=1,FH7,1)</f>
        <v/>
      </c>
      <c r="OO7">
        <f>IF('計算A'!BO$106=1,FI7,1)</f>
        <v/>
      </c>
      <c r="OP7">
        <f>IF('計算A'!BP$106=1,FJ7,1)</f>
        <v/>
      </c>
      <c r="OQ7">
        <f>IF('計算A'!BQ$106=1,FK7,1)</f>
        <v/>
      </c>
      <c r="OR7">
        <f>IF('計算A'!BR$106=1,FL7,1)</f>
        <v/>
      </c>
      <c r="OS7">
        <f>IF('計算A'!BS$106=1,FM7,1)</f>
        <v/>
      </c>
      <c r="OT7">
        <f>IF('計算A'!BT$106=1,FN7,1)</f>
        <v/>
      </c>
      <c r="OU7">
        <f>IF('計算A'!BU$106=1,FO7,1)</f>
        <v/>
      </c>
      <c r="OV7">
        <f>IF('計算A'!BV$106=1,FP7,1)</f>
        <v/>
      </c>
      <c r="OW7">
        <f>IF('計算A'!BW$106=1,FQ7,1)</f>
        <v/>
      </c>
      <c r="OX7">
        <f>IF('計算A'!BX$106=1,FR7,1)</f>
        <v/>
      </c>
      <c r="OY7">
        <f>IF('計算A'!BY$106=1,FS7,1)</f>
        <v/>
      </c>
      <c r="OZ7">
        <f>IF('計算A'!BZ$106=1,FT7,1)</f>
        <v/>
      </c>
      <c r="PA7">
        <f>IF('計算A'!CA$106=1,FU7,1)</f>
        <v/>
      </c>
      <c r="PB7">
        <f>IF('計算A'!CB$106=1,FV7,1)</f>
        <v/>
      </c>
      <c r="PC7">
        <f>IF('計算A'!CC$106=1,FW7,1)</f>
        <v/>
      </c>
      <c r="PD7">
        <f>IF('計算A'!CD$106=1,FX7,1)</f>
        <v/>
      </c>
      <c r="PE7">
        <f>IF('計算A'!CE$106=1,FY7,1)</f>
        <v/>
      </c>
      <c r="PF7">
        <f>IF('計算A'!CF$106=1,FZ7,1)</f>
        <v/>
      </c>
      <c r="PG7">
        <f>IF('計算A'!CG$106=1,GA7,1)</f>
        <v/>
      </c>
      <c r="PH7">
        <f>IF('計算A'!CH$106=1,GB7,1)</f>
        <v/>
      </c>
      <c r="PI7">
        <f>IF('計算A'!CI$106=1,GC7,1)</f>
        <v/>
      </c>
      <c r="PJ7">
        <f>IF('計算A'!CJ$106=1,GD7,1)</f>
        <v/>
      </c>
      <c r="PK7">
        <f>IF('計算A'!CK$106=1,GE7,1)</f>
        <v/>
      </c>
      <c r="PL7">
        <f>IF('計算A'!CL$106=1,GF7,1)</f>
        <v/>
      </c>
      <c r="PM7">
        <f>IF('計算A'!CM$106=1,GG7,1)</f>
        <v/>
      </c>
      <c r="PN7">
        <f>IF('計算A'!CN$106=1,GH7,1)</f>
        <v/>
      </c>
      <c r="PO7">
        <f>IF('計算A'!CO$106=1,GI7,1)</f>
        <v/>
      </c>
      <c r="PP7">
        <f>IF('計算A'!CP$106=1,GJ7,1)</f>
        <v/>
      </c>
      <c r="PQ7">
        <f>IF('計算A'!CQ$106=1,GK7,1)</f>
        <v/>
      </c>
      <c r="PR7">
        <f>IF('計算A'!CR$106=1,GL7,1)</f>
        <v/>
      </c>
      <c r="PS7">
        <f>IF('計算A'!CS$106=1,GM7,1)</f>
        <v/>
      </c>
      <c r="PT7">
        <f>IF('計算A'!CT$106=1,GN7,1)</f>
        <v/>
      </c>
      <c r="PU7">
        <f>IF('計算A'!CU$106=1,GO7,1)</f>
        <v/>
      </c>
      <c r="PV7">
        <f>IF('計算A'!CV$106=1,GP7,1)</f>
        <v/>
      </c>
      <c r="PW7">
        <f>IF('計算A'!CW$106=1,GQ7,1)</f>
        <v/>
      </c>
      <c r="PX7">
        <f>IF('計算A'!CX$106=1,GR7,1)</f>
        <v/>
      </c>
      <c r="PY7">
        <f>IF('計算A'!CY$106=1,GS7,1)</f>
        <v/>
      </c>
      <c r="PZ7">
        <f>IF('計算A'!CZ$106=1,GT7,1)</f>
        <v/>
      </c>
      <c r="QA7">
        <f>IF('計算A'!DA$106=1,GU7,1)</f>
        <v/>
      </c>
      <c r="QB7">
        <f>IF('計算A'!DB$106=1,GV7,1)</f>
        <v/>
      </c>
      <c r="QC7">
        <f>IF('計算A'!DC$106=1,GW7,1)</f>
        <v/>
      </c>
      <c r="QD7">
        <f>IF('計算A'!DD$106=1,GX7,1)</f>
        <v/>
      </c>
      <c r="QE7">
        <f>IF('計算A'!DE$106=1,GY7,1)</f>
        <v/>
      </c>
      <c r="QF7">
        <f>IF('計算A'!DF$106=1,GZ7,1)</f>
        <v/>
      </c>
      <c r="QG7">
        <f>IF('計算A'!DG$106=1,HA7,1)</f>
        <v/>
      </c>
      <c r="QH7">
        <f>IF('計算A'!DH$106=1,HB7,1)</f>
        <v/>
      </c>
      <c r="QI7">
        <f>IF('計算A'!DI$106=1,HC7,1)</f>
        <v/>
      </c>
      <c r="QJ7">
        <f>IF('計算A'!DJ$106=1,HD7,1)</f>
        <v/>
      </c>
      <c r="QK7">
        <f>IF('計算A'!DK$106=1,HE7,1)</f>
        <v/>
      </c>
      <c r="QL7">
        <f>IF('計算A'!DL$106=1,HF7,1)</f>
        <v/>
      </c>
      <c r="QM7">
        <f>IF('計算A'!DM$106=1,HG7,1)</f>
        <v/>
      </c>
      <c r="QN7">
        <f>IF('計算A'!DN$106=1,HH7,1)</f>
        <v/>
      </c>
      <c r="QO7">
        <f>IF('計算A'!DO$106=1,HI7,1)</f>
        <v/>
      </c>
      <c r="QP7">
        <f>IF('計算A'!DP$106=1,HJ7,1)</f>
        <v/>
      </c>
      <c r="QQ7">
        <f>IF('計算A'!DQ$106=1,HK7,1)</f>
        <v/>
      </c>
      <c r="QR7">
        <f>IF('計算A'!DR$106=1,HL7,1)</f>
        <v/>
      </c>
      <c r="QS7">
        <f>IF('計算A'!DS$106=1,HM7,1)</f>
        <v/>
      </c>
      <c r="QT7">
        <f>IF('計算A'!DT$106=1,HN7,1)</f>
        <v/>
      </c>
      <c r="QU7">
        <f>IF('計算A'!DU$106=1,HO7,1)</f>
        <v/>
      </c>
      <c r="QV7">
        <f>IF('計算A'!DV$106=1,HP7,1)</f>
        <v/>
      </c>
      <c r="QW7">
        <f>IF('計算A'!DW$106=1,HQ7,1)</f>
        <v/>
      </c>
      <c r="QX7">
        <f>IF('計算A'!DX$106=1,HR7,1)</f>
        <v/>
      </c>
      <c r="QY7">
        <f>IF('計算A'!DY$106=1,HS7,1)</f>
        <v/>
      </c>
      <c r="QZ7">
        <f>IF('計算A'!DZ$106=1,HT7,1)</f>
        <v/>
      </c>
      <c r="RA7">
        <f>IF('計算A'!EA$106=1,HU7,1)</f>
        <v/>
      </c>
      <c r="RB7">
        <f>IF('計算A'!EB$106=1,HV7,1)</f>
        <v/>
      </c>
      <c r="RC7">
        <f>IF('計算A'!EC$106=1,HW7,1)</f>
        <v/>
      </c>
      <c r="RD7">
        <f>IF('計算A'!ED$106=1,HX7,1)</f>
        <v/>
      </c>
      <c r="RE7">
        <f>IF('計算A'!EE$106=1,HY7,1)</f>
        <v/>
      </c>
      <c r="RF7">
        <f>IF('計算A'!EF$106=1,HZ7,1)</f>
        <v/>
      </c>
      <c r="RG7">
        <f>IF('計算A'!EG$106=1,IA7,1)</f>
        <v/>
      </c>
      <c r="RH7">
        <f>IF('計算A'!EH$106=1,IB7,1)</f>
        <v/>
      </c>
      <c r="RI7">
        <f>IF('計算A'!EI$106=1,IC7,1)</f>
        <v/>
      </c>
      <c r="RJ7">
        <f>IF('計算A'!EJ$106=1,ID7,1)</f>
        <v/>
      </c>
      <c r="RK7">
        <f>IF('計算A'!EK$106=1,IE7,1)</f>
        <v/>
      </c>
      <c r="RL7">
        <f>IF('計算A'!EL$106=1,IF7,1)</f>
        <v/>
      </c>
      <c r="RM7">
        <f>IF('計算A'!EM$106=1,IG7,1)</f>
        <v/>
      </c>
      <c r="RN7">
        <f>IF('計算A'!EN$106=1,IH7,1)</f>
        <v/>
      </c>
      <c r="RO7">
        <f>IF('計算A'!EO$106=1,II7,1)</f>
        <v/>
      </c>
      <c r="RP7">
        <f>IF('計算A'!EP$106=1,IJ7,1)</f>
        <v/>
      </c>
      <c r="RQ7">
        <f>IF('計算A'!EQ$106=1,IK7,1)</f>
        <v/>
      </c>
      <c r="RR7">
        <f>IF('計算A'!ER$106=1,IL7,1)</f>
        <v/>
      </c>
      <c r="RS7">
        <f>IF('計算A'!ES$106=1,IM7,1)</f>
        <v/>
      </c>
      <c r="RT7">
        <f>IF('計算A'!ET$106=1,IN7,1)</f>
        <v/>
      </c>
      <c r="RU7">
        <f>IF('計算A'!EU$106=1,IO7,1)</f>
        <v/>
      </c>
      <c r="RV7">
        <f>IF('計算A'!EV$106=1,IP7,1)</f>
        <v/>
      </c>
      <c r="RW7">
        <f>IF('計算A'!EW$106=1,IQ7,1)</f>
        <v/>
      </c>
      <c r="RX7">
        <f>IF('計算A'!EX$106=1,IR7,1)</f>
        <v/>
      </c>
      <c r="RY7">
        <f>IF('計算A'!EY$106=1,IS7,1)</f>
        <v/>
      </c>
      <c r="RZ7">
        <f>IF('計算A'!EZ$106=1,IT7,1)</f>
        <v/>
      </c>
      <c r="SA7">
        <f>IF('計算A'!FA$106=1,IU7,1)</f>
        <v/>
      </c>
      <c r="SB7">
        <f>IF('計算A'!FB$106=1,IV7,1)</f>
        <v/>
      </c>
      <c r="SC7">
        <f>IF('計算A'!FC$106=1,IW7,1)</f>
        <v/>
      </c>
      <c r="SD7">
        <f>IF('計算A'!FD$106=1,IX7,1)</f>
        <v/>
      </c>
      <c r="SE7">
        <f>IF('計算A'!FE$106=1,IY7,1)</f>
        <v/>
      </c>
      <c r="SF7">
        <f>IF('計算A'!FF$106=1,IZ7,1)</f>
        <v/>
      </c>
      <c r="SG7">
        <f>IF('計算A'!FG$106=1,JA7,1)</f>
        <v/>
      </c>
      <c r="SH7">
        <f>IF('計算A'!FH$106=1,JB7,1)</f>
        <v/>
      </c>
      <c r="SI7">
        <f>IF('計算A'!FI$106=1,JC7,1)</f>
        <v/>
      </c>
      <c r="SJ7">
        <f>IF('計算A'!FJ$106=1,JD7,1)</f>
        <v/>
      </c>
      <c r="SK7">
        <f>IF('計算A'!FK$106=1,JE7,1)</f>
        <v/>
      </c>
      <c r="SL7">
        <f>IF('計算A'!FL$106=1,JF7,1)</f>
        <v/>
      </c>
      <c r="SM7">
        <f>IF('計算A'!FM$106=1,JG7,1)</f>
        <v/>
      </c>
      <c r="SN7">
        <f>IF('計算A'!FN$106=1,JH7,1)</f>
        <v/>
      </c>
      <c r="SO7">
        <f>IF('計算A'!FO$106=1,JI7,1)</f>
        <v/>
      </c>
      <c r="SP7">
        <f>IF('計算A'!FP$106=1,JJ7,1)</f>
        <v/>
      </c>
      <c r="SQ7">
        <f>IF('計算A'!FQ$106=1,JK7,1)</f>
        <v/>
      </c>
      <c r="SR7">
        <f>IF('計算A'!FR$106=1,JL7,1)</f>
        <v/>
      </c>
      <c r="SS7">
        <f>IF('計算A'!FS$106=1,JM7,1)</f>
        <v/>
      </c>
      <c r="ST7">
        <f>IF('計算A'!FT$106=1,JN7,1)</f>
        <v/>
      </c>
      <c r="SU7">
        <f>IF('計算A'!FU$106=1,JO7,1)</f>
        <v/>
      </c>
      <c r="SV7">
        <f>IF('計算A'!FV$106=1,JP7,1)</f>
        <v/>
      </c>
      <c r="SW7">
        <f>IF('計算A'!FW$106=1,JQ7,1)</f>
        <v/>
      </c>
      <c r="SX7">
        <f>IF('計算A'!FX$106=1,JR7,1)</f>
        <v/>
      </c>
      <c r="SY7">
        <f>IF('計算A'!FY$106=1,JS7,1)</f>
        <v/>
      </c>
      <c r="SZ7">
        <f>IF('計算A'!FZ$106=1,JT7,1)</f>
        <v/>
      </c>
      <c r="TA7">
        <f>IF('計算A'!GA$106=1,JU7,1)</f>
        <v/>
      </c>
      <c r="TB7">
        <f>IF('計算A'!GB$106=1,JV7,1)</f>
        <v/>
      </c>
      <c r="TC7">
        <f>IF('計算A'!GC$106=1,JW7,1)</f>
        <v/>
      </c>
      <c r="TD7">
        <f>IF('計算A'!GD$106=1,JX7,1)</f>
        <v/>
      </c>
      <c r="TE7">
        <f>IF('計算A'!GE$106=1,JY7,1)</f>
        <v/>
      </c>
      <c r="TF7">
        <f>IF('計算A'!GF$106=1,JZ7,1)</f>
        <v/>
      </c>
      <c r="TG7">
        <f>IF('計算A'!GG$106=1,KA7,1)</f>
        <v/>
      </c>
      <c r="TH7">
        <f>IF('計算A'!GH$106=1,KB7,1)</f>
        <v/>
      </c>
      <c r="TI7">
        <f>IF('計算A'!GI$106=1,KC7,1)</f>
        <v/>
      </c>
      <c r="TJ7">
        <f>IF('計算A'!GJ$106=1,KD7,1)</f>
        <v/>
      </c>
      <c r="TK7">
        <f>IF('計算A'!GK$106=1,KE7,1)</f>
        <v/>
      </c>
      <c r="TL7">
        <f>IF('計算A'!GL$106=1,KF7,1)</f>
        <v/>
      </c>
      <c r="TM7">
        <f>IF('計算A'!GM$106=1,KG7,1)</f>
        <v/>
      </c>
      <c r="TN7">
        <f>IF('計算A'!GN$106=1,KH7,1)</f>
        <v/>
      </c>
      <c r="TO7">
        <f>IF('計算A'!GO$106=1,KI7,1)</f>
        <v/>
      </c>
      <c r="TP7">
        <f>IF('計算A'!GP$106=1,KJ7,1)</f>
        <v/>
      </c>
      <c r="TQ7">
        <f>IF('計算A'!GQ$106=1,KK7,1)</f>
        <v/>
      </c>
      <c r="TR7">
        <f>IF('計算A'!GR$106=1,KL7,1)</f>
        <v/>
      </c>
      <c r="TS7">
        <f>IF('計算A'!GS$106=1,KM7,1)</f>
        <v/>
      </c>
      <c r="TT7">
        <f>IF('計算A'!GT$106=1,KN7,1)</f>
        <v/>
      </c>
      <c r="TU7">
        <f>IF('計算A'!GU$106=1,KO7,1)</f>
        <v/>
      </c>
      <c r="TV7">
        <f>IF('計算A'!GV$106=1,KP7,1)</f>
        <v/>
      </c>
      <c r="TW7">
        <f>IF('計算A'!GW$106=1,KQ7,1)</f>
        <v/>
      </c>
      <c r="TX7">
        <f>IF('計算A'!GX$106=1,KR7,1)</f>
        <v/>
      </c>
      <c r="TY7">
        <f>IF('計算A'!GY$106=1,KS7,1)</f>
        <v/>
      </c>
      <c r="TZ7">
        <f>IF('計算A'!GZ$106=1,KT7,1)</f>
        <v/>
      </c>
      <c r="UA7">
        <f>IF('計算A'!HA$106=1,KU7,1)</f>
        <v/>
      </c>
      <c r="UB7">
        <f>IF('計算A'!HB$106=1,KV7,1)</f>
        <v/>
      </c>
      <c r="UC7">
        <f>IF('計算A'!HC$106=1,KW7,1)</f>
        <v/>
      </c>
      <c r="UD7">
        <f>IF('計算A'!HD$106=1,KX7,1)</f>
        <v/>
      </c>
      <c r="UE7">
        <f>IF('計算A'!HE$106=1,KY7,1)</f>
        <v/>
      </c>
      <c r="UF7">
        <f>IF('計算A'!HF$106=1,KZ7,1)</f>
        <v/>
      </c>
      <c r="UG7">
        <f>IF('計算A'!HG$106=1,LA7,1)</f>
        <v/>
      </c>
      <c r="UH7">
        <f>IF('計算A'!HH$106=1,LB7,1)</f>
        <v/>
      </c>
      <c r="UI7">
        <f>IF('計算A'!HI$106=1,LC7,1)</f>
        <v/>
      </c>
      <c r="UJ7">
        <f>IF('計算A'!HJ$106=1,LD7,1)</f>
        <v/>
      </c>
      <c r="UK7">
        <f>IF('計算A'!HK$106=1,LE7,1)</f>
        <v/>
      </c>
      <c r="UL7">
        <f>IF('計算A'!HL$106=1,LF7,1)</f>
        <v/>
      </c>
      <c r="UM7">
        <f>IF('計算A'!HM$106=1,LG7,1)</f>
        <v/>
      </c>
      <c r="UN7">
        <f>IF('計算A'!HN$106=1,LH7,1)</f>
        <v/>
      </c>
      <c r="UO7">
        <f>IF('計算A'!HO$106=1,LI7,1)</f>
        <v/>
      </c>
      <c r="UP7">
        <f>IF('計算A'!HP$106=1,LJ7,1)</f>
        <v/>
      </c>
      <c r="UQ7">
        <f>IF('計算A'!HQ$106=1,LK7,1)</f>
        <v/>
      </c>
      <c r="UR7">
        <f>IF('計算A'!HR$106=1,LL7,1)</f>
        <v/>
      </c>
      <c r="US7">
        <f>IF('計算A'!HS$106=1,LM7,1)</f>
        <v/>
      </c>
      <c r="UT7">
        <f>IF('計算A'!HT$106=1,LN7,1)</f>
        <v/>
      </c>
      <c r="UU7">
        <f>IF('計算A'!HU$106=1,LO7,1)</f>
        <v/>
      </c>
      <c r="UV7">
        <f>IF('計算A'!HV$106=1,LP7,1)</f>
        <v/>
      </c>
      <c r="UW7">
        <f>IF('計算A'!HW$106=1,LQ7,1)</f>
        <v/>
      </c>
      <c r="UX7">
        <f>IF('計算A'!HX$106=1,LR7,1)</f>
        <v/>
      </c>
      <c r="UY7">
        <f>IF('計算A'!HY$106=1,LS7,1)</f>
        <v/>
      </c>
      <c r="UZ7">
        <f>IF('計算A'!HZ$106=1,LT7,1)</f>
        <v/>
      </c>
      <c r="VA7">
        <f>IF('計算A'!IA$106=1,LU7,1)</f>
        <v/>
      </c>
      <c r="VB7">
        <f>IF('計算A'!IB$106=1,LV7,1)</f>
        <v/>
      </c>
      <c r="VC7">
        <f>IF('計算A'!IC$106=1,LW7,1)</f>
        <v/>
      </c>
      <c r="VD7">
        <f>IF('計算A'!ID$106=1,LX7,1)</f>
        <v/>
      </c>
      <c r="VE7">
        <f>IF('計算A'!IE$106=1,LY7,1)</f>
        <v/>
      </c>
      <c r="VF7">
        <f>IF('計算A'!IF$106=1,LZ7,1)</f>
        <v/>
      </c>
      <c r="VG7">
        <f>IF('計算A'!IG$106=1,MA7,1)</f>
        <v/>
      </c>
      <c r="VH7">
        <f>IF('計算A'!IH$106=1,MB7,1)</f>
        <v/>
      </c>
      <c r="VI7" t="n">
        <v>1</v>
      </c>
      <c r="VK7">
        <f>IF($B7=0,1000000,IF(INDEX('計算A'!$D$60:$II$104,$B7,1)*CW7=1,IF(AND($E7=2,MD7=0),1000000,INDEX('計算A'!D$110:D$114,$F7+1)+IF(AND($E7=1,MD7=0),1000,0)),1000000))</f>
        <v/>
      </c>
      <c r="VL7">
        <f>IF($B7=0,1000000,IF(INDEX('計算A'!$D$60:$II$104,$B7,2)*CX7=1,IF(AND($E7=2,ME7=0),1000000,INDEX('計算A'!E$110:E$114,$F7+1)+IF(AND($E7=1,ME7=0),1000,0)),1000000))</f>
        <v/>
      </c>
      <c r="VM7">
        <f>IF($B7=0,1000000,IF(INDEX('計算A'!$D$60:$II$104,$B7,3)*CY7=1,IF(AND($E7=2,MF7=0),1000000,INDEX('計算A'!F$110:F$114,$F7+1)+IF(AND($E7=1,MF7=0),1000,0)),1000000))</f>
        <v/>
      </c>
      <c r="VN7">
        <f>IF($B7=0,1000000,IF(INDEX('計算A'!$D$60:$II$104,$B7,4)*CZ7=1,IF(AND($E7=2,MG7=0),1000000,INDEX('計算A'!G$110:G$114,$F7+1)+IF(AND($E7=1,MG7=0),1000,0)),1000000))</f>
        <v/>
      </c>
      <c r="VO7">
        <f>IF($B7=0,1000000,IF(INDEX('計算A'!$D$60:$II$104,$B7,5)*DA7=1,IF(AND($E7=2,MH7=0),1000000,INDEX('計算A'!H$110:H$114,$F7+1)+IF(AND($E7=1,MH7=0),1000,0)),1000000))</f>
        <v/>
      </c>
      <c r="VP7">
        <f>IF($B7=0,1000000,IF(INDEX('計算A'!$D$60:$II$104,$B7,6)*DB7=1,IF(AND($E7=2,MI7=0),1000000,INDEX('計算A'!I$110:I$114,$F7+1)+IF(AND($E7=1,MI7=0),1000,0)),1000000))</f>
        <v/>
      </c>
      <c r="VQ7">
        <f>IF($B7=0,1000000,IF(INDEX('計算A'!$D$60:$II$104,$B7,7)*DC7=1,IF(AND($E7=2,MJ7=0),1000000,INDEX('計算A'!J$110:J$114,$F7+1)+IF(AND($E7=1,MJ7=0),1000,0)),1000000))</f>
        <v/>
      </c>
      <c r="VR7">
        <f>IF($B7=0,1000000,IF(INDEX('計算A'!$D$60:$II$104,$B7,8)*DD7=1,IF(AND($E7=2,MK7=0),1000000,INDEX('計算A'!K$110:K$114,$F7+1)+IF(AND($E7=1,MK7=0),1000,0)),1000000))</f>
        <v/>
      </c>
      <c r="VS7">
        <f>IF($B7=0,1000000,IF(INDEX('計算A'!$D$60:$II$104,$B7,9)*DE7=1,IF(AND($E7=2,ML7=0),1000000,INDEX('計算A'!L$110:L$114,$F7+1)+IF(AND($E7=1,ML7=0),1000,0)),1000000))</f>
        <v/>
      </c>
      <c r="VT7">
        <f>IF($B7=0,1000000,IF(INDEX('計算A'!$D$60:$II$104,$B7,10)*DF7=1,IF(AND($E7=2,MM7=0),1000000,INDEX('計算A'!M$110:M$114,$F7+1)+IF(AND($E7=1,MM7=0),1000,0)),1000000))</f>
        <v/>
      </c>
      <c r="VU7">
        <f>IF($B7=0,1000000,IF(INDEX('計算A'!$D$60:$II$104,$B7,11)*DG7=1,IF(AND($E7=2,MN7=0),1000000,INDEX('計算A'!N$110:N$114,$F7+1)+IF(AND($E7=1,MN7=0),1000,0)),1000000))</f>
        <v/>
      </c>
      <c r="VV7">
        <f>IF($B7=0,1000000,IF(INDEX('計算A'!$D$60:$II$104,$B7,12)*DH7=1,IF(AND($E7=2,MO7=0),1000000,INDEX('計算A'!O$110:O$114,$F7+1)+IF(AND($E7=1,MO7=0),1000,0)),1000000))</f>
        <v/>
      </c>
      <c r="VW7">
        <f>IF($B7=0,1000000,IF(INDEX('計算A'!$D$60:$II$104,$B7,13)*DI7=1,IF(AND($E7=2,MP7=0),1000000,INDEX('計算A'!P$110:P$114,$F7+1)+IF(AND($E7=1,MP7=0),1000,0)),1000000))</f>
        <v/>
      </c>
      <c r="VX7">
        <f>IF($B7=0,1000000,IF(INDEX('計算A'!$D$60:$II$104,$B7,14)*DJ7=1,IF(AND($E7=2,MQ7=0),1000000,INDEX('計算A'!Q$110:Q$114,$F7+1)+IF(AND($E7=1,MQ7=0),1000,0)),1000000))</f>
        <v/>
      </c>
      <c r="VY7">
        <f>IF($B7=0,1000000,IF(INDEX('計算A'!$D$60:$II$104,$B7,15)*DK7=1,IF(AND($E7=2,MR7=0),1000000,INDEX('計算A'!R$110:R$114,$F7+1)+IF(AND($E7=1,MR7=0),1000,0)),1000000))</f>
        <v/>
      </c>
      <c r="VZ7">
        <f>IF($B7=0,1000000,IF(INDEX('計算A'!$D$60:$II$104,$B7,16)*DL7=1,IF(AND($E7=2,MS7=0),1000000,INDEX('計算A'!S$110:S$114,$F7+1)+IF(AND($E7=1,MS7=0),1000,0)),1000000))</f>
        <v/>
      </c>
      <c r="WA7">
        <f>IF($B7=0,1000000,IF(INDEX('計算A'!$D$60:$II$104,$B7,17)*DM7=1,IF(AND($E7=2,MT7=0),1000000,INDEX('計算A'!T$110:T$114,$F7+1)+IF(AND($E7=1,MT7=0),1000,0)),1000000))</f>
        <v/>
      </c>
      <c r="WB7">
        <f>IF($B7=0,1000000,IF(INDEX('計算A'!$D$60:$II$104,$B7,18)*DN7=1,IF(AND($E7=2,MU7=0),1000000,INDEX('計算A'!U$110:U$114,$F7+1)+IF(AND($E7=1,MU7=0),1000,0)),1000000))</f>
        <v/>
      </c>
      <c r="WC7">
        <f>IF($B7=0,1000000,IF(INDEX('計算A'!$D$60:$II$104,$B7,19)*DO7=1,IF(AND($E7=2,MV7=0),1000000,INDEX('計算A'!V$110:V$114,$F7+1)+IF(AND($E7=1,MV7=0),1000,0)),1000000))</f>
        <v/>
      </c>
      <c r="WD7">
        <f>IF($B7=0,1000000,IF(INDEX('計算A'!$D$60:$II$104,$B7,20)*DP7=1,IF(AND($E7=2,MW7=0),1000000,INDEX('計算A'!W$110:W$114,$F7+1)+IF(AND($E7=1,MW7=0),1000,0)),1000000))</f>
        <v/>
      </c>
      <c r="WE7">
        <f>IF($B7=0,1000000,IF(INDEX('計算A'!$D$60:$II$104,$B7,21)*DQ7=1,IF(AND($E7=2,MX7=0),1000000,INDEX('計算A'!X$110:X$114,$F7+1)+IF(AND($E7=1,MX7=0),1000,0)),1000000))</f>
        <v/>
      </c>
      <c r="WF7">
        <f>IF($B7=0,1000000,IF(INDEX('計算A'!$D$60:$II$104,$B7,22)*DR7=1,IF(AND($E7=2,MY7=0),1000000,INDEX('計算A'!Y$110:Y$114,$F7+1)+IF(AND($E7=1,MY7=0),1000,0)),1000000))</f>
        <v/>
      </c>
      <c r="WG7">
        <f>IF($B7=0,1000000,IF(INDEX('計算A'!$D$60:$II$104,$B7,23)*DS7=1,IF(AND($E7=2,MZ7=0),1000000,INDEX('計算A'!Z$110:Z$114,$F7+1)+IF(AND($E7=1,MZ7=0),1000,0)),1000000))</f>
        <v/>
      </c>
      <c r="WH7">
        <f>IF($B7=0,1000000,IF(INDEX('計算A'!$D$60:$II$104,$B7,24)*DT7=1,IF(AND($E7=2,NA7=0),1000000,INDEX('計算A'!AA$110:AA$114,$F7+1)+IF(AND($E7=1,NA7=0),1000,0)),1000000))</f>
        <v/>
      </c>
      <c r="WI7">
        <f>IF($B7=0,1000000,IF(INDEX('計算A'!$D$60:$II$104,$B7,25)*DU7=1,IF(AND($E7=2,NB7=0),1000000,INDEX('計算A'!AB$110:AB$114,$F7+1)+IF(AND($E7=1,NB7=0),1000,0)),1000000))</f>
        <v/>
      </c>
      <c r="WJ7">
        <f>IF($B7=0,1000000,IF(INDEX('計算A'!$D$60:$II$104,$B7,26)*DV7=1,IF(AND($E7=2,NC7=0),1000000,INDEX('計算A'!AC$110:AC$114,$F7+1)+IF(AND($E7=1,NC7=0),1000,0)),1000000))</f>
        <v/>
      </c>
      <c r="WK7">
        <f>IF($B7=0,1000000,IF(INDEX('計算A'!$D$60:$II$104,$B7,27)*DW7=1,IF(AND($E7=2,ND7=0),1000000,INDEX('計算A'!AD$110:AD$114,$F7+1)+IF(AND($E7=1,ND7=0),1000,0)),1000000))</f>
        <v/>
      </c>
      <c r="WL7">
        <f>IF($B7=0,1000000,IF(INDEX('計算A'!$D$60:$II$104,$B7,28)*DX7=1,IF(AND($E7=2,NE7=0),1000000,INDEX('計算A'!AE$110:AE$114,$F7+1)+IF(AND($E7=1,NE7=0),1000,0)),1000000))</f>
        <v/>
      </c>
      <c r="WM7">
        <f>IF($B7=0,1000000,IF(INDEX('計算A'!$D$60:$II$104,$B7,29)*DY7=1,IF(AND($E7=2,NF7=0),1000000,INDEX('計算A'!AF$110:AF$114,$F7+1)+IF(AND($E7=1,NF7=0),1000,0)),1000000))</f>
        <v/>
      </c>
      <c r="WN7">
        <f>IF($B7=0,1000000,IF(INDEX('計算A'!$D$60:$II$104,$B7,30)*DZ7=1,IF(AND($E7=2,NG7=0),1000000,INDEX('計算A'!AG$110:AG$114,$F7+1)+IF(AND($E7=1,NG7=0),1000,0)),1000000))</f>
        <v/>
      </c>
      <c r="WO7">
        <f>IF($B7=0,1000000,IF(INDEX('計算A'!$D$60:$II$104,$B7,31)*EA7=1,IF(AND($E7=2,NH7=0),1000000,INDEX('計算A'!AH$110:AH$114,$F7+1)+IF(AND($E7=1,NH7=0),1000,0)),1000000))</f>
        <v/>
      </c>
      <c r="WP7">
        <f>IF($B7=0,1000000,IF(INDEX('計算A'!$D$60:$II$104,$B7,32)*EB7=1,IF(AND($E7=2,NI7=0),1000000,INDEX('計算A'!AI$110:AI$114,$F7+1)+IF(AND($E7=1,NI7=0),1000,0)),1000000))</f>
        <v/>
      </c>
      <c r="WQ7">
        <f>IF($B7=0,1000000,IF(INDEX('計算A'!$D$60:$II$104,$B7,33)*EC7=1,IF(AND($E7=2,NJ7=0),1000000,INDEX('計算A'!AJ$110:AJ$114,$F7+1)+IF(AND($E7=1,NJ7=0),1000,0)),1000000))</f>
        <v/>
      </c>
      <c r="WR7">
        <f>IF($B7=0,1000000,IF(INDEX('計算A'!$D$60:$II$104,$B7,34)*ED7=1,IF(AND($E7=2,NK7=0),1000000,INDEX('計算A'!AK$110:AK$114,$F7+1)+IF(AND($E7=1,NK7=0),1000,0)),1000000))</f>
        <v/>
      </c>
      <c r="WS7">
        <f>IF($B7=0,1000000,IF(INDEX('計算A'!$D$60:$II$104,$B7,35)*EE7=1,IF(AND($E7=2,NL7=0),1000000,INDEX('計算A'!AL$110:AL$114,$F7+1)+IF(AND($E7=1,NL7=0),1000,0)),1000000))</f>
        <v/>
      </c>
      <c r="WT7">
        <f>IF($B7=0,1000000,IF(INDEX('計算A'!$D$60:$II$104,$B7,36)*EF7=1,IF(AND($E7=2,NM7=0),1000000,INDEX('計算A'!AM$110:AM$114,$F7+1)+IF(AND($E7=1,NM7=0),1000,0)),1000000))</f>
        <v/>
      </c>
      <c r="WU7">
        <f>IF($B7=0,1000000,IF(INDEX('計算A'!$D$60:$II$104,$B7,37)*EG7=1,IF(AND($E7=2,NN7=0),1000000,INDEX('計算A'!AN$110:AN$114,$F7+1)+IF(AND($E7=1,NN7=0),1000,0)),1000000))</f>
        <v/>
      </c>
      <c r="WV7">
        <f>IF($B7=0,1000000,IF(INDEX('計算A'!$D$60:$II$104,$B7,38)*EH7=1,IF(AND($E7=2,NO7=0),1000000,INDEX('計算A'!AO$110:AO$114,$F7+1)+IF(AND($E7=1,NO7=0),1000,0)),1000000))</f>
        <v/>
      </c>
      <c r="WW7">
        <f>IF($B7=0,1000000,IF(INDEX('計算A'!$D$60:$II$104,$B7,39)*EI7=1,IF(AND($E7=2,NP7=0),1000000,INDEX('計算A'!AP$110:AP$114,$F7+1)+IF(AND($E7=1,NP7=0),1000,0)),1000000))</f>
        <v/>
      </c>
      <c r="WX7">
        <f>IF($B7=0,1000000,IF(INDEX('計算A'!$D$60:$II$104,$B7,40)*EJ7=1,IF(AND($E7=2,NQ7=0),1000000,INDEX('計算A'!AQ$110:AQ$114,$F7+1)+IF(AND($E7=1,NQ7=0),1000,0)),1000000))</f>
        <v/>
      </c>
      <c r="WY7">
        <f>IF($B7=0,1000000,IF(INDEX('計算A'!$D$60:$II$104,$B7,41)*EK7=1,IF(AND($E7=2,NR7=0),1000000,INDEX('計算A'!AR$110:AR$114,$F7+1)+IF(AND($E7=1,NR7=0),1000,0)),1000000))</f>
        <v/>
      </c>
      <c r="WZ7">
        <f>IF($B7=0,1000000,IF(INDEX('計算A'!$D$60:$II$104,$B7,42)*EL7=1,IF(AND($E7=2,NS7=0),1000000,INDEX('計算A'!AS$110:AS$114,$F7+1)+IF(AND($E7=1,NS7=0),1000,0)),1000000))</f>
        <v/>
      </c>
      <c r="XA7">
        <f>IF($B7=0,1000000,IF(INDEX('計算A'!$D$60:$II$104,$B7,43)*EM7=1,IF(AND($E7=2,NT7=0),1000000,INDEX('計算A'!AT$110:AT$114,$F7+1)+IF(AND($E7=1,NT7=0),1000,0)),1000000))</f>
        <v/>
      </c>
      <c r="XB7">
        <f>IF($B7=0,1000000,IF(INDEX('計算A'!$D$60:$II$104,$B7,44)*EN7=1,IF(AND($E7=2,NU7=0),1000000,INDEX('計算A'!AU$110:AU$114,$F7+1)+IF(AND($E7=1,NU7=0),1000,0)),1000000))</f>
        <v/>
      </c>
      <c r="XC7">
        <f>IF($B7=0,1000000,IF(INDEX('計算A'!$D$60:$II$104,$B7,45)*EO7=1,IF(AND($E7=2,NV7=0),1000000,INDEX('計算A'!AV$110:AV$114,$F7+1)+IF(AND($E7=1,NV7=0),1000,0)),1000000))</f>
        <v/>
      </c>
      <c r="XD7">
        <f>IF($B7=0,1000000,IF(INDEX('計算A'!$D$60:$II$104,$B7,46)*EP7=1,IF(AND($E7=2,NW7=0),1000000,INDEX('計算A'!AW$110:AW$114,$F7+1)+IF(AND($E7=1,NW7=0),1000,0)),1000000))</f>
        <v/>
      </c>
      <c r="XE7">
        <f>IF($B7=0,1000000,IF(INDEX('計算A'!$D$60:$II$104,$B7,47)*EQ7=1,IF(AND($E7=2,NX7=0),1000000,INDEX('計算A'!AX$110:AX$114,$F7+1)+IF(AND($E7=1,NX7=0),1000,0)),1000000))</f>
        <v/>
      </c>
      <c r="XF7">
        <f>IF($B7=0,1000000,IF(INDEX('計算A'!$D$60:$II$104,$B7,48)*ER7=1,IF(AND($E7=2,NY7=0),1000000,INDEX('計算A'!AY$110:AY$114,$F7+1)+IF(AND($E7=1,NY7=0),1000,0)),1000000))</f>
        <v/>
      </c>
      <c r="XG7">
        <f>IF($B7=0,1000000,IF(INDEX('計算A'!$D$60:$II$104,$B7,49)*ES7=1,IF(AND($E7=2,NZ7=0),1000000,INDEX('計算A'!AZ$110:AZ$114,$F7+1)+IF(AND($E7=1,NZ7=0),1000,0)),1000000))</f>
        <v/>
      </c>
      <c r="XH7">
        <f>IF($B7=0,1000000,IF(INDEX('計算A'!$D$60:$II$104,$B7,50)*ET7=1,IF(AND($E7=2,OA7=0),1000000,INDEX('計算A'!BA$110:BA$114,$F7+1)+IF(AND($E7=1,OA7=0),1000,0)),1000000))</f>
        <v/>
      </c>
      <c r="XI7">
        <f>IF($B7=0,1000000,IF(INDEX('計算A'!$D$60:$II$104,$B7,51)*EU7=1,IF(AND($E7=2,OB7=0),1000000,INDEX('計算A'!BB$110:BB$114,$F7+1)+IF(AND($E7=1,OB7=0),1000,0)),1000000))</f>
        <v/>
      </c>
      <c r="XJ7">
        <f>IF($B7=0,1000000,IF(INDEX('計算A'!$D$60:$II$104,$B7,52)*EV7=1,IF(AND($E7=2,OC7=0),1000000,INDEX('計算A'!BC$110:BC$114,$F7+1)+IF(AND($E7=1,OC7=0),1000,0)),1000000))</f>
        <v/>
      </c>
      <c r="XK7">
        <f>IF($B7=0,1000000,IF(INDEX('計算A'!$D$60:$II$104,$B7,53)*EW7=1,IF(AND($E7=2,OD7=0),1000000,INDEX('計算A'!BD$110:BD$114,$F7+1)+IF(AND($E7=1,OD7=0),1000,0)),1000000))</f>
        <v/>
      </c>
      <c r="XL7">
        <f>IF($B7=0,1000000,IF(INDEX('計算A'!$D$60:$II$104,$B7,54)*EX7=1,IF(AND($E7=2,OE7=0),1000000,INDEX('計算A'!BE$110:BE$114,$F7+1)+IF(AND($E7=1,OE7=0),1000,0)),1000000))</f>
        <v/>
      </c>
      <c r="XM7">
        <f>IF($B7=0,1000000,IF(INDEX('計算A'!$D$60:$II$104,$B7,55)*EY7=1,IF(AND($E7=2,OF7=0),1000000,INDEX('計算A'!BF$110:BF$114,$F7+1)+IF(AND($E7=1,OF7=0),1000,0)),1000000))</f>
        <v/>
      </c>
      <c r="XN7">
        <f>IF($B7=0,1000000,IF(INDEX('計算A'!$D$60:$II$104,$B7,56)*EZ7=1,IF(AND($E7=2,OG7=0),1000000,INDEX('計算A'!BG$110:BG$114,$F7+1)+IF(AND($E7=1,OG7=0),1000,0)),1000000))</f>
        <v/>
      </c>
      <c r="XO7">
        <f>IF($B7=0,1000000,IF(INDEX('計算A'!$D$60:$II$104,$B7,57)*FA7=1,IF(AND($E7=2,OH7=0),1000000,INDEX('計算A'!BH$110:BH$114,$F7+1)+IF(AND($E7=1,OH7=0),1000,0)),1000000))</f>
        <v/>
      </c>
      <c r="XP7">
        <f>IF($B7=0,1000000,IF(INDEX('計算A'!$D$60:$II$104,$B7,58)*FB7=1,IF(AND($E7=2,OI7=0),1000000,INDEX('計算A'!BI$110:BI$114,$F7+1)+IF(AND($E7=1,OI7=0),1000,0)),1000000))</f>
        <v/>
      </c>
      <c r="XQ7">
        <f>IF($B7=0,1000000,IF(INDEX('計算A'!$D$60:$II$104,$B7,59)*FC7=1,IF(AND($E7=2,OJ7=0),1000000,INDEX('計算A'!BJ$110:BJ$114,$F7+1)+IF(AND($E7=1,OJ7=0),1000,0)),1000000))</f>
        <v/>
      </c>
      <c r="XR7">
        <f>IF($B7=0,1000000,IF(INDEX('計算A'!$D$60:$II$104,$B7,60)*FD7=1,IF(AND($E7=2,OK7=0),1000000,INDEX('計算A'!BK$110:BK$114,$F7+1)+IF(AND($E7=1,OK7=0),1000,0)),1000000))</f>
        <v/>
      </c>
      <c r="XS7">
        <f>IF($B7=0,1000000,IF(INDEX('計算A'!$D$60:$II$104,$B7,61)*FE7=1,IF(AND($E7=2,OL7=0),1000000,INDEX('計算A'!BL$110:BL$114,$F7+1)+IF(AND($E7=1,OL7=0),1000,0)),1000000))</f>
        <v/>
      </c>
      <c r="XT7">
        <f>IF($B7=0,1000000,IF(INDEX('計算A'!$D$60:$II$104,$B7,62)*FF7=1,IF(AND($E7=2,OM7=0),1000000,INDEX('計算A'!BM$110:BM$114,$F7+1)+IF(AND($E7=1,OM7=0),1000,0)),1000000))</f>
        <v/>
      </c>
      <c r="XU7">
        <f>IF($B7=0,1000000,IF(INDEX('計算A'!$D$60:$II$104,$B7,63)*FG7=1,IF(AND($E7=2,ON7=0),1000000,INDEX('計算A'!BN$110:BN$114,$F7+1)+IF(AND($E7=1,ON7=0),1000,0)),1000000))</f>
        <v/>
      </c>
      <c r="XV7">
        <f>IF($B7=0,1000000,IF(INDEX('計算A'!$D$60:$II$104,$B7,64)*FH7=1,IF(AND($E7=2,OO7=0),1000000,INDEX('計算A'!BO$110:BO$114,$F7+1)+IF(AND($E7=1,OO7=0),1000,0)),1000000))</f>
        <v/>
      </c>
      <c r="XW7">
        <f>IF($B7=0,1000000,IF(INDEX('計算A'!$D$60:$II$104,$B7,65)*FI7=1,IF(AND($E7=2,OP7=0),1000000,INDEX('計算A'!BP$110:BP$114,$F7+1)+IF(AND($E7=1,OP7=0),1000,0)),1000000))</f>
        <v/>
      </c>
      <c r="XX7">
        <f>IF($B7=0,1000000,IF(INDEX('計算A'!$D$60:$II$104,$B7,66)*FJ7=1,IF(AND($E7=2,OQ7=0),1000000,INDEX('計算A'!BQ$110:BQ$114,$F7+1)+IF(AND($E7=1,OQ7=0),1000,0)),1000000))</f>
        <v/>
      </c>
      <c r="XY7">
        <f>IF($B7=0,1000000,IF(INDEX('計算A'!$D$60:$II$104,$B7,67)*FK7=1,IF(AND($E7=2,OR7=0),1000000,INDEX('計算A'!BR$110:BR$114,$F7+1)+IF(AND($E7=1,OR7=0),1000,0)),1000000))</f>
        <v/>
      </c>
      <c r="XZ7">
        <f>IF($B7=0,1000000,IF(INDEX('計算A'!$D$60:$II$104,$B7,68)*FL7=1,IF(AND($E7=2,OS7=0),1000000,INDEX('計算A'!BS$110:BS$114,$F7+1)+IF(AND($E7=1,OS7=0),1000,0)),1000000))</f>
        <v/>
      </c>
      <c r="YA7">
        <f>IF($B7=0,1000000,IF(INDEX('計算A'!$D$60:$II$104,$B7,69)*FM7=1,IF(AND($E7=2,OT7=0),1000000,INDEX('計算A'!BT$110:BT$114,$F7+1)+IF(AND($E7=1,OT7=0),1000,0)),1000000))</f>
        <v/>
      </c>
      <c r="YB7">
        <f>IF($B7=0,1000000,IF(INDEX('計算A'!$D$60:$II$104,$B7,70)*FN7=1,IF(AND($E7=2,OU7=0),1000000,INDEX('計算A'!BU$110:BU$114,$F7+1)+IF(AND($E7=1,OU7=0),1000,0)),1000000))</f>
        <v/>
      </c>
      <c r="YC7">
        <f>IF($B7=0,1000000,IF(INDEX('計算A'!$D$60:$II$104,$B7,71)*FO7=1,IF(AND($E7=2,OV7=0),1000000,INDEX('計算A'!BV$110:BV$114,$F7+1)+IF(AND($E7=1,OV7=0),1000,0)),1000000))</f>
        <v/>
      </c>
      <c r="YD7">
        <f>IF($B7=0,1000000,IF(INDEX('計算A'!$D$60:$II$104,$B7,72)*FP7=1,IF(AND($E7=2,OW7=0),1000000,INDEX('計算A'!BW$110:BW$114,$F7+1)+IF(AND($E7=1,OW7=0),1000,0)),1000000))</f>
        <v/>
      </c>
      <c r="YE7">
        <f>IF($B7=0,1000000,IF(INDEX('計算A'!$D$60:$II$104,$B7,73)*FQ7=1,IF(AND($E7=2,OX7=0),1000000,INDEX('計算A'!BX$110:BX$114,$F7+1)+IF(AND($E7=1,OX7=0),1000,0)),1000000))</f>
        <v/>
      </c>
      <c r="YF7">
        <f>IF($B7=0,1000000,IF(INDEX('計算A'!$D$60:$II$104,$B7,74)*FR7=1,IF(AND($E7=2,OY7=0),1000000,INDEX('計算A'!BY$110:BY$114,$F7+1)+IF(AND($E7=1,OY7=0),1000,0)),1000000))</f>
        <v/>
      </c>
      <c r="YG7">
        <f>IF($B7=0,1000000,IF(INDEX('計算A'!$D$60:$II$104,$B7,75)*FS7=1,IF(AND($E7=2,OZ7=0),1000000,INDEX('計算A'!BZ$110:BZ$114,$F7+1)+IF(AND($E7=1,OZ7=0),1000,0)),1000000))</f>
        <v/>
      </c>
      <c r="YH7">
        <f>IF($B7=0,1000000,IF(INDEX('計算A'!$D$60:$II$104,$B7,76)*FT7=1,IF(AND($E7=2,PA7=0),1000000,INDEX('計算A'!CA$110:CA$114,$F7+1)+IF(AND($E7=1,PA7=0),1000,0)),1000000))</f>
        <v/>
      </c>
      <c r="YI7">
        <f>IF($B7=0,1000000,IF(INDEX('計算A'!$D$60:$II$104,$B7,77)*FU7=1,IF(AND($E7=2,PB7=0),1000000,INDEX('計算A'!CB$110:CB$114,$F7+1)+IF(AND($E7=1,PB7=0),1000,0)),1000000))</f>
        <v/>
      </c>
      <c r="YJ7">
        <f>IF($B7=0,1000000,IF(INDEX('計算A'!$D$60:$II$104,$B7,78)*FV7=1,IF(AND($E7=2,PC7=0),1000000,INDEX('計算A'!CC$110:CC$114,$F7+1)+IF(AND($E7=1,PC7=0),1000,0)),1000000))</f>
        <v/>
      </c>
      <c r="YK7">
        <f>IF($B7=0,1000000,IF(INDEX('計算A'!$D$60:$II$104,$B7,79)*FW7=1,IF(AND($E7=2,PD7=0),1000000,INDEX('計算A'!CD$110:CD$114,$F7+1)+IF(AND($E7=1,PD7=0),1000,0)),1000000))</f>
        <v/>
      </c>
      <c r="YL7">
        <f>IF($B7=0,1000000,IF(INDEX('計算A'!$D$60:$II$104,$B7,80)*FX7=1,IF(AND($E7=2,PE7=0),1000000,INDEX('計算A'!CE$110:CE$114,$F7+1)+IF(AND($E7=1,PE7=0),1000,0)),1000000))</f>
        <v/>
      </c>
      <c r="YM7">
        <f>IF($B7=0,1000000,IF(INDEX('計算A'!$D$60:$II$104,$B7,81)*FY7=1,IF(AND($E7=2,PF7=0),1000000,INDEX('計算A'!CF$110:CF$114,$F7+1)+IF(AND($E7=1,PF7=0),1000,0)),1000000))</f>
        <v/>
      </c>
      <c r="YN7">
        <f>IF($B7=0,1000000,IF(INDEX('計算A'!$D$60:$II$104,$B7,82)*FZ7=1,IF(AND($E7=2,PG7=0),1000000,INDEX('計算A'!CG$110:CG$114,$F7+1)+IF(AND($E7=1,PG7=0),1000,0)),1000000))</f>
        <v/>
      </c>
      <c r="YO7">
        <f>IF($B7=0,1000000,IF(INDEX('計算A'!$D$60:$II$104,$B7,83)*GA7=1,IF(AND($E7=2,PH7=0),1000000,INDEX('計算A'!CH$110:CH$114,$F7+1)+IF(AND($E7=1,PH7=0),1000,0)),1000000))</f>
        <v/>
      </c>
      <c r="YP7">
        <f>IF($B7=0,1000000,IF(INDEX('計算A'!$D$60:$II$104,$B7,84)*GB7=1,IF(AND($E7=2,PI7=0),1000000,INDEX('計算A'!CI$110:CI$114,$F7+1)+IF(AND($E7=1,PI7=0),1000,0)),1000000))</f>
        <v/>
      </c>
      <c r="YQ7">
        <f>IF($B7=0,1000000,IF(INDEX('計算A'!$D$60:$II$104,$B7,85)*GC7=1,IF(AND($E7=2,PJ7=0),1000000,INDEX('計算A'!CJ$110:CJ$114,$F7+1)+IF(AND($E7=1,PJ7=0),1000,0)),1000000))</f>
        <v/>
      </c>
      <c r="YR7">
        <f>IF($B7=0,1000000,IF(INDEX('計算A'!$D$60:$II$104,$B7,86)*GD7=1,IF(AND($E7=2,PK7=0),1000000,INDEX('計算A'!CK$110:CK$114,$F7+1)+IF(AND($E7=1,PK7=0),1000,0)),1000000))</f>
        <v/>
      </c>
      <c r="YS7">
        <f>IF($B7=0,1000000,IF(INDEX('計算A'!$D$60:$II$104,$B7,87)*GE7=1,IF(AND($E7=2,PL7=0),1000000,INDEX('計算A'!CL$110:CL$114,$F7+1)+IF(AND($E7=1,PL7=0),1000,0)),1000000))</f>
        <v/>
      </c>
      <c r="YT7">
        <f>IF($B7=0,1000000,IF(INDEX('計算A'!$D$60:$II$104,$B7,88)*GF7=1,IF(AND($E7=2,PM7=0),1000000,INDEX('計算A'!CM$110:CM$114,$F7+1)+IF(AND($E7=1,PM7=0),1000,0)),1000000))</f>
        <v/>
      </c>
      <c r="YU7">
        <f>IF($B7=0,1000000,IF(INDEX('計算A'!$D$60:$II$104,$B7,89)*GG7=1,IF(AND($E7=2,PN7=0),1000000,INDEX('計算A'!CN$110:CN$114,$F7+1)+IF(AND($E7=1,PN7=0),1000,0)),1000000))</f>
        <v/>
      </c>
      <c r="YV7">
        <f>IF($B7=0,1000000,IF(INDEX('計算A'!$D$60:$II$104,$B7,90)*GH7=1,IF(AND($E7=2,PO7=0),1000000,INDEX('計算A'!CO$110:CO$114,$F7+1)+IF(AND($E7=1,PO7=0),1000,0)),1000000))</f>
        <v/>
      </c>
      <c r="YW7">
        <f>IF($B7=0,1000000,IF(INDEX('計算A'!$D$60:$II$104,$B7,91)*GI7=1,IF(AND($E7=2,PP7=0),1000000,INDEX('計算A'!CP$110:CP$114,$F7+1)+IF(AND($E7=1,PP7=0),1000,0)),1000000))</f>
        <v/>
      </c>
      <c r="YX7">
        <f>IF($B7=0,1000000,IF(INDEX('計算A'!$D$60:$II$104,$B7,92)*GJ7=1,IF(AND($E7=2,PQ7=0),1000000,INDEX('計算A'!CQ$110:CQ$114,$F7+1)+IF(AND($E7=1,PQ7=0),1000,0)),1000000))</f>
        <v/>
      </c>
      <c r="YY7">
        <f>IF($B7=0,1000000,IF(INDEX('計算A'!$D$60:$II$104,$B7,93)*GK7=1,IF(AND($E7=2,PR7=0),1000000,INDEX('計算A'!CR$110:CR$114,$F7+1)+IF(AND($E7=1,PR7=0),1000,0)),1000000))</f>
        <v/>
      </c>
      <c r="YZ7">
        <f>IF($B7=0,1000000,IF(INDEX('計算A'!$D$60:$II$104,$B7,94)*GL7=1,IF(AND($E7=2,PS7=0),1000000,INDEX('計算A'!CS$110:CS$114,$F7+1)+IF(AND($E7=1,PS7=0),1000,0)),1000000))</f>
        <v/>
      </c>
      <c r="ZA7">
        <f>IF($B7=0,1000000,IF(INDEX('計算A'!$D$60:$II$104,$B7,95)*GM7=1,IF(AND($E7=2,PT7=0),1000000,INDEX('計算A'!CT$110:CT$114,$F7+1)+IF(AND($E7=1,PT7=0),1000,0)),1000000))</f>
        <v/>
      </c>
      <c r="ZB7">
        <f>IF($B7=0,1000000,IF(INDEX('計算A'!$D$60:$II$104,$B7,96)*GN7=1,IF(AND($E7=2,PU7=0),1000000,INDEX('計算A'!CU$110:CU$114,$F7+1)+IF(AND($E7=1,PU7=0),1000,0)),1000000))</f>
        <v/>
      </c>
      <c r="ZC7">
        <f>IF($B7=0,1000000,IF(INDEX('計算A'!$D$60:$II$104,$B7,97)*GO7=1,IF(AND($E7=2,PV7=0),1000000,INDEX('計算A'!CV$110:CV$114,$F7+1)+IF(AND($E7=1,PV7=0),1000,0)),1000000))</f>
        <v/>
      </c>
      <c r="ZD7">
        <f>IF($B7=0,1000000,IF(INDEX('計算A'!$D$60:$II$104,$B7,98)*GP7=1,IF(AND($E7=2,PW7=0),1000000,INDEX('計算A'!CW$110:CW$114,$F7+1)+IF(AND($E7=1,PW7=0),1000,0)),1000000))</f>
        <v/>
      </c>
      <c r="ZE7">
        <f>IF($B7=0,1000000,IF(INDEX('計算A'!$D$60:$II$104,$B7,99)*GQ7=1,IF(AND($E7=2,PX7=0),1000000,INDEX('計算A'!CX$110:CX$114,$F7+1)+IF(AND($E7=1,PX7=0),1000,0)),1000000))</f>
        <v/>
      </c>
      <c r="ZF7">
        <f>IF($B7=0,1000000,IF(INDEX('計算A'!$D$60:$II$104,$B7,100)*GR7=1,IF(AND($E7=2,PY7=0),1000000,INDEX('計算A'!CY$110:CY$114,$F7+1)+IF(AND($E7=1,PY7=0),1000,0)),1000000))</f>
        <v/>
      </c>
      <c r="ZG7">
        <f>IF($B7=0,1000000,IF(INDEX('計算A'!$D$60:$II$104,$B7,101)*GS7=1,IF(AND($E7=2,PZ7=0),1000000,INDEX('計算A'!CZ$110:CZ$114,$F7+1)+IF(AND($E7=1,PZ7=0),1000,0)),1000000))</f>
        <v/>
      </c>
      <c r="ZH7">
        <f>IF($B7=0,1000000,IF(INDEX('計算A'!$D$60:$II$104,$B7,102)*GT7=1,IF(AND($E7=2,QA7=0),1000000,INDEX('計算A'!DA$110:DA$114,$F7+1)+IF(AND($E7=1,QA7=0),1000,0)),1000000))</f>
        <v/>
      </c>
      <c r="ZI7">
        <f>IF($B7=0,1000000,IF(INDEX('計算A'!$D$60:$II$104,$B7,103)*GU7=1,IF(AND($E7=2,QB7=0),1000000,INDEX('計算A'!DB$110:DB$114,$F7+1)+IF(AND($E7=1,QB7=0),1000,0)),1000000))</f>
        <v/>
      </c>
      <c r="ZJ7">
        <f>IF($B7=0,1000000,IF(INDEX('計算A'!$D$60:$II$104,$B7,104)*GV7=1,IF(AND($E7=2,QC7=0),1000000,INDEX('計算A'!DC$110:DC$114,$F7+1)+IF(AND($E7=1,QC7=0),1000,0)),1000000))</f>
        <v/>
      </c>
      <c r="ZK7">
        <f>IF($B7=0,1000000,IF(INDEX('計算A'!$D$60:$II$104,$B7,105)*GW7=1,IF(AND($E7=2,QD7=0),1000000,INDEX('計算A'!DD$110:DD$114,$F7+1)+IF(AND($E7=1,QD7=0),1000,0)),1000000))</f>
        <v/>
      </c>
      <c r="ZL7">
        <f>IF($B7=0,1000000,IF(INDEX('計算A'!$D$60:$II$104,$B7,106)*GX7=1,IF(AND($E7=2,QE7=0),1000000,INDEX('計算A'!DE$110:DE$114,$F7+1)+IF(AND($E7=1,QE7=0),1000,0)),1000000))</f>
        <v/>
      </c>
      <c r="ZM7">
        <f>IF($B7=0,1000000,IF(INDEX('計算A'!$D$60:$II$104,$B7,107)*GY7=1,IF(AND($E7=2,QF7=0),1000000,INDEX('計算A'!DF$110:DF$114,$F7+1)+IF(AND($E7=1,QF7=0),1000,0)),1000000))</f>
        <v/>
      </c>
      <c r="ZN7">
        <f>IF($B7=0,1000000,IF(INDEX('計算A'!$D$60:$II$104,$B7,108)*GZ7=1,IF(AND($E7=2,QG7=0),1000000,INDEX('計算A'!DG$110:DG$114,$F7+1)+IF(AND($E7=1,QG7=0),1000,0)),1000000))</f>
        <v/>
      </c>
      <c r="ZO7">
        <f>IF($B7=0,1000000,IF(INDEX('計算A'!$D$60:$II$104,$B7,109)*HA7=1,IF(AND($E7=2,QH7=0),1000000,INDEX('計算A'!DH$110:DH$114,$F7+1)+IF(AND($E7=1,QH7=0),1000,0)),1000000))</f>
        <v/>
      </c>
      <c r="ZP7">
        <f>IF($B7=0,1000000,IF(INDEX('計算A'!$D$60:$II$104,$B7,110)*HB7=1,IF(AND($E7=2,QI7=0),1000000,INDEX('計算A'!DI$110:DI$114,$F7+1)+IF(AND($E7=1,QI7=0),1000,0)),1000000))</f>
        <v/>
      </c>
      <c r="ZQ7">
        <f>IF($B7=0,1000000,IF(INDEX('計算A'!$D$60:$II$104,$B7,111)*HC7=1,IF(AND($E7=2,QJ7=0),1000000,INDEX('計算A'!DJ$110:DJ$114,$F7+1)+IF(AND($E7=1,QJ7=0),1000,0)),1000000))</f>
        <v/>
      </c>
      <c r="ZR7">
        <f>IF($B7=0,1000000,IF(INDEX('計算A'!$D$60:$II$104,$B7,112)*HD7=1,IF(AND($E7=2,QK7=0),1000000,INDEX('計算A'!DK$110:DK$114,$F7+1)+IF(AND($E7=1,QK7=0),1000,0)),1000000))</f>
        <v/>
      </c>
      <c r="ZS7">
        <f>IF($B7=0,1000000,IF(INDEX('計算A'!$D$60:$II$104,$B7,113)*HE7=1,IF(AND($E7=2,QL7=0),1000000,INDEX('計算A'!DL$110:DL$114,$F7+1)+IF(AND($E7=1,QL7=0),1000,0)),1000000))</f>
        <v/>
      </c>
      <c r="ZT7">
        <f>IF($B7=0,1000000,IF(INDEX('計算A'!$D$60:$II$104,$B7,114)*HF7=1,IF(AND($E7=2,QM7=0),1000000,INDEX('計算A'!DM$110:DM$114,$F7+1)+IF(AND($E7=1,QM7=0),1000,0)),1000000))</f>
        <v/>
      </c>
      <c r="ZU7">
        <f>IF($B7=0,1000000,IF(INDEX('計算A'!$D$60:$II$104,$B7,115)*HG7=1,IF(AND($E7=2,QN7=0),1000000,INDEX('計算A'!DN$110:DN$114,$F7+1)+IF(AND($E7=1,QN7=0),1000,0)),1000000))</f>
        <v/>
      </c>
      <c r="ZV7">
        <f>IF($B7=0,1000000,IF(INDEX('計算A'!$D$60:$II$104,$B7,116)*HH7=1,IF(AND($E7=2,QO7=0),1000000,INDEX('計算A'!DO$110:DO$114,$F7+1)+IF(AND($E7=1,QO7=0),1000,0)),1000000))</f>
        <v/>
      </c>
      <c r="ZW7">
        <f>IF($B7=0,1000000,IF(INDEX('計算A'!$D$60:$II$104,$B7,117)*HI7=1,IF(AND($E7=2,QP7=0),1000000,INDEX('計算A'!DP$110:DP$114,$F7+1)+IF(AND($E7=1,QP7=0),1000,0)),1000000))</f>
        <v/>
      </c>
      <c r="ZX7">
        <f>IF($B7=0,1000000,IF(INDEX('計算A'!$D$60:$II$104,$B7,118)*HJ7=1,IF(AND($E7=2,QQ7=0),1000000,INDEX('計算A'!DQ$110:DQ$114,$F7+1)+IF(AND($E7=1,QQ7=0),1000,0)),1000000))</f>
        <v/>
      </c>
      <c r="ZY7">
        <f>IF($B7=0,1000000,IF(INDEX('計算A'!$D$60:$II$104,$B7,119)*HK7=1,IF(AND($E7=2,QR7=0),1000000,INDEX('計算A'!DR$110:DR$114,$F7+1)+IF(AND($E7=1,QR7=0),1000,0)),1000000))</f>
        <v/>
      </c>
      <c r="ZZ7">
        <f>IF($B7=0,1000000,IF(INDEX('計算A'!$D$60:$II$104,$B7,120)*HL7=1,IF(AND($E7=2,QS7=0),1000000,INDEX('計算A'!DS$110:DS$114,$F7+1)+IF(AND($E7=1,QS7=0),1000,0)),1000000))</f>
        <v/>
      </c>
      <c r="AAA7">
        <f>IF($B7=0,1000000,IF(INDEX('計算A'!$D$60:$II$104,$B7,121)*HM7=1,IF(AND($E7=2,QT7=0),1000000,INDEX('計算A'!DT$110:DT$114,$F7+1)+IF(AND($E7=1,QT7=0),1000,0)),1000000))</f>
        <v/>
      </c>
      <c r="AAB7">
        <f>IF($B7=0,1000000,IF(INDEX('計算A'!$D$60:$II$104,$B7,122)*HN7=1,IF(AND($E7=2,QU7=0),1000000,INDEX('計算A'!DU$110:DU$114,$F7+1)+IF(AND($E7=1,QU7=0),1000,0)),1000000))</f>
        <v/>
      </c>
      <c r="AAC7">
        <f>IF($B7=0,1000000,IF(INDEX('計算A'!$D$60:$II$104,$B7,123)*HO7=1,IF(AND($E7=2,QV7=0),1000000,INDEX('計算A'!DV$110:DV$114,$F7+1)+IF(AND($E7=1,QV7=0),1000,0)),1000000))</f>
        <v/>
      </c>
      <c r="AAD7">
        <f>IF($B7=0,1000000,IF(INDEX('計算A'!$D$60:$II$104,$B7,124)*HP7=1,IF(AND($E7=2,QW7=0),1000000,INDEX('計算A'!DW$110:DW$114,$F7+1)+IF(AND($E7=1,QW7=0),1000,0)),1000000))</f>
        <v/>
      </c>
      <c r="AAE7">
        <f>IF($B7=0,1000000,IF(INDEX('計算A'!$D$60:$II$104,$B7,125)*HQ7=1,IF(AND($E7=2,QX7=0),1000000,INDEX('計算A'!DX$110:DX$114,$F7+1)+IF(AND($E7=1,QX7=0),1000,0)),1000000))</f>
        <v/>
      </c>
      <c r="AAF7">
        <f>IF($B7=0,1000000,IF(INDEX('計算A'!$D$60:$II$104,$B7,126)*HR7=1,IF(AND($E7=2,QY7=0),1000000,INDEX('計算A'!DY$110:DY$114,$F7+1)+IF(AND($E7=1,QY7=0),1000,0)),1000000))</f>
        <v/>
      </c>
      <c r="AAG7">
        <f>IF($B7=0,1000000,IF(INDEX('計算A'!$D$60:$II$104,$B7,127)*HS7=1,IF(AND($E7=2,QZ7=0),1000000,INDEX('計算A'!DZ$110:DZ$114,$F7+1)+IF(AND($E7=1,QZ7=0),1000,0)),1000000))</f>
        <v/>
      </c>
      <c r="AAH7">
        <f>IF($B7=0,1000000,IF(INDEX('計算A'!$D$60:$II$104,$B7,128)*HT7=1,IF(AND($E7=2,RA7=0),1000000,INDEX('計算A'!EA$110:EA$114,$F7+1)+IF(AND($E7=1,RA7=0),1000,0)),1000000))</f>
        <v/>
      </c>
      <c r="AAI7">
        <f>IF($B7=0,1000000,IF(INDEX('計算A'!$D$60:$II$104,$B7,129)*HU7=1,IF(AND($E7=2,RB7=0),1000000,INDEX('計算A'!EB$110:EB$114,$F7+1)+IF(AND($E7=1,RB7=0),1000,0)),1000000))</f>
        <v/>
      </c>
      <c r="AAJ7">
        <f>IF($B7=0,1000000,IF(INDEX('計算A'!$D$60:$II$104,$B7,130)*HV7=1,IF(AND($E7=2,RC7=0),1000000,INDEX('計算A'!EC$110:EC$114,$F7+1)+IF(AND($E7=1,RC7=0),1000,0)),1000000))</f>
        <v/>
      </c>
      <c r="AAK7">
        <f>IF($B7=0,1000000,IF(INDEX('計算A'!$D$60:$II$104,$B7,131)*HW7=1,IF(AND($E7=2,RD7=0),1000000,INDEX('計算A'!ED$110:ED$114,$F7+1)+IF(AND($E7=1,RD7=0),1000,0)),1000000))</f>
        <v/>
      </c>
      <c r="AAL7">
        <f>IF($B7=0,1000000,IF(INDEX('計算A'!$D$60:$II$104,$B7,132)*HX7=1,IF(AND($E7=2,RE7=0),1000000,INDEX('計算A'!EE$110:EE$114,$F7+1)+IF(AND($E7=1,RE7=0),1000,0)),1000000))</f>
        <v/>
      </c>
      <c r="AAM7">
        <f>IF($B7=0,1000000,IF(INDEX('計算A'!$D$60:$II$104,$B7,133)*HY7=1,IF(AND($E7=2,RF7=0),1000000,INDEX('計算A'!EF$110:EF$114,$F7+1)+IF(AND($E7=1,RF7=0),1000,0)),1000000))</f>
        <v/>
      </c>
      <c r="AAN7">
        <f>IF($B7=0,1000000,IF(INDEX('計算A'!$D$60:$II$104,$B7,134)*HZ7=1,IF(AND($E7=2,RG7=0),1000000,INDEX('計算A'!EG$110:EG$114,$F7+1)+IF(AND($E7=1,RG7=0),1000,0)),1000000))</f>
        <v/>
      </c>
      <c r="AAO7">
        <f>IF($B7=0,1000000,IF(INDEX('計算A'!$D$60:$II$104,$B7,135)*IA7=1,IF(AND($E7=2,RH7=0),1000000,INDEX('計算A'!EH$110:EH$114,$F7+1)+IF(AND($E7=1,RH7=0),1000,0)),1000000))</f>
        <v/>
      </c>
      <c r="AAP7">
        <f>IF($B7=0,1000000,IF(INDEX('計算A'!$D$60:$II$104,$B7,136)*IB7=1,IF(AND($E7=2,RI7=0),1000000,INDEX('計算A'!EI$110:EI$114,$F7+1)+IF(AND($E7=1,RI7=0),1000,0)),1000000))</f>
        <v/>
      </c>
      <c r="AAQ7">
        <f>IF($B7=0,1000000,IF(INDEX('計算A'!$D$60:$II$104,$B7,137)*IC7=1,IF(AND($E7=2,RJ7=0),1000000,INDEX('計算A'!EJ$110:EJ$114,$F7+1)+IF(AND($E7=1,RJ7=0),1000,0)),1000000))</f>
        <v/>
      </c>
      <c r="AAR7">
        <f>IF($B7=0,1000000,IF(INDEX('計算A'!$D$60:$II$104,$B7,138)*ID7=1,IF(AND($E7=2,RK7=0),1000000,INDEX('計算A'!EK$110:EK$114,$F7+1)+IF(AND($E7=1,RK7=0),1000,0)),1000000))</f>
        <v/>
      </c>
      <c r="AAS7">
        <f>IF($B7=0,1000000,IF(INDEX('計算A'!$D$60:$II$104,$B7,139)*IE7=1,IF(AND($E7=2,RL7=0),1000000,INDEX('計算A'!EL$110:EL$114,$F7+1)+IF(AND($E7=1,RL7=0),1000,0)),1000000))</f>
        <v/>
      </c>
      <c r="AAT7">
        <f>IF($B7=0,1000000,IF(INDEX('計算A'!$D$60:$II$104,$B7,140)*IF7=1,IF(AND($E7=2,RM7=0),1000000,INDEX('計算A'!EM$110:EM$114,$F7+1)+IF(AND($E7=1,RM7=0),1000,0)),1000000))</f>
        <v/>
      </c>
      <c r="AAU7">
        <f>IF($B7=0,1000000,IF(INDEX('計算A'!$D$60:$II$104,$B7,141)*IG7=1,IF(AND($E7=2,RN7=0),1000000,INDEX('計算A'!EN$110:EN$114,$F7+1)+IF(AND($E7=1,RN7=0),1000,0)),1000000))</f>
        <v/>
      </c>
      <c r="AAV7">
        <f>IF($B7=0,1000000,IF(INDEX('計算A'!$D$60:$II$104,$B7,142)*IH7=1,IF(AND($E7=2,RO7=0),1000000,INDEX('計算A'!EO$110:EO$114,$F7+1)+IF(AND($E7=1,RO7=0),1000,0)),1000000))</f>
        <v/>
      </c>
      <c r="AAW7">
        <f>IF($B7=0,1000000,IF(INDEX('計算A'!$D$60:$II$104,$B7,143)*II7=1,IF(AND($E7=2,RP7=0),1000000,INDEX('計算A'!EP$110:EP$114,$F7+1)+IF(AND($E7=1,RP7=0),1000,0)),1000000))</f>
        <v/>
      </c>
      <c r="AAX7">
        <f>IF($B7=0,1000000,IF(INDEX('計算A'!$D$60:$II$104,$B7,144)*IJ7=1,IF(AND($E7=2,RQ7=0),1000000,INDEX('計算A'!EQ$110:EQ$114,$F7+1)+IF(AND($E7=1,RQ7=0),1000,0)),1000000))</f>
        <v/>
      </c>
      <c r="AAY7">
        <f>IF($B7=0,1000000,IF(INDEX('計算A'!$D$60:$II$104,$B7,145)*IK7=1,IF(AND($E7=2,RR7=0),1000000,INDEX('計算A'!ER$110:ER$114,$F7+1)+IF(AND($E7=1,RR7=0),1000,0)),1000000))</f>
        <v/>
      </c>
      <c r="AAZ7">
        <f>IF($B7=0,1000000,IF(INDEX('計算A'!$D$60:$II$104,$B7,146)*IL7=1,IF(AND($E7=2,RS7=0),1000000,INDEX('計算A'!ES$110:ES$114,$F7+1)+IF(AND($E7=1,RS7=0),1000,0)),1000000))</f>
        <v/>
      </c>
      <c r="ABA7">
        <f>IF($B7=0,1000000,IF(INDEX('計算A'!$D$60:$II$104,$B7,147)*IM7=1,IF(AND($E7=2,RT7=0),1000000,INDEX('計算A'!ET$110:ET$114,$F7+1)+IF(AND($E7=1,RT7=0),1000,0)),1000000))</f>
        <v/>
      </c>
      <c r="ABB7">
        <f>IF($B7=0,1000000,IF(INDEX('計算A'!$D$60:$II$104,$B7,148)*IN7=1,IF(AND($E7=2,RU7=0),1000000,INDEX('計算A'!EU$110:EU$114,$F7+1)+IF(AND($E7=1,RU7=0),1000,0)),1000000))</f>
        <v/>
      </c>
      <c r="ABC7">
        <f>IF($B7=0,1000000,IF(INDEX('計算A'!$D$60:$II$104,$B7,149)*IO7=1,IF(AND($E7=2,RV7=0),1000000,INDEX('計算A'!EV$110:EV$114,$F7+1)+IF(AND($E7=1,RV7=0),1000,0)),1000000))</f>
        <v/>
      </c>
      <c r="ABD7">
        <f>IF($B7=0,1000000,IF(INDEX('計算A'!$D$60:$II$104,$B7,150)*IP7=1,IF(AND($E7=2,RW7=0),1000000,INDEX('計算A'!EW$110:EW$114,$F7+1)+IF(AND($E7=1,RW7=0),1000,0)),1000000))</f>
        <v/>
      </c>
      <c r="ABE7">
        <f>IF($B7=0,1000000,IF(INDEX('計算A'!$D$60:$II$104,$B7,151)*IQ7=1,IF(AND($E7=2,RX7=0),1000000,INDEX('計算A'!EX$110:EX$114,$F7+1)+IF(AND($E7=1,RX7=0),1000,0)),1000000))</f>
        <v/>
      </c>
      <c r="ABF7">
        <f>IF($B7=0,1000000,IF(INDEX('計算A'!$D$60:$II$104,$B7,152)*IR7=1,IF(AND($E7=2,RY7=0),1000000,INDEX('計算A'!EY$110:EY$114,$F7+1)+IF(AND($E7=1,RY7=0),1000,0)),1000000))</f>
        <v/>
      </c>
      <c r="ABG7">
        <f>IF($B7=0,1000000,IF(INDEX('計算A'!$D$60:$II$104,$B7,153)*IS7=1,IF(AND($E7=2,RZ7=0),1000000,INDEX('計算A'!EZ$110:EZ$114,$F7+1)+IF(AND($E7=1,RZ7=0),1000,0)),1000000))</f>
        <v/>
      </c>
      <c r="ABH7">
        <f>IF($B7=0,1000000,IF(INDEX('計算A'!$D$60:$II$104,$B7,154)*IT7=1,IF(AND($E7=2,SA7=0),1000000,INDEX('計算A'!FA$110:FA$114,$F7+1)+IF(AND($E7=1,SA7=0),1000,0)),1000000))</f>
        <v/>
      </c>
      <c r="ABI7">
        <f>IF($B7=0,1000000,IF(INDEX('計算A'!$D$60:$II$104,$B7,155)*IU7=1,IF(AND($E7=2,SB7=0),1000000,INDEX('計算A'!FB$110:FB$114,$F7+1)+IF(AND($E7=1,SB7=0),1000,0)),1000000))</f>
        <v/>
      </c>
      <c r="ABJ7">
        <f>IF($B7=0,1000000,IF(INDEX('計算A'!$D$60:$II$104,$B7,156)*IV7=1,IF(AND($E7=2,SC7=0),1000000,INDEX('計算A'!FC$110:FC$114,$F7+1)+IF(AND($E7=1,SC7=0),1000,0)),1000000))</f>
        <v/>
      </c>
      <c r="ABK7">
        <f>IF($B7=0,1000000,IF(INDEX('計算A'!$D$60:$II$104,$B7,157)*IW7=1,IF(AND($E7=2,SD7=0),1000000,INDEX('計算A'!FD$110:FD$114,$F7+1)+IF(AND($E7=1,SD7=0),1000,0)),1000000))</f>
        <v/>
      </c>
      <c r="ABL7">
        <f>IF($B7=0,1000000,IF(INDEX('計算A'!$D$60:$II$104,$B7,158)*IX7=1,IF(AND($E7=2,SE7=0),1000000,INDEX('計算A'!FE$110:FE$114,$F7+1)+IF(AND($E7=1,SE7=0),1000,0)),1000000))</f>
        <v/>
      </c>
      <c r="ABM7">
        <f>IF($B7=0,1000000,IF(INDEX('計算A'!$D$60:$II$104,$B7,159)*IY7=1,IF(AND($E7=2,SF7=0),1000000,INDEX('計算A'!FF$110:FF$114,$F7+1)+IF(AND($E7=1,SF7=0),1000,0)),1000000))</f>
        <v/>
      </c>
      <c r="ABN7">
        <f>IF($B7=0,1000000,IF(INDEX('計算A'!$D$60:$II$104,$B7,160)*IZ7=1,IF(AND($E7=2,SG7=0),1000000,INDEX('計算A'!FG$110:FG$114,$F7+1)+IF(AND($E7=1,SG7=0),1000,0)),1000000))</f>
        <v/>
      </c>
      <c r="ABO7">
        <f>IF($B7=0,1000000,IF(INDEX('計算A'!$D$60:$II$104,$B7,161)*JA7=1,IF(AND($E7=2,SH7=0),1000000,INDEX('計算A'!FH$110:FH$114,$F7+1)+IF(AND($E7=1,SH7=0),1000,0)),1000000))</f>
        <v/>
      </c>
      <c r="ABP7">
        <f>IF($B7=0,1000000,IF(INDEX('計算A'!$D$60:$II$104,$B7,162)*JB7=1,IF(AND($E7=2,SI7=0),1000000,INDEX('計算A'!FI$110:FI$114,$F7+1)+IF(AND($E7=1,SI7=0),1000,0)),1000000))</f>
        <v/>
      </c>
      <c r="ABQ7">
        <f>IF($B7=0,1000000,IF(INDEX('計算A'!$D$60:$II$104,$B7,163)*JC7=1,IF(AND($E7=2,SJ7=0),1000000,INDEX('計算A'!FJ$110:FJ$114,$F7+1)+IF(AND($E7=1,SJ7=0),1000,0)),1000000))</f>
        <v/>
      </c>
      <c r="ABR7">
        <f>IF($B7=0,1000000,IF(INDEX('計算A'!$D$60:$II$104,$B7,164)*JD7=1,IF(AND($E7=2,SK7=0),1000000,INDEX('計算A'!FK$110:FK$114,$F7+1)+IF(AND($E7=1,SK7=0),1000,0)),1000000))</f>
        <v/>
      </c>
      <c r="ABS7">
        <f>IF($B7=0,1000000,IF(INDEX('計算A'!$D$60:$II$104,$B7,165)*JE7=1,IF(AND($E7=2,SL7=0),1000000,INDEX('計算A'!FL$110:FL$114,$F7+1)+IF(AND($E7=1,SL7=0),1000,0)),1000000))</f>
        <v/>
      </c>
      <c r="ABT7">
        <f>IF($B7=0,1000000,IF(INDEX('計算A'!$D$60:$II$104,$B7,166)*JF7=1,IF(AND($E7=2,SM7=0),1000000,INDEX('計算A'!FM$110:FM$114,$F7+1)+IF(AND($E7=1,SM7=0),1000,0)),1000000))</f>
        <v/>
      </c>
      <c r="ABU7">
        <f>IF($B7=0,1000000,IF(INDEX('計算A'!$D$60:$II$104,$B7,167)*JG7=1,IF(AND($E7=2,SN7=0),1000000,INDEX('計算A'!FN$110:FN$114,$F7+1)+IF(AND($E7=1,SN7=0),1000,0)),1000000))</f>
        <v/>
      </c>
      <c r="ABV7">
        <f>IF($B7=0,1000000,IF(INDEX('計算A'!$D$60:$II$104,$B7,168)*JH7=1,IF(AND($E7=2,SO7=0),1000000,INDEX('計算A'!FO$110:FO$114,$F7+1)+IF(AND($E7=1,SO7=0),1000,0)),1000000))</f>
        <v/>
      </c>
      <c r="ABW7">
        <f>IF($B7=0,1000000,IF(INDEX('計算A'!$D$60:$II$104,$B7,169)*JI7=1,IF(AND($E7=2,SP7=0),1000000,INDEX('計算A'!FP$110:FP$114,$F7+1)+IF(AND($E7=1,SP7=0),1000,0)),1000000))</f>
        <v/>
      </c>
      <c r="ABX7">
        <f>IF($B7=0,1000000,IF(INDEX('計算A'!$D$60:$II$104,$B7,170)*JJ7=1,IF(AND($E7=2,SQ7=0),1000000,INDEX('計算A'!FQ$110:FQ$114,$F7+1)+IF(AND($E7=1,SQ7=0),1000,0)),1000000))</f>
        <v/>
      </c>
      <c r="ABY7">
        <f>IF($B7=0,1000000,IF(INDEX('計算A'!$D$60:$II$104,$B7,171)*JK7=1,IF(AND($E7=2,SR7=0),1000000,INDEX('計算A'!FR$110:FR$114,$F7+1)+IF(AND($E7=1,SR7=0),1000,0)),1000000))</f>
        <v/>
      </c>
      <c r="ABZ7">
        <f>IF($B7=0,1000000,IF(INDEX('計算A'!$D$60:$II$104,$B7,172)*JL7=1,IF(AND($E7=2,SS7=0),1000000,INDEX('計算A'!FS$110:FS$114,$F7+1)+IF(AND($E7=1,SS7=0),1000,0)),1000000))</f>
        <v/>
      </c>
      <c r="ACA7">
        <f>IF($B7=0,1000000,IF(INDEX('計算A'!$D$60:$II$104,$B7,173)*JM7=1,IF(AND($E7=2,ST7=0),1000000,INDEX('計算A'!FT$110:FT$114,$F7+1)+IF(AND($E7=1,ST7=0),1000,0)),1000000))</f>
        <v/>
      </c>
      <c r="ACB7">
        <f>IF($B7=0,1000000,IF(INDEX('計算A'!$D$60:$II$104,$B7,174)*JN7=1,IF(AND($E7=2,SU7=0),1000000,INDEX('計算A'!FU$110:FU$114,$F7+1)+IF(AND($E7=1,SU7=0),1000,0)),1000000))</f>
        <v/>
      </c>
      <c r="ACC7">
        <f>IF($B7=0,1000000,IF(INDEX('計算A'!$D$60:$II$104,$B7,175)*JO7=1,IF(AND($E7=2,SV7=0),1000000,INDEX('計算A'!FV$110:FV$114,$F7+1)+IF(AND($E7=1,SV7=0),1000,0)),1000000))</f>
        <v/>
      </c>
      <c r="ACD7">
        <f>IF($B7=0,1000000,IF(INDEX('計算A'!$D$60:$II$104,$B7,176)*JP7=1,IF(AND($E7=2,SW7=0),1000000,INDEX('計算A'!FW$110:FW$114,$F7+1)+IF(AND($E7=1,SW7=0),1000,0)),1000000))</f>
        <v/>
      </c>
      <c r="ACE7">
        <f>IF($B7=0,1000000,IF(INDEX('計算A'!$D$60:$II$104,$B7,177)*JQ7=1,IF(AND($E7=2,SX7=0),1000000,INDEX('計算A'!FX$110:FX$114,$F7+1)+IF(AND($E7=1,SX7=0),1000,0)),1000000))</f>
        <v/>
      </c>
      <c r="ACF7">
        <f>IF($B7=0,1000000,IF(INDEX('計算A'!$D$60:$II$104,$B7,178)*JR7=1,IF(AND($E7=2,SY7=0),1000000,INDEX('計算A'!FY$110:FY$114,$F7+1)+IF(AND($E7=1,SY7=0),1000,0)),1000000))</f>
        <v/>
      </c>
      <c r="ACG7">
        <f>IF($B7=0,1000000,IF(INDEX('計算A'!$D$60:$II$104,$B7,179)*JS7=1,IF(AND($E7=2,SZ7=0),1000000,INDEX('計算A'!FZ$110:FZ$114,$F7+1)+IF(AND($E7=1,SZ7=0),1000,0)),1000000))</f>
        <v/>
      </c>
      <c r="ACH7">
        <f>IF($B7=0,1000000,IF(INDEX('計算A'!$D$60:$II$104,$B7,180)*JT7=1,IF(AND($E7=2,TA7=0),1000000,INDEX('計算A'!GA$110:GA$114,$F7+1)+IF(AND($E7=1,TA7=0),1000,0)),1000000))</f>
        <v/>
      </c>
      <c r="ACI7">
        <f>IF($B7=0,1000000,IF(INDEX('計算A'!$D$60:$II$104,$B7,181)*JU7=1,IF(AND($E7=2,TB7=0),1000000,INDEX('計算A'!GB$110:GB$114,$F7+1)+IF(AND($E7=1,TB7=0),1000,0)),1000000))</f>
        <v/>
      </c>
      <c r="ACJ7">
        <f>IF($B7=0,1000000,IF(INDEX('計算A'!$D$60:$II$104,$B7,182)*JV7=1,IF(AND($E7=2,TC7=0),1000000,INDEX('計算A'!GC$110:GC$114,$F7+1)+IF(AND($E7=1,TC7=0),1000,0)),1000000))</f>
        <v/>
      </c>
      <c r="ACK7">
        <f>IF($B7=0,1000000,IF(INDEX('計算A'!$D$60:$II$104,$B7,183)*JW7=1,IF(AND($E7=2,TD7=0),1000000,INDEX('計算A'!GD$110:GD$114,$F7+1)+IF(AND($E7=1,TD7=0),1000,0)),1000000))</f>
        <v/>
      </c>
      <c r="ACL7">
        <f>IF($B7=0,1000000,IF(INDEX('計算A'!$D$60:$II$104,$B7,184)*JX7=1,IF(AND($E7=2,TE7=0),1000000,INDEX('計算A'!GE$110:GE$114,$F7+1)+IF(AND($E7=1,TE7=0),1000,0)),1000000))</f>
        <v/>
      </c>
      <c r="ACM7">
        <f>IF($B7=0,1000000,IF(INDEX('計算A'!$D$60:$II$104,$B7,185)*JY7=1,IF(AND($E7=2,TF7=0),1000000,INDEX('計算A'!GF$110:GF$114,$F7+1)+IF(AND($E7=1,TF7=0),1000,0)),1000000))</f>
        <v/>
      </c>
      <c r="ACN7">
        <f>IF($B7=0,1000000,IF(INDEX('計算A'!$D$60:$II$104,$B7,186)*JZ7=1,IF(AND($E7=2,TG7=0),1000000,INDEX('計算A'!GG$110:GG$114,$F7+1)+IF(AND($E7=1,TG7=0),1000,0)),1000000))</f>
        <v/>
      </c>
      <c r="ACO7">
        <f>IF($B7=0,1000000,IF(INDEX('計算A'!$D$60:$II$104,$B7,187)*KA7=1,IF(AND($E7=2,TH7=0),1000000,INDEX('計算A'!GH$110:GH$114,$F7+1)+IF(AND($E7=1,TH7=0),1000,0)),1000000))</f>
        <v/>
      </c>
      <c r="ACP7">
        <f>IF($B7=0,1000000,IF(INDEX('計算A'!$D$60:$II$104,$B7,188)*KB7=1,IF(AND($E7=2,TI7=0),1000000,INDEX('計算A'!GI$110:GI$114,$F7+1)+IF(AND($E7=1,TI7=0),1000,0)),1000000))</f>
        <v/>
      </c>
      <c r="ACQ7">
        <f>IF($B7=0,1000000,IF(INDEX('計算A'!$D$60:$II$104,$B7,189)*KC7=1,IF(AND($E7=2,TJ7=0),1000000,INDEX('計算A'!GJ$110:GJ$114,$F7+1)+IF(AND($E7=1,TJ7=0),1000,0)),1000000))</f>
        <v/>
      </c>
      <c r="ACR7">
        <f>IF($B7=0,1000000,IF(INDEX('計算A'!$D$60:$II$104,$B7,190)*KD7=1,IF(AND($E7=2,TK7=0),1000000,INDEX('計算A'!GK$110:GK$114,$F7+1)+IF(AND($E7=1,TK7=0),1000,0)),1000000))</f>
        <v/>
      </c>
      <c r="ACS7">
        <f>IF($B7=0,1000000,IF(INDEX('計算A'!$D$60:$II$104,$B7,191)*KE7=1,IF(AND($E7=2,TL7=0),1000000,INDEX('計算A'!GL$110:GL$114,$F7+1)+IF(AND($E7=1,TL7=0),1000,0)),1000000))</f>
        <v/>
      </c>
      <c r="ACT7">
        <f>IF($B7=0,1000000,IF(INDEX('計算A'!$D$60:$II$104,$B7,192)*KF7=1,IF(AND($E7=2,TM7=0),1000000,INDEX('計算A'!GM$110:GM$114,$F7+1)+IF(AND($E7=1,TM7=0),1000,0)),1000000))</f>
        <v/>
      </c>
      <c r="ACU7">
        <f>IF($B7=0,1000000,IF(INDEX('計算A'!$D$60:$II$104,$B7,193)*KG7=1,IF(AND($E7=2,TN7=0),1000000,INDEX('計算A'!GN$110:GN$114,$F7+1)+IF(AND($E7=1,TN7=0),1000,0)),1000000))</f>
        <v/>
      </c>
      <c r="ACV7">
        <f>IF($B7=0,1000000,IF(INDEX('計算A'!$D$60:$II$104,$B7,194)*KH7=1,IF(AND($E7=2,TO7=0),1000000,INDEX('計算A'!GO$110:GO$114,$F7+1)+IF(AND($E7=1,TO7=0),1000,0)),1000000))</f>
        <v/>
      </c>
      <c r="ACW7">
        <f>IF($B7=0,1000000,IF(INDEX('計算A'!$D$60:$II$104,$B7,195)*KI7=1,IF(AND($E7=2,TP7=0),1000000,INDEX('計算A'!GP$110:GP$114,$F7+1)+IF(AND($E7=1,TP7=0),1000,0)),1000000))</f>
        <v/>
      </c>
      <c r="ACX7">
        <f>IF($B7=0,1000000,IF(INDEX('計算A'!$D$60:$II$104,$B7,196)*KJ7=1,IF(AND($E7=2,TQ7=0),1000000,INDEX('計算A'!GQ$110:GQ$114,$F7+1)+IF(AND($E7=1,TQ7=0),1000,0)),1000000))</f>
        <v/>
      </c>
      <c r="ACY7">
        <f>IF($B7=0,1000000,IF(INDEX('計算A'!$D$60:$II$104,$B7,197)*KK7=1,IF(AND($E7=2,TR7=0),1000000,INDEX('計算A'!GR$110:GR$114,$F7+1)+IF(AND($E7=1,TR7=0),1000,0)),1000000))</f>
        <v/>
      </c>
      <c r="ACZ7">
        <f>IF($B7=0,1000000,IF(INDEX('計算A'!$D$60:$II$104,$B7,198)*KL7=1,IF(AND($E7=2,TS7=0),1000000,INDEX('計算A'!GS$110:GS$114,$F7+1)+IF(AND($E7=1,TS7=0),1000,0)),1000000))</f>
        <v/>
      </c>
      <c r="ADA7">
        <f>IF($B7=0,1000000,IF(INDEX('計算A'!$D$60:$II$104,$B7,199)*KM7=1,IF(AND($E7=2,TT7=0),1000000,INDEX('計算A'!GT$110:GT$114,$F7+1)+IF(AND($E7=1,TT7=0),1000,0)),1000000))</f>
        <v/>
      </c>
      <c r="ADB7">
        <f>IF($B7=0,1000000,IF(INDEX('計算A'!$D$60:$II$104,$B7,200)*KN7=1,IF(AND($E7=2,TU7=0),1000000,INDEX('計算A'!GU$110:GU$114,$F7+1)+IF(AND($E7=1,TU7=0),1000,0)),1000000))</f>
        <v/>
      </c>
      <c r="ADC7">
        <f>IF($B7=0,1000000,IF(INDEX('計算A'!$D$60:$II$104,$B7,201)*KO7=1,IF(AND($E7=2,TV7=0),1000000,INDEX('計算A'!GV$110:GV$114,$F7+1)+IF(AND($E7=1,TV7=0),1000,0)),1000000))</f>
        <v/>
      </c>
      <c r="ADD7">
        <f>IF($B7=0,1000000,IF(INDEX('計算A'!$D$60:$II$104,$B7,202)*KP7=1,IF(AND($E7=2,TW7=0),1000000,INDEX('計算A'!GW$110:GW$114,$F7+1)+IF(AND($E7=1,TW7=0),1000,0)),1000000))</f>
        <v/>
      </c>
      <c r="ADE7">
        <f>IF($B7=0,1000000,IF(INDEX('計算A'!$D$60:$II$104,$B7,203)*KQ7=1,IF(AND($E7=2,TX7=0),1000000,INDEX('計算A'!GX$110:GX$114,$F7+1)+IF(AND($E7=1,TX7=0),1000,0)),1000000))</f>
        <v/>
      </c>
      <c r="ADF7">
        <f>IF($B7=0,1000000,IF(INDEX('計算A'!$D$60:$II$104,$B7,204)*KR7=1,IF(AND($E7=2,TY7=0),1000000,INDEX('計算A'!GY$110:GY$114,$F7+1)+IF(AND($E7=1,TY7=0),1000,0)),1000000))</f>
        <v/>
      </c>
      <c r="ADG7">
        <f>IF($B7=0,1000000,IF(INDEX('計算A'!$D$60:$II$104,$B7,205)*KS7=1,IF(AND($E7=2,TZ7=0),1000000,INDEX('計算A'!GZ$110:GZ$114,$F7+1)+IF(AND($E7=1,TZ7=0),1000,0)),1000000))</f>
        <v/>
      </c>
      <c r="ADH7">
        <f>IF($B7=0,1000000,IF(INDEX('計算A'!$D$60:$II$104,$B7,206)*KT7=1,IF(AND($E7=2,UA7=0),1000000,INDEX('計算A'!HA$110:HA$114,$F7+1)+IF(AND($E7=1,UA7=0),1000,0)),1000000))</f>
        <v/>
      </c>
      <c r="ADI7">
        <f>IF($B7=0,1000000,IF(INDEX('計算A'!$D$60:$II$104,$B7,207)*KU7=1,IF(AND($E7=2,UB7=0),1000000,INDEX('計算A'!HB$110:HB$114,$F7+1)+IF(AND($E7=1,UB7=0),1000,0)),1000000))</f>
        <v/>
      </c>
      <c r="ADJ7">
        <f>IF($B7=0,1000000,IF(INDEX('計算A'!$D$60:$II$104,$B7,208)*KV7=1,IF(AND($E7=2,UC7=0),1000000,INDEX('計算A'!HC$110:HC$114,$F7+1)+IF(AND($E7=1,UC7=0),1000,0)),1000000))</f>
        <v/>
      </c>
      <c r="ADK7">
        <f>IF($B7=0,1000000,IF(INDEX('計算A'!$D$60:$II$104,$B7,209)*KW7=1,IF(AND($E7=2,UD7=0),1000000,INDEX('計算A'!HD$110:HD$114,$F7+1)+IF(AND($E7=1,UD7=0),1000,0)),1000000))</f>
        <v/>
      </c>
      <c r="ADL7">
        <f>IF($B7=0,1000000,IF(INDEX('計算A'!$D$60:$II$104,$B7,210)*KX7=1,IF(AND($E7=2,UE7=0),1000000,INDEX('計算A'!HE$110:HE$114,$F7+1)+IF(AND($E7=1,UE7=0),1000,0)),1000000))</f>
        <v/>
      </c>
      <c r="ADM7">
        <f>IF($B7=0,1000000,IF(INDEX('計算A'!$D$60:$II$104,$B7,211)*KY7=1,IF(AND($E7=2,UF7=0),1000000,INDEX('計算A'!HF$110:HF$114,$F7+1)+IF(AND($E7=1,UF7=0),1000,0)),1000000))</f>
        <v/>
      </c>
      <c r="ADN7">
        <f>IF($B7=0,1000000,IF(INDEX('計算A'!$D$60:$II$104,$B7,212)*KZ7=1,IF(AND($E7=2,UG7=0),1000000,INDEX('計算A'!HG$110:HG$114,$F7+1)+IF(AND($E7=1,UG7=0),1000,0)),1000000))</f>
        <v/>
      </c>
      <c r="ADO7">
        <f>IF($B7=0,1000000,IF(INDEX('計算A'!$D$60:$II$104,$B7,213)*LA7=1,IF(AND($E7=2,UH7=0),1000000,INDEX('計算A'!HH$110:HH$114,$F7+1)+IF(AND($E7=1,UH7=0),1000,0)),1000000))</f>
        <v/>
      </c>
      <c r="ADP7">
        <f>IF($B7=0,1000000,IF(INDEX('計算A'!$D$60:$II$104,$B7,214)*LB7=1,IF(AND($E7=2,UI7=0),1000000,INDEX('計算A'!HI$110:HI$114,$F7+1)+IF(AND($E7=1,UI7=0),1000,0)),1000000))</f>
        <v/>
      </c>
      <c r="ADQ7">
        <f>IF($B7=0,1000000,IF(INDEX('計算A'!$D$60:$II$104,$B7,215)*LC7=1,IF(AND($E7=2,UJ7=0),1000000,INDEX('計算A'!HJ$110:HJ$114,$F7+1)+IF(AND($E7=1,UJ7=0),1000,0)),1000000))</f>
        <v/>
      </c>
      <c r="ADR7">
        <f>IF($B7=0,1000000,IF(INDEX('計算A'!$D$60:$II$104,$B7,216)*LD7=1,IF(AND($E7=2,UK7=0),1000000,INDEX('計算A'!HK$110:HK$114,$F7+1)+IF(AND($E7=1,UK7=0),1000,0)),1000000))</f>
        <v/>
      </c>
      <c r="ADS7">
        <f>IF($B7=0,1000000,IF(INDEX('計算A'!$D$60:$II$104,$B7,217)*LE7=1,IF(AND($E7=2,UL7=0),1000000,INDEX('計算A'!HL$110:HL$114,$F7+1)+IF(AND($E7=1,UL7=0),1000,0)),1000000))</f>
        <v/>
      </c>
      <c r="ADT7">
        <f>IF($B7=0,1000000,IF(INDEX('計算A'!$D$60:$II$104,$B7,218)*LF7=1,IF(AND($E7=2,UM7=0),1000000,INDEX('計算A'!HM$110:HM$114,$F7+1)+IF(AND($E7=1,UM7=0),1000,0)),1000000))</f>
        <v/>
      </c>
      <c r="ADU7">
        <f>IF($B7=0,1000000,IF(INDEX('計算A'!$D$60:$II$104,$B7,219)*LG7=1,IF(AND($E7=2,UN7=0),1000000,INDEX('計算A'!HN$110:HN$114,$F7+1)+IF(AND($E7=1,UN7=0),1000,0)),1000000))</f>
        <v/>
      </c>
      <c r="ADV7">
        <f>IF($B7=0,1000000,IF(INDEX('計算A'!$D$60:$II$104,$B7,220)*LH7=1,IF(AND($E7=2,UO7=0),1000000,INDEX('計算A'!HO$110:HO$114,$F7+1)+IF(AND($E7=1,UO7=0),1000,0)),1000000))</f>
        <v/>
      </c>
      <c r="ADW7">
        <f>IF($B7=0,1000000,IF(INDEX('計算A'!$D$60:$II$104,$B7,221)*LI7=1,IF(AND($E7=2,UP7=0),1000000,INDEX('計算A'!HP$110:HP$114,$F7+1)+IF(AND($E7=1,UP7=0),1000,0)),1000000))</f>
        <v/>
      </c>
      <c r="ADX7">
        <f>IF($B7=0,1000000,IF(INDEX('計算A'!$D$60:$II$104,$B7,222)*LJ7=1,IF(AND($E7=2,UQ7=0),1000000,INDEX('計算A'!HQ$110:HQ$114,$F7+1)+IF(AND($E7=1,UQ7=0),1000,0)),1000000))</f>
        <v/>
      </c>
      <c r="ADY7">
        <f>IF($B7=0,1000000,IF(INDEX('計算A'!$D$60:$II$104,$B7,223)*LK7=1,IF(AND($E7=2,UR7=0),1000000,INDEX('計算A'!HR$110:HR$114,$F7+1)+IF(AND($E7=1,UR7=0),1000,0)),1000000))</f>
        <v/>
      </c>
      <c r="ADZ7">
        <f>IF($B7=0,1000000,IF(INDEX('計算A'!$D$60:$II$104,$B7,224)*LL7=1,IF(AND($E7=2,US7=0),1000000,INDEX('計算A'!HS$110:HS$114,$F7+1)+IF(AND($E7=1,US7=0),1000,0)),1000000))</f>
        <v/>
      </c>
      <c r="AEA7">
        <f>IF($B7=0,1000000,IF(INDEX('計算A'!$D$60:$II$104,$B7,225)*LM7=1,IF(AND($E7=2,UT7=0),1000000,INDEX('計算A'!HT$110:HT$114,$F7+1)+IF(AND($E7=1,UT7=0),1000,0)),1000000))</f>
        <v/>
      </c>
      <c r="AEB7">
        <f>IF($B7=0,1000000,IF(INDEX('計算A'!$D$60:$II$104,$B7,226)*LN7=1,IF(AND($E7=2,UU7=0),1000000,INDEX('計算A'!HU$110:HU$114,$F7+1)+IF(AND($E7=1,UU7=0),1000,0)),1000000))</f>
        <v/>
      </c>
      <c r="AEC7">
        <f>IF($B7=0,1000000,IF(INDEX('計算A'!$D$60:$II$104,$B7,227)*LO7=1,IF(AND($E7=2,UV7=0),1000000,INDEX('計算A'!HV$110:HV$114,$F7+1)+IF(AND($E7=1,UV7=0),1000,0)),1000000))</f>
        <v/>
      </c>
      <c r="AED7">
        <f>IF($B7=0,1000000,IF(INDEX('計算A'!$D$60:$II$104,$B7,228)*LP7=1,IF(AND($E7=2,UW7=0),1000000,INDEX('計算A'!HW$110:HW$114,$F7+1)+IF(AND($E7=1,UW7=0),1000,0)),1000000))</f>
        <v/>
      </c>
      <c r="AEE7">
        <f>IF($B7=0,1000000,IF(INDEX('計算A'!$D$60:$II$104,$B7,229)*LQ7=1,IF(AND($E7=2,UX7=0),1000000,INDEX('計算A'!HX$110:HX$114,$F7+1)+IF(AND($E7=1,UX7=0),1000,0)),1000000))</f>
        <v/>
      </c>
      <c r="AEF7">
        <f>IF($B7=0,1000000,IF(INDEX('計算A'!$D$60:$II$104,$B7,230)*LR7=1,IF(AND($E7=2,UY7=0),1000000,INDEX('計算A'!HY$110:HY$114,$F7+1)+IF(AND($E7=1,UY7=0),1000,0)),1000000))</f>
        <v/>
      </c>
      <c r="AEG7">
        <f>IF($B7=0,1000000,IF(INDEX('計算A'!$D$60:$II$104,$B7,231)*LS7=1,IF(AND($E7=2,UZ7=0),1000000,INDEX('計算A'!HZ$110:HZ$114,$F7+1)+IF(AND($E7=1,UZ7=0),1000,0)),1000000))</f>
        <v/>
      </c>
      <c r="AEH7">
        <f>IF($B7=0,1000000,IF(INDEX('計算A'!$D$60:$II$104,$B7,232)*LT7=1,IF(AND($E7=2,VA7=0),1000000,INDEX('計算A'!IA$110:IA$114,$F7+1)+IF(AND($E7=1,VA7=0),1000,0)),1000000))</f>
        <v/>
      </c>
      <c r="AEI7">
        <f>IF($B7=0,1000000,IF(INDEX('計算A'!$D$60:$II$104,$B7,233)*LU7=1,IF(AND($E7=2,VB7=0),1000000,INDEX('計算A'!IB$110:IB$114,$F7+1)+IF(AND($E7=1,VB7=0),1000,0)),1000000))</f>
        <v/>
      </c>
      <c r="AEJ7">
        <f>IF($B7=0,1000000,IF(INDEX('計算A'!$D$60:$II$104,$B7,234)*LV7=1,IF(AND($E7=2,VC7=0),1000000,INDEX('計算A'!IC$110:IC$114,$F7+1)+IF(AND($E7=1,VC7=0),1000,0)),1000000))</f>
        <v/>
      </c>
      <c r="AEK7">
        <f>IF($B7=0,1000000,IF(INDEX('計算A'!$D$60:$II$104,$B7,235)*LW7=1,IF(AND($E7=2,VD7=0),1000000,INDEX('計算A'!ID$110:ID$114,$F7+1)+IF(AND($E7=1,VD7=0),1000,0)),1000000))</f>
        <v/>
      </c>
      <c r="AEL7">
        <f>IF($B7=0,1000000,IF(INDEX('計算A'!$D$60:$II$104,$B7,236)*LX7=1,IF(AND($E7=2,VE7=0),1000000,INDEX('計算A'!IE$110:IE$114,$F7+1)+IF(AND($E7=1,VE7=0),1000,0)),1000000))</f>
        <v/>
      </c>
      <c r="AEM7">
        <f>IF($B7=0,1000000,IF(INDEX('計算A'!$D$60:$II$104,$B7,237)*LY7=1,IF(AND($E7=2,VF7=0),1000000,INDEX('計算A'!IF$110:IF$114,$F7+1)+IF(AND($E7=1,VF7=0),1000,0)),1000000))</f>
        <v/>
      </c>
      <c r="AEN7">
        <f>IF($B7=0,1000000,IF(INDEX('計算A'!$D$60:$II$104,$B7,238)*LZ7=1,IF(AND($E7=2,VG7=0),1000000,INDEX('計算A'!IG$110:IG$114,$F7+1)+IF(AND($E7=1,VG7=0),1000,0)),1000000))</f>
        <v/>
      </c>
      <c r="AEO7">
        <f>IF($B7=0,1000000,IF(INDEX('計算A'!$D$60:$II$104,$B7,239)*MA7=1,IF(AND($E7=2,VH7=0),1000000,INDEX('計算A'!IH$110:IH$114,$F7+1)+IF(AND($E7=1,VH7=0),1000,0)),1000000))</f>
        <v/>
      </c>
      <c r="AEP7">
        <f>IF($B7=0,1000000,IF(INDEX('計算A'!$D$60:$II$104,$B7,240)*MB7=1,IF(AND($E7=2,VI7=0),1000000,INDEX('計算A'!II$110:II$114,$F7+1)+IF(AND($E7=1,VI7=0),1000,0)),1000000))</f>
        <v/>
      </c>
    </row>
    <row r="8">
      <c r="A8" t="n">
        <v>6</v>
      </c>
      <c r="B8">
        <f>IF(MIN(BC8:CU8)&gt;=1000000,0,MATCH(MIN(BC8:CU8),BC8:CU8,0))</f>
        <v/>
      </c>
      <c r="C8">
        <f>IF(MIN(VK8:AEP8)&gt;=1000000,0,MATCH(MIN(VK8:AEP8),VK8:AEP8,0))</f>
        <v/>
      </c>
      <c r="D8">
        <f>IF(C8&gt;0,INDEX('計算A'!$D$5:$II$5,C8),0)</f>
        <v/>
      </c>
      <c r="E8">
        <f>IF(B8=0,0,INDEX('計算A'!$IQ$10:$IQ$54,B8))</f>
        <v/>
      </c>
      <c r="F8">
        <f>IF(B8=0,0,INDEX('計算A'!$IP$10:$IP$54,B8))</f>
        <v/>
      </c>
      <c r="G8">
        <f>IF(AND(C8&gt;0,E8&gt;0),IF(AND(INDEX('計算A'!$D$106:$II$106,C8)=1,INDEX($MD8:$VI8,C8)=1),C8+1,0),0)</f>
        <v/>
      </c>
      <c r="I8">
        <f>MAX(I7,IF($B7=1,1,0))</f>
        <v/>
      </c>
      <c r="J8">
        <f>MAX(J7,IF($B7=2,1,0))</f>
        <v/>
      </c>
      <c r="K8">
        <f>MAX(K7,IF($B7=3,1,0))</f>
        <v/>
      </c>
      <c r="L8">
        <f>MAX(L7,IF($B7=4,1,0))</f>
        <v/>
      </c>
      <c r="M8">
        <f>MAX(M7,IF($B7=5,1,0))</f>
        <v/>
      </c>
      <c r="N8">
        <f>MAX(N7,IF($B7=6,1,0))</f>
        <v/>
      </c>
      <c r="O8">
        <f>MAX(O7,IF($B7=7,1,0))</f>
        <v/>
      </c>
      <c r="P8">
        <f>MAX(P7,IF($B7=8,1,0))</f>
        <v/>
      </c>
      <c r="Q8">
        <f>MAX(Q7,IF($B7=9,1,0))</f>
        <v/>
      </c>
      <c r="R8">
        <f>MAX(R7,IF($B7=10,1,0))</f>
        <v/>
      </c>
      <c r="S8">
        <f>MAX(S7,IF($B7=11,1,0))</f>
        <v/>
      </c>
      <c r="T8">
        <f>MAX(T7,IF($B7=12,1,0))</f>
        <v/>
      </c>
      <c r="U8">
        <f>MAX(U7,IF($B7=13,1,0))</f>
        <v/>
      </c>
      <c r="V8">
        <f>MAX(V7,IF($B7=14,1,0))</f>
        <v/>
      </c>
      <c r="W8">
        <f>MAX(W7,IF($B7=15,1,0))</f>
        <v/>
      </c>
      <c r="X8">
        <f>MAX(X7,IF($B7=16,1,0))</f>
        <v/>
      </c>
      <c r="Y8">
        <f>MAX(Y7,IF($B7=17,1,0))</f>
        <v/>
      </c>
      <c r="Z8">
        <f>MAX(Z7,IF($B7=18,1,0))</f>
        <v/>
      </c>
      <c r="AA8">
        <f>MAX(AA7,IF($B7=19,1,0))</f>
        <v/>
      </c>
      <c r="AB8">
        <f>MAX(AB7,IF($B7=20,1,0))</f>
        <v/>
      </c>
      <c r="AC8">
        <f>MAX(AC7,IF($B7=21,1,0))</f>
        <v/>
      </c>
      <c r="AD8">
        <f>MAX(AD7,IF($B7=22,1,0))</f>
        <v/>
      </c>
      <c r="AE8">
        <f>MAX(AE7,IF($B7=23,1,0))</f>
        <v/>
      </c>
      <c r="AF8">
        <f>MAX(AF7,IF($B7=24,1,0))</f>
        <v/>
      </c>
      <c r="AG8">
        <f>MAX(AG7,IF($B7=25,1,0))</f>
        <v/>
      </c>
      <c r="AH8">
        <f>MAX(AH7,IF($B7=26,1,0))</f>
        <v/>
      </c>
      <c r="AI8">
        <f>MAX(AI7,IF($B7=27,1,0))</f>
        <v/>
      </c>
      <c r="AJ8">
        <f>MAX(AJ7,IF($B7=28,1,0))</f>
        <v/>
      </c>
      <c r="AK8">
        <f>MAX(AK7,IF($B7=29,1,0))</f>
        <v/>
      </c>
      <c r="AL8">
        <f>MAX(AL7,IF($B7=30,1,0))</f>
        <v/>
      </c>
      <c r="AM8">
        <f>MAX(AM7,IF($B7=31,1,0))</f>
        <v/>
      </c>
      <c r="AN8">
        <f>MAX(AN7,IF($B7=32,1,0))</f>
        <v/>
      </c>
      <c r="AO8">
        <f>MAX(AO7,IF($B7=33,1,0))</f>
        <v/>
      </c>
      <c r="AP8">
        <f>MAX(AP7,IF($B7=34,1,0))</f>
        <v/>
      </c>
      <c r="AQ8">
        <f>MAX(AQ7,IF($B7=35,1,0))</f>
        <v/>
      </c>
      <c r="AR8">
        <f>MAX(AR7,IF($B7=36,1,0))</f>
        <v/>
      </c>
      <c r="AS8">
        <f>MAX(AS7,IF($B7=37,1,0))</f>
        <v/>
      </c>
      <c r="AT8">
        <f>MAX(AT7,IF($B7=38,1,0))</f>
        <v/>
      </c>
      <c r="AU8">
        <f>MAX(AU7,IF($B7=39,1,0))</f>
        <v/>
      </c>
      <c r="AV8">
        <f>MAX(AV7,IF($B7=40,1,0))</f>
        <v/>
      </c>
      <c r="AW8">
        <f>MAX(AW7,IF($B7=41,1,0))</f>
        <v/>
      </c>
      <c r="AX8">
        <f>MAX(AX7,IF($B7=42,1,0))</f>
        <v/>
      </c>
      <c r="AY8">
        <f>MAX(AY7,IF($B7=43,1,0))</f>
        <v/>
      </c>
      <c r="AZ8">
        <f>MAX(AZ7,IF($B7=44,1,0))</f>
        <v/>
      </c>
      <c r="BA8">
        <f>MAX(BA7,IF($B7=45,1,0))</f>
        <v/>
      </c>
      <c r="BC8">
        <f>IF(I8=1,1000000,IF('計算A'!$IQ$10=2,SUMPRODUCT('計算A'!$D$60:$II$60,$CW8:$MB8,$MD8:$VI8),SUMPRODUCT('計算A'!$D$60:$II$60,$CW8:$MB8))*1000+1)</f>
        <v/>
      </c>
      <c r="BD8">
        <f>IF(J8=1,1000000,IF('計算A'!$IQ$11=2,SUMPRODUCT('計算A'!$D$61:$II$61,$CW8:$MB8,$MD8:$VI8),SUMPRODUCT('計算A'!$D$61:$II$61,$CW8:$MB8))*1000+2)</f>
        <v/>
      </c>
      <c r="BE8">
        <f>IF(K8=1,1000000,IF('計算A'!$IQ$12=2,SUMPRODUCT('計算A'!$D$62:$II$62,$CW8:$MB8,$MD8:$VI8),SUMPRODUCT('計算A'!$D$62:$II$62,$CW8:$MB8))*1000+3)</f>
        <v/>
      </c>
      <c r="BF8">
        <f>IF(L8=1,1000000,IF('計算A'!$IQ$13=2,SUMPRODUCT('計算A'!$D$63:$II$63,$CW8:$MB8,$MD8:$VI8),SUMPRODUCT('計算A'!$D$63:$II$63,$CW8:$MB8))*1000+4)</f>
        <v/>
      </c>
      <c r="BG8">
        <f>IF(M8=1,1000000,IF('計算A'!$IQ$14=2,SUMPRODUCT('計算A'!$D$64:$II$64,$CW8:$MB8,$MD8:$VI8),SUMPRODUCT('計算A'!$D$64:$II$64,$CW8:$MB8))*1000+5)</f>
        <v/>
      </c>
      <c r="BH8">
        <f>IF(N8=1,1000000,IF('計算A'!$IQ$15=2,SUMPRODUCT('計算A'!$D$65:$II$65,$CW8:$MB8,$MD8:$VI8),SUMPRODUCT('計算A'!$D$65:$II$65,$CW8:$MB8))*1000+6)</f>
        <v/>
      </c>
      <c r="BI8">
        <f>IF(O8=1,1000000,IF('計算A'!$IQ$16=2,SUMPRODUCT('計算A'!$D$66:$II$66,$CW8:$MB8,$MD8:$VI8),SUMPRODUCT('計算A'!$D$66:$II$66,$CW8:$MB8))*1000+7)</f>
        <v/>
      </c>
      <c r="BJ8">
        <f>IF(P8=1,1000000,IF('計算A'!$IQ$17=2,SUMPRODUCT('計算A'!$D$67:$II$67,$CW8:$MB8,$MD8:$VI8),SUMPRODUCT('計算A'!$D$67:$II$67,$CW8:$MB8))*1000+8)</f>
        <v/>
      </c>
      <c r="BK8">
        <f>IF(Q8=1,1000000,IF('計算A'!$IQ$18=2,SUMPRODUCT('計算A'!$D$68:$II$68,$CW8:$MB8,$MD8:$VI8),SUMPRODUCT('計算A'!$D$68:$II$68,$CW8:$MB8))*1000+9)</f>
        <v/>
      </c>
      <c r="BL8">
        <f>IF(R8=1,1000000,IF('計算A'!$IQ$19=2,SUMPRODUCT('計算A'!$D$69:$II$69,$CW8:$MB8,$MD8:$VI8),SUMPRODUCT('計算A'!$D$69:$II$69,$CW8:$MB8))*1000+10)</f>
        <v/>
      </c>
      <c r="BM8">
        <f>IF(S8=1,1000000,IF('計算A'!$IQ$20=2,SUMPRODUCT('計算A'!$D$70:$II$70,$CW8:$MB8,$MD8:$VI8),SUMPRODUCT('計算A'!$D$70:$II$70,$CW8:$MB8))*1000+11)</f>
        <v/>
      </c>
      <c r="BN8">
        <f>IF(T8=1,1000000,IF('計算A'!$IQ$21=2,SUMPRODUCT('計算A'!$D$71:$II$71,$CW8:$MB8,$MD8:$VI8),SUMPRODUCT('計算A'!$D$71:$II$71,$CW8:$MB8))*1000+12)</f>
        <v/>
      </c>
      <c r="BO8">
        <f>IF(U8=1,1000000,IF('計算A'!$IQ$22=2,SUMPRODUCT('計算A'!$D$72:$II$72,$CW8:$MB8,$MD8:$VI8),SUMPRODUCT('計算A'!$D$72:$II$72,$CW8:$MB8))*1000+13)</f>
        <v/>
      </c>
      <c r="BP8">
        <f>IF(V8=1,1000000,IF('計算A'!$IQ$23=2,SUMPRODUCT('計算A'!$D$73:$II$73,$CW8:$MB8,$MD8:$VI8),SUMPRODUCT('計算A'!$D$73:$II$73,$CW8:$MB8))*1000+14)</f>
        <v/>
      </c>
      <c r="BQ8">
        <f>IF(W8=1,1000000,IF('計算A'!$IQ$24=2,SUMPRODUCT('計算A'!$D$74:$II$74,$CW8:$MB8,$MD8:$VI8),SUMPRODUCT('計算A'!$D$74:$II$74,$CW8:$MB8))*1000+15)</f>
        <v/>
      </c>
      <c r="BR8">
        <f>IF(X8=1,1000000,IF('計算A'!$IQ$25=2,SUMPRODUCT('計算A'!$D$75:$II$75,$CW8:$MB8,$MD8:$VI8),SUMPRODUCT('計算A'!$D$75:$II$75,$CW8:$MB8))*1000+16)</f>
        <v/>
      </c>
      <c r="BS8">
        <f>IF(Y8=1,1000000,IF('計算A'!$IQ$26=2,SUMPRODUCT('計算A'!$D$76:$II$76,$CW8:$MB8,$MD8:$VI8),SUMPRODUCT('計算A'!$D$76:$II$76,$CW8:$MB8))*1000+17)</f>
        <v/>
      </c>
      <c r="BT8">
        <f>IF(Z8=1,1000000,IF('計算A'!$IQ$27=2,SUMPRODUCT('計算A'!$D$77:$II$77,$CW8:$MB8,$MD8:$VI8),SUMPRODUCT('計算A'!$D$77:$II$77,$CW8:$MB8))*1000+18)</f>
        <v/>
      </c>
      <c r="BU8">
        <f>IF(AA8=1,1000000,IF('計算A'!$IQ$28=2,SUMPRODUCT('計算A'!$D$78:$II$78,$CW8:$MB8,$MD8:$VI8),SUMPRODUCT('計算A'!$D$78:$II$78,$CW8:$MB8))*1000+19)</f>
        <v/>
      </c>
      <c r="BV8">
        <f>IF(AB8=1,1000000,IF('計算A'!$IQ$29=2,SUMPRODUCT('計算A'!$D$79:$II$79,$CW8:$MB8,$MD8:$VI8),SUMPRODUCT('計算A'!$D$79:$II$79,$CW8:$MB8))*1000+20)</f>
        <v/>
      </c>
      <c r="BW8">
        <f>IF(AC8=1,1000000,IF('計算A'!$IQ$30=2,SUMPRODUCT('計算A'!$D$80:$II$80,$CW8:$MB8,$MD8:$VI8),SUMPRODUCT('計算A'!$D$80:$II$80,$CW8:$MB8))*1000+21)</f>
        <v/>
      </c>
      <c r="BX8">
        <f>IF(AD8=1,1000000,IF('計算A'!$IQ$31=2,SUMPRODUCT('計算A'!$D$81:$II$81,$CW8:$MB8,$MD8:$VI8),SUMPRODUCT('計算A'!$D$81:$II$81,$CW8:$MB8))*1000+22)</f>
        <v/>
      </c>
      <c r="BY8">
        <f>IF(AE8=1,1000000,IF('計算A'!$IQ$32=2,SUMPRODUCT('計算A'!$D$82:$II$82,$CW8:$MB8,$MD8:$VI8),SUMPRODUCT('計算A'!$D$82:$II$82,$CW8:$MB8))*1000+23)</f>
        <v/>
      </c>
      <c r="BZ8">
        <f>IF(AF8=1,1000000,IF('計算A'!$IQ$33=2,SUMPRODUCT('計算A'!$D$83:$II$83,$CW8:$MB8,$MD8:$VI8),SUMPRODUCT('計算A'!$D$83:$II$83,$CW8:$MB8))*1000+24)</f>
        <v/>
      </c>
      <c r="CA8">
        <f>IF(AG8=1,1000000,IF('計算A'!$IQ$34=2,SUMPRODUCT('計算A'!$D$84:$II$84,$CW8:$MB8,$MD8:$VI8),SUMPRODUCT('計算A'!$D$84:$II$84,$CW8:$MB8))*1000+25)</f>
        <v/>
      </c>
      <c r="CB8">
        <f>IF(AH8=1,1000000,IF('計算A'!$IQ$35=2,SUMPRODUCT('計算A'!$D$85:$II$85,$CW8:$MB8,$MD8:$VI8),SUMPRODUCT('計算A'!$D$85:$II$85,$CW8:$MB8))*1000+26)</f>
        <v/>
      </c>
      <c r="CC8">
        <f>IF(AI8=1,1000000,IF('計算A'!$IQ$36=2,SUMPRODUCT('計算A'!$D$86:$II$86,$CW8:$MB8,$MD8:$VI8),SUMPRODUCT('計算A'!$D$86:$II$86,$CW8:$MB8))*1000+27)</f>
        <v/>
      </c>
      <c r="CD8">
        <f>IF(AJ8=1,1000000,IF('計算A'!$IQ$37=2,SUMPRODUCT('計算A'!$D$87:$II$87,$CW8:$MB8,$MD8:$VI8),SUMPRODUCT('計算A'!$D$87:$II$87,$CW8:$MB8))*1000+28)</f>
        <v/>
      </c>
      <c r="CE8">
        <f>IF(AK8=1,1000000,IF('計算A'!$IQ$38=2,SUMPRODUCT('計算A'!$D$88:$II$88,$CW8:$MB8,$MD8:$VI8),SUMPRODUCT('計算A'!$D$88:$II$88,$CW8:$MB8))*1000+29)</f>
        <v/>
      </c>
      <c r="CF8">
        <f>IF(AL8=1,1000000,IF('計算A'!$IQ$39=2,SUMPRODUCT('計算A'!$D$89:$II$89,$CW8:$MB8,$MD8:$VI8),SUMPRODUCT('計算A'!$D$89:$II$89,$CW8:$MB8))*1000+30)</f>
        <v/>
      </c>
      <c r="CG8">
        <f>IF(AM8=1,1000000,IF('計算A'!$IQ$40=2,SUMPRODUCT('計算A'!$D$90:$II$90,$CW8:$MB8,$MD8:$VI8),SUMPRODUCT('計算A'!$D$90:$II$90,$CW8:$MB8))*1000+31)</f>
        <v/>
      </c>
      <c r="CH8">
        <f>IF(AN8=1,1000000,IF('計算A'!$IQ$41=2,SUMPRODUCT('計算A'!$D$91:$II$91,$CW8:$MB8,$MD8:$VI8),SUMPRODUCT('計算A'!$D$91:$II$91,$CW8:$MB8))*1000+32)</f>
        <v/>
      </c>
      <c r="CI8">
        <f>IF(AO8=1,1000000,IF('計算A'!$IQ$42=2,SUMPRODUCT('計算A'!$D$92:$II$92,$CW8:$MB8,$MD8:$VI8),SUMPRODUCT('計算A'!$D$92:$II$92,$CW8:$MB8))*1000+33)</f>
        <v/>
      </c>
      <c r="CJ8">
        <f>IF(AP8=1,1000000,IF('計算A'!$IQ$43=2,SUMPRODUCT('計算A'!$D$93:$II$93,$CW8:$MB8,$MD8:$VI8),SUMPRODUCT('計算A'!$D$93:$II$93,$CW8:$MB8))*1000+34)</f>
        <v/>
      </c>
      <c r="CK8">
        <f>IF(AQ8=1,1000000,IF('計算A'!$IQ$44=2,SUMPRODUCT('計算A'!$D$94:$II$94,$CW8:$MB8,$MD8:$VI8),SUMPRODUCT('計算A'!$D$94:$II$94,$CW8:$MB8))*1000+35)</f>
        <v/>
      </c>
      <c r="CL8">
        <f>IF(AR8=1,1000000,IF('計算A'!$IQ$45=2,SUMPRODUCT('計算A'!$D$95:$II$95,$CW8:$MB8,$MD8:$VI8),SUMPRODUCT('計算A'!$D$95:$II$95,$CW8:$MB8))*1000+36)</f>
        <v/>
      </c>
      <c r="CM8">
        <f>IF(AS8=1,1000000,IF('計算A'!$IQ$46=2,SUMPRODUCT('計算A'!$D$96:$II$96,$CW8:$MB8,$MD8:$VI8),SUMPRODUCT('計算A'!$D$96:$II$96,$CW8:$MB8))*1000+37)</f>
        <v/>
      </c>
      <c r="CN8">
        <f>IF(AT8=1,1000000,IF('計算A'!$IQ$47=2,SUMPRODUCT('計算A'!$D$97:$II$97,$CW8:$MB8,$MD8:$VI8),SUMPRODUCT('計算A'!$D$97:$II$97,$CW8:$MB8))*1000+38)</f>
        <v/>
      </c>
      <c r="CO8">
        <f>IF(AU8=1,1000000,IF('計算A'!$IQ$48=2,SUMPRODUCT('計算A'!$D$98:$II$98,$CW8:$MB8,$MD8:$VI8),SUMPRODUCT('計算A'!$D$98:$II$98,$CW8:$MB8))*1000+39)</f>
        <v/>
      </c>
      <c r="CP8">
        <f>IF(AV8=1,1000000,IF('計算A'!$IQ$49=2,SUMPRODUCT('計算A'!$D$99:$II$99,$CW8:$MB8,$MD8:$VI8),SUMPRODUCT('計算A'!$D$99:$II$99,$CW8:$MB8))*1000+40)</f>
        <v/>
      </c>
      <c r="CQ8">
        <f>IF(AW8=1,1000000,IF('計算A'!$IQ$50=2,SUMPRODUCT('計算A'!$D$100:$II$100,$CW8:$MB8,$MD8:$VI8),SUMPRODUCT('計算A'!$D$100:$II$100,$CW8:$MB8))*1000+41)</f>
        <v/>
      </c>
      <c r="CR8">
        <f>IF(AX8=1,1000000,IF('計算A'!$IQ$51=2,SUMPRODUCT('計算A'!$D$101:$II$101,$CW8:$MB8,$MD8:$VI8),SUMPRODUCT('計算A'!$D$101:$II$101,$CW8:$MB8))*1000+42)</f>
        <v/>
      </c>
      <c r="CS8">
        <f>IF(AY8=1,1000000,IF('計算A'!$IQ$52=2,SUMPRODUCT('計算A'!$D$102:$II$102,$CW8:$MB8,$MD8:$VI8),SUMPRODUCT('計算A'!$D$102:$II$102,$CW8:$MB8))*1000+43)</f>
        <v/>
      </c>
      <c r="CT8">
        <f>IF(AZ8=1,1000000,IF('計算A'!$IQ$53=2,SUMPRODUCT('計算A'!$D$103:$II$103,$CW8:$MB8,$MD8:$VI8),SUMPRODUCT('計算A'!$D$103:$II$103,$CW8:$MB8))*1000+44)</f>
        <v/>
      </c>
      <c r="CU8">
        <f>IF(BA8=1,1000000,IF('計算A'!$IQ$54=2,SUMPRODUCT('計算A'!$D$104:$II$104,$CW8:$MB8,$MD8:$VI8),SUMPRODUCT('計算A'!$D$104:$II$104,$CW8:$MB8))*1000+45)</f>
        <v/>
      </c>
      <c r="CW8">
        <f>CW7*IF(OR($C7=1,$G7=1),0,1)</f>
        <v/>
      </c>
      <c r="CX8">
        <f>CX7*IF(OR($C7=2,$G7=2),0,1)</f>
        <v/>
      </c>
      <c r="CY8">
        <f>CY7*IF(OR($C7=3,$G7=3),0,1)</f>
        <v/>
      </c>
      <c r="CZ8">
        <f>CZ7*IF(OR($C7=4,$G7=4),0,1)</f>
        <v/>
      </c>
      <c r="DA8">
        <f>DA7*IF(OR($C7=5,$G7=5),0,1)</f>
        <v/>
      </c>
      <c r="DB8">
        <f>DB7*IF(OR($C7=6,$G7=6),0,1)</f>
        <v/>
      </c>
      <c r="DC8">
        <f>DC7*IF(OR($C7=7,$G7=7),0,1)</f>
        <v/>
      </c>
      <c r="DD8">
        <f>DD7*IF(OR($C7=8,$G7=8),0,1)</f>
        <v/>
      </c>
      <c r="DE8">
        <f>DE7*IF(OR($C7=9,$G7=9),0,1)</f>
        <v/>
      </c>
      <c r="DF8">
        <f>DF7*IF(OR($C7=10,$G7=10),0,1)</f>
        <v/>
      </c>
      <c r="DG8">
        <f>DG7*IF(OR($C7=11,$G7=11),0,1)</f>
        <v/>
      </c>
      <c r="DH8">
        <f>DH7*IF(OR($C7=12,$G7=12),0,1)</f>
        <v/>
      </c>
      <c r="DI8">
        <f>DI7*IF(OR($C7=13,$G7=13),0,1)</f>
        <v/>
      </c>
      <c r="DJ8">
        <f>DJ7*IF(OR($C7=14,$G7=14),0,1)</f>
        <v/>
      </c>
      <c r="DK8">
        <f>DK7*IF(OR($C7=15,$G7=15),0,1)</f>
        <v/>
      </c>
      <c r="DL8">
        <f>DL7*IF(OR($C7=16,$G7=16),0,1)</f>
        <v/>
      </c>
      <c r="DM8">
        <f>DM7*IF(OR($C7=17,$G7=17),0,1)</f>
        <v/>
      </c>
      <c r="DN8">
        <f>DN7*IF(OR($C7=18,$G7=18),0,1)</f>
        <v/>
      </c>
      <c r="DO8">
        <f>DO7*IF(OR($C7=19,$G7=19),0,1)</f>
        <v/>
      </c>
      <c r="DP8">
        <f>DP7*IF(OR($C7=20,$G7=20),0,1)</f>
        <v/>
      </c>
      <c r="DQ8">
        <f>DQ7*IF(OR($C7=21,$G7=21),0,1)</f>
        <v/>
      </c>
      <c r="DR8">
        <f>DR7*IF(OR($C7=22,$G7=22),0,1)</f>
        <v/>
      </c>
      <c r="DS8">
        <f>DS7*IF(OR($C7=23,$G7=23),0,1)</f>
        <v/>
      </c>
      <c r="DT8">
        <f>DT7*IF(OR($C7=24,$G7=24),0,1)</f>
        <v/>
      </c>
      <c r="DU8">
        <f>DU7*IF(OR($C7=25,$G7=25),0,1)</f>
        <v/>
      </c>
      <c r="DV8">
        <f>DV7*IF(OR($C7=26,$G7=26),0,1)</f>
        <v/>
      </c>
      <c r="DW8">
        <f>DW7*IF(OR($C7=27,$G7=27),0,1)</f>
        <v/>
      </c>
      <c r="DX8">
        <f>DX7*IF(OR($C7=28,$G7=28),0,1)</f>
        <v/>
      </c>
      <c r="DY8">
        <f>DY7*IF(OR($C7=29,$G7=29),0,1)</f>
        <v/>
      </c>
      <c r="DZ8">
        <f>DZ7*IF(OR($C7=30,$G7=30),0,1)</f>
        <v/>
      </c>
      <c r="EA8">
        <f>EA7*IF(OR($C7=31,$G7=31),0,1)</f>
        <v/>
      </c>
      <c r="EB8">
        <f>EB7*IF(OR($C7=32,$G7=32),0,1)</f>
        <v/>
      </c>
      <c r="EC8">
        <f>EC7*IF(OR($C7=33,$G7=33),0,1)</f>
        <v/>
      </c>
      <c r="ED8">
        <f>ED7*IF(OR($C7=34,$G7=34),0,1)</f>
        <v/>
      </c>
      <c r="EE8">
        <f>EE7*IF(OR($C7=35,$G7=35),0,1)</f>
        <v/>
      </c>
      <c r="EF8">
        <f>EF7*IF(OR($C7=36,$G7=36),0,1)</f>
        <v/>
      </c>
      <c r="EG8">
        <f>EG7*IF(OR($C7=37,$G7=37),0,1)</f>
        <v/>
      </c>
      <c r="EH8">
        <f>EH7*IF(OR($C7=38,$G7=38),0,1)</f>
        <v/>
      </c>
      <c r="EI8">
        <f>EI7*IF(OR($C7=39,$G7=39),0,1)</f>
        <v/>
      </c>
      <c r="EJ8">
        <f>EJ7*IF(OR($C7=40,$G7=40),0,1)</f>
        <v/>
      </c>
      <c r="EK8">
        <f>EK7*IF(OR($C7=41,$G7=41),0,1)</f>
        <v/>
      </c>
      <c r="EL8">
        <f>EL7*IF(OR($C7=42,$G7=42),0,1)</f>
        <v/>
      </c>
      <c r="EM8">
        <f>EM7*IF(OR($C7=43,$G7=43),0,1)</f>
        <v/>
      </c>
      <c r="EN8">
        <f>EN7*IF(OR($C7=44,$G7=44),0,1)</f>
        <v/>
      </c>
      <c r="EO8">
        <f>EO7*IF(OR($C7=45,$G7=45),0,1)</f>
        <v/>
      </c>
      <c r="EP8">
        <f>EP7*IF(OR($C7=46,$G7=46),0,1)</f>
        <v/>
      </c>
      <c r="EQ8">
        <f>EQ7*IF(OR($C7=47,$G7=47),0,1)</f>
        <v/>
      </c>
      <c r="ER8">
        <f>ER7*IF(OR($C7=48,$G7=48),0,1)</f>
        <v/>
      </c>
      <c r="ES8">
        <f>ES7*IF(OR($C7=49,$G7=49),0,1)</f>
        <v/>
      </c>
      <c r="ET8">
        <f>ET7*IF(OR($C7=50,$G7=50),0,1)</f>
        <v/>
      </c>
      <c r="EU8">
        <f>EU7*IF(OR($C7=51,$G7=51),0,1)</f>
        <v/>
      </c>
      <c r="EV8">
        <f>EV7*IF(OR($C7=52,$G7=52),0,1)</f>
        <v/>
      </c>
      <c r="EW8">
        <f>EW7*IF(OR($C7=53,$G7=53),0,1)</f>
        <v/>
      </c>
      <c r="EX8">
        <f>EX7*IF(OR($C7=54,$G7=54),0,1)</f>
        <v/>
      </c>
      <c r="EY8">
        <f>EY7*IF(OR($C7=55,$G7=55),0,1)</f>
        <v/>
      </c>
      <c r="EZ8">
        <f>EZ7*IF(OR($C7=56,$G7=56),0,1)</f>
        <v/>
      </c>
      <c r="FA8">
        <f>FA7*IF(OR($C7=57,$G7=57),0,1)</f>
        <v/>
      </c>
      <c r="FB8">
        <f>FB7*IF(OR($C7=58,$G7=58),0,1)</f>
        <v/>
      </c>
      <c r="FC8">
        <f>FC7*IF(OR($C7=59,$G7=59),0,1)</f>
        <v/>
      </c>
      <c r="FD8">
        <f>FD7*IF(OR($C7=60,$G7=60),0,1)</f>
        <v/>
      </c>
      <c r="FE8">
        <f>FE7*IF(OR($C7=61,$G7=61),0,1)</f>
        <v/>
      </c>
      <c r="FF8">
        <f>FF7*IF(OR($C7=62,$G7=62),0,1)</f>
        <v/>
      </c>
      <c r="FG8">
        <f>FG7*IF(OR($C7=63,$G7=63),0,1)</f>
        <v/>
      </c>
      <c r="FH8">
        <f>FH7*IF(OR($C7=64,$G7=64),0,1)</f>
        <v/>
      </c>
      <c r="FI8">
        <f>FI7*IF(OR($C7=65,$G7=65),0,1)</f>
        <v/>
      </c>
      <c r="FJ8">
        <f>FJ7*IF(OR($C7=66,$G7=66),0,1)</f>
        <v/>
      </c>
      <c r="FK8">
        <f>FK7*IF(OR($C7=67,$G7=67),0,1)</f>
        <v/>
      </c>
      <c r="FL8">
        <f>FL7*IF(OR($C7=68,$G7=68),0,1)</f>
        <v/>
      </c>
      <c r="FM8">
        <f>FM7*IF(OR($C7=69,$G7=69),0,1)</f>
        <v/>
      </c>
      <c r="FN8">
        <f>FN7*IF(OR($C7=70,$G7=70),0,1)</f>
        <v/>
      </c>
      <c r="FO8">
        <f>FO7*IF(OR($C7=71,$G7=71),0,1)</f>
        <v/>
      </c>
      <c r="FP8">
        <f>FP7*IF(OR($C7=72,$G7=72),0,1)</f>
        <v/>
      </c>
      <c r="FQ8">
        <f>FQ7*IF(OR($C7=73,$G7=73),0,1)</f>
        <v/>
      </c>
      <c r="FR8">
        <f>FR7*IF(OR($C7=74,$G7=74),0,1)</f>
        <v/>
      </c>
      <c r="FS8">
        <f>FS7*IF(OR($C7=75,$G7=75),0,1)</f>
        <v/>
      </c>
      <c r="FT8">
        <f>FT7*IF(OR($C7=76,$G7=76),0,1)</f>
        <v/>
      </c>
      <c r="FU8">
        <f>FU7*IF(OR($C7=77,$G7=77),0,1)</f>
        <v/>
      </c>
      <c r="FV8">
        <f>FV7*IF(OR($C7=78,$G7=78),0,1)</f>
        <v/>
      </c>
      <c r="FW8">
        <f>FW7*IF(OR($C7=79,$G7=79),0,1)</f>
        <v/>
      </c>
      <c r="FX8">
        <f>FX7*IF(OR($C7=80,$G7=80),0,1)</f>
        <v/>
      </c>
      <c r="FY8">
        <f>FY7*IF(OR($C7=81,$G7=81),0,1)</f>
        <v/>
      </c>
      <c r="FZ8">
        <f>FZ7*IF(OR($C7=82,$G7=82),0,1)</f>
        <v/>
      </c>
      <c r="GA8">
        <f>GA7*IF(OR($C7=83,$G7=83),0,1)</f>
        <v/>
      </c>
      <c r="GB8">
        <f>GB7*IF(OR($C7=84,$G7=84),0,1)</f>
        <v/>
      </c>
      <c r="GC8">
        <f>GC7*IF(OR($C7=85,$G7=85),0,1)</f>
        <v/>
      </c>
      <c r="GD8">
        <f>GD7*IF(OR($C7=86,$G7=86),0,1)</f>
        <v/>
      </c>
      <c r="GE8">
        <f>GE7*IF(OR($C7=87,$G7=87),0,1)</f>
        <v/>
      </c>
      <c r="GF8">
        <f>GF7*IF(OR($C7=88,$G7=88),0,1)</f>
        <v/>
      </c>
      <c r="GG8">
        <f>GG7*IF(OR($C7=89,$G7=89),0,1)</f>
        <v/>
      </c>
      <c r="GH8">
        <f>GH7*IF(OR($C7=90,$G7=90),0,1)</f>
        <v/>
      </c>
      <c r="GI8">
        <f>GI7*IF(OR($C7=91,$G7=91),0,1)</f>
        <v/>
      </c>
      <c r="GJ8">
        <f>GJ7*IF(OR($C7=92,$G7=92),0,1)</f>
        <v/>
      </c>
      <c r="GK8">
        <f>GK7*IF(OR($C7=93,$G7=93),0,1)</f>
        <v/>
      </c>
      <c r="GL8">
        <f>GL7*IF(OR($C7=94,$G7=94),0,1)</f>
        <v/>
      </c>
      <c r="GM8">
        <f>GM7*IF(OR($C7=95,$G7=95),0,1)</f>
        <v/>
      </c>
      <c r="GN8">
        <f>GN7*IF(OR($C7=96,$G7=96),0,1)</f>
        <v/>
      </c>
      <c r="GO8">
        <f>GO7*IF(OR($C7=97,$G7=97),0,1)</f>
        <v/>
      </c>
      <c r="GP8">
        <f>GP7*IF(OR($C7=98,$G7=98),0,1)</f>
        <v/>
      </c>
      <c r="GQ8">
        <f>GQ7*IF(OR($C7=99,$G7=99),0,1)</f>
        <v/>
      </c>
      <c r="GR8">
        <f>GR7*IF(OR($C7=100,$G7=100),0,1)</f>
        <v/>
      </c>
      <c r="GS8">
        <f>GS7*IF(OR($C7=101,$G7=101),0,1)</f>
        <v/>
      </c>
      <c r="GT8">
        <f>GT7*IF(OR($C7=102,$G7=102),0,1)</f>
        <v/>
      </c>
      <c r="GU8">
        <f>GU7*IF(OR($C7=103,$G7=103),0,1)</f>
        <v/>
      </c>
      <c r="GV8">
        <f>GV7*IF(OR($C7=104,$G7=104),0,1)</f>
        <v/>
      </c>
      <c r="GW8">
        <f>GW7*IF(OR($C7=105,$G7=105),0,1)</f>
        <v/>
      </c>
      <c r="GX8">
        <f>GX7*IF(OR($C7=106,$G7=106),0,1)</f>
        <v/>
      </c>
      <c r="GY8">
        <f>GY7*IF(OR($C7=107,$G7=107),0,1)</f>
        <v/>
      </c>
      <c r="GZ8">
        <f>GZ7*IF(OR($C7=108,$G7=108),0,1)</f>
        <v/>
      </c>
      <c r="HA8">
        <f>HA7*IF(OR($C7=109,$G7=109),0,1)</f>
        <v/>
      </c>
      <c r="HB8">
        <f>HB7*IF(OR($C7=110,$G7=110),0,1)</f>
        <v/>
      </c>
      <c r="HC8">
        <f>HC7*IF(OR($C7=111,$G7=111),0,1)</f>
        <v/>
      </c>
      <c r="HD8">
        <f>HD7*IF(OR($C7=112,$G7=112),0,1)</f>
        <v/>
      </c>
      <c r="HE8">
        <f>HE7*IF(OR($C7=113,$G7=113),0,1)</f>
        <v/>
      </c>
      <c r="HF8">
        <f>HF7*IF(OR($C7=114,$G7=114),0,1)</f>
        <v/>
      </c>
      <c r="HG8">
        <f>HG7*IF(OR($C7=115,$G7=115),0,1)</f>
        <v/>
      </c>
      <c r="HH8">
        <f>HH7*IF(OR($C7=116,$G7=116),0,1)</f>
        <v/>
      </c>
      <c r="HI8">
        <f>HI7*IF(OR($C7=117,$G7=117),0,1)</f>
        <v/>
      </c>
      <c r="HJ8">
        <f>HJ7*IF(OR($C7=118,$G7=118),0,1)</f>
        <v/>
      </c>
      <c r="HK8">
        <f>HK7*IF(OR($C7=119,$G7=119),0,1)</f>
        <v/>
      </c>
      <c r="HL8">
        <f>HL7*IF(OR($C7=120,$G7=120),0,1)</f>
        <v/>
      </c>
      <c r="HM8">
        <f>HM7*IF(OR($C7=121,$G7=121),0,1)</f>
        <v/>
      </c>
      <c r="HN8">
        <f>HN7*IF(OR($C7=122,$G7=122),0,1)</f>
        <v/>
      </c>
      <c r="HO8">
        <f>HO7*IF(OR($C7=123,$G7=123),0,1)</f>
        <v/>
      </c>
      <c r="HP8">
        <f>HP7*IF(OR($C7=124,$G7=124),0,1)</f>
        <v/>
      </c>
      <c r="HQ8">
        <f>HQ7*IF(OR($C7=125,$G7=125),0,1)</f>
        <v/>
      </c>
      <c r="HR8">
        <f>HR7*IF(OR($C7=126,$G7=126),0,1)</f>
        <v/>
      </c>
      <c r="HS8">
        <f>HS7*IF(OR($C7=127,$G7=127),0,1)</f>
        <v/>
      </c>
      <c r="HT8">
        <f>HT7*IF(OR($C7=128,$G7=128),0,1)</f>
        <v/>
      </c>
      <c r="HU8">
        <f>HU7*IF(OR($C7=129,$G7=129),0,1)</f>
        <v/>
      </c>
      <c r="HV8">
        <f>HV7*IF(OR($C7=130,$G7=130),0,1)</f>
        <v/>
      </c>
      <c r="HW8">
        <f>HW7*IF(OR($C7=131,$G7=131),0,1)</f>
        <v/>
      </c>
      <c r="HX8">
        <f>HX7*IF(OR($C7=132,$G7=132),0,1)</f>
        <v/>
      </c>
      <c r="HY8">
        <f>HY7*IF(OR($C7=133,$G7=133),0,1)</f>
        <v/>
      </c>
      <c r="HZ8">
        <f>HZ7*IF(OR($C7=134,$G7=134),0,1)</f>
        <v/>
      </c>
      <c r="IA8">
        <f>IA7*IF(OR($C7=135,$G7=135),0,1)</f>
        <v/>
      </c>
      <c r="IB8">
        <f>IB7*IF(OR($C7=136,$G7=136),0,1)</f>
        <v/>
      </c>
      <c r="IC8">
        <f>IC7*IF(OR($C7=137,$G7=137),0,1)</f>
        <v/>
      </c>
      <c r="ID8">
        <f>ID7*IF(OR($C7=138,$G7=138),0,1)</f>
        <v/>
      </c>
      <c r="IE8">
        <f>IE7*IF(OR($C7=139,$G7=139),0,1)</f>
        <v/>
      </c>
      <c r="IF8">
        <f>IF7*IF(OR($C7=140,$G7=140),0,1)</f>
        <v/>
      </c>
      <c r="IG8">
        <f>IG7*IF(OR($C7=141,$G7=141),0,1)</f>
        <v/>
      </c>
      <c r="IH8">
        <f>IH7*IF(OR($C7=142,$G7=142),0,1)</f>
        <v/>
      </c>
      <c r="II8">
        <f>II7*IF(OR($C7=143,$G7=143),0,1)</f>
        <v/>
      </c>
      <c r="IJ8">
        <f>IJ7*IF(OR($C7=144,$G7=144),0,1)</f>
        <v/>
      </c>
      <c r="IK8">
        <f>IK7*IF(OR($C7=145,$G7=145),0,1)</f>
        <v/>
      </c>
      <c r="IL8">
        <f>IL7*IF(OR($C7=146,$G7=146),0,1)</f>
        <v/>
      </c>
      <c r="IM8">
        <f>IM7*IF(OR($C7=147,$G7=147),0,1)</f>
        <v/>
      </c>
      <c r="IN8">
        <f>IN7*IF(OR($C7=148,$G7=148),0,1)</f>
        <v/>
      </c>
      <c r="IO8">
        <f>IO7*IF(OR($C7=149,$G7=149),0,1)</f>
        <v/>
      </c>
      <c r="IP8">
        <f>IP7*IF(OR($C7=150,$G7=150),0,1)</f>
        <v/>
      </c>
      <c r="IQ8">
        <f>IQ7*IF(OR($C7=151,$G7=151),0,1)</f>
        <v/>
      </c>
      <c r="IR8">
        <f>IR7*IF(OR($C7=152,$G7=152),0,1)</f>
        <v/>
      </c>
      <c r="IS8">
        <f>IS7*IF(OR($C7=153,$G7=153),0,1)</f>
        <v/>
      </c>
      <c r="IT8">
        <f>IT7*IF(OR($C7=154,$G7=154),0,1)</f>
        <v/>
      </c>
      <c r="IU8">
        <f>IU7*IF(OR($C7=155,$G7=155),0,1)</f>
        <v/>
      </c>
      <c r="IV8">
        <f>IV7*IF(OR($C7=156,$G7=156),0,1)</f>
        <v/>
      </c>
      <c r="IW8">
        <f>IW7*IF(OR($C7=157,$G7=157),0,1)</f>
        <v/>
      </c>
      <c r="IX8">
        <f>IX7*IF(OR($C7=158,$G7=158),0,1)</f>
        <v/>
      </c>
      <c r="IY8">
        <f>IY7*IF(OR($C7=159,$G7=159),0,1)</f>
        <v/>
      </c>
      <c r="IZ8">
        <f>IZ7*IF(OR($C7=160,$G7=160),0,1)</f>
        <v/>
      </c>
      <c r="JA8">
        <f>JA7*IF(OR($C7=161,$G7=161),0,1)</f>
        <v/>
      </c>
      <c r="JB8">
        <f>JB7*IF(OR($C7=162,$G7=162),0,1)</f>
        <v/>
      </c>
      <c r="JC8">
        <f>JC7*IF(OR($C7=163,$G7=163),0,1)</f>
        <v/>
      </c>
      <c r="JD8">
        <f>JD7*IF(OR($C7=164,$G7=164),0,1)</f>
        <v/>
      </c>
      <c r="JE8">
        <f>JE7*IF(OR($C7=165,$G7=165),0,1)</f>
        <v/>
      </c>
      <c r="JF8">
        <f>JF7*IF(OR($C7=166,$G7=166),0,1)</f>
        <v/>
      </c>
      <c r="JG8">
        <f>JG7*IF(OR($C7=167,$G7=167),0,1)</f>
        <v/>
      </c>
      <c r="JH8">
        <f>JH7*IF(OR($C7=168,$G7=168),0,1)</f>
        <v/>
      </c>
      <c r="JI8">
        <f>JI7*IF(OR($C7=169,$G7=169),0,1)</f>
        <v/>
      </c>
      <c r="JJ8">
        <f>JJ7*IF(OR($C7=170,$G7=170),0,1)</f>
        <v/>
      </c>
      <c r="JK8">
        <f>JK7*IF(OR($C7=171,$G7=171),0,1)</f>
        <v/>
      </c>
      <c r="JL8">
        <f>JL7*IF(OR($C7=172,$G7=172),0,1)</f>
        <v/>
      </c>
      <c r="JM8">
        <f>JM7*IF(OR($C7=173,$G7=173),0,1)</f>
        <v/>
      </c>
      <c r="JN8">
        <f>JN7*IF(OR($C7=174,$G7=174),0,1)</f>
        <v/>
      </c>
      <c r="JO8">
        <f>JO7*IF(OR($C7=175,$G7=175),0,1)</f>
        <v/>
      </c>
      <c r="JP8">
        <f>JP7*IF(OR($C7=176,$G7=176),0,1)</f>
        <v/>
      </c>
      <c r="JQ8">
        <f>JQ7*IF(OR($C7=177,$G7=177),0,1)</f>
        <v/>
      </c>
      <c r="JR8">
        <f>JR7*IF(OR($C7=178,$G7=178),0,1)</f>
        <v/>
      </c>
      <c r="JS8">
        <f>JS7*IF(OR($C7=179,$G7=179),0,1)</f>
        <v/>
      </c>
      <c r="JT8">
        <f>JT7*IF(OR($C7=180,$G7=180),0,1)</f>
        <v/>
      </c>
      <c r="JU8">
        <f>JU7*IF(OR($C7=181,$G7=181),0,1)</f>
        <v/>
      </c>
      <c r="JV8">
        <f>JV7*IF(OR($C7=182,$G7=182),0,1)</f>
        <v/>
      </c>
      <c r="JW8">
        <f>JW7*IF(OR($C7=183,$G7=183),0,1)</f>
        <v/>
      </c>
      <c r="JX8">
        <f>JX7*IF(OR($C7=184,$G7=184),0,1)</f>
        <v/>
      </c>
      <c r="JY8">
        <f>JY7*IF(OR($C7=185,$G7=185),0,1)</f>
        <v/>
      </c>
      <c r="JZ8">
        <f>JZ7*IF(OR($C7=186,$G7=186),0,1)</f>
        <v/>
      </c>
      <c r="KA8">
        <f>KA7*IF(OR($C7=187,$G7=187),0,1)</f>
        <v/>
      </c>
      <c r="KB8">
        <f>KB7*IF(OR($C7=188,$G7=188),0,1)</f>
        <v/>
      </c>
      <c r="KC8">
        <f>KC7*IF(OR($C7=189,$G7=189),0,1)</f>
        <v/>
      </c>
      <c r="KD8">
        <f>KD7*IF(OR($C7=190,$G7=190),0,1)</f>
        <v/>
      </c>
      <c r="KE8">
        <f>KE7*IF(OR($C7=191,$G7=191),0,1)</f>
        <v/>
      </c>
      <c r="KF8">
        <f>KF7*IF(OR($C7=192,$G7=192),0,1)</f>
        <v/>
      </c>
      <c r="KG8">
        <f>KG7*IF(OR($C7=193,$G7=193),0,1)</f>
        <v/>
      </c>
      <c r="KH8">
        <f>KH7*IF(OR($C7=194,$G7=194),0,1)</f>
        <v/>
      </c>
      <c r="KI8">
        <f>KI7*IF(OR($C7=195,$G7=195),0,1)</f>
        <v/>
      </c>
      <c r="KJ8">
        <f>KJ7*IF(OR($C7=196,$G7=196),0,1)</f>
        <v/>
      </c>
      <c r="KK8">
        <f>KK7*IF(OR($C7=197,$G7=197),0,1)</f>
        <v/>
      </c>
      <c r="KL8">
        <f>KL7*IF(OR($C7=198,$G7=198),0,1)</f>
        <v/>
      </c>
      <c r="KM8">
        <f>KM7*IF(OR($C7=199,$G7=199),0,1)</f>
        <v/>
      </c>
      <c r="KN8">
        <f>KN7*IF(OR($C7=200,$G7=200),0,1)</f>
        <v/>
      </c>
      <c r="KO8">
        <f>KO7*IF(OR($C7=201,$G7=201),0,1)</f>
        <v/>
      </c>
      <c r="KP8">
        <f>KP7*IF(OR($C7=202,$G7=202),0,1)</f>
        <v/>
      </c>
      <c r="KQ8">
        <f>KQ7*IF(OR($C7=203,$G7=203),0,1)</f>
        <v/>
      </c>
      <c r="KR8">
        <f>KR7*IF(OR($C7=204,$G7=204),0,1)</f>
        <v/>
      </c>
      <c r="KS8">
        <f>KS7*IF(OR($C7=205,$G7=205),0,1)</f>
        <v/>
      </c>
      <c r="KT8">
        <f>KT7*IF(OR($C7=206,$G7=206),0,1)</f>
        <v/>
      </c>
      <c r="KU8">
        <f>KU7*IF(OR($C7=207,$G7=207),0,1)</f>
        <v/>
      </c>
      <c r="KV8">
        <f>KV7*IF(OR($C7=208,$G7=208),0,1)</f>
        <v/>
      </c>
      <c r="KW8">
        <f>KW7*IF(OR($C7=209,$G7=209),0,1)</f>
        <v/>
      </c>
      <c r="KX8">
        <f>KX7*IF(OR($C7=210,$G7=210),0,1)</f>
        <v/>
      </c>
      <c r="KY8">
        <f>KY7*IF(OR($C7=211,$G7=211),0,1)</f>
        <v/>
      </c>
      <c r="KZ8">
        <f>KZ7*IF(OR($C7=212,$G7=212),0,1)</f>
        <v/>
      </c>
      <c r="LA8">
        <f>LA7*IF(OR($C7=213,$G7=213),0,1)</f>
        <v/>
      </c>
      <c r="LB8">
        <f>LB7*IF(OR($C7=214,$G7=214),0,1)</f>
        <v/>
      </c>
      <c r="LC8">
        <f>LC7*IF(OR($C7=215,$G7=215),0,1)</f>
        <v/>
      </c>
      <c r="LD8">
        <f>LD7*IF(OR($C7=216,$G7=216),0,1)</f>
        <v/>
      </c>
      <c r="LE8">
        <f>LE7*IF(OR($C7=217,$G7=217),0,1)</f>
        <v/>
      </c>
      <c r="LF8">
        <f>LF7*IF(OR($C7=218,$G7=218),0,1)</f>
        <v/>
      </c>
      <c r="LG8">
        <f>LG7*IF(OR($C7=219,$G7=219),0,1)</f>
        <v/>
      </c>
      <c r="LH8">
        <f>LH7*IF(OR($C7=220,$G7=220),0,1)</f>
        <v/>
      </c>
      <c r="LI8">
        <f>LI7*IF(OR($C7=221,$G7=221),0,1)</f>
        <v/>
      </c>
      <c r="LJ8">
        <f>LJ7*IF(OR($C7=222,$G7=222),0,1)</f>
        <v/>
      </c>
      <c r="LK8">
        <f>LK7*IF(OR($C7=223,$G7=223),0,1)</f>
        <v/>
      </c>
      <c r="LL8">
        <f>LL7*IF(OR($C7=224,$G7=224),0,1)</f>
        <v/>
      </c>
      <c r="LM8">
        <f>LM7*IF(OR($C7=225,$G7=225),0,1)</f>
        <v/>
      </c>
      <c r="LN8">
        <f>LN7*IF(OR($C7=226,$G7=226),0,1)</f>
        <v/>
      </c>
      <c r="LO8">
        <f>LO7*IF(OR($C7=227,$G7=227),0,1)</f>
        <v/>
      </c>
      <c r="LP8">
        <f>LP7*IF(OR($C7=228,$G7=228),0,1)</f>
        <v/>
      </c>
      <c r="LQ8">
        <f>LQ7*IF(OR($C7=229,$G7=229),0,1)</f>
        <v/>
      </c>
      <c r="LR8">
        <f>LR7*IF(OR($C7=230,$G7=230),0,1)</f>
        <v/>
      </c>
      <c r="LS8">
        <f>LS7*IF(OR($C7=231,$G7=231),0,1)</f>
        <v/>
      </c>
      <c r="LT8">
        <f>LT7*IF(OR($C7=232,$G7=232),0,1)</f>
        <v/>
      </c>
      <c r="LU8">
        <f>LU7*IF(OR($C7=233,$G7=233),0,1)</f>
        <v/>
      </c>
      <c r="LV8">
        <f>LV7*IF(OR($C7=234,$G7=234),0,1)</f>
        <v/>
      </c>
      <c r="LW8">
        <f>LW7*IF(OR($C7=235,$G7=235),0,1)</f>
        <v/>
      </c>
      <c r="LX8">
        <f>LX7*IF(OR($C7=236,$G7=236),0,1)</f>
        <v/>
      </c>
      <c r="LY8">
        <f>LY7*IF(OR($C7=237,$G7=237),0,1)</f>
        <v/>
      </c>
      <c r="LZ8">
        <f>LZ7*IF(OR($C7=238,$G7=238),0,1)</f>
        <v/>
      </c>
      <c r="MA8">
        <f>MA7*IF(OR($C7=239,$G7=239),0,1)</f>
        <v/>
      </c>
      <c r="MB8">
        <f>MB7*IF(OR($C7=240,$G7=240),0,1)</f>
        <v/>
      </c>
      <c r="MD8">
        <f>IF('計算A'!D$106=1,CX8,1)</f>
        <v/>
      </c>
      <c r="ME8">
        <f>IF('計算A'!E$106=1,CY8,1)</f>
        <v/>
      </c>
      <c r="MF8">
        <f>IF('計算A'!F$106=1,CZ8,1)</f>
        <v/>
      </c>
      <c r="MG8">
        <f>IF('計算A'!G$106=1,DA8,1)</f>
        <v/>
      </c>
      <c r="MH8">
        <f>IF('計算A'!H$106=1,DB8,1)</f>
        <v/>
      </c>
      <c r="MI8">
        <f>IF('計算A'!I$106=1,DC8,1)</f>
        <v/>
      </c>
      <c r="MJ8">
        <f>IF('計算A'!J$106=1,DD8,1)</f>
        <v/>
      </c>
      <c r="MK8">
        <f>IF('計算A'!K$106=1,DE8,1)</f>
        <v/>
      </c>
      <c r="ML8">
        <f>IF('計算A'!L$106=1,DF8,1)</f>
        <v/>
      </c>
      <c r="MM8">
        <f>IF('計算A'!M$106=1,DG8,1)</f>
        <v/>
      </c>
      <c r="MN8">
        <f>IF('計算A'!N$106=1,DH8,1)</f>
        <v/>
      </c>
      <c r="MO8">
        <f>IF('計算A'!O$106=1,DI8,1)</f>
        <v/>
      </c>
      <c r="MP8">
        <f>IF('計算A'!P$106=1,DJ8,1)</f>
        <v/>
      </c>
      <c r="MQ8">
        <f>IF('計算A'!Q$106=1,DK8,1)</f>
        <v/>
      </c>
      <c r="MR8">
        <f>IF('計算A'!R$106=1,DL8,1)</f>
        <v/>
      </c>
      <c r="MS8">
        <f>IF('計算A'!S$106=1,DM8,1)</f>
        <v/>
      </c>
      <c r="MT8">
        <f>IF('計算A'!T$106=1,DN8,1)</f>
        <v/>
      </c>
      <c r="MU8">
        <f>IF('計算A'!U$106=1,DO8,1)</f>
        <v/>
      </c>
      <c r="MV8">
        <f>IF('計算A'!V$106=1,DP8,1)</f>
        <v/>
      </c>
      <c r="MW8">
        <f>IF('計算A'!W$106=1,DQ8,1)</f>
        <v/>
      </c>
      <c r="MX8">
        <f>IF('計算A'!X$106=1,DR8,1)</f>
        <v/>
      </c>
      <c r="MY8">
        <f>IF('計算A'!Y$106=1,DS8,1)</f>
        <v/>
      </c>
      <c r="MZ8">
        <f>IF('計算A'!Z$106=1,DT8,1)</f>
        <v/>
      </c>
      <c r="NA8">
        <f>IF('計算A'!AA$106=1,DU8,1)</f>
        <v/>
      </c>
      <c r="NB8">
        <f>IF('計算A'!AB$106=1,DV8,1)</f>
        <v/>
      </c>
      <c r="NC8">
        <f>IF('計算A'!AC$106=1,DW8,1)</f>
        <v/>
      </c>
      <c r="ND8">
        <f>IF('計算A'!AD$106=1,DX8,1)</f>
        <v/>
      </c>
      <c r="NE8">
        <f>IF('計算A'!AE$106=1,DY8,1)</f>
        <v/>
      </c>
      <c r="NF8">
        <f>IF('計算A'!AF$106=1,DZ8,1)</f>
        <v/>
      </c>
      <c r="NG8">
        <f>IF('計算A'!AG$106=1,EA8,1)</f>
        <v/>
      </c>
      <c r="NH8">
        <f>IF('計算A'!AH$106=1,EB8,1)</f>
        <v/>
      </c>
      <c r="NI8">
        <f>IF('計算A'!AI$106=1,EC8,1)</f>
        <v/>
      </c>
      <c r="NJ8">
        <f>IF('計算A'!AJ$106=1,ED8,1)</f>
        <v/>
      </c>
      <c r="NK8">
        <f>IF('計算A'!AK$106=1,EE8,1)</f>
        <v/>
      </c>
      <c r="NL8">
        <f>IF('計算A'!AL$106=1,EF8,1)</f>
        <v/>
      </c>
      <c r="NM8">
        <f>IF('計算A'!AM$106=1,EG8,1)</f>
        <v/>
      </c>
      <c r="NN8">
        <f>IF('計算A'!AN$106=1,EH8,1)</f>
        <v/>
      </c>
      <c r="NO8">
        <f>IF('計算A'!AO$106=1,EI8,1)</f>
        <v/>
      </c>
      <c r="NP8">
        <f>IF('計算A'!AP$106=1,EJ8,1)</f>
        <v/>
      </c>
      <c r="NQ8">
        <f>IF('計算A'!AQ$106=1,EK8,1)</f>
        <v/>
      </c>
      <c r="NR8">
        <f>IF('計算A'!AR$106=1,EL8,1)</f>
        <v/>
      </c>
      <c r="NS8">
        <f>IF('計算A'!AS$106=1,EM8,1)</f>
        <v/>
      </c>
      <c r="NT8">
        <f>IF('計算A'!AT$106=1,EN8,1)</f>
        <v/>
      </c>
      <c r="NU8">
        <f>IF('計算A'!AU$106=1,EO8,1)</f>
        <v/>
      </c>
      <c r="NV8">
        <f>IF('計算A'!AV$106=1,EP8,1)</f>
        <v/>
      </c>
      <c r="NW8">
        <f>IF('計算A'!AW$106=1,EQ8,1)</f>
        <v/>
      </c>
      <c r="NX8">
        <f>IF('計算A'!AX$106=1,ER8,1)</f>
        <v/>
      </c>
      <c r="NY8">
        <f>IF('計算A'!AY$106=1,ES8,1)</f>
        <v/>
      </c>
      <c r="NZ8">
        <f>IF('計算A'!AZ$106=1,ET8,1)</f>
        <v/>
      </c>
      <c r="OA8">
        <f>IF('計算A'!BA$106=1,EU8,1)</f>
        <v/>
      </c>
      <c r="OB8">
        <f>IF('計算A'!BB$106=1,EV8,1)</f>
        <v/>
      </c>
      <c r="OC8">
        <f>IF('計算A'!BC$106=1,EW8,1)</f>
        <v/>
      </c>
      <c r="OD8">
        <f>IF('計算A'!BD$106=1,EX8,1)</f>
        <v/>
      </c>
      <c r="OE8">
        <f>IF('計算A'!BE$106=1,EY8,1)</f>
        <v/>
      </c>
      <c r="OF8">
        <f>IF('計算A'!BF$106=1,EZ8,1)</f>
        <v/>
      </c>
      <c r="OG8">
        <f>IF('計算A'!BG$106=1,FA8,1)</f>
        <v/>
      </c>
      <c r="OH8">
        <f>IF('計算A'!BH$106=1,FB8,1)</f>
        <v/>
      </c>
      <c r="OI8">
        <f>IF('計算A'!BI$106=1,FC8,1)</f>
        <v/>
      </c>
      <c r="OJ8">
        <f>IF('計算A'!BJ$106=1,FD8,1)</f>
        <v/>
      </c>
      <c r="OK8">
        <f>IF('計算A'!BK$106=1,FE8,1)</f>
        <v/>
      </c>
      <c r="OL8">
        <f>IF('計算A'!BL$106=1,FF8,1)</f>
        <v/>
      </c>
      <c r="OM8">
        <f>IF('計算A'!BM$106=1,FG8,1)</f>
        <v/>
      </c>
      <c r="ON8">
        <f>IF('計算A'!BN$106=1,FH8,1)</f>
        <v/>
      </c>
      <c r="OO8">
        <f>IF('計算A'!BO$106=1,FI8,1)</f>
        <v/>
      </c>
      <c r="OP8">
        <f>IF('計算A'!BP$106=1,FJ8,1)</f>
        <v/>
      </c>
      <c r="OQ8">
        <f>IF('計算A'!BQ$106=1,FK8,1)</f>
        <v/>
      </c>
      <c r="OR8">
        <f>IF('計算A'!BR$106=1,FL8,1)</f>
        <v/>
      </c>
      <c r="OS8">
        <f>IF('計算A'!BS$106=1,FM8,1)</f>
        <v/>
      </c>
      <c r="OT8">
        <f>IF('計算A'!BT$106=1,FN8,1)</f>
        <v/>
      </c>
      <c r="OU8">
        <f>IF('計算A'!BU$106=1,FO8,1)</f>
        <v/>
      </c>
      <c r="OV8">
        <f>IF('計算A'!BV$106=1,FP8,1)</f>
        <v/>
      </c>
      <c r="OW8">
        <f>IF('計算A'!BW$106=1,FQ8,1)</f>
        <v/>
      </c>
      <c r="OX8">
        <f>IF('計算A'!BX$106=1,FR8,1)</f>
        <v/>
      </c>
      <c r="OY8">
        <f>IF('計算A'!BY$106=1,FS8,1)</f>
        <v/>
      </c>
      <c r="OZ8">
        <f>IF('計算A'!BZ$106=1,FT8,1)</f>
        <v/>
      </c>
      <c r="PA8">
        <f>IF('計算A'!CA$106=1,FU8,1)</f>
        <v/>
      </c>
      <c r="PB8">
        <f>IF('計算A'!CB$106=1,FV8,1)</f>
        <v/>
      </c>
      <c r="PC8">
        <f>IF('計算A'!CC$106=1,FW8,1)</f>
        <v/>
      </c>
      <c r="PD8">
        <f>IF('計算A'!CD$106=1,FX8,1)</f>
        <v/>
      </c>
      <c r="PE8">
        <f>IF('計算A'!CE$106=1,FY8,1)</f>
        <v/>
      </c>
      <c r="PF8">
        <f>IF('計算A'!CF$106=1,FZ8,1)</f>
        <v/>
      </c>
      <c r="PG8">
        <f>IF('計算A'!CG$106=1,GA8,1)</f>
        <v/>
      </c>
      <c r="PH8">
        <f>IF('計算A'!CH$106=1,GB8,1)</f>
        <v/>
      </c>
      <c r="PI8">
        <f>IF('計算A'!CI$106=1,GC8,1)</f>
        <v/>
      </c>
      <c r="PJ8">
        <f>IF('計算A'!CJ$106=1,GD8,1)</f>
        <v/>
      </c>
      <c r="PK8">
        <f>IF('計算A'!CK$106=1,GE8,1)</f>
        <v/>
      </c>
      <c r="PL8">
        <f>IF('計算A'!CL$106=1,GF8,1)</f>
        <v/>
      </c>
      <c r="PM8">
        <f>IF('計算A'!CM$106=1,GG8,1)</f>
        <v/>
      </c>
      <c r="PN8">
        <f>IF('計算A'!CN$106=1,GH8,1)</f>
        <v/>
      </c>
      <c r="PO8">
        <f>IF('計算A'!CO$106=1,GI8,1)</f>
        <v/>
      </c>
      <c r="PP8">
        <f>IF('計算A'!CP$106=1,GJ8,1)</f>
        <v/>
      </c>
      <c r="PQ8">
        <f>IF('計算A'!CQ$106=1,GK8,1)</f>
        <v/>
      </c>
      <c r="PR8">
        <f>IF('計算A'!CR$106=1,GL8,1)</f>
        <v/>
      </c>
      <c r="PS8">
        <f>IF('計算A'!CS$106=1,GM8,1)</f>
        <v/>
      </c>
      <c r="PT8">
        <f>IF('計算A'!CT$106=1,GN8,1)</f>
        <v/>
      </c>
      <c r="PU8">
        <f>IF('計算A'!CU$106=1,GO8,1)</f>
        <v/>
      </c>
      <c r="PV8">
        <f>IF('計算A'!CV$106=1,GP8,1)</f>
        <v/>
      </c>
      <c r="PW8">
        <f>IF('計算A'!CW$106=1,GQ8,1)</f>
        <v/>
      </c>
      <c r="PX8">
        <f>IF('計算A'!CX$106=1,GR8,1)</f>
        <v/>
      </c>
      <c r="PY8">
        <f>IF('計算A'!CY$106=1,GS8,1)</f>
        <v/>
      </c>
      <c r="PZ8">
        <f>IF('計算A'!CZ$106=1,GT8,1)</f>
        <v/>
      </c>
      <c r="QA8">
        <f>IF('計算A'!DA$106=1,GU8,1)</f>
        <v/>
      </c>
      <c r="QB8">
        <f>IF('計算A'!DB$106=1,GV8,1)</f>
        <v/>
      </c>
      <c r="QC8">
        <f>IF('計算A'!DC$106=1,GW8,1)</f>
        <v/>
      </c>
      <c r="QD8">
        <f>IF('計算A'!DD$106=1,GX8,1)</f>
        <v/>
      </c>
      <c r="QE8">
        <f>IF('計算A'!DE$106=1,GY8,1)</f>
        <v/>
      </c>
      <c r="QF8">
        <f>IF('計算A'!DF$106=1,GZ8,1)</f>
        <v/>
      </c>
      <c r="QG8">
        <f>IF('計算A'!DG$106=1,HA8,1)</f>
        <v/>
      </c>
      <c r="QH8">
        <f>IF('計算A'!DH$106=1,HB8,1)</f>
        <v/>
      </c>
      <c r="QI8">
        <f>IF('計算A'!DI$106=1,HC8,1)</f>
        <v/>
      </c>
      <c r="QJ8">
        <f>IF('計算A'!DJ$106=1,HD8,1)</f>
        <v/>
      </c>
      <c r="QK8">
        <f>IF('計算A'!DK$106=1,HE8,1)</f>
        <v/>
      </c>
      <c r="QL8">
        <f>IF('計算A'!DL$106=1,HF8,1)</f>
        <v/>
      </c>
      <c r="QM8">
        <f>IF('計算A'!DM$106=1,HG8,1)</f>
        <v/>
      </c>
      <c r="QN8">
        <f>IF('計算A'!DN$106=1,HH8,1)</f>
        <v/>
      </c>
      <c r="QO8">
        <f>IF('計算A'!DO$106=1,HI8,1)</f>
        <v/>
      </c>
      <c r="QP8">
        <f>IF('計算A'!DP$106=1,HJ8,1)</f>
        <v/>
      </c>
      <c r="QQ8">
        <f>IF('計算A'!DQ$106=1,HK8,1)</f>
        <v/>
      </c>
      <c r="QR8">
        <f>IF('計算A'!DR$106=1,HL8,1)</f>
        <v/>
      </c>
      <c r="QS8">
        <f>IF('計算A'!DS$106=1,HM8,1)</f>
        <v/>
      </c>
      <c r="QT8">
        <f>IF('計算A'!DT$106=1,HN8,1)</f>
        <v/>
      </c>
      <c r="QU8">
        <f>IF('計算A'!DU$106=1,HO8,1)</f>
        <v/>
      </c>
      <c r="QV8">
        <f>IF('計算A'!DV$106=1,HP8,1)</f>
        <v/>
      </c>
      <c r="QW8">
        <f>IF('計算A'!DW$106=1,HQ8,1)</f>
        <v/>
      </c>
      <c r="QX8">
        <f>IF('計算A'!DX$106=1,HR8,1)</f>
        <v/>
      </c>
      <c r="QY8">
        <f>IF('計算A'!DY$106=1,HS8,1)</f>
        <v/>
      </c>
      <c r="QZ8">
        <f>IF('計算A'!DZ$106=1,HT8,1)</f>
        <v/>
      </c>
      <c r="RA8">
        <f>IF('計算A'!EA$106=1,HU8,1)</f>
        <v/>
      </c>
      <c r="RB8">
        <f>IF('計算A'!EB$106=1,HV8,1)</f>
        <v/>
      </c>
      <c r="RC8">
        <f>IF('計算A'!EC$106=1,HW8,1)</f>
        <v/>
      </c>
      <c r="RD8">
        <f>IF('計算A'!ED$106=1,HX8,1)</f>
        <v/>
      </c>
      <c r="RE8">
        <f>IF('計算A'!EE$106=1,HY8,1)</f>
        <v/>
      </c>
      <c r="RF8">
        <f>IF('計算A'!EF$106=1,HZ8,1)</f>
        <v/>
      </c>
      <c r="RG8">
        <f>IF('計算A'!EG$106=1,IA8,1)</f>
        <v/>
      </c>
      <c r="RH8">
        <f>IF('計算A'!EH$106=1,IB8,1)</f>
        <v/>
      </c>
      <c r="RI8">
        <f>IF('計算A'!EI$106=1,IC8,1)</f>
        <v/>
      </c>
      <c r="RJ8">
        <f>IF('計算A'!EJ$106=1,ID8,1)</f>
        <v/>
      </c>
      <c r="RK8">
        <f>IF('計算A'!EK$106=1,IE8,1)</f>
        <v/>
      </c>
      <c r="RL8">
        <f>IF('計算A'!EL$106=1,IF8,1)</f>
        <v/>
      </c>
      <c r="RM8">
        <f>IF('計算A'!EM$106=1,IG8,1)</f>
        <v/>
      </c>
      <c r="RN8">
        <f>IF('計算A'!EN$106=1,IH8,1)</f>
        <v/>
      </c>
      <c r="RO8">
        <f>IF('計算A'!EO$106=1,II8,1)</f>
        <v/>
      </c>
      <c r="RP8">
        <f>IF('計算A'!EP$106=1,IJ8,1)</f>
        <v/>
      </c>
      <c r="RQ8">
        <f>IF('計算A'!EQ$106=1,IK8,1)</f>
        <v/>
      </c>
      <c r="RR8">
        <f>IF('計算A'!ER$106=1,IL8,1)</f>
        <v/>
      </c>
      <c r="RS8">
        <f>IF('計算A'!ES$106=1,IM8,1)</f>
        <v/>
      </c>
      <c r="RT8">
        <f>IF('計算A'!ET$106=1,IN8,1)</f>
        <v/>
      </c>
      <c r="RU8">
        <f>IF('計算A'!EU$106=1,IO8,1)</f>
        <v/>
      </c>
      <c r="RV8">
        <f>IF('計算A'!EV$106=1,IP8,1)</f>
        <v/>
      </c>
      <c r="RW8">
        <f>IF('計算A'!EW$106=1,IQ8,1)</f>
        <v/>
      </c>
      <c r="RX8">
        <f>IF('計算A'!EX$106=1,IR8,1)</f>
        <v/>
      </c>
      <c r="RY8">
        <f>IF('計算A'!EY$106=1,IS8,1)</f>
        <v/>
      </c>
      <c r="RZ8">
        <f>IF('計算A'!EZ$106=1,IT8,1)</f>
        <v/>
      </c>
      <c r="SA8">
        <f>IF('計算A'!FA$106=1,IU8,1)</f>
        <v/>
      </c>
      <c r="SB8">
        <f>IF('計算A'!FB$106=1,IV8,1)</f>
        <v/>
      </c>
      <c r="SC8">
        <f>IF('計算A'!FC$106=1,IW8,1)</f>
        <v/>
      </c>
      <c r="SD8">
        <f>IF('計算A'!FD$106=1,IX8,1)</f>
        <v/>
      </c>
      <c r="SE8">
        <f>IF('計算A'!FE$106=1,IY8,1)</f>
        <v/>
      </c>
      <c r="SF8">
        <f>IF('計算A'!FF$106=1,IZ8,1)</f>
        <v/>
      </c>
      <c r="SG8">
        <f>IF('計算A'!FG$106=1,JA8,1)</f>
        <v/>
      </c>
      <c r="SH8">
        <f>IF('計算A'!FH$106=1,JB8,1)</f>
        <v/>
      </c>
      <c r="SI8">
        <f>IF('計算A'!FI$106=1,JC8,1)</f>
        <v/>
      </c>
      <c r="SJ8">
        <f>IF('計算A'!FJ$106=1,JD8,1)</f>
        <v/>
      </c>
      <c r="SK8">
        <f>IF('計算A'!FK$106=1,JE8,1)</f>
        <v/>
      </c>
      <c r="SL8">
        <f>IF('計算A'!FL$106=1,JF8,1)</f>
        <v/>
      </c>
      <c r="SM8">
        <f>IF('計算A'!FM$106=1,JG8,1)</f>
        <v/>
      </c>
      <c r="SN8">
        <f>IF('計算A'!FN$106=1,JH8,1)</f>
        <v/>
      </c>
      <c r="SO8">
        <f>IF('計算A'!FO$106=1,JI8,1)</f>
        <v/>
      </c>
      <c r="SP8">
        <f>IF('計算A'!FP$106=1,JJ8,1)</f>
        <v/>
      </c>
      <c r="SQ8">
        <f>IF('計算A'!FQ$106=1,JK8,1)</f>
        <v/>
      </c>
      <c r="SR8">
        <f>IF('計算A'!FR$106=1,JL8,1)</f>
        <v/>
      </c>
      <c r="SS8">
        <f>IF('計算A'!FS$106=1,JM8,1)</f>
        <v/>
      </c>
      <c r="ST8">
        <f>IF('計算A'!FT$106=1,JN8,1)</f>
        <v/>
      </c>
      <c r="SU8">
        <f>IF('計算A'!FU$106=1,JO8,1)</f>
        <v/>
      </c>
      <c r="SV8">
        <f>IF('計算A'!FV$106=1,JP8,1)</f>
        <v/>
      </c>
      <c r="SW8">
        <f>IF('計算A'!FW$106=1,JQ8,1)</f>
        <v/>
      </c>
      <c r="SX8">
        <f>IF('計算A'!FX$106=1,JR8,1)</f>
        <v/>
      </c>
      <c r="SY8">
        <f>IF('計算A'!FY$106=1,JS8,1)</f>
        <v/>
      </c>
      <c r="SZ8">
        <f>IF('計算A'!FZ$106=1,JT8,1)</f>
        <v/>
      </c>
      <c r="TA8">
        <f>IF('計算A'!GA$106=1,JU8,1)</f>
        <v/>
      </c>
      <c r="TB8">
        <f>IF('計算A'!GB$106=1,JV8,1)</f>
        <v/>
      </c>
      <c r="TC8">
        <f>IF('計算A'!GC$106=1,JW8,1)</f>
        <v/>
      </c>
      <c r="TD8">
        <f>IF('計算A'!GD$106=1,JX8,1)</f>
        <v/>
      </c>
      <c r="TE8">
        <f>IF('計算A'!GE$106=1,JY8,1)</f>
        <v/>
      </c>
      <c r="TF8">
        <f>IF('計算A'!GF$106=1,JZ8,1)</f>
        <v/>
      </c>
      <c r="TG8">
        <f>IF('計算A'!GG$106=1,KA8,1)</f>
        <v/>
      </c>
      <c r="TH8">
        <f>IF('計算A'!GH$106=1,KB8,1)</f>
        <v/>
      </c>
      <c r="TI8">
        <f>IF('計算A'!GI$106=1,KC8,1)</f>
        <v/>
      </c>
      <c r="TJ8">
        <f>IF('計算A'!GJ$106=1,KD8,1)</f>
        <v/>
      </c>
      <c r="TK8">
        <f>IF('計算A'!GK$106=1,KE8,1)</f>
        <v/>
      </c>
      <c r="TL8">
        <f>IF('計算A'!GL$106=1,KF8,1)</f>
        <v/>
      </c>
      <c r="TM8">
        <f>IF('計算A'!GM$106=1,KG8,1)</f>
        <v/>
      </c>
      <c r="TN8">
        <f>IF('計算A'!GN$106=1,KH8,1)</f>
        <v/>
      </c>
      <c r="TO8">
        <f>IF('計算A'!GO$106=1,KI8,1)</f>
        <v/>
      </c>
      <c r="TP8">
        <f>IF('計算A'!GP$106=1,KJ8,1)</f>
        <v/>
      </c>
      <c r="TQ8">
        <f>IF('計算A'!GQ$106=1,KK8,1)</f>
        <v/>
      </c>
      <c r="TR8">
        <f>IF('計算A'!GR$106=1,KL8,1)</f>
        <v/>
      </c>
      <c r="TS8">
        <f>IF('計算A'!GS$106=1,KM8,1)</f>
        <v/>
      </c>
      <c r="TT8">
        <f>IF('計算A'!GT$106=1,KN8,1)</f>
        <v/>
      </c>
      <c r="TU8">
        <f>IF('計算A'!GU$106=1,KO8,1)</f>
        <v/>
      </c>
      <c r="TV8">
        <f>IF('計算A'!GV$106=1,KP8,1)</f>
        <v/>
      </c>
      <c r="TW8">
        <f>IF('計算A'!GW$106=1,KQ8,1)</f>
        <v/>
      </c>
      <c r="TX8">
        <f>IF('計算A'!GX$106=1,KR8,1)</f>
        <v/>
      </c>
      <c r="TY8">
        <f>IF('計算A'!GY$106=1,KS8,1)</f>
        <v/>
      </c>
      <c r="TZ8">
        <f>IF('計算A'!GZ$106=1,KT8,1)</f>
        <v/>
      </c>
      <c r="UA8">
        <f>IF('計算A'!HA$106=1,KU8,1)</f>
        <v/>
      </c>
      <c r="UB8">
        <f>IF('計算A'!HB$106=1,KV8,1)</f>
        <v/>
      </c>
      <c r="UC8">
        <f>IF('計算A'!HC$106=1,KW8,1)</f>
        <v/>
      </c>
      <c r="UD8">
        <f>IF('計算A'!HD$106=1,KX8,1)</f>
        <v/>
      </c>
      <c r="UE8">
        <f>IF('計算A'!HE$106=1,KY8,1)</f>
        <v/>
      </c>
      <c r="UF8">
        <f>IF('計算A'!HF$106=1,KZ8,1)</f>
        <v/>
      </c>
      <c r="UG8">
        <f>IF('計算A'!HG$106=1,LA8,1)</f>
        <v/>
      </c>
      <c r="UH8">
        <f>IF('計算A'!HH$106=1,LB8,1)</f>
        <v/>
      </c>
      <c r="UI8">
        <f>IF('計算A'!HI$106=1,LC8,1)</f>
        <v/>
      </c>
      <c r="UJ8">
        <f>IF('計算A'!HJ$106=1,LD8,1)</f>
        <v/>
      </c>
      <c r="UK8">
        <f>IF('計算A'!HK$106=1,LE8,1)</f>
        <v/>
      </c>
      <c r="UL8">
        <f>IF('計算A'!HL$106=1,LF8,1)</f>
        <v/>
      </c>
      <c r="UM8">
        <f>IF('計算A'!HM$106=1,LG8,1)</f>
        <v/>
      </c>
      <c r="UN8">
        <f>IF('計算A'!HN$106=1,LH8,1)</f>
        <v/>
      </c>
      <c r="UO8">
        <f>IF('計算A'!HO$106=1,LI8,1)</f>
        <v/>
      </c>
      <c r="UP8">
        <f>IF('計算A'!HP$106=1,LJ8,1)</f>
        <v/>
      </c>
      <c r="UQ8">
        <f>IF('計算A'!HQ$106=1,LK8,1)</f>
        <v/>
      </c>
      <c r="UR8">
        <f>IF('計算A'!HR$106=1,LL8,1)</f>
        <v/>
      </c>
      <c r="US8">
        <f>IF('計算A'!HS$106=1,LM8,1)</f>
        <v/>
      </c>
      <c r="UT8">
        <f>IF('計算A'!HT$106=1,LN8,1)</f>
        <v/>
      </c>
      <c r="UU8">
        <f>IF('計算A'!HU$106=1,LO8,1)</f>
        <v/>
      </c>
      <c r="UV8">
        <f>IF('計算A'!HV$106=1,LP8,1)</f>
        <v/>
      </c>
      <c r="UW8">
        <f>IF('計算A'!HW$106=1,LQ8,1)</f>
        <v/>
      </c>
      <c r="UX8">
        <f>IF('計算A'!HX$106=1,LR8,1)</f>
        <v/>
      </c>
      <c r="UY8">
        <f>IF('計算A'!HY$106=1,LS8,1)</f>
        <v/>
      </c>
      <c r="UZ8">
        <f>IF('計算A'!HZ$106=1,LT8,1)</f>
        <v/>
      </c>
      <c r="VA8">
        <f>IF('計算A'!IA$106=1,LU8,1)</f>
        <v/>
      </c>
      <c r="VB8">
        <f>IF('計算A'!IB$106=1,LV8,1)</f>
        <v/>
      </c>
      <c r="VC8">
        <f>IF('計算A'!IC$106=1,LW8,1)</f>
        <v/>
      </c>
      <c r="VD8">
        <f>IF('計算A'!ID$106=1,LX8,1)</f>
        <v/>
      </c>
      <c r="VE8">
        <f>IF('計算A'!IE$106=1,LY8,1)</f>
        <v/>
      </c>
      <c r="VF8">
        <f>IF('計算A'!IF$106=1,LZ8,1)</f>
        <v/>
      </c>
      <c r="VG8">
        <f>IF('計算A'!IG$106=1,MA8,1)</f>
        <v/>
      </c>
      <c r="VH8">
        <f>IF('計算A'!IH$106=1,MB8,1)</f>
        <v/>
      </c>
      <c r="VI8" t="n">
        <v>1</v>
      </c>
      <c r="VK8">
        <f>IF($B8=0,1000000,IF(INDEX('計算A'!$D$60:$II$104,$B8,1)*CW8=1,IF(AND($E8=2,MD8=0),1000000,INDEX('計算A'!D$110:D$114,$F8+1)+IF(AND($E8=1,MD8=0),1000,0)),1000000))</f>
        <v/>
      </c>
      <c r="VL8">
        <f>IF($B8=0,1000000,IF(INDEX('計算A'!$D$60:$II$104,$B8,2)*CX8=1,IF(AND($E8=2,ME8=0),1000000,INDEX('計算A'!E$110:E$114,$F8+1)+IF(AND($E8=1,ME8=0),1000,0)),1000000))</f>
        <v/>
      </c>
      <c r="VM8">
        <f>IF($B8=0,1000000,IF(INDEX('計算A'!$D$60:$II$104,$B8,3)*CY8=1,IF(AND($E8=2,MF8=0),1000000,INDEX('計算A'!F$110:F$114,$F8+1)+IF(AND($E8=1,MF8=0),1000,0)),1000000))</f>
        <v/>
      </c>
      <c r="VN8">
        <f>IF($B8=0,1000000,IF(INDEX('計算A'!$D$60:$II$104,$B8,4)*CZ8=1,IF(AND($E8=2,MG8=0),1000000,INDEX('計算A'!G$110:G$114,$F8+1)+IF(AND($E8=1,MG8=0),1000,0)),1000000))</f>
        <v/>
      </c>
      <c r="VO8">
        <f>IF($B8=0,1000000,IF(INDEX('計算A'!$D$60:$II$104,$B8,5)*DA8=1,IF(AND($E8=2,MH8=0),1000000,INDEX('計算A'!H$110:H$114,$F8+1)+IF(AND($E8=1,MH8=0),1000,0)),1000000))</f>
        <v/>
      </c>
      <c r="VP8">
        <f>IF($B8=0,1000000,IF(INDEX('計算A'!$D$60:$II$104,$B8,6)*DB8=1,IF(AND($E8=2,MI8=0),1000000,INDEX('計算A'!I$110:I$114,$F8+1)+IF(AND($E8=1,MI8=0),1000,0)),1000000))</f>
        <v/>
      </c>
      <c r="VQ8">
        <f>IF($B8=0,1000000,IF(INDEX('計算A'!$D$60:$II$104,$B8,7)*DC8=1,IF(AND($E8=2,MJ8=0),1000000,INDEX('計算A'!J$110:J$114,$F8+1)+IF(AND($E8=1,MJ8=0),1000,0)),1000000))</f>
        <v/>
      </c>
      <c r="VR8">
        <f>IF($B8=0,1000000,IF(INDEX('計算A'!$D$60:$II$104,$B8,8)*DD8=1,IF(AND($E8=2,MK8=0),1000000,INDEX('計算A'!K$110:K$114,$F8+1)+IF(AND($E8=1,MK8=0),1000,0)),1000000))</f>
        <v/>
      </c>
      <c r="VS8">
        <f>IF($B8=0,1000000,IF(INDEX('計算A'!$D$60:$II$104,$B8,9)*DE8=1,IF(AND($E8=2,ML8=0),1000000,INDEX('計算A'!L$110:L$114,$F8+1)+IF(AND($E8=1,ML8=0),1000,0)),1000000))</f>
        <v/>
      </c>
      <c r="VT8">
        <f>IF($B8=0,1000000,IF(INDEX('計算A'!$D$60:$II$104,$B8,10)*DF8=1,IF(AND($E8=2,MM8=0),1000000,INDEX('計算A'!M$110:M$114,$F8+1)+IF(AND($E8=1,MM8=0),1000,0)),1000000))</f>
        <v/>
      </c>
      <c r="VU8">
        <f>IF($B8=0,1000000,IF(INDEX('計算A'!$D$60:$II$104,$B8,11)*DG8=1,IF(AND($E8=2,MN8=0),1000000,INDEX('計算A'!N$110:N$114,$F8+1)+IF(AND($E8=1,MN8=0),1000,0)),1000000))</f>
        <v/>
      </c>
      <c r="VV8">
        <f>IF($B8=0,1000000,IF(INDEX('計算A'!$D$60:$II$104,$B8,12)*DH8=1,IF(AND($E8=2,MO8=0),1000000,INDEX('計算A'!O$110:O$114,$F8+1)+IF(AND($E8=1,MO8=0),1000,0)),1000000))</f>
        <v/>
      </c>
      <c r="VW8">
        <f>IF($B8=0,1000000,IF(INDEX('計算A'!$D$60:$II$104,$B8,13)*DI8=1,IF(AND($E8=2,MP8=0),1000000,INDEX('計算A'!P$110:P$114,$F8+1)+IF(AND($E8=1,MP8=0),1000,0)),1000000))</f>
        <v/>
      </c>
      <c r="VX8">
        <f>IF($B8=0,1000000,IF(INDEX('計算A'!$D$60:$II$104,$B8,14)*DJ8=1,IF(AND($E8=2,MQ8=0),1000000,INDEX('計算A'!Q$110:Q$114,$F8+1)+IF(AND($E8=1,MQ8=0),1000,0)),1000000))</f>
        <v/>
      </c>
      <c r="VY8">
        <f>IF($B8=0,1000000,IF(INDEX('計算A'!$D$60:$II$104,$B8,15)*DK8=1,IF(AND($E8=2,MR8=0),1000000,INDEX('計算A'!R$110:R$114,$F8+1)+IF(AND($E8=1,MR8=0),1000,0)),1000000))</f>
        <v/>
      </c>
      <c r="VZ8">
        <f>IF($B8=0,1000000,IF(INDEX('計算A'!$D$60:$II$104,$B8,16)*DL8=1,IF(AND($E8=2,MS8=0),1000000,INDEX('計算A'!S$110:S$114,$F8+1)+IF(AND($E8=1,MS8=0),1000,0)),1000000))</f>
        <v/>
      </c>
      <c r="WA8">
        <f>IF($B8=0,1000000,IF(INDEX('計算A'!$D$60:$II$104,$B8,17)*DM8=1,IF(AND($E8=2,MT8=0),1000000,INDEX('計算A'!T$110:T$114,$F8+1)+IF(AND($E8=1,MT8=0),1000,0)),1000000))</f>
        <v/>
      </c>
      <c r="WB8">
        <f>IF($B8=0,1000000,IF(INDEX('計算A'!$D$60:$II$104,$B8,18)*DN8=1,IF(AND($E8=2,MU8=0),1000000,INDEX('計算A'!U$110:U$114,$F8+1)+IF(AND($E8=1,MU8=0),1000,0)),1000000))</f>
        <v/>
      </c>
      <c r="WC8">
        <f>IF($B8=0,1000000,IF(INDEX('計算A'!$D$60:$II$104,$B8,19)*DO8=1,IF(AND($E8=2,MV8=0),1000000,INDEX('計算A'!V$110:V$114,$F8+1)+IF(AND($E8=1,MV8=0),1000,0)),1000000))</f>
        <v/>
      </c>
      <c r="WD8">
        <f>IF($B8=0,1000000,IF(INDEX('計算A'!$D$60:$II$104,$B8,20)*DP8=1,IF(AND($E8=2,MW8=0),1000000,INDEX('計算A'!W$110:W$114,$F8+1)+IF(AND($E8=1,MW8=0),1000,0)),1000000))</f>
        <v/>
      </c>
      <c r="WE8">
        <f>IF($B8=0,1000000,IF(INDEX('計算A'!$D$60:$II$104,$B8,21)*DQ8=1,IF(AND($E8=2,MX8=0),1000000,INDEX('計算A'!X$110:X$114,$F8+1)+IF(AND($E8=1,MX8=0),1000,0)),1000000))</f>
        <v/>
      </c>
      <c r="WF8">
        <f>IF($B8=0,1000000,IF(INDEX('計算A'!$D$60:$II$104,$B8,22)*DR8=1,IF(AND($E8=2,MY8=0),1000000,INDEX('計算A'!Y$110:Y$114,$F8+1)+IF(AND($E8=1,MY8=0),1000,0)),1000000))</f>
        <v/>
      </c>
      <c r="WG8">
        <f>IF($B8=0,1000000,IF(INDEX('計算A'!$D$60:$II$104,$B8,23)*DS8=1,IF(AND($E8=2,MZ8=0),1000000,INDEX('計算A'!Z$110:Z$114,$F8+1)+IF(AND($E8=1,MZ8=0),1000,0)),1000000))</f>
        <v/>
      </c>
      <c r="WH8">
        <f>IF($B8=0,1000000,IF(INDEX('計算A'!$D$60:$II$104,$B8,24)*DT8=1,IF(AND($E8=2,NA8=0),1000000,INDEX('計算A'!AA$110:AA$114,$F8+1)+IF(AND($E8=1,NA8=0),1000,0)),1000000))</f>
        <v/>
      </c>
      <c r="WI8">
        <f>IF($B8=0,1000000,IF(INDEX('計算A'!$D$60:$II$104,$B8,25)*DU8=1,IF(AND($E8=2,NB8=0),1000000,INDEX('計算A'!AB$110:AB$114,$F8+1)+IF(AND($E8=1,NB8=0),1000,0)),1000000))</f>
        <v/>
      </c>
      <c r="WJ8">
        <f>IF($B8=0,1000000,IF(INDEX('計算A'!$D$60:$II$104,$B8,26)*DV8=1,IF(AND($E8=2,NC8=0),1000000,INDEX('計算A'!AC$110:AC$114,$F8+1)+IF(AND($E8=1,NC8=0),1000,0)),1000000))</f>
        <v/>
      </c>
      <c r="WK8">
        <f>IF($B8=0,1000000,IF(INDEX('計算A'!$D$60:$II$104,$B8,27)*DW8=1,IF(AND($E8=2,ND8=0),1000000,INDEX('計算A'!AD$110:AD$114,$F8+1)+IF(AND($E8=1,ND8=0),1000,0)),1000000))</f>
        <v/>
      </c>
      <c r="WL8">
        <f>IF($B8=0,1000000,IF(INDEX('計算A'!$D$60:$II$104,$B8,28)*DX8=1,IF(AND($E8=2,NE8=0),1000000,INDEX('計算A'!AE$110:AE$114,$F8+1)+IF(AND($E8=1,NE8=0),1000,0)),1000000))</f>
        <v/>
      </c>
      <c r="WM8">
        <f>IF($B8=0,1000000,IF(INDEX('計算A'!$D$60:$II$104,$B8,29)*DY8=1,IF(AND($E8=2,NF8=0),1000000,INDEX('計算A'!AF$110:AF$114,$F8+1)+IF(AND($E8=1,NF8=0),1000,0)),1000000))</f>
        <v/>
      </c>
      <c r="WN8">
        <f>IF($B8=0,1000000,IF(INDEX('計算A'!$D$60:$II$104,$B8,30)*DZ8=1,IF(AND($E8=2,NG8=0),1000000,INDEX('計算A'!AG$110:AG$114,$F8+1)+IF(AND($E8=1,NG8=0),1000,0)),1000000))</f>
        <v/>
      </c>
      <c r="WO8">
        <f>IF($B8=0,1000000,IF(INDEX('計算A'!$D$60:$II$104,$B8,31)*EA8=1,IF(AND($E8=2,NH8=0),1000000,INDEX('計算A'!AH$110:AH$114,$F8+1)+IF(AND($E8=1,NH8=0),1000,0)),1000000))</f>
        <v/>
      </c>
      <c r="WP8">
        <f>IF($B8=0,1000000,IF(INDEX('計算A'!$D$60:$II$104,$B8,32)*EB8=1,IF(AND($E8=2,NI8=0),1000000,INDEX('計算A'!AI$110:AI$114,$F8+1)+IF(AND($E8=1,NI8=0),1000,0)),1000000))</f>
        <v/>
      </c>
      <c r="WQ8">
        <f>IF($B8=0,1000000,IF(INDEX('計算A'!$D$60:$II$104,$B8,33)*EC8=1,IF(AND($E8=2,NJ8=0),1000000,INDEX('計算A'!AJ$110:AJ$114,$F8+1)+IF(AND($E8=1,NJ8=0),1000,0)),1000000))</f>
        <v/>
      </c>
      <c r="WR8">
        <f>IF($B8=0,1000000,IF(INDEX('計算A'!$D$60:$II$104,$B8,34)*ED8=1,IF(AND($E8=2,NK8=0),1000000,INDEX('計算A'!AK$110:AK$114,$F8+1)+IF(AND($E8=1,NK8=0),1000,0)),1000000))</f>
        <v/>
      </c>
      <c r="WS8">
        <f>IF($B8=0,1000000,IF(INDEX('計算A'!$D$60:$II$104,$B8,35)*EE8=1,IF(AND($E8=2,NL8=0),1000000,INDEX('計算A'!AL$110:AL$114,$F8+1)+IF(AND($E8=1,NL8=0),1000,0)),1000000))</f>
        <v/>
      </c>
      <c r="WT8">
        <f>IF($B8=0,1000000,IF(INDEX('計算A'!$D$60:$II$104,$B8,36)*EF8=1,IF(AND($E8=2,NM8=0),1000000,INDEX('計算A'!AM$110:AM$114,$F8+1)+IF(AND($E8=1,NM8=0),1000,0)),1000000))</f>
        <v/>
      </c>
      <c r="WU8">
        <f>IF($B8=0,1000000,IF(INDEX('計算A'!$D$60:$II$104,$B8,37)*EG8=1,IF(AND($E8=2,NN8=0),1000000,INDEX('計算A'!AN$110:AN$114,$F8+1)+IF(AND($E8=1,NN8=0),1000,0)),1000000))</f>
        <v/>
      </c>
      <c r="WV8">
        <f>IF($B8=0,1000000,IF(INDEX('計算A'!$D$60:$II$104,$B8,38)*EH8=1,IF(AND($E8=2,NO8=0),1000000,INDEX('計算A'!AO$110:AO$114,$F8+1)+IF(AND($E8=1,NO8=0),1000,0)),1000000))</f>
        <v/>
      </c>
      <c r="WW8">
        <f>IF($B8=0,1000000,IF(INDEX('計算A'!$D$60:$II$104,$B8,39)*EI8=1,IF(AND($E8=2,NP8=0),1000000,INDEX('計算A'!AP$110:AP$114,$F8+1)+IF(AND($E8=1,NP8=0),1000,0)),1000000))</f>
        <v/>
      </c>
      <c r="WX8">
        <f>IF($B8=0,1000000,IF(INDEX('計算A'!$D$60:$II$104,$B8,40)*EJ8=1,IF(AND($E8=2,NQ8=0),1000000,INDEX('計算A'!AQ$110:AQ$114,$F8+1)+IF(AND($E8=1,NQ8=0),1000,0)),1000000))</f>
        <v/>
      </c>
      <c r="WY8">
        <f>IF($B8=0,1000000,IF(INDEX('計算A'!$D$60:$II$104,$B8,41)*EK8=1,IF(AND($E8=2,NR8=0),1000000,INDEX('計算A'!AR$110:AR$114,$F8+1)+IF(AND($E8=1,NR8=0),1000,0)),1000000))</f>
        <v/>
      </c>
      <c r="WZ8">
        <f>IF($B8=0,1000000,IF(INDEX('計算A'!$D$60:$II$104,$B8,42)*EL8=1,IF(AND($E8=2,NS8=0),1000000,INDEX('計算A'!AS$110:AS$114,$F8+1)+IF(AND($E8=1,NS8=0),1000,0)),1000000))</f>
        <v/>
      </c>
      <c r="XA8">
        <f>IF($B8=0,1000000,IF(INDEX('計算A'!$D$60:$II$104,$B8,43)*EM8=1,IF(AND($E8=2,NT8=0),1000000,INDEX('計算A'!AT$110:AT$114,$F8+1)+IF(AND($E8=1,NT8=0),1000,0)),1000000))</f>
        <v/>
      </c>
      <c r="XB8">
        <f>IF($B8=0,1000000,IF(INDEX('計算A'!$D$60:$II$104,$B8,44)*EN8=1,IF(AND($E8=2,NU8=0),1000000,INDEX('計算A'!AU$110:AU$114,$F8+1)+IF(AND($E8=1,NU8=0),1000,0)),1000000))</f>
        <v/>
      </c>
      <c r="XC8">
        <f>IF($B8=0,1000000,IF(INDEX('計算A'!$D$60:$II$104,$B8,45)*EO8=1,IF(AND($E8=2,NV8=0),1000000,INDEX('計算A'!AV$110:AV$114,$F8+1)+IF(AND($E8=1,NV8=0),1000,0)),1000000))</f>
        <v/>
      </c>
      <c r="XD8">
        <f>IF($B8=0,1000000,IF(INDEX('計算A'!$D$60:$II$104,$B8,46)*EP8=1,IF(AND($E8=2,NW8=0),1000000,INDEX('計算A'!AW$110:AW$114,$F8+1)+IF(AND($E8=1,NW8=0),1000,0)),1000000))</f>
        <v/>
      </c>
      <c r="XE8">
        <f>IF($B8=0,1000000,IF(INDEX('計算A'!$D$60:$II$104,$B8,47)*EQ8=1,IF(AND($E8=2,NX8=0),1000000,INDEX('計算A'!AX$110:AX$114,$F8+1)+IF(AND($E8=1,NX8=0),1000,0)),1000000))</f>
        <v/>
      </c>
      <c r="XF8">
        <f>IF($B8=0,1000000,IF(INDEX('計算A'!$D$60:$II$104,$B8,48)*ER8=1,IF(AND($E8=2,NY8=0),1000000,INDEX('計算A'!AY$110:AY$114,$F8+1)+IF(AND($E8=1,NY8=0),1000,0)),1000000))</f>
        <v/>
      </c>
      <c r="XG8">
        <f>IF($B8=0,1000000,IF(INDEX('計算A'!$D$60:$II$104,$B8,49)*ES8=1,IF(AND($E8=2,NZ8=0),1000000,INDEX('計算A'!AZ$110:AZ$114,$F8+1)+IF(AND($E8=1,NZ8=0),1000,0)),1000000))</f>
        <v/>
      </c>
      <c r="XH8">
        <f>IF($B8=0,1000000,IF(INDEX('計算A'!$D$60:$II$104,$B8,50)*ET8=1,IF(AND($E8=2,OA8=0),1000000,INDEX('計算A'!BA$110:BA$114,$F8+1)+IF(AND($E8=1,OA8=0),1000,0)),1000000))</f>
        <v/>
      </c>
      <c r="XI8">
        <f>IF($B8=0,1000000,IF(INDEX('計算A'!$D$60:$II$104,$B8,51)*EU8=1,IF(AND($E8=2,OB8=0),1000000,INDEX('計算A'!BB$110:BB$114,$F8+1)+IF(AND($E8=1,OB8=0),1000,0)),1000000))</f>
        <v/>
      </c>
      <c r="XJ8">
        <f>IF($B8=0,1000000,IF(INDEX('計算A'!$D$60:$II$104,$B8,52)*EV8=1,IF(AND($E8=2,OC8=0),1000000,INDEX('計算A'!BC$110:BC$114,$F8+1)+IF(AND($E8=1,OC8=0),1000,0)),1000000))</f>
        <v/>
      </c>
      <c r="XK8">
        <f>IF($B8=0,1000000,IF(INDEX('計算A'!$D$60:$II$104,$B8,53)*EW8=1,IF(AND($E8=2,OD8=0),1000000,INDEX('計算A'!BD$110:BD$114,$F8+1)+IF(AND($E8=1,OD8=0),1000,0)),1000000))</f>
        <v/>
      </c>
      <c r="XL8">
        <f>IF($B8=0,1000000,IF(INDEX('計算A'!$D$60:$II$104,$B8,54)*EX8=1,IF(AND($E8=2,OE8=0),1000000,INDEX('計算A'!BE$110:BE$114,$F8+1)+IF(AND($E8=1,OE8=0),1000,0)),1000000))</f>
        <v/>
      </c>
      <c r="XM8">
        <f>IF($B8=0,1000000,IF(INDEX('計算A'!$D$60:$II$104,$B8,55)*EY8=1,IF(AND($E8=2,OF8=0),1000000,INDEX('計算A'!BF$110:BF$114,$F8+1)+IF(AND($E8=1,OF8=0),1000,0)),1000000))</f>
        <v/>
      </c>
      <c r="XN8">
        <f>IF($B8=0,1000000,IF(INDEX('計算A'!$D$60:$II$104,$B8,56)*EZ8=1,IF(AND($E8=2,OG8=0),1000000,INDEX('計算A'!BG$110:BG$114,$F8+1)+IF(AND($E8=1,OG8=0),1000,0)),1000000))</f>
        <v/>
      </c>
      <c r="XO8">
        <f>IF($B8=0,1000000,IF(INDEX('計算A'!$D$60:$II$104,$B8,57)*FA8=1,IF(AND($E8=2,OH8=0),1000000,INDEX('計算A'!BH$110:BH$114,$F8+1)+IF(AND($E8=1,OH8=0),1000,0)),1000000))</f>
        <v/>
      </c>
      <c r="XP8">
        <f>IF($B8=0,1000000,IF(INDEX('計算A'!$D$60:$II$104,$B8,58)*FB8=1,IF(AND($E8=2,OI8=0),1000000,INDEX('計算A'!BI$110:BI$114,$F8+1)+IF(AND($E8=1,OI8=0),1000,0)),1000000))</f>
        <v/>
      </c>
      <c r="XQ8">
        <f>IF($B8=0,1000000,IF(INDEX('計算A'!$D$60:$II$104,$B8,59)*FC8=1,IF(AND($E8=2,OJ8=0),1000000,INDEX('計算A'!BJ$110:BJ$114,$F8+1)+IF(AND($E8=1,OJ8=0),1000,0)),1000000))</f>
        <v/>
      </c>
      <c r="XR8">
        <f>IF($B8=0,1000000,IF(INDEX('計算A'!$D$60:$II$104,$B8,60)*FD8=1,IF(AND($E8=2,OK8=0),1000000,INDEX('計算A'!BK$110:BK$114,$F8+1)+IF(AND($E8=1,OK8=0),1000,0)),1000000))</f>
        <v/>
      </c>
      <c r="XS8">
        <f>IF($B8=0,1000000,IF(INDEX('計算A'!$D$60:$II$104,$B8,61)*FE8=1,IF(AND($E8=2,OL8=0),1000000,INDEX('計算A'!BL$110:BL$114,$F8+1)+IF(AND($E8=1,OL8=0),1000,0)),1000000))</f>
        <v/>
      </c>
      <c r="XT8">
        <f>IF($B8=0,1000000,IF(INDEX('計算A'!$D$60:$II$104,$B8,62)*FF8=1,IF(AND($E8=2,OM8=0),1000000,INDEX('計算A'!BM$110:BM$114,$F8+1)+IF(AND($E8=1,OM8=0),1000,0)),1000000))</f>
        <v/>
      </c>
      <c r="XU8">
        <f>IF($B8=0,1000000,IF(INDEX('計算A'!$D$60:$II$104,$B8,63)*FG8=1,IF(AND($E8=2,ON8=0),1000000,INDEX('計算A'!BN$110:BN$114,$F8+1)+IF(AND($E8=1,ON8=0),1000,0)),1000000))</f>
        <v/>
      </c>
      <c r="XV8">
        <f>IF($B8=0,1000000,IF(INDEX('計算A'!$D$60:$II$104,$B8,64)*FH8=1,IF(AND($E8=2,OO8=0),1000000,INDEX('計算A'!BO$110:BO$114,$F8+1)+IF(AND($E8=1,OO8=0),1000,0)),1000000))</f>
        <v/>
      </c>
      <c r="XW8">
        <f>IF($B8=0,1000000,IF(INDEX('計算A'!$D$60:$II$104,$B8,65)*FI8=1,IF(AND($E8=2,OP8=0),1000000,INDEX('計算A'!BP$110:BP$114,$F8+1)+IF(AND($E8=1,OP8=0),1000,0)),1000000))</f>
        <v/>
      </c>
      <c r="XX8">
        <f>IF($B8=0,1000000,IF(INDEX('計算A'!$D$60:$II$104,$B8,66)*FJ8=1,IF(AND($E8=2,OQ8=0),1000000,INDEX('計算A'!BQ$110:BQ$114,$F8+1)+IF(AND($E8=1,OQ8=0),1000,0)),1000000))</f>
        <v/>
      </c>
      <c r="XY8">
        <f>IF($B8=0,1000000,IF(INDEX('計算A'!$D$60:$II$104,$B8,67)*FK8=1,IF(AND($E8=2,OR8=0),1000000,INDEX('計算A'!BR$110:BR$114,$F8+1)+IF(AND($E8=1,OR8=0),1000,0)),1000000))</f>
        <v/>
      </c>
      <c r="XZ8">
        <f>IF($B8=0,1000000,IF(INDEX('計算A'!$D$60:$II$104,$B8,68)*FL8=1,IF(AND($E8=2,OS8=0),1000000,INDEX('計算A'!BS$110:BS$114,$F8+1)+IF(AND($E8=1,OS8=0),1000,0)),1000000))</f>
        <v/>
      </c>
      <c r="YA8">
        <f>IF($B8=0,1000000,IF(INDEX('計算A'!$D$60:$II$104,$B8,69)*FM8=1,IF(AND($E8=2,OT8=0),1000000,INDEX('計算A'!BT$110:BT$114,$F8+1)+IF(AND($E8=1,OT8=0),1000,0)),1000000))</f>
        <v/>
      </c>
      <c r="YB8">
        <f>IF($B8=0,1000000,IF(INDEX('計算A'!$D$60:$II$104,$B8,70)*FN8=1,IF(AND($E8=2,OU8=0),1000000,INDEX('計算A'!BU$110:BU$114,$F8+1)+IF(AND($E8=1,OU8=0),1000,0)),1000000))</f>
        <v/>
      </c>
      <c r="YC8">
        <f>IF($B8=0,1000000,IF(INDEX('計算A'!$D$60:$II$104,$B8,71)*FO8=1,IF(AND($E8=2,OV8=0),1000000,INDEX('計算A'!BV$110:BV$114,$F8+1)+IF(AND($E8=1,OV8=0),1000,0)),1000000))</f>
        <v/>
      </c>
      <c r="YD8">
        <f>IF($B8=0,1000000,IF(INDEX('計算A'!$D$60:$II$104,$B8,72)*FP8=1,IF(AND($E8=2,OW8=0),1000000,INDEX('計算A'!BW$110:BW$114,$F8+1)+IF(AND($E8=1,OW8=0),1000,0)),1000000))</f>
        <v/>
      </c>
      <c r="YE8">
        <f>IF($B8=0,1000000,IF(INDEX('計算A'!$D$60:$II$104,$B8,73)*FQ8=1,IF(AND($E8=2,OX8=0),1000000,INDEX('計算A'!BX$110:BX$114,$F8+1)+IF(AND($E8=1,OX8=0),1000,0)),1000000))</f>
        <v/>
      </c>
      <c r="YF8">
        <f>IF($B8=0,1000000,IF(INDEX('計算A'!$D$60:$II$104,$B8,74)*FR8=1,IF(AND($E8=2,OY8=0),1000000,INDEX('計算A'!BY$110:BY$114,$F8+1)+IF(AND($E8=1,OY8=0),1000,0)),1000000))</f>
        <v/>
      </c>
      <c r="YG8">
        <f>IF($B8=0,1000000,IF(INDEX('計算A'!$D$60:$II$104,$B8,75)*FS8=1,IF(AND($E8=2,OZ8=0),1000000,INDEX('計算A'!BZ$110:BZ$114,$F8+1)+IF(AND($E8=1,OZ8=0),1000,0)),1000000))</f>
        <v/>
      </c>
      <c r="YH8">
        <f>IF($B8=0,1000000,IF(INDEX('計算A'!$D$60:$II$104,$B8,76)*FT8=1,IF(AND($E8=2,PA8=0),1000000,INDEX('計算A'!CA$110:CA$114,$F8+1)+IF(AND($E8=1,PA8=0),1000,0)),1000000))</f>
        <v/>
      </c>
      <c r="YI8">
        <f>IF($B8=0,1000000,IF(INDEX('計算A'!$D$60:$II$104,$B8,77)*FU8=1,IF(AND($E8=2,PB8=0),1000000,INDEX('計算A'!CB$110:CB$114,$F8+1)+IF(AND($E8=1,PB8=0),1000,0)),1000000))</f>
        <v/>
      </c>
      <c r="YJ8">
        <f>IF($B8=0,1000000,IF(INDEX('計算A'!$D$60:$II$104,$B8,78)*FV8=1,IF(AND($E8=2,PC8=0),1000000,INDEX('計算A'!CC$110:CC$114,$F8+1)+IF(AND($E8=1,PC8=0),1000,0)),1000000))</f>
        <v/>
      </c>
      <c r="YK8">
        <f>IF($B8=0,1000000,IF(INDEX('計算A'!$D$60:$II$104,$B8,79)*FW8=1,IF(AND($E8=2,PD8=0),1000000,INDEX('計算A'!CD$110:CD$114,$F8+1)+IF(AND($E8=1,PD8=0),1000,0)),1000000))</f>
        <v/>
      </c>
      <c r="YL8">
        <f>IF($B8=0,1000000,IF(INDEX('計算A'!$D$60:$II$104,$B8,80)*FX8=1,IF(AND($E8=2,PE8=0),1000000,INDEX('計算A'!CE$110:CE$114,$F8+1)+IF(AND($E8=1,PE8=0),1000,0)),1000000))</f>
        <v/>
      </c>
      <c r="YM8">
        <f>IF($B8=0,1000000,IF(INDEX('計算A'!$D$60:$II$104,$B8,81)*FY8=1,IF(AND($E8=2,PF8=0),1000000,INDEX('計算A'!CF$110:CF$114,$F8+1)+IF(AND($E8=1,PF8=0),1000,0)),1000000))</f>
        <v/>
      </c>
      <c r="YN8">
        <f>IF($B8=0,1000000,IF(INDEX('計算A'!$D$60:$II$104,$B8,82)*FZ8=1,IF(AND($E8=2,PG8=0),1000000,INDEX('計算A'!CG$110:CG$114,$F8+1)+IF(AND($E8=1,PG8=0),1000,0)),1000000))</f>
        <v/>
      </c>
      <c r="YO8">
        <f>IF($B8=0,1000000,IF(INDEX('計算A'!$D$60:$II$104,$B8,83)*GA8=1,IF(AND($E8=2,PH8=0),1000000,INDEX('計算A'!CH$110:CH$114,$F8+1)+IF(AND($E8=1,PH8=0),1000,0)),1000000))</f>
        <v/>
      </c>
      <c r="YP8">
        <f>IF($B8=0,1000000,IF(INDEX('計算A'!$D$60:$II$104,$B8,84)*GB8=1,IF(AND($E8=2,PI8=0),1000000,INDEX('計算A'!CI$110:CI$114,$F8+1)+IF(AND($E8=1,PI8=0),1000,0)),1000000))</f>
        <v/>
      </c>
      <c r="YQ8">
        <f>IF($B8=0,1000000,IF(INDEX('計算A'!$D$60:$II$104,$B8,85)*GC8=1,IF(AND($E8=2,PJ8=0),1000000,INDEX('計算A'!CJ$110:CJ$114,$F8+1)+IF(AND($E8=1,PJ8=0),1000,0)),1000000))</f>
        <v/>
      </c>
      <c r="YR8">
        <f>IF($B8=0,1000000,IF(INDEX('計算A'!$D$60:$II$104,$B8,86)*GD8=1,IF(AND($E8=2,PK8=0),1000000,INDEX('計算A'!CK$110:CK$114,$F8+1)+IF(AND($E8=1,PK8=0),1000,0)),1000000))</f>
        <v/>
      </c>
      <c r="YS8">
        <f>IF($B8=0,1000000,IF(INDEX('計算A'!$D$60:$II$104,$B8,87)*GE8=1,IF(AND($E8=2,PL8=0),1000000,INDEX('計算A'!CL$110:CL$114,$F8+1)+IF(AND($E8=1,PL8=0),1000,0)),1000000))</f>
        <v/>
      </c>
      <c r="YT8">
        <f>IF($B8=0,1000000,IF(INDEX('計算A'!$D$60:$II$104,$B8,88)*GF8=1,IF(AND($E8=2,PM8=0),1000000,INDEX('計算A'!CM$110:CM$114,$F8+1)+IF(AND($E8=1,PM8=0),1000,0)),1000000))</f>
        <v/>
      </c>
      <c r="YU8">
        <f>IF($B8=0,1000000,IF(INDEX('計算A'!$D$60:$II$104,$B8,89)*GG8=1,IF(AND($E8=2,PN8=0),1000000,INDEX('計算A'!CN$110:CN$114,$F8+1)+IF(AND($E8=1,PN8=0),1000,0)),1000000))</f>
        <v/>
      </c>
      <c r="YV8">
        <f>IF($B8=0,1000000,IF(INDEX('計算A'!$D$60:$II$104,$B8,90)*GH8=1,IF(AND($E8=2,PO8=0),1000000,INDEX('計算A'!CO$110:CO$114,$F8+1)+IF(AND($E8=1,PO8=0),1000,0)),1000000))</f>
        <v/>
      </c>
      <c r="YW8">
        <f>IF($B8=0,1000000,IF(INDEX('計算A'!$D$60:$II$104,$B8,91)*GI8=1,IF(AND($E8=2,PP8=0),1000000,INDEX('計算A'!CP$110:CP$114,$F8+1)+IF(AND($E8=1,PP8=0),1000,0)),1000000))</f>
        <v/>
      </c>
      <c r="YX8">
        <f>IF($B8=0,1000000,IF(INDEX('計算A'!$D$60:$II$104,$B8,92)*GJ8=1,IF(AND($E8=2,PQ8=0),1000000,INDEX('計算A'!CQ$110:CQ$114,$F8+1)+IF(AND($E8=1,PQ8=0),1000,0)),1000000))</f>
        <v/>
      </c>
      <c r="YY8">
        <f>IF($B8=0,1000000,IF(INDEX('計算A'!$D$60:$II$104,$B8,93)*GK8=1,IF(AND($E8=2,PR8=0),1000000,INDEX('計算A'!CR$110:CR$114,$F8+1)+IF(AND($E8=1,PR8=0),1000,0)),1000000))</f>
        <v/>
      </c>
      <c r="YZ8">
        <f>IF($B8=0,1000000,IF(INDEX('計算A'!$D$60:$II$104,$B8,94)*GL8=1,IF(AND($E8=2,PS8=0),1000000,INDEX('計算A'!CS$110:CS$114,$F8+1)+IF(AND($E8=1,PS8=0),1000,0)),1000000))</f>
        <v/>
      </c>
      <c r="ZA8">
        <f>IF($B8=0,1000000,IF(INDEX('計算A'!$D$60:$II$104,$B8,95)*GM8=1,IF(AND($E8=2,PT8=0),1000000,INDEX('計算A'!CT$110:CT$114,$F8+1)+IF(AND($E8=1,PT8=0),1000,0)),1000000))</f>
        <v/>
      </c>
      <c r="ZB8">
        <f>IF($B8=0,1000000,IF(INDEX('計算A'!$D$60:$II$104,$B8,96)*GN8=1,IF(AND($E8=2,PU8=0),1000000,INDEX('計算A'!CU$110:CU$114,$F8+1)+IF(AND($E8=1,PU8=0),1000,0)),1000000))</f>
        <v/>
      </c>
      <c r="ZC8">
        <f>IF($B8=0,1000000,IF(INDEX('計算A'!$D$60:$II$104,$B8,97)*GO8=1,IF(AND($E8=2,PV8=0),1000000,INDEX('計算A'!CV$110:CV$114,$F8+1)+IF(AND($E8=1,PV8=0),1000,0)),1000000))</f>
        <v/>
      </c>
      <c r="ZD8">
        <f>IF($B8=0,1000000,IF(INDEX('計算A'!$D$60:$II$104,$B8,98)*GP8=1,IF(AND($E8=2,PW8=0),1000000,INDEX('計算A'!CW$110:CW$114,$F8+1)+IF(AND($E8=1,PW8=0),1000,0)),1000000))</f>
        <v/>
      </c>
      <c r="ZE8">
        <f>IF($B8=0,1000000,IF(INDEX('計算A'!$D$60:$II$104,$B8,99)*GQ8=1,IF(AND($E8=2,PX8=0),1000000,INDEX('計算A'!CX$110:CX$114,$F8+1)+IF(AND($E8=1,PX8=0),1000,0)),1000000))</f>
        <v/>
      </c>
      <c r="ZF8">
        <f>IF($B8=0,1000000,IF(INDEX('計算A'!$D$60:$II$104,$B8,100)*GR8=1,IF(AND($E8=2,PY8=0),1000000,INDEX('計算A'!CY$110:CY$114,$F8+1)+IF(AND($E8=1,PY8=0),1000,0)),1000000))</f>
        <v/>
      </c>
      <c r="ZG8">
        <f>IF($B8=0,1000000,IF(INDEX('計算A'!$D$60:$II$104,$B8,101)*GS8=1,IF(AND($E8=2,PZ8=0),1000000,INDEX('計算A'!CZ$110:CZ$114,$F8+1)+IF(AND($E8=1,PZ8=0),1000,0)),1000000))</f>
        <v/>
      </c>
      <c r="ZH8">
        <f>IF($B8=0,1000000,IF(INDEX('計算A'!$D$60:$II$104,$B8,102)*GT8=1,IF(AND($E8=2,QA8=0),1000000,INDEX('計算A'!DA$110:DA$114,$F8+1)+IF(AND($E8=1,QA8=0),1000,0)),1000000))</f>
        <v/>
      </c>
      <c r="ZI8">
        <f>IF($B8=0,1000000,IF(INDEX('計算A'!$D$60:$II$104,$B8,103)*GU8=1,IF(AND($E8=2,QB8=0),1000000,INDEX('計算A'!DB$110:DB$114,$F8+1)+IF(AND($E8=1,QB8=0),1000,0)),1000000))</f>
        <v/>
      </c>
      <c r="ZJ8">
        <f>IF($B8=0,1000000,IF(INDEX('計算A'!$D$60:$II$104,$B8,104)*GV8=1,IF(AND($E8=2,QC8=0),1000000,INDEX('計算A'!DC$110:DC$114,$F8+1)+IF(AND($E8=1,QC8=0),1000,0)),1000000))</f>
        <v/>
      </c>
      <c r="ZK8">
        <f>IF($B8=0,1000000,IF(INDEX('計算A'!$D$60:$II$104,$B8,105)*GW8=1,IF(AND($E8=2,QD8=0),1000000,INDEX('計算A'!DD$110:DD$114,$F8+1)+IF(AND($E8=1,QD8=0),1000,0)),1000000))</f>
        <v/>
      </c>
      <c r="ZL8">
        <f>IF($B8=0,1000000,IF(INDEX('計算A'!$D$60:$II$104,$B8,106)*GX8=1,IF(AND($E8=2,QE8=0),1000000,INDEX('計算A'!DE$110:DE$114,$F8+1)+IF(AND($E8=1,QE8=0),1000,0)),1000000))</f>
        <v/>
      </c>
      <c r="ZM8">
        <f>IF($B8=0,1000000,IF(INDEX('計算A'!$D$60:$II$104,$B8,107)*GY8=1,IF(AND($E8=2,QF8=0),1000000,INDEX('計算A'!DF$110:DF$114,$F8+1)+IF(AND($E8=1,QF8=0),1000,0)),1000000))</f>
        <v/>
      </c>
      <c r="ZN8">
        <f>IF($B8=0,1000000,IF(INDEX('計算A'!$D$60:$II$104,$B8,108)*GZ8=1,IF(AND($E8=2,QG8=0),1000000,INDEX('計算A'!DG$110:DG$114,$F8+1)+IF(AND($E8=1,QG8=0),1000,0)),1000000))</f>
        <v/>
      </c>
      <c r="ZO8">
        <f>IF($B8=0,1000000,IF(INDEX('計算A'!$D$60:$II$104,$B8,109)*HA8=1,IF(AND($E8=2,QH8=0),1000000,INDEX('計算A'!DH$110:DH$114,$F8+1)+IF(AND($E8=1,QH8=0),1000,0)),1000000))</f>
        <v/>
      </c>
      <c r="ZP8">
        <f>IF($B8=0,1000000,IF(INDEX('計算A'!$D$60:$II$104,$B8,110)*HB8=1,IF(AND($E8=2,QI8=0),1000000,INDEX('計算A'!DI$110:DI$114,$F8+1)+IF(AND($E8=1,QI8=0),1000,0)),1000000))</f>
        <v/>
      </c>
      <c r="ZQ8">
        <f>IF($B8=0,1000000,IF(INDEX('計算A'!$D$60:$II$104,$B8,111)*HC8=1,IF(AND($E8=2,QJ8=0),1000000,INDEX('計算A'!DJ$110:DJ$114,$F8+1)+IF(AND($E8=1,QJ8=0),1000,0)),1000000))</f>
        <v/>
      </c>
      <c r="ZR8">
        <f>IF($B8=0,1000000,IF(INDEX('計算A'!$D$60:$II$104,$B8,112)*HD8=1,IF(AND($E8=2,QK8=0),1000000,INDEX('計算A'!DK$110:DK$114,$F8+1)+IF(AND($E8=1,QK8=0),1000,0)),1000000))</f>
        <v/>
      </c>
      <c r="ZS8">
        <f>IF($B8=0,1000000,IF(INDEX('計算A'!$D$60:$II$104,$B8,113)*HE8=1,IF(AND($E8=2,QL8=0),1000000,INDEX('計算A'!DL$110:DL$114,$F8+1)+IF(AND($E8=1,QL8=0),1000,0)),1000000))</f>
        <v/>
      </c>
      <c r="ZT8">
        <f>IF($B8=0,1000000,IF(INDEX('計算A'!$D$60:$II$104,$B8,114)*HF8=1,IF(AND($E8=2,QM8=0),1000000,INDEX('計算A'!DM$110:DM$114,$F8+1)+IF(AND($E8=1,QM8=0),1000,0)),1000000))</f>
        <v/>
      </c>
      <c r="ZU8">
        <f>IF($B8=0,1000000,IF(INDEX('計算A'!$D$60:$II$104,$B8,115)*HG8=1,IF(AND($E8=2,QN8=0),1000000,INDEX('計算A'!DN$110:DN$114,$F8+1)+IF(AND($E8=1,QN8=0),1000,0)),1000000))</f>
        <v/>
      </c>
      <c r="ZV8">
        <f>IF($B8=0,1000000,IF(INDEX('計算A'!$D$60:$II$104,$B8,116)*HH8=1,IF(AND($E8=2,QO8=0),1000000,INDEX('計算A'!DO$110:DO$114,$F8+1)+IF(AND($E8=1,QO8=0),1000,0)),1000000))</f>
        <v/>
      </c>
      <c r="ZW8">
        <f>IF($B8=0,1000000,IF(INDEX('計算A'!$D$60:$II$104,$B8,117)*HI8=1,IF(AND($E8=2,QP8=0),1000000,INDEX('計算A'!DP$110:DP$114,$F8+1)+IF(AND($E8=1,QP8=0),1000,0)),1000000))</f>
        <v/>
      </c>
      <c r="ZX8">
        <f>IF($B8=0,1000000,IF(INDEX('計算A'!$D$60:$II$104,$B8,118)*HJ8=1,IF(AND($E8=2,QQ8=0),1000000,INDEX('計算A'!DQ$110:DQ$114,$F8+1)+IF(AND($E8=1,QQ8=0),1000,0)),1000000))</f>
        <v/>
      </c>
      <c r="ZY8">
        <f>IF($B8=0,1000000,IF(INDEX('計算A'!$D$60:$II$104,$B8,119)*HK8=1,IF(AND($E8=2,QR8=0),1000000,INDEX('計算A'!DR$110:DR$114,$F8+1)+IF(AND($E8=1,QR8=0),1000,0)),1000000))</f>
        <v/>
      </c>
      <c r="ZZ8">
        <f>IF($B8=0,1000000,IF(INDEX('計算A'!$D$60:$II$104,$B8,120)*HL8=1,IF(AND($E8=2,QS8=0),1000000,INDEX('計算A'!DS$110:DS$114,$F8+1)+IF(AND($E8=1,QS8=0),1000,0)),1000000))</f>
        <v/>
      </c>
      <c r="AAA8">
        <f>IF($B8=0,1000000,IF(INDEX('計算A'!$D$60:$II$104,$B8,121)*HM8=1,IF(AND($E8=2,QT8=0),1000000,INDEX('計算A'!DT$110:DT$114,$F8+1)+IF(AND($E8=1,QT8=0),1000,0)),1000000))</f>
        <v/>
      </c>
      <c r="AAB8">
        <f>IF($B8=0,1000000,IF(INDEX('計算A'!$D$60:$II$104,$B8,122)*HN8=1,IF(AND($E8=2,QU8=0),1000000,INDEX('計算A'!DU$110:DU$114,$F8+1)+IF(AND($E8=1,QU8=0),1000,0)),1000000))</f>
        <v/>
      </c>
      <c r="AAC8">
        <f>IF($B8=0,1000000,IF(INDEX('計算A'!$D$60:$II$104,$B8,123)*HO8=1,IF(AND($E8=2,QV8=0),1000000,INDEX('計算A'!DV$110:DV$114,$F8+1)+IF(AND($E8=1,QV8=0),1000,0)),1000000))</f>
        <v/>
      </c>
      <c r="AAD8">
        <f>IF($B8=0,1000000,IF(INDEX('計算A'!$D$60:$II$104,$B8,124)*HP8=1,IF(AND($E8=2,QW8=0),1000000,INDEX('計算A'!DW$110:DW$114,$F8+1)+IF(AND($E8=1,QW8=0),1000,0)),1000000))</f>
        <v/>
      </c>
      <c r="AAE8">
        <f>IF($B8=0,1000000,IF(INDEX('計算A'!$D$60:$II$104,$B8,125)*HQ8=1,IF(AND($E8=2,QX8=0),1000000,INDEX('計算A'!DX$110:DX$114,$F8+1)+IF(AND($E8=1,QX8=0),1000,0)),1000000))</f>
        <v/>
      </c>
      <c r="AAF8">
        <f>IF($B8=0,1000000,IF(INDEX('計算A'!$D$60:$II$104,$B8,126)*HR8=1,IF(AND($E8=2,QY8=0),1000000,INDEX('計算A'!DY$110:DY$114,$F8+1)+IF(AND($E8=1,QY8=0),1000,0)),1000000))</f>
        <v/>
      </c>
      <c r="AAG8">
        <f>IF($B8=0,1000000,IF(INDEX('計算A'!$D$60:$II$104,$B8,127)*HS8=1,IF(AND($E8=2,QZ8=0),1000000,INDEX('計算A'!DZ$110:DZ$114,$F8+1)+IF(AND($E8=1,QZ8=0),1000,0)),1000000))</f>
        <v/>
      </c>
      <c r="AAH8">
        <f>IF($B8=0,1000000,IF(INDEX('計算A'!$D$60:$II$104,$B8,128)*HT8=1,IF(AND($E8=2,RA8=0),1000000,INDEX('計算A'!EA$110:EA$114,$F8+1)+IF(AND($E8=1,RA8=0),1000,0)),1000000))</f>
        <v/>
      </c>
      <c r="AAI8">
        <f>IF($B8=0,1000000,IF(INDEX('計算A'!$D$60:$II$104,$B8,129)*HU8=1,IF(AND($E8=2,RB8=0),1000000,INDEX('計算A'!EB$110:EB$114,$F8+1)+IF(AND($E8=1,RB8=0),1000,0)),1000000))</f>
        <v/>
      </c>
      <c r="AAJ8">
        <f>IF($B8=0,1000000,IF(INDEX('計算A'!$D$60:$II$104,$B8,130)*HV8=1,IF(AND($E8=2,RC8=0),1000000,INDEX('計算A'!EC$110:EC$114,$F8+1)+IF(AND($E8=1,RC8=0),1000,0)),1000000))</f>
        <v/>
      </c>
      <c r="AAK8">
        <f>IF($B8=0,1000000,IF(INDEX('計算A'!$D$60:$II$104,$B8,131)*HW8=1,IF(AND($E8=2,RD8=0),1000000,INDEX('計算A'!ED$110:ED$114,$F8+1)+IF(AND($E8=1,RD8=0),1000,0)),1000000))</f>
        <v/>
      </c>
      <c r="AAL8">
        <f>IF($B8=0,1000000,IF(INDEX('計算A'!$D$60:$II$104,$B8,132)*HX8=1,IF(AND($E8=2,RE8=0),1000000,INDEX('計算A'!EE$110:EE$114,$F8+1)+IF(AND($E8=1,RE8=0),1000,0)),1000000))</f>
        <v/>
      </c>
      <c r="AAM8">
        <f>IF($B8=0,1000000,IF(INDEX('計算A'!$D$60:$II$104,$B8,133)*HY8=1,IF(AND($E8=2,RF8=0),1000000,INDEX('計算A'!EF$110:EF$114,$F8+1)+IF(AND($E8=1,RF8=0),1000,0)),1000000))</f>
        <v/>
      </c>
      <c r="AAN8">
        <f>IF($B8=0,1000000,IF(INDEX('計算A'!$D$60:$II$104,$B8,134)*HZ8=1,IF(AND($E8=2,RG8=0),1000000,INDEX('計算A'!EG$110:EG$114,$F8+1)+IF(AND($E8=1,RG8=0),1000,0)),1000000))</f>
        <v/>
      </c>
      <c r="AAO8">
        <f>IF($B8=0,1000000,IF(INDEX('計算A'!$D$60:$II$104,$B8,135)*IA8=1,IF(AND($E8=2,RH8=0),1000000,INDEX('計算A'!EH$110:EH$114,$F8+1)+IF(AND($E8=1,RH8=0),1000,0)),1000000))</f>
        <v/>
      </c>
      <c r="AAP8">
        <f>IF($B8=0,1000000,IF(INDEX('計算A'!$D$60:$II$104,$B8,136)*IB8=1,IF(AND($E8=2,RI8=0),1000000,INDEX('計算A'!EI$110:EI$114,$F8+1)+IF(AND($E8=1,RI8=0),1000,0)),1000000))</f>
        <v/>
      </c>
      <c r="AAQ8">
        <f>IF($B8=0,1000000,IF(INDEX('計算A'!$D$60:$II$104,$B8,137)*IC8=1,IF(AND($E8=2,RJ8=0),1000000,INDEX('計算A'!EJ$110:EJ$114,$F8+1)+IF(AND($E8=1,RJ8=0),1000,0)),1000000))</f>
        <v/>
      </c>
      <c r="AAR8">
        <f>IF($B8=0,1000000,IF(INDEX('計算A'!$D$60:$II$104,$B8,138)*ID8=1,IF(AND($E8=2,RK8=0),1000000,INDEX('計算A'!EK$110:EK$114,$F8+1)+IF(AND($E8=1,RK8=0),1000,0)),1000000))</f>
        <v/>
      </c>
      <c r="AAS8">
        <f>IF($B8=0,1000000,IF(INDEX('計算A'!$D$60:$II$104,$B8,139)*IE8=1,IF(AND($E8=2,RL8=0),1000000,INDEX('計算A'!EL$110:EL$114,$F8+1)+IF(AND($E8=1,RL8=0),1000,0)),1000000))</f>
        <v/>
      </c>
      <c r="AAT8">
        <f>IF($B8=0,1000000,IF(INDEX('計算A'!$D$60:$II$104,$B8,140)*IF8=1,IF(AND($E8=2,RM8=0),1000000,INDEX('計算A'!EM$110:EM$114,$F8+1)+IF(AND($E8=1,RM8=0),1000,0)),1000000))</f>
        <v/>
      </c>
      <c r="AAU8">
        <f>IF($B8=0,1000000,IF(INDEX('計算A'!$D$60:$II$104,$B8,141)*IG8=1,IF(AND($E8=2,RN8=0),1000000,INDEX('計算A'!EN$110:EN$114,$F8+1)+IF(AND($E8=1,RN8=0),1000,0)),1000000))</f>
        <v/>
      </c>
      <c r="AAV8">
        <f>IF($B8=0,1000000,IF(INDEX('計算A'!$D$60:$II$104,$B8,142)*IH8=1,IF(AND($E8=2,RO8=0),1000000,INDEX('計算A'!EO$110:EO$114,$F8+1)+IF(AND($E8=1,RO8=0),1000,0)),1000000))</f>
        <v/>
      </c>
      <c r="AAW8">
        <f>IF($B8=0,1000000,IF(INDEX('計算A'!$D$60:$II$104,$B8,143)*II8=1,IF(AND($E8=2,RP8=0),1000000,INDEX('計算A'!EP$110:EP$114,$F8+1)+IF(AND($E8=1,RP8=0),1000,0)),1000000))</f>
        <v/>
      </c>
      <c r="AAX8">
        <f>IF($B8=0,1000000,IF(INDEX('計算A'!$D$60:$II$104,$B8,144)*IJ8=1,IF(AND($E8=2,RQ8=0),1000000,INDEX('計算A'!EQ$110:EQ$114,$F8+1)+IF(AND($E8=1,RQ8=0),1000,0)),1000000))</f>
        <v/>
      </c>
      <c r="AAY8">
        <f>IF($B8=0,1000000,IF(INDEX('計算A'!$D$60:$II$104,$B8,145)*IK8=1,IF(AND($E8=2,RR8=0),1000000,INDEX('計算A'!ER$110:ER$114,$F8+1)+IF(AND($E8=1,RR8=0),1000,0)),1000000))</f>
        <v/>
      </c>
      <c r="AAZ8">
        <f>IF($B8=0,1000000,IF(INDEX('計算A'!$D$60:$II$104,$B8,146)*IL8=1,IF(AND($E8=2,RS8=0),1000000,INDEX('計算A'!ES$110:ES$114,$F8+1)+IF(AND($E8=1,RS8=0),1000,0)),1000000))</f>
        <v/>
      </c>
      <c r="ABA8">
        <f>IF($B8=0,1000000,IF(INDEX('計算A'!$D$60:$II$104,$B8,147)*IM8=1,IF(AND($E8=2,RT8=0),1000000,INDEX('計算A'!ET$110:ET$114,$F8+1)+IF(AND($E8=1,RT8=0),1000,0)),1000000))</f>
        <v/>
      </c>
      <c r="ABB8">
        <f>IF($B8=0,1000000,IF(INDEX('計算A'!$D$60:$II$104,$B8,148)*IN8=1,IF(AND($E8=2,RU8=0),1000000,INDEX('計算A'!EU$110:EU$114,$F8+1)+IF(AND($E8=1,RU8=0),1000,0)),1000000))</f>
        <v/>
      </c>
      <c r="ABC8">
        <f>IF($B8=0,1000000,IF(INDEX('計算A'!$D$60:$II$104,$B8,149)*IO8=1,IF(AND($E8=2,RV8=0),1000000,INDEX('計算A'!EV$110:EV$114,$F8+1)+IF(AND($E8=1,RV8=0),1000,0)),1000000))</f>
        <v/>
      </c>
      <c r="ABD8">
        <f>IF($B8=0,1000000,IF(INDEX('計算A'!$D$60:$II$104,$B8,150)*IP8=1,IF(AND($E8=2,RW8=0),1000000,INDEX('計算A'!EW$110:EW$114,$F8+1)+IF(AND($E8=1,RW8=0),1000,0)),1000000))</f>
        <v/>
      </c>
      <c r="ABE8">
        <f>IF($B8=0,1000000,IF(INDEX('計算A'!$D$60:$II$104,$B8,151)*IQ8=1,IF(AND($E8=2,RX8=0),1000000,INDEX('計算A'!EX$110:EX$114,$F8+1)+IF(AND($E8=1,RX8=0),1000,0)),1000000))</f>
        <v/>
      </c>
      <c r="ABF8">
        <f>IF($B8=0,1000000,IF(INDEX('計算A'!$D$60:$II$104,$B8,152)*IR8=1,IF(AND($E8=2,RY8=0),1000000,INDEX('計算A'!EY$110:EY$114,$F8+1)+IF(AND($E8=1,RY8=0),1000,0)),1000000))</f>
        <v/>
      </c>
      <c r="ABG8">
        <f>IF($B8=0,1000000,IF(INDEX('計算A'!$D$60:$II$104,$B8,153)*IS8=1,IF(AND($E8=2,RZ8=0),1000000,INDEX('計算A'!EZ$110:EZ$114,$F8+1)+IF(AND($E8=1,RZ8=0),1000,0)),1000000))</f>
        <v/>
      </c>
      <c r="ABH8">
        <f>IF($B8=0,1000000,IF(INDEX('計算A'!$D$60:$II$104,$B8,154)*IT8=1,IF(AND($E8=2,SA8=0),1000000,INDEX('計算A'!FA$110:FA$114,$F8+1)+IF(AND($E8=1,SA8=0),1000,0)),1000000))</f>
        <v/>
      </c>
      <c r="ABI8">
        <f>IF($B8=0,1000000,IF(INDEX('計算A'!$D$60:$II$104,$B8,155)*IU8=1,IF(AND($E8=2,SB8=0),1000000,INDEX('計算A'!FB$110:FB$114,$F8+1)+IF(AND($E8=1,SB8=0),1000,0)),1000000))</f>
        <v/>
      </c>
      <c r="ABJ8">
        <f>IF($B8=0,1000000,IF(INDEX('計算A'!$D$60:$II$104,$B8,156)*IV8=1,IF(AND($E8=2,SC8=0),1000000,INDEX('計算A'!FC$110:FC$114,$F8+1)+IF(AND($E8=1,SC8=0),1000,0)),1000000))</f>
        <v/>
      </c>
      <c r="ABK8">
        <f>IF($B8=0,1000000,IF(INDEX('計算A'!$D$60:$II$104,$B8,157)*IW8=1,IF(AND($E8=2,SD8=0),1000000,INDEX('計算A'!FD$110:FD$114,$F8+1)+IF(AND($E8=1,SD8=0),1000,0)),1000000))</f>
        <v/>
      </c>
      <c r="ABL8">
        <f>IF($B8=0,1000000,IF(INDEX('計算A'!$D$60:$II$104,$B8,158)*IX8=1,IF(AND($E8=2,SE8=0),1000000,INDEX('計算A'!FE$110:FE$114,$F8+1)+IF(AND($E8=1,SE8=0),1000,0)),1000000))</f>
        <v/>
      </c>
      <c r="ABM8">
        <f>IF($B8=0,1000000,IF(INDEX('計算A'!$D$60:$II$104,$B8,159)*IY8=1,IF(AND($E8=2,SF8=0),1000000,INDEX('計算A'!FF$110:FF$114,$F8+1)+IF(AND($E8=1,SF8=0),1000,0)),1000000))</f>
        <v/>
      </c>
      <c r="ABN8">
        <f>IF($B8=0,1000000,IF(INDEX('計算A'!$D$60:$II$104,$B8,160)*IZ8=1,IF(AND($E8=2,SG8=0),1000000,INDEX('計算A'!FG$110:FG$114,$F8+1)+IF(AND($E8=1,SG8=0),1000,0)),1000000))</f>
        <v/>
      </c>
      <c r="ABO8">
        <f>IF($B8=0,1000000,IF(INDEX('計算A'!$D$60:$II$104,$B8,161)*JA8=1,IF(AND($E8=2,SH8=0),1000000,INDEX('計算A'!FH$110:FH$114,$F8+1)+IF(AND($E8=1,SH8=0),1000,0)),1000000))</f>
        <v/>
      </c>
      <c r="ABP8">
        <f>IF($B8=0,1000000,IF(INDEX('計算A'!$D$60:$II$104,$B8,162)*JB8=1,IF(AND($E8=2,SI8=0),1000000,INDEX('計算A'!FI$110:FI$114,$F8+1)+IF(AND($E8=1,SI8=0),1000,0)),1000000))</f>
        <v/>
      </c>
      <c r="ABQ8">
        <f>IF($B8=0,1000000,IF(INDEX('計算A'!$D$60:$II$104,$B8,163)*JC8=1,IF(AND($E8=2,SJ8=0),1000000,INDEX('計算A'!FJ$110:FJ$114,$F8+1)+IF(AND($E8=1,SJ8=0),1000,0)),1000000))</f>
        <v/>
      </c>
      <c r="ABR8">
        <f>IF($B8=0,1000000,IF(INDEX('計算A'!$D$60:$II$104,$B8,164)*JD8=1,IF(AND($E8=2,SK8=0),1000000,INDEX('計算A'!FK$110:FK$114,$F8+1)+IF(AND($E8=1,SK8=0),1000,0)),1000000))</f>
        <v/>
      </c>
      <c r="ABS8">
        <f>IF($B8=0,1000000,IF(INDEX('計算A'!$D$60:$II$104,$B8,165)*JE8=1,IF(AND($E8=2,SL8=0),1000000,INDEX('計算A'!FL$110:FL$114,$F8+1)+IF(AND($E8=1,SL8=0),1000,0)),1000000))</f>
        <v/>
      </c>
      <c r="ABT8">
        <f>IF($B8=0,1000000,IF(INDEX('計算A'!$D$60:$II$104,$B8,166)*JF8=1,IF(AND($E8=2,SM8=0),1000000,INDEX('計算A'!FM$110:FM$114,$F8+1)+IF(AND($E8=1,SM8=0),1000,0)),1000000))</f>
        <v/>
      </c>
      <c r="ABU8">
        <f>IF($B8=0,1000000,IF(INDEX('計算A'!$D$60:$II$104,$B8,167)*JG8=1,IF(AND($E8=2,SN8=0),1000000,INDEX('計算A'!FN$110:FN$114,$F8+1)+IF(AND($E8=1,SN8=0),1000,0)),1000000))</f>
        <v/>
      </c>
      <c r="ABV8">
        <f>IF($B8=0,1000000,IF(INDEX('計算A'!$D$60:$II$104,$B8,168)*JH8=1,IF(AND($E8=2,SO8=0),1000000,INDEX('計算A'!FO$110:FO$114,$F8+1)+IF(AND($E8=1,SO8=0),1000,0)),1000000))</f>
        <v/>
      </c>
      <c r="ABW8">
        <f>IF($B8=0,1000000,IF(INDEX('計算A'!$D$60:$II$104,$B8,169)*JI8=1,IF(AND($E8=2,SP8=0),1000000,INDEX('計算A'!FP$110:FP$114,$F8+1)+IF(AND($E8=1,SP8=0),1000,0)),1000000))</f>
        <v/>
      </c>
      <c r="ABX8">
        <f>IF($B8=0,1000000,IF(INDEX('計算A'!$D$60:$II$104,$B8,170)*JJ8=1,IF(AND($E8=2,SQ8=0),1000000,INDEX('計算A'!FQ$110:FQ$114,$F8+1)+IF(AND($E8=1,SQ8=0),1000,0)),1000000))</f>
        <v/>
      </c>
      <c r="ABY8">
        <f>IF($B8=0,1000000,IF(INDEX('計算A'!$D$60:$II$104,$B8,171)*JK8=1,IF(AND($E8=2,SR8=0),1000000,INDEX('計算A'!FR$110:FR$114,$F8+1)+IF(AND($E8=1,SR8=0),1000,0)),1000000))</f>
        <v/>
      </c>
      <c r="ABZ8">
        <f>IF($B8=0,1000000,IF(INDEX('計算A'!$D$60:$II$104,$B8,172)*JL8=1,IF(AND($E8=2,SS8=0),1000000,INDEX('計算A'!FS$110:FS$114,$F8+1)+IF(AND($E8=1,SS8=0),1000,0)),1000000))</f>
        <v/>
      </c>
      <c r="ACA8">
        <f>IF($B8=0,1000000,IF(INDEX('計算A'!$D$60:$II$104,$B8,173)*JM8=1,IF(AND($E8=2,ST8=0),1000000,INDEX('計算A'!FT$110:FT$114,$F8+1)+IF(AND($E8=1,ST8=0),1000,0)),1000000))</f>
        <v/>
      </c>
      <c r="ACB8">
        <f>IF($B8=0,1000000,IF(INDEX('計算A'!$D$60:$II$104,$B8,174)*JN8=1,IF(AND($E8=2,SU8=0),1000000,INDEX('計算A'!FU$110:FU$114,$F8+1)+IF(AND($E8=1,SU8=0),1000,0)),1000000))</f>
        <v/>
      </c>
      <c r="ACC8">
        <f>IF($B8=0,1000000,IF(INDEX('計算A'!$D$60:$II$104,$B8,175)*JO8=1,IF(AND($E8=2,SV8=0),1000000,INDEX('計算A'!FV$110:FV$114,$F8+1)+IF(AND($E8=1,SV8=0),1000,0)),1000000))</f>
        <v/>
      </c>
      <c r="ACD8">
        <f>IF($B8=0,1000000,IF(INDEX('計算A'!$D$60:$II$104,$B8,176)*JP8=1,IF(AND($E8=2,SW8=0),1000000,INDEX('計算A'!FW$110:FW$114,$F8+1)+IF(AND($E8=1,SW8=0),1000,0)),1000000))</f>
        <v/>
      </c>
      <c r="ACE8">
        <f>IF($B8=0,1000000,IF(INDEX('計算A'!$D$60:$II$104,$B8,177)*JQ8=1,IF(AND($E8=2,SX8=0),1000000,INDEX('計算A'!FX$110:FX$114,$F8+1)+IF(AND($E8=1,SX8=0),1000,0)),1000000))</f>
        <v/>
      </c>
      <c r="ACF8">
        <f>IF($B8=0,1000000,IF(INDEX('計算A'!$D$60:$II$104,$B8,178)*JR8=1,IF(AND($E8=2,SY8=0),1000000,INDEX('計算A'!FY$110:FY$114,$F8+1)+IF(AND($E8=1,SY8=0),1000,0)),1000000))</f>
        <v/>
      </c>
      <c r="ACG8">
        <f>IF($B8=0,1000000,IF(INDEX('計算A'!$D$60:$II$104,$B8,179)*JS8=1,IF(AND($E8=2,SZ8=0),1000000,INDEX('計算A'!FZ$110:FZ$114,$F8+1)+IF(AND($E8=1,SZ8=0),1000,0)),1000000))</f>
        <v/>
      </c>
      <c r="ACH8">
        <f>IF($B8=0,1000000,IF(INDEX('計算A'!$D$60:$II$104,$B8,180)*JT8=1,IF(AND($E8=2,TA8=0),1000000,INDEX('計算A'!GA$110:GA$114,$F8+1)+IF(AND($E8=1,TA8=0),1000,0)),1000000))</f>
        <v/>
      </c>
      <c r="ACI8">
        <f>IF($B8=0,1000000,IF(INDEX('計算A'!$D$60:$II$104,$B8,181)*JU8=1,IF(AND($E8=2,TB8=0),1000000,INDEX('計算A'!GB$110:GB$114,$F8+1)+IF(AND($E8=1,TB8=0),1000,0)),1000000))</f>
        <v/>
      </c>
      <c r="ACJ8">
        <f>IF($B8=0,1000000,IF(INDEX('計算A'!$D$60:$II$104,$B8,182)*JV8=1,IF(AND($E8=2,TC8=0),1000000,INDEX('計算A'!GC$110:GC$114,$F8+1)+IF(AND($E8=1,TC8=0),1000,0)),1000000))</f>
        <v/>
      </c>
      <c r="ACK8">
        <f>IF($B8=0,1000000,IF(INDEX('計算A'!$D$60:$II$104,$B8,183)*JW8=1,IF(AND($E8=2,TD8=0),1000000,INDEX('計算A'!GD$110:GD$114,$F8+1)+IF(AND($E8=1,TD8=0),1000,0)),1000000))</f>
        <v/>
      </c>
      <c r="ACL8">
        <f>IF($B8=0,1000000,IF(INDEX('計算A'!$D$60:$II$104,$B8,184)*JX8=1,IF(AND($E8=2,TE8=0),1000000,INDEX('計算A'!GE$110:GE$114,$F8+1)+IF(AND($E8=1,TE8=0),1000,0)),1000000))</f>
        <v/>
      </c>
      <c r="ACM8">
        <f>IF($B8=0,1000000,IF(INDEX('計算A'!$D$60:$II$104,$B8,185)*JY8=1,IF(AND($E8=2,TF8=0),1000000,INDEX('計算A'!GF$110:GF$114,$F8+1)+IF(AND($E8=1,TF8=0),1000,0)),1000000))</f>
        <v/>
      </c>
      <c r="ACN8">
        <f>IF($B8=0,1000000,IF(INDEX('計算A'!$D$60:$II$104,$B8,186)*JZ8=1,IF(AND($E8=2,TG8=0),1000000,INDEX('計算A'!GG$110:GG$114,$F8+1)+IF(AND($E8=1,TG8=0),1000,0)),1000000))</f>
        <v/>
      </c>
      <c r="ACO8">
        <f>IF($B8=0,1000000,IF(INDEX('計算A'!$D$60:$II$104,$B8,187)*KA8=1,IF(AND($E8=2,TH8=0),1000000,INDEX('計算A'!GH$110:GH$114,$F8+1)+IF(AND($E8=1,TH8=0),1000,0)),1000000))</f>
        <v/>
      </c>
      <c r="ACP8">
        <f>IF($B8=0,1000000,IF(INDEX('計算A'!$D$60:$II$104,$B8,188)*KB8=1,IF(AND($E8=2,TI8=0),1000000,INDEX('計算A'!GI$110:GI$114,$F8+1)+IF(AND($E8=1,TI8=0),1000,0)),1000000))</f>
        <v/>
      </c>
      <c r="ACQ8">
        <f>IF($B8=0,1000000,IF(INDEX('計算A'!$D$60:$II$104,$B8,189)*KC8=1,IF(AND($E8=2,TJ8=0),1000000,INDEX('計算A'!GJ$110:GJ$114,$F8+1)+IF(AND($E8=1,TJ8=0),1000,0)),1000000))</f>
        <v/>
      </c>
      <c r="ACR8">
        <f>IF($B8=0,1000000,IF(INDEX('計算A'!$D$60:$II$104,$B8,190)*KD8=1,IF(AND($E8=2,TK8=0),1000000,INDEX('計算A'!GK$110:GK$114,$F8+1)+IF(AND($E8=1,TK8=0),1000,0)),1000000))</f>
        <v/>
      </c>
      <c r="ACS8">
        <f>IF($B8=0,1000000,IF(INDEX('計算A'!$D$60:$II$104,$B8,191)*KE8=1,IF(AND($E8=2,TL8=0),1000000,INDEX('計算A'!GL$110:GL$114,$F8+1)+IF(AND($E8=1,TL8=0),1000,0)),1000000))</f>
        <v/>
      </c>
      <c r="ACT8">
        <f>IF($B8=0,1000000,IF(INDEX('計算A'!$D$60:$II$104,$B8,192)*KF8=1,IF(AND($E8=2,TM8=0),1000000,INDEX('計算A'!GM$110:GM$114,$F8+1)+IF(AND($E8=1,TM8=0),1000,0)),1000000))</f>
        <v/>
      </c>
      <c r="ACU8">
        <f>IF($B8=0,1000000,IF(INDEX('計算A'!$D$60:$II$104,$B8,193)*KG8=1,IF(AND($E8=2,TN8=0),1000000,INDEX('計算A'!GN$110:GN$114,$F8+1)+IF(AND($E8=1,TN8=0),1000,0)),1000000))</f>
        <v/>
      </c>
      <c r="ACV8">
        <f>IF($B8=0,1000000,IF(INDEX('計算A'!$D$60:$II$104,$B8,194)*KH8=1,IF(AND($E8=2,TO8=0),1000000,INDEX('計算A'!GO$110:GO$114,$F8+1)+IF(AND($E8=1,TO8=0),1000,0)),1000000))</f>
        <v/>
      </c>
      <c r="ACW8">
        <f>IF($B8=0,1000000,IF(INDEX('計算A'!$D$60:$II$104,$B8,195)*KI8=1,IF(AND($E8=2,TP8=0),1000000,INDEX('計算A'!GP$110:GP$114,$F8+1)+IF(AND($E8=1,TP8=0),1000,0)),1000000))</f>
        <v/>
      </c>
      <c r="ACX8">
        <f>IF($B8=0,1000000,IF(INDEX('計算A'!$D$60:$II$104,$B8,196)*KJ8=1,IF(AND($E8=2,TQ8=0),1000000,INDEX('計算A'!GQ$110:GQ$114,$F8+1)+IF(AND($E8=1,TQ8=0),1000,0)),1000000))</f>
        <v/>
      </c>
      <c r="ACY8">
        <f>IF($B8=0,1000000,IF(INDEX('計算A'!$D$60:$II$104,$B8,197)*KK8=1,IF(AND($E8=2,TR8=0),1000000,INDEX('計算A'!GR$110:GR$114,$F8+1)+IF(AND($E8=1,TR8=0),1000,0)),1000000))</f>
        <v/>
      </c>
      <c r="ACZ8">
        <f>IF($B8=0,1000000,IF(INDEX('計算A'!$D$60:$II$104,$B8,198)*KL8=1,IF(AND($E8=2,TS8=0),1000000,INDEX('計算A'!GS$110:GS$114,$F8+1)+IF(AND($E8=1,TS8=0),1000,0)),1000000))</f>
        <v/>
      </c>
      <c r="ADA8">
        <f>IF($B8=0,1000000,IF(INDEX('計算A'!$D$60:$II$104,$B8,199)*KM8=1,IF(AND($E8=2,TT8=0),1000000,INDEX('計算A'!GT$110:GT$114,$F8+1)+IF(AND($E8=1,TT8=0),1000,0)),1000000))</f>
        <v/>
      </c>
      <c r="ADB8">
        <f>IF($B8=0,1000000,IF(INDEX('計算A'!$D$60:$II$104,$B8,200)*KN8=1,IF(AND($E8=2,TU8=0),1000000,INDEX('計算A'!GU$110:GU$114,$F8+1)+IF(AND($E8=1,TU8=0),1000,0)),1000000))</f>
        <v/>
      </c>
      <c r="ADC8">
        <f>IF($B8=0,1000000,IF(INDEX('計算A'!$D$60:$II$104,$B8,201)*KO8=1,IF(AND($E8=2,TV8=0),1000000,INDEX('計算A'!GV$110:GV$114,$F8+1)+IF(AND($E8=1,TV8=0),1000,0)),1000000))</f>
        <v/>
      </c>
      <c r="ADD8">
        <f>IF($B8=0,1000000,IF(INDEX('計算A'!$D$60:$II$104,$B8,202)*KP8=1,IF(AND($E8=2,TW8=0),1000000,INDEX('計算A'!GW$110:GW$114,$F8+1)+IF(AND($E8=1,TW8=0),1000,0)),1000000))</f>
        <v/>
      </c>
      <c r="ADE8">
        <f>IF($B8=0,1000000,IF(INDEX('計算A'!$D$60:$II$104,$B8,203)*KQ8=1,IF(AND($E8=2,TX8=0),1000000,INDEX('計算A'!GX$110:GX$114,$F8+1)+IF(AND($E8=1,TX8=0),1000,0)),1000000))</f>
        <v/>
      </c>
      <c r="ADF8">
        <f>IF($B8=0,1000000,IF(INDEX('計算A'!$D$60:$II$104,$B8,204)*KR8=1,IF(AND($E8=2,TY8=0),1000000,INDEX('計算A'!GY$110:GY$114,$F8+1)+IF(AND($E8=1,TY8=0),1000,0)),1000000))</f>
        <v/>
      </c>
      <c r="ADG8">
        <f>IF($B8=0,1000000,IF(INDEX('計算A'!$D$60:$II$104,$B8,205)*KS8=1,IF(AND($E8=2,TZ8=0),1000000,INDEX('計算A'!GZ$110:GZ$114,$F8+1)+IF(AND($E8=1,TZ8=0),1000,0)),1000000))</f>
        <v/>
      </c>
      <c r="ADH8">
        <f>IF($B8=0,1000000,IF(INDEX('計算A'!$D$60:$II$104,$B8,206)*KT8=1,IF(AND($E8=2,UA8=0),1000000,INDEX('計算A'!HA$110:HA$114,$F8+1)+IF(AND($E8=1,UA8=0),1000,0)),1000000))</f>
        <v/>
      </c>
      <c r="ADI8">
        <f>IF($B8=0,1000000,IF(INDEX('計算A'!$D$60:$II$104,$B8,207)*KU8=1,IF(AND($E8=2,UB8=0),1000000,INDEX('計算A'!HB$110:HB$114,$F8+1)+IF(AND($E8=1,UB8=0),1000,0)),1000000))</f>
        <v/>
      </c>
      <c r="ADJ8">
        <f>IF($B8=0,1000000,IF(INDEX('計算A'!$D$60:$II$104,$B8,208)*KV8=1,IF(AND($E8=2,UC8=0),1000000,INDEX('計算A'!HC$110:HC$114,$F8+1)+IF(AND($E8=1,UC8=0),1000,0)),1000000))</f>
        <v/>
      </c>
      <c r="ADK8">
        <f>IF($B8=0,1000000,IF(INDEX('計算A'!$D$60:$II$104,$B8,209)*KW8=1,IF(AND($E8=2,UD8=0),1000000,INDEX('計算A'!HD$110:HD$114,$F8+1)+IF(AND($E8=1,UD8=0),1000,0)),1000000))</f>
        <v/>
      </c>
      <c r="ADL8">
        <f>IF($B8=0,1000000,IF(INDEX('計算A'!$D$60:$II$104,$B8,210)*KX8=1,IF(AND($E8=2,UE8=0),1000000,INDEX('計算A'!HE$110:HE$114,$F8+1)+IF(AND($E8=1,UE8=0),1000,0)),1000000))</f>
        <v/>
      </c>
      <c r="ADM8">
        <f>IF($B8=0,1000000,IF(INDEX('計算A'!$D$60:$II$104,$B8,211)*KY8=1,IF(AND($E8=2,UF8=0),1000000,INDEX('計算A'!HF$110:HF$114,$F8+1)+IF(AND($E8=1,UF8=0),1000,0)),1000000))</f>
        <v/>
      </c>
      <c r="ADN8">
        <f>IF($B8=0,1000000,IF(INDEX('計算A'!$D$60:$II$104,$B8,212)*KZ8=1,IF(AND($E8=2,UG8=0),1000000,INDEX('計算A'!HG$110:HG$114,$F8+1)+IF(AND($E8=1,UG8=0),1000,0)),1000000))</f>
        <v/>
      </c>
      <c r="ADO8">
        <f>IF($B8=0,1000000,IF(INDEX('計算A'!$D$60:$II$104,$B8,213)*LA8=1,IF(AND($E8=2,UH8=0),1000000,INDEX('計算A'!HH$110:HH$114,$F8+1)+IF(AND($E8=1,UH8=0),1000,0)),1000000))</f>
        <v/>
      </c>
      <c r="ADP8">
        <f>IF($B8=0,1000000,IF(INDEX('計算A'!$D$60:$II$104,$B8,214)*LB8=1,IF(AND($E8=2,UI8=0),1000000,INDEX('計算A'!HI$110:HI$114,$F8+1)+IF(AND($E8=1,UI8=0),1000,0)),1000000))</f>
        <v/>
      </c>
      <c r="ADQ8">
        <f>IF($B8=0,1000000,IF(INDEX('計算A'!$D$60:$II$104,$B8,215)*LC8=1,IF(AND($E8=2,UJ8=0),1000000,INDEX('計算A'!HJ$110:HJ$114,$F8+1)+IF(AND($E8=1,UJ8=0),1000,0)),1000000))</f>
        <v/>
      </c>
      <c r="ADR8">
        <f>IF($B8=0,1000000,IF(INDEX('計算A'!$D$60:$II$104,$B8,216)*LD8=1,IF(AND($E8=2,UK8=0),1000000,INDEX('計算A'!HK$110:HK$114,$F8+1)+IF(AND($E8=1,UK8=0),1000,0)),1000000))</f>
        <v/>
      </c>
      <c r="ADS8">
        <f>IF($B8=0,1000000,IF(INDEX('計算A'!$D$60:$II$104,$B8,217)*LE8=1,IF(AND($E8=2,UL8=0),1000000,INDEX('計算A'!HL$110:HL$114,$F8+1)+IF(AND($E8=1,UL8=0),1000,0)),1000000))</f>
        <v/>
      </c>
      <c r="ADT8">
        <f>IF($B8=0,1000000,IF(INDEX('計算A'!$D$60:$II$104,$B8,218)*LF8=1,IF(AND($E8=2,UM8=0),1000000,INDEX('計算A'!HM$110:HM$114,$F8+1)+IF(AND($E8=1,UM8=0),1000,0)),1000000))</f>
        <v/>
      </c>
      <c r="ADU8">
        <f>IF($B8=0,1000000,IF(INDEX('計算A'!$D$60:$II$104,$B8,219)*LG8=1,IF(AND($E8=2,UN8=0),1000000,INDEX('計算A'!HN$110:HN$114,$F8+1)+IF(AND($E8=1,UN8=0),1000,0)),1000000))</f>
        <v/>
      </c>
      <c r="ADV8">
        <f>IF($B8=0,1000000,IF(INDEX('計算A'!$D$60:$II$104,$B8,220)*LH8=1,IF(AND($E8=2,UO8=0),1000000,INDEX('計算A'!HO$110:HO$114,$F8+1)+IF(AND($E8=1,UO8=0),1000,0)),1000000))</f>
        <v/>
      </c>
      <c r="ADW8">
        <f>IF($B8=0,1000000,IF(INDEX('計算A'!$D$60:$II$104,$B8,221)*LI8=1,IF(AND($E8=2,UP8=0),1000000,INDEX('計算A'!HP$110:HP$114,$F8+1)+IF(AND($E8=1,UP8=0),1000,0)),1000000))</f>
        <v/>
      </c>
      <c r="ADX8">
        <f>IF($B8=0,1000000,IF(INDEX('計算A'!$D$60:$II$104,$B8,222)*LJ8=1,IF(AND($E8=2,UQ8=0),1000000,INDEX('計算A'!HQ$110:HQ$114,$F8+1)+IF(AND($E8=1,UQ8=0),1000,0)),1000000))</f>
        <v/>
      </c>
      <c r="ADY8">
        <f>IF($B8=0,1000000,IF(INDEX('計算A'!$D$60:$II$104,$B8,223)*LK8=1,IF(AND($E8=2,UR8=0),1000000,INDEX('計算A'!HR$110:HR$114,$F8+1)+IF(AND($E8=1,UR8=0),1000,0)),1000000))</f>
        <v/>
      </c>
      <c r="ADZ8">
        <f>IF($B8=0,1000000,IF(INDEX('計算A'!$D$60:$II$104,$B8,224)*LL8=1,IF(AND($E8=2,US8=0),1000000,INDEX('計算A'!HS$110:HS$114,$F8+1)+IF(AND($E8=1,US8=0),1000,0)),1000000))</f>
        <v/>
      </c>
      <c r="AEA8">
        <f>IF($B8=0,1000000,IF(INDEX('計算A'!$D$60:$II$104,$B8,225)*LM8=1,IF(AND($E8=2,UT8=0),1000000,INDEX('計算A'!HT$110:HT$114,$F8+1)+IF(AND($E8=1,UT8=0),1000,0)),1000000))</f>
        <v/>
      </c>
      <c r="AEB8">
        <f>IF($B8=0,1000000,IF(INDEX('計算A'!$D$60:$II$104,$B8,226)*LN8=1,IF(AND($E8=2,UU8=0),1000000,INDEX('計算A'!HU$110:HU$114,$F8+1)+IF(AND($E8=1,UU8=0),1000,0)),1000000))</f>
        <v/>
      </c>
      <c r="AEC8">
        <f>IF($B8=0,1000000,IF(INDEX('計算A'!$D$60:$II$104,$B8,227)*LO8=1,IF(AND($E8=2,UV8=0),1000000,INDEX('計算A'!HV$110:HV$114,$F8+1)+IF(AND($E8=1,UV8=0),1000,0)),1000000))</f>
        <v/>
      </c>
      <c r="AED8">
        <f>IF($B8=0,1000000,IF(INDEX('計算A'!$D$60:$II$104,$B8,228)*LP8=1,IF(AND($E8=2,UW8=0),1000000,INDEX('計算A'!HW$110:HW$114,$F8+1)+IF(AND($E8=1,UW8=0),1000,0)),1000000))</f>
        <v/>
      </c>
      <c r="AEE8">
        <f>IF($B8=0,1000000,IF(INDEX('計算A'!$D$60:$II$104,$B8,229)*LQ8=1,IF(AND($E8=2,UX8=0),1000000,INDEX('計算A'!HX$110:HX$114,$F8+1)+IF(AND($E8=1,UX8=0),1000,0)),1000000))</f>
        <v/>
      </c>
      <c r="AEF8">
        <f>IF($B8=0,1000000,IF(INDEX('計算A'!$D$60:$II$104,$B8,230)*LR8=1,IF(AND($E8=2,UY8=0),1000000,INDEX('計算A'!HY$110:HY$114,$F8+1)+IF(AND($E8=1,UY8=0),1000,0)),1000000))</f>
        <v/>
      </c>
      <c r="AEG8">
        <f>IF($B8=0,1000000,IF(INDEX('計算A'!$D$60:$II$104,$B8,231)*LS8=1,IF(AND($E8=2,UZ8=0),1000000,INDEX('計算A'!HZ$110:HZ$114,$F8+1)+IF(AND($E8=1,UZ8=0),1000,0)),1000000))</f>
        <v/>
      </c>
      <c r="AEH8">
        <f>IF($B8=0,1000000,IF(INDEX('計算A'!$D$60:$II$104,$B8,232)*LT8=1,IF(AND($E8=2,VA8=0),1000000,INDEX('計算A'!IA$110:IA$114,$F8+1)+IF(AND($E8=1,VA8=0),1000,0)),1000000))</f>
        <v/>
      </c>
      <c r="AEI8">
        <f>IF($B8=0,1000000,IF(INDEX('計算A'!$D$60:$II$104,$B8,233)*LU8=1,IF(AND($E8=2,VB8=0),1000000,INDEX('計算A'!IB$110:IB$114,$F8+1)+IF(AND($E8=1,VB8=0),1000,0)),1000000))</f>
        <v/>
      </c>
      <c r="AEJ8">
        <f>IF($B8=0,1000000,IF(INDEX('計算A'!$D$60:$II$104,$B8,234)*LV8=1,IF(AND($E8=2,VC8=0),1000000,INDEX('計算A'!IC$110:IC$114,$F8+1)+IF(AND($E8=1,VC8=0),1000,0)),1000000))</f>
        <v/>
      </c>
      <c r="AEK8">
        <f>IF($B8=0,1000000,IF(INDEX('計算A'!$D$60:$II$104,$B8,235)*LW8=1,IF(AND($E8=2,VD8=0),1000000,INDEX('計算A'!ID$110:ID$114,$F8+1)+IF(AND($E8=1,VD8=0),1000,0)),1000000))</f>
        <v/>
      </c>
      <c r="AEL8">
        <f>IF($B8=0,1000000,IF(INDEX('計算A'!$D$60:$II$104,$B8,236)*LX8=1,IF(AND($E8=2,VE8=0),1000000,INDEX('計算A'!IE$110:IE$114,$F8+1)+IF(AND($E8=1,VE8=0),1000,0)),1000000))</f>
        <v/>
      </c>
      <c r="AEM8">
        <f>IF($B8=0,1000000,IF(INDEX('計算A'!$D$60:$II$104,$B8,237)*LY8=1,IF(AND($E8=2,VF8=0),1000000,INDEX('計算A'!IF$110:IF$114,$F8+1)+IF(AND($E8=1,VF8=0),1000,0)),1000000))</f>
        <v/>
      </c>
      <c r="AEN8">
        <f>IF($B8=0,1000000,IF(INDEX('計算A'!$D$60:$II$104,$B8,238)*LZ8=1,IF(AND($E8=2,VG8=0),1000000,INDEX('計算A'!IG$110:IG$114,$F8+1)+IF(AND($E8=1,VG8=0),1000,0)),1000000))</f>
        <v/>
      </c>
      <c r="AEO8">
        <f>IF($B8=0,1000000,IF(INDEX('計算A'!$D$60:$II$104,$B8,239)*MA8=1,IF(AND($E8=2,VH8=0),1000000,INDEX('計算A'!IH$110:IH$114,$F8+1)+IF(AND($E8=1,VH8=0),1000,0)),1000000))</f>
        <v/>
      </c>
      <c r="AEP8">
        <f>IF($B8=0,1000000,IF(INDEX('計算A'!$D$60:$II$104,$B8,240)*MB8=1,IF(AND($E8=2,VI8=0),1000000,INDEX('計算A'!II$110:II$114,$F8+1)+IF(AND($E8=1,VI8=0),1000,0)),1000000))</f>
        <v/>
      </c>
    </row>
    <row r="9">
      <c r="A9" t="n">
        <v>7</v>
      </c>
      <c r="B9">
        <f>IF(MIN(BC9:CU9)&gt;=1000000,0,MATCH(MIN(BC9:CU9),BC9:CU9,0))</f>
        <v/>
      </c>
      <c r="C9">
        <f>IF(MIN(VK9:AEP9)&gt;=1000000,0,MATCH(MIN(VK9:AEP9),VK9:AEP9,0))</f>
        <v/>
      </c>
      <c r="D9">
        <f>IF(C9&gt;0,INDEX('計算A'!$D$5:$II$5,C9),0)</f>
        <v/>
      </c>
      <c r="E9">
        <f>IF(B9=0,0,INDEX('計算A'!$IQ$10:$IQ$54,B9))</f>
        <v/>
      </c>
      <c r="F9">
        <f>IF(B9=0,0,INDEX('計算A'!$IP$10:$IP$54,B9))</f>
        <v/>
      </c>
      <c r="G9">
        <f>IF(AND(C9&gt;0,E9&gt;0),IF(AND(INDEX('計算A'!$D$106:$II$106,C9)=1,INDEX($MD9:$VI9,C9)=1),C9+1,0),0)</f>
        <v/>
      </c>
      <c r="I9">
        <f>MAX(I8,IF($B8=1,1,0))</f>
        <v/>
      </c>
      <c r="J9">
        <f>MAX(J8,IF($B8=2,1,0))</f>
        <v/>
      </c>
      <c r="K9">
        <f>MAX(K8,IF($B8=3,1,0))</f>
        <v/>
      </c>
      <c r="L9">
        <f>MAX(L8,IF($B8=4,1,0))</f>
        <v/>
      </c>
      <c r="M9">
        <f>MAX(M8,IF($B8=5,1,0))</f>
        <v/>
      </c>
      <c r="N9">
        <f>MAX(N8,IF($B8=6,1,0))</f>
        <v/>
      </c>
      <c r="O9">
        <f>MAX(O8,IF($B8=7,1,0))</f>
        <v/>
      </c>
      <c r="P9">
        <f>MAX(P8,IF($B8=8,1,0))</f>
        <v/>
      </c>
      <c r="Q9">
        <f>MAX(Q8,IF($B8=9,1,0))</f>
        <v/>
      </c>
      <c r="R9">
        <f>MAX(R8,IF($B8=10,1,0))</f>
        <v/>
      </c>
      <c r="S9">
        <f>MAX(S8,IF($B8=11,1,0))</f>
        <v/>
      </c>
      <c r="T9">
        <f>MAX(T8,IF($B8=12,1,0))</f>
        <v/>
      </c>
      <c r="U9">
        <f>MAX(U8,IF($B8=13,1,0))</f>
        <v/>
      </c>
      <c r="V9">
        <f>MAX(V8,IF($B8=14,1,0))</f>
        <v/>
      </c>
      <c r="W9">
        <f>MAX(W8,IF($B8=15,1,0))</f>
        <v/>
      </c>
      <c r="X9">
        <f>MAX(X8,IF($B8=16,1,0))</f>
        <v/>
      </c>
      <c r="Y9">
        <f>MAX(Y8,IF($B8=17,1,0))</f>
        <v/>
      </c>
      <c r="Z9">
        <f>MAX(Z8,IF($B8=18,1,0))</f>
        <v/>
      </c>
      <c r="AA9">
        <f>MAX(AA8,IF($B8=19,1,0))</f>
        <v/>
      </c>
      <c r="AB9">
        <f>MAX(AB8,IF($B8=20,1,0))</f>
        <v/>
      </c>
      <c r="AC9">
        <f>MAX(AC8,IF($B8=21,1,0))</f>
        <v/>
      </c>
      <c r="AD9">
        <f>MAX(AD8,IF($B8=22,1,0))</f>
        <v/>
      </c>
      <c r="AE9">
        <f>MAX(AE8,IF($B8=23,1,0))</f>
        <v/>
      </c>
      <c r="AF9">
        <f>MAX(AF8,IF($B8=24,1,0))</f>
        <v/>
      </c>
      <c r="AG9">
        <f>MAX(AG8,IF($B8=25,1,0))</f>
        <v/>
      </c>
      <c r="AH9">
        <f>MAX(AH8,IF($B8=26,1,0))</f>
        <v/>
      </c>
      <c r="AI9">
        <f>MAX(AI8,IF($B8=27,1,0))</f>
        <v/>
      </c>
      <c r="AJ9">
        <f>MAX(AJ8,IF($B8=28,1,0))</f>
        <v/>
      </c>
      <c r="AK9">
        <f>MAX(AK8,IF($B8=29,1,0))</f>
        <v/>
      </c>
      <c r="AL9">
        <f>MAX(AL8,IF($B8=30,1,0))</f>
        <v/>
      </c>
      <c r="AM9">
        <f>MAX(AM8,IF($B8=31,1,0))</f>
        <v/>
      </c>
      <c r="AN9">
        <f>MAX(AN8,IF($B8=32,1,0))</f>
        <v/>
      </c>
      <c r="AO9">
        <f>MAX(AO8,IF($B8=33,1,0))</f>
        <v/>
      </c>
      <c r="AP9">
        <f>MAX(AP8,IF($B8=34,1,0))</f>
        <v/>
      </c>
      <c r="AQ9">
        <f>MAX(AQ8,IF($B8=35,1,0))</f>
        <v/>
      </c>
      <c r="AR9">
        <f>MAX(AR8,IF($B8=36,1,0))</f>
        <v/>
      </c>
      <c r="AS9">
        <f>MAX(AS8,IF($B8=37,1,0))</f>
        <v/>
      </c>
      <c r="AT9">
        <f>MAX(AT8,IF($B8=38,1,0))</f>
        <v/>
      </c>
      <c r="AU9">
        <f>MAX(AU8,IF($B8=39,1,0))</f>
        <v/>
      </c>
      <c r="AV9">
        <f>MAX(AV8,IF($B8=40,1,0))</f>
        <v/>
      </c>
      <c r="AW9">
        <f>MAX(AW8,IF($B8=41,1,0))</f>
        <v/>
      </c>
      <c r="AX9">
        <f>MAX(AX8,IF($B8=42,1,0))</f>
        <v/>
      </c>
      <c r="AY9">
        <f>MAX(AY8,IF($B8=43,1,0))</f>
        <v/>
      </c>
      <c r="AZ9">
        <f>MAX(AZ8,IF($B8=44,1,0))</f>
        <v/>
      </c>
      <c r="BA9">
        <f>MAX(BA8,IF($B8=45,1,0))</f>
        <v/>
      </c>
      <c r="BC9">
        <f>IF(I9=1,1000000,IF('計算A'!$IQ$10=2,SUMPRODUCT('計算A'!$D$60:$II$60,$CW9:$MB9,$MD9:$VI9),SUMPRODUCT('計算A'!$D$60:$II$60,$CW9:$MB9))*1000+1)</f>
        <v/>
      </c>
      <c r="BD9">
        <f>IF(J9=1,1000000,IF('計算A'!$IQ$11=2,SUMPRODUCT('計算A'!$D$61:$II$61,$CW9:$MB9,$MD9:$VI9),SUMPRODUCT('計算A'!$D$61:$II$61,$CW9:$MB9))*1000+2)</f>
        <v/>
      </c>
      <c r="BE9">
        <f>IF(K9=1,1000000,IF('計算A'!$IQ$12=2,SUMPRODUCT('計算A'!$D$62:$II$62,$CW9:$MB9,$MD9:$VI9),SUMPRODUCT('計算A'!$D$62:$II$62,$CW9:$MB9))*1000+3)</f>
        <v/>
      </c>
      <c r="BF9">
        <f>IF(L9=1,1000000,IF('計算A'!$IQ$13=2,SUMPRODUCT('計算A'!$D$63:$II$63,$CW9:$MB9,$MD9:$VI9),SUMPRODUCT('計算A'!$D$63:$II$63,$CW9:$MB9))*1000+4)</f>
        <v/>
      </c>
      <c r="BG9">
        <f>IF(M9=1,1000000,IF('計算A'!$IQ$14=2,SUMPRODUCT('計算A'!$D$64:$II$64,$CW9:$MB9,$MD9:$VI9),SUMPRODUCT('計算A'!$D$64:$II$64,$CW9:$MB9))*1000+5)</f>
        <v/>
      </c>
      <c r="BH9">
        <f>IF(N9=1,1000000,IF('計算A'!$IQ$15=2,SUMPRODUCT('計算A'!$D$65:$II$65,$CW9:$MB9,$MD9:$VI9),SUMPRODUCT('計算A'!$D$65:$II$65,$CW9:$MB9))*1000+6)</f>
        <v/>
      </c>
      <c r="BI9">
        <f>IF(O9=1,1000000,IF('計算A'!$IQ$16=2,SUMPRODUCT('計算A'!$D$66:$II$66,$CW9:$MB9,$MD9:$VI9),SUMPRODUCT('計算A'!$D$66:$II$66,$CW9:$MB9))*1000+7)</f>
        <v/>
      </c>
      <c r="BJ9">
        <f>IF(P9=1,1000000,IF('計算A'!$IQ$17=2,SUMPRODUCT('計算A'!$D$67:$II$67,$CW9:$MB9,$MD9:$VI9),SUMPRODUCT('計算A'!$D$67:$II$67,$CW9:$MB9))*1000+8)</f>
        <v/>
      </c>
      <c r="BK9">
        <f>IF(Q9=1,1000000,IF('計算A'!$IQ$18=2,SUMPRODUCT('計算A'!$D$68:$II$68,$CW9:$MB9,$MD9:$VI9),SUMPRODUCT('計算A'!$D$68:$II$68,$CW9:$MB9))*1000+9)</f>
        <v/>
      </c>
      <c r="BL9">
        <f>IF(R9=1,1000000,IF('計算A'!$IQ$19=2,SUMPRODUCT('計算A'!$D$69:$II$69,$CW9:$MB9,$MD9:$VI9),SUMPRODUCT('計算A'!$D$69:$II$69,$CW9:$MB9))*1000+10)</f>
        <v/>
      </c>
      <c r="BM9">
        <f>IF(S9=1,1000000,IF('計算A'!$IQ$20=2,SUMPRODUCT('計算A'!$D$70:$II$70,$CW9:$MB9,$MD9:$VI9),SUMPRODUCT('計算A'!$D$70:$II$70,$CW9:$MB9))*1000+11)</f>
        <v/>
      </c>
      <c r="BN9">
        <f>IF(T9=1,1000000,IF('計算A'!$IQ$21=2,SUMPRODUCT('計算A'!$D$71:$II$71,$CW9:$MB9,$MD9:$VI9),SUMPRODUCT('計算A'!$D$71:$II$71,$CW9:$MB9))*1000+12)</f>
        <v/>
      </c>
      <c r="BO9">
        <f>IF(U9=1,1000000,IF('計算A'!$IQ$22=2,SUMPRODUCT('計算A'!$D$72:$II$72,$CW9:$MB9,$MD9:$VI9),SUMPRODUCT('計算A'!$D$72:$II$72,$CW9:$MB9))*1000+13)</f>
        <v/>
      </c>
      <c r="BP9">
        <f>IF(V9=1,1000000,IF('計算A'!$IQ$23=2,SUMPRODUCT('計算A'!$D$73:$II$73,$CW9:$MB9,$MD9:$VI9),SUMPRODUCT('計算A'!$D$73:$II$73,$CW9:$MB9))*1000+14)</f>
        <v/>
      </c>
      <c r="BQ9">
        <f>IF(W9=1,1000000,IF('計算A'!$IQ$24=2,SUMPRODUCT('計算A'!$D$74:$II$74,$CW9:$MB9,$MD9:$VI9),SUMPRODUCT('計算A'!$D$74:$II$74,$CW9:$MB9))*1000+15)</f>
        <v/>
      </c>
      <c r="BR9">
        <f>IF(X9=1,1000000,IF('計算A'!$IQ$25=2,SUMPRODUCT('計算A'!$D$75:$II$75,$CW9:$MB9,$MD9:$VI9),SUMPRODUCT('計算A'!$D$75:$II$75,$CW9:$MB9))*1000+16)</f>
        <v/>
      </c>
      <c r="BS9">
        <f>IF(Y9=1,1000000,IF('計算A'!$IQ$26=2,SUMPRODUCT('計算A'!$D$76:$II$76,$CW9:$MB9,$MD9:$VI9),SUMPRODUCT('計算A'!$D$76:$II$76,$CW9:$MB9))*1000+17)</f>
        <v/>
      </c>
      <c r="BT9">
        <f>IF(Z9=1,1000000,IF('計算A'!$IQ$27=2,SUMPRODUCT('計算A'!$D$77:$II$77,$CW9:$MB9,$MD9:$VI9),SUMPRODUCT('計算A'!$D$77:$II$77,$CW9:$MB9))*1000+18)</f>
        <v/>
      </c>
      <c r="BU9">
        <f>IF(AA9=1,1000000,IF('計算A'!$IQ$28=2,SUMPRODUCT('計算A'!$D$78:$II$78,$CW9:$MB9,$MD9:$VI9),SUMPRODUCT('計算A'!$D$78:$II$78,$CW9:$MB9))*1000+19)</f>
        <v/>
      </c>
      <c r="BV9">
        <f>IF(AB9=1,1000000,IF('計算A'!$IQ$29=2,SUMPRODUCT('計算A'!$D$79:$II$79,$CW9:$MB9,$MD9:$VI9),SUMPRODUCT('計算A'!$D$79:$II$79,$CW9:$MB9))*1000+20)</f>
        <v/>
      </c>
      <c r="BW9">
        <f>IF(AC9=1,1000000,IF('計算A'!$IQ$30=2,SUMPRODUCT('計算A'!$D$80:$II$80,$CW9:$MB9,$MD9:$VI9),SUMPRODUCT('計算A'!$D$80:$II$80,$CW9:$MB9))*1000+21)</f>
        <v/>
      </c>
      <c r="BX9">
        <f>IF(AD9=1,1000000,IF('計算A'!$IQ$31=2,SUMPRODUCT('計算A'!$D$81:$II$81,$CW9:$MB9,$MD9:$VI9),SUMPRODUCT('計算A'!$D$81:$II$81,$CW9:$MB9))*1000+22)</f>
        <v/>
      </c>
      <c r="BY9">
        <f>IF(AE9=1,1000000,IF('計算A'!$IQ$32=2,SUMPRODUCT('計算A'!$D$82:$II$82,$CW9:$MB9,$MD9:$VI9),SUMPRODUCT('計算A'!$D$82:$II$82,$CW9:$MB9))*1000+23)</f>
        <v/>
      </c>
      <c r="BZ9">
        <f>IF(AF9=1,1000000,IF('計算A'!$IQ$33=2,SUMPRODUCT('計算A'!$D$83:$II$83,$CW9:$MB9,$MD9:$VI9),SUMPRODUCT('計算A'!$D$83:$II$83,$CW9:$MB9))*1000+24)</f>
        <v/>
      </c>
      <c r="CA9">
        <f>IF(AG9=1,1000000,IF('計算A'!$IQ$34=2,SUMPRODUCT('計算A'!$D$84:$II$84,$CW9:$MB9,$MD9:$VI9),SUMPRODUCT('計算A'!$D$84:$II$84,$CW9:$MB9))*1000+25)</f>
        <v/>
      </c>
      <c r="CB9">
        <f>IF(AH9=1,1000000,IF('計算A'!$IQ$35=2,SUMPRODUCT('計算A'!$D$85:$II$85,$CW9:$MB9,$MD9:$VI9),SUMPRODUCT('計算A'!$D$85:$II$85,$CW9:$MB9))*1000+26)</f>
        <v/>
      </c>
      <c r="CC9">
        <f>IF(AI9=1,1000000,IF('計算A'!$IQ$36=2,SUMPRODUCT('計算A'!$D$86:$II$86,$CW9:$MB9,$MD9:$VI9),SUMPRODUCT('計算A'!$D$86:$II$86,$CW9:$MB9))*1000+27)</f>
        <v/>
      </c>
      <c r="CD9">
        <f>IF(AJ9=1,1000000,IF('計算A'!$IQ$37=2,SUMPRODUCT('計算A'!$D$87:$II$87,$CW9:$MB9,$MD9:$VI9),SUMPRODUCT('計算A'!$D$87:$II$87,$CW9:$MB9))*1000+28)</f>
        <v/>
      </c>
      <c r="CE9">
        <f>IF(AK9=1,1000000,IF('計算A'!$IQ$38=2,SUMPRODUCT('計算A'!$D$88:$II$88,$CW9:$MB9,$MD9:$VI9),SUMPRODUCT('計算A'!$D$88:$II$88,$CW9:$MB9))*1000+29)</f>
        <v/>
      </c>
      <c r="CF9">
        <f>IF(AL9=1,1000000,IF('計算A'!$IQ$39=2,SUMPRODUCT('計算A'!$D$89:$II$89,$CW9:$MB9,$MD9:$VI9),SUMPRODUCT('計算A'!$D$89:$II$89,$CW9:$MB9))*1000+30)</f>
        <v/>
      </c>
      <c r="CG9">
        <f>IF(AM9=1,1000000,IF('計算A'!$IQ$40=2,SUMPRODUCT('計算A'!$D$90:$II$90,$CW9:$MB9,$MD9:$VI9),SUMPRODUCT('計算A'!$D$90:$II$90,$CW9:$MB9))*1000+31)</f>
        <v/>
      </c>
      <c r="CH9">
        <f>IF(AN9=1,1000000,IF('計算A'!$IQ$41=2,SUMPRODUCT('計算A'!$D$91:$II$91,$CW9:$MB9,$MD9:$VI9),SUMPRODUCT('計算A'!$D$91:$II$91,$CW9:$MB9))*1000+32)</f>
        <v/>
      </c>
      <c r="CI9">
        <f>IF(AO9=1,1000000,IF('計算A'!$IQ$42=2,SUMPRODUCT('計算A'!$D$92:$II$92,$CW9:$MB9,$MD9:$VI9),SUMPRODUCT('計算A'!$D$92:$II$92,$CW9:$MB9))*1000+33)</f>
        <v/>
      </c>
      <c r="CJ9">
        <f>IF(AP9=1,1000000,IF('計算A'!$IQ$43=2,SUMPRODUCT('計算A'!$D$93:$II$93,$CW9:$MB9,$MD9:$VI9),SUMPRODUCT('計算A'!$D$93:$II$93,$CW9:$MB9))*1000+34)</f>
        <v/>
      </c>
      <c r="CK9">
        <f>IF(AQ9=1,1000000,IF('計算A'!$IQ$44=2,SUMPRODUCT('計算A'!$D$94:$II$94,$CW9:$MB9,$MD9:$VI9),SUMPRODUCT('計算A'!$D$94:$II$94,$CW9:$MB9))*1000+35)</f>
        <v/>
      </c>
      <c r="CL9">
        <f>IF(AR9=1,1000000,IF('計算A'!$IQ$45=2,SUMPRODUCT('計算A'!$D$95:$II$95,$CW9:$MB9,$MD9:$VI9),SUMPRODUCT('計算A'!$D$95:$II$95,$CW9:$MB9))*1000+36)</f>
        <v/>
      </c>
      <c r="CM9">
        <f>IF(AS9=1,1000000,IF('計算A'!$IQ$46=2,SUMPRODUCT('計算A'!$D$96:$II$96,$CW9:$MB9,$MD9:$VI9),SUMPRODUCT('計算A'!$D$96:$II$96,$CW9:$MB9))*1000+37)</f>
        <v/>
      </c>
      <c r="CN9">
        <f>IF(AT9=1,1000000,IF('計算A'!$IQ$47=2,SUMPRODUCT('計算A'!$D$97:$II$97,$CW9:$MB9,$MD9:$VI9),SUMPRODUCT('計算A'!$D$97:$II$97,$CW9:$MB9))*1000+38)</f>
        <v/>
      </c>
      <c r="CO9">
        <f>IF(AU9=1,1000000,IF('計算A'!$IQ$48=2,SUMPRODUCT('計算A'!$D$98:$II$98,$CW9:$MB9,$MD9:$VI9),SUMPRODUCT('計算A'!$D$98:$II$98,$CW9:$MB9))*1000+39)</f>
        <v/>
      </c>
      <c r="CP9">
        <f>IF(AV9=1,1000000,IF('計算A'!$IQ$49=2,SUMPRODUCT('計算A'!$D$99:$II$99,$CW9:$MB9,$MD9:$VI9),SUMPRODUCT('計算A'!$D$99:$II$99,$CW9:$MB9))*1000+40)</f>
        <v/>
      </c>
      <c r="CQ9">
        <f>IF(AW9=1,1000000,IF('計算A'!$IQ$50=2,SUMPRODUCT('計算A'!$D$100:$II$100,$CW9:$MB9,$MD9:$VI9),SUMPRODUCT('計算A'!$D$100:$II$100,$CW9:$MB9))*1000+41)</f>
        <v/>
      </c>
      <c r="CR9">
        <f>IF(AX9=1,1000000,IF('計算A'!$IQ$51=2,SUMPRODUCT('計算A'!$D$101:$II$101,$CW9:$MB9,$MD9:$VI9),SUMPRODUCT('計算A'!$D$101:$II$101,$CW9:$MB9))*1000+42)</f>
        <v/>
      </c>
      <c r="CS9">
        <f>IF(AY9=1,1000000,IF('計算A'!$IQ$52=2,SUMPRODUCT('計算A'!$D$102:$II$102,$CW9:$MB9,$MD9:$VI9),SUMPRODUCT('計算A'!$D$102:$II$102,$CW9:$MB9))*1000+43)</f>
        <v/>
      </c>
      <c r="CT9">
        <f>IF(AZ9=1,1000000,IF('計算A'!$IQ$53=2,SUMPRODUCT('計算A'!$D$103:$II$103,$CW9:$MB9,$MD9:$VI9),SUMPRODUCT('計算A'!$D$103:$II$103,$CW9:$MB9))*1000+44)</f>
        <v/>
      </c>
      <c r="CU9">
        <f>IF(BA9=1,1000000,IF('計算A'!$IQ$54=2,SUMPRODUCT('計算A'!$D$104:$II$104,$CW9:$MB9,$MD9:$VI9),SUMPRODUCT('計算A'!$D$104:$II$104,$CW9:$MB9))*1000+45)</f>
        <v/>
      </c>
      <c r="CW9">
        <f>CW8*IF(OR($C8=1,$G8=1),0,1)</f>
        <v/>
      </c>
      <c r="CX9">
        <f>CX8*IF(OR($C8=2,$G8=2),0,1)</f>
        <v/>
      </c>
      <c r="CY9">
        <f>CY8*IF(OR($C8=3,$G8=3),0,1)</f>
        <v/>
      </c>
      <c r="CZ9">
        <f>CZ8*IF(OR($C8=4,$G8=4),0,1)</f>
        <v/>
      </c>
      <c r="DA9">
        <f>DA8*IF(OR($C8=5,$G8=5),0,1)</f>
        <v/>
      </c>
      <c r="DB9">
        <f>DB8*IF(OR($C8=6,$G8=6),0,1)</f>
        <v/>
      </c>
      <c r="DC9">
        <f>DC8*IF(OR($C8=7,$G8=7),0,1)</f>
        <v/>
      </c>
      <c r="DD9">
        <f>DD8*IF(OR($C8=8,$G8=8),0,1)</f>
        <v/>
      </c>
      <c r="DE9">
        <f>DE8*IF(OR($C8=9,$G8=9),0,1)</f>
        <v/>
      </c>
      <c r="DF9">
        <f>DF8*IF(OR($C8=10,$G8=10),0,1)</f>
        <v/>
      </c>
      <c r="DG9">
        <f>DG8*IF(OR($C8=11,$G8=11),0,1)</f>
        <v/>
      </c>
      <c r="DH9">
        <f>DH8*IF(OR($C8=12,$G8=12),0,1)</f>
        <v/>
      </c>
      <c r="DI9">
        <f>DI8*IF(OR($C8=13,$G8=13),0,1)</f>
        <v/>
      </c>
      <c r="DJ9">
        <f>DJ8*IF(OR($C8=14,$G8=14),0,1)</f>
        <v/>
      </c>
      <c r="DK9">
        <f>DK8*IF(OR($C8=15,$G8=15),0,1)</f>
        <v/>
      </c>
      <c r="DL9">
        <f>DL8*IF(OR($C8=16,$G8=16),0,1)</f>
        <v/>
      </c>
      <c r="DM9">
        <f>DM8*IF(OR($C8=17,$G8=17),0,1)</f>
        <v/>
      </c>
      <c r="DN9">
        <f>DN8*IF(OR($C8=18,$G8=18),0,1)</f>
        <v/>
      </c>
      <c r="DO9">
        <f>DO8*IF(OR($C8=19,$G8=19),0,1)</f>
        <v/>
      </c>
      <c r="DP9">
        <f>DP8*IF(OR($C8=20,$G8=20),0,1)</f>
        <v/>
      </c>
      <c r="DQ9">
        <f>DQ8*IF(OR($C8=21,$G8=21),0,1)</f>
        <v/>
      </c>
      <c r="DR9">
        <f>DR8*IF(OR($C8=22,$G8=22),0,1)</f>
        <v/>
      </c>
      <c r="DS9">
        <f>DS8*IF(OR($C8=23,$G8=23),0,1)</f>
        <v/>
      </c>
      <c r="DT9">
        <f>DT8*IF(OR($C8=24,$G8=24),0,1)</f>
        <v/>
      </c>
      <c r="DU9">
        <f>DU8*IF(OR($C8=25,$G8=25),0,1)</f>
        <v/>
      </c>
      <c r="DV9">
        <f>DV8*IF(OR($C8=26,$G8=26),0,1)</f>
        <v/>
      </c>
      <c r="DW9">
        <f>DW8*IF(OR($C8=27,$G8=27),0,1)</f>
        <v/>
      </c>
      <c r="DX9">
        <f>DX8*IF(OR($C8=28,$G8=28),0,1)</f>
        <v/>
      </c>
      <c r="DY9">
        <f>DY8*IF(OR($C8=29,$G8=29),0,1)</f>
        <v/>
      </c>
      <c r="DZ9">
        <f>DZ8*IF(OR($C8=30,$G8=30),0,1)</f>
        <v/>
      </c>
      <c r="EA9">
        <f>EA8*IF(OR($C8=31,$G8=31),0,1)</f>
        <v/>
      </c>
      <c r="EB9">
        <f>EB8*IF(OR($C8=32,$G8=32),0,1)</f>
        <v/>
      </c>
      <c r="EC9">
        <f>EC8*IF(OR($C8=33,$G8=33),0,1)</f>
        <v/>
      </c>
      <c r="ED9">
        <f>ED8*IF(OR($C8=34,$G8=34),0,1)</f>
        <v/>
      </c>
      <c r="EE9">
        <f>EE8*IF(OR($C8=35,$G8=35),0,1)</f>
        <v/>
      </c>
      <c r="EF9">
        <f>EF8*IF(OR($C8=36,$G8=36),0,1)</f>
        <v/>
      </c>
      <c r="EG9">
        <f>EG8*IF(OR($C8=37,$G8=37),0,1)</f>
        <v/>
      </c>
      <c r="EH9">
        <f>EH8*IF(OR($C8=38,$G8=38),0,1)</f>
        <v/>
      </c>
      <c r="EI9">
        <f>EI8*IF(OR($C8=39,$G8=39),0,1)</f>
        <v/>
      </c>
      <c r="EJ9">
        <f>EJ8*IF(OR($C8=40,$G8=40),0,1)</f>
        <v/>
      </c>
      <c r="EK9">
        <f>EK8*IF(OR($C8=41,$G8=41),0,1)</f>
        <v/>
      </c>
      <c r="EL9">
        <f>EL8*IF(OR($C8=42,$G8=42),0,1)</f>
        <v/>
      </c>
      <c r="EM9">
        <f>EM8*IF(OR($C8=43,$G8=43),0,1)</f>
        <v/>
      </c>
      <c r="EN9">
        <f>EN8*IF(OR($C8=44,$G8=44),0,1)</f>
        <v/>
      </c>
      <c r="EO9">
        <f>EO8*IF(OR($C8=45,$G8=45),0,1)</f>
        <v/>
      </c>
      <c r="EP9">
        <f>EP8*IF(OR($C8=46,$G8=46),0,1)</f>
        <v/>
      </c>
      <c r="EQ9">
        <f>EQ8*IF(OR($C8=47,$G8=47),0,1)</f>
        <v/>
      </c>
      <c r="ER9">
        <f>ER8*IF(OR($C8=48,$G8=48),0,1)</f>
        <v/>
      </c>
      <c r="ES9">
        <f>ES8*IF(OR($C8=49,$G8=49),0,1)</f>
        <v/>
      </c>
      <c r="ET9">
        <f>ET8*IF(OR($C8=50,$G8=50),0,1)</f>
        <v/>
      </c>
      <c r="EU9">
        <f>EU8*IF(OR($C8=51,$G8=51),0,1)</f>
        <v/>
      </c>
      <c r="EV9">
        <f>EV8*IF(OR($C8=52,$G8=52),0,1)</f>
        <v/>
      </c>
      <c r="EW9">
        <f>EW8*IF(OR($C8=53,$G8=53),0,1)</f>
        <v/>
      </c>
      <c r="EX9">
        <f>EX8*IF(OR($C8=54,$G8=54),0,1)</f>
        <v/>
      </c>
      <c r="EY9">
        <f>EY8*IF(OR($C8=55,$G8=55),0,1)</f>
        <v/>
      </c>
      <c r="EZ9">
        <f>EZ8*IF(OR($C8=56,$G8=56),0,1)</f>
        <v/>
      </c>
      <c r="FA9">
        <f>FA8*IF(OR($C8=57,$G8=57),0,1)</f>
        <v/>
      </c>
      <c r="FB9">
        <f>FB8*IF(OR($C8=58,$G8=58),0,1)</f>
        <v/>
      </c>
      <c r="FC9">
        <f>FC8*IF(OR($C8=59,$G8=59),0,1)</f>
        <v/>
      </c>
      <c r="FD9">
        <f>FD8*IF(OR($C8=60,$G8=60),0,1)</f>
        <v/>
      </c>
      <c r="FE9">
        <f>FE8*IF(OR($C8=61,$G8=61),0,1)</f>
        <v/>
      </c>
      <c r="FF9">
        <f>FF8*IF(OR($C8=62,$G8=62),0,1)</f>
        <v/>
      </c>
      <c r="FG9">
        <f>FG8*IF(OR($C8=63,$G8=63),0,1)</f>
        <v/>
      </c>
      <c r="FH9">
        <f>FH8*IF(OR($C8=64,$G8=64),0,1)</f>
        <v/>
      </c>
      <c r="FI9">
        <f>FI8*IF(OR($C8=65,$G8=65),0,1)</f>
        <v/>
      </c>
      <c r="FJ9">
        <f>FJ8*IF(OR($C8=66,$G8=66),0,1)</f>
        <v/>
      </c>
      <c r="FK9">
        <f>FK8*IF(OR($C8=67,$G8=67),0,1)</f>
        <v/>
      </c>
      <c r="FL9">
        <f>FL8*IF(OR($C8=68,$G8=68),0,1)</f>
        <v/>
      </c>
      <c r="FM9">
        <f>FM8*IF(OR($C8=69,$G8=69),0,1)</f>
        <v/>
      </c>
      <c r="FN9">
        <f>FN8*IF(OR($C8=70,$G8=70),0,1)</f>
        <v/>
      </c>
      <c r="FO9">
        <f>FO8*IF(OR($C8=71,$G8=71),0,1)</f>
        <v/>
      </c>
      <c r="FP9">
        <f>FP8*IF(OR($C8=72,$G8=72),0,1)</f>
        <v/>
      </c>
      <c r="FQ9">
        <f>FQ8*IF(OR($C8=73,$G8=73),0,1)</f>
        <v/>
      </c>
      <c r="FR9">
        <f>FR8*IF(OR($C8=74,$G8=74),0,1)</f>
        <v/>
      </c>
      <c r="FS9">
        <f>FS8*IF(OR($C8=75,$G8=75),0,1)</f>
        <v/>
      </c>
      <c r="FT9">
        <f>FT8*IF(OR($C8=76,$G8=76),0,1)</f>
        <v/>
      </c>
      <c r="FU9">
        <f>FU8*IF(OR($C8=77,$G8=77),0,1)</f>
        <v/>
      </c>
      <c r="FV9">
        <f>FV8*IF(OR($C8=78,$G8=78),0,1)</f>
        <v/>
      </c>
      <c r="FW9">
        <f>FW8*IF(OR($C8=79,$G8=79),0,1)</f>
        <v/>
      </c>
      <c r="FX9">
        <f>FX8*IF(OR($C8=80,$G8=80),0,1)</f>
        <v/>
      </c>
      <c r="FY9">
        <f>FY8*IF(OR($C8=81,$G8=81),0,1)</f>
        <v/>
      </c>
      <c r="FZ9">
        <f>FZ8*IF(OR($C8=82,$G8=82),0,1)</f>
        <v/>
      </c>
      <c r="GA9">
        <f>GA8*IF(OR($C8=83,$G8=83),0,1)</f>
        <v/>
      </c>
      <c r="GB9">
        <f>GB8*IF(OR($C8=84,$G8=84),0,1)</f>
        <v/>
      </c>
      <c r="GC9">
        <f>GC8*IF(OR($C8=85,$G8=85),0,1)</f>
        <v/>
      </c>
      <c r="GD9">
        <f>GD8*IF(OR($C8=86,$G8=86),0,1)</f>
        <v/>
      </c>
      <c r="GE9">
        <f>GE8*IF(OR($C8=87,$G8=87),0,1)</f>
        <v/>
      </c>
      <c r="GF9">
        <f>GF8*IF(OR($C8=88,$G8=88),0,1)</f>
        <v/>
      </c>
      <c r="GG9">
        <f>GG8*IF(OR($C8=89,$G8=89),0,1)</f>
        <v/>
      </c>
      <c r="GH9">
        <f>GH8*IF(OR($C8=90,$G8=90),0,1)</f>
        <v/>
      </c>
      <c r="GI9">
        <f>GI8*IF(OR($C8=91,$G8=91),0,1)</f>
        <v/>
      </c>
      <c r="GJ9">
        <f>GJ8*IF(OR($C8=92,$G8=92),0,1)</f>
        <v/>
      </c>
      <c r="GK9">
        <f>GK8*IF(OR($C8=93,$G8=93),0,1)</f>
        <v/>
      </c>
      <c r="GL9">
        <f>GL8*IF(OR($C8=94,$G8=94),0,1)</f>
        <v/>
      </c>
      <c r="GM9">
        <f>GM8*IF(OR($C8=95,$G8=95),0,1)</f>
        <v/>
      </c>
      <c r="GN9">
        <f>GN8*IF(OR($C8=96,$G8=96),0,1)</f>
        <v/>
      </c>
      <c r="GO9">
        <f>GO8*IF(OR($C8=97,$G8=97),0,1)</f>
        <v/>
      </c>
      <c r="GP9">
        <f>GP8*IF(OR($C8=98,$G8=98),0,1)</f>
        <v/>
      </c>
      <c r="GQ9">
        <f>GQ8*IF(OR($C8=99,$G8=99),0,1)</f>
        <v/>
      </c>
      <c r="GR9">
        <f>GR8*IF(OR($C8=100,$G8=100),0,1)</f>
        <v/>
      </c>
      <c r="GS9">
        <f>GS8*IF(OR($C8=101,$G8=101),0,1)</f>
        <v/>
      </c>
      <c r="GT9">
        <f>GT8*IF(OR($C8=102,$G8=102),0,1)</f>
        <v/>
      </c>
      <c r="GU9">
        <f>GU8*IF(OR($C8=103,$G8=103),0,1)</f>
        <v/>
      </c>
      <c r="GV9">
        <f>GV8*IF(OR($C8=104,$G8=104),0,1)</f>
        <v/>
      </c>
      <c r="GW9">
        <f>GW8*IF(OR($C8=105,$G8=105),0,1)</f>
        <v/>
      </c>
      <c r="GX9">
        <f>GX8*IF(OR($C8=106,$G8=106),0,1)</f>
        <v/>
      </c>
      <c r="GY9">
        <f>GY8*IF(OR($C8=107,$G8=107),0,1)</f>
        <v/>
      </c>
      <c r="GZ9">
        <f>GZ8*IF(OR($C8=108,$G8=108),0,1)</f>
        <v/>
      </c>
      <c r="HA9">
        <f>HA8*IF(OR($C8=109,$G8=109),0,1)</f>
        <v/>
      </c>
      <c r="HB9">
        <f>HB8*IF(OR($C8=110,$G8=110),0,1)</f>
        <v/>
      </c>
      <c r="HC9">
        <f>HC8*IF(OR($C8=111,$G8=111),0,1)</f>
        <v/>
      </c>
      <c r="HD9">
        <f>HD8*IF(OR($C8=112,$G8=112),0,1)</f>
        <v/>
      </c>
      <c r="HE9">
        <f>HE8*IF(OR($C8=113,$G8=113),0,1)</f>
        <v/>
      </c>
      <c r="HF9">
        <f>HF8*IF(OR($C8=114,$G8=114),0,1)</f>
        <v/>
      </c>
      <c r="HG9">
        <f>HG8*IF(OR($C8=115,$G8=115),0,1)</f>
        <v/>
      </c>
      <c r="HH9">
        <f>HH8*IF(OR($C8=116,$G8=116),0,1)</f>
        <v/>
      </c>
      <c r="HI9">
        <f>HI8*IF(OR($C8=117,$G8=117),0,1)</f>
        <v/>
      </c>
      <c r="HJ9">
        <f>HJ8*IF(OR($C8=118,$G8=118),0,1)</f>
        <v/>
      </c>
      <c r="HK9">
        <f>HK8*IF(OR($C8=119,$G8=119),0,1)</f>
        <v/>
      </c>
      <c r="HL9">
        <f>HL8*IF(OR($C8=120,$G8=120),0,1)</f>
        <v/>
      </c>
      <c r="HM9">
        <f>HM8*IF(OR($C8=121,$G8=121),0,1)</f>
        <v/>
      </c>
      <c r="HN9">
        <f>HN8*IF(OR($C8=122,$G8=122),0,1)</f>
        <v/>
      </c>
      <c r="HO9">
        <f>HO8*IF(OR($C8=123,$G8=123),0,1)</f>
        <v/>
      </c>
      <c r="HP9">
        <f>HP8*IF(OR($C8=124,$G8=124),0,1)</f>
        <v/>
      </c>
      <c r="HQ9">
        <f>HQ8*IF(OR($C8=125,$G8=125),0,1)</f>
        <v/>
      </c>
      <c r="HR9">
        <f>HR8*IF(OR($C8=126,$G8=126),0,1)</f>
        <v/>
      </c>
      <c r="HS9">
        <f>HS8*IF(OR($C8=127,$G8=127),0,1)</f>
        <v/>
      </c>
      <c r="HT9">
        <f>HT8*IF(OR($C8=128,$G8=128),0,1)</f>
        <v/>
      </c>
      <c r="HU9">
        <f>HU8*IF(OR($C8=129,$G8=129),0,1)</f>
        <v/>
      </c>
      <c r="HV9">
        <f>HV8*IF(OR($C8=130,$G8=130),0,1)</f>
        <v/>
      </c>
      <c r="HW9">
        <f>HW8*IF(OR($C8=131,$G8=131),0,1)</f>
        <v/>
      </c>
      <c r="HX9">
        <f>HX8*IF(OR($C8=132,$G8=132),0,1)</f>
        <v/>
      </c>
      <c r="HY9">
        <f>HY8*IF(OR($C8=133,$G8=133),0,1)</f>
        <v/>
      </c>
      <c r="HZ9">
        <f>HZ8*IF(OR($C8=134,$G8=134),0,1)</f>
        <v/>
      </c>
      <c r="IA9">
        <f>IA8*IF(OR($C8=135,$G8=135),0,1)</f>
        <v/>
      </c>
      <c r="IB9">
        <f>IB8*IF(OR($C8=136,$G8=136),0,1)</f>
        <v/>
      </c>
      <c r="IC9">
        <f>IC8*IF(OR($C8=137,$G8=137),0,1)</f>
        <v/>
      </c>
      <c r="ID9">
        <f>ID8*IF(OR($C8=138,$G8=138),0,1)</f>
        <v/>
      </c>
      <c r="IE9">
        <f>IE8*IF(OR($C8=139,$G8=139),0,1)</f>
        <v/>
      </c>
      <c r="IF9">
        <f>IF8*IF(OR($C8=140,$G8=140),0,1)</f>
        <v/>
      </c>
      <c r="IG9">
        <f>IG8*IF(OR($C8=141,$G8=141),0,1)</f>
        <v/>
      </c>
      <c r="IH9">
        <f>IH8*IF(OR($C8=142,$G8=142),0,1)</f>
        <v/>
      </c>
      <c r="II9">
        <f>II8*IF(OR($C8=143,$G8=143),0,1)</f>
        <v/>
      </c>
      <c r="IJ9">
        <f>IJ8*IF(OR($C8=144,$G8=144),0,1)</f>
        <v/>
      </c>
      <c r="IK9">
        <f>IK8*IF(OR($C8=145,$G8=145),0,1)</f>
        <v/>
      </c>
      <c r="IL9">
        <f>IL8*IF(OR($C8=146,$G8=146),0,1)</f>
        <v/>
      </c>
      <c r="IM9">
        <f>IM8*IF(OR($C8=147,$G8=147),0,1)</f>
        <v/>
      </c>
      <c r="IN9">
        <f>IN8*IF(OR($C8=148,$G8=148),0,1)</f>
        <v/>
      </c>
      <c r="IO9">
        <f>IO8*IF(OR($C8=149,$G8=149),0,1)</f>
        <v/>
      </c>
      <c r="IP9">
        <f>IP8*IF(OR($C8=150,$G8=150),0,1)</f>
        <v/>
      </c>
      <c r="IQ9">
        <f>IQ8*IF(OR($C8=151,$G8=151),0,1)</f>
        <v/>
      </c>
      <c r="IR9">
        <f>IR8*IF(OR($C8=152,$G8=152),0,1)</f>
        <v/>
      </c>
      <c r="IS9">
        <f>IS8*IF(OR($C8=153,$G8=153),0,1)</f>
        <v/>
      </c>
      <c r="IT9">
        <f>IT8*IF(OR($C8=154,$G8=154),0,1)</f>
        <v/>
      </c>
      <c r="IU9">
        <f>IU8*IF(OR($C8=155,$G8=155),0,1)</f>
        <v/>
      </c>
      <c r="IV9">
        <f>IV8*IF(OR($C8=156,$G8=156),0,1)</f>
        <v/>
      </c>
      <c r="IW9">
        <f>IW8*IF(OR($C8=157,$G8=157),0,1)</f>
        <v/>
      </c>
      <c r="IX9">
        <f>IX8*IF(OR($C8=158,$G8=158),0,1)</f>
        <v/>
      </c>
      <c r="IY9">
        <f>IY8*IF(OR($C8=159,$G8=159),0,1)</f>
        <v/>
      </c>
      <c r="IZ9">
        <f>IZ8*IF(OR($C8=160,$G8=160),0,1)</f>
        <v/>
      </c>
      <c r="JA9">
        <f>JA8*IF(OR($C8=161,$G8=161),0,1)</f>
        <v/>
      </c>
      <c r="JB9">
        <f>JB8*IF(OR($C8=162,$G8=162),0,1)</f>
        <v/>
      </c>
      <c r="JC9">
        <f>JC8*IF(OR($C8=163,$G8=163),0,1)</f>
        <v/>
      </c>
      <c r="JD9">
        <f>JD8*IF(OR($C8=164,$G8=164),0,1)</f>
        <v/>
      </c>
      <c r="JE9">
        <f>JE8*IF(OR($C8=165,$G8=165),0,1)</f>
        <v/>
      </c>
      <c r="JF9">
        <f>JF8*IF(OR($C8=166,$G8=166),0,1)</f>
        <v/>
      </c>
      <c r="JG9">
        <f>JG8*IF(OR($C8=167,$G8=167),0,1)</f>
        <v/>
      </c>
      <c r="JH9">
        <f>JH8*IF(OR($C8=168,$G8=168),0,1)</f>
        <v/>
      </c>
      <c r="JI9">
        <f>JI8*IF(OR($C8=169,$G8=169),0,1)</f>
        <v/>
      </c>
      <c r="JJ9">
        <f>JJ8*IF(OR($C8=170,$G8=170),0,1)</f>
        <v/>
      </c>
      <c r="JK9">
        <f>JK8*IF(OR($C8=171,$G8=171),0,1)</f>
        <v/>
      </c>
      <c r="JL9">
        <f>JL8*IF(OR($C8=172,$G8=172),0,1)</f>
        <v/>
      </c>
      <c r="JM9">
        <f>JM8*IF(OR($C8=173,$G8=173),0,1)</f>
        <v/>
      </c>
      <c r="JN9">
        <f>JN8*IF(OR($C8=174,$G8=174),0,1)</f>
        <v/>
      </c>
      <c r="JO9">
        <f>JO8*IF(OR($C8=175,$G8=175),0,1)</f>
        <v/>
      </c>
      <c r="JP9">
        <f>JP8*IF(OR($C8=176,$G8=176),0,1)</f>
        <v/>
      </c>
      <c r="JQ9">
        <f>JQ8*IF(OR($C8=177,$G8=177),0,1)</f>
        <v/>
      </c>
      <c r="JR9">
        <f>JR8*IF(OR($C8=178,$G8=178),0,1)</f>
        <v/>
      </c>
      <c r="JS9">
        <f>JS8*IF(OR($C8=179,$G8=179),0,1)</f>
        <v/>
      </c>
      <c r="JT9">
        <f>JT8*IF(OR($C8=180,$G8=180),0,1)</f>
        <v/>
      </c>
      <c r="JU9">
        <f>JU8*IF(OR($C8=181,$G8=181),0,1)</f>
        <v/>
      </c>
      <c r="JV9">
        <f>JV8*IF(OR($C8=182,$G8=182),0,1)</f>
        <v/>
      </c>
      <c r="JW9">
        <f>JW8*IF(OR($C8=183,$G8=183),0,1)</f>
        <v/>
      </c>
      <c r="JX9">
        <f>JX8*IF(OR($C8=184,$G8=184),0,1)</f>
        <v/>
      </c>
      <c r="JY9">
        <f>JY8*IF(OR($C8=185,$G8=185),0,1)</f>
        <v/>
      </c>
      <c r="JZ9">
        <f>JZ8*IF(OR($C8=186,$G8=186),0,1)</f>
        <v/>
      </c>
      <c r="KA9">
        <f>KA8*IF(OR($C8=187,$G8=187),0,1)</f>
        <v/>
      </c>
      <c r="KB9">
        <f>KB8*IF(OR($C8=188,$G8=188),0,1)</f>
        <v/>
      </c>
      <c r="KC9">
        <f>KC8*IF(OR($C8=189,$G8=189),0,1)</f>
        <v/>
      </c>
      <c r="KD9">
        <f>KD8*IF(OR($C8=190,$G8=190),0,1)</f>
        <v/>
      </c>
      <c r="KE9">
        <f>KE8*IF(OR($C8=191,$G8=191),0,1)</f>
        <v/>
      </c>
      <c r="KF9">
        <f>KF8*IF(OR($C8=192,$G8=192),0,1)</f>
        <v/>
      </c>
      <c r="KG9">
        <f>KG8*IF(OR($C8=193,$G8=193),0,1)</f>
        <v/>
      </c>
      <c r="KH9">
        <f>KH8*IF(OR($C8=194,$G8=194),0,1)</f>
        <v/>
      </c>
      <c r="KI9">
        <f>KI8*IF(OR($C8=195,$G8=195),0,1)</f>
        <v/>
      </c>
      <c r="KJ9">
        <f>KJ8*IF(OR($C8=196,$G8=196),0,1)</f>
        <v/>
      </c>
      <c r="KK9">
        <f>KK8*IF(OR($C8=197,$G8=197),0,1)</f>
        <v/>
      </c>
      <c r="KL9">
        <f>KL8*IF(OR($C8=198,$G8=198),0,1)</f>
        <v/>
      </c>
      <c r="KM9">
        <f>KM8*IF(OR($C8=199,$G8=199),0,1)</f>
        <v/>
      </c>
      <c r="KN9">
        <f>KN8*IF(OR($C8=200,$G8=200),0,1)</f>
        <v/>
      </c>
      <c r="KO9">
        <f>KO8*IF(OR($C8=201,$G8=201),0,1)</f>
        <v/>
      </c>
      <c r="KP9">
        <f>KP8*IF(OR($C8=202,$G8=202),0,1)</f>
        <v/>
      </c>
      <c r="KQ9">
        <f>KQ8*IF(OR($C8=203,$G8=203),0,1)</f>
        <v/>
      </c>
      <c r="KR9">
        <f>KR8*IF(OR($C8=204,$G8=204),0,1)</f>
        <v/>
      </c>
      <c r="KS9">
        <f>KS8*IF(OR($C8=205,$G8=205),0,1)</f>
        <v/>
      </c>
      <c r="KT9">
        <f>KT8*IF(OR($C8=206,$G8=206),0,1)</f>
        <v/>
      </c>
      <c r="KU9">
        <f>KU8*IF(OR($C8=207,$G8=207),0,1)</f>
        <v/>
      </c>
      <c r="KV9">
        <f>KV8*IF(OR($C8=208,$G8=208),0,1)</f>
        <v/>
      </c>
      <c r="KW9">
        <f>KW8*IF(OR($C8=209,$G8=209),0,1)</f>
        <v/>
      </c>
      <c r="KX9">
        <f>KX8*IF(OR($C8=210,$G8=210),0,1)</f>
        <v/>
      </c>
      <c r="KY9">
        <f>KY8*IF(OR($C8=211,$G8=211),0,1)</f>
        <v/>
      </c>
      <c r="KZ9">
        <f>KZ8*IF(OR($C8=212,$G8=212),0,1)</f>
        <v/>
      </c>
      <c r="LA9">
        <f>LA8*IF(OR($C8=213,$G8=213),0,1)</f>
        <v/>
      </c>
      <c r="LB9">
        <f>LB8*IF(OR($C8=214,$G8=214),0,1)</f>
        <v/>
      </c>
      <c r="LC9">
        <f>LC8*IF(OR($C8=215,$G8=215),0,1)</f>
        <v/>
      </c>
      <c r="LD9">
        <f>LD8*IF(OR($C8=216,$G8=216),0,1)</f>
        <v/>
      </c>
      <c r="LE9">
        <f>LE8*IF(OR($C8=217,$G8=217),0,1)</f>
        <v/>
      </c>
      <c r="LF9">
        <f>LF8*IF(OR($C8=218,$G8=218),0,1)</f>
        <v/>
      </c>
      <c r="LG9">
        <f>LG8*IF(OR($C8=219,$G8=219),0,1)</f>
        <v/>
      </c>
      <c r="LH9">
        <f>LH8*IF(OR($C8=220,$G8=220),0,1)</f>
        <v/>
      </c>
      <c r="LI9">
        <f>LI8*IF(OR($C8=221,$G8=221),0,1)</f>
        <v/>
      </c>
      <c r="LJ9">
        <f>LJ8*IF(OR($C8=222,$G8=222),0,1)</f>
        <v/>
      </c>
      <c r="LK9">
        <f>LK8*IF(OR($C8=223,$G8=223),0,1)</f>
        <v/>
      </c>
      <c r="LL9">
        <f>LL8*IF(OR($C8=224,$G8=224),0,1)</f>
        <v/>
      </c>
      <c r="LM9">
        <f>LM8*IF(OR($C8=225,$G8=225),0,1)</f>
        <v/>
      </c>
      <c r="LN9">
        <f>LN8*IF(OR($C8=226,$G8=226),0,1)</f>
        <v/>
      </c>
      <c r="LO9">
        <f>LO8*IF(OR($C8=227,$G8=227),0,1)</f>
        <v/>
      </c>
      <c r="LP9">
        <f>LP8*IF(OR($C8=228,$G8=228),0,1)</f>
        <v/>
      </c>
      <c r="LQ9">
        <f>LQ8*IF(OR($C8=229,$G8=229),0,1)</f>
        <v/>
      </c>
      <c r="LR9">
        <f>LR8*IF(OR($C8=230,$G8=230),0,1)</f>
        <v/>
      </c>
      <c r="LS9">
        <f>LS8*IF(OR($C8=231,$G8=231),0,1)</f>
        <v/>
      </c>
      <c r="LT9">
        <f>LT8*IF(OR($C8=232,$G8=232),0,1)</f>
        <v/>
      </c>
      <c r="LU9">
        <f>LU8*IF(OR($C8=233,$G8=233),0,1)</f>
        <v/>
      </c>
      <c r="LV9">
        <f>LV8*IF(OR($C8=234,$G8=234),0,1)</f>
        <v/>
      </c>
      <c r="LW9">
        <f>LW8*IF(OR($C8=235,$G8=235),0,1)</f>
        <v/>
      </c>
      <c r="LX9">
        <f>LX8*IF(OR($C8=236,$G8=236),0,1)</f>
        <v/>
      </c>
      <c r="LY9">
        <f>LY8*IF(OR($C8=237,$G8=237),0,1)</f>
        <v/>
      </c>
      <c r="LZ9">
        <f>LZ8*IF(OR($C8=238,$G8=238),0,1)</f>
        <v/>
      </c>
      <c r="MA9">
        <f>MA8*IF(OR($C8=239,$G8=239),0,1)</f>
        <v/>
      </c>
      <c r="MB9">
        <f>MB8*IF(OR($C8=240,$G8=240),0,1)</f>
        <v/>
      </c>
      <c r="MD9">
        <f>IF('計算A'!D$106=1,CX9,1)</f>
        <v/>
      </c>
      <c r="ME9">
        <f>IF('計算A'!E$106=1,CY9,1)</f>
        <v/>
      </c>
      <c r="MF9">
        <f>IF('計算A'!F$106=1,CZ9,1)</f>
        <v/>
      </c>
      <c r="MG9">
        <f>IF('計算A'!G$106=1,DA9,1)</f>
        <v/>
      </c>
      <c r="MH9">
        <f>IF('計算A'!H$106=1,DB9,1)</f>
        <v/>
      </c>
      <c r="MI9">
        <f>IF('計算A'!I$106=1,DC9,1)</f>
        <v/>
      </c>
      <c r="MJ9">
        <f>IF('計算A'!J$106=1,DD9,1)</f>
        <v/>
      </c>
      <c r="MK9">
        <f>IF('計算A'!K$106=1,DE9,1)</f>
        <v/>
      </c>
      <c r="ML9">
        <f>IF('計算A'!L$106=1,DF9,1)</f>
        <v/>
      </c>
      <c r="MM9">
        <f>IF('計算A'!M$106=1,DG9,1)</f>
        <v/>
      </c>
      <c r="MN9">
        <f>IF('計算A'!N$106=1,DH9,1)</f>
        <v/>
      </c>
      <c r="MO9">
        <f>IF('計算A'!O$106=1,DI9,1)</f>
        <v/>
      </c>
      <c r="MP9">
        <f>IF('計算A'!P$106=1,DJ9,1)</f>
        <v/>
      </c>
      <c r="MQ9">
        <f>IF('計算A'!Q$106=1,DK9,1)</f>
        <v/>
      </c>
      <c r="MR9">
        <f>IF('計算A'!R$106=1,DL9,1)</f>
        <v/>
      </c>
      <c r="MS9">
        <f>IF('計算A'!S$106=1,DM9,1)</f>
        <v/>
      </c>
      <c r="MT9">
        <f>IF('計算A'!T$106=1,DN9,1)</f>
        <v/>
      </c>
      <c r="MU9">
        <f>IF('計算A'!U$106=1,DO9,1)</f>
        <v/>
      </c>
      <c r="MV9">
        <f>IF('計算A'!V$106=1,DP9,1)</f>
        <v/>
      </c>
      <c r="MW9">
        <f>IF('計算A'!W$106=1,DQ9,1)</f>
        <v/>
      </c>
      <c r="MX9">
        <f>IF('計算A'!X$106=1,DR9,1)</f>
        <v/>
      </c>
      <c r="MY9">
        <f>IF('計算A'!Y$106=1,DS9,1)</f>
        <v/>
      </c>
      <c r="MZ9">
        <f>IF('計算A'!Z$106=1,DT9,1)</f>
        <v/>
      </c>
      <c r="NA9">
        <f>IF('計算A'!AA$106=1,DU9,1)</f>
        <v/>
      </c>
      <c r="NB9">
        <f>IF('計算A'!AB$106=1,DV9,1)</f>
        <v/>
      </c>
      <c r="NC9">
        <f>IF('計算A'!AC$106=1,DW9,1)</f>
        <v/>
      </c>
      <c r="ND9">
        <f>IF('計算A'!AD$106=1,DX9,1)</f>
        <v/>
      </c>
      <c r="NE9">
        <f>IF('計算A'!AE$106=1,DY9,1)</f>
        <v/>
      </c>
      <c r="NF9">
        <f>IF('計算A'!AF$106=1,DZ9,1)</f>
        <v/>
      </c>
      <c r="NG9">
        <f>IF('計算A'!AG$106=1,EA9,1)</f>
        <v/>
      </c>
      <c r="NH9">
        <f>IF('計算A'!AH$106=1,EB9,1)</f>
        <v/>
      </c>
      <c r="NI9">
        <f>IF('計算A'!AI$106=1,EC9,1)</f>
        <v/>
      </c>
      <c r="NJ9">
        <f>IF('計算A'!AJ$106=1,ED9,1)</f>
        <v/>
      </c>
      <c r="NK9">
        <f>IF('計算A'!AK$106=1,EE9,1)</f>
        <v/>
      </c>
      <c r="NL9">
        <f>IF('計算A'!AL$106=1,EF9,1)</f>
        <v/>
      </c>
      <c r="NM9">
        <f>IF('計算A'!AM$106=1,EG9,1)</f>
        <v/>
      </c>
      <c r="NN9">
        <f>IF('計算A'!AN$106=1,EH9,1)</f>
        <v/>
      </c>
      <c r="NO9">
        <f>IF('計算A'!AO$106=1,EI9,1)</f>
        <v/>
      </c>
      <c r="NP9">
        <f>IF('計算A'!AP$106=1,EJ9,1)</f>
        <v/>
      </c>
      <c r="NQ9">
        <f>IF('計算A'!AQ$106=1,EK9,1)</f>
        <v/>
      </c>
      <c r="NR9">
        <f>IF('計算A'!AR$106=1,EL9,1)</f>
        <v/>
      </c>
      <c r="NS9">
        <f>IF('計算A'!AS$106=1,EM9,1)</f>
        <v/>
      </c>
      <c r="NT9">
        <f>IF('計算A'!AT$106=1,EN9,1)</f>
        <v/>
      </c>
      <c r="NU9">
        <f>IF('計算A'!AU$106=1,EO9,1)</f>
        <v/>
      </c>
      <c r="NV9">
        <f>IF('計算A'!AV$106=1,EP9,1)</f>
        <v/>
      </c>
      <c r="NW9">
        <f>IF('計算A'!AW$106=1,EQ9,1)</f>
        <v/>
      </c>
      <c r="NX9">
        <f>IF('計算A'!AX$106=1,ER9,1)</f>
        <v/>
      </c>
      <c r="NY9">
        <f>IF('計算A'!AY$106=1,ES9,1)</f>
        <v/>
      </c>
      <c r="NZ9">
        <f>IF('計算A'!AZ$106=1,ET9,1)</f>
        <v/>
      </c>
      <c r="OA9">
        <f>IF('計算A'!BA$106=1,EU9,1)</f>
        <v/>
      </c>
      <c r="OB9">
        <f>IF('計算A'!BB$106=1,EV9,1)</f>
        <v/>
      </c>
      <c r="OC9">
        <f>IF('計算A'!BC$106=1,EW9,1)</f>
        <v/>
      </c>
      <c r="OD9">
        <f>IF('計算A'!BD$106=1,EX9,1)</f>
        <v/>
      </c>
      <c r="OE9">
        <f>IF('計算A'!BE$106=1,EY9,1)</f>
        <v/>
      </c>
      <c r="OF9">
        <f>IF('計算A'!BF$106=1,EZ9,1)</f>
        <v/>
      </c>
      <c r="OG9">
        <f>IF('計算A'!BG$106=1,FA9,1)</f>
        <v/>
      </c>
      <c r="OH9">
        <f>IF('計算A'!BH$106=1,FB9,1)</f>
        <v/>
      </c>
      <c r="OI9">
        <f>IF('計算A'!BI$106=1,FC9,1)</f>
        <v/>
      </c>
      <c r="OJ9">
        <f>IF('計算A'!BJ$106=1,FD9,1)</f>
        <v/>
      </c>
      <c r="OK9">
        <f>IF('計算A'!BK$106=1,FE9,1)</f>
        <v/>
      </c>
      <c r="OL9">
        <f>IF('計算A'!BL$106=1,FF9,1)</f>
        <v/>
      </c>
      <c r="OM9">
        <f>IF('計算A'!BM$106=1,FG9,1)</f>
        <v/>
      </c>
      <c r="ON9">
        <f>IF('計算A'!BN$106=1,FH9,1)</f>
        <v/>
      </c>
      <c r="OO9">
        <f>IF('計算A'!BO$106=1,FI9,1)</f>
        <v/>
      </c>
      <c r="OP9">
        <f>IF('計算A'!BP$106=1,FJ9,1)</f>
        <v/>
      </c>
      <c r="OQ9">
        <f>IF('計算A'!BQ$106=1,FK9,1)</f>
        <v/>
      </c>
      <c r="OR9">
        <f>IF('計算A'!BR$106=1,FL9,1)</f>
        <v/>
      </c>
      <c r="OS9">
        <f>IF('計算A'!BS$106=1,FM9,1)</f>
        <v/>
      </c>
      <c r="OT9">
        <f>IF('計算A'!BT$106=1,FN9,1)</f>
        <v/>
      </c>
      <c r="OU9">
        <f>IF('計算A'!BU$106=1,FO9,1)</f>
        <v/>
      </c>
      <c r="OV9">
        <f>IF('計算A'!BV$106=1,FP9,1)</f>
        <v/>
      </c>
      <c r="OW9">
        <f>IF('計算A'!BW$106=1,FQ9,1)</f>
        <v/>
      </c>
      <c r="OX9">
        <f>IF('計算A'!BX$106=1,FR9,1)</f>
        <v/>
      </c>
      <c r="OY9">
        <f>IF('計算A'!BY$106=1,FS9,1)</f>
        <v/>
      </c>
      <c r="OZ9">
        <f>IF('計算A'!BZ$106=1,FT9,1)</f>
        <v/>
      </c>
      <c r="PA9">
        <f>IF('計算A'!CA$106=1,FU9,1)</f>
        <v/>
      </c>
      <c r="PB9">
        <f>IF('計算A'!CB$106=1,FV9,1)</f>
        <v/>
      </c>
      <c r="PC9">
        <f>IF('計算A'!CC$106=1,FW9,1)</f>
        <v/>
      </c>
      <c r="PD9">
        <f>IF('計算A'!CD$106=1,FX9,1)</f>
        <v/>
      </c>
      <c r="PE9">
        <f>IF('計算A'!CE$106=1,FY9,1)</f>
        <v/>
      </c>
      <c r="PF9">
        <f>IF('計算A'!CF$106=1,FZ9,1)</f>
        <v/>
      </c>
      <c r="PG9">
        <f>IF('計算A'!CG$106=1,GA9,1)</f>
        <v/>
      </c>
      <c r="PH9">
        <f>IF('計算A'!CH$106=1,GB9,1)</f>
        <v/>
      </c>
      <c r="PI9">
        <f>IF('計算A'!CI$106=1,GC9,1)</f>
        <v/>
      </c>
      <c r="PJ9">
        <f>IF('計算A'!CJ$106=1,GD9,1)</f>
        <v/>
      </c>
      <c r="PK9">
        <f>IF('計算A'!CK$106=1,GE9,1)</f>
        <v/>
      </c>
      <c r="PL9">
        <f>IF('計算A'!CL$106=1,GF9,1)</f>
        <v/>
      </c>
      <c r="PM9">
        <f>IF('計算A'!CM$106=1,GG9,1)</f>
        <v/>
      </c>
      <c r="PN9">
        <f>IF('計算A'!CN$106=1,GH9,1)</f>
        <v/>
      </c>
      <c r="PO9">
        <f>IF('計算A'!CO$106=1,GI9,1)</f>
        <v/>
      </c>
      <c r="PP9">
        <f>IF('計算A'!CP$106=1,GJ9,1)</f>
        <v/>
      </c>
      <c r="PQ9">
        <f>IF('計算A'!CQ$106=1,GK9,1)</f>
        <v/>
      </c>
      <c r="PR9">
        <f>IF('計算A'!CR$106=1,GL9,1)</f>
        <v/>
      </c>
      <c r="PS9">
        <f>IF('計算A'!CS$106=1,GM9,1)</f>
        <v/>
      </c>
      <c r="PT9">
        <f>IF('計算A'!CT$106=1,GN9,1)</f>
        <v/>
      </c>
      <c r="PU9">
        <f>IF('計算A'!CU$106=1,GO9,1)</f>
        <v/>
      </c>
      <c r="PV9">
        <f>IF('計算A'!CV$106=1,GP9,1)</f>
        <v/>
      </c>
      <c r="PW9">
        <f>IF('計算A'!CW$106=1,GQ9,1)</f>
        <v/>
      </c>
      <c r="PX9">
        <f>IF('計算A'!CX$106=1,GR9,1)</f>
        <v/>
      </c>
      <c r="PY9">
        <f>IF('計算A'!CY$106=1,GS9,1)</f>
        <v/>
      </c>
      <c r="PZ9">
        <f>IF('計算A'!CZ$106=1,GT9,1)</f>
        <v/>
      </c>
      <c r="QA9">
        <f>IF('計算A'!DA$106=1,GU9,1)</f>
        <v/>
      </c>
      <c r="QB9">
        <f>IF('計算A'!DB$106=1,GV9,1)</f>
        <v/>
      </c>
      <c r="QC9">
        <f>IF('計算A'!DC$106=1,GW9,1)</f>
        <v/>
      </c>
      <c r="QD9">
        <f>IF('計算A'!DD$106=1,GX9,1)</f>
        <v/>
      </c>
      <c r="QE9">
        <f>IF('計算A'!DE$106=1,GY9,1)</f>
        <v/>
      </c>
      <c r="QF9">
        <f>IF('計算A'!DF$106=1,GZ9,1)</f>
        <v/>
      </c>
      <c r="QG9">
        <f>IF('計算A'!DG$106=1,HA9,1)</f>
        <v/>
      </c>
      <c r="QH9">
        <f>IF('計算A'!DH$106=1,HB9,1)</f>
        <v/>
      </c>
      <c r="QI9">
        <f>IF('計算A'!DI$106=1,HC9,1)</f>
        <v/>
      </c>
      <c r="QJ9">
        <f>IF('計算A'!DJ$106=1,HD9,1)</f>
        <v/>
      </c>
      <c r="QK9">
        <f>IF('計算A'!DK$106=1,HE9,1)</f>
        <v/>
      </c>
      <c r="QL9">
        <f>IF('計算A'!DL$106=1,HF9,1)</f>
        <v/>
      </c>
      <c r="QM9">
        <f>IF('計算A'!DM$106=1,HG9,1)</f>
        <v/>
      </c>
      <c r="QN9">
        <f>IF('計算A'!DN$106=1,HH9,1)</f>
        <v/>
      </c>
      <c r="QO9">
        <f>IF('計算A'!DO$106=1,HI9,1)</f>
        <v/>
      </c>
      <c r="QP9">
        <f>IF('計算A'!DP$106=1,HJ9,1)</f>
        <v/>
      </c>
      <c r="QQ9">
        <f>IF('計算A'!DQ$106=1,HK9,1)</f>
        <v/>
      </c>
      <c r="QR9">
        <f>IF('計算A'!DR$106=1,HL9,1)</f>
        <v/>
      </c>
      <c r="QS9">
        <f>IF('計算A'!DS$106=1,HM9,1)</f>
        <v/>
      </c>
      <c r="QT9">
        <f>IF('計算A'!DT$106=1,HN9,1)</f>
        <v/>
      </c>
      <c r="QU9">
        <f>IF('計算A'!DU$106=1,HO9,1)</f>
        <v/>
      </c>
      <c r="QV9">
        <f>IF('計算A'!DV$106=1,HP9,1)</f>
        <v/>
      </c>
      <c r="QW9">
        <f>IF('計算A'!DW$106=1,HQ9,1)</f>
        <v/>
      </c>
      <c r="QX9">
        <f>IF('計算A'!DX$106=1,HR9,1)</f>
        <v/>
      </c>
      <c r="QY9">
        <f>IF('計算A'!DY$106=1,HS9,1)</f>
        <v/>
      </c>
      <c r="QZ9">
        <f>IF('計算A'!DZ$106=1,HT9,1)</f>
        <v/>
      </c>
      <c r="RA9">
        <f>IF('計算A'!EA$106=1,HU9,1)</f>
        <v/>
      </c>
      <c r="RB9">
        <f>IF('計算A'!EB$106=1,HV9,1)</f>
        <v/>
      </c>
      <c r="RC9">
        <f>IF('計算A'!EC$106=1,HW9,1)</f>
        <v/>
      </c>
      <c r="RD9">
        <f>IF('計算A'!ED$106=1,HX9,1)</f>
        <v/>
      </c>
      <c r="RE9">
        <f>IF('計算A'!EE$106=1,HY9,1)</f>
        <v/>
      </c>
      <c r="RF9">
        <f>IF('計算A'!EF$106=1,HZ9,1)</f>
        <v/>
      </c>
      <c r="RG9">
        <f>IF('計算A'!EG$106=1,IA9,1)</f>
        <v/>
      </c>
      <c r="RH9">
        <f>IF('計算A'!EH$106=1,IB9,1)</f>
        <v/>
      </c>
      <c r="RI9">
        <f>IF('計算A'!EI$106=1,IC9,1)</f>
        <v/>
      </c>
      <c r="RJ9">
        <f>IF('計算A'!EJ$106=1,ID9,1)</f>
        <v/>
      </c>
      <c r="RK9">
        <f>IF('計算A'!EK$106=1,IE9,1)</f>
        <v/>
      </c>
      <c r="RL9">
        <f>IF('計算A'!EL$106=1,IF9,1)</f>
        <v/>
      </c>
      <c r="RM9">
        <f>IF('計算A'!EM$106=1,IG9,1)</f>
        <v/>
      </c>
      <c r="RN9">
        <f>IF('計算A'!EN$106=1,IH9,1)</f>
        <v/>
      </c>
      <c r="RO9">
        <f>IF('計算A'!EO$106=1,II9,1)</f>
        <v/>
      </c>
      <c r="RP9">
        <f>IF('計算A'!EP$106=1,IJ9,1)</f>
        <v/>
      </c>
      <c r="RQ9">
        <f>IF('計算A'!EQ$106=1,IK9,1)</f>
        <v/>
      </c>
      <c r="RR9">
        <f>IF('計算A'!ER$106=1,IL9,1)</f>
        <v/>
      </c>
      <c r="RS9">
        <f>IF('計算A'!ES$106=1,IM9,1)</f>
        <v/>
      </c>
      <c r="RT9">
        <f>IF('計算A'!ET$106=1,IN9,1)</f>
        <v/>
      </c>
      <c r="RU9">
        <f>IF('計算A'!EU$106=1,IO9,1)</f>
        <v/>
      </c>
      <c r="RV9">
        <f>IF('計算A'!EV$106=1,IP9,1)</f>
        <v/>
      </c>
      <c r="RW9">
        <f>IF('計算A'!EW$106=1,IQ9,1)</f>
        <v/>
      </c>
      <c r="RX9">
        <f>IF('計算A'!EX$106=1,IR9,1)</f>
        <v/>
      </c>
      <c r="RY9">
        <f>IF('計算A'!EY$106=1,IS9,1)</f>
        <v/>
      </c>
      <c r="RZ9">
        <f>IF('計算A'!EZ$106=1,IT9,1)</f>
        <v/>
      </c>
      <c r="SA9">
        <f>IF('計算A'!FA$106=1,IU9,1)</f>
        <v/>
      </c>
      <c r="SB9">
        <f>IF('計算A'!FB$106=1,IV9,1)</f>
        <v/>
      </c>
      <c r="SC9">
        <f>IF('計算A'!FC$106=1,IW9,1)</f>
        <v/>
      </c>
      <c r="SD9">
        <f>IF('計算A'!FD$106=1,IX9,1)</f>
        <v/>
      </c>
      <c r="SE9">
        <f>IF('計算A'!FE$106=1,IY9,1)</f>
        <v/>
      </c>
      <c r="SF9">
        <f>IF('計算A'!FF$106=1,IZ9,1)</f>
        <v/>
      </c>
      <c r="SG9">
        <f>IF('計算A'!FG$106=1,JA9,1)</f>
        <v/>
      </c>
      <c r="SH9">
        <f>IF('計算A'!FH$106=1,JB9,1)</f>
        <v/>
      </c>
      <c r="SI9">
        <f>IF('計算A'!FI$106=1,JC9,1)</f>
        <v/>
      </c>
      <c r="SJ9">
        <f>IF('計算A'!FJ$106=1,JD9,1)</f>
        <v/>
      </c>
      <c r="SK9">
        <f>IF('計算A'!FK$106=1,JE9,1)</f>
        <v/>
      </c>
      <c r="SL9">
        <f>IF('計算A'!FL$106=1,JF9,1)</f>
        <v/>
      </c>
      <c r="SM9">
        <f>IF('計算A'!FM$106=1,JG9,1)</f>
        <v/>
      </c>
      <c r="SN9">
        <f>IF('計算A'!FN$106=1,JH9,1)</f>
        <v/>
      </c>
      <c r="SO9">
        <f>IF('計算A'!FO$106=1,JI9,1)</f>
        <v/>
      </c>
      <c r="SP9">
        <f>IF('計算A'!FP$106=1,JJ9,1)</f>
        <v/>
      </c>
      <c r="SQ9">
        <f>IF('計算A'!FQ$106=1,JK9,1)</f>
        <v/>
      </c>
      <c r="SR9">
        <f>IF('計算A'!FR$106=1,JL9,1)</f>
        <v/>
      </c>
      <c r="SS9">
        <f>IF('計算A'!FS$106=1,JM9,1)</f>
        <v/>
      </c>
      <c r="ST9">
        <f>IF('計算A'!FT$106=1,JN9,1)</f>
        <v/>
      </c>
      <c r="SU9">
        <f>IF('計算A'!FU$106=1,JO9,1)</f>
        <v/>
      </c>
      <c r="SV9">
        <f>IF('計算A'!FV$106=1,JP9,1)</f>
        <v/>
      </c>
      <c r="SW9">
        <f>IF('計算A'!FW$106=1,JQ9,1)</f>
        <v/>
      </c>
      <c r="SX9">
        <f>IF('計算A'!FX$106=1,JR9,1)</f>
        <v/>
      </c>
      <c r="SY9">
        <f>IF('計算A'!FY$106=1,JS9,1)</f>
        <v/>
      </c>
      <c r="SZ9">
        <f>IF('計算A'!FZ$106=1,JT9,1)</f>
        <v/>
      </c>
      <c r="TA9">
        <f>IF('計算A'!GA$106=1,JU9,1)</f>
        <v/>
      </c>
      <c r="TB9">
        <f>IF('計算A'!GB$106=1,JV9,1)</f>
        <v/>
      </c>
      <c r="TC9">
        <f>IF('計算A'!GC$106=1,JW9,1)</f>
        <v/>
      </c>
      <c r="TD9">
        <f>IF('計算A'!GD$106=1,JX9,1)</f>
        <v/>
      </c>
      <c r="TE9">
        <f>IF('計算A'!GE$106=1,JY9,1)</f>
        <v/>
      </c>
      <c r="TF9">
        <f>IF('計算A'!GF$106=1,JZ9,1)</f>
        <v/>
      </c>
      <c r="TG9">
        <f>IF('計算A'!GG$106=1,KA9,1)</f>
        <v/>
      </c>
      <c r="TH9">
        <f>IF('計算A'!GH$106=1,KB9,1)</f>
        <v/>
      </c>
      <c r="TI9">
        <f>IF('計算A'!GI$106=1,KC9,1)</f>
        <v/>
      </c>
      <c r="TJ9">
        <f>IF('計算A'!GJ$106=1,KD9,1)</f>
        <v/>
      </c>
      <c r="TK9">
        <f>IF('計算A'!GK$106=1,KE9,1)</f>
        <v/>
      </c>
      <c r="TL9">
        <f>IF('計算A'!GL$106=1,KF9,1)</f>
        <v/>
      </c>
      <c r="TM9">
        <f>IF('計算A'!GM$106=1,KG9,1)</f>
        <v/>
      </c>
      <c r="TN9">
        <f>IF('計算A'!GN$106=1,KH9,1)</f>
        <v/>
      </c>
      <c r="TO9">
        <f>IF('計算A'!GO$106=1,KI9,1)</f>
        <v/>
      </c>
      <c r="TP9">
        <f>IF('計算A'!GP$106=1,KJ9,1)</f>
        <v/>
      </c>
      <c r="TQ9">
        <f>IF('計算A'!GQ$106=1,KK9,1)</f>
        <v/>
      </c>
      <c r="TR9">
        <f>IF('計算A'!GR$106=1,KL9,1)</f>
        <v/>
      </c>
      <c r="TS9">
        <f>IF('計算A'!GS$106=1,KM9,1)</f>
        <v/>
      </c>
      <c r="TT9">
        <f>IF('計算A'!GT$106=1,KN9,1)</f>
        <v/>
      </c>
      <c r="TU9">
        <f>IF('計算A'!GU$106=1,KO9,1)</f>
        <v/>
      </c>
      <c r="TV9">
        <f>IF('計算A'!GV$106=1,KP9,1)</f>
        <v/>
      </c>
      <c r="TW9">
        <f>IF('計算A'!GW$106=1,KQ9,1)</f>
        <v/>
      </c>
      <c r="TX9">
        <f>IF('計算A'!GX$106=1,KR9,1)</f>
        <v/>
      </c>
      <c r="TY9">
        <f>IF('計算A'!GY$106=1,KS9,1)</f>
        <v/>
      </c>
      <c r="TZ9">
        <f>IF('計算A'!GZ$106=1,KT9,1)</f>
        <v/>
      </c>
      <c r="UA9">
        <f>IF('計算A'!HA$106=1,KU9,1)</f>
        <v/>
      </c>
      <c r="UB9">
        <f>IF('計算A'!HB$106=1,KV9,1)</f>
        <v/>
      </c>
      <c r="UC9">
        <f>IF('計算A'!HC$106=1,KW9,1)</f>
        <v/>
      </c>
      <c r="UD9">
        <f>IF('計算A'!HD$106=1,KX9,1)</f>
        <v/>
      </c>
      <c r="UE9">
        <f>IF('計算A'!HE$106=1,KY9,1)</f>
        <v/>
      </c>
      <c r="UF9">
        <f>IF('計算A'!HF$106=1,KZ9,1)</f>
        <v/>
      </c>
      <c r="UG9">
        <f>IF('計算A'!HG$106=1,LA9,1)</f>
        <v/>
      </c>
      <c r="UH9">
        <f>IF('計算A'!HH$106=1,LB9,1)</f>
        <v/>
      </c>
      <c r="UI9">
        <f>IF('計算A'!HI$106=1,LC9,1)</f>
        <v/>
      </c>
      <c r="UJ9">
        <f>IF('計算A'!HJ$106=1,LD9,1)</f>
        <v/>
      </c>
      <c r="UK9">
        <f>IF('計算A'!HK$106=1,LE9,1)</f>
        <v/>
      </c>
      <c r="UL9">
        <f>IF('計算A'!HL$106=1,LF9,1)</f>
        <v/>
      </c>
      <c r="UM9">
        <f>IF('計算A'!HM$106=1,LG9,1)</f>
        <v/>
      </c>
      <c r="UN9">
        <f>IF('計算A'!HN$106=1,LH9,1)</f>
        <v/>
      </c>
      <c r="UO9">
        <f>IF('計算A'!HO$106=1,LI9,1)</f>
        <v/>
      </c>
      <c r="UP9">
        <f>IF('計算A'!HP$106=1,LJ9,1)</f>
        <v/>
      </c>
      <c r="UQ9">
        <f>IF('計算A'!HQ$106=1,LK9,1)</f>
        <v/>
      </c>
      <c r="UR9">
        <f>IF('計算A'!HR$106=1,LL9,1)</f>
        <v/>
      </c>
      <c r="US9">
        <f>IF('計算A'!HS$106=1,LM9,1)</f>
        <v/>
      </c>
      <c r="UT9">
        <f>IF('計算A'!HT$106=1,LN9,1)</f>
        <v/>
      </c>
      <c r="UU9">
        <f>IF('計算A'!HU$106=1,LO9,1)</f>
        <v/>
      </c>
      <c r="UV9">
        <f>IF('計算A'!HV$106=1,LP9,1)</f>
        <v/>
      </c>
      <c r="UW9">
        <f>IF('計算A'!HW$106=1,LQ9,1)</f>
        <v/>
      </c>
      <c r="UX9">
        <f>IF('計算A'!HX$106=1,LR9,1)</f>
        <v/>
      </c>
      <c r="UY9">
        <f>IF('計算A'!HY$106=1,LS9,1)</f>
        <v/>
      </c>
      <c r="UZ9">
        <f>IF('計算A'!HZ$106=1,LT9,1)</f>
        <v/>
      </c>
      <c r="VA9">
        <f>IF('計算A'!IA$106=1,LU9,1)</f>
        <v/>
      </c>
      <c r="VB9">
        <f>IF('計算A'!IB$106=1,LV9,1)</f>
        <v/>
      </c>
      <c r="VC9">
        <f>IF('計算A'!IC$106=1,LW9,1)</f>
        <v/>
      </c>
      <c r="VD9">
        <f>IF('計算A'!ID$106=1,LX9,1)</f>
        <v/>
      </c>
      <c r="VE9">
        <f>IF('計算A'!IE$106=1,LY9,1)</f>
        <v/>
      </c>
      <c r="VF9">
        <f>IF('計算A'!IF$106=1,LZ9,1)</f>
        <v/>
      </c>
      <c r="VG9">
        <f>IF('計算A'!IG$106=1,MA9,1)</f>
        <v/>
      </c>
      <c r="VH9">
        <f>IF('計算A'!IH$106=1,MB9,1)</f>
        <v/>
      </c>
      <c r="VI9" t="n">
        <v>1</v>
      </c>
      <c r="VK9">
        <f>IF($B9=0,1000000,IF(INDEX('計算A'!$D$60:$II$104,$B9,1)*CW9=1,IF(AND($E9=2,MD9=0),1000000,INDEX('計算A'!D$110:D$114,$F9+1)+IF(AND($E9=1,MD9=0),1000,0)),1000000))</f>
        <v/>
      </c>
      <c r="VL9">
        <f>IF($B9=0,1000000,IF(INDEX('計算A'!$D$60:$II$104,$B9,2)*CX9=1,IF(AND($E9=2,ME9=0),1000000,INDEX('計算A'!E$110:E$114,$F9+1)+IF(AND($E9=1,ME9=0),1000,0)),1000000))</f>
        <v/>
      </c>
      <c r="VM9">
        <f>IF($B9=0,1000000,IF(INDEX('計算A'!$D$60:$II$104,$B9,3)*CY9=1,IF(AND($E9=2,MF9=0),1000000,INDEX('計算A'!F$110:F$114,$F9+1)+IF(AND($E9=1,MF9=0),1000,0)),1000000))</f>
        <v/>
      </c>
      <c r="VN9">
        <f>IF($B9=0,1000000,IF(INDEX('計算A'!$D$60:$II$104,$B9,4)*CZ9=1,IF(AND($E9=2,MG9=0),1000000,INDEX('計算A'!G$110:G$114,$F9+1)+IF(AND($E9=1,MG9=0),1000,0)),1000000))</f>
        <v/>
      </c>
      <c r="VO9">
        <f>IF($B9=0,1000000,IF(INDEX('計算A'!$D$60:$II$104,$B9,5)*DA9=1,IF(AND($E9=2,MH9=0),1000000,INDEX('計算A'!H$110:H$114,$F9+1)+IF(AND($E9=1,MH9=0),1000,0)),1000000))</f>
        <v/>
      </c>
      <c r="VP9">
        <f>IF($B9=0,1000000,IF(INDEX('計算A'!$D$60:$II$104,$B9,6)*DB9=1,IF(AND($E9=2,MI9=0),1000000,INDEX('計算A'!I$110:I$114,$F9+1)+IF(AND($E9=1,MI9=0),1000,0)),1000000))</f>
        <v/>
      </c>
      <c r="VQ9">
        <f>IF($B9=0,1000000,IF(INDEX('計算A'!$D$60:$II$104,$B9,7)*DC9=1,IF(AND($E9=2,MJ9=0),1000000,INDEX('計算A'!J$110:J$114,$F9+1)+IF(AND($E9=1,MJ9=0),1000,0)),1000000))</f>
        <v/>
      </c>
      <c r="VR9">
        <f>IF($B9=0,1000000,IF(INDEX('計算A'!$D$60:$II$104,$B9,8)*DD9=1,IF(AND($E9=2,MK9=0),1000000,INDEX('計算A'!K$110:K$114,$F9+1)+IF(AND($E9=1,MK9=0),1000,0)),1000000))</f>
        <v/>
      </c>
      <c r="VS9">
        <f>IF($B9=0,1000000,IF(INDEX('計算A'!$D$60:$II$104,$B9,9)*DE9=1,IF(AND($E9=2,ML9=0),1000000,INDEX('計算A'!L$110:L$114,$F9+1)+IF(AND($E9=1,ML9=0),1000,0)),1000000))</f>
        <v/>
      </c>
      <c r="VT9">
        <f>IF($B9=0,1000000,IF(INDEX('計算A'!$D$60:$II$104,$B9,10)*DF9=1,IF(AND($E9=2,MM9=0),1000000,INDEX('計算A'!M$110:M$114,$F9+1)+IF(AND($E9=1,MM9=0),1000,0)),1000000))</f>
        <v/>
      </c>
      <c r="VU9">
        <f>IF($B9=0,1000000,IF(INDEX('計算A'!$D$60:$II$104,$B9,11)*DG9=1,IF(AND($E9=2,MN9=0),1000000,INDEX('計算A'!N$110:N$114,$F9+1)+IF(AND($E9=1,MN9=0),1000,0)),1000000))</f>
        <v/>
      </c>
      <c r="VV9">
        <f>IF($B9=0,1000000,IF(INDEX('計算A'!$D$60:$II$104,$B9,12)*DH9=1,IF(AND($E9=2,MO9=0),1000000,INDEX('計算A'!O$110:O$114,$F9+1)+IF(AND($E9=1,MO9=0),1000,0)),1000000))</f>
        <v/>
      </c>
      <c r="VW9">
        <f>IF($B9=0,1000000,IF(INDEX('計算A'!$D$60:$II$104,$B9,13)*DI9=1,IF(AND($E9=2,MP9=0),1000000,INDEX('計算A'!P$110:P$114,$F9+1)+IF(AND($E9=1,MP9=0),1000,0)),1000000))</f>
        <v/>
      </c>
      <c r="VX9">
        <f>IF($B9=0,1000000,IF(INDEX('計算A'!$D$60:$II$104,$B9,14)*DJ9=1,IF(AND($E9=2,MQ9=0),1000000,INDEX('計算A'!Q$110:Q$114,$F9+1)+IF(AND($E9=1,MQ9=0),1000,0)),1000000))</f>
        <v/>
      </c>
      <c r="VY9">
        <f>IF($B9=0,1000000,IF(INDEX('計算A'!$D$60:$II$104,$B9,15)*DK9=1,IF(AND($E9=2,MR9=0),1000000,INDEX('計算A'!R$110:R$114,$F9+1)+IF(AND($E9=1,MR9=0),1000,0)),1000000))</f>
        <v/>
      </c>
      <c r="VZ9">
        <f>IF($B9=0,1000000,IF(INDEX('計算A'!$D$60:$II$104,$B9,16)*DL9=1,IF(AND($E9=2,MS9=0),1000000,INDEX('計算A'!S$110:S$114,$F9+1)+IF(AND($E9=1,MS9=0),1000,0)),1000000))</f>
        <v/>
      </c>
      <c r="WA9">
        <f>IF($B9=0,1000000,IF(INDEX('計算A'!$D$60:$II$104,$B9,17)*DM9=1,IF(AND($E9=2,MT9=0),1000000,INDEX('計算A'!T$110:T$114,$F9+1)+IF(AND($E9=1,MT9=0),1000,0)),1000000))</f>
        <v/>
      </c>
      <c r="WB9">
        <f>IF($B9=0,1000000,IF(INDEX('計算A'!$D$60:$II$104,$B9,18)*DN9=1,IF(AND($E9=2,MU9=0),1000000,INDEX('計算A'!U$110:U$114,$F9+1)+IF(AND($E9=1,MU9=0),1000,0)),1000000))</f>
        <v/>
      </c>
      <c r="WC9">
        <f>IF($B9=0,1000000,IF(INDEX('計算A'!$D$60:$II$104,$B9,19)*DO9=1,IF(AND($E9=2,MV9=0),1000000,INDEX('計算A'!V$110:V$114,$F9+1)+IF(AND($E9=1,MV9=0),1000,0)),1000000))</f>
        <v/>
      </c>
      <c r="WD9">
        <f>IF($B9=0,1000000,IF(INDEX('計算A'!$D$60:$II$104,$B9,20)*DP9=1,IF(AND($E9=2,MW9=0),1000000,INDEX('計算A'!W$110:W$114,$F9+1)+IF(AND($E9=1,MW9=0),1000,0)),1000000))</f>
        <v/>
      </c>
      <c r="WE9">
        <f>IF($B9=0,1000000,IF(INDEX('計算A'!$D$60:$II$104,$B9,21)*DQ9=1,IF(AND($E9=2,MX9=0),1000000,INDEX('計算A'!X$110:X$114,$F9+1)+IF(AND($E9=1,MX9=0),1000,0)),1000000))</f>
        <v/>
      </c>
      <c r="WF9">
        <f>IF($B9=0,1000000,IF(INDEX('計算A'!$D$60:$II$104,$B9,22)*DR9=1,IF(AND($E9=2,MY9=0),1000000,INDEX('計算A'!Y$110:Y$114,$F9+1)+IF(AND($E9=1,MY9=0),1000,0)),1000000))</f>
        <v/>
      </c>
      <c r="WG9">
        <f>IF($B9=0,1000000,IF(INDEX('計算A'!$D$60:$II$104,$B9,23)*DS9=1,IF(AND($E9=2,MZ9=0),1000000,INDEX('計算A'!Z$110:Z$114,$F9+1)+IF(AND($E9=1,MZ9=0),1000,0)),1000000))</f>
        <v/>
      </c>
      <c r="WH9">
        <f>IF($B9=0,1000000,IF(INDEX('計算A'!$D$60:$II$104,$B9,24)*DT9=1,IF(AND($E9=2,NA9=0),1000000,INDEX('計算A'!AA$110:AA$114,$F9+1)+IF(AND($E9=1,NA9=0),1000,0)),1000000))</f>
        <v/>
      </c>
      <c r="WI9">
        <f>IF($B9=0,1000000,IF(INDEX('計算A'!$D$60:$II$104,$B9,25)*DU9=1,IF(AND($E9=2,NB9=0),1000000,INDEX('計算A'!AB$110:AB$114,$F9+1)+IF(AND($E9=1,NB9=0),1000,0)),1000000))</f>
        <v/>
      </c>
      <c r="WJ9">
        <f>IF($B9=0,1000000,IF(INDEX('計算A'!$D$60:$II$104,$B9,26)*DV9=1,IF(AND($E9=2,NC9=0),1000000,INDEX('計算A'!AC$110:AC$114,$F9+1)+IF(AND($E9=1,NC9=0),1000,0)),1000000))</f>
        <v/>
      </c>
      <c r="WK9">
        <f>IF($B9=0,1000000,IF(INDEX('計算A'!$D$60:$II$104,$B9,27)*DW9=1,IF(AND($E9=2,ND9=0),1000000,INDEX('計算A'!AD$110:AD$114,$F9+1)+IF(AND($E9=1,ND9=0),1000,0)),1000000))</f>
        <v/>
      </c>
      <c r="WL9">
        <f>IF($B9=0,1000000,IF(INDEX('計算A'!$D$60:$II$104,$B9,28)*DX9=1,IF(AND($E9=2,NE9=0),1000000,INDEX('計算A'!AE$110:AE$114,$F9+1)+IF(AND($E9=1,NE9=0),1000,0)),1000000))</f>
        <v/>
      </c>
      <c r="WM9">
        <f>IF($B9=0,1000000,IF(INDEX('計算A'!$D$60:$II$104,$B9,29)*DY9=1,IF(AND($E9=2,NF9=0),1000000,INDEX('計算A'!AF$110:AF$114,$F9+1)+IF(AND($E9=1,NF9=0),1000,0)),1000000))</f>
        <v/>
      </c>
      <c r="WN9">
        <f>IF($B9=0,1000000,IF(INDEX('計算A'!$D$60:$II$104,$B9,30)*DZ9=1,IF(AND($E9=2,NG9=0),1000000,INDEX('計算A'!AG$110:AG$114,$F9+1)+IF(AND($E9=1,NG9=0),1000,0)),1000000))</f>
        <v/>
      </c>
      <c r="WO9">
        <f>IF($B9=0,1000000,IF(INDEX('計算A'!$D$60:$II$104,$B9,31)*EA9=1,IF(AND($E9=2,NH9=0),1000000,INDEX('計算A'!AH$110:AH$114,$F9+1)+IF(AND($E9=1,NH9=0),1000,0)),1000000))</f>
        <v/>
      </c>
      <c r="WP9">
        <f>IF($B9=0,1000000,IF(INDEX('計算A'!$D$60:$II$104,$B9,32)*EB9=1,IF(AND($E9=2,NI9=0),1000000,INDEX('計算A'!AI$110:AI$114,$F9+1)+IF(AND($E9=1,NI9=0),1000,0)),1000000))</f>
        <v/>
      </c>
      <c r="WQ9">
        <f>IF($B9=0,1000000,IF(INDEX('計算A'!$D$60:$II$104,$B9,33)*EC9=1,IF(AND($E9=2,NJ9=0),1000000,INDEX('計算A'!AJ$110:AJ$114,$F9+1)+IF(AND($E9=1,NJ9=0),1000,0)),1000000))</f>
        <v/>
      </c>
      <c r="WR9">
        <f>IF($B9=0,1000000,IF(INDEX('計算A'!$D$60:$II$104,$B9,34)*ED9=1,IF(AND($E9=2,NK9=0),1000000,INDEX('計算A'!AK$110:AK$114,$F9+1)+IF(AND($E9=1,NK9=0),1000,0)),1000000))</f>
        <v/>
      </c>
      <c r="WS9">
        <f>IF($B9=0,1000000,IF(INDEX('計算A'!$D$60:$II$104,$B9,35)*EE9=1,IF(AND($E9=2,NL9=0),1000000,INDEX('計算A'!AL$110:AL$114,$F9+1)+IF(AND($E9=1,NL9=0),1000,0)),1000000))</f>
        <v/>
      </c>
      <c r="WT9">
        <f>IF($B9=0,1000000,IF(INDEX('計算A'!$D$60:$II$104,$B9,36)*EF9=1,IF(AND($E9=2,NM9=0),1000000,INDEX('計算A'!AM$110:AM$114,$F9+1)+IF(AND($E9=1,NM9=0),1000,0)),1000000))</f>
        <v/>
      </c>
      <c r="WU9">
        <f>IF($B9=0,1000000,IF(INDEX('計算A'!$D$60:$II$104,$B9,37)*EG9=1,IF(AND($E9=2,NN9=0),1000000,INDEX('計算A'!AN$110:AN$114,$F9+1)+IF(AND($E9=1,NN9=0),1000,0)),1000000))</f>
        <v/>
      </c>
      <c r="WV9">
        <f>IF($B9=0,1000000,IF(INDEX('計算A'!$D$60:$II$104,$B9,38)*EH9=1,IF(AND($E9=2,NO9=0),1000000,INDEX('計算A'!AO$110:AO$114,$F9+1)+IF(AND($E9=1,NO9=0),1000,0)),1000000))</f>
        <v/>
      </c>
      <c r="WW9">
        <f>IF($B9=0,1000000,IF(INDEX('計算A'!$D$60:$II$104,$B9,39)*EI9=1,IF(AND($E9=2,NP9=0),1000000,INDEX('計算A'!AP$110:AP$114,$F9+1)+IF(AND($E9=1,NP9=0),1000,0)),1000000))</f>
        <v/>
      </c>
      <c r="WX9">
        <f>IF($B9=0,1000000,IF(INDEX('計算A'!$D$60:$II$104,$B9,40)*EJ9=1,IF(AND($E9=2,NQ9=0),1000000,INDEX('計算A'!AQ$110:AQ$114,$F9+1)+IF(AND($E9=1,NQ9=0),1000,0)),1000000))</f>
        <v/>
      </c>
      <c r="WY9">
        <f>IF($B9=0,1000000,IF(INDEX('計算A'!$D$60:$II$104,$B9,41)*EK9=1,IF(AND($E9=2,NR9=0),1000000,INDEX('計算A'!AR$110:AR$114,$F9+1)+IF(AND($E9=1,NR9=0),1000,0)),1000000))</f>
        <v/>
      </c>
      <c r="WZ9">
        <f>IF($B9=0,1000000,IF(INDEX('計算A'!$D$60:$II$104,$B9,42)*EL9=1,IF(AND($E9=2,NS9=0),1000000,INDEX('計算A'!AS$110:AS$114,$F9+1)+IF(AND($E9=1,NS9=0),1000,0)),1000000))</f>
        <v/>
      </c>
      <c r="XA9">
        <f>IF($B9=0,1000000,IF(INDEX('計算A'!$D$60:$II$104,$B9,43)*EM9=1,IF(AND($E9=2,NT9=0),1000000,INDEX('計算A'!AT$110:AT$114,$F9+1)+IF(AND($E9=1,NT9=0),1000,0)),1000000))</f>
        <v/>
      </c>
      <c r="XB9">
        <f>IF($B9=0,1000000,IF(INDEX('計算A'!$D$60:$II$104,$B9,44)*EN9=1,IF(AND($E9=2,NU9=0),1000000,INDEX('計算A'!AU$110:AU$114,$F9+1)+IF(AND($E9=1,NU9=0),1000,0)),1000000))</f>
        <v/>
      </c>
      <c r="XC9">
        <f>IF($B9=0,1000000,IF(INDEX('計算A'!$D$60:$II$104,$B9,45)*EO9=1,IF(AND($E9=2,NV9=0),1000000,INDEX('計算A'!AV$110:AV$114,$F9+1)+IF(AND($E9=1,NV9=0),1000,0)),1000000))</f>
        <v/>
      </c>
      <c r="XD9">
        <f>IF($B9=0,1000000,IF(INDEX('計算A'!$D$60:$II$104,$B9,46)*EP9=1,IF(AND($E9=2,NW9=0),1000000,INDEX('計算A'!AW$110:AW$114,$F9+1)+IF(AND($E9=1,NW9=0),1000,0)),1000000))</f>
        <v/>
      </c>
      <c r="XE9">
        <f>IF($B9=0,1000000,IF(INDEX('計算A'!$D$60:$II$104,$B9,47)*EQ9=1,IF(AND($E9=2,NX9=0),1000000,INDEX('計算A'!AX$110:AX$114,$F9+1)+IF(AND($E9=1,NX9=0),1000,0)),1000000))</f>
        <v/>
      </c>
      <c r="XF9">
        <f>IF($B9=0,1000000,IF(INDEX('計算A'!$D$60:$II$104,$B9,48)*ER9=1,IF(AND($E9=2,NY9=0),1000000,INDEX('計算A'!AY$110:AY$114,$F9+1)+IF(AND($E9=1,NY9=0),1000,0)),1000000))</f>
        <v/>
      </c>
      <c r="XG9">
        <f>IF($B9=0,1000000,IF(INDEX('計算A'!$D$60:$II$104,$B9,49)*ES9=1,IF(AND($E9=2,NZ9=0),1000000,INDEX('計算A'!AZ$110:AZ$114,$F9+1)+IF(AND($E9=1,NZ9=0),1000,0)),1000000))</f>
        <v/>
      </c>
      <c r="XH9">
        <f>IF($B9=0,1000000,IF(INDEX('計算A'!$D$60:$II$104,$B9,50)*ET9=1,IF(AND($E9=2,OA9=0),1000000,INDEX('計算A'!BA$110:BA$114,$F9+1)+IF(AND($E9=1,OA9=0),1000,0)),1000000))</f>
        <v/>
      </c>
      <c r="XI9">
        <f>IF($B9=0,1000000,IF(INDEX('計算A'!$D$60:$II$104,$B9,51)*EU9=1,IF(AND($E9=2,OB9=0),1000000,INDEX('計算A'!BB$110:BB$114,$F9+1)+IF(AND($E9=1,OB9=0),1000,0)),1000000))</f>
        <v/>
      </c>
      <c r="XJ9">
        <f>IF($B9=0,1000000,IF(INDEX('計算A'!$D$60:$II$104,$B9,52)*EV9=1,IF(AND($E9=2,OC9=0),1000000,INDEX('計算A'!BC$110:BC$114,$F9+1)+IF(AND($E9=1,OC9=0),1000,0)),1000000))</f>
        <v/>
      </c>
      <c r="XK9">
        <f>IF($B9=0,1000000,IF(INDEX('計算A'!$D$60:$II$104,$B9,53)*EW9=1,IF(AND($E9=2,OD9=0),1000000,INDEX('計算A'!BD$110:BD$114,$F9+1)+IF(AND($E9=1,OD9=0),1000,0)),1000000))</f>
        <v/>
      </c>
      <c r="XL9">
        <f>IF($B9=0,1000000,IF(INDEX('計算A'!$D$60:$II$104,$B9,54)*EX9=1,IF(AND($E9=2,OE9=0),1000000,INDEX('計算A'!BE$110:BE$114,$F9+1)+IF(AND($E9=1,OE9=0),1000,0)),1000000))</f>
        <v/>
      </c>
      <c r="XM9">
        <f>IF($B9=0,1000000,IF(INDEX('計算A'!$D$60:$II$104,$B9,55)*EY9=1,IF(AND($E9=2,OF9=0),1000000,INDEX('計算A'!BF$110:BF$114,$F9+1)+IF(AND($E9=1,OF9=0),1000,0)),1000000))</f>
        <v/>
      </c>
      <c r="XN9">
        <f>IF($B9=0,1000000,IF(INDEX('計算A'!$D$60:$II$104,$B9,56)*EZ9=1,IF(AND($E9=2,OG9=0),1000000,INDEX('計算A'!BG$110:BG$114,$F9+1)+IF(AND($E9=1,OG9=0),1000,0)),1000000))</f>
        <v/>
      </c>
      <c r="XO9">
        <f>IF($B9=0,1000000,IF(INDEX('計算A'!$D$60:$II$104,$B9,57)*FA9=1,IF(AND($E9=2,OH9=0),1000000,INDEX('計算A'!BH$110:BH$114,$F9+1)+IF(AND($E9=1,OH9=0),1000,0)),1000000))</f>
        <v/>
      </c>
      <c r="XP9">
        <f>IF($B9=0,1000000,IF(INDEX('計算A'!$D$60:$II$104,$B9,58)*FB9=1,IF(AND($E9=2,OI9=0),1000000,INDEX('計算A'!BI$110:BI$114,$F9+1)+IF(AND($E9=1,OI9=0),1000,0)),1000000))</f>
        <v/>
      </c>
      <c r="XQ9">
        <f>IF($B9=0,1000000,IF(INDEX('計算A'!$D$60:$II$104,$B9,59)*FC9=1,IF(AND($E9=2,OJ9=0),1000000,INDEX('計算A'!BJ$110:BJ$114,$F9+1)+IF(AND($E9=1,OJ9=0),1000,0)),1000000))</f>
        <v/>
      </c>
      <c r="XR9">
        <f>IF($B9=0,1000000,IF(INDEX('計算A'!$D$60:$II$104,$B9,60)*FD9=1,IF(AND($E9=2,OK9=0),1000000,INDEX('計算A'!BK$110:BK$114,$F9+1)+IF(AND($E9=1,OK9=0),1000,0)),1000000))</f>
        <v/>
      </c>
      <c r="XS9">
        <f>IF($B9=0,1000000,IF(INDEX('計算A'!$D$60:$II$104,$B9,61)*FE9=1,IF(AND($E9=2,OL9=0),1000000,INDEX('計算A'!BL$110:BL$114,$F9+1)+IF(AND($E9=1,OL9=0),1000,0)),1000000))</f>
        <v/>
      </c>
      <c r="XT9">
        <f>IF($B9=0,1000000,IF(INDEX('計算A'!$D$60:$II$104,$B9,62)*FF9=1,IF(AND($E9=2,OM9=0),1000000,INDEX('計算A'!BM$110:BM$114,$F9+1)+IF(AND($E9=1,OM9=0),1000,0)),1000000))</f>
        <v/>
      </c>
      <c r="XU9">
        <f>IF($B9=0,1000000,IF(INDEX('計算A'!$D$60:$II$104,$B9,63)*FG9=1,IF(AND($E9=2,ON9=0),1000000,INDEX('計算A'!BN$110:BN$114,$F9+1)+IF(AND($E9=1,ON9=0),1000,0)),1000000))</f>
        <v/>
      </c>
      <c r="XV9">
        <f>IF($B9=0,1000000,IF(INDEX('計算A'!$D$60:$II$104,$B9,64)*FH9=1,IF(AND($E9=2,OO9=0),1000000,INDEX('計算A'!BO$110:BO$114,$F9+1)+IF(AND($E9=1,OO9=0),1000,0)),1000000))</f>
        <v/>
      </c>
      <c r="XW9">
        <f>IF($B9=0,1000000,IF(INDEX('計算A'!$D$60:$II$104,$B9,65)*FI9=1,IF(AND($E9=2,OP9=0),1000000,INDEX('計算A'!BP$110:BP$114,$F9+1)+IF(AND($E9=1,OP9=0),1000,0)),1000000))</f>
        <v/>
      </c>
      <c r="XX9">
        <f>IF($B9=0,1000000,IF(INDEX('計算A'!$D$60:$II$104,$B9,66)*FJ9=1,IF(AND($E9=2,OQ9=0),1000000,INDEX('計算A'!BQ$110:BQ$114,$F9+1)+IF(AND($E9=1,OQ9=0),1000,0)),1000000))</f>
        <v/>
      </c>
      <c r="XY9">
        <f>IF($B9=0,1000000,IF(INDEX('計算A'!$D$60:$II$104,$B9,67)*FK9=1,IF(AND($E9=2,OR9=0),1000000,INDEX('計算A'!BR$110:BR$114,$F9+1)+IF(AND($E9=1,OR9=0),1000,0)),1000000))</f>
        <v/>
      </c>
      <c r="XZ9">
        <f>IF($B9=0,1000000,IF(INDEX('計算A'!$D$60:$II$104,$B9,68)*FL9=1,IF(AND($E9=2,OS9=0),1000000,INDEX('計算A'!BS$110:BS$114,$F9+1)+IF(AND($E9=1,OS9=0),1000,0)),1000000))</f>
        <v/>
      </c>
      <c r="YA9">
        <f>IF($B9=0,1000000,IF(INDEX('計算A'!$D$60:$II$104,$B9,69)*FM9=1,IF(AND($E9=2,OT9=0),1000000,INDEX('計算A'!BT$110:BT$114,$F9+1)+IF(AND($E9=1,OT9=0),1000,0)),1000000))</f>
        <v/>
      </c>
      <c r="YB9">
        <f>IF($B9=0,1000000,IF(INDEX('計算A'!$D$60:$II$104,$B9,70)*FN9=1,IF(AND($E9=2,OU9=0),1000000,INDEX('計算A'!BU$110:BU$114,$F9+1)+IF(AND($E9=1,OU9=0),1000,0)),1000000))</f>
        <v/>
      </c>
      <c r="YC9">
        <f>IF($B9=0,1000000,IF(INDEX('計算A'!$D$60:$II$104,$B9,71)*FO9=1,IF(AND($E9=2,OV9=0),1000000,INDEX('計算A'!BV$110:BV$114,$F9+1)+IF(AND($E9=1,OV9=0),1000,0)),1000000))</f>
        <v/>
      </c>
      <c r="YD9">
        <f>IF($B9=0,1000000,IF(INDEX('計算A'!$D$60:$II$104,$B9,72)*FP9=1,IF(AND($E9=2,OW9=0),1000000,INDEX('計算A'!BW$110:BW$114,$F9+1)+IF(AND($E9=1,OW9=0),1000,0)),1000000))</f>
        <v/>
      </c>
      <c r="YE9">
        <f>IF($B9=0,1000000,IF(INDEX('計算A'!$D$60:$II$104,$B9,73)*FQ9=1,IF(AND($E9=2,OX9=0),1000000,INDEX('計算A'!BX$110:BX$114,$F9+1)+IF(AND($E9=1,OX9=0),1000,0)),1000000))</f>
        <v/>
      </c>
      <c r="YF9">
        <f>IF($B9=0,1000000,IF(INDEX('計算A'!$D$60:$II$104,$B9,74)*FR9=1,IF(AND($E9=2,OY9=0),1000000,INDEX('計算A'!BY$110:BY$114,$F9+1)+IF(AND($E9=1,OY9=0),1000,0)),1000000))</f>
        <v/>
      </c>
      <c r="YG9">
        <f>IF($B9=0,1000000,IF(INDEX('計算A'!$D$60:$II$104,$B9,75)*FS9=1,IF(AND($E9=2,OZ9=0),1000000,INDEX('計算A'!BZ$110:BZ$114,$F9+1)+IF(AND($E9=1,OZ9=0),1000,0)),1000000))</f>
        <v/>
      </c>
      <c r="YH9">
        <f>IF($B9=0,1000000,IF(INDEX('計算A'!$D$60:$II$104,$B9,76)*FT9=1,IF(AND($E9=2,PA9=0),1000000,INDEX('計算A'!CA$110:CA$114,$F9+1)+IF(AND($E9=1,PA9=0),1000,0)),1000000))</f>
        <v/>
      </c>
      <c r="YI9">
        <f>IF($B9=0,1000000,IF(INDEX('計算A'!$D$60:$II$104,$B9,77)*FU9=1,IF(AND($E9=2,PB9=0),1000000,INDEX('計算A'!CB$110:CB$114,$F9+1)+IF(AND($E9=1,PB9=0),1000,0)),1000000))</f>
        <v/>
      </c>
      <c r="YJ9">
        <f>IF($B9=0,1000000,IF(INDEX('計算A'!$D$60:$II$104,$B9,78)*FV9=1,IF(AND($E9=2,PC9=0),1000000,INDEX('計算A'!CC$110:CC$114,$F9+1)+IF(AND($E9=1,PC9=0),1000,0)),1000000))</f>
        <v/>
      </c>
      <c r="YK9">
        <f>IF($B9=0,1000000,IF(INDEX('計算A'!$D$60:$II$104,$B9,79)*FW9=1,IF(AND($E9=2,PD9=0),1000000,INDEX('計算A'!CD$110:CD$114,$F9+1)+IF(AND($E9=1,PD9=0),1000,0)),1000000))</f>
        <v/>
      </c>
      <c r="YL9">
        <f>IF($B9=0,1000000,IF(INDEX('計算A'!$D$60:$II$104,$B9,80)*FX9=1,IF(AND($E9=2,PE9=0),1000000,INDEX('計算A'!CE$110:CE$114,$F9+1)+IF(AND($E9=1,PE9=0),1000,0)),1000000))</f>
        <v/>
      </c>
      <c r="YM9">
        <f>IF($B9=0,1000000,IF(INDEX('計算A'!$D$60:$II$104,$B9,81)*FY9=1,IF(AND($E9=2,PF9=0),1000000,INDEX('計算A'!CF$110:CF$114,$F9+1)+IF(AND($E9=1,PF9=0),1000,0)),1000000))</f>
        <v/>
      </c>
      <c r="YN9">
        <f>IF($B9=0,1000000,IF(INDEX('計算A'!$D$60:$II$104,$B9,82)*FZ9=1,IF(AND($E9=2,PG9=0),1000000,INDEX('計算A'!CG$110:CG$114,$F9+1)+IF(AND($E9=1,PG9=0),1000,0)),1000000))</f>
        <v/>
      </c>
      <c r="YO9">
        <f>IF($B9=0,1000000,IF(INDEX('計算A'!$D$60:$II$104,$B9,83)*GA9=1,IF(AND($E9=2,PH9=0),1000000,INDEX('計算A'!CH$110:CH$114,$F9+1)+IF(AND($E9=1,PH9=0),1000,0)),1000000))</f>
        <v/>
      </c>
      <c r="YP9">
        <f>IF($B9=0,1000000,IF(INDEX('計算A'!$D$60:$II$104,$B9,84)*GB9=1,IF(AND($E9=2,PI9=0),1000000,INDEX('計算A'!CI$110:CI$114,$F9+1)+IF(AND($E9=1,PI9=0),1000,0)),1000000))</f>
        <v/>
      </c>
      <c r="YQ9">
        <f>IF($B9=0,1000000,IF(INDEX('計算A'!$D$60:$II$104,$B9,85)*GC9=1,IF(AND($E9=2,PJ9=0),1000000,INDEX('計算A'!CJ$110:CJ$114,$F9+1)+IF(AND($E9=1,PJ9=0),1000,0)),1000000))</f>
        <v/>
      </c>
      <c r="YR9">
        <f>IF($B9=0,1000000,IF(INDEX('計算A'!$D$60:$II$104,$B9,86)*GD9=1,IF(AND($E9=2,PK9=0),1000000,INDEX('計算A'!CK$110:CK$114,$F9+1)+IF(AND($E9=1,PK9=0),1000,0)),1000000))</f>
        <v/>
      </c>
      <c r="YS9">
        <f>IF($B9=0,1000000,IF(INDEX('計算A'!$D$60:$II$104,$B9,87)*GE9=1,IF(AND($E9=2,PL9=0),1000000,INDEX('計算A'!CL$110:CL$114,$F9+1)+IF(AND($E9=1,PL9=0),1000,0)),1000000))</f>
        <v/>
      </c>
      <c r="YT9">
        <f>IF($B9=0,1000000,IF(INDEX('計算A'!$D$60:$II$104,$B9,88)*GF9=1,IF(AND($E9=2,PM9=0),1000000,INDEX('計算A'!CM$110:CM$114,$F9+1)+IF(AND($E9=1,PM9=0),1000,0)),1000000))</f>
        <v/>
      </c>
      <c r="YU9">
        <f>IF($B9=0,1000000,IF(INDEX('計算A'!$D$60:$II$104,$B9,89)*GG9=1,IF(AND($E9=2,PN9=0),1000000,INDEX('計算A'!CN$110:CN$114,$F9+1)+IF(AND($E9=1,PN9=0),1000,0)),1000000))</f>
        <v/>
      </c>
      <c r="YV9">
        <f>IF($B9=0,1000000,IF(INDEX('計算A'!$D$60:$II$104,$B9,90)*GH9=1,IF(AND($E9=2,PO9=0),1000000,INDEX('計算A'!CO$110:CO$114,$F9+1)+IF(AND($E9=1,PO9=0),1000,0)),1000000))</f>
        <v/>
      </c>
      <c r="YW9">
        <f>IF($B9=0,1000000,IF(INDEX('計算A'!$D$60:$II$104,$B9,91)*GI9=1,IF(AND($E9=2,PP9=0),1000000,INDEX('計算A'!CP$110:CP$114,$F9+1)+IF(AND($E9=1,PP9=0),1000,0)),1000000))</f>
        <v/>
      </c>
      <c r="YX9">
        <f>IF($B9=0,1000000,IF(INDEX('計算A'!$D$60:$II$104,$B9,92)*GJ9=1,IF(AND($E9=2,PQ9=0),1000000,INDEX('計算A'!CQ$110:CQ$114,$F9+1)+IF(AND($E9=1,PQ9=0),1000,0)),1000000))</f>
        <v/>
      </c>
      <c r="YY9">
        <f>IF($B9=0,1000000,IF(INDEX('計算A'!$D$60:$II$104,$B9,93)*GK9=1,IF(AND($E9=2,PR9=0),1000000,INDEX('計算A'!CR$110:CR$114,$F9+1)+IF(AND($E9=1,PR9=0),1000,0)),1000000))</f>
        <v/>
      </c>
      <c r="YZ9">
        <f>IF($B9=0,1000000,IF(INDEX('計算A'!$D$60:$II$104,$B9,94)*GL9=1,IF(AND($E9=2,PS9=0),1000000,INDEX('計算A'!CS$110:CS$114,$F9+1)+IF(AND($E9=1,PS9=0),1000,0)),1000000))</f>
        <v/>
      </c>
      <c r="ZA9">
        <f>IF($B9=0,1000000,IF(INDEX('計算A'!$D$60:$II$104,$B9,95)*GM9=1,IF(AND($E9=2,PT9=0),1000000,INDEX('計算A'!CT$110:CT$114,$F9+1)+IF(AND($E9=1,PT9=0),1000,0)),1000000))</f>
        <v/>
      </c>
      <c r="ZB9">
        <f>IF($B9=0,1000000,IF(INDEX('計算A'!$D$60:$II$104,$B9,96)*GN9=1,IF(AND($E9=2,PU9=0),1000000,INDEX('計算A'!CU$110:CU$114,$F9+1)+IF(AND($E9=1,PU9=0),1000,0)),1000000))</f>
        <v/>
      </c>
      <c r="ZC9">
        <f>IF($B9=0,1000000,IF(INDEX('計算A'!$D$60:$II$104,$B9,97)*GO9=1,IF(AND($E9=2,PV9=0),1000000,INDEX('計算A'!CV$110:CV$114,$F9+1)+IF(AND($E9=1,PV9=0),1000,0)),1000000))</f>
        <v/>
      </c>
      <c r="ZD9">
        <f>IF($B9=0,1000000,IF(INDEX('計算A'!$D$60:$II$104,$B9,98)*GP9=1,IF(AND($E9=2,PW9=0),1000000,INDEX('計算A'!CW$110:CW$114,$F9+1)+IF(AND($E9=1,PW9=0),1000,0)),1000000))</f>
        <v/>
      </c>
      <c r="ZE9">
        <f>IF($B9=0,1000000,IF(INDEX('計算A'!$D$60:$II$104,$B9,99)*GQ9=1,IF(AND($E9=2,PX9=0),1000000,INDEX('計算A'!CX$110:CX$114,$F9+1)+IF(AND($E9=1,PX9=0),1000,0)),1000000))</f>
        <v/>
      </c>
      <c r="ZF9">
        <f>IF($B9=0,1000000,IF(INDEX('計算A'!$D$60:$II$104,$B9,100)*GR9=1,IF(AND($E9=2,PY9=0),1000000,INDEX('計算A'!CY$110:CY$114,$F9+1)+IF(AND($E9=1,PY9=0),1000,0)),1000000))</f>
        <v/>
      </c>
      <c r="ZG9">
        <f>IF($B9=0,1000000,IF(INDEX('計算A'!$D$60:$II$104,$B9,101)*GS9=1,IF(AND($E9=2,PZ9=0),1000000,INDEX('計算A'!CZ$110:CZ$114,$F9+1)+IF(AND($E9=1,PZ9=0),1000,0)),1000000))</f>
        <v/>
      </c>
      <c r="ZH9">
        <f>IF($B9=0,1000000,IF(INDEX('計算A'!$D$60:$II$104,$B9,102)*GT9=1,IF(AND($E9=2,QA9=0),1000000,INDEX('計算A'!DA$110:DA$114,$F9+1)+IF(AND($E9=1,QA9=0),1000,0)),1000000))</f>
        <v/>
      </c>
      <c r="ZI9">
        <f>IF($B9=0,1000000,IF(INDEX('計算A'!$D$60:$II$104,$B9,103)*GU9=1,IF(AND($E9=2,QB9=0),1000000,INDEX('計算A'!DB$110:DB$114,$F9+1)+IF(AND($E9=1,QB9=0),1000,0)),1000000))</f>
        <v/>
      </c>
      <c r="ZJ9">
        <f>IF($B9=0,1000000,IF(INDEX('計算A'!$D$60:$II$104,$B9,104)*GV9=1,IF(AND($E9=2,QC9=0),1000000,INDEX('計算A'!DC$110:DC$114,$F9+1)+IF(AND($E9=1,QC9=0),1000,0)),1000000))</f>
        <v/>
      </c>
      <c r="ZK9">
        <f>IF($B9=0,1000000,IF(INDEX('計算A'!$D$60:$II$104,$B9,105)*GW9=1,IF(AND($E9=2,QD9=0),1000000,INDEX('計算A'!DD$110:DD$114,$F9+1)+IF(AND($E9=1,QD9=0),1000,0)),1000000))</f>
        <v/>
      </c>
      <c r="ZL9">
        <f>IF($B9=0,1000000,IF(INDEX('計算A'!$D$60:$II$104,$B9,106)*GX9=1,IF(AND($E9=2,QE9=0),1000000,INDEX('計算A'!DE$110:DE$114,$F9+1)+IF(AND($E9=1,QE9=0),1000,0)),1000000))</f>
        <v/>
      </c>
      <c r="ZM9">
        <f>IF($B9=0,1000000,IF(INDEX('計算A'!$D$60:$II$104,$B9,107)*GY9=1,IF(AND($E9=2,QF9=0),1000000,INDEX('計算A'!DF$110:DF$114,$F9+1)+IF(AND($E9=1,QF9=0),1000,0)),1000000))</f>
        <v/>
      </c>
      <c r="ZN9">
        <f>IF($B9=0,1000000,IF(INDEX('計算A'!$D$60:$II$104,$B9,108)*GZ9=1,IF(AND($E9=2,QG9=0),1000000,INDEX('計算A'!DG$110:DG$114,$F9+1)+IF(AND($E9=1,QG9=0),1000,0)),1000000))</f>
        <v/>
      </c>
      <c r="ZO9">
        <f>IF($B9=0,1000000,IF(INDEX('計算A'!$D$60:$II$104,$B9,109)*HA9=1,IF(AND($E9=2,QH9=0),1000000,INDEX('計算A'!DH$110:DH$114,$F9+1)+IF(AND($E9=1,QH9=0),1000,0)),1000000))</f>
        <v/>
      </c>
      <c r="ZP9">
        <f>IF($B9=0,1000000,IF(INDEX('計算A'!$D$60:$II$104,$B9,110)*HB9=1,IF(AND($E9=2,QI9=0),1000000,INDEX('計算A'!DI$110:DI$114,$F9+1)+IF(AND($E9=1,QI9=0),1000,0)),1000000))</f>
        <v/>
      </c>
      <c r="ZQ9">
        <f>IF($B9=0,1000000,IF(INDEX('計算A'!$D$60:$II$104,$B9,111)*HC9=1,IF(AND($E9=2,QJ9=0),1000000,INDEX('計算A'!DJ$110:DJ$114,$F9+1)+IF(AND($E9=1,QJ9=0),1000,0)),1000000))</f>
        <v/>
      </c>
      <c r="ZR9">
        <f>IF($B9=0,1000000,IF(INDEX('計算A'!$D$60:$II$104,$B9,112)*HD9=1,IF(AND($E9=2,QK9=0),1000000,INDEX('計算A'!DK$110:DK$114,$F9+1)+IF(AND($E9=1,QK9=0),1000,0)),1000000))</f>
        <v/>
      </c>
      <c r="ZS9">
        <f>IF($B9=0,1000000,IF(INDEX('計算A'!$D$60:$II$104,$B9,113)*HE9=1,IF(AND($E9=2,QL9=0),1000000,INDEX('計算A'!DL$110:DL$114,$F9+1)+IF(AND($E9=1,QL9=0),1000,0)),1000000))</f>
        <v/>
      </c>
      <c r="ZT9">
        <f>IF($B9=0,1000000,IF(INDEX('計算A'!$D$60:$II$104,$B9,114)*HF9=1,IF(AND($E9=2,QM9=0),1000000,INDEX('計算A'!DM$110:DM$114,$F9+1)+IF(AND($E9=1,QM9=0),1000,0)),1000000))</f>
        <v/>
      </c>
      <c r="ZU9">
        <f>IF($B9=0,1000000,IF(INDEX('計算A'!$D$60:$II$104,$B9,115)*HG9=1,IF(AND($E9=2,QN9=0),1000000,INDEX('計算A'!DN$110:DN$114,$F9+1)+IF(AND($E9=1,QN9=0),1000,0)),1000000))</f>
        <v/>
      </c>
      <c r="ZV9">
        <f>IF($B9=0,1000000,IF(INDEX('計算A'!$D$60:$II$104,$B9,116)*HH9=1,IF(AND($E9=2,QO9=0),1000000,INDEX('計算A'!DO$110:DO$114,$F9+1)+IF(AND($E9=1,QO9=0),1000,0)),1000000))</f>
        <v/>
      </c>
      <c r="ZW9">
        <f>IF($B9=0,1000000,IF(INDEX('計算A'!$D$60:$II$104,$B9,117)*HI9=1,IF(AND($E9=2,QP9=0),1000000,INDEX('計算A'!DP$110:DP$114,$F9+1)+IF(AND($E9=1,QP9=0),1000,0)),1000000))</f>
        <v/>
      </c>
      <c r="ZX9">
        <f>IF($B9=0,1000000,IF(INDEX('計算A'!$D$60:$II$104,$B9,118)*HJ9=1,IF(AND($E9=2,QQ9=0),1000000,INDEX('計算A'!DQ$110:DQ$114,$F9+1)+IF(AND($E9=1,QQ9=0),1000,0)),1000000))</f>
        <v/>
      </c>
      <c r="ZY9">
        <f>IF($B9=0,1000000,IF(INDEX('計算A'!$D$60:$II$104,$B9,119)*HK9=1,IF(AND($E9=2,QR9=0),1000000,INDEX('計算A'!DR$110:DR$114,$F9+1)+IF(AND($E9=1,QR9=0),1000,0)),1000000))</f>
        <v/>
      </c>
      <c r="ZZ9">
        <f>IF($B9=0,1000000,IF(INDEX('計算A'!$D$60:$II$104,$B9,120)*HL9=1,IF(AND($E9=2,QS9=0),1000000,INDEX('計算A'!DS$110:DS$114,$F9+1)+IF(AND($E9=1,QS9=0),1000,0)),1000000))</f>
        <v/>
      </c>
      <c r="AAA9">
        <f>IF($B9=0,1000000,IF(INDEX('計算A'!$D$60:$II$104,$B9,121)*HM9=1,IF(AND($E9=2,QT9=0),1000000,INDEX('計算A'!DT$110:DT$114,$F9+1)+IF(AND($E9=1,QT9=0),1000,0)),1000000))</f>
        <v/>
      </c>
      <c r="AAB9">
        <f>IF($B9=0,1000000,IF(INDEX('計算A'!$D$60:$II$104,$B9,122)*HN9=1,IF(AND($E9=2,QU9=0),1000000,INDEX('計算A'!DU$110:DU$114,$F9+1)+IF(AND($E9=1,QU9=0),1000,0)),1000000))</f>
        <v/>
      </c>
      <c r="AAC9">
        <f>IF($B9=0,1000000,IF(INDEX('計算A'!$D$60:$II$104,$B9,123)*HO9=1,IF(AND($E9=2,QV9=0),1000000,INDEX('計算A'!DV$110:DV$114,$F9+1)+IF(AND($E9=1,QV9=0),1000,0)),1000000))</f>
        <v/>
      </c>
      <c r="AAD9">
        <f>IF($B9=0,1000000,IF(INDEX('計算A'!$D$60:$II$104,$B9,124)*HP9=1,IF(AND($E9=2,QW9=0),1000000,INDEX('計算A'!DW$110:DW$114,$F9+1)+IF(AND($E9=1,QW9=0),1000,0)),1000000))</f>
        <v/>
      </c>
      <c r="AAE9">
        <f>IF($B9=0,1000000,IF(INDEX('計算A'!$D$60:$II$104,$B9,125)*HQ9=1,IF(AND($E9=2,QX9=0),1000000,INDEX('計算A'!DX$110:DX$114,$F9+1)+IF(AND($E9=1,QX9=0),1000,0)),1000000))</f>
        <v/>
      </c>
      <c r="AAF9">
        <f>IF($B9=0,1000000,IF(INDEX('計算A'!$D$60:$II$104,$B9,126)*HR9=1,IF(AND($E9=2,QY9=0),1000000,INDEX('計算A'!DY$110:DY$114,$F9+1)+IF(AND($E9=1,QY9=0),1000,0)),1000000))</f>
        <v/>
      </c>
      <c r="AAG9">
        <f>IF($B9=0,1000000,IF(INDEX('計算A'!$D$60:$II$104,$B9,127)*HS9=1,IF(AND($E9=2,QZ9=0),1000000,INDEX('計算A'!DZ$110:DZ$114,$F9+1)+IF(AND($E9=1,QZ9=0),1000,0)),1000000))</f>
        <v/>
      </c>
      <c r="AAH9">
        <f>IF($B9=0,1000000,IF(INDEX('計算A'!$D$60:$II$104,$B9,128)*HT9=1,IF(AND($E9=2,RA9=0),1000000,INDEX('計算A'!EA$110:EA$114,$F9+1)+IF(AND($E9=1,RA9=0),1000,0)),1000000))</f>
        <v/>
      </c>
      <c r="AAI9">
        <f>IF($B9=0,1000000,IF(INDEX('計算A'!$D$60:$II$104,$B9,129)*HU9=1,IF(AND($E9=2,RB9=0),1000000,INDEX('計算A'!EB$110:EB$114,$F9+1)+IF(AND($E9=1,RB9=0),1000,0)),1000000))</f>
        <v/>
      </c>
      <c r="AAJ9">
        <f>IF($B9=0,1000000,IF(INDEX('計算A'!$D$60:$II$104,$B9,130)*HV9=1,IF(AND($E9=2,RC9=0),1000000,INDEX('計算A'!EC$110:EC$114,$F9+1)+IF(AND($E9=1,RC9=0),1000,0)),1000000))</f>
        <v/>
      </c>
      <c r="AAK9">
        <f>IF($B9=0,1000000,IF(INDEX('計算A'!$D$60:$II$104,$B9,131)*HW9=1,IF(AND($E9=2,RD9=0),1000000,INDEX('計算A'!ED$110:ED$114,$F9+1)+IF(AND($E9=1,RD9=0),1000,0)),1000000))</f>
        <v/>
      </c>
      <c r="AAL9">
        <f>IF($B9=0,1000000,IF(INDEX('計算A'!$D$60:$II$104,$B9,132)*HX9=1,IF(AND($E9=2,RE9=0),1000000,INDEX('計算A'!EE$110:EE$114,$F9+1)+IF(AND($E9=1,RE9=0),1000,0)),1000000))</f>
        <v/>
      </c>
      <c r="AAM9">
        <f>IF($B9=0,1000000,IF(INDEX('計算A'!$D$60:$II$104,$B9,133)*HY9=1,IF(AND($E9=2,RF9=0),1000000,INDEX('計算A'!EF$110:EF$114,$F9+1)+IF(AND($E9=1,RF9=0),1000,0)),1000000))</f>
        <v/>
      </c>
      <c r="AAN9">
        <f>IF($B9=0,1000000,IF(INDEX('計算A'!$D$60:$II$104,$B9,134)*HZ9=1,IF(AND($E9=2,RG9=0),1000000,INDEX('計算A'!EG$110:EG$114,$F9+1)+IF(AND($E9=1,RG9=0),1000,0)),1000000))</f>
        <v/>
      </c>
      <c r="AAO9">
        <f>IF($B9=0,1000000,IF(INDEX('計算A'!$D$60:$II$104,$B9,135)*IA9=1,IF(AND($E9=2,RH9=0),1000000,INDEX('計算A'!EH$110:EH$114,$F9+1)+IF(AND($E9=1,RH9=0),1000,0)),1000000))</f>
        <v/>
      </c>
      <c r="AAP9">
        <f>IF($B9=0,1000000,IF(INDEX('計算A'!$D$60:$II$104,$B9,136)*IB9=1,IF(AND($E9=2,RI9=0),1000000,INDEX('計算A'!EI$110:EI$114,$F9+1)+IF(AND($E9=1,RI9=0),1000,0)),1000000))</f>
        <v/>
      </c>
      <c r="AAQ9">
        <f>IF($B9=0,1000000,IF(INDEX('計算A'!$D$60:$II$104,$B9,137)*IC9=1,IF(AND($E9=2,RJ9=0),1000000,INDEX('計算A'!EJ$110:EJ$114,$F9+1)+IF(AND($E9=1,RJ9=0),1000,0)),1000000))</f>
        <v/>
      </c>
      <c r="AAR9">
        <f>IF($B9=0,1000000,IF(INDEX('計算A'!$D$60:$II$104,$B9,138)*ID9=1,IF(AND($E9=2,RK9=0),1000000,INDEX('計算A'!EK$110:EK$114,$F9+1)+IF(AND($E9=1,RK9=0),1000,0)),1000000))</f>
        <v/>
      </c>
      <c r="AAS9">
        <f>IF($B9=0,1000000,IF(INDEX('計算A'!$D$60:$II$104,$B9,139)*IE9=1,IF(AND($E9=2,RL9=0),1000000,INDEX('計算A'!EL$110:EL$114,$F9+1)+IF(AND($E9=1,RL9=0),1000,0)),1000000))</f>
        <v/>
      </c>
      <c r="AAT9">
        <f>IF($B9=0,1000000,IF(INDEX('計算A'!$D$60:$II$104,$B9,140)*IF9=1,IF(AND($E9=2,RM9=0),1000000,INDEX('計算A'!EM$110:EM$114,$F9+1)+IF(AND($E9=1,RM9=0),1000,0)),1000000))</f>
        <v/>
      </c>
      <c r="AAU9">
        <f>IF($B9=0,1000000,IF(INDEX('計算A'!$D$60:$II$104,$B9,141)*IG9=1,IF(AND($E9=2,RN9=0),1000000,INDEX('計算A'!EN$110:EN$114,$F9+1)+IF(AND($E9=1,RN9=0),1000,0)),1000000))</f>
        <v/>
      </c>
      <c r="AAV9">
        <f>IF($B9=0,1000000,IF(INDEX('計算A'!$D$60:$II$104,$B9,142)*IH9=1,IF(AND($E9=2,RO9=0),1000000,INDEX('計算A'!EO$110:EO$114,$F9+1)+IF(AND($E9=1,RO9=0),1000,0)),1000000))</f>
        <v/>
      </c>
      <c r="AAW9">
        <f>IF($B9=0,1000000,IF(INDEX('計算A'!$D$60:$II$104,$B9,143)*II9=1,IF(AND($E9=2,RP9=0),1000000,INDEX('計算A'!EP$110:EP$114,$F9+1)+IF(AND($E9=1,RP9=0),1000,0)),1000000))</f>
        <v/>
      </c>
      <c r="AAX9">
        <f>IF($B9=0,1000000,IF(INDEX('計算A'!$D$60:$II$104,$B9,144)*IJ9=1,IF(AND($E9=2,RQ9=0),1000000,INDEX('計算A'!EQ$110:EQ$114,$F9+1)+IF(AND($E9=1,RQ9=0),1000,0)),1000000))</f>
        <v/>
      </c>
      <c r="AAY9">
        <f>IF($B9=0,1000000,IF(INDEX('計算A'!$D$60:$II$104,$B9,145)*IK9=1,IF(AND($E9=2,RR9=0),1000000,INDEX('計算A'!ER$110:ER$114,$F9+1)+IF(AND($E9=1,RR9=0),1000,0)),1000000))</f>
        <v/>
      </c>
      <c r="AAZ9">
        <f>IF($B9=0,1000000,IF(INDEX('計算A'!$D$60:$II$104,$B9,146)*IL9=1,IF(AND($E9=2,RS9=0),1000000,INDEX('計算A'!ES$110:ES$114,$F9+1)+IF(AND($E9=1,RS9=0),1000,0)),1000000))</f>
        <v/>
      </c>
      <c r="ABA9">
        <f>IF($B9=0,1000000,IF(INDEX('計算A'!$D$60:$II$104,$B9,147)*IM9=1,IF(AND($E9=2,RT9=0),1000000,INDEX('計算A'!ET$110:ET$114,$F9+1)+IF(AND($E9=1,RT9=0),1000,0)),1000000))</f>
        <v/>
      </c>
      <c r="ABB9">
        <f>IF($B9=0,1000000,IF(INDEX('計算A'!$D$60:$II$104,$B9,148)*IN9=1,IF(AND($E9=2,RU9=0),1000000,INDEX('計算A'!EU$110:EU$114,$F9+1)+IF(AND($E9=1,RU9=0),1000,0)),1000000))</f>
        <v/>
      </c>
      <c r="ABC9">
        <f>IF($B9=0,1000000,IF(INDEX('計算A'!$D$60:$II$104,$B9,149)*IO9=1,IF(AND($E9=2,RV9=0),1000000,INDEX('計算A'!EV$110:EV$114,$F9+1)+IF(AND($E9=1,RV9=0),1000,0)),1000000))</f>
        <v/>
      </c>
      <c r="ABD9">
        <f>IF($B9=0,1000000,IF(INDEX('計算A'!$D$60:$II$104,$B9,150)*IP9=1,IF(AND($E9=2,RW9=0),1000000,INDEX('計算A'!EW$110:EW$114,$F9+1)+IF(AND($E9=1,RW9=0),1000,0)),1000000))</f>
        <v/>
      </c>
      <c r="ABE9">
        <f>IF($B9=0,1000000,IF(INDEX('計算A'!$D$60:$II$104,$B9,151)*IQ9=1,IF(AND($E9=2,RX9=0),1000000,INDEX('計算A'!EX$110:EX$114,$F9+1)+IF(AND($E9=1,RX9=0),1000,0)),1000000))</f>
        <v/>
      </c>
      <c r="ABF9">
        <f>IF($B9=0,1000000,IF(INDEX('計算A'!$D$60:$II$104,$B9,152)*IR9=1,IF(AND($E9=2,RY9=0),1000000,INDEX('計算A'!EY$110:EY$114,$F9+1)+IF(AND($E9=1,RY9=0),1000,0)),1000000))</f>
        <v/>
      </c>
      <c r="ABG9">
        <f>IF($B9=0,1000000,IF(INDEX('計算A'!$D$60:$II$104,$B9,153)*IS9=1,IF(AND($E9=2,RZ9=0),1000000,INDEX('計算A'!EZ$110:EZ$114,$F9+1)+IF(AND($E9=1,RZ9=0),1000,0)),1000000))</f>
        <v/>
      </c>
      <c r="ABH9">
        <f>IF($B9=0,1000000,IF(INDEX('計算A'!$D$60:$II$104,$B9,154)*IT9=1,IF(AND($E9=2,SA9=0),1000000,INDEX('計算A'!FA$110:FA$114,$F9+1)+IF(AND($E9=1,SA9=0),1000,0)),1000000))</f>
        <v/>
      </c>
      <c r="ABI9">
        <f>IF($B9=0,1000000,IF(INDEX('計算A'!$D$60:$II$104,$B9,155)*IU9=1,IF(AND($E9=2,SB9=0),1000000,INDEX('計算A'!FB$110:FB$114,$F9+1)+IF(AND($E9=1,SB9=0),1000,0)),1000000))</f>
        <v/>
      </c>
      <c r="ABJ9">
        <f>IF($B9=0,1000000,IF(INDEX('計算A'!$D$60:$II$104,$B9,156)*IV9=1,IF(AND($E9=2,SC9=0),1000000,INDEX('計算A'!FC$110:FC$114,$F9+1)+IF(AND($E9=1,SC9=0),1000,0)),1000000))</f>
        <v/>
      </c>
      <c r="ABK9">
        <f>IF($B9=0,1000000,IF(INDEX('計算A'!$D$60:$II$104,$B9,157)*IW9=1,IF(AND($E9=2,SD9=0),1000000,INDEX('計算A'!FD$110:FD$114,$F9+1)+IF(AND($E9=1,SD9=0),1000,0)),1000000))</f>
        <v/>
      </c>
      <c r="ABL9">
        <f>IF($B9=0,1000000,IF(INDEX('計算A'!$D$60:$II$104,$B9,158)*IX9=1,IF(AND($E9=2,SE9=0),1000000,INDEX('計算A'!FE$110:FE$114,$F9+1)+IF(AND($E9=1,SE9=0),1000,0)),1000000))</f>
        <v/>
      </c>
      <c r="ABM9">
        <f>IF($B9=0,1000000,IF(INDEX('計算A'!$D$60:$II$104,$B9,159)*IY9=1,IF(AND($E9=2,SF9=0),1000000,INDEX('計算A'!FF$110:FF$114,$F9+1)+IF(AND($E9=1,SF9=0),1000,0)),1000000))</f>
        <v/>
      </c>
      <c r="ABN9">
        <f>IF($B9=0,1000000,IF(INDEX('計算A'!$D$60:$II$104,$B9,160)*IZ9=1,IF(AND($E9=2,SG9=0),1000000,INDEX('計算A'!FG$110:FG$114,$F9+1)+IF(AND($E9=1,SG9=0),1000,0)),1000000))</f>
        <v/>
      </c>
      <c r="ABO9">
        <f>IF($B9=0,1000000,IF(INDEX('計算A'!$D$60:$II$104,$B9,161)*JA9=1,IF(AND($E9=2,SH9=0),1000000,INDEX('計算A'!FH$110:FH$114,$F9+1)+IF(AND($E9=1,SH9=0),1000,0)),1000000))</f>
        <v/>
      </c>
      <c r="ABP9">
        <f>IF($B9=0,1000000,IF(INDEX('計算A'!$D$60:$II$104,$B9,162)*JB9=1,IF(AND($E9=2,SI9=0),1000000,INDEX('計算A'!FI$110:FI$114,$F9+1)+IF(AND($E9=1,SI9=0),1000,0)),1000000))</f>
        <v/>
      </c>
      <c r="ABQ9">
        <f>IF($B9=0,1000000,IF(INDEX('計算A'!$D$60:$II$104,$B9,163)*JC9=1,IF(AND($E9=2,SJ9=0),1000000,INDEX('計算A'!FJ$110:FJ$114,$F9+1)+IF(AND($E9=1,SJ9=0),1000,0)),1000000))</f>
        <v/>
      </c>
      <c r="ABR9">
        <f>IF($B9=0,1000000,IF(INDEX('計算A'!$D$60:$II$104,$B9,164)*JD9=1,IF(AND($E9=2,SK9=0),1000000,INDEX('計算A'!FK$110:FK$114,$F9+1)+IF(AND($E9=1,SK9=0),1000,0)),1000000))</f>
        <v/>
      </c>
      <c r="ABS9">
        <f>IF($B9=0,1000000,IF(INDEX('計算A'!$D$60:$II$104,$B9,165)*JE9=1,IF(AND($E9=2,SL9=0),1000000,INDEX('計算A'!FL$110:FL$114,$F9+1)+IF(AND($E9=1,SL9=0),1000,0)),1000000))</f>
        <v/>
      </c>
      <c r="ABT9">
        <f>IF($B9=0,1000000,IF(INDEX('計算A'!$D$60:$II$104,$B9,166)*JF9=1,IF(AND($E9=2,SM9=0),1000000,INDEX('計算A'!FM$110:FM$114,$F9+1)+IF(AND($E9=1,SM9=0),1000,0)),1000000))</f>
        <v/>
      </c>
      <c r="ABU9">
        <f>IF($B9=0,1000000,IF(INDEX('計算A'!$D$60:$II$104,$B9,167)*JG9=1,IF(AND($E9=2,SN9=0),1000000,INDEX('計算A'!FN$110:FN$114,$F9+1)+IF(AND($E9=1,SN9=0),1000,0)),1000000))</f>
        <v/>
      </c>
      <c r="ABV9">
        <f>IF($B9=0,1000000,IF(INDEX('計算A'!$D$60:$II$104,$B9,168)*JH9=1,IF(AND($E9=2,SO9=0),1000000,INDEX('計算A'!FO$110:FO$114,$F9+1)+IF(AND($E9=1,SO9=0),1000,0)),1000000))</f>
        <v/>
      </c>
      <c r="ABW9">
        <f>IF($B9=0,1000000,IF(INDEX('計算A'!$D$60:$II$104,$B9,169)*JI9=1,IF(AND($E9=2,SP9=0),1000000,INDEX('計算A'!FP$110:FP$114,$F9+1)+IF(AND($E9=1,SP9=0),1000,0)),1000000))</f>
        <v/>
      </c>
      <c r="ABX9">
        <f>IF($B9=0,1000000,IF(INDEX('計算A'!$D$60:$II$104,$B9,170)*JJ9=1,IF(AND($E9=2,SQ9=0),1000000,INDEX('計算A'!FQ$110:FQ$114,$F9+1)+IF(AND($E9=1,SQ9=0),1000,0)),1000000))</f>
        <v/>
      </c>
      <c r="ABY9">
        <f>IF($B9=0,1000000,IF(INDEX('計算A'!$D$60:$II$104,$B9,171)*JK9=1,IF(AND($E9=2,SR9=0),1000000,INDEX('計算A'!FR$110:FR$114,$F9+1)+IF(AND($E9=1,SR9=0),1000,0)),1000000))</f>
        <v/>
      </c>
      <c r="ABZ9">
        <f>IF($B9=0,1000000,IF(INDEX('計算A'!$D$60:$II$104,$B9,172)*JL9=1,IF(AND($E9=2,SS9=0),1000000,INDEX('計算A'!FS$110:FS$114,$F9+1)+IF(AND($E9=1,SS9=0),1000,0)),1000000))</f>
        <v/>
      </c>
      <c r="ACA9">
        <f>IF($B9=0,1000000,IF(INDEX('計算A'!$D$60:$II$104,$B9,173)*JM9=1,IF(AND($E9=2,ST9=0),1000000,INDEX('計算A'!FT$110:FT$114,$F9+1)+IF(AND($E9=1,ST9=0),1000,0)),1000000))</f>
        <v/>
      </c>
      <c r="ACB9">
        <f>IF($B9=0,1000000,IF(INDEX('計算A'!$D$60:$II$104,$B9,174)*JN9=1,IF(AND($E9=2,SU9=0),1000000,INDEX('計算A'!FU$110:FU$114,$F9+1)+IF(AND($E9=1,SU9=0),1000,0)),1000000))</f>
        <v/>
      </c>
      <c r="ACC9">
        <f>IF($B9=0,1000000,IF(INDEX('計算A'!$D$60:$II$104,$B9,175)*JO9=1,IF(AND($E9=2,SV9=0),1000000,INDEX('計算A'!FV$110:FV$114,$F9+1)+IF(AND($E9=1,SV9=0),1000,0)),1000000))</f>
        <v/>
      </c>
      <c r="ACD9">
        <f>IF($B9=0,1000000,IF(INDEX('計算A'!$D$60:$II$104,$B9,176)*JP9=1,IF(AND($E9=2,SW9=0),1000000,INDEX('計算A'!FW$110:FW$114,$F9+1)+IF(AND($E9=1,SW9=0),1000,0)),1000000))</f>
        <v/>
      </c>
      <c r="ACE9">
        <f>IF($B9=0,1000000,IF(INDEX('計算A'!$D$60:$II$104,$B9,177)*JQ9=1,IF(AND($E9=2,SX9=0),1000000,INDEX('計算A'!FX$110:FX$114,$F9+1)+IF(AND($E9=1,SX9=0),1000,0)),1000000))</f>
        <v/>
      </c>
      <c r="ACF9">
        <f>IF($B9=0,1000000,IF(INDEX('計算A'!$D$60:$II$104,$B9,178)*JR9=1,IF(AND($E9=2,SY9=0),1000000,INDEX('計算A'!FY$110:FY$114,$F9+1)+IF(AND($E9=1,SY9=0),1000,0)),1000000))</f>
        <v/>
      </c>
      <c r="ACG9">
        <f>IF($B9=0,1000000,IF(INDEX('計算A'!$D$60:$II$104,$B9,179)*JS9=1,IF(AND($E9=2,SZ9=0),1000000,INDEX('計算A'!FZ$110:FZ$114,$F9+1)+IF(AND($E9=1,SZ9=0),1000,0)),1000000))</f>
        <v/>
      </c>
      <c r="ACH9">
        <f>IF($B9=0,1000000,IF(INDEX('計算A'!$D$60:$II$104,$B9,180)*JT9=1,IF(AND($E9=2,TA9=0),1000000,INDEX('計算A'!GA$110:GA$114,$F9+1)+IF(AND($E9=1,TA9=0),1000,0)),1000000))</f>
        <v/>
      </c>
      <c r="ACI9">
        <f>IF($B9=0,1000000,IF(INDEX('計算A'!$D$60:$II$104,$B9,181)*JU9=1,IF(AND($E9=2,TB9=0),1000000,INDEX('計算A'!GB$110:GB$114,$F9+1)+IF(AND($E9=1,TB9=0),1000,0)),1000000))</f>
        <v/>
      </c>
      <c r="ACJ9">
        <f>IF($B9=0,1000000,IF(INDEX('計算A'!$D$60:$II$104,$B9,182)*JV9=1,IF(AND($E9=2,TC9=0),1000000,INDEX('計算A'!GC$110:GC$114,$F9+1)+IF(AND($E9=1,TC9=0),1000,0)),1000000))</f>
        <v/>
      </c>
      <c r="ACK9">
        <f>IF($B9=0,1000000,IF(INDEX('計算A'!$D$60:$II$104,$B9,183)*JW9=1,IF(AND($E9=2,TD9=0),1000000,INDEX('計算A'!GD$110:GD$114,$F9+1)+IF(AND($E9=1,TD9=0),1000,0)),1000000))</f>
        <v/>
      </c>
      <c r="ACL9">
        <f>IF($B9=0,1000000,IF(INDEX('計算A'!$D$60:$II$104,$B9,184)*JX9=1,IF(AND($E9=2,TE9=0),1000000,INDEX('計算A'!GE$110:GE$114,$F9+1)+IF(AND($E9=1,TE9=0),1000,0)),1000000))</f>
        <v/>
      </c>
      <c r="ACM9">
        <f>IF($B9=0,1000000,IF(INDEX('計算A'!$D$60:$II$104,$B9,185)*JY9=1,IF(AND($E9=2,TF9=0),1000000,INDEX('計算A'!GF$110:GF$114,$F9+1)+IF(AND($E9=1,TF9=0),1000,0)),1000000))</f>
        <v/>
      </c>
      <c r="ACN9">
        <f>IF($B9=0,1000000,IF(INDEX('計算A'!$D$60:$II$104,$B9,186)*JZ9=1,IF(AND($E9=2,TG9=0),1000000,INDEX('計算A'!GG$110:GG$114,$F9+1)+IF(AND($E9=1,TG9=0),1000,0)),1000000))</f>
        <v/>
      </c>
      <c r="ACO9">
        <f>IF($B9=0,1000000,IF(INDEX('計算A'!$D$60:$II$104,$B9,187)*KA9=1,IF(AND($E9=2,TH9=0),1000000,INDEX('計算A'!GH$110:GH$114,$F9+1)+IF(AND($E9=1,TH9=0),1000,0)),1000000))</f>
        <v/>
      </c>
      <c r="ACP9">
        <f>IF($B9=0,1000000,IF(INDEX('計算A'!$D$60:$II$104,$B9,188)*KB9=1,IF(AND($E9=2,TI9=0),1000000,INDEX('計算A'!GI$110:GI$114,$F9+1)+IF(AND($E9=1,TI9=0),1000,0)),1000000))</f>
        <v/>
      </c>
      <c r="ACQ9">
        <f>IF($B9=0,1000000,IF(INDEX('計算A'!$D$60:$II$104,$B9,189)*KC9=1,IF(AND($E9=2,TJ9=0),1000000,INDEX('計算A'!GJ$110:GJ$114,$F9+1)+IF(AND($E9=1,TJ9=0),1000,0)),1000000))</f>
        <v/>
      </c>
      <c r="ACR9">
        <f>IF($B9=0,1000000,IF(INDEX('計算A'!$D$60:$II$104,$B9,190)*KD9=1,IF(AND($E9=2,TK9=0),1000000,INDEX('計算A'!GK$110:GK$114,$F9+1)+IF(AND($E9=1,TK9=0),1000,0)),1000000))</f>
        <v/>
      </c>
      <c r="ACS9">
        <f>IF($B9=0,1000000,IF(INDEX('計算A'!$D$60:$II$104,$B9,191)*KE9=1,IF(AND($E9=2,TL9=0),1000000,INDEX('計算A'!GL$110:GL$114,$F9+1)+IF(AND($E9=1,TL9=0),1000,0)),1000000))</f>
        <v/>
      </c>
      <c r="ACT9">
        <f>IF($B9=0,1000000,IF(INDEX('計算A'!$D$60:$II$104,$B9,192)*KF9=1,IF(AND($E9=2,TM9=0),1000000,INDEX('計算A'!GM$110:GM$114,$F9+1)+IF(AND($E9=1,TM9=0),1000,0)),1000000))</f>
        <v/>
      </c>
      <c r="ACU9">
        <f>IF($B9=0,1000000,IF(INDEX('計算A'!$D$60:$II$104,$B9,193)*KG9=1,IF(AND($E9=2,TN9=0),1000000,INDEX('計算A'!GN$110:GN$114,$F9+1)+IF(AND($E9=1,TN9=0),1000,0)),1000000))</f>
        <v/>
      </c>
      <c r="ACV9">
        <f>IF($B9=0,1000000,IF(INDEX('計算A'!$D$60:$II$104,$B9,194)*KH9=1,IF(AND($E9=2,TO9=0),1000000,INDEX('計算A'!GO$110:GO$114,$F9+1)+IF(AND($E9=1,TO9=0),1000,0)),1000000))</f>
        <v/>
      </c>
      <c r="ACW9">
        <f>IF($B9=0,1000000,IF(INDEX('計算A'!$D$60:$II$104,$B9,195)*KI9=1,IF(AND($E9=2,TP9=0),1000000,INDEX('計算A'!GP$110:GP$114,$F9+1)+IF(AND($E9=1,TP9=0),1000,0)),1000000))</f>
        <v/>
      </c>
      <c r="ACX9">
        <f>IF($B9=0,1000000,IF(INDEX('計算A'!$D$60:$II$104,$B9,196)*KJ9=1,IF(AND($E9=2,TQ9=0),1000000,INDEX('計算A'!GQ$110:GQ$114,$F9+1)+IF(AND($E9=1,TQ9=0),1000,0)),1000000))</f>
        <v/>
      </c>
      <c r="ACY9">
        <f>IF($B9=0,1000000,IF(INDEX('計算A'!$D$60:$II$104,$B9,197)*KK9=1,IF(AND($E9=2,TR9=0),1000000,INDEX('計算A'!GR$110:GR$114,$F9+1)+IF(AND($E9=1,TR9=0),1000,0)),1000000))</f>
        <v/>
      </c>
      <c r="ACZ9">
        <f>IF($B9=0,1000000,IF(INDEX('計算A'!$D$60:$II$104,$B9,198)*KL9=1,IF(AND($E9=2,TS9=0),1000000,INDEX('計算A'!GS$110:GS$114,$F9+1)+IF(AND($E9=1,TS9=0),1000,0)),1000000))</f>
        <v/>
      </c>
      <c r="ADA9">
        <f>IF($B9=0,1000000,IF(INDEX('計算A'!$D$60:$II$104,$B9,199)*KM9=1,IF(AND($E9=2,TT9=0),1000000,INDEX('計算A'!GT$110:GT$114,$F9+1)+IF(AND($E9=1,TT9=0),1000,0)),1000000))</f>
        <v/>
      </c>
      <c r="ADB9">
        <f>IF($B9=0,1000000,IF(INDEX('計算A'!$D$60:$II$104,$B9,200)*KN9=1,IF(AND($E9=2,TU9=0),1000000,INDEX('計算A'!GU$110:GU$114,$F9+1)+IF(AND($E9=1,TU9=0),1000,0)),1000000))</f>
        <v/>
      </c>
      <c r="ADC9">
        <f>IF($B9=0,1000000,IF(INDEX('計算A'!$D$60:$II$104,$B9,201)*KO9=1,IF(AND($E9=2,TV9=0),1000000,INDEX('計算A'!GV$110:GV$114,$F9+1)+IF(AND($E9=1,TV9=0),1000,0)),1000000))</f>
        <v/>
      </c>
      <c r="ADD9">
        <f>IF($B9=0,1000000,IF(INDEX('計算A'!$D$60:$II$104,$B9,202)*KP9=1,IF(AND($E9=2,TW9=0),1000000,INDEX('計算A'!GW$110:GW$114,$F9+1)+IF(AND($E9=1,TW9=0),1000,0)),1000000))</f>
        <v/>
      </c>
      <c r="ADE9">
        <f>IF($B9=0,1000000,IF(INDEX('計算A'!$D$60:$II$104,$B9,203)*KQ9=1,IF(AND($E9=2,TX9=0),1000000,INDEX('計算A'!GX$110:GX$114,$F9+1)+IF(AND($E9=1,TX9=0),1000,0)),1000000))</f>
        <v/>
      </c>
      <c r="ADF9">
        <f>IF($B9=0,1000000,IF(INDEX('計算A'!$D$60:$II$104,$B9,204)*KR9=1,IF(AND($E9=2,TY9=0),1000000,INDEX('計算A'!GY$110:GY$114,$F9+1)+IF(AND($E9=1,TY9=0),1000,0)),1000000))</f>
        <v/>
      </c>
      <c r="ADG9">
        <f>IF($B9=0,1000000,IF(INDEX('計算A'!$D$60:$II$104,$B9,205)*KS9=1,IF(AND($E9=2,TZ9=0),1000000,INDEX('計算A'!GZ$110:GZ$114,$F9+1)+IF(AND($E9=1,TZ9=0),1000,0)),1000000))</f>
        <v/>
      </c>
      <c r="ADH9">
        <f>IF($B9=0,1000000,IF(INDEX('計算A'!$D$60:$II$104,$B9,206)*KT9=1,IF(AND($E9=2,UA9=0),1000000,INDEX('計算A'!HA$110:HA$114,$F9+1)+IF(AND($E9=1,UA9=0),1000,0)),1000000))</f>
        <v/>
      </c>
      <c r="ADI9">
        <f>IF($B9=0,1000000,IF(INDEX('計算A'!$D$60:$II$104,$B9,207)*KU9=1,IF(AND($E9=2,UB9=0),1000000,INDEX('計算A'!HB$110:HB$114,$F9+1)+IF(AND($E9=1,UB9=0),1000,0)),1000000))</f>
        <v/>
      </c>
      <c r="ADJ9">
        <f>IF($B9=0,1000000,IF(INDEX('計算A'!$D$60:$II$104,$B9,208)*KV9=1,IF(AND($E9=2,UC9=0),1000000,INDEX('計算A'!HC$110:HC$114,$F9+1)+IF(AND($E9=1,UC9=0),1000,0)),1000000))</f>
        <v/>
      </c>
      <c r="ADK9">
        <f>IF($B9=0,1000000,IF(INDEX('計算A'!$D$60:$II$104,$B9,209)*KW9=1,IF(AND($E9=2,UD9=0),1000000,INDEX('計算A'!HD$110:HD$114,$F9+1)+IF(AND($E9=1,UD9=0),1000,0)),1000000))</f>
        <v/>
      </c>
      <c r="ADL9">
        <f>IF($B9=0,1000000,IF(INDEX('計算A'!$D$60:$II$104,$B9,210)*KX9=1,IF(AND($E9=2,UE9=0),1000000,INDEX('計算A'!HE$110:HE$114,$F9+1)+IF(AND($E9=1,UE9=0),1000,0)),1000000))</f>
        <v/>
      </c>
      <c r="ADM9">
        <f>IF($B9=0,1000000,IF(INDEX('計算A'!$D$60:$II$104,$B9,211)*KY9=1,IF(AND($E9=2,UF9=0),1000000,INDEX('計算A'!HF$110:HF$114,$F9+1)+IF(AND($E9=1,UF9=0),1000,0)),1000000))</f>
        <v/>
      </c>
      <c r="ADN9">
        <f>IF($B9=0,1000000,IF(INDEX('計算A'!$D$60:$II$104,$B9,212)*KZ9=1,IF(AND($E9=2,UG9=0),1000000,INDEX('計算A'!HG$110:HG$114,$F9+1)+IF(AND($E9=1,UG9=0),1000,0)),1000000))</f>
        <v/>
      </c>
      <c r="ADO9">
        <f>IF($B9=0,1000000,IF(INDEX('計算A'!$D$60:$II$104,$B9,213)*LA9=1,IF(AND($E9=2,UH9=0),1000000,INDEX('計算A'!HH$110:HH$114,$F9+1)+IF(AND($E9=1,UH9=0),1000,0)),1000000))</f>
        <v/>
      </c>
      <c r="ADP9">
        <f>IF($B9=0,1000000,IF(INDEX('計算A'!$D$60:$II$104,$B9,214)*LB9=1,IF(AND($E9=2,UI9=0),1000000,INDEX('計算A'!HI$110:HI$114,$F9+1)+IF(AND($E9=1,UI9=0),1000,0)),1000000))</f>
        <v/>
      </c>
      <c r="ADQ9">
        <f>IF($B9=0,1000000,IF(INDEX('計算A'!$D$60:$II$104,$B9,215)*LC9=1,IF(AND($E9=2,UJ9=0),1000000,INDEX('計算A'!HJ$110:HJ$114,$F9+1)+IF(AND($E9=1,UJ9=0),1000,0)),1000000))</f>
        <v/>
      </c>
      <c r="ADR9">
        <f>IF($B9=0,1000000,IF(INDEX('計算A'!$D$60:$II$104,$B9,216)*LD9=1,IF(AND($E9=2,UK9=0),1000000,INDEX('計算A'!HK$110:HK$114,$F9+1)+IF(AND($E9=1,UK9=0),1000,0)),1000000))</f>
        <v/>
      </c>
      <c r="ADS9">
        <f>IF($B9=0,1000000,IF(INDEX('計算A'!$D$60:$II$104,$B9,217)*LE9=1,IF(AND($E9=2,UL9=0),1000000,INDEX('計算A'!HL$110:HL$114,$F9+1)+IF(AND($E9=1,UL9=0),1000,0)),1000000))</f>
        <v/>
      </c>
      <c r="ADT9">
        <f>IF($B9=0,1000000,IF(INDEX('計算A'!$D$60:$II$104,$B9,218)*LF9=1,IF(AND($E9=2,UM9=0),1000000,INDEX('計算A'!HM$110:HM$114,$F9+1)+IF(AND($E9=1,UM9=0),1000,0)),1000000))</f>
        <v/>
      </c>
      <c r="ADU9">
        <f>IF($B9=0,1000000,IF(INDEX('計算A'!$D$60:$II$104,$B9,219)*LG9=1,IF(AND($E9=2,UN9=0),1000000,INDEX('計算A'!HN$110:HN$114,$F9+1)+IF(AND($E9=1,UN9=0),1000,0)),1000000))</f>
        <v/>
      </c>
      <c r="ADV9">
        <f>IF($B9=0,1000000,IF(INDEX('計算A'!$D$60:$II$104,$B9,220)*LH9=1,IF(AND($E9=2,UO9=0),1000000,INDEX('計算A'!HO$110:HO$114,$F9+1)+IF(AND($E9=1,UO9=0),1000,0)),1000000))</f>
        <v/>
      </c>
      <c r="ADW9">
        <f>IF($B9=0,1000000,IF(INDEX('計算A'!$D$60:$II$104,$B9,221)*LI9=1,IF(AND($E9=2,UP9=0),1000000,INDEX('計算A'!HP$110:HP$114,$F9+1)+IF(AND($E9=1,UP9=0),1000,0)),1000000))</f>
        <v/>
      </c>
      <c r="ADX9">
        <f>IF($B9=0,1000000,IF(INDEX('計算A'!$D$60:$II$104,$B9,222)*LJ9=1,IF(AND($E9=2,UQ9=0),1000000,INDEX('計算A'!HQ$110:HQ$114,$F9+1)+IF(AND($E9=1,UQ9=0),1000,0)),1000000))</f>
        <v/>
      </c>
      <c r="ADY9">
        <f>IF($B9=0,1000000,IF(INDEX('計算A'!$D$60:$II$104,$B9,223)*LK9=1,IF(AND($E9=2,UR9=0),1000000,INDEX('計算A'!HR$110:HR$114,$F9+1)+IF(AND($E9=1,UR9=0),1000,0)),1000000))</f>
        <v/>
      </c>
      <c r="ADZ9">
        <f>IF($B9=0,1000000,IF(INDEX('計算A'!$D$60:$II$104,$B9,224)*LL9=1,IF(AND($E9=2,US9=0),1000000,INDEX('計算A'!HS$110:HS$114,$F9+1)+IF(AND($E9=1,US9=0),1000,0)),1000000))</f>
        <v/>
      </c>
      <c r="AEA9">
        <f>IF($B9=0,1000000,IF(INDEX('計算A'!$D$60:$II$104,$B9,225)*LM9=1,IF(AND($E9=2,UT9=0),1000000,INDEX('計算A'!HT$110:HT$114,$F9+1)+IF(AND($E9=1,UT9=0),1000,0)),1000000))</f>
        <v/>
      </c>
      <c r="AEB9">
        <f>IF($B9=0,1000000,IF(INDEX('計算A'!$D$60:$II$104,$B9,226)*LN9=1,IF(AND($E9=2,UU9=0),1000000,INDEX('計算A'!HU$110:HU$114,$F9+1)+IF(AND($E9=1,UU9=0),1000,0)),1000000))</f>
        <v/>
      </c>
      <c r="AEC9">
        <f>IF($B9=0,1000000,IF(INDEX('計算A'!$D$60:$II$104,$B9,227)*LO9=1,IF(AND($E9=2,UV9=0),1000000,INDEX('計算A'!HV$110:HV$114,$F9+1)+IF(AND($E9=1,UV9=0),1000,0)),1000000))</f>
        <v/>
      </c>
      <c r="AED9">
        <f>IF($B9=0,1000000,IF(INDEX('計算A'!$D$60:$II$104,$B9,228)*LP9=1,IF(AND($E9=2,UW9=0),1000000,INDEX('計算A'!HW$110:HW$114,$F9+1)+IF(AND($E9=1,UW9=0),1000,0)),1000000))</f>
        <v/>
      </c>
      <c r="AEE9">
        <f>IF($B9=0,1000000,IF(INDEX('計算A'!$D$60:$II$104,$B9,229)*LQ9=1,IF(AND($E9=2,UX9=0),1000000,INDEX('計算A'!HX$110:HX$114,$F9+1)+IF(AND($E9=1,UX9=0),1000,0)),1000000))</f>
        <v/>
      </c>
      <c r="AEF9">
        <f>IF($B9=0,1000000,IF(INDEX('計算A'!$D$60:$II$104,$B9,230)*LR9=1,IF(AND($E9=2,UY9=0),1000000,INDEX('計算A'!HY$110:HY$114,$F9+1)+IF(AND($E9=1,UY9=0),1000,0)),1000000))</f>
        <v/>
      </c>
      <c r="AEG9">
        <f>IF($B9=0,1000000,IF(INDEX('計算A'!$D$60:$II$104,$B9,231)*LS9=1,IF(AND($E9=2,UZ9=0),1000000,INDEX('計算A'!HZ$110:HZ$114,$F9+1)+IF(AND($E9=1,UZ9=0),1000,0)),1000000))</f>
        <v/>
      </c>
      <c r="AEH9">
        <f>IF($B9=0,1000000,IF(INDEX('計算A'!$D$60:$II$104,$B9,232)*LT9=1,IF(AND($E9=2,VA9=0),1000000,INDEX('計算A'!IA$110:IA$114,$F9+1)+IF(AND($E9=1,VA9=0),1000,0)),1000000))</f>
        <v/>
      </c>
      <c r="AEI9">
        <f>IF($B9=0,1000000,IF(INDEX('計算A'!$D$60:$II$104,$B9,233)*LU9=1,IF(AND($E9=2,VB9=0),1000000,INDEX('計算A'!IB$110:IB$114,$F9+1)+IF(AND($E9=1,VB9=0),1000,0)),1000000))</f>
        <v/>
      </c>
      <c r="AEJ9">
        <f>IF($B9=0,1000000,IF(INDEX('計算A'!$D$60:$II$104,$B9,234)*LV9=1,IF(AND($E9=2,VC9=0),1000000,INDEX('計算A'!IC$110:IC$114,$F9+1)+IF(AND($E9=1,VC9=0),1000,0)),1000000))</f>
        <v/>
      </c>
      <c r="AEK9">
        <f>IF($B9=0,1000000,IF(INDEX('計算A'!$D$60:$II$104,$B9,235)*LW9=1,IF(AND($E9=2,VD9=0),1000000,INDEX('計算A'!ID$110:ID$114,$F9+1)+IF(AND($E9=1,VD9=0),1000,0)),1000000))</f>
        <v/>
      </c>
      <c r="AEL9">
        <f>IF($B9=0,1000000,IF(INDEX('計算A'!$D$60:$II$104,$B9,236)*LX9=1,IF(AND($E9=2,VE9=0),1000000,INDEX('計算A'!IE$110:IE$114,$F9+1)+IF(AND($E9=1,VE9=0),1000,0)),1000000))</f>
        <v/>
      </c>
      <c r="AEM9">
        <f>IF($B9=0,1000000,IF(INDEX('計算A'!$D$60:$II$104,$B9,237)*LY9=1,IF(AND($E9=2,VF9=0),1000000,INDEX('計算A'!IF$110:IF$114,$F9+1)+IF(AND($E9=1,VF9=0),1000,0)),1000000))</f>
        <v/>
      </c>
      <c r="AEN9">
        <f>IF($B9=0,1000000,IF(INDEX('計算A'!$D$60:$II$104,$B9,238)*LZ9=1,IF(AND($E9=2,VG9=0),1000000,INDEX('計算A'!IG$110:IG$114,$F9+1)+IF(AND($E9=1,VG9=0),1000,0)),1000000))</f>
        <v/>
      </c>
      <c r="AEO9">
        <f>IF($B9=0,1000000,IF(INDEX('計算A'!$D$60:$II$104,$B9,239)*MA9=1,IF(AND($E9=2,VH9=0),1000000,INDEX('計算A'!IH$110:IH$114,$F9+1)+IF(AND($E9=1,VH9=0),1000,0)),1000000))</f>
        <v/>
      </c>
      <c r="AEP9">
        <f>IF($B9=0,1000000,IF(INDEX('計算A'!$D$60:$II$104,$B9,240)*MB9=1,IF(AND($E9=2,VI9=0),1000000,INDEX('計算A'!II$110:II$114,$F9+1)+IF(AND($E9=1,VI9=0),1000,0)),1000000))</f>
        <v/>
      </c>
    </row>
    <row r="10">
      <c r="A10" t="n">
        <v>8</v>
      </c>
      <c r="B10">
        <f>IF(MIN(BC10:CU10)&gt;=1000000,0,MATCH(MIN(BC10:CU10),BC10:CU10,0))</f>
        <v/>
      </c>
      <c r="C10">
        <f>IF(MIN(VK10:AEP10)&gt;=1000000,0,MATCH(MIN(VK10:AEP10),VK10:AEP10,0))</f>
        <v/>
      </c>
      <c r="D10">
        <f>IF(C10&gt;0,INDEX('計算A'!$D$5:$II$5,C10),0)</f>
        <v/>
      </c>
      <c r="E10">
        <f>IF(B10=0,0,INDEX('計算A'!$IQ$10:$IQ$54,B10))</f>
        <v/>
      </c>
      <c r="F10">
        <f>IF(B10=0,0,INDEX('計算A'!$IP$10:$IP$54,B10))</f>
        <v/>
      </c>
      <c r="G10">
        <f>IF(AND(C10&gt;0,E10&gt;0),IF(AND(INDEX('計算A'!$D$106:$II$106,C10)=1,INDEX($MD10:$VI10,C10)=1),C10+1,0),0)</f>
        <v/>
      </c>
      <c r="I10">
        <f>MAX(I9,IF($B9=1,1,0))</f>
        <v/>
      </c>
      <c r="J10">
        <f>MAX(J9,IF($B9=2,1,0))</f>
        <v/>
      </c>
      <c r="K10">
        <f>MAX(K9,IF($B9=3,1,0))</f>
        <v/>
      </c>
      <c r="L10">
        <f>MAX(L9,IF($B9=4,1,0))</f>
        <v/>
      </c>
      <c r="M10">
        <f>MAX(M9,IF($B9=5,1,0))</f>
        <v/>
      </c>
      <c r="N10">
        <f>MAX(N9,IF($B9=6,1,0))</f>
        <v/>
      </c>
      <c r="O10">
        <f>MAX(O9,IF($B9=7,1,0))</f>
        <v/>
      </c>
      <c r="P10">
        <f>MAX(P9,IF($B9=8,1,0))</f>
        <v/>
      </c>
      <c r="Q10">
        <f>MAX(Q9,IF($B9=9,1,0))</f>
        <v/>
      </c>
      <c r="R10">
        <f>MAX(R9,IF($B9=10,1,0))</f>
        <v/>
      </c>
      <c r="S10">
        <f>MAX(S9,IF($B9=11,1,0))</f>
        <v/>
      </c>
      <c r="T10">
        <f>MAX(T9,IF($B9=12,1,0))</f>
        <v/>
      </c>
      <c r="U10">
        <f>MAX(U9,IF($B9=13,1,0))</f>
        <v/>
      </c>
      <c r="V10">
        <f>MAX(V9,IF($B9=14,1,0))</f>
        <v/>
      </c>
      <c r="W10">
        <f>MAX(W9,IF($B9=15,1,0))</f>
        <v/>
      </c>
      <c r="X10">
        <f>MAX(X9,IF($B9=16,1,0))</f>
        <v/>
      </c>
      <c r="Y10">
        <f>MAX(Y9,IF($B9=17,1,0))</f>
        <v/>
      </c>
      <c r="Z10">
        <f>MAX(Z9,IF($B9=18,1,0))</f>
        <v/>
      </c>
      <c r="AA10">
        <f>MAX(AA9,IF($B9=19,1,0))</f>
        <v/>
      </c>
      <c r="AB10">
        <f>MAX(AB9,IF($B9=20,1,0))</f>
        <v/>
      </c>
      <c r="AC10">
        <f>MAX(AC9,IF($B9=21,1,0))</f>
        <v/>
      </c>
      <c r="AD10">
        <f>MAX(AD9,IF($B9=22,1,0))</f>
        <v/>
      </c>
      <c r="AE10">
        <f>MAX(AE9,IF($B9=23,1,0))</f>
        <v/>
      </c>
      <c r="AF10">
        <f>MAX(AF9,IF($B9=24,1,0))</f>
        <v/>
      </c>
      <c r="AG10">
        <f>MAX(AG9,IF($B9=25,1,0))</f>
        <v/>
      </c>
      <c r="AH10">
        <f>MAX(AH9,IF($B9=26,1,0))</f>
        <v/>
      </c>
      <c r="AI10">
        <f>MAX(AI9,IF($B9=27,1,0))</f>
        <v/>
      </c>
      <c r="AJ10">
        <f>MAX(AJ9,IF($B9=28,1,0))</f>
        <v/>
      </c>
      <c r="AK10">
        <f>MAX(AK9,IF($B9=29,1,0))</f>
        <v/>
      </c>
      <c r="AL10">
        <f>MAX(AL9,IF($B9=30,1,0))</f>
        <v/>
      </c>
      <c r="AM10">
        <f>MAX(AM9,IF($B9=31,1,0))</f>
        <v/>
      </c>
      <c r="AN10">
        <f>MAX(AN9,IF($B9=32,1,0))</f>
        <v/>
      </c>
      <c r="AO10">
        <f>MAX(AO9,IF($B9=33,1,0))</f>
        <v/>
      </c>
      <c r="AP10">
        <f>MAX(AP9,IF($B9=34,1,0))</f>
        <v/>
      </c>
      <c r="AQ10">
        <f>MAX(AQ9,IF($B9=35,1,0))</f>
        <v/>
      </c>
      <c r="AR10">
        <f>MAX(AR9,IF($B9=36,1,0))</f>
        <v/>
      </c>
      <c r="AS10">
        <f>MAX(AS9,IF($B9=37,1,0))</f>
        <v/>
      </c>
      <c r="AT10">
        <f>MAX(AT9,IF($B9=38,1,0))</f>
        <v/>
      </c>
      <c r="AU10">
        <f>MAX(AU9,IF($B9=39,1,0))</f>
        <v/>
      </c>
      <c r="AV10">
        <f>MAX(AV9,IF($B9=40,1,0))</f>
        <v/>
      </c>
      <c r="AW10">
        <f>MAX(AW9,IF($B9=41,1,0))</f>
        <v/>
      </c>
      <c r="AX10">
        <f>MAX(AX9,IF($B9=42,1,0))</f>
        <v/>
      </c>
      <c r="AY10">
        <f>MAX(AY9,IF($B9=43,1,0))</f>
        <v/>
      </c>
      <c r="AZ10">
        <f>MAX(AZ9,IF($B9=44,1,0))</f>
        <v/>
      </c>
      <c r="BA10">
        <f>MAX(BA9,IF($B9=45,1,0))</f>
        <v/>
      </c>
      <c r="BC10">
        <f>IF(I10=1,1000000,IF('計算A'!$IQ$10=2,SUMPRODUCT('計算A'!$D$60:$II$60,$CW10:$MB10,$MD10:$VI10),SUMPRODUCT('計算A'!$D$60:$II$60,$CW10:$MB10))*1000+1)</f>
        <v/>
      </c>
      <c r="BD10">
        <f>IF(J10=1,1000000,IF('計算A'!$IQ$11=2,SUMPRODUCT('計算A'!$D$61:$II$61,$CW10:$MB10,$MD10:$VI10),SUMPRODUCT('計算A'!$D$61:$II$61,$CW10:$MB10))*1000+2)</f>
        <v/>
      </c>
      <c r="BE10">
        <f>IF(K10=1,1000000,IF('計算A'!$IQ$12=2,SUMPRODUCT('計算A'!$D$62:$II$62,$CW10:$MB10,$MD10:$VI10),SUMPRODUCT('計算A'!$D$62:$II$62,$CW10:$MB10))*1000+3)</f>
        <v/>
      </c>
      <c r="BF10">
        <f>IF(L10=1,1000000,IF('計算A'!$IQ$13=2,SUMPRODUCT('計算A'!$D$63:$II$63,$CW10:$MB10,$MD10:$VI10),SUMPRODUCT('計算A'!$D$63:$II$63,$CW10:$MB10))*1000+4)</f>
        <v/>
      </c>
      <c r="BG10">
        <f>IF(M10=1,1000000,IF('計算A'!$IQ$14=2,SUMPRODUCT('計算A'!$D$64:$II$64,$CW10:$MB10,$MD10:$VI10),SUMPRODUCT('計算A'!$D$64:$II$64,$CW10:$MB10))*1000+5)</f>
        <v/>
      </c>
      <c r="BH10">
        <f>IF(N10=1,1000000,IF('計算A'!$IQ$15=2,SUMPRODUCT('計算A'!$D$65:$II$65,$CW10:$MB10,$MD10:$VI10),SUMPRODUCT('計算A'!$D$65:$II$65,$CW10:$MB10))*1000+6)</f>
        <v/>
      </c>
      <c r="BI10">
        <f>IF(O10=1,1000000,IF('計算A'!$IQ$16=2,SUMPRODUCT('計算A'!$D$66:$II$66,$CW10:$MB10,$MD10:$VI10),SUMPRODUCT('計算A'!$D$66:$II$66,$CW10:$MB10))*1000+7)</f>
        <v/>
      </c>
      <c r="BJ10">
        <f>IF(P10=1,1000000,IF('計算A'!$IQ$17=2,SUMPRODUCT('計算A'!$D$67:$II$67,$CW10:$MB10,$MD10:$VI10),SUMPRODUCT('計算A'!$D$67:$II$67,$CW10:$MB10))*1000+8)</f>
        <v/>
      </c>
      <c r="BK10">
        <f>IF(Q10=1,1000000,IF('計算A'!$IQ$18=2,SUMPRODUCT('計算A'!$D$68:$II$68,$CW10:$MB10,$MD10:$VI10),SUMPRODUCT('計算A'!$D$68:$II$68,$CW10:$MB10))*1000+9)</f>
        <v/>
      </c>
      <c r="BL10">
        <f>IF(R10=1,1000000,IF('計算A'!$IQ$19=2,SUMPRODUCT('計算A'!$D$69:$II$69,$CW10:$MB10,$MD10:$VI10),SUMPRODUCT('計算A'!$D$69:$II$69,$CW10:$MB10))*1000+10)</f>
        <v/>
      </c>
      <c r="BM10">
        <f>IF(S10=1,1000000,IF('計算A'!$IQ$20=2,SUMPRODUCT('計算A'!$D$70:$II$70,$CW10:$MB10,$MD10:$VI10),SUMPRODUCT('計算A'!$D$70:$II$70,$CW10:$MB10))*1000+11)</f>
        <v/>
      </c>
      <c r="BN10">
        <f>IF(T10=1,1000000,IF('計算A'!$IQ$21=2,SUMPRODUCT('計算A'!$D$71:$II$71,$CW10:$MB10,$MD10:$VI10),SUMPRODUCT('計算A'!$D$71:$II$71,$CW10:$MB10))*1000+12)</f>
        <v/>
      </c>
      <c r="BO10">
        <f>IF(U10=1,1000000,IF('計算A'!$IQ$22=2,SUMPRODUCT('計算A'!$D$72:$II$72,$CW10:$MB10,$MD10:$VI10),SUMPRODUCT('計算A'!$D$72:$II$72,$CW10:$MB10))*1000+13)</f>
        <v/>
      </c>
      <c r="BP10">
        <f>IF(V10=1,1000000,IF('計算A'!$IQ$23=2,SUMPRODUCT('計算A'!$D$73:$II$73,$CW10:$MB10,$MD10:$VI10),SUMPRODUCT('計算A'!$D$73:$II$73,$CW10:$MB10))*1000+14)</f>
        <v/>
      </c>
      <c r="BQ10">
        <f>IF(W10=1,1000000,IF('計算A'!$IQ$24=2,SUMPRODUCT('計算A'!$D$74:$II$74,$CW10:$MB10,$MD10:$VI10),SUMPRODUCT('計算A'!$D$74:$II$74,$CW10:$MB10))*1000+15)</f>
        <v/>
      </c>
      <c r="BR10">
        <f>IF(X10=1,1000000,IF('計算A'!$IQ$25=2,SUMPRODUCT('計算A'!$D$75:$II$75,$CW10:$MB10,$MD10:$VI10),SUMPRODUCT('計算A'!$D$75:$II$75,$CW10:$MB10))*1000+16)</f>
        <v/>
      </c>
      <c r="BS10">
        <f>IF(Y10=1,1000000,IF('計算A'!$IQ$26=2,SUMPRODUCT('計算A'!$D$76:$II$76,$CW10:$MB10,$MD10:$VI10),SUMPRODUCT('計算A'!$D$76:$II$76,$CW10:$MB10))*1000+17)</f>
        <v/>
      </c>
      <c r="BT10">
        <f>IF(Z10=1,1000000,IF('計算A'!$IQ$27=2,SUMPRODUCT('計算A'!$D$77:$II$77,$CW10:$MB10,$MD10:$VI10),SUMPRODUCT('計算A'!$D$77:$II$77,$CW10:$MB10))*1000+18)</f>
        <v/>
      </c>
      <c r="BU10">
        <f>IF(AA10=1,1000000,IF('計算A'!$IQ$28=2,SUMPRODUCT('計算A'!$D$78:$II$78,$CW10:$MB10,$MD10:$VI10),SUMPRODUCT('計算A'!$D$78:$II$78,$CW10:$MB10))*1000+19)</f>
        <v/>
      </c>
      <c r="BV10">
        <f>IF(AB10=1,1000000,IF('計算A'!$IQ$29=2,SUMPRODUCT('計算A'!$D$79:$II$79,$CW10:$MB10,$MD10:$VI10),SUMPRODUCT('計算A'!$D$79:$II$79,$CW10:$MB10))*1000+20)</f>
        <v/>
      </c>
      <c r="BW10">
        <f>IF(AC10=1,1000000,IF('計算A'!$IQ$30=2,SUMPRODUCT('計算A'!$D$80:$II$80,$CW10:$MB10,$MD10:$VI10),SUMPRODUCT('計算A'!$D$80:$II$80,$CW10:$MB10))*1000+21)</f>
        <v/>
      </c>
      <c r="BX10">
        <f>IF(AD10=1,1000000,IF('計算A'!$IQ$31=2,SUMPRODUCT('計算A'!$D$81:$II$81,$CW10:$MB10,$MD10:$VI10),SUMPRODUCT('計算A'!$D$81:$II$81,$CW10:$MB10))*1000+22)</f>
        <v/>
      </c>
      <c r="BY10">
        <f>IF(AE10=1,1000000,IF('計算A'!$IQ$32=2,SUMPRODUCT('計算A'!$D$82:$II$82,$CW10:$MB10,$MD10:$VI10),SUMPRODUCT('計算A'!$D$82:$II$82,$CW10:$MB10))*1000+23)</f>
        <v/>
      </c>
      <c r="BZ10">
        <f>IF(AF10=1,1000000,IF('計算A'!$IQ$33=2,SUMPRODUCT('計算A'!$D$83:$II$83,$CW10:$MB10,$MD10:$VI10),SUMPRODUCT('計算A'!$D$83:$II$83,$CW10:$MB10))*1000+24)</f>
        <v/>
      </c>
      <c r="CA10">
        <f>IF(AG10=1,1000000,IF('計算A'!$IQ$34=2,SUMPRODUCT('計算A'!$D$84:$II$84,$CW10:$MB10,$MD10:$VI10),SUMPRODUCT('計算A'!$D$84:$II$84,$CW10:$MB10))*1000+25)</f>
        <v/>
      </c>
      <c r="CB10">
        <f>IF(AH10=1,1000000,IF('計算A'!$IQ$35=2,SUMPRODUCT('計算A'!$D$85:$II$85,$CW10:$MB10,$MD10:$VI10),SUMPRODUCT('計算A'!$D$85:$II$85,$CW10:$MB10))*1000+26)</f>
        <v/>
      </c>
      <c r="CC10">
        <f>IF(AI10=1,1000000,IF('計算A'!$IQ$36=2,SUMPRODUCT('計算A'!$D$86:$II$86,$CW10:$MB10,$MD10:$VI10),SUMPRODUCT('計算A'!$D$86:$II$86,$CW10:$MB10))*1000+27)</f>
        <v/>
      </c>
      <c r="CD10">
        <f>IF(AJ10=1,1000000,IF('計算A'!$IQ$37=2,SUMPRODUCT('計算A'!$D$87:$II$87,$CW10:$MB10,$MD10:$VI10),SUMPRODUCT('計算A'!$D$87:$II$87,$CW10:$MB10))*1000+28)</f>
        <v/>
      </c>
      <c r="CE10">
        <f>IF(AK10=1,1000000,IF('計算A'!$IQ$38=2,SUMPRODUCT('計算A'!$D$88:$II$88,$CW10:$MB10,$MD10:$VI10),SUMPRODUCT('計算A'!$D$88:$II$88,$CW10:$MB10))*1000+29)</f>
        <v/>
      </c>
      <c r="CF10">
        <f>IF(AL10=1,1000000,IF('計算A'!$IQ$39=2,SUMPRODUCT('計算A'!$D$89:$II$89,$CW10:$MB10,$MD10:$VI10),SUMPRODUCT('計算A'!$D$89:$II$89,$CW10:$MB10))*1000+30)</f>
        <v/>
      </c>
      <c r="CG10">
        <f>IF(AM10=1,1000000,IF('計算A'!$IQ$40=2,SUMPRODUCT('計算A'!$D$90:$II$90,$CW10:$MB10,$MD10:$VI10),SUMPRODUCT('計算A'!$D$90:$II$90,$CW10:$MB10))*1000+31)</f>
        <v/>
      </c>
      <c r="CH10">
        <f>IF(AN10=1,1000000,IF('計算A'!$IQ$41=2,SUMPRODUCT('計算A'!$D$91:$II$91,$CW10:$MB10,$MD10:$VI10),SUMPRODUCT('計算A'!$D$91:$II$91,$CW10:$MB10))*1000+32)</f>
        <v/>
      </c>
      <c r="CI10">
        <f>IF(AO10=1,1000000,IF('計算A'!$IQ$42=2,SUMPRODUCT('計算A'!$D$92:$II$92,$CW10:$MB10,$MD10:$VI10),SUMPRODUCT('計算A'!$D$92:$II$92,$CW10:$MB10))*1000+33)</f>
        <v/>
      </c>
      <c r="CJ10">
        <f>IF(AP10=1,1000000,IF('計算A'!$IQ$43=2,SUMPRODUCT('計算A'!$D$93:$II$93,$CW10:$MB10,$MD10:$VI10),SUMPRODUCT('計算A'!$D$93:$II$93,$CW10:$MB10))*1000+34)</f>
        <v/>
      </c>
      <c r="CK10">
        <f>IF(AQ10=1,1000000,IF('計算A'!$IQ$44=2,SUMPRODUCT('計算A'!$D$94:$II$94,$CW10:$MB10,$MD10:$VI10),SUMPRODUCT('計算A'!$D$94:$II$94,$CW10:$MB10))*1000+35)</f>
        <v/>
      </c>
      <c r="CL10">
        <f>IF(AR10=1,1000000,IF('計算A'!$IQ$45=2,SUMPRODUCT('計算A'!$D$95:$II$95,$CW10:$MB10,$MD10:$VI10),SUMPRODUCT('計算A'!$D$95:$II$95,$CW10:$MB10))*1000+36)</f>
        <v/>
      </c>
      <c r="CM10">
        <f>IF(AS10=1,1000000,IF('計算A'!$IQ$46=2,SUMPRODUCT('計算A'!$D$96:$II$96,$CW10:$MB10,$MD10:$VI10),SUMPRODUCT('計算A'!$D$96:$II$96,$CW10:$MB10))*1000+37)</f>
        <v/>
      </c>
      <c r="CN10">
        <f>IF(AT10=1,1000000,IF('計算A'!$IQ$47=2,SUMPRODUCT('計算A'!$D$97:$II$97,$CW10:$MB10,$MD10:$VI10),SUMPRODUCT('計算A'!$D$97:$II$97,$CW10:$MB10))*1000+38)</f>
        <v/>
      </c>
      <c r="CO10">
        <f>IF(AU10=1,1000000,IF('計算A'!$IQ$48=2,SUMPRODUCT('計算A'!$D$98:$II$98,$CW10:$MB10,$MD10:$VI10),SUMPRODUCT('計算A'!$D$98:$II$98,$CW10:$MB10))*1000+39)</f>
        <v/>
      </c>
      <c r="CP10">
        <f>IF(AV10=1,1000000,IF('計算A'!$IQ$49=2,SUMPRODUCT('計算A'!$D$99:$II$99,$CW10:$MB10,$MD10:$VI10),SUMPRODUCT('計算A'!$D$99:$II$99,$CW10:$MB10))*1000+40)</f>
        <v/>
      </c>
      <c r="CQ10">
        <f>IF(AW10=1,1000000,IF('計算A'!$IQ$50=2,SUMPRODUCT('計算A'!$D$100:$II$100,$CW10:$MB10,$MD10:$VI10),SUMPRODUCT('計算A'!$D$100:$II$100,$CW10:$MB10))*1000+41)</f>
        <v/>
      </c>
      <c r="CR10">
        <f>IF(AX10=1,1000000,IF('計算A'!$IQ$51=2,SUMPRODUCT('計算A'!$D$101:$II$101,$CW10:$MB10,$MD10:$VI10),SUMPRODUCT('計算A'!$D$101:$II$101,$CW10:$MB10))*1000+42)</f>
        <v/>
      </c>
      <c r="CS10">
        <f>IF(AY10=1,1000000,IF('計算A'!$IQ$52=2,SUMPRODUCT('計算A'!$D$102:$II$102,$CW10:$MB10,$MD10:$VI10),SUMPRODUCT('計算A'!$D$102:$II$102,$CW10:$MB10))*1000+43)</f>
        <v/>
      </c>
      <c r="CT10">
        <f>IF(AZ10=1,1000000,IF('計算A'!$IQ$53=2,SUMPRODUCT('計算A'!$D$103:$II$103,$CW10:$MB10,$MD10:$VI10),SUMPRODUCT('計算A'!$D$103:$II$103,$CW10:$MB10))*1000+44)</f>
        <v/>
      </c>
      <c r="CU10">
        <f>IF(BA10=1,1000000,IF('計算A'!$IQ$54=2,SUMPRODUCT('計算A'!$D$104:$II$104,$CW10:$MB10,$MD10:$VI10),SUMPRODUCT('計算A'!$D$104:$II$104,$CW10:$MB10))*1000+45)</f>
        <v/>
      </c>
      <c r="CW10">
        <f>CW9*IF(OR($C9=1,$G9=1),0,1)</f>
        <v/>
      </c>
      <c r="CX10">
        <f>CX9*IF(OR($C9=2,$G9=2),0,1)</f>
        <v/>
      </c>
      <c r="CY10">
        <f>CY9*IF(OR($C9=3,$G9=3),0,1)</f>
        <v/>
      </c>
      <c r="CZ10">
        <f>CZ9*IF(OR($C9=4,$G9=4),0,1)</f>
        <v/>
      </c>
      <c r="DA10">
        <f>DA9*IF(OR($C9=5,$G9=5),0,1)</f>
        <v/>
      </c>
      <c r="DB10">
        <f>DB9*IF(OR($C9=6,$G9=6),0,1)</f>
        <v/>
      </c>
      <c r="DC10">
        <f>DC9*IF(OR($C9=7,$G9=7),0,1)</f>
        <v/>
      </c>
      <c r="DD10">
        <f>DD9*IF(OR($C9=8,$G9=8),0,1)</f>
        <v/>
      </c>
      <c r="DE10">
        <f>DE9*IF(OR($C9=9,$G9=9),0,1)</f>
        <v/>
      </c>
      <c r="DF10">
        <f>DF9*IF(OR($C9=10,$G9=10),0,1)</f>
        <v/>
      </c>
      <c r="DG10">
        <f>DG9*IF(OR($C9=11,$G9=11),0,1)</f>
        <v/>
      </c>
      <c r="DH10">
        <f>DH9*IF(OR($C9=12,$G9=12),0,1)</f>
        <v/>
      </c>
      <c r="DI10">
        <f>DI9*IF(OR($C9=13,$G9=13),0,1)</f>
        <v/>
      </c>
      <c r="DJ10">
        <f>DJ9*IF(OR($C9=14,$G9=14),0,1)</f>
        <v/>
      </c>
      <c r="DK10">
        <f>DK9*IF(OR($C9=15,$G9=15),0,1)</f>
        <v/>
      </c>
      <c r="DL10">
        <f>DL9*IF(OR($C9=16,$G9=16),0,1)</f>
        <v/>
      </c>
      <c r="DM10">
        <f>DM9*IF(OR($C9=17,$G9=17),0,1)</f>
        <v/>
      </c>
      <c r="DN10">
        <f>DN9*IF(OR($C9=18,$G9=18),0,1)</f>
        <v/>
      </c>
      <c r="DO10">
        <f>DO9*IF(OR($C9=19,$G9=19),0,1)</f>
        <v/>
      </c>
      <c r="DP10">
        <f>DP9*IF(OR($C9=20,$G9=20),0,1)</f>
        <v/>
      </c>
      <c r="DQ10">
        <f>DQ9*IF(OR($C9=21,$G9=21),0,1)</f>
        <v/>
      </c>
      <c r="DR10">
        <f>DR9*IF(OR($C9=22,$G9=22),0,1)</f>
        <v/>
      </c>
      <c r="DS10">
        <f>DS9*IF(OR($C9=23,$G9=23),0,1)</f>
        <v/>
      </c>
      <c r="DT10">
        <f>DT9*IF(OR($C9=24,$G9=24),0,1)</f>
        <v/>
      </c>
      <c r="DU10">
        <f>DU9*IF(OR($C9=25,$G9=25),0,1)</f>
        <v/>
      </c>
      <c r="DV10">
        <f>DV9*IF(OR($C9=26,$G9=26),0,1)</f>
        <v/>
      </c>
      <c r="DW10">
        <f>DW9*IF(OR($C9=27,$G9=27),0,1)</f>
        <v/>
      </c>
      <c r="DX10">
        <f>DX9*IF(OR($C9=28,$G9=28),0,1)</f>
        <v/>
      </c>
      <c r="DY10">
        <f>DY9*IF(OR($C9=29,$G9=29),0,1)</f>
        <v/>
      </c>
      <c r="DZ10">
        <f>DZ9*IF(OR($C9=30,$G9=30),0,1)</f>
        <v/>
      </c>
      <c r="EA10">
        <f>EA9*IF(OR($C9=31,$G9=31),0,1)</f>
        <v/>
      </c>
      <c r="EB10">
        <f>EB9*IF(OR($C9=32,$G9=32),0,1)</f>
        <v/>
      </c>
      <c r="EC10">
        <f>EC9*IF(OR($C9=33,$G9=33),0,1)</f>
        <v/>
      </c>
      <c r="ED10">
        <f>ED9*IF(OR($C9=34,$G9=34),0,1)</f>
        <v/>
      </c>
      <c r="EE10">
        <f>EE9*IF(OR($C9=35,$G9=35),0,1)</f>
        <v/>
      </c>
      <c r="EF10">
        <f>EF9*IF(OR($C9=36,$G9=36),0,1)</f>
        <v/>
      </c>
      <c r="EG10">
        <f>EG9*IF(OR($C9=37,$G9=37),0,1)</f>
        <v/>
      </c>
      <c r="EH10">
        <f>EH9*IF(OR($C9=38,$G9=38),0,1)</f>
        <v/>
      </c>
      <c r="EI10">
        <f>EI9*IF(OR($C9=39,$G9=39),0,1)</f>
        <v/>
      </c>
      <c r="EJ10">
        <f>EJ9*IF(OR($C9=40,$G9=40),0,1)</f>
        <v/>
      </c>
      <c r="EK10">
        <f>EK9*IF(OR($C9=41,$G9=41),0,1)</f>
        <v/>
      </c>
      <c r="EL10">
        <f>EL9*IF(OR($C9=42,$G9=42),0,1)</f>
        <v/>
      </c>
      <c r="EM10">
        <f>EM9*IF(OR($C9=43,$G9=43),0,1)</f>
        <v/>
      </c>
      <c r="EN10">
        <f>EN9*IF(OR($C9=44,$G9=44),0,1)</f>
        <v/>
      </c>
      <c r="EO10">
        <f>EO9*IF(OR($C9=45,$G9=45),0,1)</f>
        <v/>
      </c>
      <c r="EP10">
        <f>EP9*IF(OR($C9=46,$G9=46),0,1)</f>
        <v/>
      </c>
      <c r="EQ10">
        <f>EQ9*IF(OR($C9=47,$G9=47),0,1)</f>
        <v/>
      </c>
      <c r="ER10">
        <f>ER9*IF(OR($C9=48,$G9=48),0,1)</f>
        <v/>
      </c>
      <c r="ES10">
        <f>ES9*IF(OR($C9=49,$G9=49),0,1)</f>
        <v/>
      </c>
      <c r="ET10">
        <f>ET9*IF(OR($C9=50,$G9=50),0,1)</f>
        <v/>
      </c>
      <c r="EU10">
        <f>EU9*IF(OR($C9=51,$G9=51),0,1)</f>
        <v/>
      </c>
      <c r="EV10">
        <f>EV9*IF(OR($C9=52,$G9=52),0,1)</f>
        <v/>
      </c>
      <c r="EW10">
        <f>EW9*IF(OR($C9=53,$G9=53),0,1)</f>
        <v/>
      </c>
      <c r="EX10">
        <f>EX9*IF(OR($C9=54,$G9=54),0,1)</f>
        <v/>
      </c>
      <c r="EY10">
        <f>EY9*IF(OR($C9=55,$G9=55),0,1)</f>
        <v/>
      </c>
      <c r="EZ10">
        <f>EZ9*IF(OR($C9=56,$G9=56),0,1)</f>
        <v/>
      </c>
      <c r="FA10">
        <f>FA9*IF(OR($C9=57,$G9=57),0,1)</f>
        <v/>
      </c>
      <c r="FB10">
        <f>FB9*IF(OR($C9=58,$G9=58),0,1)</f>
        <v/>
      </c>
      <c r="FC10">
        <f>FC9*IF(OR($C9=59,$G9=59),0,1)</f>
        <v/>
      </c>
      <c r="FD10">
        <f>FD9*IF(OR($C9=60,$G9=60),0,1)</f>
        <v/>
      </c>
      <c r="FE10">
        <f>FE9*IF(OR($C9=61,$G9=61),0,1)</f>
        <v/>
      </c>
      <c r="FF10">
        <f>FF9*IF(OR($C9=62,$G9=62),0,1)</f>
        <v/>
      </c>
      <c r="FG10">
        <f>FG9*IF(OR($C9=63,$G9=63),0,1)</f>
        <v/>
      </c>
      <c r="FH10">
        <f>FH9*IF(OR($C9=64,$G9=64),0,1)</f>
        <v/>
      </c>
      <c r="FI10">
        <f>FI9*IF(OR($C9=65,$G9=65),0,1)</f>
        <v/>
      </c>
      <c r="FJ10">
        <f>FJ9*IF(OR($C9=66,$G9=66),0,1)</f>
        <v/>
      </c>
      <c r="FK10">
        <f>FK9*IF(OR($C9=67,$G9=67),0,1)</f>
        <v/>
      </c>
      <c r="FL10">
        <f>FL9*IF(OR($C9=68,$G9=68),0,1)</f>
        <v/>
      </c>
      <c r="FM10">
        <f>FM9*IF(OR($C9=69,$G9=69),0,1)</f>
        <v/>
      </c>
      <c r="FN10">
        <f>FN9*IF(OR($C9=70,$G9=70),0,1)</f>
        <v/>
      </c>
      <c r="FO10">
        <f>FO9*IF(OR($C9=71,$G9=71),0,1)</f>
        <v/>
      </c>
      <c r="FP10">
        <f>FP9*IF(OR($C9=72,$G9=72),0,1)</f>
        <v/>
      </c>
      <c r="FQ10">
        <f>FQ9*IF(OR($C9=73,$G9=73),0,1)</f>
        <v/>
      </c>
      <c r="FR10">
        <f>FR9*IF(OR($C9=74,$G9=74),0,1)</f>
        <v/>
      </c>
      <c r="FS10">
        <f>FS9*IF(OR($C9=75,$G9=75),0,1)</f>
        <v/>
      </c>
      <c r="FT10">
        <f>FT9*IF(OR($C9=76,$G9=76),0,1)</f>
        <v/>
      </c>
      <c r="FU10">
        <f>FU9*IF(OR($C9=77,$G9=77),0,1)</f>
        <v/>
      </c>
      <c r="FV10">
        <f>FV9*IF(OR($C9=78,$G9=78),0,1)</f>
        <v/>
      </c>
      <c r="FW10">
        <f>FW9*IF(OR($C9=79,$G9=79),0,1)</f>
        <v/>
      </c>
      <c r="FX10">
        <f>FX9*IF(OR($C9=80,$G9=80),0,1)</f>
        <v/>
      </c>
      <c r="FY10">
        <f>FY9*IF(OR($C9=81,$G9=81),0,1)</f>
        <v/>
      </c>
      <c r="FZ10">
        <f>FZ9*IF(OR($C9=82,$G9=82),0,1)</f>
        <v/>
      </c>
      <c r="GA10">
        <f>GA9*IF(OR($C9=83,$G9=83),0,1)</f>
        <v/>
      </c>
      <c r="GB10">
        <f>GB9*IF(OR($C9=84,$G9=84),0,1)</f>
        <v/>
      </c>
      <c r="GC10">
        <f>GC9*IF(OR($C9=85,$G9=85),0,1)</f>
        <v/>
      </c>
      <c r="GD10">
        <f>GD9*IF(OR($C9=86,$G9=86),0,1)</f>
        <v/>
      </c>
      <c r="GE10">
        <f>GE9*IF(OR($C9=87,$G9=87),0,1)</f>
        <v/>
      </c>
      <c r="GF10">
        <f>GF9*IF(OR($C9=88,$G9=88),0,1)</f>
        <v/>
      </c>
      <c r="GG10">
        <f>GG9*IF(OR($C9=89,$G9=89),0,1)</f>
        <v/>
      </c>
      <c r="GH10">
        <f>GH9*IF(OR($C9=90,$G9=90),0,1)</f>
        <v/>
      </c>
      <c r="GI10">
        <f>GI9*IF(OR($C9=91,$G9=91),0,1)</f>
        <v/>
      </c>
      <c r="GJ10">
        <f>GJ9*IF(OR($C9=92,$G9=92),0,1)</f>
        <v/>
      </c>
      <c r="GK10">
        <f>GK9*IF(OR($C9=93,$G9=93),0,1)</f>
        <v/>
      </c>
      <c r="GL10">
        <f>GL9*IF(OR($C9=94,$G9=94),0,1)</f>
        <v/>
      </c>
      <c r="GM10">
        <f>GM9*IF(OR($C9=95,$G9=95),0,1)</f>
        <v/>
      </c>
      <c r="GN10">
        <f>GN9*IF(OR($C9=96,$G9=96),0,1)</f>
        <v/>
      </c>
      <c r="GO10">
        <f>GO9*IF(OR($C9=97,$G9=97),0,1)</f>
        <v/>
      </c>
      <c r="GP10">
        <f>GP9*IF(OR($C9=98,$G9=98),0,1)</f>
        <v/>
      </c>
      <c r="GQ10">
        <f>GQ9*IF(OR($C9=99,$G9=99),0,1)</f>
        <v/>
      </c>
      <c r="GR10">
        <f>GR9*IF(OR($C9=100,$G9=100),0,1)</f>
        <v/>
      </c>
      <c r="GS10">
        <f>GS9*IF(OR($C9=101,$G9=101),0,1)</f>
        <v/>
      </c>
      <c r="GT10">
        <f>GT9*IF(OR($C9=102,$G9=102),0,1)</f>
        <v/>
      </c>
      <c r="GU10">
        <f>GU9*IF(OR($C9=103,$G9=103),0,1)</f>
        <v/>
      </c>
      <c r="GV10">
        <f>GV9*IF(OR($C9=104,$G9=104),0,1)</f>
        <v/>
      </c>
      <c r="GW10">
        <f>GW9*IF(OR($C9=105,$G9=105),0,1)</f>
        <v/>
      </c>
      <c r="GX10">
        <f>GX9*IF(OR($C9=106,$G9=106),0,1)</f>
        <v/>
      </c>
      <c r="GY10">
        <f>GY9*IF(OR($C9=107,$G9=107),0,1)</f>
        <v/>
      </c>
      <c r="GZ10">
        <f>GZ9*IF(OR($C9=108,$G9=108),0,1)</f>
        <v/>
      </c>
      <c r="HA10">
        <f>HA9*IF(OR($C9=109,$G9=109),0,1)</f>
        <v/>
      </c>
      <c r="HB10">
        <f>HB9*IF(OR($C9=110,$G9=110),0,1)</f>
        <v/>
      </c>
      <c r="HC10">
        <f>HC9*IF(OR($C9=111,$G9=111),0,1)</f>
        <v/>
      </c>
      <c r="HD10">
        <f>HD9*IF(OR($C9=112,$G9=112),0,1)</f>
        <v/>
      </c>
      <c r="HE10">
        <f>HE9*IF(OR($C9=113,$G9=113),0,1)</f>
        <v/>
      </c>
      <c r="HF10">
        <f>HF9*IF(OR($C9=114,$G9=114),0,1)</f>
        <v/>
      </c>
      <c r="HG10">
        <f>HG9*IF(OR($C9=115,$G9=115),0,1)</f>
        <v/>
      </c>
      <c r="HH10">
        <f>HH9*IF(OR($C9=116,$G9=116),0,1)</f>
        <v/>
      </c>
      <c r="HI10">
        <f>HI9*IF(OR($C9=117,$G9=117),0,1)</f>
        <v/>
      </c>
      <c r="HJ10">
        <f>HJ9*IF(OR($C9=118,$G9=118),0,1)</f>
        <v/>
      </c>
      <c r="HK10">
        <f>HK9*IF(OR($C9=119,$G9=119),0,1)</f>
        <v/>
      </c>
      <c r="HL10">
        <f>HL9*IF(OR($C9=120,$G9=120),0,1)</f>
        <v/>
      </c>
      <c r="HM10">
        <f>HM9*IF(OR($C9=121,$G9=121),0,1)</f>
        <v/>
      </c>
      <c r="HN10">
        <f>HN9*IF(OR($C9=122,$G9=122),0,1)</f>
        <v/>
      </c>
      <c r="HO10">
        <f>HO9*IF(OR($C9=123,$G9=123),0,1)</f>
        <v/>
      </c>
      <c r="HP10">
        <f>HP9*IF(OR($C9=124,$G9=124),0,1)</f>
        <v/>
      </c>
      <c r="HQ10">
        <f>HQ9*IF(OR($C9=125,$G9=125),0,1)</f>
        <v/>
      </c>
      <c r="HR10">
        <f>HR9*IF(OR($C9=126,$G9=126),0,1)</f>
        <v/>
      </c>
      <c r="HS10">
        <f>HS9*IF(OR($C9=127,$G9=127),0,1)</f>
        <v/>
      </c>
      <c r="HT10">
        <f>HT9*IF(OR($C9=128,$G9=128),0,1)</f>
        <v/>
      </c>
      <c r="HU10">
        <f>HU9*IF(OR($C9=129,$G9=129),0,1)</f>
        <v/>
      </c>
      <c r="HV10">
        <f>HV9*IF(OR($C9=130,$G9=130),0,1)</f>
        <v/>
      </c>
      <c r="HW10">
        <f>HW9*IF(OR($C9=131,$G9=131),0,1)</f>
        <v/>
      </c>
      <c r="HX10">
        <f>HX9*IF(OR($C9=132,$G9=132),0,1)</f>
        <v/>
      </c>
      <c r="HY10">
        <f>HY9*IF(OR($C9=133,$G9=133),0,1)</f>
        <v/>
      </c>
      <c r="HZ10">
        <f>HZ9*IF(OR($C9=134,$G9=134),0,1)</f>
        <v/>
      </c>
      <c r="IA10">
        <f>IA9*IF(OR($C9=135,$G9=135),0,1)</f>
        <v/>
      </c>
      <c r="IB10">
        <f>IB9*IF(OR($C9=136,$G9=136),0,1)</f>
        <v/>
      </c>
      <c r="IC10">
        <f>IC9*IF(OR($C9=137,$G9=137),0,1)</f>
        <v/>
      </c>
      <c r="ID10">
        <f>ID9*IF(OR($C9=138,$G9=138),0,1)</f>
        <v/>
      </c>
      <c r="IE10">
        <f>IE9*IF(OR($C9=139,$G9=139),0,1)</f>
        <v/>
      </c>
      <c r="IF10">
        <f>IF9*IF(OR($C9=140,$G9=140),0,1)</f>
        <v/>
      </c>
      <c r="IG10">
        <f>IG9*IF(OR($C9=141,$G9=141),0,1)</f>
        <v/>
      </c>
      <c r="IH10">
        <f>IH9*IF(OR($C9=142,$G9=142),0,1)</f>
        <v/>
      </c>
      <c r="II10">
        <f>II9*IF(OR($C9=143,$G9=143),0,1)</f>
        <v/>
      </c>
      <c r="IJ10">
        <f>IJ9*IF(OR($C9=144,$G9=144),0,1)</f>
        <v/>
      </c>
      <c r="IK10">
        <f>IK9*IF(OR($C9=145,$G9=145),0,1)</f>
        <v/>
      </c>
      <c r="IL10">
        <f>IL9*IF(OR($C9=146,$G9=146),0,1)</f>
        <v/>
      </c>
      <c r="IM10">
        <f>IM9*IF(OR($C9=147,$G9=147),0,1)</f>
        <v/>
      </c>
      <c r="IN10">
        <f>IN9*IF(OR($C9=148,$G9=148),0,1)</f>
        <v/>
      </c>
      <c r="IO10">
        <f>IO9*IF(OR($C9=149,$G9=149),0,1)</f>
        <v/>
      </c>
      <c r="IP10">
        <f>IP9*IF(OR($C9=150,$G9=150),0,1)</f>
        <v/>
      </c>
      <c r="IQ10">
        <f>IQ9*IF(OR($C9=151,$G9=151),0,1)</f>
        <v/>
      </c>
      <c r="IR10">
        <f>IR9*IF(OR($C9=152,$G9=152),0,1)</f>
        <v/>
      </c>
      <c r="IS10">
        <f>IS9*IF(OR($C9=153,$G9=153),0,1)</f>
        <v/>
      </c>
      <c r="IT10">
        <f>IT9*IF(OR($C9=154,$G9=154),0,1)</f>
        <v/>
      </c>
      <c r="IU10">
        <f>IU9*IF(OR($C9=155,$G9=155),0,1)</f>
        <v/>
      </c>
      <c r="IV10">
        <f>IV9*IF(OR($C9=156,$G9=156),0,1)</f>
        <v/>
      </c>
      <c r="IW10">
        <f>IW9*IF(OR($C9=157,$G9=157),0,1)</f>
        <v/>
      </c>
      <c r="IX10">
        <f>IX9*IF(OR($C9=158,$G9=158),0,1)</f>
        <v/>
      </c>
      <c r="IY10">
        <f>IY9*IF(OR($C9=159,$G9=159),0,1)</f>
        <v/>
      </c>
      <c r="IZ10">
        <f>IZ9*IF(OR($C9=160,$G9=160),0,1)</f>
        <v/>
      </c>
      <c r="JA10">
        <f>JA9*IF(OR($C9=161,$G9=161),0,1)</f>
        <v/>
      </c>
      <c r="JB10">
        <f>JB9*IF(OR($C9=162,$G9=162),0,1)</f>
        <v/>
      </c>
      <c r="JC10">
        <f>JC9*IF(OR($C9=163,$G9=163),0,1)</f>
        <v/>
      </c>
      <c r="JD10">
        <f>JD9*IF(OR($C9=164,$G9=164),0,1)</f>
        <v/>
      </c>
      <c r="JE10">
        <f>JE9*IF(OR($C9=165,$G9=165),0,1)</f>
        <v/>
      </c>
      <c r="JF10">
        <f>JF9*IF(OR($C9=166,$G9=166),0,1)</f>
        <v/>
      </c>
      <c r="JG10">
        <f>JG9*IF(OR($C9=167,$G9=167),0,1)</f>
        <v/>
      </c>
      <c r="JH10">
        <f>JH9*IF(OR($C9=168,$G9=168),0,1)</f>
        <v/>
      </c>
      <c r="JI10">
        <f>JI9*IF(OR($C9=169,$G9=169),0,1)</f>
        <v/>
      </c>
      <c r="JJ10">
        <f>JJ9*IF(OR($C9=170,$G9=170),0,1)</f>
        <v/>
      </c>
      <c r="JK10">
        <f>JK9*IF(OR($C9=171,$G9=171),0,1)</f>
        <v/>
      </c>
      <c r="JL10">
        <f>JL9*IF(OR($C9=172,$G9=172),0,1)</f>
        <v/>
      </c>
      <c r="JM10">
        <f>JM9*IF(OR($C9=173,$G9=173),0,1)</f>
        <v/>
      </c>
      <c r="JN10">
        <f>JN9*IF(OR($C9=174,$G9=174),0,1)</f>
        <v/>
      </c>
      <c r="JO10">
        <f>JO9*IF(OR($C9=175,$G9=175),0,1)</f>
        <v/>
      </c>
      <c r="JP10">
        <f>JP9*IF(OR($C9=176,$G9=176),0,1)</f>
        <v/>
      </c>
      <c r="JQ10">
        <f>JQ9*IF(OR($C9=177,$G9=177),0,1)</f>
        <v/>
      </c>
      <c r="JR10">
        <f>JR9*IF(OR($C9=178,$G9=178),0,1)</f>
        <v/>
      </c>
      <c r="JS10">
        <f>JS9*IF(OR($C9=179,$G9=179),0,1)</f>
        <v/>
      </c>
      <c r="JT10">
        <f>JT9*IF(OR($C9=180,$G9=180),0,1)</f>
        <v/>
      </c>
      <c r="JU10">
        <f>JU9*IF(OR($C9=181,$G9=181),0,1)</f>
        <v/>
      </c>
      <c r="JV10">
        <f>JV9*IF(OR($C9=182,$G9=182),0,1)</f>
        <v/>
      </c>
      <c r="JW10">
        <f>JW9*IF(OR($C9=183,$G9=183),0,1)</f>
        <v/>
      </c>
      <c r="JX10">
        <f>JX9*IF(OR($C9=184,$G9=184),0,1)</f>
        <v/>
      </c>
      <c r="JY10">
        <f>JY9*IF(OR($C9=185,$G9=185),0,1)</f>
        <v/>
      </c>
      <c r="JZ10">
        <f>JZ9*IF(OR($C9=186,$G9=186),0,1)</f>
        <v/>
      </c>
      <c r="KA10">
        <f>KA9*IF(OR($C9=187,$G9=187),0,1)</f>
        <v/>
      </c>
      <c r="KB10">
        <f>KB9*IF(OR($C9=188,$G9=188),0,1)</f>
        <v/>
      </c>
      <c r="KC10">
        <f>KC9*IF(OR($C9=189,$G9=189),0,1)</f>
        <v/>
      </c>
      <c r="KD10">
        <f>KD9*IF(OR($C9=190,$G9=190),0,1)</f>
        <v/>
      </c>
      <c r="KE10">
        <f>KE9*IF(OR($C9=191,$G9=191),0,1)</f>
        <v/>
      </c>
      <c r="KF10">
        <f>KF9*IF(OR($C9=192,$G9=192),0,1)</f>
        <v/>
      </c>
      <c r="KG10">
        <f>KG9*IF(OR($C9=193,$G9=193),0,1)</f>
        <v/>
      </c>
      <c r="KH10">
        <f>KH9*IF(OR($C9=194,$G9=194),0,1)</f>
        <v/>
      </c>
      <c r="KI10">
        <f>KI9*IF(OR($C9=195,$G9=195),0,1)</f>
        <v/>
      </c>
      <c r="KJ10">
        <f>KJ9*IF(OR($C9=196,$G9=196),0,1)</f>
        <v/>
      </c>
      <c r="KK10">
        <f>KK9*IF(OR($C9=197,$G9=197),0,1)</f>
        <v/>
      </c>
      <c r="KL10">
        <f>KL9*IF(OR($C9=198,$G9=198),0,1)</f>
        <v/>
      </c>
      <c r="KM10">
        <f>KM9*IF(OR($C9=199,$G9=199),0,1)</f>
        <v/>
      </c>
      <c r="KN10">
        <f>KN9*IF(OR($C9=200,$G9=200),0,1)</f>
        <v/>
      </c>
      <c r="KO10">
        <f>KO9*IF(OR($C9=201,$G9=201),0,1)</f>
        <v/>
      </c>
      <c r="KP10">
        <f>KP9*IF(OR($C9=202,$G9=202),0,1)</f>
        <v/>
      </c>
      <c r="KQ10">
        <f>KQ9*IF(OR($C9=203,$G9=203),0,1)</f>
        <v/>
      </c>
      <c r="KR10">
        <f>KR9*IF(OR($C9=204,$G9=204),0,1)</f>
        <v/>
      </c>
      <c r="KS10">
        <f>KS9*IF(OR($C9=205,$G9=205),0,1)</f>
        <v/>
      </c>
      <c r="KT10">
        <f>KT9*IF(OR($C9=206,$G9=206),0,1)</f>
        <v/>
      </c>
      <c r="KU10">
        <f>KU9*IF(OR($C9=207,$G9=207),0,1)</f>
        <v/>
      </c>
      <c r="KV10">
        <f>KV9*IF(OR($C9=208,$G9=208),0,1)</f>
        <v/>
      </c>
      <c r="KW10">
        <f>KW9*IF(OR($C9=209,$G9=209),0,1)</f>
        <v/>
      </c>
      <c r="KX10">
        <f>KX9*IF(OR($C9=210,$G9=210),0,1)</f>
        <v/>
      </c>
      <c r="KY10">
        <f>KY9*IF(OR($C9=211,$G9=211),0,1)</f>
        <v/>
      </c>
      <c r="KZ10">
        <f>KZ9*IF(OR($C9=212,$G9=212),0,1)</f>
        <v/>
      </c>
      <c r="LA10">
        <f>LA9*IF(OR($C9=213,$G9=213),0,1)</f>
        <v/>
      </c>
      <c r="LB10">
        <f>LB9*IF(OR($C9=214,$G9=214),0,1)</f>
        <v/>
      </c>
      <c r="LC10">
        <f>LC9*IF(OR($C9=215,$G9=215),0,1)</f>
        <v/>
      </c>
      <c r="LD10">
        <f>LD9*IF(OR($C9=216,$G9=216),0,1)</f>
        <v/>
      </c>
      <c r="LE10">
        <f>LE9*IF(OR($C9=217,$G9=217),0,1)</f>
        <v/>
      </c>
      <c r="LF10">
        <f>LF9*IF(OR($C9=218,$G9=218),0,1)</f>
        <v/>
      </c>
      <c r="LG10">
        <f>LG9*IF(OR($C9=219,$G9=219),0,1)</f>
        <v/>
      </c>
      <c r="LH10">
        <f>LH9*IF(OR($C9=220,$G9=220),0,1)</f>
        <v/>
      </c>
      <c r="LI10">
        <f>LI9*IF(OR($C9=221,$G9=221),0,1)</f>
        <v/>
      </c>
      <c r="LJ10">
        <f>LJ9*IF(OR($C9=222,$G9=222),0,1)</f>
        <v/>
      </c>
      <c r="LK10">
        <f>LK9*IF(OR($C9=223,$G9=223),0,1)</f>
        <v/>
      </c>
      <c r="LL10">
        <f>LL9*IF(OR($C9=224,$G9=224),0,1)</f>
        <v/>
      </c>
      <c r="LM10">
        <f>LM9*IF(OR($C9=225,$G9=225),0,1)</f>
        <v/>
      </c>
      <c r="LN10">
        <f>LN9*IF(OR($C9=226,$G9=226),0,1)</f>
        <v/>
      </c>
      <c r="LO10">
        <f>LO9*IF(OR($C9=227,$G9=227),0,1)</f>
        <v/>
      </c>
      <c r="LP10">
        <f>LP9*IF(OR($C9=228,$G9=228),0,1)</f>
        <v/>
      </c>
      <c r="LQ10">
        <f>LQ9*IF(OR($C9=229,$G9=229),0,1)</f>
        <v/>
      </c>
      <c r="LR10">
        <f>LR9*IF(OR($C9=230,$G9=230),0,1)</f>
        <v/>
      </c>
      <c r="LS10">
        <f>LS9*IF(OR($C9=231,$G9=231),0,1)</f>
        <v/>
      </c>
      <c r="LT10">
        <f>LT9*IF(OR($C9=232,$G9=232),0,1)</f>
        <v/>
      </c>
      <c r="LU10">
        <f>LU9*IF(OR($C9=233,$G9=233),0,1)</f>
        <v/>
      </c>
      <c r="LV10">
        <f>LV9*IF(OR($C9=234,$G9=234),0,1)</f>
        <v/>
      </c>
      <c r="LW10">
        <f>LW9*IF(OR($C9=235,$G9=235),0,1)</f>
        <v/>
      </c>
      <c r="LX10">
        <f>LX9*IF(OR($C9=236,$G9=236),0,1)</f>
        <v/>
      </c>
      <c r="LY10">
        <f>LY9*IF(OR($C9=237,$G9=237),0,1)</f>
        <v/>
      </c>
      <c r="LZ10">
        <f>LZ9*IF(OR($C9=238,$G9=238),0,1)</f>
        <v/>
      </c>
      <c r="MA10">
        <f>MA9*IF(OR($C9=239,$G9=239),0,1)</f>
        <v/>
      </c>
      <c r="MB10">
        <f>MB9*IF(OR($C9=240,$G9=240),0,1)</f>
        <v/>
      </c>
      <c r="MD10">
        <f>IF('計算A'!D$106=1,CX10,1)</f>
        <v/>
      </c>
      <c r="ME10">
        <f>IF('計算A'!E$106=1,CY10,1)</f>
        <v/>
      </c>
      <c r="MF10">
        <f>IF('計算A'!F$106=1,CZ10,1)</f>
        <v/>
      </c>
      <c r="MG10">
        <f>IF('計算A'!G$106=1,DA10,1)</f>
        <v/>
      </c>
      <c r="MH10">
        <f>IF('計算A'!H$106=1,DB10,1)</f>
        <v/>
      </c>
      <c r="MI10">
        <f>IF('計算A'!I$106=1,DC10,1)</f>
        <v/>
      </c>
      <c r="MJ10">
        <f>IF('計算A'!J$106=1,DD10,1)</f>
        <v/>
      </c>
      <c r="MK10">
        <f>IF('計算A'!K$106=1,DE10,1)</f>
        <v/>
      </c>
      <c r="ML10">
        <f>IF('計算A'!L$106=1,DF10,1)</f>
        <v/>
      </c>
      <c r="MM10">
        <f>IF('計算A'!M$106=1,DG10,1)</f>
        <v/>
      </c>
      <c r="MN10">
        <f>IF('計算A'!N$106=1,DH10,1)</f>
        <v/>
      </c>
      <c r="MO10">
        <f>IF('計算A'!O$106=1,DI10,1)</f>
        <v/>
      </c>
      <c r="MP10">
        <f>IF('計算A'!P$106=1,DJ10,1)</f>
        <v/>
      </c>
      <c r="MQ10">
        <f>IF('計算A'!Q$106=1,DK10,1)</f>
        <v/>
      </c>
      <c r="MR10">
        <f>IF('計算A'!R$106=1,DL10,1)</f>
        <v/>
      </c>
      <c r="MS10">
        <f>IF('計算A'!S$106=1,DM10,1)</f>
        <v/>
      </c>
      <c r="MT10">
        <f>IF('計算A'!T$106=1,DN10,1)</f>
        <v/>
      </c>
      <c r="MU10">
        <f>IF('計算A'!U$106=1,DO10,1)</f>
        <v/>
      </c>
      <c r="MV10">
        <f>IF('計算A'!V$106=1,DP10,1)</f>
        <v/>
      </c>
      <c r="MW10">
        <f>IF('計算A'!W$106=1,DQ10,1)</f>
        <v/>
      </c>
      <c r="MX10">
        <f>IF('計算A'!X$106=1,DR10,1)</f>
        <v/>
      </c>
      <c r="MY10">
        <f>IF('計算A'!Y$106=1,DS10,1)</f>
        <v/>
      </c>
      <c r="MZ10">
        <f>IF('計算A'!Z$106=1,DT10,1)</f>
        <v/>
      </c>
      <c r="NA10">
        <f>IF('計算A'!AA$106=1,DU10,1)</f>
        <v/>
      </c>
      <c r="NB10">
        <f>IF('計算A'!AB$106=1,DV10,1)</f>
        <v/>
      </c>
      <c r="NC10">
        <f>IF('計算A'!AC$106=1,DW10,1)</f>
        <v/>
      </c>
      <c r="ND10">
        <f>IF('計算A'!AD$106=1,DX10,1)</f>
        <v/>
      </c>
      <c r="NE10">
        <f>IF('計算A'!AE$106=1,DY10,1)</f>
        <v/>
      </c>
      <c r="NF10">
        <f>IF('計算A'!AF$106=1,DZ10,1)</f>
        <v/>
      </c>
      <c r="NG10">
        <f>IF('計算A'!AG$106=1,EA10,1)</f>
        <v/>
      </c>
      <c r="NH10">
        <f>IF('計算A'!AH$106=1,EB10,1)</f>
        <v/>
      </c>
      <c r="NI10">
        <f>IF('計算A'!AI$106=1,EC10,1)</f>
        <v/>
      </c>
      <c r="NJ10">
        <f>IF('計算A'!AJ$106=1,ED10,1)</f>
        <v/>
      </c>
      <c r="NK10">
        <f>IF('計算A'!AK$106=1,EE10,1)</f>
        <v/>
      </c>
      <c r="NL10">
        <f>IF('計算A'!AL$106=1,EF10,1)</f>
        <v/>
      </c>
      <c r="NM10">
        <f>IF('計算A'!AM$106=1,EG10,1)</f>
        <v/>
      </c>
      <c r="NN10">
        <f>IF('計算A'!AN$106=1,EH10,1)</f>
        <v/>
      </c>
      <c r="NO10">
        <f>IF('計算A'!AO$106=1,EI10,1)</f>
        <v/>
      </c>
      <c r="NP10">
        <f>IF('計算A'!AP$106=1,EJ10,1)</f>
        <v/>
      </c>
      <c r="NQ10">
        <f>IF('計算A'!AQ$106=1,EK10,1)</f>
        <v/>
      </c>
      <c r="NR10">
        <f>IF('計算A'!AR$106=1,EL10,1)</f>
        <v/>
      </c>
      <c r="NS10">
        <f>IF('計算A'!AS$106=1,EM10,1)</f>
        <v/>
      </c>
      <c r="NT10">
        <f>IF('計算A'!AT$106=1,EN10,1)</f>
        <v/>
      </c>
      <c r="NU10">
        <f>IF('計算A'!AU$106=1,EO10,1)</f>
        <v/>
      </c>
      <c r="NV10">
        <f>IF('計算A'!AV$106=1,EP10,1)</f>
        <v/>
      </c>
      <c r="NW10">
        <f>IF('計算A'!AW$106=1,EQ10,1)</f>
        <v/>
      </c>
      <c r="NX10">
        <f>IF('計算A'!AX$106=1,ER10,1)</f>
        <v/>
      </c>
      <c r="NY10">
        <f>IF('計算A'!AY$106=1,ES10,1)</f>
        <v/>
      </c>
      <c r="NZ10">
        <f>IF('計算A'!AZ$106=1,ET10,1)</f>
        <v/>
      </c>
      <c r="OA10">
        <f>IF('計算A'!BA$106=1,EU10,1)</f>
        <v/>
      </c>
      <c r="OB10">
        <f>IF('計算A'!BB$106=1,EV10,1)</f>
        <v/>
      </c>
      <c r="OC10">
        <f>IF('計算A'!BC$106=1,EW10,1)</f>
        <v/>
      </c>
      <c r="OD10">
        <f>IF('計算A'!BD$106=1,EX10,1)</f>
        <v/>
      </c>
      <c r="OE10">
        <f>IF('計算A'!BE$106=1,EY10,1)</f>
        <v/>
      </c>
      <c r="OF10">
        <f>IF('計算A'!BF$106=1,EZ10,1)</f>
        <v/>
      </c>
      <c r="OG10">
        <f>IF('計算A'!BG$106=1,FA10,1)</f>
        <v/>
      </c>
      <c r="OH10">
        <f>IF('計算A'!BH$106=1,FB10,1)</f>
        <v/>
      </c>
      <c r="OI10">
        <f>IF('計算A'!BI$106=1,FC10,1)</f>
        <v/>
      </c>
      <c r="OJ10">
        <f>IF('計算A'!BJ$106=1,FD10,1)</f>
        <v/>
      </c>
      <c r="OK10">
        <f>IF('計算A'!BK$106=1,FE10,1)</f>
        <v/>
      </c>
      <c r="OL10">
        <f>IF('計算A'!BL$106=1,FF10,1)</f>
        <v/>
      </c>
      <c r="OM10">
        <f>IF('計算A'!BM$106=1,FG10,1)</f>
        <v/>
      </c>
      <c r="ON10">
        <f>IF('計算A'!BN$106=1,FH10,1)</f>
        <v/>
      </c>
      <c r="OO10">
        <f>IF('計算A'!BO$106=1,FI10,1)</f>
        <v/>
      </c>
      <c r="OP10">
        <f>IF('計算A'!BP$106=1,FJ10,1)</f>
        <v/>
      </c>
      <c r="OQ10">
        <f>IF('計算A'!BQ$106=1,FK10,1)</f>
        <v/>
      </c>
      <c r="OR10">
        <f>IF('計算A'!BR$106=1,FL10,1)</f>
        <v/>
      </c>
      <c r="OS10">
        <f>IF('計算A'!BS$106=1,FM10,1)</f>
        <v/>
      </c>
      <c r="OT10">
        <f>IF('計算A'!BT$106=1,FN10,1)</f>
        <v/>
      </c>
      <c r="OU10">
        <f>IF('計算A'!BU$106=1,FO10,1)</f>
        <v/>
      </c>
      <c r="OV10">
        <f>IF('計算A'!BV$106=1,FP10,1)</f>
        <v/>
      </c>
      <c r="OW10">
        <f>IF('計算A'!BW$106=1,FQ10,1)</f>
        <v/>
      </c>
      <c r="OX10">
        <f>IF('計算A'!BX$106=1,FR10,1)</f>
        <v/>
      </c>
      <c r="OY10">
        <f>IF('計算A'!BY$106=1,FS10,1)</f>
        <v/>
      </c>
      <c r="OZ10">
        <f>IF('計算A'!BZ$106=1,FT10,1)</f>
        <v/>
      </c>
      <c r="PA10">
        <f>IF('計算A'!CA$106=1,FU10,1)</f>
        <v/>
      </c>
      <c r="PB10">
        <f>IF('計算A'!CB$106=1,FV10,1)</f>
        <v/>
      </c>
      <c r="PC10">
        <f>IF('計算A'!CC$106=1,FW10,1)</f>
        <v/>
      </c>
      <c r="PD10">
        <f>IF('計算A'!CD$106=1,FX10,1)</f>
        <v/>
      </c>
      <c r="PE10">
        <f>IF('計算A'!CE$106=1,FY10,1)</f>
        <v/>
      </c>
      <c r="PF10">
        <f>IF('計算A'!CF$106=1,FZ10,1)</f>
        <v/>
      </c>
      <c r="PG10">
        <f>IF('計算A'!CG$106=1,GA10,1)</f>
        <v/>
      </c>
      <c r="PH10">
        <f>IF('計算A'!CH$106=1,GB10,1)</f>
        <v/>
      </c>
      <c r="PI10">
        <f>IF('計算A'!CI$106=1,GC10,1)</f>
        <v/>
      </c>
      <c r="PJ10">
        <f>IF('計算A'!CJ$106=1,GD10,1)</f>
        <v/>
      </c>
      <c r="PK10">
        <f>IF('計算A'!CK$106=1,GE10,1)</f>
        <v/>
      </c>
      <c r="PL10">
        <f>IF('計算A'!CL$106=1,GF10,1)</f>
        <v/>
      </c>
      <c r="PM10">
        <f>IF('計算A'!CM$106=1,GG10,1)</f>
        <v/>
      </c>
      <c r="PN10">
        <f>IF('計算A'!CN$106=1,GH10,1)</f>
        <v/>
      </c>
      <c r="PO10">
        <f>IF('計算A'!CO$106=1,GI10,1)</f>
        <v/>
      </c>
      <c r="PP10">
        <f>IF('計算A'!CP$106=1,GJ10,1)</f>
        <v/>
      </c>
      <c r="PQ10">
        <f>IF('計算A'!CQ$106=1,GK10,1)</f>
        <v/>
      </c>
      <c r="PR10">
        <f>IF('計算A'!CR$106=1,GL10,1)</f>
        <v/>
      </c>
      <c r="PS10">
        <f>IF('計算A'!CS$106=1,GM10,1)</f>
        <v/>
      </c>
      <c r="PT10">
        <f>IF('計算A'!CT$106=1,GN10,1)</f>
        <v/>
      </c>
      <c r="PU10">
        <f>IF('計算A'!CU$106=1,GO10,1)</f>
        <v/>
      </c>
      <c r="PV10">
        <f>IF('計算A'!CV$106=1,GP10,1)</f>
        <v/>
      </c>
      <c r="PW10">
        <f>IF('計算A'!CW$106=1,GQ10,1)</f>
        <v/>
      </c>
      <c r="PX10">
        <f>IF('計算A'!CX$106=1,GR10,1)</f>
        <v/>
      </c>
      <c r="PY10">
        <f>IF('計算A'!CY$106=1,GS10,1)</f>
        <v/>
      </c>
      <c r="PZ10">
        <f>IF('計算A'!CZ$106=1,GT10,1)</f>
        <v/>
      </c>
      <c r="QA10">
        <f>IF('計算A'!DA$106=1,GU10,1)</f>
        <v/>
      </c>
      <c r="QB10">
        <f>IF('計算A'!DB$106=1,GV10,1)</f>
        <v/>
      </c>
      <c r="QC10">
        <f>IF('計算A'!DC$106=1,GW10,1)</f>
        <v/>
      </c>
      <c r="QD10">
        <f>IF('計算A'!DD$106=1,GX10,1)</f>
        <v/>
      </c>
      <c r="QE10">
        <f>IF('計算A'!DE$106=1,GY10,1)</f>
        <v/>
      </c>
      <c r="QF10">
        <f>IF('計算A'!DF$106=1,GZ10,1)</f>
        <v/>
      </c>
      <c r="QG10">
        <f>IF('計算A'!DG$106=1,HA10,1)</f>
        <v/>
      </c>
      <c r="QH10">
        <f>IF('計算A'!DH$106=1,HB10,1)</f>
        <v/>
      </c>
      <c r="QI10">
        <f>IF('計算A'!DI$106=1,HC10,1)</f>
        <v/>
      </c>
      <c r="QJ10">
        <f>IF('計算A'!DJ$106=1,HD10,1)</f>
        <v/>
      </c>
      <c r="QK10">
        <f>IF('計算A'!DK$106=1,HE10,1)</f>
        <v/>
      </c>
      <c r="QL10">
        <f>IF('計算A'!DL$106=1,HF10,1)</f>
        <v/>
      </c>
      <c r="QM10">
        <f>IF('計算A'!DM$106=1,HG10,1)</f>
        <v/>
      </c>
      <c r="QN10">
        <f>IF('計算A'!DN$106=1,HH10,1)</f>
        <v/>
      </c>
      <c r="QO10">
        <f>IF('計算A'!DO$106=1,HI10,1)</f>
        <v/>
      </c>
      <c r="QP10">
        <f>IF('計算A'!DP$106=1,HJ10,1)</f>
        <v/>
      </c>
      <c r="QQ10">
        <f>IF('計算A'!DQ$106=1,HK10,1)</f>
        <v/>
      </c>
      <c r="QR10">
        <f>IF('計算A'!DR$106=1,HL10,1)</f>
        <v/>
      </c>
      <c r="QS10">
        <f>IF('計算A'!DS$106=1,HM10,1)</f>
        <v/>
      </c>
      <c r="QT10">
        <f>IF('計算A'!DT$106=1,HN10,1)</f>
        <v/>
      </c>
      <c r="QU10">
        <f>IF('計算A'!DU$106=1,HO10,1)</f>
        <v/>
      </c>
      <c r="QV10">
        <f>IF('計算A'!DV$106=1,HP10,1)</f>
        <v/>
      </c>
      <c r="QW10">
        <f>IF('計算A'!DW$106=1,HQ10,1)</f>
        <v/>
      </c>
      <c r="QX10">
        <f>IF('計算A'!DX$106=1,HR10,1)</f>
        <v/>
      </c>
      <c r="QY10">
        <f>IF('計算A'!DY$106=1,HS10,1)</f>
        <v/>
      </c>
      <c r="QZ10">
        <f>IF('計算A'!DZ$106=1,HT10,1)</f>
        <v/>
      </c>
      <c r="RA10">
        <f>IF('計算A'!EA$106=1,HU10,1)</f>
        <v/>
      </c>
      <c r="RB10">
        <f>IF('計算A'!EB$106=1,HV10,1)</f>
        <v/>
      </c>
      <c r="RC10">
        <f>IF('計算A'!EC$106=1,HW10,1)</f>
        <v/>
      </c>
      <c r="RD10">
        <f>IF('計算A'!ED$106=1,HX10,1)</f>
        <v/>
      </c>
      <c r="RE10">
        <f>IF('計算A'!EE$106=1,HY10,1)</f>
        <v/>
      </c>
      <c r="RF10">
        <f>IF('計算A'!EF$106=1,HZ10,1)</f>
        <v/>
      </c>
      <c r="RG10">
        <f>IF('計算A'!EG$106=1,IA10,1)</f>
        <v/>
      </c>
      <c r="RH10">
        <f>IF('計算A'!EH$106=1,IB10,1)</f>
        <v/>
      </c>
      <c r="RI10">
        <f>IF('計算A'!EI$106=1,IC10,1)</f>
        <v/>
      </c>
      <c r="RJ10">
        <f>IF('計算A'!EJ$106=1,ID10,1)</f>
        <v/>
      </c>
      <c r="RK10">
        <f>IF('計算A'!EK$106=1,IE10,1)</f>
        <v/>
      </c>
      <c r="RL10">
        <f>IF('計算A'!EL$106=1,IF10,1)</f>
        <v/>
      </c>
      <c r="RM10">
        <f>IF('計算A'!EM$106=1,IG10,1)</f>
        <v/>
      </c>
      <c r="RN10">
        <f>IF('計算A'!EN$106=1,IH10,1)</f>
        <v/>
      </c>
      <c r="RO10">
        <f>IF('計算A'!EO$106=1,II10,1)</f>
        <v/>
      </c>
      <c r="RP10">
        <f>IF('計算A'!EP$106=1,IJ10,1)</f>
        <v/>
      </c>
      <c r="RQ10">
        <f>IF('計算A'!EQ$106=1,IK10,1)</f>
        <v/>
      </c>
      <c r="RR10">
        <f>IF('計算A'!ER$106=1,IL10,1)</f>
        <v/>
      </c>
      <c r="RS10">
        <f>IF('計算A'!ES$106=1,IM10,1)</f>
        <v/>
      </c>
      <c r="RT10">
        <f>IF('計算A'!ET$106=1,IN10,1)</f>
        <v/>
      </c>
      <c r="RU10">
        <f>IF('計算A'!EU$106=1,IO10,1)</f>
        <v/>
      </c>
      <c r="RV10">
        <f>IF('計算A'!EV$106=1,IP10,1)</f>
        <v/>
      </c>
      <c r="RW10">
        <f>IF('計算A'!EW$106=1,IQ10,1)</f>
        <v/>
      </c>
      <c r="RX10">
        <f>IF('計算A'!EX$106=1,IR10,1)</f>
        <v/>
      </c>
      <c r="RY10">
        <f>IF('計算A'!EY$106=1,IS10,1)</f>
        <v/>
      </c>
      <c r="RZ10">
        <f>IF('計算A'!EZ$106=1,IT10,1)</f>
        <v/>
      </c>
      <c r="SA10">
        <f>IF('計算A'!FA$106=1,IU10,1)</f>
        <v/>
      </c>
      <c r="SB10">
        <f>IF('計算A'!FB$106=1,IV10,1)</f>
        <v/>
      </c>
      <c r="SC10">
        <f>IF('計算A'!FC$106=1,IW10,1)</f>
        <v/>
      </c>
      <c r="SD10">
        <f>IF('計算A'!FD$106=1,IX10,1)</f>
        <v/>
      </c>
      <c r="SE10">
        <f>IF('計算A'!FE$106=1,IY10,1)</f>
        <v/>
      </c>
      <c r="SF10">
        <f>IF('計算A'!FF$106=1,IZ10,1)</f>
        <v/>
      </c>
      <c r="SG10">
        <f>IF('計算A'!FG$106=1,JA10,1)</f>
        <v/>
      </c>
      <c r="SH10">
        <f>IF('計算A'!FH$106=1,JB10,1)</f>
        <v/>
      </c>
      <c r="SI10">
        <f>IF('計算A'!FI$106=1,JC10,1)</f>
        <v/>
      </c>
      <c r="SJ10">
        <f>IF('計算A'!FJ$106=1,JD10,1)</f>
        <v/>
      </c>
      <c r="SK10">
        <f>IF('計算A'!FK$106=1,JE10,1)</f>
        <v/>
      </c>
      <c r="SL10">
        <f>IF('計算A'!FL$106=1,JF10,1)</f>
        <v/>
      </c>
      <c r="SM10">
        <f>IF('計算A'!FM$106=1,JG10,1)</f>
        <v/>
      </c>
      <c r="SN10">
        <f>IF('計算A'!FN$106=1,JH10,1)</f>
        <v/>
      </c>
      <c r="SO10">
        <f>IF('計算A'!FO$106=1,JI10,1)</f>
        <v/>
      </c>
      <c r="SP10">
        <f>IF('計算A'!FP$106=1,JJ10,1)</f>
        <v/>
      </c>
      <c r="SQ10">
        <f>IF('計算A'!FQ$106=1,JK10,1)</f>
        <v/>
      </c>
      <c r="SR10">
        <f>IF('計算A'!FR$106=1,JL10,1)</f>
        <v/>
      </c>
      <c r="SS10">
        <f>IF('計算A'!FS$106=1,JM10,1)</f>
        <v/>
      </c>
      <c r="ST10">
        <f>IF('計算A'!FT$106=1,JN10,1)</f>
        <v/>
      </c>
      <c r="SU10">
        <f>IF('計算A'!FU$106=1,JO10,1)</f>
        <v/>
      </c>
      <c r="SV10">
        <f>IF('計算A'!FV$106=1,JP10,1)</f>
        <v/>
      </c>
      <c r="SW10">
        <f>IF('計算A'!FW$106=1,JQ10,1)</f>
        <v/>
      </c>
      <c r="SX10">
        <f>IF('計算A'!FX$106=1,JR10,1)</f>
        <v/>
      </c>
      <c r="SY10">
        <f>IF('計算A'!FY$106=1,JS10,1)</f>
        <v/>
      </c>
      <c r="SZ10">
        <f>IF('計算A'!FZ$106=1,JT10,1)</f>
        <v/>
      </c>
      <c r="TA10">
        <f>IF('計算A'!GA$106=1,JU10,1)</f>
        <v/>
      </c>
      <c r="TB10">
        <f>IF('計算A'!GB$106=1,JV10,1)</f>
        <v/>
      </c>
      <c r="TC10">
        <f>IF('計算A'!GC$106=1,JW10,1)</f>
        <v/>
      </c>
      <c r="TD10">
        <f>IF('計算A'!GD$106=1,JX10,1)</f>
        <v/>
      </c>
      <c r="TE10">
        <f>IF('計算A'!GE$106=1,JY10,1)</f>
        <v/>
      </c>
      <c r="TF10">
        <f>IF('計算A'!GF$106=1,JZ10,1)</f>
        <v/>
      </c>
      <c r="TG10">
        <f>IF('計算A'!GG$106=1,KA10,1)</f>
        <v/>
      </c>
      <c r="TH10">
        <f>IF('計算A'!GH$106=1,KB10,1)</f>
        <v/>
      </c>
      <c r="TI10">
        <f>IF('計算A'!GI$106=1,KC10,1)</f>
        <v/>
      </c>
      <c r="TJ10">
        <f>IF('計算A'!GJ$106=1,KD10,1)</f>
        <v/>
      </c>
      <c r="TK10">
        <f>IF('計算A'!GK$106=1,KE10,1)</f>
        <v/>
      </c>
      <c r="TL10">
        <f>IF('計算A'!GL$106=1,KF10,1)</f>
        <v/>
      </c>
      <c r="TM10">
        <f>IF('計算A'!GM$106=1,KG10,1)</f>
        <v/>
      </c>
      <c r="TN10">
        <f>IF('計算A'!GN$106=1,KH10,1)</f>
        <v/>
      </c>
      <c r="TO10">
        <f>IF('計算A'!GO$106=1,KI10,1)</f>
        <v/>
      </c>
      <c r="TP10">
        <f>IF('計算A'!GP$106=1,KJ10,1)</f>
        <v/>
      </c>
      <c r="TQ10">
        <f>IF('計算A'!GQ$106=1,KK10,1)</f>
        <v/>
      </c>
      <c r="TR10">
        <f>IF('計算A'!GR$106=1,KL10,1)</f>
        <v/>
      </c>
      <c r="TS10">
        <f>IF('計算A'!GS$106=1,KM10,1)</f>
        <v/>
      </c>
      <c r="TT10">
        <f>IF('計算A'!GT$106=1,KN10,1)</f>
        <v/>
      </c>
      <c r="TU10">
        <f>IF('計算A'!GU$106=1,KO10,1)</f>
        <v/>
      </c>
      <c r="TV10">
        <f>IF('計算A'!GV$106=1,KP10,1)</f>
        <v/>
      </c>
      <c r="TW10">
        <f>IF('計算A'!GW$106=1,KQ10,1)</f>
        <v/>
      </c>
      <c r="TX10">
        <f>IF('計算A'!GX$106=1,KR10,1)</f>
        <v/>
      </c>
      <c r="TY10">
        <f>IF('計算A'!GY$106=1,KS10,1)</f>
        <v/>
      </c>
      <c r="TZ10">
        <f>IF('計算A'!GZ$106=1,KT10,1)</f>
        <v/>
      </c>
      <c r="UA10">
        <f>IF('計算A'!HA$106=1,KU10,1)</f>
        <v/>
      </c>
      <c r="UB10">
        <f>IF('計算A'!HB$106=1,KV10,1)</f>
        <v/>
      </c>
      <c r="UC10">
        <f>IF('計算A'!HC$106=1,KW10,1)</f>
        <v/>
      </c>
      <c r="UD10">
        <f>IF('計算A'!HD$106=1,KX10,1)</f>
        <v/>
      </c>
      <c r="UE10">
        <f>IF('計算A'!HE$106=1,KY10,1)</f>
        <v/>
      </c>
      <c r="UF10">
        <f>IF('計算A'!HF$106=1,KZ10,1)</f>
        <v/>
      </c>
      <c r="UG10">
        <f>IF('計算A'!HG$106=1,LA10,1)</f>
        <v/>
      </c>
      <c r="UH10">
        <f>IF('計算A'!HH$106=1,LB10,1)</f>
        <v/>
      </c>
      <c r="UI10">
        <f>IF('計算A'!HI$106=1,LC10,1)</f>
        <v/>
      </c>
      <c r="UJ10">
        <f>IF('計算A'!HJ$106=1,LD10,1)</f>
        <v/>
      </c>
      <c r="UK10">
        <f>IF('計算A'!HK$106=1,LE10,1)</f>
        <v/>
      </c>
      <c r="UL10">
        <f>IF('計算A'!HL$106=1,LF10,1)</f>
        <v/>
      </c>
      <c r="UM10">
        <f>IF('計算A'!HM$106=1,LG10,1)</f>
        <v/>
      </c>
      <c r="UN10">
        <f>IF('計算A'!HN$106=1,LH10,1)</f>
        <v/>
      </c>
      <c r="UO10">
        <f>IF('計算A'!HO$106=1,LI10,1)</f>
        <v/>
      </c>
      <c r="UP10">
        <f>IF('計算A'!HP$106=1,LJ10,1)</f>
        <v/>
      </c>
      <c r="UQ10">
        <f>IF('計算A'!HQ$106=1,LK10,1)</f>
        <v/>
      </c>
      <c r="UR10">
        <f>IF('計算A'!HR$106=1,LL10,1)</f>
        <v/>
      </c>
      <c r="US10">
        <f>IF('計算A'!HS$106=1,LM10,1)</f>
        <v/>
      </c>
      <c r="UT10">
        <f>IF('計算A'!HT$106=1,LN10,1)</f>
        <v/>
      </c>
      <c r="UU10">
        <f>IF('計算A'!HU$106=1,LO10,1)</f>
        <v/>
      </c>
      <c r="UV10">
        <f>IF('計算A'!HV$106=1,LP10,1)</f>
        <v/>
      </c>
      <c r="UW10">
        <f>IF('計算A'!HW$106=1,LQ10,1)</f>
        <v/>
      </c>
      <c r="UX10">
        <f>IF('計算A'!HX$106=1,LR10,1)</f>
        <v/>
      </c>
      <c r="UY10">
        <f>IF('計算A'!HY$106=1,LS10,1)</f>
        <v/>
      </c>
      <c r="UZ10">
        <f>IF('計算A'!HZ$106=1,LT10,1)</f>
        <v/>
      </c>
      <c r="VA10">
        <f>IF('計算A'!IA$106=1,LU10,1)</f>
        <v/>
      </c>
      <c r="VB10">
        <f>IF('計算A'!IB$106=1,LV10,1)</f>
        <v/>
      </c>
      <c r="VC10">
        <f>IF('計算A'!IC$106=1,LW10,1)</f>
        <v/>
      </c>
      <c r="VD10">
        <f>IF('計算A'!ID$106=1,LX10,1)</f>
        <v/>
      </c>
      <c r="VE10">
        <f>IF('計算A'!IE$106=1,LY10,1)</f>
        <v/>
      </c>
      <c r="VF10">
        <f>IF('計算A'!IF$106=1,LZ10,1)</f>
        <v/>
      </c>
      <c r="VG10">
        <f>IF('計算A'!IG$106=1,MA10,1)</f>
        <v/>
      </c>
      <c r="VH10">
        <f>IF('計算A'!IH$106=1,MB10,1)</f>
        <v/>
      </c>
      <c r="VI10" t="n">
        <v>1</v>
      </c>
      <c r="VK10">
        <f>IF($B10=0,1000000,IF(INDEX('計算A'!$D$60:$II$104,$B10,1)*CW10=1,IF(AND($E10=2,MD10=0),1000000,INDEX('計算A'!D$110:D$114,$F10+1)+IF(AND($E10=1,MD10=0),1000,0)),1000000))</f>
        <v/>
      </c>
      <c r="VL10">
        <f>IF($B10=0,1000000,IF(INDEX('計算A'!$D$60:$II$104,$B10,2)*CX10=1,IF(AND($E10=2,ME10=0),1000000,INDEX('計算A'!E$110:E$114,$F10+1)+IF(AND($E10=1,ME10=0),1000,0)),1000000))</f>
        <v/>
      </c>
      <c r="VM10">
        <f>IF($B10=0,1000000,IF(INDEX('計算A'!$D$60:$II$104,$B10,3)*CY10=1,IF(AND($E10=2,MF10=0),1000000,INDEX('計算A'!F$110:F$114,$F10+1)+IF(AND($E10=1,MF10=0),1000,0)),1000000))</f>
        <v/>
      </c>
      <c r="VN10">
        <f>IF($B10=0,1000000,IF(INDEX('計算A'!$D$60:$II$104,$B10,4)*CZ10=1,IF(AND($E10=2,MG10=0),1000000,INDEX('計算A'!G$110:G$114,$F10+1)+IF(AND($E10=1,MG10=0),1000,0)),1000000))</f>
        <v/>
      </c>
      <c r="VO10">
        <f>IF($B10=0,1000000,IF(INDEX('計算A'!$D$60:$II$104,$B10,5)*DA10=1,IF(AND($E10=2,MH10=0),1000000,INDEX('計算A'!H$110:H$114,$F10+1)+IF(AND($E10=1,MH10=0),1000,0)),1000000))</f>
        <v/>
      </c>
      <c r="VP10">
        <f>IF($B10=0,1000000,IF(INDEX('計算A'!$D$60:$II$104,$B10,6)*DB10=1,IF(AND($E10=2,MI10=0),1000000,INDEX('計算A'!I$110:I$114,$F10+1)+IF(AND($E10=1,MI10=0),1000,0)),1000000))</f>
        <v/>
      </c>
      <c r="VQ10">
        <f>IF($B10=0,1000000,IF(INDEX('計算A'!$D$60:$II$104,$B10,7)*DC10=1,IF(AND($E10=2,MJ10=0),1000000,INDEX('計算A'!J$110:J$114,$F10+1)+IF(AND($E10=1,MJ10=0),1000,0)),1000000))</f>
        <v/>
      </c>
      <c r="VR10">
        <f>IF($B10=0,1000000,IF(INDEX('計算A'!$D$60:$II$104,$B10,8)*DD10=1,IF(AND($E10=2,MK10=0),1000000,INDEX('計算A'!K$110:K$114,$F10+1)+IF(AND($E10=1,MK10=0),1000,0)),1000000))</f>
        <v/>
      </c>
      <c r="VS10">
        <f>IF($B10=0,1000000,IF(INDEX('計算A'!$D$60:$II$104,$B10,9)*DE10=1,IF(AND($E10=2,ML10=0),1000000,INDEX('計算A'!L$110:L$114,$F10+1)+IF(AND($E10=1,ML10=0),1000,0)),1000000))</f>
        <v/>
      </c>
      <c r="VT10">
        <f>IF($B10=0,1000000,IF(INDEX('計算A'!$D$60:$II$104,$B10,10)*DF10=1,IF(AND($E10=2,MM10=0),1000000,INDEX('計算A'!M$110:M$114,$F10+1)+IF(AND($E10=1,MM10=0),1000,0)),1000000))</f>
        <v/>
      </c>
      <c r="VU10">
        <f>IF($B10=0,1000000,IF(INDEX('計算A'!$D$60:$II$104,$B10,11)*DG10=1,IF(AND($E10=2,MN10=0),1000000,INDEX('計算A'!N$110:N$114,$F10+1)+IF(AND($E10=1,MN10=0),1000,0)),1000000))</f>
        <v/>
      </c>
      <c r="VV10">
        <f>IF($B10=0,1000000,IF(INDEX('計算A'!$D$60:$II$104,$B10,12)*DH10=1,IF(AND($E10=2,MO10=0),1000000,INDEX('計算A'!O$110:O$114,$F10+1)+IF(AND($E10=1,MO10=0),1000,0)),1000000))</f>
        <v/>
      </c>
      <c r="VW10">
        <f>IF($B10=0,1000000,IF(INDEX('計算A'!$D$60:$II$104,$B10,13)*DI10=1,IF(AND($E10=2,MP10=0),1000000,INDEX('計算A'!P$110:P$114,$F10+1)+IF(AND($E10=1,MP10=0),1000,0)),1000000))</f>
        <v/>
      </c>
      <c r="VX10">
        <f>IF($B10=0,1000000,IF(INDEX('計算A'!$D$60:$II$104,$B10,14)*DJ10=1,IF(AND($E10=2,MQ10=0),1000000,INDEX('計算A'!Q$110:Q$114,$F10+1)+IF(AND($E10=1,MQ10=0),1000,0)),1000000))</f>
        <v/>
      </c>
      <c r="VY10">
        <f>IF($B10=0,1000000,IF(INDEX('計算A'!$D$60:$II$104,$B10,15)*DK10=1,IF(AND($E10=2,MR10=0),1000000,INDEX('計算A'!R$110:R$114,$F10+1)+IF(AND($E10=1,MR10=0),1000,0)),1000000))</f>
        <v/>
      </c>
      <c r="VZ10">
        <f>IF($B10=0,1000000,IF(INDEX('計算A'!$D$60:$II$104,$B10,16)*DL10=1,IF(AND($E10=2,MS10=0),1000000,INDEX('計算A'!S$110:S$114,$F10+1)+IF(AND($E10=1,MS10=0),1000,0)),1000000))</f>
        <v/>
      </c>
      <c r="WA10">
        <f>IF($B10=0,1000000,IF(INDEX('計算A'!$D$60:$II$104,$B10,17)*DM10=1,IF(AND($E10=2,MT10=0),1000000,INDEX('計算A'!T$110:T$114,$F10+1)+IF(AND($E10=1,MT10=0),1000,0)),1000000))</f>
        <v/>
      </c>
      <c r="WB10">
        <f>IF($B10=0,1000000,IF(INDEX('計算A'!$D$60:$II$104,$B10,18)*DN10=1,IF(AND($E10=2,MU10=0),1000000,INDEX('計算A'!U$110:U$114,$F10+1)+IF(AND($E10=1,MU10=0),1000,0)),1000000))</f>
        <v/>
      </c>
      <c r="WC10">
        <f>IF($B10=0,1000000,IF(INDEX('計算A'!$D$60:$II$104,$B10,19)*DO10=1,IF(AND($E10=2,MV10=0),1000000,INDEX('計算A'!V$110:V$114,$F10+1)+IF(AND($E10=1,MV10=0),1000,0)),1000000))</f>
        <v/>
      </c>
      <c r="WD10">
        <f>IF($B10=0,1000000,IF(INDEX('計算A'!$D$60:$II$104,$B10,20)*DP10=1,IF(AND($E10=2,MW10=0),1000000,INDEX('計算A'!W$110:W$114,$F10+1)+IF(AND($E10=1,MW10=0),1000,0)),1000000))</f>
        <v/>
      </c>
      <c r="WE10">
        <f>IF($B10=0,1000000,IF(INDEX('計算A'!$D$60:$II$104,$B10,21)*DQ10=1,IF(AND($E10=2,MX10=0),1000000,INDEX('計算A'!X$110:X$114,$F10+1)+IF(AND($E10=1,MX10=0),1000,0)),1000000))</f>
        <v/>
      </c>
      <c r="WF10">
        <f>IF($B10=0,1000000,IF(INDEX('計算A'!$D$60:$II$104,$B10,22)*DR10=1,IF(AND($E10=2,MY10=0),1000000,INDEX('計算A'!Y$110:Y$114,$F10+1)+IF(AND($E10=1,MY10=0),1000,0)),1000000))</f>
        <v/>
      </c>
      <c r="WG10">
        <f>IF($B10=0,1000000,IF(INDEX('計算A'!$D$60:$II$104,$B10,23)*DS10=1,IF(AND($E10=2,MZ10=0),1000000,INDEX('計算A'!Z$110:Z$114,$F10+1)+IF(AND($E10=1,MZ10=0),1000,0)),1000000))</f>
        <v/>
      </c>
      <c r="WH10">
        <f>IF($B10=0,1000000,IF(INDEX('計算A'!$D$60:$II$104,$B10,24)*DT10=1,IF(AND($E10=2,NA10=0),1000000,INDEX('計算A'!AA$110:AA$114,$F10+1)+IF(AND($E10=1,NA10=0),1000,0)),1000000))</f>
        <v/>
      </c>
      <c r="WI10">
        <f>IF($B10=0,1000000,IF(INDEX('計算A'!$D$60:$II$104,$B10,25)*DU10=1,IF(AND($E10=2,NB10=0),1000000,INDEX('計算A'!AB$110:AB$114,$F10+1)+IF(AND($E10=1,NB10=0),1000,0)),1000000))</f>
        <v/>
      </c>
      <c r="WJ10">
        <f>IF($B10=0,1000000,IF(INDEX('計算A'!$D$60:$II$104,$B10,26)*DV10=1,IF(AND($E10=2,NC10=0),1000000,INDEX('計算A'!AC$110:AC$114,$F10+1)+IF(AND($E10=1,NC10=0),1000,0)),1000000))</f>
        <v/>
      </c>
      <c r="WK10">
        <f>IF($B10=0,1000000,IF(INDEX('計算A'!$D$60:$II$104,$B10,27)*DW10=1,IF(AND($E10=2,ND10=0),1000000,INDEX('計算A'!AD$110:AD$114,$F10+1)+IF(AND($E10=1,ND10=0),1000,0)),1000000))</f>
        <v/>
      </c>
      <c r="WL10">
        <f>IF($B10=0,1000000,IF(INDEX('計算A'!$D$60:$II$104,$B10,28)*DX10=1,IF(AND($E10=2,NE10=0),1000000,INDEX('計算A'!AE$110:AE$114,$F10+1)+IF(AND($E10=1,NE10=0),1000,0)),1000000))</f>
        <v/>
      </c>
      <c r="WM10">
        <f>IF($B10=0,1000000,IF(INDEX('計算A'!$D$60:$II$104,$B10,29)*DY10=1,IF(AND($E10=2,NF10=0),1000000,INDEX('計算A'!AF$110:AF$114,$F10+1)+IF(AND($E10=1,NF10=0),1000,0)),1000000))</f>
        <v/>
      </c>
      <c r="WN10">
        <f>IF($B10=0,1000000,IF(INDEX('計算A'!$D$60:$II$104,$B10,30)*DZ10=1,IF(AND($E10=2,NG10=0),1000000,INDEX('計算A'!AG$110:AG$114,$F10+1)+IF(AND($E10=1,NG10=0),1000,0)),1000000))</f>
        <v/>
      </c>
      <c r="WO10">
        <f>IF($B10=0,1000000,IF(INDEX('計算A'!$D$60:$II$104,$B10,31)*EA10=1,IF(AND($E10=2,NH10=0),1000000,INDEX('計算A'!AH$110:AH$114,$F10+1)+IF(AND($E10=1,NH10=0),1000,0)),1000000))</f>
        <v/>
      </c>
      <c r="WP10">
        <f>IF($B10=0,1000000,IF(INDEX('計算A'!$D$60:$II$104,$B10,32)*EB10=1,IF(AND($E10=2,NI10=0),1000000,INDEX('計算A'!AI$110:AI$114,$F10+1)+IF(AND($E10=1,NI10=0),1000,0)),1000000))</f>
        <v/>
      </c>
      <c r="WQ10">
        <f>IF($B10=0,1000000,IF(INDEX('計算A'!$D$60:$II$104,$B10,33)*EC10=1,IF(AND($E10=2,NJ10=0),1000000,INDEX('計算A'!AJ$110:AJ$114,$F10+1)+IF(AND($E10=1,NJ10=0),1000,0)),1000000))</f>
        <v/>
      </c>
      <c r="WR10">
        <f>IF($B10=0,1000000,IF(INDEX('計算A'!$D$60:$II$104,$B10,34)*ED10=1,IF(AND($E10=2,NK10=0),1000000,INDEX('計算A'!AK$110:AK$114,$F10+1)+IF(AND($E10=1,NK10=0),1000,0)),1000000))</f>
        <v/>
      </c>
      <c r="WS10">
        <f>IF($B10=0,1000000,IF(INDEX('計算A'!$D$60:$II$104,$B10,35)*EE10=1,IF(AND($E10=2,NL10=0),1000000,INDEX('計算A'!AL$110:AL$114,$F10+1)+IF(AND($E10=1,NL10=0),1000,0)),1000000))</f>
        <v/>
      </c>
      <c r="WT10">
        <f>IF($B10=0,1000000,IF(INDEX('計算A'!$D$60:$II$104,$B10,36)*EF10=1,IF(AND($E10=2,NM10=0),1000000,INDEX('計算A'!AM$110:AM$114,$F10+1)+IF(AND($E10=1,NM10=0),1000,0)),1000000))</f>
        <v/>
      </c>
      <c r="WU10">
        <f>IF($B10=0,1000000,IF(INDEX('計算A'!$D$60:$II$104,$B10,37)*EG10=1,IF(AND($E10=2,NN10=0),1000000,INDEX('計算A'!AN$110:AN$114,$F10+1)+IF(AND($E10=1,NN10=0),1000,0)),1000000))</f>
        <v/>
      </c>
      <c r="WV10">
        <f>IF($B10=0,1000000,IF(INDEX('計算A'!$D$60:$II$104,$B10,38)*EH10=1,IF(AND($E10=2,NO10=0),1000000,INDEX('計算A'!AO$110:AO$114,$F10+1)+IF(AND($E10=1,NO10=0),1000,0)),1000000))</f>
        <v/>
      </c>
      <c r="WW10">
        <f>IF($B10=0,1000000,IF(INDEX('計算A'!$D$60:$II$104,$B10,39)*EI10=1,IF(AND($E10=2,NP10=0),1000000,INDEX('計算A'!AP$110:AP$114,$F10+1)+IF(AND($E10=1,NP10=0),1000,0)),1000000))</f>
        <v/>
      </c>
      <c r="WX10">
        <f>IF($B10=0,1000000,IF(INDEX('計算A'!$D$60:$II$104,$B10,40)*EJ10=1,IF(AND($E10=2,NQ10=0),1000000,INDEX('計算A'!AQ$110:AQ$114,$F10+1)+IF(AND($E10=1,NQ10=0),1000,0)),1000000))</f>
        <v/>
      </c>
      <c r="WY10">
        <f>IF($B10=0,1000000,IF(INDEX('計算A'!$D$60:$II$104,$B10,41)*EK10=1,IF(AND($E10=2,NR10=0),1000000,INDEX('計算A'!AR$110:AR$114,$F10+1)+IF(AND($E10=1,NR10=0),1000,0)),1000000))</f>
        <v/>
      </c>
      <c r="WZ10">
        <f>IF($B10=0,1000000,IF(INDEX('計算A'!$D$60:$II$104,$B10,42)*EL10=1,IF(AND($E10=2,NS10=0),1000000,INDEX('計算A'!AS$110:AS$114,$F10+1)+IF(AND($E10=1,NS10=0),1000,0)),1000000))</f>
        <v/>
      </c>
      <c r="XA10">
        <f>IF($B10=0,1000000,IF(INDEX('計算A'!$D$60:$II$104,$B10,43)*EM10=1,IF(AND($E10=2,NT10=0),1000000,INDEX('計算A'!AT$110:AT$114,$F10+1)+IF(AND($E10=1,NT10=0),1000,0)),1000000))</f>
        <v/>
      </c>
      <c r="XB10">
        <f>IF($B10=0,1000000,IF(INDEX('計算A'!$D$60:$II$104,$B10,44)*EN10=1,IF(AND($E10=2,NU10=0),1000000,INDEX('計算A'!AU$110:AU$114,$F10+1)+IF(AND($E10=1,NU10=0),1000,0)),1000000))</f>
        <v/>
      </c>
      <c r="XC10">
        <f>IF($B10=0,1000000,IF(INDEX('計算A'!$D$60:$II$104,$B10,45)*EO10=1,IF(AND($E10=2,NV10=0),1000000,INDEX('計算A'!AV$110:AV$114,$F10+1)+IF(AND($E10=1,NV10=0),1000,0)),1000000))</f>
        <v/>
      </c>
      <c r="XD10">
        <f>IF($B10=0,1000000,IF(INDEX('計算A'!$D$60:$II$104,$B10,46)*EP10=1,IF(AND($E10=2,NW10=0),1000000,INDEX('計算A'!AW$110:AW$114,$F10+1)+IF(AND($E10=1,NW10=0),1000,0)),1000000))</f>
        <v/>
      </c>
      <c r="XE10">
        <f>IF($B10=0,1000000,IF(INDEX('計算A'!$D$60:$II$104,$B10,47)*EQ10=1,IF(AND($E10=2,NX10=0),1000000,INDEX('計算A'!AX$110:AX$114,$F10+1)+IF(AND($E10=1,NX10=0),1000,0)),1000000))</f>
        <v/>
      </c>
      <c r="XF10">
        <f>IF($B10=0,1000000,IF(INDEX('計算A'!$D$60:$II$104,$B10,48)*ER10=1,IF(AND($E10=2,NY10=0),1000000,INDEX('計算A'!AY$110:AY$114,$F10+1)+IF(AND($E10=1,NY10=0),1000,0)),1000000))</f>
        <v/>
      </c>
      <c r="XG10">
        <f>IF($B10=0,1000000,IF(INDEX('計算A'!$D$60:$II$104,$B10,49)*ES10=1,IF(AND($E10=2,NZ10=0),1000000,INDEX('計算A'!AZ$110:AZ$114,$F10+1)+IF(AND($E10=1,NZ10=0),1000,0)),1000000))</f>
        <v/>
      </c>
      <c r="XH10">
        <f>IF($B10=0,1000000,IF(INDEX('計算A'!$D$60:$II$104,$B10,50)*ET10=1,IF(AND($E10=2,OA10=0),1000000,INDEX('計算A'!BA$110:BA$114,$F10+1)+IF(AND($E10=1,OA10=0),1000,0)),1000000))</f>
        <v/>
      </c>
      <c r="XI10">
        <f>IF($B10=0,1000000,IF(INDEX('計算A'!$D$60:$II$104,$B10,51)*EU10=1,IF(AND($E10=2,OB10=0),1000000,INDEX('計算A'!BB$110:BB$114,$F10+1)+IF(AND($E10=1,OB10=0),1000,0)),1000000))</f>
        <v/>
      </c>
      <c r="XJ10">
        <f>IF($B10=0,1000000,IF(INDEX('計算A'!$D$60:$II$104,$B10,52)*EV10=1,IF(AND($E10=2,OC10=0),1000000,INDEX('計算A'!BC$110:BC$114,$F10+1)+IF(AND($E10=1,OC10=0),1000,0)),1000000))</f>
        <v/>
      </c>
      <c r="XK10">
        <f>IF($B10=0,1000000,IF(INDEX('計算A'!$D$60:$II$104,$B10,53)*EW10=1,IF(AND($E10=2,OD10=0),1000000,INDEX('計算A'!BD$110:BD$114,$F10+1)+IF(AND($E10=1,OD10=0),1000,0)),1000000))</f>
        <v/>
      </c>
      <c r="XL10">
        <f>IF($B10=0,1000000,IF(INDEX('計算A'!$D$60:$II$104,$B10,54)*EX10=1,IF(AND($E10=2,OE10=0),1000000,INDEX('計算A'!BE$110:BE$114,$F10+1)+IF(AND($E10=1,OE10=0),1000,0)),1000000))</f>
        <v/>
      </c>
      <c r="XM10">
        <f>IF($B10=0,1000000,IF(INDEX('計算A'!$D$60:$II$104,$B10,55)*EY10=1,IF(AND($E10=2,OF10=0),1000000,INDEX('計算A'!BF$110:BF$114,$F10+1)+IF(AND($E10=1,OF10=0),1000,0)),1000000))</f>
        <v/>
      </c>
      <c r="XN10">
        <f>IF($B10=0,1000000,IF(INDEX('計算A'!$D$60:$II$104,$B10,56)*EZ10=1,IF(AND($E10=2,OG10=0),1000000,INDEX('計算A'!BG$110:BG$114,$F10+1)+IF(AND($E10=1,OG10=0),1000,0)),1000000))</f>
        <v/>
      </c>
      <c r="XO10">
        <f>IF($B10=0,1000000,IF(INDEX('計算A'!$D$60:$II$104,$B10,57)*FA10=1,IF(AND($E10=2,OH10=0),1000000,INDEX('計算A'!BH$110:BH$114,$F10+1)+IF(AND($E10=1,OH10=0),1000,0)),1000000))</f>
        <v/>
      </c>
      <c r="XP10">
        <f>IF($B10=0,1000000,IF(INDEX('計算A'!$D$60:$II$104,$B10,58)*FB10=1,IF(AND($E10=2,OI10=0),1000000,INDEX('計算A'!BI$110:BI$114,$F10+1)+IF(AND($E10=1,OI10=0),1000,0)),1000000))</f>
        <v/>
      </c>
      <c r="XQ10">
        <f>IF($B10=0,1000000,IF(INDEX('計算A'!$D$60:$II$104,$B10,59)*FC10=1,IF(AND($E10=2,OJ10=0),1000000,INDEX('計算A'!BJ$110:BJ$114,$F10+1)+IF(AND($E10=1,OJ10=0),1000,0)),1000000))</f>
        <v/>
      </c>
      <c r="XR10">
        <f>IF($B10=0,1000000,IF(INDEX('計算A'!$D$60:$II$104,$B10,60)*FD10=1,IF(AND($E10=2,OK10=0),1000000,INDEX('計算A'!BK$110:BK$114,$F10+1)+IF(AND($E10=1,OK10=0),1000,0)),1000000))</f>
        <v/>
      </c>
      <c r="XS10">
        <f>IF($B10=0,1000000,IF(INDEX('計算A'!$D$60:$II$104,$B10,61)*FE10=1,IF(AND($E10=2,OL10=0),1000000,INDEX('計算A'!BL$110:BL$114,$F10+1)+IF(AND($E10=1,OL10=0),1000,0)),1000000))</f>
        <v/>
      </c>
      <c r="XT10">
        <f>IF($B10=0,1000000,IF(INDEX('計算A'!$D$60:$II$104,$B10,62)*FF10=1,IF(AND($E10=2,OM10=0),1000000,INDEX('計算A'!BM$110:BM$114,$F10+1)+IF(AND($E10=1,OM10=0),1000,0)),1000000))</f>
        <v/>
      </c>
      <c r="XU10">
        <f>IF($B10=0,1000000,IF(INDEX('計算A'!$D$60:$II$104,$B10,63)*FG10=1,IF(AND($E10=2,ON10=0),1000000,INDEX('計算A'!BN$110:BN$114,$F10+1)+IF(AND($E10=1,ON10=0),1000,0)),1000000))</f>
        <v/>
      </c>
      <c r="XV10">
        <f>IF($B10=0,1000000,IF(INDEX('計算A'!$D$60:$II$104,$B10,64)*FH10=1,IF(AND($E10=2,OO10=0),1000000,INDEX('計算A'!BO$110:BO$114,$F10+1)+IF(AND($E10=1,OO10=0),1000,0)),1000000))</f>
        <v/>
      </c>
      <c r="XW10">
        <f>IF($B10=0,1000000,IF(INDEX('計算A'!$D$60:$II$104,$B10,65)*FI10=1,IF(AND($E10=2,OP10=0),1000000,INDEX('計算A'!BP$110:BP$114,$F10+1)+IF(AND($E10=1,OP10=0),1000,0)),1000000))</f>
        <v/>
      </c>
      <c r="XX10">
        <f>IF($B10=0,1000000,IF(INDEX('計算A'!$D$60:$II$104,$B10,66)*FJ10=1,IF(AND($E10=2,OQ10=0),1000000,INDEX('計算A'!BQ$110:BQ$114,$F10+1)+IF(AND($E10=1,OQ10=0),1000,0)),1000000))</f>
        <v/>
      </c>
      <c r="XY10">
        <f>IF($B10=0,1000000,IF(INDEX('計算A'!$D$60:$II$104,$B10,67)*FK10=1,IF(AND($E10=2,OR10=0),1000000,INDEX('計算A'!BR$110:BR$114,$F10+1)+IF(AND($E10=1,OR10=0),1000,0)),1000000))</f>
        <v/>
      </c>
      <c r="XZ10">
        <f>IF($B10=0,1000000,IF(INDEX('計算A'!$D$60:$II$104,$B10,68)*FL10=1,IF(AND($E10=2,OS10=0),1000000,INDEX('計算A'!BS$110:BS$114,$F10+1)+IF(AND($E10=1,OS10=0),1000,0)),1000000))</f>
        <v/>
      </c>
      <c r="YA10">
        <f>IF($B10=0,1000000,IF(INDEX('計算A'!$D$60:$II$104,$B10,69)*FM10=1,IF(AND($E10=2,OT10=0),1000000,INDEX('計算A'!BT$110:BT$114,$F10+1)+IF(AND($E10=1,OT10=0),1000,0)),1000000))</f>
        <v/>
      </c>
      <c r="YB10">
        <f>IF($B10=0,1000000,IF(INDEX('計算A'!$D$60:$II$104,$B10,70)*FN10=1,IF(AND($E10=2,OU10=0),1000000,INDEX('計算A'!BU$110:BU$114,$F10+1)+IF(AND($E10=1,OU10=0),1000,0)),1000000))</f>
        <v/>
      </c>
      <c r="YC10">
        <f>IF($B10=0,1000000,IF(INDEX('計算A'!$D$60:$II$104,$B10,71)*FO10=1,IF(AND($E10=2,OV10=0),1000000,INDEX('計算A'!BV$110:BV$114,$F10+1)+IF(AND($E10=1,OV10=0),1000,0)),1000000))</f>
        <v/>
      </c>
      <c r="YD10">
        <f>IF($B10=0,1000000,IF(INDEX('計算A'!$D$60:$II$104,$B10,72)*FP10=1,IF(AND($E10=2,OW10=0),1000000,INDEX('計算A'!BW$110:BW$114,$F10+1)+IF(AND($E10=1,OW10=0),1000,0)),1000000))</f>
        <v/>
      </c>
      <c r="YE10">
        <f>IF($B10=0,1000000,IF(INDEX('計算A'!$D$60:$II$104,$B10,73)*FQ10=1,IF(AND($E10=2,OX10=0),1000000,INDEX('計算A'!BX$110:BX$114,$F10+1)+IF(AND($E10=1,OX10=0),1000,0)),1000000))</f>
        <v/>
      </c>
      <c r="YF10">
        <f>IF($B10=0,1000000,IF(INDEX('計算A'!$D$60:$II$104,$B10,74)*FR10=1,IF(AND($E10=2,OY10=0),1000000,INDEX('計算A'!BY$110:BY$114,$F10+1)+IF(AND($E10=1,OY10=0),1000,0)),1000000))</f>
        <v/>
      </c>
      <c r="YG10">
        <f>IF($B10=0,1000000,IF(INDEX('計算A'!$D$60:$II$104,$B10,75)*FS10=1,IF(AND($E10=2,OZ10=0),1000000,INDEX('計算A'!BZ$110:BZ$114,$F10+1)+IF(AND($E10=1,OZ10=0),1000,0)),1000000))</f>
        <v/>
      </c>
      <c r="YH10">
        <f>IF($B10=0,1000000,IF(INDEX('計算A'!$D$60:$II$104,$B10,76)*FT10=1,IF(AND($E10=2,PA10=0),1000000,INDEX('計算A'!CA$110:CA$114,$F10+1)+IF(AND($E10=1,PA10=0),1000,0)),1000000))</f>
        <v/>
      </c>
      <c r="YI10">
        <f>IF($B10=0,1000000,IF(INDEX('計算A'!$D$60:$II$104,$B10,77)*FU10=1,IF(AND($E10=2,PB10=0),1000000,INDEX('計算A'!CB$110:CB$114,$F10+1)+IF(AND($E10=1,PB10=0),1000,0)),1000000))</f>
        <v/>
      </c>
      <c r="YJ10">
        <f>IF($B10=0,1000000,IF(INDEX('計算A'!$D$60:$II$104,$B10,78)*FV10=1,IF(AND($E10=2,PC10=0),1000000,INDEX('計算A'!CC$110:CC$114,$F10+1)+IF(AND($E10=1,PC10=0),1000,0)),1000000))</f>
        <v/>
      </c>
      <c r="YK10">
        <f>IF($B10=0,1000000,IF(INDEX('計算A'!$D$60:$II$104,$B10,79)*FW10=1,IF(AND($E10=2,PD10=0),1000000,INDEX('計算A'!CD$110:CD$114,$F10+1)+IF(AND($E10=1,PD10=0),1000,0)),1000000))</f>
        <v/>
      </c>
      <c r="YL10">
        <f>IF($B10=0,1000000,IF(INDEX('計算A'!$D$60:$II$104,$B10,80)*FX10=1,IF(AND($E10=2,PE10=0),1000000,INDEX('計算A'!CE$110:CE$114,$F10+1)+IF(AND($E10=1,PE10=0),1000,0)),1000000))</f>
        <v/>
      </c>
      <c r="YM10">
        <f>IF($B10=0,1000000,IF(INDEX('計算A'!$D$60:$II$104,$B10,81)*FY10=1,IF(AND($E10=2,PF10=0),1000000,INDEX('計算A'!CF$110:CF$114,$F10+1)+IF(AND($E10=1,PF10=0),1000,0)),1000000))</f>
        <v/>
      </c>
      <c r="YN10">
        <f>IF($B10=0,1000000,IF(INDEX('計算A'!$D$60:$II$104,$B10,82)*FZ10=1,IF(AND($E10=2,PG10=0),1000000,INDEX('計算A'!CG$110:CG$114,$F10+1)+IF(AND($E10=1,PG10=0),1000,0)),1000000))</f>
        <v/>
      </c>
      <c r="YO10">
        <f>IF($B10=0,1000000,IF(INDEX('計算A'!$D$60:$II$104,$B10,83)*GA10=1,IF(AND($E10=2,PH10=0),1000000,INDEX('計算A'!CH$110:CH$114,$F10+1)+IF(AND($E10=1,PH10=0),1000,0)),1000000))</f>
        <v/>
      </c>
      <c r="YP10">
        <f>IF($B10=0,1000000,IF(INDEX('計算A'!$D$60:$II$104,$B10,84)*GB10=1,IF(AND($E10=2,PI10=0),1000000,INDEX('計算A'!CI$110:CI$114,$F10+1)+IF(AND($E10=1,PI10=0),1000,0)),1000000))</f>
        <v/>
      </c>
      <c r="YQ10">
        <f>IF($B10=0,1000000,IF(INDEX('計算A'!$D$60:$II$104,$B10,85)*GC10=1,IF(AND($E10=2,PJ10=0),1000000,INDEX('計算A'!CJ$110:CJ$114,$F10+1)+IF(AND($E10=1,PJ10=0),1000,0)),1000000))</f>
        <v/>
      </c>
      <c r="YR10">
        <f>IF($B10=0,1000000,IF(INDEX('計算A'!$D$60:$II$104,$B10,86)*GD10=1,IF(AND($E10=2,PK10=0),1000000,INDEX('計算A'!CK$110:CK$114,$F10+1)+IF(AND($E10=1,PK10=0),1000,0)),1000000))</f>
        <v/>
      </c>
      <c r="YS10">
        <f>IF($B10=0,1000000,IF(INDEX('計算A'!$D$60:$II$104,$B10,87)*GE10=1,IF(AND($E10=2,PL10=0),1000000,INDEX('計算A'!CL$110:CL$114,$F10+1)+IF(AND($E10=1,PL10=0),1000,0)),1000000))</f>
        <v/>
      </c>
      <c r="YT10">
        <f>IF($B10=0,1000000,IF(INDEX('計算A'!$D$60:$II$104,$B10,88)*GF10=1,IF(AND($E10=2,PM10=0),1000000,INDEX('計算A'!CM$110:CM$114,$F10+1)+IF(AND($E10=1,PM10=0),1000,0)),1000000))</f>
        <v/>
      </c>
      <c r="YU10">
        <f>IF($B10=0,1000000,IF(INDEX('計算A'!$D$60:$II$104,$B10,89)*GG10=1,IF(AND($E10=2,PN10=0),1000000,INDEX('計算A'!CN$110:CN$114,$F10+1)+IF(AND($E10=1,PN10=0),1000,0)),1000000))</f>
        <v/>
      </c>
      <c r="YV10">
        <f>IF($B10=0,1000000,IF(INDEX('計算A'!$D$60:$II$104,$B10,90)*GH10=1,IF(AND($E10=2,PO10=0),1000000,INDEX('計算A'!CO$110:CO$114,$F10+1)+IF(AND($E10=1,PO10=0),1000,0)),1000000))</f>
        <v/>
      </c>
      <c r="YW10">
        <f>IF($B10=0,1000000,IF(INDEX('計算A'!$D$60:$II$104,$B10,91)*GI10=1,IF(AND($E10=2,PP10=0),1000000,INDEX('計算A'!CP$110:CP$114,$F10+1)+IF(AND($E10=1,PP10=0),1000,0)),1000000))</f>
        <v/>
      </c>
      <c r="YX10">
        <f>IF($B10=0,1000000,IF(INDEX('計算A'!$D$60:$II$104,$B10,92)*GJ10=1,IF(AND($E10=2,PQ10=0),1000000,INDEX('計算A'!CQ$110:CQ$114,$F10+1)+IF(AND($E10=1,PQ10=0),1000,0)),1000000))</f>
        <v/>
      </c>
      <c r="YY10">
        <f>IF($B10=0,1000000,IF(INDEX('計算A'!$D$60:$II$104,$B10,93)*GK10=1,IF(AND($E10=2,PR10=0),1000000,INDEX('計算A'!CR$110:CR$114,$F10+1)+IF(AND($E10=1,PR10=0),1000,0)),1000000))</f>
        <v/>
      </c>
      <c r="YZ10">
        <f>IF($B10=0,1000000,IF(INDEX('計算A'!$D$60:$II$104,$B10,94)*GL10=1,IF(AND($E10=2,PS10=0),1000000,INDEX('計算A'!CS$110:CS$114,$F10+1)+IF(AND($E10=1,PS10=0),1000,0)),1000000))</f>
        <v/>
      </c>
      <c r="ZA10">
        <f>IF($B10=0,1000000,IF(INDEX('計算A'!$D$60:$II$104,$B10,95)*GM10=1,IF(AND($E10=2,PT10=0),1000000,INDEX('計算A'!CT$110:CT$114,$F10+1)+IF(AND($E10=1,PT10=0),1000,0)),1000000))</f>
        <v/>
      </c>
      <c r="ZB10">
        <f>IF($B10=0,1000000,IF(INDEX('計算A'!$D$60:$II$104,$B10,96)*GN10=1,IF(AND($E10=2,PU10=0),1000000,INDEX('計算A'!CU$110:CU$114,$F10+1)+IF(AND($E10=1,PU10=0),1000,0)),1000000))</f>
        <v/>
      </c>
      <c r="ZC10">
        <f>IF($B10=0,1000000,IF(INDEX('計算A'!$D$60:$II$104,$B10,97)*GO10=1,IF(AND($E10=2,PV10=0),1000000,INDEX('計算A'!CV$110:CV$114,$F10+1)+IF(AND($E10=1,PV10=0),1000,0)),1000000))</f>
        <v/>
      </c>
      <c r="ZD10">
        <f>IF($B10=0,1000000,IF(INDEX('計算A'!$D$60:$II$104,$B10,98)*GP10=1,IF(AND($E10=2,PW10=0),1000000,INDEX('計算A'!CW$110:CW$114,$F10+1)+IF(AND($E10=1,PW10=0),1000,0)),1000000))</f>
        <v/>
      </c>
      <c r="ZE10">
        <f>IF($B10=0,1000000,IF(INDEX('計算A'!$D$60:$II$104,$B10,99)*GQ10=1,IF(AND($E10=2,PX10=0),1000000,INDEX('計算A'!CX$110:CX$114,$F10+1)+IF(AND($E10=1,PX10=0),1000,0)),1000000))</f>
        <v/>
      </c>
      <c r="ZF10">
        <f>IF($B10=0,1000000,IF(INDEX('計算A'!$D$60:$II$104,$B10,100)*GR10=1,IF(AND($E10=2,PY10=0),1000000,INDEX('計算A'!CY$110:CY$114,$F10+1)+IF(AND($E10=1,PY10=0),1000,0)),1000000))</f>
        <v/>
      </c>
      <c r="ZG10">
        <f>IF($B10=0,1000000,IF(INDEX('計算A'!$D$60:$II$104,$B10,101)*GS10=1,IF(AND($E10=2,PZ10=0),1000000,INDEX('計算A'!CZ$110:CZ$114,$F10+1)+IF(AND($E10=1,PZ10=0),1000,0)),1000000))</f>
        <v/>
      </c>
      <c r="ZH10">
        <f>IF($B10=0,1000000,IF(INDEX('計算A'!$D$60:$II$104,$B10,102)*GT10=1,IF(AND($E10=2,QA10=0),1000000,INDEX('計算A'!DA$110:DA$114,$F10+1)+IF(AND($E10=1,QA10=0),1000,0)),1000000))</f>
        <v/>
      </c>
      <c r="ZI10">
        <f>IF($B10=0,1000000,IF(INDEX('計算A'!$D$60:$II$104,$B10,103)*GU10=1,IF(AND($E10=2,QB10=0),1000000,INDEX('計算A'!DB$110:DB$114,$F10+1)+IF(AND($E10=1,QB10=0),1000,0)),1000000))</f>
        <v/>
      </c>
      <c r="ZJ10">
        <f>IF($B10=0,1000000,IF(INDEX('計算A'!$D$60:$II$104,$B10,104)*GV10=1,IF(AND($E10=2,QC10=0),1000000,INDEX('計算A'!DC$110:DC$114,$F10+1)+IF(AND($E10=1,QC10=0),1000,0)),1000000))</f>
        <v/>
      </c>
      <c r="ZK10">
        <f>IF($B10=0,1000000,IF(INDEX('計算A'!$D$60:$II$104,$B10,105)*GW10=1,IF(AND($E10=2,QD10=0),1000000,INDEX('計算A'!DD$110:DD$114,$F10+1)+IF(AND($E10=1,QD10=0),1000,0)),1000000))</f>
        <v/>
      </c>
      <c r="ZL10">
        <f>IF($B10=0,1000000,IF(INDEX('計算A'!$D$60:$II$104,$B10,106)*GX10=1,IF(AND($E10=2,QE10=0),1000000,INDEX('計算A'!DE$110:DE$114,$F10+1)+IF(AND($E10=1,QE10=0),1000,0)),1000000))</f>
        <v/>
      </c>
      <c r="ZM10">
        <f>IF($B10=0,1000000,IF(INDEX('計算A'!$D$60:$II$104,$B10,107)*GY10=1,IF(AND($E10=2,QF10=0),1000000,INDEX('計算A'!DF$110:DF$114,$F10+1)+IF(AND($E10=1,QF10=0),1000,0)),1000000))</f>
        <v/>
      </c>
      <c r="ZN10">
        <f>IF($B10=0,1000000,IF(INDEX('計算A'!$D$60:$II$104,$B10,108)*GZ10=1,IF(AND($E10=2,QG10=0),1000000,INDEX('計算A'!DG$110:DG$114,$F10+1)+IF(AND($E10=1,QG10=0),1000,0)),1000000))</f>
        <v/>
      </c>
      <c r="ZO10">
        <f>IF($B10=0,1000000,IF(INDEX('計算A'!$D$60:$II$104,$B10,109)*HA10=1,IF(AND($E10=2,QH10=0),1000000,INDEX('計算A'!DH$110:DH$114,$F10+1)+IF(AND($E10=1,QH10=0),1000,0)),1000000))</f>
        <v/>
      </c>
      <c r="ZP10">
        <f>IF($B10=0,1000000,IF(INDEX('計算A'!$D$60:$II$104,$B10,110)*HB10=1,IF(AND($E10=2,QI10=0),1000000,INDEX('計算A'!DI$110:DI$114,$F10+1)+IF(AND($E10=1,QI10=0),1000,0)),1000000))</f>
        <v/>
      </c>
      <c r="ZQ10">
        <f>IF($B10=0,1000000,IF(INDEX('計算A'!$D$60:$II$104,$B10,111)*HC10=1,IF(AND($E10=2,QJ10=0),1000000,INDEX('計算A'!DJ$110:DJ$114,$F10+1)+IF(AND($E10=1,QJ10=0),1000,0)),1000000))</f>
        <v/>
      </c>
      <c r="ZR10">
        <f>IF($B10=0,1000000,IF(INDEX('計算A'!$D$60:$II$104,$B10,112)*HD10=1,IF(AND($E10=2,QK10=0),1000000,INDEX('計算A'!DK$110:DK$114,$F10+1)+IF(AND($E10=1,QK10=0),1000,0)),1000000))</f>
        <v/>
      </c>
      <c r="ZS10">
        <f>IF($B10=0,1000000,IF(INDEX('計算A'!$D$60:$II$104,$B10,113)*HE10=1,IF(AND($E10=2,QL10=0),1000000,INDEX('計算A'!DL$110:DL$114,$F10+1)+IF(AND($E10=1,QL10=0),1000,0)),1000000))</f>
        <v/>
      </c>
      <c r="ZT10">
        <f>IF($B10=0,1000000,IF(INDEX('計算A'!$D$60:$II$104,$B10,114)*HF10=1,IF(AND($E10=2,QM10=0),1000000,INDEX('計算A'!DM$110:DM$114,$F10+1)+IF(AND($E10=1,QM10=0),1000,0)),1000000))</f>
        <v/>
      </c>
      <c r="ZU10">
        <f>IF($B10=0,1000000,IF(INDEX('計算A'!$D$60:$II$104,$B10,115)*HG10=1,IF(AND($E10=2,QN10=0),1000000,INDEX('計算A'!DN$110:DN$114,$F10+1)+IF(AND($E10=1,QN10=0),1000,0)),1000000))</f>
        <v/>
      </c>
      <c r="ZV10">
        <f>IF($B10=0,1000000,IF(INDEX('計算A'!$D$60:$II$104,$B10,116)*HH10=1,IF(AND($E10=2,QO10=0),1000000,INDEX('計算A'!DO$110:DO$114,$F10+1)+IF(AND($E10=1,QO10=0),1000,0)),1000000))</f>
        <v/>
      </c>
      <c r="ZW10">
        <f>IF($B10=0,1000000,IF(INDEX('計算A'!$D$60:$II$104,$B10,117)*HI10=1,IF(AND($E10=2,QP10=0),1000000,INDEX('計算A'!DP$110:DP$114,$F10+1)+IF(AND($E10=1,QP10=0),1000,0)),1000000))</f>
        <v/>
      </c>
      <c r="ZX10">
        <f>IF($B10=0,1000000,IF(INDEX('計算A'!$D$60:$II$104,$B10,118)*HJ10=1,IF(AND($E10=2,QQ10=0),1000000,INDEX('計算A'!DQ$110:DQ$114,$F10+1)+IF(AND($E10=1,QQ10=0),1000,0)),1000000))</f>
        <v/>
      </c>
      <c r="ZY10">
        <f>IF($B10=0,1000000,IF(INDEX('計算A'!$D$60:$II$104,$B10,119)*HK10=1,IF(AND($E10=2,QR10=0),1000000,INDEX('計算A'!DR$110:DR$114,$F10+1)+IF(AND($E10=1,QR10=0),1000,0)),1000000))</f>
        <v/>
      </c>
      <c r="ZZ10">
        <f>IF($B10=0,1000000,IF(INDEX('計算A'!$D$60:$II$104,$B10,120)*HL10=1,IF(AND($E10=2,QS10=0),1000000,INDEX('計算A'!DS$110:DS$114,$F10+1)+IF(AND($E10=1,QS10=0),1000,0)),1000000))</f>
        <v/>
      </c>
      <c r="AAA10">
        <f>IF($B10=0,1000000,IF(INDEX('計算A'!$D$60:$II$104,$B10,121)*HM10=1,IF(AND($E10=2,QT10=0),1000000,INDEX('計算A'!DT$110:DT$114,$F10+1)+IF(AND($E10=1,QT10=0),1000,0)),1000000))</f>
        <v/>
      </c>
      <c r="AAB10">
        <f>IF($B10=0,1000000,IF(INDEX('計算A'!$D$60:$II$104,$B10,122)*HN10=1,IF(AND($E10=2,QU10=0),1000000,INDEX('計算A'!DU$110:DU$114,$F10+1)+IF(AND($E10=1,QU10=0),1000,0)),1000000))</f>
        <v/>
      </c>
      <c r="AAC10">
        <f>IF($B10=0,1000000,IF(INDEX('計算A'!$D$60:$II$104,$B10,123)*HO10=1,IF(AND($E10=2,QV10=0),1000000,INDEX('計算A'!DV$110:DV$114,$F10+1)+IF(AND($E10=1,QV10=0),1000,0)),1000000))</f>
        <v/>
      </c>
      <c r="AAD10">
        <f>IF($B10=0,1000000,IF(INDEX('計算A'!$D$60:$II$104,$B10,124)*HP10=1,IF(AND($E10=2,QW10=0),1000000,INDEX('計算A'!DW$110:DW$114,$F10+1)+IF(AND($E10=1,QW10=0),1000,0)),1000000))</f>
        <v/>
      </c>
      <c r="AAE10">
        <f>IF($B10=0,1000000,IF(INDEX('計算A'!$D$60:$II$104,$B10,125)*HQ10=1,IF(AND($E10=2,QX10=0),1000000,INDEX('計算A'!DX$110:DX$114,$F10+1)+IF(AND($E10=1,QX10=0),1000,0)),1000000))</f>
        <v/>
      </c>
      <c r="AAF10">
        <f>IF($B10=0,1000000,IF(INDEX('計算A'!$D$60:$II$104,$B10,126)*HR10=1,IF(AND($E10=2,QY10=0),1000000,INDEX('計算A'!DY$110:DY$114,$F10+1)+IF(AND($E10=1,QY10=0),1000,0)),1000000))</f>
        <v/>
      </c>
      <c r="AAG10">
        <f>IF($B10=0,1000000,IF(INDEX('計算A'!$D$60:$II$104,$B10,127)*HS10=1,IF(AND($E10=2,QZ10=0),1000000,INDEX('計算A'!DZ$110:DZ$114,$F10+1)+IF(AND($E10=1,QZ10=0),1000,0)),1000000))</f>
        <v/>
      </c>
      <c r="AAH10">
        <f>IF($B10=0,1000000,IF(INDEX('計算A'!$D$60:$II$104,$B10,128)*HT10=1,IF(AND($E10=2,RA10=0),1000000,INDEX('計算A'!EA$110:EA$114,$F10+1)+IF(AND($E10=1,RA10=0),1000,0)),1000000))</f>
        <v/>
      </c>
      <c r="AAI10">
        <f>IF($B10=0,1000000,IF(INDEX('計算A'!$D$60:$II$104,$B10,129)*HU10=1,IF(AND($E10=2,RB10=0),1000000,INDEX('計算A'!EB$110:EB$114,$F10+1)+IF(AND($E10=1,RB10=0),1000,0)),1000000))</f>
        <v/>
      </c>
      <c r="AAJ10">
        <f>IF($B10=0,1000000,IF(INDEX('計算A'!$D$60:$II$104,$B10,130)*HV10=1,IF(AND($E10=2,RC10=0),1000000,INDEX('計算A'!EC$110:EC$114,$F10+1)+IF(AND($E10=1,RC10=0),1000,0)),1000000))</f>
        <v/>
      </c>
      <c r="AAK10">
        <f>IF($B10=0,1000000,IF(INDEX('計算A'!$D$60:$II$104,$B10,131)*HW10=1,IF(AND($E10=2,RD10=0),1000000,INDEX('計算A'!ED$110:ED$114,$F10+1)+IF(AND($E10=1,RD10=0),1000,0)),1000000))</f>
        <v/>
      </c>
      <c r="AAL10">
        <f>IF($B10=0,1000000,IF(INDEX('計算A'!$D$60:$II$104,$B10,132)*HX10=1,IF(AND($E10=2,RE10=0),1000000,INDEX('計算A'!EE$110:EE$114,$F10+1)+IF(AND($E10=1,RE10=0),1000,0)),1000000))</f>
        <v/>
      </c>
      <c r="AAM10">
        <f>IF($B10=0,1000000,IF(INDEX('計算A'!$D$60:$II$104,$B10,133)*HY10=1,IF(AND($E10=2,RF10=0),1000000,INDEX('計算A'!EF$110:EF$114,$F10+1)+IF(AND($E10=1,RF10=0),1000,0)),1000000))</f>
        <v/>
      </c>
      <c r="AAN10">
        <f>IF($B10=0,1000000,IF(INDEX('計算A'!$D$60:$II$104,$B10,134)*HZ10=1,IF(AND($E10=2,RG10=0),1000000,INDEX('計算A'!EG$110:EG$114,$F10+1)+IF(AND($E10=1,RG10=0),1000,0)),1000000))</f>
        <v/>
      </c>
      <c r="AAO10">
        <f>IF($B10=0,1000000,IF(INDEX('計算A'!$D$60:$II$104,$B10,135)*IA10=1,IF(AND($E10=2,RH10=0),1000000,INDEX('計算A'!EH$110:EH$114,$F10+1)+IF(AND($E10=1,RH10=0),1000,0)),1000000))</f>
        <v/>
      </c>
      <c r="AAP10">
        <f>IF($B10=0,1000000,IF(INDEX('計算A'!$D$60:$II$104,$B10,136)*IB10=1,IF(AND($E10=2,RI10=0),1000000,INDEX('計算A'!EI$110:EI$114,$F10+1)+IF(AND($E10=1,RI10=0),1000,0)),1000000))</f>
        <v/>
      </c>
      <c r="AAQ10">
        <f>IF($B10=0,1000000,IF(INDEX('計算A'!$D$60:$II$104,$B10,137)*IC10=1,IF(AND($E10=2,RJ10=0),1000000,INDEX('計算A'!EJ$110:EJ$114,$F10+1)+IF(AND($E10=1,RJ10=0),1000,0)),1000000))</f>
        <v/>
      </c>
      <c r="AAR10">
        <f>IF($B10=0,1000000,IF(INDEX('計算A'!$D$60:$II$104,$B10,138)*ID10=1,IF(AND($E10=2,RK10=0),1000000,INDEX('計算A'!EK$110:EK$114,$F10+1)+IF(AND($E10=1,RK10=0),1000,0)),1000000))</f>
        <v/>
      </c>
      <c r="AAS10">
        <f>IF($B10=0,1000000,IF(INDEX('計算A'!$D$60:$II$104,$B10,139)*IE10=1,IF(AND($E10=2,RL10=0),1000000,INDEX('計算A'!EL$110:EL$114,$F10+1)+IF(AND($E10=1,RL10=0),1000,0)),1000000))</f>
        <v/>
      </c>
      <c r="AAT10">
        <f>IF($B10=0,1000000,IF(INDEX('計算A'!$D$60:$II$104,$B10,140)*IF10=1,IF(AND($E10=2,RM10=0),1000000,INDEX('計算A'!EM$110:EM$114,$F10+1)+IF(AND($E10=1,RM10=0),1000,0)),1000000))</f>
        <v/>
      </c>
      <c r="AAU10">
        <f>IF($B10=0,1000000,IF(INDEX('計算A'!$D$60:$II$104,$B10,141)*IG10=1,IF(AND($E10=2,RN10=0),1000000,INDEX('計算A'!EN$110:EN$114,$F10+1)+IF(AND($E10=1,RN10=0),1000,0)),1000000))</f>
        <v/>
      </c>
      <c r="AAV10">
        <f>IF($B10=0,1000000,IF(INDEX('計算A'!$D$60:$II$104,$B10,142)*IH10=1,IF(AND($E10=2,RO10=0),1000000,INDEX('計算A'!EO$110:EO$114,$F10+1)+IF(AND($E10=1,RO10=0),1000,0)),1000000))</f>
        <v/>
      </c>
      <c r="AAW10">
        <f>IF($B10=0,1000000,IF(INDEX('計算A'!$D$60:$II$104,$B10,143)*II10=1,IF(AND($E10=2,RP10=0),1000000,INDEX('計算A'!EP$110:EP$114,$F10+1)+IF(AND($E10=1,RP10=0),1000,0)),1000000))</f>
        <v/>
      </c>
      <c r="AAX10">
        <f>IF($B10=0,1000000,IF(INDEX('計算A'!$D$60:$II$104,$B10,144)*IJ10=1,IF(AND($E10=2,RQ10=0),1000000,INDEX('計算A'!EQ$110:EQ$114,$F10+1)+IF(AND($E10=1,RQ10=0),1000,0)),1000000))</f>
        <v/>
      </c>
      <c r="AAY10">
        <f>IF($B10=0,1000000,IF(INDEX('計算A'!$D$60:$II$104,$B10,145)*IK10=1,IF(AND($E10=2,RR10=0),1000000,INDEX('計算A'!ER$110:ER$114,$F10+1)+IF(AND($E10=1,RR10=0),1000,0)),1000000))</f>
        <v/>
      </c>
      <c r="AAZ10">
        <f>IF($B10=0,1000000,IF(INDEX('計算A'!$D$60:$II$104,$B10,146)*IL10=1,IF(AND($E10=2,RS10=0),1000000,INDEX('計算A'!ES$110:ES$114,$F10+1)+IF(AND($E10=1,RS10=0),1000,0)),1000000))</f>
        <v/>
      </c>
      <c r="ABA10">
        <f>IF($B10=0,1000000,IF(INDEX('計算A'!$D$60:$II$104,$B10,147)*IM10=1,IF(AND($E10=2,RT10=0),1000000,INDEX('計算A'!ET$110:ET$114,$F10+1)+IF(AND($E10=1,RT10=0),1000,0)),1000000))</f>
        <v/>
      </c>
      <c r="ABB10">
        <f>IF($B10=0,1000000,IF(INDEX('計算A'!$D$60:$II$104,$B10,148)*IN10=1,IF(AND($E10=2,RU10=0),1000000,INDEX('計算A'!EU$110:EU$114,$F10+1)+IF(AND($E10=1,RU10=0),1000,0)),1000000))</f>
        <v/>
      </c>
      <c r="ABC10">
        <f>IF($B10=0,1000000,IF(INDEX('計算A'!$D$60:$II$104,$B10,149)*IO10=1,IF(AND($E10=2,RV10=0),1000000,INDEX('計算A'!EV$110:EV$114,$F10+1)+IF(AND($E10=1,RV10=0),1000,0)),1000000))</f>
        <v/>
      </c>
      <c r="ABD10">
        <f>IF($B10=0,1000000,IF(INDEX('計算A'!$D$60:$II$104,$B10,150)*IP10=1,IF(AND($E10=2,RW10=0),1000000,INDEX('計算A'!EW$110:EW$114,$F10+1)+IF(AND($E10=1,RW10=0),1000,0)),1000000))</f>
        <v/>
      </c>
      <c r="ABE10">
        <f>IF($B10=0,1000000,IF(INDEX('計算A'!$D$60:$II$104,$B10,151)*IQ10=1,IF(AND($E10=2,RX10=0),1000000,INDEX('計算A'!EX$110:EX$114,$F10+1)+IF(AND($E10=1,RX10=0),1000,0)),1000000))</f>
        <v/>
      </c>
      <c r="ABF10">
        <f>IF($B10=0,1000000,IF(INDEX('計算A'!$D$60:$II$104,$B10,152)*IR10=1,IF(AND($E10=2,RY10=0),1000000,INDEX('計算A'!EY$110:EY$114,$F10+1)+IF(AND($E10=1,RY10=0),1000,0)),1000000))</f>
        <v/>
      </c>
      <c r="ABG10">
        <f>IF($B10=0,1000000,IF(INDEX('計算A'!$D$60:$II$104,$B10,153)*IS10=1,IF(AND($E10=2,RZ10=0),1000000,INDEX('計算A'!EZ$110:EZ$114,$F10+1)+IF(AND($E10=1,RZ10=0),1000,0)),1000000))</f>
        <v/>
      </c>
      <c r="ABH10">
        <f>IF($B10=0,1000000,IF(INDEX('計算A'!$D$60:$II$104,$B10,154)*IT10=1,IF(AND($E10=2,SA10=0),1000000,INDEX('計算A'!FA$110:FA$114,$F10+1)+IF(AND($E10=1,SA10=0),1000,0)),1000000))</f>
        <v/>
      </c>
      <c r="ABI10">
        <f>IF($B10=0,1000000,IF(INDEX('計算A'!$D$60:$II$104,$B10,155)*IU10=1,IF(AND($E10=2,SB10=0),1000000,INDEX('計算A'!FB$110:FB$114,$F10+1)+IF(AND($E10=1,SB10=0),1000,0)),1000000))</f>
        <v/>
      </c>
      <c r="ABJ10">
        <f>IF($B10=0,1000000,IF(INDEX('計算A'!$D$60:$II$104,$B10,156)*IV10=1,IF(AND($E10=2,SC10=0),1000000,INDEX('計算A'!FC$110:FC$114,$F10+1)+IF(AND($E10=1,SC10=0),1000,0)),1000000))</f>
        <v/>
      </c>
      <c r="ABK10">
        <f>IF($B10=0,1000000,IF(INDEX('計算A'!$D$60:$II$104,$B10,157)*IW10=1,IF(AND($E10=2,SD10=0),1000000,INDEX('計算A'!FD$110:FD$114,$F10+1)+IF(AND($E10=1,SD10=0),1000,0)),1000000))</f>
        <v/>
      </c>
      <c r="ABL10">
        <f>IF($B10=0,1000000,IF(INDEX('計算A'!$D$60:$II$104,$B10,158)*IX10=1,IF(AND($E10=2,SE10=0),1000000,INDEX('計算A'!FE$110:FE$114,$F10+1)+IF(AND($E10=1,SE10=0),1000,0)),1000000))</f>
        <v/>
      </c>
      <c r="ABM10">
        <f>IF($B10=0,1000000,IF(INDEX('計算A'!$D$60:$II$104,$B10,159)*IY10=1,IF(AND($E10=2,SF10=0),1000000,INDEX('計算A'!FF$110:FF$114,$F10+1)+IF(AND($E10=1,SF10=0),1000,0)),1000000))</f>
        <v/>
      </c>
      <c r="ABN10">
        <f>IF($B10=0,1000000,IF(INDEX('計算A'!$D$60:$II$104,$B10,160)*IZ10=1,IF(AND($E10=2,SG10=0),1000000,INDEX('計算A'!FG$110:FG$114,$F10+1)+IF(AND($E10=1,SG10=0),1000,0)),1000000))</f>
        <v/>
      </c>
      <c r="ABO10">
        <f>IF($B10=0,1000000,IF(INDEX('計算A'!$D$60:$II$104,$B10,161)*JA10=1,IF(AND($E10=2,SH10=0),1000000,INDEX('計算A'!FH$110:FH$114,$F10+1)+IF(AND($E10=1,SH10=0),1000,0)),1000000))</f>
        <v/>
      </c>
      <c r="ABP10">
        <f>IF($B10=0,1000000,IF(INDEX('計算A'!$D$60:$II$104,$B10,162)*JB10=1,IF(AND($E10=2,SI10=0),1000000,INDEX('計算A'!FI$110:FI$114,$F10+1)+IF(AND($E10=1,SI10=0),1000,0)),1000000))</f>
        <v/>
      </c>
      <c r="ABQ10">
        <f>IF($B10=0,1000000,IF(INDEX('計算A'!$D$60:$II$104,$B10,163)*JC10=1,IF(AND($E10=2,SJ10=0),1000000,INDEX('計算A'!FJ$110:FJ$114,$F10+1)+IF(AND($E10=1,SJ10=0),1000,0)),1000000))</f>
        <v/>
      </c>
      <c r="ABR10">
        <f>IF($B10=0,1000000,IF(INDEX('計算A'!$D$60:$II$104,$B10,164)*JD10=1,IF(AND($E10=2,SK10=0),1000000,INDEX('計算A'!FK$110:FK$114,$F10+1)+IF(AND($E10=1,SK10=0),1000,0)),1000000))</f>
        <v/>
      </c>
      <c r="ABS10">
        <f>IF($B10=0,1000000,IF(INDEX('計算A'!$D$60:$II$104,$B10,165)*JE10=1,IF(AND($E10=2,SL10=0),1000000,INDEX('計算A'!FL$110:FL$114,$F10+1)+IF(AND($E10=1,SL10=0),1000,0)),1000000))</f>
        <v/>
      </c>
      <c r="ABT10">
        <f>IF($B10=0,1000000,IF(INDEX('計算A'!$D$60:$II$104,$B10,166)*JF10=1,IF(AND($E10=2,SM10=0),1000000,INDEX('計算A'!FM$110:FM$114,$F10+1)+IF(AND($E10=1,SM10=0),1000,0)),1000000))</f>
        <v/>
      </c>
      <c r="ABU10">
        <f>IF($B10=0,1000000,IF(INDEX('計算A'!$D$60:$II$104,$B10,167)*JG10=1,IF(AND($E10=2,SN10=0),1000000,INDEX('計算A'!FN$110:FN$114,$F10+1)+IF(AND($E10=1,SN10=0),1000,0)),1000000))</f>
        <v/>
      </c>
      <c r="ABV10">
        <f>IF($B10=0,1000000,IF(INDEX('計算A'!$D$60:$II$104,$B10,168)*JH10=1,IF(AND($E10=2,SO10=0),1000000,INDEX('計算A'!FO$110:FO$114,$F10+1)+IF(AND($E10=1,SO10=0),1000,0)),1000000))</f>
        <v/>
      </c>
      <c r="ABW10">
        <f>IF($B10=0,1000000,IF(INDEX('計算A'!$D$60:$II$104,$B10,169)*JI10=1,IF(AND($E10=2,SP10=0),1000000,INDEX('計算A'!FP$110:FP$114,$F10+1)+IF(AND($E10=1,SP10=0),1000,0)),1000000))</f>
        <v/>
      </c>
      <c r="ABX10">
        <f>IF($B10=0,1000000,IF(INDEX('計算A'!$D$60:$II$104,$B10,170)*JJ10=1,IF(AND($E10=2,SQ10=0),1000000,INDEX('計算A'!FQ$110:FQ$114,$F10+1)+IF(AND($E10=1,SQ10=0),1000,0)),1000000))</f>
        <v/>
      </c>
      <c r="ABY10">
        <f>IF($B10=0,1000000,IF(INDEX('計算A'!$D$60:$II$104,$B10,171)*JK10=1,IF(AND($E10=2,SR10=0),1000000,INDEX('計算A'!FR$110:FR$114,$F10+1)+IF(AND($E10=1,SR10=0),1000,0)),1000000))</f>
        <v/>
      </c>
      <c r="ABZ10">
        <f>IF($B10=0,1000000,IF(INDEX('計算A'!$D$60:$II$104,$B10,172)*JL10=1,IF(AND($E10=2,SS10=0),1000000,INDEX('計算A'!FS$110:FS$114,$F10+1)+IF(AND($E10=1,SS10=0),1000,0)),1000000))</f>
        <v/>
      </c>
      <c r="ACA10">
        <f>IF($B10=0,1000000,IF(INDEX('計算A'!$D$60:$II$104,$B10,173)*JM10=1,IF(AND($E10=2,ST10=0),1000000,INDEX('計算A'!FT$110:FT$114,$F10+1)+IF(AND($E10=1,ST10=0),1000,0)),1000000))</f>
        <v/>
      </c>
      <c r="ACB10">
        <f>IF($B10=0,1000000,IF(INDEX('計算A'!$D$60:$II$104,$B10,174)*JN10=1,IF(AND($E10=2,SU10=0),1000000,INDEX('計算A'!FU$110:FU$114,$F10+1)+IF(AND($E10=1,SU10=0),1000,0)),1000000))</f>
        <v/>
      </c>
      <c r="ACC10">
        <f>IF($B10=0,1000000,IF(INDEX('計算A'!$D$60:$II$104,$B10,175)*JO10=1,IF(AND($E10=2,SV10=0),1000000,INDEX('計算A'!FV$110:FV$114,$F10+1)+IF(AND($E10=1,SV10=0),1000,0)),1000000))</f>
        <v/>
      </c>
      <c r="ACD10">
        <f>IF($B10=0,1000000,IF(INDEX('計算A'!$D$60:$II$104,$B10,176)*JP10=1,IF(AND($E10=2,SW10=0),1000000,INDEX('計算A'!FW$110:FW$114,$F10+1)+IF(AND($E10=1,SW10=0),1000,0)),1000000))</f>
        <v/>
      </c>
      <c r="ACE10">
        <f>IF($B10=0,1000000,IF(INDEX('計算A'!$D$60:$II$104,$B10,177)*JQ10=1,IF(AND($E10=2,SX10=0),1000000,INDEX('計算A'!FX$110:FX$114,$F10+1)+IF(AND($E10=1,SX10=0),1000,0)),1000000))</f>
        <v/>
      </c>
      <c r="ACF10">
        <f>IF($B10=0,1000000,IF(INDEX('計算A'!$D$60:$II$104,$B10,178)*JR10=1,IF(AND($E10=2,SY10=0),1000000,INDEX('計算A'!FY$110:FY$114,$F10+1)+IF(AND($E10=1,SY10=0),1000,0)),1000000))</f>
        <v/>
      </c>
      <c r="ACG10">
        <f>IF($B10=0,1000000,IF(INDEX('計算A'!$D$60:$II$104,$B10,179)*JS10=1,IF(AND($E10=2,SZ10=0),1000000,INDEX('計算A'!FZ$110:FZ$114,$F10+1)+IF(AND($E10=1,SZ10=0),1000,0)),1000000))</f>
        <v/>
      </c>
      <c r="ACH10">
        <f>IF($B10=0,1000000,IF(INDEX('計算A'!$D$60:$II$104,$B10,180)*JT10=1,IF(AND($E10=2,TA10=0),1000000,INDEX('計算A'!GA$110:GA$114,$F10+1)+IF(AND($E10=1,TA10=0),1000,0)),1000000))</f>
        <v/>
      </c>
      <c r="ACI10">
        <f>IF($B10=0,1000000,IF(INDEX('計算A'!$D$60:$II$104,$B10,181)*JU10=1,IF(AND($E10=2,TB10=0),1000000,INDEX('計算A'!GB$110:GB$114,$F10+1)+IF(AND($E10=1,TB10=0),1000,0)),1000000))</f>
        <v/>
      </c>
      <c r="ACJ10">
        <f>IF($B10=0,1000000,IF(INDEX('計算A'!$D$60:$II$104,$B10,182)*JV10=1,IF(AND($E10=2,TC10=0),1000000,INDEX('計算A'!GC$110:GC$114,$F10+1)+IF(AND($E10=1,TC10=0),1000,0)),1000000))</f>
        <v/>
      </c>
      <c r="ACK10">
        <f>IF($B10=0,1000000,IF(INDEX('計算A'!$D$60:$II$104,$B10,183)*JW10=1,IF(AND($E10=2,TD10=0),1000000,INDEX('計算A'!GD$110:GD$114,$F10+1)+IF(AND($E10=1,TD10=0),1000,0)),1000000))</f>
        <v/>
      </c>
      <c r="ACL10">
        <f>IF($B10=0,1000000,IF(INDEX('計算A'!$D$60:$II$104,$B10,184)*JX10=1,IF(AND($E10=2,TE10=0),1000000,INDEX('計算A'!GE$110:GE$114,$F10+1)+IF(AND($E10=1,TE10=0),1000,0)),1000000))</f>
        <v/>
      </c>
      <c r="ACM10">
        <f>IF($B10=0,1000000,IF(INDEX('計算A'!$D$60:$II$104,$B10,185)*JY10=1,IF(AND($E10=2,TF10=0),1000000,INDEX('計算A'!GF$110:GF$114,$F10+1)+IF(AND($E10=1,TF10=0),1000,0)),1000000))</f>
        <v/>
      </c>
      <c r="ACN10">
        <f>IF($B10=0,1000000,IF(INDEX('計算A'!$D$60:$II$104,$B10,186)*JZ10=1,IF(AND($E10=2,TG10=0),1000000,INDEX('計算A'!GG$110:GG$114,$F10+1)+IF(AND($E10=1,TG10=0),1000,0)),1000000))</f>
        <v/>
      </c>
      <c r="ACO10">
        <f>IF($B10=0,1000000,IF(INDEX('計算A'!$D$60:$II$104,$B10,187)*KA10=1,IF(AND($E10=2,TH10=0),1000000,INDEX('計算A'!GH$110:GH$114,$F10+1)+IF(AND($E10=1,TH10=0),1000,0)),1000000))</f>
        <v/>
      </c>
      <c r="ACP10">
        <f>IF($B10=0,1000000,IF(INDEX('計算A'!$D$60:$II$104,$B10,188)*KB10=1,IF(AND($E10=2,TI10=0),1000000,INDEX('計算A'!GI$110:GI$114,$F10+1)+IF(AND($E10=1,TI10=0),1000,0)),1000000))</f>
        <v/>
      </c>
      <c r="ACQ10">
        <f>IF($B10=0,1000000,IF(INDEX('計算A'!$D$60:$II$104,$B10,189)*KC10=1,IF(AND($E10=2,TJ10=0),1000000,INDEX('計算A'!GJ$110:GJ$114,$F10+1)+IF(AND($E10=1,TJ10=0),1000,0)),1000000))</f>
        <v/>
      </c>
      <c r="ACR10">
        <f>IF($B10=0,1000000,IF(INDEX('計算A'!$D$60:$II$104,$B10,190)*KD10=1,IF(AND($E10=2,TK10=0),1000000,INDEX('計算A'!GK$110:GK$114,$F10+1)+IF(AND($E10=1,TK10=0),1000,0)),1000000))</f>
        <v/>
      </c>
      <c r="ACS10">
        <f>IF($B10=0,1000000,IF(INDEX('計算A'!$D$60:$II$104,$B10,191)*KE10=1,IF(AND($E10=2,TL10=0),1000000,INDEX('計算A'!GL$110:GL$114,$F10+1)+IF(AND($E10=1,TL10=0),1000,0)),1000000))</f>
        <v/>
      </c>
      <c r="ACT10">
        <f>IF($B10=0,1000000,IF(INDEX('計算A'!$D$60:$II$104,$B10,192)*KF10=1,IF(AND($E10=2,TM10=0),1000000,INDEX('計算A'!GM$110:GM$114,$F10+1)+IF(AND($E10=1,TM10=0),1000,0)),1000000))</f>
        <v/>
      </c>
      <c r="ACU10">
        <f>IF($B10=0,1000000,IF(INDEX('計算A'!$D$60:$II$104,$B10,193)*KG10=1,IF(AND($E10=2,TN10=0),1000000,INDEX('計算A'!GN$110:GN$114,$F10+1)+IF(AND($E10=1,TN10=0),1000,0)),1000000))</f>
        <v/>
      </c>
      <c r="ACV10">
        <f>IF($B10=0,1000000,IF(INDEX('計算A'!$D$60:$II$104,$B10,194)*KH10=1,IF(AND($E10=2,TO10=0),1000000,INDEX('計算A'!GO$110:GO$114,$F10+1)+IF(AND($E10=1,TO10=0),1000,0)),1000000))</f>
        <v/>
      </c>
      <c r="ACW10">
        <f>IF($B10=0,1000000,IF(INDEX('計算A'!$D$60:$II$104,$B10,195)*KI10=1,IF(AND($E10=2,TP10=0),1000000,INDEX('計算A'!GP$110:GP$114,$F10+1)+IF(AND($E10=1,TP10=0),1000,0)),1000000))</f>
        <v/>
      </c>
      <c r="ACX10">
        <f>IF($B10=0,1000000,IF(INDEX('計算A'!$D$60:$II$104,$B10,196)*KJ10=1,IF(AND($E10=2,TQ10=0),1000000,INDEX('計算A'!GQ$110:GQ$114,$F10+1)+IF(AND($E10=1,TQ10=0),1000,0)),1000000))</f>
        <v/>
      </c>
      <c r="ACY10">
        <f>IF($B10=0,1000000,IF(INDEX('計算A'!$D$60:$II$104,$B10,197)*KK10=1,IF(AND($E10=2,TR10=0),1000000,INDEX('計算A'!GR$110:GR$114,$F10+1)+IF(AND($E10=1,TR10=0),1000,0)),1000000))</f>
        <v/>
      </c>
      <c r="ACZ10">
        <f>IF($B10=0,1000000,IF(INDEX('計算A'!$D$60:$II$104,$B10,198)*KL10=1,IF(AND($E10=2,TS10=0),1000000,INDEX('計算A'!GS$110:GS$114,$F10+1)+IF(AND($E10=1,TS10=0),1000,0)),1000000))</f>
        <v/>
      </c>
      <c r="ADA10">
        <f>IF($B10=0,1000000,IF(INDEX('計算A'!$D$60:$II$104,$B10,199)*KM10=1,IF(AND($E10=2,TT10=0),1000000,INDEX('計算A'!GT$110:GT$114,$F10+1)+IF(AND($E10=1,TT10=0),1000,0)),1000000))</f>
        <v/>
      </c>
      <c r="ADB10">
        <f>IF($B10=0,1000000,IF(INDEX('計算A'!$D$60:$II$104,$B10,200)*KN10=1,IF(AND($E10=2,TU10=0),1000000,INDEX('計算A'!GU$110:GU$114,$F10+1)+IF(AND($E10=1,TU10=0),1000,0)),1000000))</f>
        <v/>
      </c>
      <c r="ADC10">
        <f>IF($B10=0,1000000,IF(INDEX('計算A'!$D$60:$II$104,$B10,201)*KO10=1,IF(AND($E10=2,TV10=0),1000000,INDEX('計算A'!GV$110:GV$114,$F10+1)+IF(AND($E10=1,TV10=0),1000,0)),1000000))</f>
        <v/>
      </c>
      <c r="ADD10">
        <f>IF($B10=0,1000000,IF(INDEX('計算A'!$D$60:$II$104,$B10,202)*KP10=1,IF(AND($E10=2,TW10=0),1000000,INDEX('計算A'!GW$110:GW$114,$F10+1)+IF(AND($E10=1,TW10=0),1000,0)),1000000))</f>
        <v/>
      </c>
      <c r="ADE10">
        <f>IF($B10=0,1000000,IF(INDEX('計算A'!$D$60:$II$104,$B10,203)*KQ10=1,IF(AND($E10=2,TX10=0),1000000,INDEX('計算A'!GX$110:GX$114,$F10+1)+IF(AND($E10=1,TX10=0),1000,0)),1000000))</f>
        <v/>
      </c>
      <c r="ADF10">
        <f>IF($B10=0,1000000,IF(INDEX('計算A'!$D$60:$II$104,$B10,204)*KR10=1,IF(AND($E10=2,TY10=0),1000000,INDEX('計算A'!GY$110:GY$114,$F10+1)+IF(AND($E10=1,TY10=0),1000,0)),1000000))</f>
        <v/>
      </c>
      <c r="ADG10">
        <f>IF($B10=0,1000000,IF(INDEX('計算A'!$D$60:$II$104,$B10,205)*KS10=1,IF(AND($E10=2,TZ10=0),1000000,INDEX('計算A'!GZ$110:GZ$114,$F10+1)+IF(AND($E10=1,TZ10=0),1000,0)),1000000))</f>
        <v/>
      </c>
      <c r="ADH10">
        <f>IF($B10=0,1000000,IF(INDEX('計算A'!$D$60:$II$104,$B10,206)*KT10=1,IF(AND($E10=2,UA10=0),1000000,INDEX('計算A'!HA$110:HA$114,$F10+1)+IF(AND($E10=1,UA10=0),1000,0)),1000000))</f>
        <v/>
      </c>
      <c r="ADI10">
        <f>IF($B10=0,1000000,IF(INDEX('計算A'!$D$60:$II$104,$B10,207)*KU10=1,IF(AND($E10=2,UB10=0),1000000,INDEX('計算A'!HB$110:HB$114,$F10+1)+IF(AND($E10=1,UB10=0),1000,0)),1000000))</f>
        <v/>
      </c>
      <c r="ADJ10">
        <f>IF($B10=0,1000000,IF(INDEX('計算A'!$D$60:$II$104,$B10,208)*KV10=1,IF(AND($E10=2,UC10=0),1000000,INDEX('計算A'!HC$110:HC$114,$F10+1)+IF(AND($E10=1,UC10=0),1000,0)),1000000))</f>
        <v/>
      </c>
      <c r="ADK10">
        <f>IF($B10=0,1000000,IF(INDEX('計算A'!$D$60:$II$104,$B10,209)*KW10=1,IF(AND($E10=2,UD10=0),1000000,INDEX('計算A'!HD$110:HD$114,$F10+1)+IF(AND($E10=1,UD10=0),1000,0)),1000000))</f>
        <v/>
      </c>
      <c r="ADL10">
        <f>IF($B10=0,1000000,IF(INDEX('計算A'!$D$60:$II$104,$B10,210)*KX10=1,IF(AND($E10=2,UE10=0),1000000,INDEX('計算A'!HE$110:HE$114,$F10+1)+IF(AND($E10=1,UE10=0),1000,0)),1000000))</f>
        <v/>
      </c>
      <c r="ADM10">
        <f>IF($B10=0,1000000,IF(INDEX('計算A'!$D$60:$II$104,$B10,211)*KY10=1,IF(AND($E10=2,UF10=0),1000000,INDEX('計算A'!HF$110:HF$114,$F10+1)+IF(AND($E10=1,UF10=0),1000,0)),1000000))</f>
        <v/>
      </c>
      <c r="ADN10">
        <f>IF($B10=0,1000000,IF(INDEX('計算A'!$D$60:$II$104,$B10,212)*KZ10=1,IF(AND($E10=2,UG10=0),1000000,INDEX('計算A'!HG$110:HG$114,$F10+1)+IF(AND($E10=1,UG10=0),1000,0)),1000000))</f>
        <v/>
      </c>
      <c r="ADO10">
        <f>IF($B10=0,1000000,IF(INDEX('計算A'!$D$60:$II$104,$B10,213)*LA10=1,IF(AND($E10=2,UH10=0),1000000,INDEX('計算A'!HH$110:HH$114,$F10+1)+IF(AND($E10=1,UH10=0),1000,0)),1000000))</f>
        <v/>
      </c>
      <c r="ADP10">
        <f>IF($B10=0,1000000,IF(INDEX('計算A'!$D$60:$II$104,$B10,214)*LB10=1,IF(AND($E10=2,UI10=0),1000000,INDEX('計算A'!HI$110:HI$114,$F10+1)+IF(AND($E10=1,UI10=0),1000,0)),1000000))</f>
        <v/>
      </c>
      <c r="ADQ10">
        <f>IF($B10=0,1000000,IF(INDEX('計算A'!$D$60:$II$104,$B10,215)*LC10=1,IF(AND($E10=2,UJ10=0),1000000,INDEX('計算A'!HJ$110:HJ$114,$F10+1)+IF(AND($E10=1,UJ10=0),1000,0)),1000000))</f>
        <v/>
      </c>
      <c r="ADR10">
        <f>IF($B10=0,1000000,IF(INDEX('計算A'!$D$60:$II$104,$B10,216)*LD10=1,IF(AND($E10=2,UK10=0),1000000,INDEX('計算A'!HK$110:HK$114,$F10+1)+IF(AND($E10=1,UK10=0),1000,0)),1000000))</f>
        <v/>
      </c>
      <c r="ADS10">
        <f>IF($B10=0,1000000,IF(INDEX('計算A'!$D$60:$II$104,$B10,217)*LE10=1,IF(AND($E10=2,UL10=0),1000000,INDEX('計算A'!HL$110:HL$114,$F10+1)+IF(AND($E10=1,UL10=0),1000,0)),1000000))</f>
        <v/>
      </c>
      <c r="ADT10">
        <f>IF($B10=0,1000000,IF(INDEX('計算A'!$D$60:$II$104,$B10,218)*LF10=1,IF(AND($E10=2,UM10=0),1000000,INDEX('計算A'!HM$110:HM$114,$F10+1)+IF(AND($E10=1,UM10=0),1000,0)),1000000))</f>
        <v/>
      </c>
      <c r="ADU10">
        <f>IF($B10=0,1000000,IF(INDEX('計算A'!$D$60:$II$104,$B10,219)*LG10=1,IF(AND($E10=2,UN10=0),1000000,INDEX('計算A'!HN$110:HN$114,$F10+1)+IF(AND($E10=1,UN10=0),1000,0)),1000000))</f>
        <v/>
      </c>
      <c r="ADV10">
        <f>IF($B10=0,1000000,IF(INDEX('計算A'!$D$60:$II$104,$B10,220)*LH10=1,IF(AND($E10=2,UO10=0),1000000,INDEX('計算A'!HO$110:HO$114,$F10+1)+IF(AND($E10=1,UO10=0),1000,0)),1000000))</f>
        <v/>
      </c>
      <c r="ADW10">
        <f>IF($B10=0,1000000,IF(INDEX('計算A'!$D$60:$II$104,$B10,221)*LI10=1,IF(AND($E10=2,UP10=0),1000000,INDEX('計算A'!HP$110:HP$114,$F10+1)+IF(AND($E10=1,UP10=0),1000,0)),1000000))</f>
        <v/>
      </c>
      <c r="ADX10">
        <f>IF($B10=0,1000000,IF(INDEX('計算A'!$D$60:$II$104,$B10,222)*LJ10=1,IF(AND($E10=2,UQ10=0),1000000,INDEX('計算A'!HQ$110:HQ$114,$F10+1)+IF(AND($E10=1,UQ10=0),1000,0)),1000000))</f>
        <v/>
      </c>
      <c r="ADY10">
        <f>IF($B10=0,1000000,IF(INDEX('計算A'!$D$60:$II$104,$B10,223)*LK10=1,IF(AND($E10=2,UR10=0),1000000,INDEX('計算A'!HR$110:HR$114,$F10+1)+IF(AND($E10=1,UR10=0),1000,0)),1000000))</f>
        <v/>
      </c>
      <c r="ADZ10">
        <f>IF($B10=0,1000000,IF(INDEX('計算A'!$D$60:$II$104,$B10,224)*LL10=1,IF(AND($E10=2,US10=0),1000000,INDEX('計算A'!HS$110:HS$114,$F10+1)+IF(AND($E10=1,US10=0),1000,0)),1000000))</f>
        <v/>
      </c>
      <c r="AEA10">
        <f>IF($B10=0,1000000,IF(INDEX('計算A'!$D$60:$II$104,$B10,225)*LM10=1,IF(AND($E10=2,UT10=0),1000000,INDEX('計算A'!HT$110:HT$114,$F10+1)+IF(AND($E10=1,UT10=0),1000,0)),1000000))</f>
        <v/>
      </c>
      <c r="AEB10">
        <f>IF($B10=0,1000000,IF(INDEX('計算A'!$D$60:$II$104,$B10,226)*LN10=1,IF(AND($E10=2,UU10=0),1000000,INDEX('計算A'!HU$110:HU$114,$F10+1)+IF(AND($E10=1,UU10=0),1000,0)),1000000))</f>
        <v/>
      </c>
      <c r="AEC10">
        <f>IF($B10=0,1000000,IF(INDEX('計算A'!$D$60:$II$104,$B10,227)*LO10=1,IF(AND($E10=2,UV10=0),1000000,INDEX('計算A'!HV$110:HV$114,$F10+1)+IF(AND($E10=1,UV10=0),1000,0)),1000000))</f>
        <v/>
      </c>
      <c r="AED10">
        <f>IF($B10=0,1000000,IF(INDEX('計算A'!$D$60:$II$104,$B10,228)*LP10=1,IF(AND($E10=2,UW10=0),1000000,INDEX('計算A'!HW$110:HW$114,$F10+1)+IF(AND($E10=1,UW10=0),1000,0)),1000000))</f>
        <v/>
      </c>
      <c r="AEE10">
        <f>IF($B10=0,1000000,IF(INDEX('計算A'!$D$60:$II$104,$B10,229)*LQ10=1,IF(AND($E10=2,UX10=0),1000000,INDEX('計算A'!HX$110:HX$114,$F10+1)+IF(AND($E10=1,UX10=0),1000,0)),1000000))</f>
        <v/>
      </c>
      <c r="AEF10">
        <f>IF($B10=0,1000000,IF(INDEX('計算A'!$D$60:$II$104,$B10,230)*LR10=1,IF(AND($E10=2,UY10=0),1000000,INDEX('計算A'!HY$110:HY$114,$F10+1)+IF(AND($E10=1,UY10=0),1000,0)),1000000))</f>
        <v/>
      </c>
      <c r="AEG10">
        <f>IF($B10=0,1000000,IF(INDEX('計算A'!$D$60:$II$104,$B10,231)*LS10=1,IF(AND($E10=2,UZ10=0),1000000,INDEX('計算A'!HZ$110:HZ$114,$F10+1)+IF(AND($E10=1,UZ10=0),1000,0)),1000000))</f>
        <v/>
      </c>
      <c r="AEH10">
        <f>IF($B10=0,1000000,IF(INDEX('計算A'!$D$60:$II$104,$B10,232)*LT10=1,IF(AND($E10=2,VA10=0),1000000,INDEX('計算A'!IA$110:IA$114,$F10+1)+IF(AND($E10=1,VA10=0),1000,0)),1000000))</f>
        <v/>
      </c>
      <c r="AEI10">
        <f>IF($B10=0,1000000,IF(INDEX('計算A'!$D$60:$II$104,$B10,233)*LU10=1,IF(AND($E10=2,VB10=0),1000000,INDEX('計算A'!IB$110:IB$114,$F10+1)+IF(AND($E10=1,VB10=0),1000,0)),1000000))</f>
        <v/>
      </c>
      <c r="AEJ10">
        <f>IF($B10=0,1000000,IF(INDEX('計算A'!$D$60:$II$104,$B10,234)*LV10=1,IF(AND($E10=2,VC10=0),1000000,INDEX('計算A'!IC$110:IC$114,$F10+1)+IF(AND($E10=1,VC10=0),1000,0)),1000000))</f>
        <v/>
      </c>
      <c r="AEK10">
        <f>IF($B10=0,1000000,IF(INDEX('計算A'!$D$60:$II$104,$B10,235)*LW10=1,IF(AND($E10=2,VD10=0),1000000,INDEX('計算A'!ID$110:ID$114,$F10+1)+IF(AND($E10=1,VD10=0),1000,0)),1000000))</f>
        <v/>
      </c>
      <c r="AEL10">
        <f>IF($B10=0,1000000,IF(INDEX('計算A'!$D$60:$II$104,$B10,236)*LX10=1,IF(AND($E10=2,VE10=0),1000000,INDEX('計算A'!IE$110:IE$114,$F10+1)+IF(AND($E10=1,VE10=0),1000,0)),1000000))</f>
        <v/>
      </c>
      <c r="AEM10">
        <f>IF($B10=0,1000000,IF(INDEX('計算A'!$D$60:$II$104,$B10,237)*LY10=1,IF(AND($E10=2,VF10=0),1000000,INDEX('計算A'!IF$110:IF$114,$F10+1)+IF(AND($E10=1,VF10=0),1000,0)),1000000))</f>
        <v/>
      </c>
      <c r="AEN10">
        <f>IF($B10=0,1000000,IF(INDEX('計算A'!$D$60:$II$104,$B10,238)*LZ10=1,IF(AND($E10=2,VG10=0),1000000,INDEX('計算A'!IG$110:IG$114,$F10+1)+IF(AND($E10=1,VG10=0),1000,0)),1000000))</f>
        <v/>
      </c>
      <c r="AEO10">
        <f>IF($B10=0,1000000,IF(INDEX('計算A'!$D$60:$II$104,$B10,239)*MA10=1,IF(AND($E10=2,VH10=0),1000000,INDEX('計算A'!IH$110:IH$114,$F10+1)+IF(AND($E10=1,VH10=0),1000,0)),1000000))</f>
        <v/>
      </c>
      <c r="AEP10">
        <f>IF($B10=0,1000000,IF(INDEX('計算A'!$D$60:$II$104,$B10,240)*MB10=1,IF(AND($E10=2,VI10=0),1000000,INDEX('計算A'!II$110:II$114,$F10+1)+IF(AND($E10=1,VI10=0),1000,0)),1000000))</f>
        <v/>
      </c>
    </row>
    <row r="11">
      <c r="A11" t="n">
        <v>9</v>
      </c>
      <c r="B11">
        <f>IF(MIN(BC11:CU11)&gt;=1000000,0,MATCH(MIN(BC11:CU11),BC11:CU11,0))</f>
        <v/>
      </c>
      <c r="C11">
        <f>IF(MIN(VK11:AEP11)&gt;=1000000,0,MATCH(MIN(VK11:AEP11),VK11:AEP11,0))</f>
        <v/>
      </c>
      <c r="D11">
        <f>IF(C11&gt;0,INDEX('計算A'!$D$5:$II$5,C11),0)</f>
        <v/>
      </c>
      <c r="E11">
        <f>IF(B11=0,0,INDEX('計算A'!$IQ$10:$IQ$54,B11))</f>
        <v/>
      </c>
      <c r="F11">
        <f>IF(B11=0,0,INDEX('計算A'!$IP$10:$IP$54,B11))</f>
        <v/>
      </c>
      <c r="G11">
        <f>IF(AND(C11&gt;0,E11&gt;0),IF(AND(INDEX('計算A'!$D$106:$II$106,C11)=1,INDEX($MD11:$VI11,C11)=1),C11+1,0),0)</f>
        <v/>
      </c>
      <c r="I11">
        <f>MAX(I10,IF($B10=1,1,0))</f>
        <v/>
      </c>
      <c r="J11">
        <f>MAX(J10,IF($B10=2,1,0))</f>
        <v/>
      </c>
      <c r="K11">
        <f>MAX(K10,IF($B10=3,1,0))</f>
        <v/>
      </c>
      <c r="L11">
        <f>MAX(L10,IF($B10=4,1,0))</f>
        <v/>
      </c>
      <c r="M11">
        <f>MAX(M10,IF($B10=5,1,0))</f>
        <v/>
      </c>
      <c r="N11">
        <f>MAX(N10,IF($B10=6,1,0))</f>
        <v/>
      </c>
      <c r="O11">
        <f>MAX(O10,IF($B10=7,1,0))</f>
        <v/>
      </c>
      <c r="P11">
        <f>MAX(P10,IF($B10=8,1,0))</f>
        <v/>
      </c>
      <c r="Q11">
        <f>MAX(Q10,IF($B10=9,1,0))</f>
        <v/>
      </c>
      <c r="R11">
        <f>MAX(R10,IF($B10=10,1,0))</f>
        <v/>
      </c>
      <c r="S11">
        <f>MAX(S10,IF($B10=11,1,0))</f>
        <v/>
      </c>
      <c r="T11">
        <f>MAX(T10,IF($B10=12,1,0))</f>
        <v/>
      </c>
      <c r="U11">
        <f>MAX(U10,IF($B10=13,1,0))</f>
        <v/>
      </c>
      <c r="V11">
        <f>MAX(V10,IF($B10=14,1,0))</f>
        <v/>
      </c>
      <c r="W11">
        <f>MAX(W10,IF($B10=15,1,0))</f>
        <v/>
      </c>
      <c r="X11">
        <f>MAX(X10,IF($B10=16,1,0))</f>
        <v/>
      </c>
      <c r="Y11">
        <f>MAX(Y10,IF($B10=17,1,0))</f>
        <v/>
      </c>
      <c r="Z11">
        <f>MAX(Z10,IF($B10=18,1,0))</f>
        <v/>
      </c>
      <c r="AA11">
        <f>MAX(AA10,IF($B10=19,1,0))</f>
        <v/>
      </c>
      <c r="AB11">
        <f>MAX(AB10,IF($B10=20,1,0))</f>
        <v/>
      </c>
      <c r="AC11">
        <f>MAX(AC10,IF($B10=21,1,0))</f>
        <v/>
      </c>
      <c r="AD11">
        <f>MAX(AD10,IF($B10=22,1,0))</f>
        <v/>
      </c>
      <c r="AE11">
        <f>MAX(AE10,IF($B10=23,1,0))</f>
        <v/>
      </c>
      <c r="AF11">
        <f>MAX(AF10,IF($B10=24,1,0))</f>
        <v/>
      </c>
      <c r="AG11">
        <f>MAX(AG10,IF($B10=25,1,0))</f>
        <v/>
      </c>
      <c r="AH11">
        <f>MAX(AH10,IF($B10=26,1,0))</f>
        <v/>
      </c>
      <c r="AI11">
        <f>MAX(AI10,IF($B10=27,1,0))</f>
        <v/>
      </c>
      <c r="AJ11">
        <f>MAX(AJ10,IF($B10=28,1,0))</f>
        <v/>
      </c>
      <c r="AK11">
        <f>MAX(AK10,IF($B10=29,1,0))</f>
        <v/>
      </c>
      <c r="AL11">
        <f>MAX(AL10,IF($B10=30,1,0))</f>
        <v/>
      </c>
      <c r="AM11">
        <f>MAX(AM10,IF($B10=31,1,0))</f>
        <v/>
      </c>
      <c r="AN11">
        <f>MAX(AN10,IF($B10=32,1,0))</f>
        <v/>
      </c>
      <c r="AO11">
        <f>MAX(AO10,IF($B10=33,1,0))</f>
        <v/>
      </c>
      <c r="AP11">
        <f>MAX(AP10,IF($B10=34,1,0))</f>
        <v/>
      </c>
      <c r="AQ11">
        <f>MAX(AQ10,IF($B10=35,1,0))</f>
        <v/>
      </c>
      <c r="AR11">
        <f>MAX(AR10,IF($B10=36,1,0))</f>
        <v/>
      </c>
      <c r="AS11">
        <f>MAX(AS10,IF($B10=37,1,0))</f>
        <v/>
      </c>
      <c r="AT11">
        <f>MAX(AT10,IF($B10=38,1,0))</f>
        <v/>
      </c>
      <c r="AU11">
        <f>MAX(AU10,IF($B10=39,1,0))</f>
        <v/>
      </c>
      <c r="AV11">
        <f>MAX(AV10,IF($B10=40,1,0))</f>
        <v/>
      </c>
      <c r="AW11">
        <f>MAX(AW10,IF($B10=41,1,0))</f>
        <v/>
      </c>
      <c r="AX11">
        <f>MAX(AX10,IF($B10=42,1,0))</f>
        <v/>
      </c>
      <c r="AY11">
        <f>MAX(AY10,IF($B10=43,1,0))</f>
        <v/>
      </c>
      <c r="AZ11">
        <f>MAX(AZ10,IF($B10=44,1,0))</f>
        <v/>
      </c>
      <c r="BA11">
        <f>MAX(BA10,IF($B10=45,1,0))</f>
        <v/>
      </c>
      <c r="BC11">
        <f>IF(I11=1,1000000,IF('計算A'!$IQ$10=2,SUMPRODUCT('計算A'!$D$60:$II$60,$CW11:$MB11,$MD11:$VI11),SUMPRODUCT('計算A'!$D$60:$II$60,$CW11:$MB11))*1000+1)</f>
        <v/>
      </c>
      <c r="BD11">
        <f>IF(J11=1,1000000,IF('計算A'!$IQ$11=2,SUMPRODUCT('計算A'!$D$61:$II$61,$CW11:$MB11,$MD11:$VI11),SUMPRODUCT('計算A'!$D$61:$II$61,$CW11:$MB11))*1000+2)</f>
        <v/>
      </c>
      <c r="BE11">
        <f>IF(K11=1,1000000,IF('計算A'!$IQ$12=2,SUMPRODUCT('計算A'!$D$62:$II$62,$CW11:$MB11,$MD11:$VI11),SUMPRODUCT('計算A'!$D$62:$II$62,$CW11:$MB11))*1000+3)</f>
        <v/>
      </c>
      <c r="BF11">
        <f>IF(L11=1,1000000,IF('計算A'!$IQ$13=2,SUMPRODUCT('計算A'!$D$63:$II$63,$CW11:$MB11,$MD11:$VI11),SUMPRODUCT('計算A'!$D$63:$II$63,$CW11:$MB11))*1000+4)</f>
        <v/>
      </c>
      <c r="BG11">
        <f>IF(M11=1,1000000,IF('計算A'!$IQ$14=2,SUMPRODUCT('計算A'!$D$64:$II$64,$CW11:$MB11,$MD11:$VI11),SUMPRODUCT('計算A'!$D$64:$II$64,$CW11:$MB11))*1000+5)</f>
        <v/>
      </c>
      <c r="BH11">
        <f>IF(N11=1,1000000,IF('計算A'!$IQ$15=2,SUMPRODUCT('計算A'!$D$65:$II$65,$CW11:$MB11,$MD11:$VI11),SUMPRODUCT('計算A'!$D$65:$II$65,$CW11:$MB11))*1000+6)</f>
        <v/>
      </c>
      <c r="BI11">
        <f>IF(O11=1,1000000,IF('計算A'!$IQ$16=2,SUMPRODUCT('計算A'!$D$66:$II$66,$CW11:$MB11,$MD11:$VI11),SUMPRODUCT('計算A'!$D$66:$II$66,$CW11:$MB11))*1000+7)</f>
        <v/>
      </c>
      <c r="BJ11">
        <f>IF(P11=1,1000000,IF('計算A'!$IQ$17=2,SUMPRODUCT('計算A'!$D$67:$II$67,$CW11:$MB11,$MD11:$VI11),SUMPRODUCT('計算A'!$D$67:$II$67,$CW11:$MB11))*1000+8)</f>
        <v/>
      </c>
      <c r="BK11">
        <f>IF(Q11=1,1000000,IF('計算A'!$IQ$18=2,SUMPRODUCT('計算A'!$D$68:$II$68,$CW11:$MB11,$MD11:$VI11),SUMPRODUCT('計算A'!$D$68:$II$68,$CW11:$MB11))*1000+9)</f>
        <v/>
      </c>
      <c r="BL11">
        <f>IF(R11=1,1000000,IF('計算A'!$IQ$19=2,SUMPRODUCT('計算A'!$D$69:$II$69,$CW11:$MB11,$MD11:$VI11),SUMPRODUCT('計算A'!$D$69:$II$69,$CW11:$MB11))*1000+10)</f>
        <v/>
      </c>
      <c r="BM11">
        <f>IF(S11=1,1000000,IF('計算A'!$IQ$20=2,SUMPRODUCT('計算A'!$D$70:$II$70,$CW11:$MB11,$MD11:$VI11),SUMPRODUCT('計算A'!$D$70:$II$70,$CW11:$MB11))*1000+11)</f>
        <v/>
      </c>
      <c r="BN11">
        <f>IF(T11=1,1000000,IF('計算A'!$IQ$21=2,SUMPRODUCT('計算A'!$D$71:$II$71,$CW11:$MB11,$MD11:$VI11),SUMPRODUCT('計算A'!$D$71:$II$71,$CW11:$MB11))*1000+12)</f>
        <v/>
      </c>
      <c r="BO11">
        <f>IF(U11=1,1000000,IF('計算A'!$IQ$22=2,SUMPRODUCT('計算A'!$D$72:$II$72,$CW11:$MB11,$MD11:$VI11),SUMPRODUCT('計算A'!$D$72:$II$72,$CW11:$MB11))*1000+13)</f>
        <v/>
      </c>
      <c r="BP11">
        <f>IF(V11=1,1000000,IF('計算A'!$IQ$23=2,SUMPRODUCT('計算A'!$D$73:$II$73,$CW11:$MB11,$MD11:$VI11),SUMPRODUCT('計算A'!$D$73:$II$73,$CW11:$MB11))*1000+14)</f>
        <v/>
      </c>
      <c r="BQ11">
        <f>IF(W11=1,1000000,IF('計算A'!$IQ$24=2,SUMPRODUCT('計算A'!$D$74:$II$74,$CW11:$MB11,$MD11:$VI11),SUMPRODUCT('計算A'!$D$74:$II$74,$CW11:$MB11))*1000+15)</f>
        <v/>
      </c>
      <c r="BR11">
        <f>IF(X11=1,1000000,IF('計算A'!$IQ$25=2,SUMPRODUCT('計算A'!$D$75:$II$75,$CW11:$MB11,$MD11:$VI11),SUMPRODUCT('計算A'!$D$75:$II$75,$CW11:$MB11))*1000+16)</f>
        <v/>
      </c>
      <c r="BS11">
        <f>IF(Y11=1,1000000,IF('計算A'!$IQ$26=2,SUMPRODUCT('計算A'!$D$76:$II$76,$CW11:$MB11,$MD11:$VI11),SUMPRODUCT('計算A'!$D$76:$II$76,$CW11:$MB11))*1000+17)</f>
        <v/>
      </c>
      <c r="BT11">
        <f>IF(Z11=1,1000000,IF('計算A'!$IQ$27=2,SUMPRODUCT('計算A'!$D$77:$II$77,$CW11:$MB11,$MD11:$VI11),SUMPRODUCT('計算A'!$D$77:$II$77,$CW11:$MB11))*1000+18)</f>
        <v/>
      </c>
      <c r="BU11">
        <f>IF(AA11=1,1000000,IF('計算A'!$IQ$28=2,SUMPRODUCT('計算A'!$D$78:$II$78,$CW11:$MB11,$MD11:$VI11),SUMPRODUCT('計算A'!$D$78:$II$78,$CW11:$MB11))*1000+19)</f>
        <v/>
      </c>
      <c r="BV11">
        <f>IF(AB11=1,1000000,IF('計算A'!$IQ$29=2,SUMPRODUCT('計算A'!$D$79:$II$79,$CW11:$MB11,$MD11:$VI11),SUMPRODUCT('計算A'!$D$79:$II$79,$CW11:$MB11))*1000+20)</f>
        <v/>
      </c>
      <c r="BW11">
        <f>IF(AC11=1,1000000,IF('計算A'!$IQ$30=2,SUMPRODUCT('計算A'!$D$80:$II$80,$CW11:$MB11,$MD11:$VI11),SUMPRODUCT('計算A'!$D$80:$II$80,$CW11:$MB11))*1000+21)</f>
        <v/>
      </c>
      <c r="BX11">
        <f>IF(AD11=1,1000000,IF('計算A'!$IQ$31=2,SUMPRODUCT('計算A'!$D$81:$II$81,$CW11:$MB11,$MD11:$VI11),SUMPRODUCT('計算A'!$D$81:$II$81,$CW11:$MB11))*1000+22)</f>
        <v/>
      </c>
      <c r="BY11">
        <f>IF(AE11=1,1000000,IF('計算A'!$IQ$32=2,SUMPRODUCT('計算A'!$D$82:$II$82,$CW11:$MB11,$MD11:$VI11),SUMPRODUCT('計算A'!$D$82:$II$82,$CW11:$MB11))*1000+23)</f>
        <v/>
      </c>
      <c r="BZ11">
        <f>IF(AF11=1,1000000,IF('計算A'!$IQ$33=2,SUMPRODUCT('計算A'!$D$83:$II$83,$CW11:$MB11,$MD11:$VI11),SUMPRODUCT('計算A'!$D$83:$II$83,$CW11:$MB11))*1000+24)</f>
        <v/>
      </c>
      <c r="CA11">
        <f>IF(AG11=1,1000000,IF('計算A'!$IQ$34=2,SUMPRODUCT('計算A'!$D$84:$II$84,$CW11:$MB11,$MD11:$VI11),SUMPRODUCT('計算A'!$D$84:$II$84,$CW11:$MB11))*1000+25)</f>
        <v/>
      </c>
      <c r="CB11">
        <f>IF(AH11=1,1000000,IF('計算A'!$IQ$35=2,SUMPRODUCT('計算A'!$D$85:$II$85,$CW11:$MB11,$MD11:$VI11),SUMPRODUCT('計算A'!$D$85:$II$85,$CW11:$MB11))*1000+26)</f>
        <v/>
      </c>
      <c r="CC11">
        <f>IF(AI11=1,1000000,IF('計算A'!$IQ$36=2,SUMPRODUCT('計算A'!$D$86:$II$86,$CW11:$MB11,$MD11:$VI11),SUMPRODUCT('計算A'!$D$86:$II$86,$CW11:$MB11))*1000+27)</f>
        <v/>
      </c>
      <c r="CD11">
        <f>IF(AJ11=1,1000000,IF('計算A'!$IQ$37=2,SUMPRODUCT('計算A'!$D$87:$II$87,$CW11:$MB11,$MD11:$VI11),SUMPRODUCT('計算A'!$D$87:$II$87,$CW11:$MB11))*1000+28)</f>
        <v/>
      </c>
      <c r="CE11">
        <f>IF(AK11=1,1000000,IF('計算A'!$IQ$38=2,SUMPRODUCT('計算A'!$D$88:$II$88,$CW11:$MB11,$MD11:$VI11),SUMPRODUCT('計算A'!$D$88:$II$88,$CW11:$MB11))*1000+29)</f>
        <v/>
      </c>
      <c r="CF11">
        <f>IF(AL11=1,1000000,IF('計算A'!$IQ$39=2,SUMPRODUCT('計算A'!$D$89:$II$89,$CW11:$MB11,$MD11:$VI11),SUMPRODUCT('計算A'!$D$89:$II$89,$CW11:$MB11))*1000+30)</f>
        <v/>
      </c>
      <c r="CG11">
        <f>IF(AM11=1,1000000,IF('計算A'!$IQ$40=2,SUMPRODUCT('計算A'!$D$90:$II$90,$CW11:$MB11,$MD11:$VI11),SUMPRODUCT('計算A'!$D$90:$II$90,$CW11:$MB11))*1000+31)</f>
        <v/>
      </c>
      <c r="CH11">
        <f>IF(AN11=1,1000000,IF('計算A'!$IQ$41=2,SUMPRODUCT('計算A'!$D$91:$II$91,$CW11:$MB11,$MD11:$VI11),SUMPRODUCT('計算A'!$D$91:$II$91,$CW11:$MB11))*1000+32)</f>
        <v/>
      </c>
      <c r="CI11">
        <f>IF(AO11=1,1000000,IF('計算A'!$IQ$42=2,SUMPRODUCT('計算A'!$D$92:$II$92,$CW11:$MB11,$MD11:$VI11),SUMPRODUCT('計算A'!$D$92:$II$92,$CW11:$MB11))*1000+33)</f>
        <v/>
      </c>
      <c r="CJ11">
        <f>IF(AP11=1,1000000,IF('計算A'!$IQ$43=2,SUMPRODUCT('計算A'!$D$93:$II$93,$CW11:$MB11,$MD11:$VI11),SUMPRODUCT('計算A'!$D$93:$II$93,$CW11:$MB11))*1000+34)</f>
        <v/>
      </c>
      <c r="CK11">
        <f>IF(AQ11=1,1000000,IF('計算A'!$IQ$44=2,SUMPRODUCT('計算A'!$D$94:$II$94,$CW11:$MB11,$MD11:$VI11),SUMPRODUCT('計算A'!$D$94:$II$94,$CW11:$MB11))*1000+35)</f>
        <v/>
      </c>
      <c r="CL11">
        <f>IF(AR11=1,1000000,IF('計算A'!$IQ$45=2,SUMPRODUCT('計算A'!$D$95:$II$95,$CW11:$MB11,$MD11:$VI11),SUMPRODUCT('計算A'!$D$95:$II$95,$CW11:$MB11))*1000+36)</f>
        <v/>
      </c>
      <c r="CM11">
        <f>IF(AS11=1,1000000,IF('計算A'!$IQ$46=2,SUMPRODUCT('計算A'!$D$96:$II$96,$CW11:$MB11,$MD11:$VI11),SUMPRODUCT('計算A'!$D$96:$II$96,$CW11:$MB11))*1000+37)</f>
        <v/>
      </c>
      <c r="CN11">
        <f>IF(AT11=1,1000000,IF('計算A'!$IQ$47=2,SUMPRODUCT('計算A'!$D$97:$II$97,$CW11:$MB11,$MD11:$VI11),SUMPRODUCT('計算A'!$D$97:$II$97,$CW11:$MB11))*1000+38)</f>
        <v/>
      </c>
      <c r="CO11">
        <f>IF(AU11=1,1000000,IF('計算A'!$IQ$48=2,SUMPRODUCT('計算A'!$D$98:$II$98,$CW11:$MB11,$MD11:$VI11),SUMPRODUCT('計算A'!$D$98:$II$98,$CW11:$MB11))*1000+39)</f>
        <v/>
      </c>
      <c r="CP11">
        <f>IF(AV11=1,1000000,IF('計算A'!$IQ$49=2,SUMPRODUCT('計算A'!$D$99:$II$99,$CW11:$MB11,$MD11:$VI11),SUMPRODUCT('計算A'!$D$99:$II$99,$CW11:$MB11))*1000+40)</f>
        <v/>
      </c>
      <c r="CQ11">
        <f>IF(AW11=1,1000000,IF('計算A'!$IQ$50=2,SUMPRODUCT('計算A'!$D$100:$II$100,$CW11:$MB11,$MD11:$VI11),SUMPRODUCT('計算A'!$D$100:$II$100,$CW11:$MB11))*1000+41)</f>
        <v/>
      </c>
      <c r="CR11">
        <f>IF(AX11=1,1000000,IF('計算A'!$IQ$51=2,SUMPRODUCT('計算A'!$D$101:$II$101,$CW11:$MB11,$MD11:$VI11),SUMPRODUCT('計算A'!$D$101:$II$101,$CW11:$MB11))*1000+42)</f>
        <v/>
      </c>
      <c r="CS11">
        <f>IF(AY11=1,1000000,IF('計算A'!$IQ$52=2,SUMPRODUCT('計算A'!$D$102:$II$102,$CW11:$MB11,$MD11:$VI11),SUMPRODUCT('計算A'!$D$102:$II$102,$CW11:$MB11))*1000+43)</f>
        <v/>
      </c>
      <c r="CT11">
        <f>IF(AZ11=1,1000000,IF('計算A'!$IQ$53=2,SUMPRODUCT('計算A'!$D$103:$II$103,$CW11:$MB11,$MD11:$VI11),SUMPRODUCT('計算A'!$D$103:$II$103,$CW11:$MB11))*1000+44)</f>
        <v/>
      </c>
      <c r="CU11">
        <f>IF(BA11=1,1000000,IF('計算A'!$IQ$54=2,SUMPRODUCT('計算A'!$D$104:$II$104,$CW11:$MB11,$MD11:$VI11),SUMPRODUCT('計算A'!$D$104:$II$104,$CW11:$MB11))*1000+45)</f>
        <v/>
      </c>
      <c r="CW11">
        <f>CW10*IF(OR($C10=1,$G10=1),0,1)</f>
        <v/>
      </c>
      <c r="CX11">
        <f>CX10*IF(OR($C10=2,$G10=2),0,1)</f>
        <v/>
      </c>
      <c r="CY11">
        <f>CY10*IF(OR($C10=3,$G10=3),0,1)</f>
        <v/>
      </c>
      <c r="CZ11">
        <f>CZ10*IF(OR($C10=4,$G10=4),0,1)</f>
        <v/>
      </c>
      <c r="DA11">
        <f>DA10*IF(OR($C10=5,$G10=5),0,1)</f>
        <v/>
      </c>
      <c r="DB11">
        <f>DB10*IF(OR($C10=6,$G10=6),0,1)</f>
        <v/>
      </c>
      <c r="DC11">
        <f>DC10*IF(OR($C10=7,$G10=7),0,1)</f>
        <v/>
      </c>
      <c r="DD11">
        <f>DD10*IF(OR($C10=8,$G10=8),0,1)</f>
        <v/>
      </c>
      <c r="DE11">
        <f>DE10*IF(OR($C10=9,$G10=9),0,1)</f>
        <v/>
      </c>
      <c r="DF11">
        <f>DF10*IF(OR($C10=10,$G10=10),0,1)</f>
        <v/>
      </c>
      <c r="DG11">
        <f>DG10*IF(OR($C10=11,$G10=11),0,1)</f>
        <v/>
      </c>
      <c r="DH11">
        <f>DH10*IF(OR($C10=12,$G10=12),0,1)</f>
        <v/>
      </c>
      <c r="DI11">
        <f>DI10*IF(OR($C10=13,$G10=13),0,1)</f>
        <v/>
      </c>
      <c r="DJ11">
        <f>DJ10*IF(OR($C10=14,$G10=14),0,1)</f>
        <v/>
      </c>
      <c r="DK11">
        <f>DK10*IF(OR($C10=15,$G10=15),0,1)</f>
        <v/>
      </c>
      <c r="DL11">
        <f>DL10*IF(OR($C10=16,$G10=16),0,1)</f>
        <v/>
      </c>
      <c r="DM11">
        <f>DM10*IF(OR($C10=17,$G10=17),0,1)</f>
        <v/>
      </c>
      <c r="DN11">
        <f>DN10*IF(OR($C10=18,$G10=18),0,1)</f>
        <v/>
      </c>
      <c r="DO11">
        <f>DO10*IF(OR($C10=19,$G10=19),0,1)</f>
        <v/>
      </c>
      <c r="DP11">
        <f>DP10*IF(OR($C10=20,$G10=20),0,1)</f>
        <v/>
      </c>
      <c r="DQ11">
        <f>DQ10*IF(OR($C10=21,$G10=21),0,1)</f>
        <v/>
      </c>
      <c r="DR11">
        <f>DR10*IF(OR($C10=22,$G10=22),0,1)</f>
        <v/>
      </c>
      <c r="DS11">
        <f>DS10*IF(OR($C10=23,$G10=23),0,1)</f>
        <v/>
      </c>
      <c r="DT11">
        <f>DT10*IF(OR($C10=24,$G10=24),0,1)</f>
        <v/>
      </c>
      <c r="DU11">
        <f>DU10*IF(OR($C10=25,$G10=25),0,1)</f>
        <v/>
      </c>
      <c r="DV11">
        <f>DV10*IF(OR($C10=26,$G10=26),0,1)</f>
        <v/>
      </c>
      <c r="DW11">
        <f>DW10*IF(OR($C10=27,$G10=27),0,1)</f>
        <v/>
      </c>
      <c r="DX11">
        <f>DX10*IF(OR($C10=28,$G10=28),0,1)</f>
        <v/>
      </c>
      <c r="DY11">
        <f>DY10*IF(OR($C10=29,$G10=29),0,1)</f>
        <v/>
      </c>
      <c r="DZ11">
        <f>DZ10*IF(OR($C10=30,$G10=30),0,1)</f>
        <v/>
      </c>
      <c r="EA11">
        <f>EA10*IF(OR($C10=31,$G10=31),0,1)</f>
        <v/>
      </c>
      <c r="EB11">
        <f>EB10*IF(OR($C10=32,$G10=32),0,1)</f>
        <v/>
      </c>
      <c r="EC11">
        <f>EC10*IF(OR($C10=33,$G10=33),0,1)</f>
        <v/>
      </c>
      <c r="ED11">
        <f>ED10*IF(OR($C10=34,$G10=34),0,1)</f>
        <v/>
      </c>
      <c r="EE11">
        <f>EE10*IF(OR($C10=35,$G10=35),0,1)</f>
        <v/>
      </c>
      <c r="EF11">
        <f>EF10*IF(OR($C10=36,$G10=36),0,1)</f>
        <v/>
      </c>
      <c r="EG11">
        <f>EG10*IF(OR($C10=37,$G10=37),0,1)</f>
        <v/>
      </c>
      <c r="EH11">
        <f>EH10*IF(OR($C10=38,$G10=38),0,1)</f>
        <v/>
      </c>
      <c r="EI11">
        <f>EI10*IF(OR($C10=39,$G10=39),0,1)</f>
        <v/>
      </c>
      <c r="EJ11">
        <f>EJ10*IF(OR($C10=40,$G10=40),0,1)</f>
        <v/>
      </c>
      <c r="EK11">
        <f>EK10*IF(OR($C10=41,$G10=41),0,1)</f>
        <v/>
      </c>
      <c r="EL11">
        <f>EL10*IF(OR($C10=42,$G10=42),0,1)</f>
        <v/>
      </c>
      <c r="EM11">
        <f>EM10*IF(OR($C10=43,$G10=43),0,1)</f>
        <v/>
      </c>
      <c r="EN11">
        <f>EN10*IF(OR($C10=44,$G10=44),0,1)</f>
        <v/>
      </c>
      <c r="EO11">
        <f>EO10*IF(OR($C10=45,$G10=45),0,1)</f>
        <v/>
      </c>
      <c r="EP11">
        <f>EP10*IF(OR($C10=46,$G10=46),0,1)</f>
        <v/>
      </c>
      <c r="EQ11">
        <f>EQ10*IF(OR($C10=47,$G10=47),0,1)</f>
        <v/>
      </c>
      <c r="ER11">
        <f>ER10*IF(OR($C10=48,$G10=48),0,1)</f>
        <v/>
      </c>
      <c r="ES11">
        <f>ES10*IF(OR($C10=49,$G10=49),0,1)</f>
        <v/>
      </c>
      <c r="ET11">
        <f>ET10*IF(OR($C10=50,$G10=50),0,1)</f>
        <v/>
      </c>
      <c r="EU11">
        <f>EU10*IF(OR($C10=51,$G10=51),0,1)</f>
        <v/>
      </c>
      <c r="EV11">
        <f>EV10*IF(OR($C10=52,$G10=52),0,1)</f>
        <v/>
      </c>
      <c r="EW11">
        <f>EW10*IF(OR($C10=53,$G10=53),0,1)</f>
        <v/>
      </c>
      <c r="EX11">
        <f>EX10*IF(OR($C10=54,$G10=54),0,1)</f>
        <v/>
      </c>
      <c r="EY11">
        <f>EY10*IF(OR($C10=55,$G10=55),0,1)</f>
        <v/>
      </c>
      <c r="EZ11">
        <f>EZ10*IF(OR($C10=56,$G10=56),0,1)</f>
        <v/>
      </c>
      <c r="FA11">
        <f>FA10*IF(OR($C10=57,$G10=57),0,1)</f>
        <v/>
      </c>
      <c r="FB11">
        <f>FB10*IF(OR($C10=58,$G10=58),0,1)</f>
        <v/>
      </c>
      <c r="FC11">
        <f>FC10*IF(OR($C10=59,$G10=59),0,1)</f>
        <v/>
      </c>
      <c r="FD11">
        <f>FD10*IF(OR($C10=60,$G10=60),0,1)</f>
        <v/>
      </c>
      <c r="FE11">
        <f>FE10*IF(OR($C10=61,$G10=61),0,1)</f>
        <v/>
      </c>
      <c r="FF11">
        <f>FF10*IF(OR($C10=62,$G10=62),0,1)</f>
        <v/>
      </c>
      <c r="FG11">
        <f>FG10*IF(OR($C10=63,$G10=63),0,1)</f>
        <v/>
      </c>
      <c r="FH11">
        <f>FH10*IF(OR($C10=64,$G10=64),0,1)</f>
        <v/>
      </c>
      <c r="FI11">
        <f>FI10*IF(OR($C10=65,$G10=65),0,1)</f>
        <v/>
      </c>
      <c r="FJ11">
        <f>FJ10*IF(OR($C10=66,$G10=66),0,1)</f>
        <v/>
      </c>
      <c r="FK11">
        <f>FK10*IF(OR($C10=67,$G10=67),0,1)</f>
        <v/>
      </c>
      <c r="FL11">
        <f>FL10*IF(OR($C10=68,$G10=68),0,1)</f>
        <v/>
      </c>
      <c r="FM11">
        <f>FM10*IF(OR($C10=69,$G10=69),0,1)</f>
        <v/>
      </c>
      <c r="FN11">
        <f>FN10*IF(OR($C10=70,$G10=70),0,1)</f>
        <v/>
      </c>
      <c r="FO11">
        <f>FO10*IF(OR($C10=71,$G10=71),0,1)</f>
        <v/>
      </c>
      <c r="FP11">
        <f>FP10*IF(OR($C10=72,$G10=72),0,1)</f>
        <v/>
      </c>
      <c r="FQ11">
        <f>FQ10*IF(OR($C10=73,$G10=73),0,1)</f>
        <v/>
      </c>
      <c r="FR11">
        <f>FR10*IF(OR($C10=74,$G10=74),0,1)</f>
        <v/>
      </c>
      <c r="FS11">
        <f>FS10*IF(OR($C10=75,$G10=75),0,1)</f>
        <v/>
      </c>
      <c r="FT11">
        <f>FT10*IF(OR($C10=76,$G10=76),0,1)</f>
        <v/>
      </c>
      <c r="FU11">
        <f>FU10*IF(OR($C10=77,$G10=77),0,1)</f>
        <v/>
      </c>
      <c r="FV11">
        <f>FV10*IF(OR($C10=78,$G10=78),0,1)</f>
        <v/>
      </c>
      <c r="FW11">
        <f>FW10*IF(OR($C10=79,$G10=79),0,1)</f>
        <v/>
      </c>
      <c r="FX11">
        <f>FX10*IF(OR($C10=80,$G10=80),0,1)</f>
        <v/>
      </c>
      <c r="FY11">
        <f>FY10*IF(OR($C10=81,$G10=81),0,1)</f>
        <v/>
      </c>
      <c r="FZ11">
        <f>FZ10*IF(OR($C10=82,$G10=82),0,1)</f>
        <v/>
      </c>
      <c r="GA11">
        <f>GA10*IF(OR($C10=83,$G10=83),0,1)</f>
        <v/>
      </c>
      <c r="GB11">
        <f>GB10*IF(OR($C10=84,$G10=84),0,1)</f>
        <v/>
      </c>
      <c r="GC11">
        <f>GC10*IF(OR($C10=85,$G10=85),0,1)</f>
        <v/>
      </c>
      <c r="GD11">
        <f>GD10*IF(OR($C10=86,$G10=86),0,1)</f>
        <v/>
      </c>
      <c r="GE11">
        <f>GE10*IF(OR($C10=87,$G10=87),0,1)</f>
        <v/>
      </c>
      <c r="GF11">
        <f>GF10*IF(OR($C10=88,$G10=88),0,1)</f>
        <v/>
      </c>
      <c r="GG11">
        <f>GG10*IF(OR($C10=89,$G10=89),0,1)</f>
        <v/>
      </c>
      <c r="GH11">
        <f>GH10*IF(OR($C10=90,$G10=90),0,1)</f>
        <v/>
      </c>
      <c r="GI11">
        <f>GI10*IF(OR($C10=91,$G10=91),0,1)</f>
        <v/>
      </c>
      <c r="GJ11">
        <f>GJ10*IF(OR($C10=92,$G10=92),0,1)</f>
        <v/>
      </c>
      <c r="GK11">
        <f>GK10*IF(OR($C10=93,$G10=93),0,1)</f>
        <v/>
      </c>
      <c r="GL11">
        <f>GL10*IF(OR($C10=94,$G10=94),0,1)</f>
        <v/>
      </c>
      <c r="GM11">
        <f>GM10*IF(OR($C10=95,$G10=95),0,1)</f>
        <v/>
      </c>
      <c r="GN11">
        <f>GN10*IF(OR($C10=96,$G10=96),0,1)</f>
        <v/>
      </c>
      <c r="GO11">
        <f>GO10*IF(OR($C10=97,$G10=97),0,1)</f>
        <v/>
      </c>
      <c r="GP11">
        <f>GP10*IF(OR($C10=98,$G10=98),0,1)</f>
        <v/>
      </c>
      <c r="GQ11">
        <f>GQ10*IF(OR($C10=99,$G10=99),0,1)</f>
        <v/>
      </c>
      <c r="GR11">
        <f>GR10*IF(OR($C10=100,$G10=100),0,1)</f>
        <v/>
      </c>
      <c r="GS11">
        <f>GS10*IF(OR($C10=101,$G10=101),0,1)</f>
        <v/>
      </c>
      <c r="GT11">
        <f>GT10*IF(OR($C10=102,$G10=102),0,1)</f>
        <v/>
      </c>
      <c r="GU11">
        <f>GU10*IF(OR($C10=103,$G10=103),0,1)</f>
        <v/>
      </c>
      <c r="GV11">
        <f>GV10*IF(OR($C10=104,$G10=104),0,1)</f>
        <v/>
      </c>
      <c r="GW11">
        <f>GW10*IF(OR($C10=105,$G10=105),0,1)</f>
        <v/>
      </c>
      <c r="GX11">
        <f>GX10*IF(OR($C10=106,$G10=106),0,1)</f>
        <v/>
      </c>
      <c r="GY11">
        <f>GY10*IF(OR($C10=107,$G10=107),0,1)</f>
        <v/>
      </c>
      <c r="GZ11">
        <f>GZ10*IF(OR($C10=108,$G10=108),0,1)</f>
        <v/>
      </c>
      <c r="HA11">
        <f>HA10*IF(OR($C10=109,$G10=109),0,1)</f>
        <v/>
      </c>
      <c r="HB11">
        <f>HB10*IF(OR($C10=110,$G10=110),0,1)</f>
        <v/>
      </c>
      <c r="HC11">
        <f>HC10*IF(OR($C10=111,$G10=111),0,1)</f>
        <v/>
      </c>
      <c r="HD11">
        <f>HD10*IF(OR($C10=112,$G10=112),0,1)</f>
        <v/>
      </c>
      <c r="HE11">
        <f>HE10*IF(OR($C10=113,$G10=113),0,1)</f>
        <v/>
      </c>
      <c r="HF11">
        <f>HF10*IF(OR($C10=114,$G10=114),0,1)</f>
        <v/>
      </c>
      <c r="HG11">
        <f>HG10*IF(OR($C10=115,$G10=115),0,1)</f>
        <v/>
      </c>
      <c r="HH11">
        <f>HH10*IF(OR($C10=116,$G10=116),0,1)</f>
        <v/>
      </c>
      <c r="HI11">
        <f>HI10*IF(OR($C10=117,$G10=117),0,1)</f>
        <v/>
      </c>
      <c r="HJ11">
        <f>HJ10*IF(OR($C10=118,$G10=118),0,1)</f>
        <v/>
      </c>
      <c r="HK11">
        <f>HK10*IF(OR($C10=119,$G10=119),0,1)</f>
        <v/>
      </c>
      <c r="HL11">
        <f>HL10*IF(OR($C10=120,$G10=120),0,1)</f>
        <v/>
      </c>
      <c r="HM11">
        <f>HM10*IF(OR($C10=121,$G10=121),0,1)</f>
        <v/>
      </c>
      <c r="HN11">
        <f>HN10*IF(OR($C10=122,$G10=122),0,1)</f>
        <v/>
      </c>
      <c r="HO11">
        <f>HO10*IF(OR($C10=123,$G10=123),0,1)</f>
        <v/>
      </c>
      <c r="HP11">
        <f>HP10*IF(OR($C10=124,$G10=124),0,1)</f>
        <v/>
      </c>
      <c r="HQ11">
        <f>HQ10*IF(OR($C10=125,$G10=125),0,1)</f>
        <v/>
      </c>
      <c r="HR11">
        <f>HR10*IF(OR($C10=126,$G10=126),0,1)</f>
        <v/>
      </c>
      <c r="HS11">
        <f>HS10*IF(OR($C10=127,$G10=127),0,1)</f>
        <v/>
      </c>
      <c r="HT11">
        <f>HT10*IF(OR($C10=128,$G10=128),0,1)</f>
        <v/>
      </c>
      <c r="HU11">
        <f>HU10*IF(OR($C10=129,$G10=129),0,1)</f>
        <v/>
      </c>
      <c r="HV11">
        <f>HV10*IF(OR($C10=130,$G10=130),0,1)</f>
        <v/>
      </c>
      <c r="HW11">
        <f>HW10*IF(OR($C10=131,$G10=131),0,1)</f>
        <v/>
      </c>
      <c r="HX11">
        <f>HX10*IF(OR($C10=132,$G10=132),0,1)</f>
        <v/>
      </c>
      <c r="HY11">
        <f>HY10*IF(OR($C10=133,$G10=133),0,1)</f>
        <v/>
      </c>
      <c r="HZ11">
        <f>HZ10*IF(OR($C10=134,$G10=134),0,1)</f>
        <v/>
      </c>
      <c r="IA11">
        <f>IA10*IF(OR($C10=135,$G10=135),0,1)</f>
        <v/>
      </c>
      <c r="IB11">
        <f>IB10*IF(OR($C10=136,$G10=136),0,1)</f>
        <v/>
      </c>
      <c r="IC11">
        <f>IC10*IF(OR($C10=137,$G10=137),0,1)</f>
        <v/>
      </c>
      <c r="ID11">
        <f>ID10*IF(OR($C10=138,$G10=138),0,1)</f>
        <v/>
      </c>
      <c r="IE11">
        <f>IE10*IF(OR($C10=139,$G10=139),0,1)</f>
        <v/>
      </c>
      <c r="IF11">
        <f>IF10*IF(OR($C10=140,$G10=140),0,1)</f>
        <v/>
      </c>
      <c r="IG11">
        <f>IG10*IF(OR($C10=141,$G10=141),0,1)</f>
        <v/>
      </c>
      <c r="IH11">
        <f>IH10*IF(OR($C10=142,$G10=142),0,1)</f>
        <v/>
      </c>
      <c r="II11">
        <f>II10*IF(OR($C10=143,$G10=143),0,1)</f>
        <v/>
      </c>
      <c r="IJ11">
        <f>IJ10*IF(OR($C10=144,$G10=144),0,1)</f>
        <v/>
      </c>
      <c r="IK11">
        <f>IK10*IF(OR($C10=145,$G10=145),0,1)</f>
        <v/>
      </c>
      <c r="IL11">
        <f>IL10*IF(OR($C10=146,$G10=146),0,1)</f>
        <v/>
      </c>
      <c r="IM11">
        <f>IM10*IF(OR($C10=147,$G10=147),0,1)</f>
        <v/>
      </c>
      <c r="IN11">
        <f>IN10*IF(OR($C10=148,$G10=148),0,1)</f>
        <v/>
      </c>
      <c r="IO11">
        <f>IO10*IF(OR($C10=149,$G10=149),0,1)</f>
        <v/>
      </c>
      <c r="IP11">
        <f>IP10*IF(OR($C10=150,$G10=150),0,1)</f>
        <v/>
      </c>
      <c r="IQ11">
        <f>IQ10*IF(OR($C10=151,$G10=151),0,1)</f>
        <v/>
      </c>
      <c r="IR11">
        <f>IR10*IF(OR($C10=152,$G10=152),0,1)</f>
        <v/>
      </c>
      <c r="IS11">
        <f>IS10*IF(OR($C10=153,$G10=153),0,1)</f>
        <v/>
      </c>
      <c r="IT11">
        <f>IT10*IF(OR($C10=154,$G10=154),0,1)</f>
        <v/>
      </c>
      <c r="IU11">
        <f>IU10*IF(OR($C10=155,$G10=155),0,1)</f>
        <v/>
      </c>
      <c r="IV11">
        <f>IV10*IF(OR($C10=156,$G10=156),0,1)</f>
        <v/>
      </c>
      <c r="IW11">
        <f>IW10*IF(OR($C10=157,$G10=157),0,1)</f>
        <v/>
      </c>
      <c r="IX11">
        <f>IX10*IF(OR($C10=158,$G10=158),0,1)</f>
        <v/>
      </c>
      <c r="IY11">
        <f>IY10*IF(OR($C10=159,$G10=159),0,1)</f>
        <v/>
      </c>
      <c r="IZ11">
        <f>IZ10*IF(OR($C10=160,$G10=160),0,1)</f>
        <v/>
      </c>
      <c r="JA11">
        <f>JA10*IF(OR($C10=161,$G10=161),0,1)</f>
        <v/>
      </c>
      <c r="JB11">
        <f>JB10*IF(OR($C10=162,$G10=162),0,1)</f>
        <v/>
      </c>
      <c r="JC11">
        <f>JC10*IF(OR($C10=163,$G10=163),0,1)</f>
        <v/>
      </c>
      <c r="JD11">
        <f>JD10*IF(OR($C10=164,$G10=164),0,1)</f>
        <v/>
      </c>
      <c r="JE11">
        <f>JE10*IF(OR($C10=165,$G10=165),0,1)</f>
        <v/>
      </c>
      <c r="JF11">
        <f>JF10*IF(OR($C10=166,$G10=166),0,1)</f>
        <v/>
      </c>
      <c r="JG11">
        <f>JG10*IF(OR($C10=167,$G10=167),0,1)</f>
        <v/>
      </c>
      <c r="JH11">
        <f>JH10*IF(OR($C10=168,$G10=168),0,1)</f>
        <v/>
      </c>
      <c r="JI11">
        <f>JI10*IF(OR($C10=169,$G10=169),0,1)</f>
        <v/>
      </c>
      <c r="JJ11">
        <f>JJ10*IF(OR($C10=170,$G10=170),0,1)</f>
        <v/>
      </c>
      <c r="JK11">
        <f>JK10*IF(OR($C10=171,$G10=171),0,1)</f>
        <v/>
      </c>
      <c r="JL11">
        <f>JL10*IF(OR($C10=172,$G10=172),0,1)</f>
        <v/>
      </c>
      <c r="JM11">
        <f>JM10*IF(OR($C10=173,$G10=173),0,1)</f>
        <v/>
      </c>
      <c r="JN11">
        <f>JN10*IF(OR($C10=174,$G10=174),0,1)</f>
        <v/>
      </c>
      <c r="JO11">
        <f>JO10*IF(OR($C10=175,$G10=175),0,1)</f>
        <v/>
      </c>
      <c r="JP11">
        <f>JP10*IF(OR($C10=176,$G10=176),0,1)</f>
        <v/>
      </c>
      <c r="JQ11">
        <f>JQ10*IF(OR($C10=177,$G10=177),0,1)</f>
        <v/>
      </c>
      <c r="JR11">
        <f>JR10*IF(OR($C10=178,$G10=178),0,1)</f>
        <v/>
      </c>
      <c r="JS11">
        <f>JS10*IF(OR($C10=179,$G10=179),0,1)</f>
        <v/>
      </c>
      <c r="JT11">
        <f>JT10*IF(OR($C10=180,$G10=180),0,1)</f>
        <v/>
      </c>
      <c r="JU11">
        <f>JU10*IF(OR($C10=181,$G10=181),0,1)</f>
        <v/>
      </c>
      <c r="JV11">
        <f>JV10*IF(OR($C10=182,$G10=182),0,1)</f>
        <v/>
      </c>
      <c r="JW11">
        <f>JW10*IF(OR($C10=183,$G10=183),0,1)</f>
        <v/>
      </c>
      <c r="JX11">
        <f>JX10*IF(OR($C10=184,$G10=184),0,1)</f>
        <v/>
      </c>
      <c r="JY11">
        <f>JY10*IF(OR($C10=185,$G10=185),0,1)</f>
        <v/>
      </c>
      <c r="JZ11">
        <f>JZ10*IF(OR($C10=186,$G10=186),0,1)</f>
        <v/>
      </c>
      <c r="KA11">
        <f>KA10*IF(OR($C10=187,$G10=187),0,1)</f>
        <v/>
      </c>
      <c r="KB11">
        <f>KB10*IF(OR($C10=188,$G10=188),0,1)</f>
        <v/>
      </c>
      <c r="KC11">
        <f>KC10*IF(OR($C10=189,$G10=189),0,1)</f>
        <v/>
      </c>
      <c r="KD11">
        <f>KD10*IF(OR($C10=190,$G10=190),0,1)</f>
        <v/>
      </c>
      <c r="KE11">
        <f>KE10*IF(OR($C10=191,$G10=191),0,1)</f>
        <v/>
      </c>
      <c r="KF11">
        <f>KF10*IF(OR($C10=192,$G10=192),0,1)</f>
        <v/>
      </c>
      <c r="KG11">
        <f>KG10*IF(OR($C10=193,$G10=193),0,1)</f>
        <v/>
      </c>
      <c r="KH11">
        <f>KH10*IF(OR($C10=194,$G10=194),0,1)</f>
        <v/>
      </c>
      <c r="KI11">
        <f>KI10*IF(OR($C10=195,$G10=195),0,1)</f>
        <v/>
      </c>
      <c r="KJ11">
        <f>KJ10*IF(OR($C10=196,$G10=196),0,1)</f>
        <v/>
      </c>
      <c r="KK11">
        <f>KK10*IF(OR($C10=197,$G10=197),0,1)</f>
        <v/>
      </c>
      <c r="KL11">
        <f>KL10*IF(OR($C10=198,$G10=198),0,1)</f>
        <v/>
      </c>
      <c r="KM11">
        <f>KM10*IF(OR($C10=199,$G10=199),0,1)</f>
        <v/>
      </c>
      <c r="KN11">
        <f>KN10*IF(OR($C10=200,$G10=200),0,1)</f>
        <v/>
      </c>
      <c r="KO11">
        <f>KO10*IF(OR($C10=201,$G10=201),0,1)</f>
        <v/>
      </c>
      <c r="KP11">
        <f>KP10*IF(OR($C10=202,$G10=202),0,1)</f>
        <v/>
      </c>
      <c r="KQ11">
        <f>KQ10*IF(OR($C10=203,$G10=203),0,1)</f>
        <v/>
      </c>
      <c r="KR11">
        <f>KR10*IF(OR($C10=204,$G10=204),0,1)</f>
        <v/>
      </c>
      <c r="KS11">
        <f>KS10*IF(OR($C10=205,$G10=205),0,1)</f>
        <v/>
      </c>
      <c r="KT11">
        <f>KT10*IF(OR($C10=206,$G10=206),0,1)</f>
        <v/>
      </c>
      <c r="KU11">
        <f>KU10*IF(OR($C10=207,$G10=207),0,1)</f>
        <v/>
      </c>
      <c r="KV11">
        <f>KV10*IF(OR($C10=208,$G10=208),0,1)</f>
        <v/>
      </c>
      <c r="KW11">
        <f>KW10*IF(OR($C10=209,$G10=209),0,1)</f>
        <v/>
      </c>
      <c r="KX11">
        <f>KX10*IF(OR($C10=210,$G10=210),0,1)</f>
        <v/>
      </c>
      <c r="KY11">
        <f>KY10*IF(OR($C10=211,$G10=211),0,1)</f>
        <v/>
      </c>
      <c r="KZ11">
        <f>KZ10*IF(OR($C10=212,$G10=212),0,1)</f>
        <v/>
      </c>
      <c r="LA11">
        <f>LA10*IF(OR($C10=213,$G10=213),0,1)</f>
        <v/>
      </c>
      <c r="LB11">
        <f>LB10*IF(OR($C10=214,$G10=214),0,1)</f>
        <v/>
      </c>
      <c r="LC11">
        <f>LC10*IF(OR($C10=215,$G10=215),0,1)</f>
        <v/>
      </c>
      <c r="LD11">
        <f>LD10*IF(OR($C10=216,$G10=216),0,1)</f>
        <v/>
      </c>
      <c r="LE11">
        <f>LE10*IF(OR($C10=217,$G10=217),0,1)</f>
        <v/>
      </c>
      <c r="LF11">
        <f>LF10*IF(OR($C10=218,$G10=218),0,1)</f>
        <v/>
      </c>
      <c r="LG11">
        <f>LG10*IF(OR($C10=219,$G10=219),0,1)</f>
        <v/>
      </c>
      <c r="LH11">
        <f>LH10*IF(OR($C10=220,$G10=220),0,1)</f>
        <v/>
      </c>
      <c r="LI11">
        <f>LI10*IF(OR($C10=221,$G10=221),0,1)</f>
        <v/>
      </c>
      <c r="LJ11">
        <f>LJ10*IF(OR($C10=222,$G10=222),0,1)</f>
        <v/>
      </c>
      <c r="LK11">
        <f>LK10*IF(OR($C10=223,$G10=223),0,1)</f>
        <v/>
      </c>
      <c r="LL11">
        <f>LL10*IF(OR($C10=224,$G10=224),0,1)</f>
        <v/>
      </c>
      <c r="LM11">
        <f>LM10*IF(OR($C10=225,$G10=225),0,1)</f>
        <v/>
      </c>
      <c r="LN11">
        <f>LN10*IF(OR($C10=226,$G10=226),0,1)</f>
        <v/>
      </c>
      <c r="LO11">
        <f>LO10*IF(OR($C10=227,$G10=227),0,1)</f>
        <v/>
      </c>
      <c r="LP11">
        <f>LP10*IF(OR($C10=228,$G10=228),0,1)</f>
        <v/>
      </c>
      <c r="LQ11">
        <f>LQ10*IF(OR($C10=229,$G10=229),0,1)</f>
        <v/>
      </c>
      <c r="LR11">
        <f>LR10*IF(OR($C10=230,$G10=230),0,1)</f>
        <v/>
      </c>
      <c r="LS11">
        <f>LS10*IF(OR($C10=231,$G10=231),0,1)</f>
        <v/>
      </c>
      <c r="LT11">
        <f>LT10*IF(OR($C10=232,$G10=232),0,1)</f>
        <v/>
      </c>
      <c r="LU11">
        <f>LU10*IF(OR($C10=233,$G10=233),0,1)</f>
        <v/>
      </c>
      <c r="LV11">
        <f>LV10*IF(OR($C10=234,$G10=234),0,1)</f>
        <v/>
      </c>
      <c r="LW11">
        <f>LW10*IF(OR($C10=235,$G10=235),0,1)</f>
        <v/>
      </c>
      <c r="LX11">
        <f>LX10*IF(OR($C10=236,$G10=236),0,1)</f>
        <v/>
      </c>
      <c r="LY11">
        <f>LY10*IF(OR($C10=237,$G10=237),0,1)</f>
        <v/>
      </c>
      <c r="LZ11">
        <f>LZ10*IF(OR($C10=238,$G10=238),0,1)</f>
        <v/>
      </c>
      <c r="MA11">
        <f>MA10*IF(OR($C10=239,$G10=239),0,1)</f>
        <v/>
      </c>
      <c r="MB11">
        <f>MB10*IF(OR($C10=240,$G10=240),0,1)</f>
        <v/>
      </c>
      <c r="MD11">
        <f>IF('計算A'!D$106=1,CX11,1)</f>
        <v/>
      </c>
      <c r="ME11">
        <f>IF('計算A'!E$106=1,CY11,1)</f>
        <v/>
      </c>
      <c r="MF11">
        <f>IF('計算A'!F$106=1,CZ11,1)</f>
        <v/>
      </c>
      <c r="MG11">
        <f>IF('計算A'!G$106=1,DA11,1)</f>
        <v/>
      </c>
      <c r="MH11">
        <f>IF('計算A'!H$106=1,DB11,1)</f>
        <v/>
      </c>
      <c r="MI11">
        <f>IF('計算A'!I$106=1,DC11,1)</f>
        <v/>
      </c>
      <c r="MJ11">
        <f>IF('計算A'!J$106=1,DD11,1)</f>
        <v/>
      </c>
      <c r="MK11">
        <f>IF('計算A'!K$106=1,DE11,1)</f>
        <v/>
      </c>
      <c r="ML11">
        <f>IF('計算A'!L$106=1,DF11,1)</f>
        <v/>
      </c>
      <c r="MM11">
        <f>IF('計算A'!M$106=1,DG11,1)</f>
        <v/>
      </c>
      <c r="MN11">
        <f>IF('計算A'!N$106=1,DH11,1)</f>
        <v/>
      </c>
      <c r="MO11">
        <f>IF('計算A'!O$106=1,DI11,1)</f>
        <v/>
      </c>
      <c r="MP11">
        <f>IF('計算A'!P$106=1,DJ11,1)</f>
        <v/>
      </c>
      <c r="MQ11">
        <f>IF('計算A'!Q$106=1,DK11,1)</f>
        <v/>
      </c>
      <c r="MR11">
        <f>IF('計算A'!R$106=1,DL11,1)</f>
        <v/>
      </c>
      <c r="MS11">
        <f>IF('計算A'!S$106=1,DM11,1)</f>
        <v/>
      </c>
      <c r="MT11">
        <f>IF('計算A'!T$106=1,DN11,1)</f>
        <v/>
      </c>
      <c r="MU11">
        <f>IF('計算A'!U$106=1,DO11,1)</f>
        <v/>
      </c>
      <c r="MV11">
        <f>IF('計算A'!V$106=1,DP11,1)</f>
        <v/>
      </c>
      <c r="MW11">
        <f>IF('計算A'!W$106=1,DQ11,1)</f>
        <v/>
      </c>
      <c r="MX11">
        <f>IF('計算A'!X$106=1,DR11,1)</f>
        <v/>
      </c>
      <c r="MY11">
        <f>IF('計算A'!Y$106=1,DS11,1)</f>
        <v/>
      </c>
      <c r="MZ11">
        <f>IF('計算A'!Z$106=1,DT11,1)</f>
        <v/>
      </c>
      <c r="NA11">
        <f>IF('計算A'!AA$106=1,DU11,1)</f>
        <v/>
      </c>
      <c r="NB11">
        <f>IF('計算A'!AB$106=1,DV11,1)</f>
        <v/>
      </c>
      <c r="NC11">
        <f>IF('計算A'!AC$106=1,DW11,1)</f>
        <v/>
      </c>
      <c r="ND11">
        <f>IF('計算A'!AD$106=1,DX11,1)</f>
        <v/>
      </c>
      <c r="NE11">
        <f>IF('計算A'!AE$106=1,DY11,1)</f>
        <v/>
      </c>
      <c r="NF11">
        <f>IF('計算A'!AF$106=1,DZ11,1)</f>
        <v/>
      </c>
      <c r="NG11">
        <f>IF('計算A'!AG$106=1,EA11,1)</f>
        <v/>
      </c>
      <c r="NH11">
        <f>IF('計算A'!AH$106=1,EB11,1)</f>
        <v/>
      </c>
      <c r="NI11">
        <f>IF('計算A'!AI$106=1,EC11,1)</f>
        <v/>
      </c>
      <c r="NJ11">
        <f>IF('計算A'!AJ$106=1,ED11,1)</f>
        <v/>
      </c>
      <c r="NK11">
        <f>IF('計算A'!AK$106=1,EE11,1)</f>
        <v/>
      </c>
      <c r="NL11">
        <f>IF('計算A'!AL$106=1,EF11,1)</f>
        <v/>
      </c>
      <c r="NM11">
        <f>IF('計算A'!AM$106=1,EG11,1)</f>
        <v/>
      </c>
      <c r="NN11">
        <f>IF('計算A'!AN$106=1,EH11,1)</f>
        <v/>
      </c>
      <c r="NO11">
        <f>IF('計算A'!AO$106=1,EI11,1)</f>
        <v/>
      </c>
      <c r="NP11">
        <f>IF('計算A'!AP$106=1,EJ11,1)</f>
        <v/>
      </c>
      <c r="NQ11">
        <f>IF('計算A'!AQ$106=1,EK11,1)</f>
        <v/>
      </c>
      <c r="NR11">
        <f>IF('計算A'!AR$106=1,EL11,1)</f>
        <v/>
      </c>
      <c r="NS11">
        <f>IF('計算A'!AS$106=1,EM11,1)</f>
        <v/>
      </c>
      <c r="NT11">
        <f>IF('計算A'!AT$106=1,EN11,1)</f>
        <v/>
      </c>
      <c r="NU11">
        <f>IF('計算A'!AU$106=1,EO11,1)</f>
        <v/>
      </c>
      <c r="NV11">
        <f>IF('計算A'!AV$106=1,EP11,1)</f>
        <v/>
      </c>
      <c r="NW11">
        <f>IF('計算A'!AW$106=1,EQ11,1)</f>
        <v/>
      </c>
      <c r="NX11">
        <f>IF('計算A'!AX$106=1,ER11,1)</f>
        <v/>
      </c>
      <c r="NY11">
        <f>IF('計算A'!AY$106=1,ES11,1)</f>
        <v/>
      </c>
      <c r="NZ11">
        <f>IF('計算A'!AZ$106=1,ET11,1)</f>
        <v/>
      </c>
      <c r="OA11">
        <f>IF('計算A'!BA$106=1,EU11,1)</f>
        <v/>
      </c>
      <c r="OB11">
        <f>IF('計算A'!BB$106=1,EV11,1)</f>
        <v/>
      </c>
      <c r="OC11">
        <f>IF('計算A'!BC$106=1,EW11,1)</f>
        <v/>
      </c>
      <c r="OD11">
        <f>IF('計算A'!BD$106=1,EX11,1)</f>
        <v/>
      </c>
      <c r="OE11">
        <f>IF('計算A'!BE$106=1,EY11,1)</f>
        <v/>
      </c>
      <c r="OF11">
        <f>IF('計算A'!BF$106=1,EZ11,1)</f>
        <v/>
      </c>
      <c r="OG11">
        <f>IF('計算A'!BG$106=1,FA11,1)</f>
        <v/>
      </c>
      <c r="OH11">
        <f>IF('計算A'!BH$106=1,FB11,1)</f>
        <v/>
      </c>
      <c r="OI11">
        <f>IF('計算A'!BI$106=1,FC11,1)</f>
        <v/>
      </c>
      <c r="OJ11">
        <f>IF('計算A'!BJ$106=1,FD11,1)</f>
        <v/>
      </c>
      <c r="OK11">
        <f>IF('計算A'!BK$106=1,FE11,1)</f>
        <v/>
      </c>
      <c r="OL11">
        <f>IF('計算A'!BL$106=1,FF11,1)</f>
        <v/>
      </c>
      <c r="OM11">
        <f>IF('計算A'!BM$106=1,FG11,1)</f>
        <v/>
      </c>
      <c r="ON11">
        <f>IF('計算A'!BN$106=1,FH11,1)</f>
        <v/>
      </c>
      <c r="OO11">
        <f>IF('計算A'!BO$106=1,FI11,1)</f>
        <v/>
      </c>
      <c r="OP11">
        <f>IF('計算A'!BP$106=1,FJ11,1)</f>
        <v/>
      </c>
      <c r="OQ11">
        <f>IF('計算A'!BQ$106=1,FK11,1)</f>
        <v/>
      </c>
      <c r="OR11">
        <f>IF('計算A'!BR$106=1,FL11,1)</f>
        <v/>
      </c>
      <c r="OS11">
        <f>IF('計算A'!BS$106=1,FM11,1)</f>
        <v/>
      </c>
      <c r="OT11">
        <f>IF('計算A'!BT$106=1,FN11,1)</f>
        <v/>
      </c>
      <c r="OU11">
        <f>IF('計算A'!BU$106=1,FO11,1)</f>
        <v/>
      </c>
      <c r="OV11">
        <f>IF('計算A'!BV$106=1,FP11,1)</f>
        <v/>
      </c>
      <c r="OW11">
        <f>IF('計算A'!BW$106=1,FQ11,1)</f>
        <v/>
      </c>
      <c r="OX11">
        <f>IF('計算A'!BX$106=1,FR11,1)</f>
        <v/>
      </c>
      <c r="OY11">
        <f>IF('計算A'!BY$106=1,FS11,1)</f>
        <v/>
      </c>
      <c r="OZ11">
        <f>IF('計算A'!BZ$106=1,FT11,1)</f>
        <v/>
      </c>
      <c r="PA11">
        <f>IF('計算A'!CA$106=1,FU11,1)</f>
        <v/>
      </c>
      <c r="PB11">
        <f>IF('計算A'!CB$106=1,FV11,1)</f>
        <v/>
      </c>
      <c r="PC11">
        <f>IF('計算A'!CC$106=1,FW11,1)</f>
        <v/>
      </c>
      <c r="PD11">
        <f>IF('計算A'!CD$106=1,FX11,1)</f>
        <v/>
      </c>
      <c r="PE11">
        <f>IF('計算A'!CE$106=1,FY11,1)</f>
        <v/>
      </c>
      <c r="PF11">
        <f>IF('計算A'!CF$106=1,FZ11,1)</f>
        <v/>
      </c>
      <c r="PG11">
        <f>IF('計算A'!CG$106=1,GA11,1)</f>
        <v/>
      </c>
      <c r="PH11">
        <f>IF('計算A'!CH$106=1,GB11,1)</f>
        <v/>
      </c>
      <c r="PI11">
        <f>IF('計算A'!CI$106=1,GC11,1)</f>
        <v/>
      </c>
      <c r="PJ11">
        <f>IF('計算A'!CJ$106=1,GD11,1)</f>
        <v/>
      </c>
      <c r="PK11">
        <f>IF('計算A'!CK$106=1,GE11,1)</f>
        <v/>
      </c>
      <c r="PL11">
        <f>IF('計算A'!CL$106=1,GF11,1)</f>
        <v/>
      </c>
      <c r="PM11">
        <f>IF('計算A'!CM$106=1,GG11,1)</f>
        <v/>
      </c>
      <c r="PN11">
        <f>IF('計算A'!CN$106=1,GH11,1)</f>
        <v/>
      </c>
      <c r="PO11">
        <f>IF('計算A'!CO$106=1,GI11,1)</f>
        <v/>
      </c>
      <c r="PP11">
        <f>IF('計算A'!CP$106=1,GJ11,1)</f>
        <v/>
      </c>
      <c r="PQ11">
        <f>IF('計算A'!CQ$106=1,GK11,1)</f>
        <v/>
      </c>
      <c r="PR11">
        <f>IF('計算A'!CR$106=1,GL11,1)</f>
        <v/>
      </c>
      <c r="PS11">
        <f>IF('計算A'!CS$106=1,GM11,1)</f>
        <v/>
      </c>
      <c r="PT11">
        <f>IF('計算A'!CT$106=1,GN11,1)</f>
        <v/>
      </c>
      <c r="PU11">
        <f>IF('計算A'!CU$106=1,GO11,1)</f>
        <v/>
      </c>
      <c r="PV11">
        <f>IF('計算A'!CV$106=1,GP11,1)</f>
        <v/>
      </c>
      <c r="PW11">
        <f>IF('計算A'!CW$106=1,GQ11,1)</f>
        <v/>
      </c>
      <c r="PX11">
        <f>IF('計算A'!CX$106=1,GR11,1)</f>
        <v/>
      </c>
      <c r="PY11">
        <f>IF('計算A'!CY$106=1,GS11,1)</f>
        <v/>
      </c>
      <c r="PZ11">
        <f>IF('計算A'!CZ$106=1,GT11,1)</f>
        <v/>
      </c>
      <c r="QA11">
        <f>IF('計算A'!DA$106=1,GU11,1)</f>
        <v/>
      </c>
      <c r="QB11">
        <f>IF('計算A'!DB$106=1,GV11,1)</f>
        <v/>
      </c>
      <c r="QC11">
        <f>IF('計算A'!DC$106=1,GW11,1)</f>
        <v/>
      </c>
      <c r="QD11">
        <f>IF('計算A'!DD$106=1,GX11,1)</f>
        <v/>
      </c>
      <c r="QE11">
        <f>IF('計算A'!DE$106=1,GY11,1)</f>
        <v/>
      </c>
      <c r="QF11">
        <f>IF('計算A'!DF$106=1,GZ11,1)</f>
        <v/>
      </c>
      <c r="QG11">
        <f>IF('計算A'!DG$106=1,HA11,1)</f>
        <v/>
      </c>
      <c r="QH11">
        <f>IF('計算A'!DH$106=1,HB11,1)</f>
        <v/>
      </c>
      <c r="QI11">
        <f>IF('計算A'!DI$106=1,HC11,1)</f>
        <v/>
      </c>
      <c r="QJ11">
        <f>IF('計算A'!DJ$106=1,HD11,1)</f>
        <v/>
      </c>
      <c r="QK11">
        <f>IF('計算A'!DK$106=1,HE11,1)</f>
        <v/>
      </c>
      <c r="QL11">
        <f>IF('計算A'!DL$106=1,HF11,1)</f>
        <v/>
      </c>
      <c r="QM11">
        <f>IF('計算A'!DM$106=1,HG11,1)</f>
        <v/>
      </c>
      <c r="QN11">
        <f>IF('計算A'!DN$106=1,HH11,1)</f>
        <v/>
      </c>
      <c r="QO11">
        <f>IF('計算A'!DO$106=1,HI11,1)</f>
        <v/>
      </c>
      <c r="QP11">
        <f>IF('計算A'!DP$106=1,HJ11,1)</f>
        <v/>
      </c>
      <c r="QQ11">
        <f>IF('計算A'!DQ$106=1,HK11,1)</f>
        <v/>
      </c>
      <c r="QR11">
        <f>IF('計算A'!DR$106=1,HL11,1)</f>
        <v/>
      </c>
      <c r="QS11">
        <f>IF('計算A'!DS$106=1,HM11,1)</f>
        <v/>
      </c>
      <c r="QT11">
        <f>IF('計算A'!DT$106=1,HN11,1)</f>
        <v/>
      </c>
      <c r="QU11">
        <f>IF('計算A'!DU$106=1,HO11,1)</f>
        <v/>
      </c>
      <c r="QV11">
        <f>IF('計算A'!DV$106=1,HP11,1)</f>
        <v/>
      </c>
      <c r="QW11">
        <f>IF('計算A'!DW$106=1,HQ11,1)</f>
        <v/>
      </c>
      <c r="QX11">
        <f>IF('計算A'!DX$106=1,HR11,1)</f>
        <v/>
      </c>
      <c r="QY11">
        <f>IF('計算A'!DY$106=1,HS11,1)</f>
        <v/>
      </c>
      <c r="QZ11">
        <f>IF('計算A'!DZ$106=1,HT11,1)</f>
        <v/>
      </c>
      <c r="RA11">
        <f>IF('計算A'!EA$106=1,HU11,1)</f>
        <v/>
      </c>
      <c r="RB11">
        <f>IF('計算A'!EB$106=1,HV11,1)</f>
        <v/>
      </c>
      <c r="RC11">
        <f>IF('計算A'!EC$106=1,HW11,1)</f>
        <v/>
      </c>
      <c r="RD11">
        <f>IF('計算A'!ED$106=1,HX11,1)</f>
        <v/>
      </c>
      <c r="RE11">
        <f>IF('計算A'!EE$106=1,HY11,1)</f>
        <v/>
      </c>
      <c r="RF11">
        <f>IF('計算A'!EF$106=1,HZ11,1)</f>
        <v/>
      </c>
      <c r="RG11">
        <f>IF('計算A'!EG$106=1,IA11,1)</f>
        <v/>
      </c>
      <c r="RH11">
        <f>IF('計算A'!EH$106=1,IB11,1)</f>
        <v/>
      </c>
      <c r="RI11">
        <f>IF('計算A'!EI$106=1,IC11,1)</f>
        <v/>
      </c>
      <c r="RJ11">
        <f>IF('計算A'!EJ$106=1,ID11,1)</f>
        <v/>
      </c>
      <c r="RK11">
        <f>IF('計算A'!EK$106=1,IE11,1)</f>
        <v/>
      </c>
      <c r="RL11">
        <f>IF('計算A'!EL$106=1,IF11,1)</f>
        <v/>
      </c>
      <c r="RM11">
        <f>IF('計算A'!EM$106=1,IG11,1)</f>
        <v/>
      </c>
      <c r="RN11">
        <f>IF('計算A'!EN$106=1,IH11,1)</f>
        <v/>
      </c>
      <c r="RO11">
        <f>IF('計算A'!EO$106=1,II11,1)</f>
        <v/>
      </c>
      <c r="RP11">
        <f>IF('計算A'!EP$106=1,IJ11,1)</f>
        <v/>
      </c>
      <c r="RQ11">
        <f>IF('計算A'!EQ$106=1,IK11,1)</f>
        <v/>
      </c>
      <c r="RR11">
        <f>IF('計算A'!ER$106=1,IL11,1)</f>
        <v/>
      </c>
      <c r="RS11">
        <f>IF('計算A'!ES$106=1,IM11,1)</f>
        <v/>
      </c>
      <c r="RT11">
        <f>IF('計算A'!ET$106=1,IN11,1)</f>
        <v/>
      </c>
      <c r="RU11">
        <f>IF('計算A'!EU$106=1,IO11,1)</f>
        <v/>
      </c>
      <c r="RV11">
        <f>IF('計算A'!EV$106=1,IP11,1)</f>
        <v/>
      </c>
      <c r="RW11">
        <f>IF('計算A'!EW$106=1,IQ11,1)</f>
        <v/>
      </c>
      <c r="RX11">
        <f>IF('計算A'!EX$106=1,IR11,1)</f>
        <v/>
      </c>
      <c r="RY11">
        <f>IF('計算A'!EY$106=1,IS11,1)</f>
        <v/>
      </c>
      <c r="RZ11">
        <f>IF('計算A'!EZ$106=1,IT11,1)</f>
        <v/>
      </c>
      <c r="SA11">
        <f>IF('計算A'!FA$106=1,IU11,1)</f>
        <v/>
      </c>
      <c r="SB11">
        <f>IF('計算A'!FB$106=1,IV11,1)</f>
        <v/>
      </c>
      <c r="SC11">
        <f>IF('計算A'!FC$106=1,IW11,1)</f>
        <v/>
      </c>
      <c r="SD11">
        <f>IF('計算A'!FD$106=1,IX11,1)</f>
        <v/>
      </c>
      <c r="SE11">
        <f>IF('計算A'!FE$106=1,IY11,1)</f>
        <v/>
      </c>
      <c r="SF11">
        <f>IF('計算A'!FF$106=1,IZ11,1)</f>
        <v/>
      </c>
      <c r="SG11">
        <f>IF('計算A'!FG$106=1,JA11,1)</f>
        <v/>
      </c>
      <c r="SH11">
        <f>IF('計算A'!FH$106=1,JB11,1)</f>
        <v/>
      </c>
      <c r="SI11">
        <f>IF('計算A'!FI$106=1,JC11,1)</f>
        <v/>
      </c>
      <c r="SJ11">
        <f>IF('計算A'!FJ$106=1,JD11,1)</f>
        <v/>
      </c>
      <c r="SK11">
        <f>IF('計算A'!FK$106=1,JE11,1)</f>
        <v/>
      </c>
      <c r="SL11">
        <f>IF('計算A'!FL$106=1,JF11,1)</f>
        <v/>
      </c>
      <c r="SM11">
        <f>IF('計算A'!FM$106=1,JG11,1)</f>
        <v/>
      </c>
      <c r="SN11">
        <f>IF('計算A'!FN$106=1,JH11,1)</f>
        <v/>
      </c>
      <c r="SO11">
        <f>IF('計算A'!FO$106=1,JI11,1)</f>
        <v/>
      </c>
      <c r="SP11">
        <f>IF('計算A'!FP$106=1,JJ11,1)</f>
        <v/>
      </c>
      <c r="SQ11">
        <f>IF('計算A'!FQ$106=1,JK11,1)</f>
        <v/>
      </c>
      <c r="SR11">
        <f>IF('計算A'!FR$106=1,JL11,1)</f>
        <v/>
      </c>
      <c r="SS11">
        <f>IF('計算A'!FS$106=1,JM11,1)</f>
        <v/>
      </c>
      <c r="ST11">
        <f>IF('計算A'!FT$106=1,JN11,1)</f>
        <v/>
      </c>
      <c r="SU11">
        <f>IF('計算A'!FU$106=1,JO11,1)</f>
        <v/>
      </c>
      <c r="SV11">
        <f>IF('計算A'!FV$106=1,JP11,1)</f>
        <v/>
      </c>
      <c r="SW11">
        <f>IF('計算A'!FW$106=1,JQ11,1)</f>
        <v/>
      </c>
      <c r="SX11">
        <f>IF('計算A'!FX$106=1,JR11,1)</f>
        <v/>
      </c>
      <c r="SY11">
        <f>IF('計算A'!FY$106=1,JS11,1)</f>
        <v/>
      </c>
      <c r="SZ11">
        <f>IF('計算A'!FZ$106=1,JT11,1)</f>
        <v/>
      </c>
      <c r="TA11">
        <f>IF('計算A'!GA$106=1,JU11,1)</f>
        <v/>
      </c>
      <c r="TB11">
        <f>IF('計算A'!GB$106=1,JV11,1)</f>
        <v/>
      </c>
      <c r="TC11">
        <f>IF('計算A'!GC$106=1,JW11,1)</f>
        <v/>
      </c>
      <c r="TD11">
        <f>IF('計算A'!GD$106=1,JX11,1)</f>
        <v/>
      </c>
      <c r="TE11">
        <f>IF('計算A'!GE$106=1,JY11,1)</f>
        <v/>
      </c>
      <c r="TF11">
        <f>IF('計算A'!GF$106=1,JZ11,1)</f>
        <v/>
      </c>
      <c r="TG11">
        <f>IF('計算A'!GG$106=1,KA11,1)</f>
        <v/>
      </c>
      <c r="TH11">
        <f>IF('計算A'!GH$106=1,KB11,1)</f>
        <v/>
      </c>
      <c r="TI11">
        <f>IF('計算A'!GI$106=1,KC11,1)</f>
        <v/>
      </c>
      <c r="TJ11">
        <f>IF('計算A'!GJ$106=1,KD11,1)</f>
        <v/>
      </c>
      <c r="TK11">
        <f>IF('計算A'!GK$106=1,KE11,1)</f>
        <v/>
      </c>
      <c r="TL11">
        <f>IF('計算A'!GL$106=1,KF11,1)</f>
        <v/>
      </c>
      <c r="TM11">
        <f>IF('計算A'!GM$106=1,KG11,1)</f>
        <v/>
      </c>
      <c r="TN11">
        <f>IF('計算A'!GN$106=1,KH11,1)</f>
        <v/>
      </c>
      <c r="TO11">
        <f>IF('計算A'!GO$106=1,KI11,1)</f>
        <v/>
      </c>
      <c r="TP11">
        <f>IF('計算A'!GP$106=1,KJ11,1)</f>
        <v/>
      </c>
      <c r="TQ11">
        <f>IF('計算A'!GQ$106=1,KK11,1)</f>
        <v/>
      </c>
      <c r="TR11">
        <f>IF('計算A'!GR$106=1,KL11,1)</f>
        <v/>
      </c>
      <c r="TS11">
        <f>IF('計算A'!GS$106=1,KM11,1)</f>
        <v/>
      </c>
      <c r="TT11">
        <f>IF('計算A'!GT$106=1,KN11,1)</f>
        <v/>
      </c>
      <c r="TU11">
        <f>IF('計算A'!GU$106=1,KO11,1)</f>
        <v/>
      </c>
      <c r="TV11">
        <f>IF('計算A'!GV$106=1,KP11,1)</f>
        <v/>
      </c>
      <c r="TW11">
        <f>IF('計算A'!GW$106=1,KQ11,1)</f>
        <v/>
      </c>
      <c r="TX11">
        <f>IF('計算A'!GX$106=1,KR11,1)</f>
        <v/>
      </c>
      <c r="TY11">
        <f>IF('計算A'!GY$106=1,KS11,1)</f>
        <v/>
      </c>
      <c r="TZ11">
        <f>IF('計算A'!GZ$106=1,KT11,1)</f>
        <v/>
      </c>
      <c r="UA11">
        <f>IF('計算A'!HA$106=1,KU11,1)</f>
        <v/>
      </c>
      <c r="UB11">
        <f>IF('計算A'!HB$106=1,KV11,1)</f>
        <v/>
      </c>
      <c r="UC11">
        <f>IF('計算A'!HC$106=1,KW11,1)</f>
        <v/>
      </c>
      <c r="UD11">
        <f>IF('計算A'!HD$106=1,KX11,1)</f>
        <v/>
      </c>
      <c r="UE11">
        <f>IF('計算A'!HE$106=1,KY11,1)</f>
        <v/>
      </c>
      <c r="UF11">
        <f>IF('計算A'!HF$106=1,KZ11,1)</f>
        <v/>
      </c>
      <c r="UG11">
        <f>IF('計算A'!HG$106=1,LA11,1)</f>
        <v/>
      </c>
      <c r="UH11">
        <f>IF('計算A'!HH$106=1,LB11,1)</f>
        <v/>
      </c>
      <c r="UI11">
        <f>IF('計算A'!HI$106=1,LC11,1)</f>
        <v/>
      </c>
      <c r="UJ11">
        <f>IF('計算A'!HJ$106=1,LD11,1)</f>
        <v/>
      </c>
      <c r="UK11">
        <f>IF('計算A'!HK$106=1,LE11,1)</f>
        <v/>
      </c>
      <c r="UL11">
        <f>IF('計算A'!HL$106=1,LF11,1)</f>
        <v/>
      </c>
      <c r="UM11">
        <f>IF('計算A'!HM$106=1,LG11,1)</f>
        <v/>
      </c>
      <c r="UN11">
        <f>IF('計算A'!HN$106=1,LH11,1)</f>
        <v/>
      </c>
      <c r="UO11">
        <f>IF('計算A'!HO$106=1,LI11,1)</f>
        <v/>
      </c>
      <c r="UP11">
        <f>IF('計算A'!HP$106=1,LJ11,1)</f>
        <v/>
      </c>
      <c r="UQ11">
        <f>IF('計算A'!HQ$106=1,LK11,1)</f>
        <v/>
      </c>
      <c r="UR11">
        <f>IF('計算A'!HR$106=1,LL11,1)</f>
        <v/>
      </c>
      <c r="US11">
        <f>IF('計算A'!HS$106=1,LM11,1)</f>
        <v/>
      </c>
      <c r="UT11">
        <f>IF('計算A'!HT$106=1,LN11,1)</f>
        <v/>
      </c>
      <c r="UU11">
        <f>IF('計算A'!HU$106=1,LO11,1)</f>
        <v/>
      </c>
      <c r="UV11">
        <f>IF('計算A'!HV$106=1,LP11,1)</f>
        <v/>
      </c>
      <c r="UW11">
        <f>IF('計算A'!HW$106=1,LQ11,1)</f>
        <v/>
      </c>
      <c r="UX11">
        <f>IF('計算A'!HX$106=1,LR11,1)</f>
        <v/>
      </c>
      <c r="UY11">
        <f>IF('計算A'!HY$106=1,LS11,1)</f>
        <v/>
      </c>
      <c r="UZ11">
        <f>IF('計算A'!HZ$106=1,LT11,1)</f>
        <v/>
      </c>
      <c r="VA11">
        <f>IF('計算A'!IA$106=1,LU11,1)</f>
        <v/>
      </c>
      <c r="VB11">
        <f>IF('計算A'!IB$106=1,LV11,1)</f>
        <v/>
      </c>
      <c r="VC11">
        <f>IF('計算A'!IC$106=1,LW11,1)</f>
        <v/>
      </c>
      <c r="VD11">
        <f>IF('計算A'!ID$106=1,LX11,1)</f>
        <v/>
      </c>
      <c r="VE11">
        <f>IF('計算A'!IE$106=1,LY11,1)</f>
        <v/>
      </c>
      <c r="VF11">
        <f>IF('計算A'!IF$106=1,LZ11,1)</f>
        <v/>
      </c>
      <c r="VG11">
        <f>IF('計算A'!IG$106=1,MA11,1)</f>
        <v/>
      </c>
      <c r="VH11">
        <f>IF('計算A'!IH$106=1,MB11,1)</f>
        <v/>
      </c>
      <c r="VI11" t="n">
        <v>1</v>
      </c>
      <c r="VK11">
        <f>IF($B11=0,1000000,IF(INDEX('計算A'!$D$60:$II$104,$B11,1)*CW11=1,IF(AND($E11=2,MD11=0),1000000,INDEX('計算A'!D$110:D$114,$F11+1)+IF(AND($E11=1,MD11=0),1000,0)),1000000))</f>
        <v/>
      </c>
      <c r="VL11">
        <f>IF($B11=0,1000000,IF(INDEX('計算A'!$D$60:$II$104,$B11,2)*CX11=1,IF(AND($E11=2,ME11=0),1000000,INDEX('計算A'!E$110:E$114,$F11+1)+IF(AND($E11=1,ME11=0),1000,0)),1000000))</f>
        <v/>
      </c>
      <c r="VM11">
        <f>IF($B11=0,1000000,IF(INDEX('計算A'!$D$60:$II$104,$B11,3)*CY11=1,IF(AND($E11=2,MF11=0),1000000,INDEX('計算A'!F$110:F$114,$F11+1)+IF(AND($E11=1,MF11=0),1000,0)),1000000))</f>
        <v/>
      </c>
      <c r="VN11">
        <f>IF($B11=0,1000000,IF(INDEX('計算A'!$D$60:$II$104,$B11,4)*CZ11=1,IF(AND($E11=2,MG11=0),1000000,INDEX('計算A'!G$110:G$114,$F11+1)+IF(AND($E11=1,MG11=0),1000,0)),1000000))</f>
        <v/>
      </c>
      <c r="VO11">
        <f>IF($B11=0,1000000,IF(INDEX('計算A'!$D$60:$II$104,$B11,5)*DA11=1,IF(AND($E11=2,MH11=0),1000000,INDEX('計算A'!H$110:H$114,$F11+1)+IF(AND($E11=1,MH11=0),1000,0)),1000000))</f>
        <v/>
      </c>
      <c r="VP11">
        <f>IF($B11=0,1000000,IF(INDEX('計算A'!$D$60:$II$104,$B11,6)*DB11=1,IF(AND($E11=2,MI11=0),1000000,INDEX('計算A'!I$110:I$114,$F11+1)+IF(AND($E11=1,MI11=0),1000,0)),1000000))</f>
        <v/>
      </c>
      <c r="VQ11">
        <f>IF($B11=0,1000000,IF(INDEX('計算A'!$D$60:$II$104,$B11,7)*DC11=1,IF(AND($E11=2,MJ11=0),1000000,INDEX('計算A'!J$110:J$114,$F11+1)+IF(AND($E11=1,MJ11=0),1000,0)),1000000))</f>
        <v/>
      </c>
      <c r="VR11">
        <f>IF($B11=0,1000000,IF(INDEX('計算A'!$D$60:$II$104,$B11,8)*DD11=1,IF(AND($E11=2,MK11=0),1000000,INDEX('計算A'!K$110:K$114,$F11+1)+IF(AND($E11=1,MK11=0),1000,0)),1000000))</f>
        <v/>
      </c>
      <c r="VS11">
        <f>IF($B11=0,1000000,IF(INDEX('計算A'!$D$60:$II$104,$B11,9)*DE11=1,IF(AND($E11=2,ML11=0),1000000,INDEX('計算A'!L$110:L$114,$F11+1)+IF(AND($E11=1,ML11=0),1000,0)),1000000))</f>
        <v/>
      </c>
      <c r="VT11">
        <f>IF($B11=0,1000000,IF(INDEX('計算A'!$D$60:$II$104,$B11,10)*DF11=1,IF(AND($E11=2,MM11=0),1000000,INDEX('計算A'!M$110:M$114,$F11+1)+IF(AND($E11=1,MM11=0),1000,0)),1000000))</f>
        <v/>
      </c>
      <c r="VU11">
        <f>IF($B11=0,1000000,IF(INDEX('計算A'!$D$60:$II$104,$B11,11)*DG11=1,IF(AND($E11=2,MN11=0),1000000,INDEX('計算A'!N$110:N$114,$F11+1)+IF(AND($E11=1,MN11=0),1000,0)),1000000))</f>
        <v/>
      </c>
      <c r="VV11">
        <f>IF($B11=0,1000000,IF(INDEX('計算A'!$D$60:$II$104,$B11,12)*DH11=1,IF(AND($E11=2,MO11=0),1000000,INDEX('計算A'!O$110:O$114,$F11+1)+IF(AND($E11=1,MO11=0),1000,0)),1000000))</f>
        <v/>
      </c>
      <c r="VW11">
        <f>IF($B11=0,1000000,IF(INDEX('計算A'!$D$60:$II$104,$B11,13)*DI11=1,IF(AND($E11=2,MP11=0),1000000,INDEX('計算A'!P$110:P$114,$F11+1)+IF(AND($E11=1,MP11=0),1000,0)),1000000))</f>
        <v/>
      </c>
      <c r="VX11">
        <f>IF($B11=0,1000000,IF(INDEX('計算A'!$D$60:$II$104,$B11,14)*DJ11=1,IF(AND($E11=2,MQ11=0),1000000,INDEX('計算A'!Q$110:Q$114,$F11+1)+IF(AND($E11=1,MQ11=0),1000,0)),1000000))</f>
        <v/>
      </c>
      <c r="VY11">
        <f>IF($B11=0,1000000,IF(INDEX('計算A'!$D$60:$II$104,$B11,15)*DK11=1,IF(AND($E11=2,MR11=0),1000000,INDEX('計算A'!R$110:R$114,$F11+1)+IF(AND($E11=1,MR11=0),1000,0)),1000000))</f>
        <v/>
      </c>
      <c r="VZ11">
        <f>IF($B11=0,1000000,IF(INDEX('計算A'!$D$60:$II$104,$B11,16)*DL11=1,IF(AND($E11=2,MS11=0),1000000,INDEX('計算A'!S$110:S$114,$F11+1)+IF(AND($E11=1,MS11=0),1000,0)),1000000))</f>
        <v/>
      </c>
      <c r="WA11">
        <f>IF($B11=0,1000000,IF(INDEX('計算A'!$D$60:$II$104,$B11,17)*DM11=1,IF(AND($E11=2,MT11=0),1000000,INDEX('計算A'!T$110:T$114,$F11+1)+IF(AND($E11=1,MT11=0),1000,0)),1000000))</f>
        <v/>
      </c>
      <c r="WB11">
        <f>IF($B11=0,1000000,IF(INDEX('計算A'!$D$60:$II$104,$B11,18)*DN11=1,IF(AND($E11=2,MU11=0),1000000,INDEX('計算A'!U$110:U$114,$F11+1)+IF(AND($E11=1,MU11=0),1000,0)),1000000))</f>
        <v/>
      </c>
      <c r="WC11">
        <f>IF($B11=0,1000000,IF(INDEX('計算A'!$D$60:$II$104,$B11,19)*DO11=1,IF(AND($E11=2,MV11=0),1000000,INDEX('計算A'!V$110:V$114,$F11+1)+IF(AND($E11=1,MV11=0),1000,0)),1000000))</f>
        <v/>
      </c>
      <c r="WD11">
        <f>IF($B11=0,1000000,IF(INDEX('計算A'!$D$60:$II$104,$B11,20)*DP11=1,IF(AND($E11=2,MW11=0),1000000,INDEX('計算A'!W$110:W$114,$F11+1)+IF(AND($E11=1,MW11=0),1000,0)),1000000))</f>
        <v/>
      </c>
      <c r="WE11">
        <f>IF($B11=0,1000000,IF(INDEX('計算A'!$D$60:$II$104,$B11,21)*DQ11=1,IF(AND($E11=2,MX11=0),1000000,INDEX('計算A'!X$110:X$114,$F11+1)+IF(AND($E11=1,MX11=0),1000,0)),1000000))</f>
        <v/>
      </c>
      <c r="WF11">
        <f>IF($B11=0,1000000,IF(INDEX('計算A'!$D$60:$II$104,$B11,22)*DR11=1,IF(AND($E11=2,MY11=0),1000000,INDEX('計算A'!Y$110:Y$114,$F11+1)+IF(AND($E11=1,MY11=0),1000,0)),1000000))</f>
        <v/>
      </c>
      <c r="WG11">
        <f>IF($B11=0,1000000,IF(INDEX('計算A'!$D$60:$II$104,$B11,23)*DS11=1,IF(AND($E11=2,MZ11=0),1000000,INDEX('計算A'!Z$110:Z$114,$F11+1)+IF(AND($E11=1,MZ11=0),1000,0)),1000000))</f>
        <v/>
      </c>
      <c r="WH11">
        <f>IF($B11=0,1000000,IF(INDEX('計算A'!$D$60:$II$104,$B11,24)*DT11=1,IF(AND($E11=2,NA11=0),1000000,INDEX('計算A'!AA$110:AA$114,$F11+1)+IF(AND($E11=1,NA11=0),1000,0)),1000000))</f>
        <v/>
      </c>
      <c r="WI11">
        <f>IF($B11=0,1000000,IF(INDEX('計算A'!$D$60:$II$104,$B11,25)*DU11=1,IF(AND($E11=2,NB11=0),1000000,INDEX('計算A'!AB$110:AB$114,$F11+1)+IF(AND($E11=1,NB11=0),1000,0)),1000000))</f>
        <v/>
      </c>
      <c r="WJ11">
        <f>IF($B11=0,1000000,IF(INDEX('計算A'!$D$60:$II$104,$B11,26)*DV11=1,IF(AND($E11=2,NC11=0),1000000,INDEX('計算A'!AC$110:AC$114,$F11+1)+IF(AND($E11=1,NC11=0),1000,0)),1000000))</f>
        <v/>
      </c>
      <c r="WK11">
        <f>IF($B11=0,1000000,IF(INDEX('計算A'!$D$60:$II$104,$B11,27)*DW11=1,IF(AND($E11=2,ND11=0),1000000,INDEX('計算A'!AD$110:AD$114,$F11+1)+IF(AND($E11=1,ND11=0),1000,0)),1000000))</f>
        <v/>
      </c>
      <c r="WL11">
        <f>IF($B11=0,1000000,IF(INDEX('計算A'!$D$60:$II$104,$B11,28)*DX11=1,IF(AND($E11=2,NE11=0),1000000,INDEX('計算A'!AE$110:AE$114,$F11+1)+IF(AND($E11=1,NE11=0),1000,0)),1000000))</f>
        <v/>
      </c>
      <c r="WM11">
        <f>IF($B11=0,1000000,IF(INDEX('計算A'!$D$60:$II$104,$B11,29)*DY11=1,IF(AND($E11=2,NF11=0),1000000,INDEX('計算A'!AF$110:AF$114,$F11+1)+IF(AND($E11=1,NF11=0),1000,0)),1000000))</f>
        <v/>
      </c>
      <c r="WN11">
        <f>IF($B11=0,1000000,IF(INDEX('計算A'!$D$60:$II$104,$B11,30)*DZ11=1,IF(AND($E11=2,NG11=0),1000000,INDEX('計算A'!AG$110:AG$114,$F11+1)+IF(AND($E11=1,NG11=0),1000,0)),1000000))</f>
        <v/>
      </c>
      <c r="WO11">
        <f>IF($B11=0,1000000,IF(INDEX('計算A'!$D$60:$II$104,$B11,31)*EA11=1,IF(AND($E11=2,NH11=0),1000000,INDEX('計算A'!AH$110:AH$114,$F11+1)+IF(AND($E11=1,NH11=0),1000,0)),1000000))</f>
        <v/>
      </c>
      <c r="WP11">
        <f>IF($B11=0,1000000,IF(INDEX('計算A'!$D$60:$II$104,$B11,32)*EB11=1,IF(AND($E11=2,NI11=0),1000000,INDEX('計算A'!AI$110:AI$114,$F11+1)+IF(AND($E11=1,NI11=0),1000,0)),1000000))</f>
        <v/>
      </c>
      <c r="WQ11">
        <f>IF($B11=0,1000000,IF(INDEX('計算A'!$D$60:$II$104,$B11,33)*EC11=1,IF(AND($E11=2,NJ11=0),1000000,INDEX('計算A'!AJ$110:AJ$114,$F11+1)+IF(AND($E11=1,NJ11=0),1000,0)),1000000))</f>
        <v/>
      </c>
      <c r="WR11">
        <f>IF($B11=0,1000000,IF(INDEX('計算A'!$D$60:$II$104,$B11,34)*ED11=1,IF(AND($E11=2,NK11=0),1000000,INDEX('計算A'!AK$110:AK$114,$F11+1)+IF(AND($E11=1,NK11=0),1000,0)),1000000))</f>
        <v/>
      </c>
      <c r="WS11">
        <f>IF($B11=0,1000000,IF(INDEX('計算A'!$D$60:$II$104,$B11,35)*EE11=1,IF(AND($E11=2,NL11=0),1000000,INDEX('計算A'!AL$110:AL$114,$F11+1)+IF(AND($E11=1,NL11=0),1000,0)),1000000))</f>
        <v/>
      </c>
      <c r="WT11">
        <f>IF($B11=0,1000000,IF(INDEX('計算A'!$D$60:$II$104,$B11,36)*EF11=1,IF(AND($E11=2,NM11=0),1000000,INDEX('計算A'!AM$110:AM$114,$F11+1)+IF(AND($E11=1,NM11=0),1000,0)),1000000))</f>
        <v/>
      </c>
      <c r="WU11">
        <f>IF($B11=0,1000000,IF(INDEX('計算A'!$D$60:$II$104,$B11,37)*EG11=1,IF(AND($E11=2,NN11=0),1000000,INDEX('計算A'!AN$110:AN$114,$F11+1)+IF(AND($E11=1,NN11=0),1000,0)),1000000))</f>
        <v/>
      </c>
      <c r="WV11">
        <f>IF($B11=0,1000000,IF(INDEX('計算A'!$D$60:$II$104,$B11,38)*EH11=1,IF(AND($E11=2,NO11=0),1000000,INDEX('計算A'!AO$110:AO$114,$F11+1)+IF(AND($E11=1,NO11=0),1000,0)),1000000))</f>
        <v/>
      </c>
      <c r="WW11">
        <f>IF($B11=0,1000000,IF(INDEX('計算A'!$D$60:$II$104,$B11,39)*EI11=1,IF(AND($E11=2,NP11=0),1000000,INDEX('計算A'!AP$110:AP$114,$F11+1)+IF(AND($E11=1,NP11=0),1000,0)),1000000))</f>
        <v/>
      </c>
      <c r="WX11">
        <f>IF($B11=0,1000000,IF(INDEX('計算A'!$D$60:$II$104,$B11,40)*EJ11=1,IF(AND($E11=2,NQ11=0),1000000,INDEX('計算A'!AQ$110:AQ$114,$F11+1)+IF(AND($E11=1,NQ11=0),1000,0)),1000000))</f>
        <v/>
      </c>
      <c r="WY11">
        <f>IF($B11=0,1000000,IF(INDEX('計算A'!$D$60:$II$104,$B11,41)*EK11=1,IF(AND($E11=2,NR11=0),1000000,INDEX('計算A'!AR$110:AR$114,$F11+1)+IF(AND($E11=1,NR11=0),1000,0)),1000000))</f>
        <v/>
      </c>
      <c r="WZ11">
        <f>IF($B11=0,1000000,IF(INDEX('計算A'!$D$60:$II$104,$B11,42)*EL11=1,IF(AND($E11=2,NS11=0),1000000,INDEX('計算A'!AS$110:AS$114,$F11+1)+IF(AND($E11=1,NS11=0),1000,0)),1000000))</f>
        <v/>
      </c>
      <c r="XA11">
        <f>IF($B11=0,1000000,IF(INDEX('計算A'!$D$60:$II$104,$B11,43)*EM11=1,IF(AND($E11=2,NT11=0),1000000,INDEX('計算A'!AT$110:AT$114,$F11+1)+IF(AND($E11=1,NT11=0),1000,0)),1000000))</f>
        <v/>
      </c>
      <c r="XB11">
        <f>IF($B11=0,1000000,IF(INDEX('計算A'!$D$60:$II$104,$B11,44)*EN11=1,IF(AND($E11=2,NU11=0),1000000,INDEX('計算A'!AU$110:AU$114,$F11+1)+IF(AND($E11=1,NU11=0),1000,0)),1000000))</f>
        <v/>
      </c>
      <c r="XC11">
        <f>IF($B11=0,1000000,IF(INDEX('計算A'!$D$60:$II$104,$B11,45)*EO11=1,IF(AND($E11=2,NV11=0),1000000,INDEX('計算A'!AV$110:AV$114,$F11+1)+IF(AND($E11=1,NV11=0),1000,0)),1000000))</f>
        <v/>
      </c>
      <c r="XD11">
        <f>IF($B11=0,1000000,IF(INDEX('計算A'!$D$60:$II$104,$B11,46)*EP11=1,IF(AND($E11=2,NW11=0),1000000,INDEX('計算A'!AW$110:AW$114,$F11+1)+IF(AND($E11=1,NW11=0),1000,0)),1000000))</f>
        <v/>
      </c>
      <c r="XE11">
        <f>IF($B11=0,1000000,IF(INDEX('計算A'!$D$60:$II$104,$B11,47)*EQ11=1,IF(AND($E11=2,NX11=0),1000000,INDEX('計算A'!AX$110:AX$114,$F11+1)+IF(AND($E11=1,NX11=0),1000,0)),1000000))</f>
        <v/>
      </c>
      <c r="XF11">
        <f>IF($B11=0,1000000,IF(INDEX('計算A'!$D$60:$II$104,$B11,48)*ER11=1,IF(AND($E11=2,NY11=0),1000000,INDEX('計算A'!AY$110:AY$114,$F11+1)+IF(AND($E11=1,NY11=0),1000,0)),1000000))</f>
        <v/>
      </c>
      <c r="XG11">
        <f>IF($B11=0,1000000,IF(INDEX('計算A'!$D$60:$II$104,$B11,49)*ES11=1,IF(AND($E11=2,NZ11=0),1000000,INDEX('計算A'!AZ$110:AZ$114,$F11+1)+IF(AND($E11=1,NZ11=0),1000,0)),1000000))</f>
        <v/>
      </c>
      <c r="XH11">
        <f>IF($B11=0,1000000,IF(INDEX('計算A'!$D$60:$II$104,$B11,50)*ET11=1,IF(AND($E11=2,OA11=0),1000000,INDEX('計算A'!BA$110:BA$114,$F11+1)+IF(AND($E11=1,OA11=0),1000,0)),1000000))</f>
        <v/>
      </c>
      <c r="XI11">
        <f>IF($B11=0,1000000,IF(INDEX('計算A'!$D$60:$II$104,$B11,51)*EU11=1,IF(AND($E11=2,OB11=0),1000000,INDEX('計算A'!BB$110:BB$114,$F11+1)+IF(AND($E11=1,OB11=0),1000,0)),1000000))</f>
        <v/>
      </c>
      <c r="XJ11">
        <f>IF($B11=0,1000000,IF(INDEX('計算A'!$D$60:$II$104,$B11,52)*EV11=1,IF(AND($E11=2,OC11=0),1000000,INDEX('計算A'!BC$110:BC$114,$F11+1)+IF(AND($E11=1,OC11=0),1000,0)),1000000))</f>
        <v/>
      </c>
      <c r="XK11">
        <f>IF($B11=0,1000000,IF(INDEX('計算A'!$D$60:$II$104,$B11,53)*EW11=1,IF(AND($E11=2,OD11=0),1000000,INDEX('計算A'!BD$110:BD$114,$F11+1)+IF(AND($E11=1,OD11=0),1000,0)),1000000))</f>
        <v/>
      </c>
      <c r="XL11">
        <f>IF($B11=0,1000000,IF(INDEX('計算A'!$D$60:$II$104,$B11,54)*EX11=1,IF(AND($E11=2,OE11=0),1000000,INDEX('計算A'!BE$110:BE$114,$F11+1)+IF(AND($E11=1,OE11=0),1000,0)),1000000))</f>
        <v/>
      </c>
      <c r="XM11">
        <f>IF($B11=0,1000000,IF(INDEX('計算A'!$D$60:$II$104,$B11,55)*EY11=1,IF(AND($E11=2,OF11=0),1000000,INDEX('計算A'!BF$110:BF$114,$F11+1)+IF(AND($E11=1,OF11=0),1000,0)),1000000))</f>
        <v/>
      </c>
      <c r="XN11">
        <f>IF($B11=0,1000000,IF(INDEX('計算A'!$D$60:$II$104,$B11,56)*EZ11=1,IF(AND($E11=2,OG11=0),1000000,INDEX('計算A'!BG$110:BG$114,$F11+1)+IF(AND($E11=1,OG11=0),1000,0)),1000000))</f>
        <v/>
      </c>
      <c r="XO11">
        <f>IF($B11=0,1000000,IF(INDEX('計算A'!$D$60:$II$104,$B11,57)*FA11=1,IF(AND($E11=2,OH11=0),1000000,INDEX('計算A'!BH$110:BH$114,$F11+1)+IF(AND($E11=1,OH11=0),1000,0)),1000000))</f>
        <v/>
      </c>
      <c r="XP11">
        <f>IF($B11=0,1000000,IF(INDEX('計算A'!$D$60:$II$104,$B11,58)*FB11=1,IF(AND($E11=2,OI11=0),1000000,INDEX('計算A'!BI$110:BI$114,$F11+1)+IF(AND($E11=1,OI11=0),1000,0)),1000000))</f>
        <v/>
      </c>
      <c r="XQ11">
        <f>IF($B11=0,1000000,IF(INDEX('計算A'!$D$60:$II$104,$B11,59)*FC11=1,IF(AND($E11=2,OJ11=0),1000000,INDEX('計算A'!BJ$110:BJ$114,$F11+1)+IF(AND($E11=1,OJ11=0),1000,0)),1000000))</f>
        <v/>
      </c>
      <c r="XR11">
        <f>IF($B11=0,1000000,IF(INDEX('計算A'!$D$60:$II$104,$B11,60)*FD11=1,IF(AND($E11=2,OK11=0),1000000,INDEX('計算A'!BK$110:BK$114,$F11+1)+IF(AND($E11=1,OK11=0),1000,0)),1000000))</f>
        <v/>
      </c>
      <c r="XS11">
        <f>IF($B11=0,1000000,IF(INDEX('計算A'!$D$60:$II$104,$B11,61)*FE11=1,IF(AND($E11=2,OL11=0),1000000,INDEX('計算A'!BL$110:BL$114,$F11+1)+IF(AND($E11=1,OL11=0),1000,0)),1000000))</f>
        <v/>
      </c>
      <c r="XT11">
        <f>IF($B11=0,1000000,IF(INDEX('計算A'!$D$60:$II$104,$B11,62)*FF11=1,IF(AND($E11=2,OM11=0),1000000,INDEX('計算A'!BM$110:BM$114,$F11+1)+IF(AND($E11=1,OM11=0),1000,0)),1000000))</f>
        <v/>
      </c>
      <c r="XU11">
        <f>IF($B11=0,1000000,IF(INDEX('計算A'!$D$60:$II$104,$B11,63)*FG11=1,IF(AND($E11=2,ON11=0),1000000,INDEX('計算A'!BN$110:BN$114,$F11+1)+IF(AND($E11=1,ON11=0),1000,0)),1000000))</f>
        <v/>
      </c>
      <c r="XV11">
        <f>IF($B11=0,1000000,IF(INDEX('計算A'!$D$60:$II$104,$B11,64)*FH11=1,IF(AND($E11=2,OO11=0),1000000,INDEX('計算A'!BO$110:BO$114,$F11+1)+IF(AND($E11=1,OO11=0),1000,0)),1000000))</f>
        <v/>
      </c>
      <c r="XW11">
        <f>IF($B11=0,1000000,IF(INDEX('計算A'!$D$60:$II$104,$B11,65)*FI11=1,IF(AND($E11=2,OP11=0),1000000,INDEX('計算A'!BP$110:BP$114,$F11+1)+IF(AND($E11=1,OP11=0),1000,0)),1000000))</f>
        <v/>
      </c>
      <c r="XX11">
        <f>IF($B11=0,1000000,IF(INDEX('計算A'!$D$60:$II$104,$B11,66)*FJ11=1,IF(AND($E11=2,OQ11=0),1000000,INDEX('計算A'!BQ$110:BQ$114,$F11+1)+IF(AND($E11=1,OQ11=0),1000,0)),1000000))</f>
        <v/>
      </c>
      <c r="XY11">
        <f>IF($B11=0,1000000,IF(INDEX('計算A'!$D$60:$II$104,$B11,67)*FK11=1,IF(AND($E11=2,OR11=0),1000000,INDEX('計算A'!BR$110:BR$114,$F11+1)+IF(AND($E11=1,OR11=0),1000,0)),1000000))</f>
        <v/>
      </c>
      <c r="XZ11">
        <f>IF($B11=0,1000000,IF(INDEX('計算A'!$D$60:$II$104,$B11,68)*FL11=1,IF(AND($E11=2,OS11=0),1000000,INDEX('計算A'!BS$110:BS$114,$F11+1)+IF(AND($E11=1,OS11=0),1000,0)),1000000))</f>
        <v/>
      </c>
      <c r="YA11">
        <f>IF($B11=0,1000000,IF(INDEX('計算A'!$D$60:$II$104,$B11,69)*FM11=1,IF(AND($E11=2,OT11=0),1000000,INDEX('計算A'!BT$110:BT$114,$F11+1)+IF(AND($E11=1,OT11=0),1000,0)),1000000))</f>
        <v/>
      </c>
      <c r="YB11">
        <f>IF($B11=0,1000000,IF(INDEX('計算A'!$D$60:$II$104,$B11,70)*FN11=1,IF(AND($E11=2,OU11=0),1000000,INDEX('計算A'!BU$110:BU$114,$F11+1)+IF(AND($E11=1,OU11=0),1000,0)),1000000))</f>
        <v/>
      </c>
      <c r="YC11">
        <f>IF($B11=0,1000000,IF(INDEX('計算A'!$D$60:$II$104,$B11,71)*FO11=1,IF(AND($E11=2,OV11=0),1000000,INDEX('計算A'!BV$110:BV$114,$F11+1)+IF(AND($E11=1,OV11=0),1000,0)),1000000))</f>
        <v/>
      </c>
      <c r="YD11">
        <f>IF($B11=0,1000000,IF(INDEX('計算A'!$D$60:$II$104,$B11,72)*FP11=1,IF(AND($E11=2,OW11=0),1000000,INDEX('計算A'!BW$110:BW$114,$F11+1)+IF(AND($E11=1,OW11=0),1000,0)),1000000))</f>
        <v/>
      </c>
      <c r="YE11">
        <f>IF($B11=0,1000000,IF(INDEX('計算A'!$D$60:$II$104,$B11,73)*FQ11=1,IF(AND($E11=2,OX11=0),1000000,INDEX('計算A'!BX$110:BX$114,$F11+1)+IF(AND($E11=1,OX11=0),1000,0)),1000000))</f>
        <v/>
      </c>
      <c r="YF11">
        <f>IF($B11=0,1000000,IF(INDEX('計算A'!$D$60:$II$104,$B11,74)*FR11=1,IF(AND($E11=2,OY11=0),1000000,INDEX('計算A'!BY$110:BY$114,$F11+1)+IF(AND($E11=1,OY11=0),1000,0)),1000000))</f>
        <v/>
      </c>
      <c r="YG11">
        <f>IF($B11=0,1000000,IF(INDEX('計算A'!$D$60:$II$104,$B11,75)*FS11=1,IF(AND($E11=2,OZ11=0),1000000,INDEX('計算A'!BZ$110:BZ$114,$F11+1)+IF(AND($E11=1,OZ11=0),1000,0)),1000000))</f>
        <v/>
      </c>
      <c r="YH11">
        <f>IF($B11=0,1000000,IF(INDEX('計算A'!$D$60:$II$104,$B11,76)*FT11=1,IF(AND($E11=2,PA11=0),1000000,INDEX('計算A'!CA$110:CA$114,$F11+1)+IF(AND($E11=1,PA11=0),1000,0)),1000000))</f>
        <v/>
      </c>
      <c r="YI11">
        <f>IF($B11=0,1000000,IF(INDEX('計算A'!$D$60:$II$104,$B11,77)*FU11=1,IF(AND($E11=2,PB11=0),1000000,INDEX('計算A'!CB$110:CB$114,$F11+1)+IF(AND($E11=1,PB11=0),1000,0)),1000000))</f>
        <v/>
      </c>
      <c r="YJ11">
        <f>IF($B11=0,1000000,IF(INDEX('計算A'!$D$60:$II$104,$B11,78)*FV11=1,IF(AND($E11=2,PC11=0),1000000,INDEX('計算A'!CC$110:CC$114,$F11+1)+IF(AND($E11=1,PC11=0),1000,0)),1000000))</f>
        <v/>
      </c>
      <c r="YK11">
        <f>IF($B11=0,1000000,IF(INDEX('計算A'!$D$60:$II$104,$B11,79)*FW11=1,IF(AND($E11=2,PD11=0),1000000,INDEX('計算A'!CD$110:CD$114,$F11+1)+IF(AND($E11=1,PD11=0),1000,0)),1000000))</f>
        <v/>
      </c>
      <c r="YL11">
        <f>IF($B11=0,1000000,IF(INDEX('計算A'!$D$60:$II$104,$B11,80)*FX11=1,IF(AND($E11=2,PE11=0),1000000,INDEX('計算A'!CE$110:CE$114,$F11+1)+IF(AND($E11=1,PE11=0),1000,0)),1000000))</f>
        <v/>
      </c>
      <c r="YM11">
        <f>IF($B11=0,1000000,IF(INDEX('計算A'!$D$60:$II$104,$B11,81)*FY11=1,IF(AND($E11=2,PF11=0),1000000,INDEX('計算A'!CF$110:CF$114,$F11+1)+IF(AND($E11=1,PF11=0),1000,0)),1000000))</f>
        <v/>
      </c>
      <c r="YN11">
        <f>IF($B11=0,1000000,IF(INDEX('計算A'!$D$60:$II$104,$B11,82)*FZ11=1,IF(AND($E11=2,PG11=0),1000000,INDEX('計算A'!CG$110:CG$114,$F11+1)+IF(AND($E11=1,PG11=0),1000,0)),1000000))</f>
        <v/>
      </c>
      <c r="YO11">
        <f>IF($B11=0,1000000,IF(INDEX('計算A'!$D$60:$II$104,$B11,83)*GA11=1,IF(AND($E11=2,PH11=0),1000000,INDEX('計算A'!CH$110:CH$114,$F11+1)+IF(AND($E11=1,PH11=0),1000,0)),1000000))</f>
        <v/>
      </c>
      <c r="YP11">
        <f>IF($B11=0,1000000,IF(INDEX('計算A'!$D$60:$II$104,$B11,84)*GB11=1,IF(AND($E11=2,PI11=0),1000000,INDEX('計算A'!CI$110:CI$114,$F11+1)+IF(AND($E11=1,PI11=0),1000,0)),1000000))</f>
        <v/>
      </c>
      <c r="YQ11">
        <f>IF($B11=0,1000000,IF(INDEX('計算A'!$D$60:$II$104,$B11,85)*GC11=1,IF(AND($E11=2,PJ11=0),1000000,INDEX('計算A'!CJ$110:CJ$114,$F11+1)+IF(AND($E11=1,PJ11=0),1000,0)),1000000))</f>
        <v/>
      </c>
      <c r="YR11">
        <f>IF($B11=0,1000000,IF(INDEX('計算A'!$D$60:$II$104,$B11,86)*GD11=1,IF(AND($E11=2,PK11=0),1000000,INDEX('計算A'!CK$110:CK$114,$F11+1)+IF(AND($E11=1,PK11=0),1000,0)),1000000))</f>
        <v/>
      </c>
      <c r="YS11">
        <f>IF($B11=0,1000000,IF(INDEX('計算A'!$D$60:$II$104,$B11,87)*GE11=1,IF(AND($E11=2,PL11=0),1000000,INDEX('計算A'!CL$110:CL$114,$F11+1)+IF(AND($E11=1,PL11=0),1000,0)),1000000))</f>
        <v/>
      </c>
      <c r="YT11">
        <f>IF($B11=0,1000000,IF(INDEX('計算A'!$D$60:$II$104,$B11,88)*GF11=1,IF(AND($E11=2,PM11=0),1000000,INDEX('計算A'!CM$110:CM$114,$F11+1)+IF(AND($E11=1,PM11=0),1000,0)),1000000))</f>
        <v/>
      </c>
      <c r="YU11">
        <f>IF($B11=0,1000000,IF(INDEX('計算A'!$D$60:$II$104,$B11,89)*GG11=1,IF(AND($E11=2,PN11=0),1000000,INDEX('計算A'!CN$110:CN$114,$F11+1)+IF(AND($E11=1,PN11=0),1000,0)),1000000))</f>
        <v/>
      </c>
      <c r="YV11">
        <f>IF($B11=0,1000000,IF(INDEX('計算A'!$D$60:$II$104,$B11,90)*GH11=1,IF(AND($E11=2,PO11=0),1000000,INDEX('計算A'!CO$110:CO$114,$F11+1)+IF(AND($E11=1,PO11=0),1000,0)),1000000))</f>
        <v/>
      </c>
      <c r="YW11">
        <f>IF($B11=0,1000000,IF(INDEX('計算A'!$D$60:$II$104,$B11,91)*GI11=1,IF(AND($E11=2,PP11=0),1000000,INDEX('計算A'!CP$110:CP$114,$F11+1)+IF(AND($E11=1,PP11=0),1000,0)),1000000))</f>
        <v/>
      </c>
      <c r="YX11">
        <f>IF($B11=0,1000000,IF(INDEX('計算A'!$D$60:$II$104,$B11,92)*GJ11=1,IF(AND($E11=2,PQ11=0),1000000,INDEX('計算A'!CQ$110:CQ$114,$F11+1)+IF(AND($E11=1,PQ11=0),1000,0)),1000000))</f>
        <v/>
      </c>
      <c r="YY11">
        <f>IF($B11=0,1000000,IF(INDEX('計算A'!$D$60:$II$104,$B11,93)*GK11=1,IF(AND($E11=2,PR11=0),1000000,INDEX('計算A'!CR$110:CR$114,$F11+1)+IF(AND($E11=1,PR11=0),1000,0)),1000000))</f>
        <v/>
      </c>
      <c r="YZ11">
        <f>IF($B11=0,1000000,IF(INDEX('計算A'!$D$60:$II$104,$B11,94)*GL11=1,IF(AND($E11=2,PS11=0),1000000,INDEX('計算A'!CS$110:CS$114,$F11+1)+IF(AND($E11=1,PS11=0),1000,0)),1000000))</f>
        <v/>
      </c>
      <c r="ZA11">
        <f>IF($B11=0,1000000,IF(INDEX('計算A'!$D$60:$II$104,$B11,95)*GM11=1,IF(AND($E11=2,PT11=0),1000000,INDEX('計算A'!CT$110:CT$114,$F11+1)+IF(AND($E11=1,PT11=0),1000,0)),1000000))</f>
        <v/>
      </c>
      <c r="ZB11">
        <f>IF($B11=0,1000000,IF(INDEX('計算A'!$D$60:$II$104,$B11,96)*GN11=1,IF(AND($E11=2,PU11=0),1000000,INDEX('計算A'!CU$110:CU$114,$F11+1)+IF(AND($E11=1,PU11=0),1000,0)),1000000))</f>
        <v/>
      </c>
      <c r="ZC11">
        <f>IF($B11=0,1000000,IF(INDEX('計算A'!$D$60:$II$104,$B11,97)*GO11=1,IF(AND($E11=2,PV11=0),1000000,INDEX('計算A'!CV$110:CV$114,$F11+1)+IF(AND($E11=1,PV11=0),1000,0)),1000000))</f>
        <v/>
      </c>
      <c r="ZD11">
        <f>IF($B11=0,1000000,IF(INDEX('計算A'!$D$60:$II$104,$B11,98)*GP11=1,IF(AND($E11=2,PW11=0),1000000,INDEX('計算A'!CW$110:CW$114,$F11+1)+IF(AND($E11=1,PW11=0),1000,0)),1000000))</f>
        <v/>
      </c>
      <c r="ZE11">
        <f>IF($B11=0,1000000,IF(INDEX('計算A'!$D$60:$II$104,$B11,99)*GQ11=1,IF(AND($E11=2,PX11=0),1000000,INDEX('計算A'!CX$110:CX$114,$F11+1)+IF(AND($E11=1,PX11=0),1000,0)),1000000))</f>
        <v/>
      </c>
      <c r="ZF11">
        <f>IF($B11=0,1000000,IF(INDEX('計算A'!$D$60:$II$104,$B11,100)*GR11=1,IF(AND($E11=2,PY11=0),1000000,INDEX('計算A'!CY$110:CY$114,$F11+1)+IF(AND($E11=1,PY11=0),1000,0)),1000000))</f>
        <v/>
      </c>
      <c r="ZG11">
        <f>IF($B11=0,1000000,IF(INDEX('計算A'!$D$60:$II$104,$B11,101)*GS11=1,IF(AND($E11=2,PZ11=0),1000000,INDEX('計算A'!CZ$110:CZ$114,$F11+1)+IF(AND($E11=1,PZ11=0),1000,0)),1000000))</f>
        <v/>
      </c>
      <c r="ZH11">
        <f>IF($B11=0,1000000,IF(INDEX('計算A'!$D$60:$II$104,$B11,102)*GT11=1,IF(AND($E11=2,QA11=0),1000000,INDEX('計算A'!DA$110:DA$114,$F11+1)+IF(AND($E11=1,QA11=0),1000,0)),1000000))</f>
        <v/>
      </c>
      <c r="ZI11">
        <f>IF($B11=0,1000000,IF(INDEX('計算A'!$D$60:$II$104,$B11,103)*GU11=1,IF(AND($E11=2,QB11=0),1000000,INDEX('計算A'!DB$110:DB$114,$F11+1)+IF(AND($E11=1,QB11=0),1000,0)),1000000))</f>
        <v/>
      </c>
      <c r="ZJ11">
        <f>IF($B11=0,1000000,IF(INDEX('計算A'!$D$60:$II$104,$B11,104)*GV11=1,IF(AND($E11=2,QC11=0),1000000,INDEX('計算A'!DC$110:DC$114,$F11+1)+IF(AND($E11=1,QC11=0),1000,0)),1000000))</f>
        <v/>
      </c>
      <c r="ZK11">
        <f>IF($B11=0,1000000,IF(INDEX('計算A'!$D$60:$II$104,$B11,105)*GW11=1,IF(AND($E11=2,QD11=0),1000000,INDEX('計算A'!DD$110:DD$114,$F11+1)+IF(AND($E11=1,QD11=0),1000,0)),1000000))</f>
        <v/>
      </c>
      <c r="ZL11">
        <f>IF($B11=0,1000000,IF(INDEX('計算A'!$D$60:$II$104,$B11,106)*GX11=1,IF(AND($E11=2,QE11=0),1000000,INDEX('計算A'!DE$110:DE$114,$F11+1)+IF(AND($E11=1,QE11=0),1000,0)),1000000))</f>
        <v/>
      </c>
      <c r="ZM11">
        <f>IF($B11=0,1000000,IF(INDEX('計算A'!$D$60:$II$104,$B11,107)*GY11=1,IF(AND($E11=2,QF11=0),1000000,INDEX('計算A'!DF$110:DF$114,$F11+1)+IF(AND($E11=1,QF11=0),1000,0)),1000000))</f>
        <v/>
      </c>
      <c r="ZN11">
        <f>IF($B11=0,1000000,IF(INDEX('計算A'!$D$60:$II$104,$B11,108)*GZ11=1,IF(AND($E11=2,QG11=0),1000000,INDEX('計算A'!DG$110:DG$114,$F11+1)+IF(AND($E11=1,QG11=0),1000,0)),1000000))</f>
        <v/>
      </c>
      <c r="ZO11">
        <f>IF($B11=0,1000000,IF(INDEX('計算A'!$D$60:$II$104,$B11,109)*HA11=1,IF(AND($E11=2,QH11=0),1000000,INDEX('計算A'!DH$110:DH$114,$F11+1)+IF(AND($E11=1,QH11=0),1000,0)),1000000))</f>
        <v/>
      </c>
      <c r="ZP11">
        <f>IF($B11=0,1000000,IF(INDEX('計算A'!$D$60:$II$104,$B11,110)*HB11=1,IF(AND($E11=2,QI11=0),1000000,INDEX('計算A'!DI$110:DI$114,$F11+1)+IF(AND($E11=1,QI11=0),1000,0)),1000000))</f>
        <v/>
      </c>
      <c r="ZQ11">
        <f>IF($B11=0,1000000,IF(INDEX('計算A'!$D$60:$II$104,$B11,111)*HC11=1,IF(AND($E11=2,QJ11=0),1000000,INDEX('計算A'!DJ$110:DJ$114,$F11+1)+IF(AND($E11=1,QJ11=0),1000,0)),1000000))</f>
        <v/>
      </c>
      <c r="ZR11">
        <f>IF($B11=0,1000000,IF(INDEX('計算A'!$D$60:$II$104,$B11,112)*HD11=1,IF(AND($E11=2,QK11=0),1000000,INDEX('計算A'!DK$110:DK$114,$F11+1)+IF(AND($E11=1,QK11=0),1000,0)),1000000))</f>
        <v/>
      </c>
      <c r="ZS11">
        <f>IF($B11=0,1000000,IF(INDEX('計算A'!$D$60:$II$104,$B11,113)*HE11=1,IF(AND($E11=2,QL11=0),1000000,INDEX('計算A'!DL$110:DL$114,$F11+1)+IF(AND($E11=1,QL11=0),1000,0)),1000000))</f>
        <v/>
      </c>
      <c r="ZT11">
        <f>IF($B11=0,1000000,IF(INDEX('計算A'!$D$60:$II$104,$B11,114)*HF11=1,IF(AND($E11=2,QM11=0),1000000,INDEX('計算A'!DM$110:DM$114,$F11+1)+IF(AND($E11=1,QM11=0),1000,0)),1000000))</f>
        <v/>
      </c>
      <c r="ZU11">
        <f>IF($B11=0,1000000,IF(INDEX('計算A'!$D$60:$II$104,$B11,115)*HG11=1,IF(AND($E11=2,QN11=0),1000000,INDEX('計算A'!DN$110:DN$114,$F11+1)+IF(AND($E11=1,QN11=0),1000,0)),1000000))</f>
        <v/>
      </c>
      <c r="ZV11">
        <f>IF($B11=0,1000000,IF(INDEX('計算A'!$D$60:$II$104,$B11,116)*HH11=1,IF(AND($E11=2,QO11=0),1000000,INDEX('計算A'!DO$110:DO$114,$F11+1)+IF(AND($E11=1,QO11=0),1000,0)),1000000))</f>
        <v/>
      </c>
      <c r="ZW11">
        <f>IF($B11=0,1000000,IF(INDEX('計算A'!$D$60:$II$104,$B11,117)*HI11=1,IF(AND($E11=2,QP11=0),1000000,INDEX('計算A'!DP$110:DP$114,$F11+1)+IF(AND($E11=1,QP11=0),1000,0)),1000000))</f>
        <v/>
      </c>
      <c r="ZX11">
        <f>IF($B11=0,1000000,IF(INDEX('計算A'!$D$60:$II$104,$B11,118)*HJ11=1,IF(AND($E11=2,QQ11=0),1000000,INDEX('計算A'!DQ$110:DQ$114,$F11+1)+IF(AND($E11=1,QQ11=0),1000,0)),1000000))</f>
        <v/>
      </c>
      <c r="ZY11">
        <f>IF($B11=0,1000000,IF(INDEX('計算A'!$D$60:$II$104,$B11,119)*HK11=1,IF(AND($E11=2,QR11=0),1000000,INDEX('計算A'!DR$110:DR$114,$F11+1)+IF(AND($E11=1,QR11=0),1000,0)),1000000))</f>
        <v/>
      </c>
      <c r="ZZ11">
        <f>IF($B11=0,1000000,IF(INDEX('計算A'!$D$60:$II$104,$B11,120)*HL11=1,IF(AND($E11=2,QS11=0),1000000,INDEX('計算A'!DS$110:DS$114,$F11+1)+IF(AND($E11=1,QS11=0),1000,0)),1000000))</f>
        <v/>
      </c>
      <c r="AAA11">
        <f>IF($B11=0,1000000,IF(INDEX('計算A'!$D$60:$II$104,$B11,121)*HM11=1,IF(AND($E11=2,QT11=0),1000000,INDEX('計算A'!DT$110:DT$114,$F11+1)+IF(AND($E11=1,QT11=0),1000,0)),1000000))</f>
        <v/>
      </c>
      <c r="AAB11">
        <f>IF($B11=0,1000000,IF(INDEX('計算A'!$D$60:$II$104,$B11,122)*HN11=1,IF(AND($E11=2,QU11=0),1000000,INDEX('計算A'!DU$110:DU$114,$F11+1)+IF(AND($E11=1,QU11=0),1000,0)),1000000))</f>
        <v/>
      </c>
      <c r="AAC11">
        <f>IF($B11=0,1000000,IF(INDEX('計算A'!$D$60:$II$104,$B11,123)*HO11=1,IF(AND($E11=2,QV11=0),1000000,INDEX('計算A'!DV$110:DV$114,$F11+1)+IF(AND($E11=1,QV11=0),1000,0)),1000000))</f>
        <v/>
      </c>
      <c r="AAD11">
        <f>IF($B11=0,1000000,IF(INDEX('計算A'!$D$60:$II$104,$B11,124)*HP11=1,IF(AND($E11=2,QW11=0),1000000,INDEX('計算A'!DW$110:DW$114,$F11+1)+IF(AND($E11=1,QW11=0),1000,0)),1000000))</f>
        <v/>
      </c>
      <c r="AAE11">
        <f>IF($B11=0,1000000,IF(INDEX('計算A'!$D$60:$II$104,$B11,125)*HQ11=1,IF(AND($E11=2,QX11=0),1000000,INDEX('計算A'!DX$110:DX$114,$F11+1)+IF(AND($E11=1,QX11=0),1000,0)),1000000))</f>
        <v/>
      </c>
      <c r="AAF11">
        <f>IF($B11=0,1000000,IF(INDEX('計算A'!$D$60:$II$104,$B11,126)*HR11=1,IF(AND($E11=2,QY11=0),1000000,INDEX('計算A'!DY$110:DY$114,$F11+1)+IF(AND($E11=1,QY11=0),1000,0)),1000000))</f>
        <v/>
      </c>
      <c r="AAG11">
        <f>IF($B11=0,1000000,IF(INDEX('計算A'!$D$60:$II$104,$B11,127)*HS11=1,IF(AND($E11=2,QZ11=0),1000000,INDEX('計算A'!DZ$110:DZ$114,$F11+1)+IF(AND($E11=1,QZ11=0),1000,0)),1000000))</f>
        <v/>
      </c>
      <c r="AAH11">
        <f>IF($B11=0,1000000,IF(INDEX('計算A'!$D$60:$II$104,$B11,128)*HT11=1,IF(AND($E11=2,RA11=0),1000000,INDEX('計算A'!EA$110:EA$114,$F11+1)+IF(AND($E11=1,RA11=0),1000,0)),1000000))</f>
        <v/>
      </c>
      <c r="AAI11">
        <f>IF($B11=0,1000000,IF(INDEX('計算A'!$D$60:$II$104,$B11,129)*HU11=1,IF(AND($E11=2,RB11=0),1000000,INDEX('計算A'!EB$110:EB$114,$F11+1)+IF(AND($E11=1,RB11=0),1000,0)),1000000))</f>
        <v/>
      </c>
      <c r="AAJ11">
        <f>IF($B11=0,1000000,IF(INDEX('計算A'!$D$60:$II$104,$B11,130)*HV11=1,IF(AND($E11=2,RC11=0),1000000,INDEX('計算A'!EC$110:EC$114,$F11+1)+IF(AND($E11=1,RC11=0),1000,0)),1000000))</f>
        <v/>
      </c>
      <c r="AAK11">
        <f>IF($B11=0,1000000,IF(INDEX('計算A'!$D$60:$II$104,$B11,131)*HW11=1,IF(AND($E11=2,RD11=0),1000000,INDEX('計算A'!ED$110:ED$114,$F11+1)+IF(AND($E11=1,RD11=0),1000,0)),1000000))</f>
        <v/>
      </c>
      <c r="AAL11">
        <f>IF($B11=0,1000000,IF(INDEX('計算A'!$D$60:$II$104,$B11,132)*HX11=1,IF(AND($E11=2,RE11=0),1000000,INDEX('計算A'!EE$110:EE$114,$F11+1)+IF(AND($E11=1,RE11=0),1000,0)),1000000))</f>
        <v/>
      </c>
      <c r="AAM11">
        <f>IF($B11=0,1000000,IF(INDEX('計算A'!$D$60:$II$104,$B11,133)*HY11=1,IF(AND($E11=2,RF11=0),1000000,INDEX('計算A'!EF$110:EF$114,$F11+1)+IF(AND($E11=1,RF11=0),1000,0)),1000000))</f>
        <v/>
      </c>
      <c r="AAN11">
        <f>IF($B11=0,1000000,IF(INDEX('計算A'!$D$60:$II$104,$B11,134)*HZ11=1,IF(AND($E11=2,RG11=0),1000000,INDEX('計算A'!EG$110:EG$114,$F11+1)+IF(AND($E11=1,RG11=0),1000,0)),1000000))</f>
        <v/>
      </c>
      <c r="AAO11">
        <f>IF($B11=0,1000000,IF(INDEX('計算A'!$D$60:$II$104,$B11,135)*IA11=1,IF(AND($E11=2,RH11=0),1000000,INDEX('計算A'!EH$110:EH$114,$F11+1)+IF(AND($E11=1,RH11=0),1000,0)),1000000))</f>
        <v/>
      </c>
      <c r="AAP11">
        <f>IF($B11=0,1000000,IF(INDEX('計算A'!$D$60:$II$104,$B11,136)*IB11=1,IF(AND($E11=2,RI11=0),1000000,INDEX('計算A'!EI$110:EI$114,$F11+1)+IF(AND($E11=1,RI11=0),1000,0)),1000000))</f>
        <v/>
      </c>
      <c r="AAQ11">
        <f>IF($B11=0,1000000,IF(INDEX('計算A'!$D$60:$II$104,$B11,137)*IC11=1,IF(AND($E11=2,RJ11=0),1000000,INDEX('計算A'!EJ$110:EJ$114,$F11+1)+IF(AND($E11=1,RJ11=0),1000,0)),1000000))</f>
        <v/>
      </c>
      <c r="AAR11">
        <f>IF($B11=0,1000000,IF(INDEX('計算A'!$D$60:$II$104,$B11,138)*ID11=1,IF(AND($E11=2,RK11=0),1000000,INDEX('計算A'!EK$110:EK$114,$F11+1)+IF(AND($E11=1,RK11=0),1000,0)),1000000))</f>
        <v/>
      </c>
      <c r="AAS11">
        <f>IF($B11=0,1000000,IF(INDEX('計算A'!$D$60:$II$104,$B11,139)*IE11=1,IF(AND($E11=2,RL11=0),1000000,INDEX('計算A'!EL$110:EL$114,$F11+1)+IF(AND($E11=1,RL11=0),1000,0)),1000000))</f>
        <v/>
      </c>
      <c r="AAT11">
        <f>IF($B11=0,1000000,IF(INDEX('計算A'!$D$60:$II$104,$B11,140)*IF11=1,IF(AND($E11=2,RM11=0),1000000,INDEX('計算A'!EM$110:EM$114,$F11+1)+IF(AND($E11=1,RM11=0),1000,0)),1000000))</f>
        <v/>
      </c>
      <c r="AAU11">
        <f>IF($B11=0,1000000,IF(INDEX('計算A'!$D$60:$II$104,$B11,141)*IG11=1,IF(AND($E11=2,RN11=0),1000000,INDEX('計算A'!EN$110:EN$114,$F11+1)+IF(AND($E11=1,RN11=0),1000,0)),1000000))</f>
        <v/>
      </c>
      <c r="AAV11">
        <f>IF($B11=0,1000000,IF(INDEX('計算A'!$D$60:$II$104,$B11,142)*IH11=1,IF(AND($E11=2,RO11=0),1000000,INDEX('計算A'!EO$110:EO$114,$F11+1)+IF(AND($E11=1,RO11=0),1000,0)),1000000))</f>
        <v/>
      </c>
      <c r="AAW11">
        <f>IF($B11=0,1000000,IF(INDEX('計算A'!$D$60:$II$104,$B11,143)*II11=1,IF(AND($E11=2,RP11=0),1000000,INDEX('計算A'!EP$110:EP$114,$F11+1)+IF(AND($E11=1,RP11=0),1000,0)),1000000))</f>
        <v/>
      </c>
      <c r="AAX11">
        <f>IF($B11=0,1000000,IF(INDEX('計算A'!$D$60:$II$104,$B11,144)*IJ11=1,IF(AND($E11=2,RQ11=0),1000000,INDEX('計算A'!EQ$110:EQ$114,$F11+1)+IF(AND($E11=1,RQ11=0),1000,0)),1000000))</f>
        <v/>
      </c>
      <c r="AAY11">
        <f>IF($B11=0,1000000,IF(INDEX('計算A'!$D$60:$II$104,$B11,145)*IK11=1,IF(AND($E11=2,RR11=0),1000000,INDEX('計算A'!ER$110:ER$114,$F11+1)+IF(AND($E11=1,RR11=0),1000,0)),1000000))</f>
        <v/>
      </c>
      <c r="AAZ11">
        <f>IF($B11=0,1000000,IF(INDEX('計算A'!$D$60:$II$104,$B11,146)*IL11=1,IF(AND($E11=2,RS11=0),1000000,INDEX('計算A'!ES$110:ES$114,$F11+1)+IF(AND($E11=1,RS11=0),1000,0)),1000000))</f>
        <v/>
      </c>
      <c r="ABA11">
        <f>IF($B11=0,1000000,IF(INDEX('計算A'!$D$60:$II$104,$B11,147)*IM11=1,IF(AND($E11=2,RT11=0),1000000,INDEX('計算A'!ET$110:ET$114,$F11+1)+IF(AND($E11=1,RT11=0),1000,0)),1000000))</f>
        <v/>
      </c>
      <c r="ABB11">
        <f>IF($B11=0,1000000,IF(INDEX('計算A'!$D$60:$II$104,$B11,148)*IN11=1,IF(AND($E11=2,RU11=0),1000000,INDEX('計算A'!EU$110:EU$114,$F11+1)+IF(AND($E11=1,RU11=0),1000,0)),1000000))</f>
        <v/>
      </c>
      <c r="ABC11">
        <f>IF($B11=0,1000000,IF(INDEX('計算A'!$D$60:$II$104,$B11,149)*IO11=1,IF(AND($E11=2,RV11=0),1000000,INDEX('計算A'!EV$110:EV$114,$F11+1)+IF(AND($E11=1,RV11=0),1000,0)),1000000))</f>
        <v/>
      </c>
      <c r="ABD11">
        <f>IF($B11=0,1000000,IF(INDEX('計算A'!$D$60:$II$104,$B11,150)*IP11=1,IF(AND($E11=2,RW11=0),1000000,INDEX('計算A'!EW$110:EW$114,$F11+1)+IF(AND($E11=1,RW11=0),1000,0)),1000000))</f>
        <v/>
      </c>
      <c r="ABE11">
        <f>IF($B11=0,1000000,IF(INDEX('計算A'!$D$60:$II$104,$B11,151)*IQ11=1,IF(AND($E11=2,RX11=0),1000000,INDEX('計算A'!EX$110:EX$114,$F11+1)+IF(AND($E11=1,RX11=0),1000,0)),1000000))</f>
        <v/>
      </c>
      <c r="ABF11">
        <f>IF($B11=0,1000000,IF(INDEX('計算A'!$D$60:$II$104,$B11,152)*IR11=1,IF(AND($E11=2,RY11=0),1000000,INDEX('計算A'!EY$110:EY$114,$F11+1)+IF(AND($E11=1,RY11=0),1000,0)),1000000))</f>
        <v/>
      </c>
      <c r="ABG11">
        <f>IF($B11=0,1000000,IF(INDEX('計算A'!$D$60:$II$104,$B11,153)*IS11=1,IF(AND($E11=2,RZ11=0),1000000,INDEX('計算A'!EZ$110:EZ$114,$F11+1)+IF(AND($E11=1,RZ11=0),1000,0)),1000000))</f>
        <v/>
      </c>
      <c r="ABH11">
        <f>IF($B11=0,1000000,IF(INDEX('計算A'!$D$60:$II$104,$B11,154)*IT11=1,IF(AND($E11=2,SA11=0),1000000,INDEX('計算A'!FA$110:FA$114,$F11+1)+IF(AND($E11=1,SA11=0),1000,0)),1000000))</f>
        <v/>
      </c>
      <c r="ABI11">
        <f>IF($B11=0,1000000,IF(INDEX('計算A'!$D$60:$II$104,$B11,155)*IU11=1,IF(AND($E11=2,SB11=0),1000000,INDEX('計算A'!FB$110:FB$114,$F11+1)+IF(AND($E11=1,SB11=0),1000,0)),1000000))</f>
        <v/>
      </c>
      <c r="ABJ11">
        <f>IF($B11=0,1000000,IF(INDEX('計算A'!$D$60:$II$104,$B11,156)*IV11=1,IF(AND($E11=2,SC11=0),1000000,INDEX('計算A'!FC$110:FC$114,$F11+1)+IF(AND($E11=1,SC11=0),1000,0)),1000000))</f>
        <v/>
      </c>
      <c r="ABK11">
        <f>IF($B11=0,1000000,IF(INDEX('計算A'!$D$60:$II$104,$B11,157)*IW11=1,IF(AND($E11=2,SD11=0),1000000,INDEX('計算A'!FD$110:FD$114,$F11+1)+IF(AND($E11=1,SD11=0),1000,0)),1000000))</f>
        <v/>
      </c>
      <c r="ABL11">
        <f>IF($B11=0,1000000,IF(INDEX('計算A'!$D$60:$II$104,$B11,158)*IX11=1,IF(AND($E11=2,SE11=0),1000000,INDEX('計算A'!FE$110:FE$114,$F11+1)+IF(AND($E11=1,SE11=0),1000,0)),1000000))</f>
        <v/>
      </c>
      <c r="ABM11">
        <f>IF($B11=0,1000000,IF(INDEX('計算A'!$D$60:$II$104,$B11,159)*IY11=1,IF(AND($E11=2,SF11=0),1000000,INDEX('計算A'!FF$110:FF$114,$F11+1)+IF(AND($E11=1,SF11=0),1000,0)),1000000))</f>
        <v/>
      </c>
      <c r="ABN11">
        <f>IF($B11=0,1000000,IF(INDEX('計算A'!$D$60:$II$104,$B11,160)*IZ11=1,IF(AND($E11=2,SG11=0),1000000,INDEX('計算A'!FG$110:FG$114,$F11+1)+IF(AND($E11=1,SG11=0),1000,0)),1000000))</f>
        <v/>
      </c>
      <c r="ABO11">
        <f>IF($B11=0,1000000,IF(INDEX('計算A'!$D$60:$II$104,$B11,161)*JA11=1,IF(AND($E11=2,SH11=0),1000000,INDEX('計算A'!FH$110:FH$114,$F11+1)+IF(AND($E11=1,SH11=0),1000,0)),1000000))</f>
        <v/>
      </c>
      <c r="ABP11">
        <f>IF($B11=0,1000000,IF(INDEX('計算A'!$D$60:$II$104,$B11,162)*JB11=1,IF(AND($E11=2,SI11=0),1000000,INDEX('計算A'!FI$110:FI$114,$F11+1)+IF(AND($E11=1,SI11=0),1000,0)),1000000))</f>
        <v/>
      </c>
      <c r="ABQ11">
        <f>IF($B11=0,1000000,IF(INDEX('計算A'!$D$60:$II$104,$B11,163)*JC11=1,IF(AND($E11=2,SJ11=0),1000000,INDEX('計算A'!FJ$110:FJ$114,$F11+1)+IF(AND($E11=1,SJ11=0),1000,0)),1000000))</f>
        <v/>
      </c>
      <c r="ABR11">
        <f>IF($B11=0,1000000,IF(INDEX('計算A'!$D$60:$II$104,$B11,164)*JD11=1,IF(AND($E11=2,SK11=0),1000000,INDEX('計算A'!FK$110:FK$114,$F11+1)+IF(AND($E11=1,SK11=0),1000,0)),1000000))</f>
        <v/>
      </c>
      <c r="ABS11">
        <f>IF($B11=0,1000000,IF(INDEX('計算A'!$D$60:$II$104,$B11,165)*JE11=1,IF(AND($E11=2,SL11=0),1000000,INDEX('計算A'!FL$110:FL$114,$F11+1)+IF(AND($E11=1,SL11=0),1000,0)),1000000))</f>
        <v/>
      </c>
      <c r="ABT11">
        <f>IF($B11=0,1000000,IF(INDEX('計算A'!$D$60:$II$104,$B11,166)*JF11=1,IF(AND($E11=2,SM11=0),1000000,INDEX('計算A'!FM$110:FM$114,$F11+1)+IF(AND($E11=1,SM11=0),1000,0)),1000000))</f>
        <v/>
      </c>
      <c r="ABU11">
        <f>IF($B11=0,1000000,IF(INDEX('計算A'!$D$60:$II$104,$B11,167)*JG11=1,IF(AND($E11=2,SN11=0),1000000,INDEX('計算A'!FN$110:FN$114,$F11+1)+IF(AND($E11=1,SN11=0),1000,0)),1000000))</f>
        <v/>
      </c>
      <c r="ABV11">
        <f>IF($B11=0,1000000,IF(INDEX('計算A'!$D$60:$II$104,$B11,168)*JH11=1,IF(AND($E11=2,SO11=0),1000000,INDEX('計算A'!FO$110:FO$114,$F11+1)+IF(AND($E11=1,SO11=0),1000,0)),1000000))</f>
        <v/>
      </c>
      <c r="ABW11">
        <f>IF($B11=0,1000000,IF(INDEX('計算A'!$D$60:$II$104,$B11,169)*JI11=1,IF(AND($E11=2,SP11=0),1000000,INDEX('計算A'!FP$110:FP$114,$F11+1)+IF(AND($E11=1,SP11=0),1000,0)),1000000))</f>
        <v/>
      </c>
      <c r="ABX11">
        <f>IF($B11=0,1000000,IF(INDEX('計算A'!$D$60:$II$104,$B11,170)*JJ11=1,IF(AND($E11=2,SQ11=0),1000000,INDEX('計算A'!FQ$110:FQ$114,$F11+1)+IF(AND($E11=1,SQ11=0),1000,0)),1000000))</f>
        <v/>
      </c>
      <c r="ABY11">
        <f>IF($B11=0,1000000,IF(INDEX('計算A'!$D$60:$II$104,$B11,171)*JK11=1,IF(AND($E11=2,SR11=0),1000000,INDEX('計算A'!FR$110:FR$114,$F11+1)+IF(AND($E11=1,SR11=0),1000,0)),1000000))</f>
        <v/>
      </c>
      <c r="ABZ11">
        <f>IF($B11=0,1000000,IF(INDEX('計算A'!$D$60:$II$104,$B11,172)*JL11=1,IF(AND($E11=2,SS11=0),1000000,INDEX('計算A'!FS$110:FS$114,$F11+1)+IF(AND($E11=1,SS11=0),1000,0)),1000000))</f>
        <v/>
      </c>
      <c r="ACA11">
        <f>IF($B11=0,1000000,IF(INDEX('計算A'!$D$60:$II$104,$B11,173)*JM11=1,IF(AND($E11=2,ST11=0),1000000,INDEX('計算A'!FT$110:FT$114,$F11+1)+IF(AND($E11=1,ST11=0),1000,0)),1000000))</f>
        <v/>
      </c>
      <c r="ACB11">
        <f>IF($B11=0,1000000,IF(INDEX('計算A'!$D$60:$II$104,$B11,174)*JN11=1,IF(AND($E11=2,SU11=0),1000000,INDEX('計算A'!FU$110:FU$114,$F11+1)+IF(AND($E11=1,SU11=0),1000,0)),1000000))</f>
        <v/>
      </c>
      <c r="ACC11">
        <f>IF($B11=0,1000000,IF(INDEX('計算A'!$D$60:$II$104,$B11,175)*JO11=1,IF(AND($E11=2,SV11=0),1000000,INDEX('計算A'!FV$110:FV$114,$F11+1)+IF(AND($E11=1,SV11=0),1000,0)),1000000))</f>
        <v/>
      </c>
      <c r="ACD11">
        <f>IF($B11=0,1000000,IF(INDEX('計算A'!$D$60:$II$104,$B11,176)*JP11=1,IF(AND($E11=2,SW11=0),1000000,INDEX('計算A'!FW$110:FW$114,$F11+1)+IF(AND($E11=1,SW11=0),1000,0)),1000000))</f>
        <v/>
      </c>
      <c r="ACE11">
        <f>IF($B11=0,1000000,IF(INDEX('計算A'!$D$60:$II$104,$B11,177)*JQ11=1,IF(AND($E11=2,SX11=0),1000000,INDEX('計算A'!FX$110:FX$114,$F11+1)+IF(AND($E11=1,SX11=0),1000,0)),1000000))</f>
        <v/>
      </c>
      <c r="ACF11">
        <f>IF($B11=0,1000000,IF(INDEX('計算A'!$D$60:$II$104,$B11,178)*JR11=1,IF(AND($E11=2,SY11=0),1000000,INDEX('計算A'!FY$110:FY$114,$F11+1)+IF(AND($E11=1,SY11=0),1000,0)),1000000))</f>
        <v/>
      </c>
      <c r="ACG11">
        <f>IF($B11=0,1000000,IF(INDEX('計算A'!$D$60:$II$104,$B11,179)*JS11=1,IF(AND($E11=2,SZ11=0),1000000,INDEX('計算A'!FZ$110:FZ$114,$F11+1)+IF(AND($E11=1,SZ11=0),1000,0)),1000000))</f>
        <v/>
      </c>
      <c r="ACH11">
        <f>IF($B11=0,1000000,IF(INDEX('計算A'!$D$60:$II$104,$B11,180)*JT11=1,IF(AND($E11=2,TA11=0),1000000,INDEX('計算A'!GA$110:GA$114,$F11+1)+IF(AND($E11=1,TA11=0),1000,0)),1000000))</f>
        <v/>
      </c>
      <c r="ACI11">
        <f>IF($B11=0,1000000,IF(INDEX('計算A'!$D$60:$II$104,$B11,181)*JU11=1,IF(AND($E11=2,TB11=0),1000000,INDEX('計算A'!GB$110:GB$114,$F11+1)+IF(AND($E11=1,TB11=0),1000,0)),1000000))</f>
        <v/>
      </c>
      <c r="ACJ11">
        <f>IF($B11=0,1000000,IF(INDEX('計算A'!$D$60:$II$104,$B11,182)*JV11=1,IF(AND($E11=2,TC11=0),1000000,INDEX('計算A'!GC$110:GC$114,$F11+1)+IF(AND($E11=1,TC11=0),1000,0)),1000000))</f>
        <v/>
      </c>
      <c r="ACK11">
        <f>IF($B11=0,1000000,IF(INDEX('計算A'!$D$60:$II$104,$B11,183)*JW11=1,IF(AND($E11=2,TD11=0),1000000,INDEX('計算A'!GD$110:GD$114,$F11+1)+IF(AND($E11=1,TD11=0),1000,0)),1000000))</f>
        <v/>
      </c>
      <c r="ACL11">
        <f>IF($B11=0,1000000,IF(INDEX('計算A'!$D$60:$II$104,$B11,184)*JX11=1,IF(AND($E11=2,TE11=0),1000000,INDEX('計算A'!GE$110:GE$114,$F11+1)+IF(AND($E11=1,TE11=0),1000,0)),1000000))</f>
        <v/>
      </c>
      <c r="ACM11">
        <f>IF($B11=0,1000000,IF(INDEX('計算A'!$D$60:$II$104,$B11,185)*JY11=1,IF(AND($E11=2,TF11=0),1000000,INDEX('計算A'!GF$110:GF$114,$F11+1)+IF(AND($E11=1,TF11=0),1000,0)),1000000))</f>
        <v/>
      </c>
      <c r="ACN11">
        <f>IF($B11=0,1000000,IF(INDEX('計算A'!$D$60:$II$104,$B11,186)*JZ11=1,IF(AND($E11=2,TG11=0),1000000,INDEX('計算A'!GG$110:GG$114,$F11+1)+IF(AND($E11=1,TG11=0),1000,0)),1000000))</f>
        <v/>
      </c>
      <c r="ACO11">
        <f>IF($B11=0,1000000,IF(INDEX('計算A'!$D$60:$II$104,$B11,187)*KA11=1,IF(AND($E11=2,TH11=0),1000000,INDEX('計算A'!GH$110:GH$114,$F11+1)+IF(AND($E11=1,TH11=0),1000,0)),1000000))</f>
        <v/>
      </c>
      <c r="ACP11">
        <f>IF($B11=0,1000000,IF(INDEX('計算A'!$D$60:$II$104,$B11,188)*KB11=1,IF(AND($E11=2,TI11=0),1000000,INDEX('計算A'!GI$110:GI$114,$F11+1)+IF(AND($E11=1,TI11=0),1000,0)),1000000))</f>
        <v/>
      </c>
      <c r="ACQ11">
        <f>IF($B11=0,1000000,IF(INDEX('計算A'!$D$60:$II$104,$B11,189)*KC11=1,IF(AND($E11=2,TJ11=0),1000000,INDEX('計算A'!GJ$110:GJ$114,$F11+1)+IF(AND($E11=1,TJ11=0),1000,0)),1000000))</f>
        <v/>
      </c>
      <c r="ACR11">
        <f>IF($B11=0,1000000,IF(INDEX('計算A'!$D$60:$II$104,$B11,190)*KD11=1,IF(AND($E11=2,TK11=0),1000000,INDEX('計算A'!GK$110:GK$114,$F11+1)+IF(AND($E11=1,TK11=0),1000,0)),1000000))</f>
        <v/>
      </c>
      <c r="ACS11">
        <f>IF($B11=0,1000000,IF(INDEX('計算A'!$D$60:$II$104,$B11,191)*KE11=1,IF(AND($E11=2,TL11=0),1000000,INDEX('計算A'!GL$110:GL$114,$F11+1)+IF(AND($E11=1,TL11=0),1000,0)),1000000))</f>
        <v/>
      </c>
      <c r="ACT11">
        <f>IF($B11=0,1000000,IF(INDEX('計算A'!$D$60:$II$104,$B11,192)*KF11=1,IF(AND($E11=2,TM11=0),1000000,INDEX('計算A'!GM$110:GM$114,$F11+1)+IF(AND($E11=1,TM11=0),1000,0)),1000000))</f>
        <v/>
      </c>
      <c r="ACU11">
        <f>IF($B11=0,1000000,IF(INDEX('計算A'!$D$60:$II$104,$B11,193)*KG11=1,IF(AND($E11=2,TN11=0),1000000,INDEX('計算A'!GN$110:GN$114,$F11+1)+IF(AND($E11=1,TN11=0),1000,0)),1000000))</f>
        <v/>
      </c>
      <c r="ACV11">
        <f>IF($B11=0,1000000,IF(INDEX('計算A'!$D$60:$II$104,$B11,194)*KH11=1,IF(AND($E11=2,TO11=0),1000000,INDEX('計算A'!GO$110:GO$114,$F11+1)+IF(AND($E11=1,TO11=0),1000,0)),1000000))</f>
        <v/>
      </c>
      <c r="ACW11">
        <f>IF($B11=0,1000000,IF(INDEX('計算A'!$D$60:$II$104,$B11,195)*KI11=1,IF(AND($E11=2,TP11=0),1000000,INDEX('計算A'!GP$110:GP$114,$F11+1)+IF(AND($E11=1,TP11=0),1000,0)),1000000))</f>
        <v/>
      </c>
      <c r="ACX11">
        <f>IF($B11=0,1000000,IF(INDEX('計算A'!$D$60:$II$104,$B11,196)*KJ11=1,IF(AND($E11=2,TQ11=0),1000000,INDEX('計算A'!GQ$110:GQ$114,$F11+1)+IF(AND($E11=1,TQ11=0),1000,0)),1000000))</f>
        <v/>
      </c>
      <c r="ACY11">
        <f>IF($B11=0,1000000,IF(INDEX('計算A'!$D$60:$II$104,$B11,197)*KK11=1,IF(AND($E11=2,TR11=0),1000000,INDEX('計算A'!GR$110:GR$114,$F11+1)+IF(AND($E11=1,TR11=0),1000,0)),1000000))</f>
        <v/>
      </c>
      <c r="ACZ11">
        <f>IF($B11=0,1000000,IF(INDEX('計算A'!$D$60:$II$104,$B11,198)*KL11=1,IF(AND($E11=2,TS11=0),1000000,INDEX('計算A'!GS$110:GS$114,$F11+1)+IF(AND($E11=1,TS11=0),1000,0)),1000000))</f>
        <v/>
      </c>
      <c r="ADA11">
        <f>IF($B11=0,1000000,IF(INDEX('計算A'!$D$60:$II$104,$B11,199)*KM11=1,IF(AND($E11=2,TT11=0),1000000,INDEX('計算A'!GT$110:GT$114,$F11+1)+IF(AND($E11=1,TT11=0),1000,0)),1000000))</f>
        <v/>
      </c>
      <c r="ADB11">
        <f>IF($B11=0,1000000,IF(INDEX('計算A'!$D$60:$II$104,$B11,200)*KN11=1,IF(AND($E11=2,TU11=0),1000000,INDEX('計算A'!GU$110:GU$114,$F11+1)+IF(AND($E11=1,TU11=0),1000,0)),1000000))</f>
        <v/>
      </c>
      <c r="ADC11">
        <f>IF($B11=0,1000000,IF(INDEX('計算A'!$D$60:$II$104,$B11,201)*KO11=1,IF(AND($E11=2,TV11=0),1000000,INDEX('計算A'!GV$110:GV$114,$F11+1)+IF(AND($E11=1,TV11=0),1000,0)),1000000))</f>
        <v/>
      </c>
      <c r="ADD11">
        <f>IF($B11=0,1000000,IF(INDEX('計算A'!$D$60:$II$104,$B11,202)*KP11=1,IF(AND($E11=2,TW11=0),1000000,INDEX('計算A'!GW$110:GW$114,$F11+1)+IF(AND($E11=1,TW11=0),1000,0)),1000000))</f>
        <v/>
      </c>
      <c r="ADE11">
        <f>IF($B11=0,1000000,IF(INDEX('計算A'!$D$60:$II$104,$B11,203)*KQ11=1,IF(AND($E11=2,TX11=0),1000000,INDEX('計算A'!GX$110:GX$114,$F11+1)+IF(AND($E11=1,TX11=0),1000,0)),1000000))</f>
        <v/>
      </c>
      <c r="ADF11">
        <f>IF($B11=0,1000000,IF(INDEX('計算A'!$D$60:$II$104,$B11,204)*KR11=1,IF(AND($E11=2,TY11=0),1000000,INDEX('計算A'!GY$110:GY$114,$F11+1)+IF(AND($E11=1,TY11=0),1000,0)),1000000))</f>
        <v/>
      </c>
      <c r="ADG11">
        <f>IF($B11=0,1000000,IF(INDEX('計算A'!$D$60:$II$104,$B11,205)*KS11=1,IF(AND($E11=2,TZ11=0),1000000,INDEX('計算A'!GZ$110:GZ$114,$F11+1)+IF(AND($E11=1,TZ11=0),1000,0)),1000000))</f>
        <v/>
      </c>
      <c r="ADH11">
        <f>IF($B11=0,1000000,IF(INDEX('計算A'!$D$60:$II$104,$B11,206)*KT11=1,IF(AND($E11=2,UA11=0),1000000,INDEX('計算A'!HA$110:HA$114,$F11+1)+IF(AND($E11=1,UA11=0),1000,0)),1000000))</f>
        <v/>
      </c>
      <c r="ADI11">
        <f>IF($B11=0,1000000,IF(INDEX('計算A'!$D$60:$II$104,$B11,207)*KU11=1,IF(AND($E11=2,UB11=0),1000000,INDEX('計算A'!HB$110:HB$114,$F11+1)+IF(AND($E11=1,UB11=0),1000,0)),1000000))</f>
        <v/>
      </c>
      <c r="ADJ11">
        <f>IF($B11=0,1000000,IF(INDEX('計算A'!$D$60:$II$104,$B11,208)*KV11=1,IF(AND($E11=2,UC11=0),1000000,INDEX('計算A'!HC$110:HC$114,$F11+1)+IF(AND($E11=1,UC11=0),1000,0)),1000000))</f>
        <v/>
      </c>
      <c r="ADK11">
        <f>IF($B11=0,1000000,IF(INDEX('計算A'!$D$60:$II$104,$B11,209)*KW11=1,IF(AND($E11=2,UD11=0),1000000,INDEX('計算A'!HD$110:HD$114,$F11+1)+IF(AND($E11=1,UD11=0),1000,0)),1000000))</f>
        <v/>
      </c>
      <c r="ADL11">
        <f>IF($B11=0,1000000,IF(INDEX('計算A'!$D$60:$II$104,$B11,210)*KX11=1,IF(AND($E11=2,UE11=0),1000000,INDEX('計算A'!HE$110:HE$114,$F11+1)+IF(AND($E11=1,UE11=0),1000,0)),1000000))</f>
        <v/>
      </c>
      <c r="ADM11">
        <f>IF($B11=0,1000000,IF(INDEX('計算A'!$D$60:$II$104,$B11,211)*KY11=1,IF(AND($E11=2,UF11=0),1000000,INDEX('計算A'!HF$110:HF$114,$F11+1)+IF(AND($E11=1,UF11=0),1000,0)),1000000))</f>
        <v/>
      </c>
      <c r="ADN11">
        <f>IF($B11=0,1000000,IF(INDEX('計算A'!$D$60:$II$104,$B11,212)*KZ11=1,IF(AND($E11=2,UG11=0),1000000,INDEX('計算A'!HG$110:HG$114,$F11+1)+IF(AND($E11=1,UG11=0),1000,0)),1000000))</f>
        <v/>
      </c>
      <c r="ADO11">
        <f>IF($B11=0,1000000,IF(INDEX('計算A'!$D$60:$II$104,$B11,213)*LA11=1,IF(AND($E11=2,UH11=0),1000000,INDEX('計算A'!HH$110:HH$114,$F11+1)+IF(AND($E11=1,UH11=0),1000,0)),1000000))</f>
        <v/>
      </c>
      <c r="ADP11">
        <f>IF($B11=0,1000000,IF(INDEX('計算A'!$D$60:$II$104,$B11,214)*LB11=1,IF(AND($E11=2,UI11=0),1000000,INDEX('計算A'!HI$110:HI$114,$F11+1)+IF(AND($E11=1,UI11=0),1000,0)),1000000))</f>
        <v/>
      </c>
      <c r="ADQ11">
        <f>IF($B11=0,1000000,IF(INDEX('計算A'!$D$60:$II$104,$B11,215)*LC11=1,IF(AND($E11=2,UJ11=0),1000000,INDEX('計算A'!HJ$110:HJ$114,$F11+1)+IF(AND($E11=1,UJ11=0),1000,0)),1000000))</f>
        <v/>
      </c>
      <c r="ADR11">
        <f>IF($B11=0,1000000,IF(INDEX('計算A'!$D$60:$II$104,$B11,216)*LD11=1,IF(AND($E11=2,UK11=0),1000000,INDEX('計算A'!HK$110:HK$114,$F11+1)+IF(AND($E11=1,UK11=0),1000,0)),1000000))</f>
        <v/>
      </c>
      <c r="ADS11">
        <f>IF($B11=0,1000000,IF(INDEX('計算A'!$D$60:$II$104,$B11,217)*LE11=1,IF(AND($E11=2,UL11=0),1000000,INDEX('計算A'!HL$110:HL$114,$F11+1)+IF(AND($E11=1,UL11=0),1000,0)),1000000))</f>
        <v/>
      </c>
      <c r="ADT11">
        <f>IF($B11=0,1000000,IF(INDEX('計算A'!$D$60:$II$104,$B11,218)*LF11=1,IF(AND($E11=2,UM11=0),1000000,INDEX('計算A'!HM$110:HM$114,$F11+1)+IF(AND($E11=1,UM11=0),1000,0)),1000000))</f>
        <v/>
      </c>
      <c r="ADU11">
        <f>IF($B11=0,1000000,IF(INDEX('計算A'!$D$60:$II$104,$B11,219)*LG11=1,IF(AND($E11=2,UN11=0),1000000,INDEX('計算A'!HN$110:HN$114,$F11+1)+IF(AND($E11=1,UN11=0),1000,0)),1000000))</f>
        <v/>
      </c>
      <c r="ADV11">
        <f>IF($B11=0,1000000,IF(INDEX('計算A'!$D$60:$II$104,$B11,220)*LH11=1,IF(AND($E11=2,UO11=0),1000000,INDEX('計算A'!HO$110:HO$114,$F11+1)+IF(AND($E11=1,UO11=0),1000,0)),1000000))</f>
        <v/>
      </c>
      <c r="ADW11">
        <f>IF($B11=0,1000000,IF(INDEX('計算A'!$D$60:$II$104,$B11,221)*LI11=1,IF(AND($E11=2,UP11=0),1000000,INDEX('計算A'!HP$110:HP$114,$F11+1)+IF(AND($E11=1,UP11=0),1000,0)),1000000))</f>
        <v/>
      </c>
      <c r="ADX11">
        <f>IF($B11=0,1000000,IF(INDEX('計算A'!$D$60:$II$104,$B11,222)*LJ11=1,IF(AND($E11=2,UQ11=0),1000000,INDEX('計算A'!HQ$110:HQ$114,$F11+1)+IF(AND($E11=1,UQ11=0),1000,0)),1000000))</f>
        <v/>
      </c>
      <c r="ADY11">
        <f>IF($B11=0,1000000,IF(INDEX('計算A'!$D$60:$II$104,$B11,223)*LK11=1,IF(AND($E11=2,UR11=0),1000000,INDEX('計算A'!HR$110:HR$114,$F11+1)+IF(AND($E11=1,UR11=0),1000,0)),1000000))</f>
        <v/>
      </c>
      <c r="ADZ11">
        <f>IF($B11=0,1000000,IF(INDEX('計算A'!$D$60:$II$104,$B11,224)*LL11=1,IF(AND($E11=2,US11=0),1000000,INDEX('計算A'!HS$110:HS$114,$F11+1)+IF(AND($E11=1,US11=0),1000,0)),1000000))</f>
        <v/>
      </c>
      <c r="AEA11">
        <f>IF($B11=0,1000000,IF(INDEX('計算A'!$D$60:$II$104,$B11,225)*LM11=1,IF(AND($E11=2,UT11=0),1000000,INDEX('計算A'!HT$110:HT$114,$F11+1)+IF(AND($E11=1,UT11=0),1000,0)),1000000))</f>
        <v/>
      </c>
      <c r="AEB11">
        <f>IF($B11=0,1000000,IF(INDEX('計算A'!$D$60:$II$104,$B11,226)*LN11=1,IF(AND($E11=2,UU11=0),1000000,INDEX('計算A'!HU$110:HU$114,$F11+1)+IF(AND($E11=1,UU11=0),1000,0)),1000000))</f>
        <v/>
      </c>
      <c r="AEC11">
        <f>IF($B11=0,1000000,IF(INDEX('計算A'!$D$60:$II$104,$B11,227)*LO11=1,IF(AND($E11=2,UV11=0),1000000,INDEX('計算A'!HV$110:HV$114,$F11+1)+IF(AND($E11=1,UV11=0),1000,0)),1000000))</f>
        <v/>
      </c>
      <c r="AED11">
        <f>IF($B11=0,1000000,IF(INDEX('計算A'!$D$60:$II$104,$B11,228)*LP11=1,IF(AND($E11=2,UW11=0),1000000,INDEX('計算A'!HW$110:HW$114,$F11+1)+IF(AND($E11=1,UW11=0),1000,0)),1000000))</f>
        <v/>
      </c>
      <c r="AEE11">
        <f>IF($B11=0,1000000,IF(INDEX('計算A'!$D$60:$II$104,$B11,229)*LQ11=1,IF(AND($E11=2,UX11=0),1000000,INDEX('計算A'!HX$110:HX$114,$F11+1)+IF(AND($E11=1,UX11=0),1000,0)),1000000))</f>
        <v/>
      </c>
      <c r="AEF11">
        <f>IF($B11=0,1000000,IF(INDEX('計算A'!$D$60:$II$104,$B11,230)*LR11=1,IF(AND($E11=2,UY11=0),1000000,INDEX('計算A'!HY$110:HY$114,$F11+1)+IF(AND($E11=1,UY11=0),1000,0)),1000000))</f>
        <v/>
      </c>
      <c r="AEG11">
        <f>IF($B11=0,1000000,IF(INDEX('計算A'!$D$60:$II$104,$B11,231)*LS11=1,IF(AND($E11=2,UZ11=0),1000000,INDEX('計算A'!HZ$110:HZ$114,$F11+1)+IF(AND($E11=1,UZ11=0),1000,0)),1000000))</f>
        <v/>
      </c>
      <c r="AEH11">
        <f>IF($B11=0,1000000,IF(INDEX('計算A'!$D$60:$II$104,$B11,232)*LT11=1,IF(AND($E11=2,VA11=0),1000000,INDEX('計算A'!IA$110:IA$114,$F11+1)+IF(AND($E11=1,VA11=0),1000,0)),1000000))</f>
        <v/>
      </c>
      <c r="AEI11">
        <f>IF($B11=0,1000000,IF(INDEX('計算A'!$D$60:$II$104,$B11,233)*LU11=1,IF(AND($E11=2,VB11=0),1000000,INDEX('計算A'!IB$110:IB$114,$F11+1)+IF(AND($E11=1,VB11=0),1000,0)),1000000))</f>
        <v/>
      </c>
      <c r="AEJ11">
        <f>IF($B11=0,1000000,IF(INDEX('計算A'!$D$60:$II$104,$B11,234)*LV11=1,IF(AND($E11=2,VC11=0),1000000,INDEX('計算A'!IC$110:IC$114,$F11+1)+IF(AND($E11=1,VC11=0),1000,0)),1000000))</f>
        <v/>
      </c>
      <c r="AEK11">
        <f>IF($B11=0,1000000,IF(INDEX('計算A'!$D$60:$II$104,$B11,235)*LW11=1,IF(AND($E11=2,VD11=0),1000000,INDEX('計算A'!ID$110:ID$114,$F11+1)+IF(AND($E11=1,VD11=0),1000,0)),1000000))</f>
        <v/>
      </c>
      <c r="AEL11">
        <f>IF($B11=0,1000000,IF(INDEX('計算A'!$D$60:$II$104,$B11,236)*LX11=1,IF(AND($E11=2,VE11=0),1000000,INDEX('計算A'!IE$110:IE$114,$F11+1)+IF(AND($E11=1,VE11=0),1000,0)),1000000))</f>
        <v/>
      </c>
      <c r="AEM11">
        <f>IF($B11=0,1000000,IF(INDEX('計算A'!$D$60:$II$104,$B11,237)*LY11=1,IF(AND($E11=2,VF11=0),1000000,INDEX('計算A'!IF$110:IF$114,$F11+1)+IF(AND($E11=1,VF11=0),1000,0)),1000000))</f>
        <v/>
      </c>
      <c r="AEN11">
        <f>IF($B11=0,1000000,IF(INDEX('計算A'!$D$60:$II$104,$B11,238)*LZ11=1,IF(AND($E11=2,VG11=0),1000000,INDEX('計算A'!IG$110:IG$114,$F11+1)+IF(AND($E11=1,VG11=0),1000,0)),1000000))</f>
        <v/>
      </c>
      <c r="AEO11">
        <f>IF($B11=0,1000000,IF(INDEX('計算A'!$D$60:$II$104,$B11,239)*MA11=1,IF(AND($E11=2,VH11=0),1000000,INDEX('計算A'!IH$110:IH$114,$F11+1)+IF(AND($E11=1,VH11=0),1000,0)),1000000))</f>
        <v/>
      </c>
      <c r="AEP11">
        <f>IF($B11=0,1000000,IF(INDEX('計算A'!$D$60:$II$104,$B11,240)*MB11=1,IF(AND($E11=2,VI11=0),1000000,INDEX('計算A'!II$110:II$114,$F11+1)+IF(AND($E11=1,VI11=0),1000,0)),1000000))</f>
        <v/>
      </c>
    </row>
    <row r="12">
      <c r="A12" t="n">
        <v>10</v>
      </c>
      <c r="B12">
        <f>IF(MIN(BC12:CU12)&gt;=1000000,0,MATCH(MIN(BC12:CU12),BC12:CU12,0))</f>
        <v/>
      </c>
      <c r="C12">
        <f>IF(MIN(VK12:AEP12)&gt;=1000000,0,MATCH(MIN(VK12:AEP12),VK12:AEP12,0))</f>
        <v/>
      </c>
      <c r="D12">
        <f>IF(C12&gt;0,INDEX('計算A'!$D$5:$II$5,C12),0)</f>
        <v/>
      </c>
      <c r="E12">
        <f>IF(B12=0,0,INDEX('計算A'!$IQ$10:$IQ$54,B12))</f>
        <v/>
      </c>
      <c r="F12">
        <f>IF(B12=0,0,INDEX('計算A'!$IP$10:$IP$54,B12))</f>
        <v/>
      </c>
      <c r="G12">
        <f>IF(AND(C12&gt;0,E12&gt;0),IF(AND(INDEX('計算A'!$D$106:$II$106,C12)=1,INDEX($MD12:$VI12,C12)=1),C12+1,0),0)</f>
        <v/>
      </c>
      <c r="I12">
        <f>MAX(I11,IF($B11=1,1,0))</f>
        <v/>
      </c>
      <c r="J12">
        <f>MAX(J11,IF($B11=2,1,0))</f>
        <v/>
      </c>
      <c r="K12">
        <f>MAX(K11,IF($B11=3,1,0))</f>
        <v/>
      </c>
      <c r="L12">
        <f>MAX(L11,IF($B11=4,1,0))</f>
        <v/>
      </c>
      <c r="M12">
        <f>MAX(M11,IF($B11=5,1,0))</f>
        <v/>
      </c>
      <c r="N12">
        <f>MAX(N11,IF($B11=6,1,0))</f>
        <v/>
      </c>
      <c r="O12">
        <f>MAX(O11,IF($B11=7,1,0))</f>
        <v/>
      </c>
      <c r="P12">
        <f>MAX(P11,IF($B11=8,1,0))</f>
        <v/>
      </c>
      <c r="Q12">
        <f>MAX(Q11,IF($B11=9,1,0))</f>
        <v/>
      </c>
      <c r="R12">
        <f>MAX(R11,IF($B11=10,1,0))</f>
        <v/>
      </c>
      <c r="S12">
        <f>MAX(S11,IF($B11=11,1,0))</f>
        <v/>
      </c>
      <c r="T12">
        <f>MAX(T11,IF($B11=12,1,0))</f>
        <v/>
      </c>
      <c r="U12">
        <f>MAX(U11,IF($B11=13,1,0))</f>
        <v/>
      </c>
      <c r="V12">
        <f>MAX(V11,IF($B11=14,1,0))</f>
        <v/>
      </c>
      <c r="W12">
        <f>MAX(W11,IF($B11=15,1,0))</f>
        <v/>
      </c>
      <c r="X12">
        <f>MAX(X11,IF($B11=16,1,0))</f>
        <v/>
      </c>
      <c r="Y12">
        <f>MAX(Y11,IF($B11=17,1,0))</f>
        <v/>
      </c>
      <c r="Z12">
        <f>MAX(Z11,IF($B11=18,1,0))</f>
        <v/>
      </c>
      <c r="AA12">
        <f>MAX(AA11,IF($B11=19,1,0))</f>
        <v/>
      </c>
      <c r="AB12">
        <f>MAX(AB11,IF($B11=20,1,0))</f>
        <v/>
      </c>
      <c r="AC12">
        <f>MAX(AC11,IF($B11=21,1,0))</f>
        <v/>
      </c>
      <c r="AD12">
        <f>MAX(AD11,IF($B11=22,1,0))</f>
        <v/>
      </c>
      <c r="AE12">
        <f>MAX(AE11,IF($B11=23,1,0))</f>
        <v/>
      </c>
      <c r="AF12">
        <f>MAX(AF11,IF($B11=24,1,0))</f>
        <v/>
      </c>
      <c r="AG12">
        <f>MAX(AG11,IF($B11=25,1,0))</f>
        <v/>
      </c>
      <c r="AH12">
        <f>MAX(AH11,IF($B11=26,1,0))</f>
        <v/>
      </c>
      <c r="AI12">
        <f>MAX(AI11,IF($B11=27,1,0))</f>
        <v/>
      </c>
      <c r="AJ12">
        <f>MAX(AJ11,IF($B11=28,1,0))</f>
        <v/>
      </c>
      <c r="AK12">
        <f>MAX(AK11,IF($B11=29,1,0))</f>
        <v/>
      </c>
      <c r="AL12">
        <f>MAX(AL11,IF($B11=30,1,0))</f>
        <v/>
      </c>
      <c r="AM12">
        <f>MAX(AM11,IF($B11=31,1,0))</f>
        <v/>
      </c>
      <c r="AN12">
        <f>MAX(AN11,IF($B11=32,1,0))</f>
        <v/>
      </c>
      <c r="AO12">
        <f>MAX(AO11,IF($B11=33,1,0))</f>
        <v/>
      </c>
      <c r="AP12">
        <f>MAX(AP11,IF($B11=34,1,0))</f>
        <v/>
      </c>
      <c r="AQ12">
        <f>MAX(AQ11,IF($B11=35,1,0))</f>
        <v/>
      </c>
      <c r="AR12">
        <f>MAX(AR11,IF($B11=36,1,0))</f>
        <v/>
      </c>
      <c r="AS12">
        <f>MAX(AS11,IF($B11=37,1,0))</f>
        <v/>
      </c>
      <c r="AT12">
        <f>MAX(AT11,IF($B11=38,1,0))</f>
        <v/>
      </c>
      <c r="AU12">
        <f>MAX(AU11,IF($B11=39,1,0))</f>
        <v/>
      </c>
      <c r="AV12">
        <f>MAX(AV11,IF($B11=40,1,0))</f>
        <v/>
      </c>
      <c r="AW12">
        <f>MAX(AW11,IF($B11=41,1,0))</f>
        <v/>
      </c>
      <c r="AX12">
        <f>MAX(AX11,IF($B11=42,1,0))</f>
        <v/>
      </c>
      <c r="AY12">
        <f>MAX(AY11,IF($B11=43,1,0))</f>
        <v/>
      </c>
      <c r="AZ12">
        <f>MAX(AZ11,IF($B11=44,1,0))</f>
        <v/>
      </c>
      <c r="BA12">
        <f>MAX(BA11,IF($B11=45,1,0))</f>
        <v/>
      </c>
      <c r="BC12">
        <f>IF(I12=1,1000000,IF('計算A'!$IQ$10=2,SUMPRODUCT('計算A'!$D$60:$II$60,$CW12:$MB12,$MD12:$VI12),SUMPRODUCT('計算A'!$D$60:$II$60,$CW12:$MB12))*1000+1)</f>
        <v/>
      </c>
      <c r="BD12">
        <f>IF(J12=1,1000000,IF('計算A'!$IQ$11=2,SUMPRODUCT('計算A'!$D$61:$II$61,$CW12:$MB12,$MD12:$VI12),SUMPRODUCT('計算A'!$D$61:$II$61,$CW12:$MB12))*1000+2)</f>
        <v/>
      </c>
      <c r="BE12">
        <f>IF(K12=1,1000000,IF('計算A'!$IQ$12=2,SUMPRODUCT('計算A'!$D$62:$II$62,$CW12:$MB12,$MD12:$VI12),SUMPRODUCT('計算A'!$D$62:$II$62,$CW12:$MB12))*1000+3)</f>
        <v/>
      </c>
      <c r="BF12">
        <f>IF(L12=1,1000000,IF('計算A'!$IQ$13=2,SUMPRODUCT('計算A'!$D$63:$II$63,$CW12:$MB12,$MD12:$VI12),SUMPRODUCT('計算A'!$D$63:$II$63,$CW12:$MB12))*1000+4)</f>
        <v/>
      </c>
      <c r="BG12">
        <f>IF(M12=1,1000000,IF('計算A'!$IQ$14=2,SUMPRODUCT('計算A'!$D$64:$II$64,$CW12:$MB12,$MD12:$VI12),SUMPRODUCT('計算A'!$D$64:$II$64,$CW12:$MB12))*1000+5)</f>
        <v/>
      </c>
      <c r="BH12">
        <f>IF(N12=1,1000000,IF('計算A'!$IQ$15=2,SUMPRODUCT('計算A'!$D$65:$II$65,$CW12:$MB12,$MD12:$VI12),SUMPRODUCT('計算A'!$D$65:$II$65,$CW12:$MB12))*1000+6)</f>
        <v/>
      </c>
      <c r="BI12">
        <f>IF(O12=1,1000000,IF('計算A'!$IQ$16=2,SUMPRODUCT('計算A'!$D$66:$II$66,$CW12:$MB12,$MD12:$VI12),SUMPRODUCT('計算A'!$D$66:$II$66,$CW12:$MB12))*1000+7)</f>
        <v/>
      </c>
      <c r="BJ12">
        <f>IF(P12=1,1000000,IF('計算A'!$IQ$17=2,SUMPRODUCT('計算A'!$D$67:$II$67,$CW12:$MB12,$MD12:$VI12),SUMPRODUCT('計算A'!$D$67:$II$67,$CW12:$MB12))*1000+8)</f>
        <v/>
      </c>
      <c r="BK12">
        <f>IF(Q12=1,1000000,IF('計算A'!$IQ$18=2,SUMPRODUCT('計算A'!$D$68:$II$68,$CW12:$MB12,$MD12:$VI12),SUMPRODUCT('計算A'!$D$68:$II$68,$CW12:$MB12))*1000+9)</f>
        <v/>
      </c>
      <c r="BL12">
        <f>IF(R12=1,1000000,IF('計算A'!$IQ$19=2,SUMPRODUCT('計算A'!$D$69:$II$69,$CW12:$MB12,$MD12:$VI12),SUMPRODUCT('計算A'!$D$69:$II$69,$CW12:$MB12))*1000+10)</f>
        <v/>
      </c>
      <c r="BM12">
        <f>IF(S12=1,1000000,IF('計算A'!$IQ$20=2,SUMPRODUCT('計算A'!$D$70:$II$70,$CW12:$MB12,$MD12:$VI12),SUMPRODUCT('計算A'!$D$70:$II$70,$CW12:$MB12))*1000+11)</f>
        <v/>
      </c>
      <c r="BN12">
        <f>IF(T12=1,1000000,IF('計算A'!$IQ$21=2,SUMPRODUCT('計算A'!$D$71:$II$71,$CW12:$MB12,$MD12:$VI12),SUMPRODUCT('計算A'!$D$71:$II$71,$CW12:$MB12))*1000+12)</f>
        <v/>
      </c>
      <c r="BO12">
        <f>IF(U12=1,1000000,IF('計算A'!$IQ$22=2,SUMPRODUCT('計算A'!$D$72:$II$72,$CW12:$MB12,$MD12:$VI12),SUMPRODUCT('計算A'!$D$72:$II$72,$CW12:$MB12))*1000+13)</f>
        <v/>
      </c>
      <c r="BP12">
        <f>IF(V12=1,1000000,IF('計算A'!$IQ$23=2,SUMPRODUCT('計算A'!$D$73:$II$73,$CW12:$MB12,$MD12:$VI12),SUMPRODUCT('計算A'!$D$73:$II$73,$CW12:$MB12))*1000+14)</f>
        <v/>
      </c>
      <c r="BQ12">
        <f>IF(W12=1,1000000,IF('計算A'!$IQ$24=2,SUMPRODUCT('計算A'!$D$74:$II$74,$CW12:$MB12,$MD12:$VI12),SUMPRODUCT('計算A'!$D$74:$II$74,$CW12:$MB12))*1000+15)</f>
        <v/>
      </c>
      <c r="BR12">
        <f>IF(X12=1,1000000,IF('計算A'!$IQ$25=2,SUMPRODUCT('計算A'!$D$75:$II$75,$CW12:$MB12,$MD12:$VI12),SUMPRODUCT('計算A'!$D$75:$II$75,$CW12:$MB12))*1000+16)</f>
        <v/>
      </c>
      <c r="BS12">
        <f>IF(Y12=1,1000000,IF('計算A'!$IQ$26=2,SUMPRODUCT('計算A'!$D$76:$II$76,$CW12:$MB12,$MD12:$VI12),SUMPRODUCT('計算A'!$D$76:$II$76,$CW12:$MB12))*1000+17)</f>
        <v/>
      </c>
      <c r="BT12">
        <f>IF(Z12=1,1000000,IF('計算A'!$IQ$27=2,SUMPRODUCT('計算A'!$D$77:$II$77,$CW12:$MB12,$MD12:$VI12),SUMPRODUCT('計算A'!$D$77:$II$77,$CW12:$MB12))*1000+18)</f>
        <v/>
      </c>
      <c r="BU12">
        <f>IF(AA12=1,1000000,IF('計算A'!$IQ$28=2,SUMPRODUCT('計算A'!$D$78:$II$78,$CW12:$MB12,$MD12:$VI12),SUMPRODUCT('計算A'!$D$78:$II$78,$CW12:$MB12))*1000+19)</f>
        <v/>
      </c>
      <c r="BV12">
        <f>IF(AB12=1,1000000,IF('計算A'!$IQ$29=2,SUMPRODUCT('計算A'!$D$79:$II$79,$CW12:$MB12,$MD12:$VI12),SUMPRODUCT('計算A'!$D$79:$II$79,$CW12:$MB12))*1000+20)</f>
        <v/>
      </c>
      <c r="BW12">
        <f>IF(AC12=1,1000000,IF('計算A'!$IQ$30=2,SUMPRODUCT('計算A'!$D$80:$II$80,$CW12:$MB12,$MD12:$VI12),SUMPRODUCT('計算A'!$D$80:$II$80,$CW12:$MB12))*1000+21)</f>
        <v/>
      </c>
      <c r="BX12">
        <f>IF(AD12=1,1000000,IF('計算A'!$IQ$31=2,SUMPRODUCT('計算A'!$D$81:$II$81,$CW12:$MB12,$MD12:$VI12),SUMPRODUCT('計算A'!$D$81:$II$81,$CW12:$MB12))*1000+22)</f>
        <v/>
      </c>
      <c r="BY12">
        <f>IF(AE12=1,1000000,IF('計算A'!$IQ$32=2,SUMPRODUCT('計算A'!$D$82:$II$82,$CW12:$MB12,$MD12:$VI12),SUMPRODUCT('計算A'!$D$82:$II$82,$CW12:$MB12))*1000+23)</f>
        <v/>
      </c>
      <c r="BZ12">
        <f>IF(AF12=1,1000000,IF('計算A'!$IQ$33=2,SUMPRODUCT('計算A'!$D$83:$II$83,$CW12:$MB12,$MD12:$VI12),SUMPRODUCT('計算A'!$D$83:$II$83,$CW12:$MB12))*1000+24)</f>
        <v/>
      </c>
      <c r="CA12">
        <f>IF(AG12=1,1000000,IF('計算A'!$IQ$34=2,SUMPRODUCT('計算A'!$D$84:$II$84,$CW12:$MB12,$MD12:$VI12),SUMPRODUCT('計算A'!$D$84:$II$84,$CW12:$MB12))*1000+25)</f>
        <v/>
      </c>
      <c r="CB12">
        <f>IF(AH12=1,1000000,IF('計算A'!$IQ$35=2,SUMPRODUCT('計算A'!$D$85:$II$85,$CW12:$MB12,$MD12:$VI12),SUMPRODUCT('計算A'!$D$85:$II$85,$CW12:$MB12))*1000+26)</f>
        <v/>
      </c>
      <c r="CC12">
        <f>IF(AI12=1,1000000,IF('計算A'!$IQ$36=2,SUMPRODUCT('計算A'!$D$86:$II$86,$CW12:$MB12,$MD12:$VI12),SUMPRODUCT('計算A'!$D$86:$II$86,$CW12:$MB12))*1000+27)</f>
        <v/>
      </c>
      <c r="CD12">
        <f>IF(AJ12=1,1000000,IF('計算A'!$IQ$37=2,SUMPRODUCT('計算A'!$D$87:$II$87,$CW12:$MB12,$MD12:$VI12),SUMPRODUCT('計算A'!$D$87:$II$87,$CW12:$MB12))*1000+28)</f>
        <v/>
      </c>
      <c r="CE12">
        <f>IF(AK12=1,1000000,IF('計算A'!$IQ$38=2,SUMPRODUCT('計算A'!$D$88:$II$88,$CW12:$MB12,$MD12:$VI12),SUMPRODUCT('計算A'!$D$88:$II$88,$CW12:$MB12))*1000+29)</f>
        <v/>
      </c>
      <c r="CF12">
        <f>IF(AL12=1,1000000,IF('計算A'!$IQ$39=2,SUMPRODUCT('計算A'!$D$89:$II$89,$CW12:$MB12,$MD12:$VI12),SUMPRODUCT('計算A'!$D$89:$II$89,$CW12:$MB12))*1000+30)</f>
        <v/>
      </c>
      <c r="CG12">
        <f>IF(AM12=1,1000000,IF('計算A'!$IQ$40=2,SUMPRODUCT('計算A'!$D$90:$II$90,$CW12:$MB12,$MD12:$VI12),SUMPRODUCT('計算A'!$D$90:$II$90,$CW12:$MB12))*1000+31)</f>
        <v/>
      </c>
      <c r="CH12">
        <f>IF(AN12=1,1000000,IF('計算A'!$IQ$41=2,SUMPRODUCT('計算A'!$D$91:$II$91,$CW12:$MB12,$MD12:$VI12),SUMPRODUCT('計算A'!$D$91:$II$91,$CW12:$MB12))*1000+32)</f>
        <v/>
      </c>
      <c r="CI12">
        <f>IF(AO12=1,1000000,IF('計算A'!$IQ$42=2,SUMPRODUCT('計算A'!$D$92:$II$92,$CW12:$MB12,$MD12:$VI12),SUMPRODUCT('計算A'!$D$92:$II$92,$CW12:$MB12))*1000+33)</f>
        <v/>
      </c>
      <c r="CJ12">
        <f>IF(AP12=1,1000000,IF('計算A'!$IQ$43=2,SUMPRODUCT('計算A'!$D$93:$II$93,$CW12:$MB12,$MD12:$VI12),SUMPRODUCT('計算A'!$D$93:$II$93,$CW12:$MB12))*1000+34)</f>
        <v/>
      </c>
      <c r="CK12">
        <f>IF(AQ12=1,1000000,IF('計算A'!$IQ$44=2,SUMPRODUCT('計算A'!$D$94:$II$94,$CW12:$MB12,$MD12:$VI12),SUMPRODUCT('計算A'!$D$94:$II$94,$CW12:$MB12))*1000+35)</f>
        <v/>
      </c>
      <c r="CL12">
        <f>IF(AR12=1,1000000,IF('計算A'!$IQ$45=2,SUMPRODUCT('計算A'!$D$95:$II$95,$CW12:$MB12,$MD12:$VI12),SUMPRODUCT('計算A'!$D$95:$II$95,$CW12:$MB12))*1000+36)</f>
        <v/>
      </c>
      <c r="CM12">
        <f>IF(AS12=1,1000000,IF('計算A'!$IQ$46=2,SUMPRODUCT('計算A'!$D$96:$II$96,$CW12:$MB12,$MD12:$VI12),SUMPRODUCT('計算A'!$D$96:$II$96,$CW12:$MB12))*1000+37)</f>
        <v/>
      </c>
      <c r="CN12">
        <f>IF(AT12=1,1000000,IF('計算A'!$IQ$47=2,SUMPRODUCT('計算A'!$D$97:$II$97,$CW12:$MB12,$MD12:$VI12),SUMPRODUCT('計算A'!$D$97:$II$97,$CW12:$MB12))*1000+38)</f>
        <v/>
      </c>
      <c r="CO12">
        <f>IF(AU12=1,1000000,IF('計算A'!$IQ$48=2,SUMPRODUCT('計算A'!$D$98:$II$98,$CW12:$MB12,$MD12:$VI12),SUMPRODUCT('計算A'!$D$98:$II$98,$CW12:$MB12))*1000+39)</f>
        <v/>
      </c>
      <c r="CP12">
        <f>IF(AV12=1,1000000,IF('計算A'!$IQ$49=2,SUMPRODUCT('計算A'!$D$99:$II$99,$CW12:$MB12,$MD12:$VI12),SUMPRODUCT('計算A'!$D$99:$II$99,$CW12:$MB12))*1000+40)</f>
        <v/>
      </c>
      <c r="CQ12">
        <f>IF(AW12=1,1000000,IF('計算A'!$IQ$50=2,SUMPRODUCT('計算A'!$D$100:$II$100,$CW12:$MB12,$MD12:$VI12),SUMPRODUCT('計算A'!$D$100:$II$100,$CW12:$MB12))*1000+41)</f>
        <v/>
      </c>
      <c r="CR12">
        <f>IF(AX12=1,1000000,IF('計算A'!$IQ$51=2,SUMPRODUCT('計算A'!$D$101:$II$101,$CW12:$MB12,$MD12:$VI12),SUMPRODUCT('計算A'!$D$101:$II$101,$CW12:$MB12))*1000+42)</f>
        <v/>
      </c>
      <c r="CS12">
        <f>IF(AY12=1,1000000,IF('計算A'!$IQ$52=2,SUMPRODUCT('計算A'!$D$102:$II$102,$CW12:$MB12,$MD12:$VI12),SUMPRODUCT('計算A'!$D$102:$II$102,$CW12:$MB12))*1000+43)</f>
        <v/>
      </c>
      <c r="CT12">
        <f>IF(AZ12=1,1000000,IF('計算A'!$IQ$53=2,SUMPRODUCT('計算A'!$D$103:$II$103,$CW12:$MB12,$MD12:$VI12),SUMPRODUCT('計算A'!$D$103:$II$103,$CW12:$MB12))*1000+44)</f>
        <v/>
      </c>
      <c r="CU12">
        <f>IF(BA12=1,1000000,IF('計算A'!$IQ$54=2,SUMPRODUCT('計算A'!$D$104:$II$104,$CW12:$MB12,$MD12:$VI12),SUMPRODUCT('計算A'!$D$104:$II$104,$CW12:$MB12))*1000+45)</f>
        <v/>
      </c>
      <c r="CW12">
        <f>CW11*IF(OR($C11=1,$G11=1),0,1)</f>
        <v/>
      </c>
      <c r="CX12">
        <f>CX11*IF(OR($C11=2,$G11=2),0,1)</f>
        <v/>
      </c>
      <c r="CY12">
        <f>CY11*IF(OR($C11=3,$G11=3),0,1)</f>
        <v/>
      </c>
      <c r="CZ12">
        <f>CZ11*IF(OR($C11=4,$G11=4),0,1)</f>
        <v/>
      </c>
      <c r="DA12">
        <f>DA11*IF(OR($C11=5,$G11=5),0,1)</f>
        <v/>
      </c>
      <c r="DB12">
        <f>DB11*IF(OR($C11=6,$G11=6),0,1)</f>
        <v/>
      </c>
      <c r="DC12">
        <f>DC11*IF(OR($C11=7,$G11=7),0,1)</f>
        <v/>
      </c>
      <c r="DD12">
        <f>DD11*IF(OR($C11=8,$G11=8),0,1)</f>
        <v/>
      </c>
      <c r="DE12">
        <f>DE11*IF(OR($C11=9,$G11=9),0,1)</f>
        <v/>
      </c>
      <c r="DF12">
        <f>DF11*IF(OR($C11=10,$G11=10),0,1)</f>
        <v/>
      </c>
      <c r="DG12">
        <f>DG11*IF(OR($C11=11,$G11=11),0,1)</f>
        <v/>
      </c>
      <c r="DH12">
        <f>DH11*IF(OR($C11=12,$G11=12),0,1)</f>
        <v/>
      </c>
      <c r="DI12">
        <f>DI11*IF(OR($C11=13,$G11=13),0,1)</f>
        <v/>
      </c>
      <c r="DJ12">
        <f>DJ11*IF(OR($C11=14,$G11=14),0,1)</f>
        <v/>
      </c>
      <c r="DK12">
        <f>DK11*IF(OR($C11=15,$G11=15),0,1)</f>
        <v/>
      </c>
      <c r="DL12">
        <f>DL11*IF(OR($C11=16,$G11=16),0,1)</f>
        <v/>
      </c>
      <c r="DM12">
        <f>DM11*IF(OR($C11=17,$G11=17),0,1)</f>
        <v/>
      </c>
      <c r="DN12">
        <f>DN11*IF(OR($C11=18,$G11=18),0,1)</f>
        <v/>
      </c>
      <c r="DO12">
        <f>DO11*IF(OR($C11=19,$G11=19),0,1)</f>
        <v/>
      </c>
      <c r="DP12">
        <f>DP11*IF(OR($C11=20,$G11=20),0,1)</f>
        <v/>
      </c>
      <c r="DQ12">
        <f>DQ11*IF(OR($C11=21,$G11=21),0,1)</f>
        <v/>
      </c>
      <c r="DR12">
        <f>DR11*IF(OR($C11=22,$G11=22),0,1)</f>
        <v/>
      </c>
      <c r="DS12">
        <f>DS11*IF(OR($C11=23,$G11=23),0,1)</f>
        <v/>
      </c>
      <c r="DT12">
        <f>DT11*IF(OR($C11=24,$G11=24),0,1)</f>
        <v/>
      </c>
      <c r="DU12">
        <f>DU11*IF(OR($C11=25,$G11=25),0,1)</f>
        <v/>
      </c>
      <c r="DV12">
        <f>DV11*IF(OR($C11=26,$G11=26),0,1)</f>
        <v/>
      </c>
      <c r="DW12">
        <f>DW11*IF(OR($C11=27,$G11=27),0,1)</f>
        <v/>
      </c>
      <c r="DX12">
        <f>DX11*IF(OR($C11=28,$G11=28),0,1)</f>
        <v/>
      </c>
      <c r="DY12">
        <f>DY11*IF(OR($C11=29,$G11=29),0,1)</f>
        <v/>
      </c>
      <c r="DZ12">
        <f>DZ11*IF(OR($C11=30,$G11=30),0,1)</f>
        <v/>
      </c>
      <c r="EA12">
        <f>EA11*IF(OR($C11=31,$G11=31),0,1)</f>
        <v/>
      </c>
      <c r="EB12">
        <f>EB11*IF(OR($C11=32,$G11=32),0,1)</f>
        <v/>
      </c>
      <c r="EC12">
        <f>EC11*IF(OR($C11=33,$G11=33),0,1)</f>
        <v/>
      </c>
      <c r="ED12">
        <f>ED11*IF(OR($C11=34,$G11=34),0,1)</f>
        <v/>
      </c>
      <c r="EE12">
        <f>EE11*IF(OR($C11=35,$G11=35),0,1)</f>
        <v/>
      </c>
      <c r="EF12">
        <f>EF11*IF(OR($C11=36,$G11=36),0,1)</f>
        <v/>
      </c>
      <c r="EG12">
        <f>EG11*IF(OR($C11=37,$G11=37),0,1)</f>
        <v/>
      </c>
      <c r="EH12">
        <f>EH11*IF(OR($C11=38,$G11=38),0,1)</f>
        <v/>
      </c>
      <c r="EI12">
        <f>EI11*IF(OR($C11=39,$G11=39),0,1)</f>
        <v/>
      </c>
      <c r="EJ12">
        <f>EJ11*IF(OR($C11=40,$G11=40),0,1)</f>
        <v/>
      </c>
      <c r="EK12">
        <f>EK11*IF(OR($C11=41,$G11=41),0,1)</f>
        <v/>
      </c>
      <c r="EL12">
        <f>EL11*IF(OR($C11=42,$G11=42),0,1)</f>
        <v/>
      </c>
      <c r="EM12">
        <f>EM11*IF(OR($C11=43,$G11=43),0,1)</f>
        <v/>
      </c>
      <c r="EN12">
        <f>EN11*IF(OR($C11=44,$G11=44),0,1)</f>
        <v/>
      </c>
      <c r="EO12">
        <f>EO11*IF(OR($C11=45,$G11=45),0,1)</f>
        <v/>
      </c>
      <c r="EP12">
        <f>EP11*IF(OR($C11=46,$G11=46),0,1)</f>
        <v/>
      </c>
      <c r="EQ12">
        <f>EQ11*IF(OR($C11=47,$G11=47),0,1)</f>
        <v/>
      </c>
      <c r="ER12">
        <f>ER11*IF(OR($C11=48,$G11=48),0,1)</f>
        <v/>
      </c>
      <c r="ES12">
        <f>ES11*IF(OR($C11=49,$G11=49),0,1)</f>
        <v/>
      </c>
      <c r="ET12">
        <f>ET11*IF(OR($C11=50,$G11=50),0,1)</f>
        <v/>
      </c>
      <c r="EU12">
        <f>EU11*IF(OR($C11=51,$G11=51),0,1)</f>
        <v/>
      </c>
      <c r="EV12">
        <f>EV11*IF(OR($C11=52,$G11=52),0,1)</f>
        <v/>
      </c>
      <c r="EW12">
        <f>EW11*IF(OR($C11=53,$G11=53),0,1)</f>
        <v/>
      </c>
      <c r="EX12">
        <f>EX11*IF(OR($C11=54,$G11=54),0,1)</f>
        <v/>
      </c>
      <c r="EY12">
        <f>EY11*IF(OR($C11=55,$G11=55),0,1)</f>
        <v/>
      </c>
      <c r="EZ12">
        <f>EZ11*IF(OR($C11=56,$G11=56),0,1)</f>
        <v/>
      </c>
      <c r="FA12">
        <f>FA11*IF(OR($C11=57,$G11=57),0,1)</f>
        <v/>
      </c>
      <c r="FB12">
        <f>FB11*IF(OR($C11=58,$G11=58),0,1)</f>
        <v/>
      </c>
      <c r="FC12">
        <f>FC11*IF(OR($C11=59,$G11=59),0,1)</f>
        <v/>
      </c>
      <c r="FD12">
        <f>FD11*IF(OR($C11=60,$G11=60),0,1)</f>
        <v/>
      </c>
      <c r="FE12">
        <f>FE11*IF(OR($C11=61,$G11=61),0,1)</f>
        <v/>
      </c>
      <c r="FF12">
        <f>FF11*IF(OR($C11=62,$G11=62),0,1)</f>
        <v/>
      </c>
      <c r="FG12">
        <f>FG11*IF(OR($C11=63,$G11=63),0,1)</f>
        <v/>
      </c>
      <c r="FH12">
        <f>FH11*IF(OR($C11=64,$G11=64),0,1)</f>
        <v/>
      </c>
      <c r="FI12">
        <f>FI11*IF(OR($C11=65,$G11=65),0,1)</f>
        <v/>
      </c>
      <c r="FJ12">
        <f>FJ11*IF(OR($C11=66,$G11=66),0,1)</f>
        <v/>
      </c>
      <c r="FK12">
        <f>FK11*IF(OR($C11=67,$G11=67),0,1)</f>
        <v/>
      </c>
      <c r="FL12">
        <f>FL11*IF(OR($C11=68,$G11=68),0,1)</f>
        <v/>
      </c>
      <c r="FM12">
        <f>FM11*IF(OR($C11=69,$G11=69),0,1)</f>
        <v/>
      </c>
      <c r="FN12">
        <f>FN11*IF(OR($C11=70,$G11=70),0,1)</f>
        <v/>
      </c>
      <c r="FO12">
        <f>FO11*IF(OR($C11=71,$G11=71),0,1)</f>
        <v/>
      </c>
      <c r="FP12">
        <f>FP11*IF(OR($C11=72,$G11=72),0,1)</f>
        <v/>
      </c>
      <c r="FQ12">
        <f>FQ11*IF(OR($C11=73,$G11=73),0,1)</f>
        <v/>
      </c>
      <c r="FR12">
        <f>FR11*IF(OR($C11=74,$G11=74),0,1)</f>
        <v/>
      </c>
      <c r="FS12">
        <f>FS11*IF(OR($C11=75,$G11=75),0,1)</f>
        <v/>
      </c>
      <c r="FT12">
        <f>FT11*IF(OR($C11=76,$G11=76),0,1)</f>
        <v/>
      </c>
      <c r="FU12">
        <f>FU11*IF(OR($C11=77,$G11=77),0,1)</f>
        <v/>
      </c>
      <c r="FV12">
        <f>FV11*IF(OR($C11=78,$G11=78),0,1)</f>
        <v/>
      </c>
      <c r="FW12">
        <f>FW11*IF(OR($C11=79,$G11=79),0,1)</f>
        <v/>
      </c>
      <c r="FX12">
        <f>FX11*IF(OR($C11=80,$G11=80),0,1)</f>
        <v/>
      </c>
      <c r="FY12">
        <f>FY11*IF(OR($C11=81,$G11=81),0,1)</f>
        <v/>
      </c>
      <c r="FZ12">
        <f>FZ11*IF(OR($C11=82,$G11=82),0,1)</f>
        <v/>
      </c>
      <c r="GA12">
        <f>GA11*IF(OR($C11=83,$G11=83),0,1)</f>
        <v/>
      </c>
      <c r="GB12">
        <f>GB11*IF(OR($C11=84,$G11=84),0,1)</f>
        <v/>
      </c>
      <c r="GC12">
        <f>GC11*IF(OR($C11=85,$G11=85),0,1)</f>
        <v/>
      </c>
      <c r="GD12">
        <f>GD11*IF(OR($C11=86,$G11=86),0,1)</f>
        <v/>
      </c>
      <c r="GE12">
        <f>GE11*IF(OR($C11=87,$G11=87),0,1)</f>
        <v/>
      </c>
      <c r="GF12">
        <f>GF11*IF(OR($C11=88,$G11=88),0,1)</f>
        <v/>
      </c>
      <c r="GG12">
        <f>GG11*IF(OR($C11=89,$G11=89),0,1)</f>
        <v/>
      </c>
      <c r="GH12">
        <f>GH11*IF(OR($C11=90,$G11=90),0,1)</f>
        <v/>
      </c>
      <c r="GI12">
        <f>GI11*IF(OR($C11=91,$G11=91),0,1)</f>
        <v/>
      </c>
      <c r="GJ12">
        <f>GJ11*IF(OR($C11=92,$G11=92),0,1)</f>
        <v/>
      </c>
      <c r="GK12">
        <f>GK11*IF(OR($C11=93,$G11=93),0,1)</f>
        <v/>
      </c>
      <c r="GL12">
        <f>GL11*IF(OR($C11=94,$G11=94),0,1)</f>
        <v/>
      </c>
      <c r="GM12">
        <f>GM11*IF(OR($C11=95,$G11=95),0,1)</f>
        <v/>
      </c>
      <c r="GN12">
        <f>GN11*IF(OR($C11=96,$G11=96),0,1)</f>
        <v/>
      </c>
      <c r="GO12">
        <f>GO11*IF(OR($C11=97,$G11=97),0,1)</f>
        <v/>
      </c>
      <c r="GP12">
        <f>GP11*IF(OR($C11=98,$G11=98),0,1)</f>
        <v/>
      </c>
      <c r="GQ12">
        <f>GQ11*IF(OR($C11=99,$G11=99),0,1)</f>
        <v/>
      </c>
      <c r="GR12">
        <f>GR11*IF(OR($C11=100,$G11=100),0,1)</f>
        <v/>
      </c>
      <c r="GS12">
        <f>GS11*IF(OR($C11=101,$G11=101),0,1)</f>
        <v/>
      </c>
      <c r="GT12">
        <f>GT11*IF(OR($C11=102,$G11=102),0,1)</f>
        <v/>
      </c>
      <c r="GU12">
        <f>GU11*IF(OR($C11=103,$G11=103),0,1)</f>
        <v/>
      </c>
      <c r="GV12">
        <f>GV11*IF(OR($C11=104,$G11=104),0,1)</f>
        <v/>
      </c>
      <c r="GW12">
        <f>GW11*IF(OR($C11=105,$G11=105),0,1)</f>
        <v/>
      </c>
      <c r="GX12">
        <f>GX11*IF(OR($C11=106,$G11=106),0,1)</f>
        <v/>
      </c>
      <c r="GY12">
        <f>GY11*IF(OR($C11=107,$G11=107),0,1)</f>
        <v/>
      </c>
      <c r="GZ12">
        <f>GZ11*IF(OR($C11=108,$G11=108),0,1)</f>
        <v/>
      </c>
      <c r="HA12">
        <f>HA11*IF(OR($C11=109,$G11=109),0,1)</f>
        <v/>
      </c>
      <c r="HB12">
        <f>HB11*IF(OR($C11=110,$G11=110),0,1)</f>
        <v/>
      </c>
      <c r="HC12">
        <f>HC11*IF(OR($C11=111,$G11=111),0,1)</f>
        <v/>
      </c>
      <c r="HD12">
        <f>HD11*IF(OR($C11=112,$G11=112),0,1)</f>
        <v/>
      </c>
      <c r="HE12">
        <f>HE11*IF(OR($C11=113,$G11=113),0,1)</f>
        <v/>
      </c>
      <c r="HF12">
        <f>HF11*IF(OR($C11=114,$G11=114),0,1)</f>
        <v/>
      </c>
      <c r="HG12">
        <f>HG11*IF(OR($C11=115,$G11=115),0,1)</f>
        <v/>
      </c>
      <c r="HH12">
        <f>HH11*IF(OR($C11=116,$G11=116),0,1)</f>
        <v/>
      </c>
      <c r="HI12">
        <f>HI11*IF(OR($C11=117,$G11=117),0,1)</f>
        <v/>
      </c>
      <c r="HJ12">
        <f>HJ11*IF(OR($C11=118,$G11=118),0,1)</f>
        <v/>
      </c>
      <c r="HK12">
        <f>HK11*IF(OR($C11=119,$G11=119),0,1)</f>
        <v/>
      </c>
      <c r="HL12">
        <f>HL11*IF(OR($C11=120,$G11=120),0,1)</f>
        <v/>
      </c>
      <c r="HM12">
        <f>HM11*IF(OR($C11=121,$G11=121),0,1)</f>
        <v/>
      </c>
      <c r="HN12">
        <f>HN11*IF(OR($C11=122,$G11=122),0,1)</f>
        <v/>
      </c>
      <c r="HO12">
        <f>HO11*IF(OR($C11=123,$G11=123),0,1)</f>
        <v/>
      </c>
      <c r="HP12">
        <f>HP11*IF(OR($C11=124,$G11=124),0,1)</f>
        <v/>
      </c>
      <c r="HQ12">
        <f>HQ11*IF(OR($C11=125,$G11=125),0,1)</f>
        <v/>
      </c>
      <c r="HR12">
        <f>HR11*IF(OR($C11=126,$G11=126),0,1)</f>
        <v/>
      </c>
      <c r="HS12">
        <f>HS11*IF(OR($C11=127,$G11=127),0,1)</f>
        <v/>
      </c>
      <c r="HT12">
        <f>HT11*IF(OR($C11=128,$G11=128),0,1)</f>
        <v/>
      </c>
      <c r="HU12">
        <f>HU11*IF(OR($C11=129,$G11=129),0,1)</f>
        <v/>
      </c>
      <c r="HV12">
        <f>HV11*IF(OR($C11=130,$G11=130),0,1)</f>
        <v/>
      </c>
      <c r="HW12">
        <f>HW11*IF(OR($C11=131,$G11=131),0,1)</f>
        <v/>
      </c>
      <c r="HX12">
        <f>HX11*IF(OR($C11=132,$G11=132),0,1)</f>
        <v/>
      </c>
      <c r="HY12">
        <f>HY11*IF(OR($C11=133,$G11=133),0,1)</f>
        <v/>
      </c>
      <c r="HZ12">
        <f>HZ11*IF(OR($C11=134,$G11=134),0,1)</f>
        <v/>
      </c>
      <c r="IA12">
        <f>IA11*IF(OR($C11=135,$G11=135),0,1)</f>
        <v/>
      </c>
      <c r="IB12">
        <f>IB11*IF(OR($C11=136,$G11=136),0,1)</f>
        <v/>
      </c>
      <c r="IC12">
        <f>IC11*IF(OR($C11=137,$G11=137),0,1)</f>
        <v/>
      </c>
      <c r="ID12">
        <f>ID11*IF(OR($C11=138,$G11=138),0,1)</f>
        <v/>
      </c>
      <c r="IE12">
        <f>IE11*IF(OR($C11=139,$G11=139),0,1)</f>
        <v/>
      </c>
      <c r="IF12">
        <f>IF11*IF(OR($C11=140,$G11=140),0,1)</f>
        <v/>
      </c>
      <c r="IG12">
        <f>IG11*IF(OR($C11=141,$G11=141),0,1)</f>
        <v/>
      </c>
      <c r="IH12">
        <f>IH11*IF(OR($C11=142,$G11=142),0,1)</f>
        <v/>
      </c>
      <c r="II12">
        <f>II11*IF(OR($C11=143,$G11=143),0,1)</f>
        <v/>
      </c>
      <c r="IJ12">
        <f>IJ11*IF(OR($C11=144,$G11=144),0,1)</f>
        <v/>
      </c>
      <c r="IK12">
        <f>IK11*IF(OR($C11=145,$G11=145),0,1)</f>
        <v/>
      </c>
      <c r="IL12">
        <f>IL11*IF(OR($C11=146,$G11=146),0,1)</f>
        <v/>
      </c>
      <c r="IM12">
        <f>IM11*IF(OR($C11=147,$G11=147),0,1)</f>
        <v/>
      </c>
      <c r="IN12">
        <f>IN11*IF(OR($C11=148,$G11=148),0,1)</f>
        <v/>
      </c>
      <c r="IO12">
        <f>IO11*IF(OR($C11=149,$G11=149),0,1)</f>
        <v/>
      </c>
      <c r="IP12">
        <f>IP11*IF(OR($C11=150,$G11=150),0,1)</f>
        <v/>
      </c>
      <c r="IQ12">
        <f>IQ11*IF(OR($C11=151,$G11=151),0,1)</f>
        <v/>
      </c>
      <c r="IR12">
        <f>IR11*IF(OR($C11=152,$G11=152),0,1)</f>
        <v/>
      </c>
      <c r="IS12">
        <f>IS11*IF(OR($C11=153,$G11=153),0,1)</f>
        <v/>
      </c>
      <c r="IT12">
        <f>IT11*IF(OR($C11=154,$G11=154),0,1)</f>
        <v/>
      </c>
      <c r="IU12">
        <f>IU11*IF(OR($C11=155,$G11=155),0,1)</f>
        <v/>
      </c>
      <c r="IV12">
        <f>IV11*IF(OR($C11=156,$G11=156),0,1)</f>
        <v/>
      </c>
      <c r="IW12">
        <f>IW11*IF(OR($C11=157,$G11=157),0,1)</f>
        <v/>
      </c>
      <c r="IX12">
        <f>IX11*IF(OR($C11=158,$G11=158),0,1)</f>
        <v/>
      </c>
      <c r="IY12">
        <f>IY11*IF(OR($C11=159,$G11=159),0,1)</f>
        <v/>
      </c>
      <c r="IZ12">
        <f>IZ11*IF(OR($C11=160,$G11=160),0,1)</f>
        <v/>
      </c>
      <c r="JA12">
        <f>JA11*IF(OR($C11=161,$G11=161),0,1)</f>
        <v/>
      </c>
      <c r="JB12">
        <f>JB11*IF(OR($C11=162,$G11=162),0,1)</f>
        <v/>
      </c>
      <c r="JC12">
        <f>JC11*IF(OR($C11=163,$G11=163),0,1)</f>
        <v/>
      </c>
      <c r="JD12">
        <f>JD11*IF(OR($C11=164,$G11=164),0,1)</f>
        <v/>
      </c>
      <c r="JE12">
        <f>JE11*IF(OR($C11=165,$G11=165),0,1)</f>
        <v/>
      </c>
      <c r="JF12">
        <f>JF11*IF(OR($C11=166,$G11=166),0,1)</f>
        <v/>
      </c>
      <c r="JG12">
        <f>JG11*IF(OR($C11=167,$G11=167),0,1)</f>
        <v/>
      </c>
      <c r="JH12">
        <f>JH11*IF(OR($C11=168,$G11=168),0,1)</f>
        <v/>
      </c>
      <c r="JI12">
        <f>JI11*IF(OR($C11=169,$G11=169),0,1)</f>
        <v/>
      </c>
      <c r="JJ12">
        <f>JJ11*IF(OR($C11=170,$G11=170),0,1)</f>
        <v/>
      </c>
      <c r="JK12">
        <f>JK11*IF(OR($C11=171,$G11=171),0,1)</f>
        <v/>
      </c>
      <c r="JL12">
        <f>JL11*IF(OR($C11=172,$G11=172),0,1)</f>
        <v/>
      </c>
      <c r="JM12">
        <f>JM11*IF(OR($C11=173,$G11=173),0,1)</f>
        <v/>
      </c>
      <c r="JN12">
        <f>JN11*IF(OR($C11=174,$G11=174),0,1)</f>
        <v/>
      </c>
      <c r="JO12">
        <f>JO11*IF(OR($C11=175,$G11=175),0,1)</f>
        <v/>
      </c>
      <c r="JP12">
        <f>JP11*IF(OR($C11=176,$G11=176),0,1)</f>
        <v/>
      </c>
      <c r="JQ12">
        <f>JQ11*IF(OR($C11=177,$G11=177),0,1)</f>
        <v/>
      </c>
      <c r="JR12">
        <f>JR11*IF(OR($C11=178,$G11=178),0,1)</f>
        <v/>
      </c>
      <c r="JS12">
        <f>JS11*IF(OR($C11=179,$G11=179),0,1)</f>
        <v/>
      </c>
      <c r="JT12">
        <f>JT11*IF(OR($C11=180,$G11=180),0,1)</f>
        <v/>
      </c>
      <c r="JU12">
        <f>JU11*IF(OR($C11=181,$G11=181),0,1)</f>
        <v/>
      </c>
      <c r="JV12">
        <f>JV11*IF(OR($C11=182,$G11=182),0,1)</f>
        <v/>
      </c>
      <c r="JW12">
        <f>JW11*IF(OR($C11=183,$G11=183),0,1)</f>
        <v/>
      </c>
      <c r="JX12">
        <f>JX11*IF(OR($C11=184,$G11=184),0,1)</f>
        <v/>
      </c>
      <c r="JY12">
        <f>JY11*IF(OR($C11=185,$G11=185),0,1)</f>
        <v/>
      </c>
      <c r="JZ12">
        <f>JZ11*IF(OR($C11=186,$G11=186),0,1)</f>
        <v/>
      </c>
      <c r="KA12">
        <f>KA11*IF(OR($C11=187,$G11=187),0,1)</f>
        <v/>
      </c>
      <c r="KB12">
        <f>KB11*IF(OR($C11=188,$G11=188),0,1)</f>
        <v/>
      </c>
      <c r="KC12">
        <f>KC11*IF(OR($C11=189,$G11=189),0,1)</f>
        <v/>
      </c>
      <c r="KD12">
        <f>KD11*IF(OR($C11=190,$G11=190),0,1)</f>
        <v/>
      </c>
      <c r="KE12">
        <f>KE11*IF(OR($C11=191,$G11=191),0,1)</f>
        <v/>
      </c>
      <c r="KF12">
        <f>KF11*IF(OR($C11=192,$G11=192),0,1)</f>
        <v/>
      </c>
      <c r="KG12">
        <f>KG11*IF(OR($C11=193,$G11=193),0,1)</f>
        <v/>
      </c>
      <c r="KH12">
        <f>KH11*IF(OR($C11=194,$G11=194),0,1)</f>
        <v/>
      </c>
      <c r="KI12">
        <f>KI11*IF(OR($C11=195,$G11=195),0,1)</f>
        <v/>
      </c>
      <c r="KJ12">
        <f>KJ11*IF(OR($C11=196,$G11=196),0,1)</f>
        <v/>
      </c>
      <c r="KK12">
        <f>KK11*IF(OR($C11=197,$G11=197),0,1)</f>
        <v/>
      </c>
      <c r="KL12">
        <f>KL11*IF(OR($C11=198,$G11=198),0,1)</f>
        <v/>
      </c>
      <c r="KM12">
        <f>KM11*IF(OR($C11=199,$G11=199),0,1)</f>
        <v/>
      </c>
      <c r="KN12">
        <f>KN11*IF(OR($C11=200,$G11=200),0,1)</f>
        <v/>
      </c>
      <c r="KO12">
        <f>KO11*IF(OR($C11=201,$G11=201),0,1)</f>
        <v/>
      </c>
      <c r="KP12">
        <f>KP11*IF(OR($C11=202,$G11=202),0,1)</f>
        <v/>
      </c>
      <c r="KQ12">
        <f>KQ11*IF(OR($C11=203,$G11=203),0,1)</f>
        <v/>
      </c>
      <c r="KR12">
        <f>KR11*IF(OR($C11=204,$G11=204),0,1)</f>
        <v/>
      </c>
      <c r="KS12">
        <f>KS11*IF(OR($C11=205,$G11=205),0,1)</f>
        <v/>
      </c>
      <c r="KT12">
        <f>KT11*IF(OR($C11=206,$G11=206),0,1)</f>
        <v/>
      </c>
      <c r="KU12">
        <f>KU11*IF(OR($C11=207,$G11=207),0,1)</f>
        <v/>
      </c>
      <c r="KV12">
        <f>KV11*IF(OR($C11=208,$G11=208),0,1)</f>
        <v/>
      </c>
      <c r="KW12">
        <f>KW11*IF(OR($C11=209,$G11=209),0,1)</f>
        <v/>
      </c>
      <c r="KX12">
        <f>KX11*IF(OR($C11=210,$G11=210),0,1)</f>
        <v/>
      </c>
      <c r="KY12">
        <f>KY11*IF(OR($C11=211,$G11=211),0,1)</f>
        <v/>
      </c>
      <c r="KZ12">
        <f>KZ11*IF(OR($C11=212,$G11=212),0,1)</f>
        <v/>
      </c>
      <c r="LA12">
        <f>LA11*IF(OR($C11=213,$G11=213),0,1)</f>
        <v/>
      </c>
      <c r="LB12">
        <f>LB11*IF(OR($C11=214,$G11=214),0,1)</f>
        <v/>
      </c>
      <c r="LC12">
        <f>LC11*IF(OR($C11=215,$G11=215),0,1)</f>
        <v/>
      </c>
      <c r="LD12">
        <f>LD11*IF(OR($C11=216,$G11=216),0,1)</f>
        <v/>
      </c>
      <c r="LE12">
        <f>LE11*IF(OR($C11=217,$G11=217),0,1)</f>
        <v/>
      </c>
      <c r="LF12">
        <f>LF11*IF(OR($C11=218,$G11=218),0,1)</f>
        <v/>
      </c>
      <c r="LG12">
        <f>LG11*IF(OR($C11=219,$G11=219),0,1)</f>
        <v/>
      </c>
      <c r="LH12">
        <f>LH11*IF(OR($C11=220,$G11=220),0,1)</f>
        <v/>
      </c>
      <c r="LI12">
        <f>LI11*IF(OR($C11=221,$G11=221),0,1)</f>
        <v/>
      </c>
      <c r="LJ12">
        <f>LJ11*IF(OR($C11=222,$G11=222),0,1)</f>
        <v/>
      </c>
      <c r="LK12">
        <f>LK11*IF(OR($C11=223,$G11=223),0,1)</f>
        <v/>
      </c>
      <c r="LL12">
        <f>LL11*IF(OR($C11=224,$G11=224),0,1)</f>
        <v/>
      </c>
      <c r="LM12">
        <f>LM11*IF(OR($C11=225,$G11=225),0,1)</f>
        <v/>
      </c>
      <c r="LN12">
        <f>LN11*IF(OR($C11=226,$G11=226),0,1)</f>
        <v/>
      </c>
      <c r="LO12">
        <f>LO11*IF(OR($C11=227,$G11=227),0,1)</f>
        <v/>
      </c>
      <c r="LP12">
        <f>LP11*IF(OR($C11=228,$G11=228),0,1)</f>
        <v/>
      </c>
      <c r="LQ12">
        <f>LQ11*IF(OR($C11=229,$G11=229),0,1)</f>
        <v/>
      </c>
      <c r="LR12">
        <f>LR11*IF(OR($C11=230,$G11=230),0,1)</f>
        <v/>
      </c>
      <c r="LS12">
        <f>LS11*IF(OR($C11=231,$G11=231),0,1)</f>
        <v/>
      </c>
      <c r="LT12">
        <f>LT11*IF(OR($C11=232,$G11=232),0,1)</f>
        <v/>
      </c>
      <c r="LU12">
        <f>LU11*IF(OR($C11=233,$G11=233),0,1)</f>
        <v/>
      </c>
      <c r="LV12">
        <f>LV11*IF(OR($C11=234,$G11=234),0,1)</f>
        <v/>
      </c>
      <c r="LW12">
        <f>LW11*IF(OR($C11=235,$G11=235),0,1)</f>
        <v/>
      </c>
      <c r="LX12">
        <f>LX11*IF(OR($C11=236,$G11=236),0,1)</f>
        <v/>
      </c>
      <c r="LY12">
        <f>LY11*IF(OR($C11=237,$G11=237),0,1)</f>
        <v/>
      </c>
      <c r="LZ12">
        <f>LZ11*IF(OR($C11=238,$G11=238),0,1)</f>
        <v/>
      </c>
      <c r="MA12">
        <f>MA11*IF(OR($C11=239,$G11=239),0,1)</f>
        <v/>
      </c>
      <c r="MB12">
        <f>MB11*IF(OR($C11=240,$G11=240),0,1)</f>
        <v/>
      </c>
      <c r="MD12">
        <f>IF('計算A'!D$106=1,CX12,1)</f>
        <v/>
      </c>
      <c r="ME12">
        <f>IF('計算A'!E$106=1,CY12,1)</f>
        <v/>
      </c>
      <c r="MF12">
        <f>IF('計算A'!F$106=1,CZ12,1)</f>
        <v/>
      </c>
      <c r="MG12">
        <f>IF('計算A'!G$106=1,DA12,1)</f>
        <v/>
      </c>
      <c r="MH12">
        <f>IF('計算A'!H$106=1,DB12,1)</f>
        <v/>
      </c>
      <c r="MI12">
        <f>IF('計算A'!I$106=1,DC12,1)</f>
        <v/>
      </c>
      <c r="MJ12">
        <f>IF('計算A'!J$106=1,DD12,1)</f>
        <v/>
      </c>
      <c r="MK12">
        <f>IF('計算A'!K$106=1,DE12,1)</f>
        <v/>
      </c>
      <c r="ML12">
        <f>IF('計算A'!L$106=1,DF12,1)</f>
        <v/>
      </c>
      <c r="MM12">
        <f>IF('計算A'!M$106=1,DG12,1)</f>
        <v/>
      </c>
      <c r="MN12">
        <f>IF('計算A'!N$106=1,DH12,1)</f>
        <v/>
      </c>
      <c r="MO12">
        <f>IF('計算A'!O$106=1,DI12,1)</f>
        <v/>
      </c>
      <c r="MP12">
        <f>IF('計算A'!P$106=1,DJ12,1)</f>
        <v/>
      </c>
      <c r="MQ12">
        <f>IF('計算A'!Q$106=1,DK12,1)</f>
        <v/>
      </c>
      <c r="MR12">
        <f>IF('計算A'!R$106=1,DL12,1)</f>
        <v/>
      </c>
      <c r="MS12">
        <f>IF('計算A'!S$106=1,DM12,1)</f>
        <v/>
      </c>
      <c r="MT12">
        <f>IF('計算A'!T$106=1,DN12,1)</f>
        <v/>
      </c>
      <c r="MU12">
        <f>IF('計算A'!U$106=1,DO12,1)</f>
        <v/>
      </c>
      <c r="MV12">
        <f>IF('計算A'!V$106=1,DP12,1)</f>
        <v/>
      </c>
      <c r="MW12">
        <f>IF('計算A'!W$106=1,DQ12,1)</f>
        <v/>
      </c>
      <c r="MX12">
        <f>IF('計算A'!X$106=1,DR12,1)</f>
        <v/>
      </c>
      <c r="MY12">
        <f>IF('計算A'!Y$106=1,DS12,1)</f>
        <v/>
      </c>
      <c r="MZ12">
        <f>IF('計算A'!Z$106=1,DT12,1)</f>
        <v/>
      </c>
      <c r="NA12">
        <f>IF('計算A'!AA$106=1,DU12,1)</f>
        <v/>
      </c>
      <c r="NB12">
        <f>IF('計算A'!AB$106=1,DV12,1)</f>
        <v/>
      </c>
      <c r="NC12">
        <f>IF('計算A'!AC$106=1,DW12,1)</f>
        <v/>
      </c>
      <c r="ND12">
        <f>IF('計算A'!AD$106=1,DX12,1)</f>
        <v/>
      </c>
      <c r="NE12">
        <f>IF('計算A'!AE$106=1,DY12,1)</f>
        <v/>
      </c>
      <c r="NF12">
        <f>IF('計算A'!AF$106=1,DZ12,1)</f>
        <v/>
      </c>
      <c r="NG12">
        <f>IF('計算A'!AG$106=1,EA12,1)</f>
        <v/>
      </c>
      <c r="NH12">
        <f>IF('計算A'!AH$106=1,EB12,1)</f>
        <v/>
      </c>
      <c r="NI12">
        <f>IF('計算A'!AI$106=1,EC12,1)</f>
        <v/>
      </c>
      <c r="NJ12">
        <f>IF('計算A'!AJ$106=1,ED12,1)</f>
        <v/>
      </c>
      <c r="NK12">
        <f>IF('計算A'!AK$106=1,EE12,1)</f>
        <v/>
      </c>
      <c r="NL12">
        <f>IF('計算A'!AL$106=1,EF12,1)</f>
        <v/>
      </c>
      <c r="NM12">
        <f>IF('計算A'!AM$106=1,EG12,1)</f>
        <v/>
      </c>
      <c r="NN12">
        <f>IF('計算A'!AN$106=1,EH12,1)</f>
        <v/>
      </c>
      <c r="NO12">
        <f>IF('計算A'!AO$106=1,EI12,1)</f>
        <v/>
      </c>
      <c r="NP12">
        <f>IF('計算A'!AP$106=1,EJ12,1)</f>
        <v/>
      </c>
      <c r="NQ12">
        <f>IF('計算A'!AQ$106=1,EK12,1)</f>
        <v/>
      </c>
      <c r="NR12">
        <f>IF('計算A'!AR$106=1,EL12,1)</f>
        <v/>
      </c>
      <c r="NS12">
        <f>IF('計算A'!AS$106=1,EM12,1)</f>
        <v/>
      </c>
      <c r="NT12">
        <f>IF('計算A'!AT$106=1,EN12,1)</f>
        <v/>
      </c>
      <c r="NU12">
        <f>IF('計算A'!AU$106=1,EO12,1)</f>
        <v/>
      </c>
      <c r="NV12">
        <f>IF('計算A'!AV$106=1,EP12,1)</f>
        <v/>
      </c>
      <c r="NW12">
        <f>IF('計算A'!AW$106=1,EQ12,1)</f>
        <v/>
      </c>
      <c r="NX12">
        <f>IF('計算A'!AX$106=1,ER12,1)</f>
        <v/>
      </c>
      <c r="NY12">
        <f>IF('計算A'!AY$106=1,ES12,1)</f>
        <v/>
      </c>
      <c r="NZ12">
        <f>IF('計算A'!AZ$106=1,ET12,1)</f>
        <v/>
      </c>
      <c r="OA12">
        <f>IF('計算A'!BA$106=1,EU12,1)</f>
        <v/>
      </c>
      <c r="OB12">
        <f>IF('計算A'!BB$106=1,EV12,1)</f>
        <v/>
      </c>
      <c r="OC12">
        <f>IF('計算A'!BC$106=1,EW12,1)</f>
        <v/>
      </c>
      <c r="OD12">
        <f>IF('計算A'!BD$106=1,EX12,1)</f>
        <v/>
      </c>
      <c r="OE12">
        <f>IF('計算A'!BE$106=1,EY12,1)</f>
        <v/>
      </c>
      <c r="OF12">
        <f>IF('計算A'!BF$106=1,EZ12,1)</f>
        <v/>
      </c>
      <c r="OG12">
        <f>IF('計算A'!BG$106=1,FA12,1)</f>
        <v/>
      </c>
      <c r="OH12">
        <f>IF('計算A'!BH$106=1,FB12,1)</f>
        <v/>
      </c>
      <c r="OI12">
        <f>IF('計算A'!BI$106=1,FC12,1)</f>
        <v/>
      </c>
      <c r="OJ12">
        <f>IF('計算A'!BJ$106=1,FD12,1)</f>
        <v/>
      </c>
      <c r="OK12">
        <f>IF('計算A'!BK$106=1,FE12,1)</f>
        <v/>
      </c>
      <c r="OL12">
        <f>IF('計算A'!BL$106=1,FF12,1)</f>
        <v/>
      </c>
      <c r="OM12">
        <f>IF('計算A'!BM$106=1,FG12,1)</f>
        <v/>
      </c>
      <c r="ON12">
        <f>IF('計算A'!BN$106=1,FH12,1)</f>
        <v/>
      </c>
      <c r="OO12">
        <f>IF('計算A'!BO$106=1,FI12,1)</f>
        <v/>
      </c>
      <c r="OP12">
        <f>IF('計算A'!BP$106=1,FJ12,1)</f>
        <v/>
      </c>
      <c r="OQ12">
        <f>IF('計算A'!BQ$106=1,FK12,1)</f>
        <v/>
      </c>
      <c r="OR12">
        <f>IF('計算A'!BR$106=1,FL12,1)</f>
        <v/>
      </c>
      <c r="OS12">
        <f>IF('計算A'!BS$106=1,FM12,1)</f>
        <v/>
      </c>
      <c r="OT12">
        <f>IF('計算A'!BT$106=1,FN12,1)</f>
        <v/>
      </c>
      <c r="OU12">
        <f>IF('計算A'!BU$106=1,FO12,1)</f>
        <v/>
      </c>
      <c r="OV12">
        <f>IF('計算A'!BV$106=1,FP12,1)</f>
        <v/>
      </c>
      <c r="OW12">
        <f>IF('計算A'!BW$106=1,FQ12,1)</f>
        <v/>
      </c>
      <c r="OX12">
        <f>IF('計算A'!BX$106=1,FR12,1)</f>
        <v/>
      </c>
      <c r="OY12">
        <f>IF('計算A'!BY$106=1,FS12,1)</f>
        <v/>
      </c>
      <c r="OZ12">
        <f>IF('計算A'!BZ$106=1,FT12,1)</f>
        <v/>
      </c>
      <c r="PA12">
        <f>IF('計算A'!CA$106=1,FU12,1)</f>
        <v/>
      </c>
      <c r="PB12">
        <f>IF('計算A'!CB$106=1,FV12,1)</f>
        <v/>
      </c>
      <c r="PC12">
        <f>IF('計算A'!CC$106=1,FW12,1)</f>
        <v/>
      </c>
      <c r="PD12">
        <f>IF('計算A'!CD$106=1,FX12,1)</f>
        <v/>
      </c>
      <c r="PE12">
        <f>IF('計算A'!CE$106=1,FY12,1)</f>
        <v/>
      </c>
      <c r="PF12">
        <f>IF('計算A'!CF$106=1,FZ12,1)</f>
        <v/>
      </c>
      <c r="PG12">
        <f>IF('計算A'!CG$106=1,GA12,1)</f>
        <v/>
      </c>
      <c r="PH12">
        <f>IF('計算A'!CH$106=1,GB12,1)</f>
        <v/>
      </c>
      <c r="PI12">
        <f>IF('計算A'!CI$106=1,GC12,1)</f>
        <v/>
      </c>
      <c r="PJ12">
        <f>IF('計算A'!CJ$106=1,GD12,1)</f>
        <v/>
      </c>
      <c r="PK12">
        <f>IF('計算A'!CK$106=1,GE12,1)</f>
        <v/>
      </c>
      <c r="PL12">
        <f>IF('計算A'!CL$106=1,GF12,1)</f>
        <v/>
      </c>
      <c r="PM12">
        <f>IF('計算A'!CM$106=1,GG12,1)</f>
        <v/>
      </c>
      <c r="PN12">
        <f>IF('計算A'!CN$106=1,GH12,1)</f>
        <v/>
      </c>
      <c r="PO12">
        <f>IF('計算A'!CO$106=1,GI12,1)</f>
        <v/>
      </c>
      <c r="PP12">
        <f>IF('計算A'!CP$106=1,GJ12,1)</f>
        <v/>
      </c>
      <c r="PQ12">
        <f>IF('計算A'!CQ$106=1,GK12,1)</f>
        <v/>
      </c>
      <c r="PR12">
        <f>IF('計算A'!CR$106=1,GL12,1)</f>
        <v/>
      </c>
      <c r="PS12">
        <f>IF('計算A'!CS$106=1,GM12,1)</f>
        <v/>
      </c>
      <c r="PT12">
        <f>IF('計算A'!CT$106=1,GN12,1)</f>
        <v/>
      </c>
      <c r="PU12">
        <f>IF('計算A'!CU$106=1,GO12,1)</f>
        <v/>
      </c>
      <c r="PV12">
        <f>IF('計算A'!CV$106=1,GP12,1)</f>
        <v/>
      </c>
      <c r="PW12">
        <f>IF('計算A'!CW$106=1,GQ12,1)</f>
        <v/>
      </c>
      <c r="PX12">
        <f>IF('計算A'!CX$106=1,GR12,1)</f>
        <v/>
      </c>
      <c r="PY12">
        <f>IF('計算A'!CY$106=1,GS12,1)</f>
        <v/>
      </c>
      <c r="PZ12">
        <f>IF('計算A'!CZ$106=1,GT12,1)</f>
        <v/>
      </c>
      <c r="QA12">
        <f>IF('計算A'!DA$106=1,GU12,1)</f>
        <v/>
      </c>
      <c r="QB12">
        <f>IF('計算A'!DB$106=1,GV12,1)</f>
        <v/>
      </c>
      <c r="QC12">
        <f>IF('計算A'!DC$106=1,GW12,1)</f>
        <v/>
      </c>
      <c r="QD12">
        <f>IF('計算A'!DD$106=1,GX12,1)</f>
        <v/>
      </c>
      <c r="QE12">
        <f>IF('計算A'!DE$106=1,GY12,1)</f>
        <v/>
      </c>
      <c r="QF12">
        <f>IF('計算A'!DF$106=1,GZ12,1)</f>
        <v/>
      </c>
      <c r="QG12">
        <f>IF('計算A'!DG$106=1,HA12,1)</f>
        <v/>
      </c>
      <c r="QH12">
        <f>IF('計算A'!DH$106=1,HB12,1)</f>
        <v/>
      </c>
      <c r="QI12">
        <f>IF('計算A'!DI$106=1,HC12,1)</f>
        <v/>
      </c>
      <c r="QJ12">
        <f>IF('計算A'!DJ$106=1,HD12,1)</f>
        <v/>
      </c>
      <c r="QK12">
        <f>IF('計算A'!DK$106=1,HE12,1)</f>
        <v/>
      </c>
      <c r="QL12">
        <f>IF('計算A'!DL$106=1,HF12,1)</f>
        <v/>
      </c>
      <c r="QM12">
        <f>IF('計算A'!DM$106=1,HG12,1)</f>
        <v/>
      </c>
      <c r="QN12">
        <f>IF('計算A'!DN$106=1,HH12,1)</f>
        <v/>
      </c>
      <c r="QO12">
        <f>IF('計算A'!DO$106=1,HI12,1)</f>
        <v/>
      </c>
      <c r="QP12">
        <f>IF('計算A'!DP$106=1,HJ12,1)</f>
        <v/>
      </c>
      <c r="QQ12">
        <f>IF('計算A'!DQ$106=1,HK12,1)</f>
        <v/>
      </c>
      <c r="QR12">
        <f>IF('計算A'!DR$106=1,HL12,1)</f>
        <v/>
      </c>
      <c r="QS12">
        <f>IF('計算A'!DS$106=1,HM12,1)</f>
        <v/>
      </c>
      <c r="QT12">
        <f>IF('計算A'!DT$106=1,HN12,1)</f>
        <v/>
      </c>
      <c r="QU12">
        <f>IF('計算A'!DU$106=1,HO12,1)</f>
        <v/>
      </c>
      <c r="QV12">
        <f>IF('計算A'!DV$106=1,HP12,1)</f>
        <v/>
      </c>
      <c r="QW12">
        <f>IF('計算A'!DW$106=1,HQ12,1)</f>
        <v/>
      </c>
      <c r="QX12">
        <f>IF('計算A'!DX$106=1,HR12,1)</f>
        <v/>
      </c>
      <c r="QY12">
        <f>IF('計算A'!DY$106=1,HS12,1)</f>
        <v/>
      </c>
      <c r="QZ12">
        <f>IF('計算A'!DZ$106=1,HT12,1)</f>
        <v/>
      </c>
      <c r="RA12">
        <f>IF('計算A'!EA$106=1,HU12,1)</f>
        <v/>
      </c>
      <c r="RB12">
        <f>IF('計算A'!EB$106=1,HV12,1)</f>
        <v/>
      </c>
      <c r="RC12">
        <f>IF('計算A'!EC$106=1,HW12,1)</f>
        <v/>
      </c>
      <c r="RD12">
        <f>IF('計算A'!ED$106=1,HX12,1)</f>
        <v/>
      </c>
      <c r="RE12">
        <f>IF('計算A'!EE$106=1,HY12,1)</f>
        <v/>
      </c>
      <c r="RF12">
        <f>IF('計算A'!EF$106=1,HZ12,1)</f>
        <v/>
      </c>
      <c r="RG12">
        <f>IF('計算A'!EG$106=1,IA12,1)</f>
        <v/>
      </c>
      <c r="RH12">
        <f>IF('計算A'!EH$106=1,IB12,1)</f>
        <v/>
      </c>
      <c r="RI12">
        <f>IF('計算A'!EI$106=1,IC12,1)</f>
        <v/>
      </c>
      <c r="RJ12">
        <f>IF('計算A'!EJ$106=1,ID12,1)</f>
        <v/>
      </c>
      <c r="RK12">
        <f>IF('計算A'!EK$106=1,IE12,1)</f>
        <v/>
      </c>
      <c r="RL12">
        <f>IF('計算A'!EL$106=1,IF12,1)</f>
        <v/>
      </c>
      <c r="RM12">
        <f>IF('計算A'!EM$106=1,IG12,1)</f>
        <v/>
      </c>
      <c r="RN12">
        <f>IF('計算A'!EN$106=1,IH12,1)</f>
        <v/>
      </c>
      <c r="RO12">
        <f>IF('計算A'!EO$106=1,II12,1)</f>
        <v/>
      </c>
      <c r="RP12">
        <f>IF('計算A'!EP$106=1,IJ12,1)</f>
        <v/>
      </c>
      <c r="RQ12">
        <f>IF('計算A'!EQ$106=1,IK12,1)</f>
        <v/>
      </c>
      <c r="RR12">
        <f>IF('計算A'!ER$106=1,IL12,1)</f>
        <v/>
      </c>
      <c r="RS12">
        <f>IF('計算A'!ES$106=1,IM12,1)</f>
        <v/>
      </c>
      <c r="RT12">
        <f>IF('計算A'!ET$106=1,IN12,1)</f>
        <v/>
      </c>
      <c r="RU12">
        <f>IF('計算A'!EU$106=1,IO12,1)</f>
        <v/>
      </c>
      <c r="RV12">
        <f>IF('計算A'!EV$106=1,IP12,1)</f>
        <v/>
      </c>
      <c r="RW12">
        <f>IF('計算A'!EW$106=1,IQ12,1)</f>
        <v/>
      </c>
      <c r="RX12">
        <f>IF('計算A'!EX$106=1,IR12,1)</f>
        <v/>
      </c>
      <c r="RY12">
        <f>IF('計算A'!EY$106=1,IS12,1)</f>
        <v/>
      </c>
      <c r="RZ12">
        <f>IF('計算A'!EZ$106=1,IT12,1)</f>
        <v/>
      </c>
      <c r="SA12">
        <f>IF('計算A'!FA$106=1,IU12,1)</f>
        <v/>
      </c>
      <c r="SB12">
        <f>IF('計算A'!FB$106=1,IV12,1)</f>
        <v/>
      </c>
      <c r="SC12">
        <f>IF('計算A'!FC$106=1,IW12,1)</f>
        <v/>
      </c>
      <c r="SD12">
        <f>IF('計算A'!FD$106=1,IX12,1)</f>
        <v/>
      </c>
      <c r="SE12">
        <f>IF('計算A'!FE$106=1,IY12,1)</f>
        <v/>
      </c>
      <c r="SF12">
        <f>IF('計算A'!FF$106=1,IZ12,1)</f>
        <v/>
      </c>
      <c r="SG12">
        <f>IF('計算A'!FG$106=1,JA12,1)</f>
        <v/>
      </c>
      <c r="SH12">
        <f>IF('計算A'!FH$106=1,JB12,1)</f>
        <v/>
      </c>
      <c r="SI12">
        <f>IF('計算A'!FI$106=1,JC12,1)</f>
        <v/>
      </c>
      <c r="SJ12">
        <f>IF('計算A'!FJ$106=1,JD12,1)</f>
        <v/>
      </c>
      <c r="SK12">
        <f>IF('計算A'!FK$106=1,JE12,1)</f>
        <v/>
      </c>
      <c r="SL12">
        <f>IF('計算A'!FL$106=1,JF12,1)</f>
        <v/>
      </c>
      <c r="SM12">
        <f>IF('計算A'!FM$106=1,JG12,1)</f>
        <v/>
      </c>
      <c r="SN12">
        <f>IF('計算A'!FN$106=1,JH12,1)</f>
        <v/>
      </c>
      <c r="SO12">
        <f>IF('計算A'!FO$106=1,JI12,1)</f>
        <v/>
      </c>
      <c r="SP12">
        <f>IF('計算A'!FP$106=1,JJ12,1)</f>
        <v/>
      </c>
      <c r="SQ12">
        <f>IF('計算A'!FQ$106=1,JK12,1)</f>
        <v/>
      </c>
      <c r="SR12">
        <f>IF('計算A'!FR$106=1,JL12,1)</f>
        <v/>
      </c>
      <c r="SS12">
        <f>IF('計算A'!FS$106=1,JM12,1)</f>
        <v/>
      </c>
      <c r="ST12">
        <f>IF('計算A'!FT$106=1,JN12,1)</f>
        <v/>
      </c>
      <c r="SU12">
        <f>IF('計算A'!FU$106=1,JO12,1)</f>
        <v/>
      </c>
      <c r="SV12">
        <f>IF('計算A'!FV$106=1,JP12,1)</f>
        <v/>
      </c>
      <c r="SW12">
        <f>IF('計算A'!FW$106=1,JQ12,1)</f>
        <v/>
      </c>
      <c r="SX12">
        <f>IF('計算A'!FX$106=1,JR12,1)</f>
        <v/>
      </c>
      <c r="SY12">
        <f>IF('計算A'!FY$106=1,JS12,1)</f>
        <v/>
      </c>
      <c r="SZ12">
        <f>IF('計算A'!FZ$106=1,JT12,1)</f>
        <v/>
      </c>
      <c r="TA12">
        <f>IF('計算A'!GA$106=1,JU12,1)</f>
        <v/>
      </c>
      <c r="TB12">
        <f>IF('計算A'!GB$106=1,JV12,1)</f>
        <v/>
      </c>
      <c r="TC12">
        <f>IF('計算A'!GC$106=1,JW12,1)</f>
        <v/>
      </c>
      <c r="TD12">
        <f>IF('計算A'!GD$106=1,JX12,1)</f>
        <v/>
      </c>
      <c r="TE12">
        <f>IF('計算A'!GE$106=1,JY12,1)</f>
        <v/>
      </c>
      <c r="TF12">
        <f>IF('計算A'!GF$106=1,JZ12,1)</f>
        <v/>
      </c>
      <c r="TG12">
        <f>IF('計算A'!GG$106=1,KA12,1)</f>
        <v/>
      </c>
      <c r="TH12">
        <f>IF('計算A'!GH$106=1,KB12,1)</f>
        <v/>
      </c>
      <c r="TI12">
        <f>IF('計算A'!GI$106=1,KC12,1)</f>
        <v/>
      </c>
      <c r="TJ12">
        <f>IF('計算A'!GJ$106=1,KD12,1)</f>
        <v/>
      </c>
      <c r="TK12">
        <f>IF('計算A'!GK$106=1,KE12,1)</f>
        <v/>
      </c>
      <c r="TL12">
        <f>IF('計算A'!GL$106=1,KF12,1)</f>
        <v/>
      </c>
      <c r="TM12">
        <f>IF('計算A'!GM$106=1,KG12,1)</f>
        <v/>
      </c>
      <c r="TN12">
        <f>IF('計算A'!GN$106=1,KH12,1)</f>
        <v/>
      </c>
      <c r="TO12">
        <f>IF('計算A'!GO$106=1,KI12,1)</f>
        <v/>
      </c>
      <c r="TP12">
        <f>IF('計算A'!GP$106=1,KJ12,1)</f>
        <v/>
      </c>
      <c r="TQ12">
        <f>IF('計算A'!GQ$106=1,KK12,1)</f>
        <v/>
      </c>
      <c r="TR12">
        <f>IF('計算A'!GR$106=1,KL12,1)</f>
        <v/>
      </c>
      <c r="TS12">
        <f>IF('計算A'!GS$106=1,KM12,1)</f>
        <v/>
      </c>
      <c r="TT12">
        <f>IF('計算A'!GT$106=1,KN12,1)</f>
        <v/>
      </c>
      <c r="TU12">
        <f>IF('計算A'!GU$106=1,KO12,1)</f>
        <v/>
      </c>
      <c r="TV12">
        <f>IF('計算A'!GV$106=1,KP12,1)</f>
        <v/>
      </c>
      <c r="TW12">
        <f>IF('計算A'!GW$106=1,KQ12,1)</f>
        <v/>
      </c>
      <c r="TX12">
        <f>IF('計算A'!GX$106=1,KR12,1)</f>
        <v/>
      </c>
      <c r="TY12">
        <f>IF('計算A'!GY$106=1,KS12,1)</f>
        <v/>
      </c>
      <c r="TZ12">
        <f>IF('計算A'!GZ$106=1,KT12,1)</f>
        <v/>
      </c>
      <c r="UA12">
        <f>IF('計算A'!HA$106=1,KU12,1)</f>
        <v/>
      </c>
      <c r="UB12">
        <f>IF('計算A'!HB$106=1,KV12,1)</f>
        <v/>
      </c>
      <c r="UC12">
        <f>IF('計算A'!HC$106=1,KW12,1)</f>
        <v/>
      </c>
      <c r="UD12">
        <f>IF('計算A'!HD$106=1,KX12,1)</f>
        <v/>
      </c>
      <c r="UE12">
        <f>IF('計算A'!HE$106=1,KY12,1)</f>
        <v/>
      </c>
      <c r="UF12">
        <f>IF('計算A'!HF$106=1,KZ12,1)</f>
        <v/>
      </c>
      <c r="UG12">
        <f>IF('計算A'!HG$106=1,LA12,1)</f>
        <v/>
      </c>
      <c r="UH12">
        <f>IF('計算A'!HH$106=1,LB12,1)</f>
        <v/>
      </c>
      <c r="UI12">
        <f>IF('計算A'!HI$106=1,LC12,1)</f>
        <v/>
      </c>
      <c r="UJ12">
        <f>IF('計算A'!HJ$106=1,LD12,1)</f>
        <v/>
      </c>
      <c r="UK12">
        <f>IF('計算A'!HK$106=1,LE12,1)</f>
        <v/>
      </c>
      <c r="UL12">
        <f>IF('計算A'!HL$106=1,LF12,1)</f>
        <v/>
      </c>
      <c r="UM12">
        <f>IF('計算A'!HM$106=1,LG12,1)</f>
        <v/>
      </c>
      <c r="UN12">
        <f>IF('計算A'!HN$106=1,LH12,1)</f>
        <v/>
      </c>
      <c r="UO12">
        <f>IF('計算A'!HO$106=1,LI12,1)</f>
        <v/>
      </c>
      <c r="UP12">
        <f>IF('計算A'!HP$106=1,LJ12,1)</f>
        <v/>
      </c>
      <c r="UQ12">
        <f>IF('計算A'!HQ$106=1,LK12,1)</f>
        <v/>
      </c>
      <c r="UR12">
        <f>IF('計算A'!HR$106=1,LL12,1)</f>
        <v/>
      </c>
      <c r="US12">
        <f>IF('計算A'!HS$106=1,LM12,1)</f>
        <v/>
      </c>
      <c r="UT12">
        <f>IF('計算A'!HT$106=1,LN12,1)</f>
        <v/>
      </c>
      <c r="UU12">
        <f>IF('計算A'!HU$106=1,LO12,1)</f>
        <v/>
      </c>
      <c r="UV12">
        <f>IF('計算A'!HV$106=1,LP12,1)</f>
        <v/>
      </c>
      <c r="UW12">
        <f>IF('計算A'!HW$106=1,LQ12,1)</f>
        <v/>
      </c>
      <c r="UX12">
        <f>IF('計算A'!HX$106=1,LR12,1)</f>
        <v/>
      </c>
      <c r="UY12">
        <f>IF('計算A'!HY$106=1,LS12,1)</f>
        <v/>
      </c>
      <c r="UZ12">
        <f>IF('計算A'!HZ$106=1,LT12,1)</f>
        <v/>
      </c>
      <c r="VA12">
        <f>IF('計算A'!IA$106=1,LU12,1)</f>
        <v/>
      </c>
      <c r="VB12">
        <f>IF('計算A'!IB$106=1,LV12,1)</f>
        <v/>
      </c>
      <c r="VC12">
        <f>IF('計算A'!IC$106=1,LW12,1)</f>
        <v/>
      </c>
      <c r="VD12">
        <f>IF('計算A'!ID$106=1,LX12,1)</f>
        <v/>
      </c>
      <c r="VE12">
        <f>IF('計算A'!IE$106=1,LY12,1)</f>
        <v/>
      </c>
      <c r="VF12">
        <f>IF('計算A'!IF$106=1,LZ12,1)</f>
        <v/>
      </c>
      <c r="VG12">
        <f>IF('計算A'!IG$106=1,MA12,1)</f>
        <v/>
      </c>
      <c r="VH12">
        <f>IF('計算A'!IH$106=1,MB12,1)</f>
        <v/>
      </c>
      <c r="VI12" t="n">
        <v>1</v>
      </c>
      <c r="VK12">
        <f>IF($B12=0,1000000,IF(INDEX('計算A'!$D$60:$II$104,$B12,1)*CW12=1,IF(AND($E12=2,MD12=0),1000000,INDEX('計算A'!D$110:D$114,$F12+1)+IF(AND($E12=1,MD12=0),1000,0)),1000000))</f>
        <v/>
      </c>
      <c r="VL12">
        <f>IF($B12=0,1000000,IF(INDEX('計算A'!$D$60:$II$104,$B12,2)*CX12=1,IF(AND($E12=2,ME12=0),1000000,INDEX('計算A'!E$110:E$114,$F12+1)+IF(AND($E12=1,ME12=0),1000,0)),1000000))</f>
        <v/>
      </c>
      <c r="VM12">
        <f>IF($B12=0,1000000,IF(INDEX('計算A'!$D$60:$II$104,$B12,3)*CY12=1,IF(AND($E12=2,MF12=0),1000000,INDEX('計算A'!F$110:F$114,$F12+1)+IF(AND($E12=1,MF12=0),1000,0)),1000000))</f>
        <v/>
      </c>
      <c r="VN12">
        <f>IF($B12=0,1000000,IF(INDEX('計算A'!$D$60:$II$104,$B12,4)*CZ12=1,IF(AND($E12=2,MG12=0),1000000,INDEX('計算A'!G$110:G$114,$F12+1)+IF(AND($E12=1,MG12=0),1000,0)),1000000))</f>
        <v/>
      </c>
      <c r="VO12">
        <f>IF($B12=0,1000000,IF(INDEX('計算A'!$D$60:$II$104,$B12,5)*DA12=1,IF(AND($E12=2,MH12=0),1000000,INDEX('計算A'!H$110:H$114,$F12+1)+IF(AND($E12=1,MH12=0),1000,0)),1000000))</f>
        <v/>
      </c>
      <c r="VP12">
        <f>IF($B12=0,1000000,IF(INDEX('計算A'!$D$60:$II$104,$B12,6)*DB12=1,IF(AND($E12=2,MI12=0),1000000,INDEX('計算A'!I$110:I$114,$F12+1)+IF(AND($E12=1,MI12=0),1000,0)),1000000))</f>
        <v/>
      </c>
      <c r="VQ12">
        <f>IF($B12=0,1000000,IF(INDEX('計算A'!$D$60:$II$104,$B12,7)*DC12=1,IF(AND($E12=2,MJ12=0),1000000,INDEX('計算A'!J$110:J$114,$F12+1)+IF(AND($E12=1,MJ12=0),1000,0)),1000000))</f>
        <v/>
      </c>
      <c r="VR12">
        <f>IF($B12=0,1000000,IF(INDEX('計算A'!$D$60:$II$104,$B12,8)*DD12=1,IF(AND($E12=2,MK12=0),1000000,INDEX('計算A'!K$110:K$114,$F12+1)+IF(AND($E12=1,MK12=0),1000,0)),1000000))</f>
        <v/>
      </c>
      <c r="VS12">
        <f>IF($B12=0,1000000,IF(INDEX('計算A'!$D$60:$II$104,$B12,9)*DE12=1,IF(AND($E12=2,ML12=0),1000000,INDEX('計算A'!L$110:L$114,$F12+1)+IF(AND($E12=1,ML12=0),1000,0)),1000000))</f>
        <v/>
      </c>
      <c r="VT12">
        <f>IF($B12=0,1000000,IF(INDEX('計算A'!$D$60:$II$104,$B12,10)*DF12=1,IF(AND($E12=2,MM12=0),1000000,INDEX('計算A'!M$110:M$114,$F12+1)+IF(AND($E12=1,MM12=0),1000,0)),1000000))</f>
        <v/>
      </c>
      <c r="VU12">
        <f>IF($B12=0,1000000,IF(INDEX('計算A'!$D$60:$II$104,$B12,11)*DG12=1,IF(AND($E12=2,MN12=0),1000000,INDEX('計算A'!N$110:N$114,$F12+1)+IF(AND($E12=1,MN12=0),1000,0)),1000000))</f>
        <v/>
      </c>
      <c r="VV12">
        <f>IF($B12=0,1000000,IF(INDEX('計算A'!$D$60:$II$104,$B12,12)*DH12=1,IF(AND($E12=2,MO12=0),1000000,INDEX('計算A'!O$110:O$114,$F12+1)+IF(AND($E12=1,MO12=0),1000,0)),1000000))</f>
        <v/>
      </c>
      <c r="VW12">
        <f>IF($B12=0,1000000,IF(INDEX('計算A'!$D$60:$II$104,$B12,13)*DI12=1,IF(AND($E12=2,MP12=0),1000000,INDEX('計算A'!P$110:P$114,$F12+1)+IF(AND($E12=1,MP12=0),1000,0)),1000000))</f>
        <v/>
      </c>
      <c r="VX12">
        <f>IF($B12=0,1000000,IF(INDEX('計算A'!$D$60:$II$104,$B12,14)*DJ12=1,IF(AND($E12=2,MQ12=0),1000000,INDEX('計算A'!Q$110:Q$114,$F12+1)+IF(AND($E12=1,MQ12=0),1000,0)),1000000))</f>
        <v/>
      </c>
      <c r="VY12">
        <f>IF($B12=0,1000000,IF(INDEX('計算A'!$D$60:$II$104,$B12,15)*DK12=1,IF(AND($E12=2,MR12=0),1000000,INDEX('計算A'!R$110:R$114,$F12+1)+IF(AND($E12=1,MR12=0),1000,0)),1000000))</f>
        <v/>
      </c>
      <c r="VZ12">
        <f>IF($B12=0,1000000,IF(INDEX('計算A'!$D$60:$II$104,$B12,16)*DL12=1,IF(AND($E12=2,MS12=0),1000000,INDEX('計算A'!S$110:S$114,$F12+1)+IF(AND($E12=1,MS12=0),1000,0)),1000000))</f>
        <v/>
      </c>
      <c r="WA12">
        <f>IF($B12=0,1000000,IF(INDEX('計算A'!$D$60:$II$104,$B12,17)*DM12=1,IF(AND($E12=2,MT12=0),1000000,INDEX('計算A'!T$110:T$114,$F12+1)+IF(AND($E12=1,MT12=0),1000,0)),1000000))</f>
        <v/>
      </c>
      <c r="WB12">
        <f>IF($B12=0,1000000,IF(INDEX('計算A'!$D$60:$II$104,$B12,18)*DN12=1,IF(AND($E12=2,MU12=0),1000000,INDEX('計算A'!U$110:U$114,$F12+1)+IF(AND($E12=1,MU12=0),1000,0)),1000000))</f>
        <v/>
      </c>
      <c r="WC12">
        <f>IF($B12=0,1000000,IF(INDEX('計算A'!$D$60:$II$104,$B12,19)*DO12=1,IF(AND($E12=2,MV12=0),1000000,INDEX('計算A'!V$110:V$114,$F12+1)+IF(AND($E12=1,MV12=0),1000,0)),1000000))</f>
        <v/>
      </c>
      <c r="WD12">
        <f>IF($B12=0,1000000,IF(INDEX('計算A'!$D$60:$II$104,$B12,20)*DP12=1,IF(AND($E12=2,MW12=0),1000000,INDEX('計算A'!W$110:W$114,$F12+1)+IF(AND($E12=1,MW12=0),1000,0)),1000000))</f>
        <v/>
      </c>
      <c r="WE12">
        <f>IF($B12=0,1000000,IF(INDEX('計算A'!$D$60:$II$104,$B12,21)*DQ12=1,IF(AND($E12=2,MX12=0),1000000,INDEX('計算A'!X$110:X$114,$F12+1)+IF(AND($E12=1,MX12=0),1000,0)),1000000))</f>
        <v/>
      </c>
      <c r="WF12">
        <f>IF($B12=0,1000000,IF(INDEX('計算A'!$D$60:$II$104,$B12,22)*DR12=1,IF(AND($E12=2,MY12=0),1000000,INDEX('計算A'!Y$110:Y$114,$F12+1)+IF(AND($E12=1,MY12=0),1000,0)),1000000))</f>
        <v/>
      </c>
      <c r="WG12">
        <f>IF($B12=0,1000000,IF(INDEX('計算A'!$D$60:$II$104,$B12,23)*DS12=1,IF(AND($E12=2,MZ12=0),1000000,INDEX('計算A'!Z$110:Z$114,$F12+1)+IF(AND($E12=1,MZ12=0),1000,0)),1000000))</f>
        <v/>
      </c>
      <c r="WH12">
        <f>IF($B12=0,1000000,IF(INDEX('計算A'!$D$60:$II$104,$B12,24)*DT12=1,IF(AND($E12=2,NA12=0),1000000,INDEX('計算A'!AA$110:AA$114,$F12+1)+IF(AND($E12=1,NA12=0),1000,0)),1000000))</f>
        <v/>
      </c>
      <c r="WI12">
        <f>IF($B12=0,1000000,IF(INDEX('計算A'!$D$60:$II$104,$B12,25)*DU12=1,IF(AND($E12=2,NB12=0),1000000,INDEX('計算A'!AB$110:AB$114,$F12+1)+IF(AND($E12=1,NB12=0),1000,0)),1000000))</f>
        <v/>
      </c>
      <c r="WJ12">
        <f>IF($B12=0,1000000,IF(INDEX('計算A'!$D$60:$II$104,$B12,26)*DV12=1,IF(AND($E12=2,NC12=0),1000000,INDEX('計算A'!AC$110:AC$114,$F12+1)+IF(AND($E12=1,NC12=0),1000,0)),1000000))</f>
        <v/>
      </c>
      <c r="WK12">
        <f>IF($B12=0,1000000,IF(INDEX('計算A'!$D$60:$II$104,$B12,27)*DW12=1,IF(AND($E12=2,ND12=0),1000000,INDEX('計算A'!AD$110:AD$114,$F12+1)+IF(AND($E12=1,ND12=0),1000,0)),1000000))</f>
        <v/>
      </c>
      <c r="WL12">
        <f>IF($B12=0,1000000,IF(INDEX('計算A'!$D$60:$II$104,$B12,28)*DX12=1,IF(AND($E12=2,NE12=0),1000000,INDEX('計算A'!AE$110:AE$114,$F12+1)+IF(AND($E12=1,NE12=0),1000,0)),1000000))</f>
        <v/>
      </c>
      <c r="WM12">
        <f>IF($B12=0,1000000,IF(INDEX('計算A'!$D$60:$II$104,$B12,29)*DY12=1,IF(AND($E12=2,NF12=0),1000000,INDEX('計算A'!AF$110:AF$114,$F12+1)+IF(AND($E12=1,NF12=0),1000,0)),1000000))</f>
        <v/>
      </c>
      <c r="WN12">
        <f>IF($B12=0,1000000,IF(INDEX('計算A'!$D$60:$II$104,$B12,30)*DZ12=1,IF(AND($E12=2,NG12=0),1000000,INDEX('計算A'!AG$110:AG$114,$F12+1)+IF(AND($E12=1,NG12=0),1000,0)),1000000))</f>
        <v/>
      </c>
      <c r="WO12">
        <f>IF($B12=0,1000000,IF(INDEX('計算A'!$D$60:$II$104,$B12,31)*EA12=1,IF(AND($E12=2,NH12=0),1000000,INDEX('計算A'!AH$110:AH$114,$F12+1)+IF(AND($E12=1,NH12=0),1000,0)),1000000))</f>
        <v/>
      </c>
      <c r="WP12">
        <f>IF($B12=0,1000000,IF(INDEX('計算A'!$D$60:$II$104,$B12,32)*EB12=1,IF(AND($E12=2,NI12=0),1000000,INDEX('計算A'!AI$110:AI$114,$F12+1)+IF(AND($E12=1,NI12=0),1000,0)),1000000))</f>
        <v/>
      </c>
      <c r="WQ12">
        <f>IF($B12=0,1000000,IF(INDEX('計算A'!$D$60:$II$104,$B12,33)*EC12=1,IF(AND($E12=2,NJ12=0),1000000,INDEX('計算A'!AJ$110:AJ$114,$F12+1)+IF(AND($E12=1,NJ12=0),1000,0)),1000000))</f>
        <v/>
      </c>
      <c r="WR12">
        <f>IF($B12=0,1000000,IF(INDEX('計算A'!$D$60:$II$104,$B12,34)*ED12=1,IF(AND($E12=2,NK12=0),1000000,INDEX('計算A'!AK$110:AK$114,$F12+1)+IF(AND($E12=1,NK12=0),1000,0)),1000000))</f>
        <v/>
      </c>
      <c r="WS12">
        <f>IF($B12=0,1000000,IF(INDEX('計算A'!$D$60:$II$104,$B12,35)*EE12=1,IF(AND($E12=2,NL12=0),1000000,INDEX('計算A'!AL$110:AL$114,$F12+1)+IF(AND($E12=1,NL12=0),1000,0)),1000000))</f>
        <v/>
      </c>
      <c r="WT12">
        <f>IF($B12=0,1000000,IF(INDEX('計算A'!$D$60:$II$104,$B12,36)*EF12=1,IF(AND($E12=2,NM12=0),1000000,INDEX('計算A'!AM$110:AM$114,$F12+1)+IF(AND($E12=1,NM12=0),1000,0)),1000000))</f>
        <v/>
      </c>
      <c r="WU12">
        <f>IF($B12=0,1000000,IF(INDEX('計算A'!$D$60:$II$104,$B12,37)*EG12=1,IF(AND($E12=2,NN12=0),1000000,INDEX('計算A'!AN$110:AN$114,$F12+1)+IF(AND($E12=1,NN12=0),1000,0)),1000000))</f>
        <v/>
      </c>
      <c r="WV12">
        <f>IF($B12=0,1000000,IF(INDEX('計算A'!$D$60:$II$104,$B12,38)*EH12=1,IF(AND($E12=2,NO12=0),1000000,INDEX('計算A'!AO$110:AO$114,$F12+1)+IF(AND($E12=1,NO12=0),1000,0)),1000000))</f>
        <v/>
      </c>
      <c r="WW12">
        <f>IF($B12=0,1000000,IF(INDEX('計算A'!$D$60:$II$104,$B12,39)*EI12=1,IF(AND($E12=2,NP12=0),1000000,INDEX('計算A'!AP$110:AP$114,$F12+1)+IF(AND($E12=1,NP12=0),1000,0)),1000000))</f>
        <v/>
      </c>
      <c r="WX12">
        <f>IF($B12=0,1000000,IF(INDEX('計算A'!$D$60:$II$104,$B12,40)*EJ12=1,IF(AND($E12=2,NQ12=0),1000000,INDEX('計算A'!AQ$110:AQ$114,$F12+1)+IF(AND($E12=1,NQ12=0),1000,0)),1000000))</f>
        <v/>
      </c>
      <c r="WY12">
        <f>IF($B12=0,1000000,IF(INDEX('計算A'!$D$60:$II$104,$B12,41)*EK12=1,IF(AND($E12=2,NR12=0),1000000,INDEX('計算A'!AR$110:AR$114,$F12+1)+IF(AND($E12=1,NR12=0),1000,0)),1000000))</f>
        <v/>
      </c>
      <c r="WZ12">
        <f>IF($B12=0,1000000,IF(INDEX('計算A'!$D$60:$II$104,$B12,42)*EL12=1,IF(AND($E12=2,NS12=0),1000000,INDEX('計算A'!AS$110:AS$114,$F12+1)+IF(AND($E12=1,NS12=0),1000,0)),1000000))</f>
        <v/>
      </c>
      <c r="XA12">
        <f>IF($B12=0,1000000,IF(INDEX('計算A'!$D$60:$II$104,$B12,43)*EM12=1,IF(AND($E12=2,NT12=0),1000000,INDEX('計算A'!AT$110:AT$114,$F12+1)+IF(AND($E12=1,NT12=0),1000,0)),1000000))</f>
        <v/>
      </c>
      <c r="XB12">
        <f>IF($B12=0,1000000,IF(INDEX('計算A'!$D$60:$II$104,$B12,44)*EN12=1,IF(AND($E12=2,NU12=0),1000000,INDEX('計算A'!AU$110:AU$114,$F12+1)+IF(AND($E12=1,NU12=0),1000,0)),1000000))</f>
        <v/>
      </c>
      <c r="XC12">
        <f>IF($B12=0,1000000,IF(INDEX('計算A'!$D$60:$II$104,$B12,45)*EO12=1,IF(AND($E12=2,NV12=0),1000000,INDEX('計算A'!AV$110:AV$114,$F12+1)+IF(AND($E12=1,NV12=0),1000,0)),1000000))</f>
        <v/>
      </c>
      <c r="XD12">
        <f>IF($B12=0,1000000,IF(INDEX('計算A'!$D$60:$II$104,$B12,46)*EP12=1,IF(AND($E12=2,NW12=0),1000000,INDEX('計算A'!AW$110:AW$114,$F12+1)+IF(AND($E12=1,NW12=0),1000,0)),1000000))</f>
        <v/>
      </c>
      <c r="XE12">
        <f>IF($B12=0,1000000,IF(INDEX('計算A'!$D$60:$II$104,$B12,47)*EQ12=1,IF(AND($E12=2,NX12=0),1000000,INDEX('計算A'!AX$110:AX$114,$F12+1)+IF(AND($E12=1,NX12=0),1000,0)),1000000))</f>
        <v/>
      </c>
      <c r="XF12">
        <f>IF($B12=0,1000000,IF(INDEX('計算A'!$D$60:$II$104,$B12,48)*ER12=1,IF(AND($E12=2,NY12=0),1000000,INDEX('計算A'!AY$110:AY$114,$F12+1)+IF(AND($E12=1,NY12=0),1000,0)),1000000))</f>
        <v/>
      </c>
      <c r="XG12">
        <f>IF($B12=0,1000000,IF(INDEX('計算A'!$D$60:$II$104,$B12,49)*ES12=1,IF(AND($E12=2,NZ12=0),1000000,INDEX('計算A'!AZ$110:AZ$114,$F12+1)+IF(AND($E12=1,NZ12=0),1000,0)),1000000))</f>
        <v/>
      </c>
      <c r="XH12">
        <f>IF($B12=0,1000000,IF(INDEX('計算A'!$D$60:$II$104,$B12,50)*ET12=1,IF(AND($E12=2,OA12=0),1000000,INDEX('計算A'!BA$110:BA$114,$F12+1)+IF(AND($E12=1,OA12=0),1000,0)),1000000))</f>
        <v/>
      </c>
      <c r="XI12">
        <f>IF($B12=0,1000000,IF(INDEX('計算A'!$D$60:$II$104,$B12,51)*EU12=1,IF(AND($E12=2,OB12=0),1000000,INDEX('計算A'!BB$110:BB$114,$F12+1)+IF(AND($E12=1,OB12=0),1000,0)),1000000))</f>
        <v/>
      </c>
      <c r="XJ12">
        <f>IF($B12=0,1000000,IF(INDEX('計算A'!$D$60:$II$104,$B12,52)*EV12=1,IF(AND($E12=2,OC12=0),1000000,INDEX('計算A'!BC$110:BC$114,$F12+1)+IF(AND($E12=1,OC12=0),1000,0)),1000000))</f>
        <v/>
      </c>
      <c r="XK12">
        <f>IF($B12=0,1000000,IF(INDEX('計算A'!$D$60:$II$104,$B12,53)*EW12=1,IF(AND($E12=2,OD12=0),1000000,INDEX('計算A'!BD$110:BD$114,$F12+1)+IF(AND($E12=1,OD12=0),1000,0)),1000000))</f>
        <v/>
      </c>
      <c r="XL12">
        <f>IF($B12=0,1000000,IF(INDEX('計算A'!$D$60:$II$104,$B12,54)*EX12=1,IF(AND($E12=2,OE12=0),1000000,INDEX('計算A'!BE$110:BE$114,$F12+1)+IF(AND($E12=1,OE12=0),1000,0)),1000000))</f>
        <v/>
      </c>
      <c r="XM12">
        <f>IF($B12=0,1000000,IF(INDEX('計算A'!$D$60:$II$104,$B12,55)*EY12=1,IF(AND($E12=2,OF12=0),1000000,INDEX('計算A'!BF$110:BF$114,$F12+1)+IF(AND($E12=1,OF12=0),1000,0)),1000000))</f>
        <v/>
      </c>
      <c r="XN12">
        <f>IF($B12=0,1000000,IF(INDEX('計算A'!$D$60:$II$104,$B12,56)*EZ12=1,IF(AND($E12=2,OG12=0),1000000,INDEX('計算A'!BG$110:BG$114,$F12+1)+IF(AND($E12=1,OG12=0),1000,0)),1000000))</f>
        <v/>
      </c>
      <c r="XO12">
        <f>IF($B12=0,1000000,IF(INDEX('計算A'!$D$60:$II$104,$B12,57)*FA12=1,IF(AND($E12=2,OH12=0),1000000,INDEX('計算A'!BH$110:BH$114,$F12+1)+IF(AND($E12=1,OH12=0),1000,0)),1000000))</f>
        <v/>
      </c>
      <c r="XP12">
        <f>IF($B12=0,1000000,IF(INDEX('計算A'!$D$60:$II$104,$B12,58)*FB12=1,IF(AND($E12=2,OI12=0),1000000,INDEX('計算A'!BI$110:BI$114,$F12+1)+IF(AND($E12=1,OI12=0),1000,0)),1000000))</f>
        <v/>
      </c>
      <c r="XQ12">
        <f>IF($B12=0,1000000,IF(INDEX('計算A'!$D$60:$II$104,$B12,59)*FC12=1,IF(AND($E12=2,OJ12=0),1000000,INDEX('計算A'!BJ$110:BJ$114,$F12+1)+IF(AND($E12=1,OJ12=0),1000,0)),1000000))</f>
        <v/>
      </c>
      <c r="XR12">
        <f>IF($B12=0,1000000,IF(INDEX('計算A'!$D$60:$II$104,$B12,60)*FD12=1,IF(AND($E12=2,OK12=0),1000000,INDEX('計算A'!BK$110:BK$114,$F12+1)+IF(AND($E12=1,OK12=0),1000,0)),1000000))</f>
        <v/>
      </c>
      <c r="XS12">
        <f>IF($B12=0,1000000,IF(INDEX('計算A'!$D$60:$II$104,$B12,61)*FE12=1,IF(AND($E12=2,OL12=0),1000000,INDEX('計算A'!BL$110:BL$114,$F12+1)+IF(AND($E12=1,OL12=0),1000,0)),1000000))</f>
        <v/>
      </c>
      <c r="XT12">
        <f>IF($B12=0,1000000,IF(INDEX('計算A'!$D$60:$II$104,$B12,62)*FF12=1,IF(AND($E12=2,OM12=0),1000000,INDEX('計算A'!BM$110:BM$114,$F12+1)+IF(AND($E12=1,OM12=0),1000,0)),1000000))</f>
        <v/>
      </c>
      <c r="XU12">
        <f>IF($B12=0,1000000,IF(INDEX('計算A'!$D$60:$II$104,$B12,63)*FG12=1,IF(AND($E12=2,ON12=0),1000000,INDEX('計算A'!BN$110:BN$114,$F12+1)+IF(AND($E12=1,ON12=0),1000,0)),1000000))</f>
        <v/>
      </c>
      <c r="XV12">
        <f>IF($B12=0,1000000,IF(INDEX('計算A'!$D$60:$II$104,$B12,64)*FH12=1,IF(AND($E12=2,OO12=0),1000000,INDEX('計算A'!BO$110:BO$114,$F12+1)+IF(AND($E12=1,OO12=0),1000,0)),1000000))</f>
        <v/>
      </c>
      <c r="XW12">
        <f>IF($B12=0,1000000,IF(INDEX('計算A'!$D$60:$II$104,$B12,65)*FI12=1,IF(AND($E12=2,OP12=0),1000000,INDEX('計算A'!BP$110:BP$114,$F12+1)+IF(AND($E12=1,OP12=0),1000,0)),1000000))</f>
        <v/>
      </c>
      <c r="XX12">
        <f>IF($B12=0,1000000,IF(INDEX('計算A'!$D$60:$II$104,$B12,66)*FJ12=1,IF(AND($E12=2,OQ12=0),1000000,INDEX('計算A'!BQ$110:BQ$114,$F12+1)+IF(AND($E12=1,OQ12=0),1000,0)),1000000))</f>
        <v/>
      </c>
      <c r="XY12">
        <f>IF($B12=0,1000000,IF(INDEX('計算A'!$D$60:$II$104,$B12,67)*FK12=1,IF(AND($E12=2,OR12=0),1000000,INDEX('計算A'!BR$110:BR$114,$F12+1)+IF(AND($E12=1,OR12=0),1000,0)),1000000))</f>
        <v/>
      </c>
      <c r="XZ12">
        <f>IF($B12=0,1000000,IF(INDEX('計算A'!$D$60:$II$104,$B12,68)*FL12=1,IF(AND($E12=2,OS12=0),1000000,INDEX('計算A'!BS$110:BS$114,$F12+1)+IF(AND($E12=1,OS12=0),1000,0)),1000000))</f>
        <v/>
      </c>
      <c r="YA12">
        <f>IF($B12=0,1000000,IF(INDEX('計算A'!$D$60:$II$104,$B12,69)*FM12=1,IF(AND($E12=2,OT12=0),1000000,INDEX('計算A'!BT$110:BT$114,$F12+1)+IF(AND($E12=1,OT12=0),1000,0)),1000000))</f>
        <v/>
      </c>
      <c r="YB12">
        <f>IF($B12=0,1000000,IF(INDEX('計算A'!$D$60:$II$104,$B12,70)*FN12=1,IF(AND($E12=2,OU12=0),1000000,INDEX('計算A'!BU$110:BU$114,$F12+1)+IF(AND($E12=1,OU12=0),1000,0)),1000000))</f>
        <v/>
      </c>
      <c r="YC12">
        <f>IF($B12=0,1000000,IF(INDEX('計算A'!$D$60:$II$104,$B12,71)*FO12=1,IF(AND($E12=2,OV12=0),1000000,INDEX('計算A'!BV$110:BV$114,$F12+1)+IF(AND($E12=1,OV12=0),1000,0)),1000000))</f>
        <v/>
      </c>
      <c r="YD12">
        <f>IF($B12=0,1000000,IF(INDEX('計算A'!$D$60:$II$104,$B12,72)*FP12=1,IF(AND($E12=2,OW12=0),1000000,INDEX('計算A'!BW$110:BW$114,$F12+1)+IF(AND($E12=1,OW12=0),1000,0)),1000000))</f>
        <v/>
      </c>
      <c r="YE12">
        <f>IF($B12=0,1000000,IF(INDEX('計算A'!$D$60:$II$104,$B12,73)*FQ12=1,IF(AND($E12=2,OX12=0),1000000,INDEX('計算A'!BX$110:BX$114,$F12+1)+IF(AND($E12=1,OX12=0),1000,0)),1000000))</f>
        <v/>
      </c>
      <c r="YF12">
        <f>IF($B12=0,1000000,IF(INDEX('計算A'!$D$60:$II$104,$B12,74)*FR12=1,IF(AND($E12=2,OY12=0),1000000,INDEX('計算A'!BY$110:BY$114,$F12+1)+IF(AND($E12=1,OY12=0),1000,0)),1000000))</f>
        <v/>
      </c>
      <c r="YG12">
        <f>IF($B12=0,1000000,IF(INDEX('計算A'!$D$60:$II$104,$B12,75)*FS12=1,IF(AND($E12=2,OZ12=0),1000000,INDEX('計算A'!BZ$110:BZ$114,$F12+1)+IF(AND($E12=1,OZ12=0),1000,0)),1000000))</f>
        <v/>
      </c>
      <c r="YH12">
        <f>IF($B12=0,1000000,IF(INDEX('計算A'!$D$60:$II$104,$B12,76)*FT12=1,IF(AND($E12=2,PA12=0),1000000,INDEX('計算A'!CA$110:CA$114,$F12+1)+IF(AND($E12=1,PA12=0),1000,0)),1000000))</f>
        <v/>
      </c>
      <c r="YI12">
        <f>IF($B12=0,1000000,IF(INDEX('計算A'!$D$60:$II$104,$B12,77)*FU12=1,IF(AND($E12=2,PB12=0),1000000,INDEX('計算A'!CB$110:CB$114,$F12+1)+IF(AND($E12=1,PB12=0),1000,0)),1000000))</f>
        <v/>
      </c>
      <c r="YJ12">
        <f>IF($B12=0,1000000,IF(INDEX('計算A'!$D$60:$II$104,$B12,78)*FV12=1,IF(AND($E12=2,PC12=0),1000000,INDEX('計算A'!CC$110:CC$114,$F12+1)+IF(AND($E12=1,PC12=0),1000,0)),1000000))</f>
        <v/>
      </c>
      <c r="YK12">
        <f>IF($B12=0,1000000,IF(INDEX('計算A'!$D$60:$II$104,$B12,79)*FW12=1,IF(AND($E12=2,PD12=0),1000000,INDEX('計算A'!CD$110:CD$114,$F12+1)+IF(AND($E12=1,PD12=0),1000,0)),1000000))</f>
        <v/>
      </c>
      <c r="YL12">
        <f>IF($B12=0,1000000,IF(INDEX('計算A'!$D$60:$II$104,$B12,80)*FX12=1,IF(AND($E12=2,PE12=0),1000000,INDEX('計算A'!CE$110:CE$114,$F12+1)+IF(AND($E12=1,PE12=0),1000,0)),1000000))</f>
        <v/>
      </c>
      <c r="YM12">
        <f>IF($B12=0,1000000,IF(INDEX('計算A'!$D$60:$II$104,$B12,81)*FY12=1,IF(AND($E12=2,PF12=0),1000000,INDEX('計算A'!CF$110:CF$114,$F12+1)+IF(AND($E12=1,PF12=0),1000,0)),1000000))</f>
        <v/>
      </c>
      <c r="YN12">
        <f>IF($B12=0,1000000,IF(INDEX('計算A'!$D$60:$II$104,$B12,82)*FZ12=1,IF(AND($E12=2,PG12=0),1000000,INDEX('計算A'!CG$110:CG$114,$F12+1)+IF(AND($E12=1,PG12=0),1000,0)),1000000))</f>
        <v/>
      </c>
      <c r="YO12">
        <f>IF($B12=0,1000000,IF(INDEX('計算A'!$D$60:$II$104,$B12,83)*GA12=1,IF(AND($E12=2,PH12=0),1000000,INDEX('計算A'!CH$110:CH$114,$F12+1)+IF(AND($E12=1,PH12=0),1000,0)),1000000))</f>
        <v/>
      </c>
      <c r="YP12">
        <f>IF($B12=0,1000000,IF(INDEX('計算A'!$D$60:$II$104,$B12,84)*GB12=1,IF(AND($E12=2,PI12=0),1000000,INDEX('計算A'!CI$110:CI$114,$F12+1)+IF(AND($E12=1,PI12=0),1000,0)),1000000))</f>
        <v/>
      </c>
      <c r="YQ12">
        <f>IF($B12=0,1000000,IF(INDEX('計算A'!$D$60:$II$104,$B12,85)*GC12=1,IF(AND($E12=2,PJ12=0),1000000,INDEX('計算A'!CJ$110:CJ$114,$F12+1)+IF(AND($E12=1,PJ12=0),1000,0)),1000000))</f>
        <v/>
      </c>
      <c r="YR12">
        <f>IF($B12=0,1000000,IF(INDEX('計算A'!$D$60:$II$104,$B12,86)*GD12=1,IF(AND($E12=2,PK12=0),1000000,INDEX('計算A'!CK$110:CK$114,$F12+1)+IF(AND($E12=1,PK12=0),1000,0)),1000000))</f>
        <v/>
      </c>
      <c r="YS12">
        <f>IF($B12=0,1000000,IF(INDEX('計算A'!$D$60:$II$104,$B12,87)*GE12=1,IF(AND($E12=2,PL12=0),1000000,INDEX('計算A'!CL$110:CL$114,$F12+1)+IF(AND($E12=1,PL12=0),1000,0)),1000000))</f>
        <v/>
      </c>
      <c r="YT12">
        <f>IF($B12=0,1000000,IF(INDEX('計算A'!$D$60:$II$104,$B12,88)*GF12=1,IF(AND($E12=2,PM12=0),1000000,INDEX('計算A'!CM$110:CM$114,$F12+1)+IF(AND($E12=1,PM12=0),1000,0)),1000000))</f>
        <v/>
      </c>
      <c r="YU12">
        <f>IF($B12=0,1000000,IF(INDEX('計算A'!$D$60:$II$104,$B12,89)*GG12=1,IF(AND($E12=2,PN12=0),1000000,INDEX('計算A'!CN$110:CN$114,$F12+1)+IF(AND($E12=1,PN12=0),1000,0)),1000000))</f>
        <v/>
      </c>
      <c r="YV12">
        <f>IF($B12=0,1000000,IF(INDEX('計算A'!$D$60:$II$104,$B12,90)*GH12=1,IF(AND($E12=2,PO12=0),1000000,INDEX('計算A'!CO$110:CO$114,$F12+1)+IF(AND($E12=1,PO12=0),1000,0)),1000000))</f>
        <v/>
      </c>
      <c r="YW12">
        <f>IF($B12=0,1000000,IF(INDEX('計算A'!$D$60:$II$104,$B12,91)*GI12=1,IF(AND($E12=2,PP12=0),1000000,INDEX('計算A'!CP$110:CP$114,$F12+1)+IF(AND($E12=1,PP12=0),1000,0)),1000000))</f>
        <v/>
      </c>
      <c r="YX12">
        <f>IF($B12=0,1000000,IF(INDEX('計算A'!$D$60:$II$104,$B12,92)*GJ12=1,IF(AND($E12=2,PQ12=0),1000000,INDEX('計算A'!CQ$110:CQ$114,$F12+1)+IF(AND($E12=1,PQ12=0),1000,0)),1000000))</f>
        <v/>
      </c>
      <c r="YY12">
        <f>IF($B12=0,1000000,IF(INDEX('計算A'!$D$60:$II$104,$B12,93)*GK12=1,IF(AND($E12=2,PR12=0),1000000,INDEX('計算A'!CR$110:CR$114,$F12+1)+IF(AND($E12=1,PR12=0),1000,0)),1000000))</f>
        <v/>
      </c>
      <c r="YZ12">
        <f>IF($B12=0,1000000,IF(INDEX('計算A'!$D$60:$II$104,$B12,94)*GL12=1,IF(AND($E12=2,PS12=0),1000000,INDEX('計算A'!CS$110:CS$114,$F12+1)+IF(AND($E12=1,PS12=0),1000,0)),1000000))</f>
        <v/>
      </c>
      <c r="ZA12">
        <f>IF($B12=0,1000000,IF(INDEX('計算A'!$D$60:$II$104,$B12,95)*GM12=1,IF(AND($E12=2,PT12=0),1000000,INDEX('計算A'!CT$110:CT$114,$F12+1)+IF(AND($E12=1,PT12=0),1000,0)),1000000))</f>
        <v/>
      </c>
      <c r="ZB12">
        <f>IF($B12=0,1000000,IF(INDEX('計算A'!$D$60:$II$104,$B12,96)*GN12=1,IF(AND($E12=2,PU12=0),1000000,INDEX('計算A'!CU$110:CU$114,$F12+1)+IF(AND($E12=1,PU12=0),1000,0)),1000000))</f>
        <v/>
      </c>
      <c r="ZC12">
        <f>IF($B12=0,1000000,IF(INDEX('計算A'!$D$60:$II$104,$B12,97)*GO12=1,IF(AND($E12=2,PV12=0),1000000,INDEX('計算A'!CV$110:CV$114,$F12+1)+IF(AND($E12=1,PV12=0),1000,0)),1000000))</f>
        <v/>
      </c>
      <c r="ZD12">
        <f>IF($B12=0,1000000,IF(INDEX('計算A'!$D$60:$II$104,$B12,98)*GP12=1,IF(AND($E12=2,PW12=0),1000000,INDEX('計算A'!CW$110:CW$114,$F12+1)+IF(AND($E12=1,PW12=0),1000,0)),1000000))</f>
        <v/>
      </c>
      <c r="ZE12">
        <f>IF($B12=0,1000000,IF(INDEX('計算A'!$D$60:$II$104,$B12,99)*GQ12=1,IF(AND($E12=2,PX12=0),1000000,INDEX('計算A'!CX$110:CX$114,$F12+1)+IF(AND($E12=1,PX12=0),1000,0)),1000000))</f>
        <v/>
      </c>
      <c r="ZF12">
        <f>IF($B12=0,1000000,IF(INDEX('計算A'!$D$60:$II$104,$B12,100)*GR12=1,IF(AND($E12=2,PY12=0),1000000,INDEX('計算A'!CY$110:CY$114,$F12+1)+IF(AND($E12=1,PY12=0),1000,0)),1000000))</f>
        <v/>
      </c>
      <c r="ZG12">
        <f>IF($B12=0,1000000,IF(INDEX('計算A'!$D$60:$II$104,$B12,101)*GS12=1,IF(AND($E12=2,PZ12=0),1000000,INDEX('計算A'!CZ$110:CZ$114,$F12+1)+IF(AND($E12=1,PZ12=0),1000,0)),1000000))</f>
        <v/>
      </c>
      <c r="ZH12">
        <f>IF($B12=0,1000000,IF(INDEX('計算A'!$D$60:$II$104,$B12,102)*GT12=1,IF(AND($E12=2,QA12=0),1000000,INDEX('計算A'!DA$110:DA$114,$F12+1)+IF(AND($E12=1,QA12=0),1000,0)),1000000))</f>
        <v/>
      </c>
      <c r="ZI12">
        <f>IF($B12=0,1000000,IF(INDEX('計算A'!$D$60:$II$104,$B12,103)*GU12=1,IF(AND($E12=2,QB12=0),1000000,INDEX('計算A'!DB$110:DB$114,$F12+1)+IF(AND($E12=1,QB12=0),1000,0)),1000000))</f>
        <v/>
      </c>
      <c r="ZJ12">
        <f>IF($B12=0,1000000,IF(INDEX('計算A'!$D$60:$II$104,$B12,104)*GV12=1,IF(AND($E12=2,QC12=0),1000000,INDEX('計算A'!DC$110:DC$114,$F12+1)+IF(AND($E12=1,QC12=0),1000,0)),1000000))</f>
        <v/>
      </c>
      <c r="ZK12">
        <f>IF($B12=0,1000000,IF(INDEX('計算A'!$D$60:$II$104,$B12,105)*GW12=1,IF(AND($E12=2,QD12=0),1000000,INDEX('計算A'!DD$110:DD$114,$F12+1)+IF(AND($E12=1,QD12=0),1000,0)),1000000))</f>
        <v/>
      </c>
      <c r="ZL12">
        <f>IF($B12=0,1000000,IF(INDEX('計算A'!$D$60:$II$104,$B12,106)*GX12=1,IF(AND($E12=2,QE12=0),1000000,INDEX('計算A'!DE$110:DE$114,$F12+1)+IF(AND($E12=1,QE12=0),1000,0)),1000000))</f>
        <v/>
      </c>
      <c r="ZM12">
        <f>IF($B12=0,1000000,IF(INDEX('計算A'!$D$60:$II$104,$B12,107)*GY12=1,IF(AND($E12=2,QF12=0),1000000,INDEX('計算A'!DF$110:DF$114,$F12+1)+IF(AND($E12=1,QF12=0),1000,0)),1000000))</f>
        <v/>
      </c>
      <c r="ZN12">
        <f>IF($B12=0,1000000,IF(INDEX('計算A'!$D$60:$II$104,$B12,108)*GZ12=1,IF(AND($E12=2,QG12=0),1000000,INDEX('計算A'!DG$110:DG$114,$F12+1)+IF(AND($E12=1,QG12=0),1000,0)),1000000))</f>
        <v/>
      </c>
      <c r="ZO12">
        <f>IF($B12=0,1000000,IF(INDEX('計算A'!$D$60:$II$104,$B12,109)*HA12=1,IF(AND($E12=2,QH12=0),1000000,INDEX('計算A'!DH$110:DH$114,$F12+1)+IF(AND($E12=1,QH12=0),1000,0)),1000000))</f>
        <v/>
      </c>
      <c r="ZP12">
        <f>IF($B12=0,1000000,IF(INDEX('計算A'!$D$60:$II$104,$B12,110)*HB12=1,IF(AND($E12=2,QI12=0),1000000,INDEX('計算A'!DI$110:DI$114,$F12+1)+IF(AND($E12=1,QI12=0),1000,0)),1000000))</f>
        <v/>
      </c>
      <c r="ZQ12">
        <f>IF($B12=0,1000000,IF(INDEX('計算A'!$D$60:$II$104,$B12,111)*HC12=1,IF(AND($E12=2,QJ12=0),1000000,INDEX('計算A'!DJ$110:DJ$114,$F12+1)+IF(AND($E12=1,QJ12=0),1000,0)),1000000))</f>
        <v/>
      </c>
      <c r="ZR12">
        <f>IF($B12=0,1000000,IF(INDEX('計算A'!$D$60:$II$104,$B12,112)*HD12=1,IF(AND($E12=2,QK12=0),1000000,INDEX('計算A'!DK$110:DK$114,$F12+1)+IF(AND($E12=1,QK12=0),1000,0)),1000000))</f>
        <v/>
      </c>
      <c r="ZS12">
        <f>IF($B12=0,1000000,IF(INDEX('計算A'!$D$60:$II$104,$B12,113)*HE12=1,IF(AND($E12=2,QL12=0),1000000,INDEX('計算A'!DL$110:DL$114,$F12+1)+IF(AND($E12=1,QL12=0),1000,0)),1000000))</f>
        <v/>
      </c>
      <c r="ZT12">
        <f>IF($B12=0,1000000,IF(INDEX('計算A'!$D$60:$II$104,$B12,114)*HF12=1,IF(AND($E12=2,QM12=0),1000000,INDEX('計算A'!DM$110:DM$114,$F12+1)+IF(AND($E12=1,QM12=0),1000,0)),1000000))</f>
        <v/>
      </c>
      <c r="ZU12">
        <f>IF($B12=0,1000000,IF(INDEX('計算A'!$D$60:$II$104,$B12,115)*HG12=1,IF(AND($E12=2,QN12=0),1000000,INDEX('計算A'!DN$110:DN$114,$F12+1)+IF(AND($E12=1,QN12=0),1000,0)),1000000))</f>
        <v/>
      </c>
      <c r="ZV12">
        <f>IF($B12=0,1000000,IF(INDEX('計算A'!$D$60:$II$104,$B12,116)*HH12=1,IF(AND($E12=2,QO12=0),1000000,INDEX('計算A'!DO$110:DO$114,$F12+1)+IF(AND($E12=1,QO12=0),1000,0)),1000000))</f>
        <v/>
      </c>
      <c r="ZW12">
        <f>IF($B12=0,1000000,IF(INDEX('計算A'!$D$60:$II$104,$B12,117)*HI12=1,IF(AND($E12=2,QP12=0),1000000,INDEX('計算A'!DP$110:DP$114,$F12+1)+IF(AND($E12=1,QP12=0),1000,0)),1000000))</f>
        <v/>
      </c>
      <c r="ZX12">
        <f>IF($B12=0,1000000,IF(INDEX('計算A'!$D$60:$II$104,$B12,118)*HJ12=1,IF(AND($E12=2,QQ12=0),1000000,INDEX('計算A'!DQ$110:DQ$114,$F12+1)+IF(AND($E12=1,QQ12=0),1000,0)),1000000))</f>
        <v/>
      </c>
      <c r="ZY12">
        <f>IF($B12=0,1000000,IF(INDEX('計算A'!$D$60:$II$104,$B12,119)*HK12=1,IF(AND($E12=2,QR12=0),1000000,INDEX('計算A'!DR$110:DR$114,$F12+1)+IF(AND($E12=1,QR12=0),1000,0)),1000000))</f>
        <v/>
      </c>
      <c r="ZZ12">
        <f>IF($B12=0,1000000,IF(INDEX('計算A'!$D$60:$II$104,$B12,120)*HL12=1,IF(AND($E12=2,QS12=0),1000000,INDEX('計算A'!DS$110:DS$114,$F12+1)+IF(AND($E12=1,QS12=0),1000,0)),1000000))</f>
        <v/>
      </c>
      <c r="AAA12">
        <f>IF($B12=0,1000000,IF(INDEX('計算A'!$D$60:$II$104,$B12,121)*HM12=1,IF(AND($E12=2,QT12=0),1000000,INDEX('計算A'!DT$110:DT$114,$F12+1)+IF(AND($E12=1,QT12=0),1000,0)),1000000))</f>
        <v/>
      </c>
      <c r="AAB12">
        <f>IF($B12=0,1000000,IF(INDEX('計算A'!$D$60:$II$104,$B12,122)*HN12=1,IF(AND($E12=2,QU12=0),1000000,INDEX('計算A'!DU$110:DU$114,$F12+1)+IF(AND($E12=1,QU12=0),1000,0)),1000000))</f>
        <v/>
      </c>
      <c r="AAC12">
        <f>IF($B12=0,1000000,IF(INDEX('計算A'!$D$60:$II$104,$B12,123)*HO12=1,IF(AND($E12=2,QV12=0),1000000,INDEX('計算A'!DV$110:DV$114,$F12+1)+IF(AND($E12=1,QV12=0),1000,0)),1000000))</f>
        <v/>
      </c>
      <c r="AAD12">
        <f>IF($B12=0,1000000,IF(INDEX('計算A'!$D$60:$II$104,$B12,124)*HP12=1,IF(AND($E12=2,QW12=0),1000000,INDEX('計算A'!DW$110:DW$114,$F12+1)+IF(AND($E12=1,QW12=0),1000,0)),1000000))</f>
        <v/>
      </c>
      <c r="AAE12">
        <f>IF($B12=0,1000000,IF(INDEX('計算A'!$D$60:$II$104,$B12,125)*HQ12=1,IF(AND($E12=2,QX12=0),1000000,INDEX('計算A'!DX$110:DX$114,$F12+1)+IF(AND($E12=1,QX12=0),1000,0)),1000000))</f>
        <v/>
      </c>
      <c r="AAF12">
        <f>IF($B12=0,1000000,IF(INDEX('計算A'!$D$60:$II$104,$B12,126)*HR12=1,IF(AND($E12=2,QY12=0),1000000,INDEX('計算A'!DY$110:DY$114,$F12+1)+IF(AND($E12=1,QY12=0),1000,0)),1000000))</f>
        <v/>
      </c>
      <c r="AAG12">
        <f>IF($B12=0,1000000,IF(INDEX('計算A'!$D$60:$II$104,$B12,127)*HS12=1,IF(AND($E12=2,QZ12=0),1000000,INDEX('計算A'!DZ$110:DZ$114,$F12+1)+IF(AND($E12=1,QZ12=0),1000,0)),1000000))</f>
        <v/>
      </c>
      <c r="AAH12">
        <f>IF($B12=0,1000000,IF(INDEX('計算A'!$D$60:$II$104,$B12,128)*HT12=1,IF(AND($E12=2,RA12=0),1000000,INDEX('計算A'!EA$110:EA$114,$F12+1)+IF(AND($E12=1,RA12=0),1000,0)),1000000))</f>
        <v/>
      </c>
      <c r="AAI12">
        <f>IF($B12=0,1000000,IF(INDEX('計算A'!$D$60:$II$104,$B12,129)*HU12=1,IF(AND($E12=2,RB12=0),1000000,INDEX('計算A'!EB$110:EB$114,$F12+1)+IF(AND($E12=1,RB12=0),1000,0)),1000000))</f>
        <v/>
      </c>
      <c r="AAJ12">
        <f>IF($B12=0,1000000,IF(INDEX('計算A'!$D$60:$II$104,$B12,130)*HV12=1,IF(AND($E12=2,RC12=0),1000000,INDEX('計算A'!EC$110:EC$114,$F12+1)+IF(AND($E12=1,RC12=0),1000,0)),1000000))</f>
        <v/>
      </c>
      <c r="AAK12">
        <f>IF($B12=0,1000000,IF(INDEX('計算A'!$D$60:$II$104,$B12,131)*HW12=1,IF(AND($E12=2,RD12=0),1000000,INDEX('計算A'!ED$110:ED$114,$F12+1)+IF(AND($E12=1,RD12=0),1000,0)),1000000))</f>
        <v/>
      </c>
      <c r="AAL12">
        <f>IF($B12=0,1000000,IF(INDEX('計算A'!$D$60:$II$104,$B12,132)*HX12=1,IF(AND($E12=2,RE12=0),1000000,INDEX('計算A'!EE$110:EE$114,$F12+1)+IF(AND($E12=1,RE12=0),1000,0)),1000000))</f>
        <v/>
      </c>
      <c r="AAM12">
        <f>IF($B12=0,1000000,IF(INDEX('計算A'!$D$60:$II$104,$B12,133)*HY12=1,IF(AND($E12=2,RF12=0),1000000,INDEX('計算A'!EF$110:EF$114,$F12+1)+IF(AND($E12=1,RF12=0),1000,0)),1000000))</f>
        <v/>
      </c>
      <c r="AAN12">
        <f>IF($B12=0,1000000,IF(INDEX('計算A'!$D$60:$II$104,$B12,134)*HZ12=1,IF(AND($E12=2,RG12=0),1000000,INDEX('計算A'!EG$110:EG$114,$F12+1)+IF(AND($E12=1,RG12=0),1000,0)),1000000))</f>
        <v/>
      </c>
      <c r="AAO12">
        <f>IF($B12=0,1000000,IF(INDEX('計算A'!$D$60:$II$104,$B12,135)*IA12=1,IF(AND($E12=2,RH12=0),1000000,INDEX('計算A'!EH$110:EH$114,$F12+1)+IF(AND($E12=1,RH12=0),1000,0)),1000000))</f>
        <v/>
      </c>
      <c r="AAP12">
        <f>IF($B12=0,1000000,IF(INDEX('計算A'!$D$60:$II$104,$B12,136)*IB12=1,IF(AND($E12=2,RI12=0),1000000,INDEX('計算A'!EI$110:EI$114,$F12+1)+IF(AND($E12=1,RI12=0),1000,0)),1000000))</f>
        <v/>
      </c>
      <c r="AAQ12">
        <f>IF($B12=0,1000000,IF(INDEX('計算A'!$D$60:$II$104,$B12,137)*IC12=1,IF(AND($E12=2,RJ12=0),1000000,INDEX('計算A'!EJ$110:EJ$114,$F12+1)+IF(AND($E12=1,RJ12=0),1000,0)),1000000))</f>
        <v/>
      </c>
      <c r="AAR12">
        <f>IF($B12=0,1000000,IF(INDEX('計算A'!$D$60:$II$104,$B12,138)*ID12=1,IF(AND($E12=2,RK12=0),1000000,INDEX('計算A'!EK$110:EK$114,$F12+1)+IF(AND($E12=1,RK12=0),1000,0)),1000000))</f>
        <v/>
      </c>
      <c r="AAS12">
        <f>IF($B12=0,1000000,IF(INDEX('計算A'!$D$60:$II$104,$B12,139)*IE12=1,IF(AND($E12=2,RL12=0),1000000,INDEX('計算A'!EL$110:EL$114,$F12+1)+IF(AND($E12=1,RL12=0),1000,0)),1000000))</f>
        <v/>
      </c>
      <c r="AAT12">
        <f>IF($B12=0,1000000,IF(INDEX('計算A'!$D$60:$II$104,$B12,140)*IF12=1,IF(AND($E12=2,RM12=0),1000000,INDEX('計算A'!EM$110:EM$114,$F12+1)+IF(AND($E12=1,RM12=0),1000,0)),1000000))</f>
        <v/>
      </c>
      <c r="AAU12">
        <f>IF($B12=0,1000000,IF(INDEX('計算A'!$D$60:$II$104,$B12,141)*IG12=1,IF(AND($E12=2,RN12=0),1000000,INDEX('計算A'!EN$110:EN$114,$F12+1)+IF(AND($E12=1,RN12=0),1000,0)),1000000))</f>
        <v/>
      </c>
      <c r="AAV12">
        <f>IF($B12=0,1000000,IF(INDEX('計算A'!$D$60:$II$104,$B12,142)*IH12=1,IF(AND($E12=2,RO12=0),1000000,INDEX('計算A'!EO$110:EO$114,$F12+1)+IF(AND($E12=1,RO12=0),1000,0)),1000000))</f>
        <v/>
      </c>
      <c r="AAW12">
        <f>IF($B12=0,1000000,IF(INDEX('計算A'!$D$60:$II$104,$B12,143)*II12=1,IF(AND($E12=2,RP12=0),1000000,INDEX('計算A'!EP$110:EP$114,$F12+1)+IF(AND($E12=1,RP12=0),1000,0)),1000000))</f>
        <v/>
      </c>
      <c r="AAX12">
        <f>IF($B12=0,1000000,IF(INDEX('計算A'!$D$60:$II$104,$B12,144)*IJ12=1,IF(AND($E12=2,RQ12=0),1000000,INDEX('計算A'!EQ$110:EQ$114,$F12+1)+IF(AND($E12=1,RQ12=0),1000,0)),1000000))</f>
        <v/>
      </c>
      <c r="AAY12">
        <f>IF($B12=0,1000000,IF(INDEX('計算A'!$D$60:$II$104,$B12,145)*IK12=1,IF(AND($E12=2,RR12=0),1000000,INDEX('計算A'!ER$110:ER$114,$F12+1)+IF(AND($E12=1,RR12=0),1000,0)),1000000))</f>
        <v/>
      </c>
      <c r="AAZ12">
        <f>IF($B12=0,1000000,IF(INDEX('計算A'!$D$60:$II$104,$B12,146)*IL12=1,IF(AND($E12=2,RS12=0),1000000,INDEX('計算A'!ES$110:ES$114,$F12+1)+IF(AND($E12=1,RS12=0),1000,0)),1000000))</f>
        <v/>
      </c>
      <c r="ABA12">
        <f>IF($B12=0,1000000,IF(INDEX('計算A'!$D$60:$II$104,$B12,147)*IM12=1,IF(AND($E12=2,RT12=0),1000000,INDEX('計算A'!ET$110:ET$114,$F12+1)+IF(AND($E12=1,RT12=0),1000,0)),1000000))</f>
        <v/>
      </c>
      <c r="ABB12">
        <f>IF($B12=0,1000000,IF(INDEX('計算A'!$D$60:$II$104,$B12,148)*IN12=1,IF(AND($E12=2,RU12=0),1000000,INDEX('計算A'!EU$110:EU$114,$F12+1)+IF(AND($E12=1,RU12=0),1000,0)),1000000))</f>
        <v/>
      </c>
      <c r="ABC12">
        <f>IF($B12=0,1000000,IF(INDEX('計算A'!$D$60:$II$104,$B12,149)*IO12=1,IF(AND($E12=2,RV12=0),1000000,INDEX('計算A'!EV$110:EV$114,$F12+1)+IF(AND($E12=1,RV12=0),1000,0)),1000000))</f>
        <v/>
      </c>
      <c r="ABD12">
        <f>IF($B12=0,1000000,IF(INDEX('計算A'!$D$60:$II$104,$B12,150)*IP12=1,IF(AND($E12=2,RW12=0),1000000,INDEX('計算A'!EW$110:EW$114,$F12+1)+IF(AND($E12=1,RW12=0),1000,0)),1000000))</f>
        <v/>
      </c>
      <c r="ABE12">
        <f>IF($B12=0,1000000,IF(INDEX('計算A'!$D$60:$II$104,$B12,151)*IQ12=1,IF(AND($E12=2,RX12=0),1000000,INDEX('計算A'!EX$110:EX$114,$F12+1)+IF(AND($E12=1,RX12=0),1000,0)),1000000))</f>
        <v/>
      </c>
      <c r="ABF12">
        <f>IF($B12=0,1000000,IF(INDEX('計算A'!$D$60:$II$104,$B12,152)*IR12=1,IF(AND($E12=2,RY12=0),1000000,INDEX('計算A'!EY$110:EY$114,$F12+1)+IF(AND($E12=1,RY12=0),1000,0)),1000000))</f>
        <v/>
      </c>
      <c r="ABG12">
        <f>IF($B12=0,1000000,IF(INDEX('計算A'!$D$60:$II$104,$B12,153)*IS12=1,IF(AND($E12=2,RZ12=0),1000000,INDEX('計算A'!EZ$110:EZ$114,$F12+1)+IF(AND($E12=1,RZ12=0),1000,0)),1000000))</f>
        <v/>
      </c>
      <c r="ABH12">
        <f>IF($B12=0,1000000,IF(INDEX('計算A'!$D$60:$II$104,$B12,154)*IT12=1,IF(AND($E12=2,SA12=0),1000000,INDEX('計算A'!FA$110:FA$114,$F12+1)+IF(AND($E12=1,SA12=0),1000,0)),1000000))</f>
        <v/>
      </c>
      <c r="ABI12">
        <f>IF($B12=0,1000000,IF(INDEX('計算A'!$D$60:$II$104,$B12,155)*IU12=1,IF(AND($E12=2,SB12=0),1000000,INDEX('計算A'!FB$110:FB$114,$F12+1)+IF(AND($E12=1,SB12=0),1000,0)),1000000))</f>
        <v/>
      </c>
      <c r="ABJ12">
        <f>IF($B12=0,1000000,IF(INDEX('計算A'!$D$60:$II$104,$B12,156)*IV12=1,IF(AND($E12=2,SC12=0),1000000,INDEX('計算A'!FC$110:FC$114,$F12+1)+IF(AND($E12=1,SC12=0),1000,0)),1000000))</f>
        <v/>
      </c>
      <c r="ABK12">
        <f>IF($B12=0,1000000,IF(INDEX('計算A'!$D$60:$II$104,$B12,157)*IW12=1,IF(AND($E12=2,SD12=0),1000000,INDEX('計算A'!FD$110:FD$114,$F12+1)+IF(AND($E12=1,SD12=0),1000,0)),1000000))</f>
        <v/>
      </c>
      <c r="ABL12">
        <f>IF($B12=0,1000000,IF(INDEX('計算A'!$D$60:$II$104,$B12,158)*IX12=1,IF(AND($E12=2,SE12=0),1000000,INDEX('計算A'!FE$110:FE$114,$F12+1)+IF(AND($E12=1,SE12=0),1000,0)),1000000))</f>
        <v/>
      </c>
      <c r="ABM12">
        <f>IF($B12=0,1000000,IF(INDEX('計算A'!$D$60:$II$104,$B12,159)*IY12=1,IF(AND($E12=2,SF12=0),1000000,INDEX('計算A'!FF$110:FF$114,$F12+1)+IF(AND($E12=1,SF12=0),1000,0)),1000000))</f>
        <v/>
      </c>
      <c r="ABN12">
        <f>IF($B12=0,1000000,IF(INDEX('計算A'!$D$60:$II$104,$B12,160)*IZ12=1,IF(AND($E12=2,SG12=0),1000000,INDEX('計算A'!FG$110:FG$114,$F12+1)+IF(AND($E12=1,SG12=0),1000,0)),1000000))</f>
        <v/>
      </c>
      <c r="ABO12">
        <f>IF($B12=0,1000000,IF(INDEX('計算A'!$D$60:$II$104,$B12,161)*JA12=1,IF(AND($E12=2,SH12=0),1000000,INDEX('計算A'!FH$110:FH$114,$F12+1)+IF(AND($E12=1,SH12=0),1000,0)),1000000))</f>
        <v/>
      </c>
      <c r="ABP12">
        <f>IF($B12=0,1000000,IF(INDEX('計算A'!$D$60:$II$104,$B12,162)*JB12=1,IF(AND($E12=2,SI12=0),1000000,INDEX('計算A'!FI$110:FI$114,$F12+1)+IF(AND($E12=1,SI12=0),1000,0)),1000000))</f>
        <v/>
      </c>
      <c r="ABQ12">
        <f>IF($B12=0,1000000,IF(INDEX('計算A'!$D$60:$II$104,$B12,163)*JC12=1,IF(AND($E12=2,SJ12=0),1000000,INDEX('計算A'!FJ$110:FJ$114,$F12+1)+IF(AND($E12=1,SJ12=0),1000,0)),1000000))</f>
        <v/>
      </c>
      <c r="ABR12">
        <f>IF($B12=0,1000000,IF(INDEX('計算A'!$D$60:$II$104,$B12,164)*JD12=1,IF(AND($E12=2,SK12=0),1000000,INDEX('計算A'!FK$110:FK$114,$F12+1)+IF(AND($E12=1,SK12=0),1000,0)),1000000))</f>
        <v/>
      </c>
      <c r="ABS12">
        <f>IF($B12=0,1000000,IF(INDEX('計算A'!$D$60:$II$104,$B12,165)*JE12=1,IF(AND($E12=2,SL12=0),1000000,INDEX('計算A'!FL$110:FL$114,$F12+1)+IF(AND($E12=1,SL12=0),1000,0)),1000000))</f>
        <v/>
      </c>
      <c r="ABT12">
        <f>IF($B12=0,1000000,IF(INDEX('計算A'!$D$60:$II$104,$B12,166)*JF12=1,IF(AND($E12=2,SM12=0),1000000,INDEX('計算A'!FM$110:FM$114,$F12+1)+IF(AND($E12=1,SM12=0),1000,0)),1000000))</f>
        <v/>
      </c>
      <c r="ABU12">
        <f>IF($B12=0,1000000,IF(INDEX('計算A'!$D$60:$II$104,$B12,167)*JG12=1,IF(AND($E12=2,SN12=0),1000000,INDEX('計算A'!FN$110:FN$114,$F12+1)+IF(AND($E12=1,SN12=0),1000,0)),1000000))</f>
        <v/>
      </c>
      <c r="ABV12">
        <f>IF($B12=0,1000000,IF(INDEX('計算A'!$D$60:$II$104,$B12,168)*JH12=1,IF(AND($E12=2,SO12=0),1000000,INDEX('計算A'!FO$110:FO$114,$F12+1)+IF(AND($E12=1,SO12=0),1000,0)),1000000))</f>
        <v/>
      </c>
      <c r="ABW12">
        <f>IF($B12=0,1000000,IF(INDEX('計算A'!$D$60:$II$104,$B12,169)*JI12=1,IF(AND($E12=2,SP12=0),1000000,INDEX('計算A'!FP$110:FP$114,$F12+1)+IF(AND($E12=1,SP12=0),1000,0)),1000000))</f>
        <v/>
      </c>
      <c r="ABX12">
        <f>IF($B12=0,1000000,IF(INDEX('計算A'!$D$60:$II$104,$B12,170)*JJ12=1,IF(AND($E12=2,SQ12=0),1000000,INDEX('計算A'!FQ$110:FQ$114,$F12+1)+IF(AND($E12=1,SQ12=0),1000,0)),1000000))</f>
        <v/>
      </c>
      <c r="ABY12">
        <f>IF($B12=0,1000000,IF(INDEX('計算A'!$D$60:$II$104,$B12,171)*JK12=1,IF(AND($E12=2,SR12=0),1000000,INDEX('計算A'!FR$110:FR$114,$F12+1)+IF(AND($E12=1,SR12=0),1000,0)),1000000))</f>
        <v/>
      </c>
      <c r="ABZ12">
        <f>IF($B12=0,1000000,IF(INDEX('計算A'!$D$60:$II$104,$B12,172)*JL12=1,IF(AND($E12=2,SS12=0),1000000,INDEX('計算A'!FS$110:FS$114,$F12+1)+IF(AND($E12=1,SS12=0),1000,0)),1000000))</f>
        <v/>
      </c>
      <c r="ACA12">
        <f>IF($B12=0,1000000,IF(INDEX('計算A'!$D$60:$II$104,$B12,173)*JM12=1,IF(AND($E12=2,ST12=0),1000000,INDEX('計算A'!FT$110:FT$114,$F12+1)+IF(AND($E12=1,ST12=0),1000,0)),1000000))</f>
        <v/>
      </c>
      <c r="ACB12">
        <f>IF($B12=0,1000000,IF(INDEX('計算A'!$D$60:$II$104,$B12,174)*JN12=1,IF(AND($E12=2,SU12=0),1000000,INDEX('計算A'!FU$110:FU$114,$F12+1)+IF(AND($E12=1,SU12=0),1000,0)),1000000))</f>
        <v/>
      </c>
      <c r="ACC12">
        <f>IF($B12=0,1000000,IF(INDEX('計算A'!$D$60:$II$104,$B12,175)*JO12=1,IF(AND($E12=2,SV12=0),1000000,INDEX('計算A'!FV$110:FV$114,$F12+1)+IF(AND($E12=1,SV12=0),1000,0)),1000000))</f>
        <v/>
      </c>
      <c r="ACD12">
        <f>IF($B12=0,1000000,IF(INDEX('計算A'!$D$60:$II$104,$B12,176)*JP12=1,IF(AND($E12=2,SW12=0),1000000,INDEX('計算A'!FW$110:FW$114,$F12+1)+IF(AND($E12=1,SW12=0),1000,0)),1000000))</f>
        <v/>
      </c>
      <c r="ACE12">
        <f>IF($B12=0,1000000,IF(INDEX('計算A'!$D$60:$II$104,$B12,177)*JQ12=1,IF(AND($E12=2,SX12=0),1000000,INDEX('計算A'!FX$110:FX$114,$F12+1)+IF(AND($E12=1,SX12=0),1000,0)),1000000))</f>
        <v/>
      </c>
      <c r="ACF12">
        <f>IF($B12=0,1000000,IF(INDEX('計算A'!$D$60:$II$104,$B12,178)*JR12=1,IF(AND($E12=2,SY12=0),1000000,INDEX('計算A'!FY$110:FY$114,$F12+1)+IF(AND($E12=1,SY12=0),1000,0)),1000000))</f>
        <v/>
      </c>
      <c r="ACG12">
        <f>IF($B12=0,1000000,IF(INDEX('計算A'!$D$60:$II$104,$B12,179)*JS12=1,IF(AND($E12=2,SZ12=0),1000000,INDEX('計算A'!FZ$110:FZ$114,$F12+1)+IF(AND($E12=1,SZ12=0),1000,0)),1000000))</f>
        <v/>
      </c>
      <c r="ACH12">
        <f>IF($B12=0,1000000,IF(INDEX('計算A'!$D$60:$II$104,$B12,180)*JT12=1,IF(AND($E12=2,TA12=0),1000000,INDEX('計算A'!GA$110:GA$114,$F12+1)+IF(AND($E12=1,TA12=0),1000,0)),1000000))</f>
        <v/>
      </c>
      <c r="ACI12">
        <f>IF($B12=0,1000000,IF(INDEX('計算A'!$D$60:$II$104,$B12,181)*JU12=1,IF(AND($E12=2,TB12=0),1000000,INDEX('計算A'!GB$110:GB$114,$F12+1)+IF(AND($E12=1,TB12=0),1000,0)),1000000))</f>
        <v/>
      </c>
      <c r="ACJ12">
        <f>IF($B12=0,1000000,IF(INDEX('計算A'!$D$60:$II$104,$B12,182)*JV12=1,IF(AND($E12=2,TC12=0),1000000,INDEX('計算A'!GC$110:GC$114,$F12+1)+IF(AND($E12=1,TC12=0),1000,0)),1000000))</f>
        <v/>
      </c>
      <c r="ACK12">
        <f>IF($B12=0,1000000,IF(INDEX('計算A'!$D$60:$II$104,$B12,183)*JW12=1,IF(AND($E12=2,TD12=0),1000000,INDEX('計算A'!GD$110:GD$114,$F12+1)+IF(AND($E12=1,TD12=0),1000,0)),1000000))</f>
        <v/>
      </c>
      <c r="ACL12">
        <f>IF($B12=0,1000000,IF(INDEX('計算A'!$D$60:$II$104,$B12,184)*JX12=1,IF(AND($E12=2,TE12=0),1000000,INDEX('計算A'!GE$110:GE$114,$F12+1)+IF(AND($E12=1,TE12=0),1000,0)),1000000))</f>
        <v/>
      </c>
      <c r="ACM12">
        <f>IF($B12=0,1000000,IF(INDEX('計算A'!$D$60:$II$104,$B12,185)*JY12=1,IF(AND($E12=2,TF12=0),1000000,INDEX('計算A'!GF$110:GF$114,$F12+1)+IF(AND($E12=1,TF12=0),1000,0)),1000000))</f>
        <v/>
      </c>
      <c r="ACN12">
        <f>IF($B12=0,1000000,IF(INDEX('計算A'!$D$60:$II$104,$B12,186)*JZ12=1,IF(AND($E12=2,TG12=0),1000000,INDEX('計算A'!GG$110:GG$114,$F12+1)+IF(AND($E12=1,TG12=0),1000,0)),1000000))</f>
        <v/>
      </c>
      <c r="ACO12">
        <f>IF($B12=0,1000000,IF(INDEX('計算A'!$D$60:$II$104,$B12,187)*KA12=1,IF(AND($E12=2,TH12=0),1000000,INDEX('計算A'!GH$110:GH$114,$F12+1)+IF(AND($E12=1,TH12=0),1000,0)),1000000))</f>
        <v/>
      </c>
      <c r="ACP12">
        <f>IF($B12=0,1000000,IF(INDEX('計算A'!$D$60:$II$104,$B12,188)*KB12=1,IF(AND($E12=2,TI12=0),1000000,INDEX('計算A'!GI$110:GI$114,$F12+1)+IF(AND($E12=1,TI12=0),1000,0)),1000000))</f>
        <v/>
      </c>
      <c r="ACQ12">
        <f>IF($B12=0,1000000,IF(INDEX('計算A'!$D$60:$II$104,$B12,189)*KC12=1,IF(AND($E12=2,TJ12=0),1000000,INDEX('計算A'!GJ$110:GJ$114,$F12+1)+IF(AND($E12=1,TJ12=0),1000,0)),1000000))</f>
        <v/>
      </c>
      <c r="ACR12">
        <f>IF($B12=0,1000000,IF(INDEX('計算A'!$D$60:$II$104,$B12,190)*KD12=1,IF(AND($E12=2,TK12=0),1000000,INDEX('計算A'!GK$110:GK$114,$F12+1)+IF(AND($E12=1,TK12=0),1000,0)),1000000))</f>
        <v/>
      </c>
      <c r="ACS12">
        <f>IF($B12=0,1000000,IF(INDEX('計算A'!$D$60:$II$104,$B12,191)*KE12=1,IF(AND($E12=2,TL12=0),1000000,INDEX('計算A'!GL$110:GL$114,$F12+1)+IF(AND($E12=1,TL12=0),1000,0)),1000000))</f>
        <v/>
      </c>
      <c r="ACT12">
        <f>IF($B12=0,1000000,IF(INDEX('計算A'!$D$60:$II$104,$B12,192)*KF12=1,IF(AND($E12=2,TM12=0),1000000,INDEX('計算A'!GM$110:GM$114,$F12+1)+IF(AND($E12=1,TM12=0),1000,0)),1000000))</f>
        <v/>
      </c>
      <c r="ACU12">
        <f>IF($B12=0,1000000,IF(INDEX('計算A'!$D$60:$II$104,$B12,193)*KG12=1,IF(AND($E12=2,TN12=0),1000000,INDEX('計算A'!GN$110:GN$114,$F12+1)+IF(AND($E12=1,TN12=0),1000,0)),1000000))</f>
        <v/>
      </c>
      <c r="ACV12">
        <f>IF($B12=0,1000000,IF(INDEX('計算A'!$D$60:$II$104,$B12,194)*KH12=1,IF(AND($E12=2,TO12=0),1000000,INDEX('計算A'!GO$110:GO$114,$F12+1)+IF(AND($E12=1,TO12=0),1000,0)),1000000))</f>
        <v/>
      </c>
      <c r="ACW12">
        <f>IF($B12=0,1000000,IF(INDEX('計算A'!$D$60:$II$104,$B12,195)*KI12=1,IF(AND($E12=2,TP12=0),1000000,INDEX('計算A'!GP$110:GP$114,$F12+1)+IF(AND($E12=1,TP12=0),1000,0)),1000000))</f>
        <v/>
      </c>
      <c r="ACX12">
        <f>IF($B12=0,1000000,IF(INDEX('計算A'!$D$60:$II$104,$B12,196)*KJ12=1,IF(AND($E12=2,TQ12=0),1000000,INDEX('計算A'!GQ$110:GQ$114,$F12+1)+IF(AND($E12=1,TQ12=0),1000,0)),1000000))</f>
        <v/>
      </c>
      <c r="ACY12">
        <f>IF($B12=0,1000000,IF(INDEX('計算A'!$D$60:$II$104,$B12,197)*KK12=1,IF(AND($E12=2,TR12=0),1000000,INDEX('計算A'!GR$110:GR$114,$F12+1)+IF(AND($E12=1,TR12=0),1000,0)),1000000))</f>
        <v/>
      </c>
      <c r="ACZ12">
        <f>IF($B12=0,1000000,IF(INDEX('計算A'!$D$60:$II$104,$B12,198)*KL12=1,IF(AND($E12=2,TS12=0),1000000,INDEX('計算A'!GS$110:GS$114,$F12+1)+IF(AND($E12=1,TS12=0),1000,0)),1000000))</f>
        <v/>
      </c>
      <c r="ADA12">
        <f>IF($B12=0,1000000,IF(INDEX('計算A'!$D$60:$II$104,$B12,199)*KM12=1,IF(AND($E12=2,TT12=0),1000000,INDEX('計算A'!GT$110:GT$114,$F12+1)+IF(AND($E12=1,TT12=0),1000,0)),1000000))</f>
        <v/>
      </c>
      <c r="ADB12">
        <f>IF($B12=0,1000000,IF(INDEX('計算A'!$D$60:$II$104,$B12,200)*KN12=1,IF(AND($E12=2,TU12=0),1000000,INDEX('計算A'!GU$110:GU$114,$F12+1)+IF(AND($E12=1,TU12=0),1000,0)),1000000))</f>
        <v/>
      </c>
      <c r="ADC12">
        <f>IF($B12=0,1000000,IF(INDEX('計算A'!$D$60:$II$104,$B12,201)*KO12=1,IF(AND($E12=2,TV12=0),1000000,INDEX('計算A'!GV$110:GV$114,$F12+1)+IF(AND($E12=1,TV12=0),1000,0)),1000000))</f>
        <v/>
      </c>
      <c r="ADD12">
        <f>IF($B12=0,1000000,IF(INDEX('計算A'!$D$60:$II$104,$B12,202)*KP12=1,IF(AND($E12=2,TW12=0),1000000,INDEX('計算A'!GW$110:GW$114,$F12+1)+IF(AND($E12=1,TW12=0),1000,0)),1000000))</f>
        <v/>
      </c>
      <c r="ADE12">
        <f>IF($B12=0,1000000,IF(INDEX('計算A'!$D$60:$II$104,$B12,203)*KQ12=1,IF(AND($E12=2,TX12=0),1000000,INDEX('計算A'!GX$110:GX$114,$F12+1)+IF(AND($E12=1,TX12=0),1000,0)),1000000))</f>
        <v/>
      </c>
      <c r="ADF12">
        <f>IF($B12=0,1000000,IF(INDEX('計算A'!$D$60:$II$104,$B12,204)*KR12=1,IF(AND($E12=2,TY12=0),1000000,INDEX('計算A'!GY$110:GY$114,$F12+1)+IF(AND($E12=1,TY12=0),1000,0)),1000000))</f>
        <v/>
      </c>
      <c r="ADG12">
        <f>IF($B12=0,1000000,IF(INDEX('計算A'!$D$60:$II$104,$B12,205)*KS12=1,IF(AND($E12=2,TZ12=0),1000000,INDEX('計算A'!GZ$110:GZ$114,$F12+1)+IF(AND($E12=1,TZ12=0),1000,0)),1000000))</f>
        <v/>
      </c>
      <c r="ADH12">
        <f>IF($B12=0,1000000,IF(INDEX('計算A'!$D$60:$II$104,$B12,206)*KT12=1,IF(AND($E12=2,UA12=0),1000000,INDEX('計算A'!HA$110:HA$114,$F12+1)+IF(AND($E12=1,UA12=0),1000,0)),1000000))</f>
        <v/>
      </c>
      <c r="ADI12">
        <f>IF($B12=0,1000000,IF(INDEX('計算A'!$D$60:$II$104,$B12,207)*KU12=1,IF(AND($E12=2,UB12=0),1000000,INDEX('計算A'!HB$110:HB$114,$F12+1)+IF(AND($E12=1,UB12=0),1000,0)),1000000))</f>
        <v/>
      </c>
      <c r="ADJ12">
        <f>IF($B12=0,1000000,IF(INDEX('計算A'!$D$60:$II$104,$B12,208)*KV12=1,IF(AND($E12=2,UC12=0),1000000,INDEX('計算A'!HC$110:HC$114,$F12+1)+IF(AND($E12=1,UC12=0),1000,0)),1000000))</f>
        <v/>
      </c>
      <c r="ADK12">
        <f>IF($B12=0,1000000,IF(INDEX('計算A'!$D$60:$II$104,$B12,209)*KW12=1,IF(AND($E12=2,UD12=0),1000000,INDEX('計算A'!HD$110:HD$114,$F12+1)+IF(AND($E12=1,UD12=0),1000,0)),1000000))</f>
        <v/>
      </c>
      <c r="ADL12">
        <f>IF($B12=0,1000000,IF(INDEX('計算A'!$D$60:$II$104,$B12,210)*KX12=1,IF(AND($E12=2,UE12=0),1000000,INDEX('計算A'!HE$110:HE$114,$F12+1)+IF(AND($E12=1,UE12=0),1000,0)),1000000))</f>
        <v/>
      </c>
      <c r="ADM12">
        <f>IF($B12=0,1000000,IF(INDEX('計算A'!$D$60:$II$104,$B12,211)*KY12=1,IF(AND($E12=2,UF12=0),1000000,INDEX('計算A'!HF$110:HF$114,$F12+1)+IF(AND($E12=1,UF12=0),1000,0)),1000000))</f>
        <v/>
      </c>
      <c r="ADN12">
        <f>IF($B12=0,1000000,IF(INDEX('計算A'!$D$60:$II$104,$B12,212)*KZ12=1,IF(AND($E12=2,UG12=0),1000000,INDEX('計算A'!HG$110:HG$114,$F12+1)+IF(AND($E12=1,UG12=0),1000,0)),1000000))</f>
        <v/>
      </c>
      <c r="ADO12">
        <f>IF($B12=0,1000000,IF(INDEX('計算A'!$D$60:$II$104,$B12,213)*LA12=1,IF(AND($E12=2,UH12=0),1000000,INDEX('計算A'!HH$110:HH$114,$F12+1)+IF(AND($E12=1,UH12=0),1000,0)),1000000))</f>
        <v/>
      </c>
      <c r="ADP12">
        <f>IF($B12=0,1000000,IF(INDEX('計算A'!$D$60:$II$104,$B12,214)*LB12=1,IF(AND($E12=2,UI12=0),1000000,INDEX('計算A'!HI$110:HI$114,$F12+1)+IF(AND($E12=1,UI12=0),1000,0)),1000000))</f>
        <v/>
      </c>
      <c r="ADQ12">
        <f>IF($B12=0,1000000,IF(INDEX('計算A'!$D$60:$II$104,$B12,215)*LC12=1,IF(AND($E12=2,UJ12=0),1000000,INDEX('計算A'!HJ$110:HJ$114,$F12+1)+IF(AND($E12=1,UJ12=0),1000,0)),1000000))</f>
        <v/>
      </c>
      <c r="ADR12">
        <f>IF($B12=0,1000000,IF(INDEX('計算A'!$D$60:$II$104,$B12,216)*LD12=1,IF(AND($E12=2,UK12=0),1000000,INDEX('計算A'!HK$110:HK$114,$F12+1)+IF(AND($E12=1,UK12=0),1000,0)),1000000))</f>
        <v/>
      </c>
      <c r="ADS12">
        <f>IF($B12=0,1000000,IF(INDEX('計算A'!$D$60:$II$104,$B12,217)*LE12=1,IF(AND($E12=2,UL12=0),1000000,INDEX('計算A'!HL$110:HL$114,$F12+1)+IF(AND($E12=1,UL12=0),1000,0)),1000000))</f>
        <v/>
      </c>
      <c r="ADT12">
        <f>IF($B12=0,1000000,IF(INDEX('計算A'!$D$60:$II$104,$B12,218)*LF12=1,IF(AND($E12=2,UM12=0),1000000,INDEX('計算A'!HM$110:HM$114,$F12+1)+IF(AND($E12=1,UM12=0),1000,0)),1000000))</f>
        <v/>
      </c>
      <c r="ADU12">
        <f>IF($B12=0,1000000,IF(INDEX('計算A'!$D$60:$II$104,$B12,219)*LG12=1,IF(AND($E12=2,UN12=0),1000000,INDEX('計算A'!HN$110:HN$114,$F12+1)+IF(AND($E12=1,UN12=0),1000,0)),1000000))</f>
        <v/>
      </c>
      <c r="ADV12">
        <f>IF($B12=0,1000000,IF(INDEX('計算A'!$D$60:$II$104,$B12,220)*LH12=1,IF(AND($E12=2,UO12=0),1000000,INDEX('計算A'!HO$110:HO$114,$F12+1)+IF(AND($E12=1,UO12=0),1000,0)),1000000))</f>
        <v/>
      </c>
      <c r="ADW12">
        <f>IF($B12=0,1000000,IF(INDEX('計算A'!$D$60:$II$104,$B12,221)*LI12=1,IF(AND($E12=2,UP12=0),1000000,INDEX('計算A'!HP$110:HP$114,$F12+1)+IF(AND($E12=1,UP12=0),1000,0)),1000000))</f>
        <v/>
      </c>
      <c r="ADX12">
        <f>IF($B12=0,1000000,IF(INDEX('計算A'!$D$60:$II$104,$B12,222)*LJ12=1,IF(AND($E12=2,UQ12=0),1000000,INDEX('計算A'!HQ$110:HQ$114,$F12+1)+IF(AND($E12=1,UQ12=0),1000,0)),1000000))</f>
        <v/>
      </c>
      <c r="ADY12">
        <f>IF($B12=0,1000000,IF(INDEX('計算A'!$D$60:$II$104,$B12,223)*LK12=1,IF(AND($E12=2,UR12=0),1000000,INDEX('計算A'!HR$110:HR$114,$F12+1)+IF(AND($E12=1,UR12=0),1000,0)),1000000))</f>
        <v/>
      </c>
      <c r="ADZ12">
        <f>IF($B12=0,1000000,IF(INDEX('計算A'!$D$60:$II$104,$B12,224)*LL12=1,IF(AND($E12=2,US12=0),1000000,INDEX('計算A'!HS$110:HS$114,$F12+1)+IF(AND($E12=1,US12=0),1000,0)),1000000))</f>
        <v/>
      </c>
      <c r="AEA12">
        <f>IF($B12=0,1000000,IF(INDEX('計算A'!$D$60:$II$104,$B12,225)*LM12=1,IF(AND($E12=2,UT12=0),1000000,INDEX('計算A'!HT$110:HT$114,$F12+1)+IF(AND($E12=1,UT12=0),1000,0)),1000000))</f>
        <v/>
      </c>
      <c r="AEB12">
        <f>IF($B12=0,1000000,IF(INDEX('計算A'!$D$60:$II$104,$B12,226)*LN12=1,IF(AND($E12=2,UU12=0),1000000,INDEX('計算A'!HU$110:HU$114,$F12+1)+IF(AND($E12=1,UU12=0),1000,0)),1000000))</f>
        <v/>
      </c>
      <c r="AEC12">
        <f>IF($B12=0,1000000,IF(INDEX('計算A'!$D$60:$II$104,$B12,227)*LO12=1,IF(AND($E12=2,UV12=0),1000000,INDEX('計算A'!HV$110:HV$114,$F12+1)+IF(AND($E12=1,UV12=0),1000,0)),1000000))</f>
        <v/>
      </c>
      <c r="AED12">
        <f>IF($B12=0,1000000,IF(INDEX('計算A'!$D$60:$II$104,$B12,228)*LP12=1,IF(AND($E12=2,UW12=0),1000000,INDEX('計算A'!HW$110:HW$114,$F12+1)+IF(AND($E12=1,UW12=0),1000,0)),1000000))</f>
        <v/>
      </c>
      <c r="AEE12">
        <f>IF($B12=0,1000000,IF(INDEX('計算A'!$D$60:$II$104,$B12,229)*LQ12=1,IF(AND($E12=2,UX12=0),1000000,INDEX('計算A'!HX$110:HX$114,$F12+1)+IF(AND($E12=1,UX12=0),1000,0)),1000000))</f>
        <v/>
      </c>
      <c r="AEF12">
        <f>IF($B12=0,1000000,IF(INDEX('計算A'!$D$60:$II$104,$B12,230)*LR12=1,IF(AND($E12=2,UY12=0),1000000,INDEX('計算A'!HY$110:HY$114,$F12+1)+IF(AND($E12=1,UY12=0),1000,0)),1000000))</f>
        <v/>
      </c>
      <c r="AEG12">
        <f>IF($B12=0,1000000,IF(INDEX('計算A'!$D$60:$II$104,$B12,231)*LS12=1,IF(AND($E12=2,UZ12=0),1000000,INDEX('計算A'!HZ$110:HZ$114,$F12+1)+IF(AND($E12=1,UZ12=0),1000,0)),1000000))</f>
        <v/>
      </c>
      <c r="AEH12">
        <f>IF($B12=0,1000000,IF(INDEX('計算A'!$D$60:$II$104,$B12,232)*LT12=1,IF(AND($E12=2,VA12=0),1000000,INDEX('計算A'!IA$110:IA$114,$F12+1)+IF(AND($E12=1,VA12=0),1000,0)),1000000))</f>
        <v/>
      </c>
      <c r="AEI12">
        <f>IF($B12=0,1000000,IF(INDEX('計算A'!$D$60:$II$104,$B12,233)*LU12=1,IF(AND($E12=2,VB12=0),1000000,INDEX('計算A'!IB$110:IB$114,$F12+1)+IF(AND($E12=1,VB12=0),1000,0)),1000000))</f>
        <v/>
      </c>
      <c r="AEJ12">
        <f>IF($B12=0,1000000,IF(INDEX('計算A'!$D$60:$II$104,$B12,234)*LV12=1,IF(AND($E12=2,VC12=0),1000000,INDEX('計算A'!IC$110:IC$114,$F12+1)+IF(AND($E12=1,VC12=0),1000,0)),1000000))</f>
        <v/>
      </c>
      <c r="AEK12">
        <f>IF($B12=0,1000000,IF(INDEX('計算A'!$D$60:$II$104,$B12,235)*LW12=1,IF(AND($E12=2,VD12=0),1000000,INDEX('計算A'!ID$110:ID$114,$F12+1)+IF(AND($E12=1,VD12=0),1000,0)),1000000))</f>
        <v/>
      </c>
      <c r="AEL12">
        <f>IF($B12=0,1000000,IF(INDEX('計算A'!$D$60:$II$104,$B12,236)*LX12=1,IF(AND($E12=2,VE12=0),1000000,INDEX('計算A'!IE$110:IE$114,$F12+1)+IF(AND($E12=1,VE12=0),1000,0)),1000000))</f>
        <v/>
      </c>
      <c r="AEM12">
        <f>IF($B12=0,1000000,IF(INDEX('計算A'!$D$60:$II$104,$B12,237)*LY12=1,IF(AND($E12=2,VF12=0),1000000,INDEX('計算A'!IF$110:IF$114,$F12+1)+IF(AND($E12=1,VF12=0),1000,0)),1000000))</f>
        <v/>
      </c>
      <c r="AEN12">
        <f>IF($B12=0,1000000,IF(INDEX('計算A'!$D$60:$II$104,$B12,238)*LZ12=1,IF(AND($E12=2,VG12=0),1000000,INDEX('計算A'!IG$110:IG$114,$F12+1)+IF(AND($E12=1,VG12=0),1000,0)),1000000))</f>
        <v/>
      </c>
      <c r="AEO12">
        <f>IF($B12=0,1000000,IF(INDEX('計算A'!$D$60:$II$104,$B12,239)*MA12=1,IF(AND($E12=2,VH12=0),1000000,INDEX('計算A'!IH$110:IH$114,$F12+1)+IF(AND($E12=1,VH12=0),1000,0)),1000000))</f>
        <v/>
      </c>
      <c r="AEP12">
        <f>IF($B12=0,1000000,IF(INDEX('計算A'!$D$60:$II$104,$B12,240)*MB12=1,IF(AND($E12=2,VI12=0),1000000,INDEX('計算A'!II$110:II$114,$F12+1)+IF(AND($E12=1,VI12=0),1000,0)),1000000))</f>
        <v/>
      </c>
    </row>
    <row r="13">
      <c r="A13" t="n">
        <v>11</v>
      </c>
      <c r="B13">
        <f>IF(MIN(BC13:CU13)&gt;=1000000,0,MATCH(MIN(BC13:CU13),BC13:CU13,0))</f>
        <v/>
      </c>
      <c r="C13">
        <f>IF(MIN(VK13:AEP13)&gt;=1000000,0,MATCH(MIN(VK13:AEP13),VK13:AEP13,0))</f>
        <v/>
      </c>
      <c r="D13">
        <f>IF(C13&gt;0,INDEX('計算A'!$D$5:$II$5,C13),0)</f>
        <v/>
      </c>
      <c r="E13">
        <f>IF(B13=0,0,INDEX('計算A'!$IQ$10:$IQ$54,B13))</f>
        <v/>
      </c>
      <c r="F13">
        <f>IF(B13=0,0,INDEX('計算A'!$IP$10:$IP$54,B13))</f>
        <v/>
      </c>
      <c r="G13">
        <f>IF(AND(C13&gt;0,E13&gt;0),IF(AND(INDEX('計算A'!$D$106:$II$106,C13)=1,INDEX($MD13:$VI13,C13)=1),C13+1,0),0)</f>
        <v/>
      </c>
      <c r="I13">
        <f>MAX(I12,IF($B12=1,1,0))</f>
        <v/>
      </c>
      <c r="J13">
        <f>MAX(J12,IF($B12=2,1,0))</f>
        <v/>
      </c>
      <c r="K13">
        <f>MAX(K12,IF($B12=3,1,0))</f>
        <v/>
      </c>
      <c r="L13">
        <f>MAX(L12,IF($B12=4,1,0))</f>
        <v/>
      </c>
      <c r="M13">
        <f>MAX(M12,IF($B12=5,1,0))</f>
        <v/>
      </c>
      <c r="N13">
        <f>MAX(N12,IF($B12=6,1,0))</f>
        <v/>
      </c>
      <c r="O13">
        <f>MAX(O12,IF($B12=7,1,0))</f>
        <v/>
      </c>
      <c r="P13">
        <f>MAX(P12,IF($B12=8,1,0))</f>
        <v/>
      </c>
      <c r="Q13">
        <f>MAX(Q12,IF($B12=9,1,0))</f>
        <v/>
      </c>
      <c r="R13">
        <f>MAX(R12,IF($B12=10,1,0))</f>
        <v/>
      </c>
      <c r="S13">
        <f>MAX(S12,IF($B12=11,1,0))</f>
        <v/>
      </c>
      <c r="T13">
        <f>MAX(T12,IF($B12=12,1,0))</f>
        <v/>
      </c>
      <c r="U13">
        <f>MAX(U12,IF($B12=13,1,0))</f>
        <v/>
      </c>
      <c r="V13">
        <f>MAX(V12,IF($B12=14,1,0))</f>
        <v/>
      </c>
      <c r="W13">
        <f>MAX(W12,IF($B12=15,1,0))</f>
        <v/>
      </c>
      <c r="X13">
        <f>MAX(X12,IF($B12=16,1,0))</f>
        <v/>
      </c>
      <c r="Y13">
        <f>MAX(Y12,IF($B12=17,1,0))</f>
        <v/>
      </c>
      <c r="Z13">
        <f>MAX(Z12,IF($B12=18,1,0))</f>
        <v/>
      </c>
      <c r="AA13">
        <f>MAX(AA12,IF($B12=19,1,0))</f>
        <v/>
      </c>
      <c r="AB13">
        <f>MAX(AB12,IF($B12=20,1,0))</f>
        <v/>
      </c>
      <c r="AC13">
        <f>MAX(AC12,IF($B12=21,1,0))</f>
        <v/>
      </c>
      <c r="AD13">
        <f>MAX(AD12,IF($B12=22,1,0))</f>
        <v/>
      </c>
      <c r="AE13">
        <f>MAX(AE12,IF($B12=23,1,0))</f>
        <v/>
      </c>
      <c r="AF13">
        <f>MAX(AF12,IF($B12=24,1,0))</f>
        <v/>
      </c>
      <c r="AG13">
        <f>MAX(AG12,IF($B12=25,1,0))</f>
        <v/>
      </c>
      <c r="AH13">
        <f>MAX(AH12,IF($B12=26,1,0))</f>
        <v/>
      </c>
      <c r="AI13">
        <f>MAX(AI12,IF($B12=27,1,0))</f>
        <v/>
      </c>
      <c r="AJ13">
        <f>MAX(AJ12,IF($B12=28,1,0))</f>
        <v/>
      </c>
      <c r="AK13">
        <f>MAX(AK12,IF($B12=29,1,0))</f>
        <v/>
      </c>
      <c r="AL13">
        <f>MAX(AL12,IF($B12=30,1,0))</f>
        <v/>
      </c>
      <c r="AM13">
        <f>MAX(AM12,IF($B12=31,1,0))</f>
        <v/>
      </c>
      <c r="AN13">
        <f>MAX(AN12,IF($B12=32,1,0))</f>
        <v/>
      </c>
      <c r="AO13">
        <f>MAX(AO12,IF($B12=33,1,0))</f>
        <v/>
      </c>
      <c r="AP13">
        <f>MAX(AP12,IF($B12=34,1,0))</f>
        <v/>
      </c>
      <c r="AQ13">
        <f>MAX(AQ12,IF($B12=35,1,0))</f>
        <v/>
      </c>
      <c r="AR13">
        <f>MAX(AR12,IF($B12=36,1,0))</f>
        <v/>
      </c>
      <c r="AS13">
        <f>MAX(AS12,IF($B12=37,1,0))</f>
        <v/>
      </c>
      <c r="AT13">
        <f>MAX(AT12,IF($B12=38,1,0))</f>
        <v/>
      </c>
      <c r="AU13">
        <f>MAX(AU12,IF($B12=39,1,0))</f>
        <v/>
      </c>
      <c r="AV13">
        <f>MAX(AV12,IF($B12=40,1,0))</f>
        <v/>
      </c>
      <c r="AW13">
        <f>MAX(AW12,IF($B12=41,1,0))</f>
        <v/>
      </c>
      <c r="AX13">
        <f>MAX(AX12,IF($B12=42,1,0))</f>
        <v/>
      </c>
      <c r="AY13">
        <f>MAX(AY12,IF($B12=43,1,0))</f>
        <v/>
      </c>
      <c r="AZ13">
        <f>MAX(AZ12,IF($B12=44,1,0))</f>
        <v/>
      </c>
      <c r="BA13">
        <f>MAX(BA12,IF($B12=45,1,0))</f>
        <v/>
      </c>
      <c r="BC13">
        <f>IF(I13=1,1000000,IF('計算A'!$IQ$10=2,SUMPRODUCT('計算A'!$D$60:$II$60,$CW13:$MB13,$MD13:$VI13),SUMPRODUCT('計算A'!$D$60:$II$60,$CW13:$MB13))*1000+1)</f>
        <v/>
      </c>
      <c r="BD13">
        <f>IF(J13=1,1000000,IF('計算A'!$IQ$11=2,SUMPRODUCT('計算A'!$D$61:$II$61,$CW13:$MB13,$MD13:$VI13),SUMPRODUCT('計算A'!$D$61:$II$61,$CW13:$MB13))*1000+2)</f>
        <v/>
      </c>
      <c r="BE13">
        <f>IF(K13=1,1000000,IF('計算A'!$IQ$12=2,SUMPRODUCT('計算A'!$D$62:$II$62,$CW13:$MB13,$MD13:$VI13),SUMPRODUCT('計算A'!$D$62:$II$62,$CW13:$MB13))*1000+3)</f>
        <v/>
      </c>
      <c r="BF13">
        <f>IF(L13=1,1000000,IF('計算A'!$IQ$13=2,SUMPRODUCT('計算A'!$D$63:$II$63,$CW13:$MB13,$MD13:$VI13),SUMPRODUCT('計算A'!$D$63:$II$63,$CW13:$MB13))*1000+4)</f>
        <v/>
      </c>
      <c r="BG13">
        <f>IF(M13=1,1000000,IF('計算A'!$IQ$14=2,SUMPRODUCT('計算A'!$D$64:$II$64,$CW13:$MB13,$MD13:$VI13),SUMPRODUCT('計算A'!$D$64:$II$64,$CW13:$MB13))*1000+5)</f>
        <v/>
      </c>
      <c r="BH13">
        <f>IF(N13=1,1000000,IF('計算A'!$IQ$15=2,SUMPRODUCT('計算A'!$D$65:$II$65,$CW13:$MB13,$MD13:$VI13),SUMPRODUCT('計算A'!$D$65:$II$65,$CW13:$MB13))*1000+6)</f>
        <v/>
      </c>
      <c r="BI13">
        <f>IF(O13=1,1000000,IF('計算A'!$IQ$16=2,SUMPRODUCT('計算A'!$D$66:$II$66,$CW13:$MB13,$MD13:$VI13),SUMPRODUCT('計算A'!$D$66:$II$66,$CW13:$MB13))*1000+7)</f>
        <v/>
      </c>
      <c r="BJ13">
        <f>IF(P13=1,1000000,IF('計算A'!$IQ$17=2,SUMPRODUCT('計算A'!$D$67:$II$67,$CW13:$MB13,$MD13:$VI13),SUMPRODUCT('計算A'!$D$67:$II$67,$CW13:$MB13))*1000+8)</f>
        <v/>
      </c>
      <c r="BK13">
        <f>IF(Q13=1,1000000,IF('計算A'!$IQ$18=2,SUMPRODUCT('計算A'!$D$68:$II$68,$CW13:$MB13,$MD13:$VI13),SUMPRODUCT('計算A'!$D$68:$II$68,$CW13:$MB13))*1000+9)</f>
        <v/>
      </c>
      <c r="BL13">
        <f>IF(R13=1,1000000,IF('計算A'!$IQ$19=2,SUMPRODUCT('計算A'!$D$69:$II$69,$CW13:$MB13,$MD13:$VI13),SUMPRODUCT('計算A'!$D$69:$II$69,$CW13:$MB13))*1000+10)</f>
        <v/>
      </c>
      <c r="BM13">
        <f>IF(S13=1,1000000,IF('計算A'!$IQ$20=2,SUMPRODUCT('計算A'!$D$70:$II$70,$CW13:$MB13,$MD13:$VI13),SUMPRODUCT('計算A'!$D$70:$II$70,$CW13:$MB13))*1000+11)</f>
        <v/>
      </c>
      <c r="BN13">
        <f>IF(T13=1,1000000,IF('計算A'!$IQ$21=2,SUMPRODUCT('計算A'!$D$71:$II$71,$CW13:$MB13,$MD13:$VI13),SUMPRODUCT('計算A'!$D$71:$II$71,$CW13:$MB13))*1000+12)</f>
        <v/>
      </c>
      <c r="BO13">
        <f>IF(U13=1,1000000,IF('計算A'!$IQ$22=2,SUMPRODUCT('計算A'!$D$72:$II$72,$CW13:$MB13,$MD13:$VI13),SUMPRODUCT('計算A'!$D$72:$II$72,$CW13:$MB13))*1000+13)</f>
        <v/>
      </c>
      <c r="BP13">
        <f>IF(V13=1,1000000,IF('計算A'!$IQ$23=2,SUMPRODUCT('計算A'!$D$73:$II$73,$CW13:$MB13,$MD13:$VI13),SUMPRODUCT('計算A'!$D$73:$II$73,$CW13:$MB13))*1000+14)</f>
        <v/>
      </c>
      <c r="BQ13">
        <f>IF(W13=1,1000000,IF('計算A'!$IQ$24=2,SUMPRODUCT('計算A'!$D$74:$II$74,$CW13:$MB13,$MD13:$VI13),SUMPRODUCT('計算A'!$D$74:$II$74,$CW13:$MB13))*1000+15)</f>
        <v/>
      </c>
      <c r="BR13">
        <f>IF(X13=1,1000000,IF('計算A'!$IQ$25=2,SUMPRODUCT('計算A'!$D$75:$II$75,$CW13:$MB13,$MD13:$VI13),SUMPRODUCT('計算A'!$D$75:$II$75,$CW13:$MB13))*1000+16)</f>
        <v/>
      </c>
      <c r="BS13">
        <f>IF(Y13=1,1000000,IF('計算A'!$IQ$26=2,SUMPRODUCT('計算A'!$D$76:$II$76,$CW13:$MB13,$MD13:$VI13),SUMPRODUCT('計算A'!$D$76:$II$76,$CW13:$MB13))*1000+17)</f>
        <v/>
      </c>
      <c r="BT13">
        <f>IF(Z13=1,1000000,IF('計算A'!$IQ$27=2,SUMPRODUCT('計算A'!$D$77:$II$77,$CW13:$MB13,$MD13:$VI13),SUMPRODUCT('計算A'!$D$77:$II$77,$CW13:$MB13))*1000+18)</f>
        <v/>
      </c>
      <c r="BU13">
        <f>IF(AA13=1,1000000,IF('計算A'!$IQ$28=2,SUMPRODUCT('計算A'!$D$78:$II$78,$CW13:$MB13,$MD13:$VI13),SUMPRODUCT('計算A'!$D$78:$II$78,$CW13:$MB13))*1000+19)</f>
        <v/>
      </c>
      <c r="BV13">
        <f>IF(AB13=1,1000000,IF('計算A'!$IQ$29=2,SUMPRODUCT('計算A'!$D$79:$II$79,$CW13:$MB13,$MD13:$VI13),SUMPRODUCT('計算A'!$D$79:$II$79,$CW13:$MB13))*1000+20)</f>
        <v/>
      </c>
      <c r="BW13">
        <f>IF(AC13=1,1000000,IF('計算A'!$IQ$30=2,SUMPRODUCT('計算A'!$D$80:$II$80,$CW13:$MB13,$MD13:$VI13),SUMPRODUCT('計算A'!$D$80:$II$80,$CW13:$MB13))*1000+21)</f>
        <v/>
      </c>
      <c r="BX13">
        <f>IF(AD13=1,1000000,IF('計算A'!$IQ$31=2,SUMPRODUCT('計算A'!$D$81:$II$81,$CW13:$MB13,$MD13:$VI13),SUMPRODUCT('計算A'!$D$81:$II$81,$CW13:$MB13))*1000+22)</f>
        <v/>
      </c>
      <c r="BY13">
        <f>IF(AE13=1,1000000,IF('計算A'!$IQ$32=2,SUMPRODUCT('計算A'!$D$82:$II$82,$CW13:$MB13,$MD13:$VI13),SUMPRODUCT('計算A'!$D$82:$II$82,$CW13:$MB13))*1000+23)</f>
        <v/>
      </c>
      <c r="BZ13">
        <f>IF(AF13=1,1000000,IF('計算A'!$IQ$33=2,SUMPRODUCT('計算A'!$D$83:$II$83,$CW13:$MB13,$MD13:$VI13),SUMPRODUCT('計算A'!$D$83:$II$83,$CW13:$MB13))*1000+24)</f>
        <v/>
      </c>
      <c r="CA13">
        <f>IF(AG13=1,1000000,IF('計算A'!$IQ$34=2,SUMPRODUCT('計算A'!$D$84:$II$84,$CW13:$MB13,$MD13:$VI13),SUMPRODUCT('計算A'!$D$84:$II$84,$CW13:$MB13))*1000+25)</f>
        <v/>
      </c>
      <c r="CB13">
        <f>IF(AH13=1,1000000,IF('計算A'!$IQ$35=2,SUMPRODUCT('計算A'!$D$85:$II$85,$CW13:$MB13,$MD13:$VI13),SUMPRODUCT('計算A'!$D$85:$II$85,$CW13:$MB13))*1000+26)</f>
        <v/>
      </c>
      <c r="CC13">
        <f>IF(AI13=1,1000000,IF('計算A'!$IQ$36=2,SUMPRODUCT('計算A'!$D$86:$II$86,$CW13:$MB13,$MD13:$VI13),SUMPRODUCT('計算A'!$D$86:$II$86,$CW13:$MB13))*1000+27)</f>
        <v/>
      </c>
      <c r="CD13">
        <f>IF(AJ13=1,1000000,IF('計算A'!$IQ$37=2,SUMPRODUCT('計算A'!$D$87:$II$87,$CW13:$MB13,$MD13:$VI13),SUMPRODUCT('計算A'!$D$87:$II$87,$CW13:$MB13))*1000+28)</f>
        <v/>
      </c>
      <c r="CE13">
        <f>IF(AK13=1,1000000,IF('計算A'!$IQ$38=2,SUMPRODUCT('計算A'!$D$88:$II$88,$CW13:$MB13,$MD13:$VI13),SUMPRODUCT('計算A'!$D$88:$II$88,$CW13:$MB13))*1000+29)</f>
        <v/>
      </c>
      <c r="CF13">
        <f>IF(AL13=1,1000000,IF('計算A'!$IQ$39=2,SUMPRODUCT('計算A'!$D$89:$II$89,$CW13:$MB13,$MD13:$VI13),SUMPRODUCT('計算A'!$D$89:$II$89,$CW13:$MB13))*1000+30)</f>
        <v/>
      </c>
      <c r="CG13">
        <f>IF(AM13=1,1000000,IF('計算A'!$IQ$40=2,SUMPRODUCT('計算A'!$D$90:$II$90,$CW13:$MB13,$MD13:$VI13),SUMPRODUCT('計算A'!$D$90:$II$90,$CW13:$MB13))*1000+31)</f>
        <v/>
      </c>
      <c r="CH13">
        <f>IF(AN13=1,1000000,IF('計算A'!$IQ$41=2,SUMPRODUCT('計算A'!$D$91:$II$91,$CW13:$MB13,$MD13:$VI13),SUMPRODUCT('計算A'!$D$91:$II$91,$CW13:$MB13))*1000+32)</f>
        <v/>
      </c>
      <c r="CI13">
        <f>IF(AO13=1,1000000,IF('計算A'!$IQ$42=2,SUMPRODUCT('計算A'!$D$92:$II$92,$CW13:$MB13,$MD13:$VI13),SUMPRODUCT('計算A'!$D$92:$II$92,$CW13:$MB13))*1000+33)</f>
        <v/>
      </c>
      <c r="CJ13">
        <f>IF(AP13=1,1000000,IF('計算A'!$IQ$43=2,SUMPRODUCT('計算A'!$D$93:$II$93,$CW13:$MB13,$MD13:$VI13),SUMPRODUCT('計算A'!$D$93:$II$93,$CW13:$MB13))*1000+34)</f>
        <v/>
      </c>
      <c r="CK13">
        <f>IF(AQ13=1,1000000,IF('計算A'!$IQ$44=2,SUMPRODUCT('計算A'!$D$94:$II$94,$CW13:$MB13,$MD13:$VI13),SUMPRODUCT('計算A'!$D$94:$II$94,$CW13:$MB13))*1000+35)</f>
        <v/>
      </c>
      <c r="CL13">
        <f>IF(AR13=1,1000000,IF('計算A'!$IQ$45=2,SUMPRODUCT('計算A'!$D$95:$II$95,$CW13:$MB13,$MD13:$VI13),SUMPRODUCT('計算A'!$D$95:$II$95,$CW13:$MB13))*1000+36)</f>
        <v/>
      </c>
      <c r="CM13">
        <f>IF(AS13=1,1000000,IF('計算A'!$IQ$46=2,SUMPRODUCT('計算A'!$D$96:$II$96,$CW13:$MB13,$MD13:$VI13),SUMPRODUCT('計算A'!$D$96:$II$96,$CW13:$MB13))*1000+37)</f>
        <v/>
      </c>
      <c r="CN13">
        <f>IF(AT13=1,1000000,IF('計算A'!$IQ$47=2,SUMPRODUCT('計算A'!$D$97:$II$97,$CW13:$MB13,$MD13:$VI13),SUMPRODUCT('計算A'!$D$97:$II$97,$CW13:$MB13))*1000+38)</f>
        <v/>
      </c>
      <c r="CO13">
        <f>IF(AU13=1,1000000,IF('計算A'!$IQ$48=2,SUMPRODUCT('計算A'!$D$98:$II$98,$CW13:$MB13,$MD13:$VI13),SUMPRODUCT('計算A'!$D$98:$II$98,$CW13:$MB13))*1000+39)</f>
        <v/>
      </c>
      <c r="CP13">
        <f>IF(AV13=1,1000000,IF('計算A'!$IQ$49=2,SUMPRODUCT('計算A'!$D$99:$II$99,$CW13:$MB13,$MD13:$VI13),SUMPRODUCT('計算A'!$D$99:$II$99,$CW13:$MB13))*1000+40)</f>
        <v/>
      </c>
      <c r="CQ13">
        <f>IF(AW13=1,1000000,IF('計算A'!$IQ$50=2,SUMPRODUCT('計算A'!$D$100:$II$100,$CW13:$MB13,$MD13:$VI13),SUMPRODUCT('計算A'!$D$100:$II$100,$CW13:$MB13))*1000+41)</f>
        <v/>
      </c>
      <c r="CR13">
        <f>IF(AX13=1,1000000,IF('計算A'!$IQ$51=2,SUMPRODUCT('計算A'!$D$101:$II$101,$CW13:$MB13,$MD13:$VI13),SUMPRODUCT('計算A'!$D$101:$II$101,$CW13:$MB13))*1000+42)</f>
        <v/>
      </c>
      <c r="CS13">
        <f>IF(AY13=1,1000000,IF('計算A'!$IQ$52=2,SUMPRODUCT('計算A'!$D$102:$II$102,$CW13:$MB13,$MD13:$VI13),SUMPRODUCT('計算A'!$D$102:$II$102,$CW13:$MB13))*1000+43)</f>
        <v/>
      </c>
      <c r="CT13">
        <f>IF(AZ13=1,1000000,IF('計算A'!$IQ$53=2,SUMPRODUCT('計算A'!$D$103:$II$103,$CW13:$MB13,$MD13:$VI13),SUMPRODUCT('計算A'!$D$103:$II$103,$CW13:$MB13))*1000+44)</f>
        <v/>
      </c>
      <c r="CU13">
        <f>IF(BA13=1,1000000,IF('計算A'!$IQ$54=2,SUMPRODUCT('計算A'!$D$104:$II$104,$CW13:$MB13,$MD13:$VI13),SUMPRODUCT('計算A'!$D$104:$II$104,$CW13:$MB13))*1000+45)</f>
        <v/>
      </c>
      <c r="CW13">
        <f>CW12*IF(OR($C12=1,$G12=1),0,1)</f>
        <v/>
      </c>
      <c r="CX13">
        <f>CX12*IF(OR($C12=2,$G12=2),0,1)</f>
        <v/>
      </c>
      <c r="CY13">
        <f>CY12*IF(OR($C12=3,$G12=3),0,1)</f>
        <v/>
      </c>
      <c r="CZ13">
        <f>CZ12*IF(OR($C12=4,$G12=4),0,1)</f>
        <v/>
      </c>
      <c r="DA13">
        <f>DA12*IF(OR($C12=5,$G12=5),0,1)</f>
        <v/>
      </c>
      <c r="DB13">
        <f>DB12*IF(OR($C12=6,$G12=6),0,1)</f>
        <v/>
      </c>
      <c r="DC13">
        <f>DC12*IF(OR($C12=7,$G12=7),0,1)</f>
        <v/>
      </c>
      <c r="DD13">
        <f>DD12*IF(OR($C12=8,$G12=8),0,1)</f>
        <v/>
      </c>
      <c r="DE13">
        <f>DE12*IF(OR($C12=9,$G12=9),0,1)</f>
        <v/>
      </c>
      <c r="DF13">
        <f>DF12*IF(OR($C12=10,$G12=10),0,1)</f>
        <v/>
      </c>
      <c r="DG13">
        <f>DG12*IF(OR($C12=11,$G12=11),0,1)</f>
        <v/>
      </c>
      <c r="DH13">
        <f>DH12*IF(OR($C12=12,$G12=12),0,1)</f>
        <v/>
      </c>
      <c r="DI13">
        <f>DI12*IF(OR($C12=13,$G12=13),0,1)</f>
        <v/>
      </c>
      <c r="DJ13">
        <f>DJ12*IF(OR($C12=14,$G12=14),0,1)</f>
        <v/>
      </c>
      <c r="DK13">
        <f>DK12*IF(OR($C12=15,$G12=15),0,1)</f>
        <v/>
      </c>
      <c r="DL13">
        <f>DL12*IF(OR($C12=16,$G12=16),0,1)</f>
        <v/>
      </c>
      <c r="DM13">
        <f>DM12*IF(OR($C12=17,$G12=17),0,1)</f>
        <v/>
      </c>
      <c r="DN13">
        <f>DN12*IF(OR($C12=18,$G12=18),0,1)</f>
        <v/>
      </c>
      <c r="DO13">
        <f>DO12*IF(OR($C12=19,$G12=19),0,1)</f>
        <v/>
      </c>
      <c r="DP13">
        <f>DP12*IF(OR($C12=20,$G12=20),0,1)</f>
        <v/>
      </c>
      <c r="DQ13">
        <f>DQ12*IF(OR($C12=21,$G12=21),0,1)</f>
        <v/>
      </c>
      <c r="DR13">
        <f>DR12*IF(OR($C12=22,$G12=22),0,1)</f>
        <v/>
      </c>
      <c r="DS13">
        <f>DS12*IF(OR($C12=23,$G12=23),0,1)</f>
        <v/>
      </c>
      <c r="DT13">
        <f>DT12*IF(OR($C12=24,$G12=24),0,1)</f>
        <v/>
      </c>
      <c r="DU13">
        <f>DU12*IF(OR($C12=25,$G12=25),0,1)</f>
        <v/>
      </c>
      <c r="DV13">
        <f>DV12*IF(OR($C12=26,$G12=26),0,1)</f>
        <v/>
      </c>
      <c r="DW13">
        <f>DW12*IF(OR($C12=27,$G12=27),0,1)</f>
        <v/>
      </c>
      <c r="DX13">
        <f>DX12*IF(OR($C12=28,$G12=28),0,1)</f>
        <v/>
      </c>
      <c r="DY13">
        <f>DY12*IF(OR($C12=29,$G12=29),0,1)</f>
        <v/>
      </c>
      <c r="DZ13">
        <f>DZ12*IF(OR($C12=30,$G12=30),0,1)</f>
        <v/>
      </c>
      <c r="EA13">
        <f>EA12*IF(OR($C12=31,$G12=31),0,1)</f>
        <v/>
      </c>
      <c r="EB13">
        <f>EB12*IF(OR($C12=32,$G12=32),0,1)</f>
        <v/>
      </c>
      <c r="EC13">
        <f>EC12*IF(OR($C12=33,$G12=33),0,1)</f>
        <v/>
      </c>
      <c r="ED13">
        <f>ED12*IF(OR($C12=34,$G12=34),0,1)</f>
        <v/>
      </c>
      <c r="EE13">
        <f>EE12*IF(OR($C12=35,$G12=35),0,1)</f>
        <v/>
      </c>
      <c r="EF13">
        <f>EF12*IF(OR($C12=36,$G12=36),0,1)</f>
        <v/>
      </c>
      <c r="EG13">
        <f>EG12*IF(OR($C12=37,$G12=37),0,1)</f>
        <v/>
      </c>
      <c r="EH13">
        <f>EH12*IF(OR($C12=38,$G12=38),0,1)</f>
        <v/>
      </c>
      <c r="EI13">
        <f>EI12*IF(OR($C12=39,$G12=39),0,1)</f>
        <v/>
      </c>
      <c r="EJ13">
        <f>EJ12*IF(OR($C12=40,$G12=40),0,1)</f>
        <v/>
      </c>
      <c r="EK13">
        <f>EK12*IF(OR($C12=41,$G12=41),0,1)</f>
        <v/>
      </c>
      <c r="EL13">
        <f>EL12*IF(OR($C12=42,$G12=42),0,1)</f>
        <v/>
      </c>
      <c r="EM13">
        <f>EM12*IF(OR($C12=43,$G12=43),0,1)</f>
        <v/>
      </c>
      <c r="EN13">
        <f>EN12*IF(OR($C12=44,$G12=44),0,1)</f>
        <v/>
      </c>
      <c r="EO13">
        <f>EO12*IF(OR($C12=45,$G12=45),0,1)</f>
        <v/>
      </c>
      <c r="EP13">
        <f>EP12*IF(OR($C12=46,$G12=46),0,1)</f>
        <v/>
      </c>
      <c r="EQ13">
        <f>EQ12*IF(OR($C12=47,$G12=47),0,1)</f>
        <v/>
      </c>
      <c r="ER13">
        <f>ER12*IF(OR($C12=48,$G12=48),0,1)</f>
        <v/>
      </c>
      <c r="ES13">
        <f>ES12*IF(OR($C12=49,$G12=49),0,1)</f>
        <v/>
      </c>
      <c r="ET13">
        <f>ET12*IF(OR($C12=50,$G12=50),0,1)</f>
        <v/>
      </c>
      <c r="EU13">
        <f>EU12*IF(OR($C12=51,$G12=51),0,1)</f>
        <v/>
      </c>
      <c r="EV13">
        <f>EV12*IF(OR($C12=52,$G12=52),0,1)</f>
        <v/>
      </c>
      <c r="EW13">
        <f>EW12*IF(OR($C12=53,$G12=53),0,1)</f>
        <v/>
      </c>
      <c r="EX13">
        <f>EX12*IF(OR($C12=54,$G12=54),0,1)</f>
        <v/>
      </c>
      <c r="EY13">
        <f>EY12*IF(OR($C12=55,$G12=55),0,1)</f>
        <v/>
      </c>
      <c r="EZ13">
        <f>EZ12*IF(OR($C12=56,$G12=56),0,1)</f>
        <v/>
      </c>
      <c r="FA13">
        <f>FA12*IF(OR($C12=57,$G12=57),0,1)</f>
        <v/>
      </c>
      <c r="FB13">
        <f>FB12*IF(OR($C12=58,$G12=58),0,1)</f>
        <v/>
      </c>
      <c r="FC13">
        <f>FC12*IF(OR($C12=59,$G12=59),0,1)</f>
        <v/>
      </c>
      <c r="FD13">
        <f>FD12*IF(OR($C12=60,$G12=60),0,1)</f>
        <v/>
      </c>
      <c r="FE13">
        <f>FE12*IF(OR($C12=61,$G12=61),0,1)</f>
        <v/>
      </c>
      <c r="FF13">
        <f>FF12*IF(OR($C12=62,$G12=62),0,1)</f>
        <v/>
      </c>
      <c r="FG13">
        <f>FG12*IF(OR($C12=63,$G12=63),0,1)</f>
        <v/>
      </c>
      <c r="FH13">
        <f>FH12*IF(OR($C12=64,$G12=64),0,1)</f>
        <v/>
      </c>
      <c r="FI13">
        <f>FI12*IF(OR($C12=65,$G12=65),0,1)</f>
        <v/>
      </c>
      <c r="FJ13">
        <f>FJ12*IF(OR($C12=66,$G12=66),0,1)</f>
        <v/>
      </c>
      <c r="FK13">
        <f>FK12*IF(OR($C12=67,$G12=67),0,1)</f>
        <v/>
      </c>
      <c r="FL13">
        <f>FL12*IF(OR($C12=68,$G12=68),0,1)</f>
        <v/>
      </c>
      <c r="FM13">
        <f>FM12*IF(OR($C12=69,$G12=69),0,1)</f>
        <v/>
      </c>
      <c r="FN13">
        <f>FN12*IF(OR($C12=70,$G12=70),0,1)</f>
        <v/>
      </c>
      <c r="FO13">
        <f>FO12*IF(OR($C12=71,$G12=71),0,1)</f>
        <v/>
      </c>
      <c r="FP13">
        <f>FP12*IF(OR($C12=72,$G12=72),0,1)</f>
        <v/>
      </c>
      <c r="FQ13">
        <f>FQ12*IF(OR($C12=73,$G12=73),0,1)</f>
        <v/>
      </c>
      <c r="FR13">
        <f>FR12*IF(OR($C12=74,$G12=74),0,1)</f>
        <v/>
      </c>
      <c r="FS13">
        <f>FS12*IF(OR($C12=75,$G12=75),0,1)</f>
        <v/>
      </c>
      <c r="FT13">
        <f>FT12*IF(OR($C12=76,$G12=76),0,1)</f>
        <v/>
      </c>
      <c r="FU13">
        <f>FU12*IF(OR($C12=77,$G12=77),0,1)</f>
        <v/>
      </c>
      <c r="FV13">
        <f>FV12*IF(OR($C12=78,$G12=78),0,1)</f>
        <v/>
      </c>
      <c r="FW13">
        <f>FW12*IF(OR($C12=79,$G12=79),0,1)</f>
        <v/>
      </c>
      <c r="FX13">
        <f>FX12*IF(OR($C12=80,$G12=80),0,1)</f>
        <v/>
      </c>
      <c r="FY13">
        <f>FY12*IF(OR($C12=81,$G12=81),0,1)</f>
        <v/>
      </c>
      <c r="FZ13">
        <f>FZ12*IF(OR($C12=82,$G12=82),0,1)</f>
        <v/>
      </c>
      <c r="GA13">
        <f>GA12*IF(OR($C12=83,$G12=83),0,1)</f>
        <v/>
      </c>
      <c r="GB13">
        <f>GB12*IF(OR($C12=84,$G12=84),0,1)</f>
        <v/>
      </c>
      <c r="GC13">
        <f>GC12*IF(OR($C12=85,$G12=85),0,1)</f>
        <v/>
      </c>
      <c r="GD13">
        <f>GD12*IF(OR($C12=86,$G12=86),0,1)</f>
        <v/>
      </c>
      <c r="GE13">
        <f>GE12*IF(OR($C12=87,$G12=87),0,1)</f>
        <v/>
      </c>
      <c r="GF13">
        <f>GF12*IF(OR($C12=88,$G12=88),0,1)</f>
        <v/>
      </c>
      <c r="GG13">
        <f>GG12*IF(OR($C12=89,$G12=89),0,1)</f>
        <v/>
      </c>
      <c r="GH13">
        <f>GH12*IF(OR($C12=90,$G12=90),0,1)</f>
        <v/>
      </c>
      <c r="GI13">
        <f>GI12*IF(OR($C12=91,$G12=91),0,1)</f>
        <v/>
      </c>
      <c r="GJ13">
        <f>GJ12*IF(OR($C12=92,$G12=92),0,1)</f>
        <v/>
      </c>
      <c r="GK13">
        <f>GK12*IF(OR($C12=93,$G12=93),0,1)</f>
        <v/>
      </c>
      <c r="GL13">
        <f>GL12*IF(OR($C12=94,$G12=94),0,1)</f>
        <v/>
      </c>
      <c r="GM13">
        <f>GM12*IF(OR($C12=95,$G12=95),0,1)</f>
        <v/>
      </c>
      <c r="GN13">
        <f>GN12*IF(OR($C12=96,$G12=96),0,1)</f>
        <v/>
      </c>
      <c r="GO13">
        <f>GO12*IF(OR($C12=97,$G12=97),0,1)</f>
        <v/>
      </c>
      <c r="GP13">
        <f>GP12*IF(OR($C12=98,$G12=98),0,1)</f>
        <v/>
      </c>
      <c r="GQ13">
        <f>GQ12*IF(OR($C12=99,$G12=99),0,1)</f>
        <v/>
      </c>
      <c r="GR13">
        <f>GR12*IF(OR($C12=100,$G12=100),0,1)</f>
        <v/>
      </c>
      <c r="GS13">
        <f>GS12*IF(OR($C12=101,$G12=101),0,1)</f>
        <v/>
      </c>
      <c r="GT13">
        <f>GT12*IF(OR($C12=102,$G12=102),0,1)</f>
        <v/>
      </c>
      <c r="GU13">
        <f>GU12*IF(OR($C12=103,$G12=103),0,1)</f>
        <v/>
      </c>
      <c r="GV13">
        <f>GV12*IF(OR($C12=104,$G12=104),0,1)</f>
        <v/>
      </c>
      <c r="GW13">
        <f>GW12*IF(OR($C12=105,$G12=105),0,1)</f>
        <v/>
      </c>
      <c r="GX13">
        <f>GX12*IF(OR($C12=106,$G12=106),0,1)</f>
        <v/>
      </c>
      <c r="GY13">
        <f>GY12*IF(OR($C12=107,$G12=107),0,1)</f>
        <v/>
      </c>
      <c r="GZ13">
        <f>GZ12*IF(OR($C12=108,$G12=108),0,1)</f>
        <v/>
      </c>
      <c r="HA13">
        <f>HA12*IF(OR($C12=109,$G12=109),0,1)</f>
        <v/>
      </c>
      <c r="HB13">
        <f>HB12*IF(OR($C12=110,$G12=110),0,1)</f>
        <v/>
      </c>
      <c r="HC13">
        <f>HC12*IF(OR($C12=111,$G12=111),0,1)</f>
        <v/>
      </c>
      <c r="HD13">
        <f>HD12*IF(OR($C12=112,$G12=112),0,1)</f>
        <v/>
      </c>
      <c r="HE13">
        <f>HE12*IF(OR($C12=113,$G12=113),0,1)</f>
        <v/>
      </c>
      <c r="HF13">
        <f>HF12*IF(OR($C12=114,$G12=114),0,1)</f>
        <v/>
      </c>
      <c r="HG13">
        <f>HG12*IF(OR($C12=115,$G12=115),0,1)</f>
        <v/>
      </c>
      <c r="HH13">
        <f>HH12*IF(OR($C12=116,$G12=116),0,1)</f>
        <v/>
      </c>
      <c r="HI13">
        <f>HI12*IF(OR($C12=117,$G12=117),0,1)</f>
        <v/>
      </c>
      <c r="HJ13">
        <f>HJ12*IF(OR($C12=118,$G12=118),0,1)</f>
        <v/>
      </c>
      <c r="HK13">
        <f>HK12*IF(OR($C12=119,$G12=119),0,1)</f>
        <v/>
      </c>
      <c r="HL13">
        <f>HL12*IF(OR($C12=120,$G12=120),0,1)</f>
        <v/>
      </c>
      <c r="HM13">
        <f>HM12*IF(OR($C12=121,$G12=121),0,1)</f>
        <v/>
      </c>
      <c r="HN13">
        <f>HN12*IF(OR($C12=122,$G12=122),0,1)</f>
        <v/>
      </c>
      <c r="HO13">
        <f>HO12*IF(OR($C12=123,$G12=123),0,1)</f>
        <v/>
      </c>
      <c r="HP13">
        <f>HP12*IF(OR($C12=124,$G12=124),0,1)</f>
        <v/>
      </c>
      <c r="HQ13">
        <f>HQ12*IF(OR($C12=125,$G12=125),0,1)</f>
        <v/>
      </c>
      <c r="HR13">
        <f>HR12*IF(OR($C12=126,$G12=126),0,1)</f>
        <v/>
      </c>
      <c r="HS13">
        <f>HS12*IF(OR($C12=127,$G12=127),0,1)</f>
        <v/>
      </c>
      <c r="HT13">
        <f>HT12*IF(OR($C12=128,$G12=128),0,1)</f>
        <v/>
      </c>
      <c r="HU13">
        <f>HU12*IF(OR($C12=129,$G12=129),0,1)</f>
        <v/>
      </c>
      <c r="HV13">
        <f>HV12*IF(OR($C12=130,$G12=130),0,1)</f>
        <v/>
      </c>
      <c r="HW13">
        <f>HW12*IF(OR($C12=131,$G12=131),0,1)</f>
        <v/>
      </c>
      <c r="HX13">
        <f>HX12*IF(OR($C12=132,$G12=132),0,1)</f>
        <v/>
      </c>
      <c r="HY13">
        <f>HY12*IF(OR($C12=133,$G12=133),0,1)</f>
        <v/>
      </c>
      <c r="HZ13">
        <f>HZ12*IF(OR($C12=134,$G12=134),0,1)</f>
        <v/>
      </c>
      <c r="IA13">
        <f>IA12*IF(OR($C12=135,$G12=135),0,1)</f>
        <v/>
      </c>
      <c r="IB13">
        <f>IB12*IF(OR($C12=136,$G12=136),0,1)</f>
        <v/>
      </c>
      <c r="IC13">
        <f>IC12*IF(OR($C12=137,$G12=137),0,1)</f>
        <v/>
      </c>
      <c r="ID13">
        <f>ID12*IF(OR($C12=138,$G12=138),0,1)</f>
        <v/>
      </c>
      <c r="IE13">
        <f>IE12*IF(OR($C12=139,$G12=139),0,1)</f>
        <v/>
      </c>
      <c r="IF13">
        <f>IF12*IF(OR($C12=140,$G12=140),0,1)</f>
        <v/>
      </c>
      <c r="IG13">
        <f>IG12*IF(OR($C12=141,$G12=141),0,1)</f>
        <v/>
      </c>
      <c r="IH13">
        <f>IH12*IF(OR($C12=142,$G12=142),0,1)</f>
        <v/>
      </c>
      <c r="II13">
        <f>II12*IF(OR($C12=143,$G12=143),0,1)</f>
        <v/>
      </c>
      <c r="IJ13">
        <f>IJ12*IF(OR($C12=144,$G12=144),0,1)</f>
        <v/>
      </c>
      <c r="IK13">
        <f>IK12*IF(OR($C12=145,$G12=145),0,1)</f>
        <v/>
      </c>
      <c r="IL13">
        <f>IL12*IF(OR($C12=146,$G12=146),0,1)</f>
        <v/>
      </c>
      <c r="IM13">
        <f>IM12*IF(OR($C12=147,$G12=147),0,1)</f>
        <v/>
      </c>
      <c r="IN13">
        <f>IN12*IF(OR($C12=148,$G12=148),0,1)</f>
        <v/>
      </c>
      <c r="IO13">
        <f>IO12*IF(OR($C12=149,$G12=149),0,1)</f>
        <v/>
      </c>
      <c r="IP13">
        <f>IP12*IF(OR($C12=150,$G12=150),0,1)</f>
        <v/>
      </c>
      <c r="IQ13">
        <f>IQ12*IF(OR($C12=151,$G12=151),0,1)</f>
        <v/>
      </c>
      <c r="IR13">
        <f>IR12*IF(OR($C12=152,$G12=152),0,1)</f>
        <v/>
      </c>
      <c r="IS13">
        <f>IS12*IF(OR($C12=153,$G12=153),0,1)</f>
        <v/>
      </c>
      <c r="IT13">
        <f>IT12*IF(OR($C12=154,$G12=154),0,1)</f>
        <v/>
      </c>
      <c r="IU13">
        <f>IU12*IF(OR($C12=155,$G12=155),0,1)</f>
        <v/>
      </c>
      <c r="IV13">
        <f>IV12*IF(OR($C12=156,$G12=156),0,1)</f>
        <v/>
      </c>
      <c r="IW13">
        <f>IW12*IF(OR($C12=157,$G12=157),0,1)</f>
        <v/>
      </c>
      <c r="IX13">
        <f>IX12*IF(OR($C12=158,$G12=158),0,1)</f>
        <v/>
      </c>
      <c r="IY13">
        <f>IY12*IF(OR($C12=159,$G12=159),0,1)</f>
        <v/>
      </c>
      <c r="IZ13">
        <f>IZ12*IF(OR($C12=160,$G12=160),0,1)</f>
        <v/>
      </c>
      <c r="JA13">
        <f>JA12*IF(OR($C12=161,$G12=161),0,1)</f>
        <v/>
      </c>
      <c r="JB13">
        <f>JB12*IF(OR($C12=162,$G12=162),0,1)</f>
        <v/>
      </c>
      <c r="JC13">
        <f>JC12*IF(OR($C12=163,$G12=163),0,1)</f>
        <v/>
      </c>
      <c r="JD13">
        <f>JD12*IF(OR($C12=164,$G12=164),0,1)</f>
        <v/>
      </c>
      <c r="JE13">
        <f>JE12*IF(OR($C12=165,$G12=165),0,1)</f>
        <v/>
      </c>
      <c r="JF13">
        <f>JF12*IF(OR($C12=166,$G12=166),0,1)</f>
        <v/>
      </c>
      <c r="JG13">
        <f>JG12*IF(OR($C12=167,$G12=167),0,1)</f>
        <v/>
      </c>
      <c r="JH13">
        <f>JH12*IF(OR($C12=168,$G12=168),0,1)</f>
        <v/>
      </c>
      <c r="JI13">
        <f>JI12*IF(OR($C12=169,$G12=169),0,1)</f>
        <v/>
      </c>
      <c r="JJ13">
        <f>JJ12*IF(OR($C12=170,$G12=170),0,1)</f>
        <v/>
      </c>
      <c r="JK13">
        <f>JK12*IF(OR($C12=171,$G12=171),0,1)</f>
        <v/>
      </c>
      <c r="JL13">
        <f>JL12*IF(OR($C12=172,$G12=172),0,1)</f>
        <v/>
      </c>
      <c r="JM13">
        <f>JM12*IF(OR($C12=173,$G12=173),0,1)</f>
        <v/>
      </c>
      <c r="JN13">
        <f>JN12*IF(OR($C12=174,$G12=174),0,1)</f>
        <v/>
      </c>
      <c r="JO13">
        <f>JO12*IF(OR($C12=175,$G12=175),0,1)</f>
        <v/>
      </c>
      <c r="JP13">
        <f>JP12*IF(OR($C12=176,$G12=176),0,1)</f>
        <v/>
      </c>
      <c r="JQ13">
        <f>JQ12*IF(OR($C12=177,$G12=177),0,1)</f>
        <v/>
      </c>
      <c r="JR13">
        <f>JR12*IF(OR($C12=178,$G12=178),0,1)</f>
        <v/>
      </c>
      <c r="JS13">
        <f>JS12*IF(OR($C12=179,$G12=179),0,1)</f>
        <v/>
      </c>
      <c r="JT13">
        <f>JT12*IF(OR($C12=180,$G12=180),0,1)</f>
        <v/>
      </c>
      <c r="JU13">
        <f>JU12*IF(OR($C12=181,$G12=181),0,1)</f>
        <v/>
      </c>
      <c r="JV13">
        <f>JV12*IF(OR($C12=182,$G12=182),0,1)</f>
        <v/>
      </c>
      <c r="JW13">
        <f>JW12*IF(OR($C12=183,$G12=183),0,1)</f>
        <v/>
      </c>
      <c r="JX13">
        <f>JX12*IF(OR($C12=184,$G12=184),0,1)</f>
        <v/>
      </c>
      <c r="JY13">
        <f>JY12*IF(OR($C12=185,$G12=185),0,1)</f>
        <v/>
      </c>
      <c r="JZ13">
        <f>JZ12*IF(OR($C12=186,$G12=186),0,1)</f>
        <v/>
      </c>
      <c r="KA13">
        <f>KA12*IF(OR($C12=187,$G12=187),0,1)</f>
        <v/>
      </c>
      <c r="KB13">
        <f>KB12*IF(OR($C12=188,$G12=188),0,1)</f>
        <v/>
      </c>
      <c r="KC13">
        <f>KC12*IF(OR($C12=189,$G12=189),0,1)</f>
        <v/>
      </c>
      <c r="KD13">
        <f>KD12*IF(OR($C12=190,$G12=190),0,1)</f>
        <v/>
      </c>
      <c r="KE13">
        <f>KE12*IF(OR($C12=191,$G12=191),0,1)</f>
        <v/>
      </c>
      <c r="KF13">
        <f>KF12*IF(OR($C12=192,$G12=192),0,1)</f>
        <v/>
      </c>
      <c r="KG13">
        <f>KG12*IF(OR($C12=193,$G12=193),0,1)</f>
        <v/>
      </c>
      <c r="KH13">
        <f>KH12*IF(OR($C12=194,$G12=194),0,1)</f>
        <v/>
      </c>
      <c r="KI13">
        <f>KI12*IF(OR($C12=195,$G12=195),0,1)</f>
        <v/>
      </c>
      <c r="KJ13">
        <f>KJ12*IF(OR($C12=196,$G12=196),0,1)</f>
        <v/>
      </c>
      <c r="KK13">
        <f>KK12*IF(OR($C12=197,$G12=197),0,1)</f>
        <v/>
      </c>
      <c r="KL13">
        <f>KL12*IF(OR($C12=198,$G12=198),0,1)</f>
        <v/>
      </c>
      <c r="KM13">
        <f>KM12*IF(OR($C12=199,$G12=199),0,1)</f>
        <v/>
      </c>
      <c r="KN13">
        <f>KN12*IF(OR($C12=200,$G12=200),0,1)</f>
        <v/>
      </c>
      <c r="KO13">
        <f>KO12*IF(OR($C12=201,$G12=201),0,1)</f>
        <v/>
      </c>
      <c r="KP13">
        <f>KP12*IF(OR($C12=202,$G12=202),0,1)</f>
        <v/>
      </c>
      <c r="KQ13">
        <f>KQ12*IF(OR($C12=203,$G12=203),0,1)</f>
        <v/>
      </c>
      <c r="KR13">
        <f>KR12*IF(OR($C12=204,$G12=204),0,1)</f>
        <v/>
      </c>
      <c r="KS13">
        <f>KS12*IF(OR($C12=205,$G12=205),0,1)</f>
        <v/>
      </c>
      <c r="KT13">
        <f>KT12*IF(OR($C12=206,$G12=206),0,1)</f>
        <v/>
      </c>
      <c r="KU13">
        <f>KU12*IF(OR($C12=207,$G12=207),0,1)</f>
        <v/>
      </c>
      <c r="KV13">
        <f>KV12*IF(OR($C12=208,$G12=208),0,1)</f>
        <v/>
      </c>
      <c r="KW13">
        <f>KW12*IF(OR($C12=209,$G12=209),0,1)</f>
        <v/>
      </c>
      <c r="KX13">
        <f>KX12*IF(OR($C12=210,$G12=210),0,1)</f>
        <v/>
      </c>
      <c r="KY13">
        <f>KY12*IF(OR($C12=211,$G12=211),0,1)</f>
        <v/>
      </c>
      <c r="KZ13">
        <f>KZ12*IF(OR($C12=212,$G12=212),0,1)</f>
        <v/>
      </c>
      <c r="LA13">
        <f>LA12*IF(OR($C12=213,$G12=213),0,1)</f>
        <v/>
      </c>
      <c r="LB13">
        <f>LB12*IF(OR($C12=214,$G12=214),0,1)</f>
        <v/>
      </c>
      <c r="LC13">
        <f>LC12*IF(OR($C12=215,$G12=215),0,1)</f>
        <v/>
      </c>
      <c r="LD13">
        <f>LD12*IF(OR($C12=216,$G12=216),0,1)</f>
        <v/>
      </c>
      <c r="LE13">
        <f>LE12*IF(OR($C12=217,$G12=217),0,1)</f>
        <v/>
      </c>
      <c r="LF13">
        <f>LF12*IF(OR($C12=218,$G12=218),0,1)</f>
        <v/>
      </c>
      <c r="LG13">
        <f>LG12*IF(OR($C12=219,$G12=219),0,1)</f>
        <v/>
      </c>
      <c r="LH13">
        <f>LH12*IF(OR($C12=220,$G12=220),0,1)</f>
        <v/>
      </c>
      <c r="LI13">
        <f>LI12*IF(OR($C12=221,$G12=221),0,1)</f>
        <v/>
      </c>
      <c r="LJ13">
        <f>LJ12*IF(OR($C12=222,$G12=222),0,1)</f>
        <v/>
      </c>
      <c r="LK13">
        <f>LK12*IF(OR($C12=223,$G12=223),0,1)</f>
        <v/>
      </c>
      <c r="LL13">
        <f>LL12*IF(OR($C12=224,$G12=224),0,1)</f>
        <v/>
      </c>
      <c r="LM13">
        <f>LM12*IF(OR($C12=225,$G12=225),0,1)</f>
        <v/>
      </c>
      <c r="LN13">
        <f>LN12*IF(OR($C12=226,$G12=226),0,1)</f>
        <v/>
      </c>
      <c r="LO13">
        <f>LO12*IF(OR($C12=227,$G12=227),0,1)</f>
        <v/>
      </c>
      <c r="LP13">
        <f>LP12*IF(OR($C12=228,$G12=228),0,1)</f>
        <v/>
      </c>
      <c r="LQ13">
        <f>LQ12*IF(OR($C12=229,$G12=229),0,1)</f>
        <v/>
      </c>
      <c r="LR13">
        <f>LR12*IF(OR($C12=230,$G12=230),0,1)</f>
        <v/>
      </c>
      <c r="LS13">
        <f>LS12*IF(OR($C12=231,$G12=231),0,1)</f>
        <v/>
      </c>
      <c r="LT13">
        <f>LT12*IF(OR($C12=232,$G12=232),0,1)</f>
        <v/>
      </c>
      <c r="LU13">
        <f>LU12*IF(OR($C12=233,$G12=233),0,1)</f>
        <v/>
      </c>
      <c r="LV13">
        <f>LV12*IF(OR($C12=234,$G12=234),0,1)</f>
        <v/>
      </c>
      <c r="LW13">
        <f>LW12*IF(OR($C12=235,$G12=235),0,1)</f>
        <v/>
      </c>
      <c r="LX13">
        <f>LX12*IF(OR($C12=236,$G12=236),0,1)</f>
        <v/>
      </c>
      <c r="LY13">
        <f>LY12*IF(OR($C12=237,$G12=237),0,1)</f>
        <v/>
      </c>
      <c r="LZ13">
        <f>LZ12*IF(OR($C12=238,$G12=238),0,1)</f>
        <v/>
      </c>
      <c r="MA13">
        <f>MA12*IF(OR($C12=239,$G12=239),0,1)</f>
        <v/>
      </c>
      <c r="MB13">
        <f>MB12*IF(OR($C12=240,$G12=240),0,1)</f>
        <v/>
      </c>
      <c r="MD13">
        <f>IF('計算A'!D$106=1,CX13,1)</f>
        <v/>
      </c>
      <c r="ME13">
        <f>IF('計算A'!E$106=1,CY13,1)</f>
        <v/>
      </c>
      <c r="MF13">
        <f>IF('計算A'!F$106=1,CZ13,1)</f>
        <v/>
      </c>
      <c r="MG13">
        <f>IF('計算A'!G$106=1,DA13,1)</f>
        <v/>
      </c>
      <c r="MH13">
        <f>IF('計算A'!H$106=1,DB13,1)</f>
        <v/>
      </c>
      <c r="MI13">
        <f>IF('計算A'!I$106=1,DC13,1)</f>
        <v/>
      </c>
      <c r="MJ13">
        <f>IF('計算A'!J$106=1,DD13,1)</f>
        <v/>
      </c>
      <c r="MK13">
        <f>IF('計算A'!K$106=1,DE13,1)</f>
        <v/>
      </c>
      <c r="ML13">
        <f>IF('計算A'!L$106=1,DF13,1)</f>
        <v/>
      </c>
      <c r="MM13">
        <f>IF('計算A'!M$106=1,DG13,1)</f>
        <v/>
      </c>
      <c r="MN13">
        <f>IF('計算A'!N$106=1,DH13,1)</f>
        <v/>
      </c>
      <c r="MO13">
        <f>IF('計算A'!O$106=1,DI13,1)</f>
        <v/>
      </c>
      <c r="MP13">
        <f>IF('計算A'!P$106=1,DJ13,1)</f>
        <v/>
      </c>
      <c r="MQ13">
        <f>IF('計算A'!Q$106=1,DK13,1)</f>
        <v/>
      </c>
      <c r="MR13">
        <f>IF('計算A'!R$106=1,DL13,1)</f>
        <v/>
      </c>
      <c r="MS13">
        <f>IF('計算A'!S$106=1,DM13,1)</f>
        <v/>
      </c>
      <c r="MT13">
        <f>IF('計算A'!T$106=1,DN13,1)</f>
        <v/>
      </c>
      <c r="MU13">
        <f>IF('計算A'!U$106=1,DO13,1)</f>
        <v/>
      </c>
      <c r="MV13">
        <f>IF('計算A'!V$106=1,DP13,1)</f>
        <v/>
      </c>
      <c r="MW13">
        <f>IF('計算A'!W$106=1,DQ13,1)</f>
        <v/>
      </c>
      <c r="MX13">
        <f>IF('計算A'!X$106=1,DR13,1)</f>
        <v/>
      </c>
      <c r="MY13">
        <f>IF('計算A'!Y$106=1,DS13,1)</f>
        <v/>
      </c>
      <c r="MZ13">
        <f>IF('計算A'!Z$106=1,DT13,1)</f>
        <v/>
      </c>
      <c r="NA13">
        <f>IF('計算A'!AA$106=1,DU13,1)</f>
        <v/>
      </c>
      <c r="NB13">
        <f>IF('計算A'!AB$106=1,DV13,1)</f>
        <v/>
      </c>
      <c r="NC13">
        <f>IF('計算A'!AC$106=1,DW13,1)</f>
        <v/>
      </c>
      <c r="ND13">
        <f>IF('計算A'!AD$106=1,DX13,1)</f>
        <v/>
      </c>
      <c r="NE13">
        <f>IF('計算A'!AE$106=1,DY13,1)</f>
        <v/>
      </c>
      <c r="NF13">
        <f>IF('計算A'!AF$106=1,DZ13,1)</f>
        <v/>
      </c>
      <c r="NG13">
        <f>IF('計算A'!AG$106=1,EA13,1)</f>
        <v/>
      </c>
      <c r="NH13">
        <f>IF('計算A'!AH$106=1,EB13,1)</f>
        <v/>
      </c>
      <c r="NI13">
        <f>IF('計算A'!AI$106=1,EC13,1)</f>
        <v/>
      </c>
      <c r="NJ13">
        <f>IF('計算A'!AJ$106=1,ED13,1)</f>
        <v/>
      </c>
      <c r="NK13">
        <f>IF('計算A'!AK$106=1,EE13,1)</f>
        <v/>
      </c>
      <c r="NL13">
        <f>IF('計算A'!AL$106=1,EF13,1)</f>
        <v/>
      </c>
      <c r="NM13">
        <f>IF('計算A'!AM$106=1,EG13,1)</f>
        <v/>
      </c>
      <c r="NN13">
        <f>IF('計算A'!AN$106=1,EH13,1)</f>
        <v/>
      </c>
      <c r="NO13">
        <f>IF('計算A'!AO$106=1,EI13,1)</f>
        <v/>
      </c>
      <c r="NP13">
        <f>IF('計算A'!AP$106=1,EJ13,1)</f>
        <v/>
      </c>
      <c r="NQ13">
        <f>IF('計算A'!AQ$106=1,EK13,1)</f>
        <v/>
      </c>
      <c r="NR13">
        <f>IF('計算A'!AR$106=1,EL13,1)</f>
        <v/>
      </c>
      <c r="NS13">
        <f>IF('計算A'!AS$106=1,EM13,1)</f>
        <v/>
      </c>
      <c r="NT13">
        <f>IF('計算A'!AT$106=1,EN13,1)</f>
        <v/>
      </c>
      <c r="NU13">
        <f>IF('計算A'!AU$106=1,EO13,1)</f>
        <v/>
      </c>
      <c r="NV13">
        <f>IF('計算A'!AV$106=1,EP13,1)</f>
        <v/>
      </c>
      <c r="NW13">
        <f>IF('計算A'!AW$106=1,EQ13,1)</f>
        <v/>
      </c>
      <c r="NX13">
        <f>IF('計算A'!AX$106=1,ER13,1)</f>
        <v/>
      </c>
      <c r="NY13">
        <f>IF('計算A'!AY$106=1,ES13,1)</f>
        <v/>
      </c>
      <c r="NZ13">
        <f>IF('計算A'!AZ$106=1,ET13,1)</f>
        <v/>
      </c>
      <c r="OA13">
        <f>IF('計算A'!BA$106=1,EU13,1)</f>
        <v/>
      </c>
      <c r="OB13">
        <f>IF('計算A'!BB$106=1,EV13,1)</f>
        <v/>
      </c>
      <c r="OC13">
        <f>IF('計算A'!BC$106=1,EW13,1)</f>
        <v/>
      </c>
      <c r="OD13">
        <f>IF('計算A'!BD$106=1,EX13,1)</f>
        <v/>
      </c>
      <c r="OE13">
        <f>IF('計算A'!BE$106=1,EY13,1)</f>
        <v/>
      </c>
      <c r="OF13">
        <f>IF('計算A'!BF$106=1,EZ13,1)</f>
        <v/>
      </c>
      <c r="OG13">
        <f>IF('計算A'!BG$106=1,FA13,1)</f>
        <v/>
      </c>
      <c r="OH13">
        <f>IF('計算A'!BH$106=1,FB13,1)</f>
        <v/>
      </c>
      <c r="OI13">
        <f>IF('計算A'!BI$106=1,FC13,1)</f>
        <v/>
      </c>
      <c r="OJ13">
        <f>IF('計算A'!BJ$106=1,FD13,1)</f>
        <v/>
      </c>
      <c r="OK13">
        <f>IF('計算A'!BK$106=1,FE13,1)</f>
        <v/>
      </c>
      <c r="OL13">
        <f>IF('計算A'!BL$106=1,FF13,1)</f>
        <v/>
      </c>
      <c r="OM13">
        <f>IF('計算A'!BM$106=1,FG13,1)</f>
        <v/>
      </c>
      <c r="ON13">
        <f>IF('計算A'!BN$106=1,FH13,1)</f>
        <v/>
      </c>
      <c r="OO13">
        <f>IF('計算A'!BO$106=1,FI13,1)</f>
        <v/>
      </c>
      <c r="OP13">
        <f>IF('計算A'!BP$106=1,FJ13,1)</f>
        <v/>
      </c>
      <c r="OQ13">
        <f>IF('計算A'!BQ$106=1,FK13,1)</f>
        <v/>
      </c>
      <c r="OR13">
        <f>IF('計算A'!BR$106=1,FL13,1)</f>
        <v/>
      </c>
      <c r="OS13">
        <f>IF('計算A'!BS$106=1,FM13,1)</f>
        <v/>
      </c>
      <c r="OT13">
        <f>IF('計算A'!BT$106=1,FN13,1)</f>
        <v/>
      </c>
      <c r="OU13">
        <f>IF('計算A'!BU$106=1,FO13,1)</f>
        <v/>
      </c>
      <c r="OV13">
        <f>IF('計算A'!BV$106=1,FP13,1)</f>
        <v/>
      </c>
      <c r="OW13">
        <f>IF('計算A'!BW$106=1,FQ13,1)</f>
        <v/>
      </c>
      <c r="OX13">
        <f>IF('計算A'!BX$106=1,FR13,1)</f>
        <v/>
      </c>
      <c r="OY13">
        <f>IF('計算A'!BY$106=1,FS13,1)</f>
        <v/>
      </c>
      <c r="OZ13">
        <f>IF('計算A'!BZ$106=1,FT13,1)</f>
        <v/>
      </c>
      <c r="PA13">
        <f>IF('計算A'!CA$106=1,FU13,1)</f>
        <v/>
      </c>
      <c r="PB13">
        <f>IF('計算A'!CB$106=1,FV13,1)</f>
        <v/>
      </c>
      <c r="PC13">
        <f>IF('計算A'!CC$106=1,FW13,1)</f>
        <v/>
      </c>
      <c r="PD13">
        <f>IF('計算A'!CD$106=1,FX13,1)</f>
        <v/>
      </c>
      <c r="PE13">
        <f>IF('計算A'!CE$106=1,FY13,1)</f>
        <v/>
      </c>
      <c r="PF13">
        <f>IF('計算A'!CF$106=1,FZ13,1)</f>
        <v/>
      </c>
      <c r="PG13">
        <f>IF('計算A'!CG$106=1,GA13,1)</f>
        <v/>
      </c>
      <c r="PH13">
        <f>IF('計算A'!CH$106=1,GB13,1)</f>
        <v/>
      </c>
      <c r="PI13">
        <f>IF('計算A'!CI$106=1,GC13,1)</f>
        <v/>
      </c>
      <c r="PJ13">
        <f>IF('計算A'!CJ$106=1,GD13,1)</f>
        <v/>
      </c>
      <c r="PK13">
        <f>IF('計算A'!CK$106=1,GE13,1)</f>
        <v/>
      </c>
      <c r="PL13">
        <f>IF('計算A'!CL$106=1,GF13,1)</f>
        <v/>
      </c>
      <c r="PM13">
        <f>IF('計算A'!CM$106=1,GG13,1)</f>
        <v/>
      </c>
      <c r="PN13">
        <f>IF('計算A'!CN$106=1,GH13,1)</f>
        <v/>
      </c>
      <c r="PO13">
        <f>IF('計算A'!CO$106=1,GI13,1)</f>
        <v/>
      </c>
      <c r="PP13">
        <f>IF('計算A'!CP$106=1,GJ13,1)</f>
        <v/>
      </c>
      <c r="PQ13">
        <f>IF('計算A'!CQ$106=1,GK13,1)</f>
        <v/>
      </c>
      <c r="PR13">
        <f>IF('計算A'!CR$106=1,GL13,1)</f>
        <v/>
      </c>
      <c r="PS13">
        <f>IF('計算A'!CS$106=1,GM13,1)</f>
        <v/>
      </c>
      <c r="PT13">
        <f>IF('計算A'!CT$106=1,GN13,1)</f>
        <v/>
      </c>
      <c r="PU13">
        <f>IF('計算A'!CU$106=1,GO13,1)</f>
        <v/>
      </c>
      <c r="PV13">
        <f>IF('計算A'!CV$106=1,GP13,1)</f>
        <v/>
      </c>
      <c r="PW13">
        <f>IF('計算A'!CW$106=1,GQ13,1)</f>
        <v/>
      </c>
      <c r="PX13">
        <f>IF('計算A'!CX$106=1,GR13,1)</f>
        <v/>
      </c>
      <c r="PY13">
        <f>IF('計算A'!CY$106=1,GS13,1)</f>
        <v/>
      </c>
      <c r="PZ13">
        <f>IF('計算A'!CZ$106=1,GT13,1)</f>
        <v/>
      </c>
      <c r="QA13">
        <f>IF('計算A'!DA$106=1,GU13,1)</f>
        <v/>
      </c>
      <c r="QB13">
        <f>IF('計算A'!DB$106=1,GV13,1)</f>
        <v/>
      </c>
      <c r="QC13">
        <f>IF('計算A'!DC$106=1,GW13,1)</f>
        <v/>
      </c>
      <c r="QD13">
        <f>IF('計算A'!DD$106=1,GX13,1)</f>
        <v/>
      </c>
      <c r="QE13">
        <f>IF('計算A'!DE$106=1,GY13,1)</f>
        <v/>
      </c>
      <c r="QF13">
        <f>IF('計算A'!DF$106=1,GZ13,1)</f>
        <v/>
      </c>
      <c r="QG13">
        <f>IF('計算A'!DG$106=1,HA13,1)</f>
        <v/>
      </c>
      <c r="QH13">
        <f>IF('計算A'!DH$106=1,HB13,1)</f>
        <v/>
      </c>
      <c r="QI13">
        <f>IF('計算A'!DI$106=1,HC13,1)</f>
        <v/>
      </c>
      <c r="QJ13">
        <f>IF('計算A'!DJ$106=1,HD13,1)</f>
        <v/>
      </c>
      <c r="QK13">
        <f>IF('計算A'!DK$106=1,HE13,1)</f>
        <v/>
      </c>
      <c r="QL13">
        <f>IF('計算A'!DL$106=1,HF13,1)</f>
        <v/>
      </c>
      <c r="QM13">
        <f>IF('計算A'!DM$106=1,HG13,1)</f>
        <v/>
      </c>
      <c r="QN13">
        <f>IF('計算A'!DN$106=1,HH13,1)</f>
        <v/>
      </c>
      <c r="QO13">
        <f>IF('計算A'!DO$106=1,HI13,1)</f>
        <v/>
      </c>
      <c r="QP13">
        <f>IF('計算A'!DP$106=1,HJ13,1)</f>
        <v/>
      </c>
      <c r="QQ13">
        <f>IF('計算A'!DQ$106=1,HK13,1)</f>
        <v/>
      </c>
      <c r="QR13">
        <f>IF('計算A'!DR$106=1,HL13,1)</f>
        <v/>
      </c>
      <c r="QS13">
        <f>IF('計算A'!DS$106=1,HM13,1)</f>
        <v/>
      </c>
      <c r="QT13">
        <f>IF('計算A'!DT$106=1,HN13,1)</f>
        <v/>
      </c>
      <c r="QU13">
        <f>IF('計算A'!DU$106=1,HO13,1)</f>
        <v/>
      </c>
      <c r="QV13">
        <f>IF('計算A'!DV$106=1,HP13,1)</f>
        <v/>
      </c>
      <c r="QW13">
        <f>IF('計算A'!DW$106=1,HQ13,1)</f>
        <v/>
      </c>
      <c r="QX13">
        <f>IF('計算A'!DX$106=1,HR13,1)</f>
        <v/>
      </c>
      <c r="QY13">
        <f>IF('計算A'!DY$106=1,HS13,1)</f>
        <v/>
      </c>
      <c r="QZ13">
        <f>IF('計算A'!DZ$106=1,HT13,1)</f>
        <v/>
      </c>
      <c r="RA13">
        <f>IF('計算A'!EA$106=1,HU13,1)</f>
        <v/>
      </c>
      <c r="RB13">
        <f>IF('計算A'!EB$106=1,HV13,1)</f>
        <v/>
      </c>
      <c r="RC13">
        <f>IF('計算A'!EC$106=1,HW13,1)</f>
        <v/>
      </c>
      <c r="RD13">
        <f>IF('計算A'!ED$106=1,HX13,1)</f>
        <v/>
      </c>
      <c r="RE13">
        <f>IF('計算A'!EE$106=1,HY13,1)</f>
        <v/>
      </c>
      <c r="RF13">
        <f>IF('計算A'!EF$106=1,HZ13,1)</f>
        <v/>
      </c>
      <c r="RG13">
        <f>IF('計算A'!EG$106=1,IA13,1)</f>
        <v/>
      </c>
      <c r="RH13">
        <f>IF('計算A'!EH$106=1,IB13,1)</f>
        <v/>
      </c>
      <c r="RI13">
        <f>IF('計算A'!EI$106=1,IC13,1)</f>
        <v/>
      </c>
      <c r="RJ13">
        <f>IF('計算A'!EJ$106=1,ID13,1)</f>
        <v/>
      </c>
      <c r="RK13">
        <f>IF('計算A'!EK$106=1,IE13,1)</f>
        <v/>
      </c>
      <c r="RL13">
        <f>IF('計算A'!EL$106=1,IF13,1)</f>
        <v/>
      </c>
      <c r="RM13">
        <f>IF('計算A'!EM$106=1,IG13,1)</f>
        <v/>
      </c>
      <c r="RN13">
        <f>IF('計算A'!EN$106=1,IH13,1)</f>
        <v/>
      </c>
      <c r="RO13">
        <f>IF('計算A'!EO$106=1,II13,1)</f>
        <v/>
      </c>
      <c r="RP13">
        <f>IF('計算A'!EP$106=1,IJ13,1)</f>
        <v/>
      </c>
      <c r="RQ13">
        <f>IF('計算A'!EQ$106=1,IK13,1)</f>
        <v/>
      </c>
      <c r="RR13">
        <f>IF('計算A'!ER$106=1,IL13,1)</f>
        <v/>
      </c>
      <c r="RS13">
        <f>IF('計算A'!ES$106=1,IM13,1)</f>
        <v/>
      </c>
      <c r="RT13">
        <f>IF('計算A'!ET$106=1,IN13,1)</f>
        <v/>
      </c>
      <c r="RU13">
        <f>IF('計算A'!EU$106=1,IO13,1)</f>
        <v/>
      </c>
      <c r="RV13">
        <f>IF('計算A'!EV$106=1,IP13,1)</f>
        <v/>
      </c>
      <c r="RW13">
        <f>IF('計算A'!EW$106=1,IQ13,1)</f>
        <v/>
      </c>
      <c r="RX13">
        <f>IF('計算A'!EX$106=1,IR13,1)</f>
        <v/>
      </c>
      <c r="RY13">
        <f>IF('計算A'!EY$106=1,IS13,1)</f>
        <v/>
      </c>
      <c r="RZ13">
        <f>IF('計算A'!EZ$106=1,IT13,1)</f>
        <v/>
      </c>
      <c r="SA13">
        <f>IF('計算A'!FA$106=1,IU13,1)</f>
        <v/>
      </c>
      <c r="SB13">
        <f>IF('計算A'!FB$106=1,IV13,1)</f>
        <v/>
      </c>
      <c r="SC13">
        <f>IF('計算A'!FC$106=1,IW13,1)</f>
        <v/>
      </c>
      <c r="SD13">
        <f>IF('計算A'!FD$106=1,IX13,1)</f>
        <v/>
      </c>
      <c r="SE13">
        <f>IF('計算A'!FE$106=1,IY13,1)</f>
        <v/>
      </c>
      <c r="SF13">
        <f>IF('計算A'!FF$106=1,IZ13,1)</f>
        <v/>
      </c>
      <c r="SG13">
        <f>IF('計算A'!FG$106=1,JA13,1)</f>
        <v/>
      </c>
      <c r="SH13">
        <f>IF('計算A'!FH$106=1,JB13,1)</f>
        <v/>
      </c>
      <c r="SI13">
        <f>IF('計算A'!FI$106=1,JC13,1)</f>
        <v/>
      </c>
      <c r="SJ13">
        <f>IF('計算A'!FJ$106=1,JD13,1)</f>
        <v/>
      </c>
      <c r="SK13">
        <f>IF('計算A'!FK$106=1,JE13,1)</f>
        <v/>
      </c>
      <c r="SL13">
        <f>IF('計算A'!FL$106=1,JF13,1)</f>
        <v/>
      </c>
      <c r="SM13">
        <f>IF('計算A'!FM$106=1,JG13,1)</f>
        <v/>
      </c>
      <c r="SN13">
        <f>IF('計算A'!FN$106=1,JH13,1)</f>
        <v/>
      </c>
      <c r="SO13">
        <f>IF('計算A'!FO$106=1,JI13,1)</f>
        <v/>
      </c>
      <c r="SP13">
        <f>IF('計算A'!FP$106=1,JJ13,1)</f>
        <v/>
      </c>
      <c r="SQ13">
        <f>IF('計算A'!FQ$106=1,JK13,1)</f>
        <v/>
      </c>
      <c r="SR13">
        <f>IF('計算A'!FR$106=1,JL13,1)</f>
        <v/>
      </c>
      <c r="SS13">
        <f>IF('計算A'!FS$106=1,JM13,1)</f>
        <v/>
      </c>
      <c r="ST13">
        <f>IF('計算A'!FT$106=1,JN13,1)</f>
        <v/>
      </c>
      <c r="SU13">
        <f>IF('計算A'!FU$106=1,JO13,1)</f>
        <v/>
      </c>
      <c r="SV13">
        <f>IF('計算A'!FV$106=1,JP13,1)</f>
        <v/>
      </c>
      <c r="SW13">
        <f>IF('計算A'!FW$106=1,JQ13,1)</f>
        <v/>
      </c>
      <c r="SX13">
        <f>IF('計算A'!FX$106=1,JR13,1)</f>
        <v/>
      </c>
      <c r="SY13">
        <f>IF('計算A'!FY$106=1,JS13,1)</f>
        <v/>
      </c>
      <c r="SZ13">
        <f>IF('計算A'!FZ$106=1,JT13,1)</f>
        <v/>
      </c>
      <c r="TA13">
        <f>IF('計算A'!GA$106=1,JU13,1)</f>
        <v/>
      </c>
      <c r="TB13">
        <f>IF('計算A'!GB$106=1,JV13,1)</f>
        <v/>
      </c>
      <c r="TC13">
        <f>IF('計算A'!GC$106=1,JW13,1)</f>
        <v/>
      </c>
      <c r="TD13">
        <f>IF('計算A'!GD$106=1,JX13,1)</f>
        <v/>
      </c>
      <c r="TE13">
        <f>IF('計算A'!GE$106=1,JY13,1)</f>
        <v/>
      </c>
      <c r="TF13">
        <f>IF('計算A'!GF$106=1,JZ13,1)</f>
        <v/>
      </c>
      <c r="TG13">
        <f>IF('計算A'!GG$106=1,KA13,1)</f>
        <v/>
      </c>
      <c r="TH13">
        <f>IF('計算A'!GH$106=1,KB13,1)</f>
        <v/>
      </c>
      <c r="TI13">
        <f>IF('計算A'!GI$106=1,KC13,1)</f>
        <v/>
      </c>
      <c r="TJ13">
        <f>IF('計算A'!GJ$106=1,KD13,1)</f>
        <v/>
      </c>
      <c r="TK13">
        <f>IF('計算A'!GK$106=1,KE13,1)</f>
        <v/>
      </c>
      <c r="TL13">
        <f>IF('計算A'!GL$106=1,KF13,1)</f>
        <v/>
      </c>
      <c r="TM13">
        <f>IF('計算A'!GM$106=1,KG13,1)</f>
        <v/>
      </c>
      <c r="TN13">
        <f>IF('計算A'!GN$106=1,KH13,1)</f>
        <v/>
      </c>
      <c r="TO13">
        <f>IF('計算A'!GO$106=1,KI13,1)</f>
        <v/>
      </c>
      <c r="TP13">
        <f>IF('計算A'!GP$106=1,KJ13,1)</f>
        <v/>
      </c>
      <c r="TQ13">
        <f>IF('計算A'!GQ$106=1,KK13,1)</f>
        <v/>
      </c>
      <c r="TR13">
        <f>IF('計算A'!GR$106=1,KL13,1)</f>
        <v/>
      </c>
      <c r="TS13">
        <f>IF('計算A'!GS$106=1,KM13,1)</f>
        <v/>
      </c>
      <c r="TT13">
        <f>IF('計算A'!GT$106=1,KN13,1)</f>
        <v/>
      </c>
      <c r="TU13">
        <f>IF('計算A'!GU$106=1,KO13,1)</f>
        <v/>
      </c>
      <c r="TV13">
        <f>IF('計算A'!GV$106=1,KP13,1)</f>
        <v/>
      </c>
      <c r="TW13">
        <f>IF('計算A'!GW$106=1,KQ13,1)</f>
        <v/>
      </c>
      <c r="TX13">
        <f>IF('計算A'!GX$106=1,KR13,1)</f>
        <v/>
      </c>
      <c r="TY13">
        <f>IF('計算A'!GY$106=1,KS13,1)</f>
        <v/>
      </c>
      <c r="TZ13">
        <f>IF('計算A'!GZ$106=1,KT13,1)</f>
        <v/>
      </c>
      <c r="UA13">
        <f>IF('計算A'!HA$106=1,KU13,1)</f>
        <v/>
      </c>
      <c r="UB13">
        <f>IF('計算A'!HB$106=1,KV13,1)</f>
        <v/>
      </c>
      <c r="UC13">
        <f>IF('計算A'!HC$106=1,KW13,1)</f>
        <v/>
      </c>
      <c r="UD13">
        <f>IF('計算A'!HD$106=1,KX13,1)</f>
        <v/>
      </c>
      <c r="UE13">
        <f>IF('計算A'!HE$106=1,KY13,1)</f>
        <v/>
      </c>
      <c r="UF13">
        <f>IF('計算A'!HF$106=1,KZ13,1)</f>
        <v/>
      </c>
      <c r="UG13">
        <f>IF('計算A'!HG$106=1,LA13,1)</f>
        <v/>
      </c>
      <c r="UH13">
        <f>IF('計算A'!HH$106=1,LB13,1)</f>
        <v/>
      </c>
      <c r="UI13">
        <f>IF('計算A'!HI$106=1,LC13,1)</f>
        <v/>
      </c>
      <c r="UJ13">
        <f>IF('計算A'!HJ$106=1,LD13,1)</f>
        <v/>
      </c>
      <c r="UK13">
        <f>IF('計算A'!HK$106=1,LE13,1)</f>
        <v/>
      </c>
      <c r="UL13">
        <f>IF('計算A'!HL$106=1,LF13,1)</f>
        <v/>
      </c>
      <c r="UM13">
        <f>IF('計算A'!HM$106=1,LG13,1)</f>
        <v/>
      </c>
      <c r="UN13">
        <f>IF('計算A'!HN$106=1,LH13,1)</f>
        <v/>
      </c>
      <c r="UO13">
        <f>IF('計算A'!HO$106=1,LI13,1)</f>
        <v/>
      </c>
      <c r="UP13">
        <f>IF('計算A'!HP$106=1,LJ13,1)</f>
        <v/>
      </c>
      <c r="UQ13">
        <f>IF('計算A'!HQ$106=1,LK13,1)</f>
        <v/>
      </c>
      <c r="UR13">
        <f>IF('計算A'!HR$106=1,LL13,1)</f>
        <v/>
      </c>
      <c r="US13">
        <f>IF('計算A'!HS$106=1,LM13,1)</f>
        <v/>
      </c>
      <c r="UT13">
        <f>IF('計算A'!HT$106=1,LN13,1)</f>
        <v/>
      </c>
      <c r="UU13">
        <f>IF('計算A'!HU$106=1,LO13,1)</f>
        <v/>
      </c>
      <c r="UV13">
        <f>IF('計算A'!HV$106=1,LP13,1)</f>
        <v/>
      </c>
      <c r="UW13">
        <f>IF('計算A'!HW$106=1,LQ13,1)</f>
        <v/>
      </c>
      <c r="UX13">
        <f>IF('計算A'!HX$106=1,LR13,1)</f>
        <v/>
      </c>
      <c r="UY13">
        <f>IF('計算A'!HY$106=1,LS13,1)</f>
        <v/>
      </c>
      <c r="UZ13">
        <f>IF('計算A'!HZ$106=1,LT13,1)</f>
        <v/>
      </c>
      <c r="VA13">
        <f>IF('計算A'!IA$106=1,LU13,1)</f>
        <v/>
      </c>
      <c r="VB13">
        <f>IF('計算A'!IB$106=1,LV13,1)</f>
        <v/>
      </c>
      <c r="VC13">
        <f>IF('計算A'!IC$106=1,LW13,1)</f>
        <v/>
      </c>
      <c r="VD13">
        <f>IF('計算A'!ID$106=1,LX13,1)</f>
        <v/>
      </c>
      <c r="VE13">
        <f>IF('計算A'!IE$106=1,LY13,1)</f>
        <v/>
      </c>
      <c r="VF13">
        <f>IF('計算A'!IF$106=1,LZ13,1)</f>
        <v/>
      </c>
      <c r="VG13">
        <f>IF('計算A'!IG$106=1,MA13,1)</f>
        <v/>
      </c>
      <c r="VH13">
        <f>IF('計算A'!IH$106=1,MB13,1)</f>
        <v/>
      </c>
      <c r="VI13" t="n">
        <v>1</v>
      </c>
      <c r="VK13">
        <f>IF($B13=0,1000000,IF(INDEX('計算A'!$D$60:$II$104,$B13,1)*CW13=1,IF(AND($E13=2,MD13=0),1000000,INDEX('計算A'!D$110:D$114,$F13+1)+IF(AND($E13=1,MD13=0),1000,0)),1000000))</f>
        <v/>
      </c>
      <c r="VL13">
        <f>IF($B13=0,1000000,IF(INDEX('計算A'!$D$60:$II$104,$B13,2)*CX13=1,IF(AND($E13=2,ME13=0),1000000,INDEX('計算A'!E$110:E$114,$F13+1)+IF(AND($E13=1,ME13=0),1000,0)),1000000))</f>
        <v/>
      </c>
      <c r="VM13">
        <f>IF($B13=0,1000000,IF(INDEX('計算A'!$D$60:$II$104,$B13,3)*CY13=1,IF(AND($E13=2,MF13=0),1000000,INDEX('計算A'!F$110:F$114,$F13+1)+IF(AND($E13=1,MF13=0),1000,0)),1000000))</f>
        <v/>
      </c>
      <c r="VN13">
        <f>IF($B13=0,1000000,IF(INDEX('計算A'!$D$60:$II$104,$B13,4)*CZ13=1,IF(AND($E13=2,MG13=0),1000000,INDEX('計算A'!G$110:G$114,$F13+1)+IF(AND($E13=1,MG13=0),1000,0)),1000000))</f>
        <v/>
      </c>
      <c r="VO13">
        <f>IF($B13=0,1000000,IF(INDEX('計算A'!$D$60:$II$104,$B13,5)*DA13=1,IF(AND($E13=2,MH13=0),1000000,INDEX('計算A'!H$110:H$114,$F13+1)+IF(AND($E13=1,MH13=0),1000,0)),1000000))</f>
        <v/>
      </c>
      <c r="VP13">
        <f>IF($B13=0,1000000,IF(INDEX('計算A'!$D$60:$II$104,$B13,6)*DB13=1,IF(AND($E13=2,MI13=0),1000000,INDEX('計算A'!I$110:I$114,$F13+1)+IF(AND($E13=1,MI13=0),1000,0)),1000000))</f>
        <v/>
      </c>
      <c r="VQ13">
        <f>IF($B13=0,1000000,IF(INDEX('計算A'!$D$60:$II$104,$B13,7)*DC13=1,IF(AND($E13=2,MJ13=0),1000000,INDEX('計算A'!J$110:J$114,$F13+1)+IF(AND($E13=1,MJ13=0),1000,0)),1000000))</f>
        <v/>
      </c>
      <c r="VR13">
        <f>IF($B13=0,1000000,IF(INDEX('計算A'!$D$60:$II$104,$B13,8)*DD13=1,IF(AND($E13=2,MK13=0),1000000,INDEX('計算A'!K$110:K$114,$F13+1)+IF(AND($E13=1,MK13=0),1000,0)),1000000))</f>
        <v/>
      </c>
      <c r="VS13">
        <f>IF($B13=0,1000000,IF(INDEX('計算A'!$D$60:$II$104,$B13,9)*DE13=1,IF(AND($E13=2,ML13=0),1000000,INDEX('計算A'!L$110:L$114,$F13+1)+IF(AND($E13=1,ML13=0),1000,0)),1000000))</f>
        <v/>
      </c>
      <c r="VT13">
        <f>IF($B13=0,1000000,IF(INDEX('計算A'!$D$60:$II$104,$B13,10)*DF13=1,IF(AND($E13=2,MM13=0),1000000,INDEX('計算A'!M$110:M$114,$F13+1)+IF(AND($E13=1,MM13=0),1000,0)),1000000))</f>
        <v/>
      </c>
      <c r="VU13">
        <f>IF($B13=0,1000000,IF(INDEX('計算A'!$D$60:$II$104,$B13,11)*DG13=1,IF(AND($E13=2,MN13=0),1000000,INDEX('計算A'!N$110:N$114,$F13+1)+IF(AND($E13=1,MN13=0),1000,0)),1000000))</f>
        <v/>
      </c>
      <c r="VV13">
        <f>IF($B13=0,1000000,IF(INDEX('計算A'!$D$60:$II$104,$B13,12)*DH13=1,IF(AND($E13=2,MO13=0),1000000,INDEX('計算A'!O$110:O$114,$F13+1)+IF(AND($E13=1,MO13=0),1000,0)),1000000))</f>
        <v/>
      </c>
      <c r="VW13">
        <f>IF($B13=0,1000000,IF(INDEX('計算A'!$D$60:$II$104,$B13,13)*DI13=1,IF(AND($E13=2,MP13=0),1000000,INDEX('計算A'!P$110:P$114,$F13+1)+IF(AND($E13=1,MP13=0),1000,0)),1000000))</f>
        <v/>
      </c>
      <c r="VX13">
        <f>IF($B13=0,1000000,IF(INDEX('計算A'!$D$60:$II$104,$B13,14)*DJ13=1,IF(AND($E13=2,MQ13=0),1000000,INDEX('計算A'!Q$110:Q$114,$F13+1)+IF(AND($E13=1,MQ13=0),1000,0)),1000000))</f>
        <v/>
      </c>
      <c r="VY13">
        <f>IF($B13=0,1000000,IF(INDEX('計算A'!$D$60:$II$104,$B13,15)*DK13=1,IF(AND($E13=2,MR13=0),1000000,INDEX('計算A'!R$110:R$114,$F13+1)+IF(AND($E13=1,MR13=0),1000,0)),1000000))</f>
        <v/>
      </c>
      <c r="VZ13">
        <f>IF($B13=0,1000000,IF(INDEX('計算A'!$D$60:$II$104,$B13,16)*DL13=1,IF(AND($E13=2,MS13=0),1000000,INDEX('計算A'!S$110:S$114,$F13+1)+IF(AND($E13=1,MS13=0),1000,0)),1000000))</f>
        <v/>
      </c>
      <c r="WA13">
        <f>IF($B13=0,1000000,IF(INDEX('計算A'!$D$60:$II$104,$B13,17)*DM13=1,IF(AND($E13=2,MT13=0),1000000,INDEX('計算A'!T$110:T$114,$F13+1)+IF(AND($E13=1,MT13=0),1000,0)),1000000))</f>
        <v/>
      </c>
      <c r="WB13">
        <f>IF($B13=0,1000000,IF(INDEX('計算A'!$D$60:$II$104,$B13,18)*DN13=1,IF(AND($E13=2,MU13=0),1000000,INDEX('計算A'!U$110:U$114,$F13+1)+IF(AND($E13=1,MU13=0),1000,0)),1000000))</f>
        <v/>
      </c>
      <c r="WC13">
        <f>IF($B13=0,1000000,IF(INDEX('計算A'!$D$60:$II$104,$B13,19)*DO13=1,IF(AND($E13=2,MV13=0),1000000,INDEX('計算A'!V$110:V$114,$F13+1)+IF(AND($E13=1,MV13=0),1000,0)),1000000))</f>
        <v/>
      </c>
      <c r="WD13">
        <f>IF($B13=0,1000000,IF(INDEX('計算A'!$D$60:$II$104,$B13,20)*DP13=1,IF(AND($E13=2,MW13=0),1000000,INDEX('計算A'!W$110:W$114,$F13+1)+IF(AND($E13=1,MW13=0),1000,0)),1000000))</f>
        <v/>
      </c>
      <c r="WE13">
        <f>IF($B13=0,1000000,IF(INDEX('計算A'!$D$60:$II$104,$B13,21)*DQ13=1,IF(AND($E13=2,MX13=0),1000000,INDEX('計算A'!X$110:X$114,$F13+1)+IF(AND($E13=1,MX13=0),1000,0)),1000000))</f>
        <v/>
      </c>
      <c r="WF13">
        <f>IF($B13=0,1000000,IF(INDEX('計算A'!$D$60:$II$104,$B13,22)*DR13=1,IF(AND($E13=2,MY13=0),1000000,INDEX('計算A'!Y$110:Y$114,$F13+1)+IF(AND($E13=1,MY13=0),1000,0)),1000000))</f>
        <v/>
      </c>
      <c r="WG13">
        <f>IF($B13=0,1000000,IF(INDEX('計算A'!$D$60:$II$104,$B13,23)*DS13=1,IF(AND($E13=2,MZ13=0),1000000,INDEX('計算A'!Z$110:Z$114,$F13+1)+IF(AND($E13=1,MZ13=0),1000,0)),1000000))</f>
        <v/>
      </c>
      <c r="WH13">
        <f>IF($B13=0,1000000,IF(INDEX('計算A'!$D$60:$II$104,$B13,24)*DT13=1,IF(AND($E13=2,NA13=0),1000000,INDEX('計算A'!AA$110:AA$114,$F13+1)+IF(AND($E13=1,NA13=0),1000,0)),1000000))</f>
        <v/>
      </c>
      <c r="WI13">
        <f>IF($B13=0,1000000,IF(INDEX('計算A'!$D$60:$II$104,$B13,25)*DU13=1,IF(AND($E13=2,NB13=0),1000000,INDEX('計算A'!AB$110:AB$114,$F13+1)+IF(AND($E13=1,NB13=0),1000,0)),1000000))</f>
        <v/>
      </c>
      <c r="WJ13">
        <f>IF($B13=0,1000000,IF(INDEX('計算A'!$D$60:$II$104,$B13,26)*DV13=1,IF(AND($E13=2,NC13=0),1000000,INDEX('計算A'!AC$110:AC$114,$F13+1)+IF(AND($E13=1,NC13=0),1000,0)),1000000))</f>
        <v/>
      </c>
      <c r="WK13">
        <f>IF($B13=0,1000000,IF(INDEX('計算A'!$D$60:$II$104,$B13,27)*DW13=1,IF(AND($E13=2,ND13=0),1000000,INDEX('計算A'!AD$110:AD$114,$F13+1)+IF(AND($E13=1,ND13=0),1000,0)),1000000))</f>
        <v/>
      </c>
      <c r="WL13">
        <f>IF($B13=0,1000000,IF(INDEX('計算A'!$D$60:$II$104,$B13,28)*DX13=1,IF(AND($E13=2,NE13=0),1000000,INDEX('計算A'!AE$110:AE$114,$F13+1)+IF(AND($E13=1,NE13=0),1000,0)),1000000))</f>
        <v/>
      </c>
      <c r="WM13">
        <f>IF($B13=0,1000000,IF(INDEX('計算A'!$D$60:$II$104,$B13,29)*DY13=1,IF(AND($E13=2,NF13=0),1000000,INDEX('計算A'!AF$110:AF$114,$F13+1)+IF(AND($E13=1,NF13=0),1000,0)),1000000))</f>
        <v/>
      </c>
      <c r="WN13">
        <f>IF($B13=0,1000000,IF(INDEX('計算A'!$D$60:$II$104,$B13,30)*DZ13=1,IF(AND($E13=2,NG13=0),1000000,INDEX('計算A'!AG$110:AG$114,$F13+1)+IF(AND($E13=1,NG13=0),1000,0)),1000000))</f>
        <v/>
      </c>
      <c r="WO13">
        <f>IF($B13=0,1000000,IF(INDEX('計算A'!$D$60:$II$104,$B13,31)*EA13=1,IF(AND($E13=2,NH13=0),1000000,INDEX('計算A'!AH$110:AH$114,$F13+1)+IF(AND($E13=1,NH13=0),1000,0)),1000000))</f>
        <v/>
      </c>
      <c r="WP13">
        <f>IF($B13=0,1000000,IF(INDEX('計算A'!$D$60:$II$104,$B13,32)*EB13=1,IF(AND($E13=2,NI13=0),1000000,INDEX('計算A'!AI$110:AI$114,$F13+1)+IF(AND($E13=1,NI13=0),1000,0)),1000000))</f>
        <v/>
      </c>
      <c r="WQ13">
        <f>IF($B13=0,1000000,IF(INDEX('計算A'!$D$60:$II$104,$B13,33)*EC13=1,IF(AND($E13=2,NJ13=0),1000000,INDEX('計算A'!AJ$110:AJ$114,$F13+1)+IF(AND($E13=1,NJ13=0),1000,0)),1000000))</f>
        <v/>
      </c>
      <c r="WR13">
        <f>IF($B13=0,1000000,IF(INDEX('計算A'!$D$60:$II$104,$B13,34)*ED13=1,IF(AND($E13=2,NK13=0),1000000,INDEX('計算A'!AK$110:AK$114,$F13+1)+IF(AND($E13=1,NK13=0),1000,0)),1000000))</f>
        <v/>
      </c>
      <c r="WS13">
        <f>IF($B13=0,1000000,IF(INDEX('計算A'!$D$60:$II$104,$B13,35)*EE13=1,IF(AND($E13=2,NL13=0),1000000,INDEX('計算A'!AL$110:AL$114,$F13+1)+IF(AND($E13=1,NL13=0),1000,0)),1000000))</f>
        <v/>
      </c>
      <c r="WT13">
        <f>IF($B13=0,1000000,IF(INDEX('計算A'!$D$60:$II$104,$B13,36)*EF13=1,IF(AND($E13=2,NM13=0),1000000,INDEX('計算A'!AM$110:AM$114,$F13+1)+IF(AND($E13=1,NM13=0),1000,0)),1000000))</f>
        <v/>
      </c>
      <c r="WU13">
        <f>IF($B13=0,1000000,IF(INDEX('計算A'!$D$60:$II$104,$B13,37)*EG13=1,IF(AND($E13=2,NN13=0),1000000,INDEX('計算A'!AN$110:AN$114,$F13+1)+IF(AND($E13=1,NN13=0),1000,0)),1000000))</f>
        <v/>
      </c>
      <c r="WV13">
        <f>IF($B13=0,1000000,IF(INDEX('計算A'!$D$60:$II$104,$B13,38)*EH13=1,IF(AND($E13=2,NO13=0),1000000,INDEX('計算A'!AO$110:AO$114,$F13+1)+IF(AND($E13=1,NO13=0),1000,0)),1000000))</f>
        <v/>
      </c>
      <c r="WW13">
        <f>IF($B13=0,1000000,IF(INDEX('計算A'!$D$60:$II$104,$B13,39)*EI13=1,IF(AND($E13=2,NP13=0),1000000,INDEX('計算A'!AP$110:AP$114,$F13+1)+IF(AND($E13=1,NP13=0),1000,0)),1000000))</f>
        <v/>
      </c>
      <c r="WX13">
        <f>IF($B13=0,1000000,IF(INDEX('計算A'!$D$60:$II$104,$B13,40)*EJ13=1,IF(AND($E13=2,NQ13=0),1000000,INDEX('計算A'!AQ$110:AQ$114,$F13+1)+IF(AND($E13=1,NQ13=0),1000,0)),1000000))</f>
        <v/>
      </c>
      <c r="WY13">
        <f>IF($B13=0,1000000,IF(INDEX('計算A'!$D$60:$II$104,$B13,41)*EK13=1,IF(AND($E13=2,NR13=0),1000000,INDEX('計算A'!AR$110:AR$114,$F13+1)+IF(AND($E13=1,NR13=0),1000,0)),1000000))</f>
        <v/>
      </c>
      <c r="WZ13">
        <f>IF($B13=0,1000000,IF(INDEX('計算A'!$D$60:$II$104,$B13,42)*EL13=1,IF(AND($E13=2,NS13=0),1000000,INDEX('計算A'!AS$110:AS$114,$F13+1)+IF(AND($E13=1,NS13=0),1000,0)),1000000))</f>
        <v/>
      </c>
      <c r="XA13">
        <f>IF($B13=0,1000000,IF(INDEX('計算A'!$D$60:$II$104,$B13,43)*EM13=1,IF(AND($E13=2,NT13=0),1000000,INDEX('計算A'!AT$110:AT$114,$F13+1)+IF(AND($E13=1,NT13=0),1000,0)),1000000))</f>
        <v/>
      </c>
      <c r="XB13">
        <f>IF($B13=0,1000000,IF(INDEX('計算A'!$D$60:$II$104,$B13,44)*EN13=1,IF(AND($E13=2,NU13=0),1000000,INDEX('計算A'!AU$110:AU$114,$F13+1)+IF(AND($E13=1,NU13=0),1000,0)),1000000))</f>
        <v/>
      </c>
      <c r="XC13">
        <f>IF($B13=0,1000000,IF(INDEX('計算A'!$D$60:$II$104,$B13,45)*EO13=1,IF(AND($E13=2,NV13=0),1000000,INDEX('計算A'!AV$110:AV$114,$F13+1)+IF(AND($E13=1,NV13=0),1000,0)),1000000))</f>
        <v/>
      </c>
      <c r="XD13">
        <f>IF($B13=0,1000000,IF(INDEX('計算A'!$D$60:$II$104,$B13,46)*EP13=1,IF(AND($E13=2,NW13=0),1000000,INDEX('計算A'!AW$110:AW$114,$F13+1)+IF(AND($E13=1,NW13=0),1000,0)),1000000))</f>
        <v/>
      </c>
      <c r="XE13">
        <f>IF($B13=0,1000000,IF(INDEX('計算A'!$D$60:$II$104,$B13,47)*EQ13=1,IF(AND($E13=2,NX13=0),1000000,INDEX('計算A'!AX$110:AX$114,$F13+1)+IF(AND($E13=1,NX13=0),1000,0)),1000000))</f>
        <v/>
      </c>
      <c r="XF13">
        <f>IF($B13=0,1000000,IF(INDEX('計算A'!$D$60:$II$104,$B13,48)*ER13=1,IF(AND($E13=2,NY13=0),1000000,INDEX('計算A'!AY$110:AY$114,$F13+1)+IF(AND($E13=1,NY13=0),1000,0)),1000000))</f>
        <v/>
      </c>
      <c r="XG13">
        <f>IF($B13=0,1000000,IF(INDEX('計算A'!$D$60:$II$104,$B13,49)*ES13=1,IF(AND($E13=2,NZ13=0),1000000,INDEX('計算A'!AZ$110:AZ$114,$F13+1)+IF(AND($E13=1,NZ13=0),1000,0)),1000000))</f>
        <v/>
      </c>
      <c r="XH13">
        <f>IF($B13=0,1000000,IF(INDEX('計算A'!$D$60:$II$104,$B13,50)*ET13=1,IF(AND($E13=2,OA13=0),1000000,INDEX('計算A'!BA$110:BA$114,$F13+1)+IF(AND($E13=1,OA13=0),1000,0)),1000000))</f>
        <v/>
      </c>
      <c r="XI13">
        <f>IF($B13=0,1000000,IF(INDEX('計算A'!$D$60:$II$104,$B13,51)*EU13=1,IF(AND($E13=2,OB13=0),1000000,INDEX('計算A'!BB$110:BB$114,$F13+1)+IF(AND($E13=1,OB13=0),1000,0)),1000000))</f>
        <v/>
      </c>
      <c r="XJ13">
        <f>IF($B13=0,1000000,IF(INDEX('計算A'!$D$60:$II$104,$B13,52)*EV13=1,IF(AND($E13=2,OC13=0),1000000,INDEX('計算A'!BC$110:BC$114,$F13+1)+IF(AND($E13=1,OC13=0),1000,0)),1000000))</f>
        <v/>
      </c>
      <c r="XK13">
        <f>IF($B13=0,1000000,IF(INDEX('計算A'!$D$60:$II$104,$B13,53)*EW13=1,IF(AND($E13=2,OD13=0),1000000,INDEX('計算A'!BD$110:BD$114,$F13+1)+IF(AND($E13=1,OD13=0),1000,0)),1000000))</f>
        <v/>
      </c>
      <c r="XL13">
        <f>IF($B13=0,1000000,IF(INDEX('計算A'!$D$60:$II$104,$B13,54)*EX13=1,IF(AND($E13=2,OE13=0),1000000,INDEX('計算A'!BE$110:BE$114,$F13+1)+IF(AND($E13=1,OE13=0),1000,0)),1000000))</f>
        <v/>
      </c>
      <c r="XM13">
        <f>IF($B13=0,1000000,IF(INDEX('計算A'!$D$60:$II$104,$B13,55)*EY13=1,IF(AND($E13=2,OF13=0),1000000,INDEX('計算A'!BF$110:BF$114,$F13+1)+IF(AND($E13=1,OF13=0),1000,0)),1000000))</f>
        <v/>
      </c>
      <c r="XN13">
        <f>IF($B13=0,1000000,IF(INDEX('計算A'!$D$60:$II$104,$B13,56)*EZ13=1,IF(AND($E13=2,OG13=0),1000000,INDEX('計算A'!BG$110:BG$114,$F13+1)+IF(AND($E13=1,OG13=0),1000,0)),1000000))</f>
        <v/>
      </c>
      <c r="XO13">
        <f>IF($B13=0,1000000,IF(INDEX('計算A'!$D$60:$II$104,$B13,57)*FA13=1,IF(AND($E13=2,OH13=0),1000000,INDEX('計算A'!BH$110:BH$114,$F13+1)+IF(AND($E13=1,OH13=0),1000,0)),1000000))</f>
        <v/>
      </c>
      <c r="XP13">
        <f>IF($B13=0,1000000,IF(INDEX('計算A'!$D$60:$II$104,$B13,58)*FB13=1,IF(AND($E13=2,OI13=0),1000000,INDEX('計算A'!BI$110:BI$114,$F13+1)+IF(AND($E13=1,OI13=0),1000,0)),1000000))</f>
        <v/>
      </c>
      <c r="XQ13">
        <f>IF($B13=0,1000000,IF(INDEX('計算A'!$D$60:$II$104,$B13,59)*FC13=1,IF(AND($E13=2,OJ13=0),1000000,INDEX('計算A'!BJ$110:BJ$114,$F13+1)+IF(AND($E13=1,OJ13=0),1000,0)),1000000))</f>
        <v/>
      </c>
      <c r="XR13">
        <f>IF($B13=0,1000000,IF(INDEX('計算A'!$D$60:$II$104,$B13,60)*FD13=1,IF(AND($E13=2,OK13=0),1000000,INDEX('計算A'!BK$110:BK$114,$F13+1)+IF(AND($E13=1,OK13=0),1000,0)),1000000))</f>
        <v/>
      </c>
      <c r="XS13">
        <f>IF($B13=0,1000000,IF(INDEX('計算A'!$D$60:$II$104,$B13,61)*FE13=1,IF(AND($E13=2,OL13=0),1000000,INDEX('計算A'!BL$110:BL$114,$F13+1)+IF(AND($E13=1,OL13=0),1000,0)),1000000))</f>
        <v/>
      </c>
      <c r="XT13">
        <f>IF($B13=0,1000000,IF(INDEX('計算A'!$D$60:$II$104,$B13,62)*FF13=1,IF(AND($E13=2,OM13=0),1000000,INDEX('計算A'!BM$110:BM$114,$F13+1)+IF(AND($E13=1,OM13=0),1000,0)),1000000))</f>
        <v/>
      </c>
      <c r="XU13">
        <f>IF($B13=0,1000000,IF(INDEX('計算A'!$D$60:$II$104,$B13,63)*FG13=1,IF(AND($E13=2,ON13=0),1000000,INDEX('計算A'!BN$110:BN$114,$F13+1)+IF(AND($E13=1,ON13=0),1000,0)),1000000))</f>
        <v/>
      </c>
      <c r="XV13">
        <f>IF($B13=0,1000000,IF(INDEX('計算A'!$D$60:$II$104,$B13,64)*FH13=1,IF(AND($E13=2,OO13=0),1000000,INDEX('計算A'!BO$110:BO$114,$F13+1)+IF(AND($E13=1,OO13=0),1000,0)),1000000))</f>
        <v/>
      </c>
      <c r="XW13">
        <f>IF($B13=0,1000000,IF(INDEX('計算A'!$D$60:$II$104,$B13,65)*FI13=1,IF(AND($E13=2,OP13=0),1000000,INDEX('計算A'!BP$110:BP$114,$F13+1)+IF(AND($E13=1,OP13=0),1000,0)),1000000))</f>
        <v/>
      </c>
      <c r="XX13">
        <f>IF($B13=0,1000000,IF(INDEX('計算A'!$D$60:$II$104,$B13,66)*FJ13=1,IF(AND($E13=2,OQ13=0),1000000,INDEX('計算A'!BQ$110:BQ$114,$F13+1)+IF(AND($E13=1,OQ13=0),1000,0)),1000000))</f>
        <v/>
      </c>
      <c r="XY13">
        <f>IF($B13=0,1000000,IF(INDEX('計算A'!$D$60:$II$104,$B13,67)*FK13=1,IF(AND($E13=2,OR13=0),1000000,INDEX('計算A'!BR$110:BR$114,$F13+1)+IF(AND($E13=1,OR13=0),1000,0)),1000000))</f>
        <v/>
      </c>
      <c r="XZ13">
        <f>IF($B13=0,1000000,IF(INDEX('計算A'!$D$60:$II$104,$B13,68)*FL13=1,IF(AND($E13=2,OS13=0),1000000,INDEX('計算A'!BS$110:BS$114,$F13+1)+IF(AND($E13=1,OS13=0),1000,0)),1000000))</f>
        <v/>
      </c>
      <c r="YA13">
        <f>IF($B13=0,1000000,IF(INDEX('計算A'!$D$60:$II$104,$B13,69)*FM13=1,IF(AND($E13=2,OT13=0),1000000,INDEX('計算A'!BT$110:BT$114,$F13+1)+IF(AND($E13=1,OT13=0),1000,0)),1000000))</f>
        <v/>
      </c>
      <c r="YB13">
        <f>IF($B13=0,1000000,IF(INDEX('計算A'!$D$60:$II$104,$B13,70)*FN13=1,IF(AND($E13=2,OU13=0),1000000,INDEX('計算A'!BU$110:BU$114,$F13+1)+IF(AND($E13=1,OU13=0),1000,0)),1000000))</f>
        <v/>
      </c>
      <c r="YC13">
        <f>IF($B13=0,1000000,IF(INDEX('計算A'!$D$60:$II$104,$B13,71)*FO13=1,IF(AND($E13=2,OV13=0),1000000,INDEX('計算A'!BV$110:BV$114,$F13+1)+IF(AND($E13=1,OV13=0),1000,0)),1000000))</f>
        <v/>
      </c>
      <c r="YD13">
        <f>IF($B13=0,1000000,IF(INDEX('計算A'!$D$60:$II$104,$B13,72)*FP13=1,IF(AND($E13=2,OW13=0),1000000,INDEX('計算A'!BW$110:BW$114,$F13+1)+IF(AND($E13=1,OW13=0),1000,0)),1000000))</f>
        <v/>
      </c>
      <c r="YE13">
        <f>IF($B13=0,1000000,IF(INDEX('計算A'!$D$60:$II$104,$B13,73)*FQ13=1,IF(AND($E13=2,OX13=0),1000000,INDEX('計算A'!BX$110:BX$114,$F13+1)+IF(AND($E13=1,OX13=0),1000,0)),1000000))</f>
        <v/>
      </c>
      <c r="YF13">
        <f>IF($B13=0,1000000,IF(INDEX('計算A'!$D$60:$II$104,$B13,74)*FR13=1,IF(AND($E13=2,OY13=0),1000000,INDEX('計算A'!BY$110:BY$114,$F13+1)+IF(AND($E13=1,OY13=0),1000,0)),1000000))</f>
        <v/>
      </c>
      <c r="YG13">
        <f>IF($B13=0,1000000,IF(INDEX('計算A'!$D$60:$II$104,$B13,75)*FS13=1,IF(AND($E13=2,OZ13=0),1000000,INDEX('計算A'!BZ$110:BZ$114,$F13+1)+IF(AND($E13=1,OZ13=0),1000,0)),1000000))</f>
        <v/>
      </c>
      <c r="YH13">
        <f>IF($B13=0,1000000,IF(INDEX('計算A'!$D$60:$II$104,$B13,76)*FT13=1,IF(AND($E13=2,PA13=0),1000000,INDEX('計算A'!CA$110:CA$114,$F13+1)+IF(AND($E13=1,PA13=0),1000,0)),1000000))</f>
        <v/>
      </c>
      <c r="YI13">
        <f>IF($B13=0,1000000,IF(INDEX('計算A'!$D$60:$II$104,$B13,77)*FU13=1,IF(AND($E13=2,PB13=0),1000000,INDEX('計算A'!CB$110:CB$114,$F13+1)+IF(AND($E13=1,PB13=0),1000,0)),1000000))</f>
        <v/>
      </c>
      <c r="YJ13">
        <f>IF($B13=0,1000000,IF(INDEX('計算A'!$D$60:$II$104,$B13,78)*FV13=1,IF(AND($E13=2,PC13=0),1000000,INDEX('計算A'!CC$110:CC$114,$F13+1)+IF(AND($E13=1,PC13=0),1000,0)),1000000))</f>
        <v/>
      </c>
      <c r="YK13">
        <f>IF($B13=0,1000000,IF(INDEX('計算A'!$D$60:$II$104,$B13,79)*FW13=1,IF(AND($E13=2,PD13=0),1000000,INDEX('計算A'!CD$110:CD$114,$F13+1)+IF(AND($E13=1,PD13=0),1000,0)),1000000))</f>
        <v/>
      </c>
      <c r="YL13">
        <f>IF($B13=0,1000000,IF(INDEX('計算A'!$D$60:$II$104,$B13,80)*FX13=1,IF(AND($E13=2,PE13=0),1000000,INDEX('計算A'!CE$110:CE$114,$F13+1)+IF(AND($E13=1,PE13=0),1000,0)),1000000))</f>
        <v/>
      </c>
      <c r="YM13">
        <f>IF($B13=0,1000000,IF(INDEX('計算A'!$D$60:$II$104,$B13,81)*FY13=1,IF(AND($E13=2,PF13=0),1000000,INDEX('計算A'!CF$110:CF$114,$F13+1)+IF(AND($E13=1,PF13=0),1000,0)),1000000))</f>
        <v/>
      </c>
      <c r="YN13">
        <f>IF($B13=0,1000000,IF(INDEX('計算A'!$D$60:$II$104,$B13,82)*FZ13=1,IF(AND($E13=2,PG13=0),1000000,INDEX('計算A'!CG$110:CG$114,$F13+1)+IF(AND($E13=1,PG13=0),1000,0)),1000000))</f>
        <v/>
      </c>
      <c r="YO13">
        <f>IF($B13=0,1000000,IF(INDEX('計算A'!$D$60:$II$104,$B13,83)*GA13=1,IF(AND($E13=2,PH13=0),1000000,INDEX('計算A'!CH$110:CH$114,$F13+1)+IF(AND($E13=1,PH13=0),1000,0)),1000000))</f>
        <v/>
      </c>
      <c r="YP13">
        <f>IF($B13=0,1000000,IF(INDEX('計算A'!$D$60:$II$104,$B13,84)*GB13=1,IF(AND($E13=2,PI13=0),1000000,INDEX('計算A'!CI$110:CI$114,$F13+1)+IF(AND($E13=1,PI13=0),1000,0)),1000000))</f>
        <v/>
      </c>
      <c r="YQ13">
        <f>IF($B13=0,1000000,IF(INDEX('計算A'!$D$60:$II$104,$B13,85)*GC13=1,IF(AND($E13=2,PJ13=0),1000000,INDEX('計算A'!CJ$110:CJ$114,$F13+1)+IF(AND($E13=1,PJ13=0),1000,0)),1000000))</f>
        <v/>
      </c>
      <c r="YR13">
        <f>IF($B13=0,1000000,IF(INDEX('計算A'!$D$60:$II$104,$B13,86)*GD13=1,IF(AND($E13=2,PK13=0),1000000,INDEX('計算A'!CK$110:CK$114,$F13+1)+IF(AND($E13=1,PK13=0),1000,0)),1000000))</f>
        <v/>
      </c>
      <c r="YS13">
        <f>IF($B13=0,1000000,IF(INDEX('計算A'!$D$60:$II$104,$B13,87)*GE13=1,IF(AND($E13=2,PL13=0),1000000,INDEX('計算A'!CL$110:CL$114,$F13+1)+IF(AND($E13=1,PL13=0),1000,0)),1000000))</f>
        <v/>
      </c>
      <c r="YT13">
        <f>IF($B13=0,1000000,IF(INDEX('計算A'!$D$60:$II$104,$B13,88)*GF13=1,IF(AND($E13=2,PM13=0),1000000,INDEX('計算A'!CM$110:CM$114,$F13+1)+IF(AND($E13=1,PM13=0),1000,0)),1000000))</f>
        <v/>
      </c>
      <c r="YU13">
        <f>IF($B13=0,1000000,IF(INDEX('計算A'!$D$60:$II$104,$B13,89)*GG13=1,IF(AND($E13=2,PN13=0),1000000,INDEX('計算A'!CN$110:CN$114,$F13+1)+IF(AND($E13=1,PN13=0),1000,0)),1000000))</f>
        <v/>
      </c>
      <c r="YV13">
        <f>IF($B13=0,1000000,IF(INDEX('計算A'!$D$60:$II$104,$B13,90)*GH13=1,IF(AND($E13=2,PO13=0),1000000,INDEX('計算A'!CO$110:CO$114,$F13+1)+IF(AND($E13=1,PO13=0),1000,0)),1000000))</f>
        <v/>
      </c>
      <c r="YW13">
        <f>IF($B13=0,1000000,IF(INDEX('計算A'!$D$60:$II$104,$B13,91)*GI13=1,IF(AND($E13=2,PP13=0),1000000,INDEX('計算A'!CP$110:CP$114,$F13+1)+IF(AND($E13=1,PP13=0),1000,0)),1000000))</f>
        <v/>
      </c>
      <c r="YX13">
        <f>IF($B13=0,1000000,IF(INDEX('計算A'!$D$60:$II$104,$B13,92)*GJ13=1,IF(AND($E13=2,PQ13=0),1000000,INDEX('計算A'!CQ$110:CQ$114,$F13+1)+IF(AND($E13=1,PQ13=0),1000,0)),1000000))</f>
        <v/>
      </c>
      <c r="YY13">
        <f>IF($B13=0,1000000,IF(INDEX('計算A'!$D$60:$II$104,$B13,93)*GK13=1,IF(AND($E13=2,PR13=0),1000000,INDEX('計算A'!CR$110:CR$114,$F13+1)+IF(AND($E13=1,PR13=0),1000,0)),1000000))</f>
        <v/>
      </c>
      <c r="YZ13">
        <f>IF($B13=0,1000000,IF(INDEX('計算A'!$D$60:$II$104,$B13,94)*GL13=1,IF(AND($E13=2,PS13=0),1000000,INDEX('計算A'!CS$110:CS$114,$F13+1)+IF(AND($E13=1,PS13=0),1000,0)),1000000))</f>
        <v/>
      </c>
      <c r="ZA13">
        <f>IF($B13=0,1000000,IF(INDEX('計算A'!$D$60:$II$104,$B13,95)*GM13=1,IF(AND($E13=2,PT13=0),1000000,INDEX('計算A'!CT$110:CT$114,$F13+1)+IF(AND($E13=1,PT13=0),1000,0)),1000000))</f>
        <v/>
      </c>
      <c r="ZB13">
        <f>IF($B13=0,1000000,IF(INDEX('計算A'!$D$60:$II$104,$B13,96)*GN13=1,IF(AND($E13=2,PU13=0),1000000,INDEX('計算A'!CU$110:CU$114,$F13+1)+IF(AND($E13=1,PU13=0),1000,0)),1000000))</f>
        <v/>
      </c>
      <c r="ZC13">
        <f>IF($B13=0,1000000,IF(INDEX('計算A'!$D$60:$II$104,$B13,97)*GO13=1,IF(AND($E13=2,PV13=0),1000000,INDEX('計算A'!CV$110:CV$114,$F13+1)+IF(AND($E13=1,PV13=0),1000,0)),1000000))</f>
        <v/>
      </c>
      <c r="ZD13">
        <f>IF($B13=0,1000000,IF(INDEX('計算A'!$D$60:$II$104,$B13,98)*GP13=1,IF(AND($E13=2,PW13=0),1000000,INDEX('計算A'!CW$110:CW$114,$F13+1)+IF(AND($E13=1,PW13=0),1000,0)),1000000))</f>
        <v/>
      </c>
      <c r="ZE13">
        <f>IF($B13=0,1000000,IF(INDEX('計算A'!$D$60:$II$104,$B13,99)*GQ13=1,IF(AND($E13=2,PX13=0),1000000,INDEX('計算A'!CX$110:CX$114,$F13+1)+IF(AND($E13=1,PX13=0),1000,0)),1000000))</f>
        <v/>
      </c>
      <c r="ZF13">
        <f>IF($B13=0,1000000,IF(INDEX('計算A'!$D$60:$II$104,$B13,100)*GR13=1,IF(AND($E13=2,PY13=0),1000000,INDEX('計算A'!CY$110:CY$114,$F13+1)+IF(AND($E13=1,PY13=0),1000,0)),1000000))</f>
        <v/>
      </c>
      <c r="ZG13">
        <f>IF($B13=0,1000000,IF(INDEX('計算A'!$D$60:$II$104,$B13,101)*GS13=1,IF(AND($E13=2,PZ13=0),1000000,INDEX('計算A'!CZ$110:CZ$114,$F13+1)+IF(AND($E13=1,PZ13=0),1000,0)),1000000))</f>
        <v/>
      </c>
      <c r="ZH13">
        <f>IF($B13=0,1000000,IF(INDEX('計算A'!$D$60:$II$104,$B13,102)*GT13=1,IF(AND($E13=2,QA13=0),1000000,INDEX('計算A'!DA$110:DA$114,$F13+1)+IF(AND($E13=1,QA13=0),1000,0)),1000000))</f>
        <v/>
      </c>
      <c r="ZI13">
        <f>IF($B13=0,1000000,IF(INDEX('計算A'!$D$60:$II$104,$B13,103)*GU13=1,IF(AND($E13=2,QB13=0),1000000,INDEX('計算A'!DB$110:DB$114,$F13+1)+IF(AND($E13=1,QB13=0),1000,0)),1000000))</f>
        <v/>
      </c>
      <c r="ZJ13">
        <f>IF($B13=0,1000000,IF(INDEX('計算A'!$D$60:$II$104,$B13,104)*GV13=1,IF(AND($E13=2,QC13=0),1000000,INDEX('計算A'!DC$110:DC$114,$F13+1)+IF(AND($E13=1,QC13=0),1000,0)),1000000))</f>
        <v/>
      </c>
      <c r="ZK13">
        <f>IF($B13=0,1000000,IF(INDEX('計算A'!$D$60:$II$104,$B13,105)*GW13=1,IF(AND($E13=2,QD13=0),1000000,INDEX('計算A'!DD$110:DD$114,$F13+1)+IF(AND($E13=1,QD13=0),1000,0)),1000000))</f>
        <v/>
      </c>
      <c r="ZL13">
        <f>IF($B13=0,1000000,IF(INDEX('計算A'!$D$60:$II$104,$B13,106)*GX13=1,IF(AND($E13=2,QE13=0),1000000,INDEX('計算A'!DE$110:DE$114,$F13+1)+IF(AND($E13=1,QE13=0),1000,0)),1000000))</f>
        <v/>
      </c>
      <c r="ZM13">
        <f>IF($B13=0,1000000,IF(INDEX('計算A'!$D$60:$II$104,$B13,107)*GY13=1,IF(AND($E13=2,QF13=0),1000000,INDEX('計算A'!DF$110:DF$114,$F13+1)+IF(AND($E13=1,QF13=0),1000,0)),1000000))</f>
        <v/>
      </c>
      <c r="ZN13">
        <f>IF($B13=0,1000000,IF(INDEX('計算A'!$D$60:$II$104,$B13,108)*GZ13=1,IF(AND($E13=2,QG13=0),1000000,INDEX('計算A'!DG$110:DG$114,$F13+1)+IF(AND($E13=1,QG13=0),1000,0)),1000000))</f>
        <v/>
      </c>
      <c r="ZO13">
        <f>IF($B13=0,1000000,IF(INDEX('計算A'!$D$60:$II$104,$B13,109)*HA13=1,IF(AND($E13=2,QH13=0),1000000,INDEX('計算A'!DH$110:DH$114,$F13+1)+IF(AND($E13=1,QH13=0),1000,0)),1000000))</f>
        <v/>
      </c>
      <c r="ZP13">
        <f>IF($B13=0,1000000,IF(INDEX('計算A'!$D$60:$II$104,$B13,110)*HB13=1,IF(AND($E13=2,QI13=0),1000000,INDEX('計算A'!DI$110:DI$114,$F13+1)+IF(AND($E13=1,QI13=0),1000,0)),1000000))</f>
        <v/>
      </c>
      <c r="ZQ13">
        <f>IF($B13=0,1000000,IF(INDEX('計算A'!$D$60:$II$104,$B13,111)*HC13=1,IF(AND($E13=2,QJ13=0),1000000,INDEX('計算A'!DJ$110:DJ$114,$F13+1)+IF(AND($E13=1,QJ13=0),1000,0)),1000000))</f>
        <v/>
      </c>
      <c r="ZR13">
        <f>IF($B13=0,1000000,IF(INDEX('計算A'!$D$60:$II$104,$B13,112)*HD13=1,IF(AND($E13=2,QK13=0),1000000,INDEX('計算A'!DK$110:DK$114,$F13+1)+IF(AND($E13=1,QK13=0),1000,0)),1000000))</f>
        <v/>
      </c>
      <c r="ZS13">
        <f>IF($B13=0,1000000,IF(INDEX('計算A'!$D$60:$II$104,$B13,113)*HE13=1,IF(AND($E13=2,QL13=0),1000000,INDEX('計算A'!DL$110:DL$114,$F13+1)+IF(AND($E13=1,QL13=0),1000,0)),1000000))</f>
        <v/>
      </c>
      <c r="ZT13">
        <f>IF($B13=0,1000000,IF(INDEX('計算A'!$D$60:$II$104,$B13,114)*HF13=1,IF(AND($E13=2,QM13=0),1000000,INDEX('計算A'!DM$110:DM$114,$F13+1)+IF(AND($E13=1,QM13=0),1000,0)),1000000))</f>
        <v/>
      </c>
      <c r="ZU13">
        <f>IF($B13=0,1000000,IF(INDEX('計算A'!$D$60:$II$104,$B13,115)*HG13=1,IF(AND($E13=2,QN13=0),1000000,INDEX('計算A'!DN$110:DN$114,$F13+1)+IF(AND($E13=1,QN13=0),1000,0)),1000000))</f>
        <v/>
      </c>
      <c r="ZV13">
        <f>IF($B13=0,1000000,IF(INDEX('計算A'!$D$60:$II$104,$B13,116)*HH13=1,IF(AND($E13=2,QO13=0),1000000,INDEX('計算A'!DO$110:DO$114,$F13+1)+IF(AND($E13=1,QO13=0),1000,0)),1000000))</f>
        <v/>
      </c>
      <c r="ZW13">
        <f>IF($B13=0,1000000,IF(INDEX('計算A'!$D$60:$II$104,$B13,117)*HI13=1,IF(AND($E13=2,QP13=0),1000000,INDEX('計算A'!DP$110:DP$114,$F13+1)+IF(AND($E13=1,QP13=0),1000,0)),1000000))</f>
        <v/>
      </c>
      <c r="ZX13">
        <f>IF($B13=0,1000000,IF(INDEX('計算A'!$D$60:$II$104,$B13,118)*HJ13=1,IF(AND($E13=2,QQ13=0),1000000,INDEX('計算A'!DQ$110:DQ$114,$F13+1)+IF(AND($E13=1,QQ13=0),1000,0)),1000000))</f>
        <v/>
      </c>
      <c r="ZY13">
        <f>IF($B13=0,1000000,IF(INDEX('計算A'!$D$60:$II$104,$B13,119)*HK13=1,IF(AND($E13=2,QR13=0),1000000,INDEX('計算A'!DR$110:DR$114,$F13+1)+IF(AND($E13=1,QR13=0),1000,0)),1000000))</f>
        <v/>
      </c>
      <c r="ZZ13">
        <f>IF($B13=0,1000000,IF(INDEX('計算A'!$D$60:$II$104,$B13,120)*HL13=1,IF(AND($E13=2,QS13=0),1000000,INDEX('計算A'!DS$110:DS$114,$F13+1)+IF(AND($E13=1,QS13=0),1000,0)),1000000))</f>
        <v/>
      </c>
      <c r="AAA13">
        <f>IF($B13=0,1000000,IF(INDEX('計算A'!$D$60:$II$104,$B13,121)*HM13=1,IF(AND($E13=2,QT13=0),1000000,INDEX('計算A'!DT$110:DT$114,$F13+1)+IF(AND($E13=1,QT13=0),1000,0)),1000000))</f>
        <v/>
      </c>
      <c r="AAB13">
        <f>IF($B13=0,1000000,IF(INDEX('計算A'!$D$60:$II$104,$B13,122)*HN13=1,IF(AND($E13=2,QU13=0),1000000,INDEX('計算A'!DU$110:DU$114,$F13+1)+IF(AND($E13=1,QU13=0),1000,0)),1000000))</f>
        <v/>
      </c>
      <c r="AAC13">
        <f>IF($B13=0,1000000,IF(INDEX('計算A'!$D$60:$II$104,$B13,123)*HO13=1,IF(AND($E13=2,QV13=0),1000000,INDEX('計算A'!DV$110:DV$114,$F13+1)+IF(AND($E13=1,QV13=0),1000,0)),1000000))</f>
        <v/>
      </c>
      <c r="AAD13">
        <f>IF($B13=0,1000000,IF(INDEX('計算A'!$D$60:$II$104,$B13,124)*HP13=1,IF(AND($E13=2,QW13=0),1000000,INDEX('計算A'!DW$110:DW$114,$F13+1)+IF(AND($E13=1,QW13=0),1000,0)),1000000))</f>
        <v/>
      </c>
      <c r="AAE13">
        <f>IF($B13=0,1000000,IF(INDEX('計算A'!$D$60:$II$104,$B13,125)*HQ13=1,IF(AND($E13=2,QX13=0),1000000,INDEX('計算A'!DX$110:DX$114,$F13+1)+IF(AND($E13=1,QX13=0),1000,0)),1000000))</f>
        <v/>
      </c>
      <c r="AAF13">
        <f>IF($B13=0,1000000,IF(INDEX('計算A'!$D$60:$II$104,$B13,126)*HR13=1,IF(AND($E13=2,QY13=0),1000000,INDEX('計算A'!DY$110:DY$114,$F13+1)+IF(AND($E13=1,QY13=0),1000,0)),1000000))</f>
        <v/>
      </c>
      <c r="AAG13">
        <f>IF($B13=0,1000000,IF(INDEX('計算A'!$D$60:$II$104,$B13,127)*HS13=1,IF(AND($E13=2,QZ13=0),1000000,INDEX('計算A'!DZ$110:DZ$114,$F13+1)+IF(AND($E13=1,QZ13=0),1000,0)),1000000))</f>
        <v/>
      </c>
      <c r="AAH13">
        <f>IF($B13=0,1000000,IF(INDEX('計算A'!$D$60:$II$104,$B13,128)*HT13=1,IF(AND($E13=2,RA13=0),1000000,INDEX('計算A'!EA$110:EA$114,$F13+1)+IF(AND($E13=1,RA13=0),1000,0)),1000000))</f>
        <v/>
      </c>
      <c r="AAI13">
        <f>IF($B13=0,1000000,IF(INDEX('計算A'!$D$60:$II$104,$B13,129)*HU13=1,IF(AND($E13=2,RB13=0),1000000,INDEX('計算A'!EB$110:EB$114,$F13+1)+IF(AND($E13=1,RB13=0),1000,0)),1000000))</f>
        <v/>
      </c>
      <c r="AAJ13">
        <f>IF($B13=0,1000000,IF(INDEX('計算A'!$D$60:$II$104,$B13,130)*HV13=1,IF(AND($E13=2,RC13=0),1000000,INDEX('計算A'!EC$110:EC$114,$F13+1)+IF(AND($E13=1,RC13=0),1000,0)),1000000))</f>
        <v/>
      </c>
      <c r="AAK13">
        <f>IF($B13=0,1000000,IF(INDEX('計算A'!$D$60:$II$104,$B13,131)*HW13=1,IF(AND($E13=2,RD13=0),1000000,INDEX('計算A'!ED$110:ED$114,$F13+1)+IF(AND($E13=1,RD13=0),1000,0)),1000000))</f>
        <v/>
      </c>
      <c r="AAL13">
        <f>IF($B13=0,1000000,IF(INDEX('計算A'!$D$60:$II$104,$B13,132)*HX13=1,IF(AND($E13=2,RE13=0),1000000,INDEX('計算A'!EE$110:EE$114,$F13+1)+IF(AND($E13=1,RE13=0),1000,0)),1000000))</f>
        <v/>
      </c>
      <c r="AAM13">
        <f>IF($B13=0,1000000,IF(INDEX('計算A'!$D$60:$II$104,$B13,133)*HY13=1,IF(AND($E13=2,RF13=0),1000000,INDEX('計算A'!EF$110:EF$114,$F13+1)+IF(AND($E13=1,RF13=0),1000,0)),1000000))</f>
        <v/>
      </c>
      <c r="AAN13">
        <f>IF($B13=0,1000000,IF(INDEX('計算A'!$D$60:$II$104,$B13,134)*HZ13=1,IF(AND($E13=2,RG13=0),1000000,INDEX('計算A'!EG$110:EG$114,$F13+1)+IF(AND($E13=1,RG13=0),1000,0)),1000000))</f>
        <v/>
      </c>
      <c r="AAO13">
        <f>IF($B13=0,1000000,IF(INDEX('計算A'!$D$60:$II$104,$B13,135)*IA13=1,IF(AND($E13=2,RH13=0),1000000,INDEX('計算A'!EH$110:EH$114,$F13+1)+IF(AND($E13=1,RH13=0),1000,0)),1000000))</f>
        <v/>
      </c>
      <c r="AAP13">
        <f>IF($B13=0,1000000,IF(INDEX('計算A'!$D$60:$II$104,$B13,136)*IB13=1,IF(AND($E13=2,RI13=0),1000000,INDEX('計算A'!EI$110:EI$114,$F13+1)+IF(AND($E13=1,RI13=0),1000,0)),1000000))</f>
        <v/>
      </c>
      <c r="AAQ13">
        <f>IF($B13=0,1000000,IF(INDEX('計算A'!$D$60:$II$104,$B13,137)*IC13=1,IF(AND($E13=2,RJ13=0),1000000,INDEX('計算A'!EJ$110:EJ$114,$F13+1)+IF(AND($E13=1,RJ13=0),1000,0)),1000000))</f>
        <v/>
      </c>
      <c r="AAR13">
        <f>IF($B13=0,1000000,IF(INDEX('計算A'!$D$60:$II$104,$B13,138)*ID13=1,IF(AND($E13=2,RK13=0),1000000,INDEX('計算A'!EK$110:EK$114,$F13+1)+IF(AND($E13=1,RK13=0),1000,0)),1000000))</f>
        <v/>
      </c>
      <c r="AAS13">
        <f>IF($B13=0,1000000,IF(INDEX('計算A'!$D$60:$II$104,$B13,139)*IE13=1,IF(AND($E13=2,RL13=0),1000000,INDEX('計算A'!EL$110:EL$114,$F13+1)+IF(AND($E13=1,RL13=0),1000,0)),1000000))</f>
        <v/>
      </c>
      <c r="AAT13">
        <f>IF($B13=0,1000000,IF(INDEX('計算A'!$D$60:$II$104,$B13,140)*IF13=1,IF(AND($E13=2,RM13=0),1000000,INDEX('計算A'!EM$110:EM$114,$F13+1)+IF(AND($E13=1,RM13=0),1000,0)),1000000))</f>
        <v/>
      </c>
      <c r="AAU13">
        <f>IF($B13=0,1000000,IF(INDEX('計算A'!$D$60:$II$104,$B13,141)*IG13=1,IF(AND($E13=2,RN13=0),1000000,INDEX('計算A'!EN$110:EN$114,$F13+1)+IF(AND($E13=1,RN13=0),1000,0)),1000000))</f>
        <v/>
      </c>
      <c r="AAV13">
        <f>IF($B13=0,1000000,IF(INDEX('計算A'!$D$60:$II$104,$B13,142)*IH13=1,IF(AND($E13=2,RO13=0),1000000,INDEX('計算A'!EO$110:EO$114,$F13+1)+IF(AND($E13=1,RO13=0),1000,0)),1000000))</f>
        <v/>
      </c>
      <c r="AAW13">
        <f>IF($B13=0,1000000,IF(INDEX('計算A'!$D$60:$II$104,$B13,143)*II13=1,IF(AND($E13=2,RP13=0),1000000,INDEX('計算A'!EP$110:EP$114,$F13+1)+IF(AND($E13=1,RP13=0),1000,0)),1000000))</f>
        <v/>
      </c>
      <c r="AAX13">
        <f>IF($B13=0,1000000,IF(INDEX('計算A'!$D$60:$II$104,$B13,144)*IJ13=1,IF(AND($E13=2,RQ13=0),1000000,INDEX('計算A'!EQ$110:EQ$114,$F13+1)+IF(AND($E13=1,RQ13=0),1000,0)),1000000))</f>
        <v/>
      </c>
      <c r="AAY13">
        <f>IF($B13=0,1000000,IF(INDEX('計算A'!$D$60:$II$104,$B13,145)*IK13=1,IF(AND($E13=2,RR13=0),1000000,INDEX('計算A'!ER$110:ER$114,$F13+1)+IF(AND($E13=1,RR13=0),1000,0)),1000000))</f>
        <v/>
      </c>
      <c r="AAZ13">
        <f>IF($B13=0,1000000,IF(INDEX('計算A'!$D$60:$II$104,$B13,146)*IL13=1,IF(AND($E13=2,RS13=0),1000000,INDEX('計算A'!ES$110:ES$114,$F13+1)+IF(AND($E13=1,RS13=0),1000,0)),1000000))</f>
        <v/>
      </c>
      <c r="ABA13">
        <f>IF($B13=0,1000000,IF(INDEX('計算A'!$D$60:$II$104,$B13,147)*IM13=1,IF(AND($E13=2,RT13=0),1000000,INDEX('計算A'!ET$110:ET$114,$F13+1)+IF(AND($E13=1,RT13=0),1000,0)),1000000))</f>
        <v/>
      </c>
      <c r="ABB13">
        <f>IF($B13=0,1000000,IF(INDEX('計算A'!$D$60:$II$104,$B13,148)*IN13=1,IF(AND($E13=2,RU13=0),1000000,INDEX('計算A'!EU$110:EU$114,$F13+1)+IF(AND($E13=1,RU13=0),1000,0)),1000000))</f>
        <v/>
      </c>
      <c r="ABC13">
        <f>IF($B13=0,1000000,IF(INDEX('計算A'!$D$60:$II$104,$B13,149)*IO13=1,IF(AND($E13=2,RV13=0),1000000,INDEX('計算A'!EV$110:EV$114,$F13+1)+IF(AND($E13=1,RV13=0),1000,0)),1000000))</f>
        <v/>
      </c>
      <c r="ABD13">
        <f>IF($B13=0,1000000,IF(INDEX('計算A'!$D$60:$II$104,$B13,150)*IP13=1,IF(AND($E13=2,RW13=0),1000000,INDEX('計算A'!EW$110:EW$114,$F13+1)+IF(AND($E13=1,RW13=0),1000,0)),1000000))</f>
        <v/>
      </c>
      <c r="ABE13">
        <f>IF($B13=0,1000000,IF(INDEX('計算A'!$D$60:$II$104,$B13,151)*IQ13=1,IF(AND($E13=2,RX13=0),1000000,INDEX('計算A'!EX$110:EX$114,$F13+1)+IF(AND($E13=1,RX13=0),1000,0)),1000000))</f>
        <v/>
      </c>
      <c r="ABF13">
        <f>IF($B13=0,1000000,IF(INDEX('計算A'!$D$60:$II$104,$B13,152)*IR13=1,IF(AND($E13=2,RY13=0),1000000,INDEX('計算A'!EY$110:EY$114,$F13+1)+IF(AND($E13=1,RY13=0),1000,0)),1000000))</f>
        <v/>
      </c>
      <c r="ABG13">
        <f>IF($B13=0,1000000,IF(INDEX('計算A'!$D$60:$II$104,$B13,153)*IS13=1,IF(AND($E13=2,RZ13=0),1000000,INDEX('計算A'!EZ$110:EZ$114,$F13+1)+IF(AND($E13=1,RZ13=0),1000,0)),1000000))</f>
        <v/>
      </c>
      <c r="ABH13">
        <f>IF($B13=0,1000000,IF(INDEX('計算A'!$D$60:$II$104,$B13,154)*IT13=1,IF(AND($E13=2,SA13=0),1000000,INDEX('計算A'!FA$110:FA$114,$F13+1)+IF(AND($E13=1,SA13=0),1000,0)),1000000))</f>
        <v/>
      </c>
      <c r="ABI13">
        <f>IF($B13=0,1000000,IF(INDEX('計算A'!$D$60:$II$104,$B13,155)*IU13=1,IF(AND($E13=2,SB13=0),1000000,INDEX('計算A'!FB$110:FB$114,$F13+1)+IF(AND($E13=1,SB13=0),1000,0)),1000000))</f>
        <v/>
      </c>
      <c r="ABJ13">
        <f>IF($B13=0,1000000,IF(INDEX('計算A'!$D$60:$II$104,$B13,156)*IV13=1,IF(AND($E13=2,SC13=0),1000000,INDEX('計算A'!FC$110:FC$114,$F13+1)+IF(AND($E13=1,SC13=0),1000,0)),1000000))</f>
        <v/>
      </c>
      <c r="ABK13">
        <f>IF($B13=0,1000000,IF(INDEX('計算A'!$D$60:$II$104,$B13,157)*IW13=1,IF(AND($E13=2,SD13=0),1000000,INDEX('計算A'!FD$110:FD$114,$F13+1)+IF(AND($E13=1,SD13=0),1000,0)),1000000))</f>
        <v/>
      </c>
      <c r="ABL13">
        <f>IF($B13=0,1000000,IF(INDEX('計算A'!$D$60:$II$104,$B13,158)*IX13=1,IF(AND($E13=2,SE13=0),1000000,INDEX('計算A'!FE$110:FE$114,$F13+1)+IF(AND($E13=1,SE13=0),1000,0)),1000000))</f>
        <v/>
      </c>
      <c r="ABM13">
        <f>IF($B13=0,1000000,IF(INDEX('計算A'!$D$60:$II$104,$B13,159)*IY13=1,IF(AND($E13=2,SF13=0),1000000,INDEX('計算A'!FF$110:FF$114,$F13+1)+IF(AND($E13=1,SF13=0),1000,0)),1000000))</f>
        <v/>
      </c>
      <c r="ABN13">
        <f>IF($B13=0,1000000,IF(INDEX('計算A'!$D$60:$II$104,$B13,160)*IZ13=1,IF(AND($E13=2,SG13=0),1000000,INDEX('計算A'!FG$110:FG$114,$F13+1)+IF(AND($E13=1,SG13=0),1000,0)),1000000))</f>
        <v/>
      </c>
      <c r="ABO13">
        <f>IF($B13=0,1000000,IF(INDEX('計算A'!$D$60:$II$104,$B13,161)*JA13=1,IF(AND($E13=2,SH13=0),1000000,INDEX('計算A'!FH$110:FH$114,$F13+1)+IF(AND($E13=1,SH13=0),1000,0)),1000000))</f>
        <v/>
      </c>
      <c r="ABP13">
        <f>IF($B13=0,1000000,IF(INDEX('計算A'!$D$60:$II$104,$B13,162)*JB13=1,IF(AND($E13=2,SI13=0),1000000,INDEX('計算A'!FI$110:FI$114,$F13+1)+IF(AND($E13=1,SI13=0),1000,0)),1000000))</f>
        <v/>
      </c>
      <c r="ABQ13">
        <f>IF($B13=0,1000000,IF(INDEX('計算A'!$D$60:$II$104,$B13,163)*JC13=1,IF(AND($E13=2,SJ13=0),1000000,INDEX('計算A'!FJ$110:FJ$114,$F13+1)+IF(AND($E13=1,SJ13=0),1000,0)),1000000))</f>
        <v/>
      </c>
      <c r="ABR13">
        <f>IF($B13=0,1000000,IF(INDEX('計算A'!$D$60:$II$104,$B13,164)*JD13=1,IF(AND($E13=2,SK13=0),1000000,INDEX('計算A'!FK$110:FK$114,$F13+1)+IF(AND($E13=1,SK13=0),1000,0)),1000000))</f>
        <v/>
      </c>
      <c r="ABS13">
        <f>IF($B13=0,1000000,IF(INDEX('計算A'!$D$60:$II$104,$B13,165)*JE13=1,IF(AND($E13=2,SL13=0),1000000,INDEX('計算A'!FL$110:FL$114,$F13+1)+IF(AND($E13=1,SL13=0),1000,0)),1000000))</f>
        <v/>
      </c>
      <c r="ABT13">
        <f>IF($B13=0,1000000,IF(INDEX('計算A'!$D$60:$II$104,$B13,166)*JF13=1,IF(AND($E13=2,SM13=0),1000000,INDEX('計算A'!FM$110:FM$114,$F13+1)+IF(AND($E13=1,SM13=0),1000,0)),1000000))</f>
        <v/>
      </c>
      <c r="ABU13">
        <f>IF($B13=0,1000000,IF(INDEX('計算A'!$D$60:$II$104,$B13,167)*JG13=1,IF(AND($E13=2,SN13=0),1000000,INDEX('計算A'!FN$110:FN$114,$F13+1)+IF(AND($E13=1,SN13=0),1000,0)),1000000))</f>
        <v/>
      </c>
      <c r="ABV13">
        <f>IF($B13=0,1000000,IF(INDEX('計算A'!$D$60:$II$104,$B13,168)*JH13=1,IF(AND($E13=2,SO13=0),1000000,INDEX('計算A'!FO$110:FO$114,$F13+1)+IF(AND($E13=1,SO13=0),1000,0)),1000000))</f>
        <v/>
      </c>
      <c r="ABW13">
        <f>IF($B13=0,1000000,IF(INDEX('計算A'!$D$60:$II$104,$B13,169)*JI13=1,IF(AND($E13=2,SP13=0),1000000,INDEX('計算A'!FP$110:FP$114,$F13+1)+IF(AND($E13=1,SP13=0),1000,0)),1000000))</f>
        <v/>
      </c>
      <c r="ABX13">
        <f>IF($B13=0,1000000,IF(INDEX('計算A'!$D$60:$II$104,$B13,170)*JJ13=1,IF(AND($E13=2,SQ13=0),1000000,INDEX('計算A'!FQ$110:FQ$114,$F13+1)+IF(AND($E13=1,SQ13=0),1000,0)),1000000))</f>
        <v/>
      </c>
      <c r="ABY13">
        <f>IF($B13=0,1000000,IF(INDEX('計算A'!$D$60:$II$104,$B13,171)*JK13=1,IF(AND($E13=2,SR13=0),1000000,INDEX('計算A'!FR$110:FR$114,$F13+1)+IF(AND($E13=1,SR13=0),1000,0)),1000000))</f>
        <v/>
      </c>
      <c r="ABZ13">
        <f>IF($B13=0,1000000,IF(INDEX('計算A'!$D$60:$II$104,$B13,172)*JL13=1,IF(AND($E13=2,SS13=0),1000000,INDEX('計算A'!FS$110:FS$114,$F13+1)+IF(AND($E13=1,SS13=0),1000,0)),1000000))</f>
        <v/>
      </c>
      <c r="ACA13">
        <f>IF($B13=0,1000000,IF(INDEX('計算A'!$D$60:$II$104,$B13,173)*JM13=1,IF(AND($E13=2,ST13=0),1000000,INDEX('計算A'!FT$110:FT$114,$F13+1)+IF(AND($E13=1,ST13=0),1000,0)),1000000))</f>
        <v/>
      </c>
      <c r="ACB13">
        <f>IF($B13=0,1000000,IF(INDEX('計算A'!$D$60:$II$104,$B13,174)*JN13=1,IF(AND($E13=2,SU13=0),1000000,INDEX('計算A'!FU$110:FU$114,$F13+1)+IF(AND($E13=1,SU13=0),1000,0)),1000000))</f>
        <v/>
      </c>
      <c r="ACC13">
        <f>IF($B13=0,1000000,IF(INDEX('計算A'!$D$60:$II$104,$B13,175)*JO13=1,IF(AND($E13=2,SV13=0),1000000,INDEX('計算A'!FV$110:FV$114,$F13+1)+IF(AND($E13=1,SV13=0),1000,0)),1000000))</f>
        <v/>
      </c>
      <c r="ACD13">
        <f>IF($B13=0,1000000,IF(INDEX('計算A'!$D$60:$II$104,$B13,176)*JP13=1,IF(AND($E13=2,SW13=0),1000000,INDEX('計算A'!FW$110:FW$114,$F13+1)+IF(AND($E13=1,SW13=0),1000,0)),1000000))</f>
        <v/>
      </c>
      <c r="ACE13">
        <f>IF($B13=0,1000000,IF(INDEX('計算A'!$D$60:$II$104,$B13,177)*JQ13=1,IF(AND($E13=2,SX13=0),1000000,INDEX('計算A'!FX$110:FX$114,$F13+1)+IF(AND($E13=1,SX13=0),1000,0)),1000000))</f>
        <v/>
      </c>
      <c r="ACF13">
        <f>IF($B13=0,1000000,IF(INDEX('計算A'!$D$60:$II$104,$B13,178)*JR13=1,IF(AND($E13=2,SY13=0),1000000,INDEX('計算A'!FY$110:FY$114,$F13+1)+IF(AND($E13=1,SY13=0),1000,0)),1000000))</f>
        <v/>
      </c>
      <c r="ACG13">
        <f>IF($B13=0,1000000,IF(INDEX('計算A'!$D$60:$II$104,$B13,179)*JS13=1,IF(AND($E13=2,SZ13=0),1000000,INDEX('計算A'!FZ$110:FZ$114,$F13+1)+IF(AND($E13=1,SZ13=0),1000,0)),1000000))</f>
        <v/>
      </c>
      <c r="ACH13">
        <f>IF($B13=0,1000000,IF(INDEX('計算A'!$D$60:$II$104,$B13,180)*JT13=1,IF(AND($E13=2,TA13=0),1000000,INDEX('計算A'!GA$110:GA$114,$F13+1)+IF(AND($E13=1,TA13=0),1000,0)),1000000))</f>
        <v/>
      </c>
      <c r="ACI13">
        <f>IF($B13=0,1000000,IF(INDEX('計算A'!$D$60:$II$104,$B13,181)*JU13=1,IF(AND($E13=2,TB13=0),1000000,INDEX('計算A'!GB$110:GB$114,$F13+1)+IF(AND($E13=1,TB13=0),1000,0)),1000000))</f>
        <v/>
      </c>
      <c r="ACJ13">
        <f>IF($B13=0,1000000,IF(INDEX('計算A'!$D$60:$II$104,$B13,182)*JV13=1,IF(AND($E13=2,TC13=0),1000000,INDEX('計算A'!GC$110:GC$114,$F13+1)+IF(AND($E13=1,TC13=0),1000,0)),1000000))</f>
        <v/>
      </c>
      <c r="ACK13">
        <f>IF($B13=0,1000000,IF(INDEX('計算A'!$D$60:$II$104,$B13,183)*JW13=1,IF(AND($E13=2,TD13=0),1000000,INDEX('計算A'!GD$110:GD$114,$F13+1)+IF(AND($E13=1,TD13=0),1000,0)),1000000))</f>
        <v/>
      </c>
      <c r="ACL13">
        <f>IF($B13=0,1000000,IF(INDEX('計算A'!$D$60:$II$104,$B13,184)*JX13=1,IF(AND($E13=2,TE13=0),1000000,INDEX('計算A'!GE$110:GE$114,$F13+1)+IF(AND($E13=1,TE13=0),1000,0)),1000000))</f>
        <v/>
      </c>
      <c r="ACM13">
        <f>IF($B13=0,1000000,IF(INDEX('計算A'!$D$60:$II$104,$B13,185)*JY13=1,IF(AND($E13=2,TF13=0),1000000,INDEX('計算A'!GF$110:GF$114,$F13+1)+IF(AND($E13=1,TF13=0),1000,0)),1000000))</f>
        <v/>
      </c>
      <c r="ACN13">
        <f>IF($B13=0,1000000,IF(INDEX('計算A'!$D$60:$II$104,$B13,186)*JZ13=1,IF(AND($E13=2,TG13=0),1000000,INDEX('計算A'!GG$110:GG$114,$F13+1)+IF(AND($E13=1,TG13=0),1000,0)),1000000))</f>
        <v/>
      </c>
      <c r="ACO13">
        <f>IF($B13=0,1000000,IF(INDEX('計算A'!$D$60:$II$104,$B13,187)*KA13=1,IF(AND($E13=2,TH13=0),1000000,INDEX('計算A'!GH$110:GH$114,$F13+1)+IF(AND($E13=1,TH13=0),1000,0)),1000000))</f>
        <v/>
      </c>
      <c r="ACP13">
        <f>IF($B13=0,1000000,IF(INDEX('計算A'!$D$60:$II$104,$B13,188)*KB13=1,IF(AND($E13=2,TI13=0),1000000,INDEX('計算A'!GI$110:GI$114,$F13+1)+IF(AND($E13=1,TI13=0),1000,0)),1000000))</f>
        <v/>
      </c>
      <c r="ACQ13">
        <f>IF($B13=0,1000000,IF(INDEX('計算A'!$D$60:$II$104,$B13,189)*KC13=1,IF(AND($E13=2,TJ13=0),1000000,INDEX('計算A'!GJ$110:GJ$114,$F13+1)+IF(AND($E13=1,TJ13=0),1000,0)),1000000))</f>
        <v/>
      </c>
      <c r="ACR13">
        <f>IF($B13=0,1000000,IF(INDEX('計算A'!$D$60:$II$104,$B13,190)*KD13=1,IF(AND($E13=2,TK13=0),1000000,INDEX('計算A'!GK$110:GK$114,$F13+1)+IF(AND($E13=1,TK13=0),1000,0)),1000000))</f>
        <v/>
      </c>
      <c r="ACS13">
        <f>IF($B13=0,1000000,IF(INDEX('計算A'!$D$60:$II$104,$B13,191)*KE13=1,IF(AND($E13=2,TL13=0),1000000,INDEX('計算A'!GL$110:GL$114,$F13+1)+IF(AND($E13=1,TL13=0),1000,0)),1000000))</f>
        <v/>
      </c>
      <c r="ACT13">
        <f>IF($B13=0,1000000,IF(INDEX('計算A'!$D$60:$II$104,$B13,192)*KF13=1,IF(AND($E13=2,TM13=0),1000000,INDEX('計算A'!GM$110:GM$114,$F13+1)+IF(AND($E13=1,TM13=0),1000,0)),1000000))</f>
        <v/>
      </c>
      <c r="ACU13">
        <f>IF($B13=0,1000000,IF(INDEX('計算A'!$D$60:$II$104,$B13,193)*KG13=1,IF(AND($E13=2,TN13=0),1000000,INDEX('計算A'!GN$110:GN$114,$F13+1)+IF(AND($E13=1,TN13=0),1000,0)),1000000))</f>
        <v/>
      </c>
      <c r="ACV13">
        <f>IF($B13=0,1000000,IF(INDEX('計算A'!$D$60:$II$104,$B13,194)*KH13=1,IF(AND($E13=2,TO13=0),1000000,INDEX('計算A'!GO$110:GO$114,$F13+1)+IF(AND($E13=1,TO13=0),1000,0)),1000000))</f>
        <v/>
      </c>
      <c r="ACW13">
        <f>IF($B13=0,1000000,IF(INDEX('計算A'!$D$60:$II$104,$B13,195)*KI13=1,IF(AND($E13=2,TP13=0),1000000,INDEX('計算A'!GP$110:GP$114,$F13+1)+IF(AND($E13=1,TP13=0),1000,0)),1000000))</f>
        <v/>
      </c>
      <c r="ACX13">
        <f>IF($B13=0,1000000,IF(INDEX('計算A'!$D$60:$II$104,$B13,196)*KJ13=1,IF(AND($E13=2,TQ13=0),1000000,INDEX('計算A'!GQ$110:GQ$114,$F13+1)+IF(AND($E13=1,TQ13=0),1000,0)),1000000))</f>
        <v/>
      </c>
      <c r="ACY13">
        <f>IF($B13=0,1000000,IF(INDEX('計算A'!$D$60:$II$104,$B13,197)*KK13=1,IF(AND($E13=2,TR13=0),1000000,INDEX('計算A'!GR$110:GR$114,$F13+1)+IF(AND($E13=1,TR13=0),1000,0)),1000000))</f>
        <v/>
      </c>
      <c r="ACZ13">
        <f>IF($B13=0,1000000,IF(INDEX('計算A'!$D$60:$II$104,$B13,198)*KL13=1,IF(AND($E13=2,TS13=0),1000000,INDEX('計算A'!GS$110:GS$114,$F13+1)+IF(AND($E13=1,TS13=0),1000,0)),1000000))</f>
        <v/>
      </c>
      <c r="ADA13">
        <f>IF($B13=0,1000000,IF(INDEX('計算A'!$D$60:$II$104,$B13,199)*KM13=1,IF(AND($E13=2,TT13=0),1000000,INDEX('計算A'!GT$110:GT$114,$F13+1)+IF(AND($E13=1,TT13=0),1000,0)),1000000))</f>
        <v/>
      </c>
      <c r="ADB13">
        <f>IF($B13=0,1000000,IF(INDEX('計算A'!$D$60:$II$104,$B13,200)*KN13=1,IF(AND($E13=2,TU13=0),1000000,INDEX('計算A'!GU$110:GU$114,$F13+1)+IF(AND($E13=1,TU13=0),1000,0)),1000000))</f>
        <v/>
      </c>
      <c r="ADC13">
        <f>IF($B13=0,1000000,IF(INDEX('計算A'!$D$60:$II$104,$B13,201)*KO13=1,IF(AND($E13=2,TV13=0),1000000,INDEX('計算A'!GV$110:GV$114,$F13+1)+IF(AND($E13=1,TV13=0),1000,0)),1000000))</f>
        <v/>
      </c>
      <c r="ADD13">
        <f>IF($B13=0,1000000,IF(INDEX('計算A'!$D$60:$II$104,$B13,202)*KP13=1,IF(AND($E13=2,TW13=0),1000000,INDEX('計算A'!GW$110:GW$114,$F13+1)+IF(AND($E13=1,TW13=0),1000,0)),1000000))</f>
        <v/>
      </c>
      <c r="ADE13">
        <f>IF($B13=0,1000000,IF(INDEX('計算A'!$D$60:$II$104,$B13,203)*KQ13=1,IF(AND($E13=2,TX13=0),1000000,INDEX('計算A'!GX$110:GX$114,$F13+1)+IF(AND($E13=1,TX13=0),1000,0)),1000000))</f>
        <v/>
      </c>
      <c r="ADF13">
        <f>IF($B13=0,1000000,IF(INDEX('計算A'!$D$60:$II$104,$B13,204)*KR13=1,IF(AND($E13=2,TY13=0),1000000,INDEX('計算A'!GY$110:GY$114,$F13+1)+IF(AND($E13=1,TY13=0),1000,0)),1000000))</f>
        <v/>
      </c>
      <c r="ADG13">
        <f>IF($B13=0,1000000,IF(INDEX('計算A'!$D$60:$II$104,$B13,205)*KS13=1,IF(AND($E13=2,TZ13=0),1000000,INDEX('計算A'!GZ$110:GZ$114,$F13+1)+IF(AND($E13=1,TZ13=0),1000,0)),1000000))</f>
        <v/>
      </c>
      <c r="ADH13">
        <f>IF($B13=0,1000000,IF(INDEX('計算A'!$D$60:$II$104,$B13,206)*KT13=1,IF(AND($E13=2,UA13=0),1000000,INDEX('計算A'!HA$110:HA$114,$F13+1)+IF(AND($E13=1,UA13=0),1000,0)),1000000))</f>
        <v/>
      </c>
      <c r="ADI13">
        <f>IF($B13=0,1000000,IF(INDEX('計算A'!$D$60:$II$104,$B13,207)*KU13=1,IF(AND($E13=2,UB13=0),1000000,INDEX('計算A'!HB$110:HB$114,$F13+1)+IF(AND($E13=1,UB13=0),1000,0)),1000000))</f>
        <v/>
      </c>
      <c r="ADJ13">
        <f>IF($B13=0,1000000,IF(INDEX('計算A'!$D$60:$II$104,$B13,208)*KV13=1,IF(AND($E13=2,UC13=0),1000000,INDEX('計算A'!HC$110:HC$114,$F13+1)+IF(AND($E13=1,UC13=0),1000,0)),1000000))</f>
        <v/>
      </c>
      <c r="ADK13">
        <f>IF($B13=0,1000000,IF(INDEX('計算A'!$D$60:$II$104,$B13,209)*KW13=1,IF(AND($E13=2,UD13=0),1000000,INDEX('計算A'!HD$110:HD$114,$F13+1)+IF(AND($E13=1,UD13=0),1000,0)),1000000))</f>
        <v/>
      </c>
      <c r="ADL13">
        <f>IF($B13=0,1000000,IF(INDEX('計算A'!$D$60:$II$104,$B13,210)*KX13=1,IF(AND($E13=2,UE13=0),1000000,INDEX('計算A'!HE$110:HE$114,$F13+1)+IF(AND($E13=1,UE13=0),1000,0)),1000000))</f>
        <v/>
      </c>
      <c r="ADM13">
        <f>IF($B13=0,1000000,IF(INDEX('計算A'!$D$60:$II$104,$B13,211)*KY13=1,IF(AND($E13=2,UF13=0),1000000,INDEX('計算A'!HF$110:HF$114,$F13+1)+IF(AND($E13=1,UF13=0),1000,0)),1000000))</f>
        <v/>
      </c>
      <c r="ADN13">
        <f>IF($B13=0,1000000,IF(INDEX('計算A'!$D$60:$II$104,$B13,212)*KZ13=1,IF(AND($E13=2,UG13=0),1000000,INDEX('計算A'!HG$110:HG$114,$F13+1)+IF(AND($E13=1,UG13=0),1000,0)),1000000))</f>
        <v/>
      </c>
      <c r="ADO13">
        <f>IF($B13=0,1000000,IF(INDEX('計算A'!$D$60:$II$104,$B13,213)*LA13=1,IF(AND($E13=2,UH13=0),1000000,INDEX('計算A'!HH$110:HH$114,$F13+1)+IF(AND($E13=1,UH13=0),1000,0)),1000000))</f>
        <v/>
      </c>
      <c r="ADP13">
        <f>IF($B13=0,1000000,IF(INDEX('計算A'!$D$60:$II$104,$B13,214)*LB13=1,IF(AND($E13=2,UI13=0),1000000,INDEX('計算A'!HI$110:HI$114,$F13+1)+IF(AND($E13=1,UI13=0),1000,0)),1000000))</f>
        <v/>
      </c>
      <c r="ADQ13">
        <f>IF($B13=0,1000000,IF(INDEX('計算A'!$D$60:$II$104,$B13,215)*LC13=1,IF(AND($E13=2,UJ13=0),1000000,INDEX('計算A'!HJ$110:HJ$114,$F13+1)+IF(AND($E13=1,UJ13=0),1000,0)),1000000))</f>
        <v/>
      </c>
      <c r="ADR13">
        <f>IF($B13=0,1000000,IF(INDEX('計算A'!$D$60:$II$104,$B13,216)*LD13=1,IF(AND($E13=2,UK13=0),1000000,INDEX('計算A'!HK$110:HK$114,$F13+1)+IF(AND($E13=1,UK13=0),1000,0)),1000000))</f>
        <v/>
      </c>
      <c r="ADS13">
        <f>IF($B13=0,1000000,IF(INDEX('計算A'!$D$60:$II$104,$B13,217)*LE13=1,IF(AND($E13=2,UL13=0),1000000,INDEX('計算A'!HL$110:HL$114,$F13+1)+IF(AND($E13=1,UL13=0),1000,0)),1000000))</f>
        <v/>
      </c>
      <c r="ADT13">
        <f>IF($B13=0,1000000,IF(INDEX('計算A'!$D$60:$II$104,$B13,218)*LF13=1,IF(AND($E13=2,UM13=0),1000000,INDEX('計算A'!HM$110:HM$114,$F13+1)+IF(AND($E13=1,UM13=0),1000,0)),1000000))</f>
        <v/>
      </c>
      <c r="ADU13">
        <f>IF($B13=0,1000000,IF(INDEX('計算A'!$D$60:$II$104,$B13,219)*LG13=1,IF(AND($E13=2,UN13=0),1000000,INDEX('計算A'!HN$110:HN$114,$F13+1)+IF(AND($E13=1,UN13=0),1000,0)),1000000))</f>
        <v/>
      </c>
      <c r="ADV13">
        <f>IF($B13=0,1000000,IF(INDEX('計算A'!$D$60:$II$104,$B13,220)*LH13=1,IF(AND($E13=2,UO13=0),1000000,INDEX('計算A'!HO$110:HO$114,$F13+1)+IF(AND($E13=1,UO13=0),1000,0)),1000000))</f>
        <v/>
      </c>
      <c r="ADW13">
        <f>IF($B13=0,1000000,IF(INDEX('計算A'!$D$60:$II$104,$B13,221)*LI13=1,IF(AND($E13=2,UP13=0),1000000,INDEX('計算A'!HP$110:HP$114,$F13+1)+IF(AND($E13=1,UP13=0),1000,0)),1000000))</f>
        <v/>
      </c>
      <c r="ADX13">
        <f>IF($B13=0,1000000,IF(INDEX('計算A'!$D$60:$II$104,$B13,222)*LJ13=1,IF(AND($E13=2,UQ13=0),1000000,INDEX('計算A'!HQ$110:HQ$114,$F13+1)+IF(AND($E13=1,UQ13=0),1000,0)),1000000))</f>
        <v/>
      </c>
      <c r="ADY13">
        <f>IF($B13=0,1000000,IF(INDEX('計算A'!$D$60:$II$104,$B13,223)*LK13=1,IF(AND($E13=2,UR13=0),1000000,INDEX('計算A'!HR$110:HR$114,$F13+1)+IF(AND($E13=1,UR13=0),1000,0)),1000000))</f>
        <v/>
      </c>
      <c r="ADZ13">
        <f>IF($B13=0,1000000,IF(INDEX('計算A'!$D$60:$II$104,$B13,224)*LL13=1,IF(AND($E13=2,US13=0),1000000,INDEX('計算A'!HS$110:HS$114,$F13+1)+IF(AND($E13=1,US13=0),1000,0)),1000000))</f>
        <v/>
      </c>
      <c r="AEA13">
        <f>IF($B13=0,1000000,IF(INDEX('計算A'!$D$60:$II$104,$B13,225)*LM13=1,IF(AND($E13=2,UT13=0),1000000,INDEX('計算A'!HT$110:HT$114,$F13+1)+IF(AND($E13=1,UT13=0),1000,0)),1000000))</f>
        <v/>
      </c>
      <c r="AEB13">
        <f>IF($B13=0,1000000,IF(INDEX('計算A'!$D$60:$II$104,$B13,226)*LN13=1,IF(AND($E13=2,UU13=0),1000000,INDEX('計算A'!HU$110:HU$114,$F13+1)+IF(AND($E13=1,UU13=0),1000,0)),1000000))</f>
        <v/>
      </c>
      <c r="AEC13">
        <f>IF($B13=0,1000000,IF(INDEX('計算A'!$D$60:$II$104,$B13,227)*LO13=1,IF(AND($E13=2,UV13=0),1000000,INDEX('計算A'!HV$110:HV$114,$F13+1)+IF(AND($E13=1,UV13=0),1000,0)),1000000))</f>
        <v/>
      </c>
      <c r="AED13">
        <f>IF($B13=0,1000000,IF(INDEX('計算A'!$D$60:$II$104,$B13,228)*LP13=1,IF(AND($E13=2,UW13=0),1000000,INDEX('計算A'!HW$110:HW$114,$F13+1)+IF(AND($E13=1,UW13=0),1000,0)),1000000))</f>
        <v/>
      </c>
      <c r="AEE13">
        <f>IF($B13=0,1000000,IF(INDEX('計算A'!$D$60:$II$104,$B13,229)*LQ13=1,IF(AND($E13=2,UX13=0),1000000,INDEX('計算A'!HX$110:HX$114,$F13+1)+IF(AND($E13=1,UX13=0),1000,0)),1000000))</f>
        <v/>
      </c>
      <c r="AEF13">
        <f>IF($B13=0,1000000,IF(INDEX('計算A'!$D$60:$II$104,$B13,230)*LR13=1,IF(AND($E13=2,UY13=0),1000000,INDEX('計算A'!HY$110:HY$114,$F13+1)+IF(AND($E13=1,UY13=0),1000,0)),1000000))</f>
        <v/>
      </c>
      <c r="AEG13">
        <f>IF($B13=0,1000000,IF(INDEX('計算A'!$D$60:$II$104,$B13,231)*LS13=1,IF(AND($E13=2,UZ13=0),1000000,INDEX('計算A'!HZ$110:HZ$114,$F13+1)+IF(AND($E13=1,UZ13=0),1000,0)),1000000))</f>
        <v/>
      </c>
      <c r="AEH13">
        <f>IF($B13=0,1000000,IF(INDEX('計算A'!$D$60:$II$104,$B13,232)*LT13=1,IF(AND($E13=2,VA13=0),1000000,INDEX('計算A'!IA$110:IA$114,$F13+1)+IF(AND($E13=1,VA13=0),1000,0)),1000000))</f>
        <v/>
      </c>
      <c r="AEI13">
        <f>IF($B13=0,1000000,IF(INDEX('計算A'!$D$60:$II$104,$B13,233)*LU13=1,IF(AND($E13=2,VB13=0),1000000,INDEX('計算A'!IB$110:IB$114,$F13+1)+IF(AND($E13=1,VB13=0),1000,0)),1000000))</f>
        <v/>
      </c>
      <c r="AEJ13">
        <f>IF($B13=0,1000000,IF(INDEX('計算A'!$D$60:$II$104,$B13,234)*LV13=1,IF(AND($E13=2,VC13=0),1000000,INDEX('計算A'!IC$110:IC$114,$F13+1)+IF(AND($E13=1,VC13=0),1000,0)),1000000))</f>
        <v/>
      </c>
      <c r="AEK13">
        <f>IF($B13=0,1000000,IF(INDEX('計算A'!$D$60:$II$104,$B13,235)*LW13=1,IF(AND($E13=2,VD13=0),1000000,INDEX('計算A'!ID$110:ID$114,$F13+1)+IF(AND($E13=1,VD13=0),1000,0)),1000000))</f>
        <v/>
      </c>
      <c r="AEL13">
        <f>IF($B13=0,1000000,IF(INDEX('計算A'!$D$60:$II$104,$B13,236)*LX13=1,IF(AND($E13=2,VE13=0),1000000,INDEX('計算A'!IE$110:IE$114,$F13+1)+IF(AND($E13=1,VE13=0),1000,0)),1000000))</f>
        <v/>
      </c>
      <c r="AEM13">
        <f>IF($B13=0,1000000,IF(INDEX('計算A'!$D$60:$II$104,$B13,237)*LY13=1,IF(AND($E13=2,VF13=0),1000000,INDEX('計算A'!IF$110:IF$114,$F13+1)+IF(AND($E13=1,VF13=0),1000,0)),1000000))</f>
        <v/>
      </c>
      <c r="AEN13">
        <f>IF($B13=0,1000000,IF(INDEX('計算A'!$D$60:$II$104,$B13,238)*LZ13=1,IF(AND($E13=2,VG13=0),1000000,INDEX('計算A'!IG$110:IG$114,$F13+1)+IF(AND($E13=1,VG13=0),1000,0)),1000000))</f>
        <v/>
      </c>
      <c r="AEO13">
        <f>IF($B13=0,1000000,IF(INDEX('計算A'!$D$60:$II$104,$B13,239)*MA13=1,IF(AND($E13=2,VH13=0),1000000,INDEX('計算A'!IH$110:IH$114,$F13+1)+IF(AND($E13=1,VH13=0),1000,0)),1000000))</f>
        <v/>
      </c>
      <c r="AEP13">
        <f>IF($B13=0,1000000,IF(INDEX('計算A'!$D$60:$II$104,$B13,240)*MB13=1,IF(AND($E13=2,VI13=0),1000000,INDEX('計算A'!II$110:II$114,$F13+1)+IF(AND($E13=1,VI13=0),1000,0)),1000000))</f>
        <v/>
      </c>
    </row>
    <row r="14">
      <c r="A14" t="n">
        <v>12</v>
      </c>
      <c r="B14">
        <f>IF(MIN(BC14:CU14)&gt;=1000000,0,MATCH(MIN(BC14:CU14),BC14:CU14,0))</f>
        <v/>
      </c>
      <c r="C14">
        <f>IF(MIN(VK14:AEP14)&gt;=1000000,0,MATCH(MIN(VK14:AEP14),VK14:AEP14,0))</f>
        <v/>
      </c>
      <c r="D14">
        <f>IF(C14&gt;0,INDEX('計算A'!$D$5:$II$5,C14),0)</f>
        <v/>
      </c>
      <c r="E14">
        <f>IF(B14=0,0,INDEX('計算A'!$IQ$10:$IQ$54,B14))</f>
        <v/>
      </c>
      <c r="F14">
        <f>IF(B14=0,0,INDEX('計算A'!$IP$10:$IP$54,B14))</f>
        <v/>
      </c>
      <c r="G14">
        <f>IF(AND(C14&gt;0,E14&gt;0),IF(AND(INDEX('計算A'!$D$106:$II$106,C14)=1,INDEX($MD14:$VI14,C14)=1),C14+1,0),0)</f>
        <v/>
      </c>
      <c r="I14">
        <f>MAX(I13,IF($B13=1,1,0))</f>
        <v/>
      </c>
      <c r="J14">
        <f>MAX(J13,IF($B13=2,1,0))</f>
        <v/>
      </c>
      <c r="K14">
        <f>MAX(K13,IF($B13=3,1,0))</f>
        <v/>
      </c>
      <c r="L14">
        <f>MAX(L13,IF($B13=4,1,0))</f>
        <v/>
      </c>
      <c r="M14">
        <f>MAX(M13,IF($B13=5,1,0))</f>
        <v/>
      </c>
      <c r="N14">
        <f>MAX(N13,IF($B13=6,1,0))</f>
        <v/>
      </c>
      <c r="O14">
        <f>MAX(O13,IF($B13=7,1,0))</f>
        <v/>
      </c>
      <c r="P14">
        <f>MAX(P13,IF($B13=8,1,0))</f>
        <v/>
      </c>
      <c r="Q14">
        <f>MAX(Q13,IF($B13=9,1,0))</f>
        <v/>
      </c>
      <c r="R14">
        <f>MAX(R13,IF($B13=10,1,0))</f>
        <v/>
      </c>
      <c r="S14">
        <f>MAX(S13,IF($B13=11,1,0))</f>
        <v/>
      </c>
      <c r="T14">
        <f>MAX(T13,IF($B13=12,1,0))</f>
        <v/>
      </c>
      <c r="U14">
        <f>MAX(U13,IF($B13=13,1,0))</f>
        <v/>
      </c>
      <c r="V14">
        <f>MAX(V13,IF($B13=14,1,0))</f>
        <v/>
      </c>
      <c r="W14">
        <f>MAX(W13,IF($B13=15,1,0))</f>
        <v/>
      </c>
      <c r="X14">
        <f>MAX(X13,IF($B13=16,1,0))</f>
        <v/>
      </c>
      <c r="Y14">
        <f>MAX(Y13,IF($B13=17,1,0))</f>
        <v/>
      </c>
      <c r="Z14">
        <f>MAX(Z13,IF($B13=18,1,0))</f>
        <v/>
      </c>
      <c r="AA14">
        <f>MAX(AA13,IF($B13=19,1,0))</f>
        <v/>
      </c>
      <c r="AB14">
        <f>MAX(AB13,IF($B13=20,1,0))</f>
        <v/>
      </c>
      <c r="AC14">
        <f>MAX(AC13,IF($B13=21,1,0))</f>
        <v/>
      </c>
      <c r="AD14">
        <f>MAX(AD13,IF($B13=22,1,0))</f>
        <v/>
      </c>
      <c r="AE14">
        <f>MAX(AE13,IF($B13=23,1,0))</f>
        <v/>
      </c>
      <c r="AF14">
        <f>MAX(AF13,IF($B13=24,1,0))</f>
        <v/>
      </c>
      <c r="AG14">
        <f>MAX(AG13,IF($B13=25,1,0))</f>
        <v/>
      </c>
      <c r="AH14">
        <f>MAX(AH13,IF($B13=26,1,0))</f>
        <v/>
      </c>
      <c r="AI14">
        <f>MAX(AI13,IF($B13=27,1,0))</f>
        <v/>
      </c>
      <c r="AJ14">
        <f>MAX(AJ13,IF($B13=28,1,0))</f>
        <v/>
      </c>
      <c r="AK14">
        <f>MAX(AK13,IF($B13=29,1,0))</f>
        <v/>
      </c>
      <c r="AL14">
        <f>MAX(AL13,IF($B13=30,1,0))</f>
        <v/>
      </c>
      <c r="AM14">
        <f>MAX(AM13,IF($B13=31,1,0))</f>
        <v/>
      </c>
      <c r="AN14">
        <f>MAX(AN13,IF($B13=32,1,0))</f>
        <v/>
      </c>
      <c r="AO14">
        <f>MAX(AO13,IF($B13=33,1,0))</f>
        <v/>
      </c>
      <c r="AP14">
        <f>MAX(AP13,IF($B13=34,1,0))</f>
        <v/>
      </c>
      <c r="AQ14">
        <f>MAX(AQ13,IF($B13=35,1,0))</f>
        <v/>
      </c>
      <c r="AR14">
        <f>MAX(AR13,IF($B13=36,1,0))</f>
        <v/>
      </c>
      <c r="AS14">
        <f>MAX(AS13,IF($B13=37,1,0))</f>
        <v/>
      </c>
      <c r="AT14">
        <f>MAX(AT13,IF($B13=38,1,0))</f>
        <v/>
      </c>
      <c r="AU14">
        <f>MAX(AU13,IF($B13=39,1,0))</f>
        <v/>
      </c>
      <c r="AV14">
        <f>MAX(AV13,IF($B13=40,1,0))</f>
        <v/>
      </c>
      <c r="AW14">
        <f>MAX(AW13,IF($B13=41,1,0))</f>
        <v/>
      </c>
      <c r="AX14">
        <f>MAX(AX13,IF($B13=42,1,0))</f>
        <v/>
      </c>
      <c r="AY14">
        <f>MAX(AY13,IF($B13=43,1,0))</f>
        <v/>
      </c>
      <c r="AZ14">
        <f>MAX(AZ13,IF($B13=44,1,0))</f>
        <v/>
      </c>
      <c r="BA14">
        <f>MAX(BA13,IF($B13=45,1,0))</f>
        <v/>
      </c>
      <c r="BC14">
        <f>IF(I14=1,1000000,IF('計算A'!$IQ$10=2,SUMPRODUCT('計算A'!$D$60:$II$60,$CW14:$MB14,$MD14:$VI14),SUMPRODUCT('計算A'!$D$60:$II$60,$CW14:$MB14))*1000+1)</f>
        <v/>
      </c>
      <c r="BD14">
        <f>IF(J14=1,1000000,IF('計算A'!$IQ$11=2,SUMPRODUCT('計算A'!$D$61:$II$61,$CW14:$MB14,$MD14:$VI14),SUMPRODUCT('計算A'!$D$61:$II$61,$CW14:$MB14))*1000+2)</f>
        <v/>
      </c>
      <c r="BE14">
        <f>IF(K14=1,1000000,IF('計算A'!$IQ$12=2,SUMPRODUCT('計算A'!$D$62:$II$62,$CW14:$MB14,$MD14:$VI14),SUMPRODUCT('計算A'!$D$62:$II$62,$CW14:$MB14))*1000+3)</f>
        <v/>
      </c>
      <c r="BF14">
        <f>IF(L14=1,1000000,IF('計算A'!$IQ$13=2,SUMPRODUCT('計算A'!$D$63:$II$63,$CW14:$MB14,$MD14:$VI14),SUMPRODUCT('計算A'!$D$63:$II$63,$CW14:$MB14))*1000+4)</f>
        <v/>
      </c>
      <c r="BG14">
        <f>IF(M14=1,1000000,IF('計算A'!$IQ$14=2,SUMPRODUCT('計算A'!$D$64:$II$64,$CW14:$MB14,$MD14:$VI14),SUMPRODUCT('計算A'!$D$64:$II$64,$CW14:$MB14))*1000+5)</f>
        <v/>
      </c>
      <c r="BH14">
        <f>IF(N14=1,1000000,IF('計算A'!$IQ$15=2,SUMPRODUCT('計算A'!$D$65:$II$65,$CW14:$MB14,$MD14:$VI14),SUMPRODUCT('計算A'!$D$65:$II$65,$CW14:$MB14))*1000+6)</f>
        <v/>
      </c>
      <c r="BI14">
        <f>IF(O14=1,1000000,IF('計算A'!$IQ$16=2,SUMPRODUCT('計算A'!$D$66:$II$66,$CW14:$MB14,$MD14:$VI14),SUMPRODUCT('計算A'!$D$66:$II$66,$CW14:$MB14))*1000+7)</f>
        <v/>
      </c>
      <c r="BJ14">
        <f>IF(P14=1,1000000,IF('計算A'!$IQ$17=2,SUMPRODUCT('計算A'!$D$67:$II$67,$CW14:$MB14,$MD14:$VI14),SUMPRODUCT('計算A'!$D$67:$II$67,$CW14:$MB14))*1000+8)</f>
        <v/>
      </c>
      <c r="BK14">
        <f>IF(Q14=1,1000000,IF('計算A'!$IQ$18=2,SUMPRODUCT('計算A'!$D$68:$II$68,$CW14:$MB14,$MD14:$VI14),SUMPRODUCT('計算A'!$D$68:$II$68,$CW14:$MB14))*1000+9)</f>
        <v/>
      </c>
      <c r="BL14">
        <f>IF(R14=1,1000000,IF('計算A'!$IQ$19=2,SUMPRODUCT('計算A'!$D$69:$II$69,$CW14:$MB14,$MD14:$VI14),SUMPRODUCT('計算A'!$D$69:$II$69,$CW14:$MB14))*1000+10)</f>
        <v/>
      </c>
      <c r="BM14">
        <f>IF(S14=1,1000000,IF('計算A'!$IQ$20=2,SUMPRODUCT('計算A'!$D$70:$II$70,$CW14:$MB14,$MD14:$VI14),SUMPRODUCT('計算A'!$D$70:$II$70,$CW14:$MB14))*1000+11)</f>
        <v/>
      </c>
      <c r="BN14">
        <f>IF(T14=1,1000000,IF('計算A'!$IQ$21=2,SUMPRODUCT('計算A'!$D$71:$II$71,$CW14:$MB14,$MD14:$VI14),SUMPRODUCT('計算A'!$D$71:$II$71,$CW14:$MB14))*1000+12)</f>
        <v/>
      </c>
      <c r="BO14">
        <f>IF(U14=1,1000000,IF('計算A'!$IQ$22=2,SUMPRODUCT('計算A'!$D$72:$II$72,$CW14:$MB14,$MD14:$VI14),SUMPRODUCT('計算A'!$D$72:$II$72,$CW14:$MB14))*1000+13)</f>
        <v/>
      </c>
      <c r="BP14">
        <f>IF(V14=1,1000000,IF('計算A'!$IQ$23=2,SUMPRODUCT('計算A'!$D$73:$II$73,$CW14:$MB14,$MD14:$VI14),SUMPRODUCT('計算A'!$D$73:$II$73,$CW14:$MB14))*1000+14)</f>
        <v/>
      </c>
      <c r="BQ14">
        <f>IF(W14=1,1000000,IF('計算A'!$IQ$24=2,SUMPRODUCT('計算A'!$D$74:$II$74,$CW14:$MB14,$MD14:$VI14),SUMPRODUCT('計算A'!$D$74:$II$74,$CW14:$MB14))*1000+15)</f>
        <v/>
      </c>
      <c r="BR14">
        <f>IF(X14=1,1000000,IF('計算A'!$IQ$25=2,SUMPRODUCT('計算A'!$D$75:$II$75,$CW14:$MB14,$MD14:$VI14),SUMPRODUCT('計算A'!$D$75:$II$75,$CW14:$MB14))*1000+16)</f>
        <v/>
      </c>
      <c r="BS14">
        <f>IF(Y14=1,1000000,IF('計算A'!$IQ$26=2,SUMPRODUCT('計算A'!$D$76:$II$76,$CW14:$MB14,$MD14:$VI14),SUMPRODUCT('計算A'!$D$76:$II$76,$CW14:$MB14))*1000+17)</f>
        <v/>
      </c>
      <c r="BT14">
        <f>IF(Z14=1,1000000,IF('計算A'!$IQ$27=2,SUMPRODUCT('計算A'!$D$77:$II$77,$CW14:$MB14,$MD14:$VI14),SUMPRODUCT('計算A'!$D$77:$II$77,$CW14:$MB14))*1000+18)</f>
        <v/>
      </c>
      <c r="BU14">
        <f>IF(AA14=1,1000000,IF('計算A'!$IQ$28=2,SUMPRODUCT('計算A'!$D$78:$II$78,$CW14:$MB14,$MD14:$VI14),SUMPRODUCT('計算A'!$D$78:$II$78,$CW14:$MB14))*1000+19)</f>
        <v/>
      </c>
      <c r="BV14">
        <f>IF(AB14=1,1000000,IF('計算A'!$IQ$29=2,SUMPRODUCT('計算A'!$D$79:$II$79,$CW14:$MB14,$MD14:$VI14),SUMPRODUCT('計算A'!$D$79:$II$79,$CW14:$MB14))*1000+20)</f>
        <v/>
      </c>
      <c r="BW14">
        <f>IF(AC14=1,1000000,IF('計算A'!$IQ$30=2,SUMPRODUCT('計算A'!$D$80:$II$80,$CW14:$MB14,$MD14:$VI14),SUMPRODUCT('計算A'!$D$80:$II$80,$CW14:$MB14))*1000+21)</f>
        <v/>
      </c>
      <c r="BX14">
        <f>IF(AD14=1,1000000,IF('計算A'!$IQ$31=2,SUMPRODUCT('計算A'!$D$81:$II$81,$CW14:$MB14,$MD14:$VI14),SUMPRODUCT('計算A'!$D$81:$II$81,$CW14:$MB14))*1000+22)</f>
        <v/>
      </c>
      <c r="BY14">
        <f>IF(AE14=1,1000000,IF('計算A'!$IQ$32=2,SUMPRODUCT('計算A'!$D$82:$II$82,$CW14:$MB14,$MD14:$VI14),SUMPRODUCT('計算A'!$D$82:$II$82,$CW14:$MB14))*1000+23)</f>
        <v/>
      </c>
      <c r="BZ14">
        <f>IF(AF14=1,1000000,IF('計算A'!$IQ$33=2,SUMPRODUCT('計算A'!$D$83:$II$83,$CW14:$MB14,$MD14:$VI14),SUMPRODUCT('計算A'!$D$83:$II$83,$CW14:$MB14))*1000+24)</f>
        <v/>
      </c>
      <c r="CA14">
        <f>IF(AG14=1,1000000,IF('計算A'!$IQ$34=2,SUMPRODUCT('計算A'!$D$84:$II$84,$CW14:$MB14,$MD14:$VI14),SUMPRODUCT('計算A'!$D$84:$II$84,$CW14:$MB14))*1000+25)</f>
        <v/>
      </c>
      <c r="CB14">
        <f>IF(AH14=1,1000000,IF('計算A'!$IQ$35=2,SUMPRODUCT('計算A'!$D$85:$II$85,$CW14:$MB14,$MD14:$VI14),SUMPRODUCT('計算A'!$D$85:$II$85,$CW14:$MB14))*1000+26)</f>
        <v/>
      </c>
      <c r="CC14">
        <f>IF(AI14=1,1000000,IF('計算A'!$IQ$36=2,SUMPRODUCT('計算A'!$D$86:$II$86,$CW14:$MB14,$MD14:$VI14),SUMPRODUCT('計算A'!$D$86:$II$86,$CW14:$MB14))*1000+27)</f>
        <v/>
      </c>
      <c r="CD14">
        <f>IF(AJ14=1,1000000,IF('計算A'!$IQ$37=2,SUMPRODUCT('計算A'!$D$87:$II$87,$CW14:$MB14,$MD14:$VI14),SUMPRODUCT('計算A'!$D$87:$II$87,$CW14:$MB14))*1000+28)</f>
        <v/>
      </c>
      <c r="CE14">
        <f>IF(AK14=1,1000000,IF('計算A'!$IQ$38=2,SUMPRODUCT('計算A'!$D$88:$II$88,$CW14:$MB14,$MD14:$VI14),SUMPRODUCT('計算A'!$D$88:$II$88,$CW14:$MB14))*1000+29)</f>
        <v/>
      </c>
      <c r="CF14">
        <f>IF(AL14=1,1000000,IF('計算A'!$IQ$39=2,SUMPRODUCT('計算A'!$D$89:$II$89,$CW14:$MB14,$MD14:$VI14),SUMPRODUCT('計算A'!$D$89:$II$89,$CW14:$MB14))*1000+30)</f>
        <v/>
      </c>
      <c r="CG14">
        <f>IF(AM14=1,1000000,IF('計算A'!$IQ$40=2,SUMPRODUCT('計算A'!$D$90:$II$90,$CW14:$MB14,$MD14:$VI14),SUMPRODUCT('計算A'!$D$90:$II$90,$CW14:$MB14))*1000+31)</f>
        <v/>
      </c>
      <c r="CH14">
        <f>IF(AN14=1,1000000,IF('計算A'!$IQ$41=2,SUMPRODUCT('計算A'!$D$91:$II$91,$CW14:$MB14,$MD14:$VI14),SUMPRODUCT('計算A'!$D$91:$II$91,$CW14:$MB14))*1000+32)</f>
        <v/>
      </c>
      <c r="CI14">
        <f>IF(AO14=1,1000000,IF('計算A'!$IQ$42=2,SUMPRODUCT('計算A'!$D$92:$II$92,$CW14:$MB14,$MD14:$VI14),SUMPRODUCT('計算A'!$D$92:$II$92,$CW14:$MB14))*1000+33)</f>
        <v/>
      </c>
      <c r="CJ14">
        <f>IF(AP14=1,1000000,IF('計算A'!$IQ$43=2,SUMPRODUCT('計算A'!$D$93:$II$93,$CW14:$MB14,$MD14:$VI14),SUMPRODUCT('計算A'!$D$93:$II$93,$CW14:$MB14))*1000+34)</f>
        <v/>
      </c>
      <c r="CK14">
        <f>IF(AQ14=1,1000000,IF('計算A'!$IQ$44=2,SUMPRODUCT('計算A'!$D$94:$II$94,$CW14:$MB14,$MD14:$VI14),SUMPRODUCT('計算A'!$D$94:$II$94,$CW14:$MB14))*1000+35)</f>
        <v/>
      </c>
      <c r="CL14">
        <f>IF(AR14=1,1000000,IF('計算A'!$IQ$45=2,SUMPRODUCT('計算A'!$D$95:$II$95,$CW14:$MB14,$MD14:$VI14),SUMPRODUCT('計算A'!$D$95:$II$95,$CW14:$MB14))*1000+36)</f>
        <v/>
      </c>
      <c r="CM14">
        <f>IF(AS14=1,1000000,IF('計算A'!$IQ$46=2,SUMPRODUCT('計算A'!$D$96:$II$96,$CW14:$MB14,$MD14:$VI14),SUMPRODUCT('計算A'!$D$96:$II$96,$CW14:$MB14))*1000+37)</f>
        <v/>
      </c>
      <c r="CN14">
        <f>IF(AT14=1,1000000,IF('計算A'!$IQ$47=2,SUMPRODUCT('計算A'!$D$97:$II$97,$CW14:$MB14,$MD14:$VI14),SUMPRODUCT('計算A'!$D$97:$II$97,$CW14:$MB14))*1000+38)</f>
        <v/>
      </c>
      <c r="CO14">
        <f>IF(AU14=1,1000000,IF('計算A'!$IQ$48=2,SUMPRODUCT('計算A'!$D$98:$II$98,$CW14:$MB14,$MD14:$VI14),SUMPRODUCT('計算A'!$D$98:$II$98,$CW14:$MB14))*1000+39)</f>
        <v/>
      </c>
      <c r="CP14">
        <f>IF(AV14=1,1000000,IF('計算A'!$IQ$49=2,SUMPRODUCT('計算A'!$D$99:$II$99,$CW14:$MB14,$MD14:$VI14),SUMPRODUCT('計算A'!$D$99:$II$99,$CW14:$MB14))*1000+40)</f>
        <v/>
      </c>
      <c r="CQ14">
        <f>IF(AW14=1,1000000,IF('計算A'!$IQ$50=2,SUMPRODUCT('計算A'!$D$100:$II$100,$CW14:$MB14,$MD14:$VI14),SUMPRODUCT('計算A'!$D$100:$II$100,$CW14:$MB14))*1000+41)</f>
        <v/>
      </c>
      <c r="CR14">
        <f>IF(AX14=1,1000000,IF('計算A'!$IQ$51=2,SUMPRODUCT('計算A'!$D$101:$II$101,$CW14:$MB14,$MD14:$VI14),SUMPRODUCT('計算A'!$D$101:$II$101,$CW14:$MB14))*1000+42)</f>
        <v/>
      </c>
      <c r="CS14">
        <f>IF(AY14=1,1000000,IF('計算A'!$IQ$52=2,SUMPRODUCT('計算A'!$D$102:$II$102,$CW14:$MB14,$MD14:$VI14),SUMPRODUCT('計算A'!$D$102:$II$102,$CW14:$MB14))*1000+43)</f>
        <v/>
      </c>
      <c r="CT14">
        <f>IF(AZ14=1,1000000,IF('計算A'!$IQ$53=2,SUMPRODUCT('計算A'!$D$103:$II$103,$CW14:$MB14,$MD14:$VI14),SUMPRODUCT('計算A'!$D$103:$II$103,$CW14:$MB14))*1000+44)</f>
        <v/>
      </c>
      <c r="CU14">
        <f>IF(BA14=1,1000000,IF('計算A'!$IQ$54=2,SUMPRODUCT('計算A'!$D$104:$II$104,$CW14:$MB14,$MD14:$VI14),SUMPRODUCT('計算A'!$D$104:$II$104,$CW14:$MB14))*1000+45)</f>
        <v/>
      </c>
      <c r="CW14">
        <f>CW13*IF(OR($C13=1,$G13=1),0,1)</f>
        <v/>
      </c>
      <c r="CX14">
        <f>CX13*IF(OR($C13=2,$G13=2),0,1)</f>
        <v/>
      </c>
      <c r="CY14">
        <f>CY13*IF(OR($C13=3,$G13=3),0,1)</f>
        <v/>
      </c>
      <c r="CZ14">
        <f>CZ13*IF(OR($C13=4,$G13=4),0,1)</f>
        <v/>
      </c>
      <c r="DA14">
        <f>DA13*IF(OR($C13=5,$G13=5),0,1)</f>
        <v/>
      </c>
      <c r="DB14">
        <f>DB13*IF(OR($C13=6,$G13=6),0,1)</f>
        <v/>
      </c>
      <c r="DC14">
        <f>DC13*IF(OR($C13=7,$G13=7),0,1)</f>
        <v/>
      </c>
      <c r="DD14">
        <f>DD13*IF(OR($C13=8,$G13=8),0,1)</f>
        <v/>
      </c>
      <c r="DE14">
        <f>DE13*IF(OR($C13=9,$G13=9),0,1)</f>
        <v/>
      </c>
      <c r="DF14">
        <f>DF13*IF(OR($C13=10,$G13=10),0,1)</f>
        <v/>
      </c>
      <c r="DG14">
        <f>DG13*IF(OR($C13=11,$G13=11),0,1)</f>
        <v/>
      </c>
      <c r="DH14">
        <f>DH13*IF(OR($C13=12,$G13=12),0,1)</f>
        <v/>
      </c>
      <c r="DI14">
        <f>DI13*IF(OR($C13=13,$G13=13),0,1)</f>
        <v/>
      </c>
      <c r="DJ14">
        <f>DJ13*IF(OR($C13=14,$G13=14),0,1)</f>
        <v/>
      </c>
      <c r="DK14">
        <f>DK13*IF(OR($C13=15,$G13=15),0,1)</f>
        <v/>
      </c>
      <c r="DL14">
        <f>DL13*IF(OR($C13=16,$G13=16),0,1)</f>
        <v/>
      </c>
      <c r="DM14">
        <f>DM13*IF(OR($C13=17,$G13=17),0,1)</f>
        <v/>
      </c>
      <c r="DN14">
        <f>DN13*IF(OR($C13=18,$G13=18),0,1)</f>
        <v/>
      </c>
      <c r="DO14">
        <f>DO13*IF(OR($C13=19,$G13=19),0,1)</f>
        <v/>
      </c>
      <c r="DP14">
        <f>DP13*IF(OR($C13=20,$G13=20),0,1)</f>
        <v/>
      </c>
      <c r="DQ14">
        <f>DQ13*IF(OR($C13=21,$G13=21),0,1)</f>
        <v/>
      </c>
      <c r="DR14">
        <f>DR13*IF(OR($C13=22,$G13=22),0,1)</f>
        <v/>
      </c>
      <c r="DS14">
        <f>DS13*IF(OR($C13=23,$G13=23),0,1)</f>
        <v/>
      </c>
      <c r="DT14">
        <f>DT13*IF(OR($C13=24,$G13=24),0,1)</f>
        <v/>
      </c>
      <c r="DU14">
        <f>DU13*IF(OR($C13=25,$G13=25),0,1)</f>
        <v/>
      </c>
      <c r="DV14">
        <f>DV13*IF(OR($C13=26,$G13=26),0,1)</f>
        <v/>
      </c>
      <c r="DW14">
        <f>DW13*IF(OR($C13=27,$G13=27),0,1)</f>
        <v/>
      </c>
      <c r="DX14">
        <f>DX13*IF(OR($C13=28,$G13=28),0,1)</f>
        <v/>
      </c>
      <c r="DY14">
        <f>DY13*IF(OR($C13=29,$G13=29),0,1)</f>
        <v/>
      </c>
      <c r="DZ14">
        <f>DZ13*IF(OR($C13=30,$G13=30),0,1)</f>
        <v/>
      </c>
      <c r="EA14">
        <f>EA13*IF(OR($C13=31,$G13=31),0,1)</f>
        <v/>
      </c>
      <c r="EB14">
        <f>EB13*IF(OR($C13=32,$G13=32),0,1)</f>
        <v/>
      </c>
      <c r="EC14">
        <f>EC13*IF(OR($C13=33,$G13=33),0,1)</f>
        <v/>
      </c>
      <c r="ED14">
        <f>ED13*IF(OR($C13=34,$G13=34),0,1)</f>
        <v/>
      </c>
      <c r="EE14">
        <f>EE13*IF(OR($C13=35,$G13=35),0,1)</f>
        <v/>
      </c>
      <c r="EF14">
        <f>EF13*IF(OR($C13=36,$G13=36),0,1)</f>
        <v/>
      </c>
      <c r="EG14">
        <f>EG13*IF(OR($C13=37,$G13=37),0,1)</f>
        <v/>
      </c>
      <c r="EH14">
        <f>EH13*IF(OR($C13=38,$G13=38),0,1)</f>
        <v/>
      </c>
      <c r="EI14">
        <f>EI13*IF(OR($C13=39,$G13=39),0,1)</f>
        <v/>
      </c>
      <c r="EJ14">
        <f>EJ13*IF(OR($C13=40,$G13=40),0,1)</f>
        <v/>
      </c>
      <c r="EK14">
        <f>EK13*IF(OR($C13=41,$G13=41),0,1)</f>
        <v/>
      </c>
      <c r="EL14">
        <f>EL13*IF(OR($C13=42,$G13=42),0,1)</f>
        <v/>
      </c>
      <c r="EM14">
        <f>EM13*IF(OR($C13=43,$G13=43),0,1)</f>
        <v/>
      </c>
      <c r="EN14">
        <f>EN13*IF(OR($C13=44,$G13=44),0,1)</f>
        <v/>
      </c>
      <c r="EO14">
        <f>EO13*IF(OR($C13=45,$G13=45),0,1)</f>
        <v/>
      </c>
      <c r="EP14">
        <f>EP13*IF(OR($C13=46,$G13=46),0,1)</f>
        <v/>
      </c>
      <c r="EQ14">
        <f>EQ13*IF(OR($C13=47,$G13=47),0,1)</f>
        <v/>
      </c>
      <c r="ER14">
        <f>ER13*IF(OR($C13=48,$G13=48),0,1)</f>
        <v/>
      </c>
      <c r="ES14">
        <f>ES13*IF(OR($C13=49,$G13=49),0,1)</f>
        <v/>
      </c>
      <c r="ET14">
        <f>ET13*IF(OR($C13=50,$G13=50),0,1)</f>
        <v/>
      </c>
      <c r="EU14">
        <f>EU13*IF(OR($C13=51,$G13=51),0,1)</f>
        <v/>
      </c>
      <c r="EV14">
        <f>EV13*IF(OR($C13=52,$G13=52),0,1)</f>
        <v/>
      </c>
      <c r="EW14">
        <f>EW13*IF(OR($C13=53,$G13=53),0,1)</f>
        <v/>
      </c>
      <c r="EX14">
        <f>EX13*IF(OR($C13=54,$G13=54),0,1)</f>
        <v/>
      </c>
      <c r="EY14">
        <f>EY13*IF(OR($C13=55,$G13=55),0,1)</f>
        <v/>
      </c>
      <c r="EZ14">
        <f>EZ13*IF(OR($C13=56,$G13=56),0,1)</f>
        <v/>
      </c>
      <c r="FA14">
        <f>FA13*IF(OR($C13=57,$G13=57),0,1)</f>
        <v/>
      </c>
      <c r="FB14">
        <f>FB13*IF(OR($C13=58,$G13=58),0,1)</f>
        <v/>
      </c>
      <c r="FC14">
        <f>FC13*IF(OR($C13=59,$G13=59),0,1)</f>
        <v/>
      </c>
      <c r="FD14">
        <f>FD13*IF(OR($C13=60,$G13=60),0,1)</f>
        <v/>
      </c>
      <c r="FE14">
        <f>FE13*IF(OR($C13=61,$G13=61),0,1)</f>
        <v/>
      </c>
      <c r="FF14">
        <f>FF13*IF(OR($C13=62,$G13=62),0,1)</f>
        <v/>
      </c>
      <c r="FG14">
        <f>FG13*IF(OR($C13=63,$G13=63),0,1)</f>
        <v/>
      </c>
      <c r="FH14">
        <f>FH13*IF(OR($C13=64,$G13=64),0,1)</f>
        <v/>
      </c>
      <c r="FI14">
        <f>FI13*IF(OR($C13=65,$G13=65),0,1)</f>
        <v/>
      </c>
      <c r="FJ14">
        <f>FJ13*IF(OR($C13=66,$G13=66),0,1)</f>
        <v/>
      </c>
      <c r="FK14">
        <f>FK13*IF(OR($C13=67,$G13=67),0,1)</f>
        <v/>
      </c>
      <c r="FL14">
        <f>FL13*IF(OR($C13=68,$G13=68),0,1)</f>
        <v/>
      </c>
      <c r="FM14">
        <f>FM13*IF(OR($C13=69,$G13=69),0,1)</f>
        <v/>
      </c>
      <c r="FN14">
        <f>FN13*IF(OR($C13=70,$G13=70),0,1)</f>
        <v/>
      </c>
      <c r="FO14">
        <f>FO13*IF(OR($C13=71,$G13=71),0,1)</f>
        <v/>
      </c>
      <c r="FP14">
        <f>FP13*IF(OR($C13=72,$G13=72),0,1)</f>
        <v/>
      </c>
      <c r="FQ14">
        <f>FQ13*IF(OR($C13=73,$G13=73),0,1)</f>
        <v/>
      </c>
      <c r="FR14">
        <f>FR13*IF(OR($C13=74,$G13=74),0,1)</f>
        <v/>
      </c>
      <c r="FS14">
        <f>FS13*IF(OR($C13=75,$G13=75),0,1)</f>
        <v/>
      </c>
      <c r="FT14">
        <f>FT13*IF(OR($C13=76,$G13=76),0,1)</f>
        <v/>
      </c>
      <c r="FU14">
        <f>FU13*IF(OR($C13=77,$G13=77),0,1)</f>
        <v/>
      </c>
      <c r="FV14">
        <f>FV13*IF(OR($C13=78,$G13=78),0,1)</f>
        <v/>
      </c>
      <c r="FW14">
        <f>FW13*IF(OR($C13=79,$G13=79),0,1)</f>
        <v/>
      </c>
      <c r="FX14">
        <f>FX13*IF(OR($C13=80,$G13=80),0,1)</f>
        <v/>
      </c>
      <c r="FY14">
        <f>FY13*IF(OR($C13=81,$G13=81),0,1)</f>
        <v/>
      </c>
      <c r="FZ14">
        <f>FZ13*IF(OR($C13=82,$G13=82),0,1)</f>
        <v/>
      </c>
      <c r="GA14">
        <f>GA13*IF(OR($C13=83,$G13=83),0,1)</f>
        <v/>
      </c>
      <c r="GB14">
        <f>GB13*IF(OR($C13=84,$G13=84),0,1)</f>
        <v/>
      </c>
      <c r="GC14">
        <f>GC13*IF(OR($C13=85,$G13=85),0,1)</f>
        <v/>
      </c>
      <c r="GD14">
        <f>GD13*IF(OR($C13=86,$G13=86),0,1)</f>
        <v/>
      </c>
      <c r="GE14">
        <f>GE13*IF(OR($C13=87,$G13=87),0,1)</f>
        <v/>
      </c>
      <c r="GF14">
        <f>GF13*IF(OR($C13=88,$G13=88),0,1)</f>
        <v/>
      </c>
      <c r="GG14">
        <f>GG13*IF(OR($C13=89,$G13=89),0,1)</f>
        <v/>
      </c>
      <c r="GH14">
        <f>GH13*IF(OR($C13=90,$G13=90),0,1)</f>
        <v/>
      </c>
      <c r="GI14">
        <f>GI13*IF(OR($C13=91,$G13=91),0,1)</f>
        <v/>
      </c>
      <c r="GJ14">
        <f>GJ13*IF(OR($C13=92,$G13=92),0,1)</f>
        <v/>
      </c>
      <c r="GK14">
        <f>GK13*IF(OR($C13=93,$G13=93),0,1)</f>
        <v/>
      </c>
      <c r="GL14">
        <f>GL13*IF(OR($C13=94,$G13=94),0,1)</f>
        <v/>
      </c>
      <c r="GM14">
        <f>GM13*IF(OR($C13=95,$G13=95),0,1)</f>
        <v/>
      </c>
      <c r="GN14">
        <f>GN13*IF(OR($C13=96,$G13=96),0,1)</f>
        <v/>
      </c>
      <c r="GO14">
        <f>GO13*IF(OR($C13=97,$G13=97),0,1)</f>
        <v/>
      </c>
      <c r="GP14">
        <f>GP13*IF(OR($C13=98,$G13=98),0,1)</f>
        <v/>
      </c>
      <c r="GQ14">
        <f>GQ13*IF(OR($C13=99,$G13=99),0,1)</f>
        <v/>
      </c>
      <c r="GR14">
        <f>GR13*IF(OR($C13=100,$G13=100),0,1)</f>
        <v/>
      </c>
      <c r="GS14">
        <f>GS13*IF(OR($C13=101,$G13=101),0,1)</f>
        <v/>
      </c>
      <c r="GT14">
        <f>GT13*IF(OR($C13=102,$G13=102),0,1)</f>
        <v/>
      </c>
      <c r="GU14">
        <f>GU13*IF(OR($C13=103,$G13=103),0,1)</f>
        <v/>
      </c>
      <c r="GV14">
        <f>GV13*IF(OR($C13=104,$G13=104),0,1)</f>
        <v/>
      </c>
      <c r="GW14">
        <f>GW13*IF(OR($C13=105,$G13=105),0,1)</f>
        <v/>
      </c>
      <c r="GX14">
        <f>GX13*IF(OR($C13=106,$G13=106),0,1)</f>
        <v/>
      </c>
      <c r="GY14">
        <f>GY13*IF(OR($C13=107,$G13=107),0,1)</f>
        <v/>
      </c>
      <c r="GZ14">
        <f>GZ13*IF(OR($C13=108,$G13=108),0,1)</f>
        <v/>
      </c>
      <c r="HA14">
        <f>HA13*IF(OR($C13=109,$G13=109),0,1)</f>
        <v/>
      </c>
      <c r="HB14">
        <f>HB13*IF(OR($C13=110,$G13=110),0,1)</f>
        <v/>
      </c>
      <c r="HC14">
        <f>HC13*IF(OR($C13=111,$G13=111),0,1)</f>
        <v/>
      </c>
      <c r="HD14">
        <f>HD13*IF(OR($C13=112,$G13=112),0,1)</f>
        <v/>
      </c>
      <c r="HE14">
        <f>HE13*IF(OR($C13=113,$G13=113),0,1)</f>
        <v/>
      </c>
      <c r="HF14">
        <f>HF13*IF(OR($C13=114,$G13=114),0,1)</f>
        <v/>
      </c>
      <c r="HG14">
        <f>HG13*IF(OR($C13=115,$G13=115),0,1)</f>
        <v/>
      </c>
      <c r="HH14">
        <f>HH13*IF(OR($C13=116,$G13=116),0,1)</f>
        <v/>
      </c>
      <c r="HI14">
        <f>HI13*IF(OR($C13=117,$G13=117),0,1)</f>
        <v/>
      </c>
      <c r="HJ14">
        <f>HJ13*IF(OR($C13=118,$G13=118),0,1)</f>
        <v/>
      </c>
      <c r="HK14">
        <f>HK13*IF(OR($C13=119,$G13=119),0,1)</f>
        <v/>
      </c>
      <c r="HL14">
        <f>HL13*IF(OR($C13=120,$G13=120),0,1)</f>
        <v/>
      </c>
      <c r="HM14">
        <f>HM13*IF(OR($C13=121,$G13=121),0,1)</f>
        <v/>
      </c>
      <c r="HN14">
        <f>HN13*IF(OR($C13=122,$G13=122),0,1)</f>
        <v/>
      </c>
      <c r="HO14">
        <f>HO13*IF(OR($C13=123,$G13=123),0,1)</f>
        <v/>
      </c>
      <c r="HP14">
        <f>HP13*IF(OR($C13=124,$G13=124),0,1)</f>
        <v/>
      </c>
      <c r="HQ14">
        <f>HQ13*IF(OR($C13=125,$G13=125),0,1)</f>
        <v/>
      </c>
      <c r="HR14">
        <f>HR13*IF(OR($C13=126,$G13=126),0,1)</f>
        <v/>
      </c>
      <c r="HS14">
        <f>HS13*IF(OR($C13=127,$G13=127),0,1)</f>
        <v/>
      </c>
      <c r="HT14">
        <f>HT13*IF(OR($C13=128,$G13=128),0,1)</f>
        <v/>
      </c>
      <c r="HU14">
        <f>HU13*IF(OR($C13=129,$G13=129),0,1)</f>
        <v/>
      </c>
      <c r="HV14">
        <f>HV13*IF(OR($C13=130,$G13=130),0,1)</f>
        <v/>
      </c>
      <c r="HW14">
        <f>HW13*IF(OR($C13=131,$G13=131),0,1)</f>
        <v/>
      </c>
      <c r="HX14">
        <f>HX13*IF(OR($C13=132,$G13=132),0,1)</f>
        <v/>
      </c>
      <c r="HY14">
        <f>HY13*IF(OR($C13=133,$G13=133),0,1)</f>
        <v/>
      </c>
      <c r="HZ14">
        <f>HZ13*IF(OR($C13=134,$G13=134),0,1)</f>
        <v/>
      </c>
      <c r="IA14">
        <f>IA13*IF(OR($C13=135,$G13=135),0,1)</f>
        <v/>
      </c>
      <c r="IB14">
        <f>IB13*IF(OR($C13=136,$G13=136),0,1)</f>
        <v/>
      </c>
      <c r="IC14">
        <f>IC13*IF(OR($C13=137,$G13=137),0,1)</f>
        <v/>
      </c>
      <c r="ID14">
        <f>ID13*IF(OR($C13=138,$G13=138),0,1)</f>
        <v/>
      </c>
      <c r="IE14">
        <f>IE13*IF(OR($C13=139,$G13=139),0,1)</f>
        <v/>
      </c>
      <c r="IF14">
        <f>IF13*IF(OR($C13=140,$G13=140),0,1)</f>
        <v/>
      </c>
      <c r="IG14">
        <f>IG13*IF(OR($C13=141,$G13=141),0,1)</f>
        <v/>
      </c>
      <c r="IH14">
        <f>IH13*IF(OR($C13=142,$G13=142),0,1)</f>
        <v/>
      </c>
      <c r="II14">
        <f>II13*IF(OR($C13=143,$G13=143),0,1)</f>
        <v/>
      </c>
      <c r="IJ14">
        <f>IJ13*IF(OR($C13=144,$G13=144),0,1)</f>
        <v/>
      </c>
      <c r="IK14">
        <f>IK13*IF(OR($C13=145,$G13=145),0,1)</f>
        <v/>
      </c>
      <c r="IL14">
        <f>IL13*IF(OR($C13=146,$G13=146),0,1)</f>
        <v/>
      </c>
      <c r="IM14">
        <f>IM13*IF(OR($C13=147,$G13=147),0,1)</f>
        <v/>
      </c>
      <c r="IN14">
        <f>IN13*IF(OR($C13=148,$G13=148),0,1)</f>
        <v/>
      </c>
      <c r="IO14">
        <f>IO13*IF(OR($C13=149,$G13=149),0,1)</f>
        <v/>
      </c>
      <c r="IP14">
        <f>IP13*IF(OR($C13=150,$G13=150),0,1)</f>
        <v/>
      </c>
      <c r="IQ14">
        <f>IQ13*IF(OR($C13=151,$G13=151),0,1)</f>
        <v/>
      </c>
      <c r="IR14">
        <f>IR13*IF(OR($C13=152,$G13=152),0,1)</f>
        <v/>
      </c>
      <c r="IS14">
        <f>IS13*IF(OR($C13=153,$G13=153),0,1)</f>
        <v/>
      </c>
      <c r="IT14">
        <f>IT13*IF(OR($C13=154,$G13=154),0,1)</f>
        <v/>
      </c>
      <c r="IU14">
        <f>IU13*IF(OR($C13=155,$G13=155),0,1)</f>
        <v/>
      </c>
      <c r="IV14">
        <f>IV13*IF(OR($C13=156,$G13=156),0,1)</f>
        <v/>
      </c>
      <c r="IW14">
        <f>IW13*IF(OR($C13=157,$G13=157),0,1)</f>
        <v/>
      </c>
      <c r="IX14">
        <f>IX13*IF(OR($C13=158,$G13=158),0,1)</f>
        <v/>
      </c>
      <c r="IY14">
        <f>IY13*IF(OR($C13=159,$G13=159),0,1)</f>
        <v/>
      </c>
      <c r="IZ14">
        <f>IZ13*IF(OR($C13=160,$G13=160),0,1)</f>
        <v/>
      </c>
      <c r="JA14">
        <f>JA13*IF(OR($C13=161,$G13=161),0,1)</f>
        <v/>
      </c>
      <c r="JB14">
        <f>JB13*IF(OR($C13=162,$G13=162),0,1)</f>
        <v/>
      </c>
      <c r="JC14">
        <f>JC13*IF(OR($C13=163,$G13=163),0,1)</f>
        <v/>
      </c>
      <c r="JD14">
        <f>JD13*IF(OR($C13=164,$G13=164),0,1)</f>
        <v/>
      </c>
      <c r="JE14">
        <f>JE13*IF(OR($C13=165,$G13=165),0,1)</f>
        <v/>
      </c>
      <c r="JF14">
        <f>JF13*IF(OR($C13=166,$G13=166),0,1)</f>
        <v/>
      </c>
      <c r="JG14">
        <f>JG13*IF(OR($C13=167,$G13=167),0,1)</f>
        <v/>
      </c>
      <c r="JH14">
        <f>JH13*IF(OR($C13=168,$G13=168),0,1)</f>
        <v/>
      </c>
      <c r="JI14">
        <f>JI13*IF(OR($C13=169,$G13=169),0,1)</f>
        <v/>
      </c>
      <c r="JJ14">
        <f>JJ13*IF(OR($C13=170,$G13=170),0,1)</f>
        <v/>
      </c>
      <c r="JK14">
        <f>JK13*IF(OR($C13=171,$G13=171),0,1)</f>
        <v/>
      </c>
      <c r="JL14">
        <f>JL13*IF(OR($C13=172,$G13=172),0,1)</f>
        <v/>
      </c>
      <c r="JM14">
        <f>JM13*IF(OR($C13=173,$G13=173),0,1)</f>
        <v/>
      </c>
      <c r="JN14">
        <f>JN13*IF(OR($C13=174,$G13=174),0,1)</f>
        <v/>
      </c>
      <c r="JO14">
        <f>JO13*IF(OR($C13=175,$G13=175),0,1)</f>
        <v/>
      </c>
      <c r="JP14">
        <f>JP13*IF(OR($C13=176,$G13=176),0,1)</f>
        <v/>
      </c>
      <c r="JQ14">
        <f>JQ13*IF(OR($C13=177,$G13=177),0,1)</f>
        <v/>
      </c>
      <c r="JR14">
        <f>JR13*IF(OR($C13=178,$G13=178),0,1)</f>
        <v/>
      </c>
      <c r="JS14">
        <f>JS13*IF(OR($C13=179,$G13=179),0,1)</f>
        <v/>
      </c>
      <c r="JT14">
        <f>JT13*IF(OR($C13=180,$G13=180),0,1)</f>
        <v/>
      </c>
      <c r="JU14">
        <f>JU13*IF(OR($C13=181,$G13=181),0,1)</f>
        <v/>
      </c>
      <c r="JV14">
        <f>JV13*IF(OR($C13=182,$G13=182),0,1)</f>
        <v/>
      </c>
      <c r="JW14">
        <f>JW13*IF(OR($C13=183,$G13=183),0,1)</f>
        <v/>
      </c>
      <c r="JX14">
        <f>JX13*IF(OR($C13=184,$G13=184),0,1)</f>
        <v/>
      </c>
      <c r="JY14">
        <f>JY13*IF(OR($C13=185,$G13=185),0,1)</f>
        <v/>
      </c>
      <c r="JZ14">
        <f>JZ13*IF(OR($C13=186,$G13=186),0,1)</f>
        <v/>
      </c>
      <c r="KA14">
        <f>KA13*IF(OR($C13=187,$G13=187),0,1)</f>
        <v/>
      </c>
      <c r="KB14">
        <f>KB13*IF(OR($C13=188,$G13=188),0,1)</f>
        <v/>
      </c>
      <c r="KC14">
        <f>KC13*IF(OR($C13=189,$G13=189),0,1)</f>
        <v/>
      </c>
      <c r="KD14">
        <f>KD13*IF(OR($C13=190,$G13=190),0,1)</f>
        <v/>
      </c>
      <c r="KE14">
        <f>KE13*IF(OR($C13=191,$G13=191),0,1)</f>
        <v/>
      </c>
      <c r="KF14">
        <f>KF13*IF(OR($C13=192,$G13=192),0,1)</f>
        <v/>
      </c>
      <c r="KG14">
        <f>KG13*IF(OR($C13=193,$G13=193),0,1)</f>
        <v/>
      </c>
      <c r="KH14">
        <f>KH13*IF(OR($C13=194,$G13=194),0,1)</f>
        <v/>
      </c>
      <c r="KI14">
        <f>KI13*IF(OR($C13=195,$G13=195),0,1)</f>
        <v/>
      </c>
      <c r="KJ14">
        <f>KJ13*IF(OR($C13=196,$G13=196),0,1)</f>
        <v/>
      </c>
      <c r="KK14">
        <f>KK13*IF(OR($C13=197,$G13=197),0,1)</f>
        <v/>
      </c>
      <c r="KL14">
        <f>KL13*IF(OR($C13=198,$G13=198),0,1)</f>
        <v/>
      </c>
      <c r="KM14">
        <f>KM13*IF(OR($C13=199,$G13=199),0,1)</f>
        <v/>
      </c>
      <c r="KN14">
        <f>KN13*IF(OR($C13=200,$G13=200),0,1)</f>
        <v/>
      </c>
      <c r="KO14">
        <f>KO13*IF(OR($C13=201,$G13=201),0,1)</f>
        <v/>
      </c>
      <c r="KP14">
        <f>KP13*IF(OR($C13=202,$G13=202),0,1)</f>
        <v/>
      </c>
      <c r="KQ14">
        <f>KQ13*IF(OR($C13=203,$G13=203),0,1)</f>
        <v/>
      </c>
      <c r="KR14">
        <f>KR13*IF(OR($C13=204,$G13=204),0,1)</f>
        <v/>
      </c>
      <c r="KS14">
        <f>KS13*IF(OR($C13=205,$G13=205),0,1)</f>
        <v/>
      </c>
      <c r="KT14">
        <f>KT13*IF(OR($C13=206,$G13=206),0,1)</f>
        <v/>
      </c>
      <c r="KU14">
        <f>KU13*IF(OR($C13=207,$G13=207),0,1)</f>
        <v/>
      </c>
      <c r="KV14">
        <f>KV13*IF(OR($C13=208,$G13=208),0,1)</f>
        <v/>
      </c>
      <c r="KW14">
        <f>KW13*IF(OR($C13=209,$G13=209),0,1)</f>
        <v/>
      </c>
      <c r="KX14">
        <f>KX13*IF(OR($C13=210,$G13=210),0,1)</f>
        <v/>
      </c>
      <c r="KY14">
        <f>KY13*IF(OR($C13=211,$G13=211),0,1)</f>
        <v/>
      </c>
      <c r="KZ14">
        <f>KZ13*IF(OR($C13=212,$G13=212),0,1)</f>
        <v/>
      </c>
      <c r="LA14">
        <f>LA13*IF(OR($C13=213,$G13=213),0,1)</f>
        <v/>
      </c>
      <c r="LB14">
        <f>LB13*IF(OR($C13=214,$G13=214),0,1)</f>
        <v/>
      </c>
      <c r="LC14">
        <f>LC13*IF(OR($C13=215,$G13=215),0,1)</f>
        <v/>
      </c>
      <c r="LD14">
        <f>LD13*IF(OR($C13=216,$G13=216),0,1)</f>
        <v/>
      </c>
      <c r="LE14">
        <f>LE13*IF(OR($C13=217,$G13=217),0,1)</f>
        <v/>
      </c>
      <c r="LF14">
        <f>LF13*IF(OR($C13=218,$G13=218),0,1)</f>
        <v/>
      </c>
      <c r="LG14">
        <f>LG13*IF(OR($C13=219,$G13=219),0,1)</f>
        <v/>
      </c>
      <c r="LH14">
        <f>LH13*IF(OR($C13=220,$G13=220),0,1)</f>
        <v/>
      </c>
      <c r="LI14">
        <f>LI13*IF(OR($C13=221,$G13=221),0,1)</f>
        <v/>
      </c>
      <c r="LJ14">
        <f>LJ13*IF(OR($C13=222,$G13=222),0,1)</f>
        <v/>
      </c>
      <c r="LK14">
        <f>LK13*IF(OR($C13=223,$G13=223),0,1)</f>
        <v/>
      </c>
      <c r="LL14">
        <f>LL13*IF(OR($C13=224,$G13=224),0,1)</f>
        <v/>
      </c>
      <c r="LM14">
        <f>LM13*IF(OR($C13=225,$G13=225),0,1)</f>
        <v/>
      </c>
      <c r="LN14">
        <f>LN13*IF(OR($C13=226,$G13=226),0,1)</f>
        <v/>
      </c>
      <c r="LO14">
        <f>LO13*IF(OR($C13=227,$G13=227),0,1)</f>
        <v/>
      </c>
      <c r="LP14">
        <f>LP13*IF(OR($C13=228,$G13=228),0,1)</f>
        <v/>
      </c>
      <c r="LQ14">
        <f>LQ13*IF(OR($C13=229,$G13=229),0,1)</f>
        <v/>
      </c>
      <c r="LR14">
        <f>LR13*IF(OR($C13=230,$G13=230),0,1)</f>
        <v/>
      </c>
      <c r="LS14">
        <f>LS13*IF(OR($C13=231,$G13=231),0,1)</f>
        <v/>
      </c>
      <c r="LT14">
        <f>LT13*IF(OR($C13=232,$G13=232),0,1)</f>
        <v/>
      </c>
      <c r="LU14">
        <f>LU13*IF(OR($C13=233,$G13=233),0,1)</f>
        <v/>
      </c>
      <c r="LV14">
        <f>LV13*IF(OR($C13=234,$G13=234),0,1)</f>
        <v/>
      </c>
      <c r="LW14">
        <f>LW13*IF(OR($C13=235,$G13=235),0,1)</f>
        <v/>
      </c>
      <c r="LX14">
        <f>LX13*IF(OR($C13=236,$G13=236),0,1)</f>
        <v/>
      </c>
      <c r="LY14">
        <f>LY13*IF(OR($C13=237,$G13=237),0,1)</f>
        <v/>
      </c>
      <c r="LZ14">
        <f>LZ13*IF(OR($C13=238,$G13=238),0,1)</f>
        <v/>
      </c>
      <c r="MA14">
        <f>MA13*IF(OR($C13=239,$G13=239),0,1)</f>
        <v/>
      </c>
      <c r="MB14">
        <f>MB13*IF(OR($C13=240,$G13=240),0,1)</f>
        <v/>
      </c>
      <c r="MD14">
        <f>IF('計算A'!D$106=1,CX14,1)</f>
        <v/>
      </c>
      <c r="ME14">
        <f>IF('計算A'!E$106=1,CY14,1)</f>
        <v/>
      </c>
      <c r="MF14">
        <f>IF('計算A'!F$106=1,CZ14,1)</f>
        <v/>
      </c>
      <c r="MG14">
        <f>IF('計算A'!G$106=1,DA14,1)</f>
        <v/>
      </c>
      <c r="MH14">
        <f>IF('計算A'!H$106=1,DB14,1)</f>
        <v/>
      </c>
      <c r="MI14">
        <f>IF('計算A'!I$106=1,DC14,1)</f>
        <v/>
      </c>
      <c r="MJ14">
        <f>IF('計算A'!J$106=1,DD14,1)</f>
        <v/>
      </c>
      <c r="MK14">
        <f>IF('計算A'!K$106=1,DE14,1)</f>
        <v/>
      </c>
      <c r="ML14">
        <f>IF('計算A'!L$106=1,DF14,1)</f>
        <v/>
      </c>
      <c r="MM14">
        <f>IF('計算A'!M$106=1,DG14,1)</f>
        <v/>
      </c>
      <c r="MN14">
        <f>IF('計算A'!N$106=1,DH14,1)</f>
        <v/>
      </c>
      <c r="MO14">
        <f>IF('計算A'!O$106=1,DI14,1)</f>
        <v/>
      </c>
      <c r="MP14">
        <f>IF('計算A'!P$106=1,DJ14,1)</f>
        <v/>
      </c>
      <c r="MQ14">
        <f>IF('計算A'!Q$106=1,DK14,1)</f>
        <v/>
      </c>
      <c r="MR14">
        <f>IF('計算A'!R$106=1,DL14,1)</f>
        <v/>
      </c>
      <c r="MS14">
        <f>IF('計算A'!S$106=1,DM14,1)</f>
        <v/>
      </c>
      <c r="MT14">
        <f>IF('計算A'!T$106=1,DN14,1)</f>
        <v/>
      </c>
      <c r="MU14">
        <f>IF('計算A'!U$106=1,DO14,1)</f>
        <v/>
      </c>
      <c r="MV14">
        <f>IF('計算A'!V$106=1,DP14,1)</f>
        <v/>
      </c>
      <c r="MW14">
        <f>IF('計算A'!W$106=1,DQ14,1)</f>
        <v/>
      </c>
      <c r="MX14">
        <f>IF('計算A'!X$106=1,DR14,1)</f>
        <v/>
      </c>
      <c r="MY14">
        <f>IF('計算A'!Y$106=1,DS14,1)</f>
        <v/>
      </c>
      <c r="MZ14">
        <f>IF('計算A'!Z$106=1,DT14,1)</f>
        <v/>
      </c>
      <c r="NA14">
        <f>IF('計算A'!AA$106=1,DU14,1)</f>
        <v/>
      </c>
      <c r="NB14">
        <f>IF('計算A'!AB$106=1,DV14,1)</f>
        <v/>
      </c>
      <c r="NC14">
        <f>IF('計算A'!AC$106=1,DW14,1)</f>
        <v/>
      </c>
      <c r="ND14">
        <f>IF('計算A'!AD$106=1,DX14,1)</f>
        <v/>
      </c>
      <c r="NE14">
        <f>IF('計算A'!AE$106=1,DY14,1)</f>
        <v/>
      </c>
      <c r="NF14">
        <f>IF('計算A'!AF$106=1,DZ14,1)</f>
        <v/>
      </c>
      <c r="NG14">
        <f>IF('計算A'!AG$106=1,EA14,1)</f>
        <v/>
      </c>
      <c r="NH14">
        <f>IF('計算A'!AH$106=1,EB14,1)</f>
        <v/>
      </c>
      <c r="NI14">
        <f>IF('計算A'!AI$106=1,EC14,1)</f>
        <v/>
      </c>
      <c r="NJ14">
        <f>IF('計算A'!AJ$106=1,ED14,1)</f>
        <v/>
      </c>
      <c r="NK14">
        <f>IF('計算A'!AK$106=1,EE14,1)</f>
        <v/>
      </c>
      <c r="NL14">
        <f>IF('計算A'!AL$106=1,EF14,1)</f>
        <v/>
      </c>
      <c r="NM14">
        <f>IF('計算A'!AM$106=1,EG14,1)</f>
        <v/>
      </c>
      <c r="NN14">
        <f>IF('計算A'!AN$106=1,EH14,1)</f>
        <v/>
      </c>
      <c r="NO14">
        <f>IF('計算A'!AO$106=1,EI14,1)</f>
        <v/>
      </c>
      <c r="NP14">
        <f>IF('計算A'!AP$106=1,EJ14,1)</f>
        <v/>
      </c>
      <c r="NQ14">
        <f>IF('計算A'!AQ$106=1,EK14,1)</f>
        <v/>
      </c>
      <c r="NR14">
        <f>IF('計算A'!AR$106=1,EL14,1)</f>
        <v/>
      </c>
      <c r="NS14">
        <f>IF('計算A'!AS$106=1,EM14,1)</f>
        <v/>
      </c>
      <c r="NT14">
        <f>IF('計算A'!AT$106=1,EN14,1)</f>
        <v/>
      </c>
      <c r="NU14">
        <f>IF('計算A'!AU$106=1,EO14,1)</f>
        <v/>
      </c>
      <c r="NV14">
        <f>IF('計算A'!AV$106=1,EP14,1)</f>
        <v/>
      </c>
      <c r="NW14">
        <f>IF('計算A'!AW$106=1,EQ14,1)</f>
        <v/>
      </c>
      <c r="NX14">
        <f>IF('計算A'!AX$106=1,ER14,1)</f>
        <v/>
      </c>
      <c r="NY14">
        <f>IF('計算A'!AY$106=1,ES14,1)</f>
        <v/>
      </c>
      <c r="NZ14">
        <f>IF('計算A'!AZ$106=1,ET14,1)</f>
        <v/>
      </c>
      <c r="OA14">
        <f>IF('計算A'!BA$106=1,EU14,1)</f>
        <v/>
      </c>
      <c r="OB14">
        <f>IF('計算A'!BB$106=1,EV14,1)</f>
        <v/>
      </c>
      <c r="OC14">
        <f>IF('計算A'!BC$106=1,EW14,1)</f>
        <v/>
      </c>
      <c r="OD14">
        <f>IF('計算A'!BD$106=1,EX14,1)</f>
        <v/>
      </c>
      <c r="OE14">
        <f>IF('計算A'!BE$106=1,EY14,1)</f>
        <v/>
      </c>
      <c r="OF14">
        <f>IF('計算A'!BF$106=1,EZ14,1)</f>
        <v/>
      </c>
      <c r="OG14">
        <f>IF('計算A'!BG$106=1,FA14,1)</f>
        <v/>
      </c>
      <c r="OH14">
        <f>IF('計算A'!BH$106=1,FB14,1)</f>
        <v/>
      </c>
      <c r="OI14">
        <f>IF('計算A'!BI$106=1,FC14,1)</f>
        <v/>
      </c>
      <c r="OJ14">
        <f>IF('計算A'!BJ$106=1,FD14,1)</f>
        <v/>
      </c>
      <c r="OK14">
        <f>IF('計算A'!BK$106=1,FE14,1)</f>
        <v/>
      </c>
      <c r="OL14">
        <f>IF('計算A'!BL$106=1,FF14,1)</f>
        <v/>
      </c>
      <c r="OM14">
        <f>IF('計算A'!BM$106=1,FG14,1)</f>
        <v/>
      </c>
      <c r="ON14">
        <f>IF('計算A'!BN$106=1,FH14,1)</f>
        <v/>
      </c>
      <c r="OO14">
        <f>IF('計算A'!BO$106=1,FI14,1)</f>
        <v/>
      </c>
      <c r="OP14">
        <f>IF('計算A'!BP$106=1,FJ14,1)</f>
        <v/>
      </c>
      <c r="OQ14">
        <f>IF('計算A'!BQ$106=1,FK14,1)</f>
        <v/>
      </c>
      <c r="OR14">
        <f>IF('計算A'!BR$106=1,FL14,1)</f>
        <v/>
      </c>
      <c r="OS14">
        <f>IF('計算A'!BS$106=1,FM14,1)</f>
        <v/>
      </c>
      <c r="OT14">
        <f>IF('計算A'!BT$106=1,FN14,1)</f>
        <v/>
      </c>
      <c r="OU14">
        <f>IF('計算A'!BU$106=1,FO14,1)</f>
        <v/>
      </c>
      <c r="OV14">
        <f>IF('計算A'!BV$106=1,FP14,1)</f>
        <v/>
      </c>
      <c r="OW14">
        <f>IF('計算A'!BW$106=1,FQ14,1)</f>
        <v/>
      </c>
      <c r="OX14">
        <f>IF('計算A'!BX$106=1,FR14,1)</f>
        <v/>
      </c>
      <c r="OY14">
        <f>IF('計算A'!BY$106=1,FS14,1)</f>
        <v/>
      </c>
      <c r="OZ14">
        <f>IF('計算A'!BZ$106=1,FT14,1)</f>
        <v/>
      </c>
      <c r="PA14">
        <f>IF('計算A'!CA$106=1,FU14,1)</f>
        <v/>
      </c>
      <c r="PB14">
        <f>IF('計算A'!CB$106=1,FV14,1)</f>
        <v/>
      </c>
      <c r="PC14">
        <f>IF('計算A'!CC$106=1,FW14,1)</f>
        <v/>
      </c>
      <c r="PD14">
        <f>IF('計算A'!CD$106=1,FX14,1)</f>
        <v/>
      </c>
      <c r="PE14">
        <f>IF('計算A'!CE$106=1,FY14,1)</f>
        <v/>
      </c>
      <c r="PF14">
        <f>IF('計算A'!CF$106=1,FZ14,1)</f>
        <v/>
      </c>
      <c r="PG14">
        <f>IF('計算A'!CG$106=1,GA14,1)</f>
        <v/>
      </c>
      <c r="PH14">
        <f>IF('計算A'!CH$106=1,GB14,1)</f>
        <v/>
      </c>
      <c r="PI14">
        <f>IF('計算A'!CI$106=1,GC14,1)</f>
        <v/>
      </c>
      <c r="PJ14">
        <f>IF('計算A'!CJ$106=1,GD14,1)</f>
        <v/>
      </c>
      <c r="PK14">
        <f>IF('計算A'!CK$106=1,GE14,1)</f>
        <v/>
      </c>
      <c r="PL14">
        <f>IF('計算A'!CL$106=1,GF14,1)</f>
        <v/>
      </c>
      <c r="PM14">
        <f>IF('計算A'!CM$106=1,GG14,1)</f>
        <v/>
      </c>
      <c r="PN14">
        <f>IF('計算A'!CN$106=1,GH14,1)</f>
        <v/>
      </c>
      <c r="PO14">
        <f>IF('計算A'!CO$106=1,GI14,1)</f>
        <v/>
      </c>
      <c r="PP14">
        <f>IF('計算A'!CP$106=1,GJ14,1)</f>
        <v/>
      </c>
      <c r="PQ14">
        <f>IF('計算A'!CQ$106=1,GK14,1)</f>
        <v/>
      </c>
      <c r="PR14">
        <f>IF('計算A'!CR$106=1,GL14,1)</f>
        <v/>
      </c>
      <c r="PS14">
        <f>IF('計算A'!CS$106=1,GM14,1)</f>
        <v/>
      </c>
      <c r="PT14">
        <f>IF('計算A'!CT$106=1,GN14,1)</f>
        <v/>
      </c>
      <c r="PU14">
        <f>IF('計算A'!CU$106=1,GO14,1)</f>
        <v/>
      </c>
      <c r="PV14">
        <f>IF('計算A'!CV$106=1,GP14,1)</f>
        <v/>
      </c>
      <c r="PW14">
        <f>IF('計算A'!CW$106=1,GQ14,1)</f>
        <v/>
      </c>
      <c r="PX14">
        <f>IF('計算A'!CX$106=1,GR14,1)</f>
        <v/>
      </c>
      <c r="PY14">
        <f>IF('計算A'!CY$106=1,GS14,1)</f>
        <v/>
      </c>
      <c r="PZ14">
        <f>IF('計算A'!CZ$106=1,GT14,1)</f>
        <v/>
      </c>
      <c r="QA14">
        <f>IF('計算A'!DA$106=1,GU14,1)</f>
        <v/>
      </c>
      <c r="QB14">
        <f>IF('計算A'!DB$106=1,GV14,1)</f>
        <v/>
      </c>
      <c r="QC14">
        <f>IF('計算A'!DC$106=1,GW14,1)</f>
        <v/>
      </c>
      <c r="QD14">
        <f>IF('計算A'!DD$106=1,GX14,1)</f>
        <v/>
      </c>
      <c r="QE14">
        <f>IF('計算A'!DE$106=1,GY14,1)</f>
        <v/>
      </c>
      <c r="QF14">
        <f>IF('計算A'!DF$106=1,GZ14,1)</f>
        <v/>
      </c>
      <c r="QG14">
        <f>IF('計算A'!DG$106=1,HA14,1)</f>
        <v/>
      </c>
      <c r="QH14">
        <f>IF('計算A'!DH$106=1,HB14,1)</f>
        <v/>
      </c>
      <c r="QI14">
        <f>IF('計算A'!DI$106=1,HC14,1)</f>
        <v/>
      </c>
      <c r="QJ14">
        <f>IF('計算A'!DJ$106=1,HD14,1)</f>
        <v/>
      </c>
      <c r="QK14">
        <f>IF('計算A'!DK$106=1,HE14,1)</f>
        <v/>
      </c>
      <c r="QL14">
        <f>IF('計算A'!DL$106=1,HF14,1)</f>
        <v/>
      </c>
      <c r="QM14">
        <f>IF('計算A'!DM$106=1,HG14,1)</f>
        <v/>
      </c>
      <c r="QN14">
        <f>IF('計算A'!DN$106=1,HH14,1)</f>
        <v/>
      </c>
      <c r="QO14">
        <f>IF('計算A'!DO$106=1,HI14,1)</f>
        <v/>
      </c>
      <c r="QP14">
        <f>IF('計算A'!DP$106=1,HJ14,1)</f>
        <v/>
      </c>
      <c r="QQ14">
        <f>IF('計算A'!DQ$106=1,HK14,1)</f>
        <v/>
      </c>
      <c r="QR14">
        <f>IF('計算A'!DR$106=1,HL14,1)</f>
        <v/>
      </c>
      <c r="QS14">
        <f>IF('計算A'!DS$106=1,HM14,1)</f>
        <v/>
      </c>
      <c r="QT14">
        <f>IF('計算A'!DT$106=1,HN14,1)</f>
        <v/>
      </c>
      <c r="QU14">
        <f>IF('計算A'!DU$106=1,HO14,1)</f>
        <v/>
      </c>
      <c r="QV14">
        <f>IF('計算A'!DV$106=1,HP14,1)</f>
        <v/>
      </c>
      <c r="QW14">
        <f>IF('計算A'!DW$106=1,HQ14,1)</f>
        <v/>
      </c>
      <c r="QX14">
        <f>IF('計算A'!DX$106=1,HR14,1)</f>
        <v/>
      </c>
      <c r="QY14">
        <f>IF('計算A'!DY$106=1,HS14,1)</f>
        <v/>
      </c>
      <c r="QZ14">
        <f>IF('計算A'!DZ$106=1,HT14,1)</f>
        <v/>
      </c>
      <c r="RA14">
        <f>IF('計算A'!EA$106=1,HU14,1)</f>
        <v/>
      </c>
      <c r="RB14">
        <f>IF('計算A'!EB$106=1,HV14,1)</f>
        <v/>
      </c>
      <c r="RC14">
        <f>IF('計算A'!EC$106=1,HW14,1)</f>
        <v/>
      </c>
      <c r="RD14">
        <f>IF('計算A'!ED$106=1,HX14,1)</f>
        <v/>
      </c>
      <c r="RE14">
        <f>IF('計算A'!EE$106=1,HY14,1)</f>
        <v/>
      </c>
      <c r="RF14">
        <f>IF('計算A'!EF$106=1,HZ14,1)</f>
        <v/>
      </c>
      <c r="RG14">
        <f>IF('計算A'!EG$106=1,IA14,1)</f>
        <v/>
      </c>
      <c r="RH14">
        <f>IF('計算A'!EH$106=1,IB14,1)</f>
        <v/>
      </c>
      <c r="RI14">
        <f>IF('計算A'!EI$106=1,IC14,1)</f>
        <v/>
      </c>
      <c r="RJ14">
        <f>IF('計算A'!EJ$106=1,ID14,1)</f>
        <v/>
      </c>
      <c r="RK14">
        <f>IF('計算A'!EK$106=1,IE14,1)</f>
        <v/>
      </c>
      <c r="RL14">
        <f>IF('計算A'!EL$106=1,IF14,1)</f>
        <v/>
      </c>
      <c r="RM14">
        <f>IF('計算A'!EM$106=1,IG14,1)</f>
        <v/>
      </c>
      <c r="RN14">
        <f>IF('計算A'!EN$106=1,IH14,1)</f>
        <v/>
      </c>
      <c r="RO14">
        <f>IF('計算A'!EO$106=1,II14,1)</f>
        <v/>
      </c>
      <c r="RP14">
        <f>IF('計算A'!EP$106=1,IJ14,1)</f>
        <v/>
      </c>
      <c r="RQ14">
        <f>IF('計算A'!EQ$106=1,IK14,1)</f>
        <v/>
      </c>
      <c r="RR14">
        <f>IF('計算A'!ER$106=1,IL14,1)</f>
        <v/>
      </c>
      <c r="RS14">
        <f>IF('計算A'!ES$106=1,IM14,1)</f>
        <v/>
      </c>
      <c r="RT14">
        <f>IF('計算A'!ET$106=1,IN14,1)</f>
        <v/>
      </c>
      <c r="RU14">
        <f>IF('計算A'!EU$106=1,IO14,1)</f>
        <v/>
      </c>
      <c r="RV14">
        <f>IF('計算A'!EV$106=1,IP14,1)</f>
        <v/>
      </c>
      <c r="RW14">
        <f>IF('計算A'!EW$106=1,IQ14,1)</f>
        <v/>
      </c>
      <c r="RX14">
        <f>IF('計算A'!EX$106=1,IR14,1)</f>
        <v/>
      </c>
      <c r="RY14">
        <f>IF('計算A'!EY$106=1,IS14,1)</f>
        <v/>
      </c>
      <c r="RZ14">
        <f>IF('計算A'!EZ$106=1,IT14,1)</f>
        <v/>
      </c>
      <c r="SA14">
        <f>IF('計算A'!FA$106=1,IU14,1)</f>
        <v/>
      </c>
      <c r="SB14">
        <f>IF('計算A'!FB$106=1,IV14,1)</f>
        <v/>
      </c>
      <c r="SC14">
        <f>IF('計算A'!FC$106=1,IW14,1)</f>
        <v/>
      </c>
      <c r="SD14">
        <f>IF('計算A'!FD$106=1,IX14,1)</f>
        <v/>
      </c>
      <c r="SE14">
        <f>IF('計算A'!FE$106=1,IY14,1)</f>
        <v/>
      </c>
      <c r="SF14">
        <f>IF('計算A'!FF$106=1,IZ14,1)</f>
        <v/>
      </c>
      <c r="SG14">
        <f>IF('計算A'!FG$106=1,JA14,1)</f>
        <v/>
      </c>
      <c r="SH14">
        <f>IF('計算A'!FH$106=1,JB14,1)</f>
        <v/>
      </c>
      <c r="SI14">
        <f>IF('計算A'!FI$106=1,JC14,1)</f>
        <v/>
      </c>
      <c r="SJ14">
        <f>IF('計算A'!FJ$106=1,JD14,1)</f>
        <v/>
      </c>
      <c r="SK14">
        <f>IF('計算A'!FK$106=1,JE14,1)</f>
        <v/>
      </c>
      <c r="SL14">
        <f>IF('計算A'!FL$106=1,JF14,1)</f>
        <v/>
      </c>
      <c r="SM14">
        <f>IF('計算A'!FM$106=1,JG14,1)</f>
        <v/>
      </c>
      <c r="SN14">
        <f>IF('計算A'!FN$106=1,JH14,1)</f>
        <v/>
      </c>
      <c r="SO14">
        <f>IF('計算A'!FO$106=1,JI14,1)</f>
        <v/>
      </c>
      <c r="SP14">
        <f>IF('計算A'!FP$106=1,JJ14,1)</f>
        <v/>
      </c>
      <c r="SQ14">
        <f>IF('計算A'!FQ$106=1,JK14,1)</f>
        <v/>
      </c>
      <c r="SR14">
        <f>IF('計算A'!FR$106=1,JL14,1)</f>
        <v/>
      </c>
      <c r="SS14">
        <f>IF('計算A'!FS$106=1,JM14,1)</f>
        <v/>
      </c>
      <c r="ST14">
        <f>IF('計算A'!FT$106=1,JN14,1)</f>
        <v/>
      </c>
      <c r="SU14">
        <f>IF('計算A'!FU$106=1,JO14,1)</f>
        <v/>
      </c>
      <c r="SV14">
        <f>IF('計算A'!FV$106=1,JP14,1)</f>
        <v/>
      </c>
      <c r="SW14">
        <f>IF('計算A'!FW$106=1,JQ14,1)</f>
        <v/>
      </c>
      <c r="SX14">
        <f>IF('計算A'!FX$106=1,JR14,1)</f>
        <v/>
      </c>
      <c r="SY14">
        <f>IF('計算A'!FY$106=1,JS14,1)</f>
        <v/>
      </c>
      <c r="SZ14">
        <f>IF('計算A'!FZ$106=1,JT14,1)</f>
        <v/>
      </c>
      <c r="TA14">
        <f>IF('計算A'!GA$106=1,JU14,1)</f>
        <v/>
      </c>
      <c r="TB14">
        <f>IF('計算A'!GB$106=1,JV14,1)</f>
        <v/>
      </c>
      <c r="TC14">
        <f>IF('計算A'!GC$106=1,JW14,1)</f>
        <v/>
      </c>
      <c r="TD14">
        <f>IF('計算A'!GD$106=1,JX14,1)</f>
        <v/>
      </c>
      <c r="TE14">
        <f>IF('計算A'!GE$106=1,JY14,1)</f>
        <v/>
      </c>
      <c r="TF14">
        <f>IF('計算A'!GF$106=1,JZ14,1)</f>
        <v/>
      </c>
      <c r="TG14">
        <f>IF('計算A'!GG$106=1,KA14,1)</f>
        <v/>
      </c>
      <c r="TH14">
        <f>IF('計算A'!GH$106=1,KB14,1)</f>
        <v/>
      </c>
      <c r="TI14">
        <f>IF('計算A'!GI$106=1,KC14,1)</f>
        <v/>
      </c>
      <c r="TJ14">
        <f>IF('計算A'!GJ$106=1,KD14,1)</f>
        <v/>
      </c>
      <c r="TK14">
        <f>IF('計算A'!GK$106=1,KE14,1)</f>
        <v/>
      </c>
      <c r="TL14">
        <f>IF('計算A'!GL$106=1,KF14,1)</f>
        <v/>
      </c>
      <c r="TM14">
        <f>IF('計算A'!GM$106=1,KG14,1)</f>
        <v/>
      </c>
      <c r="TN14">
        <f>IF('計算A'!GN$106=1,KH14,1)</f>
        <v/>
      </c>
      <c r="TO14">
        <f>IF('計算A'!GO$106=1,KI14,1)</f>
        <v/>
      </c>
      <c r="TP14">
        <f>IF('計算A'!GP$106=1,KJ14,1)</f>
        <v/>
      </c>
      <c r="TQ14">
        <f>IF('計算A'!GQ$106=1,KK14,1)</f>
        <v/>
      </c>
      <c r="TR14">
        <f>IF('計算A'!GR$106=1,KL14,1)</f>
        <v/>
      </c>
      <c r="TS14">
        <f>IF('計算A'!GS$106=1,KM14,1)</f>
        <v/>
      </c>
      <c r="TT14">
        <f>IF('計算A'!GT$106=1,KN14,1)</f>
        <v/>
      </c>
      <c r="TU14">
        <f>IF('計算A'!GU$106=1,KO14,1)</f>
        <v/>
      </c>
      <c r="TV14">
        <f>IF('計算A'!GV$106=1,KP14,1)</f>
        <v/>
      </c>
      <c r="TW14">
        <f>IF('計算A'!GW$106=1,KQ14,1)</f>
        <v/>
      </c>
      <c r="TX14">
        <f>IF('計算A'!GX$106=1,KR14,1)</f>
        <v/>
      </c>
      <c r="TY14">
        <f>IF('計算A'!GY$106=1,KS14,1)</f>
        <v/>
      </c>
      <c r="TZ14">
        <f>IF('計算A'!GZ$106=1,KT14,1)</f>
        <v/>
      </c>
      <c r="UA14">
        <f>IF('計算A'!HA$106=1,KU14,1)</f>
        <v/>
      </c>
      <c r="UB14">
        <f>IF('計算A'!HB$106=1,KV14,1)</f>
        <v/>
      </c>
      <c r="UC14">
        <f>IF('計算A'!HC$106=1,KW14,1)</f>
        <v/>
      </c>
      <c r="UD14">
        <f>IF('計算A'!HD$106=1,KX14,1)</f>
        <v/>
      </c>
      <c r="UE14">
        <f>IF('計算A'!HE$106=1,KY14,1)</f>
        <v/>
      </c>
      <c r="UF14">
        <f>IF('計算A'!HF$106=1,KZ14,1)</f>
        <v/>
      </c>
      <c r="UG14">
        <f>IF('計算A'!HG$106=1,LA14,1)</f>
        <v/>
      </c>
      <c r="UH14">
        <f>IF('計算A'!HH$106=1,LB14,1)</f>
        <v/>
      </c>
      <c r="UI14">
        <f>IF('計算A'!HI$106=1,LC14,1)</f>
        <v/>
      </c>
      <c r="UJ14">
        <f>IF('計算A'!HJ$106=1,LD14,1)</f>
        <v/>
      </c>
      <c r="UK14">
        <f>IF('計算A'!HK$106=1,LE14,1)</f>
        <v/>
      </c>
      <c r="UL14">
        <f>IF('計算A'!HL$106=1,LF14,1)</f>
        <v/>
      </c>
      <c r="UM14">
        <f>IF('計算A'!HM$106=1,LG14,1)</f>
        <v/>
      </c>
      <c r="UN14">
        <f>IF('計算A'!HN$106=1,LH14,1)</f>
        <v/>
      </c>
      <c r="UO14">
        <f>IF('計算A'!HO$106=1,LI14,1)</f>
        <v/>
      </c>
      <c r="UP14">
        <f>IF('計算A'!HP$106=1,LJ14,1)</f>
        <v/>
      </c>
      <c r="UQ14">
        <f>IF('計算A'!HQ$106=1,LK14,1)</f>
        <v/>
      </c>
      <c r="UR14">
        <f>IF('計算A'!HR$106=1,LL14,1)</f>
        <v/>
      </c>
      <c r="US14">
        <f>IF('計算A'!HS$106=1,LM14,1)</f>
        <v/>
      </c>
      <c r="UT14">
        <f>IF('計算A'!HT$106=1,LN14,1)</f>
        <v/>
      </c>
      <c r="UU14">
        <f>IF('計算A'!HU$106=1,LO14,1)</f>
        <v/>
      </c>
      <c r="UV14">
        <f>IF('計算A'!HV$106=1,LP14,1)</f>
        <v/>
      </c>
      <c r="UW14">
        <f>IF('計算A'!HW$106=1,LQ14,1)</f>
        <v/>
      </c>
      <c r="UX14">
        <f>IF('計算A'!HX$106=1,LR14,1)</f>
        <v/>
      </c>
      <c r="UY14">
        <f>IF('計算A'!HY$106=1,LS14,1)</f>
        <v/>
      </c>
      <c r="UZ14">
        <f>IF('計算A'!HZ$106=1,LT14,1)</f>
        <v/>
      </c>
      <c r="VA14">
        <f>IF('計算A'!IA$106=1,LU14,1)</f>
        <v/>
      </c>
      <c r="VB14">
        <f>IF('計算A'!IB$106=1,LV14,1)</f>
        <v/>
      </c>
      <c r="VC14">
        <f>IF('計算A'!IC$106=1,LW14,1)</f>
        <v/>
      </c>
      <c r="VD14">
        <f>IF('計算A'!ID$106=1,LX14,1)</f>
        <v/>
      </c>
      <c r="VE14">
        <f>IF('計算A'!IE$106=1,LY14,1)</f>
        <v/>
      </c>
      <c r="VF14">
        <f>IF('計算A'!IF$106=1,LZ14,1)</f>
        <v/>
      </c>
      <c r="VG14">
        <f>IF('計算A'!IG$106=1,MA14,1)</f>
        <v/>
      </c>
      <c r="VH14">
        <f>IF('計算A'!IH$106=1,MB14,1)</f>
        <v/>
      </c>
      <c r="VI14" t="n">
        <v>1</v>
      </c>
      <c r="VK14">
        <f>IF($B14=0,1000000,IF(INDEX('計算A'!$D$60:$II$104,$B14,1)*CW14=1,IF(AND($E14=2,MD14=0),1000000,INDEX('計算A'!D$110:D$114,$F14+1)+IF(AND($E14=1,MD14=0),1000,0)),1000000))</f>
        <v/>
      </c>
      <c r="VL14">
        <f>IF($B14=0,1000000,IF(INDEX('計算A'!$D$60:$II$104,$B14,2)*CX14=1,IF(AND($E14=2,ME14=0),1000000,INDEX('計算A'!E$110:E$114,$F14+1)+IF(AND($E14=1,ME14=0),1000,0)),1000000))</f>
        <v/>
      </c>
      <c r="VM14">
        <f>IF($B14=0,1000000,IF(INDEX('計算A'!$D$60:$II$104,$B14,3)*CY14=1,IF(AND($E14=2,MF14=0),1000000,INDEX('計算A'!F$110:F$114,$F14+1)+IF(AND($E14=1,MF14=0),1000,0)),1000000))</f>
        <v/>
      </c>
      <c r="VN14">
        <f>IF($B14=0,1000000,IF(INDEX('計算A'!$D$60:$II$104,$B14,4)*CZ14=1,IF(AND($E14=2,MG14=0),1000000,INDEX('計算A'!G$110:G$114,$F14+1)+IF(AND($E14=1,MG14=0),1000,0)),1000000))</f>
        <v/>
      </c>
      <c r="VO14">
        <f>IF($B14=0,1000000,IF(INDEX('計算A'!$D$60:$II$104,$B14,5)*DA14=1,IF(AND($E14=2,MH14=0),1000000,INDEX('計算A'!H$110:H$114,$F14+1)+IF(AND($E14=1,MH14=0),1000,0)),1000000))</f>
        <v/>
      </c>
      <c r="VP14">
        <f>IF($B14=0,1000000,IF(INDEX('計算A'!$D$60:$II$104,$B14,6)*DB14=1,IF(AND($E14=2,MI14=0),1000000,INDEX('計算A'!I$110:I$114,$F14+1)+IF(AND($E14=1,MI14=0),1000,0)),1000000))</f>
        <v/>
      </c>
      <c r="VQ14">
        <f>IF($B14=0,1000000,IF(INDEX('計算A'!$D$60:$II$104,$B14,7)*DC14=1,IF(AND($E14=2,MJ14=0),1000000,INDEX('計算A'!J$110:J$114,$F14+1)+IF(AND($E14=1,MJ14=0),1000,0)),1000000))</f>
        <v/>
      </c>
      <c r="VR14">
        <f>IF($B14=0,1000000,IF(INDEX('計算A'!$D$60:$II$104,$B14,8)*DD14=1,IF(AND($E14=2,MK14=0),1000000,INDEX('計算A'!K$110:K$114,$F14+1)+IF(AND($E14=1,MK14=0),1000,0)),1000000))</f>
        <v/>
      </c>
      <c r="VS14">
        <f>IF($B14=0,1000000,IF(INDEX('計算A'!$D$60:$II$104,$B14,9)*DE14=1,IF(AND($E14=2,ML14=0),1000000,INDEX('計算A'!L$110:L$114,$F14+1)+IF(AND($E14=1,ML14=0),1000,0)),1000000))</f>
        <v/>
      </c>
      <c r="VT14">
        <f>IF($B14=0,1000000,IF(INDEX('計算A'!$D$60:$II$104,$B14,10)*DF14=1,IF(AND($E14=2,MM14=0),1000000,INDEX('計算A'!M$110:M$114,$F14+1)+IF(AND($E14=1,MM14=0),1000,0)),1000000))</f>
        <v/>
      </c>
      <c r="VU14">
        <f>IF($B14=0,1000000,IF(INDEX('計算A'!$D$60:$II$104,$B14,11)*DG14=1,IF(AND($E14=2,MN14=0),1000000,INDEX('計算A'!N$110:N$114,$F14+1)+IF(AND($E14=1,MN14=0),1000,0)),1000000))</f>
        <v/>
      </c>
      <c r="VV14">
        <f>IF($B14=0,1000000,IF(INDEX('計算A'!$D$60:$II$104,$B14,12)*DH14=1,IF(AND($E14=2,MO14=0),1000000,INDEX('計算A'!O$110:O$114,$F14+1)+IF(AND($E14=1,MO14=0),1000,0)),1000000))</f>
        <v/>
      </c>
      <c r="VW14">
        <f>IF($B14=0,1000000,IF(INDEX('計算A'!$D$60:$II$104,$B14,13)*DI14=1,IF(AND($E14=2,MP14=0),1000000,INDEX('計算A'!P$110:P$114,$F14+1)+IF(AND($E14=1,MP14=0),1000,0)),1000000))</f>
        <v/>
      </c>
      <c r="VX14">
        <f>IF($B14=0,1000000,IF(INDEX('計算A'!$D$60:$II$104,$B14,14)*DJ14=1,IF(AND($E14=2,MQ14=0),1000000,INDEX('計算A'!Q$110:Q$114,$F14+1)+IF(AND($E14=1,MQ14=0),1000,0)),1000000))</f>
        <v/>
      </c>
      <c r="VY14">
        <f>IF($B14=0,1000000,IF(INDEX('計算A'!$D$60:$II$104,$B14,15)*DK14=1,IF(AND($E14=2,MR14=0),1000000,INDEX('計算A'!R$110:R$114,$F14+1)+IF(AND($E14=1,MR14=0),1000,0)),1000000))</f>
        <v/>
      </c>
      <c r="VZ14">
        <f>IF($B14=0,1000000,IF(INDEX('計算A'!$D$60:$II$104,$B14,16)*DL14=1,IF(AND($E14=2,MS14=0),1000000,INDEX('計算A'!S$110:S$114,$F14+1)+IF(AND($E14=1,MS14=0),1000,0)),1000000))</f>
        <v/>
      </c>
      <c r="WA14">
        <f>IF($B14=0,1000000,IF(INDEX('計算A'!$D$60:$II$104,$B14,17)*DM14=1,IF(AND($E14=2,MT14=0),1000000,INDEX('計算A'!T$110:T$114,$F14+1)+IF(AND($E14=1,MT14=0),1000,0)),1000000))</f>
        <v/>
      </c>
      <c r="WB14">
        <f>IF($B14=0,1000000,IF(INDEX('計算A'!$D$60:$II$104,$B14,18)*DN14=1,IF(AND($E14=2,MU14=0),1000000,INDEX('計算A'!U$110:U$114,$F14+1)+IF(AND($E14=1,MU14=0),1000,0)),1000000))</f>
        <v/>
      </c>
      <c r="WC14">
        <f>IF($B14=0,1000000,IF(INDEX('計算A'!$D$60:$II$104,$B14,19)*DO14=1,IF(AND($E14=2,MV14=0),1000000,INDEX('計算A'!V$110:V$114,$F14+1)+IF(AND($E14=1,MV14=0),1000,0)),1000000))</f>
        <v/>
      </c>
      <c r="WD14">
        <f>IF($B14=0,1000000,IF(INDEX('計算A'!$D$60:$II$104,$B14,20)*DP14=1,IF(AND($E14=2,MW14=0),1000000,INDEX('計算A'!W$110:W$114,$F14+1)+IF(AND($E14=1,MW14=0),1000,0)),1000000))</f>
        <v/>
      </c>
      <c r="WE14">
        <f>IF($B14=0,1000000,IF(INDEX('計算A'!$D$60:$II$104,$B14,21)*DQ14=1,IF(AND($E14=2,MX14=0),1000000,INDEX('計算A'!X$110:X$114,$F14+1)+IF(AND($E14=1,MX14=0),1000,0)),1000000))</f>
        <v/>
      </c>
      <c r="WF14">
        <f>IF($B14=0,1000000,IF(INDEX('計算A'!$D$60:$II$104,$B14,22)*DR14=1,IF(AND($E14=2,MY14=0),1000000,INDEX('計算A'!Y$110:Y$114,$F14+1)+IF(AND($E14=1,MY14=0),1000,0)),1000000))</f>
        <v/>
      </c>
      <c r="WG14">
        <f>IF($B14=0,1000000,IF(INDEX('計算A'!$D$60:$II$104,$B14,23)*DS14=1,IF(AND($E14=2,MZ14=0),1000000,INDEX('計算A'!Z$110:Z$114,$F14+1)+IF(AND($E14=1,MZ14=0),1000,0)),1000000))</f>
        <v/>
      </c>
      <c r="WH14">
        <f>IF($B14=0,1000000,IF(INDEX('計算A'!$D$60:$II$104,$B14,24)*DT14=1,IF(AND($E14=2,NA14=0),1000000,INDEX('計算A'!AA$110:AA$114,$F14+1)+IF(AND($E14=1,NA14=0),1000,0)),1000000))</f>
        <v/>
      </c>
      <c r="WI14">
        <f>IF($B14=0,1000000,IF(INDEX('計算A'!$D$60:$II$104,$B14,25)*DU14=1,IF(AND($E14=2,NB14=0),1000000,INDEX('計算A'!AB$110:AB$114,$F14+1)+IF(AND($E14=1,NB14=0),1000,0)),1000000))</f>
        <v/>
      </c>
      <c r="WJ14">
        <f>IF($B14=0,1000000,IF(INDEX('計算A'!$D$60:$II$104,$B14,26)*DV14=1,IF(AND($E14=2,NC14=0),1000000,INDEX('計算A'!AC$110:AC$114,$F14+1)+IF(AND($E14=1,NC14=0),1000,0)),1000000))</f>
        <v/>
      </c>
      <c r="WK14">
        <f>IF($B14=0,1000000,IF(INDEX('計算A'!$D$60:$II$104,$B14,27)*DW14=1,IF(AND($E14=2,ND14=0),1000000,INDEX('計算A'!AD$110:AD$114,$F14+1)+IF(AND($E14=1,ND14=0),1000,0)),1000000))</f>
        <v/>
      </c>
      <c r="WL14">
        <f>IF($B14=0,1000000,IF(INDEX('計算A'!$D$60:$II$104,$B14,28)*DX14=1,IF(AND($E14=2,NE14=0),1000000,INDEX('計算A'!AE$110:AE$114,$F14+1)+IF(AND($E14=1,NE14=0),1000,0)),1000000))</f>
        <v/>
      </c>
      <c r="WM14">
        <f>IF($B14=0,1000000,IF(INDEX('計算A'!$D$60:$II$104,$B14,29)*DY14=1,IF(AND($E14=2,NF14=0),1000000,INDEX('計算A'!AF$110:AF$114,$F14+1)+IF(AND($E14=1,NF14=0),1000,0)),1000000))</f>
        <v/>
      </c>
      <c r="WN14">
        <f>IF($B14=0,1000000,IF(INDEX('計算A'!$D$60:$II$104,$B14,30)*DZ14=1,IF(AND($E14=2,NG14=0),1000000,INDEX('計算A'!AG$110:AG$114,$F14+1)+IF(AND($E14=1,NG14=0),1000,0)),1000000))</f>
        <v/>
      </c>
      <c r="WO14">
        <f>IF($B14=0,1000000,IF(INDEX('計算A'!$D$60:$II$104,$B14,31)*EA14=1,IF(AND($E14=2,NH14=0),1000000,INDEX('計算A'!AH$110:AH$114,$F14+1)+IF(AND($E14=1,NH14=0),1000,0)),1000000))</f>
        <v/>
      </c>
      <c r="WP14">
        <f>IF($B14=0,1000000,IF(INDEX('計算A'!$D$60:$II$104,$B14,32)*EB14=1,IF(AND($E14=2,NI14=0),1000000,INDEX('計算A'!AI$110:AI$114,$F14+1)+IF(AND($E14=1,NI14=0),1000,0)),1000000))</f>
        <v/>
      </c>
      <c r="WQ14">
        <f>IF($B14=0,1000000,IF(INDEX('計算A'!$D$60:$II$104,$B14,33)*EC14=1,IF(AND($E14=2,NJ14=0),1000000,INDEX('計算A'!AJ$110:AJ$114,$F14+1)+IF(AND($E14=1,NJ14=0),1000,0)),1000000))</f>
        <v/>
      </c>
      <c r="WR14">
        <f>IF($B14=0,1000000,IF(INDEX('計算A'!$D$60:$II$104,$B14,34)*ED14=1,IF(AND($E14=2,NK14=0),1000000,INDEX('計算A'!AK$110:AK$114,$F14+1)+IF(AND($E14=1,NK14=0),1000,0)),1000000))</f>
        <v/>
      </c>
      <c r="WS14">
        <f>IF($B14=0,1000000,IF(INDEX('計算A'!$D$60:$II$104,$B14,35)*EE14=1,IF(AND($E14=2,NL14=0),1000000,INDEX('計算A'!AL$110:AL$114,$F14+1)+IF(AND($E14=1,NL14=0),1000,0)),1000000))</f>
        <v/>
      </c>
      <c r="WT14">
        <f>IF($B14=0,1000000,IF(INDEX('計算A'!$D$60:$II$104,$B14,36)*EF14=1,IF(AND($E14=2,NM14=0),1000000,INDEX('計算A'!AM$110:AM$114,$F14+1)+IF(AND($E14=1,NM14=0),1000,0)),1000000))</f>
        <v/>
      </c>
      <c r="WU14">
        <f>IF($B14=0,1000000,IF(INDEX('計算A'!$D$60:$II$104,$B14,37)*EG14=1,IF(AND($E14=2,NN14=0),1000000,INDEX('計算A'!AN$110:AN$114,$F14+1)+IF(AND($E14=1,NN14=0),1000,0)),1000000))</f>
        <v/>
      </c>
      <c r="WV14">
        <f>IF($B14=0,1000000,IF(INDEX('計算A'!$D$60:$II$104,$B14,38)*EH14=1,IF(AND($E14=2,NO14=0),1000000,INDEX('計算A'!AO$110:AO$114,$F14+1)+IF(AND($E14=1,NO14=0),1000,0)),1000000))</f>
        <v/>
      </c>
      <c r="WW14">
        <f>IF($B14=0,1000000,IF(INDEX('計算A'!$D$60:$II$104,$B14,39)*EI14=1,IF(AND($E14=2,NP14=0),1000000,INDEX('計算A'!AP$110:AP$114,$F14+1)+IF(AND($E14=1,NP14=0),1000,0)),1000000))</f>
        <v/>
      </c>
      <c r="WX14">
        <f>IF($B14=0,1000000,IF(INDEX('計算A'!$D$60:$II$104,$B14,40)*EJ14=1,IF(AND($E14=2,NQ14=0),1000000,INDEX('計算A'!AQ$110:AQ$114,$F14+1)+IF(AND($E14=1,NQ14=0),1000,0)),1000000))</f>
        <v/>
      </c>
      <c r="WY14">
        <f>IF($B14=0,1000000,IF(INDEX('計算A'!$D$60:$II$104,$B14,41)*EK14=1,IF(AND($E14=2,NR14=0),1000000,INDEX('計算A'!AR$110:AR$114,$F14+1)+IF(AND($E14=1,NR14=0),1000,0)),1000000))</f>
        <v/>
      </c>
      <c r="WZ14">
        <f>IF($B14=0,1000000,IF(INDEX('計算A'!$D$60:$II$104,$B14,42)*EL14=1,IF(AND($E14=2,NS14=0),1000000,INDEX('計算A'!AS$110:AS$114,$F14+1)+IF(AND($E14=1,NS14=0),1000,0)),1000000))</f>
        <v/>
      </c>
      <c r="XA14">
        <f>IF($B14=0,1000000,IF(INDEX('計算A'!$D$60:$II$104,$B14,43)*EM14=1,IF(AND($E14=2,NT14=0),1000000,INDEX('計算A'!AT$110:AT$114,$F14+1)+IF(AND($E14=1,NT14=0),1000,0)),1000000))</f>
        <v/>
      </c>
      <c r="XB14">
        <f>IF($B14=0,1000000,IF(INDEX('計算A'!$D$60:$II$104,$B14,44)*EN14=1,IF(AND($E14=2,NU14=0),1000000,INDEX('計算A'!AU$110:AU$114,$F14+1)+IF(AND($E14=1,NU14=0),1000,0)),1000000))</f>
        <v/>
      </c>
      <c r="XC14">
        <f>IF($B14=0,1000000,IF(INDEX('計算A'!$D$60:$II$104,$B14,45)*EO14=1,IF(AND($E14=2,NV14=0),1000000,INDEX('計算A'!AV$110:AV$114,$F14+1)+IF(AND($E14=1,NV14=0),1000,0)),1000000))</f>
        <v/>
      </c>
      <c r="XD14">
        <f>IF($B14=0,1000000,IF(INDEX('計算A'!$D$60:$II$104,$B14,46)*EP14=1,IF(AND($E14=2,NW14=0),1000000,INDEX('計算A'!AW$110:AW$114,$F14+1)+IF(AND($E14=1,NW14=0),1000,0)),1000000))</f>
        <v/>
      </c>
      <c r="XE14">
        <f>IF($B14=0,1000000,IF(INDEX('計算A'!$D$60:$II$104,$B14,47)*EQ14=1,IF(AND($E14=2,NX14=0),1000000,INDEX('計算A'!AX$110:AX$114,$F14+1)+IF(AND($E14=1,NX14=0),1000,0)),1000000))</f>
        <v/>
      </c>
      <c r="XF14">
        <f>IF($B14=0,1000000,IF(INDEX('計算A'!$D$60:$II$104,$B14,48)*ER14=1,IF(AND($E14=2,NY14=0),1000000,INDEX('計算A'!AY$110:AY$114,$F14+1)+IF(AND($E14=1,NY14=0),1000,0)),1000000))</f>
        <v/>
      </c>
      <c r="XG14">
        <f>IF($B14=0,1000000,IF(INDEX('計算A'!$D$60:$II$104,$B14,49)*ES14=1,IF(AND($E14=2,NZ14=0),1000000,INDEX('計算A'!AZ$110:AZ$114,$F14+1)+IF(AND($E14=1,NZ14=0),1000,0)),1000000))</f>
        <v/>
      </c>
      <c r="XH14">
        <f>IF($B14=0,1000000,IF(INDEX('計算A'!$D$60:$II$104,$B14,50)*ET14=1,IF(AND($E14=2,OA14=0),1000000,INDEX('計算A'!BA$110:BA$114,$F14+1)+IF(AND($E14=1,OA14=0),1000,0)),1000000))</f>
        <v/>
      </c>
      <c r="XI14">
        <f>IF($B14=0,1000000,IF(INDEX('計算A'!$D$60:$II$104,$B14,51)*EU14=1,IF(AND($E14=2,OB14=0),1000000,INDEX('計算A'!BB$110:BB$114,$F14+1)+IF(AND($E14=1,OB14=0),1000,0)),1000000))</f>
        <v/>
      </c>
      <c r="XJ14">
        <f>IF($B14=0,1000000,IF(INDEX('計算A'!$D$60:$II$104,$B14,52)*EV14=1,IF(AND($E14=2,OC14=0),1000000,INDEX('計算A'!BC$110:BC$114,$F14+1)+IF(AND($E14=1,OC14=0),1000,0)),1000000))</f>
        <v/>
      </c>
      <c r="XK14">
        <f>IF($B14=0,1000000,IF(INDEX('計算A'!$D$60:$II$104,$B14,53)*EW14=1,IF(AND($E14=2,OD14=0),1000000,INDEX('計算A'!BD$110:BD$114,$F14+1)+IF(AND($E14=1,OD14=0),1000,0)),1000000))</f>
        <v/>
      </c>
      <c r="XL14">
        <f>IF($B14=0,1000000,IF(INDEX('計算A'!$D$60:$II$104,$B14,54)*EX14=1,IF(AND($E14=2,OE14=0),1000000,INDEX('計算A'!BE$110:BE$114,$F14+1)+IF(AND($E14=1,OE14=0),1000,0)),1000000))</f>
        <v/>
      </c>
      <c r="XM14">
        <f>IF($B14=0,1000000,IF(INDEX('計算A'!$D$60:$II$104,$B14,55)*EY14=1,IF(AND($E14=2,OF14=0),1000000,INDEX('計算A'!BF$110:BF$114,$F14+1)+IF(AND($E14=1,OF14=0),1000,0)),1000000))</f>
        <v/>
      </c>
      <c r="XN14">
        <f>IF($B14=0,1000000,IF(INDEX('計算A'!$D$60:$II$104,$B14,56)*EZ14=1,IF(AND($E14=2,OG14=0),1000000,INDEX('計算A'!BG$110:BG$114,$F14+1)+IF(AND($E14=1,OG14=0),1000,0)),1000000))</f>
        <v/>
      </c>
      <c r="XO14">
        <f>IF($B14=0,1000000,IF(INDEX('計算A'!$D$60:$II$104,$B14,57)*FA14=1,IF(AND($E14=2,OH14=0),1000000,INDEX('計算A'!BH$110:BH$114,$F14+1)+IF(AND($E14=1,OH14=0),1000,0)),1000000))</f>
        <v/>
      </c>
      <c r="XP14">
        <f>IF($B14=0,1000000,IF(INDEX('計算A'!$D$60:$II$104,$B14,58)*FB14=1,IF(AND($E14=2,OI14=0),1000000,INDEX('計算A'!BI$110:BI$114,$F14+1)+IF(AND($E14=1,OI14=0),1000,0)),1000000))</f>
        <v/>
      </c>
      <c r="XQ14">
        <f>IF($B14=0,1000000,IF(INDEX('計算A'!$D$60:$II$104,$B14,59)*FC14=1,IF(AND($E14=2,OJ14=0),1000000,INDEX('計算A'!BJ$110:BJ$114,$F14+1)+IF(AND($E14=1,OJ14=0),1000,0)),1000000))</f>
        <v/>
      </c>
      <c r="XR14">
        <f>IF($B14=0,1000000,IF(INDEX('計算A'!$D$60:$II$104,$B14,60)*FD14=1,IF(AND($E14=2,OK14=0),1000000,INDEX('計算A'!BK$110:BK$114,$F14+1)+IF(AND($E14=1,OK14=0),1000,0)),1000000))</f>
        <v/>
      </c>
      <c r="XS14">
        <f>IF($B14=0,1000000,IF(INDEX('計算A'!$D$60:$II$104,$B14,61)*FE14=1,IF(AND($E14=2,OL14=0),1000000,INDEX('計算A'!BL$110:BL$114,$F14+1)+IF(AND($E14=1,OL14=0),1000,0)),1000000))</f>
        <v/>
      </c>
      <c r="XT14">
        <f>IF($B14=0,1000000,IF(INDEX('計算A'!$D$60:$II$104,$B14,62)*FF14=1,IF(AND($E14=2,OM14=0),1000000,INDEX('計算A'!BM$110:BM$114,$F14+1)+IF(AND($E14=1,OM14=0),1000,0)),1000000))</f>
        <v/>
      </c>
      <c r="XU14">
        <f>IF($B14=0,1000000,IF(INDEX('計算A'!$D$60:$II$104,$B14,63)*FG14=1,IF(AND($E14=2,ON14=0),1000000,INDEX('計算A'!BN$110:BN$114,$F14+1)+IF(AND($E14=1,ON14=0),1000,0)),1000000))</f>
        <v/>
      </c>
      <c r="XV14">
        <f>IF($B14=0,1000000,IF(INDEX('計算A'!$D$60:$II$104,$B14,64)*FH14=1,IF(AND($E14=2,OO14=0),1000000,INDEX('計算A'!BO$110:BO$114,$F14+1)+IF(AND($E14=1,OO14=0),1000,0)),1000000))</f>
        <v/>
      </c>
      <c r="XW14">
        <f>IF($B14=0,1000000,IF(INDEX('計算A'!$D$60:$II$104,$B14,65)*FI14=1,IF(AND($E14=2,OP14=0),1000000,INDEX('計算A'!BP$110:BP$114,$F14+1)+IF(AND($E14=1,OP14=0),1000,0)),1000000))</f>
        <v/>
      </c>
      <c r="XX14">
        <f>IF($B14=0,1000000,IF(INDEX('計算A'!$D$60:$II$104,$B14,66)*FJ14=1,IF(AND($E14=2,OQ14=0),1000000,INDEX('計算A'!BQ$110:BQ$114,$F14+1)+IF(AND($E14=1,OQ14=0),1000,0)),1000000))</f>
        <v/>
      </c>
      <c r="XY14">
        <f>IF($B14=0,1000000,IF(INDEX('計算A'!$D$60:$II$104,$B14,67)*FK14=1,IF(AND($E14=2,OR14=0),1000000,INDEX('計算A'!BR$110:BR$114,$F14+1)+IF(AND($E14=1,OR14=0),1000,0)),1000000))</f>
        <v/>
      </c>
      <c r="XZ14">
        <f>IF($B14=0,1000000,IF(INDEX('計算A'!$D$60:$II$104,$B14,68)*FL14=1,IF(AND($E14=2,OS14=0),1000000,INDEX('計算A'!BS$110:BS$114,$F14+1)+IF(AND($E14=1,OS14=0),1000,0)),1000000))</f>
        <v/>
      </c>
      <c r="YA14">
        <f>IF($B14=0,1000000,IF(INDEX('計算A'!$D$60:$II$104,$B14,69)*FM14=1,IF(AND($E14=2,OT14=0),1000000,INDEX('計算A'!BT$110:BT$114,$F14+1)+IF(AND($E14=1,OT14=0),1000,0)),1000000))</f>
        <v/>
      </c>
      <c r="YB14">
        <f>IF($B14=0,1000000,IF(INDEX('計算A'!$D$60:$II$104,$B14,70)*FN14=1,IF(AND($E14=2,OU14=0),1000000,INDEX('計算A'!BU$110:BU$114,$F14+1)+IF(AND($E14=1,OU14=0),1000,0)),1000000))</f>
        <v/>
      </c>
      <c r="YC14">
        <f>IF($B14=0,1000000,IF(INDEX('計算A'!$D$60:$II$104,$B14,71)*FO14=1,IF(AND($E14=2,OV14=0),1000000,INDEX('計算A'!BV$110:BV$114,$F14+1)+IF(AND($E14=1,OV14=0),1000,0)),1000000))</f>
        <v/>
      </c>
      <c r="YD14">
        <f>IF($B14=0,1000000,IF(INDEX('計算A'!$D$60:$II$104,$B14,72)*FP14=1,IF(AND($E14=2,OW14=0),1000000,INDEX('計算A'!BW$110:BW$114,$F14+1)+IF(AND($E14=1,OW14=0),1000,0)),1000000))</f>
        <v/>
      </c>
      <c r="YE14">
        <f>IF($B14=0,1000000,IF(INDEX('計算A'!$D$60:$II$104,$B14,73)*FQ14=1,IF(AND($E14=2,OX14=0),1000000,INDEX('計算A'!BX$110:BX$114,$F14+1)+IF(AND($E14=1,OX14=0),1000,0)),1000000))</f>
        <v/>
      </c>
      <c r="YF14">
        <f>IF($B14=0,1000000,IF(INDEX('計算A'!$D$60:$II$104,$B14,74)*FR14=1,IF(AND($E14=2,OY14=0),1000000,INDEX('計算A'!BY$110:BY$114,$F14+1)+IF(AND($E14=1,OY14=0),1000,0)),1000000))</f>
        <v/>
      </c>
      <c r="YG14">
        <f>IF($B14=0,1000000,IF(INDEX('計算A'!$D$60:$II$104,$B14,75)*FS14=1,IF(AND($E14=2,OZ14=0),1000000,INDEX('計算A'!BZ$110:BZ$114,$F14+1)+IF(AND($E14=1,OZ14=0),1000,0)),1000000))</f>
        <v/>
      </c>
      <c r="YH14">
        <f>IF($B14=0,1000000,IF(INDEX('計算A'!$D$60:$II$104,$B14,76)*FT14=1,IF(AND($E14=2,PA14=0),1000000,INDEX('計算A'!CA$110:CA$114,$F14+1)+IF(AND($E14=1,PA14=0),1000,0)),1000000))</f>
        <v/>
      </c>
      <c r="YI14">
        <f>IF($B14=0,1000000,IF(INDEX('計算A'!$D$60:$II$104,$B14,77)*FU14=1,IF(AND($E14=2,PB14=0),1000000,INDEX('計算A'!CB$110:CB$114,$F14+1)+IF(AND($E14=1,PB14=0),1000,0)),1000000))</f>
        <v/>
      </c>
      <c r="YJ14">
        <f>IF($B14=0,1000000,IF(INDEX('計算A'!$D$60:$II$104,$B14,78)*FV14=1,IF(AND($E14=2,PC14=0),1000000,INDEX('計算A'!CC$110:CC$114,$F14+1)+IF(AND($E14=1,PC14=0),1000,0)),1000000))</f>
        <v/>
      </c>
      <c r="YK14">
        <f>IF($B14=0,1000000,IF(INDEX('計算A'!$D$60:$II$104,$B14,79)*FW14=1,IF(AND($E14=2,PD14=0),1000000,INDEX('計算A'!CD$110:CD$114,$F14+1)+IF(AND($E14=1,PD14=0),1000,0)),1000000))</f>
        <v/>
      </c>
      <c r="YL14">
        <f>IF($B14=0,1000000,IF(INDEX('計算A'!$D$60:$II$104,$B14,80)*FX14=1,IF(AND($E14=2,PE14=0),1000000,INDEX('計算A'!CE$110:CE$114,$F14+1)+IF(AND($E14=1,PE14=0),1000,0)),1000000))</f>
        <v/>
      </c>
      <c r="YM14">
        <f>IF($B14=0,1000000,IF(INDEX('計算A'!$D$60:$II$104,$B14,81)*FY14=1,IF(AND($E14=2,PF14=0),1000000,INDEX('計算A'!CF$110:CF$114,$F14+1)+IF(AND($E14=1,PF14=0),1000,0)),1000000))</f>
        <v/>
      </c>
      <c r="YN14">
        <f>IF($B14=0,1000000,IF(INDEX('計算A'!$D$60:$II$104,$B14,82)*FZ14=1,IF(AND($E14=2,PG14=0),1000000,INDEX('計算A'!CG$110:CG$114,$F14+1)+IF(AND($E14=1,PG14=0),1000,0)),1000000))</f>
        <v/>
      </c>
      <c r="YO14">
        <f>IF($B14=0,1000000,IF(INDEX('計算A'!$D$60:$II$104,$B14,83)*GA14=1,IF(AND($E14=2,PH14=0),1000000,INDEX('計算A'!CH$110:CH$114,$F14+1)+IF(AND($E14=1,PH14=0),1000,0)),1000000))</f>
        <v/>
      </c>
      <c r="YP14">
        <f>IF($B14=0,1000000,IF(INDEX('計算A'!$D$60:$II$104,$B14,84)*GB14=1,IF(AND($E14=2,PI14=0),1000000,INDEX('計算A'!CI$110:CI$114,$F14+1)+IF(AND($E14=1,PI14=0),1000,0)),1000000))</f>
        <v/>
      </c>
      <c r="YQ14">
        <f>IF($B14=0,1000000,IF(INDEX('計算A'!$D$60:$II$104,$B14,85)*GC14=1,IF(AND($E14=2,PJ14=0),1000000,INDEX('計算A'!CJ$110:CJ$114,$F14+1)+IF(AND($E14=1,PJ14=0),1000,0)),1000000))</f>
        <v/>
      </c>
      <c r="YR14">
        <f>IF($B14=0,1000000,IF(INDEX('計算A'!$D$60:$II$104,$B14,86)*GD14=1,IF(AND($E14=2,PK14=0),1000000,INDEX('計算A'!CK$110:CK$114,$F14+1)+IF(AND($E14=1,PK14=0),1000,0)),1000000))</f>
        <v/>
      </c>
      <c r="YS14">
        <f>IF($B14=0,1000000,IF(INDEX('計算A'!$D$60:$II$104,$B14,87)*GE14=1,IF(AND($E14=2,PL14=0),1000000,INDEX('計算A'!CL$110:CL$114,$F14+1)+IF(AND($E14=1,PL14=0),1000,0)),1000000))</f>
        <v/>
      </c>
      <c r="YT14">
        <f>IF($B14=0,1000000,IF(INDEX('計算A'!$D$60:$II$104,$B14,88)*GF14=1,IF(AND($E14=2,PM14=0),1000000,INDEX('計算A'!CM$110:CM$114,$F14+1)+IF(AND($E14=1,PM14=0),1000,0)),1000000))</f>
        <v/>
      </c>
      <c r="YU14">
        <f>IF($B14=0,1000000,IF(INDEX('計算A'!$D$60:$II$104,$B14,89)*GG14=1,IF(AND($E14=2,PN14=0),1000000,INDEX('計算A'!CN$110:CN$114,$F14+1)+IF(AND($E14=1,PN14=0),1000,0)),1000000))</f>
        <v/>
      </c>
      <c r="YV14">
        <f>IF($B14=0,1000000,IF(INDEX('計算A'!$D$60:$II$104,$B14,90)*GH14=1,IF(AND($E14=2,PO14=0),1000000,INDEX('計算A'!CO$110:CO$114,$F14+1)+IF(AND($E14=1,PO14=0),1000,0)),1000000))</f>
        <v/>
      </c>
      <c r="YW14">
        <f>IF($B14=0,1000000,IF(INDEX('計算A'!$D$60:$II$104,$B14,91)*GI14=1,IF(AND($E14=2,PP14=0),1000000,INDEX('計算A'!CP$110:CP$114,$F14+1)+IF(AND($E14=1,PP14=0),1000,0)),1000000))</f>
        <v/>
      </c>
      <c r="YX14">
        <f>IF($B14=0,1000000,IF(INDEX('計算A'!$D$60:$II$104,$B14,92)*GJ14=1,IF(AND($E14=2,PQ14=0),1000000,INDEX('計算A'!CQ$110:CQ$114,$F14+1)+IF(AND($E14=1,PQ14=0),1000,0)),1000000))</f>
        <v/>
      </c>
      <c r="YY14">
        <f>IF($B14=0,1000000,IF(INDEX('計算A'!$D$60:$II$104,$B14,93)*GK14=1,IF(AND($E14=2,PR14=0),1000000,INDEX('計算A'!CR$110:CR$114,$F14+1)+IF(AND($E14=1,PR14=0),1000,0)),1000000))</f>
        <v/>
      </c>
      <c r="YZ14">
        <f>IF($B14=0,1000000,IF(INDEX('計算A'!$D$60:$II$104,$B14,94)*GL14=1,IF(AND($E14=2,PS14=0),1000000,INDEX('計算A'!CS$110:CS$114,$F14+1)+IF(AND($E14=1,PS14=0),1000,0)),1000000))</f>
        <v/>
      </c>
      <c r="ZA14">
        <f>IF($B14=0,1000000,IF(INDEX('計算A'!$D$60:$II$104,$B14,95)*GM14=1,IF(AND($E14=2,PT14=0),1000000,INDEX('計算A'!CT$110:CT$114,$F14+1)+IF(AND($E14=1,PT14=0),1000,0)),1000000))</f>
        <v/>
      </c>
      <c r="ZB14">
        <f>IF($B14=0,1000000,IF(INDEX('計算A'!$D$60:$II$104,$B14,96)*GN14=1,IF(AND($E14=2,PU14=0),1000000,INDEX('計算A'!CU$110:CU$114,$F14+1)+IF(AND($E14=1,PU14=0),1000,0)),1000000))</f>
        <v/>
      </c>
      <c r="ZC14">
        <f>IF($B14=0,1000000,IF(INDEX('計算A'!$D$60:$II$104,$B14,97)*GO14=1,IF(AND($E14=2,PV14=0),1000000,INDEX('計算A'!CV$110:CV$114,$F14+1)+IF(AND($E14=1,PV14=0),1000,0)),1000000))</f>
        <v/>
      </c>
      <c r="ZD14">
        <f>IF($B14=0,1000000,IF(INDEX('計算A'!$D$60:$II$104,$B14,98)*GP14=1,IF(AND($E14=2,PW14=0),1000000,INDEX('計算A'!CW$110:CW$114,$F14+1)+IF(AND($E14=1,PW14=0),1000,0)),1000000))</f>
        <v/>
      </c>
      <c r="ZE14">
        <f>IF($B14=0,1000000,IF(INDEX('計算A'!$D$60:$II$104,$B14,99)*GQ14=1,IF(AND($E14=2,PX14=0),1000000,INDEX('計算A'!CX$110:CX$114,$F14+1)+IF(AND($E14=1,PX14=0),1000,0)),1000000))</f>
        <v/>
      </c>
      <c r="ZF14">
        <f>IF($B14=0,1000000,IF(INDEX('計算A'!$D$60:$II$104,$B14,100)*GR14=1,IF(AND($E14=2,PY14=0),1000000,INDEX('計算A'!CY$110:CY$114,$F14+1)+IF(AND($E14=1,PY14=0),1000,0)),1000000))</f>
        <v/>
      </c>
      <c r="ZG14">
        <f>IF($B14=0,1000000,IF(INDEX('計算A'!$D$60:$II$104,$B14,101)*GS14=1,IF(AND($E14=2,PZ14=0),1000000,INDEX('計算A'!CZ$110:CZ$114,$F14+1)+IF(AND($E14=1,PZ14=0),1000,0)),1000000))</f>
        <v/>
      </c>
      <c r="ZH14">
        <f>IF($B14=0,1000000,IF(INDEX('計算A'!$D$60:$II$104,$B14,102)*GT14=1,IF(AND($E14=2,QA14=0),1000000,INDEX('計算A'!DA$110:DA$114,$F14+1)+IF(AND($E14=1,QA14=0),1000,0)),1000000))</f>
        <v/>
      </c>
      <c r="ZI14">
        <f>IF($B14=0,1000000,IF(INDEX('計算A'!$D$60:$II$104,$B14,103)*GU14=1,IF(AND($E14=2,QB14=0),1000000,INDEX('計算A'!DB$110:DB$114,$F14+1)+IF(AND($E14=1,QB14=0),1000,0)),1000000))</f>
        <v/>
      </c>
      <c r="ZJ14">
        <f>IF($B14=0,1000000,IF(INDEX('計算A'!$D$60:$II$104,$B14,104)*GV14=1,IF(AND($E14=2,QC14=0),1000000,INDEX('計算A'!DC$110:DC$114,$F14+1)+IF(AND($E14=1,QC14=0),1000,0)),1000000))</f>
        <v/>
      </c>
      <c r="ZK14">
        <f>IF($B14=0,1000000,IF(INDEX('計算A'!$D$60:$II$104,$B14,105)*GW14=1,IF(AND($E14=2,QD14=0),1000000,INDEX('計算A'!DD$110:DD$114,$F14+1)+IF(AND($E14=1,QD14=0),1000,0)),1000000))</f>
        <v/>
      </c>
      <c r="ZL14">
        <f>IF($B14=0,1000000,IF(INDEX('計算A'!$D$60:$II$104,$B14,106)*GX14=1,IF(AND($E14=2,QE14=0),1000000,INDEX('計算A'!DE$110:DE$114,$F14+1)+IF(AND($E14=1,QE14=0),1000,0)),1000000))</f>
        <v/>
      </c>
      <c r="ZM14">
        <f>IF($B14=0,1000000,IF(INDEX('計算A'!$D$60:$II$104,$B14,107)*GY14=1,IF(AND($E14=2,QF14=0),1000000,INDEX('計算A'!DF$110:DF$114,$F14+1)+IF(AND($E14=1,QF14=0),1000,0)),1000000))</f>
        <v/>
      </c>
      <c r="ZN14">
        <f>IF($B14=0,1000000,IF(INDEX('計算A'!$D$60:$II$104,$B14,108)*GZ14=1,IF(AND($E14=2,QG14=0),1000000,INDEX('計算A'!DG$110:DG$114,$F14+1)+IF(AND($E14=1,QG14=0),1000,0)),1000000))</f>
        <v/>
      </c>
      <c r="ZO14">
        <f>IF($B14=0,1000000,IF(INDEX('計算A'!$D$60:$II$104,$B14,109)*HA14=1,IF(AND($E14=2,QH14=0),1000000,INDEX('計算A'!DH$110:DH$114,$F14+1)+IF(AND($E14=1,QH14=0),1000,0)),1000000))</f>
        <v/>
      </c>
      <c r="ZP14">
        <f>IF($B14=0,1000000,IF(INDEX('計算A'!$D$60:$II$104,$B14,110)*HB14=1,IF(AND($E14=2,QI14=0),1000000,INDEX('計算A'!DI$110:DI$114,$F14+1)+IF(AND($E14=1,QI14=0),1000,0)),1000000))</f>
        <v/>
      </c>
      <c r="ZQ14">
        <f>IF($B14=0,1000000,IF(INDEX('計算A'!$D$60:$II$104,$B14,111)*HC14=1,IF(AND($E14=2,QJ14=0),1000000,INDEX('計算A'!DJ$110:DJ$114,$F14+1)+IF(AND($E14=1,QJ14=0),1000,0)),1000000))</f>
        <v/>
      </c>
      <c r="ZR14">
        <f>IF($B14=0,1000000,IF(INDEX('計算A'!$D$60:$II$104,$B14,112)*HD14=1,IF(AND($E14=2,QK14=0),1000000,INDEX('計算A'!DK$110:DK$114,$F14+1)+IF(AND($E14=1,QK14=0),1000,0)),1000000))</f>
        <v/>
      </c>
      <c r="ZS14">
        <f>IF($B14=0,1000000,IF(INDEX('計算A'!$D$60:$II$104,$B14,113)*HE14=1,IF(AND($E14=2,QL14=0),1000000,INDEX('計算A'!DL$110:DL$114,$F14+1)+IF(AND($E14=1,QL14=0),1000,0)),1000000))</f>
        <v/>
      </c>
      <c r="ZT14">
        <f>IF($B14=0,1000000,IF(INDEX('計算A'!$D$60:$II$104,$B14,114)*HF14=1,IF(AND($E14=2,QM14=0),1000000,INDEX('計算A'!DM$110:DM$114,$F14+1)+IF(AND($E14=1,QM14=0),1000,0)),1000000))</f>
        <v/>
      </c>
      <c r="ZU14">
        <f>IF($B14=0,1000000,IF(INDEX('計算A'!$D$60:$II$104,$B14,115)*HG14=1,IF(AND($E14=2,QN14=0),1000000,INDEX('計算A'!DN$110:DN$114,$F14+1)+IF(AND($E14=1,QN14=0),1000,0)),1000000))</f>
        <v/>
      </c>
      <c r="ZV14">
        <f>IF($B14=0,1000000,IF(INDEX('計算A'!$D$60:$II$104,$B14,116)*HH14=1,IF(AND($E14=2,QO14=0),1000000,INDEX('計算A'!DO$110:DO$114,$F14+1)+IF(AND($E14=1,QO14=0),1000,0)),1000000))</f>
        <v/>
      </c>
      <c r="ZW14">
        <f>IF($B14=0,1000000,IF(INDEX('計算A'!$D$60:$II$104,$B14,117)*HI14=1,IF(AND($E14=2,QP14=0),1000000,INDEX('計算A'!DP$110:DP$114,$F14+1)+IF(AND($E14=1,QP14=0),1000,0)),1000000))</f>
        <v/>
      </c>
      <c r="ZX14">
        <f>IF($B14=0,1000000,IF(INDEX('計算A'!$D$60:$II$104,$B14,118)*HJ14=1,IF(AND($E14=2,QQ14=0),1000000,INDEX('計算A'!DQ$110:DQ$114,$F14+1)+IF(AND($E14=1,QQ14=0),1000,0)),1000000))</f>
        <v/>
      </c>
      <c r="ZY14">
        <f>IF($B14=0,1000000,IF(INDEX('計算A'!$D$60:$II$104,$B14,119)*HK14=1,IF(AND($E14=2,QR14=0),1000000,INDEX('計算A'!DR$110:DR$114,$F14+1)+IF(AND($E14=1,QR14=0),1000,0)),1000000))</f>
        <v/>
      </c>
      <c r="ZZ14">
        <f>IF($B14=0,1000000,IF(INDEX('計算A'!$D$60:$II$104,$B14,120)*HL14=1,IF(AND($E14=2,QS14=0),1000000,INDEX('計算A'!DS$110:DS$114,$F14+1)+IF(AND($E14=1,QS14=0),1000,0)),1000000))</f>
        <v/>
      </c>
      <c r="AAA14">
        <f>IF($B14=0,1000000,IF(INDEX('計算A'!$D$60:$II$104,$B14,121)*HM14=1,IF(AND($E14=2,QT14=0),1000000,INDEX('計算A'!DT$110:DT$114,$F14+1)+IF(AND($E14=1,QT14=0),1000,0)),1000000))</f>
        <v/>
      </c>
      <c r="AAB14">
        <f>IF($B14=0,1000000,IF(INDEX('計算A'!$D$60:$II$104,$B14,122)*HN14=1,IF(AND($E14=2,QU14=0),1000000,INDEX('計算A'!DU$110:DU$114,$F14+1)+IF(AND($E14=1,QU14=0),1000,0)),1000000))</f>
        <v/>
      </c>
      <c r="AAC14">
        <f>IF($B14=0,1000000,IF(INDEX('計算A'!$D$60:$II$104,$B14,123)*HO14=1,IF(AND($E14=2,QV14=0),1000000,INDEX('計算A'!DV$110:DV$114,$F14+1)+IF(AND($E14=1,QV14=0),1000,0)),1000000))</f>
        <v/>
      </c>
      <c r="AAD14">
        <f>IF($B14=0,1000000,IF(INDEX('計算A'!$D$60:$II$104,$B14,124)*HP14=1,IF(AND($E14=2,QW14=0),1000000,INDEX('計算A'!DW$110:DW$114,$F14+1)+IF(AND($E14=1,QW14=0),1000,0)),1000000))</f>
        <v/>
      </c>
      <c r="AAE14">
        <f>IF($B14=0,1000000,IF(INDEX('計算A'!$D$60:$II$104,$B14,125)*HQ14=1,IF(AND($E14=2,QX14=0),1000000,INDEX('計算A'!DX$110:DX$114,$F14+1)+IF(AND($E14=1,QX14=0),1000,0)),1000000))</f>
        <v/>
      </c>
      <c r="AAF14">
        <f>IF($B14=0,1000000,IF(INDEX('計算A'!$D$60:$II$104,$B14,126)*HR14=1,IF(AND($E14=2,QY14=0),1000000,INDEX('計算A'!DY$110:DY$114,$F14+1)+IF(AND($E14=1,QY14=0),1000,0)),1000000))</f>
        <v/>
      </c>
      <c r="AAG14">
        <f>IF($B14=0,1000000,IF(INDEX('計算A'!$D$60:$II$104,$B14,127)*HS14=1,IF(AND($E14=2,QZ14=0),1000000,INDEX('計算A'!DZ$110:DZ$114,$F14+1)+IF(AND($E14=1,QZ14=0),1000,0)),1000000))</f>
        <v/>
      </c>
      <c r="AAH14">
        <f>IF($B14=0,1000000,IF(INDEX('計算A'!$D$60:$II$104,$B14,128)*HT14=1,IF(AND($E14=2,RA14=0),1000000,INDEX('計算A'!EA$110:EA$114,$F14+1)+IF(AND($E14=1,RA14=0),1000,0)),1000000))</f>
        <v/>
      </c>
      <c r="AAI14">
        <f>IF($B14=0,1000000,IF(INDEX('計算A'!$D$60:$II$104,$B14,129)*HU14=1,IF(AND($E14=2,RB14=0),1000000,INDEX('計算A'!EB$110:EB$114,$F14+1)+IF(AND($E14=1,RB14=0),1000,0)),1000000))</f>
        <v/>
      </c>
      <c r="AAJ14">
        <f>IF($B14=0,1000000,IF(INDEX('計算A'!$D$60:$II$104,$B14,130)*HV14=1,IF(AND($E14=2,RC14=0),1000000,INDEX('計算A'!EC$110:EC$114,$F14+1)+IF(AND($E14=1,RC14=0),1000,0)),1000000))</f>
        <v/>
      </c>
      <c r="AAK14">
        <f>IF($B14=0,1000000,IF(INDEX('計算A'!$D$60:$II$104,$B14,131)*HW14=1,IF(AND($E14=2,RD14=0),1000000,INDEX('計算A'!ED$110:ED$114,$F14+1)+IF(AND($E14=1,RD14=0),1000,0)),1000000))</f>
        <v/>
      </c>
      <c r="AAL14">
        <f>IF($B14=0,1000000,IF(INDEX('計算A'!$D$60:$II$104,$B14,132)*HX14=1,IF(AND($E14=2,RE14=0),1000000,INDEX('計算A'!EE$110:EE$114,$F14+1)+IF(AND($E14=1,RE14=0),1000,0)),1000000))</f>
        <v/>
      </c>
      <c r="AAM14">
        <f>IF($B14=0,1000000,IF(INDEX('計算A'!$D$60:$II$104,$B14,133)*HY14=1,IF(AND($E14=2,RF14=0),1000000,INDEX('計算A'!EF$110:EF$114,$F14+1)+IF(AND($E14=1,RF14=0),1000,0)),1000000))</f>
        <v/>
      </c>
      <c r="AAN14">
        <f>IF($B14=0,1000000,IF(INDEX('計算A'!$D$60:$II$104,$B14,134)*HZ14=1,IF(AND($E14=2,RG14=0),1000000,INDEX('計算A'!EG$110:EG$114,$F14+1)+IF(AND($E14=1,RG14=0),1000,0)),1000000))</f>
        <v/>
      </c>
      <c r="AAO14">
        <f>IF($B14=0,1000000,IF(INDEX('計算A'!$D$60:$II$104,$B14,135)*IA14=1,IF(AND($E14=2,RH14=0),1000000,INDEX('計算A'!EH$110:EH$114,$F14+1)+IF(AND($E14=1,RH14=0),1000,0)),1000000))</f>
        <v/>
      </c>
      <c r="AAP14">
        <f>IF($B14=0,1000000,IF(INDEX('計算A'!$D$60:$II$104,$B14,136)*IB14=1,IF(AND($E14=2,RI14=0),1000000,INDEX('計算A'!EI$110:EI$114,$F14+1)+IF(AND($E14=1,RI14=0),1000,0)),1000000))</f>
        <v/>
      </c>
      <c r="AAQ14">
        <f>IF($B14=0,1000000,IF(INDEX('計算A'!$D$60:$II$104,$B14,137)*IC14=1,IF(AND($E14=2,RJ14=0),1000000,INDEX('計算A'!EJ$110:EJ$114,$F14+1)+IF(AND($E14=1,RJ14=0),1000,0)),1000000))</f>
        <v/>
      </c>
      <c r="AAR14">
        <f>IF($B14=0,1000000,IF(INDEX('計算A'!$D$60:$II$104,$B14,138)*ID14=1,IF(AND($E14=2,RK14=0),1000000,INDEX('計算A'!EK$110:EK$114,$F14+1)+IF(AND($E14=1,RK14=0),1000,0)),1000000))</f>
        <v/>
      </c>
      <c r="AAS14">
        <f>IF($B14=0,1000000,IF(INDEX('計算A'!$D$60:$II$104,$B14,139)*IE14=1,IF(AND($E14=2,RL14=0),1000000,INDEX('計算A'!EL$110:EL$114,$F14+1)+IF(AND($E14=1,RL14=0),1000,0)),1000000))</f>
        <v/>
      </c>
      <c r="AAT14">
        <f>IF($B14=0,1000000,IF(INDEX('計算A'!$D$60:$II$104,$B14,140)*IF14=1,IF(AND($E14=2,RM14=0),1000000,INDEX('計算A'!EM$110:EM$114,$F14+1)+IF(AND($E14=1,RM14=0),1000,0)),1000000))</f>
        <v/>
      </c>
      <c r="AAU14">
        <f>IF($B14=0,1000000,IF(INDEX('計算A'!$D$60:$II$104,$B14,141)*IG14=1,IF(AND($E14=2,RN14=0),1000000,INDEX('計算A'!EN$110:EN$114,$F14+1)+IF(AND($E14=1,RN14=0),1000,0)),1000000))</f>
        <v/>
      </c>
      <c r="AAV14">
        <f>IF($B14=0,1000000,IF(INDEX('計算A'!$D$60:$II$104,$B14,142)*IH14=1,IF(AND($E14=2,RO14=0),1000000,INDEX('計算A'!EO$110:EO$114,$F14+1)+IF(AND($E14=1,RO14=0),1000,0)),1000000))</f>
        <v/>
      </c>
      <c r="AAW14">
        <f>IF($B14=0,1000000,IF(INDEX('計算A'!$D$60:$II$104,$B14,143)*II14=1,IF(AND($E14=2,RP14=0),1000000,INDEX('計算A'!EP$110:EP$114,$F14+1)+IF(AND($E14=1,RP14=0),1000,0)),1000000))</f>
        <v/>
      </c>
      <c r="AAX14">
        <f>IF($B14=0,1000000,IF(INDEX('計算A'!$D$60:$II$104,$B14,144)*IJ14=1,IF(AND($E14=2,RQ14=0),1000000,INDEX('計算A'!EQ$110:EQ$114,$F14+1)+IF(AND($E14=1,RQ14=0),1000,0)),1000000))</f>
        <v/>
      </c>
      <c r="AAY14">
        <f>IF($B14=0,1000000,IF(INDEX('計算A'!$D$60:$II$104,$B14,145)*IK14=1,IF(AND($E14=2,RR14=0),1000000,INDEX('計算A'!ER$110:ER$114,$F14+1)+IF(AND($E14=1,RR14=0),1000,0)),1000000))</f>
        <v/>
      </c>
      <c r="AAZ14">
        <f>IF($B14=0,1000000,IF(INDEX('計算A'!$D$60:$II$104,$B14,146)*IL14=1,IF(AND($E14=2,RS14=0),1000000,INDEX('計算A'!ES$110:ES$114,$F14+1)+IF(AND($E14=1,RS14=0),1000,0)),1000000))</f>
        <v/>
      </c>
      <c r="ABA14">
        <f>IF($B14=0,1000000,IF(INDEX('計算A'!$D$60:$II$104,$B14,147)*IM14=1,IF(AND($E14=2,RT14=0),1000000,INDEX('計算A'!ET$110:ET$114,$F14+1)+IF(AND($E14=1,RT14=0),1000,0)),1000000))</f>
        <v/>
      </c>
      <c r="ABB14">
        <f>IF($B14=0,1000000,IF(INDEX('計算A'!$D$60:$II$104,$B14,148)*IN14=1,IF(AND($E14=2,RU14=0),1000000,INDEX('計算A'!EU$110:EU$114,$F14+1)+IF(AND($E14=1,RU14=0),1000,0)),1000000))</f>
        <v/>
      </c>
      <c r="ABC14">
        <f>IF($B14=0,1000000,IF(INDEX('計算A'!$D$60:$II$104,$B14,149)*IO14=1,IF(AND($E14=2,RV14=0),1000000,INDEX('計算A'!EV$110:EV$114,$F14+1)+IF(AND($E14=1,RV14=0),1000,0)),1000000))</f>
        <v/>
      </c>
      <c r="ABD14">
        <f>IF($B14=0,1000000,IF(INDEX('計算A'!$D$60:$II$104,$B14,150)*IP14=1,IF(AND($E14=2,RW14=0),1000000,INDEX('計算A'!EW$110:EW$114,$F14+1)+IF(AND($E14=1,RW14=0),1000,0)),1000000))</f>
        <v/>
      </c>
      <c r="ABE14">
        <f>IF($B14=0,1000000,IF(INDEX('計算A'!$D$60:$II$104,$B14,151)*IQ14=1,IF(AND($E14=2,RX14=0),1000000,INDEX('計算A'!EX$110:EX$114,$F14+1)+IF(AND($E14=1,RX14=0),1000,0)),1000000))</f>
        <v/>
      </c>
      <c r="ABF14">
        <f>IF($B14=0,1000000,IF(INDEX('計算A'!$D$60:$II$104,$B14,152)*IR14=1,IF(AND($E14=2,RY14=0),1000000,INDEX('計算A'!EY$110:EY$114,$F14+1)+IF(AND($E14=1,RY14=0),1000,0)),1000000))</f>
        <v/>
      </c>
      <c r="ABG14">
        <f>IF($B14=0,1000000,IF(INDEX('計算A'!$D$60:$II$104,$B14,153)*IS14=1,IF(AND($E14=2,RZ14=0),1000000,INDEX('計算A'!EZ$110:EZ$114,$F14+1)+IF(AND($E14=1,RZ14=0),1000,0)),1000000))</f>
        <v/>
      </c>
      <c r="ABH14">
        <f>IF($B14=0,1000000,IF(INDEX('計算A'!$D$60:$II$104,$B14,154)*IT14=1,IF(AND($E14=2,SA14=0),1000000,INDEX('計算A'!FA$110:FA$114,$F14+1)+IF(AND($E14=1,SA14=0),1000,0)),1000000))</f>
        <v/>
      </c>
      <c r="ABI14">
        <f>IF($B14=0,1000000,IF(INDEX('計算A'!$D$60:$II$104,$B14,155)*IU14=1,IF(AND($E14=2,SB14=0),1000000,INDEX('計算A'!FB$110:FB$114,$F14+1)+IF(AND($E14=1,SB14=0),1000,0)),1000000))</f>
        <v/>
      </c>
      <c r="ABJ14">
        <f>IF($B14=0,1000000,IF(INDEX('計算A'!$D$60:$II$104,$B14,156)*IV14=1,IF(AND($E14=2,SC14=0),1000000,INDEX('計算A'!FC$110:FC$114,$F14+1)+IF(AND($E14=1,SC14=0),1000,0)),1000000))</f>
        <v/>
      </c>
      <c r="ABK14">
        <f>IF($B14=0,1000000,IF(INDEX('計算A'!$D$60:$II$104,$B14,157)*IW14=1,IF(AND($E14=2,SD14=0),1000000,INDEX('計算A'!FD$110:FD$114,$F14+1)+IF(AND($E14=1,SD14=0),1000,0)),1000000))</f>
        <v/>
      </c>
      <c r="ABL14">
        <f>IF($B14=0,1000000,IF(INDEX('計算A'!$D$60:$II$104,$B14,158)*IX14=1,IF(AND($E14=2,SE14=0),1000000,INDEX('計算A'!FE$110:FE$114,$F14+1)+IF(AND($E14=1,SE14=0),1000,0)),1000000))</f>
        <v/>
      </c>
      <c r="ABM14">
        <f>IF($B14=0,1000000,IF(INDEX('計算A'!$D$60:$II$104,$B14,159)*IY14=1,IF(AND($E14=2,SF14=0),1000000,INDEX('計算A'!FF$110:FF$114,$F14+1)+IF(AND($E14=1,SF14=0),1000,0)),1000000))</f>
        <v/>
      </c>
      <c r="ABN14">
        <f>IF($B14=0,1000000,IF(INDEX('計算A'!$D$60:$II$104,$B14,160)*IZ14=1,IF(AND($E14=2,SG14=0),1000000,INDEX('計算A'!FG$110:FG$114,$F14+1)+IF(AND($E14=1,SG14=0),1000,0)),1000000))</f>
        <v/>
      </c>
      <c r="ABO14">
        <f>IF($B14=0,1000000,IF(INDEX('計算A'!$D$60:$II$104,$B14,161)*JA14=1,IF(AND($E14=2,SH14=0),1000000,INDEX('計算A'!FH$110:FH$114,$F14+1)+IF(AND($E14=1,SH14=0),1000,0)),1000000))</f>
        <v/>
      </c>
      <c r="ABP14">
        <f>IF($B14=0,1000000,IF(INDEX('計算A'!$D$60:$II$104,$B14,162)*JB14=1,IF(AND($E14=2,SI14=0),1000000,INDEX('計算A'!FI$110:FI$114,$F14+1)+IF(AND($E14=1,SI14=0),1000,0)),1000000))</f>
        <v/>
      </c>
      <c r="ABQ14">
        <f>IF($B14=0,1000000,IF(INDEX('計算A'!$D$60:$II$104,$B14,163)*JC14=1,IF(AND($E14=2,SJ14=0),1000000,INDEX('計算A'!FJ$110:FJ$114,$F14+1)+IF(AND($E14=1,SJ14=0),1000,0)),1000000))</f>
        <v/>
      </c>
      <c r="ABR14">
        <f>IF($B14=0,1000000,IF(INDEX('計算A'!$D$60:$II$104,$B14,164)*JD14=1,IF(AND($E14=2,SK14=0),1000000,INDEX('計算A'!FK$110:FK$114,$F14+1)+IF(AND($E14=1,SK14=0),1000,0)),1000000))</f>
        <v/>
      </c>
      <c r="ABS14">
        <f>IF($B14=0,1000000,IF(INDEX('計算A'!$D$60:$II$104,$B14,165)*JE14=1,IF(AND($E14=2,SL14=0),1000000,INDEX('計算A'!FL$110:FL$114,$F14+1)+IF(AND($E14=1,SL14=0),1000,0)),1000000))</f>
        <v/>
      </c>
      <c r="ABT14">
        <f>IF($B14=0,1000000,IF(INDEX('計算A'!$D$60:$II$104,$B14,166)*JF14=1,IF(AND($E14=2,SM14=0),1000000,INDEX('計算A'!FM$110:FM$114,$F14+1)+IF(AND($E14=1,SM14=0),1000,0)),1000000))</f>
        <v/>
      </c>
      <c r="ABU14">
        <f>IF($B14=0,1000000,IF(INDEX('計算A'!$D$60:$II$104,$B14,167)*JG14=1,IF(AND($E14=2,SN14=0),1000000,INDEX('計算A'!FN$110:FN$114,$F14+1)+IF(AND($E14=1,SN14=0),1000,0)),1000000))</f>
        <v/>
      </c>
      <c r="ABV14">
        <f>IF($B14=0,1000000,IF(INDEX('計算A'!$D$60:$II$104,$B14,168)*JH14=1,IF(AND($E14=2,SO14=0),1000000,INDEX('計算A'!FO$110:FO$114,$F14+1)+IF(AND($E14=1,SO14=0),1000,0)),1000000))</f>
        <v/>
      </c>
      <c r="ABW14">
        <f>IF($B14=0,1000000,IF(INDEX('計算A'!$D$60:$II$104,$B14,169)*JI14=1,IF(AND($E14=2,SP14=0),1000000,INDEX('計算A'!FP$110:FP$114,$F14+1)+IF(AND($E14=1,SP14=0),1000,0)),1000000))</f>
        <v/>
      </c>
      <c r="ABX14">
        <f>IF($B14=0,1000000,IF(INDEX('計算A'!$D$60:$II$104,$B14,170)*JJ14=1,IF(AND($E14=2,SQ14=0),1000000,INDEX('計算A'!FQ$110:FQ$114,$F14+1)+IF(AND($E14=1,SQ14=0),1000,0)),1000000))</f>
        <v/>
      </c>
      <c r="ABY14">
        <f>IF($B14=0,1000000,IF(INDEX('計算A'!$D$60:$II$104,$B14,171)*JK14=1,IF(AND($E14=2,SR14=0),1000000,INDEX('計算A'!FR$110:FR$114,$F14+1)+IF(AND($E14=1,SR14=0),1000,0)),1000000))</f>
        <v/>
      </c>
      <c r="ABZ14">
        <f>IF($B14=0,1000000,IF(INDEX('計算A'!$D$60:$II$104,$B14,172)*JL14=1,IF(AND($E14=2,SS14=0),1000000,INDEX('計算A'!FS$110:FS$114,$F14+1)+IF(AND($E14=1,SS14=0),1000,0)),1000000))</f>
        <v/>
      </c>
      <c r="ACA14">
        <f>IF($B14=0,1000000,IF(INDEX('計算A'!$D$60:$II$104,$B14,173)*JM14=1,IF(AND($E14=2,ST14=0),1000000,INDEX('計算A'!FT$110:FT$114,$F14+1)+IF(AND($E14=1,ST14=0),1000,0)),1000000))</f>
        <v/>
      </c>
      <c r="ACB14">
        <f>IF($B14=0,1000000,IF(INDEX('計算A'!$D$60:$II$104,$B14,174)*JN14=1,IF(AND($E14=2,SU14=0),1000000,INDEX('計算A'!FU$110:FU$114,$F14+1)+IF(AND($E14=1,SU14=0),1000,0)),1000000))</f>
        <v/>
      </c>
      <c r="ACC14">
        <f>IF($B14=0,1000000,IF(INDEX('計算A'!$D$60:$II$104,$B14,175)*JO14=1,IF(AND($E14=2,SV14=0),1000000,INDEX('計算A'!FV$110:FV$114,$F14+1)+IF(AND($E14=1,SV14=0),1000,0)),1000000))</f>
        <v/>
      </c>
      <c r="ACD14">
        <f>IF($B14=0,1000000,IF(INDEX('計算A'!$D$60:$II$104,$B14,176)*JP14=1,IF(AND($E14=2,SW14=0),1000000,INDEX('計算A'!FW$110:FW$114,$F14+1)+IF(AND($E14=1,SW14=0),1000,0)),1000000))</f>
        <v/>
      </c>
      <c r="ACE14">
        <f>IF($B14=0,1000000,IF(INDEX('計算A'!$D$60:$II$104,$B14,177)*JQ14=1,IF(AND($E14=2,SX14=0),1000000,INDEX('計算A'!FX$110:FX$114,$F14+1)+IF(AND($E14=1,SX14=0),1000,0)),1000000))</f>
        <v/>
      </c>
      <c r="ACF14">
        <f>IF($B14=0,1000000,IF(INDEX('計算A'!$D$60:$II$104,$B14,178)*JR14=1,IF(AND($E14=2,SY14=0),1000000,INDEX('計算A'!FY$110:FY$114,$F14+1)+IF(AND($E14=1,SY14=0),1000,0)),1000000))</f>
        <v/>
      </c>
      <c r="ACG14">
        <f>IF($B14=0,1000000,IF(INDEX('計算A'!$D$60:$II$104,$B14,179)*JS14=1,IF(AND($E14=2,SZ14=0),1000000,INDEX('計算A'!FZ$110:FZ$114,$F14+1)+IF(AND($E14=1,SZ14=0),1000,0)),1000000))</f>
        <v/>
      </c>
      <c r="ACH14">
        <f>IF($B14=0,1000000,IF(INDEX('計算A'!$D$60:$II$104,$B14,180)*JT14=1,IF(AND($E14=2,TA14=0),1000000,INDEX('計算A'!GA$110:GA$114,$F14+1)+IF(AND($E14=1,TA14=0),1000,0)),1000000))</f>
        <v/>
      </c>
      <c r="ACI14">
        <f>IF($B14=0,1000000,IF(INDEX('計算A'!$D$60:$II$104,$B14,181)*JU14=1,IF(AND($E14=2,TB14=0),1000000,INDEX('計算A'!GB$110:GB$114,$F14+1)+IF(AND($E14=1,TB14=0),1000,0)),1000000))</f>
        <v/>
      </c>
      <c r="ACJ14">
        <f>IF($B14=0,1000000,IF(INDEX('計算A'!$D$60:$II$104,$B14,182)*JV14=1,IF(AND($E14=2,TC14=0),1000000,INDEX('計算A'!GC$110:GC$114,$F14+1)+IF(AND($E14=1,TC14=0),1000,0)),1000000))</f>
        <v/>
      </c>
      <c r="ACK14">
        <f>IF($B14=0,1000000,IF(INDEX('計算A'!$D$60:$II$104,$B14,183)*JW14=1,IF(AND($E14=2,TD14=0),1000000,INDEX('計算A'!GD$110:GD$114,$F14+1)+IF(AND($E14=1,TD14=0),1000,0)),1000000))</f>
        <v/>
      </c>
      <c r="ACL14">
        <f>IF($B14=0,1000000,IF(INDEX('計算A'!$D$60:$II$104,$B14,184)*JX14=1,IF(AND($E14=2,TE14=0),1000000,INDEX('計算A'!GE$110:GE$114,$F14+1)+IF(AND($E14=1,TE14=0),1000,0)),1000000))</f>
        <v/>
      </c>
      <c r="ACM14">
        <f>IF($B14=0,1000000,IF(INDEX('計算A'!$D$60:$II$104,$B14,185)*JY14=1,IF(AND($E14=2,TF14=0),1000000,INDEX('計算A'!GF$110:GF$114,$F14+1)+IF(AND($E14=1,TF14=0),1000,0)),1000000))</f>
        <v/>
      </c>
      <c r="ACN14">
        <f>IF($B14=0,1000000,IF(INDEX('計算A'!$D$60:$II$104,$B14,186)*JZ14=1,IF(AND($E14=2,TG14=0),1000000,INDEX('計算A'!GG$110:GG$114,$F14+1)+IF(AND($E14=1,TG14=0),1000,0)),1000000))</f>
        <v/>
      </c>
      <c r="ACO14">
        <f>IF($B14=0,1000000,IF(INDEX('計算A'!$D$60:$II$104,$B14,187)*KA14=1,IF(AND($E14=2,TH14=0),1000000,INDEX('計算A'!GH$110:GH$114,$F14+1)+IF(AND($E14=1,TH14=0),1000,0)),1000000))</f>
        <v/>
      </c>
      <c r="ACP14">
        <f>IF($B14=0,1000000,IF(INDEX('計算A'!$D$60:$II$104,$B14,188)*KB14=1,IF(AND($E14=2,TI14=0),1000000,INDEX('計算A'!GI$110:GI$114,$F14+1)+IF(AND($E14=1,TI14=0),1000,0)),1000000))</f>
        <v/>
      </c>
      <c r="ACQ14">
        <f>IF($B14=0,1000000,IF(INDEX('計算A'!$D$60:$II$104,$B14,189)*KC14=1,IF(AND($E14=2,TJ14=0),1000000,INDEX('計算A'!GJ$110:GJ$114,$F14+1)+IF(AND($E14=1,TJ14=0),1000,0)),1000000))</f>
        <v/>
      </c>
      <c r="ACR14">
        <f>IF($B14=0,1000000,IF(INDEX('計算A'!$D$60:$II$104,$B14,190)*KD14=1,IF(AND($E14=2,TK14=0),1000000,INDEX('計算A'!GK$110:GK$114,$F14+1)+IF(AND($E14=1,TK14=0),1000,0)),1000000))</f>
        <v/>
      </c>
      <c r="ACS14">
        <f>IF($B14=0,1000000,IF(INDEX('計算A'!$D$60:$II$104,$B14,191)*KE14=1,IF(AND($E14=2,TL14=0),1000000,INDEX('計算A'!GL$110:GL$114,$F14+1)+IF(AND($E14=1,TL14=0),1000,0)),1000000))</f>
        <v/>
      </c>
      <c r="ACT14">
        <f>IF($B14=0,1000000,IF(INDEX('計算A'!$D$60:$II$104,$B14,192)*KF14=1,IF(AND($E14=2,TM14=0),1000000,INDEX('計算A'!GM$110:GM$114,$F14+1)+IF(AND($E14=1,TM14=0),1000,0)),1000000))</f>
        <v/>
      </c>
      <c r="ACU14">
        <f>IF($B14=0,1000000,IF(INDEX('計算A'!$D$60:$II$104,$B14,193)*KG14=1,IF(AND($E14=2,TN14=0),1000000,INDEX('計算A'!GN$110:GN$114,$F14+1)+IF(AND($E14=1,TN14=0),1000,0)),1000000))</f>
        <v/>
      </c>
      <c r="ACV14">
        <f>IF($B14=0,1000000,IF(INDEX('計算A'!$D$60:$II$104,$B14,194)*KH14=1,IF(AND($E14=2,TO14=0),1000000,INDEX('計算A'!GO$110:GO$114,$F14+1)+IF(AND($E14=1,TO14=0),1000,0)),1000000))</f>
        <v/>
      </c>
      <c r="ACW14">
        <f>IF($B14=0,1000000,IF(INDEX('計算A'!$D$60:$II$104,$B14,195)*KI14=1,IF(AND($E14=2,TP14=0),1000000,INDEX('計算A'!GP$110:GP$114,$F14+1)+IF(AND($E14=1,TP14=0),1000,0)),1000000))</f>
        <v/>
      </c>
      <c r="ACX14">
        <f>IF($B14=0,1000000,IF(INDEX('計算A'!$D$60:$II$104,$B14,196)*KJ14=1,IF(AND($E14=2,TQ14=0),1000000,INDEX('計算A'!GQ$110:GQ$114,$F14+1)+IF(AND($E14=1,TQ14=0),1000,0)),1000000))</f>
        <v/>
      </c>
      <c r="ACY14">
        <f>IF($B14=0,1000000,IF(INDEX('計算A'!$D$60:$II$104,$B14,197)*KK14=1,IF(AND($E14=2,TR14=0),1000000,INDEX('計算A'!GR$110:GR$114,$F14+1)+IF(AND($E14=1,TR14=0),1000,0)),1000000))</f>
        <v/>
      </c>
      <c r="ACZ14">
        <f>IF($B14=0,1000000,IF(INDEX('計算A'!$D$60:$II$104,$B14,198)*KL14=1,IF(AND($E14=2,TS14=0),1000000,INDEX('計算A'!GS$110:GS$114,$F14+1)+IF(AND($E14=1,TS14=0),1000,0)),1000000))</f>
        <v/>
      </c>
      <c r="ADA14">
        <f>IF($B14=0,1000000,IF(INDEX('計算A'!$D$60:$II$104,$B14,199)*KM14=1,IF(AND($E14=2,TT14=0),1000000,INDEX('計算A'!GT$110:GT$114,$F14+1)+IF(AND($E14=1,TT14=0),1000,0)),1000000))</f>
        <v/>
      </c>
      <c r="ADB14">
        <f>IF($B14=0,1000000,IF(INDEX('計算A'!$D$60:$II$104,$B14,200)*KN14=1,IF(AND($E14=2,TU14=0),1000000,INDEX('計算A'!GU$110:GU$114,$F14+1)+IF(AND($E14=1,TU14=0),1000,0)),1000000))</f>
        <v/>
      </c>
      <c r="ADC14">
        <f>IF($B14=0,1000000,IF(INDEX('計算A'!$D$60:$II$104,$B14,201)*KO14=1,IF(AND($E14=2,TV14=0),1000000,INDEX('計算A'!GV$110:GV$114,$F14+1)+IF(AND($E14=1,TV14=0),1000,0)),1000000))</f>
        <v/>
      </c>
      <c r="ADD14">
        <f>IF($B14=0,1000000,IF(INDEX('計算A'!$D$60:$II$104,$B14,202)*KP14=1,IF(AND($E14=2,TW14=0),1000000,INDEX('計算A'!GW$110:GW$114,$F14+1)+IF(AND($E14=1,TW14=0),1000,0)),1000000))</f>
        <v/>
      </c>
      <c r="ADE14">
        <f>IF($B14=0,1000000,IF(INDEX('計算A'!$D$60:$II$104,$B14,203)*KQ14=1,IF(AND($E14=2,TX14=0),1000000,INDEX('計算A'!GX$110:GX$114,$F14+1)+IF(AND($E14=1,TX14=0),1000,0)),1000000))</f>
        <v/>
      </c>
      <c r="ADF14">
        <f>IF($B14=0,1000000,IF(INDEX('計算A'!$D$60:$II$104,$B14,204)*KR14=1,IF(AND($E14=2,TY14=0),1000000,INDEX('計算A'!GY$110:GY$114,$F14+1)+IF(AND($E14=1,TY14=0),1000,0)),1000000))</f>
        <v/>
      </c>
      <c r="ADG14">
        <f>IF($B14=0,1000000,IF(INDEX('計算A'!$D$60:$II$104,$B14,205)*KS14=1,IF(AND($E14=2,TZ14=0),1000000,INDEX('計算A'!GZ$110:GZ$114,$F14+1)+IF(AND($E14=1,TZ14=0),1000,0)),1000000))</f>
        <v/>
      </c>
      <c r="ADH14">
        <f>IF($B14=0,1000000,IF(INDEX('計算A'!$D$60:$II$104,$B14,206)*KT14=1,IF(AND($E14=2,UA14=0),1000000,INDEX('計算A'!HA$110:HA$114,$F14+1)+IF(AND($E14=1,UA14=0),1000,0)),1000000))</f>
        <v/>
      </c>
      <c r="ADI14">
        <f>IF($B14=0,1000000,IF(INDEX('計算A'!$D$60:$II$104,$B14,207)*KU14=1,IF(AND($E14=2,UB14=0),1000000,INDEX('計算A'!HB$110:HB$114,$F14+1)+IF(AND($E14=1,UB14=0),1000,0)),1000000))</f>
        <v/>
      </c>
      <c r="ADJ14">
        <f>IF($B14=0,1000000,IF(INDEX('計算A'!$D$60:$II$104,$B14,208)*KV14=1,IF(AND($E14=2,UC14=0),1000000,INDEX('計算A'!HC$110:HC$114,$F14+1)+IF(AND($E14=1,UC14=0),1000,0)),1000000))</f>
        <v/>
      </c>
      <c r="ADK14">
        <f>IF($B14=0,1000000,IF(INDEX('計算A'!$D$60:$II$104,$B14,209)*KW14=1,IF(AND($E14=2,UD14=0),1000000,INDEX('計算A'!HD$110:HD$114,$F14+1)+IF(AND($E14=1,UD14=0),1000,0)),1000000))</f>
        <v/>
      </c>
      <c r="ADL14">
        <f>IF($B14=0,1000000,IF(INDEX('計算A'!$D$60:$II$104,$B14,210)*KX14=1,IF(AND($E14=2,UE14=0),1000000,INDEX('計算A'!HE$110:HE$114,$F14+1)+IF(AND($E14=1,UE14=0),1000,0)),1000000))</f>
        <v/>
      </c>
      <c r="ADM14">
        <f>IF($B14=0,1000000,IF(INDEX('計算A'!$D$60:$II$104,$B14,211)*KY14=1,IF(AND($E14=2,UF14=0),1000000,INDEX('計算A'!HF$110:HF$114,$F14+1)+IF(AND($E14=1,UF14=0),1000,0)),1000000))</f>
        <v/>
      </c>
      <c r="ADN14">
        <f>IF($B14=0,1000000,IF(INDEX('計算A'!$D$60:$II$104,$B14,212)*KZ14=1,IF(AND($E14=2,UG14=0),1000000,INDEX('計算A'!HG$110:HG$114,$F14+1)+IF(AND($E14=1,UG14=0),1000,0)),1000000))</f>
        <v/>
      </c>
      <c r="ADO14">
        <f>IF($B14=0,1000000,IF(INDEX('計算A'!$D$60:$II$104,$B14,213)*LA14=1,IF(AND($E14=2,UH14=0),1000000,INDEX('計算A'!HH$110:HH$114,$F14+1)+IF(AND($E14=1,UH14=0),1000,0)),1000000))</f>
        <v/>
      </c>
      <c r="ADP14">
        <f>IF($B14=0,1000000,IF(INDEX('計算A'!$D$60:$II$104,$B14,214)*LB14=1,IF(AND($E14=2,UI14=0),1000000,INDEX('計算A'!HI$110:HI$114,$F14+1)+IF(AND($E14=1,UI14=0),1000,0)),1000000))</f>
        <v/>
      </c>
      <c r="ADQ14">
        <f>IF($B14=0,1000000,IF(INDEX('計算A'!$D$60:$II$104,$B14,215)*LC14=1,IF(AND($E14=2,UJ14=0),1000000,INDEX('計算A'!HJ$110:HJ$114,$F14+1)+IF(AND($E14=1,UJ14=0),1000,0)),1000000))</f>
        <v/>
      </c>
      <c r="ADR14">
        <f>IF($B14=0,1000000,IF(INDEX('計算A'!$D$60:$II$104,$B14,216)*LD14=1,IF(AND($E14=2,UK14=0),1000000,INDEX('計算A'!HK$110:HK$114,$F14+1)+IF(AND($E14=1,UK14=0),1000,0)),1000000))</f>
        <v/>
      </c>
      <c r="ADS14">
        <f>IF($B14=0,1000000,IF(INDEX('計算A'!$D$60:$II$104,$B14,217)*LE14=1,IF(AND($E14=2,UL14=0),1000000,INDEX('計算A'!HL$110:HL$114,$F14+1)+IF(AND($E14=1,UL14=0),1000,0)),1000000))</f>
        <v/>
      </c>
      <c r="ADT14">
        <f>IF($B14=0,1000000,IF(INDEX('計算A'!$D$60:$II$104,$B14,218)*LF14=1,IF(AND($E14=2,UM14=0),1000000,INDEX('計算A'!HM$110:HM$114,$F14+1)+IF(AND($E14=1,UM14=0),1000,0)),1000000))</f>
        <v/>
      </c>
      <c r="ADU14">
        <f>IF($B14=0,1000000,IF(INDEX('計算A'!$D$60:$II$104,$B14,219)*LG14=1,IF(AND($E14=2,UN14=0),1000000,INDEX('計算A'!HN$110:HN$114,$F14+1)+IF(AND($E14=1,UN14=0),1000,0)),1000000))</f>
        <v/>
      </c>
      <c r="ADV14">
        <f>IF($B14=0,1000000,IF(INDEX('計算A'!$D$60:$II$104,$B14,220)*LH14=1,IF(AND($E14=2,UO14=0),1000000,INDEX('計算A'!HO$110:HO$114,$F14+1)+IF(AND($E14=1,UO14=0),1000,0)),1000000))</f>
        <v/>
      </c>
      <c r="ADW14">
        <f>IF($B14=0,1000000,IF(INDEX('計算A'!$D$60:$II$104,$B14,221)*LI14=1,IF(AND($E14=2,UP14=0),1000000,INDEX('計算A'!HP$110:HP$114,$F14+1)+IF(AND($E14=1,UP14=0),1000,0)),1000000))</f>
        <v/>
      </c>
      <c r="ADX14">
        <f>IF($B14=0,1000000,IF(INDEX('計算A'!$D$60:$II$104,$B14,222)*LJ14=1,IF(AND($E14=2,UQ14=0),1000000,INDEX('計算A'!HQ$110:HQ$114,$F14+1)+IF(AND($E14=1,UQ14=0),1000,0)),1000000))</f>
        <v/>
      </c>
      <c r="ADY14">
        <f>IF($B14=0,1000000,IF(INDEX('計算A'!$D$60:$II$104,$B14,223)*LK14=1,IF(AND($E14=2,UR14=0),1000000,INDEX('計算A'!HR$110:HR$114,$F14+1)+IF(AND($E14=1,UR14=0),1000,0)),1000000))</f>
        <v/>
      </c>
      <c r="ADZ14">
        <f>IF($B14=0,1000000,IF(INDEX('計算A'!$D$60:$II$104,$B14,224)*LL14=1,IF(AND($E14=2,US14=0),1000000,INDEX('計算A'!HS$110:HS$114,$F14+1)+IF(AND($E14=1,US14=0),1000,0)),1000000))</f>
        <v/>
      </c>
      <c r="AEA14">
        <f>IF($B14=0,1000000,IF(INDEX('計算A'!$D$60:$II$104,$B14,225)*LM14=1,IF(AND($E14=2,UT14=0),1000000,INDEX('計算A'!HT$110:HT$114,$F14+1)+IF(AND($E14=1,UT14=0),1000,0)),1000000))</f>
        <v/>
      </c>
      <c r="AEB14">
        <f>IF($B14=0,1000000,IF(INDEX('計算A'!$D$60:$II$104,$B14,226)*LN14=1,IF(AND($E14=2,UU14=0),1000000,INDEX('計算A'!HU$110:HU$114,$F14+1)+IF(AND($E14=1,UU14=0),1000,0)),1000000))</f>
        <v/>
      </c>
      <c r="AEC14">
        <f>IF($B14=0,1000000,IF(INDEX('計算A'!$D$60:$II$104,$B14,227)*LO14=1,IF(AND($E14=2,UV14=0),1000000,INDEX('計算A'!HV$110:HV$114,$F14+1)+IF(AND($E14=1,UV14=0),1000,0)),1000000))</f>
        <v/>
      </c>
      <c r="AED14">
        <f>IF($B14=0,1000000,IF(INDEX('計算A'!$D$60:$II$104,$B14,228)*LP14=1,IF(AND($E14=2,UW14=0),1000000,INDEX('計算A'!HW$110:HW$114,$F14+1)+IF(AND($E14=1,UW14=0),1000,0)),1000000))</f>
        <v/>
      </c>
      <c r="AEE14">
        <f>IF($B14=0,1000000,IF(INDEX('計算A'!$D$60:$II$104,$B14,229)*LQ14=1,IF(AND($E14=2,UX14=0),1000000,INDEX('計算A'!HX$110:HX$114,$F14+1)+IF(AND($E14=1,UX14=0),1000,0)),1000000))</f>
        <v/>
      </c>
      <c r="AEF14">
        <f>IF($B14=0,1000000,IF(INDEX('計算A'!$D$60:$II$104,$B14,230)*LR14=1,IF(AND($E14=2,UY14=0),1000000,INDEX('計算A'!HY$110:HY$114,$F14+1)+IF(AND($E14=1,UY14=0),1000,0)),1000000))</f>
        <v/>
      </c>
      <c r="AEG14">
        <f>IF($B14=0,1000000,IF(INDEX('計算A'!$D$60:$II$104,$B14,231)*LS14=1,IF(AND($E14=2,UZ14=0),1000000,INDEX('計算A'!HZ$110:HZ$114,$F14+1)+IF(AND($E14=1,UZ14=0),1000,0)),1000000))</f>
        <v/>
      </c>
      <c r="AEH14">
        <f>IF($B14=0,1000000,IF(INDEX('計算A'!$D$60:$II$104,$B14,232)*LT14=1,IF(AND($E14=2,VA14=0),1000000,INDEX('計算A'!IA$110:IA$114,$F14+1)+IF(AND($E14=1,VA14=0),1000,0)),1000000))</f>
        <v/>
      </c>
      <c r="AEI14">
        <f>IF($B14=0,1000000,IF(INDEX('計算A'!$D$60:$II$104,$B14,233)*LU14=1,IF(AND($E14=2,VB14=0),1000000,INDEX('計算A'!IB$110:IB$114,$F14+1)+IF(AND($E14=1,VB14=0),1000,0)),1000000))</f>
        <v/>
      </c>
      <c r="AEJ14">
        <f>IF($B14=0,1000000,IF(INDEX('計算A'!$D$60:$II$104,$B14,234)*LV14=1,IF(AND($E14=2,VC14=0),1000000,INDEX('計算A'!IC$110:IC$114,$F14+1)+IF(AND($E14=1,VC14=0),1000,0)),1000000))</f>
        <v/>
      </c>
      <c r="AEK14">
        <f>IF($B14=0,1000000,IF(INDEX('計算A'!$D$60:$II$104,$B14,235)*LW14=1,IF(AND($E14=2,VD14=0),1000000,INDEX('計算A'!ID$110:ID$114,$F14+1)+IF(AND($E14=1,VD14=0),1000,0)),1000000))</f>
        <v/>
      </c>
      <c r="AEL14">
        <f>IF($B14=0,1000000,IF(INDEX('計算A'!$D$60:$II$104,$B14,236)*LX14=1,IF(AND($E14=2,VE14=0),1000000,INDEX('計算A'!IE$110:IE$114,$F14+1)+IF(AND($E14=1,VE14=0),1000,0)),1000000))</f>
        <v/>
      </c>
      <c r="AEM14">
        <f>IF($B14=0,1000000,IF(INDEX('計算A'!$D$60:$II$104,$B14,237)*LY14=1,IF(AND($E14=2,VF14=0),1000000,INDEX('計算A'!IF$110:IF$114,$F14+1)+IF(AND($E14=1,VF14=0),1000,0)),1000000))</f>
        <v/>
      </c>
      <c r="AEN14">
        <f>IF($B14=0,1000000,IF(INDEX('計算A'!$D$60:$II$104,$B14,238)*LZ14=1,IF(AND($E14=2,VG14=0),1000000,INDEX('計算A'!IG$110:IG$114,$F14+1)+IF(AND($E14=1,VG14=0),1000,0)),1000000))</f>
        <v/>
      </c>
      <c r="AEO14">
        <f>IF($B14=0,1000000,IF(INDEX('計算A'!$D$60:$II$104,$B14,239)*MA14=1,IF(AND($E14=2,VH14=0),1000000,INDEX('計算A'!IH$110:IH$114,$F14+1)+IF(AND($E14=1,VH14=0),1000,0)),1000000))</f>
        <v/>
      </c>
      <c r="AEP14">
        <f>IF($B14=0,1000000,IF(INDEX('計算A'!$D$60:$II$104,$B14,240)*MB14=1,IF(AND($E14=2,VI14=0),1000000,INDEX('計算A'!II$110:II$114,$F14+1)+IF(AND($E14=1,VI14=0),1000,0)),1000000))</f>
        <v/>
      </c>
    </row>
    <row r="15">
      <c r="A15" t="n">
        <v>13</v>
      </c>
      <c r="B15">
        <f>IF(MIN(BC15:CU15)&gt;=1000000,0,MATCH(MIN(BC15:CU15),BC15:CU15,0))</f>
        <v/>
      </c>
      <c r="C15">
        <f>IF(MIN(VK15:AEP15)&gt;=1000000,0,MATCH(MIN(VK15:AEP15),VK15:AEP15,0))</f>
        <v/>
      </c>
      <c r="D15">
        <f>IF(C15&gt;0,INDEX('計算A'!$D$5:$II$5,C15),0)</f>
        <v/>
      </c>
      <c r="E15">
        <f>IF(B15=0,0,INDEX('計算A'!$IQ$10:$IQ$54,B15))</f>
        <v/>
      </c>
      <c r="F15">
        <f>IF(B15=0,0,INDEX('計算A'!$IP$10:$IP$54,B15))</f>
        <v/>
      </c>
      <c r="G15">
        <f>IF(AND(C15&gt;0,E15&gt;0),IF(AND(INDEX('計算A'!$D$106:$II$106,C15)=1,INDEX($MD15:$VI15,C15)=1),C15+1,0),0)</f>
        <v/>
      </c>
      <c r="I15">
        <f>MAX(I14,IF($B14=1,1,0))</f>
        <v/>
      </c>
      <c r="J15">
        <f>MAX(J14,IF($B14=2,1,0))</f>
        <v/>
      </c>
      <c r="K15">
        <f>MAX(K14,IF($B14=3,1,0))</f>
        <v/>
      </c>
      <c r="L15">
        <f>MAX(L14,IF($B14=4,1,0))</f>
        <v/>
      </c>
      <c r="M15">
        <f>MAX(M14,IF($B14=5,1,0))</f>
        <v/>
      </c>
      <c r="N15">
        <f>MAX(N14,IF($B14=6,1,0))</f>
        <v/>
      </c>
      <c r="O15">
        <f>MAX(O14,IF($B14=7,1,0))</f>
        <v/>
      </c>
      <c r="P15">
        <f>MAX(P14,IF($B14=8,1,0))</f>
        <v/>
      </c>
      <c r="Q15">
        <f>MAX(Q14,IF($B14=9,1,0))</f>
        <v/>
      </c>
      <c r="R15">
        <f>MAX(R14,IF($B14=10,1,0))</f>
        <v/>
      </c>
      <c r="S15">
        <f>MAX(S14,IF($B14=11,1,0))</f>
        <v/>
      </c>
      <c r="T15">
        <f>MAX(T14,IF($B14=12,1,0))</f>
        <v/>
      </c>
      <c r="U15">
        <f>MAX(U14,IF($B14=13,1,0))</f>
        <v/>
      </c>
      <c r="V15">
        <f>MAX(V14,IF($B14=14,1,0))</f>
        <v/>
      </c>
      <c r="W15">
        <f>MAX(W14,IF($B14=15,1,0))</f>
        <v/>
      </c>
      <c r="X15">
        <f>MAX(X14,IF($B14=16,1,0))</f>
        <v/>
      </c>
      <c r="Y15">
        <f>MAX(Y14,IF($B14=17,1,0))</f>
        <v/>
      </c>
      <c r="Z15">
        <f>MAX(Z14,IF($B14=18,1,0))</f>
        <v/>
      </c>
      <c r="AA15">
        <f>MAX(AA14,IF($B14=19,1,0))</f>
        <v/>
      </c>
      <c r="AB15">
        <f>MAX(AB14,IF($B14=20,1,0))</f>
        <v/>
      </c>
      <c r="AC15">
        <f>MAX(AC14,IF($B14=21,1,0))</f>
        <v/>
      </c>
      <c r="AD15">
        <f>MAX(AD14,IF($B14=22,1,0))</f>
        <v/>
      </c>
      <c r="AE15">
        <f>MAX(AE14,IF($B14=23,1,0))</f>
        <v/>
      </c>
      <c r="AF15">
        <f>MAX(AF14,IF($B14=24,1,0))</f>
        <v/>
      </c>
      <c r="AG15">
        <f>MAX(AG14,IF($B14=25,1,0))</f>
        <v/>
      </c>
      <c r="AH15">
        <f>MAX(AH14,IF($B14=26,1,0))</f>
        <v/>
      </c>
      <c r="AI15">
        <f>MAX(AI14,IF($B14=27,1,0))</f>
        <v/>
      </c>
      <c r="AJ15">
        <f>MAX(AJ14,IF($B14=28,1,0))</f>
        <v/>
      </c>
      <c r="AK15">
        <f>MAX(AK14,IF($B14=29,1,0))</f>
        <v/>
      </c>
      <c r="AL15">
        <f>MAX(AL14,IF($B14=30,1,0))</f>
        <v/>
      </c>
      <c r="AM15">
        <f>MAX(AM14,IF($B14=31,1,0))</f>
        <v/>
      </c>
      <c r="AN15">
        <f>MAX(AN14,IF($B14=32,1,0))</f>
        <v/>
      </c>
      <c r="AO15">
        <f>MAX(AO14,IF($B14=33,1,0))</f>
        <v/>
      </c>
      <c r="AP15">
        <f>MAX(AP14,IF($B14=34,1,0))</f>
        <v/>
      </c>
      <c r="AQ15">
        <f>MAX(AQ14,IF($B14=35,1,0))</f>
        <v/>
      </c>
      <c r="AR15">
        <f>MAX(AR14,IF($B14=36,1,0))</f>
        <v/>
      </c>
      <c r="AS15">
        <f>MAX(AS14,IF($B14=37,1,0))</f>
        <v/>
      </c>
      <c r="AT15">
        <f>MAX(AT14,IF($B14=38,1,0))</f>
        <v/>
      </c>
      <c r="AU15">
        <f>MAX(AU14,IF($B14=39,1,0))</f>
        <v/>
      </c>
      <c r="AV15">
        <f>MAX(AV14,IF($B14=40,1,0))</f>
        <v/>
      </c>
      <c r="AW15">
        <f>MAX(AW14,IF($B14=41,1,0))</f>
        <v/>
      </c>
      <c r="AX15">
        <f>MAX(AX14,IF($B14=42,1,0))</f>
        <v/>
      </c>
      <c r="AY15">
        <f>MAX(AY14,IF($B14=43,1,0))</f>
        <v/>
      </c>
      <c r="AZ15">
        <f>MAX(AZ14,IF($B14=44,1,0))</f>
        <v/>
      </c>
      <c r="BA15">
        <f>MAX(BA14,IF($B14=45,1,0))</f>
        <v/>
      </c>
      <c r="BC15">
        <f>IF(I15=1,1000000,IF('計算A'!$IQ$10=2,SUMPRODUCT('計算A'!$D$60:$II$60,$CW15:$MB15,$MD15:$VI15),SUMPRODUCT('計算A'!$D$60:$II$60,$CW15:$MB15))*1000+1)</f>
        <v/>
      </c>
      <c r="BD15">
        <f>IF(J15=1,1000000,IF('計算A'!$IQ$11=2,SUMPRODUCT('計算A'!$D$61:$II$61,$CW15:$MB15,$MD15:$VI15),SUMPRODUCT('計算A'!$D$61:$II$61,$CW15:$MB15))*1000+2)</f>
        <v/>
      </c>
      <c r="BE15">
        <f>IF(K15=1,1000000,IF('計算A'!$IQ$12=2,SUMPRODUCT('計算A'!$D$62:$II$62,$CW15:$MB15,$MD15:$VI15),SUMPRODUCT('計算A'!$D$62:$II$62,$CW15:$MB15))*1000+3)</f>
        <v/>
      </c>
      <c r="BF15">
        <f>IF(L15=1,1000000,IF('計算A'!$IQ$13=2,SUMPRODUCT('計算A'!$D$63:$II$63,$CW15:$MB15,$MD15:$VI15),SUMPRODUCT('計算A'!$D$63:$II$63,$CW15:$MB15))*1000+4)</f>
        <v/>
      </c>
      <c r="BG15">
        <f>IF(M15=1,1000000,IF('計算A'!$IQ$14=2,SUMPRODUCT('計算A'!$D$64:$II$64,$CW15:$MB15,$MD15:$VI15),SUMPRODUCT('計算A'!$D$64:$II$64,$CW15:$MB15))*1000+5)</f>
        <v/>
      </c>
      <c r="BH15">
        <f>IF(N15=1,1000000,IF('計算A'!$IQ$15=2,SUMPRODUCT('計算A'!$D$65:$II$65,$CW15:$MB15,$MD15:$VI15),SUMPRODUCT('計算A'!$D$65:$II$65,$CW15:$MB15))*1000+6)</f>
        <v/>
      </c>
      <c r="BI15">
        <f>IF(O15=1,1000000,IF('計算A'!$IQ$16=2,SUMPRODUCT('計算A'!$D$66:$II$66,$CW15:$MB15,$MD15:$VI15),SUMPRODUCT('計算A'!$D$66:$II$66,$CW15:$MB15))*1000+7)</f>
        <v/>
      </c>
      <c r="BJ15">
        <f>IF(P15=1,1000000,IF('計算A'!$IQ$17=2,SUMPRODUCT('計算A'!$D$67:$II$67,$CW15:$MB15,$MD15:$VI15),SUMPRODUCT('計算A'!$D$67:$II$67,$CW15:$MB15))*1000+8)</f>
        <v/>
      </c>
      <c r="BK15">
        <f>IF(Q15=1,1000000,IF('計算A'!$IQ$18=2,SUMPRODUCT('計算A'!$D$68:$II$68,$CW15:$MB15,$MD15:$VI15),SUMPRODUCT('計算A'!$D$68:$II$68,$CW15:$MB15))*1000+9)</f>
        <v/>
      </c>
      <c r="BL15">
        <f>IF(R15=1,1000000,IF('計算A'!$IQ$19=2,SUMPRODUCT('計算A'!$D$69:$II$69,$CW15:$MB15,$MD15:$VI15),SUMPRODUCT('計算A'!$D$69:$II$69,$CW15:$MB15))*1000+10)</f>
        <v/>
      </c>
      <c r="BM15">
        <f>IF(S15=1,1000000,IF('計算A'!$IQ$20=2,SUMPRODUCT('計算A'!$D$70:$II$70,$CW15:$MB15,$MD15:$VI15),SUMPRODUCT('計算A'!$D$70:$II$70,$CW15:$MB15))*1000+11)</f>
        <v/>
      </c>
      <c r="BN15">
        <f>IF(T15=1,1000000,IF('計算A'!$IQ$21=2,SUMPRODUCT('計算A'!$D$71:$II$71,$CW15:$MB15,$MD15:$VI15),SUMPRODUCT('計算A'!$D$71:$II$71,$CW15:$MB15))*1000+12)</f>
        <v/>
      </c>
      <c r="BO15">
        <f>IF(U15=1,1000000,IF('計算A'!$IQ$22=2,SUMPRODUCT('計算A'!$D$72:$II$72,$CW15:$MB15,$MD15:$VI15),SUMPRODUCT('計算A'!$D$72:$II$72,$CW15:$MB15))*1000+13)</f>
        <v/>
      </c>
      <c r="BP15">
        <f>IF(V15=1,1000000,IF('計算A'!$IQ$23=2,SUMPRODUCT('計算A'!$D$73:$II$73,$CW15:$MB15,$MD15:$VI15),SUMPRODUCT('計算A'!$D$73:$II$73,$CW15:$MB15))*1000+14)</f>
        <v/>
      </c>
      <c r="BQ15">
        <f>IF(W15=1,1000000,IF('計算A'!$IQ$24=2,SUMPRODUCT('計算A'!$D$74:$II$74,$CW15:$MB15,$MD15:$VI15),SUMPRODUCT('計算A'!$D$74:$II$74,$CW15:$MB15))*1000+15)</f>
        <v/>
      </c>
      <c r="BR15">
        <f>IF(X15=1,1000000,IF('計算A'!$IQ$25=2,SUMPRODUCT('計算A'!$D$75:$II$75,$CW15:$MB15,$MD15:$VI15),SUMPRODUCT('計算A'!$D$75:$II$75,$CW15:$MB15))*1000+16)</f>
        <v/>
      </c>
      <c r="BS15">
        <f>IF(Y15=1,1000000,IF('計算A'!$IQ$26=2,SUMPRODUCT('計算A'!$D$76:$II$76,$CW15:$MB15,$MD15:$VI15),SUMPRODUCT('計算A'!$D$76:$II$76,$CW15:$MB15))*1000+17)</f>
        <v/>
      </c>
      <c r="BT15">
        <f>IF(Z15=1,1000000,IF('計算A'!$IQ$27=2,SUMPRODUCT('計算A'!$D$77:$II$77,$CW15:$MB15,$MD15:$VI15),SUMPRODUCT('計算A'!$D$77:$II$77,$CW15:$MB15))*1000+18)</f>
        <v/>
      </c>
      <c r="BU15">
        <f>IF(AA15=1,1000000,IF('計算A'!$IQ$28=2,SUMPRODUCT('計算A'!$D$78:$II$78,$CW15:$MB15,$MD15:$VI15),SUMPRODUCT('計算A'!$D$78:$II$78,$CW15:$MB15))*1000+19)</f>
        <v/>
      </c>
      <c r="BV15">
        <f>IF(AB15=1,1000000,IF('計算A'!$IQ$29=2,SUMPRODUCT('計算A'!$D$79:$II$79,$CW15:$MB15,$MD15:$VI15),SUMPRODUCT('計算A'!$D$79:$II$79,$CW15:$MB15))*1000+20)</f>
        <v/>
      </c>
      <c r="BW15">
        <f>IF(AC15=1,1000000,IF('計算A'!$IQ$30=2,SUMPRODUCT('計算A'!$D$80:$II$80,$CW15:$MB15,$MD15:$VI15),SUMPRODUCT('計算A'!$D$80:$II$80,$CW15:$MB15))*1000+21)</f>
        <v/>
      </c>
      <c r="BX15">
        <f>IF(AD15=1,1000000,IF('計算A'!$IQ$31=2,SUMPRODUCT('計算A'!$D$81:$II$81,$CW15:$MB15,$MD15:$VI15),SUMPRODUCT('計算A'!$D$81:$II$81,$CW15:$MB15))*1000+22)</f>
        <v/>
      </c>
      <c r="BY15">
        <f>IF(AE15=1,1000000,IF('計算A'!$IQ$32=2,SUMPRODUCT('計算A'!$D$82:$II$82,$CW15:$MB15,$MD15:$VI15),SUMPRODUCT('計算A'!$D$82:$II$82,$CW15:$MB15))*1000+23)</f>
        <v/>
      </c>
      <c r="BZ15">
        <f>IF(AF15=1,1000000,IF('計算A'!$IQ$33=2,SUMPRODUCT('計算A'!$D$83:$II$83,$CW15:$MB15,$MD15:$VI15),SUMPRODUCT('計算A'!$D$83:$II$83,$CW15:$MB15))*1000+24)</f>
        <v/>
      </c>
      <c r="CA15">
        <f>IF(AG15=1,1000000,IF('計算A'!$IQ$34=2,SUMPRODUCT('計算A'!$D$84:$II$84,$CW15:$MB15,$MD15:$VI15),SUMPRODUCT('計算A'!$D$84:$II$84,$CW15:$MB15))*1000+25)</f>
        <v/>
      </c>
      <c r="CB15">
        <f>IF(AH15=1,1000000,IF('計算A'!$IQ$35=2,SUMPRODUCT('計算A'!$D$85:$II$85,$CW15:$MB15,$MD15:$VI15),SUMPRODUCT('計算A'!$D$85:$II$85,$CW15:$MB15))*1000+26)</f>
        <v/>
      </c>
      <c r="CC15">
        <f>IF(AI15=1,1000000,IF('計算A'!$IQ$36=2,SUMPRODUCT('計算A'!$D$86:$II$86,$CW15:$MB15,$MD15:$VI15),SUMPRODUCT('計算A'!$D$86:$II$86,$CW15:$MB15))*1000+27)</f>
        <v/>
      </c>
      <c r="CD15">
        <f>IF(AJ15=1,1000000,IF('計算A'!$IQ$37=2,SUMPRODUCT('計算A'!$D$87:$II$87,$CW15:$MB15,$MD15:$VI15),SUMPRODUCT('計算A'!$D$87:$II$87,$CW15:$MB15))*1000+28)</f>
        <v/>
      </c>
      <c r="CE15">
        <f>IF(AK15=1,1000000,IF('計算A'!$IQ$38=2,SUMPRODUCT('計算A'!$D$88:$II$88,$CW15:$MB15,$MD15:$VI15),SUMPRODUCT('計算A'!$D$88:$II$88,$CW15:$MB15))*1000+29)</f>
        <v/>
      </c>
      <c r="CF15">
        <f>IF(AL15=1,1000000,IF('計算A'!$IQ$39=2,SUMPRODUCT('計算A'!$D$89:$II$89,$CW15:$MB15,$MD15:$VI15),SUMPRODUCT('計算A'!$D$89:$II$89,$CW15:$MB15))*1000+30)</f>
        <v/>
      </c>
      <c r="CG15">
        <f>IF(AM15=1,1000000,IF('計算A'!$IQ$40=2,SUMPRODUCT('計算A'!$D$90:$II$90,$CW15:$MB15,$MD15:$VI15),SUMPRODUCT('計算A'!$D$90:$II$90,$CW15:$MB15))*1000+31)</f>
        <v/>
      </c>
      <c r="CH15">
        <f>IF(AN15=1,1000000,IF('計算A'!$IQ$41=2,SUMPRODUCT('計算A'!$D$91:$II$91,$CW15:$MB15,$MD15:$VI15),SUMPRODUCT('計算A'!$D$91:$II$91,$CW15:$MB15))*1000+32)</f>
        <v/>
      </c>
      <c r="CI15">
        <f>IF(AO15=1,1000000,IF('計算A'!$IQ$42=2,SUMPRODUCT('計算A'!$D$92:$II$92,$CW15:$MB15,$MD15:$VI15),SUMPRODUCT('計算A'!$D$92:$II$92,$CW15:$MB15))*1000+33)</f>
        <v/>
      </c>
      <c r="CJ15">
        <f>IF(AP15=1,1000000,IF('計算A'!$IQ$43=2,SUMPRODUCT('計算A'!$D$93:$II$93,$CW15:$MB15,$MD15:$VI15),SUMPRODUCT('計算A'!$D$93:$II$93,$CW15:$MB15))*1000+34)</f>
        <v/>
      </c>
      <c r="CK15">
        <f>IF(AQ15=1,1000000,IF('計算A'!$IQ$44=2,SUMPRODUCT('計算A'!$D$94:$II$94,$CW15:$MB15,$MD15:$VI15),SUMPRODUCT('計算A'!$D$94:$II$94,$CW15:$MB15))*1000+35)</f>
        <v/>
      </c>
      <c r="CL15">
        <f>IF(AR15=1,1000000,IF('計算A'!$IQ$45=2,SUMPRODUCT('計算A'!$D$95:$II$95,$CW15:$MB15,$MD15:$VI15),SUMPRODUCT('計算A'!$D$95:$II$95,$CW15:$MB15))*1000+36)</f>
        <v/>
      </c>
      <c r="CM15">
        <f>IF(AS15=1,1000000,IF('計算A'!$IQ$46=2,SUMPRODUCT('計算A'!$D$96:$II$96,$CW15:$MB15,$MD15:$VI15),SUMPRODUCT('計算A'!$D$96:$II$96,$CW15:$MB15))*1000+37)</f>
        <v/>
      </c>
      <c r="CN15">
        <f>IF(AT15=1,1000000,IF('計算A'!$IQ$47=2,SUMPRODUCT('計算A'!$D$97:$II$97,$CW15:$MB15,$MD15:$VI15),SUMPRODUCT('計算A'!$D$97:$II$97,$CW15:$MB15))*1000+38)</f>
        <v/>
      </c>
      <c r="CO15">
        <f>IF(AU15=1,1000000,IF('計算A'!$IQ$48=2,SUMPRODUCT('計算A'!$D$98:$II$98,$CW15:$MB15,$MD15:$VI15),SUMPRODUCT('計算A'!$D$98:$II$98,$CW15:$MB15))*1000+39)</f>
        <v/>
      </c>
      <c r="CP15">
        <f>IF(AV15=1,1000000,IF('計算A'!$IQ$49=2,SUMPRODUCT('計算A'!$D$99:$II$99,$CW15:$MB15,$MD15:$VI15),SUMPRODUCT('計算A'!$D$99:$II$99,$CW15:$MB15))*1000+40)</f>
        <v/>
      </c>
      <c r="CQ15">
        <f>IF(AW15=1,1000000,IF('計算A'!$IQ$50=2,SUMPRODUCT('計算A'!$D$100:$II$100,$CW15:$MB15,$MD15:$VI15),SUMPRODUCT('計算A'!$D$100:$II$100,$CW15:$MB15))*1000+41)</f>
        <v/>
      </c>
      <c r="CR15">
        <f>IF(AX15=1,1000000,IF('計算A'!$IQ$51=2,SUMPRODUCT('計算A'!$D$101:$II$101,$CW15:$MB15,$MD15:$VI15),SUMPRODUCT('計算A'!$D$101:$II$101,$CW15:$MB15))*1000+42)</f>
        <v/>
      </c>
      <c r="CS15">
        <f>IF(AY15=1,1000000,IF('計算A'!$IQ$52=2,SUMPRODUCT('計算A'!$D$102:$II$102,$CW15:$MB15,$MD15:$VI15),SUMPRODUCT('計算A'!$D$102:$II$102,$CW15:$MB15))*1000+43)</f>
        <v/>
      </c>
      <c r="CT15">
        <f>IF(AZ15=1,1000000,IF('計算A'!$IQ$53=2,SUMPRODUCT('計算A'!$D$103:$II$103,$CW15:$MB15,$MD15:$VI15),SUMPRODUCT('計算A'!$D$103:$II$103,$CW15:$MB15))*1000+44)</f>
        <v/>
      </c>
      <c r="CU15">
        <f>IF(BA15=1,1000000,IF('計算A'!$IQ$54=2,SUMPRODUCT('計算A'!$D$104:$II$104,$CW15:$MB15,$MD15:$VI15),SUMPRODUCT('計算A'!$D$104:$II$104,$CW15:$MB15))*1000+45)</f>
        <v/>
      </c>
      <c r="CW15">
        <f>CW14*IF(OR($C14=1,$G14=1),0,1)</f>
        <v/>
      </c>
      <c r="CX15">
        <f>CX14*IF(OR($C14=2,$G14=2),0,1)</f>
        <v/>
      </c>
      <c r="CY15">
        <f>CY14*IF(OR($C14=3,$G14=3),0,1)</f>
        <v/>
      </c>
      <c r="CZ15">
        <f>CZ14*IF(OR($C14=4,$G14=4),0,1)</f>
        <v/>
      </c>
      <c r="DA15">
        <f>DA14*IF(OR($C14=5,$G14=5),0,1)</f>
        <v/>
      </c>
      <c r="DB15">
        <f>DB14*IF(OR($C14=6,$G14=6),0,1)</f>
        <v/>
      </c>
      <c r="DC15">
        <f>DC14*IF(OR($C14=7,$G14=7),0,1)</f>
        <v/>
      </c>
      <c r="DD15">
        <f>DD14*IF(OR($C14=8,$G14=8),0,1)</f>
        <v/>
      </c>
      <c r="DE15">
        <f>DE14*IF(OR($C14=9,$G14=9),0,1)</f>
        <v/>
      </c>
      <c r="DF15">
        <f>DF14*IF(OR($C14=10,$G14=10),0,1)</f>
        <v/>
      </c>
      <c r="DG15">
        <f>DG14*IF(OR($C14=11,$G14=11),0,1)</f>
        <v/>
      </c>
      <c r="DH15">
        <f>DH14*IF(OR($C14=12,$G14=12),0,1)</f>
        <v/>
      </c>
      <c r="DI15">
        <f>DI14*IF(OR($C14=13,$G14=13),0,1)</f>
        <v/>
      </c>
      <c r="DJ15">
        <f>DJ14*IF(OR($C14=14,$G14=14),0,1)</f>
        <v/>
      </c>
      <c r="DK15">
        <f>DK14*IF(OR($C14=15,$G14=15),0,1)</f>
        <v/>
      </c>
      <c r="DL15">
        <f>DL14*IF(OR($C14=16,$G14=16),0,1)</f>
        <v/>
      </c>
      <c r="DM15">
        <f>DM14*IF(OR($C14=17,$G14=17),0,1)</f>
        <v/>
      </c>
      <c r="DN15">
        <f>DN14*IF(OR($C14=18,$G14=18),0,1)</f>
        <v/>
      </c>
      <c r="DO15">
        <f>DO14*IF(OR($C14=19,$G14=19),0,1)</f>
        <v/>
      </c>
      <c r="DP15">
        <f>DP14*IF(OR($C14=20,$G14=20),0,1)</f>
        <v/>
      </c>
      <c r="DQ15">
        <f>DQ14*IF(OR($C14=21,$G14=21),0,1)</f>
        <v/>
      </c>
      <c r="DR15">
        <f>DR14*IF(OR($C14=22,$G14=22),0,1)</f>
        <v/>
      </c>
      <c r="DS15">
        <f>DS14*IF(OR($C14=23,$G14=23),0,1)</f>
        <v/>
      </c>
      <c r="DT15">
        <f>DT14*IF(OR($C14=24,$G14=24),0,1)</f>
        <v/>
      </c>
      <c r="DU15">
        <f>DU14*IF(OR($C14=25,$G14=25),0,1)</f>
        <v/>
      </c>
      <c r="DV15">
        <f>DV14*IF(OR($C14=26,$G14=26),0,1)</f>
        <v/>
      </c>
      <c r="DW15">
        <f>DW14*IF(OR($C14=27,$G14=27),0,1)</f>
        <v/>
      </c>
      <c r="DX15">
        <f>DX14*IF(OR($C14=28,$G14=28),0,1)</f>
        <v/>
      </c>
      <c r="DY15">
        <f>DY14*IF(OR($C14=29,$G14=29),0,1)</f>
        <v/>
      </c>
      <c r="DZ15">
        <f>DZ14*IF(OR($C14=30,$G14=30),0,1)</f>
        <v/>
      </c>
      <c r="EA15">
        <f>EA14*IF(OR($C14=31,$G14=31),0,1)</f>
        <v/>
      </c>
      <c r="EB15">
        <f>EB14*IF(OR($C14=32,$G14=32),0,1)</f>
        <v/>
      </c>
      <c r="EC15">
        <f>EC14*IF(OR($C14=33,$G14=33),0,1)</f>
        <v/>
      </c>
      <c r="ED15">
        <f>ED14*IF(OR($C14=34,$G14=34),0,1)</f>
        <v/>
      </c>
      <c r="EE15">
        <f>EE14*IF(OR($C14=35,$G14=35),0,1)</f>
        <v/>
      </c>
      <c r="EF15">
        <f>EF14*IF(OR($C14=36,$G14=36),0,1)</f>
        <v/>
      </c>
      <c r="EG15">
        <f>EG14*IF(OR($C14=37,$G14=37),0,1)</f>
        <v/>
      </c>
      <c r="EH15">
        <f>EH14*IF(OR($C14=38,$G14=38),0,1)</f>
        <v/>
      </c>
      <c r="EI15">
        <f>EI14*IF(OR($C14=39,$G14=39),0,1)</f>
        <v/>
      </c>
      <c r="EJ15">
        <f>EJ14*IF(OR($C14=40,$G14=40),0,1)</f>
        <v/>
      </c>
      <c r="EK15">
        <f>EK14*IF(OR($C14=41,$G14=41),0,1)</f>
        <v/>
      </c>
      <c r="EL15">
        <f>EL14*IF(OR($C14=42,$G14=42),0,1)</f>
        <v/>
      </c>
      <c r="EM15">
        <f>EM14*IF(OR($C14=43,$G14=43),0,1)</f>
        <v/>
      </c>
      <c r="EN15">
        <f>EN14*IF(OR($C14=44,$G14=44),0,1)</f>
        <v/>
      </c>
      <c r="EO15">
        <f>EO14*IF(OR($C14=45,$G14=45),0,1)</f>
        <v/>
      </c>
      <c r="EP15">
        <f>EP14*IF(OR($C14=46,$G14=46),0,1)</f>
        <v/>
      </c>
      <c r="EQ15">
        <f>EQ14*IF(OR($C14=47,$G14=47),0,1)</f>
        <v/>
      </c>
      <c r="ER15">
        <f>ER14*IF(OR($C14=48,$G14=48),0,1)</f>
        <v/>
      </c>
      <c r="ES15">
        <f>ES14*IF(OR($C14=49,$G14=49),0,1)</f>
        <v/>
      </c>
      <c r="ET15">
        <f>ET14*IF(OR($C14=50,$G14=50),0,1)</f>
        <v/>
      </c>
      <c r="EU15">
        <f>EU14*IF(OR($C14=51,$G14=51),0,1)</f>
        <v/>
      </c>
      <c r="EV15">
        <f>EV14*IF(OR($C14=52,$G14=52),0,1)</f>
        <v/>
      </c>
      <c r="EW15">
        <f>EW14*IF(OR($C14=53,$G14=53),0,1)</f>
        <v/>
      </c>
      <c r="EX15">
        <f>EX14*IF(OR($C14=54,$G14=54),0,1)</f>
        <v/>
      </c>
      <c r="EY15">
        <f>EY14*IF(OR($C14=55,$G14=55),0,1)</f>
        <v/>
      </c>
      <c r="EZ15">
        <f>EZ14*IF(OR($C14=56,$G14=56),0,1)</f>
        <v/>
      </c>
      <c r="FA15">
        <f>FA14*IF(OR($C14=57,$G14=57),0,1)</f>
        <v/>
      </c>
      <c r="FB15">
        <f>FB14*IF(OR($C14=58,$G14=58),0,1)</f>
        <v/>
      </c>
      <c r="FC15">
        <f>FC14*IF(OR($C14=59,$G14=59),0,1)</f>
        <v/>
      </c>
      <c r="FD15">
        <f>FD14*IF(OR($C14=60,$G14=60),0,1)</f>
        <v/>
      </c>
      <c r="FE15">
        <f>FE14*IF(OR($C14=61,$G14=61),0,1)</f>
        <v/>
      </c>
      <c r="FF15">
        <f>FF14*IF(OR($C14=62,$G14=62),0,1)</f>
        <v/>
      </c>
      <c r="FG15">
        <f>FG14*IF(OR($C14=63,$G14=63),0,1)</f>
        <v/>
      </c>
      <c r="FH15">
        <f>FH14*IF(OR($C14=64,$G14=64),0,1)</f>
        <v/>
      </c>
      <c r="FI15">
        <f>FI14*IF(OR($C14=65,$G14=65),0,1)</f>
        <v/>
      </c>
      <c r="FJ15">
        <f>FJ14*IF(OR($C14=66,$G14=66),0,1)</f>
        <v/>
      </c>
      <c r="FK15">
        <f>FK14*IF(OR($C14=67,$G14=67),0,1)</f>
        <v/>
      </c>
      <c r="FL15">
        <f>FL14*IF(OR($C14=68,$G14=68),0,1)</f>
        <v/>
      </c>
      <c r="FM15">
        <f>FM14*IF(OR($C14=69,$G14=69),0,1)</f>
        <v/>
      </c>
      <c r="FN15">
        <f>FN14*IF(OR($C14=70,$G14=70),0,1)</f>
        <v/>
      </c>
      <c r="FO15">
        <f>FO14*IF(OR($C14=71,$G14=71),0,1)</f>
        <v/>
      </c>
      <c r="FP15">
        <f>FP14*IF(OR($C14=72,$G14=72),0,1)</f>
        <v/>
      </c>
      <c r="FQ15">
        <f>FQ14*IF(OR($C14=73,$G14=73),0,1)</f>
        <v/>
      </c>
      <c r="FR15">
        <f>FR14*IF(OR($C14=74,$G14=74),0,1)</f>
        <v/>
      </c>
      <c r="FS15">
        <f>FS14*IF(OR($C14=75,$G14=75),0,1)</f>
        <v/>
      </c>
      <c r="FT15">
        <f>FT14*IF(OR($C14=76,$G14=76),0,1)</f>
        <v/>
      </c>
      <c r="FU15">
        <f>FU14*IF(OR($C14=77,$G14=77),0,1)</f>
        <v/>
      </c>
      <c r="FV15">
        <f>FV14*IF(OR($C14=78,$G14=78),0,1)</f>
        <v/>
      </c>
      <c r="FW15">
        <f>FW14*IF(OR($C14=79,$G14=79),0,1)</f>
        <v/>
      </c>
      <c r="FX15">
        <f>FX14*IF(OR($C14=80,$G14=80),0,1)</f>
        <v/>
      </c>
      <c r="FY15">
        <f>FY14*IF(OR($C14=81,$G14=81),0,1)</f>
        <v/>
      </c>
      <c r="FZ15">
        <f>FZ14*IF(OR($C14=82,$G14=82),0,1)</f>
        <v/>
      </c>
      <c r="GA15">
        <f>GA14*IF(OR($C14=83,$G14=83),0,1)</f>
        <v/>
      </c>
      <c r="GB15">
        <f>GB14*IF(OR($C14=84,$G14=84),0,1)</f>
        <v/>
      </c>
      <c r="GC15">
        <f>GC14*IF(OR($C14=85,$G14=85),0,1)</f>
        <v/>
      </c>
      <c r="GD15">
        <f>GD14*IF(OR($C14=86,$G14=86),0,1)</f>
        <v/>
      </c>
      <c r="GE15">
        <f>GE14*IF(OR($C14=87,$G14=87),0,1)</f>
        <v/>
      </c>
      <c r="GF15">
        <f>GF14*IF(OR($C14=88,$G14=88),0,1)</f>
        <v/>
      </c>
      <c r="GG15">
        <f>GG14*IF(OR($C14=89,$G14=89),0,1)</f>
        <v/>
      </c>
      <c r="GH15">
        <f>GH14*IF(OR($C14=90,$G14=90),0,1)</f>
        <v/>
      </c>
      <c r="GI15">
        <f>GI14*IF(OR($C14=91,$G14=91),0,1)</f>
        <v/>
      </c>
      <c r="GJ15">
        <f>GJ14*IF(OR($C14=92,$G14=92),0,1)</f>
        <v/>
      </c>
      <c r="GK15">
        <f>GK14*IF(OR($C14=93,$G14=93),0,1)</f>
        <v/>
      </c>
      <c r="GL15">
        <f>GL14*IF(OR($C14=94,$G14=94),0,1)</f>
        <v/>
      </c>
      <c r="GM15">
        <f>GM14*IF(OR($C14=95,$G14=95),0,1)</f>
        <v/>
      </c>
      <c r="GN15">
        <f>GN14*IF(OR($C14=96,$G14=96),0,1)</f>
        <v/>
      </c>
      <c r="GO15">
        <f>GO14*IF(OR($C14=97,$G14=97),0,1)</f>
        <v/>
      </c>
      <c r="GP15">
        <f>GP14*IF(OR($C14=98,$G14=98),0,1)</f>
        <v/>
      </c>
      <c r="GQ15">
        <f>GQ14*IF(OR($C14=99,$G14=99),0,1)</f>
        <v/>
      </c>
      <c r="GR15">
        <f>GR14*IF(OR($C14=100,$G14=100),0,1)</f>
        <v/>
      </c>
      <c r="GS15">
        <f>GS14*IF(OR($C14=101,$G14=101),0,1)</f>
        <v/>
      </c>
      <c r="GT15">
        <f>GT14*IF(OR($C14=102,$G14=102),0,1)</f>
        <v/>
      </c>
      <c r="GU15">
        <f>GU14*IF(OR($C14=103,$G14=103),0,1)</f>
        <v/>
      </c>
      <c r="GV15">
        <f>GV14*IF(OR($C14=104,$G14=104),0,1)</f>
        <v/>
      </c>
      <c r="GW15">
        <f>GW14*IF(OR($C14=105,$G14=105),0,1)</f>
        <v/>
      </c>
      <c r="GX15">
        <f>GX14*IF(OR($C14=106,$G14=106),0,1)</f>
        <v/>
      </c>
      <c r="GY15">
        <f>GY14*IF(OR($C14=107,$G14=107),0,1)</f>
        <v/>
      </c>
      <c r="GZ15">
        <f>GZ14*IF(OR($C14=108,$G14=108),0,1)</f>
        <v/>
      </c>
      <c r="HA15">
        <f>HA14*IF(OR($C14=109,$G14=109),0,1)</f>
        <v/>
      </c>
      <c r="HB15">
        <f>HB14*IF(OR($C14=110,$G14=110),0,1)</f>
        <v/>
      </c>
      <c r="HC15">
        <f>HC14*IF(OR($C14=111,$G14=111),0,1)</f>
        <v/>
      </c>
      <c r="HD15">
        <f>HD14*IF(OR($C14=112,$G14=112),0,1)</f>
        <v/>
      </c>
      <c r="HE15">
        <f>HE14*IF(OR($C14=113,$G14=113),0,1)</f>
        <v/>
      </c>
      <c r="HF15">
        <f>HF14*IF(OR($C14=114,$G14=114),0,1)</f>
        <v/>
      </c>
      <c r="HG15">
        <f>HG14*IF(OR($C14=115,$G14=115),0,1)</f>
        <v/>
      </c>
      <c r="HH15">
        <f>HH14*IF(OR($C14=116,$G14=116),0,1)</f>
        <v/>
      </c>
      <c r="HI15">
        <f>HI14*IF(OR($C14=117,$G14=117),0,1)</f>
        <v/>
      </c>
      <c r="HJ15">
        <f>HJ14*IF(OR($C14=118,$G14=118),0,1)</f>
        <v/>
      </c>
      <c r="HK15">
        <f>HK14*IF(OR($C14=119,$G14=119),0,1)</f>
        <v/>
      </c>
      <c r="HL15">
        <f>HL14*IF(OR($C14=120,$G14=120),0,1)</f>
        <v/>
      </c>
      <c r="HM15">
        <f>HM14*IF(OR($C14=121,$G14=121),0,1)</f>
        <v/>
      </c>
      <c r="HN15">
        <f>HN14*IF(OR($C14=122,$G14=122),0,1)</f>
        <v/>
      </c>
      <c r="HO15">
        <f>HO14*IF(OR($C14=123,$G14=123),0,1)</f>
        <v/>
      </c>
      <c r="HP15">
        <f>HP14*IF(OR($C14=124,$G14=124),0,1)</f>
        <v/>
      </c>
      <c r="HQ15">
        <f>HQ14*IF(OR($C14=125,$G14=125),0,1)</f>
        <v/>
      </c>
      <c r="HR15">
        <f>HR14*IF(OR($C14=126,$G14=126),0,1)</f>
        <v/>
      </c>
      <c r="HS15">
        <f>HS14*IF(OR($C14=127,$G14=127),0,1)</f>
        <v/>
      </c>
      <c r="HT15">
        <f>HT14*IF(OR($C14=128,$G14=128),0,1)</f>
        <v/>
      </c>
      <c r="HU15">
        <f>HU14*IF(OR($C14=129,$G14=129),0,1)</f>
        <v/>
      </c>
      <c r="HV15">
        <f>HV14*IF(OR($C14=130,$G14=130),0,1)</f>
        <v/>
      </c>
      <c r="HW15">
        <f>HW14*IF(OR($C14=131,$G14=131),0,1)</f>
        <v/>
      </c>
      <c r="HX15">
        <f>HX14*IF(OR($C14=132,$G14=132),0,1)</f>
        <v/>
      </c>
      <c r="HY15">
        <f>HY14*IF(OR($C14=133,$G14=133),0,1)</f>
        <v/>
      </c>
      <c r="HZ15">
        <f>HZ14*IF(OR($C14=134,$G14=134),0,1)</f>
        <v/>
      </c>
      <c r="IA15">
        <f>IA14*IF(OR($C14=135,$G14=135),0,1)</f>
        <v/>
      </c>
      <c r="IB15">
        <f>IB14*IF(OR($C14=136,$G14=136),0,1)</f>
        <v/>
      </c>
      <c r="IC15">
        <f>IC14*IF(OR($C14=137,$G14=137),0,1)</f>
        <v/>
      </c>
      <c r="ID15">
        <f>ID14*IF(OR($C14=138,$G14=138),0,1)</f>
        <v/>
      </c>
      <c r="IE15">
        <f>IE14*IF(OR($C14=139,$G14=139),0,1)</f>
        <v/>
      </c>
      <c r="IF15">
        <f>IF14*IF(OR($C14=140,$G14=140),0,1)</f>
        <v/>
      </c>
      <c r="IG15">
        <f>IG14*IF(OR($C14=141,$G14=141),0,1)</f>
        <v/>
      </c>
      <c r="IH15">
        <f>IH14*IF(OR($C14=142,$G14=142),0,1)</f>
        <v/>
      </c>
      <c r="II15">
        <f>II14*IF(OR($C14=143,$G14=143),0,1)</f>
        <v/>
      </c>
      <c r="IJ15">
        <f>IJ14*IF(OR($C14=144,$G14=144),0,1)</f>
        <v/>
      </c>
      <c r="IK15">
        <f>IK14*IF(OR($C14=145,$G14=145),0,1)</f>
        <v/>
      </c>
      <c r="IL15">
        <f>IL14*IF(OR($C14=146,$G14=146),0,1)</f>
        <v/>
      </c>
      <c r="IM15">
        <f>IM14*IF(OR($C14=147,$G14=147),0,1)</f>
        <v/>
      </c>
      <c r="IN15">
        <f>IN14*IF(OR($C14=148,$G14=148),0,1)</f>
        <v/>
      </c>
      <c r="IO15">
        <f>IO14*IF(OR($C14=149,$G14=149),0,1)</f>
        <v/>
      </c>
      <c r="IP15">
        <f>IP14*IF(OR($C14=150,$G14=150),0,1)</f>
        <v/>
      </c>
      <c r="IQ15">
        <f>IQ14*IF(OR($C14=151,$G14=151),0,1)</f>
        <v/>
      </c>
      <c r="IR15">
        <f>IR14*IF(OR($C14=152,$G14=152),0,1)</f>
        <v/>
      </c>
      <c r="IS15">
        <f>IS14*IF(OR($C14=153,$G14=153),0,1)</f>
        <v/>
      </c>
      <c r="IT15">
        <f>IT14*IF(OR($C14=154,$G14=154),0,1)</f>
        <v/>
      </c>
      <c r="IU15">
        <f>IU14*IF(OR($C14=155,$G14=155),0,1)</f>
        <v/>
      </c>
      <c r="IV15">
        <f>IV14*IF(OR($C14=156,$G14=156),0,1)</f>
        <v/>
      </c>
      <c r="IW15">
        <f>IW14*IF(OR($C14=157,$G14=157),0,1)</f>
        <v/>
      </c>
      <c r="IX15">
        <f>IX14*IF(OR($C14=158,$G14=158),0,1)</f>
        <v/>
      </c>
      <c r="IY15">
        <f>IY14*IF(OR($C14=159,$G14=159),0,1)</f>
        <v/>
      </c>
      <c r="IZ15">
        <f>IZ14*IF(OR($C14=160,$G14=160),0,1)</f>
        <v/>
      </c>
      <c r="JA15">
        <f>JA14*IF(OR($C14=161,$G14=161),0,1)</f>
        <v/>
      </c>
      <c r="JB15">
        <f>JB14*IF(OR($C14=162,$G14=162),0,1)</f>
        <v/>
      </c>
      <c r="JC15">
        <f>JC14*IF(OR($C14=163,$G14=163),0,1)</f>
        <v/>
      </c>
      <c r="JD15">
        <f>JD14*IF(OR($C14=164,$G14=164),0,1)</f>
        <v/>
      </c>
      <c r="JE15">
        <f>JE14*IF(OR($C14=165,$G14=165),0,1)</f>
        <v/>
      </c>
      <c r="JF15">
        <f>JF14*IF(OR($C14=166,$G14=166),0,1)</f>
        <v/>
      </c>
      <c r="JG15">
        <f>JG14*IF(OR($C14=167,$G14=167),0,1)</f>
        <v/>
      </c>
      <c r="JH15">
        <f>JH14*IF(OR($C14=168,$G14=168),0,1)</f>
        <v/>
      </c>
      <c r="JI15">
        <f>JI14*IF(OR($C14=169,$G14=169),0,1)</f>
        <v/>
      </c>
      <c r="JJ15">
        <f>JJ14*IF(OR($C14=170,$G14=170),0,1)</f>
        <v/>
      </c>
      <c r="JK15">
        <f>JK14*IF(OR($C14=171,$G14=171),0,1)</f>
        <v/>
      </c>
      <c r="JL15">
        <f>JL14*IF(OR($C14=172,$G14=172),0,1)</f>
        <v/>
      </c>
      <c r="JM15">
        <f>JM14*IF(OR($C14=173,$G14=173),0,1)</f>
        <v/>
      </c>
      <c r="JN15">
        <f>JN14*IF(OR($C14=174,$G14=174),0,1)</f>
        <v/>
      </c>
      <c r="JO15">
        <f>JO14*IF(OR($C14=175,$G14=175),0,1)</f>
        <v/>
      </c>
      <c r="JP15">
        <f>JP14*IF(OR($C14=176,$G14=176),0,1)</f>
        <v/>
      </c>
      <c r="JQ15">
        <f>JQ14*IF(OR($C14=177,$G14=177),0,1)</f>
        <v/>
      </c>
      <c r="JR15">
        <f>JR14*IF(OR($C14=178,$G14=178),0,1)</f>
        <v/>
      </c>
      <c r="JS15">
        <f>JS14*IF(OR($C14=179,$G14=179),0,1)</f>
        <v/>
      </c>
      <c r="JT15">
        <f>JT14*IF(OR($C14=180,$G14=180),0,1)</f>
        <v/>
      </c>
      <c r="JU15">
        <f>JU14*IF(OR($C14=181,$G14=181),0,1)</f>
        <v/>
      </c>
      <c r="JV15">
        <f>JV14*IF(OR($C14=182,$G14=182),0,1)</f>
        <v/>
      </c>
      <c r="JW15">
        <f>JW14*IF(OR($C14=183,$G14=183),0,1)</f>
        <v/>
      </c>
      <c r="JX15">
        <f>JX14*IF(OR($C14=184,$G14=184),0,1)</f>
        <v/>
      </c>
      <c r="JY15">
        <f>JY14*IF(OR($C14=185,$G14=185),0,1)</f>
        <v/>
      </c>
      <c r="JZ15">
        <f>JZ14*IF(OR($C14=186,$G14=186),0,1)</f>
        <v/>
      </c>
      <c r="KA15">
        <f>KA14*IF(OR($C14=187,$G14=187),0,1)</f>
        <v/>
      </c>
      <c r="KB15">
        <f>KB14*IF(OR($C14=188,$G14=188),0,1)</f>
        <v/>
      </c>
      <c r="KC15">
        <f>KC14*IF(OR($C14=189,$G14=189),0,1)</f>
        <v/>
      </c>
      <c r="KD15">
        <f>KD14*IF(OR($C14=190,$G14=190),0,1)</f>
        <v/>
      </c>
      <c r="KE15">
        <f>KE14*IF(OR($C14=191,$G14=191),0,1)</f>
        <v/>
      </c>
      <c r="KF15">
        <f>KF14*IF(OR($C14=192,$G14=192),0,1)</f>
        <v/>
      </c>
      <c r="KG15">
        <f>KG14*IF(OR($C14=193,$G14=193),0,1)</f>
        <v/>
      </c>
      <c r="KH15">
        <f>KH14*IF(OR($C14=194,$G14=194),0,1)</f>
        <v/>
      </c>
      <c r="KI15">
        <f>KI14*IF(OR($C14=195,$G14=195),0,1)</f>
        <v/>
      </c>
      <c r="KJ15">
        <f>KJ14*IF(OR($C14=196,$G14=196),0,1)</f>
        <v/>
      </c>
      <c r="KK15">
        <f>KK14*IF(OR($C14=197,$G14=197),0,1)</f>
        <v/>
      </c>
      <c r="KL15">
        <f>KL14*IF(OR($C14=198,$G14=198),0,1)</f>
        <v/>
      </c>
      <c r="KM15">
        <f>KM14*IF(OR($C14=199,$G14=199),0,1)</f>
        <v/>
      </c>
      <c r="KN15">
        <f>KN14*IF(OR($C14=200,$G14=200),0,1)</f>
        <v/>
      </c>
      <c r="KO15">
        <f>KO14*IF(OR($C14=201,$G14=201),0,1)</f>
        <v/>
      </c>
      <c r="KP15">
        <f>KP14*IF(OR($C14=202,$G14=202),0,1)</f>
        <v/>
      </c>
      <c r="KQ15">
        <f>KQ14*IF(OR($C14=203,$G14=203),0,1)</f>
        <v/>
      </c>
      <c r="KR15">
        <f>KR14*IF(OR($C14=204,$G14=204),0,1)</f>
        <v/>
      </c>
      <c r="KS15">
        <f>KS14*IF(OR($C14=205,$G14=205),0,1)</f>
        <v/>
      </c>
      <c r="KT15">
        <f>KT14*IF(OR($C14=206,$G14=206),0,1)</f>
        <v/>
      </c>
      <c r="KU15">
        <f>KU14*IF(OR($C14=207,$G14=207),0,1)</f>
        <v/>
      </c>
      <c r="KV15">
        <f>KV14*IF(OR($C14=208,$G14=208),0,1)</f>
        <v/>
      </c>
      <c r="KW15">
        <f>KW14*IF(OR($C14=209,$G14=209),0,1)</f>
        <v/>
      </c>
      <c r="KX15">
        <f>KX14*IF(OR($C14=210,$G14=210),0,1)</f>
        <v/>
      </c>
      <c r="KY15">
        <f>KY14*IF(OR($C14=211,$G14=211),0,1)</f>
        <v/>
      </c>
      <c r="KZ15">
        <f>KZ14*IF(OR($C14=212,$G14=212),0,1)</f>
        <v/>
      </c>
      <c r="LA15">
        <f>LA14*IF(OR($C14=213,$G14=213),0,1)</f>
        <v/>
      </c>
      <c r="LB15">
        <f>LB14*IF(OR($C14=214,$G14=214),0,1)</f>
        <v/>
      </c>
      <c r="LC15">
        <f>LC14*IF(OR($C14=215,$G14=215),0,1)</f>
        <v/>
      </c>
      <c r="LD15">
        <f>LD14*IF(OR($C14=216,$G14=216),0,1)</f>
        <v/>
      </c>
      <c r="LE15">
        <f>LE14*IF(OR($C14=217,$G14=217),0,1)</f>
        <v/>
      </c>
      <c r="LF15">
        <f>LF14*IF(OR($C14=218,$G14=218),0,1)</f>
        <v/>
      </c>
      <c r="LG15">
        <f>LG14*IF(OR($C14=219,$G14=219),0,1)</f>
        <v/>
      </c>
      <c r="LH15">
        <f>LH14*IF(OR($C14=220,$G14=220),0,1)</f>
        <v/>
      </c>
      <c r="LI15">
        <f>LI14*IF(OR($C14=221,$G14=221),0,1)</f>
        <v/>
      </c>
      <c r="LJ15">
        <f>LJ14*IF(OR($C14=222,$G14=222),0,1)</f>
        <v/>
      </c>
      <c r="LK15">
        <f>LK14*IF(OR($C14=223,$G14=223),0,1)</f>
        <v/>
      </c>
      <c r="LL15">
        <f>LL14*IF(OR($C14=224,$G14=224),0,1)</f>
        <v/>
      </c>
      <c r="LM15">
        <f>LM14*IF(OR($C14=225,$G14=225),0,1)</f>
        <v/>
      </c>
      <c r="LN15">
        <f>LN14*IF(OR($C14=226,$G14=226),0,1)</f>
        <v/>
      </c>
      <c r="LO15">
        <f>LO14*IF(OR($C14=227,$G14=227),0,1)</f>
        <v/>
      </c>
      <c r="LP15">
        <f>LP14*IF(OR($C14=228,$G14=228),0,1)</f>
        <v/>
      </c>
      <c r="LQ15">
        <f>LQ14*IF(OR($C14=229,$G14=229),0,1)</f>
        <v/>
      </c>
      <c r="LR15">
        <f>LR14*IF(OR($C14=230,$G14=230),0,1)</f>
        <v/>
      </c>
      <c r="LS15">
        <f>LS14*IF(OR($C14=231,$G14=231),0,1)</f>
        <v/>
      </c>
      <c r="LT15">
        <f>LT14*IF(OR($C14=232,$G14=232),0,1)</f>
        <v/>
      </c>
      <c r="LU15">
        <f>LU14*IF(OR($C14=233,$G14=233),0,1)</f>
        <v/>
      </c>
      <c r="LV15">
        <f>LV14*IF(OR($C14=234,$G14=234),0,1)</f>
        <v/>
      </c>
      <c r="LW15">
        <f>LW14*IF(OR($C14=235,$G14=235),0,1)</f>
        <v/>
      </c>
      <c r="LX15">
        <f>LX14*IF(OR($C14=236,$G14=236),0,1)</f>
        <v/>
      </c>
      <c r="LY15">
        <f>LY14*IF(OR($C14=237,$G14=237),0,1)</f>
        <v/>
      </c>
      <c r="LZ15">
        <f>LZ14*IF(OR($C14=238,$G14=238),0,1)</f>
        <v/>
      </c>
      <c r="MA15">
        <f>MA14*IF(OR($C14=239,$G14=239),0,1)</f>
        <v/>
      </c>
      <c r="MB15">
        <f>MB14*IF(OR($C14=240,$G14=240),0,1)</f>
        <v/>
      </c>
      <c r="MD15">
        <f>IF('計算A'!D$106=1,CX15,1)</f>
        <v/>
      </c>
      <c r="ME15">
        <f>IF('計算A'!E$106=1,CY15,1)</f>
        <v/>
      </c>
      <c r="MF15">
        <f>IF('計算A'!F$106=1,CZ15,1)</f>
        <v/>
      </c>
      <c r="MG15">
        <f>IF('計算A'!G$106=1,DA15,1)</f>
        <v/>
      </c>
      <c r="MH15">
        <f>IF('計算A'!H$106=1,DB15,1)</f>
        <v/>
      </c>
      <c r="MI15">
        <f>IF('計算A'!I$106=1,DC15,1)</f>
        <v/>
      </c>
      <c r="MJ15">
        <f>IF('計算A'!J$106=1,DD15,1)</f>
        <v/>
      </c>
      <c r="MK15">
        <f>IF('計算A'!K$106=1,DE15,1)</f>
        <v/>
      </c>
      <c r="ML15">
        <f>IF('計算A'!L$106=1,DF15,1)</f>
        <v/>
      </c>
      <c r="MM15">
        <f>IF('計算A'!M$106=1,DG15,1)</f>
        <v/>
      </c>
      <c r="MN15">
        <f>IF('計算A'!N$106=1,DH15,1)</f>
        <v/>
      </c>
      <c r="MO15">
        <f>IF('計算A'!O$106=1,DI15,1)</f>
        <v/>
      </c>
      <c r="MP15">
        <f>IF('計算A'!P$106=1,DJ15,1)</f>
        <v/>
      </c>
      <c r="MQ15">
        <f>IF('計算A'!Q$106=1,DK15,1)</f>
        <v/>
      </c>
      <c r="MR15">
        <f>IF('計算A'!R$106=1,DL15,1)</f>
        <v/>
      </c>
      <c r="MS15">
        <f>IF('計算A'!S$106=1,DM15,1)</f>
        <v/>
      </c>
      <c r="MT15">
        <f>IF('計算A'!T$106=1,DN15,1)</f>
        <v/>
      </c>
      <c r="MU15">
        <f>IF('計算A'!U$106=1,DO15,1)</f>
        <v/>
      </c>
      <c r="MV15">
        <f>IF('計算A'!V$106=1,DP15,1)</f>
        <v/>
      </c>
      <c r="MW15">
        <f>IF('計算A'!W$106=1,DQ15,1)</f>
        <v/>
      </c>
      <c r="MX15">
        <f>IF('計算A'!X$106=1,DR15,1)</f>
        <v/>
      </c>
      <c r="MY15">
        <f>IF('計算A'!Y$106=1,DS15,1)</f>
        <v/>
      </c>
      <c r="MZ15">
        <f>IF('計算A'!Z$106=1,DT15,1)</f>
        <v/>
      </c>
      <c r="NA15">
        <f>IF('計算A'!AA$106=1,DU15,1)</f>
        <v/>
      </c>
      <c r="NB15">
        <f>IF('計算A'!AB$106=1,DV15,1)</f>
        <v/>
      </c>
      <c r="NC15">
        <f>IF('計算A'!AC$106=1,DW15,1)</f>
        <v/>
      </c>
      <c r="ND15">
        <f>IF('計算A'!AD$106=1,DX15,1)</f>
        <v/>
      </c>
      <c r="NE15">
        <f>IF('計算A'!AE$106=1,DY15,1)</f>
        <v/>
      </c>
      <c r="NF15">
        <f>IF('計算A'!AF$106=1,DZ15,1)</f>
        <v/>
      </c>
      <c r="NG15">
        <f>IF('計算A'!AG$106=1,EA15,1)</f>
        <v/>
      </c>
      <c r="NH15">
        <f>IF('計算A'!AH$106=1,EB15,1)</f>
        <v/>
      </c>
      <c r="NI15">
        <f>IF('計算A'!AI$106=1,EC15,1)</f>
        <v/>
      </c>
      <c r="NJ15">
        <f>IF('計算A'!AJ$106=1,ED15,1)</f>
        <v/>
      </c>
      <c r="NK15">
        <f>IF('計算A'!AK$106=1,EE15,1)</f>
        <v/>
      </c>
      <c r="NL15">
        <f>IF('計算A'!AL$106=1,EF15,1)</f>
        <v/>
      </c>
      <c r="NM15">
        <f>IF('計算A'!AM$106=1,EG15,1)</f>
        <v/>
      </c>
      <c r="NN15">
        <f>IF('計算A'!AN$106=1,EH15,1)</f>
        <v/>
      </c>
      <c r="NO15">
        <f>IF('計算A'!AO$106=1,EI15,1)</f>
        <v/>
      </c>
      <c r="NP15">
        <f>IF('計算A'!AP$106=1,EJ15,1)</f>
        <v/>
      </c>
      <c r="NQ15">
        <f>IF('計算A'!AQ$106=1,EK15,1)</f>
        <v/>
      </c>
      <c r="NR15">
        <f>IF('計算A'!AR$106=1,EL15,1)</f>
        <v/>
      </c>
      <c r="NS15">
        <f>IF('計算A'!AS$106=1,EM15,1)</f>
        <v/>
      </c>
      <c r="NT15">
        <f>IF('計算A'!AT$106=1,EN15,1)</f>
        <v/>
      </c>
      <c r="NU15">
        <f>IF('計算A'!AU$106=1,EO15,1)</f>
        <v/>
      </c>
      <c r="NV15">
        <f>IF('計算A'!AV$106=1,EP15,1)</f>
        <v/>
      </c>
      <c r="NW15">
        <f>IF('計算A'!AW$106=1,EQ15,1)</f>
        <v/>
      </c>
      <c r="NX15">
        <f>IF('計算A'!AX$106=1,ER15,1)</f>
        <v/>
      </c>
      <c r="NY15">
        <f>IF('計算A'!AY$106=1,ES15,1)</f>
        <v/>
      </c>
      <c r="NZ15">
        <f>IF('計算A'!AZ$106=1,ET15,1)</f>
        <v/>
      </c>
      <c r="OA15">
        <f>IF('計算A'!BA$106=1,EU15,1)</f>
        <v/>
      </c>
      <c r="OB15">
        <f>IF('計算A'!BB$106=1,EV15,1)</f>
        <v/>
      </c>
      <c r="OC15">
        <f>IF('計算A'!BC$106=1,EW15,1)</f>
        <v/>
      </c>
      <c r="OD15">
        <f>IF('計算A'!BD$106=1,EX15,1)</f>
        <v/>
      </c>
      <c r="OE15">
        <f>IF('計算A'!BE$106=1,EY15,1)</f>
        <v/>
      </c>
      <c r="OF15">
        <f>IF('計算A'!BF$106=1,EZ15,1)</f>
        <v/>
      </c>
      <c r="OG15">
        <f>IF('計算A'!BG$106=1,FA15,1)</f>
        <v/>
      </c>
      <c r="OH15">
        <f>IF('計算A'!BH$106=1,FB15,1)</f>
        <v/>
      </c>
      <c r="OI15">
        <f>IF('計算A'!BI$106=1,FC15,1)</f>
        <v/>
      </c>
      <c r="OJ15">
        <f>IF('計算A'!BJ$106=1,FD15,1)</f>
        <v/>
      </c>
      <c r="OK15">
        <f>IF('計算A'!BK$106=1,FE15,1)</f>
        <v/>
      </c>
      <c r="OL15">
        <f>IF('計算A'!BL$106=1,FF15,1)</f>
        <v/>
      </c>
      <c r="OM15">
        <f>IF('計算A'!BM$106=1,FG15,1)</f>
        <v/>
      </c>
      <c r="ON15">
        <f>IF('計算A'!BN$106=1,FH15,1)</f>
        <v/>
      </c>
      <c r="OO15">
        <f>IF('計算A'!BO$106=1,FI15,1)</f>
        <v/>
      </c>
      <c r="OP15">
        <f>IF('計算A'!BP$106=1,FJ15,1)</f>
        <v/>
      </c>
      <c r="OQ15">
        <f>IF('計算A'!BQ$106=1,FK15,1)</f>
        <v/>
      </c>
      <c r="OR15">
        <f>IF('計算A'!BR$106=1,FL15,1)</f>
        <v/>
      </c>
      <c r="OS15">
        <f>IF('計算A'!BS$106=1,FM15,1)</f>
        <v/>
      </c>
      <c r="OT15">
        <f>IF('計算A'!BT$106=1,FN15,1)</f>
        <v/>
      </c>
      <c r="OU15">
        <f>IF('計算A'!BU$106=1,FO15,1)</f>
        <v/>
      </c>
      <c r="OV15">
        <f>IF('計算A'!BV$106=1,FP15,1)</f>
        <v/>
      </c>
      <c r="OW15">
        <f>IF('計算A'!BW$106=1,FQ15,1)</f>
        <v/>
      </c>
      <c r="OX15">
        <f>IF('計算A'!BX$106=1,FR15,1)</f>
        <v/>
      </c>
      <c r="OY15">
        <f>IF('計算A'!BY$106=1,FS15,1)</f>
        <v/>
      </c>
      <c r="OZ15">
        <f>IF('計算A'!BZ$106=1,FT15,1)</f>
        <v/>
      </c>
      <c r="PA15">
        <f>IF('計算A'!CA$106=1,FU15,1)</f>
        <v/>
      </c>
      <c r="PB15">
        <f>IF('計算A'!CB$106=1,FV15,1)</f>
        <v/>
      </c>
      <c r="PC15">
        <f>IF('計算A'!CC$106=1,FW15,1)</f>
        <v/>
      </c>
      <c r="PD15">
        <f>IF('計算A'!CD$106=1,FX15,1)</f>
        <v/>
      </c>
      <c r="PE15">
        <f>IF('計算A'!CE$106=1,FY15,1)</f>
        <v/>
      </c>
      <c r="PF15">
        <f>IF('計算A'!CF$106=1,FZ15,1)</f>
        <v/>
      </c>
      <c r="PG15">
        <f>IF('計算A'!CG$106=1,GA15,1)</f>
        <v/>
      </c>
      <c r="PH15">
        <f>IF('計算A'!CH$106=1,GB15,1)</f>
        <v/>
      </c>
      <c r="PI15">
        <f>IF('計算A'!CI$106=1,GC15,1)</f>
        <v/>
      </c>
      <c r="PJ15">
        <f>IF('計算A'!CJ$106=1,GD15,1)</f>
        <v/>
      </c>
      <c r="PK15">
        <f>IF('計算A'!CK$106=1,GE15,1)</f>
        <v/>
      </c>
      <c r="PL15">
        <f>IF('計算A'!CL$106=1,GF15,1)</f>
        <v/>
      </c>
      <c r="PM15">
        <f>IF('計算A'!CM$106=1,GG15,1)</f>
        <v/>
      </c>
      <c r="PN15">
        <f>IF('計算A'!CN$106=1,GH15,1)</f>
        <v/>
      </c>
      <c r="PO15">
        <f>IF('計算A'!CO$106=1,GI15,1)</f>
        <v/>
      </c>
      <c r="PP15">
        <f>IF('計算A'!CP$106=1,GJ15,1)</f>
        <v/>
      </c>
      <c r="PQ15">
        <f>IF('計算A'!CQ$106=1,GK15,1)</f>
        <v/>
      </c>
      <c r="PR15">
        <f>IF('計算A'!CR$106=1,GL15,1)</f>
        <v/>
      </c>
      <c r="PS15">
        <f>IF('計算A'!CS$106=1,GM15,1)</f>
        <v/>
      </c>
      <c r="PT15">
        <f>IF('計算A'!CT$106=1,GN15,1)</f>
        <v/>
      </c>
      <c r="PU15">
        <f>IF('計算A'!CU$106=1,GO15,1)</f>
        <v/>
      </c>
      <c r="PV15">
        <f>IF('計算A'!CV$106=1,GP15,1)</f>
        <v/>
      </c>
      <c r="PW15">
        <f>IF('計算A'!CW$106=1,GQ15,1)</f>
        <v/>
      </c>
      <c r="PX15">
        <f>IF('計算A'!CX$106=1,GR15,1)</f>
        <v/>
      </c>
      <c r="PY15">
        <f>IF('計算A'!CY$106=1,GS15,1)</f>
        <v/>
      </c>
      <c r="PZ15">
        <f>IF('計算A'!CZ$106=1,GT15,1)</f>
        <v/>
      </c>
      <c r="QA15">
        <f>IF('計算A'!DA$106=1,GU15,1)</f>
        <v/>
      </c>
      <c r="QB15">
        <f>IF('計算A'!DB$106=1,GV15,1)</f>
        <v/>
      </c>
      <c r="QC15">
        <f>IF('計算A'!DC$106=1,GW15,1)</f>
        <v/>
      </c>
      <c r="QD15">
        <f>IF('計算A'!DD$106=1,GX15,1)</f>
        <v/>
      </c>
      <c r="QE15">
        <f>IF('計算A'!DE$106=1,GY15,1)</f>
        <v/>
      </c>
      <c r="QF15">
        <f>IF('計算A'!DF$106=1,GZ15,1)</f>
        <v/>
      </c>
      <c r="QG15">
        <f>IF('計算A'!DG$106=1,HA15,1)</f>
        <v/>
      </c>
      <c r="QH15">
        <f>IF('計算A'!DH$106=1,HB15,1)</f>
        <v/>
      </c>
      <c r="QI15">
        <f>IF('計算A'!DI$106=1,HC15,1)</f>
        <v/>
      </c>
      <c r="QJ15">
        <f>IF('計算A'!DJ$106=1,HD15,1)</f>
        <v/>
      </c>
      <c r="QK15">
        <f>IF('計算A'!DK$106=1,HE15,1)</f>
        <v/>
      </c>
      <c r="QL15">
        <f>IF('計算A'!DL$106=1,HF15,1)</f>
        <v/>
      </c>
      <c r="QM15">
        <f>IF('計算A'!DM$106=1,HG15,1)</f>
        <v/>
      </c>
      <c r="QN15">
        <f>IF('計算A'!DN$106=1,HH15,1)</f>
        <v/>
      </c>
      <c r="QO15">
        <f>IF('計算A'!DO$106=1,HI15,1)</f>
        <v/>
      </c>
      <c r="QP15">
        <f>IF('計算A'!DP$106=1,HJ15,1)</f>
        <v/>
      </c>
      <c r="QQ15">
        <f>IF('計算A'!DQ$106=1,HK15,1)</f>
        <v/>
      </c>
      <c r="QR15">
        <f>IF('計算A'!DR$106=1,HL15,1)</f>
        <v/>
      </c>
      <c r="QS15">
        <f>IF('計算A'!DS$106=1,HM15,1)</f>
        <v/>
      </c>
      <c r="QT15">
        <f>IF('計算A'!DT$106=1,HN15,1)</f>
        <v/>
      </c>
      <c r="QU15">
        <f>IF('計算A'!DU$106=1,HO15,1)</f>
        <v/>
      </c>
      <c r="QV15">
        <f>IF('計算A'!DV$106=1,HP15,1)</f>
        <v/>
      </c>
      <c r="QW15">
        <f>IF('計算A'!DW$106=1,HQ15,1)</f>
        <v/>
      </c>
      <c r="QX15">
        <f>IF('計算A'!DX$106=1,HR15,1)</f>
        <v/>
      </c>
      <c r="QY15">
        <f>IF('計算A'!DY$106=1,HS15,1)</f>
        <v/>
      </c>
      <c r="QZ15">
        <f>IF('計算A'!DZ$106=1,HT15,1)</f>
        <v/>
      </c>
      <c r="RA15">
        <f>IF('計算A'!EA$106=1,HU15,1)</f>
        <v/>
      </c>
      <c r="RB15">
        <f>IF('計算A'!EB$106=1,HV15,1)</f>
        <v/>
      </c>
      <c r="RC15">
        <f>IF('計算A'!EC$106=1,HW15,1)</f>
        <v/>
      </c>
      <c r="RD15">
        <f>IF('計算A'!ED$106=1,HX15,1)</f>
        <v/>
      </c>
      <c r="RE15">
        <f>IF('計算A'!EE$106=1,HY15,1)</f>
        <v/>
      </c>
      <c r="RF15">
        <f>IF('計算A'!EF$106=1,HZ15,1)</f>
        <v/>
      </c>
      <c r="RG15">
        <f>IF('計算A'!EG$106=1,IA15,1)</f>
        <v/>
      </c>
      <c r="RH15">
        <f>IF('計算A'!EH$106=1,IB15,1)</f>
        <v/>
      </c>
      <c r="RI15">
        <f>IF('計算A'!EI$106=1,IC15,1)</f>
        <v/>
      </c>
      <c r="RJ15">
        <f>IF('計算A'!EJ$106=1,ID15,1)</f>
        <v/>
      </c>
      <c r="RK15">
        <f>IF('計算A'!EK$106=1,IE15,1)</f>
        <v/>
      </c>
      <c r="RL15">
        <f>IF('計算A'!EL$106=1,IF15,1)</f>
        <v/>
      </c>
      <c r="RM15">
        <f>IF('計算A'!EM$106=1,IG15,1)</f>
        <v/>
      </c>
      <c r="RN15">
        <f>IF('計算A'!EN$106=1,IH15,1)</f>
        <v/>
      </c>
      <c r="RO15">
        <f>IF('計算A'!EO$106=1,II15,1)</f>
        <v/>
      </c>
      <c r="RP15">
        <f>IF('計算A'!EP$106=1,IJ15,1)</f>
        <v/>
      </c>
      <c r="RQ15">
        <f>IF('計算A'!EQ$106=1,IK15,1)</f>
        <v/>
      </c>
      <c r="RR15">
        <f>IF('計算A'!ER$106=1,IL15,1)</f>
        <v/>
      </c>
      <c r="RS15">
        <f>IF('計算A'!ES$106=1,IM15,1)</f>
        <v/>
      </c>
      <c r="RT15">
        <f>IF('計算A'!ET$106=1,IN15,1)</f>
        <v/>
      </c>
      <c r="RU15">
        <f>IF('計算A'!EU$106=1,IO15,1)</f>
        <v/>
      </c>
      <c r="RV15">
        <f>IF('計算A'!EV$106=1,IP15,1)</f>
        <v/>
      </c>
      <c r="RW15">
        <f>IF('計算A'!EW$106=1,IQ15,1)</f>
        <v/>
      </c>
      <c r="RX15">
        <f>IF('計算A'!EX$106=1,IR15,1)</f>
        <v/>
      </c>
      <c r="RY15">
        <f>IF('計算A'!EY$106=1,IS15,1)</f>
        <v/>
      </c>
      <c r="RZ15">
        <f>IF('計算A'!EZ$106=1,IT15,1)</f>
        <v/>
      </c>
      <c r="SA15">
        <f>IF('計算A'!FA$106=1,IU15,1)</f>
        <v/>
      </c>
      <c r="SB15">
        <f>IF('計算A'!FB$106=1,IV15,1)</f>
        <v/>
      </c>
      <c r="SC15">
        <f>IF('計算A'!FC$106=1,IW15,1)</f>
        <v/>
      </c>
      <c r="SD15">
        <f>IF('計算A'!FD$106=1,IX15,1)</f>
        <v/>
      </c>
      <c r="SE15">
        <f>IF('計算A'!FE$106=1,IY15,1)</f>
        <v/>
      </c>
      <c r="SF15">
        <f>IF('計算A'!FF$106=1,IZ15,1)</f>
        <v/>
      </c>
      <c r="SG15">
        <f>IF('計算A'!FG$106=1,JA15,1)</f>
        <v/>
      </c>
      <c r="SH15">
        <f>IF('計算A'!FH$106=1,JB15,1)</f>
        <v/>
      </c>
      <c r="SI15">
        <f>IF('計算A'!FI$106=1,JC15,1)</f>
        <v/>
      </c>
      <c r="SJ15">
        <f>IF('計算A'!FJ$106=1,JD15,1)</f>
        <v/>
      </c>
      <c r="SK15">
        <f>IF('計算A'!FK$106=1,JE15,1)</f>
        <v/>
      </c>
      <c r="SL15">
        <f>IF('計算A'!FL$106=1,JF15,1)</f>
        <v/>
      </c>
      <c r="SM15">
        <f>IF('計算A'!FM$106=1,JG15,1)</f>
        <v/>
      </c>
      <c r="SN15">
        <f>IF('計算A'!FN$106=1,JH15,1)</f>
        <v/>
      </c>
      <c r="SO15">
        <f>IF('計算A'!FO$106=1,JI15,1)</f>
        <v/>
      </c>
      <c r="SP15">
        <f>IF('計算A'!FP$106=1,JJ15,1)</f>
        <v/>
      </c>
      <c r="SQ15">
        <f>IF('計算A'!FQ$106=1,JK15,1)</f>
        <v/>
      </c>
      <c r="SR15">
        <f>IF('計算A'!FR$106=1,JL15,1)</f>
        <v/>
      </c>
      <c r="SS15">
        <f>IF('計算A'!FS$106=1,JM15,1)</f>
        <v/>
      </c>
      <c r="ST15">
        <f>IF('計算A'!FT$106=1,JN15,1)</f>
        <v/>
      </c>
      <c r="SU15">
        <f>IF('計算A'!FU$106=1,JO15,1)</f>
        <v/>
      </c>
      <c r="SV15">
        <f>IF('計算A'!FV$106=1,JP15,1)</f>
        <v/>
      </c>
      <c r="SW15">
        <f>IF('計算A'!FW$106=1,JQ15,1)</f>
        <v/>
      </c>
      <c r="SX15">
        <f>IF('計算A'!FX$106=1,JR15,1)</f>
        <v/>
      </c>
      <c r="SY15">
        <f>IF('計算A'!FY$106=1,JS15,1)</f>
        <v/>
      </c>
      <c r="SZ15">
        <f>IF('計算A'!FZ$106=1,JT15,1)</f>
        <v/>
      </c>
      <c r="TA15">
        <f>IF('計算A'!GA$106=1,JU15,1)</f>
        <v/>
      </c>
      <c r="TB15">
        <f>IF('計算A'!GB$106=1,JV15,1)</f>
        <v/>
      </c>
      <c r="TC15">
        <f>IF('計算A'!GC$106=1,JW15,1)</f>
        <v/>
      </c>
      <c r="TD15">
        <f>IF('計算A'!GD$106=1,JX15,1)</f>
        <v/>
      </c>
      <c r="TE15">
        <f>IF('計算A'!GE$106=1,JY15,1)</f>
        <v/>
      </c>
      <c r="TF15">
        <f>IF('計算A'!GF$106=1,JZ15,1)</f>
        <v/>
      </c>
      <c r="TG15">
        <f>IF('計算A'!GG$106=1,KA15,1)</f>
        <v/>
      </c>
      <c r="TH15">
        <f>IF('計算A'!GH$106=1,KB15,1)</f>
        <v/>
      </c>
      <c r="TI15">
        <f>IF('計算A'!GI$106=1,KC15,1)</f>
        <v/>
      </c>
      <c r="TJ15">
        <f>IF('計算A'!GJ$106=1,KD15,1)</f>
        <v/>
      </c>
      <c r="TK15">
        <f>IF('計算A'!GK$106=1,KE15,1)</f>
        <v/>
      </c>
      <c r="TL15">
        <f>IF('計算A'!GL$106=1,KF15,1)</f>
        <v/>
      </c>
      <c r="TM15">
        <f>IF('計算A'!GM$106=1,KG15,1)</f>
        <v/>
      </c>
      <c r="TN15">
        <f>IF('計算A'!GN$106=1,KH15,1)</f>
        <v/>
      </c>
      <c r="TO15">
        <f>IF('計算A'!GO$106=1,KI15,1)</f>
        <v/>
      </c>
      <c r="TP15">
        <f>IF('計算A'!GP$106=1,KJ15,1)</f>
        <v/>
      </c>
      <c r="TQ15">
        <f>IF('計算A'!GQ$106=1,KK15,1)</f>
        <v/>
      </c>
      <c r="TR15">
        <f>IF('計算A'!GR$106=1,KL15,1)</f>
        <v/>
      </c>
      <c r="TS15">
        <f>IF('計算A'!GS$106=1,KM15,1)</f>
        <v/>
      </c>
      <c r="TT15">
        <f>IF('計算A'!GT$106=1,KN15,1)</f>
        <v/>
      </c>
      <c r="TU15">
        <f>IF('計算A'!GU$106=1,KO15,1)</f>
        <v/>
      </c>
      <c r="TV15">
        <f>IF('計算A'!GV$106=1,KP15,1)</f>
        <v/>
      </c>
      <c r="TW15">
        <f>IF('計算A'!GW$106=1,KQ15,1)</f>
        <v/>
      </c>
      <c r="TX15">
        <f>IF('計算A'!GX$106=1,KR15,1)</f>
        <v/>
      </c>
      <c r="TY15">
        <f>IF('計算A'!GY$106=1,KS15,1)</f>
        <v/>
      </c>
      <c r="TZ15">
        <f>IF('計算A'!GZ$106=1,KT15,1)</f>
        <v/>
      </c>
      <c r="UA15">
        <f>IF('計算A'!HA$106=1,KU15,1)</f>
        <v/>
      </c>
      <c r="UB15">
        <f>IF('計算A'!HB$106=1,KV15,1)</f>
        <v/>
      </c>
      <c r="UC15">
        <f>IF('計算A'!HC$106=1,KW15,1)</f>
        <v/>
      </c>
      <c r="UD15">
        <f>IF('計算A'!HD$106=1,KX15,1)</f>
        <v/>
      </c>
      <c r="UE15">
        <f>IF('計算A'!HE$106=1,KY15,1)</f>
        <v/>
      </c>
      <c r="UF15">
        <f>IF('計算A'!HF$106=1,KZ15,1)</f>
        <v/>
      </c>
      <c r="UG15">
        <f>IF('計算A'!HG$106=1,LA15,1)</f>
        <v/>
      </c>
      <c r="UH15">
        <f>IF('計算A'!HH$106=1,LB15,1)</f>
        <v/>
      </c>
      <c r="UI15">
        <f>IF('計算A'!HI$106=1,LC15,1)</f>
        <v/>
      </c>
      <c r="UJ15">
        <f>IF('計算A'!HJ$106=1,LD15,1)</f>
        <v/>
      </c>
      <c r="UK15">
        <f>IF('計算A'!HK$106=1,LE15,1)</f>
        <v/>
      </c>
      <c r="UL15">
        <f>IF('計算A'!HL$106=1,LF15,1)</f>
        <v/>
      </c>
      <c r="UM15">
        <f>IF('計算A'!HM$106=1,LG15,1)</f>
        <v/>
      </c>
      <c r="UN15">
        <f>IF('計算A'!HN$106=1,LH15,1)</f>
        <v/>
      </c>
      <c r="UO15">
        <f>IF('計算A'!HO$106=1,LI15,1)</f>
        <v/>
      </c>
      <c r="UP15">
        <f>IF('計算A'!HP$106=1,LJ15,1)</f>
        <v/>
      </c>
      <c r="UQ15">
        <f>IF('計算A'!HQ$106=1,LK15,1)</f>
        <v/>
      </c>
      <c r="UR15">
        <f>IF('計算A'!HR$106=1,LL15,1)</f>
        <v/>
      </c>
      <c r="US15">
        <f>IF('計算A'!HS$106=1,LM15,1)</f>
        <v/>
      </c>
      <c r="UT15">
        <f>IF('計算A'!HT$106=1,LN15,1)</f>
        <v/>
      </c>
      <c r="UU15">
        <f>IF('計算A'!HU$106=1,LO15,1)</f>
        <v/>
      </c>
      <c r="UV15">
        <f>IF('計算A'!HV$106=1,LP15,1)</f>
        <v/>
      </c>
      <c r="UW15">
        <f>IF('計算A'!HW$106=1,LQ15,1)</f>
        <v/>
      </c>
      <c r="UX15">
        <f>IF('計算A'!HX$106=1,LR15,1)</f>
        <v/>
      </c>
      <c r="UY15">
        <f>IF('計算A'!HY$106=1,LS15,1)</f>
        <v/>
      </c>
      <c r="UZ15">
        <f>IF('計算A'!HZ$106=1,LT15,1)</f>
        <v/>
      </c>
      <c r="VA15">
        <f>IF('計算A'!IA$106=1,LU15,1)</f>
        <v/>
      </c>
      <c r="VB15">
        <f>IF('計算A'!IB$106=1,LV15,1)</f>
        <v/>
      </c>
      <c r="VC15">
        <f>IF('計算A'!IC$106=1,LW15,1)</f>
        <v/>
      </c>
      <c r="VD15">
        <f>IF('計算A'!ID$106=1,LX15,1)</f>
        <v/>
      </c>
      <c r="VE15">
        <f>IF('計算A'!IE$106=1,LY15,1)</f>
        <v/>
      </c>
      <c r="VF15">
        <f>IF('計算A'!IF$106=1,LZ15,1)</f>
        <v/>
      </c>
      <c r="VG15">
        <f>IF('計算A'!IG$106=1,MA15,1)</f>
        <v/>
      </c>
      <c r="VH15">
        <f>IF('計算A'!IH$106=1,MB15,1)</f>
        <v/>
      </c>
      <c r="VI15" t="n">
        <v>1</v>
      </c>
      <c r="VK15">
        <f>IF($B15=0,1000000,IF(INDEX('計算A'!$D$60:$II$104,$B15,1)*CW15=1,IF(AND($E15=2,MD15=0),1000000,INDEX('計算A'!D$110:D$114,$F15+1)+IF(AND($E15=1,MD15=0),1000,0)),1000000))</f>
        <v/>
      </c>
      <c r="VL15">
        <f>IF($B15=0,1000000,IF(INDEX('計算A'!$D$60:$II$104,$B15,2)*CX15=1,IF(AND($E15=2,ME15=0),1000000,INDEX('計算A'!E$110:E$114,$F15+1)+IF(AND($E15=1,ME15=0),1000,0)),1000000))</f>
        <v/>
      </c>
      <c r="VM15">
        <f>IF($B15=0,1000000,IF(INDEX('計算A'!$D$60:$II$104,$B15,3)*CY15=1,IF(AND($E15=2,MF15=0),1000000,INDEX('計算A'!F$110:F$114,$F15+1)+IF(AND($E15=1,MF15=0),1000,0)),1000000))</f>
        <v/>
      </c>
      <c r="VN15">
        <f>IF($B15=0,1000000,IF(INDEX('計算A'!$D$60:$II$104,$B15,4)*CZ15=1,IF(AND($E15=2,MG15=0),1000000,INDEX('計算A'!G$110:G$114,$F15+1)+IF(AND($E15=1,MG15=0),1000,0)),1000000))</f>
        <v/>
      </c>
      <c r="VO15">
        <f>IF($B15=0,1000000,IF(INDEX('計算A'!$D$60:$II$104,$B15,5)*DA15=1,IF(AND($E15=2,MH15=0),1000000,INDEX('計算A'!H$110:H$114,$F15+1)+IF(AND($E15=1,MH15=0),1000,0)),1000000))</f>
        <v/>
      </c>
      <c r="VP15">
        <f>IF($B15=0,1000000,IF(INDEX('計算A'!$D$60:$II$104,$B15,6)*DB15=1,IF(AND($E15=2,MI15=0),1000000,INDEX('計算A'!I$110:I$114,$F15+1)+IF(AND($E15=1,MI15=0),1000,0)),1000000))</f>
        <v/>
      </c>
      <c r="VQ15">
        <f>IF($B15=0,1000000,IF(INDEX('計算A'!$D$60:$II$104,$B15,7)*DC15=1,IF(AND($E15=2,MJ15=0),1000000,INDEX('計算A'!J$110:J$114,$F15+1)+IF(AND($E15=1,MJ15=0),1000,0)),1000000))</f>
        <v/>
      </c>
      <c r="VR15">
        <f>IF($B15=0,1000000,IF(INDEX('計算A'!$D$60:$II$104,$B15,8)*DD15=1,IF(AND($E15=2,MK15=0),1000000,INDEX('計算A'!K$110:K$114,$F15+1)+IF(AND($E15=1,MK15=0),1000,0)),1000000))</f>
        <v/>
      </c>
      <c r="VS15">
        <f>IF($B15=0,1000000,IF(INDEX('計算A'!$D$60:$II$104,$B15,9)*DE15=1,IF(AND($E15=2,ML15=0),1000000,INDEX('計算A'!L$110:L$114,$F15+1)+IF(AND($E15=1,ML15=0),1000,0)),1000000))</f>
        <v/>
      </c>
      <c r="VT15">
        <f>IF($B15=0,1000000,IF(INDEX('計算A'!$D$60:$II$104,$B15,10)*DF15=1,IF(AND($E15=2,MM15=0),1000000,INDEX('計算A'!M$110:M$114,$F15+1)+IF(AND($E15=1,MM15=0),1000,0)),1000000))</f>
        <v/>
      </c>
      <c r="VU15">
        <f>IF($B15=0,1000000,IF(INDEX('計算A'!$D$60:$II$104,$B15,11)*DG15=1,IF(AND($E15=2,MN15=0),1000000,INDEX('計算A'!N$110:N$114,$F15+1)+IF(AND($E15=1,MN15=0),1000,0)),1000000))</f>
        <v/>
      </c>
      <c r="VV15">
        <f>IF($B15=0,1000000,IF(INDEX('計算A'!$D$60:$II$104,$B15,12)*DH15=1,IF(AND($E15=2,MO15=0),1000000,INDEX('計算A'!O$110:O$114,$F15+1)+IF(AND($E15=1,MO15=0),1000,0)),1000000))</f>
        <v/>
      </c>
      <c r="VW15">
        <f>IF($B15=0,1000000,IF(INDEX('計算A'!$D$60:$II$104,$B15,13)*DI15=1,IF(AND($E15=2,MP15=0),1000000,INDEX('計算A'!P$110:P$114,$F15+1)+IF(AND($E15=1,MP15=0),1000,0)),1000000))</f>
        <v/>
      </c>
      <c r="VX15">
        <f>IF($B15=0,1000000,IF(INDEX('計算A'!$D$60:$II$104,$B15,14)*DJ15=1,IF(AND($E15=2,MQ15=0),1000000,INDEX('計算A'!Q$110:Q$114,$F15+1)+IF(AND($E15=1,MQ15=0),1000,0)),1000000))</f>
        <v/>
      </c>
      <c r="VY15">
        <f>IF($B15=0,1000000,IF(INDEX('計算A'!$D$60:$II$104,$B15,15)*DK15=1,IF(AND($E15=2,MR15=0),1000000,INDEX('計算A'!R$110:R$114,$F15+1)+IF(AND($E15=1,MR15=0),1000,0)),1000000))</f>
        <v/>
      </c>
      <c r="VZ15">
        <f>IF($B15=0,1000000,IF(INDEX('計算A'!$D$60:$II$104,$B15,16)*DL15=1,IF(AND($E15=2,MS15=0),1000000,INDEX('計算A'!S$110:S$114,$F15+1)+IF(AND($E15=1,MS15=0),1000,0)),1000000))</f>
        <v/>
      </c>
      <c r="WA15">
        <f>IF($B15=0,1000000,IF(INDEX('計算A'!$D$60:$II$104,$B15,17)*DM15=1,IF(AND($E15=2,MT15=0),1000000,INDEX('計算A'!T$110:T$114,$F15+1)+IF(AND($E15=1,MT15=0),1000,0)),1000000))</f>
        <v/>
      </c>
      <c r="WB15">
        <f>IF($B15=0,1000000,IF(INDEX('計算A'!$D$60:$II$104,$B15,18)*DN15=1,IF(AND($E15=2,MU15=0),1000000,INDEX('計算A'!U$110:U$114,$F15+1)+IF(AND($E15=1,MU15=0),1000,0)),1000000))</f>
        <v/>
      </c>
      <c r="WC15">
        <f>IF($B15=0,1000000,IF(INDEX('計算A'!$D$60:$II$104,$B15,19)*DO15=1,IF(AND($E15=2,MV15=0),1000000,INDEX('計算A'!V$110:V$114,$F15+1)+IF(AND($E15=1,MV15=0),1000,0)),1000000))</f>
        <v/>
      </c>
      <c r="WD15">
        <f>IF($B15=0,1000000,IF(INDEX('計算A'!$D$60:$II$104,$B15,20)*DP15=1,IF(AND($E15=2,MW15=0),1000000,INDEX('計算A'!W$110:W$114,$F15+1)+IF(AND($E15=1,MW15=0),1000,0)),1000000))</f>
        <v/>
      </c>
      <c r="WE15">
        <f>IF($B15=0,1000000,IF(INDEX('計算A'!$D$60:$II$104,$B15,21)*DQ15=1,IF(AND($E15=2,MX15=0),1000000,INDEX('計算A'!X$110:X$114,$F15+1)+IF(AND($E15=1,MX15=0),1000,0)),1000000))</f>
        <v/>
      </c>
      <c r="WF15">
        <f>IF($B15=0,1000000,IF(INDEX('計算A'!$D$60:$II$104,$B15,22)*DR15=1,IF(AND($E15=2,MY15=0),1000000,INDEX('計算A'!Y$110:Y$114,$F15+1)+IF(AND($E15=1,MY15=0),1000,0)),1000000))</f>
        <v/>
      </c>
      <c r="WG15">
        <f>IF($B15=0,1000000,IF(INDEX('計算A'!$D$60:$II$104,$B15,23)*DS15=1,IF(AND($E15=2,MZ15=0),1000000,INDEX('計算A'!Z$110:Z$114,$F15+1)+IF(AND($E15=1,MZ15=0),1000,0)),1000000))</f>
        <v/>
      </c>
      <c r="WH15">
        <f>IF($B15=0,1000000,IF(INDEX('計算A'!$D$60:$II$104,$B15,24)*DT15=1,IF(AND($E15=2,NA15=0),1000000,INDEX('計算A'!AA$110:AA$114,$F15+1)+IF(AND($E15=1,NA15=0),1000,0)),1000000))</f>
        <v/>
      </c>
      <c r="WI15">
        <f>IF($B15=0,1000000,IF(INDEX('計算A'!$D$60:$II$104,$B15,25)*DU15=1,IF(AND($E15=2,NB15=0),1000000,INDEX('計算A'!AB$110:AB$114,$F15+1)+IF(AND($E15=1,NB15=0),1000,0)),1000000))</f>
        <v/>
      </c>
      <c r="WJ15">
        <f>IF($B15=0,1000000,IF(INDEX('計算A'!$D$60:$II$104,$B15,26)*DV15=1,IF(AND($E15=2,NC15=0),1000000,INDEX('計算A'!AC$110:AC$114,$F15+1)+IF(AND($E15=1,NC15=0),1000,0)),1000000))</f>
        <v/>
      </c>
      <c r="WK15">
        <f>IF($B15=0,1000000,IF(INDEX('計算A'!$D$60:$II$104,$B15,27)*DW15=1,IF(AND($E15=2,ND15=0),1000000,INDEX('計算A'!AD$110:AD$114,$F15+1)+IF(AND($E15=1,ND15=0),1000,0)),1000000))</f>
        <v/>
      </c>
      <c r="WL15">
        <f>IF($B15=0,1000000,IF(INDEX('計算A'!$D$60:$II$104,$B15,28)*DX15=1,IF(AND($E15=2,NE15=0),1000000,INDEX('計算A'!AE$110:AE$114,$F15+1)+IF(AND($E15=1,NE15=0),1000,0)),1000000))</f>
        <v/>
      </c>
      <c r="WM15">
        <f>IF($B15=0,1000000,IF(INDEX('計算A'!$D$60:$II$104,$B15,29)*DY15=1,IF(AND($E15=2,NF15=0),1000000,INDEX('計算A'!AF$110:AF$114,$F15+1)+IF(AND($E15=1,NF15=0),1000,0)),1000000))</f>
        <v/>
      </c>
      <c r="WN15">
        <f>IF($B15=0,1000000,IF(INDEX('計算A'!$D$60:$II$104,$B15,30)*DZ15=1,IF(AND($E15=2,NG15=0),1000000,INDEX('計算A'!AG$110:AG$114,$F15+1)+IF(AND($E15=1,NG15=0),1000,0)),1000000))</f>
        <v/>
      </c>
      <c r="WO15">
        <f>IF($B15=0,1000000,IF(INDEX('計算A'!$D$60:$II$104,$B15,31)*EA15=1,IF(AND($E15=2,NH15=0),1000000,INDEX('計算A'!AH$110:AH$114,$F15+1)+IF(AND($E15=1,NH15=0),1000,0)),1000000))</f>
        <v/>
      </c>
      <c r="WP15">
        <f>IF($B15=0,1000000,IF(INDEX('計算A'!$D$60:$II$104,$B15,32)*EB15=1,IF(AND($E15=2,NI15=0),1000000,INDEX('計算A'!AI$110:AI$114,$F15+1)+IF(AND($E15=1,NI15=0),1000,0)),1000000))</f>
        <v/>
      </c>
      <c r="WQ15">
        <f>IF($B15=0,1000000,IF(INDEX('計算A'!$D$60:$II$104,$B15,33)*EC15=1,IF(AND($E15=2,NJ15=0),1000000,INDEX('計算A'!AJ$110:AJ$114,$F15+1)+IF(AND($E15=1,NJ15=0),1000,0)),1000000))</f>
        <v/>
      </c>
      <c r="WR15">
        <f>IF($B15=0,1000000,IF(INDEX('計算A'!$D$60:$II$104,$B15,34)*ED15=1,IF(AND($E15=2,NK15=0),1000000,INDEX('計算A'!AK$110:AK$114,$F15+1)+IF(AND($E15=1,NK15=0),1000,0)),1000000))</f>
        <v/>
      </c>
      <c r="WS15">
        <f>IF($B15=0,1000000,IF(INDEX('計算A'!$D$60:$II$104,$B15,35)*EE15=1,IF(AND($E15=2,NL15=0),1000000,INDEX('計算A'!AL$110:AL$114,$F15+1)+IF(AND($E15=1,NL15=0),1000,0)),1000000))</f>
        <v/>
      </c>
      <c r="WT15">
        <f>IF($B15=0,1000000,IF(INDEX('計算A'!$D$60:$II$104,$B15,36)*EF15=1,IF(AND($E15=2,NM15=0),1000000,INDEX('計算A'!AM$110:AM$114,$F15+1)+IF(AND($E15=1,NM15=0),1000,0)),1000000))</f>
        <v/>
      </c>
      <c r="WU15">
        <f>IF($B15=0,1000000,IF(INDEX('計算A'!$D$60:$II$104,$B15,37)*EG15=1,IF(AND($E15=2,NN15=0),1000000,INDEX('計算A'!AN$110:AN$114,$F15+1)+IF(AND($E15=1,NN15=0),1000,0)),1000000))</f>
        <v/>
      </c>
      <c r="WV15">
        <f>IF($B15=0,1000000,IF(INDEX('計算A'!$D$60:$II$104,$B15,38)*EH15=1,IF(AND($E15=2,NO15=0),1000000,INDEX('計算A'!AO$110:AO$114,$F15+1)+IF(AND($E15=1,NO15=0),1000,0)),1000000))</f>
        <v/>
      </c>
      <c r="WW15">
        <f>IF($B15=0,1000000,IF(INDEX('計算A'!$D$60:$II$104,$B15,39)*EI15=1,IF(AND($E15=2,NP15=0),1000000,INDEX('計算A'!AP$110:AP$114,$F15+1)+IF(AND($E15=1,NP15=0),1000,0)),1000000))</f>
        <v/>
      </c>
      <c r="WX15">
        <f>IF($B15=0,1000000,IF(INDEX('計算A'!$D$60:$II$104,$B15,40)*EJ15=1,IF(AND($E15=2,NQ15=0),1000000,INDEX('計算A'!AQ$110:AQ$114,$F15+1)+IF(AND($E15=1,NQ15=0),1000,0)),1000000))</f>
        <v/>
      </c>
      <c r="WY15">
        <f>IF($B15=0,1000000,IF(INDEX('計算A'!$D$60:$II$104,$B15,41)*EK15=1,IF(AND($E15=2,NR15=0),1000000,INDEX('計算A'!AR$110:AR$114,$F15+1)+IF(AND($E15=1,NR15=0),1000,0)),1000000))</f>
        <v/>
      </c>
      <c r="WZ15">
        <f>IF($B15=0,1000000,IF(INDEX('計算A'!$D$60:$II$104,$B15,42)*EL15=1,IF(AND($E15=2,NS15=0),1000000,INDEX('計算A'!AS$110:AS$114,$F15+1)+IF(AND($E15=1,NS15=0),1000,0)),1000000))</f>
        <v/>
      </c>
      <c r="XA15">
        <f>IF($B15=0,1000000,IF(INDEX('計算A'!$D$60:$II$104,$B15,43)*EM15=1,IF(AND($E15=2,NT15=0),1000000,INDEX('計算A'!AT$110:AT$114,$F15+1)+IF(AND($E15=1,NT15=0),1000,0)),1000000))</f>
        <v/>
      </c>
      <c r="XB15">
        <f>IF($B15=0,1000000,IF(INDEX('計算A'!$D$60:$II$104,$B15,44)*EN15=1,IF(AND($E15=2,NU15=0),1000000,INDEX('計算A'!AU$110:AU$114,$F15+1)+IF(AND($E15=1,NU15=0),1000,0)),1000000))</f>
        <v/>
      </c>
      <c r="XC15">
        <f>IF($B15=0,1000000,IF(INDEX('計算A'!$D$60:$II$104,$B15,45)*EO15=1,IF(AND($E15=2,NV15=0),1000000,INDEX('計算A'!AV$110:AV$114,$F15+1)+IF(AND($E15=1,NV15=0),1000,0)),1000000))</f>
        <v/>
      </c>
      <c r="XD15">
        <f>IF($B15=0,1000000,IF(INDEX('計算A'!$D$60:$II$104,$B15,46)*EP15=1,IF(AND($E15=2,NW15=0),1000000,INDEX('計算A'!AW$110:AW$114,$F15+1)+IF(AND($E15=1,NW15=0),1000,0)),1000000))</f>
        <v/>
      </c>
      <c r="XE15">
        <f>IF($B15=0,1000000,IF(INDEX('計算A'!$D$60:$II$104,$B15,47)*EQ15=1,IF(AND($E15=2,NX15=0),1000000,INDEX('計算A'!AX$110:AX$114,$F15+1)+IF(AND($E15=1,NX15=0),1000,0)),1000000))</f>
        <v/>
      </c>
      <c r="XF15">
        <f>IF($B15=0,1000000,IF(INDEX('計算A'!$D$60:$II$104,$B15,48)*ER15=1,IF(AND($E15=2,NY15=0),1000000,INDEX('計算A'!AY$110:AY$114,$F15+1)+IF(AND($E15=1,NY15=0),1000,0)),1000000))</f>
        <v/>
      </c>
      <c r="XG15">
        <f>IF($B15=0,1000000,IF(INDEX('計算A'!$D$60:$II$104,$B15,49)*ES15=1,IF(AND($E15=2,NZ15=0),1000000,INDEX('計算A'!AZ$110:AZ$114,$F15+1)+IF(AND($E15=1,NZ15=0),1000,0)),1000000))</f>
        <v/>
      </c>
      <c r="XH15">
        <f>IF($B15=0,1000000,IF(INDEX('計算A'!$D$60:$II$104,$B15,50)*ET15=1,IF(AND($E15=2,OA15=0),1000000,INDEX('計算A'!BA$110:BA$114,$F15+1)+IF(AND($E15=1,OA15=0),1000,0)),1000000))</f>
        <v/>
      </c>
      <c r="XI15">
        <f>IF($B15=0,1000000,IF(INDEX('計算A'!$D$60:$II$104,$B15,51)*EU15=1,IF(AND($E15=2,OB15=0),1000000,INDEX('計算A'!BB$110:BB$114,$F15+1)+IF(AND($E15=1,OB15=0),1000,0)),1000000))</f>
        <v/>
      </c>
      <c r="XJ15">
        <f>IF($B15=0,1000000,IF(INDEX('計算A'!$D$60:$II$104,$B15,52)*EV15=1,IF(AND($E15=2,OC15=0),1000000,INDEX('計算A'!BC$110:BC$114,$F15+1)+IF(AND($E15=1,OC15=0),1000,0)),1000000))</f>
        <v/>
      </c>
      <c r="XK15">
        <f>IF($B15=0,1000000,IF(INDEX('計算A'!$D$60:$II$104,$B15,53)*EW15=1,IF(AND($E15=2,OD15=0),1000000,INDEX('計算A'!BD$110:BD$114,$F15+1)+IF(AND($E15=1,OD15=0),1000,0)),1000000))</f>
        <v/>
      </c>
      <c r="XL15">
        <f>IF($B15=0,1000000,IF(INDEX('計算A'!$D$60:$II$104,$B15,54)*EX15=1,IF(AND($E15=2,OE15=0),1000000,INDEX('計算A'!BE$110:BE$114,$F15+1)+IF(AND($E15=1,OE15=0),1000,0)),1000000))</f>
        <v/>
      </c>
      <c r="XM15">
        <f>IF($B15=0,1000000,IF(INDEX('計算A'!$D$60:$II$104,$B15,55)*EY15=1,IF(AND($E15=2,OF15=0),1000000,INDEX('計算A'!BF$110:BF$114,$F15+1)+IF(AND($E15=1,OF15=0),1000,0)),1000000))</f>
        <v/>
      </c>
      <c r="XN15">
        <f>IF($B15=0,1000000,IF(INDEX('計算A'!$D$60:$II$104,$B15,56)*EZ15=1,IF(AND($E15=2,OG15=0),1000000,INDEX('計算A'!BG$110:BG$114,$F15+1)+IF(AND($E15=1,OG15=0),1000,0)),1000000))</f>
        <v/>
      </c>
      <c r="XO15">
        <f>IF($B15=0,1000000,IF(INDEX('計算A'!$D$60:$II$104,$B15,57)*FA15=1,IF(AND($E15=2,OH15=0),1000000,INDEX('計算A'!BH$110:BH$114,$F15+1)+IF(AND($E15=1,OH15=0),1000,0)),1000000))</f>
        <v/>
      </c>
      <c r="XP15">
        <f>IF($B15=0,1000000,IF(INDEX('計算A'!$D$60:$II$104,$B15,58)*FB15=1,IF(AND($E15=2,OI15=0),1000000,INDEX('計算A'!BI$110:BI$114,$F15+1)+IF(AND($E15=1,OI15=0),1000,0)),1000000))</f>
        <v/>
      </c>
      <c r="XQ15">
        <f>IF($B15=0,1000000,IF(INDEX('計算A'!$D$60:$II$104,$B15,59)*FC15=1,IF(AND($E15=2,OJ15=0),1000000,INDEX('計算A'!BJ$110:BJ$114,$F15+1)+IF(AND($E15=1,OJ15=0),1000,0)),1000000))</f>
        <v/>
      </c>
      <c r="XR15">
        <f>IF($B15=0,1000000,IF(INDEX('計算A'!$D$60:$II$104,$B15,60)*FD15=1,IF(AND($E15=2,OK15=0),1000000,INDEX('計算A'!BK$110:BK$114,$F15+1)+IF(AND($E15=1,OK15=0),1000,0)),1000000))</f>
        <v/>
      </c>
      <c r="XS15">
        <f>IF($B15=0,1000000,IF(INDEX('計算A'!$D$60:$II$104,$B15,61)*FE15=1,IF(AND($E15=2,OL15=0),1000000,INDEX('計算A'!BL$110:BL$114,$F15+1)+IF(AND($E15=1,OL15=0),1000,0)),1000000))</f>
        <v/>
      </c>
      <c r="XT15">
        <f>IF($B15=0,1000000,IF(INDEX('計算A'!$D$60:$II$104,$B15,62)*FF15=1,IF(AND($E15=2,OM15=0),1000000,INDEX('計算A'!BM$110:BM$114,$F15+1)+IF(AND($E15=1,OM15=0),1000,0)),1000000))</f>
        <v/>
      </c>
      <c r="XU15">
        <f>IF($B15=0,1000000,IF(INDEX('計算A'!$D$60:$II$104,$B15,63)*FG15=1,IF(AND($E15=2,ON15=0),1000000,INDEX('計算A'!BN$110:BN$114,$F15+1)+IF(AND($E15=1,ON15=0),1000,0)),1000000))</f>
        <v/>
      </c>
      <c r="XV15">
        <f>IF($B15=0,1000000,IF(INDEX('計算A'!$D$60:$II$104,$B15,64)*FH15=1,IF(AND($E15=2,OO15=0),1000000,INDEX('計算A'!BO$110:BO$114,$F15+1)+IF(AND($E15=1,OO15=0),1000,0)),1000000))</f>
        <v/>
      </c>
      <c r="XW15">
        <f>IF($B15=0,1000000,IF(INDEX('計算A'!$D$60:$II$104,$B15,65)*FI15=1,IF(AND($E15=2,OP15=0),1000000,INDEX('計算A'!BP$110:BP$114,$F15+1)+IF(AND($E15=1,OP15=0),1000,0)),1000000))</f>
        <v/>
      </c>
      <c r="XX15">
        <f>IF($B15=0,1000000,IF(INDEX('計算A'!$D$60:$II$104,$B15,66)*FJ15=1,IF(AND($E15=2,OQ15=0),1000000,INDEX('計算A'!BQ$110:BQ$114,$F15+1)+IF(AND($E15=1,OQ15=0),1000,0)),1000000))</f>
        <v/>
      </c>
      <c r="XY15">
        <f>IF($B15=0,1000000,IF(INDEX('計算A'!$D$60:$II$104,$B15,67)*FK15=1,IF(AND($E15=2,OR15=0),1000000,INDEX('計算A'!BR$110:BR$114,$F15+1)+IF(AND($E15=1,OR15=0),1000,0)),1000000))</f>
        <v/>
      </c>
      <c r="XZ15">
        <f>IF($B15=0,1000000,IF(INDEX('計算A'!$D$60:$II$104,$B15,68)*FL15=1,IF(AND($E15=2,OS15=0),1000000,INDEX('計算A'!BS$110:BS$114,$F15+1)+IF(AND($E15=1,OS15=0),1000,0)),1000000))</f>
        <v/>
      </c>
      <c r="YA15">
        <f>IF($B15=0,1000000,IF(INDEX('計算A'!$D$60:$II$104,$B15,69)*FM15=1,IF(AND($E15=2,OT15=0),1000000,INDEX('計算A'!BT$110:BT$114,$F15+1)+IF(AND($E15=1,OT15=0),1000,0)),1000000))</f>
        <v/>
      </c>
      <c r="YB15">
        <f>IF($B15=0,1000000,IF(INDEX('計算A'!$D$60:$II$104,$B15,70)*FN15=1,IF(AND($E15=2,OU15=0),1000000,INDEX('計算A'!BU$110:BU$114,$F15+1)+IF(AND($E15=1,OU15=0),1000,0)),1000000))</f>
        <v/>
      </c>
      <c r="YC15">
        <f>IF($B15=0,1000000,IF(INDEX('計算A'!$D$60:$II$104,$B15,71)*FO15=1,IF(AND($E15=2,OV15=0),1000000,INDEX('計算A'!BV$110:BV$114,$F15+1)+IF(AND($E15=1,OV15=0),1000,0)),1000000))</f>
        <v/>
      </c>
      <c r="YD15">
        <f>IF($B15=0,1000000,IF(INDEX('計算A'!$D$60:$II$104,$B15,72)*FP15=1,IF(AND($E15=2,OW15=0),1000000,INDEX('計算A'!BW$110:BW$114,$F15+1)+IF(AND($E15=1,OW15=0),1000,0)),1000000))</f>
        <v/>
      </c>
      <c r="YE15">
        <f>IF($B15=0,1000000,IF(INDEX('計算A'!$D$60:$II$104,$B15,73)*FQ15=1,IF(AND($E15=2,OX15=0),1000000,INDEX('計算A'!BX$110:BX$114,$F15+1)+IF(AND($E15=1,OX15=0),1000,0)),1000000))</f>
        <v/>
      </c>
      <c r="YF15">
        <f>IF($B15=0,1000000,IF(INDEX('計算A'!$D$60:$II$104,$B15,74)*FR15=1,IF(AND($E15=2,OY15=0),1000000,INDEX('計算A'!BY$110:BY$114,$F15+1)+IF(AND($E15=1,OY15=0),1000,0)),1000000))</f>
        <v/>
      </c>
      <c r="YG15">
        <f>IF($B15=0,1000000,IF(INDEX('計算A'!$D$60:$II$104,$B15,75)*FS15=1,IF(AND($E15=2,OZ15=0),1000000,INDEX('計算A'!BZ$110:BZ$114,$F15+1)+IF(AND($E15=1,OZ15=0),1000,0)),1000000))</f>
        <v/>
      </c>
      <c r="YH15">
        <f>IF($B15=0,1000000,IF(INDEX('計算A'!$D$60:$II$104,$B15,76)*FT15=1,IF(AND($E15=2,PA15=0),1000000,INDEX('計算A'!CA$110:CA$114,$F15+1)+IF(AND($E15=1,PA15=0),1000,0)),1000000))</f>
        <v/>
      </c>
      <c r="YI15">
        <f>IF($B15=0,1000000,IF(INDEX('計算A'!$D$60:$II$104,$B15,77)*FU15=1,IF(AND($E15=2,PB15=0),1000000,INDEX('計算A'!CB$110:CB$114,$F15+1)+IF(AND($E15=1,PB15=0),1000,0)),1000000))</f>
        <v/>
      </c>
      <c r="YJ15">
        <f>IF($B15=0,1000000,IF(INDEX('計算A'!$D$60:$II$104,$B15,78)*FV15=1,IF(AND($E15=2,PC15=0),1000000,INDEX('計算A'!CC$110:CC$114,$F15+1)+IF(AND($E15=1,PC15=0),1000,0)),1000000))</f>
        <v/>
      </c>
      <c r="YK15">
        <f>IF($B15=0,1000000,IF(INDEX('計算A'!$D$60:$II$104,$B15,79)*FW15=1,IF(AND($E15=2,PD15=0),1000000,INDEX('計算A'!CD$110:CD$114,$F15+1)+IF(AND($E15=1,PD15=0),1000,0)),1000000))</f>
        <v/>
      </c>
      <c r="YL15">
        <f>IF($B15=0,1000000,IF(INDEX('計算A'!$D$60:$II$104,$B15,80)*FX15=1,IF(AND($E15=2,PE15=0),1000000,INDEX('計算A'!CE$110:CE$114,$F15+1)+IF(AND($E15=1,PE15=0),1000,0)),1000000))</f>
        <v/>
      </c>
      <c r="YM15">
        <f>IF($B15=0,1000000,IF(INDEX('計算A'!$D$60:$II$104,$B15,81)*FY15=1,IF(AND($E15=2,PF15=0),1000000,INDEX('計算A'!CF$110:CF$114,$F15+1)+IF(AND($E15=1,PF15=0),1000,0)),1000000))</f>
        <v/>
      </c>
      <c r="YN15">
        <f>IF($B15=0,1000000,IF(INDEX('計算A'!$D$60:$II$104,$B15,82)*FZ15=1,IF(AND($E15=2,PG15=0),1000000,INDEX('計算A'!CG$110:CG$114,$F15+1)+IF(AND($E15=1,PG15=0),1000,0)),1000000))</f>
        <v/>
      </c>
      <c r="YO15">
        <f>IF($B15=0,1000000,IF(INDEX('計算A'!$D$60:$II$104,$B15,83)*GA15=1,IF(AND($E15=2,PH15=0),1000000,INDEX('計算A'!CH$110:CH$114,$F15+1)+IF(AND($E15=1,PH15=0),1000,0)),1000000))</f>
        <v/>
      </c>
      <c r="YP15">
        <f>IF($B15=0,1000000,IF(INDEX('計算A'!$D$60:$II$104,$B15,84)*GB15=1,IF(AND($E15=2,PI15=0),1000000,INDEX('計算A'!CI$110:CI$114,$F15+1)+IF(AND($E15=1,PI15=0),1000,0)),1000000))</f>
        <v/>
      </c>
      <c r="YQ15">
        <f>IF($B15=0,1000000,IF(INDEX('計算A'!$D$60:$II$104,$B15,85)*GC15=1,IF(AND($E15=2,PJ15=0),1000000,INDEX('計算A'!CJ$110:CJ$114,$F15+1)+IF(AND($E15=1,PJ15=0),1000,0)),1000000))</f>
        <v/>
      </c>
      <c r="YR15">
        <f>IF($B15=0,1000000,IF(INDEX('計算A'!$D$60:$II$104,$B15,86)*GD15=1,IF(AND($E15=2,PK15=0),1000000,INDEX('計算A'!CK$110:CK$114,$F15+1)+IF(AND($E15=1,PK15=0),1000,0)),1000000))</f>
        <v/>
      </c>
      <c r="YS15">
        <f>IF($B15=0,1000000,IF(INDEX('計算A'!$D$60:$II$104,$B15,87)*GE15=1,IF(AND($E15=2,PL15=0),1000000,INDEX('計算A'!CL$110:CL$114,$F15+1)+IF(AND($E15=1,PL15=0),1000,0)),1000000))</f>
        <v/>
      </c>
      <c r="YT15">
        <f>IF($B15=0,1000000,IF(INDEX('計算A'!$D$60:$II$104,$B15,88)*GF15=1,IF(AND($E15=2,PM15=0),1000000,INDEX('計算A'!CM$110:CM$114,$F15+1)+IF(AND($E15=1,PM15=0),1000,0)),1000000))</f>
        <v/>
      </c>
      <c r="YU15">
        <f>IF($B15=0,1000000,IF(INDEX('計算A'!$D$60:$II$104,$B15,89)*GG15=1,IF(AND($E15=2,PN15=0),1000000,INDEX('計算A'!CN$110:CN$114,$F15+1)+IF(AND($E15=1,PN15=0),1000,0)),1000000))</f>
        <v/>
      </c>
      <c r="YV15">
        <f>IF($B15=0,1000000,IF(INDEX('計算A'!$D$60:$II$104,$B15,90)*GH15=1,IF(AND($E15=2,PO15=0),1000000,INDEX('計算A'!CO$110:CO$114,$F15+1)+IF(AND($E15=1,PO15=0),1000,0)),1000000))</f>
        <v/>
      </c>
      <c r="YW15">
        <f>IF($B15=0,1000000,IF(INDEX('計算A'!$D$60:$II$104,$B15,91)*GI15=1,IF(AND($E15=2,PP15=0),1000000,INDEX('計算A'!CP$110:CP$114,$F15+1)+IF(AND($E15=1,PP15=0),1000,0)),1000000))</f>
        <v/>
      </c>
      <c r="YX15">
        <f>IF($B15=0,1000000,IF(INDEX('計算A'!$D$60:$II$104,$B15,92)*GJ15=1,IF(AND($E15=2,PQ15=0),1000000,INDEX('計算A'!CQ$110:CQ$114,$F15+1)+IF(AND($E15=1,PQ15=0),1000,0)),1000000))</f>
        <v/>
      </c>
      <c r="YY15">
        <f>IF($B15=0,1000000,IF(INDEX('計算A'!$D$60:$II$104,$B15,93)*GK15=1,IF(AND($E15=2,PR15=0),1000000,INDEX('計算A'!CR$110:CR$114,$F15+1)+IF(AND($E15=1,PR15=0),1000,0)),1000000))</f>
        <v/>
      </c>
      <c r="YZ15">
        <f>IF($B15=0,1000000,IF(INDEX('計算A'!$D$60:$II$104,$B15,94)*GL15=1,IF(AND($E15=2,PS15=0),1000000,INDEX('計算A'!CS$110:CS$114,$F15+1)+IF(AND($E15=1,PS15=0),1000,0)),1000000))</f>
        <v/>
      </c>
      <c r="ZA15">
        <f>IF($B15=0,1000000,IF(INDEX('計算A'!$D$60:$II$104,$B15,95)*GM15=1,IF(AND($E15=2,PT15=0),1000000,INDEX('計算A'!CT$110:CT$114,$F15+1)+IF(AND($E15=1,PT15=0),1000,0)),1000000))</f>
        <v/>
      </c>
      <c r="ZB15">
        <f>IF($B15=0,1000000,IF(INDEX('計算A'!$D$60:$II$104,$B15,96)*GN15=1,IF(AND($E15=2,PU15=0),1000000,INDEX('計算A'!CU$110:CU$114,$F15+1)+IF(AND($E15=1,PU15=0),1000,0)),1000000))</f>
        <v/>
      </c>
      <c r="ZC15">
        <f>IF($B15=0,1000000,IF(INDEX('計算A'!$D$60:$II$104,$B15,97)*GO15=1,IF(AND($E15=2,PV15=0),1000000,INDEX('計算A'!CV$110:CV$114,$F15+1)+IF(AND($E15=1,PV15=0),1000,0)),1000000))</f>
        <v/>
      </c>
      <c r="ZD15">
        <f>IF($B15=0,1000000,IF(INDEX('計算A'!$D$60:$II$104,$B15,98)*GP15=1,IF(AND($E15=2,PW15=0),1000000,INDEX('計算A'!CW$110:CW$114,$F15+1)+IF(AND($E15=1,PW15=0),1000,0)),1000000))</f>
        <v/>
      </c>
      <c r="ZE15">
        <f>IF($B15=0,1000000,IF(INDEX('計算A'!$D$60:$II$104,$B15,99)*GQ15=1,IF(AND($E15=2,PX15=0),1000000,INDEX('計算A'!CX$110:CX$114,$F15+1)+IF(AND($E15=1,PX15=0),1000,0)),1000000))</f>
        <v/>
      </c>
      <c r="ZF15">
        <f>IF($B15=0,1000000,IF(INDEX('計算A'!$D$60:$II$104,$B15,100)*GR15=1,IF(AND($E15=2,PY15=0),1000000,INDEX('計算A'!CY$110:CY$114,$F15+1)+IF(AND($E15=1,PY15=0),1000,0)),1000000))</f>
        <v/>
      </c>
      <c r="ZG15">
        <f>IF($B15=0,1000000,IF(INDEX('計算A'!$D$60:$II$104,$B15,101)*GS15=1,IF(AND($E15=2,PZ15=0),1000000,INDEX('計算A'!CZ$110:CZ$114,$F15+1)+IF(AND($E15=1,PZ15=0),1000,0)),1000000))</f>
        <v/>
      </c>
      <c r="ZH15">
        <f>IF($B15=0,1000000,IF(INDEX('計算A'!$D$60:$II$104,$B15,102)*GT15=1,IF(AND($E15=2,QA15=0),1000000,INDEX('計算A'!DA$110:DA$114,$F15+1)+IF(AND($E15=1,QA15=0),1000,0)),1000000))</f>
        <v/>
      </c>
      <c r="ZI15">
        <f>IF($B15=0,1000000,IF(INDEX('計算A'!$D$60:$II$104,$B15,103)*GU15=1,IF(AND($E15=2,QB15=0),1000000,INDEX('計算A'!DB$110:DB$114,$F15+1)+IF(AND($E15=1,QB15=0),1000,0)),1000000))</f>
        <v/>
      </c>
      <c r="ZJ15">
        <f>IF($B15=0,1000000,IF(INDEX('計算A'!$D$60:$II$104,$B15,104)*GV15=1,IF(AND($E15=2,QC15=0),1000000,INDEX('計算A'!DC$110:DC$114,$F15+1)+IF(AND($E15=1,QC15=0),1000,0)),1000000))</f>
        <v/>
      </c>
      <c r="ZK15">
        <f>IF($B15=0,1000000,IF(INDEX('計算A'!$D$60:$II$104,$B15,105)*GW15=1,IF(AND($E15=2,QD15=0),1000000,INDEX('計算A'!DD$110:DD$114,$F15+1)+IF(AND($E15=1,QD15=0),1000,0)),1000000))</f>
        <v/>
      </c>
      <c r="ZL15">
        <f>IF($B15=0,1000000,IF(INDEX('計算A'!$D$60:$II$104,$B15,106)*GX15=1,IF(AND($E15=2,QE15=0),1000000,INDEX('計算A'!DE$110:DE$114,$F15+1)+IF(AND($E15=1,QE15=0),1000,0)),1000000))</f>
        <v/>
      </c>
      <c r="ZM15">
        <f>IF($B15=0,1000000,IF(INDEX('計算A'!$D$60:$II$104,$B15,107)*GY15=1,IF(AND($E15=2,QF15=0),1000000,INDEX('計算A'!DF$110:DF$114,$F15+1)+IF(AND($E15=1,QF15=0),1000,0)),1000000))</f>
        <v/>
      </c>
      <c r="ZN15">
        <f>IF($B15=0,1000000,IF(INDEX('計算A'!$D$60:$II$104,$B15,108)*GZ15=1,IF(AND($E15=2,QG15=0),1000000,INDEX('計算A'!DG$110:DG$114,$F15+1)+IF(AND($E15=1,QG15=0),1000,0)),1000000))</f>
        <v/>
      </c>
      <c r="ZO15">
        <f>IF($B15=0,1000000,IF(INDEX('計算A'!$D$60:$II$104,$B15,109)*HA15=1,IF(AND($E15=2,QH15=0),1000000,INDEX('計算A'!DH$110:DH$114,$F15+1)+IF(AND($E15=1,QH15=0),1000,0)),1000000))</f>
        <v/>
      </c>
      <c r="ZP15">
        <f>IF($B15=0,1000000,IF(INDEX('計算A'!$D$60:$II$104,$B15,110)*HB15=1,IF(AND($E15=2,QI15=0),1000000,INDEX('計算A'!DI$110:DI$114,$F15+1)+IF(AND($E15=1,QI15=0),1000,0)),1000000))</f>
        <v/>
      </c>
      <c r="ZQ15">
        <f>IF($B15=0,1000000,IF(INDEX('計算A'!$D$60:$II$104,$B15,111)*HC15=1,IF(AND($E15=2,QJ15=0),1000000,INDEX('計算A'!DJ$110:DJ$114,$F15+1)+IF(AND($E15=1,QJ15=0),1000,0)),1000000))</f>
        <v/>
      </c>
      <c r="ZR15">
        <f>IF($B15=0,1000000,IF(INDEX('計算A'!$D$60:$II$104,$B15,112)*HD15=1,IF(AND($E15=2,QK15=0),1000000,INDEX('計算A'!DK$110:DK$114,$F15+1)+IF(AND($E15=1,QK15=0),1000,0)),1000000))</f>
        <v/>
      </c>
      <c r="ZS15">
        <f>IF($B15=0,1000000,IF(INDEX('計算A'!$D$60:$II$104,$B15,113)*HE15=1,IF(AND($E15=2,QL15=0),1000000,INDEX('計算A'!DL$110:DL$114,$F15+1)+IF(AND($E15=1,QL15=0),1000,0)),1000000))</f>
        <v/>
      </c>
      <c r="ZT15">
        <f>IF($B15=0,1000000,IF(INDEX('計算A'!$D$60:$II$104,$B15,114)*HF15=1,IF(AND($E15=2,QM15=0),1000000,INDEX('計算A'!DM$110:DM$114,$F15+1)+IF(AND($E15=1,QM15=0),1000,0)),1000000))</f>
        <v/>
      </c>
      <c r="ZU15">
        <f>IF($B15=0,1000000,IF(INDEX('計算A'!$D$60:$II$104,$B15,115)*HG15=1,IF(AND($E15=2,QN15=0),1000000,INDEX('計算A'!DN$110:DN$114,$F15+1)+IF(AND($E15=1,QN15=0),1000,0)),1000000))</f>
        <v/>
      </c>
      <c r="ZV15">
        <f>IF($B15=0,1000000,IF(INDEX('計算A'!$D$60:$II$104,$B15,116)*HH15=1,IF(AND($E15=2,QO15=0),1000000,INDEX('計算A'!DO$110:DO$114,$F15+1)+IF(AND($E15=1,QO15=0),1000,0)),1000000))</f>
        <v/>
      </c>
      <c r="ZW15">
        <f>IF($B15=0,1000000,IF(INDEX('計算A'!$D$60:$II$104,$B15,117)*HI15=1,IF(AND($E15=2,QP15=0),1000000,INDEX('計算A'!DP$110:DP$114,$F15+1)+IF(AND($E15=1,QP15=0),1000,0)),1000000))</f>
        <v/>
      </c>
      <c r="ZX15">
        <f>IF($B15=0,1000000,IF(INDEX('計算A'!$D$60:$II$104,$B15,118)*HJ15=1,IF(AND($E15=2,QQ15=0),1000000,INDEX('計算A'!DQ$110:DQ$114,$F15+1)+IF(AND($E15=1,QQ15=0),1000,0)),1000000))</f>
        <v/>
      </c>
      <c r="ZY15">
        <f>IF($B15=0,1000000,IF(INDEX('計算A'!$D$60:$II$104,$B15,119)*HK15=1,IF(AND($E15=2,QR15=0),1000000,INDEX('計算A'!DR$110:DR$114,$F15+1)+IF(AND($E15=1,QR15=0),1000,0)),1000000))</f>
        <v/>
      </c>
      <c r="ZZ15">
        <f>IF($B15=0,1000000,IF(INDEX('計算A'!$D$60:$II$104,$B15,120)*HL15=1,IF(AND($E15=2,QS15=0),1000000,INDEX('計算A'!DS$110:DS$114,$F15+1)+IF(AND($E15=1,QS15=0),1000,0)),1000000))</f>
        <v/>
      </c>
      <c r="AAA15">
        <f>IF($B15=0,1000000,IF(INDEX('計算A'!$D$60:$II$104,$B15,121)*HM15=1,IF(AND($E15=2,QT15=0),1000000,INDEX('計算A'!DT$110:DT$114,$F15+1)+IF(AND($E15=1,QT15=0),1000,0)),1000000))</f>
        <v/>
      </c>
      <c r="AAB15">
        <f>IF($B15=0,1000000,IF(INDEX('計算A'!$D$60:$II$104,$B15,122)*HN15=1,IF(AND($E15=2,QU15=0),1000000,INDEX('計算A'!DU$110:DU$114,$F15+1)+IF(AND($E15=1,QU15=0),1000,0)),1000000))</f>
        <v/>
      </c>
      <c r="AAC15">
        <f>IF($B15=0,1000000,IF(INDEX('計算A'!$D$60:$II$104,$B15,123)*HO15=1,IF(AND($E15=2,QV15=0),1000000,INDEX('計算A'!DV$110:DV$114,$F15+1)+IF(AND($E15=1,QV15=0),1000,0)),1000000))</f>
        <v/>
      </c>
      <c r="AAD15">
        <f>IF($B15=0,1000000,IF(INDEX('計算A'!$D$60:$II$104,$B15,124)*HP15=1,IF(AND($E15=2,QW15=0),1000000,INDEX('計算A'!DW$110:DW$114,$F15+1)+IF(AND($E15=1,QW15=0),1000,0)),1000000))</f>
        <v/>
      </c>
      <c r="AAE15">
        <f>IF($B15=0,1000000,IF(INDEX('計算A'!$D$60:$II$104,$B15,125)*HQ15=1,IF(AND($E15=2,QX15=0),1000000,INDEX('計算A'!DX$110:DX$114,$F15+1)+IF(AND($E15=1,QX15=0),1000,0)),1000000))</f>
        <v/>
      </c>
      <c r="AAF15">
        <f>IF($B15=0,1000000,IF(INDEX('計算A'!$D$60:$II$104,$B15,126)*HR15=1,IF(AND($E15=2,QY15=0),1000000,INDEX('計算A'!DY$110:DY$114,$F15+1)+IF(AND($E15=1,QY15=0),1000,0)),1000000))</f>
        <v/>
      </c>
      <c r="AAG15">
        <f>IF($B15=0,1000000,IF(INDEX('計算A'!$D$60:$II$104,$B15,127)*HS15=1,IF(AND($E15=2,QZ15=0),1000000,INDEX('計算A'!DZ$110:DZ$114,$F15+1)+IF(AND($E15=1,QZ15=0),1000,0)),1000000))</f>
        <v/>
      </c>
      <c r="AAH15">
        <f>IF($B15=0,1000000,IF(INDEX('計算A'!$D$60:$II$104,$B15,128)*HT15=1,IF(AND($E15=2,RA15=0),1000000,INDEX('計算A'!EA$110:EA$114,$F15+1)+IF(AND($E15=1,RA15=0),1000,0)),1000000))</f>
        <v/>
      </c>
      <c r="AAI15">
        <f>IF($B15=0,1000000,IF(INDEX('計算A'!$D$60:$II$104,$B15,129)*HU15=1,IF(AND($E15=2,RB15=0),1000000,INDEX('計算A'!EB$110:EB$114,$F15+1)+IF(AND($E15=1,RB15=0),1000,0)),1000000))</f>
        <v/>
      </c>
      <c r="AAJ15">
        <f>IF($B15=0,1000000,IF(INDEX('計算A'!$D$60:$II$104,$B15,130)*HV15=1,IF(AND($E15=2,RC15=0),1000000,INDEX('計算A'!EC$110:EC$114,$F15+1)+IF(AND($E15=1,RC15=0),1000,0)),1000000))</f>
        <v/>
      </c>
      <c r="AAK15">
        <f>IF($B15=0,1000000,IF(INDEX('計算A'!$D$60:$II$104,$B15,131)*HW15=1,IF(AND($E15=2,RD15=0),1000000,INDEX('計算A'!ED$110:ED$114,$F15+1)+IF(AND($E15=1,RD15=0),1000,0)),1000000))</f>
        <v/>
      </c>
      <c r="AAL15">
        <f>IF($B15=0,1000000,IF(INDEX('計算A'!$D$60:$II$104,$B15,132)*HX15=1,IF(AND($E15=2,RE15=0),1000000,INDEX('計算A'!EE$110:EE$114,$F15+1)+IF(AND($E15=1,RE15=0),1000,0)),1000000))</f>
        <v/>
      </c>
      <c r="AAM15">
        <f>IF($B15=0,1000000,IF(INDEX('計算A'!$D$60:$II$104,$B15,133)*HY15=1,IF(AND($E15=2,RF15=0),1000000,INDEX('計算A'!EF$110:EF$114,$F15+1)+IF(AND($E15=1,RF15=0),1000,0)),1000000))</f>
        <v/>
      </c>
      <c r="AAN15">
        <f>IF($B15=0,1000000,IF(INDEX('計算A'!$D$60:$II$104,$B15,134)*HZ15=1,IF(AND($E15=2,RG15=0),1000000,INDEX('計算A'!EG$110:EG$114,$F15+1)+IF(AND($E15=1,RG15=0),1000,0)),1000000))</f>
        <v/>
      </c>
      <c r="AAO15">
        <f>IF($B15=0,1000000,IF(INDEX('計算A'!$D$60:$II$104,$B15,135)*IA15=1,IF(AND($E15=2,RH15=0),1000000,INDEX('計算A'!EH$110:EH$114,$F15+1)+IF(AND($E15=1,RH15=0),1000,0)),1000000))</f>
        <v/>
      </c>
      <c r="AAP15">
        <f>IF($B15=0,1000000,IF(INDEX('計算A'!$D$60:$II$104,$B15,136)*IB15=1,IF(AND($E15=2,RI15=0),1000000,INDEX('計算A'!EI$110:EI$114,$F15+1)+IF(AND($E15=1,RI15=0),1000,0)),1000000))</f>
        <v/>
      </c>
      <c r="AAQ15">
        <f>IF($B15=0,1000000,IF(INDEX('計算A'!$D$60:$II$104,$B15,137)*IC15=1,IF(AND($E15=2,RJ15=0),1000000,INDEX('計算A'!EJ$110:EJ$114,$F15+1)+IF(AND($E15=1,RJ15=0),1000,0)),1000000))</f>
        <v/>
      </c>
      <c r="AAR15">
        <f>IF($B15=0,1000000,IF(INDEX('計算A'!$D$60:$II$104,$B15,138)*ID15=1,IF(AND($E15=2,RK15=0),1000000,INDEX('計算A'!EK$110:EK$114,$F15+1)+IF(AND($E15=1,RK15=0),1000,0)),1000000))</f>
        <v/>
      </c>
      <c r="AAS15">
        <f>IF($B15=0,1000000,IF(INDEX('計算A'!$D$60:$II$104,$B15,139)*IE15=1,IF(AND($E15=2,RL15=0),1000000,INDEX('計算A'!EL$110:EL$114,$F15+1)+IF(AND($E15=1,RL15=0),1000,0)),1000000))</f>
        <v/>
      </c>
      <c r="AAT15">
        <f>IF($B15=0,1000000,IF(INDEX('計算A'!$D$60:$II$104,$B15,140)*IF15=1,IF(AND($E15=2,RM15=0),1000000,INDEX('計算A'!EM$110:EM$114,$F15+1)+IF(AND($E15=1,RM15=0),1000,0)),1000000))</f>
        <v/>
      </c>
      <c r="AAU15">
        <f>IF($B15=0,1000000,IF(INDEX('計算A'!$D$60:$II$104,$B15,141)*IG15=1,IF(AND($E15=2,RN15=0),1000000,INDEX('計算A'!EN$110:EN$114,$F15+1)+IF(AND($E15=1,RN15=0),1000,0)),1000000))</f>
        <v/>
      </c>
      <c r="AAV15">
        <f>IF($B15=0,1000000,IF(INDEX('計算A'!$D$60:$II$104,$B15,142)*IH15=1,IF(AND($E15=2,RO15=0),1000000,INDEX('計算A'!EO$110:EO$114,$F15+1)+IF(AND($E15=1,RO15=0),1000,0)),1000000))</f>
        <v/>
      </c>
      <c r="AAW15">
        <f>IF($B15=0,1000000,IF(INDEX('計算A'!$D$60:$II$104,$B15,143)*II15=1,IF(AND($E15=2,RP15=0),1000000,INDEX('計算A'!EP$110:EP$114,$F15+1)+IF(AND($E15=1,RP15=0),1000,0)),1000000))</f>
        <v/>
      </c>
      <c r="AAX15">
        <f>IF($B15=0,1000000,IF(INDEX('計算A'!$D$60:$II$104,$B15,144)*IJ15=1,IF(AND($E15=2,RQ15=0),1000000,INDEX('計算A'!EQ$110:EQ$114,$F15+1)+IF(AND($E15=1,RQ15=0),1000,0)),1000000))</f>
        <v/>
      </c>
      <c r="AAY15">
        <f>IF($B15=0,1000000,IF(INDEX('計算A'!$D$60:$II$104,$B15,145)*IK15=1,IF(AND($E15=2,RR15=0),1000000,INDEX('計算A'!ER$110:ER$114,$F15+1)+IF(AND($E15=1,RR15=0),1000,0)),1000000))</f>
        <v/>
      </c>
      <c r="AAZ15">
        <f>IF($B15=0,1000000,IF(INDEX('計算A'!$D$60:$II$104,$B15,146)*IL15=1,IF(AND($E15=2,RS15=0),1000000,INDEX('計算A'!ES$110:ES$114,$F15+1)+IF(AND($E15=1,RS15=0),1000,0)),1000000))</f>
        <v/>
      </c>
      <c r="ABA15">
        <f>IF($B15=0,1000000,IF(INDEX('計算A'!$D$60:$II$104,$B15,147)*IM15=1,IF(AND($E15=2,RT15=0),1000000,INDEX('計算A'!ET$110:ET$114,$F15+1)+IF(AND($E15=1,RT15=0),1000,0)),1000000))</f>
        <v/>
      </c>
      <c r="ABB15">
        <f>IF($B15=0,1000000,IF(INDEX('計算A'!$D$60:$II$104,$B15,148)*IN15=1,IF(AND($E15=2,RU15=0),1000000,INDEX('計算A'!EU$110:EU$114,$F15+1)+IF(AND($E15=1,RU15=0),1000,0)),1000000))</f>
        <v/>
      </c>
      <c r="ABC15">
        <f>IF($B15=0,1000000,IF(INDEX('計算A'!$D$60:$II$104,$B15,149)*IO15=1,IF(AND($E15=2,RV15=0),1000000,INDEX('計算A'!EV$110:EV$114,$F15+1)+IF(AND($E15=1,RV15=0),1000,0)),1000000))</f>
        <v/>
      </c>
      <c r="ABD15">
        <f>IF($B15=0,1000000,IF(INDEX('計算A'!$D$60:$II$104,$B15,150)*IP15=1,IF(AND($E15=2,RW15=0),1000000,INDEX('計算A'!EW$110:EW$114,$F15+1)+IF(AND($E15=1,RW15=0),1000,0)),1000000))</f>
        <v/>
      </c>
      <c r="ABE15">
        <f>IF($B15=0,1000000,IF(INDEX('計算A'!$D$60:$II$104,$B15,151)*IQ15=1,IF(AND($E15=2,RX15=0),1000000,INDEX('計算A'!EX$110:EX$114,$F15+1)+IF(AND($E15=1,RX15=0),1000,0)),1000000))</f>
        <v/>
      </c>
      <c r="ABF15">
        <f>IF($B15=0,1000000,IF(INDEX('計算A'!$D$60:$II$104,$B15,152)*IR15=1,IF(AND($E15=2,RY15=0),1000000,INDEX('計算A'!EY$110:EY$114,$F15+1)+IF(AND($E15=1,RY15=0),1000,0)),1000000))</f>
        <v/>
      </c>
      <c r="ABG15">
        <f>IF($B15=0,1000000,IF(INDEX('計算A'!$D$60:$II$104,$B15,153)*IS15=1,IF(AND($E15=2,RZ15=0),1000000,INDEX('計算A'!EZ$110:EZ$114,$F15+1)+IF(AND($E15=1,RZ15=0),1000,0)),1000000))</f>
        <v/>
      </c>
      <c r="ABH15">
        <f>IF($B15=0,1000000,IF(INDEX('計算A'!$D$60:$II$104,$B15,154)*IT15=1,IF(AND($E15=2,SA15=0),1000000,INDEX('計算A'!FA$110:FA$114,$F15+1)+IF(AND($E15=1,SA15=0),1000,0)),1000000))</f>
        <v/>
      </c>
      <c r="ABI15">
        <f>IF($B15=0,1000000,IF(INDEX('計算A'!$D$60:$II$104,$B15,155)*IU15=1,IF(AND($E15=2,SB15=0),1000000,INDEX('計算A'!FB$110:FB$114,$F15+1)+IF(AND($E15=1,SB15=0),1000,0)),1000000))</f>
        <v/>
      </c>
      <c r="ABJ15">
        <f>IF($B15=0,1000000,IF(INDEX('計算A'!$D$60:$II$104,$B15,156)*IV15=1,IF(AND($E15=2,SC15=0),1000000,INDEX('計算A'!FC$110:FC$114,$F15+1)+IF(AND($E15=1,SC15=0),1000,0)),1000000))</f>
        <v/>
      </c>
      <c r="ABK15">
        <f>IF($B15=0,1000000,IF(INDEX('計算A'!$D$60:$II$104,$B15,157)*IW15=1,IF(AND($E15=2,SD15=0),1000000,INDEX('計算A'!FD$110:FD$114,$F15+1)+IF(AND($E15=1,SD15=0),1000,0)),1000000))</f>
        <v/>
      </c>
      <c r="ABL15">
        <f>IF($B15=0,1000000,IF(INDEX('計算A'!$D$60:$II$104,$B15,158)*IX15=1,IF(AND($E15=2,SE15=0),1000000,INDEX('計算A'!FE$110:FE$114,$F15+1)+IF(AND($E15=1,SE15=0),1000,0)),1000000))</f>
        <v/>
      </c>
      <c r="ABM15">
        <f>IF($B15=0,1000000,IF(INDEX('計算A'!$D$60:$II$104,$B15,159)*IY15=1,IF(AND($E15=2,SF15=0),1000000,INDEX('計算A'!FF$110:FF$114,$F15+1)+IF(AND($E15=1,SF15=0),1000,0)),1000000))</f>
        <v/>
      </c>
      <c r="ABN15">
        <f>IF($B15=0,1000000,IF(INDEX('計算A'!$D$60:$II$104,$B15,160)*IZ15=1,IF(AND($E15=2,SG15=0),1000000,INDEX('計算A'!FG$110:FG$114,$F15+1)+IF(AND($E15=1,SG15=0),1000,0)),1000000))</f>
        <v/>
      </c>
      <c r="ABO15">
        <f>IF($B15=0,1000000,IF(INDEX('計算A'!$D$60:$II$104,$B15,161)*JA15=1,IF(AND($E15=2,SH15=0),1000000,INDEX('計算A'!FH$110:FH$114,$F15+1)+IF(AND($E15=1,SH15=0),1000,0)),1000000))</f>
        <v/>
      </c>
      <c r="ABP15">
        <f>IF($B15=0,1000000,IF(INDEX('計算A'!$D$60:$II$104,$B15,162)*JB15=1,IF(AND($E15=2,SI15=0),1000000,INDEX('計算A'!FI$110:FI$114,$F15+1)+IF(AND($E15=1,SI15=0),1000,0)),1000000))</f>
        <v/>
      </c>
      <c r="ABQ15">
        <f>IF($B15=0,1000000,IF(INDEX('計算A'!$D$60:$II$104,$B15,163)*JC15=1,IF(AND($E15=2,SJ15=0),1000000,INDEX('計算A'!FJ$110:FJ$114,$F15+1)+IF(AND($E15=1,SJ15=0),1000,0)),1000000))</f>
        <v/>
      </c>
      <c r="ABR15">
        <f>IF($B15=0,1000000,IF(INDEX('計算A'!$D$60:$II$104,$B15,164)*JD15=1,IF(AND($E15=2,SK15=0),1000000,INDEX('計算A'!FK$110:FK$114,$F15+1)+IF(AND($E15=1,SK15=0),1000,0)),1000000))</f>
        <v/>
      </c>
      <c r="ABS15">
        <f>IF($B15=0,1000000,IF(INDEX('計算A'!$D$60:$II$104,$B15,165)*JE15=1,IF(AND($E15=2,SL15=0),1000000,INDEX('計算A'!FL$110:FL$114,$F15+1)+IF(AND($E15=1,SL15=0),1000,0)),1000000))</f>
        <v/>
      </c>
      <c r="ABT15">
        <f>IF($B15=0,1000000,IF(INDEX('計算A'!$D$60:$II$104,$B15,166)*JF15=1,IF(AND($E15=2,SM15=0),1000000,INDEX('計算A'!FM$110:FM$114,$F15+1)+IF(AND($E15=1,SM15=0),1000,0)),1000000))</f>
        <v/>
      </c>
      <c r="ABU15">
        <f>IF($B15=0,1000000,IF(INDEX('計算A'!$D$60:$II$104,$B15,167)*JG15=1,IF(AND($E15=2,SN15=0),1000000,INDEX('計算A'!FN$110:FN$114,$F15+1)+IF(AND($E15=1,SN15=0),1000,0)),1000000))</f>
        <v/>
      </c>
      <c r="ABV15">
        <f>IF($B15=0,1000000,IF(INDEX('計算A'!$D$60:$II$104,$B15,168)*JH15=1,IF(AND($E15=2,SO15=0),1000000,INDEX('計算A'!FO$110:FO$114,$F15+1)+IF(AND($E15=1,SO15=0),1000,0)),1000000))</f>
        <v/>
      </c>
      <c r="ABW15">
        <f>IF($B15=0,1000000,IF(INDEX('計算A'!$D$60:$II$104,$B15,169)*JI15=1,IF(AND($E15=2,SP15=0),1000000,INDEX('計算A'!FP$110:FP$114,$F15+1)+IF(AND($E15=1,SP15=0),1000,0)),1000000))</f>
        <v/>
      </c>
      <c r="ABX15">
        <f>IF($B15=0,1000000,IF(INDEX('計算A'!$D$60:$II$104,$B15,170)*JJ15=1,IF(AND($E15=2,SQ15=0),1000000,INDEX('計算A'!FQ$110:FQ$114,$F15+1)+IF(AND($E15=1,SQ15=0),1000,0)),1000000))</f>
        <v/>
      </c>
      <c r="ABY15">
        <f>IF($B15=0,1000000,IF(INDEX('計算A'!$D$60:$II$104,$B15,171)*JK15=1,IF(AND($E15=2,SR15=0),1000000,INDEX('計算A'!FR$110:FR$114,$F15+1)+IF(AND($E15=1,SR15=0),1000,0)),1000000))</f>
        <v/>
      </c>
      <c r="ABZ15">
        <f>IF($B15=0,1000000,IF(INDEX('計算A'!$D$60:$II$104,$B15,172)*JL15=1,IF(AND($E15=2,SS15=0),1000000,INDEX('計算A'!FS$110:FS$114,$F15+1)+IF(AND($E15=1,SS15=0),1000,0)),1000000))</f>
        <v/>
      </c>
      <c r="ACA15">
        <f>IF($B15=0,1000000,IF(INDEX('計算A'!$D$60:$II$104,$B15,173)*JM15=1,IF(AND($E15=2,ST15=0),1000000,INDEX('計算A'!FT$110:FT$114,$F15+1)+IF(AND($E15=1,ST15=0),1000,0)),1000000))</f>
        <v/>
      </c>
      <c r="ACB15">
        <f>IF($B15=0,1000000,IF(INDEX('計算A'!$D$60:$II$104,$B15,174)*JN15=1,IF(AND($E15=2,SU15=0),1000000,INDEX('計算A'!FU$110:FU$114,$F15+1)+IF(AND($E15=1,SU15=0),1000,0)),1000000))</f>
        <v/>
      </c>
      <c r="ACC15">
        <f>IF($B15=0,1000000,IF(INDEX('計算A'!$D$60:$II$104,$B15,175)*JO15=1,IF(AND($E15=2,SV15=0),1000000,INDEX('計算A'!FV$110:FV$114,$F15+1)+IF(AND($E15=1,SV15=0),1000,0)),1000000))</f>
        <v/>
      </c>
      <c r="ACD15">
        <f>IF($B15=0,1000000,IF(INDEX('計算A'!$D$60:$II$104,$B15,176)*JP15=1,IF(AND($E15=2,SW15=0),1000000,INDEX('計算A'!FW$110:FW$114,$F15+1)+IF(AND($E15=1,SW15=0),1000,0)),1000000))</f>
        <v/>
      </c>
      <c r="ACE15">
        <f>IF($B15=0,1000000,IF(INDEX('計算A'!$D$60:$II$104,$B15,177)*JQ15=1,IF(AND($E15=2,SX15=0),1000000,INDEX('計算A'!FX$110:FX$114,$F15+1)+IF(AND($E15=1,SX15=0),1000,0)),1000000))</f>
        <v/>
      </c>
      <c r="ACF15">
        <f>IF($B15=0,1000000,IF(INDEX('計算A'!$D$60:$II$104,$B15,178)*JR15=1,IF(AND($E15=2,SY15=0),1000000,INDEX('計算A'!FY$110:FY$114,$F15+1)+IF(AND($E15=1,SY15=0),1000,0)),1000000))</f>
        <v/>
      </c>
      <c r="ACG15">
        <f>IF($B15=0,1000000,IF(INDEX('計算A'!$D$60:$II$104,$B15,179)*JS15=1,IF(AND($E15=2,SZ15=0),1000000,INDEX('計算A'!FZ$110:FZ$114,$F15+1)+IF(AND($E15=1,SZ15=0),1000,0)),1000000))</f>
        <v/>
      </c>
      <c r="ACH15">
        <f>IF($B15=0,1000000,IF(INDEX('計算A'!$D$60:$II$104,$B15,180)*JT15=1,IF(AND($E15=2,TA15=0),1000000,INDEX('計算A'!GA$110:GA$114,$F15+1)+IF(AND($E15=1,TA15=0),1000,0)),1000000))</f>
        <v/>
      </c>
      <c r="ACI15">
        <f>IF($B15=0,1000000,IF(INDEX('計算A'!$D$60:$II$104,$B15,181)*JU15=1,IF(AND($E15=2,TB15=0),1000000,INDEX('計算A'!GB$110:GB$114,$F15+1)+IF(AND($E15=1,TB15=0),1000,0)),1000000))</f>
        <v/>
      </c>
      <c r="ACJ15">
        <f>IF($B15=0,1000000,IF(INDEX('計算A'!$D$60:$II$104,$B15,182)*JV15=1,IF(AND($E15=2,TC15=0),1000000,INDEX('計算A'!GC$110:GC$114,$F15+1)+IF(AND($E15=1,TC15=0),1000,0)),1000000))</f>
        <v/>
      </c>
      <c r="ACK15">
        <f>IF($B15=0,1000000,IF(INDEX('計算A'!$D$60:$II$104,$B15,183)*JW15=1,IF(AND($E15=2,TD15=0),1000000,INDEX('計算A'!GD$110:GD$114,$F15+1)+IF(AND($E15=1,TD15=0),1000,0)),1000000))</f>
        <v/>
      </c>
      <c r="ACL15">
        <f>IF($B15=0,1000000,IF(INDEX('計算A'!$D$60:$II$104,$B15,184)*JX15=1,IF(AND($E15=2,TE15=0),1000000,INDEX('計算A'!GE$110:GE$114,$F15+1)+IF(AND($E15=1,TE15=0),1000,0)),1000000))</f>
        <v/>
      </c>
      <c r="ACM15">
        <f>IF($B15=0,1000000,IF(INDEX('計算A'!$D$60:$II$104,$B15,185)*JY15=1,IF(AND($E15=2,TF15=0),1000000,INDEX('計算A'!GF$110:GF$114,$F15+1)+IF(AND($E15=1,TF15=0),1000,0)),1000000))</f>
        <v/>
      </c>
      <c r="ACN15">
        <f>IF($B15=0,1000000,IF(INDEX('計算A'!$D$60:$II$104,$B15,186)*JZ15=1,IF(AND($E15=2,TG15=0),1000000,INDEX('計算A'!GG$110:GG$114,$F15+1)+IF(AND($E15=1,TG15=0),1000,0)),1000000))</f>
        <v/>
      </c>
      <c r="ACO15">
        <f>IF($B15=0,1000000,IF(INDEX('計算A'!$D$60:$II$104,$B15,187)*KA15=1,IF(AND($E15=2,TH15=0),1000000,INDEX('計算A'!GH$110:GH$114,$F15+1)+IF(AND($E15=1,TH15=0),1000,0)),1000000))</f>
        <v/>
      </c>
      <c r="ACP15">
        <f>IF($B15=0,1000000,IF(INDEX('計算A'!$D$60:$II$104,$B15,188)*KB15=1,IF(AND($E15=2,TI15=0),1000000,INDEX('計算A'!GI$110:GI$114,$F15+1)+IF(AND($E15=1,TI15=0),1000,0)),1000000))</f>
        <v/>
      </c>
      <c r="ACQ15">
        <f>IF($B15=0,1000000,IF(INDEX('計算A'!$D$60:$II$104,$B15,189)*KC15=1,IF(AND($E15=2,TJ15=0),1000000,INDEX('計算A'!GJ$110:GJ$114,$F15+1)+IF(AND($E15=1,TJ15=0),1000,0)),1000000))</f>
        <v/>
      </c>
      <c r="ACR15">
        <f>IF($B15=0,1000000,IF(INDEX('計算A'!$D$60:$II$104,$B15,190)*KD15=1,IF(AND($E15=2,TK15=0),1000000,INDEX('計算A'!GK$110:GK$114,$F15+1)+IF(AND($E15=1,TK15=0),1000,0)),1000000))</f>
        <v/>
      </c>
      <c r="ACS15">
        <f>IF($B15=0,1000000,IF(INDEX('計算A'!$D$60:$II$104,$B15,191)*KE15=1,IF(AND($E15=2,TL15=0),1000000,INDEX('計算A'!GL$110:GL$114,$F15+1)+IF(AND($E15=1,TL15=0),1000,0)),1000000))</f>
        <v/>
      </c>
      <c r="ACT15">
        <f>IF($B15=0,1000000,IF(INDEX('計算A'!$D$60:$II$104,$B15,192)*KF15=1,IF(AND($E15=2,TM15=0),1000000,INDEX('計算A'!GM$110:GM$114,$F15+1)+IF(AND($E15=1,TM15=0),1000,0)),1000000))</f>
        <v/>
      </c>
      <c r="ACU15">
        <f>IF($B15=0,1000000,IF(INDEX('計算A'!$D$60:$II$104,$B15,193)*KG15=1,IF(AND($E15=2,TN15=0),1000000,INDEX('計算A'!GN$110:GN$114,$F15+1)+IF(AND($E15=1,TN15=0),1000,0)),1000000))</f>
        <v/>
      </c>
      <c r="ACV15">
        <f>IF($B15=0,1000000,IF(INDEX('計算A'!$D$60:$II$104,$B15,194)*KH15=1,IF(AND($E15=2,TO15=0),1000000,INDEX('計算A'!GO$110:GO$114,$F15+1)+IF(AND($E15=1,TO15=0),1000,0)),1000000))</f>
        <v/>
      </c>
      <c r="ACW15">
        <f>IF($B15=0,1000000,IF(INDEX('計算A'!$D$60:$II$104,$B15,195)*KI15=1,IF(AND($E15=2,TP15=0),1000000,INDEX('計算A'!GP$110:GP$114,$F15+1)+IF(AND($E15=1,TP15=0),1000,0)),1000000))</f>
        <v/>
      </c>
      <c r="ACX15">
        <f>IF($B15=0,1000000,IF(INDEX('計算A'!$D$60:$II$104,$B15,196)*KJ15=1,IF(AND($E15=2,TQ15=0),1000000,INDEX('計算A'!GQ$110:GQ$114,$F15+1)+IF(AND($E15=1,TQ15=0),1000,0)),1000000))</f>
        <v/>
      </c>
      <c r="ACY15">
        <f>IF($B15=0,1000000,IF(INDEX('計算A'!$D$60:$II$104,$B15,197)*KK15=1,IF(AND($E15=2,TR15=0),1000000,INDEX('計算A'!GR$110:GR$114,$F15+1)+IF(AND($E15=1,TR15=0),1000,0)),1000000))</f>
        <v/>
      </c>
      <c r="ACZ15">
        <f>IF($B15=0,1000000,IF(INDEX('計算A'!$D$60:$II$104,$B15,198)*KL15=1,IF(AND($E15=2,TS15=0),1000000,INDEX('計算A'!GS$110:GS$114,$F15+1)+IF(AND($E15=1,TS15=0),1000,0)),1000000))</f>
        <v/>
      </c>
      <c r="ADA15">
        <f>IF($B15=0,1000000,IF(INDEX('計算A'!$D$60:$II$104,$B15,199)*KM15=1,IF(AND($E15=2,TT15=0),1000000,INDEX('計算A'!GT$110:GT$114,$F15+1)+IF(AND($E15=1,TT15=0),1000,0)),1000000))</f>
        <v/>
      </c>
      <c r="ADB15">
        <f>IF($B15=0,1000000,IF(INDEX('計算A'!$D$60:$II$104,$B15,200)*KN15=1,IF(AND($E15=2,TU15=0),1000000,INDEX('計算A'!GU$110:GU$114,$F15+1)+IF(AND($E15=1,TU15=0),1000,0)),1000000))</f>
        <v/>
      </c>
      <c r="ADC15">
        <f>IF($B15=0,1000000,IF(INDEX('計算A'!$D$60:$II$104,$B15,201)*KO15=1,IF(AND($E15=2,TV15=0),1000000,INDEX('計算A'!GV$110:GV$114,$F15+1)+IF(AND($E15=1,TV15=0),1000,0)),1000000))</f>
        <v/>
      </c>
      <c r="ADD15">
        <f>IF($B15=0,1000000,IF(INDEX('計算A'!$D$60:$II$104,$B15,202)*KP15=1,IF(AND($E15=2,TW15=0),1000000,INDEX('計算A'!GW$110:GW$114,$F15+1)+IF(AND($E15=1,TW15=0),1000,0)),1000000))</f>
        <v/>
      </c>
      <c r="ADE15">
        <f>IF($B15=0,1000000,IF(INDEX('計算A'!$D$60:$II$104,$B15,203)*KQ15=1,IF(AND($E15=2,TX15=0),1000000,INDEX('計算A'!GX$110:GX$114,$F15+1)+IF(AND($E15=1,TX15=0),1000,0)),1000000))</f>
        <v/>
      </c>
      <c r="ADF15">
        <f>IF($B15=0,1000000,IF(INDEX('計算A'!$D$60:$II$104,$B15,204)*KR15=1,IF(AND($E15=2,TY15=0),1000000,INDEX('計算A'!GY$110:GY$114,$F15+1)+IF(AND($E15=1,TY15=0),1000,0)),1000000))</f>
        <v/>
      </c>
      <c r="ADG15">
        <f>IF($B15=0,1000000,IF(INDEX('計算A'!$D$60:$II$104,$B15,205)*KS15=1,IF(AND($E15=2,TZ15=0),1000000,INDEX('計算A'!GZ$110:GZ$114,$F15+1)+IF(AND($E15=1,TZ15=0),1000,0)),1000000))</f>
        <v/>
      </c>
      <c r="ADH15">
        <f>IF($B15=0,1000000,IF(INDEX('計算A'!$D$60:$II$104,$B15,206)*KT15=1,IF(AND($E15=2,UA15=0),1000000,INDEX('計算A'!HA$110:HA$114,$F15+1)+IF(AND($E15=1,UA15=0),1000,0)),1000000))</f>
        <v/>
      </c>
      <c r="ADI15">
        <f>IF($B15=0,1000000,IF(INDEX('計算A'!$D$60:$II$104,$B15,207)*KU15=1,IF(AND($E15=2,UB15=0),1000000,INDEX('計算A'!HB$110:HB$114,$F15+1)+IF(AND($E15=1,UB15=0),1000,0)),1000000))</f>
        <v/>
      </c>
      <c r="ADJ15">
        <f>IF($B15=0,1000000,IF(INDEX('計算A'!$D$60:$II$104,$B15,208)*KV15=1,IF(AND($E15=2,UC15=0),1000000,INDEX('計算A'!HC$110:HC$114,$F15+1)+IF(AND($E15=1,UC15=0),1000,0)),1000000))</f>
        <v/>
      </c>
      <c r="ADK15">
        <f>IF($B15=0,1000000,IF(INDEX('計算A'!$D$60:$II$104,$B15,209)*KW15=1,IF(AND($E15=2,UD15=0),1000000,INDEX('計算A'!HD$110:HD$114,$F15+1)+IF(AND($E15=1,UD15=0),1000,0)),1000000))</f>
        <v/>
      </c>
      <c r="ADL15">
        <f>IF($B15=0,1000000,IF(INDEX('計算A'!$D$60:$II$104,$B15,210)*KX15=1,IF(AND($E15=2,UE15=0),1000000,INDEX('計算A'!HE$110:HE$114,$F15+1)+IF(AND($E15=1,UE15=0),1000,0)),1000000))</f>
        <v/>
      </c>
      <c r="ADM15">
        <f>IF($B15=0,1000000,IF(INDEX('計算A'!$D$60:$II$104,$B15,211)*KY15=1,IF(AND($E15=2,UF15=0),1000000,INDEX('計算A'!HF$110:HF$114,$F15+1)+IF(AND($E15=1,UF15=0),1000,0)),1000000))</f>
        <v/>
      </c>
      <c r="ADN15">
        <f>IF($B15=0,1000000,IF(INDEX('計算A'!$D$60:$II$104,$B15,212)*KZ15=1,IF(AND($E15=2,UG15=0),1000000,INDEX('計算A'!HG$110:HG$114,$F15+1)+IF(AND($E15=1,UG15=0),1000,0)),1000000))</f>
        <v/>
      </c>
      <c r="ADO15">
        <f>IF($B15=0,1000000,IF(INDEX('計算A'!$D$60:$II$104,$B15,213)*LA15=1,IF(AND($E15=2,UH15=0),1000000,INDEX('計算A'!HH$110:HH$114,$F15+1)+IF(AND($E15=1,UH15=0),1000,0)),1000000))</f>
        <v/>
      </c>
      <c r="ADP15">
        <f>IF($B15=0,1000000,IF(INDEX('計算A'!$D$60:$II$104,$B15,214)*LB15=1,IF(AND($E15=2,UI15=0),1000000,INDEX('計算A'!HI$110:HI$114,$F15+1)+IF(AND($E15=1,UI15=0),1000,0)),1000000))</f>
        <v/>
      </c>
      <c r="ADQ15">
        <f>IF($B15=0,1000000,IF(INDEX('計算A'!$D$60:$II$104,$B15,215)*LC15=1,IF(AND($E15=2,UJ15=0),1000000,INDEX('計算A'!HJ$110:HJ$114,$F15+1)+IF(AND($E15=1,UJ15=0),1000,0)),1000000))</f>
        <v/>
      </c>
      <c r="ADR15">
        <f>IF($B15=0,1000000,IF(INDEX('計算A'!$D$60:$II$104,$B15,216)*LD15=1,IF(AND($E15=2,UK15=0),1000000,INDEX('計算A'!HK$110:HK$114,$F15+1)+IF(AND($E15=1,UK15=0),1000,0)),1000000))</f>
        <v/>
      </c>
      <c r="ADS15">
        <f>IF($B15=0,1000000,IF(INDEX('計算A'!$D$60:$II$104,$B15,217)*LE15=1,IF(AND($E15=2,UL15=0),1000000,INDEX('計算A'!HL$110:HL$114,$F15+1)+IF(AND($E15=1,UL15=0),1000,0)),1000000))</f>
        <v/>
      </c>
      <c r="ADT15">
        <f>IF($B15=0,1000000,IF(INDEX('計算A'!$D$60:$II$104,$B15,218)*LF15=1,IF(AND($E15=2,UM15=0),1000000,INDEX('計算A'!HM$110:HM$114,$F15+1)+IF(AND($E15=1,UM15=0),1000,0)),1000000))</f>
        <v/>
      </c>
      <c r="ADU15">
        <f>IF($B15=0,1000000,IF(INDEX('計算A'!$D$60:$II$104,$B15,219)*LG15=1,IF(AND($E15=2,UN15=0),1000000,INDEX('計算A'!HN$110:HN$114,$F15+1)+IF(AND($E15=1,UN15=0),1000,0)),1000000))</f>
        <v/>
      </c>
      <c r="ADV15">
        <f>IF($B15=0,1000000,IF(INDEX('計算A'!$D$60:$II$104,$B15,220)*LH15=1,IF(AND($E15=2,UO15=0),1000000,INDEX('計算A'!HO$110:HO$114,$F15+1)+IF(AND($E15=1,UO15=0),1000,0)),1000000))</f>
        <v/>
      </c>
      <c r="ADW15">
        <f>IF($B15=0,1000000,IF(INDEX('計算A'!$D$60:$II$104,$B15,221)*LI15=1,IF(AND($E15=2,UP15=0),1000000,INDEX('計算A'!HP$110:HP$114,$F15+1)+IF(AND($E15=1,UP15=0),1000,0)),1000000))</f>
        <v/>
      </c>
      <c r="ADX15">
        <f>IF($B15=0,1000000,IF(INDEX('計算A'!$D$60:$II$104,$B15,222)*LJ15=1,IF(AND($E15=2,UQ15=0),1000000,INDEX('計算A'!HQ$110:HQ$114,$F15+1)+IF(AND($E15=1,UQ15=0),1000,0)),1000000))</f>
        <v/>
      </c>
      <c r="ADY15">
        <f>IF($B15=0,1000000,IF(INDEX('計算A'!$D$60:$II$104,$B15,223)*LK15=1,IF(AND($E15=2,UR15=0),1000000,INDEX('計算A'!HR$110:HR$114,$F15+1)+IF(AND($E15=1,UR15=0),1000,0)),1000000))</f>
        <v/>
      </c>
      <c r="ADZ15">
        <f>IF($B15=0,1000000,IF(INDEX('計算A'!$D$60:$II$104,$B15,224)*LL15=1,IF(AND($E15=2,US15=0),1000000,INDEX('計算A'!HS$110:HS$114,$F15+1)+IF(AND($E15=1,US15=0),1000,0)),1000000))</f>
        <v/>
      </c>
      <c r="AEA15">
        <f>IF($B15=0,1000000,IF(INDEX('計算A'!$D$60:$II$104,$B15,225)*LM15=1,IF(AND($E15=2,UT15=0),1000000,INDEX('計算A'!HT$110:HT$114,$F15+1)+IF(AND($E15=1,UT15=0),1000,0)),1000000))</f>
        <v/>
      </c>
      <c r="AEB15">
        <f>IF($B15=0,1000000,IF(INDEX('計算A'!$D$60:$II$104,$B15,226)*LN15=1,IF(AND($E15=2,UU15=0),1000000,INDEX('計算A'!HU$110:HU$114,$F15+1)+IF(AND($E15=1,UU15=0),1000,0)),1000000))</f>
        <v/>
      </c>
      <c r="AEC15">
        <f>IF($B15=0,1000000,IF(INDEX('計算A'!$D$60:$II$104,$B15,227)*LO15=1,IF(AND($E15=2,UV15=0),1000000,INDEX('計算A'!HV$110:HV$114,$F15+1)+IF(AND($E15=1,UV15=0),1000,0)),1000000))</f>
        <v/>
      </c>
      <c r="AED15">
        <f>IF($B15=0,1000000,IF(INDEX('計算A'!$D$60:$II$104,$B15,228)*LP15=1,IF(AND($E15=2,UW15=0),1000000,INDEX('計算A'!HW$110:HW$114,$F15+1)+IF(AND($E15=1,UW15=0),1000,0)),1000000))</f>
        <v/>
      </c>
      <c r="AEE15">
        <f>IF($B15=0,1000000,IF(INDEX('計算A'!$D$60:$II$104,$B15,229)*LQ15=1,IF(AND($E15=2,UX15=0),1000000,INDEX('計算A'!HX$110:HX$114,$F15+1)+IF(AND($E15=1,UX15=0),1000,0)),1000000))</f>
        <v/>
      </c>
      <c r="AEF15">
        <f>IF($B15=0,1000000,IF(INDEX('計算A'!$D$60:$II$104,$B15,230)*LR15=1,IF(AND($E15=2,UY15=0),1000000,INDEX('計算A'!HY$110:HY$114,$F15+1)+IF(AND($E15=1,UY15=0),1000,0)),1000000))</f>
        <v/>
      </c>
      <c r="AEG15">
        <f>IF($B15=0,1000000,IF(INDEX('計算A'!$D$60:$II$104,$B15,231)*LS15=1,IF(AND($E15=2,UZ15=0),1000000,INDEX('計算A'!HZ$110:HZ$114,$F15+1)+IF(AND($E15=1,UZ15=0),1000,0)),1000000))</f>
        <v/>
      </c>
      <c r="AEH15">
        <f>IF($B15=0,1000000,IF(INDEX('計算A'!$D$60:$II$104,$B15,232)*LT15=1,IF(AND($E15=2,VA15=0),1000000,INDEX('計算A'!IA$110:IA$114,$F15+1)+IF(AND($E15=1,VA15=0),1000,0)),1000000))</f>
        <v/>
      </c>
      <c r="AEI15">
        <f>IF($B15=0,1000000,IF(INDEX('計算A'!$D$60:$II$104,$B15,233)*LU15=1,IF(AND($E15=2,VB15=0),1000000,INDEX('計算A'!IB$110:IB$114,$F15+1)+IF(AND($E15=1,VB15=0),1000,0)),1000000))</f>
        <v/>
      </c>
      <c r="AEJ15">
        <f>IF($B15=0,1000000,IF(INDEX('計算A'!$D$60:$II$104,$B15,234)*LV15=1,IF(AND($E15=2,VC15=0),1000000,INDEX('計算A'!IC$110:IC$114,$F15+1)+IF(AND($E15=1,VC15=0),1000,0)),1000000))</f>
        <v/>
      </c>
      <c r="AEK15">
        <f>IF($B15=0,1000000,IF(INDEX('計算A'!$D$60:$II$104,$B15,235)*LW15=1,IF(AND($E15=2,VD15=0),1000000,INDEX('計算A'!ID$110:ID$114,$F15+1)+IF(AND($E15=1,VD15=0),1000,0)),1000000))</f>
        <v/>
      </c>
      <c r="AEL15">
        <f>IF($B15=0,1000000,IF(INDEX('計算A'!$D$60:$II$104,$B15,236)*LX15=1,IF(AND($E15=2,VE15=0),1000000,INDEX('計算A'!IE$110:IE$114,$F15+1)+IF(AND($E15=1,VE15=0),1000,0)),1000000))</f>
        <v/>
      </c>
      <c r="AEM15">
        <f>IF($B15=0,1000000,IF(INDEX('計算A'!$D$60:$II$104,$B15,237)*LY15=1,IF(AND($E15=2,VF15=0),1000000,INDEX('計算A'!IF$110:IF$114,$F15+1)+IF(AND($E15=1,VF15=0),1000,0)),1000000))</f>
        <v/>
      </c>
      <c r="AEN15">
        <f>IF($B15=0,1000000,IF(INDEX('計算A'!$D$60:$II$104,$B15,238)*LZ15=1,IF(AND($E15=2,VG15=0),1000000,INDEX('計算A'!IG$110:IG$114,$F15+1)+IF(AND($E15=1,VG15=0),1000,0)),1000000))</f>
        <v/>
      </c>
      <c r="AEO15">
        <f>IF($B15=0,1000000,IF(INDEX('計算A'!$D$60:$II$104,$B15,239)*MA15=1,IF(AND($E15=2,VH15=0),1000000,INDEX('計算A'!IH$110:IH$114,$F15+1)+IF(AND($E15=1,VH15=0),1000,0)),1000000))</f>
        <v/>
      </c>
      <c r="AEP15">
        <f>IF($B15=0,1000000,IF(INDEX('計算A'!$D$60:$II$104,$B15,240)*MB15=1,IF(AND($E15=2,VI15=0),1000000,INDEX('計算A'!II$110:II$114,$F15+1)+IF(AND($E15=1,VI15=0),1000,0)),1000000))</f>
        <v/>
      </c>
    </row>
    <row r="16">
      <c r="A16" t="n">
        <v>14</v>
      </c>
      <c r="B16">
        <f>IF(MIN(BC16:CU16)&gt;=1000000,0,MATCH(MIN(BC16:CU16),BC16:CU16,0))</f>
        <v/>
      </c>
      <c r="C16">
        <f>IF(MIN(VK16:AEP16)&gt;=1000000,0,MATCH(MIN(VK16:AEP16),VK16:AEP16,0))</f>
        <v/>
      </c>
      <c r="D16">
        <f>IF(C16&gt;0,INDEX('計算A'!$D$5:$II$5,C16),0)</f>
        <v/>
      </c>
      <c r="E16">
        <f>IF(B16=0,0,INDEX('計算A'!$IQ$10:$IQ$54,B16))</f>
        <v/>
      </c>
      <c r="F16">
        <f>IF(B16=0,0,INDEX('計算A'!$IP$10:$IP$54,B16))</f>
        <v/>
      </c>
      <c r="G16">
        <f>IF(AND(C16&gt;0,E16&gt;0),IF(AND(INDEX('計算A'!$D$106:$II$106,C16)=1,INDEX($MD16:$VI16,C16)=1),C16+1,0),0)</f>
        <v/>
      </c>
      <c r="I16">
        <f>MAX(I15,IF($B15=1,1,0))</f>
        <v/>
      </c>
      <c r="J16">
        <f>MAX(J15,IF($B15=2,1,0))</f>
        <v/>
      </c>
      <c r="K16">
        <f>MAX(K15,IF($B15=3,1,0))</f>
        <v/>
      </c>
      <c r="L16">
        <f>MAX(L15,IF($B15=4,1,0))</f>
        <v/>
      </c>
      <c r="M16">
        <f>MAX(M15,IF($B15=5,1,0))</f>
        <v/>
      </c>
      <c r="N16">
        <f>MAX(N15,IF($B15=6,1,0))</f>
        <v/>
      </c>
      <c r="O16">
        <f>MAX(O15,IF($B15=7,1,0))</f>
        <v/>
      </c>
      <c r="P16">
        <f>MAX(P15,IF($B15=8,1,0))</f>
        <v/>
      </c>
      <c r="Q16">
        <f>MAX(Q15,IF($B15=9,1,0))</f>
        <v/>
      </c>
      <c r="R16">
        <f>MAX(R15,IF($B15=10,1,0))</f>
        <v/>
      </c>
      <c r="S16">
        <f>MAX(S15,IF($B15=11,1,0))</f>
        <v/>
      </c>
      <c r="T16">
        <f>MAX(T15,IF($B15=12,1,0))</f>
        <v/>
      </c>
      <c r="U16">
        <f>MAX(U15,IF($B15=13,1,0))</f>
        <v/>
      </c>
      <c r="V16">
        <f>MAX(V15,IF($B15=14,1,0))</f>
        <v/>
      </c>
      <c r="W16">
        <f>MAX(W15,IF($B15=15,1,0))</f>
        <v/>
      </c>
      <c r="X16">
        <f>MAX(X15,IF($B15=16,1,0))</f>
        <v/>
      </c>
      <c r="Y16">
        <f>MAX(Y15,IF($B15=17,1,0))</f>
        <v/>
      </c>
      <c r="Z16">
        <f>MAX(Z15,IF($B15=18,1,0))</f>
        <v/>
      </c>
      <c r="AA16">
        <f>MAX(AA15,IF($B15=19,1,0))</f>
        <v/>
      </c>
      <c r="AB16">
        <f>MAX(AB15,IF($B15=20,1,0))</f>
        <v/>
      </c>
      <c r="AC16">
        <f>MAX(AC15,IF($B15=21,1,0))</f>
        <v/>
      </c>
      <c r="AD16">
        <f>MAX(AD15,IF($B15=22,1,0))</f>
        <v/>
      </c>
      <c r="AE16">
        <f>MAX(AE15,IF($B15=23,1,0))</f>
        <v/>
      </c>
      <c r="AF16">
        <f>MAX(AF15,IF($B15=24,1,0))</f>
        <v/>
      </c>
      <c r="AG16">
        <f>MAX(AG15,IF($B15=25,1,0))</f>
        <v/>
      </c>
      <c r="AH16">
        <f>MAX(AH15,IF($B15=26,1,0))</f>
        <v/>
      </c>
      <c r="AI16">
        <f>MAX(AI15,IF($B15=27,1,0))</f>
        <v/>
      </c>
      <c r="AJ16">
        <f>MAX(AJ15,IF($B15=28,1,0))</f>
        <v/>
      </c>
      <c r="AK16">
        <f>MAX(AK15,IF($B15=29,1,0))</f>
        <v/>
      </c>
      <c r="AL16">
        <f>MAX(AL15,IF($B15=30,1,0))</f>
        <v/>
      </c>
      <c r="AM16">
        <f>MAX(AM15,IF($B15=31,1,0))</f>
        <v/>
      </c>
      <c r="AN16">
        <f>MAX(AN15,IF($B15=32,1,0))</f>
        <v/>
      </c>
      <c r="AO16">
        <f>MAX(AO15,IF($B15=33,1,0))</f>
        <v/>
      </c>
      <c r="AP16">
        <f>MAX(AP15,IF($B15=34,1,0))</f>
        <v/>
      </c>
      <c r="AQ16">
        <f>MAX(AQ15,IF($B15=35,1,0))</f>
        <v/>
      </c>
      <c r="AR16">
        <f>MAX(AR15,IF($B15=36,1,0))</f>
        <v/>
      </c>
      <c r="AS16">
        <f>MAX(AS15,IF($B15=37,1,0))</f>
        <v/>
      </c>
      <c r="AT16">
        <f>MAX(AT15,IF($B15=38,1,0))</f>
        <v/>
      </c>
      <c r="AU16">
        <f>MAX(AU15,IF($B15=39,1,0))</f>
        <v/>
      </c>
      <c r="AV16">
        <f>MAX(AV15,IF($B15=40,1,0))</f>
        <v/>
      </c>
      <c r="AW16">
        <f>MAX(AW15,IF($B15=41,1,0))</f>
        <v/>
      </c>
      <c r="AX16">
        <f>MAX(AX15,IF($B15=42,1,0))</f>
        <v/>
      </c>
      <c r="AY16">
        <f>MAX(AY15,IF($B15=43,1,0))</f>
        <v/>
      </c>
      <c r="AZ16">
        <f>MAX(AZ15,IF($B15=44,1,0))</f>
        <v/>
      </c>
      <c r="BA16">
        <f>MAX(BA15,IF($B15=45,1,0))</f>
        <v/>
      </c>
      <c r="BC16">
        <f>IF(I16=1,1000000,IF('計算A'!$IQ$10=2,SUMPRODUCT('計算A'!$D$60:$II$60,$CW16:$MB16,$MD16:$VI16),SUMPRODUCT('計算A'!$D$60:$II$60,$CW16:$MB16))*1000+1)</f>
        <v/>
      </c>
      <c r="BD16">
        <f>IF(J16=1,1000000,IF('計算A'!$IQ$11=2,SUMPRODUCT('計算A'!$D$61:$II$61,$CW16:$MB16,$MD16:$VI16),SUMPRODUCT('計算A'!$D$61:$II$61,$CW16:$MB16))*1000+2)</f>
        <v/>
      </c>
      <c r="BE16">
        <f>IF(K16=1,1000000,IF('計算A'!$IQ$12=2,SUMPRODUCT('計算A'!$D$62:$II$62,$CW16:$MB16,$MD16:$VI16),SUMPRODUCT('計算A'!$D$62:$II$62,$CW16:$MB16))*1000+3)</f>
        <v/>
      </c>
      <c r="BF16">
        <f>IF(L16=1,1000000,IF('計算A'!$IQ$13=2,SUMPRODUCT('計算A'!$D$63:$II$63,$CW16:$MB16,$MD16:$VI16),SUMPRODUCT('計算A'!$D$63:$II$63,$CW16:$MB16))*1000+4)</f>
        <v/>
      </c>
      <c r="BG16">
        <f>IF(M16=1,1000000,IF('計算A'!$IQ$14=2,SUMPRODUCT('計算A'!$D$64:$II$64,$CW16:$MB16,$MD16:$VI16),SUMPRODUCT('計算A'!$D$64:$II$64,$CW16:$MB16))*1000+5)</f>
        <v/>
      </c>
      <c r="BH16">
        <f>IF(N16=1,1000000,IF('計算A'!$IQ$15=2,SUMPRODUCT('計算A'!$D$65:$II$65,$CW16:$MB16,$MD16:$VI16),SUMPRODUCT('計算A'!$D$65:$II$65,$CW16:$MB16))*1000+6)</f>
        <v/>
      </c>
      <c r="BI16">
        <f>IF(O16=1,1000000,IF('計算A'!$IQ$16=2,SUMPRODUCT('計算A'!$D$66:$II$66,$CW16:$MB16,$MD16:$VI16),SUMPRODUCT('計算A'!$D$66:$II$66,$CW16:$MB16))*1000+7)</f>
        <v/>
      </c>
      <c r="BJ16">
        <f>IF(P16=1,1000000,IF('計算A'!$IQ$17=2,SUMPRODUCT('計算A'!$D$67:$II$67,$CW16:$MB16,$MD16:$VI16),SUMPRODUCT('計算A'!$D$67:$II$67,$CW16:$MB16))*1000+8)</f>
        <v/>
      </c>
      <c r="BK16">
        <f>IF(Q16=1,1000000,IF('計算A'!$IQ$18=2,SUMPRODUCT('計算A'!$D$68:$II$68,$CW16:$MB16,$MD16:$VI16),SUMPRODUCT('計算A'!$D$68:$II$68,$CW16:$MB16))*1000+9)</f>
        <v/>
      </c>
      <c r="BL16">
        <f>IF(R16=1,1000000,IF('計算A'!$IQ$19=2,SUMPRODUCT('計算A'!$D$69:$II$69,$CW16:$MB16,$MD16:$VI16),SUMPRODUCT('計算A'!$D$69:$II$69,$CW16:$MB16))*1000+10)</f>
        <v/>
      </c>
      <c r="BM16">
        <f>IF(S16=1,1000000,IF('計算A'!$IQ$20=2,SUMPRODUCT('計算A'!$D$70:$II$70,$CW16:$MB16,$MD16:$VI16),SUMPRODUCT('計算A'!$D$70:$II$70,$CW16:$MB16))*1000+11)</f>
        <v/>
      </c>
      <c r="BN16">
        <f>IF(T16=1,1000000,IF('計算A'!$IQ$21=2,SUMPRODUCT('計算A'!$D$71:$II$71,$CW16:$MB16,$MD16:$VI16),SUMPRODUCT('計算A'!$D$71:$II$71,$CW16:$MB16))*1000+12)</f>
        <v/>
      </c>
      <c r="BO16">
        <f>IF(U16=1,1000000,IF('計算A'!$IQ$22=2,SUMPRODUCT('計算A'!$D$72:$II$72,$CW16:$MB16,$MD16:$VI16),SUMPRODUCT('計算A'!$D$72:$II$72,$CW16:$MB16))*1000+13)</f>
        <v/>
      </c>
      <c r="BP16">
        <f>IF(V16=1,1000000,IF('計算A'!$IQ$23=2,SUMPRODUCT('計算A'!$D$73:$II$73,$CW16:$MB16,$MD16:$VI16),SUMPRODUCT('計算A'!$D$73:$II$73,$CW16:$MB16))*1000+14)</f>
        <v/>
      </c>
      <c r="BQ16">
        <f>IF(W16=1,1000000,IF('計算A'!$IQ$24=2,SUMPRODUCT('計算A'!$D$74:$II$74,$CW16:$MB16,$MD16:$VI16),SUMPRODUCT('計算A'!$D$74:$II$74,$CW16:$MB16))*1000+15)</f>
        <v/>
      </c>
      <c r="BR16">
        <f>IF(X16=1,1000000,IF('計算A'!$IQ$25=2,SUMPRODUCT('計算A'!$D$75:$II$75,$CW16:$MB16,$MD16:$VI16),SUMPRODUCT('計算A'!$D$75:$II$75,$CW16:$MB16))*1000+16)</f>
        <v/>
      </c>
      <c r="BS16">
        <f>IF(Y16=1,1000000,IF('計算A'!$IQ$26=2,SUMPRODUCT('計算A'!$D$76:$II$76,$CW16:$MB16,$MD16:$VI16),SUMPRODUCT('計算A'!$D$76:$II$76,$CW16:$MB16))*1000+17)</f>
        <v/>
      </c>
      <c r="BT16">
        <f>IF(Z16=1,1000000,IF('計算A'!$IQ$27=2,SUMPRODUCT('計算A'!$D$77:$II$77,$CW16:$MB16,$MD16:$VI16),SUMPRODUCT('計算A'!$D$77:$II$77,$CW16:$MB16))*1000+18)</f>
        <v/>
      </c>
      <c r="BU16">
        <f>IF(AA16=1,1000000,IF('計算A'!$IQ$28=2,SUMPRODUCT('計算A'!$D$78:$II$78,$CW16:$MB16,$MD16:$VI16),SUMPRODUCT('計算A'!$D$78:$II$78,$CW16:$MB16))*1000+19)</f>
        <v/>
      </c>
      <c r="BV16">
        <f>IF(AB16=1,1000000,IF('計算A'!$IQ$29=2,SUMPRODUCT('計算A'!$D$79:$II$79,$CW16:$MB16,$MD16:$VI16),SUMPRODUCT('計算A'!$D$79:$II$79,$CW16:$MB16))*1000+20)</f>
        <v/>
      </c>
      <c r="BW16">
        <f>IF(AC16=1,1000000,IF('計算A'!$IQ$30=2,SUMPRODUCT('計算A'!$D$80:$II$80,$CW16:$MB16,$MD16:$VI16),SUMPRODUCT('計算A'!$D$80:$II$80,$CW16:$MB16))*1000+21)</f>
        <v/>
      </c>
      <c r="BX16">
        <f>IF(AD16=1,1000000,IF('計算A'!$IQ$31=2,SUMPRODUCT('計算A'!$D$81:$II$81,$CW16:$MB16,$MD16:$VI16),SUMPRODUCT('計算A'!$D$81:$II$81,$CW16:$MB16))*1000+22)</f>
        <v/>
      </c>
      <c r="BY16">
        <f>IF(AE16=1,1000000,IF('計算A'!$IQ$32=2,SUMPRODUCT('計算A'!$D$82:$II$82,$CW16:$MB16,$MD16:$VI16),SUMPRODUCT('計算A'!$D$82:$II$82,$CW16:$MB16))*1000+23)</f>
        <v/>
      </c>
      <c r="BZ16">
        <f>IF(AF16=1,1000000,IF('計算A'!$IQ$33=2,SUMPRODUCT('計算A'!$D$83:$II$83,$CW16:$MB16,$MD16:$VI16),SUMPRODUCT('計算A'!$D$83:$II$83,$CW16:$MB16))*1000+24)</f>
        <v/>
      </c>
      <c r="CA16">
        <f>IF(AG16=1,1000000,IF('計算A'!$IQ$34=2,SUMPRODUCT('計算A'!$D$84:$II$84,$CW16:$MB16,$MD16:$VI16),SUMPRODUCT('計算A'!$D$84:$II$84,$CW16:$MB16))*1000+25)</f>
        <v/>
      </c>
      <c r="CB16">
        <f>IF(AH16=1,1000000,IF('計算A'!$IQ$35=2,SUMPRODUCT('計算A'!$D$85:$II$85,$CW16:$MB16,$MD16:$VI16),SUMPRODUCT('計算A'!$D$85:$II$85,$CW16:$MB16))*1000+26)</f>
        <v/>
      </c>
      <c r="CC16">
        <f>IF(AI16=1,1000000,IF('計算A'!$IQ$36=2,SUMPRODUCT('計算A'!$D$86:$II$86,$CW16:$MB16,$MD16:$VI16),SUMPRODUCT('計算A'!$D$86:$II$86,$CW16:$MB16))*1000+27)</f>
        <v/>
      </c>
      <c r="CD16">
        <f>IF(AJ16=1,1000000,IF('計算A'!$IQ$37=2,SUMPRODUCT('計算A'!$D$87:$II$87,$CW16:$MB16,$MD16:$VI16),SUMPRODUCT('計算A'!$D$87:$II$87,$CW16:$MB16))*1000+28)</f>
        <v/>
      </c>
      <c r="CE16">
        <f>IF(AK16=1,1000000,IF('計算A'!$IQ$38=2,SUMPRODUCT('計算A'!$D$88:$II$88,$CW16:$MB16,$MD16:$VI16),SUMPRODUCT('計算A'!$D$88:$II$88,$CW16:$MB16))*1000+29)</f>
        <v/>
      </c>
      <c r="CF16">
        <f>IF(AL16=1,1000000,IF('計算A'!$IQ$39=2,SUMPRODUCT('計算A'!$D$89:$II$89,$CW16:$MB16,$MD16:$VI16),SUMPRODUCT('計算A'!$D$89:$II$89,$CW16:$MB16))*1000+30)</f>
        <v/>
      </c>
      <c r="CG16">
        <f>IF(AM16=1,1000000,IF('計算A'!$IQ$40=2,SUMPRODUCT('計算A'!$D$90:$II$90,$CW16:$MB16,$MD16:$VI16),SUMPRODUCT('計算A'!$D$90:$II$90,$CW16:$MB16))*1000+31)</f>
        <v/>
      </c>
      <c r="CH16">
        <f>IF(AN16=1,1000000,IF('計算A'!$IQ$41=2,SUMPRODUCT('計算A'!$D$91:$II$91,$CW16:$MB16,$MD16:$VI16),SUMPRODUCT('計算A'!$D$91:$II$91,$CW16:$MB16))*1000+32)</f>
        <v/>
      </c>
      <c r="CI16">
        <f>IF(AO16=1,1000000,IF('計算A'!$IQ$42=2,SUMPRODUCT('計算A'!$D$92:$II$92,$CW16:$MB16,$MD16:$VI16),SUMPRODUCT('計算A'!$D$92:$II$92,$CW16:$MB16))*1000+33)</f>
        <v/>
      </c>
      <c r="CJ16">
        <f>IF(AP16=1,1000000,IF('計算A'!$IQ$43=2,SUMPRODUCT('計算A'!$D$93:$II$93,$CW16:$MB16,$MD16:$VI16),SUMPRODUCT('計算A'!$D$93:$II$93,$CW16:$MB16))*1000+34)</f>
        <v/>
      </c>
      <c r="CK16">
        <f>IF(AQ16=1,1000000,IF('計算A'!$IQ$44=2,SUMPRODUCT('計算A'!$D$94:$II$94,$CW16:$MB16,$MD16:$VI16),SUMPRODUCT('計算A'!$D$94:$II$94,$CW16:$MB16))*1000+35)</f>
        <v/>
      </c>
      <c r="CL16">
        <f>IF(AR16=1,1000000,IF('計算A'!$IQ$45=2,SUMPRODUCT('計算A'!$D$95:$II$95,$CW16:$MB16,$MD16:$VI16),SUMPRODUCT('計算A'!$D$95:$II$95,$CW16:$MB16))*1000+36)</f>
        <v/>
      </c>
      <c r="CM16">
        <f>IF(AS16=1,1000000,IF('計算A'!$IQ$46=2,SUMPRODUCT('計算A'!$D$96:$II$96,$CW16:$MB16,$MD16:$VI16),SUMPRODUCT('計算A'!$D$96:$II$96,$CW16:$MB16))*1000+37)</f>
        <v/>
      </c>
      <c r="CN16">
        <f>IF(AT16=1,1000000,IF('計算A'!$IQ$47=2,SUMPRODUCT('計算A'!$D$97:$II$97,$CW16:$MB16,$MD16:$VI16),SUMPRODUCT('計算A'!$D$97:$II$97,$CW16:$MB16))*1000+38)</f>
        <v/>
      </c>
      <c r="CO16">
        <f>IF(AU16=1,1000000,IF('計算A'!$IQ$48=2,SUMPRODUCT('計算A'!$D$98:$II$98,$CW16:$MB16,$MD16:$VI16),SUMPRODUCT('計算A'!$D$98:$II$98,$CW16:$MB16))*1000+39)</f>
        <v/>
      </c>
      <c r="CP16">
        <f>IF(AV16=1,1000000,IF('計算A'!$IQ$49=2,SUMPRODUCT('計算A'!$D$99:$II$99,$CW16:$MB16,$MD16:$VI16),SUMPRODUCT('計算A'!$D$99:$II$99,$CW16:$MB16))*1000+40)</f>
        <v/>
      </c>
      <c r="CQ16">
        <f>IF(AW16=1,1000000,IF('計算A'!$IQ$50=2,SUMPRODUCT('計算A'!$D$100:$II$100,$CW16:$MB16,$MD16:$VI16),SUMPRODUCT('計算A'!$D$100:$II$100,$CW16:$MB16))*1000+41)</f>
        <v/>
      </c>
      <c r="CR16">
        <f>IF(AX16=1,1000000,IF('計算A'!$IQ$51=2,SUMPRODUCT('計算A'!$D$101:$II$101,$CW16:$MB16,$MD16:$VI16),SUMPRODUCT('計算A'!$D$101:$II$101,$CW16:$MB16))*1000+42)</f>
        <v/>
      </c>
      <c r="CS16">
        <f>IF(AY16=1,1000000,IF('計算A'!$IQ$52=2,SUMPRODUCT('計算A'!$D$102:$II$102,$CW16:$MB16,$MD16:$VI16),SUMPRODUCT('計算A'!$D$102:$II$102,$CW16:$MB16))*1000+43)</f>
        <v/>
      </c>
      <c r="CT16">
        <f>IF(AZ16=1,1000000,IF('計算A'!$IQ$53=2,SUMPRODUCT('計算A'!$D$103:$II$103,$CW16:$MB16,$MD16:$VI16),SUMPRODUCT('計算A'!$D$103:$II$103,$CW16:$MB16))*1000+44)</f>
        <v/>
      </c>
      <c r="CU16">
        <f>IF(BA16=1,1000000,IF('計算A'!$IQ$54=2,SUMPRODUCT('計算A'!$D$104:$II$104,$CW16:$MB16,$MD16:$VI16),SUMPRODUCT('計算A'!$D$104:$II$104,$CW16:$MB16))*1000+45)</f>
        <v/>
      </c>
      <c r="CW16">
        <f>CW15*IF(OR($C15=1,$G15=1),0,1)</f>
        <v/>
      </c>
      <c r="CX16">
        <f>CX15*IF(OR($C15=2,$G15=2),0,1)</f>
        <v/>
      </c>
      <c r="CY16">
        <f>CY15*IF(OR($C15=3,$G15=3),0,1)</f>
        <v/>
      </c>
      <c r="CZ16">
        <f>CZ15*IF(OR($C15=4,$G15=4),0,1)</f>
        <v/>
      </c>
      <c r="DA16">
        <f>DA15*IF(OR($C15=5,$G15=5),0,1)</f>
        <v/>
      </c>
      <c r="DB16">
        <f>DB15*IF(OR($C15=6,$G15=6),0,1)</f>
        <v/>
      </c>
      <c r="DC16">
        <f>DC15*IF(OR($C15=7,$G15=7),0,1)</f>
        <v/>
      </c>
      <c r="DD16">
        <f>DD15*IF(OR($C15=8,$G15=8),0,1)</f>
        <v/>
      </c>
      <c r="DE16">
        <f>DE15*IF(OR($C15=9,$G15=9),0,1)</f>
        <v/>
      </c>
      <c r="DF16">
        <f>DF15*IF(OR($C15=10,$G15=10),0,1)</f>
        <v/>
      </c>
      <c r="DG16">
        <f>DG15*IF(OR($C15=11,$G15=11),0,1)</f>
        <v/>
      </c>
      <c r="DH16">
        <f>DH15*IF(OR($C15=12,$G15=12),0,1)</f>
        <v/>
      </c>
      <c r="DI16">
        <f>DI15*IF(OR($C15=13,$G15=13),0,1)</f>
        <v/>
      </c>
      <c r="DJ16">
        <f>DJ15*IF(OR($C15=14,$G15=14),0,1)</f>
        <v/>
      </c>
      <c r="DK16">
        <f>DK15*IF(OR($C15=15,$G15=15),0,1)</f>
        <v/>
      </c>
      <c r="DL16">
        <f>DL15*IF(OR($C15=16,$G15=16),0,1)</f>
        <v/>
      </c>
      <c r="DM16">
        <f>DM15*IF(OR($C15=17,$G15=17),0,1)</f>
        <v/>
      </c>
      <c r="DN16">
        <f>DN15*IF(OR($C15=18,$G15=18),0,1)</f>
        <v/>
      </c>
      <c r="DO16">
        <f>DO15*IF(OR($C15=19,$G15=19),0,1)</f>
        <v/>
      </c>
      <c r="DP16">
        <f>DP15*IF(OR($C15=20,$G15=20),0,1)</f>
        <v/>
      </c>
      <c r="DQ16">
        <f>DQ15*IF(OR($C15=21,$G15=21),0,1)</f>
        <v/>
      </c>
      <c r="DR16">
        <f>DR15*IF(OR($C15=22,$G15=22),0,1)</f>
        <v/>
      </c>
      <c r="DS16">
        <f>DS15*IF(OR($C15=23,$G15=23),0,1)</f>
        <v/>
      </c>
      <c r="DT16">
        <f>DT15*IF(OR($C15=24,$G15=24),0,1)</f>
        <v/>
      </c>
      <c r="DU16">
        <f>DU15*IF(OR($C15=25,$G15=25),0,1)</f>
        <v/>
      </c>
      <c r="DV16">
        <f>DV15*IF(OR($C15=26,$G15=26),0,1)</f>
        <v/>
      </c>
      <c r="DW16">
        <f>DW15*IF(OR($C15=27,$G15=27),0,1)</f>
        <v/>
      </c>
      <c r="DX16">
        <f>DX15*IF(OR($C15=28,$G15=28),0,1)</f>
        <v/>
      </c>
      <c r="DY16">
        <f>DY15*IF(OR($C15=29,$G15=29),0,1)</f>
        <v/>
      </c>
      <c r="DZ16">
        <f>DZ15*IF(OR($C15=30,$G15=30),0,1)</f>
        <v/>
      </c>
      <c r="EA16">
        <f>EA15*IF(OR($C15=31,$G15=31),0,1)</f>
        <v/>
      </c>
      <c r="EB16">
        <f>EB15*IF(OR($C15=32,$G15=32),0,1)</f>
        <v/>
      </c>
      <c r="EC16">
        <f>EC15*IF(OR($C15=33,$G15=33),0,1)</f>
        <v/>
      </c>
      <c r="ED16">
        <f>ED15*IF(OR($C15=34,$G15=34),0,1)</f>
        <v/>
      </c>
      <c r="EE16">
        <f>EE15*IF(OR($C15=35,$G15=35),0,1)</f>
        <v/>
      </c>
      <c r="EF16">
        <f>EF15*IF(OR($C15=36,$G15=36),0,1)</f>
        <v/>
      </c>
      <c r="EG16">
        <f>EG15*IF(OR($C15=37,$G15=37),0,1)</f>
        <v/>
      </c>
      <c r="EH16">
        <f>EH15*IF(OR($C15=38,$G15=38),0,1)</f>
        <v/>
      </c>
      <c r="EI16">
        <f>EI15*IF(OR($C15=39,$G15=39),0,1)</f>
        <v/>
      </c>
      <c r="EJ16">
        <f>EJ15*IF(OR($C15=40,$G15=40),0,1)</f>
        <v/>
      </c>
      <c r="EK16">
        <f>EK15*IF(OR($C15=41,$G15=41),0,1)</f>
        <v/>
      </c>
      <c r="EL16">
        <f>EL15*IF(OR($C15=42,$G15=42),0,1)</f>
        <v/>
      </c>
      <c r="EM16">
        <f>EM15*IF(OR($C15=43,$G15=43),0,1)</f>
        <v/>
      </c>
      <c r="EN16">
        <f>EN15*IF(OR($C15=44,$G15=44),0,1)</f>
        <v/>
      </c>
      <c r="EO16">
        <f>EO15*IF(OR($C15=45,$G15=45),0,1)</f>
        <v/>
      </c>
      <c r="EP16">
        <f>EP15*IF(OR($C15=46,$G15=46),0,1)</f>
        <v/>
      </c>
      <c r="EQ16">
        <f>EQ15*IF(OR($C15=47,$G15=47),0,1)</f>
        <v/>
      </c>
      <c r="ER16">
        <f>ER15*IF(OR($C15=48,$G15=48),0,1)</f>
        <v/>
      </c>
      <c r="ES16">
        <f>ES15*IF(OR($C15=49,$G15=49),0,1)</f>
        <v/>
      </c>
      <c r="ET16">
        <f>ET15*IF(OR($C15=50,$G15=50),0,1)</f>
        <v/>
      </c>
      <c r="EU16">
        <f>EU15*IF(OR($C15=51,$G15=51),0,1)</f>
        <v/>
      </c>
      <c r="EV16">
        <f>EV15*IF(OR($C15=52,$G15=52),0,1)</f>
        <v/>
      </c>
      <c r="EW16">
        <f>EW15*IF(OR($C15=53,$G15=53),0,1)</f>
        <v/>
      </c>
      <c r="EX16">
        <f>EX15*IF(OR($C15=54,$G15=54),0,1)</f>
        <v/>
      </c>
      <c r="EY16">
        <f>EY15*IF(OR($C15=55,$G15=55),0,1)</f>
        <v/>
      </c>
      <c r="EZ16">
        <f>EZ15*IF(OR($C15=56,$G15=56),0,1)</f>
        <v/>
      </c>
      <c r="FA16">
        <f>FA15*IF(OR($C15=57,$G15=57),0,1)</f>
        <v/>
      </c>
      <c r="FB16">
        <f>FB15*IF(OR($C15=58,$G15=58),0,1)</f>
        <v/>
      </c>
      <c r="FC16">
        <f>FC15*IF(OR($C15=59,$G15=59),0,1)</f>
        <v/>
      </c>
      <c r="FD16">
        <f>FD15*IF(OR($C15=60,$G15=60),0,1)</f>
        <v/>
      </c>
      <c r="FE16">
        <f>FE15*IF(OR($C15=61,$G15=61),0,1)</f>
        <v/>
      </c>
      <c r="FF16">
        <f>FF15*IF(OR($C15=62,$G15=62),0,1)</f>
        <v/>
      </c>
      <c r="FG16">
        <f>FG15*IF(OR($C15=63,$G15=63),0,1)</f>
        <v/>
      </c>
      <c r="FH16">
        <f>FH15*IF(OR($C15=64,$G15=64),0,1)</f>
        <v/>
      </c>
      <c r="FI16">
        <f>FI15*IF(OR($C15=65,$G15=65),0,1)</f>
        <v/>
      </c>
      <c r="FJ16">
        <f>FJ15*IF(OR($C15=66,$G15=66),0,1)</f>
        <v/>
      </c>
      <c r="FK16">
        <f>FK15*IF(OR($C15=67,$G15=67),0,1)</f>
        <v/>
      </c>
      <c r="FL16">
        <f>FL15*IF(OR($C15=68,$G15=68),0,1)</f>
        <v/>
      </c>
      <c r="FM16">
        <f>FM15*IF(OR($C15=69,$G15=69),0,1)</f>
        <v/>
      </c>
      <c r="FN16">
        <f>FN15*IF(OR($C15=70,$G15=70),0,1)</f>
        <v/>
      </c>
      <c r="FO16">
        <f>FO15*IF(OR($C15=71,$G15=71),0,1)</f>
        <v/>
      </c>
      <c r="FP16">
        <f>FP15*IF(OR($C15=72,$G15=72),0,1)</f>
        <v/>
      </c>
      <c r="FQ16">
        <f>FQ15*IF(OR($C15=73,$G15=73),0,1)</f>
        <v/>
      </c>
      <c r="FR16">
        <f>FR15*IF(OR($C15=74,$G15=74),0,1)</f>
        <v/>
      </c>
      <c r="FS16">
        <f>FS15*IF(OR($C15=75,$G15=75),0,1)</f>
        <v/>
      </c>
      <c r="FT16">
        <f>FT15*IF(OR($C15=76,$G15=76),0,1)</f>
        <v/>
      </c>
      <c r="FU16">
        <f>FU15*IF(OR($C15=77,$G15=77),0,1)</f>
        <v/>
      </c>
      <c r="FV16">
        <f>FV15*IF(OR($C15=78,$G15=78),0,1)</f>
        <v/>
      </c>
      <c r="FW16">
        <f>FW15*IF(OR($C15=79,$G15=79),0,1)</f>
        <v/>
      </c>
      <c r="FX16">
        <f>FX15*IF(OR($C15=80,$G15=80),0,1)</f>
        <v/>
      </c>
      <c r="FY16">
        <f>FY15*IF(OR($C15=81,$G15=81),0,1)</f>
        <v/>
      </c>
      <c r="FZ16">
        <f>FZ15*IF(OR($C15=82,$G15=82),0,1)</f>
        <v/>
      </c>
      <c r="GA16">
        <f>GA15*IF(OR($C15=83,$G15=83),0,1)</f>
        <v/>
      </c>
      <c r="GB16">
        <f>GB15*IF(OR($C15=84,$G15=84),0,1)</f>
        <v/>
      </c>
      <c r="GC16">
        <f>GC15*IF(OR($C15=85,$G15=85),0,1)</f>
        <v/>
      </c>
      <c r="GD16">
        <f>GD15*IF(OR($C15=86,$G15=86),0,1)</f>
        <v/>
      </c>
      <c r="GE16">
        <f>GE15*IF(OR($C15=87,$G15=87),0,1)</f>
        <v/>
      </c>
      <c r="GF16">
        <f>GF15*IF(OR($C15=88,$G15=88),0,1)</f>
        <v/>
      </c>
      <c r="GG16">
        <f>GG15*IF(OR($C15=89,$G15=89),0,1)</f>
        <v/>
      </c>
      <c r="GH16">
        <f>GH15*IF(OR($C15=90,$G15=90),0,1)</f>
        <v/>
      </c>
      <c r="GI16">
        <f>GI15*IF(OR($C15=91,$G15=91),0,1)</f>
        <v/>
      </c>
      <c r="GJ16">
        <f>GJ15*IF(OR($C15=92,$G15=92),0,1)</f>
        <v/>
      </c>
      <c r="GK16">
        <f>GK15*IF(OR($C15=93,$G15=93),0,1)</f>
        <v/>
      </c>
      <c r="GL16">
        <f>GL15*IF(OR($C15=94,$G15=94),0,1)</f>
        <v/>
      </c>
      <c r="GM16">
        <f>GM15*IF(OR($C15=95,$G15=95),0,1)</f>
        <v/>
      </c>
      <c r="GN16">
        <f>GN15*IF(OR($C15=96,$G15=96),0,1)</f>
        <v/>
      </c>
      <c r="GO16">
        <f>GO15*IF(OR($C15=97,$G15=97),0,1)</f>
        <v/>
      </c>
      <c r="GP16">
        <f>GP15*IF(OR($C15=98,$G15=98),0,1)</f>
        <v/>
      </c>
      <c r="GQ16">
        <f>GQ15*IF(OR($C15=99,$G15=99),0,1)</f>
        <v/>
      </c>
      <c r="GR16">
        <f>GR15*IF(OR($C15=100,$G15=100),0,1)</f>
        <v/>
      </c>
      <c r="GS16">
        <f>GS15*IF(OR($C15=101,$G15=101),0,1)</f>
        <v/>
      </c>
      <c r="GT16">
        <f>GT15*IF(OR($C15=102,$G15=102),0,1)</f>
        <v/>
      </c>
      <c r="GU16">
        <f>GU15*IF(OR($C15=103,$G15=103),0,1)</f>
        <v/>
      </c>
      <c r="GV16">
        <f>GV15*IF(OR($C15=104,$G15=104),0,1)</f>
        <v/>
      </c>
      <c r="GW16">
        <f>GW15*IF(OR($C15=105,$G15=105),0,1)</f>
        <v/>
      </c>
      <c r="GX16">
        <f>GX15*IF(OR($C15=106,$G15=106),0,1)</f>
        <v/>
      </c>
      <c r="GY16">
        <f>GY15*IF(OR($C15=107,$G15=107),0,1)</f>
        <v/>
      </c>
      <c r="GZ16">
        <f>GZ15*IF(OR($C15=108,$G15=108),0,1)</f>
        <v/>
      </c>
      <c r="HA16">
        <f>HA15*IF(OR($C15=109,$G15=109),0,1)</f>
        <v/>
      </c>
      <c r="HB16">
        <f>HB15*IF(OR($C15=110,$G15=110),0,1)</f>
        <v/>
      </c>
      <c r="HC16">
        <f>HC15*IF(OR($C15=111,$G15=111),0,1)</f>
        <v/>
      </c>
      <c r="HD16">
        <f>HD15*IF(OR($C15=112,$G15=112),0,1)</f>
        <v/>
      </c>
      <c r="HE16">
        <f>HE15*IF(OR($C15=113,$G15=113),0,1)</f>
        <v/>
      </c>
      <c r="HF16">
        <f>HF15*IF(OR($C15=114,$G15=114),0,1)</f>
        <v/>
      </c>
      <c r="HG16">
        <f>HG15*IF(OR($C15=115,$G15=115),0,1)</f>
        <v/>
      </c>
      <c r="HH16">
        <f>HH15*IF(OR($C15=116,$G15=116),0,1)</f>
        <v/>
      </c>
      <c r="HI16">
        <f>HI15*IF(OR($C15=117,$G15=117),0,1)</f>
        <v/>
      </c>
      <c r="HJ16">
        <f>HJ15*IF(OR($C15=118,$G15=118),0,1)</f>
        <v/>
      </c>
      <c r="HK16">
        <f>HK15*IF(OR($C15=119,$G15=119),0,1)</f>
        <v/>
      </c>
      <c r="HL16">
        <f>HL15*IF(OR($C15=120,$G15=120),0,1)</f>
        <v/>
      </c>
      <c r="HM16">
        <f>HM15*IF(OR($C15=121,$G15=121),0,1)</f>
        <v/>
      </c>
      <c r="HN16">
        <f>HN15*IF(OR($C15=122,$G15=122),0,1)</f>
        <v/>
      </c>
      <c r="HO16">
        <f>HO15*IF(OR($C15=123,$G15=123),0,1)</f>
        <v/>
      </c>
      <c r="HP16">
        <f>HP15*IF(OR($C15=124,$G15=124),0,1)</f>
        <v/>
      </c>
      <c r="HQ16">
        <f>HQ15*IF(OR($C15=125,$G15=125),0,1)</f>
        <v/>
      </c>
      <c r="HR16">
        <f>HR15*IF(OR($C15=126,$G15=126),0,1)</f>
        <v/>
      </c>
      <c r="HS16">
        <f>HS15*IF(OR($C15=127,$G15=127),0,1)</f>
        <v/>
      </c>
      <c r="HT16">
        <f>HT15*IF(OR($C15=128,$G15=128),0,1)</f>
        <v/>
      </c>
      <c r="HU16">
        <f>HU15*IF(OR($C15=129,$G15=129),0,1)</f>
        <v/>
      </c>
      <c r="HV16">
        <f>HV15*IF(OR($C15=130,$G15=130),0,1)</f>
        <v/>
      </c>
      <c r="HW16">
        <f>HW15*IF(OR($C15=131,$G15=131),0,1)</f>
        <v/>
      </c>
      <c r="HX16">
        <f>HX15*IF(OR($C15=132,$G15=132),0,1)</f>
        <v/>
      </c>
      <c r="HY16">
        <f>HY15*IF(OR($C15=133,$G15=133),0,1)</f>
        <v/>
      </c>
      <c r="HZ16">
        <f>HZ15*IF(OR($C15=134,$G15=134),0,1)</f>
        <v/>
      </c>
      <c r="IA16">
        <f>IA15*IF(OR($C15=135,$G15=135),0,1)</f>
        <v/>
      </c>
      <c r="IB16">
        <f>IB15*IF(OR($C15=136,$G15=136),0,1)</f>
        <v/>
      </c>
      <c r="IC16">
        <f>IC15*IF(OR($C15=137,$G15=137),0,1)</f>
        <v/>
      </c>
      <c r="ID16">
        <f>ID15*IF(OR($C15=138,$G15=138),0,1)</f>
        <v/>
      </c>
      <c r="IE16">
        <f>IE15*IF(OR($C15=139,$G15=139),0,1)</f>
        <v/>
      </c>
      <c r="IF16">
        <f>IF15*IF(OR($C15=140,$G15=140),0,1)</f>
        <v/>
      </c>
      <c r="IG16">
        <f>IG15*IF(OR($C15=141,$G15=141),0,1)</f>
        <v/>
      </c>
      <c r="IH16">
        <f>IH15*IF(OR($C15=142,$G15=142),0,1)</f>
        <v/>
      </c>
      <c r="II16">
        <f>II15*IF(OR($C15=143,$G15=143),0,1)</f>
        <v/>
      </c>
      <c r="IJ16">
        <f>IJ15*IF(OR($C15=144,$G15=144),0,1)</f>
        <v/>
      </c>
      <c r="IK16">
        <f>IK15*IF(OR($C15=145,$G15=145),0,1)</f>
        <v/>
      </c>
      <c r="IL16">
        <f>IL15*IF(OR($C15=146,$G15=146),0,1)</f>
        <v/>
      </c>
      <c r="IM16">
        <f>IM15*IF(OR($C15=147,$G15=147),0,1)</f>
        <v/>
      </c>
      <c r="IN16">
        <f>IN15*IF(OR($C15=148,$G15=148),0,1)</f>
        <v/>
      </c>
      <c r="IO16">
        <f>IO15*IF(OR($C15=149,$G15=149),0,1)</f>
        <v/>
      </c>
      <c r="IP16">
        <f>IP15*IF(OR($C15=150,$G15=150),0,1)</f>
        <v/>
      </c>
      <c r="IQ16">
        <f>IQ15*IF(OR($C15=151,$G15=151),0,1)</f>
        <v/>
      </c>
      <c r="IR16">
        <f>IR15*IF(OR($C15=152,$G15=152),0,1)</f>
        <v/>
      </c>
      <c r="IS16">
        <f>IS15*IF(OR($C15=153,$G15=153),0,1)</f>
        <v/>
      </c>
      <c r="IT16">
        <f>IT15*IF(OR($C15=154,$G15=154),0,1)</f>
        <v/>
      </c>
      <c r="IU16">
        <f>IU15*IF(OR($C15=155,$G15=155),0,1)</f>
        <v/>
      </c>
      <c r="IV16">
        <f>IV15*IF(OR($C15=156,$G15=156),0,1)</f>
        <v/>
      </c>
      <c r="IW16">
        <f>IW15*IF(OR($C15=157,$G15=157),0,1)</f>
        <v/>
      </c>
      <c r="IX16">
        <f>IX15*IF(OR($C15=158,$G15=158),0,1)</f>
        <v/>
      </c>
      <c r="IY16">
        <f>IY15*IF(OR($C15=159,$G15=159),0,1)</f>
        <v/>
      </c>
      <c r="IZ16">
        <f>IZ15*IF(OR($C15=160,$G15=160),0,1)</f>
        <v/>
      </c>
      <c r="JA16">
        <f>JA15*IF(OR($C15=161,$G15=161),0,1)</f>
        <v/>
      </c>
      <c r="JB16">
        <f>JB15*IF(OR($C15=162,$G15=162),0,1)</f>
        <v/>
      </c>
      <c r="JC16">
        <f>JC15*IF(OR($C15=163,$G15=163),0,1)</f>
        <v/>
      </c>
      <c r="JD16">
        <f>JD15*IF(OR($C15=164,$G15=164),0,1)</f>
        <v/>
      </c>
      <c r="JE16">
        <f>JE15*IF(OR($C15=165,$G15=165),0,1)</f>
        <v/>
      </c>
      <c r="JF16">
        <f>JF15*IF(OR($C15=166,$G15=166),0,1)</f>
        <v/>
      </c>
      <c r="JG16">
        <f>JG15*IF(OR($C15=167,$G15=167),0,1)</f>
        <v/>
      </c>
      <c r="JH16">
        <f>JH15*IF(OR($C15=168,$G15=168),0,1)</f>
        <v/>
      </c>
      <c r="JI16">
        <f>JI15*IF(OR($C15=169,$G15=169),0,1)</f>
        <v/>
      </c>
      <c r="JJ16">
        <f>JJ15*IF(OR($C15=170,$G15=170),0,1)</f>
        <v/>
      </c>
      <c r="JK16">
        <f>JK15*IF(OR($C15=171,$G15=171),0,1)</f>
        <v/>
      </c>
      <c r="JL16">
        <f>JL15*IF(OR($C15=172,$G15=172),0,1)</f>
        <v/>
      </c>
      <c r="JM16">
        <f>JM15*IF(OR($C15=173,$G15=173),0,1)</f>
        <v/>
      </c>
      <c r="JN16">
        <f>JN15*IF(OR($C15=174,$G15=174),0,1)</f>
        <v/>
      </c>
      <c r="JO16">
        <f>JO15*IF(OR($C15=175,$G15=175),0,1)</f>
        <v/>
      </c>
      <c r="JP16">
        <f>JP15*IF(OR($C15=176,$G15=176),0,1)</f>
        <v/>
      </c>
      <c r="JQ16">
        <f>JQ15*IF(OR($C15=177,$G15=177),0,1)</f>
        <v/>
      </c>
      <c r="JR16">
        <f>JR15*IF(OR($C15=178,$G15=178),0,1)</f>
        <v/>
      </c>
      <c r="JS16">
        <f>JS15*IF(OR($C15=179,$G15=179),0,1)</f>
        <v/>
      </c>
      <c r="JT16">
        <f>JT15*IF(OR($C15=180,$G15=180),0,1)</f>
        <v/>
      </c>
      <c r="JU16">
        <f>JU15*IF(OR($C15=181,$G15=181),0,1)</f>
        <v/>
      </c>
      <c r="JV16">
        <f>JV15*IF(OR($C15=182,$G15=182),0,1)</f>
        <v/>
      </c>
      <c r="JW16">
        <f>JW15*IF(OR($C15=183,$G15=183),0,1)</f>
        <v/>
      </c>
      <c r="JX16">
        <f>JX15*IF(OR($C15=184,$G15=184),0,1)</f>
        <v/>
      </c>
      <c r="JY16">
        <f>JY15*IF(OR($C15=185,$G15=185),0,1)</f>
        <v/>
      </c>
      <c r="JZ16">
        <f>JZ15*IF(OR($C15=186,$G15=186),0,1)</f>
        <v/>
      </c>
      <c r="KA16">
        <f>KA15*IF(OR($C15=187,$G15=187),0,1)</f>
        <v/>
      </c>
      <c r="KB16">
        <f>KB15*IF(OR($C15=188,$G15=188),0,1)</f>
        <v/>
      </c>
      <c r="KC16">
        <f>KC15*IF(OR($C15=189,$G15=189),0,1)</f>
        <v/>
      </c>
      <c r="KD16">
        <f>KD15*IF(OR($C15=190,$G15=190),0,1)</f>
        <v/>
      </c>
      <c r="KE16">
        <f>KE15*IF(OR($C15=191,$G15=191),0,1)</f>
        <v/>
      </c>
      <c r="KF16">
        <f>KF15*IF(OR($C15=192,$G15=192),0,1)</f>
        <v/>
      </c>
      <c r="KG16">
        <f>KG15*IF(OR($C15=193,$G15=193),0,1)</f>
        <v/>
      </c>
      <c r="KH16">
        <f>KH15*IF(OR($C15=194,$G15=194),0,1)</f>
        <v/>
      </c>
      <c r="KI16">
        <f>KI15*IF(OR($C15=195,$G15=195),0,1)</f>
        <v/>
      </c>
      <c r="KJ16">
        <f>KJ15*IF(OR($C15=196,$G15=196),0,1)</f>
        <v/>
      </c>
      <c r="KK16">
        <f>KK15*IF(OR($C15=197,$G15=197),0,1)</f>
        <v/>
      </c>
      <c r="KL16">
        <f>KL15*IF(OR($C15=198,$G15=198),0,1)</f>
        <v/>
      </c>
      <c r="KM16">
        <f>KM15*IF(OR($C15=199,$G15=199),0,1)</f>
        <v/>
      </c>
      <c r="KN16">
        <f>KN15*IF(OR($C15=200,$G15=200),0,1)</f>
        <v/>
      </c>
      <c r="KO16">
        <f>KO15*IF(OR($C15=201,$G15=201),0,1)</f>
        <v/>
      </c>
      <c r="KP16">
        <f>KP15*IF(OR($C15=202,$G15=202),0,1)</f>
        <v/>
      </c>
      <c r="KQ16">
        <f>KQ15*IF(OR($C15=203,$G15=203),0,1)</f>
        <v/>
      </c>
      <c r="KR16">
        <f>KR15*IF(OR($C15=204,$G15=204),0,1)</f>
        <v/>
      </c>
      <c r="KS16">
        <f>KS15*IF(OR($C15=205,$G15=205),0,1)</f>
        <v/>
      </c>
      <c r="KT16">
        <f>KT15*IF(OR($C15=206,$G15=206),0,1)</f>
        <v/>
      </c>
      <c r="KU16">
        <f>KU15*IF(OR($C15=207,$G15=207),0,1)</f>
        <v/>
      </c>
      <c r="KV16">
        <f>KV15*IF(OR($C15=208,$G15=208),0,1)</f>
        <v/>
      </c>
      <c r="KW16">
        <f>KW15*IF(OR($C15=209,$G15=209),0,1)</f>
        <v/>
      </c>
      <c r="KX16">
        <f>KX15*IF(OR($C15=210,$G15=210),0,1)</f>
        <v/>
      </c>
      <c r="KY16">
        <f>KY15*IF(OR($C15=211,$G15=211),0,1)</f>
        <v/>
      </c>
      <c r="KZ16">
        <f>KZ15*IF(OR($C15=212,$G15=212),0,1)</f>
        <v/>
      </c>
      <c r="LA16">
        <f>LA15*IF(OR($C15=213,$G15=213),0,1)</f>
        <v/>
      </c>
      <c r="LB16">
        <f>LB15*IF(OR($C15=214,$G15=214),0,1)</f>
        <v/>
      </c>
      <c r="LC16">
        <f>LC15*IF(OR($C15=215,$G15=215),0,1)</f>
        <v/>
      </c>
      <c r="LD16">
        <f>LD15*IF(OR($C15=216,$G15=216),0,1)</f>
        <v/>
      </c>
      <c r="LE16">
        <f>LE15*IF(OR($C15=217,$G15=217),0,1)</f>
        <v/>
      </c>
      <c r="LF16">
        <f>LF15*IF(OR($C15=218,$G15=218),0,1)</f>
        <v/>
      </c>
      <c r="LG16">
        <f>LG15*IF(OR($C15=219,$G15=219),0,1)</f>
        <v/>
      </c>
      <c r="LH16">
        <f>LH15*IF(OR($C15=220,$G15=220),0,1)</f>
        <v/>
      </c>
      <c r="LI16">
        <f>LI15*IF(OR($C15=221,$G15=221),0,1)</f>
        <v/>
      </c>
      <c r="LJ16">
        <f>LJ15*IF(OR($C15=222,$G15=222),0,1)</f>
        <v/>
      </c>
      <c r="LK16">
        <f>LK15*IF(OR($C15=223,$G15=223),0,1)</f>
        <v/>
      </c>
      <c r="LL16">
        <f>LL15*IF(OR($C15=224,$G15=224),0,1)</f>
        <v/>
      </c>
      <c r="LM16">
        <f>LM15*IF(OR($C15=225,$G15=225),0,1)</f>
        <v/>
      </c>
      <c r="LN16">
        <f>LN15*IF(OR($C15=226,$G15=226),0,1)</f>
        <v/>
      </c>
      <c r="LO16">
        <f>LO15*IF(OR($C15=227,$G15=227),0,1)</f>
        <v/>
      </c>
      <c r="LP16">
        <f>LP15*IF(OR($C15=228,$G15=228),0,1)</f>
        <v/>
      </c>
      <c r="LQ16">
        <f>LQ15*IF(OR($C15=229,$G15=229),0,1)</f>
        <v/>
      </c>
      <c r="LR16">
        <f>LR15*IF(OR($C15=230,$G15=230),0,1)</f>
        <v/>
      </c>
      <c r="LS16">
        <f>LS15*IF(OR($C15=231,$G15=231),0,1)</f>
        <v/>
      </c>
      <c r="LT16">
        <f>LT15*IF(OR($C15=232,$G15=232),0,1)</f>
        <v/>
      </c>
      <c r="LU16">
        <f>LU15*IF(OR($C15=233,$G15=233),0,1)</f>
        <v/>
      </c>
      <c r="LV16">
        <f>LV15*IF(OR($C15=234,$G15=234),0,1)</f>
        <v/>
      </c>
      <c r="LW16">
        <f>LW15*IF(OR($C15=235,$G15=235),0,1)</f>
        <v/>
      </c>
      <c r="LX16">
        <f>LX15*IF(OR($C15=236,$G15=236),0,1)</f>
        <v/>
      </c>
      <c r="LY16">
        <f>LY15*IF(OR($C15=237,$G15=237),0,1)</f>
        <v/>
      </c>
      <c r="LZ16">
        <f>LZ15*IF(OR($C15=238,$G15=238),0,1)</f>
        <v/>
      </c>
      <c r="MA16">
        <f>MA15*IF(OR($C15=239,$G15=239),0,1)</f>
        <v/>
      </c>
      <c r="MB16">
        <f>MB15*IF(OR($C15=240,$G15=240),0,1)</f>
        <v/>
      </c>
      <c r="MD16">
        <f>IF('計算A'!D$106=1,CX16,1)</f>
        <v/>
      </c>
      <c r="ME16">
        <f>IF('計算A'!E$106=1,CY16,1)</f>
        <v/>
      </c>
      <c r="MF16">
        <f>IF('計算A'!F$106=1,CZ16,1)</f>
        <v/>
      </c>
      <c r="MG16">
        <f>IF('計算A'!G$106=1,DA16,1)</f>
        <v/>
      </c>
      <c r="MH16">
        <f>IF('計算A'!H$106=1,DB16,1)</f>
        <v/>
      </c>
      <c r="MI16">
        <f>IF('計算A'!I$106=1,DC16,1)</f>
        <v/>
      </c>
      <c r="MJ16">
        <f>IF('計算A'!J$106=1,DD16,1)</f>
        <v/>
      </c>
      <c r="MK16">
        <f>IF('計算A'!K$106=1,DE16,1)</f>
        <v/>
      </c>
      <c r="ML16">
        <f>IF('計算A'!L$106=1,DF16,1)</f>
        <v/>
      </c>
      <c r="MM16">
        <f>IF('計算A'!M$106=1,DG16,1)</f>
        <v/>
      </c>
      <c r="MN16">
        <f>IF('計算A'!N$106=1,DH16,1)</f>
        <v/>
      </c>
      <c r="MO16">
        <f>IF('計算A'!O$106=1,DI16,1)</f>
        <v/>
      </c>
      <c r="MP16">
        <f>IF('計算A'!P$106=1,DJ16,1)</f>
        <v/>
      </c>
      <c r="MQ16">
        <f>IF('計算A'!Q$106=1,DK16,1)</f>
        <v/>
      </c>
      <c r="MR16">
        <f>IF('計算A'!R$106=1,DL16,1)</f>
        <v/>
      </c>
      <c r="MS16">
        <f>IF('計算A'!S$106=1,DM16,1)</f>
        <v/>
      </c>
      <c r="MT16">
        <f>IF('計算A'!T$106=1,DN16,1)</f>
        <v/>
      </c>
      <c r="MU16">
        <f>IF('計算A'!U$106=1,DO16,1)</f>
        <v/>
      </c>
      <c r="MV16">
        <f>IF('計算A'!V$106=1,DP16,1)</f>
        <v/>
      </c>
      <c r="MW16">
        <f>IF('計算A'!W$106=1,DQ16,1)</f>
        <v/>
      </c>
      <c r="MX16">
        <f>IF('計算A'!X$106=1,DR16,1)</f>
        <v/>
      </c>
      <c r="MY16">
        <f>IF('計算A'!Y$106=1,DS16,1)</f>
        <v/>
      </c>
      <c r="MZ16">
        <f>IF('計算A'!Z$106=1,DT16,1)</f>
        <v/>
      </c>
      <c r="NA16">
        <f>IF('計算A'!AA$106=1,DU16,1)</f>
        <v/>
      </c>
      <c r="NB16">
        <f>IF('計算A'!AB$106=1,DV16,1)</f>
        <v/>
      </c>
      <c r="NC16">
        <f>IF('計算A'!AC$106=1,DW16,1)</f>
        <v/>
      </c>
      <c r="ND16">
        <f>IF('計算A'!AD$106=1,DX16,1)</f>
        <v/>
      </c>
      <c r="NE16">
        <f>IF('計算A'!AE$106=1,DY16,1)</f>
        <v/>
      </c>
      <c r="NF16">
        <f>IF('計算A'!AF$106=1,DZ16,1)</f>
        <v/>
      </c>
      <c r="NG16">
        <f>IF('計算A'!AG$106=1,EA16,1)</f>
        <v/>
      </c>
      <c r="NH16">
        <f>IF('計算A'!AH$106=1,EB16,1)</f>
        <v/>
      </c>
      <c r="NI16">
        <f>IF('計算A'!AI$106=1,EC16,1)</f>
        <v/>
      </c>
      <c r="NJ16">
        <f>IF('計算A'!AJ$106=1,ED16,1)</f>
        <v/>
      </c>
      <c r="NK16">
        <f>IF('計算A'!AK$106=1,EE16,1)</f>
        <v/>
      </c>
      <c r="NL16">
        <f>IF('計算A'!AL$106=1,EF16,1)</f>
        <v/>
      </c>
      <c r="NM16">
        <f>IF('計算A'!AM$106=1,EG16,1)</f>
        <v/>
      </c>
      <c r="NN16">
        <f>IF('計算A'!AN$106=1,EH16,1)</f>
        <v/>
      </c>
      <c r="NO16">
        <f>IF('計算A'!AO$106=1,EI16,1)</f>
        <v/>
      </c>
      <c r="NP16">
        <f>IF('計算A'!AP$106=1,EJ16,1)</f>
        <v/>
      </c>
      <c r="NQ16">
        <f>IF('計算A'!AQ$106=1,EK16,1)</f>
        <v/>
      </c>
      <c r="NR16">
        <f>IF('計算A'!AR$106=1,EL16,1)</f>
        <v/>
      </c>
      <c r="NS16">
        <f>IF('計算A'!AS$106=1,EM16,1)</f>
        <v/>
      </c>
      <c r="NT16">
        <f>IF('計算A'!AT$106=1,EN16,1)</f>
        <v/>
      </c>
      <c r="NU16">
        <f>IF('計算A'!AU$106=1,EO16,1)</f>
        <v/>
      </c>
      <c r="NV16">
        <f>IF('計算A'!AV$106=1,EP16,1)</f>
        <v/>
      </c>
      <c r="NW16">
        <f>IF('計算A'!AW$106=1,EQ16,1)</f>
        <v/>
      </c>
      <c r="NX16">
        <f>IF('計算A'!AX$106=1,ER16,1)</f>
        <v/>
      </c>
      <c r="NY16">
        <f>IF('計算A'!AY$106=1,ES16,1)</f>
        <v/>
      </c>
      <c r="NZ16">
        <f>IF('計算A'!AZ$106=1,ET16,1)</f>
        <v/>
      </c>
      <c r="OA16">
        <f>IF('計算A'!BA$106=1,EU16,1)</f>
        <v/>
      </c>
      <c r="OB16">
        <f>IF('計算A'!BB$106=1,EV16,1)</f>
        <v/>
      </c>
      <c r="OC16">
        <f>IF('計算A'!BC$106=1,EW16,1)</f>
        <v/>
      </c>
      <c r="OD16">
        <f>IF('計算A'!BD$106=1,EX16,1)</f>
        <v/>
      </c>
      <c r="OE16">
        <f>IF('計算A'!BE$106=1,EY16,1)</f>
        <v/>
      </c>
      <c r="OF16">
        <f>IF('計算A'!BF$106=1,EZ16,1)</f>
        <v/>
      </c>
      <c r="OG16">
        <f>IF('計算A'!BG$106=1,FA16,1)</f>
        <v/>
      </c>
      <c r="OH16">
        <f>IF('計算A'!BH$106=1,FB16,1)</f>
        <v/>
      </c>
      <c r="OI16">
        <f>IF('計算A'!BI$106=1,FC16,1)</f>
        <v/>
      </c>
      <c r="OJ16">
        <f>IF('計算A'!BJ$106=1,FD16,1)</f>
        <v/>
      </c>
      <c r="OK16">
        <f>IF('計算A'!BK$106=1,FE16,1)</f>
        <v/>
      </c>
      <c r="OL16">
        <f>IF('計算A'!BL$106=1,FF16,1)</f>
        <v/>
      </c>
      <c r="OM16">
        <f>IF('計算A'!BM$106=1,FG16,1)</f>
        <v/>
      </c>
      <c r="ON16">
        <f>IF('計算A'!BN$106=1,FH16,1)</f>
        <v/>
      </c>
      <c r="OO16">
        <f>IF('計算A'!BO$106=1,FI16,1)</f>
        <v/>
      </c>
      <c r="OP16">
        <f>IF('計算A'!BP$106=1,FJ16,1)</f>
        <v/>
      </c>
      <c r="OQ16">
        <f>IF('計算A'!BQ$106=1,FK16,1)</f>
        <v/>
      </c>
      <c r="OR16">
        <f>IF('計算A'!BR$106=1,FL16,1)</f>
        <v/>
      </c>
      <c r="OS16">
        <f>IF('計算A'!BS$106=1,FM16,1)</f>
        <v/>
      </c>
      <c r="OT16">
        <f>IF('計算A'!BT$106=1,FN16,1)</f>
        <v/>
      </c>
      <c r="OU16">
        <f>IF('計算A'!BU$106=1,FO16,1)</f>
        <v/>
      </c>
      <c r="OV16">
        <f>IF('計算A'!BV$106=1,FP16,1)</f>
        <v/>
      </c>
      <c r="OW16">
        <f>IF('計算A'!BW$106=1,FQ16,1)</f>
        <v/>
      </c>
      <c r="OX16">
        <f>IF('計算A'!BX$106=1,FR16,1)</f>
        <v/>
      </c>
      <c r="OY16">
        <f>IF('計算A'!BY$106=1,FS16,1)</f>
        <v/>
      </c>
      <c r="OZ16">
        <f>IF('計算A'!BZ$106=1,FT16,1)</f>
        <v/>
      </c>
      <c r="PA16">
        <f>IF('計算A'!CA$106=1,FU16,1)</f>
        <v/>
      </c>
      <c r="PB16">
        <f>IF('計算A'!CB$106=1,FV16,1)</f>
        <v/>
      </c>
      <c r="PC16">
        <f>IF('計算A'!CC$106=1,FW16,1)</f>
        <v/>
      </c>
      <c r="PD16">
        <f>IF('計算A'!CD$106=1,FX16,1)</f>
        <v/>
      </c>
      <c r="PE16">
        <f>IF('計算A'!CE$106=1,FY16,1)</f>
        <v/>
      </c>
      <c r="PF16">
        <f>IF('計算A'!CF$106=1,FZ16,1)</f>
        <v/>
      </c>
      <c r="PG16">
        <f>IF('計算A'!CG$106=1,GA16,1)</f>
        <v/>
      </c>
      <c r="PH16">
        <f>IF('計算A'!CH$106=1,GB16,1)</f>
        <v/>
      </c>
      <c r="PI16">
        <f>IF('計算A'!CI$106=1,GC16,1)</f>
        <v/>
      </c>
      <c r="PJ16">
        <f>IF('計算A'!CJ$106=1,GD16,1)</f>
        <v/>
      </c>
      <c r="PK16">
        <f>IF('計算A'!CK$106=1,GE16,1)</f>
        <v/>
      </c>
      <c r="PL16">
        <f>IF('計算A'!CL$106=1,GF16,1)</f>
        <v/>
      </c>
      <c r="PM16">
        <f>IF('計算A'!CM$106=1,GG16,1)</f>
        <v/>
      </c>
      <c r="PN16">
        <f>IF('計算A'!CN$106=1,GH16,1)</f>
        <v/>
      </c>
      <c r="PO16">
        <f>IF('計算A'!CO$106=1,GI16,1)</f>
        <v/>
      </c>
      <c r="PP16">
        <f>IF('計算A'!CP$106=1,GJ16,1)</f>
        <v/>
      </c>
      <c r="PQ16">
        <f>IF('計算A'!CQ$106=1,GK16,1)</f>
        <v/>
      </c>
      <c r="PR16">
        <f>IF('計算A'!CR$106=1,GL16,1)</f>
        <v/>
      </c>
      <c r="PS16">
        <f>IF('計算A'!CS$106=1,GM16,1)</f>
        <v/>
      </c>
      <c r="PT16">
        <f>IF('計算A'!CT$106=1,GN16,1)</f>
        <v/>
      </c>
      <c r="PU16">
        <f>IF('計算A'!CU$106=1,GO16,1)</f>
        <v/>
      </c>
      <c r="PV16">
        <f>IF('計算A'!CV$106=1,GP16,1)</f>
        <v/>
      </c>
      <c r="PW16">
        <f>IF('計算A'!CW$106=1,GQ16,1)</f>
        <v/>
      </c>
      <c r="PX16">
        <f>IF('計算A'!CX$106=1,GR16,1)</f>
        <v/>
      </c>
      <c r="PY16">
        <f>IF('計算A'!CY$106=1,GS16,1)</f>
        <v/>
      </c>
      <c r="PZ16">
        <f>IF('計算A'!CZ$106=1,GT16,1)</f>
        <v/>
      </c>
      <c r="QA16">
        <f>IF('計算A'!DA$106=1,GU16,1)</f>
        <v/>
      </c>
      <c r="QB16">
        <f>IF('計算A'!DB$106=1,GV16,1)</f>
        <v/>
      </c>
      <c r="QC16">
        <f>IF('計算A'!DC$106=1,GW16,1)</f>
        <v/>
      </c>
      <c r="QD16">
        <f>IF('計算A'!DD$106=1,GX16,1)</f>
        <v/>
      </c>
      <c r="QE16">
        <f>IF('計算A'!DE$106=1,GY16,1)</f>
        <v/>
      </c>
      <c r="QF16">
        <f>IF('計算A'!DF$106=1,GZ16,1)</f>
        <v/>
      </c>
      <c r="QG16">
        <f>IF('計算A'!DG$106=1,HA16,1)</f>
        <v/>
      </c>
      <c r="QH16">
        <f>IF('計算A'!DH$106=1,HB16,1)</f>
        <v/>
      </c>
      <c r="QI16">
        <f>IF('計算A'!DI$106=1,HC16,1)</f>
        <v/>
      </c>
      <c r="QJ16">
        <f>IF('計算A'!DJ$106=1,HD16,1)</f>
        <v/>
      </c>
      <c r="QK16">
        <f>IF('計算A'!DK$106=1,HE16,1)</f>
        <v/>
      </c>
      <c r="QL16">
        <f>IF('計算A'!DL$106=1,HF16,1)</f>
        <v/>
      </c>
      <c r="QM16">
        <f>IF('計算A'!DM$106=1,HG16,1)</f>
        <v/>
      </c>
      <c r="QN16">
        <f>IF('計算A'!DN$106=1,HH16,1)</f>
        <v/>
      </c>
      <c r="QO16">
        <f>IF('計算A'!DO$106=1,HI16,1)</f>
        <v/>
      </c>
      <c r="QP16">
        <f>IF('計算A'!DP$106=1,HJ16,1)</f>
        <v/>
      </c>
      <c r="QQ16">
        <f>IF('計算A'!DQ$106=1,HK16,1)</f>
        <v/>
      </c>
      <c r="QR16">
        <f>IF('計算A'!DR$106=1,HL16,1)</f>
        <v/>
      </c>
      <c r="QS16">
        <f>IF('計算A'!DS$106=1,HM16,1)</f>
        <v/>
      </c>
      <c r="QT16">
        <f>IF('計算A'!DT$106=1,HN16,1)</f>
        <v/>
      </c>
      <c r="QU16">
        <f>IF('計算A'!DU$106=1,HO16,1)</f>
        <v/>
      </c>
      <c r="QV16">
        <f>IF('計算A'!DV$106=1,HP16,1)</f>
        <v/>
      </c>
      <c r="QW16">
        <f>IF('計算A'!DW$106=1,HQ16,1)</f>
        <v/>
      </c>
      <c r="QX16">
        <f>IF('計算A'!DX$106=1,HR16,1)</f>
        <v/>
      </c>
      <c r="QY16">
        <f>IF('計算A'!DY$106=1,HS16,1)</f>
        <v/>
      </c>
      <c r="QZ16">
        <f>IF('計算A'!DZ$106=1,HT16,1)</f>
        <v/>
      </c>
      <c r="RA16">
        <f>IF('計算A'!EA$106=1,HU16,1)</f>
        <v/>
      </c>
      <c r="RB16">
        <f>IF('計算A'!EB$106=1,HV16,1)</f>
        <v/>
      </c>
      <c r="RC16">
        <f>IF('計算A'!EC$106=1,HW16,1)</f>
        <v/>
      </c>
      <c r="RD16">
        <f>IF('計算A'!ED$106=1,HX16,1)</f>
        <v/>
      </c>
      <c r="RE16">
        <f>IF('計算A'!EE$106=1,HY16,1)</f>
        <v/>
      </c>
      <c r="RF16">
        <f>IF('計算A'!EF$106=1,HZ16,1)</f>
        <v/>
      </c>
      <c r="RG16">
        <f>IF('計算A'!EG$106=1,IA16,1)</f>
        <v/>
      </c>
      <c r="RH16">
        <f>IF('計算A'!EH$106=1,IB16,1)</f>
        <v/>
      </c>
      <c r="RI16">
        <f>IF('計算A'!EI$106=1,IC16,1)</f>
        <v/>
      </c>
      <c r="RJ16">
        <f>IF('計算A'!EJ$106=1,ID16,1)</f>
        <v/>
      </c>
      <c r="RK16">
        <f>IF('計算A'!EK$106=1,IE16,1)</f>
        <v/>
      </c>
      <c r="RL16">
        <f>IF('計算A'!EL$106=1,IF16,1)</f>
        <v/>
      </c>
      <c r="RM16">
        <f>IF('計算A'!EM$106=1,IG16,1)</f>
        <v/>
      </c>
      <c r="RN16">
        <f>IF('計算A'!EN$106=1,IH16,1)</f>
        <v/>
      </c>
      <c r="RO16">
        <f>IF('計算A'!EO$106=1,II16,1)</f>
        <v/>
      </c>
      <c r="RP16">
        <f>IF('計算A'!EP$106=1,IJ16,1)</f>
        <v/>
      </c>
      <c r="RQ16">
        <f>IF('計算A'!EQ$106=1,IK16,1)</f>
        <v/>
      </c>
      <c r="RR16">
        <f>IF('計算A'!ER$106=1,IL16,1)</f>
        <v/>
      </c>
      <c r="RS16">
        <f>IF('計算A'!ES$106=1,IM16,1)</f>
        <v/>
      </c>
      <c r="RT16">
        <f>IF('計算A'!ET$106=1,IN16,1)</f>
        <v/>
      </c>
      <c r="RU16">
        <f>IF('計算A'!EU$106=1,IO16,1)</f>
        <v/>
      </c>
      <c r="RV16">
        <f>IF('計算A'!EV$106=1,IP16,1)</f>
        <v/>
      </c>
      <c r="RW16">
        <f>IF('計算A'!EW$106=1,IQ16,1)</f>
        <v/>
      </c>
      <c r="RX16">
        <f>IF('計算A'!EX$106=1,IR16,1)</f>
        <v/>
      </c>
      <c r="RY16">
        <f>IF('計算A'!EY$106=1,IS16,1)</f>
        <v/>
      </c>
      <c r="RZ16">
        <f>IF('計算A'!EZ$106=1,IT16,1)</f>
        <v/>
      </c>
      <c r="SA16">
        <f>IF('計算A'!FA$106=1,IU16,1)</f>
        <v/>
      </c>
      <c r="SB16">
        <f>IF('計算A'!FB$106=1,IV16,1)</f>
        <v/>
      </c>
      <c r="SC16">
        <f>IF('計算A'!FC$106=1,IW16,1)</f>
        <v/>
      </c>
      <c r="SD16">
        <f>IF('計算A'!FD$106=1,IX16,1)</f>
        <v/>
      </c>
      <c r="SE16">
        <f>IF('計算A'!FE$106=1,IY16,1)</f>
        <v/>
      </c>
      <c r="SF16">
        <f>IF('計算A'!FF$106=1,IZ16,1)</f>
        <v/>
      </c>
      <c r="SG16">
        <f>IF('計算A'!FG$106=1,JA16,1)</f>
        <v/>
      </c>
      <c r="SH16">
        <f>IF('計算A'!FH$106=1,JB16,1)</f>
        <v/>
      </c>
      <c r="SI16">
        <f>IF('計算A'!FI$106=1,JC16,1)</f>
        <v/>
      </c>
      <c r="SJ16">
        <f>IF('計算A'!FJ$106=1,JD16,1)</f>
        <v/>
      </c>
      <c r="SK16">
        <f>IF('計算A'!FK$106=1,JE16,1)</f>
        <v/>
      </c>
      <c r="SL16">
        <f>IF('計算A'!FL$106=1,JF16,1)</f>
        <v/>
      </c>
      <c r="SM16">
        <f>IF('計算A'!FM$106=1,JG16,1)</f>
        <v/>
      </c>
      <c r="SN16">
        <f>IF('計算A'!FN$106=1,JH16,1)</f>
        <v/>
      </c>
      <c r="SO16">
        <f>IF('計算A'!FO$106=1,JI16,1)</f>
        <v/>
      </c>
      <c r="SP16">
        <f>IF('計算A'!FP$106=1,JJ16,1)</f>
        <v/>
      </c>
      <c r="SQ16">
        <f>IF('計算A'!FQ$106=1,JK16,1)</f>
        <v/>
      </c>
      <c r="SR16">
        <f>IF('計算A'!FR$106=1,JL16,1)</f>
        <v/>
      </c>
      <c r="SS16">
        <f>IF('計算A'!FS$106=1,JM16,1)</f>
        <v/>
      </c>
      <c r="ST16">
        <f>IF('計算A'!FT$106=1,JN16,1)</f>
        <v/>
      </c>
      <c r="SU16">
        <f>IF('計算A'!FU$106=1,JO16,1)</f>
        <v/>
      </c>
      <c r="SV16">
        <f>IF('計算A'!FV$106=1,JP16,1)</f>
        <v/>
      </c>
      <c r="SW16">
        <f>IF('計算A'!FW$106=1,JQ16,1)</f>
        <v/>
      </c>
      <c r="SX16">
        <f>IF('計算A'!FX$106=1,JR16,1)</f>
        <v/>
      </c>
      <c r="SY16">
        <f>IF('計算A'!FY$106=1,JS16,1)</f>
        <v/>
      </c>
      <c r="SZ16">
        <f>IF('計算A'!FZ$106=1,JT16,1)</f>
        <v/>
      </c>
      <c r="TA16">
        <f>IF('計算A'!GA$106=1,JU16,1)</f>
        <v/>
      </c>
      <c r="TB16">
        <f>IF('計算A'!GB$106=1,JV16,1)</f>
        <v/>
      </c>
      <c r="TC16">
        <f>IF('計算A'!GC$106=1,JW16,1)</f>
        <v/>
      </c>
      <c r="TD16">
        <f>IF('計算A'!GD$106=1,JX16,1)</f>
        <v/>
      </c>
      <c r="TE16">
        <f>IF('計算A'!GE$106=1,JY16,1)</f>
        <v/>
      </c>
      <c r="TF16">
        <f>IF('計算A'!GF$106=1,JZ16,1)</f>
        <v/>
      </c>
      <c r="TG16">
        <f>IF('計算A'!GG$106=1,KA16,1)</f>
        <v/>
      </c>
      <c r="TH16">
        <f>IF('計算A'!GH$106=1,KB16,1)</f>
        <v/>
      </c>
      <c r="TI16">
        <f>IF('計算A'!GI$106=1,KC16,1)</f>
        <v/>
      </c>
      <c r="TJ16">
        <f>IF('計算A'!GJ$106=1,KD16,1)</f>
        <v/>
      </c>
      <c r="TK16">
        <f>IF('計算A'!GK$106=1,KE16,1)</f>
        <v/>
      </c>
      <c r="TL16">
        <f>IF('計算A'!GL$106=1,KF16,1)</f>
        <v/>
      </c>
      <c r="TM16">
        <f>IF('計算A'!GM$106=1,KG16,1)</f>
        <v/>
      </c>
      <c r="TN16">
        <f>IF('計算A'!GN$106=1,KH16,1)</f>
        <v/>
      </c>
      <c r="TO16">
        <f>IF('計算A'!GO$106=1,KI16,1)</f>
        <v/>
      </c>
      <c r="TP16">
        <f>IF('計算A'!GP$106=1,KJ16,1)</f>
        <v/>
      </c>
      <c r="TQ16">
        <f>IF('計算A'!GQ$106=1,KK16,1)</f>
        <v/>
      </c>
      <c r="TR16">
        <f>IF('計算A'!GR$106=1,KL16,1)</f>
        <v/>
      </c>
      <c r="TS16">
        <f>IF('計算A'!GS$106=1,KM16,1)</f>
        <v/>
      </c>
      <c r="TT16">
        <f>IF('計算A'!GT$106=1,KN16,1)</f>
        <v/>
      </c>
      <c r="TU16">
        <f>IF('計算A'!GU$106=1,KO16,1)</f>
        <v/>
      </c>
      <c r="TV16">
        <f>IF('計算A'!GV$106=1,KP16,1)</f>
        <v/>
      </c>
      <c r="TW16">
        <f>IF('計算A'!GW$106=1,KQ16,1)</f>
        <v/>
      </c>
      <c r="TX16">
        <f>IF('計算A'!GX$106=1,KR16,1)</f>
        <v/>
      </c>
      <c r="TY16">
        <f>IF('計算A'!GY$106=1,KS16,1)</f>
        <v/>
      </c>
      <c r="TZ16">
        <f>IF('計算A'!GZ$106=1,KT16,1)</f>
        <v/>
      </c>
      <c r="UA16">
        <f>IF('計算A'!HA$106=1,KU16,1)</f>
        <v/>
      </c>
      <c r="UB16">
        <f>IF('計算A'!HB$106=1,KV16,1)</f>
        <v/>
      </c>
      <c r="UC16">
        <f>IF('計算A'!HC$106=1,KW16,1)</f>
        <v/>
      </c>
      <c r="UD16">
        <f>IF('計算A'!HD$106=1,KX16,1)</f>
        <v/>
      </c>
      <c r="UE16">
        <f>IF('計算A'!HE$106=1,KY16,1)</f>
        <v/>
      </c>
      <c r="UF16">
        <f>IF('計算A'!HF$106=1,KZ16,1)</f>
        <v/>
      </c>
      <c r="UG16">
        <f>IF('計算A'!HG$106=1,LA16,1)</f>
        <v/>
      </c>
      <c r="UH16">
        <f>IF('計算A'!HH$106=1,LB16,1)</f>
        <v/>
      </c>
      <c r="UI16">
        <f>IF('計算A'!HI$106=1,LC16,1)</f>
        <v/>
      </c>
      <c r="UJ16">
        <f>IF('計算A'!HJ$106=1,LD16,1)</f>
        <v/>
      </c>
      <c r="UK16">
        <f>IF('計算A'!HK$106=1,LE16,1)</f>
        <v/>
      </c>
      <c r="UL16">
        <f>IF('計算A'!HL$106=1,LF16,1)</f>
        <v/>
      </c>
      <c r="UM16">
        <f>IF('計算A'!HM$106=1,LG16,1)</f>
        <v/>
      </c>
      <c r="UN16">
        <f>IF('計算A'!HN$106=1,LH16,1)</f>
        <v/>
      </c>
      <c r="UO16">
        <f>IF('計算A'!HO$106=1,LI16,1)</f>
        <v/>
      </c>
      <c r="UP16">
        <f>IF('計算A'!HP$106=1,LJ16,1)</f>
        <v/>
      </c>
      <c r="UQ16">
        <f>IF('計算A'!HQ$106=1,LK16,1)</f>
        <v/>
      </c>
      <c r="UR16">
        <f>IF('計算A'!HR$106=1,LL16,1)</f>
        <v/>
      </c>
      <c r="US16">
        <f>IF('計算A'!HS$106=1,LM16,1)</f>
        <v/>
      </c>
      <c r="UT16">
        <f>IF('計算A'!HT$106=1,LN16,1)</f>
        <v/>
      </c>
      <c r="UU16">
        <f>IF('計算A'!HU$106=1,LO16,1)</f>
        <v/>
      </c>
      <c r="UV16">
        <f>IF('計算A'!HV$106=1,LP16,1)</f>
        <v/>
      </c>
      <c r="UW16">
        <f>IF('計算A'!HW$106=1,LQ16,1)</f>
        <v/>
      </c>
      <c r="UX16">
        <f>IF('計算A'!HX$106=1,LR16,1)</f>
        <v/>
      </c>
      <c r="UY16">
        <f>IF('計算A'!HY$106=1,LS16,1)</f>
        <v/>
      </c>
      <c r="UZ16">
        <f>IF('計算A'!HZ$106=1,LT16,1)</f>
        <v/>
      </c>
      <c r="VA16">
        <f>IF('計算A'!IA$106=1,LU16,1)</f>
        <v/>
      </c>
      <c r="VB16">
        <f>IF('計算A'!IB$106=1,LV16,1)</f>
        <v/>
      </c>
      <c r="VC16">
        <f>IF('計算A'!IC$106=1,LW16,1)</f>
        <v/>
      </c>
      <c r="VD16">
        <f>IF('計算A'!ID$106=1,LX16,1)</f>
        <v/>
      </c>
      <c r="VE16">
        <f>IF('計算A'!IE$106=1,LY16,1)</f>
        <v/>
      </c>
      <c r="VF16">
        <f>IF('計算A'!IF$106=1,LZ16,1)</f>
        <v/>
      </c>
      <c r="VG16">
        <f>IF('計算A'!IG$106=1,MA16,1)</f>
        <v/>
      </c>
      <c r="VH16">
        <f>IF('計算A'!IH$106=1,MB16,1)</f>
        <v/>
      </c>
      <c r="VI16" t="n">
        <v>1</v>
      </c>
      <c r="VK16">
        <f>IF($B16=0,1000000,IF(INDEX('計算A'!$D$60:$II$104,$B16,1)*CW16=1,IF(AND($E16=2,MD16=0),1000000,INDEX('計算A'!D$110:D$114,$F16+1)+IF(AND($E16=1,MD16=0),1000,0)),1000000))</f>
        <v/>
      </c>
      <c r="VL16">
        <f>IF($B16=0,1000000,IF(INDEX('計算A'!$D$60:$II$104,$B16,2)*CX16=1,IF(AND($E16=2,ME16=0),1000000,INDEX('計算A'!E$110:E$114,$F16+1)+IF(AND($E16=1,ME16=0),1000,0)),1000000))</f>
        <v/>
      </c>
      <c r="VM16">
        <f>IF($B16=0,1000000,IF(INDEX('計算A'!$D$60:$II$104,$B16,3)*CY16=1,IF(AND($E16=2,MF16=0),1000000,INDEX('計算A'!F$110:F$114,$F16+1)+IF(AND($E16=1,MF16=0),1000,0)),1000000))</f>
        <v/>
      </c>
      <c r="VN16">
        <f>IF($B16=0,1000000,IF(INDEX('計算A'!$D$60:$II$104,$B16,4)*CZ16=1,IF(AND($E16=2,MG16=0),1000000,INDEX('計算A'!G$110:G$114,$F16+1)+IF(AND($E16=1,MG16=0),1000,0)),1000000))</f>
        <v/>
      </c>
      <c r="VO16">
        <f>IF($B16=0,1000000,IF(INDEX('計算A'!$D$60:$II$104,$B16,5)*DA16=1,IF(AND($E16=2,MH16=0),1000000,INDEX('計算A'!H$110:H$114,$F16+1)+IF(AND($E16=1,MH16=0),1000,0)),1000000))</f>
        <v/>
      </c>
      <c r="VP16">
        <f>IF($B16=0,1000000,IF(INDEX('計算A'!$D$60:$II$104,$B16,6)*DB16=1,IF(AND($E16=2,MI16=0),1000000,INDEX('計算A'!I$110:I$114,$F16+1)+IF(AND($E16=1,MI16=0),1000,0)),1000000))</f>
        <v/>
      </c>
      <c r="VQ16">
        <f>IF($B16=0,1000000,IF(INDEX('計算A'!$D$60:$II$104,$B16,7)*DC16=1,IF(AND($E16=2,MJ16=0),1000000,INDEX('計算A'!J$110:J$114,$F16+1)+IF(AND($E16=1,MJ16=0),1000,0)),1000000))</f>
        <v/>
      </c>
      <c r="VR16">
        <f>IF($B16=0,1000000,IF(INDEX('計算A'!$D$60:$II$104,$B16,8)*DD16=1,IF(AND($E16=2,MK16=0),1000000,INDEX('計算A'!K$110:K$114,$F16+1)+IF(AND($E16=1,MK16=0),1000,0)),1000000))</f>
        <v/>
      </c>
      <c r="VS16">
        <f>IF($B16=0,1000000,IF(INDEX('計算A'!$D$60:$II$104,$B16,9)*DE16=1,IF(AND($E16=2,ML16=0),1000000,INDEX('計算A'!L$110:L$114,$F16+1)+IF(AND($E16=1,ML16=0),1000,0)),1000000))</f>
        <v/>
      </c>
      <c r="VT16">
        <f>IF($B16=0,1000000,IF(INDEX('計算A'!$D$60:$II$104,$B16,10)*DF16=1,IF(AND($E16=2,MM16=0),1000000,INDEX('計算A'!M$110:M$114,$F16+1)+IF(AND($E16=1,MM16=0),1000,0)),1000000))</f>
        <v/>
      </c>
      <c r="VU16">
        <f>IF($B16=0,1000000,IF(INDEX('計算A'!$D$60:$II$104,$B16,11)*DG16=1,IF(AND($E16=2,MN16=0),1000000,INDEX('計算A'!N$110:N$114,$F16+1)+IF(AND($E16=1,MN16=0),1000,0)),1000000))</f>
        <v/>
      </c>
      <c r="VV16">
        <f>IF($B16=0,1000000,IF(INDEX('計算A'!$D$60:$II$104,$B16,12)*DH16=1,IF(AND($E16=2,MO16=0),1000000,INDEX('計算A'!O$110:O$114,$F16+1)+IF(AND($E16=1,MO16=0),1000,0)),1000000))</f>
        <v/>
      </c>
      <c r="VW16">
        <f>IF($B16=0,1000000,IF(INDEX('計算A'!$D$60:$II$104,$B16,13)*DI16=1,IF(AND($E16=2,MP16=0),1000000,INDEX('計算A'!P$110:P$114,$F16+1)+IF(AND($E16=1,MP16=0),1000,0)),1000000))</f>
        <v/>
      </c>
      <c r="VX16">
        <f>IF($B16=0,1000000,IF(INDEX('計算A'!$D$60:$II$104,$B16,14)*DJ16=1,IF(AND($E16=2,MQ16=0),1000000,INDEX('計算A'!Q$110:Q$114,$F16+1)+IF(AND($E16=1,MQ16=0),1000,0)),1000000))</f>
        <v/>
      </c>
      <c r="VY16">
        <f>IF($B16=0,1000000,IF(INDEX('計算A'!$D$60:$II$104,$B16,15)*DK16=1,IF(AND($E16=2,MR16=0),1000000,INDEX('計算A'!R$110:R$114,$F16+1)+IF(AND($E16=1,MR16=0),1000,0)),1000000))</f>
        <v/>
      </c>
      <c r="VZ16">
        <f>IF($B16=0,1000000,IF(INDEX('計算A'!$D$60:$II$104,$B16,16)*DL16=1,IF(AND($E16=2,MS16=0),1000000,INDEX('計算A'!S$110:S$114,$F16+1)+IF(AND($E16=1,MS16=0),1000,0)),1000000))</f>
        <v/>
      </c>
      <c r="WA16">
        <f>IF($B16=0,1000000,IF(INDEX('計算A'!$D$60:$II$104,$B16,17)*DM16=1,IF(AND($E16=2,MT16=0),1000000,INDEX('計算A'!T$110:T$114,$F16+1)+IF(AND($E16=1,MT16=0),1000,0)),1000000))</f>
        <v/>
      </c>
      <c r="WB16">
        <f>IF($B16=0,1000000,IF(INDEX('計算A'!$D$60:$II$104,$B16,18)*DN16=1,IF(AND($E16=2,MU16=0),1000000,INDEX('計算A'!U$110:U$114,$F16+1)+IF(AND($E16=1,MU16=0),1000,0)),1000000))</f>
        <v/>
      </c>
      <c r="WC16">
        <f>IF($B16=0,1000000,IF(INDEX('計算A'!$D$60:$II$104,$B16,19)*DO16=1,IF(AND($E16=2,MV16=0),1000000,INDEX('計算A'!V$110:V$114,$F16+1)+IF(AND($E16=1,MV16=0),1000,0)),1000000))</f>
        <v/>
      </c>
      <c r="WD16">
        <f>IF($B16=0,1000000,IF(INDEX('計算A'!$D$60:$II$104,$B16,20)*DP16=1,IF(AND($E16=2,MW16=0),1000000,INDEX('計算A'!W$110:W$114,$F16+1)+IF(AND($E16=1,MW16=0),1000,0)),1000000))</f>
        <v/>
      </c>
      <c r="WE16">
        <f>IF($B16=0,1000000,IF(INDEX('計算A'!$D$60:$II$104,$B16,21)*DQ16=1,IF(AND($E16=2,MX16=0),1000000,INDEX('計算A'!X$110:X$114,$F16+1)+IF(AND($E16=1,MX16=0),1000,0)),1000000))</f>
        <v/>
      </c>
      <c r="WF16">
        <f>IF($B16=0,1000000,IF(INDEX('計算A'!$D$60:$II$104,$B16,22)*DR16=1,IF(AND($E16=2,MY16=0),1000000,INDEX('計算A'!Y$110:Y$114,$F16+1)+IF(AND($E16=1,MY16=0),1000,0)),1000000))</f>
        <v/>
      </c>
      <c r="WG16">
        <f>IF($B16=0,1000000,IF(INDEX('計算A'!$D$60:$II$104,$B16,23)*DS16=1,IF(AND($E16=2,MZ16=0),1000000,INDEX('計算A'!Z$110:Z$114,$F16+1)+IF(AND($E16=1,MZ16=0),1000,0)),1000000))</f>
        <v/>
      </c>
      <c r="WH16">
        <f>IF($B16=0,1000000,IF(INDEX('計算A'!$D$60:$II$104,$B16,24)*DT16=1,IF(AND($E16=2,NA16=0),1000000,INDEX('計算A'!AA$110:AA$114,$F16+1)+IF(AND($E16=1,NA16=0),1000,0)),1000000))</f>
        <v/>
      </c>
      <c r="WI16">
        <f>IF($B16=0,1000000,IF(INDEX('計算A'!$D$60:$II$104,$B16,25)*DU16=1,IF(AND($E16=2,NB16=0),1000000,INDEX('計算A'!AB$110:AB$114,$F16+1)+IF(AND($E16=1,NB16=0),1000,0)),1000000))</f>
        <v/>
      </c>
      <c r="WJ16">
        <f>IF($B16=0,1000000,IF(INDEX('計算A'!$D$60:$II$104,$B16,26)*DV16=1,IF(AND($E16=2,NC16=0),1000000,INDEX('計算A'!AC$110:AC$114,$F16+1)+IF(AND($E16=1,NC16=0),1000,0)),1000000))</f>
        <v/>
      </c>
      <c r="WK16">
        <f>IF($B16=0,1000000,IF(INDEX('計算A'!$D$60:$II$104,$B16,27)*DW16=1,IF(AND($E16=2,ND16=0),1000000,INDEX('計算A'!AD$110:AD$114,$F16+1)+IF(AND($E16=1,ND16=0),1000,0)),1000000))</f>
        <v/>
      </c>
      <c r="WL16">
        <f>IF($B16=0,1000000,IF(INDEX('計算A'!$D$60:$II$104,$B16,28)*DX16=1,IF(AND($E16=2,NE16=0),1000000,INDEX('計算A'!AE$110:AE$114,$F16+1)+IF(AND($E16=1,NE16=0),1000,0)),1000000))</f>
        <v/>
      </c>
      <c r="WM16">
        <f>IF($B16=0,1000000,IF(INDEX('計算A'!$D$60:$II$104,$B16,29)*DY16=1,IF(AND($E16=2,NF16=0),1000000,INDEX('計算A'!AF$110:AF$114,$F16+1)+IF(AND($E16=1,NF16=0),1000,0)),1000000))</f>
        <v/>
      </c>
      <c r="WN16">
        <f>IF($B16=0,1000000,IF(INDEX('計算A'!$D$60:$II$104,$B16,30)*DZ16=1,IF(AND($E16=2,NG16=0),1000000,INDEX('計算A'!AG$110:AG$114,$F16+1)+IF(AND($E16=1,NG16=0),1000,0)),1000000))</f>
        <v/>
      </c>
      <c r="WO16">
        <f>IF($B16=0,1000000,IF(INDEX('計算A'!$D$60:$II$104,$B16,31)*EA16=1,IF(AND($E16=2,NH16=0),1000000,INDEX('計算A'!AH$110:AH$114,$F16+1)+IF(AND($E16=1,NH16=0),1000,0)),1000000))</f>
        <v/>
      </c>
      <c r="WP16">
        <f>IF($B16=0,1000000,IF(INDEX('計算A'!$D$60:$II$104,$B16,32)*EB16=1,IF(AND($E16=2,NI16=0),1000000,INDEX('計算A'!AI$110:AI$114,$F16+1)+IF(AND($E16=1,NI16=0),1000,0)),1000000))</f>
        <v/>
      </c>
      <c r="WQ16">
        <f>IF($B16=0,1000000,IF(INDEX('計算A'!$D$60:$II$104,$B16,33)*EC16=1,IF(AND($E16=2,NJ16=0),1000000,INDEX('計算A'!AJ$110:AJ$114,$F16+1)+IF(AND($E16=1,NJ16=0),1000,0)),1000000))</f>
        <v/>
      </c>
      <c r="WR16">
        <f>IF($B16=0,1000000,IF(INDEX('計算A'!$D$60:$II$104,$B16,34)*ED16=1,IF(AND($E16=2,NK16=0),1000000,INDEX('計算A'!AK$110:AK$114,$F16+1)+IF(AND($E16=1,NK16=0),1000,0)),1000000))</f>
        <v/>
      </c>
      <c r="WS16">
        <f>IF($B16=0,1000000,IF(INDEX('計算A'!$D$60:$II$104,$B16,35)*EE16=1,IF(AND($E16=2,NL16=0),1000000,INDEX('計算A'!AL$110:AL$114,$F16+1)+IF(AND($E16=1,NL16=0),1000,0)),1000000))</f>
        <v/>
      </c>
      <c r="WT16">
        <f>IF($B16=0,1000000,IF(INDEX('計算A'!$D$60:$II$104,$B16,36)*EF16=1,IF(AND($E16=2,NM16=0),1000000,INDEX('計算A'!AM$110:AM$114,$F16+1)+IF(AND($E16=1,NM16=0),1000,0)),1000000))</f>
        <v/>
      </c>
      <c r="WU16">
        <f>IF($B16=0,1000000,IF(INDEX('計算A'!$D$60:$II$104,$B16,37)*EG16=1,IF(AND($E16=2,NN16=0),1000000,INDEX('計算A'!AN$110:AN$114,$F16+1)+IF(AND($E16=1,NN16=0),1000,0)),1000000))</f>
        <v/>
      </c>
      <c r="WV16">
        <f>IF($B16=0,1000000,IF(INDEX('計算A'!$D$60:$II$104,$B16,38)*EH16=1,IF(AND($E16=2,NO16=0),1000000,INDEX('計算A'!AO$110:AO$114,$F16+1)+IF(AND($E16=1,NO16=0),1000,0)),1000000))</f>
        <v/>
      </c>
      <c r="WW16">
        <f>IF($B16=0,1000000,IF(INDEX('計算A'!$D$60:$II$104,$B16,39)*EI16=1,IF(AND($E16=2,NP16=0),1000000,INDEX('計算A'!AP$110:AP$114,$F16+1)+IF(AND($E16=1,NP16=0),1000,0)),1000000))</f>
        <v/>
      </c>
      <c r="WX16">
        <f>IF($B16=0,1000000,IF(INDEX('計算A'!$D$60:$II$104,$B16,40)*EJ16=1,IF(AND($E16=2,NQ16=0),1000000,INDEX('計算A'!AQ$110:AQ$114,$F16+1)+IF(AND($E16=1,NQ16=0),1000,0)),1000000))</f>
        <v/>
      </c>
      <c r="WY16">
        <f>IF($B16=0,1000000,IF(INDEX('計算A'!$D$60:$II$104,$B16,41)*EK16=1,IF(AND($E16=2,NR16=0),1000000,INDEX('計算A'!AR$110:AR$114,$F16+1)+IF(AND($E16=1,NR16=0),1000,0)),1000000))</f>
        <v/>
      </c>
      <c r="WZ16">
        <f>IF($B16=0,1000000,IF(INDEX('計算A'!$D$60:$II$104,$B16,42)*EL16=1,IF(AND($E16=2,NS16=0),1000000,INDEX('計算A'!AS$110:AS$114,$F16+1)+IF(AND($E16=1,NS16=0),1000,0)),1000000))</f>
        <v/>
      </c>
      <c r="XA16">
        <f>IF($B16=0,1000000,IF(INDEX('計算A'!$D$60:$II$104,$B16,43)*EM16=1,IF(AND($E16=2,NT16=0),1000000,INDEX('計算A'!AT$110:AT$114,$F16+1)+IF(AND($E16=1,NT16=0),1000,0)),1000000))</f>
        <v/>
      </c>
      <c r="XB16">
        <f>IF($B16=0,1000000,IF(INDEX('計算A'!$D$60:$II$104,$B16,44)*EN16=1,IF(AND($E16=2,NU16=0),1000000,INDEX('計算A'!AU$110:AU$114,$F16+1)+IF(AND($E16=1,NU16=0),1000,0)),1000000))</f>
        <v/>
      </c>
      <c r="XC16">
        <f>IF($B16=0,1000000,IF(INDEX('計算A'!$D$60:$II$104,$B16,45)*EO16=1,IF(AND($E16=2,NV16=0),1000000,INDEX('計算A'!AV$110:AV$114,$F16+1)+IF(AND($E16=1,NV16=0),1000,0)),1000000))</f>
        <v/>
      </c>
      <c r="XD16">
        <f>IF($B16=0,1000000,IF(INDEX('計算A'!$D$60:$II$104,$B16,46)*EP16=1,IF(AND($E16=2,NW16=0),1000000,INDEX('計算A'!AW$110:AW$114,$F16+1)+IF(AND($E16=1,NW16=0),1000,0)),1000000))</f>
        <v/>
      </c>
      <c r="XE16">
        <f>IF($B16=0,1000000,IF(INDEX('計算A'!$D$60:$II$104,$B16,47)*EQ16=1,IF(AND($E16=2,NX16=0),1000000,INDEX('計算A'!AX$110:AX$114,$F16+1)+IF(AND($E16=1,NX16=0),1000,0)),1000000))</f>
        <v/>
      </c>
      <c r="XF16">
        <f>IF($B16=0,1000000,IF(INDEX('計算A'!$D$60:$II$104,$B16,48)*ER16=1,IF(AND($E16=2,NY16=0),1000000,INDEX('計算A'!AY$110:AY$114,$F16+1)+IF(AND($E16=1,NY16=0),1000,0)),1000000))</f>
        <v/>
      </c>
      <c r="XG16">
        <f>IF($B16=0,1000000,IF(INDEX('計算A'!$D$60:$II$104,$B16,49)*ES16=1,IF(AND($E16=2,NZ16=0),1000000,INDEX('計算A'!AZ$110:AZ$114,$F16+1)+IF(AND($E16=1,NZ16=0),1000,0)),1000000))</f>
        <v/>
      </c>
      <c r="XH16">
        <f>IF($B16=0,1000000,IF(INDEX('計算A'!$D$60:$II$104,$B16,50)*ET16=1,IF(AND($E16=2,OA16=0),1000000,INDEX('計算A'!BA$110:BA$114,$F16+1)+IF(AND($E16=1,OA16=0),1000,0)),1000000))</f>
        <v/>
      </c>
      <c r="XI16">
        <f>IF($B16=0,1000000,IF(INDEX('計算A'!$D$60:$II$104,$B16,51)*EU16=1,IF(AND($E16=2,OB16=0),1000000,INDEX('計算A'!BB$110:BB$114,$F16+1)+IF(AND($E16=1,OB16=0),1000,0)),1000000))</f>
        <v/>
      </c>
      <c r="XJ16">
        <f>IF($B16=0,1000000,IF(INDEX('計算A'!$D$60:$II$104,$B16,52)*EV16=1,IF(AND($E16=2,OC16=0),1000000,INDEX('計算A'!BC$110:BC$114,$F16+1)+IF(AND($E16=1,OC16=0),1000,0)),1000000))</f>
        <v/>
      </c>
      <c r="XK16">
        <f>IF($B16=0,1000000,IF(INDEX('計算A'!$D$60:$II$104,$B16,53)*EW16=1,IF(AND($E16=2,OD16=0),1000000,INDEX('計算A'!BD$110:BD$114,$F16+1)+IF(AND($E16=1,OD16=0),1000,0)),1000000))</f>
        <v/>
      </c>
      <c r="XL16">
        <f>IF($B16=0,1000000,IF(INDEX('計算A'!$D$60:$II$104,$B16,54)*EX16=1,IF(AND($E16=2,OE16=0),1000000,INDEX('計算A'!BE$110:BE$114,$F16+1)+IF(AND($E16=1,OE16=0),1000,0)),1000000))</f>
        <v/>
      </c>
      <c r="XM16">
        <f>IF($B16=0,1000000,IF(INDEX('計算A'!$D$60:$II$104,$B16,55)*EY16=1,IF(AND($E16=2,OF16=0),1000000,INDEX('計算A'!BF$110:BF$114,$F16+1)+IF(AND($E16=1,OF16=0),1000,0)),1000000))</f>
        <v/>
      </c>
      <c r="XN16">
        <f>IF($B16=0,1000000,IF(INDEX('計算A'!$D$60:$II$104,$B16,56)*EZ16=1,IF(AND($E16=2,OG16=0),1000000,INDEX('計算A'!BG$110:BG$114,$F16+1)+IF(AND($E16=1,OG16=0),1000,0)),1000000))</f>
        <v/>
      </c>
      <c r="XO16">
        <f>IF($B16=0,1000000,IF(INDEX('計算A'!$D$60:$II$104,$B16,57)*FA16=1,IF(AND($E16=2,OH16=0),1000000,INDEX('計算A'!BH$110:BH$114,$F16+1)+IF(AND($E16=1,OH16=0),1000,0)),1000000))</f>
        <v/>
      </c>
      <c r="XP16">
        <f>IF($B16=0,1000000,IF(INDEX('計算A'!$D$60:$II$104,$B16,58)*FB16=1,IF(AND($E16=2,OI16=0),1000000,INDEX('計算A'!BI$110:BI$114,$F16+1)+IF(AND($E16=1,OI16=0),1000,0)),1000000))</f>
        <v/>
      </c>
      <c r="XQ16">
        <f>IF($B16=0,1000000,IF(INDEX('計算A'!$D$60:$II$104,$B16,59)*FC16=1,IF(AND($E16=2,OJ16=0),1000000,INDEX('計算A'!BJ$110:BJ$114,$F16+1)+IF(AND($E16=1,OJ16=0),1000,0)),1000000))</f>
        <v/>
      </c>
      <c r="XR16">
        <f>IF($B16=0,1000000,IF(INDEX('計算A'!$D$60:$II$104,$B16,60)*FD16=1,IF(AND($E16=2,OK16=0),1000000,INDEX('計算A'!BK$110:BK$114,$F16+1)+IF(AND($E16=1,OK16=0),1000,0)),1000000))</f>
        <v/>
      </c>
      <c r="XS16">
        <f>IF($B16=0,1000000,IF(INDEX('計算A'!$D$60:$II$104,$B16,61)*FE16=1,IF(AND($E16=2,OL16=0),1000000,INDEX('計算A'!BL$110:BL$114,$F16+1)+IF(AND($E16=1,OL16=0),1000,0)),1000000))</f>
        <v/>
      </c>
      <c r="XT16">
        <f>IF($B16=0,1000000,IF(INDEX('計算A'!$D$60:$II$104,$B16,62)*FF16=1,IF(AND($E16=2,OM16=0),1000000,INDEX('計算A'!BM$110:BM$114,$F16+1)+IF(AND($E16=1,OM16=0),1000,0)),1000000))</f>
        <v/>
      </c>
      <c r="XU16">
        <f>IF($B16=0,1000000,IF(INDEX('計算A'!$D$60:$II$104,$B16,63)*FG16=1,IF(AND($E16=2,ON16=0),1000000,INDEX('計算A'!BN$110:BN$114,$F16+1)+IF(AND($E16=1,ON16=0),1000,0)),1000000))</f>
        <v/>
      </c>
      <c r="XV16">
        <f>IF($B16=0,1000000,IF(INDEX('計算A'!$D$60:$II$104,$B16,64)*FH16=1,IF(AND($E16=2,OO16=0),1000000,INDEX('計算A'!BO$110:BO$114,$F16+1)+IF(AND($E16=1,OO16=0),1000,0)),1000000))</f>
        <v/>
      </c>
      <c r="XW16">
        <f>IF($B16=0,1000000,IF(INDEX('計算A'!$D$60:$II$104,$B16,65)*FI16=1,IF(AND($E16=2,OP16=0),1000000,INDEX('計算A'!BP$110:BP$114,$F16+1)+IF(AND($E16=1,OP16=0),1000,0)),1000000))</f>
        <v/>
      </c>
      <c r="XX16">
        <f>IF($B16=0,1000000,IF(INDEX('計算A'!$D$60:$II$104,$B16,66)*FJ16=1,IF(AND($E16=2,OQ16=0),1000000,INDEX('計算A'!BQ$110:BQ$114,$F16+1)+IF(AND($E16=1,OQ16=0),1000,0)),1000000))</f>
        <v/>
      </c>
      <c r="XY16">
        <f>IF($B16=0,1000000,IF(INDEX('計算A'!$D$60:$II$104,$B16,67)*FK16=1,IF(AND($E16=2,OR16=0),1000000,INDEX('計算A'!BR$110:BR$114,$F16+1)+IF(AND($E16=1,OR16=0),1000,0)),1000000))</f>
        <v/>
      </c>
      <c r="XZ16">
        <f>IF($B16=0,1000000,IF(INDEX('計算A'!$D$60:$II$104,$B16,68)*FL16=1,IF(AND($E16=2,OS16=0),1000000,INDEX('計算A'!BS$110:BS$114,$F16+1)+IF(AND($E16=1,OS16=0),1000,0)),1000000))</f>
        <v/>
      </c>
      <c r="YA16">
        <f>IF($B16=0,1000000,IF(INDEX('計算A'!$D$60:$II$104,$B16,69)*FM16=1,IF(AND($E16=2,OT16=0),1000000,INDEX('計算A'!BT$110:BT$114,$F16+1)+IF(AND($E16=1,OT16=0),1000,0)),1000000))</f>
        <v/>
      </c>
      <c r="YB16">
        <f>IF($B16=0,1000000,IF(INDEX('計算A'!$D$60:$II$104,$B16,70)*FN16=1,IF(AND($E16=2,OU16=0),1000000,INDEX('計算A'!BU$110:BU$114,$F16+1)+IF(AND($E16=1,OU16=0),1000,0)),1000000))</f>
        <v/>
      </c>
      <c r="YC16">
        <f>IF($B16=0,1000000,IF(INDEX('計算A'!$D$60:$II$104,$B16,71)*FO16=1,IF(AND($E16=2,OV16=0),1000000,INDEX('計算A'!BV$110:BV$114,$F16+1)+IF(AND($E16=1,OV16=0),1000,0)),1000000))</f>
        <v/>
      </c>
      <c r="YD16">
        <f>IF($B16=0,1000000,IF(INDEX('計算A'!$D$60:$II$104,$B16,72)*FP16=1,IF(AND($E16=2,OW16=0),1000000,INDEX('計算A'!BW$110:BW$114,$F16+1)+IF(AND($E16=1,OW16=0),1000,0)),1000000))</f>
        <v/>
      </c>
      <c r="YE16">
        <f>IF($B16=0,1000000,IF(INDEX('計算A'!$D$60:$II$104,$B16,73)*FQ16=1,IF(AND($E16=2,OX16=0),1000000,INDEX('計算A'!BX$110:BX$114,$F16+1)+IF(AND($E16=1,OX16=0),1000,0)),1000000))</f>
        <v/>
      </c>
      <c r="YF16">
        <f>IF($B16=0,1000000,IF(INDEX('計算A'!$D$60:$II$104,$B16,74)*FR16=1,IF(AND($E16=2,OY16=0),1000000,INDEX('計算A'!BY$110:BY$114,$F16+1)+IF(AND($E16=1,OY16=0),1000,0)),1000000))</f>
        <v/>
      </c>
      <c r="YG16">
        <f>IF($B16=0,1000000,IF(INDEX('計算A'!$D$60:$II$104,$B16,75)*FS16=1,IF(AND($E16=2,OZ16=0),1000000,INDEX('計算A'!BZ$110:BZ$114,$F16+1)+IF(AND($E16=1,OZ16=0),1000,0)),1000000))</f>
        <v/>
      </c>
      <c r="YH16">
        <f>IF($B16=0,1000000,IF(INDEX('計算A'!$D$60:$II$104,$B16,76)*FT16=1,IF(AND($E16=2,PA16=0),1000000,INDEX('計算A'!CA$110:CA$114,$F16+1)+IF(AND($E16=1,PA16=0),1000,0)),1000000))</f>
        <v/>
      </c>
      <c r="YI16">
        <f>IF($B16=0,1000000,IF(INDEX('計算A'!$D$60:$II$104,$B16,77)*FU16=1,IF(AND($E16=2,PB16=0),1000000,INDEX('計算A'!CB$110:CB$114,$F16+1)+IF(AND($E16=1,PB16=0),1000,0)),1000000))</f>
        <v/>
      </c>
      <c r="YJ16">
        <f>IF($B16=0,1000000,IF(INDEX('計算A'!$D$60:$II$104,$B16,78)*FV16=1,IF(AND($E16=2,PC16=0),1000000,INDEX('計算A'!CC$110:CC$114,$F16+1)+IF(AND($E16=1,PC16=0),1000,0)),1000000))</f>
        <v/>
      </c>
      <c r="YK16">
        <f>IF($B16=0,1000000,IF(INDEX('計算A'!$D$60:$II$104,$B16,79)*FW16=1,IF(AND($E16=2,PD16=0),1000000,INDEX('計算A'!CD$110:CD$114,$F16+1)+IF(AND($E16=1,PD16=0),1000,0)),1000000))</f>
        <v/>
      </c>
      <c r="YL16">
        <f>IF($B16=0,1000000,IF(INDEX('計算A'!$D$60:$II$104,$B16,80)*FX16=1,IF(AND($E16=2,PE16=0),1000000,INDEX('計算A'!CE$110:CE$114,$F16+1)+IF(AND($E16=1,PE16=0),1000,0)),1000000))</f>
        <v/>
      </c>
      <c r="YM16">
        <f>IF($B16=0,1000000,IF(INDEX('計算A'!$D$60:$II$104,$B16,81)*FY16=1,IF(AND($E16=2,PF16=0),1000000,INDEX('計算A'!CF$110:CF$114,$F16+1)+IF(AND($E16=1,PF16=0),1000,0)),1000000))</f>
        <v/>
      </c>
      <c r="YN16">
        <f>IF($B16=0,1000000,IF(INDEX('計算A'!$D$60:$II$104,$B16,82)*FZ16=1,IF(AND($E16=2,PG16=0),1000000,INDEX('計算A'!CG$110:CG$114,$F16+1)+IF(AND($E16=1,PG16=0),1000,0)),1000000))</f>
        <v/>
      </c>
      <c r="YO16">
        <f>IF($B16=0,1000000,IF(INDEX('計算A'!$D$60:$II$104,$B16,83)*GA16=1,IF(AND($E16=2,PH16=0),1000000,INDEX('計算A'!CH$110:CH$114,$F16+1)+IF(AND($E16=1,PH16=0),1000,0)),1000000))</f>
        <v/>
      </c>
      <c r="YP16">
        <f>IF($B16=0,1000000,IF(INDEX('計算A'!$D$60:$II$104,$B16,84)*GB16=1,IF(AND($E16=2,PI16=0),1000000,INDEX('計算A'!CI$110:CI$114,$F16+1)+IF(AND($E16=1,PI16=0),1000,0)),1000000))</f>
        <v/>
      </c>
      <c r="YQ16">
        <f>IF($B16=0,1000000,IF(INDEX('計算A'!$D$60:$II$104,$B16,85)*GC16=1,IF(AND($E16=2,PJ16=0),1000000,INDEX('計算A'!CJ$110:CJ$114,$F16+1)+IF(AND($E16=1,PJ16=0),1000,0)),1000000))</f>
        <v/>
      </c>
      <c r="YR16">
        <f>IF($B16=0,1000000,IF(INDEX('計算A'!$D$60:$II$104,$B16,86)*GD16=1,IF(AND($E16=2,PK16=0),1000000,INDEX('計算A'!CK$110:CK$114,$F16+1)+IF(AND($E16=1,PK16=0),1000,0)),1000000))</f>
        <v/>
      </c>
      <c r="YS16">
        <f>IF($B16=0,1000000,IF(INDEX('計算A'!$D$60:$II$104,$B16,87)*GE16=1,IF(AND($E16=2,PL16=0),1000000,INDEX('計算A'!CL$110:CL$114,$F16+1)+IF(AND($E16=1,PL16=0),1000,0)),1000000))</f>
        <v/>
      </c>
      <c r="YT16">
        <f>IF($B16=0,1000000,IF(INDEX('計算A'!$D$60:$II$104,$B16,88)*GF16=1,IF(AND($E16=2,PM16=0),1000000,INDEX('計算A'!CM$110:CM$114,$F16+1)+IF(AND($E16=1,PM16=0),1000,0)),1000000))</f>
        <v/>
      </c>
      <c r="YU16">
        <f>IF($B16=0,1000000,IF(INDEX('計算A'!$D$60:$II$104,$B16,89)*GG16=1,IF(AND($E16=2,PN16=0),1000000,INDEX('計算A'!CN$110:CN$114,$F16+1)+IF(AND($E16=1,PN16=0),1000,0)),1000000))</f>
        <v/>
      </c>
      <c r="YV16">
        <f>IF($B16=0,1000000,IF(INDEX('計算A'!$D$60:$II$104,$B16,90)*GH16=1,IF(AND($E16=2,PO16=0),1000000,INDEX('計算A'!CO$110:CO$114,$F16+1)+IF(AND($E16=1,PO16=0),1000,0)),1000000))</f>
        <v/>
      </c>
      <c r="YW16">
        <f>IF($B16=0,1000000,IF(INDEX('計算A'!$D$60:$II$104,$B16,91)*GI16=1,IF(AND($E16=2,PP16=0),1000000,INDEX('計算A'!CP$110:CP$114,$F16+1)+IF(AND($E16=1,PP16=0),1000,0)),1000000))</f>
        <v/>
      </c>
      <c r="YX16">
        <f>IF($B16=0,1000000,IF(INDEX('計算A'!$D$60:$II$104,$B16,92)*GJ16=1,IF(AND($E16=2,PQ16=0),1000000,INDEX('計算A'!CQ$110:CQ$114,$F16+1)+IF(AND($E16=1,PQ16=0),1000,0)),1000000))</f>
        <v/>
      </c>
      <c r="YY16">
        <f>IF($B16=0,1000000,IF(INDEX('計算A'!$D$60:$II$104,$B16,93)*GK16=1,IF(AND($E16=2,PR16=0),1000000,INDEX('計算A'!CR$110:CR$114,$F16+1)+IF(AND($E16=1,PR16=0),1000,0)),1000000))</f>
        <v/>
      </c>
      <c r="YZ16">
        <f>IF($B16=0,1000000,IF(INDEX('計算A'!$D$60:$II$104,$B16,94)*GL16=1,IF(AND($E16=2,PS16=0),1000000,INDEX('計算A'!CS$110:CS$114,$F16+1)+IF(AND($E16=1,PS16=0),1000,0)),1000000))</f>
        <v/>
      </c>
      <c r="ZA16">
        <f>IF($B16=0,1000000,IF(INDEX('計算A'!$D$60:$II$104,$B16,95)*GM16=1,IF(AND($E16=2,PT16=0),1000000,INDEX('計算A'!CT$110:CT$114,$F16+1)+IF(AND($E16=1,PT16=0),1000,0)),1000000))</f>
        <v/>
      </c>
      <c r="ZB16">
        <f>IF($B16=0,1000000,IF(INDEX('計算A'!$D$60:$II$104,$B16,96)*GN16=1,IF(AND($E16=2,PU16=0),1000000,INDEX('計算A'!CU$110:CU$114,$F16+1)+IF(AND($E16=1,PU16=0),1000,0)),1000000))</f>
        <v/>
      </c>
      <c r="ZC16">
        <f>IF($B16=0,1000000,IF(INDEX('計算A'!$D$60:$II$104,$B16,97)*GO16=1,IF(AND($E16=2,PV16=0),1000000,INDEX('計算A'!CV$110:CV$114,$F16+1)+IF(AND($E16=1,PV16=0),1000,0)),1000000))</f>
        <v/>
      </c>
      <c r="ZD16">
        <f>IF($B16=0,1000000,IF(INDEX('計算A'!$D$60:$II$104,$B16,98)*GP16=1,IF(AND($E16=2,PW16=0),1000000,INDEX('計算A'!CW$110:CW$114,$F16+1)+IF(AND($E16=1,PW16=0),1000,0)),1000000))</f>
        <v/>
      </c>
      <c r="ZE16">
        <f>IF($B16=0,1000000,IF(INDEX('計算A'!$D$60:$II$104,$B16,99)*GQ16=1,IF(AND($E16=2,PX16=0),1000000,INDEX('計算A'!CX$110:CX$114,$F16+1)+IF(AND($E16=1,PX16=0),1000,0)),1000000))</f>
        <v/>
      </c>
      <c r="ZF16">
        <f>IF($B16=0,1000000,IF(INDEX('計算A'!$D$60:$II$104,$B16,100)*GR16=1,IF(AND($E16=2,PY16=0),1000000,INDEX('計算A'!CY$110:CY$114,$F16+1)+IF(AND($E16=1,PY16=0),1000,0)),1000000))</f>
        <v/>
      </c>
      <c r="ZG16">
        <f>IF($B16=0,1000000,IF(INDEX('計算A'!$D$60:$II$104,$B16,101)*GS16=1,IF(AND($E16=2,PZ16=0),1000000,INDEX('計算A'!CZ$110:CZ$114,$F16+1)+IF(AND($E16=1,PZ16=0),1000,0)),1000000))</f>
        <v/>
      </c>
      <c r="ZH16">
        <f>IF($B16=0,1000000,IF(INDEX('計算A'!$D$60:$II$104,$B16,102)*GT16=1,IF(AND($E16=2,QA16=0),1000000,INDEX('計算A'!DA$110:DA$114,$F16+1)+IF(AND($E16=1,QA16=0),1000,0)),1000000))</f>
        <v/>
      </c>
      <c r="ZI16">
        <f>IF($B16=0,1000000,IF(INDEX('計算A'!$D$60:$II$104,$B16,103)*GU16=1,IF(AND($E16=2,QB16=0),1000000,INDEX('計算A'!DB$110:DB$114,$F16+1)+IF(AND($E16=1,QB16=0),1000,0)),1000000))</f>
        <v/>
      </c>
      <c r="ZJ16">
        <f>IF($B16=0,1000000,IF(INDEX('計算A'!$D$60:$II$104,$B16,104)*GV16=1,IF(AND($E16=2,QC16=0),1000000,INDEX('計算A'!DC$110:DC$114,$F16+1)+IF(AND($E16=1,QC16=0),1000,0)),1000000))</f>
        <v/>
      </c>
      <c r="ZK16">
        <f>IF($B16=0,1000000,IF(INDEX('計算A'!$D$60:$II$104,$B16,105)*GW16=1,IF(AND($E16=2,QD16=0),1000000,INDEX('計算A'!DD$110:DD$114,$F16+1)+IF(AND($E16=1,QD16=0),1000,0)),1000000))</f>
        <v/>
      </c>
      <c r="ZL16">
        <f>IF($B16=0,1000000,IF(INDEX('計算A'!$D$60:$II$104,$B16,106)*GX16=1,IF(AND($E16=2,QE16=0),1000000,INDEX('計算A'!DE$110:DE$114,$F16+1)+IF(AND($E16=1,QE16=0),1000,0)),1000000))</f>
        <v/>
      </c>
      <c r="ZM16">
        <f>IF($B16=0,1000000,IF(INDEX('計算A'!$D$60:$II$104,$B16,107)*GY16=1,IF(AND($E16=2,QF16=0),1000000,INDEX('計算A'!DF$110:DF$114,$F16+1)+IF(AND($E16=1,QF16=0),1000,0)),1000000))</f>
        <v/>
      </c>
      <c r="ZN16">
        <f>IF($B16=0,1000000,IF(INDEX('計算A'!$D$60:$II$104,$B16,108)*GZ16=1,IF(AND($E16=2,QG16=0),1000000,INDEX('計算A'!DG$110:DG$114,$F16+1)+IF(AND($E16=1,QG16=0),1000,0)),1000000))</f>
        <v/>
      </c>
      <c r="ZO16">
        <f>IF($B16=0,1000000,IF(INDEX('計算A'!$D$60:$II$104,$B16,109)*HA16=1,IF(AND($E16=2,QH16=0),1000000,INDEX('計算A'!DH$110:DH$114,$F16+1)+IF(AND($E16=1,QH16=0),1000,0)),1000000))</f>
        <v/>
      </c>
      <c r="ZP16">
        <f>IF($B16=0,1000000,IF(INDEX('計算A'!$D$60:$II$104,$B16,110)*HB16=1,IF(AND($E16=2,QI16=0),1000000,INDEX('計算A'!DI$110:DI$114,$F16+1)+IF(AND($E16=1,QI16=0),1000,0)),1000000))</f>
        <v/>
      </c>
      <c r="ZQ16">
        <f>IF($B16=0,1000000,IF(INDEX('計算A'!$D$60:$II$104,$B16,111)*HC16=1,IF(AND($E16=2,QJ16=0),1000000,INDEX('計算A'!DJ$110:DJ$114,$F16+1)+IF(AND($E16=1,QJ16=0),1000,0)),1000000))</f>
        <v/>
      </c>
      <c r="ZR16">
        <f>IF($B16=0,1000000,IF(INDEX('計算A'!$D$60:$II$104,$B16,112)*HD16=1,IF(AND($E16=2,QK16=0),1000000,INDEX('計算A'!DK$110:DK$114,$F16+1)+IF(AND($E16=1,QK16=0),1000,0)),1000000))</f>
        <v/>
      </c>
      <c r="ZS16">
        <f>IF($B16=0,1000000,IF(INDEX('計算A'!$D$60:$II$104,$B16,113)*HE16=1,IF(AND($E16=2,QL16=0),1000000,INDEX('計算A'!DL$110:DL$114,$F16+1)+IF(AND($E16=1,QL16=0),1000,0)),1000000))</f>
        <v/>
      </c>
      <c r="ZT16">
        <f>IF($B16=0,1000000,IF(INDEX('計算A'!$D$60:$II$104,$B16,114)*HF16=1,IF(AND($E16=2,QM16=0),1000000,INDEX('計算A'!DM$110:DM$114,$F16+1)+IF(AND($E16=1,QM16=0),1000,0)),1000000))</f>
        <v/>
      </c>
      <c r="ZU16">
        <f>IF($B16=0,1000000,IF(INDEX('計算A'!$D$60:$II$104,$B16,115)*HG16=1,IF(AND($E16=2,QN16=0),1000000,INDEX('計算A'!DN$110:DN$114,$F16+1)+IF(AND($E16=1,QN16=0),1000,0)),1000000))</f>
        <v/>
      </c>
      <c r="ZV16">
        <f>IF($B16=0,1000000,IF(INDEX('計算A'!$D$60:$II$104,$B16,116)*HH16=1,IF(AND($E16=2,QO16=0),1000000,INDEX('計算A'!DO$110:DO$114,$F16+1)+IF(AND($E16=1,QO16=0),1000,0)),1000000))</f>
        <v/>
      </c>
      <c r="ZW16">
        <f>IF($B16=0,1000000,IF(INDEX('計算A'!$D$60:$II$104,$B16,117)*HI16=1,IF(AND($E16=2,QP16=0),1000000,INDEX('計算A'!DP$110:DP$114,$F16+1)+IF(AND($E16=1,QP16=0),1000,0)),1000000))</f>
        <v/>
      </c>
      <c r="ZX16">
        <f>IF($B16=0,1000000,IF(INDEX('計算A'!$D$60:$II$104,$B16,118)*HJ16=1,IF(AND($E16=2,QQ16=0),1000000,INDEX('計算A'!DQ$110:DQ$114,$F16+1)+IF(AND($E16=1,QQ16=0),1000,0)),1000000))</f>
        <v/>
      </c>
      <c r="ZY16">
        <f>IF($B16=0,1000000,IF(INDEX('計算A'!$D$60:$II$104,$B16,119)*HK16=1,IF(AND($E16=2,QR16=0),1000000,INDEX('計算A'!DR$110:DR$114,$F16+1)+IF(AND($E16=1,QR16=0),1000,0)),1000000))</f>
        <v/>
      </c>
      <c r="ZZ16">
        <f>IF($B16=0,1000000,IF(INDEX('計算A'!$D$60:$II$104,$B16,120)*HL16=1,IF(AND($E16=2,QS16=0),1000000,INDEX('計算A'!DS$110:DS$114,$F16+1)+IF(AND($E16=1,QS16=0),1000,0)),1000000))</f>
        <v/>
      </c>
      <c r="AAA16">
        <f>IF($B16=0,1000000,IF(INDEX('計算A'!$D$60:$II$104,$B16,121)*HM16=1,IF(AND($E16=2,QT16=0),1000000,INDEX('計算A'!DT$110:DT$114,$F16+1)+IF(AND($E16=1,QT16=0),1000,0)),1000000))</f>
        <v/>
      </c>
      <c r="AAB16">
        <f>IF($B16=0,1000000,IF(INDEX('計算A'!$D$60:$II$104,$B16,122)*HN16=1,IF(AND($E16=2,QU16=0),1000000,INDEX('計算A'!DU$110:DU$114,$F16+1)+IF(AND($E16=1,QU16=0),1000,0)),1000000))</f>
        <v/>
      </c>
      <c r="AAC16">
        <f>IF($B16=0,1000000,IF(INDEX('計算A'!$D$60:$II$104,$B16,123)*HO16=1,IF(AND($E16=2,QV16=0),1000000,INDEX('計算A'!DV$110:DV$114,$F16+1)+IF(AND($E16=1,QV16=0),1000,0)),1000000))</f>
        <v/>
      </c>
      <c r="AAD16">
        <f>IF($B16=0,1000000,IF(INDEX('計算A'!$D$60:$II$104,$B16,124)*HP16=1,IF(AND($E16=2,QW16=0),1000000,INDEX('計算A'!DW$110:DW$114,$F16+1)+IF(AND($E16=1,QW16=0),1000,0)),1000000))</f>
        <v/>
      </c>
      <c r="AAE16">
        <f>IF($B16=0,1000000,IF(INDEX('計算A'!$D$60:$II$104,$B16,125)*HQ16=1,IF(AND($E16=2,QX16=0),1000000,INDEX('計算A'!DX$110:DX$114,$F16+1)+IF(AND($E16=1,QX16=0),1000,0)),1000000))</f>
        <v/>
      </c>
      <c r="AAF16">
        <f>IF($B16=0,1000000,IF(INDEX('計算A'!$D$60:$II$104,$B16,126)*HR16=1,IF(AND($E16=2,QY16=0),1000000,INDEX('計算A'!DY$110:DY$114,$F16+1)+IF(AND($E16=1,QY16=0),1000,0)),1000000))</f>
        <v/>
      </c>
      <c r="AAG16">
        <f>IF($B16=0,1000000,IF(INDEX('計算A'!$D$60:$II$104,$B16,127)*HS16=1,IF(AND($E16=2,QZ16=0),1000000,INDEX('計算A'!DZ$110:DZ$114,$F16+1)+IF(AND($E16=1,QZ16=0),1000,0)),1000000))</f>
        <v/>
      </c>
      <c r="AAH16">
        <f>IF($B16=0,1000000,IF(INDEX('計算A'!$D$60:$II$104,$B16,128)*HT16=1,IF(AND($E16=2,RA16=0),1000000,INDEX('計算A'!EA$110:EA$114,$F16+1)+IF(AND($E16=1,RA16=0),1000,0)),1000000))</f>
        <v/>
      </c>
      <c r="AAI16">
        <f>IF($B16=0,1000000,IF(INDEX('計算A'!$D$60:$II$104,$B16,129)*HU16=1,IF(AND($E16=2,RB16=0),1000000,INDEX('計算A'!EB$110:EB$114,$F16+1)+IF(AND($E16=1,RB16=0),1000,0)),1000000))</f>
        <v/>
      </c>
      <c r="AAJ16">
        <f>IF($B16=0,1000000,IF(INDEX('計算A'!$D$60:$II$104,$B16,130)*HV16=1,IF(AND($E16=2,RC16=0),1000000,INDEX('計算A'!EC$110:EC$114,$F16+1)+IF(AND($E16=1,RC16=0),1000,0)),1000000))</f>
        <v/>
      </c>
      <c r="AAK16">
        <f>IF($B16=0,1000000,IF(INDEX('計算A'!$D$60:$II$104,$B16,131)*HW16=1,IF(AND($E16=2,RD16=0),1000000,INDEX('計算A'!ED$110:ED$114,$F16+1)+IF(AND($E16=1,RD16=0),1000,0)),1000000))</f>
        <v/>
      </c>
      <c r="AAL16">
        <f>IF($B16=0,1000000,IF(INDEX('計算A'!$D$60:$II$104,$B16,132)*HX16=1,IF(AND($E16=2,RE16=0),1000000,INDEX('計算A'!EE$110:EE$114,$F16+1)+IF(AND($E16=1,RE16=0),1000,0)),1000000))</f>
        <v/>
      </c>
      <c r="AAM16">
        <f>IF($B16=0,1000000,IF(INDEX('計算A'!$D$60:$II$104,$B16,133)*HY16=1,IF(AND($E16=2,RF16=0),1000000,INDEX('計算A'!EF$110:EF$114,$F16+1)+IF(AND($E16=1,RF16=0),1000,0)),1000000))</f>
        <v/>
      </c>
      <c r="AAN16">
        <f>IF($B16=0,1000000,IF(INDEX('計算A'!$D$60:$II$104,$B16,134)*HZ16=1,IF(AND($E16=2,RG16=0),1000000,INDEX('計算A'!EG$110:EG$114,$F16+1)+IF(AND($E16=1,RG16=0),1000,0)),1000000))</f>
        <v/>
      </c>
      <c r="AAO16">
        <f>IF($B16=0,1000000,IF(INDEX('計算A'!$D$60:$II$104,$B16,135)*IA16=1,IF(AND($E16=2,RH16=0),1000000,INDEX('計算A'!EH$110:EH$114,$F16+1)+IF(AND($E16=1,RH16=0),1000,0)),1000000))</f>
        <v/>
      </c>
      <c r="AAP16">
        <f>IF($B16=0,1000000,IF(INDEX('計算A'!$D$60:$II$104,$B16,136)*IB16=1,IF(AND($E16=2,RI16=0),1000000,INDEX('計算A'!EI$110:EI$114,$F16+1)+IF(AND($E16=1,RI16=0),1000,0)),1000000))</f>
        <v/>
      </c>
      <c r="AAQ16">
        <f>IF($B16=0,1000000,IF(INDEX('計算A'!$D$60:$II$104,$B16,137)*IC16=1,IF(AND($E16=2,RJ16=0),1000000,INDEX('計算A'!EJ$110:EJ$114,$F16+1)+IF(AND($E16=1,RJ16=0),1000,0)),1000000))</f>
        <v/>
      </c>
      <c r="AAR16">
        <f>IF($B16=0,1000000,IF(INDEX('計算A'!$D$60:$II$104,$B16,138)*ID16=1,IF(AND($E16=2,RK16=0),1000000,INDEX('計算A'!EK$110:EK$114,$F16+1)+IF(AND($E16=1,RK16=0),1000,0)),1000000))</f>
        <v/>
      </c>
      <c r="AAS16">
        <f>IF($B16=0,1000000,IF(INDEX('計算A'!$D$60:$II$104,$B16,139)*IE16=1,IF(AND($E16=2,RL16=0),1000000,INDEX('計算A'!EL$110:EL$114,$F16+1)+IF(AND($E16=1,RL16=0),1000,0)),1000000))</f>
        <v/>
      </c>
      <c r="AAT16">
        <f>IF($B16=0,1000000,IF(INDEX('計算A'!$D$60:$II$104,$B16,140)*IF16=1,IF(AND($E16=2,RM16=0),1000000,INDEX('計算A'!EM$110:EM$114,$F16+1)+IF(AND($E16=1,RM16=0),1000,0)),1000000))</f>
        <v/>
      </c>
      <c r="AAU16">
        <f>IF($B16=0,1000000,IF(INDEX('計算A'!$D$60:$II$104,$B16,141)*IG16=1,IF(AND($E16=2,RN16=0),1000000,INDEX('計算A'!EN$110:EN$114,$F16+1)+IF(AND($E16=1,RN16=0),1000,0)),1000000))</f>
        <v/>
      </c>
      <c r="AAV16">
        <f>IF($B16=0,1000000,IF(INDEX('計算A'!$D$60:$II$104,$B16,142)*IH16=1,IF(AND($E16=2,RO16=0),1000000,INDEX('計算A'!EO$110:EO$114,$F16+1)+IF(AND($E16=1,RO16=0),1000,0)),1000000))</f>
        <v/>
      </c>
      <c r="AAW16">
        <f>IF($B16=0,1000000,IF(INDEX('計算A'!$D$60:$II$104,$B16,143)*II16=1,IF(AND($E16=2,RP16=0),1000000,INDEX('計算A'!EP$110:EP$114,$F16+1)+IF(AND($E16=1,RP16=0),1000,0)),1000000))</f>
        <v/>
      </c>
      <c r="AAX16">
        <f>IF($B16=0,1000000,IF(INDEX('計算A'!$D$60:$II$104,$B16,144)*IJ16=1,IF(AND($E16=2,RQ16=0),1000000,INDEX('計算A'!EQ$110:EQ$114,$F16+1)+IF(AND($E16=1,RQ16=0),1000,0)),1000000))</f>
        <v/>
      </c>
      <c r="AAY16">
        <f>IF($B16=0,1000000,IF(INDEX('計算A'!$D$60:$II$104,$B16,145)*IK16=1,IF(AND($E16=2,RR16=0),1000000,INDEX('計算A'!ER$110:ER$114,$F16+1)+IF(AND($E16=1,RR16=0),1000,0)),1000000))</f>
        <v/>
      </c>
      <c r="AAZ16">
        <f>IF($B16=0,1000000,IF(INDEX('計算A'!$D$60:$II$104,$B16,146)*IL16=1,IF(AND($E16=2,RS16=0),1000000,INDEX('計算A'!ES$110:ES$114,$F16+1)+IF(AND($E16=1,RS16=0),1000,0)),1000000))</f>
        <v/>
      </c>
      <c r="ABA16">
        <f>IF($B16=0,1000000,IF(INDEX('計算A'!$D$60:$II$104,$B16,147)*IM16=1,IF(AND($E16=2,RT16=0),1000000,INDEX('計算A'!ET$110:ET$114,$F16+1)+IF(AND($E16=1,RT16=0),1000,0)),1000000))</f>
        <v/>
      </c>
      <c r="ABB16">
        <f>IF($B16=0,1000000,IF(INDEX('計算A'!$D$60:$II$104,$B16,148)*IN16=1,IF(AND($E16=2,RU16=0),1000000,INDEX('計算A'!EU$110:EU$114,$F16+1)+IF(AND($E16=1,RU16=0),1000,0)),1000000))</f>
        <v/>
      </c>
      <c r="ABC16">
        <f>IF($B16=0,1000000,IF(INDEX('計算A'!$D$60:$II$104,$B16,149)*IO16=1,IF(AND($E16=2,RV16=0),1000000,INDEX('計算A'!EV$110:EV$114,$F16+1)+IF(AND($E16=1,RV16=0),1000,0)),1000000))</f>
        <v/>
      </c>
      <c r="ABD16">
        <f>IF($B16=0,1000000,IF(INDEX('計算A'!$D$60:$II$104,$B16,150)*IP16=1,IF(AND($E16=2,RW16=0),1000000,INDEX('計算A'!EW$110:EW$114,$F16+1)+IF(AND($E16=1,RW16=0),1000,0)),1000000))</f>
        <v/>
      </c>
      <c r="ABE16">
        <f>IF($B16=0,1000000,IF(INDEX('計算A'!$D$60:$II$104,$B16,151)*IQ16=1,IF(AND($E16=2,RX16=0),1000000,INDEX('計算A'!EX$110:EX$114,$F16+1)+IF(AND($E16=1,RX16=0),1000,0)),1000000))</f>
        <v/>
      </c>
      <c r="ABF16">
        <f>IF($B16=0,1000000,IF(INDEX('計算A'!$D$60:$II$104,$B16,152)*IR16=1,IF(AND($E16=2,RY16=0),1000000,INDEX('計算A'!EY$110:EY$114,$F16+1)+IF(AND($E16=1,RY16=0),1000,0)),1000000))</f>
        <v/>
      </c>
      <c r="ABG16">
        <f>IF($B16=0,1000000,IF(INDEX('計算A'!$D$60:$II$104,$B16,153)*IS16=1,IF(AND($E16=2,RZ16=0),1000000,INDEX('計算A'!EZ$110:EZ$114,$F16+1)+IF(AND($E16=1,RZ16=0),1000,0)),1000000))</f>
        <v/>
      </c>
      <c r="ABH16">
        <f>IF($B16=0,1000000,IF(INDEX('計算A'!$D$60:$II$104,$B16,154)*IT16=1,IF(AND($E16=2,SA16=0),1000000,INDEX('計算A'!FA$110:FA$114,$F16+1)+IF(AND($E16=1,SA16=0),1000,0)),1000000))</f>
        <v/>
      </c>
      <c r="ABI16">
        <f>IF($B16=0,1000000,IF(INDEX('計算A'!$D$60:$II$104,$B16,155)*IU16=1,IF(AND($E16=2,SB16=0),1000000,INDEX('計算A'!FB$110:FB$114,$F16+1)+IF(AND($E16=1,SB16=0),1000,0)),1000000))</f>
        <v/>
      </c>
      <c r="ABJ16">
        <f>IF($B16=0,1000000,IF(INDEX('計算A'!$D$60:$II$104,$B16,156)*IV16=1,IF(AND($E16=2,SC16=0),1000000,INDEX('計算A'!FC$110:FC$114,$F16+1)+IF(AND($E16=1,SC16=0),1000,0)),1000000))</f>
        <v/>
      </c>
      <c r="ABK16">
        <f>IF($B16=0,1000000,IF(INDEX('計算A'!$D$60:$II$104,$B16,157)*IW16=1,IF(AND($E16=2,SD16=0),1000000,INDEX('計算A'!FD$110:FD$114,$F16+1)+IF(AND($E16=1,SD16=0),1000,0)),1000000))</f>
        <v/>
      </c>
      <c r="ABL16">
        <f>IF($B16=0,1000000,IF(INDEX('計算A'!$D$60:$II$104,$B16,158)*IX16=1,IF(AND($E16=2,SE16=0),1000000,INDEX('計算A'!FE$110:FE$114,$F16+1)+IF(AND($E16=1,SE16=0),1000,0)),1000000))</f>
        <v/>
      </c>
      <c r="ABM16">
        <f>IF($B16=0,1000000,IF(INDEX('計算A'!$D$60:$II$104,$B16,159)*IY16=1,IF(AND($E16=2,SF16=0),1000000,INDEX('計算A'!FF$110:FF$114,$F16+1)+IF(AND($E16=1,SF16=0),1000,0)),1000000))</f>
        <v/>
      </c>
      <c r="ABN16">
        <f>IF($B16=0,1000000,IF(INDEX('計算A'!$D$60:$II$104,$B16,160)*IZ16=1,IF(AND($E16=2,SG16=0),1000000,INDEX('計算A'!FG$110:FG$114,$F16+1)+IF(AND($E16=1,SG16=0),1000,0)),1000000))</f>
        <v/>
      </c>
      <c r="ABO16">
        <f>IF($B16=0,1000000,IF(INDEX('計算A'!$D$60:$II$104,$B16,161)*JA16=1,IF(AND($E16=2,SH16=0),1000000,INDEX('計算A'!FH$110:FH$114,$F16+1)+IF(AND($E16=1,SH16=0),1000,0)),1000000))</f>
        <v/>
      </c>
      <c r="ABP16">
        <f>IF($B16=0,1000000,IF(INDEX('計算A'!$D$60:$II$104,$B16,162)*JB16=1,IF(AND($E16=2,SI16=0),1000000,INDEX('計算A'!FI$110:FI$114,$F16+1)+IF(AND($E16=1,SI16=0),1000,0)),1000000))</f>
        <v/>
      </c>
      <c r="ABQ16">
        <f>IF($B16=0,1000000,IF(INDEX('計算A'!$D$60:$II$104,$B16,163)*JC16=1,IF(AND($E16=2,SJ16=0),1000000,INDEX('計算A'!FJ$110:FJ$114,$F16+1)+IF(AND($E16=1,SJ16=0),1000,0)),1000000))</f>
        <v/>
      </c>
      <c r="ABR16">
        <f>IF($B16=0,1000000,IF(INDEX('計算A'!$D$60:$II$104,$B16,164)*JD16=1,IF(AND($E16=2,SK16=0),1000000,INDEX('計算A'!FK$110:FK$114,$F16+1)+IF(AND($E16=1,SK16=0),1000,0)),1000000))</f>
        <v/>
      </c>
      <c r="ABS16">
        <f>IF($B16=0,1000000,IF(INDEX('計算A'!$D$60:$II$104,$B16,165)*JE16=1,IF(AND($E16=2,SL16=0),1000000,INDEX('計算A'!FL$110:FL$114,$F16+1)+IF(AND($E16=1,SL16=0),1000,0)),1000000))</f>
        <v/>
      </c>
      <c r="ABT16">
        <f>IF($B16=0,1000000,IF(INDEX('計算A'!$D$60:$II$104,$B16,166)*JF16=1,IF(AND($E16=2,SM16=0),1000000,INDEX('計算A'!FM$110:FM$114,$F16+1)+IF(AND($E16=1,SM16=0),1000,0)),1000000))</f>
        <v/>
      </c>
      <c r="ABU16">
        <f>IF($B16=0,1000000,IF(INDEX('計算A'!$D$60:$II$104,$B16,167)*JG16=1,IF(AND($E16=2,SN16=0),1000000,INDEX('計算A'!FN$110:FN$114,$F16+1)+IF(AND($E16=1,SN16=0),1000,0)),1000000))</f>
        <v/>
      </c>
      <c r="ABV16">
        <f>IF($B16=0,1000000,IF(INDEX('計算A'!$D$60:$II$104,$B16,168)*JH16=1,IF(AND($E16=2,SO16=0),1000000,INDEX('計算A'!FO$110:FO$114,$F16+1)+IF(AND($E16=1,SO16=0),1000,0)),1000000))</f>
        <v/>
      </c>
      <c r="ABW16">
        <f>IF($B16=0,1000000,IF(INDEX('計算A'!$D$60:$II$104,$B16,169)*JI16=1,IF(AND($E16=2,SP16=0),1000000,INDEX('計算A'!FP$110:FP$114,$F16+1)+IF(AND($E16=1,SP16=0),1000,0)),1000000))</f>
        <v/>
      </c>
      <c r="ABX16">
        <f>IF($B16=0,1000000,IF(INDEX('計算A'!$D$60:$II$104,$B16,170)*JJ16=1,IF(AND($E16=2,SQ16=0),1000000,INDEX('計算A'!FQ$110:FQ$114,$F16+1)+IF(AND($E16=1,SQ16=0),1000,0)),1000000))</f>
        <v/>
      </c>
      <c r="ABY16">
        <f>IF($B16=0,1000000,IF(INDEX('計算A'!$D$60:$II$104,$B16,171)*JK16=1,IF(AND($E16=2,SR16=0),1000000,INDEX('計算A'!FR$110:FR$114,$F16+1)+IF(AND($E16=1,SR16=0),1000,0)),1000000))</f>
        <v/>
      </c>
      <c r="ABZ16">
        <f>IF($B16=0,1000000,IF(INDEX('計算A'!$D$60:$II$104,$B16,172)*JL16=1,IF(AND($E16=2,SS16=0),1000000,INDEX('計算A'!FS$110:FS$114,$F16+1)+IF(AND($E16=1,SS16=0),1000,0)),1000000))</f>
        <v/>
      </c>
      <c r="ACA16">
        <f>IF($B16=0,1000000,IF(INDEX('計算A'!$D$60:$II$104,$B16,173)*JM16=1,IF(AND($E16=2,ST16=0),1000000,INDEX('計算A'!FT$110:FT$114,$F16+1)+IF(AND($E16=1,ST16=0),1000,0)),1000000))</f>
        <v/>
      </c>
      <c r="ACB16">
        <f>IF($B16=0,1000000,IF(INDEX('計算A'!$D$60:$II$104,$B16,174)*JN16=1,IF(AND($E16=2,SU16=0),1000000,INDEX('計算A'!FU$110:FU$114,$F16+1)+IF(AND($E16=1,SU16=0),1000,0)),1000000))</f>
        <v/>
      </c>
      <c r="ACC16">
        <f>IF($B16=0,1000000,IF(INDEX('計算A'!$D$60:$II$104,$B16,175)*JO16=1,IF(AND($E16=2,SV16=0),1000000,INDEX('計算A'!FV$110:FV$114,$F16+1)+IF(AND($E16=1,SV16=0),1000,0)),1000000))</f>
        <v/>
      </c>
      <c r="ACD16">
        <f>IF($B16=0,1000000,IF(INDEX('計算A'!$D$60:$II$104,$B16,176)*JP16=1,IF(AND($E16=2,SW16=0),1000000,INDEX('計算A'!FW$110:FW$114,$F16+1)+IF(AND($E16=1,SW16=0),1000,0)),1000000))</f>
        <v/>
      </c>
      <c r="ACE16">
        <f>IF($B16=0,1000000,IF(INDEX('計算A'!$D$60:$II$104,$B16,177)*JQ16=1,IF(AND($E16=2,SX16=0),1000000,INDEX('計算A'!FX$110:FX$114,$F16+1)+IF(AND($E16=1,SX16=0),1000,0)),1000000))</f>
        <v/>
      </c>
      <c r="ACF16">
        <f>IF($B16=0,1000000,IF(INDEX('計算A'!$D$60:$II$104,$B16,178)*JR16=1,IF(AND($E16=2,SY16=0),1000000,INDEX('計算A'!FY$110:FY$114,$F16+1)+IF(AND($E16=1,SY16=0),1000,0)),1000000))</f>
        <v/>
      </c>
      <c r="ACG16">
        <f>IF($B16=0,1000000,IF(INDEX('計算A'!$D$60:$II$104,$B16,179)*JS16=1,IF(AND($E16=2,SZ16=0),1000000,INDEX('計算A'!FZ$110:FZ$114,$F16+1)+IF(AND($E16=1,SZ16=0),1000,0)),1000000))</f>
        <v/>
      </c>
      <c r="ACH16">
        <f>IF($B16=0,1000000,IF(INDEX('計算A'!$D$60:$II$104,$B16,180)*JT16=1,IF(AND($E16=2,TA16=0),1000000,INDEX('計算A'!GA$110:GA$114,$F16+1)+IF(AND($E16=1,TA16=0),1000,0)),1000000))</f>
        <v/>
      </c>
      <c r="ACI16">
        <f>IF($B16=0,1000000,IF(INDEX('計算A'!$D$60:$II$104,$B16,181)*JU16=1,IF(AND($E16=2,TB16=0),1000000,INDEX('計算A'!GB$110:GB$114,$F16+1)+IF(AND($E16=1,TB16=0),1000,0)),1000000))</f>
        <v/>
      </c>
      <c r="ACJ16">
        <f>IF($B16=0,1000000,IF(INDEX('計算A'!$D$60:$II$104,$B16,182)*JV16=1,IF(AND($E16=2,TC16=0),1000000,INDEX('計算A'!GC$110:GC$114,$F16+1)+IF(AND($E16=1,TC16=0),1000,0)),1000000))</f>
        <v/>
      </c>
      <c r="ACK16">
        <f>IF($B16=0,1000000,IF(INDEX('計算A'!$D$60:$II$104,$B16,183)*JW16=1,IF(AND($E16=2,TD16=0),1000000,INDEX('計算A'!GD$110:GD$114,$F16+1)+IF(AND($E16=1,TD16=0),1000,0)),1000000))</f>
        <v/>
      </c>
      <c r="ACL16">
        <f>IF($B16=0,1000000,IF(INDEX('計算A'!$D$60:$II$104,$B16,184)*JX16=1,IF(AND($E16=2,TE16=0),1000000,INDEX('計算A'!GE$110:GE$114,$F16+1)+IF(AND($E16=1,TE16=0),1000,0)),1000000))</f>
        <v/>
      </c>
      <c r="ACM16">
        <f>IF($B16=0,1000000,IF(INDEX('計算A'!$D$60:$II$104,$B16,185)*JY16=1,IF(AND($E16=2,TF16=0),1000000,INDEX('計算A'!GF$110:GF$114,$F16+1)+IF(AND($E16=1,TF16=0),1000,0)),1000000))</f>
        <v/>
      </c>
      <c r="ACN16">
        <f>IF($B16=0,1000000,IF(INDEX('計算A'!$D$60:$II$104,$B16,186)*JZ16=1,IF(AND($E16=2,TG16=0),1000000,INDEX('計算A'!GG$110:GG$114,$F16+1)+IF(AND($E16=1,TG16=0),1000,0)),1000000))</f>
        <v/>
      </c>
      <c r="ACO16">
        <f>IF($B16=0,1000000,IF(INDEX('計算A'!$D$60:$II$104,$B16,187)*KA16=1,IF(AND($E16=2,TH16=0),1000000,INDEX('計算A'!GH$110:GH$114,$F16+1)+IF(AND($E16=1,TH16=0),1000,0)),1000000))</f>
        <v/>
      </c>
      <c r="ACP16">
        <f>IF($B16=0,1000000,IF(INDEX('計算A'!$D$60:$II$104,$B16,188)*KB16=1,IF(AND($E16=2,TI16=0),1000000,INDEX('計算A'!GI$110:GI$114,$F16+1)+IF(AND($E16=1,TI16=0),1000,0)),1000000))</f>
        <v/>
      </c>
      <c r="ACQ16">
        <f>IF($B16=0,1000000,IF(INDEX('計算A'!$D$60:$II$104,$B16,189)*KC16=1,IF(AND($E16=2,TJ16=0),1000000,INDEX('計算A'!GJ$110:GJ$114,$F16+1)+IF(AND($E16=1,TJ16=0),1000,0)),1000000))</f>
        <v/>
      </c>
      <c r="ACR16">
        <f>IF($B16=0,1000000,IF(INDEX('計算A'!$D$60:$II$104,$B16,190)*KD16=1,IF(AND($E16=2,TK16=0),1000000,INDEX('計算A'!GK$110:GK$114,$F16+1)+IF(AND($E16=1,TK16=0),1000,0)),1000000))</f>
        <v/>
      </c>
      <c r="ACS16">
        <f>IF($B16=0,1000000,IF(INDEX('計算A'!$D$60:$II$104,$B16,191)*KE16=1,IF(AND($E16=2,TL16=0),1000000,INDEX('計算A'!GL$110:GL$114,$F16+1)+IF(AND($E16=1,TL16=0),1000,0)),1000000))</f>
        <v/>
      </c>
      <c r="ACT16">
        <f>IF($B16=0,1000000,IF(INDEX('計算A'!$D$60:$II$104,$B16,192)*KF16=1,IF(AND($E16=2,TM16=0),1000000,INDEX('計算A'!GM$110:GM$114,$F16+1)+IF(AND($E16=1,TM16=0),1000,0)),1000000))</f>
        <v/>
      </c>
      <c r="ACU16">
        <f>IF($B16=0,1000000,IF(INDEX('計算A'!$D$60:$II$104,$B16,193)*KG16=1,IF(AND($E16=2,TN16=0),1000000,INDEX('計算A'!GN$110:GN$114,$F16+1)+IF(AND($E16=1,TN16=0),1000,0)),1000000))</f>
        <v/>
      </c>
      <c r="ACV16">
        <f>IF($B16=0,1000000,IF(INDEX('計算A'!$D$60:$II$104,$B16,194)*KH16=1,IF(AND($E16=2,TO16=0),1000000,INDEX('計算A'!GO$110:GO$114,$F16+1)+IF(AND($E16=1,TO16=0),1000,0)),1000000))</f>
        <v/>
      </c>
      <c r="ACW16">
        <f>IF($B16=0,1000000,IF(INDEX('計算A'!$D$60:$II$104,$B16,195)*KI16=1,IF(AND($E16=2,TP16=0),1000000,INDEX('計算A'!GP$110:GP$114,$F16+1)+IF(AND($E16=1,TP16=0),1000,0)),1000000))</f>
        <v/>
      </c>
      <c r="ACX16">
        <f>IF($B16=0,1000000,IF(INDEX('計算A'!$D$60:$II$104,$B16,196)*KJ16=1,IF(AND($E16=2,TQ16=0),1000000,INDEX('計算A'!GQ$110:GQ$114,$F16+1)+IF(AND($E16=1,TQ16=0),1000,0)),1000000))</f>
        <v/>
      </c>
      <c r="ACY16">
        <f>IF($B16=0,1000000,IF(INDEX('計算A'!$D$60:$II$104,$B16,197)*KK16=1,IF(AND($E16=2,TR16=0),1000000,INDEX('計算A'!GR$110:GR$114,$F16+1)+IF(AND($E16=1,TR16=0),1000,0)),1000000))</f>
        <v/>
      </c>
      <c r="ACZ16">
        <f>IF($B16=0,1000000,IF(INDEX('計算A'!$D$60:$II$104,$B16,198)*KL16=1,IF(AND($E16=2,TS16=0),1000000,INDEX('計算A'!GS$110:GS$114,$F16+1)+IF(AND($E16=1,TS16=0),1000,0)),1000000))</f>
        <v/>
      </c>
      <c r="ADA16">
        <f>IF($B16=0,1000000,IF(INDEX('計算A'!$D$60:$II$104,$B16,199)*KM16=1,IF(AND($E16=2,TT16=0),1000000,INDEX('計算A'!GT$110:GT$114,$F16+1)+IF(AND($E16=1,TT16=0),1000,0)),1000000))</f>
        <v/>
      </c>
      <c r="ADB16">
        <f>IF($B16=0,1000000,IF(INDEX('計算A'!$D$60:$II$104,$B16,200)*KN16=1,IF(AND($E16=2,TU16=0),1000000,INDEX('計算A'!GU$110:GU$114,$F16+1)+IF(AND($E16=1,TU16=0),1000,0)),1000000))</f>
        <v/>
      </c>
      <c r="ADC16">
        <f>IF($B16=0,1000000,IF(INDEX('計算A'!$D$60:$II$104,$B16,201)*KO16=1,IF(AND($E16=2,TV16=0),1000000,INDEX('計算A'!GV$110:GV$114,$F16+1)+IF(AND($E16=1,TV16=0),1000,0)),1000000))</f>
        <v/>
      </c>
      <c r="ADD16">
        <f>IF($B16=0,1000000,IF(INDEX('計算A'!$D$60:$II$104,$B16,202)*KP16=1,IF(AND($E16=2,TW16=0),1000000,INDEX('計算A'!GW$110:GW$114,$F16+1)+IF(AND($E16=1,TW16=0),1000,0)),1000000))</f>
        <v/>
      </c>
      <c r="ADE16">
        <f>IF($B16=0,1000000,IF(INDEX('計算A'!$D$60:$II$104,$B16,203)*KQ16=1,IF(AND($E16=2,TX16=0),1000000,INDEX('計算A'!GX$110:GX$114,$F16+1)+IF(AND($E16=1,TX16=0),1000,0)),1000000))</f>
        <v/>
      </c>
      <c r="ADF16">
        <f>IF($B16=0,1000000,IF(INDEX('計算A'!$D$60:$II$104,$B16,204)*KR16=1,IF(AND($E16=2,TY16=0),1000000,INDEX('計算A'!GY$110:GY$114,$F16+1)+IF(AND($E16=1,TY16=0),1000,0)),1000000))</f>
        <v/>
      </c>
      <c r="ADG16">
        <f>IF($B16=0,1000000,IF(INDEX('計算A'!$D$60:$II$104,$B16,205)*KS16=1,IF(AND($E16=2,TZ16=0),1000000,INDEX('計算A'!GZ$110:GZ$114,$F16+1)+IF(AND($E16=1,TZ16=0),1000,0)),1000000))</f>
        <v/>
      </c>
      <c r="ADH16">
        <f>IF($B16=0,1000000,IF(INDEX('計算A'!$D$60:$II$104,$B16,206)*KT16=1,IF(AND($E16=2,UA16=0),1000000,INDEX('計算A'!HA$110:HA$114,$F16+1)+IF(AND($E16=1,UA16=0),1000,0)),1000000))</f>
        <v/>
      </c>
      <c r="ADI16">
        <f>IF($B16=0,1000000,IF(INDEX('計算A'!$D$60:$II$104,$B16,207)*KU16=1,IF(AND($E16=2,UB16=0),1000000,INDEX('計算A'!HB$110:HB$114,$F16+1)+IF(AND($E16=1,UB16=0),1000,0)),1000000))</f>
        <v/>
      </c>
      <c r="ADJ16">
        <f>IF($B16=0,1000000,IF(INDEX('計算A'!$D$60:$II$104,$B16,208)*KV16=1,IF(AND($E16=2,UC16=0),1000000,INDEX('計算A'!HC$110:HC$114,$F16+1)+IF(AND($E16=1,UC16=0),1000,0)),1000000))</f>
        <v/>
      </c>
      <c r="ADK16">
        <f>IF($B16=0,1000000,IF(INDEX('計算A'!$D$60:$II$104,$B16,209)*KW16=1,IF(AND($E16=2,UD16=0),1000000,INDEX('計算A'!HD$110:HD$114,$F16+1)+IF(AND($E16=1,UD16=0),1000,0)),1000000))</f>
        <v/>
      </c>
      <c r="ADL16">
        <f>IF($B16=0,1000000,IF(INDEX('計算A'!$D$60:$II$104,$B16,210)*KX16=1,IF(AND($E16=2,UE16=0),1000000,INDEX('計算A'!HE$110:HE$114,$F16+1)+IF(AND($E16=1,UE16=0),1000,0)),1000000))</f>
        <v/>
      </c>
      <c r="ADM16">
        <f>IF($B16=0,1000000,IF(INDEX('計算A'!$D$60:$II$104,$B16,211)*KY16=1,IF(AND($E16=2,UF16=0),1000000,INDEX('計算A'!HF$110:HF$114,$F16+1)+IF(AND($E16=1,UF16=0),1000,0)),1000000))</f>
        <v/>
      </c>
      <c r="ADN16">
        <f>IF($B16=0,1000000,IF(INDEX('計算A'!$D$60:$II$104,$B16,212)*KZ16=1,IF(AND($E16=2,UG16=0),1000000,INDEX('計算A'!HG$110:HG$114,$F16+1)+IF(AND($E16=1,UG16=0),1000,0)),1000000))</f>
        <v/>
      </c>
      <c r="ADO16">
        <f>IF($B16=0,1000000,IF(INDEX('計算A'!$D$60:$II$104,$B16,213)*LA16=1,IF(AND($E16=2,UH16=0),1000000,INDEX('計算A'!HH$110:HH$114,$F16+1)+IF(AND($E16=1,UH16=0),1000,0)),1000000))</f>
        <v/>
      </c>
      <c r="ADP16">
        <f>IF($B16=0,1000000,IF(INDEX('計算A'!$D$60:$II$104,$B16,214)*LB16=1,IF(AND($E16=2,UI16=0),1000000,INDEX('計算A'!HI$110:HI$114,$F16+1)+IF(AND($E16=1,UI16=0),1000,0)),1000000))</f>
        <v/>
      </c>
      <c r="ADQ16">
        <f>IF($B16=0,1000000,IF(INDEX('計算A'!$D$60:$II$104,$B16,215)*LC16=1,IF(AND($E16=2,UJ16=0),1000000,INDEX('計算A'!HJ$110:HJ$114,$F16+1)+IF(AND($E16=1,UJ16=0),1000,0)),1000000))</f>
        <v/>
      </c>
      <c r="ADR16">
        <f>IF($B16=0,1000000,IF(INDEX('計算A'!$D$60:$II$104,$B16,216)*LD16=1,IF(AND($E16=2,UK16=0),1000000,INDEX('計算A'!HK$110:HK$114,$F16+1)+IF(AND($E16=1,UK16=0),1000,0)),1000000))</f>
        <v/>
      </c>
      <c r="ADS16">
        <f>IF($B16=0,1000000,IF(INDEX('計算A'!$D$60:$II$104,$B16,217)*LE16=1,IF(AND($E16=2,UL16=0),1000000,INDEX('計算A'!HL$110:HL$114,$F16+1)+IF(AND($E16=1,UL16=0),1000,0)),1000000))</f>
        <v/>
      </c>
      <c r="ADT16">
        <f>IF($B16=0,1000000,IF(INDEX('計算A'!$D$60:$II$104,$B16,218)*LF16=1,IF(AND($E16=2,UM16=0),1000000,INDEX('計算A'!HM$110:HM$114,$F16+1)+IF(AND($E16=1,UM16=0),1000,0)),1000000))</f>
        <v/>
      </c>
      <c r="ADU16">
        <f>IF($B16=0,1000000,IF(INDEX('計算A'!$D$60:$II$104,$B16,219)*LG16=1,IF(AND($E16=2,UN16=0),1000000,INDEX('計算A'!HN$110:HN$114,$F16+1)+IF(AND($E16=1,UN16=0),1000,0)),1000000))</f>
        <v/>
      </c>
      <c r="ADV16">
        <f>IF($B16=0,1000000,IF(INDEX('計算A'!$D$60:$II$104,$B16,220)*LH16=1,IF(AND($E16=2,UO16=0),1000000,INDEX('計算A'!HO$110:HO$114,$F16+1)+IF(AND($E16=1,UO16=0),1000,0)),1000000))</f>
        <v/>
      </c>
      <c r="ADW16">
        <f>IF($B16=0,1000000,IF(INDEX('計算A'!$D$60:$II$104,$B16,221)*LI16=1,IF(AND($E16=2,UP16=0),1000000,INDEX('計算A'!HP$110:HP$114,$F16+1)+IF(AND($E16=1,UP16=0),1000,0)),1000000))</f>
        <v/>
      </c>
      <c r="ADX16">
        <f>IF($B16=0,1000000,IF(INDEX('計算A'!$D$60:$II$104,$B16,222)*LJ16=1,IF(AND($E16=2,UQ16=0),1000000,INDEX('計算A'!HQ$110:HQ$114,$F16+1)+IF(AND($E16=1,UQ16=0),1000,0)),1000000))</f>
        <v/>
      </c>
      <c r="ADY16">
        <f>IF($B16=0,1000000,IF(INDEX('計算A'!$D$60:$II$104,$B16,223)*LK16=1,IF(AND($E16=2,UR16=0),1000000,INDEX('計算A'!HR$110:HR$114,$F16+1)+IF(AND($E16=1,UR16=0),1000,0)),1000000))</f>
        <v/>
      </c>
      <c r="ADZ16">
        <f>IF($B16=0,1000000,IF(INDEX('計算A'!$D$60:$II$104,$B16,224)*LL16=1,IF(AND($E16=2,US16=0),1000000,INDEX('計算A'!HS$110:HS$114,$F16+1)+IF(AND($E16=1,US16=0),1000,0)),1000000))</f>
        <v/>
      </c>
      <c r="AEA16">
        <f>IF($B16=0,1000000,IF(INDEX('計算A'!$D$60:$II$104,$B16,225)*LM16=1,IF(AND($E16=2,UT16=0),1000000,INDEX('計算A'!HT$110:HT$114,$F16+1)+IF(AND($E16=1,UT16=0),1000,0)),1000000))</f>
        <v/>
      </c>
      <c r="AEB16">
        <f>IF($B16=0,1000000,IF(INDEX('計算A'!$D$60:$II$104,$B16,226)*LN16=1,IF(AND($E16=2,UU16=0),1000000,INDEX('計算A'!HU$110:HU$114,$F16+1)+IF(AND($E16=1,UU16=0),1000,0)),1000000))</f>
        <v/>
      </c>
      <c r="AEC16">
        <f>IF($B16=0,1000000,IF(INDEX('計算A'!$D$60:$II$104,$B16,227)*LO16=1,IF(AND($E16=2,UV16=0),1000000,INDEX('計算A'!HV$110:HV$114,$F16+1)+IF(AND($E16=1,UV16=0),1000,0)),1000000))</f>
        <v/>
      </c>
      <c r="AED16">
        <f>IF($B16=0,1000000,IF(INDEX('計算A'!$D$60:$II$104,$B16,228)*LP16=1,IF(AND($E16=2,UW16=0),1000000,INDEX('計算A'!HW$110:HW$114,$F16+1)+IF(AND($E16=1,UW16=0),1000,0)),1000000))</f>
        <v/>
      </c>
      <c r="AEE16">
        <f>IF($B16=0,1000000,IF(INDEX('計算A'!$D$60:$II$104,$B16,229)*LQ16=1,IF(AND($E16=2,UX16=0),1000000,INDEX('計算A'!HX$110:HX$114,$F16+1)+IF(AND($E16=1,UX16=0),1000,0)),1000000))</f>
        <v/>
      </c>
      <c r="AEF16">
        <f>IF($B16=0,1000000,IF(INDEX('計算A'!$D$60:$II$104,$B16,230)*LR16=1,IF(AND($E16=2,UY16=0),1000000,INDEX('計算A'!HY$110:HY$114,$F16+1)+IF(AND($E16=1,UY16=0),1000,0)),1000000))</f>
        <v/>
      </c>
      <c r="AEG16">
        <f>IF($B16=0,1000000,IF(INDEX('計算A'!$D$60:$II$104,$B16,231)*LS16=1,IF(AND($E16=2,UZ16=0),1000000,INDEX('計算A'!HZ$110:HZ$114,$F16+1)+IF(AND($E16=1,UZ16=0),1000,0)),1000000))</f>
        <v/>
      </c>
      <c r="AEH16">
        <f>IF($B16=0,1000000,IF(INDEX('計算A'!$D$60:$II$104,$B16,232)*LT16=1,IF(AND($E16=2,VA16=0),1000000,INDEX('計算A'!IA$110:IA$114,$F16+1)+IF(AND($E16=1,VA16=0),1000,0)),1000000))</f>
        <v/>
      </c>
      <c r="AEI16">
        <f>IF($B16=0,1000000,IF(INDEX('計算A'!$D$60:$II$104,$B16,233)*LU16=1,IF(AND($E16=2,VB16=0),1000000,INDEX('計算A'!IB$110:IB$114,$F16+1)+IF(AND($E16=1,VB16=0),1000,0)),1000000))</f>
        <v/>
      </c>
      <c r="AEJ16">
        <f>IF($B16=0,1000000,IF(INDEX('計算A'!$D$60:$II$104,$B16,234)*LV16=1,IF(AND($E16=2,VC16=0),1000000,INDEX('計算A'!IC$110:IC$114,$F16+1)+IF(AND($E16=1,VC16=0),1000,0)),1000000))</f>
        <v/>
      </c>
      <c r="AEK16">
        <f>IF($B16=0,1000000,IF(INDEX('計算A'!$D$60:$II$104,$B16,235)*LW16=1,IF(AND($E16=2,VD16=0),1000000,INDEX('計算A'!ID$110:ID$114,$F16+1)+IF(AND($E16=1,VD16=0),1000,0)),1000000))</f>
        <v/>
      </c>
      <c r="AEL16">
        <f>IF($B16=0,1000000,IF(INDEX('計算A'!$D$60:$II$104,$B16,236)*LX16=1,IF(AND($E16=2,VE16=0),1000000,INDEX('計算A'!IE$110:IE$114,$F16+1)+IF(AND($E16=1,VE16=0),1000,0)),1000000))</f>
        <v/>
      </c>
      <c r="AEM16">
        <f>IF($B16=0,1000000,IF(INDEX('計算A'!$D$60:$II$104,$B16,237)*LY16=1,IF(AND($E16=2,VF16=0),1000000,INDEX('計算A'!IF$110:IF$114,$F16+1)+IF(AND($E16=1,VF16=0),1000,0)),1000000))</f>
        <v/>
      </c>
      <c r="AEN16">
        <f>IF($B16=0,1000000,IF(INDEX('計算A'!$D$60:$II$104,$B16,238)*LZ16=1,IF(AND($E16=2,VG16=0),1000000,INDEX('計算A'!IG$110:IG$114,$F16+1)+IF(AND($E16=1,VG16=0),1000,0)),1000000))</f>
        <v/>
      </c>
      <c r="AEO16">
        <f>IF($B16=0,1000000,IF(INDEX('計算A'!$D$60:$II$104,$B16,239)*MA16=1,IF(AND($E16=2,VH16=0),1000000,INDEX('計算A'!IH$110:IH$114,$F16+1)+IF(AND($E16=1,VH16=0),1000,0)),1000000))</f>
        <v/>
      </c>
      <c r="AEP16">
        <f>IF($B16=0,1000000,IF(INDEX('計算A'!$D$60:$II$104,$B16,240)*MB16=1,IF(AND($E16=2,VI16=0),1000000,INDEX('計算A'!II$110:II$114,$F16+1)+IF(AND($E16=1,VI16=0),1000,0)),1000000))</f>
        <v/>
      </c>
    </row>
    <row r="17">
      <c r="A17" t="n">
        <v>15</v>
      </c>
      <c r="B17">
        <f>IF(MIN(BC17:CU17)&gt;=1000000,0,MATCH(MIN(BC17:CU17),BC17:CU17,0))</f>
        <v/>
      </c>
      <c r="C17">
        <f>IF(MIN(VK17:AEP17)&gt;=1000000,0,MATCH(MIN(VK17:AEP17),VK17:AEP17,0))</f>
        <v/>
      </c>
      <c r="D17">
        <f>IF(C17&gt;0,INDEX('計算A'!$D$5:$II$5,C17),0)</f>
        <v/>
      </c>
      <c r="E17">
        <f>IF(B17=0,0,INDEX('計算A'!$IQ$10:$IQ$54,B17))</f>
        <v/>
      </c>
      <c r="F17">
        <f>IF(B17=0,0,INDEX('計算A'!$IP$10:$IP$54,B17))</f>
        <v/>
      </c>
      <c r="G17">
        <f>IF(AND(C17&gt;0,E17&gt;0),IF(AND(INDEX('計算A'!$D$106:$II$106,C17)=1,INDEX($MD17:$VI17,C17)=1),C17+1,0),0)</f>
        <v/>
      </c>
      <c r="I17">
        <f>MAX(I16,IF($B16=1,1,0))</f>
        <v/>
      </c>
      <c r="J17">
        <f>MAX(J16,IF($B16=2,1,0))</f>
        <v/>
      </c>
      <c r="K17">
        <f>MAX(K16,IF($B16=3,1,0))</f>
        <v/>
      </c>
      <c r="L17">
        <f>MAX(L16,IF($B16=4,1,0))</f>
        <v/>
      </c>
      <c r="M17">
        <f>MAX(M16,IF($B16=5,1,0))</f>
        <v/>
      </c>
      <c r="N17">
        <f>MAX(N16,IF($B16=6,1,0))</f>
        <v/>
      </c>
      <c r="O17">
        <f>MAX(O16,IF($B16=7,1,0))</f>
        <v/>
      </c>
      <c r="P17">
        <f>MAX(P16,IF($B16=8,1,0))</f>
        <v/>
      </c>
      <c r="Q17">
        <f>MAX(Q16,IF($B16=9,1,0))</f>
        <v/>
      </c>
      <c r="R17">
        <f>MAX(R16,IF($B16=10,1,0))</f>
        <v/>
      </c>
      <c r="S17">
        <f>MAX(S16,IF($B16=11,1,0))</f>
        <v/>
      </c>
      <c r="T17">
        <f>MAX(T16,IF($B16=12,1,0))</f>
        <v/>
      </c>
      <c r="U17">
        <f>MAX(U16,IF($B16=13,1,0))</f>
        <v/>
      </c>
      <c r="V17">
        <f>MAX(V16,IF($B16=14,1,0))</f>
        <v/>
      </c>
      <c r="W17">
        <f>MAX(W16,IF($B16=15,1,0))</f>
        <v/>
      </c>
      <c r="X17">
        <f>MAX(X16,IF($B16=16,1,0))</f>
        <v/>
      </c>
      <c r="Y17">
        <f>MAX(Y16,IF($B16=17,1,0))</f>
        <v/>
      </c>
      <c r="Z17">
        <f>MAX(Z16,IF($B16=18,1,0))</f>
        <v/>
      </c>
      <c r="AA17">
        <f>MAX(AA16,IF($B16=19,1,0))</f>
        <v/>
      </c>
      <c r="AB17">
        <f>MAX(AB16,IF($B16=20,1,0))</f>
        <v/>
      </c>
      <c r="AC17">
        <f>MAX(AC16,IF($B16=21,1,0))</f>
        <v/>
      </c>
      <c r="AD17">
        <f>MAX(AD16,IF($B16=22,1,0))</f>
        <v/>
      </c>
      <c r="AE17">
        <f>MAX(AE16,IF($B16=23,1,0))</f>
        <v/>
      </c>
      <c r="AF17">
        <f>MAX(AF16,IF($B16=24,1,0))</f>
        <v/>
      </c>
      <c r="AG17">
        <f>MAX(AG16,IF($B16=25,1,0))</f>
        <v/>
      </c>
      <c r="AH17">
        <f>MAX(AH16,IF($B16=26,1,0))</f>
        <v/>
      </c>
      <c r="AI17">
        <f>MAX(AI16,IF($B16=27,1,0))</f>
        <v/>
      </c>
      <c r="AJ17">
        <f>MAX(AJ16,IF($B16=28,1,0))</f>
        <v/>
      </c>
      <c r="AK17">
        <f>MAX(AK16,IF($B16=29,1,0))</f>
        <v/>
      </c>
      <c r="AL17">
        <f>MAX(AL16,IF($B16=30,1,0))</f>
        <v/>
      </c>
      <c r="AM17">
        <f>MAX(AM16,IF($B16=31,1,0))</f>
        <v/>
      </c>
      <c r="AN17">
        <f>MAX(AN16,IF($B16=32,1,0))</f>
        <v/>
      </c>
      <c r="AO17">
        <f>MAX(AO16,IF($B16=33,1,0))</f>
        <v/>
      </c>
      <c r="AP17">
        <f>MAX(AP16,IF($B16=34,1,0))</f>
        <v/>
      </c>
      <c r="AQ17">
        <f>MAX(AQ16,IF($B16=35,1,0))</f>
        <v/>
      </c>
      <c r="AR17">
        <f>MAX(AR16,IF($B16=36,1,0))</f>
        <v/>
      </c>
      <c r="AS17">
        <f>MAX(AS16,IF($B16=37,1,0))</f>
        <v/>
      </c>
      <c r="AT17">
        <f>MAX(AT16,IF($B16=38,1,0))</f>
        <v/>
      </c>
      <c r="AU17">
        <f>MAX(AU16,IF($B16=39,1,0))</f>
        <v/>
      </c>
      <c r="AV17">
        <f>MAX(AV16,IF($B16=40,1,0))</f>
        <v/>
      </c>
      <c r="AW17">
        <f>MAX(AW16,IF($B16=41,1,0))</f>
        <v/>
      </c>
      <c r="AX17">
        <f>MAX(AX16,IF($B16=42,1,0))</f>
        <v/>
      </c>
      <c r="AY17">
        <f>MAX(AY16,IF($B16=43,1,0))</f>
        <v/>
      </c>
      <c r="AZ17">
        <f>MAX(AZ16,IF($B16=44,1,0))</f>
        <v/>
      </c>
      <c r="BA17">
        <f>MAX(BA16,IF($B16=45,1,0))</f>
        <v/>
      </c>
      <c r="BC17">
        <f>IF(I17=1,1000000,IF('計算A'!$IQ$10=2,SUMPRODUCT('計算A'!$D$60:$II$60,$CW17:$MB17,$MD17:$VI17),SUMPRODUCT('計算A'!$D$60:$II$60,$CW17:$MB17))*1000+1)</f>
        <v/>
      </c>
      <c r="BD17">
        <f>IF(J17=1,1000000,IF('計算A'!$IQ$11=2,SUMPRODUCT('計算A'!$D$61:$II$61,$CW17:$MB17,$MD17:$VI17),SUMPRODUCT('計算A'!$D$61:$II$61,$CW17:$MB17))*1000+2)</f>
        <v/>
      </c>
      <c r="BE17">
        <f>IF(K17=1,1000000,IF('計算A'!$IQ$12=2,SUMPRODUCT('計算A'!$D$62:$II$62,$CW17:$MB17,$MD17:$VI17),SUMPRODUCT('計算A'!$D$62:$II$62,$CW17:$MB17))*1000+3)</f>
        <v/>
      </c>
      <c r="BF17">
        <f>IF(L17=1,1000000,IF('計算A'!$IQ$13=2,SUMPRODUCT('計算A'!$D$63:$II$63,$CW17:$MB17,$MD17:$VI17),SUMPRODUCT('計算A'!$D$63:$II$63,$CW17:$MB17))*1000+4)</f>
        <v/>
      </c>
      <c r="BG17">
        <f>IF(M17=1,1000000,IF('計算A'!$IQ$14=2,SUMPRODUCT('計算A'!$D$64:$II$64,$CW17:$MB17,$MD17:$VI17),SUMPRODUCT('計算A'!$D$64:$II$64,$CW17:$MB17))*1000+5)</f>
        <v/>
      </c>
      <c r="BH17">
        <f>IF(N17=1,1000000,IF('計算A'!$IQ$15=2,SUMPRODUCT('計算A'!$D$65:$II$65,$CW17:$MB17,$MD17:$VI17),SUMPRODUCT('計算A'!$D$65:$II$65,$CW17:$MB17))*1000+6)</f>
        <v/>
      </c>
      <c r="BI17">
        <f>IF(O17=1,1000000,IF('計算A'!$IQ$16=2,SUMPRODUCT('計算A'!$D$66:$II$66,$CW17:$MB17,$MD17:$VI17),SUMPRODUCT('計算A'!$D$66:$II$66,$CW17:$MB17))*1000+7)</f>
        <v/>
      </c>
      <c r="BJ17">
        <f>IF(P17=1,1000000,IF('計算A'!$IQ$17=2,SUMPRODUCT('計算A'!$D$67:$II$67,$CW17:$MB17,$MD17:$VI17),SUMPRODUCT('計算A'!$D$67:$II$67,$CW17:$MB17))*1000+8)</f>
        <v/>
      </c>
      <c r="BK17">
        <f>IF(Q17=1,1000000,IF('計算A'!$IQ$18=2,SUMPRODUCT('計算A'!$D$68:$II$68,$CW17:$MB17,$MD17:$VI17),SUMPRODUCT('計算A'!$D$68:$II$68,$CW17:$MB17))*1000+9)</f>
        <v/>
      </c>
      <c r="BL17">
        <f>IF(R17=1,1000000,IF('計算A'!$IQ$19=2,SUMPRODUCT('計算A'!$D$69:$II$69,$CW17:$MB17,$MD17:$VI17),SUMPRODUCT('計算A'!$D$69:$II$69,$CW17:$MB17))*1000+10)</f>
        <v/>
      </c>
      <c r="BM17">
        <f>IF(S17=1,1000000,IF('計算A'!$IQ$20=2,SUMPRODUCT('計算A'!$D$70:$II$70,$CW17:$MB17,$MD17:$VI17),SUMPRODUCT('計算A'!$D$70:$II$70,$CW17:$MB17))*1000+11)</f>
        <v/>
      </c>
      <c r="BN17">
        <f>IF(T17=1,1000000,IF('計算A'!$IQ$21=2,SUMPRODUCT('計算A'!$D$71:$II$71,$CW17:$MB17,$MD17:$VI17),SUMPRODUCT('計算A'!$D$71:$II$71,$CW17:$MB17))*1000+12)</f>
        <v/>
      </c>
      <c r="BO17">
        <f>IF(U17=1,1000000,IF('計算A'!$IQ$22=2,SUMPRODUCT('計算A'!$D$72:$II$72,$CW17:$MB17,$MD17:$VI17),SUMPRODUCT('計算A'!$D$72:$II$72,$CW17:$MB17))*1000+13)</f>
        <v/>
      </c>
      <c r="BP17">
        <f>IF(V17=1,1000000,IF('計算A'!$IQ$23=2,SUMPRODUCT('計算A'!$D$73:$II$73,$CW17:$MB17,$MD17:$VI17),SUMPRODUCT('計算A'!$D$73:$II$73,$CW17:$MB17))*1000+14)</f>
        <v/>
      </c>
      <c r="BQ17">
        <f>IF(W17=1,1000000,IF('計算A'!$IQ$24=2,SUMPRODUCT('計算A'!$D$74:$II$74,$CW17:$MB17,$MD17:$VI17),SUMPRODUCT('計算A'!$D$74:$II$74,$CW17:$MB17))*1000+15)</f>
        <v/>
      </c>
      <c r="BR17">
        <f>IF(X17=1,1000000,IF('計算A'!$IQ$25=2,SUMPRODUCT('計算A'!$D$75:$II$75,$CW17:$MB17,$MD17:$VI17),SUMPRODUCT('計算A'!$D$75:$II$75,$CW17:$MB17))*1000+16)</f>
        <v/>
      </c>
      <c r="BS17">
        <f>IF(Y17=1,1000000,IF('計算A'!$IQ$26=2,SUMPRODUCT('計算A'!$D$76:$II$76,$CW17:$MB17,$MD17:$VI17),SUMPRODUCT('計算A'!$D$76:$II$76,$CW17:$MB17))*1000+17)</f>
        <v/>
      </c>
      <c r="BT17">
        <f>IF(Z17=1,1000000,IF('計算A'!$IQ$27=2,SUMPRODUCT('計算A'!$D$77:$II$77,$CW17:$MB17,$MD17:$VI17),SUMPRODUCT('計算A'!$D$77:$II$77,$CW17:$MB17))*1000+18)</f>
        <v/>
      </c>
      <c r="BU17">
        <f>IF(AA17=1,1000000,IF('計算A'!$IQ$28=2,SUMPRODUCT('計算A'!$D$78:$II$78,$CW17:$MB17,$MD17:$VI17),SUMPRODUCT('計算A'!$D$78:$II$78,$CW17:$MB17))*1000+19)</f>
        <v/>
      </c>
      <c r="BV17">
        <f>IF(AB17=1,1000000,IF('計算A'!$IQ$29=2,SUMPRODUCT('計算A'!$D$79:$II$79,$CW17:$MB17,$MD17:$VI17),SUMPRODUCT('計算A'!$D$79:$II$79,$CW17:$MB17))*1000+20)</f>
        <v/>
      </c>
      <c r="BW17">
        <f>IF(AC17=1,1000000,IF('計算A'!$IQ$30=2,SUMPRODUCT('計算A'!$D$80:$II$80,$CW17:$MB17,$MD17:$VI17),SUMPRODUCT('計算A'!$D$80:$II$80,$CW17:$MB17))*1000+21)</f>
        <v/>
      </c>
      <c r="BX17">
        <f>IF(AD17=1,1000000,IF('計算A'!$IQ$31=2,SUMPRODUCT('計算A'!$D$81:$II$81,$CW17:$MB17,$MD17:$VI17),SUMPRODUCT('計算A'!$D$81:$II$81,$CW17:$MB17))*1000+22)</f>
        <v/>
      </c>
      <c r="BY17">
        <f>IF(AE17=1,1000000,IF('計算A'!$IQ$32=2,SUMPRODUCT('計算A'!$D$82:$II$82,$CW17:$MB17,$MD17:$VI17),SUMPRODUCT('計算A'!$D$82:$II$82,$CW17:$MB17))*1000+23)</f>
        <v/>
      </c>
      <c r="BZ17">
        <f>IF(AF17=1,1000000,IF('計算A'!$IQ$33=2,SUMPRODUCT('計算A'!$D$83:$II$83,$CW17:$MB17,$MD17:$VI17),SUMPRODUCT('計算A'!$D$83:$II$83,$CW17:$MB17))*1000+24)</f>
        <v/>
      </c>
      <c r="CA17">
        <f>IF(AG17=1,1000000,IF('計算A'!$IQ$34=2,SUMPRODUCT('計算A'!$D$84:$II$84,$CW17:$MB17,$MD17:$VI17),SUMPRODUCT('計算A'!$D$84:$II$84,$CW17:$MB17))*1000+25)</f>
        <v/>
      </c>
      <c r="CB17">
        <f>IF(AH17=1,1000000,IF('計算A'!$IQ$35=2,SUMPRODUCT('計算A'!$D$85:$II$85,$CW17:$MB17,$MD17:$VI17),SUMPRODUCT('計算A'!$D$85:$II$85,$CW17:$MB17))*1000+26)</f>
        <v/>
      </c>
      <c r="CC17">
        <f>IF(AI17=1,1000000,IF('計算A'!$IQ$36=2,SUMPRODUCT('計算A'!$D$86:$II$86,$CW17:$MB17,$MD17:$VI17),SUMPRODUCT('計算A'!$D$86:$II$86,$CW17:$MB17))*1000+27)</f>
        <v/>
      </c>
      <c r="CD17">
        <f>IF(AJ17=1,1000000,IF('計算A'!$IQ$37=2,SUMPRODUCT('計算A'!$D$87:$II$87,$CW17:$MB17,$MD17:$VI17),SUMPRODUCT('計算A'!$D$87:$II$87,$CW17:$MB17))*1000+28)</f>
        <v/>
      </c>
      <c r="CE17">
        <f>IF(AK17=1,1000000,IF('計算A'!$IQ$38=2,SUMPRODUCT('計算A'!$D$88:$II$88,$CW17:$MB17,$MD17:$VI17),SUMPRODUCT('計算A'!$D$88:$II$88,$CW17:$MB17))*1000+29)</f>
        <v/>
      </c>
      <c r="CF17">
        <f>IF(AL17=1,1000000,IF('計算A'!$IQ$39=2,SUMPRODUCT('計算A'!$D$89:$II$89,$CW17:$MB17,$MD17:$VI17),SUMPRODUCT('計算A'!$D$89:$II$89,$CW17:$MB17))*1000+30)</f>
        <v/>
      </c>
      <c r="CG17">
        <f>IF(AM17=1,1000000,IF('計算A'!$IQ$40=2,SUMPRODUCT('計算A'!$D$90:$II$90,$CW17:$MB17,$MD17:$VI17),SUMPRODUCT('計算A'!$D$90:$II$90,$CW17:$MB17))*1000+31)</f>
        <v/>
      </c>
      <c r="CH17">
        <f>IF(AN17=1,1000000,IF('計算A'!$IQ$41=2,SUMPRODUCT('計算A'!$D$91:$II$91,$CW17:$MB17,$MD17:$VI17),SUMPRODUCT('計算A'!$D$91:$II$91,$CW17:$MB17))*1000+32)</f>
        <v/>
      </c>
      <c r="CI17">
        <f>IF(AO17=1,1000000,IF('計算A'!$IQ$42=2,SUMPRODUCT('計算A'!$D$92:$II$92,$CW17:$MB17,$MD17:$VI17),SUMPRODUCT('計算A'!$D$92:$II$92,$CW17:$MB17))*1000+33)</f>
        <v/>
      </c>
      <c r="CJ17">
        <f>IF(AP17=1,1000000,IF('計算A'!$IQ$43=2,SUMPRODUCT('計算A'!$D$93:$II$93,$CW17:$MB17,$MD17:$VI17),SUMPRODUCT('計算A'!$D$93:$II$93,$CW17:$MB17))*1000+34)</f>
        <v/>
      </c>
      <c r="CK17">
        <f>IF(AQ17=1,1000000,IF('計算A'!$IQ$44=2,SUMPRODUCT('計算A'!$D$94:$II$94,$CW17:$MB17,$MD17:$VI17),SUMPRODUCT('計算A'!$D$94:$II$94,$CW17:$MB17))*1000+35)</f>
        <v/>
      </c>
      <c r="CL17">
        <f>IF(AR17=1,1000000,IF('計算A'!$IQ$45=2,SUMPRODUCT('計算A'!$D$95:$II$95,$CW17:$MB17,$MD17:$VI17),SUMPRODUCT('計算A'!$D$95:$II$95,$CW17:$MB17))*1000+36)</f>
        <v/>
      </c>
      <c r="CM17">
        <f>IF(AS17=1,1000000,IF('計算A'!$IQ$46=2,SUMPRODUCT('計算A'!$D$96:$II$96,$CW17:$MB17,$MD17:$VI17),SUMPRODUCT('計算A'!$D$96:$II$96,$CW17:$MB17))*1000+37)</f>
        <v/>
      </c>
      <c r="CN17">
        <f>IF(AT17=1,1000000,IF('計算A'!$IQ$47=2,SUMPRODUCT('計算A'!$D$97:$II$97,$CW17:$MB17,$MD17:$VI17),SUMPRODUCT('計算A'!$D$97:$II$97,$CW17:$MB17))*1000+38)</f>
        <v/>
      </c>
      <c r="CO17">
        <f>IF(AU17=1,1000000,IF('計算A'!$IQ$48=2,SUMPRODUCT('計算A'!$D$98:$II$98,$CW17:$MB17,$MD17:$VI17),SUMPRODUCT('計算A'!$D$98:$II$98,$CW17:$MB17))*1000+39)</f>
        <v/>
      </c>
      <c r="CP17">
        <f>IF(AV17=1,1000000,IF('計算A'!$IQ$49=2,SUMPRODUCT('計算A'!$D$99:$II$99,$CW17:$MB17,$MD17:$VI17),SUMPRODUCT('計算A'!$D$99:$II$99,$CW17:$MB17))*1000+40)</f>
        <v/>
      </c>
      <c r="CQ17">
        <f>IF(AW17=1,1000000,IF('計算A'!$IQ$50=2,SUMPRODUCT('計算A'!$D$100:$II$100,$CW17:$MB17,$MD17:$VI17),SUMPRODUCT('計算A'!$D$100:$II$100,$CW17:$MB17))*1000+41)</f>
        <v/>
      </c>
      <c r="CR17">
        <f>IF(AX17=1,1000000,IF('計算A'!$IQ$51=2,SUMPRODUCT('計算A'!$D$101:$II$101,$CW17:$MB17,$MD17:$VI17),SUMPRODUCT('計算A'!$D$101:$II$101,$CW17:$MB17))*1000+42)</f>
        <v/>
      </c>
      <c r="CS17">
        <f>IF(AY17=1,1000000,IF('計算A'!$IQ$52=2,SUMPRODUCT('計算A'!$D$102:$II$102,$CW17:$MB17,$MD17:$VI17),SUMPRODUCT('計算A'!$D$102:$II$102,$CW17:$MB17))*1000+43)</f>
        <v/>
      </c>
      <c r="CT17">
        <f>IF(AZ17=1,1000000,IF('計算A'!$IQ$53=2,SUMPRODUCT('計算A'!$D$103:$II$103,$CW17:$MB17,$MD17:$VI17),SUMPRODUCT('計算A'!$D$103:$II$103,$CW17:$MB17))*1000+44)</f>
        <v/>
      </c>
      <c r="CU17">
        <f>IF(BA17=1,1000000,IF('計算A'!$IQ$54=2,SUMPRODUCT('計算A'!$D$104:$II$104,$CW17:$MB17,$MD17:$VI17),SUMPRODUCT('計算A'!$D$104:$II$104,$CW17:$MB17))*1000+45)</f>
        <v/>
      </c>
      <c r="CW17">
        <f>CW16*IF(OR($C16=1,$G16=1),0,1)</f>
        <v/>
      </c>
      <c r="CX17">
        <f>CX16*IF(OR($C16=2,$G16=2),0,1)</f>
        <v/>
      </c>
      <c r="CY17">
        <f>CY16*IF(OR($C16=3,$G16=3),0,1)</f>
        <v/>
      </c>
      <c r="CZ17">
        <f>CZ16*IF(OR($C16=4,$G16=4),0,1)</f>
        <v/>
      </c>
      <c r="DA17">
        <f>DA16*IF(OR($C16=5,$G16=5),0,1)</f>
        <v/>
      </c>
      <c r="DB17">
        <f>DB16*IF(OR($C16=6,$G16=6),0,1)</f>
        <v/>
      </c>
      <c r="DC17">
        <f>DC16*IF(OR($C16=7,$G16=7),0,1)</f>
        <v/>
      </c>
      <c r="DD17">
        <f>DD16*IF(OR($C16=8,$G16=8),0,1)</f>
        <v/>
      </c>
      <c r="DE17">
        <f>DE16*IF(OR($C16=9,$G16=9),0,1)</f>
        <v/>
      </c>
      <c r="DF17">
        <f>DF16*IF(OR($C16=10,$G16=10),0,1)</f>
        <v/>
      </c>
      <c r="DG17">
        <f>DG16*IF(OR($C16=11,$G16=11),0,1)</f>
        <v/>
      </c>
      <c r="DH17">
        <f>DH16*IF(OR($C16=12,$G16=12),0,1)</f>
        <v/>
      </c>
      <c r="DI17">
        <f>DI16*IF(OR($C16=13,$G16=13),0,1)</f>
        <v/>
      </c>
      <c r="DJ17">
        <f>DJ16*IF(OR($C16=14,$G16=14),0,1)</f>
        <v/>
      </c>
      <c r="DK17">
        <f>DK16*IF(OR($C16=15,$G16=15),0,1)</f>
        <v/>
      </c>
      <c r="DL17">
        <f>DL16*IF(OR($C16=16,$G16=16),0,1)</f>
        <v/>
      </c>
      <c r="DM17">
        <f>DM16*IF(OR($C16=17,$G16=17),0,1)</f>
        <v/>
      </c>
      <c r="DN17">
        <f>DN16*IF(OR($C16=18,$G16=18),0,1)</f>
        <v/>
      </c>
      <c r="DO17">
        <f>DO16*IF(OR($C16=19,$G16=19),0,1)</f>
        <v/>
      </c>
      <c r="DP17">
        <f>DP16*IF(OR($C16=20,$G16=20),0,1)</f>
        <v/>
      </c>
      <c r="DQ17">
        <f>DQ16*IF(OR($C16=21,$G16=21),0,1)</f>
        <v/>
      </c>
      <c r="DR17">
        <f>DR16*IF(OR($C16=22,$G16=22),0,1)</f>
        <v/>
      </c>
      <c r="DS17">
        <f>DS16*IF(OR($C16=23,$G16=23),0,1)</f>
        <v/>
      </c>
      <c r="DT17">
        <f>DT16*IF(OR($C16=24,$G16=24),0,1)</f>
        <v/>
      </c>
      <c r="DU17">
        <f>DU16*IF(OR($C16=25,$G16=25),0,1)</f>
        <v/>
      </c>
      <c r="DV17">
        <f>DV16*IF(OR($C16=26,$G16=26),0,1)</f>
        <v/>
      </c>
      <c r="DW17">
        <f>DW16*IF(OR($C16=27,$G16=27),0,1)</f>
        <v/>
      </c>
      <c r="DX17">
        <f>DX16*IF(OR($C16=28,$G16=28),0,1)</f>
        <v/>
      </c>
      <c r="DY17">
        <f>DY16*IF(OR($C16=29,$G16=29),0,1)</f>
        <v/>
      </c>
      <c r="DZ17">
        <f>DZ16*IF(OR($C16=30,$G16=30),0,1)</f>
        <v/>
      </c>
      <c r="EA17">
        <f>EA16*IF(OR($C16=31,$G16=31),0,1)</f>
        <v/>
      </c>
      <c r="EB17">
        <f>EB16*IF(OR($C16=32,$G16=32),0,1)</f>
        <v/>
      </c>
      <c r="EC17">
        <f>EC16*IF(OR($C16=33,$G16=33),0,1)</f>
        <v/>
      </c>
      <c r="ED17">
        <f>ED16*IF(OR($C16=34,$G16=34),0,1)</f>
        <v/>
      </c>
      <c r="EE17">
        <f>EE16*IF(OR($C16=35,$G16=35),0,1)</f>
        <v/>
      </c>
      <c r="EF17">
        <f>EF16*IF(OR($C16=36,$G16=36),0,1)</f>
        <v/>
      </c>
      <c r="EG17">
        <f>EG16*IF(OR($C16=37,$G16=37),0,1)</f>
        <v/>
      </c>
      <c r="EH17">
        <f>EH16*IF(OR($C16=38,$G16=38),0,1)</f>
        <v/>
      </c>
      <c r="EI17">
        <f>EI16*IF(OR($C16=39,$G16=39),0,1)</f>
        <v/>
      </c>
      <c r="EJ17">
        <f>EJ16*IF(OR($C16=40,$G16=40),0,1)</f>
        <v/>
      </c>
      <c r="EK17">
        <f>EK16*IF(OR($C16=41,$G16=41),0,1)</f>
        <v/>
      </c>
      <c r="EL17">
        <f>EL16*IF(OR($C16=42,$G16=42),0,1)</f>
        <v/>
      </c>
      <c r="EM17">
        <f>EM16*IF(OR($C16=43,$G16=43),0,1)</f>
        <v/>
      </c>
      <c r="EN17">
        <f>EN16*IF(OR($C16=44,$G16=44),0,1)</f>
        <v/>
      </c>
      <c r="EO17">
        <f>EO16*IF(OR($C16=45,$G16=45),0,1)</f>
        <v/>
      </c>
      <c r="EP17">
        <f>EP16*IF(OR($C16=46,$G16=46),0,1)</f>
        <v/>
      </c>
      <c r="EQ17">
        <f>EQ16*IF(OR($C16=47,$G16=47),0,1)</f>
        <v/>
      </c>
      <c r="ER17">
        <f>ER16*IF(OR($C16=48,$G16=48),0,1)</f>
        <v/>
      </c>
      <c r="ES17">
        <f>ES16*IF(OR($C16=49,$G16=49),0,1)</f>
        <v/>
      </c>
      <c r="ET17">
        <f>ET16*IF(OR($C16=50,$G16=50),0,1)</f>
        <v/>
      </c>
      <c r="EU17">
        <f>EU16*IF(OR($C16=51,$G16=51),0,1)</f>
        <v/>
      </c>
      <c r="EV17">
        <f>EV16*IF(OR($C16=52,$G16=52),0,1)</f>
        <v/>
      </c>
      <c r="EW17">
        <f>EW16*IF(OR($C16=53,$G16=53),0,1)</f>
        <v/>
      </c>
      <c r="EX17">
        <f>EX16*IF(OR($C16=54,$G16=54),0,1)</f>
        <v/>
      </c>
      <c r="EY17">
        <f>EY16*IF(OR($C16=55,$G16=55),0,1)</f>
        <v/>
      </c>
      <c r="EZ17">
        <f>EZ16*IF(OR($C16=56,$G16=56),0,1)</f>
        <v/>
      </c>
      <c r="FA17">
        <f>FA16*IF(OR($C16=57,$G16=57),0,1)</f>
        <v/>
      </c>
      <c r="FB17">
        <f>FB16*IF(OR($C16=58,$G16=58),0,1)</f>
        <v/>
      </c>
      <c r="FC17">
        <f>FC16*IF(OR($C16=59,$G16=59),0,1)</f>
        <v/>
      </c>
      <c r="FD17">
        <f>FD16*IF(OR($C16=60,$G16=60),0,1)</f>
        <v/>
      </c>
      <c r="FE17">
        <f>FE16*IF(OR($C16=61,$G16=61),0,1)</f>
        <v/>
      </c>
      <c r="FF17">
        <f>FF16*IF(OR($C16=62,$G16=62),0,1)</f>
        <v/>
      </c>
      <c r="FG17">
        <f>FG16*IF(OR($C16=63,$G16=63),0,1)</f>
        <v/>
      </c>
      <c r="FH17">
        <f>FH16*IF(OR($C16=64,$G16=64),0,1)</f>
        <v/>
      </c>
      <c r="FI17">
        <f>FI16*IF(OR($C16=65,$G16=65),0,1)</f>
        <v/>
      </c>
      <c r="FJ17">
        <f>FJ16*IF(OR($C16=66,$G16=66),0,1)</f>
        <v/>
      </c>
      <c r="FK17">
        <f>FK16*IF(OR($C16=67,$G16=67),0,1)</f>
        <v/>
      </c>
      <c r="FL17">
        <f>FL16*IF(OR($C16=68,$G16=68),0,1)</f>
        <v/>
      </c>
      <c r="FM17">
        <f>FM16*IF(OR($C16=69,$G16=69),0,1)</f>
        <v/>
      </c>
      <c r="FN17">
        <f>FN16*IF(OR($C16=70,$G16=70),0,1)</f>
        <v/>
      </c>
      <c r="FO17">
        <f>FO16*IF(OR($C16=71,$G16=71),0,1)</f>
        <v/>
      </c>
      <c r="FP17">
        <f>FP16*IF(OR($C16=72,$G16=72),0,1)</f>
        <v/>
      </c>
      <c r="FQ17">
        <f>FQ16*IF(OR($C16=73,$G16=73),0,1)</f>
        <v/>
      </c>
      <c r="FR17">
        <f>FR16*IF(OR($C16=74,$G16=74),0,1)</f>
        <v/>
      </c>
      <c r="FS17">
        <f>FS16*IF(OR($C16=75,$G16=75),0,1)</f>
        <v/>
      </c>
      <c r="FT17">
        <f>FT16*IF(OR($C16=76,$G16=76),0,1)</f>
        <v/>
      </c>
      <c r="FU17">
        <f>FU16*IF(OR($C16=77,$G16=77),0,1)</f>
        <v/>
      </c>
      <c r="FV17">
        <f>FV16*IF(OR($C16=78,$G16=78),0,1)</f>
        <v/>
      </c>
      <c r="FW17">
        <f>FW16*IF(OR($C16=79,$G16=79),0,1)</f>
        <v/>
      </c>
      <c r="FX17">
        <f>FX16*IF(OR($C16=80,$G16=80),0,1)</f>
        <v/>
      </c>
      <c r="FY17">
        <f>FY16*IF(OR($C16=81,$G16=81),0,1)</f>
        <v/>
      </c>
      <c r="FZ17">
        <f>FZ16*IF(OR($C16=82,$G16=82),0,1)</f>
        <v/>
      </c>
      <c r="GA17">
        <f>GA16*IF(OR($C16=83,$G16=83),0,1)</f>
        <v/>
      </c>
      <c r="GB17">
        <f>GB16*IF(OR($C16=84,$G16=84),0,1)</f>
        <v/>
      </c>
      <c r="GC17">
        <f>GC16*IF(OR($C16=85,$G16=85),0,1)</f>
        <v/>
      </c>
      <c r="GD17">
        <f>GD16*IF(OR($C16=86,$G16=86),0,1)</f>
        <v/>
      </c>
      <c r="GE17">
        <f>GE16*IF(OR($C16=87,$G16=87),0,1)</f>
        <v/>
      </c>
      <c r="GF17">
        <f>GF16*IF(OR($C16=88,$G16=88),0,1)</f>
        <v/>
      </c>
      <c r="GG17">
        <f>GG16*IF(OR($C16=89,$G16=89),0,1)</f>
        <v/>
      </c>
      <c r="GH17">
        <f>GH16*IF(OR($C16=90,$G16=90),0,1)</f>
        <v/>
      </c>
      <c r="GI17">
        <f>GI16*IF(OR($C16=91,$G16=91),0,1)</f>
        <v/>
      </c>
      <c r="GJ17">
        <f>GJ16*IF(OR($C16=92,$G16=92),0,1)</f>
        <v/>
      </c>
      <c r="GK17">
        <f>GK16*IF(OR($C16=93,$G16=93),0,1)</f>
        <v/>
      </c>
      <c r="GL17">
        <f>GL16*IF(OR($C16=94,$G16=94),0,1)</f>
        <v/>
      </c>
      <c r="GM17">
        <f>GM16*IF(OR($C16=95,$G16=95),0,1)</f>
        <v/>
      </c>
      <c r="GN17">
        <f>GN16*IF(OR($C16=96,$G16=96),0,1)</f>
        <v/>
      </c>
      <c r="GO17">
        <f>GO16*IF(OR($C16=97,$G16=97),0,1)</f>
        <v/>
      </c>
      <c r="GP17">
        <f>GP16*IF(OR($C16=98,$G16=98),0,1)</f>
        <v/>
      </c>
      <c r="GQ17">
        <f>GQ16*IF(OR($C16=99,$G16=99),0,1)</f>
        <v/>
      </c>
      <c r="GR17">
        <f>GR16*IF(OR($C16=100,$G16=100),0,1)</f>
        <v/>
      </c>
      <c r="GS17">
        <f>GS16*IF(OR($C16=101,$G16=101),0,1)</f>
        <v/>
      </c>
      <c r="GT17">
        <f>GT16*IF(OR($C16=102,$G16=102),0,1)</f>
        <v/>
      </c>
      <c r="GU17">
        <f>GU16*IF(OR($C16=103,$G16=103),0,1)</f>
        <v/>
      </c>
      <c r="GV17">
        <f>GV16*IF(OR($C16=104,$G16=104),0,1)</f>
        <v/>
      </c>
      <c r="GW17">
        <f>GW16*IF(OR($C16=105,$G16=105),0,1)</f>
        <v/>
      </c>
      <c r="GX17">
        <f>GX16*IF(OR($C16=106,$G16=106),0,1)</f>
        <v/>
      </c>
      <c r="GY17">
        <f>GY16*IF(OR($C16=107,$G16=107),0,1)</f>
        <v/>
      </c>
      <c r="GZ17">
        <f>GZ16*IF(OR($C16=108,$G16=108),0,1)</f>
        <v/>
      </c>
      <c r="HA17">
        <f>HA16*IF(OR($C16=109,$G16=109),0,1)</f>
        <v/>
      </c>
      <c r="HB17">
        <f>HB16*IF(OR($C16=110,$G16=110),0,1)</f>
        <v/>
      </c>
      <c r="HC17">
        <f>HC16*IF(OR($C16=111,$G16=111),0,1)</f>
        <v/>
      </c>
      <c r="HD17">
        <f>HD16*IF(OR($C16=112,$G16=112),0,1)</f>
        <v/>
      </c>
      <c r="HE17">
        <f>HE16*IF(OR($C16=113,$G16=113),0,1)</f>
        <v/>
      </c>
      <c r="HF17">
        <f>HF16*IF(OR($C16=114,$G16=114),0,1)</f>
        <v/>
      </c>
      <c r="HG17">
        <f>HG16*IF(OR($C16=115,$G16=115),0,1)</f>
        <v/>
      </c>
      <c r="HH17">
        <f>HH16*IF(OR($C16=116,$G16=116),0,1)</f>
        <v/>
      </c>
      <c r="HI17">
        <f>HI16*IF(OR($C16=117,$G16=117),0,1)</f>
        <v/>
      </c>
      <c r="HJ17">
        <f>HJ16*IF(OR($C16=118,$G16=118),0,1)</f>
        <v/>
      </c>
      <c r="HK17">
        <f>HK16*IF(OR($C16=119,$G16=119),0,1)</f>
        <v/>
      </c>
      <c r="HL17">
        <f>HL16*IF(OR($C16=120,$G16=120),0,1)</f>
        <v/>
      </c>
      <c r="HM17">
        <f>HM16*IF(OR($C16=121,$G16=121),0,1)</f>
        <v/>
      </c>
      <c r="HN17">
        <f>HN16*IF(OR($C16=122,$G16=122),0,1)</f>
        <v/>
      </c>
      <c r="HO17">
        <f>HO16*IF(OR($C16=123,$G16=123),0,1)</f>
        <v/>
      </c>
      <c r="HP17">
        <f>HP16*IF(OR($C16=124,$G16=124),0,1)</f>
        <v/>
      </c>
      <c r="HQ17">
        <f>HQ16*IF(OR($C16=125,$G16=125),0,1)</f>
        <v/>
      </c>
      <c r="HR17">
        <f>HR16*IF(OR($C16=126,$G16=126),0,1)</f>
        <v/>
      </c>
      <c r="HS17">
        <f>HS16*IF(OR($C16=127,$G16=127),0,1)</f>
        <v/>
      </c>
      <c r="HT17">
        <f>HT16*IF(OR($C16=128,$G16=128),0,1)</f>
        <v/>
      </c>
      <c r="HU17">
        <f>HU16*IF(OR($C16=129,$G16=129),0,1)</f>
        <v/>
      </c>
      <c r="HV17">
        <f>HV16*IF(OR($C16=130,$G16=130),0,1)</f>
        <v/>
      </c>
      <c r="HW17">
        <f>HW16*IF(OR($C16=131,$G16=131),0,1)</f>
        <v/>
      </c>
      <c r="HX17">
        <f>HX16*IF(OR($C16=132,$G16=132),0,1)</f>
        <v/>
      </c>
      <c r="HY17">
        <f>HY16*IF(OR($C16=133,$G16=133),0,1)</f>
        <v/>
      </c>
      <c r="HZ17">
        <f>HZ16*IF(OR($C16=134,$G16=134),0,1)</f>
        <v/>
      </c>
      <c r="IA17">
        <f>IA16*IF(OR($C16=135,$G16=135),0,1)</f>
        <v/>
      </c>
      <c r="IB17">
        <f>IB16*IF(OR($C16=136,$G16=136),0,1)</f>
        <v/>
      </c>
      <c r="IC17">
        <f>IC16*IF(OR($C16=137,$G16=137),0,1)</f>
        <v/>
      </c>
      <c r="ID17">
        <f>ID16*IF(OR($C16=138,$G16=138),0,1)</f>
        <v/>
      </c>
      <c r="IE17">
        <f>IE16*IF(OR($C16=139,$G16=139),0,1)</f>
        <v/>
      </c>
      <c r="IF17">
        <f>IF16*IF(OR($C16=140,$G16=140),0,1)</f>
        <v/>
      </c>
      <c r="IG17">
        <f>IG16*IF(OR($C16=141,$G16=141),0,1)</f>
        <v/>
      </c>
      <c r="IH17">
        <f>IH16*IF(OR($C16=142,$G16=142),0,1)</f>
        <v/>
      </c>
      <c r="II17">
        <f>II16*IF(OR($C16=143,$G16=143),0,1)</f>
        <v/>
      </c>
      <c r="IJ17">
        <f>IJ16*IF(OR($C16=144,$G16=144),0,1)</f>
        <v/>
      </c>
      <c r="IK17">
        <f>IK16*IF(OR($C16=145,$G16=145),0,1)</f>
        <v/>
      </c>
      <c r="IL17">
        <f>IL16*IF(OR($C16=146,$G16=146),0,1)</f>
        <v/>
      </c>
      <c r="IM17">
        <f>IM16*IF(OR($C16=147,$G16=147),0,1)</f>
        <v/>
      </c>
      <c r="IN17">
        <f>IN16*IF(OR($C16=148,$G16=148),0,1)</f>
        <v/>
      </c>
      <c r="IO17">
        <f>IO16*IF(OR($C16=149,$G16=149),0,1)</f>
        <v/>
      </c>
      <c r="IP17">
        <f>IP16*IF(OR($C16=150,$G16=150),0,1)</f>
        <v/>
      </c>
      <c r="IQ17">
        <f>IQ16*IF(OR($C16=151,$G16=151),0,1)</f>
        <v/>
      </c>
      <c r="IR17">
        <f>IR16*IF(OR($C16=152,$G16=152),0,1)</f>
        <v/>
      </c>
      <c r="IS17">
        <f>IS16*IF(OR($C16=153,$G16=153),0,1)</f>
        <v/>
      </c>
      <c r="IT17">
        <f>IT16*IF(OR($C16=154,$G16=154),0,1)</f>
        <v/>
      </c>
      <c r="IU17">
        <f>IU16*IF(OR($C16=155,$G16=155),0,1)</f>
        <v/>
      </c>
      <c r="IV17">
        <f>IV16*IF(OR($C16=156,$G16=156),0,1)</f>
        <v/>
      </c>
      <c r="IW17">
        <f>IW16*IF(OR($C16=157,$G16=157),0,1)</f>
        <v/>
      </c>
      <c r="IX17">
        <f>IX16*IF(OR($C16=158,$G16=158),0,1)</f>
        <v/>
      </c>
      <c r="IY17">
        <f>IY16*IF(OR($C16=159,$G16=159),0,1)</f>
        <v/>
      </c>
      <c r="IZ17">
        <f>IZ16*IF(OR($C16=160,$G16=160),0,1)</f>
        <v/>
      </c>
      <c r="JA17">
        <f>JA16*IF(OR($C16=161,$G16=161),0,1)</f>
        <v/>
      </c>
      <c r="JB17">
        <f>JB16*IF(OR($C16=162,$G16=162),0,1)</f>
        <v/>
      </c>
      <c r="JC17">
        <f>JC16*IF(OR($C16=163,$G16=163),0,1)</f>
        <v/>
      </c>
      <c r="JD17">
        <f>JD16*IF(OR($C16=164,$G16=164),0,1)</f>
        <v/>
      </c>
      <c r="JE17">
        <f>JE16*IF(OR($C16=165,$G16=165),0,1)</f>
        <v/>
      </c>
      <c r="JF17">
        <f>JF16*IF(OR($C16=166,$G16=166),0,1)</f>
        <v/>
      </c>
      <c r="JG17">
        <f>JG16*IF(OR($C16=167,$G16=167),0,1)</f>
        <v/>
      </c>
      <c r="JH17">
        <f>JH16*IF(OR($C16=168,$G16=168),0,1)</f>
        <v/>
      </c>
      <c r="JI17">
        <f>JI16*IF(OR($C16=169,$G16=169),0,1)</f>
        <v/>
      </c>
      <c r="JJ17">
        <f>JJ16*IF(OR($C16=170,$G16=170),0,1)</f>
        <v/>
      </c>
      <c r="JK17">
        <f>JK16*IF(OR($C16=171,$G16=171),0,1)</f>
        <v/>
      </c>
      <c r="JL17">
        <f>JL16*IF(OR($C16=172,$G16=172),0,1)</f>
        <v/>
      </c>
      <c r="JM17">
        <f>JM16*IF(OR($C16=173,$G16=173),0,1)</f>
        <v/>
      </c>
      <c r="JN17">
        <f>JN16*IF(OR($C16=174,$G16=174),0,1)</f>
        <v/>
      </c>
      <c r="JO17">
        <f>JO16*IF(OR($C16=175,$G16=175),0,1)</f>
        <v/>
      </c>
      <c r="JP17">
        <f>JP16*IF(OR($C16=176,$G16=176),0,1)</f>
        <v/>
      </c>
      <c r="JQ17">
        <f>JQ16*IF(OR($C16=177,$G16=177),0,1)</f>
        <v/>
      </c>
      <c r="JR17">
        <f>JR16*IF(OR($C16=178,$G16=178),0,1)</f>
        <v/>
      </c>
      <c r="JS17">
        <f>JS16*IF(OR($C16=179,$G16=179),0,1)</f>
        <v/>
      </c>
      <c r="JT17">
        <f>JT16*IF(OR($C16=180,$G16=180),0,1)</f>
        <v/>
      </c>
      <c r="JU17">
        <f>JU16*IF(OR($C16=181,$G16=181),0,1)</f>
        <v/>
      </c>
      <c r="JV17">
        <f>JV16*IF(OR($C16=182,$G16=182),0,1)</f>
        <v/>
      </c>
      <c r="JW17">
        <f>JW16*IF(OR($C16=183,$G16=183),0,1)</f>
        <v/>
      </c>
      <c r="JX17">
        <f>JX16*IF(OR($C16=184,$G16=184),0,1)</f>
        <v/>
      </c>
      <c r="JY17">
        <f>JY16*IF(OR($C16=185,$G16=185),0,1)</f>
        <v/>
      </c>
      <c r="JZ17">
        <f>JZ16*IF(OR($C16=186,$G16=186),0,1)</f>
        <v/>
      </c>
      <c r="KA17">
        <f>KA16*IF(OR($C16=187,$G16=187),0,1)</f>
        <v/>
      </c>
      <c r="KB17">
        <f>KB16*IF(OR($C16=188,$G16=188),0,1)</f>
        <v/>
      </c>
      <c r="KC17">
        <f>KC16*IF(OR($C16=189,$G16=189),0,1)</f>
        <v/>
      </c>
      <c r="KD17">
        <f>KD16*IF(OR($C16=190,$G16=190),0,1)</f>
        <v/>
      </c>
      <c r="KE17">
        <f>KE16*IF(OR($C16=191,$G16=191),0,1)</f>
        <v/>
      </c>
      <c r="KF17">
        <f>KF16*IF(OR($C16=192,$G16=192),0,1)</f>
        <v/>
      </c>
      <c r="KG17">
        <f>KG16*IF(OR($C16=193,$G16=193),0,1)</f>
        <v/>
      </c>
      <c r="KH17">
        <f>KH16*IF(OR($C16=194,$G16=194),0,1)</f>
        <v/>
      </c>
      <c r="KI17">
        <f>KI16*IF(OR($C16=195,$G16=195),0,1)</f>
        <v/>
      </c>
      <c r="KJ17">
        <f>KJ16*IF(OR($C16=196,$G16=196),0,1)</f>
        <v/>
      </c>
      <c r="KK17">
        <f>KK16*IF(OR($C16=197,$G16=197),0,1)</f>
        <v/>
      </c>
      <c r="KL17">
        <f>KL16*IF(OR($C16=198,$G16=198),0,1)</f>
        <v/>
      </c>
      <c r="KM17">
        <f>KM16*IF(OR($C16=199,$G16=199),0,1)</f>
        <v/>
      </c>
      <c r="KN17">
        <f>KN16*IF(OR($C16=200,$G16=200),0,1)</f>
        <v/>
      </c>
      <c r="KO17">
        <f>KO16*IF(OR($C16=201,$G16=201),0,1)</f>
        <v/>
      </c>
      <c r="KP17">
        <f>KP16*IF(OR($C16=202,$G16=202),0,1)</f>
        <v/>
      </c>
      <c r="KQ17">
        <f>KQ16*IF(OR($C16=203,$G16=203),0,1)</f>
        <v/>
      </c>
      <c r="KR17">
        <f>KR16*IF(OR($C16=204,$G16=204),0,1)</f>
        <v/>
      </c>
      <c r="KS17">
        <f>KS16*IF(OR($C16=205,$G16=205),0,1)</f>
        <v/>
      </c>
      <c r="KT17">
        <f>KT16*IF(OR($C16=206,$G16=206),0,1)</f>
        <v/>
      </c>
      <c r="KU17">
        <f>KU16*IF(OR($C16=207,$G16=207),0,1)</f>
        <v/>
      </c>
      <c r="KV17">
        <f>KV16*IF(OR($C16=208,$G16=208),0,1)</f>
        <v/>
      </c>
      <c r="KW17">
        <f>KW16*IF(OR($C16=209,$G16=209),0,1)</f>
        <v/>
      </c>
      <c r="KX17">
        <f>KX16*IF(OR($C16=210,$G16=210),0,1)</f>
        <v/>
      </c>
      <c r="KY17">
        <f>KY16*IF(OR($C16=211,$G16=211),0,1)</f>
        <v/>
      </c>
      <c r="KZ17">
        <f>KZ16*IF(OR($C16=212,$G16=212),0,1)</f>
        <v/>
      </c>
      <c r="LA17">
        <f>LA16*IF(OR($C16=213,$G16=213),0,1)</f>
        <v/>
      </c>
      <c r="LB17">
        <f>LB16*IF(OR($C16=214,$G16=214),0,1)</f>
        <v/>
      </c>
      <c r="LC17">
        <f>LC16*IF(OR($C16=215,$G16=215),0,1)</f>
        <v/>
      </c>
      <c r="LD17">
        <f>LD16*IF(OR($C16=216,$G16=216),0,1)</f>
        <v/>
      </c>
      <c r="LE17">
        <f>LE16*IF(OR($C16=217,$G16=217),0,1)</f>
        <v/>
      </c>
      <c r="LF17">
        <f>LF16*IF(OR($C16=218,$G16=218),0,1)</f>
        <v/>
      </c>
      <c r="LG17">
        <f>LG16*IF(OR($C16=219,$G16=219),0,1)</f>
        <v/>
      </c>
      <c r="LH17">
        <f>LH16*IF(OR($C16=220,$G16=220),0,1)</f>
        <v/>
      </c>
      <c r="LI17">
        <f>LI16*IF(OR($C16=221,$G16=221),0,1)</f>
        <v/>
      </c>
      <c r="LJ17">
        <f>LJ16*IF(OR($C16=222,$G16=222),0,1)</f>
        <v/>
      </c>
      <c r="LK17">
        <f>LK16*IF(OR($C16=223,$G16=223),0,1)</f>
        <v/>
      </c>
      <c r="LL17">
        <f>LL16*IF(OR($C16=224,$G16=224),0,1)</f>
        <v/>
      </c>
      <c r="LM17">
        <f>LM16*IF(OR($C16=225,$G16=225),0,1)</f>
        <v/>
      </c>
      <c r="LN17">
        <f>LN16*IF(OR($C16=226,$G16=226),0,1)</f>
        <v/>
      </c>
      <c r="LO17">
        <f>LO16*IF(OR($C16=227,$G16=227),0,1)</f>
        <v/>
      </c>
      <c r="LP17">
        <f>LP16*IF(OR($C16=228,$G16=228),0,1)</f>
        <v/>
      </c>
      <c r="LQ17">
        <f>LQ16*IF(OR($C16=229,$G16=229),0,1)</f>
        <v/>
      </c>
      <c r="LR17">
        <f>LR16*IF(OR($C16=230,$G16=230),0,1)</f>
        <v/>
      </c>
      <c r="LS17">
        <f>LS16*IF(OR($C16=231,$G16=231),0,1)</f>
        <v/>
      </c>
      <c r="LT17">
        <f>LT16*IF(OR($C16=232,$G16=232),0,1)</f>
        <v/>
      </c>
      <c r="LU17">
        <f>LU16*IF(OR($C16=233,$G16=233),0,1)</f>
        <v/>
      </c>
      <c r="LV17">
        <f>LV16*IF(OR($C16=234,$G16=234),0,1)</f>
        <v/>
      </c>
      <c r="LW17">
        <f>LW16*IF(OR($C16=235,$G16=235),0,1)</f>
        <v/>
      </c>
      <c r="LX17">
        <f>LX16*IF(OR($C16=236,$G16=236),0,1)</f>
        <v/>
      </c>
      <c r="LY17">
        <f>LY16*IF(OR($C16=237,$G16=237),0,1)</f>
        <v/>
      </c>
      <c r="LZ17">
        <f>LZ16*IF(OR($C16=238,$G16=238),0,1)</f>
        <v/>
      </c>
      <c r="MA17">
        <f>MA16*IF(OR($C16=239,$G16=239),0,1)</f>
        <v/>
      </c>
      <c r="MB17">
        <f>MB16*IF(OR($C16=240,$G16=240),0,1)</f>
        <v/>
      </c>
      <c r="MD17">
        <f>IF('計算A'!D$106=1,CX17,1)</f>
        <v/>
      </c>
      <c r="ME17">
        <f>IF('計算A'!E$106=1,CY17,1)</f>
        <v/>
      </c>
      <c r="MF17">
        <f>IF('計算A'!F$106=1,CZ17,1)</f>
        <v/>
      </c>
      <c r="MG17">
        <f>IF('計算A'!G$106=1,DA17,1)</f>
        <v/>
      </c>
      <c r="MH17">
        <f>IF('計算A'!H$106=1,DB17,1)</f>
        <v/>
      </c>
      <c r="MI17">
        <f>IF('計算A'!I$106=1,DC17,1)</f>
        <v/>
      </c>
      <c r="MJ17">
        <f>IF('計算A'!J$106=1,DD17,1)</f>
        <v/>
      </c>
      <c r="MK17">
        <f>IF('計算A'!K$106=1,DE17,1)</f>
        <v/>
      </c>
      <c r="ML17">
        <f>IF('計算A'!L$106=1,DF17,1)</f>
        <v/>
      </c>
      <c r="MM17">
        <f>IF('計算A'!M$106=1,DG17,1)</f>
        <v/>
      </c>
      <c r="MN17">
        <f>IF('計算A'!N$106=1,DH17,1)</f>
        <v/>
      </c>
      <c r="MO17">
        <f>IF('計算A'!O$106=1,DI17,1)</f>
        <v/>
      </c>
      <c r="MP17">
        <f>IF('計算A'!P$106=1,DJ17,1)</f>
        <v/>
      </c>
      <c r="MQ17">
        <f>IF('計算A'!Q$106=1,DK17,1)</f>
        <v/>
      </c>
      <c r="MR17">
        <f>IF('計算A'!R$106=1,DL17,1)</f>
        <v/>
      </c>
      <c r="MS17">
        <f>IF('計算A'!S$106=1,DM17,1)</f>
        <v/>
      </c>
      <c r="MT17">
        <f>IF('計算A'!T$106=1,DN17,1)</f>
        <v/>
      </c>
      <c r="MU17">
        <f>IF('計算A'!U$106=1,DO17,1)</f>
        <v/>
      </c>
      <c r="MV17">
        <f>IF('計算A'!V$106=1,DP17,1)</f>
        <v/>
      </c>
      <c r="MW17">
        <f>IF('計算A'!W$106=1,DQ17,1)</f>
        <v/>
      </c>
      <c r="MX17">
        <f>IF('計算A'!X$106=1,DR17,1)</f>
        <v/>
      </c>
      <c r="MY17">
        <f>IF('計算A'!Y$106=1,DS17,1)</f>
        <v/>
      </c>
      <c r="MZ17">
        <f>IF('計算A'!Z$106=1,DT17,1)</f>
        <v/>
      </c>
      <c r="NA17">
        <f>IF('計算A'!AA$106=1,DU17,1)</f>
        <v/>
      </c>
      <c r="NB17">
        <f>IF('計算A'!AB$106=1,DV17,1)</f>
        <v/>
      </c>
      <c r="NC17">
        <f>IF('計算A'!AC$106=1,DW17,1)</f>
        <v/>
      </c>
      <c r="ND17">
        <f>IF('計算A'!AD$106=1,DX17,1)</f>
        <v/>
      </c>
      <c r="NE17">
        <f>IF('計算A'!AE$106=1,DY17,1)</f>
        <v/>
      </c>
      <c r="NF17">
        <f>IF('計算A'!AF$106=1,DZ17,1)</f>
        <v/>
      </c>
      <c r="NG17">
        <f>IF('計算A'!AG$106=1,EA17,1)</f>
        <v/>
      </c>
      <c r="NH17">
        <f>IF('計算A'!AH$106=1,EB17,1)</f>
        <v/>
      </c>
      <c r="NI17">
        <f>IF('計算A'!AI$106=1,EC17,1)</f>
        <v/>
      </c>
      <c r="NJ17">
        <f>IF('計算A'!AJ$106=1,ED17,1)</f>
        <v/>
      </c>
      <c r="NK17">
        <f>IF('計算A'!AK$106=1,EE17,1)</f>
        <v/>
      </c>
      <c r="NL17">
        <f>IF('計算A'!AL$106=1,EF17,1)</f>
        <v/>
      </c>
      <c r="NM17">
        <f>IF('計算A'!AM$106=1,EG17,1)</f>
        <v/>
      </c>
      <c r="NN17">
        <f>IF('計算A'!AN$106=1,EH17,1)</f>
        <v/>
      </c>
      <c r="NO17">
        <f>IF('計算A'!AO$106=1,EI17,1)</f>
        <v/>
      </c>
      <c r="NP17">
        <f>IF('計算A'!AP$106=1,EJ17,1)</f>
        <v/>
      </c>
      <c r="NQ17">
        <f>IF('計算A'!AQ$106=1,EK17,1)</f>
        <v/>
      </c>
      <c r="NR17">
        <f>IF('計算A'!AR$106=1,EL17,1)</f>
        <v/>
      </c>
      <c r="NS17">
        <f>IF('計算A'!AS$106=1,EM17,1)</f>
        <v/>
      </c>
      <c r="NT17">
        <f>IF('計算A'!AT$106=1,EN17,1)</f>
        <v/>
      </c>
      <c r="NU17">
        <f>IF('計算A'!AU$106=1,EO17,1)</f>
        <v/>
      </c>
      <c r="NV17">
        <f>IF('計算A'!AV$106=1,EP17,1)</f>
        <v/>
      </c>
      <c r="NW17">
        <f>IF('計算A'!AW$106=1,EQ17,1)</f>
        <v/>
      </c>
      <c r="NX17">
        <f>IF('計算A'!AX$106=1,ER17,1)</f>
        <v/>
      </c>
      <c r="NY17">
        <f>IF('計算A'!AY$106=1,ES17,1)</f>
        <v/>
      </c>
      <c r="NZ17">
        <f>IF('計算A'!AZ$106=1,ET17,1)</f>
        <v/>
      </c>
      <c r="OA17">
        <f>IF('計算A'!BA$106=1,EU17,1)</f>
        <v/>
      </c>
      <c r="OB17">
        <f>IF('計算A'!BB$106=1,EV17,1)</f>
        <v/>
      </c>
      <c r="OC17">
        <f>IF('計算A'!BC$106=1,EW17,1)</f>
        <v/>
      </c>
      <c r="OD17">
        <f>IF('計算A'!BD$106=1,EX17,1)</f>
        <v/>
      </c>
      <c r="OE17">
        <f>IF('計算A'!BE$106=1,EY17,1)</f>
        <v/>
      </c>
      <c r="OF17">
        <f>IF('計算A'!BF$106=1,EZ17,1)</f>
        <v/>
      </c>
      <c r="OG17">
        <f>IF('計算A'!BG$106=1,FA17,1)</f>
        <v/>
      </c>
      <c r="OH17">
        <f>IF('計算A'!BH$106=1,FB17,1)</f>
        <v/>
      </c>
      <c r="OI17">
        <f>IF('計算A'!BI$106=1,FC17,1)</f>
        <v/>
      </c>
      <c r="OJ17">
        <f>IF('計算A'!BJ$106=1,FD17,1)</f>
        <v/>
      </c>
      <c r="OK17">
        <f>IF('計算A'!BK$106=1,FE17,1)</f>
        <v/>
      </c>
      <c r="OL17">
        <f>IF('計算A'!BL$106=1,FF17,1)</f>
        <v/>
      </c>
      <c r="OM17">
        <f>IF('計算A'!BM$106=1,FG17,1)</f>
        <v/>
      </c>
      <c r="ON17">
        <f>IF('計算A'!BN$106=1,FH17,1)</f>
        <v/>
      </c>
      <c r="OO17">
        <f>IF('計算A'!BO$106=1,FI17,1)</f>
        <v/>
      </c>
      <c r="OP17">
        <f>IF('計算A'!BP$106=1,FJ17,1)</f>
        <v/>
      </c>
      <c r="OQ17">
        <f>IF('計算A'!BQ$106=1,FK17,1)</f>
        <v/>
      </c>
      <c r="OR17">
        <f>IF('計算A'!BR$106=1,FL17,1)</f>
        <v/>
      </c>
      <c r="OS17">
        <f>IF('計算A'!BS$106=1,FM17,1)</f>
        <v/>
      </c>
      <c r="OT17">
        <f>IF('計算A'!BT$106=1,FN17,1)</f>
        <v/>
      </c>
      <c r="OU17">
        <f>IF('計算A'!BU$106=1,FO17,1)</f>
        <v/>
      </c>
      <c r="OV17">
        <f>IF('計算A'!BV$106=1,FP17,1)</f>
        <v/>
      </c>
      <c r="OW17">
        <f>IF('計算A'!BW$106=1,FQ17,1)</f>
        <v/>
      </c>
      <c r="OX17">
        <f>IF('計算A'!BX$106=1,FR17,1)</f>
        <v/>
      </c>
      <c r="OY17">
        <f>IF('計算A'!BY$106=1,FS17,1)</f>
        <v/>
      </c>
      <c r="OZ17">
        <f>IF('計算A'!BZ$106=1,FT17,1)</f>
        <v/>
      </c>
      <c r="PA17">
        <f>IF('計算A'!CA$106=1,FU17,1)</f>
        <v/>
      </c>
      <c r="PB17">
        <f>IF('計算A'!CB$106=1,FV17,1)</f>
        <v/>
      </c>
      <c r="PC17">
        <f>IF('計算A'!CC$106=1,FW17,1)</f>
        <v/>
      </c>
      <c r="PD17">
        <f>IF('計算A'!CD$106=1,FX17,1)</f>
        <v/>
      </c>
      <c r="PE17">
        <f>IF('計算A'!CE$106=1,FY17,1)</f>
        <v/>
      </c>
      <c r="PF17">
        <f>IF('計算A'!CF$106=1,FZ17,1)</f>
        <v/>
      </c>
      <c r="PG17">
        <f>IF('計算A'!CG$106=1,GA17,1)</f>
        <v/>
      </c>
      <c r="PH17">
        <f>IF('計算A'!CH$106=1,GB17,1)</f>
        <v/>
      </c>
      <c r="PI17">
        <f>IF('計算A'!CI$106=1,GC17,1)</f>
        <v/>
      </c>
      <c r="PJ17">
        <f>IF('計算A'!CJ$106=1,GD17,1)</f>
        <v/>
      </c>
      <c r="PK17">
        <f>IF('計算A'!CK$106=1,GE17,1)</f>
        <v/>
      </c>
      <c r="PL17">
        <f>IF('計算A'!CL$106=1,GF17,1)</f>
        <v/>
      </c>
      <c r="PM17">
        <f>IF('計算A'!CM$106=1,GG17,1)</f>
        <v/>
      </c>
      <c r="PN17">
        <f>IF('計算A'!CN$106=1,GH17,1)</f>
        <v/>
      </c>
      <c r="PO17">
        <f>IF('計算A'!CO$106=1,GI17,1)</f>
        <v/>
      </c>
      <c r="PP17">
        <f>IF('計算A'!CP$106=1,GJ17,1)</f>
        <v/>
      </c>
      <c r="PQ17">
        <f>IF('計算A'!CQ$106=1,GK17,1)</f>
        <v/>
      </c>
      <c r="PR17">
        <f>IF('計算A'!CR$106=1,GL17,1)</f>
        <v/>
      </c>
      <c r="PS17">
        <f>IF('計算A'!CS$106=1,GM17,1)</f>
        <v/>
      </c>
      <c r="PT17">
        <f>IF('計算A'!CT$106=1,GN17,1)</f>
        <v/>
      </c>
      <c r="PU17">
        <f>IF('計算A'!CU$106=1,GO17,1)</f>
        <v/>
      </c>
      <c r="PV17">
        <f>IF('計算A'!CV$106=1,GP17,1)</f>
        <v/>
      </c>
      <c r="PW17">
        <f>IF('計算A'!CW$106=1,GQ17,1)</f>
        <v/>
      </c>
      <c r="PX17">
        <f>IF('計算A'!CX$106=1,GR17,1)</f>
        <v/>
      </c>
      <c r="PY17">
        <f>IF('計算A'!CY$106=1,GS17,1)</f>
        <v/>
      </c>
      <c r="PZ17">
        <f>IF('計算A'!CZ$106=1,GT17,1)</f>
        <v/>
      </c>
      <c r="QA17">
        <f>IF('計算A'!DA$106=1,GU17,1)</f>
        <v/>
      </c>
      <c r="QB17">
        <f>IF('計算A'!DB$106=1,GV17,1)</f>
        <v/>
      </c>
      <c r="QC17">
        <f>IF('計算A'!DC$106=1,GW17,1)</f>
        <v/>
      </c>
      <c r="QD17">
        <f>IF('計算A'!DD$106=1,GX17,1)</f>
        <v/>
      </c>
      <c r="QE17">
        <f>IF('計算A'!DE$106=1,GY17,1)</f>
        <v/>
      </c>
      <c r="QF17">
        <f>IF('計算A'!DF$106=1,GZ17,1)</f>
        <v/>
      </c>
      <c r="QG17">
        <f>IF('計算A'!DG$106=1,HA17,1)</f>
        <v/>
      </c>
      <c r="QH17">
        <f>IF('計算A'!DH$106=1,HB17,1)</f>
        <v/>
      </c>
      <c r="QI17">
        <f>IF('計算A'!DI$106=1,HC17,1)</f>
        <v/>
      </c>
      <c r="QJ17">
        <f>IF('計算A'!DJ$106=1,HD17,1)</f>
        <v/>
      </c>
      <c r="QK17">
        <f>IF('計算A'!DK$106=1,HE17,1)</f>
        <v/>
      </c>
      <c r="QL17">
        <f>IF('計算A'!DL$106=1,HF17,1)</f>
        <v/>
      </c>
      <c r="QM17">
        <f>IF('計算A'!DM$106=1,HG17,1)</f>
        <v/>
      </c>
      <c r="QN17">
        <f>IF('計算A'!DN$106=1,HH17,1)</f>
        <v/>
      </c>
      <c r="QO17">
        <f>IF('計算A'!DO$106=1,HI17,1)</f>
        <v/>
      </c>
      <c r="QP17">
        <f>IF('計算A'!DP$106=1,HJ17,1)</f>
        <v/>
      </c>
      <c r="QQ17">
        <f>IF('計算A'!DQ$106=1,HK17,1)</f>
        <v/>
      </c>
      <c r="QR17">
        <f>IF('計算A'!DR$106=1,HL17,1)</f>
        <v/>
      </c>
      <c r="QS17">
        <f>IF('計算A'!DS$106=1,HM17,1)</f>
        <v/>
      </c>
      <c r="QT17">
        <f>IF('計算A'!DT$106=1,HN17,1)</f>
        <v/>
      </c>
      <c r="QU17">
        <f>IF('計算A'!DU$106=1,HO17,1)</f>
        <v/>
      </c>
      <c r="QV17">
        <f>IF('計算A'!DV$106=1,HP17,1)</f>
        <v/>
      </c>
      <c r="QW17">
        <f>IF('計算A'!DW$106=1,HQ17,1)</f>
        <v/>
      </c>
      <c r="QX17">
        <f>IF('計算A'!DX$106=1,HR17,1)</f>
        <v/>
      </c>
      <c r="QY17">
        <f>IF('計算A'!DY$106=1,HS17,1)</f>
        <v/>
      </c>
      <c r="QZ17">
        <f>IF('計算A'!DZ$106=1,HT17,1)</f>
        <v/>
      </c>
      <c r="RA17">
        <f>IF('計算A'!EA$106=1,HU17,1)</f>
        <v/>
      </c>
      <c r="RB17">
        <f>IF('計算A'!EB$106=1,HV17,1)</f>
        <v/>
      </c>
      <c r="RC17">
        <f>IF('計算A'!EC$106=1,HW17,1)</f>
        <v/>
      </c>
      <c r="RD17">
        <f>IF('計算A'!ED$106=1,HX17,1)</f>
        <v/>
      </c>
      <c r="RE17">
        <f>IF('計算A'!EE$106=1,HY17,1)</f>
        <v/>
      </c>
      <c r="RF17">
        <f>IF('計算A'!EF$106=1,HZ17,1)</f>
        <v/>
      </c>
      <c r="RG17">
        <f>IF('計算A'!EG$106=1,IA17,1)</f>
        <v/>
      </c>
      <c r="RH17">
        <f>IF('計算A'!EH$106=1,IB17,1)</f>
        <v/>
      </c>
      <c r="RI17">
        <f>IF('計算A'!EI$106=1,IC17,1)</f>
        <v/>
      </c>
      <c r="RJ17">
        <f>IF('計算A'!EJ$106=1,ID17,1)</f>
        <v/>
      </c>
      <c r="RK17">
        <f>IF('計算A'!EK$106=1,IE17,1)</f>
        <v/>
      </c>
      <c r="RL17">
        <f>IF('計算A'!EL$106=1,IF17,1)</f>
        <v/>
      </c>
      <c r="RM17">
        <f>IF('計算A'!EM$106=1,IG17,1)</f>
        <v/>
      </c>
      <c r="RN17">
        <f>IF('計算A'!EN$106=1,IH17,1)</f>
        <v/>
      </c>
      <c r="RO17">
        <f>IF('計算A'!EO$106=1,II17,1)</f>
        <v/>
      </c>
      <c r="RP17">
        <f>IF('計算A'!EP$106=1,IJ17,1)</f>
        <v/>
      </c>
      <c r="RQ17">
        <f>IF('計算A'!EQ$106=1,IK17,1)</f>
        <v/>
      </c>
      <c r="RR17">
        <f>IF('計算A'!ER$106=1,IL17,1)</f>
        <v/>
      </c>
      <c r="RS17">
        <f>IF('計算A'!ES$106=1,IM17,1)</f>
        <v/>
      </c>
      <c r="RT17">
        <f>IF('計算A'!ET$106=1,IN17,1)</f>
        <v/>
      </c>
      <c r="RU17">
        <f>IF('計算A'!EU$106=1,IO17,1)</f>
        <v/>
      </c>
      <c r="RV17">
        <f>IF('計算A'!EV$106=1,IP17,1)</f>
        <v/>
      </c>
      <c r="RW17">
        <f>IF('計算A'!EW$106=1,IQ17,1)</f>
        <v/>
      </c>
      <c r="RX17">
        <f>IF('計算A'!EX$106=1,IR17,1)</f>
        <v/>
      </c>
      <c r="RY17">
        <f>IF('計算A'!EY$106=1,IS17,1)</f>
        <v/>
      </c>
      <c r="RZ17">
        <f>IF('計算A'!EZ$106=1,IT17,1)</f>
        <v/>
      </c>
      <c r="SA17">
        <f>IF('計算A'!FA$106=1,IU17,1)</f>
        <v/>
      </c>
      <c r="SB17">
        <f>IF('計算A'!FB$106=1,IV17,1)</f>
        <v/>
      </c>
      <c r="SC17">
        <f>IF('計算A'!FC$106=1,IW17,1)</f>
        <v/>
      </c>
      <c r="SD17">
        <f>IF('計算A'!FD$106=1,IX17,1)</f>
        <v/>
      </c>
      <c r="SE17">
        <f>IF('計算A'!FE$106=1,IY17,1)</f>
        <v/>
      </c>
      <c r="SF17">
        <f>IF('計算A'!FF$106=1,IZ17,1)</f>
        <v/>
      </c>
      <c r="SG17">
        <f>IF('計算A'!FG$106=1,JA17,1)</f>
        <v/>
      </c>
      <c r="SH17">
        <f>IF('計算A'!FH$106=1,JB17,1)</f>
        <v/>
      </c>
      <c r="SI17">
        <f>IF('計算A'!FI$106=1,JC17,1)</f>
        <v/>
      </c>
      <c r="SJ17">
        <f>IF('計算A'!FJ$106=1,JD17,1)</f>
        <v/>
      </c>
      <c r="SK17">
        <f>IF('計算A'!FK$106=1,JE17,1)</f>
        <v/>
      </c>
      <c r="SL17">
        <f>IF('計算A'!FL$106=1,JF17,1)</f>
        <v/>
      </c>
      <c r="SM17">
        <f>IF('計算A'!FM$106=1,JG17,1)</f>
        <v/>
      </c>
      <c r="SN17">
        <f>IF('計算A'!FN$106=1,JH17,1)</f>
        <v/>
      </c>
      <c r="SO17">
        <f>IF('計算A'!FO$106=1,JI17,1)</f>
        <v/>
      </c>
      <c r="SP17">
        <f>IF('計算A'!FP$106=1,JJ17,1)</f>
        <v/>
      </c>
      <c r="SQ17">
        <f>IF('計算A'!FQ$106=1,JK17,1)</f>
        <v/>
      </c>
      <c r="SR17">
        <f>IF('計算A'!FR$106=1,JL17,1)</f>
        <v/>
      </c>
      <c r="SS17">
        <f>IF('計算A'!FS$106=1,JM17,1)</f>
        <v/>
      </c>
      <c r="ST17">
        <f>IF('計算A'!FT$106=1,JN17,1)</f>
        <v/>
      </c>
      <c r="SU17">
        <f>IF('計算A'!FU$106=1,JO17,1)</f>
        <v/>
      </c>
      <c r="SV17">
        <f>IF('計算A'!FV$106=1,JP17,1)</f>
        <v/>
      </c>
      <c r="SW17">
        <f>IF('計算A'!FW$106=1,JQ17,1)</f>
        <v/>
      </c>
      <c r="SX17">
        <f>IF('計算A'!FX$106=1,JR17,1)</f>
        <v/>
      </c>
      <c r="SY17">
        <f>IF('計算A'!FY$106=1,JS17,1)</f>
        <v/>
      </c>
      <c r="SZ17">
        <f>IF('計算A'!FZ$106=1,JT17,1)</f>
        <v/>
      </c>
      <c r="TA17">
        <f>IF('計算A'!GA$106=1,JU17,1)</f>
        <v/>
      </c>
      <c r="TB17">
        <f>IF('計算A'!GB$106=1,JV17,1)</f>
        <v/>
      </c>
      <c r="TC17">
        <f>IF('計算A'!GC$106=1,JW17,1)</f>
        <v/>
      </c>
      <c r="TD17">
        <f>IF('計算A'!GD$106=1,JX17,1)</f>
        <v/>
      </c>
      <c r="TE17">
        <f>IF('計算A'!GE$106=1,JY17,1)</f>
        <v/>
      </c>
      <c r="TF17">
        <f>IF('計算A'!GF$106=1,JZ17,1)</f>
        <v/>
      </c>
      <c r="TG17">
        <f>IF('計算A'!GG$106=1,KA17,1)</f>
        <v/>
      </c>
      <c r="TH17">
        <f>IF('計算A'!GH$106=1,KB17,1)</f>
        <v/>
      </c>
      <c r="TI17">
        <f>IF('計算A'!GI$106=1,KC17,1)</f>
        <v/>
      </c>
      <c r="TJ17">
        <f>IF('計算A'!GJ$106=1,KD17,1)</f>
        <v/>
      </c>
      <c r="TK17">
        <f>IF('計算A'!GK$106=1,KE17,1)</f>
        <v/>
      </c>
      <c r="TL17">
        <f>IF('計算A'!GL$106=1,KF17,1)</f>
        <v/>
      </c>
      <c r="TM17">
        <f>IF('計算A'!GM$106=1,KG17,1)</f>
        <v/>
      </c>
      <c r="TN17">
        <f>IF('計算A'!GN$106=1,KH17,1)</f>
        <v/>
      </c>
      <c r="TO17">
        <f>IF('計算A'!GO$106=1,KI17,1)</f>
        <v/>
      </c>
      <c r="TP17">
        <f>IF('計算A'!GP$106=1,KJ17,1)</f>
        <v/>
      </c>
      <c r="TQ17">
        <f>IF('計算A'!GQ$106=1,KK17,1)</f>
        <v/>
      </c>
      <c r="TR17">
        <f>IF('計算A'!GR$106=1,KL17,1)</f>
        <v/>
      </c>
      <c r="TS17">
        <f>IF('計算A'!GS$106=1,KM17,1)</f>
        <v/>
      </c>
      <c r="TT17">
        <f>IF('計算A'!GT$106=1,KN17,1)</f>
        <v/>
      </c>
      <c r="TU17">
        <f>IF('計算A'!GU$106=1,KO17,1)</f>
        <v/>
      </c>
      <c r="TV17">
        <f>IF('計算A'!GV$106=1,KP17,1)</f>
        <v/>
      </c>
      <c r="TW17">
        <f>IF('計算A'!GW$106=1,KQ17,1)</f>
        <v/>
      </c>
      <c r="TX17">
        <f>IF('計算A'!GX$106=1,KR17,1)</f>
        <v/>
      </c>
      <c r="TY17">
        <f>IF('計算A'!GY$106=1,KS17,1)</f>
        <v/>
      </c>
      <c r="TZ17">
        <f>IF('計算A'!GZ$106=1,KT17,1)</f>
        <v/>
      </c>
      <c r="UA17">
        <f>IF('計算A'!HA$106=1,KU17,1)</f>
        <v/>
      </c>
      <c r="UB17">
        <f>IF('計算A'!HB$106=1,KV17,1)</f>
        <v/>
      </c>
      <c r="UC17">
        <f>IF('計算A'!HC$106=1,KW17,1)</f>
        <v/>
      </c>
      <c r="UD17">
        <f>IF('計算A'!HD$106=1,KX17,1)</f>
        <v/>
      </c>
      <c r="UE17">
        <f>IF('計算A'!HE$106=1,KY17,1)</f>
        <v/>
      </c>
      <c r="UF17">
        <f>IF('計算A'!HF$106=1,KZ17,1)</f>
        <v/>
      </c>
      <c r="UG17">
        <f>IF('計算A'!HG$106=1,LA17,1)</f>
        <v/>
      </c>
      <c r="UH17">
        <f>IF('計算A'!HH$106=1,LB17,1)</f>
        <v/>
      </c>
      <c r="UI17">
        <f>IF('計算A'!HI$106=1,LC17,1)</f>
        <v/>
      </c>
      <c r="UJ17">
        <f>IF('計算A'!HJ$106=1,LD17,1)</f>
        <v/>
      </c>
      <c r="UK17">
        <f>IF('計算A'!HK$106=1,LE17,1)</f>
        <v/>
      </c>
      <c r="UL17">
        <f>IF('計算A'!HL$106=1,LF17,1)</f>
        <v/>
      </c>
      <c r="UM17">
        <f>IF('計算A'!HM$106=1,LG17,1)</f>
        <v/>
      </c>
      <c r="UN17">
        <f>IF('計算A'!HN$106=1,LH17,1)</f>
        <v/>
      </c>
      <c r="UO17">
        <f>IF('計算A'!HO$106=1,LI17,1)</f>
        <v/>
      </c>
      <c r="UP17">
        <f>IF('計算A'!HP$106=1,LJ17,1)</f>
        <v/>
      </c>
      <c r="UQ17">
        <f>IF('計算A'!HQ$106=1,LK17,1)</f>
        <v/>
      </c>
      <c r="UR17">
        <f>IF('計算A'!HR$106=1,LL17,1)</f>
        <v/>
      </c>
      <c r="US17">
        <f>IF('計算A'!HS$106=1,LM17,1)</f>
        <v/>
      </c>
      <c r="UT17">
        <f>IF('計算A'!HT$106=1,LN17,1)</f>
        <v/>
      </c>
      <c r="UU17">
        <f>IF('計算A'!HU$106=1,LO17,1)</f>
        <v/>
      </c>
      <c r="UV17">
        <f>IF('計算A'!HV$106=1,LP17,1)</f>
        <v/>
      </c>
      <c r="UW17">
        <f>IF('計算A'!HW$106=1,LQ17,1)</f>
        <v/>
      </c>
      <c r="UX17">
        <f>IF('計算A'!HX$106=1,LR17,1)</f>
        <v/>
      </c>
      <c r="UY17">
        <f>IF('計算A'!HY$106=1,LS17,1)</f>
        <v/>
      </c>
      <c r="UZ17">
        <f>IF('計算A'!HZ$106=1,LT17,1)</f>
        <v/>
      </c>
      <c r="VA17">
        <f>IF('計算A'!IA$106=1,LU17,1)</f>
        <v/>
      </c>
      <c r="VB17">
        <f>IF('計算A'!IB$106=1,LV17,1)</f>
        <v/>
      </c>
      <c r="VC17">
        <f>IF('計算A'!IC$106=1,LW17,1)</f>
        <v/>
      </c>
      <c r="VD17">
        <f>IF('計算A'!ID$106=1,LX17,1)</f>
        <v/>
      </c>
      <c r="VE17">
        <f>IF('計算A'!IE$106=1,LY17,1)</f>
        <v/>
      </c>
      <c r="VF17">
        <f>IF('計算A'!IF$106=1,LZ17,1)</f>
        <v/>
      </c>
      <c r="VG17">
        <f>IF('計算A'!IG$106=1,MA17,1)</f>
        <v/>
      </c>
      <c r="VH17">
        <f>IF('計算A'!IH$106=1,MB17,1)</f>
        <v/>
      </c>
      <c r="VI17" t="n">
        <v>1</v>
      </c>
      <c r="VK17">
        <f>IF($B17=0,1000000,IF(INDEX('計算A'!$D$60:$II$104,$B17,1)*CW17=1,IF(AND($E17=2,MD17=0),1000000,INDEX('計算A'!D$110:D$114,$F17+1)+IF(AND($E17=1,MD17=0),1000,0)),1000000))</f>
        <v/>
      </c>
      <c r="VL17">
        <f>IF($B17=0,1000000,IF(INDEX('計算A'!$D$60:$II$104,$B17,2)*CX17=1,IF(AND($E17=2,ME17=0),1000000,INDEX('計算A'!E$110:E$114,$F17+1)+IF(AND($E17=1,ME17=0),1000,0)),1000000))</f>
        <v/>
      </c>
      <c r="VM17">
        <f>IF($B17=0,1000000,IF(INDEX('計算A'!$D$60:$II$104,$B17,3)*CY17=1,IF(AND($E17=2,MF17=0),1000000,INDEX('計算A'!F$110:F$114,$F17+1)+IF(AND($E17=1,MF17=0),1000,0)),1000000))</f>
        <v/>
      </c>
      <c r="VN17">
        <f>IF($B17=0,1000000,IF(INDEX('計算A'!$D$60:$II$104,$B17,4)*CZ17=1,IF(AND($E17=2,MG17=0),1000000,INDEX('計算A'!G$110:G$114,$F17+1)+IF(AND($E17=1,MG17=0),1000,0)),1000000))</f>
        <v/>
      </c>
      <c r="VO17">
        <f>IF($B17=0,1000000,IF(INDEX('計算A'!$D$60:$II$104,$B17,5)*DA17=1,IF(AND($E17=2,MH17=0),1000000,INDEX('計算A'!H$110:H$114,$F17+1)+IF(AND($E17=1,MH17=0),1000,0)),1000000))</f>
        <v/>
      </c>
      <c r="VP17">
        <f>IF($B17=0,1000000,IF(INDEX('計算A'!$D$60:$II$104,$B17,6)*DB17=1,IF(AND($E17=2,MI17=0),1000000,INDEX('計算A'!I$110:I$114,$F17+1)+IF(AND($E17=1,MI17=0),1000,0)),1000000))</f>
        <v/>
      </c>
      <c r="VQ17">
        <f>IF($B17=0,1000000,IF(INDEX('計算A'!$D$60:$II$104,$B17,7)*DC17=1,IF(AND($E17=2,MJ17=0),1000000,INDEX('計算A'!J$110:J$114,$F17+1)+IF(AND($E17=1,MJ17=0),1000,0)),1000000))</f>
        <v/>
      </c>
      <c r="VR17">
        <f>IF($B17=0,1000000,IF(INDEX('計算A'!$D$60:$II$104,$B17,8)*DD17=1,IF(AND($E17=2,MK17=0),1000000,INDEX('計算A'!K$110:K$114,$F17+1)+IF(AND($E17=1,MK17=0),1000,0)),1000000))</f>
        <v/>
      </c>
      <c r="VS17">
        <f>IF($B17=0,1000000,IF(INDEX('計算A'!$D$60:$II$104,$B17,9)*DE17=1,IF(AND($E17=2,ML17=0),1000000,INDEX('計算A'!L$110:L$114,$F17+1)+IF(AND($E17=1,ML17=0),1000,0)),1000000))</f>
        <v/>
      </c>
      <c r="VT17">
        <f>IF($B17=0,1000000,IF(INDEX('計算A'!$D$60:$II$104,$B17,10)*DF17=1,IF(AND($E17=2,MM17=0),1000000,INDEX('計算A'!M$110:M$114,$F17+1)+IF(AND($E17=1,MM17=0),1000,0)),1000000))</f>
        <v/>
      </c>
      <c r="VU17">
        <f>IF($B17=0,1000000,IF(INDEX('計算A'!$D$60:$II$104,$B17,11)*DG17=1,IF(AND($E17=2,MN17=0),1000000,INDEX('計算A'!N$110:N$114,$F17+1)+IF(AND($E17=1,MN17=0),1000,0)),1000000))</f>
        <v/>
      </c>
      <c r="VV17">
        <f>IF($B17=0,1000000,IF(INDEX('計算A'!$D$60:$II$104,$B17,12)*DH17=1,IF(AND($E17=2,MO17=0),1000000,INDEX('計算A'!O$110:O$114,$F17+1)+IF(AND($E17=1,MO17=0),1000,0)),1000000))</f>
        <v/>
      </c>
      <c r="VW17">
        <f>IF($B17=0,1000000,IF(INDEX('計算A'!$D$60:$II$104,$B17,13)*DI17=1,IF(AND($E17=2,MP17=0),1000000,INDEX('計算A'!P$110:P$114,$F17+1)+IF(AND($E17=1,MP17=0),1000,0)),1000000))</f>
        <v/>
      </c>
      <c r="VX17">
        <f>IF($B17=0,1000000,IF(INDEX('計算A'!$D$60:$II$104,$B17,14)*DJ17=1,IF(AND($E17=2,MQ17=0),1000000,INDEX('計算A'!Q$110:Q$114,$F17+1)+IF(AND($E17=1,MQ17=0),1000,0)),1000000))</f>
        <v/>
      </c>
      <c r="VY17">
        <f>IF($B17=0,1000000,IF(INDEX('計算A'!$D$60:$II$104,$B17,15)*DK17=1,IF(AND($E17=2,MR17=0),1000000,INDEX('計算A'!R$110:R$114,$F17+1)+IF(AND($E17=1,MR17=0),1000,0)),1000000))</f>
        <v/>
      </c>
      <c r="VZ17">
        <f>IF($B17=0,1000000,IF(INDEX('計算A'!$D$60:$II$104,$B17,16)*DL17=1,IF(AND($E17=2,MS17=0),1000000,INDEX('計算A'!S$110:S$114,$F17+1)+IF(AND($E17=1,MS17=0),1000,0)),1000000))</f>
        <v/>
      </c>
      <c r="WA17">
        <f>IF($B17=0,1000000,IF(INDEX('計算A'!$D$60:$II$104,$B17,17)*DM17=1,IF(AND($E17=2,MT17=0),1000000,INDEX('計算A'!T$110:T$114,$F17+1)+IF(AND($E17=1,MT17=0),1000,0)),1000000))</f>
        <v/>
      </c>
      <c r="WB17">
        <f>IF($B17=0,1000000,IF(INDEX('計算A'!$D$60:$II$104,$B17,18)*DN17=1,IF(AND($E17=2,MU17=0),1000000,INDEX('計算A'!U$110:U$114,$F17+1)+IF(AND($E17=1,MU17=0),1000,0)),1000000))</f>
        <v/>
      </c>
      <c r="WC17">
        <f>IF($B17=0,1000000,IF(INDEX('計算A'!$D$60:$II$104,$B17,19)*DO17=1,IF(AND($E17=2,MV17=0),1000000,INDEX('計算A'!V$110:V$114,$F17+1)+IF(AND($E17=1,MV17=0),1000,0)),1000000))</f>
        <v/>
      </c>
      <c r="WD17">
        <f>IF($B17=0,1000000,IF(INDEX('計算A'!$D$60:$II$104,$B17,20)*DP17=1,IF(AND($E17=2,MW17=0),1000000,INDEX('計算A'!W$110:W$114,$F17+1)+IF(AND($E17=1,MW17=0),1000,0)),1000000))</f>
        <v/>
      </c>
      <c r="WE17">
        <f>IF($B17=0,1000000,IF(INDEX('計算A'!$D$60:$II$104,$B17,21)*DQ17=1,IF(AND($E17=2,MX17=0),1000000,INDEX('計算A'!X$110:X$114,$F17+1)+IF(AND($E17=1,MX17=0),1000,0)),1000000))</f>
        <v/>
      </c>
      <c r="WF17">
        <f>IF($B17=0,1000000,IF(INDEX('計算A'!$D$60:$II$104,$B17,22)*DR17=1,IF(AND($E17=2,MY17=0),1000000,INDEX('計算A'!Y$110:Y$114,$F17+1)+IF(AND($E17=1,MY17=0),1000,0)),1000000))</f>
        <v/>
      </c>
      <c r="WG17">
        <f>IF($B17=0,1000000,IF(INDEX('計算A'!$D$60:$II$104,$B17,23)*DS17=1,IF(AND($E17=2,MZ17=0),1000000,INDEX('計算A'!Z$110:Z$114,$F17+1)+IF(AND($E17=1,MZ17=0),1000,0)),1000000))</f>
        <v/>
      </c>
      <c r="WH17">
        <f>IF($B17=0,1000000,IF(INDEX('計算A'!$D$60:$II$104,$B17,24)*DT17=1,IF(AND($E17=2,NA17=0),1000000,INDEX('計算A'!AA$110:AA$114,$F17+1)+IF(AND($E17=1,NA17=0),1000,0)),1000000))</f>
        <v/>
      </c>
      <c r="WI17">
        <f>IF($B17=0,1000000,IF(INDEX('計算A'!$D$60:$II$104,$B17,25)*DU17=1,IF(AND($E17=2,NB17=0),1000000,INDEX('計算A'!AB$110:AB$114,$F17+1)+IF(AND($E17=1,NB17=0),1000,0)),1000000))</f>
        <v/>
      </c>
      <c r="WJ17">
        <f>IF($B17=0,1000000,IF(INDEX('計算A'!$D$60:$II$104,$B17,26)*DV17=1,IF(AND($E17=2,NC17=0),1000000,INDEX('計算A'!AC$110:AC$114,$F17+1)+IF(AND($E17=1,NC17=0),1000,0)),1000000))</f>
        <v/>
      </c>
      <c r="WK17">
        <f>IF($B17=0,1000000,IF(INDEX('計算A'!$D$60:$II$104,$B17,27)*DW17=1,IF(AND($E17=2,ND17=0),1000000,INDEX('計算A'!AD$110:AD$114,$F17+1)+IF(AND($E17=1,ND17=0),1000,0)),1000000))</f>
        <v/>
      </c>
      <c r="WL17">
        <f>IF($B17=0,1000000,IF(INDEX('計算A'!$D$60:$II$104,$B17,28)*DX17=1,IF(AND($E17=2,NE17=0),1000000,INDEX('計算A'!AE$110:AE$114,$F17+1)+IF(AND($E17=1,NE17=0),1000,0)),1000000))</f>
        <v/>
      </c>
      <c r="WM17">
        <f>IF($B17=0,1000000,IF(INDEX('計算A'!$D$60:$II$104,$B17,29)*DY17=1,IF(AND($E17=2,NF17=0),1000000,INDEX('計算A'!AF$110:AF$114,$F17+1)+IF(AND($E17=1,NF17=0),1000,0)),1000000))</f>
        <v/>
      </c>
      <c r="WN17">
        <f>IF($B17=0,1000000,IF(INDEX('計算A'!$D$60:$II$104,$B17,30)*DZ17=1,IF(AND($E17=2,NG17=0),1000000,INDEX('計算A'!AG$110:AG$114,$F17+1)+IF(AND($E17=1,NG17=0),1000,0)),1000000))</f>
        <v/>
      </c>
      <c r="WO17">
        <f>IF($B17=0,1000000,IF(INDEX('計算A'!$D$60:$II$104,$B17,31)*EA17=1,IF(AND($E17=2,NH17=0),1000000,INDEX('計算A'!AH$110:AH$114,$F17+1)+IF(AND($E17=1,NH17=0),1000,0)),1000000))</f>
        <v/>
      </c>
      <c r="WP17">
        <f>IF($B17=0,1000000,IF(INDEX('計算A'!$D$60:$II$104,$B17,32)*EB17=1,IF(AND($E17=2,NI17=0),1000000,INDEX('計算A'!AI$110:AI$114,$F17+1)+IF(AND($E17=1,NI17=0),1000,0)),1000000))</f>
        <v/>
      </c>
      <c r="WQ17">
        <f>IF($B17=0,1000000,IF(INDEX('計算A'!$D$60:$II$104,$B17,33)*EC17=1,IF(AND($E17=2,NJ17=0),1000000,INDEX('計算A'!AJ$110:AJ$114,$F17+1)+IF(AND($E17=1,NJ17=0),1000,0)),1000000))</f>
        <v/>
      </c>
      <c r="WR17">
        <f>IF($B17=0,1000000,IF(INDEX('計算A'!$D$60:$II$104,$B17,34)*ED17=1,IF(AND($E17=2,NK17=0),1000000,INDEX('計算A'!AK$110:AK$114,$F17+1)+IF(AND($E17=1,NK17=0),1000,0)),1000000))</f>
        <v/>
      </c>
      <c r="WS17">
        <f>IF($B17=0,1000000,IF(INDEX('計算A'!$D$60:$II$104,$B17,35)*EE17=1,IF(AND($E17=2,NL17=0),1000000,INDEX('計算A'!AL$110:AL$114,$F17+1)+IF(AND($E17=1,NL17=0),1000,0)),1000000))</f>
        <v/>
      </c>
      <c r="WT17">
        <f>IF($B17=0,1000000,IF(INDEX('計算A'!$D$60:$II$104,$B17,36)*EF17=1,IF(AND($E17=2,NM17=0),1000000,INDEX('計算A'!AM$110:AM$114,$F17+1)+IF(AND($E17=1,NM17=0),1000,0)),1000000))</f>
        <v/>
      </c>
      <c r="WU17">
        <f>IF($B17=0,1000000,IF(INDEX('計算A'!$D$60:$II$104,$B17,37)*EG17=1,IF(AND($E17=2,NN17=0),1000000,INDEX('計算A'!AN$110:AN$114,$F17+1)+IF(AND($E17=1,NN17=0),1000,0)),1000000))</f>
        <v/>
      </c>
      <c r="WV17">
        <f>IF($B17=0,1000000,IF(INDEX('計算A'!$D$60:$II$104,$B17,38)*EH17=1,IF(AND($E17=2,NO17=0),1000000,INDEX('計算A'!AO$110:AO$114,$F17+1)+IF(AND($E17=1,NO17=0),1000,0)),1000000))</f>
        <v/>
      </c>
      <c r="WW17">
        <f>IF($B17=0,1000000,IF(INDEX('計算A'!$D$60:$II$104,$B17,39)*EI17=1,IF(AND($E17=2,NP17=0),1000000,INDEX('計算A'!AP$110:AP$114,$F17+1)+IF(AND($E17=1,NP17=0),1000,0)),1000000))</f>
        <v/>
      </c>
      <c r="WX17">
        <f>IF($B17=0,1000000,IF(INDEX('計算A'!$D$60:$II$104,$B17,40)*EJ17=1,IF(AND($E17=2,NQ17=0),1000000,INDEX('計算A'!AQ$110:AQ$114,$F17+1)+IF(AND($E17=1,NQ17=0),1000,0)),1000000))</f>
        <v/>
      </c>
      <c r="WY17">
        <f>IF($B17=0,1000000,IF(INDEX('計算A'!$D$60:$II$104,$B17,41)*EK17=1,IF(AND($E17=2,NR17=0),1000000,INDEX('計算A'!AR$110:AR$114,$F17+1)+IF(AND($E17=1,NR17=0),1000,0)),1000000))</f>
        <v/>
      </c>
      <c r="WZ17">
        <f>IF($B17=0,1000000,IF(INDEX('計算A'!$D$60:$II$104,$B17,42)*EL17=1,IF(AND($E17=2,NS17=0),1000000,INDEX('計算A'!AS$110:AS$114,$F17+1)+IF(AND($E17=1,NS17=0),1000,0)),1000000))</f>
        <v/>
      </c>
      <c r="XA17">
        <f>IF($B17=0,1000000,IF(INDEX('計算A'!$D$60:$II$104,$B17,43)*EM17=1,IF(AND($E17=2,NT17=0),1000000,INDEX('計算A'!AT$110:AT$114,$F17+1)+IF(AND($E17=1,NT17=0),1000,0)),1000000))</f>
        <v/>
      </c>
      <c r="XB17">
        <f>IF($B17=0,1000000,IF(INDEX('計算A'!$D$60:$II$104,$B17,44)*EN17=1,IF(AND($E17=2,NU17=0),1000000,INDEX('計算A'!AU$110:AU$114,$F17+1)+IF(AND($E17=1,NU17=0),1000,0)),1000000))</f>
        <v/>
      </c>
      <c r="XC17">
        <f>IF($B17=0,1000000,IF(INDEX('計算A'!$D$60:$II$104,$B17,45)*EO17=1,IF(AND($E17=2,NV17=0),1000000,INDEX('計算A'!AV$110:AV$114,$F17+1)+IF(AND($E17=1,NV17=0),1000,0)),1000000))</f>
        <v/>
      </c>
      <c r="XD17">
        <f>IF($B17=0,1000000,IF(INDEX('計算A'!$D$60:$II$104,$B17,46)*EP17=1,IF(AND($E17=2,NW17=0),1000000,INDEX('計算A'!AW$110:AW$114,$F17+1)+IF(AND($E17=1,NW17=0),1000,0)),1000000))</f>
        <v/>
      </c>
      <c r="XE17">
        <f>IF($B17=0,1000000,IF(INDEX('計算A'!$D$60:$II$104,$B17,47)*EQ17=1,IF(AND($E17=2,NX17=0),1000000,INDEX('計算A'!AX$110:AX$114,$F17+1)+IF(AND($E17=1,NX17=0),1000,0)),1000000))</f>
        <v/>
      </c>
      <c r="XF17">
        <f>IF($B17=0,1000000,IF(INDEX('計算A'!$D$60:$II$104,$B17,48)*ER17=1,IF(AND($E17=2,NY17=0),1000000,INDEX('計算A'!AY$110:AY$114,$F17+1)+IF(AND($E17=1,NY17=0),1000,0)),1000000))</f>
        <v/>
      </c>
      <c r="XG17">
        <f>IF($B17=0,1000000,IF(INDEX('計算A'!$D$60:$II$104,$B17,49)*ES17=1,IF(AND($E17=2,NZ17=0),1000000,INDEX('計算A'!AZ$110:AZ$114,$F17+1)+IF(AND($E17=1,NZ17=0),1000,0)),1000000))</f>
        <v/>
      </c>
      <c r="XH17">
        <f>IF($B17=0,1000000,IF(INDEX('計算A'!$D$60:$II$104,$B17,50)*ET17=1,IF(AND($E17=2,OA17=0),1000000,INDEX('計算A'!BA$110:BA$114,$F17+1)+IF(AND($E17=1,OA17=0),1000,0)),1000000))</f>
        <v/>
      </c>
      <c r="XI17">
        <f>IF($B17=0,1000000,IF(INDEX('計算A'!$D$60:$II$104,$B17,51)*EU17=1,IF(AND($E17=2,OB17=0),1000000,INDEX('計算A'!BB$110:BB$114,$F17+1)+IF(AND($E17=1,OB17=0),1000,0)),1000000))</f>
        <v/>
      </c>
      <c r="XJ17">
        <f>IF($B17=0,1000000,IF(INDEX('計算A'!$D$60:$II$104,$B17,52)*EV17=1,IF(AND($E17=2,OC17=0),1000000,INDEX('計算A'!BC$110:BC$114,$F17+1)+IF(AND($E17=1,OC17=0),1000,0)),1000000))</f>
        <v/>
      </c>
      <c r="XK17">
        <f>IF($B17=0,1000000,IF(INDEX('計算A'!$D$60:$II$104,$B17,53)*EW17=1,IF(AND($E17=2,OD17=0),1000000,INDEX('計算A'!BD$110:BD$114,$F17+1)+IF(AND($E17=1,OD17=0),1000,0)),1000000))</f>
        <v/>
      </c>
      <c r="XL17">
        <f>IF($B17=0,1000000,IF(INDEX('計算A'!$D$60:$II$104,$B17,54)*EX17=1,IF(AND($E17=2,OE17=0),1000000,INDEX('計算A'!BE$110:BE$114,$F17+1)+IF(AND($E17=1,OE17=0),1000,0)),1000000))</f>
        <v/>
      </c>
      <c r="XM17">
        <f>IF($B17=0,1000000,IF(INDEX('計算A'!$D$60:$II$104,$B17,55)*EY17=1,IF(AND($E17=2,OF17=0),1000000,INDEX('計算A'!BF$110:BF$114,$F17+1)+IF(AND($E17=1,OF17=0),1000,0)),1000000))</f>
        <v/>
      </c>
      <c r="XN17">
        <f>IF($B17=0,1000000,IF(INDEX('計算A'!$D$60:$II$104,$B17,56)*EZ17=1,IF(AND($E17=2,OG17=0),1000000,INDEX('計算A'!BG$110:BG$114,$F17+1)+IF(AND($E17=1,OG17=0),1000,0)),1000000))</f>
        <v/>
      </c>
      <c r="XO17">
        <f>IF($B17=0,1000000,IF(INDEX('計算A'!$D$60:$II$104,$B17,57)*FA17=1,IF(AND($E17=2,OH17=0),1000000,INDEX('計算A'!BH$110:BH$114,$F17+1)+IF(AND($E17=1,OH17=0),1000,0)),1000000))</f>
        <v/>
      </c>
      <c r="XP17">
        <f>IF($B17=0,1000000,IF(INDEX('計算A'!$D$60:$II$104,$B17,58)*FB17=1,IF(AND($E17=2,OI17=0),1000000,INDEX('計算A'!BI$110:BI$114,$F17+1)+IF(AND($E17=1,OI17=0),1000,0)),1000000))</f>
        <v/>
      </c>
      <c r="XQ17">
        <f>IF($B17=0,1000000,IF(INDEX('計算A'!$D$60:$II$104,$B17,59)*FC17=1,IF(AND($E17=2,OJ17=0),1000000,INDEX('計算A'!BJ$110:BJ$114,$F17+1)+IF(AND($E17=1,OJ17=0),1000,0)),1000000))</f>
        <v/>
      </c>
      <c r="XR17">
        <f>IF($B17=0,1000000,IF(INDEX('計算A'!$D$60:$II$104,$B17,60)*FD17=1,IF(AND($E17=2,OK17=0),1000000,INDEX('計算A'!BK$110:BK$114,$F17+1)+IF(AND($E17=1,OK17=0),1000,0)),1000000))</f>
        <v/>
      </c>
      <c r="XS17">
        <f>IF($B17=0,1000000,IF(INDEX('計算A'!$D$60:$II$104,$B17,61)*FE17=1,IF(AND($E17=2,OL17=0),1000000,INDEX('計算A'!BL$110:BL$114,$F17+1)+IF(AND($E17=1,OL17=0),1000,0)),1000000))</f>
        <v/>
      </c>
      <c r="XT17">
        <f>IF($B17=0,1000000,IF(INDEX('計算A'!$D$60:$II$104,$B17,62)*FF17=1,IF(AND($E17=2,OM17=0),1000000,INDEX('計算A'!BM$110:BM$114,$F17+1)+IF(AND($E17=1,OM17=0),1000,0)),1000000))</f>
        <v/>
      </c>
      <c r="XU17">
        <f>IF($B17=0,1000000,IF(INDEX('計算A'!$D$60:$II$104,$B17,63)*FG17=1,IF(AND($E17=2,ON17=0),1000000,INDEX('計算A'!BN$110:BN$114,$F17+1)+IF(AND($E17=1,ON17=0),1000,0)),1000000))</f>
        <v/>
      </c>
      <c r="XV17">
        <f>IF($B17=0,1000000,IF(INDEX('計算A'!$D$60:$II$104,$B17,64)*FH17=1,IF(AND($E17=2,OO17=0),1000000,INDEX('計算A'!BO$110:BO$114,$F17+1)+IF(AND($E17=1,OO17=0),1000,0)),1000000))</f>
        <v/>
      </c>
      <c r="XW17">
        <f>IF($B17=0,1000000,IF(INDEX('計算A'!$D$60:$II$104,$B17,65)*FI17=1,IF(AND($E17=2,OP17=0),1000000,INDEX('計算A'!BP$110:BP$114,$F17+1)+IF(AND($E17=1,OP17=0),1000,0)),1000000))</f>
        <v/>
      </c>
      <c r="XX17">
        <f>IF($B17=0,1000000,IF(INDEX('計算A'!$D$60:$II$104,$B17,66)*FJ17=1,IF(AND($E17=2,OQ17=0),1000000,INDEX('計算A'!BQ$110:BQ$114,$F17+1)+IF(AND($E17=1,OQ17=0),1000,0)),1000000))</f>
        <v/>
      </c>
      <c r="XY17">
        <f>IF($B17=0,1000000,IF(INDEX('計算A'!$D$60:$II$104,$B17,67)*FK17=1,IF(AND($E17=2,OR17=0),1000000,INDEX('計算A'!BR$110:BR$114,$F17+1)+IF(AND($E17=1,OR17=0),1000,0)),1000000))</f>
        <v/>
      </c>
      <c r="XZ17">
        <f>IF($B17=0,1000000,IF(INDEX('計算A'!$D$60:$II$104,$B17,68)*FL17=1,IF(AND($E17=2,OS17=0),1000000,INDEX('計算A'!BS$110:BS$114,$F17+1)+IF(AND($E17=1,OS17=0),1000,0)),1000000))</f>
        <v/>
      </c>
      <c r="YA17">
        <f>IF($B17=0,1000000,IF(INDEX('計算A'!$D$60:$II$104,$B17,69)*FM17=1,IF(AND($E17=2,OT17=0),1000000,INDEX('計算A'!BT$110:BT$114,$F17+1)+IF(AND($E17=1,OT17=0),1000,0)),1000000))</f>
        <v/>
      </c>
      <c r="YB17">
        <f>IF($B17=0,1000000,IF(INDEX('計算A'!$D$60:$II$104,$B17,70)*FN17=1,IF(AND($E17=2,OU17=0),1000000,INDEX('計算A'!BU$110:BU$114,$F17+1)+IF(AND($E17=1,OU17=0),1000,0)),1000000))</f>
        <v/>
      </c>
      <c r="YC17">
        <f>IF($B17=0,1000000,IF(INDEX('計算A'!$D$60:$II$104,$B17,71)*FO17=1,IF(AND($E17=2,OV17=0),1000000,INDEX('計算A'!BV$110:BV$114,$F17+1)+IF(AND($E17=1,OV17=0),1000,0)),1000000))</f>
        <v/>
      </c>
      <c r="YD17">
        <f>IF($B17=0,1000000,IF(INDEX('計算A'!$D$60:$II$104,$B17,72)*FP17=1,IF(AND($E17=2,OW17=0),1000000,INDEX('計算A'!BW$110:BW$114,$F17+1)+IF(AND($E17=1,OW17=0),1000,0)),1000000))</f>
        <v/>
      </c>
      <c r="YE17">
        <f>IF($B17=0,1000000,IF(INDEX('計算A'!$D$60:$II$104,$B17,73)*FQ17=1,IF(AND($E17=2,OX17=0),1000000,INDEX('計算A'!BX$110:BX$114,$F17+1)+IF(AND($E17=1,OX17=0),1000,0)),1000000))</f>
        <v/>
      </c>
      <c r="YF17">
        <f>IF($B17=0,1000000,IF(INDEX('計算A'!$D$60:$II$104,$B17,74)*FR17=1,IF(AND($E17=2,OY17=0),1000000,INDEX('計算A'!BY$110:BY$114,$F17+1)+IF(AND($E17=1,OY17=0),1000,0)),1000000))</f>
        <v/>
      </c>
      <c r="YG17">
        <f>IF($B17=0,1000000,IF(INDEX('計算A'!$D$60:$II$104,$B17,75)*FS17=1,IF(AND($E17=2,OZ17=0),1000000,INDEX('計算A'!BZ$110:BZ$114,$F17+1)+IF(AND($E17=1,OZ17=0),1000,0)),1000000))</f>
        <v/>
      </c>
      <c r="YH17">
        <f>IF($B17=0,1000000,IF(INDEX('計算A'!$D$60:$II$104,$B17,76)*FT17=1,IF(AND($E17=2,PA17=0),1000000,INDEX('計算A'!CA$110:CA$114,$F17+1)+IF(AND($E17=1,PA17=0),1000,0)),1000000))</f>
        <v/>
      </c>
      <c r="YI17">
        <f>IF($B17=0,1000000,IF(INDEX('計算A'!$D$60:$II$104,$B17,77)*FU17=1,IF(AND($E17=2,PB17=0),1000000,INDEX('計算A'!CB$110:CB$114,$F17+1)+IF(AND($E17=1,PB17=0),1000,0)),1000000))</f>
        <v/>
      </c>
      <c r="YJ17">
        <f>IF($B17=0,1000000,IF(INDEX('計算A'!$D$60:$II$104,$B17,78)*FV17=1,IF(AND($E17=2,PC17=0),1000000,INDEX('計算A'!CC$110:CC$114,$F17+1)+IF(AND($E17=1,PC17=0),1000,0)),1000000))</f>
        <v/>
      </c>
      <c r="YK17">
        <f>IF($B17=0,1000000,IF(INDEX('計算A'!$D$60:$II$104,$B17,79)*FW17=1,IF(AND($E17=2,PD17=0),1000000,INDEX('計算A'!CD$110:CD$114,$F17+1)+IF(AND($E17=1,PD17=0),1000,0)),1000000))</f>
        <v/>
      </c>
      <c r="YL17">
        <f>IF($B17=0,1000000,IF(INDEX('計算A'!$D$60:$II$104,$B17,80)*FX17=1,IF(AND($E17=2,PE17=0),1000000,INDEX('計算A'!CE$110:CE$114,$F17+1)+IF(AND($E17=1,PE17=0),1000,0)),1000000))</f>
        <v/>
      </c>
      <c r="YM17">
        <f>IF($B17=0,1000000,IF(INDEX('計算A'!$D$60:$II$104,$B17,81)*FY17=1,IF(AND($E17=2,PF17=0),1000000,INDEX('計算A'!CF$110:CF$114,$F17+1)+IF(AND($E17=1,PF17=0),1000,0)),1000000))</f>
        <v/>
      </c>
      <c r="YN17">
        <f>IF($B17=0,1000000,IF(INDEX('計算A'!$D$60:$II$104,$B17,82)*FZ17=1,IF(AND($E17=2,PG17=0),1000000,INDEX('計算A'!CG$110:CG$114,$F17+1)+IF(AND($E17=1,PG17=0),1000,0)),1000000))</f>
        <v/>
      </c>
      <c r="YO17">
        <f>IF($B17=0,1000000,IF(INDEX('計算A'!$D$60:$II$104,$B17,83)*GA17=1,IF(AND($E17=2,PH17=0),1000000,INDEX('計算A'!CH$110:CH$114,$F17+1)+IF(AND($E17=1,PH17=0),1000,0)),1000000))</f>
        <v/>
      </c>
      <c r="YP17">
        <f>IF($B17=0,1000000,IF(INDEX('計算A'!$D$60:$II$104,$B17,84)*GB17=1,IF(AND($E17=2,PI17=0),1000000,INDEX('計算A'!CI$110:CI$114,$F17+1)+IF(AND($E17=1,PI17=0),1000,0)),1000000))</f>
        <v/>
      </c>
      <c r="YQ17">
        <f>IF($B17=0,1000000,IF(INDEX('計算A'!$D$60:$II$104,$B17,85)*GC17=1,IF(AND($E17=2,PJ17=0),1000000,INDEX('計算A'!CJ$110:CJ$114,$F17+1)+IF(AND($E17=1,PJ17=0),1000,0)),1000000))</f>
        <v/>
      </c>
      <c r="YR17">
        <f>IF($B17=0,1000000,IF(INDEX('計算A'!$D$60:$II$104,$B17,86)*GD17=1,IF(AND($E17=2,PK17=0),1000000,INDEX('計算A'!CK$110:CK$114,$F17+1)+IF(AND($E17=1,PK17=0),1000,0)),1000000))</f>
        <v/>
      </c>
      <c r="YS17">
        <f>IF($B17=0,1000000,IF(INDEX('計算A'!$D$60:$II$104,$B17,87)*GE17=1,IF(AND($E17=2,PL17=0),1000000,INDEX('計算A'!CL$110:CL$114,$F17+1)+IF(AND($E17=1,PL17=0),1000,0)),1000000))</f>
        <v/>
      </c>
      <c r="YT17">
        <f>IF($B17=0,1000000,IF(INDEX('計算A'!$D$60:$II$104,$B17,88)*GF17=1,IF(AND($E17=2,PM17=0),1000000,INDEX('計算A'!CM$110:CM$114,$F17+1)+IF(AND($E17=1,PM17=0),1000,0)),1000000))</f>
        <v/>
      </c>
      <c r="YU17">
        <f>IF($B17=0,1000000,IF(INDEX('計算A'!$D$60:$II$104,$B17,89)*GG17=1,IF(AND($E17=2,PN17=0),1000000,INDEX('計算A'!CN$110:CN$114,$F17+1)+IF(AND($E17=1,PN17=0),1000,0)),1000000))</f>
        <v/>
      </c>
      <c r="YV17">
        <f>IF($B17=0,1000000,IF(INDEX('計算A'!$D$60:$II$104,$B17,90)*GH17=1,IF(AND($E17=2,PO17=0),1000000,INDEX('計算A'!CO$110:CO$114,$F17+1)+IF(AND($E17=1,PO17=0),1000,0)),1000000))</f>
        <v/>
      </c>
      <c r="YW17">
        <f>IF($B17=0,1000000,IF(INDEX('計算A'!$D$60:$II$104,$B17,91)*GI17=1,IF(AND($E17=2,PP17=0),1000000,INDEX('計算A'!CP$110:CP$114,$F17+1)+IF(AND($E17=1,PP17=0),1000,0)),1000000))</f>
        <v/>
      </c>
      <c r="YX17">
        <f>IF($B17=0,1000000,IF(INDEX('計算A'!$D$60:$II$104,$B17,92)*GJ17=1,IF(AND($E17=2,PQ17=0),1000000,INDEX('計算A'!CQ$110:CQ$114,$F17+1)+IF(AND($E17=1,PQ17=0),1000,0)),1000000))</f>
        <v/>
      </c>
      <c r="YY17">
        <f>IF($B17=0,1000000,IF(INDEX('計算A'!$D$60:$II$104,$B17,93)*GK17=1,IF(AND($E17=2,PR17=0),1000000,INDEX('計算A'!CR$110:CR$114,$F17+1)+IF(AND($E17=1,PR17=0),1000,0)),1000000))</f>
        <v/>
      </c>
      <c r="YZ17">
        <f>IF($B17=0,1000000,IF(INDEX('計算A'!$D$60:$II$104,$B17,94)*GL17=1,IF(AND($E17=2,PS17=0),1000000,INDEX('計算A'!CS$110:CS$114,$F17+1)+IF(AND($E17=1,PS17=0),1000,0)),1000000))</f>
        <v/>
      </c>
      <c r="ZA17">
        <f>IF($B17=0,1000000,IF(INDEX('計算A'!$D$60:$II$104,$B17,95)*GM17=1,IF(AND($E17=2,PT17=0),1000000,INDEX('計算A'!CT$110:CT$114,$F17+1)+IF(AND($E17=1,PT17=0),1000,0)),1000000))</f>
        <v/>
      </c>
      <c r="ZB17">
        <f>IF($B17=0,1000000,IF(INDEX('計算A'!$D$60:$II$104,$B17,96)*GN17=1,IF(AND($E17=2,PU17=0),1000000,INDEX('計算A'!CU$110:CU$114,$F17+1)+IF(AND($E17=1,PU17=0),1000,0)),1000000))</f>
        <v/>
      </c>
      <c r="ZC17">
        <f>IF($B17=0,1000000,IF(INDEX('計算A'!$D$60:$II$104,$B17,97)*GO17=1,IF(AND($E17=2,PV17=0),1000000,INDEX('計算A'!CV$110:CV$114,$F17+1)+IF(AND($E17=1,PV17=0),1000,0)),1000000))</f>
        <v/>
      </c>
      <c r="ZD17">
        <f>IF($B17=0,1000000,IF(INDEX('計算A'!$D$60:$II$104,$B17,98)*GP17=1,IF(AND($E17=2,PW17=0),1000000,INDEX('計算A'!CW$110:CW$114,$F17+1)+IF(AND($E17=1,PW17=0),1000,0)),1000000))</f>
        <v/>
      </c>
      <c r="ZE17">
        <f>IF($B17=0,1000000,IF(INDEX('計算A'!$D$60:$II$104,$B17,99)*GQ17=1,IF(AND($E17=2,PX17=0),1000000,INDEX('計算A'!CX$110:CX$114,$F17+1)+IF(AND($E17=1,PX17=0),1000,0)),1000000))</f>
        <v/>
      </c>
      <c r="ZF17">
        <f>IF($B17=0,1000000,IF(INDEX('計算A'!$D$60:$II$104,$B17,100)*GR17=1,IF(AND($E17=2,PY17=0),1000000,INDEX('計算A'!CY$110:CY$114,$F17+1)+IF(AND($E17=1,PY17=0),1000,0)),1000000))</f>
        <v/>
      </c>
      <c r="ZG17">
        <f>IF($B17=0,1000000,IF(INDEX('計算A'!$D$60:$II$104,$B17,101)*GS17=1,IF(AND($E17=2,PZ17=0),1000000,INDEX('計算A'!CZ$110:CZ$114,$F17+1)+IF(AND($E17=1,PZ17=0),1000,0)),1000000))</f>
        <v/>
      </c>
      <c r="ZH17">
        <f>IF($B17=0,1000000,IF(INDEX('計算A'!$D$60:$II$104,$B17,102)*GT17=1,IF(AND($E17=2,QA17=0),1000000,INDEX('計算A'!DA$110:DA$114,$F17+1)+IF(AND($E17=1,QA17=0),1000,0)),1000000))</f>
        <v/>
      </c>
      <c r="ZI17">
        <f>IF($B17=0,1000000,IF(INDEX('計算A'!$D$60:$II$104,$B17,103)*GU17=1,IF(AND($E17=2,QB17=0),1000000,INDEX('計算A'!DB$110:DB$114,$F17+1)+IF(AND($E17=1,QB17=0),1000,0)),1000000))</f>
        <v/>
      </c>
      <c r="ZJ17">
        <f>IF($B17=0,1000000,IF(INDEX('計算A'!$D$60:$II$104,$B17,104)*GV17=1,IF(AND($E17=2,QC17=0),1000000,INDEX('計算A'!DC$110:DC$114,$F17+1)+IF(AND($E17=1,QC17=0),1000,0)),1000000))</f>
        <v/>
      </c>
      <c r="ZK17">
        <f>IF($B17=0,1000000,IF(INDEX('計算A'!$D$60:$II$104,$B17,105)*GW17=1,IF(AND($E17=2,QD17=0),1000000,INDEX('計算A'!DD$110:DD$114,$F17+1)+IF(AND($E17=1,QD17=0),1000,0)),1000000))</f>
        <v/>
      </c>
      <c r="ZL17">
        <f>IF($B17=0,1000000,IF(INDEX('計算A'!$D$60:$II$104,$B17,106)*GX17=1,IF(AND($E17=2,QE17=0),1000000,INDEX('計算A'!DE$110:DE$114,$F17+1)+IF(AND($E17=1,QE17=0),1000,0)),1000000))</f>
        <v/>
      </c>
      <c r="ZM17">
        <f>IF($B17=0,1000000,IF(INDEX('計算A'!$D$60:$II$104,$B17,107)*GY17=1,IF(AND($E17=2,QF17=0),1000000,INDEX('計算A'!DF$110:DF$114,$F17+1)+IF(AND($E17=1,QF17=0),1000,0)),1000000))</f>
        <v/>
      </c>
      <c r="ZN17">
        <f>IF($B17=0,1000000,IF(INDEX('計算A'!$D$60:$II$104,$B17,108)*GZ17=1,IF(AND($E17=2,QG17=0),1000000,INDEX('計算A'!DG$110:DG$114,$F17+1)+IF(AND($E17=1,QG17=0),1000,0)),1000000))</f>
        <v/>
      </c>
      <c r="ZO17">
        <f>IF($B17=0,1000000,IF(INDEX('計算A'!$D$60:$II$104,$B17,109)*HA17=1,IF(AND($E17=2,QH17=0),1000000,INDEX('計算A'!DH$110:DH$114,$F17+1)+IF(AND($E17=1,QH17=0),1000,0)),1000000))</f>
        <v/>
      </c>
      <c r="ZP17">
        <f>IF($B17=0,1000000,IF(INDEX('計算A'!$D$60:$II$104,$B17,110)*HB17=1,IF(AND($E17=2,QI17=0),1000000,INDEX('計算A'!DI$110:DI$114,$F17+1)+IF(AND($E17=1,QI17=0),1000,0)),1000000))</f>
        <v/>
      </c>
      <c r="ZQ17">
        <f>IF($B17=0,1000000,IF(INDEX('計算A'!$D$60:$II$104,$B17,111)*HC17=1,IF(AND($E17=2,QJ17=0),1000000,INDEX('計算A'!DJ$110:DJ$114,$F17+1)+IF(AND($E17=1,QJ17=0),1000,0)),1000000))</f>
        <v/>
      </c>
      <c r="ZR17">
        <f>IF($B17=0,1000000,IF(INDEX('計算A'!$D$60:$II$104,$B17,112)*HD17=1,IF(AND($E17=2,QK17=0),1000000,INDEX('計算A'!DK$110:DK$114,$F17+1)+IF(AND($E17=1,QK17=0),1000,0)),1000000))</f>
        <v/>
      </c>
      <c r="ZS17">
        <f>IF($B17=0,1000000,IF(INDEX('計算A'!$D$60:$II$104,$B17,113)*HE17=1,IF(AND($E17=2,QL17=0),1000000,INDEX('計算A'!DL$110:DL$114,$F17+1)+IF(AND($E17=1,QL17=0),1000,0)),1000000))</f>
        <v/>
      </c>
      <c r="ZT17">
        <f>IF($B17=0,1000000,IF(INDEX('計算A'!$D$60:$II$104,$B17,114)*HF17=1,IF(AND($E17=2,QM17=0),1000000,INDEX('計算A'!DM$110:DM$114,$F17+1)+IF(AND($E17=1,QM17=0),1000,0)),1000000))</f>
        <v/>
      </c>
      <c r="ZU17">
        <f>IF($B17=0,1000000,IF(INDEX('計算A'!$D$60:$II$104,$B17,115)*HG17=1,IF(AND($E17=2,QN17=0),1000000,INDEX('計算A'!DN$110:DN$114,$F17+1)+IF(AND($E17=1,QN17=0),1000,0)),1000000))</f>
        <v/>
      </c>
      <c r="ZV17">
        <f>IF($B17=0,1000000,IF(INDEX('計算A'!$D$60:$II$104,$B17,116)*HH17=1,IF(AND($E17=2,QO17=0),1000000,INDEX('計算A'!DO$110:DO$114,$F17+1)+IF(AND($E17=1,QO17=0),1000,0)),1000000))</f>
        <v/>
      </c>
      <c r="ZW17">
        <f>IF($B17=0,1000000,IF(INDEX('計算A'!$D$60:$II$104,$B17,117)*HI17=1,IF(AND($E17=2,QP17=0),1000000,INDEX('計算A'!DP$110:DP$114,$F17+1)+IF(AND($E17=1,QP17=0),1000,0)),1000000))</f>
        <v/>
      </c>
      <c r="ZX17">
        <f>IF($B17=0,1000000,IF(INDEX('計算A'!$D$60:$II$104,$B17,118)*HJ17=1,IF(AND($E17=2,QQ17=0),1000000,INDEX('計算A'!DQ$110:DQ$114,$F17+1)+IF(AND($E17=1,QQ17=0),1000,0)),1000000))</f>
        <v/>
      </c>
      <c r="ZY17">
        <f>IF($B17=0,1000000,IF(INDEX('計算A'!$D$60:$II$104,$B17,119)*HK17=1,IF(AND($E17=2,QR17=0),1000000,INDEX('計算A'!DR$110:DR$114,$F17+1)+IF(AND($E17=1,QR17=0),1000,0)),1000000))</f>
        <v/>
      </c>
      <c r="ZZ17">
        <f>IF($B17=0,1000000,IF(INDEX('計算A'!$D$60:$II$104,$B17,120)*HL17=1,IF(AND($E17=2,QS17=0),1000000,INDEX('計算A'!DS$110:DS$114,$F17+1)+IF(AND($E17=1,QS17=0),1000,0)),1000000))</f>
        <v/>
      </c>
      <c r="AAA17">
        <f>IF($B17=0,1000000,IF(INDEX('計算A'!$D$60:$II$104,$B17,121)*HM17=1,IF(AND($E17=2,QT17=0),1000000,INDEX('計算A'!DT$110:DT$114,$F17+1)+IF(AND($E17=1,QT17=0),1000,0)),1000000))</f>
        <v/>
      </c>
      <c r="AAB17">
        <f>IF($B17=0,1000000,IF(INDEX('計算A'!$D$60:$II$104,$B17,122)*HN17=1,IF(AND($E17=2,QU17=0),1000000,INDEX('計算A'!DU$110:DU$114,$F17+1)+IF(AND($E17=1,QU17=0),1000,0)),1000000))</f>
        <v/>
      </c>
      <c r="AAC17">
        <f>IF($B17=0,1000000,IF(INDEX('計算A'!$D$60:$II$104,$B17,123)*HO17=1,IF(AND($E17=2,QV17=0),1000000,INDEX('計算A'!DV$110:DV$114,$F17+1)+IF(AND($E17=1,QV17=0),1000,0)),1000000))</f>
        <v/>
      </c>
      <c r="AAD17">
        <f>IF($B17=0,1000000,IF(INDEX('計算A'!$D$60:$II$104,$B17,124)*HP17=1,IF(AND($E17=2,QW17=0),1000000,INDEX('計算A'!DW$110:DW$114,$F17+1)+IF(AND($E17=1,QW17=0),1000,0)),1000000))</f>
        <v/>
      </c>
      <c r="AAE17">
        <f>IF($B17=0,1000000,IF(INDEX('計算A'!$D$60:$II$104,$B17,125)*HQ17=1,IF(AND($E17=2,QX17=0),1000000,INDEX('計算A'!DX$110:DX$114,$F17+1)+IF(AND($E17=1,QX17=0),1000,0)),1000000))</f>
        <v/>
      </c>
      <c r="AAF17">
        <f>IF($B17=0,1000000,IF(INDEX('計算A'!$D$60:$II$104,$B17,126)*HR17=1,IF(AND($E17=2,QY17=0),1000000,INDEX('計算A'!DY$110:DY$114,$F17+1)+IF(AND($E17=1,QY17=0),1000,0)),1000000))</f>
        <v/>
      </c>
      <c r="AAG17">
        <f>IF($B17=0,1000000,IF(INDEX('計算A'!$D$60:$II$104,$B17,127)*HS17=1,IF(AND($E17=2,QZ17=0),1000000,INDEX('計算A'!DZ$110:DZ$114,$F17+1)+IF(AND($E17=1,QZ17=0),1000,0)),1000000))</f>
        <v/>
      </c>
      <c r="AAH17">
        <f>IF($B17=0,1000000,IF(INDEX('計算A'!$D$60:$II$104,$B17,128)*HT17=1,IF(AND($E17=2,RA17=0),1000000,INDEX('計算A'!EA$110:EA$114,$F17+1)+IF(AND($E17=1,RA17=0),1000,0)),1000000))</f>
        <v/>
      </c>
      <c r="AAI17">
        <f>IF($B17=0,1000000,IF(INDEX('計算A'!$D$60:$II$104,$B17,129)*HU17=1,IF(AND($E17=2,RB17=0),1000000,INDEX('計算A'!EB$110:EB$114,$F17+1)+IF(AND($E17=1,RB17=0),1000,0)),1000000))</f>
        <v/>
      </c>
      <c r="AAJ17">
        <f>IF($B17=0,1000000,IF(INDEX('計算A'!$D$60:$II$104,$B17,130)*HV17=1,IF(AND($E17=2,RC17=0),1000000,INDEX('計算A'!EC$110:EC$114,$F17+1)+IF(AND($E17=1,RC17=0),1000,0)),1000000))</f>
        <v/>
      </c>
      <c r="AAK17">
        <f>IF($B17=0,1000000,IF(INDEX('計算A'!$D$60:$II$104,$B17,131)*HW17=1,IF(AND($E17=2,RD17=0),1000000,INDEX('計算A'!ED$110:ED$114,$F17+1)+IF(AND($E17=1,RD17=0),1000,0)),1000000))</f>
        <v/>
      </c>
      <c r="AAL17">
        <f>IF($B17=0,1000000,IF(INDEX('計算A'!$D$60:$II$104,$B17,132)*HX17=1,IF(AND($E17=2,RE17=0),1000000,INDEX('計算A'!EE$110:EE$114,$F17+1)+IF(AND($E17=1,RE17=0),1000,0)),1000000))</f>
        <v/>
      </c>
      <c r="AAM17">
        <f>IF($B17=0,1000000,IF(INDEX('計算A'!$D$60:$II$104,$B17,133)*HY17=1,IF(AND($E17=2,RF17=0),1000000,INDEX('計算A'!EF$110:EF$114,$F17+1)+IF(AND($E17=1,RF17=0),1000,0)),1000000))</f>
        <v/>
      </c>
      <c r="AAN17">
        <f>IF($B17=0,1000000,IF(INDEX('計算A'!$D$60:$II$104,$B17,134)*HZ17=1,IF(AND($E17=2,RG17=0),1000000,INDEX('計算A'!EG$110:EG$114,$F17+1)+IF(AND($E17=1,RG17=0),1000,0)),1000000))</f>
        <v/>
      </c>
      <c r="AAO17">
        <f>IF($B17=0,1000000,IF(INDEX('計算A'!$D$60:$II$104,$B17,135)*IA17=1,IF(AND($E17=2,RH17=0),1000000,INDEX('計算A'!EH$110:EH$114,$F17+1)+IF(AND($E17=1,RH17=0),1000,0)),1000000))</f>
        <v/>
      </c>
      <c r="AAP17">
        <f>IF($B17=0,1000000,IF(INDEX('計算A'!$D$60:$II$104,$B17,136)*IB17=1,IF(AND($E17=2,RI17=0),1000000,INDEX('計算A'!EI$110:EI$114,$F17+1)+IF(AND($E17=1,RI17=0),1000,0)),1000000))</f>
        <v/>
      </c>
      <c r="AAQ17">
        <f>IF($B17=0,1000000,IF(INDEX('計算A'!$D$60:$II$104,$B17,137)*IC17=1,IF(AND($E17=2,RJ17=0),1000000,INDEX('計算A'!EJ$110:EJ$114,$F17+1)+IF(AND($E17=1,RJ17=0),1000,0)),1000000))</f>
        <v/>
      </c>
      <c r="AAR17">
        <f>IF($B17=0,1000000,IF(INDEX('計算A'!$D$60:$II$104,$B17,138)*ID17=1,IF(AND($E17=2,RK17=0),1000000,INDEX('計算A'!EK$110:EK$114,$F17+1)+IF(AND($E17=1,RK17=0),1000,0)),1000000))</f>
        <v/>
      </c>
      <c r="AAS17">
        <f>IF($B17=0,1000000,IF(INDEX('計算A'!$D$60:$II$104,$B17,139)*IE17=1,IF(AND($E17=2,RL17=0),1000000,INDEX('計算A'!EL$110:EL$114,$F17+1)+IF(AND($E17=1,RL17=0),1000,0)),1000000))</f>
        <v/>
      </c>
      <c r="AAT17">
        <f>IF($B17=0,1000000,IF(INDEX('計算A'!$D$60:$II$104,$B17,140)*IF17=1,IF(AND($E17=2,RM17=0),1000000,INDEX('計算A'!EM$110:EM$114,$F17+1)+IF(AND($E17=1,RM17=0),1000,0)),1000000))</f>
        <v/>
      </c>
      <c r="AAU17">
        <f>IF($B17=0,1000000,IF(INDEX('計算A'!$D$60:$II$104,$B17,141)*IG17=1,IF(AND($E17=2,RN17=0),1000000,INDEX('計算A'!EN$110:EN$114,$F17+1)+IF(AND($E17=1,RN17=0),1000,0)),1000000))</f>
        <v/>
      </c>
      <c r="AAV17">
        <f>IF($B17=0,1000000,IF(INDEX('計算A'!$D$60:$II$104,$B17,142)*IH17=1,IF(AND($E17=2,RO17=0),1000000,INDEX('計算A'!EO$110:EO$114,$F17+1)+IF(AND($E17=1,RO17=0),1000,0)),1000000))</f>
        <v/>
      </c>
      <c r="AAW17">
        <f>IF($B17=0,1000000,IF(INDEX('計算A'!$D$60:$II$104,$B17,143)*II17=1,IF(AND($E17=2,RP17=0),1000000,INDEX('計算A'!EP$110:EP$114,$F17+1)+IF(AND($E17=1,RP17=0),1000,0)),1000000))</f>
        <v/>
      </c>
      <c r="AAX17">
        <f>IF($B17=0,1000000,IF(INDEX('計算A'!$D$60:$II$104,$B17,144)*IJ17=1,IF(AND($E17=2,RQ17=0),1000000,INDEX('計算A'!EQ$110:EQ$114,$F17+1)+IF(AND($E17=1,RQ17=0),1000,0)),1000000))</f>
        <v/>
      </c>
      <c r="AAY17">
        <f>IF($B17=0,1000000,IF(INDEX('計算A'!$D$60:$II$104,$B17,145)*IK17=1,IF(AND($E17=2,RR17=0),1000000,INDEX('計算A'!ER$110:ER$114,$F17+1)+IF(AND($E17=1,RR17=0),1000,0)),1000000))</f>
        <v/>
      </c>
      <c r="AAZ17">
        <f>IF($B17=0,1000000,IF(INDEX('計算A'!$D$60:$II$104,$B17,146)*IL17=1,IF(AND($E17=2,RS17=0),1000000,INDEX('計算A'!ES$110:ES$114,$F17+1)+IF(AND($E17=1,RS17=0),1000,0)),1000000))</f>
        <v/>
      </c>
      <c r="ABA17">
        <f>IF($B17=0,1000000,IF(INDEX('計算A'!$D$60:$II$104,$B17,147)*IM17=1,IF(AND($E17=2,RT17=0),1000000,INDEX('計算A'!ET$110:ET$114,$F17+1)+IF(AND($E17=1,RT17=0),1000,0)),1000000))</f>
        <v/>
      </c>
      <c r="ABB17">
        <f>IF($B17=0,1000000,IF(INDEX('計算A'!$D$60:$II$104,$B17,148)*IN17=1,IF(AND($E17=2,RU17=0),1000000,INDEX('計算A'!EU$110:EU$114,$F17+1)+IF(AND($E17=1,RU17=0),1000,0)),1000000))</f>
        <v/>
      </c>
      <c r="ABC17">
        <f>IF($B17=0,1000000,IF(INDEX('計算A'!$D$60:$II$104,$B17,149)*IO17=1,IF(AND($E17=2,RV17=0),1000000,INDEX('計算A'!EV$110:EV$114,$F17+1)+IF(AND($E17=1,RV17=0),1000,0)),1000000))</f>
        <v/>
      </c>
      <c r="ABD17">
        <f>IF($B17=0,1000000,IF(INDEX('計算A'!$D$60:$II$104,$B17,150)*IP17=1,IF(AND($E17=2,RW17=0),1000000,INDEX('計算A'!EW$110:EW$114,$F17+1)+IF(AND($E17=1,RW17=0),1000,0)),1000000))</f>
        <v/>
      </c>
      <c r="ABE17">
        <f>IF($B17=0,1000000,IF(INDEX('計算A'!$D$60:$II$104,$B17,151)*IQ17=1,IF(AND($E17=2,RX17=0),1000000,INDEX('計算A'!EX$110:EX$114,$F17+1)+IF(AND($E17=1,RX17=0),1000,0)),1000000))</f>
        <v/>
      </c>
      <c r="ABF17">
        <f>IF($B17=0,1000000,IF(INDEX('計算A'!$D$60:$II$104,$B17,152)*IR17=1,IF(AND($E17=2,RY17=0),1000000,INDEX('計算A'!EY$110:EY$114,$F17+1)+IF(AND($E17=1,RY17=0),1000,0)),1000000))</f>
        <v/>
      </c>
      <c r="ABG17">
        <f>IF($B17=0,1000000,IF(INDEX('計算A'!$D$60:$II$104,$B17,153)*IS17=1,IF(AND($E17=2,RZ17=0),1000000,INDEX('計算A'!EZ$110:EZ$114,$F17+1)+IF(AND($E17=1,RZ17=0),1000,0)),1000000))</f>
        <v/>
      </c>
      <c r="ABH17">
        <f>IF($B17=0,1000000,IF(INDEX('計算A'!$D$60:$II$104,$B17,154)*IT17=1,IF(AND($E17=2,SA17=0),1000000,INDEX('計算A'!FA$110:FA$114,$F17+1)+IF(AND($E17=1,SA17=0),1000,0)),1000000))</f>
        <v/>
      </c>
      <c r="ABI17">
        <f>IF($B17=0,1000000,IF(INDEX('計算A'!$D$60:$II$104,$B17,155)*IU17=1,IF(AND($E17=2,SB17=0),1000000,INDEX('計算A'!FB$110:FB$114,$F17+1)+IF(AND($E17=1,SB17=0),1000,0)),1000000))</f>
        <v/>
      </c>
      <c r="ABJ17">
        <f>IF($B17=0,1000000,IF(INDEX('計算A'!$D$60:$II$104,$B17,156)*IV17=1,IF(AND($E17=2,SC17=0),1000000,INDEX('計算A'!FC$110:FC$114,$F17+1)+IF(AND($E17=1,SC17=0),1000,0)),1000000))</f>
        <v/>
      </c>
      <c r="ABK17">
        <f>IF($B17=0,1000000,IF(INDEX('計算A'!$D$60:$II$104,$B17,157)*IW17=1,IF(AND($E17=2,SD17=0),1000000,INDEX('計算A'!FD$110:FD$114,$F17+1)+IF(AND($E17=1,SD17=0),1000,0)),1000000))</f>
        <v/>
      </c>
      <c r="ABL17">
        <f>IF($B17=0,1000000,IF(INDEX('計算A'!$D$60:$II$104,$B17,158)*IX17=1,IF(AND($E17=2,SE17=0),1000000,INDEX('計算A'!FE$110:FE$114,$F17+1)+IF(AND($E17=1,SE17=0),1000,0)),1000000))</f>
        <v/>
      </c>
      <c r="ABM17">
        <f>IF($B17=0,1000000,IF(INDEX('計算A'!$D$60:$II$104,$B17,159)*IY17=1,IF(AND($E17=2,SF17=0),1000000,INDEX('計算A'!FF$110:FF$114,$F17+1)+IF(AND($E17=1,SF17=0),1000,0)),1000000))</f>
        <v/>
      </c>
      <c r="ABN17">
        <f>IF($B17=0,1000000,IF(INDEX('計算A'!$D$60:$II$104,$B17,160)*IZ17=1,IF(AND($E17=2,SG17=0),1000000,INDEX('計算A'!FG$110:FG$114,$F17+1)+IF(AND($E17=1,SG17=0),1000,0)),1000000))</f>
        <v/>
      </c>
      <c r="ABO17">
        <f>IF($B17=0,1000000,IF(INDEX('計算A'!$D$60:$II$104,$B17,161)*JA17=1,IF(AND($E17=2,SH17=0),1000000,INDEX('計算A'!FH$110:FH$114,$F17+1)+IF(AND($E17=1,SH17=0),1000,0)),1000000))</f>
        <v/>
      </c>
      <c r="ABP17">
        <f>IF($B17=0,1000000,IF(INDEX('計算A'!$D$60:$II$104,$B17,162)*JB17=1,IF(AND($E17=2,SI17=0),1000000,INDEX('計算A'!FI$110:FI$114,$F17+1)+IF(AND($E17=1,SI17=0),1000,0)),1000000))</f>
        <v/>
      </c>
      <c r="ABQ17">
        <f>IF($B17=0,1000000,IF(INDEX('計算A'!$D$60:$II$104,$B17,163)*JC17=1,IF(AND($E17=2,SJ17=0),1000000,INDEX('計算A'!FJ$110:FJ$114,$F17+1)+IF(AND($E17=1,SJ17=0),1000,0)),1000000))</f>
        <v/>
      </c>
      <c r="ABR17">
        <f>IF($B17=0,1000000,IF(INDEX('計算A'!$D$60:$II$104,$B17,164)*JD17=1,IF(AND($E17=2,SK17=0),1000000,INDEX('計算A'!FK$110:FK$114,$F17+1)+IF(AND($E17=1,SK17=0),1000,0)),1000000))</f>
        <v/>
      </c>
      <c r="ABS17">
        <f>IF($B17=0,1000000,IF(INDEX('計算A'!$D$60:$II$104,$B17,165)*JE17=1,IF(AND($E17=2,SL17=0),1000000,INDEX('計算A'!FL$110:FL$114,$F17+1)+IF(AND($E17=1,SL17=0),1000,0)),1000000))</f>
        <v/>
      </c>
      <c r="ABT17">
        <f>IF($B17=0,1000000,IF(INDEX('計算A'!$D$60:$II$104,$B17,166)*JF17=1,IF(AND($E17=2,SM17=0),1000000,INDEX('計算A'!FM$110:FM$114,$F17+1)+IF(AND($E17=1,SM17=0),1000,0)),1000000))</f>
        <v/>
      </c>
      <c r="ABU17">
        <f>IF($B17=0,1000000,IF(INDEX('計算A'!$D$60:$II$104,$B17,167)*JG17=1,IF(AND($E17=2,SN17=0),1000000,INDEX('計算A'!FN$110:FN$114,$F17+1)+IF(AND($E17=1,SN17=0),1000,0)),1000000))</f>
        <v/>
      </c>
      <c r="ABV17">
        <f>IF($B17=0,1000000,IF(INDEX('計算A'!$D$60:$II$104,$B17,168)*JH17=1,IF(AND($E17=2,SO17=0),1000000,INDEX('計算A'!FO$110:FO$114,$F17+1)+IF(AND($E17=1,SO17=0),1000,0)),1000000))</f>
        <v/>
      </c>
      <c r="ABW17">
        <f>IF($B17=0,1000000,IF(INDEX('計算A'!$D$60:$II$104,$B17,169)*JI17=1,IF(AND($E17=2,SP17=0),1000000,INDEX('計算A'!FP$110:FP$114,$F17+1)+IF(AND($E17=1,SP17=0),1000,0)),1000000))</f>
        <v/>
      </c>
      <c r="ABX17">
        <f>IF($B17=0,1000000,IF(INDEX('計算A'!$D$60:$II$104,$B17,170)*JJ17=1,IF(AND($E17=2,SQ17=0),1000000,INDEX('計算A'!FQ$110:FQ$114,$F17+1)+IF(AND($E17=1,SQ17=0),1000,0)),1000000))</f>
        <v/>
      </c>
      <c r="ABY17">
        <f>IF($B17=0,1000000,IF(INDEX('計算A'!$D$60:$II$104,$B17,171)*JK17=1,IF(AND($E17=2,SR17=0),1000000,INDEX('計算A'!FR$110:FR$114,$F17+1)+IF(AND($E17=1,SR17=0),1000,0)),1000000))</f>
        <v/>
      </c>
      <c r="ABZ17">
        <f>IF($B17=0,1000000,IF(INDEX('計算A'!$D$60:$II$104,$B17,172)*JL17=1,IF(AND($E17=2,SS17=0),1000000,INDEX('計算A'!FS$110:FS$114,$F17+1)+IF(AND($E17=1,SS17=0),1000,0)),1000000))</f>
        <v/>
      </c>
      <c r="ACA17">
        <f>IF($B17=0,1000000,IF(INDEX('計算A'!$D$60:$II$104,$B17,173)*JM17=1,IF(AND($E17=2,ST17=0),1000000,INDEX('計算A'!FT$110:FT$114,$F17+1)+IF(AND($E17=1,ST17=0),1000,0)),1000000))</f>
        <v/>
      </c>
      <c r="ACB17">
        <f>IF($B17=0,1000000,IF(INDEX('計算A'!$D$60:$II$104,$B17,174)*JN17=1,IF(AND($E17=2,SU17=0),1000000,INDEX('計算A'!FU$110:FU$114,$F17+1)+IF(AND($E17=1,SU17=0),1000,0)),1000000))</f>
        <v/>
      </c>
      <c r="ACC17">
        <f>IF($B17=0,1000000,IF(INDEX('計算A'!$D$60:$II$104,$B17,175)*JO17=1,IF(AND($E17=2,SV17=0),1000000,INDEX('計算A'!FV$110:FV$114,$F17+1)+IF(AND($E17=1,SV17=0),1000,0)),1000000))</f>
        <v/>
      </c>
      <c r="ACD17">
        <f>IF($B17=0,1000000,IF(INDEX('計算A'!$D$60:$II$104,$B17,176)*JP17=1,IF(AND($E17=2,SW17=0),1000000,INDEX('計算A'!FW$110:FW$114,$F17+1)+IF(AND($E17=1,SW17=0),1000,0)),1000000))</f>
        <v/>
      </c>
      <c r="ACE17">
        <f>IF($B17=0,1000000,IF(INDEX('計算A'!$D$60:$II$104,$B17,177)*JQ17=1,IF(AND($E17=2,SX17=0),1000000,INDEX('計算A'!FX$110:FX$114,$F17+1)+IF(AND($E17=1,SX17=0),1000,0)),1000000))</f>
        <v/>
      </c>
      <c r="ACF17">
        <f>IF($B17=0,1000000,IF(INDEX('計算A'!$D$60:$II$104,$B17,178)*JR17=1,IF(AND($E17=2,SY17=0),1000000,INDEX('計算A'!FY$110:FY$114,$F17+1)+IF(AND($E17=1,SY17=0),1000,0)),1000000))</f>
        <v/>
      </c>
      <c r="ACG17">
        <f>IF($B17=0,1000000,IF(INDEX('計算A'!$D$60:$II$104,$B17,179)*JS17=1,IF(AND($E17=2,SZ17=0),1000000,INDEX('計算A'!FZ$110:FZ$114,$F17+1)+IF(AND($E17=1,SZ17=0),1000,0)),1000000))</f>
        <v/>
      </c>
      <c r="ACH17">
        <f>IF($B17=0,1000000,IF(INDEX('計算A'!$D$60:$II$104,$B17,180)*JT17=1,IF(AND($E17=2,TA17=0),1000000,INDEX('計算A'!GA$110:GA$114,$F17+1)+IF(AND($E17=1,TA17=0),1000,0)),1000000))</f>
        <v/>
      </c>
      <c r="ACI17">
        <f>IF($B17=0,1000000,IF(INDEX('計算A'!$D$60:$II$104,$B17,181)*JU17=1,IF(AND($E17=2,TB17=0),1000000,INDEX('計算A'!GB$110:GB$114,$F17+1)+IF(AND($E17=1,TB17=0),1000,0)),1000000))</f>
        <v/>
      </c>
      <c r="ACJ17">
        <f>IF($B17=0,1000000,IF(INDEX('計算A'!$D$60:$II$104,$B17,182)*JV17=1,IF(AND($E17=2,TC17=0),1000000,INDEX('計算A'!GC$110:GC$114,$F17+1)+IF(AND($E17=1,TC17=0),1000,0)),1000000))</f>
        <v/>
      </c>
      <c r="ACK17">
        <f>IF($B17=0,1000000,IF(INDEX('計算A'!$D$60:$II$104,$B17,183)*JW17=1,IF(AND($E17=2,TD17=0),1000000,INDEX('計算A'!GD$110:GD$114,$F17+1)+IF(AND($E17=1,TD17=0),1000,0)),1000000))</f>
        <v/>
      </c>
      <c r="ACL17">
        <f>IF($B17=0,1000000,IF(INDEX('計算A'!$D$60:$II$104,$B17,184)*JX17=1,IF(AND($E17=2,TE17=0),1000000,INDEX('計算A'!GE$110:GE$114,$F17+1)+IF(AND($E17=1,TE17=0),1000,0)),1000000))</f>
        <v/>
      </c>
      <c r="ACM17">
        <f>IF($B17=0,1000000,IF(INDEX('計算A'!$D$60:$II$104,$B17,185)*JY17=1,IF(AND($E17=2,TF17=0),1000000,INDEX('計算A'!GF$110:GF$114,$F17+1)+IF(AND($E17=1,TF17=0),1000,0)),1000000))</f>
        <v/>
      </c>
      <c r="ACN17">
        <f>IF($B17=0,1000000,IF(INDEX('計算A'!$D$60:$II$104,$B17,186)*JZ17=1,IF(AND($E17=2,TG17=0),1000000,INDEX('計算A'!GG$110:GG$114,$F17+1)+IF(AND($E17=1,TG17=0),1000,0)),1000000))</f>
        <v/>
      </c>
      <c r="ACO17">
        <f>IF($B17=0,1000000,IF(INDEX('計算A'!$D$60:$II$104,$B17,187)*KA17=1,IF(AND($E17=2,TH17=0),1000000,INDEX('計算A'!GH$110:GH$114,$F17+1)+IF(AND($E17=1,TH17=0),1000,0)),1000000))</f>
        <v/>
      </c>
      <c r="ACP17">
        <f>IF($B17=0,1000000,IF(INDEX('計算A'!$D$60:$II$104,$B17,188)*KB17=1,IF(AND($E17=2,TI17=0),1000000,INDEX('計算A'!GI$110:GI$114,$F17+1)+IF(AND($E17=1,TI17=0),1000,0)),1000000))</f>
        <v/>
      </c>
      <c r="ACQ17">
        <f>IF($B17=0,1000000,IF(INDEX('計算A'!$D$60:$II$104,$B17,189)*KC17=1,IF(AND($E17=2,TJ17=0),1000000,INDEX('計算A'!GJ$110:GJ$114,$F17+1)+IF(AND($E17=1,TJ17=0),1000,0)),1000000))</f>
        <v/>
      </c>
      <c r="ACR17">
        <f>IF($B17=0,1000000,IF(INDEX('計算A'!$D$60:$II$104,$B17,190)*KD17=1,IF(AND($E17=2,TK17=0),1000000,INDEX('計算A'!GK$110:GK$114,$F17+1)+IF(AND($E17=1,TK17=0),1000,0)),1000000))</f>
        <v/>
      </c>
      <c r="ACS17">
        <f>IF($B17=0,1000000,IF(INDEX('計算A'!$D$60:$II$104,$B17,191)*KE17=1,IF(AND($E17=2,TL17=0),1000000,INDEX('計算A'!GL$110:GL$114,$F17+1)+IF(AND($E17=1,TL17=0),1000,0)),1000000))</f>
        <v/>
      </c>
      <c r="ACT17">
        <f>IF($B17=0,1000000,IF(INDEX('計算A'!$D$60:$II$104,$B17,192)*KF17=1,IF(AND($E17=2,TM17=0),1000000,INDEX('計算A'!GM$110:GM$114,$F17+1)+IF(AND($E17=1,TM17=0),1000,0)),1000000))</f>
        <v/>
      </c>
      <c r="ACU17">
        <f>IF($B17=0,1000000,IF(INDEX('計算A'!$D$60:$II$104,$B17,193)*KG17=1,IF(AND($E17=2,TN17=0),1000000,INDEX('計算A'!GN$110:GN$114,$F17+1)+IF(AND($E17=1,TN17=0),1000,0)),1000000))</f>
        <v/>
      </c>
      <c r="ACV17">
        <f>IF($B17=0,1000000,IF(INDEX('計算A'!$D$60:$II$104,$B17,194)*KH17=1,IF(AND($E17=2,TO17=0),1000000,INDEX('計算A'!GO$110:GO$114,$F17+1)+IF(AND($E17=1,TO17=0),1000,0)),1000000))</f>
        <v/>
      </c>
      <c r="ACW17">
        <f>IF($B17=0,1000000,IF(INDEX('計算A'!$D$60:$II$104,$B17,195)*KI17=1,IF(AND($E17=2,TP17=0),1000000,INDEX('計算A'!GP$110:GP$114,$F17+1)+IF(AND($E17=1,TP17=0),1000,0)),1000000))</f>
        <v/>
      </c>
      <c r="ACX17">
        <f>IF($B17=0,1000000,IF(INDEX('計算A'!$D$60:$II$104,$B17,196)*KJ17=1,IF(AND($E17=2,TQ17=0),1000000,INDEX('計算A'!GQ$110:GQ$114,$F17+1)+IF(AND($E17=1,TQ17=0),1000,0)),1000000))</f>
        <v/>
      </c>
      <c r="ACY17">
        <f>IF($B17=0,1000000,IF(INDEX('計算A'!$D$60:$II$104,$B17,197)*KK17=1,IF(AND($E17=2,TR17=0),1000000,INDEX('計算A'!GR$110:GR$114,$F17+1)+IF(AND($E17=1,TR17=0),1000,0)),1000000))</f>
        <v/>
      </c>
      <c r="ACZ17">
        <f>IF($B17=0,1000000,IF(INDEX('計算A'!$D$60:$II$104,$B17,198)*KL17=1,IF(AND($E17=2,TS17=0),1000000,INDEX('計算A'!GS$110:GS$114,$F17+1)+IF(AND($E17=1,TS17=0),1000,0)),1000000))</f>
        <v/>
      </c>
      <c r="ADA17">
        <f>IF($B17=0,1000000,IF(INDEX('計算A'!$D$60:$II$104,$B17,199)*KM17=1,IF(AND($E17=2,TT17=0),1000000,INDEX('計算A'!GT$110:GT$114,$F17+1)+IF(AND($E17=1,TT17=0),1000,0)),1000000))</f>
        <v/>
      </c>
      <c r="ADB17">
        <f>IF($B17=0,1000000,IF(INDEX('計算A'!$D$60:$II$104,$B17,200)*KN17=1,IF(AND($E17=2,TU17=0),1000000,INDEX('計算A'!GU$110:GU$114,$F17+1)+IF(AND($E17=1,TU17=0),1000,0)),1000000))</f>
        <v/>
      </c>
      <c r="ADC17">
        <f>IF($B17=0,1000000,IF(INDEX('計算A'!$D$60:$II$104,$B17,201)*KO17=1,IF(AND($E17=2,TV17=0),1000000,INDEX('計算A'!GV$110:GV$114,$F17+1)+IF(AND($E17=1,TV17=0),1000,0)),1000000))</f>
        <v/>
      </c>
      <c r="ADD17">
        <f>IF($B17=0,1000000,IF(INDEX('計算A'!$D$60:$II$104,$B17,202)*KP17=1,IF(AND($E17=2,TW17=0),1000000,INDEX('計算A'!GW$110:GW$114,$F17+1)+IF(AND($E17=1,TW17=0),1000,0)),1000000))</f>
        <v/>
      </c>
      <c r="ADE17">
        <f>IF($B17=0,1000000,IF(INDEX('計算A'!$D$60:$II$104,$B17,203)*KQ17=1,IF(AND($E17=2,TX17=0),1000000,INDEX('計算A'!GX$110:GX$114,$F17+1)+IF(AND($E17=1,TX17=0),1000,0)),1000000))</f>
        <v/>
      </c>
      <c r="ADF17">
        <f>IF($B17=0,1000000,IF(INDEX('計算A'!$D$60:$II$104,$B17,204)*KR17=1,IF(AND($E17=2,TY17=0),1000000,INDEX('計算A'!GY$110:GY$114,$F17+1)+IF(AND($E17=1,TY17=0),1000,0)),1000000))</f>
        <v/>
      </c>
      <c r="ADG17">
        <f>IF($B17=0,1000000,IF(INDEX('計算A'!$D$60:$II$104,$B17,205)*KS17=1,IF(AND($E17=2,TZ17=0),1000000,INDEX('計算A'!GZ$110:GZ$114,$F17+1)+IF(AND($E17=1,TZ17=0),1000,0)),1000000))</f>
        <v/>
      </c>
      <c r="ADH17">
        <f>IF($B17=0,1000000,IF(INDEX('計算A'!$D$60:$II$104,$B17,206)*KT17=1,IF(AND($E17=2,UA17=0),1000000,INDEX('計算A'!HA$110:HA$114,$F17+1)+IF(AND($E17=1,UA17=0),1000,0)),1000000))</f>
        <v/>
      </c>
      <c r="ADI17">
        <f>IF($B17=0,1000000,IF(INDEX('計算A'!$D$60:$II$104,$B17,207)*KU17=1,IF(AND($E17=2,UB17=0),1000000,INDEX('計算A'!HB$110:HB$114,$F17+1)+IF(AND($E17=1,UB17=0),1000,0)),1000000))</f>
        <v/>
      </c>
      <c r="ADJ17">
        <f>IF($B17=0,1000000,IF(INDEX('計算A'!$D$60:$II$104,$B17,208)*KV17=1,IF(AND($E17=2,UC17=0),1000000,INDEX('計算A'!HC$110:HC$114,$F17+1)+IF(AND($E17=1,UC17=0),1000,0)),1000000))</f>
        <v/>
      </c>
      <c r="ADK17">
        <f>IF($B17=0,1000000,IF(INDEX('計算A'!$D$60:$II$104,$B17,209)*KW17=1,IF(AND($E17=2,UD17=0),1000000,INDEX('計算A'!HD$110:HD$114,$F17+1)+IF(AND($E17=1,UD17=0),1000,0)),1000000))</f>
        <v/>
      </c>
      <c r="ADL17">
        <f>IF($B17=0,1000000,IF(INDEX('計算A'!$D$60:$II$104,$B17,210)*KX17=1,IF(AND($E17=2,UE17=0),1000000,INDEX('計算A'!HE$110:HE$114,$F17+1)+IF(AND($E17=1,UE17=0),1000,0)),1000000))</f>
        <v/>
      </c>
      <c r="ADM17">
        <f>IF($B17=0,1000000,IF(INDEX('計算A'!$D$60:$II$104,$B17,211)*KY17=1,IF(AND($E17=2,UF17=0),1000000,INDEX('計算A'!HF$110:HF$114,$F17+1)+IF(AND($E17=1,UF17=0),1000,0)),1000000))</f>
        <v/>
      </c>
      <c r="ADN17">
        <f>IF($B17=0,1000000,IF(INDEX('計算A'!$D$60:$II$104,$B17,212)*KZ17=1,IF(AND($E17=2,UG17=0),1000000,INDEX('計算A'!HG$110:HG$114,$F17+1)+IF(AND($E17=1,UG17=0),1000,0)),1000000))</f>
        <v/>
      </c>
      <c r="ADO17">
        <f>IF($B17=0,1000000,IF(INDEX('計算A'!$D$60:$II$104,$B17,213)*LA17=1,IF(AND($E17=2,UH17=0),1000000,INDEX('計算A'!HH$110:HH$114,$F17+1)+IF(AND($E17=1,UH17=0),1000,0)),1000000))</f>
        <v/>
      </c>
      <c r="ADP17">
        <f>IF($B17=0,1000000,IF(INDEX('計算A'!$D$60:$II$104,$B17,214)*LB17=1,IF(AND($E17=2,UI17=0),1000000,INDEX('計算A'!HI$110:HI$114,$F17+1)+IF(AND($E17=1,UI17=0),1000,0)),1000000))</f>
        <v/>
      </c>
      <c r="ADQ17">
        <f>IF($B17=0,1000000,IF(INDEX('計算A'!$D$60:$II$104,$B17,215)*LC17=1,IF(AND($E17=2,UJ17=0),1000000,INDEX('計算A'!HJ$110:HJ$114,$F17+1)+IF(AND($E17=1,UJ17=0),1000,0)),1000000))</f>
        <v/>
      </c>
      <c r="ADR17">
        <f>IF($B17=0,1000000,IF(INDEX('計算A'!$D$60:$II$104,$B17,216)*LD17=1,IF(AND($E17=2,UK17=0),1000000,INDEX('計算A'!HK$110:HK$114,$F17+1)+IF(AND($E17=1,UK17=0),1000,0)),1000000))</f>
        <v/>
      </c>
      <c r="ADS17">
        <f>IF($B17=0,1000000,IF(INDEX('計算A'!$D$60:$II$104,$B17,217)*LE17=1,IF(AND($E17=2,UL17=0),1000000,INDEX('計算A'!HL$110:HL$114,$F17+1)+IF(AND($E17=1,UL17=0),1000,0)),1000000))</f>
        <v/>
      </c>
      <c r="ADT17">
        <f>IF($B17=0,1000000,IF(INDEX('計算A'!$D$60:$II$104,$B17,218)*LF17=1,IF(AND($E17=2,UM17=0),1000000,INDEX('計算A'!HM$110:HM$114,$F17+1)+IF(AND($E17=1,UM17=0),1000,0)),1000000))</f>
        <v/>
      </c>
      <c r="ADU17">
        <f>IF($B17=0,1000000,IF(INDEX('計算A'!$D$60:$II$104,$B17,219)*LG17=1,IF(AND($E17=2,UN17=0),1000000,INDEX('計算A'!HN$110:HN$114,$F17+1)+IF(AND($E17=1,UN17=0),1000,0)),1000000))</f>
        <v/>
      </c>
      <c r="ADV17">
        <f>IF($B17=0,1000000,IF(INDEX('計算A'!$D$60:$II$104,$B17,220)*LH17=1,IF(AND($E17=2,UO17=0),1000000,INDEX('計算A'!HO$110:HO$114,$F17+1)+IF(AND($E17=1,UO17=0),1000,0)),1000000))</f>
        <v/>
      </c>
      <c r="ADW17">
        <f>IF($B17=0,1000000,IF(INDEX('計算A'!$D$60:$II$104,$B17,221)*LI17=1,IF(AND($E17=2,UP17=0),1000000,INDEX('計算A'!HP$110:HP$114,$F17+1)+IF(AND($E17=1,UP17=0),1000,0)),1000000))</f>
        <v/>
      </c>
      <c r="ADX17">
        <f>IF($B17=0,1000000,IF(INDEX('計算A'!$D$60:$II$104,$B17,222)*LJ17=1,IF(AND($E17=2,UQ17=0),1000000,INDEX('計算A'!HQ$110:HQ$114,$F17+1)+IF(AND($E17=1,UQ17=0),1000,0)),1000000))</f>
        <v/>
      </c>
      <c r="ADY17">
        <f>IF($B17=0,1000000,IF(INDEX('計算A'!$D$60:$II$104,$B17,223)*LK17=1,IF(AND($E17=2,UR17=0),1000000,INDEX('計算A'!HR$110:HR$114,$F17+1)+IF(AND($E17=1,UR17=0),1000,0)),1000000))</f>
        <v/>
      </c>
      <c r="ADZ17">
        <f>IF($B17=0,1000000,IF(INDEX('計算A'!$D$60:$II$104,$B17,224)*LL17=1,IF(AND($E17=2,US17=0),1000000,INDEX('計算A'!HS$110:HS$114,$F17+1)+IF(AND($E17=1,US17=0),1000,0)),1000000))</f>
        <v/>
      </c>
      <c r="AEA17">
        <f>IF($B17=0,1000000,IF(INDEX('計算A'!$D$60:$II$104,$B17,225)*LM17=1,IF(AND($E17=2,UT17=0),1000000,INDEX('計算A'!HT$110:HT$114,$F17+1)+IF(AND($E17=1,UT17=0),1000,0)),1000000))</f>
        <v/>
      </c>
      <c r="AEB17">
        <f>IF($B17=0,1000000,IF(INDEX('計算A'!$D$60:$II$104,$B17,226)*LN17=1,IF(AND($E17=2,UU17=0),1000000,INDEX('計算A'!HU$110:HU$114,$F17+1)+IF(AND($E17=1,UU17=0),1000,0)),1000000))</f>
        <v/>
      </c>
      <c r="AEC17">
        <f>IF($B17=0,1000000,IF(INDEX('計算A'!$D$60:$II$104,$B17,227)*LO17=1,IF(AND($E17=2,UV17=0),1000000,INDEX('計算A'!HV$110:HV$114,$F17+1)+IF(AND($E17=1,UV17=0),1000,0)),1000000))</f>
        <v/>
      </c>
      <c r="AED17">
        <f>IF($B17=0,1000000,IF(INDEX('計算A'!$D$60:$II$104,$B17,228)*LP17=1,IF(AND($E17=2,UW17=0),1000000,INDEX('計算A'!HW$110:HW$114,$F17+1)+IF(AND($E17=1,UW17=0),1000,0)),1000000))</f>
        <v/>
      </c>
      <c r="AEE17">
        <f>IF($B17=0,1000000,IF(INDEX('計算A'!$D$60:$II$104,$B17,229)*LQ17=1,IF(AND($E17=2,UX17=0),1000000,INDEX('計算A'!HX$110:HX$114,$F17+1)+IF(AND($E17=1,UX17=0),1000,0)),1000000))</f>
        <v/>
      </c>
      <c r="AEF17">
        <f>IF($B17=0,1000000,IF(INDEX('計算A'!$D$60:$II$104,$B17,230)*LR17=1,IF(AND($E17=2,UY17=0),1000000,INDEX('計算A'!HY$110:HY$114,$F17+1)+IF(AND($E17=1,UY17=0),1000,0)),1000000))</f>
        <v/>
      </c>
      <c r="AEG17">
        <f>IF($B17=0,1000000,IF(INDEX('計算A'!$D$60:$II$104,$B17,231)*LS17=1,IF(AND($E17=2,UZ17=0),1000000,INDEX('計算A'!HZ$110:HZ$114,$F17+1)+IF(AND($E17=1,UZ17=0),1000,0)),1000000))</f>
        <v/>
      </c>
      <c r="AEH17">
        <f>IF($B17=0,1000000,IF(INDEX('計算A'!$D$60:$II$104,$B17,232)*LT17=1,IF(AND($E17=2,VA17=0),1000000,INDEX('計算A'!IA$110:IA$114,$F17+1)+IF(AND($E17=1,VA17=0),1000,0)),1000000))</f>
        <v/>
      </c>
      <c r="AEI17">
        <f>IF($B17=0,1000000,IF(INDEX('計算A'!$D$60:$II$104,$B17,233)*LU17=1,IF(AND($E17=2,VB17=0),1000000,INDEX('計算A'!IB$110:IB$114,$F17+1)+IF(AND($E17=1,VB17=0),1000,0)),1000000))</f>
        <v/>
      </c>
      <c r="AEJ17">
        <f>IF($B17=0,1000000,IF(INDEX('計算A'!$D$60:$II$104,$B17,234)*LV17=1,IF(AND($E17=2,VC17=0),1000000,INDEX('計算A'!IC$110:IC$114,$F17+1)+IF(AND($E17=1,VC17=0),1000,0)),1000000))</f>
        <v/>
      </c>
      <c r="AEK17">
        <f>IF($B17=0,1000000,IF(INDEX('計算A'!$D$60:$II$104,$B17,235)*LW17=1,IF(AND($E17=2,VD17=0),1000000,INDEX('計算A'!ID$110:ID$114,$F17+1)+IF(AND($E17=1,VD17=0),1000,0)),1000000))</f>
        <v/>
      </c>
      <c r="AEL17">
        <f>IF($B17=0,1000000,IF(INDEX('計算A'!$D$60:$II$104,$B17,236)*LX17=1,IF(AND($E17=2,VE17=0),1000000,INDEX('計算A'!IE$110:IE$114,$F17+1)+IF(AND($E17=1,VE17=0),1000,0)),1000000))</f>
        <v/>
      </c>
      <c r="AEM17">
        <f>IF($B17=0,1000000,IF(INDEX('計算A'!$D$60:$II$104,$B17,237)*LY17=1,IF(AND($E17=2,VF17=0),1000000,INDEX('計算A'!IF$110:IF$114,$F17+1)+IF(AND($E17=1,VF17=0),1000,0)),1000000))</f>
        <v/>
      </c>
      <c r="AEN17">
        <f>IF($B17=0,1000000,IF(INDEX('計算A'!$D$60:$II$104,$B17,238)*LZ17=1,IF(AND($E17=2,VG17=0),1000000,INDEX('計算A'!IG$110:IG$114,$F17+1)+IF(AND($E17=1,VG17=0),1000,0)),1000000))</f>
        <v/>
      </c>
      <c r="AEO17">
        <f>IF($B17=0,1000000,IF(INDEX('計算A'!$D$60:$II$104,$B17,239)*MA17=1,IF(AND($E17=2,VH17=0),1000000,INDEX('計算A'!IH$110:IH$114,$F17+1)+IF(AND($E17=1,VH17=0),1000,0)),1000000))</f>
        <v/>
      </c>
      <c r="AEP17">
        <f>IF($B17=0,1000000,IF(INDEX('計算A'!$D$60:$II$104,$B17,240)*MB17=1,IF(AND($E17=2,VI17=0),1000000,INDEX('計算A'!II$110:II$114,$F17+1)+IF(AND($E17=1,VI17=0),1000,0)),1000000))</f>
        <v/>
      </c>
    </row>
    <row r="18">
      <c r="A18" t="n">
        <v>16</v>
      </c>
      <c r="B18">
        <f>IF(MIN(BC18:CU18)&gt;=1000000,0,MATCH(MIN(BC18:CU18),BC18:CU18,0))</f>
        <v/>
      </c>
      <c r="C18">
        <f>IF(MIN(VK18:AEP18)&gt;=1000000,0,MATCH(MIN(VK18:AEP18),VK18:AEP18,0))</f>
        <v/>
      </c>
      <c r="D18">
        <f>IF(C18&gt;0,INDEX('計算A'!$D$5:$II$5,C18),0)</f>
        <v/>
      </c>
      <c r="E18">
        <f>IF(B18=0,0,INDEX('計算A'!$IQ$10:$IQ$54,B18))</f>
        <v/>
      </c>
      <c r="F18">
        <f>IF(B18=0,0,INDEX('計算A'!$IP$10:$IP$54,B18))</f>
        <v/>
      </c>
      <c r="G18">
        <f>IF(AND(C18&gt;0,E18&gt;0),IF(AND(INDEX('計算A'!$D$106:$II$106,C18)=1,INDEX($MD18:$VI18,C18)=1),C18+1,0),0)</f>
        <v/>
      </c>
      <c r="I18">
        <f>MAX(I17,IF($B17=1,1,0))</f>
        <v/>
      </c>
      <c r="J18">
        <f>MAX(J17,IF($B17=2,1,0))</f>
        <v/>
      </c>
      <c r="K18">
        <f>MAX(K17,IF($B17=3,1,0))</f>
        <v/>
      </c>
      <c r="L18">
        <f>MAX(L17,IF($B17=4,1,0))</f>
        <v/>
      </c>
      <c r="M18">
        <f>MAX(M17,IF($B17=5,1,0))</f>
        <v/>
      </c>
      <c r="N18">
        <f>MAX(N17,IF($B17=6,1,0))</f>
        <v/>
      </c>
      <c r="O18">
        <f>MAX(O17,IF($B17=7,1,0))</f>
        <v/>
      </c>
      <c r="P18">
        <f>MAX(P17,IF($B17=8,1,0))</f>
        <v/>
      </c>
      <c r="Q18">
        <f>MAX(Q17,IF($B17=9,1,0))</f>
        <v/>
      </c>
      <c r="R18">
        <f>MAX(R17,IF($B17=10,1,0))</f>
        <v/>
      </c>
      <c r="S18">
        <f>MAX(S17,IF($B17=11,1,0))</f>
        <v/>
      </c>
      <c r="T18">
        <f>MAX(T17,IF($B17=12,1,0))</f>
        <v/>
      </c>
      <c r="U18">
        <f>MAX(U17,IF($B17=13,1,0))</f>
        <v/>
      </c>
      <c r="V18">
        <f>MAX(V17,IF($B17=14,1,0))</f>
        <v/>
      </c>
      <c r="W18">
        <f>MAX(W17,IF($B17=15,1,0))</f>
        <v/>
      </c>
      <c r="X18">
        <f>MAX(X17,IF($B17=16,1,0))</f>
        <v/>
      </c>
      <c r="Y18">
        <f>MAX(Y17,IF($B17=17,1,0))</f>
        <v/>
      </c>
      <c r="Z18">
        <f>MAX(Z17,IF($B17=18,1,0))</f>
        <v/>
      </c>
      <c r="AA18">
        <f>MAX(AA17,IF($B17=19,1,0))</f>
        <v/>
      </c>
      <c r="AB18">
        <f>MAX(AB17,IF($B17=20,1,0))</f>
        <v/>
      </c>
      <c r="AC18">
        <f>MAX(AC17,IF($B17=21,1,0))</f>
        <v/>
      </c>
      <c r="AD18">
        <f>MAX(AD17,IF($B17=22,1,0))</f>
        <v/>
      </c>
      <c r="AE18">
        <f>MAX(AE17,IF($B17=23,1,0))</f>
        <v/>
      </c>
      <c r="AF18">
        <f>MAX(AF17,IF($B17=24,1,0))</f>
        <v/>
      </c>
      <c r="AG18">
        <f>MAX(AG17,IF($B17=25,1,0))</f>
        <v/>
      </c>
      <c r="AH18">
        <f>MAX(AH17,IF($B17=26,1,0))</f>
        <v/>
      </c>
      <c r="AI18">
        <f>MAX(AI17,IF($B17=27,1,0))</f>
        <v/>
      </c>
      <c r="AJ18">
        <f>MAX(AJ17,IF($B17=28,1,0))</f>
        <v/>
      </c>
      <c r="AK18">
        <f>MAX(AK17,IF($B17=29,1,0))</f>
        <v/>
      </c>
      <c r="AL18">
        <f>MAX(AL17,IF($B17=30,1,0))</f>
        <v/>
      </c>
      <c r="AM18">
        <f>MAX(AM17,IF($B17=31,1,0))</f>
        <v/>
      </c>
      <c r="AN18">
        <f>MAX(AN17,IF($B17=32,1,0))</f>
        <v/>
      </c>
      <c r="AO18">
        <f>MAX(AO17,IF($B17=33,1,0))</f>
        <v/>
      </c>
      <c r="AP18">
        <f>MAX(AP17,IF($B17=34,1,0))</f>
        <v/>
      </c>
      <c r="AQ18">
        <f>MAX(AQ17,IF($B17=35,1,0))</f>
        <v/>
      </c>
      <c r="AR18">
        <f>MAX(AR17,IF($B17=36,1,0))</f>
        <v/>
      </c>
      <c r="AS18">
        <f>MAX(AS17,IF($B17=37,1,0))</f>
        <v/>
      </c>
      <c r="AT18">
        <f>MAX(AT17,IF($B17=38,1,0))</f>
        <v/>
      </c>
      <c r="AU18">
        <f>MAX(AU17,IF($B17=39,1,0))</f>
        <v/>
      </c>
      <c r="AV18">
        <f>MAX(AV17,IF($B17=40,1,0))</f>
        <v/>
      </c>
      <c r="AW18">
        <f>MAX(AW17,IF($B17=41,1,0))</f>
        <v/>
      </c>
      <c r="AX18">
        <f>MAX(AX17,IF($B17=42,1,0))</f>
        <v/>
      </c>
      <c r="AY18">
        <f>MAX(AY17,IF($B17=43,1,0))</f>
        <v/>
      </c>
      <c r="AZ18">
        <f>MAX(AZ17,IF($B17=44,1,0))</f>
        <v/>
      </c>
      <c r="BA18">
        <f>MAX(BA17,IF($B17=45,1,0))</f>
        <v/>
      </c>
      <c r="BC18">
        <f>IF(I18=1,1000000,IF('計算A'!$IQ$10=2,SUMPRODUCT('計算A'!$D$60:$II$60,$CW18:$MB18,$MD18:$VI18),SUMPRODUCT('計算A'!$D$60:$II$60,$CW18:$MB18))*1000+1)</f>
        <v/>
      </c>
      <c r="BD18">
        <f>IF(J18=1,1000000,IF('計算A'!$IQ$11=2,SUMPRODUCT('計算A'!$D$61:$II$61,$CW18:$MB18,$MD18:$VI18),SUMPRODUCT('計算A'!$D$61:$II$61,$CW18:$MB18))*1000+2)</f>
        <v/>
      </c>
      <c r="BE18">
        <f>IF(K18=1,1000000,IF('計算A'!$IQ$12=2,SUMPRODUCT('計算A'!$D$62:$II$62,$CW18:$MB18,$MD18:$VI18),SUMPRODUCT('計算A'!$D$62:$II$62,$CW18:$MB18))*1000+3)</f>
        <v/>
      </c>
      <c r="BF18">
        <f>IF(L18=1,1000000,IF('計算A'!$IQ$13=2,SUMPRODUCT('計算A'!$D$63:$II$63,$CW18:$MB18,$MD18:$VI18),SUMPRODUCT('計算A'!$D$63:$II$63,$CW18:$MB18))*1000+4)</f>
        <v/>
      </c>
      <c r="BG18">
        <f>IF(M18=1,1000000,IF('計算A'!$IQ$14=2,SUMPRODUCT('計算A'!$D$64:$II$64,$CW18:$MB18,$MD18:$VI18),SUMPRODUCT('計算A'!$D$64:$II$64,$CW18:$MB18))*1000+5)</f>
        <v/>
      </c>
      <c r="BH18">
        <f>IF(N18=1,1000000,IF('計算A'!$IQ$15=2,SUMPRODUCT('計算A'!$D$65:$II$65,$CW18:$MB18,$MD18:$VI18),SUMPRODUCT('計算A'!$D$65:$II$65,$CW18:$MB18))*1000+6)</f>
        <v/>
      </c>
      <c r="BI18">
        <f>IF(O18=1,1000000,IF('計算A'!$IQ$16=2,SUMPRODUCT('計算A'!$D$66:$II$66,$CW18:$MB18,$MD18:$VI18),SUMPRODUCT('計算A'!$D$66:$II$66,$CW18:$MB18))*1000+7)</f>
        <v/>
      </c>
      <c r="BJ18">
        <f>IF(P18=1,1000000,IF('計算A'!$IQ$17=2,SUMPRODUCT('計算A'!$D$67:$II$67,$CW18:$MB18,$MD18:$VI18),SUMPRODUCT('計算A'!$D$67:$II$67,$CW18:$MB18))*1000+8)</f>
        <v/>
      </c>
      <c r="BK18">
        <f>IF(Q18=1,1000000,IF('計算A'!$IQ$18=2,SUMPRODUCT('計算A'!$D$68:$II$68,$CW18:$MB18,$MD18:$VI18),SUMPRODUCT('計算A'!$D$68:$II$68,$CW18:$MB18))*1000+9)</f>
        <v/>
      </c>
      <c r="BL18">
        <f>IF(R18=1,1000000,IF('計算A'!$IQ$19=2,SUMPRODUCT('計算A'!$D$69:$II$69,$CW18:$MB18,$MD18:$VI18),SUMPRODUCT('計算A'!$D$69:$II$69,$CW18:$MB18))*1000+10)</f>
        <v/>
      </c>
      <c r="BM18">
        <f>IF(S18=1,1000000,IF('計算A'!$IQ$20=2,SUMPRODUCT('計算A'!$D$70:$II$70,$CW18:$MB18,$MD18:$VI18),SUMPRODUCT('計算A'!$D$70:$II$70,$CW18:$MB18))*1000+11)</f>
        <v/>
      </c>
      <c r="BN18">
        <f>IF(T18=1,1000000,IF('計算A'!$IQ$21=2,SUMPRODUCT('計算A'!$D$71:$II$71,$CW18:$MB18,$MD18:$VI18),SUMPRODUCT('計算A'!$D$71:$II$71,$CW18:$MB18))*1000+12)</f>
        <v/>
      </c>
      <c r="BO18">
        <f>IF(U18=1,1000000,IF('計算A'!$IQ$22=2,SUMPRODUCT('計算A'!$D$72:$II$72,$CW18:$MB18,$MD18:$VI18),SUMPRODUCT('計算A'!$D$72:$II$72,$CW18:$MB18))*1000+13)</f>
        <v/>
      </c>
      <c r="BP18">
        <f>IF(V18=1,1000000,IF('計算A'!$IQ$23=2,SUMPRODUCT('計算A'!$D$73:$II$73,$CW18:$MB18,$MD18:$VI18),SUMPRODUCT('計算A'!$D$73:$II$73,$CW18:$MB18))*1000+14)</f>
        <v/>
      </c>
      <c r="BQ18">
        <f>IF(W18=1,1000000,IF('計算A'!$IQ$24=2,SUMPRODUCT('計算A'!$D$74:$II$74,$CW18:$MB18,$MD18:$VI18),SUMPRODUCT('計算A'!$D$74:$II$74,$CW18:$MB18))*1000+15)</f>
        <v/>
      </c>
      <c r="BR18">
        <f>IF(X18=1,1000000,IF('計算A'!$IQ$25=2,SUMPRODUCT('計算A'!$D$75:$II$75,$CW18:$MB18,$MD18:$VI18),SUMPRODUCT('計算A'!$D$75:$II$75,$CW18:$MB18))*1000+16)</f>
        <v/>
      </c>
      <c r="BS18">
        <f>IF(Y18=1,1000000,IF('計算A'!$IQ$26=2,SUMPRODUCT('計算A'!$D$76:$II$76,$CW18:$MB18,$MD18:$VI18),SUMPRODUCT('計算A'!$D$76:$II$76,$CW18:$MB18))*1000+17)</f>
        <v/>
      </c>
      <c r="BT18">
        <f>IF(Z18=1,1000000,IF('計算A'!$IQ$27=2,SUMPRODUCT('計算A'!$D$77:$II$77,$CW18:$MB18,$MD18:$VI18),SUMPRODUCT('計算A'!$D$77:$II$77,$CW18:$MB18))*1000+18)</f>
        <v/>
      </c>
      <c r="BU18">
        <f>IF(AA18=1,1000000,IF('計算A'!$IQ$28=2,SUMPRODUCT('計算A'!$D$78:$II$78,$CW18:$MB18,$MD18:$VI18),SUMPRODUCT('計算A'!$D$78:$II$78,$CW18:$MB18))*1000+19)</f>
        <v/>
      </c>
      <c r="BV18">
        <f>IF(AB18=1,1000000,IF('計算A'!$IQ$29=2,SUMPRODUCT('計算A'!$D$79:$II$79,$CW18:$MB18,$MD18:$VI18),SUMPRODUCT('計算A'!$D$79:$II$79,$CW18:$MB18))*1000+20)</f>
        <v/>
      </c>
      <c r="BW18">
        <f>IF(AC18=1,1000000,IF('計算A'!$IQ$30=2,SUMPRODUCT('計算A'!$D$80:$II$80,$CW18:$MB18,$MD18:$VI18),SUMPRODUCT('計算A'!$D$80:$II$80,$CW18:$MB18))*1000+21)</f>
        <v/>
      </c>
      <c r="BX18">
        <f>IF(AD18=1,1000000,IF('計算A'!$IQ$31=2,SUMPRODUCT('計算A'!$D$81:$II$81,$CW18:$MB18,$MD18:$VI18),SUMPRODUCT('計算A'!$D$81:$II$81,$CW18:$MB18))*1000+22)</f>
        <v/>
      </c>
      <c r="BY18">
        <f>IF(AE18=1,1000000,IF('計算A'!$IQ$32=2,SUMPRODUCT('計算A'!$D$82:$II$82,$CW18:$MB18,$MD18:$VI18),SUMPRODUCT('計算A'!$D$82:$II$82,$CW18:$MB18))*1000+23)</f>
        <v/>
      </c>
      <c r="BZ18">
        <f>IF(AF18=1,1000000,IF('計算A'!$IQ$33=2,SUMPRODUCT('計算A'!$D$83:$II$83,$CW18:$MB18,$MD18:$VI18),SUMPRODUCT('計算A'!$D$83:$II$83,$CW18:$MB18))*1000+24)</f>
        <v/>
      </c>
      <c r="CA18">
        <f>IF(AG18=1,1000000,IF('計算A'!$IQ$34=2,SUMPRODUCT('計算A'!$D$84:$II$84,$CW18:$MB18,$MD18:$VI18),SUMPRODUCT('計算A'!$D$84:$II$84,$CW18:$MB18))*1000+25)</f>
        <v/>
      </c>
      <c r="CB18">
        <f>IF(AH18=1,1000000,IF('計算A'!$IQ$35=2,SUMPRODUCT('計算A'!$D$85:$II$85,$CW18:$MB18,$MD18:$VI18),SUMPRODUCT('計算A'!$D$85:$II$85,$CW18:$MB18))*1000+26)</f>
        <v/>
      </c>
      <c r="CC18">
        <f>IF(AI18=1,1000000,IF('計算A'!$IQ$36=2,SUMPRODUCT('計算A'!$D$86:$II$86,$CW18:$MB18,$MD18:$VI18),SUMPRODUCT('計算A'!$D$86:$II$86,$CW18:$MB18))*1000+27)</f>
        <v/>
      </c>
      <c r="CD18">
        <f>IF(AJ18=1,1000000,IF('計算A'!$IQ$37=2,SUMPRODUCT('計算A'!$D$87:$II$87,$CW18:$MB18,$MD18:$VI18),SUMPRODUCT('計算A'!$D$87:$II$87,$CW18:$MB18))*1000+28)</f>
        <v/>
      </c>
      <c r="CE18">
        <f>IF(AK18=1,1000000,IF('計算A'!$IQ$38=2,SUMPRODUCT('計算A'!$D$88:$II$88,$CW18:$MB18,$MD18:$VI18),SUMPRODUCT('計算A'!$D$88:$II$88,$CW18:$MB18))*1000+29)</f>
        <v/>
      </c>
      <c r="CF18">
        <f>IF(AL18=1,1000000,IF('計算A'!$IQ$39=2,SUMPRODUCT('計算A'!$D$89:$II$89,$CW18:$MB18,$MD18:$VI18),SUMPRODUCT('計算A'!$D$89:$II$89,$CW18:$MB18))*1000+30)</f>
        <v/>
      </c>
      <c r="CG18">
        <f>IF(AM18=1,1000000,IF('計算A'!$IQ$40=2,SUMPRODUCT('計算A'!$D$90:$II$90,$CW18:$MB18,$MD18:$VI18),SUMPRODUCT('計算A'!$D$90:$II$90,$CW18:$MB18))*1000+31)</f>
        <v/>
      </c>
      <c r="CH18">
        <f>IF(AN18=1,1000000,IF('計算A'!$IQ$41=2,SUMPRODUCT('計算A'!$D$91:$II$91,$CW18:$MB18,$MD18:$VI18),SUMPRODUCT('計算A'!$D$91:$II$91,$CW18:$MB18))*1000+32)</f>
        <v/>
      </c>
      <c r="CI18">
        <f>IF(AO18=1,1000000,IF('計算A'!$IQ$42=2,SUMPRODUCT('計算A'!$D$92:$II$92,$CW18:$MB18,$MD18:$VI18),SUMPRODUCT('計算A'!$D$92:$II$92,$CW18:$MB18))*1000+33)</f>
        <v/>
      </c>
      <c r="CJ18">
        <f>IF(AP18=1,1000000,IF('計算A'!$IQ$43=2,SUMPRODUCT('計算A'!$D$93:$II$93,$CW18:$MB18,$MD18:$VI18),SUMPRODUCT('計算A'!$D$93:$II$93,$CW18:$MB18))*1000+34)</f>
        <v/>
      </c>
      <c r="CK18">
        <f>IF(AQ18=1,1000000,IF('計算A'!$IQ$44=2,SUMPRODUCT('計算A'!$D$94:$II$94,$CW18:$MB18,$MD18:$VI18),SUMPRODUCT('計算A'!$D$94:$II$94,$CW18:$MB18))*1000+35)</f>
        <v/>
      </c>
      <c r="CL18">
        <f>IF(AR18=1,1000000,IF('計算A'!$IQ$45=2,SUMPRODUCT('計算A'!$D$95:$II$95,$CW18:$MB18,$MD18:$VI18),SUMPRODUCT('計算A'!$D$95:$II$95,$CW18:$MB18))*1000+36)</f>
        <v/>
      </c>
      <c r="CM18">
        <f>IF(AS18=1,1000000,IF('計算A'!$IQ$46=2,SUMPRODUCT('計算A'!$D$96:$II$96,$CW18:$MB18,$MD18:$VI18),SUMPRODUCT('計算A'!$D$96:$II$96,$CW18:$MB18))*1000+37)</f>
        <v/>
      </c>
      <c r="CN18">
        <f>IF(AT18=1,1000000,IF('計算A'!$IQ$47=2,SUMPRODUCT('計算A'!$D$97:$II$97,$CW18:$MB18,$MD18:$VI18),SUMPRODUCT('計算A'!$D$97:$II$97,$CW18:$MB18))*1000+38)</f>
        <v/>
      </c>
      <c r="CO18">
        <f>IF(AU18=1,1000000,IF('計算A'!$IQ$48=2,SUMPRODUCT('計算A'!$D$98:$II$98,$CW18:$MB18,$MD18:$VI18),SUMPRODUCT('計算A'!$D$98:$II$98,$CW18:$MB18))*1000+39)</f>
        <v/>
      </c>
      <c r="CP18">
        <f>IF(AV18=1,1000000,IF('計算A'!$IQ$49=2,SUMPRODUCT('計算A'!$D$99:$II$99,$CW18:$MB18,$MD18:$VI18),SUMPRODUCT('計算A'!$D$99:$II$99,$CW18:$MB18))*1000+40)</f>
        <v/>
      </c>
      <c r="CQ18">
        <f>IF(AW18=1,1000000,IF('計算A'!$IQ$50=2,SUMPRODUCT('計算A'!$D$100:$II$100,$CW18:$MB18,$MD18:$VI18),SUMPRODUCT('計算A'!$D$100:$II$100,$CW18:$MB18))*1000+41)</f>
        <v/>
      </c>
      <c r="CR18">
        <f>IF(AX18=1,1000000,IF('計算A'!$IQ$51=2,SUMPRODUCT('計算A'!$D$101:$II$101,$CW18:$MB18,$MD18:$VI18),SUMPRODUCT('計算A'!$D$101:$II$101,$CW18:$MB18))*1000+42)</f>
        <v/>
      </c>
      <c r="CS18">
        <f>IF(AY18=1,1000000,IF('計算A'!$IQ$52=2,SUMPRODUCT('計算A'!$D$102:$II$102,$CW18:$MB18,$MD18:$VI18),SUMPRODUCT('計算A'!$D$102:$II$102,$CW18:$MB18))*1000+43)</f>
        <v/>
      </c>
      <c r="CT18">
        <f>IF(AZ18=1,1000000,IF('計算A'!$IQ$53=2,SUMPRODUCT('計算A'!$D$103:$II$103,$CW18:$MB18,$MD18:$VI18),SUMPRODUCT('計算A'!$D$103:$II$103,$CW18:$MB18))*1000+44)</f>
        <v/>
      </c>
      <c r="CU18">
        <f>IF(BA18=1,1000000,IF('計算A'!$IQ$54=2,SUMPRODUCT('計算A'!$D$104:$II$104,$CW18:$MB18,$MD18:$VI18),SUMPRODUCT('計算A'!$D$104:$II$104,$CW18:$MB18))*1000+45)</f>
        <v/>
      </c>
      <c r="CW18">
        <f>CW17*IF(OR($C17=1,$G17=1),0,1)</f>
        <v/>
      </c>
      <c r="CX18">
        <f>CX17*IF(OR($C17=2,$G17=2),0,1)</f>
        <v/>
      </c>
      <c r="CY18">
        <f>CY17*IF(OR($C17=3,$G17=3),0,1)</f>
        <v/>
      </c>
      <c r="CZ18">
        <f>CZ17*IF(OR($C17=4,$G17=4),0,1)</f>
        <v/>
      </c>
      <c r="DA18">
        <f>DA17*IF(OR($C17=5,$G17=5),0,1)</f>
        <v/>
      </c>
      <c r="DB18">
        <f>DB17*IF(OR($C17=6,$G17=6),0,1)</f>
        <v/>
      </c>
      <c r="DC18">
        <f>DC17*IF(OR($C17=7,$G17=7),0,1)</f>
        <v/>
      </c>
      <c r="DD18">
        <f>DD17*IF(OR($C17=8,$G17=8),0,1)</f>
        <v/>
      </c>
      <c r="DE18">
        <f>DE17*IF(OR($C17=9,$G17=9),0,1)</f>
        <v/>
      </c>
      <c r="DF18">
        <f>DF17*IF(OR($C17=10,$G17=10),0,1)</f>
        <v/>
      </c>
      <c r="DG18">
        <f>DG17*IF(OR($C17=11,$G17=11),0,1)</f>
        <v/>
      </c>
      <c r="DH18">
        <f>DH17*IF(OR($C17=12,$G17=12),0,1)</f>
        <v/>
      </c>
      <c r="DI18">
        <f>DI17*IF(OR($C17=13,$G17=13),0,1)</f>
        <v/>
      </c>
      <c r="DJ18">
        <f>DJ17*IF(OR($C17=14,$G17=14),0,1)</f>
        <v/>
      </c>
      <c r="DK18">
        <f>DK17*IF(OR($C17=15,$G17=15),0,1)</f>
        <v/>
      </c>
      <c r="DL18">
        <f>DL17*IF(OR($C17=16,$G17=16),0,1)</f>
        <v/>
      </c>
      <c r="DM18">
        <f>DM17*IF(OR($C17=17,$G17=17),0,1)</f>
        <v/>
      </c>
      <c r="DN18">
        <f>DN17*IF(OR($C17=18,$G17=18),0,1)</f>
        <v/>
      </c>
      <c r="DO18">
        <f>DO17*IF(OR($C17=19,$G17=19),0,1)</f>
        <v/>
      </c>
      <c r="DP18">
        <f>DP17*IF(OR($C17=20,$G17=20),0,1)</f>
        <v/>
      </c>
      <c r="DQ18">
        <f>DQ17*IF(OR($C17=21,$G17=21),0,1)</f>
        <v/>
      </c>
      <c r="DR18">
        <f>DR17*IF(OR($C17=22,$G17=22),0,1)</f>
        <v/>
      </c>
      <c r="DS18">
        <f>DS17*IF(OR($C17=23,$G17=23),0,1)</f>
        <v/>
      </c>
      <c r="DT18">
        <f>DT17*IF(OR($C17=24,$G17=24),0,1)</f>
        <v/>
      </c>
      <c r="DU18">
        <f>DU17*IF(OR($C17=25,$G17=25),0,1)</f>
        <v/>
      </c>
      <c r="DV18">
        <f>DV17*IF(OR($C17=26,$G17=26),0,1)</f>
        <v/>
      </c>
      <c r="DW18">
        <f>DW17*IF(OR($C17=27,$G17=27),0,1)</f>
        <v/>
      </c>
      <c r="DX18">
        <f>DX17*IF(OR($C17=28,$G17=28),0,1)</f>
        <v/>
      </c>
      <c r="DY18">
        <f>DY17*IF(OR($C17=29,$G17=29),0,1)</f>
        <v/>
      </c>
      <c r="DZ18">
        <f>DZ17*IF(OR($C17=30,$G17=30),0,1)</f>
        <v/>
      </c>
      <c r="EA18">
        <f>EA17*IF(OR($C17=31,$G17=31),0,1)</f>
        <v/>
      </c>
      <c r="EB18">
        <f>EB17*IF(OR($C17=32,$G17=32),0,1)</f>
        <v/>
      </c>
      <c r="EC18">
        <f>EC17*IF(OR($C17=33,$G17=33),0,1)</f>
        <v/>
      </c>
      <c r="ED18">
        <f>ED17*IF(OR($C17=34,$G17=34),0,1)</f>
        <v/>
      </c>
      <c r="EE18">
        <f>EE17*IF(OR($C17=35,$G17=35),0,1)</f>
        <v/>
      </c>
      <c r="EF18">
        <f>EF17*IF(OR($C17=36,$G17=36),0,1)</f>
        <v/>
      </c>
      <c r="EG18">
        <f>EG17*IF(OR($C17=37,$G17=37),0,1)</f>
        <v/>
      </c>
      <c r="EH18">
        <f>EH17*IF(OR($C17=38,$G17=38),0,1)</f>
        <v/>
      </c>
      <c r="EI18">
        <f>EI17*IF(OR($C17=39,$G17=39),0,1)</f>
        <v/>
      </c>
      <c r="EJ18">
        <f>EJ17*IF(OR($C17=40,$G17=40),0,1)</f>
        <v/>
      </c>
      <c r="EK18">
        <f>EK17*IF(OR($C17=41,$G17=41),0,1)</f>
        <v/>
      </c>
      <c r="EL18">
        <f>EL17*IF(OR($C17=42,$G17=42),0,1)</f>
        <v/>
      </c>
      <c r="EM18">
        <f>EM17*IF(OR($C17=43,$G17=43),0,1)</f>
        <v/>
      </c>
      <c r="EN18">
        <f>EN17*IF(OR($C17=44,$G17=44),0,1)</f>
        <v/>
      </c>
      <c r="EO18">
        <f>EO17*IF(OR($C17=45,$G17=45),0,1)</f>
        <v/>
      </c>
      <c r="EP18">
        <f>EP17*IF(OR($C17=46,$G17=46),0,1)</f>
        <v/>
      </c>
      <c r="EQ18">
        <f>EQ17*IF(OR($C17=47,$G17=47),0,1)</f>
        <v/>
      </c>
      <c r="ER18">
        <f>ER17*IF(OR($C17=48,$G17=48),0,1)</f>
        <v/>
      </c>
      <c r="ES18">
        <f>ES17*IF(OR($C17=49,$G17=49),0,1)</f>
        <v/>
      </c>
      <c r="ET18">
        <f>ET17*IF(OR($C17=50,$G17=50),0,1)</f>
        <v/>
      </c>
      <c r="EU18">
        <f>EU17*IF(OR($C17=51,$G17=51),0,1)</f>
        <v/>
      </c>
      <c r="EV18">
        <f>EV17*IF(OR($C17=52,$G17=52),0,1)</f>
        <v/>
      </c>
      <c r="EW18">
        <f>EW17*IF(OR($C17=53,$G17=53),0,1)</f>
        <v/>
      </c>
      <c r="EX18">
        <f>EX17*IF(OR($C17=54,$G17=54),0,1)</f>
        <v/>
      </c>
      <c r="EY18">
        <f>EY17*IF(OR($C17=55,$G17=55),0,1)</f>
        <v/>
      </c>
      <c r="EZ18">
        <f>EZ17*IF(OR($C17=56,$G17=56),0,1)</f>
        <v/>
      </c>
      <c r="FA18">
        <f>FA17*IF(OR($C17=57,$G17=57),0,1)</f>
        <v/>
      </c>
      <c r="FB18">
        <f>FB17*IF(OR($C17=58,$G17=58),0,1)</f>
        <v/>
      </c>
      <c r="FC18">
        <f>FC17*IF(OR($C17=59,$G17=59),0,1)</f>
        <v/>
      </c>
      <c r="FD18">
        <f>FD17*IF(OR($C17=60,$G17=60),0,1)</f>
        <v/>
      </c>
      <c r="FE18">
        <f>FE17*IF(OR($C17=61,$G17=61),0,1)</f>
        <v/>
      </c>
      <c r="FF18">
        <f>FF17*IF(OR($C17=62,$G17=62),0,1)</f>
        <v/>
      </c>
      <c r="FG18">
        <f>FG17*IF(OR($C17=63,$G17=63),0,1)</f>
        <v/>
      </c>
      <c r="FH18">
        <f>FH17*IF(OR($C17=64,$G17=64),0,1)</f>
        <v/>
      </c>
      <c r="FI18">
        <f>FI17*IF(OR($C17=65,$G17=65),0,1)</f>
        <v/>
      </c>
      <c r="FJ18">
        <f>FJ17*IF(OR($C17=66,$G17=66),0,1)</f>
        <v/>
      </c>
      <c r="FK18">
        <f>FK17*IF(OR($C17=67,$G17=67),0,1)</f>
        <v/>
      </c>
      <c r="FL18">
        <f>FL17*IF(OR($C17=68,$G17=68),0,1)</f>
        <v/>
      </c>
      <c r="FM18">
        <f>FM17*IF(OR($C17=69,$G17=69),0,1)</f>
        <v/>
      </c>
      <c r="FN18">
        <f>FN17*IF(OR($C17=70,$G17=70),0,1)</f>
        <v/>
      </c>
      <c r="FO18">
        <f>FO17*IF(OR($C17=71,$G17=71),0,1)</f>
        <v/>
      </c>
      <c r="FP18">
        <f>FP17*IF(OR($C17=72,$G17=72),0,1)</f>
        <v/>
      </c>
      <c r="FQ18">
        <f>FQ17*IF(OR($C17=73,$G17=73),0,1)</f>
        <v/>
      </c>
      <c r="FR18">
        <f>FR17*IF(OR($C17=74,$G17=74),0,1)</f>
        <v/>
      </c>
      <c r="FS18">
        <f>FS17*IF(OR($C17=75,$G17=75),0,1)</f>
        <v/>
      </c>
      <c r="FT18">
        <f>FT17*IF(OR($C17=76,$G17=76),0,1)</f>
        <v/>
      </c>
      <c r="FU18">
        <f>FU17*IF(OR($C17=77,$G17=77),0,1)</f>
        <v/>
      </c>
      <c r="FV18">
        <f>FV17*IF(OR($C17=78,$G17=78),0,1)</f>
        <v/>
      </c>
      <c r="FW18">
        <f>FW17*IF(OR($C17=79,$G17=79),0,1)</f>
        <v/>
      </c>
      <c r="FX18">
        <f>FX17*IF(OR($C17=80,$G17=80),0,1)</f>
        <v/>
      </c>
      <c r="FY18">
        <f>FY17*IF(OR($C17=81,$G17=81),0,1)</f>
        <v/>
      </c>
      <c r="FZ18">
        <f>FZ17*IF(OR($C17=82,$G17=82),0,1)</f>
        <v/>
      </c>
      <c r="GA18">
        <f>GA17*IF(OR($C17=83,$G17=83),0,1)</f>
        <v/>
      </c>
      <c r="GB18">
        <f>GB17*IF(OR($C17=84,$G17=84),0,1)</f>
        <v/>
      </c>
      <c r="GC18">
        <f>GC17*IF(OR($C17=85,$G17=85),0,1)</f>
        <v/>
      </c>
      <c r="GD18">
        <f>GD17*IF(OR($C17=86,$G17=86),0,1)</f>
        <v/>
      </c>
      <c r="GE18">
        <f>GE17*IF(OR($C17=87,$G17=87),0,1)</f>
        <v/>
      </c>
      <c r="GF18">
        <f>GF17*IF(OR($C17=88,$G17=88),0,1)</f>
        <v/>
      </c>
      <c r="GG18">
        <f>GG17*IF(OR($C17=89,$G17=89),0,1)</f>
        <v/>
      </c>
      <c r="GH18">
        <f>GH17*IF(OR($C17=90,$G17=90),0,1)</f>
        <v/>
      </c>
      <c r="GI18">
        <f>GI17*IF(OR($C17=91,$G17=91),0,1)</f>
        <v/>
      </c>
      <c r="GJ18">
        <f>GJ17*IF(OR($C17=92,$G17=92),0,1)</f>
        <v/>
      </c>
      <c r="GK18">
        <f>GK17*IF(OR($C17=93,$G17=93),0,1)</f>
        <v/>
      </c>
      <c r="GL18">
        <f>GL17*IF(OR($C17=94,$G17=94),0,1)</f>
        <v/>
      </c>
      <c r="GM18">
        <f>GM17*IF(OR($C17=95,$G17=95),0,1)</f>
        <v/>
      </c>
      <c r="GN18">
        <f>GN17*IF(OR($C17=96,$G17=96),0,1)</f>
        <v/>
      </c>
      <c r="GO18">
        <f>GO17*IF(OR($C17=97,$G17=97),0,1)</f>
        <v/>
      </c>
      <c r="GP18">
        <f>GP17*IF(OR($C17=98,$G17=98),0,1)</f>
        <v/>
      </c>
      <c r="GQ18">
        <f>GQ17*IF(OR($C17=99,$G17=99),0,1)</f>
        <v/>
      </c>
      <c r="GR18">
        <f>GR17*IF(OR($C17=100,$G17=100),0,1)</f>
        <v/>
      </c>
      <c r="GS18">
        <f>GS17*IF(OR($C17=101,$G17=101),0,1)</f>
        <v/>
      </c>
      <c r="GT18">
        <f>GT17*IF(OR($C17=102,$G17=102),0,1)</f>
        <v/>
      </c>
      <c r="GU18">
        <f>GU17*IF(OR($C17=103,$G17=103),0,1)</f>
        <v/>
      </c>
      <c r="GV18">
        <f>GV17*IF(OR($C17=104,$G17=104),0,1)</f>
        <v/>
      </c>
      <c r="GW18">
        <f>GW17*IF(OR($C17=105,$G17=105),0,1)</f>
        <v/>
      </c>
      <c r="GX18">
        <f>GX17*IF(OR($C17=106,$G17=106),0,1)</f>
        <v/>
      </c>
      <c r="GY18">
        <f>GY17*IF(OR($C17=107,$G17=107),0,1)</f>
        <v/>
      </c>
      <c r="GZ18">
        <f>GZ17*IF(OR($C17=108,$G17=108),0,1)</f>
        <v/>
      </c>
      <c r="HA18">
        <f>HA17*IF(OR($C17=109,$G17=109),0,1)</f>
        <v/>
      </c>
      <c r="HB18">
        <f>HB17*IF(OR($C17=110,$G17=110),0,1)</f>
        <v/>
      </c>
      <c r="HC18">
        <f>HC17*IF(OR($C17=111,$G17=111),0,1)</f>
        <v/>
      </c>
      <c r="HD18">
        <f>HD17*IF(OR($C17=112,$G17=112),0,1)</f>
        <v/>
      </c>
      <c r="HE18">
        <f>HE17*IF(OR($C17=113,$G17=113),0,1)</f>
        <v/>
      </c>
      <c r="HF18">
        <f>HF17*IF(OR($C17=114,$G17=114),0,1)</f>
        <v/>
      </c>
      <c r="HG18">
        <f>HG17*IF(OR($C17=115,$G17=115),0,1)</f>
        <v/>
      </c>
      <c r="HH18">
        <f>HH17*IF(OR($C17=116,$G17=116),0,1)</f>
        <v/>
      </c>
      <c r="HI18">
        <f>HI17*IF(OR($C17=117,$G17=117),0,1)</f>
        <v/>
      </c>
      <c r="HJ18">
        <f>HJ17*IF(OR($C17=118,$G17=118),0,1)</f>
        <v/>
      </c>
      <c r="HK18">
        <f>HK17*IF(OR($C17=119,$G17=119),0,1)</f>
        <v/>
      </c>
      <c r="HL18">
        <f>HL17*IF(OR($C17=120,$G17=120),0,1)</f>
        <v/>
      </c>
      <c r="HM18">
        <f>HM17*IF(OR($C17=121,$G17=121),0,1)</f>
        <v/>
      </c>
      <c r="HN18">
        <f>HN17*IF(OR($C17=122,$G17=122),0,1)</f>
        <v/>
      </c>
      <c r="HO18">
        <f>HO17*IF(OR($C17=123,$G17=123),0,1)</f>
        <v/>
      </c>
      <c r="HP18">
        <f>HP17*IF(OR($C17=124,$G17=124),0,1)</f>
        <v/>
      </c>
      <c r="HQ18">
        <f>HQ17*IF(OR($C17=125,$G17=125),0,1)</f>
        <v/>
      </c>
      <c r="HR18">
        <f>HR17*IF(OR($C17=126,$G17=126),0,1)</f>
        <v/>
      </c>
      <c r="HS18">
        <f>HS17*IF(OR($C17=127,$G17=127),0,1)</f>
        <v/>
      </c>
      <c r="HT18">
        <f>HT17*IF(OR($C17=128,$G17=128),0,1)</f>
        <v/>
      </c>
      <c r="HU18">
        <f>HU17*IF(OR($C17=129,$G17=129),0,1)</f>
        <v/>
      </c>
      <c r="HV18">
        <f>HV17*IF(OR($C17=130,$G17=130),0,1)</f>
        <v/>
      </c>
      <c r="HW18">
        <f>HW17*IF(OR($C17=131,$G17=131),0,1)</f>
        <v/>
      </c>
      <c r="HX18">
        <f>HX17*IF(OR($C17=132,$G17=132),0,1)</f>
        <v/>
      </c>
      <c r="HY18">
        <f>HY17*IF(OR($C17=133,$G17=133),0,1)</f>
        <v/>
      </c>
      <c r="HZ18">
        <f>HZ17*IF(OR($C17=134,$G17=134),0,1)</f>
        <v/>
      </c>
      <c r="IA18">
        <f>IA17*IF(OR($C17=135,$G17=135),0,1)</f>
        <v/>
      </c>
      <c r="IB18">
        <f>IB17*IF(OR($C17=136,$G17=136),0,1)</f>
        <v/>
      </c>
      <c r="IC18">
        <f>IC17*IF(OR($C17=137,$G17=137),0,1)</f>
        <v/>
      </c>
      <c r="ID18">
        <f>ID17*IF(OR($C17=138,$G17=138),0,1)</f>
        <v/>
      </c>
      <c r="IE18">
        <f>IE17*IF(OR($C17=139,$G17=139),0,1)</f>
        <v/>
      </c>
      <c r="IF18">
        <f>IF17*IF(OR($C17=140,$G17=140),0,1)</f>
        <v/>
      </c>
      <c r="IG18">
        <f>IG17*IF(OR($C17=141,$G17=141),0,1)</f>
        <v/>
      </c>
      <c r="IH18">
        <f>IH17*IF(OR($C17=142,$G17=142),0,1)</f>
        <v/>
      </c>
      <c r="II18">
        <f>II17*IF(OR($C17=143,$G17=143),0,1)</f>
        <v/>
      </c>
      <c r="IJ18">
        <f>IJ17*IF(OR($C17=144,$G17=144),0,1)</f>
        <v/>
      </c>
      <c r="IK18">
        <f>IK17*IF(OR($C17=145,$G17=145),0,1)</f>
        <v/>
      </c>
      <c r="IL18">
        <f>IL17*IF(OR($C17=146,$G17=146),0,1)</f>
        <v/>
      </c>
      <c r="IM18">
        <f>IM17*IF(OR($C17=147,$G17=147),0,1)</f>
        <v/>
      </c>
      <c r="IN18">
        <f>IN17*IF(OR($C17=148,$G17=148),0,1)</f>
        <v/>
      </c>
      <c r="IO18">
        <f>IO17*IF(OR($C17=149,$G17=149),0,1)</f>
        <v/>
      </c>
      <c r="IP18">
        <f>IP17*IF(OR($C17=150,$G17=150),0,1)</f>
        <v/>
      </c>
      <c r="IQ18">
        <f>IQ17*IF(OR($C17=151,$G17=151),0,1)</f>
        <v/>
      </c>
      <c r="IR18">
        <f>IR17*IF(OR($C17=152,$G17=152),0,1)</f>
        <v/>
      </c>
      <c r="IS18">
        <f>IS17*IF(OR($C17=153,$G17=153),0,1)</f>
        <v/>
      </c>
      <c r="IT18">
        <f>IT17*IF(OR($C17=154,$G17=154),0,1)</f>
        <v/>
      </c>
      <c r="IU18">
        <f>IU17*IF(OR($C17=155,$G17=155),0,1)</f>
        <v/>
      </c>
      <c r="IV18">
        <f>IV17*IF(OR($C17=156,$G17=156),0,1)</f>
        <v/>
      </c>
      <c r="IW18">
        <f>IW17*IF(OR($C17=157,$G17=157),0,1)</f>
        <v/>
      </c>
      <c r="IX18">
        <f>IX17*IF(OR($C17=158,$G17=158),0,1)</f>
        <v/>
      </c>
      <c r="IY18">
        <f>IY17*IF(OR($C17=159,$G17=159),0,1)</f>
        <v/>
      </c>
      <c r="IZ18">
        <f>IZ17*IF(OR($C17=160,$G17=160),0,1)</f>
        <v/>
      </c>
      <c r="JA18">
        <f>JA17*IF(OR($C17=161,$G17=161),0,1)</f>
        <v/>
      </c>
      <c r="JB18">
        <f>JB17*IF(OR($C17=162,$G17=162),0,1)</f>
        <v/>
      </c>
      <c r="JC18">
        <f>JC17*IF(OR($C17=163,$G17=163),0,1)</f>
        <v/>
      </c>
      <c r="JD18">
        <f>JD17*IF(OR($C17=164,$G17=164),0,1)</f>
        <v/>
      </c>
      <c r="JE18">
        <f>JE17*IF(OR($C17=165,$G17=165),0,1)</f>
        <v/>
      </c>
      <c r="JF18">
        <f>JF17*IF(OR($C17=166,$G17=166),0,1)</f>
        <v/>
      </c>
      <c r="JG18">
        <f>JG17*IF(OR($C17=167,$G17=167),0,1)</f>
        <v/>
      </c>
      <c r="JH18">
        <f>JH17*IF(OR($C17=168,$G17=168),0,1)</f>
        <v/>
      </c>
      <c r="JI18">
        <f>JI17*IF(OR($C17=169,$G17=169),0,1)</f>
        <v/>
      </c>
      <c r="JJ18">
        <f>JJ17*IF(OR($C17=170,$G17=170),0,1)</f>
        <v/>
      </c>
      <c r="JK18">
        <f>JK17*IF(OR($C17=171,$G17=171),0,1)</f>
        <v/>
      </c>
      <c r="JL18">
        <f>JL17*IF(OR($C17=172,$G17=172),0,1)</f>
        <v/>
      </c>
      <c r="JM18">
        <f>JM17*IF(OR($C17=173,$G17=173),0,1)</f>
        <v/>
      </c>
      <c r="JN18">
        <f>JN17*IF(OR($C17=174,$G17=174),0,1)</f>
        <v/>
      </c>
      <c r="JO18">
        <f>JO17*IF(OR($C17=175,$G17=175),0,1)</f>
        <v/>
      </c>
      <c r="JP18">
        <f>JP17*IF(OR($C17=176,$G17=176),0,1)</f>
        <v/>
      </c>
      <c r="JQ18">
        <f>JQ17*IF(OR($C17=177,$G17=177),0,1)</f>
        <v/>
      </c>
      <c r="JR18">
        <f>JR17*IF(OR($C17=178,$G17=178),0,1)</f>
        <v/>
      </c>
      <c r="JS18">
        <f>JS17*IF(OR($C17=179,$G17=179),0,1)</f>
        <v/>
      </c>
      <c r="JT18">
        <f>JT17*IF(OR($C17=180,$G17=180),0,1)</f>
        <v/>
      </c>
      <c r="JU18">
        <f>JU17*IF(OR($C17=181,$G17=181),0,1)</f>
        <v/>
      </c>
      <c r="JV18">
        <f>JV17*IF(OR($C17=182,$G17=182),0,1)</f>
        <v/>
      </c>
      <c r="JW18">
        <f>JW17*IF(OR($C17=183,$G17=183),0,1)</f>
        <v/>
      </c>
      <c r="JX18">
        <f>JX17*IF(OR($C17=184,$G17=184),0,1)</f>
        <v/>
      </c>
      <c r="JY18">
        <f>JY17*IF(OR($C17=185,$G17=185),0,1)</f>
        <v/>
      </c>
      <c r="JZ18">
        <f>JZ17*IF(OR($C17=186,$G17=186),0,1)</f>
        <v/>
      </c>
      <c r="KA18">
        <f>KA17*IF(OR($C17=187,$G17=187),0,1)</f>
        <v/>
      </c>
      <c r="KB18">
        <f>KB17*IF(OR($C17=188,$G17=188),0,1)</f>
        <v/>
      </c>
      <c r="KC18">
        <f>KC17*IF(OR($C17=189,$G17=189),0,1)</f>
        <v/>
      </c>
      <c r="KD18">
        <f>KD17*IF(OR($C17=190,$G17=190),0,1)</f>
        <v/>
      </c>
      <c r="KE18">
        <f>KE17*IF(OR($C17=191,$G17=191),0,1)</f>
        <v/>
      </c>
      <c r="KF18">
        <f>KF17*IF(OR($C17=192,$G17=192),0,1)</f>
        <v/>
      </c>
      <c r="KG18">
        <f>KG17*IF(OR($C17=193,$G17=193),0,1)</f>
        <v/>
      </c>
      <c r="KH18">
        <f>KH17*IF(OR($C17=194,$G17=194),0,1)</f>
        <v/>
      </c>
      <c r="KI18">
        <f>KI17*IF(OR($C17=195,$G17=195),0,1)</f>
        <v/>
      </c>
      <c r="KJ18">
        <f>KJ17*IF(OR($C17=196,$G17=196),0,1)</f>
        <v/>
      </c>
      <c r="KK18">
        <f>KK17*IF(OR($C17=197,$G17=197),0,1)</f>
        <v/>
      </c>
      <c r="KL18">
        <f>KL17*IF(OR($C17=198,$G17=198),0,1)</f>
        <v/>
      </c>
      <c r="KM18">
        <f>KM17*IF(OR($C17=199,$G17=199),0,1)</f>
        <v/>
      </c>
      <c r="KN18">
        <f>KN17*IF(OR($C17=200,$G17=200),0,1)</f>
        <v/>
      </c>
      <c r="KO18">
        <f>KO17*IF(OR($C17=201,$G17=201),0,1)</f>
        <v/>
      </c>
      <c r="KP18">
        <f>KP17*IF(OR($C17=202,$G17=202),0,1)</f>
        <v/>
      </c>
      <c r="KQ18">
        <f>KQ17*IF(OR($C17=203,$G17=203),0,1)</f>
        <v/>
      </c>
      <c r="KR18">
        <f>KR17*IF(OR($C17=204,$G17=204),0,1)</f>
        <v/>
      </c>
      <c r="KS18">
        <f>KS17*IF(OR($C17=205,$G17=205),0,1)</f>
        <v/>
      </c>
      <c r="KT18">
        <f>KT17*IF(OR($C17=206,$G17=206),0,1)</f>
        <v/>
      </c>
      <c r="KU18">
        <f>KU17*IF(OR($C17=207,$G17=207),0,1)</f>
        <v/>
      </c>
      <c r="KV18">
        <f>KV17*IF(OR($C17=208,$G17=208),0,1)</f>
        <v/>
      </c>
      <c r="KW18">
        <f>KW17*IF(OR($C17=209,$G17=209),0,1)</f>
        <v/>
      </c>
      <c r="KX18">
        <f>KX17*IF(OR($C17=210,$G17=210),0,1)</f>
        <v/>
      </c>
      <c r="KY18">
        <f>KY17*IF(OR($C17=211,$G17=211),0,1)</f>
        <v/>
      </c>
      <c r="KZ18">
        <f>KZ17*IF(OR($C17=212,$G17=212),0,1)</f>
        <v/>
      </c>
      <c r="LA18">
        <f>LA17*IF(OR($C17=213,$G17=213),0,1)</f>
        <v/>
      </c>
      <c r="LB18">
        <f>LB17*IF(OR($C17=214,$G17=214),0,1)</f>
        <v/>
      </c>
      <c r="LC18">
        <f>LC17*IF(OR($C17=215,$G17=215),0,1)</f>
        <v/>
      </c>
      <c r="LD18">
        <f>LD17*IF(OR($C17=216,$G17=216),0,1)</f>
        <v/>
      </c>
      <c r="LE18">
        <f>LE17*IF(OR($C17=217,$G17=217),0,1)</f>
        <v/>
      </c>
      <c r="LF18">
        <f>LF17*IF(OR($C17=218,$G17=218),0,1)</f>
        <v/>
      </c>
      <c r="LG18">
        <f>LG17*IF(OR($C17=219,$G17=219),0,1)</f>
        <v/>
      </c>
      <c r="LH18">
        <f>LH17*IF(OR($C17=220,$G17=220),0,1)</f>
        <v/>
      </c>
      <c r="LI18">
        <f>LI17*IF(OR($C17=221,$G17=221),0,1)</f>
        <v/>
      </c>
      <c r="LJ18">
        <f>LJ17*IF(OR($C17=222,$G17=222),0,1)</f>
        <v/>
      </c>
      <c r="LK18">
        <f>LK17*IF(OR($C17=223,$G17=223),0,1)</f>
        <v/>
      </c>
      <c r="LL18">
        <f>LL17*IF(OR($C17=224,$G17=224),0,1)</f>
        <v/>
      </c>
      <c r="LM18">
        <f>LM17*IF(OR($C17=225,$G17=225),0,1)</f>
        <v/>
      </c>
      <c r="LN18">
        <f>LN17*IF(OR($C17=226,$G17=226),0,1)</f>
        <v/>
      </c>
      <c r="LO18">
        <f>LO17*IF(OR($C17=227,$G17=227),0,1)</f>
        <v/>
      </c>
      <c r="LP18">
        <f>LP17*IF(OR($C17=228,$G17=228),0,1)</f>
        <v/>
      </c>
      <c r="LQ18">
        <f>LQ17*IF(OR($C17=229,$G17=229),0,1)</f>
        <v/>
      </c>
      <c r="LR18">
        <f>LR17*IF(OR($C17=230,$G17=230),0,1)</f>
        <v/>
      </c>
      <c r="LS18">
        <f>LS17*IF(OR($C17=231,$G17=231),0,1)</f>
        <v/>
      </c>
      <c r="LT18">
        <f>LT17*IF(OR($C17=232,$G17=232),0,1)</f>
        <v/>
      </c>
      <c r="LU18">
        <f>LU17*IF(OR($C17=233,$G17=233),0,1)</f>
        <v/>
      </c>
      <c r="LV18">
        <f>LV17*IF(OR($C17=234,$G17=234),0,1)</f>
        <v/>
      </c>
      <c r="LW18">
        <f>LW17*IF(OR($C17=235,$G17=235),0,1)</f>
        <v/>
      </c>
      <c r="LX18">
        <f>LX17*IF(OR($C17=236,$G17=236),0,1)</f>
        <v/>
      </c>
      <c r="LY18">
        <f>LY17*IF(OR($C17=237,$G17=237),0,1)</f>
        <v/>
      </c>
      <c r="LZ18">
        <f>LZ17*IF(OR($C17=238,$G17=238),0,1)</f>
        <v/>
      </c>
      <c r="MA18">
        <f>MA17*IF(OR($C17=239,$G17=239),0,1)</f>
        <v/>
      </c>
      <c r="MB18">
        <f>MB17*IF(OR($C17=240,$G17=240),0,1)</f>
        <v/>
      </c>
      <c r="MD18">
        <f>IF('計算A'!D$106=1,CX18,1)</f>
        <v/>
      </c>
      <c r="ME18">
        <f>IF('計算A'!E$106=1,CY18,1)</f>
        <v/>
      </c>
      <c r="MF18">
        <f>IF('計算A'!F$106=1,CZ18,1)</f>
        <v/>
      </c>
      <c r="MG18">
        <f>IF('計算A'!G$106=1,DA18,1)</f>
        <v/>
      </c>
      <c r="MH18">
        <f>IF('計算A'!H$106=1,DB18,1)</f>
        <v/>
      </c>
      <c r="MI18">
        <f>IF('計算A'!I$106=1,DC18,1)</f>
        <v/>
      </c>
      <c r="MJ18">
        <f>IF('計算A'!J$106=1,DD18,1)</f>
        <v/>
      </c>
      <c r="MK18">
        <f>IF('計算A'!K$106=1,DE18,1)</f>
        <v/>
      </c>
      <c r="ML18">
        <f>IF('計算A'!L$106=1,DF18,1)</f>
        <v/>
      </c>
      <c r="MM18">
        <f>IF('計算A'!M$106=1,DG18,1)</f>
        <v/>
      </c>
      <c r="MN18">
        <f>IF('計算A'!N$106=1,DH18,1)</f>
        <v/>
      </c>
      <c r="MO18">
        <f>IF('計算A'!O$106=1,DI18,1)</f>
        <v/>
      </c>
      <c r="MP18">
        <f>IF('計算A'!P$106=1,DJ18,1)</f>
        <v/>
      </c>
      <c r="MQ18">
        <f>IF('計算A'!Q$106=1,DK18,1)</f>
        <v/>
      </c>
      <c r="MR18">
        <f>IF('計算A'!R$106=1,DL18,1)</f>
        <v/>
      </c>
      <c r="MS18">
        <f>IF('計算A'!S$106=1,DM18,1)</f>
        <v/>
      </c>
      <c r="MT18">
        <f>IF('計算A'!T$106=1,DN18,1)</f>
        <v/>
      </c>
      <c r="MU18">
        <f>IF('計算A'!U$106=1,DO18,1)</f>
        <v/>
      </c>
      <c r="MV18">
        <f>IF('計算A'!V$106=1,DP18,1)</f>
        <v/>
      </c>
      <c r="MW18">
        <f>IF('計算A'!W$106=1,DQ18,1)</f>
        <v/>
      </c>
      <c r="MX18">
        <f>IF('計算A'!X$106=1,DR18,1)</f>
        <v/>
      </c>
      <c r="MY18">
        <f>IF('計算A'!Y$106=1,DS18,1)</f>
        <v/>
      </c>
      <c r="MZ18">
        <f>IF('計算A'!Z$106=1,DT18,1)</f>
        <v/>
      </c>
      <c r="NA18">
        <f>IF('計算A'!AA$106=1,DU18,1)</f>
        <v/>
      </c>
      <c r="NB18">
        <f>IF('計算A'!AB$106=1,DV18,1)</f>
        <v/>
      </c>
      <c r="NC18">
        <f>IF('計算A'!AC$106=1,DW18,1)</f>
        <v/>
      </c>
      <c r="ND18">
        <f>IF('計算A'!AD$106=1,DX18,1)</f>
        <v/>
      </c>
      <c r="NE18">
        <f>IF('計算A'!AE$106=1,DY18,1)</f>
        <v/>
      </c>
      <c r="NF18">
        <f>IF('計算A'!AF$106=1,DZ18,1)</f>
        <v/>
      </c>
      <c r="NG18">
        <f>IF('計算A'!AG$106=1,EA18,1)</f>
        <v/>
      </c>
      <c r="NH18">
        <f>IF('計算A'!AH$106=1,EB18,1)</f>
        <v/>
      </c>
      <c r="NI18">
        <f>IF('計算A'!AI$106=1,EC18,1)</f>
        <v/>
      </c>
      <c r="NJ18">
        <f>IF('計算A'!AJ$106=1,ED18,1)</f>
        <v/>
      </c>
      <c r="NK18">
        <f>IF('計算A'!AK$106=1,EE18,1)</f>
        <v/>
      </c>
      <c r="NL18">
        <f>IF('計算A'!AL$106=1,EF18,1)</f>
        <v/>
      </c>
      <c r="NM18">
        <f>IF('計算A'!AM$106=1,EG18,1)</f>
        <v/>
      </c>
      <c r="NN18">
        <f>IF('計算A'!AN$106=1,EH18,1)</f>
        <v/>
      </c>
      <c r="NO18">
        <f>IF('計算A'!AO$106=1,EI18,1)</f>
        <v/>
      </c>
      <c r="NP18">
        <f>IF('計算A'!AP$106=1,EJ18,1)</f>
        <v/>
      </c>
      <c r="NQ18">
        <f>IF('計算A'!AQ$106=1,EK18,1)</f>
        <v/>
      </c>
      <c r="NR18">
        <f>IF('計算A'!AR$106=1,EL18,1)</f>
        <v/>
      </c>
      <c r="NS18">
        <f>IF('計算A'!AS$106=1,EM18,1)</f>
        <v/>
      </c>
      <c r="NT18">
        <f>IF('計算A'!AT$106=1,EN18,1)</f>
        <v/>
      </c>
      <c r="NU18">
        <f>IF('計算A'!AU$106=1,EO18,1)</f>
        <v/>
      </c>
      <c r="NV18">
        <f>IF('計算A'!AV$106=1,EP18,1)</f>
        <v/>
      </c>
      <c r="NW18">
        <f>IF('計算A'!AW$106=1,EQ18,1)</f>
        <v/>
      </c>
      <c r="NX18">
        <f>IF('計算A'!AX$106=1,ER18,1)</f>
        <v/>
      </c>
      <c r="NY18">
        <f>IF('計算A'!AY$106=1,ES18,1)</f>
        <v/>
      </c>
      <c r="NZ18">
        <f>IF('計算A'!AZ$106=1,ET18,1)</f>
        <v/>
      </c>
      <c r="OA18">
        <f>IF('計算A'!BA$106=1,EU18,1)</f>
        <v/>
      </c>
      <c r="OB18">
        <f>IF('計算A'!BB$106=1,EV18,1)</f>
        <v/>
      </c>
      <c r="OC18">
        <f>IF('計算A'!BC$106=1,EW18,1)</f>
        <v/>
      </c>
      <c r="OD18">
        <f>IF('計算A'!BD$106=1,EX18,1)</f>
        <v/>
      </c>
      <c r="OE18">
        <f>IF('計算A'!BE$106=1,EY18,1)</f>
        <v/>
      </c>
      <c r="OF18">
        <f>IF('計算A'!BF$106=1,EZ18,1)</f>
        <v/>
      </c>
      <c r="OG18">
        <f>IF('計算A'!BG$106=1,FA18,1)</f>
        <v/>
      </c>
      <c r="OH18">
        <f>IF('計算A'!BH$106=1,FB18,1)</f>
        <v/>
      </c>
      <c r="OI18">
        <f>IF('計算A'!BI$106=1,FC18,1)</f>
        <v/>
      </c>
      <c r="OJ18">
        <f>IF('計算A'!BJ$106=1,FD18,1)</f>
        <v/>
      </c>
      <c r="OK18">
        <f>IF('計算A'!BK$106=1,FE18,1)</f>
        <v/>
      </c>
      <c r="OL18">
        <f>IF('計算A'!BL$106=1,FF18,1)</f>
        <v/>
      </c>
      <c r="OM18">
        <f>IF('計算A'!BM$106=1,FG18,1)</f>
        <v/>
      </c>
      <c r="ON18">
        <f>IF('計算A'!BN$106=1,FH18,1)</f>
        <v/>
      </c>
      <c r="OO18">
        <f>IF('計算A'!BO$106=1,FI18,1)</f>
        <v/>
      </c>
      <c r="OP18">
        <f>IF('計算A'!BP$106=1,FJ18,1)</f>
        <v/>
      </c>
      <c r="OQ18">
        <f>IF('計算A'!BQ$106=1,FK18,1)</f>
        <v/>
      </c>
      <c r="OR18">
        <f>IF('計算A'!BR$106=1,FL18,1)</f>
        <v/>
      </c>
      <c r="OS18">
        <f>IF('計算A'!BS$106=1,FM18,1)</f>
        <v/>
      </c>
      <c r="OT18">
        <f>IF('計算A'!BT$106=1,FN18,1)</f>
        <v/>
      </c>
      <c r="OU18">
        <f>IF('計算A'!BU$106=1,FO18,1)</f>
        <v/>
      </c>
      <c r="OV18">
        <f>IF('計算A'!BV$106=1,FP18,1)</f>
        <v/>
      </c>
      <c r="OW18">
        <f>IF('計算A'!BW$106=1,FQ18,1)</f>
        <v/>
      </c>
      <c r="OX18">
        <f>IF('計算A'!BX$106=1,FR18,1)</f>
        <v/>
      </c>
      <c r="OY18">
        <f>IF('計算A'!BY$106=1,FS18,1)</f>
        <v/>
      </c>
      <c r="OZ18">
        <f>IF('計算A'!BZ$106=1,FT18,1)</f>
        <v/>
      </c>
      <c r="PA18">
        <f>IF('計算A'!CA$106=1,FU18,1)</f>
        <v/>
      </c>
      <c r="PB18">
        <f>IF('計算A'!CB$106=1,FV18,1)</f>
        <v/>
      </c>
      <c r="PC18">
        <f>IF('計算A'!CC$106=1,FW18,1)</f>
        <v/>
      </c>
      <c r="PD18">
        <f>IF('計算A'!CD$106=1,FX18,1)</f>
        <v/>
      </c>
      <c r="PE18">
        <f>IF('計算A'!CE$106=1,FY18,1)</f>
        <v/>
      </c>
      <c r="PF18">
        <f>IF('計算A'!CF$106=1,FZ18,1)</f>
        <v/>
      </c>
      <c r="PG18">
        <f>IF('計算A'!CG$106=1,GA18,1)</f>
        <v/>
      </c>
      <c r="PH18">
        <f>IF('計算A'!CH$106=1,GB18,1)</f>
        <v/>
      </c>
      <c r="PI18">
        <f>IF('計算A'!CI$106=1,GC18,1)</f>
        <v/>
      </c>
      <c r="PJ18">
        <f>IF('計算A'!CJ$106=1,GD18,1)</f>
        <v/>
      </c>
      <c r="PK18">
        <f>IF('計算A'!CK$106=1,GE18,1)</f>
        <v/>
      </c>
      <c r="PL18">
        <f>IF('計算A'!CL$106=1,GF18,1)</f>
        <v/>
      </c>
      <c r="PM18">
        <f>IF('計算A'!CM$106=1,GG18,1)</f>
        <v/>
      </c>
      <c r="PN18">
        <f>IF('計算A'!CN$106=1,GH18,1)</f>
        <v/>
      </c>
      <c r="PO18">
        <f>IF('計算A'!CO$106=1,GI18,1)</f>
        <v/>
      </c>
      <c r="PP18">
        <f>IF('計算A'!CP$106=1,GJ18,1)</f>
        <v/>
      </c>
      <c r="PQ18">
        <f>IF('計算A'!CQ$106=1,GK18,1)</f>
        <v/>
      </c>
      <c r="PR18">
        <f>IF('計算A'!CR$106=1,GL18,1)</f>
        <v/>
      </c>
      <c r="PS18">
        <f>IF('計算A'!CS$106=1,GM18,1)</f>
        <v/>
      </c>
      <c r="PT18">
        <f>IF('計算A'!CT$106=1,GN18,1)</f>
        <v/>
      </c>
      <c r="PU18">
        <f>IF('計算A'!CU$106=1,GO18,1)</f>
        <v/>
      </c>
      <c r="PV18">
        <f>IF('計算A'!CV$106=1,GP18,1)</f>
        <v/>
      </c>
      <c r="PW18">
        <f>IF('計算A'!CW$106=1,GQ18,1)</f>
        <v/>
      </c>
      <c r="PX18">
        <f>IF('計算A'!CX$106=1,GR18,1)</f>
        <v/>
      </c>
      <c r="PY18">
        <f>IF('計算A'!CY$106=1,GS18,1)</f>
        <v/>
      </c>
      <c r="PZ18">
        <f>IF('計算A'!CZ$106=1,GT18,1)</f>
        <v/>
      </c>
      <c r="QA18">
        <f>IF('計算A'!DA$106=1,GU18,1)</f>
        <v/>
      </c>
      <c r="QB18">
        <f>IF('計算A'!DB$106=1,GV18,1)</f>
        <v/>
      </c>
      <c r="QC18">
        <f>IF('計算A'!DC$106=1,GW18,1)</f>
        <v/>
      </c>
      <c r="QD18">
        <f>IF('計算A'!DD$106=1,GX18,1)</f>
        <v/>
      </c>
      <c r="QE18">
        <f>IF('計算A'!DE$106=1,GY18,1)</f>
        <v/>
      </c>
      <c r="QF18">
        <f>IF('計算A'!DF$106=1,GZ18,1)</f>
        <v/>
      </c>
      <c r="QG18">
        <f>IF('計算A'!DG$106=1,HA18,1)</f>
        <v/>
      </c>
      <c r="QH18">
        <f>IF('計算A'!DH$106=1,HB18,1)</f>
        <v/>
      </c>
      <c r="QI18">
        <f>IF('計算A'!DI$106=1,HC18,1)</f>
        <v/>
      </c>
      <c r="QJ18">
        <f>IF('計算A'!DJ$106=1,HD18,1)</f>
        <v/>
      </c>
      <c r="QK18">
        <f>IF('計算A'!DK$106=1,HE18,1)</f>
        <v/>
      </c>
      <c r="QL18">
        <f>IF('計算A'!DL$106=1,HF18,1)</f>
        <v/>
      </c>
      <c r="QM18">
        <f>IF('計算A'!DM$106=1,HG18,1)</f>
        <v/>
      </c>
      <c r="QN18">
        <f>IF('計算A'!DN$106=1,HH18,1)</f>
        <v/>
      </c>
      <c r="QO18">
        <f>IF('計算A'!DO$106=1,HI18,1)</f>
        <v/>
      </c>
      <c r="QP18">
        <f>IF('計算A'!DP$106=1,HJ18,1)</f>
        <v/>
      </c>
      <c r="QQ18">
        <f>IF('計算A'!DQ$106=1,HK18,1)</f>
        <v/>
      </c>
      <c r="QR18">
        <f>IF('計算A'!DR$106=1,HL18,1)</f>
        <v/>
      </c>
      <c r="QS18">
        <f>IF('計算A'!DS$106=1,HM18,1)</f>
        <v/>
      </c>
      <c r="QT18">
        <f>IF('計算A'!DT$106=1,HN18,1)</f>
        <v/>
      </c>
      <c r="QU18">
        <f>IF('計算A'!DU$106=1,HO18,1)</f>
        <v/>
      </c>
      <c r="QV18">
        <f>IF('計算A'!DV$106=1,HP18,1)</f>
        <v/>
      </c>
      <c r="QW18">
        <f>IF('計算A'!DW$106=1,HQ18,1)</f>
        <v/>
      </c>
      <c r="QX18">
        <f>IF('計算A'!DX$106=1,HR18,1)</f>
        <v/>
      </c>
      <c r="QY18">
        <f>IF('計算A'!DY$106=1,HS18,1)</f>
        <v/>
      </c>
      <c r="QZ18">
        <f>IF('計算A'!DZ$106=1,HT18,1)</f>
        <v/>
      </c>
      <c r="RA18">
        <f>IF('計算A'!EA$106=1,HU18,1)</f>
        <v/>
      </c>
      <c r="RB18">
        <f>IF('計算A'!EB$106=1,HV18,1)</f>
        <v/>
      </c>
      <c r="RC18">
        <f>IF('計算A'!EC$106=1,HW18,1)</f>
        <v/>
      </c>
      <c r="RD18">
        <f>IF('計算A'!ED$106=1,HX18,1)</f>
        <v/>
      </c>
      <c r="RE18">
        <f>IF('計算A'!EE$106=1,HY18,1)</f>
        <v/>
      </c>
      <c r="RF18">
        <f>IF('計算A'!EF$106=1,HZ18,1)</f>
        <v/>
      </c>
      <c r="RG18">
        <f>IF('計算A'!EG$106=1,IA18,1)</f>
        <v/>
      </c>
      <c r="RH18">
        <f>IF('計算A'!EH$106=1,IB18,1)</f>
        <v/>
      </c>
      <c r="RI18">
        <f>IF('計算A'!EI$106=1,IC18,1)</f>
        <v/>
      </c>
      <c r="RJ18">
        <f>IF('計算A'!EJ$106=1,ID18,1)</f>
        <v/>
      </c>
      <c r="RK18">
        <f>IF('計算A'!EK$106=1,IE18,1)</f>
        <v/>
      </c>
      <c r="RL18">
        <f>IF('計算A'!EL$106=1,IF18,1)</f>
        <v/>
      </c>
      <c r="RM18">
        <f>IF('計算A'!EM$106=1,IG18,1)</f>
        <v/>
      </c>
      <c r="RN18">
        <f>IF('計算A'!EN$106=1,IH18,1)</f>
        <v/>
      </c>
      <c r="RO18">
        <f>IF('計算A'!EO$106=1,II18,1)</f>
        <v/>
      </c>
      <c r="RP18">
        <f>IF('計算A'!EP$106=1,IJ18,1)</f>
        <v/>
      </c>
      <c r="RQ18">
        <f>IF('計算A'!EQ$106=1,IK18,1)</f>
        <v/>
      </c>
      <c r="RR18">
        <f>IF('計算A'!ER$106=1,IL18,1)</f>
        <v/>
      </c>
      <c r="RS18">
        <f>IF('計算A'!ES$106=1,IM18,1)</f>
        <v/>
      </c>
      <c r="RT18">
        <f>IF('計算A'!ET$106=1,IN18,1)</f>
        <v/>
      </c>
      <c r="RU18">
        <f>IF('計算A'!EU$106=1,IO18,1)</f>
        <v/>
      </c>
      <c r="RV18">
        <f>IF('計算A'!EV$106=1,IP18,1)</f>
        <v/>
      </c>
      <c r="RW18">
        <f>IF('計算A'!EW$106=1,IQ18,1)</f>
        <v/>
      </c>
      <c r="RX18">
        <f>IF('計算A'!EX$106=1,IR18,1)</f>
        <v/>
      </c>
      <c r="RY18">
        <f>IF('計算A'!EY$106=1,IS18,1)</f>
        <v/>
      </c>
      <c r="RZ18">
        <f>IF('計算A'!EZ$106=1,IT18,1)</f>
        <v/>
      </c>
      <c r="SA18">
        <f>IF('計算A'!FA$106=1,IU18,1)</f>
        <v/>
      </c>
      <c r="SB18">
        <f>IF('計算A'!FB$106=1,IV18,1)</f>
        <v/>
      </c>
      <c r="SC18">
        <f>IF('計算A'!FC$106=1,IW18,1)</f>
        <v/>
      </c>
      <c r="SD18">
        <f>IF('計算A'!FD$106=1,IX18,1)</f>
        <v/>
      </c>
      <c r="SE18">
        <f>IF('計算A'!FE$106=1,IY18,1)</f>
        <v/>
      </c>
      <c r="SF18">
        <f>IF('計算A'!FF$106=1,IZ18,1)</f>
        <v/>
      </c>
      <c r="SG18">
        <f>IF('計算A'!FG$106=1,JA18,1)</f>
        <v/>
      </c>
      <c r="SH18">
        <f>IF('計算A'!FH$106=1,JB18,1)</f>
        <v/>
      </c>
      <c r="SI18">
        <f>IF('計算A'!FI$106=1,JC18,1)</f>
        <v/>
      </c>
      <c r="SJ18">
        <f>IF('計算A'!FJ$106=1,JD18,1)</f>
        <v/>
      </c>
      <c r="SK18">
        <f>IF('計算A'!FK$106=1,JE18,1)</f>
        <v/>
      </c>
      <c r="SL18">
        <f>IF('計算A'!FL$106=1,JF18,1)</f>
        <v/>
      </c>
      <c r="SM18">
        <f>IF('計算A'!FM$106=1,JG18,1)</f>
        <v/>
      </c>
      <c r="SN18">
        <f>IF('計算A'!FN$106=1,JH18,1)</f>
        <v/>
      </c>
      <c r="SO18">
        <f>IF('計算A'!FO$106=1,JI18,1)</f>
        <v/>
      </c>
      <c r="SP18">
        <f>IF('計算A'!FP$106=1,JJ18,1)</f>
        <v/>
      </c>
      <c r="SQ18">
        <f>IF('計算A'!FQ$106=1,JK18,1)</f>
        <v/>
      </c>
      <c r="SR18">
        <f>IF('計算A'!FR$106=1,JL18,1)</f>
        <v/>
      </c>
      <c r="SS18">
        <f>IF('計算A'!FS$106=1,JM18,1)</f>
        <v/>
      </c>
      <c r="ST18">
        <f>IF('計算A'!FT$106=1,JN18,1)</f>
        <v/>
      </c>
      <c r="SU18">
        <f>IF('計算A'!FU$106=1,JO18,1)</f>
        <v/>
      </c>
      <c r="SV18">
        <f>IF('計算A'!FV$106=1,JP18,1)</f>
        <v/>
      </c>
      <c r="SW18">
        <f>IF('計算A'!FW$106=1,JQ18,1)</f>
        <v/>
      </c>
      <c r="SX18">
        <f>IF('計算A'!FX$106=1,JR18,1)</f>
        <v/>
      </c>
      <c r="SY18">
        <f>IF('計算A'!FY$106=1,JS18,1)</f>
        <v/>
      </c>
      <c r="SZ18">
        <f>IF('計算A'!FZ$106=1,JT18,1)</f>
        <v/>
      </c>
      <c r="TA18">
        <f>IF('計算A'!GA$106=1,JU18,1)</f>
        <v/>
      </c>
      <c r="TB18">
        <f>IF('計算A'!GB$106=1,JV18,1)</f>
        <v/>
      </c>
      <c r="TC18">
        <f>IF('計算A'!GC$106=1,JW18,1)</f>
        <v/>
      </c>
      <c r="TD18">
        <f>IF('計算A'!GD$106=1,JX18,1)</f>
        <v/>
      </c>
      <c r="TE18">
        <f>IF('計算A'!GE$106=1,JY18,1)</f>
        <v/>
      </c>
      <c r="TF18">
        <f>IF('計算A'!GF$106=1,JZ18,1)</f>
        <v/>
      </c>
      <c r="TG18">
        <f>IF('計算A'!GG$106=1,KA18,1)</f>
        <v/>
      </c>
      <c r="TH18">
        <f>IF('計算A'!GH$106=1,KB18,1)</f>
        <v/>
      </c>
      <c r="TI18">
        <f>IF('計算A'!GI$106=1,KC18,1)</f>
        <v/>
      </c>
      <c r="TJ18">
        <f>IF('計算A'!GJ$106=1,KD18,1)</f>
        <v/>
      </c>
      <c r="TK18">
        <f>IF('計算A'!GK$106=1,KE18,1)</f>
        <v/>
      </c>
      <c r="TL18">
        <f>IF('計算A'!GL$106=1,KF18,1)</f>
        <v/>
      </c>
      <c r="TM18">
        <f>IF('計算A'!GM$106=1,KG18,1)</f>
        <v/>
      </c>
      <c r="TN18">
        <f>IF('計算A'!GN$106=1,KH18,1)</f>
        <v/>
      </c>
      <c r="TO18">
        <f>IF('計算A'!GO$106=1,KI18,1)</f>
        <v/>
      </c>
      <c r="TP18">
        <f>IF('計算A'!GP$106=1,KJ18,1)</f>
        <v/>
      </c>
      <c r="TQ18">
        <f>IF('計算A'!GQ$106=1,KK18,1)</f>
        <v/>
      </c>
      <c r="TR18">
        <f>IF('計算A'!GR$106=1,KL18,1)</f>
        <v/>
      </c>
      <c r="TS18">
        <f>IF('計算A'!GS$106=1,KM18,1)</f>
        <v/>
      </c>
      <c r="TT18">
        <f>IF('計算A'!GT$106=1,KN18,1)</f>
        <v/>
      </c>
      <c r="TU18">
        <f>IF('計算A'!GU$106=1,KO18,1)</f>
        <v/>
      </c>
      <c r="TV18">
        <f>IF('計算A'!GV$106=1,KP18,1)</f>
        <v/>
      </c>
      <c r="TW18">
        <f>IF('計算A'!GW$106=1,KQ18,1)</f>
        <v/>
      </c>
      <c r="TX18">
        <f>IF('計算A'!GX$106=1,KR18,1)</f>
        <v/>
      </c>
      <c r="TY18">
        <f>IF('計算A'!GY$106=1,KS18,1)</f>
        <v/>
      </c>
      <c r="TZ18">
        <f>IF('計算A'!GZ$106=1,KT18,1)</f>
        <v/>
      </c>
      <c r="UA18">
        <f>IF('計算A'!HA$106=1,KU18,1)</f>
        <v/>
      </c>
      <c r="UB18">
        <f>IF('計算A'!HB$106=1,KV18,1)</f>
        <v/>
      </c>
      <c r="UC18">
        <f>IF('計算A'!HC$106=1,KW18,1)</f>
        <v/>
      </c>
      <c r="UD18">
        <f>IF('計算A'!HD$106=1,KX18,1)</f>
        <v/>
      </c>
      <c r="UE18">
        <f>IF('計算A'!HE$106=1,KY18,1)</f>
        <v/>
      </c>
      <c r="UF18">
        <f>IF('計算A'!HF$106=1,KZ18,1)</f>
        <v/>
      </c>
      <c r="UG18">
        <f>IF('計算A'!HG$106=1,LA18,1)</f>
        <v/>
      </c>
      <c r="UH18">
        <f>IF('計算A'!HH$106=1,LB18,1)</f>
        <v/>
      </c>
      <c r="UI18">
        <f>IF('計算A'!HI$106=1,LC18,1)</f>
        <v/>
      </c>
      <c r="UJ18">
        <f>IF('計算A'!HJ$106=1,LD18,1)</f>
        <v/>
      </c>
      <c r="UK18">
        <f>IF('計算A'!HK$106=1,LE18,1)</f>
        <v/>
      </c>
      <c r="UL18">
        <f>IF('計算A'!HL$106=1,LF18,1)</f>
        <v/>
      </c>
      <c r="UM18">
        <f>IF('計算A'!HM$106=1,LG18,1)</f>
        <v/>
      </c>
      <c r="UN18">
        <f>IF('計算A'!HN$106=1,LH18,1)</f>
        <v/>
      </c>
      <c r="UO18">
        <f>IF('計算A'!HO$106=1,LI18,1)</f>
        <v/>
      </c>
      <c r="UP18">
        <f>IF('計算A'!HP$106=1,LJ18,1)</f>
        <v/>
      </c>
      <c r="UQ18">
        <f>IF('計算A'!HQ$106=1,LK18,1)</f>
        <v/>
      </c>
      <c r="UR18">
        <f>IF('計算A'!HR$106=1,LL18,1)</f>
        <v/>
      </c>
      <c r="US18">
        <f>IF('計算A'!HS$106=1,LM18,1)</f>
        <v/>
      </c>
      <c r="UT18">
        <f>IF('計算A'!HT$106=1,LN18,1)</f>
        <v/>
      </c>
      <c r="UU18">
        <f>IF('計算A'!HU$106=1,LO18,1)</f>
        <v/>
      </c>
      <c r="UV18">
        <f>IF('計算A'!HV$106=1,LP18,1)</f>
        <v/>
      </c>
      <c r="UW18">
        <f>IF('計算A'!HW$106=1,LQ18,1)</f>
        <v/>
      </c>
      <c r="UX18">
        <f>IF('計算A'!HX$106=1,LR18,1)</f>
        <v/>
      </c>
      <c r="UY18">
        <f>IF('計算A'!HY$106=1,LS18,1)</f>
        <v/>
      </c>
      <c r="UZ18">
        <f>IF('計算A'!HZ$106=1,LT18,1)</f>
        <v/>
      </c>
      <c r="VA18">
        <f>IF('計算A'!IA$106=1,LU18,1)</f>
        <v/>
      </c>
      <c r="VB18">
        <f>IF('計算A'!IB$106=1,LV18,1)</f>
        <v/>
      </c>
      <c r="VC18">
        <f>IF('計算A'!IC$106=1,LW18,1)</f>
        <v/>
      </c>
      <c r="VD18">
        <f>IF('計算A'!ID$106=1,LX18,1)</f>
        <v/>
      </c>
      <c r="VE18">
        <f>IF('計算A'!IE$106=1,LY18,1)</f>
        <v/>
      </c>
      <c r="VF18">
        <f>IF('計算A'!IF$106=1,LZ18,1)</f>
        <v/>
      </c>
      <c r="VG18">
        <f>IF('計算A'!IG$106=1,MA18,1)</f>
        <v/>
      </c>
      <c r="VH18">
        <f>IF('計算A'!IH$106=1,MB18,1)</f>
        <v/>
      </c>
      <c r="VI18" t="n">
        <v>1</v>
      </c>
      <c r="VK18">
        <f>IF($B18=0,1000000,IF(INDEX('計算A'!$D$60:$II$104,$B18,1)*CW18=1,IF(AND($E18=2,MD18=0),1000000,INDEX('計算A'!D$110:D$114,$F18+1)+IF(AND($E18=1,MD18=0),1000,0)),1000000))</f>
        <v/>
      </c>
      <c r="VL18">
        <f>IF($B18=0,1000000,IF(INDEX('計算A'!$D$60:$II$104,$B18,2)*CX18=1,IF(AND($E18=2,ME18=0),1000000,INDEX('計算A'!E$110:E$114,$F18+1)+IF(AND($E18=1,ME18=0),1000,0)),1000000))</f>
        <v/>
      </c>
      <c r="VM18">
        <f>IF($B18=0,1000000,IF(INDEX('計算A'!$D$60:$II$104,$B18,3)*CY18=1,IF(AND($E18=2,MF18=0),1000000,INDEX('計算A'!F$110:F$114,$F18+1)+IF(AND($E18=1,MF18=0),1000,0)),1000000))</f>
        <v/>
      </c>
      <c r="VN18">
        <f>IF($B18=0,1000000,IF(INDEX('計算A'!$D$60:$II$104,$B18,4)*CZ18=1,IF(AND($E18=2,MG18=0),1000000,INDEX('計算A'!G$110:G$114,$F18+1)+IF(AND($E18=1,MG18=0),1000,0)),1000000))</f>
        <v/>
      </c>
      <c r="VO18">
        <f>IF($B18=0,1000000,IF(INDEX('計算A'!$D$60:$II$104,$B18,5)*DA18=1,IF(AND($E18=2,MH18=0),1000000,INDEX('計算A'!H$110:H$114,$F18+1)+IF(AND($E18=1,MH18=0),1000,0)),1000000))</f>
        <v/>
      </c>
      <c r="VP18">
        <f>IF($B18=0,1000000,IF(INDEX('計算A'!$D$60:$II$104,$B18,6)*DB18=1,IF(AND($E18=2,MI18=0),1000000,INDEX('計算A'!I$110:I$114,$F18+1)+IF(AND($E18=1,MI18=0),1000,0)),1000000))</f>
        <v/>
      </c>
      <c r="VQ18">
        <f>IF($B18=0,1000000,IF(INDEX('計算A'!$D$60:$II$104,$B18,7)*DC18=1,IF(AND($E18=2,MJ18=0),1000000,INDEX('計算A'!J$110:J$114,$F18+1)+IF(AND($E18=1,MJ18=0),1000,0)),1000000))</f>
        <v/>
      </c>
      <c r="VR18">
        <f>IF($B18=0,1000000,IF(INDEX('計算A'!$D$60:$II$104,$B18,8)*DD18=1,IF(AND($E18=2,MK18=0),1000000,INDEX('計算A'!K$110:K$114,$F18+1)+IF(AND($E18=1,MK18=0),1000,0)),1000000))</f>
        <v/>
      </c>
      <c r="VS18">
        <f>IF($B18=0,1000000,IF(INDEX('計算A'!$D$60:$II$104,$B18,9)*DE18=1,IF(AND($E18=2,ML18=0),1000000,INDEX('計算A'!L$110:L$114,$F18+1)+IF(AND($E18=1,ML18=0),1000,0)),1000000))</f>
        <v/>
      </c>
      <c r="VT18">
        <f>IF($B18=0,1000000,IF(INDEX('計算A'!$D$60:$II$104,$B18,10)*DF18=1,IF(AND($E18=2,MM18=0),1000000,INDEX('計算A'!M$110:M$114,$F18+1)+IF(AND($E18=1,MM18=0),1000,0)),1000000))</f>
        <v/>
      </c>
      <c r="VU18">
        <f>IF($B18=0,1000000,IF(INDEX('計算A'!$D$60:$II$104,$B18,11)*DG18=1,IF(AND($E18=2,MN18=0),1000000,INDEX('計算A'!N$110:N$114,$F18+1)+IF(AND($E18=1,MN18=0),1000,0)),1000000))</f>
        <v/>
      </c>
      <c r="VV18">
        <f>IF($B18=0,1000000,IF(INDEX('計算A'!$D$60:$II$104,$B18,12)*DH18=1,IF(AND($E18=2,MO18=0),1000000,INDEX('計算A'!O$110:O$114,$F18+1)+IF(AND($E18=1,MO18=0),1000,0)),1000000))</f>
        <v/>
      </c>
      <c r="VW18">
        <f>IF($B18=0,1000000,IF(INDEX('計算A'!$D$60:$II$104,$B18,13)*DI18=1,IF(AND($E18=2,MP18=0),1000000,INDEX('計算A'!P$110:P$114,$F18+1)+IF(AND($E18=1,MP18=0),1000,0)),1000000))</f>
        <v/>
      </c>
      <c r="VX18">
        <f>IF($B18=0,1000000,IF(INDEX('計算A'!$D$60:$II$104,$B18,14)*DJ18=1,IF(AND($E18=2,MQ18=0),1000000,INDEX('計算A'!Q$110:Q$114,$F18+1)+IF(AND($E18=1,MQ18=0),1000,0)),1000000))</f>
        <v/>
      </c>
      <c r="VY18">
        <f>IF($B18=0,1000000,IF(INDEX('計算A'!$D$60:$II$104,$B18,15)*DK18=1,IF(AND($E18=2,MR18=0),1000000,INDEX('計算A'!R$110:R$114,$F18+1)+IF(AND($E18=1,MR18=0),1000,0)),1000000))</f>
        <v/>
      </c>
      <c r="VZ18">
        <f>IF($B18=0,1000000,IF(INDEX('計算A'!$D$60:$II$104,$B18,16)*DL18=1,IF(AND($E18=2,MS18=0),1000000,INDEX('計算A'!S$110:S$114,$F18+1)+IF(AND($E18=1,MS18=0),1000,0)),1000000))</f>
        <v/>
      </c>
      <c r="WA18">
        <f>IF($B18=0,1000000,IF(INDEX('計算A'!$D$60:$II$104,$B18,17)*DM18=1,IF(AND($E18=2,MT18=0),1000000,INDEX('計算A'!T$110:T$114,$F18+1)+IF(AND($E18=1,MT18=0),1000,0)),1000000))</f>
        <v/>
      </c>
      <c r="WB18">
        <f>IF($B18=0,1000000,IF(INDEX('計算A'!$D$60:$II$104,$B18,18)*DN18=1,IF(AND($E18=2,MU18=0),1000000,INDEX('計算A'!U$110:U$114,$F18+1)+IF(AND($E18=1,MU18=0),1000,0)),1000000))</f>
        <v/>
      </c>
      <c r="WC18">
        <f>IF($B18=0,1000000,IF(INDEX('計算A'!$D$60:$II$104,$B18,19)*DO18=1,IF(AND($E18=2,MV18=0),1000000,INDEX('計算A'!V$110:V$114,$F18+1)+IF(AND($E18=1,MV18=0),1000,0)),1000000))</f>
        <v/>
      </c>
      <c r="WD18">
        <f>IF($B18=0,1000000,IF(INDEX('計算A'!$D$60:$II$104,$B18,20)*DP18=1,IF(AND($E18=2,MW18=0),1000000,INDEX('計算A'!W$110:W$114,$F18+1)+IF(AND($E18=1,MW18=0),1000,0)),1000000))</f>
        <v/>
      </c>
      <c r="WE18">
        <f>IF($B18=0,1000000,IF(INDEX('計算A'!$D$60:$II$104,$B18,21)*DQ18=1,IF(AND($E18=2,MX18=0),1000000,INDEX('計算A'!X$110:X$114,$F18+1)+IF(AND($E18=1,MX18=0),1000,0)),1000000))</f>
        <v/>
      </c>
      <c r="WF18">
        <f>IF($B18=0,1000000,IF(INDEX('計算A'!$D$60:$II$104,$B18,22)*DR18=1,IF(AND($E18=2,MY18=0),1000000,INDEX('計算A'!Y$110:Y$114,$F18+1)+IF(AND($E18=1,MY18=0),1000,0)),1000000))</f>
        <v/>
      </c>
      <c r="WG18">
        <f>IF($B18=0,1000000,IF(INDEX('計算A'!$D$60:$II$104,$B18,23)*DS18=1,IF(AND($E18=2,MZ18=0),1000000,INDEX('計算A'!Z$110:Z$114,$F18+1)+IF(AND($E18=1,MZ18=0),1000,0)),1000000))</f>
        <v/>
      </c>
      <c r="WH18">
        <f>IF($B18=0,1000000,IF(INDEX('計算A'!$D$60:$II$104,$B18,24)*DT18=1,IF(AND($E18=2,NA18=0),1000000,INDEX('計算A'!AA$110:AA$114,$F18+1)+IF(AND($E18=1,NA18=0),1000,0)),1000000))</f>
        <v/>
      </c>
      <c r="WI18">
        <f>IF($B18=0,1000000,IF(INDEX('計算A'!$D$60:$II$104,$B18,25)*DU18=1,IF(AND($E18=2,NB18=0),1000000,INDEX('計算A'!AB$110:AB$114,$F18+1)+IF(AND($E18=1,NB18=0),1000,0)),1000000))</f>
        <v/>
      </c>
      <c r="WJ18">
        <f>IF($B18=0,1000000,IF(INDEX('計算A'!$D$60:$II$104,$B18,26)*DV18=1,IF(AND($E18=2,NC18=0),1000000,INDEX('計算A'!AC$110:AC$114,$F18+1)+IF(AND($E18=1,NC18=0),1000,0)),1000000))</f>
        <v/>
      </c>
      <c r="WK18">
        <f>IF($B18=0,1000000,IF(INDEX('計算A'!$D$60:$II$104,$B18,27)*DW18=1,IF(AND($E18=2,ND18=0),1000000,INDEX('計算A'!AD$110:AD$114,$F18+1)+IF(AND($E18=1,ND18=0),1000,0)),1000000))</f>
        <v/>
      </c>
      <c r="WL18">
        <f>IF($B18=0,1000000,IF(INDEX('計算A'!$D$60:$II$104,$B18,28)*DX18=1,IF(AND($E18=2,NE18=0),1000000,INDEX('計算A'!AE$110:AE$114,$F18+1)+IF(AND($E18=1,NE18=0),1000,0)),1000000))</f>
        <v/>
      </c>
      <c r="WM18">
        <f>IF($B18=0,1000000,IF(INDEX('計算A'!$D$60:$II$104,$B18,29)*DY18=1,IF(AND($E18=2,NF18=0),1000000,INDEX('計算A'!AF$110:AF$114,$F18+1)+IF(AND($E18=1,NF18=0),1000,0)),1000000))</f>
        <v/>
      </c>
      <c r="WN18">
        <f>IF($B18=0,1000000,IF(INDEX('計算A'!$D$60:$II$104,$B18,30)*DZ18=1,IF(AND($E18=2,NG18=0),1000000,INDEX('計算A'!AG$110:AG$114,$F18+1)+IF(AND($E18=1,NG18=0),1000,0)),1000000))</f>
        <v/>
      </c>
      <c r="WO18">
        <f>IF($B18=0,1000000,IF(INDEX('計算A'!$D$60:$II$104,$B18,31)*EA18=1,IF(AND($E18=2,NH18=0),1000000,INDEX('計算A'!AH$110:AH$114,$F18+1)+IF(AND($E18=1,NH18=0),1000,0)),1000000))</f>
        <v/>
      </c>
      <c r="WP18">
        <f>IF($B18=0,1000000,IF(INDEX('計算A'!$D$60:$II$104,$B18,32)*EB18=1,IF(AND($E18=2,NI18=0),1000000,INDEX('計算A'!AI$110:AI$114,$F18+1)+IF(AND($E18=1,NI18=0),1000,0)),1000000))</f>
        <v/>
      </c>
      <c r="WQ18">
        <f>IF($B18=0,1000000,IF(INDEX('計算A'!$D$60:$II$104,$B18,33)*EC18=1,IF(AND($E18=2,NJ18=0),1000000,INDEX('計算A'!AJ$110:AJ$114,$F18+1)+IF(AND($E18=1,NJ18=0),1000,0)),1000000))</f>
        <v/>
      </c>
      <c r="WR18">
        <f>IF($B18=0,1000000,IF(INDEX('計算A'!$D$60:$II$104,$B18,34)*ED18=1,IF(AND($E18=2,NK18=0),1000000,INDEX('計算A'!AK$110:AK$114,$F18+1)+IF(AND($E18=1,NK18=0),1000,0)),1000000))</f>
        <v/>
      </c>
      <c r="WS18">
        <f>IF($B18=0,1000000,IF(INDEX('計算A'!$D$60:$II$104,$B18,35)*EE18=1,IF(AND($E18=2,NL18=0),1000000,INDEX('計算A'!AL$110:AL$114,$F18+1)+IF(AND($E18=1,NL18=0),1000,0)),1000000))</f>
        <v/>
      </c>
      <c r="WT18">
        <f>IF($B18=0,1000000,IF(INDEX('計算A'!$D$60:$II$104,$B18,36)*EF18=1,IF(AND($E18=2,NM18=0),1000000,INDEX('計算A'!AM$110:AM$114,$F18+1)+IF(AND($E18=1,NM18=0),1000,0)),1000000))</f>
        <v/>
      </c>
      <c r="WU18">
        <f>IF($B18=0,1000000,IF(INDEX('計算A'!$D$60:$II$104,$B18,37)*EG18=1,IF(AND($E18=2,NN18=0),1000000,INDEX('計算A'!AN$110:AN$114,$F18+1)+IF(AND($E18=1,NN18=0),1000,0)),1000000))</f>
        <v/>
      </c>
      <c r="WV18">
        <f>IF($B18=0,1000000,IF(INDEX('計算A'!$D$60:$II$104,$B18,38)*EH18=1,IF(AND($E18=2,NO18=0),1000000,INDEX('計算A'!AO$110:AO$114,$F18+1)+IF(AND($E18=1,NO18=0),1000,0)),1000000))</f>
        <v/>
      </c>
      <c r="WW18">
        <f>IF($B18=0,1000000,IF(INDEX('計算A'!$D$60:$II$104,$B18,39)*EI18=1,IF(AND($E18=2,NP18=0),1000000,INDEX('計算A'!AP$110:AP$114,$F18+1)+IF(AND($E18=1,NP18=0),1000,0)),1000000))</f>
        <v/>
      </c>
      <c r="WX18">
        <f>IF($B18=0,1000000,IF(INDEX('計算A'!$D$60:$II$104,$B18,40)*EJ18=1,IF(AND($E18=2,NQ18=0),1000000,INDEX('計算A'!AQ$110:AQ$114,$F18+1)+IF(AND($E18=1,NQ18=0),1000,0)),1000000))</f>
        <v/>
      </c>
      <c r="WY18">
        <f>IF($B18=0,1000000,IF(INDEX('計算A'!$D$60:$II$104,$B18,41)*EK18=1,IF(AND($E18=2,NR18=0),1000000,INDEX('計算A'!AR$110:AR$114,$F18+1)+IF(AND($E18=1,NR18=0),1000,0)),1000000))</f>
        <v/>
      </c>
      <c r="WZ18">
        <f>IF($B18=0,1000000,IF(INDEX('計算A'!$D$60:$II$104,$B18,42)*EL18=1,IF(AND($E18=2,NS18=0),1000000,INDEX('計算A'!AS$110:AS$114,$F18+1)+IF(AND($E18=1,NS18=0),1000,0)),1000000))</f>
        <v/>
      </c>
      <c r="XA18">
        <f>IF($B18=0,1000000,IF(INDEX('計算A'!$D$60:$II$104,$B18,43)*EM18=1,IF(AND($E18=2,NT18=0),1000000,INDEX('計算A'!AT$110:AT$114,$F18+1)+IF(AND($E18=1,NT18=0),1000,0)),1000000))</f>
        <v/>
      </c>
      <c r="XB18">
        <f>IF($B18=0,1000000,IF(INDEX('計算A'!$D$60:$II$104,$B18,44)*EN18=1,IF(AND($E18=2,NU18=0),1000000,INDEX('計算A'!AU$110:AU$114,$F18+1)+IF(AND($E18=1,NU18=0),1000,0)),1000000))</f>
        <v/>
      </c>
      <c r="XC18">
        <f>IF($B18=0,1000000,IF(INDEX('計算A'!$D$60:$II$104,$B18,45)*EO18=1,IF(AND($E18=2,NV18=0),1000000,INDEX('計算A'!AV$110:AV$114,$F18+1)+IF(AND($E18=1,NV18=0),1000,0)),1000000))</f>
        <v/>
      </c>
      <c r="XD18">
        <f>IF($B18=0,1000000,IF(INDEX('計算A'!$D$60:$II$104,$B18,46)*EP18=1,IF(AND($E18=2,NW18=0),1000000,INDEX('計算A'!AW$110:AW$114,$F18+1)+IF(AND($E18=1,NW18=0),1000,0)),1000000))</f>
        <v/>
      </c>
      <c r="XE18">
        <f>IF($B18=0,1000000,IF(INDEX('計算A'!$D$60:$II$104,$B18,47)*EQ18=1,IF(AND($E18=2,NX18=0),1000000,INDEX('計算A'!AX$110:AX$114,$F18+1)+IF(AND($E18=1,NX18=0),1000,0)),1000000))</f>
        <v/>
      </c>
      <c r="XF18">
        <f>IF($B18=0,1000000,IF(INDEX('計算A'!$D$60:$II$104,$B18,48)*ER18=1,IF(AND($E18=2,NY18=0),1000000,INDEX('計算A'!AY$110:AY$114,$F18+1)+IF(AND($E18=1,NY18=0),1000,0)),1000000))</f>
        <v/>
      </c>
      <c r="XG18">
        <f>IF($B18=0,1000000,IF(INDEX('計算A'!$D$60:$II$104,$B18,49)*ES18=1,IF(AND($E18=2,NZ18=0),1000000,INDEX('計算A'!AZ$110:AZ$114,$F18+1)+IF(AND($E18=1,NZ18=0),1000,0)),1000000))</f>
        <v/>
      </c>
      <c r="XH18">
        <f>IF($B18=0,1000000,IF(INDEX('計算A'!$D$60:$II$104,$B18,50)*ET18=1,IF(AND($E18=2,OA18=0),1000000,INDEX('計算A'!BA$110:BA$114,$F18+1)+IF(AND($E18=1,OA18=0),1000,0)),1000000))</f>
        <v/>
      </c>
      <c r="XI18">
        <f>IF($B18=0,1000000,IF(INDEX('計算A'!$D$60:$II$104,$B18,51)*EU18=1,IF(AND($E18=2,OB18=0),1000000,INDEX('計算A'!BB$110:BB$114,$F18+1)+IF(AND($E18=1,OB18=0),1000,0)),1000000))</f>
        <v/>
      </c>
      <c r="XJ18">
        <f>IF($B18=0,1000000,IF(INDEX('計算A'!$D$60:$II$104,$B18,52)*EV18=1,IF(AND($E18=2,OC18=0),1000000,INDEX('計算A'!BC$110:BC$114,$F18+1)+IF(AND($E18=1,OC18=0),1000,0)),1000000))</f>
        <v/>
      </c>
      <c r="XK18">
        <f>IF($B18=0,1000000,IF(INDEX('計算A'!$D$60:$II$104,$B18,53)*EW18=1,IF(AND($E18=2,OD18=0),1000000,INDEX('計算A'!BD$110:BD$114,$F18+1)+IF(AND($E18=1,OD18=0),1000,0)),1000000))</f>
        <v/>
      </c>
      <c r="XL18">
        <f>IF($B18=0,1000000,IF(INDEX('計算A'!$D$60:$II$104,$B18,54)*EX18=1,IF(AND($E18=2,OE18=0),1000000,INDEX('計算A'!BE$110:BE$114,$F18+1)+IF(AND($E18=1,OE18=0),1000,0)),1000000))</f>
        <v/>
      </c>
      <c r="XM18">
        <f>IF($B18=0,1000000,IF(INDEX('計算A'!$D$60:$II$104,$B18,55)*EY18=1,IF(AND($E18=2,OF18=0),1000000,INDEX('計算A'!BF$110:BF$114,$F18+1)+IF(AND($E18=1,OF18=0),1000,0)),1000000))</f>
        <v/>
      </c>
      <c r="XN18">
        <f>IF($B18=0,1000000,IF(INDEX('計算A'!$D$60:$II$104,$B18,56)*EZ18=1,IF(AND($E18=2,OG18=0),1000000,INDEX('計算A'!BG$110:BG$114,$F18+1)+IF(AND($E18=1,OG18=0),1000,0)),1000000))</f>
        <v/>
      </c>
      <c r="XO18">
        <f>IF($B18=0,1000000,IF(INDEX('計算A'!$D$60:$II$104,$B18,57)*FA18=1,IF(AND($E18=2,OH18=0),1000000,INDEX('計算A'!BH$110:BH$114,$F18+1)+IF(AND($E18=1,OH18=0),1000,0)),1000000))</f>
        <v/>
      </c>
      <c r="XP18">
        <f>IF($B18=0,1000000,IF(INDEX('計算A'!$D$60:$II$104,$B18,58)*FB18=1,IF(AND($E18=2,OI18=0),1000000,INDEX('計算A'!BI$110:BI$114,$F18+1)+IF(AND($E18=1,OI18=0),1000,0)),1000000))</f>
        <v/>
      </c>
      <c r="XQ18">
        <f>IF($B18=0,1000000,IF(INDEX('計算A'!$D$60:$II$104,$B18,59)*FC18=1,IF(AND($E18=2,OJ18=0),1000000,INDEX('計算A'!BJ$110:BJ$114,$F18+1)+IF(AND($E18=1,OJ18=0),1000,0)),1000000))</f>
        <v/>
      </c>
      <c r="XR18">
        <f>IF($B18=0,1000000,IF(INDEX('計算A'!$D$60:$II$104,$B18,60)*FD18=1,IF(AND($E18=2,OK18=0),1000000,INDEX('計算A'!BK$110:BK$114,$F18+1)+IF(AND($E18=1,OK18=0),1000,0)),1000000))</f>
        <v/>
      </c>
      <c r="XS18">
        <f>IF($B18=0,1000000,IF(INDEX('計算A'!$D$60:$II$104,$B18,61)*FE18=1,IF(AND($E18=2,OL18=0),1000000,INDEX('計算A'!BL$110:BL$114,$F18+1)+IF(AND($E18=1,OL18=0),1000,0)),1000000))</f>
        <v/>
      </c>
      <c r="XT18">
        <f>IF($B18=0,1000000,IF(INDEX('計算A'!$D$60:$II$104,$B18,62)*FF18=1,IF(AND($E18=2,OM18=0),1000000,INDEX('計算A'!BM$110:BM$114,$F18+1)+IF(AND($E18=1,OM18=0),1000,0)),1000000))</f>
        <v/>
      </c>
      <c r="XU18">
        <f>IF($B18=0,1000000,IF(INDEX('計算A'!$D$60:$II$104,$B18,63)*FG18=1,IF(AND($E18=2,ON18=0),1000000,INDEX('計算A'!BN$110:BN$114,$F18+1)+IF(AND($E18=1,ON18=0),1000,0)),1000000))</f>
        <v/>
      </c>
      <c r="XV18">
        <f>IF($B18=0,1000000,IF(INDEX('計算A'!$D$60:$II$104,$B18,64)*FH18=1,IF(AND($E18=2,OO18=0),1000000,INDEX('計算A'!BO$110:BO$114,$F18+1)+IF(AND($E18=1,OO18=0),1000,0)),1000000))</f>
        <v/>
      </c>
      <c r="XW18">
        <f>IF($B18=0,1000000,IF(INDEX('計算A'!$D$60:$II$104,$B18,65)*FI18=1,IF(AND($E18=2,OP18=0),1000000,INDEX('計算A'!BP$110:BP$114,$F18+1)+IF(AND($E18=1,OP18=0),1000,0)),1000000))</f>
        <v/>
      </c>
      <c r="XX18">
        <f>IF($B18=0,1000000,IF(INDEX('計算A'!$D$60:$II$104,$B18,66)*FJ18=1,IF(AND($E18=2,OQ18=0),1000000,INDEX('計算A'!BQ$110:BQ$114,$F18+1)+IF(AND($E18=1,OQ18=0),1000,0)),1000000))</f>
        <v/>
      </c>
      <c r="XY18">
        <f>IF($B18=0,1000000,IF(INDEX('計算A'!$D$60:$II$104,$B18,67)*FK18=1,IF(AND($E18=2,OR18=0),1000000,INDEX('計算A'!BR$110:BR$114,$F18+1)+IF(AND($E18=1,OR18=0),1000,0)),1000000))</f>
        <v/>
      </c>
      <c r="XZ18">
        <f>IF($B18=0,1000000,IF(INDEX('計算A'!$D$60:$II$104,$B18,68)*FL18=1,IF(AND($E18=2,OS18=0),1000000,INDEX('計算A'!BS$110:BS$114,$F18+1)+IF(AND($E18=1,OS18=0),1000,0)),1000000))</f>
        <v/>
      </c>
      <c r="YA18">
        <f>IF($B18=0,1000000,IF(INDEX('計算A'!$D$60:$II$104,$B18,69)*FM18=1,IF(AND($E18=2,OT18=0),1000000,INDEX('計算A'!BT$110:BT$114,$F18+1)+IF(AND($E18=1,OT18=0),1000,0)),1000000))</f>
        <v/>
      </c>
      <c r="YB18">
        <f>IF($B18=0,1000000,IF(INDEX('計算A'!$D$60:$II$104,$B18,70)*FN18=1,IF(AND($E18=2,OU18=0),1000000,INDEX('計算A'!BU$110:BU$114,$F18+1)+IF(AND($E18=1,OU18=0),1000,0)),1000000))</f>
        <v/>
      </c>
      <c r="YC18">
        <f>IF($B18=0,1000000,IF(INDEX('計算A'!$D$60:$II$104,$B18,71)*FO18=1,IF(AND($E18=2,OV18=0),1000000,INDEX('計算A'!BV$110:BV$114,$F18+1)+IF(AND($E18=1,OV18=0),1000,0)),1000000))</f>
        <v/>
      </c>
      <c r="YD18">
        <f>IF($B18=0,1000000,IF(INDEX('計算A'!$D$60:$II$104,$B18,72)*FP18=1,IF(AND($E18=2,OW18=0),1000000,INDEX('計算A'!BW$110:BW$114,$F18+1)+IF(AND($E18=1,OW18=0),1000,0)),1000000))</f>
        <v/>
      </c>
      <c r="YE18">
        <f>IF($B18=0,1000000,IF(INDEX('計算A'!$D$60:$II$104,$B18,73)*FQ18=1,IF(AND($E18=2,OX18=0),1000000,INDEX('計算A'!BX$110:BX$114,$F18+1)+IF(AND($E18=1,OX18=0),1000,0)),1000000))</f>
        <v/>
      </c>
      <c r="YF18">
        <f>IF($B18=0,1000000,IF(INDEX('計算A'!$D$60:$II$104,$B18,74)*FR18=1,IF(AND($E18=2,OY18=0),1000000,INDEX('計算A'!BY$110:BY$114,$F18+1)+IF(AND($E18=1,OY18=0),1000,0)),1000000))</f>
        <v/>
      </c>
      <c r="YG18">
        <f>IF($B18=0,1000000,IF(INDEX('計算A'!$D$60:$II$104,$B18,75)*FS18=1,IF(AND($E18=2,OZ18=0),1000000,INDEX('計算A'!BZ$110:BZ$114,$F18+1)+IF(AND($E18=1,OZ18=0),1000,0)),1000000))</f>
        <v/>
      </c>
      <c r="YH18">
        <f>IF($B18=0,1000000,IF(INDEX('計算A'!$D$60:$II$104,$B18,76)*FT18=1,IF(AND($E18=2,PA18=0),1000000,INDEX('計算A'!CA$110:CA$114,$F18+1)+IF(AND($E18=1,PA18=0),1000,0)),1000000))</f>
        <v/>
      </c>
      <c r="YI18">
        <f>IF($B18=0,1000000,IF(INDEX('計算A'!$D$60:$II$104,$B18,77)*FU18=1,IF(AND($E18=2,PB18=0),1000000,INDEX('計算A'!CB$110:CB$114,$F18+1)+IF(AND($E18=1,PB18=0),1000,0)),1000000))</f>
        <v/>
      </c>
      <c r="YJ18">
        <f>IF($B18=0,1000000,IF(INDEX('計算A'!$D$60:$II$104,$B18,78)*FV18=1,IF(AND($E18=2,PC18=0),1000000,INDEX('計算A'!CC$110:CC$114,$F18+1)+IF(AND($E18=1,PC18=0),1000,0)),1000000))</f>
        <v/>
      </c>
      <c r="YK18">
        <f>IF($B18=0,1000000,IF(INDEX('計算A'!$D$60:$II$104,$B18,79)*FW18=1,IF(AND($E18=2,PD18=0),1000000,INDEX('計算A'!CD$110:CD$114,$F18+1)+IF(AND($E18=1,PD18=0),1000,0)),1000000))</f>
        <v/>
      </c>
      <c r="YL18">
        <f>IF($B18=0,1000000,IF(INDEX('計算A'!$D$60:$II$104,$B18,80)*FX18=1,IF(AND($E18=2,PE18=0),1000000,INDEX('計算A'!CE$110:CE$114,$F18+1)+IF(AND($E18=1,PE18=0),1000,0)),1000000))</f>
        <v/>
      </c>
      <c r="YM18">
        <f>IF($B18=0,1000000,IF(INDEX('計算A'!$D$60:$II$104,$B18,81)*FY18=1,IF(AND($E18=2,PF18=0),1000000,INDEX('計算A'!CF$110:CF$114,$F18+1)+IF(AND($E18=1,PF18=0),1000,0)),1000000))</f>
        <v/>
      </c>
      <c r="YN18">
        <f>IF($B18=0,1000000,IF(INDEX('計算A'!$D$60:$II$104,$B18,82)*FZ18=1,IF(AND($E18=2,PG18=0),1000000,INDEX('計算A'!CG$110:CG$114,$F18+1)+IF(AND($E18=1,PG18=0),1000,0)),1000000))</f>
        <v/>
      </c>
      <c r="YO18">
        <f>IF($B18=0,1000000,IF(INDEX('計算A'!$D$60:$II$104,$B18,83)*GA18=1,IF(AND($E18=2,PH18=0),1000000,INDEX('計算A'!CH$110:CH$114,$F18+1)+IF(AND($E18=1,PH18=0),1000,0)),1000000))</f>
        <v/>
      </c>
      <c r="YP18">
        <f>IF($B18=0,1000000,IF(INDEX('計算A'!$D$60:$II$104,$B18,84)*GB18=1,IF(AND($E18=2,PI18=0),1000000,INDEX('計算A'!CI$110:CI$114,$F18+1)+IF(AND($E18=1,PI18=0),1000,0)),1000000))</f>
        <v/>
      </c>
      <c r="YQ18">
        <f>IF($B18=0,1000000,IF(INDEX('計算A'!$D$60:$II$104,$B18,85)*GC18=1,IF(AND($E18=2,PJ18=0),1000000,INDEX('計算A'!CJ$110:CJ$114,$F18+1)+IF(AND($E18=1,PJ18=0),1000,0)),1000000))</f>
        <v/>
      </c>
      <c r="YR18">
        <f>IF($B18=0,1000000,IF(INDEX('計算A'!$D$60:$II$104,$B18,86)*GD18=1,IF(AND($E18=2,PK18=0),1000000,INDEX('計算A'!CK$110:CK$114,$F18+1)+IF(AND($E18=1,PK18=0),1000,0)),1000000))</f>
        <v/>
      </c>
      <c r="YS18">
        <f>IF($B18=0,1000000,IF(INDEX('計算A'!$D$60:$II$104,$B18,87)*GE18=1,IF(AND($E18=2,PL18=0),1000000,INDEX('計算A'!CL$110:CL$114,$F18+1)+IF(AND($E18=1,PL18=0),1000,0)),1000000))</f>
        <v/>
      </c>
      <c r="YT18">
        <f>IF($B18=0,1000000,IF(INDEX('計算A'!$D$60:$II$104,$B18,88)*GF18=1,IF(AND($E18=2,PM18=0),1000000,INDEX('計算A'!CM$110:CM$114,$F18+1)+IF(AND($E18=1,PM18=0),1000,0)),1000000))</f>
        <v/>
      </c>
      <c r="YU18">
        <f>IF($B18=0,1000000,IF(INDEX('計算A'!$D$60:$II$104,$B18,89)*GG18=1,IF(AND($E18=2,PN18=0),1000000,INDEX('計算A'!CN$110:CN$114,$F18+1)+IF(AND($E18=1,PN18=0),1000,0)),1000000))</f>
        <v/>
      </c>
      <c r="YV18">
        <f>IF($B18=0,1000000,IF(INDEX('計算A'!$D$60:$II$104,$B18,90)*GH18=1,IF(AND($E18=2,PO18=0),1000000,INDEX('計算A'!CO$110:CO$114,$F18+1)+IF(AND($E18=1,PO18=0),1000,0)),1000000))</f>
        <v/>
      </c>
      <c r="YW18">
        <f>IF($B18=0,1000000,IF(INDEX('計算A'!$D$60:$II$104,$B18,91)*GI18=1,IF(AND($E18=2,PP18=0),1000000,INDEX('計算A'!CP$110:CP$114,$F18+1)+IF(AND($E18=1,PP18=0),1000,0)),1000000))</f>
        <v/>
      </c>
      <c r="YX18">
        <f>IF($B18=0,1000000,IF(INDEX('計算A'!$D$60:$II$104,$B18,92)*GJ18=1,IF(AND($E18=2,PQ18=0),1000000,INDEX('計算A'!CQ$110:CQ$114,$F18+1)+IF(AND($E18=1,PQ18=0),1000,0)),1000000))</f>
        <v/>
      </c>
      <c r="YY18">
        <f>IF($B18=0,1000000,IF(INDEX('計算A'!$D$60:$II$104,$B18,93)*GK18=1,IF(AND($E18=2,PR18=0),1000000,INDEX('計算A'!CR$110:CR$114,$F18+1)+IF(AND($E18=1,PR18=0),1000,0)),1000000))</f>
        <v/>
      </c>
      <c r="YZ18">
        <f>IF($B18=0,1000000,IF(INDEX('計算A'!$D$60:$II$104,$B18,94)*GL18=1,IF(AND($E18=2,PS18=0),1000000,INDEX('計算A'!CS$110:CS$114,$F18+1)+IF(AND($E18=1,PS18=0),1000,0)),1000000))</f>
        <v/>
      </c>
      <c r="ZA18">
        <f>IF($B18=0,1000000,IF(INDEX('計算A'!$D$60:$II$104,$B18,95)*GM18=1,IF(AND($E18=2,PT18=0),1000000,INDEX('計算A'!CT$110:CT$114,$F18+1)+IF(AND($E18=1,PT18=0),1000,0)),1000000))</f>
        <v/>
      </c>
      <c r="ZB18">
        <f>IF($B18=0,1000000,IF(INDEX('計算A'!$D$60:$II$104,$B18,96)*GN18=1,IF(AND($E18=2,PU18=0),1000000,INDEX('計算A'!CU$110:CU$114,$F18+1)+IF(AND($E18=1,PU18=0),1000,0)),1000000))</f>
        <v/>
      </c>
      <c r="ZC18">
        <f>IF($B18=0,1000000,IF(INDEX('計算A'!$D$60:$II$104,$B18,97)*GO18=1,IF(AND($E18=2,PV18=0),1000000,INDEX('計算A'!CV$110:CV$114,$F18+1)+IF(AND($E18=1,PV18=0),1000,0)),1000000))</f>
        <v/>
      </c>
      <c r="ZD18">
        <f>IF($B18=0,1000000,IF(INDEX('計算A'!$D$60:$II$104,$B18,98)*GP18=1,IF(AND($E18=2,PW18=0),1000000,INDEX('計算A'!CW$110:CW$114,$F18+1)+IF(AND($E18=1,PW18=0),1000,0)),1000000))</f>
        <v/>
      </c>
      <c r="ZE18">
        <f>IF($B18=0,1000000,IF(INDEX('計算A'!$D$60:$II$104,$B18,99)*GQ18=1,IF(AND($E18=2,PX18=0),1000000,INDEX('計算A'!CX$110:CX$114,$F18+1)+IF(AND($E18=1,PX18=0),1000,0)),1000000))</f>
        <v/>
      </c>
      <c r="ZF18">
        <f>IF($B18=0,1000000,IF(INDEX('計算A'!$D$60:$II$104,$B18,100)*GR18=1,IF(AND($E18=2,PY18=0),1000000,INDEX('計算A'!CY$110:CY$114,$F18+1)+IF(AND($E18=1,PY18=0),1000,0)),1000000))</f>
        <v/>
      </c>
      <c r="ZG18">
        <f>IF($B18=0,1000000,IF(INDEX('計算A'!$D$60:$II$104,$B18,101)*GS18=1,IF(AND($E18=2,PZ18=0),1000000,INDEX('計算A'!CZ$110:CZ$114,$F18+1)+IF(AND($E18=1,PZ18=0),1000,0)),1000000))</f>
        <v/>
      </c>
      <c r="ZH18">
        <f>IF($B18=0,1000000,IF(INDEX('計算A'!$D$60:$II$104,$B18,102)*GT18=1,IF(AND($E18=2,QA18=0),1000000,INDEX('計算A'!DA$110:DA$114,$F18+1)+IF(AND($E18=1,QA18=0),1000,0)),1000000))</f>
        <v/>
      </c>
      <c r="ZI18">
        <f>IF($B18=0,1000000,IF(INDEX('計算A'!$D$60:$II$104,$B18,103)*GU18=1,IF(AND($E18=2,QB18=0),1000000,INDEX('計算A'!DB$110:DB$114,$F18+1)+IF(AND($E18=1,QB18=0),1000,0)),1000000))</f>
        <v/>
      </c>
      <c r="ZJ18">
        <f>IF($B18=0,1000000,IF(INDEX('計算A'!$D$60:$II$104,$B18,104)*GV18=1,IF(AND($E18=2,QC18=0),1000000,INDEX('計算A'!DC$110:DC$114,$F18+1)+IF(AND($E18=1,QC18=0),1000,0)),1000000))</f>
        <v/>
      </c>
      <c r="ZK18">
        <f>IF($B18=0,1000000,IF(INDEX('計算A'!$D$60:$II$104,$B18,105)*GW18=1,IF(AND($E18=2,QD18=0),1000000,INDEX('計算A'!DD$110:DD$114,$F18+1)+IF(AND($E18=1,QD18=0),1000,0)),1000000))</f>
        <v/>
      </c>
      <c r="ZL18">
        <f>IF($B18=0,1000000,IF(INDEX('計算A'!$D$60:$II$104,$B18,106)*GX18=1,IF(AND($E18=2,QE18=0),1000000,INDEX('計算A'!DE$110:DE$114,$F18+1)+IF(AND($E18=1,QE18=0),1000,0)),1000000))</f>
        <v/>
      </c>
      <c r="ZM18">
        <f>IF($B18=0,1000000,IF(INDEX('計算A'!$D$60:$II$104,$B18,107)*GY18=1,IF(AND($E18=2,QF18=0),1000000,INDEX('計算A'!DF$110:DF$114,$F18+1)+IF(AND($E18=1,QF18=0),1000,0)),1000000))</f>
        <v/>
      </c>
      <c r="ZN18">
        <f>IF($B18=0,1000000,IF(INDEX('計算A'!$D$60:$II$104,$B18,108)*GZ18=1,IF(AND($E18=2,QG18=0),1000000,INDEX('計算A'!DG$110:DG$114,$F18+1)+IF(AND($E18=1,QG18=0),1000,0)),1000000))</f>
        <v/>
      </c>
      <c r="ZO18">
        <f>IF($B18=0,1000000,IF(INDEX('計算A'!$D$60:$II$104,$B18,109)*HA18=1,IF(AND($E18=2,QH18=0),1000000,INDEX('計算A'!DH$110:DH$114,$F18+1)+IF(AND($E18=1,QH18=0),1000,0)),1000000))</f>
        <v/>
      </c>
      <c r="ZP18">
        <f>IF($B18=0,1000000,IF(INDEX('計算A'!$D$60:$II$104,$B18,110)*HB18=1,IF(AND($E18=2,QI18=0),1000000,INDEX('計算A'!DI$110:DI$114,$F18+1)+IF(AND($E18=1,QI18=0),1000,0)),1000000))</f>
        <v/>
      </c>
      <c r="ZQ18">
        <f>IF($B18=0,1000000,IF(INDEX('計算A'!$D$60:$II$104,$B18,111)*HC18=1,IF(AND($E18=2,QJ18=0),1000000,INDEX('計算A'!DJ$110:DJ$114,$F18+1)+IF(AND($E18=1,QJ18=0),1000,0)),1000000))</f>
        <v/>
      </c>
      <c r="ZR18">
        <f>IF($B18=0,1000000,IF(INDEX('計算A'!$D$60:$II$104,$B18,112)*HD18=1,IF(AND($E18=2,QK18=0),1000000,INDEX('計算A'!DK$110:DK$114,$F18+1)+IF(AND($E18=1,QK18=0),1000,0)),1000000))</f>
        <v/>
      </c>
      <c r="ZS18">
        <f>IF($B18=0,1000000,IF(INDEX('計算A'!$D$60:$II$104,$B18,113)*HE18=1,IF(AND($E18=2,QL18=0),1000000,INDEX('計算A'!DL$110:DL$114,$F18+1)+IF(AND($E18=1,QL18=0),1000,0)),1000000))</f>
        <v/>
      </c>
      <c r="ZT18">
        <f>IF($B18=0,1000000,IF(INDEX('計算A'!$D$60:$II$104,$B18,114)*HF18=1,IF(AND($E18=2,QM18=0),1000000,INDEX('計算A'!DM$110:DM$114,$F18+1)+IF(AND($E18=1,QM18=0),1000,0)),1000000))</f>
        <v/>
      </c>
      <c r="ZU18">
        <f>IF($B18=0,1000000,IF(INDEX('計算A'!$D$60:$II$104,$B18,115)*HG18=1,IF(AND($E18=2,QN18=0),1000000,INDEX('計算A'!DN$110:DN$114,$F18+1)+IF(AND($E18=1,QN18=0),1000,0)),1000000))</f>
        <v/>
      </c>
      <c r="ZV18">
        <f>IF($B18=0,1000000,IF(INDEX('計算A'!$D$60:$II$104,$B18,116)*HH18=1,IF(AND($E18=2,QO18=0),1000000,INDEX('計算A'!DO$110:DO$114,$F18+1)+IF(AND($E18=1,QO18=0),1000,0)),1000000))</f>
        <v/>
      </c>
      <c r="ZW18">
        <f>IF($B18=0,1000000,IF(INDEX('計算A'!$D$60:$II$104,$B18,117)*HI18=1,IF(AND($E18=2,QP18=0),1000000,INDEX('計算A'!DP$110:DP$114,$F18+1)+IF(AND($E18=1,QP18=0),1000,0)),1000000))</f>
        <v/>
      </c>
      <c r="ZX18">
        <f>IF($B18=0,1000000,IF(INDEX('計算A'!$D$60:$II$104,$B18,118)*HJ18=1,IF(AND($E18=2,QQ18=0),1000000,INDEX('計算A'!DQ$110:DQ$114,$F18+1)+IF(AND($E18=1,QQ18=0),1000,0)),1000000))</f>
        <v/>
      </c>
      <c r="ZY18">
        <f>IF($B18=0,1000000,IF(INDEX('計算A'!$D$60:$II$104,$B18,119)*HK18=1,IF(AND($E18=2,QR18=0),1000000,INDEX('計算A'!DR$110:DR$114,$F18+1)+IF(AND($E18=1,QR18=0),1000,0)),1000000))</f>
        <v/>
      </c>
      <c r="ZZ18">
        <f>IF($B18=0,1000000,IF(INDEX('計算A'!$D$60:$II$104,$B18,120)*HL18=1,IF(AND($E18=2,QS18=0),1000000,INDEX('計算A'!DS$110:DS$114,$F18+1)+IF(AND($E18=1,QS18=0),1000,0)),1000000))</f>
        <v/>
      </c>
      <c r="AAA18">
        <f>IF($B18=0,1000000,IF(INDEX('計算A'!$D$60:$II$104,$B18,121)*HM18=1,IF(AND($E18=2,QT18=0),1000000,INDEX('計算A'!DT$110:DT$114,$F18+1)+IF(AND($E18=1,QT18=0),1000,0)),1000000))</f>
        <v/>
      </c>
      <c r="AAB18">
        <f>IF($B18=0,1000000,IF(INDEX('計算A'!$D$60:$II$104,$B18,122)*HN18=1,IF(AND($E18=2,QU18=0),1000000,INDEX('計算A'!DU$110:DU$114,$F18+1)+IF(AND($E18=1,QU18=0),1000,0)),1000000))</f>
        <v/>
      </c>
      <c r="AAC18">
        <f>IF($B18=0,1000000,IF(INDEX('計算A'!$D$60:$II$104,$B18,123)*HO18=1,IF(AND($E18=2,QV18=0),1000000,INDEX('計算A'!DV$110:DV$114,$F18+1)+IF(AND($E18=1,QV18=0),1000,0)),1000000))</f>
        <v/>
      </c>
      <c r="AAD18">
        <f>IF($B18=0,1000000,IF(INDEX('計算A'!$D$60:$II$104,$B18,124)*HP18=1,IF(AND($E18=2,QW18=0),1000000,INDEX('計算A'!DW$110:DW$114,$F18+1)+IF(AND($E18=1,QW18=0),1000,0)),1000000))</f>
        <v/>
      </c>
      <c r="AAE18">
        <f>IF($B18=0,1000000,IF(INDEX('計算A'!$D$60:$II$104,$B18,125)*HQ18=1,IF(AND($E18=2,QX18=0),1000000,INDEX('計算A'!DX$110:DX$114,$F18+1)+IF(AND($E18=1,QX18=0),1000,0)),1000000))</f>
        <v/>
      </c>
      <c r="AAF18">
        <f>IF($B18=0,1000000,IF(INDEX('計算A'!$D$60:$II$104,$B18,126)*HR18=1,IF(AND($E18=2,QY18=0),1000000,INDEX('計算A'!DY$110:DY$114,$F18+1)+IF(AND($E18=1,QY18=0),1000,0)),1000000))</f>
        <v/>
      </c>
      <c r="AAG18">
        <f>IF($B18=0,1000000,IF(INDEX('計算A'!$D$60:$II$104,$B18,127)*HS18=1,IF(AND($E18=2,QZ18=0),1000000,INDEX('計算A'!DZ$110:DZ$114,$F18+1)+IF(AND($E18=1,QZ18=0),1000,0)),1000000))</f>
        <v/>
      </c>
      <c r="AAH18">
        <f>IF($B18=0,1000000,IF(INDEX('計算A'!$D$60:$II$104,$B18,128)*HT18=1,IF(AND($E18=2,RA18=0),1000000,INDEX('計算A'!EA$110:EA$114,$F18+1)+IF(AND($E18=1,RA18=0),1000,0)),1000000))</f>
        <v/>
      </c>
      <c r="AAI18">
        <f>IF($B18=0,1000000,IF(INDEX('計算A'!$D$60:$II$104,$B18,129)*HU18=1,IF(AND($E18=2,RB18=0),1000000,INDEX('計算A'!EB$110:EB$114,$F18+1)+IF(AND($E18=1,RB18=0),1000,0)),1000000))</f>
        <v/>
      </c>
      <c r="AAJ18">
        <f>IF($B18=0,1000000,IF(INDEX('計算A'!$D$60:$II$104,$B18,130)*HV18=1,IF(AND($E18=2,RC18=0),1000000,INDEX('計算A'!EC$110:EC$114,$F18+1)+IF(AND($E18=1,RC18=0),1000,0)),1000000))</f>
        <v/>
      </c>
      <c r="AAK18">
        <f>IF($B18=0,1000000,IF(INDEX('計算A'!$D$60:$II$104,$B18,131)*HW18=1,IF(AND($E18=2,RD18=0),1000000,INDEX('計算A'!ED$110:ED$114,$F18+1)+IF(AND($E18=1,RD18=0),1000,0)),1000000))</f>
        <v/>
      </c>
      <c r="AAL18">
        <f>IF($B18=0,1000000,IF(INDEX('計算A'!$D$60:$II$104,$B18,132)*HX18=1,IF(AND($E18=2,RE18=0),1000000,INDEX('計算A'!EE$110:EE$114,$F18+1)+IF(AND($E18=1,RE18=0),1000,0)),1000000))</f>
        <v/>
      </c>
      <c r="AAM18">
        <f>IF($B18=0,1000000,IF(INDEX('計算A'!$D$60:$II$104,$B18,133)*HY18=1,IF(AND($E18=2,RF18=0),1000000,INDEX('計算A'!EF$110:EF$114,$F18+1)+IF(AND($E18=1,RF18=0),1000,0)),1000000))</f>
        <v/>
      </c>
      <c r="AAN18">
        <f>IF($B18=0,1000000,IF(INDEX('計算A'!$D$60:$II$104,$B18,134)*HZ18=1,IF(AND($E18=2,RG18=0),1000000,INDEX('計算A'!EG$110:EG$114,$F18+1)+IF(AND($E18=1,RG18=0),1000,0)),1000000))</f>
        <v/>
      </c>
      <c r="AAO18">
        <f>IF($B18=0,1000000,IF(INDEX('計算A'!$D$60:$II$104,$B18,135)*IA18=1,IF(AND($E18=2,RH18=0),1000000,INDEX('計算A'!EH$110:EH$114,$F18+1)+IF(AND($E18=1,RH18=0),1000,0)),1000000))</f>
        <v/>
      </c>
      <c r="AAP18">
        <f>IF($B18=0,1000000,IF(INDEX('計算A'!$D$60:$II$104,$B18,136)*IB18=1,IF(AND($E18=2,RI18=0),1000000,INDEX('計算A'!EI$110:EI$114,$F18+1)+IF(AND($E18=1,RI18=0),1000,0)),1000000))</f>
        <v/>
      </c>
      <c r="AAQ18">
        <f>IF($B18=0,1000000,IF(INDEX('計算A'!$D$60:$II$104,$B18,137)*IC18=1,IF(AND($E18=2,RJ18=0),1000000,INDEX('計算A'!EJ$110:EJ$114,$F18+1)+IF(AND($E18=1,RJ18=0),1000,0)),1000000))</f>
        <v/>
      </c>
      <c r="AAR18">
        <f>IF($B18=0,1000000,IF(INDEX('計算A'!$D$60:$II$104,$B18,138)*ID18=1,IF(AND($E18=2,RK18=0),1000000,INDEX('計算A'!EK$110:EK$114,$F18+1)+IF(AND($E18=1,RK18=0),1000,0)),1000000))</f>
        <v/>
      </c>
      <c r="AAS18">
        <f>IF($B18=0,1000000,IF(INDEX('計算A'!$D$60:$II$104,$B18,139)*IE18=1,IF(AND($E18=2,RL18=0),1000000,INDEX('計算A'!EL$110:EL$114,$F18+1)+IF(AND($E18=1,RL18=0),1000,0)),1000000))</f>
        <v/>
      </c>
      <c r="AAT18">
        <f>IF($B18=0,1000000,IF(INDEX('計算A'!$D$60:$II$104,$B18,140)*IF18=1,IF(AND($E18=2,RM18=0),1000000,INDEX('計算A'!EM$110:EM$114,$F18+1)+IF(AND($E18=1,RM18=0),1000,0)),1000000))</f>
        <v/>
      </c>
      <c r="AAU18">
        <f>IF($B18=0,1000000,IF(INDEX('計算A'!$D$60:$II$104,$B18,141)*IG18=1,IF(AND($E18=2,RN18=0),1000000,INDEX('計算A'!EN$110:EN$114,$F18+1)+IF(AND($E18=1,RN18=0),1000,0)),1000000))</f>
        <v/>
      </c>
      <c r="AAV18">
        <f>IF($B18=0,1000000,IF(INDEX('計算A'!$D$60:$II$104,$B18,142)*IH18=1,IF(AND($E18=2,RO18=0),1000000,INDEX('計算A'!EO$110:EO$114,$F18+1)+IF(AND($E18=1,RO18=0),1000,0)),1000000))</f>
        <v/>
      </c>
      <c r="AAW18">
        <f>IF($B18=0,1000000,IF(INDEX('計算A'!$D$60:$II$104,$B18,143)*II18=1,IF(AND($E18=2,RP18=0),1000000,INDEX('計算A'!EP$110:EP$114,$F18+1)+IF(AND($E18=1,RP18=0),1000,0)),1000000))</f>
        <v/>
      </c>
      <c r="AAX18">
        <f>IF($B18=0,1000000,IF(INDEX('計算A'!$D$60:$II$104,$B18,144)*IJ18=1,IF(AND($E18=2,RQ18=0),1000000,INDEX('計算A'!EQ$110:EQ$114,$F18+1)+IF(AND($E18=1,RQ18=0),1000,0)),1000000))</f>
        <v/>
      </c>
      <c r="AAY18">
        <f>IF($B18=0,1000000,IF(INDEX('計算A'!$D$60:$II$104,$B18,145)*IK18=1,IF(AND($E18=2,RR18=0),1000000,INDEX('計算A'!ER$110:ER$114,$F18+1)+IF(AND($E18=1,RR18=0),1000,0)),1000000))</f>
        <v/>
      </c>
      <c r="AAZ18">
        <f>IF($B18=0,1000000,IF(INDEX('計算A'!$D$60:$II$104,$B18,146)*IL18=1,IF(AND($E18=2,RS18=0),1000000,INDEX('計算A'!ES$110:ES$114,$F18+1)+IF(AND($E18=1,RS18=0),1000,0)),1000000))</f>
        <v/>
      </c>
      <c r="ABA18">
        <f>IF($B18=0,1000000,IF(INDEX('計算A'!$D$60:$II$104,$B18,147)*IM18=1,IF(AND($E18=2,RT18=0),1000000,INDEX('計算A'!ET$110:ET$114,$F18+1)+IF(AND($E18=1,RT18=0),1000,0)),1000000))</f>
        <v/>
      </c>
      <c r="ABB18">
        <f>IF($B18=0,1000000,IF(INDEX('計算A'!$D$60:$II$104,$B18,148)*IN18=1,IF(AND($E18=2,RU18=0),1000000,INDEX('計算A'!EU$110:EU$114,$F18+1)+IF(AND($E18=1,RU18=0),1000,0)),1000000))</f>
        <v/>
      </c>
      <c r="ABC18">
        <f>IF($B18=0,1000000,IF(INDEX('計算A'!$D$60:$II$104,$B18,149)*IO18=1,IF(AND($E18=2,RV18=0),1000000,INDEX('計算A'!EV$110:EV$114,$F18+1)+IF(AND($E18=1,RV18=0),1000,0)),1000000))</f>
        <v/>
      </c>
      <c r="ABD18">
        <f>IF($B18=0,1000000,IF(INDEX('計算A'!$D$60:$II$104,$B18,150)*IP18=1,IF(AND($E18=2,RW18=0),1000000,INDEX('計算A'!EW$110:EW$114,$F18+1)+IF(AND($E18=1,RW18=0),1000,0)),1000000))</f>
        <v/>
      </c>
      <c r="ABE18">
        <f>IF($B18=0,1000000,IF(INDEX('計算A'!$D$60:$II$104,$B18,151)*IQ18=1,IF(AND($E18=2,RX18=0),1000000,INDEX('計算A'!EX$110:EX$114,$F18+1)+IF(AND($E18=1,RX18=0),1000,0)),1000000))</f>
        <v/>
      </c>
      <c r="ABF18">
        <f>IF($B18=0,1000000,IF(INDEX('計算A'!$D$60:$II$104,$B18,152)*IR18=1,IF(AND($E18=2,RY18=0),1000000,INDEX('計算A'!EY$110:EY$114,$F18+1)+IF(AND($E18=1,RY18=0),1000,0)),1000000))</f>
        <v/>
      </c>
      <c r="ABG18">
        <f>IF($B18=0,1000000,IF(INDEX('計算A'!$D$60:$II$104,$B18,153)*IS18=1,IF(AND($E18=2,RZ18=0),1000000,INDEX('計算A'!EZ$110:EZ$114,$F18+1)+IF(AND($E18=1,RZ18=0),1000,0)),1000000))</f>
        <v/>
      </c>
      <c r="ABH18">
        <f>IF($B18=0,1000000,IF(INDEX('計算A'!$D$60:$II$104,$B18,154)*IT18=1,IF(AND($E18=2,SA18=0),1000000,INDEX('計算A'!FA$110:FA$114,$F18+1)+IF(AND($E18=1,SA18=0),1000,0)),1000000))</f>
        <v/>
      </c>
      <c r="ABI18">
        <f>IF($B18=0,1000000,IF(INDEX('計算A'!$D$60:$II$104,$B18,155)*IU18=1,IF(AND($E18=2,SB18=0),1000000,INDEX('計算A'!FB$110:FB$114,$F18+1)+IF(AND($E18=1,SB18=0),1000,0)),1000000))</f>
        <v/>
      </c>
      <c r="ABJ18">
        <f>IF($B18=0,1000000,IF(INDEX('計算A'!$D$60:$II$104,$B18,156)*IV18=1,IF(AND($E18=2,SC18=0),1000000,INDEX('計算A'!FC$110:FC$114,$F18+1)+IF(AND($E18=1,SC18=0),1000,0)),1000000))</f>
        <v/>
      </c>
      <c r="ABK18">
        <f>IF($B18=0,1000000,IF(INDEX('計算A'!$D$60:$II$104,$B18,157)*IW18=1,IF(AND($E18=2,SD18=0),1000000,INDEX('計算A'!FD$110:FD$114,$F18+1)+IF(AND($E18=1,SD18=0),1000,0)),1000000))</f>
        <v/>
      </c>
      <c r="ABL18">
        <f>IF($B18=0,1000000,IF(INDEX('計算A'!$D$60:$II$104,$B18,158)*IX18=1,IF(AND($E18=2,SE18=0),1000000,INDEX('計算A'!FE$110:FE$114,$F18+1)+IF(AND($E18=1,SE18=0),1000,0)),1000000))</f>
        <v/>
      </c>
      <c r="ABM18">
        <f>IF($B18=0,1000000,IF(INDEX('計算A'!$D$60:$II$104,$B18,159)*IY18=1,IF(AND($E18=2,SF18=0),1000000,INDEX('計算A'!FF$110:FF$114,$F18+1)+IF(AND($E18=1,SF18=0),1000,0)),1000000))</f>
        <v/>
      </c>
      <c r="ABN18">
        <f>IF($B18=0,1000000,IF(INDEX('計算A'!$D$60:$II$104,$B18,160)*IZ18=1,IF(AND($E18=2,SG18=0),1000000,INDEX('計算A'!FG$110:FG$114,$F18+1)+IF(AND($E18=1,SG18=0),1000,0)),1000000))</f>
        <v/>
      </c>
      <c r="ABO18">
        <f>IF($B18=0,1000000,IF(INDEX('計算A'!$D$60:$II$104,$B18,161)*JA18=1,IF(AND($E18=2,SH18=0),1000000,INDEX('計算A'!FH$110:FH$114,$F18+1)+IF(AND($E18=1,SH18=0),1000,0)),1000000))</f>
        <v/>
      </c>
      <c r="ABP18">
        <f>IF($B18=0,1000000,IF(INDEX('計算A'!$D$60:$II$104,$B18,162)*JB18=1,IF(AND($E18=2,SI18=0),1000000,INDEX('計算A'!FI$110:FI$114,$F18+1)+IF(AND($E18=1,SI18=0),1000,0)),1000000))</f>
        <v/>
      </c>
      <c r="ABQ18">
        <f>IF($B18=0,1000000,IF(INDEX('計算A'!$D$60:$II$104,$B18,163)*JC18=1,IF(AND($E18=2,SJ18=0),1000000,INDEX('計算A'!FJ$110:FJ$114,$F18+1)+IF(AND($E18=1,SJ18=0),1000,0)),1000000))</f>
        <v/>
      </c>
      <c r="ABR18">
        <f>IF($B18=0,1000000,IF(INDEX('計算A'!$D$60:$II$104,$B18,164)*JD18=1,IF(AND($E18=2,SK18=0),1000000,INDEX('計算A'!FK$110:FK$114,$F18+1)+IF(AND($E18=1,SK18=0),1000,0)),1000000))</f>
        <v/>
      </c>
      <c r="ABS18">
        <f>IF($B18=0,1000000,IF(INDEX('計算A'!$D$60:$II$104,$B18,165)*JE18=1,IF(AND($E18=2,SL18=0),1000000,INDEX('計算A'!FL$110:FL$114,$F18+1)+IF(AND($E18=1,SL18=0),1000,0)),1000000))</f>
        <v/>
      </c>
      <c r="ABT18">
        <f>IF($B18=0,1000000,IF(INDEX('計算A'!$D$60:$II$104,$B18,166)*JF18=1,IF(AND($E18=2,SM18=0),1000000,INDEX('計算A'!FM$110:FM$114,$F18+1)+IF(AND($E18=1,SM18=0),1000,0)),1000000))</f>
        <v/>
      </c>
      <c r="ABU18">
        <f>IF($B18=0,1000000,IF(INDEX('計算A'!$D$60:$II$104,$B18,167)*JG18=1,IF(AND($E18=2,SN18=0),1000000,INDEX('計算A'!FN$110:FN$114,$F18+1)+IF(AND($E18=1,SN18=0),1000,0)),1000000))</f>
        <v/>
      </c>
      <c r="ABV18">
        <f>IF($B18=0,1000000,IF(INDEX('計算A'!$D$60:$II$104,$B18,168)*JH18=1,IF(AND($E18=2,SO18=0),1000000,INDEX('計算A'!FO$110:FO$114,$F18+1)+IF(AND($E18=1,SO18=0),1000,0)),1000000))</f>
        <v/>
      </c>
      <c r="ABW18">
        <f>IF($B18=0,1000000,IF(INDEX('計算A'!$D$60:$II$104,$B18,169)*JI18=1,IF(AND($E18=2,SP18=0),1000000,INDEX('計算A'!FP$110:FP$114,$F18+1)+IF(AND($E18=1,SP18=0),1000,0)),1000000))</f>
        <v/>
      </c>
      <c r="ABX18">
        <f>IF($B18=0,1000000,IF(INDEX('計算A'!$D$60:$II$104,$B18,170)*JJ18=1,IF(AND($E18=2,SQ18=0),1000000,INDEX('計算A'!FQ$110:FQ$114,$F18+1)+IF(AND($E18=1,SQ18=0),1000,0)),1000000))</f>
        <v/>
      </c>
      <c r="ABY18">
        <f>IF($B18=0,1000000,IF(INDEX('計算A'!$D$60:$II$104,$B18,171)*JK18=1,IF(AND($E18=2,SR18=0),1000000,INDEX('計算A'!FR$110:FR$114,$F18+1)+IF(AND($E18=1,SR18=0),1000,0)),1000000))</f>
        <v/>
      </c>
      <c r="ABZ18">
        <f>IF($B18=0,1000000,IF(INDEX('計算A'!$D$60:$II$104,$B18,172)*JL18=1,IF(AND($E18=2,SS18=0),1000000,INDEX('計算A'!FS$110:FS$114,$F18+1)+IF(AND($E18=1,SS18=0),1000,0)),1000000))</f>
        <v/>
      </c>
      <c r="ACA18">
        <f>IF($B18=0,1000000,IF(INDEX('計算A'!$D$60:$II$104,$B18,173)*JM18=1,IF(AND($E18=2,ST18=0),1000000,INDEX('計算A'!FT$110:FT$114,$F18+1)+IF(AND($E18=1,ST18=0),1000,0)),1000000))</f>
        <v/>
      </c>
      <c r="ACB18">
        <f>IF($B18=0,1000000,IF(INDEX('計算A'!$D$60:$II$104,$B18,174)*JN18=1,IF(AND($E18=2,SU18=0),1000000,INDEX('計算A'!FU$110:FU$114,$F18+1)+IF(AND($E18=1,SU18=0),1000,0)),1000000))</f>
        <v/>
      </c>
      <c r="ACC18">
        <f>IF($B18=0,1000000,IF(INDEX('計算A'!$D$60:$II$104,$B18,175)*JO18=1,IF(AND($E18=2,SV18=0),1000000,INDEX('計算A'!FV$110:FV$114,$F18+1)+IF(AND($E18=1,SV18=0),1000,0)),1000000))</f>
        <v/>
      </c>
      <c r="ACD18">
        <f>IF($B18=0,1000000,IF(INDEX('計算A'!$D$60:$II$104,$B18,176)*JP18=1,IF(AND($E18=2,SW18=0),1000000,INDEX('計算A'!FW$110:FW$114,$F18+1)+IF(AND($E18=1,SW18=0),1000,0)),1000000))</f>
        <v/>
      </c>
      <c r="ACE18">
        <f>IF($B18=0,1000000,IF(INDEX('計算A'!$D$60:$II$104,$B18,177)*JQ18=1,IF(AND($E18=2,SX18=0),1000000,INDEX('計算A'!FX$110:FX$114,$F18+1)+IF(AND($E18=1,SX18=0),1000,0)),1000000))</f>
        <v/>
      </c>
      <c r="ACF18">
        <f>IF($B18=0,1000000,IF(INDEX('計算A'!$D$60:$II$104,$B18,178)*JR18=1,IF(AND($E18=2,SY18=0),1000000,INDEX('計算A'!FY$110:FY$114,$F18+1)+IF(AND($E18=1,SY18=0),1000,0)),1000000))</f>
        <v/>
      </c>
      <c r="ACG18">
        <f>IF($B18=0,1000000,IF(INDEX('計算A'!$D$60:$II$104,$B18,179)*JS18=1,IF(AND($E18=2,SZ18=0),1000000,INDEX('計算A'!FZ$110:FZ$114,$F18+1)+IF(AND($E18=1,SZ18=0),1000,0)),1000000))</f>
        <v/>
      </c>
      <c r="ACH18">
        <f>IF($B18=0,1000000,IF(INDEX('計算A'!$D$60:$II$104,$B18,180)*JT18=1,IF(AND($E18=2,TA18=0),1000000,INDEX('計算A'!GA$110:GA$114,$F18+1)+IF(AND($E18=1,TA18=0),1000,0)),1000000))</f>
        <v/>
      </c>
      <c r="ACI18">
        <f>IF($B18=0,1000000,IF(INDEX('計算A'!$D$60:$II$104,$B18,181)*JU18=1,IF(AND($E18=2,TB18=0),1000000,INDEX('計算A'!GB$110:GB$114,$F18+1)+IF(AND($E18=1,TB18=0),1000,0)),1000000))</f>
        <v/>
      </c>
      <c r="ACJ18">
        <f>IF($B18=0,1000000,IF(INDEX('計算A'!$D$60:$II$104,$B18,182)*JV18=1,IF(AND($E18=2,TC18=0),1000000,INDEX('計算A'!GC$110:GC$114,$F18+1)+IF(AND($E18=1,TC18=0),1000,0)),1000000))</f>
        <v/>
      </c>
      <c r="ACK18">
        <f>IF($B18=0,1000000,IF(INDEX('計算A'!$D$60:$II$104,$B18,183)*JW18=1,IF(AND($E18=2,TD18=0),1000000,INDEX('計算A'!GD$110:GD$114,$F18+1)+IF(AND($E18=1,TD18=0),1000,0)),1000000))</f>
        <v/>
      </c>
      <c r="ACL18">
        <f>IF($B18=0,1000000,IF(INDEX('計算A'!$D$60:$II$104,$B18,184)*JX18=1,IF(AND($E18=2,TE18=0),1000000,INDEX('計算A'!GE$110:GE$114,$F18+1)+IF(AND($E18=1,TE18=0),1000,0)),1000000))</f>
        <v/>
      </c>
      <c r="ACM18">
        <f>IF($B18=0,1000000,IF(INDEX('計算A'!$D$60:$II$104,$B18,185)*JY18=1,IF(AND($E18=2,TF18=0),1000000,INDEX('計算A'!GF$110:GF$114,$F18+1)+IF(AND($E18=1,TF18=0),1000,0)),1000000))</f>
        <v/>
      </c>
      <c r="ACN18">
        <f>IF($B18=0,1000000,IF(INDEX('計算A'!$D$60:$II$104,$B18,186)*JZ18=1,IF(AND($E18=2,TG18=0),1000000,INDEX('計算A'!GG$110:GG$114,$F18+1)+IF(AND($E18=1,TG18=0),1000,0)),1000000))</f>
        <v/>
      </c>
      <c r="ACO18">
        <f>IF($B18=0,1000000,IF(INDEX('計算A'!$D$60:$II$104,$B18,187)*KA18=1,IF(AND($E18=2,TH18=0),1000000,INDEX('計算A'!GH$110:GH$114,$F18+1)+IF(AND($E18=1,TH18=0),1000,0)),1000000))</f>
        <v/>
      </c>
      <c r="ACP18">
        <f>IF($B18=0,1000000,IF(INDEX('計算A'!$D$60:$II$104,$B18,188)*KB18=1,IF(AND($E18=2,TI18=0),1000000,INDEX('計算A'!GI$110:GI$114,$F18+1)+IF(AND($E18=1,TI18=0),1000,0)),1000000))</f>
        <v/>
      </c>
      <c r="ACQ18">
        <f>IF($B18=0,1000000,IF(INDEX('計算A'!$D$60:$II$104,$B18,189)*KC18=1,IF(AND($E18=2,TJ18=0),1000000,INDEX('計算A'!GJ$110:GJ$114,$F18+1)+IF(AND($E18=1,TJ18=0),1000,0)),1000000))</f>
        <v/>
      </c>
      <c r="ACR18">
        <f>IF($B18=0,1000000,IF(INDEX('計算A'!$D$60:$II$104,$B18,190)*KD18=1,IF(AND($E18=2,TK18=0),1000000,INDEX('計算A'!GK$110:GK$114,$F18+1)+IF(AND($E18=1,TK18=0),1000,0)),1000000))</f>
        <v/>
      </c>
      <c r="ACS18">
        <f>IF($B18=0,1000000,IF(INDEX('計算A'!$D$60:$II$104,$B18,191)*KE18=1,IF(AND($E18=2,TL18=0),1000000,INDEX('計算A'!GL$110:GL$114,$F18+1)+IF(AND($E18=1,TL18=0),1000,0)),1000000))</f>
        <v/>
      </c>
      <c r="ACT18">
        <f>IF($B18=0,1000000,IF(INDEX('計算A'!$D$60:$II$104,$B18,192)*KF18=1,IF(AND($E18=2,TM18=0),1000000,INDEX('計算A'!GM$110:GM$114,$F18+1)+IF(AND($E18=1,TM18=0),1000,0)),1000000))</f>
        <v/>
      </c>
      <c r="ACU18">
        <f>IF($B18=0,1000000,IF(INDEX('計算A'!$D$60:$II$104,$B18,193)*KG18=1,IF(AND($E18=2,TN18=0),1000000,INDEX('計算A'!GN$110:GN$114,$F18+1)+IF(AND($E18=1,TN18=0),1000,0)),1000000))</f>
        <v/>
      </c>
      <c r="ACV18">
        <f>IF($B18=0,1000000,IF(INDEX('計算A'!$D$60:$II$104,$B18,194)*KH18=1,IF(AND($E18=2,TO18=0),1000000,INDEX('計算A'!GO$110:GO$114,$F18+1)+IF(AND($E18=1,TO18=0),1000,0)),1000000))</f>
        <v/>
      </c>
      <c r="ACW18">
        <f>IF($B18=0,1000000,IF(INDEX('計算A'!$D$60:$II$104,$B18,195)*KI18=1,IF(AND($E18=2,TP18=0),1000000,INDEX('計算A'!GP$110:GP$114,$F18+1)+IF(AND($E18=1,TP18=0),1000,0)),1000000))</f>
        <v/>
      </c>
      <c r="ACX18">
        <f>IF($B18=0,1000000,IF(INDEX('計算A'!$D$60:$II$104,$B18,196)*KJ18=1,IF(AND($E18=2,TQ18=0),1000000,INDEX('計算A'!GQ$110:GQ$114,$F18+1)+IF(AND($E18=1,TQ18=0),1000,0)),1000000))</f>
        <v/>
      </c>
      <c r="ACY18">
        <f>IF($B18=0,1000000,IF(INDEX('計算A'!$D$60:$II$104,$B18,197)*KK18=1,IF(AND($E18=2,TR18=0),1000000,INDEX('計算A'!GR$110:GR$114,$F18+1)+IF(AND($E18=1,TR18=0),1000,0)),1000000))</f>
        <v/>
      </c>
      <c r="ACZ18">
        <f>IF($B18=0,1000000,IF(INDEX('計算A'!$D$60:$II$104,$B18,198)*KL18=1,IF(AND($E18=2,TS18=0),1000000,INDEX('計算A'!GS$110:GS$114,$F18+1)+IF(AND($E18=1,TS18=0),1000,0)),1000000))</f>
        <v/>
      </c>
      <c r="ADA18">
        <f>IF($B18=0,1000000,IF(INDEX('計算A'!$D$60:$II$104,$B18,199)*KM18=1,IF(AND($E18=2,TT18=0),1000000,INDEX('計算A'!GT$110:GT$114,$F18+1)+IF(AND($E18=1,TT18=0),1000,0)),1000000))</f>
        <v/>
      </c>
      <c r="ADB18">
        <f>IF($B18=0,1000000,IF(INDEX('計算A'!$D$60:$II$104,$B18,200)*KN18=1,IF(AND($E18=2,TU18=0),1000000,INDEX('計算A'!GU$110:GU$114,$F18+1)+IF(AND($E18=1,TU18=0),1000,0)),1000000))</f>
        <v/>
      </c>
      <c r="ADC18">
        <f>IF($B18=0,1000000,IF(INDEX('計算A'!$D$60:$II$104,$B18,201)*KO18=1,IF(AND($E18=2,TV18=0),1000000,INDEX('計算A'!GV$110:GV$114,$F18+1)+IF(AND($E18=1,TV18=0),1000,0)),1000000))</f>
        <v/>
      </c>
      <c r="ADD18">
        <f>IF($B18=0,1000000,IF(INDEX('計算A'!$D$60:$II$104,$B18,202)*KP18=1,IF(AND($E18=2,TW18=0),1000000,INDEX('計算A'!GW$110:GW$114,$F18+1)+IF(AND($E18=1,TW18=0),1000,0)),1000000))</f>
        <v/>
      </c>
      <c r="ADE18">
        <f>IF($B18=0,1000000,IF(INDEX('計算A'!$D$60:$II$104,$B18,203)*KQ18=1,IF(AND($E18=2,TX18=0),1000000,INDEX('計算A'!GX$110:GX$114,$F18+1)+IF(AND($E18=1,TX18=0),1000,0)),1000000))</f>
        <v/>
      </c>
      <c r="ADF18">
        <f>IF($B18=0,1000000,IF(INDEX('計算A'!$D$60:$II$104,$B18,204)*KR18=1,IF(AND($E18=2,TY18=0),1000000,INDEX('計算A'!GY$110:GY$114,$F18+1)+IF(AND($E18=1,TY18=0),1000,0)),1000000))</f>
        <v/>
      </c>
      <c r="ADG18">
        <f>IF($B18=0,1000000,IF(INDEX('計算A'!$D$60:$II$104,$B18,205)*KS18=1,IF(AND($E18=2,TZ18=0),1000000,INDEX('計算A'!GZ$110:GZ$114,$F18+1)+IF(AND($E18=1,TZ18=0),1000,0)),1000000))</f>
        <v/>
      </c>
      <c r="ADH18">
        <f>IF($B18=0,1000000,IF(INDEX('計算A'!$D$60:$II$104,$B18,206)*KT18=1,IF(AND($E18=2,UA18=0),1000000,INDEX('計算A'!HA$110:HA$114,$F18+1)+IF(AND($E18=1,UA18=0),1000,0)),1000000))</f>
        <v/>
      </c>
      <c r="ADI18">
        <f>IF($B18=0,1000000,IF(INDEX('計算A'!$D$60:$II$104,$B18,207)*KU18=1,IF(AND($E18=2,UB18=0),1000000,INDEX('計算A'!HB$110:HB$114,$F18+1)+IF(AND($E18=1,UB18=0),1000,0)),1000000))</f>
        <v/>
      </c>
      <c r="ADJ18">
        <f>IF($B18=0,1000000,IF(INDEX('計算A'!$D$60:$II$104,$B18,208)*KV18=1,IF(AND($E18=2,UC18=0),1000000,INDEX('計算A'!HC$110:HC$114,$F18+1)+IF(AND($E18=1,UC18=0),1000,0)),1000000))</f>
        <v/>
      </c>
      <c r="ADK18">
        <f>IF($B18=0,1000000,IF(INDEX('計算A'!$D$60:$II$104,$B18,209)*KW18=1,IF(AND($E18=2,UD18=0),1000000,INDEX('計算A'!HD$110:HD$114,$F18+1)+IF(AND($E18=1,UD18=0),1000,0)),1000000))</f>
        <v/>
      </c>
      <c r="ADL18">
        <f>IF($B18=0,1000000,IF(INDEX('計算A'!$D$60:$II$104,$B18,210)*KX18=1,IF(AND($E18=2,UE18=0),1000000,INDEX('計算A'!HE$110:HE$114,$F18+1)+IF(AND($E18=1,UE18=0),1000,0)),1000000))</f>
        <v/>
      </c>
      <c r="ADM18">
        <f>IF($B18=0,1000000,IF(INDEX('計算A'!$D$60:$II$104,$B18,211)*KY18=1,IF(AND($E18=2,UF18=0),1000000,INDEX('計算A'!HF$110:HF$114,$F18+1)+IF(AND($E18=1,UF18=0),1000,0)),1000000))</f>
        <v/>
      </c>
      <c r="ADN18">
        <f>IF($B18=0,1000000,IF(INDEX('計算A'!$D$60:$II$104,$B18,212)*KZ18=1,IF(AND($E18=2,UG18=0),1000000,INDEX('計算A'!HG$110:HG$114,$F18+1)+IF(AND($E18=1,UG18=0),1000,0)),1000000))</f>
        <v/>
      </c>
      <c r="ADO18">
        <f>IF($B18=0,1000000,IF(INDEX('計算A'!$D$60:$II$104,$B18,213)*LA18=1,IF(AND($E18=2,UH18=0),1000000,INDEX('計算A'!HH$110:HH$114,$F18+1)+IF(AND($E18=1,UH18=0),1000,0)),1000000))</f>
        <v/>
      </c>
      <c r="ADP18">
        <f>IF($B18=0,1000000,IF(INDEX('計算A'!$D$60:$II$104,$B18,214)*LB18=1,IF(AND($E18=2,UI18=0),1000000,INDEX('計算A'!HI$110:HI$114,$F18+1)+IF(AND($E18=1,UI18=0),1000,0)),1000000))</f>
        <v/>
      </c>
      <c r="ADQ18">
        <f>IF($B18=0,1000000,IF(INDEX('計算A'!$D$60:$II$104,$B18,215)*LC18=1,IF(AND($E18=2,UJ18=0),1000000,INDEX('計算A'!HJ$110:HJ$114,$F18+1)+IF(AND($E18=1,UJ18=0),1000,0)),1000000))</f>
        <v/>
      </c>
      <c r="ADR18">
        <f>IF($B18=0,1000000,IF(INDEX('計算A'!$D$60:$II$104,$B18,216)*LD18=1,IF(AND($E18=2,UK18=0),1000000,INDEX('計算A'!HK$110:HK$114,$F18+1)+IF(AND($E18=1,UK18=0),1000,0)),1000000))</f>
        <v/>
      </c>
      <c r="ADS18">
        <f>IF($B18=0,1000000,IF(INDEX('計算A'!$D$60:$II$104,$B18,217)*LE18=1,IF(AND($E18=2,UL18=0),1000000,INDEX('計算A'!HL$110:HL$114,$F18+1)+IF(AND($E18=1,UL18=0),1000,0)),1000000))</f>
        <v/>
      </c>
      <c r="ADT18">
        <f>IF($B18=0,1000000,IF(INDEX('計算A'!$D$60:$II$104,$B18,218)*LF18=1,IF(AND($E18=2,UM18=0),1000000,INDEX('計算A'!HM$110:HM$114,$F18+1)+IF(AND($E18=1,UM18=0),1000,0)),1000000))</f>
        <v/>
      </c>
      <c r="ADU18">
        <f>IF($B18=0,1000000,IF(INDEX('計算A'!$D$60:$II$104,$B18,219)*LG18=1,IF(AND($E18=2,UN18=0),1000000,INDEX('計算A'!HN$110:HN$114,$F18+1)+IF(AND($E18=1,UN18=0),1000,0)),1000000))</f>
        <v/>
      </c>
      <c r="ADV18">
        <f>IF($B18=0,1000000,IF(INDEX('計算A'!$D$60:$II$104,$B18,220)*LH18=1,IF(AND($E18=2,UO18=0),1000000,INDEX('計算A'!HO$110:HO$114,$F18+1)+IF(AND($E18=1,UO18=0),1000,0)),1000000))</f>
        <v/>
      </c>
      <c r="ADW18">
        <f>IF($B18=0,1000000,IF(INDEX('計算A'!$D$60:$II$104,$B18,221)*LI18=1,IF(AND($E18=2,UP18=0),1000000,INDEX('計算A'!HP$110:HP$114,$F18+1)+IF(AND($E18=1,UP18=0),1000,0)),1000000))</f>
        <v/>
      </c>
      <c r="ADX18">
        <f>IF($B18=0,1000000,IF(INDEX('計算A'!$D$60:$II$104,$B18,222)*LJ18=1,IF(AND($E18=2,UQ18=0),1000000,INDEX('計算A'!HQ$110:HQ$114,$F18+1)+IF(AND($E18=1,UQ18=0),1000,0)),1000000))</f>
        <v/>
      </c>
      <c r="ADY18">
        <f>IF($B18=0,1000000,IF(INDEX('計算A'!$D$60:$II$104,$B18,223)*LK18=1,IF(AND($E18=2,UR18=0),1000000,INDEX('計算A'!HR$110:HR$114,$F18+1)+IF(AND($E18=1,UR18=0),1000,0)),1000000))</f>
        <v/>
      </c>
      <c r="ADZ18">
        <f>IF($B18=0,1000000,IF(INDEX('計算A'!$D$60:$II$104,$B18,224)*LL18=1,IF(AND($E18=2,US18=0),1000000,INDEX('計算A'!HS$110:HS$114,$F18+1)+IF(AND($E18=1,US18=0),1000,0)),1000000))</f>
        <v/>
      </c>
      <c r="AEA18">
        <f>IF($B18=0,1000000,IF(INDEX('計算A'!$D$60:$II$104,$B18,225)*LM18=1,IF(AND($E18=2,UT18=0),1000000,INDEX('計算A'!HT$110:HT$114,$F18+1)+IF(AND($E18=1,UT18=0),1000,0)),1000000))</f>
        <v/>
      </c>
      <c r="AEB18">
        <f>IF($B18=0,1000000,IF(INDEX('計算A'!$D$60:$II$104,$B18,226)*LN18=1,IF(AND($E18=2,UU18=0),1000000,INDEX('計算A'!HU$110:HU$114,$F18+1)+IF(AND($E18=1,UU18=0),1000,0)),1000000))</f>
        <v/>
      </c>
      <c r="AEC18">
        <f>IF($B18=0,1000000,IF(INDEX('計算A'!$D$60:$II$104,$B18,227)*LO18=1,IF(AND($E18=2,UV18=0),1000000,INDEX('計算A'!HV$110:HV$114,$F18+1)+IF(AND($E18=1,UV18=0),1000,0)),1000000))</f>
        <v/>
      </c>
      <c r="AED18">
        <f>IF($B18=0,1000000,IF(INDEX('計算A'!$D$60:$II$104,$B18,228)*LP18=1,IF(AND($E18=2,UW18=0),1000000,INDEX('計算A'!HW$110:HW$114,$F18+1)+IF(AND($E18=1,UW18=0),1000,0)),1000000))</f>
        <v/>
      </c>
      <c r="AEE18">
        <f>IF($B18=0,1000000,IF(INDEX('計算A'!$D$60:$II$104,$B18,229)*LQ18=1,IF(AND($E18=2,UX18=0),1000000,INDEX('計算A'!HX$110:HX$114,$F18+1)+IF(AND($E18=1,UX18=0),1000,0)),1000000))</f>
        <v/>
      </c>
      <c r="AEF18">
        <f>IF($B18=0,1000000,IF(INDEX('計算A'!$D$60:$II$104,$B18,230)*LR18=1,IF(AND($E18=2,UY18=0),1000000,INDEX('計算A'!HY$110:HY$114,$F18+1)+IF(AND($E18=1,UY18=0),1000,0)),1000000))</f>
        <v/>
      </c>
      <c r="AEG18">
        <f>IF($B18=0,1000000,IF(INDEX('計算A'!$D$60:$II$104,$B18,231)*LS18=1,IF(AND($E18=2,UZ18=0),1000000,INDEX('計算A'!HZ$110:HZ$114,$F18+1)+IF(AND($E18=1,UZ18=0),1000,0)),1000000))</f>
        <v/>
      </c>
      <c r="AEH18">
        <f>IF($B18=0,1000000,IF(INDEX('計算A'!$D$60:$II$104,$B18,232)*LT18=1,IF(AND($E18=2,VA18=0),1000000,INDEX('計算A'!IA$110:IA$114,$F18+1)+IF(AND($E18=1,VA18=0),1000,0)),1000000))</f>
        <v/>
      </c>
      <c r="AEI18">
        <f>IF($B18=0,1000000,IF(INDEX('計算A'!$D$60:$II$104,$B18,233)*LU18=1,IF(AND($E18=2,VB18=0),1000000,INDEX('計算A'!IB$110:IB$114,$F18+1)+IF(AND($E18=1,VB18=0),1000,0)),1000000))</f>
        <v/>
      </c>
      <c r="AEJ18">
        <f>IF($B18=0,1000000,IF(INDEX('計算A'!$D$60:$II$104,$B18,234)*LV18=1,IF(AND($E18=2,VC18=0),1000000,INDEX('計算A'!IC$110:IC$114,$F18+1)+IF(AND($E18=1,VC18=0),1000,0)),1000000))</f>
        <v/>
      </c>
      <c r="AEK18">
        <f>IF($B18=0,1000000,IF(INDEX('計算A'!$D$60:$II$104,$B18,235)*LW18=1,IF(AND($E18=2,VD18=0),1000000,INDEX('計算A'!ID$110:ID$114,$F18+1)+IF(AND($E18=1,VD18=0),1000,0)),1000000))</f>
        <v/>
      </c>
      <c r="AEL18">
        <f>IF($B18=0,1000000,IF(INDEX('計算A'!$D$60:$II$104,$B18,236)*LX18=1,IF(AND($E18=2,VE18=0),1000000,INDEX('計算A'!IE$110:IE$114,$F18+1)+IF(AND($E18=1,VE18=0),1000,0)),1000000))</f>
        <v/>
      </c>
      <c r="AEM18">
        <f>IF($B18=0,1000000,IF(INDEX('計算A'!$D$60:$II$104,$B18,237)*LY18=1,IF(AND($E18=2,VF18=0),1000000,INDEX('計算A'!IF$110:IF$114,$F18+1)+IF(AND($E18=1,VF18=0),1000,0)),1000000))</f>
        <v/>
      </c>
      <c r="AEN18">
        <f>IF($B18=0,1000000,IF(INDEX('計算A'!$D$60:$II$104,$B18,238)*LZ18=1,IF(AND($E18=2,VG18=0),1000000,INDEX('計算A'!IG$110:IG$114,$F18+1)+IF(AND($E18=1,VG18=0),1000,0)),1000000))</f>
        <v/>
      </c>
      <c r="AEO18">
        <f>IF($B18=0,1000000,IF(INDEX('計算A'!$D$60:$II$104,$B18,239)*MA18=1,IF(AND($E18=2,VH18=0),1000000,INDEX('計算A'!IH$110:IH$114,$F18+1)+IF(AND($E18=1,VH18=0),1000,0)),1000000))</f>
        <v/>
      </c>
      <c r="AEP18">
        <f>IF($B18=0,1000000,IF(INDEX('計算A'!$D$60:$II$104,$B18,240)*MB18=1,IF(AND($E18=2,VI18=0),1000000,INDEX('計算A'!II$110:II$114,$F18+1)+IF(AND($E18=1,VI18=0),1000,0)),1000000))</f>
        <v/>
      </c>
    </row>
    <row r="19">
      <c r="A19" t="n">
        <v>17</v>
      </c>
      <c r="B19">
        <f>IF(MIN(BC19:CU19)&gt;=1000000,0,MATCH(MIN(BC19:CU19),BC19:CU19,0))</f>
        <v/>
      </c>
      <c r="C19">
        <f>IF(MIN(VK19:AEP19)&gt;=1000000,0,MATCH(MIN(VK19:AEP19),VK19:AEP19,0))</f>
        <v/>
      </c>
      <c r="D19">
        <f>IF(C19&gt;0,INDEX('計算A'!$D$5:$II$5,C19),0)</f>
        <v/>
      </c>
      <c r="E19">
        <f>IF(B19=0,0,INDEX('計算A'!$IQ$10:$IQ$54,B19))</f>
        <v/>
      </c>
      <c r="F19">
        <f>IF(B19=0,0,INDEX('計算A'!$IP$10:$IP$54,B19))</f>
        <v/>
      </c>
      <c r="G19">
        <f>IF(AND(C19&gt;0,E19&gt;0),IF(AND(INDEX('計算A'!$D$106:$II$106,C19)=1,INDEX($MD19:$VI19,C19)=1),C19+1,0),0)</f>
        <v/>
      </c>
      <c r="I19">
        <f>MAX(I18,IF($B18=1,1,0))</f>
        <v/>
      </c>
      <c r="J19">
        <f>MAX(J18,IF($B18=2,1,0))</f>
        <v/>
      </c>
      <c r="K19">
        <f>MAX(K18,IF($B18=3,1,0))</f>
        <v/>
      </c>
      <c r="L19">
        <f>MAX(L18,IF($B18=4,1,0))</f>
        <v/>
      </c>
      <c r="M19">
        <f>MAX(M18,IF($B18=5,1,0))</f>
        <v/>
      </c>
      <c r="N19">
        <f>MAX(N18,IF($B18=6,1,0))</f>
        <v/>
      </c>
      <c r="O19">
        <f>MAX(O18,IF($B18=7,1,0))</f>
        <v/>
      </c>
      <c r="P19">
        <f>MAX(P18,IF($B18=8,1,0))</f>
        <v/>
      </c>
      <c r="Q19">
        <f>MAX(Q18,IF($B18=9,1,0))</f>
        <v/>
      </c>
      <c r="R19">
        <f>MAX(R18,IF($B18=10,1,0))</f>
        <v/>
      </c>
      <c r="S19">
        <f>MAX(S18,IF($B18=11,1,0))</f>
        <v/>
      </c>
      <c r="T19">
        <f>MAX(T18,IF($B18=12,1,0))</f>
        <v/>
      </c>
      <c r="U19">
        <f>MAX(U18,IF($B18=13,1,0))</f>
        <v/>
      </c>
      <c r="V19">
        <f>MAX(V18,IF($B18=14,1,0))</f>
        <v/>
      </c>
      <c r="W19">
        <f>MAX(W18,IF($B18=15,1,0))</f>
        <v/>
      </c>
      <c r="X19">
        <f>MAX(X18,IF($B18=16,1,0))</f>
        <v/>
      </c>
      <c r="Y19">
        <f>MAX(Y18,IF($B18=17,1,0))</f>
        <v/>
      </c>
      <c r="Z19">
        <f>MAX(Z18,IF($B18=18,1,0))</f>
        <v/>
      </c>
      <c r="AA19">
        <f>MAX(AA18,IF($B18=19,1,0))</f>
        <v/>
      </c>
      <c r="AB19">
        <f>MAX(AB18,IF($B18=20,1,0))</f>
        <v/>
      </c>
      <c r="AC19">
        <f>MAX(AC18,IF($B18=21,1,0))</f>
        <v/>
      </c>
      <c r="AD19">
        <f>MAX(AD18,IF($B18=22,1,0))</f>
        <v/>
      </c>
      <c r="AE19">
        <f>MAX(AE18,IF($B18=23,1,0))</f>
        <v/>
      </c>
      <c r="AF19">
        <f>MAX(AF18,IF($B18=24,1,0))</f>
        <v/>
      </c>
      <c r="AG19">
        <f>MAX(AG18,IF($B18=25,1,0))</f>
        <v/>
      </c>
      <c r="AH19">
        <f>MAX(AH18,IF($B18=26,1,0))</f>
        <v/>
      </c>
      <c r="AI19">
        <f>MAX(AI18,IF($B18=27,1,0))</f>
        <v/>
      </c>
      <c r="AJ19">
        <f>MAX(AJ18,IF($B18=28,1,0))</f>
        <v/>
      </c>
      <c r="AK19">
        <f>MAX(AK18,IF($B18=29,1,0))</f>
        <v/>
      </c>
      <c r="AL19">
        <f>MAX(AL18,IF($B18=30,1,0))</f>
        <v/>
      </c>
      <c r="AM19">
        <f>MAX(AM18,IF($B18=31,1,0))</f>
        <v/>
      </c>
      <c r="AN19">
        <f>MAX(AN18,IF($B18=32,1,0))</f>
        <v/>
      </c>
      <c r="AO19">
        <f>MAX(AO18,IF($B18=33,1,0))</f>
        <v/>
      </c>
      <c r="AP19">
        <f>MAX(AP18,IF($B18=34,1,0))</f>
        <v/>
      </c>
      <c r="AQ19">
        <f>MAX(AQ18,IF($B18=35,1,0))</f>
        <v/>
      </c>
      <c r="AR19">
        <f>MAX(AR18,IF($B18=36,1,0))</f>
        <v/>
      </c>
      <c r="AS19">
        <f>MAX(AS18,IF($B18=37,1,0))</f>
        <v/>
      </c>
      <c r="AT19">
        <f>MAX(AT18,IF($B18=38,1,0))</f>
        <v/>
      </c>
      <c r="AU19">
        <f>MAX(AU18,IF($B18=39,1,0))</f>
        <v/>
      </c>
      <c r="AV19">
        <f>MAX(AV18,IF($B18=40,1,0))</f>
        <v/>
      </c>
      <c r="AW19">
        <f>MAX(AW18,IF($B18=41,1,0))</f>
        <v/>
      </c>
      <c r="AX19">
        <f>MAX(AX18,IF($B18=42,1,0))</f>
        <v/>
      </c>
      <c r="AY19">
        <f>MAX(AY18,IF($B18=43,1,0))</f>
        <v/>
      </c>
      <c r="AZ19">
        <f>MAX(AZ18,IF($B18=44,1,0))</f>
        <v/>
      </c>
      <c r="BA19">
        <f>MAX(BA18,IF($B18=45,1,0))</f>
        <v/>
      </c>
      <c r="BC19">
        <f>IF(I19=1,1000000,IF('計算A'!$IQ$10=2,SUMPRODUCT('計算A'!$D$60:$II$60,$CW19:$MB19,$MD19:$VI19),SUMPRODUCT('計算A'!$D$60:$II$60,$CW19:$MB19))*1000+1)</f>
        <v/>
      </c>
      <c r="BD19">
        <f>IF(J19=1,1000000,IF('計算A'!$IQ$11=2,SUMPRODUCT('計算A'!$D$61:$II$61,$CW19:$MB19,$MD19:$VI19),SUMPRODUCT('計算A'!$D$61:$II$61,$CW19:$MB19))*1000+2)</f>
        <v/>
      </c>
      <c r="BE19">
        <f>IF(K19=1,1000000,IF('計算A'!$IQ$12=2,SUMPRODUCT('計算A'!$D$62:$II$62,$CW19:$MB19,$MD19:$VI19),SUMPRODUCT('計算A'!$D$62:$II$62,$CW19:$MB19))*1000+3)</f>
        <v/>
      </c>
      <c r="BF19">
        <f>IF(L19=1,1000000,IF('計算A'!$IQ$13=2,SUMPRODUCT('計算A'!$D$63:$II$63,$CW19:$MB19,$MD19:$VI19),SUMPRODUCT('計算A'!$D$63:$II$63,$CW19:$MB19))*1000+4)</f>
        <v/>
      </c>
      <c r="BG19">
        <f>IF(M19=1,1000000,IF('計算A'!$IQ$14=2,SUMPRODUCT('計算A'!$D$64:$II$64,$CW19:$MB19,$MD19:$VI19),SUMPRODUCT('計算A'!$D$64:$II$64,$CW19:$MB19))*1000+5)</f>
        <v/>
      </c>
      <c r="BH19">
        <f>IF(N19=1,1000000,IF('計算A'!$IQ$15=2,SUMPRODUCT('計算A'!$D$65:$II$65,$CW19:$MB19,$MD19:$VI19),SUMPRODUCT('計算A'!$D$65:$II$65,$CW19:$MB19))*1000+6)</f>
        <v/>
      </c>
      <c r="BI19">
        <f>IF(O19=1,1000000,IF('計算A'!$IQ$16=2,SUMPRODUCT('計算A'!$D$66:$II$66,$CW19:$MB19,$MD19:$VI19),SUMPRODUCT('計算A'!$D$66:$II$66,$CW19:$MB19))*1000+7)</f>
        <v/>
      </c>
      <c r="BJ19">
        <f>IF(P19=1,1000000,IF('計算A'!$IQ$17=2,SUMPRODUCT('計算A'!$D$67:$II$67,$CW19:$MB19,$MD19:$VI19),SUMPRODUCT('計算A'!$D$67:$II$67,$CW19:$MB19))*1000+8)</f>
        <v/>
      </c>
      <c r="BK19">
        <f>IF(Q19=1,1000000,IF('計算A'!$IQ$18=2,SUMPRODUCT('計算A'!$D$68:$II$68,$CW19:$MB19,$MD19:$VI19),SUMPRODUCT('計算A'!$D$68:$II$68,$CW19:$MB19))*1000+9)</f>
        <v/>
      </c>
      <c r="BL19">
        <f>IF(R19=1,1000000,IF('計算A'!$IQ$19=2,SUMPRODUCT('計算A'!$D$69:$II$69,$CW19:$MB19,$MD19:$VI19),SUMPRODUCT('計算A'!$D$69:$II$69,$CW19:$MB19))*1000+10)</f>
        <v/>
      </c>
      <c r="BM19">
        <f>IF(S19=1,1000000,IF('計算A'!$IQ$20=2,SUMPRODUCT('計算A'!$D$70:$II$70,$CW19:$MB19,$MD19:$VI19),SUMPRODUCT('計算A'!$D$70:$II$70,$CW19:$MB19))*1000+11)</f>
        <v/>
      </c>
      <c r="BN19">
        <f>IF(T19=1,1000000,IF('計算A'!$IQ$21=2,SUMPRODUCT('計算A'!$D$71:$II$71,$CW19:$MB19,$MD19:$VI19),SUMPRODUCT('計算A'!$D$71:$II$71,$CW19:$MB19))*1000+12)</f>
        <v/>
      </c>
      <c r="BO19">
        <f>IF(U19=1,1000000,IF('計算A'!$IQ$22=2,SUMPRODUCT('計算A'!$D$72:$II$72,$CW19:$MB19,$MD19:$VI19),SUMPRODUCT('計算A'!$D$72:$II$72,$CW19:$MB19))*1000+13)</f>
        <v/>
      </c>
      <c r="BP19">
        <f>IF(V19=1,1000000,IF('計算A'!$IQ$23=2,SUMPRODUCT('計算A'!$D$73:$II$73,$CW19:$MB19,$MD19:$VI19),SUMPRODUCT('計算A'!$D$73:$II$73,$CW19:$MB19))*1000+14)</f>
        <v/>
      </c>
      <c r="BQ19">
        <f>IF(W19=1,1000000,IF('計算A'!$IQ$24=2,SUMPRODUCT('計算A'!$D$74:$II$74,$CW19:$MB19,$MD19:$VI19),SUMPRODUCT('計算A'!$D$74:$II$74,$CW19:$MB19))*1000+15)</f>
        <v/>
      </c>
      <c r="BR19">
        <f>IF(X19=1,1000000,IF('計算A'!$IQ$25=2,SUMPRODUCT('計算A'!$D$75:$II$75,$CW19:$MB19,$MD19:$VI19),SUMPRODUCT('計算A'!$D$75:$II$75,$CW19:$MB19))*1000+16)</f>
        <v/>
      </c>
      <c r="BS19">
        <f>IF(Y19=1,1000000,IF('計算A'!$IQ$26=2,SUMPRODUCT('計算A'!$D$76:$II$76,$CW19:$MB19,$MD19:$VI19),SUMPRODUCT('計算A'!$D$76:$II$76,$CW19:$MB19))*1000+17)</f>
        <v/>
      </c>
      <c r="BT19">
        <f>IF(Z19=1,1000000,IF('計算A'!$IQ$27=2,SUMPRODUCT('計算A'!$D$77:$II$77,$CW19:$MB19,$MD19:$VI19),SUMPRODUCT('計算A'!$D$77:$II$77,$CW19:$MB19))*1000+18)</f>
        <v/>
      </c>
      <c r="BU19">
        <f>IF(AA19=1,1000000,IF('計算A'!$IQ$28=2,SUMPRODUCT('計算A'!$D$78:$II$78,$CW19:$MB19,$MD19:$VI19),SUMPRODUCT('計算A'!$D$78:$II$78,$CW19:$MB19))*1000+19)</f>
        <v/>
      </c>
      <c r="BV19">
        <f>IF(AB19=1,1000000,IF('計算A'!$IQ$29=2,SUMPRODUCT('計算A'!$D$79:$II$79,$CW19:$MB19,$MD19:$VI19),SUMPRODUCT('計算A'!$D$79:$II$79,$CW19:$MB19))*1000+20)</f>
        <v/>
      </c>
      <c r="BW19">
        <f>IF(AC19=1,1000000,IF('計算A'!$IQ$30=2,SUMPRODUCT('計算A'!$D$80:$II$80,$CW19:$MB19,$MD19:$VI19),SUMPRODUCT('計算A'!$D$80:$II$80,$CW19:$MB19))*1000+21)</f>
        <v/>
      </c>
      <c r="BX19">
        <f>IF(AD19=1,1000000,IF('計算A'!$IQ$31=2,SUMPRODUCT('計算A'!$D$81:$II$81,$CW19:$MB19,$MD19:$VI19),SUMPRODUCT('計算A'!$D$81:$II$81,$CW19:$MB19))*1000+22)</f>
        <v/>
      </c>
      <c r="BY19">
        <f>IF(AE19=1,1000000,IF('計算A'!$IQ$32=2,SUMPRODUCT('計算A'!$D$82:$II$82,$CW19:$MB19,$MD19:$VI19),SUMPRODUCT('計算A'!$D$82:$II$82,$CW19:$MB19))*1000+23)</f>
        <v/>
      </c>
      <c r="BZ19">
        <f>IF(AF19=1,1000000,IF('計算A'!$IQ$33=2,SUMPRODUCT('計算A'!$D$83:$II$83,$CW19:$MB19,$MD19:$VI19),SUMPRODUCT('計算A'!$D$83:$II$83,$CW19:$MB19))*1000+24)</f>
        <v/>
      </c>
      <c r="CA19">
        <f>IF(AG19=1,1000000,IF('計算A'!$IQ$34=2,SUMPRODUCT('計算A'!$D$84:$II$84,$CW19:$MB19,$MD19:$VI19),SUMPRODUCT('計算A'!$D$84:$II$84,$CW19:$MB19))*1000+25)</f>
        <v/>
      </c>
      <c r="CB19">
        <f>IF(AH19=1,1000000,IF('計算A'!$IQ$35=2,SUMPRODUCT('計算A'!$D$85:$II$85,$CW19:$MB19,$MD19:$VI19),SUMPRODUCT('計算A'!$D$85:$II$85,$CW19:$MB19))*1000+26)</f>
        <v/>
      </c>
      <c r="CC19">
        <f>IF(AI19=1,1000000,IF('計算A'!$IQ$36=2,SUMPRODUCT('計算A'!$D$86:$II$86,$CW19:$MB19,$MD19:$VI19),SUMPRODUCT('計算A'!$D$86:$II$86,$CW19:$MB19))*1000+27)</f>
        <v/>
      </c>
      <c r="CD19">
        <f>IF(AJ19=1,1000000,IF('計算A'!$IQ$37=2,SUMPRODUCT('計算A'!$D$87:$II$87,$CW19:$MB19,$MD19:$VI19),SUMPRODUCT('計算A'!$D$87:$II$87,$CW19:$MB19))*1000+28)</f>
        <v/>
      </c>
      <c r="CE19">
        <f>IF(AK19=1,1000000,IF('計算A'!$IQ$38=2,SUMPRODUCT('計算A'!$D$88:$II$88,$CW19:$MB19,$MD19:$VI19),SUMPRODUCT('計算A'!$D$88:$II$88,$CW19:$MB19))*1000+29)</f>
        <v/>
      </c>
      <c r="CF19">
        <f>IF(AL19=1,1000000,IF('計算A'!$IQ$39=2,SUMPRODUCT('計算A'!$D$89:$II$89,$CW19:$MB19,$MD19:$VI19),SUMPRODUCT('計算A'!$D$89:$II$89,$CW19:$MB19))*1000+30)</f>
        <v/>
      </c>
      <c r="CG19">
        <f>IF(AM19=1,1000000,IF('計算A'!$IQ$40=2,SUMPRODUCT('計算A'!$D$90:$II$90,$CW19:$MB19,$MD19:$VI19),SUMPRODUCT('計算A'!$D$90:$II$90,$CW19:$MB19))*1000+31)</f>
        <v/>
      </c>
      <c r="CH19">
        <f>IF(AN19=1,1000000,IF('計算A'!$IQ$41=2,SUMPRODUCT('計算A'!$D$91:$II$91,$CW19:$MB19,$MD19:$VI19),SUMPRODUCT('計算A'!$D$91:$II$91,$CW19:$MB19))*1000+32)</f>
        <v/>
      </c>
      <c r="CI19">
        <f>IF(AO19=1,1000000,IF('計算A'!$IQ$42=2,SUMPRODUCT('計算A'!$D$92:$II$92,$CW19:$MB19,$MD19:$VI19),SUMPRODUCT('計算A'!$D$92:$II$92,$CW19:$MB19))*1000+33)</f>
        <v/>
      </c>
      <c r="CJ19">
        <f>IF(AP19=1,1000000,IF('計算A'!$IQ$43=2,SUMPRODUCT('計算A'!$D$93:$II$93,$CW19:$MB19,$MD19:$VI19),SUMPRODUCT('計算A'!$D$93:$II$93,$CW19:$MB19))*1000+34)</f>
        <v/>
      </c>
      <c r="CK19">
        <f>IF(AQ19=1,1000000,IF('計算A'!$IQ$44=2,SUMPRODUCT('計算A'!$D$94:$II$94,$CW19:$MB19,$MD19:$VI19),SUMPRODUCT('計算A'!$D$94:$II$94,$CW19:$MB19))*1000+35)</f>
        <v/>
      </c>
      <c r="CL19">
        <f>IF(AR19=1,1000000,IF('計算A'!$IQ$45=2,SUMPRODUCT('計算A'!$D$95:$II$95,$CW19:$MB19,$MD19:$VI19),SUMPRODUCT('計算A'!$D$95:$II$95,$CW19:$MB19))*1000+36)</f>
        <v/>
      </c>
      <c r="CM19">
        <f>IF(AS19=1,1000000,IF('計算A'!$IQ$46=2,SUMPRODUCT('計算A'!$D$96:$II$96,$CW19:$MB19,$MD19:$VI19),SUMPRODUCT('計算A'!$D$96:$II$96,$CW19:$MB19))*1000+37)</f>
        <v/>
      </c>
      <c r="CN19">
        <f>IF(AT19=1,1000000,IF('計算A'!$IQ$47=2,SUMPRODUCT('計算A'!$D$97:$II$97,$CW19:$MB19,$MD19:$VI19),SUMPRODUCT('計算A'!$D$97:$II$97,$CW19:$MB19))*1000+38)</f>
        <v/>
      </c>
      <c r="CO19">
        <f>IF(AU19=1,1000000,IF('計算A'!$IQ$48=2,SUMPRODUCT('計算A'!$D$98:$II$98,$CW19:$MB19,$MD19:$VI19),SUMPRODUCT('計算A'!$D$98:$II$98,$CW19:$MB19))*1000+39)</f>
        <v/>
      </c>
      <c r="CP19">
        <f>IF(AV19=1,1000000,IF('計算A'!$IQ$49=2,SUMPRODUCT('計算A'!$D$99:$II$99,$CW19:$MB19,$MD19:$VI19),SUMPRODUCT('計算A'!$D$99:$II$99,$CW19:$MB19))*1000+40)</f>
        <v/>
      </c>
      <c r="CQ19">
        <f>IF(AW19=1,1000000,IF('計算A'!$IQ$50=2,SUMPRODUCT('計算A'!$D$100:$II$100,$CW19:$MB19,$MD19:$VI19),SUMPRODUCT('計算A'!$D$100:$II$100,$CW19:$MB19))*1000+41)</f>
        <v/>
      </c>
      <c r="CR19">
        <f>IF(AX19=1,1000000,IF('計算A'!$IQ$51=2,SUMPRODUCT('計算A'!$D$101:$II$101,$CW19:$MB19,$MD19:$VI19),SUMPRODUCT('計算A'!$D$101:$II$101,$CW19:$MB19))*1000+42)</f>
        <v/>
      </c>
      <c r="CS19">
        <f>IF(AY19=1,1000000,IF('計算A'!$IQ$52=2,SUMPRODUCT('計算A'!$D$102:$II$102,$CW19:$MB19,$MD19:$VI19),SUMPRODUCT('計算A'!$D$102:$II$102,$CW19:$MB19))*1000+43)</f>
        <v/>
      </c>
      <c r="CT19">
        <f>IF(AZ19=1,1000000,IF('計算A'!$IQ$53=2,SUMPRODUCT('計算A'!$D$103:$II$103,$CW19:$MB19,$MD19:$VI19),SUMPRODUCT('計算A'!$D$103:$II$103,$CW19:$MB19))*1000+44)</f>
        <v/>
      </c>
      <c r="CU19">
        <f>IF(BA19=1,1000000,IF('計算A'!$IQ$54=2,SUMPRODUCT('計算A'!$D$104:$II$104,$CW19:$MB19,$MD19:$VI19),SUMPRODUCT('計算A'!$D$104:$II$104,$CW19:$MB19))*1000+45)</f>
        <v/>
      </c>
      <c r="CW19">
        <f>CW18*IF(OR($C18=1,$G18=1),0,1)</f>
        <v/>
      </c>
      <c r="CX19">
        <f>CX18*IF(OR($C18=2,$G18=2),0,1)</f>
        <v/>
      </c>
      <c r="CY19">
        <f>CY18*IF(OR($C18=3,$G18=3),0,1)</f>
        <v/>
      </c>
      <c r="CZ19">
        <f>CZ18*IF(OR($C18=4,$G18=4),0,1)</f>
        <v/>
      </c>
      <c r="DA19">
        <f>DA18*IF(OR($C18=5,$G18=5),0,1)</f>
        <v/>
      </c>
      <c r="DB19">
        <f>DB18*IF(OR($C18=6,$G18=6),0,1)</f>
        <v/>
      </c>
      <c r="DC19">
        <f>DC18*IF(OR($C18=7,$G18=7),0,1)</f>
        <v/>
      </c>
      <c r="DD19">
        <f>DD18*IF(OR($C18=8,$G18=8),0,1)</f>
        <v/>
      </c>
      <c r="DE19">
        <f>DE18*IF(OR($C18=9,$G18=9),0,1)</f>
        <v/>
      </c>
      <c r="DF19">
        <f>DF18*IF(OR($C18=10,$G18=10),0,1)</f>
        <v/>
      </c>
      <c r="DG19">
        <f>DG18*IF(OR($C18=11,$G18=11),0,1)</f>
        <v/>
      </c>
      <c r="DH19">
        <f>DH18*IF(OR($C18=12,$G18=12),0,1)</f>
        <v/>
      </c>
      <c r="DI19">
        <f>DI18*IF(OR($C18=13,$G18=13),0,1)</f>
        <v/>
      </c>
      <c r="DJ19">
        <f>DJ18*IF(OR($C18=14,$G18=14),0,1)</f>
        <v/>
      </c>
      <c r="DK19">
        <f>DK18*IF(OR($C18=15,$G18=15),0,1)</f>
        <v/>
      </c>
      <c r="DL19">
        <f>DL18*IF(OR($C18=16,$G18=16),0,1)</f>
        <v/>
      </c>
      <c r="DM19">
        <f>DM18*IF(OR($C18=17,$G18=17),0,1)</f>
        <v/>
      </c>
      <c r="DN19">
        <f>DN18*IF(OR($C18=18,$G18=18),0,1)</f>
        <v/>
      </c>
      <c r="DO19">
        <f>DO18*IF(OR($C18=19,$G18=19),0,1)</f>
        <v/>
      </c>
      <c r="DP19">
        <f>DP18*IF(OR($C18=20,$G18=20),0,1)</f>
        <v/>
      </c>
      <c r="DQ19">
        <f>DQ18*IF(OR($C18=21,$G18=21),0,1)</f>
        <v/>
      </c>
      <c r="DR19">
        <f>DR18*IF(OR($C18=22,$G18=22),0,1)</f>
        <v/>
      </c>
      <c r="DS19">
        <f>DS18*IF(OR($C18=23,$G18=23),0,1)</f>
        <v/>
      </c>
      <c r="DT19">
        <f>DT18*IF(OR($C18=24,$G18=24),0,1)</f>
        <v/>
      </c>
      <c r="DU19">
        <f>DU18*IF(OR($C18=25,$G18=25),0,1)</f>
        <v/>
      </c>
      <c r="DV19">
        <f>DV18*IF(OR($C18=26,$G18=26),0,1)</f>
        <v/>
      </c>
      <c r="DW19">
        <f>DW18*IF(OR($C18=27,$G18=27),0,1)</f>
        <v/>
      </c>
      <c r="DX19">
        <f>DX18*IF(OR($C18=28,$G18=28),0,1)</f>
        <v/>
      </c>
      <c r="DY19">
        <f>DY18*IF(OR($C18=29,$G18=29),0,1)</f>
        <v/>
      </c>
      <c r="DZ19">
        <f>DZ18*IF(OR($C18=30,$G18=30),0,1)</f>
        <v/>
      </c>
      <c r="EA19">
        <f>EA18*IF(OR($C18=31,$G18=31),0,1)</f>
        <v/>
      </c>
      <c r="EB19">
        <f>EB18*IF(OR($C18=32,$G18=32),0,1)</f>
        <v/>
      </c>
      <c r="EC19">
        <f>EC18*IF(OR($C18=33,$G18=33),0,1)</f>
        <v/>
      </c>
      <c r="ED19">
        <f>ED18*IF(OR($C18=34,$G18=34),0,1)</f>
        <v/>
      </c>
      <c r="EE19">
        <f>EE18*IF(OR($C18=35,$G18=35),0,1)</f>
        <v/>
      </c>
      <c r="EF19">
        <f>EF18*IF(OR($C18=36,$G18=36),0,1)</f>
        <v/>
      </c>
      <c r="EG19">
        <f>EG18*IF(OR($C18=37,$G18=37),0,1)</f>
        <v/>
      </c>
      <c r="EH19">
        <f>EH18*IF(OR($C18=38,$G18=38),0,1)</f>
        <v/>
      </c>
      <c r="EI19">
        <f>EI18*IF(OR($C18=39,$G18=39),0,1)</f>
        <v/>
      </c>
      <c r="EJ19">
        <f>EJ18*IF(OR($C18=40,$G18=40),0,1)</f>
        <v/>
      </c>
      <c r="EK19">
        <f>EK18*IF(OR($C18=41,$G18=41),0,1)</f>
        <v/>
      </c>
      <c r="EL19">
        <f>EL18*IF(OR($C18=42,$G18=42),0,1)</f>
        <v/>
      </c>
      <c r="EM19">
        <f>EM18*IF(OR($C18=43,$G18=43),0,1)</f>
        <v/>
      </c>
      <c r="EN19">
        <f>EN18*IF(OR($C18=44,$G18=44),0,1)</f>
        <v/>
      </c>
      <c r="EO19">
        <f>EO18*IF(OR($C18=45,$G18=45),0,1)</f>
        <v/>
      </c>
      <c r="EP19">
        <f>EP18*IF(OR($C18=46,$G18=46),0,1)</f>
        <v/>
      </c>
      <c r="EQ19">
        <f>EQ18*IF(OR($C18=47,$G18=47),0,1)</f>
        <v/>
      </c>
      <c r="ER19">
        <f>ER18*IF(OR($C18=48,$G18=48),0,1)</f>
        <v/>
      </c>
      <c r="ES19">
        <f>ES18*IF(OR($C18=49,$G18=49),0,1)</f>
        <v/>
      </c>
      <c r="ET19">
        <f>ET18*IF(OR($C18=50,$G18=50),0,1)</f>
        <v/>
      </c>
      <c r="EU19">
        <f>EU18*IF(OR($C18=51,$G18=51),0,1)</f>
        <v/>
      </c>
      <c r="EV19">
        <f>EV18*IF(OR($C18=52,$G18=52),0,1)</f>
        <v/>
      </c>
      <c r="EW19">
        <f>EW18*IF(OR($C18=53,$G18=53),0,1)</f>
        <v/>
      </c>
      <c r="EX19">
        <f>EX18*IF(OR($C18=54,$G18=54),0,1)</f>
        <v/>
      </c>
      <c r="EY19">
        <f>EY18*IF(OR($C18=55,$G18=55),0,1)</f>
        <v/>
      </c>
      <c r="EZ19">
        <f>EZ18*IF(OR($C18=56,$G18=56),0,1)</f>
        <v/>
      </c>
      <c r="FA19">
        <f>FA18*IF(OR($C18=57,$G18=57),0,1)</f>
        <v/>
      </c>
      <c r="FB19">
        <f>FB18*IF(OR($C18=58,$G18=58),0,1)</f>
        <v/>
      </c>
      <c r="FC19">
        <f>FC18*IF(OR($C18=59,$G18=59),0,1)</f>
        <v/>
      </c>
      <c r="FD19">
        <f>FD18*IF(OR($C18=60,$G18=60),0,1)</f>
        <v/>
      </c>
      <c r="FE19">
        <f>FE18*IF(OR($C18=61,$G18=61),0,1)</f>
        <v/>
      </c>
      <c r="FF19">
        <f>FF18*IF(OR($C18=62,$G18=62),0,1)</f>
        <v/>
      </c>
      <c r="FG19">
        <f>FG18*IF(OR($C18=63,$G18=63),0,1)</f>
        <v/>
      </c>
      <c r="FH19">
        <f>FH18*IF(OR($C18=64,$G18=64),0,1)</f>
        <v/>
      </c>
      <c r="FI19">
        <f>FI18*IF(OR($C18=65,$G18=65),0,1)</f>
        <v/>
      </c>
      <c r="FJ19">
        <f>FJ18*IF(OR($C18=66,$G18=66),0,1)</f>
        <v/>
      </c>
      <c r="FK19">
        <f>FK18*IF(OR($C18=67,$G18=67),0,1)</f>
        <v/>
      </c>
      <c r="FL19">
        <f>FL18*IF(OR($C18=68,$G18=68),0,1)</f>
        <v/>
      </c>
      <c r="FM19">
        <f>FM18*IF(OR($C18=69,$G18=69),0,1)</f>
        <v/>
      </c>
      <c r="FN19">
        <f>FN18*IF(OR($C18=70,$G18=70),0,1)</f>
        <v/>
      </c>
      <c r="FO19">
        <f>FO18*IF(OR($C18=71,$G18=71),0,1)</f>
        <v/>
      </c>
      <c r="FP19">
        <f>FP18*IF(OR($C18=72,$G18=72),0,1)</f>
        <v/>
      </c>
      <c r="FQ19">
        <f>FQ18*IF(OR($C18=73,$G18=73),0,1)</f>
        <v/>
      </c>
      <c r="FR19">
        <f>FR18*IF(OR($C18=74,$G18=74),0,1)</f>
        <v/>
      </c>
      <c r="FS19">
        <f>FS18*IF(OR($C18=75,$G18=75),0,1)</f>
        <v/>
      </c>
      <c r="FT19">
        <f>FT18*IF(OR($C18=76,$G18=76),0,1)</f>
        <v/>
      </c>
      <c r="FU19">
        <f>FU18*IF(OR($C18=77,$G18=77),0,1)</f>
        <v/>
      </c>
      <c r="FV19">
        <f>FV18*IF(OR($C18=78,$G18=78),0,1)</f>
        <v/>
      </c>
      <c r="FW19">
        <f>FW18*IF(OR($C18=79,$G18=79),0,1)</f>
        <v/>
      </c>
      <c r="FX19">
        <f>FX18*IF(OR($C18=80,$G18=80),0,1)</f>
        <v/>
      </c>
      <c r="FY19">
        <f>FY18*IF(OR($C18=81,$G18=81),0,1)</f>
        <v/>
      </c>
      <c r="FZ19">
        <f>FZ18*IF(OR($C18=82,$G18=82),0,1)</f>
        <v/>
      </c>
      <c r="GA19">
        <f>GA18*IF(OR($C18=83,$G18=83),0,1)</f>
        <v/>
      </c>
      <c r="GB19">
        <f>GB18*IF(OR($C18=84,$G18=84),0,1)</f>
        <v/>
      </c>
      <c r="GC19">
        <f>GC18*IF(OR($C18=85,$G18=85),0,1)</f>
        <v/>
      </c>
      <c r="GD19">
        <f>GD18*IF(OR($C18=86,$G18=86),0,1)</f>
        <v/>
      </c>
      <c r="GE19">
        <f>GE18*IF(OR($C18=87,$G18=87),0,1)</f>
        <v/>
      </c>
      <c r="GF19">
        <f>GF18*IF(OR($C18=88,$G18=88),0,1)</f>
        <v/>
      </c>
      <c r="GG19">
        <f>GG18*IF(OR($C18=89,$G18=89),0,1)</f>
        <v/>
      </c>
      <c r="GH19">
        <f>GH18*IF(OR($C18=90,$G18=90),0,1)</f>
        <v/>
      </c>
      <c r="GI19">
        <f>GI18*IF(OR($C18=91,$G18=91),0,1)</f>
        <v/>
      </c>
      <c r="GJ19">
        <f>GJ18*IF(OR($C18=92,$G18=92),0,1)</f>
        <v/>
      </c>
      <c r="GK19">
        <f>GK18*IF(OR($C18=93,$G18=93),0,1)</f>
        <v/>
      </c>
      <c r="GL19">
        <f>GL18*IF(OR($C18=94,$G18=94),0,1)</f>
        <v/>
      </c>
      <c r="GM19">
        <f>GM18*IF(OR($C18=95,$G18=95),0,1)</f>
        <v/>
      </c>
      <c r="GN19">
        <f>GN18*IF(OR($C18=96,$G18=96),0,1)</f>
        <v/>
      </c>
      <c r="GO19">
        <f>GO18*IF(OR($C18=97,$G18=97),0,1)</f>
        <v/>
      </c>
      <c r="GP19">
        <f>GP18*IF(OR($C18=98,$G18=98),0,1)</f>
        <v/>
      </c>
      <c r="GQ19">
        <f>GQ18*IF(OR($C18=99,$G18=99),0,1)</f>
        <v/>
      </c>
      <c r="GR19">
        <f>GR18*IF(OR($C18=100,$G18=100),0,1)</f>
        <v/>
      </c>
      <c r="GS19">
        <f>GS18*IF(OR($C18=101,$G18=101),0,1)</f>
        <v/>
      </c>
      <c r="GT19">
        <f>GT18*IF(OR($C18=102,$G18=102),0,1)</f>
        <v/>
      </c>
      <c r="GU19">
        <f>GU18*IF(OR($C18=103,$G18=103),0,1)</f>
        <v/>
      </c>
      <c r="GV19">
        <f>GV18*IF(OR($C18=104,$G18=104),0,1)</f>
        <v/>
      </c>
      <c r="GW19">
        <f>GW18*IF(OR($C18=105,$G18=105),0,1)</f>
        <v/>
      </c>
      <c r="GX19">
        <f>GX18*IF(OR($C18=106,$G18=106),0,1)</f>
        <v/>
      </c>
      <c r="GY19">
        <f>GY18*IF(OR($C18=107,$G18=107),0,1)</f>
        <v/>
      </c>
      <c r="GZ19">
        <f>GZ18*IF(OR($C18=108,$G18=108),0,1)</f>
        <v/>
      </c>
      <c r="HA19">
        <f>HA18*IF(OR($C18=109,$G18=109),0,1)</f>
        <v/>
      </c>
      <c r="HB19">
        <f>HB18*IF(OR($C18=110,$G18=110),0,1)</f>
        <v/>
      </c>
      <c r="HC19">
        <f>HC18*IF(OR($C18=111,$G18=111),0,1)</f>
        <v/>
      </c>
      <c r="HD19">
        <f>HD18*IF(OR($C18=112,$G18=112),0,1)</f>
        <v/>
      </c>
      <c r="HE19">
        <f>HE18*IF(OR($C18=113,$G18=113),0,1)</f>
        <v/>
      </c>
      <c r="HF19">
        <f>HF18*IF(OR($C18=114,$G18=114),0,1)</f>
        <v/>
      </c>
      <c r="HG19">
        <f>HG18*IF(OR($C18=115,$G18=115),0,1)</f>
        <v/>
      </c>
      <c r="HH19">
        <f>HH18*IF(OR($C18=116,$G18=116),0,1)</f>
        <v/>
      </c>
      <c r="HI19">
        <f>HI18*IF(OR($C18=117,$G18=117),0,1)</f>
        <v/>
      </c>
      <c r="HJ19">
        <f>HJ18*IF(OR($C18=118,$G18=118),0,1)</f>
        <v/>
      </c>
      <c r="HK19">
        <f>HK18*IF(OR($C18=119,$G18=119),0,1)</f>
        <v/>
      </c>
      <c r="HL19">
        <f>HL18*IF(OR($C18=120,$G18=120),0,1)</f>
        <v/>
      </c>
      <c r="HM19">
        <f>HM18*IF(OR($C18=121,$G18=121),0,1)</f>
        <v/>
      </c>
      <c r="HN19">
        <f>HN18*IF(OR($C18=122,$G18=122),0,1)</f>
        <v/>
      </c>
      <c r="HO19">
        <f>HO18*IF(OR($C18=123,$G18=123),0,1)</f>
        <v/>
      </c>
      <c r="HP19">
        <f>HP18*IF(OR($C18=124,$G18=124),0,1)</f>
        <v/>
      </c>
      <c r="HQ19">
        <f>HQ18*IF(OR($C18=125,$G18=125),0,1)</f>
        <v/>
      </c>
      <c r="HR19">
        <f>HR18*IF(OR($C18=126,$G18=126),0,1)</f>
        <v/>
      </c>
      <c r="HS19">
        <f>HS18*IF(OR($C18=127,$G18=127),0,1)</f>
        <v/>
      </c>
      <c r="HT19">
        <f>HT18*IF(OR($C18=128,$G18=128),0,1)</f>
        <v/>
      </c>
      <c r="HU19">
        <f>HU18*IF(OR($C18=129,$G18=129),0,1)</f>
        <v/>
      </c>
      <c r="HV19">
        <f>HV18*IF(OR($C18=130,$G18=130),0,1)</f>
        <v/>
      </c>
      <c r="HW19">
        <f>HW18*IF(OR($C18=131,$G18=131),0,1)</f>
        <v/>
      </c>
      <c r="HX19">
        <f>HX18*IF(OR($C18=132,$G18=132),0,1)</f>
        <v/>
      </c>
      <c r="HY19">
        <f>HY18*IF(OR($C18=133,$G18=133),0,1)</f>
        <v/>
      </c>
      <c r="HZ19">
        <f>HZ18*IF(OR($C18=134,$G18=134),0,1)</f>
        <v/>
      </c>
      <c r="IA19">
        <f>IA18*IF(OR($C18=135,$G18=135),0,1)</f>
        <v/>
      </c>
      <c r="IB19">
        <f>IB18*IF(OR($C18=136,$G18=136),0,1)</f>
        <v/>
      </c>
      <c r="IC19">
        <f>IC18*IF(OR($C18=137,$G18=137),0,1)</f>
        <v/>
      </c>
      <c r="ID19">
        <f>ID18*IF(OR($C18=138,$G18=138),0,1)</f>
        <v/>
      </c>
      <c r="IE19">
        <f>IE18*IF(OR($C18=139,$G18=139),0,1)</f>
        <v/>
      </c>
      <c r="IF19">
        <f>IF18*IF(OR($C18=140,$G18=140),0,1)</f>
        <v/>
      </c>
      <c r="IG19">
        <f>IG18*IF(OR($C18=141,$G18=141),0,1)</f>
        <v/>
      </c>
      <c r="IH19">
        <f>IH18*IF(OR($C18=142,$G18=142),0,1)</f>
        <v/>
      </c>
      <c r="II19">
        <f>II18*IF(OR($C18=143,$G18=143),0,1)</f>
        <v/>
      </c>
      <c r="IJ19">
        <f>IJ18*IF(OR($C18=144,$G18=144),0,1)</f>
        <v/>
      </c>
      <c r="IK19">
        <f>IK18*IF(OR($C18=145,$G18=145),0,1)</f>
        <v/>
      </c>
      <c r="IL19">
        <f>IL18*IF(OR($C18=146,$G18=146),0,1)</f>
        <v/>
      </c>
      <c r="IM19">
        <f>IM18*IF(OR($C18=147,$G18=147),0,1)</f>
        <v/>
      </c>
      <c r="IN19">
        <f>IN18*IF(OR($C18=148,$G18=148),0,1)</f>
        <v/>
      </c>
      <c r="IO19">
        <f>IO18*IF(OR($C18=149,$G18=149),0,1)</f>
        <v/>
      </c>
      <c r="IP19">
        <f>IP18*IF(OR($C18=150,$G18=150),0,1)</f>
        <v/>
      </c>
      <c r="IQ19">
        <f>IQ18*IF(OR($C18=151,$G18=151),0,1)</f>
        <v/>
      </c>
      <c r="IR19">
        <f>IR18*IF(OR($C18=152,$G18=152),0,1)</f>
        <v/>
      </c>
      <c r="IS19">
        <f>IS18*IF(OR($C18=153,$G18=153),0,1)</f>
        <v/>
      </c>
      <c r="IT19">
        <f>IT18*IF(OR($C18=154,$G18=154),0,1)</f>
        <v/>
      </c>
      <c r="IU19">
        <f>IU18*IF(OR($C18=155,$G18=155),0,1)</f>
        <v/>
      </c>
      <c r="IV19">
        <f>IV18*IF(OR($C18=156,$G18=156),0,1)</f>
        <v/>
      </c>
      <c r="IW19">
        <f>IW18*IF(OR($C18=157,$G18=157),0,1)</f>
        <v/>
      </c>
      <c r="IX19">
        <f>IX18*IF(OR($C18=158,$G18=158),0,1)</f>
        <v/>
      </c>
      <c r="IY19">
        <f>IY18*IF(OR($C18=159,$G18=159),0,1)</f>
        <v/>
      </c>
      <c r="IZ19">
        <f>IZ18*IF(OR($C18=160,$G18=160),0,1)</f>
        <v/>
      </c>
      <c r="JA19">
        <f>JA18*IF(OR($C18=161,$G18=161),0,1)</f>
        <v/>
      </c>
      <c r="JB19">
        <f>JB18*IF(OR($C18=162,$G18=162),0,1)</f>
        <v/>
      </c>
      <c r="JC19">
        <f>JC18*IF(OR($C18=163,$G18=163),0,1)</f>
        <v/>
      </c>
      <c r="JD19">
        <f>JD18*IF(OR($C18=164,$G18=164),0,1)</f>
        <v/>
      </c>
      <c r="JE19">
        <f>JE18*IF(OR($C18=165,$G18=165),0,1)</f>
        <v/>
      </c>
      <c r="JF19">
        <f>JF18*IF(OR($C18=166,$G18=166),0,1)</f>
        <v/>
      </c>
      <c r="JG19">
        <f>JG18*IF(OR($C18=167,$G18=167),0,1)</f>
        <v/>
      </c>
      <c r="JH19">
        <f>JH18*IF(OR($C18=168,$G18=168),0,1)</f>
        <v/>
      </c>
      <c r="JI19">
        <f>JI18*IF(OR($C18=169,$G18=169),0,1)</f>
        <v/>
      </c>
      <c r="JJ19">
        <f>JJ18*IF(OR($C18=170,$G18=170),0,1)</f>
        <v/>
      </c>
      <c r="JK19">
        <f>JK18*IF(OR($C18=171,$G18=171),0,1)</f>
        <v/>
      </c>
      <c r="JL19">
        <f>JL18*IF(OR($C18=172,$G18=172),0,1)</f>
        <v/>
      </c>
      <c r="JM19">
        <f>JM18*IF(OR($C18=173,$G18=173),0,1)</f>
        <v/>
      </c>
      <c r="JN19">
        <f>JN18*IF(OR($C18=174,$G18=174),0,1)</f>
        <v/>
      </c>
      <c r="JO19">
        <f>JO18*IF(OR($C18=175,$G18=175),0,1)</f>
        <v/>
      </c>
      <c r="JP19">
        <f>JP18*IF(OR($C18=176,$G18=176),0,1)</f>
        <v/>
      </c>
      <c r="JQ19">
        <f>JQ18*IF(OR($C18=177,$G18=177),0,1)</f>
        <v/>
      </c>
      <c r="JR19">
        <f>JR18*IF(OR($C18=178,$G18=178),0,1)</f>
        <v/>
      </c>
      <c r="JS19">
        <f>JS18*IF(OR($C18=179,$G18=179),0,1)</f>
        <v/>
      </c>
      <c r="JT19">
        <f>JT18*IF(OR($C18=180,$G18=180),0,1)</f>
        <v/>
      </c>
      <c r="JU19">
        <f>JU18*IF(OR($C18=181,$G18=181),0,1)</f>
        <v/>
      </c>
      <c r="JV19">
        <f>JV18*IF(OR($C18=182,$G18=182),0,1)</f>
        <v/>
      </c>
      <c r="JW19">
        <f>JW18*IF(OR($C18=183,$G18=183),0,1)</f>
        <v/>
      </c>
      <c r="JX19">
        <f>JX18*IF(OR($C18=184,$G18=184),0,1)</f>
        <v/>
      </c>
      <c r="JY19">
        <f>JY18*IF(OR($C18=185,$G18=185),0,1)</f>
        <v/>
      </c>
      <c r="JZ19">
        <f>JZ18*IF(OR($C18=186,$G18=186),0,1)</f>
        <v/>
      </c>
      <c r="KA19">
        <f>KA18*IF(OR($C18=187,$G18=187),0,1)</f>
        <v/>
      </c>
      <c r="KB19">
        <f>KB18*IF(OR($C18=188,$G18=188),0,1)</f>
        <v/>
      </c>
      <c r="KC19">
        <f>KC18*IF(OR($C18=189,$G18=189),0,1)</f>
        <v/>
      </c>
      <c r="KD19">
        <f>KD18*IF(OR($C18=190,$G18=190),0,1)</f>
        <v/>
      </c>
      <c r="KE19">
        <f>KE18*IF(OR($C18=191,$G18=191),0,1)</f>
        <v/>
      </c>
      <c r="KF19">
        <f>KF18*IF(OR($C18=192,$G18=192),0,1)</f>
        <v/>
      </c>
      <c r="KG19">
        <f>KG18*IF(OR($C18=193,$G18=193),0,1)</f>
        <v/>
      </c>
      <c r="KH19">
        <f>KH18*IF(OR($C18=194,$G18=194),0,1)</f>
        <v/>
      </c>
      <c r="KI19">
        <f>KI18*IF(OR($C18=195,$G18=195),0,1)</f>
        <v/>
      </c>
      <c r="KJ19">
        <f>KJ18*IF(OR($C18=196,$G18=196),0,1)</f>
        <v/>
      </c>
      <c r="KK19">
        <f>KK18*IF(OR($C18=197,$G18=197),0,1)</f>
        <v/>
      </c>
      <c r="KL19">
        <f>KL18*IF(OR($C18=198,$G18=198),0,1)</f>
        <v/>
      </c>
      <c r="KM19">
        <f>KM18*IF(OR($C18=199,$G18=199),0,1)</f>
        <v/>
      </c>
      <c r="KN19">
        <f>KN18*IF(OR($C18=200,$G18=200),0,1)</f>
        <v/>
      </c>
      <c r="KO19">
        <f>KO18*IF(OR($C18=201,$G18=201),0,1)</f>
        <v/>
      </c>
      <c r="KP19">
        <f>KP18*IF(OR($C18=202,$G18=202),0,1)</f>
        <v/>
      </c>
      <c r="KQ19">
        <f>KQ18*IF(OR($C18=203,$G18=203),0,1)</f>
        <v/>
      </c>
      <c r="KR19">
        <f>KR18*IF(OR($C18=204,$G18=204),0,1)</f>
        <v/>
      </c>
      <c r="KS19">
        <f>KS18*IF(OR($C18=205,$G18=205),0,1)</f>
        <v/>
      </c>
      <c r="KT19">
        <f>KT18*IF(OR($C18=206,$G18=206),0,1)</f>
        <v/>
      </c>
      <c r="KU19">
        <f>KU18*IF(OR($C18=207,$G18=207),0,1)</f>
        <v/>
      </c>
      <c r="KV19">
        <f>KV18*IF(OR($C18=208,$G18=208),0,1)</f>
        <v/>
      </c>
      <c r="KW19">
        <f>KW18*IF(OR($C18=209,$G18=209),0,1)</f>
        <v/>
      </c>
      <c r="KX19">
        <f>KX18*IF(OR($C18=210,$G18=210),0,1)</f>
        <v/>
      </c>
      <c r="KY19">
        <f>KY18*IF(OR($C18=211,$G18=211),0,1)</f>
        <v/>
      </c>
      <c r="KZ19">
        <f>KZ18*IF(OR($C18=212,$G18=212),0,1)</f>
        <v/>
      </c>
      <c r="LA19">
        <f>LA18*IF(OR($C18=213,$G18=213),0,1)</f>
        <v/>
      </c>
      <c r="LB19">
        <f>LB18*IF(OR($C18=214,$G18=214),0,1)</f>
        <v/>
      </c>
      <c r="LC19">
        <f>LC18*IF(OR($C18=215,$G18=215),0,1)</f>
        <v/>
      </c>
      <c r="LD19">
        <f>LD18*IF(OR($C18=216,$G18=216),0,1)</f>
        <v/>
      </c>
      <c r="LE19">
        <f>LE18*IF(OR($C18=217,$G18=217),0,1)</f>
        <v/>
      </c>
      <c r="LF19">
        <f>LF18*IF(OR($C18=218,$G18=218),0,1)</f>
        <v/>
      </c>
      <c r="LG19">
        <f>LG18*IF(OR($C18=219,$G18=219),0,1)</f>
        <v/>
      </c>
      <c r="LH19">
        <f>LH18*IF(OR($C18=220,$G18=220),0,1)</f>
        <v/>
      </c>
      <c r="LI19">
        <f>LI18*IF(OR($C18=221,$G18=221),0,1)</f>
        <v/>
      </c>
      <c r="LJ19">
        <f>LJ18*IF(OR($C18=222,$G18=222),0,1)</f>
        <v/>
      </c>
      <c r="LK19">
        <f>LK18*IF(OR($C18=223,$G18=223),0,1)</f>
        <v/>
      </c>
      <c r="LL19">
        <f>LL18*IF(OR($C18=224,$G18=224),0,1)</f>
        <v/>
      </c>
      <c r="LM19">
        <f>LM18*IF(OR($C18=225,$G18=225),0,1)</f>
        <v/>
      </c>
      <c r="LN19">
        <f>LN18*IF(OR($C18=226,$G18=226),0,1)</f>
        <v/>
      </c>
      <c r="LO19">
        <f>LO18*IF(OR($C18=227,$G18=227),0,1)</f>
        <v/>
      </c>
      <c r="LP19">
        <f>LP18*IF(OR($C18=228,$G18=228),0,1)</f>
        <v/>
      </c>
      <c r="LQ19">
        <f>LQ18*IF(OR($C18=229,$G18=229),0,1)</f>
        <v/>
      </c>
      <c r="LR19">
        <f>LR18*IF(OR($C18=230,$G18=230),0,1)</f>
        <v/>
      </c>
      <c r="LS19">
        <f>LS18*IF(OR($C18=231,$G18=231),0,1)</f>
        <v/>
      </c>
      <c r="LT19">
        <f>LT18*IF(OR($C18=232,$G18=232),0,1)</f>
        <v/>
      </c>
      <c r="LU19">
        <f>LU18*IF(OR($C18=233,$G18=233),0,1)</f>
        <v/>
      </c>
      <c r="LV19">
        <f>LV18*IF(OR($C18=234,$G18=234),0,1)</f>
        <v/>
      </c>
      <c r="LW19">
        <f>LW18*IF(OR($C18=235,$G18=235),0,1)</f>
        <v/>
      </c>
      <c r="LX19">
        <f>LX18*IF(OR($C18=236,$G18=236),0,1)</f>
        <v/>
      </c>
      <c r="LY19">
        <f>LY18*IF(OR($C18=237,$G18=237),0,1)</f>
        <v/>
      </c>
      <c r="LZ19">
        <f>LZ18*IF(OR($C18=238,$G18=238),0,1)</f>
        <v/>
      </c>
      <c r="MA19">
        <f>MA18*IF(OR($C18=239,$G18=239),0,1)</f>
        <v/>
      </c>
      <c r="MB19">
        <f>MB18*IF(OR($C18=240,$G18=240),0,1)</f>
        <v/>
      </c>
      <c r="MD19">
        <f>IF('計算A'!D$106=1,CX19,1)</f>
        <v/>
      </c>
      <c r="ME19">
        <f>IF('計算A'!E$106=1,CY19,1)</f>
        <v/>
      </c>
      <c r="MF19">
        <f>IF('計算A'!F$106=1,CZ19,1)</f>
        <v/>
      </c>
      <c r="MG19">
        <f>IF('計算A'!G$106=1,DA19,1)</f>
        <v/>
      </c>
      <c r="MH19">
        <f>IF('計算A'!H$106=1,DB19,1)</f>
        <v/>
      </c>
      <c r="MI19">
        <f>IF('計算A'!I$106=1,DC19,1)</f>
        <v/>
      </c>
      <c r="MJ19">
        <f>IF('計算A'!J$106=1,DD19,1)</f>
        <v/>
      </c>
      <c r="MK19">
        <f>IF('計算A'!K$106=1,DE19,1)</f>
        <v/>
      </c>
      <c r="ML19">
        <f>IF('計算A'!L$106=1,DF19,1)</f>
        <v/>
      </c>
      <c r="MM19">
        <f>IF('計算A'!M$106=1,DG19,1)</f>
        <v/>
      </c>
      <c r="MN19">
        <f>IF('計算A'!N$106=1,DH19,1)</f>
        <v/>
      </c>
      <c r="MO19">
        <f>IF('計算A'!O$106=1,DI19,1)</f>
        <v/>
      </c>
      <c r="MP19">
        <f>IF('計算A'!P$106=1,DJ19,1)</f>
        <v/>
      </c>
      <c r="MQ19">
        <f>IF('計算A'!Q$106=1,DK19,1)</f>
        <v/>
      </c>
      <c r="MR19">
        <f>IF('計算A'!R$106=1,DL19,1)</f>
        <v/>
      </c>
      <c r="MS19">
        <f>IF('計算A'!S$106=1,DM19,1)</f>
        <v/>
      </c>
      <c r="MT19">
        <f>IF('計算A'!T$106=1,DN19,1)</f>
        <v/>
      </c>
      <c r="MU19">
        <f>IF('計算A'!U$106=1,DO19,1)</f>
        <v/>
      </c>
      <c r="MV19">
        <f>IF('計算A'!V$106=1,DP19,1)</f>
        <v/>
      </c>
      <c r="MW19">
        <f>IF('計算A'!W$106=1,DQ19,1)</f>
        <v/>
      </c>
      <c r="MX19">
        <f>IF('計算A'!X$106=1,DR19,1)</f>
        <v/>
      </c>
      <c r="MY19">
        <f>IF('計算A'!Y$106=1,DS19,1)</f>
        <v/>
      </c>
      <c r="MZ19">
        <f>IF('計算A'!Z$106=1,DT19,1)</f>
        <v/>
      </c>
      <c r="NA19">
        <f>IF('計算A'!AA$106=1,DU19,1)</f>
        <v/>
      </c>
      <c r="NB19">
        <f>IF('計算A'!AB$106=1,DV19,1)</f>
        <v/>
      </c>
      <c r="NC19">
        <f>IF('計算A'!AC$106=1,DW19,1)</f>
        <v/>
      </c>
      <c r="ND19">
        <f>IF('計算A'!AD$106=1,DX19,1)</f>
        <v/>
      </c>
      <c r="NE19">
        <f>IF('計算A'!AE$106=1,DY19,1)</f>
        <v/>
      </c>
      <c r="NF19">
        <f>IF('計算A'!AF$106=1,DZ19,1)</f>
        <v/>
      </c>
      <c r="NG19">
        <f>IF('計算A'!AG$106=1,EA19,1)</f>
        <v/>
      </c>
      <c r="NH19">
        <f>IF('計算A'!AH$106=1,EB19,1)</f>
        <v/>
      </c>
      <c r="NI19">
        <f>IF('計算A'!AI$106=1,EC19,1)</f>
        <v/>
      </c>
      <c r="NJ19">
        <f>IF('計算A'!AJ$106=1,ED19,1)</f>
        <v/>
      </c>
      <c r="NK19">
        <f>IF('計算A'!AK$106=1,EE19,1)</f>
        <v/>
      </c>
      <c r="NL19">
        <f>IF('計算A'!AL$106=1,EF19,1)</f>
        <v/>
      </c>
      <c r="NM19">
        <f>IF('計算A'!AM$106=1,EG19,1)</f>
        <v/>
      </c>
      <c r="NN19">
        <f>IF('計算A'!AN$106=1,EH19,1)</f>
        <v/>
      </c>
      <c r="NO19">
        <f>IF('計算A'!AO$106=1,EI19,1)</f>
        <v/>
      </c>
      <c r="NP19">
        <f>IF('計算A'!AP$106=1,EJ19,1)</f>
        <v/>
      </c>
      <c r="NQ19">
        <f>IF('計算A'!AQ$106=1,EK19,1)</f>
        <v/>
      </c>
      <c r="NR19">
        <f>IF('計算A'!AR$106=1,EL19,1)</f>
        <v/>
      </c>
      <c r="NS19">
        <f>IF('計算A'!AS$106=1,EM19,1)</f>
        <v/>
      </c>
      <c r="NT19">
        <f>IF('計算A'!AT$106=1,EN19,1)</f>
        <v/>
      </c>
      <c r="NU19">
        <f>IF('計算A'!AU$106=1,EO19,1)</f>
        <v/>
      </c>
      <c r="NV19">
        <f>IF('計算A'!AV$106=1,EP19,1)</f>
        <v/>
      </c>
      <c r="NW19">
        <f>IF('計算A'!AW$106=1,EQ19,1)</f>
        <v/>
      </c>
      <c r="NX19">
        <f>IF('計算A'!AX$106=1,ER19,1)</f>
        <v/>
      </c>
      <c r="NY19">
        <f>IF('計算A'!AY$106=1,ES19,1)</f>
        <v/>
      </c>
      <c r="NZ19">
        <f>IF('計算A'!AZ$106=1,ET19,1)</f>
        <v/>
      </c>
      <c r="OA19">
        <f>IF('計算A'!BA$106=1,EU19,1)</f>
        <v/>
      </c>
      <c r="OB19">
        <f>IF('計算A'!BB$106=1,EV19,1)</f>
        <v/>
      </c>
      <c r="OC19">
        <f>IF('計算A'!BC$106=1,EW19,1)</f>
        <v/>
      </c>
      <c r="OD19">
        <f>IF('計算A'!BD$106=1,EX19,1)</f>
        <v/>
      </c>
      <c r="OE19">
        <f>IF('計算A'!BE$106=1,EY19,1)</f>
        <v/>
      </c>
      <c r="OF19">
        <f>IF('計算A'!BF$106=1,EZ19,1)</f>
        <v/>
      </c>
      <c r="OG19">
        <f>IF('計算A'!BG$106=1,FA19,1)</f>
        <v/>
      </c>
      <c r="OH19">
        <f>IF('計算A'!BH$106=1,FB19,1)</f>
        <v/>
      </c>
      <c r="OI19">
        <f>IF('計算A'!BI$106=1,FC19,1)</f>
        <v/>
      </c>
      <c r="OJ19">
        <f>IF('計算A'!BJ$106=1,FD19,1)</f>
        <v/>
      </c>
      <c r="OK19">
        <f>IF('計算A'!BK$106=1,FE19,1)</f>
        <v/>
      </c>
      <c r="OL19">
        <f>IF('計算A'!BL$106=1,FF19,1)</f>
        <v/>
      </c>
      <c r="OM19">
        <f>IF('計算A'!BM$106=1,FG19,1)</f>
        <v/>
      </c>
      <c r="ON19">
        <f>IF('計算A'!BN$106=1,FH19,1)</f>
        <v/>
      </c>
      <c r="OO19">
        <f>IF('計算A'!BO$106=1,FI19,1)</f>
        <v/>
      </c>
      <c r="OP19">
        <f>IF('計算A'!BP$106=1,FJ19,1)</f>
        <v/>
      </c>
      <c r="OQ19">
        <f>IF('計算A'!BQ$106=1,FK19,1)</f>
        <v/>
      </c>
      <c r="OR19">
        <f>IF('計算A'!BR$106=1,FL19,1)</f>
        <v/>
      </c>
      <c r="OS19">
        <f>IF('計算A'!BS$106=1,FM19,1)</f>
        <v/>
      </c>
      <c r="OT19">
        <f>IF('計算A'!BT$106=1,FN19,1)</f>
        <v/>
      </c>
      <c r="OU19">
        <f>IF('計算A'!BU$106=1,FO19,1)</f>
        <v/>
      </c>
      <c r="OV19">
        <f>IF('計算A'!BV$106=1,FP19,1)</f>
        <v/>
      </c>
      <c r="OW19">
        <f>IF('計算A'!BW$106=1,FQ19,1)</f>
        <v/>
      </c>
      <c r="OX19">
        <f>IF('計算A'!BX$106=1,FR19,1)</f>
        <v/>
      </c>
      <c r="OY19">
        <f>IF('計算A'!BY$106=1,FS19,1)</f>
        <v/>
      </c>
      <c r="OZ19">
        <f>IF('計算A'!BZ$106=1,FT19,1)</f>
        <v/>
      </c>
      <c r="PA19">
        <f>IF('計算A'!CA$106=1,FU19,1)</f>
        <v/>
      </c>
      <c r="PB19">
        <f>IF('計算A'!CB$106=1,FV19,1)</f>
        <v/>
      </c>
      <c r="PC19">
        <f>IF('計算A'!CC$106=1,FW19,1)</f>
        <v/>
      </c>
      <c r="PD19">
        <f>IF('計算A'!CD$106=1,FX19,1)</f>
        <v/>
      </c>
      <c r="PE19">
        <f>IF('計算A'!CE$106=1,FY19,1)</f>
        <v/>
      </c>
      <c r="PF19">
        <f>IF('計算A'!CF$106=1,FZ19,1)</f>
        <v/>
      </c>
      <c r="PG19">
        <f>IF('計算A'!CG$106=1,GA19,1)</f>
        <v/>
      </c>
      <c r="PH19">
        <f>IF('計算A'!CH$106=1,GB19,1)</f>
        <v/>
      </c>
      <c r="PI19">
        <f>IF('計算A'!CI$106=1,GC19,1)</f>
        <v/>
      </c>
      <c r="PJ19">
        <f>IF('計算A'!CJ$106=1,GD19,1)</f>
        <v/>
      </c>
      <c r="PK19">
        <f>IF('計算A'!CK$106=1,GE19,1)</f>
        <v/>
      </c>
      <c r="PL19">
        <f>IF('計算A'!CL$106=1,GF19,1)</f>
        <v/>
      </c>
      <c r="PM19">
        <f>IF('計算A'!CM$106=1,GG19,1)</f>
        <v/>
      </c>
      <c r="PN19">
        <f>IF('計算A'!CN$106=1,GH19,1)</f>
        <v/>
      </c>
      <c r="PO19">
        <f>IF('計算A'!CO$106=1,GI19,1)</f>
        <v/>
      </c>
      <c r="PP19">
        <f>IF('計算A'!CP$106=1,GJ19,1)</f>
        <v/>
      </c>
      <c r="PQ19">
        <f>IF('計算A'!CQ$106=1,GK19,1)</f>
        <v/>
      </c>
      <c r="PR19">
        <f>IF('計算A'!CR$106=1,GL19,1)</f>
        <v/>
      </c>
      <c r="PS19">
        <f>IF('計算A'!CS$106=1,GM19,1)</f>
        <v/>
      </c>
      <c r="PT19">
        <f>IF('計算A'!CT$106=1,GN19,1)</f>
        <v/>
      </c>
      <c r="PU19">
        <f>IF('計算A'!CU$106=1,GO19,1)</f>
        <v/>
      </c>
      <c r="PV19">
        <f>IF('計算A'!CV$106=1,GP19,1)</f>
        <v/>
      </c>
      <c r="PW19">
        <f>IF('計算A'!CW$106=1,GQ19,1)</f>
        <v/>
      </c>
      <c r="PX19">
        <f>IF('計算A'!CX$106=1,GR19,1)</f>
        <v/>
      </c>
      <c r="PY19">
        <f>IF('計算A'!CY$106=1,GS19,1)</f>
        <v/>
      </c>
      <c r="PZ19">
        <f>IF('計算A'!CZ$106=1,GT19,1)</f>
        <v/>
      </c>
      <c r="QA19">
        <f>IF('計算A'!DA$106=1,GU19,1)</f>
        <v/>
      </c>
      <c r="QB19">
        <f>IF('計算A'!DB$106=1,GV19,1)</f>
        <v/>
      </c>
      <c r="QC19">
        <f>IF('計算A'!DC$106=1,GW19,1)</f>
        <v/>
      </c>
      <c r="QD19">
        <f>IF('計算A'!DD$106=1,GX19,1)</f>
        <v/>
      </c>
      <c r="QE19">
        <f>IF('計算A'!DE$106=1,GY19,1)</f>
        <v/>
      </c>
      <c r="QF19">
        <f>IF('計算A'!DF$106=1,GZ19,1)</f>
        <v/>
      </c>
      <c r="QG19">
        <f>IF('計算A'!DG$106=1,HA19,1)</f>
        <v/>
      </c>
      <c r="QH19">
        <f>IF('計算A'!DH$106=1,HB19,1)</f>
        <v/>
      </c>
      <c r="QI19">
        <f>IF('計算A'!DI$106=1,HC19,1)</f>
        <v/>
      </c>
      <c r="QJ19">
        <f>IF('計算A'!DJ$106=1,HD19,1)</f>
        <v/>
      </c>
      <c r="QK19">
        <f>IF('計算A'!DK$106=1,HE19,1)</f>
        <v/>
      </c>
      <c r="QL19">
        <f>IF('計算A'!DL$106=1,HF19,1)</f>
        <v/>
      </c>
      <c r="QM19">
        <f>IF('計算A'!DM$106=1,HG19,1)</f>
        <v/>
      </c>
      <c r="QN19">
        <f>IF('計算A'!DN$106=1,HH19,1)</f>
        <v/>
      </c>
      <c r="QO19">
        <f>IF('計算A'!DO$106=1,HI19,1)</f>
        <v/>
      </c>
      <c r="QP19">
        <f>IF('計算A'!DP$106=1,HJ19,1)</f>
        <v/>
      </c>
      <c r="QQ19">
        <f>IF('計算A'!DQ$106=1,HK19,1)</f>
        <v/>
      </c>
      <c r="QR19">
        <f>IF('計算A'!DR$106=1,HL19,1)</f>
        <v/>
      </c>
      <c r="QS19">
        <f>IF('計算A'!DS$106=1,HM19,1)</f>
        <v/>
      </c>
      <c r="QT19">
        <f>IF('計算A'!DT$106=1,HN19,1)</f>
        <v/>
      </c>
      <c r="QU19">
        <f>IF('計算A'!DU$106=1,HO19,1)</f>
        <v/>
      </c>
      <c r="QV19">
        <f>IF('計算A'!DV$106=1,HP19,1)</f>
        <v/>
      </c>
      <c r="QW19">
        <f>IF('計算A'!DW$106=1,HQ19,1)</f>
        <v/>
      </c>
      <c r="QX19">
        <f>IF('計算A'!DX$106=1,HR19,1)</f>
        <v/>
      </c>
      <c r="QY19">
        <f>IF('計算A'!DY$106=1,HS19,1)</f>
        <v/>
      </c>
      <c r="QZ19">
        <f>IF('計算A'!DZ$106=1,HT19,1)</f>
        <v/>
      </c>
      <c r="RA19">
        <f>IF('計算A'!EA$106=1,HU19,1)</f>
        <v/>
      </c>
      <c r="RB19">
        <f>IF('計算A'!EB$106=1,HV19,1)</f>
        <v/>
      </c>
      <c r="RC19">
        <f>IF('計算A'!EC$106=1,HW19,1)</f>
        <v/>
      </c>
      <c r="RD19">
        <f>IF('計算A'!ED$106=1,HX19,1)</f>
        <v/>
      </c>
      <c r="RE19">
        <f>IF('計算A'!EE$106=1,HY19,1)</f>
        <v/>
      </c>
      <c r="RF19">
        <f>IF('計算A'!EF$106=1,HZ19,1)</f>
        <v/>
      </c>
      <c r="RG19">
        <f>IF('計算A'!EG$106=1,IA19,1)</f>
        <v/>
      </c>
      <c r="RH19">
        <f>IF('計算A'!EH$106=1,IB19,1)</f>
        <v/>
      </c>
      <c r="RI19">
        <f>IF('計算A'!EI$106=1,IC19,1)</f>
        <v/>
      </c>
      <c r="RJ19">
        <f>IF('計算A'!EJ$106=1,ID19,1)</f>
        <v/>
      </c>
      <c r="RK19">
        <f>IF('計算A'!EK$106=1,IE19,1)</f>
        <v/>
      </c>
      <c r="RL19">
        <f>IF('計算A'!EL$106=1,IF19,1)</f>
        <v/>
      </c>
      <c r="RM19">
        <f>IF('計算A'!EM$106=1,IG19,1)</f>
        <v/>
      </c>
      <c r="RN19">
        <f>IF('計算A'!EN$106=1,IH19,1)</f>
        <v/>
      </c>
      <c r="RO19">
        <f>IF('計算A'!EO$106=1,II19,1)</f>
        <v/>
      </c>
      <c r="RP19">
        <f>IF('計算A'!EP$106=1,IJ19,1)</f>
        <v/>
      </c>
      <c r="RQ19">
        <f>IF('計算A'!EQ$106=1,IK19,1)</f>
        <v/>
      </c>
      <c r="RR19">
        <f>IF('計算A'!ER$106=1,IL19,1)</f>
        <v/>
      </c>
      <c r="RS19">
        <f>IF('計算A'!ES$106=1,IM19,1)</f>
        <v/>
      </c>
      <c r="RT19">
        <f>IF('計算A'!ET$106=1,IN19,1)</f>
        <v/>
      </c>
      <c r="RU19">
        <f>IF('計算A'!EU$106=1,IO19,1)</f>
        <v/>
      </c>
      <c r="RV19">
        <f>IF('計算A'!EV$106=1,IP19,1)</f>
        <v/>
      </c>
      <c r="RW19">
        <f>IF('計算A'!EW$106=1,IQ19,1)</f>
        <v/>
      </c>
      <c r="RX19">
        <f>IF('計算A'!EX$106=1,IR19,1)</f>
        <v/>
      </c>
      <c r="RY19">
        <f>IF('計算A'!EY$106=1,IS19,1)</f>
        <v/>
      </c>
      <c r="RZ19">
        <f>IF('計算A'!EZ$106=1,IT19,1)</f>
        <v/>
      </c>
      <c r="SA19">
        <f>IF('計算A'!FA$106=1,IU19,1)</f>
        <v/>
      </c>
      <c r="SB19">
        <f>IF('計算A'!FB$106=1,IV19,1)</f>
        <v/>
      </c>
      <c r="SC19">
        <f>IF('計算A'!FC$106=1,IW19,1)</f>
        <v/>
      </c>
      <c r="SD19">
        <f>IF('計算A'!FD$106=1,IX19,1)</f>
        <v/>
      </c>
      <c r="SE19">
        <f>IF('計算A'!FE$106=1,IY19,1)</f>
        <v/>
      </c>
      <c r="SF19">
        <f>IF('計算A'!FF$106=1,IZ19,1)</f>
        <v/>
      </c>
      <c r="SG19">
        <f>IF('計算A'!FG$106=1,JA19,1)</f>
        <v/>
      </c>
      <c r="SH19">
        <f>IF('計算A'!FH$106=1,JB19,1)</f>
        <v/>
      </c>
      <c r="SI19">
        <f>IF('計算A'!FI$106=1,JC19,1)</f>
        <v/>
      </c>
      <c r="SJ19">
        <f>IF('計算A'!FJ$106=1,JD19,1)</f>
        <v/>
      </c>
      <c r="SK19">
        <f>IF('計算A'!FK$106=1,JE19,1)</f>
        <v/>
      </c>
      <c r="SL19">
        <f>IF('計算A'!FL$106=1,JF19,1)</f>
        <v/>
      </c>
      <c r="SM19">
        <f>IF('計算A'!FM$106=1,JG19,1)</f>
        <v/>
      </c>
      <c r="SN19">
        <f>IF('計算A'!FN$106=1,JH19,1)</f>
        <v/>
      </c>
      <c r="SO19">
        <f>IF('計算A'!FO$106=1,JI19,1)</f>
        <v/>
      </c>
      <c r="SP19">
        <f>IF('計算A'!FP$106=1,JJ19,1)</f>
        <v/>
      </c>
      <c r="SQ19">
        <f>IF('計算A'!FQ$106=1,JK19,1)</f>
        <v/>
      </c>
      <c r="SR19">
        <f>IF('計算A'!FR$106=1,JL19,1)</f>
        <v/>
      </c>
      <c r="SS19">
        <f>IF('計算A'!FS$106=1,JM19,1)</f>
        <v/>
      </c>
      <c r="ST19">
        <f>IF('計算A'!FT$106=1,JN19,1)</f>
        <v/>
      </c>
      <c r="SU19">
        <f>IF('計算A'!FU$106=1,JO19,1)</f>
        <v/>
      </c>
      <c r="SV19">
        <f>IF('計算A'!FV$106=1,JP19,1)</f>
        <v/>
      </c>
      <c r="SW19">
        <f>IF('計算A'!FW$106=1,JQ19,1)</f>
        <v/>
      </c>
      <c r="SX19">
        <f>IF('計算A'!FX$106=1,JR19,1)</f>
        <v/>
      </c>
      <c r="SY19">
        <f>IF('計算A'!FY$106=1,JS19,1)</f>
        <v/>
      </c>
      <c r="SZ19">
        <f>IF('計算A'!FZ$106=1,JT19,1)</f>
        <v/>
      </c>
      <c r="TA19">
        <f>IF('計算A'!GA$106=1,JU19,1)</f>
        <v/>
      </c>
      <c r="TB19">
        <f>IF('計算A'!GB$106=1,JV19,1)</f>
        <v/>
      </c>
      <c r="TC19">
        <f>IF('計算A'!GC$106=1,JW19,1)</f>
        <v/>
      </c>
      <c r="TD19">
        <f>IF('計算A'!GD$106=1,JX19,1)</f>
        <v/>
      </c>
      <c r="TE19">
        <f>IF('計算A'!GE$106=1,JY19,1)</f>
        <v/>
      </c>
      <c r="TF19">
        <f>IF('計算A'!GF$106=1,JZ19,1)</f>
        <v/>
      </c>
      <c r="TG19">
        <f>IF('計算A'!GG$106=1,KA19,1)</f>
        <v/>
      </c>
      <c r="TH19">
        <f>IF('計算A'!GH$106=1,KB19,1)</f>
        <v/>
      </c>
      <c r="TI19">
        <f>IF('計算A'!GI$106=1,KC19,1)</f>
        <v/>
      </c>
      <c r="TJ19">
        <f>IF('計算A'!GJ$106=1,KD19,1)</f>
        <v/>
      </c>
      <c r="TK19">
        <f>IF('計算A'!GK$106=1,KE19,1)</f>
        <v/>
      </c>
      <c r="TL19">
        <f>IF('計算A'!GL$106=1,KF19,1)</f>
        <v/>
      </c>
      <c r="TM19">
        <f>IF('計算A'!GM$106=1,KG19,1)</f>
        <v/>
      </c>
      <c r="TN19">
        <f>IF('計算A'!GN$106=1,KH19,1)</f>
        <v/>
      </c>
      <c r="TO19">
        <f>IF('計算A'!GO$106=1,KI19,1)</f>
        <v/>
      </c>
      <c r="TP19">
        <f>IF('計算A'!GP$106=1,KJ19,1)</f>
        <v/>
      </c>
      <c r="TQ19">
        <f>IF('計算A'!GQ$106=1,KK19,1)</f>
        <v/>
      </c>
      <c r="TR19">
        <f>IF('計算A'!GR$106=1,KL19,1)</f>
        <v/>
      </c>
      <c r="TS19">
        <f>IF('計算A'!GS$106=1,KM19,1)</f>
        <v/>
      </c>
      <c r="TT19">
        <f>IF('計算A'!GT$106=1,KN19,1)</f>
        <v/>
      </c>
      <c r="TU19">
        <f>IF('計算A'!GU$106=1,KO19,1)</f>
        <v/>
      </c>
      <c r="TV19">
        <f>IF('計算A'!GV$106=1,KP19,1)</f>
        <v/>
      </c>
      <c r="TW19">
        <f>IF('計算A'!GW$106=1,KQ19,1)</f>
        <v/>
      </c>
      <c r="TX19">
        <f>IF('計算A'!GX$106=1,KR19,1)</f>
        <v/>
      </c>
      <c r="TY19">
        <f>IF('計算A'!GY$106=1,KS19,1)</f>
        <v/>
      </c>
      <c r="TZ19">
        <f>IF('計算A'!GZ$106=1,KT19,1)</f>
        <v/>
      </c>
      <c r="UA19">
        <f>IF('計算A'!HA$106=1,KU19,1)</f>
        <v/>
      </c>
      <c r="UB19">
        <f>IF('計算A'!HB$106=1,KV19,1)</f>
        <v/>
      </c>
      <c r="UC19">
        <f>IF('計算A'!HC$106=1,KW19,1)</f>
        <v/>
      </c>
      <c r="UD19">
        <f>IF('計算A'!HD$106=1,KX19,1)</f>
        <v/>
      </c>
      <c r="UE19">
        <f>IF('計算A'!HE$106=1,KY19,1)</f>
        <v/>
      </c>
      <c r="UF19">
        <f>IF('計算A'!HF$106=1,KZ19,1)</f>
        <v/>
      </c>
      <c r="UG19">
        <f>IF('計算A'!HG$106=1,LA19,1)</f>
        <v/>
      </c>
      <c r="UH19">
        <f>IF('計算A'!HH$106=1,LB19,1)</f>
        <v/>
      </c>
      <c r="UI19">
        <f>IF('計算A'!HI$106=1,LC19,1)</f>
        <v/>
      </c>
      <c r="UJ19">
        <f>IF('計算A'!HJ$106=1,LD19,1)</f>
        <v/>
      </c>
      <c r="UK19">
        <f>IF('計算A'!HK$106=1,LE19,1)</f>
        <v/>
      </c>
      <c r="UL19">
        <f>IF('計算A'!HL$106=1,LF19,1)</f>
        <v/>
      </c>
      <c r="UM19">
        <f>IF('計算A'!HM$106=1,LG19,1)</f>
        <v/>
      </c>
      <c r="UN19">
        <f>IF('計算A'!HN$106=1,LH19,1)</f>
        <v/>
      </c>
      <c r="UO19">
        <f>IF('計算A'!HO$106=1,LI19,1)</f>
        <v/>
      </c>
      <c r="UP19">
        <f>IF('計算A'!HP$106=1,LJ19,1)</f>
        <v/>
      </c>
      <c r="UQ19">
        <f>IF('計算A'!HQ$106=1,LK19,1)</f>
        <v/>
      </c>
      <c r="UR19">
        <f>IF('計算A'!HR$106=1,LL19,1)</f>
        <v/>
      </c>
      <c r="US19">
        <f>IF('計算A'!HS$106=1,LM19,1)</f>
        <v/>
      </c>
      <c r="UT19">
        <f>IF('計算A'!HT$106=1,LN19,1)</f>
        <v/>
      </c>
      <c r="UU19">
        <f>IF('計算A'!HU$106=1,LO19,1)</f>
        <v/>
      </c>
      <c r="UV19">
        <f>IF('計算A'!HV$106=1,LP19,1)</f>
        <v/>
      </c>
      <c r="UW19">
        <f>IF('計算A'!HW$106=1,LQ19,1)</f>
        <v/>
      </c>
      <c r="UX19">
        <f>IF('計算A'!HX$106=1,LR19,1)</f>
        <v/>
      </c>
      <c r="UY19">
        <f>IF('計算A'!HY$106=1,LS19,1)</f>
        <v/>
      </c>
      <c r="UZ19">
        <f>IF('計算A'!HZ$106=1,LT19,1)</f>
        <v/>
      </c>
      <c r="VA19">
        <f>IF('計算A'!IA$106=1,LU19,1)</f>
        <v/>
      </c>
      <c r="VB19">
        <f>IF('計算A'!IB$106=1,LV19,1)</f>
        <v/>
      </c>
      <c r="VC19">
        <f>IF('計算A'!IC$106=1,LW19,1)</f>
        <v/>
      </c>
      <c r="VD19">
        <f>IF('計算A'!ID$106=1,LX19,1)</f>
        <v/>
      </c>
      <c r="VE19">
        <f>IF('計算A'!IE$106=1,LY19,1)</f>
        <v/>
      </c>
      <c r="VF19">
        <f>IF('計算A'!IF$106=1,LZ19,1)</f>
        <v/>
      </c>
      <c r="VG19">
        <f>IF('計算A'!IG$106=1,MA19,1)</f>
        <v/>
      </c>
      <c r="VH19">
        <f>IF('計算A'!IH$106=1,MB19,1)</f>
        <v/>
      </c>
      <c r="VI19" t="n">
        <v>1</v>
      </c>
      <c r="VK19">
        <f>IF($B19=0,1000000,IF(INDEX('計算A'!$D$60:$II$104,$B19,1)*CW19=1,IF(AND($E19=2,MD19=0),1000000,INDEX('計算A'!D$110:D$114,$F19+1)+IF(AND($E19=1,MD19=0),1000,0)),1000000))</f>
        <v/>
      </c>
      <c r="VL19">
        <f>IF($B19=0,1000000,IF(INDEX('計算A'!$D$60:$II$104,$B19,2)*CX19=1,IF(AND($E19=2,ME19=0),1000000,INDEX('計算A'!E$110:E$114,$F19+1)+IF(AND($E19=1,ME19=0),1000,0)),1000000))</f>
        <v/>
      </c>
      <c r="VM19">
        <f>IF($B19=0,1000000,IF(INDEX('計算A'!$D$60:$II$104,$B19,3)*CY19=1,IF(AND($E19=2,MF19=0),1000000,INDEX('計算A'!F$110:F$114,$F19+1)+IF(AND($E19=1,MF19=0),1000,0)),1000000))</f>
        <v/>
      </c>
      <c r="VN19">
        <f>IF($B19=0,1000000,IF(INDEX('計算A'!$D$60:$II$104,$B19,4)*CZ19=1,IF(AND($E19=2,MG19=0),1000000,INDEX('計算A'!G$110:G$114,$F19+1)+IF(AND($E19=1,MG19=0),1000,0)),1000000))</f>
        <v/>
      </c>
      <c r="VO19">
        <f>IF($B19=0,1000000,IF(INDEX('計算A'!$D$60:$II$104,$B19,5)*DA19=1,IF(AND($E19=2,MH19=0),1000000,INDEX('計算A'!H$110:H$114,$F19+1)+IF(AND($E19=1,MH19=0),1000,0)),1000000))</f>
        <v/>
      </c>
      <c r="VP19">
        <f>IF($B19=0,1000000,IF(INDEX('計算A'!$D$60:$II$104,$B19,6)*DB19=1,IF(AND($E19=2,MI19=0),1000000,INDEX('計算A'!I$110:I$114,$F19+1)+IF(AND($E19=1,MI19=0),1000,0)),1000000))</f>
        <v/>
      </c>
      <c r="VQ19">
        <f>IF($B19=0,1000000,IF(INDEX('計算A'!$D$60:$II$104,$B19,7)*DC19=1,IF(AND($E19=2,MJ19=0),1000000,INDEX('計算A'!J$110:J$114,$F19+1)+IF(AND($E19=1,MJ19=0),1000,0)),1000000))</f>
        <v/>
      </c>
      <c r="VR19">
        <f>IF($B19=0,1000000,IF(INDEX('計算A'!$D$60:$II$104,$B19,8)*DD19=1,IF(AND($E19=2,MK19=0),1000000,INDEX('計算A'!K$110:K$114,$F19+1)+IF(AND($E19=1,MK19=0),1000,0)),1000000))</f>
        <v/>
      </c>
      <c r="VS19">
        <f>IF($B19=0,1000000,IF(INDEX('計算A'!$D$60:$II$104,$B19,9)*DE19=1,IF(AND($E19=2,ML19=0),1000000,INDEX('計算A'!L$110:L$114,$F19+1)+IF(AND($E19=1,ML19=0),1000,0)),1000000))</f>
        <v/>
      </c>
      <c r="VT19">
        <f>IF($B19=0,1000000,IF(INDEX('計算A'!$D$60:$II$104,$B19,10)*DF19=1,IF(AND($E19=2,MM19=0),1000000,INDEX('計算A'!M$110:M$114,$F19+1)+IF(AND($E19=1,MM19=0),1000,0)),1000000))</f>
        <v/>
      </c>
      <c r="VU19">
        <f>IF($B19=0,1000000,IF(INDEX('計算A'!$D$60:$II$104,$B19,11)*DG19=1,IF(AND($E19=2,MN19=0),1000000,INDEX('計算A'!N$110:N$114,$F19+1)+IF(AND($E19=1,MN19=0),1000,0)),1000000))</f>
        <v/>
      </c>
      <c r="VV19">
        <f>IF($B19=0,1000000,IF(INDEX('計算A'!$D$60:$II$104,$B19,12)*DH19=1,IF(AND($E19=2,MO19=0),1000000,INDEX('計算A'!O$110:O$114,$F19+1)+IF(AND($E19=1,MO19=0),1000,0)),1000000))</f>
        <v/>
      </c>
      <c r="VW19">
        <f>IF($B19=0,1000000,IF(INDEX('計算A'!$D$60:$II$104,$B19,13)*DI19=1,IF(AND($E19=2,MP19=0),1000000,INDEX('計算A'!P$110:P$114,$F19+1)+IF(AND($E19=1,MP19=0),1000,0)),1000000))</f>
        <v/>
      </c>
      <c r="VX19">
        <f>IF($B19=0,1000000,IF(INDEX('計算A'!$D$60:$II$104,$B19,14)*DJ19=1,IF(AND($E19=2,MQ19=0),1000000,INDEX('計算A'!Q$110:Q$114,$F19+1)+IF(AND($E19=1,MQ19=0),1000,0)),1000000))</f>
        <v/>
      </c>
      <c r="VY19">
        <f>IF($B19=0,1000000,IF(INDEX('計算A'!$D$60:$II$104,$B19,15)*DK19=1,IF(AND($E19=2,MR19=0),1000000,INDEX('計算A'!R$110:R$114,$F19+1)+IF(AND($E19=1,MR19=0),1000,0)),1000000))</f>
        <v/>
      </c>
      <c r="VZ19">
        <f>IF($B19=0,1000000,IF(INDEX('計算A'!$D$60:$II$104,$B19,16)*DL19=1,IF(AND($E19=2,MS19=0),1000000,INDEX('計算A'!S$110:S$114,$F19+1)+IF(AND($E19=1,MS19=0),1000,0)),1000000))</f>
        <v/>
      </c>
      <c r="WA19">
        <f>IF($B19=0,1000000,IF(INDEX('計算A'!$D$60:$II$104,$B19,17)*DM19=1,IF(AND($E19=2,MT19=0),1000000,INDEX('計算A'!T$110:T$114,$F19+1)+IF(AND($E19=1,MT19=0),1000,0)),1000000))</f>
        <v/>
      </c>
      <c r="WB19">
        <f>IF($B19=0,1000000,IF(INDEX('計算A'!$D$60:$II$104,$B19,18)*DN19=1,IF(AND($E19=2,MU19=0),1000000,INDEX('計算A'!U$110:U$114,$F19+1)+IF(AND($E19=1,MU19=0),1000,0)),1000000))</f>
        <v/>
      </c>
      <c r="WC19">
        <f>IF($B19=0,1000000,IF(INDEX('計算A'!$D$60:$II$104,$B19,19)*DO19=1,IF(AND($E19=2,MV19=0),1000000,INDEX('計算A'!V$110:V$114,$F19+1)+IF(AND($E19=1,MV19=0),1000,0)),1000000))</f>
        <v/>
      </c>
      <c r="WD19">
        <f>IF($B19=0,1000000,IF(INDEX('計算A'!$D$60:$II$104,$B19,20)*DP19=1,IF(AND($E19=2,MW19=0),1000000,INDEX('計算A'!W$110:W$114,$F19+1)+IF(AND($E19=1,MW19=0),1000,0)),1000000))</f>
        <v/>
      </c>
      <c r="WE19">
        <f>IF($B19=0,1000000,IF(INDEX('計算A'!$D$60:$II$104,$B19,21)*DQ19=1,IF(AND($E19=2,MX19=0),1000000,INDEX('計算A'!X$110:X$114,$F19+1)+IF(AND($E19=1,MX19=0),1000,0)),1000000))</f>
        <v/>
      </c>
      <c r="WF19">
        <f>IF($B19=0,1000000,IF(INDEX('計算A'!$D$60:$II$104,$B19,22)*DR19=1,IF(AND($E19=2,MY19=0),1000000,INDEX('計算A'!Y$110:Y$114,$F19+1)+IF(AND($E19=1,MY19=0),1000,0)),1000000))</f>
        <v/>
      </c>
      <c r="WG19">
        <f>IF($B19=0,1000000,IF(INDEX('計算A'!$D$60:$II$104,$B19,23)*DS19=1,IF(AND($E19=2,MZ19=0),1000000,INDEX('計算A'!Z$110:Z$114,$F19+1)+IF(AND($E19=1,MZ19=0),1000,0)),1000000))</f>
        <v/>
      </c>
      <c r="WH19">
        <f>IF($B19=0,1000000,IF(INDEX('計算A'!$D$60:$II$104,$B19,24)*DT19=1,IF(AND($E19=2,NA19=0),1000000,INDEX('計算A'!AA$110:AA$114,$F19+1)+IF(AND($E19=1,NA19=0),1000,0)),1000000))</f>
        <v/>
      </c>
      <c r="WI19">
        <f>IF($B19=0,1000000,IF(INDEX('計算A'!$D$60:$II$104,$B19,25)*DU19=1,IF(AND($E19=2,NB19=0),1000000,INDEX('計算A'!AB$110:AB$114,$F19+1)+IF(AND($E19=1,NB19=0),1000,0)),1000000))</f>
        <v/>
      </c>
      <c r="WJ19">
        <f>IF($B19=0,1000000,IF(INDEX('計算A'!$D$60:$II$104,$B19,26)*DV19=1,IF(AND($E19=2,NC19=0),1000000,INDEX('計算A'!AC$110:AC$114,$F19+1)+IF(AND($E19=1,NC19=0),1000,0)),1000000))</f>
        <v/>
      </c>
      <c r="WK19">
        <f>IF($B19=0,1000000,IF(INDEX('計算A'!$D$60:$II$104,$B19,27)*DW19=1,IF(AND($E19=2,ND19=0),1000000,INDEX('計算A'!AD$110:AD$114,$F19+1)+IF(AND($E19=1,ND19=0),1000,0)),1000000))</f>
        <v/>
      </c>
      <c r="WL19">
        <f>IF($B19=0,1000000,IF(INDEX('計算A'!$D$60:$II$104,$B19,28)*DX19=1,IF(AND($E19=2,NE19=0),1000000,INDEX('計算A'!AE$110:AE$114,$F19+1)+IF(AND($E19=1,NE19=0),1000,0)),1000000))</f>
        <v/>
      </c>
      <c r="WM19">
        <f>IF($B19=0,1000000,IF(INDEX('計算A'!$D$60:$II$104,$B19,29)*DY19=1,IF(AND($E19=2,NF19=0),1000000,INDEX('計算A'!AF$110:AF$114,$F19+1)+IF(AND($E19=1,NF19=0),1000,0)),1000000))</f>
        <v/>
      </c>
      <c r="WN19">
        <f>IF($B19=0,1000000,IF(INDEX('計算A'!$D$60:$II$104,$B19,30)*DZ19=1,IF(AND($E19=2,NG19=0),1000000,INDEX('計算A'!AG$110:AG$114,$F19+1)+IF(AND($E19=1,NG19=0),1000,0)),1000000))</f>
        <v/>
      </c>
      <c r="WO19">
        <f>IF($B19=0,1000000,IF(INDEX('計算A'!$D$60:$II$104,$B19,31)*EA19=1,IF(AND($E19=2,NH19=0),1000000,INDEX('計算A'!AH$110:AH$114,$F19+1)+IF(AND($E19=1,NH19=0),1000,0)),1000000))</f>
        <v/>
      </c>
      <c r="WP19">
        <f>IF($B19=0,1000000,IF(INDEX('計算A'!$D$60:$II$104,$B19,32)*EB19=1,IF(AND($E19=2,NI19=0),1000000,INDEX('計算A'!AI$110:AI$114,$F19+1)+IF(AND($E19=1,NI19=0),1000,0)),1000000))</f>
        <v/>
      </c>
      <c r="WQ19">
        <f>IF($B19=0,1000000,IF(INDEX('計算A'!$D$60:$II$104,$B19,33)*EC19=1,IF(AND($E19=2,NJ19=0),1000000,INDEX('計算A'!AJ$110:AJ$114,$F19+1)+IF(AND($E19=1,NJ19=0),1000,0)),1000000))</f>
        <v/>
      </c>
      <c r="WR19">
        <f>IF($B19=0,1000000,IF(INDEX('計算A'!$D$60:$II$104,$B19,34)*ED19=1,IF(AND($E19=2,NK19=0),1000000,INDEX('計算A'!AK$110:AK$114,$F19+1)+IF(AND($E19=1,NK19=0),1000,0)),1000000))</f>
        <v/>
      </c>
      <c r="WS19">
        <f>IF($B19=0,1000000,IF(INDEX('計算A'!$D$60:$II$104,$B19,35)*EE19=1,IF(AND($E19=2,NL19=0),1000000,INDEX('計算A'!AL$110:AL$114,$F19+1)+IF(AND($E19=1,NL19=0),1000,0)),1000000))</f>
        <v/>
      </c>
      <c r="WT19">
        <f>IF($B19=0,1000000,IF(INDEX('計算A'!$D$60:$II$104,$B19,36)*EF19=1,IF(AND($E19=2,NM19=0),1000000,INDEX('計算A'!AM$110:AM$114,$F19+1)+IF(AND($E19=1,NM19=0),1000,0)),1000000))</f>
        <v/>
      </c>
      <c r="WU19">
        <f>IF($B19=0,1000000,IF(INDEX('計算A'!$D$60:$II$104,$B19,37)*EG19=1,IF(AND($E19=2,NN19=0),1000000,INDEX('計算A'!AN$110:AN$114,$F19+1)+IF(AND($E19=1,NN19=0),1000,0)),1000000))</f>
        <v/>
      </c>
      <c r="WV19">
        <f>IF($B19=0,1000000,IF(INDEX('計算A'!$D$60:$II$104,$B19,38)*EH19=1,IF(AND($E19=2,NO19=0),1000000,INDEX('計算A'!AO$110:AO$114,$F19+1)+IF(AND($E19=1,NO19=0),1000,0)),1000000))</f>
        <v/>
      </c>
      <c r="WW19">
        <f>IF($B19=0,1000000,IF(INDEX('計算A'!$D$60:$II$104,$B19,39)*EI19=1,IF(AND($E19=2,NP19=0),1000000,INDEX('計算A'!AP$110:AP$114,$F19+1)+IF(AND($E19=1,NP19=0),1000,0)),1000000))</f>
        <v/>
      </c>
      <c r="WX19">
        <f>IF($B19=0,1000000,IF(INDEX('計算A'!$D$60:$II$104,$B19,40)*EJ19=1,IF(AND($E19=2,NQ19=0),1000000,INDEX('計算A'!AQ$110:AQ$114,$F19+1)+IF(AND($E19=1,NQ19=0),1000,0)),1000000))</f>
        <v/>
      </c>
      <c r="WY19">
        <f>IF($B19=0,1000000,IF(INDEX('計算A'!$D$60:$II$104,$B19,41)*EK19=1,IF(AND($E19=2,NR19=0),1000000,INDEX('計算A'!AR$110:AR$114,$F19+1)+IF(AND($E19=1,NR19=0),1000,0)),1000000))</f>
        <v/>
      </c>
      <c r="WZ19">
        <f>IF($B19=0,1000000,IF(INDEX('計算A'!$D$60:$II$104,$B19,42)*EL19=1,IF(AND($E19=2,NS19=0),1000000,INDEX('計算A'!AS$110:AS$114,$F19+1)+IF(AND($E19=1,NS19=0),1000,0)),1000000))</f>
        <v/>
      </c>
      <c r="XA19">
        <f>IF($B19=0,1000000,IF(INDEX('計算A'!$D$60:$II$104,$B19,43)*EM19=1,IF(AND($E19=2,NT19=0),1000000,INDEX('計算A'!AT$110:AT$114,$F19+1)+IF(AND($E19=1,NT19=0),1000,0)),1000000))</f>
        <v/>
      </c>
      <c r="XB19">
        <f>IF($B19=0,1000000,IF(INDEX('計算A'!$D$60:$II$104,$B19,44)*EN19=1,IF(AND($E19=2,NU19=0),1000000,INDEX('計算A'!AU$110:AU$114,$F19+1)+IF(AND($E19=1,NU19=0),1000,0)),1000000))</f>
        <v/>
      </c>
      <c r="XC19">
        <f>IF($B19=0,1000000,IF(INDEX('計算A'!$D$60:$II$104,$B19,45)*EO19=1,IF(AND($E19=2,NV19=0),1000000,INDEX('計算A'!AV$110:AV$114,$F19+1)+IF(AND($E19=1,NV19=0),1000,0)),1000000))</f>
        <v/>
      </c>
      <c r="XD19">
        <f>IF($B19=0,1000000,IF(INDEX('計算A'!$D$60:$II$104,$B19,46)*EP19=1,IF(AND($E19=2,NW19=0),1000000,INDEX('計算A'!AW$110:AW$114,$F19+1)+IF(AND($E19=1,NW19=0),1000,0)),1000000))</f>
        <v/>
      </c>
      <c r="XE19">
        <f>IF($B19=0,1000000,IF(INDEX('計算A'!$D$60:$II$104,$B19,47)*EQ19=1,IF(AND($E19=2,NX19=0),1000000,INDEX('計算A'!AX$110:AX$114,$F19+1)+IF(AND($E19=1,NX19=0),1000,0)),1000000))</f>
        <v/>
      </c>
      <c r="XF19">
        <f>IF($B19=0,1000000,IF(INDEX('計算A'!$D$60:$II$104,$B19,48)*ER19=1,IF(AND($E19=2,NY19=0),1000000,INDEX('計算A'!AY$110:AY$114,$F19+1)+IF(AND($E19=1,NY19=0),1000,0)),1000000))</f>
        <v/>
      </c>
      <c r="XG19">
        <f>IF($B19=0,1000000,IF(INDEX('計算A'!$D$60:$II$104,$B19,49)*ES19=1,IF(AND($E19=2,NZ19=0),1000000,INDEX('計算A'!AZ$110:AZ$114,$F19+1)+IF(AND($E19=1,NZ19=0),1000,0)),1000000))</f>
        <v/>
      </c>
      <c r="XH19">
        <f>IF($B19=0,1000000,IF(INDEX('計算A'!$D$60:$II$104,$B19,50)*ET19=1,IF(AND($E19=2,OA19=0),1000000,INDEX('計算A'!BA$110:BA$114,$F19+1)+IF(AND($E19=1,OA19=0),1000,0)),1000000))</f>
        <v/>
      </c>
      <c r="XI19">
        <f>IF($B19=0,1000000,IF(INDEX('計算A'!$D$60:$II$104,$B19,51)*EU19=1,IF(AND($E19=2,OB19=0),1000000,INDEX('計算A'!BB$110:BB$114,$F19+1)+IF(AND($E19=1,OB19=0),1000,0)),1000000))</f>
        <v/>
      </c>
      <c r="XJ19">
        <f>IF($B19=0,1000000,IF(INDEX('計算A'!$D$60:$II$104,$B19,52)*EV19=1,IF(AND($E19=2,OC19=0),1000000,INDEX('計算A'!BC$110:BC$114,$F19+1)+IF(AND($E19=1,OC19=0),1000,0)),1000000))</f>
        <v/>
      </c>
      <c r="XK19">
        <f>IF($B19=0,1000000,IF(INDEX('計算A'!$D$60:$II$104,$B19,53)*EW19=1,IF(AND($E19=2,OD19=0),1000000,INDEX('計算A'!BD$110:BD$114,$F19+1)+IF(AND($E19=1,OD19=0),1000,0)),1000000))</f>
        <v/>
      </c>
      <c r="XL19">
        <f>IF($B19=0,1000000,IF(INDEX('計算A'!$D$60:$II$104,$B19,54)*EX19=1,IF(AND($E19=2,OE19=0),1000000,INDEX('計算A'!BE$110:BE$114,$F19+1)+IF(AND($E19=1,OE19=0),1000,0)),1000000))</f>
        <v/>
      </c>
      <c r="XM19">
        <f>IF($B19=0,1000000,IF(INDEX('計算A'!$D$60:$II$104,$B19,55)*EY19=1,IF(AND($E19=2,OF19=0),1000000,INDEX('計算A'!BF$110:BF$114,$F19+1)+IF(AND($E19=1,OF19=0),1000,0)),1000000))</f>
        <v/>
      </c>
      <c r="XN19">
        <f>IF($B19=0,1000000,IF(INDEX('計算A'!$D$60:$II$104,$B19,56)*EZ19=1,IF(AND($E19=2,OG19=0),1000000,INDEX('計算A'!BG$110:BG$114,$F19+1)+IF(AND($E19=1,OG19=0),1000,0)),1000000))</f>
        <v/>
      </c>
      <c r="XO19">
        <f>IF($B19=0,1000000,IF(INDEX('計算A'!$D$60:$II$104,$B19,57)*FA19=1,IF(AND($E19=2,OH19=0),1000000,INDEX('計算A'!BH$110:BH$114,$F19+1)+IF(AND($E19=1,OH19=0),1000,0)),1000000))</f>
        <v/>
      </c>
      <c r="XP19">
        <f>IF($B19=0,1000000,IF(INDEX('計算A'!$D$60:$II$104,$B19,58)*FB19=1,IF(AND($E19=2,OI19=0),1000000,INDEX('計算A'!BI$110:BI$114,$F19+1)+IF(AND($E19=1,OI19=0),1000,0)),1000000))</f>
        <v/>
      </c>
      <c r="XQ19">
        <f>IF($B19=0,1000000,IF(INDEX('計算A'!$D$60:$II$104,$B19,59)*FC19=1,IF(AND($E19=2,OJ19=0),1000000,INDEX('計算A'!BJ$110:BJ$114,$F19+1)+IF(AND($E19=1,OJ19=0),1000,0)),1000000))</f>
        <v/>
      </c>
      <c r="XR19">
        <f>IF($B19=0,1000000,IF(INDEX('計算A'!$D$60:$II$104,$B19,60)*FD19=1,IF(AND($E19=2,OK19=0),1000000,INDEX('計算A'!BK$110:BK$114,$F19+1)+IF(AND($E19=1,OK19=0),1000,0)),1000000))</f>
        <v/>
      </c>
      <c r="XS19">
        <f>IF($B19=0,1000000,IF(INDEX('計算A'!$D$60:$II$104,$B19,61)*FE19=1,IF(AND($E19=2,OL19=0),1000000,INDEX('計算A'!BL$110:BL$114,$F19+1)+IF(AND($E19=1,OL19=0),1000,0)),1000000))</f>
        <v/>
      </c>
      <c r="XT19">
        <f>IF($B19=0,1000000,IF(INDEX('計算A'!$D$60:$II$104,$B19,62)*FF19=1,IF(AND($E19=2,OM19=0),1000000,INDEX('計算A'!BM$110:BM$114,$F19+1)+IF(AND($E19=1,OM19=0),1000,0)),1000000))</f>
        <v/>
      </c>
      <c r="XU19">
        <f>IF($B19=0,1000000,IF(INDEX('計算A'!$D$60:$II$104,$B19,63)*FG19=1,IF(AND($E19=2,ON19=0),1000000,INDEX('計算A'!BN$110:BN$114,$F19+1)+IF(AND($E19=1,ON19=0),1000,0)),1000000))</f>
        <v/>
      </c>
      <c r="XV19">
        <f>IF($B19=0,1000000,IF(INDEX('計算A'!$D$60:$II$104,$B19,64)*FH19=1,IF(AND($E19=2,OO19=0),1000000,INDEX('計算A'!BO$110:BO$114,$F19+1)+IF(AND($E19=1,OO19=0),1000,0)),1000000))</f>
        <v/>
      </c>
      <c r="XW19">
        <f>IF($B19=0,1000000,IF(INDEX('計算A'!$D$60:$II$104,$B19,65)*FI19=1,IF(AND($E19=2,OP19=0),1000000,INDEX('計算A'!BP$110:BP$114,$F19+1)+IF(AND($E19=1,OP19=0),1000,0)),1000000))</f>
        <v/>
      </c>
      <c r="XX19">
        <f>IF($B19=0,1000000,IF(INDEX('計算A'!$D$60:$II$104,$B19,66)*FJ19=1,IF(AND($E19=2,OQ19=0),1000000,INDEX('計算A'!BQ$110:BQ$114,$F19+1)+IF(AND($E19=1,OQ19=0),1000,0)),1000000))</f>
        <v/>
      </c>
      <c r="XY19">
        <f>IF($B19=0,1000000,IF(INDEX('計算A'!$D$60:$II$104,$B19,67)*FK19=1,IF(AND($E19=2,OR19=0),1000000,INDEX('計算A'!BR$110:BR$114,$F19+1)+IF(AND($E19=1,OR19=0),1000,0)),1000000))</f>
        <v/>
      </c>
      <c r="XZ19">
        <f>IF($B19=0,1000000,IF(INDEX('計算A'!$D$60:$II$104,$B19,68)*FL19=1,IF(AND($E19=2,OS19=0),1000000,INDEX('計算A'!BS$110:BS$114,$F19+1)+IF(AND($E19=1,OS19=0),1000,0)),1000000))</f>
        <v/>
      </c>
      <c r="YA19">
        <f>IF($B19=0,1000000,IF(INDEX('計算A'!$D$60:$II$104,$B19,69)*FM19=1,IF(AND($E19=2,OT19=0),1000000,INDEX('計算A'!BT$110:BT$114,$F19+1)+IF(AND($E19=1,OT19=0),1000,0)),1000000))</f>
        <v/>
      </c>
      <c r="YB19">
        <f>IF($B19=0,1000000,IF(INDEX('計算A'!$D$60:$II$104,$B19,70)*FN19=1,IF(AND($E19=2,OU19=0),1000000,INDEX('計算A'!BU$110:BU$114,$F19+1)+IF(AND($E19=1,OU19=0),1000,0)),1000000))</f>
        <v/>
      </c>
      <c r="YC19">
        <f>IF($B19=0,1000000,IF(INDEX('計算A'!$D$60:$II$104,$B19,71)*FO19=1,IF(AND($E19=2,OV19=0),1000000,INDEX('計算A'!BV$110:BV$114,$F19+1)+IF(AND($E19=1,OV19=0),1000,0)),1000000))</f>
        <v/>
      </c>
      <c r="YD19">
        <f>IF($B19=0,1000000,IF(INDEX('計算A'!$D$60:$II$104,$B19,72)*FP19=1,IF(AND($E19=2,OW19=0),1000000,INDEX('計算A'!BW$110:BW$114,$F19+1)+IF(AND($E19=1,OW19=0),1000,0)),1000000))</f>
        <v/>
      </c>
      <c r="YE19">
        <f>IF($B19=0,1000000,IF(INDEX('計算A'!$D$60:$II$104,$B19,73)*FQ19=1,IF(AND($E19=2,OX19=0),1000000,INDEX('計算A'!BX$110:BX$114,$F19+1)+IF(AND($E19=1,OX19=0),1000,0)),1000000))</f>
        <v/>
      </c>
      <c r="YF19">
        <f>IF($B19=0,1000000,IF(INDEX('計算A'!$D$60:$II$104,$B19,74)*FR19=1,IF(AND($E19=2,OY19=0),1000000,INDEX('計算A'!BY$110:BY$114,$F19+1)+IF(AND($E19=1,OY19=0),1000,0)),1000000))</f>
        <v/>
      </c>
      <c r="YG19">
        <f>IF($B19=0,1000000,IF(INDEX('計算A'!$D$60:$II$104,$B19,75)*FS19=1,IF(AND($E19=2,OZ19=0),1000000,INDEX('計算A'!BZ$110:BZ$114,$F19+1)+IF(AND($E19=1,OZ19=0),1000,0)),1000000))</f>
        <v/>
      </c>
      <c r="YH19">
        <f>IF($B19=0,1000000,IF(INDEX('計算A'!$D$60:$II$104,$B19,76)*FT19=1,IF(AND($E19=2,PA19=0),1000000,INDEX('計算A'!CA$110:CA$114,$F19+1)+IF(AND($E19=1,PA19=0),1000,0)),1000000))</f>
        <v/>
      </c>
      <c r="YI19">
        <f>IF($B19=0,1000000,IF(INDEX('計算A'!$D$60:$II$104,$B19,77)*FU19=1,IF(AND($E19=2,PB19=0),1000000,INDEX('計算A'!CB$110:CB$114,$F19+1)+IF(AND($E19=1,PB19=0),1000,0)),1000000))</f>
        <v/>
      </c>
      <c r="YJ19">
        <f>IF($B19=0,1000000,IF(INDEX('計算A'!$D$60:$II$104,$B19,78)*FV19=1,IF(AND($E19=2,PC19=0),1000000,INDEX('計算A'!CC$110:CC$114,$F19+1)+IF(AND($E19=1,PC19=0),1000,0)),1000000))</f>
        <v/>
      </c>
      <c r="YK19">
        <f>IF($B19=0,1000000,IF(INDEX('計算A'!$D$60:$II$104,$B19,79)*FW19=1,IF(AND($E19=2,PD19=0),1000000,INDEX('計算A'!CD$110:CD$114,$F19+1)+IF(AND($E19=1,PD19=0),1000,0)),1000000))</f>
        <v/>
      </c>
      <c r="YL19">
        <f>IF($B19=0,1000000,IF(INDEX('計算A'!$D$60:$II$104,$B19,80)*FX19=1,IF(AND($E19=2,PE19=0),1000000,INDEX('計算A'!CE$110:CE$114,$F19+1)+IF(AND($E19=1,PE19=0),1000,0)),1000000))</f>
        <v/>
      </c>
      <c r="YM19">
        <f>IF($B19=0,1000000,IF(INDEX('計算A'!$D$60:$II$104,$B19,81)*FY19=1,IF(AND($E19=2,PF19=0),1000000,INDEX('計算A'!CF$110:CF$114,$F19+1)+IF(AND($E19=1,PF19=0),1000,0)),1000000))</f>
        <v/>
      </c>
      <c r="YN19">
        <f>IF($B19=0,1000000,IF(INDEX('計算A'!$D$60:$II$104,$B19,82)*FZ19=1,IF(AND($E19=2,PG19=0),1000000,INDEX('計算A'!CG$110:CG$114,$F19+1)+IF(AND($E19=1,PG19=0),1000,0)),1000000))</f>
        <v/>
      </c>
      <c r="YO19">
        <f>IF($B19=0,1000000,IF(INDEX('計算A'!$D$60:$II$104,$B19,83)*GA19=1,IF(AND($E19=2,PH19=0),1000000,INDEX('計算A'!CH$110:CH$114,$F19+1)+IF(AND($E19=1,PH19=0),1000,0)),1000000))</f>
        <v/>
      </c>
      <c r="YP19">
        <f>IF($B19=0,1000000,IF(INDEX('計算A'!$D$60:$II$104,$B19,84)*GB19=1,IF(AND($E19=2,PI19=0),1000000,INDEX('計算A'!CI$110:CI$114,$F19+1)+IF(AND($E19=1,PI19=0),1000,0)),1000000))</f>
        <v/>
      </c>
      <c r="YQ19">
        <f>IF($B19=0,1000000,IF(INDEX('計算A'!$D$60:$II$104,$B19,85)*GC19=1,IF(AND($E19=2,PJ19=0),1000000,INDEX('計算A'!CJ$110:CJ$114,$F19+1)+IF(AND($E19=1,PJ19=0),1000,0)),1000000))</f>
        <v/>
      </c>
      <c r="YR19">
        <f>IF($B19=0,1000000,IF(INDEX('計算A'!$D$60:$II$104,$B19,86)*GD19=1,IF(AND($E19=2,PK19=0),1000000,INDEX('計算A'!CK$110:CK$114,$F19+1)+IF(AND($E19=1,PK19=0),1000,0)),1000000))</f>
        <v/>
      </c>
      <c r="YS19">
        <f>IF($B19=0,1000000,IF(INDEX('計算A'!$D$60:$II$104,$B19,87)*GE19=1,IF(AND($E19=2,PL19=0),1000000,INDEX('計算A'!CL$110:CL$114,$F19+1)+IF(AND($E19=1,PL19=0),1000,0)),1000000))</f>
        <v/>
      </c>
      <c r="YT19">
        <f>IF($B19=0,1000000,IF(INDEX('計算A'!$D$60:$II$104,$B19,88)*GF19=1,IF(AND($E19=2,PM19=0),1000000,INDEX('計算A'!CM$110:CM$114,$F19+1)+IF(AND($E19=1,PM19=0),1000,0)),1000000))</f>
        <v/>
      </c>
      <c r="YU19">
        <f>IF($B19=0,1000000,IF(INDEX('計算A'!$D$60:$II$104,$B19,89)*GG19=1,IF(AND($E19=2,PN19=0),1000000,INDEX('計算A'!CN$110:CN$114,$F19+1)+IF(AND($E19=1,PN19=0),1000,0)),1000000))</f>
        <v/>
      </c>
      <c r="YV19">
        <f>IF($B19=0,1000000,IF(INDEX('計算A'!$D$60:$II$104,$B19,90)*GH19=1,IF(AND($E19=2,PO19=0),1000000,INDEX('計算A'!CO$110:CO$114,$F19+1)+IF(AND($E19=1,PO19=0),1000,0)),1000000))</f>
        <v/>
      </c>
      <c r="YW19">
        <f>IF($B19=0,1000000,IF(INDEX('計算A'!$D$60:$II$104,$B19,91)*GI19=1,IF(AND($E19=2,PP19=0),1000000,INDEX('計算A'!CP$110:CP$114,$F19+1)+IF(AND($E19=1,PP19=0),1000,0)),1000000))</f>
        <v/>
      </c>
      <c r="YX19">
        <f>IF($B19=0,1000000,IF(INDEX('計算A'!$D$60:$II$104,$B19,92)*GJ19=1,IF(AND($E19=2,PQ19=0),1000000,INDEX('計算A'!CQ$110:CQ$114,$F19+1)+IF(AND($E19=1,PQ19=0),1000,0)),1000000))</f>
        <v/>
      </c>
      <c r="YY19">
        <f>IF($B19=0,1000000,IF(INDEX('計算A'!$D$60:$II$104,$B19,93)*GK19=1,IF(AND($E19=2,PR19=0),1000000,INDEX('計算A'!CR$110:CR$114,$F19+1)+IF(AND($E19=1,PR19=0),1000,0)),1000000))</f>
        <v/>
      </c>
      <c r="YZ19">
        <f>IF($B19=0,1000000,IF(INDEX('計算A'!$D$60:$II$104,$B19,94)*GL19=1,IF(AND($E19=2,PS19=0),1000000,INDEX('計算A'!CS$110:CS$114,$F19+1)+IF(AND($E19=1,PS19=0),1000,0)),1000000))</f>
        <v/>
      </c>
      <c r="ZA19">
        <f>IF($B19=0,1000000,IF(INDEX('計算A'!$D$60:$II$104,$B19,95)*GM19=1,IF(AND($E19=2,PT19=0),1000000,INDEX('計算A'!CT$110:CT$114,$F19+1)+IF(AND($E19=1,PT19=0),1000,0)),1000000))</f>
        <v/>
      </c>
      <c r="ZB19">
        <f>IF($B19=0,1000000,IF(INDEX('計算A'!$D$60:$II$104,$B19,96)*GN19=1,IF(AND($E19=2,PU19=0),1000000,INDEX('計算A'!CU$110:CU$114,$F19+1)+IF(AND($E19=1,PU19=0),1000,0)),1000000))</f>
        <v/>
      </c>
      <c r="ZC19">
        <f>IF($B19=0,1000000,IF(INDEX('計算A'!$D$60:$II$104,$B19,97)*GO19=1,IF(AND($E19=2,PV19=0),1000000,INDEX('計算A'!CV$110:CV$114,$F19+1)+IF(AND($E19=1,PV19=0),1000,0)),1000000))</f>
        <v/>
      </c>
      <c r="ZD19">
        <f>IF($B19=0,1000000,IF(INDEX('計算A'!$D$60:$II$104,$B19,98)*GP19=1,IF(AND($E19=2,PW19=0),1000000,INDEX('計算A'!CW$110:CW$114,$F19+1)+IF(AND($E19=1,PW19=0),1000,0)),1000000))</f>
        <v/>
      </c>
      <c r="ZE19">
        <f>IF($B19=0,1000000,IF(INDEX('計算A'!$D$60:$II$104,$B19,99)*GQ19=1,IF(AND($E19=2,PX19=0),1000000,INDEX('計算A'!CX$110:CX$114,$F19+1)+IF(AND($E19=1,PX19=0),1000,0)),1000000))</f>
        <v/>
      </c>
      <c r="ZF19">
        <f>IF($B19=0,1000000,IF(INDEX('計算A'!$D$60:$II$104,$B19,100)*GR19=1,IF(AND($E19=2,PY19=0),1000000,INDEX('計算A'!CY$110:CY$114,$F19+1)+IF(AND($E19=1,PY19=0),1000,0)),1000000))</f>
        <v/>
      </c>
      <c r="ZG19">
        <f>IF($B19=0,1000000,IF(INDEX('計算A'!$D$60:$II$104,$B19,101)*GS19=1,IF(AND($E19=2,PZ19=0),1000000,INDEX('計算A'!CZ$110:CZ$114,$F19+1)+IF(AND($E19=1,PZ19=0),1000,0)),1000000))</f>
        <v/>
      </c>
      <c r="ZH19">
        <f>IF($B19=0,1000000,IF(INDEX('計算A'!$D$60:$II$104,$B19,102)*GT19=1,IF(AND($E19=2,QA19=0),1000000,INDEX('計算A'!DA$110:DA$114,$F19+1)+IF(AND($E19=1,QA19=0),1000,0)),1000000))</f>
        <v/>
      </c>
      <c r="ZI19">
        <f>IF($B19=0,1000000,IF(INDEX('計算A'!$D$60:$II$104,$B19,103)*GU19=1,IF(AND($E19=2,QB19=0),1000000,INDEX('計算A'!DB$110:DB$114,$F19+1)+IF(AND($E19=1,QB19=0),1000,0)),1000000))</f>
        <v/>
      </c>
      <c r="ZJ19">
        <f>IF($B19=0,1000000,IF(INDEX('計算A'!$D$60:$II$104,$B19,104)*GV19=1,IF(AND($E19=2,QC19=0),1000000,INDEX('計算A'!DC$110:DC$114,$F19+1)+IF(AND($E19=1,QC19=0),1000,0)),1000000))</f>
        <v/>
      </c>
      <c r="ZK19">
        <f>IF($B19=0,1000000,IF(INDEX('計算A'!$D$60:$II$104,$B19,105)*GW19=1,IF(AND($E19=2,QD19=0),1000000,INDEX('計算A'!DD$110:DD$114,$F19+1)+IF(AND($E19=1,QD19=0),1000,0)),1000000))</f>
        <v/>
      </c>
      <c r="ZL19">
        <f>IF($B19=0,1000000,IF(INDEX('計算A'!$D$60:$II$104,$B19,106)*GX19=1,IF(AND($E19=2,QE19=0),1000000,INDEX('計算A'!DE$110:DE$114,$F19+1)+IF(AND($E19=1,QE19=0),1000,0)),1000000))</f>
        <v/>
      </c>
      <c r="ZM19">
        <f>IF($B19=0,1000000,IF(INDEX('計算A'!$D$60:$II$104,$B19,107)*GY19=1,IF(AND($E19=2,QF19=0),1000000,INDEX('計算A'!DF$110:DF$114,$F19+1)+IF(AND($E19=1,QF19=0),1000,0)),1000000))</f>
        <v/>
      </c>
      <c r="ZN19">
        <f>IF($B19=0,1000000,IF(INDEX('計算A'!$D$60:$II$104,$B19,108)*GZ19=1,IF(AND($E19=2,QG19=0),1000000,INDEX('計算A'!DG$110:DG$114,$F19+1)+IF(AND($E19=1,QG19=0),1000,0)),1000000))</f>
        <v/>
      </c>
      <c r="ZO19">
        <f>IF($B19=0,1000000,IF(INDEX('計算A'!$D$60:$II$104,$B19,109)*HA19=1,IF(AND($E19=2,QH19=0),1000000,INDEX('計算A'!DH$110:DH$114,$F19+1)+IF(AND($E19=1,QH19=0),1000,0)),1000000))</f>
        <v/>
      </c>
      <c r="ZP19">
        <f>IF($B19=0,1000000,IF(INDEX('計算A'!$D$60:$II$104,$B19,110)*HB19=1,IF(AND($E19=2,QI19=0),1000000,INDEX('計算A'!DI$110:DI$114,$F19+1)+IF(AND($E19=1,QI19=0),1000,0)),1000000))</f>
        <v/>
      </c>
      <c r="ZQ19">
        <f>IF($B19=0,1000000,IF(INDEX('計算A'!$D$60:$II$104,$B19,111)*HC19=1,IF(AND($E19=2,QJ19=0),1000000,INDEX('計算A'!DJ$110:DJ$114,$F19+1)+IF(AND($E19=1,QJ19=0),1000,0)),1000000))</f>
        <v/>
      </c>
      <c r="ZR19">
        <f>IF($B19=0,1000000,IF(INDEX('計算A'!$D$60:$II$104,$B19,112)*HD19=1,IF(AND($E19=2,QK19=0),1000000,INDEX('計算A'!DK$110:DK$114,$F19+1)+IF(AND($E19=1,QK19=0),1000,0)),1000000))</f>
        <v/>
      </c>
      <c r="ZS19">
        <f>IF($B19=0,1000000,IF(INDEX('計算A'!$D$60:$II$104,$B19,113)*HE19=1,IF(AND($E19=2,QL19=0),1000000,INDEX('計算A'!DL$110:DL$114,$F19+1)+IF(AND($E19=1,QL19=0),1000,0)),1000000))</f>
        <v/>
      </c>
      <c r="ZT19">
        <f>IF($B19=0,1000000,IF(INDEX('計算A'!$D$60:$II$104,$B19,114)*HF19=1,IF(AND($E19=2,QM19=0),1000000,INDEX('計算A'!DM$110:DM$114,$F19+1)+IF(AND($E19=1,QM19=0),1000,0)),1000000))</f>
        <v/>
      </c>
      <c r="ZU19">
        <f>IF($B19=0,1000000,IF(INDEX('計算A'!$D$60:$II$104,$B19,115)*HG19=1,IF(AND($E19=2,QN19=0),1000000,INDEX('計算A'!DN$110:DN$114,$F19+1)+IF(AND($E19=1,QN19=0),1000,0)),1000000))</f>
        <v/>
      </c>
      <c r="ZV19">
        <f>IF($B19=0,1000000,IF(INDEX('計算A'!$D$60:$II$104,$B19,116)*HH19=1,IF(AND($E19=2,QO19=0),1000000,INDEX('計算A'!DO$110:DO$114,$F19+1)+IF(AND($E19=1,QO19=0),1000,0)),1000000))</f>
        <v/>
      </c>
      <c r="ZW19">
        <f>IF($B19=0,1000000,IF(INDEX('計算A'!$D$60:$II$104,$B19,117)*HI19=1,IF(AND($E19=2,QP19=0),1000000,INDEX('計算A'!DP$110:DP$114,$F19+1)+IF(AND($E19=1,QP19=0),1000,0)),1000000))</f>
        <v/>
      </c>
      <c r="ZX19">
        <f>IF($B19=0,1000000,IF(INDEX('計算A'!$D$60:$II$104,$B19,118)*HJ19=1,IF(AND($E19=2,QQ19=0),1000000,INDEX('計算A'!DQ$110:DQ$114,$F19+1)+IF(AND($E19=1,QQ19=0),1000,0)),1000000))</f>
        <v/>
      </c>
      <c r="ZY19">
        <f>IF($B19=0,1000000,IF(INDEX('計算A'!$D$60:$II$104,$B19,119)*HK19=1,IF(AND($E19=2,QR19=0),1000000,INDEX('計算A'!DR$110:DR$114,$F19+1)+IF(AND($E19=1,QR19=0),1000,0)),1000000))</f>
        <v/>
      </c>
      <c r="ZZ19">
        <f>IF($B19=0,1000000,IF(INDEX('計算A'!$D$60:$II$104,$B19,120)*HL19=1,IF(AND($E19=2,QS19=0),1000000,INDEX('計算A'!DS$110:DS$114,$F19+1)+IF(AND($E19=1,QS19=0),1000,0)),1000000))</f>
        <v/>
      </c>
      <c r="AAA19">
        <f>IF($B19=0,1000000,IF(INDEX('計算A'!$D$60:$II$104,$B19,121)*HM19=1,IF(AND($E19=2,QT19=0),1000000,INDEX('計算A'!DT$110:DT$114,$F19+1)+IF(AND($E19=1,QT19=0),1000,0)),1000000))</f>
        <v/>
      </c>
      <c r="AAB19">
        <f>IF($B19=0,1000000,IF(INDEX('計算A'!$D$60:$II$104,$B19,122)*HN19=1,IF(AND($E19=2,QU19=0),1000000,INDEX('計算A'!DU$110:DU$114,$F19+1)+IF(AND($E19=1,QU19=0),1000,0)),1000000))</f>
        <v/>
      </c>
      <c r="AAC19">
        <f>IF($B19=0,1000000,IF(INDEX('計算A'!$D$60:$II$104,$B19,123)*HO19=1,IF(AND($E19=2,QV19=0),1000000,INDEX('計算A'!DV$110:DV$114,$F19+1)+IF(AND($E19=1,QV19=0),1000,0)),1000000))</f>
        <v/>
      </c>
      <c r="AAD19">
        <f>IF($B19=0,1000000,IF(INDEX('計算A'!$D$60:$II$104,$B19,124)*HP19=1,IF(AND($E19=2,QW19=0),1000000,INDEX('計算A'!DW$110:DW$114,$F19+1)+IF(AND($E19=1,QW19=0),1000,0)),1000000))</f>
        <v/>
      </c>
      <c r="AAE19">
        <f>IF($B19=0,1000000,IF(INDEX('計算A'!$D$60:$II$104,$B19,125)*HQ19=1,IF(AND($E19=2,QX19=0),1000000,INDEX('計算A'!DX$110:DX$114,$F19+1)+IF(AND($E19=1,QX19=0),1000,0)),1000000))</f>
        <v/>
      </c>
      <c r="AAF19">
        <f>IF($B19=0,1000000,IF(INDEX('計算A'!$D$60:$II$104,$B19,126)*HR19=1,IF(AND($E19=2,QY19=0),1000000,INDEX('計算A'!DY$110:DY$114,$F19+1)+IF(AND($E19=1,QY19=0),1000,0)),1000000))</f>
        <v/>
      </c>
      <c r="AAG19">
        <f>IF($B19=0,1000000,IF(INDEX('計算A'!$D$60:$II$104,$B19,127)*HS19=1,IF(AND($E19=2,QZ19=0),1000000,INDEX('計算A'!DZ$110:DZ$114,$F19+1)+IF(AND($E19=1,QZ19=0),1000,0)),1000000))</f>
        <v/>
      </c>
      <c r="AAH19">
        <f>IF($B19=0,1000000,IF(INDEX('計算A'!$D$60:$II$104,$B19,128)*HT19=1,IF(AND($E19=2,RA19=0),1000000,INDEX('計算A'!EA$110:EA$114,$F19+1)+IF(AND($E19=1,RA19=0),1000,0)),1000000))</f>
        <v/>
      </c>
      <c r="AAI19">
        <f>IF($B19=0,1000000,IF(INDEX('計算A'!$D$60:$II$104,$B19,129)*HU19=1,IF(AND($E19=2,RB19=0),1000000,INDEX('計算A'!EB$110:EB$114,$F19+1)+IF(AND($E19=1,RB19=0),1000,0)),1000000))</f>
        <v/>
      </c>
      <c r="AAJ19">
        <f>IF($B19=0,1000000,IF(INDEX('計算A'!$D$60:$II$104,$B19,130)*HV19=1,IF(AND($E19=2,RC19=0),1000000,INDEX('計算A'!EC$110:EC$114,$F19+1)+IF(AND($E19=1,RC19=0),1000,0)),1000000))</f>
        <v/>
      </c>
      <c r="AAK19">
        <f>IF($B19=0,1000000,IF(INDEX('計算A'!$D$60:$II$104,$B19,131)*HW19=1,IF(AND($E19=2,RD19=0),1000000,INDEX('計算A'!ED$110:ED$114,$F19+1)+IF(AND($E19=1,RD19=0),1000,0)),1000000))</f>
        <v/>
      </c>
      <c r="AAL19">
        <f>IF($B19=0,1000000,IF(INDEX('計算A'!$D$60:$II$104,$B19,132)*HX19=1,IF(AND($E19=2,RE19=0),1000000,INDEX('計算A'!EE$110:EE$114,$F19+1)+IF(AND($E19=1,RE19=0),1000,0)),1000000))</f>
        <v/>
      </c>
      <c r="AAM19">
        <f>IF($B19=0,1000000,IF(INDEX('計算A'!$D$60:$II$104,$B19,133)*HY19=1,IF(AND($E19=2,RF19=0),1000000,INDEX('計算A'!EF$110:EF$114,$F19+1)+IF(AND($E19=1,RF19=0),1000,0)),1000000))</f>
        <v/>
      </c>
      <c r="AAN19">
        <f>IF($B19=0,1000000,IF(INDEX('計算A'!$D$60:$II$104,$B19,134)*HZ19=1,IF(AND($E19=2,RG19=0),1000000,INDEX('計算A'!EG$110:EG$114,$F19+1)+IF(AND($E19=1,RG19=0),1000,0)),1000000))</f>
        <v/>
      </c>
      <c r="AAO19">
        <f>IF($B19=0,1000000,IF(INDEX('計算A'!$D$60:$II$104,$B19,135)*IA19=1,IF(AND($E19=2,RH19=0),1000000,INDEX('計算A'!EH$110:EH$114,$F19+1)+IF(AND($E19=1,RH19=0),1000,0)),1000000))</f>
        <v/>
      </c>
      <c r="AAP19">
        <f>IF($B19=0,1000000,IF(INDEX('計算A'!$D$60:$II$104,$B19,136)*IB19=1,IF(AND($E19=2,RI19=0),1000000,INDEX('計算A'!EI$110:EI$114,$F19+1)+IF(AND($E19=1,RI19=0),1000,0)),1000000))</f>
        <v/>
      </c>
      <c r="AAQ19">
        <f>IF($B19=0,1000000,IF(INDEX('計算A'!$D$60:$II$104,$B19,137)*IC19=1,IF(AND($E19=2,RJ19=0),1000000,INDEX('計算A'!EJ$110:EJ$114,$F19+1)+IF(AND($E19=1,RJ19=0),1000,0)),1000000))</f>
        <v/>
      </c>
      <c r="AAR19">
        <f>IF($B19=0,1000000,IF(INDEX('計算A'!$D$60:$II$104,$B19,138)*ID19=1,IF(AND($E19=2,RK19=0),1000000,INDEX('計算A'!EK$110:EK$114,$F19+1)+IF(AND($E19=1,RK19=0),1000,0)),1000000))</f>
        <v/>
      </c>
      <c r="AAS19">
        <f>IF($B19=0,1000000,IF(INDEX('計算A'!$D$60:$II$104,$B19,139)*IE19=1,IF(AND($E19=2,RL19=0),1000000,INDEX('計算A'!EL$110:EL$114,$F19+1)+IF(AND($E19=1,RL19=0),1000,0)),1000000))</f>
        <v/>
      </c>
      <c r="AAT19">
        <f>IF($B19=0,1000000,IF(INDEX('計算A'!$D$60:$II$104,$B19,140)*IF19=1,IF(AND($E19=2,RM19=0),1000000,INDEX('計算A'!EM$110:EM$114,$F19+1)+IF(AND($E19=1,RM19=0),1000,0)),1000000))</f>
        <v/>
      </c>
      <c r="AAU19">
        <f>IF($B19=0,1000000,IF(INDEX('計算A'!$D$60:$II$104,$B19,141)*IG19=1,IF(AND($E19=2,RN19=0),1000000,INDEX('計算A'!EN$110:EN$114,$F19+1)+IF(AND($E19=1,RN19=0),1000,0)),1000000))</f>
        <v/>
      </c>
      <c r="AAV19">
        <f>IF($B19=0,1000000,IF(INDEX('計算A'!$D$60:$II$104,$B19,142)*IH19=1,IF(AND($E19=2,RO19=0),1000000,INDEX('計算A'!EO$110:EO$114,$F19+1)+IF(AND($E19=1,RO19=0),1000,0)),1000000))</f>
        <v/>
      </c>
      <c r="AAW19">
        <f>IF($B19=0,1000000,IF(INDEX('計算A'!$D$60:$II$104,$B19,143)*II19=1,IF(AND($E19=2,RP19=0),1000000,INDEX('計算A'!EP$110:EP$114,$F19+1)+IF(AND($E19=1,RP19=0),1000,0)),1000000))</f>
        <v/>
      </c>
      <c r="AAX19">
        <f>IF($B19=0,1000000,IF(INDEX('計算A'!$D$60:$II$104,$B19,144)*IJ19=1,IF(AND($E19=2,RQ19=0),1000000,INDEX('計算A'!EQ$110:EQ$114,$F19+1)+IF(AND($E19=1,RQ19=0),1000,0)),1000000))</f>
        <v/>
      </c>
      <c r="AAY19">
        <f>IF($B19=0,1000000,IF(INDEX('計算A'!$D$60:$II$104,$B19,145)*IK19=1,IF(AND($E19=2,RR19=0),1000000,INDEX('計算A'!ER$110:ER$114,$F19+1)+IF(AND($E19=1,RR19=0),1000,0)),1000000))</f>
        <v/>
      </c>
      <c r="AAZ19">
        <f>IF($B19=0,1000000,IF(INDEX('計算A'!$D$60:$II$104,$B19,146)*IL19=1,IF(AND($E19=2,RS19=0),1000000,INDEX('計算A'!ES$110:ES$114,$F19+1)+IF(AND($E19=1,RS19=0),1000,0)),1000000))</f>
        <v/>
      </c>
      <c r="ABA19">
        <f>IF($B19=0,1000000,IF(INDEX('計算A'!$D$60:$II$104,$B19,147)*IM19=1,IF(AND($E19=2,RT19=0),1000000,INDEX('計算A'!ET$110:ET$114,$F19+1)+IF(AND($E19=1,RT19=0),1000,0)),1000000))</f>
        <v/>
      </c>
      <c r="ABB19">
        <f>IF($B19=0,1000000,IF(INDEX('計算A'!$D$60:$II$104,$B19,148)*IN19=1,IF(AND($E19=2,RU19=0),1000000,INDEX('計算A'!EU$110:EU$114,$F19+1)+IF(AND($E19=1,RU19=0),1000,0)),1000000))</f>
        <v/>
      </c>
      <c r="ABC19">
        <f>IF($B19=0,1000000,IF(INDEX('計算A'!$D$60:$II$104,$B19,149)*IO19=1,IF(AND($E19=2,RV19=0),1000000,INDEX('計算A'!EV$110:EV$114,$F19+1)+IF(AND($E19=1,RV19=0),1000,0)),1000000))</f>
        <v/>
      </c>
      <c r="ABD19">
        <f>IF($B19=0,1000000,IF(INDEX('計算A'!$D$60:$II$104,$B19,150)*IP19=1,IF(AND($E19=2,RW19=0),1000000,INDEX('計算A'!EW$110:EW$114,$F19+1)+IF(AND($E19=1,RW19=0),1000,0)),1000000))</f>
        <v/>
      </c>
      <c r="ABE19">
        <f>IF($B19=0,1000000,IF(INDEX('計算A'!$D$60:$II$104,$B19,151)*IQ19=1,IF(AND($E19=2,RX19=0),1000000,INDEX('計算A'!EX$110:EX$114,$F19+1)+IF(AND($E19=1,RX19=0),1000,0)),1000000))</f>
        <v/>
      </c>
      <c r="ABF19">
        <f>IF($B19=0,1000000,IF(INDEX('計算A'!$D$60:$II$104,$B19,152)*IR19=1,IF(AND($E19=2,RY19=0),1000000,INDEX('計算A'!EY$110:EY$114,$F19+1)+IF(AND($E19=1,RY19=0),1000,0)),1000000))</f>
        <v/>
      </c>
      <c r="ABG19">
        <f>IF($B19=0,1000000,IF(INDEX('計算A'!$D$60:$II$104,$B19,153)*IS19=1,IF(AND($E19=2,RZ19=0),1000000,INDEX('計算A'!EZ$110:EZ$114,$F19+1)+IF(AND($E19=1,RZ19=0),1000,0)),1000000))</f>
        <v/>
      </c>
      <c r="ABH19">
        <f>IF($B19=0,1000000,IF(INDEX('計算A'!$D$60:$II$104,$B19,154)*IT19=1,IF(AND($E19=2,SA19=0),1000000,INDEX('計算A'!FA$110:FA$114,$F19+1)+IF(AND($E19=1,SA19=0),1000,0)),1000000))</f>
        <v/>
      </c>
      <c r="ABI19">
        <f>IF($B19=0,1000000,IF(INDEX('計算A'!$D$60:$II$104,$B19,155)*IU19=1,IF(AND($E19=2,SB19=0),1000000,INDEX('計算A'!FB$110:FB$114,$F19+1)+IF(AND($E19=1,SB19=0),1000,0)),1000000))</f>
        <v/>
      </c>
      <c r="ABJ19">
        <f>IF($B19=0,1000000,IF(INDEX('計算A'!$D$60:$II$104,$B19,156)*IV19=1,IF(AND($E19=2,SC19=0),1000000,INDEX('計算A'!FC$110:FC$114,$F19+1)+IF(AND($E19=1,SC19=0),1000,0)),1000000))</f>
        <v/>
      </c>
      <c r="ABK19">
        <f>IF($B19=0,1000000,IF(INDEX('計算A'!$D$60:$II$104,$B19,157)*IW19=1,IF(AND($E19=2,SD19=0),1000000,INDEX('計算A'!FD$110:FD$114,$F19+1)+IF(AND($E19=1,SD19=0),1000,0)),1000000))</f>
        <v/>
      </c>
      <c r="ABL19">
        <f>IF($B19=0,1000000,IF(INDEX('計算A'!$D$60:$II$104,$B19,158)*IX19=1,IF(AND($E19=2,SE19=0),1000000,INDEX('計算A'!FE$110:FE$114,$F19+1)+IF(AND($E19=1,SE19=0),1000,0)),1000000))</f>
        <v/>
      </c>
      <c r="ABM19">
        <f>IF($B19=0,1000000,IF(INDEX('計算A'!$D$60:$II$104,$B19,159)*IY19=1,IF(AND($E19=2,SF19=0),1000000,INDEX('計算A'!FF$110:FF$114,$F19+1)+IF(AND($E19=1,SF19=0),1000,0)),1000000))</f>
        <v/>
      </c>
      <c r="ABN19">
        <f>IF($B19=0,1000000,IF(INDEX('計算A'!$D$60:$II$104,$B19,160)*IZ19=1,IF(AND($E19=2,SG19=0),1000000,INDEX('計算A'!FG$110:FG$114,$F19+1)+IF(AND($E19=1,SG19=0),1000,0)),1000000))</f>
        <v/>
      </c>
      <c r="ABO19">
        <f>IF($B19=0,1000000,IF(INDEX('計算A'!$D$60:$II$104,$B19,161)*JA19=1,IF(AND($E19=2,SH19=0),1000000,INDEX('計算A'!FH$110:FH$114,$F19+1)+IF(AND($E19=1,SH19=0),1000,0)),1000000))</f>
        <v/>
      </c>
      <c r="ABP19">
        <f>IF($B19=0,1000000,IF(INDEX('計算A'!$D$60:$II$104,$B19,162)*JB19=1,IF(AND($E19=2,SI19=0),1000000,INDEX('計算A'!FI$110:FI$114,$F19+1)+IF(AND($E19=1,SI19=0),1000,0)),1000000))</f>
        <v/>
      </c>
      <c r="ABQ19">
        <f>IF($B19=0,1000000,IF(INDEX('計算A'!$D$60:$II$104,$B19,163)*JC19=1,IF(AND($E19=2,SJ19=0),1000000,INDEX('計算A'!FJ$110:FJ$114,$F19+1)+IF(AND($E19=1,SJ19=0),1000,0)),1000000))</f>
        <v/>
      </c>
      <c r="ABR19">
        <f>IF($B19=0,1000000,IF(INDEX('計算A'!$D$60:$II$104,$B19,164)*JD19=1,IF(AND($E19=2,SK19=0),1000000,INDEX('計算A'!FK$110:FK$114,$F19+1)+IF(AND($E19=1,SK19=0),1000,0)),1000000))</f>
        <v/>
      </c>
      <c r="ABS19">
        <f>IF($B19=0,1000000,IF(INDEX('計算A'!$D$60:$II$104,$B19,165)*JE19=1,IF(AND($E19=2,SL19=0),1000000,INDEX('計算A'!FL$110:FL$114,$F19+1)+IF(AND($E19=1,SL19=0),1000,0)),1000000))</f>
        <v/>
      </c>
      <c r="ABT19">
        <f>IF($B19=0,1000000,IF(INDEX('計算A'!$D$60:$II$104,$B19,166)*JF19=1,IF(AND($E19=2,SM19=0),1000000,INDEX('計算A'!FM$110:FM$114,$F19+1)+IF(AND($E19=1,SM19=0),1000,0)),1000000))</f>
        <v/>
      </c>
      <c r="ABU19">
        <f>IF($B19=0,1000000,IF(INDEX('計算A'!$D$60:$II$104,$B19,167)*JG19=1,IF(AND($E19=2,SN19=0),1000000,INDEX('計算A'!FN$110:FN$114,$F19+1)+IF(AND($E19=1,SN19=0),1000,0)),1000000))</f>
        <v/>
      </c>
      <c r="ABV19">
        <f>IF($B19=0,1000000,IF(INDEX('計算A'!$D$60:$II$104,$B19,168)*JH19=1,IF(AND($E19=2,SO19=0),1000000,INDEX('計算A'!FO$110:FO$114,$F19+1)+IF(AND($E19=1,SO19=0),1000,0)),1000000))</f>
        <v/>
      </c>
      <c r="ABW19">
        <f>IF($B19=0,1000000,IF(INDEX('計算A'!$D$60:$II$104,$B19,169)*JI19=1,IF(AND($E19=2,SP19=0),1000000,INDEX('計算A'!FP$110:FP$114,$F19+1)+IF(AND($E19=1,SP19=0),1000,0)),1000000))</f>
        <v/>
      </c>
      <c r="ABX19">
        <f>IF($B19=0,1000000,IF(INDEX('計算A'!$D$60:$II$104,$B19,170)*JJ19=1,IF(AND($E19=2,SQ19=0),1000000,INDEX('計算A'!FQ$110:FQ$114,$F19+1)+IF(AND($E19=1,SQ19=0),1000,0)),1000000))</f>
        <v/>
      </c>
      <c r="ABY19">
        <f>IF($B19=0,1000000,IF(INDEX('計算A'!$D$60:$II$104,$B19,171)*JK19=1,IF(AND($E19=2,SR19=0),1000000,INDEX('計算A'!FR$110:FR$114,$F19+1)+IF(AND($E19=1,SR19=0),1000,0)),1000000))</f>
        <v/>
      </c>
      <c r="ABZ19">
        <f>IF($B19=0,1000000,IF(INDEX('計算A'!$D$60:$II$104,$B19,172)*JL19=1,IF(AND($E19=2,SS19=0),1000000,INDEX('計算A'!FS$110:FS$114,$F19+1)+IF(AND($E19=1,SS19=0),1000,0)),1000000))</f>
        <v/>
      </c>
      <c r="ACA19">
        <f>IF($B19=0,1000000,IF(INDEX('計算A'!$D$60:$II$104,$B19,173)*JM19=1,IF(AND($E19=2,ST19=0),1000000,INDEX('計算A'!FT$110:FT$114,$F19+1)+IF(AND($E19=1,ST19=0),1000,0)),1000000))</f>
        <v/>
      </c>
      <c r="ACB19">
        <f>IF($B19=0,1000000,IF(INDEX('計算A'!$D$60:$II$104,$B19,174)*JN19=1,IF(AND($E19=2,SU19=0),1000000,INDEX('計算A'!FU$110:FU$114,$F19+1)+IF(AND($E19=1,SU19=0),1000,0)),1000000))</f>
        <v/>
      </c>
      <c r="ACC19">
        <f>IF($B19=0,1000000,IF(INDEX('計算A'!$D$60:$II$104,$B19,175)*JO19=1,IF(AND($E19=2,SV19=0),1000000,INDEX('計算A'!FV$110:FV$114,$F19+1)+IF(AND($E19=1,SV19=0),1000,0)),1000000))</f>
        <v/>
      </c>
      <c r="ACD19">
        <f>IF($B19=0,1000000,IF(INDEX('計算A'!$D$60:$II$104,$B19,176)*JP19=1,IF(AND($E19=2,SW19=0),1000000,INDEX('計算A'!FW$110:FW$114,$F19+1)+IF(AND($E19=1,SW19=0),1000,0)),1000000))</f>
        <v/>
      </c>
      <c r="ACE19">
        <f>IF($B19=0,1000000,IF(INDEX('計算A'!$D$60:$II$104,$B19,177)*JQ19=1,IF(AND($E19=2,SX19=0),1000000,INDEX('計算A'!FX$110:FX$114,$F19+1)+IF(AND($E19=1,SX19=0),1000,0)),1000000))</f>
        <v/>
      </c>
      <c r="ACF19">
        <f>IF($B19=0,1000000,IF(INDEX('計算A'!$D$60:$II$104,$B19,178)*JR19=1,IF(AND($E19=2,SY19=0),1000000,INDEX('計算A'!FY$110:FY$114,$F19+1)+IF(AND($E19=1,SY19=0),1000,0)),1000000))</f>
        <v/>
      </c>
      <c r="ACG19">
        <f>IF($B19=0,1000000,IF(INDEX('計算A'!$D$60:$II$104,$B19,179)*JS19=1,IF(AND($E19=2,SZ19=0),1000000,INDEX('計算A'!FZ$110:FZ$114,$F19+1)+IF(AND($E19=1,SZ19=0),1000,0)),1000000))</f>
        <v/>
      </c>
      <c r="ACH19">
        <f>IF($B19=0,1000000,IF(INDEX('計算A'!$D$60:$II$104,$B19,180)*JT19=1,IF(AND($E19=2,TA19=0),1000000,INDEX('計算A'!GA$110:GA$114,$F19+1)+IF(AND($E19=1,TA19=0),1000,0)),1000000))</f>
        <v/>
      </c>
      <c r="ACI19">
        <f>IF($B19=0,1000000,IF(INDEX('計算A'!$D$60:$II$104,$B19,181)*JU19=1,IF(AND($E19=2,TB19=0),1000000,INDEX('計算A'!GB$110:GB$114,$F19+1)+IF(AND($E19=1,TB19=0),1000,0)),1000000))</f>
        <v/>
      </c>
      <c r="ACJ19">
        <f>IF($B19=0,1000000,IF(INDEX('計算A'!$D$60:$II$104,$B19,182)*JV19=1,IF(AND($E19=2,TC19=0),1000000,INDEX('計算A'!GC$110:GC$114,$F19+1)+IF(AND($E19=1,TC19=0),1000,0)),1000000))</f>
        <v/>
      </c>
      <c r="ACK19">
        <f>IF($B19=0,1000000,IF(INDEX('計算A'!$D$60:$II$104,$B19,183)*JW19=1,IF(AND($E19=2,TD19=0),1000000,INDEX('計算A'!GD$110:GD$114,$F19+1)+IF(AND($E19=1,TD19=0),1000,0)),1000000))</f>
        <v/>
      </c>
      <c r="ACL19">
        <f>IF($B19=0,1000000,IF(INDEX('計算A'!$D$60:$II$104,$B19,184)*JX19=1,IF(AND($E19=2,TE19=0),1000000,INDEX('計算A'!GE$110:GE$114,$F19+1)+IF(AND($E19=1,TE19=0),1000,0)),1000000))</f>
        <v/>
      </c>
      <c r="ACM19">
        <f>IF($B19=0,1000000,IF(INDEX('計算A'!$D$60:$II$104,$B19,185)*JY19=1,IF(AND($E19=2,TF19=0),1000000,INDEX('計算A'!GF$110:GF$114,$F19+1)+IF(AND($E19=1,TF19=0),1000,0)),1000000))</f>
        <v/>
      </c>
      <c r="ACN19">
        <f>IF($B19=0,1000000,IF(INDEX('計算A'!$D$60:$II$104,$B19,186)*JZ19=1,IF(AND($E19=2,TG19=0),1000000,INDEX('計算A'!GG$110:GG$114,$F19+1)+IF(AND($E19=1,TG19=0),1000,0)),1000000))</f>
        <v/>
      </c>
      <c r="ACO19">
        <f>IF($B19=0,1000000,IF(INDEX('計算A'!$D$60:$II$104,$B19,187)*KA19=1,IF(AND($E19=2,TH19=0),1000000,INDEX('計算A'!GH$110:GH$114,$F19+1)+IF(AND($E19=1,TH19=0),1000,0)),1000000))</f>
        <v/>
      </c>
      <c r="ACP19">
        <f>IF($B19=0,1000000,IF(INDEX('計算A'!$D$60:$II$104,$B19,188)*KB19=1,IF(AND($E19=2,TI19=0),1000000,INDEX('計算A'!GI$110:GI$114,$F19+1)+IF(AND($E19=1,TI19=0),1000,0)),1000000))</f>
        <v/>
      </c>
      <c r="ACQ19">
        <f>IF($B19=0,1000000,IF(INDEX('計算A'!$D$60:$II$104,$B19,189)*KC19=1,IF(AND($E19=2,TJ19=0),1000000,INDEX('計算A'!GJ$110:GJ$114,$F19+1)+IF(AND($E19=1,TJ19=0),1000,0)),1000000))</f>
        <v/>
      </c>
      <c r="ACR19">
        <f>IF($B19=0,1000000,IF(INDEX('計算A'!$D$60:$II$104,$B19,190)*KD19=1,IF(AND($E19=2,TK19=0),1000000,INDEX('計算A'!GK$110:GK$114,$F19+1)+IF(AND($E19=1,TK19=0),1000,0)),1000000))</f>
        <v/>
      </c>
      <c r="ACS19">
        <f>IF($B19=0,1000000,IF(INDEX('計算A'!$D$60:$II$104,$B19,191)*KE19=1,IF(AND($E19=2,TL19=0),1000000,INDEX('計算A'!GL$110:GL$114,$F19+1)+IF(AND($E19=1,TL19=0),1000,0)),1000000))</f>
        <v/>
      </c>
      <c r="ACT19">
        <f>IF($B19=0,1000000,IF(INDEX('計算A'!$D$60:$II$104,$B19,192)*KF19=1,IF(AND($E19=2,TM19=0),1000000,INDEX('計算A'!GM$110:GM$114,$F19+1)+IF(AND($E19=1,TM19=0),1000,0)),1000000))</f>
        <v/>
      </c>
      <c r="ACU19">
        <f>IF($B19=0,1000000,IF(INDEX('計算A'!$D$60:$II$104,$B19,193)*KG19=1,IF(AND($E19=2,TN19=0),1000000,INDEX('計算A'!GN$110:GN$114,$F19+1)+IF(AND($E19=1,TN19=0),1000,0)),1000000))</f>
        <v/>
      </c>
      <c r="ACV19">
        <f>IF($B19=0,1000000,IF(INDEX('計算A'!$D$60:$II$104,$B19,194)*KH19=1,IF(AND($E19=2,TO19=0),1000000,INDEX('計算A'!GO$110:GO$114,$F19+1)+IF(AND($E19=1,TO19=0),1000,0)),1000000))</f>
        <v/>
      </c>
      <c r="ACW19">
        <f>IF($B19=0,1000000,IF(INDEX('計算A'!$D$60:$II$104,$B19,195)*KI19=1,IF(AND($E19=2,TP19=0),1000000,INDEX('計算A'!GP$110:GP$114,$F19+1)+IF(AND($E19=1,TP19=0),1000,0)),1000000))</f>
        <v/>
      </c>
      <c r="ACX19">
        <f>IF($B19=0,1000000,IF(INDEX('計算A'!$D$60:$II$104,$B19,196)*KJ19=1,IF(AND($E19=2,TQ19=0),1000000,INDEX('計算A'!GQ$110:GQ$114,$F19+1)+IF(AND($E19=1,TQ19=0),1000,0)),1000000))</f>
        <v/>
      </c>
      <c r="ACY19">
        <f>IF($B19=0,1000000,IF(INDEX('計算A'!$D$60:$II$104,$B19,197)*KK19=1,IF(AND($E19=2,TR19=0),1000000,INDEX('計算A'!GR$110:GR$114,$F19+1)+IF(AND($E19=1,TR19=0),1000,0)),1000000))</f>
        <v/>
      </c>
      <c r="ACZ19">
        <f>IF($B19=0,1000000,IF(INDEX('計算A'!$D$60:$II$104,$B19,198)*KL19=1,IF(AND($E19=2,TS19=0),1000000,INDEX('計算A'!GS$110:GS$114,$F19+1)+IF(AND($E19=1,TS19=0),1000,0)),1000000))</f>
        <v/>
      </c>
      <c r="ADA19">
        <f>IF($B19=0,1000000,IF(INDEX('計算A'!$D$60:$II$104,$B19,199)*KM19=1,IF(AND($E19=2,TT19=0),1000000,INDEX('計算A'!GT$110:GT$114,$F19+1)+IF(AND($E19=1,TT19=0),1000,0)),1000000))</f>
        <v/>
      </c>
      <c r="ADB19">
        <f>IF($B19=0,1000000,IF(INDEX('計算A'!$D$60:$II$104,$B19,200)*KN19=1,IF(AND($E19=2,TU19=0),1000000,INDEX('計算A'!GU$110:GU$114,$F19+1)+IF(AND($E19=1,TU19=0),1000,0)),1000000))</f>
        <v/>
      </c>
      <c r="ADC19">
        <f>IF($B19=0,1000000,IF(INDEX('計算A'!$D$60:$II$104,$B19,201)*KO19=1,IF(AND($E19=2,TV19=0),1000000,INDEX('計算A'!GV$110:GV$114,$F19+1)+IF(AND($E19=1,TV19=0),1000,0)),1000000))</f>
        <v/>
      </c>
      <c r="ADD19">
        <f>IF($B19=0,1000000,IF(INDEX('計算A'!$D$60:$II$104,$B19,202)*KP19=1,IF(AND($E19=2,TW19=0),1000000,INDEX('計算A'!GW$110:GW$114,$F19+1)+IF(AND($E19=1,TW19=0),1000,0)),1000000))</f>
        <v/>
      </c>
      <c r="ADE19">
        <f>IF($B19=0,1000000,IF(INDEX('計算A'!$D$60:$II$104,$B19,203)*KQ19=1,IF(AND($E19=2,TX19=0),1000000,INDEX('計算A'!GX$110:GX$114,$F19+1)+IF(AND($E19=1,TX19=0),1000,0)),1000000))</f>
        <v/>
      </c>
      <c r="ADF19">
        <f>IF($B19=0,1000000,IF(INDEX('計算A'!$D$60:$II$104,$B19,204)*KR19=1,IF(AND($E19=2,TY19=0),1000000,INDEX('計算A'!GY$110:GY$114,$F19+1)+IF(AND($E19=1,TY19=0),1000,0)),1000000))</f>
        <v/>
      </c>
      <c r="ADG19">
        <f>IF($B19=0,1000000,IF(INDEX('計算A'!$D$60:$II$104,$B19,205)*KS19=1,IF(AND($E19=2,TZ19=0),1000000,INDEX('計算A'!GZ$110:GZ$114,$F19+1)+IF(AND($E19=1,TZ19=0),1000,0)),1000000))</f>
        <v/>
      </c>
      <c r="ADH19">
        <f>IF($B19=0,1000000,IF(INDEX('計算A'!$D$60:$II$104,$B19,206)*KT19=1,IF(AND($E19=2,UA19=0),1000000,INDEX('計算A'!HA$110:HA$114,$F19+1)+IF(AND($E19=1,UA19=0),1000,0)),1000000))</f>
        <v/>
      </c>
      <c r="ADI19">
        <f>IF($B19=0,1000000,IF(INDEX('計算A'!$D$60:$II$104,$B19,207)*KU19=1,IF(AND($E19=2,UB19=0),1000000,INDEX('計算A'!HB$110:HB$114,$F19+1)+IF(AND($E19=1,UB19=0),1000,0)),1000000))</f>
        <v/>
      </c>
      <c r="ADJ19">
        <f>IF($B19=0,1000000,IF(INDEX('計算A'!$D$60:$II$104,$B19,208)*KV19=1,IF(AND($E19=2,UC19=0),1000000,INDEX('計算A'!HC$110:HC$114,$F19+1)+IF(AND($E19=1,UC19=0),1000,0)),1000000))</f>
        <v/>
      </c>
      <c r="ADK19">
        <f>IF($B19=0,1000000,IF(INDEX('計算A'!$D$60:$II$104,$B19,209)*KW19=1,IF(AND($E19=2,UD19=0),1000000,INDEX('計算A'!HD$110:HD$114,$F19+1)+IF(AND($E19=1,UD19=0),1000,0)),1000000))</f>
        <v/>
      </c>
      <c r="ADL19">
        <f>IF($B19=0,1000000,IF(INDEX('計算A'!$D$60:$II$104,$B19,210)*KX19=1,IF(AND($E19=2,UE19=0),1000000,INDEX('計算A'!HE$110:HE$114,$F19+1)+IF(AND($E19=1,UE19=0),1000,0)),1000000))</f>
        <v/>
      </c>
      <c r="ADM19">
        <f>IF($B19=0,1000000,IF(INDEX('計算A'!$D$60:$II$104,$B19,211)*KY19=1,IF(AND($E19=2,UF19=0),1000000,INDEX('計算A'!HF$110:HF$114,$F19+1)+IF(AND($E19=1,UF19=0),1000,0)),1000000))</f>
        <v/>
      </c>
      <c r="ADN19">
        <f>IF($B19=0,1000000,IF(INDEX('計算A'!$D$60:$II$104,$B19,212)*KZ19=1,IF(AND($E19=2,UG19=0),1000000,INDEX('計算A'!HG$110:HG$114,$F19+1)+IF(AND($E19=1,UG19=0),1000,0)),1000000))</f>
        <v/>
      </c>
      <c r="ADO19">
        <f>IF($B19=0,1000000,IF(INDEX('計算A'!$D$60:$II$104,$B19,213)*LA19=1,IF(AND($E19=2,UH19=0),1000000,INDEX('計算A'!HH$110:HH$114,$F19+1)+IF(AND($E19=1,UH19=0),1000,0)),1000000))</f>
        <v/>
      </c>
      <c r="ADP19">
        <f>IF($B19=0,1000000,IF(INDEX('計算A'!$D$60:$II$104,$B19,214)*LB19=1,IF(AND($E19=2,UI19=0),1000000,INDEX('計算A'!HI$110:HI$114,$F19+1)+IF(AND($E19=1,UI19=0),1000,0)),1000000))</f>
        <v/>
      </c>
      <c r="ADQ19">
        <f>IF($B19=0,1000000,IF(INDEX('計算A'!$D$60:$II$104,$B19,215)*LC19=1,IF(AND($E19=2,UJ19=0),1000000,INDEX('計算A'!HJ$110:HJ$114,$F19+1)+IF(AND($E19=1,UJ19=0),1000,0)),1000000))</f>
        <v/>
      </c>
      <c r="ADR19">
        <f>IF($B19=0,1000000,IF(INDEX('計算A'!$D$60:$II$104,$B19,216)*LD19=1,IF(AND($E19=2,UK19=0),1000000,INDEX('計算A'!HK$110:HK$114,$F19+1)+IF(AND($E19=1,UK19=0),1000,0)),1000000))</f>
        <v/>
      </c>
      <c r="ADS19">
        <f>IF($B19=0,1000000,IF(INDEX('計算A'!$D$60:$II$104,$B19,217)*LE19=1,IF(AND($E19=2,UL19=0),1000000,INDEX('計算A'!HL$110:HL$114,$F19+1)+IF(AND($E19=1,UL19=0),1000,0)),1000000))</f>
        <v/>
      </c>
      <c r="ADT19">
        <f>IF($B19=0,1000000,IF(INDEX('計算A'!$D$60:$II$104,$B19,218)*LF19=1,IF(AND($E19=2,UM19=0),1000000,INDEX('計算A'!HM$110:HM$114,$F19+1)+IF(AND($E19=1,UM19=0),1000,0)),1000000))</f>
        <v/>
      </c>
      <c r="ADU19">
        <f>IF($B19=0,1000000,IF(INDEX('計算A'!$D$60:$II$104,$B19,219)*LG19=1,IF(AND($E19=2,UN19=0),1000000,INDEX('計算A'!HN$110:HN$114,$F19+1)+IF(AND($E19=1,UN19=0),1000,0)),1000000))</f>
        <v/>
      </c>
      <c r="ADV19">
        <f>IF($B19=0,1000000,IF(INDEX('計算A'!$D$60:$II$104,$B19,220)*LH19=1,IF(AND($E19=2,UO19=0),1000000,INDEX('計算A'!HO$110:HO$114,$F19+1)+IF(AND($E19=1,UO19=0),1000,0)),1000000))</f>
        <v/>
      </c>
      <c r="ADW19">
        <f>IF($B19=0,1000000,IF(INDEX('計算A'!$D$60:$II$104,$B19,221)*LI19=1,IF(AND($E19=2,UP19=0),1000000,INDEX('計算A'!HP$110:HP$114,$F19+1)+IF(AND($E19=1,UP19=0),1000,0)),1000000))</f>
        <v/>
      </c>
      <c r="ADX19">
        <f>IF($B19=0,1000000,IF(INDEX('計算A'!$D$60:$II$104,$B19,222)*LJ19=1,IF(AND($E19=2,UQ19=0),1000000,INDEX('計算A'!HQ$110:HQ$114,$F19+1)+IF(AND($E19=1,UQ19=0),1000,0)),1000000))</f>
        <v/>
      </c>
      <c r="ADY19">
        <f>IF($B19=0,1000000,IF(INDEX('計算A'!$D$60:$II$104,$B19,223)*LK19=1,IF(AND($E19=2,UR19=0),1000000,INDEX('計算A'!HR$110:HR$114,$F19+1)+IF(AND($E19=1,UR19=0),1000,0)),1000000))</f>
        <v/>
      </c>
      <c r="ADZ19">
        <f>IF($B19=0,1000000,IF(INDEX('計算A'!$D$60:$II$104,$B19,224)*LL19=1,IF(AND($E19=2,US19=0),1000000,INDEX('計算A'!HS$110:HS$114,$F19+1)+IF(AND($E19=1,US19=0),1000,0)),1000000))</f>
        <v/>
      </c>
      <c r="AEA19">
        <f>IF($B19=0,1000000,IF(INDEX('計算A'!$D$60:$II$104,$B19,225)*LM19=1,IF(AND($E19=2,UT19=0),1000000,INDEX('計算A'!HT$110:HT$114,$F19+1)+IF(AND($E19=1,UT19=0),1000,0)),1000000))</f>
        <v/>
      </c>
      <c r="AEB19">
        <f>IF($B19=0,1000000,IF(INDEX('計算A'!$D$60:$II$104,$B19,226)*LN19=1,IF(AND($E19=2,UU19=0),1000000,INDEX('計算A'!HU$110:HU$114,$F19+1)+IF(AND($E19=1,UU19=0),1000,0)),1000000))</f>
        <v/>
      </c>
      <c r="AEC19">
        <f>IF($B19=0,1000000,IF(INDEX('計算A'!$D$60:$II$104,$B19,227)*LO19=1,IF(AND($E19=2,UV19=0),1000000,INDEX('計算A'!HV$110:HV$114,$F19+1)+IF(AND($E19=1,UV19=0),1000,0)),1000000))</f>
        <v/>
      </c>
      <c r="AED19">
        <f>IF($B19=0,1000000,IF(INDEX('計算A'!$D$60:$II$104,$B19,228)*LP19=1,IF(AND($E19=2,UW19=0),1000000,INDEX('計算A'!HW$110:HW$114,$F19+1)+IF(AND($E19=1,UW19=0),1000,0)),1000000))</f>
        <v/>
      </c>
      <c r="AEE19">
        <f>IF($B19=0,1000000,IF(INDEX('計算A'!$D$60:$II$104,$B19,229)*LQ19=1,IF(AND($E19=2,UX19=0),1000000,INDEX('計算A'!HX$110:HX$114,$F19+1)+IF(AND($E19=1,UX19=0),1000,0)),1000000))</f>
        <v/>
      </c>
      <c r="AEF19">
        <f>IF($B19=0,1000000,IF(INDEX('計算A'!$D$60:$II$104,$B19,230)*LR19=1,IF(AND($E19=2,UY19=0),1000000,INDEX('計算A'!HY$110:HY$114,$F19+1)+IF(AND($E19=1,UY19=0),1000,0)),1000000))</f>
        <v/>
      </c>
      <c r="AEG19">
        <f>IF($B19=0,1000000,IF(INDEX('計算A'!$D$60:$II$104,$B19,231)*LS19=1,IF(AND($E19=2,UZ19=0),1000000,INDEX('計算A'!HZ$110:HZ$114,$F19+1)+IF(AND($E19=1,UZ19=0),1000,0)),1000000))</f>
        <v/>
      </c>
      <c r="AEH19">
        <f>IF($B19=0,1000000,IF(INDEX('計算A'!$D$60:$II$104,$B19,232)*LT19=1,IF(AND($E19=2,VA19=0),1000000,INDEX('計算A'!IA$110:IA$114,$F19+1)+IF(AND($E19=1,VA19=0),1000,0)),1000000))</f>
        <v/>
      </c>
      <c r="AEI19">
        <f>IF($B19=0,1000000,IF(INDEX('計算A'!$D$60:$II$104,$B19,233)*LU19=1,IF(AND($E19=2,VB19=0),1000000,INDEX('計算A'!IB$110:IB$114,$F19+1)+IF(AND($E19=1,VB19=0),1000,0)),1000000))</f>
        <v/>
      </c>
      <c r="AEJ19">
        <f>IF($B19=0,1000000,IF(INDEX('計算A'!$D$60:$II$104,$B19,234)*LV19=1,IF(AND($E19=2,VC19=0),1000000,INDEX('計算A'!IC$110:IC$114,$F19+1)+IF(AND($E19=1,VC19=0),1000,0)),1000000))</f>
        <v/>
      </c>
      <c r="AEK19">
        <f>IF($B19=0,1000000,IF(INDEX('計算A'!$D$60:$II$104,$B19,235)*LW19=1,IF(AND($E19=2,VD19=0),1000000,INDEX('計算A'!ID$110:ID$114,$F19+1)+IF(AND($E19=1,VD19=0),1000,0)),1000000))</f>
        <v/>
      </c>
      <c r="AEL19">
        <f>IF($B19=0,1000000,IF(INDEX('計算A'!$D$60:$II$104,$B19,236)*LX19=1,IF(AND($E19=2,VE19=0),1000000,INDEX('計算A'!IE$110:IE$114,$F19+1)+IF(AND($E19=1,VE19=0),1000,0)),1000000))</f>
        <v/>
      </c>
      <c r="AEM19">
        <f>IF($B19=0,1000000,IF(INDEX('計算A'!$D$60:$II$104,$B19,237)*LY19=1,IF(AND($E19=2,VF19=0),1000000,INDEX('計算A'!IF$110:IF$114,$F19+1)+IF(AND($E19=1,VF19=0),1000,0)),1000000))</f>
        <v/>
      </c>
      <c r="AEN19">
        <f>IF($B19=0,1000000,IF(INDEX('計算A'!$D$60:$II$104,$B19,238)*LZ19=1,IF(AND($E19=2,VG19=0),1000000,INDEX('計算A'!IG$110:IG$114,$F19+1)+IF(AND($E19=1,VG19=0),1000,0)),1000000))</f>
        <v/>
      </c>
      <c r="AEO19">
        <f>IF($B19=0,1000000,IF(INDEX('計算A'!$D$60:$II$104,$B19,239)*MA19=1,IF(AND($E19=2,VH19=0),1000000,INDEX('計算A'!IH$110:IH$114,$F19+1)+IF(AND($E19=1,VH19=0),1000,0)),1000000))</f>
        <v/>
      </c>
      <c r="AEP19">
        <f>IF($B19=0,1000000,IF(INDEX('計算A'!$D$60:$II$104,$B19,240)*MB19=1,IF(AND($E19=2,VI19=0),1000000,INDEX('計算A'!II$110:II$114,$F19+1)+IF(AND($E19=1,VI19=0),1000,0)),1000000))</f>
        <v/>
      </c>
    </row>
    <row r="20">
      <c r="A20" t="n">
        <v>18</v>
      </c>
      <c r="B20">
        <f>IF(MIN(BC20:CU20)&gt;=1000000,0,MATCH(MIN(BC20:CU20),BC20:CU20,0))</f>
        <v/>
      </c>
      <c r="C20">
        <f>IF(MIN(VK20:AEP20)&gt;=1000000,0,MATCH(MIN(VK20:AEP20),VK20:AEP20,0))</f>
        <v/>
      </c>
      <c r="D20">
        <f>IF(C20&gt;0,INDEX('計算A'!$D$5:$II$5,C20),0)</f>
        <v/>
      </c>
      <c r="E20">
        <f>IF(B20=0,0,INDEX('計算A'!$IQ$10:$IQ$54,B20))</f>
        <v/>
      </c>
      <c r="F20">
        <f>IF(B20=0,0,INDEX('計算A'!$IP$10:$IP$54,B20))</f>
        <v/>
      </c>
      <c r="G20">
        <f>IF(AND(C20&gt;0,E20&gt;0),IF(AND(INDEX('計算A'!$D$106:$II$106,C20)=1,INDEX($MD20:$VI20,C20)=1),C20+1,0),0)</f>
        <v/>
      </c>
      <c r="I20">
        <f>MAX(I19,IF($B19=1,1,0))</f>
        <v/>
      </c>
      <c r="J20">
        <f>MAX(J19,IF($B19=2,1,0))</f>
        <v/>
      </c>
      <c r="K20">
        <f>MAX(K19,IF($B19=3,1,0))</f>
        <v/>
      </c>
      <c r="L20">
        <f>MAX(L19,IF($B19=4,1,0))</f>
        <v/>
      </c>
      <c r="M20">
        <f>MAX(M19,IF($B19=5,1,0))</f>
        <v/>
      </c>
      <c r="N20">
        <f>MAX(N19,IF($B19=6,1,0))</f>
        <v/>
      </c>
      <c r="O20">
        <f>MAX(O19,IF($B19=7,1,0))</f>
        <v/>
      </c>
      <c r="P20">
        <f>MAX(P19,IF($B19=8,1,0))</f>
        <v/>
      </c>
      <c r="Q20">
        <f>MAX(Q19,IF($B19=9,1,0))</f>
        <v/>
      </c>
      <c r="R20">
        <f>MAX(R19,IF($B19=10,1,0))</f>
        <v/>
      </c>
      <c r="S20">
        <f>MAX(S19,IF($B19=11,1,0))</f>
        <v/>
      </c>
      <c r="T20">
        <f>MAX(T19,IF($B19=12,1,0))</f>
        <v/>
      </c>
      <c r="U20">
        <f>MAX(U19,IF($B19=13,1,0))</f>
        <v/>
      </c>
      <c r="V20">
        <f>MAX(V19,IF($B19=14,1,0))</f>
        <v/>
      </c>
      <c r="W20">
        <f>MAX(W19,IF($B19=15,1,0))</f>
        <v/>
      </c>
      <c r="X20">
        <f>MAX(X19,IF($B19=16,1,0))</f>
        <v/>
      </c>
      <c r="Y20">
        <f>MAX(Y19,IF($B19=17,1,0))</f>
        <v/>
      </c>
      <c r="Z20">
        <f>MAX(Z19,IF($B19=18,1,0))</f>
        <v/>
      </c>
      <c r="AA20">
        <f>MAX(AA19,IF($B19=19,1,0))</f>
        <v/>
      </c>
      <c r="AB20">
        <f>MAX(AB19,IF($B19=20,1,0))</f>
        <v/>
      </c>
      <c r="AC20">
        <f>MAX(AC19,IF($B19=21,1,0))</f>
        <v/>
      </c>
      <c r="AD20">
        <f>MAX(AD19,IF($B19=22,1,0))</f>
        <v/>
      </c>
      <c r="AE20">
        <f>MAX(AE19,IF($B19=23,1,0))</f>
        <v/>
      </c>
      <c r="AF20">
        <f>MAX(AF19,IF($B19=24,1,0))</f>
        <v/>
      </c>
      <c r="AG20">
        <f>MAX(AG19,IF($B19=25,1,0))</f>
        <v/>
      </c>
      <c r="AH20">
        <f>MAX(AH19,IF($B19=26,1,0))</f>
        <v/>
      </c>
      <c r="AI20">
        <f>MAX(AI19,IF($B19=27,1,0))</f>
        <v/>
      </c>
      <c r="AJ20">
        <f>MAX(AJ19,IF($B19=28,1,0))</f>
        <v/>
      </c>
      <c r="AK20">
        <f>MAX(AK19,IF($B19=29,1,0))</f>
        <v/>
      </c>
      <c r="AL20">
        <f>MAX(AL19,IF($B19=30,1,0))</f>
        <v/>
      </c>
      <c r="AM20">
        <f>MAX(AM19,IF($B19=31,1,0))</f>
        <v/>
      </c>
      <c r="AN20">
        <f>MAX(AN19,IF($B19=32,1,0))</f>
        <v/>
      </c>
      <c r="AO20">
        <f>MAX(AO19,IF($B19=33,1,0))</f>
        <v/>
      </c>
      <c r="AP20">
        <f>MAX(AP19,IF($B19=34,1,0))</f>
        <v/>
      </c>
      <c r="AQ20">
        <f>MAX(AQ19,IF($B19=35,1,0))</f>
        <v/>
      </c>
      <c r="AR20">
        <f>MAX(AR19,IF($B19=36,1,0))</f>
        <v/>
      </c>
      <c r="AS20">
        <f>MAX(AS19,IF($B19=37,1,0))</f>
        <v/>
      </c>
      <c r="AT20">
        <f>MAX(AT19,IF($B19=38,1,0))</f>
        <v/>
      </c>
      <c r="AU20">
        <f>MAX(AU19,IF($B19=39,1,0))</f>
        <v/>
      </c>
      <c r="AV20">
        <f>MAX(AV19,IF($B19=40,1,0))</f>
        <v/>
      </c>
      <c r="AW20">
        <f>MAX(AW19,IF($B19=41,1,0))</f>
        <v/>
      </c>
      <c r="AX20">
        <f>MAX(AX19,IF($B19=42,1,0))</f>
        <v/>
      </c>
      <c r="AY20">
        <f>MAX(AY19,IF($B19=43,1,0))</f>
        <v/>
      </c>
      <c r="AZ20">
        <f>MAX(AZ19,IF($B19=44,1,0))</f>
        <v/>
      </c>
      <c r="BA20">
        <f>MAX(BA19,IF($B19=45,1,0))</f>
        <v/>
      </c>
      <c r="BC20">
        <f>IF(I20=1,1000000,IF('計算A'!$IQ$10=2,SUMPRODUCT('計算A'!$D$60:$II$60,$CW20:$MB20,$MD20:$VI20),SUMPRODUCT('計算A'!$D$60:$II$60,$CW20:$MB20))*1000+1)</f>
        <v/>
      </c>
      <c r="BD20">
        <f>IF(J20=1,1000000,IF('計算A'!$IQ$11=2,SUMPRODUCT('計算A'!$D$61:$II$61,$CW20:$MB20,$MD20:$VI20),SUMPRODUCT('計算A'!$D$61:$II$61,$CW20:$MB20))*1000+2)</f>
        <v/>
      </c>
      <c r="BE20">
        <f>IF(K20=1,1000000,IF('計算A'!$IQ$12=2,SUMPRODUCT('計算A'!$D$62:$II$62,$CW20:$MB20,$MD20:$VI20),SUMPRODUCT('計算A'!$D$62:$II$62,$CW20:$MB20))*1000+3)</f>
        <v/>
      </c>
      <c r="BF20">
        <f>IF(L20=1,1000000,IF('計算A'!$IQ$13=2,SUMPRODUCT('計算A'!$D$63:$II$63,$CW20:$MB20,$MD20:$VI20),SUMPRODUCT('計算A'!$D$63:$II$63,$CW20:$MB20))*1000+4)</f>
        <v/>
      </c>
      <c r="BG20">
        <f>IF(M20=1,1000000,IF('計算A'!$IQ$14=2,SUMPRODUCT('計算A'!$D$64:$II$64,$CW20:$MB20,$MD20:$VI20),SUMPRODUCT('計算A'!$D$64:$II$64,$CW20:$MB20))*1000+5)</f>
        <v/>
      </c>
      <c r="BH20">
        <f>IF(N20=1,1000000,IF('計算A'!$IQ$15=2,SUMPRODUCT('計算A'!$D$65:$II$65,$CW20:$MB20,$MD20:$VI20),SUMPRODUCT('計算A'!$D$65:$II$65,$CW20:$MB20))*1000+6)</f>
        <v/>
      </c>
      <c r="BI20">
        <f>IF(O20=1,1000000,IF('計算A'!$IQ$16=2,SUMPRODUCT('計算A'!$D$66:$II$66,$CW20:$MB20,$MD20:$VI20),SUMPRODUCT('計算A'!$D$66:$II$66,$CW20:$MB20))*1000+7)</f>
        <v/>
      </c>
      <c r="BJ20">
        <f>IF(P20=1,1000000,IF('計算A'!$IQ$17=2,SUMPRODUCT('計算A'!$D$67:$II$67,$CW20:$MB20,$MD20:$VI20),SUMPRODUCT('計算A'!$D$67:$II$67,$CW20:$MB20))*1000+8)</f>
        <v/>
      </c>
      <c r="BK20">
        <f>IF(Q20=1,1000000,IF('計算A'!$IQ$18=2,SUMPRODUCT('計算A'!$D$68:$II$68,$CW20:$MB20,$MD20:$VI20),SUMPRODUCT('計算A'!$D$68:$II$68,$CW20:$MB20))*1000+9)</f>
        <v/>
      </c>
      <c r="BL20">
        <f>IF(R20=1,1000000,IF('計算A'!$IQ$19=2,SUMPRODUCT('計算A'!$D$69:$II$69,$CW20:$MB20,$MD20:$VI20),SUMPRODUCT('計算A'!$D$69:$II$69,$CW20:$MB20))*1000+10)</f>
        <v/>
      </c>
      <c r="BM20">
        <f>IF(S20=1,1000000,IF('計算A'!$IQ$20=2,SUMPRODUCT('計算A'!$D$70:$II$70,$CW20:$MB20,$MD20:$VI20),SUMPRODUCT('計算A'!$D$70:$II$70,$CW20:$MB20))*1000+11)</f>
        <v/>
      </c>
      <c r="BN20">
        <f>IF(T20=1,1000000,IF('計算A'!$IQ$21=2,SUMPRODUCT('計算A'!$D$71:$II$71,$CW20:$MB20,$MD20:$VI20),SUMPRODUCT('計算A'!$D$71:$II$71,$CW20:$MB20))*1000+12)</f>
        <v/>
      </c>
      <c r="BO20">
        <f>IF(U20=1,1000000,IF('計算A'!$IQ$22=2,SUMPRODUCT('計算A'!$D$72:$II$72,$CW20:$MB20,$MD20:$VI20),SUMPRODUCT('計算A'!$D$72:$II$72,$CW20:$MB20))*1000+13)</f>
        <v/>
      </c>
      <c r="BP20">
        <f>IF(V20=1,1000000,IF('計算A'!$IQ$23=2,SUMPRODUCT('計算A'!$D$73:$II$73,$CW20:$MB20,$MD20:$VI20),SUMPRODUCT('計算A'!$D$73:$II$73,$CW20:$MB20))*1000+14)</f>
        <v/>
      </c>
      <c r="BQ20">
        <f>IF(W20=1,1000000,IF('計算A'!$IQ$24=2,SUMPRODUCT('計算A'!$D$74:$II$74,$CW20:$MB20,$MD20:$VI20),SUMPRODUCT('計算A'!$D$74:$II$74,$CW20:$MB20))*1000+15)</f>
        <v/>
      </c>
      <c r="BR20">
        <f>IF(X20=1,1000000,IF('計算A'!$IQ$25=2,SUMPRODUCT('計算A'!$D$75:$II$75,$CW20:$MB20,$MD20:$VI20),SUMPRODUCT('計算A'!$D$75:$II$75,$CW20:$MB20))*1000+16)</f>
        <v/>
      </c>
      <c r="BS20">
        <f>IF(Y20=1,1000000,IF('計算A'!$IQ$26=2,SUMPRODUCT('計算A'!$D$76:$II$76,$CW20:$MB20,$MD20:$VI20),SUMPRODUCT('計算A'!$D$76:$II$76,$CW20:$MB20))*1000+17)</f>
        <v/>
      </c>
      <c r="BT20">
        <f>IF(Z20=1,1000000,IF('計算A'!$IQ$27=2,SUMPRODUCT('計算A'!$D$77:$II$77,$CW20:$MB20,$MD20:$VI20),SUMPRODUCT('計算A'!$D$77:$II$77,$CW20:$MB20))*1000+18)</f>
        <v/>
      </c>
      <c r="BU20">
        <f>IF(AA20=1,1000000,IF('計算A'!$IQ$28=2,SUMPRODUCT('計算A'!$D$78:$II$78,$CW20:$MB20,$MD20:$VI20),SUMPRODUCT('計算A'!$D$78:$II$78,$CW20:$MB20))*1000+19)</f>
        <v/>
      </c>
      <c r="BV20">
        <f>IF(AB20=1,1000000,IF('計算A'!$IQ$29=2,SUMPRODUCT('計算A'!$D$79:$II$79,$CW20:$MB20,$MD20:$VI20),SUMPRODUCT('計算A'!$D$79:$II$79,$CW20:$MB20))*1000+20)</f>
        <v/>
      </c>
      <c r="BW20">
        <f>IF(AC20=1,1000000,IF('計算A'!$IQ$30=2,SUMPRODUCT('計算A'!$D$80:$II$80,$CW20:$MB20,$MD20:$VI20),SUMPRODUCT('計算A'!$D$80:$II$80,$CW20:$MB20))*1000+21)</f>
        <v/>
      </c>
      <c r="BX20">
        <f>IF(AD20=1,1000000,IF('計算A'!$IQ$31=2,SUMPRODUCT('計算A'!$D$81:$II$81,$CW20:$MB20,$MD20:$VI20),SUMPRODUCT('計算A'!$D$81:$II$81,$CW20:$MB20))*1000+22)</f>
        <v/>
      </c>
      <c r="BY20">
        <f>IF(AE20=1,1000000,IF('計算A'!$IQ$32=2,SUMPRODUCT('計算A'!$D$82:$II$82,$CW20:$MB20,$MD20:$VI20),SUMPRODUCT('計算A'!$D$82:$II$82,$CW20:$MB20))*1000+23)</f>
        <v/>
      </c>
      <c r="BZ20">
        <f>IF(AF20=1,1000000,IF('計算A'!$IQ$33=2,SUMPRODUCT('計算A'!$D$83:$II$83,$CW20:$MB20,$MD20:$VI20),SUMPRODUCT('計算A'!$D$83:$II$83,$CW20:$MB20))*1000+24)</f>
        <v/>
      </c>
      <c r="CA20">
        <f>IF(AG20=1,1000000,IF('計算A'!$IQ$34=2,SUMPRODUCT('計算A'!$D$84:$II$84,$CW20:$MB20,$MD20:$VI20),SUMPRODUCT('計算A'!$D$84:$II$84,$CW20:$MB20))*1000+25)</f>
        <v/>
      </c>
      <c r="CB20">
        <f>IF(AH20=1,1000000,IF('計算A'!$IQ$35=2,SUMPRODUCT('計算A'!$D$85:$II$85,$CW20:$MB20,$MD20:$VI20),SUMPRODUCT('計算A'!$D$85:$II$85,$CW20:$MB20))*1000+26)</f>
        <v/>
      </c>
      <c r="CC20">
        <f>IF(AI20=1,1000000,IF('計算A'!$IQ$36=2,SUMPRODUCT('計算A'!$D$86:$II$86,$CW20:$MB20,$MD20:$VI20),SUMPRODUCT('計算A'!$D$86:$II$86,$CW20:$MB20))*1000+27)</f>
        <v/>
      </c>
      <c r="CD20">
        <f>IF(AJ20=1,1000000,IF('計算A'!$IQ$37=2,SUMPRODUCT('計算A'!$D$87:$II$87,$CW20:$MB20,$MD20:$VI20),SUMPRODUCT('計算A'!$D$87:$II$87,$CW20:$MB20))*1000+28)</f>
        <v/>
      </c>
      <c r="CE20">
        <f>IF(AK20=1,1000000,IF('計算A'!$IQ$38=2,SUMPRODUCT('計算A'!$D$88:$II$88,$CW20:$MB20,$MD20:$VI20),SUMPRODUCT('計算A'!$D$88:$II$88,$CW20:$MB20))*1000+29)</f>
        <v/>
      </c>
      <c r="CF20">
        <f>IF(AL20=1,1000000,IF('計算A'!$IQ$39=2,SUMPRODUCT('計算A'!$D$89:$II$89,$CW20:$MB20,$MD20:$VI20),SUMPRODUCT('計算A'!$D$89:$II$89,$CW20:$MB20))*1000+30)</f>
        <v/>
      </c>
      <c r="CG20">
        <f>IF(AM20=1,1000000,IF('計算A'!$IQ$40=2,SUMPRODUCT('計算A'!$D$90:$II$90,$CW20:$MB20,$MD20:$VI20),SUMPRODUCT('計算A'!$D$90:$II$90,$CW20:$MB20))*1000+31)</f>
        <v/>
      </c>
      <c r="CH20">
        <f>IF(AN20=1,1000000,IF('計算A'!$IQ$41=2,SUMPRODUCT('計算A'!$D$91:$II$91,$CW20:$MB20,$MD20:$VI20),SUMPRODUCT('計算A'!$D$91:$II$91,$CW20:$MB20))*1000+32)</f>
        <v/>
      </c>
      <c r="CI20">
        <f>IF(AO20=1,1000000,IF('計算A'!$IQ$42=2,SUMPRODUCT('計算A'!$D$92:$II$92,$CW20:$MB20,$MD20:$VI20),SUMPRODUCT('計算A'!$D$92:$II$92,$CW20:$MB20))*1000+33)</f>
        <v/>
      </c>
      <c r="CJ20">
        <f>IF(AP20=1,1000000,IF('計算A'!$IQ$43=2,SUMPRODUCT('計算A'!$D$93:$II$93,$CW20:$MB20,$MD20:$VI20),SUMPRODUCT('計算A'!$D$93:$II$93,$CW20:$MB20))*1000+34)</f>
        <v/>
      </c>
      <c r="CK20">
        <f>IF(AQ20=1,1000000,IF('計算A'!$IQ$44=2,SUMPRODUCT('計算A'!$D$94:$II$94,$CW20:$MB20,$MD20:$VI20),SUMPRODUCT('計算A'!$D$94:$II$94,$CW20:$MB20))*1000+35)</f>
        <v/>
      </c>
      <c r="CL20">
        <f>IF(AR20=1,1000000,IF('計算A'!$IQ$45=2,SUMPRODUCT('計算A'!$D$95:$II$95,$CW20:$MB20,$MD20:$VI20),SUMPRODUCT('計算A'!$D$95:$II$95,$CW20:$MB20))*1000+36)</f>
        <v/>
      </c>
      <c r="CM20">
        <f>IF(AS20=1,1000000,IF('計算A'!$IQ$46=2,SUMPRODUCT('計算A'!$D$96:$II$96,$CW20:$MB20,$MD20:$VI20),SUMPRODUCT('計算A'!$D$96:$II$96,$CW20:$MB20))*1000+37)</f>
        <v/>
      </c>
      <c r="CN20">
        <f>IF(AT20=1,1000000,IF('計算A'!$IQ$47=2,SUMPRODUCT('計算A'!$D$97:$II$97,$CW20:$MB20,$MD20:$VI20),SUMPRODUCT('計算A'!$D$97:$II$97,$CW20:$MB20))*1000+38)</f>
        <v/>
      </c>
      <c r="CO20">
        <f>IF(AU20=1,1000000,IF('計算A'!$IQ$48=2,SUMPRODUCT('計算A'!$D$98:$II$98,$CW20:$MB20,$MD20:$VI20),SUMPRODUCT('計算A'!$D$98:$II$98,$CW20:$MB20))*1000+39)</f>
        <v/>
      </c>
      <c r="CP20">
        <f>IF(AV20=1,1000000,IF('計算A'!$IQ$49=2,SUMPRODUCT('計算A'!$D$99:$II$99,$CW20:$MB20,$MD20:$VI20),SUMPRODUCT('計算A'!$D$99:$II$99,$CW20:$MB20))*1000+40)</f>
        <v/>
      </c>
      <c r="CQ20">
        <f>IF(AW20=1,1000000,IF('計算A'!$IQ$50=2,SUMPRODUCT('計算A'!$D$100:$II$100,$CW20:$MB20,$MD20:$VI20),SUMPRODUCT('計算A'!$D$100:$II$100,$CW20:$MB20))*1000+41)</f>
        <v/>
      </c>
      <c r="CR20">
        <f>IF(AX20=1,1000000,IF('計算A'!$IQ$51=2,SUMPRODUCT('計算A'!$D$101:$II$101,$CW20:$MB20,$MD20:$VI20),SUMPRODUCT('計算A'!$D$101:$II$101,$CW20:$MB20))*1000+42)</f>
        <v/>
      </c>
      <c r="CS20">
        <f>IF(AY20=1,1000000,IF('計算A'!$IQ$52=2,SUMPRODUCT('計算A'!$D$102:$II$102,$CW20:$MB20,$MD20:$VI20),SUMPRODUCT('計算A'!$D$102:$II$102,$CW20:$MB20))*1000+43)</f>
        <v/>
      </c>
      <c r="CT20">
        <f>IF(AZ20=1,1000000,IF('計算A'!$IQ$53=2,SUMPRODUCT('計算A'!$D$103:$II$103,$CW20:$MB20,$MD20:$VI20),SUMPRODUCT('計算A'!$D$103:$II$103,$CW20:$MB20))*1000+44)</f>
        <v/>
      </c>
      <c r="CU20">
        <f>IF(BA20=1,1000000,IF('計算A'!$IQ$54=2,SUMPRODUCT('計算A'!$D$104:$II$104,$CW20:$MB20,$MD20:$VI20),SUMPRODUCT('計算A'!$D$104:$II$104,$CW20:$MB20))*1000+45)</f>
        <v/>
      </c>
      <c r="CW20">
        <f>CW19*IF(OR($C19=1,$G19=1),0,1)</f>
        <v/>
      </c>
      <c r="CX20">
        <f>CX19*IF(OR($C19=2,$G19=2),0,1)</f>
        <v/>
      </c>
      <c r="CY20">
        <f>CY19*IF(OR($C19=3,$G19=3),0,1)</f>
        <v/>
      </c>
      <c r="CZ20">
        <f>CZ19*IF(OR($C19=4,$G19=4),0,1)</f>
        <v/>
      </c>
      <c r="DA20">
        <f>DA19*IF(OR($C19=5,$G19=5),0,1)</f>
        <v/>
      </c>
      <c r="DB20">
        <f>DB19*IF(OR($C19=6,$G19=6),0,1)</f>
        <v/>
      </c>
      <c r="DC20">
        <f>DC19*IF(OR($C19=7,$G19=7),0,1)</f>
        <v/>
      </c>
      <c r="DD20">
        <f>DD19*IF(OR($C19=8,$G19=8),0,1)</f>
        <v/>
      </c>
      <c r="DE20">
        <f>DE19*IF(OR($C19=9,$G19=9),0,1)</f>
        <v/>
      </c>
      <c r="DF20">
        <f>DF19*IF(OR($C19=10,$G19=10),0,1)</f>
        <v/>
      </c>
      <c r="DG20">
        <f>DG19*IF(OR($C19=11,$G19=11),0,1)</f>
        <v/>
      </c>
      <c r="DH20">
        <f>DH19*IF(OR($C19=12,$G19=12),0,1)</f>
        <v/>
      </c>
      <c r="DI20">
        <f>DI19*IF(OR($C19=13,$G19=13),0,1)</f>
        <v/>
      </c>
      <c r="DJ20">
        <f>DJ19*IF(OR($C19=14,$G19=14),0,1)</f>
        <v/>
      </c>
      <c r="DK20">
        <f>DK19*IF(OR($C19=15,$G19=15),0,1)</f>
        <v/>
      </c>
      <c r="DL20">
        <f>DL19*IF(OR($C19=16,$G19=16),0,1)</f>
        <v/>
      </c>
      <c r="DM20">
        <f>DM19*IF(OR($C19=17,$G19=17),0,1)</f>
        <v/>
      </c>
      <c r="DN20">
        <f>DN19*IF(OR($C19=18,$G19=18),0,1)</f>
        <v/>
      </c>
      <c r="DO20">
        <f>DO19*IF(OR($C19=19,$G19=19),0,1)</f>
        <v/>
      </c>
      <c r="DP20">
        <f>DP19*IF(OR($C19=20,$G19=20),0,1)</f>
        <v/>
      </c>
      <c r="DQ20">
        <f>DQ19*IF(OR($C19=21,$G19=21),0,1)</f>
        <v/>
      </c>
      <c r="DR20">
        <f>DR19*IF(OR($C19=22,$G19=22),0,1)</f>
        <v/>
      </c>
      <c r="DS20">
        <f>DS19*IF(OR($C19=23,$G19=23),0,1)</f>
        <v/>
      </c>
      <c r="DT20">
        <f>DT19*IF(OR($C19=24,$G19=24),0,1)</f>
        <v/>
      </c>
      <c r="DU20">
        <f>DU19*IF(OR($C19=25,$G19=25),0,1)</f>
        <v/>
      </c>
      <c r="DV20">
        <f>DV19*IF(OR($C19=26,$G19=26),0,1)</f>
        <v/>
      </c>
      <c r="DW20">
        <f>DW19*IF(OR($C19=27,$G19=27),0,1)</f>
        <v/>
      </c>
      <c r="DX20">
        <f>DX19*IF(OR($C19=28,$G19=28),0,1)</f>
        <v/>
      </c>
      <c r="DY20">
        <f>DY19*IF(OR($C19=29,$G19=29),0,1)</f>
        <v/>
      </c>
      <c r="DZ20">
        <f>DZ19*IF(OR($C19=30,$G19=30),0,1)</f>
        <v/>
      </c>
      <c r="EA20">
        <f>EA19*IF(OR($C19=31,$G19=31),0,1)</f>
        <v/>
      </c>
      <c r="EB20">
        <f>EB19*IF(OR($C19=32,$G19=32),0,1)</f>
        <v/>
      </c>
      <c r="EC20">
        <f>EC19*IF(OR($C19=33,$G19=33),0,1)</f>
        <v/>
      </c>
      <c r="ED20">
        <f>ED19*IF(OR($C19=34,$G19=34),0,1)</f>
        <v/>
      </c>
      <c r="EE20">
        <f>EE19*IF(OR($C19=35,$G19=35),0,1)</f>
        <v/>
      </c>
      <c r="EF20">
        <f>EF19*IF(OR($C19=36,$G19=36),0,1)</f>
        <v/>
      </c>
      <c r="EG20">
        <f>EG19*IF(OR($C19=37,$G19=37),0,1)</f>
        <v/>
      </c>
      <c r="EH20">
        <f>EH19*IF(OR($C19=38,$G19=38),0,1)</f>
        <v/>
      </c>
      <c r="EI20">
        <f>EI19*IF(OR($C19=39,$G19=39),0,1)</f>
        <v/>
      </c>
      <c r="EJ20">
        <f>EJ19*IF(OR($C19=40,$G19=40),0,1)</f>
        <v/>
      </c>
      <c r="EK20">
        <f>EK19*IF(OR($C19=41,$G19=41),0,1)</f>
        <v/>
      </c>
      <c r="EL20">
        <f>EL19*IF(OR($C19=42,$G19=42),0,1)</f>
        <v/>
      </c>
      <c r="EM20">
        <f>EM19*IF(OR($C19=43,$G19=43),0,1)</f>
        <v/>
      </c>
      <c r="EN20">
        <f>EN19*IF(OR($C19=44,$G19=44),0,1)</f>
        <v/>
      </c>
      <c r="EO20">
        <f>EO19*IF(OR($C19=45,$G19=45),0,1)</f>
        <v/>
      </c>
      <c r="EP20">
        <f>EP19*IF(OR($C19=46,$G19=46),0,1)</f>
        <v/>
      </c>
      <c r="EQ20">
        <f>EQ19*IF(OR($C19=47,$G19=47),0,1)</f>
        <v/>
      </c>
      <c r="ER20">
        <f>ER19*IF(OR($C19=48,$G19=48),0,1)</f>
        <v/>
      </c>
      <c r="ES20">
        <f>ES19*IF(OR($C19=49,$G19=49),0,1)</f>
        <v/>
      </c>
      <c r="ET20">
        <f>ET19*IF(OR($C19=50,$G19=50),0,1)</f>
        <v/>
      </c>
      <c r="EU20">
        <f>EU19*IF(OR($C19=51,$G19=51),0,1)</f>
        <v/>
      </c>
      <c r="EV20">
        <f>EV19*IF(OR($C19=52,$G19=52),0,1)</f>
        <v/>
      </c>
      <c r="EW20">
        <f>EW19*IF(OR($C19=53,$G19=53),0,1)</f>
        <v/>
      </c>
      <c r="EX20">
        <f>EX19*IF(OR($C19=54,$G19=54),0,1)</f>
        <v/>
      </c>
      <c r="EY20">
        <f>EY19*IF(OR($C19=55,$G19=55),0,1)</f>
        <v/>
      </c>
      <c r="EZ20">
        <f>EZ19*IF(OR($C19=56,$G19=56),0,1)</f>
        <v/>
      </c>
      <c r="FA20">
        <f>FA19*IF(OR($C19=57,$G19=57),0,1)</f>
        <v/>
      </c>
      <c r="FB20">
        <f>FB19*IF(OR($C19=58,$G19=58),0,1)</f>
        <v/>
      </c>
      <c r="FC20">
        <f>FC19*IF(OR($C19=59,$G19=59),0,1)</f>
        <v/>
      </c>
      <c r="FD20">
        <f>FD19*IF(OR($C19=60,$G19=60),0,1)</f>
        <v/>
      </c>
      <c r="FE20">
        <f>FE19*IF(OR($C19=61,$G19=61),0,1)</f>
        <v/>
      </c>
      <c r="FF20">
        <f>FF19*IF(OR($C19=62,$G19=62),0,1)</f>
        <v/>
      </c>
      <c r="FG20">
        <f>FG19*IF(OR($C19=63,$G19=63),0,1)</f>
        <v/>
      </c>
      <c r="FH20">
        <f>FH19*IF(OR($C19=64,$G19=64),0,1)</f>
        <v/>
      </c>
      <c r="FI20">
        <f>FI19*IF(OR($C19=65,$G19=65),0,1)</f>
        <v/>
      </c>
      <c r="FJ20">
        <f>FJ19*IF(OR($C19=66,$G19=66),0,1)</f>
        <v/>
      </c>
      <c r="FK20">
        <f>FK19*IF(OR($C19=67,$G19=67),0,1)</f>
        <v/>
      </c>
      <c r="FL20">
        <f>FL19*IF(OR($C19=68,$G19=68),0,1)</f>
        <v/>
      </c>
      <c r="FM20">
        <f>FM19*IF(OR($C19=69,$G19=69),0,1)</f>
        <v/>
      </c>
      <c r="FN20">
        <f>FN19*IF(OR($C19=70,$G19=70),0,1)</f>
        <v/>
      </c>
      <c r="FO20">
        <f>FO19*IF(OR($C19=71,$G19=71),0,1)</f>
        <v/>
      </c>
      <c r="FP20">
        <f>FP19*IF(OR($C19=72,$G19=72),0,1)</f>
        <v/>
      </c>
      <c r="FQ20">
        <f>FQ19*IF(OR($C19=73,$G19=73),0,1)</f>
        <v/>
      </c>
      <c r="FR20">
        <f>FR19*IF(OR($C19=74,$G19=74),0,1)</f>
        <v/>
      </c>
      <c r="FS20">
        <f>FS19*IF(OR($C19=75,$G19=75),0,1)</f>
        <v/>
      </c>
      <c r="FT20">
        <f>FT19*IF(OR($C19=76,$G19=76),0,1)</f>
        <v/>
      </c>
      <c r="FU20">
        <f>FU19*IF(OR($C19=77,$G19=77),0,1)</f>
        <v/>
      </c>
      <c r="FV20">
        <f>FV19*IF(OR($C19=78,$G19=78),0,1)</f>
        <v/>
      </c>
      <c r="FW20">
        <f>FW19*IF(OR($C19=79,$G19=79),0,1)</f>
        <v/>
      </c>
      <c r="FX20">
        <f>FX19*IF(OR($C19=80,$G19=80),0,1)</f>
        <v/>
      </c>
      <c r="FY20">
        <f>FY19*IF(OR($C19=81,$G19=81),0,1)</f>
        <v/>
      </c>
      <c r="FZ20">
        <f>FZ19*IF(OR($C19=82,$G19=82),0,1)</f>
        <v/>
      </c>
      <c r="GA20">
        <f>GA19*IF(OR($C19=83,$G19=83),0,1)</f>
        <v/>
      </c>
      <c r="GB20">
        <f>GB19*IF(OR($C19=84,$G19=84),0,1)</f>
        <v/>
      </c>
      <c r="GC20">
        <f>GC19*IF(OR($C19=85,$G19=85),0,1)</f>
        <v/>
      </c>
      <c r="GD20">
        <f>GD19*IF(OR($C19=86,$G19=86),0,1)</f>
        <v/>
      </c>
      <c r="GE20">
        <f>GE19*IF(OR($C19=87,$G19=87),0,1)</f>
        <v/>
      </c>
      <c r="GF20">
        <f>GF19*IF(OR($C19=88,$G19=88),0,1)</f>
        <v/>
      </c>
      <c r="GG20">
        <f>GG19*IF(OR($C19=89,$G19=89),0,1)</f>
        <v/>
      </c>
      <c r="GH20">
        <f>GH19*IF(OR($C19=90,$G19=90),0,1)</f>
        <v/>
      </c>
      <c r="GI20">
        <f>GI19*IF(OR($C19=91,$G19=91),0,1)</f>
        <v/>
      </c>
      <c r="GJ20">
        <f>GJ19*IF(OR($C19=92,$G19=92),0,1)</f>
        <v/>
      </c>
      <c r="GK20">
        <f>GK19*IF(OR($C19=93,$G19=93),0,1)</f>
        <v/>
      </c>
      <c r="GL20">
        <f>GL19*IF(OR($C19=94,$G19=94),0,1)</f>
        <v/>
      </c>
      <c r="GM20">
        <f>GM19*IF(OR($C19=95,$G19=95),0,1)</f>
        <v/>
      </c>
      <c r="GN20">
        <f>GN19*IF(OR($C19=96,$G19=96),0,1)</f>
        <v/>
      </c>
      <c r="GO20">
        <f>GO19*IF(OR($C19=97,$G19=97),0,1)</f>
        <v/>
      </c>
      <c r="GP20">
        <f>GP19*IF(OR($C19=98,$G19=98),0,1)</f>
        <v/>
      </c>
      <c r="GQ20">
        <f>GQ19*IF(OR($C19=99,$G19=99),0,1)</f>
        <v/>
      </c>
      <c r="GR20">
        <f>GR19*IF(OR($C19=100,$G19=100),0,1)</f>
        <v/>
      </c>
      <c r="GS20">
        <f>GS19*IF(OR($C19=101,$G19=101),0,1)</f>
        <v/>
      </c>
      <c r="GT20">
        <f>GT19*IF(OR($C19=102,$G19=102),0,1)</f>
        <v/>
      </c>
      <c r="GU20">
        <f>GU19*IF(OR($C19=103,$G19=103),0,1)</f>
        <v/>
      </c>
      <c r="GV20">
        <f>GV19*IF(OR($C19=104,$G19=104),0,1)</f>
        <v/>
      </c>
      <c r="GW20">
        <f>GW19*IF(OR($C19=105,$G19=105),0,1)</f>
        <v/>
      </c>
      <c r="GX20">
        <f>GX19*IF(OR($C19=106,$G19=106),0,1)</f>
        <v/>
      </c>
      <c r="GY20">
        <f>GY19*IF(OR($C19=107,$G19=107),0,1)</f>
        <v/>
      </c>
      <c r="GZ20">
        <f>GZ19*IF(OR($C19=108,$G19=108),0,1)</f>
        <v/>
      </c>
      <c r="HA20">
        <f>HA19*IF(OR($C19=109,$G19=109),0,1)</f>
        <v/>
      </c>
      <c r="HB20">
        <f>HB19*IF(OR($C19=110,$G19=110),0,1)</f>
        <v/>
      </c>
      <c r="HC20">
        <f>HC19*IF(OR($C19=111,$G19=111),0,1)</f>
        <v/>
      </c>
      <c r="HD20">
        <f>HD19*IF(OR($C19=112,$G19=112),0,1)</f>
        <v/>
      </c>
      <c r="HE20">
        <f>HE19*IF(OR($C19=113,$G19=113),0,1)</f>
        <v/>
      </c>
      <c r="HF20">
        <f>HF19*IF(OR($C19=114,$G19=114),0,1)</f>
        <v/>
      </c>
      <c r="HG20">
        <f>HG19*IF(OR($C19=115,$G19=115),0,1)</f>
        <v/>
      </c>
      <c r="HH20">
        <f>HH19*IF(OR($C19=116,$G19=116),0,1)</f>
        <v/>
      </c>
      <c r="HI20">
        <f>HI19*IF(OR($C19=117,$G19=117),0,1)</f>
        <v/>
      </c>
      <c r="HJ20">
        <f>HJ19*IF(OR($C19=118,$G19=118),0,1)</f>
        <v/>
      </c>
      <c r="HK20">
        <f>HK19*IF(OR($C19=119,$G19=119),0,1)</f>
        <v/>
      </c>
      <c r="HL20">
        <f>HL19*IF(OR($C19=120,$G19=120),0,1)</f>
        <v/>
      </c>
      <c r="HM20">
        <f>HM19*IF(OR($C19=121,$G19=121),0,1)</f>
        <v/>
      </c>
      <c r="HN20">
        <f>HN19*IF(OR($C19=122,$G19=122),0,1)</f>
        <v/>
      </c>
      <c r="HO20">
        <f>HO19*IF(OR($C19=123,$G19=123),0,1)</f>
        <v/>
      </c>
      <c r="HP20">
        <f>HP19*IF(OR($C19=124,$G19=124),0,1)</f>
        <v/>
      </c>
      <c r="HQ20">
        <f>HQ19*IF(OR($C19=125,$G19=125),0,1)</f>
        <v/>
      </c>
      <c r="HR20">
        <f>HR19*IF(OR($C19=126,$G19=126),0,1)</f>
        <v/>
      </c>
      <c r="HS20">
        <f>HS19*IF(OR($C19=127,$G19=127),0,1)</f>
        <v/>
      </c>
      <c r="HT20">
        <f>HT19*IF(OR($C19=128,$G19=128),0,1)</f>
        <v/>
      </c>
      <c r="HU20">
        <f>HU19*IF(OR($C19=129,$G19=129),0,1)</f>
        <v/>
      </c>
      <c r="HV20">
        <f>HV19*IF(OR($C19=130,$G19=130),0,1)</f>
        <v/>
      </c>
      <c r="HW20">
        <f>HW19*IF(OR($C19=131,$G19=131),0,1)</f>
        <v/>
      </c>
      <c r="HX20">
        <f>HX19*IF(OR($C19=132,$G19=132),0,1)</f>
        <v/>
      </c>
      <c r="HY20">
        <f>HY19*IF(OR($C19=133,$G19=133),0,1)</f>
        <v/>
      </c>
      <c r="HZ20">
        <f>HZ19*IF(OR($C19=134,$G19=134),0,1)</f>
        <v/>
      </c>
      <c r="IA20">
        <f>IA19*IF(OR($C19=135,$G19=135),0,1)</f>
        <v/>
      </c>
      <c r="IB20">
        <f>IB19*IF(OR($C19=136,$G19=136),0,1)</f>
        <v/>
      </c>
      <c r="IC20">
        <f>IC19*IF(OR($C19=137,$G19=137),0,1)</f>
        <v/>
      </c>
      <c r="ID20">
        <f>ID19*IF(OR($C19=138,$G19=138),0,1)</f>
        <v/>
      </c>
      <c r="IE20">
        <f>IE19*IF(OR($C19=139,$G19=139),0,1)</f>
        <v/>
      </c>
      <c r="IF20">
        <f>IF19*IF(OR($C19=140,$G19=140),0,1)</f>
        <v/>
      </c>
      <c r="IG20">
        <f>IG19*IF(OR($C19=141,$G19=141),0,1)</f>
        <v/>
      </c>
      <c r="IH20">
        <f>IH19*IF(OR($C19=142,$G19=142),0,1)</f>
        <v/>
      </c>
      <c r="II20">
        <f>II19*IF(OR($C19=143,$G19=143),0,1)</f>
        <v/>
      </c>
      <c r="IJ20">
        <f>IJ19*IF(OR($C19=144,$G19=144),0,1)</f>
        <v/>
      </c>
      <c r="IK20">
        <f>IK19*IF(OR($C19=145,$G19=145),0,1)</f>
        <v/>
      </c>
      <c r="IL20">
        <f>IL19*IF(OR($C19=146,$G19=146),0,1)</f>
        <v/>
      </c>
      <c r="IM20">
        <f>IM19*IF(OR($C19=147,$G19=147),0,1)</f>
        <v/>
      </c>
      <c r="IN20">
        <f>IN19*IF(OR($C19=148,$G19=148),0,1)</f>
        <v/>
      </c>
      <c r="IO20">
        <f>IO19*IF(OR($C19=149,$G19=149),0,1)</f>
        <v/>
      </c>
      <c r="IP20">
        <f>IP19*IF(OR($C19=150,$G19=150),0,1)</f>
        <v/>
      </c>
      <c r="IQ20">
        <f>IQ19*IF(OR($C19=151,$G19=151),0,1)</f>
        <v/>
      </c>
      <c r="IR20">
        <f>IR19*IF(OR($C19=152,$G19=152),0,1)</f>
        <v/>
      </c>
      <c r="IS20">
        <f>IS19*IF(OR($C19=153,$G19=153),0,1)</f>
        <v/>
      </c>
      <c r="IT20">
        <f>IT19*IF(OR($C19=154,$G19=154),0,1)</f>
        <v/>
      </c>
      <c r="IU20">
        <f>IU19*IF(OR($C19=155,$G19=155),0,1)</f>
        <v/>
      </c>
      <c r="IV20">
        <f>IV19*IF(OR($C19=156,$G19=156),0,1)</f>
        <v/>
      </c>
      <c r="IW20">
        <f>IW19*IF(OR($C19=157,$G19=157),0,1)</f>
        <v/>
      </c>
      <c r="IX20">
        <f>IX19*IF(OR($C19=158,$G19=158),0,1)</f>
        <v/>
      </c>
      <c r="IY20">
        <f>IY19*IF(OR($C19=159,$G19=159),0,1)</f>
        <v/>
      </c>
      <c r="IZ20">
        <f>IZ19*IF(OR($C19=160,$G19=160),0,1)</f>
        <v/>
      </c>
      <c r="JA20">
        <f>JA19*IF(OR($C19=161,$G19=161),0,1)</f>
        <v/>
      </c>
      <c r="JB20">
        <f>JB19*IF(OR($C19=162,$G19=162),0,1)</f>
        <v/>
      </c>
      <c r="JC20">
        <f>JC19*IF(OR($C19=163,$G19=163),0,1)</f>
        <v/>
      </c>
      <c r="JD20">
        <f>JD19*IF(OR($C19=164,$G19=164),0,1)</f>
        <v/>
      </c>
      <c r="JE20">
        <f>JE19*IF(OR($C19=165,$G19=165),0,1)</f>
        <v/>
      </c>
      <c r="JF20">
        <f>JF19*IF(OR($C19=166,$G19=166),0,1)</f>
        <v/>
      </c>
      <c r="JG20">
        <f>JG19*IF(OR($C19=167,$G19=167),0,1)</f>
        <v/>
      </c>
      <c r="JH20">
        <f>JH19*IF(OR($C19=168,$G19=168),0,1)</f>
        <v/>
      </c>
      <c r="JI20">
        <f>JI19*IF(OR($C19=169,$G19=169),0,1)</f>
        <v/>
      </c>
      <c r="JJ20">
        <f>JJ19*IF(OR($C19=170,$G19=170),0,1)</f>
        <v/>
      </c>
      <c r="JK20">
        <f>JK19*IF(OR($C19=171,$G19=171),0,1)</f>
        <v/>
      </c>
      <c r="JL20">
        <f>JL19*IF(OR($C19=172,$G19=172),0,1)</f>
        <v/>
      </c>
      <c r="JM20">
        <f>JM19*IF(OR($C19=173,$G19=173),0,1)</f>
        <v/>
      </c>
      <c r="JN20">
        <f>JN19*IF(OR($C19=174,$G19=174),0,1)</f>
        <v/>
      </c>
      <c r="JO20">
        <f>JO19*IF(OR($C19=175,$G19=175),0,1)</f>
        <v/>
      </c>
      <c r="JP20">
        <f>JP19*IF(OR($C19=176,$G19=176),0,1)</f>
        <v/>
      </c>
      <c r="JQ20">
        <f>JQ19*IF(OR($C19=177,$G19=177),0,1)</f>
        <v/>
      </c>
      <c r="JR20">
        <f>JR19*IF(OR($C19=178,$G19=178),0,1)</f>
        <v/>
      </c>
      <c r="JS20">
        <f>JS19*IF(OR($C19=179,$G19=179),0,1)</f>
        <v/>
      </c>
      <c r="JT20">
        <f>JT19*IF(OR($C19=180,$G19=180),0,1)</f>
        <v/>
      </c>
      <c r="JU20">
        <f>JU19*IF(OR($C19=181,$G19=181),0,1)</f>
        <v/>
      </c>
      <c r="JV20">
        <f>JV19*IF(OR($C19=182,$G19=182),0,1)</f>
        <v/>
      </c>
      <c r="JW20">
        <f>JW19*IF(OR($C19=183,$G19=183),0,1)</f>
        <v/>
      </c>
      <c r="JX20">
        <f>JX19*IF(OR($C19=184,$G19=184),0,1)</f>
        <v/>
      </c>
      <c r="JY20">
        <f>JY19*IF(OR($C19=185,$G19=185),0,1)</f>
        <v/>
      </c>
      <c r="JZ20">
        <f>JZ19*IF(OR($C19=186,$G19=186),0,1)</f>
        <v/>
      </c>
      <c r="KA20">
        <f>KA19*IF(OR($C19=187,$G19=187),0,1)</f>
        <v/>
      </c>
      <c r="KB20">
        <f>KB19*IF(OR($C19=188,$G19=188),0,1)</f>
        <v/>
      </c>
      <c r="KC20">
        <f>KC19*IF(OR($C19=189,$G19=189),0,1)</f>
        <v/>
      </c>
      <c r="KD20">
        <f>KD19*IF(OR($C19=190,$G19=190),0,1)</f>
        <v/>
      </c>
      <c r="KE20">
        <f>KE19*IF(OR($C19=191,$G19=191),0,1)</f>
        <v/>
      </c>
      <c r="KF20">
        <f>KF19*IF(OR($C19=192,$G19=192),0,1)</f>
        <v/>
      </c>
      <c r="KG20">
        <f>KG19*IF(OR($C19=193,$G19=193),0,1)</f>
        <v/>
      </c>
      <c r="KH20">
        <f>KH19*IF(OR($C19=194,$G19=194),0,1)</f>
        <v/>
      </c>
      <c r="KI20">
        <f>KI19*IF(OR($C19=195,$G19=195),0,1)</f>
        <v/>
      </c>
      <c r="KJ20">
        <f>KJ19*IF(OR($C19=196,$G19=196),0,1)</f>
        <v/>
      </c>
      <c r="KK20">
        <f>KK19*IF(OR($C19=197,$G19=197),0,1)</f>
        <v/>
      </c>
      <c r="KL20">
        <f>KL19*IF(OR($C19=198,$G19=198),0,1)</f>
        <v/>
      </c>
      <c r="KM20">
        <f>KM19*IF(OR($C19=199,$G19=199),0,1)</f>
        <v/>
      </c>
      <c r="KN20">
        <f>KN19*IF(OR($C19=200,$G19=200),0,1)</f>
        <v/>
      </c>
      <c r="KO20">
        <f>KO19*IF(OR($C19=201,$G19=201),0,1)</f>
        <v/>
      </c>
      <c r="KP20">
        <f>KP19*IF(OR($C19=202,$G19=202),0,1)</f>
        <v/>
      </c>
      <c r="KQ20">
        <f>KQ19*IF(OR($C19=203,$G19=203),0,1)</f>
        <v/>
      </c>
      <c r="KR20">
        <f>KR19*IF(OR($C19=204,$G19=204),0,1)</f>
        <v/>
      </c>
      <c r="KS20">
        <f>KS19*IF(OR($C19=205,$G19=205),0,1)</f>
        <v/>
      </c>
      <c r="KT20">
        <f>KT19*IF(OR($C19=206,$G19=206),0,1)</f>
        <v/>
      </c>
      <c r="KU20">
        <f>KU19*IF(OR($C19=207,$G19=207),0,1)</f>
        <v/>
      </c>
      <c r="KV20">
        <f>KV19*IF(OR($C19=208,$G19=208),0,1)</f>
        <v/>
      </c>
      <c r="KW20">
        <f>KW19*IF(OR($C19=209,$G19=209),0,1)</f>
        <v/>
      </c>
      <c r="KX20">
        <f>KX19*IF(OR($C19=210,$G19=210),0,1)</f>
        <v/>
      </c>
      <c r="KY20">
        <f>KY19*IF(OR($C19=211,$G19=211),0,1)</f>
        <v/>
      </c>
      <c r="KZ20">
        <f>KZ19*IF(OR($C19=212,$G19=212),0,1)</f>
        <v/>
      </c>
      <c r="LA20">
        <f>LA19*IF(OR($C19=213,$G19=213),0,1)</f>
        <v/>
      </c>
      <c r="LB20">
        <f>LB19*IF(OR($C19=214,$G19=214),0,1)</f>
        <v/>
      </c>
      <c r="LC20">
        <f>LC19*IF(OR($C19=215,$G19=215),0,1)</f>
        <v/>
      </c>
      <c r="LD20">
        <f>LD19*IF(OR($C19=216,$G19=216),0,1)</f>
        <v/>
      </c>
      <c r="LE20">
        <f>LE19*IF(OR($C19=217,$G19=217),0,1)</f>
        <v/>
      </c>
      <c r="LF20">
        <f>LF19*IF(OR($C19=218,$G19=218),0,1)</f>
        <v/>
      </c>
      <c r="LG20">
        <f>LG19*IF(OR($C19=219,$G19=219),0,1)</f>
        <v/>
      </c>
      <c r="LH20">
        <f>LH19*IF(OR($C19=220,$G19=220),0,1)</f>
        <v/>
      </c>
      <c r="LI20">
        <f>LI19*IF(OR($C19=221,$G19=221),0,1)</f>
        <v/>
      </c>
      <c r="LJ20">
        <f>LJ19*IF(OR($C19=222,$G19=222),0,1)</f>
        <v/>
      </c>
      <c r="LK20">
        <f>LK19*IF(OR($C19=223,$G19=223),0,1)</f>
        <v/>
      </c>
      <c r="LL20">
        <f>LL19*IF(OR($C19=224,$G19=224),0,1)</f>
        <v/>
      </c>
      <c r="LM20">
        <f>LM19*IF(OR($C19=225,$G19=225),0,1)</f>
        <v/>
      </c>
      <c r="LN20">
        <f>LN19*IF(OR($C19=226,$G19=226),0,1)</f>
        <v/>
      </c>
      <c r="LO20">
        <f>LO19*IF(OR($C19=227,$G19=227),0,1)</f>
        <v/>
      </c>
      <c r="LP20">
        <f>LP19*IF(OR($C19=228,$G19=228),0,1)</f>
        <v/>
      </c>
      <c r="LQ20">
        <f>LQ19*IF(OR($C19=229,$G19=229),0,1)</f>
        <v/>
      </c>
      <c r="LR20">
        <f>LR19*IF(OR($C19=230,$G19=230),0,1)</f>
        <v/>
      </c>
      <c r="LS20">
        <f>LS19*IF(OR($C19=231,$G19=231),0,1)</f>
        <v/>
      </c>
      <c r="LT20">
        <f>LT19*IF(OR($C19=232,$G19=232),0,1)</f>
        <v/>
      </c>
      <c r="LU20">
        <f>LU19*IF(OR($C19=233,$G19=233),0,1)</f>
        <v/>
      </c>
      <c r="LV20">
        <f>LV19*IF(OR($C19=234,$G19=234),0,1)</f>
        <v/>
      </c>
      <c r="LW20">
        <f>LW19*IF(OR($C19=235,$G19=235),0,1)</f>
        <v/>
      </c>
      <c r="LX20">
        <f>LX19*IF(OR($C19=236,$G19=236),0,1)</f>
        <v/>
      </c>
      <c r="LY20">
        <f>LY19*IF(OR($C19=237,$G19=237),0,1)</f>
        <v/>
      </c>
      <c r="LZ20">
        <f>LZ19*IF(OR($C19=238,$G19=238),0,1)</f>
        <v/>
      </c>
      <c r="MA20">
        <f>MA19*IF(OR($C19=239,$G19=239),0,1)</f>
        <v/>
      </c>
      <c r="MB20">
        <f>MB19*IF(OR($C19=240,$G19=240),0,1)</f>
        <v/>
      </c>
      <c r="MD20">
        <f>IF('計算A'!D$106=1,CX20,1)</f>
        <v/>
      </c>
      <c r="ME20">
        <f>IF('計算A'!E$106=1,CY20,1)</f>
        <v/>
      </c>
      <c r="MF20">
        <f>IF('計算A'!F$106=1,CZ20,1)</f>
        <v/>
      </c>
      <c r="MG20">
        <f>IF('計算A'!G$106=1,DA20,1)</f>
        <v/>
      </c>
      <c r="MH20">
        <f>IF('計算A'!H$106=1,DB20,1)</f>
        <v/>
      </c>
      <c r="MI20">
        <f>IF('計算A'!I$106=1,DC20,1)</f>
        <v/>
      </c>
      <c r="MJ20">
        <f>IF('計算A'!J$106=1,DD20,1)</f>
        <v/>
      </c>
      <c r="MK20">
        <f>IF('計算A'!K$106=1,DE20,1)</f>
        <v/>
      </c>
      <c r="ML20">
        <f>IF('計算A'!L$106=1,DF20,1)</f>
        <v/>
      </c>
      <c r="MM20">
        <f>IF('計算A'!M$106=1,DG20,1)</f>
        <v/>
      </c>
      <c r="MN20">
        <f>IF('計算A'!N$106=1,DH20,1)</f>
        <v/>
      </c>
      <c r="MO20">
        <f>IF('計算A'!O$106=1,DI20,1)</f>
        <v/>
      </c>
      <c r="MP20">
        <f>IF('計算A'!P$106=1,DJ20,1)</f>
        <v/>
      </c>
      <c r="MQ20">
        <f>IF('計算A'!Q$106=1,DK20,1)</f>
        <v/>
      </c>
      <c r="MR20">
        <f>IF('計算A'!R$106=1,DL20,1)</f>
        <v/>
      </c>
      <c r="MS20">
        <f>IF('計算A'!S$106=1,DM20,1)</f>
        <v/>
      </c>
      <c r="MT20">
        <f>IF('計算A'!T$106=1,DN20,1)</f>
        <v/>
      </c>
      <c r="MU20">
        <f>IF('計算A'!U$106=1,DO20,1)</f>
        <v/>
      </c>
      <c r="MV20">
        <f>IF('計算A'!V$106=1,DP20,1)</f>
        <v/>
      </c>
      <c r="MW20">
        <f>IF('計算A'!W$106=1,DQ20,1)</f>
        <v/>
      </c>
      <c r="MX20">
        <f>IF('計算A'!X$106=1,DR20,1)</f>
        <v/>
      </c>
      <c r="MY20">
        <f>IF('計算A'!Y$106=1,DS20,1)</f>
        <v/>
      </c>
      <c r="MZ20">
        <f>IF('計算A'!Z$106=1,DT20,1)</f>
        <v/>
      </c>
      <c r="NA20">
        <f>IF('計算A'!AA$106=1,DU20,1)</f>
        <v/>
      </c>
      <c r="NB20">
        <f>IF('計算A'!AB$106=1,DV20,1)</f>
        <v/>
      </c>
      <c r="NC20">
        <f>IF('計算A'!AC$106=1,DW20,1)</f>
        <v/>
      </c>
      <c r="ND20">
        <f>IF('計算A'!AD$106=1,DX20,1)</f>
        <v/>
      </c>
      <c r="NE20">
        <f>IF('計算A'!AE$106=1,DY20,1)</f>
        <v/>
      </c>
      <c r="NF20">
        <f>IF('計算A'!AF$106=1,DZ20,1)</f>
        <v/>
      </c>
      <c r="NG20">
        <f>IF('計算A'!AG$106=1,EA20,1)</f>
        <v/>
      </c>
      <c r="NH20">
        <f>IF('計算A'!AH$106=1,EB20,1)</f>
        <v/>
      </c>
      <c r="NI20">
        <f>IF('計算A'!AI$106=1,EC20,1)</f>
        <v/>
      </c>
      <c r="NJ20">
        <f>IF('計算A'!AJ$106=1,ED20,1)</f>
        <v/>
      </c>
      <c r="NK20">
        <f>IF('計算A'!AK$106=1,EE20,1)</f>
        <v/>
      </c>
      <c r="NL20">
        <f>IF('計算A'!AL$106=1,EF20,1)</f>
        <v/>
      </c>
      <c r="NM20">
        <f>IF('計算A'!AM$106=1,EG20,1)</f>
        <v/>
      </c>
      <c r="NN20">
        <f>IF('計算A'!AN$106=1,EH20,1)</f>
        <v/>
      </c>
      <c r="NO20">
        <f>IF('計算A'!AO$106=1,EI20,1)</f>
        <v/>
      </c>
      <c r="NP20">
        <f>IF('計算A'!AP$106=1,EJ20,1)</f>
        <v/>
      </c>
      <c r="NQ20">
        <f>IF('計算A'!AQ$106=1,EK20,1)</f>
        <v/>
      </c>
      <c r="NR20">
        <f>IF('計算A'!AR$106=1,EL20,1)</f>
        <v/>
      </c>
      <c r="NS20">
        <f>IF('計算A'!AS$106=1,EM20,1)</f>
        <v/>
      </c>
      <c r="NT20">
        <f>IF('計算A'!AT$106=1,EN20,1)</f>
        <v/>
      </c>
      <c r="NU20">
        <f>IF('計算A'!AU$106=1,EO20,1)</f>
        <v/>
      </c>
      <c r="NV20">
        <f>IF('計算A'!AV$106=1,EP20,1)</f>
        <v/>
      </c>
      <c r="NW20">
        <f>IF('計算A'!AW$106=1,EQ20,1)</f>
        <v/>
      </c>
      <c r="NX20">
        <f>IF('計算A'!AX$106=1,ER20,1)</f>
        <v/>
      </c>
      <c r="NY20">
        <f>IF('計算A'!AY$106=1,ES20,1)</f>
        <v/>
      </c>
      <c r="NZ20">
        <f>IF('計算A'!AZ$106=1,ET20,1)</f>
        <v/>
      </c>
      <c r="OA20">
        <f>IF('計算A'!BA$106=1,EU20,1)</f>
        <v/>
      </c>
      <c r="OB20">
        <f>IF('計算A'!BB$106=1,EV20,1)</f>
        <v/>
      </c>
      <c r="OC20">
        <f>IF('計算A'!BC$106=1,EW20,1)</f>
        <v/>
      </c>
      <c r="OD20">
        <f>IF('計算A'!BD$106=1,EX20,1)</f>
        <v/>
      </c>
      <c r="OE20">
        <f>IF('計算A'!BE$106=1,EY20,1)</f>
        <v/>
      </c>
      <c r="OF20">
        <f>IF('計算A'!BF$106=1,EZ20,1)</f>
        <v/>
      </c>
      <c r="OG20">
        <f>IF('計算A'!BG$106=1,FA20,1)</f>
        <v/>
      </c>
      <c r="OH20">
        <f>IF('計算A'!BH$106=1,FB20,1)</f>
        <v/>
      </c>
      <c r="OI20">
        <f>IF('計算A'!BI$106=1,FC20,1)</f>
        <v/>
      </c>
      <c r="OJ20">
        <f>IF('計算A'!BJ$106=1,FD20,1)</f>
        <v/>
      </c>
      <c r="OK20">
        <f>IF('計算A'!BK$106=1,FE20,1)</f>
        <v/>
      </c>
      <c r="OL20">
        <f>IF('計算A'!BL$106=1,FF20,1)</f>
        <v/>
      </c>
      <c r="OM20">
        <f>IF('計算A'!BM$106=1,FG20,1)</f>
        <v/>
      </c>
      <c r="ON20">
        <f>IF('計算A'!BN$106=1,FH20,1)</f>
        <v/>
      </c>
      <c r="OO20">
        <f>IF('計算A'!BO$106=1,FI20,1)</f>
        <v/>
      </c>
      <c r="OP20">
        <f>IF('計算A'!BP$106=1,FJ20,1)</f>
        <v/>
      </c>
      <c r="OQ20">
        <f>IF('計算A'!BQ$106=1,FK20,1)</f>
        <v/>
      </c>
      <c r="OR20">
        <f>IF('計算A'!BR$106=1,FL20,1)</f>
        <v/>
      </c>
      <c r="OS20">
        <f>IF('計算A'!BS$106=1,FM20,1)</f>
        <v/>
      </c>
      <c r="OT20">
        <f>IF('計算A'!BT$106=1,FN20,1)</f>
        <v/>
      </c>
      <c r="OU20">
        <f>IF('計算A'!BU$106=1,FO20,1)</f>
        <v/>
      </c>
      <c r="OV20">
        <f>IF('計算A'!BV$106=1,FP20,1)</f>
        <v/>
      </c>
      <c r="OW20">
        <f>IF('計算A'!BW$106=1,FQ20,1)</f>
        <v/>
      </c>
      <c r="OX20">
        <f>IF('計算A'!BX$106=1,FR20,1)</f>
        <v/>
      </c>
      <c r="OY20">
        <f>IF('計算A'!BY$106=1,FS20,1)</f>
        <v/>
      </c>
      <c r="OZ20">
        <f>IF('計算A'!BZ$106=1,FT20,1)</f>
        <v/>
      </c>
      <c r="PA20">
        <f>IF('計算A'!CA$106=1,FU20,1)</f>
        <v/>
      </c>
      <c r="PB20">
        <f>IF('計算A'!CB$106=1,FV20,1)</f>
        <v/>
      </c>
      <c r="PC20">
        <f>IF('計算A'!CC$106=1,FW20,1)</f>
        <v/>
      </c>
      <c r="PD20">
        <f>IF('計算A'!CD$106=1,FX20,1)</f>
        <v/>
      </c>
      <c r="PE20">
        <f>IF('計算A'!CE$106=1,FY20,1)</f>
        <v/>
      </c>
      <c r="PF20">
        <f>IF('計算A'!CF$106=1,FZ20,1)</f>
        <v/>
      </c>
      <c r="PG20">
        <f>IF('計算A'!CG$106=1,GA20,1)</f>
        <v/>
      </c>
      <c r="PH20">
        <f>IF('計算A'!CH$106=1,GB20,1)</f>
        <v/>
      </c>
      <c r="PI20">
        <f>IF('計算A'!CI$106=1,GC20,1)</f>
        <v/>
      </c>
      <c r="PJ20">
        <f>IF('計算A'!CJ$106=1,GD20,1)</f>
        <v/>
      </c>
      <c r="PK20">
        <f>IF('計算A'!CK$106=1,GE20,1)</f>
        <v/>
      </c>
      <c r="PL20">
        <f>IF('計算A'!CL$106=1,GF20,1)</f>
        <v/>
      </c>
      <c r="PM20">
        <f>IF('計算A'!CM$106=1,GG20,1)</f>
        <v/>
      </c>
      <c r="PN20">
        <f>IF('計算A'!CN$106=1,GH20,1)</f>
        <v/>
      </c>
      <c r="PO20">
        <f>IF('計算A'!CO$106=1,GI20,1)</f>
        <v/>
      </c>
      <c r="PP20">
        <f>IF('計算A'!CP$106=1,GJ20,1)</f>
        <v/>
      </c>
      <c r="PQ20">
        <f>IF('計算A'!CQ$106=1,GK20,1)</f>
        <v/>
      </c>
      <c r="PR20">
        <f>IF('計算A'!CR$106=1,GL20,1)</f>
        <v/>
      </c>
      <c r="PS20">
        <f>IF('計算A'!CS$106=1,GM20,1)</f>
        <v/>
      </c>
      <c r="PT20">
        <f>IF('計算A'!CT$106=1,GN20,1)</f>
        <v/>
      </c>
      <c r="PU20">
        <f>IF('計算A'!CU$106=1,GO20,1)</f>
        <v/>
      </c>
      <c r="PV20">
        <f>IF('計算A'!CV$106=1,GP20,1)</f>
        <v/>
      </c>
      <c r="PW20">
        <f>IF('計算A'!CW$106=1,GQ20,1)</f>
        <v/>
      </c>
      <c r="PX20">
        <f>IF('計算A'!CX$106=1,GR20,1)</f>
        <v/>
      </c>
      <c r="PY20">
        <f>IF('計算A'!CY$106=1,GS20,1)</f>
        <v/>
      </c>
      <c r="PZ20">
        <f>IF('計算A'!CZ$106=1,GT20,1)</f>
        <v/>
      </c>
      <c r="QA20">
        <f>IF('計算A'!DA$106=1,GU20,1)</f>
        <v/>
      </c>
      <c r="QB20">
        <f>IF('計算A'!DB$106=1,GV20,1)</f>
        <v/>
      </c>
      <c r="QC20">
        <f>IF('計算A'!DC$106=1,GW20,1)</f>
        <v/>
      </c>
      <c r="QD20">
        <f>IF('計算A'!DD$106=1,GX20,1)</f>
        <v/>
      </c>
      <c r="QE20">
        <f>IF('計算A'!DE$106=1,GY20,1)</f>
        <v/>
      </c>
      <c r="QF20">
        <f>IF('計算A'!DF$106=1,GZ20,1)</f>
        <v/>
      </c>
      <c r="QG20">
        <f>IF('計算A'!DG$106=1,HA20,1)</f>
        <v/>
      </c>
      <c r="QH20">
        <f>IF('計算A'!DH$106=1,HB20,1)</f>
        <v/>
      </c>
      <c r="QI20">
        <f>IF('計算A'!DI$106=1,HC20,1)</f>
        <v/>
      </c>
      <c r="QJ20">
        <f>IF('計算A'!DJ$106=1,HD20,1)</f>
        <v/>
      </c>
      <c r="QK20">
        <f>IF('計算A'!DK$106=1,HE20,1)</f>
        <v/>
      </c>
      <c r="QL20">
        <f>IF('計算A'!DL$106=1,HF20,1)</f>
        <v/>
      </c>
      <c r="QM20">
        <f>IF('計算A'!DM$106=1,HG20,1)</f>
        <v/>
      </c>
      <c r="QN20">
        <f>IF('計算A'!DN$106=1,HH20,1)</f>
        <v/>
      </c>
      <c r="QO20">
        <f>IF('計算A'!DO$106=1,HI20,1)</f>
        <v/>
      </c>
      <c r="QP20">
        <f>IF('計算A'!DP$106=1,HJ20,1)</f>
        <v/>
      </c>
      <c r="QQ20">
        <f>IF('計算A'!DQ$106=1,HK20,1)</f>
        <v/>
      </c>
      <c r="QR20">
        <f>IF('計算A'!DR$106=1,HL20,1)</f>
        <v/>
      </c>
      <c r="QS20">
        <f>IF('計算A'!DS$106=1,HM20,1)</f>
        <v/>
      </c>
      <c r="QT20">
        <f>IF('計算A'!DT$106=1,HN20,1)</f>
        <v/>
      </c>
      <c r="QU20">
        <f>IF('計算A'!DU$106=1,HO20,1)</f>
        <v/>
      </c>
      <c r="QV20">
        <f>IF('計算A'!DV$106=1,HP20,1)</f>
        <v/>
      </c>
      <c r="QW20">
        <f>IF('計算A'!DW$106=1,HQ20,1)</f>
        <v/>
      </c>
      <c r="QX20">
        <f>IF('計算A'!DX$106=1,HR20,1)</f>
        <v/>
      </c>
      <c r="QY20">
        <f>IF('計算A'!DY$106=1,HS20,1)</f>
        <v/>
      </c>
      <c r="QZ20">
        <f>IF('計算A'!DZ$106=1,HT20,1)</f>
        <v/>
      </c>
      <c r="RA20">
        <f>IF('計算A'!EA$106=1,HU20,1)</f>
        <v/>
      </c>
      <c r="RB20">
        <f>IF('計算A'!EB$106=1,HV20,1)</f>
        <v/>
      </c>
      <c r="RC20">
        <f>IF('計算A'!EC$106=1,HW20,1)</f>
        <v/>
      </c>
      <c r="RD20">
        <f>IF('計算A'!ED$106=1,HX20,1)</f>
        <v/>
      </c>
      <c r="RE20">
        <f>IF('計算A'!EE$106=1,HY20,1)</f>
        <v/>
      </c>
      <c r="RF20">
        <f>IF('計算A'!EF$106=1,HZ20,1)</f>
        <v/>
      </c>
      <c r="RG20">
        <f>IF('計算A'!EG$106=1,IA20,1)</f>
        <v/>
      </c>
      <c r="RH20">
        <f>IF('計算A'!EH$106=1,IB20,1)</f>
        <v/>
      </c>
      <c r="RI20">
        <f>IF('計算A'!EI$106=1,IC20,1)</f>
        <v/>
      </c>
      <c r="RJ20">
        <f>IF('計算A'!EJ$106=1,ID20,1)</f>
        <v/>
      </c>
      <c r="RK20">
        <f>IF('計算A'!EK$106=1,IE20,1)</f>
        <v/>
      </c>
      <c r="RL20">
        <f>IF('計算A'!EL$106=1,IF20,1)</f>
        <v/>
      </c>
      <c r="RM20">
        <f>IF('計算A'!EM$106=1,IG20,1)</f>
        <v/>
      </c>
      <c r="RN20">
        <f>IF('計算A'!EN$106=1,IH20,1)</f>
        <v/>
      </c>
      <c r="RO20">
        <f>IF('計算A'!EO$106=1,II20,1)</f>
        <v/>
      </c>
      <c r="RP20">
        <f>IF('計算A'!EP$106=1,IJ20,1)</f>
        <v/>
      </c>
      <c r="RQ20">
        <f>IF('計算A'!EQ$106=1,IK20,1)</f>
        <v/>
      </c>
      <c r="RR20">
        <f>IF('計算A'!ER$106=1,IL20,1)</f>
        <v/>
      </c>
      <c r="RS20">
        <f>IF('計算A'!ES$106=1,IM20,1)</f>
        <v/>
      </c>
      <c r="RT20">
        <f>IF('計算A'!ET$106=1,IN20,1)</f>
        <v/>
      </c>
      <c r="RU20">
        <f>IF('計算A'!EU$106=1,IO20,1)</f>
        <v/>
      </c>
      <c r="RV20">
        <f>IF('計算A'!EV$106=1,IP20,1)</f>
        <v/>
      </c>
      <c r="RW20">
        <f>IF('計算A'!EW$106=1,IQ20,1)</f>
        <v/>
      </c>
      <c r="RX20">
        <f>IF('計算A'!EX$106=1,IR20,1)</f>
        <v/>
      </c>
      <c r="RY20">
        <f>IF('計算A'!EY$106=1,IS20,1)</f>
        <v/>
      </c>
      <c r="RZ20">
        <f>IF('計算A'!EZ$106=1,IT20,1)</f>
        <v/>
      </c>
      <c r="SA20">
        <f>IF('計算A'!FA$106=1,IU20,1)</f>
        <v/>
      </c>
      <c r="SB20">
        <f>IF('計算A'!FB$106=1,IV20,1)</f>
        <v/>
      </c>
      <c r="SC20">
        <f>IF('計算A'!FC$106=1,IW20,1)</f>
        <v/>
      </c>
      <c r="SD20">
        <f>IF('計算A'!FD$106=1,IX20,1)</f>
        <v/>
      </c>
      <c r="SE20">
        <f>IF('計算A'!FE$106=1,IY20,1)</f>
        <v/>
      </c>
      <c r="SF20">
        <f>IF('計算A'!FF$106=1,IZ20,1)</f>
        <v/>
      </c>
      <c r="SG20">
        <f>IF('計算A'!FG$106=1,JA20,1)</f>
        <v/>
      </c>
      <c r="SH20">
        <f>IF('計算A'!FH$106=1,JB20,1)</f>
        <v/>
      </c>
      <c r="SI20">
        <f>IF('計算A'!FI$106=1,JC20,1)</f>
        <v/>
      </c>
      <c r="SJ20">
        <f>IF('計算A'!FJ$106=1,JD20,1)</f>
        <v/>
      </c>
      <c r="SK20">
        <f>IF('計算A'!FK$106=1,JE20,1)</f>
        <v/>
      </c>
      <c r="SL20">
        <f>IF('計算A'!FL$106=1,JF20,1)</f>
        <v/>
      </c>
      <c r="SM20">
        <f>IF('計算A'!FM$106=1,JG20,1)</f>
        <v/>
      </c>
      <c r="SN20">
        <f>IF('計算A'!FN$106=1,JH20,1)</f>
        <v/>
      </c>
      <c r="SO20">
        <f>IF('計算A'!FO$106=1,JI20,1)</f>
        <v/>
      </c>
      <c r="SP20">
        <f>IF('計算A'!FP$106=1,JJ20,1)</f>
        <v/>
      </c>
      <c r="SQ20">
        <f>IF('計算A'!FQ$106=1,JK20,1)</f>
        <v/>
      </c>
      <c r="SR20">
        <f>IF('計算A'!FR$106=1,JL20,1)</f>
        <v/>
      </c>
      <c r="SS20">
        <f>IF('計算A'!FS$106=1,JM20,1)</f>
        <v/>
      </c>
      <c r="ST20">
        <f>IF('計算A'!FT$106=1,JN20,1)</f>
        <v/>
      </c>
      <c r="SU20">
        <f>IF('計算A'!FU$106=1,JO20,1)</f>
        <v/>
      </c>
      <c r="SV20">
        <f>IF('計算A'!FV$106=1,JP20,1)</f>
        <v/>
      </c>
      <c r="SW20">
        <f>IF('計算A'!FW$106=1,JQ20,1)</f>
        <v/>
      </c>
      <c r="SX20">
        <f>IF('計算A'!FX$106=1,JR20,1)</f>
        <v/>
      </c>
      <c r="SY20">
        <f>IF('計算A'!FY$106=1,JS20,1)</f>
        <v/>
      </c>
      <c r="SZ20">
        <f>IF('計算A'!FZ$106=1,JT20,1)</f>
        <v/>
      </c>
      <c r="TA20">
        <f>IF('計算A'!GA$106=1,JU20,1)</f>
        <v/>
      </c>
      <c r="TB20">
        <f>IF('計算A'!GB$106=1,JV20,1)</f>
        <v/>
      </c>
      <c r="TC20">
        <f>IF('計算A'!GC$106=1,JW20,1)</f>
        <v/>
      </c>
      <c r="TD20">
        <f>IF('計算A'!GD$106=1,JX20,1)</f>
        <v/>
      </c>
      <c r="TE20">
        <f>IF('計算A'!GE$106=1,JY20,1)</f>
        <v/>
      </c>
      <c r="TF20">
        <f>IF('計算A'!GF$106=1,JZ20,1)</f>
        <v/>
      </c>
      <c r="TG20">
        <f>IF('計算A'!GG$106=1,KA20,1)</f>
        <v/>
      </c>
      <c r="TH20">
        <f>IF('計算A'!GH$106=1,KB20,1)</f>
        <v/>
      </c>
      <c r="TI20">
        <f>IF('計算A'!GI$106=1,KC20,1)</f>
        <v/>
      </c>
      <c r="TJ20">
        <f>IF('計算A'!GJ$106=1,KD20,1)</f>
        <v/>
      </c>
      <c r="TK20">
        <f>IF('計算A'!GK$106=1,KE20,1)</f>
        <v/>
      </c>
      <c r="TL20">
        <f>IF('計算A'!GL$106=1,KF20,1)</f>
        <v/>
      </c>
      <c r="TM20">
        <f>IF('計算A'!GM$106=1,KG20,1)</f>
        <v/>
      </c>
      <c r="TN20">
        <f>IF('計算A'!GN$106=1,KH20,1)</f>
        <v/>
      </c>
      <c r="TO20">
        <f>IF('計算A'!GO$106=1,KI20,1)</f>
        <v/>
      </c>
      <c r="TP20">
        <f>IF('計算A'!GP$106=1,KJ20,1)</f>
        <v/>
      </c>
      <c r="TQ20">
        <f>IF('計算A'!GQ$106=1,KK20,1)</f>
        <v/>
      </c>
      <c r="TR20">
        <f>IF('計算A'!GR$106=1,KL20,1)</f>
        <v/>
      </c>
      <c r="TS20">
        <f>IF('計算A'!GS$106=1,KM20,1)</f>
        <v/>
      </c>
      <c r="TT20">
        <f>IF('計算A'!GT$106=1,KN20,1)</f>
        <v/>
      </c>
      <c r="TU20">
        <f>IF('計算A'!GU$106=1,KO20,1)</f>
        <v/>
      </c>
      <c r="TV20">
        <f>IF('計算A'!GV$106=1,KP20,1)</f>
        <v/>
      </c>
      <c r="TW20">
        <f>IF('計算A'!GW$106=1,KQ20,1)</f>
        <v/>
      </c>
      <c r="TX20">
        <f>IF('計算A'!GX$106=1,KR20,1)</f>
        <v/>
      </c>
      <c r="TY20">
        <f>IF('計算A'!GY$106=1,KS20,1)</f>
        <v/>
      </c>
      <c r="TZ20">
        <f>IF('計算A'!GZ$106=1,KT20,1)</f>
        <v/>
      </c>
      <c r="UA20">
        <f>IF('計算A'!HA$106=1,KU20,1)</f>
        <v/>
      </c>
      <c r="UB20">
        <f>IF('計算A'!HB$106=1,KV20,1)</f>
        <v/>
      </c>
      <c r="UC20">
        <f>IF('計算A'!HC$106=1,KW20,1)</f>
        <v/>
      </c>
      <c r="UD20">
        <f>IF('計算A'!HD$106=1,KX20,1)</f>
        <v/>
      </c>
      <c r="UE20">
        <f>IF('計算A'!HE$106=1,KY20,1)</f>
        <v/>
      </c>
      <c r="UF20">
        <f>IF('計算A'!HF$106=1,KZ20,1)</f>
        <v/>
      </c>
      <c r="UG20">
        <f>IF('計算A'!HG$106=1,LA20,1)</f>
        <v/>
      </c>
      <c r="UH20">
        <f>IF('計算A'!HH$106=1,LB20,1)</f>
        <v/>
      </c>
      <c r="UI20">
        <f>IF('計算A'!HI$106=1,LC20,1)</f>
        <v/>
      </c>
      <c r="UJ20">
        <f>IF('計算A'!HJ$106=1,LD20,1)</f>
        <v/>
      </c>
      <c r="UK20">
        <f>IF('計算A'!HK$106=1,LE20,1)</f>
        <v/>
      </c>
      <c r="UL20">
        <f>IF('計算A'!HL$106=1,LF20,1)</f>
        <v/>
      </c>
      <c r="UM20">
        <f>IF('計算A'!HM$106=1,LG20,1)</f>
        <v/>
      </c>
      <c r="UN20">
        <f>IF('計算A'!HN$106=1,LH20,1)</f>
        <v/>
      </c>
      <c r="UO20">
        <f>IF('計算A'!HO$106=1,LI20,1)</f>
        <v/>
      </c>
      <c r="UP20">
        <f>IF('計算A'!HP$106=1,LJ20,1)</f>
        <v/>
      </c>
      <c r="UQ20">
        <f>IF('計算A'!HQ$106=1,LK20,1)</f>
        <v/>
      </c>
      <c r="UR20">
        <f>IF('計算A'!HR$106=1,LL20,1)</f>
        <v/>
      </c>
      <c r="US20">
        <f>IF('計算A'!HS$106=1,LM20,1)</f>
        <v/>
      </c>
      <c r="UT20">
        <f>IF('計算A'!HT$106=1,LN20,1)</f>
        <v/>
      </c>
      <c r="UU20">
        <f>IF('計算A'!HU$106=1,LO20,1)</f>
        <v/>
      </c>
      <c r="UV20">
        <f>IF('計算A'!HV$106=1,LP20,1)</f>
        <v/>
      </c>
      <c r="UW20">
        <f>IF('計算A'!HW$106=1,LQ20,1)</f>
        <v/>
      </c>
      <c r="UX20">
        <f>IF('計算A'!HX$106=1,LR20,1)</f>
        <v/>
      </c>
      <c r="UY20">
        <f>IF('計算A'!HY$106=1,LS20,1)</f>
        <v/>
      </c>
      <c r="UZ20">
        <f>IF('計算A'!HZ$106=1,LT20,1)</f>
        <v/>
      </c>
      <c r="VA20">
        <f>IF('計算A'!IA$106=1,LU20,1)</f>
        <v/>
      </c>
      <c r="VB20">
        <f>IF('計算A'!IB$106=1,LV20,1)</f>
        <v/>
      </c>
      <c r="VC20">
        <f>IF('計算A'!IC$106=1,LW20,1)</f>
        <v/>
      </c>
      <c r="VD20">
        <f>IF('計算A'!ID$106=1,LX20,1)</f>
        <v/>
      </c>
      <c r="VE20">
        <f>IF('計算A'!IE$106=1,LY20,1)</f>
        <v/>
      </c>
      <c r="VF20">
        <f>IF('計算A'!IF$106=1,LZ20,1)</f>
        <v/>
      </c>
      <c r="VG20">
        <f>IF('計算A'!IG$106=1,MA20,1)</f>
        <v/>
      </c>
      <c r="VH20">
        <f>IF('計算A'!IH$106=1,MB20,1)</f>
        <v/>
      </c>
      <c r="VI20" t="n">
        <v>1</v>
      </c>
      <c r="VK20">
        <f>IF($B20=0,1000000,IF(INDEX('計算A'!$D$60:$II$104,$B20,1)*CW20=1,IF(AND($E20=2,MD20=0),1000000,INDEX('計算A'!D$110:D$114,$F20+1)+IF(AND($E20=1,MD20=0),1000,0)),1000000))</f>
        <v/>
      </c>
      <c r="VL20">
        <f>IF($B20=0,1000000,IF(INDEX('計算A'!$D$60:$II$104,$B20,2)*CX20=1,IF(AND($E20=2,ME20=0),1000000,INDEX('計算A'!E$110:E$114,$F20+1)+IF(AND($E20=1,ME20=0),1000,0)),1000000))</f>
        <v/>
      </c>
      <c r="VM20">
        <f>IF($B20=0,1000000,IF(INDEX('計算A'!$D$60:$II$104,$B20,3)*CY20=1,IF(AND($E20=2,MF20=0),1000000,INDEX('計算A'!F$110:F$114,$F20+1)+IF(AND($E20=1,MF20=0),1000,0)),1000000))</f>
        <v/>
      </c>
      <c r="VN20">
        <f>IF($B20=0,1000000,IF(INDEX('計算A'!$D$60:$II$104,$B20,4)*CZ20=1,IF(AND($E20=2,MG20=0),1000000,INDEX('計算A'!G$110:G$114,$F20+1)+IF(AND($E20=1,MG20=0),1000,0)),1000000))</f>
        <v/>
      </c>
      <c r="VO20">
        <f>IF($B20=0,1000000,IF(INDEX('計算A'!$D$60:$II$104,$B20,5)*DA20=1,IF(AND($E20=2,MH20=0),1000000,INDEX('計算A'!H$110:H$114,$F20+1)+IF(AND($E20=1,MH20=0),1000,0)),1000000))</f>
        <v/>
      </c>
      <c r="VP20">
        <f>IF($B20=0,1000000,IF(INDEX('計算A'!$D$60:$II$104,$B20,6)*DB20=1,IF(AND($E20=2,MI20=0),1000000,INDEX('計算A'!I$110:I$114,$F20+1)+IF(AND($E20=1,MI20=0),1000,0)),1000000))</f>
        <v/>
      </c>
      <c r="VQ20">
        <f>IF($B20=0,1000000,IF(INDEX('計算A'!$D$60:$II$104,$B20,7)*DC20=1,IF(AND($E20=2,MJ20=0),1000000,INDEX('計算A'!J$110:J$114,$F20+1)+IF(AND($E20=1,MJ20=0),1000,0)),1000000))</f>
        <v/>
      </c>
      <c r="VR20">
        <f>IF($B20=0,1000000,IF(INDEX('計算A'!$D$60:$II$104,$B20,8)*DD20=1,IF(AND($E20=2,MK20=0),1000000,INDEX('計算A'!K$110:K$114,$F20+1)+IF(AND($E20=1,MK20=0),1000,0)),1000000))</f>
        <v/>
      </c>
      <c r="VS20">
        <f>IF($B20=0,1000000,IF(INDEX('計算A'!$D$60:$II$104,$B20,9)*DE20=1,IF(AND($E20=2,ML20=0),1000000,INDEX('計算A'!L$110:L$114,$F20+1)+IF(AND($E20=1,ML20=0),1000,0)),1000000))</f>
        <v/>
      </c>
      <c r="VT20">
        <f>IF($B20=0,1000000,IF(INDEX('計算A'!$D$60:$II$104,$B20,10)*DF20=1,IF(AND($E20=2,MM20=0),1000000,INDEX('計算A'!M$110:M$114,$F20+1)+IF(AND($E20=1,MM20=0),1000,0)),1000000))</f>
        <v/>
      </c>
      <c r="VU20">
        <f>IF($B20=0,1000000,IF(INDEX('計算A'!$D$60:$II$104,$B20,11)*DG20=1,IF(AND($E20=2,MN20=0),1000000,INDEX('計算A'!N$110:N$114,$F20+1)+IF(AND($E20=1,MN20=0),1000,0)),1000000))</f>
        <v/>
      </c>
      <c r="VV20">
        <f>IF($B20=0,1000000,IF(INDEX('計算A'!$D$60:$II$104,$B20,12)*DH20=1,IF(AND($E20=2,MO20=0),1000000,INDEX('計算A'!O$110:O$114,$F20+1)+IF(AND($E20=1,MO20=0),1000,0)),1000000))</f>
        <v/>
      </c>
      <c r="VW20">
        <f>IF($B20=0,1000000,IF(INDEX('計算A'!$D$60:$II$104,$B20,13)*DI20=1,IF(AND($E20=2,MP20=0),1000000,INDEX('計算A'!P$110:P$114,$F20+1)+IF(AND($E20=1,MP20=0),1000,0)),1000000))</f>
        <v/>
      </c>
      <c r="VX20">
        <f>IF($B20=0,1000000,IF(INDEX('計算A'!$D$60:$II$104,$B20,14)*DJ20=1,IF(AND($E20=2,MQ20=0),1000000,INDEX('計算A'!Q$110:Q$114,$F20+1)+IF(AND($E20=1,MQ20=0),1000,0)),1000000))</f>
        <v/>
      </c>
      <c r="VY20">
        <f>IF($B20=0,1000000,IF(INDEX('計算A'!$D$60:$II$104,$B20,15)*DK20=1,IF(AND($E20=2,MR20=0),1000000,INDEX('計算A'!R$110:R$114,$F20+1)+IF(AND($E20=1,MR20=0),1000,0)),1000000))</f>
        <v/>
      </c>
      <c r="VZ20">
        <f>IF($B20=0,1000000,IF(INDEX('計算A'!$D$60:$II$104,$B20,16)*DL20=1,IF(AND($E20=2,MS20=0),1000000,INDEX('計算A'!S$110:S$114,$F20+1)+IF(AND($E20=1,MS20=0),1000,0)),1000000))</f>
        <v/>
      </c>
      <c r="WA20">
        <f>IF($B20=0,1000000,IF(INDEX('計算A'!$D$60:$II$104,$B20,17)*DM20=1,IF(AND($E20=2,MT20=0),1000000,INDEX('計算A'!T$110:T$114,$F20+1)+IF(AND($E20=1,MT20=0),1000,0)),1000000))</f>
        <v/>
      </c>
      <c r="WB20">
        <f>IF($B20=0,1000000,IF(INDEX('計算A'!$D$60:$II$104,$B20,18)*DN20=1,IF(AND($E20=2,MU20=0),1000000,INDEX('計算A'!U$110:U$114,$F20+1)+IF(AND($E20=1,MU20=0),1000,0)),1000000))</f>
        <v/>
      </c>
      <c r="WC20">
        <f>IF($B20=0,1000000,IF(INDEX('計算A'!$D$60:$II$104,$B20,19)*DO20=1,IF(AND($E20=2,MV20=0),1000000,INDEX('計算A'!V$110:V$114,$F20+1)+IF(AND($E20=1,MV20=0),1000,0)),1000000))</f>
        <v/>
      </c>
      <c r="WD20">
        <f>IF($B20=0,1000000,IF(INDEX('計算A'!$D$60:$II$104,$B20,20)*DP20=1,IF(AND($E20=2,MW20=0),1000000,INDEX('計算A'!W$110:W$114,$F20+1)+IF(AND($E20=1,MW20=0),1000,0)),1000000))</f>
        <v/>
      </c>
      <c r="WE20">
        <f>IF($B20=0,1000000,IF(INDEX('計算A'!$D$60:$II$104,$B20,21)*DQ20=1,IF(AND($E20=2,MX20=0),1000000,INDEX('計算A'!X$110:X$114,$F20+1)+IF(AND($E20=1,MX20=0),1000,0)),1000000))</f>
        <v/>
      </c>
      <c r="WF20">
        <f>IF($B20=0,1000000,IF(INDEX('計算A'!$D$60:$II$104,$B20,22)*DR20=1,IF(AND($E20=2,MY20=0),1000000,INDEX('計算A'!Y$110:Y$114,$F20+1)+IF(AND($E20=1,MY20=0),1000,0)),1000000))</f>
        <v/>
      </c>
      <c r="WG20">
        <f>IF($B20=0,1000000,IF(INDEX('計算A'!$D$60:$II$104,$B20,23)*DS20=1,IF(AND($E20=2,MZ20=0),1000000,INDEX('計算A'!Z$110:Z$114,$F20+1)+IF(AND($E20=1,MZ20=0),1000,0)),1000000))</f>
        <v/>
      </c>
      <c r="WH20">
        <f>IF($B20=0,1000000,IF(INDEX('計算A'!$D$60:$II$104,$B20,24)*DT20=1,IF(AND($E20=2,NA20=0),1000000,INDEX('計算A'!AA$110:AA$114,$F20+1)+IF(AND($E20=1,NA20=0),1000,0)),1000000))</f>
        <v/>
      </c>
      <c r="WI20">
        <f>IF($B20=0,1000000,IF(INDEX('計算A'!$D$60:$II$104,$B20,25)*DU20=1,IF(AND($E20=2,NB20=0),1000000,INDEX('計算A'!AB$110:AB$114,$F20+1)+IF(AND($E20=1,NB20=0),1000,0)),1000000))</f>
        <v/>
      </c>
      <c r="WJ20">
        <f>IF($B20=0,1000000,IF(INDEX('計算A'!$D$60:$II$104,$B20,26)*DV20=1,IF(AND($E20=2,NC20=0),1000000,INDEX('計算A'!AC$110:AC$114,$F20+1)+IF(AND($E20=1,NC20=0),1000,0)),1000000))</f>
        <v/>
      </c>
      <c r="WK20">
        <f>IF($B20=0,1000000,IF(INDEX('計算A'!$D$60:$II$104,$B20,27)*DW20=1,IF(AND($E20=2,ND20=0),1000000,INDEX('計算A'!AD$110:AD$114,$F20+1)+IF(AND($E20=1,ND20=0),1000,0)),1000000))</f>
        <v/>
      </c>
      <c r="WL20">
        <f>IF($B20=0,1000000,IF(INDEX('計算A'!$D$60:$II$104,$B20,28)*DX20=1,IF(AND($E20=2,NE20=0),1000000,INDEX('計算A'!AE$110:AE$114,$F20+1)+IF(AND($E20=1,NE20=0),1000,0)),1000000))</f>
        <v/>
      </c>
      <c r="WM20">
        <f>IF($B20=0,1000000,IF(INDEX('計算A'!$D$60:$II$104,$B20,29)*DY20=1,IF(AND($E20=2,NF20=0),1000000,INDEX('計算A'!AF$110:AF$114,$F20+1)+IF(AND($E20=1,NF20=0),1000,0)),1000000))</f>
        <v/>
      </c>
      <c r="WN20">
        <f>IF($B20=0,1000000,IF(INDEX('計算A'!$D$60:$II$104,$B20,30)*DZ20=1,IF(AND($E20=2,NG20=0),1000000,INDEX('計算A'!AG$110:AG$114,$F20+1)+IF(AND($E20=1,NG20=0),1000,0)),1000000))</f>
        <v/>
      </c>
      <c r="WO20">
        <f>IF($B20=0,1000000,IF(INDEX('計算A'!$D$60:$II$104,$B20,31)*EA20=1,IF(AND($E20=2,NH20=0),1000000,INDEX('計算A'!AH$110:AH$114,$F20+1)+IF(AND($E20=1,NH20=0),1000,0)),1000000))</f>
        <v/>
      </c>
      <c r="WP20">
        <f>IF($B20=0,1000000,IF(INDEX('計算A'!$D$60:$II$104,$B20,32)*EB20=1,IF(AND($E20=2,NI20=0),1000000,INDEX('計算A'!AI$110:AI$114,$F20+1)+IF(AND($E20=1,NI20=0),1000,0)),1000000))</f>
        <v/>
      </c>
      <c r="WQ20">
        <f>IF($B20=0,1000000,IF(INDEX('計算A'!$D$60:$II$104,$B20,33)*EC20=1,IF(AND($E20=2,NJ20=0),1000000,INDEX('計算A'!AJ$110:AJ$114,$F20+1)+IF(AND($E20=1,NJ20=0),1000,0)),1000000))</f>
        <v/>
      </c>
      <c r="WR20">
        <f>IF($B20=0,1000000,IF(INDEX('計算A'!$D$60:$II$104,$B20,34)*ED20=1,IF(AND($E20=2,NK20=0),1000000,INDEX('計算A'!AK$110:AK$114,$F20+1)+IF(AND($E20=1,NK20=0),1000,0)),1000000))</f>
        <v/>
      </c>
      <c r="WS20">
        <f>IF($B20=0,1000000,IF(INDEX('計算A'!$D$60:$II$104,$B20,35)*EE20=1,IF(AND($E20=2,NL20=0),1000000,INDEX('計算A'!AL$110:AL$114,$F20+1)+IF(AND($E20=1,NL20=0),1000,0)),1000000))</f>
        <v/>
      </c>
      <c r="WT20">
        <f>IF($B20=0,1000000,IF(INDEX('計算A'!$D$60:$II$104,$B20,36)*EF20=1,IF(AND($E20=2,NM20=0),1000000,INDEX('計算A'!AM$110:AM$114,$F20+1)+IF(AND($E20=1,NM20=0),1000,0)),1000000))</f>
        <v/>
      </c>
      <c r="WU20">
        <f>IF($B20=0,1000000,IF(INDEX('計算A'!$D$60:$II$104,$B20,37)*EG20=1,IF(AND($E20=2,NN20=0),1000000,INDEX('計算A'!AN$110:AN$114,$F20+1)+IF(AND($E20=1,NN20=0),1000,0)),1000000))</f>
        <v/>
      </c>
      <c r="WV20">
        <f>IF($B20=0,1000000,IF(INDEX('計算A'!$D$60:$II$104,$B20,38)*EH20=1,IF(AND($E20=2,NO20=0),1000000,INDEX('計算A'!AO$110:AO$114,$F20+1)+IF(AND($E20=1,NO20=0),1000,0)),1000000))</f>
        <v/>
      </c>
      <c r="WW20">
        <f>IF($B20=0,1000000,IF(INDEX('計算A'!$D$60:$II$104,$B20,39)*EI20=1,IF(AND($E20=2,NP20=0),1000000,INDEX('計算A'!AP$110:AP$114,$F20+1)+IF(AND($E20=1,NP20=0),1000,0)),1000000))</f>
        <v/>
      </c>
      <c r="WX20">
        <f>IF($B20=0,1000000,IF(INDEX('計算A'!$D$60:$II$104,$B20,40)*EJ20=1,IF(AND($E20=2,NQ20=0),1000000,INDEX('計算A'!AQ$110:AQ$114,$F20+1)+IF(AND($E20=1,NQ20=0),1000,0)),1000000))</f>
        <v/>
      </c>
      <c r="WY20">
        <f>IF($B20=0,1000000,IF(INDEX('計算A'!$D$60:$II$104,$B20,41)*EK20=1,IF(AND($E20=2,NR20=0),1000000,INDEX('計算A'!AR$110:AR$114,$F20+1)+IF(AND($E20=1,NR20=0),1000,0)),1000000))</f>
        <v/>
      </c>
      <c r="WZ20">
        <f>IF($B20=0,1000000,IF(INDEX('計算A'!$D$60:$II$104,$B20,42)*EL20=1,IF(AND($E20=2,NS20=0),1000000,INDEX('計算A'!AS$110:AS$114,$F20+1)+IF(AND($E20=1,NS20=0),1000,0)),1000000))</f>
        <v/>
      </c>
      <c r="XA20">
        <f>IF($B20=0,1000000,IF(INDEX('計算A'!$D$60:$II$104,$B20,43)*EM20=1,IF(AND($E20=2,NT20=0),1000000,INDEX('計算A'!AT$110:AT$114,$F20+1)+IF(AND($E20=1,NT20=0),1000,0)),1000000))</f>
        <v/>
      </c>
      <c r="XB20">
        <f>IF($B20=0,1000000,IF(INDEX('計算A'!$D$60:$II$104,$B20,44)*EN20=1,IF(AND($E20=2,NU20=0),1000000,INDEX('計算A'!AU$110:AU$114,$F20+1)+IF(AND($E20=1,NU20=0),1000,0)),1000000))</f>
        <v/>
      </c>
      <c r="XC20">
        <f>IF($B20=0,1000000,IF(INDEX('計算A'!$D$60:$II$104,$B20,45)*EO20=1,IF(AND($E20=2,NV20=0),1000000,INDEX('計算A'!AV$110:AV$114,$F20+1)+IF(AND($E20=1,NV20=0),1000,0)),1000000))</f>
        <v/>
      </c>
      <c r="XD20">
        <f>IF($B20=0,1000000,IF(INDEX('計算A'!$D$60:$II$104,$B20,46)*EP20=1,IF(AND($E20=2,NW20=0),1000000,INDEX('計算A'!AW$110:AW$114,$F20+1)+IF(AND($E20=1,NW20=0),1000,0)),1000000))</f>
        <v/>
      </c>
      <c r="XE20">
        <f>IF($B20=0,1000000,IF(INDEX('計算A'!$D$60:$II$104,$B20,47)*EQ20=1,IF(AND($E20=2,NX20=0),1000000,INDEX('計算A'!AX$110:AX$114,$F20+1)+IF(AND($E20=1,NX20=0),1000,0)),1000000))</f>
        <v/>
      </c>
      <c r="XF20">
        <f>IF($B20=0,1000000,IF(INDEX('計算A'!$D$60:$II$104,$B20,48)*ER20=1,IF(AND($E20=2,NY20=0),1000000,INDEX('計算A'!AY$110:AY$114,$F20+1)+IF(AND($E20=1,NY20=0),1000,0)),1000000))</f>
        <v/>
      </c>
      <c r="XG20">
        <f>IF($B20=0,1000000,IF(INDEX('計算A'!$D$60:$II$104,$B20,49)*ES20=1,IF(AND($E20=2,NZ20=0),1000000,INDEX('計算A'!AZ$110:AZ$114,$F20+1)+IF(AND($E20=1,NZ20=0),1000,0)),1000000))</f>
        <v/>
      </c>
      <c r="XH20">
        <f>IF($B20=0,1000000,IF(INDEX('計算A'!$D$60:$II$104,$B20,50)*ET20=1,IF(AND($E20=2,OA20=0),1000000,INDEX('計算A'!BA$110:BA$114,$F20+1)+IF(AND($E20=1,OA20=0),1000,0)),1000000))</f>
        <v/>
      </c>
      <c r="XI20">
        <f>IF($B20=0,1000000,IF(INDEX('計算A'!$D$60:$II$104,$B20,51)*EU20=1,IF(AND($E20=2,OB20=0),1000000,INDEX('計算A'!BB$110:BB$114,$F20+1)+IF(AND($E20=1,OB20=0),1000,0)),1000000))</f>
        <v/>
      </c>
      <c r="XJ20">
        <f>IF($B20=0,1000000,IF(INDEX('計算A'!$D$60:$II$104,$B20,52)*EV20=1,IF(AND($E20=2,OC20=0),1000000,INDEX('計算A'!BC$110:BC$114,$F20+1)+IF(AND($E20=1,OC20=0),1000,0)),1000000))</f>
        <v/>
      </c>
      <c r="XK20">
        <f>IF($B20=0,1000000,IF(INDEX('計算A'!$D$60:$II$104,$B20,53)*EW20=1,IF(AND($E20=2,OD20=0),1000000,INDEX('計算A'!BD$110:BD$114,$F20+1)+IF(AND($E20=1,OD20=0),1000,0)),1000000))</f>
        <v/>
      </c>
      <c r="XL20">
        <f>IF($B20=0,1000000,IF(INDEX('計算A'!$D$60:$II$104,$B20,54)*EX20=1,IF(AND($E20=2,OE20=0),1000000,INDEX('計算A'!BE$110:BE$114,$F20+1)+IF(AND($E20=1,OE20=0),1000,0)),1000000))</f>
        <v/>
      </c>
      <c r="XM20">
        <f>IF($B20=0,1000000,IF(INDEX('計算A'!$D$60:$II$104,$B20,55)*EY20=1,IF(AND($E20=2,OF20=0),1000000,INDEX('計算A'!BF$110:BF$114,$F20+1)+IF(AND($E20=1,OF20=0),1000,0)),1000000))</f>
        <v/>
      </c>
      <c r="XN20">
        <f>IF($B20=0,1000000,IF(INDEX('計算A'!$D$60:$II$104,$B20,56)*EZ20=1,IF(AND($E20=2,OG20=0),1000000,INDEX('計算A'!BG$110:BG$114,$F20+1)+IF(AND($E20=1,OG20=0),1000,0)),1000000))</f>
        <v/>
      </c>
      <c r="XO20">
        <f>IF($B20=0,1000000,IF(INDEX('計算A'!$D$60:$II$104,$B20,57)*FA20=1,IF(AND($E20=2,OH20=0),1000000,INDEX('計算A'!BH$110:BH$114,$F20+1)+IF(AND($E20=1,OH20=0),1000,0)),1000000))</f>
        <v/>
      </c>
      <c r="XP20">
        <f>IF($B20=0,1000000,IF(INDEX('計算A'!$D$60:$II$104,$B20,58)*FB20=1,IF(AND($E20=2,OI20=0),1000000,INDEX('計算A'!BI$110:BI$114,$F20+1)+IF(AND($E20=1,OI20=0),1000,0)),1000000))</f>
        <v/>
      </c>
      <c r="XQ20">
        <f>IF($B20=0,1000000,IF(INDEX('計算A'!$D$60:$II$104,$B20,59)*FC20=1,IF(AND($E20=2,OJ20=0),1000000,INDEX('計算A'!BJ$110:BJ$114,$F20+1)+IF(AND($E20=1,OJ20=0),1000,0)),1000000))</f>
        <v/>
      </c>
      <c r="XR20">
        <f>IF($B20=0,1000000,IF(INDEX('計算A'!$D$60:$II$104,$B20,60)*FD20=1,IF(AND($E20=2,OK20=0),1000000,INDEX('計算A'!BK$110:BK$114,$F20+1)+IF(AND($E20=1,OK20=0),1000,0)),1000000))</f>
        <v/>
      </c>
      <c r="XS20">
        <f>IF($B20=0,1000000,IF(INDEX('計算A'!$D$60:$II$104,$B20,61)*FE20=1,IF(AND($E20=2,OL20=0),1000000,INDEX('計算A'!BL$110:BL$114,$F20+1)+IF(AND($E20=1,OL20=0),1000,0)),1000000))</f>
        <v/>
      </c>
      <c r="XT20">
        <f>IF($B20=0,1000000,IF(INDEX('計算A'!$D$60:$II$104,$B20,62)*FF20=1,IF(AND($E20=2,OM20=0),1000000,INDEX('計算A'!BM$110:BM$114,$F20+1)+IF(AND($E20=1,OM20=0),1000,0)),1000000))</f>
        <v/>
      </c>
      <c r="XU20">
        <f>IF($B20=0,1000000,IF(INDEX('計算A'!$D$60:$II$104,$B20,63)*FG20=1,IF(AND($E20=2,ON20=0),1000000,INDEX('計算A'!BN$110:BN$114,$F20+1)+IF(AND($E20=1,ON20=0),1000,0)),1000000))</f>
        <v/>
      </c>
      <c r="XV20">
        <f>IF($B20=0,1000000,IF(INDEX('計算A'!$D$60:$II$104,$B20,64)*FH20=1,IF(AND($E20=2,OO20=0),1000000,INDEX('計算A'!BO$110:BO$114,$F20+1)+IF(AND($E20=1,OO20=0),1000,0)),1000000))</f>
        <v/>
      </c>
      <c r="XW20">
        <f>IF($B20=0,1000000,IF(INDEX('計算A'!$D$60:$II$104,$B20,65)*FI20=1,IF(AND($E20=2,OP20=0),1000000,INDEX('計算A'!BP$110:BP$114,$F20+1)+IF(AND($E20=1,OP20=0),1000,0)),1000000))</f>
        <v/>
      </c>
      <c r="XX20">
        <f>IF($B20=0,1000000,IF(INDEX('計算A'!$D$60:$II$104,$B20,66)*FJ20=1,IF(AND($E20=2,OQ20=0),1000000,INDEX('計算A'!BQ$110:BQ$114,$F20+1)+IF(AND($E20=1,OQ20=0),1000,0)),1000000))</f>
        <v/>
      </c>
      <c r="XY20">
        <f>IF($B20=0,1000000,IF(INDEX('計算A'!$D$60:$II$104,$B20,67)*FK20=1,IF(AND($E20=2,OR20=0),1000000,INDEX('計算A'!BR$110:BR$114,$F20+1)+IF(AND($E20=1,OR20=0),1000,0)),1000000))</f>
        <v/>
      </c>
      <c r="XZ20">
        <f>IF($B20=0,1000000,IF(INDEX('計算A'!$D$60:$II$104,$B20,68)*FL20=1,IF(AND($E20=2,OS20=0),1000000,INDEX('計算A'!BS$110:BS$114,$F20+1)+IF(AND($E20=1,OS20=0),1000,0)),1000000))</f>
        <v/>
      </c>
      <c r="YA20">
        <f>IF($B20=0,1000000,IF(INDEX('計算A'!$D$60:$II$104,$B20,69)*FM20=1,IF(AND($E20=2,OT20=0),1000000,INDEX('計算A'!BT$110:BT$114,$F20+1)+IF(AND($E20=1,OT20=0),1000,0)),1000000))</f>
        <v/>
      </c>
      <c r="YB20">
        <f>IF($B20=0,1000000,IF(INDEX('計算A'!$D$60:$II$104,$B20,70)*FN20=1,IF(AND($E20=2,OU20=0),1000000,INDEX('計算A'!BU$110:BU$114,$F20+1)+IF(AND($E20=1,OU20=0),1000,0)),1000000))</f>
        <v/>
      </c>
      <c r="YC20">
        <f>IF($B20=0,1000000,IF(INDEX('計算A'!$D$60:$II$104,$B20,71)*FO20=1,IF(AND($E20=2,OV20=0),1000000,INDEX('計算A'!BV$110:BV$114,$F20+1)+IF(AND($E20=1,OV20=0),1000,0)),1000000))</f>
        <v/>
      </c>
      <c r="YD20">
        <f>IF($B20=0,1000000,IF(INDEX('計算A'!$D$60:$II$104,$B20,72)*FP20=1,IF(AND($E20=2,OW20=0),1000000,INDEX('計算A'!BW$110:BW$114,$F20+1)+IF(AND($E20=1,OW20=0),1000,0)),1000000))</f>
        <v/>
      </c>
      <c r="YE20">
        <f>IF($B20=0,1000000,IF(INDEX('計算A'!$D$60:$II$104,$B20,73)*FQ20=1,IF(AND($E20=2,OX20=0),1000000,INDEX('計算A'!BX$110:BX$114,$F20+1)+IF(AND($E20=1,OX20=0),1000,0)),1000000))</f>
        <v/>
      </c>
      <c r="YF20">
        <f>IF($B20=0,1000000,IF(INDEX('計算A'!$D$60:$II$104,$B20,74)*FR20=1,IF(AND($E20=2,OY20=0),1000000,INDEX('計算A'!BY$110:BY$114,$F20+1)+IF(AND($E20=1,OY20=0),1000,0)),1000000))</f>
        <v/>
      </c>
      <c r="YG20">
        <f>IF($B20=0,1000000,IF(INDEX('計算A'!$D$60:$II$104,$B20,75)*FS20=1,IF(AND($E20=2,OZ20=0),1000000,INDEX('計算A'!BZ$110:BZ$114,$F20+1)+IF(AND($E20=1,OZ20=0),1000,0)),1000000))</f>
        <v/>
      </c>
      <c r="YH20">
        <f>IF($B20=0,1000000,IF(INDEX('計算A'!$D$60:$II$104,$B20,76)*FT20=1,IF(AND($E20=2,PA20=0),1000000,INDEX('計算A'!CA$110:CA$114,$F20+1)+IF(AND($E20=1,PA20=0),1000,0)),1000000))</f>
        <v/>
      </c>
      <c r="YI20">
        <f>IF($B20=0,1000000,IF(INDEX('計算A'!$D$60:$II$104,$B20,77)*FU20=1,IF(AND($E20=2,PB20=0),1000000,INDEX('計算A'!CB$110:CB$114,$F20+1)+IF(AND($E20=1,PB20=0),1000,0)),1000000))</f>
        <v/>
      </c>
      <c r="YJ20">
        <f>IF($B20=0,1000000,IF(INDEX('計算A'!$D$60:$II$104,$B20,78)*FV20=1,IF(AND($E20=2,PC20=0),1000000,INDEX('計算A'!CC$110:CC$114,$F20+1)+IF(AND($E20=1,PC20=0),1000,0)),1000000))</f>
        <v/>
      </c>
      <c r="YK20">
        <f>IF($B20=0,1000000,IF(INDEX('計算A'!$D$60:$II$104,$B20,79)*FW20=1,IF(AND($E20=2,PD20=0),1000000,INDEX('計算A'!CD$110:CD$114,$F20+1)+IF(AND($E20=1,PD20=0),1000,0)),1000000))</f>
        <v/>
      </c>
      <c r="YL20">
        <f>IF($B20=0,1000000,IF(INDEX('計算A'!$D$60:$II$104,$B20,80)*FX20=1,IF(AND($E20=2,PE20=0),1000000,INDEX('計算A'!CE$110:CE$114,$F20+1)+IF(AND($E20=1,PE20=0),1000,0)),1000000))</f>
        <v/>
      </c>
      <c r="YM20">
        <f>IF($B20=0,1000000,IF(INDEX('計算A'!$D$60:$II$104,$B20,81)*FY20=1,IF(AND($E20=2,PF20=0),1000000,INDEX('計算A'!CF$110:CF$114,$F20+1)+IF(AND($E20=1,PF20=0),1000,0)),1000000))</f>
        <v/>
      </c>
      <c r="YN20">
        <f>IF($B20=0,1000000,IF(INDEX('計算A'!$D$60:$II$104,$B20,82)*FZ20=1,IF(AND($E20=2,PG20=0),1000000,INDEX('計算A'!CG$110:CG$114,$F20+1)+IF(AND($E20=1,PG20=0),1000,0)),1000000))</f>
        <v/>
      </c>
      <c r="YO20">
        <f>IF($B20=0,1000000,IF(INDEX('計算A'!$D$60:$II$104,$B20,83)*GA20=1,IF(AND($E20=2,PH20=0),1000000,INDEX('計算A'!CH$110:CH$114,$F20+1)+IF(AND($E20=1,PH20=0),1000,0)),1000000))</f>
        <v/>
      </c>
      <c r="YP20">
        <f>IF($B20=0,1000000,IF(INDEX('計算A'!$D$60:$II$104,$B20,84)*GB20=1,IF(AND($E20=2,PI20=0),1000000,INDEX('計算A'!CI$110:CI$114,$F20+1)+IF(AND($E20=1,PI20=0),1000,0)),1000000))</f>
        <v/>
      </c>
      <c r="YQ20">
        <f>IF($B20=0,1000000,IF(INDEX('計算A'!$D$60:$II$104,$B20,85)*GC20=1,IF(AND($E20=2,PJ20=0),1000000,INDEX('計算A'!CJ$110:CJ$114,$F20+1)+IF(AND($E20=1,PJ20=0),1000,0)),1000000))</f>
        <v/>
      </c>
      <c r="YR20">
        <f>IF($B20=0,1000000,IF(INDEX('計算A'!$D$60:$II$104,$B20,86)*GD20=1,IF(AND($E20=2,PK20=0),1000000,INDEX('計算A'!CK$110:CK$114,$F20+1)+IF(AND($E20=1,PK20=0),1000,0)),1000000))</f>
        <v/>
      </c>
      <c r="YS20">
        <f>IF($B20=0,1000000,IF(INDEX('計算A'!$D$60:$II$104,$B20,87)*GE20=1,IF(AND($E20=2,PL20=0),1000000,INDEX('計算A'!CL$110:CL$114,$F20+1)+IF(AND($E20=1,PL20=0),1000,0)),1000000))</f>
        <v/>
      </c>
      <c r="YT20">
        <f>IF($B20=0,1000000,IF(INDEX('計算A'!$D$60:$II$104,$B20,88)*GF20=1,IF(AND($E20=2,PM20=0),1000000,INDEX('計算A'!CM$110:CM$114,$F20+1)+IF(AND($E20=1,PM20=0),1000,0)),1000000))</f>
        <v/>
      </c>
      <c r="YU20">
        <f>IF($B20=0,1000000,IF(INDEX('計算A'!$D$60:$II$104,$B20,89)*GG20=1,IF(AND($E20=2,PN20=0),1000000,INDEX('計算A'!CN$110:CN$114,$F20+1)+IF(AND($E20=1,PN20=0),1000,0)),1000000))</f>
        <v/>
      </c>
      <c r="YV20">
        <f>IF($B20=0,1000000,IF(INDEX('計算A'!$D$60:$II$104,$B20,90)*GH20=1,IF(AND($E20=2,PO20=0),1000000,INDEX('計算A'!CO$110:CO$114,$F20+1)+IF(AND($E20=1,PO20=0),1000,0)),1000000))</f>
        <v/>
      </c>
      <c r="YW20">
        <f>IF($B20=0,1000000,IF(INDEX('計算A'!$D$60:$II$104,$B20,91)*GI20=1,IF(AND($E20=2,PP20=0),1000000,INDEX('計算A'!CP$110:CP$114,$F20+1)+IF(AND($E20=1,PP20=0),1000,0)),1000000))</f>
        <v/>
      </c>
      <c r="YX20">
        <f>IF($B20=0,1000000,IF(INDEX('計算A'!$D$60:$II$104,$B20,92)*GJ20=1,IF(AND($E20=2,PQ20=0),1000000,INDEX('計算A'!CQ$110:CQ$114,$F20+1)+IF(AND($E20=1,PQ20=0),1000,0)),1000000))</f>
        <v/>
      </c>
      <c r="YY20">
        <f>IF($B20=0,1000000,IF(INDEX('計算A'!$D$60:$II$104,$B20,93)*GK20=1,IF(AND($E20=2,PR20=0),1000000,INDEX('計算A'!CR$110:CR$114,$F20+1)+IF(AND($E20=1,PR20=0),1000,0)),1000000))</f>
        <v/>
      </c>
      <c r="YZ20">
        <f>IF($B20=0,1000000,IF(INDEX('計算A'!$D$60:$II$104,$B20,94)*GL20=1,IF(AND($E20=2,PS20=0),1000000,INDEX('計算A'!CS$110:CS$114,$F20+1)+IF(AND($E20=1,PS20=0),1000,0)),1000000))</f>
        <v/>
      </c>
      <c r="ZA20">
        <f>IF($B20=0,1000000,IF(INDEX('計算A'!$D$60:$II$104,$B20,95)*GM20=1,IF(AND($E20=2,PT20=0),1000000,INDEX('計算A'!CT$110:CT$114,$F20+1)+IF(AND($E20=1,PT20=0),1000,0)),1000000))</f>
        <v/>
      </c>
      <c r="ZB20">
        <f>IF($B20=0,1000000,IF(INDEX('計算A'!$D$60:$II$104,$B20,96)*GN20=1,IF(AND($E20=2,PU20=0),1000000,INDEX('計算A'!CU$110:CU$114,$F20+1)+IF(AND($E20=1,PU20=0),1000,0)),1000000))</f>
        <v/>
      </c>
      <c r="ZC20">
        <f>IF($B20=0,1000000,IF(INDEX('計算A'!$D$60:$II$104,$B20,97)*GO20=1,IF(AND($E20=2,PV20=0),1000000,INDEX('計算A'!CV$110:CV$114,$F20+1)+IF(AND($E20=1,PV20=0),1000,0)),1000000))</f>
        <v/>
      </c>
      <c r="ZD20">
        <f>IF($B20=0,1000000,IF(INDEX('計算A'!$D$60:$II$104,$B20,98)*GP20=1,IF(AND($E20=2,PW20=0),1000000,INDEX('計算A'!CW$110:CW$114,$F20+1)+IF(AND($E20=1,PW20=0),1000,0)),1000000))</f>
        <v/>
      </c>
      <c r="ZE20">
        <f>IF($B20=0,1000000,IF(INDEX('計算A'!$D$60:$II$104,$B20,99)*GQ20=1,IF(AND($E20=2,PX20=0),1000000,INDEX('計算A'!CX$110:CX$114,$F20+1)+IF(AND($E20=1,PX20=0),1000,0)),1000000))</f>
        <v/>
      </c>
      <c r="ZF20">
        <f>IF($B20=0,1000000,IF(INDEX('計算A'!$D$60:$II$104,$B20,100)*GR20=1,IF(AND($E20=2,PY20=0),1000000,INDEX('計算A'!CY$110:CY$114,$F20+1)+IF(AND($E20=1,PY20=0),1000,0)),1000000))</f>
        <v/>
      </c>
      <c r="ZG20">
        <f>IF($B20=0,1000000,IF(INDEX('計算A'!$D$60:$II$104,$B20,101)*GS20=1,IF(AND($E20=2,PZ20=0),1000000,INDEX('計算A'!CZ$110:CZ$114,$F20+1)+IF(AND($E20=1,PZ20=0),1000,0)),1000000))</f>
        <v/>
      </c>
      <c r="ZH20">
        <f>IF($B20=0,1000000,IF(INDEX('計算A'!$D$60:$II$104,$B20,102)*GT20=1,IF(AND($E20=2,QA20=0),1000000,INDEX('計算A'!DA$110:DA$114,$F20+1)+IF(AND($E20=1,QA20=0),1000,0)),1000000))</f>
        <v/>
      </c>
      <c r="ZI20">
        <f>IF($B20=0,1000000,IF(INDEX('計算A'!$D$60:$II$104,$B20,103)*GU20=1,IF(AND($E20=2,QB20=0),1000000,INDEX('計算A'!DB$110:DB$114,$F20+1)+IF(AND($E20=1,QB20=0),1000,0)),1000000))</f>
        <v/>
      </c>
      <c r="ZJ20">
        <f>IF($B20=0,1000000,IF(INDEX('計算A'!$D$60:$II$104,$B20,104)*GV20=1,IF(AND($E20=2,QC20=0),1000000,INDEX('計算A'!DC$110:DC$114,$F20+1)+IF(AND($E20=1,QC20=0),1000,0)),1000000))</f>
        <v/>
      </c>
      <c r="ZK20">
        <f>IF($B20=0,1000000,IF(INDEX('計算A'!$D$60:$II$104,$B20,105)*GW20=1,IF(AND($E20=2,QD20=0),1000000,INDEX('計算A'!DD$110:DD$114,$F20+1)+IF(AND($E20=1,QD20=0),1000,0)),1000000))</f>
        <v/>
      </c>
      <c r="ZL20">
        <f>IF($B20=0,1000000,IF(INDEX('計算A'!$D$60:$II$104,$B20,106)*GX20=1,IF(AND($E20=2,QE20=0),1000000,INDEX('計算A'!DE$110:DE$114,$F20+1)+IF(AND($E20=1,QE20=0),1000,0)),1000000))</f>
        <v/>
      </c>
      <c r="ZM20">
        <f>IF($B20=0,1000000,IF(INDEX('計算A'!$D$60:$II$104,$B20,107)*GY20=1,IF(AND($E20=2,QF20=0),1000000,INDEX('計算A'!DF$110:DF$114,$F20+1)+IF(AND($E20=1,QF20=0),1000,0)),1000000))</f>
        <v/>
      </c>
      <c r="ZN20">
        <f>IF($B20=0,1000000,IF(INDEX('計算A'!$D$60:$II$104,$B20,108)*GZ20=1,IF(AND($E20=2,QG20=0),1000000,INDEX('計算A'!DG$110:DG$114,$F20+1)+IF(AND($E20=1,QG20=0),1000,0)),1000000))</f>
        <v/>
      </c>
      <c r="ZO20">
        <f>IF($B20=0,1000000,IF(INDEX('計算A'!$D$60:$II$104,$B20,109)*HA20=1,IF(AND($E20=2,QH20=0),1000000,INDEX('計算A'!DH$110:DH$114,$F20+1)+IF(AND($E20=1,QH20=0),1000,0)),1000000))</f>
        <v/>
      </c>
      <c r="ZP20">
        <f>IF($B20=0,1000000,IF(INDEX('計算A'!$D$60:$II$104,$B20,110)*HB20=1,IF(AND($E20=2,QI20=0),1000000,INDEX('計算A'!DI$110:DI$114,$F20+1)+IF(AND($E20=1,QI20=0),1000,0)),1000000))</f>
        <v/>
      </c>
      <c r="ZQ20">
        <f>IF($B20=0,1000000,IF(INDEX('計算A'!$D$60:$II$104,$B20,111)*HC20=1,IF(AND($E20=2,QJ20=0),1000000,INDEX('計算A'!DJ$110:DJ$114,$F20+1)+IF(AND($E20=1,QJ20=0),1000,0)),1000000))</f>
        <v/>
      </c>
      <c r="ZR20">
        <f>IF($B20=0,1000000,IF(INDEX('計算A'!$D$60:$II$104,$B20,112)*HD20=1,IF(AND($E20=2,QK20=0),1000000,INDEX('計算A'!DK$110:DK$114,$F20+1)+IF(AND($E20=1,QK20=0),1000,0)),1000000))</f>
        <v/>
      </c>
      <c r="ZS20">
        <f>IF($B20=0,1000000,IF(INDEX('計算A'!$D$60:$II$104,$B20,113)*HE20=1,IF(AND($E20=2,QL20=0),1000000,INDEX('計算A'!DL$110:DL$114,$F20+1)+IF(AND($E20=1,QL20=0),1000,0)),1000000))</f>
        <v/>
      </c>
      <c r="ZT20">
        <f>IF($B20=0,1000000,IF(INDEX('計算A'!$D$60:$II$104,$B20,114)*HF20=1,IF(AND($E20=2,QM20=0),1000000,INDEX('計算A'!DM$110:DM$114,$F20+1)+IF(AND($E20=1,QM20=0),1000,0)),1000000))</f>
        <v/>
      </c>
      <c r="ZU20">
        <f>IF($B20=0,1000000,IF(INDEX('計算A'!$D$60:$II$104,$B20,115)*HG20=1,IF(AND($E20=2,QN20=0),1000000,INDEX('計算A'!DN$110:DN$114,$F20+1)+IF(AND($E20=1,QN20=0),1000,0)),1000000))</f>
        <v/>
      </c>
      <c r="ZV20">
        <f>IF($B20=0,1000000,IF(INDEX('計算A'!$D$60:$II$104,$B20,116)*HH20=1,IF(AND($E20=2,QO20=0),1000000,INDEX('計算A'!DO$110:DO$114,$F20+1)+IF(AND($E20=1,QO20=0),1000,0)),1000000))</f>
        <v/>
      </c>
      <c r="ZW20">
        <f>IF($B20=0,1000000,IF(INDEX('計算A'!$D$60:$II$104,$B20,117)*HI20=1,IF(AND($E20=2,QP20=0),1000000,INDEX('計算A'!DP$110:DP$114,$F20+1)+IF(AND($E20=1,QP20=0),1000,0)),1000000))</f>
        <v/>
      </c>
      <c r="ZX20">
        <f>IF($B20=0,1000000,IF(INDEX('計算A'!$D$60:$II$104,$B20,118)*HJ20=1,IF(AND($E20=2,QQ20=0),1000000,INDEX('計算A'!DQ$110:DQ$114,$F20+1)+IF(AND($E20=1,QQ20=0),1000,0)),1000000))</f>
        <v/>
      </c>
      <c r="ZY20">
        <f>IF($B20=0,1000000,IF(INDEX('計算A'!$D$60:$II$104,$B20,119)*HK20=1,IF(AND($E20=2,QR20=0),1000000,INDEX('計算A'!DR$110:DR$114,$F20+1)+IF(AND($E20=1,QR20=0),1000,0)),1000000))</f>
        <v/>
      </c>
      <c r="ZZ20">
        <f>IF($B20=0,1000000,IF(INDEX('計算A'!$D$60:$II$104,$B20,120)*HL20=1,IF(AND($E20=2,QS20=0),1000000,INDEX('計算A'!DS$110:DS$114,$F20+1)+IF(AND($E20=1,QS20=0),1000,0)),1000000))</f>
        <v/>
      </c>
      <c r="AAA20">
        <f>IF($B20=0,1000000,IF(INDEX('計算A'!$D$60:$II$104,$B20,121)*HM20=1,IF(AND($E20=2,QT20=0),1000000,INDEX('計算A'!DT$110:DT$114,$F20+1)+IF(AND($E20=1,QT20=0),1000,0)),1000000))</f>
        <v/>
      </c>
      <c r="AAB20">
        <f>IF($B20=0,1000000,IF(INDEX('計算A'!$D$60:$II$104,$B20,122)*HN20=1,IF(AND($E20=2,QU20=0),1000000,INDEX('計算A'!DU$110:DU$114,$F20+1)+IF(AND($E20=1,QU20=0),1000,0)),1000000))</f>
        <v/>
      </c>
      <c r="AAC20">
        <f>IF($B20=0,1000000,IF(INDEX('計算A'!$D$60:$II$104,$B20,123)*HO20=1,IF(AND($E20=2,QV20=0),1000000,INDEX('計算A'!DV$110:DV$114,$F20+1)+IF(AND($E20=1,QV20=0),1000,0)),1000000))</f>
        <v/>
      </c>
      <c r="AAD20">
        <f>IF($B20=0,1000000,IF(INDEX('計算A'!$D$60:$II$104,$B20,124)*HP20=1,IF(AND($E20=2,QW20=0),1000000,INDEX('計算A'!DW$110:DW$114,$F20+1)+IF(AND($E20=1,QW20=0),1000,0)),1000000))</f>
        <v/>
      </c>
      <c r="AAE20">
        <f>IF($B20=0,1000000,IF(INDEX('計算A'!$D$60:$II$104,$B20,125)*HQ20=1,IF(AND($E20=2,QX20=0),1000000,INDEX('計算A'!DX$110:DX$114,$F20+1)+IF(AND($E20=1,QX20=0),1000,0)),1000000))</f>
        <v/>
      </c>
      <c r="AAF20">
        <f>IF($B20=0,1000000,IF(INDEX('計算A'!$D$60:$II$104,$B20,126)*HR20=1,IF(AND($E20=2,QY20=0),1000000,INDEX('計算A'!DY$110:DY$114,$F20+1)+IF(AND($E20=1,QY20=0),1000,0)),1000000))</f>
        <v/>
      </c>
      <c r="AAG20">
        <f>IF($B20=0,1000000,IF(INDEX('計算A'!$D$60:$II$104,$B20,127)*HS20=1,IF(AND($E20=2,QZ20=0),1000000,INDEX('計算A'!DZ$110:DZ$114,$F20+1)+IF(AND($E20=1,QZ20=0),1000,0)),1000000))</f>
        <v/>
      </c>
      <c r="AAH20">
        <f>IF($B20=0,1000000,IF(INDEX('計算A'!$D$60:$II$104,$B20,128)*HT20=1,IF(AND($E20=2,RA20=0),1000000,INDEX('計算A'!EA$110:EA$114,$F20+1)+IF(AND($E20=1,RA20=0),1000,0)),1000000))</f>
        <v/>
      </c>
      <c r="AAI20">
        <f>IF($B20=0,1000000,IF(INDEX('計算A'!$D$60:$II$104,$B20,129)*HU20=1,IF(AND($E20=2,RB20=0),1000000,INDEX('計算A'!EB$110:EB$114,$F20+1)+IF(AND($E20=1,RB20=0),1000,0)),1000000))</f>
        <v/>
      </c>
      <c r="AAJ20">
        <f>IF($B20=0,1000000,IF(INDEX('計算A'!$D$60:$II$104,$B20,130)*HV20=1,IF(AND($E20=2,RC20=0),1000000,INDEX('計算A'!EC$110:EC$114,$F20+1)+IF(AND($E20=1,RC20=0),1000,0)),1000000))</f>
        <v/>
      </c>
      <c r="AAK20">
        <f>IF($B20=0,1000000,IF(INDEX('計算A'!$D$60:$II$104,$B20,131)*HW20=1,IF(AND($E20=2,RD20=0),1000000,INDEX('計算A'!ED$110:ED$114,$F20+1)+IF(AND($E20=1,RD20=0),1000,0)),1000000))</f>
        <v/>
      </c>
      <c r="AAL20">
        <f>IF($B20=0,1000000,IF(INDEX('計算A'!$D$60:$II$104,$B20,132)*HX20=1,IF(AND($E20=2,RE20=0),1000000,INDEX('計算A'!EE$110:EE$114,$F20+1)+IF(AND($E20=1,RE20=0),1000,0)),1000000))</f>
        <v/>
      </c>
      <c r="AAM20">
        <f>IF($B20=0,1000000,IF(INDEX('計算A'!$D$60:$II$104,$B20,133)*HY20=1,IF(AND($E20=2,RF20=0),1000000,INDEX('計算A'!EF$110:EF$114,$F20+1)+IF(AND($E20=1,RF20=0),1000,0)),1000000))</f>
        <v/>
      </c>
      <c r="AAN20">
        <f>IF($B20=0,1000000,IF(INDEX('計算A'!$D$60:$II$104,$B20,134)*HZ20=1,IF(AND($E20=2,RG20=0),1000000,INDEX('計算A'!EG$110:EG$114,$F20+1)+IF(AND($E20=1,RG20=0),1000,0)),1000000))</f>
        <v/>
      </c>
      <c r="AAO20">
        <f>IF($B20=0,1000000,IF(INDEX('計算A'!$D$60:$II$104,$B20,135)*IA20=1,IF(AND($E20=2,RH20=0),1000000,INDEX('計算A'!EH$110:EH$114,$F20+1)+IF(AND($E20=1,RH20=0),1000,0)),1000000))</f>
        <v/>
      </c>
      <c r="AAP20">
        <f>IF($B20=0,1000000,IF(INDEX('計算A'!$D$60:$II$104,$B20,136)*IB20=1,IF(AND($E20=2,RI20=0),1000000,INDEX('計算A'!EI$110:EI$114,$F20+1)+IF(AND($E20=1,RI20=0),1000,0)),1000000))</f>
        <v/>
      </c>
      <c r="AAQ20">
        <f>IF($B20=0,1000000,IF(INDEX('計算A'!$D$60:$II$104,$B20,137)*IC20=1,IF(AND($E20=2,RJ20=0),1000000,INDEX('計算A'!EJ$110:EJ$114,$F20+1)+IF(AND($E20=1,RJ20=0),1000,0)),1000000))</f>
        <v/>
      </c>
      <c r="AAR20">
        <f>IF($B20=0,1000000,IF(INDEX('計算A'!$D$60:$II$104,$B20,138)*ID20=1,IF(AND($E20=2,RK20=0),1000000,INDEX('計算A'!EK$110:EK$114,$F20+1)+IF(AND($E20=1,RK20=0),1000,0)),1000000))</f>
        <v/>
      </c>
      <c r="AAS20">
        <f>IF($B20=0,1000000,IF(INDEX('計算A'!$D$60:$II$104,$B20,139)*IE20=1,IF(AND($E20=2,RL20=0),1000000,INDEX('計算A'!EL$110:EL$114,$F20+1)+IF(AND($E20=1,RL20=0),1000,0)),1000000))</f>
        <v/>
      </c>
      <c r="AAT20">
        <f>IF($B20=0,1000000,IF(INDEX('計算A'!$D$60:$II$104,$B20,140)*IF20=1,IF(AND($E20=2,RM20=0),1000000,INDEX('計算A'!EM$110:EM$114,$F20+1)+IF(AND($E20=1,RM20=0),1000,0)),1000000))</f>
        <v/>
      </c>
      <c r="AAU20">
        <f>IF($B20=0,1000000,IF(INDEX('計算A'!$D$60:$II$104,$B20,141)*IG20=1,IF(AND($E20=2,RN20=0),1000000,INDEX('計算A'!EN$110:EN$114,$F20+1)+IF(AND($E20=1,RN20=0),1000,0)),1000000))</f>
        <v/>
      </c>
      <c r="AAV20">
        <f>IF($B20=0,1000000,IF(INDEX('計算A'!$D$60:$II$104,$B20,142)*IH20=1,IF(AND($E20=2,RO20=0),1000000,INDEX('計算A'!EO$110:EO$114,$F20+1)+IF(AND($E20=1,RO20=0),1000,0)),1000000))</f>
        <v/>
      </c>
      <c r="AAW20">
        <f>IF($B20=0,1000000,IF(INDEX('計算A'!$D$60:$II$104,$B20,143)*II20=1,IF(AND($E20=2,RP20=0),1000000,INDEX('計算A'!EP$110:EP$114,$F20+1)+IF(AND($E20=1,RP20=0),1000,0)),1000000))</f>
        <v/>
      </c>
      <c r="AAX20">
        <f>IF($B20=0,1000000,IF(INDEX('計算A'!$D$60:$II$104,$B20,144)*IJ20=1,IF(AND($E20=2,RQ20=0),1000000,INDEX('計算A'!EQ$110:EQ$114,$F20+1)+IF(AND($E20=1,RQ20=0),1000,0)),1000000))</f>
        <v/>
      </c>
      <c r="AAY20">
        <f>IF($B20=0,1000000,IF(INDEX('計算A'!$D$60:$II$104,$B20,145)*IK20=1,IF(AND($E20=2,RR20=0),1000000,INDEX('計算A'!ER$110:ER$114,$F20+1)+IF(AND($E20=1,RR20=0),1000,0)),1000000))</f>
        <v/>
      </c>
      <c r="AAZ20">
        <f>IF($B20=0,1000000,IF(INDEX('計算A'!$D$60:$II$104,$B20,146)*IL20=1,IF(AND($E20=2,RS20=0),1000000,INDEX('計算A'!ES$110:ES$114,$F20+1)+IF(AND($E20=1,RS20=0),1000,0)),1000000))</f>
        <v/>
      </c>
      <c r="ABA20">
        <f>IF($B20=0,1000000,IF(INDEX('計算A'!$D$60:$II$104,$B20,147)*IM20=1,IF(AND($E20=2,RT20=0),1000000,INDEX('計算A'!ET$110:ET$114,$F20+1)+IF(AND($E20=1,RT20=0),1000,0)),1000000))</f>
        <v/>
      </c>
      <c r="ABB20">
        <f>IF($B20=0,1000000,IF(INDEX('計算A'!$D$60:$II$104,$B20,148)*IN20=1,IF(AND($E20=2,RU20=0),1000000,INDEX('計算A'!EU$110:EU$114,$F20+1)+IF(AND($E20=1,RU20=0),1000,0)),1000000))</f>
        <v/>
      </c>
      <c r="ABC20">
        <f>IF($B20=0,1000000,IF(INDEX('計算A'!$D$60:$II$104,$B20,149)*IO20=1,IF(AND($E20=2,RV20=0),1000000,INDEX('計算A'!EV$110:EV$114,$F20+1)+IF(AND($E20=1,RV20=0),1000,0)),1000000))</f>
        <v/>
      </c>
      <c r="ABD20">
        <f>IF($B20=0,1000000,IF(INDEX('計算A'!$D$60:$II$104,$B20,150)*IP20=1,IF(AND($E20=2,RW20=0),1000000,INDEX('計算A'!EW$110:EW$114,$F20+1)+IF(AND($E20=1,RW20=0),1000,0)),1000000))</f>
        <v/>
      </c>
      <c r="ABE20">
        <f>IF($B20=0,1000000,IF(INDEX('計算A'!$D$60:$II$104,$B20,151)*IQ20=1,IF(AND($E20=2,RX20=0),1000000,INDEX('計算A'!EX$110:EX$114,$F20+1)+IF(AND($E20=1,RX20=0),1000,0)),1000000))</f>
        <v/>
      </c>
      <c r="ABF20">
        <f>IF($B20=0,1000000,IF(INDEX('計算A'!$D$60:$II$104,$B20,152)*IR20=1,IF(AND($E20=2,RY20=0),1000000,INDEX('計算A'!EY$110:EY$114,$F20+1)+IF(AND($E20=1,RY20=0),1000,0)),1000000))</f>
        <v/>
      </c>
      <c r="ABG20">
        <f>IF($B20=0,1000000,IF(INDEX('計算A'!$D$60:$II$104,$B20,153)*IS20=1,IF(AND($E20=2,RZ20=0),1000000,INDEX('計算A'!EZ$110:EZ$114,$F20+1)+IF(AND($E20=1,RZ20=0),1000,0)),1000000))</f>
        <v/>
      </c>
      <c r="ABH20">
        <f>IF($B20=0,1000000,IF(INDEX('計算A'!$D$60:$II$104,$B20,154)*IT20=1,IF(AND($E20=2,SA20=0),1000000,INDEX('計算A'!FA$110:FA$114,$F20+1)+IF(AND($E20=1,SA20=0),1000,0)),1000000))</f>
        <v/>
      </c>
      <c r="ABI20">
        <f>IF($B20=0,1000000,IF(INDEX('計算A'!$D$60:$II$104,$B20,155)*IU20=1,IF(AND($E20=2,SB20=0),1000000,INDEX('計算A'!FB$110:FB$114,$F20+1)+IF(AND($E20=1,SB20=0),1000,0)),1000000))</f>
        <v/>
      </c>
      <c r="ABJ20">
        <f>IF($B20=0,1000000,IF(INDEX('計算A'!$D$60:$II$104,$B20,156)*IV20=1,IF(AND($E20=2,SC20=0),1000000,INDEX('計算A'!FC$110:FC$114,$F20+1)+IF(AND($E20=1,SC20=0),1000,0)),1000000))</f>
        <v/>
      </c>
      <c r="ABK20">
        <f>IF($B20=0,1000000,IF(INDEX('計算A'!$D$60:$II$104,$B20,157)*IW20=1,IF(AND($E20=2,SD20=0),1000000,INDEX('計算A'!FD$110:FD$114,$F20+1)+IF(AND($E20=1,SD20=0),1000,0)),1000000))</f>
        <v/>
      </c>
      <c r="ABL20">
        <f>IF($B20=0,1000000,IF(INDEX('計算A'!$D$60:$II$104,$B20,158)*IX20=1,IF(AND($E20=2,SE20=0),1000000,INDEX('計算A'!FE$110:FE$114,$F20+1)+IF(AND($E20=1,SE20=0),1000,0)),1000000))</f>
        <v/>
      </c>
      <c r="ABM20">
        <f>IF($B20=0,1000000,IF(INDEX('計算A'!$D$60:$II$104,$B20,159)*IY20=1,IF(AND($E20=2,SF20=0),1000000,INDEX('計算A'!FF$110:FF$114,$F20+1)+IF(AND($E20=1,SF20=0),1000,0)),1000000))</f>
        <v/>
      </c>
      <c r="ABN20">
        <f>IF($B20=0,1000000,IF(INDEX('計算A'!$D$60:$II$104,$B20,160)*IZ20=1,IF(AND($E20=2,SG20=0),1000000,INDEX('計算A'!FG$110:FG$114,$F20+1)+IF(AND($E20=1,SG20=0),1000,0)),1000000))</f>
        <v/>
      </c>
      <c r="ABO20">
        <f>IF($B20=0,1000000,IF(INDEX('計算A'!$D$60:$II$104,$B20,161)*JA20=1,IF(AND($E20=2,SH20=0),1000000,INDEX('計算A'!FH$110:FH$114,$F20+1)+IF(AND($E20=1,SH20=0),1000,0)),1000000))</f>
        <v/>
      </c>
      <c r="ABP20">
        <f>IF($B20=0,1000000,IF(INDEX('計算A'!$D$60:$II$104,$B20,162)*JB20=1,IF(AND($E20=2,SI20=0),1000000,INDEX('計算A'!FI$110:FI$114,$F20+1)+IF(AND($E20=1,SI20=0),1000,0)),1000000))</f>
        <v/>
      </c>
      <c r="ABQ20">
        <f>IF($B20=0,1000000,IF(INDEX('計算A'!$D$60:$II$104,$B20,163)*JC20=1,IF(AND($E20=2,SJ20=0),1000000,INDEX('計算A'!FJ$110:FJ$114,$F20+1)+IF(AND($E20=1,SJ20=0),1000,0)),1000000))</f>
        <v/>
      </c>
      <c r="ABR20">
        <f>IF($B20=0,1000000,IF(INDEX('計算A'!$D$60:$II$104,$B20,164)*JD20=1,IF(AND($E20=2,SK20=0),1000000,INDEX('計算A'!FK$110:FK$114,$F20+1)+IF(AND($E20=1,SK20=0),1000,0)),1000000))</f>
        <v/>
      </c>
      <c r="ABS20">
        <f>IF($B20=0,1000000,IF(INDEX('計算A'!$D$60:$II$104,$B20,165)*JE20=1,IF(AND($E20=2,SL20=0),1000000,INDEX('計算A'!FL$110:FL$114,$F20+1)+IF(AND($E20=1,SL20=0),1000,0)),1000000))</f>
        <v/>
      </c>
      <c r="ABT20">
        <f>IF($B20=0,1000000,IF(INDEX('計算A'!$D$60:$II$104,$B20,166)*JF20=1,IF(AND($E20=2,SM20=0),1000000,INDEX('計算A'!FM$110:FM$114,$F20+1)+IF(AND($E20=1,SM20=0),1000,0)),1000000))</f>
        <v/>
      </c>
      <c r="ABU20">
        <f>IF($B20=0,1000000,IF(INDEX('計算A'!$D$60:$II$104,$B20,167)*JG20=1,IF(AND($E20=2,SN20=0),1000000,INDEX('計算A'!FN$110:FN$114,$F20+1)+IF(AND($E20=1,SN20=0),1000,0)),1000000))</f>
        <v/>
      </c>
      <c r="ABV20">
        <f>IF($B20=0,1000000,IF(INDEX('計算A'!$D$60:$II$104,$B20,168)*JH20=1,IF(AND($E20=2,SO20=0),1000000,INDEX('計算A'!FO$110:FO$114,$F20+1)+IF(AND($E20=1,SO20=0),1000,0)),1000000))</f>
        <v/>
      </c>
      <c r="ABW20">
        <f>IF($B20=0,1000000,IF(INDEX('計算A'!$D$60:$II$104,$B20,169)*JI20=1,IF(AND($E20=2,SP20=0),1000000,INDEX('計算A'!FP$110:FP$114,$F20+1)+IF(AND($E20=1,SP20=0),1000,0)),1000000))</f>
        <v/>
      </c>
      <c r="ABX20">
        <f>IF($B20=0,1000000,IF(INDEX('計算A'!$D$60:$II$104,$B20,170)*JJ20=1,IF(AND($E20=2,SQ20=0),1000000,INDEX('計算A'!FQ$110:FQ$114,$F20+1)+IF(AND($E20=1,SQ20=0),1000,0)),1000000))</f>
        <v/>
      </c>
      <c r="ABY20">
        <f>IF($B20=0,1000000,IF(INDEX('計算A'!$D$60:$II$104,$B20,171)*JK20=1,IF(AND($E20=2,SR20=0),1000000,INDEX('計算A'!FR$110:FR$114,$F20+1)+IF(AND($E20=1,SR20=0),1000,0)),1000000))</f>
        <v/>
      </c>
      <c r="ABZ20">
        <f>IF($B20=0,1000000,IF(INDEX('計算A'!$D$60:$II$104,$B20,172)*JL20=1,IF(AND($E20=2,SS20=0),1000000,INDEX('計算A'!FS$110:FS$114,$F20+1)+IF(AND($E20=1,SS20=0),1000,0)),1000000))</f>
        <v/>
      </c>
      <c r="ACA20">
        <f>IF($B20=0,1000000,IF(INDEX('計算A'!$D$60:$II$104,$B20,173)*JM20=1,IF(AND($E20=2,ST20=0),1000000,INDEX('計算A'!FT$110:FT$114,$F20+1)+IF(AND($E20=1,ST20=0),1000,0)),1000000))</f>
        <v/>
      </c>
      <c r="ACB20">
        <f>IF($B20=0,1000000,IF(INDEX('計算A'!$D$60:$II$104,$B20,174)*JN20=1,IF(AND($E20=2,SU20=0),1000000,INDEX('計算A'!FU$110:FU$114,$F20+1)+IF(AND($E20=1,SU20=0),1000,0)),1000000))</f>
        <v/>
      </c>
      <c r="ACC20">
        <f>IF($B20=0,1000000,IF(INDEX('計算A'!$D$60:$II$104,$B20,175)*JO20=1,IF(AND($E20=2,SV20=0),1000000,INDEX('計算A'!FV$110:FV$114,$F20+1)+IF(AND($E20=1,SV20=0),1000,0)),1000000))</f>
        <v/>
      </c>
      <c r="ACD20">
        <f>IF($B20=0,1000000,IF(INDEX('計算A'!$D$60:$II$104,$B20,176)*JP20=1,IF(AND($E20=2,SW20=0),1000000,INDEX('計算A'!FW$110:FW$114,$F20+1)+IF(AND($E20=1,SW20=0),1000,0)),1000000))</f>
        <v/>
      </c>
      <c r="ACE20">
        <f>IF($B20=0,1000000,IF(INDEX('計算A'!$D$60:$II$104,$B20,177)*JQ20=1,IF(AND($E20=2,SX20=0),1000000,INDEX('計算A'!FX$110:FX$114,$F20+1)+IF(AND($E20=1,SX20=0),1000,0)),1000000))</f>
        <v/>
      </c>
      <c r="ACF20">
        <f>IF($B20=0,1000000,IF(INDEX('計算A'!$D$60:$II$104,$B20,178)*JR20=1,IF(AND($E20=2,SY20=0),1000000,INDEX('計算A'!FY$110:FY$114,$F20+1)+IF(AND($E20=1,SY20=0),1000,0)),1000000))</f>
        <v/>
      </c>
      <c r="ACG20">
        <f>IF($B20=0,1000000,IF(INDEX('計算A'!$D$60:$II$104,$B20,179)*JS20=1,IF(AND($E20=2,SZ20=0),1000000,INDEX('計算A'!FZ$110:FZ$114,$F20+1)+IF(AND($E20=1,SZ20=0),1000,0)),1000000))</f>
        <v/>
      </c>
      <c r="ACH20">
        <f>IF($B20=0,1000000,IF(INDEX('計算A'!$D$60:$II$104,$B20,180)*JT20=1,IF(AND($E20=2,TA20=0),1000000,INDEX('計算A'!GA$110:GA$114,$F20+1)+IF(AND($E20=1,TA20=0),1000,0)),1000000))</f>
        <v/>
      </c>
      <c r="ACI20">
        <f>IF($B20=0,1000000,IF(INDEX('計算A'!$D$60:$II$104,$B20,181)*JU20=1,IF(AND($E20=2,TB20=0),1000000,INDEX('計算A'!GB$110:GB$114,$F20+1)+IF(AND($E20=1,TB20=0),1000,0)),1000000))</f>
        <v/>
      </c>
      <c r="ACJ20">
        <f>IF($B20=0,1000000,IF(INDEX('計算A'!$D$60:$II$104,$B20,182)*JV20=1,IF(AND($E20=2,TC20=0),1000000,INDEX('計算A'!GC$110:GC$114,$F20+1)+IF(AND($E20=1,TC20=0),1000,0)),1000000))</f>
        <v/>
      </c>
      <c r="ACK20">
        <f>IF($B20=0,1000000,IF(INDEX('計算A'!$D$60:$II$104,$B20,183)*JW20=1,IF(AND($E20=2,TD20=0),1000000,INDEX('計算A'!GD$110:GD$114,$F20+1)+IF(AND($E20=1,TD20=0),1000,0)),1000000))</f>
        <v/>
      </c>
      <c r="ACL20">
        <f>IF($B20=0,1000000,IF(INDEX('計算A'!$D$60:$II$104,$B20,184)*JX20=1,IF(AND($E20=2,TE20=0),1000000,INDEX('計算A'!GE$110:GE$114,$F20+1)+IF(AND($E20=1,TE20=0),1000,0)),1000000))</f>
        <v/>
      </c>
      <c r="ACM20">
        <f>IF($B20=0,1000000,IF(INDEX('計算A'!$D$60:$II$104,$B20,185)*JY20=1,IF(AND($E20=2,TF20=0),1000000,INDEX('計算A'!GF$110:GF$114,$F20+1)+IF(AND($E20=1,TF20=0),1000,0)),1000000))</f>
        <v/>
      </c>
      <c r="ACN20">
        <f>IF($B20=0,1000000,IF(INDEX('計算A'!$D$60:$II$104,$B20,186)*JZ20=1,IF(AND($E20=2,TG20=0),1000000,INDEX('計算A'!GG$110:GG$114,$F20+1)+IF(AND($E20=1,TG20=0),1000,0)),1000000))</f>
        <v/>
      </c>
      <c r="ACO20">
        <f>IF($B20=0,1000000,IF(INDEX('計算A'!$D$60:$II$104,$B20,187)*KA20=1,IF(AND($E20=2,TH20=0),1000000,INDEX('計算A'!GH$110:GH$114,$F20+1)+IF(AND($E20=1,TH20=0),1000,0)),1000000))</f>
        <v/>
      </c>
      <c r="ACP20">
        <f>IF($B20=0,1000000,IF(INDEX('計算A'!$D$60:$II$104,$B20,188)*KB20=1,IF(AND($E20=2,TI20=0),1000000,INDEX('計算A'!GI$110:GI$114,$F20+1)+IF(AND($E20=1,TI20=0),1000,0)),1000000))</f>
        <v/>
      </c>
      <c r="ACQ20">
        <f>IF($B20=0,1000000,IF(INDEX('計算A'!$D$60:$II$104,$B20,189)*KC20=1,IF(AND($E20=2,TJ20=0),1000000,INDEX('計算A'!GJ$110:GJ$114,$F20+1)+IF(AND($E20=1,TJ20=0),1000,0)),1000000))</f>
        <v/>
      </c>
      <c r="ACR20">
        <f>IF($B20=0,1000000,IF(INDEX('計算A'!$D$60:$II$104,$B20,190)*KD20=1,IF(AND($E20=2,TK20=0),1000000,INDEX('計算A'!GK$110:GK$114,$F20+1)+IF(AND($E20=1,TK20=0),1000,0)),1000000))</f>
        <v/>
      </c>
      <c r="ACS20">
        <f>IF($B20=0,1000000,IF(INDEX('計算A'!$D$60:$II$104,$B20,191)*KE20=1,IF(AND($E20=2,TL20=0),1000000,INDEX('計算A'!GL$110:GL$114,$F20+1)+IF(AND($E20=1,TL20=0),1000,0)),1000000))</f>
        <v/>
      </c>
      <c r="ACT20">
        <f>IF($B20=0,1000000,IF(INDEX('計算A'!$D$60:$II$104,$B20,192)*KF20=1,IF(AND($E20=2,TM20=0),1000000,INDEX('計算A'!GM$110:GM$114,$F20+1)+IF(AND($E20=1,TM20=0),1000,0)),1000000))</f>
        <v/>
      </c>
      <c r="ACU20">
        <f>IF($B20=0,1000000,IF(INDEX('計算A'!$D$60:$II$104,$B20,193)*KG20=1,IF(AND($E20=2,TN20=0),1000000,INDEX('計算A'!GN$110:GN$114,$F20+1)+IF(AND($E20=1,TN20=0),1000,0)),1000000))</f>
        <v/>
      </c>
      <c r="ACV20">
        <f>IF($B20=0,1000000,IF(INDEX('計算A'!$D$60:$II$104,$B20,194)*KH20=1,IF(AND($E20=2,TO20=0),1000000,INDEX('計算A'!GO$110:GO$114,$F20+1)+IF(AND($E20=1,TO20=0),1000,0)),1000000))</f>
        <v/>
      </c>
      <c r="ACW20">
        <f>IF($B20=0,1000000,IF(INDEX('計算A'!$D$60:$II$104,$B20,195)*KI20=1,IF(AND($E20=2,TP20=0),1000000,INDEX('計算A'!GP$110:GP$114,$F20+1)+IF(AND($E20=1,TP20=0),1000,0)),1000000))</f>
        <v/>
      </c>
      <c r="ACX20">
        <f>IF($B20=0,1000000,IF(INDEX('計算A'!$D$60:$II$104,$B20,196)*KJ20=1,IF(AND($E20=2,TQ20=0),1000000,INDEX('計算A'!GQ$110:GQ$114,$F20+1)+IF(AND($E20=1,TQ20=0),1000,0)),1000000))</f>
        <v/>
      </c>
      <c r="ACY20">
        <f>IF($B20=0,1000000,IF(INDEX('計算A'!$D$60:$II$104,$B20,197)*KK20=1,IF(AND($E20=2,TR20=0),1000000,INDEX('計算A'!GR$110:GR$114,$F20+1)+IF(AND($E20=1,TR20=0),1000,0)),1000000))</f>
        <v/>
      </c>
      <c r="ACZ20">
        <f>IF($B20=0,1000000,IF(INDEX('計算A'!$D$60:$II$104,$B20,198)*KL20=1,IF(AND($E20=2,TS20=0),1000000,INDEX('計算A'!GS$110:GS$114,$F20+1)+IF(AND($E20=1,TS20=0),1000,0)),1000000))</f>
        <v/>
      </c>
      <c r="ADA20">
        <f>IF($B20=0,1000000,IF(INDEX('計算A'!$D$60:$II$104,$B20,199)*KM20=1,IF(AND($E20=2,TT20=0),1000000,INDEX('計算A'!GT$110:GT$114,$F20+1)+IF(AND($E20=1,TT20=0),1000,0)),1000000))</f>
        <v/>
      </c>
      <c r="ADB20">
        <f>IF($B20=0,1000000,IF(INDEX('計算A'!$D$60:$II$104,$B20,200)*KN20=1,IF(AND($E20=2,TU20=0),1000000,INDEX('計算A'!GU$110:GU$114,$F20+1)+IF(AND($E20=1,TU20=0),1000,0)),1000000))</f>
        <v/>
      </c>
      <c r="ADC20">
        <f>IF($B20=0,1000000,IF(INDEX('計算A'!$D$60:$II$104,$B20,201)*KO20=1,IF(AND($E20=2,TV20=0),1000000,INDEX('計算A'!GV$110:GV$114,$F20+1)+IF(AND($E20=1,TV20=0),1000,0)),1000000))</f>
        <v/>
      </c>
      <c r="ADD20">
        <f>IF($B20=0,1000000,IF(INDEX('計算A'!$D$60:$II$104,$B20,202)*KP20=1,IF(AND($E20=2,TW20=0),1000000,INDEX('計算A'!GW$110:GW$114,$F20+1)+IF(AND($E20=1,TW20=0),1000,0)),1000000))</f>
        <v/>
      </c>
      <c r="ADE20">
        <f>IF($B20=0,1000000,IF(INDEX('計算A'!$D$60:$II$104,$B20,203)*KQ20=1,IF(AND($E20=2,TX20=0),1000000,INDEX('計算A'!GX$110:GX$114,$F20+1)+IF(AND($E20=1,TX20=0),1000,0)),1000000))</f>
        <v/>
      </c>
      <c r="ADF20">
        <f>IF($B20=0,1000000,IF(INDEX('計算A'!$D$60:$II$104,$B20,204)*KR20=1,IF(AND($E20=2,TY20=0),1000000,INDEX('計算A'!GY$110:GY$114,$F20+1)+IF(AND($E20=1,TY20=0),1000,0)),1000000))</f>
        <v/>
      </c>
      <c r="ADG20">
        <f>IF($B20=0,1000000,IF(INDEX('計算A'!$D$60:$II$104,$B20,205)*KS20=1,IF(AND($E20=2,TZ20=0),1000000,INDEX('計算A'!GZ$110:GZ$114,$F20+1)+IF(AND($E20=1,TZ20=0),1000,0)),1000000))</f>
        <v/>
      </c>
      <c r="ADH20">
        <f>IF($B20=0,1000000,IF(INDEX('計算A'!$D$60:$II$104,$B20,206)*KT20=1,IF(AND($E20=2,UA20=0),1000000,INDEX('計算A'!HA$110:HA$114,$F20+1)+IF(AND($E20=1,UA20=0),1000,0)),1000000))</f>
        <v/>
      </c>
      <c r="ADI20">
        <f>IF($B20=0,1000000,IF(INDEX('計算A'!$D$60:$II$104,$B20,207)*KU20=1,IF(AND($E20=2,UB20=0),1000000,INDEX('計算A'!HB$110:HB$114,$F20+1)+IF(AND($E20=1,UB20=0),1000,0)),1000000))</f>
        <v/>
      </c>
      <c r="ADJ20">
        <f>IF($B20=0,1000000,IF(INDEX('計算A'!$D$60:$II$104,$B20,208)*KV20=1,IF(AND($E20=2,UC20=0),1000000,INDEX('計算A'!HC$110:HC$114,$F20+1)+IF(AND($E20=1,UC20=0),1000,0)),1000000))</f>
        <v/>
      </c>
      <c r="ADK20">
        <f>IF($B20=0,1000000,IF(INDEX('計算A'!$D$60:$II$104,$B20,209)*KW20=1,IF(AND($E20=2,UD20=0),1000000,INDEX('計算A'!HD$110:HD$114,$F20+1)+IF(AND($E20=1,UD20=0),1000,0)),1000000))</f>
        <v/>
      </c>
      <c r="ADL20">
        <f>IF($B20=0,1000000,IF(INDEX('計算A'!$D$60:$II$104,$B20,210)*KX20=1,IF(AND($E20=2,UE20=0),1000000,INDEX('計算A'!HE$110:HE$114,$F20+1)+IF(AND($E20=1,UE20=0),1000,0)),1000000))</f>
        <v/>
      </c>
      <c r="ADM20">
        <f>IF($B20=0,1000000,IF(INDEX('計算A'!$D$60:$II$104,$B20,211)*KY20=1,IF(AND($E20=2,UF20=0),1000000,INDEX('計算A'!HF$110:HF$114,$F20+1)+IF(AND($E20=1,UF20=0),1000,0)),1000000))</f>
        <v/>
      </c>
      <c r="ADN20">
        <f>IF($B20=0,1000000,IF(INDEX('計算A'!$D$60:$II$104,$B20,212)*KZ20=1,IF(AND($E20=2,UG20=0),1000000,INDEX('計算A'!HG$110:HG$114,$F20+1)+IF(AND($E20=1,UG20=0),1000,0)),1000000))</f>
        <v/>
      </c>
      <c r="ADO20">
        <f>IF($B20=0,1000000,IF(INDEX('計算A'!$D$60:$II$104,$B20,213)*LA20=1,IF(AND($E20=2,UH20=0),1000000,INDEX('計算A'!HH$110:HH$114,$F20+1)+IF(AND($E20=1,UH20=0),1000,0)),1000000))</f>
        <v/>
      </c>
      <c r="ADP20">
        <f>IF($B20=0,1000000,IF(INDEX('計算A'!$D$60:$II$104,$B20,214)*LB20=1,IF(AND($E20=2,UI20=0),1000000,INDEX('計算A'!HI$110:HI$114,$F20+1)+IF(AND($E20=1,UI20=0),1000,0)),1000000))</f>
        <v/>
      </c>
      <c r="ADQ20">
        <f>IF($B20=0,1000000,IF(INDEX('計算A'!$D$60:$II$104,$B20,215)*LC20=1,IF(AND($E20=2,UJ20=0),1000000,INDEX('計算A'!HJ$110:HJ$114,$F20+1)+IF(AND($E20=1,UJ20=0),1000,0)),1000000))</f>
        <v/>
      </c>
      <c r="ADR20">
        <f>IF($B20=0,1000000,IF(INDEX('計算A'!$D$60:$II$104,$B20,216)*LD20=1,IF(AND($E20=2,UK20=0),1000000,INDEX('計算A'!HK$110:HK$114,$F20+1)+IF(AND($E20=1,UK20=0),1000,0)),1000000))</f>
        <v/>
      </c>
      <c r="ADS20">
        <f>IF($B20=0,1000000,IF(INDEX('計算A'!$D$60:$II$104,$B20,217)*LE20=1,IF(AND($E20=2,UL20=0),1000000,INDEX('計算A'!HL$110:HL$114,$F20+1)+IF(AND($E20=1,UL20=0),1000,0)),1000000))</f>
        <v/>
      </c>
      <c r="ADT20">
        <f>IF($B20=0,1000000,IF(INDEX('計算A'!$D$60:$II$104,$B20,218)*LF20=1,IF(AND($E20=2,UM20=0),1000000,INDEX('計算A'!HM$110:HM$114,$F20+1)+IF(AND($E20=1,UM20=0),1000,0)),1000000))</f>
        <v/>
      </c>
      <c r="ADU20">
        <f>IF($B20=0,1000000,IF(INDEX('計算A'!$D$60:$II$104,$B20,219)*LG20=1,IF(AND($E20=2,UN20=0),1000000,INDEX('計算A'!HN$110:HN$114,$F20+1)+IF(AND($E20=1,UN20=0),1000,0)),1000000))</f>
        <v/>
      </c>
      <c r="ADV20">
        <f>IF($B20=0,1000000,IF(INDEX('計算A'!$D$60:$II$104,$B20,220)*LH20=1,IF(AND($E20=2,UO20=0),1000000,INDEX('計算A'!HO$110:HO$114,$F20+1)+IF(AND($E20=1,UO20=0),1000,0)),1000000))</f>
        <v/>
      </c>
      <c r="ADW20">
        <f>IF($B20=0,1000000,IF(INDEX('計算A'!$D$60:$II$104,$B20,221)*LI20=1,IF(AND($E20=2,UP20=0),1000000,INDEX('計算A'!HP$110:HP$114,$F20+1)+IF(AND($E20=1,UP20=0),1000,0)),1000000))</f>
        <v/>
      </c>
      <c r="ADX20">
        <f>IF($B20=0,1000000,IF(INDEX('計算A'!$D$60:$II$104,$B20,222)*LJ20=1,IF(AND($E20=2,UQ20=0),1000000,INDEX('計算A'!HQ$110:HQ$114,$F20+1)+IF(AND($E20=1,UQ20=0),1000,0)),1000000))</f>
        <v/>
      </c>
      <c r="ADY20">
        <f>IF($B20=0,1000000,IF(INDEX('計算A'!$D$60:$II$104,$B20,223)*LK20=1,IF(AND($E20=2,UR20=0),1000000,INDEX('計算A'!HR$110:HR$114,$F20+1)+IF(AND($E20=1,UR20=0),1000,0)),1000000))</f>
        <v/>
      </c>
      <c r="ADZ20">
        <f>IF($B20=0,1000000,IF(INDEX('計算A'!$D$60:$II$104,$B20,224)*LL20=1,IF(AND($E20=2,US20=0),1000000,INDEX('計算A'!HS$110:HS$114,$F20+1)+IF(AND($E20=1,US20=0),1000,0)),1000000))</f>
        <v/>
      </c>
      <c r="AEA20">
        <f>IF($B20=0,1000000,IF(INDEX('計算A'!$D$60:$II$104,$B20,225)*LM20=1,IF(AND($E20=2,UT20=0),1000000,INDEX('計算A'!HT$110:HT$114,$F20+1)+IF(AND($E20=1,UT20=0),1000,0)),1000000))</f>
        <v/>
      </c>
      <c r="AEB20">
        <f>IF($B20=0,1000000,IF(INDEX('計算A'!$D$60:$II$104,$B20,226)*LN20=1,IF(AND($E20=2,UU20=0),1000000,INDEX('計算A'!HU$110:HU$114,$F20+1)+IF(AND($E20=1,UU20=0),1000,0)),1000000))</f>
        <v/>
      </c>
      <c r="AEC20">
        <f>IF($B20=0,1000000,IF(INDEX('計算A'!$D$60:$II$104,$B20,227)*LO20=1,IF(AND($E20=2,UV20=0),1000000,INDEX('計算A'!HV$110:HV$114,$F20+1)+IF(AND($E20=1,UV20=0),1000,0)),1000000))</f>
        <v/>
      </c>
      <c r="AED20">
        <f>IF($B20=0,1000000,IF(INDEX('計算A'!$D$60:$II$104,$B20,228)*LP20=1,IF(AND($E20=2,UW20=0),1000000,INDEX('計算A'!HW$110:HW$114,$F20+1)+IF(AND($E20=1,UW20=0),1000,0)),1000000))</f>
        <v/>
      </c>
      <c r="AEE20">
        <f>IF($B20=0,1000000,IF(INDEX('計算A'!$D$60:$II$104,$B20,229)*LQ20=1,IF(AND($E20=2,UX20=0),1000000,INDEX('計算A'!HX$110:HX$114,$F20+1)+IF(AND($E20=1,UX20=0),1000,0)),1000000))</f>
        <v/>
      </c>
      <c r="AEF20">
        <f>IF($B20=0,1000000,IF(INDEX('計算A'!$D$60:$II$104,$B20,230)*LR20=1,IF(AND($E20=2,UY20=0),1000000,INDEX('計算A'!HY$110:HY$114,$F20+1)+IF(AND($E20=1,UY20=0),1000,0)),1000000))</f>
        <v/>
      </c>
      <c r="AEG20">
        <f>IF($B20=0,1000000,IF(INDEX('計算A'!$D$60:$II$104,$B20,231)*LS20=1,IF(AND($E20=2,UZ20=0),1000000,INDEX('計算A'!HZ$110:HZ$114,$F20+1)+IF(AND($E20=1,UZ20=0),1000,0)),1000000))</f>
        <v/>
      </c>
      <c r="AEH20">
        <f>IF($B20=0,1000000,IF(INDEX('計算A'!$D$60:$II$104,$B20,232)*LT20=1,IF(AND($E20=2,VA20=0),1000000,INDEX('計算A'!IA$110:IA$114,$F20+1)+IF(AND($E20=1,VA20=0),1000,0)),1000000))</f>
        <v/>
      </c>
      <c r="AEI20">
        <f>IF($B20=0,1000000,IF(INDEX('計算A'!$D$60:$II$104,$B20,233)*LU20=1,IF(AND($E20=2,VB20=0),1000000,INDEX('計算A'!IB$110:IB$114,$F20+1)+IF(AND($E20=1,VB20=0),1000,0)),1000000))</f>
        <v/>
      </c>
      <c r="AEJ20">
        <f>IF($B20=0,1000000,IF(INDEX('計算A'!$D$60:$II$104,$B20,234)*LV20=1,IF(AND($E20=2,VC20=0),1000000,INDEX('計算A'!IC$110:IC$114,$F20+1)+IF(AND($E20=1,VC20=0),1000,0)),1000000))</f>
        <v/>
      </c>
      <c r="AEK20">
        <f>IF($B20=0,1000000,IF(INDEX('計算A'!$D$60:$II$104,$B20,235)*LW20=1,IF(AND($E20=2,VD20=0),1000000,INDEX('計算A'!ID$110:ID$114,$F20+1)+IF(AND($E20=1,VD20=0),1000,0)),1000000))</f>
        <v/>
      </c>
      <c r="AEL20">
        <f>IF($B20=0,1000000,IF(INDEX('計算A'!$D$60:$II$104,$B20,236)*LX20=1,IF(AND($E20=2,VE20=0),1000000,INDEX('計算A'!IE$110:IE$114,$F20+1)+IF(AND($E20=1,VE20=0),1000,0)),1000000))</f>
        <v/>
      </c>
      <c r="AEM20">
        <f>IF($B20=0,1000000,IF(INDEX('計算A'!$D$60:$II$104,$B20,237)*LY20=1,IF(AND($E20=2,VF20=0),1000000,INDEX('計算A'!IF$110:IF$114,$F20+1)+IF(AND($E20=1,VF20=0),1000,0)),1000000))</f>
        <v/>
      </c>
      <c r="AEN20">
        <f>IF($B20=0,1000000,IF(INDEX('計算A'!$D$60:$II$104,$B20,238)*LZ20=1,IF(AND($E20=2,VG20=0),1000000,INDEX('計算A'!IG$110:IG$114,$F20+1)+IF(AND($E20=1,VG20=0),1000,0)),1000000))</f>
        <v/>
      </c>
      <c r="AEO20">
        <f>IF($B20=0,1000000,IF(INDEX('計算A'!$D$60:$II$104,$B20,239)*MA20=1,IF(AND($E20=2,VH20=0),1000000,INDEX('計算A'!IH$110:IH$114,$F20+1)+IF(AND($E20=1,VH20=0),1000,0)),1000000))</f>
        <v/>
      </c>
      <c r="AEP20">
        <f>IF($B20=0,1000000,IF(INDEX('計算A'!$D$60:$II$104,$B20,240)*MB20=1,IF(AND($E20=2,VI20=0),1000000,INDEX('計算A'!II$110:II$114,$F20+1)+IF(AND($E20=1,VI20=0),1000,0)),1000000))</f>
        <v/>
      </c>
    </row>
    <row r="21">
      <c r="A21" t="n">
        <v>19</v>
      </c>
      <c r="B21">
        <f>IF(MIN(BC21:CU21)&gt;=1000000,0,MATCH(MIN(BC21:CU21),BC21:CU21,0))</f>
        <v/>
      </c>
      <c r="C21">
        <f>IF(MIN(VK21:AEP21)&gt;=1000000,0,MATCH(MIN(VK21:AEP21),VK21:AEP21,0))</f>
        <v/>
      </c>
      <c r="D21">
        <f>IF(C21&gt;0,INDEX('計算A'!$D$5:$II$5,C21),0)</f>
        <v/>
      </c>
      <c r="E21">
        <f>IF(B21=0,0,INDEX('計算A'!$IQ$10:$IQ$54,B21))</f>
        <v/>
      </c>
      <c r="F21">
        <f>IF(B21=0,0,INDEX('計算A'!$IP$10:$IP$54,B21))</f>
        <v/>
      </c>
      <c r="G21">
        <f>IF(AND(C21&gt;0,E21&gt;0),IF(AND(INDEX('計算A'!$D$106:$II$106,C21)=1,INDEX($MD21:$VI21,C21)=1),C21+1,0),0)</f>
        <v/>
      </c>
      <c r="I21">
        <f>MAX(I20,IF($B20=1,1,0))</f>
        <v/>
      </c>
      <c r="J21">
        <f>MAX(J20,IF($B20=2,1,0))</f>
        <v/>
      </c>
      <c r="K21">
        <f>MAX(K20,IF($B20=3,1,0))</f>
        <v/>
      </c>
      <c r="L21">
        <f>MAX(L20,IF($B20=4,1,0))</f>
        <v/>
      </c>
      <c r="M21">
        <f>MAX(M20,IF($B20=5,1,0))</f>
        <v/>
      </c>
      <c r="N21">
        <f>MAX(N20,IF($B20=6,1,0))</f>
        <v/>
      </c>
      <c r="O21">
        <f>MAX(O20,IF($B20=7,1,0))</f>
        <v/>
      </c>
      <c r="P21">
        <f>MAX(P20,IF($B20=8,1,0))</f>
        <v/>
      </c>
      <c r="Q21">
        <f>MAX(Q20,IF($B20=9,1,0))</f>
        <v/>
      </c>
      <c r="R21">
        <f>MAX(R20,IF($B20=10,1,0))</f>
        <v/>
      </c>
      <c r="S21">
        <f>MAX(S20,IF($B20=11,1,0))</f>
        <v/>
      </c>
      <c r="T21">
        <f>MAX(T20,IF($B20=12,1,0))</f>
        <v/>
      </c>
      <c r="U21">
        <f>MAX(U20,IF($B20=13,1,0))</f>
        <v/>
      </c>
      <c r="V21">
        <f>MAX(V20,IF($B20=14,1,0))</f>
        <v/>
      </c>
      <c r="W21">
        <f>MAX(W20,IF($B20=15,1,0))</f>
        <v/>
      </c>
      <c r="X21">
        <f>MAX(X20,IF($B20=16,1,0))</f>
        <v/>
      </c>
      <c r="Y21">
        <f>MAX(Y20,IF($B20=17,1,0))</f>
        <v/>
      </c>
      <c r="Z21">
        <f>MAX(Z20,IF($B20=18,1,0))</f>
        <v/>
      </c>
      <c r="AA21">
        <f>MAX(AA20,IF($B20=19,1,0))</f>
        <v/>
      </c>
      <c r="AB21">
        <f>MAX(AB20,IF($B20=20,1,0))</f>
        <v/>
      </c>
      <c r="AC21">
        <f>MAX(AC20,IF($B20=21,1,0))</f>
        <v/>
      </c>
      <c r="AD21">
        <f>MAX(AD20,IF($B20=22,1,0))</f>
        <v/>
      </c>
      <c r="AE21">
        <f>MAX(AE20,IF($B20=23,1,0))</f>
        <v/>
      </c>
      <c r="AF21">
        <f>MAX(AF20,IF($B20=24,1,0))</f>
        <v/>
      </c>
      <c r="AG21">
        <f>MAX(AG20,IF($B20=25,1,0))</f>
        <v/>
      </c>
      <c r="AH21">
        <f>MAX(AH20,IF($B20=26,1,0))</f>
        <v/>
      </c>
      <c r="AI21">
        <f>MAX(AI20,IF($B20=27,1,0))</f>
        <v/>
      </c>
      <c r="AJ21">
        <f>MAX(AJ20,IF($B20=28,1,0))</f>
        <v/>
      </c>
      <c r="AK21">
        <f>MAX(AK20,IF($B20=29,1,0))</f>
        <v/>
      </c>
      <c r="AL21">
        <f>MAX(AL20,IF($B20=30,1,0))</f>
        <v/>
      </c>
      <c r="AM21">
        <f>MAX(AM20,IF($B20=31,1,0))</f>
        <v/>
      </c>
      <c r="AN21">
        <f>MAX(AN20,IF($B20=32,1,0))</f>
        <v/>
      </c>
      <c r="AO21">
        <f>MAX(AO20,IF($B20=33,1,0))</f>
        <v/>
      </c>
      <c r="AP21">
        <f>MAX(AP20,IF($B20=34,1,0))</f>
        <v/>
      </c>
      <c r="AQ21">
        <f>MAX(AQ20,IF($B20=35,1,0))</f>
        <v/>
      </c>
      <c r="AR21">
        <f>MAX(AR20,IF($B20=36,1,0))</f>
        <v/>
      </c>
      <c r="AS21">
        <f>MAX(AS20,IF($B20=37,1,0))</f>
        <v/>
      </c>
      <c r="AT21">
        <f>MAX(AT20,IF($B20=38,1,0))</f>
        <v/>
      </c>
      <c r="AU21">
        <f>MAX(AU20,IF($B20=39,1,0))</f>
        <v/>
      </c>
      <c r="AV21">
        <f>MAX(AV20,IF($B20=40,1,0))</f>
        <v/>
      </c>
      <c r="AW21">
        <f>MAX(AW20,IF($B20=41,1,0))</f>
        <v/>
      </c>
      <c r="AX21">
        <f>MAX(AX20,IF($B20=42,1,0))</f>
        <v/>
      </c>
      <c r="AY21">
        <f>MAX(AY20,IF($B20=43,1,0))</f>
        <v/>
      </c>
      <c r="AZ21">
        <f>MAX(AZ20,IF($B20=44,1,0))</f>
        <v/>
      </c>
      <c r="BA21">
        <f>MAX(BA20,IF($B20=45,1,0))</f>
        <v/>
      </c>
      <c r="BC21">
        <f>IF(I21=1,1000000,IF('計算A'!$IQ$10=2,SUMPRODUCT('計算A'!$D$60:$II$60,$CW21:$MB21,$MD21:$VI21),SUMPRODUCT('計算A'!$D$60:$II$60,$CW21:$MB21))*1000+1)</f>
        <v/>
      </c>
      <c r="BD21">
        <f>IF(J21=1,1000000,IF('計算A'!$IQ$11=2,SUMPRODUCT('計算A'!$D$61:$II$61,$CW21:$MB21,$MD21:$VI21),SUMPRODUCT('計算A'!$D$61:$II$61,$CW21:$MB21))*1000+2)</f>
        <v/>
      </c>
      <c r="BE21">
        <f>IF(K21=1,1000000,IF('計算A'!$IQ$12=2,SUMPRODUCT('計算A'!$D$62:$II$62,$CW21:$MB21,$MD21:$VI21),SUMPRODUCT('計算A'!$D$62:$II$62,$CW21:$MB21))*1000+3)</f>
        <v/>
      </c>
      <c r="BF21">
        <f>IF(L21=1,1000000,IF('計算A'!$IQ$13=2,SUMPRODUCT('計算A'!$D$63:$II$63,$CW21:$MB21,$MD21:$VI21),SUMPRODUCT('計算A'!$D$63:$II$63,$CW21:$MB21))*1000+4)</f>
        <v/>
      </c>
      <c r="BG21">
        <f>IF(M21=1,1000000,IF('計算A'!$IQ$14=2,SUMPRODUCT('計算A'!$D$64:$II$64,$CW21:$MB21,$MD21:$VI21),SUMPRODUCT('計算A'!$D$64:$II$64,$CW21:$MB21))*1000+5)</f>
        <v/>
      </c>
      <c r="BH21">
        <f>IF(N21=1,1000000,IF('計算A'!$IQ$15=2,SUMPRODUCT('計算A'!$D$65:$II$65,$CW21:$MB21,$MD21:$VI21),SUMPRODUCT('計算A'!$D$65:$II$65,$CW21:$MB21))*1000+6)</f>
        <v/>
      </c>
      <c r="BI21">
        <f>IF(O21=1,1000000,IF('計算A'!$IQ$16=2,SUMPRODUCT('計算A'!$D$66:$II$66,$CW21:$MB21,$MD21:$VI21),SUMPRODUCT('計算A'!$D$66:$II$66,$CW21:$MB21))*1000+7)</f>
        <v/>
      </c>
      <c r="BJ21">
        <f>IF(P21=1,1000000,IF('計算A'!$IQ$17=2,SUMPRODUCT('計算A'!$D$67:$II$67,$CW21:$MB21,$MD21:$VI21),SUMPRODUCT('計算A'!$D$67:$II$67,$CW21:$MB21))*1000+8)</f>
        <v/>
      </c>
      <c r="BK21">
        <f>IF(Q21=1,1000000,IF('計算A'!$IQ$18=2,SUMPRODUCT('計算A'!$D$68:$II$68,$CW21:$MB21,$MD21:$VI21),SUMPRODUCT('計算A'!$D$68:$II$68,$CW21:$MB21))*1000+9)</f>
        <v/>
      </c>
      <c r="BL21">
        <f>IF(R21=1,1000000,IF('計算A'!$IQ$19=2,SUMPRODUCT('計算A'!$D$69:$II$69,$CW21:$MB21,$MD21:$VI21),SUMPRODUCT('計算A'!$D$69:$II$69,$CW21:$MB21))*1000+10)</f>
        <v/>
      </c>
      <c r="BM21">
        <f>IF(S21=1,1000000,IF('計算A'!$IQ$20=2,SUMPRODUCT('計算A'!$D$70:$II$70,$CW21:$MB21,$MD21:$VI21),SUMPRODUCT('計算A'!$D$70:$II$70,$CW21:$MB21))*1000+11)</f>
        <v/>
      </c>
      <c r="BN21">
        <f>IF(T21=1,1000000,IF('計算A'!$IQ$21=2,SUMPRODUCT('計算A'!$D$71:$II$71,$CW21:$MB21,$MD21:$VI21),SUMPRODUCT('計算A'!$D$71:$II$71,$CW21:$MB21))*1000+12)</f>
        <v/>
      </c>
      <c r="BO21">
        <f>IF(U21=1,1000000,IF('計算A'!$IQ$22=2,SUMPRODUCT('計算A'!$D$72:$II$72,$CW21:$MB21,$MD21:$VI21),SUMPRODUCT('計算A'!$D$72:$II$72,$CW21:$MB21))*1000+13)</f>
        <v/>
      </c>
      <c r="BP21">
        <f>IF(V21=1,1000000,IF('計算A'!$IQ$23=2,SUMPRODUCT('計算A'!$D$73:$II$73,$CW21:$MB21,$MD21:$VI21),SUMPRODUCT('計算A'!$D$73:$II$73,$CW21:$MB21))*1000+14)</f>
        <v/>
      </c>
      <c r="BQ21">
        <f>IF(W21=1,1000000,IF('計算A'!$IQ$24=2,SUMPRODUCT('計算A'!$D$74:$II$74,$CW21:$MB21,$MD21:$VI21),SUMPRODUCT('計算A'!$D$74:$II$74,$CW21:$MB21))*1000+15)</f>
        <v/>
      </c>
      <c r="BR21">
        <f>IF(X21=1,1000000,IF('計算A'!$IQ$25=2,SUMPRODUCT('計算A'!$D$75:$II$75,$CW21:$MB21,$MD21:$VI21),SUMPRODUCT('計算A'!$D$75:$II$75,$CW21:$MB21))*1000+16)</f>
        <v/>
      </c>
      <c r="BS21">
        <f>IF(Y21=1,1000000,IF('計算A'!$IQ$26=2,SUMPRODUCT('計算A'!$D$76:$II$76,$CW21:$MB21,$MD21:$VI21),SUMPRODUCT('計算A'!$D$76:$II$76,$CW21:$MB21))*1000+17)</f>
        <v/>
      </c>
      <c r="BT21">
        <f>IF(Z21=1,1000000,IF('計算A'!$IQ$27=2,SUMPRODUCT('計算A'!$D$77:$II$77,$CW21:$MB21,$MD21:$VI21),SUMPRODUCT('計算A'!$D$77:$II$77,$CW21:$MB21))*1000+18)</f>
        <v/>
      </c>
      <c r="BU21">
        <f>IF(AA21=1,1000000,IF('計算A'!$IQ$28=2,SUMPRODUCT('計算A'!$D$78:$II$78,$CW21:$MB21,$MD21:$VI21),SUMPRODUCT('計算A'!$D$78:$II$78,$CW21:$MB21))*1000+19)</f>
        <v/>
      </c>
      <c r="BV21">
        <f>IF(AB21=1,1000000,IF('計算A'!$IQ$29=2,SUMPRODUCT('計算A'!$D$79:$II$79,$CW21:$MB21,$MD21:$VI21),SUMPRODUCT('計算A'!$D$79:$II$79,$CW21:$MB21))*1000+20)</f>
        <v/>
      </c>
      <c r="BW21">
        <f>IF(AC21=1,1000000,IF('計算A'!$IQ$30=2,SUMPRODUCT('計算A'!$D$80:$II$80,$CW21:$MB21,$MD21:$VI21),SUMPRODUCT('計算A'!$D$80:$II$80,$CW21:$MB21))*1000+21)</f>
        <v/>
      </c>
      <c r="BX21">
        <f>IF(AD21=1,1000000,IF('計算A'!$IQ$31=2,SUMPRODUCT('計算A'!$D$81:$II$81,$CW21:$MB21,$MD21:$VI21),SUMPRODUCT('計算A'!$D$81:$II$81,$CW21:$MB21))*1000+22)</f>
        <v/>
      </c>
      <c r="BY21">
        <f>IF(AE21=1,1000000,IF('計算A'!$IQ$32=2,SUMPRODUCT('計算A'!$D$82:$II$82,$CW21:$MB21,$MD21:$VI21),SUMPRODUCT('計算A'!$D$82:$II$82,$CW21:$MB21))*1000+23)</f>
        <v/>
      </c>
      <c r="BZ21">
        <f>IF(AF21=1,1000000,IF('計算A'!$IQ$33=2,SUMPRODUCT('計算A'!$D$83:$II$83,$CW21:$MB21,$MD21:$VI21),SUMPRODUCT('計算A'!$D$83:$II$83,$CW21:$MB21))*1000+24)</f>
        <v/>
      </c>
      <c r="CA21">
        <f>IF(AG21=1,1000000,IF('計算A'!$IQ$34=2,SUMPRODUCT('計算A'!$D$84:$II$84,$CW21:$MB21,$MD21:$VI21),SUMPRODUCT('計算A'!$D$84:$II$84,$CW21:$MB21))*1000+25)</f>
        <v/>
      </c>
      <c r="CB21">
        <f>IF(AH21=1,1000000,IF('計算A'!$IQ$35=2,SUMPRODUCT('計算A'!$D$85:$II$85,$CW21:$MB21,$MD21:$VI21),SUMPRODUCT('計算A'!$D$85:$II$85,$CW21:$MB21))*1000+26)</f>
        <v/>
      </c>
      <c r="CC21">
        <f>IF(AI21=1,1000000,IF('計算A'!$IQ$36=2,SUMPRODUCT('計算A'!$D$86:$II$86,$CW21:$MB21,$MD21:$VI21),SUMPRODUCT('計算A'!$D$86:$II$86,$CW21:$MB21))*1000+27)</f>
        <v/>
      </c>
      <c r="CD21">
        <f>IF(AJ21=1,1000000,IF('計算A'!$IQ$37=2,SUMPRODUCT('計算A'!$D$87:$II$87,$CW21:$MB21,$MD21:$VI21),SUMPRODUCT('計算A'!$D$87:$II$87,$CW21:$MB21))*1000+28)</f>
        <v/>
      </c>
      <c r="CE21">
        <f>IF(AK21=1,1000000,IF('計算A'!$IQ$38=2,SUMPRODUCT('計算A'!$D$88:$II$88,$CW21:$MB21,$MD21:$VI21),SUMPRODUCT('計算A'!$D$88:$II$88,$CW21:$MB21))*1000+29)</f>
        <v/>
      </c>
      <c r="CF21">
        <f>IF(AL21=1,1000000,IF('計算A'!$IQ$39=2,SUMPRODUCT('計算A'!$D$89:$II$89,$CW21:$MB21,$MD21:$VI21),SUMPRODUCT('計算A'!$D$89:$II$89,$CW21:$MB21))*1000+30)</f>
        <v/>
      </c>
      <c r="CG21">
        <f>IF(AM21=1,1000000,IF('計算A'!$IQ$40=2,SUMPRODUCT('計算A'!$D$90:$II$90,$CW21:$MB21,$MD21:$VI21),SUMPRODUCT('計算A'!$D$90:$II$90,$CW21:$MB21))*1000+31)</f>
        <v/>
      </c>
      <c r="CH21">
        <f>IF(AN21=1,1000000,IF('計算A'!$IQ$41=2,SUMPRODUCT('計算A'!$D$91:$II$91,$CW21:$MB21,$MD21:$VI21),SUMPRODUCT('計算A'!$D$91:$II$91,$CW21:$MB21))*1000+32)</f>
        <v/>
      </c>
      <c r="CI21">
        <f>IF(AO21=1,1000000,IF('計算A'!$IQ$42=2,SUMPRODUCT('計算A'!$D$92:$II$92,$CW21:$MB21,$MD21:$VI21),SUMPRODUCT('計算A'!$D$92:$II$92,$CW21:$MB21))*1000+33)</f>
        <v/>
      </c>
      <c r="CJ21">
        <f>IF(AP21=1,1000000,IF('計算A'!$IQ$43=2,SUMPRODUCT('計算A'!$D$93:$II$93,$CW21:$MB21,$MD21:$VI21),SUMPRODUCT('計算A'!$D$93:$II$93,$CW21:$MB21))*1000+34)</f>
        <v/>
      </c>
      <c r="CK21">
        <f>IF(AQ21=1,1000000,IF('計算A'!$IQ$44=2,SUMPRODUCT('計算A'!$D$94:$II$94,$CW21:$MB21,$MD21:$VI21),SUMPRODUCT('計算A'!$D$94:$II$94,$CW21:$MB21))*1000+35)</f>
        <v/>
      </c>
      <c r="CL21">
        <f>IF(AR21=1,1000000,IF('計算A'!$IQ$45=2,SUMPRODUCT('計算A'!$D$95:$II$95,$CW21:$MB21,$MD21:$VI21),SUMPRODUCT('計算A'!$D$95:$II$95,$CW21:$MB21))*1000+36)</f>
        <v/>
      </c>
      <c r="CM21">
        <f>IF(AS21=1,1000000,IF('計算A'!$IQ$46=2,SUMPRODUCT('計算A'!$D$96:$II$96,$CW21:$MB21,$MD21:$VI21),SUMPRODUCT('計算A'!$D$96:$II$96,$CW21:$MB21))*1000+37)</f>
        <v/>
      </c>
      <c r="CN21">
        <f>IF(AT21=1,1000000,IF('計算A'!$IQ$47=2,SUMPRODUCT('計算A'!$D$97:$II$97,$CW21:$MB21,$MD21:$VI21),SUMPRODUCT('計算A'!$D$97:$II$97,$CW21:$MB21))*1000+38)</f>
        <v/>
      </c>
      <c r="CO21">
        <f>IF(AU21=1,1000000,IF('計算A'!$IQ$48=2,SUMPRODUCT('計算A'!$D$98:$II$98,$CW21:$MB21,$MD21:$VI21),SUMPRODUCT('計算A'!$D$98:$II$98,$CW21:$MB21))*1000+39)</f>
        <v/>
      </c>
      <c r="CP21">
        <f>IF(AV21=1,1000000,IF('計算A'!$IQ$49=2,SUMPRODUCT('計算A'!$D$99:$II$99,$CW21:$MB21,$MD21:$VI21),SUMPRODUCT('計算A'!$D$99:$II$99,$CW21:$MB21))*1000+40)</f>
        <v/>
      </c>
      <c r="CQ21">
        <f>IF(AW21=1,1000000,IF('計算A'!$IQ$50=2,SUMPRODUCT('計算A'!$D$100:$II$100,$CW21:$MB21,$MD21:$VI21),SUMPRODUCT('計算A'!$D$100:$II$100,$CW21:$MB21))*1000+41)</f>
        <v/>
      </c>
      <c r="CR21">
        <f>IF(AX21=1,1000000,IF('計算A'!$IQ$51=2,SUMPRODUCT('計算A'!$D$101:$II$101,$CW21:$MB21,$MD21:$VI21),SUMPRODUCT('計算A'!$D$101:$II$101,$CW21:$MB21))*1000+42)</f>
        <v/>
      </c>
      <c r="CS21">
        <f>IF(AY21=1,1000000,IF('計算A'!$IQ$52=2,SUMPRODUCT('計算A'!$D$102:$II$102,$CW21:$MB21,$MD21:$VI21),SUMPRODUCT('計算A'!$D$102:$II$102,$CW21:$MB21))*1000+43)</f>
        <v/>
      </c>
      <c r="CT21">
        <f>IF(AZ21=1,1000000,IF('計算A'!$IQ$53=2,SUMPRODUCT('計算A'!$D$103:$II$103,$CW21:$MB21,$MD21:$VI21),SUMPRODUCT('計算A'!$D$103:$II$103,$CW21:$MB21))*1000+44)</f>
        <v/>
      </c>
      <c r="CU21">
        <f>IF(BA21=1,1000000,IF('計算A'!$IQ$54=2,SUMPRODUCT('計算A'!$D$104:$II$104,$CW21:$MB21,$MD21:$VI21),SUMPRODUCT('計算A'!$D$104:$II$104,$CW21:$MB21))*1000+45)</f>
        <v/>
      </c>
      <c r="CW21">
        <f>CW20*IF(OR($C20=1,$G20=1),0,1)</f>
        <v/>
      </c>
      <c r="CX21">
        <f>CX20*IF(OR($C20=2,$G20=2),0,1)</f>
        <v/>
      </c>
      <c r="CY21">
        <f>CY20*IF(OR($C20=3,$G20=3),0,1)</f>
        <v/>
      </c>
      <c r="CZ21">
        <f>CZ20*IF(OR($C20=4,$G20=4),0,1)</f>
        <v/>
      </c>
      <c r="DA21">
        <f>DA20*IF(OR($C20=5,$G20=5),0,1)</f>
        <v/>
      </c>
      <c r="DB21">
        <f>DB20*IF(OR($C20=6,$G20=6),0,1)</f>
        <v/>
      </c>
      <c r="DC21">
        <f>DC20*IF(OR($C20=7,$G20=7),0,1)</f>
        <v/>
      </c>
      <c r="DD21">
        <f>DD20*IF(OR($C20=8,$G20=8),0,1)</f>
        <v/>
      </c>
      <c r="DE21">
        <f>DE20*IF(OR($C20=9,$G20=9),0,1)</f>
        <v/>
      </c>
      <c r="DF21">
        <f>DF20*IF(OR($C20=10,$G20=10),0,1)</f>
        <v/>
      </c>
      <c r="DG21">
        <f>DG20*IF(OR($C20=11,$G20=11),0,1)</f>
        <v/>
      </c>
      <c r="DH21">
        <f>DH20*IF(OR($C20=12,$G20=12),0,1)</f>
        <v/>
      </c>
      <c r="DI21">
        <f>DI20*IF(OR($C20=13,$G20=13),0,1)</f>
        <v/>
      </c>
      <c r="DJ21">
        <f>DJ20*IF(OR($C20=14,$G20=14),0,1)</f>
        <v/>
      </c>
      <c r="DK21">
        <f>DK20*IF(OR($C20=15,$G20=15),0,1)</f>
        <v/>
      </c>
      <c r="DL21">
        <f>DL20*IF(OR($C20=16,$G20=16),0,1)</f>
        <v/>
      </c>
      <c r="DM21">
        <f>DM20*IF(OR($C20=17,$G20=17),0,1)</f>
        <v/>
      </c>
      <c r="DN21">
        <f>DN20*IF(OR($C20=18,$G20=18),0,1)</f>
        <v/>
      </c>
      <c r="DO21">
        <f>DO20*IF(OR($C20=19,$G20=19),0,1)</f>
        <v/>
      </c>
      <c r="DP21">
        <f>DP20*IF(OR($C20=20,$G20=20),0,1)</f>
        <v/>
      </c>
      <c r="DQ21">
        <f>DQ20*IF(OR($C20=21,$G20=21),0,1)</f>
        <v/>
      </c>
      <c r="DR21">
        <f>DR20*IF(OR($C20=22,$G20=22),0,1)</f>
        <v/>
      </c>
      <c r="DS21">
        <f>DS20*IF(OR($C20=23,$G20=23),0,1)</f>
        <v/>
      </c>
      <c r="DT21">
        <f>DT20*IF(OR($C20=24,$G20=24),0,1)</f>
        <v/>
      </c>
      <c r="DU21">
        <f>DU20*IF(OR($C20=25,$G20=25),0,1)</f>
        <v/>
      </c>
      <c r="DV21">
        <f>DV20*IF(OR($C20=26,$G20=26),0,1)</f>
        <v/>
      </c>
      <c r="DW21">
        <f>DW20*IF(OR($C20=27,$G20=27),0,1)</f>
        <v/>
      </c>
      <c r="DX21">
        <f>DX20*IF(OR($C20=28,$G20=28),0,1)</f>
        <v/>
      </c>
      <c r="DY21">
        <f>DY20*IF(OR($C20=29,$G20=29),0,1)</f>
        <v/>
      </c>
      <c r="DZ21">
        <f>DZ20*IF(OR($C20=30,$G20=30),0,1)</f>
        <v/>
      </c>
      <c r="EA21">
        <f>EA20*IF(OR($C20=31,$G20=31),0,1)</f>
        <v/>
      </c>
      <c r="EB21">
        <f>EB20*IF(OR($C20=32,$G20=32),0,1)</f>
        <v/>
      </c>
      <c r="EC21">
        <f>EC20*IF(OR($C20=33,$G20=33),0,1)</f>
        <v/>
      </c>
      <c r="ED21">
        <f>ED20*IF(OR($C20=34,$G20=34),0,1)</f>
        <v/>
      </c>
      <c r="EE21">
        <f>EE20*IF(OR($C20=35,$G20=35),0,1)</f>
        <v/>
      </c>
      <c r="EF21">
        <f>EF20*IF(OR($C20=36,$G20=36),0,1)</f>
        <v/>
      </c>
      <c r="EG21">
        <f>EG20*IF(OR($C20=37,$G20=37),0,1)</f>
        <v/>
      </c>
      <c r="EH21">
        <f>EH20*IF(OR($C20=38,$G20=38),0,1)</f>
        <v/>
      </c>
      <c r="EI21">
        <f>EI20*IF(OR($C20=39,$G20=39),0,1)</f>
        <v/>
      </c>
      <c r="EJ21">
        <f>EJ20*IF(OR($C20=40,$G20=40),0,1)</f>
        <v/>
      </c>
      <c r="EK21">
        <f>EK20*IF(OR($C20=41,$G20=41),0,1)</f>
        <v/>
      </c>
      <c r="EL21">
        <f>EL20*IF(OR($C20=42,$G20=42),0,1)</f>
        <v/>
      </c>
      <c r="EM21">
        <f>EM20*IF(OR($C20=43,$G20=43),0,1)</f>
        <v/>
      </c>
      <c r="EN21">
        <f>EN20*IF(OR($C20=44,$G20=44),0,1)</f>
        <v/>
      </c>
      <c r="EO21">
        <f>EO20*IF(OR($C20=45,$G20=45),0,1)</f>
        <v/>
      </c>
      <c r="EP21">
        <f>EP20*IF(OR($C20=46,$G20=46),0,1)</f>
        <v/>
      </c>
      <c r="EQ21">
        <f>EQ20*IF(OR($C20=47,$G20=47),0,1)</f>
        <v/>
      </c>
      <c r="ER21">
        <f>ER20*IF(OR($C20=48,$G20=48),0,1)</f>
        <v/>
      </c>
      <c r="ES21">
        <f>ES20*IF(OR($C20=49,$G20=49),0,1)</f>
        <v/>
      </c>
      <c r="ET21">
        <f>ET20*IF(OR($C20=50,$G20=50),0,1)</f>
        <v/>
      </c>
      <c r="EU21">
        <f>EU20*IF(OR($C20=51,$G20=51),0,1)</f>
        <v/>
      </c>
      <c r="EV21">
        <f>EV20*IF(OR($C20=52,$G20=52),0,1)</f>
        <v/>
      </c>
      <c r="EW21">
        <f>EW20*IF(OR($C20=53,$G20=53),0,1)</f>
        <v/>
      </c>
      <c r="EX21">
        <f>EX20*IF(OR($C20=54,$G20=54),0,1)</f>
        <v/>
      </c>
      <c r="EY21">
        <f>EY20*IF(OR($C20=55,$G20=55),0,1)</f>
        <v/>
      </c>
      <c r="EZ21">
        <f>EZ20*IF(OR($C20=56,$G20=56),0,1)</f>
        <v/>
      </c>
      <c r="FA21">
        <f>FA20*IF(OR($C20=57,$G20=57),0,1)</f>
        <v/>
      </c>
      <c r="FB21">
        <f>FB20*IF(OR($C20=58,$G20=58),0,1)</f>
        <v/>
      </c>
      <c r="FC21">
        <f>FC20*IF(OR($C20=59,$G20=59),0,1)</f>
        <v/>
      </c>
      <c r="FD21">
        <f>FD20*IF(OR($C20=60,$G20=60),0,1)</f>
        <v/>
      </c>
      <c r="FE21">
        <f>FE20*IF(OR($C20=61,$G20=61),0,1)</f>
        <v/>
      </c>
      <c r="FF21">
        <f>FF20*IF(OR($C20=62,$G20=62),0,1)</f>
        <v/>
      </c>
      <c r="FG21">
        <f>FG20*IF(OR($C20=63,$G20=63),0,1)</f>
        <v/>
      </c>
      <c r="FH21">
        <f>FH20*IF(OR($C20=64,$G20=64),0,1)</f>
        <v/>
      </c>
      <c r="FI21">
        <f>FI20*IF(OR($C20=65,$G20=65),0,1)</f>
        <v/>
      </c>
      <c r="FJ21">
        <f>FJ20*IF(OR($C20=66,$G20=66),0,1)</f>
        <v/>
      </c>
      <c r="FK21">
        <f>FK20*IF(OR($C20=67,$G20=67),0,1)</f>
        <v/>
      </c>
      <c r="FL21">
        <f>FL20*IF(OR($C20=68,$G20=68),0,1)</f>
        <v/>
      </c>
      <c r="FM21">
        <f>FM20*IF(OR($C20=69,$G20=69),0,1)</f>
        <v/>
      </c>
      <c r="FN21">
        <f>FN20*IF(OR($C20=70,$G20=70),0,1)</f>
        <v/>
      </c>
      <c r="FO21">
        <f>FO20*IF(OR($C20=71,$G20=71),0,1)</f>
        <v/>
      </c>
      <c r="FP21">
        <f>FP20*IF(OR($C20=72,$G20=72),0,1)</f>
        <v/>
      </c>
      <c r="FQ21">
        <f>FQ20*IF(OR($C20=73,$G20=73),0,1)</f>
        <v/>
      </c>
      <c r="FR21">
        <f>FR20*IF(OR($C20=74,$G20=74),0,1)</f>
        <v/>
      </c>
      <c r="FS21">
        <f>FS20*IF(OR($C20=75,$G20=75),0,1)</f>
        <v/>
      </c>
      <c r="FT21">
        <f>FT20*IF(OR($C20=76,$G20=76),0,1)</f>
        <v/>
      </c>
      <c r="FU21">
        <f>FU20*IF(OR($C20=77,$G20=77),0,1)</f>
        <v/>
      </c>
      <c r="FV21">
        <f>FV20*IF(OR($C20=78,$G20=78),0,1)</f>
        <v/>
      </c>
      <c r="FW21">
        <f>FW20*IF(OR($C20=79,$G20=79),0,1)</f>
        <v/>
      </c>
      <c r="FX21">
        <f>FX20*IF(OR($C20=80,$G20=80),0,1)</f>
        <v/>
      </c>
      <c r="FY21">
        <f>FY20*IF(OR($C20=81,$G20=81),0,1)</f>
        <v/>
      </c>
      <c r="FZ21">
        <f>FZ20*IF(OR($C20=82,$G20=82),0,1)</f>
        <v/>
      </c>
      <c r="GA21">
        <f>GA20*IF(OR($C20=83,$G20=83),0,1)</f>
        <v/>
      </c>
      <c r="GB21">
        <f>GB20*IF(OR($C20=84,$G20=84),0,1)</f>
        <v/>
      </c>
      <c r="GC21">
        <f>GC20*IF(OR($C20=85,$G20=85),0,1)</f>
        <v/>
      </c>
      <c r="GD21">
        <f>GD20*IF(OR($C20=86,$G20=86),0,1)</f>
        <v/>
      </c>
      <c r="GE21">
        <f>GE20*IF(OR($C20=87,$G20=87),0,1)</f>
        <v/>
      </c>
      <c r="GF21">
        <f>GF20*IF(OR($C20=88,$G20=88),0,1)</f>
        <v/>
      </c>
      <c r="GG21">
        <f>GG20*IF(OR($C20=89,$G20=89),0,1)</f>
        <v/>
      </c>
      <c r="GH21">
        <f>GH20*IF(OR($C20=90,$G20=90),0,1)</f>
        <v/>
      </c>
      <c r="GI21">
        <f>GI20*IF(OR($C20=91,$G20=91),0,1)</f>
        <v/>
      </c>
      <c r="GJ21">
        <f>GJ20*IF(OR($C20=92,$G20=92),0,1)</f>
        <v/>
      </c>
      <c r="GK21">
        <f>GK20*IF(OR($C20=93,$G20=93),0,1)</f>
        <v/>
      </c>
      <c r="GL21">
        <f>GL20*IF(OR($C20=94,$G20=94),0,1)</f>
        <v/>
      </c>
      <c r="GM21">
        <f>GM20*IF(OR($C20=95,$G20=95),0,1)</f>
        <v/>
      </c>
      <c r="GN21">
        <f>GN20*IF(OR($C20=96,$G20=96),0,1)</f>
        <v/>
      </c>
      <c r="GO21">
        <f>GO20*IF(OR($C20=97,$G20=97),0,1)</f>
        <v/>
      </c>
      <c r="GP21">
        <f>GP20*IF(OR($C20=98,$G20=98),0,1)</f>
        <v/>
      </c>
      <c r="GQ21">
        <f>GQ20*IF(OR($C20=99,$G20=99),0,1)</f>
        <v/>
      </c>
      <c r="GR21">
        <f>GR20*IF(OR($C20=100,$G20=100),0,1)</f>
        <v/>
      </c>
      <c r="GS21">
        <f>GS20*IF(OR($C20=101,$G20=101),0,1)</f>
        <v/>
      </c>
      <c r="GT21">
        <f>GT20*IF(OR($C20=102,$G20=102),0,1)</f>
        <v/>
      </c>
      <c r="GU21">
        <f>GU20*IF(OR($C20=103,$G20=103),0,1)</f>
        <v/>
      </c>
      <c r="GV21">
        <f>GV20*IF(OR($C20=104,$G20=104),0,1)</f>
        <v/>
      </c>
      <c r="GW21">
        <f>GW20*IF(OR($C20=105,$G20=105),0,1)</f>
        <v/>
      </c>
      <c r="GX21">
        <f>GX20*IF(OR($C20=106,$G20=106),0,1)</f>
        <v/>
      </c>
      <c r="GY21">
        <f>GY20*IF(OR($C20=107,$G20=107),0,1)</f>
        <v/>
      </c>
      <c r="GZ21">
        <f>GZ20*IF(OR($C20=108,$G20=108),0,1)</f>
        <v/>
      </c>
      <c r="HA21">
        <f>HA20*IF(OR($C20=109,$G20=109),0,1)</f>
        <v/>
      </c>
      <c r="HB21">
        <f>HB20*IF(OR($C20=110,$G20=110),0,1)</f>
        <v/>
      </c>
      <c r="HC21">
        <f>HC20*IF(OR($C20=111,$G20=111),0,1)</f>
        <v/>
      </c>
      <c r="HD21">
        <f>HD20*IF(OR($C20=112,$G20=112),0,1)</f>
        <v/>
      </c>
      <c r="HE21">
        <f>HE20*IF(OR($C20=113,$G20=113),0,1)</f>
        <v/>
      </c>
      <c r="HF21">
        <f>HF20*IF(OR($C20=114,$G20=114),0,1)</f>
        <v/>
      </c>
      <c r="HG21">
        <f>HG20*IF(OR($C20=115,$G20=115),0,1)</f>
        <v/>
      </c>
      <c r="HH21">
        <f>HH20*IF(OR($C20=116,$G20=116),0,1)</f>
        <v/>
      </c>
      <c r="HI21">
        <f>HI20*IF(OR($C20=117,$G20=117),0,1)</f>
        <v/>
      </c>
      <c r="HJ21">
        <f>HJ20*IF(OR($C20=118,$G20=118),0,1)</f>
        <v/>
      </c>
      <c r="HK21">
        <f>HK20*IF(OR($C20=119,$G20=119),0,1)</f>
        <v/>
      </c>
      <c r="HL21">
        <f>HL20*IF(OR($C20=120,$G20=120),0,1)</f>
        <v/>
      </c>
      <c r="HM21">
        <f>HM20*IF(OR($C20=121,$G20=121),0,1)</f>
        <v/>
      </c>
      <c r="HN21">
        <f>HN20*IF(OR($C20=122,$G20=122),0,1)</f>
        <v/>
      </c>
      <c r="HO21">
        <f>HO20*IF(OR($C20=123,$G20=123),0,1)</f>
        <v/>
      </c>
      <c r="HP21">
        <f>HP20*IF(OR($C20=124,$G20=124),0,1)</f>
        <v/>
      </c>
      <c r="HQ21">
        <f>HQ20*IF(OR($C20=125,$G20=125),0,1)</f>
        <v/>
      </c>
      <c r="HR21">
        <f>HR20*IF(OR($C20=126,$G20=126),0,1)</f>
        <v/>
      </c>
      <c r="HS21">
        <f>HS20*IF(OR($C20=127,$G20=127),0,1)</f>
        <v/>
      </c>
      <c r="HT21">
        <f>HT20*IF(OR($C20=128,$G20=128),0,1)</f>
        <v/>
      </c>
      <c r="HU21">
        <f>HU20*IF(OR($C20=129,$G20=129),0,1)</f>
        <v/>
      </c>
      <c r="HV21">
        <f>HV20*IF(OR($C20=130,$G20=130),0,1)</f>
        <v/>
      </c>
      <c r="HW21">
        <f>HW20*IF(OR($C20=131,$G20=131),0,1)</f>
        <v/>
      </c>
      <c r="HX21">
        <f>HX20*IF(OR($C20=132,$G20=132),0,1)</f>
        <v/>
      </c>
      <c r="HY21">
        <f>HY20*IF(OR($C20=133,$G20=133),0,1)</f>
        <v/>
      </c>
      <c r="HZ21">
        <f>HZ20*IF(OR($C20=134,$G20=134),0,1)</f>
        <v/>
      </c>
      <c r="IA21">
        <f>IA20*IF(OR($C20=135,$G20=135),0,1)</f>
        <v/>
      </c>
      <c r="IB21">
        <f>IB20*IF(OR($C20=136,$G20=136),0,1)</f>
        <v/>
      </c>
      <c r="IC21">
        <f>IC20*IF(OR($C20=137,$G20=137),0,1)</f>
        <v/>
      </c>
      <c r="ID21">
        <f>ID20*IF(OR($C20=138,$G20=138),0,1)</f>
        <v/>
      </c>
      <c r="IE21">
        <f>IE20*IF(OR($C20=139,$G20=139),0,1)</f>
        <v/>
      </c>
      <c r="IF21">
        <f>IF20*IF(OR($C20=140,$G20=140),0,1)</f>
        <v/>
      </c>
      <c r="IG21">
        <f>IG20*IF(OR($C20=141,$G20=141),0,1)</f>
        <v/>
      </c>
      <c r="IH21">
        <f>IH20*IF(OR($C20=142,$G20=142),0,1)</f>
        <v/>
      </c>
      <c r="II21">
        <f>II20*IF(OR($C20=143,$G20=143),0,1)</f>
        <v/>
      </c>
      <c r="IJ21">
        <f>IJ20*IF(OR($C20=144,$G20=144),0,1)</f>
        <v/>
      </c>
      <c r="IK21">
        <f>IK20*IF(OR($C20=145,$G20=145),0,1)</f>
        <v/>
      </c>
      <c r="IL21">
        <f>IL20*IF(OR($C20=146,$G20=146),0,1)</f>
        <v/>
      </c>
      <c r="IM21">
        <f>IM20*IF(OR($C20=147,$G20=147),0,1)</f>
        <v/>
      </c>
      <c r="IN21">
        <f>IN20*IF(OR($C20=148,$G20=148),0,1)</f>
        <v/>
      </c>
      <c r="IO21">
        <f>IO20*IF(OR($C20=149,$G20=149),0,1)</f>
        <v/>
      </c>
      <c r="IP21">
        <f>IP20*IF(OR($C20=150,$G20=150),0,1)</f>
        <v/>
      </c>
      <c r="IQ21">
        <f>IQ20*IF(OR($C20=151,$G20=151),0,1)</f>
        <v/>
      </c>
      <c r="IR21">
        <f>IR20*IF(OR($C20=152,$G20=152),0,1)</f>
        <v/>
      </c>
      <c r="IS21">
        <f>IS20*IF(OR($C20=153,$G20=153),0,1)</f>
        <v/>
      </c>
      <c r="IT21">
        <f>IT20*IF(OR($C20=154,$G20=154),0,1)</f>
        <v/>
      </c>
      <c r="IU21">
        <f>IU20*IF(OR($C20=155,$G20=155),0,1)</f>
        <v/>
      </c>
      <c r="IV21">
        <f>IV20*IF(OR($C20=156,$G20=156),0,1)</f>
        <v/>
      </c>
      <c r="IW21">
        <f>IW20*IF(OR($C20=157,$G20=157),0,1)</f>
        <v/>
      </c>
      <c r="IX21">
        <f>IX20*IF(OR($C20=158,$G20=158),0,1)</f>
        <v/>
      </c>
      <c r="IY21">
        <f>IY20*IF(OR($C20=159,$G20=159),0,1)</f>
        <v/>
      </c>
      <c r="IZ21">
        <f>IZ20*IF(OR($C20=160,$G20=160),0,1)</f>
        <v/>
      </c>
      <c r="JA21">
        <f>JA20*IF(OR($C20=161,$G20=161),0,1)</f>
        <v/>
      </c>
      <c r="JB21">
        <f>JB20*IF(OR($C20=162,$G20=162),0,1)</f>
        <v/>
      </c>
      <c r="JC21">
        <f>JC20*IF(OR($C20=163,$G20=163),0,1)</f>
        <v/>
      </c>
      <c r="JD21">
        <f>JD20*IF(OR($C20=164,$G20=164),0,1)</f>
        <v/>
      </c>
      <c r="JE21">
        <f>JE20*IF(OR($C20=165,$G20=165),0,1)</f>
        <v/>
      </c>
      <c r="JF21">
        <f>JF20*IF(OR($C20=166,$G20=166),0,1)</f>
        <v/>
      </c>
      <c r="JG21">
        <f>JG20*IF(OR($C20=167,$G20=167),0,1)</f>
        <v/>
      </c>
      <c r="JH21">
        <f>JH20*IF(OR($C20=168,$G20=168),0,1)</f>
        <v/>
      </c>
      <c r="JI21">
        <f>JI20*IF(OR($C20=169,$G20=169),0,1)</f>
        <v/>
      </c>
      <c r="JJ21">
        <f>JJ20*IF(OR($C20=170,$G20=170),0,1)</f>
        <v/>
      </c>
      <c r="JK21">
        <f>JK20*IF(OR($C20=171,$G20=171),0,1)</f>
        <v/>
      </c>
      <c r="JL21">
        <f>JL20*IF(OR($C20=172,$G20=172),0,1)</f>
        <v/>
      </c>
      <c r="JM21">
        <f>JM20*IF(OR($C20=173,$G20=173),0,1)</f>
        <v/>
      </c>
      <c r="JN21">
        <f>JN20*IF(OR($C20=174,$G20=174),0,1)</f>
        <v/>
      </c>
      <c r="JO21">
        <f>JO20*IF(OR($C20=175,$G20=175),0,1)</f>
        <v/>
      </c>
      <c r="JP21">
        <f>JP20*IF(OR($C20=176,$G20=176),0,1)</f>
        <v/>
      </c>
      <c r="JQ21">
        <f>JQ20*IF(OR($C20=177,$G20=177),0,1)</f>
        <v/>
      </c>
      <c r="JR21">
        <f>JR20*IF(OR($C20=178,$G20=178),0,1)</f>
        <v/>
      </c>
      <c r="JS21">
        <f>JS20*IF(OR($C20=179,$G20=179),0,1)</f>
        <v/>
      </c>
      <c r="JT21">
        <f>JT20*IF(OR($C20=180,$G20=180),0,1)</f>
        <v/>
      </c>
      <c r="JU21">
        <f>JU20*IF(OR($C20=181,$G20=181),0,1)</f>
        <v/>
      </c>
      <c r="JV21">
        <f>JV20*IF(OR($C20=182,$G20=182),0,1)</f>
        <v/>
      </c>
      <c r="JW21">
        <f>JW20*IF(OR($C20=183,$G20=183),0,1)</f>
        <v/>
      </c>
      <c r="JX21">
        <f>JX20*IF(OR($C20=184,$G20=184),0,1)</f>
        <v/>
      </c>
      <c r="JY21">
        <f>JY20*IF(OR($C20=185,$G20=185),0,1)</f>
        <v/>
      </c>
      <c r="JZ21">
        <f>JZ20*IF(OR($C20=186,$G20=186),0,1)</f>
        <v/>
      </c>
      <c r="KA21">
        <f>KA20*IF(OR($C20=187,$G20=187),0,1)</f>
        <v/>
      </c>
      <c r="KB21">
        <f>KB20*IF(OR($C20=188,$G20=188),0,1)</f>
        <v/>
      </c>
      <c r="KC21">
        <f>KC20*IF(OR($C20=189,$G20=189),0,1)</f>
        <v/>
      </c>
      <c r="KD21">
        <f>KD20*IF(OR($C20=190,$G20=190),0,1)</f>
        <v/>
      </c>
      <c r="KE21">
        <f>KE20*IF(OR($C20=191,$G20=191),0,1)</f>
        <v/>
      </c>
      <c r="KF21">
        <f>KF20*IF(OR($C20=192,$G20=192),0,1)</f>
        <v/>
      </c>
      <c r="KG21">
        <f>KG20*IF(OR($C20=193,$G20=193),0,1)</f>
        <v/>
      </c>
      <c r="KH21">
        <f>KH20*IF(OR($C20=194,$G20=194),0,1)</f>
        <v/>
      </c>
      <c r="KI21">
        <f>KI20*IF(OR($C20=195,$G20=195),0,1)</f>
        <v/>
      </c>
      <c r="KJ21">
        <f>KJ20*IF(OR($C20=196,$G20=196),0,1)</f>
        <v/>
      </c>
      <c r="KK21">
        <f>KK20*IF(OR($C20=197,$G20=197),0,1)</f>
        <v/>
      </c>
      <c r="KL21">
        <f>KL20*IF(OR($C20=198,$G20=198),0,1)</f>
        <v/>
      </c>
      <c r="KM21">
        <f>KM20*IF(OR($C20=199,$G20=199),0,1)</f>
        <v/>
      </c>
      <c r="KN21">
        <f>KN20*IF(OR($C20=200,$G20=200),0,1)</f>
        <v/>
      </c>
      <c r="KO21">
        <f>KO20*IF(OR($C20=201,$G20=201),0,1)</f>
        <v/>
      </c>
      <c r="KP21">
        <f>KP20*IF(OR($C20=202,$G20=202),0,1)</f>
        <v/>
      </c>
      <c r="KQ21">
        <f>KQ20*IF(OR($C20=203,$G20=203),0,1)</f>
        <v/>
      </c>
      <c r="KR21">
        <f>KR20*IF(OR($C20=204,$G20=204),0,1)</f>
        <v/>
      </c>
      <c r="KS21">
        <f>KS20*IF(OR($C20=205,$G20=205),0,1)</f>
        <v/>
      </c>
      <c r="KT21">
        <f>KT20*IF(OR($C20=206,$G20=206),0,1)</f>
        <v/>
      </c>
      <c r="KU21">
        <f>KU20*IF(OR($C20=207,$G20=207),0,1)</f>
        <v/>
      </c>
      <c r="KV21">
        <f>KV20*IF(OR($C20=208,$G20=208),0,1)</f>
        <v/>
      </c>
      <c r="KW21">
        <f>KW20*IF(OR($C20=209,$G20=209),0,1)</f>
        <v/>
      </c>
      <c r="KX21">
        <f>KX20*IF(OR($C20=210,$G20=210),0,1)</f>
        <v/>
      </c>
      <c r="KY21">
        <f>KY20*IF(OR($C20=211,$G20=211),0,1)</f>
        <v/>
      </c>
      <c r="KZ21">
        <f>KZ20*IF(OR($C20=212,$G20=212),0,1)</f>
        <v/>
      </c>
      <c r="LA21">
        <f>LA20*IF(OR($C20=213,$G20=213),0,1)</f>
        <v/>
      </c>
      <c r="LB21">
        <f>LB20*IF(OR($C20=214,$G20=214),0,1)</f>
        <v/>
      </c>
      <c r="LC21">
        <f>LC20*IF(OR($C20=215,$G20=215),0,1)</f>
        <v/>
      </c>
      <c r="LD21">
        <f>LD20*IF(OR($C20=216,$G20=216),0,1)</f>
        <v/>
      </c>
      <c r="LE21">
        <f>LE20*IF(OR($C20=217,$G20=217),0,1)</f>
        <v/>
      </c>
      <c r="LF21">
        <f>LF20*IF(OR($C20=218,$G20=218),0,1)</f>
        <v/>
      </c>
      <c r="LG21">
        <f>LG20*IF(OR($C20=219,$G20=219),0,1)</f>
        <v/>
      </c>
      <c r="LH21">
        <f>LH20*IF(OR($C20=220,$G20=220),0,1)</f>
        <v/>
      </c>
      <c r="LI21">
        <f>LI20*IF(OR($C20=221,$G20=221),0,1)</f>
        <v/>
      </c>
      <c r="LJ21">
        <f>LJ20*IF(OR($C20=222,$G20=222),0,1)</f>
        <v/>
      </c>
      <c r="LK21">
        <f>LK20*IF(OR($C20=223,$G20=223),0,1)</f>
        <v/>
      </c>
      <c r="LL21">
        <f>LL20*IF(OR($C20=224,$G20=224),0,1)</f>
        <v/>
      </c>
      <c r="LM21">
        <f>LM20*IF(OR($C20=225,$G20=225),0,1)</f>
        <v/>
      </c>
      <c r="LN21">
        <f>LN20*IF(OR($C20=226,$G20=226),0,1)</f>
        <v/>
      </c>
      <c r="LO21">
        <f>LO20*IF(OR($C20=227,$G20=227),0,1)</f>
        <v/>
      </c>
      <c r="LP21">
        <f>LP20*IF(OR($C20=228,$G20=228),0,1)</f>
        <v/>
      </c>
      <c r="LQ21">
        <f>LQ20*IF(OR($C20=229,$G20=229),0,1)</f>
        <v/>
      </c>
      <c r="LR21">
        <f>LR20*IF(OR($C20=230,$G20=230),0,1)</f>
        <v/>
      </c>
      <c r="LS21">
        <f>LS20*IF(OR($C20=231,$G20=231),0,1)</f>
        <v/>
      </c>
      <c r="LT21">
        <f>LT20*IF(OR($C20=232,$G20=232),0,1)</f>
        <v/>
      </c>
      <c r="LU21">
        <f>LU20*IF(OR($C20=233,$G20=233),0,1)</f>
        <v/>
      </c>
      <c r="LV21">
        <f>LV20*IF(OR($C20=234,$G20=234),0,1)</f>
        <v/>
      </c>
      <c r="LW21">
        <f>LW20*IF(OR($C20=235,$G20=235),0,1)</f>
        <v/>
      </c>
      <c r="LX21">
        <f>LX20*IF(OR($C20=236,$G20=236),0,1)</f>
        <v/>
      </c>
      <c r="LY21">
        <f>LY20*IF(OR($C20=237,$G20=237),0,1)</f>
        <v/>
      </c>
      <c r="LZ21">
        <f>LZ20*IF(OR($C20=238,$G20=238),0,1)</f>
        <v/>
      </c>
      <c r="MA21">
        <f>MA20*IF(OR($C20=239,$G20=239),0,1)</f>
        <v/>
      </c>
      <c r="MB21">
        <f>MB20*IF(OR($C20=240,$G20=240),0,1)</f>
        <v/>
      </c>
      <c r="MD21">
        <f>IF('計算A'!D$106=1,CX21,1)</f>
        <v/>
      </c>
      <c r="ME21">
        <f>IF('計算A'!E$106=1,CY21,1)</f>
        <v/>
      </c>
      <c r="MF21">
        <f>IF('計算A'!F$106=1,CZ21,1)</f>
        <v/>
      </c>
      <c r="MG21">
        <f>IF('計算A'!G$106=1,DA21,1)</f>
        <v/>
      </c>
      <c r="MH21">
        <f>IF('計算A'!H$106=1,DB21,1)</f>
        <v/>
      </c>
      <c r="MI21">
        <f>IF('計算A'!I$106=1,DC21,1)</f>
        <v/>
      </c>
      <c r="MJ21">
        <f>IF('計算A'!J$106=1,DD21,1)</f>
        <v/>
      </c>
      <c r="MK21">
        <f>IF('計算A'!K$106=1,DE21,1)</f>
        <v/>
      </c>
      <c r="ML21">
        <f>IF('計算A'!L$106=1,DF21,1)</f>
        <v/>
      </c>
      <c r="MM21">
        <f>IF('計算A'!M$106=1,DG21,1)</f>
        <v/>
      </c>
      <c r="MN21">
        <f>IF('計算A'!N$106=1,DH21,1)</f>
        <v/>
      </c>
      <c r="MO21">
        <f>IF('計算A'!O$106=1,DI21,1)</f>
        <v/>
      </c>
      <c r="MP21">
        <f>IF('計算A'!P$106=1,DJ21,1)</f>
        <v/>
      </c>
      <c r="MQ21">
        <f>IF('計算A'!Q$106=1,DK21,1)</f>
        <v/>
      </c>
      <c r="MR21">
        <f>IF('計算A'!R$106=1,DL21,1)</f>
        <v/>
      </c>
      <c r="MS21">
        <f>IF('計算A'!S$106=1,DM21,1)</f>
        <v/>
      </c>
      <c r="MT21">
        <f>IF('計算A'!T$106=1,DN21,1)</f>
        <v/>
      </c>
      <c r="MU21">
        <f>IF('計算A'!U$106=1,DO21,1)</f>
        <v/>
      </c>
      <c r="MV21">
        <f>IF('計算A'!V$106=1,DP21,1)</f>
        <v/>
      </c>
      <c r="MW21">
        <f>IF('計算A'!W$106=1,DQ21,1)</f>
        <v/>
      </c>
      <c r="MX21">
        <f>IF('計算A'!X$106=1,DR21,1)</f>
        <v/>
      </c>
      <c r="MY21">
        <f>IF('計算A'!Y$106=1,DS21,1)</f>
        <v/>
      </c>
      <c r="MZ21">
        <f>IF('計算A'!Z$106=1,DT21,1)</f>
        <v/>
      </c>
      <c r="NA21">
        <f>IF('計算A'!AA$106=1,DU21,1)</f>
        <v/>
      </c>
      <c r="NB21">
        <f>IF('計算A'!AB$106=1,DV21,1)</f>
        <v/>
      </c>
      <c r="NC21">
        <f>IF('計算A'!AC$106=1,DW21,1)</f>
        <v/>
      </c>
      <c r="ND21">
        <f>IF('計算A'!AD$106=1,DX21,1)</f>
        <v/>
      </c>
      <c r="NE21">
        <f>IF('計算A'!AE$106=1,DY21,1)</f>
        <v/>
      </c>
      <c r="NF21">
        <f>IF('計算A'!AF$106=1,DZ21,1)</f>
        <v/>
      </c>
      <c r="NG21">
        <f>IF('計算A'!AG$106=1,EA21,1)</f>
        <v/>
      </c>
      <c r="NH21">
        <f>IF('計算A'!AH$106=1,EB21,1)</f>
        <v/>
      </c>
      <c r="NI21">
        <f>IF('計算A'!AI$106=1,EC21,1)</f>
        <v/>
      </c>
      <c r="NJ21">
        <f>IF('計算A'!AJ$106=1,ED21,1)</f>
        <v/>
      </c>
      <c r="NK21">
        <f>IF('計算A'!AK$106=1,EE21,1)</f>
        <v/>
      </c>
      <c r="NL21">
        <f>IF('計算A'!AL$106=1,EF21,1)</f>
        <v/>
      </c>
      <c r="NM21">
        <f>IF('計算A'!AM$106=1,EG21,1)</f>
        <v/>
      </c>
      <c r="NN21">
        <f>IF('計算A'!AN$106=1,EH21,1)</f>
        <v/>
      </c>
      <c r="NO21">
        <f>IF('計算A'!AO$106=1,EI21,1)</f>
        <v/>
      </c>
      <c r="NP21">
        <f>IF('計算A'!AP$106=1,EJ21,1)</f>
        <v/>
      </c>
      <c r="NQ21">
        <f>IF('計算A'!AQ$106=1,EK21,1)</f>
        <v/>
      </c>
      <c r="NR21">
        <f>IF('計算A'!AR$106=1,EL21,1)</f>
        <v/>
      </c>
      <c r="NS21">
        <f>IF('計算A'!AS$106=1,EM21,1)</f>
        <v/>
      </c>
      <c r="NT21">
        <f>IF('計算A'!AT$106=1,EN21,1)</f>
        <v/>
      </c>
      <c r="NU21">
        <f>IF('計算A'!AU$106=1,EO21,1)</f>
        <v/>
      </c>
      <c r="NV21">
        <f>IF('計算A'!AV$106=1,EP21,1)</f>
        <v/>
      </c>
      <c r="NW21">
        <f>IF('計算A'!AW$106=1,EQ21,1)</f>
        <v/>
      </c>
      <c r="NX21">
        <f>IF('計算A'!AX$106=1,ER21,1)</f>
        <v/>
      </c>
      <c r="NY21">
        <f>IF('計算A'!AY$106=1,ES21,1)</f>
        <v/>
      </c>
      <c r="NZ21">
        <f>IF('計算A'!AZ$106=1,ET21,1)</f>
        <v/>
      </c>
      <c r="OA21">
        <f>IF('計算A'!BA$106=1,EU21,1)</f>
        <v/>
      </c>
      <c r="OB21">
        <f>IF('計算A'!BB$106=1,EV21,1)</f>
        <v/>
      </c>
      <c r="OC21">
        <f>IF('計算A'!BC$106=1,EW21,1)</f>
        <v/>
      </c>
      <c r="OD21">
        <f>IF('計算A'!BD$106=1,EX21,1)</f>
        <v/>
      </c>
      <c r="OE21">
        <f>IF('計算A'!BE$106=1,EY21,1)</f>
        <v/>
      </c>
      <c r="OF21">
        <f>IF('計算A'!BF$106=1,EZ21,1)</f>
        <v/>
      </c>
      <c r="OG21">
        <f>IF('計算A'!BG$106=1,FA21,1)</f>
        <v/>
      </c>
      <c r="OH21">
        <f>IF('計算A'!BH$106=1,FB21,1)</f>
        <v/>
      </c>
      <c r="OI21">
        <f>IF('計算A'!BI$106=1,FC21,1)</f>
        <v/>
      </c>
      <c r="OJ21">
        <f>IF('計算A'!BJ$106=1,FD21,1)</f>
        <v/>
      </c>
      <c r="OK21">
        <f>IF('計算A'!BK$106=1,FE21,1)</f>
        <v/>
      </c>
      <c r="OL21">
        <f>IF('計算A'!BL$106=1,FF21,1)</f>
        <v/>
      </c>
      <c r="OM21">
        <f>IF('計算A'!BM$106=1,FG21,1)</f>
        <v/>
      </c>
      <c r="ON21">
        <f>IF('計算A'!BN$106=1,FH21,1)</f>
        <v/>
      </c>
      <c r="OO21">
        <f>IF('計算A'!BO$106=1,FI21,1)</f>
        <v/>
      </c>
      <c r="OP21">
        <f>IF('計算A'!BP$106=1,FJ21,1)</f>
        <v/>
      </c>
      <c r="OQ21">
        <f>IF('計算A'!BQ$106=1,FK21,1)</f>
        <v/>
      </c>
      <c r="OR21">
        <f>IF('計算A'!BR$106=1,FL21,1)</f>
        <v/>
      </c>
      <c r="OS21">
        <f>IF('計算A'!BS$106=1,FM21,1)</f>
        <v/>
      </c>
      <c r="OT21">
        <f>IF('計算A'!BT$106=1,FN21,1)</f>
        <v/>
      </c>
      <c r="OU21">
        <f>IF('計算A'!BU$106=1,FO21,1)</f>
        <v/>
      </c>
      <c r="OV21">
        <f>IF('計算A'!BV$106=1,FP21,1)</f>
        <v/>
      </c>
      <c r="OW21">
        <f>IF('計算A'!BW$106=1,FQ21,1)</f>
        <v/>
      </c>
      <c r="OX21">
        <f>IF('計算A'!BX$106=1,FR21,1)</f>
        <v/>
      </c>
      <c r="OY21">
        <f>IF('計算A'!BY$106=1,FS21,1)</f>
        <v/>
      </c>
      <c r="OZ21">
        <f>IF('計算A'!BZ$106=1,FT21,1)</f>
        <v/>
      </c>
      <c r="PA21">
        <f>IF('計算A'!CA$106=1,FU21,1)</f>
        <v/>
      </c>
      <c r="PB21">
        <f>IF('計算A'!CB$106=1,FV21,1)</f>
        <v/>
      </c>
      <c r="PC21">
        <f>IF('計算A'!CC$106=1,FW21,1)</f>
        <v/>
      </c>
      <c r="PD21">
        <f>IF('計算A'!CD$106=1,FX21,1)</f>
        <v/>
      </c>
      <c r="PE21">
        <f>IF('計算A'!CE$106=1,FY21,1)</f>
        <v/>
      </c>
      <c r="PF21">
        <f>IF('計算A'!CF$106=1,FZ21,1)</f>
        <v/>
      </c>
      <c r="PG21">
        <f>IF('計算A'!CG$106=1,GA21,1)</f>
        <v/>
      </c>
      <c r="PH21">
        <f>IF('計算A'!CH$106=1,GB21,1)</f>
        <v/>
      </c>
      <c r="PI21">
        <f>IF('計算A'!CI$106=1,GC21,1)</f>
        <v/>
      </c>
      <c r="PJ21">
        <f>IF('計算A'!CJ$106=1,GD21,1)</f>
        <v/>
      </c>
      <c r="PK21">
        <f>IF('計算A'!CK$106=1,GE21,1)</f>
        <v/>
      </c>
      <c r="PL21">
        <f>IF('計算A'!CL$106=1,GF21,1)</f>
        <v/>
      </c>
      <c r="PM21">
        <f>IF('計算A'!CM$106=1,GG21,1)</f>
        <v/>
      </c>
      <c r="PN21">
        <f>IF('計算A'!CN$106=1,GH21,1)</f>
        <v/>
      </c>
      <c r="PO21">
        <f>IF('計算A'!CO$106=1,GI21,1)</f>
        <v/>
      </c>
      <c r="PP21">
        <f>IF('計算A'!CP$106=1,GJ21,1)</f>
        <v/>
      </c>
      <c r="PQ21">
        <f>IF('計算A'!CQ$106=1,GK21,1)</f>
        <v/>
      </c>
      <c r="PR21">
        <f>IF('計算A'!CR$106=1,GL21,1)</f>
        <v/>
      </c>
      <c r="PS21">
        <f>IF('計算A'!CS$106=1,GM21,1)</f>
        <v/>
      </c>
      <c r="PT21">
        <f>IF('計算A'!CT$106=1,GN21,1)</f>
        <v/>
      </c>
      <c r="PU21">
        <f>IF('計算A'!CU$106=1,GO21,1)</f>
        <v/>
      </c>
      <c r="PV21">
        <f>IF('計算A'!CV$106=1,GP21,1)</f>
        <v/>
      </c>
      <c r="PW21">
        <f>IF('計算A'!CW$106=1,GQ21,1)</f>
        <v/>
      </c>
      <c r="PX21">
        <f>IF('計算A'!CX$106=1,GR21,1)</f>
        <v/>
      </c>
      <c r="PY21">
        <f>IF('計算A'!CY$106=1,GS21,1)</f>
        <v/>
      </c>
      <c r="PZ21">
        <f>IF('計算A'!CZ$106=1,GT21,1)</f>
        <v/>
      </c>
      <c r="QA21">
        <f>IF('計算A'!DA$106=1,GU21,1)</f>
        <v/>
      </c>
      <c r="QB21">
        <f>IF('計算A'!DB$106=1,GV21,1)</f>
        <v/>
      </c>
      <c r="QC21">
        <f>IF('計算A'!DC$106=1,GW21,1)</f>
        <v/>
      </c>
      <c r="QD21">
        <f>IF('計算A'!DD$106=1,GX21,1)</f>
        <v/>
      </c>
      <c r="QE21">
        <f>IF('計算A'!DE$106=1,GY21,1)</f>
        <v/>
      </c>
      <c r="QF21">
        <f>IF('計算A'!DF$106=1,GZ21,1)</f>
        <v/>
      </c>
      <c r="QG21">
        <f>IF('計算A'!DG$106=1,HA21,1)</f>
        <v/>
      </c>
      <c r="QH21">
        <f>IF('計算A'!DH$106=1,HB21,1)</f>
        <v/>
      </c>
      <c r="QI21">
        <f>IF('計算A'!DI$106=1,HC21,1)</f>
        <v/>
      </c>
      <c r="QJ21">
        <f>IF('計算A'!DJ$106=1,HD21,1)</f>
        <v/>
      </c>
      <c r="QK21">
        <f>IF('計算A'!DK$106=1,HE21,1)</f>
        <v/>
      </c>
      <c r="QL21">
        <f>IF('計算A'!DL$106=1,HF21,1)</f>
        <v/>
      </c>
      <c r="QM21">
        <f>IF('計算A'!DM$106=1,HG21,1)</f>
        <v/>
      </c>
      <c r="QN21">
        <f>IF('計算A'!DN$106=1,HH21,1)</f>
        <v/>
      </c>
      <c r="QO21">
        <f>IF('計算A'!DO$106=1,HI21,1)</f>
        <v/>
      </c>
      <c r="QP21">
        <f>IF('計算A'!DP$106=1,HJ21,1)</f>
        <v/>
      </c>
      <c r="QQ21">
        <f>IF('計算A'!DQ$106=1,HK21,1)</f>
        <v/>
      </c>
      <c r="QR21">
        <f>IF('計算A'!DR$106=1,HL21,1)</f>
        <v/>
      </c>
      <c r="QS21">
        <f>IF('計算A'!DS$106=1,HM21,1)</f>
        <v/>
      </c>
      <c r="QT21">
        <f>IF('計算A'!DT$106=1,HN21,1)</f>
        <v/>
      </c>
      <c r="QU21">
        <f>IF('計算A'!DU$106=1,HO21,1)</f>
        <v/>
      </c>
      <c r="QV21">
        <f>IF('計算A'!DV$106=1,HP21,1)</f>
        <v/>
      </c>
      <c r="QW21">
        <f>IF('計算A'!DW$106=1,HQ21,1)</f>
        <v/>
      </c>
      <c r="QX21">
        <f>IF('計算A'!DX$106=1,HR21,1)</f>
        <v/>
      </c>
      <c r="QY21">
        <f>IF('計算A'!DY$106=1,HS21,1)</f>
        <v/>
      </c>
      <c r="QZ21">
        <f>IF('計算A'!DZ$106=1,HT21,1)</f>
        <v/>
      </c>
      <c r="RA21">
        <f>IF('計算A'!EA$106=1,HU21,1)</f>
        <v/>
      </c>
      <c r="RB21">
        <f>IF('計算A'!EB$106=1,HV21,1)</f>
        <v/>
      </c>
      <c r="RC21">
        <f>IF('計算A'!EC$106=1,HW21,1)</f>
        <v/>
      </c>
      <c r="RD21">
        <f>IF('計算A'!ED$106=1,HX21,1)</f>
        <v/>
      </c>
      <c r="RE21">
        <f>IF('計算A'!EE$106=1,HY21,1)</f>
        <v/>
      </c>
      <c r="RF21">
        <f>IF('計算A'!EF$106=1,HZ21,1)</f>
        <v/>
      </c>
      <c r="RG21">
        <f>IF('計算A'!EG$106=1,IA21,1)</f>
        <v/>
      </c>
      <c r="RH21">
        <f>IF('計算A'!EH$106=1,IB21,1)</f>
        <v/>
      </c>
      <c r="RI21">
        <f>IF('計算A'!EI$106=1,IC21,1)</f>
        <v/>
      </c>
      <c r="RJ21">
        <f>IF('計算A'!EJ$106=1,ID21,1)</f>
        <v/>
      </c>
      <c r="RK21">
        <f>IF('計算A'!EK$106=1,IE21,1)</f>
        <v/>
      </c>
      <c r="RL21">
        <f>IF('計算A'!EL$106=1,IF21,1)</f>
        <v/>
      </c>
      <c r="RM21">
        <f>IF('計算A'!EM$106=1,IG21,1)</f>
        <v/>
      </c>
      <c r="RN21">
        <f>IF('計算A'!EN$106=1,IH21,1)</f>
        <v/>
      </c>
      <c r="RO21">
        <f>IF('計算A'!EO$106=1,II21,1)</f>
        <v/>
      </c>
      <c r="RP21">
        <f>IF('計算A'!EP$106=1,IJ21,1)</f>
        <v/>
      </c>
      <c r="RQ21">
        <f>IF('計算A'!EQ$106=1,IK21,1)</f>
        <v/>
      </c>
      <c r="RR21">
        <f>IF('計算A'!ER$106=1,IL21,1)</f>
        <v/>
      </c>
      <c r="RS21">
        <f>IF('計算A'!ES$106=1,IM21,1)</f>
        <v/>
      </c>
      <c r="RT21">
        <f>IF('計算A'!ET$106=1,IN21,1)</f>
        <v/>
      </c>
      <c r="RU21">
        <f>IF('計算A'!EU$106=1,IO21,1)</f>
        <v/>
      </c>
      <c r="RV21">
        <f>IF('計算A'!EV$106=1,IP21,1)</f>
        <v/>
      </c>
      <c r="RW21">
        <f>IF('計算A'!EW$106=1,IQ21,1)</f>
        <v/>
      </c>
      <c r="RX21">
        <f>IF('計算A'!EX$106=1,IR21,1)</f>
        <v/>
      </c>
      <c r="RY21">
        <f>IF('計算A'!EY$106=1,IS21,1)</f>
        <v/>
      </c>
      <c r="RZ21">
        <f>IF('計算A'!EZ$106=1,IT21,1)</f>
        <v/>
      </c>
      <c r="SA21">
        <f>IF('計算A'!FA$106=1,IU21,1)</f>
        <v/>
      </c>
      <c r="SB21">
        <f>IF('計算A'!FB$106=1,IV21,1)</f>
        <v/>
      </c>
      <c r="SC21">
        <f>IF('計算A'!FC$106=1,IW21,1)</f>
        <v/>
      </c>
      <c r="SD21">
        <f>IF('計算A'!FD$106=1,IX21,1)</f>
        <v/>
      </c>
      <c r="SE21">
        <f>IF('計算A'!FE$106=1,IY21,1)</f>
        <v/>
      </c>
      <c r="SF21">
        <f>IF('計算A'!FF$106=1,IZ21,1)</f>
        <v/>
      </c>
      <c r="SG21">
        <f>IF('計算A'!FG$106=1,JA21,1)</f>
        <v/>
      </c>
      <c r="SH21">
        <f>IF('計算A'!FH$106=1,JB21,1)</f>
        <v/>
      </c>
      <c r="SI21">
        <f>IF('計算A'!FI$106=1,JC21,1)</f>
        <v/>
      </c>
      <c r="SJ21">
        <f>IF('計算A'!FJ$106=1,JD21,1)</f>
        <v/>
      </c>
      <c r="SK21">
        <f>IF('計算A'!FK$106=1,JE21,1)</f>
        <v/>
      </c>
      <c r="SL21">
        <f>IF('計算A'!FL$106=1,JF21,1)</f>
        <v/>
      </c>
      <c r="SM21">
        <f>IF('計算A'!FM$106=1,JG21,1)</f>
        <v/>
      </c>
      <c r="SN21">
        <f>IF('計算A'!FN$106=1,JH21,1)</f>
        <v/>
      </c>
      <c r="SO21">
        <f>IF('計算A'!FO$106=1,JI21,1)</f>
        <v/>
      </c>
      <c r="SP21">
        <f>IF('計算A'!FP$106=1,JJ21,1)</f>
        <v/>
      </c>
      <c r="SQ21">
        <f>IF('計算A'!FQ$106=1,JK21,1)</f>
        <v/>
      </c>
      <c r="SR21">
        <f>IF('計算A'!FR$106=1,JL21,1)</f>
        <v/>
      </c>
      <c r="SS21">
        <f>IF('計算A'!FS$106=1,JM21,1)</f>
        <v/>
      </c>
      <c r="ST21">
        <f>IF('計算A'!FT$106=1,JN21,1)</f>
        <v/>
      </c>
      <c r="SU21">
        <f>IF('計算A'!FU$106=1,JO21,1)</f>
        <v/>
      </c>
      <c r="SV21">
        <f>IF('計算A'!FV$106=1,JP21,1)</f>
        <v/>
      </c>
      <c r="SW21">
        <f>IF('計算A'!FW$106=1,JQ21,1)</f>
        <v/>
      </c>
      <c r="SX21">
        <f>IF('計算A'!FX$106=1,JR21,1)</f>
        <v/>
      </c>
      <c r="SY21">
        <f>IF('計算A'!FY$106=1,JS21,1)</f>
        <v/>
      </c>
      <c r="SZ21">
        <f>IF('計算A'!FZ$106=1,JT21,1)</f>
        <v/>
      </c>
      <c r="TA21">
        <f>IF('計算A'!GA$106=1,JU21,1)</f>
        <v/>
      </c>
      <c r="TB21">
        <f>IF('計算A'!GB$106=1,JV21,1)</f>
        <v/>
      </c>
      <c r="TC21">
        <f>IF('計算A'!GC$106=1,JW21,1)</f>
        <v/>
      </c>
      <c r="TD21">
        <f>IF('計算A'!GD$106=1,JX21,1)</f>
        <v/>
      </c>
      <c r="TE21">
        <f>IF('計算A'!GE$106=1,JY21,1)</f>
        <v/>
      </c>
      <c r="TF21">
        <f>IF('計算A'!GF$106=1,JZ21,1)</f>
        <v/>
      </c>
      <c r="TG21">
        <f>IF('計算A'!GG$106=1,KA21,1)</f>
        <v/>
      </c>
      <c r="TH21">
        <f>IF('計算A'!GH$106=1,KB21,1)</f>
        <v/>
      </c>
      <c r="TI21">
        <f>IF('計算A'!GI$106=1,KC21,1)</f>
        <v/>
      </c>
      <c r="TJ21">
        <f>IF('計算A'!GJ$106=1,KD21,1)</f>
        <v/>
      </c>
      <c r="TK21">
        <f>IF('計算A'!GK$106=1,KE21,1)</f>
        <v/>
      </c>
      <c r="TL21">
        <f>IF('計算A'!GL$106=1,KF21,1)</f>
        <v/>
      </c>
      <c r="TM21">
        <f>IF('計算A'!GM$106=1,KG21,1)</f>
        <v/>
      </c>
      <c r="TN21">
        <f>IF('計算A'!GN$106=1,KH21,1)</f>
        <v/>
      </c>
      <c r="TO21">
        <f>IF('計算A'!GO$106=1,KI21,1)</f>
        <v/>
      </c>
      <c r="TP21">
        <f>IF('計算A'!GP$106=1,KJ21,1)</f>
        <v/>
      </c>
      <c r="TQ21">
        <f>IF('計算A'!GQ$106=1,KK21,1)</f>
        <v/>
      </c>
      <c r="TR21">
        <f>IF('計算A'!GR$106=1,KL21,1)</f>
        <v/>
      </c>
      <c r="TS21">
        <f>IF('計算A'!GS$106=1,KM21,1)</f>
        <v/>
      </c>
      <c r="TT21">
        <f>IF('計算A'!GT$106=1,KN21,1)</f>
        <v/>
      </c>
      <c r="TU21">
        <f>IF('計算A'!GU$106=1,KO21,1)</f>
        <v/>
      </c>
      <c r="TV21">
        <f>IF('計算A'!GV$106=1,KP21,1)</f>
        <v/>
      </c>
      <c r="TW21">
        <f>IF('計算A'!GW$106=1,KQ21,1)</f>
        <v/>
      </c>
      <c r="TX21">
        <f>IF('計算A'!GX$106=1,KR21,1)</f>
        <v/>
      </c>
      <c r="TY21">
        <f>IF('計算A'!GY$106=1,KS21,1)</f>
        <v/>
      </c>
      <c r="TZ21">
        <f>IF('計算A'!GZ$106=1,KT21,1)</f>
        <v/>
      </c>
      <c r="UA21">
        <f>IF('計算A'!HA$106=1,KU21,1)</f>
        <v/>
      </c>
      <c r="UB21">
        <f>IF('計算A'!HB$106=1,KV21,1)</f>
        <v/>
      </c>
      <c r="UC21">
        <f>IF('計算A'!HC$106=1,KW21,1)</f>
        <v/>
      </c>
      <c r="UD21">
        <f>IF('計算A'!HD$106=1,KX21,1)</f>
        <v/>
      </c>
      <c r="UE21">
        <f>IF('計算A'!HE$106=1,KY21,1)</f>
        <v/>
      </c>
      <c r="UF21">
        <f>IF('計算A'!HF$106=1,KZ21,1)</f>
        <v/>
      </c>
      <c r="UG21">
        <f>IF('計算A'!HG$106=1,LA21,1)</f>
        <v/>
      </c>
      <c r="UH21">
        <f>IF('計算A'!HH$106=1,LB21,1)</f>
        <v/>
      </c>
      <c r="UI21">
        <f>IF('計算A'!HI$106=1,LC21,1)</f>
        <v/>
      </c>
      <c r="UJ21">
        <f>IF('計算A'!HJ$106=1,LD21,1)</f>
        <v/>
      </c>
      <c r="UK21">
        <f>IF('計算A'!HK$106=1,LE21,1)</f>
        <v/>
      </c>
      <c r="UL21">
        <f>IF('計算A'!HL$106=1,LF21,1)</f>
        <v/>
      </c>
      <c r="UM21">
        <f>IF('計算A'!HM$106=1,LG21,1)</f>
        <v/>
      </c>
      <c r="UN21">
        <f>IF('計算A'!HN$106=1,LH21,1)</f>
        <v/>
      </c>
      <c r="UO21">
        <f>IF('計算A'!HO$106=1,LI21,1)</f>
        <v/>
      </c>
      <c r="UP21">
        <f>IF('計算A'!HP$106=1,LJ21,1)</f>
        <v/>
      </c>
      <c r="UQ21">
        <f>IF('計算A'!HQ$106=1,LK21,1)</f>
        <v/>
      </c>
      <c r="UR21">
        <f>IF('計算A'!HR$106=1,LL21,1)</f>
        <v/>
      </c>
      <c r="US21">
        <f>IF('計算A'!HS$106=1,LM21,1)</f>
        <v/>
      </c>
      <c r="UT21">
        <f>IF('計算A'!HT$106=1,LN21,1)</f>
        <v/>
      </c>
      <c r="UU21">
        <f>IF('計算A'!HU$106=1,LO21,1)</f>
        <v/>
      </c>
      <c r="UV21">
        <f>IF('計算A'!HV$106=1,LP21,1)</f>
        <v/>
      </c>
      <c r="UW21">
        <f>IF('計算A'!HW$106=1,LQ21,1)</f>
        <v/>
      </c>
      <c r="UX21">
        <f>IF('計算A'!HX$106=1,LR21,1)</f>
        <v/>
      </c>
      <c r="UY21">
        <f>IF('計算A'!HY$106=1,LS21,1)</f>
        <v/>
      </c>
      <c r="UZ21">
        <f>IF('計算A'!HZ$106=1,LT21,1)</f>
        <v/>
      </c>
      <c r="VA21">
        <f>IF('計算A'!IA$106=1,LU21,1)</f>
        <v/>
      </c>
      <c r="VB21">
        <f>IF('計算A'!IB$106=1,LV21,1)</f>
        <v/>
      </c>
      <c r="VC21">
        <f>IF('計算A'!IC$106=1,LW21,1)</f>
        <v/>
      </c>
      <c r="VD21">
        <f>IF('計算A'!ID$106=1,LX21,1)</f>
        <v/>
      </c>
      <c r="VE21">
        <f>IF('計算A'!IE$106=1,LY21,1)</f>
        <v/>
      </c>
      <c r="VF21">
        <f>IF('計算A'!IF$106=1,LZ21,1)</f>
        <v/>
      </c>
      <c r="VG21">
        <f>IF('計算A'!IG$106=1,MA21,1)</f>
        <v/>
      </c>
      <c r="VH21">
        <f>IF('計算A'!IH$106=1,MB21,1)</f>
        <v/>
      </c>
      <c r="VI21" t="n">
        <v>1</v>
      </c>
      <c r="VK21">
        <f>IF($B21=0,1000000,IF(INDEX('計算A'!$D$60:$II$104,$B21,1)*CW21=1,IF(AND($E21=2,MD21=0),1000000,INDEX('計算A'!D$110:D$114,$F21+1)+IF(AND($E21=1,MD21=0),1000,0)),1000000))</f>
        <v/>
      </c>
      <c r="VL21">
        <f>IF($B21=0,1000000,IF(INDEX('計算A'!$D$60:$II$104,$B21,2)*CX21=1,IF(AND($E21=2,ME21=0),1000000,INDEX('計算A'!E$110:E$114,$F21+1)+IF(AND($E21=1,ME21=0),1000,0)),1000000))</f>
        <v/>
      </c>
      <c r="VM21">
        <f>IF($B21=0,1000000,IF(INDEX('計算A'!$D$60:$II$104,$B21,3)*CY21=1,IF(AND($E21=2,MF21=0),1000000,INDEX('計算A'!F$110:F$114,$F21+1)+IF(AND($E21=1,MF21=0),1000,0)),1000000))</f>
        <v/>
      </c>
      <c r="VN21">
        <f>IF($B21=0,1000000,IF(INDEX('計算A'!$D$60:$II$104,$B21,4)*CZ21=1,IF(AND($E21=2,MG21=0),1000000,INDEX('計算A'!G$110:G$114,$F21+1)+IF(AND($E21=1,MG21=0),1000,0)),1000000))</f>
        <v/>
      </c>
      <c r="VO21">
        <f>IF($B21=0,1000000,IF(INDEX('計算A'!$D$60:$II$104,$B21,5)*DA21=1,IF(AND($E21=2,MH21=0),1000000,INDEX('計算A'!H$110:H$114,$F21+1)+IF(AND($E21=1,MH21=0),1000,0)),1000000))</f>
        <v/>
      </c>
      <c r="VP21">
        <f>IF($B21=0,1000000,IF(INDEX('計算A'!$D$60:$II$104,$B21,6)*DB21=1,IF(AND($E21=2,MI21=0),1000000,INDEX('計算A'!I$110:I$114,$F21+1)+IF(AND($E21=1,MI21=0),1000,0)),1000000))</f>
        <v/>
      </c>
      <c r="VQ21">
        <f>IF($B21=0,1000000,IF(INDEX('計算A'!$D$60:$II$104,$B21,7)*DC21=1,IF(AND($E21=2,MJ21=0),1000000,INDEX('計算A'!J$110:J$114,$F21+1)+IF(AND($E21=1,MJ21=0),1000,0)),1000000))</f>
        <v/>
      </c>
      <c r="VR21">
        <f>IF($B21=0,1000000,IF(INDEX('計算A'!$D$60:$II$104,$B21,8)*DD21=1,IF(AND($E21=2,MK21=0),1000000,INDEX('計算A'!K$110:K$114,$F21+1)+IF(AND($E21=1,MK21=0),1000,0)),1000000))</f>
        <v/>
      </c>
      <c r="VS21">
        <f>IF($B21=0,1000000,IF(INDEX('計算A'!$D$60:$II$104,$B21,9)*DE21=1,IF(AND($E21=2,ML21=0),1000000,INDEX('計算A'!L$110:L$114,$F21+1)+IF(AND($E21=1,ML21=0),1000,0)),1000000))</f>
        <v/>
      </c>
      <c r="VT21">
        <f>IF($B21=0,1000000,IF(INDEX('計算A'!$D$60:$II$104,$B21,10)*DF21=1,IF(AND($E21=2,MM21=0),1000000,INDEX('計算A'!M$110:M$114,$F21+1)+IF(AND($E21=1,MM21=0),1000,0)),1000000))</f>
        <v/>
      </c>
      <c r="VU21">
        <f>IF($B21=0,1000000,IF(INDEX('計算A'!$D$60:$II$104,$B21,11)*DG21=1,IF(AND($E21=2,MN21=0),1000000,INDEX('計算A'!N$110:N$114,$F21+1)+IF(AND($E21=1,MN21=0),1000,0)),1000000))</f>
        <v/>
      </c>
      <c r="VV21">
        <f>IF($B21=0,1000000,IF(INDEX('計算A'!$D$60:$II$104,$B21,12)*DH21=1,IF(AND($E21=2,MO21=0),1000000,INDEX('計算A'!O$110:O$114,$F21+1)+IF(AND($E21=1,MO21=0),1000,0)),1000000))</f>
        <v/>
      </c>
      <c r="VW21">
        <f>IF($B21=0,1000000,IF(INDEX('計算A'!$D$60:$II$104,$B21,13)*DI21=1,IF(AND($E21=2,MP21=0),1000000,INDEX('計算A'!P$110:P$114,$F21+1)+IF(AND($E21=1,MP21=0),1000,0)),1000000))</f>
        <v/>
      </c>
      <c r="VX21">
        <f>IF($B21=0,1000000,IF(INDEX('計算A'!$D$60:$II$104,$B21,14)*DJ21=1,IF(AND($E21=2,MQ21=0),1000000,INDEX('計算A'!Q$110:Q$114,$F21+1)+IF(AND($E21=1,MQ21=0),1000,0)),1000000))</f>
        <v/>
      </c>
      <c r="VY21">
        <f>IF($B21=0,1000000,IF(INDEX('計算A'!$D$60:$II$104,$B21,15)*DK21=1,IF(AND($E21=2,MR21=0),1000000,INDEX('計算A'!R$110:R$114,$F21+1)+IF(AND($E21=1,MR21=0),1000,0)),1000000))</f>
        <v/>
      </c>
      <c r="VZ21">
        <f>IF($B21=0,1000000,IF(INDEX('計算A'!$D$60:$II$104,$B21,16)*DL21=1,IF(AND($E21=2,MS21=0),1000000,INDEX('計算A'!S$110:S$114,$F21+1)+IF(AND($E21=1,MS21=0),1000,0)),1000000))</f>
        <v/>
      </c>
      <c r="WA21">
        <f>IF($B21=0,1000000,IF(INDEX('計算A'!$D$60:$II$104,$B21,17)*DM21=1,IF(AND($E21=2,MT21=0),1000000,INDEX('計算A'!T$110:T$114,$F21+1)+IF(AND($E21=1,MT21=0),1000,0)),1000000))</f>
        <v/>
      </c>
      <c r="WB21">
        <f>IF($B21=0,1000000,IF(INDEX('計算A'!$D$60:$II$104,$B21,18)*DN21=1,IF(AND($E21=2,MU21=0),1000000,INDEX('計算A'!U$110:U$114,$F21+1)+IF(AND($E21=1,MU21=0),1000,0)),1000000))</f>
        <v/>
      </c>
      <c r="WC21">
        <f>IF($B21=0,1000000,IF(INDEX('計算A'!$D$60:$II$104,$B21,19)*DO21=1,IF(AND($E21=2,MV21=0),1000000,INDEX('計算A'!V$110:V$114,$F21+1)+IF(AND($E21=1,MV21=0),1000,0)),1000000))</f>
        <v/>
      </c>
      <c r="WD21">
        <f>IF($B21=0,1000000,IF(INDEX('計算A'!$D$60:$II$104,$B21,20)*DP21=1,IF(AND($E21=2,MW21=0),1000000,INDEX('計算A'!W$110:W$114,$F21+1)+IF(AND($E21=1,MW21=0),1000,0)),1000000))</f>
        <v/>
      </c>
      <c r="WE21">
        <f>IF($B21=0,1000000,IF(INDEX('計算A'!$D$60:$II$104,$B21,21)*DQ21=1,IF(AND($E21=2,MX21=0),1000000,INDEX('計算A'!X$110:X$114,$F21+1)+IF(AND($E21=1,MX21=0),1000,0)),1000000))</f>
        <v/>
      </c>
      <c r="WF21">
        <f>IF($B21=0,1000000,IF(INDEX('計算A'!$D$60:$II$104,$B21,22)*DR21=1,IF(AND($E21=2,MY21=0),1000000,INDEX('計算A'!Y$110:Y$114,$F21+1)+IF(AND($E21=1,MY21=0),1000,0)),1000000))</f>
        <v/>
      </c>
      <c r="WG21">
        <f>IF($B21=0,1000000,IF(INDEX('計算A'!$D$60:$II$104,$B21,23)*DS21=1,IF(AND($E21=2,MZ21=0),1000000,INDEX('計算A'!Z$110:Z$114,$F21+1)+IF(AND($E21=1,MZ21=0),1000,0)),1000000))</f>
        <v/>
      </c>
      <c r="WH21">
        <f>IF($B21=0,1000000,IF(INDEX('計算A'!$D$60:$II$104,$B21,24)*DT21=1,IF(AND($E21=2,NA21=0),1000000,INDEX('計算A'!AA$110:AA$114,$F21+1)+IF(AND($E21=1,NA21=0),1000,0)),1000000))</f>
        <v/>
      </c>
      <c r="WI21">
        <f>IF($B21=0,1000000,IF(INDEX('計算A'!$D$60:$II$104,$B21,25)*DU21=1,IF(AND($E21=2,NB21=0),1000000,INDEX('計算A'!AB$110:AB$114,$F21+1)+IF(AND($E21=1,NB21=0),1000,0)),1000000))</f>
        <v/>
      </c>
      <c r="WJ21">
        <f>IF($B21=0,1000000,IF(INDEX('計算A'!$D$60:$II$104,$B21,26)*DV21=1,IF(AND($E21=2,NC21=0),1000000,INDEX('計算A'!AC$110:AC$114,$F21+1)+IF(AND($E21=1,NC21=0),1000,0)),1000000))</f>
        <v/>
      </c>
      <c r="WK21">
        <f>IF($B21=0,1000000,IF(INDEX('計算A'!$D$60:$II$104,$B21,27)*DW21=1,IF(AND($E21=2,ND21=0),1000000,INDEX('計算A'!AD$110:AD$114,$F21+1)+IF(AND($E21=1,ND21=0),1000,0)),1000000))</f>
        <v/>
      </c>
      <c r="WL21">
        <f>IF($B21=0,1000000,IF(INDEX('計算A'!$D$60:$II$104,$B21,28)*DX21=1,IF(AND($E21=2,NE21=0),1000000,INDEX('計算A'!AE$110:AE$114,$F21+1)+IF(AND($E21=1,NE21=0),1000,0)),1000000))</f>
        <v/>
      </c>
      <c r="WM21">
        <f>IF($B21=0,1000000,IF(INDEX('計算A'!$D$60:$II$104,$B21,29)*DY21=1,IF(AND($E21=2,NF21=0),1000000,INDEX('計算A'!AF$110:AF$114,$F21+1)+IF(AND($E21=1,NF21=0),1000,0)),1000000))</f>
        <v/>
      </c>
      <c r="WN21">
        <f>IF($B21=0,1000000,IF(INDEX('計算A'!$D$60:$II$104,$B21,30)*DZ21=1,IF(AND($E21=2,NG21=0),1000000,INDEX('計算A'!AG$110:AG$114,$F21+1)+IF(AND($E21=1,NG21=0),1000,0)),1000000))</f>
        <v/>
      </c>
      <c r="WO21">
        <f>IF($B21=0,1000000,IF(INDEX('計算A'!$D$60:$II$104,$B21,31)*EA21=1,IF(AND($E21=2,NH21=0),1000000,INDEX('計算A'!AH$110:AH$114,$F21+1)+IF(AND($E21=1,NH21=0),1000,0)),1000000))</f>
        <v/>
      </c>
      <c r="WP21">
        <f>IF($B21=0,1000000,IF(INDEX('計算A'!$D$60:$II$104,$B21,32)*EB21=1,IF(AND($E21=2,NI21=0),1000000,INDEX('計算A'!AI$110:AI$114,$F21+1)+IF(AND($E21=1,NI21=0),1000,0)),1000000))</f>
        <v/>
      </c>
      <c r="WQ21">
        <f>IF($B21=0,1000000,IF(INDEX('計算A'!$D$60:$II$104,$B21,33)*EC21=1,IF(AND($E21=2,NJ21=0),1000000,INDEX('計算A'!AJ$110:AJ$114,$F21+1)+IF(AND($E21=1,NJ21=0),1000,0)),1000000))</f>
        <v/>
      </c>
      <c r="WR21">
        <f>IF($B21=0,1000000,IF(INDEX('計算A'!$D$60:$II$104,$B21,34)*ED21=1,IF(AND($E21=2,NK21=0),1000000,INDEX('計算A'!AK$110:AK$114,$F21+1)+IF(AND($E21=1,NK21=0),1000,0)),1000000))</f>
        <v/>
      </c>
      <c r="WS21">
        <f>IF($B21=0,1000000,IF(INDEX('計算A'!$D$60:$II$104,$B21,35)*EE21=1,IF(AND($E21=2,NL21=0),1000000,INDEX('計算A'!AL$110:AL$114,$F21+1)+IF(AND($E21=1,NL21=0),1000,0)),1000000))</f>
        <v/>
      </c>
      <c r="WT21">
        <f>IF($B21=0,1000000,IF(INDEX('計算A'!$D$60:$II$104,$B21,36)*EF21=1,IF(AND($E21=2,NM21=0),1000000,INDEX('計算A'!AM$110:AM$114,$F21+1)+IF(AND($E21=1,NM21=0),1000,0)),1000000))</f>
        <v/>
      </c>
      <c r="WU21">
        <f>IF($B21=0,1000000,IF(INDEX('計算A'!$D$60:$II$104,$B21,37)*EG21=1,IF(AND($E21=2,NN21=0),1000000,INDEX('計算A'!AN$110:AN$114,$F21+1)+IF(AND($E21=1,NN21=0),1000,0)),1000000))</f>
        <v/>
      </c>
      <c r="WV21">
        <f>IF($B21=0,1000000,IF(INDEX('計算A'!$D$60:$II$104,$B21,38)*EH21=1,IF(AND($E21=2,NO21=0),1000000,INDEX('計算A'!AO$110:AO$114,$F21+1)+IF(AND($E21=1,NO21=0),1000,0)),1000000))</f>
        <v/>
      </c>
      <c r="WW21">
        <f>IF($B21=0,1000000,IF(INDEX('計算A'!$D$60:$II$104,$B21,39)*EI21=1,IF(AND($E21=2,NP21=0),1000000,INDEX('計算A'!AP$110:AP$114,$F21+1)+IF(AND($E21=1,NP21=0),1000,0)),1000000))</f>
        <v/>
      </c>
      <c r="WX21">
        <f>IF($B21=0,1000000,IF(INDEX('計算A'!$D$60:$II$104,$B21,40)*EJ21=1,IF(AND($E21=2,NQ21=0),1000000,INDEX('計算A'!AQ$110:AQ$114,$F21+1)+IF(AND($E21=1,NQ21=0),1000,0)),1000000))</f>
        <v/>
      </c>
      <c r="WY21">
        <f>IF($B21=0,1000000,IF(INDEX('計算A'!$D$60:$II$104,$B21,41)*EK21=1,IF(AND($E21=2,NR21=0),1000000,INDEX('計算A'!AR$110:AR$114,$F21+1)+IF(AND($E21=1,NR21=0),1000,0)),1000000))</f>
        <v/>
      </c>
      <c r="WZ21">
        <f>IF($B21=0,1000000,IF(INDEX('計算A'!$D$60:$II$104,$B21,42)*EL21=1,IF(AND($E21=2,NS21=0),1000000,INDEX('計算A'!AS$110:AS$114,$F21+1)+IF(AND($E21=1,NS21=0),1000,0)),1000000))</f>
        <v/>
      </c>
      <c r="XA21">
        <f>IF($B21=0,1000000,IF(INDEX('計算A'!$D$60:$II$104,$B21,43)*EM21=1,IF(AND($E21=2,NT21=0),1000000,INDEX('計算A'!AT$110:AT$114,$F21+1)+IF(AND($E21=1,NT21=0),1000,0)),1000000))</f>
        <v/>
      </c>
      <c r="XB21">
        <f>IF($B21=0,1000000,IF(INDEX('計算A'!$D$60:$II$104,$B21,44)*EN21=1,IF(AND($E21=2,NU21=0),1000000,INDEX('計算A'!AU$110:AU$114,$F21+1)+IF(AND($E21=1,NU21=0),1000,0)),1000000))</f>
        <v/>
      </c>
      <c r="XC21">
        <f>IF($B21=0,1000000,IF(INDEX('計算A'!$D$60:$II$104,$B21,45)*EO21=1,IF(AND($E21=2,NV21=0),1000000,INDEX('計算A'!AV$110:AV$114,$F21+1)+IF(AND($E21=1,NV21=0),1000,0)),1000000))</f>
        <v/>
      </c>
      <c r="XD21">
        <f>IF($B21=0,1000000,IF(INDEX('計算A'!$D$60:$II$104,$B21,46)*EP21=1,IF(AND($E21=2,NW21=0),1000000,INDEX('計算A'!AW$110:AW$114,$F21+1)+IF(AND($E21=1,NW21=0),1000,0)),1000000))</f>
        <v/>
      </c>
      <c r="XE21">
        <f>IF($B21=0,1000000,IF(INDEX('計算A'!$D$60:$II$104,$B21,47)*EQ21=1,IF(AND($E21=2,NX21=0),1000000,INDEX('計算A'!AX$110:AX$114,$F21+1)+IF(AND($E21=1,NX21=0),1000,0)),1000000))</f>
        <v/>
      </c>
      <c r="XF21">
        <f>IF($B21=0,1000000,IF(INDEX('計算A'!$D$60:$II$104,$B21,48)*ER21=1,IF(AND($E21=2,NY21=0),1000000,INDEX('計算A'!AY$110:AY$114,$F21+1)+IF(AND($E21=1,NY21=0),1000,0)),1000000))</f>
        <v/>
      </c>
      <c r="XG21">
        <f>IF($B21=0,1000000,IF(INDEX('計算A'!$D$60:$II$104,$B21,49)*ES21=1,IF(AND($E21=2,NZ21=0),1000000,INDEX('計算A'!AZ$110:AZ$114,$F21+1)+IF(AND($E21=1,NZ21=0),1000,0)),1000000))</f>
        <v/>
      </c>
      <c r="XH21">
        <f>IF($B21=0,1000000,IF(INDEX('計算A'!$D$60:$II$104,$B21,50)*ET21=1,IF(AND($E21=2,OA21=0),1000000,INDEX('計算A'!BA$110:BA$114,$F21+1)+IF(AND($E21=1,OA21=0),1000,0)),1000000))</f>
        <v/>
      </c>
      <c r="XI21">
        <f>IF($B21=0,1000000,IF(INDEX('計算A'!$D$60:$II$104,$B21,51)*EU21=1,IF(AND($E21=2,OB21=0),1000000,INDEX('計算A'!BB$110:BB$114,$F21+1)+IF(AND($E21=1,OB21=0),1000,0)),1000000))</f>
        <v/>
      </c>
      <c r="XJ21">
        <f>IF($B21=0,1000000,IF(INDEX('計算A'!$D$60:$II$104,$B21,52)*EV21=1,IF(AND($E21=2,OC21=0),1000000,INDEX('計算A'!BC$110:BC$114,$F21+1)+IF(AND($E21=1,OC21=0),1000,0)),1000000))</f>
        <v/>
      </c>
      <c r="XK21">
        <f>IF($B21=0,1000000,IF(INDEX('計算A'!$D$60:$II$104,$B21,53)*EW21=1,IF(AND($E21=2,OD21=0),1000000,INDEX('計算A'!BD$110:BD$114,$F21+1)+IF(AND($E21=1,OD21=0),1000,0)),1000000))</f>
        <v/>
      </c>
      <c r="XL21">
        <f>IF($B21=0,1000000,IF(INDEX('計算A'!$D$60:$II$104,$B21,54)*EX21=1,IF(AND($E21=2,OE21=0),1000000,INDEX('計算A'!BE$110:BE$114,$F21+1)+IF(AND($E21=1,OE21=0),1000,0)),1000000))</f>
        <v/>
      </c>
      <c r="XM21">
        <f>IF($B21=0,1000000,IF(INDEX('計算A'!$D$60:$II$104,$B21,55)*EY21=1,IF(AND($E21=2,OF21=0),1000000,INDEX('計算A'!BF$110:BF$114,$F21+1)+IF(AND($E21=1,OF21=0),1000,0)),1000000))</f>
        <v/>
      </c>
      <c r="XN21">
        <f>IF($B21=0,1000000,IF(INDEX('計算A'!$D$60:$II$104,$B21,56)*EZ21=1,IF(AND($E21=2,OG21=0),1000000,INDEX('計算A'!BG$110:BG$114,$F21+1)+IF(AND($E21=1,OG21=0),1000,0)),1000000))</f>
        <v/>
      </c>
      <c r="XO21">
        <f>IF($B21=0,1000000,IF(INDEX('計算A'!$D$60:$II$104,$B21,57)*FA21=1,IF(AND($E21=2,OH21=0),1000000,INDEX('計算A'!BH$110:BH$114,$F21+1)+IF(AND($E21=1,OH21=0),1000,0)),1000000))</f>
        <v/>
      </c>
      <c r="XP21">
        <f>IF($B21=0,1000000,IF(INDEX('計算A'!$D$60:$II$104,$B21,58)*FB21=1,IF(AND($E21=2,OI21=0),1000000,INDEX('計算A'!BI$110:BI$114,$F21+1)+IF(AND($E21=1,OI21=0),1000,0)),1000000))</f>
        <v/>
      </c>
      <c r="XQ21">
        <f>IF($B21=0,1000000,IF(INDEX('計算A'!$D$60:$II$104,$B21,59)*FC21=1,IF(AND($E21=2,OJ21=0),1000000,INDEX('計算A'!BJ$110:BJ$114,$F21+1)+IF(AND($E21=1,OJ21=0),1000,0)),1000000))</f>
        <v/>
      </c>
      <c r="XR21">
        <f>IF($B21=0,1000000,IF(INDEX('計算A'!$D$60:$II$104,$B21,60)*FD21=1,IF(AND($E21=2,OK21=0),1000000,INDEX('計算A'!BK$110:BK$114,$F21+1)+IF(AND($E21=1,OK21=0),1000,0)),1000000))</f>
        <v/>
      </c>
      <c r="XS21">
        <f>IF($B21=0,1000000,IF(INDEX('計算A'!$D$60:$II$104,$B21,61)*FE21=1,IF(AND($E21=2,OL21=0),1000000,INDEX('計算A'!BL$110:BL$114,$F21+1)+IF(AND($E21=1,OL21=0),1000,0)),1000000))</f>
        <v/>
      </c>
      <c r="XT21">
        <f>IF($B21=0,1000000,IF(INDEX('計算A'!$D$60:$II$104,$B21,62)*FF21=1,IF(AND($E21=2,OM21=0),1000000,INDEX('計算A'!BM$110:BM$114,$F21+1)+IF(AND($E21=1,OM21=0),1000,0)),1000000))</f>
        <v/>
      </c>
      <c r="XU21">
        <f>IF($B21=0,1000000,IF(INDEX('計算A'!$D$60:$II$104,$B21,63)*FG21=1,IF(AND($E21=2,ON21=0),1000000,INDEX('計算A'!BN$110:BN$114,$F21+1)+IF(AND($E21=1,ON21=0),1000,0)),1000000))</f>
        <v/>
      </c>
      <c r="XV21">
        <f>IF($B21=0,1000000,IF(INDEX('計算A'!$D$60:$II$104,$B21,64)*FH21=1,IF(AND($E21=2,OO21=0),1000000,INDEX('計算A'!BO$110:BO$114,$F21+1)+IF(AND($E21=1,OO21=0),1000,0)),1000000))</f>
        <v/>
      </c>
      <c r="XW21">
        <f>IF($B21=0,1000000,IF(INDEX('計算A'!$D$60:$II$104,$B21,65)*FI21=1,IF(AND($E21=2,OP21=0),1000000,INDEX('計算A'!BP$110:BP$114,$F21+1)+IF(AND($E21=1,OP21=0),1000,0)),1000000))</f>
        <v/>
      </c>
      <c r="XX21">
        <f>IF($B21=0,1000000,IF(INDEX('計算A'!$D$60:$II$104,$B21,66)*FJ21=1,IF(AND($E21=2,OQ21=0),1000000,INDEX('計算A'!BQ$110:BQ$114,$F21+1)+IF(AND($E21=1,OQ21=0),1000,0)),1000000))</f>
        <v/>
      </c>
      <c r="XY21">
        <f>IF($B21=0,1000000,IF(INDEX('計算A'!$D$60:$II$104,$B21,67)*FK21=1,IF(AND($E21=2,OR21=0),1000000,INDEX('計算A'!BR$110:BR$114,$F21+1)+IF(AND($E21=1,OR21=0),1000,0)),1000000))</f>
        <v/>
      </c>
      <c r="XZ21">
        <f>IF($B21=0,1000000,IF(INDEX('計算A'!$D$60:$II$104,$B21,68)*FL21=1,IF(AND($E21=2,OS21=0),1000000,INDEX('計算A'!BS$110:BS$114,$F21+1)+IF(AND($E21=1,OS21=0),1000,0)),1000000))</f>
        <v/>
      </c>
      <c r="YA21">
        <f>IF($B21=0,1000000,IF(INDEX('計算A'!$D$60:$II$104,$B21,69)*FM21=1,IF(AND($E21=2,OT21=0),1000000,INDEX('計算A'!BT$110:BT$114,$F21+1)+IF(AND($E21=1,OT21=0),1000,0)),1000000))</f>
        <v/>
      </c>
      <c r="YB21">
        <f>IF($B21=0,1000000,IF(INDEX('計算A'!$D$60:$II$104,$B21,70)*FN21=1,IF(AND($E21=2,OU21=0),1000000,INDEX('計算A'!BU$110:BU$114,$F21+1)+IF(AND($E21=1,OU21=0),1000,0)),1000000))</f>
        <v/>
      </c>
      <c r="YC21">
        <f>IF($B21=0,1000000,IF(INDEX('計算A'!$D$60:$II$104,$B21,71)*FO21=1,IF(AND($E21=2,OV21=0),1000000,INDEX('計算A'!BV$110:BV$114,$F21+1)+IF(AND($E21=1,OV21=0),1000,0)),1000000))</f>
        <v/>
      </c>
      <c r="YD21">
        <f>IF($B21=0,1000000,IF(INDEX('計算A'!$D$60:$II$104,$B21,72)*FP21=1,IF(AND($E21=2,OW21=0),1000000,INDEX('計算A'!BW$110:BW$114,$F21+1)+IF(AND($E21=1,OW21=0),1000,0)),1000000))</f>
        <v/>
      </c>
      <c r="YE21">
        <f>IF($B21=0,1000000,IF(INDEX('計算A'!$D$60:$II$104,$B21,73)*FQ21=1,IF(AND($E21=2,OX21=0),1000000,INDEX('計算A'!BX$110:BX$114,$F21+1)+IF(AND($E21=1,OX21=0),1000,0)),1000000))</f>
        <v/>
      </c>
      <c r="YF21">
        <f>IF($B21=0,1000000,IF(INDEX('計算A'!$D$60:$II$104,$B21,74)*FR21=1,IF(AND($E21=2,OY21=0),1000000,INDEX('計算A'!BY$110:BY$114,$F21+1)+IF(AND($E21=1,OY21=0),1000,0)),1000000))</f>
        <v/>
      </c>
      <c r="YG21">
        <f>IF($B21=0,1000000,IF(INDEX('計算A'!$D$60:$II$104,$B21,75)*FS21=1,IF(AND($E21=2,OZ21=0),1000000,INDEX('計算A'!BZ$110:BZ$114,$F21+1)+IF(AND($E21=1,OZ21=0),1000,0)),1000000))</f>
        <v/>
      </c>
      <c r="YH21">
        <f>IF($B21=0,1000000,IF(INDEX('計算A'!$D$60:$II$104,$B21,76)*FT21=1,IF(AND($E21=2,PA21=0),1000000,INDEX('計算A'!CA$110:CA$114,$F21+1)+IF(AND($E21=1,PA21=0),1000,0)),1000000))</f>
        <v/>
      </c>
      <c r="YI21">
        <f>IF($B21=0,1000000,IF(INDEX('計算A'!$D$60:$II$104,$B21,77)*FU21=1,IF(AND($E21=2,PB21=0),1000000,INDEX('計算A'!CB$110:CB$114,$F21+1)+IF(AND($E21=1,PB21=0),1000,0)),1000000))</f>
        <v/>
      </c>
      <c r="YJ21">
        <f>IF($B21=0,1000000,IF(INDEX('計算A'!$D$60:$II$104,$B21,78)*FV21=1,IF(AND($E21=2,PC21=0),1000000,INDEX('計算A'!CC$110:CC$114,$F21+1)+IF(AND($E21=1,PC21=0),1000,0)),1000000))</f>
        <v/>
      </c>
      <c r="YK21">
        <f>IF($B21=0,1000000,IF(INDEX('計算A'!$D$60:$II$104,$B21,79)*FW21=1,IF(AND($E21=2,PD21=0),1000000,INDEX('計算A'!CD$110:CD$114,$F21+1)+IF(AND($E21=1,PD21=0),1000,0)),1000000))</f>
        <v/>
      </c>
      <c r="YL21">
        <f>IF($B21=0,1000000,IF(INDEX('計算A'!$D$60:$II$104,$B21,80)*FX21=1,IF(AND($E21=2,PE21=0),1000000,INDEX('計算A'!CE$110:CE$114,$F21+1)+IF(AND($E21=1,PE21=0),1000,0)),1000000))</f>
        <v/>
      </c>
      <c r="YM21">
        <f>IF($B21=0,1000000,IF(INDEX('計算A'!$D$60:$II$104,$B21,81)*FY21=1,IF(AND($E21=2,PF21=0),1000000,INDEX('計算A'!CF$110:CF$114,$F21+1)+IF(AND($E21=1,PF21=0),1000,0)),1000000))</f>
        <v/>
      </c>
      <c r="YN21">
        <f>IF($B21=0,1000000,IF(INDEX('計算A'!$D$60:$II$104,$B21,82)*FZ21=1,IF(AND($E21=2,PG21=0),1000000,INDEX('計算A'!CG$110:CG$114,$F21+1)+IF(AND($E21=1,PG21=0),1000,0)),1000000))</f>
        <v/>
      </c>
      <c r="YO21">
        <f>IF($B21=0,1000000,IF(INDEX('計算A'!$D$60:$II$104,$B21,83)*GA21=1,IF(AND($E21=2,PH21=0),1000000,INDEX('計算A'!CH$110:CH$114,$F21+1)+IF(AND($E21=1,PH21=0),1000,0)),1000000))</f>
        <v/>
      </c>
      <c r="YP21">
        <f>IF($B21=0,1000000,IF(INDEX('計算A'!$D$60:$II$104,$B21,84)*GB21=1,IF(AND($E21=2,PI21=0),1000000,INDEX('計算A'!CI$110:CI$114,$F21+1)+IF(AND($E21=1,PI21=0),1000,0)),1000000))</f>
        <v/>
      </c>
      <c r="YQ21">
        <f>IF($B21=0,1000000,IF(INDEX('計算A'!$D$60:$II$104,$B21,85)*GC21=1,IF(AND($E21=2,PJ21=0),1000000,INDEX('計算A'!CJ$110:CJ$114,$F21+1)+IF(AND($E21=1,PJ21=0),1000,0)),1000000))</f>
        <v/>
      </c>
      <c r="YR21">
        <f>IF($B21=0,1000000,IF(INDEX('計算A'!$D$60:$II$104,$B21,86)*GD21=1,IF(AND($E21=2,PK21=0),1000000,INDEX('計算A'!CK$110:CK$114,$F21+1)+IF(AND($E21=1,PK21=0),1000,0)),1000000))</f>
        <v/>
      </c>
      <c r="YS21">
        <f>IF($B21=0,1000000,IF(INDEX('計算A'!$D$60:$II$104,$B21,87)*GE21=1,IF(AND($E21=2,PL21=0),1000000,INDEX('計算A'!CL$110:CL$114,$F21+1)+IF(AND($E21=1,PL21=0),1000,0)),1000000))</f>
        <v/>
      </c>
      <c r="YT21">
        <f>IF($B21=0,1000000,IF(INDEX('計算A'!$D$60:$II$104,$B21,88)*GF21=1,IF(AND($E21=2,PM21=0),1000000,INDEX('計算A'!CM$110:CM$114,$F21+1)+IF(AND($E21=1,PM21=0),1000,0)),1000000))</f>
        <v/>
      </c>
      <c r="YU21">
        <f>IF($B21=0,1000000,IF(INDEX('計算A'!$D$60:$II$104,$B21,89)*GG21=1,IF(AND($E21=2,PN21=0),1000000,INDEX('計算A'!CN$110:CN$114,$F21+1)+IF(AND($E21=1,PN21=0),1000,0)),1000000))</f>
        <v/>
      </c>
      <c r="YV21">
        <f>IF($B21=0,1000000,IF(INDEX('計算A'!$D$60:$II$104,$B21,90)*GH21=1,IF(AND($E21=2,PO21=0),1000000,INDEX('計算A'!CO$110:CO$114,$F21+1)+IF(AND($E21=1,PO21=0),1000,0)),1000000))</f>
        <v/>
      </c>
      <c r="YW21">
        <f>IF($B21=0,1000000,IF(INDEX('計算A'!$D$60:$II$104,$B21,91)*GI21=1,IF(AND($E21=2,PP21=0),1000000,INDEX('計算A'!CP$110:CP$114,$F21+1)+IF(AND($E21=1,PP21=0),1000,0)),1000000))</f>
        <v/>
      </c>
      <c r="YX21">
        <f>IF($B21=0,1000000,IF(INDEX('計算A'!$D$60:$II$104,$B21,92)*GJ21=1,IF(AND($E21=2,PQ21=0),1000000,INDEX('計算A'!CQ$110:CQ$114,$F21+1)+IF(AND($E21=1,PQ21=0),1000,0)),1000000))</f>
        <v/>
      </c>
      <c r="YY21">
        <f>IF($B21=0,1000000,IF(INDEX('計算A'!$D$60:$II$104,$B21,93)*GK21=1,IF(AND($E21=2,PR21=0),1000000,INDEX('計算A'!CR$110:CR$114,$F21+1)+IF(AND($E21=1,PR21=0),1000,0)),1000000))</f>
        <v/>
      </c>
      <c r="YZ21">
        <f>IF($B21=0,1000000,IF(INDEX('計算A'!$D$60:$II$104,$B21,94)*GL21=1,IF(AND($E21=2,PS21=0),1000000,INDEX('計算A'!CS$110:CS$114,$F21+1)+IF(AND($E21=1,PS21=0),1000,0)),1000000))</f>
        <v/>
      </c>
      <c r="ZA21">
        <f>IF($B21=0,1000000,IF(INDEX('計算A'!$D$60:$II$104,$B21,95)*GM21=1,IF(AND($E21=2,PT21=0),1000000,INDEX('計算A'!CT$110:CT$114,$F21+1)+IF(AND($E21=1,PT21=0),1000,0)),1000000))</f>
        <v/>
      </c>
      <c r="ZB21">
        <f>IF($B21=0,1000000,IF(INDEX('計算A'!$D$60:$II$104,$B21,96)*GN21=1,IF(AND($E21=2,PU21=0),1000000,INDEX('計算A'!CU$110:CU$114,$F21+1)+IF(AND($E21=1,PU21=0),1000,0)),1000000))</f>
        <v/>
      </c>
      <c r="ZC21">
        <f>IF($B21=0,1000000,IF(INDEX('計算A'!$D$60:$II$104,$B21,97)*GO21=1,IF(AND($E21=2,PV21=0),1000000,INDEX('計算A'!CV$110:CV$114,$F21+1)+IF(AND($E21=1,PV21=0),1000,0)),1000000))</f>
        <v/>
      </c>
      <c r="ZD21">
        <f>IF($B21=0,1000000,IF(INDEX('計算A'!$D$60:$II$104,$B21,98)*GP21=1,IF(AND($E21=2,PW21=0),1000000,INDEX('計算A'!CW$110:CW$114,$F21+1)+IF(AND($E21=1,PW21=0),1000,0)),1000000))</f>
        <v/>
      </c>
      <c r="ZE21">
        <f>IF($B21=0,1000000,IF(INDEX('計算A'!$D$60:$II$104,$B21,99)*GQ21=1,IF(AND($E21=2,PX21=0),1000000,INDEX('計算A'!CX$110:CX$114,$F21+1)+IF(AND($E21=1,PX21=0),1000,0)),1000000))</f>
        <v/>
      </c>
      <c r="ZF21">
        <f>IF($B21=0,1000000,IF(INDEX('計算A'!$D$60:$II$104,$B21,100)*GR21=1,IF(AND($E21=2,PY21=0),1000000,INDEX('計算A'!CY$110:CY$114,$F21+1)+IF(AND($E21=1,PY21=0),1000,0)),1000000))</f>
        <v/>
      </c>
      <c r="ZG21">
        <f>IF($B21=0,1000000,IF(INDEX('計算A'!$D$60:$II$104,$B21,101)*GS21=1,IF(AND($E21=2,PZ21=0),1000000,INDEX('計算A'!CZ$110:CZ$114,$F21+1)+IF(AND($E21=1,PZ21=0),1000,0)),1000000))</f>
        <v/>
      </c>
      <c r="ZH21">
        <f>IF($B21=0,1000000,IF(INDEX('計算A'!$D$60:$II$104,$B21,102)*GT21=1,IF(AND($E21=2,QA21=0),1000000,INDEX('計算A'!DA$110:DA$114,$F21+1)+IF(AND($E21=1,QA21=0),1000,0)),1000000))</f>
        <v/>
      </c>
      <c r="ZI21">
        <f>IF($B21=0,1000000,IF(INDEX('計算A'!$D$60:$II$104,$B21,103)*GU21=1,IF(AND($E21=2,QB21=0),1000000,INDEX('計算A'!DB$110:DB$114,$F21+1)+IF(AND($E21=1,QB21=0),1000,0)),1000000))</f>
        <v/>
      </c>
      <c r="ZJ21">
        <f>IF($B21=0,1000000,IF(INDEX('計算A'!$D$60:$II$104,$B21,104)*GV21=1,IF(AND($E21=2,QC21=0),1000000,INDEX('計算A'!DC$110:DC$114,$F21+1)+IF(AND($E21=1,QC21=0),1000,0)),1000000))</f>
        <v/>
      </c>
      <c r="ZK21">
        <f>IF($B21=0,1000000,IF(INDEX('計算A'!$D$60:$II$104,$B21,105)*GW21=1,IF(AND($E21=2,QD21=0),1000000,INDEX('計算A'!DD$110:DD$114,$F21+1)+IF(AND($E21=1,QD21=0),1000,0)),1000000))</f>
        <v/>
      </c>
      <c r="ZL21">
        <f>IF($B21=0,1000000,IF(INDEX('計算A'!$D$60:$II$104,$B21,106)*GX21=1,IF(AND($E21=2,QE21=0),1000000,INDEX('計算A'!DE$110:DE$114,$F21+1)+IF(AND($E21=1,QE21=0),1000,0)),1000000))</f>
        <v/>
      </c>
      <c r="ZM21">
        <f>IF($B21=0,1000000,IF(INDEX('計算A'!$D$60:$II$104,$B21,107)*GY21=1,IF(AND($E21=2,QF21=0),1000000,INDEX('計算A'!DF$110:DF$114,$F21+1)+IF(AND($E21=1,QF21=0),1000,0)),1000000))</f>
        <v/>
      </c>
      <c r="ZN21">
        <f>IF($B21=0,1000000,IF(INDEX('計算A'!$D$60:$II$104,$B21,108)*GZ21=1,IF(AND($E21=2,QG21=0),1000000,INDEX('計算A'!DG$110:DG$114,$F21+1)+IF(AND($E21=1,QG21=0),1000,0)),1000000))</f>
        <v/>
      </c>
      <c r="ZO21">
        <f>IF($B21=0,1000000,IF(INDEX('計算A'!$D$60:$II$104,$B21,109)*HA21=1,IF(AND($E21=2,QH21=0),1000000,INDEX('計算A'!DH$110:DH$114,$F21+1)+IF(AND($E21=1,QH21=0),1000,0)),1000000))</f>
        <v/>
      </c>
      <c r="ZP21">
        <f>IF($B21=0,1000000,IF(INDEX('計算A'!$D$60:$II$104,$B21,110)*HB21=1,IF(AND($E21=2,QI21=0),1000000,INDEX('計算A'!DI$110:DI$114,$F21+1)+IF(AND($E21=1,QI21=0),1000,0)),1000000))</f>
        <v/>
      </c>
      <c r="ZQ21">
        <f>IF($B21=0,1000000,IF(INDEX('計算A'!$D$60:$II$104,$B21,111)*HC21=1,IF(AND($E21=2,QJ21=0),1000000,INDEX('計算A'!DJ$110:DJ$114,$F21+1)+IF(AND($E21=1,QJ21=0),1000,0)),1000000))</f>
        <v/>
      </c>
      <c r="ZR21">
        <f>IF($B21=0,1000000,IF(INDEX('計算A'!$D$60:$II$104,$B21,112)*HD21=1,IF(AND($E21=2,QK21=0),1000000,INDEX('計算A'!DK$110:DK$114,$F21+1)+IF(AND($E21=1,QK21=0),1000,0)),1000000))</f>
        <v/>
      </c>
      <c r="ZS21">
        <f>IF($B21=0,1000000,IF(INDEX('計算A'!$D$60:$II$104,$B21,113)*HE21=1,IF(AND($E21=2,QL21=0),1000000,INDEX('計算A'!DL$110:DL$114,$F21+1)+IF(AND($E21=1,QL21=0),1000,0)),1000000))</f>
        <v/>
      </c>
      <c r="ZT21">
        <f>IF($B21=0,1000000,IF(INDEX('計算A'!$D$60:$II$104,$B21,114)*HF21=1,IF(AND($E21=2,QM21=0),1000000,INDEX('計算A'!DM$110:DM$114,$F21+1)+IF(AND($E21=1,QM21=0),1000,0)),1000000))</f>
        <v/>
      </c>
      <c r="ZU21">
        <f>IF($B21=0,1000000,IF(INDEX('計算A'!$D$60:$II$104,$B21,115)*HG21=1,IF(AND($E21=2,QN21=0),1000000,INDEX('計算A'!DN$110:DN$114,$F21+1)+IF(AND($E21=1,QN21=0),1000,0)),1000000))</f>
        <v/>
      </c>
      <c r="ZV21">
        <f>IF($B21=0,1000000,IF(INDEX('計算A'!$D$60:$II$104,$B21,116)*HH21=1,IF(AND($E21=2,QO21=0),1000000,INDEX('計算A'!DO$110:DO$114,$F21+1)+IF(AND($E21=1,QO21=0),1000,0)),1000000))</f>
        <v/>
      </c>
      <c r="ZW21">
        <f>IF($B21=0,1000000,IF(INDEX('計算A'!$D$60:$II$104,$B21,117)*HI21=1,IF(AND($E21=2,QP21=0),1000000,INDEX('計算A'!DP$110:DP$114,$F21+1)+IF(AND($E21=1,QP21=0),1000,0)),1000000))</f>
        <v/>
      </c>
      <c r="ZX21">
        <f>IF($B21=0,1000000,IF(INDEX('計算A'!$D$60:$II$104,$B21,118)*HJ21=1,IF(AND($E21=2,QQ21=0),1000000,INDEX('計算A'!DQ$110:DQ$114,$F21+1)+IF(AND($E21=1,QQ21=0),1000,0)),1000000))</f>
        <v/>
      </c>
      <c r="ZY21">
        <f>IF($B21=0,1000000,IF(INDEX('計算A'!$D$60:$II$104,$B21,119)*HK21=1,IF(AND($E21=2,QR21=0),1000000,INDEX('計算A'!DR$110:DR$114,$F21+1)+IF(AND($E21=1,QR21=0),1000,0)),1000000))</f>
        <v/>
      </c>
      <c r="ZZ21">
        <f>IF($B21=0,1000000,IF(INDEX('計算A'!$D$60:$II$104,$B21,120)*HL21=1,IF(AND($E21=2,QS21=0),1000000,INDEX('計算A'!DS$110:DS$114,$F21+1)+IF(AND($E21=1,QS21=0),1000,0)),1000000))</f>
        <v/>
      </c>
      <c r="AAA21">
        <f>IF($B21=0,1000000,IF(INDEX('計算A'!$D$60:$II$104,$B21,121)*HM21=1,IF(AND($E21=2,QT21=0),1000000,INDEX('計算A'!DT$110:DT$114,$F21+1)+IF(AND($E21=1,QT21=0),1000,0)),1000000))</f>
        <v/>
      </c>
      <c r="AAB21">
        <f>IF($B21=0,1000000,IF(INDEX('計算A'!$D$60:$II$104,$B21,122)*HN21=1,IF(AND($E21=2,QU21=0),1000000,INDEX('計算A'!DU$110:DU$114,$F21+1)+IF(AND($E21=1,QU21=0),1000,0)),1000000))</f>
        <v/>
      </c>
      <c r="AAC21">
        <f>IF($B21=0,1000000,IF(INDEX('計算A'!$D$60:$II$104,$B21,123)*HO21=1,IF(AND($E21=2,QV21=0),1000000,INDEX('計算A'!DV$110:DV$114,$F21+1)+IF(AND($E21=1,QV21=0),1000,0)),1000000))</f>
        <v/>
      </c>
      <c r="AAD21">
        <f>IF($B21=0,1000000,IF(INDEX('計算A'!$D$60:$II$104,$B21,124)*HP21=1,IF(AND($E21=2,QW21=0),1000000,INDEX('計算A'!DW$110:DW$114,$F21+1)+IF(AND($E21=1,QW21=0),1000,0)),1000000))</f>
        <v/>
      </c>
      <c r="AAE21">
        <f>IF($B21=0,1000000,IF(INDEX('計算A'!$D$60:$II$104,$B21,125)*HQ21=1,IF(AND($E21=2,QX21=0),1000000,INDEX('計算A'!DX$110:DX$114,$F21+1)+IF(AND($E21=1,QX21=0),1000,0)),1000000))</f>
        <v/>
      </c>
      <c r="AAF21">
        <f>IF($B21=0,1000000,IF(INDEX('計算A'!$D$60:$II$104,$B21,126)*HR21=1,IF(AND($E21=2,QY21=0),1000000,INDEX('計算A'!DY$110:DY$114,$F21+1)+IF(AND($E21=1,QY21=0),1000,0)),1000000))</f>
        <v/>
      </c>
      <c r="AAG21">
        <f>IF($B21=0,1000000,IF(INDEX('計算A'!$D$60:$II$104,$B21,127)*HS21=1,IF(AND($E21=2,QZ21=0),1000000,INDEX('計算A'!DZ$110:DZ$114,$F21+1)+IF(AND($E21=1,QZ21=0),1000,0)),1000000))</f>
        <v/>
      </c>
      <c r="AAH21">
        <f>IF($B21=0,1000000,IF(INDEX('計算A'!$D$60:$II$104,$B21,128)*HT21=1,IF(AND($E21=2,RA21=0),1000000,INDEX('計算A'!EA$110:EA$114,$F21+1)+IF(AND($E21=1,RA21=0),1000,0)),1000000))</f>
        <v/>
      </c>
      <c r="AAI21">
        <f>IF($B21=0,1000000,IF(INDEX('計算A'!$D$60:$II$104,$B21,129)*HU21=1,IF(AND($E21=2,RB21=0),1000000,INDEX('計算A'!EB$110:EB$114,$F21+1)+IF(AND($E21=1,RB21=0),1000,0)),1000000))</f>
        <v/>
      </c>
      <c r="AAJ21">
        <f>IF($B21=0,1000000,IF(INDEX('計算A'!$D$60:$II$104,$B21,130)*HV21=1,IF(AND($E21=2,RC21=0),1000000,INDEX('計算A'!EC$110:EC$114,$F21+1)+IF(AND($E21=1,RC21=0),1000,0)),1000000))</f>
        <v/>
      </c>
      <c r="AAK21">
        <f>IF($B21=0,1000000,IF(INDEX('計算A'!$D$60:$II$104,$B21,131)*HW21=1,IF(AND($E21=2,RD21=0),1000000,INDEX('計算A'!ED$110:ED$114,$F21+1)+IF(AND($E21=1,RD21=0),1000,0)),1000000))</f>
        <v/>
      </c>
      <c r="AAL21">
        <f>IF($B21=0,1000000,IF(INDEX('計算A'!$D$60:$II$104,$B21,132)*HX21=1,IF(AND($E21=2,RE21=0),1000000,INDEX('計算A'!EE$110:EE$114,$F21+1)+IF(AND($E21=1,RE21=0),1000,0)),1000000))</f>
        <v/>
      </c>
      <c r="AAM21">
        <f>IF($B21=0,1000000,IF(INDEX('計算A'!$D$60:$II$104,$B21,133)*HY21=1,IF(AND($E21=2,RF21=0),1000000,INDEX('計算A'!EF$110:EF$114,$F21+1)+IF(AND($E21=1,RF21=0),1000,0)),1000000))</f>
        <v/>
      </c>
      <c r="AAN21">
        <f>IF($B21=0,1000000,IF(INDEX('計算A'!$D$60:$II$104,$B21,134)*HZ21=1,IF(AND($E21=2,RG21=0),1000000,INDEX('計算A'!EG$110:EG$114,$F21+1)+IF(AND($E21=1,RG21=0),1000,0)),1000000))</f>
        <v/>
      </c>
      <c r="AAO21">
        <f>IF($B21=0,1000000,IF(INDEX('計算A'!$D$60:$II$104,$B21,135)*IA21=1,IF(AND($E21=2,RH21=0),1000000,INDEX('計算A'!EH$110:EH$114,$F21+1)+IF(AND($E21=1,RH21=0),1000,0)),1000000))</f>
        <v/>
      </c>
      <c r="AAP21">
        <f>IF($B21=0,1000000,IF(INDEX('計算A'!$D$60:$II$104,$B21,136)*IB21=1,IF(AND($E21=2,RI21=0),1000000,INDEX('計算A'!EI$110:EI$114,$F21+1)+IF(AND($E21=1,RI21=0),1000,0)),1000000))</f>
        <v/>
      </c>
      <c r="AAQ21">
        <f>IF($B21=0,1000000,IF(INDEX('計算A'!$D$60:$II$104,$B21,137)*IC21=1,IF(AND($E21=2,RJ21=0),1000000,INDEX('計算A'!EJ$110:EJ$114,$F21+1)+IF(AND($E21=1,RJ21=0),1000,0)),1000000))</f>
        <v/>
      </c>
      <c r="AAR21">
        <f>IF($B21=0,1000000,IF(INDEX('計算A'!$D$60:$II$104,$B21,138)*ID21=1,IF(AND($E21=2,RK21=0),1000000,INDEX('計算A'!EK$110:EK$114,$F21+1)+IF(AND($E21=1,RK21=0),1000,0)),1000000))</f>
        <v/>
      </c>
      <c r="AAS21">
        <f>IF($B21=0,1000000,IF(INDEX('計算A'!$D$60:$II$104,$B21,139)*IE21=1,IF(AND($E21=2,RL21=0),1000000,INDEX('計算A'!EL$110:EL$114,$F21+1)+IF(AND($E21=1,RL21=0),1000,0)),1000000))</f>
        <v/>
      </c>
      <c r="AAT21">
        <f>IF($B21=0,1000000,IF(INDEX('計算A'!$D$60:$II$104,$B21,140)*IF21=1,IF(AND($E21=2,RM21=0),1000000,INDEX('計算A'!EM$110:EM$114,$F21+1)+IF(AND($E21=1,RM21=0),1000,0)),1000000))</f>
        <v/>
      </c>
      <c r="AAU21">
        <f>IF($B21=0,1000000,IF(INDEX('計算A'!$D$60:$II$104,$B21,141)*IG21=1,IF(AND($E21=2,RN21=0),1000000,INDEX('計算A'!EN$110:EN$114,$F21+1)+IF(AND($E21=1,RN21=0),1000,0)),1000000))</f>
        <v/>
      </c>
      <c r="AAV21">
        <f>IF($B21=0,1000000,IF(INDEX('計算A'!$D$60:$II$104,$B21,142)*IH21=1,IF(AND($E21=2,RO21=0),1000000,INDEX('計算A'!EO$110:EO$114,$F21+1)+IF(AND($E21=1,RO21=0),1000,0)),1000000))</f>
        <v/>
      </c>
      <c r="AAW21">
        <f>IF($B21=0,1000000,IF(INDEX('計算A'!$D$60:$II$104,$B21,143)*II21=1,IF(AND($E21=2,RP21=0),1000000,INDEX('計算A'!EP$110:EP$114,$F21+1)+IF(AND($E21=1,RP21=0),1000,0)),1000000))</f>
        <v/>
      </c>
      <c r="AAX21">
        <f>IF($B21=0,1000000,IF(INDEX('計算A'!$D$60:$II$104,$B21,144)*IJ21=1,IF(AND($E21=2,RQ21=0),1000000,INDEX('計算A'!EQ$110:EQ$114,$F21+1)+IF(AND($E21=1,RQ21=0),1000,0)),1000000))</f>
        <v/>
      </c>
      <c r="AAY21">
        <f>IF($B21=0,1000000,IF(INDEX('計算A'!$D$60:$II$104,$B21,145)*IK21=1,IF(AND($E21=2,RR21=0),1000000,INDEX('計算A'!ER$110:ER$114,$F21+1)+IF(AND($E21=1,RR21=0),1000,0)),1000000))</f>
        <v/>
      </c>
      <c r="AAZ21">
        <f>IF($B21=0,1000000,IF(INDEX('計算A'!$D$60:$II$104,$B21,146)*IL21=1,IF(AND($E21=2,RS21=0),1000000,INDEX('計算A'!ES$110:ES$114,$F21+1)+IF(AND($E21=1,RS21=0),1000,0)),1000000))</f>
        <v/>
      </c>
      <c r="ABA21">
        <f>IF($B21=0,1000000,IF(INDEX('計算A'!$D$60:$II$104,$B21,147)*IM21=1,IF(AND($E21=2,RT21=0),1000000,INDEX('計算A'!ET$110:ET$114,$F21+1)+IF(AND($E21=1,RT21=0),1000,0)),1000000))</f>
        <v/>
      </c>
      <c r="ABB21">
        <f>IF($B21=0,1000000,IF(INDEX('計算A'!$D$60:$II$104,$B21,148)*IN21=1,IF(AND($E21=2,RU21=0),1000000,INDEX('計算A'!EU$110:EU$114,$F21+1)+IF(AND($E21=1,RU21=0),1000,0)),1000000))</f>
        <v/>
      </c>
      <c r="ABC21">
        <f>IF($B21=0,1000000,IF(INDEX('計算A'!$D$60:$II$104,$B21,149)*IO21=1,IF(AND($E21=2,RV21=0),1000000,INDEX('計算A'!EV$110:EV$114,$F21+1)+IF(AND($E21=1,RV21=0),1000,0)),1000000))</f>
        <v/>
      </c>
      <c r="ABD21">
        <f>IF($B21=0,1000000,IF(INDEX('計算A'!$D$60:$II$104,$B21,150)*IP21=1,IF(AND($E21=2,RW21=0),1000000,INDEX('計算A'!EW$110:EW$114,$F21+1)+IF(AND($E21=1,RW21=0),1000,0)),1000000))</f>
        <v/>
      </c>
      <c r="ABE21">
        <f>IF($B21=0,1000000,IF(INDEX('計算A'!$D$60:$II$104,$B21,151)*IQ21=1,IF(AND($E21=2,RX21=0),1000000,INDEX('計算A'!EX$110:EX$114,$F21+1)+IF(AND($E21=1,RX21=0),1000,0)),1000000))</f>
        <v/>
      </c>
      <c r="ABF21">
        <f>IF($B21=0,1000000,IF(INDEX('計算A'!$D$60:$II$104,$B21,152)*IR21=1,IF(AND($E21=2,RY21=0),1000000,INDEX('計算A'!EY$110:EY$114,$F21+1)+IF(AND($E21=1,RY21=0),1000,0)),1000000))</f>
        <v/>
      </c>
      <c r="ABG21">
        <f>IF($B21=0,1000000,IF(INDEX('計算A'!$D$60:$II$104,$B21,153)*IS21=1,IF(AND($E21=2,RZ21=0),1000000,INDEX('計算A'!EZ$110:EZ$114,$F21+1)+IF(AND($E21=1,RZ21=0),1000,0)),1000000))</f>
        <v/>
      </c>
      <c r="ABH21">
        <f>IF($B21=0,1000000,IF(INDEX('計算A'!$D$60:$II$104,$B21,154)*IT21=1,IF(AND($E21=2,SA21=0),1000000,INDEX('計算A'!FA$110:FA$114,$F21+1)+IF(AND($E21=1,SA21=0),1000,0)),1000000))</f>
        <v/>
      </c>
      <c r="ABI21">
        <f>IF($B21=0,1000000,IF(INDEX('計算A'!$D$60:$II$104,$B21,155)*IU21=1,IF(AND($E21=2,SB21=0),1000000,INDEX('計算A'!FB$110:FB$114,$F21+1)+IF(AND($E21=1,SB21=0),1000,0)),1000000))</f>
        <v/>
      </c>
      <c r="ABJ21">
        <f>IF($B21=0,1000000,IF(INDEX('計算A'!$D$60:$II$104,$B21,156)*IV21=1,IF(AND($E21=2,SC21=0),1000000,INDEX('計算A'!FC$110:FC$114,$F21+1)+IF(AND($E21=1,SC21=0),1000,0)),1000000))</f>
        <v/>
      </c>
      <c r="ABK21">
        <f>IF($B21=0,1000000,IF(INDEX('計算A'!$D$60:$II$104,$B21,157)*IW21=1,IF(AND($E21=2,SD21=0),1000000,INDEX('計算A'!FD$110:FD$114,$F21+1)+IF(AND($E21=1,SD21=0),1000,0)),1000000))</f>
        <v/>
      </c>
      <c r="ABL21">
        <f>IF($B21=0,1000000,IF(INDEX('計算A'!$D$60:$II$104,$B21,158)*IX21=1,IF(AND($E21=2,SE21=0),1000000,INDEX('計算A'!FE$110:FE$114,$F21+1)+IF(AND($E21=1,SE21=0),1000,0)),1000000))</f>
        <v/>
      </c>
      <c r="ABM21">
        <f>IF($B21=0,1000000,IF(INDEX('計算A'!$D$60:$II$104,$B21,159)*IY21=1,IF(AND($E21=2,SF21=0),1000000,INDEX('計算A'!FF$110:FF$114,$F21+1)+IF(AND($E21=1,SF21=0),1000,0)),1000000))</f>
        <v/>
      </c>
      <c r="ABN21">
        <f>IF($B21=0,1000000,IF(INDEX('計算A'!$D$60:$II$104,$B21,160)*IZ21=1,IF(AND($E21=2,SG21=0),1000000,INDEX('計算A'!FG$110:FG$114,$F21+1)+IF(AND($E21=1,SG21=0),1000,0)),1000000))</f>
        <v/>
      </c>
      <c r="ABO21">
        <f>IF($B21=0,1000000,IF(INDEX('計算A'!$D$60:$II$104,$B21,161)*JA21=1,IF(AND($E21=2,SH21=0),1000000,INDEX('計算A'!FH$110:FH$114,$F21+1)+IF(AND($E21=1,SH21=0),1000,0)),1000000))</f>
        <v/>
      </c>
      <c r="ABP21">
        <f>IF($B21=0,1000000,IF(INDEX('計算A'!$D$60:$II$104,$B21,162)*JB21=1,IF(AND($E21=2,SI21=0),1000000,INDEX('計算A'!FI$110:FI$114,$F21+1)+IF(AND($E21=1,SI21=0),1000,0)),1000000))</f>
        <v/>
      </c>
      <c r="ABQ21">
        <f>IF($B21=0,1000000,IF(INDEX('計算A'!$D$60:$II$104,$B21,163)*JC21=1,IF(AND($E21=2,SJ21=0),1000000,INDEX('計算A'!FJ$110:FJ$114,$F21+1)+IF(AND($E21=1,SJ21=0),1000,0)),1000000))</f>
        <v/>
      </c>
      <c r="ABR21">
        <f>IF($B21=0,1000000,IF(INDEX('計算A'!$D$60:$II$104,$B21,164)*JD21=1,IF(AND($E21=2,SK21=0),1000000,INDEX('計算A'!FK$110:FK$114,$F21+1)+IF(AND($E21=1,SK21=0),1000,0)),1000000))</f>
        <v/>
      </c>
      <c r="ABS21">
        <f>IF($B21=0,1000000,IF(INDEX('計算A'!$D$60:$II$104,$B21,165)*JE21=1,IF(AND($E21=2,SL21=0),1000000,INDEX('計算A'!FL$110:FL$114,$F21+1)+IF(AND($E21=1,SL21=0),1000,0)),1000000))</f>
        <v/>
      </c>
      <c r="ABT21">
        <f>IF($B21=0,1000000,IF(INDEX('計算A'!$D$60:$II$104,$B21,166)*JF21=1,IF(AND($E21=2,SM21=0),1000000,INDEX('計算A'!FM$110:FM$114,$F21+1)+IF(AND($E21=1,SM21=0),1000,0)),1000000))</f>
        <v/>
      </c>
      <c r="ABU21">
        <f>IF($B21=0,1000000,IF(INDEX('計算A'!$D$60:$II$104,$B21,167)*JG21=1,IF(AND($E21=2,SN21=0),1000000,INDEX('計算A'!FN$110:FN$114,$F21+1)+IF(AND($E21=1,SN21=0),1000,0)),1000000))</f>
        <v/>
      </c>
      <c r="ABV21">
        <f>IF($B21=0,1000000,IF(INDEX('計算A'!$D$60:$II$104,$B21,168)*JH21=1,IF(AND($E21=2,SO21=0),1000000,INDEX('計算A'!FO$110:FO$114,$F21+1)+IF(AND($E21=1,SO21=0),1000,0)),1000000))</f>
        <v/>
      </c>
      <c r="ABW21">
        <f>IF($B21=0,1000000,IF(INDEX('計算A'!$D$60:$II$104,$B21,169)*JI21=1,IF(AND($E21=2,SP21=0),1000000,INDEX('計算A'!FP$110:FP$114,$F21+1)+IF(AND($E21=1,SP21=0),1000,0)),1000000))</f>
        <v/>
      </c>
      <c r="ABX21">
        <f>IF($B21=0,1000000,IF(INDEX('計算A'!$D$60:$II$104,$B21,170)*JJ21=1,IF(AND($E21=2,SQ21=0),1000000,INDEX('計算A'!FQ$110:FQ$114,$F21+1)+IF(AND($E21=1,SQ21=0),1000,0)),1000000))</f>
        <v/>
      </c>
      <c r="ABY21">
        <f>IF($B21=0,1000000,IF(INDEX('計算A'!$D$60:$II$104,$B21,171)*JK21=1,IF(AND($E21=2,SR21=0),1000000,INDEX('計算A'!FR$110:FR$114,$F21+1)+IF(AND($E21=1,SR21=0),1000,0)),1000000))</f>
        <v/>
      </c>
      <c r="ABZ21">
        <f>IF($B21=0,1000000,IF(INDEX('計算A'!$D$60:$II$104,$B21,172)*JL21=1,IF(AND($E21=2,SS21=0),1000000,INDEX('計算A'!FS$110:FS$114,$F21+1)+IF(AND($E21=1,SS21=0),1000,0)),1000000))</f>
        <v/>
      </c>
      <c r="ACA21">
        <f>IF($B21=0,1000000,IF(INDEX('計算A'!$D$60:$II$104,$B21,173)*JM21=1,IF(AND($E21=2,ST21=0),1000000,INDEX('計算A'!FT$110:FT$114,$F21+1)+IF(AND($E21=1,ST21=0),1000,0)),1000000))</f>
        <v/>
      </c>
      <c r="ACB21">
        <f>IF($B21=0,1000000,IF(INDEX('計算A'!$D$60:$II$104,$B21,174)*JN21=1,IF(AND($E21=2,SU21=0),1000000,INDEX('計算A'!FU$110:FU$114,$F21+1)+IF(AND($E21=1,SU21=0),1000,0)),1000000))</f>
        <v/>
      </c>
      <c r="ACC21">
        <f>IF($B21=0,1000000,IF(INDEX('計算A'!$D$60:$II$104,$B21,175)*JO21=1,IF(AND($E21=2,SV21=0),1000000,INDEX('計算A'!FV$110:FV$114,$F21+1)+IF(AND($E21=1,SV21=0),1000,0)),1000000))</f>
        <v/>
      </c>
      <c r="ACD21">
        <f>IF($B21=0,1000000,IF(INDEX('計算A'!$D$60:$II$104,$B21,176)*JP21=1,IF(AND($E21=2,SW21=0),1000000,INDEX('計算A'!FW$110:FW$114,$F21+1)+IF(AND($E21=1,SW21=0),1000,0)),1000000))</f>
        <v/>
      </c>
      <c r="ACE21">
        <f>IF($B21=0,1000000,IF(INDEX('計算A'!$D$60:$II$104,$B21,177)*JQ21=1,IF(AND($E21=2,SX21=0),1000000,INDEX('計算A'!FX$110:FX$114,$F21+1)+IF(AND($E21=1,SX21=0),1000,0)),1000000))</f>
        <v/>
      </c>
      <c r="ACF21">
        <f>IF($B21=0,1000000,IF(INDEX('計算A'!$D$60:$II$104,$B21,178)*JR21=1,IF(AND($E21=2,SY21=0),1000000,INDEX('計算A'!FY$110:FY$114,$F21+1)+IF(AND($E21=1,SY21=0),1000,0)),1000000))</f>
        <v/>
      </c>
      <c r="ACG21">
        <f>IF($B21=0,1000000,IF(INDEX('計算A'!$D$60:$II$104,$B21,179)*JS21=1,IF(AND($E21=2,SZ21=0),1000000,INDEX('計算A'!FZ$110:FZ$114,$F21+1)+IF(AND($E21=1,SZ21=0),1000,0)),1000000))</f>
        <v/>
      </c>
      <c r="ACH21">
        <f>IF($B21=0,1000000,IF(INDEX('計算A'!$D$60:$II$104,$B21,180)*JT21=1,IF(AND($E21=2,TA21=0),1000000,INDEX('計算A'!GA$110:GA$114,$F21+1)+IF(AND($E21=1,TA21=0),1000,0)),1000000))</f>
        <v/>
      </c>
      <c r="ACI21">
        <f>IF($B21=0,1000000,IF(INDEX('計算A'!$D$60:$II$104,$B21,181)*JU21=1,IF(AND($E21=2,TB21=0),1000000,INDEX('計算A'!GB$110:GB$114,$F21+1)+IF(AND($E21=1,TB21=0),1000,0)),1000000))</f>
        <v/>
      </c>
      <c r="ACJ21">
        <f>IF($B21=0,1000000,IF(INDEX('計算A'!$D$60:$II$104,$B21,182)*JV21=1,IF(AND($E21=2,TC21=0),1000000,INDEX('計算A'!GC$110:GC$114,$F21+1)+IF(AND($E21=1,TC21=0),1000,0)),1000000))</f>
        <v/>
      </c>
      <c r="ACK21">
        <f>IF($B21=0,1000000,IF(INDEX('計算A'!$D$60:$II$104,$B21,183)*JW21=1,IF(AND($E21=2,TD21=0),1000000,INDEX('計算A'!GD$110:GD$114,$F21+1)+IF(AND($E21=1,TD21=0),1000,0)),1000000))</f>
        <v/>
      </c>
      <c r="ACL21">
        <f>IF($B21=0,1000000,IF(INDEX('計算A'!$D$60:$II$104,$B21,184)*JX21=1,IF(AND($E21=2,TE21=0),1000000,INDEX('計算A'!GE$110:GE$114,$F21+1)+IF(AND($E21=1,TE21=0),1000,0)),1000000))</f>
        <v/>
      </c>
      <c r="ACM21">
        <f>IF($B21=0,1000000,IF(INDEX('計算A'!$D$60:$II$104,$B21,185)*JY21=1,IF(AND($E21=2,TF21=0),1000000,INDEX('計算A'!GF$110:GF$114,$F21+1)+IF(AND($E21=1,TF21=0),1000,0)),1000000))</f>
        <v/>
      </c>
      <c r="ACN21">
        <f>IF($B21=0,1000000,IF(INDEX('計算A'!$D$60:$II$104,$B21,186)*JZ21=1,IF(AND($E21=2,TG21=0),1000000,INDEX('計算A'!GG$110:GG$114,$F21+1)+IF(AND($E21=1,TG21=0),1000,0)),1000000))</f>
        <v/>
      </c>
      <c r="ACO21">
        <f>IF($B21=0,1000000,IF(INDEX('計算A'!$D$60:$II$104,$B21,187)*KA21=1,IF(AND($E21=2,TH21=0),1000000,INDEX('計算A'!GH$110:GH$114,$F21+1)+IF(AND($E21=1,TH21=0),1000,0)),1000000))</f>
        <v/>
      </c>
      <c r="ACP21">
        <f>IF($B21=0,1000000,IF(INDEX('計算A'!$D$60:$II$104,$B21,188)*KB21=1,IF(AND($E21=2,TI21=0),1000000,INDEX('計算A'!GI$110:GI$114,$F21+1)+IF(AND($E21=1,TI21=0),1000,0)),1000000))</f>
        <v/>
      </c>
      <c r="ACQ21">
        <f>IF($B21=0,1000000,IF(INDEX('計算A'!$D$60:$II$104,$B21,189)*KC21=1,IF(AND($E21=2,TJ21=0),1000000,INDEX('計算A'!GJ$110:GJ$114,$F21+1)+IF(AND($E21=1,TJ21=0),1000,0)),1000000))</f>
        <v/>
      </c>
      <c r="ACR21">
        <f>IF($B21=0,1000000,IF(INDEX('計算A'!$D$60:$II$104,$B21,190)*KD21=1,IF(AND($E21=2,TK21=0),1000000,INDEX('計算A'!GK$110:GK$114,$F21+1)+IF(AND($E21=1,TK21=0),1000,0)),1000000))</f>
        <v/>
      </c>
      <c r="ACS21">
        <f>IF($B21=0,1000000,IF(INDEX('計算A'!$D$60:$II$104,$B21,191)*KE21=1,IF(AND($E21=2,TL21=0),1000000,INDEX('計算A'!GL$110:GL$114,$F21+1)+IF(AND($E21=1,TL21=0),1000,0)),1000000))</f>
        <v/>
      </c>
      <c r="ACT21">
        <f>IF($B21=0,1000000,IF(INDEX('計算A'!$D$60:$II$104,$B21,192)*KF21=1,IF(AND($E21=2,TM21=0),1000000,INDEX('計算A'!GM$110:GM$114,$F21+1)+IF(AND($E21=1,TM21=0),1000,0)),1000000))</f>
        <v/>
      </c>
      <c r="ACU21">
        <f>IF($B21=0,1000000,IF(INDEX('計算A'!$D$60:$II$104,$B21,193)*KG21=1,IF(AND($E21=2,TN21=0),1000000,INDEX('計算A'!GN$110:GN$114,$F21+1)+IF(AND($E21=1,TN21=0),1000,0)),1000000))</f>
        <v/>
      </c>
      <c r="ACV21">
        <f>IF($B21=0,1000000,IF(INDEX('計算A'!$D$60:$II$104,$B21,194)*KH21=1,IF(AND($E21=2,TO21=0),1000000,INDEX('計算A'!GO$110:GO$114,$F21+1)+IF(AND($E21=1,TO21=0),1000,0)),1000000))</f>
        <v/>
      </c>
      <c r="ACW21">
        <f>IF($B21=0,1000000,IF(INDEX('計算A'!$D$60:$II$104,$B21,195)*KI21=1,IF(AND($E21=2,TP21=0),1000000,INDEX('計算A'!GP$110:GP$114,$F21+1)+IF(AND($E21=1,TP21=0),1000,0)),1000000))</f>
        <v/>
      </c>
      <c r="ACX21">
        <f>IF($B21=0,1000000,IF(INDEX('計算A'!$D$60:$II$104,$B21,196)*KJ21=1,IF(AND($E21=2,TQ21=0),1000000,INDEX('計算A'!GQ$110:GQ$114,$F21+1)+IF(AND($E21=1,TQ21=0),1000,0)),1000000))</f>
        <v/>
      </c>
      <c r="ACY21">
        <f>IF($B21=0,1000000,IF(INDEX('計算A'!$D$60:$II$104,$B21,197)*KK21=1,IF(AND($E21=2,TR21=0),1000000,INDEX('計算A'!GR$110:GR$114,$F21+1)+IF(AND($E21=1,TR21=0),1000,0)),1000000))</f>
        <v/>
      </c>
      <c r="ACZ21">
        <f>IF($B21=0,1000000,IF(INDEX('計算A'!$D$60:$II$104,$B21,198)*KL21=1,IF(AND($E21=2,TS21=0),1000000,INDEX('計算A'!GS$110:GS$114,$F21+1)+IF(AND($E21=1,TS21=0),1000,0)),1000000))</f>
        <v/>
      </c>
      <c r="ADA21">
        <f>IF($B21=0,1000000,IF(INDEX('計算A'!$D$60:$II$104,$B21,199)*KM21=1,IF(AND($E21=2,TT21=0),1000000,INDEX('計算A'!GT$110:GT$114,$F21+1)+IF(AND($E21=1,TT21=0),1000,0)),1000000))</f>
        <v/>
      </c>
      <c r="ADB21">
        <f>IF($B21=0,1000000,IF(INDEX('計算A'!$D$60:$II$104,$B21,200)*KN21=1,IF(AND($E21=2,TU21=0),1000000,INDEX('計算A'!GU$110:GU$114,$F21+1)+IF(AND($E21=1,TU21=0),1000,0)),1000000))</f>
        <v/>
      </c>
      <c r="ADC21">
        <f>IF($B21=0,1000000,IF(INDEX('計算A'!$D$60:$II$104,$B21,201)*KO21=1,IF(AND($E21=2,TV21=0),1000000,INDEX('計算A'!GV$110:GV$114,$F21+1)+IF(AND($E21=1,TV21=0),1000,0)),1000000))</f>
        <v/>
      </c>
      <c r="ADD21">
        <f>IF($B21=0,1000000,IF(INDEX('計算A'!$D$60:$II$104,$B21,202)*KP21=1,IF(AND($E21=2,TW21=0),1000000,INDEX('計算A'!GW$110:GW$114,$F21+1)+IF(AND($E21=1,TW21=0),1000,0)),1000000))</f>
        <v/>
      </c>
      <c r="ADE21">
        <f>IF($B21=0,1000000,IF(INDEX('計算A'!$D$60:$II$104,$B21,203)*KQ21=1,IF(AND($E21=2,TX21=0),1000000,INDEX('計算A'!GX$110:GX$114,$F21+1)+IF(AND($E21=1,TX21=0),1000,0)),1000000))</f>
        <v/>
      </c>
      <c r="ADF21">
        <f>IF($B21=0,1000000,IF(INDEX('計算A'!$D$60:$II$104,$B21,204)*KR21=1,IF(AND($E21=2,TY21=0),1000000,INDEX('計算A'!GY$110:GY$114,$F21+1)+IF(AND($E21=1,TY21=0),1000,0)),1000000))</f>
        <v/>
      </c>
      <c r="ADG21">
        <f>IF($B21=0,1000000,IF(INDEX('計算A'!$D$60:$II$104,$B21,205)*KS21=1,IF(AND($E21=2,TZ21=0),1000000,INDEX('計算A'!GZ$110:GZ$114,$F21+1)+IF(AND($E21=1,TZ21=0),1000,0)),1000000))</f>
        <v/>
      </c>
      <c r="ADH21">
        <f>IF($B21=0,1000000,IF(INDEX('計算A'!$D$60:$II$104,$B21,206)*KT21=1,IF(AND($E21=2,UA21=0),1000000,INDEX('計算A'!HA$110:HA$114,$F21+1)+IF(AND($E21=1,UA21=0),1000,0)),1000000))</f>
        <v/>
      </c>
      <c r="ADI21">
        <f>IF($B21=0,1000000,IF(INDEX('計算A'!$D$60:$II$104,$B21,207)*KU21=1,IF(AND($E21=2,UB21=0),1000000,INDEX('計算A'!HB$110:HB$114,$F21+1)+IF(AND($E21=1,UB21=0),1000,0)),1000000))</f>
        <v/>
      </c>
      <c r="ADJ21">
        <f>IF($B21=0,1000000,IF(INDEX('計算A'!$D$60:$II$104,$B21,208)*KV21=1,IF(AND($E21=2,UC21=0),1000000,INDEX('計算A'!HC$110:HC$114,$F21+1)+IF(AND($E21=1,UC21=0),1000,0)),1000000))</f>
        <v/>
      </c>
      <c r="ADK21">
        <f>IF($B21=0,1000000,IF(INDEX('計算A'!$D$60:$II$104,$B21,209)*KW21=1,IF(AND($E21=2,UD21=0),1000000,INDEX('計算A'!HD$110:HD$114,$F21+1)+IF(AND($E21=1,UD21=0),1000,0)),1000000))</f>
        <v/>
      </c>
      <c r="ADL21">
        <f>IF($B21=0,1000000,IF(INDEX('計算A'!$D$60:$II$104,$B21,210)*KX21=1,IF(AND($E21=2,UE21=0),1000000,INDEX('計算A'!HE$110:HE$114,$F21+1)+IF(AND($E21=1,UE21=0),1000,0)),1000000))</f>
        <v/>
      </c>
      <c r="ADM21">
        <f>IF($B21=0,1000000,IF(INDEX('計算A'!$D$60:$II$104,$B21,211)*KY21=1,IF(AND($E21=2,UF21=0),1000000,INDEX('計算A'!HF$110:HF$114,$F21+1)+IF(AND($E21=1,UF21=0),1000,0)),1000000))</f>
        <v/>
      </c>
      <c r="ADN21">
        <f>IF($B21=0,1000000,IF(INDEX('計算A'!$D$60:$II$104,$B21,212)*KZ21=1,IF(AND($E21=2,UG21=0),1000000,INDEX('計算A'!HG$110:HG$114,$F21+1)+IF(AND($E21=1,UG21=0),1000,0)),1000000))</f>
        <v/>
      </c>
      <c r="ADO21">
        <f>IF($B21=0,1000000,IF(INDEX('計算A'!$D$60:$II$104,$B21,213)*LA21=1,IF(AND($E21=2,UH21=0),1000000,INDEX('計算A'!HH$110:HH$114,$F21+1)+IF(AND($E21=1,UH21=0),1000,0)),1000000))</f>
        <v/>
      </c>
      <c r="ADP21">
        <f>IF($B21=0,1000000,IF(INDEX('計算A'!$D$60:$II$104,$B21,214)*LB21=1,IF(AND($E21=2,UI21=0),1000000,INDEX('計算A'!HI$110:HI$114,$F21+1)+IF(AND($E21=1,UI21=0),1000,0)),1000000))</f>
        <v/>
      </c>
      <c r="ADQ21">
        <f>IF($B21=0,1000000,IF(INDEX('計算A'!$D$60:$II$104,$B21,215)*LC21=1,IF(AND($E21=2,UJ21=0),1000000,INDEX('計算A'!HJ$110:HJ$114,$F21+1)+IF(AND($E21=1,UJ21=0),1000,0)),1000000))</f>
        <v/>
      </c>
      <c r="ADR21">
        <f>IF($B21=0,1000000,IF(INDEX('計算A'!$D$60:$II$104,$B21,216)*LD21=1,IF(AND($E21=2,UK21=0),1000000,INDEX('計算A'!HK$110:HK$114,$F21+1)+IF(AND($E21=1,UK21=0),1000,0)),1000000))</f>
        <v/>
      </c>
      <c r="ADS21">
        <f>IF($B21=0,1000000,IF(INDEX('計算A'!$D$60:$II$104,$B21,217)*LE21=1,IF(AND($E21=2,UL21=0),1000000,INDEX('計算A'!HL$110:HL$114,$F21+1)+IF(AND($E21=1,UL21=0),1000,0)),1000000))</f>
        <v/>
      </c>
      <c r="ADT21">
        <f>IF($B21=0,1000000,IF(INDEX('計算A'!$D$60:$II$104,$B21,218)*LF21=1,IF(AND($E21=2,UM21=0),1000000,INDEX('計算A'!HM$110:HM$114,$F21+1)+IF(AND($E21=1,UM21=0),1000,0)),1000000))</f>
        <v/>
      </c>
      <c r="ADU21">
        <f>IF($B21=0,1000000,IF(INDEX('計算A'!$D$60:$II$104,$B21,219)*LG21=1,IF(AND($E21=2,UN21=0),1000000,INDEX('計算A'!HN$110:HN$114,$F21+1)+IF(AND($E21=1,UN21=0),1000,0)),1000000))</f>
        <v/>
      </c>
      <c r="ADV21">
        <f>IF($B21=0,1000000,IF(INDEX('計算A'!$D$60:$II$104,$B21,220)*LH21=1,IF(AND($E21=2,UO21=0),1000000,INDEX('計算A'!HO$110:HO$114,$F21+1)+IF(AND($E21=1,UO21=0),1000,0)),1000000))</f>
        <v/>
      </c>
      <c r="ADW21">
        <f>IF($B21=0,1000000,IF(INDEX('計算A'!$D$60:$II$104,$B21,221)*LI21=1,IF(AND($E21=2,UP21=0),1000000,INDEX('計算A'!HP$110:HP$114,$F21+1)+IF(AND($E21=1,UP21=0),1000,0)),1000000))</f>
        <v/>
      </c>
      <c r="ADX21">
        <f>IF($B21=0,1000000,IF(INDEX('計算A'!$D$60:$II$104,$B21,222)*LJ21=1,IF(AND($E21=2,UQ21=0),1000000,INDEX('計算A'!HQ$110:HQ$114,$F21+1)+IF(AND($E21=1,UQ21=0),1000,0)),1000000))</f>
        <v/>
      </c>
      <c r="ADY21">
        <f>IF($B21=0,1000000,IF(INDEX('計算A'!$D$60:$II$104,$B21,223)*LK21=1,IF(AND($E21=2,UR21=0),1000000,INDEX('計算A'!HR$110:HR$114,$F21+1)+IF(AND($E21=1,UR21=0),1000,0)),1000000))</f>
        <v/>
      </c>
      <c r="ADZ21">
        <f>IF($B21=0,1000000,IF(INDEX('計算A'!$D$60:$II$104,$B21,224)*LL21=1,IF(AND($E21=2,US21=0),1000000,INDEX('計算A'!HS$110:HS$114,$F21+1)+IF(AND($E21=1,US21=0),1000,0)),1000000))</f>
        <v/>
      </c>
      <c r="AEA21">
        <f>IF($B21=0,1000000,IF(INDEX('計算A'!$D$60:$II$104,$B21,225)*LM21=1,IF(AND($E21=2,UT21=0),1000000,INDEX('計算A'!HT$110:HT$114,$F21+1)+IF(AND($E21=1,UT21=0),1000,0)),1000000))</f>
        <v/>
      </c>
      <c r="AEB21">
        <f>IF($B21=0,1000000,IF(INDEX('計算A'!$D$60:$II$104,$B21,226)*LN21=1,IF(AND($E21=2,UU21=0),1000000,INDEX('計算A'!HU$110:HU$114,$F21+1)+IF(AND($E21=1,UU21=0),1000,0)),1000000))</f>
        <v/>
      </c>
      <c r="AEC21">
        <f>IF($B21=0,1000000,IF(INDEX('計算A'!$D$60:$II$104,$B21,227)*LO21=1,IF(AND($E21=2,UV21=0),1000000,INDEX('計算A'!HV$110:HV$114,$F21+1)+IF(AND($E21=1,UV21=0),1000,0)),1000000))</f>
        <v/>
      </c>
      <c r="AED21">
        <f>IF($B21=0,1000000,IF(INDEX('計算A'!$D$60:$II$104,$B21,228)*LP21=1,IF(AND($E21=2,UW21=0),1000000,INDEX('計算A'!HW$110:HW$114,$F21+1)+IF(AND($E21=1,UW21=0),1000,0)),1000000))</f>
        <v/>
      </c>
      <c r="AEE21">
        <f>IF($B21=0,1000000,IF(INDEX('計算A'!$D$60:$II$104,$B21,229)*LQ21=1,IF(AND($E21=2,UX21=0),1000000,INDEX('計算A'!HX$110:HX$114,$F21+1)+IF(AND($E21=1,UX21=0),1000,0)),1000000))</f>
        <v/>
      </c>
      <c r="AEF21">
        <f>IF($B21=0,1000000,IF(INDEX('計算A'!$D$60:$II$104,$B21,230)*LR21=1,IF(AND($E21=2,UY21=0),1000000,INDEX('計算A'!HY$110:HY$114,$F21+1)+IF(AND($E21=1,UY21=0),1000,0)),1000000))</f>
        <v/>
      </c>
      <c r="AEG21">
        <f>IF($B21=0,1000000,IF(INDEX('計算A'!$D$60:$II$104,$B21,231)*LS21=1,IF(AND($E21=2,UZ21=0),1000000,INDEX('計算A'!HZ$110:HZ$114,$F21+1)+IF(AND($E21=1,UZ21=0),1000,0)),1000000))</f>
        <v/>
      </c>
      <c r="AEH21">
        <f>IF($B21=0,1000000,IF(INDEX('計算A'!$D$60:$II$104,$B21,232)*LT21=1,IF(AND($E21=2,VA21=0),1000000,INDEX('計算A'!IA$110:IA$114,$F21+1)+IF(AND($E21=1,VA21=0),1000,0)),1000000))</f>
        <v/>
      </c>
      <c r="AEI21">
        <f>IF($B21=0,1000000,IF(INDEX('計算A'!$D$60:$II$104,$B21,233)*LU21=1,IF(AND($E21=2,VB21=0),1000000,INDEX('計算A'!IB$110:IB$114,$F21+1)+IF(AND($E21=1,VB21=0),1000,0)),1000000))</f>
        <v/>
      </c>
      <c r="AEJ21">
        <f>IF($B21=0,1000000,IF(INDEX('計算A'!$D$60:$II$104,$B21,234)*LV21=1,IF(AND($E21=2,VC21=0),1000000,INDEX('計算A'!IC$110:IC$114,$F21+1)+IF(AND($E21=1,VC21=0),1000,0)),1000000))</f>
        <v/>
      </c>
      <c r="AEK21">
        <f>IF($B21=0,1000000,IF(INDEX('計算A'!$D$60:$II$104,$B21,235)*LW21=1,IF(AND($E21=2,VD21=0),1000000,INDEX('計算A'!ID$110:ID$114,$F21+1)+IF(AND($E21=1,VD21=0),1000,0)),1000000))</f>
        <v/>
      </c>
      <c r="AEL21">
        <f>IF($B21=0,1000000,IF(INDEX('計算A'!$D$60:$II$104,$B21,236)*LX21=1,IF(AND($E21=2,VE21=0),1000000,INDEX('計算A'!IE$110:IE$114,$F21+1)+IF(AND($E21=1,VE21=0),1000,0)),1000000))</f>
        <v/>
      </c>
      <c r="AEM21">
        <f>IF($B21=0,1000000,IF(INDEX('計算A'!$D$60:$II$104,$B21,237)*LY21=1,IF(AND($E21=2,VF21=0),1000000,INDEX('計算A'!IF$110:IF$114,$F21+1)+IF(AND($E21=1,VF21=0),1000,0)),1000000))</f>
        <v/>
      </c>
      <c r="AEN21">
        <f>IF($B21=0,1000000,IF(INDEX('計算A'!$D$60:$II$104,$B21,238)*LZ21=1,IF(AND($E21=2,VG21=0),1000000,INDEX('計算A'!IG$110:IG$114,$F21+1)+IF(AND($E21=1,VG21=0),1000,0)),1000000))</f>
        <v/>
      </c>
      <c r="AEO21">
        <f>IF($B21=0,1000000,IF(INDEX('計算A'!$D$60:$II$104,$B21,239)*MA21=1,IF(AND($E21=2,VH21=0),1000000,INDEX('計算A'!IH$110:IH$114,$F21+1)+IF(AND($E21=1,VH21=0),1000,0)),1000000))</f>
        <v/>
      </c>
      <c r="AEP21">
        <f>IF($B21=0,1000000,IF(INDEX('計算A'!$D$60:$II$104,$B21,240)*MB21=1,IF(AND($E21=2,VI21=0),1000000,INDEX('計算A'!II$110:II$114,$F21+1)+IF(AND($E21=1,VI21=0),1000,0)),1000000))</f>
        <v/>
      </c>
    </row>
    <row r="22">
      <c r="A22" t="n">
        <v>20</v>
      </c>
      <c r="B22">
        <f>IF(MIN(BC22:CU22)&gt;=1000000,0,MATCH(MIN(BC22:CU22),BC22:CU22,0))</f>
        <v/>
      </c>
      <c r="C22">
        <f>IF(MIN(VK22:AEP22)&gt;=1000000,0,MATCH(MIN(VK22:AEP22),VK22:AEP22,0))</f>
        <v/>
      </c>
      <c r="D22">
        <f>IF(C22&gt;0,INDEX('計算A'!$D$5:$II$5,C22),0)</f>
        <v/>
      </c>
      <c r="E22">
        <f>IF(B22=0,0,INDEX('計算A'!$IQ$10:$IQ$54,B22))</f>
        <v/>
      </c>
      <c r="F22">
        <f>IF(B22=0,0,INDEX('計算A'!$IP$10:$IP$54,B22))</f>
        <v/>
      </c>
      <c r="G22">
        <f>IF(AND(C22&gt;0,E22&gt;0),IF(AND(INDEX('計算A'!$D$106:$II$106,C22)=1,INDEX($MD22:$VI22,C22)=1),C22+1,0),0)</f>
        <v/>
      </c>
      <c r="I22">
        <f>MAX(I21,IF($B21=1,1,0))</f>
        <v/>
      </c>
      <c r="J22">
        <f>MAX(J21,IF($B21=2,1,0))</f>
        <v/>
      </c>
      <c r="K22">
        <f>MAX(K21,IF($B21=3,1,0))</f>
        <v/>
      </c>
      <c r="L22">
        <f>MAX(L21,IF($B21=4,1,0))</f>
        <v/>
      </c>
      <c r="M22">
        <f>MAX(M21,IF($B21=5,1,0))</f>
        <v/>
      </c>
      <c r="N22">
        <f>MAX(N21,IF($B21=6,1,0))</f>
        <v/>
      </c>
      <c r="O22">
        <f>MAX(O21,IF($B21=7,1,0))</f>
        <v/>
      </c>
      <c r="P22">
        <f>MAX(P21,IF($B21=8,1,0))</f>
        <v/>
      </c>
      <c r="Q22">
        <f>MAX(Q21,IF($B21=9,1,0))</f>
        <v/>
      </c>
      <c r="R22">
        <f>MAX(R21,IF($B21=10,1,0))</f>
        <v/>
      </c>
      <c r="S22">
        <f>MAX(S21,IF($B21=11,1,0))</f>
        <v/>
      </c>
      <c r="T22">
        <f>MAX(T21,IF($B21=12,1,0))</f>
        <v/>
      </c>
      <c r="U22">
        <f>MAX(U21,IF($B21=13,1,0))</f>
        <v/>
      </c>
      <c r="V22">
        <f>MAX(V21,IF($B21=14,1,0))</f>
        <v/>
      </c>
      <c r="W22">
        <f>MAX(W21,IF($B21=15,1,0))</f>
        <v/>
      </c>
      <c r="X22">
        <f>MAX(X21,IF($B21=16,1,0))</f>
        <v/>
      </c>
      <c r="Y22">
        <f>MAX(Y21,IF($B21=17,1,0))</f>
        <v/>
      </c>
      <c r="Z22">
        <f>MAX(Z21,IF($B21=18,1,0))</f>
        <v/>
      </c>
      <c r="AA22">
        <f>MAX(AA21,IF($B21=19,1,0))</f>
        <v/>
      </c>
      <c r="AB22">
        <f>MAX(AB21,IF($B21=20,1,0))</f>
        <v/>
      </c>
      <c r="AC22">
        <f>MAX(AC21,IF($B21=21,1,0))</f>
        <v/>
      </c>
      <c r="AD22">
        <f>MAX(AD21,IF($B21=22,1,0))</f>
        <v/>
      </c>
      <c r="AE22">
        <f>MAX(AE21,IF($B21=23,1,0))</f>
        <v/>
      </c>
      <c r="AF22">
        <f>MAX(AF21,IF($B21=24,1,0))</f>
        <v/>
      </c>
      <c r="AG22">
        <f>MAX(AG21,IF($B21=25,1,0))</f>
        <v/>
      </c>
      <c r="AH22">
        <f>MAX(AH21,IF($B21=26,1,0))</f>
        <v/>
      </c>
      <c r="AI22">
        <f>MAX(AI21,IF($B21=27,1,0))</f>
        <v/>
      </c>
      <c r="AJ22">
        <f>MAX(AJ21,IF($B21=28,1,0))</f>
        <v/>
      </c>
      <c r="AK22">
        <f>MAX(AK21,IF($B21=29,1,0))</f>
        <v/>
      </c>
      <c r="AL22">
        <f>MAX(AL21,IF($B21=30,1,0))</f>
        <v/>
      </c>
      <c r="AM22">
        <f>MAX(AM21,IF($B21=31,1,0))</f>
        <v/>
      </c>
      <c r="AN22">
        <f>MAX(AN21,IF($B21=32,1,0))</f>
        <v/>
      </c>
      <c r="AO22">
        <f>MAX(AO21,IF($B21=33,1,0))</f>
        <v/>
      </c>
      <c r="AP22">
        <f>MAX(AP21,IF($B21=34,1,0))</f>
        <v/>
      </c>
      <c r="AQ22">
        <f>MAX(AQ21,IF($B21=35,1,0))</f>
        <v/>
      </c>
      <c r="AR22">
        <f>MAX(AR21,IF($B21=36,1,0))</f>
        <v/>
      </c>
      <c r="AS22">
        <f>MAX(AS21,IF($B21=37,1,0))</f>
        <v/>
      </c>
      <c r="AT22">
        <f>MAX(AT21,IF($B21=38,1,0))</f>
        <v/>
      </c>
      <c r="AU22">
        <f>MAX(AU21,IF($B21=39,1,0))</f>
        <v/>
      </c>
      <c r="AV22">
        <f>MAX(AV21,IF($B21=40,1,0))</f>
        <v/>
      </c>
      <c r="AW22">
        <f>MAX(AW21,IF($B21=41,1,0))</f>
        <v/>
      </c>
      <c r="AX22">
        <f>MAX(AX21,IF($B21=42,1,0))</f>
        <v/>
      </c>
      <c r="AY22">
        <f>MAX(AY21,IF($B21=43,1,0))</f>
        <v/>
      </c>
      <c r="AZ22">
        <f>MAX(AZ21,IF($B21=44,1,0))</f>
        <v/>
      </c>
      <c r="BA22">
        <f>MAX(BA21,IF($B21=45,1,0))</f>
        <v/>
      </c>
      <c r="BC22">
        <f>IF(I22=1,1000000,IF('計算A'!$IQ$10=2,SUMPRODUCT('計算A'!$D$60:$II$60,$CW22:$MB22,$MD22:$VI22),SUMPRODUCT('計算A'!$D$60:$II$60,$CW22:$MB22))*1000+1)</f>
        <v/>
      </c>
      <c r="BD22">
        <f>IF(J22=1,1000000,IF('計算A'!$IQ$11=2,SUMPRODUCT('計算A'!$D$61:$II$61,$CW22:$MB22,$MD22:$VI22),SUMPRODUCT('計算A'!$D$61:$II$61,$CW22:$MB22))*1000+2)</f>
        <v/>
      </c>
      <c r="BE22">
        <f>IF(K22=1,1000000,IF('計算A'!$IQ$12=2,SUMPRODUCT('計算A'!$D$62:$II$62,$CW22:$MB22,$MD22:$VI22),SUMPRODUCT('計算A'!$D$62:$II$62,$CW22:$MB22))*1000+3)</f>
        <v/>
      </c>
      <c r="BF22">
        <f>IF(L22=1,1000000,IF('計算A'!$IQ$13=2,SUMPRODUCT('計算A'!$D$63:$II$63,$CW22:$MB22,$MD22:$VI22),SUMPRODUCT('計算A'!$D$63:$II$63,$CW22:$MB22))*1000+4)</f>
        <v/>
      </c>
      <c r="BG22">
        <f>IF(M22=1,1000000,IF('計算A'!$IQ$14=2,SUMPRODUCT('計算A'!$D$64:$II$64,$CW22:$MB22,$MD22:$VI22),SUMPRODUCT('計算A'!$D$64:$II$64,$CW22:$MB22))*1000+5)</f>
        <v/>
      </c>
      <c r="BH22">
        <f>IF(N22=1,1000000,IF('計算A'!$IQ$15=2,SUMPRODUCT('計算A'!$D$65:$II$65,$CW22:$MB22,$MD22:$VI22),SUMPRODUCT('計算A'!$D$65:$II$65,$CW22:$MB22))*1000+6)</f>
        <v/>
      </c>
      <c r="BI22">
        <f>IF(O22=1,1000000,IF('計算A'!$IQ$16=2,SUMPRODUCT('計算A'!$D$66:$II$66,$CW22:$MB22,$MD22:$VI22),SUMPRODUCT('計算A'!$D$66:$II$66,$CW22:$MB22))*1000+7)</f>
        <v/>
      </c>
      <c r="BJ22">
        <f>IF(P22=1,1000000,IF('計算A'!$IQ$17=2,SUMPRODUCT('計算A'!$D$67:$II$67,$CW22:$MB22,$MD22:$VI22),SUMPRODUCT('計算A'!$D$67:$II$67,$CW22:$MB22))*1000+8)</f>
        <v/>
      </c>
      <c r="BK22">
        <f>IF(Q22=1,1000000,IF('計算A'!$IQ$18=2,SUMPRODUCT('計算A'!$D$68:$II$68,$CW22:$MB22,$MD22:$VI22),SUMPRODUCT('計算A'!$D$68:$II$68,$CW22:$MB22))*1000+9)</f>
        <v/>
      </c>
      <c r="BL22">
        <f>IF(R22=1,1000000,IF('計算A'!$IQ$19=2,SUMPRODUCT('計算A'!$D$69:$II$69,$CW22:$MB22,$MD22:$VI22),SUMPRODUCT('計算A'!$D$69:$II$69,$CW22:$MB22))*1000+10)</f>
        <v/>
      </c>
      <c r="BM22">
        <f>IF(S22=1,1000000,IF('計算A'!$IQ$20=2,SUMPRODUCT('計算A'!$D$70:$II$70,$CW22:$MB22,$MD22:$VI22),SUMPRODUCT('計算A'!$D$70:$II$70,$CW22:$MB22))*1000+11)</f>
        <v/>
      </c>
      <c r="BN22">
        <f>IF(T22=1,1000000,IF('計算A'!$IQ$21=2,SUMPRODUCT('計算A'!$D$71:$II$71,$CW22:$MB22,$MD22:$VI22),SUMPRODUCT('計算A'!$D$71:$II$71,$CW22:$MB22))*1000+12)</f>
        <v/>
      </c>
      <c r="BO22">
        <f>IF(U22=1,1000000,IF('計算A'!$IQ$22=2,SUMPRODUCT('計算A'!$D$72:$II$72,$CW22:$MB22,$MD22:$VI22),SUMPRODUCT('計算A'!$D$72:$II$72,$CW22:$MB22))*1000+13)</f>
        <v/>
      </c>
      <c r="BP22">
        <f>IF(V22=1,1000000,IF('計算A'!$IQ$23=2,SUMPRODUCT('計算A'!$D$73:$II$73,$CW22:$MB22,$MD22:$VI22),SUMPRODUCT('計算A'!$D$73:$II$73,$CW22:$MB22))*1000+14)</f>
        <v/>
      </c>
      <c r="BQ22">
        <f>IF(W22=1,1000000,IF('計算A'!$IQ$24=2,SUMPRODUCT('計算A'!$D$74:$II$74,$CW22:$MB22,$MD22:$VI22),SUMPRODUCT('計算A'!$D$74:$II$74,$CW22:$MB22))*1000+15)</f>
        <v/>
      </c>
      <c r="BR22">
        <f>IF(X22=1,1000000,IF('計算A'!$IQ$25=2,SUMPRODUCT('計算A'!$D$75:$II$75,$CW22:$MB22,$MD22:$VI22),SUMPRODUCT('計算A'!$D$75:$II$75,$CW22:$MB22))*1000+16)</f>
        <v/>
      </c>
      <c r="BS22">
        <f>IF(Y22=1,1000000,IF('計算A'!$IQ$26=2,SUMPRODUCT('計算A'!$D$76:$II$76,$CW22:$MB22,$MD22:$VI22),SUMPRODUCT('計算A'!$D$76:$II$76,$CW22:$MB22))*1000+17)</f>
        <v/>
      </c>
      <c r="BT22">
        <f>IF(Z22=1,1000000,IF('計算A'!$IQ$27=2,SUMPRODUCT('計算A'!$D$77:$II$77,$CW22:$MB22,$MD22:$VI22),SUMPRODUCT('計算A'!$D$77:$II$77,$CW22:$MB22))*1000+18)</f>
        <v/>
      </c>
      <c r="BU22">
        <f>IF(AA22=1,1000000,IF('計算A'!$IQ$28=2,SUMPRODUCT('計算A'!$D$78:$II$78,$CW22:$MB22,$MD22:$VI22),SUMPRODUCT('計算A'!$D$78:$II$78,$CW22:$MB22))*1000+19)</f>
        <v/>
      </c>
      <c r="BV22">
        <f>IF(AB22=1,1000000,IF('計算A'!$IQ$29=2,SUMPRODUCT('計算A'!$D$79:$II$79,$CW22:$MB22,$MD22:$VI22),SUMPRODUCT('計算A'!$D$79:$II$79,$CW22:$MB22))*1000+20)</f>
        <v/>
      </c>
      <c r="BW22">
        <f>IF(AC22=1,1000000,IF('計算A'!$IQ$30=2,SUMPRODUCT('計算A'!$D$80:$II$80,$CW22:$MB22,$MD22:$VI22),SUMPRODUCT('計算A'!$D$80:$II$80,$CW22:$MB22))*1000+21)</f>
        <v/>
      </c>
      <c r="BX22">
        <f>IF(AD22=1,1000000,IF('計算A'!$IQ$31=2,SUMPRODUCT('計算A'!$D$81:$II$81,$CW22:$MB22,$MD22:$VI22),SUMPRODUCT('計算A'!$D$81:$II$81,$CW22:$MB22))*1000+22)</f>
        <v/>
      </c>
      <c r="BY22">
        <f>IF(AE22=1,1000000,IF('計算A'!$IQ$32=2,SUMPRODUCT('計算A'!$D$82:$II$82,$CW22:$MB22,$MD22:$VI22),SUMPRODUCT('計算A'!$D$82:$II$82,$CW22:$MB22))*1000+23)</f>
        <v/>
      </c>
      <c r="BZ22">
        <f>IF(AF22=1,1000000,IF('計算A'!$IQ$33=2,SUMPRODUCT('計算A'!$D$83:$II$83,$CW22:$MB22,$MD22:$VI22),SUMPRODUCT('計算A'!$D$83:$II$83,$CW22:$MB22))*1000+24)</f>
        <v/>
      </c>
      <c r="CA22">
        <f>IF(AG22=1,1000000,IF('計算A'!$IQ$34=2,SUMPRODUCT('計算A'!$D$84:$II$84,$CW22:$MB22,$MD22:$VI22),SUMPRODUCT('計算A'!$D$84:$II$84,$CW22:$MB22))*1000+25)</f>
        <v/>
      </c>
      <c r="CB22">
        <f>IF(AH22=1,1000000,IF('計算A'!$IQ$35=2,SUMPRODUCT('計算A'!$D$85:$II$85,$CW22:$MB22,$MD22:$VI22),SUMPRODUCT('計算A'!$D$85:$II$85,$CW22:$MB22))*1000+26)</f>
        <v/>
      </c>
      <c r="CC22">
        <f>IF(AI22=1,1000000,IF('計算A'!$IQ$36=2,SUMPRODUCT('計算A'!$D$86:$II$86,$CW22:$MB22,$MD22:$VI22),SUMPRODUCT('計算A'!$D$86:$II$86,$CW22:$MB22))*1000+27)</f>
        <v/>
      </c>
      <c r="CD22">
        <f>IF(AJ22=1,1000000,IF('計算A'!$IQ$37=2,SUMPRODUCT('計算A'!$D$87:$II$87,$CW22:$MB22,$MD22:$VI22),SUMPRODUCT('計算A'!$D$87:$II$87,$CW22:$MB22))*1000+28)</f>
        <v/>
      </c>
      <c r="CE22">
        <f>IF(AK22=1,1000000,IF('計算A'!$IQ$38=2,SUMPRODUCT('計算A'!$D$88:$II$88,$CW22:$MB22,$MD22:$VI22),SUMPRODUCT('計算A'!$D$88:$II$88,$CW22:$MB22))*1000+29)</f>
        <v/>
      </c>
      <c r="CF22">
        <f>IF(AL22=1,1000000,IF('計算A'!$IQ$39=2,SUMPRODUCT('計算A'!$D$89:$II$89,$CW22:$MB22,$MD22:$VI22),SUMPRODUCT('計算A'!$D$89:$II$89,$CW22:$MB22))*1000+30)</f>
        <v/>
      </c>
      <c r="CG22">
        <f>IF(AM22=1,1000000,IF('計算A'!$IQ$40=2,SUMPRODUCT('計算A'!$D$90:$II$90,$CW22:$MB22,$MD22:$VI22),SUMPRODUCT('計算A'!$D$90:$II$90,$CW22:$MB22))*1000+31)</f>
        <v/>
      </c>
      <c r="CH22">
        <f>IF(AN22=1,1000000,IF('計算A'!$IQ$41=2,SUMPRODUCT('計算A'!$D$91:$II$91,$CW22:$MB22,$MD22:$VI22),SUMPRODUCT('計算A'!$D$91:$II$91,$CW22:$MB22))*1000+32)</f>
        <v/>
      </c>
      <c r="CI22">
        <f>IF(AO22=1,1000000,IF('計算A'!$IQ$42=2,SUMPRODUCT('計算A'!$D$92:$II$92,$CW22:$MB22,$MD22:$VI22),SUMPRODUCT('計算A'!$D$92:$II$92,$CW22:$MB22))*1000+33)</f>
        <v/>
      </c>
      <c r="CJ22">
        <f>IF(AP22=1,1000000,IF('計算A'!$IQ$43=2,SUMPRODUCT('計算A'!$D$93:$II$93,$CW22:$MB22,$MD22:$VI22),SUMPRODUCT('計算A'!$D$93:$II$93,$CW22:$MB22))*1000+34)</f>
        <v/>
      </c>
      <c r="CK22">
        <f>IF(AQ22=1,1000000,IF('計算A'!$IQ$44=2,SUMPRODUCT('計算A'!$D$94:$II$94,$CW22:$MB22,$MD22:$VI22),SUMPRODUCT('計算A'!$D$94:$II$94,$CW22:$MB22))*1000+35)</f>
        <v/>
      </c>
      <c r="CL22">
        <f>IF(AR22=1,1000000,IF('計算A'!$IQ$45=2,SUMPRODUCT('計算A'!$D$95:$II$95,$CW22:$MB22,$MD22:$VI22),SUMPRODUCT('計算A'!$D$95:$II$95,$CW22:$MB22))*1000+36)</f>
        <v/>
      </c>
      <c r="CM22">
        <f>IF(AS22=1,1000000,IF('計算A'!$IQ$46=2,SUMPRODUCT('計算A'!$D$96:$II$96,$CW22:$MB22,$MD22:$VI22),SUMPRODUCT('計算A'!$D$96:$II$96,$CW22:$MB22))*1000+37)</f>
        <v/>
      </c>
      <c r="CN22">
        <f>IF(AT22=1,1000000,IF('計算A'!$IQ$47=2,SUMPRODUCT('計算A'!$D$97:$II$97,$CW22:$MB22,$MD22:$VI22),SUMPRODUCT('計算A'!$D$97:$II$97,$CW22:$MB22))*1000+38)</f>
        <v/>
      </c>
      <c r="CO22">
        <f>IF(AU22=1,1000000,IF('計算A'!$IQ$48=2,SUMPRODUCT('計算A'!$D$98:$II$98,$CW22:$MB22,$MD22:$VI22),SUMPRODUCT('計算A'!$D$98:$II$98,$CW22:$MB22))*1000+39)</f>
        <v/>
      </c>
      <c r="CP22">
        <f>IF(AV22=1,1000000,IF('計算A'!$IQ$49=2,SUMPRODUCT('計算A'!$D$99:$II$99,$CW22:$MB22,$MD22:$VI22),SUMPRODUCT('計算A'!$D$99:$II$99,$CW22:$MB22))*1000+40)</f>
        <v/>
      </c>
      <c r="CQ22">
        <f>IF(AW22=1,1000000,IF('計算A'!$IQ$50=2,SUMPRODUCT('計算A'!$D$100:$II$100,$CW22:$MB22,$MD22:$VI22),SUMPRODUCT('計算A'!$D$100:$II$100,$CW22:$MB22))*1000+41)</f>
        <v/>
      </c>
      <c r="CR22">
        <f>IF(AX22=1,1000000,IF('計算A'!$IQ$51=2,SUMPRODUCT('計算A'!$D$101:$II$101,$CW22:$MB22,$MD22:$VI22),SUMPRODUCT('計算A'!$D$101:$II$101,$CW22:$MB22))*1000+42)</f>
        <v/>
      </c>
      <c r="CS22">
        <f>IF(AY22=1,1000000,IF('計算A'!$IQ$52=2,SUMPRODUCT('計算A'!$D$102:$II$102,$CW22:$MB22,$MD22:$VI22),SUMPRODUCT('計算A'!$D$102:$II$102,$CW22:$MB22))*1000+43)</f>
        <v/>
      </c>
      <c r="CT22">
        <f>IF(AZ22=1,1000000,IF('計算A'!$IQ$53=2,SUMPRODUCT('計算A'!$D$103:$II$103,$CW22:$MB22,$MD22:$VI22),SUMPRODUCT('計算A'!$D$103:$II$103,$CW22:$MB22))*1000+44)</f>
        <v/>
      </c>
      <c r="CU22">
        <f>IF(BA22=1,1000000,IF('計算A'!$IQ$54=2,SUMPRODUCT('計算A'!$D$104:$II$104,$CW22:$MB22,$MD22:$VI22),SUMPRODUCT('計算A'!$D$104:$II$104,$CW22:$MB22))*1000+45)</f>
        <v/>
      </c>
      <c r="CW22">
        <f>CW21*IF(OR($C21=1,$G21=1),0,1)</f>
        <v/>
      </c>
      <c r="CX22">
        <f>CX21*IF(OR($C21=2,$G21=2),0,1)</f>
        <v/>
      </c>
      <c r="CY22">
        <f>CY21*IF(OR($C21=3,$G21=3),0,1)</f>
        <v/>
      </c>
      <c r="CZ22">
        <f>CZ21*IF(OR($C21=4,$G21=4),0,1)</f>
        <v/>
      </c>
      <c r="DA22">
        <f>DA21*IF(OR($C21=5,$G21=5),0,1)</f>
        <v/>
      </c>
      <c r="DB22">
        <f>DB21*IF(OR($C21=6,$G21=6),0,1)</f>
        <v/>
      </c>
      <c r="DC22">
        <f>DC21*IF(OR($C21=7,$G21=7),0,1)</f>
        <v/>
      </c>
      <c r="DD22">
        <f>DD21*IF(OR($C21=8,$G21=8),0,1)</f>
        <v/>
      </c>
      <c r="DE22">
        <f>DE21*IF(OR($C21=9,$G21=9),0,1)</f>
        <v/>
      </c>
      <c r="DF22">
        <f>DF21*IF(OR($C21=10,$G21=10),0,1)</f>
        <v/>
      </c>
      <c r="DG22">
        <f>DG21*IF(OR($C21=11,$G21=11),0,1)</f>
        <v/>
      </c>
      <c r="DH22">
        <f>DH21*IF(OR($C21=12,$G21=12),0,1)</f>
        <v/>
      </c>
      <c r="DI22">
        <f>DI21*IF(OR($C21=13,$G21=13),0,1)</f>
        <v/>
      </c>
      <c r="DJ22">
        <f>DJ21*IF(OR($C21=14,$G21=14),0,1)</f>
        <v/>
      </c>
      <c r="DK22">
        <f>DK21*IF(OR($C21=15,$G21=15),0,1)</f>
        <v/>
      </c>
      <c r="DL22">
        <f>DL21*IF(OR($C21=16,$G21=16),0,1)</f>
        <v/>
      </c>
      <c r="DM22">
        <f>DM21*IF(OR($C21=17,$G21=17),0,1)</f>
        <v/>
      </c>
      <c r="DN22">
        <f>DN21*IF(OR($C21=18,$G21=18),0,1)</f>
        <v/>
      </c>
      <c r="DO22">
        <f>DO21*IF(OR($C21=19,$G21=19),0,1)</f>
        <v/>
      </c>
      <c r="DP22">
        <f>DP21*IF(OR($C21=20,$G21=20),0,1)</f>
        <v/>
      </c>
      <c r="DQ22">
        <f>DQ21*IF(OR($C21=21,$G21=21),0,1)</f>
        <v/>
      </c>
      <c r="DR22">
        <f>DR21*IF(OR($C21=22,$G21=22),0,1)</f>
        <v/>
      </c>
      <c r="DS22">
        <f>DS21*IF(OR($C21=23,$G21=23),0,1)</f>
        <v/>
      </c>
      <c r="DT22">
        <f>DT21*IF(OR($C21=24,$G21=24),0,1)</f>
        <v/>
      </c>
      <c r="DU22">
        <f>DU21*IF(OR($C21=25,$G21=25),0,1)</f>
        <v/>
      </c>
      <c r="DV22">
        <f>DV21*IF(OR($C21=26,$G21=26),0,1)</f>
        <v/>
      </c>
      <c r="DW22">
        <f>DW21*IF(OR($C21=27,$G21=27),0,1)</f>
        <v/>
      </c>
      <c r="DX22">
        <f>DX21*IF(OR($C21=28,$G21=28),0,1)</f>
        <v/>
      </c>
      <c r="DY22">
        <f>DY21*IF(OR($C21=29,$G21=29),0,1)</f>
        <v/>
      </c>
      <c r="DZ22">
        <f>DZ21*IF(OR($C21=30,$G21=30),0,1)</f>
        <v/>
      </c>
      <c r="EA22">
        <f>EA21*IF(OR($C21=31,$G21=31),0,1)</f>
        <v/>
      </c>
      <c r="EB22">
        <f>EB21*IF(OR($C21=32,$G21=32),0,1)</f>
        <v/>
      </c>
      <c r="EC22">
        <f>EC21*IF(OR($C21=33,$G21=33),0,1)</f>
        <v/>
      </c>
      <c r="ED22">
        <f>ED21*IF(OR($C21=34,$G21=34),0,1)</f>
        <v/>
      </c>
      <c r="EE22">
        <f>EE21*IF(OR($C21=35,$G21=35),0,1)</f>
        <v/>
      </c>
      <c r="EF22">
        <f>EF21*IF(OR($C21=36,$G21=36),0,1)</f>
        <v/>
      </c>
      <c r="EG22">
        <f>EG21*IF(OR($C21=37,$G21=37),0,1)</f>
        <v/>
      </c>
      <c r="EH22">
        <f>EH21*IF(OR($C21=38,$G21=38),0,1)</f>
        <v/>
      </c>
      <c r="EI22">
        <f>EI21*IF(OR($C21=39,$G21=39),0,1)</f>
        <v/>
      </c>
      <c r="EJ22">
        <f>EJ21*IF(OR($C21=40,$G21=40),0,1)</f>
        <v/>
      </c>
      <c r="EK22">
        <f>EK21*IF(OR($C21=41,$G21=41),0,1)</f>
        <v/>
      </c>
      <c r="EL22">
        <f>EL21*IF(OR($C21=42,$G21=42),0,1)</f>
        <v/>
      </c>
      <c r="EM22">
        <f>EM21*IF(OR($C21=43,$G21=43),0,1)</f>
        <v/>
      </c>
      <c r="EN22">
        <f>EN21*IF(OR($C21=44,$G21=44),0,1)</f>
        <v/>
      </c>
      <c r="EO22">
        <f>EO21*IF(OR($C21=45,$G21=45),0,1)</f>
        <v/>
      </c>
      <c r="EP22">
        <f>EP21*IF(OR($C21=46,$G21=46),0,1)</f>
        <v/>
      </c>
      <c r="EQ22">
        <f>EQ21*IF(OR($C21=47,$G21=47),0,1)</f>
        <v/>
      </c>
      <c r="ER22">
        <f>ER21*IF(OR($C21=48,$G21=48),0,1)</f>
        <v/>
      </c>
      <c r="ES22">
        <f>ES21*IF(OR($C21=49,$G21=49),0,1)</f>
        <v/>
      </c>
      <c r="ET22">
        <f>ET21*IF(OR($C21=50,$G21=50),0,1)</f>
        <v/>
      </c>
      <c r="EU22">
        <f>EU21*IF(OR($C21=51,$G21=51),0,1)</f>
        <v/>
      </c>
      <c r="EV22">
        <f>EV21*IF(OR($C21=52,$G21=52),0,1)</f>
        <v/>
      </c>
      <c r="EW22">
        <f>EW21*IF(OR($C21=53,$G21=53),0,1)</f>
        <v/>
      </c>
      <c r="EX22">
        <f>EX21*IF(OR($C21=54,$G21=54),0,1)</f>
        <v/>
      </c>
      <c r="EY22">
        <f>EY21*IF(OR($C21=55,$G21=55),0,1)</f>
        <v/>
      </c>
      <c r="EZ22">
        <f>EZ21*IF(OR($C21=56,$G21=56),0,1)</f>
        <v/>
      </c>
      <c r="FA22">
        <f>FA21*IF(OR($C21=57,$G21=57),0,1)</f>
        <v/>
      </c>
      <c r="FB22">
        <f>FB21*IF(OR($C21=58,$G21=58),0,1)</f>
        <v/>
      </c>
      <c r="FC22">
        <f>FC21*IF(OR($C21=59,$G21=59),0,1)</f>
        <v/>
      </c>
      <c r="FD22">
        <f>FD21*IF(OR($C21=60,$G21=60),0,1)</f>
        <v/>
      </c>
      <c r="FE22">
        <f>FE21*IF(OR($C21=61,$G21=61),0,1)</f>
        <v/>
      </c>
      <c r="FF22">
        <f>FF21*IF(OR($C21=62,$G21=62),0,1)</f>
        <v/>
      </c>
      <c r="FG22">
        <f>FG21*IF(OR($C21=63,$G21=63),0,1)</f>
        <v/>
      </c>
      <c r="FH22">
        <f>FH21*IF(OR($C21=64,$G21=64),0,1)</f>
        <v/>
      </c>
      <c r="FI22">
        <f>FI21*IF(OR($C21=65,$G21=65),0,1)</f>
        <v/>
      </c>
      <c r="FJ22">
        <f>FJ21*IF(OR($C21=66,$G21=66),0,1)</f>
        <v/>
      </c>
      <c r="FK22">
        <f>FK21*IF(OR($C21=67,$G21=67),0,1)</f>
        <v/>
      </c>
      <c r="FL22">
        <f>FL21*IF(OR($C21=68,$G21=68),0,1)</f>
        <v/>
      </c>
      <c r="FM22">
        <f>FM21*IF(OR($C21=69,$G21=69),0,1)</f>
        <v/>
      </c>
      <c r="FN22">
        <f>FN21*IF(OR($C21=70,$G21=70),0,1)</f>
        <v/>
      </c>
      <c r="FO22">
        <f>FO21*IF(OR($C21=71,$G21=71),0,1)</f>
        <v/>
      </c>
      <c r="FP22">
        <f>FP21*IF(OR($C21=72,$G21=72),0,1)</f>
        <v/>
      </c>
      <c r="FQ22">
        <f>FQ21*IF(OR($C21=73,$G21=73),0,1)</f>
        <v/>
      </c>
      <c r="FR22">
        <f>FR21*IF(OR($C21=74,$G21=74),0,1)</f>
        <v/>
      </c>
      <c r="FS22">
        <f>FS21*IF(OR($C21=75,$G21=75),0,1)</f>
        <v/>
      </c>
      <c r="FT22">
        <f>FT21*IF(OR($C21=76,$G21=76),0,1)</f>
        <v/>
      </c>
      <c r="FU22">
        <f>FU21*IF(OR($C21=77,$G21=77),0,1)</f>
        <v/>
      </c>
      <c r="FV22">
        <f>FV21*IF(OR($C21=78,$G21=78),0,1)</f>
        <v/>
      </c>
      <c r="FW22">
        <f>FW21*IF(OR($C21=79,$G21=79),0,1)</f>
        <v/>
      </c>
      <c r="FX22">
        <f>FX21*IF(OR($C21=80,$G21=80),0,1)</f>
        <v/>
      </c>
      <c r="FY22">
        <f>FY21*IF(OR($C21=81,$G21=81),0,1)</f>
        <v/>
      </c>
      <c r="FZ22">
        <f>FZ21*IF(OR($C21=82,$G21=82),0,1)</f>
        <v/>
      </c>
      <c r="GA22">
        <f>GA21*IF(OR($C21=83,$G21=83),0,1)</f>
        <v/>
      </c>
      <c r="GB22">
        <f>GB21*IF(OR($C21=84,$G21=84),0,1)</f>
        <v/>
      </c>
      <c r="GC22">
        <f>GC21*IF(OR($C21=85,$G21=85),0,1)</f>
        <v/>
      </c>
      <c r="GD22">
        <f>GD21*IF(OR($C21=86,$G21=86),0,1)</f>
        <v/>
      </c>
      <c r="GE22">
        <f>GE21*IF(OR($C21=87,$G21=87),0,1)</f>
        <v/>
      </c>
      <c r="GF22">
        <f>GF21*IF(OR($C21=88,$G21=88),0,1)</f>
        <v/>
      </c>
      <c r="GG22">
        <f>GG21*IF(OR($C21=89,$G21=89),0,1)</f>
        <v/>
      </c>
      <c r="GH22">
        <f>GH21*IF(OR($C21=90,$G21=90),0,1)</f>
        <v/>
      </c>
      <c r="GI22">
        <f>GI21*IF(OR($C21=91,$G21=91),0,1)</f>
        <v/>
      </c>
      <c r="GJ22">
        <f>GJ21*IF(OR($C21=92,$G21=92),0,1)</f>
        <v/>
      </c>
      <c r="GK22">
        <f>GK21*IF(OR($C21=93,$G21=93),0,1)</f>
        <v/>
      </c>
      <c r="GL22">
        <f>GL21*IF(OR($C21=94,$G21=94),0,1)</f>
        <v/>
      </c>
      <c r="GM22">
        <f>GM21*IF(OR($C21=95,$G21=95),0,1)</f>
        <v/>
      </c>
      <c r="GN22">
        <f>GN21*IF(OR($C21=96,$G21=96),0,1)</f>
        <v/>
      </c>
      <c r="GO22">
        <f>GO21*IF(OR($C21=97,$G21=97),0,1)</f>
        <v/>
      </c>
      <c r="GP22">
        <f>GP21*IF(OR($C21=98,$G21=98),0,1)</f>
        <v/>
      </c>
      <c r="GQ22">
        <f>GQ21*IF(OR($C21=99,$G21=99),0,1)</f>
        <v/>
      </c>
      <c r="GR22">
        <f>GR21*IF(OR($C21=100,$G21=100),0,1)</f>
        <v/>
      </c>
      <c r="GS22">
        <f>GS21*IF(OR($C21=101,$G21=101),0,1)</f>
        <v/>
      </c>
      <c r="GT22">
        <f>GT21*IF(OR($C21=102,$G21=102),0,1)</f>
        <v/>
      </c>
      <c r="GU22">
        <f>GU21*IF(OR($C21=103,$G21=103),0,1)</f>
        <v/>
      </c>
      <c r="GV22">
        <f>GV21*IF(OR($C21=104,$G21=104),0,1)</f>
        <v/>
      </c>
      <c r="GW22">
        <f>GW21*IF(OR($C21=105,$G21=105),0,1)</f>
        <v/>
      </c>
      <c r="GX22">
        <f>GX21*IF(OR($C21=106,$G21=106),0,1)</f>
        <v/>
      </c>
      <c r="GY22">
        <f>GY21*IF(OR($C21=107,$G21=107),0,1)</f>
        <v/>
      </c>
      <c r="GZ22">
        <f>GZ21*IF(OR($C21=108,$G21=108),0,1)</f>
        <v/>
      </c>
      <c r="HA22">
        <f>HA21*IF(OR($C21=109,$G21=109),0,1)</f>
        <v/>
      </c>
      <c r="HB22">
        <f>HB21*IF(OR($C21=110,$G21=110),0,1)</f>
        <v/>
      </c>
      <c r="HC22">
        <f>HC21*IF(OR($C21=111,$G21=111),0,1)</f>
        <v/>
      </c>
      <c r="HD22">
        <f>HD21*IF(OR($C21=112,$G21=112),0,1)</f>
        <v/>
      </c>
      <c r="HE22">
        <f>HE21*IF(OR($C21=113,$G21=113),0,1)</f>
        <v/>
      </c>
      <c r="HF22">
        <f>HF21*IF(OR($C21=114,$G21=114),0,1)</f>
        <v/>
      </c>
      <c r="HG22">
        <f>HG21*IF(OR($C21=115,$G21=115),0,1)</f>
        <v/>
      </c>
      <c r="HH22">
        <f>HH21*IF(OR($C21=116,$G21=116),0,1)</f>
        <v/>
      </c>
      <c r="HI22">
        <f>HI21*IF(OR($C21=117,$G21=117),0,1)</f>
        <v/>
      </c>
      <c r="HJ22">
        <f>HJ21*IF(OR($C21=118,$G21=118),0,1)</f>
        <v/>
      </c>
      <c r="HK22">
        <f>HK21*IF(OR($C21=119,$G21=119),0,1)</f>
        <v/>
      </c>
      <c r="HL22">
        <f>HL21*IF(OR($C21=120,$G21=120),0,1)</f>
        <v/>
      </c>
      <c r="HM22">
        <f>HM21*IF(OR($C21=121,$G21=121),0,1)</f>
        <v/>
      </c>
      <c r="HN22">
        <f>HN21*IF(OR($C21=122,$G21=122),0,1)</f>
        <v/>
      </c>
      <c r="HO22">
        <f>HO21*IF(OR($C21=123,$G21=123),0,1)</f>
        <v/>
      </c>
      <c r="HP22">
        <f>HP21*IF(OR($C21=124,$G21=124),0,1)</f>
        <v/>
      </c>
      <c r="HQ22">
        <f>HQ21*IF(OR($C21=125,$G21=125),0,1)</f>
        <v/>
      </c>
      <c r="HR22">
        <f>HR21*IF(OR($C21=126,$G21=126),0,1)</f>
        <v/>
      </c>
      <c r="HS22">
        <f>HS21*IF(OR($C21=127,$G21=127),0,1)</f>
        <v/>
      </c>
      <c r="HT22">
        <f>HT21*IF(OR($C21=128,$G21=128),0,1)</f>
        <v/>
      </c>
      <c r="HU22">
        <f>HU21*IF(OR($C21=129,$G21=129),0,1)</f>
        <v/>
      </c>
      <c r="HV22">
        <f>HV21*IF(OR($C21=130,$G21=130),0,1)</f>
        <v/>
      </c>
      <c r="HW22">
        <f>HW21*IF(OR($C21=131,$G21=131),0,1)</f>
        <v/>
      </c>
      <c r="HX22">
        <f>HX21*IF(OR($C21=132,$G21=132),0,1)</f>
        <v/>
      </c>
      <c r="HY22">
        <f>HY21*IF(OR($C21=133,$G21=133),0,1)</f>
        <v/>
      </c>
      <c r="HZ22">
        <f>HZ21*IF(OR($C21=134,$G21=134),0,1)</f>
        <v/>
      </c>
      <c r="IA22">
        <f>IA21*IF(OR($C21=135,$G21=135),0,1)</f>
        <v/>
      </c>
      <c r="IB22">
        <f>IB21*IF(OR($C21=136,$G21=136),0,1)</f>
        <v/>
      </c>
      <c r="IC22">
        <f>IC21*IF(OR($C21=137,$G21=137),0,1)</f>
        <v/>
      </c>
      <c r="ID22">
        <f>ID21*IF(OR($C21=138,$G21=138),0,1)</f>
        <v/>
      </c>
      <c r="IE22">
        <f>IE21*IF(OR($C21=139,$G21=139),0,1)</f>
        <v/>
      </c>
      <c r="IF22">
        <f>IF21*IF(OR($C21=140,$G21=140),0,1)</f>
        <v/>
      </c>
      <c r="IG22">
        <f>IG21*IF(OR($C21=141,$G21=141),0,1)</f>
        <v/>
      </c>
      <c r="IH22">
        <f>IH21*IF(OR($C21=142,$G21=142),0,1)</f>
        <v/>
      </c>
      <c r="II22">
        <f>II21*IF(OR($C21=143,$G21=143),0,1)</f>
        <v/>
      </c>
      <c r="IJ22">
        <f>IJ21*IF(OR($C21=144,$G21=144),0,1)</f>
        <v/>
      </c>
      <c r="IK22">
        <f>IK21*IF(OR($C21=145,$G21=145),0,1)</f>
        <v/>
      </c>
      <c r="IL22">
        <f>IL21*IF(OR($C21=146,$G21=146),0,1)</f>
        <v/>
      </c>
      <c r="IM22">
        <f>IM21*IF(OR($C21=147,$G21=147),0,1)</f>
        <v/>
      </c>
      <c r="IN22">
        <f>IN21*IF(OR($C21=148,$G21=148),0,1)</f>
        <v/>
      </c>
      <c r="IO22">
        <f>IO21*IF(OR($C21=149,$G21=149),0,1)</f>
        <v/>
      </c>
      <c r="IP22">
        <f>IP21*IF(OR($C21=150,$G21=150),0,1)</f>
        <v/>
      </c>
      <c r="IQ22">
        <f>IQ21*IF(OR($C21=151,$G21=151),0,1)</f>
        <v/>
      </c>
      <c r="IR22">
        <f>IR21*IF(OR($C21=152,$G21=152),0,1)</f>
        <v/>
      </c>
      <c r="IS22">
        <f>IS21*IF(OR($C21=153,$G21=153),0,1)</f>
        <v/>
      </c>
      <c r="IT22">
        <f>IT21*IF(OR($C21=154,$G21=154),0,1)</f>
        <v/>
      </c>
      <c r="IU22">
        <f>IU21*IF(OR($C21=155,$G21=155),0,1)</f>
        <v/>
      </c>
      <c r="IV22">
        <f>IV21*IF(OR($C21=156,$G21=156),0,1)</f>
        <v/>
      </c>
      <c r="IW22">
        <f>IW21*IF(OR($C21=157,$G21=157),0,1)</f>
        <v/>
      </c>
      <c r="IX22">
        <f>IX21*IF(OR($C21=158,$G21=158),0,1)</f>
        <v/>
      </c>
      <c r="IY22">
        <f>IY21*IF(OR($C21=159,$G21=159),0,1)</f>
        <v/>
      </c>
      <c r="IZ22">
        <f>IZ21*IF(OR($C21=160,$G21=160),0,1)</f>
        <v/>
      </c>
      <c r="JA22">
        <f>JA21*IF(OR($C21=161,$G21=161),0,1)</f>
        <v/>
      </c>
      <c r="JB22">
        <f>JB21*IF(OR($C21=162,$G21=162),0,1)</f>
        <v/>
      </c>
      <c r="JC22">
        <f>JC21*IF(OR($C21=163,$G21=163),0,1)</f>
        <v/>
      </c>
      <c r="JD22">
        <f>JD21*IF(OR($C21=164,$G21=164),0,1)</f>
        <v/>
      </c>
      <c r="JE22">
        <f>JE21*IF(OR($C21=165,$G21=165),0,1)</f>
        <v/>
      </c>
      <c r="JF22">
        <f>JF21*IF(OR($C21=166,$G21=166),0,1)</f>
        <v/>
      </c>
      <c r="JG22">
        <f>JG21*IF(OR($C21=167,$G21=167),0,1)</f>
        <v/>
      </c>
      <c r="JH22">
        <f>JH21*IF(OR($C21=168,$G21=168),0,1)</f>
        <v/>
      </c>
      <c r="JI22">
        <f>JI21*IF(OR($C21=169,$G21=169),0,1)</f>
        <v/>
      </c>
      <c r="JJ22">
        <f>JJ21*IF(OR($C21=170,$G21=170),0,1)</f>
        <v/>
      </c>
      <c r="JK22">
        <f>JK21*IF(OR($C21=171,$G21=171),0,1)</f>
        <v/>
      </c>
      <c r="JL22">
        <f>JL21*IF(OR($C21=172,$G21=172),0,1)</f>
        <v/>
      </c>
      <c r="JM22">
        <f>JM21*IF(OR($C21=173,$G21=173),0,1)</f>
        <v/>
      </c>
      <c r="JN22">
        <f>JN21*IF(OR($C21=174,$G21=174),0,1)</f>
        <v/>
      </c>
      <c r="JO22">
        <f>JO21*IF(OR($C21=175,$G21=175),0,1)</f>
        <v/>
      </c>
      <c r="JP22">
        <f>JP21*IF(OR($C21=176,$G21=176),0,1)</f>
        <v/>
      </c>
      <c r="JQ22">
        <f>JQ21*IF(OR($C21=177,$G21=177),0,1)</f>
        <v/>
      </c>
      <c r="JR22">
        <f>JR21*IF(OR($C21=178,$G21=178),0,1)</f>
        <v/>
      </c>
      <c r="JS22">
        <f>JS21*IF(OR($C21=179,$G21=179),0,1)</f>
        <v/>
      </c>
      <c r="JT22">
        <f>JT21*IF(OR($C21=180,$G21=180),0,1)</f>
        <v/>
      </c>
      <c r="JU22">
        <f>JU21*IF(OR($C21=181,$G21=181),0,1)</f>
        <v/>
      </c>
      <c r="JV22">
        <f>JV21*IF(OR($C21=182,$G21=182),0,1)</f>
        <v/>
      </c>
      <c r="JW22">
        <f>JW21*IF(OR($C21=183,$G21=183),0,1)</f>
        <v/>
      </c>
      <c r="JX22">
        <f>JX21*IF(OR($C21=184,$G21=184),0,1)</f>
        <v/>
      </c>
      <c r="JY22">
        <f>JY21*IF(OR($C21=185,$G21=185),0,1)</f>
        <v/>
      </c>
      <c r="JZ22">
        <f>JZ21*IF(OR($C21=186,$G21=186),0,1)</f>
        <v/>
      </c>
      <c r="KA22">
        <f>KA21*IF(OR($C21=187,$G21=187),0,1)</f>
        <v/>
      </c>
      <c r="KB22">
        <f>KB21*IF(OR($C21=188,$G21=188),0,1)</f>
        <v/>
      </c>
      <c r="KC22">
        <f>KC21*IF(OR($C21=189,$G21=189),0,1)</f>
        <v/>
      </c>
      <c r="KD22">
        <f>KD21*IF(OR($C21=190,$G21=190),0,1)</f>
        <v/>
      </c>
      <c r="KE22">
        <f>KE21*IF(OR($C21=191,$G21=191),0,1)</f>
        <v/>
      </c>
      <c r="KF22">
        <f>KF21*IF(OR($C21=192,$G21=192),0,1)</f>
        <v/>
      </c>
      <c r="KG22">
        <f>KG21*IF(OR($C21=193,$G21=193),0,1)</f>
        <v/>
      </c>
      <c r="KH22">
        <f>KH21*IF(OR($C21=194,$G21=194),0,1)</f>
        <v/>
      </c>
      <c r="KI22">
        <f>KI21*IF(OR($C21=195,$G21=195),0,1)</f>
        <v/>
      </c>
      <c r="KJ22">
        <f>KJ21*IF(OR($C21=196,$G21=196),0,1)</f>
        <v/>
      </c>
      <c r="KK22">
        <f>KK21*IF(OR($C21=197,$G21=197),0,1)</f>
        <v/>
      </c>
      <c r="KL22">
        <f>KL21*IF(OR($C21=198,$G21=198),0,1)</f>
        <v/>
      </c>
      <c r="KM22">
        <f>KM21*IF(OR($C21=199,$G21=199),0,1)</f>
        <v/>
      </c>
      <c r="KN22">
        <f>KN21*IF(OR($C21=200,$G21=200),0,1)</f>
        <v/>
      </c>
      <c r="KO22">
        <f>KO21*IF(OR($C21=201,$G21=201),0,1)</f>
        <v/>
      </c>
      <c r="KP22">
        <f>KP21*IF(OR($C21=202,$G21=202),0,1)</f>
        <v/>
      </c>
      <c r="KQ22">
        <f>KQ21*IF(OR($C21=203,$G21=203),0,1)</f>
        <v/>
      </c>
      <c r="KR22">
        <f>KR21*IF(OR($C21=204,$G21=204),0,1)</f>
        <v/>
      </c>
      <c r="KS22">
        <f>KS21*IF(OR($C21=205,$G21=205),0,1)</f>
        <v/>
      </c>
      <c r="KT22">
        <f>KT21*IF(OR($C21=206,$G21=206),0,1)</f>
        <v/>
      </c>
      <c r="KU22">
        <f>KU21*IF(OR($C21=207,$G21=207),0,1)</f>
        <v/>
      </c>
      <c r="KV22">
        <f>KV21*IF(OR($C21=208,$G21=208),0,1)</f>
        <v/>
      </c>
      <c r="KW22">
        <f>KW21*IF(OR($C21=209,$G21=209),0,1)</f>
        <v/>
      </c>
      <c r="KX22">
        <f>KX21*IF(OR($C21=210,$G21=210),0,1)</f>
        <v/>
      </c>
      <c r="KY22">
        <f>KY21*IF(OR($C21=211,$G21=211),0,1)</f>
        <v/>
      </c>
      <c r="KZ22">
        <f>KZ21*IF(OR($C21=212,$G21=212),0,1)</f>
        <v/>
      </c>
      <c r="LA22">
        <f>LA21*IF(OR($C21=213,$G21=213),0,1)</f>
        <v/>
      </c>
      <c r="LB22">
        <f>LB21*IF(OR($C21=214,$G21=214),0,1)</f>
        <v/>
      </c>
      <c r="LC22">
        <f>LC21*IF(OR($C21=215,$G21=215),0,1)</f>
        <v/>
      </c>
      <c r="LD22">
        <f>LD21*IF(OR($C21=216,$G21=216),0,1)</f>
        <v/>
      </c>
      <c r="LE22">
        <f>LE21*IF(OR($C21=217,$G21=217),0,1)</f>
        <v/>
      </c>
      <c r="LF22">
        <f>LF21*IF(OR($C21=218,$G21=218),0,1)</f>
        <v/>
      </c>
      <c r="LG22">
        <f>LG21*IF(OR($C21=219,$G21=219),0,1)</f>
        <v/>
      </c>
      <c r="LH22">
        <f>LH21*IF(OR($C21=220,$G21=220),0,1)</f>
        <v/>
      </c>
      <c r="LI22">
        <f>LI21*IF(OR($C21=221,$G21=221),0,1)</f>
        <v/>
      </c>
      <c r="LJ22">
        <f>LJ21*IF(OR($C21=222,$G21=222),0,1)</f>
        <v/>
      </c>
      <c r="LK22">
        <f>LK21*IF(OR($C21=223,$G21=223),0,1)</f>
        <v/>
      </c>
      <c r="LL22">
        <f>LL21*IF(OR($C21=224,$G21=224),0,1)</f>
        <v/>
      </c>
      <c r="LM22">
        <f>LM21*IF(OR($C21=225,$G21=225),0,1)</f>
        <v/>
      </c>
      <c r="LN22">
        <f>LN21*IF(OR($C21=226,$G21=226),0,1)</f>
        <v/>
      </c>
      <c r="LO22">
        <f>LO21*IF(OR($C21=227,$G21=227),0,1)</f>
        <v/>
      </c>
      <c r="LP22">
        <f>LP21*IF(OR($C21=228,$G21=228),0,1)</f>
        <v/>
      </c>
      <c r="LQ22">
        <f>LQ21*IF(OR($C21=229,$G21=229),0,1)</f>
        <v/>
      </c>
      <c r="LR22">
        <f>LR21*IF(OR($C21=230,$G21=230),0,1)</f>
        <v/>
      </c>
      <c r="LS22">
        <f>LS21*IF(OR($C21=231,$G21=231),0,1)</f>
        <v/>
      </c>
      <c r="LT22">
        <f>LT21*IF(OR($C21=232,$G21=232),0,1)</f>
        <v/>
      </c>
      <c r="LU22">
        <f>LU21*IF(OR($C21=233,$G21=233),0,1)</f>
        <v/>
      </c>
      <c r="LV22">
        <f>LV21*IF(OR($C21=234,$G21=234),0,1)</f>
        <v/>
      </c>
      <c r="LW22">
        <f>LW21*IF(OR($C21=235,$G21=235),0,1)</f>
        <v/>
      </c>
      <c r="LX22">
        <f>LX21*IF(OR($C21=236,$G21=236),0,1)</f>
        <v/>
      </c>
      <c r="LY22">
        <f>LY21*IF(OR($C21=237,$G21=237),0,1)</f>
        <v/>
      </c>
      <c r="LZ22">
        <f>LZ21*IF(OR($C21=238,$G21=238),0,1)</f>
        <v/>
      </c>
      <c r="MA22">
        <f>MA21*IF(OR($C21=239,$G21=239),0,1)</f>
        <v/>
      </c>
      <c r="MB22">
        <f>MB21*IF(OR($C21=240,$G21=240),0,1)</f>
        <v/>
      </c>
      <c r="MD22">
        <f>IF('計算A'!D$106=1,CX22,1)</f>
        <v/>
      </c>
      <c r="ME22">
        <f>IF('計算A'!E$106=1,CY22,1)</f>
        <v/>
      </c>
      <c r="MF22">
        <f>IF('計算A'!F$106=1,CZ22,1)</f>
        <v/>
      </c>
      <c r="MG22">
        <f>IF('計算A'!G$106=1,DA22,1)</f>
        <v/>
      </c>
      <c r="MH22">
        <f>IF('計算A'!H$106=1,DB22,1)</f>
        <v/>
      </c>
      <c r="MI22">
        <f>IF('計算A'!I$106=1,DC22,1)</f>
        <v/>
      </c>
      <c r="MJ22">
        <f>IF('計算A'!J$106=1,DD22,1)</f>
        <v/>
      </c>
      <c r="MK22">
        <f>IF('計算A'!K$106=1,DE22,1)</f>
        <v/>
      </c>
      <c r="ML22">
        <f>IF('計算A'!L$106=1,DF22,1)</f>
        <v/>
      </c>
      <c r="MM22">
        <f>IF('計算A'!M$106=1,DG22,1)</f>
        <v/>
      </c>
      <c r="MN22">
        <f>IF('計算A'!N$106=1,DH22,1)</f>
        <v/>
      </c>
      <c r="MO22">
        <f>IF('計算A'!O$106=1,DI22,1)</f>
        <v/>
      </c>
      <c r="MP22">
        <f>IF('計算A'!P$106=1,DJ22,1)</f>
        <v/>
      </c>
      <c r="MQ22">
        <f>IF('計算A'!Q$106=1,DK22,1)</f>
        <v/>
      </c>
      <c r="MR22">
        <f>IF('計算A'!R$106=1,DL22,1)</f>
        <v/>
      </c>
      <c r="MS22">
        <f>IF('計算A'!S$106=1,DM22,1)</f>
        <v/>
      </c>
      <c r="MT22">
        <f>IF('計算A'!T$106=1,DN22,1)</f>
        <v/>
      </c>
      <c r="MU22">
        <f>IF('計算A'!U$106=1,DO22,1)</f>
        <v/>
      </c>
      <c r="MV22">
        <f>IF('計算A'!V$106=1,DP22,1)</f>
        <v/>
      </c>
      <c r="MW22">
        <f>IF('計算A'!W$106=1,DQ22,1)</f>
        <v/>
      </c>
      <c r="MX22">
        <f>IF('計算A'!X$106=1,DR22,1)</f>
        <v/>
      </c>
      <c r="MY22">
        <f>IF('計算A'!Y$106=1,DS22,1)</f>
        <v/>
      </c>
      <c r="MZ22">
        <f>IF('計算A'!Z$106=1,DT22,1)</f>
        <v/>
      </c>
      <c r="NA22">
        <f>IF('計算A'!AA$106=1,DU22,1)</f>
        <v/>
      </c>
      <c r="NB22">
        <f>IF('計算A'!AB$106=1,DV22,1)</f>
        <v/>
      </c>
      <c r="NC22">
        <f>IF('計算A'!AC$106=1,DW22,1)</f>
        <v/>
      </c>
      <c r="ND22">
        <f>IF('計算A'!AD$106=1,DX22,1)</f>
        <v/>
      </c>
      <c r="NE22">
        <f>IF('計算A'!AE$106=1,DY22,1)</f>
        <v/>
      </c>
      <c r="NF22">
        <f>IF('計算A'!AF$106=1,DZ22,1)</f>
        <v/>
      </c>
      <c r="NG22">
        <f>IF('計算A'!AG$106=1,EA22,1)</f>
        <v/>
      </c>
      <c r="NH22">
        <f>IF('計算A'!AH$106=1,EB22,1)</f>
        <v/>
      </c>
      <c r="NI22">
        <f>IF('計算A'!AI$106=1,EC22,1)</f>
        <v/>
      </c>
      <c r="NJ22">
        <f>IF('計算A'!AJ$106=1,ED22,1)</f>
        <v/>
      </c>
      <c r="NK22">
        <f>IF('計算A'!AK$106=1,EE22,1)</f>
        <v/>
      </c>
      <c r="NL22">
        <f>IF('計算A'!AL$106=1,EF22,1)</f>
        <v/>
      </c>
      <c r="NM22">
        <f>IF('計算A'!AM$106=1,EG22,1)</f>
        <v/>
      </c>
      <c r="NN22">
        <f>IF('計算A'!AN$106=1,EH22,1)</f>
        <v/>
      </c>
      <c r="NO22">
        <f>IF('計算A'!AO$106=1,EI22,1)</f>
        <v/>
      </c>
      <c r="NP22">
        <f>IF('計算A'!AP$106=1,EJ22,1)</f>
        <v/>
      </c>
      <c r="NQ22">
        <f>IF('計算A'!AQ$106=1,EK22,1)</f>
        <v/>
      </c>
      <c r="NR22">
        <f>IF('計算A'!AR$106=1,EL22,1)</f>
        <v/>
      </c>
      <c r="NS22">
        <f>IF('計算A'!AS$106=1,EM22,1)</f>
        <v/>
      </c>
      <c r="NT22">
        <f>IF('計算A'!AT$106=1,EN22,1)</f>
        <v/>
      </c>
      <c r="NU22">
        <f>IF('計算A'!AU$106=1,EO22,1)</f>
        <v/>
      </c>
      <c r="NV22">
        <f>IF('計算A'!AV$106=1,EP22,1)</f>
        <v/>
      </c>
      <c r="NW22">
        <f>IF('計算A'!AW$106=1,EQ22,1)</f>
        <v/>
      </c>
      <c r="NX22">
        <f>IF('計算A'!AX$106=1,ER22,1)</f>
        <v/>
      </c>
      <c r="NY22">
        <f>IF('計算A'!AY$106=1,ES22,1)</f>
        <v/>
      </c>
      <c r="NZ22">
        <f>IF('計算A'!AZ$106=1,ET22,1)</f>
        <v/>
      </c>
      <c r="OA22">
        <f>IF('計算A'!BA$106=1,EU22,1)</f>
        <v/>
      </c>
      <c r="OB22">
        <f>IF('計算A'!BB$106=1,EV22,1)</f>
        <v/>
      </c>
      <c r="OC22">
        <f>IF('計算A'!BC$106=1,EW22,1)</f>
        <v/>
      </c>
      <c r="OD22">
        <f>IF('計算A'!BD$106=1,EX22,1)</f>
        <v/>
      </c>
      <c r="OE22">
        <f>IF('計算A'!BE$106=1,EY22,1)</f>
        <v/>
      </c>
      <c r="OF22">
        <f>IF('計算A'!BF$106=1,EZ22,1)</f>
        <v/>
      </c>
      <c r="OG22">
        <f>IF('計算A'!BG$106=1,FA22,1)</f>
        <v/>
      </c>
      <c r="OH22">
        <f>IF('計算A'!BH$106=1,FB22,1)</f>
        <v/>
      </c>
      <c r="OI22">
        <f>IF('計算A'!BI$106=1,FC22,1)</f>
        <v/>
      </c>
      <c r="OJ22">
        <f>IF('計算A'!BJ$106=1,FD22,1)</f>
        <v/>
      </c>
      <c r="OK22">
        <f>IF('計算A'!BK$106=1,FE22,1)</f>
        <v/>
      </c>
      <c r="OL22">
        <f>IF('計算A'!BL$106=1,FF22,1)</f>
        <v/>
      </c>
      <c r="OM22">
        <f>IF('計算A'!BM$106=1,FG22,1)</f>
        <v/>
      </c>
      <c r="ON22">
        <f>IF('計算A'!BN$106=1,FH22,1)</f>
        <v/>
      </c>
      <c r="OO22">
        <f>IF('計算A'!BO$106=1,FI22,1)</f>
        <v/>
      </c>
      <c r="OP22">
        <f>IF('計算A'!BP$106=1,FJ22,1)</f>
        <v/>
      </c>
      <c r="OQ22">
        <f>IF('計算A'!BQ$106=1,FK22,1)</f>
        <v/>
      </c>
      <c r="OR22">
        <f>IF('計算A'!BR$106=1,FL22,1)</f>
        <v/>
      </c>
      <c r="OS22">
        <f>IF('計算A'!BS$106=1,FM22,1)</f>
        <v/>
      </c>
      <c r="OT22">
        <f>IF('計算A'!BT$106=1,FN22,1)</f>
        <v/>
      </c>
      <c r="OU22">
        <f>IF('計算A'!BU$106=1,FO22,1)</f>
        <v/>
      </c>
      <c r="OV22">
        <f>IF('計算A'!BV$106=1,FP22,1)</f>
        <v/>
      </c>
      <c r="OW22">
        <f>IF('計算A'!BW$106=1,FQ22,1)</f>
        <v/>
      </c>
      <c r="OX22">
        <f>IF('計算A'!BX$106=1,FR22,1)</f>
        <v/>
      </c>
      <c r="OY22">
        <f>IF('計算A'!BY$106=1,FS22,1)</f>
        <v/>
      </c>
      <c r="OZ22">
        <f>IF('計算A'!BZ$106=1,FT22,1)</f>
        <v/>
      </c>
      <c r="PA22">
        <f>IF('計算A'!CA$106=1,FU22,1)</f>
        <v/>
      </c>
      <c r="PB22">
        <f>IF('計算A'!CB$106=1,FV22,1)</f>
        <v/>
      </c>
      <c r="PC22">
        <f>IF('計算A'!CC$106=1,FW22,1)</f>
        <v/>
      </c>
      <c r="PD22">
        <f>IF('計算A'!CD$106=1,FX22,1)</f>
        <v/>
      </c>
      <c r="PE22">
        <f>IF('計算A'!CE$106=1,FY22,1)</f>
        <v/>
      </c>
      <c r="PF22">
        <f>IF('計算A'!CF$106=1,FZ22,1)</f>
        <v/>
      </c>
      <c r="PG22">
        <f>IF('計算A'!CG$106=1,GA22,1)</f>
        <v/>
      </c>
      <c r="PH22">
        <f>IF('計算A'!CH$106=1,GB22,1)</f>
        <v/>
      </c>
      <c r="PI22">
        <f>IF('計算A'!CI$106=1,GC22,1)</f>
        <v/>
      </c>
      <c r="PJ22">
        <f>IF('計算A'!CJ$106=1,GD22,1)</f>
        <v/>
      </c>
      <c r="PK22">
        <f>IF('計算A'!CK$106=1,GE22,1)</f>
        <v/>
      </c>
      <c r="PL22">
        <f>IF('計算A'!CL$106=1,GF22,1)</f>
        <v/>
      </c>
      <c r="PM22">
        <f>IF('計算A'!CM$106=1,GG22,1)</f>
        <v/>
      </c>
      <c r="PN22">
        <f>IF('計算A'!CN$106=1,GH22,1)</f>
        <v/>
      </c>
      <c r="PO22">
        <f>IF('計算A'!CO$106=1,GI22,1)</f>
        <v/>
      </c>
      <c r="PP22">
        <f>IF('計算A'!CP$106=1,GJ22,1)</f>
        <v/>
      </c>
      <c r="PQ22">
        <f>IF('計算A'!CQ$106=1,GK22,1)</f>
        <v/>
      </c>
      <c r="PR22">
        <f>IF('計算A'!CR$106=1,GL22,1)</f>
        <v/>
      </c>
      <c r="PS22">
        <f>IF('計算A'!CS$106=1,GM22,1)</f>
        <v/>
      </c>
      <c r="PT22">
        <f>IF('計算A'!CT$106=1,GN22,1)</f>
        <v/>
      </c>
      <c r="PU22">
        <f>IF('計算A'!CU$106=1,GO22,1)</f>
        <v/>
      </c>
      <c r="PV22">
        <f>IF('計算A'!CV$106=1,GP22,1)</f>
        <v/>
      </c>
      <c r="PW22">
        <f>IF('計算A'!CW$106=1,GQ22,1)</f>
        <v/>
      </c>
      <c r="PX22">
        <f>IF('計算A'!CX$106=1,GR22,1)</f>
        <v/>
      </c>
      <c r="PY22">
        <f>IF('計算A'!CY$106=1,GS22,1)</f>
        <v/>
      </c>
      <c r="PZ22">
        <f>IF('計算A'!CZ$106=1,GT22,1)</f>
        <v/>
      </c>
      <c r="QA22">
        <f>IF('計算A'!DA$106=1,GU22,1)</f>
        <v/>
      </c>
      <c r="QB22">
        <f>IF('計算A'!DB$106=1,GV22,1)</f>
        <v/>
      </c>
      <c r="QC22">
        <f>IF('計算A'!DC$106=1,GW22,1)</f>
        <v/>
      </c>
      <c r="QD22">
        <f>IF('計算A'!DD$106=1,GX22,1)</f>
        <v/>
      </c>
      <c r="QE22">
        <f>IF('計算A'!DE$106=1,GY22,1)</f>
        <v/>
      </c>
      <c r="QF22">
        <f>IF('計算A'!DF$106=1,GZ22,1)</f>
        <v/>
      </c>
      <c r="QG22">
        <f>IF('計算A'!DG$106=1,HA22,1)</f>
        <v/>
      </c>
      <c r="QH22">
        <f>IF('計算A'!DH$106=1,HB22,1)</f>
        <v/>
      </c>
      <c r="QI22">
        <f>IF('計算A'!DI$106=1,HC22,1)</f>
        <v/>
      </c>
      <c r="QJ22">
        <f>IF('計算A'!DJ$106=1,HD22,1)</f>
        <v/>
      </c>
      <c r="QK22">
        <f>IF('計算A'!DK$106=1,HE22,1)</f>
        <v/>
      </c>
      <c r="QL22">
        <f>IF('計算A'!DL$106=1,HF22,1)</f>
        <v/>
      </c>
      <c r="QM22">
        <f>IF('計算A'!DM$106=1,HG22,1)</f>
        <v/>
      </c>
      <c r="QN22">
        <f>IF('計算A'!DN$106=1,HH22,1)</f>
        <v/>
      </c>
      <c r="QO22">
        <f>IF('計算A'!DO$106=1,HI22,1)</f>
        <v/>
      </c>
      <c r="QP22">
        <f>IF('計算A'!DP$106=1,HJ22,1)</f>
        <v/>
      </c>
      <c r="QQ22">
        <f>IF('計算A'!DQ$106=1,HK22,1)</f>
        <v/>
      </c>
      <c r="QR22">
        <f>IF('計算A'!DR$106=1,HL22,1)</f>
        <v/>
      </c>
      <c r="QS22">
        <f>IF('計算A'!DS$106=1,HM22,1)</f>
        <v/>
      </c>
      <c r="QT22">
        <f>IF('計算A'!DT$106=1,HN22,1)</f>
        <v/>
      </c>
      <c r="QU22">
        <f>IF('計算A'!DU$106=1,HO22,1)</f>
        <v/>
      </c>
      <c r="QV22">
        <f>IF('計算A'!DV$106=1,HP22,1)</f>
        <v/>
      </c>
      <c r="QW22">
        <f>IF('計算A'!DW$106=1,HQ22,1)</f>
        <v/>
      </c>
      <c r="QX22">
        <f>IF('計算A'!DX$106=1,HR22,1)</f>
        <v/>
      </c>
      <c r="QY22">
        <f>IF('計算A'!DY$106=1,HS22,1)</f>
        <v/>
      </c>
      <c r="QZ22">
        <f>IF('計算A'!DZ$106=1,HT22,1)</f>
        <v/>
      </c>
      <c r="RA22">
        <f>IF('計算A'!EA$106=1,HU22,1)</f>
        <v/>
      </c>
      <c r="RB22">
        <f>IF('計算A'!EB$106=1,HV22,1)</f>
        <v/>
      </c>
      <c r="RC22">
        <f>IF('計算A'!EC$106=1,HW22,1)</f>
        <v/>
      </c>
      <c r="RD22">
        <f>IF('計算A'!ED$106=1,HX22,1)</f>
        <v/>
      </c>
      <c r="RE22">
        <f>IF('計算A'!EE$106=1,HY22,1)</f>
        <v/>
      </c>
      <c r="RF22">
        <f>IF('計算A'!EF$106=1,HZ22,1)</f>
        <v/>
      </c>
      <c r="RG22">
        <f>IF('計算A'!EG$106=1,IA22,1)</f>
        <v/>
      </c>
      <c r="RH22">
        <f>IF('計算A'!EH$106=1,IB22,1)</f>
        <v/>
      </c>
      <c r="RI22">
        <f>IF('計算A'!EI$106=1,IC22,1)</f>
        <v/>
      </c>
      <c r="RJ22">
        <f>IF('計算A'!EJ$106=1,ID22,1)</f>
        <v/>
      </c>
      <c r="RK22">
        <f>IF('計算A'!EK$106=1,IE22,1)</f>
        <v/>
      </c>
      <c r="RL22">
        <f>IF('計算A'!EL$106=1,IF22,1)</f>
        <v/>
      </c>
      <c r="RM22">
        <f>IF('計算A'!EM$106=1,IG22,1)</f>
        <v/>
      </c>
      <c r="RN22">
        <f>IF('計算A'!EN$106=1,IH22,1)</f>
        <v/>
      </c>
      <c r="RO22">
        <f>IF('計算A'!EO$106=1,II22,1)</f>
        <v/>
      </c>
      <c r="RP22">
        <f>IF('計算A'!EP$106=1,IJ22,1)</f>
        <v/>
      </c>
      <c r="RQ22">
        <f>IF('計算A'!EQ$106=1,IK22,1)</f>
        <v/>
      </c>
      <c r="RR22">
        <f>IF('計算A'!ER$106=1,IL22,1)</f>
        <v/>
      </c>
      <c r="RS22">
        <f>IF('計算A'!ES$106=1,IM22,1)</f>
        <v/>
      </c>
      <c r="RT22">
        <f>IF('計算A'!ET$106=1,IN22,1)</f>
        <v/>
      </c>
      <c r="RU22">
        <f>IF('計算A'!EU$106=1,IO22,1)</f>
        <v/>
      </c>
      <c r="RV22">
        <f>IF('計算A'!EV$106=1,IP22,1)</f>
        <v/>
      </c>
      <c r="RW22">
        <f>IF('計算A'!EW$106=1,IQ22,1)</f>
        <v/>
      </c>
      <c r="RX22">
        <f>IF('計算A'!EX$106=1,IR22,1)</f>
        <v/>
      </c>
      <c r="RY22">
        <f>IF('計算A'!EY$106=1,IS22,1)</f>
        <v/>
      </c>
      <c r="RZ22">
        <f>IF('計算A'!EZ$106=1,IT22,1)</f>
        <v/>
      </c>
      <c r="SA22">
        <f>IF('計算A'!FA$106=1,IU22,1)</f>
        <v/>
      </c>
      <c r="SB22">
        <f>IF('計算A'!FB$106=1,IV22,1)</f>
        <v/>
      </c>
      <c r="SC22">
        <f>IF('計算A'!FC$106=1,IW22,1)</f>
        <v/>
      </c>
      <c r="SD22">
        <f>IF('計算A'!FD$106=1,IX22,1)</f>
        <v/>
      </c>
      <c r="SE22">
        <f>IF('計算A'!FE$106=1,IY22,1)</f>
        <v/>
      </c>
      <c r="SF22">
        <f>IF('計算A'!FF$106=1,IZ22,1)</f>
        <v/>
      </c>
      <c r="SG22">
        <f>IF('計算A'!FG$106=1,JA22,1)</f>
        <v/>
      </c>
      <c r="SH22">
        <f>IF('計算A'!FH$106=1,JB22,1)</f>
        <v/>
      </c>
      <c r="SI22">
        <f>IF('計算A'!FI$106=1,JC22,1)</f>
        <v/>
      </c>
      <c r="SJ22">
        <f>IF('計算A'!FJ$106=1,JD22,1)</f>
        <v/>
      </c>
      <c r="SK22">
        <f>IF('計算A'!FK$106=1,JE22,1)</f>
        <v/>
      </c>
      <c r="SL22">
        <f>IF('計算A'!FL$106=1,JF22,1)</f>
        <v/>
      </c>
      <c r="SM22">
        <f>IF('計算A'!FM$106=1,JG22,1)</f>
        <v/>
      </c>
      <c r="SN22">
        <f>IF('計算A'!FN$106=1,JH22,1)</f>
        <v/>
      </c>
      <c r="SO22">
        <f>IF('計算A'!FO$106=1,JI22,1)</f>
        <v/>
      </c>
      <c r="SP22">
        <f>IF('計算A'!FP$106=1,JJ22,1)</f>
        <v/>
      </c>
      <c r="SQ22">
        <f>IF('計算A'!FQ$106=1,JK22,1)</f>
        <v/>
      </c>
      <c r="SR22">
        <f>IF('計算A'!FR$106=1,JL22,1)</f>
        <v/>
      </c>
      <c r="SS22">
        <f>IF('計算A'!FS$106=1,JM22,1)</f>
        <v/>
      </c>
      <c r="ST22">
        <f>IF('計算A'!FT$106=1,JN22,1)</f>
        <v/>
      </c>
      <c r="SU22">
        <f>IF('計算A'!FU$106=1,JO22,1)</f>
        <v/>
      </c>
      <c r="SV22">
        <f>IF('計算A'!FV$106=1,JP22,1)</f>
        <v/>
      </c>
      <c r="SW22">
        <f>IF('計算A'!FW$106=1,JQ22,1)</f>
        <v/>
      </c>
      <c r="SX22">
        <f>IF('計算A'!FX$106=1,JR22,1)</f>
        <v/>
      </c>
      <c r="SY22">
        <f>IF('計算A'!FY$106=1,JS22,1)</f>
        <v/>
      </c>
      <c r="SZ22">
        <f>IF('計算A'!FZ$106=1,JT22,1)</f>
        <v/>
      </c>
      <c r="TA22">
        <f>IF('計算A'!GA$106=1,JU22,1)</f>
        <v/>
      </c>
      <c r="TB22">
        <f>IF('計算A'!GB$106=1,JV22,1)</f>
        <v/>
      </c>
      <c r="TC22">
        <f>IF('計算A'!GC$106=1,JW22,1)</f>
        <v/>
      </c>
      <c r="TD22">
        <f>IF('計算A'!GD$106=1,JX22,1)</f>
        <v/>
      </c>
      <c r="TE22">
        <f>IF('計算A'!GE$106=1,JY22,1)</f>
        <v/>
      </c>
      <c r="TF22">
        <f>IF('計算A'!GF$106=1,JZ22,1)</f>
        <v/>
      </c>
      <c r="TG22">
        <f>IF('計算A'!GG$106=1,KA22,1)</f>
        <v/>
      </c>
      <c r="TH22">
        <f>IF('計算A'!GH$106=1,KB22,1)</f>
        <v/>
      </c>
      <c r="TI22">
        <f>IF('計算A'!GI$106=1,KC22,1)</f>
        <v/>
      </c>
      <c r="TJ22">
        <f>IF('計算A'!GJ$106=1,KD22,1)</f>
        <v/>
      </c>
      <c r="TK22">
        <f>IF('計算A'!GK$106=1,KE22,1)</f>
        <v/>
      </c>
      <c r="TL22">
        <f>IF('計算A'!GL$106=1,KF22,1)</f>
        <v/>
      </c>
      <c r="TM22">
        <f>IF('計算A'!GM$106=1,KG22,1)</f>
        <v/>
      </c>
      <c r="TN22">
        <f>IF('計算A'!GN$106=1,KH22,1)</f>
        <v/>
      </c>
      <c r="TO22">
        <f>IF('計算A'!GO$106=1,KI22,1)</f>
        <v/>
      </c>
      <c r="TP22">
        <f>IF('計算A'!GP$106=1,KJ22,1)</f>
        <v/>
      </c>
      <c r="TQ22">
        <f>IF('計算A'!GQ$106=1,KK22,1)</f>
        <v/>
      </c>
      <c r="TR22">
        <f>IF('計算A'!GR$106=1,KL22,1)</f>
        <v/>
      </c>
      <c r="TS22">
        <f>IF('計算A'!GS$106=1,KM22,1)</f>
        <v/>
      </c>
      <c r="TT22">
        <f>IF('計算A'!GT$106=1,KN22,1)</f>
        <v/>
      </c>
      <c r="TU22">
        <f>IF('計算A'!GU$106=1,KO22,1)</f>
        <v/>
      </c>
      <c r="TV22">
        <f>IF('計算A'!GV$106=1,KP22,1)</f>
        <v/>
      </c>
      <c r="TW22">
        <f>IF('計算A'!GW$106=1,KQ22,1)</f>
        <v/>
      </c>
      <c r="TX22">
        <f>IF('計算A'!GX$106=1,KR22,1)</f>
        <v/>
      </c>
      <c r="TY22">
        <f>IF('計算A'!GY$106=1,KS22,1)</f>
        <v/>
      </c>
      <c r="TZ22">
        <f>IF('計算A'!GZ$106=1,KT22,1)</f>
        <v/>
      </c>
      <c r="UA22">
        <f>IF('計算A'!HA$106=1,KU22,1)</f>
        <v/>
      </c>
      <c r="UB22">
        <f>IF('計算A'!HB$106=1,KV22,1)</f>
        <v/>
      </c>
      <c r="UC22">
        <f>IF('計算A'!HC$106=1,KW22,1)</f>
        <v/>
      </c>
      <c r="UD22">
        <f>IF('計算A'!HD$106=1,KX22,1)</f>
        <v/>
      </c>
      <c r="UE22">
        <f>IF('計算A'!HE$106=1,KY22,1)</f>
        <v/>
      </c>
      <c r="UF22">
        <f>IF('計算A'!HF$106=1,KZ22,1)</f>
        <v/>
      </c>
      <c r="UG22">
        <f>IF('計算A'!HG$106=1,LA22,1)</f>
        <v/>
      </c>
      <c r="UH22">
        <f>IF('計算A'!HH$106=1,LB22,1)</f>
        <v/>
      </c>
      <c r="UI22">
        <f>IF('計算A'!HI$106=1,LC22,1)</f>
        <v/>
      </c>
      <c r="UJ22">
        <f>IF('計算A'!HJ$106=1,LD22,1)</f>
        <v/>
      </c>
      <c r="UK22">
        <f>IF('計算A'!HK$106=1,LE22,1)</f>
        <v/>
      </c>
      <c r="UL22">
        <f>IF('計算A'!HL$106=1,LF22,1)</f>
        <v/>
      </c>
      <c r="UM22">
        <f>IF('計算A'!HM$106=1,LG22,1)</f>
        <v/>
      </c>
      <c r="UN22">
        <f>IF('計算A'!HN$106=1,LH22,1)</f>
        <v/>
      </c>
      <c r="UO22">
        <f>IF('計算A'!HO$106=1,LI22,1)</f>
        <v/>
      </c>
      <c r="UP22">
        <f>IF('計算A'!HP$106=1,LJ22,1)</f>
        <v/>
      </c>
      <c r="UQ22">
        <f>IF('計算A'!HQ$106=1,LK22,1)</f>
        <v/>
      </c>
      <c r="UR22">
        <f>IF('計算A'!HR$106=1,LL22,1)</f>
        <v/>
      </c>
      <c r="US22">
        <f>IF('計算A'!HS$106=1,LM22,1)</f>
        <v/>
      </c>
      <c r="UT22">
        <f>IF('計算A'!HT$106=1,LN22,1)</f>
        <v/>
      </c>
      <c r="UU22">
        <f>IF('計算A'!HU$106=1,LO22,1)</f>
        <v/>
      </c>
      <c r="UV22">
        <f>IF('計算A'!HV$106=1,LP22,1)</f>
        <v/>
      </c>
      <c r="UW22">
        <f>IF('計算A'!HW$106=1,LQ22,1)</f>
        <v/>
      </c>
      <c r="UX22">
        <f>IF('計算A'!HX$106=1,LR22,1)</f>
        <v/>
      </c>
      <c r="UY22">
        <f>IF('計算A'!HY$106=1,LS22,1)</f>
        <v/>
      </c>
      <c r="UZ22">
        <f>IF('計算A'!HZ$106=1,LT22,1)</f>
        <v/>
      </c>
      <c r="VA22">
        <f>IF('計算A'!IA$106=1,LU22,1)</f>
        <v/>
      </c>
      <c r="VB22">
        <f>IF('計算A'!IB$106=1,LV22,1)</f>
        <v/>
      </c>
      <c r="VC22">
        <f>IF('計算A'!IC$106=1,LW22,1)</f>
        <v/>
      </c>
      <c r="VD22">
        <f>IF('計算A'!ID$106=1,LX22,1)</f>
        <v/>
      </c>
      <c r="VE22">
        <f>IF('計算A'!IE$106=1,LY22,1)</f>
        <v/>
      </c>
      <c r="VF22">
        <f>IF('計算A'!IF$106=1,LZ22,1)</f>
        <v/>
      </c>
      <c r="VG22">
        <f>IF('計算A'!IG$106=1,MA22,1)</f>
        <v/>
      </c>
      <c r="VH22">
        <f>IF('計算A'!IH$106=1,MB22,1)</f>
        <v/>
      </c>
      <c r="VI22" t="n">
        <v>1</v>
      </c>
      <c r="VK22">
        <f>IF($B22=0,1000000,IF(INDEX('計算A'!$D$60:$II$104,$B22,1)*CW22=1,IF(AND($E22=2,MD22=0),1000000,INDEX('計算A'!D$110:D$114,$F22+1)+IF(AND($E22=1,MD22=0),1000,0)),1000000))</f>
        <v/>
      </c>
      <c r="VL22">
        <f>IF($B22=0,1000000,IF(INDEX('計算A'!$D$60:$II$104,$B22,2)*CX22=1,IF(AND($E22=2,ME22=0),1000000,INDEX('計算A'!E$110:E$114,$F22+1)+IF(AND($E22=1,ME22=0),1000,0)),1000000))</f>
        <v/>
      </c>
      <c r="VM22">
        <f>IF($B22=0,1000000,IF(INDEX('計算A'!$D$60:$II$104,$B22,3)*CY22=1,IF(AND($E22=2,MF22=0),1000000,INDEX('計算A'!F$110:F$114,$F22+1)+IF(AND($E22=1,MF22=0),1000,0)),1000000))</f>
        <v/>
      </c>
      <c r="VN22">
        <f>IF($B22=0,1000000,IF(INDEX('計算A'!$D$60:$II$104,$B22,4)*CZ22=1,IF(AND($E22=2,MG22=0),1000000,INDEX('計算A'!G$110:G$114,$F22+1)+IF(AND($E22=1,MG22=0),1000,0)),1000000))</f>
        <v/>
      </c>
      <c r="VO22">
        <f>IF($B22=0,1000000,IF(INDEX('計算A'!$D$60:$II$104,$B22,5)*DA22=1,IF(AND($E22=2,MH22=0),1000000,INDEX('計算A'!H$110:H$114,$F22+1)+IF(AND($E22=1,MH22=0),1000,0)),1000000))</f>
        <v/>
      </c>
      <c r="VP22">
        <f>IF($B22=0,1000000,IF(INDEX('計算A'!$D$60:$II$104,$B22,6)*DB22=1,IF(AND($E22=2,MI22=0),1000000,INDEX('計算A'!I$110:I$114,$F22+1)+IF(AND($E22=1,MI22=0),1000,0)),1000000))</f>
        <v/>
      </c>
      <c r="VQ22">
        <f>IF($B22=0,1000000,IF(INDEX('計算A'!$D$60:$II$104,$B22,7)*DC22=1,IF(AND($E22=2,MJ22=0),1000000,INDEX('計算A'!J$110:J$114,$F22+1)+IF(AND($E22=1,MJ22=0),1000,0)),1000000))</f>
        <v/>
      </c>
      <c r="VR22">
        <f>IF($B22=0,1000000,IF(INDEX('計算A'!$D$60:$II$104,$B22,8)*DD22=1,IF(AND($E22=2,MK22=0),1000000,INDEX('計算A'!K$110:K$114,$F22+1)+IF(AND($E22=1,MK22=0),1000,0)),1000000))</f>
        <v/>
      </c>
      <c r="VS22">
        <f>IF($B22=0,1000000,IF(INDEX('計算A'!$D$60:$II$104,$B22,9)*DE22=1,IF(AND($E22=2,ML22=0),1000000,INDEX('計算A'!L$110:L$114,$F22+1)+IF(AND($E22=1,ML22=0),1000,0)),1000000))</f>
        <v/>
      </c>
      <c r="VT22">
        <f>IF($B22=0,1000000,IF(INDEX('計算A'!$D$60:$II$104,$B22,10)*DF22=1,IF(AND($E22=2,MM22=0),1000000,INDEX('計算A'!M$110:M$114,$F22+1)+IF(AND($E22=1,MM22=0),1000,0)),1000000))</f>
        <v/>
      </c>
      <c r="VU22">
        <f>IF($B22=0,1000000,IF(INDEX('計算A'!$D$60:$II$104,$B22,11)*DG22=1,IF(AND($E22=2,MN22=0),1000000,INDEX('計算A'!N$110:N$114,$F22+1)+IF(AND($E22=1,MN22=0),1000,0)),1000000))</f>
        <v/>
      </c>
      <c r="VV22">
        <f>IF($B22=0,1000000,IF(INDEX('計算A'!$D$60:$II$104,$B22,12)*DH22=1,IF(AND($E22=2,MO22=0),1000000,INDEX('計算A'!O$110:O$114,$F22+1)+IF(AND($E22=1,MO22=0),1000,0)),1000000))</f>
        <v/>
      </c>
      <c r="VW22">
        <f>IF($B22=0,1000000,IF(INDEX('計算A'!$D$60:$II$104,$B22,13)*DI22=1,IF(AND($E22=2,MP22=0),1000000,INDEX('計算A'!P$110:P$114,$F22+1)+IF(AND($E22=1,MP22=0),1000,0)),1000000))</f>
        <v/>
      </c>
      <c r="VX22">
        <f>IF($B22=0,1000000,IF(INDEX('計算A'!$D$60:$II$104,$B22,14)*DJ22=1,IF(AND($E22=2,MQ22=0),1000000,INDEX('計算A'!Q$110:Q$114,$F22+1)+IF(AND($E22=1,MQ22=0),1000,0)),1000000))</f>
        <v/>
      </c>
      <c r="VY22">
        <f>IF($B22=0,1000000,IF(INDEX('計算A'!$D$60:$II$104,$B22,15)*DK22=1,IF(AND($E22=2,MR22=0),1000000,INDEX('計算A'!R$110:R$114,$F22+1)+IF(AND($E22=1,MR22=0),1000,0)),1000000))</f>
        <v/>
      </c>
      <c r="VZ22">
        <f>IF($B22=0,1000000,IF(INDEX('計算A'!$D$60:$II$104,$B22,16)*DL22=1,IF(AND($E22=2,MS22=0),1000000,INDEX('計算A'!S$110:S$114,$F22+1)+IF(AND($E22=1,MS22=0),1000,0)),1000000))</f>
        <v/>
      </c>
      <c r="WA22">
        <f>IF($B22=0,1000000,IF(INDEX('計算A'!$D$60:$II$104,$B22,17)*DM22=1,IF(AND($E22=2,MT22=0),1000000,INDEX('計算A'!T$110:T$114,$F22+1)+IF(AND($E22=1,MT22=0),1000,0)),1000000))</f>
        <v/>
      </c>
      <c r="WB22">
        <f>IF($B22=0,1000000,IF(INDEX('計算A'!$D$60:$II$104,$B22,18)*DN22=1,IF(AND($E22=2,MU22=0),1000000,INDEX('計算A'!U$110:U$114,$F22+1)+IF(AND($E22=1,MU22=0),1000,0)),1000000))</f>
        <v/>
      </c>
      <c r="WC22">
        <f>IF($B22=0,1000000,IF(INDEX('計算A'!$D$60:$II$104,$B22,19)*DO22=1,IF(AND($E22=2,MV22=0),1000000,INDEX('計算A'!V$110:V$114,$F22+1)+IF(AND($E22=1,MV22=0),1000,0)),1000000))</f>
        <v/>
      </c>
      <c r="WD22">
        <f>IF($B22=0,1000000,IF(INDEX('計算A'!$D$60:$II$104,$B22,20)*DP22=1,IF(AND($E22=2,MW22=0),1000000,INDEX('計算A'!W$110:W$114,$F22+1)+IF(AND($E22=1,MW22=0),1000,0)),1000000))</f>
        <v/>
      </c>
      <c r="WE22">
        <f>IF($B22=0,1000000,IF(INDEX('計算A'!$D$60:$II$104,$B22,21)*DQ22=1,IF(AND($E22=2,MX22=0),1000000,INDEX('計算A'!X$110:X$114,$F22+1)+IF(AND($E22=1,MX22=0),1000,0)),1000000))</f>
        <v/>
      </c>
      <c r="WF22">
        <f>IF($B22=0,1000000,IF(INDEX('計算A'!$D$60:$II$104,$B22,22)*DR22=1,IF(AND($E22=2,MY22=0),1000000,INDEX('計算A'!Y$110:Y$114,$F22+1)+IF(AND($E22=1,MY22=0),1000,0)),1000000))</f>
        <v/>
      </c>
      <c r="WG22">
        <f>IF($B22=0,1000000,IF(INDEX('計算A'!$D$60:$II$104,$B22,23)*DS22=1,IF(AND($E22=2,MZ22=0),1000000,INDEX('計算A'!Z$110:Z$114,$F22+1)+IF(AND($E22=1,MZ22=0),1000,0)),1000000))</f>
        <v/>
      </c>
      <c r="WH22">
        <f>IF($B22=0,1000000,IF(INDEX('計算A'!$D$60:$II$104,$B22,24)*DT22=1,IF(AND($E22=2,NA22=0),1000000,INDEX('計算A'!AA$110:AA$114,$F22+1)+IF(AND($E22=1,NA22=0),1000,0)),1000000))</f>
        <v/>
      </c>
      <c r="WI22">
        <f>IF($B22=0,1000000,IF(INDEX('計算A'!$D$60:$II$104,$B22,25)*DU22=1,IF(AND($E22=2,NB22=0),1000000,INDEX('計算A'!AB$110:AB$114,$F22+1)+IF(AND($E22=1,NB22=0),1000,0)),1000000))</f>
        <v/>
      </c>
      <c r="WJ22">
        <f>IF($B22=0,1000000,IF(INDEX('計算A'!$D$60:$II$104,$B22,26)*DV22=1,IF(AND($E22=2,NC22=0),1000000,INDEX('計算A'!AC$110:AC$114,$F22+1)+IF(AND($E22=1,NC22=0),1000,0)),1000000))</f>
        <v/>
      </c>
      <c r="WK22">
        <f>IF($B22=0,1000000,IF(INDEX('計算A'!$D$60:$II$104,$B22,27)*DW22=1,IF(AND($E22=2,ND22=0),1000000,INDEX('計算A'!AD$110:AD$114,$F22+1)+IF(AND($E22=1,ND22=0),1000,0)),1000000))</f>
        <v/>
      </c>
      <c r="WL22">
        <f>IF($B22=0,1000000,IF(INDEX('計算A'!$D$60:$II$104,$B22,28)*DX22=1,IF(AND($E22=2,NE22=0),1000000,INDEX('計算A'!AE$110:AE$114,$F22+1)+IF(AND($E22=1,NE22=0),1000,0)),1000000))</f>
        <v/>
      </c>
      <c r="WM22">
        <f>IF($B22=0,1000000,IF(INDEX('計算A'!$D$60:$II$104,$B22,29)*DY22=1,IF(AND($E22=2,NF22=0),1000000,INDEX('計算A'!AF$110:AF$114,$F22+1)+IF(AND($E22=1,NF22=0),1000,0)),1000000))</f>
        <v/>
      </c>
      <c r="WN22">
        <f>IF($B22=0,1000000,IF(INDEX('計算A'!$D$60:$II$104,$B22,30)*DZ22=1,IF(AND($E22=2,NG22=0),1000000,INDEX('計算A'!AG$110:AG$114,$F22+1)+IF(AND($E22=1,NG22=0),1000,0)),1000000))</f>
        <v/>
      </c>
      <c r="WO22">
        <f>IF($B22=0,1000000,IF(INDEX('計算A'!$D$60:$II$104,$B22,31)*EA22=1,IF(AND($E22=2,NH22=0),1000000,INDEX('計算A'!AH$110:AH$114,$F22+1)+IF(AND($E22=1,NH22=0),1000,0)),1000000))</f>
        <v/>
      </c>
      <c r="WP22">
        <f>IF($B22=0,1000000,IF(INDEX('計算A'!$D$60:$II$104,$B22,32)*EB22=1,IF(AND($E22=2,NI22=0),1000000,INDEX('計算A'!AI$110:AI$114,$F22+1)+IF(AND($E22=1,NI22=0),1000,0)),1000000))</f>
        <v/>
      </c>
      <c r="WQ22">
        <f>IF($B22=0,1000000,IF(INDEX('計算A'!$D$60:$II$104,$B22,33)*EC22=1,IF(AND($E22=2,NJ22=0),1000000,INDEX('計算A'!AJ$110:AJ$114,$F22+1)+IF(AND($E22=1,NJ22=0),1000,0)),1000000))</f>
        <v/>
      </c>
      <c r="WR22">
        <f>IF($B22=0,1000000,IF(INDEX('計算A'!$D$60:$II$104,$B22,34)*ED22=1,IF(AND($E22=2,NK22=0),1000000,INDEX('計算A'!AK$110:AK$114,$F22+1)+IF(AND($E22=1,NK22=0),1000,0)),1000000))</f>
        <v/>
      </c>
      <c r="WS22">
        <f>IF($B22=0,1000000,IF(INDEX('計算A'!$D$60:$II$104,$B22,35)*EE22=1,IF(AND($E22=2,NL22=0),1000000,INDEX('計算A'!AL$110:AL$114,$F22+1)+IF(AND($E22=1,NL22=0),1000,0)),1000000))</f>
        <v/>
      </c>
      <c r="WT22">
        <f>IF($B22=0,1000000,IF(INDEX('計算A'!$D$60:$II$104,$B22,36)*EF22=1,IF(AND($E22=2,NM22=0),1000000,INDEX('計算A'!AM$110:AM$114,$F22+1)+IF(AND($E22=1,NM22=0),1000,0)),1000000))</f>
        <v/>
      </c>
      <c r="WU22">
        <f>IF($B22=0,1000000,IF(INDEX('計算A'!$D$60:$II$104,$B22,37)*EG22=1,IF(AND($E22=2,NN22=0),1000000,INDEX('計算A'!AN$110:AN$114,$F22+1)+IF(AND($E22=1,NN22=0),1000,0)),1000000))</f>
        <v/>
      </c>
      <c r="WV22">
        <f>IF($B22=0,1000000,IF(INDEX('計算A'!$D$60:$II$104,$B22,38)*EH22=1,IF(AND($E22=2,NO22=0),1000000,INDEX('計算A'!AO$110:AO$114,$F22+1)+IF(AND($E22=1,NO22=0),1000,0)),1000000))</f>
        <v/>
      </c>
      <c r="WW22">
        <f>IF($B22=0,1000000,IF(INDEX('計算A'!$D$60:$II$104,$B22,39)*EI22=1,IF(AND($E22=2,NP22=0),1000000,INDEX('計算A'!AP$110:AP$114,$F22+1)+IF(AND($E22=1,NP22=0),1000,0)),1000000))</f>
        <v/>
      </c>
      <c r="WX22">
        <f>IF($B22=0,1000000,IF(INDEX('計算A'!$D$60:$II$104,$B22,40)*EJ22=1,IF(AND($E22=2,NQ22=0),1000000,INDEX('計算A'!AQ$110:AQ$114,$F22+1)+IF(AND($E22=1,NQ22=0),1000,0)),1000000))</f>
        <v/>
      </c>
      <c r="WY22">
        <f>IF($B22=0,1000000,IF(INDEX('計算A'!$D$60:$II$104,$B22,41)*EK22=1,IF(AND($E22=2,NR22=0),1000000,INDEX('計算A'!AR$110:AR$114,$F22+1)+IF(AND($E22=1,NR22=0),1000,0)),1000000))</f>
        <v/>
      </c>
      <c r="WZ22">
        <f>IF($B22=0,1000000,IF(INDEX('計算A'!$D$60:$II$104,$B22,42)*EL22=1,IF(AND($E22=2,NS22=0),1000000,INDEX('計算A'!AS$110:AS$114,$F22+1)+IF(AND($E22=1,NS22=0),1000,0)),1000000))</f>
        <v/>
      </c>
      <c r="XA22">
        <f>IF($B22=0,1000000,IF(INDEX('計算A'!$D$60:$II$104,$B22,43)*EM22=1,IF(AND($E22=2,NT22=0),1000000,INDEX('計算A'!AT$110:AT$114,$F22+1)+IF(AND($E22=1,NT22=0),1000,0)),1000000))</f>
        <v/>
      </c>
      <c r="XB22">
        <f>IF($B22=0,1000000,IF(INDEX('計算A'!$D$60:$II$104,$B22,44)*EN22=1,IF(AND($E22=2,NU22=0),1000000,INDEX('計算A'!AU$110:AU$114,$F22+1)+IF(AND($E22=1,NU22=0),1000,0)),1000000))</f>
        <v/>
      </c>
      <c r="XC22">
        <f>IF($B22=0,1000000,IF(INDEX('計算A'!$D$60:$II$104,$B22,45)*EO22=1,IF(AND($E22=2,NV22=0),1000000,INDEX('計算A'!AV$110:AV$114,$F22+1)+IF(AND($E22=1,NV22=0),1000,0)),1000000))</f>
        <v/>
      </c>
      <c r="XD22">
        <f>IF($B22=0,1000000,IF(INDEX('計算A'!$D$60:$II$104,$B22,46)*EP22=1,IF(AND($E22=2,NW22=0),1000000,INDEX('計算A'!AW$110:AW$114,$F22+1)+IF(AND($E22=1,NW22=0),1000,0)),1000000))</f>
        <v/>
      </c>
      <c r="XE22">
        <f>IF($B22=0,1000000,IF(INDEX('計算A'!$D$60:$II$104,$B22,47)*EQ22=1,IF(AND($E22=2,NX22=0),1000000,INDEX('計算A'!AX$110:AX$114,$F22+1)+IF(AND($E22=1,NX22=0),1000,0)),1000000))</f>
        <v/>
      </c>
      <c r="XF22">
        <f>IF($B22=0,1000000,IF(INDEX('計算A'!$D$60:$II$104,$B22,48)*ER22=1,IF(AND($E22=2,NY22=0),1000000,INDEX('計算A'!AY$110:AY$114,$F22+1)+IF(AND($E22=1,NY22=0),1000,0)),1000000))</f>
        <v/>
      </c>
      <c r="XG22">
        <f>IF($B22=0,1000000,IF(INDEX('計算A'!$D$60:$II$104,$B22,49)*ES22=1,IF(AND($E22=2,NZ22=0),1000000,INDEX('計算A'!AZ$110:AZ$114,$F22+1)+IF(AND($E22=1,NZ22=0),1000,0)),1000000))</f>
        <v/>
      </c>
      <c r="XH22">
        <f>IF($B22=0,1000000,IF(INDEX('計算A'!$D$60:$II$104,$B22,50)*ET22=1,IF(AND($E22=2,OA22=0),1000000,INDEX('計算A'!BA$110:BA$114,$F22+1)+IF(AND($E22=1,OA22=0),1000,0)),1000000))</f>
        <v/>
      </c>
      <c r="XI22">
        <f>IF($B22=0,1000000,IF(INDEX('計算A'!$D$60:$II$104,$B22,51)*EU22=1,IF(AND($E22=2,OB22=0),1000000,INDEX('計算A'!BB$110:BB$114,$F22+1)+IF(AND($E22=1,OB22=0),1000,0)),1000000))</f>
        <v/>
      </c>
      <c r="XJ22">
        <f>IF($B22=0,1000000,IF(INDEX('計算A'!$D$60:$II$104,$B22,52)*EV22=1,IF(AND($E22=2,OC22=0),1000000,INDEX('計算A'!BC$110:BC$114,$F22+1)+IF(AND($E22=1,OC22=0),1000,0)),1000000))</f>
        <v/>
      </c>
      <c r="XK22">
        <f>IF($B22=0,1000000,IF(INDEX('計算A'!$D$60:$II$104,$B22,53)*EW22=1,IF(AND($E22=2,OD22=0),1000000,INDEX('計算A'!BD$110:BD$114,$F22+1)+IF(AND($E22=1,OD22=0),1000,0)),1000000))</f>
        <v/>
      </c>
      <c r="XL22">
        <f>IF($B22=0,1000000,IF(INDEX('計算A'!$D$60:$II$104,$B22,54)*EX22=1,IF(AND($E22=2,OE22=0),1000000,INDEX('計算A'!BE$110:BE$114,$F22+1)+IF(AND($E22=1,OE22=0),1000,0)),1000000))</f>
        <v/>
      </c>
      <c r="XM22">
        <f>IF($B22=0,1000000,IF(INDEX('計算A'!$D$60:$II$104,$B22,55)*EY22=1,IF(AND($E22=2,OF22=0),1000000,INDEX('計算A'!BF$110:BF$114,$F22+1)+IF(AND($E22=1,OF22=0),1000,0)),1000000))</f>
        <v/>
      </c>
      <c r="XN22">
        <f>IF($B22=0,1000000,IF(INDEX('計算A'!$D$60:$II$104,$B22,56)*EZ22=1,IF(AND($E22=2,OG22=0),1000000,INDEX('計算A'!BG$110:BG$114,$F22+1)+IF(AND($E22=1,OG22=0),1000,0)),1000000))</f>
        <v/>
      </c>
      <c r="XO22">
        <f>IF($B22=0,1000000,IF(INDEX('計算A'!$D$60:$II$104,$B22,57)*FA22=1,IF(AND($E22=2,OH22=0),1000000,INDEX('計算A'!BH$110:BH$114,$F22+1)+IF(AND($E22=1,OH22=0),1000,0)),1000000))</f>
        <v/>
      </c>
      <c r="XP22">
        <f>IF($B22=0,1000000,IF(INDEX('計算A'!$D$60:$II$104,$B22,58)*FB22=1,IF(AND($E22=2,OI22=0),1000000,INDEX('計算A'!BI$110:BI$114,$F22+1)+IF(AND($E22=1,OI22=0),1000,0)),1000000))</f>
        <v/>
      </c>
      <c r="XQ22">
        <f>IF($B22=0,1000000,IF(INDEX('計算A'!$D$60:$II$104,$B22,59)*FC22=1,IF(AND($E22=2,OJ22=0),1000000,INDEX('計算A'!BJ$110:BJ$114,$F22+1)+IF(AND($E22=1,OJ22=0),1000,0)),1000000))</f>
        <v/>
      </c>
      <c r="XR22">
        <f>IF($B22=0,1000000,IF(INDEX('計算A'!$D$60:$II$104,$B22,60)*FD22=1,IF(AND($E22=2,OK22=0),1000000,INDEX('計算A'!BK$110:BK$114,$F22+1)+IF(AND($E22=1,OK22=0),1000,0)),1000000))</f>
        <v/>
      </c>
      <c r="XS22">
        <f>IF($B22=0,1000000,IF(INDEX('計算A'!$D$60:$II$104,$B22,61)*FE22=1,IF(AND($E22=2,OL22=0),1000000,INDEX('計算A'!BL$110:BL$114,$F22+1)+IF(AND($E22=1,OL22=0),1000,0)),1000000))</f>
        <v/>
      </c>
      <c r="XT22">
        <f>IF($B22=0,1000000,IF(INDEX('計算A'!$D$60:$II$104,$B22,62)*FF22=1,IF(AND($E22=2,OM22=0),1000000,INDEX('計算A'!BM$110:BM$114,$F22+1)+IF(AND($E22=1,OM22=0),1000,0)),1000000))</f>
        <v/>
      </c>
      <c r="XU22">
        <f>IF($B22=0,1000000,IF(INDEX('計算A'!$D$60:$II$104,$B22,63)*FG22=1,IF(AND($E22=2,ON22=0),1000000,INDEX('計算A'!BN$110:BN$114,$F22+1)+IF(AND($E22=1,ON22=0),1000,0)),1000000))</f>
        <v/>
      </c>
      <c r="XV22">
        <f>IF($B22=0,1000000,IF(INDEX('計算A'!$D$60:$II$104,$B22,64)*FH22=1,IF(AND($E22=2,OO22=0),1000000,INDEX('計算A'!BO$110:BO$114,$F22+1)+IF(AND($E22=1,OO22=0),1000,0)),1000000))</f>
        <v/>
      </c>
      <c r="XW22">
        <f>IF($B22=0,1000000,IF(INDEX('計算A'!$D$60:$II$104,$B22,65)*FI22=1,IF(AND($E22=2,OP22=0),1000000,INDEX('計算A'!BP$110:BP$114,$F22+1)+IF(AND($E22=1,OP22=0),1000,0)),1000000))</f>
        <v/>
      </c>
      <c r="XX22">
        <f>IF($B22=0,1000000,IF(INDEX('計算A'!$D$60:$II$104,$B22,66)*FJ22=1,IF(AND($E22=2,OQ22=0),1000000,INDEX('計算A'!BQ$110:BQ$114,$F22+1)+IF(AND($E22=1,OQ22=0),1000,0)),1000000))</f>
        <v/>
      </c>
      <c r="XY22">
        <f>IF($B22=0,1000000,IF(INDEX('計算A'!$D$60:$II$104,$B22,67)*FK22=1,IF(AND($E22=2,OR22=0),1000000,INDEX('計算A'!BR$110:BR$114,$F22+1)+IF(AND($E22=1,OR22=0),1000,0)),1000000))</f>
        <v/>
      </c>
      <c r="XZ22">
        <f>IF($B22=0,1000000,IF(INDEX('計算A'!$D$60:$II$104,$B22,68)*FL22=1,IF(AND($E22=2,OS22=0),1000000,INDEX('計算A'!BS$110:BS$114,$F22+1)+IF(AND($E22=1,OS22=0),1000,0)),1000000))</f>
        <v/>
      </c>
      <c r="YA22">
        <f>IF($B22=0,1000000,IF(INDEX('計算A'!$D$60:$II$104,$B22,69)*FM22=1,IF(AND($E22=2,OT22=0),1000000,INDEX('計算A'!BT$110:BT$114,$F22+1)+IF(AND($E22=1,OT22=0),1000,0)),1000000))</f>
        <v/>
      </c>
      <c r="YB22">
        <f>IF($B22=0,1000000,IF(INDEX('計算A'!$D$60:$II$104,$B22,70)*FN22=1,IF(AND($E22=2,OU22=0),1000000,INDEX('計算A'!BU$110:BU$114,$F22+1)+IF(AND($E22=1,OU22=0),1000,0)),1000000))</f>
        <v/>
      </c>
      <c r="YC22">
        <f>IF($B22=0,1000000,IF(INDEX('計算A'!$D$60:$II$104,$B22,71)*FO22=1,IF(AND($E22=2,OV22=0),1000000,INDEX('計算A'!BV$110:BV$114,$F22+1)+IF(AND($E22=1,OV22=0),1000,0)),1000000))</f>
        <v/>
      </c>
      <c r="YD22">
        <f>IF($B22=0,1000000,IF(INDEX('計算A'!$D$60:$II$104,$B22,72)*FP22=1,IF(AND($E22=2,OW22=0),1000000,INDEX('計算A'!BW$110:BW$114,$F22+1)+IF(AND($E22=1,OW22=0),1000,0)),1000000))</f>
        <v/>
      </c>
      <c r="YE22">
        <f>IF($B22=0,1000000,IF(INDEX('計算A'!$D$60:$II$104,$B22,73)*FQ22=1,IF(AND($E22=2,OX22=0),1000000,INDEX('計算A'!BX$110:BX$114,$F22+1)+IF(AND($E22=1,OX22=0),1000,0)),1000000))</f>
        <v/>
      </c>
      <c r="YF22">
        <f>IF($B22=0,1000000,IF(INDEX('計算A'!$D$60:$II$104,$B22,74)*FR22=1,IF(AND($E22=2,OY22=0),1000000,INDEX('計算A'!BY$110:BY$114,$F22+1)+IF(AND($E22=1,OY22=0),1000,0)),1000000))</f>
        <v/>
      </c>
      <c r="YG22">
        <f>IF($B22=0,1000000,IF(INDEX('計算A'!$D$60:$II$104,$B22,75)*FS22=1,IF(AND($E22=2,OZ22=0),1000000,INDEX('計算A'!BZ$110:BZ$114,$F22+1)+IF(AND($E22=1,OZ22=0),1000,0)),1000000))</f>
        <v/>
      </c>
      <c r="YH22">
        <f>IF($B22=0,1000000,IF(INDEX('計算A'!$D$60:$II$104,$B22,76)*FT22=1,IF(AND($E22=2,PA22=0),1000000,INDEX('計算A'!CA$110:CA$114,$F22+1)+IF(AND($E22=1,PA22=0),1000,0)),1000000))</f>
        <v/>
      </c>
      <c r="YI22">
        <f>IF($B22=0,1000000,IF(INDEX('計算A'!$D$60:$II$104,$B22,77)*FU22=1,IF(AND($E22=2,PB22=0),1000000,INDEX('計算A'!CB$110:CB$114,$F22+1)+IF(AND($E22=1,PB22=0),1000,0)),1000000))</f>
        <v/>
      </c>
      <c r="YJ22">
        <f>IF($B22=0,1000000,IF(INDEX('計算A'!$D$60:$II$104,$B22,78)*FV22=1,IF(AND($E22=2,PC22=0),1000000,INDEX('計算A'!CC$110:CC$114,$F22+1)+IF(AND($E22=1,PC22=0),1000,0)),1000000))</f>
        <v/>
      </c>
      <c r="YK22">
        <f>IF($B22=0,1000000,IF(INDEX('計算A'!$D$60:$II$104,$B22,79)*FW22=1,IF(AND($E22=2,PD22=0),1000000,INDEX('計算A'!CD$110:CD$114,$F22+1)+IF(AND($E22=1,PD22=0),1000,0)),1000000))</f>
        <v/>
      </c>
      <c r="YL22">
        <f>IF($B22=0,1000000,IF(INDEX('計算A'!$D$60:$II$104,$B22,80)*FX22=1,IF(AND($E22=2,PE22=0),1000000,INDEX('計算A'!CE$110:CE$114,$F22+1)+IF(AND($E22=1,PE22=0),1000,0)),1000000))</f>
        <v/>
      </c>
      <c r="YM22">
        <f>IF($B22=0,1000000,IF(INDEX('計算A'!$D$60:$II$104,$B22,81)*FY22=1,IF(AND($E22=2,PF22=0),1000000,INDEX('計算A'!CF$110:CF$114,$F22+1)+IF(AND($E22=1,PF22=0),1000,0)),1000000))</f>
        <v/>
      </c>
      <c r="YN22">
        <f>IF($B22=0,1000000,IF(INDEX('計算A'!$D$60:$II$104,$B22,82)*FZ22=1,IF(AND($E22=2,PG22=0),1000000,INDEX('計算A'!CG$110:CG$114,$F22+1)+IF(AND($E22=1,PG22=0),1000,0)),1000000))</f>
        <v/>
      </c>
      <c r="YO22">
        <f>IF($B22=0,1000000,IF(INDEX('計算A'!$D$60:$II$104,$B22,83)*GA22=1,IF(AND($E22=2,PH22=0),1000000,INDEX('計算A'!CH$110:CH$114,$F22+1)+IF(AND($E22=1,PH22=0),1000,0)),1000000))</f>
        <v/>
      </c>
      <c r="YP22">
        <f>IF($B22=0,1000000,IF(INDEX('計算A'!$D$60:$II$104,$B22,84)*GB22=1,IF(AND($E22=2,PI22=0),1000000,INDEX('計算A'!CI$110:CI$114,$F22+1)+IF(AND($E22=1,PI22=0),1000,0)),1000000))</f>
        <v/>
      </c>
      <c r="YQ22">
        <f>IF($B22=0,1000000,IF(INDEX('計算A'!$D$60:$II$104,$B22,85)*GC22=1,IF(AND($E22=2,PJ22=0),1000000,INDEX('計算A'!CJ$110:CJ$114,$F22+1)+IF(AND($E22=1,PJ22=0),1000,0)),1000000))</f>
        <v/>
      </c>
      <c r="YR22">
        <f>IF($B22=0,1000000,IF(INDEX('計算A'!$D$60:$II$104,$B22,86)*GD22=1,IF(AND($E22=2,PK22=0),1000000,INDEX('計算A'!CK$110:CK$114,$F22+1)+IF(AND($E22=1,PK22=0),1000,0)),1000000))</f>
        <v/>
      </c>
      <c r="YS22">
        <f>IF($B22=0,1000000,IF(INDEX('計算A'!$D$60:$II$104,$B22,87)*GE22=1,IF(AND($E22=2,PL22=0),1000000,INDEX('計算A'!CL$110:CL$114,$F22+1)+IF(AND($E22=1,PL22=0),1000,0)),1000000))</f>
        <v/>
      </c>
      <c r="YT22">
        <f>IF($B22=0,1000000,IF(INDEX('計算A'!$D$60:$II$104,$B22,88)*GF22=1,IF(AND($E22=2,PM22=0),1000000,INDEX('計算A'!CM$110:CM$114,$F22+1)+IF(AND($E22=1,PM22=0),1000,0)),1000000))</f>
        <v/>
      </c>
      <c r="YU22">
        <f>IF($B22=0,1000000,IF(INDEX('計算A'!$D$60:$II$104,$B22,89)*GG22=1,IF(AND($E22=2,PN22=0),1000000,INDEX('計算A'!CN$110:CN$114,$F22+1)+IF(AND($E22=1,PN22=0),1000,0)),1000000))</f>
        <v/>
      </c>
      <c r="YV22">
        <f>IF($B22=0,1000000,IF(INDEX('計算A'!$D$60:$II$104,$B22,90)*GH22=1,IF(AND($E22=2,PO22=0),1000000,INDEX('計算A'!CO$110:CO$114,$F22+1)+IF(AND($E22=1,PO22=0),1000,0)),1000000))</f>
        <v/>
      </c>
      <c r="YW22">
        <f>IF($B22=0,1000000,IF(INDEX('計算A'!$D$60:$II$104,$B22,91)*GI22=1,IF(AND($E22=2,PP22=0),1000000,INDEX('計算A'!CP$110:CP$114,$F22+1)+IF(AND($E22=1,PP22=0),1000,0)),1000000))</f>
        <v/>
      </c>
      <c r="YX22">
        <f>IF($B22=0,1000000,IF(INDEX('計算A'!$D$60:$II$104,$B22,92)*GJ22=1,IF(AND($E22=2,PQ22=0),1000000,INDEX('計算A'!CQ$110:CQ$114,$F22+1)+IF(AND($E22=1,PQ22=0),1000,0)),1000000))</f>
        <v/>
      </c>
      <c r="YY22">
        <f>IF($B22=0,1000000,IF(INDEX('計算A'!$D$60:$II$104,$B22,93)*GK22=1,IF(AND($E22=2,PR22=0),1000000,INDEX('計算A'!CR$110:CR$114,$F22+1)+IF(AND($E22=1,PR22=0),1000,0)),1000000))</f>
        <v/>
      </c>
      <c r="YZ22">
        <f>IF($B22=0,1000000,IF(INDEX('計算A'!$D$60:$II$104,$B22,94)*GL22=1,IF(AND($E22=2,PS22=0),1000000,INDEX('計算A'!CS$110:CS$114,$F22+1)+IF(AND($E22=1,PS22=0),1000,0)),1000000))</f>
        <v/>
      </c>
      <c r="ZA22">
        <f>IF($B22=0,1000000,IF(INDEX('計算A'!$D$60:$II$104,$B22,95)*GM22=1,IF(AND($E22=2,PT22=0),1000000,INDEX('計算A'!CT$110:CT$114,$F22+1)+IF(AND($E22=1,PT22=0),1000,0)),1000000))</f>
        <v/>
      </c>
      <c r="ZB22">
        <f>IF($B22=0,1000000,IF(INDEX('計算A'!$D$60:$II$104,$B22,96)*GN22=1,IF(AND($E22=2,PU22=0),1000000,INDEX('計算A'!CU$110:CU$114,$F22+1)+IF(AND($E22=1,PU22=0),1000,0)),1000000))</f>
        <v/>
      </c>
      <c r="ZC22">
        <f>IF($B22=0,1000000,IF(INDEX('計算A'!$D$60:$II$104,$B22,97)*GO22=1,IF(AND($E22=2,PV22=0),1000000,INDEX('計算A'!CV$110:CV$114,$F22+1)+IF(AND($E22=1,PV22=0),1000,0)),1000000))</f>
        <v/>
      </c>
      <c r="ZD22">
        <f>IF($B22=0,1000000,IF(INDEX('計算A'!$D$60:$II$104,$B22,98)*GP22=1,IF(AND($E22=2,PW22=0),1000000,INDEX('計算A'!CW$110:CW$114,$F22+1)+IF(AND($E22=1,PW22=0),1000,0)),1000000))</f>
        <v/>
      </c>
      <c r="ZE22">
        <f>IF($B22=0,1000000,IF(INDEX('計算A'!$D$60:$II$104,$B22,99)*GQ22=1,IF(AND($E22=2,PX22=0),1000000,INDEX('計算A'!CX$110:CX$114,$F22+1)+IF(AND($E22=1,PX22=0),1000,0)),1000000))</f>
        <v/>
      </c>
      <c r="ZF22">
        <f>IF($B22=0,1000000,IF(INDEX('計算A'!$D$60:$II$104,$B22,100)*GR22=1,IF(AND($E22=2,PY22=0),1000000,INDEX('計算A'!CY$110:CY$114,$F22+1)+IF(AND($E22=1,PY22=0),1000,0)),1000000))</f>
        <v/>
      </c>
      <c r="ZG22">
        <f>IF($B22=0,1000000,IF(INDEX('計算A'!$D$60:$II$104,$B22,101)*GS22=1,IF(AND($E22=2,PZ22=0),1000000,INDEX('計算A'!CZ$110:CZ$114,$F22+1)+IF(AND($E22=1,PZ22=0),1000,0)),1000000))</f>
        <v/>
      </c>
      <c r="ZH22">
        <f>IF($B22=0,1000000,IF(INDEX('計算A'!$D$60:$II$104,$B22,102)*GT22=1,IF(AND($E22=2,QA22=0),1000000,INDEX('計算A'!DA$110:DA$114,$F22+1)+IF(AND($E22=1,QA22=0),1000,0)),1000000))</f>
        <v/>
      </c>
      <c r="ZI22">
        <f>IF($B22=0,1000000,IF(INDEX('計算A'!$D$60:$II$104,$B22,103)*GU22=1,IF(AND($E22=2,QB22=0),1000000,INDEX('計算A'!DB$110:DB$114,$F22+1)+IF(AND($E22=1,QB22=0),1000,0)),1000000))</f>
        <v/>
      </c>
      <c r="ZJ22">
        <f>IF($B22=0,1000000,IF(INDEX('計算A'!$D$60:$II$104,$B22,104)*GV22=1,IF(AND($E22=2,QC22=0),1000000,INDEX('計算A'!DC$110:DC$114,$F22+1)+IF(AND($E22=1,QC22=0),1000,0)),1000000))</f>
        <v/>
      </c>
      <c r="ZK22">
        <f>IF($B22=0,1000000,IF(INDEX('計算A'!$D$60:$II$104,$B22,105)*GW22=1,IF(AND($E22=2,QD22=0),1000000,INDEX('計算A'!DD$110:DD$114,$F22+1)+IF(AND($E22=1,QD22=0),1000,0)),1000000))</f>
        <v/>
      </c>
      <c r="ZL22">
        <f>IF($B22=0,1000000,IF(INDEX('計算A'!$D$60:$II$104,$B22,106)*GX22=1,IF(AND($E22=2,QE22=0),1000000,INDEX('計算A'!DE$110:DE$114,$F22+1)+IF(AND($E22=1,QE22=0),1000,0)),1000000))</f>
        <v/>
      </c>
      <c r="ZM22">
        <f>IF($B22=0,1000000,IF(INDEX('計算A'!$D$60:$II$104,$B22,107)*GY22=1,IF(AND($E22=2,QF22=0),1000000,INDEX('計算A'!DF$110:DF$114,$F22+1)+IF(AND($E22=1,QF22=0),1000,0)),1000000))</f>
        <v/>
      </c>
      <c r="ZN22">
        <f>IF($B22=0,1000000,IF(INDEX('計算A'!$D$60:$II$104,$B22,108)*GZ22=1,IF(AND($E22=2,QG22=0),1000000,INDEX('計算A'!DG$110:DG$114,$F22+1)+IF(AND($E22=1,QG22=0),1000,0)),1000000))</f>
        <v/>
      </c>
      <c r="ZO22">
        <f>IF($B22=0,1000000,IF(INDEX('計算A'!$D$60:$II$104,$B22,109)*HA22=1,IF(AND($E22=2,QH22=0),1000000,INDEX('計算A'!DH$110:DH$114,$F22+1)+IF(AND($E22=1,QH22=0),1000,0)),1000000))</f>
        <v/>
      </c>
      <c r="ZP22">
        <f>IF($B22=0,1000000,IF(INDEX('計算A'!$D$60:$II$104,$B22,110)*HB22=1,IF(AND($E22=2,QI22=0),1000000,INDEX('計算A'!DI$110:DI$114,$F22+1)+IF(AND($E22=1,QI22=0),1000,0)),1000000))</f>
        <v/>
      </c>
      <c r="ZQ22">
        <f>IF($B22=0,1000000,IF(INDEX('計算A'!$D$60:$II$104,$B22,111)*HC22=1,IF(AND($E22=2,QJ22=0),1000000,INDEX('計算A'!DJ$110:DJ$114,$F22+1)+IF(AND($E22=1,QJ22=0),1000,0)),1000000))</f>
        <v/>
      </c>
      <c r="ZR22">
        <f>IF($B22=0,1000000,IF(INDEX('計算A'!$D$60:$II$104,$B22,112)*HD22=1,IF(AND($E22=2,QK22=0),1000000,INDEX('計算A'!DK$110:DK$114,$F22+1)+IF(AND($E22=1,QK22=0),1000,0)),1000000))</f>
        <v/>
      </c>
      <c r="ZS22">
        <f>IF($B22=0,1000000,IF(INDEX('計算A'!$D$60:$II$104,$B22,113)*HE22=1,IF(AND($E22=2,QL22=0),1000000,INDEX('計算A'!DL$110:DL$114,$F22+1)+IF(AND($E22=1,QL22=0),1000,0)),1000000))</f>
        <v/>
      </c>
      <c r="ZT22">
        <f>IF($B22=0,1000000,IF(INDEX('計算A'!$D$60:$II$104,$B22,114)*HF22=1,IF(AND($E22=2,QM22=0),1000000,INDEX('計算A'!DM$110:DM$114,$F22+1)+IF(AND($E22=1,QM22=0),1000,0)),1000000))</f>
        <v/>
      </c>
      <c r="ZU22">
        <f>IF($B22=0,1000000,IF(INDEX('計算A'!$D$60:$II$104,$B22,115)*HG22=1,IF(AND($E22=2,QN22=0),1000000,INDEX('計算A'!DN$110:DN$114,$F22+1)+IF(AND($E22=1,QN22=0),1000,0)),1000000))</f>
        <v/>
      </c>
      <c r="ZV22">
        <f>IF($B22=0,1000000,IF(INDEX('計算A'!$D$60:$II$104,$B22,116)*HH22=1,IF(AND($E22=2,QO22=0),1000000,INDEX('計算A'!DO$110:DO$114,$F22+1)+IF(AND($E22=1,QO22=0),1000,0)),1000000))</f>
        <v/>
      </c>
      <c r="ZW22">
        <f>IF($B22=0,1000000,IF(INDEX('計算A'!$D$60:$II$104,$B22,117)*HI22=1,IF(AND($E22=2,QP22=0),1000000,INDEX('計算A'!DP$110:DP$114,$F22+1)+IF(AND($E22=1,QP22=0),1000,0)),1000000))</f>
        <v/>
      </c>
      <c r="ZX22">
        <f>IF($B22=0,1000000,IF(INDEX('計算A'!$D$60:$II$104,$B22,118)*HJ22=1,IF(AND($E22=2,QQ22=0),1000000,INDEX('計算A'!DQ$110:DQ$114,$F22+1)+IF(AND($E22=1,QQ22=0),1000,0)),1000000))</f>
        <v/>
      </c>
      <c r="ZY22">
        <f>IF($B22=0,1000000,IF(INDEX('計算A'!$D$60:$II$104,$B22,119)*HK22=1,IF(AND($E22=2,QR22=0),1000000,INDEX('計算A'!DR$110:DR$114,$F22+1)+IF(AND($E22=1,QR22=0),1000,0)),1000000))</f>
        <v/>
      </c>
      <c r="ZZ22">
        <f>IF($B22=0,1000000,IF(INDEX('計算A'!$D$60:$II$104,$B22,120)*HL22=1,IF(AND($E22=2,QS22=0),1000000,INDEX('計算A'!DS$110:DS$114,$F22+1)+IF(AND($E22=1,QS22=0),1000,0)),1000000))</f>
        <v/>
      </c>
      <c r="AAA22">
        <f>IF($B22=0,1000000,IF(INDEX('計算A'!$D$60:$II$104,$B22,121)*HM22=1,IF(AND($E22=2,QT22=0),1000000,INDEX('計算A'!DT$110:DT$114,$F22+1)+IF(AND($E22=1,QT22=0),1000,0)),1000000))</f>
        <v/>
      </c>
      <c r="AAB22">
        <f>IF($B22=0,1000000,IF(INDEX('計算A'!$D$60:$II$104,$B22,122)*HN22=1,IF(AND($E22=2,QU22=0),1000000,INDEX('計算A'!DU$110:DU$114,$F22+1)+IF(AND($E22=1,QU22=0),1000,0)),1000000))</f>
        <v/>
      </c>
      <c r="AAC22">
        <f>IF($B22=0,1000000,IF(INDEX('計算A'!$D$60:$II$104,$B22,123)*HO22=1,IF(AND($E22=2,QV22=0),1000000,INDEX('計算A'!DV$110:DV$114,$F22+1)+IF(AND($E22=1,QV22=0),1000,0)),1000000))</f>
        <v/>
      </c>
      <c r="AAD22">
        <f>IF($B22=0,1000000,IF(INDEX('計算A'!$D$60:$II$104,$B22,124)*HP22=1,IF(AND($E22=2,QW22=0),1000000,INDEX('計算A'!DW$110:DW$114,$F22+1)+IF(AND($E22=1,QW22=0),1000,0)),1000000))</f>
        <v/>
      </c>
      <c r="AAE22">
        <f>IF($B22=0,1000000,IF(INDEX('計算A'!$D$60:$II$104,$B22,125)*HQ22=1,IF(AND($E22=2,QX22=0),1000000,INDEX('計算A'!DX$110:DX$114,$F22+1)+IF(AND($E22=1,QX22=0),1000,0)),1000000))</f>
        <v/>
      </c>
      <c r="AAF22">
        <f>IF($B22=0,1000000,IF(INDEX('計算A'!$D$60:$II$104,$B22,126)*HR22=1,IF(AND($E22=2,QY22=0),1000000,INDEX('計算A'!DY$110:DY$114,$F22+1)+IF(AND($E22=1,QY22=0),1000,0)),1000000))</f>
        <v/>
      </c>
      <c r="AAG22">
        <f>IF($B22=0,1000000,IF(INDEX('計算A'!$D$60:$II$104,$B22,127)*HS22=1,IF(AND($E22=2,QZ22=0),1000000,INDEX('計算A'!DZ$110:DZ$114,$F22+1)+IF(AND($E22=1,QZ22=0),1000,0)),1000000))</f>
        <v/>
      </c>
      <c r="AAH22">
        <f>IF($B22=0,1000000,IF(INDEX('計算A'!$D$60:$II$104,$B22,128)*HT22=1,IF(AND($E22=2,RA22=0),1000000,INDEX('計算A'!EA$110:EA$114,$F22+1)+IF(AND($E22=1,RA22=0),1000,0)),1000000))</f>
        <v/>
      </c>
      <c r="AAI22">
        <f>IF($B22=0,1000000,IF(INDEX('計算A'!$D$60:$II$104,$B22,129)*HU22=1,IF(AND($E22=2,RB22=0),1000000,INDEX('計算A'!EB$110:EB$114,$F22+1)+IF(AND($E22=1,RB22=0),1000,0)),1000000))</f>
        <v/>
      </c>
      <c r="AAJ22">
        <f>IF($B22=0,1000000,IF(INDEX('計算A'!$D$60:$II$104,$B22,130)*HV22=1,IF(AND($E22=2,RC22=0),1000000,INDEX('計算A'!EC$110:EC$114,$F22+1)+IF(AND($E22=1,RC22=0),1000,0)),1000000))</f>
        <v/>
      </c>
      <c r="AAK22">
        <f>IF($B22=0,1000000,IF(INDEX('計算A'!$D$60:$II$104,$B22,131)*HW22=1,IF(AND($E22=2,RD22=0),1000000,INDEX('計算A'!ED$110:ED$114,$F22+1)+IF(AND($E22=1,RD22=0),1000,0)),1000000))</f>
        <v/>
      </c>
      <c r="AAL22">
        <f>IF($B22=0,1000000,IF(INDEX('計算A'!$D$60:$II$104,$B22,132)*HX22=1,IF(AND($E22=2,RE22=0),1000000,INDEX('計算A'!EE$110:EE$114,$F22+1)+IF(AND($E22=1,RE22=0),1000,0)),1000000))</f>
        <v/>
      </c>
      <c r="AAM22">
        <f>IF($B22=0,1000000,IF(INDEX('計算A'!$D$60:$II$104,$B22,133)*HY22=1,IF(AND($E22=2,RF22=0),1000000,INDEX('計算A'!EF$110:EF$114,$F22+1)+IF(AND($E22=1,RF22=0),1000,0)),1000000))</f>
        <v/>
      </c>
      <c r="AAN22">
        <f>IF($B22=0,1000000,IF(INDEX('計算A'!$D$60:$II$104,$B22,134)*HZ22=1,IF(AND($E22=2,RG22=0),1000000,INDEX('計算A'!EG$110:EG$114,$F22+1)+IF(AND($E22=1,RG22=0),1000,0)),1000000))</f>
        <v/>
      </c>
      <c r="AAO22">
        <f>IF($B22=0,1000000,IF(INDEX('計算A'!$D$60:$II$104,$B22,135)*IA22=1,IF(AND($E22=2,RH22=0),1000000,INDEX('計算A'!EH$110:EH$114,$F22+1)+IF(AND($E22=1,RH22=0),1000,0)),1000000))</f>
        <v/>
      </c>
      <c r="AAP22">
        <f>IF($B22=0,1000000,IF(INDEX('計算A'!$D$60:$II$104,$B22,136)*IB22=1,IF(AND($E22=2,RI22=0),1000000,INDEX('計算A'!EI$110:EI$114,$F22+1)+IF(AND($E22=1,RI22=0),1000,0)),1000000))</f>
        <v/>
      </c>
      <c r="AAQ22">
        <f>IF($B22=0,1000000,IF(INDEX('計算A'!$D$60:$II$104,$B22,137)*IC22=1,IF(AND($E22=2,RJ22=0),1000000,INDEX('計算A'!EJ$110:EJ$114,$F22+1)+IF(AND($E22=1,RJ22=0),1000,0)),1000000))</f>
        <v/>
      </c>
      <c r="AAR22">
        <f>IF($B22=0,1000000,IF(INDEX('計算A'!$D$60:$II$104,$B22,138)*ID22=1,IF(AND($E22=2,RK22=0),1000000,INDEX('計算A'!EK$110:EK$114,$F22+1)+IF(AND($E22=1,RK22=0),1000,0)),1000000))</f>
        <v/>
      </c>
      <c r="AAS22">
        <f>IF($B22=0,1000000,IF(INDEX('計算A'!$D$60:$II$104,$B22,139)*IE22=1,IF(AND($E22=2,RL22=0),1000000,INDEX('計算A'!EL$110:EL$114,$F22+1)+IF(AND($E22=1,RL22=0),1000,0)),1000000))</f>
        <v/>
      </c>
      <c r="AAT22">
        <f>IF($B22=0,1000000,IF(INDEX('計算A'!$D$60:$II$104,$B22,140)*IF22=1,IF(AND($E22=2,RM22=0),1000000,INDEX('計算A'!EM$110:EM$114,$F22+1)+IF(AND($E22=1,RM22=0),1000,0)),1000000))</f>
        <v/>
      </c>
      <c r="AAU22">
        <f>IF($B22=0,1000000,IF(INDEX('計算A'!$D$60:$II$104,$B22,141)*IG22=1,IF(AND($E22=2,RN22=0),1000000,INDEX('計算A'!EN$110:EN$114,$F22+1)+IF(AND($E22=1,RN22=0),1000,0)),1000000))</f>
        <v/>
      </c>
      <c r="AAV22">
        <f>IF($B22=0,1000000,IF(INDEX('計算A'!$D$60:$II$104,$B22,142)*IH22=1,IF(AND($E22=2,RO22=0),1000000,INDEX('計算A'!EO$110:EO$114,$F22+1)+IF(AND($E22=1,RO22=0),1000,0)),1000000))</f>
        <v/>
      </c>
      <c r="AAW22">
        <f>IF($B22=0,1000000,IF(INDEX('計算A'!$D$60:$II$104,$B22,143)*II22=1,IF(AND($E22=2,RP22=0),1000000,INDEX('計算A'!EP$110:EP$114,$F22+1)+IF(AND($E22=1,RP22=0),1000,0)),1000000))</f>
        <v/>
      </c>
      <c r="AAX22">
        <f>IF($B22=0,1000000,IF(INDEX('計算A'!$D$60:$II$104,$B22,144)*IJ22=1,IF(AND($E22=2,RQ22=0),1000000,INDEX('計算A'!EQ$110:EQ$114,$F22+1)+IF(AND($E22=1,RQ22=0),1000,0)),1000000))</f>
        <v/>
      </c>
      <c r="AAY22">
        <f>IF($B22=0,1000000,IF(INDEX('計算A'!$D$60:$II$104,$B22,145)*IK22=1,IF(AND($E22=2,RR22=0),1000000,INDEX('計算A'!ER$110:ER$114,$F22+1)+IF(AND($E22=1,RR22=0),1000,0)),1000000))</f>
        <v/>
      </c>
      <c r="AAZ22">
        <f>IF($B22=0,1000000,IF(INDEX('計算A'!$D$60:$II$104,$B22,146)*IL22=1,IF(AND($E22=2,RS22=0),1000000,INDEX('計算A'!ES$110:ES$114,$F22+1)+IF(AND($E22=1,RS22=0),1000,0)),1000000))</f>
        <v/>
      </c>
      <c r="ABA22">
        <f>IF($B22=0,1000000,IF(INDEX('計算A'!$D$60:$II$104,$B22,147)*IM22=1,IF(AND($E22=2,RT22=0),1000000,INDEX('計算A'!ET$110:ET$114,$F22+1)+IF(AND($E22=1,RT22=0),1000,0)),1000000))</f>
        <v/>
      </c>
      <c r="ABB22">
        <f>IF($B22=0,1000000,IF(INDEX('計算A'!$D$60:$II$104,$B22,148)*IN22=1,IF(AND($E22=2,RU22=0),1000000,INDEX('計算A'!EU$110:EU$114,$F22+1)+IF(AND($E22=1,RU22=0),1000,0)),1000000))</f>
        <v/>
      </c>
      <c r="ABC22">
        <f>IF($B22=0,1000000,IF(INDEX('計算A'!$D$60:$II$104,$B22,149)*IO22=1,IF(AND($E22=2,RV22=0),1000000,INDEX('計算A'!EV$110:EV$114,$F22+1)+IF(AND($E22=1,RV22=0),1000,0)),1000000))</f>
        <v/>
      </c>
      <c r="ABD22">
        <f>IF($B22=0,1000000,IF(INDEX('計算A'!$D$60:$II$104,$B22,150)*IP22=1,IF(AND($E22=2,RW22=0),1000000,INDEX('計算A'!EW$110:EW$114,$F22+1)+IF(AND($E22=1,RW22=0),1000,0)),1000000))</f>
        <v/>
      </c>
      <c r="ABE22">
        <f>IF($B22=0,1000000,IF(INDEX('計算A'!$D$60:$II$104,$B22,151)*IQ22=1,IF(AND($E22=2,RX22=0),1000000,INDEX('計算A'!EX$110:EX$114,$F22+1)+IF(AND($E22=1,RX22=0),1000,0)),1000000))</f>
        <v/>
      </c>
      <c r="ABF22">
        <f>IF($B22=0,1000000,IF(INDEX('計算A'!$D$60:$II$104,$B22,152)*IR22=1,IF(AND($E22=2,RY22=0),1000000,INDEX('計算A'!EY$110:EY$114,$F22+1)+IF(AND($E22=1,RY22=0),1000,0)),1000000))</f>
        <v/>
      </c>
      <c r="ABG22">
        <f>IF($B22=0,1000000,IF(INDEX('計算A'!$D$60:$II$104,$B22,153)*IS22=1,IF(AND($E22=2,RZ22=0),1000000,INDEX('計算A'!EZ$110:EZ$114,$F22+1)+IF(AND($E22=1,RZ22=0),1000,0)),1000000))</f>
        <v/>
      </c>
      <c r="ABH22">
        <f>IF($B22=0,1000000,IF(INDEX('計算A'!$D$60:$II$104,$B22,154)*IT22=1,IF(AND($E22=2,SA22=0),1000000,INDEX('計算A'!FA$110:FA$114,$F22+1)+IF(AND($E22=1,SA22=0),1000,0)),1000000))</f>
        <v/>
      </c>
      <c r="ABI22">
        <f>IF($B22=0,1000000,IF(INDEX('計算A'!$D$60:$II$104,$B22,155)*IU22=1,IF(AND($E22=2,SB22=0),1000000,INDEX('計算A'!FB$110:FB$114,$F22+1)+IF(AND($E22=1,SB22=0),1000,0)),1000000))</f>
        <v/>
      </c>
      <c r="ABJ22">
        <f>IF($B22=0,1000000,IF(INDEX('計算A'!$D$60:$II$104,$B22,156)*IV22=1,IF(AND($E22=2,SC22=0),1000000,INDEX('計算A'!FC$110:FC$114,$F22+1)+IF(AND($E22=1,SC22=0),1000,0)),1000000))</f>
        <v/>
      </c>
      <c r="ABK22">
        <f>IF($B22=0,1000000,IF(INDEX('計算A'!$D$60:$II$104,$B22,157)*IW22=1,IF(AND($E22=2,SD22=0),1000000,INDEX('計算A'!FD$110:FD$114,$F22+1)+IF(AND($E22=1,SD22=0),1000,0)),1000000))</f>
        <v/>
      </c>
      <c r="ABL22">
        <f>IF($B22=0,1000000,IF(INDEX('計算A'!$D$60:$II$104,$B22,158)*IX22=1,IF(AND($E22=2,SE22=0),1000000,INDEX('計算A'!FE$110:FE$114,$F22+1)+IF(AND($E22=1,SE22=0),1000,0)),1000000))</f>
        <v/>
      </c>
      <c r="ABM22">
        <f>IF($B22=0,1000000,IF(INDEX('計算A'!$D$60:$II$104,$B22,159)*IY22=1,IF(AND($E22=2,SF22=0),1000000,INDEX('計算A'!FF$110:FF$114,$F22+1)+IF(AND($E22=1,SF22=0),1000,0)),1000000))</f>
        <v/>
      </c>
      <c r="ABN22">
        <f>IF($B22=0,1000000,IF(INDEX('計算A'!$D$60:$II$104,$B22,160)*IZ22=1,IF(AND($E22=2,SG22=0),1000000,INDEX('計算A'!FG$110:FG$114,$F22+1)+IF(AND($E22=1,SG22=0),1000,0)),1000000))</f>
        <v/>
      </c>
      <c r="ABO22">
        <f>IF($B22=0,1000000,IF(INDEX('計算A'!$D$60:$II$104,$B22,161)*JA22=1,IF(AND($E22=2,SH22=0),1000000,INDEX('計算A'!FH$110:FH$114,$F22+1)+IF(AND($E22=1,SH22=0),1000,0)),1000000))</f>
        <v/>
      </c>
      <c r="ABP22">
        <f>IF($B22=0,1000000,IF(INDEX('計算A'!$D$60:$II$104,$B22,162)*JB22=1,IF(AND($E22=2,SI22=0),1000000,INDEX('計算A'!FI$110:FI$114,$F22+1)+IF(AND($E22=1,SI22=0),1000,0)),1000000))</f>
        <v/>
      </c>
      <c r="ABQ22">
        <f>IF($B22=0,1000000,IF(INDEX('計算A'!$D$60:$II$104,$B22,163)*JC22=1,IF(AND($E22=2,SJ22=0),1000000,INDEX('計算A'!FJ$110:FJ$114,$F22+1)+IF(AND($E22=1,SJ22=0),1000,0)),1000000))</f>
        <v/>
      </c>
      <c r="ABR22">
        <f>IF($B22=0,1000000,IF(INDEX('計算A'!$D$60:$II$104,$B22,164)*JD22=1,IF(AND($E22=2,SK22=0),1000000,INDEX('計算A'!FK$110:FK$114,$F22+1)+IF(AND($E22=1,SK22=0),1000,0)),1000000))</f>
        <v/>
      </c>
      <c r="ABS22">
        <f>IF($B22=0,1000000,IF(INDEX('計算A'!$D$60:$II$104,$B22,165)*JE22=1,IF(AND($E22=2,SL22=0),1000000,INDEX('計算A'!FL$110:FL$114,$F22+1)+IF(AND($E22=1,SL22=0),1000,0)),1000000))</f>
        <v/>
      </c>
      <c r="ABT22">
        <f>IF($B22=0,1000000,IF(INDEX('計算A'!$D$60:$II$104,$B22,166)*JF22=1,IF(AND($E22=2,SM22=0),1000000,INDEX('計算A'!FM$110:FM$114,$F22+1)+IF(AND($E22=1,SM22=0),1000,0)),1000000))</f>
        <v/>
      </c>
      <c r="ABU22">
        <f>IF($B22=0,1000000,IF(INDEX('計算A'!$D$60:$II$104,$B22,167)*JG22=1,IF(AND($E22=2,SN22=0),1000000,INDEX('計算A'!FN$110:FN$114,$F22+1)+IF(AND($E22=1,SN22=0),1000,0)),1000000))</f>
        <v/>
      </c>
      <c r="ABV22">
        <f>IF($B22=0,1000000,IF(INDEX('計算A'!$D$60:$II$104,$B22,168)*JH22=1,IF(AND($E22=2,SO22=0),1000000,INDEX('計算A'!FO$110:FO$114,$F22+1)+IF(AND($E22=1,SO22=0),1000,0)),1000000))</f>
        <v/>
      </c>
      <c r="ABW22">
        <f>IF($B22=0,1000000,IF(INDEX('計算A'!$D$60:$II$104,$B22,169)*JI22=1,IF(AND($E22=2,SP22=0),1000000,INDEX('計算A'!FP$110:FP$114,$F22+1)+IF(AND($E22=1,SP22=0),1000,0)),1000000))</f>
        <v/>
      </c>
      <c r="ABX22">
        <f>IF($B22=0,1000000,IF(INDEX('計算A'!$D$60:$II$104,$B22,170)*JJ22=1,IF(AND($E22=2,SQ22=0),1000000,INDEX('計算A'!FQ$110:FQ$114,$F22+1)+IF(AND($E22=1,SQ22=0),1000,0)),1000000))</f>
        <v/>
      </c>
      <c r="ABY22">
        <f>IF($B22=0,1000000,IF(INDEX('計算A'!$D$60:$II$104,$B22,171)*JK22=1,IF(AND($E22=2,SR22=0),1000000,INDEX('計算A'!FR$110:FR$114,$F22+1)+IF(AND($E22=1,SR22=0),1000,0)),1000000))</f>
        <v/>
      </c>
      <c r="ABZ22">
        <f>IF($B22=0,1000000,IF(INDEX('計算A'!$D$60:$II$104,$B22,172)*JL22=1,IF(AND($E22=2,SS22=0),1000000,INDEX('計算A'!FS$110:FS$114,$F22+1)+IF(AND($E22=1,SS22=0),1000,0)),1000000))</f>
        <v/>
      </c>
      <c r="ACA22">
        <f>IF($B22=0,1000000,IF(INDEX('計算A'!$D$60:$II$104,$B22,173)*JM22=1,IF(AND($E22=2,ST22=0),1000000,INDEX('計算A'!FT$110:FT$114,$F22+1)+IF(AND($E22=1,ST22=0),1000,0)),1000000))</f>
        <v/>
      </c>
      <c r="ACB22">
        <f>IF($B22=0,1000000,IF(INDEX('計算A'!$D$60:$II$104,$B22,174)*JN22=1,IF(AND($E22=2,SU22=0),1000000,INDEX('計算A'!FU$110:FU$114,$F22+1)+IF(AND($E22=1,SU22=0),1000,0)),1000000))</f>
        <v/>
      </c>
      <c r="ACC22">
        <f>IF($B22=0,1000000,IF(INDEX('計算A'!$D$60:$II$104,$B22,175)*JO22=1,IF(AND($E22=2,SV22=0),1000000,INDEX('計算A'!FV$110:FV$114,$F22+1)+IF(AND($E22=1,SV22=0),1000,0)),1000000))</f>
        <v/>
      </c>
      <c r="ACD22">
        <f>IF($B22=0,1000000,IF(INDEX('計算A'!$D$60:$II$104,$B22,176)*JP22=1,IF(AND($E22=2,SW22=0),1000000,INDEX('計算A'!FW$110:FW$114,$F22+1)+IF(AND($E22=1,SW22=0),1000,0)),1000000))</f>
        <v/>
      </c>
      <c r="ACE22">
        <f>IF($B22=0,1000000,IF(INDEX('計算A'!$D$60:$II$104,$B22,177)*JQ22=1,IF(AND($E22=2,SX22=0),1000000,INDEX('計算A'!FX$110:FX$114,$F22+1)+IF(AND($E22=1,SX22=0),1000,0)),1000000))</f>
        <v/>
      </c>
      <c r="ACF22">
        <f>IF($B22=0,1000000,IF(INDEX('計算A'!$D$60:$II$104,$B22,178)*JR22=1,IF(AND($E22=2,SY22=0),1000000,INDEX('計算A'!FY$110:FY$114,$F22+1)+IF(AND($E22=1,SY22=0),1000,0)),1000000))</f>
        <v/>
      </c>
      <c r="ACG22">
        <f>IF($B22=0,1000000,IF(INDEX('計算A'!$D$60:$II$104,$B22,179)*JS22=1,IF(AND($E22=2,SZ22=0),1000000,INDEX('計算A'!FZ$110:FZ$114,$F22+1)+IF(AND($E22=1,SZ22=0),1000,0)),1000000))</f>
        <v/>
      </c>
      <c r="ACH22">
        <f>IF($B22=0,1000000,IF(INDEX('計算A'!$D$60:$II$104,$B22,180)*JT22=1,IF(AND($E22=2,TA22=0),1000000,INDEX('計算A'!GA$110:GA$114,$F22+1)+IF(AND($E22=1,TA22=0),1000,0)),1000000))</f>
        <v/>
      </c>
      <c r="ACI22">
        <f>IF($B22=0,1000000,IF(INDEX('計算A'!$D$60:$II$104,$B22,181)*JU22=1,IF(AND($E22=2,TB22=0),1000000,INDEX('計算A'!GB$110:GB$114,$F22+1)+IF(AND($E22=1,TB22=0),1000,0)),1000000))</f>
        <v/>
      </c>
      <c r="ACJ22">
        <f>IF($B22=0,1000000,IF(INDEX('計算A'!$D$60:$II$104,$B22,182)*JV22=1,IF(AND($E22=2,TC22=0),1000000,INDEX('計算A'!GC$110:GC$114,$F22+1)+IF(AND($E22=1,TC22=0),1000,0)),1000000))</f>
        <v/>
      </c>
      <c r="ACK22">
        <f>IF($B22=0,1000000,IF(INDEX('計算A'!$D$60:$II$104,$B22,183)*JW22=1,IF(AND($E22=2,TD22=0),1000000,INDEX('計算A'!GD$110:GD$114,$F22+1)+IF(AND($E22=1,TD22=0),1000,0)),1000000))</f>
        <v/>
      </c>
      <c r="ACL22">
        <f>IF($B22=0,1000000,IF(INDEX('計算A'!$D$60:$II$104,$B22,184)*JX22=1,IF(AND($E22=2,TE22=0),1000000,INDEX('計算A'!GE$110:GE$114,$F22+1)+IF(AND($E22=1,TE22=0),1000,0)),1000000))</f>
        <v/>
      </c>
      <c r="ACM22">
        <f>IF($B22=0,1000000,IF(INDEX('計算A'!$D$60:$II$104,$B22,185)*JY22=1,IF(AND($E22=2,TF22=0),1000000,INDEX('計算A'!GF$110:GF$114,$F22+1)+IF(AND($E22=1,TF22=0),1000,0)),1000000))</f>
        <v/>
      </c>
      <c r="ACN22">
        <f>IF($B22=0,1000000,IF(INDEX('計算A'!$D$60:$II$104,$B22,186)*JZ22=1,IF(AND($E22=2,TG22=0),1000000,INDEX('計算A'!GG$110:GG$114,$F22+1)+IF(AND($E22=1,TG22=0),1000,0)),1000000))</f>
        <v/>
      </c>
      <c r="ACO22">
        <f>IF($B22=0,1000000,IF(INDEX('計算A'!$D$60:$II$104,$B22,187)*KA22=1,IF(AND($E22=2,TH22=0),1000000,INDEX('計算A'!GH$110:GH$114,$F22+1)+IF(AND($E22=1,TH22=0),1000,0)),1000000))</f>
        <v/>
      </c>
      <c r="ACP22">
        <f>IF($B22=0,1000000,IF(INDEX('計算A'!$D$60:$II$104,$B22,188)*KB22=1,IF(AND($E22=2,TI22=0),1000000,INDEX('計算A'!GI$110:GI$114,$F22+1)+IF(AND($E22=1,TI22=0),1000,0)),1000000))</f>
        <v/>
      </c>
      <c r="ACQ22">
        <f>IF($B22=0,1000000,IF(INDEX('計算A'!$D$60:$II$104,$B22,189)*KC22=1,IF(AND($E22=2,TJ22=0),1000000,INDEX('計算A'!GJ$110:GJ$114,$F22+1)+IF(AND($E22=1,TJ22=0),1000,0)),1000000))</f>
        <v/>
      </c>
      <c r="ACR22">
        <f>IF($B22=0,1000000,IF(INDEX('計算A'!$D$60:$II$104,$B22,190)*KD22=1,IF(AND($E22=2,TK22=0),1000000,INDEX('計算A'!GK$110:GK$114,$F22+1)+IF(AND($E22=1,TK22=0),1000,0)),1000000))</f>
        <v/>
      </c>
      <c r="ACS22">
        <f>IF($B22=0,1000000,IF(INDEX('計算A'!$D$60:$II$104,$B22,191)*KE22=1,IF(AND($E22=2,TL22=0),1000000,INDEX('計算A'!GL$110:GL$114,$F22+1)+IF(AND($E22=1,TL22=0),1000,0)),1000000))</f>
        <v/>
      </c>
      <c r="ACT22">
        <f>IF($B22=0,1000000,IF(INDEX('計算A'!$D$60:$II$104,$B22,192)*KF22=1,IF(AND($E22=2,TM22=0),1000000,INDEX('計算A'!GM$110:GM$114,$F22+1)+IF(AND($E22=1,TM22=0),1000,0)),1000000))</f>
        <v/>
      </c>
      <c r="ACU22">
        <f>IF($B22=0,1000000,IF(INDEX('計算A'!$D$60:$II$104,$B22,193)*KG22=1,IF(AND($E22=2,TN22=0),1000000,INDEX('計算A'!GN$110:GN$114,$F22+1)+IF(AND($E22=1,TN22=0),1000,0)),1000000))</f>
        <v/>
      </c>
      <c r="ACV22">
        <f>IF($B22=0,1000000,IF(INDEX('計算A'!$D$60:$II$104,$B22,194)*KH22=1,IF(AND($E22=2,TO22=0),1000000,INDEX('計算A'!GO$110:GO$114,$F22+1)+IF(AND($E22=1,TO22=0),1000,0)),1000000))</f>
        <v/>
      </c>
      <c r="ACW22">
        <f>IF($B22=0,1000000,IF(INDEX('計算A'!$D$60:$II$104,$B22,195)*KI22=1,IF(AND($E22=2,TP22=0),1000000,INDEX('計算A'!GP$110:GP$114,$F22+1)+IF(AND($E22=1,TP22=0),1000,0)),1000000))</f>
        <v/>
      </c>
      <c r="ACX22">
        <f>IF($B22=0,1000000,IF(INDEX('計算A'!$D$60:$II$104,$B22,196)*KJ22=1,IF(AND($E22=2,TQ22=0),1000000,INDEX('計算A'!GQ$110:GQ$114,$F22+1)+IF(AND($E22=1,TQ22=0),1000,0)),1000000))</f>
        <v/>
      </c>
      <c r="ACY22">
        <f>IF($B22=0,1000000,IF(INDEX('計算A'!$D$60:$II$104,$B22,197)*KK22=1,IF(AND($E22=2,TR22=0),1000000,INDEX('計算A'!GR$110:GR$114,$F22+1)+IF(AND($E22=1,TR22=0),1000,0)),1000000))</f>
        <v/>
      </c>
      <c r="ACZ22">
        <f>IF($B22=0,1000000,IF(INDEX('計算A'!$D$60:$II$104,$B22,198)*KL22=1,IF(AND($E22=2,TS22=0),1000000,INDEX('計算A'!GS$110:GS$114,$F22+1)+IF(AND($E22=1,TS22=0),1000,0)),1000000))</f>
        <v/>
      </c>
      <c r="ADA22">
        <f>IF($B22=0,1000000,IF(INDEX('計算A'!$D$60:$II$104,$B22,199)*KM22=1,IF(AND($E22=2,TT22=0),1000000,INDEX('計算A'!GT$110:GT$114,$F22+1)+IF(AND($E22=1,TT22=0),1000,0)),1000000))</f>
        <v/>
      </c>
      <c r="ADB22">
        <f>IF($B22=0,1000000,IF(INDEX('計算A'!$D$60:$II$104,$B22,200)*KN22=1,IF(AND($E22=2,TU22=0),1000000,INDEX('計算A'!GU$110:GU$114,$F22+1)+IF(AND($E22=1,TU22=0),1000,0)),1000000))</f>
        <v/>
      </c>
      <c r="ADC22">
        <f>IF($B22=0,1000000,IF(INDEX('計算A'!$D$60:$II$104,$B22,201)*KO22=1,IF(AND($E22=2,TV22=0),1000000,INDEX('計算A'!GV$110:GV$114,$F22+1)+IF(AND($E22=1,TV22=0),1000,0)),1000000))</f>
        <v/>
      </c>
      <c r="ADD22">
        <f>IF($B22=0,1000000,IF(INDEX('計算A'!$D$60:$II$104,$B22,202)*KP22=1,IF(AND($E22=2,TW22=0),1000000,INDEX('計算A'!GW$110:GW$114,$F22+1)+IF(AND($E22=1,TW22=0),1000,0)),1000000))</f>
        <v/>
      </c>
      <c r="ADE22">
        <f>IF($B22=0,1000000,IF(INDEX('計算A'!$D$60:$II$104,$B22,203)*KQ22=1,IF(AND($E22=2,TX22=0),1000000,INDEX('計算A'!GX$110:GX$114,$F22+1)+IF(AND($E22=1,TX22=0),1000,0)),1000000))</f>
        <v/>
      </c>
      <c r="ADF22">
        <f>IF($B22=0,1000000,IF(INDEX('計算A'!$D$60:$II$104,$B22,204)*KR22=1,IF(AND($E22=2,TY22=0),1000000,INDEX('計算A'!GY$110:GY$114,$F22+1)+IF(AND($E22=1,TY22=0),1000,0)),1000000))</f>
        <v/>
      </c>
      <c r="ADG22">
        <f>IF($B22=0,1000000,IF(INDEX('計算A'!$D$60:$II$104,$B22,205)*KS22=1,IF(AND($E22=2,TZ22=0),1000000,INDEX('計算A'!GZ$110:GZ$114,$F22+1)+IF(AND($E22=1,TZ22=0),1000,0)),1000000))</f>
        <v/>
      </c>
      <c r="ADH22">
        <f>IF($B22=0,1000000,IF(INDEX('計算A'!$D$60:$II$104,$B22,206)*KT22=1,IF(AND($E22=2,UA22=0),1000000,INDEX('計算A'!HA$110:HA$114,$F22+1)+IF(AND($E22=1,UA22=0),1000,0)),1000000))</f>
        <v/>
      </c>
      <c r="ADI22">
        <f>IF($B22=0,1000000,IF(INDEX('計算A'!$D$60:$II$104,$B22,207)*KU22=1,IF(AND($E22=2,UB22=0),1000000,INDEX('計算A'!HB$110:HB$114,$F22+1)+IF(AND($E22=1,UB22=0),1000,0)),1000000))</f>
        <v/>
      </c>
      <c r="ADJ22">
        <f>IF($B22=0,1000000,IF(INDEX('計算A'!$D$60:$II$104,$B22,208)*KV22=1,IF(AND($E22=2,UC22=0),1000000,INDEX('計算A'!HC$110:HC$114,$F22+1)+IF(AND($E22=1,UC22=0),1000,0)),1000000))</f>
        <v/>
      </c>
      <c r="ADK22">
        <f>IF($B22=0,1000000,IF(INDEX('計算A'!$D$60:$II$104,$B22,209)*KW22=1,IF(AND($E22=2,UD22=0),1000000,INDEX('計算A'!HD$110:HD$114,$F22+1)+IF(AND($E22=1,UD22=0),1000,0)),1000000))</f>
        <v/>
      </c>
      <c r="ADL22">
        <f>IF($B22=0,1000000,IF(INDEX('計算A'!$D$60:$II$104,$B22,210)*KX22=1,IF(AND($E22=2,UE22=0),1000000,INDEX('計算A'!HE$110:HE$114,$F22+1)+IF(AND($E22=1,UE22=0),1000,0)),1000000))</f>
        <v/>
      </c>
      <c r="ADM22">
        <f>IF($B22=0,1000000,IF(INDEX('計算A'!$D$60:$II$104,$B22,211)*KY22=1,IF(AND($E22=2,UF22=0),1000000,INDEX('計算A'!HF$110:HF$114,$F22+1)+IF(AND($E22=1,UF22=0),1000,0)),1000000))</f>
        <v/>
      </c>
      <c r="ADN22">
        <f>IF($B22=0,1000000,IF(INDEX('計算A'!$D$60:$II$104,$B22,212)*KZ22=1,IF(AND($E22=2,UG22=0),1000000,INDEX('計算A'!HG$110:HG$114,$F22+1)+IF(AND($E22=1,UG22=0),1000,0)),1000000))</f>
        <v/>
      </c>
      <c r="ADO22">
        <f>IF($B22=0,1000000,IF(INDEX('計算A'!$D$60:$II$104,$B22,213)*LA22=1,IF(AND($E22=2,UH22=0),1000000,INDEX('計算A'!HH$110:HH$114,$F22+1)+IF(AND($E22=1,UH22=0),1000,0)),1000000))</f>
        <v/>
      </c>
      <c r="ADP22">
        <f>IF($B22=0,1000000,IF(INDEX('計算A'!$D$60:$II$104,$B22,214)*LB22=1,IF(AND($E22=2,UI22=0),1000000,INDEX('計算A'!HI$110:HI$114,$F22+1)+IF(AND($E22=1,UI22=0),1000,0)),1000000))</f>
        <v/>
      </c>
      <c r="ADQ22">
        <f>IF($B22=0,1000000,IF(INDEX('計算A'!$D$60:$II$104,$B22,215)*LC22=1,IF(AND($E22=2,UJ22=0),1000000,INDEX('計算A'!HJ$110:HJ$114,$F22+1)+IF(AND($E22=1,UJ22=0),1000,0)),1000000))</f>
        <v/>
      </c>
      <c r="ADR22">
        <f>IF($B22=0,1000000,IF(INDEX('計算A'!$D$60:$II$104,$B22,216)*LD22=1,IF(AND($E22=2,UK22=0),1000000,INDEX('計算A'!HK$110:HK$114,$F22+1)+IF(AND($E22=1,UK22=0),1000,0)),1000000))</f>
        <v/>
      </c>
      <c r="ADS22">
        <f>IF($B22=0,1000000,IF(INDEX('計算A'!$D$60:$II$104,$B22,217)*LE22=1,IF(AND($E22=2,UL22=0),1000000,INDEX('計算A'!HL$110:HL$114,$F22+1)+IF(AND($E22=1,UL22=0),1000,0)),1000000))</f>
        <v/>
      </c>
      <c r="ADT22">
        <f>IF($B22=0,1000000,IF(INDEX('計算A'!$D$60:$II$104,$B22,218)*LF22=1,IF(AND($E22=2,UM22=0),1000000,INDEX('計算A'!HM$110:HM$114,$F22+1)+IF(AND($E22=1,UM22=0),1000,0)),1000000))</f>
        <v/>
      </c>
      <c r="ADU22">
        <f>IF($B22=0,1000000,IF(INDEX('計算A'!$D$60:$II$104,$B22,219)*LG22=1,IF(AND($E22=2,UN22=0),1000000,INDEX('計算A'!HN$110:HN$114,$F22+1)+IF(AND($E22=1,UN22=0),1000,0)),1000000))</f>
        <v/>
      </c>
      <c r="ADV22">
        <f>IF($B22=0,1000000,IF(INDEX('計算A'!$D$60:$II$104,$B22,220)*LH22=1,IF(AND($E22=2,UO22=0),1000000,INDEX('計算A'!HO$110:HO$114,$F22+1)+IF(AND($E22=1,UO22=0),1000,0)),1000000))</f>
        <v/>
      </c>
      <c r="ADW22">
        <f>IF($B22=0,1000000,IF(INDEX('計算A'!$D$60:$II$104,$B22,221)*LI22=1,IF(AND($E22=2,UP22=0),1000000,INDEX('計算A'!HP$110:HP$114,$F22+1)+IF(AND($E22=1,UP22=0),1000,0)),1000000))</f>
        <v/>
      </c>
      <c r="ADX22">
        <f>IF($B22=0,1000000,IF(INDEX('計算A'!$D$60:$II$104,$B22,222)*LJ22=1,IF(AND($E22=2,UQ22=0),1000000,INDEX('計算A'!HQ$110:HQ$114,$F22+1)+IF(AND($E22=1,UQ22=0),1000,0)),1000000))</f>
        <v/>
      </c>
      <c r="ADY22">
        <f>IF($B22=0,1000000,IF(INDEX('計算A'!$D$60:$II$104,$B22,223)*LK22=1,IF(AND($E22=2,UR22=0),1000000,INDEX('計算A'!HR$110:HR$114,$F22+1)+IF(AND($E22=1,UR22=0),1000,0)),1000000))</f>
        <v/>
      </c>
      <c r="ADZ22">
        <f>IF($B22=0,1000000,IF(INDEX('計算A'!$D$60:$II$104,$B22,224)*LL22=1,IF(AND($E22=2,US22=0),1000000,INDEX('計算A'!HS$110:HS$114,$F22+1)+IF(AND($E22=1,US22=0),1000,0)),1000000))</f>
        <v/>
      </c>
      <c r="AEA22">
        <f>IF($B22=0,1000000,IF(INDEX('計算A'!$D$60:$II$104,$B22,225)*LM22=1,IF(AND($E22=2,UT22=0),1000000,INDEX('計算A'!HT$110:HT$114,$F22+1)+IF(AND($E22=1,UT22=0),1000,0)),1000000))</f>
        <v/>
      </c>
      <c r="AEB22">
        <f>IF($B22=0,1000000,IF(INDEX('計算A'!$D$60:$II$104,$B22,226)*LN22=1,IF(AND($E22=2,UU22=0),1000000,INDEX('計算A'!HU$110:HU$114,$F22+1)+IF(AND($E22=1,UU22=0),1000,0)),1000000))</f>
        <v/>
      </c>
      <c r="AEC22">
        <f>IF($B22=0,1000000,IF(INDEX('計算A'!$D$60:$II$104,$B22,227)*LO22=1,IF(AND($E22=2,UV22=0),1000000,INDEX('計算A'!HV$110:HV$114,$F22+1)+IF(AND($E22=1,UV22=0),1000,0)),1000000))</f>
        <v/>
      </c>
      <c r="AED22">
        <f>IF($B22=0,1000000,IF(INDEX('計算A'!$D$60:$II$104,$B22,228)*LP22=1,IF(AND($E22=2,UW22=0),1000000,INDEX('計算A'!HW$110:HW$114,$F22+1)+IF(AND($E22=1,UW22=0),1000,0)),1000000))</f>
        <v/>
      </c>
      <c r="AEE22">
        <f>IF($B22=0,1000000,IF(INDEX('計算A'!$D$60:$II$104,$B22,229)*LQ22=1,IF(AND($E22=2,UX22=0),1000000,INDEX('計算A'!HX$110:HX$114,$F22+1)+IF(AND($E22=1,UX22=0),1000,0)),1000000))</f>
        <v/>
      </c>
      <c r="AEF22">
        <f>IF($B22=0,1000000,IF(INDEX('計算A'!$D$60:$II$104,$B22,230)*LR22=1,IF(AND($E22=2,UY22=0),1000000,INDEX('計算A'!HY$110:HY$114,$F22+1)+IF(AND($E22=1,UY22=0),1000,0)),1000000))</f>
        <v/>
      </c>
      <c r="AEG22">
        <f>IF($B22=0,1000000,IF(INDEX('計算A'!$D$60:$II$104,$B22,231)*LS22=1,IF(AND($E22=2,UZ22=0),1000000,INDEX('計算A'!HZ$110:HZ$114,$F22+1)+IF(AND($E22=1,UZ22=0),1000,0)),1000000))</f>
        <v/>
      </c>
      <c r="AEH22">
        <f>IF($B22=0,1000000,IF(INDEX('計算A'!$D$60:$II$104,$B22,232)*LT22=1,IF(AND($E22=2,VA22=0),1000000,INDEX('計算A'!IA$110:IA$114,$F22+1)+IF(AND($E22=1,VA22=0),1000,0)),1000000))</f>
        <v/>
      </c>
      <c r="AEI22">
        <f>IF($B22=0,1000000,IF(INDEX('計算A'!$D$60:$II$104,$B22,233)*LU22=1,IF(AND($E22=2,VB22=0),1000000,INDEX('計算A'!IB$110:IB$114,$F22+1)+IF(AND($E22=1,VB22=0),1000,0)),1000000))</f>
        <v/>
      </c>
      <c r="AEJ22">
        <f>IF($B22=0,1000000,IF(INDEX('計算A'!$D$60:$II$104,$B22,234)*LV22=1,IF(AND($E22=2,VC22=0),1000000,INDEX('計算A'!IC$110:IC$114,$F22+1)+IF(AND($E22=1,VC22=0),1000,0)),1000000))</f>
        <v/>
      </c>
      <c r="AEK22">
        <f>IF($B22=0,1000000,IF(INDEX('計算A'!$D$60:$II$104,$B22,235)*LW22=1,IF(AND($E22=2,VD22=0),1000000,INDEX('計算A'!ID$110:ID$114,$F22+1)+IF(AND($E22=1,VD22=0),1000,0)),1000000))</f>
        <v/>
      </c>
      <c r="AEL22">
        <f>IF($B22=0,1000000,IF(INDEX('計算A'!$D$60:$II$104,$B22,236)*LX22=1,IF(AND($E22=2,VE22=0),1000000,INDEX('計算A'!IE$110:IE$114,$F22+1)+IF(AND($E22=1,VE22=0),1000,0)),1000000))</f>
        <v/>
      </c>
      <c r="AEM22">
        <f>IF($B22=0,1000000,IF(INDEX('計算A'!$D$60:$II$104,$B22,237)*LY22=1,IF(AND($E22=2,VF22=0),1000000,INDEX('計算A'!IF$110:IF$114,$F22+1)+IF(AND($E22=1,VF22=0),1000,0)),1000000))</f>
        <v/>
      </c>
      <c r="AEN22">
        <f>IF($B22=0,1000000,IF(INDEX('計算A'!$D$60:$II$104,$B22,238)*LZ22=1,IF(AND($E22=2,VG22=0),1000000,INDEX('計算A'!IG$110:IG$114,$F22+1)+IF(AND($E22=1,VG22=0),1000,0)),1000000))</f>
        <v/>
      </c>
      <c r="AEO22">
        <f>IF($B22=0,1000000,IF(INDEX('計算A'!$D$60:$II$104,$B22,239)*MA22=1,IF(AND($E22=2,VH22=0),1000000,INDEX('計算A'!IH$110:IH$114,$F22+1)+IF(AND($E22=1,VH22=0),1000,0)),1000000))</f>
        <v/>
      </c>
      <c r="AEP22">
        <f>IF($B22=0,1000000,IF(INDEX('計算A'!$D$60:$II$104,$B22,240)*MB22=1,IF(AND($E22=2,VI22=0),1000000,INDEX('計算A'!II$110:II$114,$F22+1)+IF(AND($E22=1,VI22=0),1000,0)),1000000))</f>
        <v/>
      </c>
    </row>
    <row r="23">
      <c r="A23" t="n">
        <v>21</v>
      </c>
      <c r="B23">
        <f>IF(MIN(BC23:CU23)&gt;=1000000,0,MATCH(MIN(BC23:CU23),BC23:CU23,0))</f>
        <v/>
      </c>
      <c r="C23">
        <f>IF(MIN(VK23:AEP23)&gt;=1000000,0,MATCH(MIN(VK23:AEP23),VK23:AEP23,0))</f>
        <v/>
      </c>
      <c r="D23">
        <f>IF(C23&gt;0,INDEX('計算A'!$D$5:$II$5,C23),0)</f>
        <v/>
      </c>
      <c r="E23">
        <f>IF(B23=0,0,INDEX('計算A'!$IQ$10:$IQ$54,B23))</f>
        <v/>
      </c>
      <c r="F23">
        <f>IF(B23=0,0,INDEX('計算A'!$IP$10:$IP$54,B23))</f>
        <v/>
      </c>
      <c r="G23">
        <f>IF(AND(C23&gt;0,E23&gt;0),IF(AND(INDEX('計算A'!$D$106:$II$106,C23)=1,INDEX($MD23:$VI23,C23)=1),C23+1,0),0)</f>
        <v/>
      </c>
      <c r="I23">
        <f>MAX(I22,IF($B22=1,1,0))</f>
        <v/>
      </c>
      <c r="J23">
        <f>MAX(J22,IF($B22=2,1,0))</f>
        <v/>
      </c>
      <c r="K23">
        <f>MAX(K22,IF($B22=3,1,0))</f>
        <v/>
      </c>
      <c r="L23">
        <f>MAX(L22,IF($B22=4,1,0))</f>
        <v/>
      </c>
      <c r="M23">
        <f>MAX(M22,IF($B22=5,1,0))</f>
        <v/>
      </c>
      <c r="N23">
        <f>MAX(N22,IF($B22=6,1,0))</f>
        <v/>
      </c>
      <c r="O23">
        <f>MAX(O22,IF($B22=7,1,0))</f>
        <v/>
      </c>
      <c r="P23">
        <f>MAX(P22,IF($B22=8,1,0))</f>
        <v/>
      </c>
      <c r="Q23">
        <f>MAX(Q22,IF($B22=9,1,0))</f>
        <v/>
      </c>
      <c r="R23">
        <f>MAX(R22,IF($B22=10,1,0))</f>
        <v/>
      </c>
      <c r="S23">
        <f>MAX(S22,IF($B22=11,1,0))</f>
        <v/>
      </c>
      <c r="T23">
        <f>MAX(T22,IF($B22=12,1,0))</f>
        <v/>
      </c>
      <c r="U23">
        <f>MAX(U22,IF($B22=13,1,0))</f>
        <v/>
      </c>
      <c r="V23">
        <f>MAX(V22,IF($B22=14,1,0))</f>
        <v/>
      </c>
      <c r="W23">
        <f>MAX(W22,IF($B22=15,1,0))</f>
        <v/>
      </c>
      <c r="X23">
        <f>MAX(X22,IF($B22=16,1,0))</f>
        <v/>
      </c>
      <c r="Y23">
        <f>MAX(Y22,IF($B22=17,1,0))</f>
        <v/>
      </c>
      <c r="Z23">
        <f>MAX(Z22,IF($B22=18,1,0))</f>
        <v/>
      </c>
      <c r="AA23">
        <f>MAX(AA22,IF($B22=19,1,0))</f>
        <v/>
      </c>
      <c r="AB23">
        <f>MAX(AB22,IF($B22=20,1,0))</f>
        <v/>
      </c>
      <c r="AC23">
        <f>MAX(AC22,IF($B22=21,1,0))</f>
        <v/>
      </c>
      <c r="AD23">
        <f>MAX(AD22,IF($B22=22,1,0))</f>
        <v/>
      </c>
      <c r="AE23">
        <f>MAX(AE22,IF($B22=23,1,0))</f>
        <v/>
      </c>
      <c r="AF23">
        <f>MAX(AF22,IF($B22=24,1,0))</f>
        <v/>
      </c>
      <c r="AG23">
        <f>MAX(AG22,IF($B22=25,1,0))</f>
        <v/>
      </c>
      <c r="AH23">
        <f>MAX(AH22,IF($B22=26,1,0))</f>
        <v/>
      </c>
      <c r="AI23">
        <f>MAX(AI22,IF($B22=27,1,0))</f>
        <v/>
      </c>
      <c r="AJ23">
        <f>MAX(AJ22,IF($B22=28,1,0))</f>
        <v/>
      </c>
      <c r="AK23">
        <f>MAX(AK22,IF($B22=29,1,0))</f>
        <v/>
      </c>
      <c r="AL23">
        <f>MAX(AL22,IF($B22=30,1,0))</f>
        <v/>
      </c>
      <c r="AM23">
        <f>MAX(AM22,IF($B22=31,1,0))</f>
        <v/>
      </c>
      <c r="AN23">
        <f>MAX(AN22,IF($B22=32,1,0))</f>
        <v/>
      </c>
      <c r="AO23">
        <f>MAX(AO22,IF($B22=33,1,0))</f>
        <v/>
      </c>
      <c r="AP23">
        <f>MAX(AP22,IF($B22=34,1,0))</f>
        <v/>
      </c>
      <c r="AQ23">
        <f>MAX(AQ22,IF($B22=35,1,0))</f>
        <v/>
      </c>
      <c r="AR23">
        <f>MAX(AR22,IF($B22=36,1,0))</f>
        <v/>
      </c>
      <c r="AS23">
        <f>MAX(AS22,IF($B22=37,1,0))</f>
        <v/>
      </c>
      <c r="AT23">
        <f>MAX(AT22,IF($B22=38,1,0))</f>
        <v/>
      </c>
      <c r="AU23">
        <f>MAX(AU22,IF($B22=39,1,0))</f>
        <v/>
      </c>
      <c r="AV23">
        <f>MAX(AV22,IF($B22=40,1,0))</f>
        <v/>
      </c>
      <c r="AW23">
        <f>MAX(AW22,IF($B22=41,1,0))</f>
        <v/>
      </c>
      <c r="AX23">
        <f>MAX(AX22,IF($B22=42,1,0))</f>
        <v/>
      </c>
      <c r="AY23">
        <f>MAX(AY22,IF($B22=43,1,0))</f>
        <v/>
      </c>
      <c r="AZ23">
        <f>MAX(AZ22,IF($B22=44,1,0))</f>
        <v/>
      </c>
      <c r="BA23">
        <f>MAX(BA22,IF($B22=45,1,0))</f>
        <v/>
      </c>
      <c r="BC23">
        <f>IF(I23=1,1000000,IF('計算A'!$IQ$10=2,SUMPRODUCT('計算A'!$D$60:$II$60,$CW23:$MB23,$MD23:$VI23),SUMPRODUCT('計算A'!$D$60:$II$60,$CW23:$MB23))*1000+1)</f>
        <v/>
      </c>
      <c r="BD23">
        <f>IF(J23=1,1000000,IF('計算A'!$IQ$11=2,SUMPRODUCT('計算A'!$D$61:$II$61,$CW23:$MB23,$MD23:$VI23),SUMPRODUCT('計算A'!$D$61:$II$61,$CW23:$MB23))*1000+2)</f>
        <v/>
      </c>
      <c r="BE23">
        <f>IF(K23=1,1000000,IF('計算A'!$IQ$12=2,SUMPRODUCT('計算A'!$D$62:$II$62,$CW23:$MB23,$MD23:$VI23),SUMPRODUCT('計算A'!$D$62:$II$62,$CW23:$MB23))*1000+3)</f>
        <v/>
      </c>
      <c r="BF23">
        <f>IF(L23=1,1000000,IF('計算A'!$IQ$13=2,SUMPRODUCT('計算A'!$D$63:$II$63,$CW23:$MB23,$MD23:$VI23),SUMPRODUCT('計算A'!$D$63:$II$63,$CW23:$MB23))*1000+4)</f>
        <v/>
      </c>
      <c r="BG23">
        <f>IF(M23=1,1000000,IF('計算A'!$IQ$14=2,SUMPRODUCT('計算A'!$D$64:$II$64,$CW23:$MB23,$MD23:$VI23),SUMPRODUCT('計算A'!$D$64:$II$64,$CW23:$MB23))*1000+5)</f>
        <v/>
      </c>
      <c r="BH23">
        <f>IF(N23=1,1000000,IF('計算A'!$IQ$15=2,SUMPRODUCT('計算A'!$D$65:$II$65,$CW23:$MB23,$MD23:$VI23),SUMPRODUCT('計算A'!$D$65:$II$65,$CW23:$MB23))*1000+6)</f>
        <v/>
      </c>
      <c r="BI23">
        <f>IF(O23=1,1000000,IF('計算A'!$IQ$16=2,SUMPRODUCT('計算A'!$D$66:$II$66,$CW23:$MB23,$MD23:$VI23),SUMPRODUCT('計算A'!$D$66:$II$66,$CW23:$MB23))*1000+7)</f>
        <v/>
      </c>
      <c r="BJ23">
        <f>IF(P23=1,1000000,IF('計算A'!$IQ$17=2,SUMPRODUCT('計算A'!$D$67:$II$67,$CW23:$MB23,$MD23:$VI23),SUMPRODUCT('計算A'!$D$67:$II$67,$CW23:$MB23))*1000+8)</f>
        <v/>
      </c>
      <c r="BK23">
        <f>IF(Q23=1,1000000,IF('計算A'!$IQ$18=2,SUMPRODUCT('計算A'!$D$68:$II$68,$CW23:$MB23,$MD23:$VI23),SUMPRODUCT('計算A'!$D$68:$II$68,$CW23:$MB23))*1000+9)</f>
        <v/>
      </c>
      <c r="BL23">
        <f>IF(R23=1,1000000,IF('計算A'!$IQ$19=2,SUMPRODUCT('計算A'!$D$69:$II$69,$CW23:$MB23,$MD23:$VI23),SUMPRODUCT('計算A'!$D$69:$II$69,$CW23:$MB23))*1000+10)</f>
        <v/>
      </c>
      <c r="BM23">
        <f>IF(S23=1,1000000,IF('計算A'!$IQ$20=2,SUMPRODUCT('計算A'!$D$70:$II$70,$CW23:$MB23,$MD23:$VI23),SUMPRODUCT('計算A'!$D$70:$II$70,$CW23:$MB23))*1000+11)</f>
        <v/>
      </c>
      <c r="BN23">
        <f>IF(T23=1,1000000,IF('計算A'!$IQ$21=2,SUMPRODUCT('計算A'!$D$71:$II$71,$CW23:$MB23,$MD23:$VI23),SUMPRODUCT('計算A'!$D$71:$II$71,$CW23:$MB23))*1000+12)</f>
        <v/>
      </c>
      <c r="BO23">
        <f>IF(U23=1,1000000,IF('計算A'!$IQ$22=2,SUMPRODUCT('計算A'!$D$72:$II$72,$CW23:$MB23,$MD23:$VI23),SUMPRODUCT('計算A'!$D$72:$II$72,$CW23:$MB23))*1000+13)</f>
        <v/>
      </c>
      <c r="BP23">
        <f>IF(V23=1,1000000,IF('計算A'!$IQ$23=2,SUMPRODUCT('計算A'!$D$73:$II$73,$CW23:$MB23,$MD23:$VI23),SUMPRODUCT('計算A'!$D$73:$II$73,$CW23:$MB23))*1000+14)</f>
        <v/>
      </c>
      <c r="BQ23">
        <f>IF(W23=1,1000000,IF('計算A'!$IQ$24=2,SUMPRODUCT('計算A'!$D$74:$II$74,$CW23:$MB23,$MD23:$VI23),SUMPRODUCT('計算A'!$D$74:$II$74,$CW23:$MB23))*1000+15)</f>
        <v/>
      </c>
      <c r="BR23">
        <f>IF(X23=1,1000000,IF('計算A'!$IQ$25=2,SUMPRODUCT('計算A'!$D$75:$II$75,$CW23:$MB23,$MD23:$VI23),SUMPRODUCT('計算A'!$D$75:$II$75,$CW23:$MB23))*1000+16)</f>
        <v/>
      </c>
      <c r="BS23">
        <f>IF(Y23=1,1000000,IF('計算A'!$IQ$26=2,SUMPRODUCT('計算A'!$D$76:$II$76,$CW23:$MB23,$MD23:$VI23),SUMPRODUCT('計算A'!$D$76:$II$76,$CW23:$MB23))*1000+17)</f>
        <v/>
      </c>
      <c r="BT23">
        <f>IF(Z23=1,1000000,IF('計算A'!$IQ$27=2,SUMPRODUCT('計算A'!$D$77:$II$77,$CW23:$MB23,$MD23:$VI23),SUMPRODUCT('計算A'!$D$77:$II$77,$CW23:$MB23))*1000+18)</f>
        <v/>
      </c>
      <c r="BU23">
        <f>IF(AA23=1,1000000,IF('計算A'!$IQ$28=2,SUMPRODUCT('計算A'!$D$78:$II$78,$CW23:$MB23,$MD23:$VI23),SUMPRODUCT('計算A'!$D$78:$II$78,$CW23:$MB23))*1000+19)</f>
        <v/>
      </c>
      <c r="BV23">
        <f>IF(AB23=1,1000000,IF('計算A'!$IQ$29=2,SUMPRODUCT('計算A'!$D$79:$II$79,$CW23:$MB23,$MD23:$VI23),SUMPRODUCT('計算A'!$D$79:$II$79,$CW23:$MB23))*1000+20)</f>
        <v/>
      </c>
      <c r="BW23">
        <f>IF(AC23=1,1000000,IF('計算A'!$IQ$30=2,SUMPRODUCT('計算A'!$D$80:$II$80,$CW23:$MB23,$MD23:$VI23),SUMPRODUCT('計算A'!$D$80:$II$80,$CW23:$MB23))*1000+21)</f>
        <v/>
      </c>
      <c r="BX23">
        <f>IF(AD23=1,1000000,IF('計算A'!$IQ$31=2,SUMPRODUCT('計算A'!$D$81:$II$81,$CW23:$MB23,$MD23:$VI23),SUMPRODUCT('計算A'!$D$81:$II$81,$CW23:$MB23))*1000+22)</f>
        <v/>
      </c>
      <c r="BY23">
        <f>IF(AE23=1,1000000,IF('計算A'!$IQ$32=2,SUMPRODUCT('計算A'!$D$82:$II$82,$CW23:$MB23,$MD23:$VI23),SUMPRODUCT('計算A'!$D$82:$II$82,$CW23:$MB23))*1000+23)</f>
        <v/>
      </c>
      <c r="BZ23">
        <f>IF(AF23=1,1000000,IF('計算A'!$IQ$33=2,SUMPRODUCT('計算A'!$D$83:$II$83,$CW23:$MB23,$MD23:$VI23),SUMPRODUCT('計算A'!$D$83:$II$83,$CW23:$MB23))*1000+24)</f>
        <v/>
      </c>
      <c r="CA23">
        <f>IF(AG23=1,1000000,IF('計算A'!$IQ$34=2,SUMPRODUCT('計算A'!$D$84:$II$84,$CW23:$MB23,$MD23:$VI23),SUMPRODUCT('計算A'!$D$84:$II$84,$CW23:$MB23))*1000+25)</f>
        <v/>
      </c>
      <c r="CB23">
        <f>IF(AH23=1,1000000,IF('計算A'!$IQ$35=2,SUMPRODUCT('計算A'!$D$85:$II$85,$CW23:$MB23,$MD23:$VI23),SUMPRODUCT('計算A'!$D$85:$II$85,$CW23:$MB23))*1000+26)</f>
        <v/>
      </c>
      <c r="CC23">
        <f>IF(AI23=1,1000000,IF('計算A'!$IQ$36=2,SUMPRODUCT('計算A'!$D$86:$II$86,$CW23:$MB23,$MD23:$VI23),SUMPRODUCT('計算A'!$D$86:$II$86,$CW23:$MB23))*1000+27)</f>
        <v/>
      </c>
      <c r="CD23">
        <f>IF(AJ23=1,1000000,IF('計算A'!$IQ$37=2,SUMPRODUCT('計算A'!$D$87:$II$87,$CW23:$MB23,$MD23:$VI23),SUMPRODUCT('計算A'!$D$87:$II$87,$CW23:$MB23))*1000+28)</f>
        <v/>
      </c>
      <c r="CE23">
        <f>IF(AK23=1,1000000,IF('計算A'!$IQ$38=2,SUMPRODUCT('計算A'!$D$88:$II$88,$CW23:$MB23,$MD23:$VI23),SUMPRODUCT('計算A'!$D$88:$II$88,$CW23:$MB23))*1000+29)</f>
        <v/>
      </c>
      <c r="CF23">
        <f>IF(AL23=1,1000000,IF('計算A'!$IQ$39=2,SUMPRODUCT('計算A'!$D$89:$II$89,$CW23:$MB23,$MD23:$VI23),SUMPRODUCT('計算A'!$D$89:$II$89,$CW23:$MB23))*1000+30)</f>
        <v/>
      </c>
      <c r="CG23">
        <f>IF(AM23=1,1000000,IF('計算A'!$IQ$40=2,SUMPRODUCT('計算A'!$D$90:$II$90,$CW23:$MB23,$MD23:$VI23),SUMPRODUCT('計算A'!$D$90:$II$90,$CW23:$MB23))*1000+31)</f>
        <v/>
      </c>
      <c r="CH23">
        <f>IF(AN23=1,1000000,IF('計算A'!$IQ$41=2,SUMPRODUCT('計算A'!$D$91:$II$91,$CW23:$MB23,$MD23:$VI23),SUMPRODUCT('計算A'!$D$91:$II$91,$CW23:$MB23))*1000+32)</f>
        <v/>
      </c>
      <c r="CI23">
        <f>IF(AO23=1,1000000,IF('計算A'!$IQ$42=2,SUMPRODUCT('計算A'!$D$92:$II$92,$CW23:$MB23,$MD23:$VI23),SUMPRODUCT('計算A'!$D$92:$II$92,$CW23:$MB23))*1000+33)</f>
        <v/>
      </c>
      <c r="CJ23">
        <f>IF(AP23=1,1000000,IF('計算A'!$IQ$43=2,SUMPRODUCT('計算A'!$D$93:$II$93,$CW23:$MB23,$MD23:$VI23),SUMPRODUCT('計算A'!$D$93:$II$93,$CW23:$MB23))*1000+34)</f>
        <v/>
      </c>
      <c r="CK23">
        <f>IF(AQ23=1,1000000,IF('計算A'!$IQ$44=2,SUMPRODUCT('計算A'!$D$94:$II$94,$CW23:$MB23,$MD23:$VI23),SUMPRODUCT('計算A'!$D$94:$II$94,$CW23:$MB23))*1000+35)</f>
        <v/>
      </c>
      <c r="CL23">
        <f>IF(AR23=1,1000000,IF('計算A'!$IQ$45=2,SUMPRODUCT('計算A'!$D$95:$II$95,$CW23:$MB23,$MD23:$VI23),SUMPRODUCT('計算A'!$D$95:$II$95,$CW23:$MB23))*1000+36)</f>
        <v/>
      </c>
      <c r="CM23">
        <f>IF(AS23=1,1000000,IF('計算A'!$IQ$46=2,SUMPRODUCT('計算A'!$D$96:$II$96,$CW23:$MB23,$MD23:$VI23),SUMPRODUCT('計算A'!$D$96:$II$96,$CW23:$MB23))*1000+37)</f>
        <v/>
      </c>
      <c r="CN23">
        <f>IF(AT23=1,1000000,IF('計算A'!$IQ$47=2,SUMPRODUCT('計算A'!$D$97:$II$97,$CW23:$MB23,$MD23:$VI23),SUMPRODUCT('計算A'!$D$97:$II$97,$CW23:$MB23))*1000+38)</f>
        <v/>
      </c>
      <c r="CO23">
        <f>IF(AU23=1,1000000,IF('計算A'!$IQ$48=2,SUMPRODUCT('計算A'!$D$98:$II$98,$CW23:$MB23,$MD23:$VI23),SUMPRODUCT('計算A'!$D$98:$II$98,$CW23:$MB23))*1000+39)</f>
        <v/>
      </c>
      <c r="CP23">
        <f>IF(AV23=1,1000000,IF('計算A'!$IQ$49=2,SUMPRODUCT('計算A'!$D$99:$II$99,$CW23:$MB23,$MD23:$VI23),SUMPRODUCT('計算A'!$D$99:$II$99,$CW23:$MB23))*1000+40)</f>
        <v/>
      </c>
      <c r="CQ23">
        <f>IF(AW23=1,1000000,IF('計算A'!$IQ$50=2,SUMPRODUCT('計算A'!$D$100:$II$100,$CW23:$MB23,$MD23:$VI23),SUMPRODUCT('計算A'!$D$100:$II$100,$CW23:$MB23))*1000+41)</f>
        <v/>
      </c>
      <c r="CR23">
        <f>IF(AX23=1,1000000,IF('計算A'!$IQ$51=2,SUMPRODUCT('計算A'!$D$101:$II$101,$CW23:$MB23,$MD23:$VI23),SUMPRODUCT('計算A'!$D$101:$II$101,$CW23:$MB23))*1000+42)</f>
        <v/>
      </c>
      <c r="CS23">
        <f>IF(AY23=1,1000000,IF('計算A'!$IQ$52=2,SUMPRODUCT('計算A'!$D$102:$II$102,$CW23:$MB23,$MD23:$VI23),SUMPRODUCT('計算A'!$D$102:$II$102,$CW23:$MB23))*1000+43)</f>
        <v/>
      </c>
      <c r="CT23">
        <f>IF(AZ23=1,1000000,IF('計算A'!$IQ$53=2,SUMPRODUCT('計算A'!$D$103:$II$103,$CW23:$MB23,$MD23:$VI23),SUMPRODUCT('計算A'!$D$103:$II$103,$CW23:$MB23))*1000+44)</f>
        <v/>
      </c>
      <c r="CU23">
        <f>IF(BA23=1,1000000,IF('計算A'!$IQ$54=2,SUMPRODUCT('計算A'!$D$104:$II$104,$CW23:$MB23,$MD23:$VI23),SUMPRODUCT('計算A'!$D$104:$II$104,$CW23:$MB23))*1000+45)</f>
        <v/>
      </c>
      <c r="CW23">
        <f>CW22*IF(OR($C22=1,$G22=1),0,1)</f>
        <v/>
      </c>
      <c r="CX23">
        <f>CX22*IF(OR($C22=2,$G22=2),0,1)</f>
        <v/>
      </c>
      <c r="CY23">
        <f>CY22*IF(OR($C22=3,$G22=3),0,1)</f>
        <v/>
      </c>
      <c r="CZ23">
        <f>CZ22*IF(OR($C22=4,$G22=4),0,1)</f>
        <v/>
      </c>
      <c r="DA23">
        <f>DA22*IF(OR($C22=5,$G22=5),0,1)</f>
        <v/>
      </c>
      <c r="DB23">
        <f>DB22*IF(OR($C22=6,$G22=6),0,1)</f>
        <v/>
      </c>
      <c r="DC23">
        <f>DC22*IF(OR($C22=7,$G22=7),0,1)</f>
        <v/>
      </c>
      <c r="DD23">
        <f>DD22*IF(OR($C22=8,$G22=8),0,1)</f>
        <v/>
      </c>
      <c r="DE23">
        <f>DE22*IF(OR($C22=9,$G22=9),0,1)</f>
        <v/>
      </c>
      <c r="DF23">
        <f>DF22*IF(OR($C22=10,$G22=10),0,1)</f>
        <v/>
      </c>
      <c r="DG23">
        <f>DG22*IF(OR($C22=11,$G22=11),0,1)</f>
        <v/>
      </c>
      <c r="DH23">
        <f>DH22*IF(OR($C22=12,$G22=12),0,1)</f>
        <v/>
      </c>
      <c r="DI23">
        <f>DI22*IF(OR($C22=13,$G22=13),0,1)</f>
        <v/>
      </c>
      <c r="DJ23">
        <f>DJ22*IF(OR($C22=14,$G22=14),0,1)</f>
        <v/>
      </c>
      <c r="DK23">
        <f>DK22*IF(OR($C22=15,$G22=15),0,1)</f>
        <v/>
      </c>
      <c r="DL23">
        <f>DL22*IF(OR($C22=16,$G22=16),0,1)</f>
        <v/>
      </c>
      <c r="DM23">
        <f>DM22*IF(OR($C22=17,$G22=17),0,1)</f>
        <v/>
      </c>
      <c r="DN23">
        <f>DN22*IF(OR($C22=18,$G22=18),0,1)</f>
        <v/>
      </c>
      <c r="DO23">
        <f>DO22*IF(OR($C22=19,$G22=19),0,1)</f>
        <v/>
      </c>
      <c r="DP23">
        <f>DP22*IF(OR($C22=20,$G22=20),0,1)</f>
        <v/>
      </c>
      <c r="DQ23">
        <f>DQ22*IF(OR($C22=21,$G22=21),0,1)</f>
        <v/>
      </c>
      <c r="DR23">
        <f>DR22*IF(OR($C22=22,$G22=22),0,1)</f>
        <v/>
      </c>
      <c r="DS23">
        <f>DS22*IF(OR($C22=23,$G22=23),0,1)</f>
        <v/>
      </c>
      <c r="DT23">
        <f>DT22*IF(OR($C22=24,$G22=24),0,1)</f>
        <v/>
      </c>
      <c r="DU23">
        <f>DU22*IF(OR($C22=25,$G22=25),0,1)</f>
        <v/>
      </c>
      <c r="DV23">
        <f>DV22*IF(OR($C22=26,$G22=26),0,1)</f>
        <v/>
      </c>
      <c r="DW23">
        <f>DW22*IF(OR($C22=27,$G22=27),0,1)</f>
        <v/>
      </c>
      <c r="DX23">
        <f>DX22*IF(OR($C22=28,$G22=28),0,1)</f>
        <v/>
      </c>
      <c r="DY23">
        <f>DY22*IF(OR($C22=29,$G22=29),0,1)</f>
        <v/>
      </c>
      <c r="DZ23">
        <f>DZ22*IF(OR($C22=30,$G22=30),0,1)</f>
        <v/>
      </c>
      <c r="EA23">
        <f>EA22*IF(OR($C22=31,$G22=31),0,1)</f>
        <v/>
      </c>
      <c r="EB23">
        <f>EB22*IF(OR($C22=32,$G22=32),0,1)</f>
        <v/>
      </c>
      <c r="EC23">
        <f>EC22*IF(OR($C22=33,$G22=33),0,1)</f>
        <v/>
      </c>
      <c r="ED23">
        <f>ED22*IF(OR($C22=34,$G22=34),0,1)</f>
        <v/>
      </c>
      <c r="EE23">
        <f>EE22*IF(OR($C22=35,$G22=35),0,1)</f>
        <v/>
      </c>
      <c r="EF23">
        <f>EF22*IF(OR($C22=36,$G22=36),0,1)</f>
        <v/>
      </c>
      <c r="EG23">
        <f>EG22*IF(OR($C22=37,$G22=37),0,1)</f>
        <v/>
      </c>
      <c r="EH23">
        <f>EH22*IF(OR($C22=38,$G22=38),0,1)</f>
        <v/>
      </c>
      <c r="EI23">
        <f>EI22*IF(OR($C22=39,$G22=39),0,1)</f>
        <v/>
      </c>
      <c r="EJ23">
        <f>EJ22*IF(OR($C22=40,$G22=40),0,1)</f>
        <v/>
      </c>
      <c r="EK23">
        <f>EK22*IF(OR($C22=41,$G22=41),0,1)</f>
        <v/>
      </c>
      <c r="EL23">
        <f>EL22*IF(OR($C22=42,$G22=42),0,1)</f>
        <v/>
      </c>
      <c r="EM23">
        <f>EM22*IF(OR($C22=43,$G22=43),0,1)</f>
        <v/>
      </c>
      <c r="EN23">
        <f>EN22*IF(OR($C22=44,$G22=44),0,1)</f>
        <v/>
      </c>
      <c r="EO23">
        <f>EO22*IF(OR($C22=45,$G22=45),0,1)</f>
        <v/>
      </c>
      <c r="EP23">
        <f>EP22*IF(OR($C22=46,$G22=46),0,1)</f>
        <v/>
      </c>
      <c r="EQ23">
        <f>EQ22*IF(OR($C22=47,$G22=47),0,1)</f>
        <v/>
      </c>
      <c r="ER23">
        <f>ER22*IF(OR($C22=48,$G22=48),0,1)</f>
        <v/>
      </c>
      <c r="ES23">
        <f>ES22*IF(OR($C22=49,$G22=49),0,1)</f>
        <v/>
      </c>
      <c r="ET23">
        <f>ET22*IF(OR($C22=50,$G22=50),0,1)</f>
        <v/>
      </c>
      <c r="EU23">
        <f>EU22*IF(OR($C22=51,$G22=51),0,1)</f>
        <v/>
      </c>
      <c r="EV23">
        <f>EV22*IF(OR($C22=52,$G22=52),0,1)</f>
        <v/>
      </c>
      <c r="EW23">
        <f>EW22*IF(OR($C22=53,$G22=53),0,1)</f>
        <v/>
      </c>
      <c r="EX23">
        <f>EX22*IF(OR($C22=54,$G22=54),0,1)</f>
        <v/>
      </c>
      <c r="EY23">
        <f>EY22*IF(OR($C22=55,$G22=55),0,1)</f>
        <v/>
      </c>
      <c r="EZ23">
        <f>EZ22*IF(OR($C22=56,$G22=56),0,1)</f>
        <v/>
      </c>
      <c r="FA23">
        <f>FA22*IF(OR($C22=57,$G22=57),0,1)</f>
        <v/>
      </c>
      <c r="FB23">
        <f>FB22*IF(OR($C22=58,$G22=58),0,1)</f>
        <v/>
      </c>
      <c r="FC23">
        <f>FC22*IF(OR($C22=59,$G22=59),0,1)</f>
        <v/>
      </c>
      <c r="FD23">
        <f>FD22*IF(OR($C22=60,$G22=60),0,1)</f>
        <v/>
      </c>
      <c r="FE23">
        <f>FE22*IF(OR($C22=61,$G22=61),0,1)</f>
        <v/>
      </c>
      <c r="FF23">
        <f>FF22*IF(OR($C22=62,$G22=62),0,1)</f>
        <v/>
      </c>
      <c r="FG23">
        <f>FG22*IF(OR($C22=63,$G22=63),0,1)</f>
        <v/>
      </c>
      <c r="FH23">
        <f>FH22*IF(OR($C22=64,$G22=64),0,1)</f>
        <v/>
      </c>
      <c r="FI23">
        <f>FI22*IF(OR($C22=65,$G22=65),0,1)</f>
        <v/>
      </c>
      <c r="FJ23">
        <f>FJ22*IF(OR($C22=66,$G22=66),0,1)</f>
        <v/>
      </c>
      <c r="FK23">
        <f>FK22*IF(OR($C22=67,$G22=67),0,1)</f>
        <v/>
      </c>
      <c r="FL23">
        <f>FL22*IF(OR($C22=68,$G22=68),0,1)</f>
        <v/>
      </c>
      <c r="FM23">
        <f>FM22*IF(OR($C22=69,$G22=69),0,1)</f>
        <v/>
      </c>
      <c r="FN23">
        <f>FN22*IF(OR($C22=70,$G22=70),0,1)</f>
        <v/>
      </c>
      <c r="FO23">
        <f>FO22*IF(OR($C22=71,$G22=71),0,1)</f>
        <v/>
      </c>
      <c r="FP23">
        <f>FP22*IF(OR($C22=72,$G22=72),0,1)</f>
        <v/>
      </c>
      <c r="FQ23">
        <f>FQ22*IF(OR($C22=73,$G22=73),0,1)</f>
        <v/>
      </c>
      <c r="FR23">
        <f>FR22*IF(OR($C22=74,$G22=74),0,1)</f>
        <v/>
      </c>
      <c r="FS23">
        <f>FS22*IF(OR($C22=75,$G22=75),0,1)</f>
        <v/>
      </c>
      <c r="FT23">
        <f>FT22*IF(OR($C22=76,$G22=76),0,1)</f>
        <v/>
      </c>
      <c r="FU23">
        <f>FU22*IF(OR($C22=77,$G22=77),0,1)</f>
        <v/>
      </c>
      <c r="FV23">
        <f>FV22*IF(OR($C22=78,$G22=78),0,1)</f>
        <v/>
      </c>
      <c r="FW23">
        <f>FW22*IF(OR($C22=79,$G22=79),0,1)</f>
        <v/>
      </c>
      <c r="FX23">
        <f>FX22*IF(OR($C22=80,$G22=80),0,1)</f>
        <v/>
      </c>
      <c r="FY23">
        <f>FY22*IF(OR($C22=81,$G22=81),0,1)</f>
        <v/>
      </c>
      <c r="FZ23">
        <f>FZ22*IF(OR($C22=82,$G22=82),0,1)</f>
        <v/>
      </c>
      <c r="GA23">
        <f>GA22*IF(OR($C22=83,$G22=83),0,1)</f>
        <v/>
      </c>
      <c r="GB23">
        <f>GB22*IF(OR($C22=84,$G22=84),0,1)</f>
        <v/>
      </c>
      <c r="GC23">
        <f>GC22*IF(OR($C22=85,$G22=85),0,1)</f>
        <v/>
      </c>
      <c r="GD23">
        <f>GD22*IF(OR($C22=86,$G22=86),0,1)</f>
        <v/>
      </c>
      <c r="GE23">
        <f>GE22*IF(OR($C22=87,$G22=87),0,1)</f>
        <v/>
      </c>
      <c r="GF23">
        <f>GF22*IF(OR($C22=88,$G22=88),0,1)</f>
        <v/>
      </c>
      <c r="GG23">
        <f>GG22*IF(OR($C22=89,$G22=89),0,1)</f>
        <v/>
      </c>
      <c r="GH23">
        <f>GH22*IF(OR($C22=90,$G22=90),0,1)</f>
        <v/>
      </c>
      <c r="GI23">
        <f>GI22*IF(OR($C22=91,$G22=91),0,1)</f>
        <v/>
      </c>
      <c r="GJ23">
        <f>GJ22*IF(OR($C22=92,$G22=92),0,1)</f>
        <v/>
      </c>
      <c r="GK23">
        <f>GK22*IF(OR($C22=93,$G22=93),0,1)</f>
        <v/>
      </c>
      <c r="GL23">
        <f>GL22*IF(OR($C22=94,$G22=94),0,1)</f>
        <v/>
      </c>
      <c r="GM23">
        <f>GM22*IF(OR($C22=95,$G22=95),0,1)</f>
        <v/>
      </c>
      <c r="GN23">
        <f>GN22*IF(OR($C22=96,$G22=96),0,1)</f>
        <v/>
      </c>
      <c r="GO23">
        <f>GO22*IF(OR($C22=97,$G22=97),0,1)</f>
        <v/>
      </c>
      <c r="GP23">
        <f>GP22*IF(OR($C22=98,$G22=98),0,1)</f>
        <v/>
      </c>
      <c r="GQ23">
        <f>GQ22*IF(OR($C22=99,$G22=99),0,1)</f>
        <v/>
      </c>
      <c r="GR23">
        <f>GR22*IF(OR($C22=100,$G22=100),0,1)</f>
        <v/>
      </c>
      <c r="GS23">
        <f>GS22*IF(OR($C22=101,$G22=101),0,1)</f>
        <v/>
      </c>
      <c r="GT23">
        <f>GT22*IF(OR($C22=102,$G22=102),0,1)</f>
        <v/>
      </c>
      <c r="GU23">
        <f>GU22*IF(OR($C22=103,$G22=103),0,1)</f>
        <v/>
      </c>
      <c r="GV23">
        <f>GV22*IF(OR($C22=104,$G22=104),0,1)</f>
        <v/>
      </c>
      <c r="GW23">
        <f>GW22*IF(OR($C22=105,$G22=105),0,1)</f>
        <v/>
      </c>
      <c r="GX23">
        <f>GX22*IF(OR($C22=106,$G22=106),0,1)</f>
        <v/>
      </c>
      <c r="GY23">
        <f>GY22*IF(OR($C22=107,$G22=107),0,1)</f>
        <v/>
      </c>
      <c r="GZ23">
        <f>GZ22*IF(OR($C22=108,$G22=108),0,1)</f>
        <v/>
      </c>
      <c r="HA23">
        <f>HA22*IF(OR($C22=109,$G22=109),0,1)</f>
        <v/>
      </c>
      <c r="HB23">
        <f>HB22*IF(OR($C22=110,$G22=110),0,1)</f>
        <v/>
      </c>
      <c r="HC23">
        <f>HC22*IF(OR($C22=111,$G22=111),0,1)</f>
        <v/>
      </c>
      <c r="HD23">
        <f>HD22*IF(OR($C22=112,$G22=112),0,1)</f>
        <v/>
      </c>
      <c r="HE23">
        <f>HE22*IF(OR($C22=113,$G22=113),0,1)</f>
        <v/>
      </c>
      <c r="HF23">
        <f>HF22*IF(OR($C22=114,$G22=114),0,1)</f>
        <v/>
      </c>
      <c r="HG23">
        <f>HG22*IF(OR($C22=115,$G22=115),0,1)</f>
        <v/>
      </c>
      <c r="HH23">
        <f>HH22*IF(OR($C22=116,$G22=116),0,1)</f>
        <v/>
      </c>
      <c r="HI23">
        <f>HI22*IF(OR($C22=117,$G22=117),0,1)</f>
        <v/>
      </c>
      <c r="HJ23">
        <f>HJ22*IF(OR($C22=118,$G22=118),0,1)</f>
        <v/>
      </c>
      <c r="HK23">
        <f>HK22*IF(OR($C22=119,$G22=119),0,1)</f>
        <v/>
      </c>
      <c r="HL23">
        <f>HL22*IF(OR($C22=120,$G22=120),0,1)</f>
        <v/>
      </c>
      <c r="HM23">
        <f>HM22*IF(OR($C22=121,$G22=121),0,1)</f>
        <v/>
      </c>
      <c r="HN23">
        <f>HN22*IF(OR($C22=122,$G22=122),0,1)</f>
        <v/>
      </c>
      <c r="HO23">
        <f>HO22*IF(OR($C22=123,$G22=123),0,1)</f>
        <v/>
      </c>
      <c r="HP23">
        <f>HP22*IF(OR($C22=124,$G22=124),0,1)</f>
        <v/>
      </c>
      <c r="HQ23">
        <f>HQ22*IF(OR($C22=125,$G22=125),0,1)</f>
        <v/>
      </c>
      <c r="HR23">
        <f>HR22*IF(OR($C22=126,$G22=126),0,1)</f>
        <v/>
      </c>
      <c r="HS23">
        <f>HS22*IF(OR($C22=127,$G22=127),0,1)</f>
        <v/>
      </c>
      <c r="HT23">
        <f>HT22*IF(OR($C22=128,$G22=128),0,1)</f>
        <v/>
      </c>
      <c r="HU23">
        <f>HU22*IF(OR($C22=129,$G22=129),0,1)</f>
        <v/>
      </c>
      <c r="HV23">
        <f>HV22*IF(OR($C22=130,$G22=130),0,1)</f>
        <v/>
      </c>
      <c r="HW23">
        <f>HW22*IF(OR($C22=131,$G22=131),0,1)</f>
        <v/>
      </c>
      <c r="HX23">
        <f>HX22*IF(OR($C22=132,$G22=132),0,1)</f>
        <v/>
      </c>
      <c r="HY23">
        <f>HY22*IF(OR($C22=133,$G22=133),0,1)</f>
        <v/>
      </c>
      <c r="HZ23">
        <f>HZ22*IF(OR($C22=134,$G22=134),0,1)</f>
        <v/>
      </c>
      <c r="IA23">
        <f>IA22*IF(OR($C22=135,$G22=135),0,1)</f>
        <v/>
      </c>
      <c r="IB23">
        <f>IB22*IF(OR($C22=136,$G22=136),0,1)</f>
        <v/>
      </c>
      <c r="IC23">
        <f>IC22*IF(OR($C22=137,$G22=137),0,1)</f>
        <v/>
      </c>
      <c r="ID23">
        <f>ID22*IF(OR($C22=138,$G22=138),0,1)</f>
        <v/>
      </c>
      <c r="IE23">
        <f>IE22*IF(OR($C22=139,$G22=139),0,1)</f>
        <v/>
      </c>
      <c r="IF23">
        <f>IF22*IF(OR($C22=140,$G22=140),0,1)</f>
        <v/>
      </c>
      <c r="IG23">
        <f>IG22*IF(OR($C22=141,$G22=141),0,1)</f>
        <v/>
      </c>
      <c r="IH23">
        <f>IH22*IF(OR($C22=142,$G22=142),0,1)</f>
        <v/>
      </c>
      <c r="II23">
        <f>II22*IF(OR($C22=143,$G22=143),0,1)</f>
        <v/>
      </c>
      <c r="IJ23">
        <f>IJ22*IF(OR($C22=144,$G22=144),0,1)</f>
        <v/>
      </c>
      <c r="IK23">
        <f>IK22*IF(OR($C22=145,$G22=145),0,1)</f>
        <v/>
      </c>
      <c r="IL23">
        <f>IL22*IF(OR($C22=146,$G22=146),0,1)</f>
        <v/>
      </c>
      <c r="IM23">
        <f>IM22*IF(OR($C22=147,$G22=147),0,1)</f>
        <v/>
      </c>
      <c r="IN23">
        <f>IN22*IF(OR($C22=148,$G22=148),0,1)</f>
        <v/>
      </c>
      <c r="IO23">
        <f>IO22*IF(OR($C22=149,$G22=149),0,1)</f>
        <v/>
      </c>
      <c r="IP23">
        <f>IP22*IF(OR($C22=150,$G22=150),0,1)</f>
        <v/>
      </c>
      <c r="IQ23">
        <f>IQ22*IF(OR($C22=151,$G22=151),0,1)</f>
        <v/>
      </c>
      <c r="IR23">
        <f>IR22*IF(OR($C22=152,$G22=152),0,1)</f>
        <v/>
      </c>
      <c r="IS23">
        <f>IS22*IF(OR($C22=153,$G22=153),0,1)</f>
        <v/>
      </c>
      <c r="IT23">
        <f>IT22*IF(OR($C22=154,$G22=154),0,1)</f>
        <v/>
      </c>
      <c r="IU23">
        <f>IU22*IF(OR($C22=155,$G22=155),0,1)</f>
        <v/>
      </c>
      <c r="IV23">
        <f>IV22*IF(OR($C22=156,$G22=156),0,1)</f>
        <v/>
      </c>
      <c r="IW23">
        <f>IW22*IF(OR($C22=157,$G22=157),0,1)</f>
        <v/>
      </c>
      <c r="IX23">
        <f>IX22*IF(OR($C22=158,$G22=158),0,1)</f>
        <v/>
      </c>
      <c r="IY23">
        <f>IY22*IF(OR($C22=159,$G22=159),0,1)</f>
        <v/>
      </c>
      <c r="IZ23">
        <f>IZ22*IF(OR($C22=160,$G22=160),0,1)</f>
        <v/>
      </c>
      <c r="JA23">
        <f>JA22*IF(OR($C22=161,$G22=161),0,1)</f>
        <v/>
      </c>
      <c r="JB23">
        <f>JB22*IF(OR($C22=162,$G22=162),0,1)</f>
        <v/>
      </c>
      <c r="JC23">
        <f>JC22*IF(OR($C22=163,$G22=163),0,1)</f>
        <v/>
      </c>
      <c r="JD23">
        <f>JD22*IF(OR($C22=164,$G22=164),0,1)</f>
        <v/>
      </c>
      <c r="JE23">
        <f>JE22*IF(OR($C22=165,$G22=165),0,1)</f>
        <v/>
      </c>
      <c r="JF23">
        <f>JF22*IF(OR($C22=166,$G22=166),0,1)</f>
        <v/>
      </c>
      <c r="JG23">
        <f>JG22*IF(OR($C22=167,$G22=167),0,1)</f>
        <v/>
      </c>
      <c r="JH23">
        <f>JH22*IF(OR($C22=168,$G22=168),0,1)</f>
        <v/>
      </c>
      <c r="JI23">
        <f>JI22*IF(OR($C22=169,$G22=169),0,1)</f>
        <v/>
      </c>
      <c r="JJ23">
        <f>JJ22*IF(OR($C22=170,$G22=170),0,1)</f>
        <v/>
      </c>
      <c r="JK23">
        <f>JK22*IF(OR($C22=171,$G22=171),0,1)</f>
        <v/>
      </c>
      <c r="JL23">
        <f>JL22*IF(OR($C22=172,$G22=172),0,1)</f>
        <v/>
      </c>
      <c r="JM23">
        <f>JM22*IF(OR($C22=173,$G22=173),0,1)</f>
        <v/>
      </c>
      <c r="JN23">
        <f>JN22*IF(OR($C22=174,$G22=174),0,1)</f>
        <v/>
      </c>
      <c r="JO23">
        <f>JO22*IF(OR($C22=175,$G22=175),0,1)</f>
        <v/>
      </c>
      <c r="JP23">
        <f>JP22*IF(OR($C22=176,$G22=176),0,1)</f>
        <v/>
      </c>
      <c r="JQ23">
        <f>JQ22*IF(OR($C22=177,$G22=177),0,1)</f>
        <v/>
      </c>
      <c r="JR23">
        <f>JR22*IF(OR($C22=178,$G22=178),0,1)</f>
        <v/>
      </c>
      <c r="JS23">
        <f>JS22*IF(OR($C22=179,$G22=179),0,1)</f>
        <v/>
      </c>
      <c r="JT23">
        <f>JT22*IF(OR($C22=180,$G22=180),0,1)</f>
        <v/>
      </c>
      <c r="JU23">
        <f>JU22*IF(OR($C22=181,$G22=181),0,1)</f>
        <v/>
      </c>
      <c r="JV23">
        <f>JV22*IF(OR($C22=182,$G22=182),0,1)</f>
        <v/>
      </c>
      <c r="JW23">
        <f>JW22*IF(OR($C22=183,$G22=183),0,1)</f>
        <v/>
      </c>
      <c r="JX23">
        <f>JX22*IF(OR($C22=184,$G22=184),0,1)</f>
        <v/>
      </c>
      <c r="JY23">
        <f>JY22*IF(OR($C22=185,$G22=185),0,1)</f>
        <v/>
      </c>
      <c r="JZ23">
        <f>JZ22*IF(OR($C22=186,$G22=186),0,1)</f>
        <v/>
      </c>
      <c r="KA23">
        <f>KA22*IF(OR($C22=187,$G22=187),0,1)</f>
        <v/>
      </c>
      <c r="KB23">
        <f>KB22*IF(OR($C22=188,$G22=188),0,1)</f>
        <v/>
      </c>
      <c r="KC23">
        <f>KC22*IF(OR($C22=189,$G22=189),0,1)</f>
        <v/>
      </c>
      <c r="KD23">
        <f>KD22*IF(OR($C22=190,$G22=190),0,1)</f>
        <v/>
      </c>
      <c r="KE23">
        <f>KE22*IF(OR($C22=191,$G22=191),0,1)</f>
        <v/>
      </c>
      <c r="KF23">
        <f>KF22*IF(OR($C22=192,$G22=192),0,1)</f>
        <v/>
      </c>
      <c r="KG23">
        <f>KG22*IF(OR($C22=193,$G22=193),0,1)</f>
        <v/>
      </c>
      <c r="KH23">
        <f>KH22*IF(OR($C22=194,$G22=194),0,1)</f>
        <v/>
      </c>
      <c r="KI23">
        <f>KI22*IF(OR($C22=195,$G22=195),0,1)</f>
        <v/>
      </c>
      <c r="KJ23">
        <f>KJ22*IF(OR($C22=196,$G22=196),0,1)</f>
        <v/>
      </c>
      <c r="KK23">
        <f>KK22*IF(OR($C22=197,$G22=197),0,1)</f>
        <v/>
      </c>
      <c r="KL23">
        <f>KL22*IF(OR($C22=198,$G22=198),0,1)</f>
        <v/>
      </c>
      <c r="KM23">
        <f>KM22*IF(OR($C22=199,$G22=199),0,1)</f>
        <v/>
      </c>
      <c r="KN23">
        <f>KN22*IF(OR($C22=200,$G22=200),0,1)</f>
        <v/>
      </c>
      <c r="KO23">
        <f>KO22*IF(OR($C22=201,$G22=201),0,1)</f>
        <v/>
      </c>
      <c r="KP23">
        <f>KP22*IF(OR($C22=202,$G22=202),0,1)</f>
        <v/>
      </c>
      <c r="KQ23">
        <f>KQ22*IF(OR($C22=203,$G22=203),0,1)</f>
        <v/>
      </c>
      <c r="KR23">
        <f>KR22*IF(OR($C22=204,$G22=204),0,1)</f>
        <v/>
      </c>
      <c r="KS23">
        <f>KS22*IF(OR($C22=205,$G22=205),0,1)</f>
        <v/>
      </c>
      <c r="KT23">
        <f>KT22*IF(OR($C22=206,$G22=206),0,1)</f>
        <v/>
      </c>
      <c r="KU23">
        <f>KU22*IF(OR($C22=207,$G22=207),0,1)</f>
        <v/>
      </c>
      <c r="KV23">
        <f>KV22*IF(OR($C22=208,$G22=208),0,1)</f>
        <v/>
      </c>
      <c r="KW23">
        <f>KW22*IF(OR($C22=209,$G22=209),0,1)</f>
        <v/>
      </c>
      <c r="KX23">
        <f>KX22*IF(OR($C22=210,$G22=210),0,1)</f>
        <v/>
      </c>
      <c r="KY23">
        <f>KY22*IF(OR($C22=211,$G22=211),0,1)</f>
        <v/>
      </c>
      <c r="KZ23">
        <f>KZ22*IF(OR($C22=212,$G22=212),0,1)</f>
        <v/>
      </c>
      <c r="LA23">
        <f>LA22*IF(OR($C22=213,$G22=213),0,1)</f>
        <v/>
      </c>
      <c r="LB23">
        <f>LB22*IF(OR($C22=214,$G22=214),0,1)</f>
        <v/>
      </c>
      <c r="LC23">
        <f>LC22*IF(OR($C22=215,$G22=215),0,1)</f>
        <v/>
      </c>
      <c r="LD23">
        <f>LD22*IF(OR($C22=216,$G22=216),0,1)</f>
        <v/>
      </c>
      <c r="LE23">
        <f>LE22*IF(OR($C22=217,$G22=217),0,1)</f>
        <v/>
      </c>
      <c r="LF23">
        <f>LF22*IF(OR($C22=218,$G22=218),0,1)</f>
        <v/>
      </c>
      <c r="LG23">
        <f>LG22*IF(OR($C22=219,$G22=219),0,1)</f>
        <v/>
      </c>
      <c r="LH23">
        <f>LH22*IF(OR($C22=220,$G22=220),0,1)</f>
        <v/>
      </c>
      <c r="LI23">
        <f>LI22*IF(OR($C22=221,$G22=221),0,1)</f>
        <v/>
      </c>
      <c r="LJ23">
        <f>LJ22*IF(OR($C22=222,$G22=222),0,1)</f>
        <v/>
      </c>
      <c r="LK23">
        <f>LK22*IF(OR($C22=223,$G22=223),0,1)</f>
        <v/>
      </c>
      <c r="LL23">
        <f>LL22*IF(OR($C22=224,$G22=224),0,1)</f>
        <v/>
      </c>
      <c r="LM23">
        <f>LM22*IF(OR($C22=225,$G22=225),0,1)</f>
        <v/>
      </c>
      <c r="LN23">
        <f>LN22*IF(OR($C22=226,$G22=226),0,1)</f>
        <v/>
      </c>
      <c r="LO23">
        <f>LO22*IF(OR($C22=227,$G22=227),0,1)</f>
        <v/>
      </c>
      <c r="LP23">
        <f>LP22*IF(OR($C22=228,$G22=228),0,1)</f>
        <v/>
      </c>
      <c r="LQ23">
        <f>LQ22*IF(OR($C22=229,$G22=229),0,1)</f>
        <v/>
      </c>
      <c r="LR23">
        <f>LR22*IF(OR($C22=230,$G22=230),0,1)</f>
        <v/>
      </c>
      <c r="LS23">
        <f>LS22*IF(OR($C22=231,$G22=231),0,1)</f>
        <v/>
      </c>
      <c r="LT23">
        <f>LT22*IF(OR($C22=232,$G22=232),0,1)</f>
        <v/>
      </c>
      <c r="LU23">
        <f>LU22*IF(OR($C22=233,$G22=233),0,1)</f>
        <v/>
      </c>
      <c r="LV23">
        <f>LV22*IF(OR($C22=234,$G22=234),0,1)</f>
        <v/>
      </c>
      <c r="LW23">
        <f>LW22*IF(OR($C22=235,$G22=235),0,1)</f>
        <v/>
      </c>
      <c r="LX23">
        <f>LX22*IF(OR($C22=236,$G22=236),0,1)</f>
        <v/>
      </c>
      <c r="LY23">
        <f>LY22*IF(OR($C22=237,$G22=237),0,1)</f>
        <v/>
      </c>
      <c r="LZ23">
        <f>LZ22*IF(OR($C22=238,$G22=238),0,1)</f>
        <v/>
      </c>
      <c r="MA23">
        <f>MA22*IF(OR($C22=239,$G22=239),0,1)</f>
        <v/>
      </c>
      <c r="MB23">
        <f>MB22*IF(OR($C22=240,$G22=240),0,1)</f>
        <v/>
      </c>
      <c r="MD23">
        <f>IF('計算A'!D$106=1,CX23,1)</f>
        <v/>
      </c>
      <c r="ME23">
        <f>IF('計算A'!E$106=1,CY23,1)</f>
        <v/>
      </c>
      <c r="MF23">
        <f>IF('計算A'!F$106=1,CZ23,1)</f>
        <v/>
      </c>
      <c r="MG23">
        <f>IF('計算A'!G$106=1,DA23,1)</f>
        <v/>
      </c>
      <c r="MH23">
        <f>IF('計算A'!H$106=1,DB23,1)</f>
        <v/>
      </c>
      <c r="MI23">
        <f>IF('計算A'!I$106=1,DC23,1)</f>
        <v/>
      </c>
      <c r="MJ23">
        <f>IF('計算A'!J$106=1,DD23,1)</f>
        <v/>
      </c>
      <c r="MK23">
        <f>IF('計算A'!K$106=1,DE23,1)</f>
        <v/>
      </c>
      <c r="ML23">
        <f>IF('計算A'!L$106=1,DF23,1)</f>
        <v/>
      </c>
      <c r="MM23">
        <f>IF('計算A'!M$106=1,DG23,1)</f>
        <v/>
      </c>
      <c r="MN23">
        <f>IF('計算A'!N$106=1,DH23,1)</f>
        <v/>
      </c>
      <c r="MO23">
        <f>IF('計算A'!O$106=1,DI23,1)</f>
        <v/>
      </c>
      <c r="MP23">
        <f>IF('計算A'!P$106=1,DJ23,1)</f>
        <v/>
      </c>
      <c r="MQ23">
        <f>IF('計算A'!Q$106=1,DK23,1)</f>
        <v/>
      </c>
      <c r="MR23">
        <f>IF('計算A'!R$106=1,DL23,1)</f>
        <v/>
      </c>
      <c r="MS23">
        <f>IF('計算A'!S$106=1,DM23,1)</f>
        <v/>
      </c>
      <c r="MT23">
        <f>IF('計算A'!T$106=1,DN23,1)</f>
        <v/>
      </c>
      <c r="MU23">
        <f>IF('計算A'!U$106=1,DO23,1)</f>
        <v/>
      </c>
      <c r="MV23">
        <f>IF('計算A'!V$106=1,DP23,1)</f>
        <v/>
      </c>
      <c r="MW23">
        <f>IF('計算A'!W$106=1,DQ23,1)</f>
        <v/>
      </c>
      <c r="MX23">
        <f>IF('計算A'!X$106=1,DR23,1)</f>
        <v/>
      </c>
      <c r="MY23">
        <f>IF('計算A'!Y$106=1,DS23,1)</f>
        <v/>
      </c>
      <c r="MZ23">
        <f>IF('計算A'!Z$106=1,DT23,1)</f>
        <v/>
      </c>
      <c r="NA23">
        <f>IF('計算A'!AA$106=1,DU23,1)</f>
        <v/>
      </c>
      <c r="NB23">
        <f>IF('計算A'!AB$106=1,DV23,1)</f>
        <v/>
      </c>
      <c r="NC23">
        <f>IF('計算A'!AC$106=1,DW23,1)</f>
        <v/>
      </c>
      <c r="ND23">
        <f>IF('計算A'!AD$106=1,DX23,1)</f>
        <v/>
      </c>
      <c r="NE23">
        <f>IF('計算A'!AE$106=1,DY23,1)</f>
        <v/>
      </c>
      <c r="NF23">
        <f>IF('計算A'!AF$106=1,DZ23,1)</f>
        <v/>
      </c>
      <c r="NG23">
        <f>IF('計算A'!AG$106=1,EA23,1)</f>
        <v/>
      </c>
      <c r="NH23">
        <f>IF('計算A'!AH$106=1,EB23,1)</f>
        <v/>
      </c>
      <c r="NI23">
        <f>IF('計算A'!AI$106=1,EC23,1)</f>
        <v/>
      </c>
      <c r="NJ23">
        <f>IF('計算A'!AJ$106=1,ED23,1)</f>
        <v/>
      </c>
      <c r="NK23">
        <f>IF('計算A'!AK$106=1,EE23,1)</f>
        <v/>
      </c>
      <c r="NL23">
        <f>IF('計算A'!AL$106=1,EF23,1)</f>
        <v/>
      </c>
      <c r="NM23">
        <f>IF('計算A'!AM$106=1,EG23,1)</f>
        <v/>
      </c>
      <c r="NN23">
        <f>IF('計算A'!AN$106=1,EH23,1)</f>
        <v/>
      </c>
      <c r="NO23">
        <f>IF('計算A'!AO$106=1,EI23,1)</f>
        <v/>
      </c>
      <c r="NP23">
        <f>IF('計算A'!AP$106=1,EJ23,1)</f>
        <v/>
      </c>
      <c r="NQ23">
        <f>IF('計算A'!AQ$106=1,EK23,1)</f>
        <v/>
      </c>
      <c r="NR23">
        <f>IF('計算A'!AR$106=1,EL23,1)</f>
        <v/>
      </c>
      <c r="NS23">
        <f>IF('計算A'!AS$106=1,EM23,1)</f>
        <v/>
      </c>
      <c r="NT23">
        <f>IF('計算A'!AT$106=1,EN23,1)</f>
        <v/>
      </c>
      <c r="NU23">
        <f>IF('計算A'!AU$106=1,EO23,1)</f>
        <v/>
      </c>
      <c r="NV23">
        <f>IF('計算A'!AV$106=1,EP23,1)</f>
        <v/>
      </c>
      <c r="NW23">
        <f>IF('計算A'!AW$106=1,EQ23,1)</f>
        <v/>
      </c>
      <c r="NX23">
        <f>IF('計算A'!AX$106=1,ER23,1)</f>
        <v/>
      </c>
      <c r="NY23">
        <f>IF('計算A'!AY$106=1,ES23,1)</f>
        <v/>
      </c>
      <c r="NZ23">
        <f>IF('計算A'!AZ$106=1,ET23,1)</f>
        <v/>
      </c>
      <c r="OA23">
        <f>IF('計算A'!BA$106=1,EU23,1)</f>
        <v/>
      </c>
      <c r="OB23">
        <f>IF('計算A'!BB$106=1,EV23,1)</f>
        <v/>
      </c>
      <c r="OC23">
        <f>IF('計算A'!BC$106=1,EW23,1)</f>
        <v/>
      </c>
      <c r="OD23">
        <f>IF('計算A'!BD$106=1,EX23,1)</f>
        <v/>
      </c>
      <c r="OE23">
        <f>IF('計算A'!BE$106=1,EY23,1)</f>
        <v/>
      </c>
      <c r="OF23">
        <f>IF('計算A'!BF$106=1,EZ23,1)</f>
        <v/>
      </c>
      <c r="OG23">
        <f>IF('計算A'!BG$106=1,FA23,1)</f>
        <v/>
      </c>
      <c r="OH23">
        <f>IF('計算A'!BH$106=1,FB23,1)</f>
        <v/>
      </c>
      <c r="OI23">
        <f>IF('計算A'!BI$106=1,FC23,1)</f>
        <v/>
      </c>
      <c r="OJ23">
        <f>IF('計算A'!BJ$106=1,FD23,1)</f>
        <v/>
      </c>
      <c r="OK23">
        <f>IF('計算A'!BK$106=1,FE23,1)</f>
        <v/>
      </c>
      <c r="OL23">
        <f>IF('計算A'!BL$106=1,FF23,1)</f>
        <v/>
      </c>
      <c r="OM23">
        <f>IF('計算A'!BM$106=1,FG23,1)</f>
        <v/>
      </c>
      <c r="ON23">
        <f>IF('計算A'!BN$106=1,FH23,1)</f>
        <v/>
      </c>
      <c r="OO23">
        <f>IF('計算A'!BO$106=1,FI23,1)</f>
        <v/>
      </c>
      <c r="OP23">
        <f>IF('計算A'!BP$106=1,FJ23,1)</f>
        <v/>
      </c>
      <c r="OQ23">
        <f>IF('計算A'!BQ$106=1,FK23,1)</f>
        <v/>
      </c>
      <c r="OR23">
        <f>IF('計算A'!BR$106=1,FL23,1)</f>
        <v/>
      </c>
      <c r="OS23">
        <f>IF('計算A'!BS$106=1,FM23,1)</f>
        <v/>
      </c>
      <c r="OT23">
        <f>IF('計算A'!BT$106=1,FN23,1)</f>
        <v/>
      </c>
      <c r="OU23">
        <f>IF('計算A'!BU$106=1,FO23,1)</f>
        <v/>
      </c>
      <c r="OV23">
        <f>IF('計算A'!BV$106=1,FP23,1)</f>
        <v/>
      </c>
      <c r="OW23">
        <f>IF('計算A'!BW$106=1,FQ23,1)</f>
        <v/>
      </c>
      <c r="OX23">
        <f>IF('計算A'!BX$106=1,FR23,1)</f>
        <v/>
      </c>
      <c r="OY23">
        <f>IF('計算A'!BY$106=1,FS23,1)</f>
        <v/>
      </c>
      <c r="OZ23">
        <f>IF('計算A'!BZ$106=1,FT23,1)</f>
        <v/>
      </c>
      <c r="PA23">
        <f>IF('計算A'!CA$106=1,FU23,1)</f>
        <v/>
      </c>
      <c r="PB23">
        <f>IF('計算A'!CB$106=1,FV23,1)</f>
        <v/>
      </c>
      <c r="PC23">
        <f>IF('計算A'!CC$106=1,FW23,1)</f>
        <v/>
      </c>
      <c r="PD23">
        <f>IF('計算A'!CD$106=1,FX23,1)</f>
        <v/>
      </c>
      <c r="PE23">
        <f>IF('計算A'!CE$106=1,FY23,1)</f>
        <v/>
      </c>
      <c r="PF23">
        <f>IF('計算A'!CF$106=1,FZ23,1)</f>
        <v/>
      </c>
      <c r="PG23">
        <f>IF('計算A'!CG$106=1,GA23,1)</f>
        <v/>
      </c>
      <c r="PH23">
        <f>IF('計算A'!CH$106=1,GB23,1)</f>
        <v/>
      </c>
      <c r="PI23">
        <f>IF('計算A'!CI$106=1,GC23,1)</f>
        <v/>
      </c>
      <c r="PJ23">
        <f>IF('計算A'!CJ$106=1,GD23,1)</f>
        <v/>
      </c>
      <c r="PK23">
        <f>IF('計算A'!CK$106=1,GE23,1)</f>
        <v/>
      </c>
      <c r="PL23">
        <f>IF('計算A'!CL$106=1,GF23,1)</f>
        <v/>
      </c>
      <c r="PM23">
        <f>IF('計算A'!CM$106=1,GG23,1)</f>
        <v/>
      </c>
      <c r="PN23">
        <f>IF('計算A'!CN$106=1,GH23,1)</f>
        <v/>
      </c>
      <c r="PO23">
        <f>IF('計算A'!CO$106=1,GI23,1)</f>
        <v/>
      </c>
      <c r="PP23">
        <f>IF('計算A'!CP$106=1,GJ23,1)</f>
        <v/>
      </c>
      <c r="PQ23">
        <f>IF('計算A'!CQ$106=1,GK23,1)</f>
        <v/>
      </c>
      <c r="PR23">
        <f>IF('計算A'!CR$106=1,GL23,1)</f>
        <v/>
      </c>
      <c r="PS23">
        <f>IF('計算A'!CS$106=1,GM23,1)</f>
        <v/>
      </c>
      <c r="PT23">
        <f>IF('計算A'!CT$106=1,GN23,1)</f>
        <v/>
      </c>
      <c r="PU23">
        <f>IF('計算A'!CU$106=1,GO23,1)</f>
        <v/>
      </c>
      <c r="PV23">
        <f>IF('計算A'!CV$106=1,GP23,1)</f>
        <v/>
      </c>
      <c r="PW23">
        <f>IF('計算A'!CW$106=1,GQ23,1)</f>
        <v/>
      </c>
      <c r="PX23">
        <f>IF('計算A'!CX$106=1,GR23,1)</f>
        <v/>
      </c>
      <c r="PY23">
        <f>IF('計算A'!CY$106=1,GS23,1)</f>
        <v/>
      </c>
      <c r="PZ23">
        <f>IF('計算A'!CZ$106=1,GT23,1)</f>
        <v/>
      </c>
      <c r="QA23">
        <f>IF('計算A'!DA$106=1,GU23,1)</f>
        <v/>
      </c>
      <c r="QB23">
        <f>IF('計算A'!DB$106=1,GV23,1)</f>
        <v/>
      </c>
      <c r="QC23">
        <f>IF('計算A'!DC$106=1,GW23,1)</f>
        <v/>
      </c>
      <c r="QD23">
        <f>IF('計算A'!DD$106=1,GX23,1)</f>
        <v/>
      </c>
      <c r="QE23">
        <f>IF('計算A'!DE$106=1,GY23,1)</f>
        <v/>
      </c>
      <c r="QF23">
        <f>IF('計算A'!DF$106=1,GZ23,1)</f>
        <v/>
      </c>
      <c r="QG23">
        <f>IF('計算A'!DG$106=1,HA23,1)</f>
        <v/>
      </c>
      <c r="QH23">
        <f>IF('計算A'!DH$106=1,HB23,1)</f>
        <v/>
      </c>
      <c r="QI23">
        <f>IF('計算A'!DI$106=1,HC23,1)</f>
        <v/>
      </c>
      <c r="QJ23">
        <f>IF('計算A'!DJ$106=1,HD23,1)</f>
        <v/>
      </c>
      <c r="QK23">
        <f>IF('計算A'!DK$106=1,HE23,1)</f>
        <v/>
      </c>
      <c r="QL23">
        <f>IF('計算A'!DL$106=1,HF23,1)</f>
        <v/>
      </c>
      <c r="QM23">
        <f>IF('計算A'!DM$106=1,HG23,1)</f>
        <v/>
      </c>
      <c r="QN23">
        <f>IF('計算A'!DN$106=1,HH23,1)</f>
        <v/>
      </c>
      <c r="QO23">
        <f>IF('計算A'!DO$106=1,HI23,1)</f>
        <v/>
      </c>
      <c r="QP23">
        <f>IF('計算A'!DP$106=1,HJ23,1)</f>
        <v/>
      </c>
      <c r="QQ23">
        <f>IF('計算A'!DQ$106=1,HK23,1)</f>
        <v/>
      </c>
      <c r="QR23">
        <f>IF('計算A'!DR$106=1,HL23,1)</f>
        <v/>
      </c>
      <c r="QS23">
        <f>IF('計算A'!DS$106=1,HM23,1)</f>
        <v/>
      </c>
      <c r="QT23">
        <f>IF('計算A'!DT$106=1,HN23,1)</f>
        <v/>
      </c>
      <c r="QU23">
        <f>IF('計算A'!DU$106=1,HO23,1)</f>
        <v/>
      </c>
      <c r="QV23">
        <f>IF('計算A'!DV$106=1,HP23,1)</f>
        <v/>
      </c>
      <c r="QW23">
        <f>IF('計算A'!DW$106=1,HQ23,1)</f>
        <v/>
      </c>
      <c r="QX23">
        <f>IF('計算A'!DX$106=1,HR23,1)</f>
        <v/>
      </c>
      <c r="QY23">
        <f>IF('計算A'!DY$106=1,HS23,1)</f>
        <v/>
      </c>
      <c r="QZ23">
        <f>IF('計算A'!DZ$106=1,HT23,1)</f>
        <v/>
      </c>
      <c r="RA23">
        <f>IF('計算A'!EA$106=1,HU23,1)</f>
        <v/>
      </c>
      <c r="RB23">
        <f>IF('計算A'!EB$106=1,HV23,1)</f>
        <v/>
      </c>
      <c r="RC23">
        <f>IF('計算A'!EC$106=1,HW23,1)</f>
        <v/>
      </c>
      <c r="RD23">
        <f>IF('計算A'!ED$106=1,HX23,1)</f>
        <v/>
      </c>
      <c r="RE23">
        <f>IF('計算A'!EE$106=1,HY23,1)</f>
        <v/>
      </c>
      <c r="RF23">
        <f>IF('計算A'!EF$106=1,HZ23,1)</f>
        <v/>
      </c>
      <c r="RG23">
        <f>IF('計算A'!EG$106=1,IA23,1)</f>
        <v/>
      </c>
      <c r="RH23">
        <f>IF('計算A'!EH$106=1,IB23,1)</f>
        <v/>
      </c>
      <c r="RI23">
        <f>IF('計算A'!EI$106=1,IC23,1)</f>
        <v/>
      </c>
      <c r="RJ23">
        <f>IF('計算A'!EJ$106=1,ID23,1)</f>
        <v/>
      </c>
      <c r="RK23">
        <f>IF('計算A'!EK$106=1,IE23,1)</f>
        <v/>
      </c>
      <c r="RL23">
        <f>IF('計算A'!EL$106=1,IF23,1)</f>
        <v/>
      </c>
      <c r="RM23">
        <f>IF('計算A'!EM$106=1,IG23,1)</f>
        <v/>
      </c>
      <c r="RN23">
        <f>IF('計算A'!EN$106=1,IH23,1)</f>
        <v/>
      </c>
      <c r="RO23">
        <f>IF('計算A'!EO$106=1,II23,1)</f>
        <v/>
      </c>
      <c r="RP23">
        <f>IF('計算A'!EP$106=1,IJ23,1)</f>
        <v/>
      </c>
      <c r="RQ23">
        <f>IF('計算A'!EQ$106=1,IK23,1)</f>
        <v/>
      </c>
      <c r="RR23">
        <f>IF('計算A'!ER$106=1,IL23,1)</f>
        <v/>
      </c>
      <c r="RS23">
        <f>IF('計算A'!ES$106=1,IM23,1)</f>
        <v/>
      </c>
      <c r="RT23">
        <f>IF('計算A'!ET$106=1,IN23,1)</f>
        <v/>
      </c>
      <c r="RU23">
        <f>IF('計算A'!EU$106=1,IO23,1)</f>
        <v/>
      </c>
      <c r="RV23">
        <f>IF('計算A'!EV$106=1,IP23,1)</f>
        <v/>
      </c>
      <c r="RW23">
        <f>IF('計算A'!EW$106=1,IQ23,1)</f>
        <v/>
      </c>
      <c r="RX23">
        <f>IF('計算A'!EX$106=1,IR23,1)</f>
        <v/>
      </c>
      <c r="RY23">
        <f>IF('計算A'!EY$106=1,IS23,1)</f>
        <v/>
      </c>
      <c r="RZ23">
        <f>IF('計算A'!EZ$106=1,IT23,1)</f>
        <v/>
      </c>
      <c r="SA23">
        <f>IF('計算A'!FA$106=1,IU23,1)</f>
        <v/>
      </c>
      <c r="SB23">
        <f>IF('計算A'!FB$106=1,IV23,1)</f>
        <v/>
      </c>
      <c r="SC23">
        <f>IF('計算A'!FC$106=1,IW23,1)</f>
        <v/>
      </c>
      <c r="SD23">
        <f>IF('計算A'!FD$106=1,IX23,1)</f>
        <v/>
      </c>
      <c r="SE23">
        <f>IF('計算A'!FE$106=1,IY23,1)</f>
        <v/>
      </c>
      <c r="SF23">
        <f>IF('計算A'!FF$106=1,IZ23,1)</f>
        <v/>
      </c>
      <c r="SG23">
        <f>IF('計算A'!FG$106=1,JA23,1)</f>
        <v/>
      </c>
      <c r="SH23">
        <f>IF('計算A'!FH$106=1,JB23,1)</f>
        <v/>
      </c>
      <c r="SI23">
        <f>IF('計算A'!FI$106=1,JC23,1)</f>
        <v/>
      </c>
      <c r="SJ23">
        <f>IF('計算A'!FJ$106=1,JD23,1)</f>
        <v/>
      </c>
      <c r="SK23">
        <f>IF('計算A'!FK$106=1,JE23,1)</f>
        <v/>
      </c>
      <c r="SL23">
        <f>IF('計算A'!FL$106=1,JF23,1)</f>
        <v/>
      </c>
      <c r="SM23">
        <f>IF('計算A'!FM$106=1,JG23,1)</f>
        <v/>
      </c>
      <c r="SN23">
        <f>IF('計算A'!FN$106=1,JH23,1)</f>
        <v/>
      </c>
      <c r="SO23">
        <f>IF('計算A'!FO$106=1,JI23,1)</f>
        <v/>
      </c>
      <c r="SP23">
        <f>IF('計算A'!FP$106=1,JJ23,1)</f>
        <v/>
      </c>
      <c r="SQ23">
        <f>IF('計算A'!FQ$106=1,JK23,1)</f>
        <v/>
      </c>
      <c r="SR23">
        <f>IF('計算A'!FR$106=1,JL23,1)</f>
        <v/>
      </c>
      <c r="SS23">
        <f>IF('計算A'!FS$106=1,JM23,1)</f>
        <v/>
      </c>
      <c r="ST23">
        <f>IF('計算A'!FT$106=1,JN23,1)</f>
        <v/>
      </c>
      <c r="SU23">
        <f>IF('計算A'!FU$106=1,JO23,1)</f>
        <v/>
      </c>
      <c r="SV23">
        <f>IF('計算A'!FV$106=1,JP23,1)</f>
        <v/>
      </c>
      <c r="SW23">
        <f>IF('計算A'!FW$106=1,JQ23,1)</f>
        <v/>
      </c>
      <c r="SX23">
        <f>IF('計算A'!FX$106=1,JR23,1)</f>
        <v/>
      </c>
      <c r="SY23">
        <f>IF('計算A'!FY$106=1,JS23,1)</f>
        <v/>
      </c>
      <c r="SZ23">
        <f>IF('計算A'!FZ$106=1,JT23,1)</f>
        <v/>
      </c>
      <c r="TA23">
        <f>IF('計算A'!GA$106=1,JU23,1)</f>
        <v/>
      </c>
      <c r="TB23">
        <f>IF('計算A'!GB$106=1,JV23,1)</f>
        <v/>
      </c>
      <c r="TC23">
        <f>IF('計算A'!GC$106=1,JW23,1)</f>
        <v/>
      </c>
      <c r="TD23">
        <f>IF('計算A'!GD$106=1,JX23,1)</f>
        <v/>
      </c>
      <c r="TE23">
        <f>IF('計算A'!GE$106=1,JY23,1)</f>
        <v/>
      </c>
      <c r="TF23">
        <f>IF('計算A'!GF$106=1,JZ23,1)</f>
        <v/>
      </c>
      <c r="TG23">
        <f>IF('計算A'!GG$106=1,KA23,1)</f>
        <v/>
      </c>
      <c r="TH23">
        <f>IF('計算A'!GH$106=1,KB23,1)</f>
        <v/>
      </c>
      <c r="TI23">
        <f>IF('計算A'!GI$106=1,KC23,1)</f>
        <v/>
      </c>
      <c r="TJ23">
        <f>IF('計算A'!GJ$106=1,KD23,1)</f>
        <v/>
      </c>
      <c r="TK23">
        <f>IF('計算A'!GK$106=1,KE23,1)</f>
        <v/>
      </c>
      <c r="TL23">
        <f>IF('計算A'!GL$106=1,KF23,1)</f>
        <v/>
      </c>
      <c r="TM23">
        <f>IF('計算A'!GM$106=1,KG23,1)</f>
        <v/>
      </c>
      <c r="TN23">
        <f>IF('計算A'!GN$106=1,KH23,1)</f>
        <v/>
      </c>
      <c r="TO23">
        <f>IF('計算A'!GO$106=1,KI23,1)</f>
        <v/>
      </c>
      <c r="TP23">
        <f>IF('計算A'!GP$106=1,KJ23,1)</f>
        <v/>
      </c>
      <c r="TQ23">
        <f>IF('計算A'!GQ$106=1,KK23,1)</f>
        <v/>
      </c>
      <c r="TR23">
        <f>IF('計算A'!GR$106=1,KL23,1)</f>
        <v/>
      </c>
      <c r="TS23">
        <f>IF('計算A'!GS$106=1,KM23,1)</f>
        <v/>
      </c>
      <c r="TT23">
        <f>IF('計算A'!GT$106=1,KN23,1)</f>
        <v/>
      </c>
      <c r="TU23">
        <f>IF('計算A'!GU$106=1,KO23,1)</f>
        <v/>
      </c>
      <c r="TV23">
        <f>IF('計算A'!GV$106=1,KP23,1)</f>
        <v/>
      </c>
      <c r="TW23">
        <f>IF('計算A'!GW$106=1,KQ23,1)</f>
        <v/>
      </c>
      <c r="TX23">
        <f>IF('計算A'!GX$106=1,KR23,1)</f>
        <v/>
      </c>
      <c r="TY23">
        <f>IF('計算A'!GY$106=1,KS23,1)</f>
        <v/>
      </c>
      <c r="TZ23">
        <f>IF('計算A'!GZ$106=1,KT23,1)</f>
        <v/>
      </c>
      <c r="UA23">
        <f>IF('計算A'!HA$106=1,KU23,1)</f>
        <v/>
      </c>
      <c r="UB23">
        <f>IF('計算A'!HB$106=1,KV23,1)</f>
        <v/>
      </c>
      <c r="UC23">
        <f>IF('計算A'!HC$106=1,KW23,1)</f>
        <v/>
      </c>
      <c r="UD23">
        <f>IF('計算A'!HD$106=1,KX23,1)</f>
        <v/>
      </c>
      <c r="UE23">
        <f>IF('計算A'!HE$106=1,KY23,1)</f>
        <v/>
      </c>
      <c r="UF23">
        <f>IF('計算A'!HF$106=1,KZ23,1)</f>
        <v/>
      </c>
      <c r="UG23">
        <f>IF('計算A'!HG$106=1,LA23,1)</f>
        <v/>
      </c>
      <c r="UH23">
        <f>IF('計算A'!HH$106=1,LB23,1)</f>
        <v/>
      </c>
      <c r="UI23">
        <f>IF('計算A'!HI$106=1,LC23,1)</f>
        <v/>
      </c>
      <c r="UJ23">
        <f>IF('計算A'!HJ$106=1,LD23,1)</f>
        <v/>
      </c>
      <c r="UK23">
        <f>IF('計算A'!HK$106=1,LE23,1)</f>
        <v/>
      </c>
      <c r="UL23">
        <f>IF('計算A'!HL$106=1,LF23,1)</f>
        <v/>
      </c>
      <c r="UM23">
        <f>IF('計算A'!HM$106=1,LG23,1)</f>
        <v/>
      </c>
      <c r="UN23">
        <f>IF('計算A'!HN$106=1,LH23,1)</f>
        <v/>
      </c>
      <c r="UO23">
        <f>IF('計算A'!HO$106=1,LI23,1)</f>
        <v/>
      </c>
      <c r="UP23">
        <f>IF('計算A'!HP$106=1,LJ23,1)</f>
        <v/>
      </c>
      <c r="UQ23">
        <f>IF('計算A'!HQ$106=1,LK23,1)</f>
        <v/>
      </c>
      <c r="UR23">
        <f>IF('計算A'!HR$106=1,LL23,1)</f>
        <v/>
      </c>
      <c r="US23">
        <f>IF('計算A'!HS$106=1,LM23,1)</f>
        <v/>
      </c>
      <c r="UT23">
        <f>IF('計算A'!HT$106=1,LN23,1)</f>
        <v/>
      </c>
      <c r="UU23">
        <f>IF('計算A'!HU$106=1,LO23,1)</f>
        <v/>
      </c>
      <c r="UV23">
        <f>IF('計算A'!HV$106=1,LP23,1)</f>
        <v/>
      </c>
      <c r="UW23">
        <f>IF('計算A'!HW$106=1,LQ23,1)</f>
        <v/>
      </c>
      <c r="UX23">
        <f>IF('計算A'!HX$106=1,LR23,1)</f>
        <v/>
      </c>
      <c r="UY23">
        <f>IF('計算A'!HY$106=1,LS23,1)</f>
        <v/>
      </c>
      <c r="UZ23">
        <f>IF('計算A'!HZ$106=1,LT23,1)</f>
        <v/>
      </c>
      <c r="VA23">
        <f>IF('計算A'!IA$106=1,LU23,1)</f>
        <v/>
      </c>
      <c r="VB23">
        <f>IF('計算A'!IB$106=1,LV23,1)</f>
        <v/>
      </c>
      <c r="VC23">
        <f>IF('計算A'!IC$106=1,LW23,1)</f>
        <v/>
      </c>
      <c r="VD23">
        <f>IF('計算A'!ID$106=1,LX23,1)</f>
        <v/>
      </c>
      <c r="VE23">
        <f>IF('計算A'!IE$106=1,LY23,1)</f>
        <v/>
      </c>
      <c r="VF23">
        <f>IF('計算A'!IF$106=1,LZ23,1)</f>
        <v/>
      </c>
      <c r="VG23">
        <f>IF('計算A'!IG$106=1,MA23,1)</f>
        <v/>
      </c>
      <c r="VH23">
        <f>IF('計算A'!IH$106=1,MB23,1)</f>
        <v/>
      </c>
      <c r="VI23" t="n">
        <v>1</v>
      </c>
      <c r="VK23">
        <f>IF($B23=0,1000000,IF(INDEX('計算A'!$D$60:$II$104,$B23,1)*CW23=1,IF(AND($E23=2,MD23=0),1000000,INDEX('計算A'!D$110:D$114,$F23+1)+IF(AND($E23=1,MD23=0),1000,0)),1000000))</f>
        <v/>
      </c>
      <c r="VL23">
        <f>IF($B23=0,1000000,IF(INDEX('計算A'!$D$60:$II$104,$B23,2)*CX23=1,IF(AND($E23=2,ME23=0),1000000,INDEX('計算A'!E$110:E$114,$F23+1)+IF(AND($E23=1,ME23=0),1000,0)),1000000))</f>
        <v/>
      </c>
      <c r="VM23">
        <f>IF($B23=0,1000000,IF(INDEX('計算A'!$D$60:$II$104,$B23,3)*CY23=1,IF(AND($E23=2,MF23=0),1000000,INDEX('計算A'!F$110:F$114,$F23+1)+IF(AND($E23=1,MF23=0),1000,0)),1000000))</f>
        <v/>
      </c>
      <c r="VN23">
        <f>IF($B23=0,1000000,IF(INDEX('計算A'!$D$60:$II$104,$B23,4)*CZ23=1,IF(AND($E23=2,MG23=0),1000000,INDEX('計算A'!G$110:G$114,$F23+1)+IF(AND($E23=1,MG23=0),1000,0)),1000000))</f>
        <v/>
      </c>
      <c r="VO23">
        <f>IF($B23=0,1000000,IF(INDEX('計算A'!$D$60:$II$104,$B23,5)*DA23=1,IF(AND($E23=2,MH23=0),1000000,INDEX('計算A'!H$110:H$114,$F23+1)+IF(AND($E23=1,MH23=0),1000,0)),1000000))</f>
        <v/>
      </c>
      <c r="VP23">
        <f>IF($B23=0,1000000,IF(INDEX('計算A'!$D$60:$II$104,$B23,6)*DB23=1,IF(AND($E23=2,MI23=0),1000000,INDEX('計算A'!I$110:I$114,$F23+1)+IF(AND($E23=1,MI23=0),1000,0)),1000000))</f>
        <v/>
      </c>
      <c r="VQ23">
        <f>IF($B23=0,1000000,IF(INDEX('計算A'!$D$60:$II$104,$B23,7)*DC23=1,IF(AND($E23=2,MJ23=0),1000000,INDEX('計算A'!J$110:J$114,$F23+1)+IF(AND($E23=1,MJ23=0),1000,0)),1000000))</f>
        <v/>
      </c>
      <c r="VR23">
        <f>IF($B23=0,1000000,IF(INDEX('計算A'!$D$60:$II$104,$B23,8)*DD23=1,IF(AND($E23=2,MK23=0),1000000,INDEX('計算A'!K$110:K$114,$F23+1)+IF(AND($E23=1,MK23=0),1000,0)),1000000))</f>
        <v/>
      </c>
      <c r="VS23">
        <f>IF($B23=0,1000000,IF(INDEX('計算A'!$D$60:$II$104,$B23,9)*DE23=1,IF(AND($E23=2,ML23=0),1000000,INDEX('計算A'!L$110:L$114,$F23+1)+IF(AND($E23=1,ML23=0),1000,0)),1000000))</f>
        <v/>
      </c>
      <c r="VT23">
        <f>IF($B23=0,1000000,IF(INDEX('計算A'!$D$60:$II$104,$B23,10)*DF23=1,IF(AND($E23=2,MM23=0),1000000,INDEX('計算A'!M$110:M$114,$F23+1)+IF(AND($E23=1,MM23=0),1000,0)),1000000))</f>
        <v/>
      </c>
      <c r="VU23">
        <f>IF($B23=0,1000000,IF(INDEX('計算A'!$D$60:$II$104,$B23,11)*DG23=1,IF(AND($E23=2,MN23=0),1000000,INDEX('計算A'!N$110:N$114,$F23+1)+IF(AND($E23=1,MN23=0),1000,0)),1000000))</f>
        <v/>
      </c>
      <c r="VV23">
        <f>IF($B23=0,1000000,IF(INDEX('計算A'!$D$60:$II$104,$B23,12)*DH23=1,IF(AND($E23=2,MO23=0),1000000,INDEX('計算A'!O$110:O$114,$F23+1)+IF(AND($E23=1,MO23=0),1000,0)),1000000))</f>
        <v/>
      </c>
      <c r="VW23">
        <f>IF($B23=0,1000000,IF(INDEX('計算A'!$D$60:$II$104,$B23,13)*DI23=1,IF(AND($E23=2,MP23=0),1000000,INDEX('計算A'!P$110:P$114,$F23+1)+IF(AND($E23=1,MP23=0),1000,0)),1000000))</f>
        <v/>
      </c>
      <c r="VX23">
        <f>IF($B23=0,1000000,IF(INDEX('計算A'!$D$60:$II$104,$B23,14)*DJ23=1,IF(AND($E23=2,MQ23=0),1000000,INDEX('計算A'!Q$110:Q$114,$F23+1)+IF(AND($E23=1,MQ23=0),1000,0)),1000000))</f>
        <v/>
      </c>
      <c r="VY23">
        <f>IF($B23=0,1000000,IF(INDEX('計算A'!$D$60:$II$104,$B23,15)*DK23=1,IF(AND($E23=2,MR23=0),1000000,INDEX('計算A'!R$110:R$114,$F23+1)+IF(AND($E23=1,MR23=0),1000,0)),1000000))</f>
        <v/>
      </c>
      <c r="VZ23">
        <f>IF($B23=0,1000000,IF(INDEX('計算A'!$D$60:$II$104,$B23,16)*DL23=1,IF(AND($E23=2,MS23=0),1000000,INDEX('計算A'!S$110:S$114,$F23+1)+IF(AND($E23=1,MS23=0),1000,0)),1000000))</f>
        <v/>
      </c>
      <c r="WA23">
        <f>IF($B23=0,1000000,IF(INDEX('計算A'!$D$60:$II$104,$B23,17)*DM23=1,IF(AND($E23=2,MT23=0),1000000,INDEX('計算A'!T$110:T$114,$F23+1)+IF(AND($E23=1,MT23=0),1000,0)),1000000))</f>
        <v/>
      </c>
      <c r="WB23">
        <f>IF($B23=0,1000000,IF(INDEX('計算A'!$D$60:$II$104,$B23,18)*DN23=1,IF(AND($E23=2,MU23=0),1000000,INDEX('計算A'!U$110:U$114,$F23+1)+IF(AND($E23=1,MU23=0),1000,0)),1000000))</f>
        <v/>
      </c>
      <c r="WC23">
        <f>IF($B23=0,1000000,IF(INDEX('計算A'!$D$60:$II$104,$B23,19)*DO23=1,IF(AND($E23=2,MV23=0),1000000,INDEX('計算A'!V$110:V$114,$F23+1)+IF(AND($E23=1,MV23=0),1000,0)),1000000))</f>
        <v/>
      </c>
      <c r="WD23">
        <f>IF($B23=0,1000000,IF(INDEX('計算A'!$D$60:$II$104,$B23,20)*DP23=1,IF(AND($E23=2,MW23=0),1000000,INDEX('計算A'!W$110:W$114,$F23+1)+IF(AND($E23=1,MW23=0),1000,0)),1000000))</f>
        <v/>
      </c>
      <c r="WE23">
        <f>IF($B23=0,1000000,IF(INDEX('計算A'!$D$60:$II$104,$B23,21)*DQ23=1,IF(AND($E23=2,MX23=0),1000000,INDEX('計算A'!X$110:X$114,$F23+1)+IF(AND($E23=1,MX23=0),1000,0)),1000000))</f>
        <v/>
      </c>
      <c r="WF23">
        <f>IF($B23=0,1000000,IF(INDEX('計算A'!$D$60:$II$104,$B23,22)*DR23=1,IF(AND($E23=2,MY23=0),1000000,INDEX('計算A'!Y$110:Y$114,$F23+1)+IF(AND($E23=1,MY23=0),1000,0)),1000000))</f>
        <v/>
      </c>
      <c r="WG23">
        <f>IF($B23=0,1000000,IF(INDEX('計算A'!$D$60:$II$104,$B23,23)*DS23=1,IF(AND($E23=2,MZ23=0),1000000,INDEX('計算A'!Z$110:Z$114,$F23+1)+IF(AND($E23=1,MZ23=0),1000,0)),1000000))</f>
        <v/>
      </c>
      <c r="WH23">
        <f>IF($B23=0,1000000,IF(INDEX('計算A'!$D$60:$II$104,$B23,24)*DT23=1,IF(AND($E23=2,NA23=0),1000000,INDEX('計算A'!AA$110:AA$114,$F23+1)+IF(AND($E23=1,NA23=0),1000,0)),1000000))</f>
        <v/>
      </c>
      <c r="WI23">
        <f>IF($B23=0,1000000,IF(INDEX('計算A'!$D$60:$II$104,$B23,25)*DU23=1,IF(AND($E23=2,NB23=0),1000000,INDEX('計算A'!AB$110:AB$114,$F23+1)+IF(AND($E23=1,NB23=0),1000,0)),1000000))</f>
        <v/>
      </c>
      <c r="WJ23">
        <f>IF($B23=0,1000000,IF(INDEX('計算A'!$D$60:$II$104,$B23,26)*DV23=1,IF(AND($E23=2,NC23=0),1000000,INDEX('計算A'!AC$110:AC$114,$F23+1)+IF(AND($E23=1,NC23=0),1000,0)),1000000))</f>
        <v/>
      </c>
      <c r="WK23">
        <f>IF($B23=0,1000000,IF(INDEX('計算A'!$D$60:$II$104,$B23,27)*DW23=1,IF(AND($E23=2,ND23=0),1000000,INDEX('計算A'!AD$110:AD$114,$F23+1)+IF(AND($E23=1,ND23=0),1000,0)),1000000))</f>
        <v/>
      </c>
      <c r="WL23">
        <f>IF($B23=0,1000000,IF(INDEX('計算A'!$D$60:$II$104,$B23,28)*DX23=1,IF(AND($E23=2,NE23=0),1000000,INDEX('計算A'!AE$110:AE$114,$F23+1)+IF(AND($E23=1,NE23=0),1000,0)),1000000))</f>
        <v/>
      </c>
      <c r="WM23">
        <f>IF($B23=0,1000000,IF(INDEX('計算A'!$D$60:$II$104,$B23,29)*DY23=1,IF(AND($E23=2,NF23=0),1000000,INDEX('計算A'!AF$110:AF$114,$F23+1)+IF(AND($E23=1,NF23=0),1000,0)),1000000))</f>
        <v/>
      </c>
      <c r="WN23">
        <f>IF($B23=0,1000000,IF(INDEX('計算A'!$D$60:$II$104,$B23,30)*DZ23=1,IF(AND($E23=2,NG23=0),1000000,INDEX('計算A'!AG$110:AG$114,$F23+1)+IF(AND($E23=1,NG23=0),1000,0)),1000000))</f>
        <v/>
      </c>
      <c r="WO23">
        <f>IF($B23=0,1000000,IF(INDEX('計算A'!$D$60:$II$104,$B23,31)*EA23=1,IF(AND($E23=2,NH23=0),1000000,INDEX('計算A'!AH$110:AH$114,$F23+1)+IF(AND($E23=1,NH23=0),1000,0)),1000000))</f>
        <v/>
      </c>
      <c r="WP23">
        <f>IF($B23=0,1000000,IF(INDEX('計算A'!$D$60:$II$104,$B23,32)*EB23=1,IF(AND($E23=2,NI23=0),1000000,INDEX('計算A'!AI$110:AI$114,$F23+1)+IF(AND($E23=1,NI23=0),1000,0)),1000000))</f>
        <v/>
      </c>
      <c r="WQ23">
        <f>IF($B23=0,1000000,IF(INDEX('計算A'!$D$60:$II$104,$B23,33)*EC23=1,IF(AND($E23=2,NJ23=0),1000000,INDEX('計算A'!AJ$110:AJ$114,$F23+1)+IF(AND($E23=1,NJ23=0),1000,0)),1000000))</f>
        <v/>
      </c>
      <c r="WR23">
        <f>IF($B23=0,1000000,IF(INDEX('計算A'!$D$60:$II$104,$B23,34)*ED23=1,IF(AND($E23=2,NK23=0),1000000,INDEX('計算A'!AK$110:AK$114,$F23+1)+IF(AND($E23=1,NK23=0),1000,0)),1000000))</f>
        <v/>
      </c>
      <c r="WS23">
        <f>IF($B23=0,1000000,IF(INDEX('計算A'!$D$60:$II$104,$B23,35)*EE23=1,IF(AND($E23=2,NL23=0),1000000,INDEX('計算A'!AL$110:AL$114,$F23+1)+IF(AND($E23=1,NL23=0),1000,0)),1000000))</f>
        <v/>
      </c>
      <c r="WT23">
        <f>IF($B23=0,1000000,IF(INDEX('計算A'!$D$60:$II$104,$B23,36)*EF23=1,IF(AND($E23=2,NM23=0),1000000,INDEX('計算A'!AM$110:AM$114,$F23+1)+IF(AND($E23=1,NM23=0),1000,0)),1000000))</f>
        <v/>
      </c>
      <c r="WU23">
        <f>IF($B23=0,1000000,IF(INDEX('計算A'!$D$60:$II$104,$B23,37)*EG23=1,IF(AND($E23=2,NN23=0),1000000,INDEX('計算A'!AN$110:AN$114,$F23+1)+IF(AND($E23=1,NN23=0),1000,0)),1000000))</f>
        <v/>
      </c>
      <c r="WV23">
        <f>IF($B23=0,1000000,IF(INDEX('計算A'!$D$60:$II$104,$B23,38)*EH23=1,IF(AND($E23=2,NO23=0),1000000,INDEX('計算A'!AO$110:AO$114,$F23+1)+IF(AND($E23=1,NO23=0),1000,0)),1000000))</f>
        <v/>
      </c>
      <c r="WW23">
        <f>IF($B23=0,1000000,IF(INDEX('計算A'!$D$60:$II$104,$B23,39)*EI23=1,IF(AND($E23=2,NP23=0),1000000,INDEX('計算A'!AP$110:AP$114,$F23+1)+IF(AND($E23=1,NP23=0),1000,0)),1000000))</f>
        <v/>
      </c>
      <c r="WX23">
        <f>IF($B23=0,1000000,IF(INDEX('計算A'!$D$60:$II$104,$B23,40)*EJ23=1,IF(AND($E23=2,NQ23=0),1000000,INDEX('計算A'!AQ$110:AQ$114,$F23+1)+IF(AND($E23=1,NQ23=0),1000,0)),1000000))</f>
        <v/>
      </c>
      <c r="WY23">
        <f>IF($B23=0,1000000,IF(INDEX('計算A'!$D$60:$II$104,$B23,41)*EK23=1,IF(AND($E23=2,NR23=0),1000000,INDEX('計算A'!AR$110:AR$114,$F23+1)+IF(AND($E23=1,NR23=0),1000,0)),1000000))</f>
        <v/>
      </c>
      <c r="WZ23">
        <f>IF($B23=0,1000000,IF(INDEX('計算A'!$D$60:$II$104,$B23,42)*EL23=1,IF(AND($E23=2,NS23=0),1000000,INDEX('計算A'!AS$110:AS$114,$F23+1)+IF(AND($E23=1,NS23=0),1000,0)),1000000))</f>
        <v/>
      </c>
      <c r="XA23">
        <f>IF($B23=0,1000000,IF(INDEX('計算A'!$D$60:$II$104,$B23,43)*EM23=1,IF(AND($E23=2,NT23=0),1000000,INDEX('計算A'!AT$110:AT$114,$F23+1)+IF(AND($E23=1,NT23=0),1000,0)),1000000))</f>
        <v/>
      </c>
      <c r="XB23">
        <f>IF($B23=0,1000000,IF(INDEX('計算A'!$D$60:$II$104,$B23,44)*EN23=1,IF(AND($E23=2,NU23=0),1000000,INDEX('計算A'!AU$110:AU$114,$F23+1)+IF(AND($E23=1,NU23=0),1000,0)),1000000))</f>
        <v/>
      </c>
      <c r="XC23">
        <f>IF($B23=0,1000000,IF(INDEX('計算A'!$D$60:$II$104,$B23,45)*EO23=1,IF(AND($E23=2,NV23=0),1000000,INDEX('計算A'!AV$110:AV$114,$F23+1)+IF(AND($E23=1,NV23=0),1000,0)),1000000))</f>
        <v/>
      </c>
      <c r="XD23">
        <f>IF($B23=0,1000000,IF(INDEX('計算A'!$D$60:$II$104,$B23,46)*EP23=1,IF(AND($E23=2,NW23=0),1000000,INDEX('計算A'!AW$110:AW$114,$F23+1)+IF(AND($E23=1,NW23=0),1000,0)),1000000))</f>
        <v/>
      </c>
      <c r="XE23">
        <f>IF($B23=0,1000000,IF(INDEX('計算A'!$D$60:$II$104,$B23,47)*EQ23=1,IF(AND($E23=2,NX23=0),1000000,INDEX('計算A'!AX$110:AX$114,$F23+1)+IF(AND($E23=1,NX23=0),1000,0)),1000000))</f>
        <v/>
      </c>
      <c r="XF23">
        <f>IF($B23=0,1000000,IF(INDEX('計算A'!$D$60:$II$104,$B23,48)*ER23=1,IF(AND($E23=2,NY23=0),1000000,INDEX('計算A'!AY$110:AY$114,$F23+1)+IF(AND($E23=1,NY23=0),1000,0)),1000000))</f>
        <v/>
      </c>
      <c r="XG23">
        <f>IF($B23=0,1000000,IF(INDEX('計算A'!$D$60:$II$104,$B23,49)*ES23=1,IF(AND($E23=2,NZ23=0),1000000,INDEX('計算A'!AZ$110:AZ$114,$F23+1)+IF(AND($E23=1,NZ23=0),1000,0)),1000000))</f>
        <v/>
      </c>
      <c r="XH23">
        <f>IF($B23=0,1000000,IF(INDEX('計算A'!$D$60:$II$104,$B23,50)*ET23=1,IF(AND($E23=2,OA23=0),1000000,INDEX('計算A'!BA$110:BA$114,$F23+1)+IF(AND($E23=1,OA23=0),1000,0)),1000000))</f>
        <v/>
      </c>
      <c r="XI23">
        <f>IF($B23=0,1000000,IF(INDEX('計算A'!$D$60:$II$104,$B23,51)*EU23=1,IF(AND($E23=2,OB23=0),1000000,INDEX('計算A'!BB$110:BB$114,$F23+1)+IF(AND($E23=1,OB23=0),1000,0)),1000000))</f>
        <v/>
      </c>
      <c r="XJ23">
        <f>IF($B23=0,1000000,IF(INDEX('計算A'!$D$60:$II$104,$B23,52)*EV23=1,IF(AND($E23=2,OC23=0),1000000,INDEX('計算A'!BC$110:BC$114,$F23+1)+IF(AND($E23=1,OC23=0),1000,0)),1000000))</f>
        <v/>
      </c>
      <c r="XK23">
        <f>IF($B23=0,1000000,IF(INDEX('計算A'!$D$60:$II$104,$B23,53)*EW23=1,IF(AND($E23=2,OD23=0),1000000,INDEX('計算A'!BD$110:BD$114,$F23+1)+IF(AND($E23=1,OD23=0),1000,0)),1000000))</f>
        <v/>
      </c>
      <c r="XL23">
        <f>IF($B23=0,1000000,IF(INDEX('計算A'!$D$60:$II$104,$B23,54)*EX23=1,IF(AND($E23=2,OE23=0),1000000,INDEX('計算A'!BE$110:BE$114,$F23+1)+IF(AND($E23=1,OE23=0),1000,0)),1000000))</f>
        <v/>
      </c>
      <c r="XM23">
        <f>IF($B23=0,1000000,IF(INDEX('計算A'!$D$60:$II$104,$B23,55)*EY23=1,IF(AND($E23=2,OF23=0),1000000,INDEX('計算A'!BF$110:BF$114,$F23+1)+IF(AND($E23=1,OF23=0),1000,0)),1000000))</f>
        <v/>
      </c>
      <c r="XN23">
        <f>IF($B23=0,1000000,IF(INDEX('計算A'!$D$60:$II$104,$B23,56)*EZ23=1,IF(AND($E23=2,OG23=0),1000000,INDEX('計算A'!BG$110:BG$114,$F23+1)+IF(AND($E23=1,OG23=0),1000,0)),1000000))</f>
        <v/>
      </c>
      <c r="XO23">
        <f>IF($B23=0,1000000,IF(INDEX('計算A'!$D$60:$II$104,$B23,57)*FA23=1,IF(AND($E23=2,OH23=0),1000000,INDEX('計算A'!BH$110:BH$114,$F23+1)+IF(AND($E23=1,OH23=0),1000,0)),1000000))</f>
        <v/>
      </c>
      <c r="XP23">
        <f>IF($B23=0,1000000,IF(INDEX('計算A'!$D$60:$II$104,$B23,58)*FB23=1,IF(AND($E23=2,OI23=0),1000000,INDEX('計算A'!BI$110:BI$114,$F23+1)+IF(AND($E23=1,OI23=0),1000,0)),1000000))</f>
        <v/>
      </c>
      <c r="XQ23">
        <f>IF($B23=0,1000000,IF(INDEX('計算A'!$D$60:$II$104,$B23,59)*FC23=1,IF(AND($E23=2,OJ23=0),1000000,INDEX('計算A'!BJ$110:BJ$114,$F23+1)+IF(AND($E23=1,OJ23=0),1000,0)),1000000))</f>
        <v/>
      </c>
      <c r="XR23">
        <f>IF($B23=0,1000000,IF(INDEX('計算A'!$D$60:$II$104,$B23,60)*FD23=1,IF(AND($E23=2,OK23=0),1000000,INDEX('計算A'!BK$110:BK$114,$F23+1)+IF(AND($E23=1,OK23=0),1000,0)),1000000))</f>
        <v/>
      </c>
      <c r="XS23">
        <f>IF($B23=0,1000000,IF(INDEX('計算A'!$D$60:$II$104,$B23,61)*FE23=1,IF(AND($E23=2,OL23=0),1000000,INDEX('計算A'!BL$110:BL$114,$F23+1)+IF(AND($E23=1,OL23=0),1000,0)),1000000))</f>
        <v/>
      </c>
      <c r="XT23">
        <f>IF($B23=0,1000000,IF(INDEX('計算A'!$D$60:$II$104,$B23,62)*FF23=1,IF(AND($E23=2,OM23=0),1000000,INDEX('計算A'!BM$110:BM$114,$F23+1)+IF(AND($E23=1,OM23=0),1000,0)),1000000))</f>
        <v/>
      </c>
      <c r="XU23">
        <f>IF($B23=0,1000000,IF(INDEX('計算A'!$D$60:$II$104,$B23,63)*FG23=1,IF(AND($E23=2,ON23=0),1000000,INDEX('計算A'!BN$110:BN$114,$F23+1)+IF(AND($E23=1,ON23=0),1000,0)),1000000))</f>
        <v/>
      </c>
      <c r="XV23">
        <f>IF($B23=0,1000000,IF(INDEX('計算A'!$D$60:$II$104,$B23,64)*FH23=1,IF(AND($E23=2,OO23=0),1000000,INDEX('計算A'!BO$110:BO$114,$F23+1)+IF(AND($E23=1,OO23=0),1000,0)),1000000))</f>
        <v/>
      </c>
      <c r="XW23">
        <f>IF($B23=0,1000000,IF(INDEX('計算A'!$D$60:$II$104,$B23,65)*FI23=1,IF(AND($E23=2,OP23=0),1000000,INDEX('計算A'!BP$110:BP$114,$F23+1)+IF(AND($E23=1,OP23=0),1000,0)),1000000))</f>
        <v/>
      </c>
      <c r="XX23">
        <f>IF($B23=0,1000000,IF(INDEX('計算A'!$D$60:$II$104,$B23,66)*FJ23=1,IF(AND($E23=2,OQ23=0),1000000,INDEX('計算A'!BQ$110:BQ$114,$F23+1)+IF(AND($E23=1,OQ23=0),1000,0)),1000000))</f>
        <v/>
      </c>
      <c r="XY23">
        <f>IF($B23=0,1000000,IF(INDEX('計算A'!$D$60:$II$104,$B23,67)*FK23=1,IF(AND($E23=2,OR23=0),1000000,INDEX('計算A'!BR$110:BR$114,$F23+1)+IF(AND($E23=1,OR23=0),1000,0)),1000000))</f>
        <v/>
      </c>
      <c r="XZ23">
        <f>IF($B23=0,1000000,IF(INDEX('計算A'!$D$60:$II$104,$B23,68)*FL23=1,IF(AND($E23=2,OS23=0),1000000,INDEX('計算A'!BS$110:BS$114,$F23+1)+IF(AND($E23=1,OS23=0),1000,0)),1000000))</f>
        <v/>
      </c>
      <c r="YA23">
        <f>IF($B23=0,1000000,IF(INDEX('計算A'!$D$60:$II$104,$B23,69)*FM23=1,IF(AND($E23=2,OT23=0),1000000,INDEX('計算A'!BT$110:BT$114,$F23+1)+IF(AND($E23=1,OT23=0),1000,0)),1000000))</f>
        <v/>
      </c>
      <c r="YB23">
        <f>IF($B23=0,1000000,IF(INDEX('計算A'!$D$60:$II$104,$B23,70)*FN23=1,IF(AND($E23=2,OU23=0),1000000,INDEX('計算A'!BU$110:BU$114,$F23+1)+IF(AND($E23=1,OU23=0),1000,0)),1000000))</f>
        <v/>
      </c>
      <c r="YC23">
        <f>IF($B23=0,1000000,IF(INDEX('計算A'!$D$60:$II$104,$B23,71)*FO23=1,IF(AND($E23=2,OV23=0),1000000,INDEX('計算A'!BV$110:BV$114,$F23+1)+IF(AND($E23=1,OV23=0),1000,0)),1000000))</f>
        <v/>
      </c>
      <c r="YD23">
        <f>IF($B23=0,1000000,IF(INDEX('計算A'!$D$60:$II$104,$B23,72)*FP23=1,IF(AND($E23=2,OW23=0),1000000,INDEX('計算A'!BW$110:BW$114,$F23+1)+IF(AND($E23=1,OW23=0),1000,0)),1000000))</f>
        <v/>
      </c>
      <c r="YE23">
        <f>IF($B23=0,1000000,IF(INDEX('計算A'!$D$60:$II$104,$B23,73)*FQ23=1,IF(AND($E23=2,OX23=0),1000000,INDEX('計算A'!BX$110:BX$114,$F23+1)+IF(AND($E23=1,OX23=0),1000,0)),1000000))</f>
        <v/>
      </c>
      <c r="YF23">
        <f>IF($B23=0,1000000,IF(INDEX('計算A'!$D$60:$II$104,$B23,74)*FR23=1,IF(AND($E23=2,OY23=0),1000000,INDEX('計算A'!BY$110:BY$114,$F23+1)+IF(AND($E23=1,OY23=0),1000,0)),1000000))</f>
        <v/>
      </c>
      <c r="YG23">
        <f>IF($B23=0,1000000,IF(INDEX('計算A'!$D$60:$II$104,$B23,75)*FS23=1,IF(AND($E23=2,OZ23=0),1000000,INDEX('計算A'!BZ$110:BZ$114,$F23+1)+IF(AND($E23=1,OZ23=0),1000,0)),1000000))</f>
        <v/>
      </c>
      <c r="YH23">
        <f>IF($B23=0,1000000,IF(INDEX('計算A'!$D$60:$II$104,$B23,76)*FT23=1,IF(AND($E23=2,PA23=0),1000000,INDEX('計算A'!CA$110:CA$114,$F23+1)+IF(AND($E23=1,PA23=0),1000,0)),1000000))</f>
        <v/>
      </c>
      <c r="YI23">
        <f>IF($B23=0,1000000,IF(INDEX('計算A'!$D$60:$II$104,$B23,77)*FU23=1,IF(AND($E23=2,PB23=0),1000000,INDEX('計算A'!CB$110:CB$114,$F23+1)+IF(AND($E23=1,PB23=0),1000,0)),1000000))</f>
        <v/>
      </c>
      <c r="YJ23">
        <f>IF($B23=0,1000000,IF(INDEX('計算A'!$D$60:$II$104,$B23,78)*FV23=1,IF(AND($E23=2,PC23=0),1000000,INDEX('計算A'!CC$110:CC$114,$F23+1)+IF(AND($E23=1,PC23=0),1000,0)),1000000))</f>
        <v/>
      </c>
      <c r="YK23">
        <f>IF($B23=0,1000000,IF(INDEX('計算A'!$D$60:$II$104,$B23,79)*FW23=1,IF(AND($E23=2,PD23=0),1000000,INDEX('計算A'!CD$110:CD$114,$F23+1)+IF(AND($E23=1,PD23=0),1000,0)),1000000))</f>
        <v/>
      </c>
      <c r="YL23">
        <f>IF($B23=0,1000000,IF(INDEX('計算A'!$D$60:$II$104,$B23,80)*FX23=1,IF(AND($E23=2,PE23=0),1000000,INDEX('計算A'!CE$110:CE$114,$F23+1)+IF(AND($E23=1,PE23=0),1000,0)),1000000))</f>
        <v/>
      </c>
      <c r="YM23">
        <f>IF($B23=0,1000000,IF(INDEX('計算A'!$D$60:$II$104,$B23,81)*FY23=1,IF(AND($E23=2,PF23=0),1000000,INDEX('計算A'!CF$110:CF$114,$F23+1)+IF(AND($E23=1,PF23=0),1000,0)),1000000))</f>
        <v/>
      </c>
      <c r="YN23">
        <f>IF($B23=0,1000000,IF(INDEX('計算A'!$D$60:$II$104,$B23,82)*FZ23=1,IF(AND($E23=2,PG23=0),1000000,INDEX('計算A'!CG$110:CG$114,$F23+1)+IF(AND($E23=1,PG23=0),1000,0)),1000000))</f>
        <v/>
      </c>
      <c r="YO23">
        <f>IF($B23=0,1000000,IF(INDEX('計算A'!$D$60:$II$104,$B23,83)*GA23=1,IF(AND($E23=2,PH23=0),1000000,INDEX('計算A'!CH$110:CH$114,$F23+1)+IF(AND($E23=1,PH23=0),1000,0)),1000000))</f>
        <v/>
      </c>
      <c r="YP23">
        <f>IF($B23=0,1000000,IF(INDEX('計算A'!$D$60:$II$104,$B23,84)*GB23=1,IF(AND($E23=2,PI23=0),1000000,INDEX('計算A'!CI$110:CI$114,$F23+1)+IF(AND($E23=1,PI23=0),1000,0)),1000000))</f>
        <v/>
      </c>
      <c r="YQ23">
        <f>IF($B23=0,1000000,IF(INDEX('計算A'!$D$60:$II$104,$B23,85)*GC23=1,IF(AND($E23=2,PJ23=0),1000000,INDEX('計算A'!CJ$110:CJ$114,$F23+1)+IF(AND($E23=1,PJ23=0),1000,0)),1000000))</f>
        <v/>
      </c>
      <c r="YR23">
        <f>IF($B23=0,1000000,IF(INDEX('計算A'!$D$60:$II$104,$B23,86)*GD23=1,IF(AND($E23=2,PK23=0),1000000,INDEX('計算A'!CK$110:CK$114,$F23+1)+IF(AND($E23=1,PK23=0),1000,0)),1000000))</f>
        <v/>
      </c>
      <c r="YS23">
        <f>IF($B23=0,1000000,IF(INDEX('計算A'!$D$60:$II$104,$B23,87)*GE23=1,IF(AND($E23=2,PL23=0),1000000,INDEX('計算A'!CL$110:CL$114,$F23+1)+IF(AND($E23=1,PL23=0),1000,0)),1000000))</f>
        <v/>
      </c>
      <c r="YT23">
        <f>IF($B23=0,1000000,IF(INDEX('計算A'!$D$60:$II$104,$B23,88)*GF23=1,IF(AND($E23=2,PM23=0),1000000,INDEX('計算A'!CM$110:CM$114,$F23+1)+IF(AND($E23=1,PM23=0),1000,0)),1000000))</f>
        <v/>
      </c>
      <c r="YU23">
        <f>IF($B23=0,1000000,IF(INDEX('計算A'!$D$60:$II$104,$B23,89)*GG23=1,IF(AND($E23=2,PN23=0),1000000,INDEX('計算A'!CN$110:CN$114,$F23+1)+IF(AND($E23=1,PN23=0),1000,0)),1000000))</f>
        <v/>
      </c>
      <c r="YV23">
        <f>IF($B23=0,1000000,IF(INDEX('計算A'!$D$60:$II$104,$B23,90)*GH23=1,IF(AND($E23=2,PO23=0),1000000,INDEX('計算A'!CO$110:CO$114,$F23+1)+IF(AND($E23=1,PO23=0),1000,0)),1000000))</f>
        <v/>
      </c>
      <c r="YW23">
        <f>IF($B23=0,1000000,IF(INDEX('計算A'!$D$60:$II$104,$B23,91)*GI23=1,IF(AND($E23=2,PP23=0),1000000,INDEX('計算A'!CP$110:CP$114,$F23+1)+IF(AND($E23=1,PP23=0),1000,0)),1000000))</f>
        <v/>
      </c>
      <c r="YX23">
        <f>IF($B23=0,1000000,IF(INDEX('計算A'!$D$60:$II$104,$B23,92)*GJ23=1,IF(AND($E23=2,PQ23=0),1000000,INDEX('計算A'!CQ$110:CQ$114,$F23+1)+IF(AND($E23=1,PQ23=0),1000,0)),1000000))</f>
        <v/>
      </c>
      <c r="YY23">
        <f>IF($B23=0,1000000,IF(INDEX('計算A'!$D$60:$II$104,$B23,93)*GK23=1,IF(AND($E23=2,PR23=0),1000000,INDEX('計算A'!CR$110:CR$114,$F23+1)+IF(AND($E23=1,PR23=0),1000,0)),1000000))</f>
        <v/>
      </c>
      <c r="YZ23">
        <f>IF($B23=0,1000000,IF(INDEX('計算A'!$D$60:$II$104,$B23,94)*GL23=1,IF(AND($E23=2,PS23=0),1000000,INDEX('計算A'!CS$110:CS$114,$F23+1)+IF(AND($E23=1,PS23=0),1000,0)),1000000))</f>
        <v/>
      </c>
      <c r="ZA23">
        <f>IF($B23=0,1000000,IF(INDEX('計算A'!$D$60:$II$104,$B23,95)*GM23=1,IF(AND($E23=2,PT23=0),1000000,INDEX('計算A'!CT$110:CT$114,$F23+1)+IF(AND($E23=1,PT23=0),1000,0)),1000000))</f>
        <v/>
      </c>
      <c r="ZB23">
        <f>IF($B23=0,1000000,IF(INDEX('計算A'!$D$60:$II$104,$B23,96)*GN23=1,IF(AND($E23=2,PU23=0),1000000,INDEX('計算A'!CU$110:CU$114,$F23+1)+IF(AND($E23=1,PU23=0),1000,0)),1000000))</f>
        <v/>
      </c>
      <c r="ZC23">
        <f>IF($B23=0,1000000,IF(INDEX('計算A'!$D$60:$II$104,$B23,97)*GO23=1,IF(AND($E23=2,PV23=0),1000000,INDEX('計算A'!CV$110:CV$114,$F23+1)+IF(AND($E23=1,PV23=0),1000,0)),1000000))</f>
        <v/>
      </c>
      <c r="ZD23">
        <f>IF($B23=0,1000000,IF(INDEX('計算A'!$D$60:$II$104,$B23,98)*GP23=1,IF(AND($E23=2,PW23=0),1000000,INDEX('計算A'!CW$110:CW$114,$F23+1)+IF(AND($E23=1,PW23=0),1000,0)),1000000))</f>
        <v/>
      </c>
      <c r="ZE23">
        <f>IF($B23=0,1000000,IF(INDEX('計算A'!$D$60:$II$104,$B23,99)*GQ23=1,IF(AND($E23=2,PX23=0),1000000,INDEX('計算A'!CX$110:CX$114,$F23+1)+IF(AND($E23=1,PX23=0),1000,0)),1000000))</f>
        <v/>
      </c>
      <c r="ZF23">
        <f>IF($B23=0,1000000,IF(INDEX('計算A'!$D$60:$II$104,$B23,100)*GR23=1,IF(AND($E23=2,PY23=0),1000000,INDEX('計算A'!CY$110:CY$114,$F23+1)+IF(AND($E23=1,PY23=0),1000,0)),1000000))</f>
        <v/>
      </c>
      <c r="ZG23">
        <f>IF($B23=0,1000000,IF(INDEX('計算A'!$D$60:$II$104,$B23,101)*GS23=1,IF(AND($E23=2,PZ23=0),1000000,INDEX('計算A'!CZ$110:CZ$114,$F23+1)+IF(AND($E23=1,PZ23=0),1000,0)),1000000))</f>
        <v/>
      </c>
      <c r="ZH23">
        <f>IF($B23=0,1000000,IF(INDEX('計算A'!$D$60:$II$104,$B23,102)*GT23=1,IF(AND($E23=2,QA23=0),1000000,INDEX('計算A'!DA$110:DA$114,$F23+1)+IF(AND($E23=1,QA23=0),1000,0)),1000000))</f>
        <v/>
      </c>
      <c r="ZI23">
        <f>IF($B23=0,1000000,IF(INDEX('計算A'!$D$60:$II$104,$B23,103)*GU23=1,IF(AND($E23=2,QB23=0),1000000,INDEX('計算A'!DB$110:DB$114,$F23+1)+IF(AND($E23=1,QB23=0),1000,0)),1000000))</f>
        <v/>
      </c>
      <c r="ZJ23">
        <f>IF($B23=0,1000000,IF(INDEX('計算A'!$D$60:$II$104,$B23,104)*GV23=1,IF(AND($E23=2,QC23=0),1000000,INDEX('計算A'!DC$110:DC$114,$F23+1)+IF(AND($E23=1,QC23=0),1000,0)),1000000))</f>
        <v/>
      </c>
      <c r="ZK23">
        <f>IF($B23=0,1000000,IF(INDEX('計算A'!$D$60:$II$104,$B23,105)*GW23=1,IF(AND($E23=2,QD23=0),1000000,INDEX('計算A'!DD$110:DD$114,$F23+1)+IF(AND($E23=1,QD23=0),1000,0)),1000000))</f>
        <v/>
      </c>
      <c r="ZL23">
        <f>IF($B23=0,1000000,IF(INDEX('計算A'!$D$60:$II$104,$B23,106)*GX23=1,IF(AND($E23=2,QE23=0),1000000,INDEX('計算A'!DE$110:DE$114,$F23+1)+IF(AND($E23=1,QE23=0),1000,0)),1000000))</f>
        <v/>
      </c>
      <c r="ZM23">
        <f>IF($B23=0,1000000,IF(INDEX('計算A'!$D$60:$II$104,$B23,107)*GY23=1,IF(AND($E23=2,QF23=0),1000000,INDEX('計算A'!DF$110:DF$114,$F23+1)+IF(AND($E23=1,QF23=0),1000,0)),1000000))</f>
        <v/>
      </c>
      <c r="ZN23">
        <f>IF($B23=0,1000000,IF(INDEX('計算A'!$D$60:$II$104,$B23,108)*GZ23=1,IF(AND($E23=2,QG23=0),1000000,INDEX('計算A'!DG$110:DG$114,$F23+1)+IF(AND($E23=1,QG23=0),1000,0)),1000000))</f>
        <v/>
      </c>
      <c r="ZO23">
        <f>IF($B23=0,1000000,IF(INDEX('計算A'!$D$60:$II$104,$B23,109)*HA23=1,IF(AND($E23=2,QH23=0),1000000,INDEX('計算A'!DH$110:DH$114,$F23+1)+IF(AND($E23=1,QH23=0),1000,0)),1000000))</f>
        <v/>
      </c>
      <c r="ZP23">
        <f>IF($B23=0,1000000,IF(INDEX('計算A'!$D$60:$II$104,$B23,110)*HB23=1,IF(AND($E23=2,QI23=0),1000000,INDEX('計算A'!DI$110:DI$114,$F23+1)+IF(AND($E23=1,QI23=0),1000,0)),1000000))</f>
        <v/>
      </c>
      <c r="ZQ23">
        <f>IF($B23=0,1000000,IF(INDEX('計算A'!$D$60:$II$104,$B23,111)*HC23=1,IF(AND($E23=2,QJ23=0),1000000,INDEX('計算A'!DJ$110:DJ$114,$F23+1)+IF(AND($E23=1,QJ23=0),1000,0)),1000000))</f>
        <v/>
      </c>
      <c r="ZR23">
        <f>IF($B23=0,1000000,IF(INDEX('計算A'!$D$60:$II$104,$B23,112)*HD23=1,IF(AND($E23=2,QK23=0),1000000,INDEX('計算A'!DK$110:DK$114,$F23+1)+IF(AND($E23=1,QK23=0),1000,0)),1000000))</f>
        <v/>
      </c>
      <c r="ZS23">
        <f>IF($B23=0,1000000,IF(INDEX('計算A'!$D$60:$II$104,$B23,113)*HE23=1,IF(AND($E23=2,QL23=0),1000000,INDEX('計算A'!DL$110:DL$114,$F23+1)+IF(AND($E23=1,QL23=0),1000,0)),1000000))</f>
        <v/>
      </c>
      <c r="ZT23">
        <f>IF($B23=0,1000000,IF(INDEX('計算A'!$D$60:$II$104,$B23,114)*HF23=1,IF(AND($E23=2,QM23=0),1000000,INDEX('計算A'!DM$110:DM$114,$F23+1)+IF(AND($E23=1,QM23=0),1000,0)),1000000))</f>
        <v/>
      </c>
      <c r="ZU23">
        <f>IF($B23=0,1000000,IF(INDEX('計算A'!$D$60:$II$104,$B23,115)*HG23=1,IF(AND($E23=2,QN23=0),1000000,INDEX('計算A'!DN$110:DN$114,$F23+1)+IF(AND($E23=1,QN23=0),1000,0)),1000000))</f>
        <v/>
      </c>
      <c r="ZV23">
        <f>IF($B23=0,1000000,IF(INDEX('計算A'!$D$60:$II$104,$B23,116)*HH23=1,IF(AND($E23=2,QO23=0),1000000,INDEX('計算A'!DO$110:DO$114,$F23+1)+IF(AND($E23=1,QO23=0),1000,0)),1000000))</f>
        <v/>
      </c>
      <c r="ZW23">
        <f>IF($B23=0,1000000,IF(INDEX('計算A'!$D$60:$II$104,$B23,117)*HI23=1,IF(AND($E23=2,QP23=0),1000000,INDEX('計算A'!DP$110:DP$114,$F23+1)+IF(AND($E23=1,QP23=0),1000,0)),1000000))</f>
        <v/>
      </c>
      <c r="ZX23">
        <f>IF($B23=0,1000000,IF(INDEX('計算A'!$D$60:$II$104,$B23,118)*HJ23=1,IF(AND($E23=2,QQ23=0),1000000,INDEX('計算A'!DQ$110:DQ$114,$F23+1)+IF(AND($E23=1,QQ23=0),1000,0)),1000000))</f>
        <v/>
      </c>
      <c r="ZY23">
        <f>IF($B23=0,1000000,IF(INDEX('計算A'!$D$60:$II$104,$B23,119)*HK23=1,IF(AND($E23=2,QR23=0),1000000,INDEX('計算A'!DR$110:DR$114,$F23+1)+IF(AND($E23=1,QR23=0),1000,0)),1000000))</f>
        <v/>
      </c>
      <c r="ZZ23">
        <f>IF($B23=0,1000000,IF(INDEX('計算A'!$D$60:$II$104,$B23,120)*HL23=1,IF(AND($E23=2,QS23=0),1000000,INDEX('計算A'!DS$110:DS$114,$F23+1)+IF(AND($E23=1,QS23=0),1000,0)),1000000))</f>
        <v/>
      </c>
      <c r="AAA23">
        <f>IF($B23=0,1000000,IF(INDEX('計算A'!$D$60:$II$104,$B23,121)*HM23=1,IF(AND($E23=2,QT23=0),1000000,INDEX('計算A'!DT$110:DT$114,$F23+1)+IF(AND($E23=1,QT23=0),1000,0)),1000000))</f>
        <v/>
      </c>
      <c r="AAB23">
        <f>IF($B23=0,1000000,IF(INDEX('計算A'!$D$60:$II$104,$B23,122)*HN23=1,IF(AND($E23=2,QU23=0),1000000,INDEX('計算A'!DU$110:DU$114,$F23+1)+IF(AND($E23=1,QU23=0),1000,0)),1000000))</f>
        <v/>
      </c>
      <c r="AAC23">
        <f>IF($B23=0,1000000,IF(INDEX('計算A'!$D$60:$II$104,$B23,123)*HO23=1,IF(AND($E23=2,QV23=0),1000000,INDEX('計算A'!DV$110:DV$114,$F23+1)+IF(AND($E23=1,QV23=0),1000,0)),1000000))</f>
        <v/>
      </c>
      <c r="AAD23">
        <f>IF($B23=0,1000000,IF(INDEX('計算A'!$D$60:$II$104,$B23,124)*HP23=1,IF(AND($E23=2,QW23=0),1000000,INDEX('計算A'!DW$110:DW$114,$F23+1)+IF(AND($E23=1,QW23=0),1000,0)),1000000))</f>
        <v/>
      </c>
      <c r="AAE23">
        <f>IF($B23=0,1000000,IF(INDEX('計算A'!$D$60:$II$104,$B23,125)*HQ23=1,IF(AND($E23=2,QX23=0),1000000,INDEX('計算A'!DX$110:DX$114,$F23+1)+IF(AND($E23=1,QX23=0),1000,0)),1000000))</f>
        <v/>
      </c>
      <c r="AAF23">
        <f>IF($B23=0,1000000,IF(INDEX('計算A'!$D$60:$II$104,$B23,126)*HR23=1,IF(AND($E23=2,QY23=0),1000000,INDEX('計算A'!DY$110:DY$114,$F23+1)+IF(AND($E23=1,QY23=0),1000,0)),1000000))</f>
        <v/>
      </c>
      <c r="AAG23">
        <f>IF($B23=0,1000000,IF(INDEX('計算A'!$D$60:$II$104,$B23,127)*HS23=1,IF(AND($E23=2,QZ23=0),1000000,INDEX('計算A'!DZ$110:DZ$114,$F23+1)+IF(AND($E23=1,QZ23=0),1000,0)),1000000))</f>
        <v/>
      </c>
      <c r="AAH23">
        <f>IF($B23=0,1000000,IF(INDEX('計算A'!$D$60:$II$104,$B23,128)*HT23=1,IF(AND($E23=2,RA23=0),1000000,INDEX('計算A'!EA$110:EA$114,$F23+1)+IF(AND($E23=1,RA23=0),1000,0)),1000000))</f>
        <v/>
      </c>
      <c r="AAI23">
        <f>IF($B23=0,1000000,IF(INDEX('計算A'!$D$60:$II$104,$B23,129)*HU23=1,IF(AND($E23=2,RB23=0),1000000,INDEX('計算A'!EB$110:EB$114,$F23+1)+IF(AND($E23=1,RB23=0),1000,0)),1000000))</f>
        <v/>
      </c>
      <c r="AAJ23">
        <f>IF($B23=0,1000000,IF(INDEX('計算A'!$D$60:$II$104,$B23,130)*HV23=1,IF(AND($E23=2,RC23=0),1000000,INDEX('計算A'!EC$110:EC$114,$F23+1)+IF(AND($E23=1,RC23=0),1000,0)),1000000))</f>
        <v/>
      </c>
      <c r="AAK23">
        <f>IF($B23=0,1000000,IF(INDEX('計算A'!$D$60:$II$104,$B23,131)*HW23=1,IF(AND($E23=2,RD23=0),1000000,INDEX('計算A'!ED$110:ED$114,$F23+1)+IF(AND($E23=1,RD23=0),1000,0)),1000000))</f>
        <v/>
      </c>
      <c r="AAL23">
        <f>IF($B23=0,1000000,IF(INDEX('計算A'!$D$60:$II$104,$B23,132)*HX23=1,IF(AND($E23=2,RE23=0),1000000,INDEX('計算A'!EE$110:EE$114,$F23+1)+IF(AND($E23=1,RE23=0),1000,0)),1000000))</f>
        <v/>
      </c>
      <c r="AAM23">
        <f>IF($B23=0,1000000,IF(INDEX('計算A'!$D$60:$II$104,$B23,133)*HY23=1,IF(AND($E23=2,RF23=0),1000000,INDEX('計算A'!EF$110:EF$114,$F23+1)+IF(AND($E23=1,RF23=0),1000,0)),1000000))</f>
        <v/>
      </c>
      <c r="AAN23">
        <f>IF($B23=0,1000000,IF(INDEX('計算A'!$D$60:$II$104,$B23,134)*HZ23=1,IF(AND($E23=2,RG23=0),1000000,INDEX('計算A'!EG$110:EG$114,$F23+1)+IF(AND($E23=1,RG23=0),1000,0)),1000000))</f>
        <v/>
      </c>
      <c r="AAO23">
        <f>IF($B23=0,1000000,IF(INDEX('計算A'!$D$60:$II$104,$B23,135)*IA23=1,IF(AND($E23=2,RH23=0),1000000,INDEX('計算A'!EH$110:EH$114,$F23+1)+IF(AND($E23=1,RH23=0),1000,0)),1000000))</f>
        <v/>
      </c>
      <c r="AAP23">
        <f>IF($B23=0,1000000,IF(INDEX('計算A'!$D$60:$II$104,$B23,136)*IB23=1,IF(AND($E23=2,RI23=0),1000000,INDEX('計算A'!EI$110:EI$114,$F23+1)+IF(AND($E23=1,RI23=0),1000,0)),1000000))</f>
        <v/>
      </c>
      <c r="AAQ23">
        <f>IF($B23=0,1000000,IF(INDEX('計算A'!$D$60:$II$104,$B23,137)*IC23=1,IF(AND($E23=2,RJ23=0),1000000,INDEX('計算A'!EJ$110:EJ$114,$F23+1)+IF(AND($E23=1,RJ23=0),1000,0)),1000000))</f>
        <v/>
      </c>
      <c r="AAR23">
        <f>IF($B23=0,1000000,IF(INDEX('計算A'!$D$60:$II$104,$B23,138)*ID23=1,IF(AND($E23=2,RK23=0),1000000,INDEX('計算A'!EK$110:EK$114,$F23+1)+IF(AND($E23=1,RK23=0),1000,0)),1000000))</f>
        <v/>
      </c>
      <c r="AAS23">
        <f>IF($B23=0,1000000,IF(INDEX('計算A'!$D$60:$II$104,$B23,139)*IE23=1,IF(AND($E23=2,RL23=0),1000000,INDEX('計算A'!EL$110:EL$114,$F23+1)+IF(AND($E23=1,RL23=0),1000,0)),1000000))</f>
        <v/>
      </c>
      <c r="AAT23">
        <f>IF($B23=0,1000000,IF(INDEX('計算A'!$D$60:$II$104,$B23,140)*IF23=1,IF(AND($E23=2,RM23=0),1000000,INDEX('計算A'!EM$110:EM$114,$F23+1)+IF(AND($E23=1,RM23=0),1000,0)),1000000))</f>
        <v/>
      </c>
      <c r="AAU23">
        <f>IF($B23=0,1000000,IF(INDEX('計算A'!$D$60:$II$104,$B23,141)*IG23=1,IF(AND($E23=2,RN23=0),1000000,INDEX('計算A'!EN$110:EN$114,$F23+1)+IF(AND($E23=1,RN23=0),1000,0)),1000000))</f>
        <v/>
      </c>
      <c r="AAV23">
        <f>IF($B23=0,1000000,IF(INDEX('計算A'!$D$60:$II$104,$B23,142)*IH23=1,IF(AND($E23=2,RO23=0),1000000,INDEX('計算A'!EO$110:EO$114,$F23+1)+IF(AND($E23=1,RO23=0),1000,0)),1000000))</f>
        <v/>
      </c>
      <c r="AAW23">
        <f>IF($B23=0,1000000,IF(INDEX('計算A'!$D$60:$II$104,$B23,143)*II23=1,IF(AND($E23=2,RP23=0),1000000,INDEX('計算A'!EP$110:EP$114,$F23+1)+IF(AND($E23=1,RP23=0),1000,0)),1000000))</f>
        <v/>
      </c>
      <c r="AAX23">
        <f>IF($B23=0,1000000,IF(INDEX('計算A'!$D$60:$II$104,$B23,144)*IJ23=1,IF(AND($E23=2,RQ23=0),1000000,INDEX('計算A'!EQ$110:EQ$114,$F23+1)+IF(AND($E23=1,RQ23=0),1000,0)),1000000))</f>
        <v/>
      </c>
      <c r="AAY23">
        <f>IF($B23=0,1000000,IF(INDEX('計算A'!$D$60:$II$104,$B23,145)*IK23=1,IF(AND($E23=2,RR23=0),1000000,INDEX('計算A'!ER$110:ER$114,$F23+1)+IF(AND($E23=1,RR23=0),1000,0)),1000000))</f>
        <v/>
      </c>
      <c r="AAZ23">
        <f>IF($B23=0,1000000,IF(INDEX('計算A'!$D$60:$II$104,$B23,146)*IL23=1,IF(AND($E23=2,RS23=0),1000000,INDEX('計算A'!ES$110:ES$114,$F23+1)+IF(AND($E23=1,RS23=0),1000,0)),1000000))</f>
        <v/>
      </c>
      <c r="ABA23">
        <f>IF($B23=0,1000000,IF(INDEX('計算A'!$D$60:$II$104,$B23,147)*IM23=1,IF(AND($E23=2,RT23=0),1000000,INDEX('計算A'!ET$110:ET$114,$F23+1)+IF(AND($E23=1,RT23=0),1000,0)),1000000))</f>
        <v/>
      </c>
      <c r="ABB23">
        <f>IF($B23=0,1000000,IF(INDEX('計算A'!$D$60:$II$104,$B23,148)*IN23=1,IF(AND($E23=2,RU23=0),1000000,INDEX('計算A'!EU$110:EU$114,$F23+1)+IF(AND($E23=1,RU23=0),1000,0)),1000000))</f>
        <v/>
      </c>
      <c r="ABC23">
        <f>IF($B23=0,1000000,IF(INDEX('計算A'!$D$60:$II$104,$B23,149)*IO23=1,IF(AND($E23=2,RV23=0),1000000,INDEX('計算A'!EV$110:EV$114,$F23+1)+IF(AND($E23=1,RV23=0),1000,0)),1000000))</f>
        <v/>
      </c>
      <c r="ABD23">
        <f>IF($B23=0,1000000,IF(INDEX('計算A'!$D$60:$II$104,$B23,150)*IP23=1,IF(AND($E23=2,RW23=0),1000000,INDEX('計算A'!EW$110:EW$114,$F23+1)+IF(AND($E23=1,RW23=0),1000,0)),1000000))</f>
        <v/>
      </c>
      <c r="ABE23">
        <f>IF($B23=0,1000000,IF(INDEX('計算A'!$D$60:$II$104,$B23,151)*IQ23=1,IF(AND($E23=2,RX23=0),1000000,INDEX('計算A'!EX$110:EX$114,$F23+1)+IF(AND($E23=1,RX23=0),1000,0)),1000000))</f>
        <v/>
      </c>
      <c r="ABF23">
        <f>IF($B23=0,1000000,IF(INDEX('計算A'!$D$60:$II$104,$B23,152)*IR23=1,IF(AND($E23=2,RY23=0),1000000,INDEX('計算A'!EY$110:EY$114,$F23+1)+IF(AND($E23=1,RY23=0),1000,0)),1000000))</f>
        <v/>
      </c>
      <c r="ABG23">
        <f>IF($B23=0,1000000,IF(INDEX('計算A'!$D$60:$II$104,$B23,153)*IS23=1,IF(AND($E23=2,RZ23=0),1000000,INDEX('計算A'!EZ$110:EZ$114,$F23+1)+IF(AND($E23=1,RZ23=0),1000,0)),1000000))</f>
        <v/>
      </c>
      <c r="ABH23">
        <f>IF($B23=0,1000000,IF(INDEX('計算A'!$D$60:$II$104,$B23,154)*IT23=1,IF(AND($E23=2,SA23=0),1000000,INDEX('計算A'!FA$110:FA$114,$F23+1)+IF(AND($E23=1,SA23=0),1000,0)),1000000))</f>
        <v/>
      </c>
      <c r="ABI23">
        <f>IF($B23=0,1000000,IF(INDEX('計算A'!$D$60:$II$104,$B23,155)*IU23=1,IF(AND($E23=2,SB23=0),1000000,INDEX('計算A'!FB$110:FB$114,$F23+1)+IF(AND($E23=1,SB23=0),1000,0)),1000000))</f>
        <v/>
      </c>
      <c r="ABJ23">
        <f>IF($B23=0,1000000,IF(INDEX('計算A'!$D$60:$II$104,$B23,156)*IV23=1,IF(AND($E23=2,SC23=0),1000000,INDEX('計算A'!FC$110:FC$114,$F23+1)+IF(AND($E23=1,SC23=0),1000,0)),1000000))</f>
        <v/>
      </c>
      <c r="ABK23">
        <f>IF($B23=0,1000000,IF(INDEX('計算A'!$D$60:$II$104,$B23,157)*IW23=1,IF(AND($E23=2,SD23=0),1000000,INDEX('計算A'!FD$110:FD$114,$F23+1)+IF(AND($E23=1,SD23=0),1000,0)),1000000))</f>
        <v/>
      </c>
      <c r="ABL23">
        <f>IF($B23=0,1000000,IF(INDEX('計算A'!$D$60:$II$104,$B23,158)*IX23=1,IF(AND($E23=2,SE23=0),1000000,INDEX('計算A'!FE$110:FE$114,$F23+1)+IF(AND($E23=1,SE23=0),1000,0)),1000000))</f>
        <v/>
      </c>
      <c r="ABM23">
        <f>IF($B23=0,1000000,IF(INDEX('計算A'!$D$60:$II$104,$B23,159)*IY23=1,IF(AND($E23=2,SF23=0),1000000,INDEX('計算A'!FF$110:FF$114,$F23+1)+IF(AND($E23=1,SF23=0),1000,0)),1000000))</f>
        <v/>
      </c>
      <c r="ABN23">
        <f>IF($B23=0,1000000,IF(INDEX('計算A'!$D$60:$II$104,$B23,160)*IZ23=1,IF(AND($E23=2,SG23=0),1000000,INDEX('計算A'!FG$110:FG$114,$F23+1)+IF(AND($E23=1,SG23=0),1000,0)),1000000))</f>
        <v/>
      </c>
      <c r="ABO23">
        <f>IF($B23=0,1000000,IF(INDEX('計算A'!$D$60:$II$104,$B23,161)*JA23=1,IF(AND($E23=2,SH23=0),1000000,INDEX('計算A'!FH$110:FH$114,$F23+1)+IF(AND($E23=1,SH23=0),1000,0)),1000000))</f>
        <v/>
      </c>
      <c r="ABP23">
        <f>IF($B23=0,1000000,IF(INDEX('計算A'!$D$60:$II$104,$B23,162)*JB23=1,IF(AND($E23=2,SI23=0),1000000,INDEX('計算A'!FI$110:FI$114,$F23+1)+IF(AND($E23=1,SI23=0),1000,0)),1000000))</f>
        <v/>
      </c>
      <c r="ABQ23">
        <f>IF($B23=0,1000000,IF(INDEX('計算A'!$D$60:$II$104,$B23,163)*JC23=1,IF(AND($E23=2,SJ23=0),1000000,INDEX('計算A'!FJ$110:FJ$114,$F23+1)+IF(AND($E23=1,SJ23=0),1000,0)),1000000))</f>
        <v/>
      </c>
      <c r="ABR23">
        <f>IF($B23=0,1000000,IF(INDEX('計算A'!$D$60:$II$104,$B23,164)*JD23=1,IF(AND($E23=2,SK23=0),1000000,INDEX('計算A'!FK$110:FK$114,$F23+1)+IF(AND($E23=1,SK23=0),1000,0)),1000000))</f>
        <v/>
      </c>
      <c r="ABS23">
        <f>IF($B23=0,1000000,IF(INDEX('計算A'!$D$60:$II$104,$B23,165)*JE23=1,IF(AND($E23=2,SL23=0),1000000,INDEX('計算A'!FL$110:FL$114,$F23+1)+IF(AND($E23=1,SL23=0),1000,0)),1000000))</f>
        <v/>
      </c>
      <c r="ABT23">
        <f>IF($B23=0,1000000,IF(INDEX('計算A'!$D$60:$II$104,$B23,166)*JF23=1,IF(AND($E23=2,SM23=0),1000000,INDEX('計算A'!FM$110:FM$114,$F23+1)+IF(AND($E23=1,SM23=0),1000,0)),1000000))</f>
        <v/>
      </c>
      <c r="ABU23">
        <f>IF($B23=0,1000000,IF(INDEX('計算A'!$D$60:$II$104,$B23,167)*JG23=1,IF(AND($E23=2,SN23=0),1000000,INDEX('計算A'!FN$110:FN$114,$F23+1)+IF(AND($E23=1,SN23=0),1000,0)),1000000))</f>
        <v/>
      </c>
      <c r="ABV23">
        <f>IF($B23=0,1000000,IF(INDEX('計算A'!$D$60:$II$104,$B23,168)*JH23=1,IF(AND($E23=2,SO23=0),1000000,INDEX('計算A'!FO$110:FO$114,$F23+1)+IF(AND($E23=1,SO23=0),1000,0)),1000000))</f>
        <v/>
      </c>
      <c r="ABW23">
        <f>IF($B23=0,1000000,IF(INDEX('計算A'!$D$60:$II$104,$B23,169)*JI23=1,IF(AND($E23=2,SP23=0),1000000,INDEX('計算A'!FP$110:FP$114,$F23+1)+IF(AND($E23=1,SP23=0),1000,0)),1000000))</f>
        <v/>
      </c>
      <c r="ABX23">
        <f>IF($B23=0,1000000,IF(INDEX('計算A'!$D$60:$II$104,$B23,170)*JJ23=1,IF(AND($E23=2,SQ23=0),1000000,INDEX('計算A'!FQ$110:FQ$114,$F23+1)+IF(AND($E23=1,SQ23=0),1000,0)),1000000))</f>
        <v/>
      </c>
      <c r="ABY23">
        <f>IF($B23=0,1000000,IF(INDEX('計算A'!$D$60:$II$104,$B23,171)*JK23=1,IF(AND($E23=2,SR23=0),1000000,INDEX('計算A'!FR$110:FR$114,$F23+1)+IF(AND($E23=1,SR23=0),1000,0)),1000000))</f>
        <v/>
      </c>
      <c r="ABZ23">
        <f>IF($B23=0,1000000,IF(INDEX('計算A'!$D$60:$II$104,$B23,172)*JL23=1,IF(AND($E23=2,SS23=0),1000000,INDEX('計算A'!FS$110:FS$114,$F23+1)+IF(AND($E23=1,SS23=0),1000,0)),1000000))</f>
        <v/>
      </c>
      <c r="ACA23">
        <f>IF($B23=0,1000000,IF(INDEX('計算A'!$D$60:$II$104,$B23,173)*JM23=1,IF(AND($E23=2,ST23=0),1000000,INDEX('計算A'!FT$110:FT$114,$F23+1)+IF(AND($E23=1,ST23=0),1000,0)),1000000))</f>
        <v/>
      </c>
      <c r="ACB23">
        <f>IF($B23=0,1000000,IF(INDEX('計算A'!$D$60:$II$104,$B23,174)*JN23=1,IF(AND($E23=2,SU23=0),1000000,INDEX('計算A'!FU$110:FU$114,$F23+1)+IF(AND($E23=1,SU23=0),1000,0)),1000000))</f>
        <v/>
      </c>
      <c r="ACC23">
        <f>IF($B23=0,1000000,IF(INDEX('計算A'!$D$60:$II$104,$B23,175)*JO23=1,IF(AND($E23=2,SV23=0),1000000,INDEX('計算A'!FV$110:FV$114,$F23+1)+IF(AND($E23=1,SV23=0),1000,0)),1000000))</f>
        <v/>
      </c>
      <c r="ACD23">
        <f>IF($B23=0,1000000,IF(INDEX('計算A'!$D$60:$II$104,$B23,176)*JP23=1,IF(AND($E23=2,SW23=0),1000000,INDEX('計算A'!FW$110:FW$114,$F23+1)+IF(AND($E23=1,SW23=0),1000,0)),1000000))</f>
        <v/>
      </c>
      <c r="ACE23">
        <f>IF($B23=0,1000000,IF(INDEX('計算A'!$D$60:$II$104,$B23,177)*JQ23=1,IF(AND($E23=2,SX23=0),1000000,INDEX('計算A'!FX$110:FX$114,$F23+1)+IF(AND($E23=1,SX23=0),1000,0)),1000000))</f>
        <v/>
      </c>
      <c r="ACF23">
        <f>IF($B23=0,1000000,IF(INDEX('計算A'!$D$60:$II$104,$B23,178)*JR23=1,IF(AND($E23=2,SY23=0),1000000,INDEX('計算A'!FY$110:FY$114,$F23+1)+IF(AND($E23=1,SY23=0),1000,0)),1000000))</f>
        <v/>
      </c>
      <c r="ACG23">
        <f>IF($B23=0,1000000,IF(INDEX('計算A'!$D$60:$II$104,$B23,179)*JS23=1,IF(AND($E23=2,SZ23=0),1000000,INDEX('計算A'!FZ$110:FZ$114,$F23+1)+IF(AND($E23=1,SZ23=0),1000,0)),1000000))</f>
        <v/>
      </c>
      <c r="ACH23">
        <f>IF($B23=0,1000000,IF(INDEX('計算A'!$D$60:$II$104,$B23,180)*JT23=1,IF(AND($E23=2,TA23=0),1000000,INDEX('計算A'!GA$110:GA$114,$F23+1)+IF(AND($E23=1,TA23=0),1000,0)),1000000))</f>
        <v/>
      </c>
      <c r="ACI23">
        <f>IF($B23=0,1000000,IF(INDEX('計算A'!$D$60:$II$104,$B23,181)*JU23=1,IF(AND($E23=2,TB23=0),1000000,INDEX('計算A'!GB$110:GB$114,$F23+1)+IF(AND($E23=1,TB23=0),1000,0)),1000000))</f>
        <v/>
      </c>
      <c r="ACJ23">
        <f>IF($B23=0,1000000,IF(INDEX('計算A'!$D$60:$II$104,$B23,182)*JV23=1,IF(AND($E23=2,TC23=0),1000000,INDEX('計算A'!GC$110:GC$114,$F23+1)+IF(AND($E23=1,TC23=0),1000,0)),1000000))</f>
        <v/>
      </c>
      <c r="ACK23">
        <f>IF($B23=0,1000000,IF(INDEX('計算A'!$D$60:$II$104,$B23,183)*JW23=1,IF(AND($E23=2,TD23=0),1000000,INDEX('計算A'!GD$110:GD$114,$F23+1)+IF(AND($E23=1,TD23=0),1000,0)),1000000))</f>
        <v/>
      </c>
      <c r="ACL23">
        <f>IF($B23=0,1000000,IF(INDEX('計算A'!$D$60:$II$104,$B23,184)*JX23=1,IF(AND($E23=2,TE23=0),1000000,INDEX('計算A'!GE$110:GE$114,$F23+1)+IF(AND($E23=1,TE23=0),1000,0)),1000000))</f>
        <v/>
      </c>
      <c r="ACM23">
        <f>IF($B23=0,1000000,IF(INDEX('計算A'!$D$60:$II$104,$B23,185)*JY23=1,IF(AND($E23=2,TF23=0),1000000,INDEX('計算A'!GF$110:GF$114,$F23+1)+IF(AND($E23=1,TF23=0),1000,0)),1000000))</f>
        <v/>
      </c>
      <c r="ACN23">
        <f>IF($B23=0,1000000,IF(INDEX('計算A'!$D$60:$II$104,$B23,186)*JZ23=1,IF(AND($E23=2,TG23=0),1000000,INDEX('計算A'!GG$110:GG$114,$F23+1)+IF(AND($E23=1,TG23=0),1000,0)),1000000))</f>
        <v/>
      </c>
      <c r="ACO23">
        <f>IF($B23=0,1000000,IF(INDEX('計算A'!$D$60:$II$104,$B23,187)*KA23=1,IF(AND($E23=2,TH23=0),1000000,INDEX('計算A'!GH$110:GH$114,$F23+1)+IF(AND($E23=1,TH23=0),1000,0)),1000000))</f>
        <v/>
      </c>
      <c r="ACP23">
        <f>IF($B23=0,1000000,IF(INDEX('計算A'!$D$60:$II$104,$B23,188)*KB23=1,IF(AND($E23=2,TI23=0),1000000,INDEX('計算A'!GI$110:GI$114,$F23+1)+IF(AND($E23=1,TI23=0),1000,0)),1000000))</f>
        <v/>
      </c>
      <c r="ACQ23">
        <f>IF($B23=0,1000000,IF(INDEX('計算A'!$D$60:$II$104,$B23,189)*KC23=1,IF(AND($E23=2,TJ23=0),1000000,INDEX('計算A'!GJ$110:GJ$114,$F23+1)+IF(AND($E23=1,TJ23=0),1000,0)),1000000))</f>
        <v/>
      </c>
      <c r="ACR23">
        <f>IF($B23=0,1000000,IF(INDEX('計算A'!$D$60:$II$104,$B23,190)*KD23=1,IF(AND($E23=2,TK23=0),1000000,INDEX('計算A'!GK$110:GK$114,$F23+1)+IF(AND($E23=1,TK23=0),1000,0)),1000000))</f>
        <v/>
      </c>
      <c r="ACS23">
        <f>IF($B23=0,1000000,IF(INDEX('計算A'!$D$60:$II$104,$B23,191)*KE23=1,IF(AND($E23=2,TL23=0),1000000,INDEX('計算A'!GL$110:GL$114,$F23+1)+IF(AND($E23=1,TL23=0),1000,0)),1000000))</f>
        <v/>
      </c>
      <c r="ACT23">
        <f>IF($B23=0,1000000,IF(INDEX('計算A'!$D$60:$II$104,$B23,192)*KF23=1,IF(AND($E23=2,TM23=0),1000000,INDEX('計算A'!GM$110:GM$114,$F23+1)+IF(AND($E23=1,TM23=0),1000,0)),1000000))</f>
        <v/>
      </c>
      <c r="ACU23">
        <f>IF($B23=0,1000000,IF(INDEX('計算A'!$D$60:$II$104,$B23,193)*KG23=1,IF(AND($E23=2,TN23=0),1000000,INDEX('計算A'!GN$110:GN$114,$F23+1)+IF(AND($E23=1,TN23=0),1000,0)),1000000))</f>
        <v/>
      </c>
      <c r="ACV23">
        <f>IF($B23=0,1000000,IF(INDEX('計算A'!$D$60:$II$104,$B23,194)*KH23=1,IF(AND($E23=2,TO23=0),1000000,INDEX('計算A'!GO$110:GO$114,$F23+1)+IF(AND($E23=1,TO23=0),1000,0)),1000000))</f>
        <v/>
      </c>
      <c r="ACW23">
        <f>IF($B23=0,1000000,IF(INDEX('計算A'!$D$60:$II$104,$B23,195)*KI23=1,IF(AND($E23=2,TP23=0),1000000,INDEX('計算A'!GP$110:GP$114,$F23+1)+IF(AND($E23=1,TP23=0),1000,0)),1000000))</f>
        <v/>
      </c>
      <c r="ACX23">
        <f>IF($B23=0,1000000,IF(INDEX('計算A'!$D$60:$II$104,$B23,196)*KJ23=1,IF(AND($E23=2,TQ23=0),1000000,INDEX('計算A'!GQ$110:GQ$114,$F23+1)+IF(AND($E23=1,TQ23=0),1000,0)),1000000))</f>
        <v/>
      </c>
      <c r="ACY23">
        <f>IF($B23=0,1000000,IF(INDEX('計算A'!$D$60:$II$104,$B23,197)*KK23=1,IF(AND($E23=2,TR23=0),1000000,INDEX('計算A'!GR$110:GR$114,$F23+1)+IF(AND($E23=1,TR23=0),1000,0)),1000000))</f>
        <v/>
      </c>
      <c r="ACZ23">
        <f>IF($B23=0,1000000,IF(INDEX('計算A'!$D$60:$II$104,$B23,198)*KL23=1,IF(AND($E23=2,TS23=0),1000000,INDEX('計算A'!GS$110:GS$114,$F23+1)+IF(AND($E23=1,TS23=0),1000,0)),1000000))</f>
        <v/>
      </c>
      <c r="ADA23">
        <f>IF($B23=0,1000000,IF(INDEX('計算A'!$D$60:$II$104,$B23,199)*KM23=1,IF(AND($E23=2,TT23=0),1000000,INDEX('計算A'!GT$110:GT$114,$F23+1)+IF(AND($E23=1,TT23=0),1000,0)),1000000))</f>
        <v/>
      </c>
      <c r="ADB23">
        <f>IF($B23=0,1000000,IF(INDEX('計算A'!$D$60:$II$104,$B23,200)*KN23=1,IF(AND($E23=2,TU23=0),1000000,INDEX('計算A'!GU$110:GU$114,$F23+1)+IF(AND($E23=1,TU23=0),1000,0)),1000000))</f>
        <v/>
      </c>
      <c r="ADC23">
        <f>IF($B23=0,1000000,IF(INDEX('計算A'!$D$60:$II$104,$B23,201)*KO23=1,IF(AND($E23=2,TV23=0),1000000,INDEX('計算A'!GV$110:GV$114,$F23+1)+IF(AND($E23=1,TV23=0),1000,0)),1000000))</f>
        <v/>
      </c>
      <c r="ADD23">
        <f>IF($B23=0,1000000,IF(INDEX('計算A'!$D$60:$II$104,$B23,202)*KP23=1,IF(AND($E23=2,TW23=0),1000000,INDEX('計算A'!GW$110:GW$114,$F23+1)+IF(AND($E23=1,TW23=0),1000,0)),1000000))</f>
        <v/>
      </c>
      <c r="ADE23">
        <f>IF($B23=0,1000000,IF(INDEX('計算A'!$D$60:$II$104,$B23,203)*KQ23=1,IF(AND($E23=2,TX23=0),1000000,INDEX('計算A'!GX$110:GX$114,$F23+1)+IF(AND($E23=1,TX23=0),1000,0)),1000000))</f>
        <v/>
      </c>
      <c r="ADF23">
        <f>IF($B23=0,1000000,IF(INDEX('計算A'!$D$60:$II$104,$B23,204)*KR23=1,IF(AND($E23=2,TY23=0),1000000,INDEX('計算A'!GY$110:GY$114,$F23+1)+IF(AND($E23=1,TY23=0),1000,0)),1000000))</f>
        <v/>
      </c>
      <c r="ADG23">
        <f>IF($B23=0,1000000,IF(INDEX('計算A'!$D$60:$II$104,$B23,205)*KS23=1,IF(AND($E23=2,TZ23=0),1000000,INDEX('計算A'!GZ$110:GZ$114,$F23+1)+IF(AND($E23=1,TZ23=0),1000,0)),1000000))</f>
        <v/>
      </c>
      <c r="ADH23">
        <f>IF($B23=0,1000000,IF(INDEX('計算A'!$D$60:$II$104,$B23,206)*KT23=1,IF(AND($E23=2,UA23=0),1000000,INDEX('計算A'!HA$110:HA$114,$F23+1)+IF(AND($E23=1,UA23=0),1000,0)),1000000))</f>
        <v/>
      </c>
      <c r="ADI23">
        <f>IF($B23=0,1000000,IF(INDEX('計算A'!$D$60:$II$104,$B23,207)*KU23=1,IF(AND($E23=2,UB23=0),1000000,INDEX('計算A'!HB$110:HB$114,$F23+1)+IF(AND($E23=1,UB23=0),1000,0)),1000000))</f>
        <v/>
      </c>
      <c r="ADJ23">
        <f>IF($B23=0,1000000,IF(INDEX('計算A'!$D$60:$II$104,$B23,208)*KV23=1,IF(AND($E23=2,UC23=0),1000000,INDEX('計算A'!HC$110:HC$114,$F23+1)+IF(AND($E23=1,UC23=0),1000,0)),1000000))</f>
        <v/>
      </c>
      <c r="ADK23">
        <f>IF($B23=0,1000000,IF(INDEX('計算A'!$D$60:$II$104,$B23,209)*KW23=1,IF(AND($E23=2,UD23=0),1000000,INDEX('計算A'!HD$110:HD$114,$F23+1)+IF(AND($E23=1,UD23=0),1000,0)),1000000))</f>
        <v/>
      </c>
      <c r="ADL23">
        <f>IF($B23=0,1000000,IF(INDEX('計算A'!$D$60:$II$104,$B23,210)*KX23=1,IF(AND($E23=2,UE23=0),1000000,INDEX('計算A'!HE$110:HE$114,$F23+1)+IF(AND($E23=1,UE23=0),1000,0)),1000000))</f>
        <v/>
      </c>
      <c r="ADM23">
        <f>IF($B23=0,1000000,IF(INDEX('計算A'!$D$60:$II$104,$B23,211)*KY23=1,IF(AND($E23=2,UF23=0),1000000,INDEX('計算A'!HF$110:HF$114,$F23+1)+IF(AND($E23=1,UF23=0),1000,0)),1000000))</f>
        <v/>
      </c>
      <c r="ADN23">
        <f>IF($B23=0,1000000,IF(INDEX('計算A'!$D$60:$II$104,$B23,212)*KZ23=1,IF(AND($E23=2,UG23=0),1000000,INDEX('計算A'!HG$110:HG$114,$F23+1)+IF(AND($E23=1,UG23=0),1000,0)),1000000))</f>
        <v/>
      </c>
      <c r="ADO23">
        <f>IF($B23=0,1000000,IF(INDEX('計算A'!$D$60:$II$104,$B23,213)*LA23=1,IF(AND($E23=2,UH23=0),1000000,INDEX('計算A'!HH$110:HH$114,$F23+1)+IF(AND($E23=1,UH23=0),1000,0)),1000000))</f>
        <v/>
      </c>
      <c r="ADP23">
        <f>IF($B23=0,1000000,IF(INDEX('計算A'!$D$60:$II$104,$B23,214)*LB23=1,IF(AND($E23=2,UI23=0),1000000,INDEX('計算A'!HI$110:HI$114,$F23+1)+IF(AND($E23=1,UI23=0),1000,0)),1000000))</f>
        <v/>
      </c>
      <c r="ADQ23">
        <f>IF($B23=0,1000000,IF(INDEX('計算A'!$D$60:$II$104,$B23,215)*LC23=1,IF(AND($E23=2,UJ23=0),1000000,INDEX('計算A'!HJ$110:HJ$114,$F23+1)+IF(AND($E23=1,UJ23=0),1000,0)),1000000))</f>
        <v/>
      </c>
      <c r="ADR23">
        <f>IF($B23=0,1000000,IF(INDEX('計算A'!$D$60:$II$104,$B23,216)*LD23=1,IF(AND($E23=2,UK23=0),1000000,INDEX('計算A'!HK$110:HK$114,$F23+1)+IF(AND($E23=1,UK23=0),1000,0)),1000000))</f>
        <v/>
      </c>
      <c r="ADS23">
        <f>IF($B23=0,1000000,IF(INDEX('計算A'!$D$60:$II$104,$B23,217)*LE23=1,IF(AND($E23=2,UL23=0),1000000,INDEX('計算A'!HL$110:HL$114,$F23+1)+IF(AND($E23=1,UL23=0),1000,0)),1000000))</f>
        <v/>
      </c>
      <c r="ADT23">
        <f>IF($B23=0,1000000,IF(INDEX('計算A'!$D$60:$II$104,$B23,218)*LF23=1,IF(AND($E23=2,UM23=0),1000000,INDEX('計算A'!HM$110:HM$114,$F23+1)+IF(AND($E23=1,UM23=0),1000,0)),1000000))</f>
        <v/>
      </c>
      <c r="ADU23">
        <f>IF($B23=0,1000000,IF(INDEX('計算A'!$D$60:$II$104,$B23,219)*LG23=1,IF(AND($E23=2,UN23=0),1000000,INDEX('計算A'!HN$110:HN$114,$F23+1)+IF(AND($E23=1,UN23=0),1000,0)),1000000))</f>
        <v/>
      </c>
      <c r="ADV23">
        <f>IF($B23=0,1000000,IF(INDEX('計算A'!$D$60:$II$104,$B23,220)*LH23=1,IF(AND($E23=2,UO23=0),1000000,INDEX('計算A'!HO$110:HO$114,$F23+1)+IF(AND($E23=1,UO23=0),1000,0)),1000000))</f>
        <v/>
      </c>
      <c r="ADW23">
        <f>IF($B23=0,1000000,IF(INDEX('計算A'!$D$60:$II$104,$B23,221)*LI23=1,IF(AND($E23=2,UP23=0),1000000,INDEX('計算A'!HP$110:HP$114,$F23+1)+IF(AND($E23=1,UP23=0),1000,0)),1000000))</f>
        <v/>
      </c>
      <c r="ADX23">
        <f>IF($B23=0,1000000,IF(INDEX('計算A'!$D$60:$II$104,$B23,222)*LJ23=1,IF(AND($E23=2,UQ23=0),1000000,INDEX('計算A'!HQ$110:HQ$114,$F23+1)+IF(AND($E23=1,UQ23=0),1000,0)),1000000))</f>
        <v/>
      </c>
      <c r="ADY23">
        <f>IF($B23=0,1000000,IF(INDEX('計算A'!$D$60:$II$104,$B23,223)*LK23=1,IF(AND($E23=2,UR23=0),1000000,INDEX('計算A'!HR$110:HR$114,$F23+1)+IF(AND($E23=1,UR23=0),1000,0)),1000000))</f>
        <v/>
      </c>
      <c r="ADZ23">
        <f>IF($B23=0,1000000,IF(INDEX('計算A'!$D$60:$II$104,$B23,224)*LL23=1,IF(AND($E23=2,US23=0),1000000,INDEX('計算A'!HS$110:HS$114,$F23+1)+IF(AND($E23=1,US23=0),1000,0)),1000000))</f>
        <v/>
      </c>
      <c r="AEA23">
        <f>IF($B23=0,1000000,IF(INDEX('計算A'!$D$60:$II$104,$B23,225)*LM23=1,IF(AND($E23=2,UT23=0),1000000,INDEX('計算A'!HT$110:HT$114,$F23+1)+IF(AND($E23=1,UT23=0),1000,0)),1000000))</f>
        <v/>
      </c>
      <c r="AEB23">
        <f>IF($B23=0,1000000,IF(INDEX('計算A'!$D$60:$II$104,$B23,226)*LN23=1,IF(AND($E23=2,UU23=0),1000000,INDEX('計算A'!HU$110:HU$114,$F23+1)+IF(AND($E23=1,UU23=0),1000,0)),1000000))</f>
        <v/>
      </c>
      <c r="AEC23">
        <f>IF($B23=0,1000000,IF(INDEX('計算A'!$D$60:$II$104,$B23,227)*LO23=1,IF(AND($E23=2,UV23=0),1000000,INDEX('計算A'!HV$110:HV$114,$F23+1)+IF(AND($E23=1,UV23=0),1000,0)),1000000))</f>
        <v/>
      </c>
      <c r="AED23">
        <f>IF($B23=0,1000000,IF(INDEX('計算A'!$D$60:$II$104,$B23,228)*LP23=1,IF(AND($E23=2,UW23=0),1000000,INDEX('計算A'!HW$110:HW$114,$F23+1)+IF(AND($E23=1,UW23=0),1000,0)),1000000))</f>
        <v/>
      </c>
      <c r="AEE23">
        <f>IF($B23=0,1000000,IF(INDEX('計算A'!$D$60:$II$104,$B23,229)*LQ23=1,IF(AND($E23=2,UX23=0),1000000,INDEX('計算A'!HX$110:HX$114,$F23+1)+IF(AND($E23=1,UX23=0),1000,0)),1000000))</f>
        <v/>
      </c>
      <c r="AEF23">
        <f>IF($B23=0,1000000,IF(INDEX('計算A'!$D$60:$II$104,$B23,230)*LR23=1,IF(AND($E23=2,UY23=0),1000000,INDEX('計算A'!HY$110:HY$114,$F23+1)+IF(AND($E23=1,UY23=0),1000,0)),1000000))</f>
        <v/>
      </c>
      <c r="AEG23">
        <f>IF($B23=0,1000000,IF(INDEX('計算A'!$D$60:$II$104,$B23,231)*LS23=1,IF(AND($E23=2,UZ23=0),1000000,INDEX('計算A'!HZ$110:HZ$114,$F23+1)+IF(AND($E23=1,UZ23=0),1000,0)),1000000))</f>
        <v/>
      </c>
      <c r="AEH23">
        <f>IF($B23=0,1000000,IF(INDEX('計算A'!$D$60:$II$104,$B23,232)*LT23=1,IF(AND($E23=2,VA23=0),1000000,INDEX('計算A'!IA$110:IA$114,$F23+1)+IF(AND($E23=1,VA23=0),1000,0)),1000000))</f>
        <v/>
      </c>
      <c r="AEI23">
        <f>IF($B23=0,1000000,IF(INDEX('計算A'!$D$60:$II$104,$B23,233)*LU23=1,IF(AND($E23=2,VB23=0),1000000,INDEX('計算A'!IB$110:IB$114,$F23+1)+IF(AND($E23=1,VB23=0),1000,0)),1000000))</f>
        <v/>
      </c>
      <c r="AEJ23">
        <f>IF($B23=0,1000000,IF(INDEX('計算A'!$D$60:$II$104,$B23,234)*LV23=1,IF(AND($E23=2,VC23=0),1000000,INDEX('計算A'!IC$110:IC$114,$F23+1)+IF(AND($E23=1,VC23=0),1000,0)),1000000))</f>
        <v/>
      </c>
      <c r="AEK23">
        <f>IF($B23=0,1000000,IF(INDEX('計算A'!$D$60:$II$104,$B23,235)*LW23=1,IF(AND($E23=2,VD23=0),1000000,INDEX('計算A'!ID$110:ID$114,$F23+1)+IF(AND($E23=1,VD23=0),1000,0)),1000000))</f>
        <v/>
      </c>
      <c r="AEL23">
        <f>IF($B23=0,1000000,IF(INDEX('計算A'!$D$60:$II$104,$B23,236)*LX23=1,IF(AND($E23=2,VE23=0),1000000,INDEX('計算A'!IE$110:IE$114,$F23+1)+IF(AND($E23=1,VE23=0),1000,0)),1000000))</f>
        <v/>
      </c>
      <c r="AEM23">
        <f>IF($B23=0,1000000,IF(INDEX('計算A'!$D$60:$II$104,$B23,237)*LY23=1,IF(AND($E23=2,VF23=0),1000000,INDEX('計算A'!IF$110:IF$114,$F23+1)+IF(AND($E23=1,VF23=0),1000,0)),1000000))</f>
        <v/>
      </c>
      <c r="AEN23">
        <f>IF($B23=0,1000000,IF(INDEX('計算A'!$D$60:$II$104,$B23,238)*LZ23=1,IF(AND($E23=2,VG23=0),1000000,INDEX('計算A'!IG$110:IG$114,$F23+1)+IF(AND($E23=1,VG23=0),1000,0)),1000000))</f>
        <v/>
      </c>
      <c r="AEO23">
        <f>IF($B23=0,1000000,IF(INDEX('計算A'!$D$60:$II$104,$B23,239)*MA23=1,IF(AND($E23=2,VH23=0),1000000,INDEX('計算A'!IH$110:IH$114,$F23+1)+IF(AND($E23=1,VH23=0),1000,0)),1000000))</f>
        <v/>
      </c>
      <c r="AEP23">
        <f>IF($B23=0,1000000,IF(INDEX('計算A'!$D$60:$II$104,$B23,240)*MB23=1,IF(AND($E23=2,VI23=0),1000000,INDEX('計算A'!II$110:II$114,$F23+1)+IF(AND($E23=1,VI23=0),1000,0)),1000000))</f>
        <v/>
      </c>
    </row>
    <row r="24">
      <c r="A24" t="n">
        <v>22</v>
      </c>
      <c r="B24">
        <f>IF(MIN(BC24:CU24)&gt;=1000000,0,MATCH(MIN(BC24:CU24),BC24:CU24,0))</f>
        <v/>
      </c>
      <c r="C24">
        <f>IF(MIN(VK24:AEP24)&gt;=1000000,0,MATCH(MIN(VK24:AEP24),VK24:AEP24,0))</f>
        <v/>
      </c>
      <c r="D24">
        <f>IF(C24&gt;0,INDEX('計算A'!$D$5:$II$5,C24),0)</f>
        <v/>
      </c>
      <c r="E24">
        <f>IF(B24=0,0,INDEX('計算A'!$IQ$10:$IQ$54,B24))</f>
        <v/>
      </c>
      <c r="F24">
        <f>IF(B24=0,0,INDEX('計算A'!$IP$10:$IP$54,B24))</f>
        <v/>
      </c>
      <c r="G24">
        <f>IF(AND(C24&gt;0,E24&gt;0),IF(AND(INDEX('計算A'!$D$106:$II$106,C24)=1,INDEX($MD24:$VI24,C24)=1),C24+1,0),0)</f>
        <v/>
      </c>
      <c r="I24">
        <f>MAX(I23,IF($B23=1,1,0))</f>
        <v/>
      </c>
      <c r="J24">
        <f>MAX(J23,IF($B23=2,1,0))</f>
        <v/>
      </c>
      <c r="K24">
        <f>MAX(K23,IF($B23=3,1,0))</f>
        <v/>
      </c>
      <c r="L24">
        <f>MAX(L23,IF($B23=4,1,0))</f>
        <v/>
      </c>
      <c r="M24">
        <f>MAX(M23,IF($B23=5,1,0))</f>
        <v/>
      </c>
      <c r="N24">
        <f>MAX(N23,IF($B23=6,1,0))</f>
        <v/>
      </c>
      <c r="O24">
        <f>MAX(O23,IF($B23=7,1,0))</f>
        <v/>
      </c>
      <c r="P24">
        <f>MAX(P23,IF($B23=8,1,0))</f>
        <v/>
      </c>
      <c r="Q24">
        <f>MAX(Q23,IF($B23=9,1,0))</f>
        <v/>
      </c>
      <c r="R24">
        <f>MAX(R23,IF($B23=10,1,0))</f>
        <v/>
      </c>
      <c r="S24">
        <f>MAX(S23,IF($B23=11,1,0))</f>
        <v/>
      </c>
      <c r="T24">
        <f>MAX(T23,IF($B23=12,1,0))</f>
        <v/>
      </c>
      <c r="U24">
        <f>MAX(U23,IF($B23=13,1,0))</f>
        <v/>
      </c>
      <c r="V24">
        <f>MAX(V23,IF($B23=14,1,0))</f>
        <v/>
      </c>
      <c r="W24">
        <f>MAX(W23,IF($B23=15,1,0))</f>
        <v/>
      </c>
      <c r="X24">
        <f>MAX(X23,IF($B23=16,1,0))</f>
        <v/>
      </c>
      <c r="Y24">
        <f>MAX(Y23,IF($B23=17,1,0))</f>
        <v/>
      </c>
      <c r="Z24">
        <f>MAX(Z23,IF($B23=18,1,0))</f>
        <v/>
      </c>
      <c r="AA24">
        <f>MAX(AA23,IF($B23=19,1,0))</f>
        <v/>
      </c>
      <c r="AB24">
        <f>MAX(AB23,IF($B23=20,1,0))</f>
        <v/>
      </c>
      <c r="AC24">
        <f>MAX(AC23,IF($B23=21,1,0))</f>
        <v/>
      </c>
      <c r="AD24">
        <f>MAX(AD23,IF($B23=22,1,0))</f>
        <v/>
      </c>
      <c r="AE24">
        <f>MAX(AE23,IF($B23=23,1,0))</f>
        <v/>
      </c>
      <c r="AF24">
        <f>MAX(AF23,IF($B23=24,1,0))</f>
        <v/>
      </c>
      <c r="AG24">
        <f>MAX(AG23,IF($B23=25,1,0))</f>
        <v/>
      </c>
      <c r="AH24">
        <f>MAX(AH23,IF($B23=26,1,0))</f>
        <v/>
      </c>
      <c r="AI24">
        <f>MAX(AI23,IF($B23=27,1,0))</f>
        <v/>
      </c>
      <c r="AJ24">
        <f>MAX(AJ23,IF($B23=28,1,0))</f>
        <v/>
      </c>
      <c r="AK24">
        <f>MAX(AK23,IF($B23=29,1,0))</f>
        <v/>
      </c>
      <c r="AL24">
        <f>MAX(AL23,IF($B23=30,1,0))</f>
        <v/>
      </c>
      <c r="AM24">
        <f>MAX(AM23,IF($B23=31,1,0))</f>
        <v/>
      </c>
      <c r="AN24">
        <f>MAX(AN23,IF($B23=32,1,0))</f>
        <v/>
      </c>
      <c r="AO24">
        <f>MAX(AO23,IF($B23=33,1,0))</f>
        <v/>
      </c>
      <c r="AP24">
        <f>MAX(AP23,IF($B23=34,1,0))</f>
        <v/>
      </c>
      <c r="AQ24">
        <f>MAX(AQ23,IF($B23=35,1,0))</f>
        <v/>
      </c>
      <c r="AR24">
        <f>MAX(AR23,IF($B23=36,1,0))</f>
        <v/>
      </c>
      <c r="AS24">
        <f>MAX(AS23,IF($B23=37,1,0))</f>
        <v/>
      </c>
      <c r="AT24">
        <f>MAX(AT23,IF($B23=38,1,0))</f>
        <v/>
      </c>
      <c r="AU24">
        <f>MAX(AU23,IF($B23=39,1,0))</f>
        <v/>
      </c>
      <c r="AV24">
        <f>MAX(AV23,IF($B23=40,1,0))</f>
        <v/>
      </c>
      <c r="AW24">
        <f>MAX(AW23,IF($B23=41,1,0))</f>
        <v/>
      </c>
      <c r="AX24">
        <f>MAX(AX23,IF($B23=42,1,0))</f>
        <v/>
      </c>
      <c r="AY24">
        <f>MAX(AY23,IF($B23=43,1,0))</f>
        <v/>
      </c>
      <c r="AZ24">
        <f>MAX(AZ23,IF($B23=44,1,0))</f>
        <v/>
      </c>
      <c r="BA24">
        <f>MAX(BA23,IF($B23=45,1,0))</f>
        <v/>
      </c>
      <c r="BC24">
        <f>IF(I24=1,1000000,IF('計算A'!$IQ$10=2,SUMPRODUCT('計算A'!$D$60:$II$60,$CW24:$MB24,$MD24:$VI24),SUMPRODUCT('計算A'!$D$60:$II$60,$CW24:$MB24))*1000+1)</f>
        <v/>
      </c>
      <c r="BD24">
        <f>IF(J24=1,1000000,IF('計算A'!$IQ$11=2,SUMPRODUCT('計算A'!$D$61:$II$61,$CW24:$MB24,$MD24:$VI24),SUMPRODUCT('計算A'!$D$61:$II$61,$CW24:$MB24))*1000+2)</f>
        <v/>
      </c>
      <c r="BE24">
        <f>IF(K24=1,1000000,IF('計算A'!$IQ$12=2,SUMPRODUCT('計算A'!$D$62:$II$62,$CW24:$MB24,$MD24:$VI24),SUMPRODUCT('計算A'!$D$62:$II$62,$CW24:$MB24))*1000+3)</f>
        <v/>
      </c>
      <c r="BF24">
        <f>IF(L24=1,1000000,IF('計算A'!$IQ$13=2,SUMPRODUCT('計算A'!$D$63:$II$63,$CW24:$MB24,$MD24:$VI24),SUMPRODUCT('計算A'!$D$63:$II$63,$CW24:$MB24))*1000+4)</f>
        <v/>
      </c>
      <c r="BG24">
        <f>IF(M24=1,1000000,IF('計算A'!$IQ$14=2,SUMPRODUCT('計算A'!$D$64:$II$64,$CW24:$MB24,$MD24:$VI24),SUMPRODUCT('計算A'!$D$64:$II$64,$CW24:$MB24))*1000+5)</f>
        <v/>
      </c>
      <c r="BH24">
        <f>IF(N24=1,1000000,IF('計算A'!$IQ$15=2,SUMPRODUCT('計算A'!$D$65:$II$65,$CW24:$MB24,$MD24:$VI24),SUMPRODUCT('計算A'!$D$65:$II$65,$CW24:$MB24))*1000+6)</f>
        <v/>
      </c>
      <c r="BI24">
        <f>IF(O24=1,1000000,IF('計算A'!$IQ$16=2,SUMPRODUCT('計算A'!$D$66:$II$66,$CW24:$MB24,$MD24:$VI24),SUMPRODUCT('計算A'!$D$66:$II$66,$CW24:$MB24))*1000+7)</f>
        <v/>
      </c>
      <c r="BJ24">
        <f>IF(P24=1,1000000,IF('計算A'!$IQ$17=2,SUMPRODUCT('計算A'!$D$67:$II$67,$CW24:$MB24,$MD24:$VI24),SUMPRODUCT('計算A'!$D$67:$II$67,$CW24:$MB24))*1000+8)</f>
        <v/>
      </c>
      <c r="BK24">
        <f>IF(Q24=1,1000000,IF('計算A'!$IQ$18=2,SUMPRODUCT('計算A'!$D$68:$II$68,$CW24:$MB24,$MD24:$VI24),SUMPRODUCT('計算A'!$D$68:$II$68,$CW24:$MB24))*1000+9)</f>
        <v/>
      </c>
      <c r="BL24">
        <f>IF(R24=1,1000000,IF('計算A'!$IQ$19=2,SUMPRODUCT('計算A'!$D$69:$II$69,$CW24:$MB24,$MD24:$VI24),SUMPRODUCT('計算A'!$D$69:$II$69,$CW24:$MB24))*1000+10)</f>
        <v/>
      </c>
      <c r="BM24">
        <f>IF(S24=1,1000000,IF('計算A'!$IQ$20=2,SUMPRODUCT('計算A'!$D$70:$II$70,$CW24:$MB24,$MD24:$VI24),SUMPRODUCT('計算A'!$D$70:$II$70,$CW24:$MB24))*1000+11)</f>
        <v/>
      </c>
      <c r="BN24">
        <f>IF(T24=1,1000000,IF('計算A'!$IQ$21=2,SUMPRODUCT('計算A'!$D$71:$II$71,$CW24:$MB24,$MD24:$VI24),SUMPRODUCT('計算A'!$D$71:$II$71,$CW24:$MB24))*1000+12)</f>
        <v/>
      </c>
      <c r="BO24">
        <f>IF(U24=1,1000000,IF('計算A'!$IQ$22=2,SUMPRODUCT('計算A'!$D$72:$II$72,$CW24:$MB24,$MD24:$VI24),SUMPRODUCT('計算A'!$D$72:$II$72,$CW24:$MB24))*1000+13)</f>
        <v/>
      </c>
      <c r="BP24">
        <f>IF(V24=1,1000000,IF('計算A'!$IQ$23=2,SUMPRODUCT('計算A'!$D$73:$II$73,$CW24:$MB24,$MD24:$VI24),SUMPRODUCT('計算A'!$D$73:$II$73,$CW24:$MB24))*1000+14)</f>
        <v/>
      </c>
      <c r="BQ24">
        <f>IF(W24=1,1000000,IF('計算A'!$IQ$24=2,SUMPRODUCT('計算A'!$D$74:$II$74,$CW24:$MB24,$MD24:$VI24),SUMPRODUCT('計算A'!$D$74:$II$74,$CW24:$MB24))*1000+15)</f>
        <v/>
      </c>
      <c r="BR24">
        <f>IF(X24=1,1000000,IF('計算A'!$IQ$25=2,SUMPRODUCT('計算A'!$D$75:$II$75,$CW24:$MB24,$MD24:$VI24),SUMPRODUCT('計算A'!$D$75:$II$75,$CW24:$MB24))*1000+16)</f>
        <v/>
      </c>
      <c r="BS24">
        <f>IF(Y24=1,1000000,IF('計算A'!$IQ$26=2,SUMPRODUCT('計算A'!$D$76:$II$76,$CW24:$MB24,$MD24:$VI24),SUMPRODUCT('計算A'!$D$76:$II$76,$CW24:$MB24))*1000+17)</f>
        <v/>
      </c>
      <c r="BT24">
        <f>IF(Z24=1,1000000,IF('計算A'!$IQ$27=2,SUMPRODUCT('計算A'!$D$77:$II$77,$CW24:$MB24,$MD24:$VI24),SUMPRODUCT('計算A'!$D$77:$II$77,$CW24:$MB24))*1000+18)</f>
        <v/>
      </c>
      <c r="BU24">
        <f>IF(AA24=1,1000000,IF('計算A'!$IQ$28=2,SUMPRODUCT('計算A'!$D$78:$II$78,$CW24:$MB24,$MD24:$VI24),SUMPRODUCT('計算A'!$D$78:$II$78,$CW24:$MB24))*1000+19)</f>
        <v/>
      </c>
      <c r="BV24">
        <f>IF(AB24=1,1000000,IF('計算A'!$IQ$29=2,SUMPRODUCT('計算A'!$D$79:$II$79,$CW24:$MB24,$MD24:$VI24),SUMPRODUCT('計算A'!$D$79:$II$79,$CW24:$MB24))*1000+20)</f>
        <v/>
      </c>
      <c r="BW24">
        <f>IF(AC24=1,1000000,IF('計算A'!$IQ$30=2,SUMPRODUCT('計算A'!$D$80:$II$80,$CW24:$MB24,$MD24:$VI24),SUMPRODUCT('計算A'!$D$80:$II$80,$CW24:$MB24))*1000+21)</f>
        <v/>
      </c>
      <c r="BX24">
        <f>IF(AD24=1,1000000,IF('計算A'!$IQ$31=2,SUMPRODUCT('計算A'!$D$81:$II$81,$CW24:$MB24,$MD24:$VI24),SUMPRODUCT('計算A'!$D$81:$II$81,$CW24:$MB24))*1000+22)</f>
        <v/>
      </c>
      <c r="BY24">
        <f>IF(AE24=1,1000000,IF('計算A'!$IQ$32=2,SUMPRODUCT('計算A'!$D$82:$II$82,$CW24:$MB24,$MD24:$VI24),SUMPRODUCT('計算A'!$D$82:$II$82,$CW24:$MB24))*1000+23)</f>
        <v/>
      </c>
      <c r="BZ24">
        <f>IF(AF24=1,1000000,IF('計算A'!$IQ$33=2,SUMPRODUCT('計算A'!$D$83:$II$83,$CW24:$MB24,$MD24:$VI24),SUMPRODUCT('計算A'!$D$83:$II$83,$CW24:$MB24))*1000+24)</f>
        <v/>
      </c>
      <c r="CA24">
        <f>IF(AG24=1,1000000,IF('計算A'!$IQ$34=2,SUMPRODUCT('計算A'!$D$84:$II$84,$CW24:$MB24,$MD24:$VI24),SUMPRODUCT('計算A'!$D$84:$II$84,$CW24:$MB24))*1000+25)</f>
        <v/>
      </c>
      <c r="CB24">
        <f>IF(AH24=1,1000000,IF('計算A'!$IQ$35=2,SUMPRODUCT('計算A'!$D$85:$II$85,$CW24:$MB24,$MD24:$VI24),SUMPRODUCT('計算A'!$D$85:$II$85,$CW24:$MB24))*1000+26)</f>
        <v/>
      </c>
      <c r="CC24">
        <f>IF(AI24=1,1000000,IF('計算A'!$IQ$36=2,SUMPRODUCT('計算A'!$D$86:$II$86,$CW24:$MB24,$MD24:$VI24),SUMPRODUCT('計算A'!$D$86:$II$86,$CW24:$MB24))*1000+27)</f>
        <v/>
      </c>
      <c r="CD24">
        <f>IF(AJ24=1,1000000,IF('計算A'!$IQ$37=2,SUMPRODUCT('計算A'!$D$87:$II$87,$CW24:$MB24,$MD24:$VI24),SUMPRODUCT('計算A'!$D$87:$II$87,$CW24:$MB24))*1000+28)</f>
        <v/>
      </c>
      <c r="CE24">
        <f>IF(AK24=1,1000000,IF('計算A'!$IQ$38=2,SUMPRODUCT('計算A'!$D$88:$II$88,$CW24:$MB24,$MD24:$VI24),SUMPRODUCT('計算A'!$D$88:$II$88,$CW24:$MB24))*1000+29)</f>
        <v/>
      </c>
      <c r="CF24">
        <f>IF(AL24=1,1000000,IF('計算A'!$IQ$39=2,SUMPRODUCT('計算A'!$D$89:$II$89,$CW24:$MB24,$MD24:$VI24),SUMPRODUCT('計算A'!$D$89:$II$89,$CW24:$MB24))*1000+30)</f>
        <v/>
      </c>
      <c r="CG24">
        <f>IF(AM24=1,1000000,IF('計算A'!$IQ$40=2,SUMPRODUCT('計算A'!$D$90:$II$90,$CW24:$MB24,$MD24:$VI24),SUMPRODUCT('計算A'!$D$90:$II$90,$CW24:$MB24))*1000+31)</f>
        <v/>
      </c>
      <c r="CH24">
        <f>IF(AN24=1,1000000,IF('計算A'!$IQ$41=2,SUMPRODUCT('計算A'!$D$91:$II$91,$CW24:$MB24,$MD24:$VI24),SUMPRODUCT('計算A'!$D$91:$II$91,$CW24:$MB24))*1000+32)</f>
        <v/>
      </c>
      <c r="CI24">
        <f>IF(AO24=1,1000000,IF('計算A'!$IQ$42=2,SUMPRODUCT('計算A'!$D$92:$II$92,$CW24:$MB24,$MD24:$VI24),SUMPRODUCT('計算A'!$D$92:$II$92,$CW24:$MB24))*1000+33)</f>
        <v/>
      </c>
      <c r="CJ24">
        <f>IF(AP24=1,1000000,IF('計算A'!$IQ$43=2,SUMPRODUCT('計算A'!$D$93:$II$93,$CW24:$MB24,$MD24:$VI24),SUMPRODUCT('計算A'!$D$93:$II$93,$CW24:$MB24))*1000+34)</f>
        <v/>
      </c>
      <c r="CK24">
        <f>IF(AQ24=1,1000000,IF('計算A'!$IQ$44=2,SUMPRODUCT('計算A'!$D$94:$II$94,$CW24:$MB24,$MD24:$VI24),SUMPRODUCT('計算A'!$D$94:$II$94,$CW24:$MB24))*1000+35)</f>
        <v/>
      </c>
      <c r="CL24">
        <f>IF(AR24=1,1000000,IF('計算A'!$IQ$45=2,SUMPRODUCT('計算A'!$D$95:$II$95,$CW24:$MB24,$MD24:$VI24),SUMPRODUCT('計算A'!$D$95:$II$95,$CW24:$MB24))*1000+36)</f>
        <v/>
      </c>
      <c r="CM24">
        <f>IF(AS24=1,1000000,IF('計算A'!$IQ$46=2,SUMPRODUCT('計算A'!$D$96:$II$96,$CW24:$MB24,$MD24:$VI24),SUMPRODUCT('計算A'!$D$96:$II$96,$CW24:$MB24))*1000+37)</f>
        <v/>
      </c>
      <c r="CN24">
        <f>IF(AT24=1,1000000,IF('計算A'!$IQ$47=2,SUMPRODUCT('計算A'!$D$97:$II$97,$CW24:$MB24,$MD24:$VI24),SUMPRODUCT('計算A'!$D$97:$II$97,$CW24:$MB24))*1000+38)</f>
        <v/>
      </c>
      <c r="CO24">
        <f>IF(AU24=1,1000000,IF('計算A'!$IQ$48=2,SUMPRODUCT('計算A'!$D$98:$II$98,$CW24:$MB24,$MD24:$VI24),SUMPRODUCT('計算A'!$D$98:$II$98,$CW24:$MB24))*1000+39)</f>
        <v/>
      </c>
      <c r="CP24">
        <f>IF(AV24=1,1000000,IF('計算A'!$IQ$49=2,SUMPRODUCT('計算A'!$D$99:$II$99,$CW24:$MB24,$MD24:$VI24),SUMPRODUCT('計算A'!$D$99:$II$99,$CW24:$MB24))*1000+40)</f>
        <v/>
      </c>
      <c r="CQ24">
        <f>IF(AW24=1,1000000,IF('計算A'!$IQ$50=2,SUMPRODUCT('計算A'!$D$100:$II$100,$CW24:$MB24,$MD24:$VI24),SUMPRODUCT('計算A'!$D$100:$II$100,$CW24:$MB24))*1000+41)</f>
        <v/>
      </c>
      <c r="CR24">
        <f>IF(AX24=1,1000000,IF('計算A'!$IQ$51=2,SUMPRODUCT('計算A'!$D$101:$II$101,$CW24:$MB24,$MD24:$VI24),SUMPRODUCT('計算A'!$D$101:$II$101,$CW24:$MB24))*1000+42)</f>
        <v/>
      </c>
      <c r="CS24">
        <f>IF(AY24=1,1000000,IF('計算A'!$IQ$52=2,SUMPRODUCT('計算A'!$D$102:$II$102,$CW24:$MB24,$MD24:$VI24),SUMPRODUCT('計算A'!$D$102:$II$102,$CW24:$MB24))*1000+43)</f>
        <v/>
      </c>
      <c r="CT24">
        <f>IF(AZ24=1,1000000,IF('計算A'!$IQ$53=2,SUMPRODUCT('計算A'!$D$103:$II$103,$CW24:$MB24,$MD24:$VI24),SUMPRODUCT('計算A'!$D$103:$II$103,$CW24:$MB24))*1000+44)</f>
        <v/>
      </c>
      <c r="CU24">
        <f>IF(BA24=1,1000000,IF('計算A'!$IQ$54=2,SUMPRODUCT('計算A'!$D$104:$II$104,$CW24:$MB24,$MD24:$VI24),SUMPRODUCT('計算A'!$D$104:$II$104,$CW24:$MB24))*1000+45)</f>
        <v/>
      </c>
      <c r="CW24">
        <f>CW23*IF(OR($C23=1,$G23=1),0,1)</f>
        <v/>
      </c>
      <c r="CX24">
        <f>CX23*IF(OR($C23=2,$G23=2),0,1)</f>
        <v/>
      </c>
      <c r="CY24">
        <f>CY23*IF(OR($C23=3,$G23=3),0,1)</f>
        <v/>
      </c>
      <c r="CZ24">
        <f>CZ23*IF(OR($C23=4,$G23=4),0,1)</f>
        <v/>
      </c>
      <c r="DA24">
        <f>DA23*IF(OR($C23=5,$G23=5),0,1)</f>
        <v/>
      </c>
      <c r="DB24">
        <f>DB23*IF(OR($C23=6,$G23=6),0,1)</f>
        <v/>
      </c>
      <c r="DC24">
        <f>DC23*IF(OR($C23=7,$G23=7),0,1)</f>
        <v/>
      </c>
      <c r="DD24">
        <f>DD23*IF(OR($C23=8,$G23=8),0,1)</f>
        <v/>
      </c>
      <c r="DE24">
        <f>DE23*IF(OR($C23=9,$G23=9),0,1)</f>
        <v/>
      </c>
      <c r="DF24">
        <f>DF23*IF(OR($C23=10,$G23=10),0,1)</f>
        <v/>
      </c>
      <c r="DG24">
        <f>DG23*IF(OR($C23=11,$G23=11),0,1)</f>
        <v/>
      </c>
      <c r="DH24">
        <f>DH23*IF(OR($C23=12,$G23=12),0,1)</f>
        <v/>
      </c>
      <c r="DI24">
        <f>DI23*IF(OR($C23=13,$G23=13),0,1)</f>
        <v/>
      </c>
      <c r="DJ24">
        <f>DJ23*IF(OR($C23=14,$G23=14),0,1)</f>
        <v/>
      </c>
      <c r="DK24">
        <f>DK23*IF(OR($C23=15,$G23=15),0,1)</f>
        <v/>
      </c>
      <c r="DL24">
        <f>DL23*IF(OR($C23=16,$G23=16),0,1)</f>
        <v/>
      </c>
      <c r="DM24">
        <f>DM23*IF(OR($C23=17,$G23=17),0,1)</f>
        <v/>
      </c>
      <c r="DN24">
        <f>DN23*IF(OR($C23=18,$G23=18),0,1)</f>
        <v/>
      </c>
      <c r="DO24">
        <f>DO23*IF(OR($C23=19,$G23=19),0,1)</f>
        <v/>
      </c>
      <c r="DP24">
        <f>DP23*IF(OR($C23=20,$G23=20),0,1)</f>
        <v/>
      </c>
      <c r="DQ24">
        <f>DQ23*IF(OR($C23=21,$G23=21),0,1)</f>
        <v/>
      </c>
      <c r="DR24">
        <f>DR23*IF(OR($C23=22,$G23=22),0,1)</f>
        <v/>
      </c>
      <c r="DS24">
        <f>DS23*IF(OR($C23=23,$G23=23),0,1)</f>
        <v/>
      </c>
      <c r="DT24">
        <f>DT23*IF(OR($C23=24,$G23=24),0,1)</f>
        <v/>
      </c>
      <c r="DU24">
        <f>DU23*IF(OR($C23=25,$G23=25),0,1)</f>
        <v/>
      </c>
      <c r="DV24">
        <f>DV23*IF(OR($C23=26,$G23=26),0,1)</f>
        <v/>
      </c>
      <c r="DW24">
        <f>DW23*IF(OR($C23=27,$G23=27),0,1)</f>
        <v/>
      </c>
      <c r="DX24">
        <f>DX23*IF(OR($C23=28,$G23=28),0,1)</f>
        <v/>
      </c>
      <c r="DY24">
        <f>DY23*IF(OR($C23=29,$G23=29),0,1)</f>
        <v/>
      </c>
      <c r="DZ24">
        <f>DZ23*IF(OR($C23=30,$G23=30),0,1)</f>
        <v/>
      </c>
      <c r="EA24">
        <f>EA23*IF(OR($C23=31,$G23=31),0,1)</f>
        <v/>
      </c>
      <c r="EB24">
        <f>EB23*IF(OR($C23=32,$G23=32),0,1)</f>
        <v/>
      </c>
      <c r="EC24">
        <f>EC23*IF(OR($C23=33,$G23=33),0,1)</f>
        <v/>
      </c>
      <c r="ED24">
        <f>ED23*IF(OR($C23=34,$G23=34),0,1)</f>
        <v/>
      </c>
      <c r="EE24">
        <f>EE23*IF(OR($C23=35,$G23=35),0,1)</f>
        <v/>
      </c>
      <c r="EF24">
        <f>EF23*IF(OR($C23=36,$G23=36),0,1)</f>
        <v/>
      </c>
      <c r="EG24">
        <f>EG23*IF(OR($C23=37,$G23=37),0,1)</f>
        <v/>
      </c>
      <c r="EH24">
        <f>EH23*IF(OR($C23=38,$G23=38),0,1)</f>
        <v/>
      </c>
      <c r="EI24">
        <f>EI23*IF(OR($C23=39,$G23=39),0,1)</f>
        <v/>
      </c>
      <c r="EJ24">
        <f>EJ23*IF(OR($C23=40,$G23=40),0,1)</f>
        <v/>
      </c>
      <c r="EK24">
        <f>EK23*IF(OR($C23=41,$G23=41),0,1)</f>
        <v/>
      </c>
      <c r="EL24">
        <f>EL23*IF(OR($C23=42,$G23=42),0,1)</f>
        <v/>
      </c>
      <c r="EM24">
        <f>EM23*IF(OR($C23=43,$G23=43),0,1)</f>
        <v/>
      </c>
      <c r="EN24">
        <f>EN23*IF(OR($C23=44,$G23=44),0,1)</f>
        <v/>
      </c>
      <c r="EO24">
        <f>EO23*IF(OR($C23=45,$G23=45),0,1)</f>
        <v/>
      </c>
      <c r="EP24">
        <f>EP23*IF(OR($C23=46,$G23=46),0,1)</f>
        <v/>
      </c>
      <c r="EQ24">
        <f>EQ23*IF(OR($C23=47,$G23=47),0,1)</f>
        <v/>
      </c>
      <c r="ER24">
        <f>ER23*IF(OR($C23=48,$G23=48),0,1)</f>
        <v/>
      </c>
      <c r="ES24">
        <f>ES23*IF(OR($C23=49,$G23=49),0,1)</f>
        <v/>
      </c>
      <c r="ET24">
        <f>ET23*IF(OR($C23=50,$G23=50),0,1)</f>
        <v/>
      </c>
      <c r="EU24">
        <f>EU23*IF(OR($C23=51,$G23=51),0,1)</f>
        <v/>
      </c>
      <c r="EV24">
        <f>EV23*IF(OR($C23=52,$G23=52),0,1)</f>
        <v/>
      </c>
      <c r="EW24">
        <f>EW23*IF(OR($C23=53,$G23=53),0,1)</f>
        <v/>
      </c>
      <c r="EX24">
        <f>EX23*IF(OR($C23=54,$G23=54),0,1)</f>
        <v/>
      </c>
      <c r="EY24">
        <f>EY23*IF(OR($C23=55,$G23=55),0,1)</f>
        <v/>
      </c>
      <c r="EZ24">
        <f>EZ23*IF(OR($C23=56,$G23=56),0,1)</f>
        <v/>
      </c>
      <c r="FA24">
        <f>FA23*IF(OR($C23=57,$G23=57),0,1)</f>
        <v/>
      </c>
      <c r="FB24">
        <f>FB23*IF(OR($C23=58,$G23=58),0,1)</f>
        <v/>
      </c>
      <c r="FC24">
        <f>FC23*IF(OR($C23=59,$G23=59),0,1)</f>
        <v/>
      </c>
      <c r="FD24">
        <f>FD23*IF(OR($C23=60,$G23=60),0,1)</f>
        <v/>
      </c>
      <c r="FE24">
        <f>FE23*IF(OR($C23=61,$G23=61),0,1)</f>
        <v/>
      </c>
      <c r="FF24">
        <f>FF23*IF(OR($C23=62,$G23=62),0,1)</f>
        <v/>
      </c>
      <c r="FG24">
        <f>FG23*IF(OR($C23=63,$G23=63),0,1)</f>
        <v/>
      </c>
      <c r="FH24">
        <f>FH23*IF(OR($C23=64,$G23=64),0,1)</f>
        <v/>
      </c>
      <c r="FI24">
        <f>FI23*IF(OR($C23=65,$G23=65),0,1)</f>
        <v/>
      </c>
      <c r="FJ24">
        <f>FJ23*IF(OR($C23=66,$G23=66),0,1)</f>
        <v/>
      </c>
      <c r="FK24">
        <f>FK23*IF(OR($C23=67,$G23=67),0,1)</f>
        <v/>
      </c>
      <c r="FL24">
        <f>FL23*IF(OR($C23=68,$G23=68),0,1)</f>
        <v/>
      </c>
      <c r="FM24">
        <f>FM23*IF(OR($C23=69,$G23=69),0,1)</f>
        <v/>
      </c>
      <c r="FN24">
        <f>FN23*IF(OR($C23=70,$G23=70),0,1)</f>
        <v/>
      </c>
      <c r="FO24">
        <f>FO23*IF(OR($C23=71,$G23=71),0,1)</f>
        <v/>
      </c>
      <c r="FP24">
        <f>FP23*IF(OR($C23=72,$G23=72),0,1)</f>
        <v/>
      </c>
      <c r="FQ24">
        <f>FQ23*IF(OR($C23=73,$G23=73),0,1)</f>
        <v/>
      </c>
      <c r="FR24">
        <f>FR23*IF(OR($C23=74,$G23=74),0,1)</f>
        <v/>
      </c>
      <c r="FS24">
        <f>FS23*IF(OR($C23=75,$G23=75),0,1)</f>
        <v/>
      </c>
      <c r="FT24">
        <f>FT23*IF(OR($C23=76,$G23=76),0,1)</f>
        <v/>
      </c>
      <c r="FU24">
        <f>FU23*IF(OR($C23=77,$G23=77),0,1)</f>
        <v/>
      </c>
      <c r="FV24">
        <f>FV23*IF(OR($C23=78,$G23=78),0,1)</f>
        <v/>
      </c>
      <c r="FW24">
        <f>FW23*IF(OR($C23=79,$G23=79),0,1)</f>
        <v/>
      </c>
      <c r="FX24">
        <f>FX23*IF(OR($C23=80,$G23=80),0,1)</f>
        <v/>
      </c>
      <c r="FY24">
        <f>FY23*IF(OR($C23=81,$G23=81),0,1)</f>
        <v/>
      </c>
      <c r="FZ24">
        <f>FZ23*IF(OR($C23=82,$G23=82),0,1)</f>
        <v/>
      </c>
      <c r="GA24">
        <f>GA23*IF(OR($C23=83,$G23=83),0,1)</f>
        <v/>
      </c>
      <c r="GB24">
        <f>GB23*IF(OR($C23=84,$G23=84),0,1)</f>
        <v/>
      </c>
      <c r="GC24">
        <f>GC23*IF(OR($C23=85,$G23=85),0,1)</f>
        <v/>
      </c>
      <c r="GD24">
        <f>GD23*IF(OR($C23=86,$G23=86),0,1)</f>
        <v/>
      </c>
      <c r="GE24">
        <f>GE23*IF(OR($C23=87,$G23=87),0,1)</f>
        <v/>
      </c>
      <c r="GF24">
        <f>GF23*IF(OR($C23=88,$G23=88),0,1)</f>
        <v/>
      </c>
      <c r="GG24">
        <f>GG23*IF(OR($C23=89,$G23=89),0,1)</f>
        <v/>
      </c>
      <c r="GH24">
        <f>GH23*IF(OR($C23=90,$G23=90),0,1)</f>
        <v/>
      </c>
      <c r="GI24">
        <f>GI23*IF(OR($C23=91,$G23=91),0,1)</f>
        <v/>
      </c>
      <c r="GJ24">
        <f>GJ23*IF(OR($C23=92,$G23=92),0,1)</f>
        <v/>
      </c>
      <c r="GK24">
        <f>GK23*IF(OR($C23=93,$G23=93),0,1)</f>
        <v/>
      </c>
      <c r="GL24">
        <f>GL23*IF(OR($C23=94,$G23=94),0,1)</f>
        <v/>
      </c>
      <c r="GM24">
        <f>GM23*IF(OR($C23=95,$G23=95),0,1)</f>
        <v/>
      </c>
      <c r="GN24">
        <f>GN23*IF(OR($C23=96,$G23=96),0,1)</f>
        <v/>
      </c>
      <c r="GO24">
        <f>GO23*IF(OR($C23=97,$G23=97),0,1)</f>
        <v/>
      </c>
      <c r="GP24">
        <f>GP23*IF(OR($C23=98,$G23=98),0,1)</f>
        <v/>
      </c>
      <c r="GQ24">
        <f>GQ23*IF(OR($C23=99,$G23=99),0,1)</f>
        <v/>
      </c>
      <c r="GR24">
        <f>GR23*IF(OR($C23=100,$G23=100),0,1)</f>
        <v/>
      </c>
      <c r="GS24">
        <f>GS23*IF(OR($C23=101,$G23=101),0,1)</f>
        <v/>
      </c>
      <c r="GT24">
        <f>GT23*IF(OR($C23=102,$G23=102),0,1)</f>
        <v/>
      </c>
      <c r="GU24">
        <f>GU23*IF(OR($C23=103,$G23=103),0,1)</f>
        <v/>
      </c>
      <c r="GV24">
        <f>GV23*IF(OR($C23=104,$G23=104),0,1)</f>
        <v/>
      </c>
      <c r="GW24">
        <f>GW23*IF(OR($C23=105,$G23=105),0,1)</f>
        <v/>
      </c>
      <c r="GX24">
        <f>GX23*IF(OR($C23=106,$G23=106),0,1)</f>
        <v/>
      </c>
      <c r="GY24">
        <f>GY23*IF(OR($C23=107,$G23=107),0,1)</f>
        <v/>
      </c>
      <c r="GZ24">
        <f>GZ23*IF(OR($C23=108,$G23=108),0,1)</f>
        <v/>
      </c>
      <c r="HA24">
        <f>HA23*IF(OR($C23=109,$G23=109),0,1)</f>
        <v/>
      </c>
      <c r="HB24">
        <f>HB23*IF(OR($C23=110,$G23=110),0,1)</f>
        <v/>
      </c>
      <c r="HC24">
        <f>HC23*IF(OR($C23=111,$G23=111),0,1)</f>
        <v/>
      </c>
      <c r="HD24">
        <f>HD23*IF(OR($C23=112,$G23=112),0,1)</f>
        <v/>
      </c>
      <c r="HE24">
        <f>HE23*IF(OR($C23=113,$G23=113),0,1)</f>
        <v/>
      </c>
      <c r="HF24">
        <f>HF23*IF(OR($C23=114,$G23=114),0,1)</f>
        <v/>
      </c>
      <c r="HG24">
        <f>HG23*IF(OR($C23=115,$G23=115),0,1)</f>
        <v/>
      </c>
      <c r="HH24">
        <f>HH23*IF(OR($C23=116,$G23=116),0,1)</f>
        <v/>
      </c>
      <c r="HI24">
        <f>HI23*IF(OR($C23=117,$G23=117),0,1)</f>
        <v/>
      </c>
      <c r="HJ24">
        <f>HJ23*IF(OR($C23=118,$G23=118),0,1)</f>
        <v/>
      </c>
      <c r="HK24">
        <f>HK23*IF(OR($C23=119,$G23=119),0,1)</f>
        <v/>
      </c>
      <c r="HL24">
        <f>HL23*IF(OR($C23=120,$G23=120),0,1)</f>
        <v/>
      </c>
      <c r="HM24">
        <f>HM23*IF(OR($C23=121,$G23=121),0,1)</f>
        <v/>
      </c>
      <c r="HN24">
        <f>HN23*IF(OR($C23=122,$G23=122),0,1)</f>
        <v/>
      </c>
      <c r="HO24">
        <f>HO23*IF(OR($C23=123,$G23=123),0,1)</f>
        <v/>
      </c>
      <c r="HP24">
        <f>HP23*IF(OR($C23=124,$G23=124),0,1)</f>
        <v/>
      </c>
      <c r="HQ24">
        <f>HQ23*IF(OR($C23=125,$G23=125),0,1)</f>
        <v/>
      </c>
      <c r="HR24">
        <f>HR23*IF(OR($C23=126,$G23=126),0,1)</f>
        <v/>
      </c>
      <c r="HS24">
        <f>HS23*IF(OR($C23=127,$G23=127),0,1)</f>
        <v/>
      </c>
      <c r="HT24">
        <f>HT23*IF(OR($C23=128,$G23=128),0,1)</f>
        <v/>
      </c>
      <c r="HU24">
        <f>HU23*IF(OR($C23=129,$G23=129),0,1)</f>
        <v/>
      </c>
      <c r="HV24">
        <f>HV23*IF(OR($C23=130,$G23=130),0,1)</f>
        <v/>
      </c>
      <c r="HW24">
        <f>HW23*IF(OR($C23=131,$G23=131),0,1)</f>
        <v/>
      </c>
      <c r="HX24">
        <f>HX23*IF(OR($C23=132,$G23=132),0,1)</f>
        <v/>
      </c>
      <c r="HY24">
        <f>HY23*IF(OR($C23=133,$G23=133),0,1)</f>
        <v/>
      </c>
      <c r="HZ24">
        <f>HZ23*IF(OR($C23=134,$G23=134),0,1)</f>
        <v/>
      </c>
      <c r="IA24">
        <f>IA23*IF(OR($C23=135,$G23=135),0,1)</f>
        <v/>
      </c>
      <c r="IB24">
        <f>IB23*IF(OR($C23=136,$G23=136),0,1)</f>
        <v/>
      </c>
      <c r="IC24">
        <f>IC23*IF(OR($C23=137,$G23=137),0,1)</f>
        <v/>
      </c>
      <c r="ID24">
        <f>ID23*IF(OR($C23=138,$G23=138),0,1)</f>
        <v/>
      </c>
      <c r="IE24">
        <f>IE23*IF(OR($C23=139,$G23=139),0,1)</f>
        <v/>
      </c>
      <c r="IF24">
        <f>IF23*IF(OR($C23=140,$G23=140),0,1)</f>
        <v/>
      </c>
      <c r="IG24">
        <f>IG23*IF(OR($C23=141,$G23=141),0,1)</f>
        <v/>
      </c>
      <c r="IH24">
        <f>IH23*IF(OR($C23=142,$G23=142),0,1)</f>
        <v/>
      </c>
      <c r="II24">
        <f>II23*IF(OR($C23=143,$G23=143),0,1)</f>
        <v/>
      </c>
      <c r="IJ24">
        <f>IJ23*IF(OR($C23=144,$G23=144),0,1)</f>
        <v/>
      </c>
      <c r="IK24">
        <f>IK23*IF(OR($C23=145,$G23=145),0,1)</f>
        <v/>
      </c>
      <c r="IL24">
        <f>IL23*IF(OR($C23=146,$G23=146),0,1)</f>
        <v/>
      </c>
      <c r="IM24">
        <f>IM23*IF(OR($C23=147,$G23=147),0,1)</f>
        <v/>
      </c>
      <c r="IN24">
        <f>IN23*IF(OR($C23=148,$G23=148),0,1)</f>
        <v/>
      </c>
      <c r="IO24">
        <f>IO23*IF(OR($C23=149,$G23=149),0,1)</f>
        <v/>
      </c>
      <c r="IP24">
        <f>IP23*IF(OR($C23=150,$G23=150),0,1)</f>
        <v/>
      </c>
      <c r="IQ24">
        <f>IQ23*IF(OR($C23=151,$G23=151),0,1)</f>
        <v/>
      </c>
      <c r="IR24">
        <f>IR23*IF(OR($C23=152,$G23=152),0,1)</f>
        <v/>
      </c>
      <c r="IS24">
        <f>IS23*IF(OR($C23=153,$G23=153),0,1)</f>
        <v/>
      </c>
      <c r="IT24">
        <f>IT23*IF(OR($C23=154,$G23=154),0,1)</f>
        <v/>
      </c>
      <c r="IU24">
        <f>IU23*IF(OR($C23=155,$G23=155),0,1)</f>
        <v/>
      </c>
      <c r="IV24">
        <f>IV23*IF(OR($C23=156,$G23=156),0,1)</f>
        <v/>
      </c>
      <c r="IW24">
        <f>IW23*IF(OR($C23=157,$G23=157),0,1)</f>
        <v/>
      </c>
      <c r="IX24">
        <f>IX23*IF(OR($C23=158,$G23=158),0,1)</f>
        <v/>
      </c>
      <c r="IY24">
        <f>IY23*IF(OR($C23=159,$G23=159),0,1)</f>
        <v/>
      </c>
      <c r="IZ24">
        <f>IZ23*IF(OR($C23=160,$G23=160),0,1)</f>
        <v/>
      </c>
      <c r="JA24">
        <f>JA23*IF(OR($C23=161,$G23=161),0,1)</f>
        <v/>
      </c>
      <c r="JB24">
        <f>JB23*IF(OR($C23=162,$G23=162),0,1)</f>
        <v/>
      </c>
      <c r="JC24">
        <f>JC23*IF(OR($C23=163,$G23=163),0,1)</f>
        <v/>
      </c>
      <c r="JD24">
        <f>JD23*IF(OR($C23=164,$G23=164),0,1)</f>
        <v/>
      </c>
      <c r="JE24">
        <f>JE23*IF(OR($C23=165,$G23=165),0,1)</f>
        <v/>
      </c>
      <c r="JF24">
        <f>JF23*IF(OR($C23=166,$G23=166),0,1)</f>
        <v/>
      </c>
      <c r="JG24">
        <f>JG23*IF(OR($C23=167,$G23=167),0,1)</f>
        <v/>
      </c>
      <c r="JH24">
        <f>JH23*IF(OR($C23=168,$G23=168),0,1)</f>
        <v/>
      </c>
      <c r="JI24">
        <f>JI23*IF(OR($C23=169,$G23=169),0,1)</f>
        <v/>
      </c>
      <c r="JJ24">
        <f>JJ23*IF(OR($C23=170,$G23=170),0,1)</f>
        <v/>
      </c>
      <c r="JK24">
        <f>JK23*IF(OR($C23=171,$G23=171),0,1)</f>
        <v/>
      </c>
      <c r="JL24">
        <f>JL23*IF(OR($C23=172,$G23=172),0,1)</f>
        <v/>
      </c>
      <c r="JM24">
        <f>JM23*IF(OR($C23=173,$G23=173),0,1)</f>
        <v/>
      </c>
      <c r="JN24">
        <f>JN23*IF(OR($C23=174,$G23=174),0,1)</f>
        <v/>
      </c>
      <c r="JO24">
        <f>JO23*IF(OR($C23=175,$G23=175),0,1)</f>
        <v/>
      </c>
      <c r="JP24">
        <f>JP23*IF(OR($C23=176,$G23=176),0,1)</f>
        <v/>
      </c>
      <c r="JQ24">
        <f>JQ23*IF(OR($C23=177,$G23=177),0,1)</f>
        <v/>
      </c>
      <c r="JR24">
        <f>JR23*IF(OR($C23=178,$G23=178),0,1)</f>
        <v/>
      </c>
      <c r="JS24">
        <f>JS23*IF(OR($C23=179,$G23=179),0,1)</f>
        <v/>
      </c>
      <c r="JT24">
        <f>JT23*IF(OR($C23=180,$G23=180),0,1)</f>
        <v/>
      </c>
      <c r="JU24">
        <f>JU23*IF(OR($C23=181,$G23=181),0,1)</f>
        <v/>
      </c>
      <c r="JV24">
        <f>JV23*IF(OR($C23=182,$G23=182),0,1)</f>
        <v/>
      </c>
      <c r="JW24">
        <f>JW23*IF(OR($C23=183,$G23=183),0,1)</f>
        <v/>
      </c>
      <c r="JX24">
        <f>JX23*IF(OR($C23=184,$G23=184),0,1)</f>
        <v/>
      </c>
      <c r="JY24">
        <f>JY23*IF(OR($C23=185,$G23=185),0,1)</f>
        <v/>
      </c>
      <c r="JZ24">
        <f>JZ23*IF(OR($C23=186,$G23=186),0,1)</f>
        <v/>
      </c>
      <c r="KA24">
        <f>KA23*IF(OR($C23=187,$G23=187),0,1)</f>
        <v/>
      </c>
      <c r="KB24">
        <f>KB23*IF(OR($C23=188,$G23=188),0,1)</f>
        <v/>
      </c>
      <c r="KC24">
        <f>KC23*IF(OR($C23=189,$G23=189),0,1)</f>
        <v/>
      </c>
      <c r="KD24">
        <f>KD23*IF(OR($C23=190,$G23=190),0,1)</f>
        <v/>
      </c>
      <c r="KE24">
        <f>KE23*IF(OR($C23=191,$G23=191),0,1)</f>
        <v/>
      </c>
      <c r="KF24">
        <f>KF23*IF(OR($C23=192,$G23=192),0,1)</f>
        <v/>
      </c>
      <c r="KG24">
        <f>KG23*IF(OR($C23=193,$G23=193),0,1)</f>
        <v/>
      </c>
      <c r="KH24">
        <f>KH23*IF(OR($C23=194,$G23=194),0,1)</f>
        <v/>
      </c>
      <c r="KI24">
        <f>KI23*IF(OR($C23=195,$G23=195),0,1)</f>
        <v/>
      </c>
      <c r="KJ24">
        <f>KJ23*IF(OR($C23=196,$G23=196),0,1)</f>
        <v/>
      </c>
      <c r="KK24">
        <f>KK23*IF(OR($C23=197,$G23=197),0,1)</f>
        <v/>
      </c>
      <c r="KL24">
        <f>KL23*IF(OR($C23=198,$G23=198),0,1)</f>
        <v/>
      </c>
      <c r="KM24">
        <f>KM23*IF(OR($C23=199,$G23=199),0,1)</f>
        <v/>
      </c>
      <c r="KN24">
        <f>KN23*IF(OR($C23=200,$G23=200),0,1)</f>
        <v/>
      </c>
      <c r="KO24">
        <f>KO23*IF(OR($C23=201,$G23=201),0,1)</f>
        <v/>
      </c>
      <c r="KP24">
        <f>KP23*IF(OR($C23=202,$G23=202),0,1)</f>
        <v/>
      </c>
      <c r="KQ24">
        <f>KQ23*IF(OR($C23=203,$G23=203),0,1)</f>
        <v/>
      </c>
      <c r="KR24">
        <f>KR23*IF(OR($C23=204,$G23=204),0,1)</f>
        <v/>
      </c>
      <c r="KS24">
        <f>KS23*IF(OR($C23=205,$G23=205),0,1)</f>
        <v/>
      </c>
      <c r="KT24">
        <f>KT23*IF(OR($C23=206,$G23=206),0,1)</f>
        <v/>
      </c>
      <c r="KU24">
        <f>KU23*IF(OR($C23=207,$G23=207),0,1)</f>
        <v/>
      </c>
      <c r="KV24">
        <f>KV23*IF(OR($C23=208,$G23=208),0,1)</f>
        <v/>
      </c>
      <c r="KW24">
        <f>KW23*IF(OR($C23=209,$G23=209),0,1)</f>
        <v/>
      </c>
      <c r="KX24">
        <f>KX23*IF(OR($C23=210,$G23=210),0,1)</f>
        <v/>
      </c>
      <c r="KY24">
        <f>KY23*IF(OR($C23=211,$G23=211),0,1)</f>
        <v/>
      </c>
      <c r="KZ24">
        <f>KZ23*IF(OR($C23=212,$G23=212),0,1)</f>
        <v/>
      </c>
      <c r="LA24">
        <f>LA23*IF(OR($C23=213,$G23=213),0,1)</f>
        <v/>
      </c>
      <c r="LB24">
        <f>LB23*IF(OR($C23=214,$G23=214),0,1)</f>
        <v/>
      </c>
      <c r="LC24">
        <f>LC23*IF(OR($C23=215,$G23=215),0,1)</f>
        <v/>
      </c>
      <c r="LD24">
        <f>LD23*IF(OR($C23=216,$G23=216),0,1)</f>
        <v/>
      </c>
      <c r="LE24">
        <f>LE23*IF(OR($C23=217,$G23=217),0,1)</f>
        <v/>
      </c>
      <c r="LF24">
        <f>LF23*IF(OR($C23=218,$G23=218),0,1)</f>
        <v/>
      </c>
      <c r="LG24">
        <f>LG23*IF(OR($C23=219,$G23=219),0,1)</f>
        <v/>
      </c>
      <c r="LH24">
        <f>LH23*IF(OR($C23=220,$G23=220),0,1)</f>
        <v/>
      </c>
      <c r="LI24">
        <f>LI23*IF(OR($C23=221,$G23=221),0,1)</f>
        <v/>
      </c>
      <c r="LJ24">
        <f>LJ23*IF(OR($C23=222,$G23=222),0,1)</f>
        <v/>
      </c>
      <c r="LK24">
        <f>LK23*IF(OR($C23=223,$G23=223),0,1)</f>
        <v/>
      </c>
      <c r="LL24">
        <f>LL23*IF(OR($C23=224,$G23=224),0,1)</f>
        <v/>
      </c>
      <c r="LM24">
        <f>LM23*IF(OR($C23=225,$G23=225),0,1)</f>
        <v/>
      </c>
      <c r="LN24">
        <f>LN23*IF(OR($C23=226,$G23=226),0,1)</f>
        <v/>
      </c>
      <c r="LO24">
        <f>LO23*IF(OR($C23=227,$G23=227),0,1)</f>
        <v/>
      </c>
      <c r="LP24">
        <f>LP23*IF(OR($C23=228,$G23=228),0,1)</f>
        <v/>
      </c>
      <c r="LQ24">
        <f>LQ23*IF(OR($C23=229,$G23=229),0,1)</f>
        <v/>
      </c>
      <c r="LR24">
        <f>LR23*IF(OR($C23=230,$G23=230),0,1)</f>
        <v/>
      </c>
      <c r="LS24">
        <f>LS23*IF(OR($C23=231,$G23=231),0,1)</f>
        <v/>
      </c>
      <c r="LT24">
        <f>LT23*IF(OR($C23=232,$G23=232),0,1)</f>
        <v/>
      </c>
      <c r="LU24">
        <f>LU23*IF(OR($C23=233,$G23=233),0,1)</f>
        <v/>
      </c>
      <c r="LV24">
        <f>LV23*IF(OR($C23=234,$G23=234),0,1)</f>
        <v/>
      </c>
      <c r="LW24">
        <f>LW23*IF(OR($C23=235,$G23=235),0,1)</f>
        <v/>
      </c>
      <c r="LX24">
        <f>LX23*IF(OR($C23=236,$G23=236),0,1)</f>
        <v/>
      </c>
      <c r="LY24">
        <f>LY23*IF(OR($C23=237,$G23=237),0,1)</f>
        <v/>
      </c>
      <c r="LZ24">
        <f>LZ23*IF(OR($C23=238,$G23=238),0,1)</f>
        <v/>
      </c>
      <c r="MA24">
        <f>MA23*IF(OR($C23=239,$G23=239),0,1)</f>
        <v/>
      </c>
      <c r="MB24">
        <f>MB23*IF(OR($C23=240,$G23=240),0,1)</f>
        <v/>
      </c>
      <c r="MD24">
        <f>IF('計算A'!D$106=1,CX24,1)</f>
        <v/>
      </c>
      <c r="ME24">
        <f>IF('計算A'!E$106=1,CY24,1)</f>
        <v/>
      </c>
      <c r="MF24">
        <f>IF('計算A'!F$106=1,CZ24,1)</f>
        <v/>
      </c>
      <c r="MG24">
        <f>IF('計算A'!G$106=1,DA24,1)</f>
        <v/>
      </c>
      <c r="MH24">
        <f>IF('計算A'!H$106=1,DB24,1)</f>
        <v/>
      </c>
      <c r="MI24">
        <f>IF('計算A'!I$106=1,DC24,1)</f>
        <v/>
      </c>
      <c r="MJ24">
        <f>IF('計算A'!J$106=1,DD24,1)</f>
        <v/>
      </c>
      <c r="MK24">
        <f>IF('計算A'!K$106=1,DE24,1)</f>
        <v/>
      </c>
      <c r="ML24">
        <f>IF('計算A'!L$106=1,DF24,1)</f>
        <v/>
      </c>
      <c r="MM24">
        <f>IF('計算A'!M$106=1,DG24,1)</f>
        <v/>
      </c>
      <c r="MN24">
        <f>IF('計算A'!N$106=1,DH24,1)</f>
        <v/>
      </c>
      <c r="MO24">
        <f>IF('計算A'!O$106=1,DI24,1)</f>
        <v/>
      </c>
      <c r="MP24">
        <f>IF('計算A'!P$106=1,DJ24,1)</f>
        <v/>
      </c>
      <c r="MQ24">
        <f>IF('計算A'!Q$106=1,DK24,1)</f>
        <v/>
      </c>
      <c r="MR24">
        <f>IF('計算A'!R$106=1,DL24,1)</f>
        <v/>
      </c>
      <c r="MS24">
        <f>IF('計算A'!S$106=1,DM24,1)</f>
        <v/>
      </c>
      <c r="MT24">
        <f>IF('計算A'!T$106=1,DN24,1)</f>
        <v/>
      </c>
      <c r="MU24">
        <f>IF('計算A'!U$106=1,DO24,1)</f>
        <v/>
      </c>
      <c r="MV24">
        <f>IF('計算A'!V$106=1,DP24,1)</f>
        <v/>
      </c>
      <c r="MW24">
        <f>IF('計算A'!W$106=1,DQ24,1)</f>
        <v/>
      </c>
      <c r="MX24">
        <f>IF('計算A'!X$106=1,DR24,1)</f>
        <v/>
      </c>
      <c r="MY24">
        <f>IF('計算A'!Y$106=1,DS24,1)</f>
        <v/>
      </c>
      <c r="MZ24">
        <f>IF('計算A'!Z$106=1,DT24,1)</f>
        <v/>
      </c>
      <c r="NA24">
        <f>IF('計算A'!AA$106=1,DU24,1)</f>
        <v/>
      </c>
      <c r="NB24">
        <f>IF('計算A'!AB$106=1,DV24,1)</f>
        <v/>
      </c>
      <c r="NC24">
        <f>IF('計算A'!AC$106=1,DW24,1)</f>
        <v/>
      </c>
      <c r="ND24">
        <f>IF('計算A'!AD$106=1,DX24,1)</f>
        <v/>
      </c>
      <c r="NE24">
        <f>IF('計算A'!AE$106=1,DY24,1)</f>
        <v/>
      </c>
      <c r="NF24">
        <f>IF('計算A'!AF$106=1,DZ24,1)</f>
        <v/>
      </c>
      <c r="NG24">
        <f>IF('計算A'!AG$106=1,EA24,1)</f>
        <v/>
      </c>
      <c r="NH24">
        <f>IF('計算A'!AH$106=1,EB24,1)</f>
        <v/>
      </c>
      <c r="NI24">
        <f>IF('計算A'!AI$106=1,EC24,1)</f>
        <v/>
      </c>
      <c r="NJ24">
        <f>IF('計算A'!AJ$106=1,ED24,1)</f>
        <v/>
      </c>
      <c r="NK24">
        <f>IF('計算A'!AK$106=1,EE24,1)</f>
        <v/>
      </c>
      <c r="NL24">
        <f>IF('計算A'!AL$106=1,EF24,1)</f>
        <v/>
      </c>
      <c r="NM24">
        <f>IF('計算A'!AM$106=1,EG24,1)</f>
        <v/>
      </c>
      <c r="NN24">
        <f>IF('計算A'!AN$106=1,EH24,1)</f>
        <v/>
      </c>
      <c r="NO24">
        <f>IF('計算A'!AO$106=1,EI24,1)</f>
        <v/>
      </c>
      <c r="NP24">
        <f>IF('計算A'!AP$106=1,EJ24,1)</f>
        <v/>
      </c>
      <c r="NQ24">
        <f>IF('計算A'!AQ$106=1,EK24,1)</f>
        <v/>
      </c>
      <c r="NR24">
        <f>IF('計算A'!AR$106=1,EL24,1)</f>
        <v/>
      </c>
      <c r="NS24">
        <f>IF('計算A'!AS$106=1,EM24,1)</f>
        <v/>
      </c>
      <c r="NT24">
        <f>IF('計算A'!AT$106=1,EN24,1)</f>
        <v/>
      </c>
      <c r="NU24">
        <f>IF('計算A'!AU$106=1,EO24,1)</f>
        <v/>
      </c>
      <c r="NV24">
        <f>IF('計算A'!AV$106=1,EP24,1)</f>
        <v/>
      </c>
      <c r="NW24">
        <f>IF('計算A'!AW$106=1,EQ24,1)</f>
        <v/>
      </c>
      <c r="NX24">
        <f>IF('計算A'!AX$106=1,ER24,1)</f>
        <v/>
      </c>
      <c r="NY24">
        <f>IF('計算A'!AY$106=1,ES24,1)</f>
        <v/>
      </c>
      <c r="NZ24">
        <f>IF('計算A'!AZ$106=1,ET24,1)</f>
        <v/>
      </c>
      <c r="OA24">
        <f>IF('計算A'!BA$106=1,EU24,1)</f>
        <v/>
      </c>
      <c r="OB24">
        <f>IF('計算A'!BB$106=1,EV24,1)</f>
        <v/>
      </c>
      <c r="OC24">
        <f>IF('計算A'!BC$106=1,EW24,1)</f>
        <v/>
      </c>
      <c r="OD24">
        <f>IF('計算A'!BD$106=1,EX24,1)</f>
        <v/>
      </c>
      <c r="OE24">
        <f>IF('計算A'!BE$106=1,EY24,1)</f>
        <v/>
      </c>
      <c r="OF24">
        <f>IF('計算A'!BF$106=1,EZ24,1)</f>
        <v/>
      </c>
      <c r="OG24">
        <f>IF('計算A'!BG$106=1,FA24,1)</f>
        <v/>
      </c>
      <c r="OH24">
        <f>IF('計算A'!BH$106=1,FB24,1)</f>
        <v/>
      </c>
      <c r="OI24">
        <f>IF('計算A'!BI$106=1,FC24,1)</f>
        <v/>
      </c>
      <c r="OJ24">
        <f>IF('計算A'!BJ$106=1,FD24,1)</f>
        <v/>
      </c>
      <c r="OK24">
        <f>IF('計算A'!BK$106=1,FE24,1)</f>
        <v/>
      </c>
      <c r="OL24">
        <f>IF('計算A'!BL$106=1,FF24,1)</f>
        <v/>
      </c>
      <c r="OM24">
        <f>IF('計算A'!BM$106=1,FG24,1)</f>
        <v/>
      </c>
      <c r="ON24">
        <f>IF('計算A'!BN$106=1,FH24,1)</f>
        <v/>
      </c>
      <c r="OO24">
        <f>IF('計算A'!BO$106=1,FI24,1)</f>
        <v/>
      </c>
      <c r="OP24">
        <f>IF('計算A'!BP$106=1,FJ24,1)</f>
        <v/>
      </c>
      <c r="OQ24">
        <f>IF('計算A'!BQ$106=1,FK24,1)</f>
        <v/>
      </c>
      <c r="OR24">
        <f>IF('計算A'!BR$106=1,FL24,1)</f>
        <v/>
      </c>
      <c r="OS24">
        <f>IF('計算A'!BS$106=1,FM24,1)</f>
        <v/>
      </c>
      <c r="OT24">
        <f>IF('計算A'!BT$106=1,FN24,1)</f>
        <v/>
      </c>
      <c r="OU24">
        <f>IF('計算A'!BU$106=1,FO24,1)</f>
        <v/>
      </c>
      <c r="OV24">
        <f>IF('計算A'!BV$106=1,FP24,1)</f>
        <v/>
      </c>
      <c r="OW24">
        <f>IF('計算A'!BW$106=1,FQ24,1)</f>
        <v/>
      </c>
      <c r="OX24">
        <f>IF('計算A'!BX$106=1,FR24,1)</f>
        <v/>
      </c>
      <c r="OY24">
        <f>IF('計算A'!BY$106=1,FS24,1)</f>
        <v/>
      </c>
      <c r="OZ24">
        <f>IF('計算A'!BZ$106=1,FT24,1)</f>
        <v/>
      </c>
      <c r="PA24">
        <f>IF('計算A'!CA$106=1,FU24,1)</f>
        <v/>
      </c>
      <c r="PB24">
        <f>IF('計算A'!CB$106=1,FV24,1)</f>
        <v/>
      </c>
      <c r="PC24">
        <f>IF('計算A'!CC$106=1,FW24,1)</f>
        <v/>
      </c>
      <c r="PD24">
        <f>IF('計算A'!CD$106=1,FX24,1)</f>
        <v/>
      </c>
      <c r="PE24">
        <f>IF('計算A'!CE$106=1,FY24,1)</f>
        <v/>
      </c>
      <c r="PF24">
        <f>IF('計算A'!CF$106=1,FZ24,1)</f>
        <v/>
      </c>
      <c r="PG24">
        <f>IF('計算A'!CG$106=1,GA24,1)</f>
        <v/>
      </c>
      <c r="PH24">
        <f>IF('計算A'!CH$106=1,GB24,1)</f>
        <v/>
      </c>
      <c r="PI24">
        <f>IF('計算A'!CI$106=1,GC24,1)</f>
        <v/>
      </c>
      <c r="PJ24">
        <f>IF('計算A'!CJ$106=1,GD24,1)</f>
        <v/>
      </c>
      <c r="PK24">
        <f>IF('計算A'!CK$106=1,GE24,1)</f>
        <v/>
      </c>
      <c r="PL24">
        <f>IF('計算A'!CL$106=1,GF24,1)</f>
        <v/>
      </c>
      <c r="PM24">
        <f>IF('計算A'!CM$106=1,GG24,1)</f>
        <v/>
      </c>
      <c r="PN24">
        <f>IF('計算A'!CN$106=1,GH24,1)</f>
        <v/>
      </c>
      <c r="PO24">
        <f>IF('計算A'!CO$106=1,GI24,1)</f>
        <v/>
      </c>
      <c r="PP24">
        <f>IF('計算A'!CP$106=1,GJ24,1)</f>
        <v/>
      </c>
      <c r="PQ24">
        <f>IF('計算A'!CQ$106=1,GK24,1)</f>
        <v/>
      </c>
      <c r="PR24">
        <f>IF('計算A'!CR$106=1,GL24,1)</f>
        <v/>
      </c>
      <c r="PS24">
        <f>IF('計算A'!CS$106=1,GM24,1)</f>
        <v/>
      </c>
      <c r="PT24">
        <f>IF('計算A'!CT$106=1,GN24,1)</f>
        <v/>
      </c>
      <c r="PU24">
        <f>IF('計算A'!CU$106=1,GO24,1)</f>
        <v/>
      </c>
      <c r="PV24">
        <f>IF('計算A'!CV$106=1,GP24,1)</f>
        <v/>
      </c>
      <c r="PW24">
        <f>IF('計算A'!CW$106=1,GQ24,1)</f>
        <v/>
      </c>
      <c r="PX24">
        <f>IF('計算A'!CX$106=1,GR24,1)</f>
        <v/>
      </c>
      <c r="PY24">
        <f>IF('計算A'!CY$106=1,GS24,1)</f>
        <v/>
      </c>
      <c r="PZ24">
        <f>IF('計算A'!CZ$106=1,GT24,1)</f>
        <v/>
      </c>
      <c r="QA24">
        <f>IF('計算A'!DA$106=1,GU24,1)</f>
        <v/>
      </c>
      <c r="QB24">
        <f>IF('計算A'!DB$106=1,GV24,1)</f>
        <v/>
      </c>
      <c r="QC24">
        <f>IF('計算A'!DC$106=1,GW24,1)</f>
        <v/>
      </c>
      <c r="QD24">
        <f>IF('計算A'!DD$106=1,GX24,1)</f>
        <v/>
      </c>
      <c r="QE24">
        <f>IF('計算A'!DE$106=1,GY24,1)</f>
        <v/>
      </c>
      <c r="QF24">
        <f>IF('計算A'!DF$106=1,GZ24,1)</f>
        <v/>
      </c>
      <c r="QG24">
        <f>IF('計算A'!DG$106=1,HA24,1)</f>
        <v/>
      </c>
      <c r="QH24">
        <f>IF('計算A'!DH$106=1,HB24,1)</f>
        <v/>
      </c>
      <c r="QI24">
        <f>IF('計算A'!DI$106=1,HC24,1)</f>
        <v/>
      </c>
      <c r="QJ24">
        <f>IF('計算A'!DJ$106=1,HD24,1)</f>
        <v/>
      </c>
      <c r="QK24">
        <f>IF('計算A'!DK$106=1,HE24,1)</f>
        <v/>
      </c>
      <c r="QL24">
        <f>IF('計算A'!DL$106=1,HF24,1)</f>
        <v/>
      </c>
      <c r="QM24">
        <f>IF('計算A'!DM$106=1,HG24,1)</f>
        <v/>
      </c>
      <c r="QN24">
        <f>IF('計算A'!DN$106=1,HH24,1)</f>
        <v/>
      </c>
      <c r="QO24">
        <f>IF('計算A'!DO$106=1,HI24,1)</f>
        <v/>
      </c>
      <c r="QP24">
        <f>IF('計算A'!DP$106=1,HJ24,1)</f>
        <v/>
      </c>
      <c r="QQ24">
        <f>IF('計算A'!DQ$106=1,HK24,1)</f>
        <v/>
      </c>
      <c r="QR24">
        <f>IF('計算A'!DR$106=1,HL24,1)</f>
        <v/>
      </c>
      <c r="QS24">
        <f>IF('計算A'!DS$106=1,HM24,1)</f>
        <v/>
      </c>
      <c r="QT24">
        <f>IF('計算A'!DT$106=1,HN24,1)</f>
        <v/>
      </c>
      <c r="QU24">
        <f>IF('計算A'!DU$106=1,HO24,1)</f>
        <v/>
      </c>
      <c r="QV24">
        <f>IF('計算A'!DV$106=1,HP24,1)</f>
        <v/>
      </c>
      <c r="QW24">
        <f>IF('計算A'!DW$106=1,HQ24,1)</f>
        <v/>
      </c>
      <c r="QX24">
        <f>IF('計算A'!DX$106=1,HR24,1)</f>
        <v/>
      </c>
      <c r="QY24">
        <f>IF('計算A'!DY$106=1,HS24,1)</f>
        <v/>
      </c>
      <c r="QZ24">
        <f>IF('計算A'!DZ$106=1,HT24,1)</f>
        <v/>
      </c>
      <c r="RA24">
        <f>IF('計算A'!EA$106=1,HU24,1)</f>
        <v/>
      </c>
      <c r="RB24">
        <f>IF('計算A'!EB$106=1,HV24,1)</f>
        <v/>
      </c>
      <c r="RC24">
        <f>IF('計算A'!EC$106=1,HW24,1)</f>
        <v/>
      </c>
      <c r="RD24">
        <f>IF('計算A'!ED$106=1,HX24,1)</f>
        <v/>
      </c>
      <c r="RE24">
        <f>IF('計算A'!EE$106=1,HY24,1)</f>
        <v/>
      </c>
      <c r="RF24">
        <f>IF('計算A'!EF$106=1,HZ24,1)</f>
        <v/>
      </c>
      <c r="RG24">
        <f>IF('計算A'!EG$106=1,IA24,1)</f>
        <v/>
      </c>
      <c r="RH24">
        <f>IF('計算A'!EH$106=1,IB24,1)</f>
        <v/>
      </c>
      <c r="RI24">
        <f>IF('計算A'!EI$106=1,IC24,1)</f>
        <v/>
      </c>
      <c r="RJ24">
        <f>IF('計算A'!EJ$106=1,ID24,1)</f>
        <v/>
      </c>
      <c r="RK24">
        <f>IF('計算A'!EK$106=1,IE24,1)</f>
        <v/>
      </c>
      <c r="RL24">
        <f>IF('計算A'!EL$106=1,IF24,1)</f>
        <v/>
      </c>
      <c r="RM24">
        <f>IF('計算A'!EM$106=1,IG24,1)</f>
        <v/>
      </c>
      <c r="RN24">
        <f>IF('計算A'!EN$106=1,IH24,1)</f>
        <v/>
      </c>
      <c r="RO24">
        <f>IF('計算A'!EO$106=1,II24,1)</f>
        <v/>
      </c>
      <c r="RP24">
        <f>IF('計算A'!EP$106=1,IJ24,1)</f>
        <v/>
      </c>
      <c r="RQ24">
        <f>IF('計算A'!EQ$106=1,IK24,1)</f>
        <v/>
      </c>
      <c r="RR24">
        <f>IF('計算A'!ER$106=1,IL24,1)</f>
        <v/>
      </c>
      <c r="RS24">
        <f>IF('計算A'!ES$106=1,IM24,1)</f>
        <v/>
      </c>
      <c r="RT24">
        <f>IF('計算A'!ET$106=1,IN24,1)</f>
        <v/>
      </c>
      <c r="RU24">
        <f>IF('計算A'!EU$106=1,IO24,1)</f>
        <v/>
      </c>
      <c r="RV24">
        <f>IF('計算A'!EV$106=1,IP24,1)</f>
        <v/>
      </c>
      <c r="RW24">
        <f>IF('計算A'!EW$106=1,IQ24,1)</f>
        <v/>
      </c>
      <c r="RX24">
        <f>IF('計算A'!EX$106=1,IR24,1)</f>
        <v/>
      </c>
      <c r="RY24">
        <f>IF('計算A'!EY$106=1,IS24,1)</f>
        <v/>
      </c>
      <c r="RZ24">
        <f>IF('計算A'!EZ$106=1,IT24,1)</f>
        <v/>
      </c>
      <c r="SA24">
        <f>IF('計算A'!FA$106=1,IU24,1)</f>
        <v/>
      </c>
      <c r="SB24">
        <f>IF('計算A'!FB$106=1,IV24,1)</f>
        <v/>
      </c>
      <c r="SC24">
        <f>IF('計算A'!FC$106=1,IW24,1)</f>
        <v/>
      </c>
      <c r="SD24">
        <f>IF('計算A'!FD$106=1,IX24,1)</f>
        <v/>
      </c>
      <c r="SE24">
        <f>IF('計算A'!FE$106=1,IY24,1)</f>
        <v/>
      </c>
      <c r="SF24">
        <f>IF('計算A'!FF$106=1,IZ24,1)</f>
        <v/>
      </c>
      <c r="SG24">
        <f>IF('計算A'!FG$106=1,JA24,1)</f>
        <v/>
      </c>
      <c r="SH24">
        <f>IF('計算A'!FH$106=1,JB24,1)</f>
        <v/>
      </c>
      <c r="SI24">
        <f>IF('計算A'!FI$106=1,JC24,1)</f>
        <v/>
      </c>
      <c r="SJ24">
        <f>IF('計算A'!FJ$106=1,JD24,1)</f>
        <v/>
      </c>
      <c r="SK24">
        <f>IF('計算A'!FK$106=1,JE24,1)</f>
        <v/>
      </c>
      <c r="SL24">
        <f>IF('計算A'!FL$106=1,JF24,1)</f>
        <v/>
      </c>
      <c r="SM24">
        <f>IF('計算A'!FM$106=1,JG24,1)</f>
        <v/>
      </c>
      <c r="SN24">
        <f>IF('計算A'!FN$106=1,JH24,1)</f>
        <v/>
      </c>
      <c r="SO24">
        <f>IF('計算A'!FO$106=1,JI24,1)</f>
        <v/>
      </c>
      <c r="SP24">
        <f>IF('計算A'!FP$106=1,JJ24,1)</f>
        <v/>
      </c>
      <c r="SQ24">
        <f>IF('計算A'!FQ$106=1,JK24,1)</f>
        <v/>
      </c>
      <c r="SR24">
        <f>IF('計算A'!FR$106=1,JL24,1)</f>
        <v/>
      </c>
      <c r="SS24">
        <f>IF('計算A'!FS$106=1,JM24,1)</f>
        <v/>
      </c>
      <c r="ST24">
        <f>IF('計算A'!FT$106=1,JN24,1)</f>
        <v/>
      </c>
      <c r="SU24">
        <f>IF('計算A'!FU$106=1,JO24,1)</f>
        <v/>
      </c>
      <c r="SV24">
        <f>IF('計算A'!FV$106=1,JP24,1)</f>
        <v/>
      </c>
      <c r="SW24">
        <f>IF('計算A'!FW$106=1,JQ24,1)</f>
        <v/>
      </c>
      <c r="SX24">
        <f>IF('計算A'!FX$106=1,JR24,1)</f>
        <v/>
      </c>
      <c r="SY24">
        <f>IF('計算A'!FY$106=1,JS24,1)</f>
        <v/>
      </c>
      <c r="SZ24">
        <f>IF('計算A'!FZ$106=1,JT24,1)</f>
        <v/>
      </c>
      <c r="TA24">
        <f>IF('計算A'!GA$106=1,JU24,1)</f>
        <v/>
      </c>
      <c r="TB24">
        <f>IF('計算A'!GB$106=1,JV24,1)</f>
        <v/>
      </c>
      <c r="TC24">
        <f>IF('計算A'!GC$106=1,JW24,1)</f>
        <v/>
      </c>
      <c r="TD24">
        <f>IF('計算A'!GD$106=1,JX24,1)</f>
        <v/>
      </c>
      <c r="TE24">
        <f>IF('計算A'!GE$106=1,JY24,1)</f>
        <v/>
      </c>
      <c r="TF24">
        <f>IF('計算A'!GF$106=1,JZ24,1)</f>
        <v/>
      </c>
      <c r="TG24">
        <f>IF('計算A'!GG$106=1,KA24,1)</f>
        <v/>
      </c>
      <c r="TH24">
        <f>IF('計算A'!GH$106=1,KB24,1)</f>
        <v/>
      </c>
      <c r="TI24">
        <f>IF('計算A'!GI$106=1,KC24,1)</f>
        <v/>
      </c>
      <c r="TJ24">
        <f>IF('計算A'!GJ$106=1,KD24,1)</f>
        <v/>
      </c>
      <c r="TK24">
        <f>IF('計算A'!GK$106=1,KE24,1)</f>
        <v/>
      </c>
      <c r="TL24">
        <f>IF('計算A'!GL$106=1,KF24,1)</f>
        <v/>
      </c>
      <c r="TM24">
        <f>IF('計算A'!GM$106=1,KG24,1)</f>
        <v/>
      </c>
      <c r="TN24">
        <f>IF('計算A'!GN$106=1,KH24,1)</f>
        <v/>
      </c>
      <c r="TO24">
        <f>IF('計算A'!GO$106=1,KI24,1)</f>
        <v/>
      </c>
      <c r="TP24">
        <f>IF('計算A'!GP$106=1,KJ24,1)</f>
        <v/>
      </c>
      <c r="TQ24">
        <f>IF('計算A'!GQ$106=1,KK24,1)</f>
        <v/>
      </c>
      <c r="TR24">
        <f>IF('計算A'!GR$106=1,KL24,1)</f>
        <v/>
      </c>
      <c r="TS24">
        <f>IF('計算A'!GS$106=1,KM24,1)</f>
        <v/>
      </c>
      <c r="TT24">
        <f>IF('計算A'!GT$106=1,KN24,1)</f>
        <v/>
      </c>
      <c r="TU24">
        <f>IF('計算A'!GU$106=1,KO24,1)</f>
        <v/>
      </c>
      <c r="TV24">
        <f>IF('計算A'!GV$106=1,KP24,1)</f>
        <v/>
      </c>
      <c r="TW24">
        <f>IF('計算A'!GW$106=1,KQ24,1)</f>
        <v/>
      </c>
      <c r="TX24">
        <f>IF('計算A'!GX$106=1,KR24,1)</f>
        <v/>
      </c>
      <c r="TY24">
        <f>IF('計算A'!GY$106=1,KS24,1)</f>
        <v/>
      </c>
      <c r="TZ24">
        <f>IF('計算A'!GZ$106=1,KT24,1)</f>
        <v/>
      </c>
      <c r="UA24">
        <f>IF('計算A'!HA$106=1,KU24,1)</f>
        <v/>
      </c>
      <c r="UB24">
        <f>IF('計算A'!HB$106=1,KV24,1)</f>
        <v/>
      </c>
      <c r="UC24">
        <f>IF('計算A'!HC$106=1,KW24,1)</f>
        <v/>
      </c>
      <c r="UD24">
        <f>IF('計算A'!HD$106=1,KX24,1)</f>
        <v/>
      </c>
      <c r="UE24">
        <f>IF('計算A'!HE$106=1,KY24,1)</f>
        <v/>
      </c>
      <c r="UF24">
        <f>IF('計算A'!HF$106=1,KZ24,1)</f>
        <v/>
      </c>
      <c r="UG24">
        <f>IF('計算A'!HG$106=1,LA24,1)</f>
        <v/>
      </c>
      <c r="UH24">
        <f>IF('計算A'!HH$106=1,LB24,1)</f>
        <v/>
      </c>
      <c r="UI24">
        <f>IF('計算A'!HI$106=1,LC24,1)</f>
        <v/>
      </c>
      <c r="UJ24">
        <f>IF('計算A'!HJ$106=1,LD24,1)</f>
        <v/>
      </c>
      <c r="UK24">
        <f>IF('計算A'!HK$106=1,LE24,1)</f>
        <v/>
      </c>
      <c r="UL24">
        <f>IF('計算A'!HL$106=1,LF24,1)</f>
        <v/>
      </c>
      <c r="UM24">
        <f>IF('計算A'!HM$106=1,LG24,1)</f>
        <v/>
      </c>
      <c r="UN24">
        <f>IF('計算A'!HN$106=1,LH24,1)</f>
        <v/>
      </c>
      <c r="UO24">
        <f>IF('計算A'!HO$106=1,LI24,1)</f>
        <v/>
      </c>
      <c r="UP24">
        <f>IF('計算A'!HP$106=1,LJ24,1)</f>
        <v/>
      </c>
      <c r="UQ24">
        <f>IF('計算A'!HQ$106=1,LK24,1)</f>
        <v/>
      </c>
      <c r="UR24">
        <f>IF('計算A'!HR$106=1,LL24,1)</f>
        <v/>
      </c>
      <c r="US24">
        <f>IF('計算A'!HS$106=1,LM24,1)</f>
        <v/>
      </c>
      <c r="UT24">
        <f>IF('計算A'!HT$106=1,LN24,1)</f>
        <v/>
      </c>
      <c r="UU24">
        <f>IF('計算A'!HU$106=1,LO24,1)</f>
        <v/>
      </c>
      <c r="UV24">
        <f>IF('計算A'!HV$106=1,LP24,1)</f>
        <v/>
      </c>
      <c r="UW24">
        <f>IF('計算A'!HW$106=1,LQ24,1)</f>
        <v/>
      </c>
      <c r="UX24">
        <f>IF('計算A'!HX$106=1,LR24,1)</f>
        <v/>
      </c>
      <c r="UY24">
        <f>IF('計算A'!HY$106=1,LS24,1)</f>
        <v/>
      </c>
      <c r="UZ24">
        <f>IF('計算A'!HZ$106=1,LT24,1)</f>
        <v/>
      </c>
      <c r="VA24">
        <f>IF('計算A'!IA$106=1,LU24,1)</f>
        <v/>
      </c>
      <c r="VB24">
        <f>IF('計算A'!IB$106=1,LV24,1)</f>
        <v/>
      </c>
      <c r="VC24">
        <f>IF('計算A'!IC$106=1,LW24,1)</f>
        <v/>
      </c>
      <c r="VD24">
        <f>IF('計算A'!ID$106=1,LX24,1)</f>
        <v/>
      </c>
      <c r="VE24">
        <f>IF('計算A'!IE$106=1,LY24,1)</f>
        <v/>
      </c>
      <c r="VF24">
        <f>IF('計算A'!IF$106=1,LZ24,1)</f>
        <v/>
      </c>
      <c r="VG24">
        <f>IF('計算A'!IG$106=1,MA24,1)</f>
        <v/>
      </c>
      <c r="VH24">
        <f>IF('計算A'!IH$106=1,MB24,1)</f>
        <v/>
      </c>
      <c r="VI24" t="n">
        <v>1</v>
      </c>
      <c r="VK24">
        <f>IF($B24=0,1000000,IF(INDEX('計算A'!$D$60:$II$104,$B24,1)*CW24=1,IF(AND($E24=2,MD24=0),1000000,INDEX('計算A'!D$110:D$114,$F24+1)+IF(AND($E24=1,MD24=0),1000,0)),1000000))</f>
        <v/>
      </c>
      <c r="VL24">
        <f>IF($B24=0,1000000,IF(INDEX('計算A'!$D$60:$II$104,$B24,2)*CX24=1,IF(AND($E24=2,ME24=0),1000000,INDEX('計算A'!E$110:E$114,$F24+1)+IF(AND($E24=1,ME24=0),1000,0)),1000000))</f>
        <v/>
      </c>
      <c r="VM24">
        <f>IF($B24=0,1000000,IF(INDEX('計算A'!$D$60:$II$104,$B24,3)*CY24=1,IF(AND($E24=2,MF24=0),1000000,INDEX('計算A'!F$110:F$114,$F24+1)+IF(AND($E24=1,MF24=0),1000,0)),1000000))</f>
        <v/>
      </c>
      <c r="VN24">
        <f>IF($B24=0,1000000,IF(INDEX('計算A'!$D$60:$II$104,$B24,4)*CZ24=1,IF(AND($E24=2,MG24=0),1000000,INDEX('計算A'!G$110:G$114,$F24+1)+IF(AND($E24=1,MG24=0),1000,0)),1000000))</f>
        <v/>
      </c>
      <c r="VO24">
        <f>IF($B24=0,1000000,IF(INDEX('計算A'!$D$60:$II$104,$B24,5)*DA24=1,IF(AND($E24=2,MH24=0),1000000,INDEX('計算A'!H$110:H$114,$F24+1)+IF(AND($E24=1,MH24=0),1000,0)),1000000))</f>
        <v/>
      </c>
      <c r="VP24">
        <f>IF($B24=0,1000000,IF(INDEX('計算A'!$D$60:$II$104,$B24,6)*DB24=1,IF(AND($E24=2,MI24=0),1000000,INDEX('計算A'!I$110:I$114,$F24+1)+IF(AND($E24=1,MI24=0),1000,0)),1000000))</f>
        <v/>
      </c>
      <c r="VQ24">
        <f>IF($B24=0,1000000,IF(INDEX('計算A'!$D$60:$II$104,$B24,7)*DC24=1,IF(AND($E24=2,MJ24=0),1000000,INDEX('計算A'!J$110:J$114,$F24+1)+IF(AND($E24=1,MJ24=0),1000,0)),1000000))</f>
        <v/>
      </c>
      <c r="VR24">
        <f>IF($B24=0,1000000,IF(INDEX('計算A'!$D$60:$II$104,$B24,8)*DD24=1,IF(AND($E24=2,MK24=0),1000000,INDEX('計算A'!K$110:K$114,$F24+1)+IF(AND($E24=1,MK24=0),1000,0)),1000000))</f>
        <v/>
      </c>
      <c r="VS24">
        <f>IF($B24=0,1000000,IF(INDEX('計算A'!$D$60:$II$104,$B24,9)*DE24=1,IF(AND($E24=2,ML24=0),1000000,INDEX('計算A'!L$110:L$114,$F24+1)+IF(AND($E24=1,ML24=0),1000,0)),1000000))</f>
        <v/>
      </c>
      <c r="VT24">
        <f>IF($B24=0,1000000,IF(INDEX('計算A'!$D$60:$II$104,$B24,10)*DF24=1,IF(AND($E24=2,MM24=0),1000000,INDEX('計算A'!M$110:M$114,$F24+1)+IF(AND($E24=1,MM24=0),1000,0)),1000000))</f>
        <v/>
      </c>
      <c r="VU24">
        <f>IF($B24=0,1000000,IF(INDEX('計算A'!$D$60:$II$104,$B24,11)*DG24=1,IF(AND($E24=2,MN24=0),1000000,INDEX('計算A'!N$110:N$114,$F24+1)+IF(AND($E24=1,MN24=0),1000,0)),1000000))</f>
        <v/>
      </c>
      <c r="VV24">
        <f>IF($B24=0,1000000,IF(INDEX('計算A'!$D$60:$II$104,$B24,12)*DH24=1,IF(AND($E24=2,MO24=0),1000000,INDEX('計算A'!O$110:O$114,$F24+1)+IF(AND($E24=1,MO24=0),1000,0)),1000000))</f>
        <v/>
      </c>
      <c r="VW24">
        <f>IF($B24=0,1000000,IF(INDEX('計算A'!$D$60:$II$104,$B24,13)*DI24=1,IF(AND($E24=2,MP24=0),1000000,INDEX('計算A'!P$110:P$114,$F24+1)+IF(AND($E24=1,MP24=0),1000,0)),1000000))</f>
        <v/>
      </c>
      <c r="VX24">
        <f>IF($B24=0,1000000,IF(INDEX('計算A'!$D$60:$II$104,$B24,14)*DJ24=1,IF(AND($E24=2,MQ24=0),1000000,INDEX('計算A'!Q$110:Q$114,$F24+1)+IF(AND($E24=1,MQ24=0),1000,0)),1000000))</f>
        <v/>
      </c>
      <c r="VY24">
        <f>IF($B24=0,1000000,IF(INDEX('計算A'!$D$60:$II$104,$B24,15)*DK24=1,IF(AND($E24=2,MR24=0),1000000,INDEX('計算A'!R$110:R$114,$F24+1)+IF(AND($E24=1,MR24=0),1000,0)),1000000))</f>
        <v/>
      </c>
      <c r="VZ24">
        <f>IF($B24=0,1000000,IF(INDEX('計算A'!$D$60:$II$104,$B24,16)*DL24=1,IF(AND($E24=2,MS24=0),1000000,INDEX('計算A'!S$110:S$114,$F24+1)+IF(AND($E24=1,MS24=0),1000,0)),1000000))</f>
        <v/>
      </c>
      <c r="WA24">
        <f>IF($B24=0,1000000,IF(INDEX('計算A'!$D$60:$II$104,$B24,17)*DM24=1,IF(AND($E24=2,MT24=0),1000000,INDEX('計算A'!T$110:T$114,$F24+1)+IF(AND($E24=1,MT24=0),1000,0)),1000000))</f>
        <v/>
      </c>
      <c r="WB24">
        <f>IF($B24=0,1000000,IF(INDEX('計算A'!$D$60:$II$104,$B24,18)*DN24=1,IF(AND($E24=2,MU24=0),1000000,INDEX('計算A'!U$110:U$114,$F24+1)+IF(AND($E24=1,MU24=0),1000,0)),1000000))</f>
        <v/>
      </c>
      <c r="WC24">
        <f>IF($B24=0,1000000,IF(INDEX('計算A'!$D$60:$II$104,$B24,19)*DO24=1,IF(AND($E24=2,MV24=0),1000000,INDEX('計算A'!V$110:V$114,$F24+1)+IF(AND($E24=1,MV24=0),1000,0)),1000000))</f>
        <v/>
      </c>
      <c r="WD24">
        <f>IF($B24=0,1000000,IF(INDEX('計算A'!$D$60:$II$104,$B24,20)*DP24=1,IF(AND($E24=2,MW24=0),1000000,INDEX('計算A'!W$110:W$114,$F24+1)+IF(AND($E24=1,MW24=0),1000,0)),1000000))</f>
        <v/>
      </c>
      <c r="WE24">
        <f>IF($B24=0,1000000,IF(INDEX('計算A'!$D$60:$II$104,$B24,21)*DQ24=1,IF(AND($E24=2,MX24=0),1000000,INDEX('計算A'!X$110:X$114,$F24+1)+IF(AND($E24=1,MX24=0),1000,0)),1000000))</f>
        <v/>
      </c>
      <c r="WF24">
        <f>IF($B24=0,1000000,IF(INDEX('計算A'!$D$60:$II$104,$B24,22)*DR24=1,IF(AND($E24=2,MY24=0),1000000,INDEX('計算A'!Y$110:Y$114,$F24+1)+IF(AND($E24=1,MY24=0),1000,0)),1000000))</f>
        <v/>
      </c>
      <c r="WG24">
        <f>IF($B24=0,1000000,IF(INDEX('計算A'!$D$60:$II$104,$B24,23)*DS24=1,IF(AND($E24=2,MZ24=0),1000000,INDEX('計算A'!Z$110:Z$114,$F24+1)+IF(AND($E24=1,MZ24=0),1000,0)),1000000))</f>
        <v/>
      </c>
      <c r="WH24">
        <f>IF($B24=0,1000000,IF(INDEX('計算A'!$D$60:$II$104,$B24,24)*DT24=1,IF(AND($E24=2,NA24=0),1000000,INDEX('計算A'!AA$110:AA$114,$F24+1)+IF(AND($E24=1,NA24=0),1000,0)),1000000))</f>
        <v/>
      </c>
      <c r="WI24">
        <f>IF($B24=0,1000000,IF(INDEX('計算A'!$D$60:$II$104,$B24,25)*DU24=1,IF(AND($E24=2,NB24=0),1000000,INDEX('計算A'!AB$110:AB$114,$F24+1)+IF(AND($E24=1,NB24=0),1000,0)),1000000))</f>
        <v/>
      </c>
      <c r="WJ24">
        <f>IF($B24=0,1000000,IF(INDEX('計算A'!$D$60:$II$104,$B24,26)*DV24=1,IF(AND($E24=2,NC24=0),1000000,INDEX('計算A'!AC$110:AC$114,$F24+1)+IF(AND($E24=1,NC24=0),1000,0)),1000000))</f>
        <v/>
      </c>
      <c r="WK24">
        <f>IF($B24=0,1000000,IF(INDEX('計算A'!$D$60:$II$104,$B24,27)*DW24=1,IF(AND($E24=2,ND24=0),1000000,INDEX('計算A'!AD$110:AD$114,$F24+1)+IF(AND($E24=1,ND24=0),1000,0)),1000000))</f>
        <v/>
      </c>
      <c r="WL24">
        <f>IF($B24=0,1000000,IF(INDEX('計算A'!$D$60:$II$104,$B24,28)*DX24=1,IF(AND($E24=2,NE24=0),1000000,INDEX('計算A'!AE$110:AE$114,$F24+1)+IF(AND($E24=1,NE24=0),1000,0)),1000000))</f>
        <v/>
      </c>
      <c r="WM24">
        <f>IF($B24=0,1000000,IF(INDEX('計算A'!$D$60:$II$104,$B24,29)*DY24=1,IF(AND($E24=2,NF24=0),1000000,INDEX('計算A'!AF$110:AF$114,$F24+1)+IF(AND($E24=1,NF24=0),1000,0)),1000000))</f>
        <v/>
      </c>
      <c r="WN24">
        <f>IF($B24=0,1000000,IF(INDEX('計算A'!$D$60:$II$104,$B24,30)*DZ24=1,IF(AND($E24=2,NG24=0),1000000,INDEX('計算A'!AG$110:AG$114,$F24+1)+IF(AND($E24=1,NG24=0),1000,0)),1000000))</f>
        <v/>
      </c>
      <c r="WO24">
        <f>IF($B24=0,1000000,IF(INDEX('計算A'!$D$60:$II$104,$B24,31)*EA24=1,IF(AND($E24=2,NH24=0),1000000,INDEX('計算A'!AH$110:AH$114,$F24+1)+IF(AND($E24=1,NH24=0),1000,0)),1000000))</f>
        <v/>
      </c>
      <c r="WP24">
        <f>IF($B24=0,1000000,IF(INDEX('計算A'!$D$60:$II$104,$B24,32)*EB24=1,IF(AND($E24=2,NI24=0),1000000,INDEX('計算A'!AI$110:AI$114,$F24+1)+IF(AND($E24=1,NI24=0),1000,0)),1000000))</f>
        <v/>
      </c>
      <c r="WQ24">
        <f>IF($B24=0,1000000,IF(INDEX('計算A'!$D$60:$II$104,$B24,33)*EC24=1,IF(AND($E24=2,NJ24=0),1000000,INDEX('計算A'!AJ$110:AJ$114,$F24+1)+IF(AND($E24=1,NJ24=0),1000,0)),1000000))</f>
        <v/>
      </c>
      <c r="WR24">
        <f>IF($B24=0,1000000,IF(INDEX('計算A'!$D$60:$II$104,$B24,34)*ED24=1,IF(AND($E24=2,NK24=0),1000000,INDEX('計算A'!AK$110:AK$114,$F24+1)+IF(AND($E24=1,NK24=0),1000,0)),1000000))</f>
        <v/>
      </c>
      <c r="WS24">
        <f>IF($B24=0,1000000,IF(INDEX('計算A'!$D$60:$II$104,$B24,35)*EE24=1,IF(AND($E24=2,NL24=0),1000000,INDEX('計算A'!AL$110:AL$114,$F24+1)+IF(AND($E24=1,NL24=0),1000,0)),1000000))</f>
        <v/>
      </c>
      <c r="WT24">
        <f>IF($B24=0,1000000,IF(INDEX('計算A'!$D$60:$II$104,$B24,36)*EF24=1,IF(AND($E24=2,NM24=0),1000000,INDEX('計算A'!AM$110:AM$114,$F24+1)+IF(AND($E24=1,NM24=0),1000,0)),1000000))</f>
        <v/>
      </c>
      <c r="WU24">
        <f>IF($B24=0,1000000,IF(INDEX('計算A'!$D$60:$II$104,$B24,37)*EG24=1,IF(AND($E24=2,NN24=0),1000000,INDEX('計算A'!AN$110:AN$114,$F24+1)+IF(AND($E24=1,NN24=0),1000,0)),1000000))</f>
        <v/>
      </c>
      <c r="WV24">
        <f>IF($B24=0,1000000,IF(INDEX('計算A'!$D$60:$II$104,$B24,38)*EH24=1,IF(AND($E24=2,NO24=0),1000000,INDEX('計算A'!AO$110:AO$114,$F24+1)+IF(AND($E24=1,NO24=0),1000,0)),1000000))</f>
        <v/>
      </c>
      <c r="WW24">
        <f>IF($B24=0,1000000,IF(INDEX('計算A'!$D$60:$II$104,$B24,39)*EI24=1,IF(AND($E24=2,NP24=0),1000000,INDEX('計算A'!AP$110:AP$114,$F24+1)+IF(AND($E24=1,NP24=0),1000,0)),1000000))</f>
        <v/>
      </c>
      <c r="WX24">
        <f>IF($B24=0,1000000,IF(INDEX('計算A'!$D$60:$II$104,$B24,40)*EJ24=1,IF(AND($E24=2,NQ24=0),1000000,INDEX('計算A'!AQ$110:AQ$114,$F24+1)+IF(AND($E24=1,NQ24=0),1000,0)),1000000))</f>
        <v/>
      </c>
      <c r="WY24">
        <f>IF($B24=0,1000000,IF(INDEX('計算A'!$D$60:$II$104,$B24,41)*EK24=1,IF(AND($E24=2,NR24=0),1000000,INDEX('計算A'!AR$110:AR$114,$F24+1)+IF(AND($E24=1,NR24=0),1000,0)),1000000))</f>
        <v/>
      </c>
      <c r="WZ24">
        <f>IF($B24=0,1000000,IF(INDEX('計算A'!$D$60:$II$104,$B24,42)*EL24=1,IF(AND($E24=2,NS24=0),1000000,INDEX('計算A'!AS$110:AS$114,$F24+1)+IF(AND($E24=1,NS24=0),1000,0)),1000000))</f>
        <v/>
      </c>
      <c r="XA24">
        <f>IF($B24=0,1000000,IF(INDEX('計算A'!$D$60:$II$104,$B24,43)*EM24=1,IF(AND($E24=2,NT24=0),1000000,INDEX('計算A'!AT$110:AT$114,$F24+1)+IF(AND($E24=1,NT24=0),1000,0)),1000000))</f>
        <v/>
      </c>
      <c r="XB24">
        <f>IF($B24=0,1000000,IF(INDEX('計算A'!$D$60:$II$104,$B24,44)*EN24=1,IF(AND($E24=2,NU24=0),1000000,INDEX('計算A'!AU$110:AU$114,$F24+1)+IF(AND($E24=1,NU24=0),1000,0)),1000000))</f>
        <v/>
      </c>
      <c r="XC24">
        <f>IF($B24=0,1000000,IF(INDEX('計算A'!$D$60:$II$104,$B24,45)*EO24=1,IF(AND($E24=2,NV24=0),1000000,INDEX('計算A'!AV$110:AV$114,$F24+1)+IF(AND($E24=1,NV24=0),1000,0)),1000000))</f>
        <v/>
      </c>
      <c r="XD24">
        <f>IF($B24=0,1000000,IF(INDEX('計算A'!$D$60:$II$104,$B24,46)*EP24=1,IF(AND($E24=2,NW24=0),1000000,INDEX('計算A'!AW$110:AW$114,$F24+1)+IF(AND($E24=1,NW24=0),1000,0)),1000000))</f>
        <v/>
      </c>
      <c r="XE24">
        <f>IF($B24=0,1000000,IF(INDEX('計算A'!$D$60:$II$104,$B24,47)*EQ24=1,IF(AND($E24=2,NX24=0),1000000,INDEX('計算A'!AX$110:AX$114,$F24+1)+IF(AND($E24=1,NX24=0),1000,0)),1000000))</f>
        <v/>
      </c>
      <c r="XF24">
        <f>IF($B24=0,1000000,IF(INDEX('計算A'!$D$60:$II$104,$B24,48)*ER24=1,IF(AND($E24=2,NY24=0),1000000,INDEX('計算A'!AY$110:AY$114,$F24+1)+IF(AND($E24=1,NY24=0),1000,0)),1000000))</f>
        <v/>
      </c>
      <c r="XG24">
        <f>IF($B24=0,1000000,IF(INDEX('計算A'!$D$60:$II$104,$B24,49)*ES24=1,IF(AND($E24=2,NZ24=0),1000000,INDEX('計算A'!AZ$110:AZ$114,$F24+1)+IF(AND($E24=1,NZ24=0),1000,0)),1000000))</f>
        <v/>
      </c>
      <c r="XH24">
        <f>IF($B24=0,1000000,IF(INDEX('計算A'!$D$60:$II$104,$B24,50)*ET24=1,IF(AND($E24=2,OA24=0),1000000,INDEX('計算A'!BA$110:BA$114,$F24+1)+IF(AND($E24=1,OA24=0),1000,0)),1000000))</f>
        <v/>
      </c>
      <c r="XI24">
        <f>IF($B24=0,1000000,IF(INDEX('計算A'!$D$60:$II$104,$B24,51)*EU24=1,IF(AND($E24=2,OB24=0),1000000,INDEX('計算A'!BB$110:BB$114,$F24+1)+IF(AND($E24=1,OB24=0),1000,0)),1000000))</f>
        <v/>
      </c>
      <c r="XJ24">
        <f>IF($B24=0,1000000,IF(INDEX('計算A'!$D$60:$II$104,$B24,52)*EV24=1,IF(AND($E24=2,OC24=0),1000000,INDEX('計算A'!BC$110:BC$114,$F24+1)+IF(AND($E24=1,OC24=0),1000,0)),1000000))</f>
        <v/>
      </c>
      <c r="XK24">
        <f>IF($B24=0,1000000,IF(INDEX('計算A'!$D$60:$II$104,$B24,53)*EW24=1,IF(AND($E24=2,OD24=0),1000000,INDEX('計算A'!BD$110:BD$114,$F24+1)+IF(AND($E24=1,OD24=0),1000,0)),1000000))</f>
        <v/>
      </c>
      <c r="XL24">
        <f>IF($B24=0,1000000,IF(INDEX('計算A'!$D$60:$II$104,$B24,54)*EX24=1,IF(AND($E24=2,OE24=0),1000000,INDEX('計算A'!BE$110:BE$114,$F24+1)+IF(AND($E24=1,OE24=0),1000,0)),1000000))</f>
        <v/>
      </c>
      <c r="XM24">
        <f>IF($B24=0,1000000,IF(INDEX('計算A'!$D$60:$II$104,$B24,55)*EY24=1,IF(AND($E24=2,OF24=0),1000000,INDEX('計算A'!BF$110:BF$114,$F24+1)+IF(AND($E24=1,OF24=0),1000,0)),1000000))</f>
        <v/>
      </c>
      <c r="XN24">
        <f>IF($B24=0,1000000,IF(INDEX('計算A'!$D$60:$II$104,$B24,56)*EZ24=1,IF(AND($E24=2,OG24=0),1000000,INDEX('計算A'!BG$110:BG$114,$F24+1)+IF(AND($E24=1,OG24=0),1000,0)),1000000))</f>
        <v/>
      </c>
      <c r="XO24">
        <f>IF($B24=0,1000000,IF(INDEX('計算A'!$D$60:$II$104,$B24,57)*FA24=1,IF(AND($E24=2,OH24=0),1000000,INDEX('計算A'!BH$110:BH$114,$F24+1)+IF(AND($E24=1,OH24=0),1000,0)),1000000))</f>
        <v/>
      </c>
      <c r="XP24">
        <f>IF($B24=0,1000000,IF(INDEX('計算A'!$D$60:$II$104,$B24,58)*FB24=1,IF(AND($E24=2,OI24=0),1000000,INDEX('計算A'!BI$110:BI$114,$F24+1)+IF(AND($E24=1,OI24=0),1000,0)),1000000))</f>
        <v/>
      </c>
      <c r="XQ24">
        <f>IF($B24=0,1000000,IF(INDEX('計算A'!$D$60:$II$104,$B24,59)*FC24=1,IF(AND($E24=2,OJ24=0),1000000,INDEX('計算A'!BJ$110:BJ$114,$F24+1)+IF(AND($E24=1,OJ24=0),1000,0)),1000000))</f>
        <v/>
      </c>
      <c r="XR24">
        <f>IF($B24=0,1000000,IF(INDEX('計算A'!$D$60:$II$104,$B24,60)*FD24=1,IF(AND($E24=2,OK24=0),1000000,INDEX('計算A'!BK$110:BK$114,$F24+1)+IF(AND($E24=1,OK24=0),1000,0)),1000000))</f>
        <v/>
      </c>
      <c r="XS24">
        <f>IF($B24=0,1000000,IF(INDEX('計算A'!$D$60:$II$104,$B24,61)*FE24=1,IF(AND($E24=2,OL24=0),1000000,INDEX('計算A'!BL$110:BL$114,$F24+1)+IF(AND($E24=1,OL24=0),1000,0)),1000000))</f>
        <v/>
      </c>
      <c r="XT24">
        <f>IF($B24=0,1000000,IF(INDEX('計算A'!$D$60:$II$104,$B24,62)*FF24=1,IF(AND($E24=2,OM24=0),1000000,INDEX('計算A'!BM$110:BM$114,$F24+1)+IF(AND($E24=1,OM24=0),1000,0)),1000000))</f>
        <v/>
      </c>
      <c r="XU24">
        <f>IF($B24=0,1000000,IF(INDEX('計算A'!$D$60:$II$104,$B24,63)*FG24=1,IF(AND($E24=2,ON24=0),1000000,INDEX('計算A'!BN$110:BN$114,$F24+1)+IF(AND($E24=1,ON24=0),1000,0)),1000000))</f>
        <v/>
      </c>
      <c r="XV24">
        <f>IF($B24=0,1000000,IF(INDEX('計算A'!$D$60:$II$104,$B24,64)*FH24=1,IF(AND($E24=2,OO24=0),1000000,INDEX('計算A'!BO$110:BO$114,$F24+1)+IF(AND($E24=1,OO24=0),1000,0)),1000000))</f>
        <v/>
      </c>
      <c r="XW24">
        <f>IF($B24=0,1000000,IF(INDEX('計算A'!$D$60:$II$104,$B24,65)*FI24=1,IF(AND($E24=2,OP24=0),1000000,INDEX('計算A'!BP$110:BP$114,$F24+1)+IF(AND($E24=1,OP24=0),1000,0)),1000000))</f>
        <v/>
      </c>
      <c r="XX24">
        <f>IF($B24=0,1000000,IF(INDEX('計算A'!$D$60:$II$104,$B24,66)*FJ24=1,IF(AND($E24=2,OQ24=0),1000000,INDEX('計算A'!BQ$110:BQ$114,$F24+1)+IF(AND($E24=1,OQ24=0),1000,0)),1000000))</f>
        <v/>
      </c>
      <c r="XY24">
        <f>IF($B24=0,1000000,IF(INDEX('計算A'!$D$60:$II$104,$B24,67)*FK24=1,IF(AND($E24=2,OR24=0),1000000,INDEX('計算A'!BR$110:BR$114,$F24+1)+IF(AND($E24=1,OR24=0),1000,0)),1000000))</f>
        <v/>
      </c>
      <c r="XZ24">
        <f>IF($B24=0,1000000,IF(INDEX('計算A'!$D$60:$II$104,$B24,68)*FL24=1,IF(AND($E24=2,OS24=0),1000000,INDEX('計算A'!BS$110:BS$114,$F24+1)+IF(AND($E24=1,OS24=0),1000,0)),1000000))</f>
        <v/>
      </c>
      <c r="YA24">
        <f>IF($B24=0,1000000,IF(INDEX('計算A'!$D$60:$II$104,$B24,69)*FM24=1,IF(AND($E24=2,OT24=0),1000000,INDEX('計算A'!BT$110:BT$114,$F24+1)+IF(AND($E24=1,OT24=0),1000,0)),1000000))</f>
        <v/>
      </c>
      <c r="YB24">
        <f>IF($B24=0,1000000,IF(INDEX('計算A'!$D$60:$II$104,$B24,70)*FN24=1,IF(AND($E24=2,OU24=0),1000000,INDEX('計算A'!BU$110:BU$114,$F24+1)+IF(AND($E24=1,OU24=0),1000,0)),1000000))</f>
        <v/>
      </c>
      <c r="YC24">
        <f>IF($B24=0,1000000,IF(INDEX('計算A'!$D$60:$II$104,$B24,71)*FO24=1,IF(AND($E24=2,OV24=0),1000000,INDEX('計算A'!BV$110:BV$114,$F24+1)+IF(AND($E24=1,OV24=0),1000,0)),1000000))</f>
        <v/>
      </c>
      <c r="YD24">
        <f>IF($B24=0,1000000,IF(INDEX('計算A'!$D$60:$II$104,$B24,72)*FP24=1,IF(AND($E24=2,OW24=0),1000000,INDEX('計算A'!BW$110:BW$114,$F24+1)+IF(AND($E24=1,OW24=0),1000,0)),1000000))</f>
        <v/>
      </c>
      <c r="YE24">
        <f>IF($B24=0,1000000,IF(INDEX('計算A'!$D$60:$II$104,$B24,73)*FQ24=1,IF(AND($E24=2,OX24=0),1000000,INDEX('計算A'!BX$110:BX$114,$F24+1)+IF(AND($E24=1,OX24=0),1000,0)),1000000))</f>
        <v/>
      </c>
      <c r="YF24">
        <f>IF($B24=0,1000000,IF(INDEX('計算A'!$D$60:$II$104,$B24,74)*FR24=1,IF(AND($E24=2,OY24=0),1000000,INDEX('計算A'!BY$110:BY$114,$F24+1)+IF(AND($E24=1,OY24=0),1000,0)),1000000))</f>
        <v/>
      </c>
      <c r="YG24">
        <f>IF($B24=0,1000000,IF(INDEX('計算A'!$D$60:$II$104,$B24,75)*FS24=1,IF(AND($E24=2,OZ24=0),1000000,INDEX('計算A'!BZ$110:BZ$114,$F24+1)+IF(AND($E24=1,OZ24=0),1000,0)),1000000))</f>
        <v/>
      </c>
      <c r="YH24">
        <f>IF($B24=0,1000000,IF(INDEX('計算A'!$D$60:$II$104,$B24,76)*FT24=1,IF(AND($E24=2,PA24=0),1000000,INDEX('計算A'!CA$110:CA$114,$F24+1)+IF(AND($E24=1,PA24=0),1000,0)),1000000))</f>
        <v/>
      </c>
      <c r="YI24">
        <f>IF($B24=0,1000000,IF(INDEX('計算A'!$D$60:$II$104,$B24,77)*FU24=1,IF(AND($E24=2,PB24=0),1000000,INDEX('計算A'!CB$110:CB$114,$F24+1)+IF(AND($E24=1,PB24=0),1000,0)),1000000))</f>
        <v/>
      </c>
      <c r="YJ24">
        <f>IF($B24=0,1000000,IF(INDEX('計算A'!$D$60:$II$104,$B24,78)*FV24=1,IF(AND($E24=2,PC24=0),1000000,INDEX('計算A'!CC$110:CC$114,$F24+1)+IF(AND($E24=1,PC24=0),1000,0)),1000000))</f>
        <v/>
      </c>
      <c r="YK24">
        <f>IF($B24=0,1000000,IF(INDEX('計算A'!$D$60:$II$104,$B24,79)*FW24=1,IF(AND($E24=2,PD24=0),1000000,INDEX('計算A'!CD$110:CD$114,$F24+1)+IF(AND($E24=1,PD24=0),1000,0)),1000000))</f>
        <v/>
      </c>
      <c r="YL24">
        <f>IF($B24=0,1000000,IF(INDEX('計算A'!$D$60:$II$104,$B24,80)*FX24=1,IF(AND($E24=2,PE24=0),1000000,INDEX('計算A'!CE$110:CE$114,$F24+1)+IF(AND($E24=1,PE24=0),1000,0)),1000000))</f>
        <v/>
      </c>
      <c r="YM24">
        <f>IF($B24=0,1000000,IF(INDEX('計算A'!$D$60:$II$104,$B24,81)*FY24=1,IF(AND($E24=2,PF24=0),1000000,INDEX('計算A'!CF$110:CF$114,$F24+1)+IF(AND($E24=1,PF24=0),1000,0)),1000000))</f>
        <v/>
      </c>
      <c r="YN24">
        <f>IF($B24=0,1000000,IF(INDEX('計算A'!$D$60:$II$104,$B24,82)*FZ24=1,IF(AND($E24=2,PG24=0),1000000,INDEX('計算A'!CG$110:CG$114,$F24+1)+IF(AND($E24=1,PG24=0),1000,0)),1000000))</f>
        <v/>
      </c>
      <c r="YO24">
        <f>IF($B24=0,1000000,IF(INDEX('計算A'!$D$60:$II$104,$B24,83)*GA24=1,IF(AND($E24=2,PH24=0),1000000,INDEX('計算A'!CH$110:CH$114,$F24+1)+IF(AND($E24=1,PH24=0),1000,0)),1000000))</f>
        <v/>
      </c>
      <c r="YP24">
        <f>IF($B24=0,1000000,IF(INDEX('計算A'!$D$60:$II$104,$B24,84)*GB24=1,IF(AND($E24=2,PI24=0),1000000,INDEX('計算A'!CI$110:CI$114,$F24+1)+IF(AND($E24=1,PI24=0),1000,0)),1000000))</f>
        <v/>
      </c>
      <c r="YQ24">
        <f>IF($B24=0,1000000,IF(INDEX('計算A'!$D$60:$II$104,$B24,85)*GC24=1,IF(AND($E24=2,PJ24=0),1000000,INDEX('計算A'!CJ$110:CJ$114,$F24+1)+IF(AND($E24=1,PJ24=0),1000,0)),1000000))</f>
        <v/>
      </c>
      <c r="YR24">
        <f>IF($B24=0,1000000,IF(INDEX('計算A'!$D$60:$II$104,$B24,86)*GD24=1,IF(AND($E24=2,PK24=0),1000000,INDEX('計算A'!CK$110:CK$114,$F24+1)+IF(AND($E24=1,PK24=0),1000,0)),1000000))</f>
        <v/>
      </c>
      <c r="YS24">
        <f>IF($B24=0,1000000,IF(INDEX('計算A'!$D$60:$II$104,$B24,87)*GE24=1,IF(AND($E24=2,PL24=0),1000000,INDEX('計算A'!CL$110:CL$114,$F24+1)+IF(AND($E24=1,PL24=0),1000,0)),1000000))</f>
        <v/>
      </c>
      <c r="YT24">
        <f>IF($B24=0,1000000,IF(INDEX('計算A'!$D$60:$II$104,$B24,88)*GF24=1,IF(AND($E24=2,PM24=0),1000000,INDEX('計算A'!CM$110:CM$114,$F24+1)+IF(AND($E24=1,PM24=0),1000,0)),1000000))</f>
        <v/>
      </c>
      <c r="YU24">
        <f>IF($B24=0,1000000,IF(INDEX('計算A'!$D$60:$II$104,$B24,89)*GG24=1,IF(AND($E24=2,PN24=0),1000000,INDEX('計算A'!CN$110:CN$114,$F24+1)+IF(AND($E24=1,PN24=0),1000,0)),1000000))</f>
        <v/>
      </c>
      <c r="YV24">
        <f>IF($B24=0,1000000,IF(INDEX('計算A'!$D$60:$II$104,$B24,90)*GH24=1,IF(AND($E24=2,PO24=0),1000000,INDEX('計算A'!CO$110:CO$114,$F24+1)+IF(AND($E24=1,PO24=0),1000,0)),1000000))</f>
        <v/>
      </c>
      <c r="YW24">
        <f>IF($B24=0,1000000,IF(INDEX('計算A'!$D$60:$II$104,$B24,91)*GI24=1,IF(AND($E24=2,PP24=0),1000000,INDEX('計算A'!CP$110:CP$114,$F24+1)+IF(AND($E24=1,PP24=0),1000,0)),1000000))</f>
        <v/>
      </c>
      <c r="YX24">
        <f>IF($B24=0,1000000,IF(INDEX('計算A'!$D$60:$II$104,$B24,92)*GJ24=1,IF(AND($E24=2,PQ24=0),1000000,INDEX('計算A'!CQ$110:CQ$114,$F24+1)+IF(AND($E24=1,PQ24=0),1000,0)),1000000))</f>
        <v/>
      </c>
      <c r="YY24">
        <f>IF($B24=0,1000000,IF(INDEX('計算A'!$D$60:$II$104,$B24,93)*GK24=1,IF(AND($E24=2,PR24=0),1000000,INDEX('計算A'!CR$110:CR$114,$F24+1)+IF(AND($E24=1,PR24=0),1000,0)),1000000))</f>
        <v/>
      </c>
      <c r="YZ24">
        <f>IF($B24=0,1000000,IF(INDEX('計算A'!$D$60:$II$104,$B24,94)*GL24=1,IF(AND($E24=2,PS24=0),1000000,INDEX('計算A'!CS$110:CS$114,$F24+1)+IF(AND($E24=1,PS24=0),1000,0)),1000000))</f>
        <v/>
      </c>
      <c r="ZA24">
        <f>IF($B24=0,1000000,IF(INDEX('計算A'!$D$60:$II$104,$B24,95)*GM24=1,IF(AND($E24=2,PT24=0),1000000,INDEX('計算A'!CT$110:CT$114,$F24+1)+IF(AND($E24=1,PT24=0),1000,0)),1000000))</f>
        <v/>
      </c>
      <c r="ZB24">
        <f>IF($B24=0,1000000,IF(INDEX('計算A'!$D$60:$II$104,$B24,96)*GN24=1,IF(AND($E24=2,PU24=0),1000000,INDEX('計算A'!CU$110:CU$114,$F24+1)+IF(AND($E24=1,PU24=0),1000,0)),1000000))</f>
        <v/>
      </c>
      <c r="ZC24">
        <f>IF($B24=0,1000000,IF(INDEX('計算A'!$D$60:$II$104,$B24,97)*GO24=1,IF(AND($E24=2,PV24=0),1000000,INDEX('計算A'!CV$110:CV$114,$F24+1)+IF(AND($E24=1,PV24=0),1000,0)),1000000))</f>
        <v/>
      </c>
      <c r="ZD24">
        <f>IF($B24=0,1000000,IF(INDEX('計算A'!$D$60:$II$104,$B24,98)*GP24=1,IF(AND($E24=2,PW24=0),1000000,INDEX('計算A'!CW$110:CW$114,$F24+1)+IF(AND($E24=1,PW24=0),1000,0)),1000000))</f>
        <v/>
      </c>
      <c r="ZE24">
        <f>IF($B24=0,1000000,IF(INDEX('計算A'!$D$60:$II$104,$B24,99)*GQ24=1,IF(AND($E24=2,PX24=0),1000000,INDEX('計算A'!CX$110:CX$114,$F24+1)+IF(AND($E24=1,PX24=0),1000,0)),1000000))</f>
        <v/>
      </c>
      <c r="ZF24">
        <f>IF($B24=0,1000000,IF(INDEX('計算A'!$D$60:$II$104,$B24,100)*GR24=1,IF(AND($E24=2,PY24=0),1000000,INDEX('計算A'!CY$110:CY$114,$F24+1)+IF(AND($E24=1,PY24=0),1000,0)),1000000))</f>
        <v/>
      </c>
      <c r="ZG24">
        <f>IF($B24=0,1000000,IF(INDEX('計算A'!$D$60:$II$104,$B24,101)*GS24=1,IF(AND($E24=2,PZ24=0),1000000,INDEX('計算A'!CZ$110:CZ$114,$F24+1)+IF(AND($E24=1,PZ24=0),1000,0)),1000000))</f>
        <v/>
      </c>
      <c r="ZH24">
        <f>IF($B24=0,1000000,IF(INDEX('計算A'!$D$60:$II$104,$B24,102)*GT24=1,IF(AND($E24=2,QA24=0),1000000,INDEX('計算A'!DA$110:DA$114,$F24+1)+IF(AND($E24=1,QA24=0),1000,0)),1000000))</f>
        <v/>
      </c>
      <c r="ZI24">
        <f>IF($B24=0,1000000,IF(INDEX('計算A'!$D$60:$II$104,$B24,103)*GU24=1,IF(AND($E24=2,QB24=0),1000000,INDEX('計算A'!DB$110:DB$114,$F24+1)+IF(AND($E24=1,QB24=0),1000,0)),1000000))</f>
        <v/>
      </c>
      <c r="ZJ24">
        <f>IF($B24=0,1000000,IF(INDEX('計算A'!$D$60:$II$104,$B24,104)*GV24=1,IF(AND($E24=2,QC24=0),1000000,INDEX('計算A'!DC$110:DC$114,$F24+1)+IF(AND($E24=1,QC24=0),1000,0)),1000000))</f>
        <v/>
      </c>
      <c r="ZK24">
        <f>IF($B24=0,1000000,IF(INDEX('計算A'!$D$60:$II$104,$B24,105)*GW24=1,IF(AND($E24=2,QD24=0),1000000,INDEX('計算A'!DD$110:DD$114,$F24+1)+IF(AND($E24=1,QD24=0),1000,0)),1000000))</f>
        <v/>
      </c>
      <c r="ZL24">
        <f>IF($B24=0,1000000,IF(INDEX('計算A'!$D$60:$II$104,$B24,106)*GX24=1,IF(AND($E24=2,QE24=0),1000000,INDEX('計算A'!DE$110:DE$114,$F24+1)+IF(AND($E24=1,QE24=0),1000,0)),1000000))</f>
        <v/>
      </c>
      <c r="ZM24">
        <f>IF($B24=0,1000000,IF(INDEX('計算A'!$D$60:$II$104,$B24,107)*GY24=1,IF(AND($E24=2,QF24=0),1000000,INDEX('計算A'!DF$110:DF$114,$F24+1)+IF(AND($E24=1,QF24=0),1000,0)),1000000))</f>
        <v/>
      </c>
      <c r="ZN24">
        <f>IF($B24=0,1000000,IF(INDEX('計算A'!$D$60:$II$104,$B24,108)*GZ24=1,IF(AND($E24=2,QG24=0),1000000,INDEX('計算A'!DG$110:DG$114,$F24+1)+IF(AND($E24=1,QG24=0),1000,0)),1000000))</f>
        <v/>
      </c>
      <c r="ZO24">
        <f>IF($B24=0,1000000,IF(INDEX('計算A'!$D$60:$II$104,$B24,109)*HA24=1,IF(AND($E24=2,QH24=0),1000000,INDEX('計算A'!DH$110:DH$114,$F24+1)+IF(AND($E24=1,QH24=0),1000,0)),1000000))</f>
        <v/>
      </c>
      <c r="ZP24">
        <f>IF($B24=0,1000000,IF(INDEX('計算A'!$D$60:$II$104,$B24,110)*HB24=1,IF(AND($E24=2,QI24=0),1000000,INDEX('計算A'!DI$110:DI$114,$F24+1)+IF(AND($E24=1,QI24=0),1000,0)),1000000))</f>
        <v/>
      </c>
      <c r="ZQ24">
        <f>IF($B24=0,1000000,IF(INDEX('計算A'!$D$60:$II$104,$B24,111)*HC24=1,IF(AND($E24=2,QJ24=0),1000000,INDEX('計算A'!DJ$110:DJ$114,$F24+1)+IF(AND($E24=1,QJ24=0),1000,0)),1000000))</f>
        <v/>
      </c>
      <c r="ZR24">
        <f>IF($B24=0,1000000,IF(INDEX('計算A'!$D$60:$II$104,$B24,112)*HD24=1,IF(AND($E24=2,QK24=0),1000000,INDEX('計算A'!DK$110:DK$114,$F24+1)+IF(AND($E24=1,QK24=0),1000,0)),1000000))</f>
        <v/>
      </c>
      <c r="ZS24">
        <f>IF($B24=0,1000000,IF(INDEX('計算A'!$D$60:$II$104,$B24,113)*HE24=1,IF(AND($E24=2,QL24=0),1000000,INDEX('計算A'!DL$110:DL$114,$F24+1)+IF(AND($E24=1,QL24=0),1000,0)),1000000))</f>
        <v/>
      </c>
      <c r="ZT24">
        <f>IF($B24=0,1000000,IF(INDEX('計算A'!$D$60:$II$104,$B24,114)*HF24=1,IF(AND($E24=2,QM24=0),1000000,INDEX('計算A'!DM$110:DM$114,$F24+1)+IF(AND($E24=1,QM24=0),1000,0)),1000000))</f>
        <v/>
      </c>
      <c r="ZU24">
        <f>IF($B24=0,1000000,IF(INDEX('計算A'!$D$60:$II$104,$B24,115)*HG24=1,IF(AND($E24=2,QN24=0),1000000,INDEX('計算A'!DN$110:DN$114,$F24+1)+IF(AND($E24=1,QN24=0),1000,0)),1000000))</f>
        <v/>
      </c>
      <c r="ZV24">
        <f>IF($B24=0,1000000,IF(INDEX('計算A'!$D$60:$II$104,$B24,116)*HH24=1,IF(AND($E24=2,QO24=0),1000000,INDEX('計算A'!DO$110:DO$114,$F24+1)+IF(AND($E24=1,QO24=0),1000,0)),1000000))</f>
        <v/>
      </c>
      <c r="ZW24">
        <f>IF($B24=0,1000000,IF(INDEX('計算A'!$D$60:$II$104,$B24,117)*HI24=1,IF(AND($E24=2,QP24=0),1000000,INDEX('計算A'!DP$110:DP$114,$F24+1)+IF(AND($E24=1,QP24=0),1000,0)),1000000))</f>
        <v/>
      </c>
      <c r="ZX24">
        <f>IF($B24=0,1000000,IF(INDEX('計算A'!$D$60:$II$104,$B24,118)*HJ24=1,IF(AND($E24=2,QQ24=0),1000000,INDEX('計算A'!DQ$110:DQ$114,$F24+1)+IF(AND($E24=1,QQ24=0),1000,0)),1000000))</f>
        <v/>
      </c>
      <c r="ZY24">
        <f>IF($B24=0,1000000,IF(INDEX('計算A'!$D$60:$II$104,$B24,119)*HK24=1,IF(AND($E24=2,QR24=0),1000000,INDEX('計算A'!DR$110:DR$114,$F24+1)+IF(AND($E24=1,QR24=0),1000,0)),1000000))</f>
        <v/>
      </c>
      <c r="ZZ24">
        <f>IF($B24=0,1000000,IF(INDEX('計算A'!$D$60:$II$104,$B24,120)*HL24=1,IF(AND($E24=2,QS24=0),1000000,INDEX('計算A'!DS$110:DS$114,$F24+1)+IF(AND($E24=1,QS24=0),1000,0)),1000000))</f>
        <v/>
      </c>
      <c r="AAA24">
        <f>IF($B24=0,1000000,IF(INDEX('計算A'!$D$60:$II$104,$B24,121)*HM24=1,IF(AND($E24=2,QT24=0),1000000,INDEX('計算A'!DT$110:DT$114,$F24+1)+IF(AND($E24=1,QT24=0),1000,0)),1000000))</f>
        <v/>
      </c>
      <c r="AAB24">
        <f>IF($B24=0,1000000,IF(INDEX('計算A'!$D$60:$II$104,$B24,122)*HN24=1,IF(AND($E24=2,QU24=0),1000000,INDEX('計算A'!DU$110:DU$114,$F24+1)+IF(AND($E24=1,QU24=0),1000,0)),1000000))</f>
        <v/>
      </c>
      <c r="AAC24">
        <f>IF($B24=0,1000000,IF(INDEX('計算A'!$D$60:$II$104,$B24,123)*HO24=1,IF(AND($E24=2,QV24=0),1000000,INDEX('計算A'!DV$110:DV$114,$F24+1)+IF(AND($E24=1,QV24=0),1000,0)),1000000))</f>
        <v/>
      </c>
      <c r="AAD24">
        <f>IF($B24=0,1000000,IF(INDEX('計算A'!$D$60:$II$104,$B24,124)*HP24=1,IF(AND($E24=2,QW24=0),1000000,INDEX('計算A'!DW$110:DW$114,$F24+1)+IF(AND($E24=1,QW24=0),1000,0)),1000000))</f>
        <v/>
      </c>
      <c r="AAE24">
        <f>IF($B24=0,1000000,IF(INDEX('計算A'!$D$60:$II$104,$B24,125)*HQ24=1,IF(AND($E24=2,QX24=0),1000000,INDEX('計算A'!DX$110:DX$114,$F24+1)+IF(AND($E24=1,QX24=0),1000,0)),1000000))</f>
        <v/>
      </c>
      <c r="AAF24">
        <f>IF($B24=0,1000000,IF(INDEX('計算A'!$D$60:$II$104,$B24,126)*HR24=1,IF(AND($E24=2,QY24=0),1000000,INDEX('計算A'!DY$110:DY$114,$F24+1)+IF(AND($E24=1,QY24=0),1000,0)),1000000))</f>
        <v/>
      </c>
      <c r="AAG24">
        <f>IF($B24=0,1000000,IF(INDEX('計算A'!$D$60:$II$104,$B24,127)*HS24=1,IF(AND($E24=2,QZ24=0),1000000,INDEX('計算A'!DZ$110:DZ$114,$F24+1)+IF(AND($E24=1,QZ24=0),1000,0)),1000000))</f>
        <v/>
      </c>
      <c r="AAH24">
        <f>IF($B24=0,1000000,IF(INDEX('計算A'!$D$60:$II$104,$B24,128)*HT24=1,IF(AND($E24=2,RA24=0),1000000,INDEX('計算A'!EA$110:EA$114,$F24+1)+IF(AND($E24=1,RA24=0),1000,0)),1000000))</f>
        <v/>
      </c>
      <c r="AAI24">
        <f>IF($B24=0,1000000,IF(INDEX('計算A'!$D$60:$II$104,$B24,129)*HU24=1,IF(AND($E24=2,RB24=0),1000000,INDEX('計算A'!EB$110:EB$114,$F24+1)+IF(AND($E24=1,RB24=0),1000,0)),1000000))</f>
        <v/>
      </c>
      <c r="AAJ24">
        <f>IF($B24=0,1000000,IF(INDEX('計算A'!$D$60:$II$104,$B24,130)*HV24=1,IF(AND($E24=2,RC24=0),1000000,INDEX('計算A'!EC$110:EC$114,$F24+1)+IF(AND($E24=1,RC24=0),1000,0)),1000000))</f>
        <v/>
      </c>
      <c r="AAK24">
        <f>IF($B24=0,1000000,IF(INDEX('計算A'!$D$60:$II$104,$B24,131)*HW24=1,IF(AND($E24=2,RD24=0),1000000,INDEX('計算A'!ED$110:ED$114,$F24+1)+IF(AND($E24=1,RD24=0),1000,0)),1000000))</f>
        <v/>
      </c>
      <c r="AAL24">
        <f>IF($B24=0,1000000,IF(INDEX('計算A'!$D$60:$II$104,$B24,132)*HX24=1,IF(AND($E24=2,RE24=0),1000000,INDEX('計算A'!EE$110:EE$114,$F24+1)+IF(AND($E24=1,RE24=0),1000,0)),1000000))</f>
        <v/>
      </c>
      <c r="AAM24">
        <f>IF($B24=0,1000000,IF(INDEX('計算A'!$D$60:$II$104,$B24,133)*HY24=1,IF(AND($E24=2,RF24=0),1000000,INDEX('計算A'!EF$110:EF$114,$F24+1)+IF(AND($E24=1,RF24=0),1000,0)),1000000))</f>
        <v/>
      </c>
      <c r="AAN24">
        <f>IF($B24=0,1000000,IF(INDEX('計算A'!$D$60:$II$104,$B24,134)*HZ24=1,IF(AND($E24=2,RG24=0),1000000,INDEX('計算A'!EG$110:EG$114,$F24+1)+IF(AND($E24=1,RG24=0),1000,0)),1000000))</f>
        <v/>
      </c>
      <c r="AAO24">
        <f>IF($B24=0,1000000,IF(INDEX('計算A'!$D$60:$II$104,$B24,135)*IA24=1,IF(AND($E24=2,RH24=0),1000000,INDEX('計算A'!EH$110:EH$114,$F24+1)+IF(AND($E24=1,RH24=0),1000,0)),1000000))</f>
        <v/>
      </c>
      <c r="AAP24">
        <f>IF($B24=0,1000000,IF(INDEX('計算A'!$D$60:$II$104,$B24,136)*IB24=1,IF(AND($E24=2,RI24=0),1000000,INDEX('計算A'!EI$110:EI$114,$F24+1)+IF(AND($E24=1,RI24=0),1000,0)),1000000))</f>
        <v/>
      </c>
      <c r="AAQ24">
        <f>IF($B24=0,1000000,IF(INDEX('計算A'!$D$60:$II$104,$B24,137)*IC24=1,IF(AND($E24=2,RJ24=0),1000000,INDEX('計算A'!EJ$110:EJ$114,$F24+1)+IF(AND($E24=1,RJ24=0),1000,0)),1000000))</f>
        <v/>
      </c>
      <c r="AAR24">
        <f>IF($B24=0,1000000,IF(INDEX('計算A'!$D$60:$II$104,$B24,138)*ID24=1,IF(AND($E24=2,RK24=0),1000000,INDEX('計算A'!EK$110:EK$114,$F24+1)+IF(AND($E24=1,RK24=0),1000,0)),1000000))</f>
        <v/>
      </c>
      <c r="AAS24">
        <f>IF($B24=0,1000000,IF(INDEX('計算A'!$D$60:$II$104,$B24,139)*IE24=1,IF(AND($E24=2,RL24=0),1000000,INDEX('計算A'!EL$110:EL$114,$F24+1)+IF(AND($E24=1,RL24=0),1000,0)),1000000))</f>
        <v/>
      </c>
      <c r="AAT24">
        <f>IF($B24=0,1000000,IF(INDEX('計算A'!$D$60:$II$104,$B24,140)*IF24=1,IF(AND($E24=2,RM24=0),1000000,INDEX('計算A'!EM$110:EM$114,$F24+1)+IF(AND($E24=1,RM24=0),1000,0)),1000000))</f>
        <v/>
      </c>
      <c r="AAU24">
        <f>IF($B24=0,1000000,IF(INDEX('計算A'!$D$60:$II$104,$B24,141)*IG24=1,IF(AND($E24=2,RN24=0),1000000,INDEX('計算A'!EN$110:EN$114,$F24+1)+IF(AND($E24=1,RN24=0),1000,0)),1000000))</f>
        <v/>
      </c>
      <c r="AAV24">
        <f>IF($B24=0,1000000,IF(INDEX('計算A'!$D$60:$II$104,$B24,142)*IH24=1,IF(AND($E24=2,RO24=0),1000000,INDEX('計算A'!EO$110:EO$114,$F24+1)+IF(AND($E24=1,RO24=0),1000,0)),1000000))</f>
        <v/>
      </c>
      <c r="AAW24">
        <f>IF($B24=0,1000000,IF(INDEX('計算A'!$D$60:$II$104,$B24,143)*II24=1,IF(AND($E24=2,RP24=0),1000000,INDEX('計算A'!EP$110:EP$114,$F24+1)+IF(AND($E24=1,RP24=0),1000,0)),1000000))</f>
        <v/>
      </c>
      <c r="AAX24">
        <f>IF($B24=0,1000000,IF(INDEX('計算A'!$D$60:$II$104,$B24,144)*IJ24=1,IF(AND($E24=2,RQ24=0),1000000,INDEX('計算A'!EQ$110:EQ$114,$F24+1)+IF(AND($E24=1,RQ24=0),1000,0)),1000000))</f>
        <v/>
      </c>
      <c r="AAY24">
        <f>IF($B24=0,1000000,IF(INDEX('計算A'!$D$60:$II$104,$B24,145)*IK24=1,IF(AND($E24=2,RR24=0),1000000,INDEX('計算A'!ER$110:ER$114,$F24+1)+IF(AND($E24=1,RR24=0),1000,0)),1000000))</f>
        <v/>
      </c>
      <c r="AAZ24">
        <f>IF($B24=0,1000000,IF(INDEX('計算A'!$D$60:$II$104,$B24,146)*IL24=1,IF(AND($E24=2,RS24=0),1000000,INDEX('計算A'!ES$110:ES$114,$F24+1)+IF(AND($E24=1,RS24=0),1000,0)),1000000))</f>
        <v/>
      </c>
      <c r="ABA24">
        <f>IF($B24=0,1000000,IF(INDEX('計算A'!$D$60:$II$104,$B24,147)*IM24=1,IF(AND($E24=2,RT24=0),1000000,INDEX('計算A'!ET$110:ET$114,$F24+1)+IF(AND($E24=1,RT24=0),1000,0)),1000000))</f>
        <v/>
      </c>
      <c r="ABB24">
        <f>IF($B24=0,1000000,IF(INDEX('計算A'!$D$60:$II$104,$B24,148)*IN24=1,IF(AND($E24=2,RU24=0),1000000,INDEX('計算A'!EU$110:EU$114,$F24+1)+IF(AND($E24=1,RU24=0),1000,0)),1000000))</f>
        <v/>
      </c>
      <c r="ABC24">
        <f>IF($B24=0,1000000,IF(INDEX('計算A'!$D$60:$II$104,$B24,149)*IO24=1,IF(AND($E24=2,RV24=0),1000000,INDEX('計算A'!EV$110:EV$114,$F24+1)+IF(AND($E24=1,RV24=0),1000,0)),1000000))</f>
        <v/>
      </c>
      <c r="ABD24">
        <f>IF($B24=0,1000000,IF(INDEX('計算A'!$D$60:$II$104,$B24,150)*IP24=1,IF(AND($E24=2,RW24=0),1000000,INDEX('計算A'!EW$110:EW$114,$F24+1)+IF(AND($E24=1,RW24=0),1000,0)),1000000))</f>
        <v/>
      </c>
      <c r="ABE24">
        <f>IF($B24=0,1000000,IF(INDEX('計算A'!$D$60:$II$104,$B24,151)*IQ24=1,IF(AND($E24=2,RX24=0),1000000,INDEX('計算A'!EX$110:EX$114,$F24+1)+IF(AND($E24=1,RX24=0),1000,0)),1000000))</f>
        <v/>
      </c>
      <c r="ABF24">
        <f>IF($B24=0,1000000,IF(INDEX('計算A'!$D$60:$II$104,$B24,152)*IR24=1,IF(AND($E24=2,RY24=0),1000000,INDEX('計算A'!EY$110:EY$114,$F24+1)+IF(AND($E24=1,RY24=0),1000,0)),1000000))</f>
        <v/>
      </c>
      <c r="ABG24">
        <f>IF($B24=0,1000000,IF(INDEX('計算A'!$D$60:$II$104,$B24,153)*IS24=1,IF(AND($E24=2,RZ24=0),1000000,INDEX('計算A'!EZ$110:EZ$114,$F24+1)+IF(AND($E24=1,RZ24=0),1000,0)),1000000))</f>
        <v/>
      </c>
      <c r="ABH24">
        <f>IF($B24=0,1000000,IF(INDEX('計算A'!$D$60:$II$104,$B24,154)*IT24=1,IF(AND($E24=2,SA24=0),1000000,INDEX('計算A'!FA$110:FA$114,$F24+1)+IF(AND($E24=1,SA24=0),1000,0)),1000000))</f>
        <v/>
      </c>
      <c r="ABI24">
        <f>IF($B24=0,1000000,IF(INDEX('計算A'!$D$60:$II$104,$B24,155)*IU24=1,IF(AND($E24=2,SB24=0),1000000,INDEX('計算A'!FB$110:FB$114,$F24+1)+IF(AND($E24=1,SB24=0),1000,0)),1000000))</f>
        <v/>
      </c>
      <c r="ABJ24">
        <f>IF($B24=0,1000000,IF(INDEX('計算A'!$D$60:$II$104,$B24,156)*IV24=1,IF(AND($E24=2,SC24=0),1000000,INDEX('計算A'!FC$110:FC$114,$F24+1)+IF(AND($E24=1,SC24=0),1000,0)),1000000))</f>
        <v/>
      </c>
      <c r="ABK24">
        <f>IF($B24=0,1000000,IF(INDEX('計算A'!$D$60:$II$104,$B24,157)*IW24=1,IF(AND($E24=2,SD24=0),1000000,INDEX('計算A'!FD$110:FD$114,$F24+1)+IF(AND($E24=1,SD24=0),1000,0)),1000000))</f>
        <v/>
      </c>
      <c r="ABL24">
        <f>IF($B24=0,1000000,IF(INDEX('計算A'!$D$60:$II$104,$B24,158)*IX24=1,IF(AND($E24=2,SE24=0),1000000,INDEX('計算A'!FE$110:FE$114,$F24+1)+IF(AND($E24=1,SE24=0),1000,0)),1000000))</f>
        <v/>
      </c>
      <c r="ABM24">
        <f>IF($B24=0,1000000,IF(INDEX('計算A'!$D$60:$II$104,$B24,159)*IY24=1,IF(AND($E24=2,SF24=0),1000000,INDEX('計算A'!FF$110:FF$114,$F24+1)+IF(AND($E24=1,SF24=0),1000,0)),1000000))</f>
        <v/>
      </c>
      <c r="ABN24">
        <f>IF($B24=0,1000000,IF(INDEX('計算A'!$D$60:$II$104,$B24,160)*IZ24=1,IF(AND($E24=2,SG24=0),1000000,INDEX('計算A'!FG$110:FG$114,$F24+1)+IF(AND($E24=1,SG24=0),1000,0)),1000000))</f>
        <v/>
      </c>
      <c r="ABO24">
        <f>IF($B24=0,1000000,IF(INDEX('計算A'!$D$60:$II$104,$B24,161)*JA24=1,IF(AND($E24=2,SH24=0),1000000,INDEX('計算A'!FH$110:FH$114,$F24+1)+IF(AND($E24=1,SH24=0),1000,0)),1000000))</f>
        <v/>
      </c>
      <c r="ABP24">
        <f>IF($B24=0,1000000,IF(INDEX('計算A'!$D$60:$II$104,$B24,162)*JB24=1,IF(AND($E24=2,SI24=0),1000000,INDEX('計算A'!FI$110:FI$114,$F24+1)+IF(AND($E24=1,SI24=0),1000,0)),1000000))</f>
        <v/>
      </c>
      <c r="ABQ24">
        <f>IF($B24=0,1000000,IF(INDEX('計算A'!$D$60:$II$104,$B24,163)*JC24=1,IF(AND($E24=2,SJ24=0),1000000,INDEX('計算A'!FJ$110:FJ$114,$F24+1)+IF(AND($E24=1,SJ24=0),1000,0)),1000000))</f>
        <v/>
      </c>
      <c r="ABR24">
        <f>IF($B24=0,1000000,IF(INDEX('計算A'!$D$60:$II$104,$B24,164)*JD24=1,IF(AND($E24=2,SK24=0),1000000,INDEX('計算A'!FK$110:FK$114,$F24+1)+IF(AND($E24=1,SK24=0),1000,0)),1000000))</f>
        <v/>
      </c>
      <c r="ABS24">
        <f>IF($B24=0,1000000,IF(INDEX('計算A'!$D$60:$II$104,$B24,165)*JE24=1,IF(AND($E24=2,SL24=0),1000000,INDEX('計算A'!FL$110:FL$114,$F24+1)+IF(AND($E24=1,SL24=0),1000,0)),1000000))</f>
        <v/>
      </c>
      <c r="ABT24">
        <f>IF($B24=0,1000000,IF(INDEX('計算A'!$D$60:$II$104,$B24,166)*JF24=1,IF(AND($E24=2,SM24=0),1000000,INDEX('計算A'!FM$110:FM$114,$F24+1)+IF(AND($E24=1,SM24=0),1000,0)),1000000))</f>
        <v/>
      </c>
      <c r="ABU24">
        <f>IF($B24=0,1000000,IF(INDEX('計算A'!$D$60:$II$104,$B24,167)*JG24=1,IF(AND($E24=2,SN24=0),1000000,INDEX('計算A'!FN$110:FN$114,$F24+1)+IF(AND($E24=1,SN24=0),1000,0)),1000000))</f>
        <v/>
      </c>
      <c r="ABV24">
        <f>IF($B24=0,1000000,IF(INDEX('計算A'!$D$60:$II$104,$B24,168)*JH24=1,IF(AND($E24=2,SO24=0),1000000,INDEX('計算A'!FO$110:FO$114,$F24+1)+IF(AND($E24=1,SO24=0),1000,0)),1000000))</f>
        <v/>
      </c>
      <c r="ABW24">
        <f>IF($B24=0,1000000,IF(INDEX('計算A'!$D$60:$II$104,$B24,169)*JI24=1,IF(AND($E24=2,SP24=0),1000000,INDEX('計算A'!FP$110:FP$114,$F24+1)+IF(AND($E24=1,SP24=0),1000,0)),1000000))</f>
        <v/>
      </c>
      <c r="ABX24">
        <f>IF($B24=0,1000000,IF(INDEX('計算A'!$D$60:$II$104,$B24,170)*JJ24=1,IF(AND($E24=2,SQ24=0),1000000,INDEX('計算A'!FQ$110:FQ$114,$F24+1)+IF(AND($E24=1,SQ24=0),1000,0)),1000000))</f>
        <v/>
      </c>
      <c r="ABY24">
        <f>IF($B24=0,1000000,IF(INDEX('計算A'!$D$60:$II$104,$B24,171)*JK24=1,IF(AND($E24=2,SR24=0),1000000,INDEX('計算A'!FR$110:FR$114,$F24+1)+IF(AND($E24=1,SR24=0),1000,0)),1000000))</f>
        <v/>
      </c>
      <c r="ABZ24">
        <f>IF($B24=0,1000000,IF(INDEX('計算A'!$D$60:$II$104,$B24,172)*JL24=1,IF(AND($E24=2,SS24=0),1000000,INDEX('計算A'!FS$110:FS$114,$F24+1)+IF(AND($E24=1,SS24=0),1000,0)),1000000))</f>
        <v/>
      </c>
      <c r="ACA24">
        <f>IF($B24=0,1000000,IF(INDEX('計算A'!$D$60:$II$104,$B24,173)*JM24=1,IF(AND($E24=2,ST24=0),1000000,INDEX('計算A'!FT$110:FT$114,$F24+1)+IF(AND($E24=1,ST24=0),1000,0)),1000000))</f>
        <v/>
      </c>
      <c r="ACB24">
        <f>IF($B24=0,1000000,IF(INDEX('計算A'!$D$60:$II$104,$B24,174)*JN24=1,IF(AND($E24=2,SU24=0),1000000,INDEX('計算A'!FU$110:FU$114,$F24+1)+IF(AND($E24=1,SU24=0),1000,0)),1000000))</f>
        <v/>
      </c>
      <c r="ACC24">
        <f>IF($B24=0,1000000,IF(INDEX('計算A'!$D$60:$II$104,$B24,175)*JO24=1,IF(AND($E24=2,SV24=0),1000000,INDEX('計算A'!FV$110:FV$114,$F24+1)+IF(AND($E24=1,SV24=0),1000,0)),1000000))</f>
        <v/>
      </c>
      <c r="ACD24">
        <f>IF($B24=0,1000000,IF(INDEX('計算A'!$D$60:$II$104,$B24,176)*JP24=1,IF(AND($E24=2,SW24=0),1000000,INDEX('計算A'!FW$110:FW$114,$F24+1)+IF(AND($E24=1,SW24=0),1000,0)),1000000))</f>
        <v/>
      </c>
      <c r="ACE24">
        <f>IF($B24=0,1000000,IF(INDEX('計算A'!$D$60:$II$104,$B24,177)*JQ24=1,IF(AND($E24=2,SX24=0),1000000,INDEX('計算A'!FX$110:FX$114,$F24+1)+IF(AND($E24=1,SX24=0),1000,0)),1000000))</f>
        <v/>
      </c>
      <c r="ACF24">
        <f>IF($B24=0,1000000,IF(INDEX('計算A'!$D$60:$II$104,$B24,178)*JR24=1,IF(AND($E24=2,SY24=0),1000000,INDEX('計算A'!FY$110:FY$114,$F24+1)+IF(AND($E24=1,SY24=0),1000,0)),1000000))</f>
        <v/>
      </c>
      <c r="ACG24">
        <f>IF($B24=0,1000000,IF(INDEX('計算A'!$D$60:$II$104,$B24,179)*JS24=1,IF(AND($E24=2,SZ24=0),1000000,INDEX('計算A'!FZ$110:FZ$114,$F24+1)+IF(AND($E24=1,SZ24=0),1000,0)),1000000))</f>
        <v/>
      </c>
      <c r="ACH24">
        <f>IF($B24=0,1000000,IF(INDEX('計算A'!$D$60:$II$104,$B24,180)*JT24=1,IF(AND($E24=2,TA24=0),1000000,INDEX('計算A'!GA$110:GA$114,$F24+1)+IF(AND($E24=1,TA24=0),1000,0)),1000000))</f>
        <v/>
      </c>
      <c r="ACI24">
        <f>IF($B24=0,1000000,IF(INDEX('計算A'!$D$60:$II$104,$B24,181)*JU24=1,IF(AND($E24=2,TB24=0),1000000,INDEX('計算A'!GB$110:GB$114,$F24+1)+IF(AND($E24=1,TB24=0),1000,0)),1000000))</f>
        <v/>
      </c>
      <c r="ACJ24">
        <f>IF($B24=0,1000000,IF(INDEX('計算A'!$D$60:$II$104,$B24,182)*JV24=1,IF(AND($E24=2,TC24=0),1000000,INDEX('計算A'!GC$110:GC$114,$F24+1)+IF(AND($E24=1,TC24=0),1000,0)),1000000))</f>
        <v/>
      </c>
      <c r="ACK24">
        <f>IF($B24=0,1000000,IF(INDEX('計算A'!$D$60:$II$104,$B24,183)*JW24=1,IF(AND($E24=2,TD24=0),1000000,INDEX('計算A'!GD$110:GD$114,$F24+1)+IF(AND($E24=1,TD24=0),1000,0)),1000000))</f>
        <v/>
      </c>
      <c r="ACL24">
        <f>IF($B24=0,1000000,IF(INDEX('計算A'!$D$60:$II$104,$B24,184)*JX24=1,IF(AND($E24=2,TE24=0),1000000,INDEX('計算A'!GE$110:GE$114,$F24+1)+IF(AND($E24=1,TE24=0),1000,0)),1000000))</f>
        <v/>
      </c>
      <c r="ACM24">
        <f>IF($B24=0,1000000,IF(INDEX('計算A'!$D$60:$II$104,$B24,185)*JY24=1,IF(AND($E24=2,TF24=0),1000000,INDEX('計算A'!GF$110:GF$114,$F24+1)+IF(AND($E24=1,TF24=0),1000,0)),1000000))</f>
        <v/>
      </c>
      <c r="ACN24">
        <f>IF($B24=0,1000000,IF(INDEX('計算A'!$D$60:$II$104,$B24,186)*JZ24=1,IF(AND($E24=2,TG24=0),1000000,INDEX('計算A'!GG$110:GG$114,$F24+1)+IF(AND($E24=1,TG24=0),1000,0)),1000000))</f>
        <v/>
      </c>
      <c r="ACO24">
        <f>IF($B24=0,1000000,IF(INDEX('計算A'!$D$60:$II$104,$B24,187)*KA24=1,IF(AND($E24=2,TH24=0),1000000,INDEX('計算A'!GH$110:GH$114,$F24+1)+IF(AND($E24=1,TH24=0),1000,0)),1000000))</f>
        <v/>
      </c>
      <c r="ACP24">
        <f>IF($B24=0,1000000,IF(INDEX('計算A'!$D$60:$II$104,$B24,188)*KB24=1,IF(AND($E24=2,TI24=0),1000000,INDEX('計算A'!GI$110:GI$114,$F24+1)+IF(AND($E24=1,TI24=0),1000,0)),1000000))</f>
        <v/>
      </c>
      <c r="ACQ24">
        <f>IF($B24=0,1000000,IF(INDEX('計算A'!$D$60:$II$104,$B24,189)*KC24=1,IF(AND($E24=2,TJ24=0),1000000,INDEX('計算A'!GJ$110:GJ$114,$F24+1)+IF(AND($E24=1,TJ24=0),1000,0)),1000000))</f>
        <v/>
      </c>
      <c r="ACR24">
        <f>IF($B24=0,1000000,IF(INDEX('計算A'!$D$60:$II$104,$B24,190)*KD24=1,IF(AND($E24=2,TK24=0),1000000,INDEX('計算A'!GK$110:GK$114,$F24+1)+IF(AND($E24=1,TK24=0),1000,0)),1000000))</f>
        <v/>
      </c>
      <c r="ACS24">
        <f>IF($B24=0,1000000,IF(INDEX('計算A'!$D$60:$II$104,$B24,191)*KE24=1,IF(AND($E24=2,TL24=0),1000000,INDEX('計算A'!GL$110:GL$114,$F24+1)+IF(AND($E24=1,TL24=0),1000,0)),1000000))</f>
        <v/>
      </c>
      <c r="ACT24">
        <f>IF($B24=0,1000000,IF(INDEX('計算A'!$D$60:$II$104,$B24,192)*KF24=1,IF(AND($E24=2,TM24=0),1000000,INDEX('計算A'!GM$110:GM$114,$F24+1)+IF(AND($E24=1,TM24=0),1000,0)),1000000))</f>
        <v/>
      </c>
      <c r="ACU24">
        <f>IF($B24=0,1000000,IF(INDEX('計算A'!$D$60:$II$104,$B24,193)*KG24=1,IF(AND($E24=2,TN24=0),1000000,INDEX('計算A'!GN$110:GN$114,$F24+1)+IF(AND($E24=1,TN24=0),1000,0)),1000000))</f>
        <v/>
      </c>
      <c r="ACV24">
        <f>IF($B24=0,1000000,IF(INDEX('計算A'!$D$60:$II$104,$B24,194)*KH24=1,IF(AND($E24=2,TO24=0),1000000,INDEX('計算A'!GO$110:GO$114,$F24+1)+IF(AND($E24=1,TO24=0),1000,0)),1000000))</f>
        <v/>
      </c>
      <c r="ACW24">
        <f>IF($B24=0,1000000,IF(INDEX('計算A'!$D$60:$II$104,$B24,195)*KI24=1,IF(AND($E24=2,TP24=0),1000000,INDEX('計算A'!GP$110:GP$114,$F24+1)+IF(AND($E24=1,TP24=0),1000,0)),1000000))</f>
        <v/>
      </c>
      <c r="ACX24">
        <f>IF($B24=0,1000000,IF(INDEX('計算A'!$D$60:$II$104,$B24,196)*KJ24=1,IF(AND($E24=2,TQ24=0),1000000,INDEX('計算A'!GQ$110:GQ$114,$F24+1)+IF(AND($E24=1,TQ24=0),1000,0)),1000000))</f>
        <v/>
      </c>
      <c r="ACY24">
        <f>IF($B24=0,1000000,IF(INDEX('計算A'!$D$60:$II$104,$B24,197)*KK24=1,IF(AND($E24=2,TR24=0),1000000,INDEX('計算A'!GR$110:GR$114,$F24+1)+IF(AND($E24=1,TR24=0),1000,0)),1000000))</f>
        <v/>
      </c>
      <c r="ACZ24">
        <f>IF($B24=0,1000000,IF(INDEX('計算A'!$D$60:$II$104,$B24,198)*KL24=1,IF(AND($E24=2,TS24=0),1000000,INDEX('計算A'!GS$110:GS$114,$F24+1)+IF(AND($E24=1,TS24=0),1000,0)),1000000))</f>
        <v/>
      </c>
      <c r="ADA24">
        <f>IF($B24=0,1000000,IF(INDEX('計算A'!$D$60:$II$104,$B24,199)*KM24=1,IF(AND($E24=2,TT24=0),1000000,INDEX('計算A'!GT$110:GT$114,$F24+1)+IF(AND($E24=1,TT24=0),1000,0)),1000000))</f>
        <v/>
      </c>
      <c r="ADB24">
        <f>IF($B24=0,1000000,IF(INDEX('計算A'!$D$60:$II$104,$B24,200)*KN24=1,IF(AND($E24=2,TU24=0),1000000,INDEX('計算A'!GU$110:GU$114,$F24+1)+IF(AND($E24=1,TU24=0),1000,0)),1000000))</f>
        <v/>
      </c>
      <c r="ADC24">
        <f>IF($B24=0,1000000,IF(INDEX('計算A'!$D$60:$II$104,$B24,201)*KO24=1,IF(AND($E24=2,TV24=0),1000000,INDEX('計算A'!GV$110:GV$114,$F24+1)+IF(AND($E24=1,TV24=0),1000,0)),1000000))</f>
        <v/>
      </c>
      <c r="ADD24">
        <f>IF($B24=0,1000000,IF(INDEX('計算A'!$D$60:$II$104,$B24,202)*KP24=1,IF(AND($E24=2,TW24=0),1000000,INDEX('計算A'!GW$110:GW$114,$F24+1)+IF(AND($E24=1,TW24=0),1000,0)),1000000))</f>
        <v/>
      </c>
      <c r="ADE24">
        <f>IF($B24=0,1000000,IF(INDEX('計算A'!$D$60:$II$104,$B24,203)*KQ24=1,IF(AND($E24=2,TX24=0),1000000,INDEX('計算A'!GX$110:GX$114,$F24+1)+IF(AND($E24=1,TX24=0),1000,0)),1000000))</f>
        <v/>
      </c>
      <c r="ADF24">
        <f>IF($B24=0,1000000,IF(INDEX('計算A'!$D$60:$II$104,$B24,204)*KR24=1,IF(AND($E24=2,TY24=0),1000000,INDEX('計算A'!GY$110:GY$114,$F24+1)+IF(AND($E24=1,TY24=0),1000,0)),1000000))</f>
        <v/>
      </c>
      <c r="ADG24">
        <f>IF($B24=0,1000000,IF(INDEX('計算A'!$D$60:$II$104,$B24,205)*KS24=1,IF(AND($E24=2,TZ24=0),1000000,INDEX('計算A'!GZ$110:GZ$114,$F24+1)+IF(AND($E24=1,TZ24=0),1000,0)),1000000))</f>
        <v/>
      </c>
      <c r="ADH24">
        <f>IF($B24=0,1000000,IF(INDEX('計算A'!$D$60:$II$104,$B24,206)*KT24=1,IF(AND($E24=2,UA24=0),1000000,INDEX('計算A'!HA$110:HA$114,$F24+1)+IF(AND($E24=1,UA24=0),1000,0)),1000000))</f>
        <v/>
      </c>
      <c r="ADI24">
        <f>IF($B24=0,1000000,IF(INDEX('計算A'!$D$60:$II$104,$B24,207)*KU24=1,IF(AND($E24=2,UB24=0),1000000,INDEX('計算A'!HB$110:HB$114,$F24+1)+IF(AND($E24=1,UB24=0),1000,0)),1000000))</f>
        <v/>
      </c>
      <c r="ADJ24">
        <f>IF($B24=0,1000000,IF(INDEX('計算A'!$D$60:$II$104,$B24,208)*KV24=1,IF(AND($E24=2,UC24=0),1000000,INDEX('計算A'!HC$110:HC$114,$F24+1)+IF(AND($E24=1,UC24=0),1000,0)),1000000))</f>
        <v/>
      </c>
      <c r="ADK24">
        <f>IF($B24=0,1000000,IF(INDEX('計算A'!$D$60:$II$104,$B24,209)*KW24=1,IF(AND($E24=2,UD24=0),1000000,INDEX('計算A'!HD$110:HD$114,$F24+1)+IF(AND($E24=1,UD24=0),1000,0)),1000000))</f>
        <v/>
      </c>
      <c r="ADL24">
        <f>IF($B24=0,1000000,IF(INDEX('計算A'!$D$60:$II$104,$B24,210)*KX24=1,IF(AND($E24=2,UE24=0),1000000,INDEX('計算A'!HE$110:HE$114,$F24+1)+IF(AND($E24=1,UE24=0),1000,0)),1000000))</f>
        <v/>
      </c>
      <c r="ADM24">
        <f>IF($B24=0,1000000,IF(INDEX('計算A'!$D$60:$II$104,$B24,211)*KY24=1,IF(AND($E24=2,UF24=0),1000000,INDEX('計算A'!HF$110:HF$114,$F24+1)+IF(AND($E24=1,UF24=0),1000,0)),1000000))</f>
        <v/>
      </c>
      <c r="ADN24">
        <f>IF($B24=0,1000000,IF(INDEX('計算A'!$D$60:$II$104,$B24,212)*KZ24=1,IF(AND($E24=2,UG24=0),1000000,INDEX('計算A'!HG$110:HG$114,$F24+1)+IF(AND($E24=1,UG24=0),1000,0)),1000000))</f>
        <v/>
      </c>
      <c r="ADO24">
        <f>IF($B24=0,1000000,IF(INDEX('計算A'!$D$60:$II$104,$B24,213)*LA24=1,IF(AND($E24=2,UH24=0),1000000,INDEX('計算A'!HH$110:HH$114,$F24+1)+IF(AND($E24=1,UH24=0),1000,0)),1000000))</f>
        <v/>
      </c>
      <c r="ADP24">
        <f>IF($B24=0,1000000,IF(INDEX('計算A'!$D$60:$II$104,$B24,214)*LB24=1,IF(AND($E24=2,UI24=0),1000000,INDEX('計算A'!HI$110:HI$114,$F24+1)+IF(AND($E24=1,UI24=0),1000,0)),1000000))</f>
        <v/>
      </c>
      <c r="ADQ24">
        <f>IF($B24=0,1000000,IF(INDEX('計算A'!$D$60:$II$104,$B24,215)*LC24=1,IF(AND($E24=2,UJ24=0),1000000,INDEX('計算A'!HJ$110:HJ$114,$F24+1)+IF(AND($E24=1,UJ24=0),1000,0)),1000000))</f>
        <v/>
      </c>
      <c r="ADR24">
        <f>IF($B24=0,1000000,IF(INDEX('計算A'!$D$60:$II$104,$B24,216)*LD24=1,IF(AND($E24=2,UK24=0),1000000,INDEX('計算A'!HK$110:HK$114,$F24+1)+IF(AND($E24=1,UK24=0),1000,0)),1000000))</f>
        <v/>
      </c>
      <c r="ADS24">
        <f>IF($B24=0,1000000,IF(INDEX('計算A'!$D$60:$II$104,$B24,217)*LE24=1,IF(AND($E24=2,UL24=0),1000000,INDEX('計算A'!HL$110:HL$114,$F24+1)+IF(AND($E24=1,UL24=0),1000,0)),1000000))</f>
        <v/>
      </c>
      <c r="ADT24">
        <f>IF($B24=0,1000000,IF(INDEX('計算A'!$D$60:$II$104,$B24,218)*LF24=1,IF(AND($E24=2,UM24=0),1000000,INDEX('計算A'!HM$110:HM$114,$F24+1)+IF(AND($E24=1,UM24=0),1000,0)),1000000))</f>
        <v/>
      </c>
      <c r="ADU24">
        <f>IF($B24=0,1000000,IF(INDEX('計算A'!$D$60:$II$104,$B24,219)*LG24=1,IF(AND($E24=2,UN24=0),1000000,INDEX('計算A'!HN$110:HN$114,$F24+1)+IF(AND($E24=1,UN24=0),1000,0)),1000000))</f>
        <v/>
      </c>
      <c r="ADV24">
        <f>IF($B24=0,1000000,IF(INDEX('計算A'!$D$60:$II$104,$B24,220)*LH24=1,IF(AND($E24=2,UO24=0),1000000,INDEX('計算A'!HO$110:HO$114,$F24+1)+IF(AND($E24=1,UO24=0),1000,0)),1000000))</f>
        <v/>
      </c>
      <c r="ADW24">
        <f>IF($B24=0,1000000,IF(INDEX('計算A'!$D$60:$II$104,$B24,221)*LI24=1,IF(AND($E24=2,UP24=0),1000000,INDEX('計算A'!HP$110:HP$114,$F24+1)+IF(AND($E24=1,UP24=0),1000,0)),1000000))</f>
        <v/>
      </c>
      <c r="ADX24">
        <f>IF($B24=0,1000000,IF(INDEX('計算A'!$D$60:$II$104,$B24,222)*LJ24=1,IF(AND($E24=2,UQ24=0),1000000,INDEX('計算A'!HQ$110:HQ$114,$F24+1)+IF(AND($E24=1,UQ24=0),1000,0)),1000000))</f>
        <v/>
      </c>
      <c r="ADY24">
        <f>IF($B24=0,1000000,IF(INDEX('計算A'!$D$60:$II$104,$B24,223)*LK24=1,IF(AND($E24=2,UR24=0),1000000,INDEX('計算A'!HR$110:HR$114,$F24+1)+IF(AND($E24=1,UR24=0),1000,0)),1000000))</f>
        <v/>
      </c>
      <c r="ADZ24">
        <f>IF($B24=0,1000000,IF(INDEX('計算A'!$D$60:$II$104,$B24,224)*LL24=1,IF(AND($E24=2,US24=0),1000000,INDEX('計算A'!HS$110:HS$114,$F24+1)+IF(AND($E24=1,US24=0),1000,0)),1000000))</f>
        <v/>
      </c>
      <c r="AEA24">
        <f>IF($B24=0,1000000,IF(INDEX('計算A'!$D$60:$II$104,$B24,225)*LM24=1,IF(AND($E24=2,UT24=0),1000000,INDEX('計算A'!HT$110:HT$114,$F24+1)+IF(AND($E24=1,UT24=0),1000,0)),1000000))</f>
        <v/>
      </c>
      <c r="AEB24">
        <f>IF($B24=0,1000000,IF(INDEX('計算A'!$D$60:$II$104,$B24,226)*LN24=1,IF(AND($E24=2,UU24=0),1000000,INDEX('計算A'!HU$110:HU$114,$F24+1)+IF(AND($E24=1,UU24=0),1000,0)),1000000))</f>
        <v/>
      </c>
      <c r="AEC24">
        <f>IF($B24=0,1000000,IF(INDEX('計算A'!$D$60:$II$104,$B24,227)*LO24=1,IF(AND($E24=2,UV24=0),1000000,INDEX('計算A'!HV$110:HV$114,$F24+1)+IF(AND($E24=1,UV24=0),1000,0)),1000000))</f>
        <v/>
      </c>
      <c r="AED24">
        <f>IF($B24=0,1000000,IF(INDEX('計算A'!$D$60:$II$104,$B24,228)*LP24=1,IF(AND($E24=2,UW24=0),1000000,INDEX('計算A'!HW$110:HW$114,$F24+1)+IF(AND($E24=1,UW24=0),1000,0)),1000000))</f>
        <v/>
      </c>
      <c r="AEE24">
        <f>IF($B24=0,1000000,IF(INDEX('計算A'!$D$60:$II$104,$B24,229)*LQ24=1,IF(AND($E24=2,UX24=0),1000000,INDEX('計算A'!HX$110:HX$114,$F24+1)+IF(AND($E24=1,UX24=0),1000,0)),1000000))</f>
        <v/>
      </c>
      <c r="AEF24">
        <f>IF($B24=0,1000000,IF(INDEX('計算A'!$D$60:$II$104,$B24,230)*LR24=1,IF(AND($E24=2,UY24=0),1000000,INDEX('計算A'!HY$110:HY$114,$F24+1)+IF(AND($E24=1,UY24=0),1000,0)),1000000))</f>
        <v/>
      </c>
      <c r="AEG24">
        <f>IF($B24=0,1000000,IF(INDEX('計算A'!$D$60:$II$104,$B24,231)*LS24=1,IF(AND($E24=2,UZ24=0),1000000,INDEX('計算A'!HZ$110:HZ$114,$F24+1)+IF(AND($E24=1,UZ24=0),1000,0)),1000000))</f>
        <v/>
      </c>
      <c r="AEH24">
        <f>IF($B24=0,1000000,IF(INDEX('計算A'!$D$60:$II$104,$B24,232)*LT24=1,IF(AND($E24=2,VA24=0),1000000,INDEX('計算A'!IA$110:IA$114,$F24+1)+IF(AND($E24=1,VA24=0),1000,0)),1000000))</f>
        <v/>
      </c>
      <c r="AEI24">
        <f>IF($B24=0,1000000,IF(INDEX('計算A'!$D$60:$II$104,$B24,233)*LU24=1,IF(AND($E24=2,VB24=0),1000000,INDEX('計算A'!IB$110:IB$114,$F24+1)+IF(AND($E24=1,VB24=0),1000,0)),1000000))</f>
        <v/>
      </c>
      <c r="AEJ24">
        <f>IF($B24=0,1000000,IF(INDEX('計算A'!$D$60:$II$104,$B24,234)*LV24=1,IF(AND($E24=2,VC24=0),1000000,INDEX('計算A'!IC$110:IC$114,$F24+1)+IF(AND($E24=1,VC24=0),1000,0)),1000000))</f>
        <v/>
      </c>
      <c r="AEK24">
        <f>IF($B24=0,1000000,IF(INDEX('計算A'!$D$60:$II$104,$B24,235)*LW24=1,IF(AND($E24=2,VD24=0),1000000,INDEX('計算A'!ID$110:ID$114,$F24+1)+IF(AND($E24=1,VD24=0),1000,0)),1000000))</f>
        <v/>
      </c>
      <c r="AEL24">
        <f>IF($B24=0,1000000,IF(INDEX('計算A'!$D$60:$II$104,$B24,236)*LX24=1,IF(AND($E24=2,VE24=0),1000000,INDEX('計算A'!IE$110:IE$114,$F24+1)+IF(AND($E24=1,VE24=0),1000,0)),1000000))</f>
        <v/>
      </c>
      <c r="AEM24">
        <f>IF($B24=0,1000000,IF(INDEX('計算A'!$D$60:$II$104,$B24,237)*LY24=1,IF(AND($E24=2,VF24=0),1000000,INDEX('計算A'!IF$110:IF$114,$F24+1)+IF(AND($E24=1,VF24=0),1000,0)),1000000))</f>
        <v/>
      </c>
      <c r="AEN24">
        <f>IF($B24=0,1000000,IF(INDEX('計算A'!$D$60:$II$104,$B24,238)*LZ24=1,IF(AND($E24=2,VG24=0),1000000,INDEX('計算A'!IG$110:IG$114,$F24+1)+IF(AND($E24=1,VG24=0),1000,0)),1000000))</f>
        <v/>
      </c>
      <c r="AEO24">
        <f>IF($B24=0,1000000,IF(INDEX('計算A'!$D$60:$II$104,$B24,239)*MA24=1,IF(AND($E24=2,VH24=0),1000000,INDEX('計算A'!IH$110:IH$114,$F24+1)+IF(AND($E24=1,VH24=0),1000,0)),1000000))</f>
        <v/>
      </c>
      <c r="AEP24">
        <f>IF($B24=0,1000000,IF(INDEX('計算A'!$D$60:$II$104,$B24,240)*MB24=1,IF(AND($E24=2,VI24=0),1000000,INDEX('計算A'!II$110:II$114,$F24+1)+IF(AND($E24=1,VI24=0),1000,0)),1000000))</f>
        <v/>
      </c>
    </row>
    <row r="25">
      <c r="A25" t="n">
        <v>23</v>
      </c>
      <c r="B25">
        <f>IF(MIN(BC25:CU25)&gt;=1000000,0,MATCH(MIN(BC25:CU25),BC25:CU25,0))</f>
        <v/>
      </c>
      <c r="C25">
        <f>IF(MIN(VK25:AEP25)&gt;=1000000,0,MATCH(MIN(VK25:AEP25),VK25:AEP25,0))</f>
        <v/>
      </c>
      <c r="D25">
        <f>IF(C25&gt;0,INDEX('計算A'!$D$5:$II$5,C25),0)</f>
        <v/>
      </c>
      <c r="E25">
        <f>IF(B25=0,0,INDEX('計算A'!$IQ$10:$IQ$54,B25))</f>
        <v/>
      </c>
      <c r="F25">
        <f>IF(B25=0,0,INDEX('計算A'!$IP$10:$IP$54,B25))</f>
        <v/>
      </c>
      <c r="G25">
        <f>IF(AND(C25&gt;0,E25&gt;0),IF(AND(INDEX('計算A'!$D$106:$II$106,C25)=1,INDEX($MD25:$VI25,C25)=1),C25+1,0),0)</f>
        <v/>
      </c>
      <c r="I25">
        <f>MAX(I24,IF($B24=1,1,0))</f>
        <v/>
      </c>
      <c r="J25">
        <f>MAX(J24,IF($B24=2,1,0))</f>
        <v/>
      </c>
      <c r="K25">
        <f>MAX(K24,IF($B24=3,1,0))</f>
        <v/>
      </c>
      <c r="L25">
        <f>MAX(L24,IF($B24=4,1,0))</f>
        <v/>
      </c>
      <c r="M25">
        <f>MAX(M24,IF($B24=5,1,0))</f>
        <v/>
      </c>
      <c r="N25">
        <f>MAX(N24,IF($B24=6,1,0))</f>
        <v/>
      </c>
      <c r="O25">
        <f>MAX(O24,IF($B24=7,1,0))</f>
        <v/>
      </c>
      <c r="P25">
        <f>MAX(P24,IF($B24=8,1,0))</f>
        <v/>
      </c>
      <c r="Q25">
        <f>MAX(Q24,IF($B24=9,1,0))</f>
        <v/>
      </c>
      <c r="R25">
        <f>MAX(R24,IF($B24=10,1,0))</f>
        <v/>
      </c>
      <c r="S25">
        <f>MAX(S24,IF($B24=11,1,0))</f>
        <v/>
      </c>
      <c r="T25">
        <f>MAX(T24,IF($B24=12,1,0))</f>
        <v/>
      </c>
      <c r="U25">
        <f>MAX(U24,IF($B24=13,1,0))</f>
        <v/>
      </c>
      <c r="V25">
        <f>MAX(V24,IF($B24=14,1,0))</f>
        <v/>
      </c>
      <c r="W25">
        <f>MAX(W24,IF($B24=15,1,0))</f>
        <v/>
      </c>
      <c r="X25">
        <f>MAX(X24,IF($B24=16,1,0))</f>
        <v/>
      </c>
      <c r="Y25">
        <f>MAX(Y24,IF($B24=17,1,0))</f>
        <v/>
      </c>
      <c r="Z25">
        <f>MAX(Z24,IF($B24=18,1,0))</f>
        <v/>
      </c>
      <c r="AA25">
        <f>MAX(AA24,IF($B24=19,1,0))</f>
        <v/>
      </c>
      <c r="AB25">
        <f>MAX(AB24,IF($B24=20,1,0))</f>
        <v/>
      </c>
      <c r="AC25">
        <f>MAX(AC24,IF($B24=21,1,0))</f>
        <v/>
      </c>
      <c r="AD25">
        <f>MAX(AD24,IF($B24=22,1,0))</f>
        <v/>
      </c>
      <c r="AE25">
        <f>MAX(AE24,IF($B24=23,1,0))</f>
        <v/>
      </c>
      <c r="AF25">
        <f>MAX(AF24,IF($B24=24,1,0))</f>
        <v/>
      </c>
      <c r="AG25">
        <f>MAX(AG24,IF($B24=25,1,0))</f>
        <v/>
      </c>
      <c r="AH25">
        <f>MAX(AH24,IF($B24=26,1,0))</f>
        <v/>
      </c>
      <c r="AI25">
        <f>MAX(AI24,IF($B24=27,1,0))</f>
        <v/>
      </c>
      <c r="AJ25">
        <f>MAX(AJ24,IF($B24=28,1,0))</f>
        <v/>
      </c>
      <c r="AK25">
        <f>MAX(AK24,IF($B24=29,1,0))</f>
        <v/>
      </c>
      <c r="AL25">
        <f>MAX(AL24,IF($B24=30,1,0))</f>
        <v/>
      </c>
      <c r="AM25">
        <f>MAX(AM24,IF($B24=31,1,0))</f>
        <v/>
      </c>
      <c r="AN25">
        <f>MAX(AN24,IF($B24=32,1,0))</f>
        <v/>
      </c>
      <c r="AO25">
        <f>MAX(AO24,IF($B24=33,1,0))</f>
        <v/>
      </c>
      <c r="AP25">
        <f>MAX(AP24,IF($B24=34,1,0))</f>
        <v/>
      </c>
      <c r="AQ25">
        <f>MAX(AQ24,IF($B24=35,1,0))</f>
        <v/>
      </c>
      <c r="AR25">
        <f>MAX(AR24,IF($B24=36,1,0))</f>
        <v/>
      </c>
      <c r="AS25">
        <f>MAX(AS24,IF($B24=37,1,0))</f>
        <v/>
      </c>
      <c r="AT25">
        <f>MAX(AT24,IF($B24=38,1,0))</f>
        <v/>
      </c>
      <c r="AU25">
        <f>MAX(AU24,IF($B24=39,1,0))</f>
        <v/>
      </c>
      <c r="AV25">
        <f>MAX(AV24,IF($B24=40,1,0))</f>
        <v/>
      </c>
      <c r="AW25">
        <f>MAX(AW24,IF($B24=41,1,0))</f>
        <v/>
      </c>
      <c r="AX25">
        <f>MAX(AX24,IF($B24=42,1,0))</f>
        <v/>
      </c>
      <c r="AY25">
        <f>MAX(AY24,IF($B24=43,1,0))</f>
        <v/>
      </c>
      <c r="AZ25">
        <f>MAX(AZ24,IF($B24=44,1,0))</f>
        <v/>
      </c>
      <c r="BA25">
        <f>MAX(BA24,IF($B24=45,1,0))</f>
        <v/>
      </c>
      <c r="BC25">
        <f>IF(I25=1,1000000,IF('計算A'!$IQ$10=2,SUMPRODUCT('計算A'!$D$60:$II$60,$CW25:$MB25,$MD25:$VI25),SUMPRODUCT('計算A'!$D$60:$II$60,$CW25:$MB25))*1000+1)</f>
        <v/>
      </c>
      <c r="BD25">
        <f>IF(J25=1,1000000,IF('計算A'!$IQ$11=2,SUMPRODUCT('計算A'!$D$61:$II$61,$CW25:$MB25,$MD25:$VI25),SUMPRODUCT('計算A'!$D$61:$II$61,$CW25:$MB25))*1000+2)</f>
        <v/>
      </c>
      <c r="BE25">
        <f>IF(K25=1,1000000,IF('計算A'!$IQ$12=2,SUMPRODUCT('計算A'!$D$62:$II$62,$CW25:$MB25,$MD25:$VI25),SUMPRODUCT('計算A'!$D$62:$II$62,$CW25:$MB25))*1000+3)</f>
        <v/>
      </c>
      <c r="BF25">
        <f>IF(L25=1,1000000,IF('計算A'!$IQ$13=2,SUMPRODUCT('計算A'!$D$63:$II$63,$CW25:$MB25,$MD25:$VI25),SUMPRODUCT('計算A'!$D$63:$II$63,$CW25:$MB25))*1000+4)</f>
        <v/>
      </c>
      <c r="BG25">
        <f>IF(M25=1,1000000,IF('計算A'!$IQ$14=2,SUMPRODUCT('計算A'!$D$64:$II$64,$CW25:$MB25,$MD25:$VI25),SUMPRODUCT('計算A'!$D$64:$II$64,$CW25:$MB25))*1000+5)</f>
        <v/>
      </c>
      <c r="BH25">
        <f>IF(N25=1,1000000,IF('計算A'!$IQ$15=2,SUMPRODUCT('計算A'!$D$65:$II$65,$CW25:$MB25,$MD25:$VI25),SUMPRODUCT('計算A'!$D$65:$II$65,$CW25:$MB25))*1000+6)</f>
        <v/>
      </c>
      <c r="BI25">
        <f>IF(O25=1,1000000,IF('計算A'!$IQ$16=2,SUMPRODUCT('計算A'!$D$66:$II$66,$CW25:$MB25,$MD25:$VI25),SUMPRODUCT('計算A'!$D$66:$II$66,$CW25:$MB25))*1000+7)</f>
        <v/>
      </c>
      <c r="BJ25">
        <f>IF(P25=1,1000000,IF('計算A'!$IQ$17=2,SUMPRODUCT('計算A'!$D$67:$II$67,$CW25:$MB25,$MD25:$VI25),SUMPRODUCT('計算A'!$D$67:$II$67,$CW25:$MB25))*1000+8)</f>
        <v/>
      </c>
      <c r="BK25">
        <f>IF(Q25=1,1000000,IF('計算A'!$IQ$18=2,SUMPRODUCT('計算A'!$D$68:$II$68,$CW25:$MB25,$MD25:$VI25),SUMPRODUCT('計算A'!$D$68:$II$68,$CW25:$MB25))*1000+9)</f>
        <v/>
      </c>
      <c r="BL25">
        <f>IF(R25=1,1000000,IF('計算A'!$IQ$19=2,SUMPRODUCT('計算A'!$D$69:$II$69,$CW25:$MB25,$MD25:$VI25),SUMPRODUCT('計算A'!$D$69:$II$69,$CW25:$MB25))*1000+10)</f>
        <v/>
      </c>
      <c r="BM25">
        <f>IF(S25=1,1000000,IF('計算A'!$IQ$20=2,SUMPRODUCT('計算A'!$D$70:$II$70,$CW25:$MB25,$MD25:$VI25),SUMPRODUCT('計算A'!$D$70:$II$70,$CW25:$MB25))*1000+11)</f>
        <v/>
      </c>
      <c r="BN25">
        <f>IF(T25=1,1000000,IF('計算A'!$IQ$21=2,SUMPRODUCT('計算A'!$D$71:$II$71,$CW25:$MB25,$MD25:$VI25),SUMPRODUCT('計算A'!$D$71:$II$71,$CW25:$MB25))*1000+12)</f>
        <v/>
      </c>
      <c r="BO25">
        <f>IF(U25=1,1000000,IF('計算A'!$IQ$22=2,SUMPRODUCT('計算A'!$D$72:$II$72,$CW25:$MB25,$MD25:$VI25),SUMPRODUCT('計算A'!$D$72:$II$72,$CW25:$MB25))*1000+13)</f>
        <v/>
      </c>
      <c r="BP25">
        <f>IF(V25=1,1000000,IF('計算A'!$IQ$23=2,SUMPRODUCT('計算A'!$D$73:$II$73,$CW25:$MB25,$MD25:$VI25),SUMPRODUCT('計算A'!$D$73:$II$73,$CW25:$MB25))*1000+14)</f>
        <v/>
      </c>
      <c r="BQ25">
        <f>IF(W25=1,1000000,IF('計算A'!$IQ$24=2,SUMPRODUCT('計算A'!$D$74:$II$74,$CW25:$MB25,$MD25:$VI25),SUMPRODUCT('計算A'!$D$74:$II$74,$CW25:$MB25))*1000+15)</f>
        <v/>
      </c>
      <c r="BR25">
        <f>IF(X25=1,1000000,IF('計算A'!$IQ$25=2,SUMPRODUCT('計算A'!$D$75:$II$75,$CW25:$MB25,$MD25:$VI25),SUMPRODUCT('計算A'!$D$75:$II$75,$CW25:$MB25))*1000+16)</f>
        <v/>
      </c>
      <c r="BS25">
        <f>IF(Y25=1,1000000,IF('計算A'!$IQ$26=2,SUMPRODUCT('計算A'!$D$76:$II$76,$CW25:$MB25,$MD25:$VI25),SUMPRODUCT('計算A'!$D$76:$II$76,$CW25:$MB25))*1000+17)</f>
        <v/>
      </c>
      <c r="BT25">
        <f>IF(Z25=1,1000000,IF('計算A'!$IQ$27=2,SUMPRODUCT('計算A'!$D$77:$II$77,$CW25:$MB25,$MD25:$VI25),SUMPRODUCT('計算A'!$D$77:$II$77,$CW25:$MB25))*1000+18)</f>
        <v/>
      </c>
      <c r="BU25">
        <f>IF(AA25=1,1000000,IF('計算A'!$IQ$28=2,SUMPRODUCT('計算A'!$D$78:$II$78,$CW25:$MB25,$MD25:$VI25),SUMPRODUCT('計算A'!$D$78:$II$78,$CW25:$MB25))*1000+19)</f>
        <v/>
      </c>
      <c r="BV25">
        <f>IF(AB25=1,1000000,IF('計算A'!$IQ$29=2,SUMPRODUCT('計算A'!$D$79:$II$79,$CW25:$MB25,$MD25:$VI25),SUMPRODUCT('計算A'!$D$79:$II$79,$CW25:$MB25))*1000+20)</f>
        <v/>
      </c>
      <c r="BW25">
        <f>IF(AC25=1,1000000,IF('計算A'!$IQ$30=2,SUMPRODUCT('計算A'!$D$80:$II$80,$CW25:$MB25,$MD25:$VI25),SUMPRODUCT('計算A'!$D$80:$II$80,$CW25:$MB25))*1000+21)</f>
        <v/>
      </c>
      <c r="BX25">
        <f>IF(AD25=1,1000000,IF('計算A'!$IQ$31=2,SUMPRODUCT('計算A'!$D$81:$II$81,$CW25:$MB25,$MD25:$VI25),SUMPRODUCT('計算A'!$D$81:$II$81,$CW25:$MB25))*1000+22)</f>
        <v/>
      </c>
      <c r="BY25">
        <f>IF(AE25=1,1000000,IF('計算A'!$IQ$32=2,SUMPRODUCT('計算A'!$D$82:$II$82,$CW25:$MB25,$MD25:$VI25),SUMPRODUCT('計算A'!$D$82:$II$82,$CW25:$MB25))*1000+23)</f>
        <v/>
      </c>
      <c r="BZ25">
        <f>IF(AF25=1,1000000,IF('計算A'!$IQ$33=2,SUMPRODUCT('計算A'!$D$83:$II$83,$CW25:$MB25,$MD25:$VI25),SUMPRODUCT('計算A'!$D$83:$II$83,$CW25:$MB25))*1000+24)</f>
        <v/>
      </c>
      <c r="CA25">
        <f>IF(AG25=1,1000000,IF('計算A'!$IQ$34=2,SUMPRODUCT('計算A'!$D$84:$II$84,$CW25:$MB25,$MD25:$VI25),SUMPRODUCT('計算A'!$D$84:$II$84,$CW25:$MB25))*1000+25)</f>
        <v/>
      </c>
      <c r="CB25">
        <f>IF(AH25=1,1000000,IF('計算A'!$IQ$35=2,SUMPRODUCT('計算A'!$D$85:$II$85,$CW25:$MB25,$MD25:$VI25),SUMPRODUCT('計算A'!$D$85:$II$85,$CW25:$MB25))*1000+26)</f>
        <v/>
      </c>
      <c r="CC25">
        <f>IF(AI25=1,1000000,IF('計算A'!$IQ$36=2,SUMPRODUCT('計算A'!$D$86:$II$86,$CW25:$MB25,$MD25:$VI25),SUMPRODUCT('計算A'!$D$86:$II$86,$CW25:$MB25))*1000+27)</f>
        <v/>
      </c>
      <c r="CD25">
        <f>IF(AJ25=1,1000000,IF('計算A'!$IQ$37=2,SUMPRODUCT('計算A'!$D$87:$II$87,$CW25:$MB25,$MD25:$VI25),SUMPRODUCT('計算A'!$D$87:$II$87,$CW25:$MB25))*1000+28)</f>
        <v/>
      </c>
      <c r="CE25">
        <f>IF(AK25=1,1000000,IF('計算A'!$IQ$38=2,SUMPRODUCT('計算A'!$D$88:$II$88,$CW25:$MB25,$MD25:$VI25),SUMPRODUCT('計算A'!$D$88:$II$88,$CW25:$MB25))*1000+29)</f>
        <v/>
      </c>
      <c r="CF25">
        <f>IF(AL25=1,1000000,IF('計算A'!$IQ$39=2,SUMPRODUCT('計算A'!$D$89:$II$89,$CW25:$MB25,$MD25:$VI25),SUMPRODUCT('計算A'!$D$89:$II$89,$CW25:$MB25))*1000+30)</f>
        <v/>
      </c>
      <c r="CG25">
        <f>IF(AM25=1,1000000,IF('計算A'!$IQ$40=2,SUMPRODUCT('計算A'!$D$90:$II$90,$CW25:$MB25,$MD25:$VI25),SUMPRODUCT('計算A'!$D$90:$II$90,$CW25:$MB25))*1000+31)</f>
        <v/>
      </c>
      <c r="CH25">
        <f>IF(AN25=1,1000000,IF('計算A'!$IQ$41=2,SUMPRODUCT('計算A'!$D$91:$II$91,$CW25:$MB25,$MD25:$VI25),SUMPRODUCT('計算A'!$D$91:$II$91,$CW25:$MB25))*1000+32)</f>
        <v/>
      </c>
      <c r="CI25">
        <f>IF(AO25=1,1000000,IF('計算A'!$IQ$42=2,SUMPRODUCT('計算A'!$D$92:$II$92,$CW25:$MB25,$MD25:$VI25),SUMPRODUCT('計算A'!$D$92:$II$92,$CW25:$MB25))*1000+33)</f>
        <v/>
      </c>
      <c r="CJ25">
        <f>IF(AP25=1,1000000,IF('計算A'!$IQ$43=2,SUMPRODUCT('計算A'!$D$93:$II$93,$CW25:$MB25,$MD25:$VI25),SUMPRODUCT('計算A'!$D$93:$II$93,$CW25:$MB25))*1000+34)</f>
        <v/>
      </c>
      <c r="CK25">
        <f>IF(AQ25=1,1000000,IF('計算A'!$IQ$44=2,SUMPRODUCT('計算A'!$D$94:$II$94,$CW25:$MB25,$MD25:$VI25),SUMPRODUCT('計算A'!$D$94:$II$94,$CW25:$MB25))*1000+35)</f>
        <v/>
      </c>
      <c r="CL25">
        <f>IF(AR25=1,1000000,IF('計算A'!$IQ$45=2,SUMPRODUCT('計算A'!$D$95:$II$95,$CW25:$MB25,$MD25:$VI25),SUMPRODUCT('計算A'!$D$95:$II$95,$CW25:$MB25))*1000+36)</f>
        <v/>
      </c>
      <c r="CM25">
        <f>IF(AS25=1,1000000,IF('計算A'!$IQ$46=2,SUMPRODUCT('計算A'!$D$96:$II$96,$CW25:$MB25,$MD25:$VI25),SUMPRODUCT('計算A'!$D$96:$II$96,$CW25:$MB25))*1000+37)</f>
        <v/>
      </c>
      <c r="CN25">
        <f>IF(AT25=1,1000000,IF('計算A'!$IQ$47=2,SUMPRODUCT('計算A'!$D$97:$II$97,$CW25:$MB25,$MD25:$VI25),SUMPRODUCT('計算A'!$D$97:$II$97,$CW25:$MB25))*1000+38)</f>
        <v/>
      </c>
      <c r="CO25">
        <f>IF(AU25=1,1000000,IF('計算A'!$IQ$48=2,SUMPRODUCT('計算A'!$D$98:$II$98,$CW25:$MB25,$MD25:$VI25),SUMPRODUCT('計算A'!$D$98:$II$98,$CW25:$MB25))*1000+39)</f>
        <v/>
      </c>
      <c r="CP25">
        <f>IF(AV25=1,1000000,IF('計算A'!$IQ$49=2,SUMPRODUCT('計算A'!$D$99:$II$99,$CW25:$MB25,$MD25:$VI25),SUMPRODUCT('計算A'!$D$99:$II$99,$CW25:$MB25))*1000+40)</f>
        <v/>
      </c>
      <c r="CQ25">
        <f>IF(AW25=1,1000000,IF('計算A'!$IQ$50=2,SUMPRODUCT('計算A'!$D$100:$II$100,$CW25:$MB25,$MD25:$VI25),SUMPRODUCT('計算A'!$D$100:$II$100,$CW25:$MB25))*1000+41)</f>
        <v/>
      </c>
      <c r="CR25">
        <f>IF(AX25=1,1000000,IF('計算A'!$IQ$51=2,SUMPRODUCT('計算A'!$D$101:$II$101,$CW25:$MB25,$MD25:$VI25),SUMPRODUCT('計算A'!$D$101:$II$101,$CW25:$MB25))*1000+42)</f>
        <v/>
      </c>
      <c r="CS25">
        <f>IF(AY25=1,1000000,IF('計算A'!$IQ$52=2,SUMPRODUCT('計算A'!$D$102:$II$102,$CW25:$MB25,$MD25:$VI25),SUMPRODUCT('計算A'!$D$102:$II$102,$CW25:$MB25))*1000+43)</f>
        <v/>
      </c>
      <c r="CT25">
        <f>IF(AZ25=1,1000000,IF('計算A'!$IQ$53=2,SUMPRODUCT('計算A'!$D$103:$II$103,$CW25:$MB25,$MD25:$VI25),SUMPRODUCT('計算A'!$D$103:$II$103,$CW25:$MB25))*1000+44)</f>
        <v/>
      </c>
      <c r="CU25">
        <f>IF(BA25=1,1000000,IF('計算A'!$IQ$54=2,SUMPRODUCT('計算A'!$D$104:$II$104,$CW25:$MB25,$MD25:$VI25),SUMPRODUCT('計算A'!$D$104:$II$104,$CW25:$MB25))*1000+45)</f>
        <v/>
      </c>
      <c r="CW25">
        <f>CW24*IF(OR($C24=1,$G24=1),0,1)</f>
        <v/>
      </c>
      <c r="CX25">
        <f>CX24*IF(OR($C24=2,$G24=2),0,1)</f>
        <v/>
      </c>
      <c r="CY25">
        <f>CY24*IF(OR($C24=3,$G24=3),0,1)</f>
        <v/>
      </c>
      <c r="CZ25">
        <f>CZ24*IF(OR($C24=4,$G24=4),0,1)</f>
        <v/>
      </c>
      <c r="DA25">
        <f>DA24*IF(OR($C24=5,$G24=5),0,1)</f>
        <v/>
      </c>
      <c r="DB25">
        <f>DB24*IF(OR($C24=6,$G24=6),0,1)</f>
        <v/>
      </c>
      <c r="DC25">
        <f>DC24*IF(OR($C24=7,$G24=7),0,1)</f>
        <v/>
      </c>
      <c r="DD25">
        <f>DD24*IF(OR($C24=8,$G24=8),0,1)</f>
        <v/>
      </c>
      <c r="DE25">
        <f>DE24*IF(OR($C24=9,$G24=9),0,1)</f>
        <v/>
      </c>
      <c r="DF25">
        <f>DF24*IF(OR($C24=10,$G24=10),0,1)</f>
        <v/>
      </c>
      <c r="DG25">
        <f>DG24*IF(OR($C24=11,$G24=11),0,1)</f>
        <v/>
      </c>
      <c r="DH25">
        <f>DH24*IF(OR($C24=12,$G24=12),0,1)</f>
        <v/>
      </c>
      <c r="DI25">
        <f>DI24*IF(OR($C24=13,$G24=13),0,1)</f>
        <v/>
      </c>
      <c r="DJ25">
        <f>DJ24*IF(OR($C24=14,$G24=14),0,1)</f>
        <v/>
      </c>
      <c r="DK25">
        <f>DK24*IF(OR($C24=15,$G24=15),0,1)</f>
        <v/>
      </c>
      <c r="DL25">
        <f>DL24*IF(OR($C24=16,$G24=16),0,1)</f>
        <v/>
      </c>
      <c r="DM25">
        <f>DM24*IF(OR($C24=17,$G24=17),0,1)</f>
        <v/>
      </c>
      <c r="DN25">
        <f>DN24*IF(OR($C24=18,$G24=18),0,1)</f>
        <v/>
      </c>
      <c r="DO25">
        <f>DO24*IF(OR($C24=19,$G24=19),0,1)</f>
        <v/>
      </c>
      <c r="DP25">
        <f>DP24*IF(OR($C24=20,$G24=20),0,1)</f>
        <v/>
      </c>
      <c r="DQ25">
        <f>DQ24*IF(OR($C24=21,$G24=21),0,1)</f>
        <v/>
      </c>
      <c r="DR25">
        <f>DR24*IF(OR($C24=22,$G24=22),0,1)</f>
        <v/>
      </c>
      <c r="DS25">
        <f>DS24*IF(OR($C24=23,$G24=23),0,1)</f>
        <v/>
      </c>
      <c r="DT25">
        <f>DT24*IF(OR($C24=24,$G24=24),0,1)</f>
        <v/>
      </c>
      <c r="DU25">
        <f>DU24*IF(OR($C24=25,$G24=25),0,1)</f>
        <v/>
      </c>
      <c r="DV25">
        <f>DV24*IF(OR($C24=26,$G24=26),0,1)</f>
        <v/>
      </c>
      <c r="DW25">
        <f>DW24*IF(OR($C24=27,$G24=27),0,1)</f>
        <v/>
      </c>
      <c r="DX25">
        <f>DX24*IF(OR($C24=28,$G24=28),0,1)</f>
        <v/>
      </c>
      <c r="DY25">
        <f>DY24*IF(OR($C24=29,$G24=29),0,1)</f>
        <v/>
      </c>
      <c r="DZ25">
        <f>DZ24*IF(OR($C24=30,$G24=30),0,1)</f>
        <v/>
      </c>
      <c r="EA25">
        <f>EA24*IF(OR($C24=31,$G24=31),0,1)</f>
        <v/>
      </c>
      <c r="EB25">
        <f>EB24*IF(OR($C24=32,$G24=32),0,1)</f>
        <v/>
      </c>
      <c r="EC25">
        <f>EC24*IF(OR($C24=33,$G24=33),0,1)</f>
        <v/>
      </c>
      <c r="ED25">
        <f>ED24*IF(OR($C24=34,$G24=34),0,1)</f>
        <v/>
      </c>
      <c r="EE25">
        <f>EE24*IF(OR($C24=35,$G24=35),0,1)</f>
        <v/>
      </c>
      <c r="EF25">
        <f>EF24*IF(OR($C24=36,$G24=36),0,1)</f>
        <v/>
      </c>
      <c r="EG25">
        <f>EG24*IF(OR($C24=37,$G24=37),0,1)</f>
        <v/>
      </c>
      <c r="EH25">
        <f>EH24*IF(OR($C24=38,$G24=38),0,1)</f>
        <v/>
      </c>
      <c r="EI25">
        <f>EI24*IF(OR($C24=39,$G24=39),0,1)</f>
        <v/>
      </c>
      <c r="EJ25">
        <f>EJ24*IF(OR($C24=40,$G24=40),0,1)</f>
        <v/>
      </c>
      <c r="EK25">
        <f>EK24*IF(OR($C24=41,$G24=41),0,1)</f>
        <v/>
      </c>
      <c r="EL25">
        <f>EL24*IF(OR($C24=42,$G24=42),0,1)</f>
        <v/>
      </c>
      <c r="EM25">
        <f>EM24*IF(OR($C24=43,$G24=43),0,1)</f>
        <v/>
      </c>
      <c r="EN25">
        <f>EN24*IF(OR($C24=44,$G24=44),0,1)</f>
        <v/>
      </c>
      <c r="EO25">
        <f>EO24*IF(OR($C24=45,$G24=45),0,1)</f>
        <v/>
      </c>
      <c r="EP25">
        <f>EP24*IF(OR($C24=46,$G24=46),0,1)</f>
        <v/>
      </c>
      <c r="EQ25">
        <f>EQ24*IF(OR($C24=47,$G24=47),0,1)</f>
        <v/>
      </c>
      <c r="ER25">
        <f>ER24*IF(OR($C24=48,$G24=48),0,1)</f>
        <v/>
      </c>
      <c r="ES25">
        <f>ES24*IF(OR($C24=49,$G24=49),0,1)</f>
        <v/>
      </c>
      <c r="ET25">
        <f>ET24*IF(OR($C24=50,$G24=50),0,1)</f>
        <v/>
      </c>
      <c r="EU25">
        <f>EU24*IF(OR($C24=51,$G24=51),0,1)</f>
        <v/>
      </c>
      <c r="EV25">
        <f>EV24*IF(OR($C24=52,$G24=52),0,1)</f>
        <v/>
      </c>
      <c r="EW25">
        <f>EW24*IF(OR($C24=53,$G24=53),0,1)</f>
        <v/>
      </c>
      <c r="EX25">
        <f>EX24*IF(OR($C24=54,$G24=54),0,1)</f>
        <v/>
      </c>
      <c r="EY25">
        <f>EY24*IF(OR($C24=55,$G24=55),0,1)</f>
        <v/>
      </c>
      <c r="EZ25">
        <f>EZ24*IF(OR($C24=56,$G24=56),0,1)</f>
        <v/>
      </c>
      <c r="FA25">
        <f>FA24*IF(OR($C24=57,$G24=57),0,1)</f>
        <v/>
      </c>
      <c r="FB25">
        <f>FB24*IF(OR($C24=58,$G24=58),0,1)</f>
        <v/>
      </c>
      <c r="FC25">
        <f>FC24*IF(OR($C24=59,$G24=59),0,1)</f>
        <v/>
      </c>
      <c r="FD25">
        <f>FD24*IF(OR($C24=60,$G24=60),0,1)</f>
        <v/>
      </c>
      <c r="FE25">
        <f>FE24*IF(OR($C24=61,$G24=61),0,1)</f>
        <v/>
      </c>
      <c r="FF25">
        <f>FF24*IF(OR($C24=62,$G24=62),0,1)</f>
        <v/>
      </c>
      <c r="FG25">
        <f>FG24*IF(OR($C24=63,$G24=63),0,1)</f>
        <v/>
      </c>
      <c r="FH25">
        <f>FH24*IF(OR($C24=64,$G24=64),0,1)</f>
        <v/>
      </c>
      <c r="FI25">
        <f>FI24*IF(OR($C24=65,$G24=65),0,1)</f>
        <v/>
      </c>
      <c r="FJ25">
        <f>FJ24*IF(OR($C24=66,$G24=66),0,1)</f>
        <v/>
      </c>
      <c r="FK25">
        <f>FK24*IF(OR($C24=67,$G24=67),0,1)</f>
        <v/>
      </c>
      <c r="FL25">
        <f>FL24*IF(OR($C24=68,$G24=68),0,1)</f>
        <v/>
      </c>
      <c r="FM25">
        <f>FM24*IF(OR($C24=69,$G24=69),0,1)</f>
        <v/>
      </c>
      <c r="FN25">
        <f>FN24*IF(OR($C24=70,$G24=70),0,1)</f>
        <v/>
      </c>
      <c r="FO25">
        <f>FO24*IF(OR($C24=71,$G24=71),0,1)</f>
        <v/>
      </c>
      <c r="FP25">
        <f>FP24*IF(OR($C24=72,$G24=72),0,1)</f>
        <v/>
      </c>
      <c r="FQ25">
        <f>FQ24*IF(OR($C24=73,$G24=73),0,1)</f>
        <v/>
      </c>
      <c r="FR25">
        <f>FR24*IF(OR($C24=74,$G24=74),0,1)</f>
        <v/>
      </c>
      <c r="FS25">
        <f>FS24*IF(OR($C24=75,$G24=75),0,1)</f>
        <v/>
      </c>
      <c r="FT25">
        <f>FT24*IF(OR($C24=76,$G24=76),0,1)</f>
        <v/>
      </c>
      <c r="FU25">
        <f>FU24*IF(OR($C24=77,$G24=77),0,1)</f>
        <v/>
      </c>
      <c r="FV25">
        <f>FV24*IF(OR($C24=78,$G24=78),0,1)</f>
        <v/>
      </c>
      <c r="FW25">
        <f>FW24*IF(OR($C24=79,$G24=79),0,1)</f>
        <v/>
      </c>
      <c r="FX25">
        <f>FX24*IF(OR($C24=80,$G24=80),0,1)</f>
        <v/>
      </c>
      <c r="FY25">
        <f>FY24*IF(OR($C24=81,$G24=81),0,1)</f>
        <v/>
      </c>
      <c r="FZ25">
        <f>FZ24*IF(OR($C24=82,$G24=82),0,1)</f>
        <v/>
      </c>
      <c r="GA25">
        <f>GA24*IF(OR($C24=83,$G24=83),0,1)</f>
        <v/>
      </c>
      <c r="GB25">
        <f>GB24*IF(OR($C24=84,$G24=84),0,1)</f>
        <v/>
      </c>
      <c r="GC25">
        <f>GC24*IF(OR($C24=85,$G24=85),0,1)</f>
        <v/>
      </c>
      <c r="GD25">
        <f>GD24*IF(OR($C24=86,$G24=86),0,1)</f>
        <v/>
      </c>
      <c r="GE25">
        <f>GE24*IF(OR($C24=87,$G24=87),0,1)</f>
        <v/>
      </c>
      <c r="GF25">
        <f>GF24*IF(OR($C24=88,$G24=88),0,1)</f>
        <v/>
      </c>
      <c r="GG25">
        <f>GG24*IF(OR($C24=89,$G24=89),0,1)</f>
        <v/>
      </c>
      <c r="GH25">
        <f>GH24*IF(OR($C24=90,$G24=90),0,1)</f>
        <v/>
      </c>
      <c r="GI25">
        <f>GI24*IF(OR($C24=91,$G24=91),0,1)</f>
        <v/>
      </c>
      <c r="GJ25">
        <f>GJ24*IF(OR($C24=92,$G24=92),0,1)</f>
        <v/>
      </c>
      <c r="GK25">
        <f>GK24*IF(OR($C24=93,$G24=93),0,1)</f>
        <v/>
      </c>
      <c r="GL25">
        <f>GL24*IF(OR($C24=94,$G24=94),0,1)</f>
        <v/>
      </c>
      <c r="GM25">
        <f>GM24*IF(OR($C24=95,$G24=95),0,1)</f>
        <v/>
      </c>
      <c r="GN25">
        <f>GN24*IF(OR($C24=96,$G24=96),0,1)</f>
        <v/>
      </c>
      <c r="GO25">
        <f>GO24*IF(OR($C24=97,$G24=97),0,1)</f>
        <v/>
      </c>
      <c r="GP25">
        <f>GP24*IF(OR($C24=98,$G24=98),0,1)</f>
        <v/>
      </c>
      <c r="GQ25">
        <f>GQ24*IF(OR($C24=99,$G24=99),0,1)</f>
        <v/>
      </c>
      <c r="GR25">
        <f>GR24*IF(OR($C24=100,$G24=100),0,1)</f>
        <v/>
      </c>
      <c r="GS25">
        <f>GS24*IF(OR($C24=101,$G24=101),0,1)</f>
        <v/>
      </c>
      <c r="GT25">
        <f>GT24*IF(OR($C24=102,$G24=102),0,1)</f>
        <v/>
      </c>
      <c r="GU25">
        <f>GU24*IF(OR($C24=103,$G24=103),0,1)</f>
        <v/>
      </c>
      <c r="GV25">
        <f>GV24*IF(OR($C24=104,$G24=104),0,1)</f>
        <v/>
      </c>
      <c r="GW25">
        <f>GW24*IF(OR($C24=105,$G24=105),0,1)</f>
        <v/>
      </c>
      <c r="GX25">
        <f>GX24*IF(OR($C24=106,$G24=106),0,1)</f>
        <v/>
      </c>
      <c r="GY25">
        <f>GY24*IF(OR($C24=107,$G24=107),0,1)</f>
        <v/>
      </c>
      <c r="GZ25">
        <f>GZ24*IF(OR($C24=108,$G24=108),0,1)</f>
        <v/>
      </c>
      <c r="HA25">
        <f>HA24*IF(OR($C24=109,$G24=109),0,1)</f>
        <v/>
      </c>
      <c r="HB25">
        <f>HB24*IF(OR($C24=110,$G24=110),0,1)</f>
        <v/>
      </c>
      <c r="HC25">
        <f>HC24*IF(OR($C24=111,$G24=111),0,1)</f>
        <v/>
      </c>
      <c r="HD25">
        <f>HD24*IF(OR($C24=112,$G24=112),0,1)</f>
        <v/>
      </c>
      <c r="HE25">
        <f>HE24*IF(OR($C24=113,$G24=113),0,1)</f>
        <v/>
      </c>
      <c r="HF25">
        <f>HF24*IF(OR($C24=114,$G24=114),0,1)</f>
        <v/>
      </c>
      <c r="HG25">
        <f>HG24*IF(OR($C24=115,$G24=115),0,1)</f>
        <v/>
      </c>
      <c r="HH25">
        <f>HH24*IF(OR($C24=116,$G24=116),0,1)</f>
        <v/>
      </c>
      <c r="HI25">
        <f>HI24*IF(OR($C24=117,$G24=117),0,1)</f>
        <v/>
      </c>
      <c r="HJ25">
        <f>HJ24*IF(OR($C24=118,$G24=118),0,1)</f>
        <v/>
      </c>
      <c r="HK25">
        <f>HK24*IF(OR($C24=119,$G24=119),0,1)</f>
        <v/>
      </c>
      <c r="HL25">
        <f>HL24*IF(OR($C24=120,$G24=120),0,1)</f>
        <v/>
      </c>
      <c r="HM25">
        <f>HM24*IF(OR($C24=121,$G24=121),0,1)</f>
        <v/>
      </c>
      <c r="HN25">
        <f>HN24*IF(OR($C24=122,$G24=122),0,1)</f>
        <v/>
      </c>
      <c r="HO25">
        <f>HO24*IF(OR($C24=123,$G24=123),0,1)</f>
        <v/>
      </c>
      <c r="HP25">
        <f>HP24*IF(OR($C24=124,$G24=124),0,1)</f>
        <v/>
      </c>
      <c r="HQ25">
        <f>HQ24*IF(OR($C24=125,$G24=125),0,1)</f>
        <v/>
      </c>
      <c r="HR25">
        <f>HR24*IF(OR($C24=126,$G24=126),0,1)</f>
        <v/>
      </c>
      <c r="HS25">
        <f>HS24*IF(OR($C24=127,$G24=127),0,1)</f>
        <v/>
      </c>
      <c r="HT25">
        <f>HT24*IF(OR($C24=128,$G24=128),0,1)</f>
        <v/>
      </c>
      <c r="HU25">
        <f>HU24*IF(OR($C24=129,$G24=129),0,1)</f>
        <v/>
      </c>
      <c r="HV25">
        <f>HV24*IF(OR($C24=130,$G24=130),0,1)</f>
        <v/>
      </c>
      <c r="HW25">
        <f>HW24*IF(OR($C24=131,$G24=131),0,1)</f>
        <v/>
      </c>
      <c r="HX25">
        <f>HX24*IF(OR($C24=132,$G24=132),0,1)</f>
        <v/>
      </c>
      <c r="HY25">
        <f>HY24*IF(OR($C24=133,$G24=133),0,1)</f>
        <v/>
      </c>
      <c r="HZ25">
        <f>HZ24*IF(OR($C24=134,$G24=134),0,1)</f>
        <v/>
      </c>
      <c r="IA25">
        <f>IA24*IF(OR($C24=135,$G24=135),0,1)</f>
        <v/>
      </c>
      <c r="IB25">
        <f>IB24*IF(OR($C24=136,$G24=136),0,1)</f>
        <v/>
      </c>
      <c r="IC25">
        <f>IC24*IF(OR($C24=137,$G24=137),0,1)</f>
        <v/>
      </c>
      <c r="ID25">
        <f>ID24*IF(OR($C24=138,$G24=138),0,1)</f>
        <v/>
      </c>
      <c r="IE25">
        <f>IE24*IF(OR($C24=139,$G24=139),0,1)</f>
        <v/>
      </c>
      <c r="IF25">
        <f>IF24*IF(OR($C24=140,$G24=140),0,1)</f>
        <v/>
      </c>
      <c r="IG25">
        <f>IG24*IF(OR($C24=141,$G24=141),0,1)</f>
        <v/>
      </c>
      <c r="IH25">
        <f>IH24*IF(OR($C24=142,$G24=142),0,1)</f>
        <v/>
      </c>
      <c r="II25">
        <f>II24*IF(OR($C24=143,$G24=143),0,1)</f>
        <v/>
      </c>
      <c r="IJ25">
        <f>IJ24*IF(OR($C24=144,$G24=144),0,1)</f>
        <v/>
      </c>
      <c r="IK25">
        <f>IK24*IF(OR($C24=145,$G24=145),0,1)</f>
        <v/>
      </c>
      <c r="IL25">
        <f>IL24*IF(OR($C24=146,$G24=146),0,1)</f>
        <v/>
      </c>
      <c r="IM25">
        <f>IM24*IF(OR($C24=147,$G24=147),0,1)</f>
        <v/>
      </c>
      <c r="IN25">
        <f>IN24*IF(OR($C24=148,$G24=148),0,1)</f>
        <v/>
      </c>
      <c r="IO25">
        <f>IO24*IF(OR($C24=149,$G24=149),0,1)</f>
        <v/>
      </c>
      <c r="IP25">
        <f>IP24*IF(OR($C24=150,$G24=150),0,1)</f>
        <v/>
      </c>
      <c r="IQ25">
        <f>IQ24*IF(OR($C24=151,$G24=151),0,1)</f>
        <v/>
      </c>
      <c r="IR25">
        <f>IR24*IF(OR($C24=152,$G24=152),0,1)</f>
        <v/>
      </c>
      <c r="IS25">
        <f>IS24*IF(OR($C24=153,$G24=153),0,1)</f>
        <v/>
      </c>
      <c r="IT25">
        <f>IT24*IF(OR($C24=154,$G24=154),0,1)</f>
        <v/>
      </c>
      <c r="IU25">
        <f>IU24*IF(OR($C24=155,$G24=155),0,1)</f>
        <v/>
      </c>
      <c r="IV25">
        <f>IV24*IF(OR($C24=156,$G24=156),0,1)</f>
        <v/>
      </c>
      <c r="IW25">
        <f>IW24*IF(OR($C24=157,$G24=157),0,1)</f>
        <v/>
      </c>
      <c r="IX25">
        <f>IX24*IF(OR($C24=158,$G24=158),0,1)</f>
        <v/>
      </c>
      <c r="IY25">
        <f>IY24*IF(OR($C24=159,$G24=159),0,1)</f>
        <v/>
      </c>
      <c r="IZ25">
        <f>IZ24*IF(OR($C24=160,$G24=160),0,1)</f>
        <v/>
      </c>
      <c r="JA25">
        <f>JA24*IF(OR($C24=161,$G24=161),0,1)</f>
        <v/>
      </c>
      <c r="JB25">
        <f>JB24*IF(OR($C24=162,$G24=162),0,1)</f>
        <v/>
      </c>
      <c r="JC25">
        <f>JC24*IF(OR($C24=163,$G24=163),0,1)</f>
        <v/>
      </c>
      <c r="JD25">
        <f>JD24*IF(OR($C24=164,$G24=164),0,1)</f>
        <v/>
      </c>
      <c r="JE25">
        <f>JE24*IF(OR($C24=165,$G24=165),0,1)</f>
        <v/>
      </c>
      <c r="JF25">
        <f>JF24*IF(OR($C24=166,$G24=166),0,1)</f>
        <v/>
      </c>
      <c r="JG25">
        <f>JG24*IF(OR($C24=167,$G24=167),0,1)</f>
        <v/>
      </c>
      <c r="JH25">
        <f>JH24*IF(OR($C24=168,$G24=168),0,1)</f>
        <v/>
      </c>
      <c r="JI25">
        <f>JI24*IF(OR($C24=169,$G24=169),0,1)</f>
        <v/>
      </c>
      <c r="JJ25">
        <f>JJ24*IF(OR($C24=170,$G24=170),0,1)</f>
        <v/>
      </c>
      <c r="JK25">
        <f>JK24*IF(OR($C24=171,$G24=171),0,1)</f>
        <v/>
      </c>
      <c r="JL25">
        <f>JL24*IF(OR($C24=172,$G24=172),0,1)</f>
        <v/>
      </c>
      <c r="JM25">
        <f>JM24*IF(OR($C24=173,$G24=173),0,1)</f>
        <v/>
      </c>
      <c r="JN25">
        <f>JN24*IF(OR($C24=174,$G24=174),0,1)</f>
        <v/>
      </c>
      <c r="JO25">
        <f>JO24*IF(OR($C24=175,$G24=175),0,1)</f>
        <v/>
      </c>
      <c r="JP25">
        <f>JP24*IF(OR($C24=176,$G24=176),0,1)</f>
        <v/>
      </c>
      <c r="JQ25">
        <f>JQ24*IF(OR($C24=177,$G24=177),0,1)</f>
        <v/>
      </c>
      <c r="JR25">
        <f>JR24*IF(OR($C24=178,$G24=178),0,1)</f>
        <v/>
      </c>
      <c r="JS25">
        <f>JS24*IF(OR($C24=179,$G24=179),0,1)</f>
        <v/>
      </c>
      <c r="JT25">
        <f>JT24*IF(OR($C24=180,$G24=180),0,1)</f>
        <v/>
      </c>
      <c r="JU25">
        <f>JU24*IF(OR($C24=181,$G24=181),0,1)</f>
        <v/>
      </c>
      <c r="JV25">
        <f>JV24*IF(OR($C24=182,$G24=182),0,1)</f>
        <v/>
      </c>
      <c r="JW25">
        <f>JW24*IF(OR($C24=183,$G24=183),0,1)</f>
        <v/>
      </c>
      <c r="JX25">
        <f>JX24*IF(OR($C24=184,$G24=184),0,1)</f>
        <v/>
      </c>
      <c r="JY25">
        <f>JY24*IF(OR($C24=185,$G24=185),0,1)</f>
        <v/>
      </c>
      <c r="JZ25">
        <f>JZ24*IF(OR($C24=186,$G24=186),0,1)</f>
        <v/>
      </c>
      <c r="KA25">
        <f>KA24*IF(OR($C24=187,$G24=187),0,1)</f>
        <v/>
      </c>
      <c r="KB25">
        <f>KB24*IF(OR($C24=188,$G24=188),0,1)</f>
        <v/>
      </c>
      <c r="KC25">
        <f>KC24*IF(OR($C24=189,$G24=189),0,1)</f>
        <v/>
      </c>
      <c r="KD25">
        <f>KD24*IF(OR($C24=190,$G24=190),0,1)</f>
        <v/>
      </c>
      <c r="KE25">
        <f>KE24*IF(OR($C24=191,$G24=191),0,1)</f>
        <v/>
      </c>
      <c r="KF25">
        <f>KF24*IF(OR($C24=192,$G24=192),0,1)</f>
        <v/>
      </c>
      <c r="KG25">
        <f>KG24*IF(OR($C24=193,$G24=193),0,1)</f>
        <v/>
      </c>
      <c r="KH25">
        <f>KH24*IF(OR($C24=194,$G24=194),0,1)</f>
        <v/>
      </c>
      <c r="KI25">
        <f>KI24*IF(OR($C24=195,$G24=195),0,1)</f>
        <v/>
      </c>
      <c r="KJ25">
        <f>KJ24*IF(OR($C24=196,$G24=196),0,1)</f>
        <v/>
      </c>
      <c r="KK25">
        <f>KK24*IF(OR($C24=197,$G24=197),0,1)</f>
        <v/>
      </c>
      <c r="KL25">
        <f>KL24*IF(OR($C24=198,$G24=198),0,1)</f>
        <v/>
      </c>
      <c r="KM25">
        <f>KM24*IF(OR($C24=199,$G24=199),0,1)</f>
        <v/>
      </c>
      <c r="KN25">
        <f>KN24*IF(OR($C24=200,$G24=200),0,1)</f>
        <v/>
      </c>
      <c r="KO25">
        <f>KO24*IF(OR($C24=201,$G24=201),0,1)</f>
        <v/>
      </c>
      <c r="KP25">
        <f>KP24*IF(OR($C24=202,$G24=202),0,1)</f>
        <v/>
      </c>
      <c r="KQ25">
        <f>KQ24*IF(OR($C24=203,$G24=203),0,1)</f>
        <v/>
      </c>
      <c r="KR25">
        <f>KR24*IF(OR($C24=204,$G24=204),0,1)</f>
        <v/>
      </c>
      <c r="KS25">
        <f>KS24*IF(OR($C24=205,$G24=205),0,1)</f>
        <v/>
      </c>
      <c r="KT25">
        <f>KT24*IF(OR($C24=206,$G24=206),0,1)</f>
        <v/>
      </c>
      <c r="KU25">
        <f>KU24*IF(OR($C24=207,$G24=207),0,1)</f>
        <v/>
      </c>
      <c r="KV25">
        <f>KV24*IF(OR($C24=208,$G24=208),0,1)</f>
        <v/>
      </c>
      <c r="KW25">
        <f>KW24*IF(OR($C24=209,$G24=209),0,1)</f>
        <v/>
      </c>
      <c r="KX25">
        <f>KX24*IF(OR($C24=210,$G24=210),0,1)</f>
        <v/>
      </c>
      <c r="KY25">
        <f>KY24*IF(OR($C24=211,$G24=211),0,1)</f>
        <v/>
      </c>
      <c r="KZ25">
        <f>KZ24*IF(OR($C24=212,$G24=212),0,1)</f>
        <v/>
      </c>
      <c r="LA25">
        <f>LA24*IF(OR($C24=213,$G24=213),0,1)</f>
        <v/>
      </c>
      <c r="LB25">
        <f>LB24*IF(OR($C24=214,$G24=214),0,1)</f>
        <v/>
      </c>
      <c r="LC25">
        <f>LC24*IF(OR($C24=215,$G24=215),0,1)</f>
        <v/>
      </c>
      <c r="LD25">
        <f>LD24*IF(OR($C24=216,$G24=216),0,1)</f>
        <v/>
      </c>
      <c r="LE25">
        <f>LE24*IF(OR($C24=217,$G24=217),0,1)</f>
        <v/>
      </c>
      <c r="LF25">
        <f>LF24*IF(OR($C24=218,$G24=218),0,1)</f>
        <v/>
      </c>
      <c r="LG25">
        <f>LG24*IF(OR($C24=219,$G24=219),0,1)</f>
        <v/>
      </c>
      <c r="LH25">
        <f>LH24*IF(OR($C24=220,$G24=220),0,1)</f>
        <v/>
      </c>
      <c r="LI25">
        <f>LI24*IF(OR($C24=221,$G24=221),0,1)</f>
        <v/>
      </c>
      <c r="LJ25">
        <f>LJ24*IF(OR($C24=222,$G24=222),0,1)</f>
        <v/>
      </c>
      <c r="LK25">
        <f>LK24*IF(OR($C24=223,$G24=223),0,1)</f>
        <v/>
      </c>
      <c r="LL25">
        <f>LL24*IF(OR($C24=224,$G24=224),0,1)</f>
        <v/>
      </c>
      <c r="LM25">
        <f>LM24*IF(OR($C24=225,$G24=225),0,1)</f>
        <v/>
      </c>
      <c r="LN25">
        <f>LN24*IF(OR($C24=226,$G24=226),0,1)</f>
        <v/>
      </c>
      <c r="LO25">
        <f>LO24*IF(OR($C24=227,$G24=227),0,1)</f>
        <v/>
      </c>
      <c r="LP25">
        <f>LP24*IF(OR($C24=228,$G24=228),0,1)</f>
        <v/>
      </c>
      <c r="LQ25">
        <f>LQ24*IF(OR($C24=229,$G24=229),0,1)</f>
        <v/>
      </c>
      <c r="LR25">
        <f>LR24*IF(OR($C24=230,$G24=230),0,1)</f>
        <v/>
      </c>
      <c r="LS25">
        <f>LS24*IF(OR($C24=231,$G24=231),0,1)</f>
        <v/>
      </c>
      <c r="LT25">
        <f>LT24*IF(OR($C24=232,$G24=232),0,1)</f>
        <v/>
      </c>
      <c r="LU25">
        <f>LU24*IF(OR($C24=233,$G24=233),0,1)</f>
        <v/>
      </c>
      <c r="LV25">
        <f>LV24*IF(OR($C24=234,$G24=234),0,1)</f>
        <v/>
      </c>
      <c r="LW25">
        <f>LW24*IF(OR($C24=235,$G24=235),0,1)</f>
        <v/>
      </c>
      <c r="LX25">
        <f>LX24*IF(OR($C24=236,$G24=236),0,1)</f>
        <v/>
      </c>
      <c r="LY25">
        <f>LY24*IF(OR($C24=237,$G24=237),0,1)</f>
        <v/>
      </c>
      <c r="LZ25">
        <f>LZ24*IF(OR($C24=238,$G24=238),0,1)</f>
        <v/>
      </c>
      <c r="MA25">
        <f>MA24*IF(OR($C24=239,$G24=239),0,1)</f>
        <v/>
      </c>
      <c r="MB25">
        <f>MB24*IF(OR($C24=240,$G24=240),0,1)</f>
        <v/>
      </c>
      <c r="MD25">
        <f>IF('計算A'!D$106=1,CX25,1)</f>
        <v/>
      </c>
      <c r="ME25">
        <f>IF('計算A'!E$106=1,CY25,1)</f>
        <v/>
      </c>
      <c r="MF25">
        <f>IF('計算A'!F$106=1,CZ25,1)</f>
        <v/>
      </c>
      <c r="MG25">
        <f>IF('計算A'!G$106=1,DA25,1)</f>
        <v/>
      </c>
      <c r="MH25">
        <f>IF('計算A'!H$106=1,DB25,1)</f>
        <v/>
      </c>
      <c r="MI25">
        <f>IF('計算A'!I$106=1,DC25,1)</f>
        <v/>
      </c>
      <c r="MJ25">
        <f>IF('計算A'!J$106=1,DD25,1)</f>
        <v/>
      </c>
      <c r="MK25">
        <f>IF('計算A'!K$106=1,DE25,1)</f>
        <v/>
      </c>
      <c r="ML25">
        <f>IF('計算A'!L$106=1,DF25,1)</f>
        <v/>
      </c>
      <c r="MM25">
        <f>IF('計算A'!M$106=1,DG25,1)</f>
        <v/>
      </c>
      <c r="MN25">
        <f>IF('計算A'!N$106=1,DH25,1)</f>
        <v/>
      </c>
      <c r="MO25">
        <f>IF('計算A'!O$106=1,DI25,1)</f>
        <v/>
      </c>
      <c r="MP25">
        <f>IF('計算A'!P$106=1,DJ25,1)</f>
        <v/>
      </c>
      <c r="MQ25">
        <f>IF('計算A'!Q$106=1,DK25,1)</f>
        <v/>
      </c>
      <c r="MR25">
        <f>IF('計算A'!R$106=1,DL25,1)</f>
        <v/>
      </c>
      <c r="MS25">
        <f>IF('計算A'!S$106=1,DM25,1)</f>
        <v/>
      </c>
      <c r="MT25">
        <f>IF('計算A'!T$106=1,DN25,1)</f>
        <v/>
      </c>
      <c r="MU25">
        <f>IF('計算A'!U$106=1,DO25,1)</f>
        <v/>
      </c>
      <c r="MV25">
        <f>IF('計算A'!V$106=1,DP25,1)</f>
        <v/>
      </c>
      <c r="MW25">
        <f>IF('計算A'!W$106=1,DQ25,1)</f>
        <v/>
      </c>
      <c r="MX25">
        <f>IF('計算A'!X$106=1,DR25,1)</f>
        <v/>
      </c>
      <c r="MY25">
        <f>IF('計算A'!Y$106=1,DS25,1)</f>
        <v/>
      </c>
      <c r="MZ25">
        <f>IF('計算A'!Z$106=1,DT25,1)</f>
        <v/>
      </c>
      <c r="NA25">
        <f>IF('計算A'!AA$106=1,DU25,1)</f>
        <v/>
      </c>
      <c r="NB25">
        <f>IF('計算A'!AB$106=1,DV25,1)</f>
        <v/>
      </c>
      <c r="NC25">
        <f>IF('計算A'!AC$106=1,DW25,1)</f>
        <v/>
      </c>
      <c r="ND25">
        <f>IF('計算A'!AD$106=1,DX25,1)</f>
        <v/>
      </c>
      <c r="NE25">
        <f>IF('計算A'!AE$106=1,DY25,1)</f>
        <v/>
      </c>
      <c r="NF25">
        <f>IF('計算A'!AF$106=1,DZ25,1)</f>
        <v/>
      </c>
      <c r="NG25">
        <f>IF('計算A'!AG$106=1,EA25,1)</f>
        <v/>
      </c>
      <c r="NH25">
        <f>IF('計算A'!AH$106=1,EB25,1)</f>
        <v/>
      </c>
      <c r="NI25">
        <f>IF('計算A'!AI$106=1,EC25,1)</f>
        <v/>
      </c>
      <c r="NJ25">
        <f>IF('計算A'!AJ$106=1,ED25,1)</f>
        <v/>
      </c>
      <c r="NK25">
        <f>IF('計算A'!AK$106=1,EE25,1)</f>
        <v/>
      </c>
      <c r="NL25">
        <f>IF('計算A'!AL$106=1,EF25,1)</f>
        <v/>
      </c>
      <c r="NM25">
        <f>IF('計算A'!AM$106=1,EG25,1)</f>
        <v/>
      </c>
      <c r="NN25">
        <f>IF('計算A'!AN$106=1,EH25,1)</f>
        <v/>
      </c>
      <c r="NO25">
        <f>IF('計算A'!AO$106=1,EI25,1)</f>
        <v/>
      </c>
      <c r="NP25">
        <f>IF('計算A'!AP$106=1,EJ25,1)</f>
        <v/>
      </c>
      <c r="NQ25">
        <f>IF('計算A'!AQ$106=1,EK25,1)</f>
        <v/>
      </c>
      <c r="NR25">
        <f>IF('計算A'!AR$106=1,EL25,1)</f>
        <v/>
      </c>
      <c r="NS25">
        <f>IF('計算A'!AS$106=1,EM25,1)</f>
        <v/>
      </c>
      <c r="NT25">
        <f>IF('計算A'!AT$106=1,EN25,1)</f>
        <v/>
      </c>
      <c r="NU25">
        <f>IF('計算A'!AU$106=1,EO25,1)</f>
        <v/>
      </c>
      <c r="NV25">
        <f>IF('計算A'!AV$106=1,EP25,1)</f>
        <v/>
      </c>
      <c r="NW25">
        <f>IF('計算A'!AW$106=1,EQ25,1)</f>
        <v/>
      </c>
      <c r="NX25">
        <f>IF('計算A'!AX$106=1,ER25,1)</f>
        <v/>
      </c>
      <c r="NY25">
        <f>IF('計算A'!AY$106=1,ES25,1)</f>
        <v/>
      </c>
      <c r="NZ25">
        <f>IF('計算A'!AZ$106=1,ET25,1)</f>
        <v/>
      </c>
      <c r="OA25">
        <f>IF('計算A'!BA$106=1,EU25,1)</f>
        <v/>
      </c>
      <c r="OB25">
        <f>IF('計算A'!BB$106=1,EV25,1)</f>
        <v/>
      </c>
      <c r="OC25">
        <f>IF('計算A'!BC$106=1,EW25,1)</f>
        <v/>
      </c>
      <c r="OD25">
        <f>IF('計算A'!BD$106=1,EX25,1)</f>
        <v/>
      </c>
      <c r="OE25">
        <f>IF('計算A'!BE$106=1,EY25,1)</f>
        <v/>
      </c>
      <c r="OF25">
        <f>IF('計算A'!BF$106=1,EZ25,1)</f>
        <v/>
      </c>
      <c r="OG25">
        <f>IF('計算A'!BG$106=1,FA25,1)</f>
        <v/>
      </c>
      <c r="OH25">
        <f>IF('計算A'!BH$106=1,FB25,1)</f>
        <v/>
      </c>
      <c r="OI25">
        <f>IF('計算A'!BI$106=1,FC25,1)</f>
        <v/>
      </c>
      <c r="OJ25">
        <f>IF('計算A'!BJ$106=1,FD25,1)</f>
        <v/>
      </c>
      <c r="OK25">
        <f>IF('計算A'!BK$106=1,FE25,1)</f>
        <v/>
      </c>
      <c r="OL25">
        <f>IF('計算A'!BL$106=1,FF25,1)</f>
        <v/>
      </c>
      <c r="OM25">
        <f>IF('計算A'!BM$106=1,FG25,1)</f>
        <v/>
      </c>
      <c r="ON25">
        <f>IF('計算A'!BN$106=1,FH25,1)</f>
        <v/>
      </c>
      <c r="OO25">
        <f>IF('計算A'!BO$106=1,FI25,1)</f>
        <v/>
      </c>
      <c r="OP25">
        <f>IF('計算A'!BP$106=1,FJ25,1)</f>
        <v/>
      </c>
      <c r="OQ25">
        <f>IF('計算A'!BQ$106=1,FK25,1)</f>
        <v/>
      </c>
      <c r="OR25">
        <f>IF('計算A'!BR$106=1,FL25,1)</f>
        <v/>
      </c>
      <c r="OS25">
        <f>IF('計算A'!BS$106=1,FM25,1)</f>
        <v/>
      </c>
      <c r="OT25">
        <f>IF('計算A'!BT$106=1,FN25,1)</f>
        <v/>
      </c>
      <c r="OU25">
        <f>IF('計算A'!BU$106=1,FO25,1)</f>
        <v/>
      </c>
      <c r="OV25">
        <f>IF('計算A'!BV$106=1,FP25,1)</f>
        <v/>
      </c>
      <c r="OW25">
        <f>IF('計算A'!BW$106=1,FQ25,1)</f>
        <v/>
      </c>
      <c r="OX25">
        <f>IF('計算A'!BX$106=1,FR25,1)</f>
        <v/>
      </c>
      <c r="OY25">
        <f>IF('計算A'!BY$106=1,FS25,1)</f>
        <v/>
      </c>
      <c r="OZ25">
        <f>IF('計算A'!BZ$106=1,FT25,1)</f>
        <v/>
      </c>
      <c r="PA25">
        <f>IF('計算A'!CA$106=1,FU25,1)</f>
        <v/>
      </c>
      <c r="PB25">
        <f>IF('計算A'!CB$106=1,FV25,1)</f>
        <v/>
      </c>
      <c r="PC25">
        <f>IF('計算A'!CC$106=1,FW25,1)</f>
        <v/>
      </c>
      <c r="PD25">
        <f>IF('計算A'!CD$106=1,FX25,1)</f>
        <v/>
      </c>
      <c r="PE25">
        <f>IF('計算A'!CE$106=1,FY25,1)</f>
        <v/>
      </c>
      <c r="PF25">
        <f>IF('計算A'!CF$106=1,FZ25,1)</f>
        <v/>
      </c>
      <c r="PG25">
        <f>IF('計算A'!CG$106=1,GA25,1)</f>
        <v/>
      </c>
      <c r="PH25">
        <f>IF('計算A'!CH$106=1,GB25,1)</f>
        <v/>
      </c>
      <c r="PI25">
        <f>IF('計算A'!CI$106=1,GC25,1)</f>
        <v/>
      </c>
      <c r="PJ25">
        <f>IF('計算A'!CJ$106=1,GD25,1)</f>
        <v/>
      </c>
      <c r="PK25">
        <f>IF('計算A'!CK$106=1,GE25,1)</f>
        <v/>
      </c>
      <c r="PL25">
        <f>IF('計算A'!CL$106=1,GF25,1)</f>
        <v/>
      </c>
      <c r="PM25">
        <f>IF('計算A'!CM$106=1,GG25,1)</f>
        <v/>
      </c>
      <c r="PN25">
        <f>IF('計算A'!CN$106=1,GH25,1)</f>
        <v/>
      </c>
      <c r="PO25">
        <f>IF('計算A'!CO$106=1,GI25,1)</f>
        <v/>
      </c>
      <c r="PP25">
        <f>IF('計算A'!CP$106=1,GJ25,1)</f>
        <v/>
      </c>
      <c r="PQ25">
        <f>IF('計算A'!CQ$106=1,GK25,1)</f>
        <v/>
      </c>
      <c r="PR25">
        <f>IF('計算A'!CR$106=1,GL25,1)</f>
        <v/>
      </c>
      <c r="PS25">
        <f>IF('計算A'!CS$106=1,GM25,1)</f>
        <v/>
      </c>
      <c r="PT25">
        <f>IF('計算A'!CT$106=1,GN25,1)</f>
        <v/>
      </c>
      <c r="PU25">
        <f>IF('計算A'!CU$106=1,GO25,1)</f>
        <v/>
      </c>
      <c r="PV25">
        <f>IF('計算A'!CV$106=1,GP25,1)</f>
        <v/>
      </c>
      <c r="PW25">
        <f>IF('計算A'!CW$106=1,GQ25,1)</f>
        <v/>
      </c>
      <c r="PX25">
        <f>IF('計算A'!CX$106=1,GR25,1)</f>
        <v/>
      </c>
      <c r="PY25">
        <f>IF('計算A'!CY$106=1,GS25,1)</f>
        <v/>
      </c>
      <c r="PZ25">
        <f>IF('計算A'!CZ$106=1,GT25,1)</f>
        <v/>
      </c>
      <c r="QA25">
        <f>IF('計算A'!DA$106=1,GU25,1)</f>
        <v/>
      </c>
      <c r="QB25">
        <f>IF('計算A'!DB$106=1,GV25,1)</f>
        <v/>
      </c>
      <c r="QC25">
        <f>IF('計算A'!DC$106=1,GW25,1)</f>
        <v/>
      </c>
      <c r="QD25">
        <f>IF('計算A'!DD$106=1,GX25,1)</f>
        <v/>
      </c>
      <c r="QE25">
        <f>IF('計算A'!DE$106=1,GY25,1)</f>
        <v/>
      </c>
      <c r="QF25">
        <f>IF('計算A'!DF$106=1,GZ25,1)</f>
        <v/>
      </c>
      <c r="QG25">
        <f>IF('計算A'!DG$106=1,HA25,1)</f>
        <v/>
      </c>
      <c r="QH25">
        <f>IF('計算A'!DH$106=1,HB25,1)</f>
        <v/>
      </c>
      <c r="QI25">
        <f>IF('計算A'!DI$106=1,HC25,1)</f>
        <v/>
      </c>
      <c r="QJ25">
        <f>IF('計算A'!DJ$106=1,HD25,1)</f>
        <v/>
      </c>
      <c r="QK25">
        <f>IF('計算A'!DK$106=1,HE25,1)</f>
        <v/>
      </c>
      <c r="QL25">
        <f>IF('計算A'!DL$106=1,HF25,1)</f>
        <v/>
      </c>
      <c r="QM25">
        <f>IF('計算A'!DM$106=1,HG25,1)</f>
        <v/>
      </c>
      <c r="QN25">
        <f>IF('計算A'!DN$106=1,HH25,1)</f>
        <v/>
      </c>
      <c r="QO25">
        <f>IF('計算A'!DO$106=1,HI25,1)</f>
        <v/>
      </c>
      <c r="QP25">
        <f>IF('計算A'!DP$106=1,HJ25,1)</f>
        <v/>
      </c>
      <c r="QQ25">
        <f>IF('計算A'!DQ$106=1,HK25,1)</f>
        <v/>
      </c>
      <c r="QR25">
        <f>IF('計算A'!DR$106=1,HL25,1)</f>
        <v/>
      </c>
      <c r="QS25">
        <f>IF('計算A'!DS$106=1,HM25,1)</f>
        <v/>
      </c>
      <c r="QT25">
        <f>IF('計算A'!DT$106=1,HN25,1)</f>
        <v/>
      </c>
      <c r="QU25">
        <f>IF('計算A'!DU$106=1,HO25,1)</f>
        <v/>
      </c>
      <c r="QV25">
        <f>IF('計算A'!DV$106=1,HP25,1)</f>
        <v/>
      </c>
      <c r="QW25">
        <f>IF('計算A'!DW$106=1,HQ25,1)</f>
        <v/>
      </c>
      <c r="QX25">
        <f>IF('計算A'!DX$106=1,HR25,1)</f>
        <v/>
      </c>
      <c r="QY25">
        <f>IF('計算A'!DY$106=1,HS25,1)</f>
        <v/>
      </c>
      <c r="QZ25">
        <f>IF('計算A'!DZ$106=1,HT25,1)</f>
        <v/>
      </c>
      <c r="RA25">
        <f>IF('計算A'!EA$106=1,HU25,1)</f>
        <v/>
      </c>
      <c r="RB25">
        <f>IF('計算A'!EB$106=1,HV25,1)</f>
        <v/>
      </c>
      <c r="RC25">
        <f>IF('計算A'!EC$106=1,HW25,1)</f>
        <v/>
      </c>
      <c r="RD25">
        <f>IF('計算A'!ED$106=1,HX25,1)</f>
        <v/>
      </c>
      <c r="RE25">
        <f>IF('計算A'!EE$106=1,HY25,1)</f>
        <v/>
      </c>
      <c r="RF25">
        <f>IF('計算A'!EF$106=1,HZ25,1)</f>
        <v/>
      </c>
      <c r="RG25">
        <f>IF('計算A'!EG$106=1,IA25,1)</f>
        <v/>
      </c>
      <c r="RH25">
        <f>IF('計算A'!EH$106=1,IB25,1)</f>
        <v/>
      </c>
      <c r="RI25">
        <f>IF('計算A'!EI$106=1,IC25,1)</f>
        <v/>
      </c>
      <c r="RJ25">
        <f>IF('計算A'!EJ$106=1,ID25,1)</f>
        <v/>
      </c>
      <c r="RK25">
        <f>IF('計算A'!EK$106=1,IE25,1)</f>
        <v/>
      </c>
      <c r="RL25">
        <f>IF('計算A'!EL$106=1,IF25,1)</f>
        <v/>
      </c>
      <c r="RM25">
        <f>IF('計算A'!EM$106=1,IG25,1)</f>
        <v/>
      </c>
      <c r="RN25">
        <f>IF('計算A'!EN$106=1,IH25,1)</f>
        <v/>
      </c>
      <c r="RO25">
        <f>IF('計算A'!EO$106=1,II25,1)</f>
        <v/>
      </c>
      <c r="RP25">
        <f>IF('計算A'!EP$106=1,IJ25,1)</f>
        <v/>
      </c>
      <c r="RQ25">
        <f>IF('計算A'!EQ$106=1,IK25,1)</f>
        <v/>
      </c>
      <c r="RR25">
        <f>IF('計算A'!ER$106=1,IL25,1)</f>
        <v/>
      </c>
      <c r="RS25">
        <f>IF('計算A'!ES$106=1,IM25,1)</f>
        <v/>
      </c>
      <c r="RT25">
        <f>IF('計算A'!ET$106=1,IN25,1)</f>
        <v/>
      </c>
      <c r="RU25">
        <f>IF('計算A'!EU$106=1,IO25,1)</f>
        <v/>
      </c>
      <c r="RV25">
        <f>IF('計算A'!EV$106=1,IP25,1)</f>
        <v/>
      </c>
      <c r="RW25">
        <f>IF('計算A'!EW$106=1,IQ25,1)</f>
        <v/>
      </c>
      <c r="RX25">
        <f>IF('計算A'!EX$106=1,IR25,1)</f>
        <v/>
      </c>
      <c r="RY25">
        <f>IF('計算A'!EY$106=1,IS25,1)</f>
        <v/>
      </c>
      <c r="RZ25">
        <f>IF('計算A'!EZ$106=1,IT25,1)</f>
        <v/>
      </c>
      <c r="SA25">
        <f>IF('計算A'!FA$106=1,IU25,1)</f>
        <v/>
      </c>
      <c r="SB25">
        <f>IF('計算A'!FB$106=1,IV25,1)</f>
        <v/>
      </c>
      <c r="SC25">
        <f>IF('計算A'!FC$106=1,IW25,1)</f>
        <v/>
      </c>
      <c r="SD25">
        <f>IF('計算A'!FD$106=1,IX25,1)</f>
        <v/>
      </c>
      <c r="SE25">
        <f>IF('計算A'!FE$106=1,IY25,1)</f>
        <v/>
      </c>
      <c r="SF25">
        <f>IF('計算A'!FF$106=1,IZ25,1)</f>
        <v/>
      </c>
      <c r="SG25">
        <f>IF('計算A'!FG$106=1,JA25,1)</f>
        <v/>
      </c>
      <c r="SH25">
        <f>IF('計算A'!FH$106=1,JB25,1)</f>
        <v/>
      </c>
      <c r="SI25">
        <f>IF('計算A'!FI$106=1,JC25,1)</f>
        <v/>
      </c>
      <c r="SJ25">
        <f>IF('計算A'!FJ$106=1,JD25,1)</f>
        <v/>
      </c>
      <c r="SK25">
        <f>IF('計算A'!FK$106=1,JE25,1)</f>
        <v/>
      </c>
      <c r="SL25">
        <f>IF('計算A'!FL$106=1,JF25,1)</f>
        <v/>
      </c>
      <c r="SM25">
        <f>IF('計算A'!FM$106=1,JG25,1)</f>
        <v/>
      </c>
      <c r="SN25">
        <f>IF('計算A'!FN$106=1,JH25,1)</f>
        <v/>
      </c>
      <c r="SO25">
        <f>IF('計算A'!FO$106=1,JI25,1)</f>
        <v/>
      </c>
      <c r="SP25">
        <f>IF('計算A'!FP$106=1,JJ25,1)</f>
        <v/>
      </c>
      <c r="SQ25">
        <f>IF('計算A'!FQ$106=1,JK25,1)</f>
        <v/>
      </c>
      <c r="SR25">
        <f>IF('計算A'!FR$106=1,JL25,1)</f>
        <v/>
      </c>
      <c r="SS25">
        <f>IF('計算A'!FS$106=1,JM25,1)</f>
        <v/>
      </c>
      <c r="ST25">
        <f>IF('計算A'!FT$106=1,JN25,1)</f>
        <v/>
      </c>
      <c r="SU25">
        <f>IF('計算A'!FU$106=1,JO25,1)</f>
        <v/>
      </c>
      <c r="SV25">
        <f>IF('計算A'!FV$106=1,JP25,1)</f>
        <v/>
      </c>
      <c r="SW25">
        <f>IF('計算A'!FW$106=1,JQ25,1)</f>
        <v/>
      </c>
      <c r="SX25">
        <f>IF('計算A'!FX$106=1,JR25,1)</f>
        <v/>
      </c>
      <c r="SY25">
        <f>IF('計算A'!FY$106=1,JS25,1)</f>
        <v/>
      </c>
      <c r="SZ25">
        <f>IF('計算A'!FZ$106=1,JT25,1)</f>
        <v/>
      </c>
      <c r="TA25">
        <f>IF('計算A'!GA$106=1,JU25,1)</f>
        <v/>
      </c>
      <c r="TB25">
        <f>IF('計算A'!GB$106=1,JV25,1)</f>
        <v/>
      </c>
      <c r="TC25">
        <f>IF('計算A'!GC$106=1,JW25,1)</f>
        <v/>
      </c>
      <c r="TD25">
        <f>IF('計算A'!GD$106=1,JX25,1)</f>
        <v/>
      </c>
      <c r="TE25">
        <f>IF('計算A'!GE$106=1,JY25,1)</f>
        <v/>
      </c>
      <c r="TF25">
        <f>IF('計算A'!GF$106=1,JZ25,1)</f>
        <v/>
      </c>
      <c r="TG25">
        <f>IF('計算A'!GG$106=1,KA25,1)</f>
        <v/>
      </c>
      <c r="TH25">
        <f>IF('計算A'!GH$106=1,KB25,1)</f>
        <v/>
      </c>
      <c r="TI25">
        <f>IF('計算A'!GI$106=1,KC25,1)</f>
        <v/>
      </c>
      <c r="TJ25">
        <f>IF('計算A'!GJ$106=1,KD25,1)</f>
        <v/>
      </c>
      <c r="TK25">
        <f>IF('計算A'!GK$106=1,KE25,1)</f>
        <v/>
      </c>
      <c r="TL25">
        <f>IF('計算A'!GL$106=1,KF25,1)</f>
        <v/>
      </c>
      <c r="TM25">
        <f>IF('計算A'!GM$106=1,KG25,1)</f>
        <v/>
      </c>
      <c r="TN25">
        <f>IF('計算A'!GN$106=1,KH25,1)</f>
        <v/>
      </c>
      <c r="TO25">
        <f>IF('計算A'!GO$106=1,KI25,1)</f>
        <v/>
      </c>
      <c r="TP25">
        <f>IF('計算A'!GP$106=1,KJ25,1)</f>
        <v/>
      </c>
      <c r="TQ25">
        <f>IF('計算A'!GQ$106=1,KK25,1)</f>
        <v/>
      </c>
      <c r="TR25">
        <f>IF('計算A'!GR$106=1,KL25,1)</f>
        <v/>
      </c>
      <c r="TS25">
        <f>IF('計算A'!GS$106=1,KM25,1)</f>
        <v/>
      </c>
      <c r="TT25">
        <f>IF('計算A'!GT$106=1,KN25,1)</f>
        <v/>
      </c>
      <c r="TU25">
        <f>IF('計算A'!GU$106=1,KO25,1)</f>
        <v/>
      </c>
      <c r="TV25">
        <f>IF('計算A'!GV$106=1,KP25,1)</f>
        <v/>
      </c>
      <c r="TW25">
        <f>IF('計算A'!GW$106=1,KQ25,1)</f>
        <v/>
      </c>
      <c r="TX25">
        <f>IF('計算A'!GX$106=1,KR25,1)</f>
        <v/>
      </c>
      <c r="TY25">
        <f>IF('計算A'!GY$106=1,KS25,1)</f>
        <v/>
      </c>
      <c r="TZ25">
        <f>IF('計算A'!GZ$106=1,KT25,1)</f>
        <v/>
      </c>
      <c r="UA25">
        <f>IF('計算A'!HA$106=1,KU25,1)</f>
        <v/>
      </c>
      <c r="UB25">
        <f>IF('計算A'!HB$106=1,KV25,1)</f>
        <v/>
      </c>
      <c r="UC25">
        <f>IF('計算A'!HC$106=1,KW25,1)</f>
        <v/>
      </c>
      <c r="UD25">
        <f>IF('計算A'!HD$106=1,KX25,1)</f>
        <v/>
      </c>
      <c r="UE25">
        <f>IF('計算A'!HE$106=1,KY25,1)</f>
        <v/>
      </c>
      <c r="UF25">
        <f>IF('計算A'!HF$106=1,KZ25,1)</f>
        <v/>
      </c>
      <c r="UG25">
        <f>IF('計算A'!HG$106=1,LA25,1)</f>
        <v/>
      </c>
      <c r="UH25">
        <f>IF('計算A'!HH$106=1,LB25,1)</f>
        <v/>
      </c>
      <c r="UI25">
        <f>IF('計算A'!HI$106=1,LC25,1)</f>
        <v/>
      </c>
      <c r="UJ25">
        <f>IF('計算A'!HJ$106=1,LD25,1)</f>
        <v/>
      </c>
      <c r="UK25">
        <f>IF('計算A'!HK$106=1,LE25,1)</f>
        <v/>
      </c>
      <c r="UL25">
        <f>IF('計算A'!HL$106=1,LF25,1)</f>
        <v/>
      </c>
      <c r="UM25">
        <f>IF('計算A'!HM$106=1,LG25,1)</f>
        <v/>
      </c>
      <c r="UN25">
        <f>IF('計算A'!HN$106=1,LH25,1)</f>
        <v/>
      </c>
      <c r="UO25">
        <f>IF('計算A'!HO$106=1,LI25,1)</f>
        <v/>
      </c>
      <c r="UP25">
        <f>IF('計算A'!HP$106=1,LJ25,1)</f>
        <v/>
      </c>
      <c r="UQ25">
        <f>IF('計算A'!HQ$106=1,LK25,1)</f>
        <v/>
      </c>
      <c r="UR25">
        <f>IF('計算A'!HR$106=1,LL25,1)</f>
        <v/>
      </c>
      <c r="US25">
        <f>IF('計算A'!HS$106=1,LM25,1)</f>
        <v/>
      </c>
      <c r="UT25">
        <f>IF('計算A'!HT$106=1,LN25,1)</f>
        <v/>
      </c>
      <c r="UU25">
        <f>IF('計算A'!HU$106=1,LO25,1)</f>
        <v/>
      </c>
      <c r="UV25">
        <f>IF('計算A'!HV$106=1,LP25,1)</f>
        <v/>
      </c>
      <c r="UW25">
        <f>IF('計算A'!HW$106=1,LQ25,1)</f>
        <v/>
      </c>
      <c r="UX25">
        <f>IF('計算A'!HX$106=1,LR25,1)</f>
        <v/>
      </c>
      <c r="UY25">
        <f>IF('計算A'!HY$106=1,LS25,1)</f>
        <v/>
      </c>
      <c r="UZ25">
        <f>IF('計算A'!HZ$106=1,LT25,1)</f>
        <v/>
      </c>
      <c r="VA25">
        <f>IF('計算A'!IA$106=1,LU25,1)</f>
        <v/>
      </c>
      <c r="VB25">
        <f>IF('計算A'!IB$106=1,LV25,1)</f>
        <v/>
      </c>
      <c r="VC25">
        <f>IF('計算A'!IC$106=1,LW25,1)</f>
        <v/>
      </c>
      <c r="VD25">
        <f>IF('計算A'!ID$106=1,LX25,1)</f>
        <v/>
      </c>
      <c r="VE25">
        <f>IF('計算A'!IE$106=1,LY25,1)</f>
        <v/>
      </c>
      <c r="VF25">
        <f>IF('計算A'!IF$106=1,LZ25,1)</f>
        <v/>
      </c>
      <c r="VG25">
        <f>IF('計算A'!IG$106=1,MA25,1)</f>
        <v/>
      </c>
      <c r="VH25">
        <f>IF('計算A'!IH$106=1,MB25,1)</f>
        <v/>
      </c>
      <c r="VI25" t="n">
        <v>1</v>
      </c>
      <c r="VK25">
        <f>IF($B25=0,1000000,IF(INDEX('計算A'!$D$60:$II$104,$B25,1)*CW25=1,IF(AND($E25=2,MD25=0),1000000,INDEX('計算A'!D$110:D$114,$F25+1)+IF(AND($E25=1,MD25=0),1000,0)),1000000))</f>
        <v/>
      </c>
      <c r="VL25">
        <f>IF($B25=0,1000000,IF(INDEX('計算A'!$D$60:$II$104,$B25,2)*CX25=1,IF(AND($E25=2,ME25=0),1000000,INDEX('計算A'!E$110:E$114,$F25+1)+IF(AND($E25=1,ME25=0),1000,0)),1000000))</f>
        <v/>
      </c>
      <c r="VM25">
        <f>IF($B25=0,1000000,IF(INDEX('計算A'!$D$60:$II$104,$B25,3)*CY25=1,IF(AND($E25=2,MF25=0),1000000,INDEX('計算A'!F$110:F$114,$F25+1)+IF(AND($E25=1,MF25=0),1000,0)),1000000))</f>
        <v/>
      </c>
      <c r="VN25">
        <f>IF($B25=0,1000000,IF(INDEX('計算A'!$D$60:$II$104,$B25,4)*CZ25=1,IF(AND($E25=2,MG25=0),1000000,INDEX('計算A'!G$110:G$114,$F25+1)+IF(AND($E25=1,MG25=0),1000,0)),1000000))</f>
        <v/>
      </c>
      <c r="VO25">
        <f>IF($B25=0,1000000,IF(INDEX('計算A'!$D$60:$II$104,$B25,5)*DA25=1,IF(AND($E25=2,MH25=0),1000000,INDEX('計算A'!H$110:H$114,$F25+1)+IF(AND($E25=1,MH25=0),1000,0)),1000000))</f>
        <v/>
      </c>
      <c r="VP25">
        <f>IF($B25=0,1000000,IF(INDEX('計算A'!$D$60:$II$104,$B25,6)*DB25=1,IF(AND($E25=2,MI25=0),1000000,INDEX('計算A'!I$110:I$114,$F25+1)+IF(AND($E25=1,MI25=0),1000,0)),1000000))</f>
        <v/>
      </c>
      <c r="VQ25">
        <f>IF($B25=0,1000000,IF(INDEX('計算A'!$D$60:$II$104,$B25,7)*DC25=1,IF(AND($E25=2,MJ25=0),1000000,INDEX('計算A'!J$110:J$114,$F25+1)+IF(AND($E25=1,MJ25=0),1000,0)),1000000))</f>
        <v/>
      </c>
      <c r="VR25">
        <f>IF($B25=0,1000000,IF(INDEX('計算A'!$D$60:$II$104,$B25,8)*DD25=1,IF(AND($E25=2,MK25=0),1000000,INDEX('計算A'!K$110:K$114,$F25+1)+IF(AND($E25=1,MK25=0),1000,0)),1000000))</f>
        <v/>
      </c>
      <c r="VS25">
        <f>IF($B25=0,1000000,IF(INDEX('計算A'!$D$60:$II$104,$B25,9)*DE25=1,IF(AND($E25=2,ML25=0),1000000,INDEX('計算A'!L$110:L$114,$F25+1)+IF(AND($E25=1,ML25=0),1000,0)),1000000))</f>
        <v/>
      </c>
      <c r="VT25">
        <f>IF($B25=0,1000000,IF(INDEX('計算A'!$D$60:$II$104,$B25,10)*DF25=1,IF(AND($E25=2,MM25=0),1000000,INDEX('計算A'!M$110:M$114,$F25+1)+IF(AND($E25=1,MM25=0),1000,0)),1000000))</f>
        <v/>
      </c>
      <c r="VU25">
        <f>IF($B25=0,1000000,IF(INDEX('計算A'!$D$60:$II$104,$B25,11)*DG25=1,IF(AND($E25=2,MN25=0),1000000,INDEX('計算A'!N$110:N$114,$F25+1)+IF(AND($E25=1,MN25=0),1000,0)),1000000))</f>
        <v/>
      </c>
      <c r="VV25">
        <f>IF($B25=0,1000000,IF(INDEX('計算A'!$D$60:$II$104,$B25,12)*DH25=1,IF(AND($E25=2,MO25=0),1000000,INDEX('計算A'!O$110:O$114,$F25+1)+IF(AND($E25=1,MO25=0),1000,0)),1000000))</f>
        <v/>
      </c>
      <c r="VW25">
        <f>IF($B25=0,1000000,IF(INDEX('計算A'!$D$60:$II$104,$B25,13)*DI25=1,IF(AND($E25=2,MP25=0),1000000,INDEX('計算A'!P$110:P$114,$F25+1)+IF(AND($E25=1,MP25=0),1000,0)),1000000))</f>
        <v/>
      </c>
      <c r="VX25">
        <f>IF($B25=0,1000000,IF(INDEX('計算A'!$D$60:$II$104,$B25,14)*DJ25=1,IF(AND($E25=2,MQ25=0),1000000,INDEX('計算A'!Q$110:Q$114,$F25+1)+IF(AND($E25=1,MQ25=0),1000,0)),1000000))</f>
        <v/>
      </c>
      <c r="VY25">
        <f>IF($B25=0,1000000,IF(INDEX('計算A'!$D$60:$II$104,$B25,15)*DK25=1,IF(AND($E25=2,MR25=0),1000000,INDEX('計算A'!R$110:R$114,$F25+1)+IF(AND($E25=1,MR25=0),1000,0)),1000000))</f>
        <v/>
      </c>
      <c r="VZ25">
        <f>IF($B25=0,1000000,IF(INDEX('計算A'!$D$60:$II$104,$B25,16)*DL25=1,IF(AND($E25=2,MS25=0),1000000,INDEX('計算A'!S$110:S$114,$F25+1)+IF(AND($E25=1,MS25=0),1000,0)),1000000))</f>
        <v/>
      </c>
      <c r="WA25">
        <f>IF($B25=0,1000000,IF(INDEX('計算A'!$D$60:$II$104,$B25,17)*DM25=1,IF(AND($E25=2,MT25=0),1000000,INDEX('計算A'!T$110:T$114,$F25+1)+IF(AND($E25=1,MT25=0),1000,0)),1000000))</f>
        <v/>
      </c>
      <c r="WB25">
        <f>IF($B25=0,1000000,IF(INDEX('計算A'!$D$60:$II$104,$B25,18)*DN25=1,IF(AND($E25=2,MU25=0),1000000,INDEX('計算A'!U$110:U$114,$F25+1)+IF(AND($E25=1,MU25=0),1000,0)),1000000))</f>
        <v/>
      </c>
      <c r="WC25">
        <f>IF($B25=0,1000000,IF(INDEX('計算A'!$D$60:$II$104,$B25,19)*DO25=1,IF(AND($E25=2,MV25=0),1000000,INDEX('計算A'!V$110:V$114,$F25+1)+IF(AND($E25=1,MV25=0),1000,0)),1000000))</f>
        <v/>
      </c>
      <c r="WD25">
        <f>IF($B25=0,1000000,IF(INDEX('計算A'!$D$60:$II$104,$B25,20)*DP25=1,IF(AND($E25=2,MW25=0),1000000,INDEX('計算A'!W$110:W$114,$F25+1)+IF(AND($E25=1,MW25=0),1000,0)),1000000))</f>
        <v/>
      </c>
      <c r="WE25">
        <f>IF($B25=0,1000000,IF(INDEX('計算A'!$D$60:$II$104,$B25,21)*DQ25=1,IF(AND($E25=2,MX25=0),1000000,INDEX('計算A'!X$110:X$114,$F25+1)+IF(AND($E25=1,MX25=0),1000,0)),1000000))</f>
        <v/>
      </c>
      <c r="WF25">
        <f>IF($B25=0,1000000,IF(INDEX('計算A'!$D$60:$II$104,$B25,22)*DR25=1,IF(AND($E25=2,MY25=0),1000000,INDEX('計算A'!Y$110:Y$114,$F25+1)+IF(AND($E25=1,MY25=0),1000,0)),1000000))</f>
        <v/>
      </c>
      <c r="WG25">
        <f>IF($B25=0,1000000,IF(INDEX('計算A'!$D$60:$II$104,$B25,23)*DS25=1,IF(AND($E25=2,MZ25=0),1000000,INDEX('計算A'!Z$110:Z$114,$F25+1)+IF(AND($E25=1,MZ25=0),1000,0)),1000000))</f>
        <v/>
      </c>
      <c r="WH25">
        <f>IF($B25=0,1000000,IF(INDEX('計算A'!$D$60:$II$104,$B25,24)*DT25=1,IF(AND($E25=2,NA25=0),1000000,INDEX('計算A'!AA$110:AA$114,$F25+1)+IF(AND($E25=1,NA25=0),1000,0)),1000000))</f>
        <v/>
      </c>
      <c r="WI25">
        <f>IF($B25=0,1000000,IF(INDEX('計算A'!$D$60:$II$104,$B25,25)*DU25=1,IF(AND($E25=2,NB25=0),1000000,INDEX('計算A'!AB$110:AB$114,$F25+1)+IF(AND($E25=1,NB25=0),1000,0)),1000000))</f>
        <v/>
      </c>
      <c r="WJ25">
        <f>IF($B25=0,1000000,IF(INDEX('計算A'!$D$60:$II$104,$B25,26)*DV25=1,IF(AND($E25=2,NC25=0),1000000,INDEX('計算A'!AC$110:AC$114,$F25+1)+IF(AND($E25=1,NC25=0),1000,0)),1000000))</f>
        <v/>
      </c>
      <c r="WK25">
        <f>IF($B25=0,1000000,IF(INDEX('計算A'!$D$60:$II$104,$B25,27)*DW25=1,IF(AND($E25=2,ND25=0),1000000,INDEX('計算A'!AD$110:AD$114,$F25+1)+IF(AND($E25=1,ND25=0),1000,0)),1000000))</f>
        <v/>
      </c>
      <c r="WL25">
        <f>IF($B25=0,1000000,IF(INDEX('計算A'!$D$60:$II$104,$B25,28)*DX25=1,IF(AND($E25=2,NE25=0),1000000,INDEX('計算A'!AE$110:AE$114,$F25+1)+IF(AND($E25=1,NE25=0),1000,0)),1000000))</f>
        <v/>
      </c>
      <c r="WM25">
        <f>IF($B25=0,1000000,IF(INDEX('計算A'!$D$60:$II$104,$B25,29)*DY25=1,IF(AND($E25=2,NF25=0),1000000,INDEX('計算A'!AF$110:AF$114,$F25+1)+IF(AND($E25=1,NF25=0),1000,0)),1000000))</f>
        <v/>
      </c>
      <c r="WN25">
        <f>IF($B25=0,1000000,IF(INDEX('計算A'!$D$60:$II$104,$B25,30)*DZ25=1,IF(AND($E25=2,NG25=0),1000000,INDEX('計算A'!AG$110:AG$114,$F25+1)+IF(AND($E25=1,NG25=0),1000,0)),1000000))</f>
        <v/>
      </c>
      <c r="WO25">
        <f>IF($B25=0,1000000,IF(INDEX('計算A'!$D$60:$II$104,$B25,31)*EA25=1,IF(AND($E25=2,NH25=0),1000000,INDEX('計算A'!AH$110:AH$114,$F25+1)+IF(AND($E25=1,NH25=0),1000,0)),1000000))</f>
        <v/>
      </c>
      <c r="WP25">
        <f>IF($B25=0,1000000,IF(INDEX('計算A'!$D$60:$II$104,$B25,32)*EB25=1,IF(AND($E25=2,NI25=0),1000000,INDEX('計算A'!AI$110:AI$114,$F25+1)+IF(AND($E25=1,NI25=0),1000,0)),1000000))</f>
        <v/>
      </c>
      <c r="WQ25">
        <f>IF($B25=0,1000000,IF(INDEX('計算A'!$D$60:$II$104,$B25,33)*EC25=1,IF(AND($E25=2,NJ25=0),1000000,INDEX('計算A'!AJ$110:AJ$114,$F25+1)+IF(AND($E25=1,NJ25=0),1000,0)),1000000))</f>
        <v/>
      </c>
      <c r="WR25">
        <f>IF($B25=0,1000000,IF(INDEX('計算A'!$D$60:$II$104,$B25,34)*ED25=1,IF(AND($E25=2,NK25=0),1000000,INDEX('計算A'!AK$110:AK$114,$F25+1)+IF(AND($E25=1,NK25=0),1000,0)),1000000))</f>
        <v/>
      </c>
      <c r="WS25">
        <f>IF($B25=0,1000000,IF(INDEX('計算A'!$D$60:$II$104,$B25,35)*EE25=1,IF(AND($E25=2,NL25=0),1000000,INDEX('計算A'!AL$110:AL$114,$F25+1)+IF(AND($E25=1,NL25=0),1000,0)),1000000))</f>
        <v/>
      </c>
      <c r="WT25">
        <f>IF($B25=0,1000000,IF(INDEX('計算A'!$D$60:$II$104,$B25,36)*EF25=1,IF(AND($E25=2,NM25=0),1000000,INDEX('計算A'!AM$110:AM$114,$F25+1)+IF(AND($E25=1,NM25=0),1000,0)),1000000))</f>
        <v/>
      </c>
      <c r="WU25">
        <f>IF($B25=0,1000000,IF(INDEX('計算A'!$D$60:$II$104,$B25,37)*EG25=1,IF(AND($E25=2,NN25=0),1000000,INDEX('計算A'!AN$110:AN$114,$F25+1)+IF(AND($E25=1,NN25=0),1000,0)),1000000))</f>
        <v/>
      </c>
      <c r="WV25">
        <f>IF($B25=0,1000000,IF(INDEX('計算A'!$D$60:$II$104,$B25,38)*EH25=1,IF(AND($E25=2,NO25=0),1000000,INDEX('計算A'!AO$110:AO$114,$F25+1)+IF(AND($E25=1,NO25=0),1000,0)),1000000))</f>
        <v/>
      </c>
      <c r="WW25">
        <f>IF($B25=0,1000000,IF(INDEX('計算A'!$D$60:$II$104,$B25,39)*EI25=1,IF(AND($E25=2,NP25=0),1000000,INDEX('計算A'!AP$110:AP$114,$F25+1)+IF(AND($E25=1,NP25=0),1000,0)),1000000))</f>
        <v/>
      </c>
      <c r="WX25">
        <f>IF($B25=0,1000000,IF(INDEX('計算A'!$D$60:$II$104,$B25,40)*EJ25=1,IF(AND($E25=2,NQ25=0),1000000,INDEX('計算A'!AQ$110:AQ$114,$F25+1)+IF(AND($E25=1,NQ25=0),1000,0)),1000000))</f>
        <v/>
      </c>
      <c r="WY25">
        <f>IF($B25=0,1000000,IF(INDEX('計算A'!$D$60:$II$104,$B25,41)*EK25=1,IF(AND($E25=2,NR25=0),1000000,INDEX('計算A'!AR$110:AR$114,$F25+1)+IF(AND($E25=1,NR25=0),1000,0)),1000000))</f>
        <v/>
      </c>
      <c r="WZ25">
        <f>IF($B25=0,1000000,IF(INDEX('計算A'!$D$60:$II$104,$B25,42)*EL25=1,IF(AND($E25=2,NS25=0),1000000,INDEX('計算A'!AS$110:AS$114,$F25+1)+IF(AND($E25=1,NS25=0),1000,0)),1000000))</f>
        <v/>
      </c>
      <c r="XA25">
        <f>IF($B25=0,1000000,IF(INDEX('計算A'!$D$60:$II$104,$B25,43)*EM25=1,IF(AND($E25=2,NT25=0),1000000,INDEX('計算A'!AT$110:AT$114,$F25+1)+IF(AND($E25=1,NT25=0),1000,0)),1000000))</f>
        <v/>
      </c>
      <c r="XB25">
        <f>IF($B25=0,1000000,IF(INDEX('計算A'!$D$60:$II$104,$B25,44)*EN25=1,IF(AND($E25=2,NU25=0),1000000,INDEX('計算A'!AU$110:AU$114,$F25+1)+IF(AND($E25=1,NU25=0),1000,0)),1000000))</f>
        <v/>
      </c>
      <c r="XC25">
        <f>IF($B25=0,1000000,IF(INDEX('計算A'!$D$60:$II$104,$B25,45)*EO25=1,IF(AND($E25=2,NV25=0),1000000,INDEX('計算A'!AV$110:AV$114,$F25+1)+IF(AND($E25=1,NV25=0),1000,0)),1000000))</f>
        <v/>
      </c>
      <c r="XD25">
        <f>IF($B25=0,1000000,IF(INDEX('計算A'!$D$60:$II$104,$B25,46)*EP25=1,IF(AND($E25=2,NW25=0),1000000,INDEX('計算A'!AW$110:AW$114,$F25+1)+IF(AND($E25=1,NW25=0),1000,0)),1000000))</f>
        <v/>
      </c>
      <c r="XE25">
        <f>IF($B25=0,1000000,IF(INDEX('計算A'!$D$60:$II$104,$B25,47)*EQ25=1,IF(AND($E25=2,NX25=0),1000000,INDEX('計算A'!AX$110:AX$114,$F25+1)+IF(AND($E25=1,NX25=0),1000,0)),1000000))</f>
        <v/>
      </c>
      <c r="XF25">
        <f>IF($B25=0,1000000,IF(INDEX('計算A'!$D$60:$II$104,$B25,48)*ER25=1,IF(AND($E25=2,NY25=0),1000000,INDEX('計算A'!AY$110:AY$114,$F25+1)+IF(AND($E25=1,NY25=0),1000,0)),1000000))</f>
        <v/>
      </c>
      <c r="XG25">
        <f>IF($B25=0,1000000,IF(INDEX('計算A'!$D$60:$II$104,$B25,49)*ES25=1,IF(AND($E25=2,NZ25=0),1000000,INDEX('計算A'!AZ$110:AZ$114,$F25+1)+IF(AND($E25=1,NZ25=0),1000,0)),1000000))</f>
        <v/>
      </c>
      <c r="XH25">
        <f>IF($B25=0,1000000,IF(INDEX('計算A'!$D$60:$II$104,$B25,50)*ET25=1,IF(AND($E25=2,OA25=0),1000000,INDEX('計算A'!BA$110:BA$114,$F25+1)+IF(AND($E25=1,OA25=0),1000,0)),1000000))</f>
        <v/>
      </c>
      <c r="XI25">
        <f>IF($B25=0,1000000,IF(INDEX('計算A'!$D$60:$II$104,$B25,51)*EU25=1,IF(AND($E25=2,OB25=0),1000000,INDEX('計算A'!BB$110:BB$114,$F25+1)+IF(AND($E25=1,OB25=0),1000,0)),1000000))</f>
        <v/>
      </c>
      <c r="XJ25">
        <f>IF($B25=0,1000000,IF(INDEX('計算A'!$D$60:$II$104,$B25,52)*EV25=1,IF(AND($E25=2,OC25=0),1000000,INDEX('計算A'!BC$110:BC$114,$F25+1)+IF(AND($E25=1,OC25=0),1000,0)),1000000))</f>
        <v/>
      </c>
      <c r="XK25">
        <f>IF($B25=0,1000000,IF(INDEX('計算A'!$D$60:$II$104,$B25,53)*EW25=1,IF(AND($E25=2,OD25=0),1000000,INDEX('計算A'!BD$110:BD$114,$F25+1)+IF(AND($E25=1,OD25=0),1000,0)),1000000))</f>
        <v/>
      </c>
      <c r="XL25">
        <f>IF($B25=0,1000000,IF(INDEX('計算A'!$D$60:$II$104,$B25,54)*EX25=1,IF(AND($E25=2,OE25=0),1000000,INDEX('計算A'!BE$110:BE$114,$F25+1)+IF(AND($E25=1,OE25=0),1000,0)),1000000))</f>
        <v/>
      </c>
      <c r="XM25">
        <f>IF($B25=0,1000000,IF(INDEX('計算A'!$D$60:$II$104,$B25,55)*EY25=1,IF(AND($E25=2,OF25=0),1000000,INDEX('計算A'!BF$110:BF$114,$F25+1)+IF(AND($E25=1,OF25=0),1000,0)),1000000))</f>
        <v/>
      </c>
      <c r="XN25">
        <f>IF($B25=0,1000000,IF(INDEX('計算A'!$D$60:$II$104,$B25,56)*EZ25=1,IF(AND($E25=2,OG25=0),1000000,INDEX('計算A'!BG$110:BG$114,$F25+1)+IF(AND($E25=1,OG25=0),1000,0)),1000000))</f>
        <v/>
      </c>
      <c r="XO25">
        <f>IF($B25=0,1000000,IF(INDEX('計算A'!$D$60:$II$104,$B25,57)*FA25=1,IF(AND($E25=2,OH25=0),1000000,INDEX('計算A'!BH$110:BH$114,$F25+1)+IF(AND($E25=1,OH25=0),1000,0)),1000000))</f>
        <v/>
      </c>
      <c r="XP25">
        <f>IF($B25=0,1000000,IF(INDEX('計算A'!$D$60:$II$104,$B25,58)*FB25=1,IF(AND($E25=2,OI25=0),1000000,INDEX('計算A'!BI$110:BI$114,$F25+1)+IF(AND($E25=1,OI25=0),1000,0)),1000000))</f>
        <v/>
      </c>
      <c r="XQ25">
        <f>IF($B25=0,1000000,IF(INDEX('計算A'!$D$60:$II$104,$B25,59)*FC25=1,IF(AND($E25=2,OJ25=0),1000000,INDEX('計算A'!BJ$110:BJ$114,$F25+1)+IF(AND($E25=1,OJ25=0),1000,0)),1000000))</f>
        <v/>
      </c>
      <c r="XR25">
        <f>IF($B25=0,1000000,IF(INDEX('計算A'!$D$60:$II$104,$B25,60)*FD25=1,IF(AND($E25=2,OK25=0),1000000,INDEX('計算A'!BK$110:BK$114,$F25+1)+IF(AND($E25=1,OK25=0),1000,0)),1000000))</f>
        <v/>
      </c>
      <c r="XS25">
        <f>IF($B25=0,1000000,IF(INDEX('計算A'!$D$60:$II$104,$B25,61)*FE25=1,IF(AND($E25=2,OL25=0),1000000,INDEX('計算A'!BL$110:BL$114,$F25+1)+IF(AND($E25=1,OL25=0),1000,0)),1000000))</f>
        <v/>
      </c>
      <c r="XT25">
        <f>IF($B25=0,1000000,IF(INDEX('計算A'!$D$60:$II$104,$B25,62)*FF25=1,IF(AND($E25=2,OM25=0),1000000,INDEX('計算A'!BM$110:BM$114,$F25+1)+IF(AND($E25=1,OM25=0),1000,0)),1000000))</f>
        <v/>
      </c>
      <c r="XU25">
        <f>IF($B25=0,1000000,IF(INDEX('計算A'!$D$60:$II$104,$B25,63)*FG25=1,IF(AND($E25=2,ON25=0),1000000,INDEX('計算A'!BN$110:BN$114,$F25+1)+IF(AND($E25=1,ON25=0),1000,0)),1000000))</f>
        <v/>
      </c>
      <c r="XV25">
        <f>IF($B25=0,1000000,IF(INDEX('計算A'!$D$60:$II$104,$B25,64)*FH25=1,IF(AND($E25=2,OO25=0),1000000,INDEX('計算A'!BO$110:BO$114,$F25+1)+IF(AND($E25=1,OO25=0),1000,0)),1000000))</f>
        <v/>
      </c>
      <c r="XW25">
        <f>IF($B25=0,1000000,IF(INDEX('計算A'!$D$60:$II$104,$B25,65)*FI25=1,IF(AND($E25=2,OP25=0),1000000,INDEX('計算A'!BP$110:BP$114,$F25+1)+IF(AND($E25=1,OP25=0),1000,0)),1000000))</f>
        <v/>
      </c>
      <c r="XX25">
        <f>IF($B25=0,1000000,IF(INDEX('計算A'!$D$60:$II$104,$B25,66)*FJ25=1,IF(AND($E25=2,OQ25=0),1000000,INDEX('計算A'!BQ$110:BQ$114,$F25+1)+IF(AND($E25=1,OQ25=0),1000,0)),1000000))</f>
        <v/>
      </c>
      <c r="XY25">
        <f>IF($B25=0,1000000,IF(INDEX('計算A'!$D$60:$II$104,$B25,67)*FK25=1,IF(AND($E25=2,OR25=0),1000000,INDEX('計算A'!BR$110:BR$114,$F25+1)+IF(AND($E25=1,OR25=0),1000,0)),1000000))</f>
        <v/>
      </c>
      <c r="XZ25">
        <f>IF($B25=0,1000000,IF(INDEX('計算A'!$D$60:$II$104,$B25,68)*FL25=1,IF(AND($E25=2,OS25=0),1000000,INDEX('計算A'!BS$110:BS$114,$F25+1)+IF(AND($E25=1,OS25=0),1000,0)),1000000))</f>
        <v/>
      </c>
      <c r="YA25">
        <f>IF($B25=0,1000000,IF(INDEX('計算A'!$D$60:$II$104,$B25,69)*FM25=1,IF(AND($E25=2,OT25=0),1000000,INDEX('計算A'!BT$110:BT$114,$F25+1)+IF(AND($E25=1,OT25=0),1000,0)),1000000))</f>
        <v/>
      </c>
      <c r="YB25">
        <f>IF($B25=0,1000000,IF(INDEX('計算A'!$D$60:$II$104,$B25,70)*FN25=1,IF(AND($E25=2,OU25=0),1000000,INDEX('計算A'!BU$110:BU$114,$F25+1)+IF(AND($E25=1,OU25=0),1000,0)),1000000))</f>
        <v/>
      </c>
      <c r="YC25">
        <f>IF($B25=0,1000000,IF(INDEX('計算A'!$D$60:$II$104,$B25,71)*FO25=1,IF(AND($E25=2,OV25=0),1000000,INDEX('計算A'!BV$110:BV$114,$F25+1)+IF(AND($E25=1,OV25=0),1000,0)),1000000))</f>
        <v/>
      </c>
      <c r="YD25">
        <f>IF($B25=0,1000000,IF(INDEX('計算A'!$D$60:$II$104,$B25,72)*FP25=1,IF(AND($E25=2,OW25=0),1000000,INDEX('計算A'!BW$110:BW$114,$F25+1)+IF(AND($E25=1,OW25=0),1000,0)),1000000))</f>
        <v/>
      </c>
      <c r="YE25">
        <f>IF($B25=0,1000000,IF(INDEX('計算A'!$D$60:$II$104,$B25,73)*FQ25=1,IF(AND($E25=2,OX25=0),1000000,INDEX('計算A'!BX$110:BX$114,$F25+1)+IF(AND($E25=1,OX25=0),1000,0)),1000000))</f>
        <v/>
      </c>
      <c r="YF25">
        <f>IF($B25=0,1000000,IF(INDEX('計算A'!$D$60:$II$104,$B25,74)*FR25=1,IF(AND($E25=2,OY25=0),1000000,INDEX('計算A'!BY$110:BY$114,$F25+1)+IF(AND($E25=1,OY25=0),1000,0)),1000000))</f>
        <v/>
      </c>
      <c r="YG25">
        <f>IF($B25=0,1000000,IF(INDEX('計算A'!$D$60:$II$104,$B25,75)*FS25=1,IF(AND($E25=2,OZ25=0),1000000,INDEX('計算A'!BZ$110:BZ$114,$F25+1)+IF(AND($E25=1,OZ25=0),1000,0)),1000000))</f>
        <v/>
      </c>
      <c r="YH25">
        <f>IF($B25=0,1000000,IF(INDEX('計算A'!$D$60:$II$104,$B25,76)*FT25=1,IF(AND($E25=2,PA25=0),1000000,INDEX('計算A'!CA$110:CA$114,$F25+1)+IF(AND($E25=1,PA25=0),1000,0)),1000000))</f>
        <v/>
      </c>
      <c r="YI25">
        <f>IF($B25=0,1000000,IF(INDEX('計算A'!$D$60:$II$104,$B25,77)*FU25=1,IF(AND($E25=2,PB25=0),1000000,INDEX('計算A'!CB$110:CB$114,$F25+1)+IF(AND($E25=1,PB25=0),1000,0)),1000000))</f>
        <v/>
      </c>
      <c r="YJ25">
        <f>IF($B25=0,1000000,IF(INDEX('計算A'!$D$60:$II$104,$B25,78)*FV25=1,IF(AND($E25=2,PC25=0),1000000,INDEX('計算A'!CC$110:CC$114,$F25+1)+IF(AND($E25=1,PC25=0),1000,0)),1000000))</f>
        <v/>
      </c>
      <c r="YK25">
        <f>IF($B25=0,1000000,IF(INDEX('計算A'!$D$60:$II$104,$B25,79)*FW25=1,IF(AND($E25=2,PD25=0),1000000,INDEX('計算A'!CD$110:CD$114,$F25+1)+IF(AND($E25=1,PD25=0),1000,0)),1000000))</f>
        <v/>
      </c>
      <c r="YL25">
        <f>IF($B25=0,1000000,IF(INDEX('計算A'!$D$60:$II$104,$B25,80)*FX25=1,IF(AND($E25=2,PE25=0),1000000,INDEX('計算A'!CE$110:CE$114,$F25+1)+IF(AND($E25=1,PE25=0),1000,0)),1000000))</f>
        <v/>
      </c>
      <c r="YM25">
        <f>IF($B25=0,1000000,IF(INDEX('計算A'!$D$60:$II$104,$B25,81)*FY25=1,IF(AND($E25=2,PF25=0),1000000,INDEX('計算A'!CF$110:CF$114,$F25+1)+IF(AND($E25=1,PF25=0),1000,0)),1000000))</f>
        <v/>
      </c>
      <c r="YN25">
        <f>IF($B25=0,1000000,IF(INDEX('計算A'!$D$60:$II$104,$B25,82)*FZ25=1,IF(AND($E25=2,PG25=0),1000000,INDEX('計算A'!CG$110:CG$114,$F25+1)+IF(AND($E25=1,PG25=0),1000,0)),1000000))</f>
        <v/>
      </c>
      <c r="YO25">
        <f>IF($B25=0,1000000,IF(INDEX('計算A'!$D$60:$II$104,$B25,83)*GA25=1,IF(AND($E25=2,PH25=0),1000000,INDEX('計算A'!CH$110:CH$114,$F25+1)+IF(AND($E25=1,PH25=0),1000,0)),1000000))</f>
        <v/>
      </c>
      <c r="YP25">
        <f>IF($B25=0,1000000,IF(INDEX('計算A'!$D$60:$II$104,$B25,84)*GB25=1,IF(AND($E25=2,PI25=0),1000000,INDEX('計算A'!CI$110:CI$114,$F25+1)+IF(AND($E25=1,PI25=0),1000,0)),1000000))</f>
        <v/>
      </c>
      <c r="YQ25">
        <f>IF($B25=0,1000000,IF(INDEX('計算A'!$D$60:$II$104,$B25,85)*GC25=1,IF(AND($E25=2,PJ25=0),1000000,INDEX('計算A'!CJ$110:CJ$114,$F25+1)+IF(AND($E25=1,PJ25=0),1000,0)),1000000))</f>
        <v/>
      </c>
      <c r="YR25">
        <f>IF($B25=0,1000000,IF(INDEX('計算A'!$D$60:$II$104,$B25,86)*GD25=1,IF(AND($E25=2,PK25=0),1000000,INDEX('計算A'!CK$110:CK$114,$F25+1)+IF(AND($E25=1,PK25=0),1000,0)),1000000))</f>
        <v/>
      </c>
      <c r="YS25">
        <f>IF($B25=0,1000000,IF(INDEX('計算A'!$D$60:$II$104,$B25,87)*GE25=1,IF(AND($E25=2,PL25=0),1000000,INDEX('計算A'!CL$110:CL$114,$F25+1)+IF(AND($E25=1,PL25=0),1000,0)),1000000))</f>
        <v/>
      </c>
      <c r="YT25">
        <f>IF($B25=0,1000000,IF(INDEX('計算A'!$D$60:$II$104,$B25,88)*GF25=1,IF(AND($E25=2,PM25=0),1000000,INDEX('計算A'!CM$110:CM$114,$F25+1)+IF(AND($E25=1,PM25=0),1000,0)),1000000))</f>
        <v/>
      </c>
      <c r="YU25">
        <f>IF($B25=0,1000000,IF(INDEX('計算A'!$D$60:$II$104,$B25,89)*GG25=1,IF(AND($E25=2,PN25=0),1000000,INDEX('計算A'!CN$110:CN$114,$F25+1)+IF(AND($E25=1,PN25=0),1000,0)),1000000))</f>
        <v/>
      </c>
      <c r="YV25">
        <f>IF($B25=0,1000000,IF(INDEX('計算A'!$D$60:$II$104,$B25,90)*GH25=1,IF(AND($E25=2,PO25=0),1000000,INDEX('計算A'!CO$110:CO$114,$F25+1)+IF(AND($E25=1,PO25=0),1000,0)),1000000))</f>
        <v/>
      </c>
      <c r="YW25">
        <f>IF($B25=0,1000000,IF(INDEX('計算A'!$D$60:$II$104,$B25,91)*GI25=1,IF(AND($E25=2,PP25=0),1000000,INDEX('計算A'!CP$110:CP$114,$F25+1)+IF(AND($E25=1,PP25=0),1000,0)),1000000))</f>
        <v/>
      </c>
      <c r="YX25">
        <f>IF($B25=0,1000000,IF(INDEX('計算A'!$D$60:$II$104,$B25,92)*GJ25=1,IF(AND($E25=2,PQ25=0),1000000,INDEX('計算A'!CQ$110:CQ$114,$F25+1)+IF(AND($E25=1,PQ25=0),1000,0)),1000000))</f>
        <v/>
      </c>
      <c r="YY25">
        <f>IF($B25=0,1000000,IF(INDEX('計算A'!$D$60:$II$104,$B25,93)*GK25=1,IF(AND($E25=2,PR25=0),1000000,INDEX('計算A'!CR$110:CR$114,$F25+1)+IF(AND($E25=1,PR25=0),1000,0)),1000000))</f>
        <v/>
      </c>
      <c r="YZ25">
        <f>IF($B25=0,1000000,IF(INDEX('計算A'!$D$60:$II$104,$B25,94)*GL25=1,IF(AND($E25=2,PS25=0),1000000,INDEX('計算A'!CS$110:CS$114,$F25+1)+IF(AND($E25=1,PS25=0),1000,0)),1000000))</f>
        <v/>
      </c>
      <c r="ZA25">
        <f>IF($B25=0,1000000,IF(INDEX('計算A'!$D$60:$II$104,$B25,95)*GM25=1,IF(AND($E25=2,PT25=0),1000000,INDEX('計算A'!CT$110:CT$114,$F25+1)+IF(AND($E25=1,PT25=0),1000,0)),1000000))</f>
        <v/>
      </c>
      <c r="ZB25">
        <f>IF($B25=0,1000000,IF(INDEX('計算A'!$D$60:$II$104,$B25,96)*GN25=1,IF(AND($E25=2,PU25=0),1000000,INDEX('計算A'!CU$110:CU$114,$F25+1)+IF(AND($E25=1,PU25=0),1000,0)),1000000))</f>
        <v/>
      </c>
      <c r="ZC25">
        <f>IF($B25=0,1000000,IF(INDEX('計算A'!$D$60:$II$104,$B25,97)*GO25=1,IF(AND($E25=2,PV25=0),1000000,INDEX('計算A'!CV$110:CV$114,$F25+1)+IF(AND($E25=1,PV25=0),1000,0)),1000000))</f>
        <v/>
      </c>
      <c r="ZD25">
        <f>IF($B25=0,1000000,IF(INDEX('計算A'!$D$60:$II$104,$B25,98)*GP25=1,IF(AND($E25=2,PW25=0),1000000,INDEX('計算A'!CW$110:CW$114,$F25+1)+IF(AND($E25=1,PW25=0),1000,0)),1000000))</f>
        <v/>
      </c>
      <c r="ZE25">
        <f>IF($B25=0,1000000,IF(INDEX('計算A'!$D$60:$II$104,$B25,99)*GQ25=1,IF(AND($E25=2,PX25=0),1000000,INDEX('計算A'!CX$110:CX$114,$F25+1)+IF(AND($E25=1,PX25=0),1000,0)),1000000))</f>
        <v/>
      </c>
      <c r="ZF25">
        <f>IF($B25=0,1000000,IF(INDEX('計算A'!$D$60:$II$104,$B25,100)*GR25=1,IF(AND($E25=2,PY25=0),1000000,INDEX('計算A'!CY$110:CY$114,$F25+1)+IF(AND($E25=1,PY25=0),1000,0)),1000000))</f>
        <v/>
      </c>
      <c r="ZG25">
        <f>IF($B25=0,1000000,IF(INDEX('計算A'!$D$60:$II$104,$B25,101)*GS25=1,IF(AND($E25=2,PZ25=0),1000000,INDEX('計算A'!CZ$110:CZ$114,$F25+1)+IF(AND($E25=1,PZ25=0),1000,0)),1000000))</f>
        <v/>
      </c>
      <c r="ZH25">
        <f>IF($B25=0,1000000,IF(INDEX('計算A'!$D$60:$II$104,$B25,102)*GT25=1,IF(AND($E25=2,QA25=0),1000000,INDEX('計算A'!DA$110:DA$114,$F25+1)+IF(AND($E25=1,QA25=0),1000,0)),1000000))</f>
        <v/>
      </c>
      <c r="ZI25">
        <f>IF($B25=0,1000000,IF(INDEX('計算A'!$D$60:$II$104,$B25,103)*GU25=1,IF(AND($E25=2,QB25=0),1000000,INDEX('計算A'!DB$110:DB$114,$F25+1)+IF(AND($E25=1,QB25=0),1000,0)),1000000))</f>
        <v/>
      </c>
      <c r="ZJ25">
        <f>IF($B25=0,1000000,IF(INDEX('計算A'!$D$60:$II$104,$B25,104)*GV25=1,IF(AND($E25=2,QC25=0),1000000,INDEX('計算A'!DC$110:DC$114,$F25+1)+IF(AND($E25=1,QC25=0),1000,0)),1000000))</f>
        <v/>
      </c>
      <c r="ZK25">
        <f>IF($B25=0,1000000,IF(INDEX('計算A'!$D$60:$II$104,$B25,105)*GW25=1,IF(AND($E25=2,QD25=0),1000000,INDEX('計算A'!DD$110:DD$114,$F25+1)+IF(AND($E25=1,QD25=0),1000,0)),1000000))</f>
        <v/>
      </c>
      <c r="ZL25">
        <f>IF($B25=0,1000000,IF(INDEX('計算A'!$D$60:$II$104,$B25,106)*GX25=1,IF(AND($E25=2,QE25=0),1000000,INDEX('計算A'!DE$110:DE$114,$F25+1)+IF(AND($E25=1,QE25=0),1000,0)),1000000))</f>
        <v/>
      </c>
      <c r="ZM25">
        <f>IF($B25=0,1000000,IF(INDEX('計算A'!$D$60:$II$104,$B25,107)*GY25=1,IF(AND($E25=2,QF25=0),1000000,INDEX('計算A'!DF$110:DF$114,$F25+1)+IF(AND($E25=1,QF25=0),1000,0)),1000000))</f>
        <v/>
      </c>
      <c r="ZN25">
        <f>IF($B25=0,1000000,IF(INDEX('計算A'!$D$60:$II$104,$B25,108)*GZ25=1,IF(AND($E25=2,QG25=0),1000000,INDEX('計算A'!DG$110:DG$114,$F25+1)+IF(AND($E25=1,QG25=0),1000,0)),1000000))</f>
        <v/>
      </c>
      <c r="ZO25">
        <f>IF($B25=0,1000000,IF(INDEX('計算A'!$D$60:$II$104,$B25,109)*HA25=1,IF(AND($E25=2,QH25=0),1000000,INDEX('計算A'!DH$110:DH$114,$F25+1)+IF(AND($E25=1,QH25=0),1000,0)),1000000))</f>
        <v/>
      </c>
      <c r="ZP25">
        <f>IF($B25=0,1000000,IF(INDEX('計算A'!$D$60:$II$104,$B25,110)*HB25=1,IF(AND($E25=2,QI25=0),1000000,INDEX('計算A'!DI$110:DI$114,$F25+1)+IF(AND($E25=1,QI25=0),1000,0)),1000000))</f>
        <v/>
      </c>
      <c r="ZQ25">
        <f>IF($B25=0,1000000,IF(INDEX('計算A'!$D$60:$II$104,$B25,111)*HC25=1,IF(AND($E25=2,QJ25=0),1000000,INDEX('計算A'!DJ$110:DJ$114,$F25+1)+IF(AND($E25=1,QJ25=0),1000,0)),1000000))</f>
        <v/>
      </c>
      <c r="ZR25">
        <f>IF($B25=0,1000000,IF(INDEX('計算A'!$D$60:$II$104,$B25,112)*HD25=1,IF(AND($E25=2,QK25=0),1000000,INDEX('計算A'!DK$110:DK$114,$F25+1)+IF(AND($E25=1,QK25=0),1000,0)),1000000))</f>
        <v/>
      </c>
      <c r="ZS25">
        <f>IF($B25=0,1000000,IF(INDEX('計算A'!$D$60:$II$104,$B25,113)*HE25=1,IF(AND($E25=2,QL25=0),1000000,INDEX('計算A'!DL$110:DL$114,$F25+1)+IF(AND($E25=1,QL25=0),1000,0)),1000000))</f>
        <v/>
      </c>
      <c r="ZT25">
        <f>IF($B25=0,1000000,IF(INDEX('計算A'!$D$60:$II$104,$B25,114)*HF25=1,IF(AND($E25=2,QM25=0),1000000,INDEX('計算A'!DM$110:DM$114,$F25+1)+IF(AND($E25=1,QM25=0),1000,0)),1000000))</f>
        <v/>
      </c>
      <c r="ZU25">
        <f>IF($B25=0,1000000,IF(INDEX('計算A'!$D$60:$II$104,$B25,115)*HG25=1,IF(AND($E25=2,QN25=0),1000000,INDEX('計算A'!DN$110:DN$114,$F25+1)+IF(AND($E25=1,QN25=0),1000,0)),1000000))</f>
        <v/>
      </c>
      <c r="ZV25">
        <f>IF($B25=0,1000000,IF(INDEX('計算A'!$D$60:$II$104,$B25,116)*HH25=1,IF(AND($E25=2,QO25=0),1000000,INDEX('計算A'!DO$110:DO$114,$F25+1)+IF(AND($E25=1,QO25=0),1000,0)),1000000))</f>
        <v/>
      </c>
      <c r="ZW25">
        <f>IF($B25=0,1000000,IF(INDEX('計算A'!$D$60:$II$104,$B25,117)*HI25=1,IF(AND($E25=2,QP25=0),1000000,INDEX('計算A'!DP$110:DP$114,$F25+1)+IF(AND($E25=1,QP25=0),1000,0)),1000000))</f>
        <v/>
      </c>
      <c r="ZX25">
        <f>IF($B25=0,1000000,IF(INDEX('計算A'!$D$60:$II$104,$B25,118)*HJ25=1,IF(AND($E25=2,QQ25=0),1000000,INDEX('計算A'!DQ$110:DQ$114,$F25+1)+IF(AND($E25=1,QQ25=0),1000,0)),1000000))</f>
        <v/>
      </c>
      <c r="ZY25">
        <f>IF($B25=0,1000000,IF(INDEX('計算A'!$D$60:$II$104,$B25,119)*HK25=1,IF(AND($E25=2,QR25=0),1000000,INDEX('計算A'!DR$110:DR$114,$F25+1)+IF(AND($E25=1,QR25=0),1000,0)),1000000))</f>
        <v/>
      </c>
      <c r="ZZ25">
        <f>IF($B25=0,1000000,IF(INDEX('計算A'!$D$60:$II$104,$B25,120)*HL25=1,IF(AND($E25=2,QS25=0),1000000,INDEX('計算A'!DS$110:DS$114,$F25+1)+IF(AND($E25=1,QS25=0),1000,0)),1000000))</f>
        <v/>
      </c>
      <c r="AAA25">
        <f>IF($B25=0,1000000,IF(INDEX('計算A'!$D$60:$II$104,$B25,121)*HM25=1,IF(AND($E25=2,QT25=0),1000000,INDEX('計算A'!DT$110:DT$114,$F25+1)+IF(AND($E25=1,QT25=0),1000,0)),1000000))</f>
        <v/>
      </c>
      <c r="AAB25">
        <f>IF($B25=0,1000000,IF(INDEX('計算A'!$D$60:$II$104,$B25,122)*HN25=1,IF(AND($E25=2,QU25=0),1000000,INDEX('計算A'!DU$110:DU$114,$F25+1)+IF(AND($E25=1,QU25=0),1000,0)),1000000))</f>
        <v/>
      </c>
      <c r="AAC25">
        <f>IF($B25=0,1000000,IF(INDEX('計算A'!$D$60:$II$104,$B25,123)*HO25=1,IF(AND($E25=2,QV25=0),1000000,INDEX('計算A'!DV$110:DV$114,$F25+1)+IF(AND($E25=1,QV25=0),1000,0)),1000000))</f>
        <v/>
      </c>
      <c r="AAD25">
        <f>IF($B25=0,1000000,IF(INDEX('計算A'!$D$60:$II$104,$B25,124)*HP25=1,IF(AND($E25=2,QW25=0),1000000,INDEX('計算A'!DW$110:DW$114,$F25+1)+IF(AND($E25=1,QW25=0),1000,0)),1000000))</f>
        <v/>
      </c>
      <c r="AAE25">
        <f>IF($B25=0,1000000,IF(INDEX('計算A'!$D$60:$II$104,$B25,125)*HQ25=1,IF(AND($E25=2,QX25=0),1000000,INDEX('計算A'!DX$110:DX$114,$F25+1)+IF(AND($E25=1,QX25=0),1000,0)),1000000))</f>
        <v/>
      </c>
      <c r="AAF25">
        <f>IF($B25=0,1000000,IF(INDEX('計算A'!$D$60:$II$104,$B25,126)*HR25=1,IF(AND($E25=2,QY25=0),1000000,INDEX('計算A'!DY$110:DY$114,$F25+1)+IF(AND($E25=1,QY25=0),1000,0)),1000000))</f>
        <v/>
      </c>
      <c r="AAG25">
        <f>IF($B25=0,1000000,IF(INDEX('計算A'!$D$60:$II$104,$B25,127)*HS25=1,IF(AND($E25=2,QZ25=0),1000000,INDEX('計算A'!DZ$110:DZ$114,$F25+1)+IF(AND($E25=1,QZ25=0),1000,0)),1000000))</f>
        <v/>
      </c>
      <c r="AAH25">
        <f>IF($B25=0,1000000,IF(INDEX('計算A'!$D$60:$II$104,$B25,128)*HT25=1,IF(AND($E25=2,RA25=0),1000000,INDEX('計算A'!EA$110:EA$114,$F25+1)+IF(AND($E25=1,RA25=0),1000,0)),1000000))</f>
        <v/>
      </c>
      <c r="AAI25">
        <f>IF($B25=0,1000000,IF(INDEX('計算A'!$D$60:$II$104,$B25,129)*HU25=1,IF(AND($E25=2,RB25=0),1000000,INDEX('計算A'!EB$110:EB$114,$F25+1)+IF(AND($E25=1,RB25=0),1000,0)),1000000))</f>
        <v/>
      </c>
      <c r="AAJ25">
        <f>IF($B25=0,1000000,IF(INDEX('計算A'!$D$60:$II$104,$B25,130)*HV25=1,IF(AND($E25=2,RC25=0),1000000,INDEX('計算A'!EC$110:EC$114,$F25+1)+IF(AND($E25=1,RC25=0),1000,0)),1000000))</f>
        <v/>
      </c>
      <c r="AAK25">
        <f>IF($B25=0,1000000,IF(INDEX('計算A'!$D$60:$II$104,$B25,131)*HW25=1,IF(AND($E25=2,RD25=0),1000000,INDEX('計算A'!ED$110:ED$114,$F25+1)+IF(AND($E25=1,RD25=0),1000,0)),1000000))</f>
        <v/>
      </c>
      <c r="AAL25">
        <f>IF($B25=0,1000000,IF(INDEX('計算A'!$D$60:$II$104,$B25,132)*HX25=1,IF(AND($E25=2,RE25=0),1000000,INDEX('計算A'!EE$110:EE$114,$F25+1)+IF(AND($E25=1,RE25=0),1000,0)),1000000))</f>
        <v/>
      </c>
      <c r="AAM25">
        <f>IF($B25=0,1000000,IF(INDEX('計算A'!$D$60:$II$104,$B25,133)*HY25=1,IF(AND($E25=2,RF25=0),1000000,INDEX('計算A'!EF$110:EF$114,$F25+1)+IF(AND($E25=1,RF25=0),1000,0)),1000000))</f>
        <v/>
      </c>
      <c r="AAN25">
        <f>IF($B25=0,1000000,IF(INDEX('計算A'!$D$60:$II$104,$B25,134)*HZ25=1,IF(AND($E25=2,RG25=0),1000000,INDEX('計算A'!EG$110:EG$114,$F25+1)+IF(AND($E25=1,RG25=0),1000,0)),1000000))</f>
        <v/>
      </c>
      <c r="AAO25">
        <f>IF($B25=0,1000000,IF(INDEX('計算A'!$D$60:$II$104,$B25,135)*IA25=1,IF(AND($E25=2,RH25=0),1000000,INDEX('計算A'!EH$110:EH$114,$F25+1)+IF(AND($E25=1,RH25=0),1000,0)),1000000))</f>
        <v/>
      </c>
      <c r="AAP25">
        <f>IF($B25=0,1000000,IF(INDEX('計算A'!$D$60:$II$104,$B25,136)*IB25=1,IF(AND($E25=2,RI25=0),1000000,INDEX('計算A'!EI$110:EI$114,$F25+1)+IF(AND($E25=1,RI25=0),1000,0)),1000000))</f>
        <v/>
      </c>
      <c r="AAQ25">
        <f>IF($B25=0,1000000,IF(INDEX('計算A'!$D$60:$II$104,$B25,137)*IC25=1,IF(AND($E25=2,RJ25=0),1000000,INDEX('計算A'!EJ$110:EJ$114,$F25+1)+IF(AND($E25=1,RJ25=0),1000,0)),1000000))</f>
        <v/>
      </c>
      <c r="AAR25">
        <f>IF($B25=0,1000000,IF(INDEX('計算A'!$D$60:$II$104,$B25,138)*ID25=1,IF(AND($E25=2,RK25=0),1000000,INDEX('計算A'!EK$110:EK$114,$F25+1)+IF(AND($E25=1,RK25=0),1000,0)),1000000))</f>
        <v/>
      </c>
      <c r="AAS25">
        <f>IF($B25=0,1000000,IF(INDEX('計算A'!$D$60:$II$104,$B25,139)*IE25=1,IF(AND($E25=2,RL25=0),1000000,INDEX('計算A'!EL$110:EL$114,$F25+1)+IF(AND($E25=1,RL25=0),1000,0)),1000000))</f>
        <v/>
      </c>
      <c r="AAT25">
        <f>IF($B25=0,1000000,IF(INDEX('計算A'!$D$60:$II$104,$B25,140)*IF25=1,IF(AND($E25=2,RM25=0),1000000,INDEX('計算A'!EM$110:EM$114,$F25+1)+IF(AND($E25=1,RM25=0),1000,0)),1000000))</f>
        <v/>
      </c>
      <c r="AAU25">
        <f>IF($B25=0,1000000,IF(INDEX('計算A'!$D$60:$II$104,$B25,141)*IG25=1,IF(AND($E25=2,RN25=0),1000000,INDEX('計算A'!EN$110:EN$114,$F25+1)+IF(AND($E25=1,RN25=0),1000,0)),1000000))</f>
        <v/>
      </c>
      <c r="AAV25">
        <f>IF($B25=0,1000000,IF(INDEX('計算A'!$D$60:$II$104,$B25,142)*IH25=1,IF(AND($E25=2,RO25=0),1000000,INDEX('計算A'!EO$110:EO$114,$F25+1)+IF(AND($E25=1,RO25=0),1000,0)),1000000))</f>
        <v/>
      </c>
      <c r="AAW25">
        <f>IF($B25=0,1000000,IF(INDEX('計算A'!$D$60:$II$104,$B25,143)*II25=1,IF(AND($E25=2,RP25=0),1000000,INDEX('計算A'!EP$110:EP$114,$F25+1)+IF(AND($E25=1,RP25=0),1000,0)),1000000))</f>
        <v/>
      </c>
      <c r="AAX25">
        <f>IF($B25=0,1000000,IF(INDEX('計算A'!$D$60:$II$104,$B25,144)*IJ25=1,IF(AND($E25=2,RQ25=0),1000000,INDEX('計算A'!EQ$110:EQ$114,$F25+1)+IF(AND($E25=1,RQ25=0),1000,0)),1000000))</f>
        <v/>
      </c>
      <c r="AAY25">
        <f>IF($B25=0,1000000,IF(INDEX('計算A'!$D$60:$II$104,$B25,145)*IK25=1,IF(AND($E25=2,RR25=0),1000000,INDEX('計算A'!ER$110:ER$114,$F25+1)+IF(AND($E25=1,RR25=0),1000,0)),1000000))</f>
        <v/>
      </c>
      <c r="AAZ25">
        <f>IF($B25=0,1000000,IF(INDEX('計算A'!$D$60:$II$104,$B25,146)*IL25=1,IF(AND($E25=2,RS25=0),1000000,INDEX('計算A'!ES$110:ES$114,$F25+1)+IF(AND($E25=1,RS25=0),1000,0)),1000000))</f>
        <v/>
      </c>
      <c r="ABA25">
        <f>IF($B25=0,1000000,IF(INDEX('計算A'!$D$60:$II$104,$B25,147)*IM25=1,IF(AND($E25=2,RT25=0),1000000,INDEX('計算A'!ET$110:ET$114,$F25+1)+IF(AND($E25=1,RT25=0),1000,0)),1000000))</f>
        <v/>
      </c>
      <c r="ABB25">
        <f>IF($B25=0,1000000,IF(INDEX('計算A'!$D$60:$II$104,$B25,148)*IN25=1,IF(AND($E25=2,RU25=0),1000000,INDEX('計算A'!EU$110:EU$114,$F25+1)+IF(AND($E25=1,RU25=0),1000,0)),1000000))</f>
        <v/>
      </c>
      <c r="ABC25">
        <f>IF($B25=0,1000000,IF(INDEX('計算A'!$D$60:$II$104,$B25,149)*IO25=1,IF(AND($E25=2,RV25=0),1000000,INDEX('計算A'!EV$110:EV$114,$F25+1)+IF(AND($E25=1,RV25=0),1000,0)),1000000))</f>
        <v/>
      </c>
      <c r="ABD25">
        <f>IF($B25=0,1000000,IF(INDEX('計算A'!$D$60:$II$104,$B25,150)*IP25=1,IF(AND($E25=2,RW25=0),1000000,INDEX('計算A'!EW$110:EW$114,$F25+1)+IF(AND($E25=1,RW25=0),1000,0)),1000000))</f>
        <v/>
      </c>
      <c r="ABE25">
        <f>IF($B25=0,1000000,IF(INDEX('計算A'!$D$60:$II$104,$B25,151)*IQ25=1,IF(AND($E25=2,RX25=0),1000000,INDEX('計算A'!EX$110:EX$114,$F25+1)+IF(AND($E25=1,RX25=0),1000,0)),1000000))</f>
        <v/>
      </c>
      <c r="ABF25">
        <f>IF($B25=0,1000000,IF(INDEX('計算A'!$D$60:$II$104,$B25,152)*IR25=1,IF(AND($E25=2,RY25=0),1000000,INDEX('計算A'!EY$110:EY$114,$F25+1)+IF(AND($E25=1,RY25=0),1000,0)),1000000))</f>
        <v/>
      </c>
      <c r="ABG25">
        <f>IF($B25=0,1000000,IF(INDEX('計算A'!$D$60:$II$104,$B25,153)*IS25=1,IF(AND($E25=2,RZ25=0),1000000,INDEX('計算A'!EZ$110:EZ$114,$F25+1)+IF(AND($E25=1,RZ25=0),1000,0)),1000000))</f>
        <v/>
      </c>
      <c r="ABH25">
        <f>IF($B25=0,1000000,IF(INDEX('計算A'!$D$60:$II$104,$B25,154)*IT25=1,IF(AND($E25=2,SA25=0),1000000,INDEX('計算A'!FA$110:FA$114,$F25+1)+IF(AND($E25=1,SA25=0),1000,0)),1000000))</f>
        <v/>
      </c>
      <c r="ABI25">
        <f>IF($B25=0,1000000,IF(INDEX('計算A'!$D$60:$II$104,$B25,155)*IU25=1,IF(AND($E25=2,SB25=0),1000000,INDEX('計算A'!FB$110:FB$114,$F25+1)+IF(AND($E25=1,SB25=0),1000,0)),1000000))</f>
        <v/>
      </c>
      <c r="ABJ25">
        <f>IF($B25=0,1000000,IF(INDEX('計算A'!$D$60:$II$104,$B25,156)*IV25=1,IF(AND($E25=2,SC25=0),1000000,INDEX('計算A'!FC$110:FC$114,$F25+1)+IF(AND($E25=1,SC25=0),1000,0)),1000000))</f>
        <v/>
      </c>
      <c r="ABK25">
        <f>IF($B25=0,1000000,IF(INDEX('計算A'!$D$60:$II$104,$B25,157)*IW25=1,IF(AND($E25=2,SD25=0),1000000,INDEX('計算A'!FD$110:FD$114,$F25+1)+IF(AND($E25=1,SD25=0),1000,0)),1000000))</f>
        <v/>
      </c>
      <c r="ABL25">
        <f>IF($B25=0,1000000,IF(INDEX('計算A'!$D$60:$II$104,$B25,158)*IX25=1,IF(AND($E25=2,SE25=0),1000000,INDEX('計算A'!FE$110:FE$114,$F25+1)+IF(AND($E25=1,SE25=0),1000,0)),1000000))</f>
        <v/>
      </c>
      <c r="ABM25">
        <f>IF($B25=0,1000000,IF(INDEX('計算A'!$D$60:$II$104,$B25,159)*IY25=1,IF(AND($E25=2,SF25=0),1000000,INDEX('計算A'!FF$110:FF$114,$F25+1)+IF(AND($E25=1,SF25=0),1000,0)),1000000))</f>
        <v/>
      </c>
      <c r="ABN25">
        <f>IF($B25=0,1000000,IF(INDEX('計算A'!$D$60:$II$104,$B25,160)*IZ25=1,IF(AND($E25=2,SG25=0),1000000,INDEX('計算A'!FG$110:FG$114,$F25+1)+IF(AND($E25=1,SG25=0),1000,0)),1000000))</f>
        <v/>
      </c>
      <c r="ABO25">
        <f>IF($B25=0,1000000,IF(INDEX('計算A'!$D$60:$II$104,$B25,161)*JA25=1,IF(AND($E25=2,SH25=0),1000000,INDEX('計算A'!FH$110:FH$114,$F25+1)+IF(AND($E25=1,SH25=0),1000,0)),1000000))</f>
        <v/>
      </c>
      <c r="ABP25">
        <f>IF($B25=0,1000000,IF(INDEX('計算A'!$D$60:$II$104,$B25,162)*JB25=1,IF(AND($E25=2,SI25=0),1000000,INDEX('計算A'!FI$110:FI$114,$F25+1)+IF(AND($E25=1,SI25=0),1000,0)),1000000))</f>
        <v/>
      </c>
      <c r="ABQ25">
        <f>IF($B25=0,1000000,IF(INDEX('計算A'!$D$60:$II$104,$B25,163)*JC25=1,IF(AND($E25=2,SJ25=0),1000000,INDEX('計算A'!FJ$110:FJ$114,$F25+1)+IF(AND($E25=1,SJ25=0),1000,0)),1000000))</f>
        <v/>
      </c>
      <c r="ABR25">
        <f>IF($B25=0,1000000,IF(INDEX('計算A'!$D$60:$II$104,$B25,164)*JD25=1,IF(AND($E25=2,SK25=0),1000000,INDEX('計算A'!FK$110:FK$114,$F25+1)+IF(AND($E25=1,SK25=0),1000,0)),1000000))</f>
        <v/>
      </c>
      <c r="ABS25">
        <f>IF($B25=0,1000000,IF(INDEX('計算A'!$D$60:$II$104,$B25,165)*JE25=1,IF(AND($E25=2,SL25=0),1000000,INDEX('計算A'!FL$110:FL$114,$F25+1)+IF(AND($E25=1,SL25=0),1000,0)),1000000))</f>
        <v/>
      </c>
      <c r="ABT25">
        <f>IF($B25=0,1000000,IF(INDEX('計算A'!$D$60:$II$104,$B25,166)*JF25=1,IF(AND($E25=2,SM25=0),1000000,INDEX('計算A'!FM$110:FM$114,$F25+1)+IF(AND($E25=1,SM25=0),1000,0)),1000000))</f>
        <v/>
      </c>
      <c r="ABU25">
        <f>IF($B25=0,1000000,IF(INDEX('計算A'!$D$60:$II$104,$B25,167)*JG25=1,IF(AND($E25=2,SN25=0),1000000,INDEX('計算A'!FN$110:FN$114,$F25+1)+IF(AND($E25=1,SN25=0),1000,0)),1000000))</f>
        <v/>
      </c>
      <c r="ABV25">
        <f>IF($B25=0,1000000,IF(INDEX('計算A'!$D$60:$II$104,$B25,168)*JH25=1,IF(AND($E25=2,SO25=0),1000000,INDEX('計算A'!FO$110:FO$114,$F25+1)+IF(AND($E25=1,SO25=0),1000,0)),1000000))</f>
        <v/>
      </c>
      <c r="ABW25">
        <f>IF($B25=0,1000000,IF(INDEX('計算A'!$D$60:$II$104,$B25,169)*JI25=1,IF(AND($E25=2,SP25=0),1000000,INDEX('計算A'!FP$110:FP$114,$F25+1)+IF(AND($E25=1,SP25=0),1000,0)),1000000))</f>
        <v/>
      </c>
      <c r="ABX25">
        <f>IF($B25=0,1000000,IF(INDEX('計算A'!$D$60:$II$104,$B25,170)*JJ25=1,IF(AND($E25=2,SQ25=0),1000000,INDEX('計算A'!FQ$110:FQ$114,$F25+1)+IF(AND($E25=1,SQ25=0),1000,0)),1000000))</f>
        <v/>
      </c>
      <c r="ABY25">
        <f>IF($B25=0,1000000,IF(INDEX('計算A'!$D$60:$II$104,$B25,171)*JK25=1,IF(AND($E25=2,SR25=0),1000000,INDEX('計算A'!FR$110:FR$114,$F25+1)+IF(AND($E25=1,SR25=0),1000,0)),1000000))</f>
        <v/>
      </c>
      <c r="ABZ25">
        <f>IF($B25=0,1000000,IF(INDEX('計算A'!$D$60:$II$104,$B25,172)*JL25=1,IF(AND($E25=2,SS25=0),1000000,INDEX('計算A'!FS$110:FS$114,$F25+1)+IF(AND($E25=1,SS25=0),1000,0)),1000000))</f>
        <v/>
      </c>
      <c r="ACA25">
        <f>IF($B25=0,1000000,IF(INDEX('計算A'!$D$60:$II$104,$B25,173)*JM25=1,IF(AND($E25=2,ST25=0),1000000,INDEX('計算A'!FT$110:FT$114,$F25+1)+IF(AND($E25=1,ST25=0),1000,0)),1000000))</f>
        <v/>
      </c>
      <c r="ACB25">
        <f>IF($B25=0,1000000,IF(INDEX('計算A'!$D$60:$II$104,$B25,174)*JN25=1,IF(AND($E25=2,SU25=0),1000000,INDEX('計算A'!FU$110:FU$114,$F25+1)+IF(AND($E25=1,SU25=0),1000,0)),1000000))</f>
        <v/>
      </c>
      <c r="ACC25">
        <f>IF($B25=0,1000000,IF(INDEX('計算A'!$D$60:$II$104,$B25,175)*JO25=1,IF(AND($E25=2,SV25=0),1000000,INDEX('計算A'!FV$110:FV$114,$F25+1)+IF(AND($E25=1,SV25=0),1000,0)),1000000))</f>
        <v/>
      </c>
      <c r="ACD25">
        <f>IF($B25=0,1000000,IF(INDEX('計算A'!$D$60:$II$104,$B25,176)*JP25=1,IF(AND($E25=2,SW25=0),1000000,INDEX('計算A'!FW$110:FW$114,$F25+1)+IF(AND($E25=1,SW25=0),1000,0)),1000000))</f>
        <v/>
      </c>
      <c r="ACE25">
        <f>IF($B25=0,1000000,IF(INDEX('計算A'!$D$60:$II$104,$B25,177)*JQ25=1,IF(AND($E25=2,SX25=0),1000000,INDEX('計算A'!FX$110:FX$114,$F25+1)+IF(AND($E25=1,SX25=0),1000,0)),1000000))</f>
        <v/>
      </c>
      <c r="ACF25">
        <f>IF($B25=0,1000000,IF(INDEX('計算A'!$D$60:$II$104,$B25,178)*JR25=1,IF(AND($E25=2,SY25=0),1000000,INDEX('計算A'!FY$110:FY$114,$F25+1)+IF(AND($E25=1,SY25=0),1000,0)),1000000))</f>
        <v/>
      </c>
      <c r="ACG25">
        <f>IF($B25=0,1000000,IF(INDEX('計算A'!$D$60:$II$104,$B25,179)*JS25=1,IF(AND($E25=2,SZ25=0),1000000,INDEX('計算A'!FZ$110:FZ$114,$F25+1)+IF(AND($E25=1,SZ25=0),1000,0)),1000000))</f>
        <v/>
      </c>
      <c r="ACH25">
        <f>IF($B25=0,1000000,IF(INDEX('計算A'!$D$60:$II$104,$B25,180)*JT25=1,IF(AND($E25=2,TA25=0),1000000,INDEX('計算A'!GA$110:GA$114,$F25+1)+IF(AND($E25=1,TA25=0),1000,0)),1000000))</f>
        <v/>
      </c>
      <c r="ACI25">
        <f>IF($B25=0,1000000,IF(INDEX('計算A'!$D$60:$II$104,$B25,181)*JU25=1,IF(AND($E25=2,TB25=0),1000000,INDEX('計算A'!GB$110:GB$114,$F25+1)+IF(AND($E25=1,TB25=0),1000,0)),1000000))</f>
        <v/>
      </c>
      <c r="ACJ25">
        <f>IF($B25=0,1000000,IF(INDEX('計算A'!$D$60:$II$104,$B25,182)*JV25=1,IF(AND($E25=2,TC25=0),1000000,INDEX('計算A'!GC$110:GC$114,$F25+1)+IF(AND($E25=1,TC25=0),1000,0)),1000000))</f>
        <v/>
      </c>
      <c r="ACK25">
        <f>IF($B25=0,1000000,IF(INDEX('計算A'!$D$60:$II$104,$B25,183)*JW25=1,IF(AND($E25=2,TD25=0),1000000,INDEX('計算A'!GD$110:GD$114,$F25+1)+IF(AND($E25=1,TD25=0),1000,0)),1000000))</f>
        <v/>
      </c>
      <c r="ACL25">
        <f>IF($B25=0,1000000,IF(INDEX('計算A'!$D$60:$II$104,$B25,184)*JX25=1,IF(AND($E25=2,TE25=0),1000000,INDEX('計算A'!GE$110:GE$114,$F25+1)+IF(AND($E25=1,TE25=0),1000,0)),1000000))</f>
        <v/>
      </c>
      <c r="ACM25">
        <f>IF($B25=0,1000000,IF(INDEX('計算A'!$D$60:$II$104,$B25,185)*JY25=1,IF(AND($E25=2,TF25=0),1000000,INDEX('計算A'!GF$110:GF$114,$F25+1)+IF(AND($E25=1,TF25=0),1000,0)),1000000))</f>
        <v/>
      </c>
      <c r="ACN25">
        <f>IF($B25=0,1000000,IF(INDEX('計算A'!$D$60:$II$104,$B25,186)*JZ25=1,IF(AND($E25=2,TG25=0),1000000,INDEX('計算A'!GG$110:GG$114,$F25+1)+IF(AND($E25=1,TG25=0),1000,0)),1000000))</f>
        <v/>
      </c>
      <c r="ACO25">
        <f>IF($B25=0,1000000,IF(INDEX('計算A'!$D$60:$II$104,$B25,187)*KA25=1,IF(AND($E25=2,TH25=0),1000000,INDEX('計算A'!GH$110:GH$114,$F25+1)+IF(AND($E25=1,TH25=0),1000,0)),1000000))</f>
        <v/>
      </c>
      <c r="ACP25">
        <f>IF($B25=0,1000000,IF(INDEX('計算A'!$D$60:$II$104,$B25,188)*KB25=1,IF(AND($E25=2,TI25=0),1000000,INDEX('計算A'!GI$110:GI$114,$F25+1)+IF(AND($E25=1,TI25=0),1000,0)),1000000))</f>
        <v/>
      </c>
      <c r="ACQ25">
        <f>IF($B25=0,1000000,IF(INDEX('計算A'!$D$60:$II$104,$B25,189)*KC25=1,IF(AND($E25=2,TJ25=0),1000000,INDEX('計算A'!GJ$110:GJ$114,$F25+1)+IF(AND($E25=1,TJ25=0),1000,0)),1000000))</f>
        <v/>
      </c>
      <c r="ACR25">
        <f>IF($B25=0,1000000,IF(INDEX('計算A'!$D$60:$II$104,$B25,190)*KD25=1,IF(AND($E25=2,TK25=0),1000000,INDEX('計算A'!GK$110:GK$114,$F25+1)+IF(AND($E25=1,TK25=0),1000,0)),1000000))</f>
        <v/>
      </c>
      <c r="ACS25">
        <f>IF($B25=0,1000000,IF(INDEX('計算A'!$D$60:$II$104,$B25,191)*KE25=1,IF(AND($E25=2,TL25=0),1000000,INDEX('計算A'!GL$110:GL$114,$F25+1)+IF(AND($E25=1,TL25=0),1000,0)),1000000))</f>
        <v/>
      </c>
      <c r="ACT25">
        <f>IF($B25=0,1000000,IF(INDEX('計算A'!$D$60:$II$104,$B25,192)*KF25=1,IF(AND($E25=2,TM25=0),1000000,INDEX('計算A'!GM$110:GM$114,$F25+1)+IF(AND($E25=1,TM25=0),1000,0)),1000000))</f>
        <v/>
      </c>
      <c r="ACU25">
        <f>IF($B25=0,1000000,IF(INDEX('計算A'!$D$60:$II$104,$B25,193)*KG25=1,IF(AND($E25=2,TN25=0),1000000,INDEX('計算A'!GN$110:GN$114,$F25+1)+IF(AND($E25=1,TN25=0),1000,0)),1000000))</f>
        <v/>
      </c>
      <c r="ACV25">
        <f>IF($B25=0,1000000,IF(INDEX('計算A'!$D$60:$II$104,$B25,194)*KH25=1,IF(AND($E25=2,TO25=0),1000000,INDEX('計算A'!GO$110:GO$114,$F25+1)+IF(AND($E25=1,TO25=0),1000,0)),1000000))</f>
        <v/>
      </c>
      <c r="ACW25">
        <f>IF($B25=0,1000000,IF(INDEX('計算A'!$D$60:$II$104,$B25,195)*KI25=1,IF(AND($E25=2,TP25=0),1000000,INDEX('計算A'!GP$110:GP$114,$F25+1)+IF(AND($E25=1,TP25=0),1000,0)),1000000))</f>
        <v/>
      </c>
      <c r="ACX25">
        <f>IF($B25=0,1000000,IF(INDEX('計算A'!$D$60:$II$104,$B25,196)*KJ25=1,IF(AND($E25=2,TQ25=0),1000000,INDEX('計算A'!GQ$110:GQ$114,$F25+1)+IF(AND($E25=1,TQ25=0),1000,0)),1000000))</f>
        <v/>
      </c>
      <c r="ACY25">
        <f>IF($B25=0,1000000,IF(INDEX('計算A'!$D$60:$II$104,$B25,197)*KK25=1,IF(AND($E25=2,TR25=0),1000000,INDEX('計算A'!GR$110:GR$114,$F25+1)+IF(AND($E25=1,TR25=0),1000,0)),1000000))</f>
        <v/>
      </c>
      <c r="ACZ25">
        <f>IF($B25=0,1000000,IF(INDEX('計算A'!$D$60:$II$104,$B25,198)*KL25=1,IF(AND($E25=2,TS25=0),1000000,INDEX('計算A'!GS$110:GS$114,$F25+1)+IF(AND($E25=1,TS25=0),1000,0)),1000000))</f>
        <v/>
      </c>
      <c r="ADA25">
        <f>IF($B25=0,1000000,IF(INDEX('計算A'!$D$60:$II$104,$B25,199)*KM25=1,IF(AND($E25=2,TT25=0),1000000,INDEX('計算A'!GT$110:GT$114,$F25+1)+IF(AND($E25=1,TT25=0),1000,0)),1000000))</f>
        <v/>
      </c>
      <c r="ADB25">
        <f>IF($B25=0,1000000,IF(INDEX('計算A'!$D$60:$II$104,$B25,200)*KN25=1,IF(AND($E25=2,TU25=0),1000000,INDEX('計算A'!GU$110:GU$114,$F25+1)+IF(AND($E25=1,TU25=0),1000,0)),1000000))</f>
        <v/>
      </c>
      <c r="ADC25">
        <f>IF($B25=0,1000000,IF(INDEX('計算A'!$D$60:$II$104,$B25,201)*KO25=1,IF(AND($E25=2,TV25=0),1000000,INDEX('計算A'!GV$110:GV$114,$F25+1)+IF(AND($E25=1,TV25=0),1000,0)),1000000))</f>
        <v/>
      </c>
      <c r="ADD25">
        <f>IF($B25=0,1000000,IF(INDEX('計算A'!$D$60:$II$104,$B25,202)*KP25=1,IF(AND($E25=2,TW25=0),1000000,INDEX('計算A'!GW$110:GW$114,$F25+1)+IF(AND($E25=1,TW25=0),1000,0)),1000000))</f>
        <v/>
      </c>
      <c r="ADE25">
        <f>IF($B25=0,1000000,IF(INDEX('計算A'!$D$60:$II$104,$B25,203)*KQ25=1,IF(AND($E25=2,TX25=0),1000000,INDEX('計算A'!GX$110:GX$114,$F25+1)+IF(AND($E25=1,TX25=0),1000,0)),1000000))</f>
        <v/>
      </c>
      <c r="ADF25">
        <f>IF($B25=0,1000000,IF(INDEX('計算A'!$D$60:$II$104,$B25,204)*KR25=1,IF(AND($E25=2,TY25=0),1000000,INDEX('計算A'!GY$110:GY$114,$F25+1)+IF(AND($E25=1,TY25=0),1000,0)),1000000))</f>
        <v/>
      </c>
      <c r="ADG25">
        <f>IF($B25=0,1000000,IF(INDEX('計算A'!$D$60:$II$104,$B25,205)*KS25=1,IF(AND($E25=2,TZ25=0),1000000,INDEX('計算A'!GZ$110:GZ$114,$F25+1)+IF(AND($E25=1,TZ25=0),1000,0)),1000000))</f>
        <v/>
      </c>
      <c r="ADH25">
        <f>IF($B25=0,1000000,IF(INDEX('計算A'!$D$60:$II$104,$B25,206)*KT25=1,IF(AND($E25=2,UA25=0),1000000,INDEX('計算A'!HA$110:HA$114,$F25+1)+IF(AND($E25=1,UA25=0),1000,0)),1000000))</f>
        <v/>
      </c>
      <c r="ADI25">
        <f>IF($B25=0,1000000,IF(INDEX('計算A'!$D$60:$II$104,$B25,207)*KU25=1,IF(AND($E25=2,UB25=0),1000000,INDEX('計算A'!HB$110:HB$114,$F25+1)+IF(AND($E25=1,UB25=0),1000,0)),1000000))</f>
        <v/>
      </c>
      <c r="ADJ25">
        <f>IF($B25=0,1000000,IF(INDEX('計算A'!$D$60:$II$104,$B25,208)*KV25=1,IF(AND($E25=2,UC25=0),1000000,INDEX('計算A'!HC$110:HC$114,$F25+1)+IF(AND($E25=1,UC25=0),1000,0)),1000000))</f>
        <v/>
      </c>
      <c r="ADK25">
        <f>IF($B25=0,1000000,IF(INDEX('計算A'!$D$60:$II$104,$B25,209)*KW25=1,IF(AND($E25=2,UD25=0),1000000,INDEX('計算A'!HD$110:HD$114,$F25+1)+IF(AND($E25=1,UD25=0),1000,0)),1000000))</f>
        <v/>
      </c>
      <c r="ADL25">
        <f>IF($B25=0,1000000,IF(INDEX('計算A'!$D$60:$II$104,$B25,210)*KX25=1,IF(AND($E25=2,UE25=0),1000000,INDEX('計算A'!HE$110:HE$114,$F25+1)+IF(AND($E25=1,UE25=0),1000,0)),1000000))</f>
        <v/>
      </c>
      <c r="ADM25">
        <f>IF($B25=0,1000000,IF(INDEX('計算A'!$D$60:$II$104,$B25,211)*KY25=1,IF(AND($E25=2,UF25=0),1000000,INDEX('計算A'!HF$110:HF$114,$F25+1)+IF(AND($E25=1,UF25=0),1000,0)),1000000))</f>
        <v/>
      </c>
      <c r="ADN25">
        <f>IF($B25=0,1000000,IF(INDEX('計算A'!$D$60:$II$104,$B25,212)*KZ25=1,IF(AND($E25=2,UG25=0),1000000,INDEX('計算A'!HG$110:HG$114,$F25+1)+IF(AND($E25=1,UG25=0),1000,0)),1000000))</f>
        <v/>
      </c>
      <c r="ADO25">
        <f>IF($B25=0,1000000,IF(INDEX('計算A'!$D$60:$II$104,$B25,213)*LA25=1,IF(AND($E25=2,UH25=0),1000000,INDEX('計算A'!HH$110:HH$114,$F25+1)+IF(AND($E25=1,UH25=0),1000,0)),1000000))</f>
        <v/>
      </c>
      <c r="ADP25">
        <f>IF($B25=0,1000000,IF(INDEX('計算A'!$D$60:$II$104,$B25,214)*LB25=1,IF(AND($E25=2,UI25=0),1000000,INDEX('計算A'!HI$110:HI$114,$F25+1)+IF(AND($E25=1,UI25=0),1000,0)),1000000))</f>
        <v/>
      </c>
      <c r="ADQ25">
        <f>IF($B25=0,1000000,IF(INDEX('計算A'!$D$60:$II$104,$B25,215)*LC25=1,IF(AND($E25=2,UJ25=0),1000000,INDEX('計算A'!HJ$110:HJ$114,$F25+1)+IF(AND($E25=1,UJ25=0),1000,0)),1000000))</f>
        <v/>
      </c>
      <c r="ADR25">
        <f>IF($B25=0,1000000,IF(INDEX('計算A'!$D$60:$II$104,$B25,216)*LD25=1,IF(AND($E25=2,UK25=0),1000000,INDEX('計算A'!HK$110:HK$114,$F25+1)+IF(AND($E25=1,UK25=0),1000,0)),1000000))</f>
        <v/>
      </c>
      <c r="ADS25">
        <f>IF($B25=0,1000000,IF(INDEX('計算A'!$D$60:$II$104,$B25,217)*LE25=1,IF(AND($E25=2,UL25=0),1000000,INDEX('計算A'!HL$110:HL$114,$F25+1)+IF(AND($E25=1,UL25=0),1000,0)),1000000))</f>
        <v/>
      </c>
      <c r="ADT25">
        <f>IF($B25=0,1000000,IF(INDEX('計算A'!$D$60:$II$104,$B25,218)*LF25=1,IF(AND($E25=2,UM25=0),1000000,INDEX('計算A'!HM$110:HM$114,$F25+1)+IF(AND($E25=1,UM25=0),1000,0)),1000000))</f>
        <v/>
      </c>
      <c r="ADU25">
        <f>IF($B25=0,1000000,IF(INDEX('計算A'!$D$60:$II$104,$B25,219)*LG25=1,IF(AND($E25=2,UN25=0),1000000,INDEX('計算A'!HN$110:HN$114,$F25+1)+IF(AND($E25=1,UN25=0),1000,0)),1000000))</f>
        <v/>
      </c>
      <c r="ADV25">
        <f>IF($B25=0,1000000,IF(INDEX('計算A'!$D$60:$II$104,$B25,220)*LH25=1,IF(AND($E25=2,UO25=0),1000000,INDEX('計算A'!HO$110:HO$114,$F25+1)+IF(AND($E25=1,UO25=0),1000,0)),1000000))</f>
        <v/>
      </c>
      <c r="ADW25">
        <f>IF($B25=0,1000000,IF(INDEX('計算A'!$D$60:$II$104,$B25,221)*LI25=1,IF(AND($E25=2,UP25=0),1000000,INDEX('計算A'!HP$110:HP$114,$F25+1)+IF(AND($E25=1,UP25=0),1000,0)),1000000))</f>
        <v/>
      </c>
      <c r="ADX25">
        <f>IF($B25=0,1000000,IF(INDEX('計算A'!$D$60:$II$104,$B25,222)*LJ25=1,IF(AND($E25=2,UQ25=0),1000000,INDEX('計算A'!HQ$110:HQ$114,$F25+1)+IF(AND($E25=1,UQ25=0),1000,0)),1000000))</f>
        <v/>
      </c>
      <c r="ADY25">
        <f>IF($B25=0,1000000,IF(INDEX('計算A'!$D$60:$II$104,$B25,223)*LK25=1,IF(AND($E25=2,UR25=0),1000000,INDEX('計算A'!HR$110:HR$114,$F25+1)+IF(AND($E25=1,UR25=0),1000,0)),1000000))</f>
        <v/>
      </c>
      <c r="ADZ25">
        <f>IF($B25=0,1000000,IF(INDEX('計算A'!$D$60:$II$104,$B25,224)*LL25=1,IF(AND($E25=2,US25=0),1000000,INDEX('計算A'!HS$110:HS$114,$F25+1)+IF(AND($E25=1,US25=0),1000,0)),1000000))</f>
        <v/>
      </c>
      <c r="AEA25">
        <f>IF($B25=0,1000000,IF(INDEX('計算A'!$D$60:$II$104,$B25,225)*LM25=1,IF(AND($E25=2,UT25=0),1000000,INDEX('計算A'!HT$110:HT$114,$F25+1)+IF(AND($E25=1,UT25=0),1000,0)),1000000))</f>
        <v/>
      </c>
      <c r="AEB25">
        <f>IF($B25=0,1000000,IF(INDEX('計算A'!$D$60:$II$104,$B25,226)*LN25=1,IF(AND($E25=2,UU25=0),1000000,INDEX('計算A'!HU$110:HU$114,$F25+1)+IF(AND($E25=1,UU25=0),1000,0)),1000000))</f>
        <v/>
      </c>
      <c r="AEC25">
        <f>IF($B25=0,1000000,IF(INDEX('計算A'!$D$60:$II$104,$B25,227)*LO25=1,IF(AND($E25=2,UV25=0),1000000,INDEX('計算A'!HV$110:HV$114,$F25+1)+IF(AND($E25=1,UV25=0),1000,0)),1000000))</f>
        <v/>
      </c>
      <c r="AED25">
        <f>IF($B25=0,1000000,IF(INDEX('計算A'!$D$60:$II$104,$B25,228)*LP25=1,IF(AND($E25=2,UW25=0),1000000,INDEX('計算A'!HW$110:HW$114,$F25+1)+IF(AND($E25=1,UW25=0),1000,0)),1000000))</f>
        <v/>
      </c>
      <c r="AEE25">
        <f>IF($B25=0,1000000,IF(INDEX('計算A'!$D$60:$II$104,$B25,229)*LQ25=1,IF(AND($E25=2,UX25=0),1000000,INDEX('計算A'!HX$110:HX$114,$F25+1)+IF(AND($E25=1,UX25=0),1000,0)),1000000))</f>
        <v/>
      </c>
      <c r="AEF25">
        <f>IF($B25=0,1000000,IF(INDEX('計算A'!$D$60:$II$104,$B25,230)*LR25=1,IF(AND($E25=2,UY25=0),1000000,INDEX('計算A'!HY$110:HY$114,$F25+1)+IF(AND($E25=1,UY25=0),1000,0)),1000000))</f>
        <v/>
      </c>
      <c r="AEG25">
        <f>IF($B25=0,1000000,IF(INDEX('計算A'!$D$60:$II$104,$B25,231)*LS25=1,IF(AND($E25=2,UZ25=0),1000000,INDEX('計算A'!HZ$110:HZ$114,$F25+1)+IF(AND($E25=1,UZ25=0),1000,0)),1000000))</f>
        <v/>
      </c>
      <c r="AEH25">
        <f>IF($B25=0,1000000,IF(INDEX('計算A'!$D$60:$II$104,$B25,232)*LT25=1,IF(AND($E25=2,VA25=0),1000000,INDEX('計算A'!IA$110:IA$114,$F25+1)+IF(AND($E25=1,VA25=0),1000,0)),1000000))</f>
        <v/>
      </c>
      <c r="AEI25">
        <f>IF($B25=0,1000000,IF(INDEX('計算A'!$D$60:$II$104,$B25,233)*LU25=1,IF(AND($E25=2,VB25=0),1000000,INDEX('計算A'!IB$110:IB$114,$F25+1)+IF(AND($E25=1,VB25=0),1000,0)),1000000))</f>
        <v/>
      </c>
      <c r="AEJ25">
        <f>IF($B25=0,1000000,IF(INDEX('計算A'!$D$60:$II$104,$B25,234)*LV25=1,IF(AND($E25=2,VC25=0),1000000,INDEX('計算A'!IC$110:IC$114,$F25+1)+IF(AND($E25=1,VC25=0),1000,0)),1000000))</f>
        <v/>
      </c>
      <c r="AEK25">
        <f>IF($B25=0,1000000,IF(INDEX('計算A'!$D$60:$II$104,$B25,235)*LW25=1,IF(AND($E25=2,VD25=0),1000000,INDEX('計算A'!ID$110:ID$114,$F25+1)+IF(AND($E25=1,VD25=0),1000,0)),1000000))</f>
        <v/>
      </c>
      <c r="AEL25">
        <f>IF($B25=0,1000000,IF(INDEX('計算A'!$D$60:$II$104,$B25,236)*LX25=1,IF(AND($E25=2,VE25=0),1000000,INDEX('計算A'!IE$110:IE$114,$F25+1)+IF(AND($E25=1,VE25=0),1000,0)),1000000))</f>
        <v/>
      </c>
      <c r="AEM25">
        <f>IF($B25=0,1000000,IF(INDEX('計算A'!$D$60:$II$104,$B25,237)*LY25=1,IF(AND($E25=2,VF25=0),1000000,INDEX('計算A'!IF$110:IF$114,$F25+1)+IF(AND($E25=1,VF25=0),1000,0)),1000000))</f>
        <v/>
      </c>
      <c r="AEN25">
        <f>IF($B25=0,1000000,IF(INDEX('計算A'!$D$60:$II$104,$B25,238)*LZ25=1,IF(AND($E25=2,VG25=0),1000000,INDEX('計算A'!IG$110:IG$114,$F25+1)+IF(AND($E25=1,VG25=0),1000,0)),1000000))</f>
        <v/>
      </c>
      <c r="AEO25">
        <f>IF($B25=0,1000000,IF(INDEX('計算A'!$D$60:$II$104,$B25,239)*MA25=1,IF(AND($E25=2,VH25=0),1000000,INDEX('計算A'!IH$110:IH$114,$F25+1)+IF(AND($E25=1,VH25=0),1000,0)),1000000))</f>
        <v/>
      </c>
      <c r="AEP25">
        <f>IF($B25=0,1000000,IF(INDEX('計算A'!$D$60:$II$104,$B25,240)*MB25=1,IF(AND($E25=2,VI25=0),1000000,INDEX('計算A'!II$110:II$114,$F25+1)+IF(AND($E25=1,VI25=0),1000,0)),1000000))</f>
        <v/>
      </c>
    </row>
    <row r="26">
      <c r="A26" t="n">
        <v>24</v>
      </c>
      <c r="B26">
        <f>IF(MIN(BC26:CU26)&gt;=1000000,0,MATCH(MIN(BC26:CU26),BC26:CU26,0))</f>
        <v/>
      </c>
      <c r="C26">
        <f>IF(MIN(VK26:AEP26)&gt;=1000000,0,MATCH(MIN(VK26:AEP26),VK26:AEP26,0))</f>
        <v/>
      </c>
      <c r="D26">
        <f>IF(C26&gt;0,INDEX('計算A'!$D$5:$II$5,C26),0)</f>
        <v/>
      </c>
      <c r="E26">
        <f>IF(B26=0,0,INDEX('計算A'!$IQ$10:$IQ$54,B26))</f>
        <v/>
      </c>
      <c r="F26">
        <f>IF(B26=0,0,INDEX('計算A'!$IP$10:$IP$54,B26))</f>
        <v/>
      </c>
      <c r="G26">
        <f>IF(AND(C26&gt;0,E26&gt;0),IF(AND(INDEX('計算A'!$D$106:$II$106,C26)=1,INDEX($MD26:$VI26,C26)=1),C26+1,0),0)</f>
        <v/>
      </c>
      <c r="I26">
        <f>MAX(I25,IF($B25=1,1,0))</f>
        <v/>
      </c>
      <c r="J26">
        <f>MAX(J25,IF($B25=2,1,0))</f>
        <v/>
      </c>
      <c r="K26">
        <f>MAX(K25,IF($B25=3,1,0))</f>
        <v/>
      </c>
      <c r="L26">
        <f>MAX(L25,IF($B25=4,1,0))</f>
        <v/>
      </c>
      <c r="M26">
        <f>MAX(M25,IF($B25=5,1,0))</f>
        <v/>
      </c>
      <c r="N26">
        <f>MAX(N25,IF($B25=6,1,0))</f>
        <v/>
      </c>
      <c r="O26">
        <f>MAX(O25,IF($B25=7,1,0))</f>
        <v/>
      </c>
      <c r="P26">
        <f>MAX(P25,IF($B25=8,1,0))</f>
        <v/>
      </c>
      <c r="Q26">
        <f>MAX(Q25,IF($B25=9,1,0))</f>
        <v/>
      </c>
      <c r="R26">
        <f>MAX(R25,IF($B25=10,1,0))</f>
        <v/>
      </c>
      <c r="S26">
        <f>MAX(S25,IF($B25=11,1,0))</f>
        <v/>
      </c>
      <c r="T26">
        <f>MAX(T25,IF($B25=12,1,0))</f>
        <v/>
      </c>
      <c r="U26">
        <f>MAX(U25,IF($B25=13,1,0))</f>
        <v/>
      </c>
      <c r="V26">
        <f>MAX(V25,IF($B25=14,1,0))</f>
        <v/>
      </c>
      <c r="W26">
        <f>MAX(W25,IF($B25=15,1,0))</f>
        <v/>
      </c>
      <c r="X26">
        <f>MAX(X25,IF($B25=16,1,0))</f>
        <v/>
      </c>
      <c r="Y26">
        <f>MAX(Y25,IF($B25=17,1,0))</f>
        <v/>
      </c>
      <c r="Z26">
        <f>MAX(Z25,IF($B25=18,1,0))</f>
        <v/>
      </c>
      <c r="AA26">
        <f>MAX(AA25,IF($B25=19,1,0))</f>
        <v/>
      </c>
      <c r="AB26">
        <f>MAX(AB25,IF($B25=20,1,0))</f>
        <v/>
      </c>
      <c r="AC26">
        <f>MAX(AC25,IF($B25=21,1,0))</f>
        <v/>
      </c>
      <c r="AD26">
        <f>MAX(AD25,IF($B25=22,1,0))</f>
        <v/>
      </c>
      <c r="AE26">
        <f>MAX(AE25,IF($B25=23,1,0))</f>
        <v/>
      </c>
      <c r="AF26">
        <f>MAX(AF25,IF($B25=24,1,0))</f>
        <v/>
      </c>
      <c r="AG26">
        <f>MAX(AG25,IF($B25=25,1,0))</f>
        <v/>
      </c>
      <c r="AH26">
        <f>MAX(AH25,IF($B25=26,1,0))</f>
        <v/>
      </c>
      <c r="AI26">
        <f>MAX(AI25,IF($B25=27,1,0))</f>
        <v/>
      </c>
      <c r="AJ26">
        <f>MAX(AJ25,IF($B25=28,1,0))</f>
        <v/>
      </c>
      <c r="AK26">
        <f>MAX(AK25,IF($B25=29,1,0))</f>
        <v/>
      </c>
      <c r="AL26">
        <f>MAX(AL25,IF($B25=30,1,0))</f>
        <v/>
      </c>
      <c r="AM26">
        <f>MAX(AM25,IF($B25=31,1,0))</f>
        <v/>
      </c>
      <c r="AN26">
        <f>MAX(AN25,IF($B25=32,1,0))</f>
        <v/>
      </c>
      <c r="AO26">
        <f>MAX(AO25,IF($B25=33,1,0))</f>
        <v/>
      </c>
      <c r="AP26">
        <f>MAX(AP25,IF($B25=34,1,0))</f>
        <v/>
      </c>
      <c r="AQ26">
        <f>MAX(AQ25,IF($B25=35,1,0))</f>
        <v/>
      </c>
      <c r="AR26">
        <f>MAX(AR25,IF($B25=36,1,0))</f>
        <v/>
      </c>
      <c r="AS26">
        <f>MAX(AS25,IF($B25=37,1,0))</f>
        <v/>
      </c>
      <c r="AT26">
        <f>MAX(AT25,IF($B25=38,1,0))</f>
        <v/>
      </c>
      <c r="AU26">
        <f>MAX(AU25,IF($B25=39,1,0))</f>
        <v/>
      </c>
      <c r="AV26">
        <f>MAX(AV25,IF($B25=40,1,0))</f>
        <v/>
      </c>
      <c r="AW26">
        <f>MAX(AW25,IF($B25=41,1,0))</f>
        <v/>
      </c>
      <c r="AX26">
        <f>MAX(AX25,IF($B25=42,1,0))</f>
        <v/>
      </c>
      <c r="AY26">
        <f>MAX(AY25,IF($B25=43,1,0))</f>
        <v/>
      </c>
      <c r="AZ26">
        <f>MAX(AZ25,IF($B25=44,1,0))</f>
        <v/>
      </c>
      <c r="BA26">
        <f>MAX(BA25,IF($B25=45,1,0))</f>
        <v/>
      </c>
      <c r="BC26">
        <f>IF(I26=1,1000000,IF('計算A'!$IQ$10=2,SUMPRODUCT('計算A'!$D$60:$II$60,$CW26:$MB26,$MD26:$VI26),SUMPRODUCT('計算A'!$D$60:$II$60,$CW26:$MB26))*1000+1)</f>
        <v/>
      </c>
      <c r="BD26">
        <f>IF(J26=1,1000000,IF('計算A'!$IQ$11=2,SUMPRODUCT('計算A'!$D$61:$II$61,$CW26:$MB26,$MD26:$VI26),SUMPRODUCT('計算A'!$D$61:$II$61,$CW26:$MB26))*1000+2)</f>
        <v/>
      </c>
      <c r="BE26">
        <f>IF(K26=1,1000000,IF('計算A'!$IQ$12=2,SUMPRODUCT('計算A'!$D$62:$II$62,$CW26:$MB26,$MD26:$VI26),SUMPRODUCT('計算A'!$D$62:$II$62,$CW26:$MB26))*1000+3)</f>
        <v/>
      </c>
      <c r="BF26">
        <f>IF(L26=1,1000000,IF('計算A'!$IQ$13=2,SUMPRODUCT('計算A'!$D$63:$II$63,$CW26:$MB26,$MD26:$VI26),SUMPRODUCT('計算A'!$D$63:$II$63,$CW26:$MB26))*1000+4)</f>
        <v/>
      </c>
      <c r="BG26">
        <f>IF(M26=1,1000000,IF('計算A'!$IQ$14=2,SUMPRODUCT('計算A'!$D$64:$II$64,$CW26:$MB26,$MD26:$VI26),SUMPRODUCT('計算A'!$D$64:$II$64,$CW26:$MB26))*1000+5)</f>
        <v/>
      </c>
      <c r="BH26">
        <f>IF(N26=1,1000000,IF('計算A'!$IQ$15=2,SUMPRODUCT('計算A'!$D$65:$II$65,$CW26:$MB26,$MD26:$VI26),SUMPRODUCT('計算A'!$D$65:$II$65,$CW26:$MB26))*1000+6)</f>
        <v/>
      </c>
      <c r="BI26">
        <f>IF(O26=1,1000000,IF('計算A'!$IQ$16=2,SUMPRODUCT('計算A'!$D$66:$II$66,$CW26:$MB26,$MD26:$VI26),SUMPRODUCT('計算A'!$D$66:$II$66,$CW26:$MB26))*1000+7)</f>
        <v/>
      </c>
      <c r="BJ26">
        <f>IF(P26=1,1000000,IF('計算A'!$IQ$17=2,SUMPRODUCT('計算A'!$D$67:$II$67,$CW26:$MB26,$MD26:$VI26),SUMPRODUCT('計算A'!$D$67:$II$67,$CW26:$MB26))*1000+8)</f>
        <v/>
      </c>
      <c r="BK26">
        <f>IF(Q26=1,1000000,IF('計算A'!$IQ$18=2,SUMPRODUCT('計算A'!$D$68:$II$68,$CW26:$MB26,$MD26:$VI26),SUMPRODUCT('計算A'!$D$68:$II$68,$CW26:$MB26))*1000+9)</f>
        <v/>
      </c>
      <c r="BL26">
        <f>IF(R26=1,1000000,IF('計算A'!$IQ$19=2,SUMPRODUCT('計算A'!$D$69:$II$69,$CW26:$MB26,$MD26:$VI26),SUMPRODUCT('計算A'!$D$69:$II$69,$CW26:$MB26))*1000+10)</f>
        <v/>
      </c>
      <c r="BM26">
        <f>IF(S26=1,1000000,IF('計算A'!$IQ$20=2,SUMPRODUCT('計算A'!$D$70:$II$70,$CW26:$MB26,$MD26:$VI26),SUMPRODUCT('計算A'!$D$70:$II$70,$CW26:$MB26))*1000+11)</f>
        <v/>
      </c>
      <c r="BN26">
        <f>IF(T26=1,1000000,IF('計算A'!$IQ$21=2,SUMPRODUCT('計算A'!$D$71:$II$71,$CW26:$MB26,$MD26:$VI26),SUMPRODUCT('計算A'!$D$71:$II$71,$CW26:$MB26))*1000+12)</f>
        <v/>
      </c>
      <c r="BO26">
        <f>IF(U26=1,1000000,IF('計算A'!$IQ$22=2,SUMPRODUCT('計算A'!$D$72:$II$72,$CW26:$MB26,$MD26:$VI26),SUMPRODUCT('計算A'!$D$72:$II$72,$CW26:$MB26))*1000+13)</f>
        <v/>
      </c>
      <c r="BP26">
        <f>IF(V26=1,1000000,IF('計算A'!$IQ$23=2,SUMPRODUCT('計算A'!$D$73:$II$73,$CW26:$MB26,$MD26:$VI26),SUMPRODUCT('計算A'!$D$73:$II$73,$CW26:$MB26))*1000+14)</f>
        <v/>
      </c>
      <c r="BQ26">
        <f>IF(W26=1,1000000,IF('計算A'!$IQ$24=2,SUMPRODUCT('計算A'!$D$74:$II$74,$CW26:$MB26,$MD26:$VI26),SUMPRODUCT('計算A'!$D$74:$II$74,$CW26:$MB26))*1000+15)</f>
        <v/>
      </c>
      <c r="BR26">
        <f>IF(X26=1,1000000,IF('計算A'!$IQ$25=2,SUMPRODUCT('計算A'!$D$75:$II$75,$CW26:$MB26,$MD26:$VI26),SUMPRODUCT('計算A'!$D$75:$II$75,$CW26:$MB26))*1000+16)</f>
        <v/>
      </c>
      <c r="BS26">
        <f>IF(Y26=1,1000000,IF('計算A'!$IQ$26=2,SUMPRODUCT('計算A'!$D$76:$II$76,$CW26:$MB26,$MD26:$VI26),SUMPRODUCT('計算A'!$D$76:$II$76,$CW26:$MB26))*1000+17)</f>
        <v/>
      </c>
      <c r="BT26">
        <f>IF(Z26=1,1000000,IF('計算A'!$IQ$27=2,SUMPRODUCT('計算A'!$D$77:$II$77,$CW26:$MB26,$MD26:$VI26),SUMPRODUCT('計算A'!$D$77:$II$77,$CW26:$MB26))*1000+18)</f>
        <v/>
      </c>
      <c r="BU26">
        <f>IF(AA26=1,1000000,IF('計算A'!$IQ$28=2,SUMPRODUCT('計算A'!$D$78:$II$78,$CW26:$MB26,$MD26:$VI26),SUMPRODUCT('計算A'!$D$78:$II$78,$CW26:$MB26))*1000+19)</f>
        <v/>
      </c>
      <c r="BV26">
        <f>IF(AB26=1,1000000,IF('計算A'!$IQ$29=2,SUMPRODUCT('計算A'!$D$79:$II$79,$CW26:$MB26,$MD26:$VI26),SUMPRODUCT('計算A'!$D$79:$II$79,$CW26:$MB26))*1000+20)</f>
        <v/>
      </c>
      <c r="BW26">
        <f>IF(AC26=1,1000000,IF('計算A'!$IQ$30=2,SUMPRODUCT('計算A'!$D$80:$II$80,$CW26:$MB26,$MD26:$VI26),SUMPRODUCT('計算A'!$D$80:$II$80,$CW26:$MB26))*1000+21)</f>
        <v/>
      </c>
      <c r="BX26">
        <f>IF(AD26=1,1000000,IF('計算A'!$IQ$31=2,SUMPRODUCT('計算A'!$D$81:$II$81,$CW26:$MB26,$MD26:$VI26),SUMPRODUCT('計算A'!$D$81:$II$81,$CW26:$MB26))*1000+22)</f>
        <v/>
      </c>
      <c r="BY26">
        <f>IF(AE26=1,1000000,IF('計算A'!$IQ$32=2,SUMPRODUCT('計算A'!$D$82:$II$82,$CW26:$MB26,$MD26:$VI26),SUMPRODUCT('計算A'!$D$82:$II$82,$CW26:$MB26))*1000+23)</f>
        <v/>
      </c>
      <c r="BZ26">
        <f>IF(AF26=1,1000000,IF('計算A'!$IQ$33=2,SUMPRODUCT('計算A'!$D$83:$II$83,$CW26:$MB26,$MD26:$VI26),SUMPRODUCT('計算A'!$D$83:$II$83,$CW26:$MB26))*1000+24)</f>
        <v/>
      </c>
      <c r="CA26">
        <f>IF(AG26=1,1000000,IF('計算A'!$IQ$34=2,SUMPRODUCT('計算A'!$D$84:$II$84,$CW26:$MB26,$MD26:$VI26),SUMPRODUCT('計算A'!$D$84:$II$84,$CW26:$MB26))*1000+25)</f>
        <v/>
      </c>
      <c r="CB26">
        <f>IF(AH26=1,1000000,IF('計算A'!$IQ$35=2,SUMPRODUCT('計算A'!$D$85:$II$85,$CW26:$MB26,$MD26:$VI26),SUMPRODUCT('計算A'!$D$85:$II$85,$CW26:$MB26))*1000+26)</f>
        <v/>
      </c>
      <c r="CC26">
        <f>IF(AI26=1,1000000,IF('計算A'!$IQ$36=2,SUMPRODUCT('計算A'!$D$86:$II$86,$CW26:$MB26,$MD26:$VI26),SUMPRODUCT('計算A'!$D$86:$II$86,$CW26:$MB26))*1000+27)</f>
        <v/>
      </c>
      <c r="CD26">
        <f>IF(AJ26=1,1000000,IF('計算A'!$IQ$37=2,SUMPRODUCT('計算A'!$D$87:$II$87,$CW26:$MB26,$MD26:$VI26),SUMPRODUCT('計算A'!$D$87:$II$87,$CW26:$MB26))*1000+28)</f>
        <v/>
      </c>
      <c r="CE26">
        <f>IF(AK26=1,1000000,IF('計算A'!$IQ$38=2,SUMPRODUCT('計算A'!$D$88:$II$88,$CW26:$MB26,$MD26:$VI26),SUMPRODUCT('計算A'!$D$88:$II$88,$CW26:$MB26))*1000+29)</f>
        <v/>
      </c>
      <c r="CF26">
        <f>IF(AL26=1,1000000,IF('計算A'!$IQ$39=2,SUMPRODUCT('計算A'!$D$89:$II$89,$CW26:$MB26,$MD26:$VI26),SUMPRODUCT('計算A'!$D$89:$II$89,$CW26:$MB26))*1000+30)</f>
        <v/>
      </c>
      <c r="CG26">
        <f>IF(AM26=1,1000000,IF('計算A'!$IQ$40=2,SUMPRODUCT('計算A'!$D$90:$II$90,$CW26:$MB26,$MD26:$VI26),SUMPRODUCT('計算A'!$D$90:$II$90,$CW26:$MB26))*1000+31)</f>
        <v/>
      </c>
      <c r="CH26">
        <f>IF(AN26=1,1000000,IF('計算A'!$IQ$41=2,SUMPRODUCT('計算A'!$D$91:$II$91,$CW26:$MB26,$MD26:$VI26),SUMPRODUCT('計算A'!$D$91:$II$91,$CW26:$MB26))*1000+32)</f>
        <v/>
      </c>
      <c r="CI26">
        <f>IF(AO26=1,1000000,IF('計算A'!$IQ$42=2,SUMPRODUCT('計算A'!$D$92:$II$92,$CW26:$MB26,$MD26:$VI26),SUMPRODUCT('計算A'!$D$92:$II$92,$CW26:$MB26))*1000+33)</f>
        <v/>
      </c>
      <c r="CJ26">
        <f>IF(AP26=1,1000000,IF('計算A'!$IQ$43=2,SUMPRODUCT('計算A'!$D$93:$II$93,$CW26:$MB26,$MD26:$VI26),SUMPRODUCT('計算A'!$D$93:$II$93,$CW26:$MB26))*1000+34)</f>
        <v/>
      </c>
      <c r="CK26">
        <f>IF(AQ26=1,1000000,IF('計算A'!$IQ$44=2,SUMPRODUCT('計算A'!$D$94:$II$94,$CW26:$MB26,$MD26:$VI26),SUMPRODUCT('計算A'!$D$94:$II$94,$CW26:$MB26))*1000+35)</f>
        <v/>
      </c>
      <c r="CL26">
        <f>IF(AR26=1,1000000,IF('計算A'!$IQ$45=2,SUMPRODUCT('計算A'!$D$95:$II$95,$CW26:$MB26,$MD26:$VI26),SUMPRODUCT('計算A'!$D$95:$II$95,$CW26:$MB26))*1000+36)</f>
        <v/>
      </c>
      <c r="CM26">
        <f>IF(AS26=1,1000000,IF('計算A'!$IQ$46=2,SUMPRODUCT('計算A'!$D$96:$II$96,$CW26:$MB26,$MD26:$VI26),SUMPRODUCT('計算A'!$D$96:$II$96,$CW26:$MB26))*1000+37)</f>
        <v/>
      </c>
      <c r="CN26">
        <f>IF(AT26=1,1000000,IF('計算A'!$IQ$47=2,SUMPRODUCT('計算A'!$D$97:$II$97,$CW26:$MB26,$MD26:$VI26),SUMPRODUCT('計算A'!$D$97:$II$97,$CW26:$MB26))*1000+38)</f>
        <v/>
      </c>
      <c r="CO26">
        <f>IF(AU26=1,1000000,IF('計算A'!$IQ$48=2,SUMPRODUCT('計算A'!$D$98:$II$98,$CW26:$MB26,$MD26:$VI26),SUMPRODUCT('計算A'!$D$98:$II$98,$CW26:$MB26))*1000+39)</f>
        <v/>
      </c>
      <c r="CP26">
        <f>IF(AV26=1,1000000,IF('計算A'!$IQ$49=2,SUMPRODUCT('計算A'!$D$99:$II$99,$CW26:$MB26,$MD26:$VI26),SUMPRODUCT('計算A'!$D$99:$II$99,$CW26:$MB26))*1000+40)</f>
        <v/>
      </c>
      <c r="CQ26">
        <f>IF(AW26=1,1000000,IF('計算A'!$IQ$50=2,SUMPRODUCT('計算A'!$D$100:$II$100,$CW26:$MB26,$MD26:$VI26),SUMPRODUCT('計算A'!$D$100:$II$100,$CW26:$MB26))*1000+41)</f>
        <v/>
      </c>
      <c r="CR26">
        <f>IF(AX26=1,1000000,IF('計算A'!$IQ$51=2,SUMPRODUCT('計算A'!$D$101:$II$101,$CW26:$MB26,$MD26:$VI26),SUMPRODUCT('計算A'!$D$101:$II$101,$CW26:$MB26))*1000+42)</f>
        <v/>
      </c>
      <c r="CS26">
        <f>IF(AY26=1,1000000,IF('計算A'!$IQ$52=2,SUMPRODUCT('計算A'!$D$102:$II$102,$CW26:$MB26,$MD26:$VI26),SUMPRODUCT('計算A'!$D$102:$II$102,$CW26:$MB26))*1000+43)</f>
        <v/>
      </c>
      <c r="CT26">
        <f>IF(AZ26=1,1000000,IF('計算A'!$IQ$53=2,SUMPRODUCT('計算A'!$D$103:$II$103,$CW26:$MB26,$MD26:$VI26),SUMPRODUCT('計算A'!$D$103:$II$103,$CW26:$MB26))*1000+44)</f>
        <v/>
      </c>
      <c r="CU26">
        <f>IF(BA26=1,1000000,IF('計算A'!$IQ$54=2,SUMPRODUCT('計算A'!$D$104:$II$104,$CW26:$MB26,$MD26:$VI26),SUMPRODUCT('計算A'!$D$104:$II$104,$CW26:$MB26))*1000+45)</f>
        <v/>
      </c>
      <c r="CW26">
        <f>CW25*IF(OR($C25=1,$G25=1),0,1)</f>
        <v/>
      </c>
      <c r="CX26">
        <f>CX25*IF(OR($C25=2,$G25=2),0,1)</f>
        <v/>
      </c>
      <c r="CY26">
        <f>CY25*IF(OR($C25=3,$G25=3),0,1)</f>
        <v/>
      </c>
      <c r="CZ26">
        <f>CZ25*IF(OR($C25=4,$G25=4),0,1)</f>
        <v/>
      </c>
      <c r="DA26">
        <f>DA25*IF(OR($C25=5,$G25=5),0,1)</f>
        <v/>
      </c>
      <c r="DB26">
        <f>DB25*IF(OR($C25=6,$G25=6),0,1)</f>
        <v/>
      </c>
      <c r="DC26">
        <f>DC25*IF(OR($C25=7,$G25=7),0,1)</f>
        <v/>
      </c>
      <c r="DD26">
        <f>DD25*IF(OR($C25=8,$G25=8),0,1)</f>
        <v/>
      </c>
      <c r="DE26">
        <f>DE25*IF(OR($C25=9,$G25=9),0,1)</f>
        <v/>
      </c>
      <c r="DF26">
        <f>DF25*IF(OR($C25=10,$G25=10),0,1)</f>
        <v/>
      </c>
      <c r="DG26">
        <f>DG25*IF(OR($C25=11,$G25=11),0,1)</f>
        <v/>
      </c>
      <c r="DH26">
        <f>DH25*IF(OR($C25=12,$G25=12),0,1)</f>
        <v/>
      </c>
      <c r="DI26">
        <f>DI25*IF(OR($C25=13,$G25=13),0,1)</f>
        <v/>
      </c>
      <c r="DJ26">
        <f>DJ25*IF(OR($C25=14,$G25=14),0,1)</f>
        <v/>
      </c>
      <c r="DK26">
        <f>DK25*IF(OR($C25=15,$G25=15),0,1)</f>
        <v/>
      </c>
      <c r="DL26">
        <f>DL25*IF(OR($C25=16,$G25=16),0,1)</f>
        <v/>
      </c>
      <c r="DM26">
        <f>DM25*IF(OR($C25=17,$G25=17),0,1)</f>
        <v/>
      </c>
      <c r="DN26">
        <f>DN25*IF(OR($C25=18,$G25=18),0,1)</f>
        <v/>
      </c>
      <c r="DO26">
        <f>DO25*IF(OR($C25=19,$G25=19),0,1)</f>
        <v/>
      </c>
      <c r="DP26">
        <f>DP25*IF(OR($C25=20,$G25=20),0,1)</f>
        <v/>
      </c>
      <c r="DQ26">
        <f>DQ25*IF(OR($C25=21,$G25=21),0,1)</f>
        <v/>
      </c>
      <c r="DR26">
        <f>DR25*IF(OR($C25=22,$G25=22),0,1)</f>
        <v/>
      </c>
      <c r="DS26">
        <f>DS25*IF(OR($C25=23,$G25=23),0,1)</f>
        <v/>
      </c>
      <c r="DT26">
        <f>DT25*IF(OR($C25=24,$G25=24),0,1)</f>
        <v/>
      </c>
      <c r="DU26">
        <f>DU25*IF(OR($C25=25,$G25=25),0,1)</f>
        <v/>
      </c>
      <c r="DV26">
        <f>DV25*IF(OR($C25=26,$G25=26),0,1)</f>
        <v/>
      </c>
      <c r="DW26">
        <f>DW25*IF(OR($C25=27,$G25=27),0,1)</f>
        <v/>
      </c>
      <c r="DX26">
        <f>DX25*IF(OR($C25=28,$G25=28),0,1)</f>
        <v/>
      </c>
      <c r="DY26">
        <f>DY25*IF(OR($C25=29,$G25=29),0,1)</f>
        <v/>
      </c>
      <c r="DZ26">
        <f>DZ25*IF(OR($C25=30,$G25=30),0,1)</f>
        <v/>
      </c>
      <c r="EA26">
        <f>EA25*IF(OR($C25=31,$G25=31),0,1)</f>
        <v/>
      </c>
      <c r="EB26">
        <f>EB25*IF(OR($C25=32,$G25=32),0,1)</f>
        <v/>
      </c>
      <c r="EC26">
        <f>EC25*IF(OR($C25=33,$G25=33),0,1)</f>
        <v/>
      </c>
      <c r="ED26">
        <f>ED25*IF(OR($C25=34,$G25=34),0,1)</f>
        <v/>
      </c>
      <c r="EE26">
        <f>EE25*IF(OR($C25=35,$G25=35),0,1)</f>
        <v/>
      </c>
      <c r="EF26">
        <f>EF25*IF(OR($C25=36,$G25=36),0,1)</f>
        <v/>
      </c>
      <c r="EG26">
        <f>EG25*IF(OR($C25=37,$G25=37),0,1)</f>
        <v/>
      </c>
      <c r="EH26">
        <f>EH25*IF(OR($C25=38,$G25=38),0,1)</f>
        <v/>
      </c>
      <c r="EI26">
        <f>EI25*IF(OR($C25=39,$G25=39),0,1)</f>
        <v/>
      </c>
      <c r="EJ26">
        <f>EJ25*IF(OR($C25=40,$G25=40),0,1)</f>
        <v/>
      </c>
      <c r="EK26">
        <f>EK25*IF(OR($C25=41,$G25=41),0,1)</f>
        <v/>
      </c>
      <c r="EL26">
        <f>EL25*IF(OR($C25=42,$G25=42),0,1)</f>
        <v/>
      </c>
      <c r="EM26">
        <f>EM25*IF(OR($C25=43,$G25=43),0,1)</f>
        <v/>
      </c>
      <c r="EN26">
        <f>EN25*IF(OR($C25=44,$G25=44),0,1)</f>
        <v/>
      </c>
      <c r="EO26">
        <f>EO25*IF(OR($C25=45,$G25=45),0,1)</f>
        <v/>
      </c>
      <c r="EP26">
        <f>EP25*IF(OR($C25=46,$G25=46),0,1)</f>
        <v/>
      </c>
      <c r="EQ26">
        <f>EQ25*IF(OR($C25=47,$G25=47),0,1)</f>
        <v/>
      </c>
      <c r="ER26">
        <f>ER25*IF(OR($C25=48,$G25=48),0,1)</f>
        <v/>
      </c>
      <c r="ES26">
        <f>ES25*IF(OR($C25=49,$G25=49),0,1)</f>
        <v/>
      </c>
      <c r="ET26">
        <f>ET25*IF(OR($C25=50,$G25=50),0,1)</f>
        <v/>
      </c>
      <c r="EU26">
        <f>EU25*IF(OR($C25=51,$G25=51),0,1)</f>
        <v/>
      </c>
      <c r="EV26">
        <f>EV25*IF(OR($C25=52,$G25=52),0,1)</f>
        <v/>
      </c>
      <c r="EW26">
        <f>EW25*IF(OR($C25=53,$G25=53),0,1)</f>
        <v/>
      </c>
      <c r="EX26">
        <f>EX25*IF(OR($C25=54,$G25=54),0,1)</f>
        <v/>
      </c>
      <c r="EY26">
        <f>EY25*IF(OR($C25=55,$G25=55),0,1)</f>
        <v/>
      </c>
      <c r="EZ26">
        <f>EZ25*IF(OR($C25=56,$G25=56),0,1)</f>
        <v/>
      </c>
      <c r="FA26">
        <f>FA25*IF(OR($C25=57,$G25=57),0,1)</f>
        <v/>
      </c>
      <c r="FB26">
        <f>FB25*IF(OR($C25=58,$G25=58),0,1)</f>
        <v/>
      </c>
      <c r="FC26">
        <f>FC25*IF(OR($C25=59,$G25=59),0,1)</f>
        <v/>
      </c>
      <c r="FD26">
        <f>FD25*IF(OR($C25=60,$G25=60),0,1)</f>
        <v/>
      </c>
      <c r="FE26">
        <f>FE25*IF(OR($C25=61,$G25=61),0,1)</f>
        <v/>
      </c>
      <c r="FF26">
        <f>FF25*IF(OR($C25=62,$G25=62),0,1)</f>
        <v/>
      </c>
      <c r="FG26">
        <f>FG25*IF(OR($C25=63,$G25=63),0,1)</f>
        <v/>
      </c>
      <c r="FH26">
        <f>FH25*IF(OR($C25=64,$G25=64),0,1)</f>
        <v/>
      </c>
      <c r="FI26">
        <f>FI25*IF(OR($C25=65,$G25=65),0,1)</f>
        <v/>
      </c>
      <c r="FJ26">
        <f>FJ25*IF(OR($C25=66,$G25=66),0,1)</f>
        <v/>
      </c>
      <c r="FK26">
        <f>FK25*IF(OR($C25=67,$G25=67),0,1)</f>
        <v/>
      </c>
      <c r="FL26">
        <f>FL25*IF(OR($C25=68,$G25=68),0,1)</f>
        <v/>
      </c>
      <c r="FM26">
        <f>FM25*IF(OR($C25=69,$G25=69),0,1)</f>
        <v/>
      </c>
      <c r="FN26">
        <f>FN25*IF(OR($C25=70,$G25=70),0,1)</f>
        <v/>
      </c>
      <c r="FO26">
        <f>FO25*IF(OR($C25=71,$G25=71),0,1)</f>
        <v/>
      </c>
      <c r="FP26">
        <f>FP25*IF(OR($C25=72,$G25=72),0,1)</f>
        <v/>
      </c>
      <c r="FQ26">
        <f>FQ25*IF(OR($C25=73,$G25=73),0,1)</f>
        <v/>
      </c>
      <c r="FR26">
        <f>FR25*IF(OR($C25=74,$G25=74),0,1)</f>
        <v/>
      </c>
      <c r="FS26">
        <f>FS25*IF(OR($C25=75,$G25=75),0,1)</f>
        <v/>
      </c>
      <c r="FT26">
        <f>FT25*IF(OR($C25=76,$G25=76),0,1)</f>
        <v/>
      </c>
      <c r="FU26">
        <f>FU25*IF(OR($C25=77,$G25=77),0,1)</f>
        <v/>
      </c>
      <c r="FV26">
        <f>FV25*IF(OR($C25=78,$G25=78),0,1)</f>
        <v/>
      </c>
      <c r="FW26">
        <f>FW25*IF(OR($C25=79,$G25=79),0,1)</f>
        <v/>
      </c>
      <c r="FX26">
        <f>FX25*IF(OR($C25=80,$G25=80),0,1)</f>
        <v/>
      </c>
      <c r="FY26">
        <f>FY25*IF(OR($C25=81,$G25=81),0,1)</f>
        <v/>
      </c>
      <c r="FZ26">
        <f>FZ25*IF(OR($C25=82,$G25=82),0,1)</f>
        <v/>
      </c>
      <c r="GA26">
        <f>GA25*IF(OR($C25=83,$G25=83),0,1)</f>
        <v/>
      </c>
      <c r="GB26">
        <f>GB25*IF(OR($C25=84,$G25=84),0,1)</f>
        <v/>
      </c>
      <c r="GC26">
        <f>GC25*IF(OR($C25=85,$G25=85),0,1)</f>
        <v/>
      </c>
      <c r="GD26">
        <f>GD25*IF(OR($C25=86,$G25=86),0,1)</f>
        <v/>
      </c>
      <c r="GE26">
        <f>GE25*IF(OR($C25=87,$G25=87),0,1)</f>
        <v/>
      </c>
      <c r="GF26">
        <f>GF25*IF(OR($C25=88,$G25=88),0,1)</f>
        <v/>
      </c>
      <c r="GG26">
        <f>GG25*IF(OR($C25=89,$G25=89),0,1)</f>
        <v/>
      </c>
      <c r="GH26">
        <f>GH25*IF(OR($C25=90,$G25=90),0,1)</f>
        <v/>
      </c>
      <c r="GI26">
        <f>GI25*IF(OR($C25=91,$G25=91),0,1)</f>
        <v/>
      </c>
      <c r="GJ26">
        <f>GJ25*IF(OR($C25=92,$G25=92),0,1)</f>
        <v/>
      </c>
      <c r="GK26">
        <f>GK25*IF(OR($C25=93,$G25=93),0,1)</f>
        <v/>
      </c>
      <c r="GL26">
        <f>GL25*IF(OR($C25=94,$G25=94),0,1)</f>
        <v/>
      </c>
      <c r="GM26">
        <f>GM25*IF(OR($C25=95,$G25=95),0,1)</f>
        <v/>
      </c>
      <c r="GN26">
        <f>GN25*IF(OR($C25=96,$G25=96),0,1)</f>
        <v/>
      </c>
      <c r="GO26">
        <f>GO25*IF(OR($C25=97,$G25=97),0,1)</f>
        <v/>
      </c>
      <c r="GP26">
        <f>GP25*IF(OR($C25=98,$G25=98),0,1)</f>
        <v/>
      </c>
      <c r="GQ26">
        <f>GQ25*IF(OR($C25=99,$G25=99),0,1)</f>
        <v/>
      </c>
      <c r="GR26">
        <f>GR25*IF(OR($C25=100,$G25=100),0,1)</f>
        <v/>
      </c>
      <c r="GS26">
        <f>GS25*IF(OR($C25=101,$G25=101),0,1)</f>
        <v/>
      </c>
      <c r="GT26">
        <f>GT25*IF(OR($C25=102,$G25=102),0,1)</f>
        <v/>
      </c>
      <c r="GU26">
        <f>GU25*IF(OR($C25=103,$G25=103),0,1)</f>
        <v/>
      </c>
      <c r="GV26">
        <f>GV25*IF(OR($C25=104,$G25=104),0,1)</f>
        <v/>
      </c>
      <c r="GW26">
        <f>GW25*IF(OR($C25=105,$G25=105),0,1)</f>
        <v/>
      </c>
      <c r="GX26">
        <f>GX25*IF(OR($C25=106,$G25=106),0,1)</f>
        <v/>
      </c>
      <c r="GY26">
        <f>GY25*IF(OR($C25=107,$G25=107),0,1)</f>
        <v/>
      </c>
      <c r="GZ26">
        <f>GZ25*IF(OR($C25=108,$G25=108),0,1)</f>
        <v/>
      </c>
      <c r="HA26">
        <f>HA25*IF(OR($C25=109,$G25=109),0,1)</f>
        <v/>
      </c>
      <c r="HB26">
        <f>HB25*IF(OR($C25=110,$G25=110),0,1)</f>
        <v/>
      </c>
      <c r="HC26">
        <f>HC25*IF(OR($C25=111,$G25=111),0,1)</f>
        <v/>
      </c>
      <c r="HD26">
        <f>HD25*IF(OR($C25=112,$G25=112),0,1)</f>
        <v/>
      </c>
      <c r="HE26">
        <f>HE25*IF(OR($C25=113,$G25=113),0,1)</f>
        <v/>
      </c>
      <c r="HF26">
        <f>HF25*IF(OR($C25=114,$G25=114),0,1)</f>
        <v/>
      </c>
      <c r="HG26">
        <f>HG25*IF(OR($C25=115,$G25=115),0,1)</f>
        <v/>
      </c>
      <c r="HH26">
        <f>HH25*IF(OR($C25=116,$G25=116),0,1)</f>
        <v/>
      </c>
      <c r="HI26">
        <f>HI25*IF(OR($C25=117,$G25=117),0,1)</f>
        <v/>
      </c>
      <c r="HJ26">
        <f>HJ25*IF(OR($C25=118,$G25=118),0,1)</f>
        <v/>
      </c>
      <c r="HK26">
        <f>HK25*IF(OR($C25=119,$G25=119),0,1)</f>
        <v/>
      </c>
      <c r="HL26">
        <f>HL25*IF(OR($C25=120,$G25=120),0,1)</f>
        <v/>
      </c>
      <c r="HM26">
        <f>HM25*IF(OR($C25=121,$G25=121),0,1)</f>
        <v/>
      </c>
      <c r="HN26">
        <f>HN25*IF(OR($C25=122,$G25=122),0,1)</f>
        <v/>
      </c>
      <c r="HO26">
        <f>HO25*IF(OR($C25=123,$G25=123),0,1)</f>
        <v/>
      </c>
      <c r="HP26">
        <f>HP25*IF(OR($C25=124,$G25=124),0,1)</f>
        <v/>
      </c>
      <c r="HQ26">
        <f>HQ25*IF(OR($C25=125,$G25=125),0,1)</f>
        <v/>
      </c>
      <c r="HR26">
        <f>HR25*IF(OR($C25=126,$G25=126),0,1)</f>
        <v/>
      </c>
      <c r="HS26">
        <f>HS25*IF(OR($C25=127,$G25=127),0,1)</f>
        <v/>
      </c>
      <c r="HT26">
        <f>HT25*IF(OR($C25=128,$G25=128),0,1)</f>
        <v/>
      </c>
      <c r="HU26">
        <f>HU25*IF(OR($C25=129,$G25=129),0,1)</f>
        <v/>
      </c>
      <c r="HV26">
        <f>HV25*IF(OR($C25=130,$G25=130),0,1)</f>
        <v/>
      </c>
      <c r="HW26">
        <f>HW25*IF(OR($C25=131,$G25=131),0,1)</f>
        <v/>
      </c>
      <c r="HX26">
        <f>HX25*IF(OR($C25=132,$G25=132),0,1)</f>
        <v/>
      </c>
      <c r="HY26">
        <f>HY25*IF(OR($C25=133,$G25=133),0,1)</f>
        <v/>
      </c>
      <c r="HZ26">
        <f>HZ25*IF(OR($C25=134,$G25=134),0,1)</f>
        <v/>
      </c>
      <c r="IA26">
        <f>IA25*IF(OR($C25=135,$G25=135),0,1)</f>
        <v/>
      </c>
      <c r="IB26">
        <f>IB25*IF(OR($C25=136,$G25=136),0,1)</f>
        <v/>
      </c>
      <c r="IC26">
        <f>IC25*IF(OR($C25=137,$G25=137),0,1)</f>
        <v/>
      </c>
      <c r="ID26">
        <f>ID25*IF(OR($C25=138,$G25=138),0,1)</f>
        <v/>
      </c>
      <c r="IE26">
        <f>IE25*IF(OR($C25=139,$G25=139),0,1)</f>
        <v/>
      </c>
      <c r="IF26">
        <f>IF25*IF(OR($C25=140,$G25=140),0,1)</f>
        <v/>
      </c>
      <c r="IG26">
        <f>IG25*IF(OR($C25=141,$G25=141),0,1)</f>
        <v/>
      </c>
      <c r="IH26">
        <f>IH25*IF(OR($C25=142,$G25=142),0,1)</f>
        <v/>
      </c>
      <c r="II26">
        <f>II25*IF(OR($C25=143,$G25=143),0,1)</f>
        <v/>
      </c>
      <c r="IJ26">
        <f>IJ25*IF(OR($C25=144,$G25=144),0,1)</f>
        <v/>
      </c>
      <c r="IK26">
        <f>IK25*IF(OR($C25=145,$G25=145),0,1)</f>
        <v/>
      </c>
      <c r="IL26">
        <f>IL25*IF(OR($C25=146,$G25=146),0,1)</f>
        <v/>
      </c>
      <c r="IM26">
        <f>IM25*IF(OR($C25=147,$G25=147),0,1)</f>
        <v/>
      </c>
      <c r="IN26">
        <f>IN25*IF(OR($C25=148,$G25=148),0,1)</f>
        <v/>
      </c>
      <c r="IO26">
        <f>IO25*IF(OR($C25=149,$G25=149),0,1)</f>
        <v/>
      </c>
      <c r="IP26">
        <f>IP25*IF(OR($C25=150,$G25=150),0,1)</f>
        <v/>
      </c>
      <c r="IQ26">
        <f>IQ25*IF(OR($C25=151,$G25=151),0,1)</f>
        <v/>
      </c>
      <c r="IR26">
        <f>IR25*IF(OR($C25=152,$G25=152),0,1)</f>
        <v/>
      </c>
      <c r="IS26">
        <f>IS25*IF(OR($C25=153,$G25=153),0,1)</f>
        <v/>
      </c>
      <c r="IT26">
        <f>IT25*IF(OR($C25=154,$G25=154),0,1)</f>
        <v/>
      </c>
      <c r="IU26">
        <f>IU25*IF(OR($C25=155,$G25=155),0,1)</f>
        <v/>
      </c>
      <c r="IV26">
        <f>IV25*IF(OR($C25=156,$G25=156),0,1)</f>
        <v/>
      </c>
      <c r="IW26">
        <f>IW25*IF(OR($C25=157,$G25=157),0,1)</f>
        <v/>
      </c>
      <c r="IX26">
        <f>IX25*IF(OR($C25=158,$G25=158),0,1)</f>
        <v/>
      </c>
      <c r="IY26">
        <f>IY25*IF(OR($C25=159,$G25=159),0,1)</f>
        <v/>
      </c>
      <c r="IZ26">
        <f>IZ25*IF(OR($C25=160,$G25=160),0,1)</f>
        <v/>
      </c>
      <c r="JA26">
        <f>JA25*IF(OR($C25=161,$G25=161),0,1)</f>
        <v/>
      </c>
      <c r="JB26">
        <f>JB25*IF(OR($C25=162,$G25=162),0,1)</f>
        <v/>
      </c>
      <c r="JC26">
        <f>JC25*IF(OR($C25=163,$G25=163),0,1)</f>
        <v/>
      </c>
      <c r="JD26">
        <f>JD25*IF(OR($C25=164,$G25=164),0,1)</f>
        <v/>
      </c>
      <c r="JE26">
        <f>JE25*IF(OR($C25=165,$G25=165),0,1)</f>
        <v/>
      </c>
      <c r="JF26">
        <f>JF25*IF(OR($C25=166,$G25=166),0,1)</f>
        <v/>
      </c>
      <c r="JG26">
        <f>JG25*IF(OR($C25=167,$G25=167),0,1)</f>
        <v/>
      </c>
      <c r="JH26">
        <f>JH25*IF(OR($C25=168,$G25=168),0,1)</f>
        <v/>
      </c>
      <c r="JI26">
        <f>JI25*IF(OR($C25=169,$G25=169),0,1)</f>
        <v/>
      </c>
      <c r="JJ26">
        <f>JJ25*IF(OR($C25=170,$G25=170),0,1)</f>
        <v/>
      </c>
      <c r="JK26">
        <f>JK25*IF(OR($C25=171,$G25=171),0,1)</f>
        <v/>
      </c>
      <c r="JL26">
        <f>JL25*IF(OR($C25=172,$G25=172),0,1)</f>
        <v/>
      </c>
      <c r="JM26">
        <f>JM25*IF(OR($C25=173,$G25=173),0,1)</f>
        <v/>
      </c>
      <c r="JN26">
        <f>JN25*IF(OR($C25=174,$G25=174),0,1)</f>
        <v/>
      </c>
      <c r="JO26">
        <f>JO25*IF(OR($C25=175,$G25=175),0,1)</f>
        <v/>
      </c>
      <c r="JP26">
        <f>JP25*IF(OR($C25=176,$G25=176),0,1)</f>
        <v/>
      </c>
      <c r="JQ26">
        <f>JQ25*IF(OR($C25=177,$G25=177),0,1)</f>
        <v/>
      </c>
      <c r="JR26">
        <f>JR25*IF(OR($C25=178,$G25=178),0,1)</f>
        <v/>
      </c>
      <c r="JS26">
        <f>JS25*IF(OR($C25=179,$G25=179),0,1)</f>
        <v/>
      </c>
      <c r="JT26">
        <f>JT25*IF(OR($C25=180,$G25=180),0,1)</f>
        <v/>
      </c>
      <c r="JU26">
        <f>JU25*IF(OR($C25=181,$G25=181),0,1)</f>
        <v/>
      </c>
      <c r="JV26">
        <f>JV25*IF(OR($C25=182,$G25=182),0,1)</f>
        <v/>
      </c>
      <c r="JW26">
        <f>JW25*IF(OR($C25=183,$G25=183),0,1)</f>
        <v/>
      </c>
      <c r="JX26">
        <f>JX25*IF(OR($C25=184,$G25=184),0,1)</f>
        <v/>
      </c>
      <c r="JY26">
        <f>JY25*IF(OR($C25=185,$G25=185),0,1)</f>
        <v/>
      </c>
      <c r="JZ26">
        <f>JZ25*IF(OR($C25=186,$G25=186),0,1)</f>
        <v/>
      </c>
      <c r="KA26">
        <f>KA25*IF(OR($C25=187,$G25=187),0,1)</f>
        <v/>
      </c>
      <c r="KB26">
        <f>KB25*IF(OR($C25=188,$G25=188),0,1)</f>
        <v/>
      </c>
      <c r="KC26">
        <f>KC25*IF(OR($C25=189,$G25=189),0,1)</f>
        <v/>
      </c>
      <c r="KD26">
        <f>KD25*IF(OR($C25=190,$G25=190),0,1)</f>
        <v/>
      </c>
      <c r="KE26">
        <f>KE25*IF(OR($C25=191,$G25=191),0,1)</f>
        <v/>
      </c>
      <c r="KF26">
        <f>KF25*IF(OR($C25=192,$G25=192),0,1)</f>
        <v/>
      </c>
      <c r="KG26">
        <f>KG25*IF(OR($C25=193,$G25=193),0,1)</f>
        <v/>
      </c>
      <c r="KH26">
        <f>KH25*IF(OR($C25=194,$G25=194),0,1)</f>
        <v/>
      </c>
      <c r="KI26">
        <f>KI25*IF(OR($C25=195,$G25=195),0,1)</f>
        <v/>
      </c>
      <c r="KJ26">
        <f>KJ25*IF(OR($C25=196,$G25=196),0,1)</f>
        <v/>
      </c>
      <c r="KK26">
        <f>KK25*IF(OR($C25=197,$G25=197),0,1)</f>
        <v/>
      </c>
      <c r="KL26">
        <f>KL25*IF(OR($C25=198,$G25=198),0,1)</f>
        <v/>
      </c>
      <c r="KM26">
        <f>KM25*IF(OR($C25=199,$G25=199),0,1)</f>
        <v/>
      </c>
      <c r="KN26">
        <f>KN25*IF(OR($C25=200,$G25=200),0,1)</f>
        <v/>
      </c>
      <c r="KO26">
        <f>KO25*IF(OR($C25=201,$G25=201),0,1)</f>
        <v/>
      </c>
      <c r="KP26">
        <f>KP25*IF(OR($C25=202,$G25=202),0,1)</f>
        <v/>
      </c>
      <c r="KQ26">
        <f>KQ25*IF(OR($C25=203,$G25=203),0,1)</f>
        <v/>
      </c>
      <c r="KR26">
        <f>KR25*IF(OR($C25=204,$G25=204),0,1)</f>
        <v/>
      </c>
      <c r="KS26">
        <f>KS25*IF(OR($C25=205,$G25=205),0,1)</f>
        <v/>
      </c>
      <c r="KT26">
        <f>KT25*IF(OR($C25=206,$G25=206),0,1)</f>
        <v/>
      </c>
      <c r="KU26">
        <f>KU25*IF(OR($C25=207,$G25=207),0,1)</f>
        <v/>
      </c>
      <c r="KV26">
        <f>KV25*IF(OR($C25=208,$G25=208),0,1)</f>
        <v/>
      </c>
      <c r="KW26">
        <f>KW25*IF(OR($C25=209,$G25=209),0,1)</f>
        <v/>
      </c>
      <c r="KX26">
        <f>KX25*IF(OR($C25=210,$G25=210),0,1)</f>
        <v/>
      </c>
      <c r="KY26">
        <f>KY25*IF(OR($C25=211,$G25=211),0,1)</f>
        <v/>
      </c>
      <c r="KZ26">
        <f>KZ25*IF(OR($C25=212,$G25=212),0,1)</f>
        <v/>
      </c>
      <c r="LA26">
        <f>LA25*IF(OR($C25=213,$G25=213),0,1)</f>
        <v/>
      </c>
      <c r="LB26">
        <f>LB25*IF(OR($C25=214,$G25=214),0,1)</f>
        <v/>
      </c>
      <c r="LC26">
        <f>LC25*IF(OR($C25=215,$G25=215),0,1)</f>
        <v/>
      </c>
      <c r="LD26">
        <f>LD25*IF(OR($C25=216,$G25=216),0,1)</f>
        <v/>
      </c>
      <c r="LE26">
        <f>LE25*IF(OR($C25=217,$G25=217),0,1)</f>
        <v/>
      </c>
      <c r="LF26">
        <f>LF25*IF(OR($C25=218,$G25=218),0,1)</f>
        <v/>
      </c>
      <c r="LG26">
        <f>LG25*IF(OR($C25=219,$G25=219),0,1)</f>
        <v/>
      </c>
      <c r="LH26">
        <f>LH25*IF(OR($C25=220,$G25=220),0,1)</f>
        <v/>
      </c>
      <c r="LI26">
        <f>LI25*IF(OR($C25=221,$G25=221),0,1)</f>
        <v/>
      </c>
      <c r="LJ26">
        <f>LJ25*IF(OR($C25=222,$G25=222),0,1)</f>
        <v/>
      </c>
      <c r="LK26">
        <f>LK25*IF(OR($C25=223,$G25=223),0,1)</f>
        <v/>
      </c>
      <c r="LL26">
        <f>LL25*IF(OR($C25=224,$G25=224),0,1)</f>
        <v/>
      </c>
      <c r="LM26">
        <f>LM25*IF(OR($C25=225,$G25=225),0,1)</f>
        <v/>
      </c>
      <c r="LN26">
        <f>LN25*IF(OR($C25=226,$G25=226),0,1)</f>
        <v/>
      </c>
      <c r="LO26">
        <f>LO25*IF(OR($C25=227,$G25=227),0,1)</f>
        <v/>
      </c>
      <c r="LP26">
        <f>LP25*IF(OR($C25=228,$G25=228),0,1)</f>
        <v/>
      </c>
      <c r="LQ26">
        <f>LQ25*IF(OR($C25=229,$G25=229),0,1)</f>
        <v/>
      </c>
      <c r="LR26">
        <f>LR25*IF(OR($C25=230,$G25=230),0,1)</f>
        <v/>
      </c>
      <c r="LS26">
        <f>LS25*IF(OR($C25=231,$G25=231),0,1)</f>
        <v/>
      </c>
      <c r="LT26">
        <f>LT25*IF(OR($C25=232,$G25=232),0,1)</f>
        <v/>
      </c>
      <c r="LU26">
        <f>LU25*IF(OR($C25=233,$G25=233),0,1)</f>
        <v/>
      </c>
      <c r="LV26">
        <f>LV25*IF(OR($C25=234,$G25=234),0,1)</f>
        <v/>
      </c>
      <c r="LW26">
        <f>LW25*IF(OR($C25=235,$G25=235),0,1)</f>
        <v/>
      </c>
      <c r="LX26">
        <f>LX25*IF(OR($C25=236,$G25=236),0,1)</f>
        <v/>
      </c>
      <c r="LY26">
        <f>LY25*IF(OR($C25=237,$G25=237),0,1)</f>
        <v/>
      </c>
      <c r="LZ26">
        <f>LZ25*IF(OR($C25=238,$G25=238),0,1)</f>
        <v/>
      </c>
      <c r="MA26">
        <f>MA25*IF(OR($C25=239,$G25=239),0,1)</f>
        <v/>
      </c>
      <c r="MB26">
        <f>MB25*IF(OR($C25=240,$G25=240),0,1)</f>
        <v/>
      </c>
      <c r="MD26">
        <f>IF('計算A'!D$106=1,CX26,1)</f>
        <v/>
      </c>
      <c r="ME26">
        <f>IF('計算A'!E$106=1,CY26,1)</f>
        <v/>
      </c>
      <c r="MF26">
        <f>IF('計算A'!F$106=1,CZ26,1)</f>
        <v/>
      </c>
      <c r="MG26">
        <f>IF('計算A'!G$106=1,DA26,1)</f>
        <v/>
      </c>
      <c r="MH26">
        <f>IF('計算A'!H$106=1,DB26,1)</f>
        <v/>
      </c>
      <c r="MI26">
        <f>IF('計算A'!I$106=1,DC26,1)</f>
        <v/>
      </c>
      <c r="MJ26">
        <f>IF('計算A'!J$106=1,DD26,1)</f>
        <v/>
      </c>
      <c r="MK26">
        <f>IF('計算A'!K$106=1,DE26,1)</f>
        <v/>
      </c>
      <c r="ML26">
        <f>IF('計算A'!L$106=1,DF26,1)</f>
        <v/>
      </c>
      <c r="MM26">
        <f>IF('計算A'!M$106=1,DG26,1)</f>
        <v/>
      </c>
      <c r="MN26">
        <f>IF('計算A'!N$106=1,DH26,1)</f>
        <v/>
      </c>
      <c r="MO26">
        <f>IF('計算A'!O$106=1,DI26,1)</f>
        <v/>
      </c>
      <c r="MP26">
        <f>IF('計算A'!P$106=1,DJ26,1)</f>
        <v/>
      </c>
      <c r="MQ26">
        <f>IF('計算A'!Q$106=1,DK26,1)</f>
        <v/>
      </c>
      <c r="MR26">
        <f>IF('計算A'!R$106=1,DL26,1)</f>
        <v/>
      </c>
      <c r="MS26">
        <f>IF('計算A'!S$106=1,DM26,1)</f>
        <v/>
      </c>
      <c r="MT26">
        <f>IF('計算A'!T$106=1,DN26,1)</f>
        <v/>
      </c>
      <c r="MU26">
        <f>IF('計算A'!U$106=1,DO26,1)</f>
        <v/>
      </c>
      <c r="MV26">
        <f>IF('計算A'!V$106=1,DP26,1)</f>
        <v/>
      </c>
      <c r="MW26">
        <f>IF('計算A'!W$106=1,DQ26,1)</f>
        <v/>
      </c>
      <c r="MX26">
        <f>IF('計算A'!X$106=1,DR26,1)</f>
        <v/>
      </c>
      <c r="MY26">
        <f>IF('計算A'!Y$106=1,DS26,1)</f>
        <v/>
      </c>
      <c r="MZ26">
        <f>IF('計算A'!Z$106=1,DT26,1)</f>
        <v/>
      </c>
      <c r="NA26">
        <f>IF('計算A'!AA$106=1,DU26,1)</f>
        <v/>
      </c>
      <c r="NB26">
        <f>IF('計算A'!AB$106=1,DV26,1)</f>
        <v/>
      </c>
      <c r="NC26">
        <f>IF('計算A'!AC$106=1,DW26,1)</f>
        <v/>
      </c>
      <c r="ND26">
        <f>IF('計算A'!AD$106=1,DX26,1)</f>
        <v/>
      </c>
      <c r="NE26">
        <f>IF('計算A'!AE$106=1,DY26,1)</f>
        <v/>
      </c>
      <c r="NF26">
        <f>IF('計算A'!AF$106=1,DZ26,1)</f>
        <v/>
      </c>
      <c r="NG26">
        <f>IF('計算A'!AG$106=1,EA26,1)</f>
        <v/>
      </c>
      <c r="NH26">
        <f>IF('計算A'!AH$106=1,EB26,1)</f>
        <v/>
      </c>
      <c r="NI26">
        <f>IF('計算A'!AI$106=1,EC26,1)</f>
        <v/>
      </c>
      <c r="NJ26">
        <f>IF('計算A'!AJ$106=1,ED26,1)</f>
        <v/>
      </c>
      <c r="NK26">
        <f>IF('計算A'!AK$106=1,EE26,1)</f>
        <v/>
      </c>
      <c r="NL26">
        <f>IF('計算A'!AL$106=1,EF26,1)</f>
        <v/>
      </c>
      <c r="NM26">
        <f>IF('計算A'!AM$106=1,EG26,1)</f>
        <v/>
      </c>
      <c r="NN26">
        <f>IF('計算A'!AN$106=1,EH26,1)</f>
        <v/>
      </c>
      <c r="NO26">
        <f>IF('計算A'!AO$106=1,EI26,1)</f>
        <v/>
      </c>
      <c r="NP26">
        <f>IF('計算A'!AP$106=1,EJ26,1)</f>
        <v/>
      </c>
      <c r="NQ26">
        <f>IF('計算A'!AQ$106=1,EK26,1)</f>
        <v/>
      </c>
      <c r="NR26">
        <f>IF('計算A'!AR$106=1,EL26,1)</f>
        <v/>
      </c>
      <c r="NS26">
        <f>IF('計算A'!AS$106=1,EM26,1)</f>
        <v/>
      </c>
      <c r="NT26">
        <f>IF('計算A'!AT$106=1,EN26,1)</f>
        <v/>
      </c>
      <c r="NU26">
        <f>IF('計算A'!AU$106=1,EO26,1)</f>
        <v/>
      </c>
      <c r="NV26">
        <f>IF('計算A'!AV$106=1,EP26,1)</f>
        <v/>
      </c>
      <c r="NW26">
        <f>IF('計算A'!AW$106=1,EQ26,1)</f>
        <v/>
      </c>
      <c r="NX26">
        <f>IF('計算A'!AX$106=1,ER26,1)</f>
        <v/>
      </c>
      <c r="NY26">
        <f>IF('計算A'!AY$106=1,ES26,1)</f>
        <v/>
      </c>
      <c r="NZ26">
        <f>IF('計算A'!AZ$106=1,ET26,1)</f>
        <v/>
      </c>
      <c r="OA26">
        <f>IF('計算A'!BA$106=1,EU26,1)</f>
        <v/>
      </c>
      <c r="OB26">
        <f>IF('計算A'!BB$106=1,EV26,1)</f>
        <v/>
      </c>
      <c r="OC26">
        <f>IF('計算A'!BC$106=1,EW26,1)</f>
        <v/>
      </c>
      <c r="OD26">
        <f>IF('計算A'!BD$106=1,EX26,1)</f>
        <v/>
      </c>
      <c r="OE26">
        <f>IF('計算A'!BE$106=1,EY26,1)</f>
        <v/>
      </c>
      <c r="OF26">
        <f>IF('計算A'!BF$106=1,EZ26,1)</f>
        <v/>
      </c>
      <c r="OG26">
        <f>IF('計算A'!BG$106=1,FA26,1)</f>
        <v/>
      </c>
      <c r="OH26">
        <f>IF('計算A'!BH$106=1,FB26,1)</f>
        <v/>
      </c>
      <c r="OI26">
        <f>IF('計算A'!BI$106=1,FC26,1)</f>
        <v/>
      </c>
      <c r="OJ26">
        <f>IF('計算A'!BJ$106=1,FD26,1)</f>
        <v/>
      </c>
      <c r="OK26">
        <f>IF('計算A'!BK$106=1,FE26,1)</f>
        <v/>
      </c>
      <c r="OL26">
        <f>IF('計算A'!BL$106=1,FF26,1)</f>
        <v/>
      </c>
      <c r="OM26">
        <f>IF('計算A'!BM$106=1,FG26,1)</f>
        <v/>
      </c>
      <c r="ON26">
        <f>IF('計算A'!BN$106=1,FH26,1)</f>
        <v/>
      </c>
      <c r="OO26">
        <f>IF('計算A'!BO$106=1,FI26,1)</f>
        <v/>
      </c>
      <c r="OP26">
        <f>IF('計算A'!BP$106=1,FJ26,1)</f>
        <v/>
      </c>
      <c r="OQ26">
        <f>IF('計算A'!BQ$106=1,FK26,1)</f>
        <v/>
      </c>
      <c r="OR26">
        <f>IF('計算A'!BR$106=1,FL26,1)</f>
        <v/>
      </c>
      <c r="OS26">
        <f>IF('計算A'!BS$106=1,FM26,1)</f>
        <v/>
      </c>
      <c r="OT26">
        <f>IF('計算A'!BT$106=1,FN26,1)</f>
        <v/>
      </c>
      <c r="OU26">
        <f>IF('計算A'!BU$106=1,FO26,1)</f>
        <v/>
      </c>
      <c r="OV26">
        <f>IF('計算A'!BV$106=1,FP26,1)</f>
        <v/>
      </c>
      <c r="OW26">
        <f>IF('計算A'!BW$106=1,FQ26,1)</f>
        <v/>
      </c>
      <c r="OX26">
        <f>IF('計算A'!BX$106=1,FR26,1)</f>
        <v/>
      </c>
      <c r="OY26">
        <f>IF('計算A'!BY$106=1,FS26,1)</f>
        <v/>
      </c>
      <c r="OZ26">
        <f>IF('計算A'!BZ$106=1,FT26,1)</f>
        <v/>
      </c>
      <c r="PA26">
        <f>IF('計算A'!CA$106=1,FU26,1)</f>
        <v/>
      </c>
      <c r="PB26">
        <f>IF('計算A'!CB$106=1,FV26,1)</f>
        <v/>
      </c>
      <c r="PC26">
        <f>IF('計算A'!CC$106=1,FW26,1)</f>
        <v/>
      </c>
      <c r="PD26">
        <f>IF('計算A'!CD$106=1,FX26,1)</f>
        <v/>
      </c>
      <c r="PE26">
        <f>IF('計算A'!CE$106=1,FY26,1)</f>
        <v/>
      </c>
      <c r="PF26">
        <f>IF('計算A'!CF$106=1,FZ26,1)</f>
        <v/>
      </c>
      <c r="PG26">
        <f>IF('計算A'!CG$106=1,GA26,1)</f>
        <v/>
      </c>
      <c r="PH26">
        <f>IF('計算A'!CH$106=1,GB26,1)</f>
        <v/>
      </c>
      <c r="PI26">
        <f>IF('計算A'!CI$106=1,GC26,1)</f>
        <v/>
      </c>
      <c r="PJ26">
        <f>IF('計算A'!CJ$106=1,GD26,1)</f>
        <v/>
      </c>
      <c r="PK26">
        <f>IF('計算A'!CK$106=1,GE26,1)</f>
        <v/>
      </c>
      <c r="PL26">
        <f>IF('計算A'!CL$106=1,GF26,1)</f>
        <v/>
      </c>
      <c r="PM26">
        <f>IF('計算A'!CM$106=1,GG26,1)</f>
        <v/>
      </c>
      <c r="PN26">
        <f>IF('計算A'!CN$106=1,GH26,1)</f>
        <v/>
      </c>
      <c r="PO26">
        <f>IF('計算A'!CO$106=1,GI26,1)</f>
        <v/>
      </c>
      <c r="PP26">
        <f>IF('計算A'!CP$106=1,GJ26,1)</f>
        <v/>
      </c>
      <c r="PQ26">
        <f>IF('計算A'!CQ$106=1,GK26,1)</f>
        <v/>
      </c>
      <c r="PR26">
        <f>IF('計算A'!CR$106=1,GL26,1)</f>
        <v/>
      </c>
      <c r="PS26">
        <f>IF('計算A'!CS$106=1,GM26,1)</f>
        <v/>
      </c>
      <c r="PT26">
        <f>IF('計算A'!CT$106=1,GN26,1)</f>
        <v/>
      </c>
      <c r="PU26">
        <f>IF('計算A'!CU$106=1,GO26,1)</f>
        <v/>
      </c>
      <c r="PV26">
        <f>IF('計算A'!CV$106=1,GP26,1)</f>
        <v/>
      </c>
      <c r="PW26">
        <f>IF('計算A'!CW$106=1,GQ26,1)</f>
        <v/>
      </c>
      <c r="PX26">
        <f>IF('計算A'!CX$106=1,GR26,1)</f>
        <v/>
      </c>
      <c r="PY26">
        <f>IF('計算A'!CY$106=1,GS26,1)</f>
        <v/>
      </c>
      <c r="PZ26">
        <f>IF('計算A'!CZ$106=1,GT26,1)</f>
        <v/>
      </c>
      <c r="QA26">
        <f>IF('計算A'!DA$106=1,GU26,1)</f>
        <v/>
      </c>
      <c r="QB26">
        <f>IF('計算A'!DB$106=1,GV26,1)</f>
        <v/>
      </c>
      <c r="QC26">
        <f>IF('計算A'!DC$106=1,GW26,1)</f>
        <v/>
      </c>
      <c r="QD26">
        <f>IF('計算A'!DD$106=1,GX26,1)</f>
        <v/>
      </c>
      <c r="QE26">
        <f>IF('計算A'!DE$106=1,GY26,1)</f>
        <v/>
      </c>
      <c r="QF26">
        <f>IF('計算A'!DF$106=1,GZ26,1)</f>
        <v/>
      </c>
      <c r="QG26">
        <f>IF('計算A'!DG$106=1,HA26,1)</f>
        <v/>
      </c>
      <c r="QH26">
        <f>IF('計算A'!DH$106=1,HB26,1)</f>
        <v/>
      </c>
      <c r="QI26">
        <f>IF('計算A'!DI$106=1,HC26,1)</f>
        <v/>
      </c>
      <c r="QJ26">
        <f>IF('計算A'!DJ$106=1,HD26,1)</f>
        <v/>
      </c>
      <c r="QK26">
        <f>IF('計算A'!DK$106=1,HE26,1)</f>
        <v/>
      </c>
      <c r="QL26">
        <f>IF('計算A'!DL$106=1,HF26,1)</f>
        <v/>
      </c>
      <c r="QM26">
        <f>IF('計算A'!DM$106=1,HG26,1)</f>
        <v/>
      </c>
      <c r="QN26">
        <f>IF('計算A'!DN$106=1,HH26,1)</f>
        <v/>
      </c>
      <c r="QO26">
        <f>IF('計算A'!DO$106=1,HI26,1)</f>
        <v/>
      </c>
      <c r="QP26">
        <f>IF('計算A'!DP$106=1,HJ26,1)</f>
        <v/>
      </c>
      <c r="QQ26">
        <f>IF('計算A'!DQ$106=1,HK26,1)</f>
        <v/>
      </c>
      <c r="QR26">
        <f>IF('計算A'!DR$106=1,HL26,1)</f>
        <v/>
      </c>
      <c r="QS26">
        <f>IF('計算A'!DS$106=1,HM26,1)</f>
        <v/>
      </c>
      <c r="QT26">
        <f>IF('計算A'!DT$106=1,HN26,1)</f>
        <v/>
      </c>
      <c r="QU26">
        <f>IF('計算A'!DU$106=1,HO26,1)</f>
        <v/>
      </c>
      <c r="QV26">
        <f>IF('計算A'!DV$106=1,HP26,1)</f>
        <v/>
      </c>
      <c r="QW26">
        <f>IF('計算A'!DW$106=1,HQ26,1)</f>
        <v/>
      </c>
      <c r="QX26">
        <f>IF('計算A'!DX$106=1,HR26,1)</f>
        <v/>
      </c>
      <c r="QY26">
        <f>IF('計算A'!DY$106=1,HS26,1)</f>
        <v/>
      </c>
      <c r="QZ26">
        <f>IF('計算A'!DZ$106=1,HT26,1)</f>
        <v/>
      </c>
      <c r="RA26">
        <f>IF('計算A'!EA$106=1,HU26,1)</f>
        <v/>
      </c>
      <c r="RB26">
        <f>IF('計算A'!EB$106=1,HV26,1)</f>
        <v/>
      </c>
      <c r="RC26">
        <f>IF('計算A'!EC$106=1,HW26,1)</f>
        <v/>
      </c>
      <c r="RD26">
        <f>IF('計算A'!ED$106=1,HX26,1)</f>
        <v/>
      </c>
      <c r="RE26">
        <f>IF('計算A'!EE$106=1,HY26,1)</f>
        <v/>
      </c>
      <c r="RF26">
        <f>IF('計算A'!EF$106=1,HZ26,1)</f>
        <v/>
      </c>
      <c r="RG26">
        <f>IF('計算A'!EG$106=1,IA26,1)</f>
        <v/>
      </c>
      <c r="RH26">
        <f>IF('計算A'!EH$106=1,IB26,1)</f>
        <v/>
      </c>
      <c r="RI26">
        <f>IF('計算A'!EI$106=1,IC26,1)</f>
        <v/>
      </c>
      <c r="RJ26">
        <f>IF('計算A'!EJ$106=1,ID26,1)</f>
        <v/>
      </c>
      <c r="RK26">
        <f>IF('計算A'!EK$106=1,IE26,1)</f>
        <v/>
      </c>
      <c r="RL26">
        <f>IF('計算A'!EL$106=1,IF26,1)</f>
        <v/>
      </c>
      <c r="RM26">
        <f>IF('計算A'!EM$106=1,IG26,1)</f>
        <v/>
      </c>
      <c r="RN26">
        <f>IF('計算A'!EN$106=1,IH26,1)</f>
        <v/>
      </c>
      <c r="RO26">
        <f>IF('計算A'!EO$106=1,II26,1)</f>
        <v/>
      </c>
      <c r="RP26">
        <f>IF('計算A'!EP$106=1,IJ26,1)</f>
        <v/>
      </c>
      <c r="RQ26">
        <f>IF('計算A'!EQ$106=1,IK26,1)</f>
        <v/>
      </c>
      <c r="RR26">
        <f>IF('計算A'!ER$106=1,IL26,1)</f>
        <v/>
      </c>
      <c r="RS26">
        <f>IF('計算A'!ES$106=1,IM26,1)</f>
        <v/>
      </c>
      <c r="RT26">
        <f>IF('計算A'!ET$106=1,IN26,1)</f>
        <v/>
      </c>
      <c r="RU26">
        <f>IF('計算A'!EU$106=1,IO26,1)</f>
        <v/>
      </c>
      <c r="RV26">
        <f>IF('計算A'!EV$106=1,IP26,1)</f>
        <v/>
      </c>
      <c r="RW26">
        <f>IF('計算A'!EW$106=1,IQ26,1)</f>
        <v/>
      </c>
      <c r="RX26">
        <f>IF('計算A'!EX$106=1,IR26,1)</f>
        <v/>
      </c>
      <c r="RY26">
        <f>IF('計算A'!EY$106=1,IS26,1)</f>
        <v/>
      </c>
      <c r="RZ26">
        <f>IF('計算A'!EZ$106=1,IT26,1)</f>
        <v/>
      </c>
      <c r="SA26">
        <f>IF('計算A'!FA$106=1,IU26,1)</f>
        <v/>
      </c>
      <c r="SB26">
        <f>IF('計算A'!FB$106=1,IV26,1)</f>
        <v/>
      </c>
      <c r="SC26">
        <f>IF('計算A'!FC$106=1,IW26,1)</f>
        <v/>
      </c>
      <c r="SD26">
        <f>IF('計算A'!FD$106=1,IX26,1)</f>
        <v/>
      </c>
      <c r="SE26">
        <f>IF('計算A'!FE$106=1,IY26,1)</f>
        <v/>
      </c>
      <c r="SF26">
        <f>IF('計算A'!FF$106=1,IZ26,1)</f>
        <v/>
      </c>
      <c r="SG26">
        <f>IF('計算A'!FG$106=1,JA26,1)</f>
        <v/>
      </c>
      <c r="SH26">
        <f>IF('計算A'!FH$106=1,JB26,1)</f>
        <v/>
      </c>
      <c r="SI26">
        <f>IF('計算A'!FI$106=1,JC26,1)</f>
        <v/>
      </c>
      <c r="SJ26">
        <f>IF('計算A'!FJ$106=1,JD26,1)</f>
        <v/>
      </c>
      <c r="SK26">
        <f>IF('計算A'!FK$106=1,JE26,1)</f>
        <v/>
      </c>
      <c r="SL26">
        <f>IF('計算A'!FL$106=1,JF26,1)</f>
        <v/>
      </c>
      <c r="SM26">
        <f>IF('計算A'!FM$106=1,JG26,1)</f>
        <v/>
      </c>
      <c r="SN26">
        <f>IF('計算A'!FN$106=1,JH26,1)</f>
        <v/>
      </c>
      <c r="SO26">
        <f>IF('計算A'!FO$106=1,JI26,1)</f>
        <v/>
      </c>
      <c r="SP26">
        <f>IF('計算A'!FP$106=1,JJ26,1)</f>
        <v/>
      </c>
      <c r="SQ26">
        <f>IF('計算A'!FQ$106=1,JK26,1)</f>
        <v/>
      </c>
      <c r="SR26">
        <f>IF('計算A'!FR$106=1,JL26,1)</f>
        <v/>
      </c>
      <c r="SS26">
        <f>IF('計算A'!FS$106=1,JM26,1)</f>
        <v/>
      </c>
      <c r="ST26">
        <f>IF('計算A'!FT$106=1,JN26,1)</f>
        <v/>
      </c>
      <c r="SU26">
        <f>IF('計算A'!FU$106=1,JO26,1)</f>
        <v/>
      </c>
      <c r="SV26">
        <f>IF('計算A'!FV$106=1,JP26,1)</f>
        <v/>
      </c>
      <c r="SW26">
        <f>IF('計算A'!FW$106=1,JQ26,1)</f>
        <v/>
      </c>
      <c r="SX26">
        <f>IF('計算A'!FX$106=1,JR26,1)</f>
        <v/>
      </c>
      <c r="SY26">
        <f>IF('計算A'!FY$106=1,JS26,1)</f>
        <v/>
      </c>
      <c r="SZ26">
        <f>IF('計算A'!FZ$106=1,JT26,1)</f>
        <v/>
      </c>
      <c r="TA26">
        <f>IF('計算A'!GA$106=1,JU26,1)</f>
        <v/>
      </c>
      <c r="TB26">
        <f>IF('計算A'!GB$106=1,JV26,1)</f>
        <v/>
      </c>
      <c r="TC26">
        <f>IF('計算A'!GC$106=1,JW26,1)</f>
        <v/>
      </c>
      <c r="TD26">
        <f>IF('計算A'!GD$106=1,JX26,1)</f>
        <v/>
      </c>
      <c r="TE26">
        <f>IF('計算A'!GE$106=1,JY26,1)</f>
        <v/>
      </c>
      <c r="TF26">
        <f>IF('計算A'!GF$106=1,JZ26,1)</f>
        <v/>
      </c>
      <c r="TG26">
        <f>IF('計算A'!GG$106=1,KA26,1)</f>
        <v/>
      </c>
      <c r="TH26">
        <f>IF('計算A'!GH$106=1,KB26,1)</f>
        <v/>
      </c>
      <c r="TI26">
        <f>IF('計算A'!GI$106=1,KC26,1)</f>
        <v/>
      </c>
      <c r="TJ26">
        <f>IF('計算A'!GJ$106=1,KD26,1)</f>
        <v/>
      </c>
      <c r="TK26">
        <f>IF('計算A'!GK$106=1,KE26,1)</f>
        <v/>
      </c>
      <c r="TL26">
        <f>IF('計算A'!GL$106=1,KF26,1)</f>
        <v/>
      </c>
      <c r="TM26">
        <f>IF('計算A'!GM$106=1,KG26,1)</f>
        <v/>
      </c>
      <c r="TN26">
        <f>IF('計算A'!GN$106=1,KH26,1)</f>
        <v/>
      </c>
      <c r="TO26">
        <f>IF('計算A'!GO$106=1,KI26,1)</f>
        <v/>
      </c>
      <c r="TP26">
        <f>IF('計算A'!GP$106=1,KJ26,1)</f>
        <v/>
      </c>
      <c r="TQ26">
        <f>IF('計算A'!GQ$106=1,KK26,1)</f>
        <v/>
      </c>
      <c r="TR26">
        <f>IF('計算A'!GR$106=1,KL26,1)</f>
        <v/>
      </c>
      <c r="TS26">
        <f>IF('計算A'!GS$106=1,KM26,1)</f>
        <v/>
      </c>
      <c r="TT26">
        <f>IF('計算A'!GT$106=1,KN26,1)</f>
        <v/>
      </c>
      <c r="TU26">
        <f>IF('計算A'!GU$106=1,KO26,1)</f>
        <v/>
      </c>
      <c r="TV26">
        <f>IF('計算A'!GV$106=1,KP26,1)</f>
        <v/>
      </c>
      <c r="TW26">
        <f>IF('計算A'!GW$106=1,KQ26,1)</f>
        <v/>
      </c>
      <c r="TX26">
        <f>IF('計算A'!GX$106=1,KR26,1)</f>
        <v/>
      </c>
      <c r="TY26">
        <f>IF('計算A'!GY$106=1,KS26,1)</f>
        <v/>
      </c>
      <c r="TZ26">
        <f>IF('計算A'!GZ$106=1,KT26,1)</f>
        <v/>
      </c>
      <c r="UA26">
        <f>IF('計算A'!HA$106=1,KU26,1)</f>
        <v/>
      </c>
      <c r="UB26">
        <f>IF('計算A'!HB$106=1,KV26,1)</f>
        <v/>
      </c>
      <c r="UC26">
        <f>IF('計算A'!HC$106=1,KW26,1)</f>
        <v/>
      </c>
      <c r="UD26">
        <f>IF('計算A'!HD$106=1,KX26,1)</f>
        <v/>
      </c>
      <c r="UE26">
        <f>IF('計算A'!HE$106=1,KY26,1)</f>
        <v/>
      </c>
      <c r="UF26">
        <f>IF('計算A'!HF$106=1,KZ26,1)</f>
        <v/>
      </c>
      <c r="UG26">
        <f>IF('計算A'!HG$106=1,LA26,1)</f>
        <v/>
      </c>
      <c r="UH26">
        <f>IF('計算A'!HH$106=1,LB26,1)</f>
        <v/>
      </c>
      <c r="UI26">
        <f>IF('計算A'!HI$106=1,LC26,1)</f>
        <v/>
      </c>
      <c r="UJ26">
        <f>IF('計算A'!HJ$106=1,LD26,1)</f>
        <v/>
      </c>
      <c r="UK26">
        <f>IF('計算A'!HK$106=1,LE26,1)</f>
        <v/>
      </c>
      <c r="UL26">
        <f>IF('計算A'!HL$106=1,LF26,1)</f>
        <v/>
      </c>
      <c r="UM26">
        <f>IF('計算A'!HM$106=1,LG26,1)</f>
        <v/>
      </c>
      <c r="UN26">
        <f>IF('計算A'!HN$106=1,LH26,1)</f>
        <v/>
      </c>
      <c r="UO26">
        <f>IF('計算A'!HO$106=1,LI26,1)</f>
        <v/>
      </c>
      <c r="UP26">
        <f>IF('計算A'!HP$106=1,LJ26,1)</f>
        <v/>
      </c>
      <c r="UQ26">
        <f>IF('計算A'!HQ$106=1,LK26,1)</f>
        <v/>
      </c>
      <c r="UR26">
        <f>IF('計算A'!HR$106=1,LL26,1)</f>
        <v/>
      </c>
      <c r="US26">
        <f>IF('計算A'!HS$106=1,LM26,1)</f>
        <v/>
      </c>
      <c r="UT26">
        <f>IF('計算A'!HT$106=1,LN26,1)</f>
        <v/>
      </c>
      <c r="UU26">
        <f>IF('計算A'!HU$106=1,LO26,1)</f>
        <v/>
      </c>
      <c r="UV26">
        <f>IF('計算A'!HV$106=1,LP26,1)</f>
        <v/>
      </c>
      <c r="UW26">
        <f>IF('計算A'!HW$106=1,LQ26,1)</f>
        <v/>
      </c>
      <c r="UX26">
        <f>IF('計算A'!HX$106=1,LR26,1)</f>
        <v/>
      </c>
      <c r="UY26">
        <f>IF('計算A'!HY$106=1,LS26,1)</f>
        <v/>
      </c>
      <c r="UZ26">
        <f>IF('計算A'!HZ$106=1,LT26,1)</f>
        <v/>
      </c>
      <c r="VA26">
        <f>IF('計算A'!IA$106=1,LU26,1)</f>
        <v/>
      </c>
      <c r="VB26">
        <f>IF('計算A'!IB$106=1,LV26,1)</f>
        <v/>
      </c>
      <c r="VC26">
        <f>IF('計算A'!IC$106=1,LW26,1)</f>
        <v/>
      </c>
      <c r="VD26">
        <f>IF('計算A'!ID$106=1,LX26,1)</f>
        <v/>
      </c>
      <c r="VE26">
        <f>IF('計算A'!IE$106=1,LY26,1)</f>
        <v/>
      </c>
      <c r="VF26">
        <f>IF('計算A'!IF$106=1,LZ26,1)</f>
        <v/>
      </c>
      <c r="VG26">
        <f>IF('計算A'!IG$106=1,MA26,1)</f>
        <v/>
      </c>
      <c r="VH26">
        <f>IF('計算A'!IH$106=1,MB26,1)</f>
        <v/>
      </c>
      <c r="VI26" t="n">
        <v>1</v>
      </c>
      <c r="VK26">
        <f>IF($B26=0,1000000,IF(INDEX('計算A'!$D$60:$II$104,$B26,1)*CW26=1,IF(AND($E26=2,MD26=0),1000000,INDEX('計算A'!D$110:D$114,$F26+1)+IF(AND($E26=1,MD26=0),1000,0)),1000000))</f>
        <v/>
      </c>
      <c r="VL26">
        <f>IF($B26=0,1000000,IF(INDEX('計算A'!$D$60:$II$104,$B26,2)*CX26=1,IF(AND($E26=2,ME26=0),1000000,INDEX('計算A'!E$110:E$114,$F26+1)+IF(AND($E26=1,ME26=0),1000,0)),1000000))</f>
        <v/>
      </c>
      <c r="VM26">
        <f>IF($B26=0,1000000,IF(INDEX('計算A'!$D$60:$II$104,$B26,3)*CY26=1,IF(AND($E26=2,MF26=0),1000000,INDEX('計算A'!F$110:F$114,$F26+1)+IF(AND($E26=1,MF26=0),1000,0)),1000000))</f>
        <v/>
      </c>
      <c r="VN26">
        <f>IF($B26=0,1000000,IF(INDEX('計算A'!$D$60:$II$104,$B26,4)*CZ26=1,IF(AND($E26=2,MG26=0),1000000,INDEX('計算A'!G$110:G$114,$F26+1)+IF(AND($E26=1,MG26=0),1000,0)),1000000))</f>
        <v/>
      </c>
      <c r="VO26">
        <f>IF($B26=0,1000000,IF(INDEX('計算A'!$D$60:$II$104,$B26,5)*DA26=1,IF(AND($E26=2,MH26=0),1000000,INDEX('計算A'!H$110:H$114,$F26+1)+IF(AND($E26=1,MH26=0),1000,0)),1000000))</f>
        <v/>
      </c>
      <c r="VP26">
        <f>IF($B26=0,1000000,IF(INDEX('計算A'!$D$60:$II$104,$B26,6)*DB26=1,IF(AND($E26=2,MI26=0),1000000,INDEX('計算A'!I$110:I$114,$F26+1)+IF(AND($E26=1,MI26=0),1000,0)),1000000))</f>
        <v/>
      </c>
      <c r="VQ26">
        <f>IF($B26=0,1000000,IF(INDEX('計算A'!$D$60:$II$104,$B26,7)*DC26=1,IF(AND($E26=2,MJ26=0),1000000,INDEX('計算A'!J$110:J$114,$F26+1)+IF(AND($E26=1,MJ26=0),1000,0)),1000000))</f>
        <v/>
      </c>
      <c r="VR26">
        <f>IF($B26=0,1000000,IF(INDEX('計算A'!$D$60:$II$104,$B26,8)*DD26=1,IF(AND($E26=2,MK26=0),1000000,INDEX('計算A'!K$110:K$114,$F26+1)+IF(AND($E26=1,MK26=0),1000,0)),1000000))</f>
        <v/>
      </c>
      <c r="VS26">
        <f>IF($B26=0,1000000,IF(INDEX('計算A'!$D$60:$II$104,$B26,9)*DE26=1,IF(AND($E26=2,ML26=0),1000000,INDEX('計算A'!L$110:L$114,$F26+1)+IF(AND($E26=1,ML26=0),1000,0)),1000000))</f>
        <v/>
      </c>
      <c r="VT26">
        <f>IF($B26=0,1000000,IF(INDEX('計算A'!$D$60:$II$104,$B26,10)*DF26=1,IF(AND($E26=2,MM26=0),1000000,INDEX('計算A'!M$110:M$114,$F26+1)+IF(AND($E26=1,MM26=0),1000,0)),1000000))</f>
        <v/>
      </c>
      <c r="VU26">
        <f>IF($B26=0,1000000,IF(INDEX('計算A'!$D$60:$II$104,$B26,11)*DG26=1,IF(AND($E26=2,MN26=0),1000000,INDEX('計算A'!N$110:N$114,$F26+1)+IF(AND($E26=1,MN26=0),1000,0)),1000000))</f>
        <v/>
      </c>
      <c r="VV26">
        <f>IF($B26=0,1000000,IF(INDEX('計算A'!$D$60:$II$104,$B26,12)*DH26=1,IF(AND($E26=2,MO26=0),1000000,INDEX('計算A'!O$110:O$114,$F26+1)+IF(AND($E26=1,MO26=0),1000,0)),1000000))</f>
        <v/>
      </c>
      <c r="VW26">
        <f>IF($B26=0,1000000,IF(INDEX('計算A'!$D$60:$II$104,$B26,13)*DI26=1,IF(AND($E26=2,MP26=0),1000000,INDEX('計算A'!P$110:P$114,$F26+1)+IF(AND($E26=1,MP26=0),1000,0)),1000000))</f>
        <v/>
      </c>
      <c r="VX26">
        <f>IF($B26=0,1000000,IF(INDEX('計算A'!$D$60:$II$104,$B26,14)*DJ26=1,IF(AND($E26=2,MQ26=0),1000000,INDEX('計算A'!Q$110:Q$114,$F26+1)+IF(AND($E26=1,MQ26=0),1000,0)),1000000))</f>
        <v/>
      </c>
      <c r="VY26">
        <f>IF($B26=0,1000000,IF(INDEX('計算A'!$D$60:$II$104,$B26,15)*DK26=1,IF(AND($E26=2,MR26=0),1000000,INDEX('計算A'!R$110:R$114,$F26+1)+IF(AND($E26=1,MR26=0),1000,0)),1000000))</f>
        <v/>
      </c>
      <c r="VZ26">
        <f>IF($B26=0,1000000,IF(INDEX('計算A'!$D$60:$II$104,$B26,16)*DL26=1,IF(AND($E26=2,MS26=0),1000000,INDEX('計算A'!S$110:S$114,$F26+1)+IF(AND($E26=1,MS26=0),1000,0)),1000000))</f>
        <v/>
      </c>
      <c r="WA26">
        <f>IF($B26=0,1000000,IF(INDEX('計算A'!$D$60:$II$104,$B26,17)*DM26=1,IF(AND($E26=2,MT26=0),1000000,INDEX('計算A'!T$110:T$114,$F26+1)+IF(AND($E26=1,MT26=0),1000,0)),1000000))</f>
        <v/>
      </c>
      <c r="WB26">
        <f>IF($B26=0,1000000,IF(INDEX('計算A'!$D$60:$II$104,$B26,18)*DN26=1,IF(AND($E26=2,MU26=0),1000000,INDEX('計算A'!U$110:U$114,$F26+1)+IF(AND($E26=1,MU26=0),1000,0)),1000000))</f>
        <v/>
      </c>
      <c r="WC26">
        <f>IF($B26=0,1000000,IF(INDEX('計算A'!$D$60:$II$104,$B26,19)*DO26=1,IF(AND($E26=2,MV26=0),1000000,INDEX('計算A'!V$110:V$114,$F26+1)+IF(AND($E26=1,MV26=0),1000,0)),1000000))</f>
        <v/>
      </c>
      <c r="WD26">
        <f>IF($B26=0,1000000,IF(INDEX('計算A'!$D$60:$II$104,$B26,20)*DP26=1,IF(AND($E26=2,MW26=0),1000000,INDEX('計算A'!W$110:W$114,$F26+1)+IF(AND($E26=1,MW26=0),1000,0)),1000000))</f>
        <v/>
      </c>
      <c r="WE26">
        <f>IF($B26=0,1000000,IF(INDEX('計算A'!$D$60:$II$104,$B26,21)*DQ26=1,IF(AND($E26=2,MX26=0),1000000,INDEX('計算A'!X$110:X$114,$F26+1)+IF(AND($E26=1,MX26=0),1000,0)),1000000))</f>
        <v/>
      </c>
      <c r="WF26">
        <f>IF($B26=0,1000000,IF(INDEX('計算A'!$D$60:$II$104,$B26,22)*DR26=1,IF(AND($E26=2,MY26=0),1000000,INDEX('計算A'!Y$110:Y$114,$F26+1)+IF(AND($E26=1,MY26=0),1000,0)),1000000))</f>
        <v/>
      </c>
      <c r="WG26">
        <f>IF($B26=0,1000000,IF(INDEX('計算A'!$D$60:$II$104,$B26,23)*DS26=1,IF(AND($E26=2,MZ26=0),1000000,INDEX('計算A'!Z$110:Z$114,$F26+1)+IF(AND($E26=1,MZ26=0),1000,0)),1000000))</f>
        <v/>
      </c>
      <c r="WH26">
        <f>IF($B26=0,1000000,IF(INDEX('計算A'!$D$60:$II$104,$B26,24)*DT26=1,IF(AND($E26=2,NA26=0),1000000,INDEX('計算A'!AA$110:AA$114,$F26+1)+IF(AND($E26=1,NA26=0),1000,0)),1000000))</f>
        <v/>
      </c>
      <c r="WI26">
        <f>IF($B26=0,1000000,IF(INDEX('計算A'!$D$60:$II$104,$B26,25)*DU26=1,IF(AND($E26=2,NB26=0),1000000,INDEX('計算A'!AB$110:AB$114,$F26+1)+IF(AND($E26=1,NB26=0),1000,0)),1000000))</f>
        <v/>
      </c>
      <c r="WJ26">
        <f>IF($B26=0,1000000,IF(INDEX('計算A'!$D$60:$II$104,$B26,26)*DV26=1,IF(AND($E26=2,NC26=0),1000000,INDEX('計算A'!AC$110:AC$114,$F26+1)+IF(AND($E26=1,NC26=0),1000,0)),1000000))</f>
        <v/>
      </c>
      <c r="WK26">
        <f>IF($B26=0,1000000,IF(INDEX('計算A'!$D$60:$II$104,$B26,27)*DW26=1,IF(AND($E26=2,ND26=0),1000000,INDEX('計算A'!AD$110:AD$114,$F26+1)+IF(AND($E26=1,ND26=0),1000,0)),1000000))</f>
        <v/>
      </c>
      <c r="WL26">
        <f>IF($B26=0,1000000,IF(INDEX('計算A'!$D$60:$II$104,$B26,28)*DX26=1,IF(AND($E26=2,NE26=0),1000000,INDEX('計算A'!AE$110:AE$114,$F26+1)+IF(AND($E26=1,NE26=0),1000,0)),1000000))</f>
        <v/>
      </c>
      <c r="WM26">
        <f>IF($B26=0,1000000,IF(INDEX('計算A'!$D$60:$II$104,$B26,29)*DY26=1,IF(AND($E26=2,NF26=0),1000000,INDEX('計算A'!AF$110:AF$114,$F26+1)+IF(AND($E26=1,NF26=0),1000,0)),1000000))</f>
        <v/>
      </c>
      <c r="WN26">
        <f>IF($B26=0,1000000,IF(INDEX('計算A'!$D$60:$II$104,$B26,30)*DZ26=1,IF(AND($E26=2,NG26=0),1000000,INDEX('計算A'!AG$110:AG$114,$F26+1)+IF(AND($E26=1,NG26=0),1000,0)),1000000))</f>
        <v/>
      </c>
      <c r="WO26">
        <f>IF($B26=0,1000000,IF(INDEX('計算A'!$D$60:$II$104,$B26,31)*EA26=1,IF(AND($E26=2,NH26=0),1000000,INDEX('計算A'!AH$110:AH$114,$F26+1)+IF(AND($E26=1,NH26=0),1000,0)),1000000))</f>
        <v/>
      </c>
      <c r="WP26">
        <f>IF($B26=0,1000000,IF(INDEX('計算A'!$D$60:$II$104,$B26,32)*EB26=1,IF(AND($E26=2,NI26=0),1000000,INDEX('計算A'!AI$110:AI$114,$F26+1)+IF(AND($E26=1,NI26=0),1000,0)),1000000))</f>
        <v/>
      </c>
      <c r="WQ26">
        <f>IF($B26=0,1000000,IF(INDEX('計算A'!$D$60:$II$104,$B26,33)*EC26=1,IF(AND($E26=2,NJ26=0),1000000,INDEX('計算A'!AJ$110:AJ$114,$F26+1)+IF(AND($E26=1,NJ26=0),1000,0)),1000000))</f>
        <v/>
      </c>
      <c r="WR26">
        <f>IF($B26=0,1000000,IF(INDEX('計算A'!$D$60:$II$104,$B26,34)*ED26=1,IF(AND($E26=2,NK26=0),1000000,INDEX('計算A'!AK$110:AK$114,$F26+1)+IF(AND($E26=1,NK26=0),1000,0)),1000000))</f>
        <v/>
      </c>
      <c r="WS26">
        <f>IF($B26=0,1000000,IF(INDEX('計算A'!$D$60:$II$104,$B26,35)*EE26=1,IF(AND($E26=2,NL26=0),1000000,INDEX('計算A'!AL$110:AL$114,$F26+1)+IF(AND($E26=1,NL26=0),1000,0)),1000000))</f>
        <v/>
      </c>
      <c r="WT26">
        <f>IF($B26=0,1000000,IF(INDEX('計算A'!$D$60:$II$104,$B26,36)*EF26=1,IF(AND($E26=2,NM26=0),1000000,INDEX('計算A'!AM$110:AM$114,$F26+1)+IF(AND($E26=1,NM26=0),1000,0)),1000000))</f>
        <v/>
      </c>
      <c r="WU26">
        <f>IF($B26=0,1000000,IF(INDEX('計算A'!$D$60:$II$104,$B26,37)*EG26=1,IF(AND($E26=2,NN26=0),1000000,INDEX('計算A'!AN$110:AN$114,$F26+1)+IF(AND($E26=1,NN26=0),1000,0)),1000000))</f>
        <v/>
      </c>
      <c r="WV26">
        <f>IF($B26=0,1000000,IF(INDEX('計算A'!$D$60:$II$104,$B26,38)*EH26=1,IF(AND($E26=2,NO26=0),1000000,INDEX('計算A'!AO$110:AO$114,$F26+1)+IF(AND($E26=1,NO26=0),1000,0)),1000000))</f>
        <v/>
      </c>
      <c r="WW26">
        <f>IF($B26=0,1000000,IF(INDEX('計算A'!$D$60:$II$104,$B26,39)*EI26=1,IF(AND($E26=2,NP26=0),1000000,INDEX('計算A'!AP$110:AP$114,$F26+1)+IF(AND($E26=1,NP26=0),1000,0)),1000000))</f>
        <v/>
      </c>
      <c r="WX26">
        <f>IF($B26=0,1000000,IF(INDEX('計算A'!$D$60:$II$104,$B26,40)*EJ26=1,IF(AND($E26=2,NQ26=0),1000000,INDEX('計算A'!AQ$110:AQ$114,$F26+1)+IF(AND($E26=1,NQ26=0),1000,0)),1000000))</f>
        <v/>
      </c>
      <c r="WY26">
        <f>IF($B26=0,1000000,IF(INDEX('計算A'!$D$60:$II$104,$B26,41)*EK26=1,IF(AND($E26=2,NR26=0),1000000,INDEX('計算A'!AR$110:AR$114,$F26+1)+IF(AND($E26=1,NR26=0),1000,0)),1000000))</f>
        <v/>
      </c>
      <c r="WZ26">
        <f>IF($B26=0,1000000,IF(INDEX('計算A'!$D$60:$II$104,$B26,42)*EL26=1,IF(AND($E26=2,NS26=0),1000000,INDEX('計算A'!AS$110:AS$114,$F26+1)+IF(AND($E26=1,NS26=0),1000,0)),1000000))</f>
        <v/>
      </c>
      <c r="XA26">
        <f>IF($B26=0,1000000,IF(INDEX('計算A'!$D$60:$II$104,$B26,43)*EM26=1,IF(AND($E26=2,NT26=0),1000000,INDEX('計算A'!AT$110:AT$114,$F26+1)+IF(AND($E26=1,NT26=0),1000,0)),1000000))</f>
        <v/>
      </c>
      <c r="XB26">
        <f>IF($B26=0,1000000,IF(INDEX('計算A'!$D$60:$II$104,$B26,44)*EN26=1,IF(AND($E26=2,NU26=0),1000000,INDEX('計算A'!AU$110:AU$114,$F26+1)+IF(AND($E26=1,NU26=0),1000,0)),1000000))</f>
        <v/>
      </c>
      <c r="XC26">
        <f>IF($B26=0,1000000,IF(INDEX('計算A'!$D$60:$II$104,$B26,45)*EO26=1,IF(AND($E26=2,NV26=0),1000000,INDEX('計算A'!AV$110:AV$114,$F26+1)+IF(AND($E26=1,NV26=0),1000,0)),1000000))</f>
        <v/>
      </c>
      <c r="XD26">
        <f>IF($B26=0,1000000,IF(INDEX('計算A'!$D$60:$II$104,$B26,46)*EP26=1,IF(AND($E26=2,NW26=0),1000000,INDEX('計算A'!AW$110:AW$114,$F26+1)+IF(AND($E26=1,NW26=0),1000,0)),1000000))</f>
        <v/>
      </c>
      <c r="XE26">
        <f>IF($B26=0,1000000,IF(INDEX('計算A'!$D$60:$II$104,$B26,47)*EQ26=1,IF(AND($E26=2,NX26=0),1000000,INDEX('計算A'!AX$110:AX$114,$F26+1)+IF(AND($E26=1,NX26=0),1000,0)),1000000))</f>
        <v/>
      </c>
      <c r="XF26">
        <f>IF($B26=0,1000000,IF(INDEX('計算A'!$D$60:$II$104,$B26,48)*ER26=1,IF(AND($E26=2,NY26=0),1000000,INDEX('計算A'!AY$110:AY$114,$F26+1)+IF(AND($E26=1,NY26=0),1000,0)),1000000))</f>
        <v/>
      </c>
      <c r="XG26">
        <f>IF($B26=0,1000000,IF(INDEX('計算A'!$D$60:$II$104,$B26,49)*ES26=1,IF(AND($E26=2,NZ26=0),1000000,INDEX('計算A'!AZ$110:AZ$114,$F26+1)+IF(AND($E26=1,NZ26=0),1000,0)),1000000))</f>
        <v/>
      </c>
      <c r="XH26">
        <f>IF($B26=0,1000000,IF(INDEX('計算A'!$D$60:$II$104,$B26,50)*ET26=1,IF(AND($E26=2,OA26=0),1000000,INDEX('計算A'!BA$110:BA$114,$F26+1)+IF(AND($E26=1,OA26=0),1000,0)),1000000))</f>
        <v/>
      </c>
      <c r="XI26">
        <f>IF($B26=0,1000000,IF(INDEX('計算A'!$D$60:$II$104,$B26,51)*EU26=1,IF(AND($E26=2,OB26=0),1000000,INDEX('計算A'!BB$110:BB$114,$F26+1)+IF(AND($E26=1,OB26=0),1000,0)),1000000))</f>
        <v/>
      </c>
      <c r="XJ26">
        <f>IF($B26=0,1000000,IF(INDEX('計算A'!$D$60:$II$104,$B26,52)*EV26=1,IF(AND($E26=2,OC26=0),1000000,INDEX('計算A'!BC$110:BC$114,$F26+1)+IF(AND($E26=1,OC26=0),1000,0)),1000000))</f>
        <v/>
      </c>
      <c r="XK26">
        <f>IF($B26=0,1000000,IF(INDEX('計算A'!$D$60:$II$104,$B26,53)*EW26=1,IF(AND($E26=2,OD26=0),1000000,INDEX('計算A'!BD$110:BD$114,$F26+1)+IF(AND($E26=1,OD26=0),1000,0)),1000000))</f>
        <v/>
      </c>
      <c r="XL26">
        <f>IF($B26=0,1000000,IF(INDEX('計算A'!$D$60:$II$104,$B26,54)*EX26=1,IF(AND($E26=2,OE26=0),1000000,INDEX('計算A'!BE$110:BE$114,$F26+1)+IF(AND($E26=1,OE26=0),1000,0)),1000000))</f>
        <v/>
      </c>
      <c r="XM26">
        <f>IF($B26=0,1000000,IF(INDEX('計算A'!$D$60:$II$104,$B26,55)*EY26=1,IF(AND($E26=2,OF26=0),1000000,INDEX('計算A'!BF$110:BF$114,$F26+1)+IF(AND($E26=1,OF26=0),1000,0)),1000000))</f>
        <v/>
      </c>
      <c r="XN26">
        <f>IF($B26=0,1000000,IF(INDEX('計算A'!$D$60:$II$104,$B26,56)*EZ26=1,IF(AND($E26=2,OG26=0),1000000,INDEX('計算A'!BG$110:BG$114,$F26+1)+IF(AND($E26=1,OG26=0),1000,0)),1000000))</f>
        <v/>
      </c>
      <c r="XO26">
        <f>IF($B26=0,1000000,IF(INDEX('計算A'!$D$60:$II$104,$B26,57)*FA26=1,IF(AND($E26=2,OH26=0),1000000,INDEX('計算A'!BH$110:BH$114,$F26+1)+IF(AND($E26=1,OH26=0),1000,0)),1000000))</f>
        <v/>
      </c>
      <c r="XP26">
        <f>IF($B26=0,1000000,IF(INDEX('計算A'!$D$60:$II$104,$B26,58)*FB26=1,IF(AND($E26=2,OI26=0),1000000,INDEX('計算A'!BI$110:BI$114,$F26+1)+IF(AND($E26=1,OI26=0),1000,0)),1000000))</f>
        <v/>
      </c>
      <c r="XQ26">
        <f>IF($B26=0,1000000,IF(INDEX('計算A'!$D$60:$II$104,$B26,59)*FC26=1,IF(AND($E26=2,OJ26=0),1000000,INDEX('計算A'!BJ$110:BJ$114,$F26+1)+IF(AND($E26=1,OJ26=0),1000,0)),1000000))</f>
        <v/>
      </c>
      <c r="XR26">
        <f>IF($B26=0,1000000,IF(INDEX('計算A'!$D$60:$II$104,$B26,60)*FD26=1,IF(AND($E26=2,OK26=0),1000000,INDEX('計算A'!BK$110:BK$114,$F26+1)+IF(AND($E26=1,OK26=0),1000,0)),1000000))</f>
        <v/>
      </c>
      <c r="XS26">
        <f>IF($B26=0,1000000,IF(INDEX('計算A'!$D$60:$II$104,$B26,61)*FE26=1,IF(AND($E26=2,OL26=0),1000000,INDEX('計算A'!BL$110:BL$114,$F26+1)+IF(AND($E26=1,OL26=0),1000,0)),1000000))</f>
        <v/>
      </c>
      <c r="XT26">
        <f>IF($B26=0,1000000,IF(INDEX('計算A'!$D$60:$II$104,$B26,62)*FF26=1,IF(AND($E26=2,OM26=0),1000000,INDEX('計算A'!BM$110:BM$114,$F26+1)+IF(AND($E26=1,OM26=0),1000,0)),1000000))</f>
        <v/>
      </c>
      <c r="XU26">
        <f>IF($B26=0,1000000,IF(INDEX('計算A'!$D$60:$II$104,$B26,63)*FG26=1,IF(AND($E26=2,ON26=0),1000000,INDEX('計算A'!BN$110:BN$114,$F26+1)+IF(AND($E26=1,ON26=0),1000,0)),1000000))</f>
        <v/>
      </c>
      <c r="XV26">
        <f>IF($B26=0,1000000,IF(INDEX('計算A'!$D$60:$II$104,$B26,64)*FH26=1,IF(AND($E26=2,OO26=0),1000000,INDEX('計算A'!BO$110:BO$114,$F26+1)+IF(AND($E26=1,OO26=0),1000,0)),1000000))</f>
        <v/>
      </c>
      <c r="XW26">
        <f>IF($B26=0,1000000,IF(INDEX('計算A'!$D$60:$II$104,$B26,65)*FI26=1,IF(AND($E26=2,OP26=0),1000000,INDEX('計算A'!BP$110:BP$114,$F26+1)+IF(AND($E26=1,OP26=0),1000,0)),1000000))</f>
        <v/>
      </c>
      <c r="XX26">
        <f>IF($B26=0,1000000,IF(INDEX('計算A'!$D$60:$II$104,$B26,66)*FJ26=1,IF(AND($E26=2,OQ26=0),1000000,INDEX('計算A'!BQ$110:BQ$114,$F26+1)+IF(AND($E26=1,OQ26=0),1000,0)),1000000))</f>
        <v/>
      </c>
      <c r="XY26">
        <f>IF($B26=0,1000000,IF(INDEX('計算A'!$D$60:$II$104,$B26,67)*FK26=1,IF(AND($E26=2,OR26=0),1000000,INDEX('計算A'!BR$110:BR$114,$F26+1)+IF(AND($E26=1,OR26=0),1000,0)),1000000))</f>
        <v/>
      </c>
      <c r="XZ26">
        <f>IF($B26=0,1000000,IF(INDEX('計算A'!$D$60:$II$104,$B26,68)*FL26=1,IF(AND($E26=2,OS26=0),1000000,INDEX('計算A'!BS$110:BS$114,$F26+1)+IF(AND($E26=1,OS26=0),1000,0)),1000000))</f>
        <v/>
      </c>
      <c r="YA26">
        <f>IF($B26=0,1000000,IF(INDEX('計算A'!$D$60:$II$104,$B26,69)*FM26=1,IF(AND($E26=2,OT26=0),1000000,INDEX('計算A'!BT$110:BT$114,$F26+1)+IF(AND($E26=1,OT26=0),1000,0)),1000000))</f>
        <v/>
      </c>
      <c r="YB26">
        <f>IF($B26=0,1000000,IF(INDEX('計算A'!$D$60:$II$104,$B26,70)*FN26=1,IF(AND($E26=2,OU26=0),1000000,INDEX('計算A'!BU$110:BU$114,$F26+1)+IF(AND($E26=1,OU26=0),1000,0)),1000000))</f>
        <v/>
      </c>
      <c r="YC26">
        <f>IF($B26=0,1000000,IF(INDEX('計算A'!$D$60:$II$104,$B26,71)*FO26=1,IF(AND($E26=2,OV26=0),1000000,INDEX('計算A'!BV$110:BV$114,$F26+1)+IF(AND($E26=1,OV26=0),1000,0)),1000000))</f>
        <v/>
      </c>
      <c r="YD26">
        <f>IF($B26=0,1000000,IF(INDEX('計算A'!$D$60:$II$104,$B26,72)*FP26=1,IF(AND($E26=2,OW26=0),1000000,INDEX('計算A'!BW$110:BW$114,$F26+1)+IF(AND($E26=1,OW26=0),1000,0)),1000000))</f>
        <v/>
      </c>
      <c r="YE26">
        <f>IF($B26=0,1000000,IF(INDEX('計算A'!$D$60:$II$104,$B26,73)*FQ26=1,IF(AND($E26=2,OX26=0),1000000,INDEX('計算A'!BX$110:BX$114,$F26+1)+IF(AND($E26=1,OX26=0),1000,0)),1000000))</f>
        <v/>
      </c>
      <c r="YF26">
        <f>IF($B26=0,1000000,IF(INDEX('計算A'!$D$60:$II$104,$B26,74)*FR26=1,IF(AND($E26=2,OY26=0),1000000,INDEX('計算A'!BY$110:BY$114,$F26+1)+IF(AND($E26=1,OY26=0),1000,0)),1000000))</f>
        <v/>
      </c>
      <c r="YG26">
        <f>IF($B26=0,1000000,IF(INDEX('計算A'!$D$60:$II$104,$B26,75)*FS26=1,IF(AND($E26=2,OZ26=0),1000000,INDEX('計算A'!BZ$110:BZ$114,$F26+1)+IF(AND($E26=1,OZ26=0),1000,0)),1000000))</f>
        <v/>
      </c>
      <c r="YH26">
        <f>IF($B26=0,1000000,IF(INDEX('計算A'!$D$60:$II$104,$B26,76)*FT26=1,IF(AND($E26=2,PA26=0),1000000,INDEX('計算A'!CA$110:CA$114,$F26+1)+IF(AND($E26=1,PA26=0),1000,0)),1000000))</f>
        <v/>
      </c>
      <c r="YI26">
        <f>IF($B26=0,1000000,IF(INDEX('計算A'!$D$60:$II$104,$B26,77)*FU26=1,IF(AND($E26=2,PB26=0),1000000,INDEX('計算A'!CB$110:CB$114,$F26+1)+IF(AND($E26=1,PB26=0),1000,0)),1000000))</f>
        <v/>
      </c>
      <c r="YJ26">
        <f>IF($B26=0,1000000,IF(INDEX('計算A'!$D$60:$II$104,$B26,78)*FV26=1,IF(AND($E26=2,PC26=0),1000000,INDEX('計算A'!CC$110:CC$114,$F26+1)+IF(AND($E26=1,PC26=0),1000,0)),1000000))</f>
        <v/>
      </c>
      <c r="YK26">
        <f>IF($B26=0,1000000,IF(INDEX('計算A'!$D$60:$II$104,$B26,79)*FW26=1,IF(AND($E26=2,PD26=0),1000000,INDEX('計算A'!CD$110:CD$114,$F26+1)+IF(AND($E26=1,PD26=0),1000,0)),1000000))</f>
        <v/>
      </c>
      <c r="YL26">
        <f>IF($B26=0,1000000,IF(INDEX('計算A'!$D$60:$II$104,$B26,80)*FX26=1,IF(AND($E26=2,PE26=0),1000000,INDEX('計算A'!CE$110:CE$114,$F26+1)+IF(AND($E26=1,PE26=0),1000,0)),1000000))</f>
        <v/>
      </c>
      <c r="YM26">
        <f>IF($B26=0,1000000,IF(INDEX('計算A'!$D$60:$II$104,$B26,81)*FY26=1,IF(AND($E26=2,PF26=0),1000000,INDEX('計算A'!CF$110:CF$114,$F26+1)+IF(AND($E26=1,PF26=0),1000,0)),1000000))</f>
        <v/>
      </c>
      <c r="YN26">
        <f>IF($B26=0,1000000,IF(INDEX('計算A'!$D$60:$II$104,$B26,82)*FZ26=1,IF(AND($E26=2,PG26=0),1000000,INDEX('計算A'!CG$110:CG$114,$F26+1)+IF(AND($E26=1,PG26=0),1000,0)),1000000))</f>
        <v/>
      </c>
      <c r="YO26">
        <f>IF($B26=0,1000000,IF(INDEX('計算A'!$D$60:$II$104,$B26,83)*GA26=1,IF(AND($E26=2,PH26=0),1000000,INDEX('計算A'!CH$110:CH$114,$F26+1)+IF(AND($E26=1,PH26=0),1000,0)),1000000))</f>
        <v/>
      </c>
      <c r="YP26">
        <f>IF($B26=0,1000000,IF(INDEX('計算A'!$D$60:$II$104,$B26,84)*GB26=1,IF(AND($E26=2,PI26=0),1000000,INDEX('計算A'!CI$110:CI$114,$F26+1)+IF(AND($E26=1,PI26=0),1000,0)),1000000))</f>
        <v/>
      </c>
      <c r="YQ26">
        <f>IF($B26=0,1000000,IF(INDEX('計算A'!$D$60:$II$104,$B26,85)*GC26=1,IF(AND($E26=2,PJ26=0),1000000,INDEX('計算A'!CJ$110:CJ$114,$F26+1)+IF(AND($E26=1,PJ26=0),1000,0)),1000000))</f>
        <v/>
      </c>
      <c r="YR26">
        <f>IF($B26=0,1000000,IF(INDEX('計算A'!$D$60:$II$104,$B26,86)*GD26=1,IF(AND($E26=2,PK26=0),1000000,INDEX('計算A'!CK$110:CK$114,$F26+1)+IF(AND($E26=1,PK26=0),1000,0)),1000000))</f>
        <v/>
      </c>
      <c r="YS26">
        <f>IF($B26=0,1000000,IF(INDEX('計算A'!$D$60:$II$104,$B26,87)*GE26=1,IF(AND($E26=2,PL26=0),1000000,INDEX('計算A'!CL$110:CL$114,$F26+1)+IF(AND($E26=1,PL26=0),1000,0)),1000000))</f>
        <v/>
      </c>
      <c r="YT26">
        <f>IF($B26=0,1000000,IF(INDEX('計算A'!$D$60:$II$104,$B26,88)*GF26=1,IF(AND($E26=2,PM26=0),1000000,INDEX('計算A'!CM$110:CM$114,$F26+1)+IF(AND($E26=1,PM26=0),1000,0)),1000000))</f>
        <v/>
      </c>
      <c r="YU26">
        <f>IF($B26=0,1000000,IF(INDEX('計算A'!$D$60:$II$104,$B26,89)*GG26=1,IF(AND($E26=2,PN26=0),1000000,INDEX('計算A'!CN$110:CN$114,$F26+1)+IF(AND($E26=1,PN26=0),1000,0)),1000000))</f>
        <v/>
      </c>
      <c r="YV26">
        <f>IF($B26=0,1000000,IF(INDEX('計算A'!$D$60:$II$104,$B26,90)*GH26=1,IF(AND($E26=2,PO26=0),1000000,INDEX('計算A'!CO$110:CO$114,$F26+1)+IF(AND($E26=1,PO26=0),1000,0)),1000000))</f>
        <v/>
      </c>
      <c r="YW26">
        <f>IF($B26=0,1000000,IF(INDEX('計算A'!$D$60:$II$104,$B26,91)*GI26=1,IF(AND($E26=2,PP26=0),1000000,INDEX('計算A'!CP$110:CP$114,$F26+1)+IF(AND($E26=1,PP26=0),1000,0)),1000000))</f>
        <v/>
      </c>
      <c r="YX26">
        <f>IF($B26=0,1000000,IF(INDEX('計算A'!$D$60:$II$104,$B26,92)*GJ26=1,IF(AND($E26=2,PQ26=0),1000000,INDEX('計算A'!CQ$110:CQ$114,$F26+1)+IF(AND($E26=1,PQ26=0),1000,0)),1000000))</f>
        <v/>
      </c>
      <c r="YY26">
        <f>IF($B26=0,1000000,IF(INDEX('計算A'!$D$60:$II$104,$B26,93)*GK26=1,IF(AND($E26=2,PR26=0),1000000,INDEX('計算A'!CR$110:CR$114,$F26+1)+IF(AND($E26=1,PR26=0),1000,0)),1000000))</f>
        <v/>
      </c>
      <c r="YZ26">
        <f>IF($B26=0,1000000,IF(INDEX('計算A'!$D$60:$II$104,$B26,94)*GL26=1,IF(AND($E26=2,PS26=0),1000000,INDEX('計算A'!CS$110:CS$114,$F26+1)+IF(AND($E26=1,PS26=0),1000,0)),1000000))</f>
        <v/>
      </c>
      <c r="ZA26">
        <f>IF($B26=0,1000000,IF(INDEX('計算A'!$D$60:$II$104,$B26,95)*GM26=1,IF(AND($E26=2,PT26=0),1000000,INDEX('計算A'!CT$110:CT$114,$F26+1)+IF(AND($E26=1,PT26=0),1000,0)),1000000))</f>
        <v/>
      </c>
      <c r="ZB26">
        <f>IF($B26=0,1000000,IF(INDEX('計算A'!$D$60:$II$104,$B26,96)*GN26=1,IF(AND($E26=2,PU26=0),1000000,INDEX('計算A'!CU$110:CU$114,$F26+1)+IF(AND($E26=1,PU26=0),1000,0)),1000000))</f>
        <v/>
      </c>
      <c r="ZC26">
        <f>IF($B26=0,1000000,IF(INDEX('計算A'!$D$60:$II$104,$B26,97)*GO26=1,IF(AND($E26=2,PV26=0),1000000,INDEX('計算A'!CV$110:CV$114,$F26+1)+IF(AND($E26=1,PV26=0),1000,0)),1000000))</f>
        <v/>
      </c>
      <c r="ZD26">
        <f>IF($B26=0,1000000,IF(INDEX('計算A'!$D$60:$II$104,$B26,98)*GP26=1,IF(AND($E26=2,PW26=0),1000000,INDEX('計算A'!CW$110:CW$114,$F26+1)+IF(AND($E26=1,PW26=0),1000,0)),1000000))</f>
        <v/>
      </c>
      <c r="ZE26">
        <f>IF($B26=0,1000000,IF(INDEX('計算A'!$D$60:$II$104,$B26,99)*GQ26=1,IF(AND($E26=2,PX26=0),1000000,INDEX('計算A'!CX$110:CX$114,$F26+1)+IF(AND($E26=1,PX26=0),1000,0)),1000000))</f>
        <v/>
      </c>
      <c r="ZF26">
        <f>IF($B26=0,1000000,IF(INDEX('計算A'!$D$60:$II$104,$B26,100)*GR26=1,IF(AND($E26=2,PY26=0),1000000,INDEX('計算A'!CY$110:CY$114,$F26+1)+IF(AND($E26=1,PY26=0),1000,0)),1000000))</f>
        <v/>
      </c>
      <c r="ZG26">
        <f>IF($B26=0,1000000,IF(INDEX('計算A'!$D$60:$II$104,$B26,101)*GS26=1,IF(AND($E26=2,PZ26=0),1000000,INDEX('計算A'!CZ$110:CZ$114,$F26+1)+IF(AND($E26=1,PZ26=0),1000,0)),1000000))</f>
        <v/>
      </c>
      <c r="ZH26">
        <f>IF($B26=0,1000000,IF(INDEX('計算A'!$D$60:$II$104,$B26,102)*GT26=1,IF(AND($E26=2,QA26=0),1000000,INDEX('計算A'!DA$110:DA$114,$F26+1)+IF(AND($E26=1,QA26=0),1000,0)),1000000))</f>
        <v/>
      </c>
      <c r="ZI26">
        <f>IF($B26=0,1000000,IF(INDEX('計算A'!$D$60:$II$104,$B26,103)*GU26=1,IF(AND($E26=2,QB26=0),1000000,INDEX('計算A'!DB$110:DB$114,$F26+1)+IF(AND($E26=1,QB26=0),1000,0)),1000000))</f>
        <v/>
      </c>
      <c r="ZJ26">
        <f>IF($B26=0,1000000,IF(INDEX('計算A'!$D$60:$II$104,$B26,104)*GV26=1,IF(AND($E26=2,QC26=0),1000000,INDEX('計算A'!DC$110:DC$114,$F26+1)+IF(AND($E26=1,QC26=0),1000,0)),1000000))</f>
        <v/>
      </c>
      <c r="ZK26">
        <f>IF($B26=0,1000000,IF(INDEX('計算A'!$D$60:$II$104,$B26,105)*GW26=1,IF(AND($E26=2,QD26=0),1000000,INDEX('計算A'!DD$110:DD$114,$F26+1)+IF(AND($E26=1,QD26=0),1000,0)),1000000))</f>
        <v/>
      </c>
      <c r="ZL26">
        <f>IF($B26=0,1000000,IF(INDEX('計算A'!$D$60:$II$104,$B26,106)*GX26=1,IF(AND($E26=2,QE26=0),1000000,INDEX('計算A'!DE$110:DE$114,$F26+1)+IF(AND($E26=1,QE26=0),1000,0)),1000000))</f>
        <v/>
      </c>
      <c r="ZM26">
        <f>IF($B26=0,1000000,IF(INDEX('計算A'!$D$60:$II$104,$B26,107)*GY26=1,IF(AND($E26=2,QF26=0),1000000,INDEX('計算A'!DF$110:DF$114,$F26+1)+IF(AND($E26=1,QF26=0),1000,0)),1000000))</f>
        <v/>
      </c>
      <c r="ZN26">
        <f>IF($B26=0,1000000,IF(INDEX('計算A'!$D$60:$II$104,$B26,108)*GZ26=1,IF(AND($E26=2,QG26=0),1000000,INDEX('計算A'!DG$110:DG$114,$F26+1)+IF(AND($E26=1,QG26=0),1000,0)),1000000))</f>
        <v/>
      </c>
      <c r="ZO26">
        <f>IF($B26=0,1000000,IF(INDEX('計算A'!$D$60:$II$104,$B26,109)*HA26=1,IF(AND($E26=2,QH26=0),1000000,INDEX('計算A'!DH$110:DH$114,$F26+1)+IF(AND($E26=1,QH26=0),1000,0)),1000000))</f>
        <v/>
      </c>
      <c r="ZP26">
        <f>IF($B26=0,1000000,IF(INDEX('計算A'!$D$60:$II$104,$B26,110)*HB26=1,IF(AND($E26=2,QI26=0),1000000,INDEX('計算A'!DI$110:DI$114,$F26+1)+IF(AND($E26=1,QI26=0),1000,0)),1000000))</f>
        <v/>
      </c>
      <c r="ZQ26">
        <f>IF($B26=0,1000000,IF(INDEX('計算A'!$D$60:$II$104,$B26,111)*HC26=1,IF(AND($E26=2,QJ26=0),1000000,INDEX('計算A'!DJ$110:DJ$114,$F26+1)+IF(AND($E26=1,QJ26=0),1000,0)),1000000))</f>
        <v/>
      </c>
      <c r="ZR26">
        <f>IF($B26=0,1000000,IF(INDEX('計算A'!$D$60:$II$104,$B26,112)*HD26=1,IF(AND($E26=2,QK26=0),1000000,INDEX('計算A'!DK$110:DK$114,$F26+1)+IF(AND($E26=1,QK26=0),1000,0)),1000000))</f>
        <v/>
      </c>
      <c r="ZS26">
        <f>IF($B26=0,1000000,IF(INDEX('計算A'!$D$60:$II$104,$B26,113)*HE26=1,IF(AND($E26=2,QL26=0),1000000,INDEX('計算A'!DL$110:DL$114,$F26+1)+IF(AND($E26=1,QL26=0),1000,0)),1000000))</f>
        <v/>
      </c>
      <c r="ZT26">
        <f>IF($B26=0,1000000,IF(INDEX('計算A'!$D$60:$II$104,$B26,114)*HF26=1,IF(AND($E26=2,QM26=0),1000000,INDEX('計算A'!DM$110:DM$114,$F26+1)+IF(AND($E26=1,QM26=0),1000,0)),1000000))</f>
        <v/>
      </c>
      <c r="ZU26">
        <f>IF($B26=0,1000000,IF(INDEX('計算A'!$D$60:$II$104,$B26,115)*HG26=1,IF(AND($E26=2,QN26=0),1000000,INDEX('計算A'!DN$110:DN$114,$F26+1)+IF(AND($E26=1,QN26=0),1000,0)),1000000))</f>
        <v/>
      </c>
      <c r="ZV26">
        <f>IF($B26=0,1000000,IF(INDEX('計算A'!$D$60:$II$104,$B26,116)*HH26=1,IF(AND($E26=2,QO26=0),1000000,INDEX('計算A'!DO$110:DO$114,$F26+1)+IF(AND($E26=1,QO26=0),1000,0)),1000000))</f>
        <v/>
      </c>
      <c r="ZW26">
        <f>IF($B26=0,1000000,IF(INDEX('計算A'!$D$60:$II$104,$B26,117)*HI26=1,IF(AND($E26=2,QP26=0),1000000,INDEX('計算A'!DP$110:DP$114,$F26+1)+IF(AND($E26=1,QP26=0),1000,0)),1000000))</f>
        <v/>
      </c>
      <c r="ZX26">
        <f>IF($B26=0,1000000,IF(INDEX('計算A'!$D$60:$II$104,$B26,118)*HJ26=1,IF(AND($E26=2,QQ26=0),1000000,INDEX('計算A'!DQ$110:DQ$114,$F26+1)+IF(AND($E26=1,QQ26=0),1000,0)),1000000))</f>
        <v/>
      </c>
      <c r="ZY26">
        <f>IF($B26=0,1000000,IF(INDEX('計算A'!$D$60:$II$104,$B26,119)*HK26=1,IF(AND($E26=2,QR26=0),1000000,INDEX('計算A'!DR$110:DR$114,$F26+1)+IF(AND($E26=1,QR26=0),1000,0)),1000000))</f>
        <v/>
      </c>
      <c r="ZZ26">
        <f>IF($B26=0,1000000,IF(INDEX('計算A'!$D$60:$II$104,$B26,120)*HL26=1,IF(AND($E26=2,QS26=0),1000000,INDEX('計算A'!DS$110:DS$114,$F26+1)+IF(AND($E26=1,QS26=0),1000,0)),1000000))</f>
        <v/>
      </c>
      <c r="AAA26">
        <f>IF($B26=0,1000000,IF(INDEX('計算A'!$D$60:$II$104,$B26,121)*HM26=1,IF(AND($E26=2,QT26=0),1000000,INDEX('計算A'!DT$110:DT$114,$F26+1)+IF(AND($E26=1,QT26=0),1000,0)),1000000))</f>
        <v/>
      </c>
      <c r="AAB26">
        <f>IF($B26=0,1000000,IF(INDEX('計算A'!$D$60:$II$104,$B26,122)*HN26=1,IF(AND($E26=2,QU26=0),1000000,INDEX('計算A'!DU$110:DU$114,$F26+1)+IF(AND($E26=1,QU26=0),1000,0)),1000000))</f>
        <v/>
      </c>
      <c r="AAC26">
        <f>IF($B26=0,1000000,IF(INDEX('計算A'!$D$60:$II$104,$B26,123)*HO26=1,IF(AND($E26=2,QV26=0),1000000,INDEX('計算A'!DV$110:DV$114,$F26+1)+IF(AND($E26=1,QV26=0),1000,0)),1000000))</f>
        <v/>
      </c>
      <c r="AAD26">
        <f>IF($B26=0,1000000,IF(INDEX('計算A'!$D$60:$II$104,$B26,124)*HP26=1,IF(AND($E26=2,QW26=0),1000000,INDEX('計算A'!DW$110:DW$114,$F26+1)+IF(AND($E26=1,QW26=0),1000,0)),1000000))</f>
        <v/>
      </c>
      <c r="AAE26">
        <f>IF($B26=0,1000000,IF(INDEX('計算A'!$D$60:$II$104,$B26,125)*HQ26=1,IF(AND($E26=2,QX26=0),1000000,INDEX('計算A'!DX$110:DX$114,$F26+1)+IF(AND($E26=1,QX26=0),1000,0)),1000000))</f>
        <v/>
      </c>
      <c r="AAF26">
        <f>IF($B26=0,1000000,IF(INDEX('計算A'!$D$60:$II$104,$B26,126)*HR26=1,IF(AND($E26=2,QY26=0),1000000,INDEX('計算A'!DY$110:DY$114,$F26+1)+IF(AND($E26=1,QY26=0),1000,0)),1000000))</f>
        <v/>
      </c>
      <c r="AAG26">
        <f>IF($B26=0,1000000,IF(INDEX('計算A'!$D$60:$II$104,$B26,127)*HS26=1,IF(AND($E26=2,QZ26=0),1000000,INDEX('計算A'!DZ$110:DZ$114,$F26+1)+IF(AND($E26=1,QZ26=0),1000,0)),1000000))</f>
        <v/>
      </c>
      <c r="AAH26">
        <f>IF($B26=0,1000000,IF(INDEX('計算A'!$D$60:$II$104,$B26,128)*HT26=1,IF(AND($E26=2,RA26=0),1000000,INDEX('計算A'!EA$110:EA$114,$F26+1)+IF(AND($E26=1,RA26=0),1000,0)),1000000))</f>
        <v/>
      </c>
      <c r="AAI26">
        <f>IF($B26=0,1000000,IF(INDEX('計算A'!$D$60:$II$104,$B26,129)*HU26=1,IF(AND($E26=2,RB26=0),1000000,INDEX('計算A'!EB$110:EB$114,$F26+1)+IF(AND($E26=1,RB26=0),1000,0)),1000000))</f>
        <v/>
      </c>
      <c r="AAJ26">
        <f>IF($B26=0,1000000,IF(INDEX('計算A'!$D$60:$II$104,$B26,130)*HV26=1,IF(AND($E26=2,RC26=0),1000000,INDEX('計算A'!EC$110:EC$114,$F26+1)+IF(AND($E26=1,RC26=0),1000,0)),1000000))</f>
        <v/>
      </c>
      <c r="AAK26">
        <f>IF($B26=0,1000000,IF(INDEX('計算A'!$D$60:$II$104,$B26,131)*HW26=1,IF(AND($E26=2,RD26=0),1000000,INDEX('計算A'!ED$110:ED$114,$F26+1)+IF(AND($E26=1,RD26=0),1000,0)),1000000))</f>
        <v/>
      </c>
      <c r="AAL26">
        <f>IF($B26=0,1000000,IF(INDEX('計算A'!$D$60:$II$104,$B26,132)*HX26=1,IF(AND($E26=2,RE26=0),1000000,INDEX('計算A'!EE$110:EE$114,$F26+1)+IF(AND($E26=1,RE26=0),1000,0)),1000000))</f>
        <v/>
      </c>
      <c r="AAM26">
        <f>IF($B26=0,1000000,IF(INDEX('計算A'!$D$60:$II$104,$B26,133)*HY26=1,IF(AND($E26=2,RF26=0),1000000,INDEX('計算A'!EF$110:EF$114,$F26+1)+IF(AND($E26=1,RF26=0),1000,0)),1000000))</f>
        <v/>
      </c>
      <c r="AAN26">
        <f>IF($B26=0,1000000,IF(INDEX('計算A'!$D$60:$II$104,$B26,134)*HZ26=1,IF(AND($E26=2,RG26=0),1000000,INDEX('計算A'!EG$110:EG$114,$F26+1)+IF(AND($E26=1,RG26=0),1000,0)),1000000))</f>
        <v/>
      </c>
      <c r="AAO26">
        <f>IF($B26=0,1000000,IF(INDEX('計算A'!$D$60:$II$104,$B26,135)*IA26=1,IF(AND($E26=2,RH26=0),1000000,INDEX('計算A'!EH$110:EH$114,$F26+1)+IF(AND($E26=1,RH26=0),1000,0)),1000000))</f>
        <v/>
      </c>
      <c r="AAP26">
        <f>IF($B26=0,1000000,IF(INDEX('計算A'!$D$60:$II$104,$B26,136)*IB26=1,IF(AND($E26=2,RI26=0),1000000,INDEX('計算A'!EI$110:EI$114,$F26+1)+IF(AND($E26=1,RI26=0),1000,0)),1000000))</f>
        <v/>
      </c>
      <c r="AAQ26">
        <f>IF($B26=0,1000000,IF(INDEX('計算A'!$D$60:$II$104,$B26,137)*IC26=1,IF(AND($E26=2,RJ26=0),1000000,INDEX('計算A'!EJ$110:EJ$114,$F26+1)+IF(AND($E26=1,RJ26=0),1000,0)),1000000))</f>
        <v/>
      </c>
      <c r="AAR26">
        <f>IF($B26=0,1000000,IF(INDEX('計算A'!$D$60:$II$104,$B26,138)*ID26=1,IF(AND($E26=2,RK26=0),1000000,INDEX('計算A'!EK$110:EK$114,$F26+1)+IF(AND($E26=1,RK26=0),1000,0)),1000000))</f>
        <v/>
      </c>
      <c r="AAS26">
        <f>IF($B26=0,1000000,IF(INDEX('計算A'!$D$60:$II$104,$B26,139)*IE26=1,IF(AND($E26=2,RL26=0),1000000,INDEX('計算A'!EL$110:EL$114,$F26+1)+IF(AND($E26=1,RL26=0),1000,0)),1000000))</f>
        <v/>
      </c>
      <c r="AAT26">
        <f>IF($B26=0,1000000,IF(INDEX('計算A'!$D$60:$II$104,$B26,140)*IF26=1,IF(AND($E26=2,RM26=0),1000000,INDEX('計算A'!EM$110:EM$114,$F26+1)+IF(AND($E26=1,RM26=0),1000,0)),1000000))</f>
        <v/>
      </c>
      <c r="AAU26">
        <f>IF($B26=0,1000000,IF(INDEX('計算A'!$D$60:$II$104,$B26,141)*IG26=1,IF(AND($E26=2,RN26=0),1000000,INDEX('計算A'!EN$110:EN$114,$F26+1)+IF(AND($E26=1,RN26=0),1000,0)),1000000))</f>
        <v/>
      </c>
      <c r="AAV26">
        <f>IF($B26=0,1000000,IF(INDEX('計算A'!$D$60:$II$104,$B26,142)*IH26=1,IF(AND($E26=2,RO26=0),1000000,INDEX('計算A'!EO$110:EO$114,$F26+1)+IF(AND($E26=1,RO26=0),1000,0)),1000000))</f>
        <v/>
      </c>
      <c r="AAW26">
        <f>IF($B26=0,1000000,IF(INDEX('計算A'!$D$60:$II$104,$B26,143)*II26=1,IF(AND($E26=2,RP26=0),1000000,INDEX('計算A'!EP$110:EP$114,$F26+1)+IF(AND($E26=1,RP26=0),1000,0)),1000000))</f>
        <v/>
      </c>
      <c r="AAX26">
        <f>IF($B26=0,1000000,IF(INDEX('計算A'!$D$60:$II$104,$B26,144)*IJ26=1,IF(AND($E26=2,RQ26=0),1000000,INDEX('計算A'!EQ$110:EQ$114,$F26+1)+IF(AND($E26=1,RQ26=0),1000,0)),1000000))</f>
        <v/>
      </c>
      <c r="AAY26">
        <f>IF($B26=0,1000000,IF(INDEX('計算A'!$D$60:$II$104,$B26,145)*IK26=1,IF(AND($E26=2,RR26=0),1000000,INDEX('計算A'!ER$110:ER$114,$F26+1)+IF(AND($E26=1,RR26=0),1000,0)),1000000))</f>
        <v/>
      </c>
      <c r="AAZ26">
        <f>IF($B26=0,1000000,IF(INDEX('計算A'!$D$60:$II$104,$B26,146)*IL26=1,IF(AND($E26=2,RS26=0),1000000,INDEX('計算A'!ES$110:ES$114,$F26+1)+IF(AND($E26=1,RS26=0),1000,0)),1000000))</f>
        <v/>
      </c>
      <c r="ABA26">
        <f>IF($B26=0,1000000,IF(INDEX('計算A'!$D$60:$II$104,$B26,147)*IM26=1,IF(AND($E26=2,RT26=0),1000000,INDEX('計算A'!ET$110:ET$114,$F26+1)+IF(AND($E26=1,RT26=0),1000,0)),1000000))</f>
        <v/>
      </c>
      <c r="ABB26">
        <f>IF($B26=0,1000000,IF(INDEX('計算A'!$D$60:$II$104,$B26,148)*IN26=1,IF(AND($E26=2,RU26=0),1000000,INDEX('計算A'!EU$110:EU$114,$F26+1)+IF(AND($E26=1,RU26=0),1000,0)),1000000))</f>
        <v/>
      </c>
      <c r="ABC26">
        <f>IF($B26=0,1000000,IF(INDEX('計算A'!$D$60:$II$104,$B26,149)*IO26=1,IF(AND($E26=2,RV26=0),1000000,INDEX('計算A'!EV$110:EV$114,$F26+1)+IF(AND($E26=1,RV26=0),1000,0)),1000000))</f>
        <v/>
      </c>
      <c r="ABD26">
        <f>IF($B26=0,1000000,IF(INDEX('計算A'!$D$60:$II$104,$B26,150)*IP26=1,IF(AND($E26=2,RW26=0),1000000,INDEX('計算A'!EW$110:EW$114,$F26+1)+IF(AND($E26=1,RW26=0),1000,0)),1000000))</f>
        <v/>
      </c>
      <c r="ABE26">
        <f>IF($B26=0,1000000,IF(INDEX('計算A'!$D$60:$II$104,$B26,151)*IQ26=1,IF(AND($E26=2,RX26=0),1000000,INDEX('計算A'!EX$110:EX$114,$F26+1)+IF(AND($E26=1,RX26=0),1000,0)),1000000))</f>
        <v/>
      </c>
      <c r="ABF26">
        <f>IF($B26=0,1000000,IF(INDEX('計算A'!$D$60:$II$104,$B26,152)*IR26=1,IF(AND($E26=2,RY26=0),1000000,INDEX('計算A'!EY$110:EY$114,$F26+1)+IF(AND($E26=1,RY26=0),1000,0)),1000000))</f>
        <v/>
      </c>
      <c r="ABG26">
        <f>IF($B26=0,1000000,IF(INDEX('計算A'!$D$60:$II$104,$B26,153)*IS26=1,IF(AND($E26=2,RZ26=0),1000000,INDEX('計算A'!EZ$110:EZ$114,$F26+1)+IF(AND($E26=1,RZ26=0),1000,0)),1000000))</f>
        <v/>
      </c>
      <c r="ABH26">
        <f>IF($B26=0,1000000,IF(INDEX('計算A'!$D$60:$II$104,$B26,154)*IT26=1,IF(AND($E26=2,SA26=0),1000000,INDEX('計算A'!FA$110:FA$114,$F26+1)+IF(AND($E26=1,SA26=0),1000,0)),1000000))</f>
        <v/>
      </c>
      <c r="ABI26">
        <f>IF($B26=0,1000000,IF(INDEX('計算A'!$D$60:$II$104,$B26,155)*IU26=1,IF(AND($E26=2,SB26=0),1000000,INDEX('計算A'!FB$110:FB$114,$F26+1)+IF(AND($E26=1,SB26=0),1000,0)),1000000))</f>
        <v/>
      </c>
      <c r="ABJ26">
        <f>IF($B26=0,1000000,IF(INDEX('計算A'!$D$60:$II$104,$B26,156)*IV26=1,IF(AND($E26=2,SC26=0),1000000,INDEX('計算A'!FC$110:FC$114,$F26+1)+IF(AND($E26=1,SC26=0),1000,0)),1000000))</f>
        <v/>
      </c>
      <c r="ABK26">
        <f>IF($B26=0,1000000,IF(INDEX('計算A'!$D$60:$II$104,$B26,157)*IW26=1,IF(AND($E26=2,SD26=0),1000000,INDEX('計算A'!FD$110:FD$114,$F26+1)+IF(AND($E26=1,SD26=0),1000,0)),1000000))</f>
        <v/>
      </c>
      <c r="ABL26">
        <f>IF($B26=0,1000000,IF(INDEX('計算A'!$D$60:$II$104,$B26,158)*IX26=1,IF(AND($E26=2,SE26=0),1000000,INDEX('計算A'!FE$110:FE$114,$F26+1)+IF(AND($E26=1,SE26=0),1000,0)),1000000))</f>
        <v/>
      </c>
      <c r="ABM26">
        <f>IF($B26=0,1000000,IF(INDEX('計算A'!$D$60:$II$104,$B26,159)*IY26=1,IF(AND($E26=2,SF26=0),1000000,INDEX('計算A'!FF$110:FF$114,$F26+1)+IF(AND($E26=1,SF26=0),1000,0)),1000000))</f>
        <v/>
      </c>
      <c r="ABN26">
        <f>IF($B26=0,1000000,IF(INDEX('計算A'!$D$60:$II$104,$B26,160)*IZ26=1,IF(AND($E26=2,SG26=0),1000000,INDEX('計算A'!FG$110:FG$114,$F26+1)+IF(AND($E26=1,SG26=0),1000,0)),1000000))</f>
        <v/>
      </c>
      <c r="ABO26">
        <f>IF($B26=0,1000000,IF(INDEX('計算A'!$D$60:$II$104,$B26,161)*JA26=1,IF(AND($E26=2,SH26=0),1000000,INDEX('計算A'!FH$110:FH$114,$F26+1)+IF(AND($E26=1,SH26=0),1000,0)),1000000))</f>
        <v/>
      </c>
      <c r="ABP26">
        <f>IF($B26=0,1000000,IF(INDEX('計算A'!$D$60:$II$104,$B26,162)*JB26=1,IF(AND($E26=2,SI26=0),1000000,INDEX('計算A'!FI$110:FI$114,$F26+1)+IF(AND($E26=1,SI26=0),1000,0)),1000000))</f>
        <v/>
      </c>
      <c r="ABQ26">
        <f>IF($B26=0,1000000,IF(INDEX('計算A'!$D$60:$II$104,$B26,163)*JC26=1,IF(AND($E26=2,SJ26=0),1000000,INDEX('計算A'!FJ$110:FJ$114,$F26+1)+IF(AND($E26=1,SJ26=0),1000,0)),1000000))</f>
        <v/>
      </c>
      <c r="ABR26">
        <f>IF($B26=0,1000000,IF(INDEX('計算A'!$D$60:$II$104,$B26,164)*JD26=1,IF(AND($E26=2,SK26=0),1000000,INDEX('計算A'!FK$110:FK$114,$F26+1)+IF(AND($E26=1,SK26=0),1000,0)),1000000))</f>
        <v/>
      </c>
      <c r="ABS26">
        <f>IF($B26=0,1000000,IF(INDEX('計算A'!$D$60:$II$104,$B26,165)*JE26=1,IF(AND($E26=2,SL26=0),1000000,INDEX('計算A'!FL$110:FL$114,$F26+1)+IF(AND($E26=1,SL26=0),1000,0)),1000000))</f>
        <v/>
      </c>
      <c r="ABT26">
        <f>IF($B26=0,1000000,IF(INDEX('計算A'!$D$60:$II$104,$B26,166)*JF26=1,IF(AND($E26=2,SM26=0),1000000,INDEX('計算A'!FM$110:FM$114,$F26+1)+IF(AND($E26=1,SM26=0),1000,0)),1000000))</f>
        <v/>
      </c>
      <c r="ABU26">
        <f>IF($B26=0,1000000,IF(INDEX('計算A'!$D$60:$II$104,$B26,167)*JG26=1,IF(AND($E26=2,SN26=0),1000000,INDEX('計算A'!FN$110:FN$114,$F26+1)+IF(AND($E26=1,SN26=0),1000,0)),1000000))</f>
        <v/>
      </c>
      <c r="ABV26">
        <f>IF($B26=0,1000000,IF(INDEX('計算A'!$D$60:$II$104,$B26,168)*JH26=1,IF(AND($E26=2,SO26=0),1000000,INDEX('計算A'!FO$110:FO$114,$F26+1)+IF(AND($E26=1,SO26=0),1000,0)),1000000))</f>
        <v/>
      </c>
      <c r="ABW26">
        <f>IF($B26=0,1000000,IF(INDEX('計算A'!$D$60:$II$104,$B26,169)*JI26=1,IF(AND($E26=2,SP26=0),1000000,INDEX('計算A'!FP$110:FP$114,$F26+1)+IF(AND($E26=1,SP26=0),1000,0)),1000000))</f>
        <v/>
      </c>
      <c r="ABX26">
        <f>IF($B26=0,1000000,IF(INDEX('計算A'!$D$60:$II$104,$B26,170)*JJ26=1,IF(AND($E26=2,SQ26=0),1000000,INDEX('計算A'!FQ$110:FQ$114,$F26+1)+IF(AND($E26=1,SQ26=0),1000,0)),1000000))</f>
        <v/>
      </c>
      <c r="ABY26">
        <f>IF($B26=0,1000000,IF(INDEX('計算A'!$D$60:$II$104,$B26,171)*JK26=1,IF(AND($E26=2,SR26=0),1000000,INDEX('計算A'!FR$110:FR$114,$F26+1)+IF(AND($E26=1,SR26=0),1000,0)),1000000))</f>
        <v/>
      </c>
      <c r="ABZ26">
        <f>IF($B26=0,1000000,IF(INDEX('計算A'!$D$60:$II$104,$B26,172)*JL26=1,IF(AND($E26=2,SS26=0),1000000,INDEX('計算A'!FS$110:FS$114,$F26+1)+IF(AND($E26=1,SS26=0),1000,0)),1000000))</f>
        <v/>
      </c>
      <c r="ACA26">
        <f>IF($B26=0,1000000,IF(INDEX('計算A'!$D$60:$II$104,$B26,173)*JM26=1,IF(AND($E26=2,ST26=0),1000000,INDEX('計算A'!FT$110:FT$114,$F26+1)+IF(AND($E26=1,ST26=0),1000,0)),1000000))</f>
        <v/>
      </c>
      <c r="ACB26">
        <f>IF($B26=0,1000000,IF(INDEX('計算A'!$D$60:$II$104,$B26,174)*JN26=1,IF(AND($E26=2,SU26=0),1000000,INDEX('計算A'!FU$110:FU$114,$F26+1)+IF(AND($E26=1,SU26=0),1000,0)),1000000))</f>
        <v/>
      </c>
      <c r="ACC26">
        <f>IF($B26=0,1000000,IF(INDEX('計算A'!$D$60:$II$104,$B26,175)*JO26=1,IF(AND($E26=2,SV26=0),1000000,INDEX('計算A'!FV$110:FV$114,$F26+1)+IF(AND($E26=1,SV26=0),1000,0)),1000000))</f>
        <v/>
      </c>
      <c r="ACD26">
        <f>IF($B26=0,1000000,IF(INDEX('計算A'!$D$60:$II$104,$B26,176)*JP26=1,IF(AND($E26=2,SW26=0),1000000,INDEX('計算A'!FW$110:FW$114,$F26+1)+IF(AND($E26=1,SW26=0),1000,0)),1000000))</f>
        <v/>
      </c>
      <c r="ACE26">
        <f>IF($B26=0,1000000,IF(INDEX('計算A'!$D$60:$II$104,$B26,177)*JQ26=1,IF(AND($E26=2,SX26=0),1000000,INDEX('計算A'!FX$110:FX$114,$F26+1)+IF(AND($E26=1,SX26=0),1000,0)),1000000))</f>
        <v/>
      </c>
      <c r="ACF26">
        <f>IF($B26=0,1000000,IF(INDEX('計算A'!$D$60:$II$104,$B26,178)*JR26=1,IF(AND($E26=2,SY26=0),1000000,INDEX('計算A'!FY$110:FY$114,$F26+1)+IF(AND($E26=1,SY26=0),1000,0)),1000000))</f>
        <v/>
      </c>
      <c r="ACG26">
        <f>IF($B26=0,1000000,IF(INDEX('計算A'!$D$60:$II$104,$B26,179)*JS26=1,IF(AND($E26=2,SZ26=0),1000000,INDEX('計算A'!FZ$110:FZ$114,$F26+1)+IF(AND($E26=1,SZ26=0),1000,0)),1000000))</f>
        <v/>
      </c>
      <c r="ACH26">
        <f>IF($B26=0,1000000,IF(INDEX('計算A'!$D$60:$II$104,$B26,180)*JT26=1,IF(AND($E26=2,TA26=0),1000000,INDEX('計算A'!GA$110:GA$114,$F26+1)+IF(AND($E26=1,TA26=0),1000,0)),1000000))</f>
        <v/>
      </c>
      <c r="ACI26">
        <f>IF($B26=0,1000000,IF(INDEX('計算A'!$D$60:$II$104,$B26,181)*JU26=1,IF(AND($E26=2,TB26=0),1000000,INDEX('計算A'!GB$110:GB$114,$F26+1)+IF(AND($E26=1,TB26=0),1000,0)),1000000))</f>
        <v/>
      </c>
      <c r="ACJ26">
        <f>IF($B26=0,1000000,IF(INDEX('計算A'!$D$60:$II$104,$B26,182)*JV26=1,IF(AND($E26=2,TC26=0),1000000,INDEX('計算A'!GC$110:GC$114,$F26+1)+IF(AND($E26=1,TC26=0),1000,0)),1000000))</f>
        <v/>
      </c>
      <c r="ACK26">
        <f>IF($B26=0,1000000,IF(INDEX('計算A'!$D$60:$II$104,$B26,183)*JW26=1,IF(AND($E26=2,TD26=0),1000000,INDEX('計算A'!GD$110:GD$114,$F26+1)+IF(AND($E26=1,TD26=0),1000,0)),1000000))</f>
        <v/>
      </c>
      <c r="ACL26">
        <f>IF($B26=0,1000000,IF(INDEX('計算A'!$D$60:$II$104,$B26,184)*JX26=1,IF(AND($E26=2,TE26=0),1000000,INDEX('計算A'!GE$110:GE$114,$F26+1)+IF(AND($E26=1,TE26=0),1000,0)),1000000))</f>
        <v/>
      </c>
      <c r="ACM26">
        <f>IF($B26=0,1000000,IF(INDEX('計算A'!$D$60:$II$104,$B26,185)*JY26=1,IF(AND($E26=2,TF26=0),1000000,INDEX('計算A'!GF$110:GF$114,$F26+1)+IF(AND($E26=1,TF26=0),1000,0)),1000000))</f>
        <v/>
      </c>
      <c r="ACN26">
        <f>IF($B26=0,1000000,IF(INDEX('計算A'!$D$60:$II$104,$B26,186)*JZ26=1,IF(AND($E26=2,TG26=0),1000000,INDEX('計算A'!GG$110:GG$114,$F26+1)+IF(AND($E26=1,TG26=0),1000,0)),1000000))</f>
        <v/>
      </c>
      <c r="ACO26">
        <f>IF($B26=0,1000000,IF(INDEX('計算A'!$D$60:$II$104,$B26,187)*KA26=1,IF(AND($E26=2,TH26=0),1000000,INDEX('計算A'!GH$110:GH$114,$F26+1)+IF(AND($E26=1,TH26=0),1000,0)),1000000))</f>
        <v/>
      </c>
      <c r="ACP26">
        <f>IF($B26=0,1000000,IF(INDEX('計算A'!$D$60:$II$104,$B26,188)*KB26=1,IF(AND($E26=2,TI26=0),1000000,INDEX('計算A'!GI$110:GI$114,$F26+1)+IF(AND($E26=1,TI26=0),1000,0)),1000000))</f>
        <v/>
      </c>
      <c r="ACQ26">
        <f>IF($B26=0,1000000,IF(INDEX('計算A'!$D$60:$II$104,$B26,189)*KC26=1,IF(AND($E26=2,TJ26=0),1000000,INDEX('計算A'!GJ$110:GJ$114,$F26+1)+IF(AND($E26=1,TJ26=0),1000,0)),1000000))</f>
        <v/>
      </c>
      <c r="ACR26">
        <f>IF($B26=0,1000000,IF(INDEX('計算A'!$D$60:$II$104,$B26,190)*KD26=1,IF(AND($E26=2,TK26=0),1000000,INDEX('計算A'!GK$110:GK$114,$F26+1)+IF(AND($E26=1,TK26=0),1000,0)),1000000))</f>
        <v/>
      </c>
      <c r="ACS26">
        <f>IF($B26=0,1000000,IF(INDEX('計算A'!$D$60:$II$104,$B26,191)*KE26=1,IF(AND($E26=2,TL26=0),1000000,INDEX('計算A'!GL$110:GL$114,$F26+1)+IF(AND($E26=1,TL26=0),1000,0)),1000000))</f>
        <v/>
      </c>
      <c r="ACT26">
        <f>IF($B26=0,1000000,IF(INDEX('計算A'!$D$60:$II$104,$B26,192)*KF26=1,IF(AND($E26=2,TM26=0),1000000,INDEX('計算A'!GM$110:GM$114,$F26+1)+IF(AND($E26=1,TM26=0),1000,0)),1000000))</f>
        <v/>
      </c>
      <c r="ACU26">
        <f>IF($B26=0,1000000,IF(INDEX('計算A'!$D$60:$II$104,$B26,193)*KG26=1,IF(AND($E26=2,TN26=0),1000000,INDEX('計算A'!GN$110:GN$114,$F26+1)+IF(AND($E26=1,TN26=0),1000,0)),1000000))</f>
        <v/>
      </c>
      <c r="ACV26">
        <f>IF($B26=0,1000000,IF(INDEX('計算A'!$D$60:$II$104,$B26,194)*KH26=1,IF(AND($E26=2,TO26=0),1000000,INDEX('計算A'!GO$110:GO$114,$F26+1)+IF(AND($E26=1,TO26=0),1000,0)),1000000))</f>
        <v/>
      </c>
      <c r="ACW26">
        <f>IF($B26=0,1000000,IF(INDEX('計算A'!$D$60:$II$104,$B26,195)*KI26=1,IF(AND($E26=2,TP26=0),1000000,INDEX('計算A'!GP$110:GP$114,$F26+1)+IF(AND($E26=1,TP26=0),1000,0)),1000000))</f>
        <v/>
      </c>
      <c r="ACX26">
        <f>IF($B26=0,1000000,IF(INDEX('計算A'!$D$60:$II$104,$B26,196)*KJ26=1,IF(AND($E26=2,TQ26=0),1000000,INDEX('計算A'!GQ$110:GQ$114,$F26+1)+IF(AND($E26=1,TQ26=0),1000,0)),1000000))</f>
        <v/>
      </c>
      <c r="ACY26">
        <f>IF($B26=0,1000000,IF(INDEX('計算A'!$D$60:$II$104,$B26,197)*KK26=1,IF(AND($E26=2,TR26=0),1000000,INDEX('計算A'!GR$110:GR$114,$F26+1)+IF(AND($E26=1,TR26=0),1000,0)),1000000))</f>
        <v/>
      </c>
      <c r="ACZ26">
        <f>IF($B26=0,1000000,IF(INDEX('計算A'!$D$60:$II$104,$B26,198)*KL26=1,IF(AND($E26=2,TS26=0),1000000,INDEX('計算A'!GS$110:GS$114,$F26+1)+IF(AND($E26=1,TS26=0),1000,0)),1000000))</f>
        <v/>
      </c>
      <c r="ADA26">
        <f>IF($B26=0,1000000,IF(INDEX('計算A'!$D$60:$II$104,$B26,199)*KM26=1,IF(AND($E26=2,TT26=0),1000000,INDEX('計算A'!GT$110:GT$114,$F26+1)+IF(AND($E26=1,TT26=0),1000,0)),1000000))</f>
        <v/>
      </c>
      <c r="ADB26">
        <f>IF($B26=0,1000000,IF(INDEX('計算A'!$D$60:$II$104,$B26,200)*KN26=1,IF(AND($E26=2,TU26=0),1000000,INDEX('計算A'!GU$110:GU$114,$F26+1)+IF(AND($E26=1,TU26=0),1000,0)),1000000))</f>
        <v/>
      </c>
      <c r="ADC26">
        <f>IF($B26=0,1000000,IF(INDEX('計算A'!$D$60:$II$104,$B26,201)*KO26=1,IF(AND($E26=2,TV26=0),1000000,INDEX('計算A'!GV$110:GV$114,$F26+1)+IF(AND($E26=1,TV26=0),1000,0)),1000000))</f>
        <v/>
      </c>
      <c r="ADD26">
        <f>IF($B26=0,1000000,IF(INDEX('計算A'!$D$60:$II$104,$B26,202)*KP26=1,IF(AND($E26=2,TW26=0),1000000,INDEX('計算A'!GW$110:GW$114,$F26+1)+IF(AND($E26=1,TW26=0),1000,0)),1000000))</f>
        <v/>
      </c>
      <c r="ADE26">
        <f>IF($B26=0,1000000,IF(INDEX('計算A'!$D$60:$II$104,$B26,203)*KQ26=1,IF(AND($E26=2,TX26=0),1000000,INDEX('計算A'!GX$110:GX$114,$F26+1)+IF(AND($E26=1,TX26=0),1000,0)),1000000))</f>
        <v/>
      </c>
      <c r="ADF26">
        <f>IF($B26=0,1000000,IF(INDEX('計算A'!$D$60:$II$104,$B26,204)*KR26=1,IF(AND($E26=2,TY26=0),1000000,INDEX('計算A'!GY$110:GY$114,$F26+1)+IF(AND($E26=1,TY26=0),1000,0)),1000000))</f>
        <v/>
      </c>
      <c r="ADG26">
        <f>IF($B26=0,1000000,IF(INDEX('計算A'!$D$60:$II$104,$B26,205)*KS26=1,IF(AND($E26=2,TZ26=0),1000000,INDEX('計算A'!GZ$110:GZ$114,$F26+1)+IF(AND($E26=1,TZ26=0),1000,0)),1000000))</f>
        <v/>
      </c>
      <c r="ADH26">
        <f>IF($B26=0,1000000,IF(INDEX('計算A'!$D$60:$II$104,$B26,206)*KT26=1,IF(AND($E26=2,UA26=0),1000000,INDEX('計算A'!HA$110:HA$114,$F26+1)+IF(AND($E26=1,UA26=0),1000,0)),1000000))</f>
        <v/>
      </c>
      <c r="ADI26">
        <f>IF($B26=0,1000000,IF(INDEX('計算A'!$D$60:$II$104,$B26,207)*KU26=1,IF(AND($E26=2,UB26=0),1000000,INDEX('計算A'!HB$110:HB$114,$F26+1)+IF(AND($E26=1,UB26=0),1000,0)),1000000))</f>
        <v/>
      </c>
      <c r="ADJ26">
        <f>IF($B26=0,1000000,IF(INDEX('計算A'!$D$60:$II$104,$B26,208)*KV26=1,IF(AND($E26=2,UC26=0),1000000,INDEX('計算A'!HC$110:HC$114,$F26+1)+IF(AND($E26=1,UC26=0),1000,0)),1000000))</f>
        <v/>
      </c>
      <c r="ADK26">
        <f>IF($B26=0,1000000,IF(INDEX('計算A'!$D$60:$II$104,$B26,209)*KW26=1,IF(AND($E26=2,UD26=0),1000000,INDEX('計算A'!HD$110:HD$114,$F26+1)+IF(AND($E26=1,UD26=0),1000,0)),1000000))</f>
        <v/>
      </c>
      <c r="ADL26">
        <f>IF($B26=0,1000000,IF(INDEX('計算A'!$D$60:$II$104,$B26,210)*KX26=1,IF(AND($E26=2,UE26=0),1000000,INDEX('計算A'!HE$110:HE$114,$F26+1)+IF(AND($E26=1,UE26=0),1000,0)),1000000))</f>
        <v/>
      </c>
      <c r="ADM26">
        <f>IF($B26=0,1000000,IF(INDEX('計算A'!$D$60:$II$104,$B26,211)*KY26=1,IF(AND($E26=2,UF26=0),1000000,INDEX('計算A'!HF$110:HF$114,$F26+1)+IF(AND($E26=1,UF26=0),1000,0)),1000000))</f>
        <v/>
      </c>
      <c r="ADN26">
        <f>IF($B26=0,1000000,IF(INDEX('計算A'!$D$60:$II$104,$B26,212)*KZ26=1,IF(AND($E26=2,UG26=0),1000000,INDEX('計算A'!HG$110:HG$114,$F26+1)+IF(AND($E26=1,UG26=0),1000,0)),1000000))</f>
        <v/>
      </c>
      <c r="ADO26">
        <f>IF($B26=0,1000000,IF(INDEX('計算A'!$D$60:$II$104,$B26,213)*LA26=1,IF(AND($E26=2,UH26=0),1000000,INDEX('計算A'!HH$110:HH$114,$F26+1)+IF(AND($E26=1,UH26=0),1000,0)),1000000))</f>
        <v/>
      </c>
      <c r="ADP26">
        <f>IF($B26=0,1000000,IF(INDEX('計算A'!$D$60:$II$104,$B26,214)*LB26=1,IF(AND($E26=2,UI26=0),1000000,INDEX('計算A'!HI$110:HI$114,$F26+1)+IF(AND($E26=1,UI26=0),1000,0)),1000000))</f>
        <v/>
      </c>
      <c r="ADQ26">
        <f>IF($B26=0,1000000,IF(INDEX('計算A'!$D$60:$II$104,$B26,215)*LC26=1,IF(AND($E26=2,UJ26=0),1000000,INDEX('計算A'!HJ$110:HJ$114,$F26+1)+IF(AND($E26=1,UJ26=0),1000,0)),1000000))</f>
        <v/>
      </c>
      <c r="ADR26">
        <f>IF($B26=0,1000000,IF(INDEX('計算A'!$D$60:$II$104,$B26,216)*LD26=1,IF(AND($E26=2,UK26=0),1000000,INDEX('計算A'!HK$110:HK$114,$F26+1)+IF(AND($E26=1,UK26=0),1000,0)),1000000))</f>
        <v/>
      </c>
      <c r="ADS26">
        <f>IF($B26=0,1000000,IF(INDEX('計算A'!$D$60:$II$104,$B26,217)*LE26=1,IF(AND($E26=2,UL26=0),1000000,INDEX('計算A'!HL$110:HL$114,$F26+1)+IF(AND($E26=1,UL26=0),1000,0)),1000000))</f>
        <v/>
      </c>
      <c r="ADT26">
        <f>IF($B26=0,1000000,IF(INDEX('計算A'!$D$60:$II$104,$B26,218)*LF26=1,IF(AND($E26=2,UM26=0),1000000,INDEX('計算A'!HM$110:HM$114,$F26+1)+IF(AND($E26=1,UM26=0),1000,0)),1000000))</f>
        <v/>
      </c>
      <c r="ADU26">
        <f>IF($B26=0,1000000,IF(INDEX('計算A'!$D$60:$II$104,$B26,219)*LG26=1,IF(AND($E26=2,UN26=0),1000000,INDEX('計算A'!HN$110:HN$114,$F26+1)+IF(AND($E26=1,UN26=0),1000,0)),1000000))</f>
        <v/>
      </c>
      <c r="ADV26">
        <f>IF($B26=0,1000000,IF(INDEX('計算A'!$D$60:$II$104,$B26,220)*LH26=1,IF(AND($E26=2,UO26=0),1000000,INDEX('計算A'!HO$110:HO$114,$F26+1)+IF(AND($E26=1,UO26=0),1000,0)),1000000))</f>
        <v/>
      </c>
      <c r="ADW26">
        <f>IF($B26=0,1000000,IF(INDEX('計算A'!$D$60:$II$104,$B26,221)*LI26=1,IF(AND($E26=2,UP26=0),1000000,INDEX('計算A'!HP$110:HP$114,$F26+1)+IF(AND($E26=1,UP26=0),1000,0)),1000000))</f>
        <v/>
      </c>
      <c r="ADX26">
        <f>IF($B26=0,1000000,IF(INDEX('計算A'!$D$60:$II$104,$B26,222)*LJ26=1,IF(AND($E26=2,UQ26=0),1000000,INDEX('計算A'!HQ$110:HQ$114,$F26+1)+IF(AND($E26=1,UQ26=0),1000,0)),1000000))</f>
        <v/>
      </c>
      <c r="ADY26">
        <f>IF($B26=0,1000000,IF(INDEX('計算A'!$D$60:$II$104,$B26,223)*LK26=1,IF(AND($E26=2,UR26=0),1000000,INDEX('計算A'!HR$110:HR$114,$F26+1)+IF(AND($E26=1,UR26=0),1000,0)),1000000))</f>
        <v/>
      </c>
      <c r="ADZ26">
        <f>IF($B26=0,1000000,IF(INDEX('計算A'!$D$60:$II$104,$B26,224)*LL26=1,IF(AND($E26=2,US26=0),1000000,INDEX('計算A'!HS$110:HS$114,$F26+1)+IF(AND($E26=1,US26=0),1000,0)),1000000))</f>
        <v/>
      </c>
      <c r="AEA26">
        <f>IF($B26=0,1000000,IF(INDEX('計算A'!$D$60:$II$104,$B26,225)*LM26=1,IF(AND($E26=2,UT26=0),1000000,INDEX('計算A'!HT$110:HT$114,$F26+1)+IF(AND($E26=1,UT26=0),1000,0)),1000000))</f>
        <v/>
      </c>
      <c r="AEB26">
        <f>IF($B26=0,1000000,IF(INDEX('計算A'!$D$60:$II$104,$B26,226)*LN26=1,IF(AND($E26=2,UU26=0),1000000,INDEX('計算A'!HU$110:HU$114,$F26+1)+IF(AND($E26=1,UU26=0),1000,0)),1000000))</f>
        <v/>
      </c>
      <c r="AEC26">
        <f>IF($B26=0,1000000,IF(INDEX('計算A'!$D$60:$II$104,$B26,227)*LO26=1,IF(AND($E26=2,UV26=0),1000000,INDEX('計算A'!HV$110:HV$114,$F26+1)+IF(AND($E26=1,UV26=0),1000,0)),1000000))</f>
        <v/>
      </c>
      <c r="AED26">
        <f>IF($B26=0,1000000,IF(INDEX('計算A'!$D$60:$II$104,$B26,228)*LP26=1,IF(AND($E26=2,UW26=0),1000000,INDEX('計算A'!HW$110:HW$114,$F26+1)+IF(AND($E26=1,UW26=0),1000,0)),1000000))</f>
        <v/>
      </c>
      <c r="AEE26">
        <f>IF($B26=0,1000000,IF(INDEX('計算A'!$D$60:$II$104,$B26,229)*LQ26=1,IF(AND($E26=2,UX26=0),1000000,INDEX('計算A'!HX$110:HX$114,$F26+1)+IF(AND($E26=1,UX26=0),1000,0)),1000000))</f>
        <v/>
      </c>
      <c r="AEF26">
        <f>IF($B26=0,1000000,IF(INDEX('計算A'!$D$60:$II$104,$B26,230)*LR26=1,IF(AND($E26=2,UY26=0),1000000,INDEX('計算A'!HY$110:HY$114,$F26+1)+IF(AND($E26=1,UY26=0),1000,0)),1000000))</f>
        <v/>
      </c>
      <c r="AEG26">
        <f>IF($B26=0,1000000,IF(INDEX('計算A'!$D$60:$II$104,$B26,231)*LS26=1,IF(AND($E26=2,UZ26=0),1000000,INDEX('計算A'!HZ$110:HZ$114,$F26+1)+IF(AND($E26=1,UZ26=0),1000,0)),1000000))</f>
        <v/>
      </c>
      <c r="AEH26">
        <f>IF($B26=0,1000000,IF(INDEX('計算A'!$D$60:$II$104,$B26,232)*LT26=1,IF(AND($E26=2,VA26=0),1000000,INDEX('計算A'!IA$110:IA$114,$F26+1)+IF(AND($E26=1,VA26=0),1000,0)),1000000))</f>
        <v/>
      </c>
      <c r="AEI26">
        <f>IF($B26=0,1000000,IF(INDEX('計算A'!$D$60:$II$104,$B26,233)*LU26=1,IF(AND($E26=2,VB26=0),1000000,INDEX('計算A'!IB$110:IB$114,$F26+1)+IF(AND($E26=1,VB26=0),1000,0)),1000000))</f>
        <v/>
      </c>
      <c r="AEJ26">
        <f>IF($B26=0,1000000,IF(INDEX('計算A'!$D$60:$II$104,$B26,234)*LV26=1,IF(AND($E26=2,VC26=0),1000000,INDEX('計算A'!IC$110:IC$114,$F26+1)+IF(AND($E26=1,VC26=0),1000,0)),1000000))</f>
        <v/>
      </c>
      <c r="AEK26">
        <f>IF($B26=0,1000000,IF(INDEX('計算A'!$D$60:$II$104,$B26,235)*LW26=1,IF(AND($E26=2,VD26=0),1000000,INDEX('計算A'!ID$110:ID$114,$F26+1)+IF(AND($E26=1,VD26=0),1000,0)),1000000))</f>
        <v/>
      </c>
      <c r="AEL26">
        <f>IF($B26=0,1000000,IF(INDEX('計算A'!$D$60:$II$104,$B26,236)*LX26=1,IF(AND($E26=2,VE26=0),1000000,INDEX('計算A'!IE$110:IE$114,$F26+1)+IF(AND($E26=1,VE26=0),1000,0)),1000000))</f>
        <v/>
      </c>
      <c r="AEM26">
        <f>IF($B26=0,1000000,IF(INDEX('計算A'!$D$60:$II$104,$B26,237)*LY26=1,IF(AND($E26=2,VF26=0),1000000,INDEX('計算A'!IF$110:IF$114,$F26+1)+IF(AND($E26=1,VF26=0),1000,0)),1000000))</f>
        <v/>
      </c>
      <c r="AEN26">
        <f>IF($B26=0,1000000,IF(INDEX('計算A'!$D$60:$II$104,$B26,238)*LZ26=1,IF(AND($E26=2,VG26=0),1000000,INDEX('計算A'!IG$110:IG$114,$F26+1)+IF(AND($E26=1,VG26=0),1000,0)),1000000))</f>
        <v/>
      </c>
      <c r="AEO26">
        <f>IF($B26=0,1000000,IF(INDEX('計算A'!$D$60:$II$104,$B26,239)*MA26=1,IF(AND($E26=2,VH26=0),1000000,INDEX('計算A'!IH$110:IH$114,$F26+1)+IF(AND($E26=1,VH26=0),1000,0)),1000000))</f>
        <v/>
      </c>
      <c r="AEP26">
        <f>IF($B26=0,1000000,IF(INDEX('計算A'!$D$60:$II$104,$B26,240)*MB26=1,IF(AND($E26=2,VI26=0),1000000,INDEX('計算A'!II$110:II$114,$F26+1)+IF(AND($E26=1,VI26=0),1000,0)),1000000))</f>
        <v/>
      </c>
    </row>
    <row r="27">
      <c r="A27" t="n">
        <v>25</v>
      </c>
      <c r="B27">
        <f>IF(MIN(BC27:CU27)&gt;=1000000,0,MATCH(MIN(BC27:CU27),BC27:CU27,0))</f>
        <v/>
      </c>
      <c r="C27">
        <f>IF(MIN(VK27:AEP27)&gt;=1000000,0,MATCH(MIN(VK27:AEP27),VK27:AEP27,0))</f>
        <v/>
      </c>
      <c r="D27">
        <f>IF(C27&gt;0,INDEX('計算A'!$D$5:$II$5,C27),0)</f>
        <v/>
      </c>
      <c r="E27">
        <f>IF(B27=0,0,INDEX('計算A'!$IQ$10:$IQ$54,B27))</f>
        <v/>
      </c>
      <c r="F27">
        <f>IF(B27=0,0,INDEX('計算A'!$IP$10:$IP$54,B27))</f>
        <v/>
      </c>
      <c r="G27">
        <f>IF(AND(C27&gt;0,E27&gt;0),IF(AND(INDEX('計算A'!$D$106:$II$106,C27)=1,INDEX($MD27:$VI27,C27)=1),C27+1,0),0)</f>
        <v/>
      </c>
      <c r="I27">
        <f>MAX(I26,IF($B26=1,1,0))</f>
        <v/>
      </c>
      <c r="J27">
        <f>MAX(J26,IF($B26=2,1,0))</f>
        <v/>
      </c>
      <c r="K27">
        <f>MAX(K26,IF($B26=3,1,0))</f>
        <v/>
      </c>
      <c r="L27">
        <f>MAX(L26,IF($B26=4,1,0))</f>
        <v/>
      </c>
      <c r="M27">
        <f>MAX(M26,IF($B26=5,1,0))</f>
        <v/>
      </c>
      <c r="N27">
        <f>MAX(N26,IF($B26=6,1,0))</f>
        <v/>
      </c>
      <c r="O27">
        <f>MAX(O26,IF($B26=7,1,0))</f>
        <v/>
      </c>
      <c r="P27">
        <f>MAX(P26,IF($B26=8,1,0))</f>
        <v/>
      </c>
      <c r="Q27">
        <f>MAX(Q26,IF($B26=9,1,0))</f>
        <v/>
      </c>
      <c r="R27">
        <f>MAX(R26,IF($B26=10,1,0))</f>
        <v/>
      </c>
      <c r="S27">
        <f>MAX(S26,IF($B26=11,1,0))</f>
        <v/>
      </c>
      <c r="T27">
        <f>MAX(T26,IF($B26=12,1,0))</f>
        <v/>
      </c>
      <c r="U27">
        <f>MAX(U26,IF($B26=13,1,0))</f>
        <v/>
      </c>
      <c r="V27">
        <f>MAX(V26,IF($B26=14,1,0))</f>
        <v/>
      </c>
      <c r="W27">
        <f>MAX(W26,IF($B26=15,1,0))</f>
        <v/>
      </c>
      <c r="X27">
        <f>MAX(X26,IF($B26=16,1,0))</f>
        <v/>
      </c>
      <c r="Y27">
        <f>MAX(Y26,IF($B26=17,1,0))</f>
        <v/>
      </c>
      <c r="Z27">
        <f>MAX(Z26,IF($B26=18,1,0))</f>
        <v/>
      </c>
      <c r="AA27">
        <f>MAX(AA26,IF($B26=19,1,0))</f>
        <v/>
      </c>
      <c r="AB27">
        <f>MAX(AB26,IF($B26=20,1,0))</f>
        <v/>
      </c>
      <c r="AC27">
        <f>MAX(AC26,IF($B26=21,1,0))</f>
        <v/>
      </c>
      <c r="AD27">
        <f>MAX(AD26,IF($B26=22,1,0))</f>
        <v/>
      </c>
      <c r="AE27">
        <f>MAX(AE26,IF($B26=23,1,0))</f>
        <v/>
      </c>
      <c r="AF27">
        <f>MAX(AF26,IF($B26=24,1,0))</f>
        <v/>
      </c>
      <c r="AG27">
        <f>MAX(AG26,IF($B26=25,1,0))</f>
        <v/>
      </c>
      <c r="AH27">
        <f>MAX(AH26,IF($B26=26,1,0))</f>
        <v/>
      </c>
      <c r="AI27">
        <f>MAX(AI26,IF($B26=27,1,0))</f>
        <v/>
      </c>
      <c r="AJ27">
        <f>MAX(AJ26,IF($B26=28,1,0))</f>
        <v/>
      </c>
      <c r="AK27">
        <f>MAX(AK26,IF($B26=29,1,0))</f>
        <v/>
      </c>
      <c r="AL27">
        <f>MAX(AL26,IF($B26=30,1,0))</f>
        <v/>
      </c>
      <c r="AM27">
        <f>MAX(AM26,IF($B26=31,1,0))</f>
        <v/>
      </c>
      <c r="AN27">
        <f>MAX(AN26,IF($B26=32,1,0))</f>
        <v/>
      </c>
      <c r="AO27">
        <f>MAX(AO26,IF($B26=33,1,0))</f>
        <v/>
      </c>
      <c r="AP27">
        <f>MAX(AP26,IF($B26=34,1,0))</f>
        <v/>
      </c>
      <c r="AQ27">
        <f>MAX(AQ26,IF($B26=35,1,0))</f>
        <v/>
      </c>
      <c r="AR27">
        <f>MAX(AR26,IF($B26=36,1,0))</f>
        <v/>
      </c>
      <c r="AS27">
        <f>MAX(AS26,IF($B26=37,1,0))</f>
        <v/>
      </c>
      <c r="AT27">
        <f>MAX(AT26,IF($B26=38,1,0))</f>
        <v/>
      </c>
      <c r="AU27">
        <f>MAX(AU26,IF($B26=39,1,0))</f>
        <v/>
      </c>
      <c r="AV27">
        <f>MAX(AV26,IF($B26=40,1,0))</f>
        <v/>
      </c>
      <c r="AW27">
        <f>MAX(AW26,IF($B26=41,1,0))</f>
        <v/>
      </c>
      <c r="AX27">
        <f>MAX(AX26,IF($B26=42,1,0))</f>
        <v/>
      </c>
      <c r="AY27">
        <f>MAX(AY26,IF($B26=43,1,0))</f>
        <v/>
      </c>
      <c r="AZ27">
        <f>MAX(AZ26,IF($B26=44,1,0))</f>
        <v/>
      </c>
      <c r="BA27">
        <f>MAX(BA26,IF($B26=45,1,0))</f>
        <v/>
      </c>
      <c r="BC27">
        <f>IF(I27=1,1000000,IF('計算A'!$IQ$10=2,SUMPRODUCT('計算A'!$D$60:$II$60,$CW27:$MB27,$MD27:$VI27),SUMPRODUCT('計算A'!$D$60:$II$60,$CW27:$MB27))*1000+1)</f>
        <v/>
      </c>
      <c r="BD27">
        <f>IF(J27=1,1000000,IF('計算A'!$IQ$11=2,SUMPRODUCT('計算A'!$D$61:$II$61,$CW27:$MB27,$MD27:$VI27),SUMPRODUCT('計算A'!$D$61:$II$61,$CW27:$MB27))*1000+2)</f>
        <v/>
      </c>
      <c r="BE27">
        <f>IF(K27=1,1000000,IF('計算A'!$IQ$12=2,SUMPRODUCT('計算A'!$D$62:$II$62,$CW27:$MB27,$MD27:$VI27),SUMPRODUCT('計算A'!$D$62:$II$62,$CW27:$MB27))*1000+3)</f>
        <v/>
      </c>
      <c r="BF27">
        <f>IF(L27=1,1000000,IF('計算A'!$IQ$13=2,SUMPRODUCT('計算A'!$D$63:$II$63,$CW27:$MB27,$MD27:$VI27),SUMPRODUCT('計算A'!$D$63:$II$63,$CW27:$MB27))*1000+4)</f>
        <v/>
      </c>
      <c r="BG27">
        <f>IF(M27=1,1000000,IF('計算A'!$IQ$14=2,SUMPRODUCT('計算A'!$D$64:$II$64,$CW27:$MB27,$MD27:$VI27),SUMPRODUCT('計算A'!$D$64:$II$64,$CW27:$MB27))*1000+5)</f>
        <v/>
      </c>
      <c r="BH27">
        <f>IF(N27=1,1000000,IF('計算A'!$IQ$15=2,SUMPRODUCT('計算A'!$D$65:$II$65,$CW27:$MB27,$MD27:$VI27),SUMPRODUCT('計算A'!$D$65:$II$65,$CW27:$MB27))*1000+6)</f>
        <v/>
      </c>
      <c r="BI27">
        <f>IF(O27=1,1000000,IF('計算A'!$IQ$16=2,SUMPRODUCT('計算A'!$D$66:$II$66,$CW27:$MB27,$MD27:$VI27),SUMPRODUCT('計算A'!$D$66:$II$66,$CW27:$MB27))*1000+7)</f>
        <v/>
      </c>
      <c r="BJ27">
        <f>IF(P27=1,1000000,IF('計算A'!$IQ$17=2,SUMPRODUCT('計算A'!$D$67:$II$67,$CW27:$MB27,$MD27:$VI27),SUMPRODUCT('計算A'!$D$67:$II$67,$CW27:$MB27))*1000+8)</f>
        <v/>
      </c>
      <c r="BK27">
        <f>IF(Q27=1,1000000,IF('計算A'!$IQ$18=2,SUMPRODUCT('計算A'!$D$68:$II$68,$CW27:$MB27,$MD27:$VI27),SUMPRODUCT('計算A'!$D$68:$II$68,$CW27:$MB27))*1000+9)</f>
        <v/>
      </c>
      <c r="BL27">
        <f>IF(R27=1,1000000,IF('計算A'!$IQ$19=2,SUMPRODUCT('計算A'!$D$69:$II$69,$CW27:$MB27,$MD27:$VI27),SUMPRODUCT('計算A'!$D$69:$II$69,$CW27:$MB27))*1000+10)</f>
        <v/>
      </c>
      <c r="BM27">
        <f>IF(S27=1,1000000,IF('計算A'!$IQ$20=2,SUMPRODUCT('計算A'!$D$70:$II$70,$CW27:$MB27,$MD27:$VI27),SUMPRODUCT('計算A'!$D$70:$II$70,$CW27:$MB27))*1000+11)</f>
        <v/>
      </c>
      <c r="BN27">
        <f>IF(T27=1,1000000,IF('計算A'!$IQ$21=2,SUMPRODUCT('計算A'!$D$71:$II$71,$CW27:$MB27,$MD27:$VI27),SUMPRODUCT('計算A'!$D$71:$II$71,$CW27:$MB27))*1000+12)</f>
        <v/>
      </c>
      <c r="BO27">
        <f>IF(U27=1,1000000,IF('計算A'!$IQ$22=2,SUMPRODUCT('計算A'!$D$72:$II$72,$CW27:$MB27,$MD27:$VI27),SUMPRODUCT('計算A'!$D$72:$II$72,$CW27:$MB27))*1000+13)</f>
        <v/>
      </c>
      <c r="BP27">
        <f>IF(V27=1,1000000,IF('計算A'!$IQ$23=2,SUMPRODUCT('計算A'!$D$73:$II$73,$CW27:$MB27,$MD27:$VI27),SUMPRODUCT('計算A'!$D$73:$II$73,$CW27:$MB27))*1000+14)</f>
        <v/>
      </c>
      <c r="BQ27">
        <f>IF(W27=1,1000000,IF('計算A'!$IQ$24=2,SUMPRODUCT('計算A'!$D$74:$II$74,$CW27:$MB27,$MD27:$VI27),SUMPRODUCT('計算A'!$D$74:$II$74,$CW27:$MB27))*1000+15)</f>
        <v/>
      </c>
      <c r="BR27">
        <f>IF(X27=1,1000000,IF('計算A'!$IQ$25=2,SUMPRODUCT('計算A'!$D$75:$II$75,$CW27:$MB27,$MD27:$VI27),SUMPRODUCT('計算A'!$D$75:$II$75,$CW27:$MB27))*1000+16)</f>
        <v/>
      </c>
      <c r="BS27">
        <f>IF(Y27=1,1000000,IF('計算A'!$IQ$26=2,SUMPRODUCT('計算A'!$D$76:$II$76,$CW27:$MB27,$MD27:$VI27),SUMPRODUCT('計算A'!$D$76:$II$76,$CW27:$MB27))*1000+17)</f>
        <v/>
      </c>
      <c r="BT27">
        <f>IF(Z27=1,1000000,IF('計算A'!$IQ$27=2,SUMPRODUCT('計算A'!$D$77:$II$77,$CW27:$MB27,$MD27:$VI27),SUMPRODUCT('計算A'!$D$77:$II$77,$CW27:$MB27))*1000+18)</f>
        <v/>
      </c>
      <c r="BU27">
        <f>IF(AA27=1,1000000,IF('計算A'!$IQ$28=2,SUMPRODUCT('計算A'!$D$78:$II$78,$CW27:$MB27,$MD27:$VI27),SUMPRODUCT('計算A'!$D$78:$II$78,$CW27:$MB27))*1000+19)</f>
        <v/>
      </c>
      <c r="BV27">
        <f>IF(AB27=1,1000000,IF('計算A'!$IQ$29=2,SUMPRODUCT('計算A'!$D$79:$II$79,$CW27:$MB27,$MD27:$VI27),SUMPRODUCT('計算A'!$D$79:$II$79,$CW27:$MB27))*1000+20)</f>
        <v/>
      </c>
      <c r="BW27">
        <f>IF(AC27=1,1000000,IF('計算A'!$IQ$30=2,SUMPRODUCT('計算A'!$D$80:$II$80,$CW27:$MB27,$MD27:$VI27),SUMPRODUCT('計算A'!$D$80:$II$80,$CW27:$MB27))*1000+21)</f>
        <v/>
      </c>
      <c r="BX27">
        <f>IF(AD27=1,1000000,IF('計算A'!$IQ$31=2,SUMPRODUCT('計算A'!$D$81:$II$81,$CW27:$MB27,$MD27:$VI27),SUMPRODUCT('計算A'!$D$81:$II$81,$CW27:$MB27))*1000+22)</f>
        <v/>
      </c>
      <c r="BY27">
        <f>IF(AE27=1,1000000,IF('計算A'!$IQ$32=2,SUMPRODUCT('計算A'!$D$82:$II$82,$CW27:$MB27,$MD27:$VI27),SUMPRODUCT('計算A'!$D$82:$II$82,$CW27:$MB27))*1000+23)</f>
        <v/>
      </c>
      <c r="BZ27">
        <f>IF(AF27=1,1000000,IF('計算A'!$IQ$33=2,SUMPRODUCT('計算A'!$D$83:$II$83,$CW27:$MB27,$MD27:$VI27),SUMPRODUCT('計算A'!$D$83:$II$83,$CW27:$MB27))*1000+24)</f>
        <v/>
      </c>
      <c r="CA27">
        <f>IF(AG27=1,1000000,IF('計算A'!$IQ$34=2,SUMPRODUCT('計算A'!$D$84:$II$84,$CW27:$MB27,$MD27:$VI27),SUMPRODUCT('計算A'!$D$84:$II$84,$CW27:$MB27))*1000+25)</f>
        <v/>
      </c>
      <c r="CB27">
        <f>IF(AH27=1,1000000,IF('計算A'!$IQ$35=2,SUMPRODUCT('計算A'!$D$85:$II$85,$CW27:$MB27,$MD27:$VI27),SUMPRODUCT('計算A'!$D$85:$II$85,$CW27:$MB27))*1000+26)</f>
        <v/>
      </c>
      <c r="CC27">
        <f>IF(AI27=1,1000000,IF('計算A'!$IQ$36=2,SUMPRODUCT('計算A'!$D$86:$II$86,$CW27:$MB27,$MD27:$VI27),SUMPRODUCT('計算A'!$D$86:$II$86,$CW27:$MB27))*1000+27)</f>
        <v/>
      </c>
      <c r="CD27">
        <f>IF(AJ27=1,1000000,IF('計算A'!$IQ$37=2,SUMPRODUCT('計算A'!$D$87:$II$87,$CW27:$MB27,$MD27:$VI27),SUMPRODUCT('計算A'!$D$87:$II$87,$CW27:$MB27))*1000+28)</f>
        <v/>
      </c>
      <c r="CE27">
        <f>IF(AK27=1,1000000,IF('計算A'!$IQ$38=2,SUMPRODUCT('計算A'!$D$88:$II$88,$CW27:$MB27,$MD27:$VI27),SUMPRODUCT('計算A'!$D$88:$II$88,$CW27:$MB27))*1000+29)</f>
        <v/>
      </c>
      <c r="CF27">
        <f>IF(AL27=1,1000000,IF('計算A'!$IQ$39=2,SUMPRODUCT('計算A'!$D$89:$II$89,$CW27:$MB27,$MD27:$VI27),SUMPRODUCT('計算A'!$D$89:$II$89,$CW27:$MB27))*1000+30)</f>
        <v/>
      </c>
      <c r="CG27">
        <f>IF(AM27=1,1000000,IF('計算A'!$IQ$40=2,SUMPRODUCT('計算A'!$D$90:$II$90,$CW27:$MB27,$MD27:$VI27),SUMPRODUCT('計算A'!$D$90:$II$90,$CW27:$MB27))*1000+31)</f>
        <v/>
      </c>
      <c r="CH27">
        <f>IF(AN27=1,1000000,IF('計算A'!$IQ$41=2,SUMPRODUCT('計算A'!$D$91:$II$91,$CW27:$MB27,$MD27:$VI27),SUMPRODUCT('計算A'!$D$91:$II$91,$CW27:$MB27))*1000+32)</f>
        <v/>
      </c>
      <c r="CI27">
        <f>IF(AO27=1,1000000,IF('計算A'!$IQ$42=2,SUMPRODUCT('計算A'!$D$92:$II$92,$CW27:$MB27,$MD27:$VI27),SUMPRODUCT('計算A'!$D$92:$II$92,$CW27:$MB27))*1000+33)</f>
        <v/>
      </c>
      <c r="CJ27">
        <f>IF(AP27=1,1000000,IF('計算A'!$IQ$43=2,SUMPRODUCT('計算A'!$D$93:$II$93,$CW27:$MB27,$MD27:$VI27),SUMPRODUCT('計算A'!$D$93:$II$93,$CW27:$MB27))*1000+34)</f>
        <v/>
      </c>
      <c r="CK27">
        <f>IF(AQ27=1,1000000,IF('計算A'!$IQ$44=2,SUMPRODUCT('計算A'!$D$94:$II$94,$CW27:$MB27,$MD27:$VI27),SUMPRODUCT('計算A'!$D$94:$II$94,$CW27:$MB27))*1000+35)</f>
        <v/>
      </c>
      <c r="CL27">
        <f>IF(AR27=1,1000000,IF('計算A'!$IQ$45=2,SUMPRODUCT('計算A'!$D$95:$II$95,$CW27:$MB27,$MD27:$VI27),SUMPRODUCT('計算A'!$D$95:$II$95,$CW27:$MB27))*1000+36)</f>
        <v/>
      </c>
      <c r="CM27">
        <f>IF(AS27=1,1000000,IF('計算A'!$IQ$46=2,SUMPRODUCT('計算A'!$D$96:$II$96,$CW27:$MB27,$MD27:$VI27),SUMPRODUCT('計算A'!$D$96:$II$96,$CW27:$MB27))*1000+37)</f>
        <v/>
      </c>
      <c r="CN27">
        <f>IF(AT27=1,1000000,IF('計算A'!$IQ$47=2,SUMPRODUCT('計算A'!$D$97:$II$97,$CW27:$MB27,$MD27:$VI27),SUMPRODUCT('計算A'!$D$97:$II$97,$CW27:$MB27))*1000+38)</f>
        <v/>
      </c>
      <c r="CO27">
        <f>IF(AU27=1,1000000,IF('計算A'!$IQ$48=2,SUMPRODUCT('計算A'!$D$98:$II$98,$CW27:$MB27,$MD27:$VI27),SUMPRODUCT('計算A'!$D$98:$II$98,$CW27:$MB27))*1000+39)</f>
        <v/>
      </c>
      <c r="CP27">
        <f>IF(AV27=1,1000000,IF('計算A'!$IQ$49=2,SUMPRODUCT('計算A'!$D$99:$II$99,$CW27:$MB27,$MD27:$VI27),SUMPRODUCT('計算A'!$D$99:$II$99,$CW27:$MB27))*1000+40)</f>
        <v/>
      </c>
      <c r="CQ27">
        <f>IF(AW27=1,1000000,IF('計算A'!$IQ$50=2,SUMPRODUCT('計算A'!$D$100:$II$100,$CW27:$MB27,$MD27:$VI27),SUMPRODUCT('計算A'!$D$100:$II$100,$CW27:$MB27))*1000+41)</f>
        <v/>
      </c>
      <c r="CR27">
        <f>IF(AX27=1,1000000,IF('計算A'!$IQ$51=2,SUMPRODUCT('計算A'!$D$101:$II$101,$CW27:$MB27,$MD27:$VI27),SUMPRODUCT('計算A'!$D$101:$II$101,$CW27:$MB27))*1000+42)</f>
        <v/>
      </c>
      <c r="CS27">
        <f>IF(AY27=1,1000000,IF('計算A'!$IQ$52=2,SUMPRODUCT('計算A'!$D$102:$II$102,$CW27:$MB27,$MD27:$VI27),SUMPRODUCT('計算A'!$D$102:$II$102,$CW27:$MB27))*1000+43)</f>
        <v/>
      </c>
      <c r="CT27">
        <f>IF(AZ27=1,1000000,IF('計算A'!$IQ$53=2,SUMPRODUCT('計算A'!$D$103:$II$103,$CW27:$MB27,$MD27:$VI27),SUMPRODUCT('計算A'!$D$103:$II$103,$CW27:$MB27))*1000+44)</f>
        <v/>
      </c>
      <c r="CU27">
        <f>IF(BA27=1,1000000,IF('計算A'!$IQ$54=2,SUMPRODUCT('計算A'!$D$104:$II$104,$CW27:$MB27,$MD27:$VI27),SUMPRODUCT('計算A'!$D$104:$II$104,$CW27:$MB27))*1000+45)</f>
        <v/>
      </c>
      <c r="CW27">
        <f>CW26*IF(OR($C26=1,$G26=1),0,1)</f>
        <v/>
      </c>
      <c r="CX27">
        <f>CX26*IF(OR($C26=2,$G26=2),0,1)</f>
        <v/>
      </c>
      <c r="CY27">
        <f>CY26*IF(OR($C26=3,$G26=3),0,1)</f>
        <v/>
      </c>
      <c r="CZ27">
        <f>CZ26*IF(OR($C26=4,$G26=4),0,1)</f>
        <v/>
      </c>
      <c r="DA27">
        <f>DA26*IF(OR($C26=5,$G26=5),0,1)</f>
        <v/>
      </c>
      <c r="DB27">
        <f>DB26*IF(OR($C26=6,$G26=6),0,1)</f>
        <v/>
      </c>
      <c r="DC27">
        <f>DC26*IF(OR($C26=7,$G26=7),0,1)</f>
        <v/>
      </c>
      <c r="DD27">
        <f>DD26*IF(OR($C26=8,$G26=8),0,1)</f>
        <v/>
      </c>
      <c r="DE27">
        <f>DE26*IF(OR($C26=9,$G26=9),0,1)</f>
        <v/>
      </c>
      <c r="DF27">
        <f>DF26*IF(OR($C26=10,$G26=10),0,1)</f>
        <v/>
      </c>
      <c r="DG27">
        <f>DG26*IF(OR($C26=11,$G26=11),0,1)</f>
        <v/>
      </c>
      <c r="DH27">
        <f>DH26*IF(OR($C26=12,$G26=12),0,1)</f>
        <v/>
      </c>
      <c r="DI27">
        <f>DI26*IF(OR($C26=13,$G26=13),0,1)</f>
        <v/>
      </c>
      <c r="DJ27">
        <f>DJ26*IF(OR($C26=14,$G26=14),0,1)</f>
        <v/>
      </c>
      <c r="DK27">
        <f>DK26*IF(OR($C26=15,$G26=15),0,1)</f>
        <v/>
      </c>
      <c r="DL27">
        <f>DL26*IF(OR($C26=16,$G26=16),0,1)</f>
        <v/>
      </c>
      <c r="DM27">
        <f>DM26*IF(OR($C26=17,$G26=17),0,1)</f>
        <v/>
      </c>
      <c r="DN27">
        <f>DN26*IF(OR($C26=18,$G26=18),0,1)</f>
        <v/>
      </c>
      <c r="DO27">
        <f>DO26*IF(OR($C26=19,$G26=19),0,1)</f>
        <v/>
      </c>
      <c r="DP27">
        <f>DP26*IF(OR($C26=20,$G26=20),0,1)</f>
        <v/>
      </c>
      <c r="DQ27">
        <f>DQ26*IF(OR($C26=21,$G26=21),0,1)</f>
        <v/>
      </c>
      <c r="DR27">
        <f>DR26*IF(OR($C26=22,$G26=22),0,1)</f>
        <v/>
      </c>
      <c r="DS27">
        <f>DS26*IF(OR($C26=23,$G26=23),0,1)</f>
        <v/>
      </c>
      <c r="DT27">
        <f>DT26*IF(OR($C26=24,$G26=24),0,1)</f>
        <v/>
      </c>
      <c r="DU27">
        <f>DU26*IF(OR($C26=25,$G26=25),0,1)</f>
        <v/>
      </c>
      <c r="DV27">
        <f>DV26*IF(OR($C26=26,$G26=26),0,1)</f>
        <v/>
      </c>
      <c r="DW27">
        <f>DW26*IF(OR($C26=27,$G26=27),0,1)</f>
        <v/>
      </c>
      <c r="DX27">
        <f>DX26*IF(OR($C26=28,$G26=28),0,1)</f>
        <v/>
      </c>
      <c r="DY27">
        <f>DY26*IF(OR($C26=29,$G26=29),0,1)</f>
        <v/>
      </c>
      <c r="DZ27">
        <f>DZ26*IF(OR($C26=30,$G26=30),0,1)</f>
        <v/>
      </c>
      <c r="EA27">
        <f>EA26*IF(OR($C26=31,$G26=31),0,1)</f>
        <v/>
      </c>
      <c r="EB27">
        <f>EB26*IF(OR($C26=32,$G26=32),0,1)</f>
        <v/>
      </c>
      <c r="EC27">
        <f>EC26*IF(OR($C26=33,$G26=33),0,1)</f>
        <v/>
      </c>
      <c r="ED27">
        <f>ED26*IF(OR($C26=34,$G26=34),0,1)</f>
        <v/>
      </c>
      <c r="EE27">
        <f>EE26*IF(OR($C26=35,$G26=35),0,1)</f>
        <v/>
      </c>
      <c r="EF27">
        <f>EF26*IF(OR($C26=36,$G26=36),0,1)</f>
        <v/>
      </c>
      <c r="EG27">
        <f>EG26*IF(OR($C26=37,$G26=37),0,1)</f>
        <v/>
      </c>
      <c r="EH27">
        <f>EH26*IF(OR($C26=38,$G26=38),0,1)</f>
        <v/>
      </c>
      <c r="EI27">
        <f>EI26*IF(OR($C26=39,$G26=39),0,1)</f>
        <v/>
      </c>
      <c r="EJ27">
        <f>EJ26*IF(OR($C26=40,$G26=40),0,1)</f>
        <v/>
      </c>
      <c r="EK27">
        <f>EK26*IF(OR($C26=41,$G26=41),0,1)</f>
        <v/>
      </c>
      <c r="EL27">
        <f>EL26*IF(OR($C26=42,$G26=42),0,1)</f>
        <v/>
      </c>
      <c r="EM27">
        <f>EM26*IF(OR($C26=43,$G26=43),0,1)</f>
        <v/>
      </c>
      <c r="EN27">
        <f>EN26*IF(OR($C26=44,$G26=44),0,1)</f>
        <v/>
      </c>
      <c r="EO27">
        <f>EO26*IF(OR($C26=45,$G26=45),0,1)</f>
        <v/>
      </c>
      <c r="EP27">
        <f>EP26*IF(OR($C26=46,$G26=46),0,1)</f>
        <v/>
      </c>
      <c r="EQ27">
        <f>EQ26*IF(OR($C26=47,$G26=47),0,1)</f>
        <v/>
      </c>
      <c r="ER27">
        <f>ER26*IF(OR($C26=48,$G26=48),0,1)</f>
        <v/>
      </c>
      <c r="ES27">
        <f>ES26*IF(OR($C26=49,$G26=49),0,1)</f>
        <v/>
      </c>
      <c r="ET27">
        <f>ET26*IF(OR($C26=50,$G26=50),0,1)</f>
        <v/>
      </c>
      <c r="EU27">
        <f>EU26*IF(OR($C26=51,$G26=51),0,1)</f>
        <v/>
      </c>
      <c r="EV27">
        <f>EV26*IF(OR($C26=52,$G26=52),0,1)</f>
        <v/>
      </c>
      <c r="EW27">
        <f>EW26*IF(OR($C26=53,$G26=53),0,1)</f>
        <v/>
      </c>
      <c r="EX27">
        <f>EX26*IF(OR($C26=54,$G26=54),0,1)</f>
        <v/>
      </c>
      <c r="EY27">
        <f>EY26*IF(OR($C26=55,$G26=55),0,1)</f>
        <v/>
      </c>
      <c r="EZ27">
        <f>EZ26*IF(OR($C26=56,$G26=56),0,1)</f>
        <v/>
      </c>
      <c r="FA27">
        <f>FA26*IF(OR($C26=57,$G26=57),0,1)</f>
        <v/>
      </c>
      <c r="FB27">
        <f>FB26*IF(OR($C26=58,$G26=58),0,1)</f>
        <v/>
      </c>
      <c r="FC27">
        <f>FC26*IF(OR($C26=59,$G26=59),0,1)</f>
        <v/>
      </c>
      <c r="FD27">
        <f>FD26*IF(OR($C26=60,$G26=60),0,1)</f>
        <v/>
      </c>
      <c r="FE27">
        <f>FE26*IF(OR($C26=61,$G26=61),0,1)</f>
        <v/>
      </c>
      <c r="FF27">
        <f>FF26*IF(OR($C26=62,$G26=62),0,1)</f>
        <v/>
      </c>
      <c r="FG27">
        <f>FG26*IF(OR($C26=63,$G26=63),0,1)</f>
        <v/>
      </c>
      <c r="FH27">
        <f>FH26*IF(OR($C26=64,$G26=64),0,1)</f>
        <v/>
      </c>
      <c r="FI27">
        <f>FI26*IF(OR($C26=65,$G26=65),0,1)</f>
        <v/>
      </c>
      <c r="FJ27">
        <f>FJ26*IF(OR($C26=66,$G26=66),0,1)</f>
        <v/>
      </c>
      <c r="FK27">
        <f>FK26*IF(OR($C26=67,$G26=67),0,1)</f>
        <v/>
      </c>
      <c r="FL27">
        <f>FL26*IF(OR($C26=68,$G26=68),0,1)</f>
        <v/>
      </c>
      <c r="FM27">
        <f>FM26*IF(OR($C26=69,$G26=69),0,1)</f>
        <v/>
      </c>
      <c r="FN27">
        <f>FN26*IF(OR($C26=70,$G26=70),0,1)</f>
        <v/>
      </c>
      <c r="FO27">
        <f>FO26*IF(OR($C26=71,$G26=71),0,1)</f>
        <v/>
      </c>
      <c r="FP27">
        <f>FP26*IF(OR($C26=72,$G26=72),0,1)</f>
        <v/>
      </c>
      <c r="FQ27">
        <f>FQ26*IF(OR($C26=73,$G26=73),0,1)</f>
        <v/>
      </c>
      <c r="FR27">
        <f>FR26*IF(OR($C26=74,$G26=74),0,1)</f>
        <v/>
      </c>
      <c r="FS27">
        <f>FS26*IF(OR($C26=75,$G26=75),0,1)</f>
        <v/>
      </c>
      <c r="FT27">
        <f>FT26*IF(OR($C26=76,$G26=76),0,1)</f>
        <v/>
      </c>
      <c r="FU27">
        <f>FU26*IF(OR($C26=77,$G26=77),0,1)</f>
        <v/>
      </c>
      <c r="FV27">
        <f>FV26*IF(OR($C26=78,$G26=78),0,1)</f>
        <v/>
      </c>
      <c r="FW27">
        <f>FW26*IF(OR($C26=79,$G26=79),0,1)</f>
        <v/>
      </c>
      <c r="FX27">
        <f>FX26*IF(OR($C26=80,$G26=80),0,1)</f>
        <v/>
      </c>
      <c r="FY27">
        <f>FY26*IF(OR($C26=81,$G26=81),0,1)</f>
        <v/>
      </c>
      <c r="FZ27">
        <f>FZ26*IF(OR($C26=82,$G26=82),0,1)</f>
        <v/>
      </c>
      <c r="GA27">
        <f>GA26*IF(OR($C26=83,$G26=83),0,1)</f>
        <v/>
      </c>
      <c r="GB27">
        <f>GB26*IF(OR($C26=84,$G26=84),0,1)</f>
        <v/>
      </c>
      <c r="GC27">
        <f>GC26*IF(OR($C26=85,$G26=85),0,1)</f>
        <v/>
      </c>
      <c r="GD27">
        <f>GD26*IF(OR($C26=86,$G26=86),0,1)</f>
        <v/>
      </c>
      <c r="GE27">
        <f>GE26*IF(OR($C26=87,$G26=87),0,1)</f>
        <v/>
      </c>
      <c r="GF27">
        <f>GF26*IF(OR($C26=88,$G26=88),0,1)</f>
        <v/>
      </c>
      <c r="GG27">
        <f>GG26*IF(OR($C26=89,$G26=89),0,1)</f>
        <v/>
      </c>
      <c r="GH27">
        <f>GH26*IF(OR($C26=90,$G26=90),0,1)</f>
        <v/>
      </c>
      <c r="GI27">
        <f>GI26*IF(OR($C26=91,$G26=91),0,1)</f>
        <v/>
      </c>
      <c r="GJ27">
        <f>GJ26*IF(OR($C26=92,$G26=92),0,1)</f>
        <v/>
      </c>
      <c r="GK27">
        <f>GK26*IF(OR($C26=93,$G26=93),0,1)</f>
        <v/>
      </c>
      <c r="GL27">
        <f>GL26*IF(OR($C26=94,$G26=94),0,1)</f>
        <v/>
      </c>
      <c r="GM27">
        <f>GM26*IF(OR($C26=95,$G26=95),0,1)</f>
        <v/>
      </c>
      <c r="GN27">
        <f>GN26*IF(OR($C26=96,$G26=96),0,1)</f>
        <v/>
      </c>
      <c r="GO27">
        <f>GO26*IF(OR($C26=97,$G26=97),0,1)</f>
        <v/>
      </c>
      <c r="GP27">
        <f>GP26*IF(OR($C26=98,$G26=98),0,1)</f>
        <v/>
      </c>
      <c r="GQ27">
        <f>GQ26*IF(OR($C26=99,$G26=99),0,1)</f>
        <v/>
      </c>
      <c r="GR27">
        <f>GR26*IF(OR($C26=100,$G26=100),0,1)</f>
        <v/>
      </c>
      <c r="GS27">
        <f>GS26*IF(OR($C26=101,$G26=101),0,1)</f>
        <v/>
      </c>
      <c r="GT27">
        <f>GT26*IF(OR($C26=102,$G26=102),0,1)</f>
        <v/>
      </c>
      <c r="GU27">
        <f>GU26*IF(OR($C26=103,$G26=103),0,1)</f>
        <v/>
      </c>
      <c r="GV27">
        <f>GV26*IF(OR($C26=104,$G26=104),0,1)</f>
        <v/>
      </c>
      <c r="GW27">
        <f>GW26*IF(OR($C26=105,$G26=105),0,1)</f>
        <v/>
      </c>
      <c r="GX27">
        <f>GX26*IF(OR($C26=106,$G26=106),0,1)</f>
        <v/>
      </c>
      <c r="GY27">
        <f>GY26*IF(OR($C26=107,$G26=107),0,1)</f>
        <v/>
      </c>
      <c r="GZ27">
        <f>GZ26*IF(OR($C26=108,$G26=108),0,1)</f>
        <v/>
      </c>
      <c r="HA27">
        <f>HA26*IF(OR($C26=109,$G26=109),0,1)</f>
        <v/>
      </c>
      <c r="HB27">
        <f>HB26*IF(OR($C26=110,$G26=110),0,1)</f>
        <v/>
      </c>
      <c r="HC27">
        <f>HC26*IF(OR($C26=111,$G26=111),0,1)</f>
        <v/>
      </c>
      <c r="HD27">
        <f>HD26*IF(OR($C26=112,$G26=112),0,1)</f>
        <v/>
      </c>
      <c r="HE27">
        <f>HE26*IF(OR($C26=113,$G26=113),0,1)</f>
        <v/>
      </c>
      <c r="HF27">
        <f>HF26*IF(OR($C26=114,$G26=114),0,1)</f>
        <v/>
      </c>
      <c r="HG27">
        <f>HG26*IF(OR($C26=115,$G26=115),0,1)</f>
        <v/>
      </c>
      <c r="HH27">
        <f>HH26*IF(OR($C26=116,$G26=116),0,1)</f>
        <v/>
      </c>
      <c r="HI27">
        <f>HI26*IF(OR($C26=117,$G26=117),0,1)</f>
        <v/>
      </c>
      <c r="HJ27">
        <f>HJ26*IF(OR($C26=118,$G26=118),0,1)</f>
        <v/>
      </c>
      <c r="HK27">
        <f>HK26*IF(OR($C26=119,$G26=119),0,1)</f>
        <v/>
      </c>
      <c r="HL27">
        <f>HL26*IF(OR($C26=120,$G26=120),0,1)</f>
        <v/>
      </c>
      <c r="HM27">
        <f>HM26*IF(OR($C26=121,$G26=121),0,1)</f>
        <v/>
      </c>
      <c r="HN27">
        <f>HN26*IF(OR($C26=122,$G26=122),0,1)</f>
        <v/>
      </c>
      <c r="HO27">
        <f>HO26*IF(OR($C26=123,$G26=123),0,1)</f>
        <v/>
      </c>
      <c r="HP27">
        <f>HP26*IF(OR($C26=124,$G26=124),0,1)</f>
        <v/>
      </c>
      <c r="HQ27">
        <f>HQ26*IF(OR($C26=125,$G26=125),0,1)</f>
        <v/>
      </c>
      <c r="HR27">
        <f>HR26*IF(OR($C26=126,$G26=126),0,1)</f>
        <v/>
      </c>
      <c r="HS27">
        <f>HS26*IF(OR($C26=127,$G26=127),0,1)</f>
        <v/>
      </c>
      <c r="HT27">
        <f>HT26*IF(OR($C26=128,$G26=128),0,1)</f>
        <v/>
      </c>
      <c r="HU27">
        <f>HU26*IF(OR($C26=129,$G26=129),0,1)</f>
        <v/>
      </c>
      <c r="HV27">
        <f>HV26*IF(OR($C26=130,$G26=130),0,1)</f>
        <v/>
      </c>
      <c r="HW27">
        <f>HW26*IF(OR($C26=131,$G26=131),0,1)</f>
        <v/>
      </c>
      <c r="HX27">
        <f>HX26*IF(OR($C26=132,$G26=132),0,1)</f>
        <v/>
      </c>
      <c r="HY27">
        <f>HY26*IF(OR($C26=133,$G26=133),0,1)</f>
        <v/>
      </c>
      <c r="HZ27">
        <f>HZ26*IF(OR($C26=134,$G26=134),0,1)</f>
        <v/>
      </c>
      <c r="IA27">
        <f>IA26*IF(OR($C26=135,$G26=135),0,1)</f>
        <v/>
      </c>
      <c r="IB27">
        <f>IB26*IF(OR($C26=136,$G26=136),0,1)</f>
        <v/>
      </c>
      <c r="IC27">
        <f>IC26*IF(OR($C26=137,$G26=137),0,1)</f>
        <v/>
      </c>
      <c r="ID27">
        <f>ID26*IF(OR($C26=138,$G26=138),0,1)</f>
        <v/>
      </c>
      <c r="IE27">
        <f>IE26*IF(OR($C26=139,$G26=139),0,1)</f>
        <v/>
      </c>
      <c r="IF27">
        <f>IF26*IF(OR($C26=140,$G26=140),0,1)</f>
        <v/>
      </c>
      <c r="IG27">
        <f>IG26*IF(OR($C26=141,$G26=141),0,1)</f>
        <v/>
      </c>
      <c r="IH27">
        <f>IH26*IF(OR($C26=142,$G26=142),0,1)</f>
        <v/>
      </c>
      <c r="II27">
        <f>II26*IF(OR($C26=143,$G26=143),0,1)</f>
        <v/>
      </c>
      <c r="IJ27">
        <f>IJ26*IF(OR($C26=144,$G26=144),0,1)</f>
        <v/>
      </c>
      <c r="IK27">
        <f>IK26*IF(OR($C26=145,$G26=145),0,1)</f>
        <v/>
      </c>
      <c r="IL27">
        <f>IL26*IF(OR($C26=146,$G26=146),0,1)</f>
        <v/>
      </c>
      <c r="IM27">
        <f>IM26*IF(OR($C26=147,$G26=147),0,1)</f>
        <v/>
      </c>
      <c r="IN27">
        <f>IN26*IF(OR($C26=148,$G26=148),0,1)</f>
        <v/>
      </c>
      <c r="IO27">
        <f>IO26*IF(OR($C26=149,$G26=149),0,1)</f>
        <v/>
      </c>
      <c r="IP27">
        <f>IP26*IF(OR($C26=150,$G26=150),0,1)</f>
        <v/>
      </c>
      <c r="IQ27">
        <f>IQ26*IF(OR($C26=151,$G26=151),0,1)</f>
        <v/>
      </c>
      <c r="IR27">
        <f>IR26*IF(OR($C26=152,$G26=152),0,1)</f>
        <v/>
      </c>
      <c r="IS27">
        <f>IS26*IF(OR($C26=153,$G26=153),0,1)</f>
        <v/>
      </c>
      <c r="IT27">
        <f>IT26*IF(OR($C26=154,$G26=154),0,1)</f>
        <v/>
      </c>
      <c r="IU27">
        <f>IU26*IF(OR($C26=155,$G26=155),0,1)</f>
        <v/>
      </c>
      <c r="IV27">
        <f>IV26*IF(OR($C26=156,$G26=156),0,1)</f>
        <v/>
      </c>
      <c r="IW27">
        <f>IW26*IF(OR($C26=157,$G26=157),0,1)</f>
        <v/>
      </c>
      <c r="IX27">
        <f>IX26*IF(OR($C26=158,$G26=158),0,1)</f>
        <v/>
      </c>
      <c r="IY27">
        <f>IY26*IF(OR($C26=159,$G26=159),0,1)</f>
        <v/>
      </c>
      <c r="IZ27">
        <f>IZ26*IF(OR($C26=160,$G26=160),0,1)</f>
        <v/>
      </c>
      <c r="JA27">
        <f>JA26*IF(OR($C26=161,$G26=161),0,1)</f>
        <v/>
      </c>
      <c r="JB27">
        <f>JB26*IF(OR($C26=162,$G26=162),0,1)</f>
        <v/>
      </c>
      <c r="JC27">
        <f>JC26*IF(OR($C26=163,$G26=163),0,1)</f>
        <v/>
      </c>
      <c r="JD27">
        <f>JD26*IF(OR($C26=164,$G26=164),0,1)</f>
        <v/>
      </c>
      <c r="JE27">
        <f>JE26*IF(OR($C26=165,$G26=165),0,1)</f>
        <v/>
      </c>
      <c r="JF27">
        <f>JF26*IF(OR($C26=166,$G26=166),0,1)</f>
        <v/>
      </c>
      <c r="JG27">
        <f>JG26*IF(OR($C26=167,$G26=167),0,1)</f>
        <v/>
      </c>
      <c r="JH27">
        <f>JH26*IF(OR($C26=168,$G26=168),0,1)</f>
        <v/>
      </c>
      <c r="JI27">
        <f>JI26*IF(OR($C26=169,$G26=169),0,1)</f>
        <v/>
      </c>
      <c r="JJ27">
        <f>JJ26*IF(OR($C26=170,$G26=170),0,1)</f>
        <v/>
      </c>
      <c r="JK27">
        <f>JK26*IF(OR($C26=171,$G26=171),0,1)</f>
        <v/>
      </c>
      <c r="JL27">
        <f>JL26*IF(OR($C26=172,$G26=172),0,1)</f>
        <v/>
      </c>
      <c r="JM27">
        <f>JM26*IF(OR($C26=173,$G26=173),0,1)</f>
        <v/>
      </c>
      <c r="JN27">
        <f>JN26*IF(OR($C26=174,$G26=174),0,1)</f>
        <v/>
      </c>
      <c r="JO27">
        <f>JO26*IF(OR($C26=175,$G26=175),0,1)</f>
        <v/>
      </c>
      <c r="JP27">
        <f>JP26*IF(OR($C26=176,$G26=176),0,1)</f>
        <v/>
      </c>
      <c r="JQ27">
        <f>JQ26*IF(OR($C26=177,$G26=177),0,1)</f>
        <v/>
      </c>
      <c r="JR27">
        <f>JR26*IF(OR($C26=178,$G26=178),0,1)</f>
        <v/>
      </c>
      <c r="JS27">
        <f>JS26*IF(OR($C26=179,$G26=179),0,1)</f>
        <v/>
      </c>
      <c r="JT27">
        <f>JT26*IF(OR($C26=180,$G26=180),0,1)</f>
        <v/>
      </c>
      <c r="JU27">
        <f>JU26*IF(OR($C26=181,$G26=181),0,1)</f>
        <v/>
      </c>
      <c r="JV27">
        <f>JV26*IF(OR($C26=182,$G26=182),0,1)</f>
        <v/>
      </c>
      <c r="JW27">
        <f>JW26*IF(OR($C26=183,$G26=183),0,1)</f>
        <v/>
      </c>
      <c r="JX27">
        <f>JX26*IF(OR($C26=184,$G26=184),0,1)</f>
        <v/>
      </c>
      <c r="JY27">
        <f>JY26*IF(OR($C26=185,$G26=185),0,1)</f>
        <v/>
      </c>
      <c r="JZ27">
        <f>JZ26*IF(OR($C26=186,$G26=186),0,1)</f>
        <v/>
      </c>
      <c r="KA27">
        <f>KA26*IF(OR($C26=187,$G26=187),0,1)</f>
        <v/>
      </c>
      <c r="KB27">
        <f>KB26*IF(OR($C26=188,$G26=188),0,1)</f>
        <v/>
      </c>
      <c r="KC27">
        <f>KC26*IF(OR($C26=189,$G26=189),0,1)</f>
        <v/>
      </c>
      <c r="KD27">
        <f>KD26*IF(OR($C26=190,$G26=190),0,1)</f>
        <v/>
      </c>
      <c r="KE27">
        <f>KE26*IF(OR($C26=191,$G26=191),0,1)</f>
        <v/>
      </c>
      <c r="KF27">
        <f>KF26*IF(OR($C26=192,$G26=192),0,1)</f>
        <v/>
      </c>
      <c r="KG27">
        <f>KG26*IF(OR($C26=193,$G26=193),0,1)</f>
        <v/>
      </c>
      <c r="KH27">
        <f>KH26*IF(OR($C26=194,$G26=194),0,1)</f>
        <v/>
      </c>
      <c r="KI27">
        <f>KI26*IF(OR($C26=195,$G26=195),0,1)</f>
        <v/>
      </c>
      <c r="KJ27">
        <f>KJ26*IF(OR($C26=196,$G26=196),0,1)</f>
        <v/>
      </c>
      <c r="KK27">
        <f>KK26*IF(OR($C26=197,$G26=197),0,1)</f>
        <v/>
      </c>
      <c r="KL27">
        <f>KL26*IF(OR($C26=198,$G26=198),0,1)</f>
        <v/>
      </c>
      <c r="KM27">
        <f>KM26*IF(OR($C26=199,$G26=199),0,1)</f>
        <v/>
      </c>
      <c r="KN27">
        <f>KN26*IF(OR($C26=200,$G26=200),0,1)</f>
        <v/>
      </c>
      <c r="KO27">
        <f>KO26*IF(OR($C26=201,$G26=201),0,1)</f>
        <v/>
      </c>
      <c r="KP27">
        <f>KP26*IF(OR($C26=202,$G26=202),0,1)</f>
        <v/>
      </c>
      <c r="KQ27">
        <f>KQ26*IF(OR($C26=203,$G26=203),0,1)</f>
        <v/>
      </c>
      <c r="KR27">
        <f>KR26*IF(OR($C26=204,$G26=204),0,1)</f>
        <v/>
      </c>
      <c r="KS27">
        <f>KS26*IF(OR($C26=205,$G26=205),0,1)</f>
        <v/>
      </c>
      <c r="KT27">
        <f>KT26*IF(OR($C26=206,$G26=206),0,1)</f>
        <v/>
      </c>
      <c r="KU27">
        <f>KU26*IF(OR($C26=207,$G26=207),0,1)</f>
        <v/>
      </c>
      <c r="KV27">
        <f>KV26*IF(OR($C26=208,$G26=208),0,1)</f>
        <v/>
      </c>
      <c r="KW27">
        <f>KW26*IF(OR($C26=209,$G26=209),0,1)</f>
        <v/>
      </c>
      <c r="KX27">
        <f>KX26*IF(OR($C26=210,$G26=210),0,1)</f>
        <v/>
      </c>
      <c r="KY27">
        <f>KY26*IF(OR($C26=211,$G26=211),0,1)</f>
        <v/>
      </c>
      <c r="KZ27">
        <f>KZ26*IF(OR($C26=212,$G26=212),0,1)</f>
        <v/>
      </c>
      <c r="LA27">
        <f>LA26*IF(OR($C26=213,$G26=213),0,1)</f>
        <v/>
      </c>
      <c r="LB27">
        <f>LB26*IF(OR($C26=214,$G26=214),0,1)</f>
        <v/>
      </c>
      <c r="LC27">
        <f>LC26*IF(OR($C26=215,$G26=215),0,1)</f>
        <v/>
      </c>
      <c r="LD27">
        <f>LD26*IF(OR($C26=216,$G26=216),0,1)</f>
        <v/>
      </c>
      <c r="LE27">
        <f>LE26*IF(OR($C26=217,$G26=217),0,1)</f>
        <v/>
      </c>
      <c r="LF27">
        <f>LF26*IF(OR($C26=218,$G26=218),0,1)</f>
        <v/>
      </c>
      <c r="LG27">
        <f>LG26*IF(OR($C26=219,$G26=219),0,1)</f>
        <v/>
      </c>
      <c r="LH27">
        <f>LH26*IF(OR($C26=220,$G26=220),0,1)</f>
        <v/>
      </c>
      <c r="LI27">
        <f>LI26*IF(OR($C26=221,$G26=221),0,1)</f>
        <v/>
      </c>
      <c r="LJ27">
        <f>LJ26*IF(OR($C26=222,$G26=222),0,1)</f>
        <v/>
      </c>
      <c r="LK27">
        <f>LK26*IF(OR($C26=223,$G26=223),0,1)</f>
        <v/>
      </c>
      <c r="LL27">
        <f>LL26*IF(OR($C26=224,$G26=224),0,1)</f>
        <v/>
      </c>
      <c r="LM27">
        <f>LM26*IF(OR($C26=225,$G26=225),0,1)</f>
        <v/>
      </c>
      <c r="LN27">
        <f>LN26*IF(OR($C26=226,$G26=226),0,1)</f>
        <v/>
      </c>
      <c r="LO27">
        <f>LO26*IF(OR($C26=227,$G26=227),0,1)</f>
        <v/>
      </c>
      <c r="LP27">
        <f>LP26*IF(OR($C26=228,$G26=228),0,1)</f>
        <v/>
      </c>
      <c r="LQ27">
        <f>LQ26*IF(OR($C26=229,$G26=229),0,1)</f>
        <v/>
      </c>
      <c r="LR27">
        <f>LR26*IF(OR($C26=230,$G26=230),0,1)</f>
        <v/>
      </c>
      <c r="LS27">
        <f>LS26*IF(OR($C26=231,$G26=231),0,1)</f>
        <v/>
      </c>
      <c r="LT27">
        <f>LT26*IF(OR($C26=232,$G26=232),0,1)</f>
        <v/>
      </c>
      <c r="LU27">
        <f>LU26*IF(OR($C26=233,$G26=233),0,1)</f>
        <v/>
      </c>
      <c r="LV27">
        <f>LV26*IF(OR($C26=234,$G26=234),0,1)</f>
        <v/>
      </c>
      <c r="LW27">
        <f>LW26*IF(OR($C26=235,$G26=235),0,1)</f>
        <v/>
      </c>
      <c r="LX27">
        <f>LX26*IF(OR($C26=236,$G26=236),0,1)</f>
        <v/>
      </c>
      <c r="LY27">
        <f>LY26*IF(OR($C26=237,$G26=237),0,1)</f>
        <v/>
      </c>
      <c r="LZ27">
        <f>LZ26*IF(OR($C26=238,$G26=238),0,1)</f>
        <v/>
      </c>
      <c r="MA27">
        <f>MA26*IF(OR($C26=239,$G26=239),0,1)</f>
        <v/>
      </c>
      <c r="MB27">
        <f>MB26*IF(OR($C26=240,$G26=240),0,1)</f>
        <v/>
      </c>
      <c r="MD27">
        <f>IF('計算A'!D$106=1,CX27,1)</f>
        <v/>
      </c>
      <c r="ME27">
        <f>IF('計算A'!E$106=1,CY27,1)</f>
        <v/>
      </c>
      <c r="MF27">
        <f>IF('計算A'!F$106=1,CZ27,1)</f>
        <v/>
      </c>
      <c r="MG27">
        <f>IF('計算A'!G$106=1,DA27,1)</f>
        <v/>
      </c>
      <c r="MH27">
        <f>IF('計算A'!H$106=1,DB27,1)</f>
        <v/>
      </c>
      <c r="MI27">
        <f>IF('計算A'!I$106=1,DC27,1)</f>
        <v/>
      </c>
      <c r="MJ27">
        <f>IF('計算A'!J$106=1,DD27,1)</f>
        <v/>
      </c>
      <c r="MK27">
        <f>IF('計算A'!K$106=1,DE27,1)</f>
        <v/>
      </c>
      <c r="ML27">
        <f>IF('計算A'!L$106=1,DF27,1)</f>
        <v/>
      </c>
      <c r="MM27">
        <f>IF('計算A'!M$106=1,DG27,1)</f>
        <v/>
      </c>
      <c r="MN27">
        <f>IF('計算A'!N$106=1,DH27,1)</f>
        <v/>
      </c>
      <c r="MO27">
        <f>IF('計算A'!O$106=1,DI27,1)</f>
        <v/>
      </c>
      <c r="MP27">
        <f>IF('計算A'!P$106=1,DJ27,1)</f>
        <v/>
      </c>
      <c r="MQ27">
        <f>IF('計算A'!Q$106=1,DK27,1)</f>
        <v/>
      </c>
      <c r="MR27">
        <f>IF('計算A'!R$106=1,DL27,1)</f>
        <v/>
      </c>
      <c r="MS27">
        <f>IF('計算A'!S$106=1,DM27,1)</f>
        <v/>
      </c>
      <c r="MT27">
        <f>IF('計算A'!T$106=1,DN27,1)</f>
        <v/>
      </c>
      <c r="MU27">
        <f>IF('計算A'!U$106=1,DO27,1)</f>
        <v/>
      </c>
      <c r="MV27">
        <f>IF('計算A'!V$106=1,DP27,1)</f>
        <v/>
      </c>
      <c r="MW27">
        <f>IF('計算A'!W$106=1,DQ27,1)</f>
        <v/>
      </c>
      <c r="MX27">
        <f>IF('計算A'!X$106=1,DR27,1)</f>
        <v/>
      </c>
      <c r="MY27">
        <f>IF('計算A'!Y$106=1,DS27,1)</f>
        <v/>
      </c>
      <c r="MZ27">
        <f>IF('計算A'!Z$106=1,DT27,1)</f>
        <v/>
      </c>
      <c r="NA27">
        <f>IF('計算A'!AA$106=1,DU27,1)</f>
        <v/>
      </c>
      <c r="NB27">
        <f>IF('計算A'!AB$106=1,DV27,1)</f>
        <v/>
      </c>
      <c r="NC27">
        <f>IF('計算A'!AC$106=1,DW27,1)</f>
        <v/>
      </c>
      <c r="ND27">
        <f>IF('計算A'!AD$106=1,DX27,1)</f>
        <v/>
      </c>
      <c r="NE27">
        <f>IF('計算A'!AE$106=1,DY27,1)</f>
        <v/>
      </c>
      <c r="NF27">
        <f>IF('計算A'!AF$106=1,DZ27,1)</f>
        <v/>
      </c>
      <c r="NG27">
        <f>IF('計算A'!AG$106=1,EA27,1)</f>
        <v/>
      </c>
      <c r="NH27">
        <f>IF('計算A'!AH$106=1,EB27,1)</f>
        <v/>
      </c>
      <c r="NI27">
        <f>IF('計算A'!AI$106=1,EC27,1)</f>
        <v/>
      </c>
      <c r="NJ27">
        <f>IF('計算A'!AJ$106=1,ED27,1)</f>
        <v/>
      </c>
      <c r="NK27">
        <f>IF('計算A'!AK$106=1,EE27,1)</f>
        <v/>
      </c>
      <c r="NL27">
        <f>IF('計算A'!AL$106=1,EF27,1)</f>
        <v/>
      </c>
      <c r="NM27">
        <f>IF('計算A'!AM$106=1,EG27,1)</f>
        <v/>
      </c>
      <c r="NN27">
        <f>IF('計算A'!AN$106=1,EH27,1)</f>
        <v/>
      </c>
      <c r="NO27">
        <f>IF('計算A'!AO$106=1,EI27,1)</f>
        <v/>
      </c>
      <c r="NP27">
        <f>IF('計算A'!AP$106=1,EJ27,1)</f>
        <v/>
      </c>
      <c r="NQ27">
        <f>IF('計算A'!AQ$106=1,EK27,1)</f>
        <v/>
      </c>
      <c r="NR27">
        <f>IF('計算A'!AR$106=1,EL27,1)</f>
        <v/>
      </c>
      <c r="NS27">
        <f>IF('計算A'!AS$106=1,EM27,1)</f>
        <v/>
      </c>
      <c r="NT27">
        <f>IF('計算A'!AT$106=1,EN27,1)</f>
        <v/>
      </c>
      <c r="NU27">
        <f>IF('計算A'!AU$106=1,EO27,1)</f>
        <v/>
      </c>
      <c r="NV27">
        <f>IF('計算A'!AV$106=1,EP27,1)</f>
        <v/>
      </c>
      <c r="NW27">
        <f>IF('計算A'!AW$106=1,EQ27,1)</f>
        <v/>
      </c>
      <c r="NX27">
        <f>IF('計算A'!AX$106=1,ER27,1)</f>
        <v/>
      </c>
      <c r="NY27">
        <f>IF('計算A'!AY$106=1,ES27,1)</f>
        <v/>
      </c>
      <c r="NZ27">
        <f>IF('計算A'!AZ$106=1,ET27,1)</f>
        <v/>
      </c>
      <c r="OA27">
        <f>IF('計算A'!BA$106=1,EU27,1)</f>
        <v/>
      </c>
      <c r="OB27">
        <f>IF('計算A'!BB$106=1,EV27,1)</f>
        <v/>
      </c>
      <c r="OC27">
        <f>IF('計算A'!BC$106=1,EW27,1)</f>
        <v/>
      </c>
      <c r="OD27">
        <f>IF('計算A'!BD$106=1,EX27,1)</f>
        <v/>
      </c>
      <c r="OE27">
        <f>IF('計算A'!BE$106=1,EY27,1)</f>
        <v/>
      </c>
      <c r="OF27">
        <f>IF('計算A'!BF$106=1,EZ27,1)</f>
        <v/>
      </c>
      <c r="OG27">
        <f>IF('計算A'!BG$106=1,FA27,1)</f>
        <v/>
      </c>
      <c r="OH27">
        <f>IF('計算A'!BH$106=1,FB27,1)</f>
        <v/>
      </c>
      <c r="OI27">
        <f>IF('計算A'!BI$106=1,FC27,1)</f>
        <v/>
      </c>
      <c r="OJ27">
        <f>IF('計算A'!BJ$106=1,FD27,1)</f>
        <v/>
      </c>
      <c r="OK27">
        <f>IF('計算A'!BK$106=1,FE27,1)</f>
        <v/>
      </c>
      <c r="OL27">
        <f>IF('計算A'!BL$106=1,FF27,1)</f>
        <v/>
      </c>
      <c r="OM27">
        <f>IF('計算A'!BM$106=1,FG27,1)</f>
        <v/>
      </c>
      <c r="ON27">
        <f>IF('計算A'!BN$106=1,FH27,1)</f>
        <v/>
      </c>
      <c r="OO27">
        <f>IF('計算A'!BO$106=1,FI27,1)</f>
        <v/>
      </c>
      <c r="OP27">
        <f>IF('計算A'!BP$106=1,FJ27,1)</f>
        <v/>
      </c>
      <c r="OQ27">
        <f>IF('計算A'!BQ$106=1,FK27,1)</f>
        <v/>
      </c>
      <c r="OR27">
        <f>IF('計算A'!BR$106=1,FL27,1)</f>
        <v/>
      </c>
      <c r="OS27">
        <f>IF('計算A'!BS$106=1,FM27,1)</f>
        <v/>
      </c>
      <c r="OT27">
        <f>IF('計算A'!BT$106=1,FN27,1)</f>
        <v/>
      </c>
      <c r="OU27">
        <f>IF('計算A'!BU$106=1,FO27,1)</f>
        <v/>
      </c>
      <c r="OV27">
        <f>IF('計算A'!BV$106=1,FP27,1)</f>
        <v/>
      </c>
      <c r="OW27">
        <f>IF('計算A'!BW$106=1,FQ27,1)</f>
        <v/>
      </c>
      <c r="OX27">
        <f>IF('計算A'!BX$106=1,FR27,1)</f>
        <v/>
      </c>
      <c r="OY27">
        <f>IF('計算A'!BY$106=1,FS27,1)</f>
        <v/>
      </c>
      <c r="OZ27">
        <f>IF('計算A'!BZ$106=1,FT27,1)</f>
        <v/>
      </c>
      <c r="PA27">
        <f>IF('計算A'!CA$106=1,FU27,1)</f>
        <v/>
      </c>
      <c r="PB27">
        <f>IF('計算A'!CB$106=1,FV27,1)</f>
        <v/>
      </c>
      <c r="PC27">
        <f>IF('計算A'!CC$106=1,FW27,1)</f>
        <v/>
      </c>
      <c r="PD27">
        <f>IF('計算A'!CD$106=1,FX27,1)</f>
        <v/>
      </c>
      <c r="PE27">
        <f>IF('計算A'!CE$106=1,FY27,1)</f>
        <v/>
      </c>
      <c r="PF27">
        <f>IF('計算A'!CF$106=1,FZ27,1)</f>
        <v/>
      </c>
      <c r="PG27">
        <f>IF('計算A'!CG$106=1,GA27,1)</f>
        <v/>
      </c>
      <c r="PH27">
        <f>IF('計算A'!CH$106=1,GB27,1)</f>
        <v/>
      </c>
      <c r="PI27">
        <f>IF('計算A'!CI$106=1,GC27,1)</f>
        <v/>
      </c>
      <c r="PJ27">
        <f>IF('計算A'!CJ$106=1,GD27,1)</f>
        <v/>
      </c>
      <c r="PK27">
        <f>IF('計算A'!CK$106=1,GE27,1)</f>
        <v/>
      </c>
      <c r="PL27">
        <f>IF('計算A'!CL$106=1,GF27,1)</f>
        <v/>
      </c>
      <c r="PM27">
        <f>IF('計算A'!CM$106=1,GG27,1)</f>
        <v/>
      </c>
      <c r="PN27">
        <f>IF('計算A'!CN$106=1,GH27,1)</f>
        <v/>
      </c>
      <c r="PO27">
        <f>IF('計算A'!CO$106=1,GI27,1)</f>
        <v/>
      </c>
      <c r="PP27">
        <f>IF('計算A'!CP$106=1,GJ27,1)</f>
        <v/>
      </c>
      <c r="PQ27">
        <f>IF('計算A'!CQ$106=1,GK27,1)</f>
        <v/>
      </c>
      <c r="PR27">
        <f>IF('計算A'!CR$106=1,GL27,1)</f>
        <v/>
      </c>
      <c r="PS27">
        <f>IF('計算A'!CS$106=1,GM27,1)</f>
        <v/>
      </c>
      <c r="PT27">
        <f>IF('計算A'!CT$106=1,GN27,1)</f>
        <v/>
      </c>
      <c r="PU27">
        <f>IF('計算A'!CU$106=1,GO27,1)</f>
        <v/>
      </c>
      <c r="PV27">
        <f>IF('計算A'!CV$106=1,GP27,1)</f>
        <v/>
      </c>
      <c r="PW27">
        <f>IF('計算A'!CW$106=1,GQ27,1)</f>
        <v/>
      </c>
      <c r="PX27">
        <f>IF('計算A'!CX$106=1,GR27,1)</f>
        <v/>
      </c>
      <c r="PY27">
        <f>IF('計算A'!CY$106=1,GS27,1)</f>
        <v/>
      </c>
      <c r="PZ27">
        <f>IF('計算A'!CZ$106=1,GT27,1)</f>
        <v/>
      </c>
      <c r="QA27">
        <f>IF('計算A'!DA$106=1,GU27,1)</f>
        <v/>
      </c>
      <c r="QB27">
        <f>IF('計算A'!DB$106=1,GV27,1)</f>
        <v/>
      </c>
      <c r="QC27">
        <f>IF('計算A'!DC$106=1,GW27,1)</f>
        <v/>
      </c>
      <c r="QD27">
        <f>IF('計算A'!DD$106=1,GX27,1)</f>
        <v/>
      </c>
      <c r="QE27">
        <f>IF('計算A'!DE$106=1,GY27,1)</f>
        <v/>
      </c>
      <c r="QF27">
        <f>IF('計算A'!DF$106=1,GZ27,1)</f>
        <v/>
      </c>
      <c r="QG27">
        <f>IF('計算A'!DG$106=1,HA27,1)</f>
        <v/>
      </c>
      <c r="QH27">
        <f>IF('計算A'!DH$106=1,HB27,1)</f>
        <v/>
      </c>
      <c r="QI27">
        <f>IF('計算A'!DI$106=1,HC27,1)</f>
        <v/>
      </c>
      <c r="QJ27">
        <f>IF('計算A'!DJ$106=1,HD27,1)</f>
        <v/>
      </c>
      <c r="QK27">
        <f>IF('計算A'!DK$106=1,HE27,1)</f>
        <v/>
      </c>
      <c r="QL27">
        <f>IF('計算A'!DL$106=1,HF27,1)</f>
        <v/>
      </c>
      <c r="QM27">
        <f>IF('計算A'!DM$106=1,HG27,1)</f>
        <v/>
      </c>
      <c r="QN27">
        <f>IF('計算A'!DN$106=1,HH27,1)</f>
        <v/>
      </c>
      <c r="QO27">
        <f>IF('計算A'!DO$106=1,HI27,1)</f>
        <v/>
      </c>
      <c r="QP27">
        <f>IF('計算A'!DP$106=1,HJ27,1)</f>
        <v/>
      </c>
      <c r="QQ27">
        <f>IF('計算A'!DQ$106=1,HK27,1)</f>
        <v/>
      </c>
      <c r="QR27">
        <f>IF('計算A'!DR$106=1,HL27,1)</f>
        <v/>
      </c>
      <c r="QS27">
        <f>IF('計算A'!DS$106=1,HM27,1)</f>
        <v/>
      </c>
      <c r="QT27">
        <f>IF('計算A'!DT$106=1,HN27,1)</f>
        <v/>
      </c>
      <c r="QU27">
        <f>IF('計算A'!DU$106=1,HO27,1)</f>
        <v/>
      </c>
      <c r="QV27">
        <f>IF('計算A'!DV$106=1,HP27,1)</f>
        <v/>
      </c>
      <c r="QW27">
        <f>IF('計算A'!DW$106=1,HQ27,1)</f>
        <v/>
      </c>
      <c r="QX27">
        <f>IF('計算A'!DX$106=1,HR27,1)</f>
        <v/>
      </c>
      <c r="QY27">
        <f>IF('計算A'!DY$106=1,HS27,1)</f>
        <v/>
      </c>
      <c r="QZ27">
        <f>IF('計算A'!DZ$106=1,HT27,1)</f>
        <v/>
      </c>
      <c r="RA27">
        <f>IF('計算A'!EA$106=1,HU27,1)</f>
        <v/>
      </c>
      <c r="RB27">
        <f>IF('計算A'!EB$106=1,HV27,1)</f>
        <v/>
      </c>
      <c r="RC27">
        <f>IF('計算A'!EC$106=1,HW27,1)</f>
        <v/>
      </c>
      <c r="RD27">
        <f>IF('計算A'!ED$106=1,HX27,1)</f>
        <v/>
      </c>
      <c r="RE27">
        <f>IF('計算A'!EE$106=1,HY27,1)</f>
        <v/>
      </c>
      <c r="RF27">
        <f>IF('計算A'!EF$106=1,HZ27,1)</f>
        <v/>
      </c>
      <c r="RG27">
        <f>IF('計算A'!EG$106=1,IA27,1)</f>
        <v/>
      </c>
      <c r="RH27">
        <f>IF('計算A'!EH$106=1,IB27,1)</f>
        <v/>
      </c>
      <c r="RI27">
        <f>IF('計算A'!EI$106=1,IC27,1)</f>
        <v/>
      </c>
      <c r="RJ27">
        <f>IF('計算A'!EJ$106=1,ID27,1)</f>
        <v/>
      </c>
      <c r="RK27">
        <f>IF('計算A'!EK$106=1,IE27,1)</f>
        <v/>
      </c>
      <c r="RL27">
        <f>IF('計算A'!EL$106=1,IF27,1)</f>
        <v/>
      </c>
      <c r="RM27">
        <f>IF('計算A'!EM$106=1,IG27,1)</f>
        <v/>
      </c>
      <c r="RN27">
        <f>IF('計算A'!EN$106=1,IH27,1)</f>
        <v/>
      </c>
      <c r="RO27">
        <f>IF('計算A'!EO$106=1,II27,1)</f>
        <v/>
      </c>
      <c r="RP27">
        <f>IF('計算A'!EP$106=1,IJ27,1)</f>
        <v/>
      </c>
      <c r="RQ27">
        <f>IF('計算A'!EQ$106=1,IK27,1)</f>
        <v/>
      </c>
      <c r="RR27">
        <f>IF('計算A'!ER$106=1,IL27,1)</f>
        <v/>
      </c>
      <c r="RS27">
        <f>IF('計算A'!ES$106=1,IM27,1)</f>
        <v/>
      </c>
      <c r="RT27">
        <f>IF('計算A'!ET$106=1,IN27,1)</f>
        <v/>
      </c>
      <c r="RU27">
        <f>IF('計算A'!EU$106=1,IO27,1)</f>
        <v/>
      </c>
      <c r="RV27">
        <f>IF('計算A'!EV$106=1,IP27,1)</f>
        <v/>
      </c>
      <c r="RW27">
        <f>IF('計算A'!EW$106=1,IQ27,1)</f>
        <v/>
      </c>
      <c r="RX27">
        <f>IF('計算A'!EX$106=1,IR27,1)</f>
        <v/>
      </c>
      <c r="RY27">
        <f>IF('計算A'!EY$106=1,IS27,1)</f>
        <v/>
      </c>
      <c r="RZ27">
        <f>IF('計算A'!EZ$106=1,IT27,1)</f>
        <v/>
      </c>
      <c r="SA27">
        <f>IF('計算A'!FA$106=1,IU27,1)</f>
        <v/>
      </c>
      <c r="SB27">
        <f>IF('計算A'!FB$106=1,IV27,1)</f>
        <v/>
      </c>
      <c r="SC27">
        <f>IF('計算A'!FC$106=1,IW27,1)</f>
        <v/>
      </c>
      <c r="SD27">
        <f>IF('計算A'!FD$106=1,IX27,1)</f>
        <v/>
      </c>
      <c r="SE27">
        <f>IF('計算A'!FE$106=1,IY27,1)</f>
        <v/>
      </c>
      <c r="SF27">
        <f>IF('計算A'!FF$106=1,IZ27,1)</f>
        <v/>
      </c>
      <c r="SG27">
        <f>IF('計算A'!FG$106=1,JA27,1)</f>
        <v/>
      </c>
      <c r="SH27">
        <f>IF('計算A'!FH$106=1,JB27,1)</f>
        <v/>
      </c>
      <c r="SI27">
        <f>IF('計算A'!FI$106=1,JC27,1)</f>
        <v/>
      </c>
      <c r="SJ27">
        <f>IF('計算A'!FJ$106=1,JD27,1)</f>
        <v/>
      </c>
      <c r="SK27">
        <f>IF('計算A'!FK$106=1,JE27,1)</f>
        <v/>
      </c>
      <c r="SL27">
        <f>IF('計算A'!FL$106=1,JF27,1)</f>
        <v/>
      </c>
      <c r="SM27">
        <f>IF('計算A'!FM$106=1,JG27,1)</f>
        <v/>
      </c>
      <c r="SN27">
        <f>IF('計算A'!FN$106=1,JH27,1)</f>
        <v/>
      </c>
      <c r="SO27">
        <f>IF('計算A'!FO$106=1,JI27,1)</f>
        <v/>
      </c>
      <c r="SP27">
        <f>IF('計算A'!FP$106=1,JJ27,1)</f>
        <v/>
      </c>
      <c r="SQ27">
        <f>IF('計算A'!FQ$106=1,JK27,1)</f>
        <v/>
      </c>
      <c r="SR27">
        <f>IF('計算A'!FR$106=1,JL27,1)</f>
        <v/>
      </c>
      <c r="SS27">
        <f>IF('計算A'!FS$106=1,JM27,1)</f>
        <v/>
      </c>
      <c r="ST27">
        <f>IF('計算A'!FT$106=1,JN27,1)</f>
        <v/>
      </c>
      <c r="SU27">
        <f>IF('計算A'!FU$106=1,JO27,1)</f>
        <v/>
      </c>
      <c r="SV27">
        <f>IF('計算A'!FV$106=1,JP27,1)</f>
        <v/>
      </c>
      <c r="SW27">
        <f>IF('計算A'!FW$106=1,JQ27,1)</f>
        <v/>
      </c>
      <c r="SX27">
        <f>IF('計算A'!FX$106=1,JR27,1)</f>
        <v/>
      </c>
      <c r="SY27">
        <f>IF('計算A'!FY$106=1,JS27,1)</f>
        <v/>
      </c>
      <c r="SZ27">
        <f>IF('計算A'!FZ$106=1,JT27,1)</f>
        <v/>
      </c>
      <c r="TA27">
        <f>IF('計算A'!GA$106=1,JU27,1)</f>
        <v/>
      </c>
      <c r="TB27">
        <f>IF('計算A'!GB$106=1,JV27,1)</f>
        <v/>
      </c>
      <c r="TC27">
        <f>IF('計算A'!GC$106=1,JW27,1)</f>
        <v/>
      </c>
      <c r="TD27">
        <f>IF('計算A'!GD$106=1,JX27,1)</f>
        <v/>
      </c>
      <c r="TE27">
        <f>IF('計算A'!GE$106=1,JY27,1)</f>
        <v/>
      </c>
      <c r="TF27">
        <f>IF('計算A'!GF$106=1,JZ27,1)</f>
        <v/>
      </c>
      <c r="TG27">
        <f>IF('計算A'!GG$106=1,KA27,1)</f>
        <v/>
      </c>
      <c r="TH27">
        <f>IF('計算A'!GH$106=1,KB27,1)</f>
        <v/>
      </c>
      <c r="TI27">
        <f>IF('計算A'!GI$106=1,KC27,1)</f>
        <v/>
      </c>
      <c r="TJ27">
        <f>IF('計算A'!GJ$106=1,KD27,1)</f>
        <v/>
      </c>
      <c r="TK27">
        <f>IF('計算A'!GK$106=1,KE27,1)</f>
        <v/>
      </c>
      <c r="TL27">
        <f>IF('計算A'!GL$106=1,KF27,1)</f>
        <v/>
      </c>
      <c r="TM27">
        <f>IF('計算A'!GM$106=1,KG27,1)</f>
        <v/>
      </c>
      <c r="TN27">
        <f>IF('計算A'!GN$106=1,KH27,1)</f>
        <v/>
      </c>
      <c r="TO27">
        <f>IF('計算A'!GO$106=1,KI27,1)</f>
        <v/>
      </c>
      <c r="TP27">
        <f>IF('計算A'!GP$106=1,KJ27,1)</f>
        <v/>
      </c>
      <c r="TQ27">
        <f>IF('計算A'!GQ$106=1,KK27,1)</f>
        <v/>
      </c>
      <c r="TR27">
        <f>IF('計算A'!GR$106=1,KL27,1)</f>
        <v/>
      </c>
      <c r="TS27">
        <f>IF('計算A'!GS$106=1,KM27,1)</f>
        <v/>
      </c>
      <c r="TT27">
        <f>IF('計算A'!GT$106=1,KN27,1)</f>
        <v/>
      </c>
      <c r="TU27">
        <f>IF('計算A'!GU$106=1,KO27,1)</f>
        <v/>
      </c>
      <c r="TV27">
        <f>IF('計算A'!GV$106=1,KP27,1)</f>
        <v/>
      </c>
      <c r="TW27">
        <f>IF('計算A'!GW$106=1,KQ27,1)</f>
        <v/>
      </c>
      <c r="TX27">
        <f>IF('計算A'!GX$106=1,KR27,1)</f>
        <v/>
      </c>
      <c r="TY27">
        <f>IF('計算A'!GY$106=1,KS27,1)</f>
        <v/>
      </c>
      <c r="TZ27">
        <f>IF('計算A'!GZ$106=1,KT27,1)</f>
        <v/>
      </c>
      <c r="UA27">
        <f>IF('計算A'!HA$106=1,KU27,1)</f>
        <v/>
      </c>
      <c r="UB27">
        <f>IF('計算A'!HB$106=1,KV27,1)</f>
        <v/>
      </c>
      <c r="UC27">
        <f>IF('計算A'!HC$106=1,KW27,1)</f>
        <v/>
      </c>
      <c r="UD27">
        <f>IF('計算A'!HD$106=1,KX27,1)</f>
        <v/>
      </c>
      <c r="UE27">
        <f>IF('計算A'!HE$106=1,KY27,1)</f>
        <v/>
      </c>
      <c r="UF27">
        <f>IF('計算A'!HF$106=1,KZ27,1)</f>
        <v/>
      </c>
      <c r="UG27">
        <f>IF('計算A'!HG$106=1,LA27,1)</f>
        <v/>
      </c>
      <c r="UH27">
        <f>IF('計算A'!HH$106=1,LB27,1)</f>
        <v/>
      </c>
      <c r="UI27">
        <f>IF('計算A'!HI$106=1,LC27,1)</f>
        <v/>
      </c>
      <c r="UJ27">
        <f>IF('計算A'!HJ$106=1,LD27,1)</f>
        <v/>
      </c>
      <c r="UK27">
        <f>IF('計算A'!HK$106=1,LE27,1)</f>
        <v/>
      </c>
      <c r="UL27">
        <f>IF('計算A'!HL$106=1,LF27,1)</f>
        <v/>
      </c>
      <c r="UM27">
        <f>IF('計算A'!HM$106=1,LG27,1)</f>
        <v/>
      </c>
      <c r="UN27">
        <f>IF('計算A'!HN$106=1,LH27,1)</f>
        <v/>
      </c>
      <c r="UO27">
        <f>IF('計算A'!HO$106=1,LI27,1)</f>
        <v/>
      </c>
      <c r="UP27">
        <f>IF('計算A'!HP$106=1,LJ27,1)</f>
        <v/>
      </c>
      <c r="UQ27">
        <f>IF('計算A'!HQ$106=1,LK27,1)</f>
        <v/>
      </c>
      <c r="UR27">
        <f>IF('計算A'!HR$106=1,LL27,1)</f>
        <v/>
      </c>
      <c r="US27">
        <f>IF('計算A'!HS$106=1,LM27,1)</f>
        <v/>
      </c>
      <c r="UT27">
        <f>IF('計算A'!HT$106=1,LN27,1)</f>
        <v/>
      </c>
      <c r="UU27">
        <f>IF('計算A'!HU$106=1,LO27,1)</f>
        <v/>
      </c>
      <c r="UV27">
        <f>IF('計算A'!HV$106=1,LP27,1)</f>
        <v/>
      </c>
      <c r="UW27">
        <f>IF('計算A'!HW$106=1,LQ27,1)</f>
        <v/>
      </c>
      <c r="UX27">
        <f>IF('計算A'!HX$106=1,LR27,1)</f>
        <v/>
      </c>
      <c r="UY27">
        <f>IF('計算A'!HY$106=1,LS27,1)</f>
        <v/>
      </c>
      <c r="UZ27">
        <f>IF('計算A'!HZ$106=1,LT27,1)</f>
        <v/>
      </c>
      <c r="VA27">
        <f>IF('計算A'!IA$106=1,LU27,1)</f>
        <v/>
      </c>
      <c r="VB27">
        <f>IF('計算A'!IB$106=1,LV27,1)</f>
        <v/>
      </c>
      <c r="VC27">
        <f>IF('計算A'!IC$106=1,LW27,1)</f>
        <v/>
      </c>
      <c r="VD27">
        <f>IF('計算A'!ID$106=1,LX27,1)</f>
        <v/>
      </c>
      <c r="VE27">
        <f>IF('計算A'!IE$106=1,LY27,1)</f>
        <v/>
      </c>
      <c r="VF27">
        <f>IF('計算A'!IF$106=1,LZ27,1)</f>
        <v/>
      </c>
      <c r="VG27">
        <f>IF('計算A'!IG$106=1,MA27,1)</f>
        <v/>
      </c>
      <c r="VH27">
        <f>IF('計算A'!IH$106=1,MB27,1)</f>
        <v/>
      </c>
      <c r="VI27" t="n">
        <v>1</v>
      </c>
      <c r="VK27">
        <f>IF($B27=0,1000000,IF(INDEX('計算A'!$D$60:$II$104,$B27,1)*CW27=1,IF(AND($E27=2,MD27=0),1000000,INDEX('計算A'!D$110:D$114,$F27+1)+IF(AND($E27=1,MD27=0),1000,0)),1000000))</f>
        <v/>
      </c>
      <c r="VL27">
        <f>IF($B27=0,1000000,IF(INDEX('計算A'!$D$60:$II$104,$B27,2)*CX27=1,IF(AND($E27=2,ME27=0),1000000,INDEX('計算A'!E$110:E$114,$F27+1)+IF(AND($E27=1,ME27=0),1000,0)),1000000))</f>
        <v/>
      </c>
      <c r="VM27">
        <f>IF($B27=0,1000000,IF(INDEX('計算A'!$D$60:$II$104,$B27,3)*CY27=1,IF(AND($E27=2,MF27=0),1000000,INDEX('計算A'!F$110:F$114,$F27+1)+IF(AND($E27=1,MF27=0),1000,0)),1000000))</f>
        <v/>
      </c>
      <c r="VN27">
        <f>IF($B27=0,1000000,IF(INDEX('計算A'!$D$60:$II$104,$B27,4)*CZ27=1,IF(AND($E27=2,MG27=0),1000000,INDEX('計算A'!G$110:G$114,$F27+1)+IF(AND($E27=1,MG27=0),1000,0)),1000000))</f>
        <v/>
      </c>
      <c r="VO27">
        <f>IF($B27=0,1000000,IF(INDEX('計算A'!$D$60:$II$104,$B27,5)*DA27=1,IF(AND($E27=2,MH27=0),1000000,INDEX('計算A'!H$110:H$114,$F27+1)+IF(AND($E27=1,MH27=0),1000,0)),1000000))</f>
        <v/>
      </c>
      <c r="VP27">
        <f>IF($B27=0,1000000,IF(INDEX('計算A'!$D$60:$II$104,$B27,6)*DB27=1,IF(AND($E27=2,MI27=0),1000000,INDEX('計算A'!I$110:I$114,$F27+1)+IF(AND($E27=1,MI27=0),1000,0)),1000000))</f>
        <v/>
      </c>
      <c r="VQ27">
        <f>IF($B27=0,1000000,IF(INDEX('計算A'!$D$60:$II$104,$B27,7)*DC27=1,IF(AND($E27=2,MJ27=0),1000000,INDEX('計算A'!J$110:J$114,$F27+1)+IF(AND($E27=1,MJ27=0),1000,0)),1000000))</f>
        <v/>
      </c>
      <c r="VR27">
        <f>IF($B27=0,1000000,IF(INDEX('計算A'!$D$60:$II$104,$B27,8)*DD27=1,IF(AND($E27=2,MK27=0),1000000,INDEX('計算A'!K$110:K$114,$F27+1)+IF(AND($E27=1,MK27=0),1000,0)),1000000))</f>
        <v/>
      </c>
      <c r="VS27">
        <f>IF($B27=0,1000000,IF(INDEX('計算A'!$D$60:$II$104,$B27,9)*DE27=1,IF(AND($E27=2,ML27=0),1000000,INDEX('計算A'!L$110:L$114,$F27+1)+IF(AND($E27=1,ML27=0),1000,0)),1000000))</f>
        <v/>
      </c>
      <c r="VT27">
        <f>IF($B27=0,1000000,IF(INDEX('計算A'!$D$60:$II$104,$B27,10)*DF27=1,IF(AND($E27=2,MM27=0),1000000,INDEX('計算A'!M$110:M$114,$F27+1)+IF(AND($E27=1,MM27=0),1000,0)),1000000))</f>
        <v/>
      </c>
      <c r="VU27">
        <f>IF($B27=0,1000000,IF(INDEX('計算A'!$D$60:$II$104,$B27,11)*DG27=1,IF(AND($E27=2,MN27=0),1000000,INDEX('計算A'!N$110:N$114,$F27+1)+IF(AND($E27=1,MN27=0),1000,0)),1000000))</f>
        <v/>
      </c>
      <c r="VV27">
        <f>IF($B27=0,1000000,IF(INDEX('計算A'!$D$60:$II$104,$B27,12)*DH27=1,IF(AND($E27=2,MO27=0),1000000,INDEX('計算A'!O$110:O$114,$F27+1)+IF(AND($E27=1,MO27=0),1000,0)),1000000))</f>
        <v/>
      </c>
      <c r="VW27">
        <f>IF($B27=0,1000000,IF(INDEX('計算A'!$D$60:$II$104,$B27,13)*DI27=1,IF(AND($E27=2,MP27=0),1000000,INDEX('計算A'!P$110:P$114,$F27+1)+IF(AND($E27=1,MP27=0),1000,0)),1000000))</f>
        <v/>
      </c>
      <c r="VX27">
        <f>IF($B27=0,1000000,IF(INDEX('計算A'!$D$60:$II$104,$B27,14)*DJ27=1,IF(AND($E27=2,MQ27=0),1000000,INDEX('計算A'!Q$110:Q$114,$F27+1)+IF(AND($E27=1,MQ27=0),1000,0)),1000000))</f>
        <v/>
      </c>
      <c r="VY27">
        <f>IF($B27=0,1000000,IF(INDEX('計算A'!$D$60:$II$104,$B27,15)*DK27=1,IF(AND($E27=2,MR27=0),1000000,INDEX('計算A'!R$110:R$114,$F27+1)+IF(AND($E27=1,MR27=0),1000,0)),1000000))</f>
        <v/>
      </c>
      <c r="VZ27">
        <f>IF($B27=0,1000000,IF(INDEX('計算A'!$D$60:$II$104,$B27,16)*DL27=1,IF(AND($E27=2,MS27=0),1000000,INDEX('計算A'!S$110:S$114,$F27+1)+IF(AND($E27=1,MS27=0),1000,0)),1000000))</f>
        <v/>
      </c>
      <c r="WA27">
        <f>IF($B27=0,1000000,IF(INDEX('計算A'!$D$60:$II$104,$B27,17)*DM27=1,IF(AND($E27=2,MT27=0),1000000,INDEX('計算A'!T$110:T$114,$F27+1)+IF(AND($E27=1,MT27=0),1000,0)),1000000))</f>
        <v/>
      </c>
      <c r="WB27">
        <f>IF($B27=0,1000000,IF(INDEX('計算A'!$D$60:$II$104,$B27,18)*DN27=1,IF(AND($E27=2,MU27=0),1000000,INDEX('計算A'!U$110:U$114,$F27+1)+IF(AND($E27=1,MU27=0),1000,0)),1000000))</f>
        <v/>
      </c>
      <c r="WC27">
        <f>IF($B27=0,1000000,IF(INDEX('計算A'!$D$60:$II$104,$B27,19)*DO27=1,IF(AND($E27=2,MV27=0),1000000,INDEX('計算A'!V$110:V$114,$F27+1)+IF(AND($E27=1,MV27=0),1000,0)),1000000))</f>
        <v/>
      </c>
      <c r="WD27">
        <f>IF($B27=0,1000000,IF(INDEX('計算A'!$D$60:$II$104,$B27,20)*DP27=1,IF(AND($E27=2,MW27=0),1000000,INDEX('計算A'!W$110:W$114,$F27+1)+IF(AND($E27=1,MW27=0),1000,0)),1000000))</f>
        <v/>
      </c>
      <c r="WE27">
        <f>IF($B27=0,1000000,IF(INDEX('計算A'!$D$60:$II$104,$B27,21)*DQ27=1,IF(AND($E27=2,MX27=0),1000000,INDEX('計算A'!X$110:X$114,$F27+1)+IF(AND($E27=1,MX27=0),1000,0)),1000000))</f>
        <v/>
      </c>
      <c r="WF27">
        <f>IF($B27=0,1000000,IF(INDEX('計算A'!$D$60:$II$104,$B27,22)*DR27=1,IF(AND($E27=2,MY27=0),1000000,INDEX('計算A'!Y$110:Y$114,$F27+1)+IF(AND($E27=1,MY27=0),1000,0)),1000000))</f>
        <v/>
      </c>
      <c r="WG27">
        <f>IF($B27=0,1000000,IF(INDEX('計算A'!$D$60:$II$104,$B27,23)*DS27=1,IF(AND($E27=2,MZ27=0),1000000,INDEX('計算A'!Z$110:Z$114,$F27+1)+IF(AND($E27=1,MZ27=0),1000,0)),1000000))</f>
        <v/>
      </c>
      <c r="WH27">
        <f>IF($B27=0,1000000,IF(INDEX('計算A'!$D$60:$II$104,$B27,24)*DT27=1,IF(AND($E27=2,NA27=0),1000000,INDEX('計算A'!AA$110:AA$114,$F27+1)+IF(AND($E27=1,NA27=0),1000,0)),1000000))</f>
        <v/>
      </c>
      <c r="WI27">
        <f>IF($B27=0,1000000,IF(INDEX('計算A'!$D$60:$II$104,$B27,25)*DU27=1,IF(AND($E27=2,NB27=0),1000000,INDEX('計算A'!AB$110:AB$114,$F27+1)+IF(AND($E27=1,NB27=0),1000,0)),1000000))</f>
        <v/>
      </c>
      <c r="WJ27">
        <f>IF($B27=0,1000000,IF(INDEX('計算A'!$D$60:$II$104,$B27,26)*DV27=1,IF(AND($E27=2,NC27=0),1000000,INDEX('計算A'!AC$110:AC$114,$F27+1)+IF(AND($E27=1,NC27=0),1000,0)),1000000))</f>
        <v/>
      </c>
      <c r="WK27">
        <f>IF($B27=0,1000000,IF(INDEX('計算A'!$D$60:$II$104,$B27,27)*DW27=1,IF(AND($E27=2,ND27=0),1000000,INDEX('計算A'!AD$110:AD$114,$F27+1)+IF(AND($E27=1,ND27=0),1000,0)),1000000))</f>
        <v/>
      </c>
      <c r="WL27">
        <f>IF($B27=0,1000000,IF(INDEX('計算A'!$D$60:$II$104,$B27,28)*DX27=1,IF(AND($E27=2,NE27=0),1000000,INDEX('計算A'!AE$110:AE$114,$F27+1)+IF(AND($E27=1,NE27=0),1000,0)),1000000))</f>
        <v/>
      </c>
      <c r="WM27">
        <f>IF($B27=0,1000000,IF(INDEX('計算A'!$D$60:$II$104,$B27,29)*DY27=1,IF(AND($E27=2,NF27=0),1000000,INDEX('計算A'!AF$110:AF$114,$F27+1)+IF(AND($E27=1,NF27=0),1000,0)),1000000))</f>
        <v/>
      </c>
      <c r="WN27">
        <f>IF($B27=0,1000000,IF(INDEX('計算A'!$D$60:$II$104,$B27,30)*DZ27=1,IF(AND($E27=2,NG27=0),1000000,INDEX('計算A'!AG$110:AG$114,$F27+1)+IF(AND($E27=1,NG27=0),1000,0)),1000000))</f>
        <v/>
      </c>
      <c r="WO27">
        <f>IF($B27=0,1000000,IF(INDEX('計算A'!$D$60:$II$104,$B27,31)*EA27=1,IF(AND($E27=2,NH27=0),1000000,INDEX('計算A'!AH$110:AH$114,$F27+1)+IF(AND($E27=1,NH27=0),1000,0)),1000000))</f>
        <v/>
      </c>
      <c r="WP27">
        <f>IF($B27=0,1000000,IF(INDEX('計算A'!$D$60:$II$104,$B27,32)*EB27=1,IF(AND($E27=2,NI27=0),1000000,INDEX('計算A'!AI$110:AI$114,$F27+1)+IF(AND($E27=1,NI27=0),1000,0)),1000000))</f>
        <v/>
      </c>
      <c r="WQ27">
        <f>IF($B27=0,1000000,IF(INDEX('計算A'!$D$60:$II$104,$B27,33)*EC27=1,IF(AND($E27=2,NJ27=0),1000000,INDEX('計算A'!AJ$110:AJ$114,$F27+1)+IF(AND($E27=1,NJ27=0),1000,0)),1000000))</f>
        <v/>
      </c>
      <c r="WR27">
        <f>IF($B27=0,1000000,IF(INDEX('計算A'!$D$60:$II$104,$B27,34)*ED27=1,IF(AND($E27=2,NK27=0),1000000,INDEX('計算A'!AK$110:AK$114,$F27+1)+IF(AND($E27=1,NK27=0),1000,0)),1000000))</f>
        <v/>
      </c>
      <c r="WS27">
        <f>IF($B27=0,1000000,IF(INDEX('計算A'!$D$60:$II$104,$B27,35)*EE27=1,IF(AND($E27=2,NL27=0),1000000,INDEX('計算A'!AL$110:AL$114,$F27+1)+IF(AND($E27=1,NL27=0),1000,0)),1000000))</f>
        <v/>
      </c>
      <c r="WT27">
        <f>IF($B27=0,1000000,IF(INDEX('計算A'!$D$60:$II$104,$B27,36)*EF27=1,IF(AND($E27=2,NM27=0),1000000,INDEX('計算A'!AM$110:AM$114,$F27+1)+IF(AND($E27=1,NM27=0),1000,0)),1000000))</f>
        <v/>
      </c>
      <c r="WU27">
        <f>IF($B27=0,1000000,IF(INDEX('計算A'!$D$60:$II$104,$B27,37)*EG27=1,IF(AND($E27=2,NN27=0),1000000,INDEX('計算A'!AN$110:AN$114,$F27+1)+IF(AND($E27=1,NN27=0),1000,0)),1000000))</f>
        <v/>
      </c>
      <c r="WV27">
        <f>IF($B27=0,1000000,IF(INDEX('計算A'!$D$60:$II$104,$B27,38)*EH27=1,IF(AND($E27=2,NO27=0),1000000,INDEX('計算A'!AO$110:AO$114,$F27+1)+IF(AND($E27=1,NO27=0),1000,0)),1000000))</f>
        <v/>
      </c>
      <c r="WW27">
        <f>IF($B27=0,1000000,IF(INDEX('計算A'!$D$60:$II$104,$B27,39)*EI27=1,IF(AND($E27=2,NP27=0),1000000,INDEX('計算A'!AP$110:AP$114,$F27+1)+IF(AND($E27=1,NP27=0),1000,0)),1000000))</f>
        <v/>
      </c>
      <c r="WX27">
        <f>IF($B27=0,1000000,IF(INDEX('計算A'!$D$60:$II$104,$B27,40)*EJ27=1,IF(AND($E27=2,NQ27=0),1000000,INDEX('計算A'!AQ$110:AQ$114,$F27+1)+IF(AND($E27=1,NQ27=0),1000,0)),1000000))</f>
        <v/>
      </c>
      <c r="WY27">
        <f>IF($B27=0,1000000,IF(INDEX('計算A'!$D$60:$II$104,$B27,41)*EK27=1,IF(AND($E27=2,NR27=0),1000000,INDEX('計算A'!AR$110:AR$114,$F27+1)+IF(AND($E27=1,NR27=0),1000,0)),1000000))</f>
        <v/>
      </c>
      <c r="WZ27">
        <f>IF($B27=0,1000000,IF(INDEX('計算A'!$D$60:$II$104,$B27,42)*EL27=1,IF(AND($E27=2,NS27=0),1000000,INDEX('計算A'!AS$110:AS$114,$F27+1)+IF(AND($E27=1,NS27=0),1000,0)),1000000))</f>
        <v/>
      </c>
      <c r="XA27">
        <f>IF($B27=0,1000000,IF(INDEX('計算A'!$D$60:$II$104,$B27,43)*EM27=1,IF(AND($E27=2,NT27=0),1000000,INDEX('計算A'!AT$110:AT$114,$F27+1)+IF(AND($E27=1,NT27=0),1000,0)),1000000))</f>
        <v/>
      </c>
      <c r="XB27">
        <f>IF($B27=0,1000000,IF(INDEX('計算A'!$D$60:$II$104,$B27,44)*EN27=1,IF(AND($E27=2,NU27=0),1000000,INDEX('計算A'!AU$110:AU$114,$F27+1)+IF(AND($E27=1,NU27=0),1000,0)),1000000))</f>
        <v/>
      </c>
      <c r="XC27">
        <f>IF($B27=0,1000000,IF(INDEX('計算A'!$D$60:$II$104,$B27,45)*EO27=1,IF(AND($E27=2,NV27=0),1000000,INDEX('計算A'!AV$110:AV$114,$F27+1)+IF(AND($E27=1,NV27=0),1000,0)),1000000))</f>
        <v/>
      </c>
      <c r="XD27">
        <f>IF($B27=0,1000000,IF(INDEX('計算A'!$D$60:$II$104,$B27,46)*EP27=1,IF(AND($E27=2,NW27=0),1000000,INDEX('計算A'!AW$110:AW$114,$F27+1)+IF(AND($E27=1,NW27=0),1000,0)),1000000))</f>
        <v/>
      </c>
      <c r="XE27">
        <f>IF($B27=0,1000000,IF(INDEX('計算A'!$D$60:$II$104,$B27,47)*EQ27=1,IF(AND($E27=2,NX27=0),1000000,INDEX('計算A'!AX$110:AX$114,$F27+1)+IF(AND($E27=1,NX27=0),1000,0)),1000000))</f>
        <v/>
      </c>
      <c r="XF27">
        <f>IF($B27=0,1000000,IF(INDEX('計算A'!$D$60:$II$104,$B27,48)*ER27=1,IF(AND($E27=2,NY27=0),1000000,INDEX('計算A'!AY$110:AY$114,$F27+1)+IF(AND($E27=1,NY27=0),1000,0)),1000000))</f>
        <v/>
      </c>
      <c r="XG27">
        <f>IF($B27=0,1000000,IF(INDEX('計算A'!$D$60:$II$104,$B27,49)*ES27=1,IF(AND($E27=2,NZ27=0),1000000,INDEX('計算A'!AZ$110:AZ$114,$F27+1)+IF(AND($E27=1,NZ27=0),1000,0)),1000000))</f>
        <v/>
      </c>
      <c r="XH27">
        <f>IF($B27=0,1000000,IF(INDEX('計算A'!$D$60:$II$104,$B27,50)*ET27=1,IF(AND($E27=2,OA27=0),1000000,INDEX('計算A'!BA$110:BA$114,$F27+1)+IF(AND($E27=1,OA27=0),1000,0)),1000000))</f>
        <v/>
      </c>
      <c r="XI27">
        <f>IF($B27=0,1000000,IF(INDEX('計算A'!$D$60:$II$104,$B27,51)*EU27=1,IF(AND($E27=2,OB27=0),1000000,INDEX('計算A'!BB$110:BB$114,$F27+1)+IF(AND($E27=1,OB27=0),1000,0)),1000000))</f>
        <v/>
      </c>
      <c r="XJ27">
        <f>IF($B27=0,1000000,IF(INDEX('計算A'!$D$60:$II$104,$B27,52)*EV27=1,IF(AND($E27=2,OC27=0),1000000,INDEX('計算A'!BC$110:BC$114,$F27+1)+IF(AND($E27=1,OC27=0),1000,0)),1000000))</f>
        <v/>
      </c>
      <c r="XK27">
        <f>IF($B27=0,1000000,IF(INDEX('計算A'!$D$60:$II$104,$B27,53)*EW27=1,IF(AND($E27=2,OD27=0),1000000,INDEX('計算A'!BD$110:BD$114,$F27+1)+IF(AND($E27=1,OD27=0),1000,0)),1000000))</f>
        <v/>
      </c>
      <c r="XL27">
        <f>IF($B27=0,1000000,IF(INDEX('計算A'!$D$60:$II$104,$B27,54)*EX27=1,IF(AND($E27=2,OE27=0),1000000,INDEX('計算A'!BE$110:BE$114,$F27+1)+IF(AND($E27=1,OE27=0),1000,0)),1000000))</f>
        <v/>
      </c>
      <c r="XM27">
        <f>IF($B27=0,1000000,IF(INDEX('計算A'!$D$60:$II$104,$B27,55)*EY27=1,IF(AND($E27=2,OF27=0),1000000,INDEX('計算A'!BF$110:BF$114,$F27+1)+IF(AND($E27=1,OF27=0),1000,0)),1000000))</f>
        <v/>
      </c>
      <c r="XN27">
        <f>IF($B27=0,1000000,IF(INDEX('計算A'!$D$60:$II$104,$B27,56)*EZ27=1,IF(AND($E27=2,OG27=0),1000000,INDEX('計算A'!BG$110:BG$114,$F27+1)+IF(AND($E27=1,OG27=0),1000,0)),1000000))</f>
        <v/>
      </c>
      <c r="XO27">
        <f>IF($B27=0,1000000,IF(INDEX('計算A'!$D$60:$II$104,$B27,57)*FA27=1,IF(AND($E27=2,OH27=0),1000000,INDEX('計算A'!BH$110:BH$114,$F27+1)+IF(AND($E27=1,OH27=0),1000,0)),1000000))</f>
        <v/>
      </c>
      <c r="XP27">
        <f>IF($B27=0,1000000,IF(INDEX('計算A'!$D$60:$II$104,$B27,58)*FB27=1,IF(AND($E27=2,OI27=0),1000000,INDEX('計算A'!BI$110:BI$114,$F27+1)+IF(AND($E27=1,OI27=0),1000,0)),1000000))</f>
        <v/>
      </c>
      <c r="XQ27">
        <f>IF($B27=0,1000000,IF(INDEX('計算A'!$D$60:$II$104,$B27,59)*FC27=1,IF(AND($E27=2,OJ27=0),1000000,INDEX('計算A'!BJ$110:BJ$114,$F27+1)+IF(AND($E27=1,OJ27=0),1000,0)),1000000))</f>
        <v/>
      </c>
      <c r="XR27">
        <f>IF($B27=0,1000000,IF(INDEX('計算A'!$D$60:$II$104,$B27,60)*FD27=1,IF(AND($E27=2,OK27=0),1000000,INDEX('計算A'!BK$110:BK$114,$F27+1)+IF(AND($E27=1,OK27=0),1000,0)),1000000))</f>
        <v/>
      </c>
      <c r="XS27">
        <f>IF($B27=0,1000000,IF(INDEX('計算A'!$D$60:$II$104,$B27,61)*FE27=1,IF(AND($E27=2,OL27=0),1000000,INDEX('計算A'!BL$110:BL$114,$F27+1)+IF(AND($E27=1,OL27=0),1000,0)),1000000))</f>
        <v/>
      </c>
      <c r="XT27">
        <f>IF($B27=0,1000000,IF(INDEX('計算A'!$D$60:$II$104,$B27,62)*FF27=1,IF(AND($E27=2,OM27=0),1000000,INDEX('計算A'!BM$110:BM$114,$F27+1)+IF(AND($E27=1,OM27=0),1000,0)),1000000))</f>
        <v/>
      </c>
      <c r="XU27">
        <f>IF($B27=0,1000000,IF(INDEX('計算A'!$D$60:$II$104,$B27,63)*FG27=1,IF(AND($E27=2,ON27=0),1000000,INDEX('計算A'!BN$110:BN$114,$F27+1)+IF(AND($E27=1,ON27=0),1000,0)),1000000))</f>
        <v/>
      </c>
      <c r="XV27">
        <f>IF($B27=0,1000000,IF(INDEX('計算A'!$D$60:$II$104,$B27,64)*FH27=1,IF(AND($E27=2,OO27=0),1000000,INDEX('計算A'!BO$110:BO$114,$F27+1)+IF(AND($E27=1,OO27=0),1000,0)),1000000))</f>
        <v/>
      </c>
      <c r="XW27">
        <f>IF($B27=0,1000000,IF(INDEX('計算A'!$D$60:$II$104,$B27,65)*FI27=1,IF(AND($E27=2,OP27=0),1000000,INDEX('計算A'!BP$110:BP$114,$F27+1)+IF(AND($E27=1,OP27=0),1000,0)),1000000))</f>
        <v/>
      </c>
      <c r="XX27">
        <f>IF($B27=0,1000000,IF(INDEX('計算A'!$D$60:$II$104,$B27,66)*FJ27=1,IF(AND($E27=2,OQ27=0),1000000,INDEX('計算A'!BQ$110:BQ$114,$F27+1)+IF(AND($E27=1,OQ27=0),1000,0)),1000000))</f>
        <v/>
      </c>
      <c r="XY27">
        <f>IF($B27=0,1000000,IF(INDEX('計算A'!$D$60:$II$104,$B27,67)*FK27=1,IF(AND($E27=2,OR27=0),1000000,INDEX('計算A'!BR$110:BR$114,$F27+1)+IF(AND($E27=1,OR27=0),1000,0)),1000000))</f>
        <v/>
      </c>
      <c r="XZ27">
        <f>IF($B27=0,1000000,IF(INDEX('計算A'!$D$60:$II$104,$B27,68)*FL27=1,IF(AND($E27=2,OS27=0),1000000,INDEX('計算A'!BS$110:BS$114,$F27+1)+IF(AND($E27=1,OS27=0),1000,0)),1000000))</f>
        <v/>
      </c>
      <c r="YA27">
        <f>IF($B27=0,1000000,IF(INDEX('計算A'!$D$60:$II$104,$B27,69)*FM27=1,IF(AND($E27=2,OT27=0),1000000,INDEX('計算A'!BT$110:BT$114,$F27+1)+IF(AND($E27=1,OT27=0),1000,0)),1000000))</f>
        <v/>
      </c>
      <c r="YB27">
        <f>IF($B27=0,1000000,IF(INDEX('計算A'!$D$60:$II$104,$B27,70)*FN27=1,IF(AND($E27=2,OU27=0),1000000,INDEX('計算A'!BU$110:BU$114,$F27+1)+IF(AND($E27=1,OU27=0),1000,0)),1000000))</f>
        <v/>
      </c>
      <c r="YC27">
        <f>IF($B27=0,1000000,IF(INDEX('計算A'!$D$60:$II$104,$B27,71)*FO27=1,IF(AND($E27=2,OV27=0),1000000,INDEX('計算A'!BV$110:BV$114,$F27+1)+IF(AND($E27=1,OV27=0),1000,0)),1000000))</f>
        <v/>
      </c>
      <c r="YD27">
        <f>IF($B27=0,1000000,IF(INDEX('計算A'!$D$60:$II$104,$B27,72)*FP27=1,IF(AND($E27=2,OW27=0),1000000,INDEX('計算A'!BW$110:BW$114,$F27+1)+IF(AND($E27=1,OW27=0),1000,0)),1000000))</f>
        <v/>
      </c>
      <c r="YE27">
        <f>IF($B27=0,1000000,IF(INDEX('計算A'!$D$60:$II$104,$B27,73)*FQ27=1,IF(AND($E27=2,OX27=0),1000000,INDEX('計算A'!BX$110:BX$114,$F27+1)+IF(AND($E27=1,OX27=0),1000,0)),1000000))</f>
        <v/>
      </c>
      <c r="YF27">
        <f>IF($B27=0,1000000,IF(INDEX('計算A'!$D$60:$II$104,$B27,74)*FR27=1,IF(AND($E27=2,OY27=0),1000000,INDEX('計算A'!BY$110:BY$114,$F27+1)+IF(AND($E27=1,OY27=0),1000,0)),1000000))</f>
        <v/>
      </c>
      <c r="YG27">
        <f>IF($B27=0,1000000,IF(INDEX('計算A'!$D$60:$II$104,$B27,75)*FS27=1,IF(AND($E27=2,OZ27=0),1000000,INDEX('計算A'!BZ$110:BZ$114,$F27+1)+IF(AND($E27=1,OZ27=0),1000,0)),1000000))</f>
        <v/>
      </c>
      <c r="YH27">
        <f>IF($B27=0,1000000,IF(INDEX('計算A'!$D$60:$II$104,$B27,76)*FT27=1,IF(AND($E27=2,PA27=0),1000000,INDEX('計算A'!CA$110:CA$114,$F27+1)+IF(AND($E27=1,PA27=0),1000,0)),1000000))</f>
        <v/>
      </c>
      <c r="YI27">
        <f>IF($B27=0,1000000,IF(INDEX('計算A'!$D$60:$II$104,$B27,77)*FU27=1,IF(AND($E27=2,PB27=0),1000000,INDEX('計算A'!CB$110:CB$114,$F27+1)+IF(AND($E27=1,PB27=0),1000,0)),1000000))</f>
        <v/>
      </c>
      <c r="YJ27">
        <f>IF($B27=0,1000000,IF(INDEX('計算A'!$D$60:$II$104,$B27,78)*FV27=1,IF(AND($E27=2,PC27=0),1000000,INDEX('計算A'!CC$110:CC$114,$F27+1)+IF(AND($E27=1,PC27=0),1000,0)),1000000))</f>
        <v/>
      </c>
      <c r="YK27">
        <f>IF($B27=0,1000000,IF(INDEX('計算A'!$D$60:$II$104,$B27,79)*FW27=1,IF(AND($E27=2,PD27=0),1000000,INDEX('計算A'!CD$110:CD$114,$F27+1)+IF(AND($E27=1,PD27=0),1000,0)),1000000))</f>
        <v/>
      </c>
      <c r="YL27">
        <f>IF($B27=0,1000000,IF(INDEX('計算A'!$D$60:$II$104,$B27,80)*FX27=1,IF(AND($E27=2,PE27=0),1000000,INDEX('計算A'!CE$110:CE$114,$F27+1)+IF(AND($E27=1,PE27=0),1000,0)),1000000))</f>
        <v/>
      </c>
      <c r="YM27">
        <f>IF($B27=0,1000000,IF(INDEX('計算A'!$D$60:$II$104,$B27,81)*FY27=1,IF(AND($E27=2,PF27=0),1000000,INDEX('計算A'!CF$110:CF$114,$F27+1)+IF(AND($E27=1,PF27=0),1000,0)),1000000))</f>
        <v/>
      </c>
      <c r="YN27">
        <f>IF($B27=0,1000000,IF(INDEX('計算A'!$D$60:$II$104,$B27,82)*FZ27=1,IF(AND($E27=2,PG27=0),1000000,INDEX('計算A'!CG$110:CG$114,$F27+1)+IF(AND($E27=1,PG27=0),1000,0)),1000000))</f>
        <v/>
      </c>
      <c r="YO27">
        <f>IF($B27=0,1000000,IF(INDEX('計算A'!$D$60:$II$104,$B27,83)*GA27=1,IF(AND($E27=2,PH27=0),1000000,INDEX('計算A'!CH$110:CH$114,$F27+1)+IF(AND($E27=1,PH27=0),1000,0)),1000000))</f>
        <v/>
      </c>
      <c r="YP27">
        <f>IF($B27=0,1000000,IF(INDEX('計算A'!$D$60:$II$104,$B27,84)*GB27=1,IF(AND($E27=2,PI27=0),1000000,INDEX('計算A'!CI$110:CI$114,$F27+1)+IF(AND($E27=1,PI27=0),1000,0)),1000000))</f>
        <v/>
      </c>
      <c r="YQ27">
        <f>IF($B27=0,1000000,IF(INDEX('計算A'!$D$60:$II$104,$B27,85)*GC27=1,IF(AND($E27=2,PJ27=0),1000000,INDEX('計算A'!CJ$110:CJ$114,$F27+1)+IF(AND($E27=1,PJ27=0),1000,0)),1000000))</f>
        <v/>
      </c>
      <c r="YR27">
        <f>IF($B27=0,1000000,IF(INDEX('計算A'!$D$60:$II$104,$B27,86)*GD27=1,IF(AND($E27=2,PK27=0),1000000,INDEX('計算A'!CK$110:CK$114,$F27+1)+IF(AND($E27=1,PK27=0),1000,0)),1000000))</f>
        <v/>
      </c>
      <c r="YS27">
        <f>IF($B27=0,1000000,IF(INDEX('計算A'!$D$60:$II$104,$B27,87)*GE27=1,IF(AND($E27=2,PL27=0),1000000,INDEX('計算A'!CL$110:CL$114,$F27+1)+IF(AND($E27=1,PL27=0),1000,0)),1000000))</f>
        <v/>
      </c>
      <c r="YT27">
        <f>IF($B27=0,1000000,IF(INDEX('計算A'!$D$60:$II$104,$B27,88)*GF27=1,IF(AND($E27=2,PM27=0),1000000,INDEX('計算A'!CM$110:CM$114,$F27+1)+IF(AND($E27=1,PM27=0),1000,0)),1000000))</f>
        <v/>
      </c>
      <c r="YU27">
        <f>IF($B27=0,1000000,IF(INDEX('計算A'!$D$60:$II$104,$B27,89)*GG27=1,IF(AND($E27=2,PN27=0),1000000,INDEX('計算A'!CN$110:CN$114,$F27+1)+IF(AND($E27=1,PN27=0),1000,0)),1000000))</f>
        <v/>
      </c>
      <c r="YV27">
        <f>IF($B27=0,1000000,IF(INDEX('計算A'!$D$60:$II$104,$B27,90)*GH27=1,IF(AND($E27=2,PO27=0),1000000,INDEX('計算A'!CO$110:CO$114,$F27+1)+IF(AND($E27=1,PO27=0),1000,0)),1000000))</f>
        <v/>
      </c>
      <c r="YW27">
        <f>IF($B27=0,1000000,IF(INDEX('計算A'!$D$60:$II$104,$B27,91)*GI27=1,IF(AND($E27=2,PP27=0),1000000,INDEX('計算A'!CP$110:CP$114,$F27+1)+IF(AND($E27=1,PP27=0),1000,0)),1000000))</f>
        <v/>
      </c>
      <c r="YX27">
        <f>IF($B27=0,1000000,IF(INDEX('計算A'!$D$60:$II$104,$B27,92)*GJ27=1,IF(AND($E27=2,PQ27=0),1000000,INDEX('計算A'!CQ$110:CQ$114,$F27+1)+IF(AND($E27=1,PQ27=0),1000,0)),1000000))</f>
        <v/>
      </c>
      <c r="YY27">
        <f>IF($B27=0,1000000,IF(INDEX('計算A'!$D$60:$II$104,$B27,93)*GK27=1,IF(AND($E27=2,PR27=0),1000000,INDEX('計算A'!CR$110:CR$114,$F27+1)+IF(AND($E27=1,PR27=0),1000,0)),1000000))</f>
        <v/>
      </c>
      <c r="YZ27">
        <f>IF($B27=0,1000000,IF(INDEX('計算A'!$D$60:$II$104,$B27,94)*GL27=1,IF(AND($E27=2,PS27=0),1000000,INDEX('計算A'!CS$110:CS$114,$F27+1)+IF(AND($E27=1,PS27=0),1000,0)),1000000))</f>
        <v/>
      </c>
      <c r="ZA27">
        <f>IF($B27=0,1000000,IF(INDEX('計算A'!$D$60:$II$104,$B27,95)*GM27=1,IF(AND($E27=2,PT27=0),1000000,INDEX('計算A'!CT$110:CT$114,$F27+1)+IF(AND($E27=1,PT27=0),1000,0)),1000000))</f>
        <v/>
      </c>
      <c r="ZB27">
        <f>IF($B27=0,1000000,IF(INDEX('計算A'!$D$60:$II$104,$B27,96)*GN27=1,IF(AND($E27=2,PU27=0),1000000,INDEX('計算A'!CU$110:CU$114,$F27+1)+IF(AND($E27=1,PU27=0),1000,0)),1000000))</f>
        <v/>
      </c>
      <c r="ZC27">
        <f>IF($B27=0,1000000,IF(INDEX('計算A'!$D$60:$II$104,$B27,97)*GO27=1,IF(AND($E27=2,PV27=0),1000000,INDEX('計算A'!CV$110:CV$114,$F27+1)+IF(AND($E27=1,PV27=0),1000,0)),1000000))</f>
        <v/>
      </c>
      <c r="ZD27">
        <f>IF($B27=0,1000000,IF(INDEX('計算A'!$D$60:$II$104,$B27,98)*GP27=1,IF(AND($E27=2,PW27=0),1000000,INDEX('計算A'!CW$110:CW$114,$F27+1)+IF(AND($E27=1,PW27=0),1000,0)),1000000))</f>
        <v/>
      </c>
      <c r="ZE27">
        <f>IF($B27=0,1000000,IF(INDEX('計算A'!$D$60:$II$104,$B27,99)*GQ27=1,IF(AND($E27=2,PX27=0),1000000,INDEX('計算A'!CX$110:CX$114,$F27+1)+IF(AND($E27=1,PX27=0),1000,0)),1000000))</f>
        <v/>
      </c>
      <c r="ZF27">
        <f>IF($B27=0,1000000,IF(INDEX('計算A'!$D$60:$II$104,$B27,100)*GR27=1,IF(AND($E27=2,PY27=0),1000000,INDEX('計算A'!CY$110:CY$114,$F27+1)+IF(AND($E27=1,PY27=0),1000,0)),1000000))</f>
        <v/>
      </c>
      <c r="ZG27">
        <f>IF($B27=0,1000000,IF(INDEX('計算A'!$D$60:$II$104,$B27,101)*GS27=1,IF(AND($E27=2,PZ27=0),1000000,INDEX('計算A'!CZ$110:CZ$114,$F27+1)+IF(AND($E27=1,PZ27=0),1000,0)),1000000))</f>
        <v/>
      </c>
      <c r="ZH27">
        <f>IF($B27=0,1000000,IF(INDEX('計算A'!$D$60:$II$104,$B27,102)*GT27=1,IF(AND($E27=2,QA27=0),1000000,INDEX('計算A'!DA$110:DA$114,$F27+1)+IF(AND($E27=1,QA27=0),1000,0)),1000000))</f>
        <v/>
      </c>
      <c r="ZI27">
        <f>IF($B27=0,1000000,IF(INDEX('計算A'!$D$60:$II$104,$B27,103)*GU27=1,IF(AND($E27=2,QB27=0),1000000,INDEX('計算A'!DB$110:DB$114,$F27+1)+IF(AND($E27=1,QB27=0),1000,0)),1000000))</f>
        <v/>
      </c>
      <c r="ZJ27">
        <f>IF($B27=0,1000000,IF(INDEX('計算A'!$D$60:$II$104,$B27,104)*GV27=1,IF(AND($E27=2,QC27=0),1000000,INDEX('計算A'!DC$110:DC$114,$F27+1)+IF(AND($E27=1,QC27=0),1000,0)),1000000))</f>
        <v/>
      </c>
      <c r="ZK27">
        <f>IF($B27=0,1000000,IF(INDEX('計算A'!$D$60:$II$104,$B27,105)*GW27=1,IF(AND($E27=2,QD27=0),1000000,INDEX('計算A'!DD$110:DD$114,$F27+1)+IF(AND($E27=1,QD27=0),1000,0)),1000000))</f>
        <v/>
      </c>
      <c r="ZL27">
        <f>IF($B27=0,1000000,IF(INDEX('計算A'!$D$60:$II$104,$B27,106)*GX27=1,IF(AND($E27=2,QE27=0),1000000,INDEX('計算A'!DE$110:DE$114,$F27+1)+IF(AND($E27=1,QE27=0),1000,0)),1000000))</f>
        <v/>
      </c>
      <c r="ZM27">
        <f>IF($B27=0,1000000,IF(INDEX('計算A'!$D$60:$II$104,$B27,107)*GY27=1,IF(AND($E27=2,QF27=0),1000000,INDEX('計算A'!DF$110:DF$114,$F27+1)+IF(AND($E27=1,QF27=0),1000,0)),1000000))</f>
        <v/>
      </c>
      <c r="ZN27">
        <f>IF($B27=0,1000000,IF(INDEX('計算A'!$D$60:$II$104,$B27,108)*GZ27=1,IF(AND($E27=2,QG27=0),1000000,INDEX('計算A'!DG$110:DG$114,$F27+1)+IF(AND($E27=1,QG27=0),1000,0)),1000000))</f>
        <v/>
      </c>
      <c r="ZO27">
        <f>IF($B27=0,1000000,IF(INDEX('計算A'!$D$60:$II$104,$B27,109)*HA27=1,IF(AND($E27=2,QH27=0),1000000,INDEX('計算A'!DH$110:DH$114,$F27+1)+IF(AND($E27=1,QH27=0),1000,0)),1000000))</f>
        <v/>
      </c>
      <c r="ZP27">
        <f>IF($B27=0,1000000,IF(INDEX('計算A'!$D$60:$II$104,$B27,110)*HB27=1,IF(AND($E27=2,QI27=0),1000000,INDEX('計算A'!DI$110:DI$114,$F27+1)+IF(AND($E27=1,QI27=0),1000,0)),1000000))</f>
        <v/>
      </c>
      <c r="ZQ27">
        <f>IF($B27=0,1000000,IF(INDEX('計算A'!$D$60:$II$104,$B27,111)*HC27=1,IF(AND($E27=2,QJ27=0),1000000,INDEX('計算A'!DJ$110:DJ$114,$F27+1)+IF(AND($E27=1,QJ27=0),1000,0)),1000000))</f>
        <v/>
      </c>
      <c r="ZR27">
        <f>IF($B27=0,1000000,IF(INDEX('計算A'!$D$60:$II$104,$B27,112)*HD27=1,IF(AND($E27=2,QK27=0),1000000,INDEX('計算A'!DK$110:DK$114,$F27+1)+IF(AND($E27=1,QK27=0),1000,0)),1000000))</f>
        <v/>
      </c>
      <c r="ZS27">
        <f>IF($B27=0,1000000,IF(INDEX('計算A'!$D$60:$II$104,$B27,113)*HE27=1,IF(AND($E27=2,QL27=0),1000000,INDEX('計算A'!DL$110:DL$114,$F27+1)+IF(AND($E27=1,QL27=0),1000,0)),1000000))</f>
        <v/>
      </c>
      <c r="ZT27">
        <f>IF($B27=0,1000000,IF(INDEX('計算A'!$D$60:$II$104,$B27,114)*HF27=1,IF(AND($E27=2,QM27=0),1000000,INDEX('計算A'!DM$110:DM$114,$F27+1)+IF(AND($E27=1,QM27=0),1000,0)),1000000))</f>
        <v/>
      </c>
      <c r="ZU27">
        <f>IF($B27=0,1000000,IF(INDEX('計算A'!$D$60:$II$104,$B27,115)*HG27=1,IF(AND($E27=2,QN27=0),1000000,INDEX('計算A'!DN$110:DN$114,$F27+1)+IF(AND($E27=1,QN27=0),1000,0)),1000000))</f>
        <v/>
      </c>
      <c r="ZV27">
        <f>IF($B27=0,1000000,IF(INDEX('計算A'!$D$60:$II$104,$B27,116)*HH27=1,IF(AND($E27=2,QO27=0),1000000,INDEX('計算A'!DO$110:DO$114,$F27+1)+IF(AND($E27=1,QO27=0),1000,0)),1000000))</f>
        <v/>
      </c>
      <c r="ZW27">
        <f>IF($B27=0,1000000,IF(INDEX('計算A'!$D$60:$II$104,$B27,117)*HI27=1,IF(AND($E27=2,QP27=0),1000000,INDEX('計算A'!DP$110:DP$114,$F27+1)+IF(AND($E27=1,QP27=0),1000,0)),1000000))</f>
        <v/>
      </c>
      <c r="ZX27">
        <f>IF($B27=0,1000000,IF(INDEX('計算A'!$D$60:$II$104,$B27,118)*HJ27=1,IF(AND($E27=2,QQ27=0),1000000,INDEX('計算A'!DQ$110:DQ$114,$F27+1)+IF(AND($E27=1,QQ27=0),1000,0)),1000000))</f>
        <v/>
      </c>
      <c r="ZY27">
        <f>IF($B27=0,1000000,IF(INDEX('計算A'!$D$60:$II$104,$B27,119)*HK27=1,IF(AND($E27=2,QR27=0),1000000,INDEX('計算A'!DR$110:DR$114,$F27+1)+IF(AND($E27=1,QR27=0),1000,0)),1000000))</f>
        <v/>
      </c>
      <c r="ZZ27">
        <f>IF($B27=0,1000000,IF(INDEX('計算A'!$D$60:$II$104,$B27,120)*HL27=1,IF(AND($E27=2,QS27=0),1000000,INDEX('計算A'!DS$110:DS$114,$F27+1)+IF(AND($E27=1,QS27=0),1000,0)),1000000))</f>
        <v/>
      </c>
      <c r="AAA27">
        <f>IF($B27=0,1000000,IF(INDEX('計算A'!$D$60:$II$104,$B27,121)*HM27=1,IF(AND($E27=2,QT27=0),1000000,INDEX('計算A'!DT$110:DT$114,$F27+1)+IF(AND($E27=1,QT27=0),1000,0)),1000000))</f>
        <v/>
      </c>
      <c r="AAB27">
        <f>IF($B27=0,1000000,IF(INDEX('計算A'!$D$60:$II$104,$B27,122)*HN27=1,IF(AND($E27=2,QU27=0),1000000,INDEX('計算A'!DU$110:DU$114,$F27+1)+IF(AND($E27=1,QU27=0),1000,0)),1000000))</f>
        <v/>
      </c>
      <c r="AAC27">
        <f>IF($B27=0,1000000,IF(INDEX('計算A'!$D$60:$II$104,$B27,123)*HO27=1,IF(AND($E27=2,QV27=0),1000000,INDEX('計算A'!DV$110:DV$114,$F27+1)+IF(AND($E27=1,QV27=0),1000,0)),1000000))</f>
        <v/>
      </c>
      <c r="AAD27">
        <f>IF($B27=0,1000000,IF(INDEX('計算A'!$D$60:$II$104,$B27,124)*HP27=1,IF(AND($E27=2,QW27=0),1000000,INDEX('計算A'!DW$110:DW$114,$F27+1)+IF(AND($E27=1,QW27=0),1000,0)),1000000))</f>
        <v/>
      </c>
      <c r="AAE27">
        <f>IF($B27=0,1000000,IF(INDEX('計算A'!$D$60:$II$104,$B27,125)*HQ27=1,IF(AND($E27=2,QX27=0),1000000,INDEX('計算A'!DX$110:DX$114,$F27+1)+IF(AND($E27=1,QX27=0),1000,0)),1000000))</f>
        <v/>
      </c>
      <c r="AAF27">
        <f>IF($B27=0,1000000,IF(INDEX('計算A'!$D$60:$II$104,$B27,126)*HR27=1,IF(AND($E27=2,QY27=0),1000000,INDEX('計算A'!DY$110:DY$114,$F27+1)+IF(AND($E27=1,QY27=0),1000,0)),1000000))</f>
        <v/>
      </c>
      <c r="AAG27">
        <f>IF($B27=0,1000000,IF(INDEX('計算A'!$D$60:$II$104,$B27,127)*HS27=1,IF(AND($E27=2,QZ27=0),1000000,INDEX('計算A'!DZ$110:DZ$114,$F27+1)+IF(AND($E27=1,QZ27=0),1000,0)),1000000))</f>
        <v/>
      </c>
      <c r="AAH27">
        <f>IF($B27=0,1000000,IF(INDEX('計算A'!$D$60:$II$104,$B27,128)*HT27=1,IF(AND($E27=2,RA27=0),1000000,INDEX('計算A'!EA$110:EA$114,$F27+1)+IF(AND($E27=1,RA27=0),1000,0)),1000000))</f>
        <v/>
      </c>
      <c r="AAI27">
        <f>IF($B27=0,1000000,IF(INDEX('計算A'!$D$60:$II$104,$B27,129)*HU27=1,IF(AND($E27=2,RB27=0),1000000,INDEX('計算A'!EB$110:EB$114,$F27+1)+IF(AND($E27=1,RB27=0),1000,0)),1000000))</f>
        <v/>
      </c>
      <c r="AAJ27">
        <f>IF($B27=0,1000000,IF(INDEX('計算A'!$D$60:$II$104,$B27,130)*HV27=1,IF(AND($E27=2,RC27=0),1000000,INDEX('計算A'!EC$110:EC$114,$F27+1)+IF(AND($E27=1,RC27=0),1000,0)),1000000))</f>
        <v/>
      </c>
      <c r="AAK27">
        <f>IF($B27=0,1000000,IF(INDEX('計算A'!$D$60:$II$104,$B27,131)*HW27=1,IF(AND($E27=2,RD27=0),1000000,INDEX('計算A'!ED$110:ED$114,$F27+1)+IF(AND($E27=1,RD27=0),1000,0)),1000000))</f>
        <v/>
      </c>
      <c r="AAL27">
        <f>IF($B27=0,1000000,IF(INDEX('計算A'!$D$60:$II$104,$B27,132)*HX27=1,IF(AND($E27=2,RE27=0),1000000,INDEX('計算A'!EE$110:EE$114,$F27+1)+IF(AND($E27=1,RE27=0),1000,0)),1000000))</f>
        <v/>
      </c>
      <c r="AAM27">
        <f>IF($B27=0,1000000,IF(INDEX('計算A'!$D$60:$II$104,$B27,133)*HY27=1,IF(AND($E27=2,RF27=0),1000000,INDEX('計算A'!EF$110:EF$114,$F27+1)+IF(AND($E27=1,RF27=0),1000,0)),1000000))</f>
        <v/>
      </c>
      <c r="AAN27">
        <f>IF($B27=0,1000000,IF(INDEX('計算A'!$D$60:$II$104,$B27,134)*HZ27=1,IF(AND($E27=2,RG27=0),1000000,INDEX('計算A'!EG$110:EG$114,$F27+1)+IF(AND($E27=1,RG27=0),1000,0)),1000000))</f>
        <v/>
      </c>
      <c r="AAO27">
        <f>IF($B27=0,1000000,IF(INDEX('計算A'!$D$60:$II$104,$B27,135)*IA27=1,IF(AND($E27=2,RH27=0),1000000,INDEX('計算A'!EH$110:EH$114,$F27+1)+IF(AND($E27=1,RH27=0),1000,0)),1000000))</f>
        <v/>
      </c>
      <c r="AAP27">
        <f>IF($B27=0,1000000,IF(INDEX('計算A'!$D$60:$II$104,$B27,136)*IB27=1,IF(AND($E27=2,RI27=0),1000000,INDEX('計算A'!EI$110:EI$114,$F27+1)+IF(AND($E27=1,RI27=0),1000,0)),1000000))</f>
        <v/>
      </c>
      <c r="AAQ27">
        <f>IF($B27=0,1000000,IF(INDEX('計算A'!$D$60:$II$104,$B27,137)*IC27=1,IF(AND($E27=2,RJ27=0),1000000,INDEX('計算A'!EJ$110:EJ$114,$F27+1)+IF(AND($E27=1,RJ27=0),1000,0)),1000000))</f>
        <v/>
      </c>
      <c r="AAR27">
        <f>IF($B27=0,1000000,IF(INDEX('計算A'!$D$60:$II$104,$B27,138)*ID27=1,IF(AND($E27=2,RK27=0),1000000,INDEX('計算A'!EK$110:EK$114,$F27+1)+IF(AND($E27=1,RK27=0),1000,0)),1000000))</f>
        <v/>
      </c>
      <c r="AAS27">
        <f>IF($B27=0,1000000,IF(INDEX('計算A'!$D$60:$II$104,$B27,139)*IE27=1,IF(AND($E27=2,RL27=0),1000000,INDEX('計算A'!EL$110:EL$114,$F27+1)+IF(AND($E27=1,RL27=0),1000,0)),1000000))</f>
        <v/>
      </c>
      <c r="AAT27">
        <f>IF($B27=0,1000000,IF(INDEX('計算A'!$D$60:$II$104,$B27,140)*IF27=1,IF(AND($E27=2,RM27=0),1000000,INDEX('計算A'!EM$110:EM$114,$F27+1)+IF(AND($E27=1,RM27=0),1000,0)),1000000))</f>
        <v/>
      </c>
      <c r="AAU27">
        <f>IF($B27=0,1000000,IF(INDEX('計算A'!$D$60:$II$104,$B27,141)*IG27=1,IF(AND($E27=2,RN27=0),1000000,INDEX('計算A'!EN$110:EN$114,$F27+1)+IF(AND($E27=1,RN27=0),1000,0)),1000000))</f>
        <v/>
      </c>
      <c r="AAV27">
        <f>IF($B27=0,1000000,IF(INDEX('計算A'!$D$60:$II$104,$B27,142)*IH27=1,IF(AND($E27=2,RO27=0),1000000,INDEX('計算A'!EO$110:EO$114,$F27+1)+IF(AND($E27=1,RO27=0),1000,0)),1000000))</f>
        <v/>
      </c>
      <c r="AAW27">
        <f>IF($B27=0,1000000,IF(INDEX('計算A'!$D$60:$II$104,$B27,143)*II27=1,IF(AND($E27=2,RP27=0),1000000,INDEX('計算A'!EP$110:EP$114,$F27+1)+IF(AND($E27=1,RP27=0),1000,0)),1000000))</f>
        <v/>
      </c>
      <c r="AAX27">
        <f>IF($B27=0,1000000,IF(INDEX('計算A'!$D$60:$II$104,$B27,144)*IJ27=1,IF(AND($E27=2,RQ27=0),1000000,INDEX('計算A'!EQ$110:EQ$114,$F27+1)+IF(AND($E27=1,RQ27=0),1000,0)),1000000))</f>
        <v/>
      </c>
      <c r="AAY27">
        <f>IF($B27=0,1000000,IF(INDEX('計算A'!$D$60:$II$104,$B27,145)*IK27=1,IF(AND($E27=2,RR27=0),1000000,INDEX('計算A'!ER$110:ER$114,$F27+1)+IF(AND($E27=1,RR27=0),1000,0)),1000000))</f>
        <v/>
      </c>
      <c r="AAZ27">
        <f>IF($B27=0,1000000,IF(INDEX('計算A'!$D$60:$II$104,$B27,146)*IL27=1,IF(AND($E27=2,RS27=0),1000000,INDEX('計算A'!ES$110:ES$114,$F27+1)+IF(AND($E27=1,RS27=0),1000,0)),1000000))</f>
        <v/>
      </c>
      <c r="ABA27">
        <f>IF($B27=0,1000000,IF(INDEX('計算A'!$D$60:$II$104,$B27,147)*IM27=1,IF(AND($E27=2,RT27=0),1000000,INDEX('計算A'!ET$110:ET$114,$F27+1)+IF(AND($E27=1,RT27=0),1000,0)),1000000))</f>
        <v/>
      </c>
      <c r="ABB27">
        <f>IF($B27=0,1000000,IF(INDEX('計算A'!$D$60:$II$104,$B27,148)*IN27=1,IF(AND($E27=2,RU27=0),1000000,INDEX('計算A'!EU$110:EU$114,$F27+1)+IF(AND($E27=1,RU27=0),1000,0)),1000000))</f>
        <v/>
      </c>
      <c r="ABC27">
        <f>IF($B27=0,1000000,IF(INDEX('計算A'!$D$60:$II$104,$B27,149)*IO27=1,IF(AND($E27=2,RV27=0),1000000,INDEX('計算A'!EV$110:EV$114,$F27+1)+IF(AND($E27=1,RV27=0),1000,0)),1000000))</f>
        <v/>
      </c>
      <c r="ABD27">
        <f>IF($B27=0,1000000,IF(INDEX('計算A'!$D$60:$II$104,$B27,150)*IP27=1,IF(AND($E27=2,RW27=0),1000000,INDEX('計算A'!EW$110:EW$114,$F27+1)+IF(AND($E27=1,RW27=0),1000,0)),1000000))</f>
        <v/>
      </c>
      <c r="ABE27">
        <f>IF($B27=0,1000000,IF(INDEX('計算A'!$D$60:$II$104,$B27,151)*IQ27=1,IF(AND($E27=2,RX27=0),1000000,INDEX('計算A'!EX$110:EX$114,$F27+1)+IF(AND($E27=1,RX27=0),1000,0)),1000000))</f>
        <v/>
      </c>
      <c r="ABF27">
        <f>IF($B27=0,1000000,IF(INDEX('計算A'!$D$60:$II$104,$B27,152)*IR27=1,IF(AND($E27=2,RY27=0),1000000,INDEX('計算A'!EY$110:EY$114,$F27+1)+IF(AND($E27=1,RY27=0),1000,0)),1000000))</f>
        <v/>
      </c>
      <c r="ABG27">
        <f>IF($B27=0,1000000,IF(INDEX('計算A'!$D$60:$II$104,$B27,153)*IS27=1,IF(AND($E27=2,RZ27=0),1000000,INDEX('計算A'!EZ$110:EZ$114,$F27+1)+IF(AND($E27=1,RZ27=0),1000,0)),1000000))</f>
        <v/>
      </c>
      <c r="ABH27">
        <f>IF($B27=0,1000000,IF(INDEX('計算A'!$D$60:$II$104,$B27,154)*IT27=1,IF(AND($E27=2,SA27=0),1000000,INDEX('計算A'!FA$110:FA$114,$F27+1)+IF(AND($E27=1,SA27=0),1000,0)),1000000))</f>
        <v/>
      </c>
      <c r="ABI27">
        <f>IF($B27=0,1000000,IF(INDEX('計算A'!$D$60:$II$104,$B27,155)*IU27=1,IF(AND($E27=2,SB27=0),1000000,INDEX('計算A'!FB$110:FB$114,$F27+1)+IF(AND($E27=1,SB27=0),1000,0)),1000000))</f>
        <v/>
      </c>
      <c r="ABJ27">
        <f>IF($B27=0,1000000,IF(INDEX('計算A'!$D$60:$II$104,$B27,156)*IV27=1,IF(AND($E27=2,SC27=0),1000000,INDEX('計算A'!FC$110:FC$114,$F27+1)+IF(AND($E27=1,SC27=0),1000,0)),1000000))</f>
        <v/>
      </c>
      <c r="ABK27">
        <f>IF($B27=0,1000000,IF(INDEX('計算A'!$D$60:$II$104,$B27,157)*IW27=1,IF(AND($E27=2,SD27=0),1000000,INDEX('計算A'!FD$110:FD$114,$F27+1)+IF(AND($E27=1,SD27=0),1000,0)),1000000))</f>
        <v/>
      </c>
      <c r="ABL27">
        <f>IF($B27=0,1000000,IF(INDEX('計算A'!$D$60:$II$104,$B27,158)*IX27=1,IF(AND($E27=2,SE27=0),1000000,INDEX('計算A'!FE$110:FE$114,$F27+1)+IF(AND($E27=1,SE27=0),1000,0)),1000000))</f>
        <v/>
      </c>
      <c r="ABM27">
        <f>IF($B27=0,1000000,IF(INDEX('計算A'!$D$60:$II$104,$B27,159)*IY27=1,IF(AND($E27=2,SF27=0),1000000,INDEX('計算A'!FF$110:FF$114,$F27+1)+IF(AND($E27=1,SF27=0),1000,0)),1000000))</f>
        <v/>
      </c>
      <c r="ABN27">
        <f>IF($B27=0,1000000,IF(INDEX('計算A'!$D$60:$II$104,$B27,160)*IZ27=1,IF(AND($E27=2,SG27=0),1000000,INDEX('計算A'!FG$110:FG$114,$F27+1)+IF(AND($E27=1,SG27=0),1000,0)),1000000))</f>
        <v/>
      </c>
      <c r="ABO27">
        <f>IF($B27=0,1000000,IF(INDEX('計算A'!$D$60:$II$104,$B27,161)*JA27=1,IF(AND($E27=2,SH27=0),1000000,INDEX('計算A'!FH$110:FH$114,$F27+1)+IF(AND($E27=1,SH27=0),1000,0)),1000000))</f>
        <v/>
      </c>
      <c r="ABP27">
        <f>IF($B27=0,1000000,IF(INDEX('計算A'!$D$60:$II$104,$B27,162)*JB27=1,IF(AND($E27=2,SI27=0),1000000,INDEX('計算A'!FI$110:FI$114,$F27+1)+IF(AND($E27=1,SI27=0),1000,0)),1000000))</f>
        <v/>
      </c>
      <c r="ABQ27">
        <f>IF($B27=0,1000000,IF(INDEX('計算A'!$D$60:$II$104,$B27,163)*JC27=1,IF(AND($E27=2,SJ27=0),1000000,INDEX('計算A'!FJ$110:FJ$114,$F27+1)+IF(AND($E27=1,SJ27=0),1000,0)),1000000))</f>
        <v/>
      </c>
      <c r="ABR27">
        <f>IF($B27=0,1000000,IF(INDEX('計算A'!$D$60:$II$104,$B27,164)*JD27=1,IF(AND($E27=2,SK27=0),1000000,INDEX('計算A'!FK$110:FK$114,$F27+1)+IF(AND($E27=1,SK27=0),1000,0)),1000000))</f>
        <v/>
      </c>
      <c r="ABS27">
        <f>IF($B27=0,1000000,IF(INDEX('計算A'!$D$60:$II$104,$B27,165)*JE27=1,IF(AND($E27=2,SL27=0),1000000,INDEX('計算A'!FL$110:FL$114,$F27+1)+IF(AND($E27=1,SL27=0),1000,0)),1000000))</f>
        <v/>
      </c>
      <c r="ABT27">
        <f>IF($B27=0,1000000,IF(INDEX('計算A'!$D$60:$II$104,$B27,166)*JF27=1,IF(AND($E27=2,SM27=0),1000000,INDEX('計算A'!FM$110:FM$114,$F27+1)+IF(AND($E27=1,SM27=0),1000,0)),1000000))</f>
        <v/>
      </c>
      <c r="ABU27">
        <f>IF($B27=0,1000000,IF(INDEX('計算A'!$D$60:$II$104,$B27,167)*JG27=1,IF(AND($E27=2,SN27=0),1000000,INDEX('計算A'!FN$110:FN$114,$F27+1)+IF(AND($E27=1,SN27=0),1000,0)),1000000))</f>
        <v/>
      </c>
      <c r="ABV27">
        <f>IF($B27=0,1000000,IF(INDEX('計算A'!$D$60:$II$104,$B27,168)*JH27=1,IF(AND($E27=2,SO27=0),1000000,INDEX('計算A'!FO$110:FO$114,$F27+1)+IF(AND($E27=1,SO27=0),1000,0)),1000000))</f>
        <v/>
      </c>
      <c r="ABW27">
        <f>IF($B27=0,1000000,IF(INDEX('計算A'!$D$60:$II$104,$B27,169)*JI27=1,IF(AND($E27=2,SP27=0),1000000,INDEX('計算A'!FP$110:FP$114,$F27+1)+IF(AND($E27=1,SP27=0),1000,0)),1000000))</f>
        <v/>
      </c>
      <c r="ABX27">
        <f>IF($B27=0,1000000,IF(INDEX('計算A'!$D$60:$II$104,$B27,170)*JJ27=1,IF(AND($E27=2,SQ27=0),1000000,INDEX('計算A'!FQ$110:FQ$114,$F27+1)+IF(AND($E27=1,SQ27=0),1000,0)),1000000))</f>
        <v/>
      </c>
      <c r="ABY27">
        <f>IF($B27=0,1000000,IF(INDEX('計算A'!$D$60:$II$104,$B27,171)*JK27=1,IF(AND($E27=2,SR27=0),1000000,INDEX('計算A'!FR$110:FR$114,$F27+1)+IF(AND($E27=1,SR27=0),1000,0)),1000000))</f>
        <v/>
      </c>
      <c r="ABZ27">
        <f>IF($B27=0,1000000,IF(INDEX('計算A'!$D$60:$II$104,$B27,172)*JL27=1,IF(AND($E27=2,SS27=0),1000000,INDEX('計算A'!FS$110:FS$114,$F27+1)+IF(AND($E27=1,SS27=0),1000,0)),1000000))</f>
        <v/>
      </c>
      <c r="ACA27">
        <f>IF($B27=0,1000000,IF(INDEX('計算A'!$D$60:$II$104,$B27,173)*JM27=1,IF(AND($E27=2,ST27=0),1000000,INDEX('計算A'!FT$110:FT$114,$F27+1)+IF(AND($E27=1,ST27=0),1000,0)),1000000))</f>
        <v/>
      </c>
      <c r="ACB27">
        <f>IF($B27=0,1000000,IF(INDEX('計算A'!$D$60:$II$104,$B27,174)*JN27=1,IF(AND($E27=2,SU27=0),1000000,INDEX('計算A'!FU$110:FU$114,$F27+1)+IF(AND($E27=1,SU27=0),1000,0)),1000000))</f>
        <v/>
      </c>
      <c r="ACC27">
        <f>IF($B27=0,1000000,IF(INDEX('計算A'!$D$60:$II$104,$B27,175)*JO27=1,IF(AND($E27=2,SV27=0),1000000,INDEX('計算A'!FV$110:FV$114,$F27+1)+IF(AND($E27=1,SV27=0),1000,0)),1000000))</f>
        <v/>
      </c>
      <c r="ACD27">
        <f>IF($B27=0,1000000,IF(INDEX('計算A'!$D$60:$II$104,$B27,176)*JP27=1,IF(AND($E27=2,SW27=0),1000000,INDEX('計算A'!FW$110:FW$114,$F27+1)+IF(AND($E27=1,SW27=0),1000,0)),1000000))</f>
        <v/>
      </c>
      <c r="ACE27">
        <f>IF($B27=0,1000000,IF(INDEX('計算A'!$D$60:$II$104,$B27,177)*JQ27=1,IF(AND($E27=2,SX27=0),1000000,INDEX('計算A'!FX$110:FX$114,$F27+1)+IF(AND($E27=1,SX27=0),1000,0)),1000000))</f>
        <v/>
      </c>
      <c r="ACF27">
        <f>IF($B27=0,1000000,IF(INDEX('計算A'!$D$60:$II$104,$B27,178)*JR27=1,IF(AND($E27=2,SY27=0),1000000,INDEX('計算A'!FY$110:FY$114,$F27+1)+IF(AND($E27=1,SY27=0),1000,0)),1000000))</f>
        <v/>
      </c>
      <c r="ACG27">
        <f>IF($B27=0,1000000,IF(INDEX('計算A'!$D$60:$II$104,$B27,179)*JS27=1,IF(AND($E27=2,SZ27=0),1000000,INDEX('計算A'!FZ$110:FZ$114,$F27+1)+IF(AND($E27=1,SZ27=0),1000,0)),1000000))</f>
        <v/>
      </c>
      <c r="ACH27">
        <f>IF($B27=0,1000000,IF(INDEX('計算A'!$D$60:$II$104,$B27,180)*JT27=1,IF(AND($E27=2,TA27=0),1000000,INDEX('計算A'!GA$110:GA$114,$F27+1)+IF(AND($E27=1,TA27=0),1000,0)),1000000))</f>
        <v/>
      </c>
      <c r="ACI27">
        <f>IF($B27=0,1000000,IF(INDEX('計算A'!$D$60:$II$104,$B27,181)*JU27=1,IF(AND($E27=2,TB27=0),1000000,INDEX('計算A'!GB$110:GB$114,$F27+1)+IF(AND($E27=1,TB27=0),1000,0)),1000000))</f>
        <v/>
      </c>
      <c r="ACJ27">
        <f>IF($B27=0,1000000,IF(INDEX('計算A'!$D$60:$II$104,$B27,182)*JV27=1,IF(AND($E27=2,TC27=0),1000000,INDEX('計算A'!GC$110:GC$114,$F27+1)+IF(AND($E27=1,TC27=0),1000,0)),1000000))</f>
        <v/>
      </c>
      <c r="ACK27">
        <f>IF($B27=0,1000000,IF(INDEX('計算A'!$D$60:$II$104,$B27,183)*JW27=1,IF(AND($E27=2,TD27=0),1000000,INDEX('計算A'!GD$110:GD$114,$F27+1)+IF(AND($E27=1,TD27=0),1000,0)),1000000))</f>
        <v/>
      </c>
      <c r="ACL27">
        <f>IF($B27=0,1000000,IF(INDEX('計算A'!$D$60:$II$104,$B27,184)*JX27=1,IF(AND($E27=2,TE27=0),1000000,INDEX('計算A'!GE$110:GE$114,$F27+1)+IF(AND($E27=1,TE27=0),1000,0)),1000000))</f>
        <v/>
      </c>
      <c r="ACM27">
        <f>IF($B27=0,1000000,IF(INDEX('計算A'!$D$60:$II$104,$B27,185)*JY27=1,IF(AND($E27=2,TF27=0),1000000,INDEX('計算A'!GF$110:GF$114,$F27+1)+IF(AND($E27=1,TF27=0),1000,0)),1000000))</f>
        <v/>
      </c>
      <c r="ACN27">
        <f>IF($B27=0,1000000,IF(INDEX('計算A'!$D$60:$II$104,$B27,186)*JZ27=1,IF(AND($E27=2,TG27=0),1000000,INDEX('計算A'!GG$110:GG$114,$F27+1)+IF(AND($E27=1,TG27=0),1000,0)),1000000))</f>
        <v/>
      </c>
      <c r="ACO27">
        <f>IF($B27=0,1000000,IF(INDEX('計算A'!$D$60:$II$104,$B27,187)*KA27=1,IF(AND($E27=2,TH27=0),1000000,INDEX('計算A'!GH$110:GH$114,$F27+1)+IF(AND($E27=1,TH27=0),1000,0)),1000000))</f>
        <v/>
      </c>
      <c r="ACP27">
        <f>IF($B27=0,1000000,IF(INDEX('計算A'!$D$60:$II$104,$B27,188)*KB27=1,IF(AND($E27=2,TI27=0),1000000,INDEX('計算A'!GI$110:GI$114,$F27+1)+IF(AND($E27=1,TI27=0),1000,0)),1000000))</f>
        <v/>
      </c>
      <c r="ACQ27">
        <f>IF($B27=0,1000000,IF(INDEX('計算A'!$D$60:$II$104,$B27,189)*KC27=1,IF(AND($E27=2,TJ27=0),1000000,INDEX('計算A'!GJ$110:GJ$114,$F27+1)+IF(AND($E27=1,TJ27=0),1000,0)),1000000))</f>
        <v/>
      </c>
      <c r="ACR27">
        <f>IF($B27=0,1000000,IF(INDEX('計算A'!$D$60:$II$104,$B27,190)*KD27=1,IF(AND($E27=2,TK27=0),1000000,INDEX('計算A'!GK$110:GK$114,$F27+1)+IF(AND($E27=1,TK27=0),1000,0)),1000000))</f>
        <v/>
      </c>
      <c r="ACS27">
        <f>IF($B27=0,1000000,IF(INDEX('計算A'!$D$60:$II$104,$B27,191)*KE27=1,IF(AND($E27=2,TL27=0),1000000,INDEX('計算A'!GL$110:GL$114,$F27+1)+IF(AND($E27=1,TL27=0),1000,0)),1000000))</f>
        <v/>
      </c>
      <c r="ACT27">
        <f>IF($B27=0,1000000,IF(INDEX('計算A'!$D$60:$II$104,$B27,192)*KF27=1,IF(AND($E27=2,TM27=0),1000000,INDEX('計算A'!GM$110:GM$114,$F27+1)+IF(AND($E27=1,TM27=0),1000,0)),1000000))</f>
        <v/>
      </c>
      <c r="ACU27">
        <f>IF($B27=0,1000000,IF(INDEX('計算A'!$D$60:$II$104,$B27,193)*KG27=1,IF(AND($E27=2,TN27=0),1000000,INDEX('計算A'!GN$110:GN$114,$F27+1)+IF(AND($E27=1,TN27=0),1000,0)),1000000))</f>
        <v/>
      </c>
      <c r="ACV27">
        <f>IF($B27=0,1000000,IF(INDEX('計算A'!$D$60:$II$104,$B27,194)*KH27=1,IF(AND($E27=2,TO27=0),1000000,INDEX('計算A'!GO$110:GO$114,$F27+1)+IF(AND($E27=1,TO27=0),1000,0)),1000000))</f>
        <v/>
      </c>
      <c r="ACW27">
        <f>IF($B27=0,1000000,IF(INDEX('計算A'!$D$60:$II$104,$B27,195)*KI27=1,IF(AND($E27=2,TP27=0),1000000,INDEX('計算A'!GP$110:GP$114,$F27+1)+IF(AND($E27=1,TP27=0),1000,0)),1000000))</f>
        <v/>
      </c>
      <c r="ACX27">
        <f>IF($B27=0,1000000,IF(INDEX('計算A'!$D$60:$II$104,$B27,196)*KJ27=1,IF(AND($E27=2,TQ27=0),1000000,INDEX('計算A'!GQ$110:GQ$114,$F27+1)+IF(AND($E27=1,TQ27=0),1000,0)),1000000))</f>
        <v/>
      </c>
      <c r="ACY27">
        <f>IF($B27=0,1000000,IF(INDEX('計算A'!$D$60:$II$104,$B27,197)*KK27=1,IF(AND($E27=2,TR27=0),1000000,INDEX('計算A'!GR$110:GR$114,$F27+1)+IF(AND($E27=1,TR27=0),1000,0)),1000000))</f>
        <v/>
      </c>
      <c r="ACZ27">
        <f>IF($B27=0,1000000,IF(INDEX('計算A'!$D$60:$II$104,$B27,198)*KL27=1,IF(AND($E27=2,TS27=0),1000000,INDEX('計算A'!GS$110:GS$114,$F27+1)+IF(AND($E27=1,TS27=0),1000,0)),1000000))</f>
        <v/>
      </c>
      <c r="ADA27">
        <f>IF($B27=0,1000000,IF(INDEX('計算A'!$D$60:$II$104,$B27,199)*KM27=1,IF(AND($E27=2,TT27=0),1000000,INDEX('計算A'!GT$110:GT$114,$F27+1)+IF(AND($E27=1,TT27=0),1000,0)),1000000))</f>
        <v/>
      </c>
      <c r="ADB27">
        <f>IF($B27=0,1000000,IF(INDEX('計算A'!$D$60:$II$104,$B27,200)*KN27=1,IF(AND($E27=2,TU27=0),1000000,INDEX('計算A'!GU$110:GU$114,$F27+1)+IF(AND($E27=1,TU27=0),1000,0)),1000000))</f>
        <v/>
      </c>
      <c r="ADC27">
        <f>IF($B27=0,1000000,IF(INDEX('計算A'!$D$60:$II$104,$B27,201)*KO27=1,IF(AND($E27=2,TV27=0),1000000,INDEX('計算A'!GV$110:GV$114,$F27+1)+IF(AND($E27=1,TV27=0),1000,0)),1000000))</f>
        <v/>
      </c>
      <c r="ADD27">
        <f>IF($B27=0,1000000,IF(INDEX('計算A'!$D$60:$II$104,$B27,202)*KP27=1,IF(AND($E27=2,TW27=0),1000000,INDEX('計算A'!GW$110:GW$114,$F27+1)+IF(AND($E27=1,TW27=0),1000,0)),1000000))</f>
        <v/>
      </c>
      <c r="ADE27">
        <f>IF($B27=0,1000000,IF(INDEX('計算A'!$D$60:$II$104,$B27,203)*KQ27=1,IF(AND($E27=2,TX27=0),1000000,INDEX('計算A'!GX$110:GX$114,$F27+1)+IF(AND($E27=1,TX27=0),1000,0)),1000000))</f>
        <v/>
      </c>
      <c r="ADF27">
        <f>IF($B27=0,1000000,IF(INDEX('計算A'!$D$60:$II$104,$B27,204)*KR27=1,IF(AND($E27=2,TY27=0),1000000,INDEX('計算A'!GY$110:GY$114,$F27+1)+IF(AND($E27=1,TY27=0),1000,0)),1000000))</f>
        <v/>
      </c>
      <c r="ADG27">
        <f>IF($B27=0,1000000,IF(INDEX('計算A'!$D$60:$II$104,$B27,205)*KS27=1,IF(AND($E27=2,TZ27=0),1000000,INDEX('計算A'!GZ$110:GZ$114,$F27+1)+IF(AND($E27=1,TZ27=0),1000,0)),1000000))</f>
        <v/>
      </c>
      <c r="ADH27">
        <f>IF($B27=0,1000000,IF(INDEX('計算A'!$D$60:$II$104,$B27,206)*KT27=1,IF(AND($E27=2,UA27=0),1000000,INDEX('計算A'!HA$110:HA$114,$F27+1)+IF(AND($E27=1,UA27=0),1000,0)),1000000))</f>
        <v/>
      </c>
      <c r="ADI27">
        <f>IF($B27=0,1000000,IF(INDEX('計算A'!$D$60:$II$104,$B27,207)*KU27=1,IF(AND($E27=2,UB27=0),1000000,INDEX('計算A'!HB$110:HB$114,$F27+1)+IF(AND($E27=1,UB27=0),1000,0)),1000000))</f>
        <v/>
      </c>
      <c r="ADJ27">
        <f>IF($B27=0,1000000,IF(INDEX('計算A'!$D$60:$II$104,$B27,208)*KV27=1,IF(AND($E27=2,UC27=0),1000000,INDEX('計算A'!HC$110:HC$114,$F27+1)+IF(AND($E27=1,UC27=0),1000,0)),1000000))</f>
        <v/>
      </c>
      <c r="ADK27">
        <f>IF($B27=0,1000000,IF(INDEX('計算A'!$D$60:$II$104,$B27,209)*KW27=1,IF(AND($E27=2,UD27=0),1000000,INDEX('計算A'!HD$110:HD$114,$F27+1)+IF(AND($E27=1,UD27=0),1000,0)),1000000))</f>
        <v/>
      </c>
      <c r="ADL27">
        <f>IF($B27=0,1000000,IF(INDEX('計算A'!$D$60:$II$104,$B27,210)*KX27=1,IF(AND($E27=2,UE27=0),1000000,INDEX('計算A'!HE$110:HE$114,$F27+1)+IF(AND($E27=1,UE27=0),1000,0)),1000000))</f>
        <v/>
      </c>
      <c r="ADM27">
        <f>IF($B27=0,1000000,IF(INDEX('計算A'!$D$60:$II$104,$B27,211)*KY27=1,IF(AND($E27=2,UF27=0),1000000,INDEX('計算A'!HF$110:HF$114,$F27+1)+IF(AND($E27=1,UF27=0),1000,0)),1000000))</f>
        <v/>
      </c>
      <c r="ADN27">
        <f>IF($B27=0,1000000,IF(INDEX('計算A'!$D$60:$II$104,$B27,212)*KZ27=1,IF(AND($E27=2,UG27=0),1000000,INDEX('計算A'!HG$110:HG$114,$F27+1)+IF(AND($E27=1,UG27=0),1000,0)),1000000))</f>
        <v/>
      </c>
      <c r="ADO27">
        <f>IF($B27=0,1000000,IF(INDEX('計算A'!$D$60:$II$104,$B27,213)*LA27=1,IF(AND($E27=2,UH27=0),1000000,INDEX('計算A'!HH$110:HH$114,$F27+1)+IF(AND($E27=1,UH27=0),1000,0)),1000000))</f>
        <v/>
      </c>
      <c r="ADP27">
        <f>IF($B27=0,1000000,IF(INDEX('計算A'!$D$60:$II$104,$B27,214)*LB27=1,IF(AND($E27=2,UI27=0),1000000,INDEX('計算A'!HI$110:HI$114,$F27+1)+IF(AND($E27=1,UI27=0),1000,0)),1000000))</f>
        <v/>
      </c>
      <c r="ADQ27">
        <f>IF($B27=0,1000000,IF(INDEX('計算A'!$D$60:$II$104,$B27,215)*LC27=1,IF(AND($E27=2,UJ27=0),1000000,INDEX('計算A'!HJ$110:HJ$114,$F27+1)+IF(AND($E27=1,UJ27=0),1000,0)),1000000))</f>
        <v/>
      </c>
      <c r="ADR27">
        <f>IF($B27=0,1000000,IF(INDEX('計算A'!$D$60:$II$104,$B27,216)*LD27=1,IF(AND($E27=2,UK27=0),1000000,INDEX('計算A'!HK$110:HK$114,$F27+1)+IF(AND($E27=1,UK27=0),1000,0)),1000000))</f>
        <v/>
      </c>
      <c r="ADS27">
        <f>IF($B27=0,1000000,IF(INDEX('計算A'!$D$60:$II$104,$B27,217)*LE27=1,IF(AND($E27=2,UL27=0),1000000,INDEX('計算A'!HL$110:HL$114,$F27+1)+IF(AND($E27=1,UL27=0),1000,0)),1000000))</f>
        <v/>
      </c>
      <c r="ADT27">
        <f>IF($B27=0,1000000,IF(INDEX('計算A'!$D$60:$II$104,$B27,218)*LF27=1,IF(AND($E27=2,UM27=0),1000000,INDEX('計算A'!HM$110:HM$114,$F27+1)+IF(AND($E27=1,UM27=0),1000,0)),1000000))</f>
        <v/>
      </c>
      <c r="ADU27">
        <f>IF($B27=0,1000000,IF(INDEX('計算A'!$D$60:$II$104,$B27,219)*LG27=1,IF(AND($E27=2,UN27=0),1000000,INDEX('計算A'!HN$110:HN$114,$F27+1)+IF(AND($E27=1,UN27=0),1000,0)),1000000))</f>
        <v/>
      </c>
      <c r="ADV27">
        <f>IF($B27=0,1000000,IF(INDEX('計算A'!$D$60:$II$104,$B27,220)*LH27=1,IF(AND($E27=2,UO27=0),1000000,INDEX('計算A'!HO$110:HO$114,$F27+1)+IF(AND($E27=1,UO27=0),1000,0)),1000000))</f>
        <v/>
      </c>
      <c r="ADW27">
        <f>IF($B27=0,1000000,IF(INDEX('計算A'!$D$60:$II$104,$B27,221)*LI27=1,IF(AND($E27=2,UP27=0),1000000,INDEX('計算A'!HP$110:HP$114,$F27+1)+IF(AND($E27=1,UP27=0),1000,0)),1000000))</f>
        <v/>
      </c>
      <c r="ADX27">
        <f>IF($B27=0,1000000,IF(INDEX('計算A'!$D$60:$II$104,$B27,222)*LJ27=1,IF(AND($E27=2,UQ27=0),1000000,INDEX('計算A'!HQ$110:HQ$114,$F27+1)+IF(AND($E27=1,UQ27=0),1000,0)),1000000))</f>
        <v/>
      </c>
      <c r="ADY27">
        <f>IF($B27=0,1000000,IF(INDEX('計算A'!$D$60:$II$104,$B27,223)*LK27=1,IF(AND($E27=2,UR27=0),1000000,INDEX('計算A'!HR$110:HR$114,$F27+1)+IF(AND($E27=1,UR27=0),1000,0)),1000000))</f>
        <v/>
      </c>
      <c r="ADZ27">
        <f>IF($B27=0,1000000,IF(INDEX('計算A'!$D$60:$II$104,$B27,224)*LL27=1,IF(AND($E27=2,US27=0),1000000,INDEX('計算A'!HS$110:HS$114,$F27+1)+IF(AND($E27=1,US27=0),1000,0)),1000000))</f>
        <v/>
      </c>
      <c r="AEA27">
        <f>IF($B27=0,1000000,IF(INDEX('計算A'!$D$60:$II$104,$B27,225)*LM27=1,IF(AND($E27=2,UT27=0),1000000,INDEX('計算A'!HT$110:HT$114,$F27+1)+IF(AND($E27=1,UT27=0),1000,0)),1000000))</f>
        <v/>
      </c>
      <c r="AEB27">
        <f>IF($B27=0,1000000,IF(INDEX('計算A'!$D$60:$II$104,$B27,226)*LN27=1,IF(AND($E27=2,UU27=0),1000000,INDEX('計算A'!HU$110:HU$114,$F27+1)+IF(AND($E27=1,UU27=0),1000,0)),1000000))</f>
        <v/>
      </c>
      <c r="AEC27">
        <f>IF($B27=0,1000000,IF(INDEX('計算A'!$D$60:$II$104,$B27,227)*LO27=1,IF(AND($E27=2,UV27=0),1000000,INDEX('計算A'!HV$110:HV$114,$F27+1)+IF(AND($E27=1,UV27=0),1000,0)),1000000))</f>
        <v/>
      </c>
      <c r="AED27">
        <f>IF($B27=0,1000000,IF(INDEX('計算A'!$D$60:$II$104,$B27,228)*LP27=1,IF(AND($E27=2,UW27=0),1000000,INDEX('計算A'!HW$110:HW$114,$F27+1)+IF(AND($E27=1,UW27=0),1000,0)),1000000))</f>
        <v/>
      </c>
      <c r="AEE27">
        <f>IF($B27=0,1000000,IF(INDEX('計算A'!$D$60:$II$104,$B27,229)*LQ27=1,IF(AND($E27=2,UX27=0),1000000,INDEX('計算A'!HX$110:HX$114,$F27+1)+IF(AND($E27=1,UX27=0),1000,0)),1000000))</f>
        <v/>
      </c>
      <c r="AEF27">
        <f>IF($B27=0,1000000,IF(INDEX('計算A'!$D$60:$II$104,$B27,230)*LR27=1,IF(AND($E27=2,UY27=0),1000000,INDEX('計算A'!HY$110:HY$114,$F27+1)+IF(AND($E27=1,UY27=0),1000,0)),1000000))</f>
        <v/>
      </c>
      <c r="AEG27">
        <f>IF($B27=0,1000000,IF(INDEX('計算A'!$D$60:$II$104,$B27,231)*LS27=1,IF(AND($E27=2,UZ27=0),1000000,INDEX('計算A'!HZ$110:HZ$114,$F27+1)+IF(AND($E27=1,UZ27=0),1000,0)),1000000))</f>
        <v/>
      </c>
      <c r="AEH27">
        <f>IF($B27=0,1000000,IF(INDEX('計算A'!$D$60:$II$104,$B27,232)*LT27=1,IF(AND($E27=2,VA27=0),1000000,INDEX('計算A'!IA$110:IA$114,$F27+1)+IF(AND($E27=1,VA27=0),1000,0)),1000000))</f>
        <v/>
      </c>
      <c r="AEI27">
        <f>IF($B27=0,1000000,IF(INDEX('計算A'!$D$60:$II$104,$B27,233)*LU27=1,IF(AND($E27=2,VB27=0),1000000,INDEX('計算A'!IB$110:IB$114,$F27+1)+IF(AND($E27=1,VB27=0),1000,0)),1000000))</f>
        <v/>
      </c>
      <c r="AEJ27">
        <f>IF($B27=0,1000000,IF(INDEX('計算A'!$D$60:$II$104,$B27,234)*LV27=1,IF(AND($E27=2,VC27=0),1000000,INDEX('計算A'!IC$110:IC$114,$F27+1)+IF(AND($E27=1,VC27=0),1000,0)),1000000))</f>
        <v/>
      </c>
      <c r="AEK27">
        <f>IF($B27=0,1000000,IF(INDEX('計算A'!$D$60:$II$104,$B27,235)*LW27=1,IF(AND($E27=2,VD27=0),1000000,INDEX('計算A'!ID$110:ID$114,$F27+1)+IF(AND($E27=1,VD27=0),1000,0)),1000000))</f>
        <v/>
      </c>
      <c r="AEL27">
        <f>IF($B27=0,1000000,IF(INDEX('計算A'!$D$60:$II$104,$B27,236)*LX27=1,IF(AND($E27=2,VE27=0),1000000,INDEX('計算A'!IE$110:IE$114,$F27+1)+IF(AND($E27=1,VE27=0),1000,0)),1000000))</f>
        <v/>
      </c>
      <c r="AEM27">
        <f>IF($B27=0,1000000,IF(INDEX('計算A'!$D$60:$II$104,$B27,237)*LY27=1,IF(AND($E27=2,VF27=0),1000000,INDEX('計算A'!IF$110:IF$114,$F27+1)+IF(AND($E27=1,VF27=0),1000,0)),1000000))</f>
        <v/>
      </c>
      <c r="AEN27">
        <f>IF($B27=0,1000000,IF(INDEX('計算A'!$D$60:$II$104,$B27,238)*LZ27=1,IF(AND($E27=2,VG27=0),1000000,INDEX('計算A'!IG$110:IG$114,$F27+1)+IF(AND($E27=1,VG27=0),1000,0)),1000000))</f>
        <v/>
      </c>
      <c r="AEO27">
        <f>IF($B27=0,1000000,IF(INDEX('計算A'!$D$60:$II$104,$B27,239)*MA27=1,IF(AND($E27=2,VH27=0),1000000,INDEX('計算A'!IH$110:IH$114,$F27+1)+IF(AND($E27=1,VH27=0),1000,0)),1000000))</f>
        <v/>
      </c>
      <c r="AEP27">
        <f>IF($B27=0,1000000,IF(INDEX('計算A'!$D$60:$II$104,$B27,240)*MB27=1,IF(AND($E27=2,VI27=0),1000000,INDEX('計算A'!II$110:II$114,$F27+1)+IF(AND($E27=1,VI27=0),1000,0)),1000000))</f>
        <v/>
      </c>
    </row>
    <row r="28">
      <c r="A28" t="n">
        <v>26</v>
      </c>
      <c r="B28">
        <f>IF(MIN(BC28:CU28)&gt;=1000000,0,MATCH(MIN(BC28:CU28),BC28:CU28,0))</f>
        <v/>
      </c>
      <c r="C28">
        <f>IF(MIN(VK28:AEP28)&gt;=1000000,0,MATCH(MIN(VK28:AEP28),VK28:AEP28,0))</f>
        <v/>
      </c>
      <c r="D28">
        <f>IF(C28&gt;0,INDEX('計算A'!$D$5:$II$5,C28),0)</f>
        <v/>
      </c>
      <c r="E28">
        <f>IF(B28=0,0,INDEX('計算A'!$IQ$10:$IQ$54,B28))</f>
        <v/>
      </c>
      <c r="F28">
        <f>IF(B28=0,0,INDEX('計算A'!$IP$10:$IP$54,B28))</f>
        <v/>
      </c>
      <c r="G28">
        <f>IF(AND(C28&gt;0,E28&gt;0),IF(AND(INDEX('計算A'!$D$106:$II$106,C28)=1,INDEX($MD28:$VI28,C28)=1),C28+1,0),0)</f>
        <v/>
      </c>
      <c r="I28">
        <f>MAX(I27,IF($B27=1,1,0))</f>
        <v/>
      </c>
      <c r="J28">
        <f>MAX(J27,IF($B27=2,1,0))</f>
        <v/>
      </c>
      <c r="K28">
        <f>MAX(K27,IF($B27=3,1,0))</f>
        <v/>
      </c>
      <c r="L28">
        <f>MAX(L27,IF($B27=4,1,0))</f>
        <v/>
      </c>
      <c r="M28">
        <f>MAX(M27,IF($B27=5,1,0))</f>
        <v/>
      </c>
      <c r="N28">
        <f>MAX(N27,IF($B27=6,1,0))</f>
        <v/>
      </c>
      <c r="O28">
        <f>MAX(O27,IF($B27=7,1,0))</f>
        <v/>
      </c>
      <c r="P28">
        <f>MAX(P27,IF($B27=8,1,0))</f>
        <v/>
      </c>
      <c r="Q28">
        <f>MAX(Q27,IF($B27=9,1,0))</f>
        <v/>
      </c>
      <c r="R28">
        <f>MAX(R27,IF($B27=10,1,0))</f>
        <v/>
      </c>
      <c r="S28">
        <f>MAX(S27,IF($B27=11,1,0))</f>
        <v/>
      </c>
      <c r="T28">
        <f>MAX(T27,IF($B27=12,1,0))</f>
        <v/>
      </c>
      <c r="U28">
        <f>MAX(U27,IF($B27=13,1,0))</f>
        <v/>
      </c>
      <c r="V28">
        <f>MAX(V27,IF($B27=14,1,0))</f>
        <v/>
      </c>
      <c r="W28">
        <f>MAX(W27,IF($B27=15,1,0))</f>
        <v/>
      </c>
      <c r="X28">
        <f>MAX(X27,IF($B27=16,1,0))</f>
        <v/>
      </c>
      <c r="Y28">
        <f>MAX(Y27,IF($B27=17,1,0))</f>
        <v/>
      </c>
      <c r="Z28">
        <f>MAX(Z27,IF($B27=18,1,0))</f>
        <v/>
      </c>
      <c r="AA28">
        <f>MAX(AA27,IF($B27=19,1,0))</f>
        <v/>
      </c>
      <c r="AB28">
        <f>MAX(AB27,IF($B27=20,1,0))</f>
        <v/>
      </c>
      <c r="AC28">
        <f>MAX(AC27,IF($B27=21,1,0))</f>
        <v/>
      </c>
      <c r="AD28">
        <f>MAX(AD27,IF($B27=22,1,0))</f>
        <v/>
      </c>
      <c r="AE28">
        <f>MAX(AE27,IF($B27=23,1,0))</f>
        <v/>
      </c>
      <c r="AF28">
        <f>MAX(AF27,IF($B27=24,1,0))</f>
        <v/>
      </c>
      <c r="AG28">
        <f>MAX(AG27,IF($B27=25,1,0))</f>
        <v/>
      </c>
      <c r="AH28">
        <f>MAX(AH27,IF($B27=26,1,0))</f>
        <v/>
      </c>
      <c r="AI28">
        <f>MAX(AI27,IF($B27=27,1,0))</f>
        <v/>
      </c>
      <c r="AJ28">
        <f>MAX(AJ27,IF($B27=28,1,0))</f>
        <v/>
      </c>
      <c r="AK28">
        <f>MAX(AK27,IF($B27=29,1,0))</f>
        <v/>
      </c>
      <c r="AL28">
        <f>MAX(AL27,IF($B27=30,1,0))</f>
        <v/>
      </c>
      <c r="AM28">
        <f>MAX(AM27,IF($B27=31,1,0))</f>
        <v/>
      </c>
      <c r="AN28">
        <f>MAX(AN27,IF($B27=32,1,0))</f>
        <v/>
      </c>
      <c r="AO28">
        <f>MAX(AO27,IF($B27=33,1,0))</f>
        <v/>
      </c>
      <c r="AP28">
        <f>MAX(AP27,IF($B27=34,1,0))</f>
        <v/>
      </c>
      <c r="AQ28">
        <f>MAX(AQ27,IF($B27=35,1,0))</f>
        <v/>
      </c>
      <c r="AR28">
        <f>MAX(AR27,IF($B27=36,1,0))</f>
        <v/>
      </c>
      <c r="AS28">
        <f>MAX(AS27,IF($B27=37,1,0))</f>
        <v/>
      </c>
      <c r="AT28">
        <f>MAX(AT27,IF($B27=38,1,0))</f>
        <v/>
      </c>
      <c r="AU28">
        <f>MAX(AU27,IF($B27=39,1,0))</f>
        <v/>
      </c>
      <c r="AV28">
        <f>MAX(AV27,IF($B27=40,1,0))</f>
        <v/>
      </c>
      <c r="AW28">
        <f>MAX(AW27,IF($B27=41,1,0))</f>
        <v/>
      </c>
      <c r="AX28">
        <f>MAX(AX27,IF($B27=42,1,0))</f>
        <v/>
      </c>
      <c r="AY28">
        <f>MAX(AY27,IF($B27=43,1,0))</f>
        <v/>
      </c>
      <c r="AZ28">
        <f>MAX(AZ27,IF($B27=44,1,0))</f>
        <v/>
      </c>
      <c r="BA28">
        <f>MAX(BA27,IF($B27=45,1,0))</f>
        <v/>
      </c>
      <c r="BC28">
        <f>IF(I28=1,1000000,IF('計算A'!$IQ$10=2,SUMPRODUCT('計算A'!$D$60:$II$60,$CW28:$MB28,$MD28:$VI28),SUMPRODUCT('計算A'!$D$60:$II$60,$CW28:$MB28))*1000+1)</f>
        <v/>
      </c>
      <c r="BD28">
        <f>IF(J28=1,1000000,IF('計算A'!$IQ$11=2,SUMPRODUCT('計算A'!$D$61:$II$61,$CW28:$MB28,$MD28:$VI28),SUMPRODUCT('計算A'!$D$61:$II$61,$CW28:$MB28))*1000+2)</f>
        <v/>
      </c>
      <c r="BE28">
        <f>IF(K28=1,1000000,IF('計算A'!$IQ$12=2,SUMPRODUCT('計算A'!$D$62:$II$62,$CW28:$MB28,$MD28:$VI28),SUMPRODUCT('計算A'!$D$62:$II$62,$CW28:$MB28))*1000+3)</f>
        <v/>
      </c>
      <c r="BF28">
        <f>IF(L28=1,1000000,IF('計算A'!$IQ$13=2,SUMPRODUCT('計算A'!$D$63:$II$63,$CW28:$MB28,$MD28:$VI28),SUMPRODUCT('計算A'!$D$63:$II$63,$CW28:$MB28))*1000+4)</f>
        <v/>
      </c>
      <c r="BG28">
        <f>IF(M28=1,1000000,IF('計算A'!$IQ$14=2,SUMPRODUCT('計算A'!$D$64:$II$64,$CW28:$MB28,$MD28:$VI28),SUMPRODUCT('計算A'!$D$64:$II$64,$CW28:$MB28))*1000+5)</f>
        <v/>
      </c>
      <c r="BH28">
        <f>IF(N28=1,1000000,IF('計算A'!$IQ$15=2,SUMPRODUCT('計算A'!$D$65:$II$65,$CW28:$MB28,$MD28:$VI28),SUMPRODUCT('計算A'!$D$65:$II$65,$CW28:$MB28))*1000+6)</f>
        <v/>
      </c>
      <c r="BI28">
        <f>IF(O28=1,1000000,IF('計算A'!$IQ$16=2,SUMPRODUCT('計算A'!$D$66:$II$66,$CW28:$MB28,$MD28:$VI28),SUMPRODUCT('計算A'!$D$66:$II$66,$CW28:$MB28))*1000+7)</f>
        <v/>
      </c>
      <c r="BJ28">
        <f>IF(P28=1,1000000,IF('計算A'!$IQ$17=2,SUMPRODUCT('計算A'!$D$67:$II$67,$CW28:$MB28,$MD28:$VI28),SUMPRODUCT('計算A'!$D$67:$II$67,$CW28:$MB28))*1000+8)</f>
        <v/>
      </c>
      <c r="BK28">
        <f>IF(Q28=1,1000000,IF('計算A'!$IQ$18=2,SUMPRODUCT('計算A'!$D$68:$II$68,$CW28:$MB28,$MD28:$VI28),SUMPRODUCT('計算A'!$D$68:$II$68,$CW28:$MB28))*1000+9)</f>
        <v/>
      </c>
      <c r="BL28">
        <f>IF(R28=1,1000000,IF('計算A'!$IQ$19=2,SUMPRODUCT('計算A'!$D$69:$II$69,$CW28:$MB28,$MD28:$VI28),SUMPRODUCT('計算A'!$D$69:$II$69,$CW28:$MB28))*1000+10)</f>
        <v/>
      </c>
      <c r="BM28">
        <f>IF(S28=1,1000000,IF('計算A'!$IQ$20=2,SUMPRODUCT('計算A'!$D$70:$II$70,$CW28:$MB28,$MD28:$VI28),SUMPRODUCT('計算A'!$D$70:$II$70,$CW28:$MB28))*1000+11)</f>
        <v/>
      </c>
      <c r="BN28">
        <f>IF(T28=1,1000000,IF('計算A'!$IQ$21=2,SUMPRODUCT('計算A'!$D$71:$II$71,$CW28:$MB28,$MD28:$VI28),SUMPRODUCT('計算A'!$D$71:$II$71,$CW28:$MB28))*1000+12)</f>
        <v/>
      </c>
      <c r="BO28">
        <f>IF(U28=1,1000000,IF('計算A'!$IQ$22=2,SUMPRODUCT('計算A'!$D$72:$II$72,$CW28:$MB28,$MD28:$VI28),SUMPRODUCT('計算A'!$D$72:$II$72,$CW28:$MB28))*1000+13)</f>
        <v/>
      </c>
      <c r="BP28">
        <f>IF(V28=1,1000000,IF('計算A'!$IQ$23=2,SUMPRODUCT('計算A'!$D$73:$II$73,$CW28:$MB28,$MD28:$VI28),SUMPRODUCT('計算A'!$D$73:$II$73,$CW28:$MB28))*1000+14)</f>
        <v/>
      </c>
      <c r="BQ28">
        <f>IF(W28=1,1000000,IF('計算A'!$IQ$24=2,SUMPRODUCT('計算A'!$D$74:$II$74,$CW28:$MB28,$MD28:$VI28),SUMPRODUCT('計算A'!$D$74:$II$74,$CW28:$MB28))*1000+15)</f>
        <v/>
      </c>
      <c r="BR28">
        <f>IF(X28=1,1000000,IF('計算A'!$IQ$25=2,SUMPRODUCT('計算A'!$D$75:$II$75,$CW28:$MB28,$MD28:$VI28),SUMPRODUCT('計算A'!$D$75:$II$75,$CW28:$MB28))*1000+16)</f>
        <v/>
      </c>
      <c r="BS28">
        <f>IF(Y28=1,1000000,IF('計算A'!$IQ$26=2,SUMPRODUCT('計算A'!$D$76:$II$76,$CW28:$MB28,$MD28:$VI28),SUMPRODUCT('計算A'!$D$76:$II$76,$CW28:$MB28))*1000+17)</f>
        <v/>
      </c>
      <c r="BT28">
        <f>IF(Z28=1,1000000,IF('計算A'!$IQ$27=2,SUMPRODUCT('計算A'!$D$77:$II$77,$CW28:$MB28,$MD28:$VI28),SUMPRODUCT('計算A'!$D$77:$II$77,$CW28:$MB28))*1000+18)</f>
        <v/>
      </c>
      <c r="BU28">
        <f>IF(AA28=1,1000000,IF('計算A'!$IQ$28=2,SUMPRODUCT('計算A'!$D$78:$II$78,$CW28:$MB28,$MD28:$VI28),SUMPRODUCT('計算A'!$D$78:$II$78,$CW28:$MB28))*1000+19)</f>
        <v/>
      </c>
      <c r="BV28">
        <f>IF(AB28=1,1000000,IF('計算A'!$IQ$29=2,SUMPRODUCT('計算A'!$D$79:$II$79,$CW28:$MB28,$MD28:$VI28),SUMPRODUCT('計算A'!$D$79:$II$79,$CW28:$MB28))*1000+20)</f>
        <v/>
      </c>
      <c r="BW28">
        <f>IF(AC28=1,1000000,IF('計算A'!$IQ$30=2,SUMPRODUCT('計算A'!$D$80:$II$80,$CW28:$MB28,$MD28:$VI28),SUMPRODUCT('計算A'!$D$80:$II$80,$CW28:$MB28))*1000+21)</f>
        <v/>
      </c>
      <c r="BX28">
        <f>IF(AD28=1,1000000,IF('計算A'!$IQ$31=2,SUMPRODUCT('計算A'!$D$81:$II$81,$CW28:$MB28,$MD28:$VI28),SUMPRODUCT('計算A'!$D$81:$II$81,$CW28:$MB28))*1000+22)</f>
        <v/>
      </c>
      <c r="BY28">
        <f>IF(AE28=1,1000000,IF('計算A'!$IQ$32=2,SUMPRODUCT('計算A'!$D$82:$II$82,$CW28:$MB28,$MD28:$VI28),SUMPRODUCT('計算A'!$D$82:$II$82,$CW28:$MB28))*1000+23)</f>
        <v/>
      </c>
      <c r="BZ28">
        <f>IF(AF28=1,1000000,IF('計算A'!$IQ$33=2,SUMPRODUCT('計算A'!$D$83:$II$83,$CW28:$MB28,$MD28:$VI28),SUMPRODUCT('計算A'!$D$83:$II$83,$CW28:$MB28))*1000+24)</f>
        <v/>
      </c>
      <c r="CA28">
        <f>IF(AG28=1,1000000,IF('計算A'!$IQ$34=2,SUMPRODUCT('計算A'!$D$84:$II$84,$CW28:$MB28,$MD28:$VI28),SUMPRODUCT('計算A'!$D$84:$II$84,$CW28:$MB28))*1000+25)</f>
        <v/>
      </c>
      <c r="CB28">
        <f>IF(AH28=1,1000000,IF('計算A'!$IQ$35=2,SUMPRODUCT('計算A'!$D$85:$II$85,$CW28:$MB28,$MD28:$VI28),SUMPRODUCT('計算A'!$D$85:$II$85,$CW28:$MB28))*1000+26)</f>
        <v/>
      </c>
      <c r="CC28">
        <f>IF(AI28=1,1000000,IF('計算A'!$IQ$36=2,SUMPRODUCT('計算A'!$D$86:$II$86,$CW28:$MB28,$MD28:$VI28),SUMPRODUCT('計算A'!$D$86:$II$86,$CW28:$MB28))*1000+27)</f>
        <v/>
      </c>
      <c r="CD28">
        <f>IF(AJ28=1,1000000,IF('計算A'!$IQ$37=2,SUMPRODUCT('計算A'!$D$87:$II$87,$CW28:$MB28,$MD28:$VI28),SUMPRODUCT('計算A'!$D$87:$II$87,$CW28:$MB28))*1000+28)</f>
        <v/>
      </c>
      <c r="CE28">
        <f>IF(AK28=1,1000000,IF('計算A'!$IQ$38=2,SUMPRODUCT('計算A'!$D$88:$II$88,$CW28:$MB28,$MD28:$VI28),SUMPRODUCT('計算A'!$D$88:$II$88,$CW28:$MB28))*1000+29)</f>
        <v/>
      </c>
      <c r="CF28">
        <f>IF(AL28=1,1000000,IF('計算A'!$IQ$39=2,SUMPRODUCT('計算A'!$D$89:$II$89,$CW28:$MB28,$MD28:$VI28),SUMPRODUCT('計算A'!$D$89:$II$89,$CW28:$MB28))*1000+30)</f>
        <v/>
      </c>
      <c r="CG28">
        <f>IF(AM28=1,1000000,IF('計算A'!$IQ$40=2,SUMPRODUCT('計算A'!$D$90:$II$90,$CW28:$MB28,$MD28:$VI28),SUMPRODUCT('計算A'!$D$90:$II$90,$CW28:$MB28))*1000+31)</f>
        <v/>
      </c>
      <c r="CH28">
        <f>IF(AN28=1,1000000,IF('計算A'!$IQ$41=2,SUMPRODUCT('計算A'!$D$91:$II$91,$CW28:$MB28,$MD28:$VI28),SUMPRODUCT('計算A'!$D$91:$II$91,$CW28:$MB28))*1000+32)</f>
        <v/>
      </c>
      <c r="CI28">
        <f>IF(AO28=1,1000000,IF('計算A'!$IQ$42=2,SUMPRODUCT('計算A'!$D$92:$II$92,$CW28:$MB28,$MD28:$VI28),SUMPRODUCT('計算A'!$D$92:$II$92,$CW28:$MB28))*1000+33)</f>
        <v/>
      </c>
      <c r="CJ28">
        <f>IF(AP28=1,1000000,IF('計算A'!$IQ$43=2,SUMPRODUCT('計算A'!$D$93:$II$93,$CW28:$MB28,$MD28:$VI28),SUMPRODUCT('計算A'!$D$93:$II$93,$CW28:$MB28))*1000+34)</f>
        <v/>
      </c>
      <c r="CK28">
        <f>IF(AQ28=1,1000000,IF('計算A'!$IQ$44=2,SUMPRODUCT('計算A'!$D$94:$II$94,$CW28:$MB28,$MD28:$VI28),SUMPRODUCT('計算A'!$D$94:$II$94,$CW28:$MB28))*1000+35)</f>
        <v/>
      </c>
      <c r="CL28">
        <f>IF(AR28=1,1000000,IF('計算A'!$IQ$45=2,SUMPRODUCT('計算A'!$D$95:$II$95,$CW28:$MB28,$MD28:$VI28),SUMPRODUCT('計算A'!$D$95:$II$95,$CW28:$MB28))*1000+36)</f>
        <v/>
      </c>
      <c r="CM28">
        <f>IF(AS28=1,1000000,IF('計算A'!$IQ$46=2,SUMPRODUCT('計算A'!$D$96:$II$96,$CW28:$MB28,$MD28:$VI28),SUMPRODUCT('計算A'!$D$96:$II$96,$CW28:$MB28))*1000+37)</f>
        <v/>
      </c>
      <c r="CN28">
        <f>IF(AT28=1,1000000,IF('計算A'!$IQ$47=2,SUMPRODUCT('計算A'!$D$97:$II$97,$CW28:$MB28,$MD28:$VI28),SUMPRODUCT('計算A'!$D$97:$II$97,$CW28:$MB28))*1000+38)</f>
        <v/>
      </c>
      <c r="CO28">
        <f>IF(AU28=1,1000000,IF('計算A'!$IQ$48=2,SUMPRODUCT('計算A'!$D$98:$II$98,$CW28:$MB28,$MD28:$VI28),SUMPRODUCT('計算A'!$D$98:$II$98,$CW28:$MB28))*1000+39)</f>
        <v/>
      </c>
      <c r="CP28">
        <f>IF(AV28=1,1000000,IF('計算A'!$IQ$49=2,SUMPRODUCT('計算A'!$D$99:$II$99,$CW28:$MB28,$MD28:$VI28),SUMPRODUCT('計算A'!$D$99:$II$99,$CW28:$MB28))*1000+40)</f>
        <v/>
      </c>
      <c r="CQ28">
        <f>IF(AW28=1,1000000,IF('計算A'!$IQ$50=2,SUMPRODUCT('計算A'!$D$100:$II$100,$CW28:$MB28,$MD28:$VI28),SUMPRODUCT('計算A'!$D$100:$II$100,$CW28:$MB28))*1000+41)</f>
        <v/>
      </c>
      <c r="CR28">
        <f>IF(AX28=1,1000000,IF('計算A'!$IQ$51=2,SUMPRODUCT('計算A'!$D$101:$II$101,$CW28:$MB28,$MD28:$VI28),SUMPRODUCT('計算A'!$D$101:$II$101,$CW28:$MB28))*1000+42)</f>
        <v/>
      </c>
      <c r="CS28">
        <f>IF(AY28=1,1000000,IF('計算A'!$IQ$52=2,SUMPRODUCT('計算A'!$D$102:$II$102,$CW28:$MB28,$MD28:$VI28),SUMPRODUCT('計算A'!$D$102:$II$102,$CW28:$MB28))*1000+43)</f>
        <v/>
      </c>
      <c r="CT28">
        <f>IF(AZ28=1,1000000,IF('計算A'!$IQ$53=2,SUMPRODUCT('計算A'!$D$103:$II$103,$CW28:$MB28,$MD28:$VI28),SUMPRODUCT('計算A'!$D$103:$II$103,$CW28:$MB28))*1000+44)</f>
        <v/>
      </c>
      <c r="CU28">
        <f>IF(BA28=1,1000000,IF('計算A'!$IQ$54=2,SUMPRODUCT('計算A'!$D$104:$II$104,$CW28:$MB28,$MD28:$VI28),SUMPRODUCT('計算A'!$D$104:$II$104,$CW28:$MB28))*1000+45)</f>
        <v/>
      </c>
      <c r="CW28">
        <f>CW27*IF(OR($C27=1,$G27=1),0,1)</f>
        <v/>
      </c>
      <c r="CX28">
        <f>CX27*IF(OR($C27=2,$G27=2),0,1)</f>
        <v/>
      </c>
      <c r="CY28">
        <f>CY27*IF(OR($C27=3,$G27=3),0,1)</f>
        <v/>
      </c>
      <c r="CZ28">
        <f>CZ27*IF(OR($C27=4,$G27=4),0,1)</f>
        <v/>
      </c>
      <c r="DA28">
        <f>DA27*IF(OR($C27=5,$G27=5),0,1)</f>
        <v/>
      </c>
      <c r="DB28">
        <f>DB27*IF(OR($C27=6,$G27=6),0,1)</f>
        <v/>
      </c>
      <c r="DC28">
        <f>DC27*IF(OR($C27=7,$G27=7),0,1)</f>
        <v/>
      </c>
      <c r="DD28">
        <f>DD27*IF(OR($C27=8,$G27=8),0,1)</f>
        <v/>
      </c>
      <c r="DE28">
        <f>DE27*IF(OR($C27=9,$G27=9),0,1)</f>
        <v/>
      </c>
      <c r="DF28">
        <f>DF27*IF(OR($C27=10,$G27=10),0,1)</f>
        <v/>
      </c>
      <c r="DG28">
        <f>DG27*IF(OR($C27=11,$G27=11),0,1)</f>
        <v/>
      </c>
      <c r="DH28">
        <f>DH27*IF(OR($C27=12,$G27=12),0,1)</f>
        <v/>
      </c>
      <c r="DI28">
        <f>DI27*IF(OR($C27=13,$G27=13),0,1)</f>
        <v/>
      </c>
      <c r="DJ28">
        <f>DJ27*IF(OR($C27=14,$G27=14),0,1)</f>
        <v/>
      </c>
      <c r="DK28">
        <f>DK27*IF(OR($C27=15,$G27=15),0,1)</f>
        <v/>
      </c>
      <c r="DL28">
        <f>DL27*IF(OR($C27=16,$G27=16),0,1)</f>
        <v/>
      </c>
      <c r="DM28">
        <f>DM27*IF(OR($C27=17,$G27=17),0,1)</f>
        <v/>
      </c>
      <c r="DN28">
        <f>DN27*IF(OR($C27=18,$G27=18),0,1)</f>
        <v/>
      </c>
      <c r="DO28">
        <f>DO27*IF(OR($C27=19,$G27=19),0,1)</f>
        <v/>
      </c>
      <c r="DP28">
        <f>DP27*IF(OR($C27=20,$G27=20),0,1)</f>
        <v/>
      </c>
      <c r="DQ28">
        <f>DQ27*IF(OR($C27=21,$G27=21),0,1)</f>
        <v/>
      </c>
      <c r="DR28">
        <f>DR27*IF(OR($C27=22,$G27=22),0,1)</f>
        <v/>
      </c>
      <c r="DS28">
        <f>DS27*IF(OR($C27=23,$G27=23),0,1)</f>
        <v/>
      </c>
      <c r="DT28">
        <f>DT27*IF(OR($C27=24,$G27=24),0,1)</f>
        <v/>
      </c>
      <c r="DU28">
        <f>DU27*IF(OR($C27=25,$G27=25),0,1)</f>
        <v/>
      </c>
      <c r="DV28">
        <f>DV27*IF(OR($C27=26,$G27=26),0,1)</f>
        <v/>
      </c>
      <c r="DW28">
        <f>DW27*IF(OR($C27=27,$G27=27),0,1)</f>
        <v/>
      </c>
      <c r="DX28">
        <f>DX27*IF(OR($C27=28,$G27=28),0,1)</f>
        <v/>
      </c>
      <c r="DY28">
        <f>DY27*IF(OR($C27=29,$G27=29),0,1)</f>
        <v/>
      </c>
      <c r="DZ28">
        <f>DZ27*IF(OR($C27=30,$G27=30),0,1)</f>
        <v/>
      </c>
      <c r="EA28">
        <f>EA27*IF(OR($C27=31,$G27=31),0,1)</f>
        <v/>
      </c>
      <c r="EB28">
        <f>EB27*IF(OR($C27=32,$G27=32),0,1)</f>
        <v/>
      </c>
      <c r="EC28">
        <f>EC27*IF(OR($C27=33,$G27=33),0,1)</f>
        <v/>
      </c>
      <c r="ED28">
        <f>ED27*IF(OR($C27=34,$G27=34),0,1)</f>
        <v/>
      </c>
      <c r="EE28">
        <f>EE27*IF(OR($C27=35,$G27=35),0,1)</f>
        <v/>
      </c>
      <c r="EF28">
        <f>EF27*IF(OR($C27=36,$G27=36),0,1)</f>
        <v/>
      </c>
      <c r="EG28">
        <f>EG27*IF(OR($C27=37,$G27=37),0,1)</f>
        <v/>
      </c>
      <c r="EH28">
        <f>EH27*IF(OR($C27=38,$G27=38),0,1)</f>
        <v/>
      </c>
      <c r="EI28">
        <f>EI27*IF(OR($C27=39,$G27=39),0,1)</f>
        <v/>
      </c>
      <c r="EJ28">
        <f>EJ27*IF(OR($C27=40,$G27=40),0,1)</f>
        <v/>
      </c>
      <c r="EK28">
        <f>EK27*IF(OR($C27=41,$G27=41),0,1)</f>
        <v/>
      </c>
      <c r="EL28">
        <f>EL27*IF(OR($C27=42,$G27=42),0,1)</f>
        <v/>
      </c>
      <c r="EM28">
        <f>EM27*IF(OR($C27=43,$G27=43),0,1)</f>
        <v/>
      </c>
      <c r="EN28">
        <f>EN27*IF(OR($C27=44,$G27=44),0,1)</f>
        <v/>
      </c>
      <c r="EO28">
        <f>EO27*IF(OR($C27=45,$G27=45),0,1)</f>
        <v/>
      </c>
      <c r="EP28">
        <f>EP27*IF(OR($C27=46,$G27=46),0,1)</f>
        <v/>
      </c>
      <c r="EQ28">
        <f>EQ27*IF(OR($C27=47,$G27=47),0,1)</f>
        <v/>
      </c>
      <c r="ER28">
        <f>ER27*IF(OR($C27=48,$G27=48),0,1)</f>
        <v/>
      </c>
      <c r="ES28">
        <f>ES27*IF(OR($C27=49,$G27=49),0,1)</f>
        <v/>
      </c>
      <c r="ET28">
        <f>ET27*IF(OR($C27=50,$G27=50),0,1)</f>
        <v/>
      </c>
      <c r="EU28">
        <f>EU27*IF(OR($C27=51,$G27=51),0,1)</f>
        <v/>
      </c>
      <c r="EV28">
        <f>EV27*IF(OR($C27=52,$G27=52),0,1)</f>
        <v/>
      </c>
      <c r="EW28">
        <f>EW27*IF(OR($C27=53,$G27=53),0,1)</f>
        <v/>
      </c>
      <c r="EX28">
        <f>EX27*IF(OR($C27=54,$G27=54),0,1)</f>
        <v/>
      </c>
      <c r="EY28">
        <f>EY27*IF(OR($C27=55,$G27=55),0,1)</f>
        <v/>
      </c>
      <c r="EZ28">
        <f>EZ27*IF(OR($C27=56,$G27=56),0,1)</f>
        <v/>
      </c>
      <c r="FA28">
        <f>FA27*IF(OR($C27=57,$G27=57),0,1)</f>
        <v/>
      </c>
      <c r="FB28">
        <f>FB27*IF(OR($C27=58,$G27=58),0,1)</f>
        <v/>
      </c>
      <c r="FC28">
        <f>FC27*IF(OR($C27=59,$G27=59),0,1)</f>
        <v/>
      </c>
      <c r="FD28">
        <f>FD27*IF(OR($C27=60,$G27=60),0,1)</f>
        <v/>
      </c>
      <c r="FE28">
        <f>FE27*IF(OR($C27=61,$G27=61),0,1)</f>
        <v/>
      </c>
      <c r="FF28">
        <f>FF27*IF(OR($C27=62,$G27=62),0,1)</f>
        <v/>
      </c>
      <c r="FG28">
        <f>FG27*IF(OR($C27=63,$G27=63),0,1)</f>
        <v/>
      </c>
      <c r="FH28">
        <f>FH27*IF(OR($C27=64,$G27=64),0,1)</f>
        <v/>
      </c>
      <c r="FI28">
        <f>FI27*IF(OR($C27=65,$G27=65),0,1)</f>
        <v/>
      </c>
      <c r="FJ28">
        <f>FJ27*IF(OR($C27=66,$G27=66),0,1)</f>
        <v/>
      </c>
      <c r="FK28">
        <f>FK27*IF(OR($C27=67,$G27=67),0,1)</f>
        <v/>
      </c>
      <c r="FL28">
        <f>FL27*IF(OR($C27=68,$G27=68),0,1)</f>
        <v/>
      </c>
      <c r="FM28">
        <f>FM27*IF(OR($C27=69,$G27=69),0,1)</f>
        <v/>
      </c>
      <c r="FN28">
        <f>FN27*IF(OR($C27=70,$G27=70),0,1)</f>
        <v/>
      </c>
      <c r="FO28">
        <f>FO27*IF(OR($C27=71,$G27=71),0,1)</f>
        <v/>
      </c>
      <c r="FP28">
        <f>FP27*IF(OR($C27=72,$G27=72),0,1)</f>
        <v/>
      </c>
      <c r="FQ28">
        <f>FQ27*IF(OR($C27=73,$G27=73),0,1)</f>
        <v/>
      </c>
      <c r="FR28">
        <f>FR27*IF(OR($C27=74,$G27=74),0,1)</f>
        <v/>
      </c>
      <c r="FS28">
        <f>FS27*IF(OR($C27=75,$G27=75),0,1)</f>
        <v/>
      </c>
      <c r="FT28">
        <f>FT27*IF(OR($C27=76,$G27=76),0,1)</f>
        <v/>
      </c>
      <c r="FU28">
        <f>FU27*IF(OR($C27=77,$G27=77),0,1)</f>
        <v/>
      </c>
      <c r="FV28">
        <f>FV27*IF(OR($C27=78,$G27=78),0,1)</f>
        <v/>
      </c>
      <c r="FW28">
        <f>FW27*IF(OR($C27=79,$G27=79),0,1)</f>
        <v/>
      </c>
      <c r="FX28">
        <f>FX27*IF(OR($C27=80,$G27=80),0,1)</f>
        <v/>
      </c>
      <c r="FY28">
        <f>FY27*IF(OR($C27=81,$G27=81),0,1)</f>
        <v/>
      </c>
      <c r="FZ28">
        <f>FZ27*IF(OR($C27=82,$G27=82),0,1)</f>
        <v/>
      </c>
      <c r="GA28">
        <f>GA27*IF(OR($C27=83,$G27=83),0,1)</f>
        <v/>
      </c>
      <c r="GB28">
        <f>GB27*IF(OR($C27=84,$G27=84),0,1)</f>
        <v/>
      </c>
      <c r="GC28">
        <f>GC27*IF(OR($C27=85,$G27=85),0,1)</f>
        <v/>
      </c>
      <c r="GD28">
        <f>GD27*IF(OR($C27=86,$G27=86),0,1)</f>
        <v/>
      </c>
      <c r="GE28">
        <f>GE27*IF(OR($C27=87,$G27=87),0,1)</f>
        <v/>
      </c>
      <c r="GF28">
        <f>GF27*IF(OR($C27=88,$G27=88),0,1)</f>
        <v/>
      </c>
      <c r="GG28">
        <f>GG27*IF(OR($C27=89,$G27=89),0,1)</f>
        <v/>
      </c>
      <c r="GH28">
        <f>GH27*IF(OR($C27=90,$G27=90),0,1)</f>
        <v/>
      </c>
      <c r="GI28">
        <f>GI27*IF(OR($C27=91,$G27=91),0,1)</f>
        <v/>
      </c>
      <c r="GJ28">
        <f>GJ27*IF(OR($C27=92,$G27=92),0,1)</f>
        <v/>
      </c>
      <c r="GK28">
        <f>GK27*IF(OR($C27=93,$G27=93),0,1)</f>
        <v/>
      </c>
      <c r="GL28">
        <f>GL27*IF(OR($C27=94,$G27=94),0,1)</f>
        <v/>
      </c>
      <c r="GM28">
        <f>GM27*IF(OR($C27=95,$G27=95),0,1)</f>
        <v/>
      </c>
      <c r="GN28">
        <f>GN27*IF(OR($C27=96,$G27=96),0,1)</f>
        <v/>
      </c>
      <c r="GO28">
        <f>GO27*IF(OR($C27=97,$G27=97),0,1)</f>
        <v/>
      </c>
      <c r="GP28">
        <f>GP27*IF(OR($C27=98,$G27=98),0,1)</f>
        <v/>
      </c>
      <c r="GQ28">
        <f>GQ27*IF(OR($C27=99,$G27=99),0,1)</f>
        <v/>
      </c>
      <c r="GR28">
        <f>GR27*IF(OR($C27=100,$G27=100),0,1)</f>
        <v/>
      </c>
      <c r="GS28">
        <f>GS27*IF(OR($C27=101,$G27=101),0,1)</f>
        <v/>
      </c>
      <c r="GT28">
        <f>GT27*IF(OR($C27=102,$G27=102),0,1)</f>
        <v/>
      </c>
      <c r="GU28">
        <f>GU27*IF(OR($C27=103,$G27=103),0,1)</f>
        <v/>
      </c>
      <c r="GV28">
        <f>GV27*IF(OR($C27=104,$G27=104),0,1)</f>
        <v/>
      </c>
      <c r="GW28">
        <f>GW27*IF(OR($C27=105,$G27=105),0,1)</f>
        <v/>
      </c>
      <c r="GX28">
        <f>GX27*IF(OR($C27=106,$G27=106),0,1)</f>
        <v/>
      </c>
      <c r="GY28">
        <f>GY27*IF(OR($C27=107,$G27=107),0,1)</f>
        <v/>
      </c>
      <c r="GZ28">
        <f>GZ27*IF(OR($C27=108,$G27=108),0,1)</f>
        <v/>
      </c>
      <c r="HA28">
        <f>HA27*IF(OR($C27=109,$G27=109),0,1)</f>
        <v/>
      </c>
      <c r="HB28">
        <f>HB27*IF(OR($C27=110,$G27=110),0,1)</f>
        <v/>
      </c>
      <c r="HC28">
        <f>HC27*IF(OR($C27=111,$G27=111),0,1)</f>
        <v/>
      </c>
      <c r="HD28">
        <f>HD27*IF(OR($C27=112,$G27=112),0,1)</f>
        <v/>
      </c>
      <c r="HE28">
        <f>HE27*IF(OR($C27=113,$G27=113),0,1)</f>
        <v/>
      </c>
      <c r="HF28">
        <f>HF27*IF(OR($C27=114,$G27=114),0,1)</f>
        <v/>
      </c>
      <c r="HG28">
        <f>HG27*IF(OR($C27=115,$G27=115),0,1)</f>
        <v/>
      </c>
      <c r="HH28">
        <f>HH27*IF(OR($C27=116,$G27=116),0,1)</f>
        <v/>
      </c>
      <c r="HI28">
        <f>HI27*IF(OR($C27=117,$G27=117),0,1)</f>
        <v/>
      </c>
      <c r="HJ28">
        <f>HJ27*IF(OR($C27=118,$G27=118),0,1)</f>
        <v/>
      </c>
      <c r="HK28">
        <f>HK27*IF(OR($C27=119,$G27=119),0,1)</f>
        <v/>
      </c>
      <c r="HL28">
        <f>HL27*IF(OR($C27=120,$G27=120),0,1)</f>
        <v/>
      </c>
      <c r="HM28">
        <f>HM27*IF(OR($C27=121,$G27=121),0,1)</f>
        <v/>
      </c>
      <c r="HN28">
        <f>HN27*IF(OR($C27=122,$G27=122),0,1)</f>
        <v/>
      </c>
      <c r="HO28">
        <f>HO27*IF(OR($C27=123,$G27=123),0,1)</f>
        <v/>
      </c>
      <c r="HP28">
        <f>HP27*IF(OR($C27=124,$G27=124),0,1)</f>
        <v/>
      </c>
      <c r="HQ28">
        <f>HQ27*IF(OR($C27=125,$G27=125),0,1)</f>
        <v/>
      </c>
      <c r="HR28">
        <f>HR27*IF(OR($C27=126,$G27=126),0,1)</f>
        <v/>
      </c>
      <c r="HS28">
        <f>HS27*IF(OR($C27=127,$G27=127),0,1)</f>
        <v/>
      </c>
      <c r="HT28">
        <f>HT27*IF(OR($C27=128,$G27=128),0,1)</f>
        <v/>
      </c>
      <c r="HU28">
        <f>HU27*IF(OR($C27=129,$G27=129),0,1)</f>
        <v/>
      </c>
      <c r="HV28">
        <f>HV27*IF(OR($C27=130,$G27=130),0,1)</f>
        <v/>
      </c>
      <c r="HW28">
        <f>HW27*IF(OR($C27=131,$G27=131),0,1)</f>
        <v/>
      </c>
      <c r="HX28">
        <f>HX27*IF(OR($C27=132,$G27=132),0,1)</f>
        <v/>
      </c>
      <c r="HY28">
        <f>HY27*IF(OR($C27=133,$G27=133),0,1)</f>
        <v/>
      </c>
      <c r="HZ28">
        <f>HZ27*IF(OR($C27=134,$G27=134),0,1)</f>
        <v/>
      </c>
      <c r="IA28">
        <f>IA27*IF(OR($C27=135,$G27=135),0,1)</f>
        <v/>
      </c>
      <c r="IB28">
        <f>IB27*IF(OR($C27=136,$G27=136),0,1)</f>
        <v/>
      </c>
      <c r="IC28">
        <f>IC27*IF(OR($C27=137,$G27=137),0,1)</f>
        <v/>
      </c>
      <c r="ID28">
        <f>ID27*IF(OR($C27=138,$G27=138),0,1)</f>
        <v/>
      </c>
      <c r="IE28">
        <f>IE27*IF(OR($C27=139,$G27=139),0,1)</f>
        <v/>
      </c>
      <c r="IF28">
        <f>IF27*IF(OR($C27=140,$G27=140),0,1)</f>
        <v/>
      </c>
      <c r="IG28">
        <f>IG27*IF(OR($C27=141,$G27=141),0,1)</f>
        <v/>
      </c>
      <c r="IH28">
        <f>IH27*IF(OR($C27=142,$G27=142),0,1)</f>
        <v/>
      </c>
      <c r="II28">
        <f>II27*IF(OR($C27=143,$G27=143),0,1)</f>
        <v/>
      </c>
      <c r="IJ28">
        <f>IJ27*IF(OR($C27=144,$G27=144),0,1)</f>
        <v/>
      </c>
      <c r="IK28">
        <f>IK27*IF(OR($C27=145,$G27=145),0,1)</f>
        <v/>
      </c>
      <c r="IL28">
        <f>IL27*IF(OR($C27=146,$G27=146),0,1)</f>
        <v/>
      </c>
      <c r="IM28">
        <f>IM27*IF(OR($C27=147,$G27=147),0,1)</f>
        <v/>
      </c>
      <c r="IN28">
        <f>IN27*IF(OR($C27=148,$G27=148),0,1)</f>
        <v/>
      </c>
      <c r="IO28">
        <f>IO27*IF(OR($C27=149,$G27=149),0,1)</f>
        <v/>
      </c>
      <c r="IP28">
        <f>IP27*IF(OR($C27=150,$G27=150),0,1)</f>
        <v/>
      </c>
      <c r="IQ28">
        <f>IQ27*IF(OR($C27=151,$G27=151),0,1)</f>
        <v/>
      </c>
      <c r="IR28">
        <f>IR27*IF(OR($C27=152,$G27=152),0,1)</f>
        <v/>
      </c>
      <c r="IS28">
        <f>IS27*IF(OR($C27=153,$G27=153),0,1)</f>
        <v/>
      </c>
      <c r="IT28">
        <f>IT27*IF(OR($C27=154,$G27=154),0,1)</f>
        <v/>
      </c>
      <c r="IU28">
        <f>IU27*IF(OR($C27=155,$G27=155),0,1)</f>
        <v/>
      </c>
      <c r="IV28">
        <f>IV27*IF(OR($C27=156,$G27=156),0,1)</f>
        <v/>
      </c>
      <c r="IW28">
        <f>IW27*IF(OR($C27=157,$G27=157),0,1)</f>
        <v/>
      </c>
      <c r="IX28">
        <f>IX27*IF(OR($C27=158,$G27=158),0,1)</f>
        <v/>
      </c>
      <c r="IY28">
        <f>IY27*IF(OR($C27=159,$G27=159),0,1)</f>
        <v/>
      </c>
      <c r="IZ28">
        <f>IZ27*IF(OR($C27=160,$G27=160),0,1)</f>
        <v/>
      </c>
      <c r="JA28">
        <f>JA27*IF(OR($C27=161,$G27=161),0,1)</f>
        <v/>
      </c>
      <c r="JB28">
        <f>JB27*IF(OR($C27=162,$G27=162),0,1)</f>
        <v/>
      </c>
      <c r="JC28">
        <f>JC27*IF(OR($C27=163,$G27=163),0,1)</f>
        <v/>
      </c>
      <c r="JD28">
        <f>JD27*IF(OR($C27=164,$G27=164),0,1)</f>
        <v/>
      </c>
      <c r="JE28">
        <f>JE27*IF(OR($C27=165,$G27=165),0,1)</f>
        <v/>
      </c>
      <c r="JF28">
        <f>JF27*IF(OR($C27=166,$G27=166),0,1)</f>
        <v/>
      </c>
      <c r="JG28">
        <f>JG27*IF(OR($C27=167,$G27=167),0,1)</f>
        <v/>
      </c>
      <c r="JH28">
        <f>JH27*IF(OR($C27=168,$G27=168),0,1)</f>
        <v/>
      </c>
      <c r="JI28">
        <f>JI27*IF(OR($C27=169,$G27=169),0,1)</f>
        <v/>
      </c>
      <c r="JJ28">
        <f>JJ27*IF(OR($C27=170,$G27=170),0,1)</f>
        <v/>
      </c>
      <c r="JK28">
        <f>JK27*IF(OR($C27=171,$G27=171),0,1)</f>
        <v/>
      </c>
      <c r="JL28">
        <f>JL27*IF(OR($C27=172,$G27=172),0,1)</f>
        <v/>
      </c>
      <c r="JM28">
        <f>JM27*IF(OR($C27=173,$G27=173),0,1)</f>
        <v/>
      </c>
      <c r="JN28">
        <f>JN27*IF(OR($C27=174,$G27=174),0,1)</f>
        <v/>
      </c>
      <c r="JO28">
        <f>JO27*IF(OR($C27=175,$G27=175),0,1)</f>
        <v/>
      </c>
      <c r="JP28">
        <f>JP27*IF(OR($C27=176,$G27=176),0,1)</f>
        <v/>
      </c>
      <c r="JQ28">
        <f>JQ27*IF(OR($C27=177,$G27=177),0,1)</f>
        <v/>
      </c>
      <c r="JR28">
        <f>JR27*IF(OR($C27=178,$G27=178),0,1)</f>
        <v/>
      </c>
      <c r="JS28">
        <f>JS27*IF(OR($C27=179,$G27=179),0,1)</f>
        <v/>
      </c>
      <c r="JT28">
        <f>JT27*IF(OR($C27=180,$G27=180),0,1)</f>
        <v/>
      </c>
      <c r="JU28">
        <f>JU27*IF(OR($C27=181,$G27=181),0,1)</f>
        <v/>
      </c>
      <c r="JV28">
        <f>JV27*IF(OR($C27=182,$G27=182),0,1)</f>
        <v/>
      </c>
      <c r="JW28">
        <f>JW27*IF(OR($C27=183,$G27=183),0,1)</f>
        <v/>
      </c>
      <c r="JX28">
        <f>JX27*IF(OR($C27=184,$G27=184),0,1)</f>
        <v/>
      </c>
      <c r="JY28">
        <f>JY27*IF(OR($C27=185,$G27=185),0,1)</f>
        <v/>
      </c>
      <c r="JZ28">
        <f>JZ27*IF(OR($C27=186,$G27=186),0,1)</f>
        <v/>
      </c>
      <c r="KA28">
        <f>KA27*IF(OR($C27=187,$G27=187),0,1)</f>
        <v/>
      </c>
      <c r="KB28">
        <f>KB27*IF(OR($C27=188,$G27=188),0,1)</f>
        <v/>
      </c>
      <c r="KC28">
        <f>KC27*IF(OR($C27=189,$G27=189),0,1)</f>
        <v/>
      </c>
      <c r="KD28">
        <f>KD27*IF(OR($C27=190,$G27=190),0,1)</f>
        <v/>
      </c>
      <c r="KE28">
        <f>KE27*IF(OR($C27=191,$G27=191),0,1)</f>
        <v/>
      </c>
      <c r="KF28">
        <f>KF27*IF(OR($C27=192,$G27=192),0,1)</f>
        <v/>
      </c>
      <c r="KG28">
        <f>KG27*IF(OR($C27=193,$G27=193),0,1)</f>
        <v/>
      </c>
      <c r="KH28">
        <f>KH27*IF(OR($C27=194,$G27=194),0,1)</f>
        <v/>
      </c>
      <c r="KI28">
        <f>KI27*IF(OR($C27=195,$G27=195),0,1)</f>
        <v/>
      </c>
      <c r="KJ28">
        <f>KJ27*IF(OR($C27=196,$G27=196),0,1)</f>
        <v/>
      </c>
      <c r="KK28">
        <f>KK27*IF(OR($C27=197,$G27=197),0,1)</f>
        <v/>
      </c>
      <c r="KL28">
        <f>KL27*IF(OR($C27=198,$G27=198),0,1)</f>
        <v/>
      </c>
      <c r="KM28">
        <f>KM27*IF(OR($C27=199,$G27=199),0,1)</f>
        <v/>
      </c>
      <c r="KN28">
        <f>KN27*IF(OR($C27=200,$G27=200),0,1)</f>
        <v/>
      </c>
      <c r="KO28">
        <f>KO27*IF(OR($C27=201,$G27=201),0,1)</f>
        <v/>
      </c>
      <c r="KP28">
        <f>KP27*IF(OR($C27=202,$G27=202),0,1)</f>
        <v/>
      </c>
      <c r="KQ28">
        <f>KQ27*IF(OR($C27=203,$G27=203),0,1)</f>
        <v/>
      </c>
      <c r="KR28">
        <f>KR27*IF(OR($C27=204,$G27=204),0,1)</f>
        <v/>
      </c>
      <c r="KS28">
        <f>KS27*IF(OR($C27=205,$G27=205),0,1)</f>
        <v/>
      </c>
      <c r="KT28">
        <f>KT27*IF(OR($C27=206,$G27=206),0,1)</f>
        <v/>
      </c>
      <c r="KU28">
        <f>KU27*IF(OR($C27=207,$G27=207),0,1)</f>
        <v/>
      </c>
      <c r="KV28">
        <f>KV27*IF(OR($C27=208,$G27=208),0,1)</f>
        <v/>
      </c>
      <c r="KW28">
        <f>KW27*IF(OR($C27=209,$G27=209),0,1)</f>
        <v/>
      </c>
      <c r="KX28">
        <f>KX27*IF(OR($C27=210,$G27=210),0,1)</f>
        <v/>
      </c>
      <c r="KY28">
        <f>KY27*IF(OR($C27=211,$G27=211),0,1)</f>
        <v/>
      </c>
      <c r="KZ28">
        <f>KZ27*IF(OR($C27=212,$G27=212),0,1)</f>
        <v/>
      </c>
      <c r="LA28">
        <f>LA27*IF(OR($C27=213,$G27=213),0,1)</f>
        <v/>
      </c>
      <c r="LB28">
        <f>LB27*IF(OR($C27=214,$G27=214),0,1)</f>
        <v/>
      </c>
      <c r="LC28">
        <f>LC27*IF(OR($C27=215,$G27=215),0,1)</f>
        <v/>
      </c>
      <c r="LD28">
        <f>LD27*IF(OR($C27=216,$G27=216),0,1)</f>
        <v/>
      </c>
      <c r="LE28">
        <f>LE27*IF(OR($C27=217,$G27=217),0,1)</f>
        <v/>
      </c>
      <c r="LF28">
        <f>LF27*IF(OR($C27=218,$G27=218),0,1)</f>
        <v/>
      </c>
      <c r="LG28">
        <f>LG27*IF(OR($C27=219,$G27=219),0,1)</f>
        <v/>
      </c>
      <c r="LH28">
        <f>LH27*IF(OR($C27=220,$G27=220),0,1)</f>
        <v/>
      </c>
      <c r="LI28">
        <f>LI27*IF(OR($C27=221,$G27=221),0,1)</f>
        <v/>
      </c>
      <c r="LJ28">
        <f>LJ27*IF(OR($C27=222,$G27=222),0,1)</f>
        <v/>
      </c>
      <c r="LK28">
        <f>LK27*IF(OR($C27=223,$G27=223),0,1)</f>
        <v/>
      </c>
      <c r="LL28">
        <f>LL27*IF(OR($C27=224,$G27=224),0,1)</f>
        <v/>
      </c>
      <c r="LM28">
        <f>LM27*IF(OR($C27=225,$G27=225),0,1)</f>
        <v/>
      </c>
      <c r="LN28">
        <f>LN27*IF(OR($C27=226,$G27=226),0,1)</f>
        <v/>
      </c>
      <c r="LO28">
        <f>LO27*IF(OR($C27=227,$G27=227),0,1)</f>
        <v/>
      </c>
      <c r="LP28">
        <f>LP27*IF(OR($C27=228,$G27=228),0,1)</f>
        <v/>
      </c>
      <c r="LQ28">
        <f>LQ27*IF(OR($C27=229,$G27=229),0,1)</f>
        <v/>
      </c>
      <c r="LR28">
        <f>LR27*IF(OR($C27=230,$G27=230),0,1)</f>
        <v/>
      </c>
      <c r="LS28">
        <f>LS27*IF(OR($C27=231,$G27=231),0,1)</f>
        <v/>
      </c>
      <c r="LT28">
        <f>LT27*IF(OR($C27=232,$G27=232),0,1)</f>
        <v/>
      </c>
      <c r="LU28">
        <f>LU27*IF(OR($C27=233,$G27=233),0,1)</f>
        <v/>
      </c>
      <c r="LV28">
        <f>LV27*IF(OR($C27=234,$G27=234),0,1)</f>
        <v/>
      </c>
      <c r="LW28">
        <f>LW27*IF(OR($C27=235,$G27=235),0,1)</f>
        <v/>
      </c>
      <c r="LX28">
        <f>LX27*IF(OR($C27=236,$G27=236),0,1)</f>
        <v/>
      </c>
      <c r="LY28">
        <f>LY27*IF(OR($C27=237,$G27=237),0,1)</f>
        <v/>
      </c>
      <c r="LZ28">
        <f>LZ27*IF(OR($C27=238,$G27=238),0,1)</f>
        <v/>
      </c>
      <c r="MA28">
        <f>MA27*IF(OR($C27=239,$G27=239),0,1)</f>
        <v/>
      </c>
      <c r="MB28">
        <f>MB27*IF(OR($C27=240,$G27=240),0,1)</f>
        <v/>
      </c>
      <c r="MD28">
        <f>IF('計算A'!D$106=1,CX28,1)</f>
        <v/>
      </c>
      <c r="ME28">
        <f>IF('計算A'!E$106=1,CY28,1)</f>
        <v/>
      </c>
      <c r="MF28">
        <f>IF('計算A'!F$106=1,CZ28,1)</f>
        <v/>
      </c>
      <c r="MG28">
        <f>IF('計算A'!G$106=1,DA28,1)</f>
        <v/>
      </c>
      <c r="MH28">
        <f>IF('計算A'!H$106=1,DB28,1)</f>
        <v/>
      </c>
      <c r="MI28">
        <f>IF('計算A'!I$106=1,DC28,1)</f>
        <v/>
      </c>
      <c r="MJ28">
        <f>IF('計算A'!J$106=1,DD28,1)</f>
        <v/>
      </c>
      <c r="MK28">
        <f>IF('計算A'!K$106=1,DE28,1)</f>
        <v/>
      </c>
      <c r="ML28">
        <f>IF('計算A'!L$106=1,DF28,1)</f>
        <v/>
      </c>
      <c r="MM28">
        <f>IF('計算A'!M$106=1,DG28,1)</f>
        <v/>
      </c>
      <c r="MN28">
        <f>IF('計算A'!N$106=1,DH28,1)</f>
        <v/>
      </c>
      <c r="MO28">
        <f>IF('計算A'!O$106=1,DI28,1)</f>
        <v/>
      </c>
      <c r="MP28">
        <f>IF('計算A'!P$106=1,DJ28,1)</f>
        <v/>
      </c>
      <c r="MQ28">
        <f>IF('計算A'!Q$106=1,DK28,1)</f>
        <v/>
      </c>
      <c r="MR28">
        <f>IF('計算A'!R$106=1,DL28,1)</f>
        <v/>
      </c>
      <c r="MS28">
        <f>IF('計算A'!S$106=1,DM28,1)</f>
        <v/>
      </c>
      <c r="MT28">
        <f>IF('計算A'!T$106=1,DN28,1)</f>
        <v/>
      </c>
      <c r="MU28">
        <f>IF('計算A'!U$106=1,DO28,1)</f>
        <v/>
      </c>
      <c r="MV28">
        <f>IF('計算A'!V$106=1,DP28,1)</f>
        <v/>
      </c>
      <c r="MW28">
        <f>IF('計算A'!W$106=1,DQ28,1)</f>
        <v/>
      </c>
      <c r="MX28">
        <f>IF('計算A'!X$106=1,DR28,1)</f>
        <v/>
      </c>
      <c r="MY28">
        <f>IF('計算A'!Y$106=1,DS28,1)</f>
        <v/>
      </c>
      <c r="MZ28">
        <f>IF('計算A'!Z$106=1,DT28,1)</f>
        <v/>
      </c>
      <c r="NA28">
        <f>IF('計算A'!AA$106=1,DU28,1)</f>
        <v/>
      </c>
      <c r="NB28">
        <f>IF('計算A'!AB$106=1,DV28,1)</f>
        <v/>
      </c>
      <c r="NC28">
        <f>IF('計算A'!AC$106=1,DW28,1)</f>
        <v/>
      </c>
      <c r="ND28">
        <f>IF('計算A'!AD$106=1,DX28,1)</f>
        <v/>
      </c>
      <c r="NE28">
        <f>IF('計算A'!AE$106=1,DY28,1)</f>
        <v/>
      </c>
      <c r="NF28">
        <f>IF('計算A'!AF$106=1,DZ28,1)</f>
        <v/>
      </c>
      <c r="NG28">
        <f>IF('計算A'!AG$106=1,EA28,1)</f>
        <v/>
      </c>
      <c r="NH28">
        <f>IF('計算A'!AH$106=1,EB28,1)</f>
        <v/>
      </c>
      <c r="NI28">
        <f>IF('計算A'!AI$106=1,EC28,1)</f>
        <v/>
      </c>
      <c r="NJ28">
        <f>IF('計算A'!AJ$106=1,ED28,1)</f>
        <v/>
      </c>
      <c r="NK28">
        <f>IF('計算A'!AK$106=1,EE28,1)</f>
        <v/>
      </c>
      <c r="NL28">
        <f>IF('計算A'!AL$106=1,EF28,1)</f>
        <v/>
      </c>
      <c r="NM28">
        <f>IF('計算A'!AM$106=1,EG28,1)</f>
        <v/>
      </c>
      <c r="NN28">
        <f>IF('計算A'!AN$106=1,EH28,1)</f>
        <v/>
      </c>
      <c r="NO28">
        <f>IF('計算A'!AO$106=1,EI28,1)</f>
        <v/>
      </c>
      <c r="NP28">
        <f>IF('計算A'!AP$106=1,EJ28,1)</f>
        <v/>
      </c>
      <c r="NQ28">
        <f>IF('計算A'!AQ$106=1,EK28,1)</f>
        <v/>
      </c>
      <c r="NR28">
        <f>IF('計算A'!AR$106=1,EL28,1)</f>
        <v/>
      </c>
      <c r="NS28">
        <f>IF('計算A'!AS$106=1,EM28,1)</f>
        <v/>
      </c>
      <c r="NT28">
        <f>IF('計算A'!AT$106=1,EN28,1)</f>
        <v/>
      </c>
      <c r="NU28">
        <f>IF('計算A'!AU$106=1,EO28,1)</f>
        <v/>
      </c>
      <c r="NV28">
        <f>IF('計算A'!AV$106=1,EP28,1)</f>
        <v/>
      </c>
      <c r="NW28">
        <f>IF('計算A'!AW$106=1,EQ28,1)</f>
        <v/>
      </c>
      <c r="NX28">
        <f>IF('計算A'!AX$106=1,ER28,1)</f>
        <v/>
      </c>
      <c r="NY28">
        <f>IF('計算A'!AY$106=1,ES28,1)</f>
        <v/>
      </c>
      <c r="NZ28">
        <f>IF('計算A'!AZ$106=1,ET28,1)</f>
        <v/>
      </c>
      <c r="OA28">
        <f>IF('計算A'!BA$106=1,EU28,1)</f>
        <v/>
      </c>
      <c r="OB28">
        <f>IF('計算A'!BB$106=1,EV28,1)</f>
        <v/>
      </c>
      <c r="OC28">
        <f>IF('計算A'!BC$106=1,EW28,1)</f>
        <v/>
      </c>
      <c r="OD28">
        <f>IF('計算A'!BD$106=1,EX28,1)</f>
        <v/>
      </c>
      <c r="OE28">
        <f>IF('計算A'!BE$106=1,EY28,1)</f>
        <v/>
      </c>
      <c r="OF28">
        <f>IF('計算A'!BF$106=1,EZ28,1)</f>
        <v/>
      </c>
      <c r="OG28">
        <f>IF('計算A'!BG$106=1,FA28,1)</f>
        <v/>
      </c>
      <c r="OH28">
        <f>IF('計算A'!BH$106=1,FB28,1)</f>
        <v/>
      </c>
      <c r="OI28">
        <f>IF('計算A'!BI$106=1,FC28,1)</f>
        <v/>
      </c>
      <c r="OJ28">
        <f>IF('計算A'!BJ$106=1,FD28,1)</f>
        <v/>
      </c>
      <c r="OK28">
        <f>IF('計算A'!BK$106=1,FE28,1)</f>
        <v/>
      </c>
      <c r="OL28">
        <f>IF('計算A'!BL$106=1,FF28,1)</f>
        <v/>
      </c>
      <c r="OM28">
        <f>IF('計算A'!BM$106=1,FG28,1)</f>
        <v/>
      </c>
      <c r="ON28">
        <f>IF('計算A'!BN$106=1,FH28,1)</f>
        <v/>
      </c>
      <c r="OO28">
        <f>IF('計算A'!BO$106=1,FI28,1)</f>
        <v/>
      </c>
      <c r="OP28">
        <f>IF('計算A'!BP$106=1,FJ28,1)</f>
        <v/>
      </c>
      <c r="OQ28">
        <f>IF('計算A'!BQ$106=1,FK28,1)</f>
        <v/>
      </c>
      <c r="OR28">
        <f>IF('計算A'!BR$106=1,FL28,1)</f>
        <v/>
      </c>
      <c r="OS28">
        <f>IF('計算A'!BS$106=1,FM28,1)</f>
        <v/>
      </c>
      <c r="OT28">
        <f>IF('計算A'!BT$106=1,FN28,1)</f>
        <v/>
      </c>
      <c r="OU28">
        <f>IF('計算A'!BU$106=1,FO28,1)</f>
        <v/>
      </c>
      <c r="OV28">
        <f>IF('計算A'!BV$106=1,FP28,1)</f>
        <v/>
      </c>
      <c r="OW28">
        <f>IF('計算A'!BW$106=1,FQ28,1)</f>
        <v/>
      </c>
      <c r="OX28">
        <f>IF('計算A'!BX$106=1,FR28,1)</f>
        <v/>
      </c>
      <c r="OY28">
        <f>IF('計算A'!BY$106=1,FS28,1)</f>
        <v/>
      </c>
      <c r="OZ28">
        <f>IF('計算A'!BZ$106=1,FT28,1)</f>
        <v/>
      </c>
      <c r="PA28">
        <f>IF('計算A'!CA$106=1,FU28,1)</f>
        <v/>
      </c>
      <c r="PB28">
        <f>IF('計算A'!CB$106=1,FV28,1)</f>
        <v/>
      </c>
      <c r="PC28">
        <f>IF('計算A'!CC$106=1,FW28,1)</f>
        <v/>
      </c>
      <c r="PD28">
        <f>IF('計算A'!CD$106=1,FX28,1)</f>
        <v/>
      </c>
      <c r="PE28">
        <f>IF('計算A'!CE$106=1,FY28,1)</f>
        <v/>
      </c>
      <c r="PF28">
        <f>IF('計算A'!CF$106=1,FZ28,1)</f>
        <v/>
      </c>
      <c r="PG28">
        <f>IF('計算A'!CG$106=1,GA28,1)</f>
        <v/>
      </c>
      <c r="PH28">
        <f>IF('計算A'!CH$106=1,GB28,1)</f>
        <v/>
      </c>
      <c r="PI28">
        <f>IF('計算A'!CI$106=1,GC28,1)</f>
        <v/>
      </c>
      <c r="PJ28">
        <f>IF('計算A'!CJ$106=1,GD28,1)</f>
        <v/>
      </c>
      <c r="PK28">
        <f>IF('計算A'!CK$106=1,GE28,1)</f>
        <v/>
      </c>
      <c r="PL28">
        <f>IF('計算A'!CL$106=1,GF28,1)</f>
        <v/>
      </c>
      <c r="PM28">
        <f>IF('計算A'!CM$106=1,GG28,1)</f>
        <v/>
      </c>
      <c r="PN28">
        <f>IF('計算A'!CN$106=1,GH28,1)</f>
        <v/>
      </c>
      <c r="PO28">
        <f>IF('計算A'!CO$106=1,GI28,1)</f>
        <v/>
      </c>
      <c r="PP28">
        <f>IF('計算A'!CP$106=1,GJ28,1)</f>
        <v/>
      </c>
      <c r="PQ28">
        <f>IF('計算A'!CQ$106=1,GK28,1)</f>
        <v/>
      </c>
      <c r="PR28">
        <f>IF('計算A'!CR$106=1,GL28,1)</f>
        <v/>
      </c>
      <c r="PS28">
        <f>IF('計算A'!CS$106=1,GM28,1)</f>
        <v/>
      </c>
      <c r="PT28">
        <f>IF('計算A'!CT$106=1,GN28,1)</f>
        <v/>
      </c>
      <c r="PU28">
        <f>IF('計算A'!CU$106=1,GO28,1)</f>
        <v/>
      </c>
      <c r="PV28">
        <f>IF('計算A'!CV$106=1,GP28,1)</f>
        <v/>
      </c>
      <c r="PW28">
        <f>IF('計算A'!CW$106=1,GQ28,1)</f>
        <v/>
      </c>
      <c r="PX28">
        <f>IF('計算A'!CX$106=1,GR28,1)</f>
        <v/>
      </c>
      <c r="PY28">
        <f>IF('計算A'!CY$106=1,GS28,1)</f>
        <v/>
      </c>
      <c r="PZ28">
        <f>IF('計算A'!CZ$106=1,GT28,1)</f>
        <v/>
      </c>
      <c r="QA28">
        <f>IF('計算A'!DA$106=1,GU28,1)</f>
        <v/>
      </c>
      <c r="QB28">
        <f>IF('計算A'!DB$106=1,GV28,1)</f>
        <v/>
      </c>
      <c r="QC28">
        <f>IF('計算A'!DC$106=1,GW28,1)</f>
        <v/>
      </c>
      <c r="QD28">
        <f>IF('計算A'!DD$106=1,GX28,1)</f>
        <v/>
      </c>
      <c r="QE28">
        <f>IF('計算A'!DE$106=1,GY28,1)</f>
        <v/>
      </c>
      <c r="QF28">
        <f>IF('計算A'!DF$106=1,GZ28,1)</f>
        <v/>
      </c>
      <c r="QG28">
        <f>IF('計算A'!DG$106=1,HA28,1)</f>
        <v/>
      </c>
      <c r="QH28">
        <f>IF('計算A'!DH$106=1,HB28,1)</f>
        <v/>
      </c>
      <c r="QI28">
        <f>IF('計算A'!DI$106=1,HC28,1)</f>
        <v/>
      </c>
      <c r="QJ28">
        <f>IF('計算A'!DJ$106=1,HD28,1)</f>
        <v/>
      </c>
      <c r="QK28">
        <f>IF('計算A'!DK$106=1,HE28,1)</f>
        <v/>
      </c>
      <c r="QL28">
        <f>IF('計算A'!DL$106=1,HF28,1)</f>
        <v/>
      </c>
      <c r="QM28">
        <f>IF('計算A'!DM$106=1,HG28,1)</f>
        <v/>
      </c>
      <c r="QN28">
        <f>IF('計算A'!DN$106=1,HH28,1)</f>
        <v/>
      </c>
      <c r="QO28">
        <f>IF('計算A'!DO$106=1,HI28,1)</f>
        <v/>
      </c>
      <c r="QP28">
        <f>IF('計算A'!DP$106=1,HJ28,1)</f>
        <v/>
      </c>
      <c r="QQ28">
        <f>IF('計算A'!DQ$106=1,HK28,1)</f>
        <v/>
      </c>
      <c r="QR28">
        <f>IF('計算A'!DR$106=1,HL28,1)</f>
        <v/>
      </c>
      <c r="QS28">
        <f>IF('計算A'!DS$106=1,HM28,1)</f>
        <v/>
      </c>
      <c r="QT28">
        <f>IF('計算A'!DT$106=1,HN28,1)</f>
        <v/>
      </c>
      <c r="QU28">
        <f>IF('計算A'!DU$106=1,HO28,1)</f>
        <v/>
      </c>
      <c r="QV28">
        <f>IF('計算A'!DV$106=1,HP28,1)</f>
        <v/>
      </c>
      <c r="QW28">
        <f>IF('計算A'!DW$106=1,HQ28,1)</f>
        <v/>
      </c>
      <c r="QX28">
        <f>IF('計算A'!DX$106=1,HR28,1)</f>
        <v/>
      </c>
      <c r="QY28">
        <f>IF('計算A'!DY$106=1,HS28,1)</f>
        <v/>
      </c>
      <c r="QZ28">
        <f>IF('計算A'!DZ$106=1,HT28,1)</f>
        <v/>
      </c>
      <c r="RA28">
        <f>IF('計算A'!EA$106=1,HU28,1)</f>
        <v/>
      </c>
      <c r="RB28">
        <f>IF('計算A'!EB$106=1,HV28,1)</f>
        <v/>
      </c>
      <c r="RC28">
        <f>IF('計算A'!EC$106=1,HW28,1)</f>
        <v/>
      </c>
      <c r="RD28">
        <f>IF('計算A'!ED$106=1,HX28,1)</f>
        <v/>
      </c>
      <c r="RE28">
        <f>IF('計算A'!EE$106=1,HY28,1)</f>
        <v/>
      </c>
      <c r="RF28">
        <f>IF('計算A'!EF$106=1,HZ28,1)</f>
        <v/>
      </c>
      <c r="RG28">
        <f>IF('計算A'!EG$106=1,IA28,1)</f>
        <v/>
      </c>
      <c r="RH28">
        <f>IF('計算A'!EH$106=1,IB28,1)</f>
        <v/>
      </c>
      <c r="RI28">
        <f>IF('計算A'!EI$106=1,IC28,1)</f>
        <v/>
      </c>
      <c r="RJ28">
        <f>IF('計算A'!EJ$106=1,ID28,1)</f>
        <v/>
      </c>
      <c r="RK28">
        <f>IF('計算A'!EK$106=1,IE28,1)</f>
        <v/>
      </c>
      <c r="RL28">
        <f>IF('計算A'!EL$106=1,IF28,1)</f>
        <v/>
      </c>
      <c r="RM28">
        <f>IF('計算A'!EM$106=1,IG28,1)</f>
        <v/>
      </c>
      <c r="RN28">
        <f>IF('計算A'!EN$106=1,IH28,1)</f>
        <v/>
      </c>
      <c r="RO28">
        <f>IF('計算A'!EO$106=1,II28,1)</f>
        <v/>
      </c>
      <c r="RP28">
        <f>IF('計算A'!EP$106=1,IJ28,1)</f>
        <v/>
      </c>
      <c r="RQ28">
        <f>IF('計算A'!EQ$106=1,IK28,1)</f>
        <v/>
      </c>
      <c r="RR28">
        <f>IF('計算A'!ER$106=1,IL28,1)</f>
        <v/>
      </c>
      <c r="RS28">
        <f>IF('計算A'!ES$106=1,IM28,1)</f>
        <v/>
      </c>
      <c r="RT28">
        <f>IF('計算A'!ET$106=1,IN28,1)</f>
        <v/>
      </c>
      <c r="RU28">
        <f>IF('計算A'!EU$106=1,IO28,1)</f>
        <v/>
      </c>
      <c r="RV28">
        <f>IF('計算A'!EV$106=1,IP28,1)</f>
        <v/>
      </c>
      <c r="RW28">
        <f>IF('計算A'!EW$106=1,IQ28,1)</f>
        <v/>
      </c>
      <c r="RX28">
        <f>IF('計算A'!EX$106=1,IR28,1)</f>
        <v/>
      </c>
      <c r="RY28">
        <f>IF('計算A'!EY$106=1,IS28,1)</f>
        <v/>
      </c>
      <c r="RZ28">
        <f>IF('計算A'!EZ$106=1,IT28,1)</f>
        <v/>
      </c>
      <c r="SA28">
        <f>IF('計算A'!FA$106=1,IU28,1)</f>
        <v/>
      </c>
      <c r="SB28">
        <f>IF('計算A'!FB$106=1,IV28,1)</f>
        <v/>
      </c>
      <c r="SC28">
        <f>IF('計算A'!FC$106=1,IW28,1)</f>
        <v/>
      </c>
      <c r="SD28">
        <f>IF('計算A'!FD$106=1,IX28,1)</f>
        <v/>
      </c>
      <c r="SE28">
        <f>IF('計算A'!FE$106=1,IY28,1)</f>
        <v/>
      </c>
      <c r="SF28">
        <f>IF('計算A'!FF$106=1,IZ28,1)</f>
        <v/>
      </c>
      <c r="SG28">
        <f>IF('計算A'!FG$106=1,JA28,1)</f>
        <v/>
      </c>
      <c r="SH28">
        <f>IF('計算A'!FH$106=1,JB28,1)</f>
        <v/>
      </c>
      <c r="SI28">
        <f>IF('計算A'!FI$106=1,JC28,1)</f>
        <v/>
      </c>
      <c r="SJ28">
        <f>IF('計算A'!FJ$106=1,JD28,1)</f>
        <v/>
      </c>
      <c r="SK28">
        <f>IF('計算A'!FK$106=1,JE28,1)</f>
        <v/>
      </c>
      <c r="SL28">
        <f>IF('計算A'!FL$106=1,JF28,1)</f>
        <v/>
      </c>
      <c r="SM28">
        <f>IF('計算A'!FM$106=1,JG28,1)</f>
        <v/>
      </c>
      <c r="SN28">
        <f>IF('計算A'!FN$106=1,JH28,1)</f>
        <v/>
      </c>
      <c r="SO28">
        <f>IF('計算A'!FO$106=1,JI28,1)</f>
        <v/>
      </c>
      <c r="SP28">
        <f>IF('計算A'!FP$106=1,JJ28,1)</f>
        <v/>
      </c>
      <c r="SQ28">
        <f>IF('計算A'!FQ$106=1,JK28,1)</f>
        <v/>
      </c>
      <c r="SR28">
        <f>IF('計算A'!FR$106=1,JL28,1)</f>
        <v/>
      </c>
      <c r="SS28">
        <f>IF('計算A'!FS$106=1,JM28,1)</f>
        <v/>
      </c>
      <c r="ST28">
        <f>IF('計算A'!FT$106=1,JN28,1)</f>
        <v/>
      </c>
      <c r="SU28">
        <f>IF('計算A'!FU$106=1,JO28,1)</f>
        <v/>
      </c>
      <c r="SV28">
        <f>IF('計算A'!FV$106=1,JP28,1)</f>
        <v/>
      </c>
      <c r="SW28">
        <f>IF('計算A'!FW$106=1,JQ28,1)</f>
        <v/>
      </c>
      <c r="SX28">
        <f>IF('計算A'!FX$106=1,JR28,1)</f>
        <v/>
      </c>
      <c r="SY28">
        <f>IF('計算A'!FY$106=1,JS28,1)</f>
        <v/>
      </c>
      <c r="SZ28">
        <f>IF('計算A'!FZ$106=1,JT28,1)</f>
        <v/>
      </c>
      <c r="TA28">
        <f>IF('計算A'!GA$106=1,JU28,1)</f>
        <v/>
      </c>
      <c r="TB28">
        <f>IF('計算A'!GB$106=1,JV28,1)</f>
        <v/>
      </c>
      <c r="TC28">
        <f>IF('計算A'!GC$106=1,JW28,1)</f>
        <v/>
      </c>
      <c r="TD28">
        <f>IF('計算A'!GD$106=1,JX28,1)</f>
        <v/>
      </c>
      <c r="TE28">
        <f>IF('計算A'!GE$106=1,JY28,1)</f>
        <v/>
      </c>
      <c r="TF28">
        <f>IF('計算A'!GF$106=1,JZ28,1)</f>
        <v/>
      </c>
      <c r="TG28">
        <f>IF('計算A'!GG$106=1,KA28,1)</f>
        <v/>
      </c>
      <c r="TH28">
        <f>IF('計算A'!GH$106=1,KB28,1)</f>
        <v/>
      </c>
      <c r="TI28">
        <f>IF('計算A'!GI$106=1,KC28,1)</f>
        <v/>
      </c>
      <c r="TJ28">
        <f>IF('計算A'!GJ$106=1,KD28,1)</f>
        <v/>
      </c>
      <c r="TK28">
        <f>IF('計算A'!GK$106=1,KE28,1)</f>
        <v/>
      </c>
      <c r="TL28">
        <f>IF('計算A'!GL$106=1,KF28,1)</f>
        <v/>
      </c>
      <c r="TM28">
        <f>IF('計算A'!GM$106=1,KG28,1)</f>
        <v/>
      </c>
      <c r="TN28">
        <f>IF('計算A'!GN$106=1,KH28,1)</f>
        <v/>
      </c>
      <c r="TO28">
        <f>IF('計算A'!GO$106=1,KI28,1)</f>
        <v/>
      </c>
      <c r="TP28">
        <f>IF('計算A'!GP$106=1,KJ28,1)</f>
        <v/>
      </c>
      <c r="TQ28">
        <f>IF('計算A'!GQ$106=1,KK28,1)</f>
        <v/>
      </c>
      <c r="TR28">
        <f>IF('計算A'!GR$106=1,KL28,1)</f>
        <v/>
      </c>
      <c r="TS28">
        <f>IF('計算A'!GS$106=1,KM28,1)</f>
        <v/>
      </c>
      <c r="TT28">
        <f>IF('計算A'!GT$106=1,KN28,1)</f>
        <v/>
      </c>
      <c r="TU28">
        <f>IF('計算A'!GU$106=1,KO28,1)</f>
        <v/>
      </c>
      <c r="TV28">
        <f>IF('計算A'!GV$106=1,KP28,1)</f>
        <v/>
      </c>
      <c r="TW28">
        <f>IF('計算A'!GW$106=1,KQ28,1)</f>
        <v/>
      </c>
      <c r="TX28">
        <f>IF('計算A'!GX$106=1,KR28,1)</f>
        <v/>
      </c>
      <c r="TY28">
        <f>IF('計算A'!GY$106=1,KS28,1)</f>
        <v/>
      </c>
      <c r="TZ28">
        <f>IF('計算A'!GZ$106=1,KT28,1)</f>
        <v/>
      </c>
      <c r="UA28">
        <f>IF('計算A'!HA$106=1,KU28,1)</f>
        <v/>
      </c>
      <c r="UB28">
        <f>IF('計算A'!HB$106=1,KV28,1)</f>
        <v/>
      </c>
      <c r="UC28">
        <f>IF('計算A'!HC$106=1,KW28,1)</f>
        <v/>
      </c>
      <c r="UD28">
        <f>IF('計算A'!HD$106=1,KX28,1)</f>
        <v/>
      </c>
      <c r="UE28">
        <f>IF('計算A'!HE$106=1,KY28,1)</f>
        <v/>
      </c>
      <c r="UF28">
        <f>IF('計算A'!HF$106=1,KZ28,1)</f>
        <v/>
      </c>
      <c r="UG28">
        <f>IF('計算A'!HG$106=1,LA28,1)</f>
        <v/>
      </c>
      <c r="UH28">
        <f>IF('計算A'!HH$106=1,LB28,1)</f>
        <v/>
      </c>
      <c r="UI28">
        <f>IF('計算A'!HI$106=1,LC28,1)</f>
        <v/>
      </c>
      <c r="UJ28">
        <f>IF('計算A'!HJ$106=1,LD28,1)</f>
        <v/>
      </c>
      <c r="UK28">
        <f>IF('計算A'!HK$106=1,LE28,1)</f>
        <v/>
      </c>
      <c r="UL28">
        <f>IF('計算A'!HL$106=1,LF28,1)</f>
        <v/>
      </c>
      <c r="UM28">
        <f>IF('計算A'!HM$106=1,LG28,1)</f>
        <v/>
      </c>
      <c r="UN28">
        <f>IF('計算A'!HN$106=1,LH28,1)</f>
        <v/>
      </c>
      <c r="UO28">
        <f>IF('計算A'!HO$106=1,LI28,1)</f>
        <v/>
      </c>
      <c r="UP28">
        <f>IF('計算A'!HP$106=1,LJ28,1)</f>
        <v/>
      </c>
      <c r="UQ28">
        <f>IF('計算A'!HQ$106=1,LK28,1)</f>
        <v/>
      </c>
      <c r="UR28">
        <f>IF('計算A'!HR$106=1,LL28,1)</f>
        <v/>
      </c>
      <c r="US28">
        <f>IF('計算A'!HS$106=1,LM28,1)</f>
        <v/>
      </c>
      <c r="UT28">
        <f>IF('計算A'!HT$106=1,LN28,1)</f>
        <v/>
      </c>
      <c r="UU28">
        <f>IF('計算A'!HU$106=1,LO28,1)</f>
        <v/>
      </c>
      <c r="UV28">
        <f>IF('計算A'!HV$106=1,LP28,1)</f>
        <v/>
      </c>
      <c r="UW28">
        <f>IF('計算A'!HW$106=1,LQ28,1)</f>
        <v/>
      </c>
      <c r="UX28">
        <f>IF('計算A'!HX$106=1,LR28,1)</f>
        <v/>
      </c>
      <c r="UY28">
        <f>IF('計算A'!HY$106=1,LS28,1)</f>
        <v/>
      </c>
      <c r="UZ28">
        <f>IF('計算A'!HZ$106=1,LT28,1)</f>
        <v/>
      </c>
      <c r="VA28">
        <f>IF('計算A'!IA$106=1,LU28,1)</f>
        <v/>
      </c>
      <c r="VB28">
        <f>IF('計算A'!IB$106=1,LV28,1)</f>
        <v/>
      </c>
      <c r="VC28">
        <f>IF('計算A'!IC$106=1,LW28,1)</f>
        <v/>
      </c>
      <c r="VD28">
        <f>IF('計算A'!ID$106=1,LX28,1)</f>
        <v/>
      </c>
      <c r="VE28">
        <f>IF('計算A'!IE$106=1,LY28,1)</f>
        <v/>
      </c>
      <c r="VF28">
        <f>IF('計算A'!IF$106=1,LZ28,1)</f>
        <v/>
      </c>
      <c r="VG28">
        <f>IF('計算A'!IG$106=1,MA28,1)</f>
        <v/>
      </c>
      <c r="VH28">
        <f>IF('計算A'!IH$106=1,MB28,1)</f>
        <v/>
      </c>
      <c r="VI28" t="n">
        <v>1</v>
      </c>
      <c r="VK28">
        <f>IF($B28=0,1000000,IF(INDEX('計算A'!$D$60:$II$104,$B28,1)*CW28=1,IF(AND($E28=2,MD28=0),1000000,INDEX('計算A'!D$110:D$114,$F28+1)+IF(AND($E28=1,MD28=0),1000,0)),1000000))</f>
        <v/>
      </c>
      <c r="VL28">
        <f>IF($B28=0,1000000,IF(INDEX('計算A'!$D$60:$II$104,$B28,2)*CX28=1,IF(AND($E28=2,ME28=0),1000000,INDEX('計算A'!E$110:E$114,$F28+1)+IF(AND($E28=1,ME28=0),1000,0)),1000000))</f>
        <v/>
      </c>
      <c r="VM28">
        <f>IF($B28=0,1000000,IF(INDEX('計算A'!$D$60:$II$104,$B28,3)*CY28=1,IF(AND($E28=2,MF28=0),1000000,INDEX('計算A'!F$110:F$114,$F28+1)+IF(AND($E28=1,MF28=0),1000,0)),1000000))</f>
        <v/>
      </c>
      <c r="VN28">
        <f>IF($B28=0,1000000,IF(INDEX('計算A'!$D$60:$II$104,$B28,4)*CZ28=1,IF(AND($E28=2,MG28=0),1000000,INDEX('計算A'!G$110:G$114,$F28+1)+IF(AND($E28=1,MG28=0),1000,0)),1000000))</f>
        <v/>
      </c>
      <c r="VO28">
        <f>IF($B28=0,1000000,IF(INDEX('計算A'!$D$60:$II$104,$B28,5)*DA28=1,IF(AND($E28=2,MH28=0),1000000,INDEX('計算A'!H$110:H$114,$F28+1)+IF(AND($E28=1,MH28=0),1000,0)),1000000))</f>
        <v/>
      </c>
      <c r="VP28">
        <f>IF($B28=0,1000000,IF(INDEX('計算A'!$D$60:$II$104,$B28,6)*DB28=1,IF(AND($E28=2,MI28=0),1000000,INDEX('計算A'!I$110:I$114,$F28+1)+IF(AND($E28=1,MI28=0),1000,0)),1000000))</f>
        <v/>
      </c>
      <c r="VQ28">
        <f>IF($B28=0,1000000,IF(INDEX('計算A'!$D$60:$II$104,$B28,7)*DC28=1,IF(AND($E28=2,MJ28=0),1000000,INDEX('計算A'!J$110:J$114,$F28+1)+IF(AND($E28=1,MJ28=0),1000,0)),1000000))</f>
        <v/>
      </c>
      <c r="VR28">
        <f>IF($B28=0,1000000,IF(INDEX('計算A'!$D$60:$II$104,$B28,8)*DD28=1,IF(AND($E28=2,MK28=0),1000000,INDEX('計算A'!K$110:K$114,$F28+1)+IF(AND($E28=1,MK28=0),1000,0)),1000000))</f>
        <v/>
      </c>
      <c r="VS28">
        <f>IF($B28=0,1000000,IF(INDEX('計算A'!$D$60:$II$104,$B28,9)*DE28=1,IF(AND($E28=2,ML28=0),1000000,INDEX('計算A'!L$110:L$114,$F28+1)+IF(AND($E28=1,ML28=0),1000,0)),1000000))</f>
        <v/>
      </c>
      <c r="VT28">
        <f>IF($B28=0,1000000,IF(INDEX('計算A'!$D$60:$II$104,$B28,10)*DF28=1,IF(AND($E28=2,MM28=0),1000000,INDEX('計算A'!M$110:M$114,$F28+1)+IF(AND($E28=1,MM28=0),1000,0)),1000000))</f>
        <v/>
      </c>
      <c r="VU28">
        <f>IF($B28=0,1000000,IF(INDEX('計算A'!$D$60:$II$104,$B28,11)*DG28=1,IF(AND($E28=2,MN28=0),1000000,INDEX('計算A'!N$110:N$114,$F28+1)+IF(AND($E28=1,MN28=0),1000,0)),1000000))</f>
        <v/>
      </c>
      <c r="VV28">
        <f>IF($B28=0,1000000,IF(INDEX('計算A'!$D$60:$II$104,$B28,12)*DH28=1,IF(AND($E28=2,MO28=0),1000000,INDEX('計算A'!O$110:O$114,$F28+1)+IF(AND($E28=1,MO28=0),1000,0)),1000000))</f>
        <v/>
      </c>
      <c r="VW28">
        <f>IF($B28=0,1000000,IF(INDEX('計算A'!$D$60:$II$104,$B28,13)*DI28=1,IF(AND($E28=2,MP28=0),1000000,INDEX('計算A'!P$110:P$114,$F28+1)+IF(AND($E28=1,MP28=0),1000,0)),1000000))</f>
        <v/>
      </c>
      <c r="VX28">
        <f>IF($B28=0,1000000,IF(INDEX('計算A'!$D$60:$II$104,$B28,14)*DJ28=1,IF(AND($E28=2,MQ28=0),1000000,INDEX('計算A'!Q$110:Q$114,$F28+1)+IF(AND($E28=1,MQ28=0),1000,0)),1000000))</f>
        <v/>
      </c>
      <c r="VY28">
        <f>IF($B28=0,1000000,IF(INDEX('計算A'!$D$60:$II$104,$B28,15)*DK28=1,IF(AND($E28=2,MR28=0),1000000,INDEX('計算A'!R$110:R$114,$F28+1)+IF(AND($E28=1,MR28=0),1000,0)),1000000))</f>
        <v/>
      </c>
      <c r="VZ28">
        <f>IF($B28=0,1000000,IF(INDEX('計算A'!$D$60:$II$104,$B28,16)*DL28=1,IF(AND($E28=2,MS28=0),1000000,INDEX('計算A'!S$110:S$114,$F28+1)+IF(AND($E28=1,MS28=0),1000,0)),1000000))</f>
        <v/>
      </c>
      <c r="WA28">
        <f>IF($B28=0,1000000,IF(INDEX('計算A'!$D$60:$II$104,$B28,17)*DM28=1,IF(AND($E28=2,MT28=0),1000000,INDEX('計算A'!T$110:T$114,$F28+1)+IF(AND($E28=1,MT28=0),1000,0)),1000000))</f>
        <v/>
      </c>
      <c r="WB28">
        <f>IF($B28=0,1000000,IF(INDEX('計算A'!$D$60:$II$104,$B28,18)*DN28=1,IF(AND($E28=2,MU28=0),1000000,INDEX('計算A'!U$110:U$114,$F28+1)+IF(AND($E28=1,MU28=0),1000,0)),1000000))</f>
        <v/>
      </c>
      <c r="WC28">
        <f>IF($B28=0,1000000,IF(INDEX('計算A'!$D$60:$II$104,$B28,19)*DO28=1,IF(AND($E28=2,MV28=0),1000000,INDEX('計算A'!V$110:V$114,$F28+1)+IF(AND($E28=1,MV28=0),1000,0)),1000000))</f>
        <v/>
      </c>
      <c r="WD28">
        <f>IF($B28=0,1000000,IF(INDEX('計算A'!$D$60:$II$104,$B28,20)*DP28=1,IF(AND($E28=2,MW28=0),1000000,INDEX('計算A'!W$110:W$114,$F28+1)+IF(AND($E28=1,MW28=0),1000,0)),1000000))</f>
        <v/>
      </c>
      <c r="WE28">
        <f>IF($B28=0,1000000,IF(INDEX('計算A'!$D$60:$II$104,$B28,21)*DQ28=1,IF(AND($E28=2,MX28=0),1000000,INDEX('計算A'!X$110:X$114,$F28+1)+IF(AND($E28=1,MX28=0),1000,0)),1000000))</f>
        <v/>
      </c>
      <c r="WF28">
        <f>IF($B28=0,1000000,IF(INDEX('計算A'!$D$60:$II$104,$B28,22)*DR28=1,IF(AND($E28=2,MY28=0),1000000,INDEX('計算A'!Y$110:Y$114,$F28+1)+IF(AND($E28=1,MY28=0),1000,0)),1000000))</f>
        <v/>
      </c>
      <c r="WG28">
        <f>IF($B28=0,1000000,IF(INDEX('計算A'!$D$60:$II$104,$B28,23)*DS28=1,IF(AND($E28=2,MZ28=0),1000000,INDEX('計算A'!Z$110:Z$114,$F28+1)+IF(AND($E28=1,MZ28=0),1000,0)),1000000))</f>
        <v/>
      </c>
      <c r="WH28">
        <f>IF($B28=0,1000000,IF(INDEX('計算A'!$D$60:$II$104,$B28,24)*DT28=1,IF(AND($E28=2,NA28=0),1000000,INDEX('計算A'!AA$110:AA$114,$F28+1)+IF(AND($E28=1,NA28=0),1000,0)),1000000))</f>
        <v/>
      </c>
      <c r="WI28">
        <f>IF($B28=0,1000000,IF(INDEX('計算A'!$D$60:$II$104,$B28,25)*DU28=1,IF(AND($E28=2,NB28=0),1000000,INDEX('計算A'!AB$110:AB$114,$F28+1)+IF(AND($E28=1,NB28=0),1000,0)),1000000))</f>
        <v/>
      </c>
      <c r="WJ28">
        <f>IF($B28=0,1000000,IF(INDEX('計算A'!$D$60:$II$104,$B28,26)*DV28=1,IF(AND($E28=2,NC28=0),1000000,INDEX('計算A'!AC$110:AC$114,$F28+1)+IF(AND($E28=1,NC28=0),1000,0)),1000000))</f>
        <v/>
      </c>
      <c r="WK28">
        <f>IF($B28=0,1000000,IF(INDEX('計算A'!$D$60:$II$104,$B28,27)*DW28=1,IF(AND($E28=2,ND28=0),1000000,INDEX('計算A'!AD$110:AD$114,$F28+1)+IF(AND($E28=1,ND28=0),1000,0)),1000000))</f>
        <v/>
      </c>
      <c r="WL28">
        <f>IF($B28=0,1000000,IF(INDEX('計算A'!$D$60:$II$104,$B28,28)*DX28=1,IF(AND($E28=2,NE28=0),1000000,INDEX('計算A'!AE$110:AE$114,$F28+1)+IF(AND($E28=1,NE28=0),1000,0)),1000000))</f>
        <v/>
      </c>
      <c r="WM28">
        <f>IF($B28=0,1000000,IF(INDEX('計算A'!$D$60:$II$104,$B28,29)*DY28=1,IF(AND($E28=2,NF28=0),1000000,INDEX('計算A'!AF$110:AF$114,$F28+1)+IF(AND($E28=1,NF28=0),1000,0)),1000000))</f>
        <v/>
      </c>
      <c r="WN28">
        <f>IF($B28=0,1000000,IF(INDEX('計算A'!$D$60:$II$104,$B28,30)*DZ28=1,IF(AND($E28=2,NG28=0),1000000,INDEX('計算A'!AG$110:AG$114,$F28+1)+IF(AND($E28=1,NG28=0),1000,0)),1000000))</f>
        <v/>
      </c>
      <c r="WO28">
        <f>IF($B28=0,1000000,IF(INDEX('計算A'!$D$60:$II$104,$B28,31)*EA28=1,IF(AND($E28=2,NH28=0),1000000,INDEX('計算A'!AH$110:AH$114,$F28+1)+IF(AND($E28=1,NH28=0),1000,0)),1000000))</f>
        <v/>
      </c>
      <c r="WP28">
        <f>IF($B28=0,1000000,IF(INDEX('計算A'!$D$60:$II$104,$B28,32)*EB28=1,IF(AND($E28=2,NI28=0),1000000,INDEX('計算A'!AI$110:AI$114,$F28+1)+IF(AND($E28=1,NI28=0),1000,0)),1000000))</f>
        <v/>
      </c>
      <c r="WQ28">
        <f>IF($B28=0,1000000,IF(INDEX('計算A'!$D$60:$II$104,$B28,33)*EC28=1,IF(AND($E28=2,NJ28=0),1000000,INDEX('計算A'!AJ$110:AJ$114,$F28+1)+IF(AND($E28=1,NJ28=0),1000,0)),1000000))</f>
        <v/>
      </c>
      <c r="WR28">
        <f>IF($B28=0,1000000,IF(INDEX('計算A'!$D$60:$II$104,$B28,34)*ED28=1,IF(AND($E28=2,NK28=0),1000000,INDEX('計算A'!AK$110:AK$114,$F28+1)+IF(AND($E28=1,NK28=0),1000,0)),1000000))</f>
        <v/>
      </c>
      <c r="WS28">
        <f>IF($B28=0,1000000,IF(INDEX('計算A'!$D$60:$II$104,$B28,35)*EE28=1,IF(AND($E28=2,NL28=0),1000000,INDEX('計算A'!AL$110:AL$114,$F28+1)+IF(AND($E28=1,NL28=0),1000,0)),1000000))</f>
        <v/>
      </c>
      <c r="WT28">
        <f>IF($B28=0,1000000,IF(INDEX('計算A'!$D$60:$II$104,$B28,36)*EF28=1,IF(AND($E28=2,NM28=0),1000000,INDEX('計算A'!AM$110:AM$114,$F28+1)+IF(AND($E28=1,NM28=0),1000,0)),1000000))</f>
        <v/>
      </c>
      <c r="WU28">
        <f>IF($B28=0,1000000,IF(INDEX('計算A'!$D$60:$II$104,$B28,37)*EG28=1,IF(AND($E28=2,NN28=0),1000000,INDEX('計算A'!AN$110:AN$114,$F28+1)+IF(AND($E28=1,NN28=0),1000,0)),1000000))</f>
        <v/>
      </c>
      <c r="WV28">
        <f>IF($B28=0,1000000,IF(INDEX('計算A'!$D$60:$II$104,$B28,38)*EH28=1,IF(AND($E28=2,NO28=0),1000000,INDEX('計算A'!AO$110:AO$114,$F28+1)+IF(AND($E28=1,NO28=0),1000,0)),1000000))</f>
        <v/>
      </c>
      <c r="WW28">
        <f>IF($B28=0,1000000,IF(INDEX('計算A'!$D$60:$II$104,$B28,39)*EI28=1,IF(AND($E28=2,NP28=0),1000000,INDEX('計算A'!AP$110:AP$114,$F28+1)+IF(AND($E28=1,NP28=0),1000,0)),1000000))</f>
        <v/>
      </c>
      <c r="WX28">
        <f>IF($B28=0,1000000,IF(INDEX('計算A'!$D$60:$II$104,$B28,40)*EJ28=1,IF(AND($E28=2,NQ28=0),1000000,INDEX('計算A'!AQ$110:AQ$114,$F28+1)+IF(AND($E28=1,NQ28=0),1000,0)),1000000))</f>
        <v/>
      </c>
      <c r="WY28">
        <f>IF($B28=0,1000000,IF(INDEX('計算A'!$D$60:$II$104,$B28,41)*EK28=1,IF(AND($E28=2,NR28=0),1000000,INDEX('計算A'!AR$110:AR$114,$F28+1)+IF(AND($E28=1,NR28=0),1000,0)),1000000))</f>
        <v/>
      </c>
      <c r="WZ28">
        <f>IF($B28=0,1000000,IF(INDEX('計算A'!$D$60:$II$104,$B28,42)*EL28=1,IF(AND($E28=2,NS28=0),1000000,INDEX('計算A'!AS$110:AS$114,$F28+1)+IF(AND($E28=1,NS28=0),1000,0)),1000000))</f>
        <v/>
      </c>
      <c r="XA28">
        <f>IF($B28=0,1000000,IF(INDEX('計算A'!$D$60:$II$104,$B28,43)*EM28=1,IF(AND($E28=2,NT28=0),1000000,INDEX('計算A'!AT$110:AT$114,$F28+1)+IF(AND($E28=1,NT28=0),1000,0)),1000000))</f>
        <v/>
      </c>
      <c r="XB28">
        <f>IF($B28=0,1000000,IF(INDEX('計算A'!$D$60:$II$104,$B28,44)*EN28=1,IF(AND($E28=2,NU28=0),1000000,INDEX('計算A'!AU$110:AU$114,$F28+1)+IF(AND($E28=1,NU28=0),1000,0)),1000000))</f>
        <v/>
      </c>
      <c r="XC28">
        <f>IF($B28=0,1000000,IF(INDEX('計算A'!$D$60:$II$104,$B28,45)*EO28=1,IF(AND($E28=2,NV28=0),1000000,INDEX('計算A'!AV$110:AV$114,$F28+1)+IF(AND($E28=1,NV28=0),1000,0)),1000000))</f>
        <v/>
      </c>
      <c r="XD28">
        <f>IF($B28=0,1000000,IF(INDEX('計算A'!$D$60:$II$104,$B28,46)*EP28=1,IF(AND($E28=2,NW28=0),1000000,INDEX('計算A'!AW$110:AW$114,$F28+1)+IF(AND($E28=1,NW28=0),1000,0)),1000000))</f>
        <v/>
      </c>
      <c r="XE28">
        <f>IF($B28=0,1000000,IF(INDEX('計算A'!$D$60:$II$104,$B28,47)*EQ28=1,IF(AND($E28=2,NX28=0),1000000,INDEX('計算A'!AX$110:AX$114,$F28+1)+IF(AND($E28=1,NX28=0),1000,0)),1000000))</f>
        <v/>
      </c>
      <c r="XF28">
        <f>IF($B28=0,1000000,IF(INDEX('計算A'!$D$60:$II$104,$B28,48)*ER28=1,IF(AND($E28=2,NY28=0),1000000,INDEX('計算A'!AY$110:AY$114,$F28+1)+IF(AND($E28=1,NY28=0),1000,0)),1000000))</f>
        <v/>
      </c>
      <c r="XG28">
        <f>IF($B28=0,1000000,IF(INDEX('計算A'!$D$60:$II$104,$B28,49)*ES28=1,IF(AND($E28=2,NZ28=0),1000000,INDEX('計算A'!AZ$110:AZ$114,$F28+1)+IF(AND($E28=1,NZ28=0),1000,0)),1000000))</f>
        <v/>
      </c>
      <c r="XH28">
        <f>IF($B28=0,1000000,IF(INDEX('計算A'!$D$60:$II$104,$B28,50)*ET28=1,IF(AND($E28=2,OA28=0),1000000,INDEX('計算A'!BA$110:BA$114,$F28+1)+IF(AND($E28=1,OA28=0),1000,0)),1000000))</f>
        <v/>
      </c>
      <c r="XI28">
        <f>IF($B28=0,1000000,IF(INDEX('計算A'!$D$60:$II$104,$B28,51)*EU28=1,IF(AND($E28=2,OB28=0),1000000,INDEX('計算A'!BB$110:BB$114,$F28+1)+IF(AND($E28=1,OB28=0),1000,0)),1000000))</f>
        <v/>
      </c>
      <c r="XJ28">
        <f>IF($B28=0,1000000,IF(INDEX('計算A'!$D$60:$II$104,$B28,52)*EV28=1,IF(AND($E28=2,OC28=0),1000000,INDEX('計算A'!BC$110:BC$114,$F28+1)+IF(AND($E28=1,OC28=0),1000,0)),1000000))</f>
        <v/>
      </c>
      <c r="XK28">
        <f>IF($B28=0,1000000,IF(INDEX('計算A'!$D$60:$II$104,$B28,53)*EW28=1,IF(AND($E28=2,OD28=0),1000000,INDEX('計算A'!BD$110:BD$114,$F28+1)+IF(AND($E28=1,OD28=0),1000,0)),1000000))</f>
        <v/>
      </c>
      <c r="XL28">
        <f>IF($B28=0,1000000,IF(INDEX('計算A'!$D$60:$II$104,$B28,54)*EX28=1,IF(AND($E28=2,OE28=0),1000000,INDEX('計算A'!BE$110:BE$114,$F28+1)+IF(AND($E28=1,OE28=0),1000,0)),1000000))</f>
        <v/>
      </c>
      <c r="XM28">
        <f>IF($B28=0,1000000,IF(INDEX('計算A'!$D$60:$II$104,$B28,55)*EY28=1,IF(AND($E28=2,OF28=0),1000000,INDEX('計算A'!BF$110:BF$114,$F28+1)+IF(AND($E28=1,OF28=0),1000,0)),1000000))</f>
        <v/>
      </c>
      <c r="XN28">
        <f>IF($B28=0,1000000,IF(INDEX('計算A'!$D$60:$II$104,$B28,56)*EZ28=1,IF(AND($E28=2,OG28=0),1000000,INDEX('計算A'!BG$110:BG$114,$F28+1)+IF(AND($E28=1,OG28=0),1000,0)),1000000))</f>
        <v/>
      </c>
      <c r="XO28">
        <f>IF($B28=0,1000000,IF(INDEX('計算A'!$D$60:$II$104,$B28,57)*FA28=1,IF(AND($E28=2,OH28=0),1000000,INDEX('計算A'!BH$110:BH$114,$F28+1)+IF(AND($E28=1,OH28=0),1000,0)),1000000))</f>
        <v/>
      </c>
      <c r="XP28">
        <f>IF($B28=0,1000000,IF(INDEX('計算A'!$D$60:$II$104,$B28,58)*FB28=1,IF(AND($E28=2,OI28=0),1000000,INDEX('計算A'!BI$110:BI$114,$F28+1)+IF(AND($E28=1,OI28=0),1000,0)),1000000))</f>
        <v/>
      </c>
      <c r="XQ28">
        <f>IF($B28=0,1000000,IF(INDEX('計算A'!$D$60:$II$104,$B28,59)*FC28=1,IF(AND($E28=2,OJ28=0),1000000,INDEX('計算A'!BJ$110:BJ$114,$F28+1)+IF(AND($E28=1,OJ28=0),1000,0)),1000000))</f>
        <v/>
      </c>
      <c r="XR28">
        <f>IF($B28=0,1000000,IF(INDEX('計算A'!$D$60:$II$104,$B28,60)*FD28=1,IF(AND($E28=2,OK28=0),1000000,INDEX('計算A'!BK$110:BK$114,$F28+1)+IF(AND($E28=1,OK28=0),1000,0)),1000000))</f>
        <v/>
      </c>
      <c r="XS28">
        <f>IF($B28=0,1000000,IF(INDEX('計算A'!$D$60:$II$104,$B28,61)*FE28=1,IF(AND($E28=2,OL28=0),1000000,INDEX('計算A'!BL$110:BL$114,$F28+1)+IF(AND($E28=1,OL28=0),1000,0)),1000000))</f>
        <v/>
      </c>
      <c r="XT28">
        <f>IF($B28=0,1000000,IF(INDEX('計算A'!$D$60:$II$104,$B28,62)*FF28=1,IF(AND($E28=2,OM28=0),1000000,INDEX('計算A'!BM$110:BM$114,$F28+1)+IF(AND($E28=1,OM28=0),1000,0)),1000000))</f>
        <v/>
      </c>
      <c r="XU28">
        <f>IF($B28=0,1000000,IF(INDEX('計算A'!$D$60:$II$104,$B28,63)*FG28=1,IF(AND($E28=2,ON28=0),1000000,INDEX('計算A'!BN$110:BN$114,$F28+1)+IF(AND($E28=1,ON28=0),1000,0)),1000000))</f>
        <v/>
      </c>
      <c r="XV28">
        <f>IF($B28=0,1000000,IF(INDEX('計算A'!$D$60:$II$104,$B28,64)*FH28=1,IF(AND($E28=2,OO28=0),1000000,INDEX('計算A'!BO$110:BO$114,$F28+1)+IF(AND($E28=1,OO28=0),1000,0)),1000000))</f>
        <v/>
      </c>
      <c r="XW28">
        <f>IF($B28=0,1000000,IF(INDEX('計算A'!$D$60:$II$104,$B28,65)*FI28=1,IF(AND($E28=2,OP28=0),1000000,INDEX('計算A'!BP$110:BP$114,$F28+1)+IF(AND($E28=1,OP28=0),1000,0)),1000000))</f>
        <v/>
      </c>
      <c r="XX28">
        <f>IF($B28=0,1000000,IF(INDEX('計算A'!$D$60:$II$104,$B28,66)*FJ28=1,IF(AND($E28=2,OQ28=0),1000000,INDEX('計算A'!BQ$110:BQ$114,$F28+1)+IF(AND($E28=1,OQ28=0),1000,0)),1000000))</f>
        <v/>
      </c>
      <c r="XY28">
        <f>IF($B28=0,1000000,IF(INDEX('計算A'!$D$60:$II$104,$B28,67)*FK28=1,IF(AND($E28=2,OR28=0),1000000,INDEX('計算A'!BR$110:BR$114,$F28+1)+IF(AND($E28=1,OR28=0),1000,0)),1000000))</f>
        <v/>
      </c>
      <c r="XZ28">
        <f>IF($B28=0,1000000,IF(INDEX('計算A'!$D$60:$II$104,$B28,68)*FL28=1,IF(AND($E28=2,OS28=0),1000000,INDEX('計算A'!BS$110:BS$114,$F28+1)+IF(AND($E28=1,OS28=0),1000,0)),1000000))</f>
        <v/>
      </c>
      <c r="YA28">
        <f>IF($B28=0,1000000,IF(INDEX('計算A'!$D$60:$II$104,$B28,69)*FM28=1,IF(AND($E28=2,OT28=0),1000000,INDEX('計算A'!BT$110:BT$114,$F28+1)+IF(AND($E28=1,OT28=0),1000,0)),1000000))</f>
        <v/>
      </c>
      <c r="YB28">
        <f>IF($B28=0,1000000,IF(INDEX('計算A'!$D$60:$II$104,$B28,70)*FN28=1,IF(AND($E28=2,OU28=0),1000000,INDEX('計算A'!BU$110:BU$114,$F28+1)+IF(AND($E28=1,OU28=0),1000,0)),1000000))</f>
        <v/>
      </c>
      <c r="YC28">
        <f>IF($B28=0,1000000,IF(INDEX('計算A'!$D$60:$II$104,$B28,71)*FO28=1,IF(AND($E28=2,OV28=0),1000000,INDEX('計算A'!BV$110:BV$114,$F28+1)+IF(AND($E28=1,OV28=0),1000,0)),1000000))</f>
        <v/>
      </c>
      <c r="YD28">
        <f>IF($B28=0,1000000,IF(INDEX('計算A'!$D$60:$II$104,$B28,72)*FP28=1,IF(AND($E28=2,OW28=0),1000000,INDEX('計算A'!BW$110:BW$114,$F28+1)+IF(AND($E28=1,OW28=0),1000,0)),1000000))</f>
        <v/>
      </c>
      <c r="YE28">
        <f>IF($B28=0,1000000,IF(INDEX('計算A'!$D$60:$II$104,$B28,73)*FQ28=1,IF(AND($E28=2,OX28=0),1000000,INDEX('計算A'!BX$110:BX$114,$F28+1)+IF(AND($E28=1,OX28=0),1000,0)),1000000))</f>
        <v/>
      </c>
      <c r="YF28">
        <f>IF($B28=0,1000000,IF(INDEX('計算A'!$D$60:$II$104,$B28,74)*FR28=1,IF(AND($E28=2,OY28=0),1000000,INDEX('計算A'!BY$110:BY$114,$F28+1)+IF(AND($E28=1,OY28=0),1000,0)),1000000))</f>
        <v/>
      </c>
      <c r="YG28">
        <f>IF($B28=0,1000000,IF(INDEX('計算A'!$D$60:$II$104,$B28,75)*FS28=1,IF(AND($E28=2,OZ28=0),1000000,INDEX('計算A'!BZ$110:BZ$114,$F28+1)+IF(AND($E28=1,OZ28=0),1000,0)),1000000))</f>
        <v/>
      </c>
      <c r="YH28">
        <f>IF($B28=0,1000000,IF(INDEX('計算A'!$D$60:$II$104,$B28,76)*FT28=1,IF(AND($E28=2,PA28=0),1000000,INDEX('計算A'!CA$110:CA$114,$F28+1)+IF(AND($E28=1,PA28=0),1000,0)),1000000))</f>
        <v/>
      </c>
      <c r="YI28">
        <f>IF($B28=0,1000000,IF(INDEX('計算A'!$D$60:$II$104,$B28,77)*FU28=1,IF(AND($E28=2,PB28=0),1000000,INDEX('計算A'!CB$110:CB$114,$F28+1)+IF(AND($E28=1,PB28=0),1000,0)),1000000))</f>
        <v/>
      </c>
      <c r="YJ28">
        <f>IF($B28=0,1000000,IF(INDEX('計算A'!$D$60:$II$104,$B28,78)*FV28=1,IF(AND($E28=2,PC28=0),1000000,INDEX('計算A'!CC$110:CC$114,$F28+1)+IF(AND($E28=1,PC28=0),1000,0)),1000000))</f>
        <v/>
      </c>
      <c r="YK28">
        <f>IF($B28=0,1000000,IF(INDEX('計算A'!$D$60:$II$104,$B28,79)*FW28=1,IF(AND($E28=2,PD28=0),1000000,INDEX('計算A'!CD$110:CD$114,$F28+1)+IF(AND($E28=1,PD28=0),1000,0)),1000000))</f>
        <v/>
      </c>
      <c r="YL28">
        <f>IF($B28=0,1000000,IF(INDEX('計算A'!$D$60:$II$104,$B28,80)*FX28=1,IF(AND($E28=2,PE28=0),1000000,INDEX('計算A'!CE$110:CE$114,$F28+1)+IF(AND($E28=1,PE28=0),1000,0)),1000000))</f>
        <v/>
      </c>
      <c r="YM28">
        <f>IF($B28=0,1000000,IF(INDEX('計算A'!$D$60:$II$104,$B28,81)*FY28=1,IF(AND($E28=2,PF28=0),1000000,INDEX('計算A'!CF$110:CF$114,$F28+1)+IF(AND($E28=1,PF28=0),1000,0)),1000000))</f>
        <v/>
      </c>
      <c r="YN28">
        <f>IF($B28=0,1000000,IF(INDEX('計算A'!$D$60:$II$104,$B28,82)*FZ28=1,IF(AND($E28=2,PG28=0),1000000,INDEX('計算A'!CG$110:CG$114,$F28+1)+IF(AND($E28=1,PG28=0),1000,0)),1000000))</f>
        <v/>
      </c>
      <c r="YO28">
        <f>IF($B28=0,1000000,IF(INDEX('計算A'!$D$60:$II$104,$B28,83)*GA28=1,IF(AND($E28=2,PH28=0),1000000,INDEX('計算A'!CH$110:CH$114,$F28+1)+IF(AND($E28=1,PH28=0),1000,0)),1000000))</f>
        <v/>
      </c>
      <c r="YP28">
        <f>IF($B28=0,1000000,IF(INDEX('計算A'!$D$60:$II$104,$B28,84)*GB28=1,IF(AND($E28=2,PI28=0),1000000,INDEX('計算A'!CI$110:CI$114,$F28+1)+IF(AND($E28=1,PI28=0),1000,0)),1000000))</f>
        <v/>
      </c>
      <c r="YQ28">
        <f>IF($B28=0,1000000,IF(INDEX('計算A'!$D$60:$II$104,$B28,85)*GC28=1,IF(AND($E28=2,PJ28=0),1000000,INDEX('計算A'!CJ$110:CJ$114,$F28+1)+IF(AND($E28=1,PJ28=0),1000,0)),1000000))</f>
        <v/>
      </c>
      <c r="YR28">
        <f>IF($B28=0,1000000,IF(INDEX('計算A'!$D$60:$II$104,$B28,86)*GD28=1,IF(AND($E28=2,PK28=0),1000000,INDEX('計算A'!CK$110:CK$114,$F28+1)+IF(AND($E28=1,PK28=0),1000,0)),1000000))</f>
        <v/>
      </c>
      <c r="YS28">
        <f>IF($B28=0,1000000,IF(INDEX('計算A'!$D$60:$II$104,$B28,87)*GE28=1,IF(AND($E28=2,PL28=0),1000000,INDEX('計算A'!CL$110:CL$114,$F28+1)+IF(AND($E28=1,PL28=0),1000,0)),1000000))</f>
        <v/>
      </c>
      <c r="YT28">
        <f>IF($B28=0,1000000,IF(INDEX('計算A'!$D$60:$II$104,$B28,88)*GF28=1,IF(AND($E28=2,PM28=0),1000000,INDEX('計算A'!CM$110:CM$114,$F28+1)+IF(AND($E28=1,PM28=0),1000,0)),1000000))</f>
        <v/>
      </c>
      <c r="YU28">
        <f>IF($B28=0,1000000,IF(INDEX('計算A'!$D$60:$II$104,$B28,89)*GG28=1,IF(AND($E28=2,PN28=0),1000000,INDEX('計算A'!CN$110:CN$114,$F28+1)+IF(AND($E28=1,PN28=0),1000,0)),1000000))</f>
        <v/>
      </c>
      <c r="YV28">
        <f>IF($B28=0,1000000,IF(INDEX('計算A'!$D$60:$II$104,$B28,90)*GH28=1,IF(AND($E28=2,PO28=0),1000000,INDEX('計算A'!CO$110:CO$114,$F28+1)+IF(AND($E28=1,PO28=0),1000,0)),1000000))</f>
        <v/>
      </c>
      <c r="YW28">
        <f>IF($B28=0,1000000,IF(INDEX('計算A'!$D$60:$II$104,$B28,91)*GI28=1,IF(AND($E28=2,PP28=0),1000000,INDEX('計算A'!CP$110:CP$114,$F28+1)+IF(AND($E28=1,PP28=0),1000,0)),1000000))</f>
        <v/>
      </c>
      <c r="YX28">
        <f>IF($B28=0,1000000,IF(INDEX('計算A'!$D$60:$II$104,$B28,92)*GJ28=1,IF(AND($E28=2,PQ28=0),1000000,INDEX('計算A'!CQ$110:CQ$114,$F28+1)+IF(AND($E28=1,PQ28=0),1000,0)),1000000))</f>
        <v/>
      </c>
      <c r="YY28">
        <f>IF($B28=0,1000000,IF(INDEX('計算A'!$D$60:$II$104,$B28,93)*GK28=1,IF(AND($E28=2,PR28=0),1000000,INDEX('計算A'!CR$110:CR$114,$F28+1)+IF(AND($E28=1,PR28=0),1000,0)),1000000))</f>
        <v/>
      </c>
      <c r="YZ28">
        <f>IF($B28=0,1000000,IF(INDEX('計算A'!$D$60:$II$104,$B28,94)*GL28=1,IF(AND($E28=2,PS28=0),1000000,INDEX('計算A'!CS$110:CS$114,$F28+1)+IF(AND($E28=1,PS28=0),1000,0)),1000000))</f>
        <v/>
      </c>
      <c r="ZA28">
        <f>IF($B28=0,1000000,IF(INDEX('計算A'!$D$60:$II$104,$B28,95)*GM28=1,IF(AND($E28=2,PT28=0),1000000,INDEX('計算A'!CT$110:CT$114,$F28+1)+IF(AND($E28=1,PT28=0),1000,0)),1000000))</f>
        <v/>
      </c>
      <c r="ZB28">
        <f>IF($B28=0,1000000,IF(INDEX('計算A'!$D$60:$II$104,$B28,96)*GN28=1,IF(AND($E28=2,PU28=0),1000000,INDEX('計算A'!CU$110:CU$114,$F28+1)+IF(AND($E28=1,PU28=0),1000,0)),1000000))</f>
        <v/>
      </c>
      <c r="ZC28">
        <f>IF($B28=0,1000000,IF(INDEX('計算A'!$D$60:$II$104,$B28,97)*GO28=1,IF(AND($E28=2,PV28=0),1000000,INDEX('計算A'!CV$110:CV$114,$F28+1)+IF(AND($E28=1,PV28=0),1000,0)),1000000))</f>
        <v/>
      </c>
      <c r="ZD28">
        <f>IF($B28=0,1000000,IF(INDEX('計算A'!$D$60:$II$104,$B28,98)*GP28=1,IF(AND($E28=2,PW28=0),1000000,INDEX('計算A'!CW$110:CW$114,$F28+1)+IF(AND($E28=1,PW28=0),1000,0)),1000000))</f>
        <v/>
      </c>
      <c r="ZE28">
        <f>IF($B28=0,1000000,IF(INDEX('計算A'!$D$60:$II$104,$B28,99)*GQ28=1,IF(AND($E28=2,PX28=0),1000000,INDEX('計算A'!CX$110:CX$114,$F28+1)+IF(AND($E28=1,PX28=0),1000,0)),1000000))</f>
        <v/>
      </c>
      <c r="ZF28">
        <f>IF($B28=0,1000000,IF(INDEX('計算A'!$D$60:$II$104,$B28,100)*GR28=1,IF(AND($E28=2,PY28=0),1000000,INDEX('計算A'!CY$110:CY$114,$F28+1)+IF(AND($E28=1,PY28=0),1000,0)),1000000))</f>
        <v/>
      </c>
      <c r="ZG28">
        <f>IF($B28=0,1000000,IF(INDEX('計算A'!$D$60:$II$104,$B28,101)*GS28=1,IF(AND($E28=2,PZ28=0),1000000,INDEX('計算A'!CZ$110:CZ$114,$F28+1)+IF(AND($E28=1,PZ28=0),1000,0)),1000000))</f>
        <v/>
      </c>
      <c r="ZH28">
        <f>IF($B28=0,1000000,IF(INDEX('計算A'!$D$60:$II$104,$B28,102)*GT28=1,IF(AND($E28=2,QA28=0),1000000,INDEX('計算A'!DA$110:DA$114,$F28+1)+IF(AND($E28=1,QA28=0),1000,0)),1000000))</f>
        <v/>
      </c>
      <c r="ZI28">
        <f>IF($B28=0,1000000,IF(INDEX('計算A'!$D$60:$II$104,$B28,103)*GU28=1,IF(AND($E28=2,QB28=0),1000000,INDEX('計算A'!DB$110:DB$114,$F28+1)+IF(AND($E28=1,QB28=0),1000,0)),1000000))</f>
        <v/>
      </c>
      <c r="ZJ28">
        <f>IF($B28=0,1000000,IF(INDEX('計算A'!$D$60:$II$104,$B28,104)*GV28=1,IF(AND($E28=2,QC28=0),1000000,INDEX('計算A'!DC$110:DC$114,$F28+1)+IF(AND($E28=1,QC28=0),1000,0)),1000000))</f>
        <v/>
      </c>
      <c r="ZK28">
        <f>IF($B28=0,1000000,IF(INDEX('計算A'!$D$60:$II$104,$B28,105)*GW28=1,IF(AND($E28=2,QD28=0),1000000,INDEX('計算A'!DD$110:DD$114,$F28+1)+IF(AND($E28=1,QD28=0),1000,0)),1000000))</f>
        <v/>
      </c>
      <c r="ZL28">
        <f>IF($B28=0,1000000,IF(INDEX('計算A'!$D$60:$II$104,$B28,106)*GX28=1,IF(AND($E28=2,QE28=0),1000000,INDEX('計算A'!DE$110:DE$114,$F28+1)+IF(AND($E28=1,QE28=0),1000,0)),1000000))</f>
        <v/>
      </c>
      <c r="ZM28">
        <f>IF($B28=0,1000000,IF(INDEX('計算A'!$D$60:$II$104,$B28,107)*GY28=1,IF(AND($E28=2,QF28=0),1000000,INDEX('計算A'!DF$110:DF$114,$F28+1)+IF(AND($E28=1,QF28=0),1000,0)),1000000))</f>
        <v/>
      </c>
      <c r="ZN28">
        <f>IF($B28=0,1000000,IF(INDEX('計算A'!$D$60:$II$104,$B28,108)*GZ28=1,IF(AND($E28=2,QG28=0),1000000,INDEX('計算A'!DG$110:DG$114,$F28+1)+IF(AND($E28=1,QG28=0),1000,0)),1000000))</f>
        <v/>
      </c>
      <c r="ZO28">
        <f>IF($B28=0,1000000,IF(INDEX('計算A'!$D$60:$II$104,$B28,109)*HA28=1,IF(AND($E28=2,QH28=0),1000000,INDEX('計算A'!DH$110:DH$114,$F28+1)+IF(AND($E28=1,QH28=0),1000,0)),1000000))</f>
        <v/>
      </c>
      <c r="ZP28">
        <f>IF($B28=0,1000000,IF(INDEX('計算A'!$D$60:$II$104,$B28,110)*HB28=1,IF(AND($E28=2,QI28=0),1000000,INDEX('計算A'!DI$110:DI$114,$F28+1)+IF(AND($E28=1,QI28=0),1000,0)),1000000))</f>
        <v/>
      </c>
      <c r="ZQ28">
        <f>IF($B28=0,1000000,IF(INDEX('計算A'!$D$60:$II$104,$B28,111)*HC28=1,IF(AND($E28=2,QJ28=0),1000000,INDEX('計算A'!DJ$110:DJ$114,$F28+1)+IF(AND($E28=1,QJ28=0),1000,0)),1000000))</f>
        <v/>
      </c>
      <c r="ZR28">
        <f>IF($B28=0,1000000,IF(INDEX('計算A'!$D$60:$II$104,$B28,112)*HD28=1,IF(AND($E28=2,QK28=0),1000000,INDEX('計算A'!DK$110:DK$114,$F28+1)+IF(AND($E28=1,QK28=0),1000,0)),1000000))</f>
        <v/>
      </c>
      <c r="ZS28">
        <f>IF($B28=0,1000000,IF(INDEX('計算A'!$D$60:$II$104,$B28,113)*HE28=1,IF(AND($E28=2,QL28=0),1000000,INDEX('計算A'!DL$110:DL$114,$F28+1)+IF(AND($E28=1,QL28=0),1000,0)),1000000))</f>
        <v/>
      </c>
      <c r="ZT28">
        <f>IF($B28=0,1000000,IF(INDEX('計算A'!$D$60:$II$104,$B28,114)*HF28=1,IF(AND($E28=2,QM28=0),1000000,INDEX('計算A'!DM$110:DM$114,$F28+1)+IF(AND($E28=1,QM28=0),1000,0)),1000000))</f>
        <v/>
      </c>
      <c r="ZU28">
        <f>IF($B28=0,1000000,IF(INDEX('計算A'!$D$60:$II$104,$B28,115)*HG28=1,IF(AND($E28=2,QN28=0),1000000,INDEX('計算A'!DN$110:DN$114,$F28+1)+IF(AND($E28=1,QN28=0),1000,0)),1000000))</f>
        <v/>
      </c>
      <c r="ZV28">
        <f>IF($B28=0,1000000,IF(INDEX('計算A'!$D$60:$II$104,$B28,116)*HH28=1,IF(AND($E28=2,QO28=0),1000000,INDEX('計算A'!DO$110:DO$114,$F28+1)+IF(AND($E28=1,QO28=0),1000,0)),1000000))</f>
        <v/>
      </c>
      <c r="ZW28">
        <f>IF($B28=0,1000000,IF(INDEX('計算A'!$D$60:$II$104,$B28,117)*HI28=1,IF(AND($E28=2,QP28=0),1000000,INDEX('計算A'!DP$110:DP$114,$F28+1)+IF(AND($E28=1,QP28=0),1000,0)),1000000))</f>
        <v/>
      </c>
      <c r="ZX28">
        <f>IF($B28=0,1000000,IF(INDEX('計算A'!$D$60:$II$104,$B28,118)*HJ28=1,IF(AND($E28=2,QQ28=0),1000000,INDEX('計算A'!DQ$110:DQ$114,$F28+1)+IF(AND($E28=1,QQ28=0),1000,0)),1000000))</f>
        <v/>
      </c>
      <c r="ZY28">
        <f>IF($B28=0,1000000,IF(INDEX('計算A'!$D$60:$II$104,$B28,119)*HK28=1,IF(AND($E28=2,QR28=0),1000000,INDEX('計算A'!DR$110:DR$114,$F28+1)+IF(AND($E28=1,QR28=0),1000,0)),1000000))</f>
        <v/>
      </c>
      <c r="ZZ28">
        <f>IF($B28=0,1000000,IF(INDEX('計算A'!$D$60:$II$104,$B28,120)*HL28=1,IF(AND($E28=2,QS28=0),1000000,INDEX('計算A'!DS$110:DS$114,$F28+1)+IF(AND($E28=1,QS28=0),1000,0)),1000000))</f>
        <v/>
      </c>
      <c r="AAA28">
        <f>IF($B28=0,1000000,IF(INDEX('計算A'!$D$60:$II$104,$B28,121)*HM28=1,IF(AND($E28=2,QT28=0),1000000,INDEX('計算A'!DT$110:DT$114,$F28+1)+IF(AND($E28=1,QT28=0),1000,0)),1000000))</f>
        <v/>
      </c>
      <c r="AAB28">
        <f>IF($B28=0,1000000,IF(INDEX('計算A'!$D$60:$II$104,$B28,122)*HN28=1,IF(AND($E28=2,QU28=0),1000000,INDEX('計算A'!DU$110:DU$114,$F28+1)+IF(AND($E28=1,QU28=0),1000,0)),1000000))</f>
        <v/>
      </c>
      <c r="AAC28">
        <f>IF($B28=0,1000000,IF(INDEX('計算A'!$D$60:$II$104,$B28,123)*HO28=1,IF(AND($E28=2,QV28=0),1000000,INDEX('計算A'!DV$110:DV$114,$F28+1)+IF(AND($E28=1,QV28=0),1000,0)),1000000))</f>
        <v/>
      </c>
      <c r="AAD28">
        <f>IF($B28=0,1000000,IF(INDEX('計算A'!$D$60:$II$104,$B28,124)*HP28=1,IF(AND($E28=2,QW28=0),1000000,INDEX('計算A'!DW$110:DW$114,$F28+1)+IF(AND($E28=1,QW28=0),1000,0)),1000000))</f>
        <v/>
      </c>
      <c r="AAE28">
        <f>IF($B28=0,1000000,IF(INDEX('計算A'!$D$60:$II$104,$B28,125)*HQ28=1,IF(AND($E28=2,QX28=0),1000000,INDEX('計算A'!DX$110:DX$114,$F28+1)+IF(AND($E28=1,QX28=0),1000,0)),1000000))</f>
        <v/>
      </c>
      <c r="AAF28">
        <f>IF($B28=0,1000000,IF(INDEX('計算A'!$D$60:$II$104,$B28,126)*HR28=1,IF(AND($E28=2,QY28=0),1000000,INDEX('計算A'!DY$110:DY$114,$F28+1)+IF(AND($E28=1,QY28=0),1000,0)),1000000))</f>
        <v/>
      </c>
      <c r="AAG28">
        <f>IF($B28=0,1000000,IF(INDEX('計算A'!$D$60:$II$104,$B28,127)*HS28=1,IF(AND($E28=2,QZ28=0),1000000,INDEX('計算A'!DZ$110:DZ$114,$F28+1)+IF(AND($E28=1,QZ28=0),1000,0)),1000000))</f>
        <v/>
      </c>
      <c r="AAH28">
        <f>IF($B28=0,1000000,IF(INDEX('計算A'!$D$60:$II$104,$B28,128)*HT28=1,IF(AND($E28=2,RA28=0),1000000,INDEX('計算A'!EA$110:EA$114,$F28+1)+IF(AND($E28=1,RA28=0),1000,0)),1000000))</f>
        <v/>
      </c>
      <c r="AAI28">
        <f>IF($B28=0,1000000,IF(INDEX('計算A'!$D$60:$II$104,$B28,129)*HU28=1,IF(AND($E28=2,RB28=0),1000000,INDEX('計算A'!EB$110:EB$114,$F28+1)+IF(AND($E28=1,RB28=0),1000,0)),1000000))</f>
        <v/>
      </c>
      <c r="AAJ28">
        <f>IF($B28=0,1000000,IF(INDEX('計算A'!$D$60:$II$104,$B28,130)*HV28=1,IF(AND($E28=2,RC28=0),1000000,INDEX('計算A'!EC$110:EC$114,$F28+1)+IF(AND($E28=1,RC28=0),1000,0)),1000000))</f>
        <v/>
      </c>
      <c r="AAK28">
        <f>IF($B28=0,1000000,IF(INDEX('計算A'!$D$60:$II$104,$B28,131)*HW28=1,IF(AND($E28=2,RD28=0),1000000,INDEX('計算A'!ED$110:ED$114,$F28+1)+IF(AND($E28=1,RD28=0),1000,0)),1000000))</f>
        <v/>
      </c>
      <c r="AAL28">
        <f>IF($B28=0,1000000,IF(INDEX('計算A'!$D$60:$II$104,$B28,132)*HX28=1,IF(AND($E28=2,RE28=0),1000000,INDEX('計算A'!EE$110:EE$114,$F28+1)+IF(AND($E28=1,RE28=0),1000,0)),1000000))</f>
        <v/>
      </c>
      <c r="AAM28">
        <f>IF($B28=0,1000000,IF(INDEX('計算A'!$D$60:$II$104,$B28,133)*HY28=1,IF(AND($E28=2,RF28=0),1000000,INDEX('計算A'!EF$110:EF$114,$F28+1)+IF(AND($E28=1,RF28=0),1000,0)),1000000))</f>
        <v/>
      </c>
      <c r="AAN28">
        <f>IF($B28=0,1000000,IF(INDEX('計算A'!$D$60:$II$104,$B28,134)*HZ28=1,IF(AND($E28=2,RG28=0),1000000,INDEX('計算A'!EG$110:EG$114,$F28+1)+IF(AND($E28=1,RG28=0),1000,0)),1000000))</f>
        <v/>
      </c>
      <c r="AAO28">
        <f>IF($B28=0,1000000,IF(INDEX('計算A'!$D$60:$II$104,$B28,135)*IA28=1,IF(AND($E28=2,RH28=0),1000000,INDEX('計算A'!EH$110:EH$114,$F28+1)+IF(AND($E28=1,RH28=0),1000,0)),1000000))</f>
        <v/>
      </c>
      <c r="AAP28">
        <f>IF($B28=0,1000000,IF(INDEX('計算A'!$D$60:$II$104,$B28,136)*IB28=1,IF(AND($E28=2,RI28=0),1000000,INDEX('計算A'!EI$110:EI$114,$F28+1)+IF(AND($E28=1,RI28=0),1000,0)),1000000))</f>
        <v/>
      </c>
      <c r="AAQ28">
        <f>IF($B28=0,1000000,IF(INDEX('計算A'!$D$60:$II$104,$B28,137)*IC28=1,IF(AND($E28=2,RJ28=0),1000000,INDEX('計算A'!EJ$110:EJ$114,$F28+1)+IF(AND($E28=1,RJ28=0),1000,0)),1000000))</f>
        <v/>
      </c>
      <c r="AAR28">
        <f>IF($B28=0,1000000,IF(INDEX('計算A'!$D$60:$II$104,$B28,138)*ID28=1,IF(AND($E28=2,RK28=0),1000000,INDEX('計算A'!EK$110:EK$114,$F28+1)+IF(AND($E28=1,RK28=0),1000,0)),1000000))</f>
        <v/>
      </c>
      <c r="AAS28">
        <f>IF($B28=0,1000000,IF(INDEX('計算A'!$D$60:$II$104,$B28,139)*IE28=1,IF(AND($E28=2,RL28=0),1000000,INDEX('計算A'!EL$110:EL$114,$F28+1)+IF(AND($E28=1,RL28=0),1000,0)),1000000))</f>
        <v/>
      </c>
      <c r="AAT28">
        <f>IF($B28=0,1000000,IF(INDEX('計算A'!$D$60:$II$104,$B28,140)*IF28=1,IF(AND($E28=2,RM28=0),1000000,INDEX('計算A'!EM$110:EM$114,$F28+1)+IF(AND($E28=1,RM28=0),1000,0)),1000000))</f>
        <v/>
      </c>
      <c r="AAU28">
        <f>IF($B28=0,1000000,IF(INDEX('計算A'!$D$60:$II$104,$B28,141)*IG28=1,IF(AND($E28=2,RN28=0),1000000,INDEX('計算A'!EN$110:EN$114,$F28+1)+IF(AND($E28=1,RN28=0),1000,0)),1000000))</f>
        <v/>
      </c>
      <c r="AAV28">
        <f>IF($B28=0,1000000,IF(INDEX('計算A'!$D$60:$II$104,$B28,142)*IH28=1,IF(AND($E28=2,RO28=0),1000000,INDEX('計算A'!EO$110:EO$114,$F28+1)+IF(AND($E28=1,RO28=0),1000,0)),1000000))</f>
        <v/>
      </c>
      <c r="AAW28">
        <f>IF($B28=0,1000000,IF(INDEX('計算A'!$D$60:$II$104,$B28,143)*II28=1,IF(AND($E28=2,RP28=0),1000000,INDEX('計算A'!EP$110:EP$114,$F28+1)+IF(AND($E28=1,RP28=0),1000,0)),1000000))</f>
        <v/>
      </c>
      <c r="AAX28">
        <f>IF($B28=0,1000000,IF(INDEX('計算A'!$D$60:$II$104,$B28,144)*IJ28=1,IF(AND($E28=2,RQ28=0),1000000,INDEX('計算A'!EQ$110:EQ$114,$F28+1)+IF(AND($E28=1,RQ28=0),1000,0)),1000000))</f>
        <v/>
      </c>
      <c r="AAY28">
        <f>IF($B28=0,1000000,IF(INDEX('計算A'!$D$60:$II$104,$B28,145)*IK28=1,IF(AND($E28=2,RR28=0),1000000,INDEX('計算A'!ER$110:ER$114,$F28+1)+IF(AND($E28=1,RR28=0),1000,0)),1000000))</f>
        <v/>
      </c>
      <c r="AAZ28">
        <f>IF($B28=0,1000000,IF(INDEX('計算A'!$D$60:$II$104,$B28,146)*IL28=1,IF(AND($E28=2,RS28=0),1000000,INDEX('計算A'!ES$110:ES$114,$F28+1)+IF(AND($E28=1,RS28=0),1000,0)),1000000))</f>
        <v/>
      </c>
      <c r="ABA28">
        <f>IF($B28=0,1000000,IF(INDEX('計算A'!$D$60:$II$104,$B28,147)*IM28=1,IF(AND($E28=2,RT28=0),1000000,INDEX('計算A'!ET$110:ET$114,$F28+1)+IF(AND($E28=1,RT28=0),1000,0)),1000000))</f>
        <v/>
      </c>
      <c r="ABB28">
        <f>IF($B28=0,1000000,IF(INDEX('計算A'!$D$60:$II$104,$B28,148)*IN28=1,IF(AND($E28=2,RU28=0),1000000,INDEX('計算A'!EU$110:EU$114,$F28+1)+IF(AND($E28=1,RU28=0),1000,0)),1000000))</f>
        <v/>
      </c>
      <c r="ABC28">
        <f>IF($B28=0,1000000,IF(INDEX('計算A'!$D$60:$II$104,$B28,149)*IO28=1,IF(AND($E28=2,RV28=0),1000000,INDEX('計算A'!EV$110:EV$114,$F28+1)+IF(AND($E28=1,RV28=0),1000,0)),1000000))</f>
        <v/>
      </c>
      <c r="ABD28">
        <f>IF($B28=0,1000000,IF(INDEX('計算A'!$D$60:$II$104,$B28,150)*IP28=1,IF(AND($E28=2,RW28=0),1000000,INDEX('計算A'!EW$110:EW$114,$F28+1)+IF(AND($E28=1,RW28=0),1000,0)),1000000))</f>
        <v/>
      </c>
      <c r="ABE28">
        <f>IF($B28=0,1000000,IF(INDEX('計算A'!$D$60:$II$104,$B28,151)*IQ28=1,IF(AND($E28=2,RX28=0),1000000,INDEX('計算A'!EX$110:EX$114,$F28+1)+IF(AND($E28=1,RX28=0),1000,0)),1000000))</f>
        <v/>
      </c>
      <c r="ABF28">
        <f>IF($B28=0,1000000,IF(INDEX('計算A'!$D$60:$II$104,$B28,152)*IR28=1,IF(AND($E28=2,RY28=0),1000000,INDEX('計算A'!EY$110:EY$114,$F28+1)+IF(AND($E28=1,RY28=0),1000,0)),1000000))</f>
        <v/>
      </c>
      <c r="ABG28">
        <f>IF($B28=0,1000000,IF(INDEX('計算A'!$D$60:$II$104,$B28,153)*IS28=1,IF(AND($E28=2,RZ28=0),1000000,INDEX('計算A'!EZ$110:EZ$114,$F28+1)+IF(AND($E28=1,RZ28=0),1000,0)),1000000))</f>
        <v/>
      </c>
      <c r="ABH28">
        <f>IF($B28=0,1000000,IF(INDEX('計算A'!$D$60:$II$104,$B28,154)*IT28=1,IF(AND($E28=2,SA28=0),1000000,INDEX('計算A'!FA$110:FA$114,$F28+1)+IF(AND($E28=1,SA28=0),1000,0)),1000000))</f>
        <v/>
      </c>
      <c r="ABI28">
        <f>IF($B28=0,1000000,IF(INDEX('計算A'!$D$60:$II$104,$B28,155)*IU28=1,IF(AND($E28=2,SB28=0),1000000,INDEX('計算A'!FB$110:FB$114,$F28+1)+IF(AND($E28=1,SB28=0),1000,0)),1000000))</f>
        <v/>
      </c>
      <c r="ABJ28">
        <f>IF($B28=0,1000000,IF(INDEX('計算A'!$D$60:$II$104,$B28,156)*IV28=1,IF(AND($E28=2,SC28=0),1000000,INDEX('計算A'!FC$110:FC$114,$F28+1)+IF(AND($E28=1,SC28=0),1000,0)),1000000))</f>
        <v/>
      </c>
      <c r="ABK28">
        <f>IF($B28=0,1000000,IF(INDEX('計算A'!$D$60:$II$104,$B28,157)*IW28=1,IF(AND($E28=2,SD28=0),1000000,INDEX('計算A'!FD$110:FD$114,$F28+1)+IF(AND($E28=1,SD28=0),1000,0)),1000000))</f>
        <v/>
      </c>
      <c r="ABL28">
        <f>IF($B28=0,1000000,IF(INDEX('計算A'!$D$60:$II$104,$B28,158)*IX28=1,IF(AND($E28=2,SE28=0),1000000,INDEX('計算A'!FE$110:FE$114,$F28+1)+IF(AND($E28=1,SE28=0),1000,0)),1000000))</f>
        <v/>
      </c>
      <c r="ABM28">
        <f>IF($B28=0,1000000,IF(INDEX('計算A'!$D$60:$II$104,$B28,159)*IY28=1,IF(AND($E28=2,SF28=0),1000000,INDEX('計算A'!FF$110:FF$114,$F28+1)+IF(AND($E28=1,SF28=0),1000,0)),1000000))</f>
        <v/>
      </c>
      <c r="ABN28">
        <f>IF($B28=0,1000000,IF(INDEX('計算A'!$D$60:$II$104,$B28,160)*IZ28=1,IF(AND($E28=2,SG28=0),1000000,INDEX('計算A'!FG$110:FG$114,$F28+1)+IF(AND($E28=1,SG28=0),1000,0)),1000000))</f>
        <v/>
      </c>
      <c r="ABO28">
        <f>IF($B28=0,1000000,IF(INDEX('計算A'!$D$60:$II$104,$B28,161)*JA28=1,IF(AND($E28=2,SH28=0),1000000,INDEX('計算A'!FH$110:FH$114,$F28+1)+IF(AND($E28=1,SH28=0),1000,0)),1000000))</f>
        <v/>
      </c>
      <c r="ABP28">
        <f>IF($B28=0,1000000,IF(INDEX('計算A'!$D$60:$II$104,$B28,162)*JB28=1,IF(AND($E28=2,SI28=0),1000000,INDEX('計算A'!FI$110:FI$114,$F28+1)+IF(AND($E28=1,SI28=0),1000,0)),1000000))</f>
        <v/>
      </c>
      <c r="ABQ28">
        <f>IF($B28=0,1000000,IF(INDEX('計算A'!$D$60:$II$104,$B28,163)*JC28=1,IF(AND($E28=2,SJ28=0),1000000,INDEX('計算A'!FJ$110:FJ$114,$F28+1)+IF(AND($E28=1,SJ28=0),1000,0)),1000000))</f>
        <v/>
      </c>
      <c r="ABR28">
        <f>IF($B28=0,1000000,IF(INDEX('計算A'!$D$60:$II$104,$B28,164)*JD28=1,IF(AND($E28=2,SK28=0),1000000,INDEX('計算A'!FK$110:FK$114,$F28+1)+IF(AND($E28=1,SK28=0),1000,0)),1000000))</f>
        <v/>
      </c>
      <c r="ABS28">
        <f>IF($B28=0,1000000,IF(INDEX('計算A'!$D$60:$II$104,$B28,165)*JE28=1,IF(AND($E28=2,SL28=0),1000000,INDEX('計算A'!FL$110:FL$114,$F28+1)+IF(AND($E28=1,SL28=0),1000,0)),1000000))</f>
        <v/>
      </c>
      <c r="ABT28">
        <f>IF($B28=0,1000000,IF(INDEX('計算A'!$D$60:$II$104,$B28,166)*JF28=1,IF(AND($E28=2,SM28=0),1000000,INDEX('計算A'!FM$110:FM$114,$F28+1)+IF(AND($E28=1,SM28=0),1000,0)),1000000))</f>
        <v/>
      </c>
      <c r="ABU28">
        <f>IF($B28=0,1000000,IF(INDEX('計算A'!$D$60:$II$104,$B28,167)*JG28=1,IF(AND($E28=2,SN28=0),1000000,INDEX('計算A'!FN$110:FN$114,$F28+1)+IF(AND($E28=1,SN28=0),1000,0)),1000000))</f>
        <v/>
      </c>
      <c r="ABV28">
        <f>IF($B28=0,1000000,IF(INDEX('計算A'!$D$60:$II$104,$B28,168)*JH28=1,IF(AND($E28=2,SO28=0),1000000,INDEX('計算A'!FO$110:FO$114,$F28+1)+IF(AND($E28=1,SO28=0),1000,0)),1000000))</f>
        <v/>
      </c>
      <c r="ABW28">
        <f>IF($B28=0,1000000,IF(INDEX('計算A'!$D$60:$II$104,$B28,169)*JI28=1,IF(AND($E28=2,SP28=0),1000000,INDEX('計算A'!FP$110:FP$114,$F28+1)+IF(AND($E28=1,SP28=0),1000,0)),1000000))</f>
        <v/>
      </c>
      <c r="ABX28">
        <f>IF($B28=0,1000000,IF(INDEX('計算A'!$D$60:$II$104,$B28,170)*JJ28=1,IF(AND($E28=2,SQ28=0),1000000,INDEX('計算A'!FQ$110:FQ$114,$F28+1)+IF(AND($E28=1,SQ28=0),1000,0)),1000000))</f>
        <v/>
      </c>
      <c r="ABY28">
        <f>IF($B28=0,1000000,IF(INDEX('計算A'!$D$60:$II$104,$B28,171)*JK28=1,IF(AND($E28=2,SR28=0),1000000,INDEX('計算A'!FR$110:FR$114,$F28+1)+IF(AND($E28=1,SR28=0),1000,0)),1000000))</f>
        <v/>
      </c>
      <c r="ABZ28">
        <f>IF($B28=0,1000000,IF(INDEX('計算A'!$D$60:$II$104,$B28,172)*JL28=1,IF(AND($E28=2,SS28=0),1000000,INDEX('計算A'!FS$110:FS$114,$F28+1)+IF(AND($E28=1,SS28=0),1000,0)),1000000))</f>
        <v/>
      </c>
      <c r="ACA28">
        <f>IF($B28=0,1000000,IF(INDEX('計算A'!$D$60:$II$104,$B28,173)*JM28=1,IF(AND($E28=2,ST28=0),1000000,INDEX('計算A'!FT$110:FT$114,$F28+1)+IF(AND($E28=1,ST28=0),1000,0)),1000000))</f>
        <v/>
      </c>
      <c r="ACB28">
        <f>IF($B28=0,1000000,IF(INDEX('計算A'!$D$60:$II$104,$B28,174)*JN28=1,IF(AND($E28=2,SU28=0),1000000,INDEX('計算A'!FU$110:FU$114,$F28+1)+IF(AND($E28=1,SU28=0),1000,0)),1000000))</f>
        <v/>
      </c>
      <c r="ACC28">
        <f>IF($B28=0,1000000,IF(INDEX('計算A'!$D$60:$II$104,$B28,175)*JO28=1,IF(AND($E28=2,SV28=0),1000000,INDEX('計算A'!FV$110:FV$114,$F28+1)+IF(AND($E28=1,SV28=0),1000,0)),1000000))</f>
        <v/>
      </c>
      <c r="ACD28">
        <f>IF($B28=0,1000000,IF(INDEX('計算A'!$D$60:$II$104,$B28,176)*JP28=1,IF(AND($E28=2,SW28=0),1000000,INDEX('計算A'!FW$110:FW$114,$F28+1)+IF(AND($E28=1,SW28=0),1000,0)),1000000))</f>
        <v/>
      </c>
      <c r="ACE28">
        <f>IF($B28=0,1000000,IF(INDEX('計算A'!$D$60:$II$104,$B28,177)*JQ28=1,IF(AND($E28=2,SX28=0),1000000,INDEX('計算A'!FX$110:FX$114,$F28+1)+IF(AND($E28=1,SX28=0),1000,0)),1000000))</f>
        <v/>
      </c>
      <c r="ACF28">
        <f>IF($B28=0,1000000,IF(INDEX('計算A'!$D$60:$II$104,$B28,178)*JR28=1,IF(AND($E28=2,SY28=0),1000000,INDEX('計算A'!FY$110:FY$114,$F28+1)+IF(AND($E28=1,SY28=0),1000,0)),1000000))</f>
        <v/>
      </c>
      <c r="ACG28">
        <f>IF($B28=0,1000000,IF(INDEX('計算A'!$D$60:$II$104,$B28,179)*JS28=1,IF(AND($E28=2,SZ28=0),1000000,INDEX('計算A'!FZ$110:FZ$114,$F28+1)+IF(AND($E28=1,SZ28=0),1000,0)),1000000))</f>
        <v/>
      </c>
      <c r="ACH28">
        <f>IF($B28=0,1000000,IF(INDEX('計算A'!$D$60:$II$104,$B28,180)*JT28=1,IF(AND($E28=2,TA28=0),1000000,INDEX('計算A'!GA$110:GA$114,$F28+1)+IF(AND($E28=1,TA28=0),1000,0)),1000000))</f>
        <v/>
      </c>
      <c r="ACI28">
        <f>IF($B28=0,1000000,IF(INDEX('計算A'!$D$60:$II$104,$B28,181)*JU28=1,IF(AND($E28=2,TB28=0),1000000,INDEX('計算A'!GB$110:GB$114,$F28+1)+IF(AND($E28=1,TB28=0),1000,0)),1000000))</f>
        <v/>
      </c>
      <c r="ACJ28">
        <f>IF($B28=0,1000000,IF(INDEX('計算A'!$D$60:$II$104,$B28,182)*JV28=1,IF(AND($E28=2,TC28=0),1000000,INDEX('計算A'!GC$110:GC$114,$F28+1)+IF(AND($E28=1,TC28=0),1000,0)),1000000))</f>
        <v/>
      </c>
      <c r="ACK28">
        <f>IF($B28=0,1000000,IF(INDEX('計算A'!$D$60:$II$104,$B28,183)*JW28=1,IF(AND($E28=2,TD28=0),1000000,INDEX('計算A'!GD$110:GD$114,$F28+1)+IF(AND($E28=1,TD28=0),1000,0)),1000000))</f>
        <v/>
      </c>
      <c r="ACL28">
        <f>IF($B28=0,1000000,IF(INDEX('計算A'!$D$60:$II$104,$B28,184)*JX28=1,IF(AND($E28=2,TE28=0),1000000,INDEX('計算A'!GE$110:GE$114,$F28+1)+IF(AND($E28=1,TE28=0),1000,0)),1000000))</f>
        <v/>
      </c>
      <c r="ACM28">
        <f>IF($B28=0,1000000,IF(INDEX('計算A'!$D$60:$II$104,$B28,185)*JY28=1,IF(AND($E28=2,TF28=0),1000000,INDEX('計算A'!GF$110:GF$114,$F28+1)+IF(AND($E28=1,TF28=0),1000,0)),1000000))</f>
        <v/>
      </c>
      <c r="ACN28">
        <f>IF($B28=0,1000000,IF(INDEX('計算A'!$D$60:$II$104,$B28,186)*JZ28=1,IF(AND($E28=2,TG28=0),1000000,INDEX('計算A'!GG$110:GG$114,$F28+1)+IF(AND($E28=1,TG28=0),1000,0)),1000000))</f>
        <v/>
      </c>
      <c r="ACO28">
        <f>IF($B28=0,1000000,IF(INDEX('計算A'!$D$60:$II$104,$B28,187)*KA28=1,IF(AND($E28=2,TH28=0),1000000,INDEX('計算A'!GH$110:GH$114,$F28+1)+IF(AND($E28=1,TH28=0),1000,0)),1000000))</f>
        <v/>
      </c>
      <c r="ACP28">
        <f>IF($B28=0,1000000,IF(INDEX('計算A'!$D$60:$II$104,$B28,188)*KB28=1,IF(AND($E28=2,TI28=0),1000000,INDEX('計算A'!GI$110:GI$114,$F28+1)+IF(AND($E28=1,TI28=0),1000,0)),1000000))</f>
        <v/>
      </c>
      <c r="ACQ28">
        <f>IF($B28=0,1000000,IF(INDEX('計算A'!$D$60:$II$104,$B28,189)*KC28=1,IF(AND($E28=2,TJ28=0),1000000,INDEX('計算A'!GJ$110:GJ$114,$F28+1)+IF(AND($E28=1,TJ28=0),1000,0)),1000000))</f>
        <v/>
      </c>
      <c r="ACR28">
        <f>IF($B28=0,1000000,IF(INDEX('計算A'!$D$60:$II$104,$B28,190)*KD28=1,IF(AND($E28=2,TK28=0),1000000,INDEX('計算A'!GK$110:GK$114,$F28+1)+IF(AND($E28=1,TK28=0),1000,0)),1000000))</f>
        <v/>
      </c>
      <c r="ACS28">
        <f>IF($B28=0,1000000,IF(INDEX('計算A'!$D$60:$II$104,$B28,191)*KE28=1,IF(AND($E28=2,TL28=0),1000000,INDEX('計算A'!GL$110:GL$114,$F28+1)+IF(AND($E28=1,TL28=0),1000,0)),1000000))</f>
        <v/>
      </c>
      <c r="ACT28">
        <f>IF($B28=0,1000000,IF(INDEX('計算A'!$D$60:$II$104,$B28,192)*KF28=1,IF(AND($E28=2,TM28=0),1000000,INDEX('計算A'!GM$110:GM$114,$F28+1)+IF(AND($E28=1,TM28=0),1000,0)),1000000))</f>
        <v/>
      </c>
      <c r="ACU28">
        <f>IF($B28=0,1000000,IF(INDEX('計算A'!$D$60:$II$104,$B28,193)*KG28=1,IF(AND($E28=2,TN28=0),1000000,INDEX('計算A'!GN$110:GN$114,$F28+1)+IF(AND($E28=1,TN28=0),1000,0)),1000000))</f>
        <v/>
      </c>
      <c r="ACV28">
        <f>IF($B28=0,1000000,IF(INDEX('計算A'!$D$60:$II$104,$B28,194)*KH28=1,IF(AND($E28=2,TO28=0),1000000,INDEX('計算A'!GO$110:GO$114,$F28+1)+IF(AND($E28=1,TO28=0),1000,0)),1000000))</f>
        <v/>
      </c>
      <c r="ACW28">
        <f>IF($B28=0,1000000,IF(INDEX('計算A'!$D$60:$II$104,$B28,195)*KI28=1,IF(AND($E28=2,TP28=0),1000000,INDEX('計算A'!GP$110:GP$114,$F28+1)+IF(AND($E28=1,TP28=0),1000,0)),1000000))</f>
        <v/>
      </c>
      <c r="ACX28">
        <f>IF($B28=0,1000000,IF(INDEX('計算A'!$D$60:$II$104,$B28,196)*KJ28=1,IF(AND($E28=2,TQ28=0),1000000,INDEX('計算A'!GQ$110:GQ$114,$F28+1)+IF(AND($E28=1,TQ28=0),1000,0)),1000000))</f>
        <v/>
      </c>
      <c r="ACY28">
        <f>IF($B28=0,1000000,IF(INDEX('計算A'!$D$60:$II$104,$B28,197)*KK28=1,IF(AND($E28=2,TR28=0),1000000,INDEX('計算A'!GR$110:GR$114,$F28+1)+IF(AND($E28=1,TR28=0),1000,0)),1000000))</f>
        <v/>
      </c>
      <c r="ACZ28">
        <f>IF($B28=0,1000000,IF(INDEX('計算A'!$D$60:$II$104,$B28,198)*KL28=1,IF(AND($E28=2,TS28=0),1000000,INDEX('計算A'!GS$110:GS$114,$F28+1)+IF(AND($E28=1,TS28=0),1000,0)),1000000))</f>
        <v/>
      </c>
      <c r="ADA28">
        <f>IF($B28=0,1000000,IF(INDEX('計算A'!$D$60:$II$104,$B28,199)*KM28=1,IF(AND($E28=2,TT28=0),1000000,INDEX('計算A'!GT$110:GT$114,$F28+1)+IF(AND($E28=1,TT28=0),1000,0)),1000000))</f>
        <v/>
      </c>
      <c r="ADB28">
        <f>IF($B28=0,1000000,IF(INDEX('計算A'!$D$60:$II$104,$B28,200)*KN28=1,IF(AND($E28=2,TU28=0),1000000,INDEX('計算A'!GU$110:GU$114,$F28+1)+IF(AND($E28=1,TU28=0),1000,0)),1000000))</f>
        <v/>
      </c>
      <c r="ADC28">
        <f>IF($B28=0,1000000,IF(INDEX('計算A'!$D$60:$II$104,$B28,201)*KO28=1,IF(AND($E28=2,TV28=0),1000000,INDEX('計算A'!GV$110:GV$114,$F28+1)+IF(AND($E28=1,TV28=0),1000,0)),1000000))</f>
        <v/>
      </c>
      <c r="ADD28">
        <f>IF($B28=0,1000000,IF(INDEX('計算A'!$D$60:$II$104,$B28,202)*KP28=1,IF(AND($E28=2,TW28=0),1000000,INDEX('計算A'!GW$110:GW$114,$F28+1)+IF(AND($E28=1,TW28=0),1000,0)),1000000))</f>
        <v/>
      </c>
      <c r="ADE28">
        <f>IF($B28=0,1000000,IF(INDEX('計算A'!$D$60:$II$104,$B28,203)*KQ28=1,IF(AND($E28=2,TX28=0),1000000,INDEX('計算A'!GX$110:GX$114,$F28+1)+IF(AND($E28=1,TX28=0),1000,0)),1000000))</f>
        <v/>
      </c>
      <c r="ADF28">
        <f>IF($B28=0,1000000,IF(INDEX('計算A'!$D$60:$II$104,$B28,204)*KR28=1,IF(AND($E28=2,TY28=0),1000000,INDEX('計算A'!GY$110:GY$114,$F28+1)+IF(AND($E28=1,TY28=0),1000,0)),1000000))</f>
        <v/>
      </c>
      <c r="ADG28">
        <f>IF($B28=0,1000000,IF(INDEX('計算A'!$D$60:$II$104,$B28,205)*KS28=1,IF(AND($E28=2,TZ28=0),1000000,INDEX('計算A'!GZ$110:GZ$114,$F28+1)+IF(AND($E28=1,TZ28=0),1000,0)),1000000))</f>
        <v/>
      </c>
      <c r="ADH28">
        <f>IF($B28=0,1000000,IF(INDEX('計算A'!$D$60:$II$104,$B28,206)*KT28=1,IF(AND($E28=2,UA28=0),1000000,INDEX('計算A'!HA$110:HA$114,$F28+1)+IF(AND($E28=1,UA28=0),1000,0)),1000000))</f>
        <v/>
      </c>
      <c r="ADI28">
        <f>IF($B28=0,1000000,IF(INDEX('計算A'!$D$60:$II$104,$B28,207)*KU28=1,IF(AND($E28=2,UB28=0),1000000,INDEX('計算A'!HB$110:HB$114,$F28+1)+IF(AND($E28=1,UB28=0),1000,0)),1000000))</f>
        <v/>
      </c>
      <c r="ADJ28">
        <f>IF($B28=0,1000000,IF(INDEX('計算A'!$D$60:$II$104,$B28,208)*KV28=1,IF(AND($E28=2,UC28=0),1000000,INDEX('計算A'!HC$110:HC$114,$F28+1)+IF(AND($E28=1,UC28=0),1000,0)),1000000))</f>
        <v/>
      </c>
      <c r="ADK28">
        <f>IF($B28=0,1000000,IF(INDEX('計算A'!$D$60:$II$104,$B28,209)*KW28=1,IF(AND($E28=2,UD28=0),1000000,INDEX('計算A'!HD$110:HD$114,$F28+1)+IF(AND($E28=1,UD28=0),1000,0)),1000000))</f>
        <v/>
      </c>
      <c r="ADL28">
        <f>IF($B28=0,1000000,IF(INDEX('計算A'!$D$60:$II$104,$B28,210)*KX28=1,IF(AND($E28=2,UE28=0),1000000,INDEX('計算A'!HE$110:HE$114,$F28+1)+IF(AND($E28=1,UE28=0),1000,0)),1000000))</f>
        <v/>
      </c>
      <c r="ADM28">
        <f>IF($B28=0,1000000,IF(INDEX('計算A'!$D$60:$II$104,$B28,211)*KY28=1,IF(AND($E28=2,UF28=0),1000000,INDEX('計算A'!HF$110:HF$114,$F28+1)+IF(AND($E28=1,UF28=0),1000,0)),1000000))</f>
        <v/>
      </c>
      <c r="ADN28">
        <f>IF($B28=0,1000000,IF(INDEX('計算A'!$D$60:$II$104,$B28,212)*KZ28=1,IF(AND($E28=2,UG28=0),1000000,INDEX('計算A'!HG$110:HG$114,$F28+1)+IF(AND($E28=1,UG28=0),1000,0)),1000000))</f>
        <v/>
      </c>
      <c r="ADO28">
        <f>IF($B28=0,1000000,IF(INDEX('計算A'!$D$60:$II$104,$B28,213)*LA28=1,IF(AND($E28=2,UH28=0),1000000,INDEX('計算A'!HH$110:HH$114,$F28+1)+IF(AND($E28=1,UH28=0),1000,0)),1000000))</f>
        <v/>
      </c>
      <c r="ADP28">
        <f>IF($B28=0,1000000,IF(INDEX('計算A'!$D$60:$II$104,$B28,214)*LB28=1,IF(AND($E28=2,UI28=0),1000000,INDEX('計算A'!HI$110:HI$114,$F28+1)+IF(AND($E28=1,UI28=0),1000,0)),1000000))</f>
        <v/>
      </c>
      <c r="ADQ28">
        <f>IF($B28=0,1000000,IF(INDEX('計算A'!$D$60:$II$104,$B28,215)*LC28=1,IF(AND($E28=2,UJ28=0),1000000,INDEX('計算A'!HJ$110:HJ$114,$F28+1)+IF(AND($E28=1,UJ28=0),1000,0)),1000000))</f>
        <v/>
      </c>
      <c r="ADR28">
        <f>IF($B28=0,1000000,IF(INDEX('計算A'!$D$60:$II$104,$B28,216)*LD28=1,IF(AND($E28=2,UK28=0),1000000,INDEX('計算A'!HK$110:HK$114,$F28+1)+IF(AND($E28=1,UK28=0),1000,0)),1000000))</f>
        <v/>
      </c>
      <c r="ADS28">
        <f>IF($B28=0,1000000,IF(INDEX('計算A'!$D$60:$II$104,$B28,217)*LE28=1,IF(AND($E28=2,UL28=0),1000000,INDEX('計算A'!HL$110:HL$114,$F28+1)+IF(AND($E28=1,UL28=0),1000,0)),1000000))</f>
        <v/>
      </c>
      <c r="ADT28">
        <f>IF($B28=0,1000000,IF(INDEX('計算A'!$D$60:$II$104,$B28,218)*LF28=1,IF(AND($E28=2,UM28=0),1000000,INDEX('計算A'!HM$110:HM$114,$F28+1)+IF(AND($E28=1,UM28=0),1000,0)),1000000))</f>
        <v/>
      </c>
      <c r="ADU28">
        <f>IF($B28=0,1000000,IF(INDEX('計算A'!$D$60:$II$104,$B28,219)*LG28=1,IF(AND($E28=2,UN28=0),1000000,INDEX('計算A'!HN$110:HN$114,$F28+1)+IF(AND($E28=1,UN28=0),1000,0)),1000000))</f>
        <v/>
      </c>
      <c r="ADV28">
        <f>IF($B28=0,1000000,IF(INDEX('計算A'!$D$60:$II$104,$B28,220)*LH28=1,IF(AND($E28=2,UO28=0),1000000,INDEX('計算A'!HO$110:HO$114,$F28+1)+IF(AND($E28=1,UO28=0),1000,0)),1000000))</f>
        <v/>
      </c>
      <c r="ADW28">
        <f>IF($B28=0,1000000,IF(INDEX('計算A'!$D$60:$II$104,$B28,221)*LI28=1,IF(AND($E28=2,UP28=0),1000000,INDEX('計算A'!HP$110:HP$114,$F28+1)+IF(AND($E28=1,UP28=0),1000,0)),1000000))</f>
        <v/>
      </c>
      <c r="ADX28">
        <f>IF($B28=0,1000000,IF(INDEX('計算A'!$D$60:$II$104,$B28,222)*LJ28=1,IF(AND($E28=2,UQ28=0),1000000,INDEX('計算A'!HQ$110:HQ$114,$F28+1)+IF(AND($E28=1,UQ28=0),1000,0)),1000000))</f>
        <v/>
      </c>
      <c r="ADY28">
        <f>IF($B28=0,1000000,IF(INDEX('計算A'!$D$60:$II$104,$B28,223)*LK28=1,IF(AND($E28=2,UR28=0),1000000,INDEX('計算A'!HR$110:HR$114,$F28+1)+IF(AND($E28=1,UR28=0),1000,0)),1000000))</f>
        <v/>
      </c>
      <c r="ADZ28">
        <f>IF($B28=0,1000000,IF(INDEX('計算A'!$D$60:$II$104,$B28,224)*LL28=1,IF(AND($E28=2,US28=0),1000000,INDEX('計算A'!HS$110:HS$114,$F28+1)+IF(AND($E28=1,US28=0),1000,0)),1000000))</f>
        <v/>
      </c>
      <c r="AEA28">
        <f>IF($B28=0,1000000,IF(INDEX('計算A'!$D$60:$II$104,$B28,225)*LM28=1,IF(AND($E28=2,UT28=0),1000000,INDEX('計算A'!HT$110:HT$114,$F28+1)+IF(AND($E28=1,UT28=0),1000,0)),1000000))</f>
        <v/>
      </c>
      <c r="AEB28">
        <f>IF($B28=0,1000000,IF(INDEX('計算A'!$D$60:$II$104,$B28,226)*LN28=1,IF(AND($E28=2,UU28=0),1000000,INDEX('計算A'!HU$110:HU$114,$F28+1)+IF(AND($E28=1,UU28=0),1000,0)),1000000))</f>
        <v/>
      </c>
      <c r="AEC28">
        <f>IF($B28=0,1000000,IF(INDEX('計算A'!$D$60:$II$104,$B28,227)*LO28=1,IF(AND($E28=2,UV28=0),1000000,INDEX('計算A'!HV$110:HV$114,$F28+1)+IF(AND($E28=1,UV28=0),1000,0)),1000000))</f>
        <v/>
      </c>
      <c r="AED28">
        <f>IF($B28=0,1000000,IF(INDEX('計算A'!$D$60:$II$104,$B28,228)*LP28=1,IF(AND($E28=2,UW28=0),1000000,INDEX('計算A'!HW$110:HW$114,$F28+1)+IF(AND($E28=1,UW28=0),1000,0)),1000000))</f>
        <v/>
      </c>
      <c r="AEE28">
        <f>IF($B28=0,1000000,IF(INDEX('計算A'!$D$60:$II$104,$B28,229)*LQ28=1,IF(AND($E28=2,UX28=0),1000000,INDEX('計算A'!HX$110:HX$114,$F28+1)+IF(AND($E28=1,UX28=0),1000,0)),1000000))</f>
        <v/>
      </c>
      <c r="AEF28">
        <f>IF($B28=0,1000000,IF(INDEX('計算A'!$D$60:$II$104,$B28,230)*LR28=1,IF(AND($E28=2,UY28=0),1000000,INDEX('計算A'!HY$110:HY$114,$F28+1)+IF(AND($E28=1,UY28=0),1000,0)),1000000))</f>
        <v/>
      </c>
      <c r="AEG28">
        <f>IF($B28=0,1000000,IF(INDEX('計算A'!$D$60:$II$104,$B28,231)*LS28=1,IF(AND($E28=2,UZ28=0),1000000,INDEX('計算A'!HZ$110:HZ$114,$F28+1)+IF(AND($E28=1,UZ28=0),1000,0)),1000000))</f>
        <v/>
      </c>
      <c r="AEH28">
        <f>IF($B28=0,1000000,IF(INDEX('計算A'!$D$60:$II$104,$B28,232)*LT28=1,IF(AND($E28=2,VA28=0),1000000,INDEX('計算A'!IA$110:IA$114,$F28+1)+IF(AND($E28=1,VA28=0),1000,0)),1000000))</f>
        <v/>
      </c>
      <c r="AEI28">
        <f>IF($B28=0,1000000,IF(INDEX('計算A'!$D$60:$II$104,$B28,233)*LU28=1,IF(AND($E28=2,VB28=0),1000000,INDEX('計算A'!IB$110:IB$114,$F28+1)+IF(AND($E28=1,VB28=0),1000,0)),1000000))</f>
        <v/>
      </c>
      <c r="AEJ28">
        <f>IF($B28=0,1000000,IF(INDEX('計算A'!$D$60:$II$104,$B28,234)*LV28=1,IF(AND($E28=2,VC28=0),1000000,INDEX('計算A'!IC$110:IC$114,$F28+1)+IF(AND($E28=1,VC28=0),1000,0)),1000000))</f>
        <v/>
      </c>
      <c r="AEK28">
        <f>IF($B28=0,1000000,IF(INDEX('計算A'!$D$60:$II$104,$B28,235)*LW28=1,IF(AND($E28=2,VD28=0),1000000,INDEX('計算A'!ID$110:ID$114,$F28+1)+IF(AND($E28=1,VD28=0),1000,0)),1000000))</f>
        <v/>
      </c>
      <c r="AEL28">
        <f>IF($B28=0,1000000,IF(INDEX('計算A'!$D$60:$II$104,$B28,236)*LX28=1,IF(AND($E28=2,VE28=0),1000000,INDEX('計算A'!IE$110:IE$114,$F28+1)+IF(AND($E28=1,VE28=0),1000,0)),1000000))</f>
        <v/>
      </c>
      <c r="AEM28">
        <f>IF($B28=0,1000000,IF(INDEX('計算A'!$D$60:$II$104,$B28,237)*LY28=1,IF(AND($E28=2,VF28=0),1000000,INDEX('計算A'!IF$110:IF$114,$F28+1)+IF(AND($E28=1,VF28=0),1000,0)),1000000))</f>
        <v/>
      </c>
      <c r="AEN28">
        <f>IF($B28=0,1000000,IF(INDEX('計算A'!$D$60:$II$104,$B28,238)*LZ28=1,IF(AND($E28=2,VG28=0),1000000,INDEX('計算A'!IG$110:IG$114,$F28+1)+IF(AND($E28=1,VG28=0),1000,0)),1000000))</f>
        <v/>
      </c>
      <c r="AEO28">
        <f>IF($B28=0,1000000,IF(INDEX('計算A'!$D$60:$II$104,$B28,239)*MA28=1,IF(AND($E28=2,VH28=0),1000000,INDEX('計算A'!IH$110:IH$114,$F28+1)+IF(AND($E28=1,VH28=0),1000,0)),1000000))</f>
        <v/>
      </c>
      <c r="AEP28">
        <f>IF($B28=0,1000000,IF(INDEX('計算A'!$D$60:$II$104,$B28,240)*MB28=1,IF(AND($E28=2,VI28=0),1000000,INDEX('計算A'!II$110:II$114,$F28+1)+IF(AND($E28=1,VI28=0),1000,0)),1000000))</f>
        <v/>
      </c>
    </row>
    <row r="29">
      <c r="A29" t="n">
        <v>27</v>
      </c>
      <c r="B29">
        <f>IF(MIN(BC29:CU29)&gt;=1000000,0,MATCH(MIN(BC29:CU29),BC29:CU29,0))</f>
        <v/>
      </c>
      <c r="C29">
        <f>IF(MIN(VK29:AEP29)&gt;=1000000,0,MATCH(MIN(VK29:AEP29),VK29:AEP29,0))</f>
        <v/>
      </c>
      <c r="D29">
        <f>IF(C29&gt;0,INDEX('計算A'!$D$5:$II$5,C29),0)</f>
        <v/>
      </c>
      <c r="E29">
        <f>IF(B29=0,0,INDEX('計算A'!$IQ$10:$IQ$54,B29))</f>
        <v/>
      </c>
      <c r="F29">
        <f>IF(B29=0,0,INDEX('計算A'!$IP$10:$IP$54,B29))</f>
        <v/>
      </c>
      <c r="G29">
        <f>IF(AND(C29&gt;0,E29&gt;0),IF(AND(INDEX('計算A'!$D$106:$II$106,C29)=1,INDEX($MD29:$VI29,C29)=1),C29+1,0),0)</f>
        <v/>
      </c>
      <c r="I29">
        <f>MAX(I28,IF($B28=1,1,0))</f>
        <v/>
      </c>
      <c r="J29">
        <f>MAX(J28,IF($B28=2,1,0))</f>
        <v/>
      </c>
      <c r="K29">
        <f>MAX(K28,IF($B28=3,1,0))</f>
        <v/>
      </c>
      <c r="L29">
        <f>MAX(L28,IF($B28=4,1,0))</f>
        <v/>
      </c>
      <c r="M29">
        <f>MAX(M28,IF($B28=5,1,0))</f>
        <v/>
      </c>
      <c r="N29">
        <f>MAX(N28,IF($B28=6,1,0))</f>
        <v/>
      </c>
      <c r="O29">
        <f>MAX(O28,IF($B28=7,1,0))</f>
        <v/>
      </c>
      <c r="P29">
        <f>MAX(P28,IF($B28=8,1,0))</f>
        <v/>
      </c>
      <c r="Q29">
        <f>MAX(Q28,IF($B28=9,1,0))</f>
        <v/>
      </c>
      <c r="R29">
        <f>MAX(R28,IF($B28=10,1,0))</f>
        <v/>
      </c>
      <c r="S29">
        <f>MAX(S28,IF($B28=11,1,0))</f>
        <v/>
      </c>
      <c r="T29">
        <f>MAX(T28,IF($B28=12,1,0))</f>
        <v/>
      </c>
      <c r="U29">
        <f>MAX(U28,IF($B28=13,1,0))</f>
        <v/>
      </c>
      <c r="V29">
        <f>MAX(V28,IF($B28=14,1,0))</f>
        <v/>
      </c>
      <c r="W29">
        <f>MAX(W28,IF($B28=15,1,0))</f>
        <v/>
      </c>
      <c r="X29">
        <f>MAX(X28,IF($B28=16,1,0))</f>
        <v/>
      </c>
      <c r="Y29">
        <f>MAX(Y28,IF($B28=17,1,0))</f>
        <v/>
      </c>
      <c r="Z29">
        <f>MAX(Z28,IF($B28=18,1,0))</f>
        <v/>
      </c>
      <c r="AA29">
        <f>MAX(AA28,IF($B28=19,1,0))</f>
        <v/>
      </c>
      <c r="AB29">
        <f>MAX(AB28,IF($B28=20,1,0))</f>
        <v/>
      </c>
      <c r="AC29">
        <f>MAX(AC28,IF($B28=21,1,0))</f>
        <v/>
      </c>
      <c r="AD29">
        <f>MAX(AD28,IF($B28=22,1,0))</f>
        <v/>
      </c>
      <c r="AE29">
        <f>MAX(AE28,IF($B28=23,1,0))</f>
        <v/>
      </c>
      <c r="AF29">
        <f>MAX(AF28,IF($B28=24,1,0))</f>
        <v/>
      </c>
      <c r="AG29">
        <f>MAX(AG28,IF($B28=25,1,0))</f>
        <v/>
      </c>
      <c r="AH29">
        <f>MAX(AH28,IF($B28=26,1,0))</f>
        <v/>
      </c>
      <c r="AI29">
        <f>MAX(AI28,IF($B28=27,1,0))</f>
        <v/>
      </c>
      <c r="AJ29">
        <f>MAX(AJ28,IF($B28=28,1,0))</f>
        <v/>
      </c>
      <c r="AK29">
        <f>MAX(AK28,IF($B28=29,1,0))</f>
        <v/>
      </c>
      <c r="AL29">
        <f>MAX(AL28,IF($B28=30,1,0))</f>
        <v/>
      </c>
      <c r="AM29">
        <f>MAX(AM28,IF($B28=31,1,0))</f>
        <v/>
      </c>
      <c r="AN29">
        <f>MAX(AN28,IF($B28=32,1,0))</f>
        <v/>
      </c>
      <c r="AO29">
        <f>MAX(AO28,IF($B28=33,1,0))</f>
        <v/>
      </c>
      <c r="AP29">
        <f>MAX(AP28,IF($B28=34,1,0))</f>
        <v/>
      </c>
      <c r="AQ29">
        <f>MAX(AQ28,IF($B28=35,1,0))</f>
        <v/>
      </c>
      <c r="AR29">
        <f>MAX(AR28,IF($B28=36,1,0))</f>
        <v/>
      </c>
      <c r="AS29">
        <f>MAX(AS28,IF($B28=37,1,0))</f>
        <v/>
      </c>
      <c r="AT29">
        <f>MAX(AT28,IF($B28=38,1,0))</f>
        <v/>
      </c>
      <c r="AU29">
        <f>MAX(AU28,IF($B28=39,1,0))</f>
        <v/>
      </c>
      <c r="AV29">
        <f>MAX(AV28,IF($B28=40,1,0))</f>
        <v/>
      </c>
      <c r="AW29">
        <f>MAX(AW28,IF($B28=41,1,0))</f>
        <v/>
      </c>
      <c r="AX29">
        <f>MAX(AX28,IF($B28=42,1,0))</f>
        <v/>
      </c>
      <c r="AY29">
        <f>MAX(AY28,IF($B28=43,1,0))</f>
        <v/>
      </c>
      <c r="AZ29">
        <f>MAX(AZ28,IF($B28=44,1,0))</f>
        <v/>
      </c>
      <c r="BA29">
        <f>MAX(BA28,IF($B28=45,1,0))</f>
        <v/>
      </c>
      <c r="BC29">
        <f>IF(I29=1,1000000,IF('計算A'!$IQ$10=2,SUMPRODUCT('計算A'!$D$60:$II$60,$CW29:$MB29,$MD29:$VI29),SUMPRODUCT('計算A'!$D$60:$II$60,$CW29:$MB29))*1000+1)</f>
        <v/>
      </c>
      <c r="BD29">
        <f>IF(J29=1,1000000,IF('計算A'!$IQ$11=2,SUMPRODUCT('計算A'!$D$61:$II$61,$CW29:$MB29,$MD29:$VI29),SUMPRODUCT('計算A'!$D$61:$II$61,$CW29:$MB29))*1000+2)</f>
        <v/>
      </c>
      <c r="BE29">
        <f>IF(K29=1,1000000,IF('計算A'!$IQ$12=2,SUMPRODUCT('計算A'!$D$62:$II$62,$CW29:$MB29,$MD29:$VI29),SUMPRODUCT('計算A'!$D$62:$II$62,$CW29:$MB29))*1000+3)</f>
        <v/>
      </c>
      <c r="BF29">
        <f>IF(L29=1,1000000,IF('計算A'!$IQ$13=2,SUMPRODUCT('計算A'!$D$63:$II$63,$CW29:$MB29,$MD29:$VI29),SUMPRODUCT('計算A'!$D$63:$II$63,$CW29:$MB29))*1000+4)</f>
        <v/>
      </c>
      <c r="BG29">
        <f>IF(M29=1,1000000,IF('計算A'!$IQ$14=2,SUMPRODUCT('計算A'!$D$64:$II$64,$CW29:$MB29,$MD29:$VI29),SUMPRODUCT('計算A'!$D$64:$II$64,$CW29:$MB29))*1000+5)</f>
        <v/>
      </c>
      <c r="BH29">
        <f>IF(N29=1,1000000,IF('計算A'!$IQ$15=2,SUMPRODUCT('計算A'!$D$65:$II$65,$CW29:$MB29,$MD29:$VI29),SUMPRODUCT('計算A'!$D$65:$II$65,$CW29:$MB29))*1000+6)</f>
        <v/>
      </c>
      <c r="BI29">
        <f>IF(O29=1,1000000,IF('計算A'!$IQ$16=2,SUMPRODUCT('計算A'!$D$66:$II$66,$CW29:$MB29,$MD29:$VI29),SUMPRODUCT('計算A'!$D$66:$II$66,$CW29:$MB29))*1000+7)</f>
        <v/>
      </c>
      <c r="BJ29">
        <f>IF(P29=1,1000000,IF('計算A'!$IQ$17=2,SUMPRODUCT('計算A'!$D$67:$II$67,$CW29:$MB29,$MD29:$VI29),SUMPRODUCT('計算A'!$D$67:$II$67,$CW29:$MB29))*1000+8)</f>
        <v/>
      </c>
      <c r="BK29">
        <f>IF(Q29=1,1000000,IF('計算A'!$IQ$18=2,SUMPRODUCT('計算A'!$D$68:$II$68,$CW29:$MB29,$MD29:$VI29),SUMPRODUCT('計算A'!$D$68:$II$68,$CW29:$MB29))*1000+9)</f>
        <v/>
      </c>
      <c r="BL29">
        <f>IF(R29=1,1000000,IF('計算A'!$IQ$19=2,SUMPRODUCT('計算A'!$D$69:$II$69,$CW29:$MB29,$MD29:$VI29),SUMPRODUCT('計算A'!$D$69:$II$69,$CW29:$MB29))*1000+10)</f>
        <v/>
      </c>
      <c r="BM29">
        <f>IF(S29=1,1000000,IF('計算A'!$IQ$20=2,SUMPRODUCT('計算A'!$D$70:$II$70,$CW29:$MB29,$MD29:$VI29),SUMPRODUCT('計算A'!$D$70:$II$70,$CW29:$MB29))*1000+11)</f>
        <v/>
      </c>
      <c r="BN29">
        <f>IF(T29=1,1000000,IF('計算A'!$IQ$21=2,SUMPRODUCT('計算A'!$D$71:$II$71,$CW29:$MB29,$MD29:$VI29),SUMPRODUCT('計算A'!$D$71:$II$71,$CW29:$MB29))*1000+12)</f>
        <v/>
      </c>
      <c r="BO29">
        <f>IF(U29=1,1000000,IF('計算A'!$IQ$22=2,SUMPRODUCT('計算A'!$D$72:$II$72,$CW29:$MB29,$MD29:$VI29),SUMPRODUCT('計算A'!$D$72:$II$72,$CW29:$MB29))*1000+13)</f>
        <v/>
      </c>
      <c r="BP29">
        <f>IF(V29=1,1000000,IF('計算A'!$IQ$23=2,SUMPRODUCT('計算A'!$D$73:$II$73,$CW29:$MB29,$MD29:$VI29),SUMPRODUCT('計算A'!$D$73:$II$73,$CW29:$MB29))*1000+14)</f>
        <v/>
      </c>
      <c r="BQ29">
        <f>IF(W29=1,1000000,IF('計算A'!$IQ$24=2,SUMPRODUCT('計算A'!$D$74:$II$74,$CW29:$MB29,$MD29:$VI29),SUMPRODUCT('計算A'!$D$74:$II$74,$CW29:$MB29))*1000+15)</f>
        <v/>
      </c>
      <c r="BR29">
        <f>IF(X29=1,1000000,IF('計算A'!$IQ$25=2,SUMPRODUCT('計算A'!$D$75:$II$75,$CW29:$MB29,$MD29:$VI29),SUMPRODUCT('計算A'!$D$75:$II$75,$CW29:$MB29))*1000+16)</f>
        <v/>
      </c>
      <c r="BS29">
        <f>IF(Y29=1,1000000,IF('計算A'!$IQ$26=2,SUMPRODUCT('計算A'!$D$76:$II$76,$CW29:$MB29,$MD29:$VI29),SUMPRODUCT('計算A'!$D$76:$II$76,$CW29:$MB29))*1000+17)</f>
        <v/>
      </c>
      <c r="BT29">
        <f>IF(Z29=1,1000000,IF('計算A'!$IQ$27=2,SUMPRODUCT('計算A'!$D$77:$II$77,$CW29:$MB29,$MD29:$VI29),SUMPRODUCT('計算A'!$D$77:$II$77,$CW29:$MB29))*1000+18)</f>
        <v/>
      </c>
      <c r="BU29">
        <f>IF(AA29=1,1000000,IF('計算A'!$IQ$28=2,SUMPRODUCT('計算A'!$D$78:$II$78,$CW29:$MB29,$MD29:$VI29),SUMPRODUCT('計算A'!$D$78:$II$78,$CW29:$MB29))*1000+19)</f>
        <v/>
      </c>
      <c r="BV29">
        <f>IF(AB29=1,1000000,IF('計算A'!$IQ$29=2,SUMPRODUCT('計算A'!$D$79:$II$79,$CW29:$MB29,$MD29:$VI29),SUMPRODUCT('計算A'!$D$79:$II$79,$CW29:$MB29))*1000+20)</f>
        <v/>
      </c>
      <c r="BW29">
        <f>IF(AC29=1,1000000,IF('計算A'!$IQ$30=2,SUMPRODUCT('計算A'!$D$80:$II$80,$CW29:$MB29,$MD29:$VI29),SUMPRODUCT('計算A'!$D$80:$II$80,$CW29:$MB29))*1000+21)</f>
        <v/>
      </c>
      <c r="BX29">
        <f>IF(AD29=1,1000000,IF('計算A'!$IQ$31=2,SUMPRODUCT('計算A'!$D$81:$II$81,$CW29:$MB29,$MD29:$VI29),SUMPRODUCT('計算A'!$D$81:$II$81,$CW29:$MB29))*1000+22)</f>
        <v/>
      </c>
      <c r="BY29">
        <f>IF(AE29=1,1000000,IF('計算A'!$IQ$32=2,SUMPRODUCT('計算A'!$D$82:$II$82,$CW29:$MB29,$MD29:$VI29),SUMPRODUCT('計算A'!$D$82:$II$82,$CW29:$MB29))*1000+23)</f>
        <v/>
      </c>
      <c r="BZ29">
        <f>IF(AF29=1,1000000,IF('計算A'!$IQ$33=2,SUMPRODUCT('計算A'!$D$83:$II$83,$CW29:$MB29,$MD29:$VI29),SUMPRODUCT('計算A'!$D$83:$II$83,$CW29:$MB29))*1000+24)</f>
        <v/>
      </c>
      <c r="CA29">
        <f>IF(AG29=1,1000000,IF('計算A'!$IQ$34=2,SUMPRODUCT('計算A'!$D$84:$II$84,$CW29:$MB29,$MD29:$VI29),SUMPRODUCT('計算A'!$D$84:$II$84,$CW29:$MB29))*1000+25)</f>
        <v/>
      </c>
      <c r="CB29">
        <f>IF(AH29=1,1000000,IF('計算A'!$IQ$35=2,SUMPRODUCT('計算A'!$D$85:$II$85,$CW29:$MB29,$MD29:$VI29),SUMPRODUCT('計算A'!$D$85:$II$85,$CW29:$MB29))*1000+26)</f>
        <v/>
      </c>
      <c r="CC29">
        <f>IF(AI29=1,1000000,IF('計算A'!$IQ$36=2,SUMPRODUCT('計算A'!$D$86:$II$86,$CW29:$MB29,$MD29:$VI29),SUMPRODUCT('計算A'!$D$86:$II$86,$CW29:$MB29))*1000+27)</f>
        <v/>
      </c>
      <c r="CD29">
        <f>IF(AJ29=1,1000000,IF('計算A'!$IQ$37=2,SUMPRODUCT('計算A'!$D$87:$II$87,$CW29:$MB29,$MD29:$VI29),SUMPRODUCT('計算A'!$D$87:$II$87,$CW29:$MB29))*1000+28)</f>
        <v/>
      </c>
      <c r="CE29">
        <f>IF(AK29=1,1000000,IF('計算A'!$IQ$38=2,SUMPRODUCT('計算A'!$D$88:$II$88,$CW29:$MB29,$MD29:$VI29),SUMPRODUCT('計算A'!$D$88:$II$88,$CW29:$MB29))*1000+29)</f>
        <v/>
      </c>
      <c r="CF29">
        <f>IF(AL29=1,1000000,IF('計算A'!$IQ$39=2,SUMPRODUCT('計算A'!$D$89:$II$89,$CW29:$MB29,$MD29:$VI29),SUMPRODUCT('計算A'!$D$89:$II$89,$CW29:$MB29))*1000+30)</f>
        <v/>
      </c>
      <c r="CG29">
        <f>IF(AM29=1,1000000,IF('計算A'!$IQ$40=2,SUMPRODUCT('計算A'!$D$90:$II$90,$CW29:$MB29,$MD29:$VI29),SUMPRODUCT('計算A'!$D$90:$II$90,$CW29:$MB29))*1000+31)</f>
        <v/>
      </c>
      <c r="CH29">
        <f>IF(AN29=1,1000000,IF('計算A'!$IQ$41=2,SUMPRODUCT('計算A'!$D$91:$II$91,$CW29:$MB29,$MD29:$VI29),SUMPRODUCT('計算A'!$D$91:$II$91,$CW29:$MB29))*1000+32)</f>
        <v/>
      </c>
      <c r="CI29">
        <f>IF(AO29=1,1000000,IF('計算A'!$IQ$42=2,SUMPRODUCT('計算A'!$D$92:$II$92,$CW29:$MB29,$MD29:$VI29),SUMPRODUCT('計算A'!$D$92:$II$92,$CW29:$MB29))*1000+33)</f>
        <v/>
      </c>
      <c r="CJ29">
        <f>IF(AP29=1,1000000,IF('計算A'!$IQ$43=2,SUMPRODUCT('計算A'!$D$93:$II$93,$CW29:$MB29,$MD29:$VI29),SUMPRODUCT('計算A'!$D$93:$II$93,$CW29:$MB29))*1000+34)</f>
        <v/>
      </c>
      <c r="CK29">
        <f>IF(AQ29=1,1000000,IF('計算A'!$IQ$44=2,SUMPRODUCT('計算A'!$D$94:$II$94,$CW29:$MB29,$MD29:$VI29),SUMPRODUCT('計算A'!$D$94:$II$94,$CW29:$MB29))*1000+35)</f>
        <v/>
      </c>
      <c r="CL29">
        <f>IF(AR29=1,1000000,IF('計算A'!$IQ$45=2,SUMPRODUCT('計算A'!$D$95:$II$95,$CW29:$MB29,$MD29:$VI29),SUMPRODUCT('計算A'!$D$95:$II$95,$CW29:$MB29))*1000+36)</f>
        <v/>
      </c>
      <c r="CM29">
        <f>IF(AS29=1,1000000,IF('計算A'!$IQ$46=2,SUMPRODUCT('計算A'!$D$96:$II$96,$CW29:$MB29,$MD29:$VI29),SUMPRODUCT('計算A'!$D$96:$II$96,$CW29:$MB29))*1000+37)</f>
        <v/>
      </c>
      <c r="CN29">
        <f>IF(AT29=1,1000000,IF('計算A'!$IQ$47=2,SUMPRODUCT('計算A'!$D$97:$II$97,$CW29:$MB29,$MD29:$VI29),SUMPRODUCT('計算A'!$D$97:$II$97,$CW29:$MB29))*1000+38)</f>
        <v/>
      </c>
      <c r="CO29">
        <f>IF(AU29=1,1000000,IF('計算A'!$IQ$48=2,SUMPRODUCT('計算A'!$D$98:$II$98,$CW29:$MB29,$MD29:$VI29),SUMPRODUCT('計算A'!$D$98:$II$98,$CW29:$MB29))*1000+39)</f>
        <v/>
      </c>
      <c r="CP29">
        <f>IF(AV29=1,1000000,IF('計算A'!$IQ$49=2,SUMPRODUCT('計算A'!$D$99:$II$99,$CW29:$MB29,$MD29:$VI29),SUMPRODUCT('計算A'!$D$99:$II$99,$CW29:$MB29))*1000+40)</f>
        <v/>
      </c>
      <c r="CQ29">
        <f>IF(AW29=1,1000000,IF('計算A'!$IQ$50=2,SUMPRODUCT('計算A'!$D$100:$II$100,$CW29:$MB29,$MD29:$VI29),SUMPRODUCT('計算A'!$D$100:$II$100,$CW29:$MB29))*1000+41)</f>
        <v/>
      </c>
      <c r="CR29">
        <f>IF(AX29=1,1000000,IF('計算A'!$IQ$51=2,SUMPRODUCT('計算A'!$D$101:$II$101,$CW29:$MB29,$MD29:$VI29),SUMPRODUCT('計算A'!$D$101:$II$101,$CW29:$MB29))*1000+42)</f>
        <v/>
      </c>
      <c r="CS29">
        <f>IF(AY29=1,1000000,IF('計算A'!$IQ$52=2,SUMPRODUCT('計算A'!$D$102:$II$102,$CW29:$MB29,$MD29:$VI29),SUMPRODUCT('計算A'!$D$102:$II$102,$CW29:$MB29))*1000+43)</f>
        <v/>
      </c>
      <c r="CT29">
        <f>IF(AZ29=1,1000000,IF('計算A'!$IQ$53=2,SUMPRODUCT('計算A'!$D$103:$II$103,$CW29:$MB29,$MD29:$VI29),SUMPRODUCT('計算A'!$D$103:$II$103,$CW29:$MB29))*1000+44)</f>
        <v/>
      </c>
      <c r="CU29">
        <f>IF(BA29=1,1000000,IF('計算A'!$IQ$54=2,SUMPRODUCT('計算A'!$D$104:$II$104,$CW29:$MB29,$MD29:$VI29),SUMPRODUCT('計算A'!$D$104:$II$104,$CW29:$MB29))*1000+45)</f>
        <v/>
      </c>
      <c r="CW29">
        <f>CW28*IF(OR($C28=1,$G28=1),0,1)</f>
        <v/>
      </c>
      <c r="CX29">
        <f>CX28*IF(OR($C28=2,$G28=2),0,1)</f>
        <v/>
      </c>
      <c r="CY29">
        <f>CY28*IF(OR($C28=3,$G28=3),0,1)</f>
        <v/>
      </c>
      <c r="CZ29">
        <f>CZ28*IF(OR($C28=4,$G28=4),0,1)</f>
        <v/>
      </c>
      <c r="DA29">
        <f>DA28*IF(OR($C28=5,$G28=5),0,1)</f>
        <v/>
      </c>
      <c r="DB29">
        <f>DB28*IF(OR($C28=6,$G28=6),0,1)</f>
        <v/>
      </c>
      <c r="DC29">
        <f>DC28*IF(OR($C28=7,$G28=7),0,1)</f>
        <v/>
      </c>
      <c r="DD29">
        <f>DD28*IF(OR($C28=8,$G28=8),0,1)</f>
        <v/>
      </c>
      <c r="DE29">
        <f>DE28*IF(OR($C28=9,$G28=9),0,1)</f>
        <v/>
      </c>
      <c r="DF29">
        <f>DF28*IF(OR($C28=10,$G28=10),0,1)</f>
        <v/>
      </c>
      <c r="DG29">
        <f>DG28*IF(OR($C28=11,$G28=11),0,1)</f>
        <v/>
      </c>
      <c r="DH29">
        <f>DH28*IF(OR($C28=12,$G28=12),0,1)</f>
        <v/>
      </c>
      <c r="DI29">
        <f>DI28*IF(OR($C28=13,$G28=13),0,1)</f>
        <v/>
      </c>
      <c r="DJ29">
        <f>DJ28*IF(OR($C28=14,$G28=14),0,1)</f>
        <v/>
      </c>
      <c r="DK29">
        <f>DK28*IF(OR($C28=15,$G28=15),0,1)</f>
        <v/>
      </c>
      <c r="DL29">
        <f>DL28*IF(OR($C28=16,$G28=16),0,1)</f>
        <v/>
      </c>
      <c r="DM29">
        <f>DM28*IF(OR($C28=17,$G28=17),0,1)</f>
        <v/>
      </c>
      <c r="DN29">
        <f>DN28*IF(OR($C28=18,$G28=18),0,1)</f>
        <v/>
      </c>
      <c r="DO29">
        <f>DO28*IF(OR($C28=19,$G28=19),0,1)</f>
        <v/>
      </c>
      <c r="DP29">
        <f>DP28*IF(OR($C28=20,$G28=20),0,1)</f>
        <v/>
      </c>
      <c r="DQ29">
        <f>DQ28*IF(OR($C28=21,$G28=21),0,1)</f>
        <v/>
      </c>
      <c r="DR29">
        <f>DR28*IF(OR($C28=22,$G28=22),0,1)</f>
        <v/>
      </c>
      <c r="DS29">
        <f>DS28*IF(OR($C28=23,$G28=23),0,1)</f>
        <v/>
      </c>
      <c r="DT29">
        <f>DT28*IF(OR($C28=24,$G28=24),0,1)</f>
        <v/>
      </c>
      <c r="DU29">
        <f>DU28*IF(OR($C28=25,$G28=25),0,1)</f>
        <v/>
      </c>
      <c r="DV29">
        <f>DV28*IF(OR($C28=26,$G28=26),0,1)</f>
        <v/>
      </c>
      <c r="DW29">
        <f>DW28*IF(OR($C28=27,$G28=27),0,1)</f>
        <v/>
      </c>
      <c r="DX29">
        <f>DX28*IF(OR($C28=28,$G28=28),0,1)</f>
        <v/>
      </c>
      <c r="DY29">
        <f>DY28*IF(OR($C28=29,$G28=29),0,1)</f>
        <v/>
      </c>
      <c r="DZ29">
        <f>DZ28*IF(OR($C28=30,$G28=30),0,1)</f>
        <v/>
      </c>
      <c r="EA29">
        <f>EA28*IF(OR($C28=31,$G28=31),0,1)</f>
        <v/>
      </c>
      <c r="EB29">
        <f>EB28*IF(OR($C28=32,$G28=32),0,1)</f>
        <v/>
      </c>
      <c r="EC29">
        <f>EC28*IF(OR($C28=33,$G28=33),0,1)</f>
        <v/>
      </c>
      <c r="ED29">
        <f>ED28*IF(OR($C28=34,$G28=34),0,1)</f>
        <v/>
      </c>
      <c r="EE29">
        <f>EE28*IF(OR($C28=35,$G28=35),0,1)</f>
        <v/>
      </c>
      <c r="EF29">
        <f>EF28*IF(OR($C28=36,$G28=36),0,1)</f>
        <v/>
      </c>
      <c r="EG29">
        <f>EG28*IF(OR($C28=37,$G28=37),0,1)</f>
        <v/>
      </c>
      <c r="EH29">
        <f>EH28*IF(OR($C28=38,$G28=38),0,1)</f>
        <v/>
      </c>
      <c r="EI29">
        <f>EI28*IF(OR($C28=39,$G28=39),0,1)</f>
        <v/>
      </c>
      <c r="EJ29">
        <f>EJ28*IF(OR($C28=40,$G28=40),0,1)</f>
        <v/>
      </c>
      <c r="EK29">
        <f>EK28*IF(OR($C28=41,$G28=41),0,1)</f>
        <v/>
      </c>
      <c r="EL29">
        <f>EL28*IF(OR($C28=42,$G28=42),0,1)</f>
        <v/>
      </c>
      <c r="EM29">
        <f>EM28*IF(OR($C28=43,$G28=43),0,1)</f>
        <v/>
      </c>
      <c r="EN29">
        <f>EN28*IF(OR($C28=44,$G28=44),0,1)</f>
        <v/>
      </c>
      <c r="EO29">
        <f>EO28*IF(OR($C28=45,$G28=45),0,1)</f>
        <v/>
      </c>
      <c r="EP29">
        <f>EP28*IF(OR($C28=46,$G28=46),0,1)</f>
        <v/>
      </c>
      <c r="EQ29">
        <f>EQ28*IF(OR($C28=47,$G28=47),0,1)</f>
        <v/>
      </c>
      <c r="ER29">
        <f>ER28*IF(OR($C28=48,$G28=48),0,1)</f>
        <v/>
      </c>
      <c r="ES29">
        <f>ES28*IF(OR($C28=49,$G28=49),0,1)</f>
        <v/>
      </c>
      <c r="ET29">
        <f>ET28*IF(OR($C28=50,$G28=50),0,1)</f>
        <v/>
      </c>
      <c r="EU29">
        <f>EU28*IF(OR($C28=51,$G28=51),0,1)</f>
        <v/>
      </c>
      <c r="EV29">
        <f>EV28*IF(OR($C28=52,$G28=52),0,1)</f>
        <v/>
      </c>
      <c r="EW29">
        <f>EW28*IF(OR($C28=53,$G28=53),0,1)</f>
        <v/>
      </c>
      <c r="EX29">
        <f>EX28*IF(OR($C28=54,$G28=54),0,1)</f>
        <v/>
      </c>
      <c r="EY29">
        <f>EY28*IF(OR($C28=55,$G28=55),0,1)</f>
        <v/>
      </c>
      <c r="EZ29">
        <f>EZ28*IF(OR($C28=56,$G28=56),0,1)</f>
        <v/>
      </c>
      <c r="FA29">
        <f>FA28*IF(OR($C28=57,$G28=57),0,1)</f>
        <v/>
      </c>
      <c r="FB29">
        <f>FB28*IF(OR($C28=58,$G28=58),0,1)</f>
        <v/>
      </c>
      <c r="FC29">
        <f>FC28*IF(OR($C28=59,$G28=59),0,1)</f>
        <v/>
      </c>
      <c r="FD29">
        <f>FD28*IF(OR($C28=60,$G28=60),0,1)</f>
        <v/>
      </c>
      <c r="FE29">
        <f>FE28*IF(OR($C28=61,$G28=61),0,1)</f>
        <v/>
      </c>
      <c r="FF29">
        <f>FF28*IF(OR($C28=62,$G28=62),0,1)</f>
        <v/>
      </c>
      <c r="FG29">
        <f>FG28*IF(OR($C28=63,$G28=63),0,1)</f>
        <v/>
      </c>
      <c r="FH29">
        <f>FH28*IF(OR($C28=64,$G28=64),0,1)</f>
        <v/>
      </c>
      <c r="FI29">
        <f>FI28*IF(OR($C28=65,$G28=65),0,1)</f>
        <v/>
      </c>
      <c r="FJ29">
        <f>FJ28*IF(OR($C28=66,$G28=66),0,1)</f>
        <v/>
      </c>
      <c r="FK29">
        <f>FK28*IF(OR($C28=67,$G28=67),0,1)</f>
        <v/>
      </c>
      <c r="FL29">
        <f>FL28*IF(OR($C28=68,$G28=68),0,1)</f>
        <v/>
      </c>
      <c r="FM29">
        <f>FM28*IF(OR($C28=69,$G28=69),0,1)</f>
        <v/>
      </c>
      <c r="FN29">
        <f>FN28*IF(OR($C28=70,$G28=70),0,1)</f>
        <v/>
      </c>
      <c r="FO29">
        <f>FO28*IF(OR($C28=71,$G28=71),0,1)</f>
        <v/>
      </c>
      <c r="FP29">
        <f>FP28*IF(OR($C28=72,$G28=72),0,1)</f>
        <v/>
      </c>
      <c r="FQ29">
        <f>FQ28*IF(OR($C28=73,$G28=73),0,1)</f>
        <v/>
      </c>
      <c r="FR29">
        <f>FR28*IF(OR($C28=74,$G28=74),0,1)</f>
        <v/>
      </c>
      <c r="FS29">
        <f>FS28*IF(OR($C28=75,$G28=75),0,1)</f>
        <v/>
      </c>
      <c r="FT29">
        <f>FT28*IF(OR($C28=76,$G28=76),0,1)</f>
        <v/>
      </c>
      <c r="FU29">
        <f>FU28*IF(OR($C28=77,$G28=77),0,1)</f>
        <v/>
      </c>
      <c r="FV29">
        <f>FV28*IF(OR($C28=78,$G28=78),0,1)</f>
        <v/>
      </c>
      <c r="FW29">
        <f>FW28*IF(OR($C28=79,$G28=79),0,1)</f>
        <v/>
      </c>
      <c r="FX29">
        <f>FX28*IF(OR($C28=80,$G28=80),0,1)</f>
        <v/>
      </c>
      <c r="FY29">
        <f>FY28*IF(OR($C28=81,$G28=81),0,1)</f>
        <v/>
      </c>
      <c r="FZ29">
        <f>FZ28*IF(OR($C28=82,$G28=82),0,1)</f>
        <v/>
      </c>
      <c r="GA29">
        <f>GA28*IF(OR($C28=83,$G28=83),0,1)</f>
        <v/>
      </c>
      <c r="GB29">
        <f>GB28*IF(OR($C28=84,$G28=84),0,1)</f>
        <v/>
      </c>
      <c r="GC29">
        <f>GC28*IF(OR($C28=85,$G28=85),0,1)</f>
        <v/>
      </c>
      <c r="GD29">
        <f>GD28*IF(OR($C28=86,$G28=86),0,1)</f>
        <v/>
      </c>
      <c r="GE29">
        <f>GE28*IF(OR($C28=87,$G28=87),0,1)</f>
        <v/>
      </c>
      <c r="GF29">
        <f>GF28*IF(OR($C28=88,$G28=88),0,1)</f>
        <v/>
      </c>
      <c r="GG29">
        <f>GG28*IF(OR($C28=89,$G28=89),0,1)</f>
        <v/>
      </c>
      <c r="GH29">
        <f>GH28*IF(OR($C28=90,$G28=90),0,1)</f>
        <v/>
      </c>
      <c r="GI29">
        <f>GI28*IF(OR($C28=91,$G28=91),0,1)</f>
        <v/>
      </c>
      <c r="GJ29">
        <f>GJ28*IF(OR($C28=92,$G28=92),0,1)</f>
        <v/>
      </c>
      <c r="GK29">
        <f>GK28*IF(OR($C28=93,$G28=93),0,1)</f>
        <v/>
      </c>
      <c r="GL29">
        <f>GL28*IF(OR($C28=94,$G28=94),0,1)</f>
        <v/>
      </c>
      <c r="GM29">
        <f>GM28*IF(OR($C28=95,$G28=95),0,1)</f>
        <v/>
      </c>
      <c r="GN29">
        <f>GN28*IF(OR($C28=96,$G28=96),0,1)</f>
        <v/>
      </c>
      <c r="GO29">
        <f>GO28*IF(OR($C28=97,$G28=97),0,1)</f>
        <v/>
      </c>
      <c r="GP29">
        <f>GP28*IF(OR($C28=98,$G28=98),0,1)</f>
        <v/>
      </c>
      <c r="GQ29">
        <f>GQ28*IF(OR($C28=99,$G28=99),0,1)</f>
        <v/>
      </c>
      <c r="GR29">
        <f>GR28*IF(OR($C28=100,$G28=100),0,1)</f>
        <v/>
      </c>
      <c r="GS29">
        <f>GS28*IF(OR($C28=101,$G28=101),0,1)</f>
        <v/>
      </c>
      <c r="GT29">
        <f>GT28*IF(OR($C28=102,$G28=102),0,1)</f>
        <v/>
      </c>
      <c r="GU29">
        <f>GU28*IF(OR($C28=103,$G28=103),0,1)</f>
        <v/>
      </c>
      <c r="GV29">
        <f>GV28*IF(OR($C28=104,$G28=104),0,1)</f>
        <v/>
      </c>
      <c r="GW29">
        <f>GW28*IF(OR($C28=105,$G28=105),0,1)</f>
        <v/>
      </c>
      <c r="GX29">
        <f>GX28*IF(OR($C28=106,$G28=106),0,1)</f>
        <v/>
      </c>
      <c r="GY29">
        <f>GY28*IF(OR($C28=107,$G28=107),0,1)</f>
        <v/>
      </c>
      <c r="GZ29">
        <f>GZ28*IF(OR($C28=108,$G28=108),0,1)</f>
        <v/>
      </c>
      <c r="HA29">
        <f>HA28*IF(OR($C28=109,$G28=109),0,1)</f>
        <v/>
      </c>
      <c r="HB29">
        <f>HB28*IF(OR($C28=110,$G28=110),0,1)</f>
        <v/>
      </c>
      <c r="HC29">
        <f>HC28*IF(OR($C28=111,$G28=111),0,1)</f>
        <v/>
      </c>
      <c r="HD29">
        <f>HD28*IF(OR($C28=112,$G28=112),0,1)</f>
        <v/>
      </c>
      <c r="HE29">
        <f>HE28*IF(OR($C28=113,$G28=113),0,1)</f>
        <v/>
      </c>
      <c r="HF29">
        <f>HF28*IF(OR($C28=114,$G28=114),0,1)</f>
        <v/>
      </c>
      <c r="HG29">
        <f>HG28*IF(OR($C28=115,$G28=115),0,1)</f>
        <v/>
      </c>
      <c r="HH29">
        <f>HH28*IF(OR($C28=116,$G28=116),0,1)</f>
        <v/>
      </c>
      <c r="HI29">
        <f>HI28*IF(OR($C28=117,$G28=117),0,1)</f>
        <v/>
      </c>
      <c r="HJ29">
        <f>HJ28*IF(OR($C28=118,$G28=118),0,1)</f>
        <v/>
      </c>
      <c r="HK29">
        <f>HK28*IF(OR($C28=119,$G28=119),0,1)</f>
        <v/>
      </c>
      <c r="HL29">
        <f>HL28*IF(OR($C28=120,$G28=120),0,1)</f>
        <v/>
      </c>
      <c r="HM29">
        <f>HM28*IF(OR($C28=121,$G28=121),0,1)</f>
        <v/>
      </c>
      <c r="HN29">
        <f>HN28*IF(OR($C28=122,$G28=122),0,1)</f>
        <v/>
      </c>
      <c r="HO29">
        <f>HO28*IF(OR($C28=123,$G28=123),0,1)</f>
        <v/>
      </c>
      <c r="HP29">
        <f>HP28*IF(OR($C28=124,$G28=124),0,1)</f>
        <v/>
      </c>
      <c r="HQ29">
        <f>HQ28*IF(OR($C28=125,$G28=125),0,1)</f>
        <v/>
      </c>
      <c r="HR29">
        <f>HR28*IF(OR($C28=126,$G28=126),0,1)</f>
        <v/>
      </c>
      <c r="HS29">
        <f>HS28*IF(OR($C28=127,$G28=127),0,1)</f>
        <v/>
      </c>
      <c r="HT29">
        <f>HT28*IF(OR($C28=128,$G28=128),0,1)</f>
        <v/>
      </c>
      <c r="HU29">
        <f>HU28*IF(OR($C28=129,$G28=129),0,1)</f>
        <v/>
      </c>
      <c r="HV29">
        <f>HV28*IF(OR($C28=130,$G28=130),0,1)</f>
        <v/>
      </c>
      <c r="HW29">
        <f>HW28*IF(OR($C28=131,$G28=131),0,1)</f>
        <v/>
      </c>
      <c r="HX29">
        <f>HX28*IF(OR($C28=132,$G28=132),0,1)</f>
        <v/>
      </c>
      <c r="HY29">
        <f>HY28*IF(OR($C28=133,$G28=133),0,1)</f>
        <v/>
      </c>
      <c r="HZ29">
        <f>HZ28*IF(OR($C28=134,$G28=134),0,1)</f>
        <v/>
      </c>
      <c r="IA29">
        <f>IA28*IF(OR($C28=135,$G28=135),0,1)</f>
        <v/>
      </c>
      <c r="IB29">
        <f>IB28*IF(OR($C28=136,$G28=136),0,1)</f>
        <v/>
      </c>
      <c r="IC29">
        <f>IC28*IF(OR($C28=137,$G28=137),0,1)</f>
        <v/>
      </c>
      <c r="ID29">
        <f>ID28*IF(OR($C28=138,$G28=138),0,1)</f>
        <v/>
      </c>
      <c r="IE29">
        <f>IE28*IF(OR($C28=139,$G28=139),0,1)</f>
        <v/>
      </c>
      <c r="IF29">
        <f>IF28*IF(OR($C28=140,$G28=140),0,1)</f>
        <v/>
      </c>
      <c r="IG29">
        <f>IG28*IF(OR($C28=141,$G28=141),0,1)</f>
        <v/>
      </c>
      <c r="IH29">
        <f>IH28*IF(OR($C28=142,$G28=142),0,1)</f>
        <v/>
      </c>
      <c r="II29">
        <f>II28*IF(OR($C28=143,$G28=143),0,1)</f>
        <v/>
      </c>
      <c r="IJ29">
        <f>IJ28*IF(OR($C28=144,$G28=144),0,1)</f>
        <v/>
      </c>
      <c r="IK29">
        <f>IK28*IF(OR($C28=145,$G28=145),0,1)</f>
        <v/>
      </c>
      <c r="IL29">
        <f>IL28*IF(OR($C28=146,$G28=146),0,1)</f>
        <v/>
      </c>
      <c r="IM29">
        <f>IM28*IF(OR($C28=147,$G28=147),0,1)</f>
        <v/>
      </c>
      <c r="IN29">
        <f>IN28*IF(OR($C28=148,$G28=148),0,1)</f>
        <v/>
      </c>
      <c r="IO29">
        <f>IO28*IF(OR($C28=149,$G28=149),0,1)</f>
        <v/>
      </c>
      <c r="IP29">
        <f>IP28*IF(OR($C28=150,$G28=150),0,1)</f>
        <v/>
      </c>
      <c r="IQ29">
        <f>IQ28*IF(OR($C28=151,$G28=151),0,1)</f>
        <v/>
      </c>
      <c r="IR29">
        <f>IR28*IF(OR($C28=152,$G28=152),0,1)</f>
        <v/>
      </c>
      <c r="IS29">
        <f>IS28*IF(OR($C28=153,$G28=153),0,1)</f>
        <v/>
      </c>
      <c r="IT29">
        <f>IT28*IF(OR($C28=154,$G28=154),0,1)</f>
        <v/>
      </c>
      <c r="IU29">
        <f>IU28*IF(OR($C28=155,$G28=155),0,1)</f>
        <v/>
      </c>
      <c r="IV29">
        <f>IV28*IF(OR($C28=156,$G28=156),0,1)</f>
        <v/>
      </c>
      <c r="IW29">
        <f>IW28*IF(OR($C28=157,$G28=157),0,1)</f>
        <v/>
      </c>
      <c r="IX29">
        <f>IX28*IF(OR($C28=158,$G28=158),0,1)</f>
        <v/>
      </c>
      <c r="IY29">
        <f>IY28*IF(OR($C28=159,$G28=159),0,1)</f>
        <v/>
      </c>
      <c r="IZ29">
        <f>IZ28*IF(OR($C28=160,$G28=160),0,1)</f>
        <v/>
      </c>
      <c r="JA29">
        <f>JA28*IF(OR($C28=161,$G28=161),0,1)</f>
        <v/>
      </c>
      <c r="JB29">
        <f>JB28*IF(OR($C28=162,$G28=162),0,1)</f>
        <v/>
      </c>
      <c r="JC29">
        <f>JC28*IF(OR($C28=163,$G28=163),0,1)</f>
        <v/>
      </c>
      <c r="JD29">
        <f>JD28*IF(OR($C28=164,$G28=164),0,1)</f>
        <v/>
      </c>
      <c r="JE29">
        <f>JE28*IF(OR($C28=165,$G28=165),0,1)</f>
        <v/>
      </c>
      <c r="JF29">
        <f>JF28*IF(OR($C28=166,$G28=166),0,1)</f>
        <v/>
      </c>
      <c r="JG29">
        <f>JG28*IF(OR($C28=167,$G28=167),0,1)</f>
        <v/>
      </c>
      <c r="JH29">
        <f>JH28*IF(OR($C28=168,$G28=168),0,1)</f>
        <v/>
      </c>
      <c r="JI29">
        <f>JI28*IF(OR($C28=169,$G28=169),0,1)</f>
        <v/>
      </c>
      <c r="JJ29">
        <f>JJ28*IF(OR($C28=170,$G28=170),0,1)</f>
        <v/>
      </c>
      <c r="JK29">
        <f>JK28*IF(OR($C28=171,$G28=171),0,1)</f>
        <v/>
      </c>
      <c r="JL29">
        <f>JL28*IF(OR($C28=172,$G28=172),0,1)</f>
        <v/>
      </c>
      <c r="JM29">
        <f>JM28*IF(OR($C28=173,$G28=173),0,1)</f>
        <v/>
      </c>
      <c r="JN29">
        <f>JN28*IF(OR($C28=174,$G28=174),0,1)</f>
        <v/>
      </c>
      <c r="JO29">
        <f>JO28*IF(OR($C28=175,$G28=175),0,1)</f>
        <v/>
      </c>
      <c r="JP29">
        <f>JP28*IF(OR($C28=176,$G28=176),0,1)</f>
        <v/>
      </c>
      <c r="JQ29">
        <f>JQ28*IF(OR($C28=177,$G28=177),0,1)</f>
        <v/>
      </c>
      <c r="JR29">
        <f>JR28*IF(OR($C28=178,$G28=178),0,1)</f>
        <v/>
      </c>
      <c r="JS29">
        <f>JS28*IF(OR($C28=179,$G28=179),0,1)</f>
        <v/>
      </c>
      <c r="JT29">
        <f>JT28*IF(OR($C28=180,$G28=180),0,1)</f>
        <v/>
      </c>
      <c r="JU29">
        <f>JU28*IF(OR($C28=181,$G28=181),0,1)</f>
        <v/>
      </c>
      <c r="JV29">
        <f>JV28*IF(OR($C28=182,$G28=182),0,1)</f>
        <v/>
      </c>
      <c r="JW29">
        <f>JW28*IF(OR($C28=183,$G28=183),0,1)</f>
        <v/>
      </c>
      <c r="JX29">
        <f>JX28*IF(OR($C28=184,$G28=184),0,1)</f>
        <v/>
      </c>
      <c r="JY29">
        <f>JY28*IF(OR($C28=185,$G28=185),0,1)</f>
        <v/>
      </c>
      <c r="JZ29">
        <f>JZ28*IF(OR($C28=186,$G28=186),0,1)</f>
        <v/>
      </c>
      <c r="KA29">
        <f>KA28*IF(OR($C28=187,$G28=187),0,1)</f>
        <v/>
      </c>
      <c r="KB29">
        <f>KB28*IF(OR($C28=188,$G28=188),0,1)</f>
        <v/>
      </c>
      <c r="KC29">
        <f>KC28*IF(OR($C28=189,$G28=189),0,1)</f>
        <v/>
      </c>
      <c r="KD29">
        <f>KD28*IF(OR($C28=190,$G28=190),0,1)</f>
        <v/>
      </c>
      <c r="KE29">
        <f>KE28*IF(OR($C28=191,$G28=191),0,1)</f>
        <v/>
      </c>
      <c r="KF29">
        <f>KF28*IF(OR($C28=192,$G28=192),0,1)</f>
        <v/>
      </c>
      <c r="KG29">
        <f>KG28*IF(OR($C28=193,$G28=193),0,1)</f>
        <v/>
      </c>
      <c r="KH29">
        <f>KH28*IF(OR($C28=194,$G28=194),0,1)</f>
        <v/>
      </c>
      <c r="KI29">
        <f>KI28*IF(OR($C28=195,$G28=195),0,1)</f>
        <v/>
      </c>
      <c r="KJ29">
        <f>KJ28*IF(OR($C28=196,$G28=196),0,1)</f>
        <v/>
      </c>
      <c r="KK29">
        <f>KK28*IF(OR($C28=197,$G28=197),0,1)</f>
        <v/>
      </c>
      <c r="KL29">
        <f>KL28*IF(OR($C28=198,$G28=198),0,1)</f>
        <v/>
      </c>
      <c r="KM29">
        <f>KM28*IF(OR($C28=199,$G28=199),0,1)</f>
        <v/>
      </c>
      <c r="KN29">
        <f>KN28*IF(OR($C28=200,$G28=200),0,1)</f>
        <v/>
      </c>
      <c r="KO29">
        <f>KO28*IF(OR($C28=201,$G28=201),0,1)</f>
        <v/>
      </c>
      <c r="KP29">
        <f>KP28*IF(OR($C28=202,$G28=202),0,1)</f>
        <v/>
      </c>
      <c r="KQ29">
        <f>KQ28*IF(OR($C28=203,$G28=203),0,1)</f>
        <v/>
      </c>
      <c r="KR29">
        <f>KR28*IF(OR($C28=204,$G28=204),0,1)</f>
        <v/>
      </c>
      <c r="KS29">
        <f>KS28*IF(OR($C28=205,$G28=205),0,1)</f>
        <v/>
      </c>
      <c r="KT29">
        <f>KT28*IF(OR($C28=206,$G28=206),0,1)</f>
        <v/>
      </c>
      <c r="KU29">
        <f>KU28*IF(OR($C28=207,$G28=207),0,1)</f>
        <v/>
      </c>
      <c r="KV29">
        <f>KV28*IF(OR($C28=208,$G28=208),0,1)</f>
        <v/>
      </c>
      <c r="KW29">
        <f>KW28*IF(OR($C28=209,$G28=209),0,1)</f>
        <v/>
      </c>
      <c r="KX29">
        <f>KX28*IF(OR($C28=210,$G28=210),0,1)</f>
        <v/>
      </c>
      <c r="KY29">
        <f>KY28*IF(OR($C28=211,$G28=211),0,1)</f>
        <v/>
      </c>
      <c r="KZ29">
        <f>KZ28*IF(OR($C28=212,$G28=212),0,1)</f>
        <v/>
      </c>
      <c r="LA29">
        <f>LA28*IF(OR($C28=213,$G28=213),0,1)</f>
        <v/>
      </c>
      <c r="LB29">
        <f>LB28*IF(OR($C28=214,$G28=214),0,1)</f>
        <v/>
      </c>
      <c r="LC29">
        <f>LC28*IF(OR($C28=215,$G28=215),0,1)</f>
        <v/>
      </c>
      <c r="LD29">
        <f>LD28*IF(OR($C28=216,$G28=216),0,1)</f>
        <v/>
      </c>
      <c r="LE29">
        <f>LE28*IF(OR($C28=217,$G28=217),0,1)</f>
        <v/>
      </c>
      <c r="LF29">
        <f>LF28*IF(OR($C28=218,$G28=218),0,1)</f>
        <v/>
      </c>
      <c r="LG29">
        <f>LG28*IF(OR($C28=219,$G28=219),0,1)</f>
        <v/>
      </c>
      <c r="LH29">
        <f>LH28*IF(OR($C28=220,$G28=220),0,1)</f>
        <v/>
      </c>
      <c r="LI29">
        <f>LI28*IF(OR($C28=221,$G28=221),0,1)</f>
        <v/>
      </c>
      <c r="LJ29">
        <f>LJ28*IF(OR($C28=222,$G28=222),0,1)</f>
        <v/>
      </c>
      <c r="LK29">
        <f>LK28*IF(OR($C28=223,$G28=223),0,1)</f>
        <v/>
      </c>
      <c r="LL29">
        <f>LL28*IF(OR($C28=224,$G28=224),0,1)</f>
        <v/>
      </c>
      <c r="LM29">
        <f>LM28*IF(OR($C28=225,$G28=225),0,1)</f>
        <v/>
      </c>
      <c r="LN29">
        <f>LN28*IF(OR($C28=226,$G28=226),0,1)</f>
        <v/>
      </c>
      <c r="LO29">
        <f>LO28*IF(OR($C28=227,$G28=227),0,1)</f>
        <v/>
      </c>
      <c r="LP29">
        <f>LP28*IF(OR($C28=228,$G28=228),0,1)</f>
        <v/>
      </c>
      <c r="LQ29">
        <f>LQ28*IF(OR($C28=229,$G28=229),0,1)</f>
        <v/>
      </c>
      <c r="LR29">
        <f>LR28*IF(OR($C28=230,$G28=230),0,1)</f>
        <v/>
      </c>
      <c r="LS29">
        <f>LS28*IF(OR($C28=231,$G28=231),0,1)</f>
        <v/>
      </c>
      <c r="LT29">
        <f>LT28*IF(OR($C28=232,$G28=232),0,1)</f>
        <v/>
      </c>
      <c r="LU29">
        <f>LU28*IF(OR($C28=233,$G28=233),0,1)</f>
        <v/>
      </c>
      <c r="LV29">
        <f>LV28*IF(OR($C28=234,$G28=234),0,1)</f>
        <v/>
      </c>
      <c r="LW29">
        <f>LW28*IF(OR($C28=235,$G28=235),0,1)</f>
        <v/>
      </c>
      <c r="LX29">
        <f>LX28*IF(OR($C28=236,$G28=236),0,1)</f>
        <v/>
      </c>
      <c r="LY29">
        <f>LY28*IF(OR($C28=237,$G28=237),0,1)</f>
        <v/>
      </c>
      <c r="LZ29">
        <f>LZ28*IF(OR($C28=238,$G28=238),0,1)</f>
        <v/>
      </c>
      <c r="MA29">
        <f>MA28*IF(OR($C28=239,$G28=239),0,1)</f>
        <v/>
      </c>
      <c r="MB29">
        <f>MB28*IF(OR($C28=240,$G28=240),0,1)</f>
        <v/>
      </c>
      <c r="MD29">
        <f>IF('計算A'!D$106=1,CX29,1)</f>
        <v/>
      </c>
      <c r="ME29">
        <f>IF('計算A'!E$106=1,CY29,1)</f>
        <v/>
      </c>
      <c r="MF29">
        <f>IF('計算A'!F$106=1,CZ29,1)</f>
        <v/>
      </c>
      <c r="MG29">
        <f>IF('計算A'!G$106=1,DA29,1)</f>
        <v/>
      </c>
      <c r="MH29">
        <f>IF('計算A'!H$106=1,DB29,1)</f>
        <v/>
      </c>
      <c r="MI29">
        <f>IF('計算A'!I$106=1,DC29,1)</f>
        <v/>
      </c>
      <c r="MJ29">
        <f>IF('計算A'!J$106=1,DD29,1)</f>
        <v/>
      </c>
      <c r="MK29">
        <f>IF('計算A'!K$106=1,DE29,1)</f>
        <v/>
      </c>
      <c r="ML29">
        <f>IF('計算A'!L$106=1,DF29,1)</f>
        <v/>
      </c>
      <c r="MM29">
        <f>IF('計算A'!M$106=1,DG29,1)</f>
        <v/>
      </c>
      <c r="MN29">
        <f>IF('計算A'!N$106=1,DH29,1)</f>
        <v/>
      </c>
      <c r="MO29">
        <f>IF('計算A'!O$106=1,DI29,1)</f>
        <v/>
      </c>
      <c r="MP29">
        <f>IF('計算A'!P$106=1,DJ29,1)</f>
        <v/>
      </c>
      <c r="MQ29">
        <f>IF('計算A'!Q$106=1,DK29,1)</f>
        <v/>
      </c>
      <c r="MR29">
        <f>IF('計算A'!R$106=1,DL29,1)</f>
        <v/>
      </c>
      <c r="MS29">
        <f>IF('計算A'!S$106=1,DM29,1)</f>
        <v/>
      </c>
      <c r="MT29">
        <f>IF('計算A'!T$106=1,DN29,1)</f>
        <v/>
      </c>
      <c r="MU29">
        <f>IF('計算A'!U$106=1,DO29,1)</f>
        <v/>
      </c>
      <c r="MV29">
        <f>IF('計算A'!V$106=1,DP29,1)</f>
        <v/>
      </c>
      <c r="MW29">
        <f>IF('計算A'!W$106=1,DQ29,1)</f>
        <v/>
      </c>
      <c r="MX29">
        <f>IF('計算A'!X$106=1,DR29,1)</f>
        <v/>
      </c>
      <c r="MY29">
        <f>IF('計算A'!Y$106=1,DS29,1)</f>
        <v/>
      </c>
      <c r="MZ29">
        <f>IF('計算A'!Z$106=1,DT29,1)</f>
        <v/>
      </c>
      <c r="NA29">
        <f>IF('計算A'!AA$106=1,DU29,1)</f>
        <v/>
      </c>
      <c r="NB29">
        <f>IF('計算A'!AB$106=1,DV29,1)</f>
        <v/>
      </c>
      <c r="NC29">
        <f>IF('計算A'!AC$106=1,DW29,1)</f>
        <v/>
      </c>
      <c r="ND29">
        <f>IF('計算A'!AD$106=1,DX29,1)</f>
        <v/>
      </c>
      <c r="NE29">
        <f>IF('計算A'!AE$106=1,DY29,1)</f>
        <v/>
      </c>
      <c r="NF29">
        <f>IF('計算A'!AF$106=1,DZ29,1)</f>
        <v/>
      </c>
      <c r="NG29">
        <f>IF('計算A'!AG$106=1,EA29,1)</f>
        <v/>
      </c>
      <c r="NH29">
        <f>IF('計算A'!AH$106=1,EB29,1)</f>
        <v/>
      </c>
      <c r="NI29">
        <f>IF('計算A'!AI$106=1,EC29,1)</f>
        <v/>
      </c>
      <c r="NJ29">
        <f>IF('計算A'!AJ$106=1,ED29,1)</f>
        <v/>
      </c>
      <c r="NK29">
        <f>IF('計算A'!AK$106=1,EE29,1)</f>
        <v/>
      </c>
      <c r="NL29">
        <f>IF('計算A'!AL$106=1,EF29,1)</f>
        <v/>
      </c>
      <c r="NM29">
        <f>IF('計算A'!AM$106=1,EG29,1)</f>
        <v/>
      </c>
      <c r="NN29">
        <f>IF('計算A'!AN$106=1,EH29,1)</f>
        <v/>
      </c>
      <c r="NO29">
        <f>IF('計算A'!AO$106=1,EI29,1)</f>
        <v/>
      </c>
      <c r="NP29">
        <f>IF('計算A'!AP$106=1,EJ29,1)</f>
        <v/>
      </c>
      <c r="NQ29">
        <f>IF('計算A'!AQ$106=1,EK29,1)</f>
        <v/>
      </c>
      <c r="NR29">
        <f>IF('計算A'!AR$106=1,EL29,1)</f>
        <v/>
      </c>
      <c r="NS29">
        <f>IF('計算A'!AS$106=1,EM29,1)</f>
        <v/>
      </c>
      <c r="NT29">
        <f>IF('計算A'!AT$106=1,EN29,1)</f>
        <v/>
      </c>
      <c r="NU29">
        <f>IF('計算A'!AU$106=1,EO29,1)</f>
        <v/>
      </c>
      <c r="NV29">
        <f>IF('計算A'!AV$106=1,EP29,1)</f>
        <v/>
      </c>
      <c r="NW29">
        <f>IF('計算A'!AW$106=1,EQ29,1)</f>
        <v/>
      </c>
      <c r="NX29">
        <f>IF('計算A'!AX$106=1,ER29,1)</f>
        <v/>
      </c>
      <c r="NY29">
        <f>IF('計算A'!AY$106=1,ES29,1)</f>
        <v/>
      </c>
      <c r="NZ29">
        <f>IF('計算A'!AZ$106=1,ET29,1)</f>
        <v/>
      </c>
      <c r="OA29">
        <f>IF('計算A'!BA$106=1,EU29,1)</f>
        <v/>
      </c>
      <c r="OB29">
        <f>IF('計算A'!BB$106=1,EV29,1)</f>
        <v/>
      </c>
      <c r="OC29">
        <f>IF('計算A'!BC$106=1,EW29,1)</f>
        <v/>
      </c>
      <c r="OD29">
        <f>IF('計算A'!BD$106=1,EX29,1)</f>
        <v/>
      </c>
      <c r="OE29">
        <f>IF('計算A'!BE$106=1,EY29,1)</f>
        <v/>
      </c>
      <c r="OF29">
        <f>IF('計算A'!BF$106=1,EZ29,1)</f>
        <v/>
      </c>
      <c r="OG29">
        <f>IF('計算A'!BG$106=1,FA29,1)</f>
        <v/>
      </c>
      <c r="OH29">
        <f>IF('計算A'!BH$106=1,FB29,1)</f>
        <v/>
      </c>
      <c r="OI29">
        <f>IF('計算A'!BI$106=1,FC29,1)</f>
        <v/>
      </c>
      <c r="OJ29">
        <f>IF('計算A'!BJ$106=1,FD29,1)</f>
        <v/>
      </c>
      <c r="OK29">
        <f>IF('計算A'!BK$106=1,FE29,1)</f>
        <v/>
      </c>
      <c r="OL29">
        <f>IF('計算A'!BL$106=1,FF29,1)</f>
        <v/>
      </c>
      <c r="OM29">
        <f>IF('計算A'!BM$106=1,FG29,1)</f>
        <v/>
      </c>
      <c r="ON29">
        <f>IF('計算A'!BN$106=1,FH29,1)</f>
        <v/>
      </c>
      <c r="OO29">
        <f>IF('計算A'!BO$106=1,FI29,1)</f>
        <v/>
      </c>
      <c r="OP29">
        <f>IF('計算A'!BP$106=1,FJ29,1)</f>
        <v/>
      </c>
      <c r="OQ29">
        <f>IF('計算A'!BQ$106=1,FK29,1)</f>
        <v/>
      </c>
      <c r="OR29">
        <f>IF('計算A'!BR$106=1,FL29,1)</f>
        <v/>
      </c>
      <c r="OS29">
        <f>IF('計算A'!BS$106=1,FM29,1)</f>
        <v/>
      </c>
      <c r="OT29">
        <f>IF('計算A'!BT$106=1,FN29,1)</f>
        <v/>
      </c>
      <c r="OU29">
        <f>IF('計算A'!BU$106=1,FO29,1)</f>
        <v/>
      </c>
      <c r="OV29">
        <f>IF('計算A'!BV$106=1,FP29,1)</f>
        <v/>
      </c>
      <c r="OW29">
        <f>IF('計算A'!BW$106=1,FQ29,1)</f>
        <v/>
      </c>
      <c r="OX29">
        <f>IF('計算A'!BX$106=1,FR29,1)</f>
        <v/>
      </c>
      <c r="OY29">
        <f>IF('計算A'!BY$106=1,FS29,1)</f>
        <v/>
      </c>
      <c r="OZ29">
        <f>IF('計算A'!BZ$106=1,FT29,1)</f>
        <v/>
      </c>
      <c r="PA29">
        <f>IF('計算A'!CA$106=1,FU29,1)</f>
        <v/>
      </c>
      <c r="PB29">
        <f>IF('計算A'!CB$106=1,FV29,1)</f>
        <v/>
      </c>
      <c r="PC29">
        <f>IF('計算A'!CC$106=1,FW29,1)</f>
        <v/>
      </c>
      <c r="PD29">
        <f>IF('計算A'!CD$106=1,FX29,1)</f>
        <v/>
      </c>
      <c r="PE29">
        <f>IF('計算A'!CE$106=1,FY29,1)</f>
        <v/>
      </c>
      <c r="PF29">
        <f>IF('計算A'!CF$106=1,FZ29,1)</f>
        <v/>
      </c>
      <c r="PG29">
        <f>IF('計算A'!CG$106=1,GA29,1)</f>
        <v/>
      </c>
      <c r="PH29">
        <f>IF('計算A'!CH$106=1,GB29,1)</f>
        <v/>
      </c>
      <c r="PI29">
        <f>IF('計算A'!CI$106=1,GC29,1)</f>
        <v/>
      </c>
      <c r="PJ29">
        <f>IF('計算A'!CJ$106=1,GD29,1)</f>
        <v/>
      </c>
      <c r="PK29">
        <f>IF('計算A'!CK$106=1,GE29,1)</f>
        <v/>
      </c>
      <c r="PL29">
        <f>IF('計算A'!CL$106=1,GF29,1)</f>
        <v/>
      </c>
      <c r="PM29">
        <f>IF('計算A'!CM$106=1,GG29,1)</f>
        <v/>
      </c>
      <c r="PN29">
        <f>IF('計算A'!CN$106=1,GH29,1)</f>
        <v/>
      </c>
      <c r="PO29">
        <f>IF('計算A'!CO$106=1,GI29,1)</f>
        <v/>
      </c>
      <c r="PP29">
        <f>IF('計算A'!CP$106=1,GJ29,1)</f>
        <v/>
      </c>
      <c r="PQ29">
        <f>IF('計算A'!CQ$106=1,GK29,1)</f>
        <v/>
      </c>
      <c r="PR29">
        <f>IF('計算A'!CR$106=1,GL29,1)</f>
        <v/>
      </c>
      <c r="PS29">
        <f>IF('計算A'!CS$106=1,GM29,1)</f>
        <v/>
      </c>
      <c r="PT29">
        <f>IF('計算A'!CT$106=1,GN29,1)</f>
        <v/>
      </c>
      <c r="PU29">
        <f>IF('計算A'!CU$106=1,GO29,1)</f>
        <v/>
      </c>
      <c r="PV29">
        <f>IF('計算A'!CV$106=1,GP29,1)</f>
        <v/>
      </c>
      <c r="PW29">
        <f>IF('計算A'!CW$106=1,GQ29,1)</f>
        <v/>
      </c>
      <c r="PX29">
        <f>IF('計算A'!CX$106=1,GR29,1)</f>
        <v/>
      </c>
      <c r="PY29">
        <f>IF('計算A'!CY$106=1,GS29,1)</f>
        <v/>
      </c>
      <c r="PZ29">
        <f>IF('計算A'!CZ$106=1,GT29,1)</f>
        <v/>
      </c>
      <c r="QA29">
        <f>IF('計算A'!DA$106=1,GU29,1)</f>
        <v/>
      </c>
      <c r="QB29">
        <f>IF('計算A'!DB$106=1,GV29,1)</f>
        <v/>
      </c>
      <c r="QC29">
        <f>IF('計算A'!DC$106=1,GW29,1)</f>
        <v/>
      </c>
      <c r="QD29">
        <f>IF('計算A'!DD$106=1,GX29,1)</f>
        <v/>
      </c>
      <c r="QE29">
        <f>IF('計算A'!DE$106=1,GY29,1)</f>
        <v/>
      </c>
      <c r="QF29">
        <f>IF('計算A'!DF$106=1,GZ29,1)</f>
        <v/>
      </c>
      <c r="QG29">
        <f>IF('計算A'!DG$106=1,HA29,1)</f>
        <v/>
      </c>
      <c r="QH29">
        <f>IF('計算A'!DH$106=1,HB29,1)</f>
        <v/>
      </c>
      <c r="QI29">
        <f>IF('計算A'!DI$106=1,HC29,1)</f>
        <v/>
      </c>
      <c r="QJ29">
        <f>IF('計算A'!DJ$106=1,HD29,1)</f>
        <v/>
      </c>
      <c r="QK29">
        <f>IF('計算A'!DK$106=1,HE29,1)</f>
        <v/>
      </c>
      <c r="QL29">
        <f>IF('計算A'!DL$106=1,HF29,1)</f>
        <v/>
      </c>
      <c r="QM29">
        <f>IF('計算A'!DM$106=1,HG29,1)</f>
        <v/>
      </c>
      <c r="QN29">
        <f>IF('計算A'!DN$106=1,HH29,1)</f>
        <v/>
      </c>
      <c r="QO29">
        <f>IF('計算A'!DO$106=1,HI29,1)</f>
        <v/>
      </c>
      <c r="QP29">
        <f>IF('計算A'!DP$106=1,HJ29,1)</f>
        <v/>
      </c>
      <c r="QQ29">
        <f>IF('計算A'!DQ$106=1,HK29,1)</f>
        <v/>
      </c>
      <c r="QR29">
        <f>IF('計算A'!DR$106=1,HL29,1)</f>
        <v/>
      </c>
      <c r="QS29">
        <f>IF('計算A'!DS$106=1,HM29,1)</f>
        <v/>
      </c>
      <c r="QT29">
        <f>IF('計算A'!DT$106=1,HN29,1)</f>
        <v/>
      </c>
      <c r="QU29">
        <f>IF('計算A'!DU$106=1,HO29,1)</f>
        <v/>
      </c>
      <c r="QV29">
        <f>IF('計算A'!DV$106=1,HP29,1)</f>
        <v/>
      </c>
      <c r="QW29">
        <f>IF('計算A'!DW$106=1,HQ29,1)</f>
        <v/>
      </c>
      <c r="QX29">
        <f>IF('計算A'!DX$106=1,HR29,1)</f>
        <v/>
      </c>
      <c r="QY29">
        <f>IF('計算A'!DY$106=1,HS29,1)</f>
        <v/>
      </c>
      <c r="QZ29">
        <f>IF('計算A'!DZ$106=1,HT29,1)</f>
        <v/>
      </c>
      <c r="RA29">
        <f>IF('計算A'!EA$106=1,HU29,1)</f>
        <v/>
      </c>
      <c r="RB29">
        <f>IF('計算A'!EB$106=1,HV29,1)</f>
        <v/>
      </c>
      <c r="RC29">
        <f>IF('計算A'!EC$106=1,HW29,1)</f>
        <v/>
      </c>
      <c r="RD29">
        <f>IF('計算A'!ED$106=1,HX29,1)</f>
        <v/>
      </c>
      <c r="RE29">
        <f>IF('計算A'!EE$106=1,HY29,1)</f>
        <v/>
      </c>
      <c r="RF29">
        <f>IF('計算A'!EF$106=1,HZ29,1)</f>
        <v/>
      </c>
      <c r="RG29">
        <f>IF('計算A'!EG$106=1,IA29,1)</f>
        <v/>
      </c>
      <c r="RH29">
        <f>IF('計算A'!EH$106=1,IB29,1)</f>
        <v/>
      </c>
      <c r="RI29">
        <f>IF('計算A'!EI$106=1,IC29,1)</f>
        <v/>
      </c>
      <c r="RJ29">
        <f>IF('計算A'!EJ$106=1,ID29,1)</f>
        <v/>
      </c>
      <c r="RK29">
        <f>IF('計算A'!EK$106=1,IE29,1)</f>
        <v/>
      </c>
      <c r="RL29">
        <f>IF('計算A'!EL$106=1,IF29,1)</f>
        <v/>
      </c>
      <c r="RM29">
        <f>IF('計算A'!EM$106=1,IG29,1)</f>
        <v/>
      </c>
      <c r="RN29">
        <f>IF('計算A'!EN$106=1,IH29,1)</f>
        <v/>
      </c>
      <c r="RO29">
        <f>IF('計算A'!EO$106=1,II29,1)</f>
        <v/>
      </c>
      <c r="RP29">
        <f>IF('計算A'!EP$106=1,IJ29,1)</f>
        <v/>
      </c>
      <c r="RQ29">
        <f>IF('計算A'!EQ$106=1,IK29,1)</f>
        <v/>
      </c>
      <c r="RR29">
        <f>IF('計算A'!ER$106=1,IL29,1)</f>
        <v/>
      </c>
      <c r="RS29">
        <f>IF('計算A'!ES$106=1,IM29,1)</f>
        <v/>
      </c>
      <c r="RT29">
        <f>IF('計算A'!ET$106=1,IN29,1)</f>
        <v/>
      </c>
      <c r="RU29">
        <f>IF('計算A'!EU$106=1,IO29,1)</f>
        <v/>
      </c>
      <c r="RV29">
        <f>IF('計算A'!EV$106=1,IP29,1)</f>
        <v/>
      </c>
      <c r="RW29">
        <f>IF('計算A'!EW$106=1,IQ29,1)</f>
        <v/>
      </c>
      <c r="RX29">
        <f>IF('計算A'!EX$106=1,IR29,1)</f>
        <v/>
      </c>
      <c r="RY29">
        <f>IF('計算A'!EY$106=1,IS29,1)</f>
        <v/>
      </c>
      <c r="RZ29">
        <f>IF('計算A'!EZ$106=1,IT29,1)</f>
        <v/>
      </c>
      <c r="SA29">
        <f>IF('計算A'!FA$106=1,IU29,1)</f>
        <v/>
      </c>
      <c r="SB29">
        <f>IF('計算A'!FB$106=1,IV29,1)</f>
        <v/>
      </c>
      <c r="SC29">
        <f>IF('計算A'!FC$106=1,IW29,1)</f>
        <v/>
      </c>
      <c r="SD29">
        <f>IF('計算A'!FD$106=1,IX29,1)</f>
        <v/>
      </c>
      <c r="SE29">
        <f>IF('計算A'!FE$106=1,IY29,1)</f>
        <v/>
      </c>
      <c r="SF29">
        <f>IF('計算A'!FF$106=1,IZ29,1)</f>
        <v/>
      </c>
      <c r="SG29">
        <f>IF('計算A'!FG$106=1,JA29,1)</f>
        <v/>
      </c>
      <c r="SH29">
        <f>IF('計算A'!FH$106=1,JB29,1)</f>
        <v/>
      </c>
      <c r="SI29">
        <f>IF('計算A'!FI$106=1,JC29,1)</f>
        <v/>
      </c>
      <c r="SJ29">
        <f>IF('計算A'!FJ$106=1,JD29,1)</f>
        <v/>
      </c>
      <c r="SK29">
        <f>IF('計算A'!FK$106=1,JE29,1)</f>
        <v/>
      </c>
      <c r="SL29">
        <f>IF('計算A'!FL$106=1,JF29,1)</f>
        <v/>
      </c>
      <c r="SM29">
        <f>IF('計算A'!FM$106=1,JG29,1)</f>
        <v/>
      </c>
      <c r="SN29">
        <f>IF('計算A'!FN$106=1,JH29,1)</f>
        <v/>
      </c>
      <c r="SO29">
        <f>IF('計算A'!FO$106=1,JI29,1)</f>
        <v/>
      </c>
      <c r="SP29">
        <f>IF('計算A'!FP$106=1,JJ29,1)</f>
        <v/>
      </c>
      <c r="SQ29">
        <f>IF('計算A'!FQ$106=1,JK29,1)</f>
        <v/>
      </c>
      <c r="SR29">
        <f>IF('計算A'!FR$106=1,JL29,1)</f>
        <v/>
      </c>
      <c r="SS29">
        <f>IF('計算A'!FS$106=1,JM29,1)</f>
        <v/>
      </c>
      <c r="ST29">
        <f>IF('計算A'!FT$106=1,JN29,1)</f>
        <v/>
      </c>
      <c r="SU29">
        <f>IF('計算A'!FU$106=1,JO29,1)</f>
        <v/>
      </c>
      <c r="SV29">
        <f>IF('計算A'!FV$106=1,JP29,1)</f>
        <v/>
      </c>
      <c r="SW29">
        <f>IF('計算A'!FW$106=1,JQ29,1)</f>
        <v/>
      </c>
      <c r="SX29">
        <f>IF('計算A'!FX$106=1,JR29,1)</f>
        <v/>
      </c>
      <c r="SY29">
        <f>IF('計算A'!FY$106=1,JS29,1)</f>
        <v/>
      </c>
      <c r="SZ29">
        <f>IF('計算A'!FZ$106=1,JT29,1)</f>
        <v/>
      </c>
      <c r="TA29">
        <f>IF('計算A'!GA$106=1,JU29,1)</f>
        <v/>
      </c>
      <c r="TB29">
        <f>IF('計算A'!GB$106=1,JV29,1)</f>
        <v/>
      </c>
      <c r="TC29">
        <f>IF('計算A'!GC$106=1,JW29,1)</f>
        <v/>
      </c>
      <c r="TD29">
        <f>IF('計算A'!GD$106=1,JX29,1)</f>
        <v/>
      </c>
      <c r="TE29">
        <f>IF('計算A'!GE$106=1,JY29,1)</f>
        <v/>
      </c>
      <c r="TF29">
        <f>IF('計算A'!GF$106=1,JZ29,1)</f>
        <v/>
      </c>
      <c r="TG29">
        <f>IF('計算A'!GG$106=1,KA29,1)</f>
        <v/>
      </c>
      <c r="TH29">
        <f>IF('計算A'!GH$106=1,KB29,1)</f>
        <v/>
      </c>
      <c r="TI29">
        <f>IF('計算A'!GI$106=1,KC29,1)</f>
        <v/>
      </c>
      <c r="TJ29">
        <f>IF('計算A'!GJ$106=1,KD29,1)</f>
        <v/>
      </c>
      <c r="TK29">
        <f>IF('計算A'!GK$106=1,KE29,1)</f>
        <v/>
      </c>
      <c r="TL29">
        <f>IF('計算A'!GL$106=1,KF29,1)</f>
        <v/>
      </c>
      <c r="TM29">
        <f>IF('計算A'!GM$106=1,KG29,1)</f>
        <v/>
      </c>
      <c r="TN29">
        <f>IF('計算A'!GN$106=1,KH29,1)</f>
        <v/>
      </c>
      <c r="TO29">
        <f>IF('計算A'!GO$106=1,KI29,1)</f>
        <v/>
      </c>
      <c r="TP29">
        <f>IF('計算A'!GP$106=1,KJ29,1)</f>
        <v/>
      </c>
      <c r="TQ29">
        <f>IF('計算A'!GQ$106=1,KK29,1)</f>
        <v/>
      </c>
      <c r="TR29">
        <f>IF('計算A'!GR$106=1,KL29,1)</f>
        <v/>
      </c>
      <c r="TS29">
        <f>IF('計算A'!GS$106=1,KM29,1)</f>
        <v/>
      </c>
      <c r="TT29">
        <f>IF('計算A'!GT$106=1,KN29,1)</f>
        <v/>
      </c>
      <c r="TU29">
        <f>IF('計算A'!GU$106=1,KO29,1)</f>
        <v/>
      </c>
      <c r="TV29">
        <f>IF('計算A'!GV$106=1,KP29,1)</f>
        <v/>
      </c>
      <c r="TW29">
        <f>IF('計算A'!GW$106=1,KQ29,1)</f>
        <v/>
      </c>
      <c r="TX29">
        <f>IF('計算A'!GX$106=1,KR29,1)</f>
        <v/>
      </c>
      <c r="TY29">
        <f>IF('計算A'!GY$106=1,KS29,1)</f>
        <v/>
      </c>
      <c r="TZ29">
        <f>IF('計算A'!GZ$106=1,KT29,1)</f>
        <v/>
      </c>
      <c r="UA29">
        <f>IF('計算A'!HA$106=1,KU29,1)</f>
        <v/>
      </c>
      <c r="UB29">
        <f>IF('計算A'!HB$106=1,KV29,1)</f>
        <v/>
      </c>
      <c r="UC29">
        <f>IF('計算A'!HC$106=1,KW29,1)</f>
        <v/>
      </c>
      <c r="UD29">
        <f>IF('計算A'!HD$106=1,KX29,1)</f>
        <v/>
      </c>
      <c r="UE29">
        <f>IF('計算A'!HE$106=1,KY29,1)</f>
        <v/>
      </c>
      <c r="UF29">
        <f>IF('計算A'!HF$106=1,KZ29,1)</f>
        <v/>
      </c>
      <c r="UG29">
        <f>IF('計算A'!HG$106=1,LA29,1)</f>
        <v/>
      </c>
      <c r="UH29">
        <f>IF('計算A'!HH$106=1,LB29,1)</f>
        <v/>
      </c>
      <c r="UI29">
        <f>IF('計算A'!HI$106=1,LC29,1)</f>
        <v/>
      </c>
      <c r="UJ29">
        <f>IF('計算A'!HJ$106=1,LD29,1)</f>
        <v/>
      </c>
      <c r="UK29">
        <f>IF('計算A'!HK$106=1,LE29,1)</f>
        <v/>
      </c>
      <c r="UL29">
        <f>IF('計算A'!HL$106=1,LF29,1)</f>
        <v/>
      </c>
      <c r="UM29">
        <f>IF('計算A'!HM$106=1,LG29,1)</f>
        <v/>
      </c>
      <c r="UN29">
        <f>IF('計算A'!HN$106=1,LH29,1)</f>
        <v/>
      </c>
      <c r="UO29">
        <f>IF('計算A'!HO$106=1,LI29,1)</f>
        <v/>
      </c>
      <c r="UP29">
        <f>IF('計算A'!HP$106=1,LJ29,1)</f>
        <v/>
      </c>
      <c r="UQ29">
        <f>IF('計算A'!HQ$106=1,LK29,1)</f>
        <v/>
      </c>
      <c r="UR29">
        <f>IF('計算A'!HR$106=1,LL29,1)</f>
        <v/>
      </c>
      <c r="US29">
        <f>IF('計算A'!HS$106=1,LM29,1)</f>
        <v/>
      </c>
      <c r="UT29">
        <f>IF('計算A'!HT$106=1,LN29,1)</f>
        <v/>
      </c>
      <c r="UU29">
        <f>IF('計算A'!HU$106=1,LO29,1)</f>
        <v/>
      </c>
      <c r="UV29">
        <f>IF('計算A'!HV$106=1,LP29,1)</f>
        <v/>
      </c>
      <c r="UW29">
        <f>IF('計算A'!HW$106=1,LQ29,1)</f>
        <v/>
      </c>
      <c r="UX29">
        <f>IF('計算A'!HX$106=1,LR29,1)</f>
        <v/>
      </c>
      <c r="UY29">
        <f>IF('計算A'!HY$106=1,LS29,1)</f>
        <v/>
      </c>
      <c r="UZ29">
        <f>IF('計算A'!HZ$106=1,LT29,1)</f>
        <v/>
      </c>
      <c r="VA29">
        <f>IF('計算A'!IA$106=1,LU29,1)</f>
        <v/>
      </c>
      <c r="VB29">
        <f>IF('計算A'!IB$106=1,LV29,1)</f>
        <v/>
      </c>
      <c r="VC29">
        <f>IF('計算A'!IC$106=1,LW29,1)</f>
        <v/>
      </c>
      <c r="VD29">
        <f>IF('計算A'!ID$106=1,LX29,1)</f>
        <v/>
      </c>
      <c r="VE29">
        <f>IF('計算A'!IE$106=1,LY29,1)</f>
        <v/>
      </c>
      <c r="VF29">
        <f>IF('計算A'!IF$106=1,LZ29,1)</f>
        <v/>
      </c>
      <c r="VG29">
        <f>IF('計算A'!IG$106=1,MA29,1)</f>
        <v/>
      </c>
      <c r="VH29">
        <f>IF('計算A'!IH$106=1,MB29,1)</f>
        <v/>
      </c>
      <c r="VI29" t="n">
        <v>1</v>
      </c>
      <c r="VK29">
        <f>IF($B29=0,1000000,IF(INDEX('計算A'!$D$60:$II$104,$B29,1)*CW29=1,IF(AND($E29=2,MD29=0),1000000,INDEX('計算A'!D$110:D$114,$F29+1)+IF(AND($E29=1,MD29=0),1000,0)),1000000))</f>
        <v/>
      </c>
      <c r="VL29">
        <f>IF($B29=0,1000000,IF(INDEX('計算A'!$D$60:$II$104,$B29,2)*CX29=1,IF(AND($E29=2,ME29=0),1000000,INDEX('計算A'!E$110:E$114,$F29+1)+IF(AND($E29=1,ME29=0),1000,0)),1000000))</f>
        <v/>
      </c>
      <c r="VM29">
        <f>IF($B29=0,1000000,IF(INDEX('計算A'!$D$60:$II$104,$B29,3)*CY29=1,IF(AND($E29=2,MF29=0),1000000,INDEX('計算A'!F$110:F$114,$F29+1)+IF(AND($E29=1,MF29=0),1000,0)),1000000))</f>
        <v/>
      </c>
      <c r="VN29">
        <f>IF($B29=0,1000000,IF(INDEX('計算A'!$D$60:$II$104,$B29,4)*CZ29=1,IF(AND($E29=2,MG29=0),1000000,INDEX('計算A'!G$110:G$114,$F29+1)+IF(AND($E29=1,MG29=0),1000,0)),1000000))</f>
        <v/>
      </c>
      <c r="VO29">
        <f>IF($B29=0,1000000,IF(INDEX('計算A'!$D$60:$II$104,$B29,5)*DA29=1,IF(AND($E29=2,MH29=0),1000000,INDEX('計算A'!H$110:H$114,$F29+1)+IF(AND($E29=1,MH29=0),1000,0)),1000000))</f>
        <v/>
      </c>
      <c r="VP29">
        <f>IF($B29=0,1000000,IF(INDEX('計算A'!$D$60:$II$104,$B29,6)*DB29=1,IF(AND($E29=2,MI29=0),1000000,INDEX('計算A'!I$110:I$114,$F29+1)+IF(AND($E29=1,MI29=0),1000,0)),1000000))</f>
        <v/>
      </c>
      <c r="VQ29">
        <f>IF($B29=0,1000000,IF(INDEX('計算A'!$D$60:$II$104,$B29,7)*DC29=1,IF(AND($E29=2,MJ29=0),1000000,INDEX('計算A'!J$110:J$114,$F29+1)+IF(AND($E29=1,MJ29=0),1000,0)),1000000))</f>
        <v/>
      </c>
      <c r="VR29">
        <f>IF($B29=0,1000000,IF(INDEX('計算A'!$D$60:$II$104,$B29,8)*DD29=1,IF(AND($E29=2,MK29=0),1000000,INDEX('計算A'!K$110:K$114,$F29+1)+IF(AND($E29=1,MK29=0),1000,0)),1000000))</f>
        <v/>
      </c>
      <c r="VS29">
        <f>IF($B29=0,1000000,IF(INDEX('計算A'!$D$60:$II$104,$B29,9)*DE29=1,IF(AND($E29=2,ML29=0),1000000,INDEX('計算A'!L$110:L$114,$F29+1)+IF(AND($E29=1,ML29=0),1000,0)),1000000))</f>
        <v/>
      </c>
      <c r="VT29">
        <f>IF($B29=0,1000000,IF(INDEX('計算A'!$D$60:$II$104,$B29,10)*DF29=1,IF(AND($E29=2,MM29=0),1000000,INDEX('計算A'!M$110:M$114,$F29+1)+IF(AND($E29=1,MM29=0),1000,0)),1000000))</f>
        <v/>
      </c>
      <c r="VU29">
        <f>IF($B29=0,1000000,IF(INDEX('計算A'!$D$60:$II$104,$B29,11)*DG29=1,IF(AND($E29=2,MN29=0),1000000,INDEX('計算A'!N$110:N$114,$F29+1)+IF(AND($E29=1,MN29=0),1000,0)),1000000))</f>
        <v/>
      </c>
      <c r="VV29">
        <f>IF($B29=0,1000000,IF(INDEX('計算A'!$D$60:$II$104,$B29,12)*DH29=1,IF(AND($E29=2,MO29=0),1000000,INDEX('計算A'!O$110:O$114,$F29+1)+IF(AND($E29=1,MO29=0),1000,0)),1000000))</f>
        <v/>
      </c>
      <c r="VW29">
        <f>IF($B29=0,1000000,IF(INDEX('計算A'!$D$60:$II$104,$B29,13)*DI29=1,IF(AND($E29=2,MP29=0),1000000,INDEX('計算A'!P$110:P$114,$F29+1)+IF(AND($E29=1,MP29=0),1000,0)),1000000))</f>
        <v/>
      </c>
      <c r="VX29">
        <f>IF($B29=0,1000000,IF(INDEX('計算A'!$D$60:$II$104,$B29,14)*DJ29=1,IF(AND($E29=2,MQ29=0),1000000,INDEX('計算A'!Q$110:Q$114,$F29+1)+IF(AND($E29=1,MQ29=0),1000,0)),1000000))</f>
        <v/>
      </c>
      <c r="VY29">
        <f>IF($B29=0,1000000,IF(INDEX('計算A'!$D$60:$II$104,$B29,15)*DK29=1,IF(AND($E29=2,MR29=0),1000000,INDEX('計算A'!R$110:R$114,$F29+1)+IF(AND($E29=1,MR29=0),1000,0)),1000000))</f>
        <v/>
      </c>
      <c r="VZ29">
        <f>IF($B29=0,1000000,IF(INDEX('計算A'!$D$60:$II$104,$B29,16)*DL29=1,IF(AND($E29=2,MS29=0),1000000,INDEX('計算A'!S$110:S$114,$F29+1)+IF(AND($E29=1,MS29=0),1000,0)),1000000))</f>
        <v/>
      </c>
      <c r="WA29">
        <f>IF($B29=0,1000000,IF(INDEX('計算A'!$D$60:$II$104,$B29,17)*DM29=1,IF(AND($E29=2,MT29=0),1000000,INDEX('計算A'!T$110:T$114,$F29+1)+IF(AND($E29=1,MT29=0),1000,0)),1000000))</f>
        <v/>
      </c>
      <c r="WB29">
        <f>IF($B29=0,1000000,IF(INDEX('計算A'!$D$60:$II$104,$B29,18)*DN29=1,IF(AND($E29=2,MU29=0),1000000,INDEX('計算A'!U$110:U$114,$F29+1)+IF(AND($E29=1,MU29=0),1000,0)),1000000))</f>
        <v/>
      </c>
      <c r="WC29">
        <f>IF($B29=0,1000000,IF(INDEX('計算A'!$D$60:$II$104,$B29,19)*DO29=1,IF(AND($E29=2,MV29=0),1000000,INDEX('計算A'!V$110:V$114,$F29+1)+IF(AND($E29=1,MV29=0),1000,0)),1000000))</f>
        <v/>
      </c>
      <c r="WD29">
        <f>IF($B29=0,1000000,IF(INDEX('計算A'!$D$60:$II$104,$B29,20)*DP29=1,IF(AND($E29=2,MW29=0),1000000,INDEX('計算A'!W$110:W$114,$F29+1)+IF(AND($E29=1,MW29=0),1000,0)),1000000))</f>
        <v/>
      </c>
      <c r="WE29">
        <f>IF($B29=0,1000000,IF(INDEX('計算A'!$D$60:$II$104,$B29,21)*DQ29=1,IF(AND($E29=2,MX29=0),1000000,INDEX('計算A'!X$110:X$114,$F29+1)+IF(AND($E29=1,MX29=0),1000,0)),1000000))</f>
        <v/>
      </c>
      <c r="WF29">
        <f>IF($B29=0,1000000,IF(INDEX('計算A'!$D$60:$II$104,$B29,22)*DR29=1,IF(AND($E29=2,MY29=0),1000000,INDEX('計算A'!Y$110:Y$114,$F29+1)+IF(AND($E29=1,MY29=0),1000,0)),1000000))</f>
        <v/>
      </c>
      <c r="WG29">
        <f>IF($B29=0,1000000,IF(INDEX('計算A'!$D$60:$II$104,$B29,23)*DS29=1,IF(AND($E29=2,MZ29=0),1000000,INDEX('計算A'!Z$110:Z$114,$F29+1)+IF(AND($E29=1,MZ29=0),1000,0)),1000000))</f>
        <v/>
      </c>
      <c r="WH29">
        <f>IF($B29=0,1000000,IF(INDEX('計算A'!$D$60:$II$104,$B29,24)*DT29=1,IF(AND($E29=2,NA29=0),1000000,INDEX('計算A'!AA$110:AA$114,$F29+1)+IF(AND($E29=1,NA29=0),1000,0)),1000000))</f>
        <v/>
      </c>
      <c r="WI29">
        <f>IF($B29=0,1000000,IF(INDEX('計算A'!$D$60:$II$104,$B29,25)*DU29=1,IF(AND($E29=2,NB29=0),1000000,INDEX('計算A'!AB$110:AB$114,$F29+1)+IF(AND($E29=1,NB29=0),1000,0)),1000000))</f>
        <v/>
      </c>
      <c r="WJ29">
        <f>IF($B29=0,1000000,IF(INDEX('計算A'!$D$60:$II$104,$B29,26)*DV29=1,IF(AND($E29=2,NC29=0),1000000,INDEX('計算A'!AC$110:AC$114,$F29+1)+IF(AND($E29=1,NC29=0),1000,0)),1000000))</f>
        <v/>
      </c>
      <c r="WK29">
        <f>IF($B29=0,1000000,IF(INDEX('計算A'!$D$60:$II$104,$B29,27)*DW29=1,IF(AND($E29=2,ND29=0),1000000,INDEX('計算A'!AD$110:AD$114,$F29+1)+IF(AND($E29=1,ND29=0),1000,0)),1000000))</f>
        <v/>
      </c>
      <c r="WL29">
        <f>IF($B29=0,1000000,IF(INDEX('計算A'!$D$60:$II$104,$B29,28)*DX29=1,IF(AND($E29=2,NE29=0),1000000,INDEX('計算A'!AE$110:AE$114,$F29+1)+IF(AND($E29=1,NE29=0),1000,0)),1000000))</f>
        <v/>
      </c>
      <c r="WM29">
        <f>IF($B29=0,1000000,IF(INDEX('計算A'!$D$60:$II$104,$B29,29)*DY29=1,IF(AND($E29=2,NF29=0),1000000,INDEX('計算A'!AF$110:AF$114,$F29+1)+IF(AND($E29=1,NF29=0),1000,0)),1000000))</f>
        <v/>
      </c>
      <c r="WN29">
        <f>IF($B29=0,1000000,IF(INDEX('計算A'!$D$60:$II$104,$B29,30)*DZ29=1,IF(AND($E29=2,NG29=0),1000000,INDEX('計算A'!AG$110:AG$114,$F29+1)+IF(AND($E29=1,NG29=0),1000,0)),1000000))</f>
        <v/>
      </c>
      <c r="WO29">
        <f>IF($B29=0,1000000,IF(INDEX('計算A'!$D$60:$II$104,$B29,31)*EA29=1,IF(AND($E29=2,NH29=0),1000000,INDEX('計算A'!AH$110:AH$114,$F29+1)+IF(AND($E29=1,NH29=0),1000,0)),1000000))</f>
        <v/>
      </c>
      <c r="WP29">
        <f>IF($B29=0,1000000,IF(INDEX('計算A'!$D$60:$II$104,$B29,32)*EB29=1,IF(AND($E29=2,NI29=0),1000000,INDEX('計算A'!AI$110:AI$114,$F29+1)+IF(AND($E29=1,NI29=0),1000,0)),1000000))</f>
        <v/>
      </c>
      <c r="WQ29">
        <f>IF($B29=0,1000000,IF(INDEX('計算A'!$D$60:$II$104,$B29,33)*EC29=1,IF(AND($E29=2,NJ29=0),1000000,INDEX('計算A'!AJ$110:AJ$114,$F29+1)+IF(AND($E29=1,NJ29=0),1000,0)),1000000))</f>
        <v/>
      </c>
      <c r="WR29">
        <f>IF($B29=0,1000000,IF(INDEX('計算A'!$D$60:$II$104,$B29,34)*ED29=1,IF(AND($E29=2,NK29=0),1000000,INDEX('計算A'!AK$110:AK$114,$F29+1)+IF(AND($E29=1,NK29=0),1000,0)),1000000))</f>
        <v/>
      </c>
      <c r="WS29">
        <f>IF($B29=0,1000000,IF(INDEX('計算A'!$D$60:$II$104,$B29,35)*EE29=1,IF(AND($E29=2,NL29=0),1000000,INDEX('計算A'!AL$110:AL$114,$F29+1)+IF(AND($E29=1,NL29=0),1000,0)),1000000))</f>
        <v/>
      </c>
      <c r="WT29">
        <f>IF($B29=0,1000000,IF(INDEX('計算A'!$D$60:$II$104,$B29,36)*EF29=1,IF(AND($E29=2,NM29=0),1000000,INDEX('計算A'!AM$110:AM$114,$F29+1)+IF(AND($E29=1,NM29=0),1000,0)),1000000))</f>
        <v/>
      </c>
      <c r="WU29">
        <f>IF($B29=0,1000000,IF(INDEX('計算A'!$D$60:$II$104,$B29,37)*EG29=1,IF(AND($E29=2,NN29=0),1000000,INDEX('計算A'!AN$110:AN$114,$F29+1)+IF(AND($E29=1,NN29=0),1000,0)),1000000))</f>
        <v/>
      </c>
      <c r="WV29">
        <f>IF($B29=0,1000000,IF(INDEX('計算A'!$D$60:$II$104,$B29,38)*EH29=1,IF(AND($E29=2,NO29=0),1000000,INDEX('計算A'!AO$110:AO$114,$F29+1)+IF(AND($E29=1,NO29=0),1000,0)),1000000))</f>
        <v/>
      </c>
      <c r="WW29">
        <f>IF($B29=0,1000000,IF(INDEX('計算A'!$D$60:$II$104,$B29,39)*EI29=1,IF(AND($E29=2,NP29=0),1000000,INDEX('計算A'!AP$110:AP$114,$F29+1)+IF(AND($E29=1,NP29=0),1000,0)),1000000))</f>
        <v/>
      </c>
      <c r="WX29">
        <f>IF($B29=0,1000000,IF(INDEX('計算A'!$D$60:$II$104,$B29,40)*EJ29=1,IF(AND($E29=2,NQ29=0),1000000,INDEX('計算A'!AQ$110:AQ$114,$F29+1)+IF(AND($E29=1,NQ29=0),1000,0)),1000000))</f>
        <v/>
      </c>
      <c r="WY29">
        <f>IF($B29=0,1000000,IF(INDEX('計算A'!$D$60:$II$104,$B29,41)*EK29=1,IF(AND($E29=2,NR29=0),1000000,INDEX('計算A'!AR$110:AR$114,$F29+1)+IF(AND($E29=1,NR29=0),1000,0)),1000000))</f>
        <v/>
      </c>
      <c r="WZ29">
        <f>IF($B29=0,1000000,IF(INDEX('計算A'!$D$60:$II$104,$B29,42)*EL29=1,IF(AND($E29=2,NS29=0),1000000,INDEX('計算A'!AS$110:AS$114,$F29+1)+IF(AND($E29=1,NS29=0),1000,0)),1000000))</f>
        <v/>
      </c>
      <c r="XA29">
        <f>IF($B29=0,1000000,IF(INDEX('計算A'!$D$60:$II$104,$B29,43)*EM29=1,IF(AND($E29=2,NT29=0),1000000,INDEX('計算A'!AT$110:AT$114,$F29+1)+IF(AND($E29=1,NT29=0),1000,0)),1000000))</f>
        <v/>
      </c>
      <c r="XB29">
        <f>IF($B29=0,1000000,IF(INDEX('計算A'!$D$60:$II$104,$B29,44)*EN29=1,IF(AND($E29=2,NU29=0),1000000,INDEX('計算A'!AU$110:AU$114,$F29+1)+IF(AND($E29=1,NU29=0),1000,0)),1000000))</f>
        <v/>
      </c>
      <c r="XC29">
        <f>IF($B29=0,1000000,IF(INDEX('計算A'!$D$60:$II$104,$B29,45)*EO29=1,IF(AND($E29=2,NV29=0),1000000,INDEX('計算A'!AV$110:AV$114,$F29+1)+IF(AND($E29=1,NV29=0),1000,0)),1000000))</f>
        <v/>
      </c>
      <c r="XD29">
        <f>IF($B29=0,1000000,IF(INDEX('計算A'!$D$60:$II$104,$B29,46)*EP29=1,IF(AND($E29=2,NW29=0),1000000,INDEX('計算A'!AW$110:AW$114,$F29+1)+IF(AND($E29=1,NW29=0),1000,0)),1000000))</f>
        <v/>
      </c>
      <c r="XE29">
        <f>IF($B29=0,1000000,IF(INDEX('計算A'!$D$60:$II$104,$B29,47)*EQ29=1,IF(AND($E29=2,NX29=0),1000000,INDEX('計算A'!AX$110:AX$114,$F29+1)+IF(AND($E29=1,NX29=0),1000,0)),1000000))</f>
        <v/>
      </c>
      <c r="XF29">
        <f>IF($B29=0,1000000,IF(INDEX('計算A'!$D$60:$II$104,$B29,48)*ER29=1,IF(AND($E29=2,NY29=0),1000000,INDEX('計算A'!AY$110:AY$114,$F29+1)+IF(AND($E29=1,NY29=0),1000,0)),1000000))</f>
        <v/>
      </c>
      <c r="XG29">
        <f>IF($B29=0,1000000,IF(INDEX('計算A'!$D$60:$II$104,$B29,49)*ES29=1,IF(AND($E29=2,NZ29=0),1000000,INDEX('計算A'!AZ$110:AZ$114,$F29+1)+IF(AND($E29=1,NZ29=0),1000,0)),1000000))</f>
        <v/>
      </c>
      <c r="XH29">
        <f>IF($B29=0,1000000,IF(INDEX('計算A'!$D$60:$II$104,$B29,50)*ET29=1,IF(AND($E29=2,OA29=0),1000000,INDEX('計算A'!BA$110:BA$114,$F29+1)+IF(AND($E29=1,OA29=0),1000,0)),1000000))</f>
        <v/>
      </c>
      <c r="XI29">
        <f>IF($B29=0,1000000,IF(INDEX('計算A'!$D$60:$II$104,$B29,51)*EU29=1,IF(AND($E29=2,OB29=0),1000000,INDEX('計算A'!BB$110:BB$114,$F29+1)+IF(AND($E29=1,OB29=0),1000,0)),1000000))</f>
        <v/>
      </c>
      <c r="XJ29">
        <f>IF($B29=0,1000000,IF(INDEX('計算A'!$D$60:$II$104,$B29,52)*EV29=1,IF(AND($E29=2,OC29=0),1000000,INDEX('計算A'!BC$110:BC$114,$F29+1)+IF(AND($E29=1,OC29=0),1000,0)),1000000))</f>
        <v/>
      </c>
      <c r="XK29">
        <f>IF($B29=0,1000000,IF(INDEX('計算A'!$D$60:$II$104,$B29,53)*EW29=1,IF(AND($E29=2,OD29=0),1000000,INDEX('計算A'!BD$110:BD$114,$F29+1)+IF(AND($E29=1,OD29=0),1000,0)),1000000))</f>
        <v/>
      </c>
      <c r="XL29">
        <f>IF($B29=0,1000000,IF(INDEX('計算A'!$D$60:$II$104,$B29,54)*EX29=1,IF(AND($E29=2,OE29=0),1000000,INDEX('計算A'!BE$110:BE$114,$F29+1)+IF(AND($E29=1,OE29=0),1000,0)),1000000))</f>
        <v/>
      </c>
      <c r="XM29">
        <f>IF($B29=0,1000000,IF(INDEX('計算A'!$D$60:$II$104,$B29,55)*EY29=1,IF(AND($E29=2,OF29=0),1000000,INDEX('計算A'!BF$110:BF$114,$F29+1)+IF(AND($E29=1,OF29=0),1000,0)),1000000))</f>
        <v/>
      </c>
      <c r="XN29">
        <f>IF($B29=0,1000000,IF(INDEX('計算A'!$D$60:$II$104,$B29,56)*EZ29=1,IF(AND($E29=2,OG29=0),1000000,INDEX('計算A'!BG$110:BG$114,$F29+1)+IF(AND($E29=1,OG29=0),1000,0)),1000000))</f>
        <v/>
      </c>
      <c r="XO29">
        <f>IF($B29=0,1000000,IF(INDEX('計算A'!$D$60:$II$104,$B29,57)*FA29=1,IF(AND($E29=2,OH29=0),1000000,INDEX('計算A'!BH$110:BH$114,$F29+1)+IF(AND($E29=1,OH29=0),1000,0)),1000000))</f>
        <v/>
      </c>
      <c r="XP29">
        <f>IF($B29=0,1000000,IF(INDEX('計算A'!$D$60:$II$104,$B29,58)*FB29=1,IF(AND($E29=2,OI29=0),1000000,INDEX('計算A'!BI$110:BI$114,$F29+1)+IF(AND($E29=1,OI29=0),1000,0)),1000000))</f>
        <v/>
      </c>
      <c r="XQ29">
        <f>IF($B29=0,1000000,IF(INDEX('計算A'!$D$60:$II$104,$B29,59)*FC29=1,IF(AND($E29=2,OJ29=0),1000000,INDEX('計算A'!BJ$110:BJ$114,$F29+1)+IF(AND($E29=1,OJ29=0),1000,0)),1000000))</f>
        <v/>
      </c>
      <c r="XR29">
        <f>IF($B29=0,1000000,IF(INDEX('計算A'!$D$60:$II$104,$B29,60)*FD29=1,IF(AND($E29=2,OK29=0),1000000,INDEX('計算A'!BK$110:BK$114,$F29+1)+IF(AND($E29=1,OK29=0),1000,0)),1000000))</f>
        <v/>
      </c>
      <c r="XS29">
        <f>IF($B29=0,1000000,IF(INDEX('計算A'!$D$60:$II$104,$B29,61)*FE29=1,IF(AND($E29=2,OL29=0),1000000,INDEX('計算A'!BL$110:BL$114,$F29+1)+IF(AND($E29=1,OL29=0),1000,0)),1000000))</f>
        <v/>
      </c>
      <c r="XT29">
        <f>IF($B29=0,1000000,IF(INDEX('計算A'!$D$60:$II$104,$B29,62)*FF29=1,IF(AND($E29=2,OM29=0),1000000,INDEX('計算A'!BM$110:BM$114,$F29+1)+IF(AND($E29=1,OM29=0),1000,0)),1000000))</f>
        <v/>
      </c>
      <c r="XU29">
        <f>IF($B29=0,1000000,IF(INDEX('計算A'!$D$60:$II$104,$B29,63)*FG29=1,IF(AND($E29=2,ON29=0),1000000,INDEX('計算A'!BN$110:BN$114,$F29+1)+IF(AND($E29=1,ON29=0),1000,0)),1000000))</f>
        <v/>
      </c>
      <c r="XV29">
        <f>IF($B29=0,1000000,IF(INDEX('計算A'!$D$60:$II$104,$B29,64)*FH29=1,IF(AND($E29=2,OO29=0),1000000,INDEX('計算A'!BO$110:BO$114,$F29+1)+IF(AND($E29=1,OO29=0),1000,0)),1000000))</f>
        <v/>
      </c>
      <c r="XW29">
        <f>IF($B29=0,1000000,IF(INDEX('計算A'!$D$60:$II$104,$B29,65)*FI29=1,IF(AND($E29=2,OP29=0),1000000,INDEX('計算A'!BP$110:BP$114,$F29+1)+IF(AND($E29=1,OP29=0),1000,0)),1000000))</f>
        <v/>
      </c>
      <c r="XX29">
        <f>IF($B29=0,1000000,IF(INDEX('計算A'!$D$60:$II$104,$B29,66)*FJ29=1,IF(AND($E29=2,OQ29=0),1000000,INDEX('計算A'!BQ$110:BQ$114,$F29+1)+IF(AND($E29=1,OQ29=0),1000,0)),1000000))</f>
        <v/>
      </c>
      <c r="XY29">
        <f>IF($B29=0,1000000,IF(INDEX('計算A'!$D$60:$II$104,$B29,67)*FK29=1,IF(AND($E29=2,OR29=0),1000000,INDEX('計算A'!BR$110:BR$114,$F29+1)+IF(AND($E29=1,OR29=0),1000,0)),1000000))</f>
        <v/>
      </c>
      <c r="XZ29">
        <f>IF($B29=0,1000000,IF(INDEX('計算A'!$D$60:$II$104,$B29,68)*FL29=1,IF(AND($E29=2,OS29=0),1000000,INDEX('計算A'!BS$110:BS$114,$F29+1)+IF(AND($E29=1,OS29=0),1000,0)),1000000))</f>
        <v/>
      </c>
      <c r="YA29">
        <f>IF($B29=0,1000000,IF(INDEX('計算A'!$D$60:$II$104,$B29,69)*FM29=1,IF(AND($E29=2,OT29=0),1000000,INDEX('計算A'!BT$110:BT$114,$F29+1)+IF(AND($E29=1,OT29=0),1000,0)),1000000))</f>
        <v/>
      </c>
      <c r="YB29">
        <f>IF($B29=0,1000000,IF(INDEX('計算A'!$D$60:$II$104,$B29,70)*FN29=1,IF(AND($E29=2,OU29=0),1000000,INDEX('計算A'!BU$110:BU$114,$F29+1)+IF(AND($E29=1,OU29=0),1000,0)),1000000))</f>
        <v/>
      </c>
      <c r="YC29">
        <f>IF($B29=0,1000000,IF(INDEX('計算A'!$D$60:$II$104,$B29,71)*FO29=1,IF(AND($E29=2,OV29=0),1000000,INDEX('計算A'!BV$110:BV$114,$F29+1)+IF(AND($E29=1,OV29=0),1000,0)),1000000))</f>
        <v/>
      </c>
      <c r="YD29">
        <f>IF($B29=0,1000000,IF(INDEX('計算A'!$D$60:$II$104,$B29,72)*FP29=1,IF(AND($E29=2,OW29=0),1000000,INDEX('計算A'!BW$110:BW$114,$F29+1)+IF(AND($E29=1,OW29=0),1000,0)),1000000))</f>
        <v/>
      </c>
      <c r="YE29">
        <f>IF($B29=0,1000000,IF(INDEX('計算A'!$D$60:$II$104,$B29,73)*FQ29=1,IF(AND($E29=2,OX29=0),1000000,INDEX('計算A'!BX$110:BX$114,$F29+1)+IF(AND($E29=1,OX29=0),1000,0)),1000000))</f>
        <v/>
      </c>
      <c r="YF29">
        <f>IF($B29=0,1000000,IF(INDEX('計算A'!$D$60:$II$104,$B29,74)*FR29=1,IF(AND($E29=2,OY29=0),1000000,INDEX('計算A'!BY$110:BY$114,$F29+1)+IF(AND($E29=1,OY29=0),1000,0)),1000000))</f>
        <v/>
      </c>
      <c r="YG29">
        <f>IF($B29=0,1000000,IF(INDEX('計算A'!$D$60:$II$104,$B29,75)*FS29=1,IF(AND($E29=2,OZ29=0),1000000,INDEX('計算A'!BZ$110:BZ$114,$F29+1)+IF(AND($E29=1,OZ29=0),1000,0)),1000000))</f>
        <v/>
      </c>
      <c r="YH29">
        <f>IF($B29=0,1000000,IF(INDEX('計算A'!$D$60:$II$104,$B29,76)*FT29=1,IF(AND($E29=2,PA29=0),1000000,INDEX('計算A'!CA$110:CA$114,$F29+1)+IF(AND($E29=1,PA29=0),1000,0)),1000000))</f>
        <v/>
      </c>
      <c r="YI29">
        <f>IF($B29=0,1000000,IF(INDEX('計算A'!$D$60:$II$104,$B29,77)*FU29=1,IF(AND($E29=2,PB29=0),1000000,INDEX('計算A'!CB$110:CB$114,$F29+1)+IF(AND($E29=1,PB29=0),1000,0)),1000000))</f>
        <v/>
      </c>
      <c r="YJ29">
        <f>IF($B29=0,1000000,IF(INDEX('計算A'!$D$60:$II$104,$B29,78)*FV29=1,IF(AND($E29=2,PC29=0),1000000,INDEX('計算A'!CC$110:CC$114,$F29+1)+IF(AND($E29=1,PC29=0),1000,0)),1000000))</f>
        <v/>
      </c>
      <c r="YK29">
        <f>IF($B29=0,1000000,IF(INDEX('計算A'!$D$60:$II$104,$B29,79)*FW29=1,IF(AND($E29=2,PD29=0),1000000,INDEX('計算A'!CD$110:CD$114,$F29+1)+IF(AND($E29=1,PD29=0),1000,0)),1000000))</f>
        <v/>
      </c>
      <c r="YL29">
        <f>IF($B29=0,1000000,IF(INDEX('計算A'!$D$60:$II$104,$B29,80)*FX29=1,IF(AND($E29=2,PE29=0),1000000,INDEX('計算A'!CE$110:CE$114,$F29+1)+IF(AND($E29=1,PE29=0),1000,0)),1000000))</f>
        <v/>
      </c>
      <c r="YM29">
        <f>IF($B29=0,1000000,IF(INDEX('計算A'!$D$60:$II$104,$B29,81)*FY29=1,IF(AND($E29=2,PF29=0),1000000,INDEX('計算A'!CF$110:CF$114,$F29+1)+IF(AND($E29=1,PF29=0),1000,0)),1000000))</f>
        <v/>
      </c>
      <c r="YN29">
        <f>IF($B29=0,1000000,IF(INDEX('計算A'!$D$60:$II$104,$B29,82)*FZ29=1,IF(AND($E29=2,PG29=0),1000000,INDEX('計算A'!CG$110:CG$114,$F29+1)+IF(AND($E29=1,PG29=0),1000,0)),1000000))</f>
        <v/>
      </c>
      <c r="YO29">
        <f>IF($B29=0,1000000,IF(INDEX('計算A'!$D$60:$II$104,$B29,83)*GA29=1,IF(AND($E29=2,PH29=0),1000000,INDEX('計算A'!CH$110:CH$114,$F29+1)+IF(AND($E29=1,PH29=0),1000,0)),1000000))</f>
        <v/>
      </c>
      <c r="YP29">
        <f>IF($B29=0,1000000,IF(INDEX('計算A'!$D$60:$II$104,$B29,84)*GB29=1,IF(AND($E29=2,PI29=0),1000000,INDEX('計算A'!CI$110:CI$114,$F29+1)+IF(AND($E29=1,PI29=0),1000,0)),1000000))</f>
        <v/>
      </c>
      <c r="YQ29">
        <f>IF($B29=0,1000000,IF(INDEX('計算A'!$D$60:$II$104,$B29,85)*GC29=1,IF(AND($E29=2,PJ29=0),1000000,INDEX('計算A'!CJ$110:CJ$114,$F29+1)+IF(AND($E29=1,PJ29=0),1000,0)),1000000))</f>
        <v/>
      </c>
      <c r="YR29">
        <f>IF($B29=0,1000000,IF(INDEX('計算A'!$D$60:$II$104,$B29,86)*GD29=1,IF(AND($E29=2,PK29=0),1000000,INDEX('計算A'!CK$110:CK$114,$F29+1)+IF(AND($E29=1,PK29=0),1000,0)),1000000))</f>
        <v/>
      </c>
      <c r="YS29">
        <f>IF($B29=0,1000000,IF(INDEX('計算A'!$D$60:$II$104,$B29,87)*GE29=1,IF(AND($E29=2,PL29=0),1000000,INDEX('計算A'!CL$110:CL$114,$F29+1)+IF(AND($E29=1,PL29=0),1000,0)),1000000))</f>
        <v/>
      </c>
      <c r="YT29">
        <f>IF($B29=0,1000000,IF(INDEX('計算A'!$D$60:$II$104,$B29,88)*GF29=1,IF(AND($E29=2,PM29=0),1000000,INDEX('計算A'!CM$110:CM$114,$F29+1)+IF(AND($E29=1,PM29=0),1000,0)),1000000))</f>
        <v/>
      </c>
      <c r="YU29">
        <f>IF($B29=0,1000000,IF(INDEX('計算A'!$D$60:$II$104,$B29,89)*GG29=1,IF(AND($E29=2,PN29=0),1000000,INDEX('計算A'!CN$110:CN$114,$F29+1)+IF(AND($E29=1,PN29=0),1000,0)),1000000))</f>
        <v/>
      </c>
      <c r="YV29">
        <f>IF($B29=0,1000000,IF(INDEX('計算A'!$D$60:$II$104,$B29,90)*GH29=1,IF(AND($E29=2,PO29=0),1000000,INDEX('計算A'!CO$110:CO$114,$F29+1)+IF(AND($E29=1,PO29=0),1000,0)),1000000))</f>
        <v/>
      </c>
      <c r="YW29">
        <f>IF($B29=0,1000000,IF(INDEX('計算A'!$D$60:$II$104,$B29,91)*GI29=1,IF(AND($E29=2,PP29=0),1000000,INDEX('計算A'!CP$110:CP$114,$F29+1)+IF(AND($E29=1,PP29=0),1000,0)),1000000))</f>
        <v/>
      </c>
      <c r="YX29">
        <f>IF($B29=0,1000000,IF(INDEX('計算A'!$D$60:$II$104,$B29,92)*GJ29=1,IF(AND($E29=2,PQ29=0),1000000,INDEX('計算A'!CQ$110:CQ$114,$F29+1)+IF(AND($E29=1,PQ29=0),1000,0)),1000000))</f>
        <v/>
      </c>
      <c r="YY29">
        <f>IF($B29=0,1000000,IF(INDEX('計算A'!$D$60:$II$104,$B29,93)*GK29=1,IF(AND($E29=2,PR29=0),1000000,INDEX('計算A'!CR$110:CR$114,$F29+1)+IF(AND($E29=1,PR29=0),1000,0)),1000000))</f>
        <v/>
      </c>
      <c r="YZ29">
        <f>IF($B29=0,1000000,IF(INDEX('計算A'!$D$60:$II$104,$B29,94)*GL29=1,IF(AND($E29=2,PS29=0),1000000,INDEX('計算A'!CS$110:CS$114,$F29+1)+IF(AND($E29=1,PS29=0),1000,0)),1000000))</f>
        <v/>
      </c>
      <c r="ZA29">
        <f>IF($B29=0,1000000,IF(INDEX('計算A'!$D$60:$II$104,$B29,95)*GM29=1,IF(AND($E29=2,PT29=0),1000000,INDEX('計算A'!CT$110:CT$114,$F29+1)+IF(AND($E29=1,PT29=0),1000,0)),1000000))</f>
        <v/>
      </c>
      <c r="ZB29">
        <f>IF($B29=0,1000000,IF(INDEX('計算A'!$D$60:$II$104,$B29,96)*GN29=1,IF(AND($E29=2,PU29=0),1000000,INDEX('計算A'!CU$110:CU$114,$F29+1)+IF(AND($E29=1,PU29=0),1000,0)),1000000))</f>
        <v/>
      </c>
      <c r="ZC29">
        <f>IF($B29=0,1000000,IF(INDEX('計算A'!$D$60:$II$104,$B29,97)*GO29=1,IF(AND($E29=2,PV29=0),1000000,INDEX('計算A'!CV$110:CV$114,$F29+1)+IF(AND($E29=1,PV29=0),1000,0)),1000000))</f>
        <v/>
      </c>
      <c r="ZD29">
        <f>IF($B29=0,1000000,IF(INDEX('計算A'!$D$60:$II$104,$B29,98)*GP29=1,IF(AND($E29=2,PW29=0),1000000,INDEX('計算A'!CW$110:CW$114,$F29+1)+IF(AND($E29=1,PW29=0),1000,0)),1000000))</f>
        <v/>
      </c>
      <c r="ZE29">
        <f>IF($B29=0,1000000,IF(INDEX('計算A'!$D$60:$II$104,$B29,99)*GQ29=1,IF(AND($E29=2,PX29=0),1000000,INDEX('計算A'!CX$110:CX$114,$F29+1)+IF(AND($E29=1,PX29=0),1000,0)),1000000))</f>
        <v/>
      </c>
      <c r="ZF29">
        <f>IF($B29=0,1000000,IF(INDEX('計算A'!$D$60:$II$104,$B29,100)*GR29=1,IF(AND($E29=2,PY29=0),1000000,INDEX('計算A'!CY$110:CY$114,$F29+1)+IF(AND($E29=1,PY29=0),1000,0)),1000000))</f>
        <v/>
      </c>
      <c r="ZG29">
        <f>IF($B29=0,1000000,IF(INDEX('計算A'!$D$60:$II$104,$B29,101)*GS29=1,IF(AND($E29=2,PZ29=0),1000000,INDEX('計算A'!CZ$110:CZ$114,$F29+1)+IF(AND($E29=1,PZ29=0),1000,0)),1000000))</f>
        <v/>
      </c>
      <c r="ZH29">
        <f>IF($B29=0,1000000,IF(INDEX('計算A'!$D$60:$II$104,$B29,102)*GT29=1,IF(AND($E29=2,QA29=0),1000000,INDEX('計算A'!DA$110:DA$114,$F29+1)+IF(AND($E29=1,QA29=0),1000,0)),1000000))</f>
        <v/>
      </c>
      <c r="ZI29">
        <f>IF($B29=0,1000000,IF(INDEX('計算A'!$D$60:$II$104,$B29,103)*GU29=1,IF(AND($E29=2,QB29=0),1000000,INDEX('計算A'!DB$110:DB$114,$F29+1)+IF(AND($E29=1,QB29=0),1000,0)),1000000))</f>
        <v/>
      </c>
      <c r="ZJ29">
        <f>IF($B29=0,1000000,IF(INDEX('計算A'!$D$60:$II$104,$B29,104)*GV29=1,IF(AND($E29=2,QC29=0),1000000,INDEX('計算A'!DC$110:DC$114,$F29+1)+IF(AND($E29=1,QC29=0),1000,0)),1000000))</f>
        <v/>
      </c>
      <c r="ZK29">
        <f>IF($B29=0,1000000,IF(INDEX('計算A'!$D$60:$II$104,$B29,105)*GW29=1,IF(AND($E29=2,QD29=0),1000000,INDEX('計算A'!DD$110:DD$114,$F29+1)+IF(AND($E29=1,QD29=0),1000,0)),1000000))</f>
        <v/>
      </c>
      <c r="ZL29">
        <f>IF($B29=0,1000000,IF(INDEX('計算A'!$D$60:$II$104,$B29,106)*GX29=1,IF(AND($E29=2,QE29=0),1000000,INDEX('計算A'!DE$110:DE$114,$F29+1)+IF(AND($E29=1,QE29=0),1000,0)),1000000))</f>
        <v/>
      </c>
      <c r="ZM29">
        <f>IF($B29=0,1000000,IF(INDEX('計算A'!$D$60:$II$104,$B29,107)*GY29=1,IF(AND($E29=2,QF29=0),1000000,INDEX('計算A'!DF$110:DF$114,$F29+1)+IF(AND($E29=1,QF29=0),1000,0)),1000000))</f>
        <v/>
      </c>
      <c r="ZN29">
        <f>IF($B29=0,1000000,IF(INDEX('計算A'!$D$60:$II$104,$B29,108)*GZ29=1,IF(AND($E29=2,QG29=0),1000000,INDEX('計算A'!DG$110:DG$114,$F29+1)+IF(AND($E29=1,QG29=0),1000,0)),1000000))</f>
        <v/>
      </c>
      <c r="ZO29">
        <f>IF($B29=0,1000000,IF(INDEX('計算A'!$D$60:$II$104,$B29,109)*HA29=1,IF(AND($E29=2,QH29=0),1000000,INDEX('計算A'!DH$110:DH$114,$F29+1)+IF(AND($E29=1,QH29=0),1000,0)),1000000))</f>
        <v/>
      </c>
      <c r="ZP29">
        <f>IF($B29=0,1000000,IF(INDEX('計算A'!$D$60:$II$104,$B29,110)*HB29=1,IF(AND($E29=2,QI29=0),1000000,INDEX('計算A'!DI$110:DI$114,$F29+1)+IF(AND($E29=1,QI29=0),1000,0)),1000000))</f>
        <v/>
      </c>
      <c r="ZQ29">
        <f>IF($B29=0,1000000,IF(INDEX('計算A'!$D$60:$II$104,$B29,111)*HC29=1,IF(AND($E29=2,QJ29=0),1000000,INDEX('計算A'!DJ$110:DJ$114,$F29+1)+IF(AND($E29=1,QJ29=0),1000,0)),1000000))</f>
        <v/>
      </c>
      <c r="ZR29">
        <f>IF($B29=0,1000000,IF(INDEX('計算A'!$D$60:$II$104,$B29,112)*HD29=1,IF(AND($E29=2,QK29=0),1000000,INDEX('計算A'!DK$110:DK$114,$F29+1)+IF(AND($E29=1,QK29=0),1000,0)),1000000))</f>
        <v/>
      </c>
      <c r="ZS29">
        <f>IF($B29=0,1000000,IF(INDEX('計算A'!$D$60:$II$104,$B29,113)*HE29=1,IF(AND($E29=2,QL29=0),1000000,INDEX('計算A'!DL$110:DL$114,$F29+1)+IF(AND($E29=1,QL29=0),1000,0)),1000000))</f>
        <v/>
      </c>
      <c r="ZT29">
        <f>IF($B29=0,1000000,IF(INDEX('計算A'!$D$60:$II$104,$B29,114)*HF29=1,IF(AND($E29=2,QM29=0),1000000,INDEX('計算A'!DM$110:DM$114,$F29+1)+IF(AND($E29=1,QM29=0),1000,0)),1000000))</f>
        <v/>
      </c>
      <c r="ZU29">
        <f>IF($B29=0,1000000,IF(INDEX('計算A'!$D$60:$II$104,$B29,115)*HG29=1,IF(AND($E29=2,QN29=0),1000000,INDEX('計算A'!DN$110:DN$114,$F29+1)+IF(AND($E29=1,QN29=0),1000,0)),1000000))</f>
        <v/>
      </c>
      <c r="ZV29">
        <f>IF($B29=0,1000000,IF(INDEX('計算A'!$D$60:$II$104,$B29,116)*HH29=1,IF(AND($E29=2,QO29=0),1000000,INDEX('計算A'!DO$110:DO$114,$F29+1)+IF(AND($E29=1,QO29=0),1000,0)),1000000))</f>
        <v/>
      </c>
      <c r="ZW29">
        <f>IF($B29=0,1000000,IF(INDEX('計算A'!$D$60:$II$104,$B29,117)*HI29=1,IF(AND($E29=2,QP29=0),1000000,INDEX('計算A'!DP$110:DP$114,$F29+1)+IF(AND($E29=1,QP29=0),1000,0)),1000000))</f>
        <v/>
      </c>
      <c r="ZX29">
        <f>IF($B29=0,1000000,IF(INDEX('計算A'!$D$60:$II$104,$B29,118)*HJ29=1,IF(AND($E29=2,QQ29=0),1000000,INDEX('計算A'!DQ$110:DQ$114,$F29+1)+IF(AND($E29=1,QQ29=0),1000,0)),1000000))</f>
        <v/>
      </c>
      <c r="ZY29">
        <f>IF($B29=0,1000000,IF(INDEX('計算A'!$D$60:$II$104,$B29,119)*HK29=1,IF(AND($E29=2,QR29=0),1000000,INDEX('計算A'!DR$110:DR$114,$F29+1)+IF(AND($E29=1,QR29=0),1000,0)),1000000))</f>
        <v/>
      </c>
      <c r="ZZ29">
        <f>IF($B29=0,1000000,IF(INDEX('計算A'!$D$60:$II$104,$B29,120)*HL29=1,IF(AND($E29=2,QS29=0),1000000,INDEX('計算A'!DS$110:DS$114,$F29+1)+IF(AND($E29=1,QS29=0),1000,0)),1000000))</f>
        <v/>
      </c>
      <c r="AAA29">
        <f>IF($B29=0,1000000,IF(INDEX('計算A'!$D$60:$II$104,$B29,121)*HM29=1,IF(AND($E29=2,QT29=0),1000000,INDEX('計算A'!DT$110:DT$114,$F29+1)+IF(AND($E29=1,QT29=0),1000,0)),1000000))</f>
        <v/>
      </c>
      <c r="AAB29">
        <f>IF($B29=0,1000000,IF(INDEX('計算A'!$D$60:$II$104,$B29,122)*HN29=1,IF(AND($E29=2,QU29=0),1000000,INDEX('計算A'!DU$110:DU$114,$F29+1)+IF(AND($E29=1,QU29=0),1000,0)),1000000))</f>
        <v/>
      </c>
      <c r="AAC29">
        <f>IF($B29=0,1000000,IF(INDEX('計算A'!$D$60:$II$104,$B29,123)*HO29=1,IF(AND($E29=2,QV29=0),1000000,INDEX('計算A'!DV$110:DV$114,$F29+1)+IF(AND($E29=1,QV29=0),1000,0)),1000000))</f>
        <v/>
      </c>
      <c r="AAD29">
        <f>IF($B29=0,1000000,IF(INDEX('計算A'!$D$60:$II$104,$B29,124)*HP29=1,IF(AND($E29=2,QW29=0),1000000,INDEX('計算A'!DW$110:DW$114,$F29+1)+IF(AND($E29=1,QW29=0),1000,0)),1000000))</f>
        <v/>
      </c>
      <c r="AAE29">
        <f>IF($B29=0,1000000,IF(INDEX('計算A'!$D$60:$II$104,$B29,125)*HQ29=1,IF(AND($E29=2,QX29=0),1000000,INDEX('計算A'!DX$110:DX$114,$F29+1)+IF(AND($E29=1,QX29=0),1000,0)),1000000))</f>
        <v/>
      </c>
      <c r="AAF29">
        <f>IF($B29=0,1000000,IF(INDEX('計算A'!$D$60:$II$104,$B29,126)*HR29=1,IF(AND($E29=2,QY29=0),1000000,INDEX('計算A'!DY$110:DY$114,$F29+1)+IF(AND($E29=1,QY29=0),1000,0)),1000000))</f>
        <v/>
      </c>
      <c r="AAG29">
        <f>IF($B29=0,1000000,IF(INDEX('計算A'!$D$60:$II$104,$B29,127)*HS29=1,IF(AND($E29=2,QZ29=0),1000000,INDEX('計算A'!DZ$110:DZ$114,$F29+1)+IF(AND($E29=1,QZ29=0),1000,0)),1000000))</f>
        <v/>
      </c>
      <c r="AAH29">
        <f>IF($B29=0,1000000,IF(INDEX('計算A'!$D$60:$II$104,$B29,128)*HT29=1,IF(AND($E29=2,RA29=0),1000000,INDEX('計算A'!EA$110:EA$114,$F29+1)+IF(AND($E29=1,RA29=0),1000,0)),1000000))</f>
        <v/>
      </c>
      <c r="AAI29">
        <f>IF($B29=0,1000000,IF(INDEX('計算A'!$D$60:$II$104,$B29,129)*HU29=1,IF(AND($E29=2,RB29=0),1000000,INDEX('計算A'!EB$110:EB$114,$F29+1)+IF(AND($E29=1,RB29=0),1000,0)),1000000))</f>
        <v/>
      </c>
      <c r="AAJ29">
        <f>IF($B29=0,1000000,IF(INDEX('計算A'!$D$60:$II$104,$B29,130)*HV29=1,IF(AND($E29=2,RC29=0),1000000,INDEX('計算A'!EC$110:EC$114,$F29+1)+IF(AND($E29=1,RC29=0),1000,0)),1000000))</f>
        <v/>
      </c>
      <c r="AAK29">
        <f>IF($B29=0,1000000,IF(INDEX('計算A'!$D$60:$II$104,$B29,131)*HW29=1,IF(AND($E29=2,RD29=0),1000000,INDEX('計算A'!ED$110:ED$114,$F29+1)+IF(AND($E29=1,RD29=0),1000,0)),1000000))</f>
        <v/>
      </c>
      <c r="AAL29">
        <f>IF($B29=0,1000000,IF(INDEX('計算A'!$D$60:$II$104,$B29,132)*HX29=1,IF(AND($E29=2,RE29=0),1000000,INDEX('計算A'!EE$110:EE$114,$F29+1)+IF(AND($E29=1,RE29=0),1000,0)),1000000))</f>
        <v/>
      </c>
      <c r="AAM29">
        <f>IF($B29=0,1000000,IF(INDEX('計算A'!$D$60:$II$104,$B29,133)*HY29=1,IF(AND($E29=2,RF29=0),1000000,INDEX('計算A'!EF$110:EF$114,$F29+1)+IF(AND($E29=1,RF29=0),1000,0)),1000000))</f>
        <v/>
      </c>
      <c r="AAN29">
        <f>IF($B29=0,1000000,IF(INDEX('計算A'!$D$60:$II$104,$B29,134)*HZ29=1,IF(AND($E29=2,RG29=0),1000000,INDEX('計算A'!EG$110:EG$114,$F29+1)+IF(AND($E29=1,RG29=0),1000,0)),1000000))</f>
        <v/>
      </c>
      <c r="AAO29">
        <f>IF($B29=0,1000000,IF(INDEX('計算A'!$D$60:$II$104,$B29,135)*IA29=1,IF(AND($E29=2,RH29=0),1000000,INDEX('計算A'!EH$110:EH$114,$F29+1)+IF(AND($E29=1,RH29=0),1000,0)),1000000))</f>
        <v/>
      </c>
      <c r="AAP29">
        <f>IF($B29=0,1000000,IF(INDEX('計算A'!$D$60:$II$104,$B29,136)*IB29=1,IF(AND($E29=2,RI29=0),1000000,INDEX('計算A'!EI$110:EI$114,$F29+1)+IF(AND($E29=1,RI29=0),1000,0)),1000000))</f>
        <v/>
      </c>
      <c r="AAQ29">
        <f>IF($B29=0,1000000,IF(INDEX('計算A'!$D$60:$II$104,$B29,137)*IC29=1,IF(AND($E29=2,RJ29=0),1000000,INDEX('計算A'!EJ$110:EJ$114,$F29+1)+IF(AND($E29=1,RJ29=0),1000,0)),1000000))</f>
        <v/>
      </c>
      <c r="AAR29">
        <f>IF($B29=0,1000000,IF(INDEX('計算A'!$D$60:$II$104,$B29,138)*ID29=1,IF(AND($E29=2,RK29=0),1000000,INDEX('計算A'!EK$110:EK$114,$F29+1)+IF(AND($E29=1,RK29=0),1000,0)),1000000))</f>
        <v/>
      </c>
      <c r="AAS29">
        <f>IF($B29=0,1000000,IF(INDEX('計算A'!$D$60:$II$104,$B29,139)*IE29=1,IF(AND($E29=2,RL29=0),1000000,INDEX('計算A'!EL$110:EL$114,$F29+1)+IF(AND($E29=1,RL29=0),1000,0)),1000000))</f>
        <v/>
      </c>
      <c r="AAT29">
        <f>IF($B29=0,1000000,IF(INDEX('計算A'!$D$60:$II$104,$B29,140)*IF29=1,IF(AND($E29=2,RM29=0),1000000,INDEX('計算A'!EM$110:EM$114,$F29+1)+IF(AND($E29=1,RM29=0),1000,0)),1000000))</f>
        <v/>
      </c>
      <c r="AAU29">
        <f>IF($B29=0,1000000,IF(INDEX('計算A'!$D$60:$II$104,$B29,141)*IG29=1,IF(AND($E29=2,RN29=0),1000000,INDEX('計算A'!EN$110:EN$114,$F29+1)+IF(AND($E29=1,RN29=0),1000,0)),1000000))</f>
        <v/>
      </c>
      <c r="AAV29">
        <f>IF($B29=0,1000000,IF(INDEX('計算A'!$D$60:$II$104,$B29,142)*IH29=1,IF(AND($E29=2,RO29=0),1000000,INDEX('計算A'!EO$110:EO$114,$F29+1)+IF(AND($E29=1,RO29=0),1000,0)),1000000))</f>
        <v/>
      </c>
      <c r="AAW29">
        <f>IF($B29=0,1000000,IF(INDEX('計算A'!$D$60:$II$104,$B29,143)*II29=1,IF(AND($E29=2,RP29=0),1000000,INDEX('計算A'!EP$110:EP$114,$F29+1)+IF(AND($E29=1,RP29=0),1000,0)),1000000))</f>
        <v/>
      </c>
      <c r="AAX29">
        <f>IF($B29=0,1000000,IF(INDEX('計算A'!$D$60:$II$104,$B29,144)*IJ29=1,IF(AND($E29=2,RQ29=0),1000000,INDEX('計算A'!EQ$110:EQ$114,$F29+1)+IF(AND($E29=1,RQ29=0),1000,0)),1000000))</f>
        <v/>
      </c>
      <c r="AAY29">
        <f>IF($B29=0,1000000,IF(INDEX('計算A'!$D$60:$II$104,$B29,145)*IK29=1,IF(AND($E29=2,RR29=0),1000000,INDEX('計算A'!ER$110:ER$114,$F29+1)+IF(AND($E29=1,RR29=0),1000,0)),1000000))</f>
        <v/>
      </c>
      <c r="AAZ29">
        <f>IF($B29=0,1000000,IF(INDEX('計算A'!$D$60:$II$104,$B29,146)*IL29=1,IF(AND($E29=2,RS29=0),1000000,INDEX('計算A'!ES$110:ES$114,$F29+1)+IF(AND($E29=1,RS29=0),1000,0)),1000000))</f>
        <v/>
      </c>
      <c r="ABA29">
        <f>IF($B29=0,1000000,IF(INDEX('計算A'!$D$60:$II$104,$B29,147)*IM29=1,IF(AND($E29=2,RT29=0),1000000,INDEX('計算A'!ET$110:ET$114,$F29+1)+IF(AND($E29=1,RT29=0),1000,0)),1000000))</f>
        <v/>
      </c>
      <c r="ABB29">
        <f>IF($B29=0,1000000,IF(INDEX('計算A'!$D$60:$II$104,$B29,148)*IN29=1,IF(AND($E29=2,RU29=0),1000000,INDEX('計算A'!EU$110:EU$114,$F29+1)+IF(AND($E29=1,RU29=0),1000,0)),1000000))</f>
        <v/>
      </c>
      <c r="ABC29">
        <f>IF($B29=0,1000000,IF(INDEX('計算A'!$D$60:$II$104,$B29,149)*IO29=1,IF(AND($E29=2,RV29=0),1000000,INDEX('計算A'!EV$110:EV$114,$F29+1)+IF(AND($E29=1,RV29=0),1000,0)),1000000))</f>
        <v/>
      </c>
      <c r="ABD29">
        <f>IF($B29=0,1000000,IF(INDEX('計算A'!$D$60:$II$104,$B29,150)*IP29=1,IF(AND($E29=2,RW29=0),1000000,INDEX('計算A'!EW$110:EW$114,$F29+1)+IF(AND($E29=1,RW29=0),1000,0)),1000000))</f>
        <v/>
      </c>
      <c r="ABE29">
        <f>IF($B29=0,1000000,IF(INDEX('計算A'!$D$60:$II$104,$B29,151)*IQ29=1,IF(AND($E29=2,RX29=0),1000000,INDEX('計算A'!EX$110:EX$114,$F29+1)+IF(AND($E29=1,RX29=0),1000,0)),1000000))</f>
        <v/>
      </c>
      <c r="ABF29">
        <f>IF($B29=0,1000000,IF(INDEX('計算A'!$D$60:$II$104,$B29,152)*IR29=1,IF(AND($E29=2,RY29=0),1000000,INDEX('計算A'!EY$110:EY$114,$F29+1)+IF(AND($E29=1,RY29=0),1000,0)),1000000))</f>
        <v/>
      </c>
      <c r="ABG29">
        <f>IF($B29=0,1000000,IF(INDEX('計算A'!$D$60:$II$104,$B29,153)*IS29=1,IF(AND($E29=2,RZ29=0),1000000,INDEX('計算A'!EZ$110:EZ$114,$F29+1)+IF(AND($E29=1,RZ29=0),1000,0)),1000000))</f>
        <v/>
      </c>
      <c r="ABH29">
        <f>IF($B29=0,1000000,IF(INDEX('計算A'!$D$60:$II$104,$B29,154)*IT29=1,IF(AND($E29=2,SA29=0),1000000,INDEX('計算A'!FA$110:FA$114,$F29+1)+IF(AND($E29=1,SA29=0),1000,0)),1000000))</f>
        <v/>
      </c>
      <c r="ABI29">
        <f>IF($B29=0,1000000,IF(INDEX('計算A'!$D$60:$II$104,$B29,155)*IU29=1,IF(AND($E29=2,SB29=0),1000000,INDEX('計算A'!FB$110:FB$114,$F29+1)+IF(AND($E29=1,SB29=0),1000,0)),1000000))</f>
        <v/>
      </c>
      <c r="ABJ29">
        <f>IF($B29=0,1000000,IF(INDEX('計算A'!$D$60:$II$104,$B29,156)*IV29=1,IF(AND($E29=2,SC29=0),1000000,INDEX('計算A'!FC$110:FC$114,$F29+1)+IF(AND($E29=1,SC29=0),1000,0)),1000000))</f>
        <v/>
      </c>
      <c r="ABK29">
        <f>IF($B29=0,1000000,IF(INDEX('計算A'!$D$60:$II$104,$B29,157)*IW29=1,IF(AND($E29=2,SD29=0),1000000,INDEX('計算A'!FD$110:FD$114,$F29+1)+IF(AND($E29=1,SD29=0),1000,0)),1000000))</f>
        <v/>
      </c>
      <c r="ABL29">
        <f>IF($B29=0,1000000,IF(INDEX('計算A'!$D$60:$II$104,$B29,158)*IX29=1,IF(AND($E29=2,SE29=0),1000000,INDEX('計算A'!FE$110:FE$114,$F29+1)+IF(AND($E29=1,SE29=0),1000,0)),1000000))</f>
        <v/>
      </c>
      <c r="ABM29">
        <f>IF($B29=0,1000000,IF(INDEX('計算A'!$D$60:$II$104,$B29,159)*IY29=1,IF(AND($E29=2,SF29=0),1000000,INDEX('計算A'!FF$110:FF$114,$F29+1)+IF(AND($E29=1,SF29=0),1000,0)),1000000))</f>
        <v/>
      </c>
      <c r="ABN29">
        <f>IF($B29=0,1000000,IF(INDEX('計算A'!$D$60:$II$104,$B29,160)*IZ29=1,IF(AND($E29=2,SG29=0),1000000,INDEX('計算A'!FG$110:FG$114,$F29+1)+IF(AND($E29=1,SG29=0),1000,0)),1000000))</f>
        <v/>
      </c>
      <c r="ABO29">
        <f>IF($B29=0,1000000,IF(INDEX('計算A'!$D$60:$II$104,$B29,161)*JA29=1,IF(AND($E29=2,SH29=0),1000000,INDEX('計算A'!FH$110:FH$114,$F29+1)+IF(AND($E29=1,SH29=0),1000,0)),1000000))</f>
        <v/>
      </c>
      <c r="ABP29">
        <f>IF($B29=0,1000000,IF(INDEX('計算A'!$D$60:$II$104,$B29,162)*JB29=1,IF(AND($E29=2,SI29=0),1000000,INDEX('計算A'!FI$110:FI$114,$F29+1)+IF(AND($E29=1,SI29=0),1000,0)),1000000))</f>
        <v/>
      </c>
      <c r="ABQ29">
        <f>IF($B29=0,1000000,IF(INDEX('計算A'!$D$60:$II$104,$B29,163)*JC29=1,IF(AND($E29=2,SJ29=0),1000000,INDEX('計算A'!FJ$110:FJ$114,$F29+1)+IF(AND($E29=1,SJ29=0),1000,0)),1000000))</f>
        <v/>
      </c>
      <c r="ABR29">
        <f>IF($B29=0,1000000,IF(INDEX('計算A'!$D$60:$II$104,$B29,164)*JD29=1,IF(AND($E29=2,SK29=0),1000000,INDEX('計算A'!FK$110:FK$114,$F29+1)+IF(AND($E29=1,SK29=0),1000,0)),1000000))</f>
        <v/>
      </c>
      <c r="ABS29">
        <f>IF($B29=0,1000000,IF(INDEX('計算A'!$D$60:$II$104,$B29,165)*JE29=1,IF(AND($E29=2,SL29=0),1000000,INDEX('計算A'!FL$110:FL$114,$F29+1)+IF(AND($E29=1,SL29=0),1000,0)),1000000))</f>
        <v/>
      </c>
      <c r="ABT29">
        <f>IF($B29=0,1000000,IF(INDEX('計算A'!$D$60:$II$104,$B29,166)*JF29=1,IF(AND($E29=2,SM29=0),1000000,INDEX('計算A'!FM$110:FM$114,$F29+1)+IF(AND($E29=1,SM29=0),1000,0)),1000000))</f>
        <v/>
      </c>
      <c r="ABU29">
        <f>IF($B29=0,1000000,IF(INDEX('計算A'!$D$60:$II$104,$B29,167)*JG29=1,IF(AND($E29=2,SN29=0),1000000,INDEX('計算A'!FN$110:FN$114,$F29+1)+IF(AND($E29=1,SN29=0),1000,0)),1000000))</f>
        <v/>
      </c>
      <c r="ABV29">
        <f>IF($B29=0,1000000,IF(INDEX('計算A'!$D$60:$II$104,$B29,168)*JH29=1,IF(AND($E29=2,SO29=0),1000000,INDEX('計算A'!FO$110:FO$114,$F29+1)+IF(AND($E29=1,SO29=0),1000,0)),1000000))</f>
        <v/>
      </c>
      <c r="ABW29">
        <f>IF($B29=0,1000000,IF(INDEX('計算A'!$D$60:$II$104,$B29,169)*JI29=1,IF(AND($E29=2,SP29=0),1000000,INDEX('計算A'!FP$110:FP$114,$F29+1)+IF(AND($E29=1,SP29=0),1000,0)),1000000))</f>
        <v/>
      </c>
      <c r="ABX29">
        <f>IF($B29=0,1000000,IF(INDEX('計算A'!$D$60:$II$104,$B29,170)*JJ29=1,IF(AND($E29=2,SQ29=0),1000000,INDEX('計算A'!FQ$110:FQ$114,$F29+1)+IF(AND($E29=1,SQ29=0),1000,0)),1000000))</f>
        <v/>
      </c>
      <c r="ABY29">
        <f>IF($B29=0,1000000,IF(INDEX('計算A'!$D$60:$II$104,$B29,171)*JK29=1,IF(AND($E29=2,SR29=0),1000000,INDEX('計算A'!FR$110:FR$114,$F29+1)+IF(AND($E29=1,SR29=0),1000,0)),1000000))</f>
        <v/>
      </c>
      <c r="ABZ29">
        <f>IF($B29=0,1000000,IF(INDEX('計算A'!$D$60:$II$104,$B29,172)*JL29=1,IF(AND($E29=2,SS29=0),1000000,INDEX('計算A'!FS$110:FS$114,$F29+1)+IF(AND($E29=1,SS29=0),1000,0)),1000000))</f>
        <v/>
      </c>
      <c r="ACA29">
        <f>IF($B29=0,1000000,IF(INDEX('計算A'!$D$60:$II$104,$B29,173)*JM29=1,IF(AND($E29=2,ST29=0),1000000,INDEX('計算A'!FT$110:FT$114,$F29+1)+IF(AND($E29=1,ST29=0),1000,0)),1000000))</f>
        <v/>
      </c>
      <c r="ACB29">
        <f>IF($B29=0,1000000,IF(INDEX('計算A'!$D$60:$II$104,$B29,174)*JN29=1,IF(AND($E29=2,SU29=0),1000000,INDEX('計算A'!FU$110:FU$114,$F29+1)+IF(AND($E29=1,SU29=0),1000,0)),1000000))</f>
        <v/>
      </c>
      <c r="ACC29">
        <f>IF($B29=0,1000000,IF(INDEX('計算A'!$D$60:$II$104,$B29,175)*JO29=1,IF(AND($E29=2,SV29=0),1000000,INDEX('計算A'!FV$110:FV$114,$F29+1)+IF(AND($E29=1,SV29=0),1000,0)),1000000))</f>
        <v/>
      </c>
      <c r="ACD29">
        <f>IF($B29=0,1000000,IF(INDEX('計算A'!$D$60:$II$104,$B29,176)*JP29=1,IF(AND($E29=2,SW29=0),1000000,INDEX('計算A'!FW$110:FW$114,$F29+1)+IF(AND($E29=1,SW29=0),1000,0)),1000000))</f>
        <v/>
      </c>
      <c r="ACE29">
        <f>IF($B29=0,1000000,IF(INDEX('計算A'!$D$60:$II$104,$B29,177)*JQ29=1,IF(AND($E29=2,SX29=0),1000000,INDEX('計算A'!FX$110:FX$114,$F29+1)+IF(AND($E29=1,SX29=0),1000,0)),1000000))</f>
        <v/>
      </c>
      <c r="ACF29">
        <f>IF($B29=0,1000000,IF(INDEX('計算A'!$D$60:$II$104,$B29,178)*JR29=1,IF(AND($E29=2,SY29=0),1000000,INDEX('計算A'!FY$110:FY$114,$F29+1)+IF(AND($E29=1,SY29=0),1000,0)),1000000))</f>
        <v/>
      </c>
      <c r="ACG29">
        <f>IF($B29=0,1000000,IF(INDEX('計算A'!$D$60:$II$104,$B29,179)*JS29=1,IF(AND($E29=2,SZ29=0),1000000,INDEX('計算A'!FZ$110:FZ$114,$F29+1)+IF(AND($E29=1,SZ29=0),1000,0)),1000000))</f>
        <v/>
      </c>
      <c r="ACH29">
        <f>IF($B29=0,1000000,IF(INDEX('計算A'!$D$60:$II$104,$B29,180)*JT29=1,IF(AND($E29=2,TA29=0),1000000,INDEX('計算A'!GA$110:GA$114,$F29+1)+IF(AND($E29=1,TA29=0),1000,0)),1000000))</f>
        <v/>
      </c>
      <c r="ACI29">
        <f>IF($B29=0,1000000,IF(INDEX('計算A'!$D$60:$II$104,$B29,181)*JU29=1,IF(AND($E29=2,TB29=0),1000000,INDEX('計算A'!GB$110:GB$114,$F29+1)+IF(AND($E29=1,TB29=0),1000,0)),1000000))</f>
        <v/>
      </c>
      <c r="ACJ29">
        <f>IF($B29=0,1000000,IF(INDEX('計算A'!$D$60:$II$104,$B29,182)*JV29=1,IF(AND($E29=2,TC29=0),1000000,INDEX('計算A'!GC$110:GC$114,$F29+1)+IF(AND($E29=1,TC29=0),1000,0)),1000000))</f>
        <v/>
      </c>
      <c r="ACK29">
        <f>IF($B29=0,1000000,IF(INDEX('計算A'!$D$60:$II$104,$B29,183)*JW29=1,IF(AND($E29=2,TD29=0),1000000,INDEX('計算A'!GD$110:GD$114,$F29+1)+IF(AND($E29=1,TD29=0),1000,0)),1000000))</f>
        <v/>
      </c>
      <c r="ACL29">
        <f>IF($B29=0,1000000,IF(INDEX('計算A'!$D$60:$II$104,$B29,184)*JX29=1,IF(AND($E29=2,TE29=0),1000000,INDEX('計算A'!GE$110:GE$114,$F29+1)+IF(AND($E29=1,TE29=0),1000,0)),1000000))</f>
        <v/>
      </c>
      <c r="ACM29">
        <f>IF($B29=0,1000000,IF(INDEX('計算A'!$D$60:$II$104,$B29,185)*JY29=1,IF(AND($E29=2,TF29=0),1000000,INDEX('計算A'!GF$110:GF$114,$F29+1)+IF(AND($E29=1,TF29=0),1000,0)),1000000))</f>
        <v/>
      </c>
      <c r="ACN29">
        <f>IF($B29=0,1000000,IF(INDEX('計算A'!$D$60:$II$104,$B29,186)*JZ29=1,IF(AND($E29=2,TG29=0),1000000,INDEX('計算A'!GG$110:GG$114,$F29+1)+IF(AND($E29=1,TG29=0),1000,0)),1000000))</f>
        <v/>
      </c>
      <c r="ACO29">
        <f>IF($B29=0,1000000,IF(INDEX('計算A'!$D$60:$II$104,$B29,187)*KA29=1,IF(AND($E29=2,TH29=0),1000000,INDEX('計算A'!GH$110:GH$114,$F29+1)+IF(AND($E29=1,TH29=0),1000,0)),1000000))</f>
        <v/>
      </c>
      <c r="ACP29">
        <f>IF($B29=0,1000000,IF(INDEX('計算A'!$D$60:$II$104,$B29,188)*KB29=1,IF(AND($E29=2,TI29=0),1000000,INDEX('計算A'!GI$110:GI$114,$F29+1)+IF(AND($E29=1,TI29=0),1000,0)),1000000))</f>
        <v/>
      </c>
      <c r="ACQ29">
        <f>IF($B29=0,1000000,IF(INDEX('計算A'!$D$60:$II$104,$B29,189)*KC29=1,IF(AND($E29=2,TJ29=0),1000000,INDEX('計算A'!GJ$110:GJ$114,$F29+1)+IF(AND($E29=1,TJ29=0),1000,0)),1000000))</f>
        <v/>
      </c>
      <c r="ACR29">
        <f>IF($B29=0,1000000,IF(INDEX('計算A'!$D$60:$II$104,$B29,190)*KD29=1,IF(AND($E29=2,TK29=0),1000000,INDEX('計算A'!GK$110:GK$114,$F29+1)+IF(AND($E29=1,TK29=0),1000,0)),1000000))</f>
        <v/>
      </c>
      <c r="ACS29">
        <f>IF($B29=0,1000000,IF(INDEX('計算A'!$D$60:$II$104,$B29,191)*KE29=1,IF(AND($E29=2,TL29=0),1000000,INDEX('計算A'!GL$110:GL$114,$F29+1)+IF(AND($E29=1,TL29=0),1000,0)),1000000))</f>
        <v/>
      </c>
      <c r="ACT29">
        <f>IF($B29=0,1000000,IF(INDEX('計算A'!$D$60:$II$104,$B29,192)*KF29=1,IF(AND($E29=2,TM29=0),1000000,INDEX('計算A'!GM$110:GM$114,$F29+1)+IF(AND($E29=1,TM29=0),1000,0)),1000000))</f>
        <v/>
      </c>
      <c r="ACU29">
        <f>IF($B29=0,1000000,IF(INDEX('計算A'!$D$60:$II$104,$B29,193)*KG29=1,IF(AND($E29=2,TN29=0),1000000,INDEX('計算A'!GN$110:GN$114,$F29+1)+IF(AND($E29=1,TN29=0),1000,0)),1000000))</f>
        <v/>
      </c>
      <c r="ACV29">
        <f>IF($B29=0,1000000,IF(INDEX('計算A'!$D$60:$II$104,$B29,194)*KH29=1,IF(AND($E29=2,TO29=0),1000000,INDEX('計算A'!GO$110:GO$114,$F29+1)+IF(AND($E29=1,TO29=0),1000,0)),1000000))</f>
        <v/>
      </c>
      <c r="ACW29">
        <f>IF($B29=0,1000000,IF(INDEX('計算A'!$D$60:$II$104,$B29,195)*KI29=1,IF(AND($E29=2,TP29=0),1000000,INDEX('計算A'!GP$110:GP$114,$F29+1)+IF(AND($E29=1,TP29=0),1000,0)),1000000))</f>
        <v/>
      </c>
      <c r="ACX29">
        <f>IF($B29=0,1000000,IF(INDEX('計算A'!$D$60:$II$104,$B29,196)*KJ29=1,IF(AND($E29=2,TQ29=0),1000000,INDEX('計算A'!GQ$110:GQ$114,$F29+1)+IF(AND($E29=1,TQ29=0),1000,0)),1000000))</f>
        <v/>
      </c>
      <c r="ACY29">
        <f>IF($B29=0,1000000,IF(INDEX('計算A'!$D$60:$II$104,$B29,197)*KK29=1,IF(AND($E29=2,TR29=0),1000000,INDEX('計算A'!GR$110:GR$114,$F29+1)+IF(AND($E29=1,TR29=0),1000,0)),1000000))</f>
        <v/>
      </c>
      <c r="ACZ29">
        <f>IF($B29=0,1000000,IF(INDEX('計算A'!$D$60:$II$104,$B29,198)*KL29=1,IF(AND($E29=2,TS29=0),1000000,INDEX('計算A'!GS$110:GS$114,$F29+1)+IF(AND($E29=1,TS29=0),1000,0)),1000000))</f>
        <v/>
      </c>
      <c r="ADA29">
        <f>IF($B29=0,1000000,IF(INDEX('計算A'!$D$60:$II$104,$B29,199)*KM29=1,IF(AND($E29=2,TT29=0),1000000,INDEX('計算A'!GT$110:GT$114,$F29+1)+IF(AND($E29=1,TT29=0),1000,0)),1000000))</f>
        <v/>
      </c>
      <c r="ADB29">
        <f>IF($B29=0,1000000,IF(INDEX('計算A'!$D$60:$II$104,$B29,200)*KN29=1,IF(AND($E29=2,TU29=0),1000000,INDEX('計算A'!GU$110:GU$114,$F29+1)+IF(AND($E29=1,TU29=0),1000,0)),1000000))</f>
        <v/>
      </c>
      <c r="ADC29">
        <f>IF($B29=0,1000000,IF(INDEX('計算A'!$D$60:$II$104,$B29,201)*KO29=1,IF(AND($E29=2,TV29=0),1000000,INDEX('計算A'!GV$110:GV$114,$F29+1)+IF(AND($E29=1,TV29=0),1000,0)),1000000))</f>
        <v/>
      </c>
      <c r="ADD29">
        <f>IF($B29=0,1000000,IF(INDEX('計算A'!$D$60:$II$104,$B29,202)*KP29=1,IF(AND($E29=2,TW29=0),1000000,INDEX('計算A'!GW$110:GW$114,$F29+1)+IF(AND($E29=1,TW29=0),1000,0)),1000000))</f>
        <v/>
      </c>
      <c r="ADE29">
        <f>IF($B29=0,1000000,IF(INDEX('計算A'!$D$60:$II$104,$B29,203)*KQ29=1,IF(AND($E29=2,TX29=0),1000000,INDEX('計算A'!GX$110:GX$114,$F29+1)+IF(AND($E29=1,TX29=0),1000,0)),1000000))</f>
        <v/>
      </c>
      <c r="ADF29">
        <f>IF($B29=0,1000000,IF(INDEX('計算A'!$D$60:$II$104,$B29,204)*KR29=1,IF(AND($E29=2,TY29=0),1000000,INDEX('計算A'!GY$110:GY$114,$F29+1)+IF(AND($E29=1,TY29=0),1000,0)),1000000))</f>
        <v/>
      </c>
      <c r="ADG29">
        <f>IF($B29=0,1000000,IF(INDEX('計算A'!$D$60:$II$104,$B29,205)*KS29=1,IF(AND($E29=2,TZ29=0),1000000,INDEX('計算A'!GZ$110:GZ$114,$F29+1)+IF(AND($E29=1,TZ29=0),1000,0)),1000000))</f>
        <v/>
      </c>
      <c r="ADH29">
        <f>IF($B29=0,1000000,IF(INDEX('計算A'!$D$60:$II$104,$B29,206)*KT29=1,IF(AND($E29=2,UA29=0),1000000,INDEX('計算A'!HA$110:HA$114,$F29+1)+IF(AND($E29=1,UA29=0),1000,0)),1000000))</f>
        <v/>
      </c>
      <c r="ADI29">
        <f>IF($B29=0,1000000,IF(INDEX('計算A'!$D$60:$II$104,$B29,207)*KU29=1,IF(AND($E29=2,UB29=0),1000000,INDEX('計算A'!HB$110:HB$114,$F29+1)+IF(AND($E29=1,UB29=0),1000,0)),1000000))</f>
        <v/>
      </c>
      <c r="ADJ29">
        <f>IF($B29=0,1000000,IF(INDEX('計算A'!$D$60:$II$104,$B29,208)*KV29=1,IF(AND($E29=2,UC29=0),1000000,INDEX('計算A'!HC$110:HC$114,$F29+1)+IF(AND($E29=1,UC29=0),1000,0)),1000000))</f>
        <v/>
      </c>
      <c r="ADK29">
        <f>IF($B29=0,1000000,IF(INDEX('計算A'!$D$60:$II$104,$B29,209)*KW29=1,IF(AND($E29=2,UD29=0),1000000,INDEX('計算A'!HD$110:HD$114,$F29+1)+IF(AND($E29=1,UD29=0),1000,0)),1000000))</f>
        <v/>
      </c>
      <c r="ADL29">
        <f>IF($B29=0,1000000,IF(INDEX('計算A'!$D$60:$II$104,$B29,210)*KX29=1,IF(AND($E29=2,UE29=0),1000000,INDEX('計算A'!HE$110:HE$114,$F29+1)+IF(AND($E29=1,UE29=0),1000,0)),1000000))</f>
        <v/>
      </c>
      <c r="ADM29">
        <f>IF($B29=0,1000000,IF(INDEX('計算A'!$D$60:$II$104,$B29,211)*KY29=1,IF(AND($E29=2,UF29=0),1000000,INDEX('計算A'!HF$110:HF$114,$F29+1)+IF(AND($E29=1,UF29=0),1000,0)),1000000))</f>
        <v/>
      </c>
      <c r="ADN29">
        <f>IF($B29=0,1000000,IF(INDEX('計算A'!$D$60:$II$104,$B29,212)*KZ29=1,IF(AND($E29=2,UG29=0),1000000,INDEX('計算A'!HG$110:HG$114,$F29+1)+IF(AND($E29=1,UG29=0),1000,0)),1000000))</f>
        <v/>
      </c>
      <c r="ADO29">
        <f>IF($B29=0,1000000,IF(INDEX('計算A'!$D$60:$II$104,$B29,213)*LA29=1,IF(AND($E29=2,UH29=0),1000000,INDEX('計算A'!HH$110:HH$114,$F29+1)+IF(AND($E29=1,UH29=0),1000,0)),1000000))</f>
        <v/>
      </c>
      <c r="ADP29">
        <f>IF($B29=0,1000000,IF(INDEX('計算A'!$D$60:$II$104,$B29,214)*LB29=1,IF(AND($E29=2,UI29=0),1000000,INDEX('計算A'!HI$110:HI$114,$F29+1)+IF(AND($E29=1,UI29=0),1000,0)),1000000))</f>
        <v/>
      </c>
      <c r="ADQ29">
        <f>IF($B29=0,1000000,IF(INDEX('計算A'!$D$60:$II$104,$B29,215)*LC29=1,IF(AND($E29=2,UJ29=0),1000000,INDEX('計算A'!HJ$110:HJ$114,$F29+1)+IF(AND($E29=1,UJ29=0),1000,0)),1000000))</f>
        <v/>
      </c>
      <c r="ADR29">
        <f>IF($B29=0,1000000,IF(INDEX('計算A'!$D$60:$II$104,$B29,216)*LD29=1,IF(AND($E29=2,UK29=0),1000000,INDEX('計算A'!HK$110:HK$114,$F29+1)+IF(AND($E29=1,UK29=0),1000,0)),1000000))</f>
        <v/>
      </c>
      <c r="ADS29">
        <f>IF($B29=0,1000000,IF(INDEX('計算A'!$D$60:$II$104,$B29,217)*LE29=1,IF(AND($E29=2,UL29=0),1000000,INDEX('計算A'!HL$110:HL$114,$F29+1)+IF(AND($E29=1,UL29=0),1000,0)),1000000))</f>
        <v/>
      </c>
      <c r="ADT29">
        <f>IF($B29=0,1000000,IF(INDEX('計算A'!$D$60:$II$104,$B29,218)*LF29=1,IF(AND($E29=2,UM29=0),1000000,INDEX('計算A'!HM$110:HM$114,$F29+1)+IF(AND($E29=1,UM29=0),1000,0)),1000000))</f>
        <v/>
      </c>
      <c r="ADU29">
        <f>IF($B29=0,1000000,IF(INDEX('計算A'!$D$60:$II$104,$B29,219)*LG29=1,IF(AND($E29=2,UN29=0),1000000,INDEX('計算A'!HN$110:HN$114,$F29+1)+IF(AND($E29=1,UN29=0),1000,0)),1000000))</f>
        <v/>
      </c>
      <c r="ADV29">
        <f>IF($B29=0,1000000,IF(INDEX('計算A'!$D$60:$II$104,$B29,220)*LH29=1,IF(AND($E29=2,UO29=0),1000000,INDEX('計算A'!HO$110:HO$114,$F29+1)+IF(AND($E29=1,UO29=0),1000,0)),1000000))</f>
        <v/>
      </c>
      <c r="ADW29">
        <f>IF($B29=0,1000000,IF(INDEX('計算A'!$D$60:$II$104,$B29,221)*LI29=1,IF(AND($E29=2,UP29=0),1000000,INDEX('計算A'!HP$110:HP$114,$F29+1)+IF(AND($E29=1,UP29=0),1000,0)),1000000))</f>
        <v/>
      </c>
      <c r="ADX29">
        <f>IF($B29=0,1000000,IF(INDEX('計算A'!$D$60:$II$104,$B29,222)*LJ29=1,IF(AND($E29=2,UQ29=0),1000000,INDEX('計算A'!HQ$110:HQ$114,$F29+1)+IF(AND($E29=1,UQ29=0),1000,0)),1000000))</f>
        <v/>
      </c>
      <c r="ADY29">
        <f>IF($B29=0,1000000,IF(INDEX('計算A'!$D$60:$II$104,$B29,223)*LK29=1,IF(AND($E29=2,UR29=0),1000000,INDEX('計算A'!HR$110:HR$114,$F29+1)+IF(AND($E29=1,UR29=0),1000,0)),1000000))</f>
        <v/>
      </c>
      <c r="ADZ29">
        <f>IF($B29=0,1000000,IF(INDEX('計算A'!$D$60:$II$104,$B29,224)*LL29=1,IF(AND($E29=2,US29=0),1000000,INDEX('計算A'!HS$110:HS$114,$F29+1)+IF(AND($E29=1,US29=0),1000,0)),1000000))</f>
        <v/>
      </c>
      <c r="AEA29">
        <f>IF($B29=0,1000000,IF(INDEX('計算A'!$D$60:$II$104,$B29,225)*LM29=1,IF(AND($E29=2,UT29=0),1000000,INDEX('計算A'!HT$110:HT$114,$F29+1)+IF(AND($E29=1,UT29=0),1000,0)),1000000))</f>
        <v/>
      </c>
      <c r="AEB29">
        <f>IF($B29=0,1000000,IF(INDEX('計算A'!$D$60:$II$104,$B29,226)*LN29=1,IF(AND($E29=2,UU29=0),1000000,INDEX('計算A'!HU$110:HU$114,$F29+1)+IF(AND($E29=1,UU29=0),1000,0)),1000000))</f>
        <v/>
      </c>
      <c r="AEC29">
        <f>IF($B29=0,1000000,IF(INDEX('計算A'!$D$60:$II$104,$B29,227)*LO29=1,IF(AND($E29=2,UV29=0),1000000,INDEX('計算A'!HV$110:HV$114,$F29+1)+IF(AND($E29=1,UV29=0),1000,0)),1000000))</f>
        <v/>
      </c>
      <c r="AED29">
        <f>IF($B29=0,1000000,IF(INDEX('計算A'!$D$60:$II$104,$B29,228)*LP29=1,IF(AND($E29=2,UW29=0),1000000,INDEX('計算A'!HW$110:HW$114,$F29+1)+IF(AND($E29=1,UW29=0),1000,0)),1000000))</f>
        <v/>
      </c>
      <c r="AEE29">
        <f>IF($B29=0,1000000,IF(INDEX('計算A'!$D$60:$II$104,$B29,229)*LQ29=1,IF(AND($E29=2,UX29=0),1000000,INDEX('計算A'!HX$110:HX$114,$F29+1)+IF(AND($E29=1,UX29=0),1000,0)),1000000))</f>
        <v/>
      </c>
      <c r="AEF29">
        <f>IF($B29=0,1000000,IF(INDEX('計算A'!$D$60:$II$104,$B29,230)*LR29=1,IF(AND($E29=2,UY29=0),1000000,INDEX('計算A'!HY$110:HY$114,$F29+1)+IF(AND($E29=1,UY29=0),1000,0)),1000000))</f>
        <v/>
      </c>
      <c r="AEG29">
        <f>IF($B29=0,1000000,IF(INDEX('計算A'!$D$60:$II$104,$B29,231)*LS29=1,IF(AND($E29=2,UZ29=0),1000000,INDEX('計算A'!HZ$110:HZ$114,$F29+1)+IF(AND($E29=1,UZ29=0),1000,0)),1000000))</f>
        <v/>
      </c>
      <c r="AEH29">
        <f>IF($B29=0,1000000,IF(INDEX('計算A'!$D$60:$II$104,$B29,232)*LT29=1,IF(AND($E29=2,VA29=0),1000000,INDEX('計算A'!IA$110:IA$114,$F29+1)+IF(AND($E29=1,VA29=0),1000,0)),1000000))</f>
        <v/>
      </c>
      <c r="AEI29">
        <f>IF($B29=0,1000000,IF(INDEX('計算A'!$D$60:$II$104,$B29,233)*LU29=1,IF(AND($E29=2,VB29=0),1000000,INDEX('計算A'!IB$110:IB$114,$F29+1)+IF(AND($E29=1,VB29=0),1000,0)),1000000))</f>
        <v/>
      </c>
      <c r="AEJ29">
        <f>IF($B29=0,1000000,IF(INDEX('計算A'!$D$60:$II$104,$B29,234)*LV29=1,IF(AND($E29=2,VC29=0),1000000,INDEX('計算A'!IC$110:IC$114,$F29+1)+IF(AND($E29=1,VC29=0),1000,0)),1000000))</f>
        <v/>
      </c>
      <c r="AEK29">
        <f>IF($B29=0,1000000,IF(INDEX('計算A'!$D$60:$II$104,$B29,235)*LW29=1,IF(AND($E29=2,VD29=0),1000000,INDEX('計算A'!ID$110:ID$114,$F29+1)+IF(AND($E29=1,VD29=0),1000,0)),1000000))</f>
        <v/>
      </c>
      <c r="AEL29">
        <f>IF($B29=0,1000000,IF(INDEX('計算A'!$D$60:$II$104,$B29,236)*LX29=1,IF(AND($E29=2,VE29=0),1000000,INDEX('計算A'!IE$110:IE$114,$F29+1)+IF(AND($E29=1,VE29=0),1000,0)),1000000))</f>
        <v/>
      </c>
      <c r="AEM29">
        <f>IF($B29=0,1000000,IF(INDEX('計算A'!$D$60:$II$104,$B29,237)*LY29=1,IF(AND($E29=2,VF29=0),1000000,INDEX('計算A'!IF$110:IF$114,$F29+1)+IF(AND($E29=1,VF29=0),1000,0)),1000000))</f>
        <v/>
      </c>
      <c r="AEN29">
        <f>IF($B29=0,1000000,IF(INDEX('計算A'!$D$60:$II$104,$B29,238)*LZ29=1,IF(AND($E29=2,VG29=0),1000000,INDEX('計算A'!IG$110:IG$114,$F29+1)+IF(AND($E29=1,VG29=0),1000,0)),1000000))</f>
        <v/>
      </c>
      <c r="AEO29">
        <f>IF($B29=0,1000000,IF(INDEX('計算A'!$D$60:$II$104,$B29,239)*MA29=1,IF(AND($E29=2,VH29=0),1000000,INDEX('計算A'!IH$110:IH$114,$F29+1)+IF(AND($E29=1,VH29=0),1000,0)),1000000))</f>
        <v/>
      </c>
      <c r="AEP29">
        <f>IF($B29=0,1000000,IF(INDEX('計算A'!$D$60:$II$104,$B29,240)*MB29=1,IF(AND($E29=2,VI29=0),1000000,INDEX('計算A'!II$110:II$114,$F29+1)+IF(AND($E29=1,VI29=0),1000,0)),1000000))</f>
        <v/>
      </c>
    </row>
    <row r="30">
      <c r="A30" t="n">
        <v>28</v>
      </c>
      <c r="B30">
        <f>IF(MIN(BC30:CU30)&gt;=1000000,0,MATCH(MIN(BC30:CU30),BC30:CU30,0))</f>
        <v/>
      </c>
      <c r="C30">
        <f>IF(MIN(VK30:AEP30)&gt;=1000000,0,MATCH(MIN(VK30:AEP30),VK30:AEP30,0))</f>
        <v/>
      </c>
      <c r="D30">
        <f>IF(C30&gt;0,INDEX('計算A'!$D$5:$II$5,C30),0)</f>
        <v/>
      </c>
      <c r="E30">
        <f>IF(B30=0,0,INDEX('計算A'!$IQ$10:$IQ$54,B30))</f>
        <v/>
      </c>
      <c r="F30">
        <f>IF(B30=0,0,INDEX('計算A'!$IP$10:$IP$54,B30))</f>
        <v/>
      </c>
      <c r="G30">
        <f>IF(AND(C30&gt;0,E30&gt;0),IF(AND(INDEX('計算A'!$D$106:$II$106,C30)=1,INDEX($MD30:$VI30,C30)=1),C30+1,0),0)</f>
        <v/>
      </c>
      <c r="I30">
        <f>MAX(I29,IF($B29=1,1,0))</f>
        <v/>
      </c>
      <c r="J30">
        <f>MAX(J29,IF($B29=2,1,0))</f>
        <v/>
      </c>
      <c r="K30">
        <f>MAX(K29,IF($B29=3,1,0))</f>
        <v/>
      </c>
      <c r="L30">
        <f>MAX(L29,IF($B29=4,1,0))</f>
        <v/>
      </c>
      <c r="M30">
        <f>MAX(M29,IF($B29=5,1,0))</f>
        <v/>
      </c>
      <c r="N30">
        <f>MAX(N29,IF($B29=6,1,0))</f>
        <v/>
      </c>
      <c r="O30">
        <f>MAX(O29,IF($B29=7,1,0))</f>
        <v/>
      </c>
      <c r="P30">
        <f>MAX(P29,IF($B29=8,1,0))</f>
        <v/>
      </c>
      <c r="Q30">
        <f>MAX(Q29,IF($B29=9,1,0))</f>
        <v/>
      </c>
      <c r="R30">
        <f>MAX(R29,IF($B29=10,1,0))</f>
        <v/>
      </c>
      <c r="S30">
        <f>MAX(S29,IF($B29=11,1,0))</f>
        <v/>
      </c>
      <c r="T30">
        <f>MAX(T29,IF($B29=12,1,0))</f>
        <v/>
      </c>
      <c r="U30">
        <f>MAX(U29,IF($B29=13,1,0))</f>
        <v/>
      </c>
      <c r="V30">
        <f>MAX(V29,IF($B29=14,1,0))</f>
        <v/>
      </c>
      <c r="W30">
        <f>MAX(W29,IF($B29=15,1,0))</f>
        <v/>
      </c>
      <c r="X30">
        <f>MAX(X29,IF($B29=16,1,0))</f>
        <v/>
      </c>
      <c r="Y30">
        <f>MAX(Y29,IF($B29=17,1,0))</f>
        <v/>
      </c>
      <c r="Z30">
        <f>MAX(Z29,IF($B29=18,1,0))</f>
        <v/>
      </c>
      <c r="AA30">
        <f>MAX(AA29,IF($B29=19,1,0))</f>
        <v/>
      </c>
      <c r="AB30">
        <f>MAX(AB29,IF($B29=20,1,0))</f>
        <v/>
      </c>
      <c r="AC30">
        <f>MAX(AC29,IF($B29=21,1,0))</f>
        <v/>
      </c>
      <c r="AD30">
        <f>MAX(AD29,IF($B29=22,1,0))</f>
        <v/>
      </c>
      <c r="AE30">
        <f>MAX(AE29,IF($B29=23,1,0))</f>
        <v/>
      </c>
      <c r="AF30">
        <f>MAX(AF29,IF($B29=24,1,0))</f>
        <v/>
      </c>
      <c r="AG30">
        <f>MAX(AG29,IF($B29=25,1,0))</f>
        <v/>
      </c>
      <c r="AH30">
        <f>MAX(AH29,IF($B29=26,1,0))</f>
        <v/>
      </c>
      <c r="AI30">
        <f>MAX(AI29,IF($B29=27,1,0))</f>
        <v/>
      </c>
      <c r="AJ30">
        <f>MAX(AJ29,IF($B29=28,1,0))</f>
        <v/>
      </c>
      <c r="AK30">
        <f>MAX(AK29,IF($B29=29,1,0))</f>
        <v/>
      </c>
      <c r="AL30">
        <f>MAX(AL29,IF($B29=30,1,0))</f>
        <v/>
      </c>
      <c r="AM30">
        <f>MAX(AM29,IF($B29=31,1,0))</f>
        <v/>
      </c>
      <c r="AN30">
        <f>MAX(AN29,IF($B29=32,1,0))</f>
        <v/>
      </c>
      <c r="AO30">
        <f>MAX(AO29,IF($B29=33,1,0))</f>
        <v/>
      </c>
      <c r="AP30">
        <f>MAX(AP29,IF($B29=34,1,0))</f>
        <v/>
      </c>
      <c r="AQ30">
        <f>MAX(AQ29,IF($B29=35,1,0))</f>
        <v/>
      </c>
      <c r="AR30">
        <f>MAX(AR29,IF($B29=36,1,0))</f>
        <v/>
      </c>
      <c r="AS30">
        <f>MAX(AS29,IF($B29=37,1,0))</f>
        <v/>
      </c>
      <c r="AT30">
        <f>MAX(AT29,IF($B29=38,1,0))</f>
        <v/>
      </c>
      <c r="AU30">
        <f>MAX(AU29,IF($B29=39,1,0))</f>
        <v/>
      </c>
      <c r="AV30">
        <f>MAX(AV29,IF($B29=40,1,0))</f>
        <v/>
      </c>
      <c r="AW30">
        <f>MAX(AW29,IF($B29=41,1,0))</f>
        <v/>
      </c>
      <c r="AX30">
        <f>MAX(AX29,IF($B29=42,1,0))</f>
        <v/>
      </c>
      <c r="AY30">
        <f>MAX(AY29,IF($B29=43,1,0))</f>
        <v/>
      </c>
      <c r="AZ30">
        <f>MAX(AZ29,IF($B29=44,1,0))</f>
        <v/>
      </c>
      <c r="BA30">
        <f>MAX(BA29,IF($B29=45,1,0))</f>
        <v/>
      </c>
      <c r="BC30">
        <f>IF(I30=1,1000000,IF('計算A'!$IQ$10=2,SUMPRODUCT('計算A'!$D$60:$II$60,$CW30:$MB30,$MD30:$VI30),SUMPRODUCT('計算A'!$D$60:$II$60,$CW30:$MB30))*1000+1)</f>
        <v/>
      </c>
      <c r="BD30">
        <f>IF(J30=1,1000000,IF('計算A'!$IQ$11=2,SUMPRODUCT('計算A'!$D$61:$II$61,$CW30:$MB30,$MD30:$VI30),SUMPRODUCT('計算A'!$D$61:$II$61,$CW30:$MB30))*1000+2)</f>
        <v/>
      </c>
      <c r="BE30">
        <f>IF(K30=1,1000000,IF('計算A'!$IQ$12=2,SUMPRODUCT('計算A'!$D$62:$II$62,$CW30:$MB30,$MD30:$VI30),SUMPRODUCT('計算A'!$D$62:$II$62,$CW30:$MB30))*1000+3)</f>
        <v/>
      </c>
      <c r="BF30">
        <f>IF(L30=1,1000000,IF('計算A'!$IQ$13=2,SUMPRODUCT('計算A'!$D$63:$II$63,$CW30:$MB30,$MD30:$VI30),SUMPRODUCT('計算A'!$D$63:$II$63,$CW30:$MB30))*1000+4)</f>
        <v/>
      </c>
      <c r="BG30">
        <f>IF(M30=1,1000000,IF('計算A'!$IQ$14=2,SUMPRODUCT('計算A'!$D$64:$II$64,$CW30:$MB30,$MD30:$VI30),SUMPRODUCT('計算A'!$D$64:$II$64,$CW30:$MB30))*1000+5)</f>
        <v/>
      </c>
      <c r="BH30">
        <f>IF(N30=1,1000000,IF('計算A'!$IQ$15=2,SUMPRODUCT('計算A'!$D$65:$II$65,$CW30:$MB30,$MD30:$VI30),SUMPRODUCT('計算A'!$D$65:$II$65,$CW30:$MB30))*1000+6)</f>
        <v/>
      </c>
      <c r="BI30">
        <f>IF(O30=1,1000000,IF('計算A'!$IQ$16=2,SUMPRODUCT('計算A'!$D$66:$II$66,$CW30:$MB30,$MD30:$VI30),SUMPRODUCT('計算A'!$D$66:$II$66,$CW30:$MB30))*1000+7)</f>
        <v/>
      </c>
      <c r="BJ30">
        <f>IF(P30=1,1000000,IF('計算A'!$IQ$17=2,SUMPRODUCT('計算A'!$D$67:$II$67,$CW30:$MB30,$MD30:$VI30),SUMPRODUCT('計算A'!$D$67:$II$67,$CW30:$MB30))*1000+8)</f>
        <v/>
      </c>
      <c r="BK30">
        <f>IF(Q30=1,1000000,IF('計算A'!$IQ$18=2,SUMPRODUCT('計算A'!$D$68:$II$68,$CW30:$MB30,$MD30:$VI30),SUMPRODUCT('計算A'!$D$68:$II$68,$CW30:$MB30))*1000+9)</f>
        <v/>
      </c>
      <c r="BL30">
        <f>IF(R30=1,1000000,IF('計算A'!$IQ$19=2,SUMPRODUCT('計算A'!$D$69:$II$69,$CW30:$MB30,$MD30:$VI30),SUMPRODUCT('計算A'!$D$69:$II$69,$CW30:$MB30))*1000+10)</f>
        <v/>
      </c>
      <c r="BM30">
        <f>IF(S30=1,1000000,IF('計算A'!$IQ$20=2,SUMPRODUCT('計算A'!$D$70:$II$70,$CW30:$MB30,$MD30:$VI30),SUMPRODUCT('計算A'!$D$70:$II$70,$CW30:$MB30))*1000+11)</f>
        <v/>
      </c>
      <c r="BN30">
        <f>IF(T30=1,1000000,IF('計算A'!$IQ$21=2,SUMPRODUCT('計算A'!$D$71:$II$71,$CW30:$MB30,$MD30:$VI30),SUMPRODUCT('計算A'!$D$71:$II$71,$CW30:$MB30))*1000+12)</f>
        <v/>
      </c>
      <c r="BO30">
        <f>IF(U30=1,1000000,IF('計算A'!$IQ$22=2,SUMPRODUCT('計算A'!$D$72:$II$72,$CW30:$MB30,$MD30:$VI30),SUMPRODUCT('計算A'!$D$72:$II$72,$CW30:$MB30))*1000+13)</f>
        <v/>
      </c>
      <c r="BP30">
        <f>IF(V30=1,1000000,IF('計算A'!$IQ$23=2,SUMPRODUCT('計算A'!$D$73:$II$73,$CW30:$MB30,$MD30:$VI30),SUMPRODUCT('計算A'!$D$73:$II$73,$CW30:$MB30))*1000+14)</f>
        <v/>
      </c>
      <c r="BQ30">
        <f>IF(W30=1,1000000,IF('計算A'!$IQ$24=2,SUMPRODUCT('計算A'!$D$74:$II$74,$CW30:$MB30,$MD30:$VI30),SUMPRODUCT('計算A'!$D$74:$II$74,$CW30:$MB30))*1000+15)</f>
        <v/>
      </c>
      <c r="BR30">
        <f>IF(X30=1,1000000,IF('計算A'!$IQ$25=2,SUMPRODUCT('計算A'!$D$75:$II$75,$CW30:$MB30,$MD30:$VI30),SUMPRODUCT('計算A'!$D$75:$II$75,$CW30:$MB30))*1000+16)</f>
        <v/>
      </c>
      <c r="BS30">
        <f>IF(Y30=1,1000000,IF('計算A'!$IQ$26=2,SUMPRODUCT('計算A'!$D$76:$II$76,$CW30:$MB30,$MD30:$VI30),SUMPRODUCT('計算A'!$D$76:$II$76,$CW30:$MB30))*1000+17)</f>
        <v/>
      </c>
      <c r="BT30">
        <f>IF(Z30=1,1000000,IF('計算A'!$IQ$27=2,SUMPRODUCT('計算A'!$D$77:$II$77,$CW30:$MB30,$MD30:$VI30),SUMPRODUCT('計算A'!$D$77:$II$77,$CW30:$MB30))*1000+18)</f>
        <v/>
      </c>
      <c r="BU30">
        <f>IF(AA30=1,1000000,IF('計算A'!$IQ$28=2,SUMPRODUCT('計算A'!$D$78:$II$78,$CW30:$MB30,$MD30:$VI30),SUMPRODUCT('計算A'!$D$78:$II$78,$CW30:$MB30))*1000+19)</f>
        <v/>
      </c>
      <c r="BV30">
        <f>IF(AB30=1,1000000,IF('計算A'!$IQ$29=2,SUMPRODUCT('計算A'!$D$79:$II$79,$CW30:$MB30,$MD30:$VI30),SUMPRODUCT('計算A'!$D$79:$II$79,$CW30:$MB30))*1000+20)</f>
        <v/>
      </c>
      <c r="BW30">
        <f>IF(AC30=1,1000000,IF('計算A'!$IQ$30=2,SUMPRODUCT('計算A'!$D$80:$II$80,$CW30:$MB30,$MD30:$VI30),SUMPRODUCT('計算A'!$D$80:$II$80,$CW30:$MB30))*1000+21)</f>
        <v/>
      </c>
      <c r="BX30">
        <f>IF(AD30=1,1000000,IF('計算A'!$IQ$31=2,SUMPRODUCT('計算A'!$D$81:$II$81,$CW30:$MB30,$MD30:$VI30),SUMPRODUCT('計算A'!$D$81:$II$81,$CW30:$MB30))*1000+22)</f>
        <v/>
      </c>
      <c r="BY30">
        <f>IF(AE30=1,1000000,IF('計算A'!$IQ$32=2,SUMPRODUCT('計算A'!$D$82:$II$82,$CW30:$MB30,$MD30:$VI30),SUMPRODUCT('計算A'!$D$82:$II$82,$CW30:$MB30))*1000+23)</f>
        <v/>
      </c>
      <c r="BZ30">
        <f>IF(AF30=1,1000000,IF('計算A'!$IQ$33=2,SUMPRODUCT('計算A'!$D$83:$II$83,$CW30:$MB30,$MD30:$VI30),SUMPRODUCT('計算A'!$D$83:$II$83,$CW30:$MB30))*1000+24)</f>
        <v/>
      </c>
      <c r="CA30">
        <f>IF(AG30=1,1000000,IF('計算A'!$IQ$34=2,SUMPRODUCT('計算A'!$D$84:$II$84,$CW30:$MB30,$MD30:$VI30),SUMPRODUCT('計算A'!$D$84:$II$84,$CW30:$MB30))*1000+25)</f>
        <v/>
      </c>
      <c r="CB30">
        <f>IF(AH30=1,1000000,IF('計算A'!$IQ$35=2,SUMPRODUCT('計算A'!$D$85:$II$85,$CW30:$MB30,$MD30:$VI30),SUMPRODUCT('計算A'!$D$85:$II$85,$CW30:$MB30))*1000+26)</f>
        <v/>
      </c>
      <c r="CC30">
        <f>IF(AI30=1,1000000,IF('計算A'!$IQ$36=2,SUMPRODUCT('計算A'!$D$86:$II$86,$CW30:$MB30,$MD30:$VI30),SUMPRODUCT('計算A'!$D$86:$II$86,$CW30:$MB30))*1000+27)</f>
        <v/>
      </c>
      <c r="CD30">
        <f>IF(AJ30=1,1000000,IF('計算A'!$IQ$37=2,SUMPRODUCT('計算A'!$D$87:$II$87,$CW30:$MB30,$MD30:$VI30),SUMPRODUCT('計算A'!$D$87:$II$87,$CW30:$MB30))*1000+28)</f>
        <v/>
      </c>
      <c r="CE30">
        <f>IF(AK30=1,1000000,IF('計算A'!$IQ$38=2,SUMPRODUCT('計算A'!$D$88:$II$88,$CW30:$MB30,$MD30:$VI30),SUMPRODUCT('計算A'!$D$88:$II$88,$CW30:$MB30))*1000+29)</f>
        <v/>
      </c>
      <c r="CF30">
        <f>IF(AL30=1,1000000,IF('計算A'!$IQ$39=2,SUMPRODUCT('計算A'!$D$89:$II$89,$CW30:$MB30,$MD30:$VI30),SUMPRODUCT('計算A'!$D$89:$II$89,$CW30:$MB30))*1000+30)</f>
        <v/>
      </c>
      <c r="CG30">
        <f>IF(AM30=1,1000000,IF('計算A'!$IQ$40=2,SUMPRODUCT('計算A'!$D$90:$II$90,$CW30:$MB30,$MD30:$VI30),SUMPRODUCT('計算A'!$D$90:$II$90,$CW30:$MB30))*1000+31)</f>
        <v/>
      </c>
      <c r="CH30">
        <f>IF(AN30=1,1000000,IF('計算A'!$IQ$41=2,SUMPRODUCT('計算A'!$D$91:$II$91,$CW30:$MB30,$MD30:$VI30),SUMPRODUCT('計算A'!$D$91:$II$91,$CW30:$MB30))*1000+32)</f>
        <v/>
      </c>
      <c r="CI30">
        <f>IF(AO30=1,1000000,IF('計算A'!$IQ$42=2,SUMPRODUCT('計算A'!$D$92:$II$92,$CW30:$MB30,$MD30:$VI30),SUMPRODUCT('計算A'!$D$92:$II$92,$CW30:$MB30))*1000+33)</f>
        <v/>
      </c>
      <c r="CJ30">
        <f>IF(AP30=1,1000000,IF('計算A'!$IQ$43=2,SUMPRODUCT('計算A'!$D$93:$II$93,$CW30:$MB30,$MD30:$VI30),SUMPRODUCT('計算A'!$D$93:$II$93,$CW30:$MB30))*1000+34)</f>
        <v/>
      </c>
      <c r="CK30">
        <f>IF(AQ30=1,1000000,IF('計算A'!$IQ$44=2,SUMPRODUCT('計算A'!$D$94:$II$94,$CW30:$MB30,$MD30:$VI30),SUMPRODUCT('計算A'!$D$94:$II$94,$CW30:$MB30))*1000+35)</f>
        <v/>
      </c>
      <c r="CL30">
        <f>IF(AR30=1,1000000,IF('計算A'!$IQ$45=2,SUMPRODUCT('計算A'!$D$95:$II$95,$CW30:$MB30,$MD30:$VI30),SUMPRODUCT('計算A'!$D$95:$II$95,$CW30:$MB30))*1000+36)</f>
        <v/>
      </c>
      <c r="CM30">
        <f>IF(AS30=1,1000000,IF('計算A'!$IQ$46=2,SUMPRODUCT('計算A'!$D$96:$II$96,$CW30:$MB30,$MD30:$VI30),SUMPRODUCT('計算A'!$D$96:$II$96,$CW30:$MB30))*1000+37)</f>
        <v/>
      </c>
      <c r="CN30">
        <f>IF(AT30=1,1000000,IF('計算A'!$IQ$47=2,SUMPRODUCT('計算A'!$D$97:$II$97,$CW30:$MB30,$MD30:$VI30),SUMPRODUCT('計算A'!$D$97:$II$97,$CW30:$MB30))*1000+38)</f>
        <v/>
      </c>
      <c r="CO30">
        <f>IF(AU30=1,1000000,IF('計算A'!$IQ$48=2,SUMPRODUCT('計算A'!$D$98:$II$98,$CW30:$MB30,$MD30:$VI30),SUMPRODUCT('計算A'!$D$98:$II$98,$CW30:$MB30))*1000+39)</f>
        <v/>
      </c>
      <c r="CP30">
        <f>IF(AV30=1,1000000,IF('計算A'!$IQ$49=2,SUMPRODUCT('計算A'!$D$99:$II$99,$CW30:$MB30,$MD30:$VI30),SUMPRODUCT('計算A'!$D$99:$II$99,$CW30:$MB30))*1000+40)</f>
        <v/>
      </c>
      <c r="CQ30">
        <f>IF(AW30=1,1000000,IF('計算A'!$IQ$50=2,SUMPRODUCT('計算A'!$D$100:$II$100,$CW30:$MB30,$MD30:$VI30),SUMPRODUCT('計算A'!$D$100:$II$100,$CW30:$MB30))*1000+41)</f>
        <v/>
      </c>
      <c r="CR30">
        <f>IF(AX30=1,1000000,IF('計算A'!$IQ$51=2,SUMPRODUCT('計算A'!$D$101:$II$101,$CW30:$MB30,$MD30:$VI30),SUMPRODUCT('計算A'!$D$101:$II$101,$CW30:$MB30))*1000+42)</f>
        <v/>
      </c>
      <c r="CS30">
        <f>IF(AY30=1,1000000,IF('計算A'!$IQ$52=2,SUMPRODUCT('計算A'!$D$102:$II$102,$CW30:$MB30,$MD30:$VI30),SUMPRODUCT('計算A'!$D$102:$II$102,$CW30:$MB30))*1000+43)</f>
        <v/>
      </c>
      <c r="CT30">
        <f>IF(AZ30=1,1000000,IF('計算A'!$IQ$53=2,SUMPRODUCT('計算A'!$D$103:$II$103,$CW30:$MB30,$MD30:$VI30),SUMPRODUCT('計算A'!$D$103:$II$103,$CW30:$MB30))*1000+44)</f>
        <v/>
      </c>
      <c r="CU30">
        <f>IF(BA30=1,1000000,IF('計算A'!$IQ$54=2,SUMPRODUCT('計算A'!$D$104:$II$104,$CW30:$MB30,$MD30:$VI30),SUMPRODUCT('計算A'!$D$104:$II$104,$CW30:$MB30))*1000+45)</f>
        <v/>
      </c>
      <c r="CW30">
        <f>CW29*IF(OR($C29=1,$G29=1),0,1)</f>
        <v/>
      </c>
      <c r="CX30">
        <f>CX29*IF(OR($C29=2,$G29=2),0,1)</f>
        <v/>
      </c>
      <c r="CY30">
        <f>CY29*IF(OR($C29=3,$G29=3),0,1)</f>
        <v/>
      </c>
      <c r="CZ30">
        <f>CZ29*IF(OR($C29=4,$G29=4),0,1)</f>
        <v/>
      </c>
      <c r="DA30">
        <f>DA29*IF(OR($C29=5,$G29=5),0,1)</f>
        <v/>
      </c>
      <c r="DB30">
        <f>DB29*IF(OR($C29=6,$G29=6),0,1)</f>
        <v/>
      </c>
      <c r="DC30">
        <f>DC29*IF(OR($C29=7,$G29=7),0,1)</f>
        <v/>
      </c>
      <c r="DD30">
        <f>DD29*IF(OR($C29=8,$G29=8),0,1)</f>
        <v/>
      </c>
      <c r="DE30">
        <f>DE29*IF(OR($C29=9,$G29=9),0,1)</f>
        <v/>
      </c>
      <c r="DF30">
        <f>DF29*IF(OR($C29=10,$G29=10),0,1)</f>
        <v/>
      </c>
      <c r="DG30">
        <f>DG29*IF(OR($C29=11,$G29=11),0,1)</f>
        <v/>
      </c>
      <c r="DH30">
        <f>DH29*IF(OR($C29=12,$G29=12),0,1)</f>
        <v/>
      </c>
      <c r="DI30">
        <f>DI29*IF(OR($C29=13,$G29=13),0,1)</f>
        <v/>
      </c>
      <c r="DJ30">
        <f>DJ29*IF(OR($C29=14,$G29=14),0,1)</f>
        <v/>
      </c>
      <c r="DK30">
        <f>DK29*IF(OR($C29=15,$G29=15),0,1)</f>
        <v/>
      </c>
      <c r="DL30">
        <f>DL29*IF(OR($C29=16,$G29=16),0,1)</f>
        <v/>
      </c>
      <c r="DM30">
        <f>DM29*IF(OR($C29=17,$G29=17),0,1)</f>
        <v/>
      </c>
      <c r="DN30">
        <f>DN29*IF(OR($C29=18,$G29=18),0,1)</f>
        <v/>
      </c>
      <c r="DO30">
        <f>DO29*IF(OR($C29=19,$G29=19),0,1)</f>
        <v/>
      </c>
      <c r="DP30">
        <f>DP29*IF(OR($C29=20,$G29=20),0,1)</f>
        <v/>
      </c>
      <c r="DQ30">
        <f>DQ29*IF(OR($C29=21,$G29=21),0,1)</f>
        <v/>
      </c>
      <c r="DR30">
        <f>DR29*IF(OR($C29=22,$G29=22),0,1)</f>
        <v/>
      </c>
      <c r="DS30">
        <f>DS29*IF(OR($C29=23,$G29=23),0,1)</f>
        <v/>
      </c>
      <c r="DT30">
        <f>DT29*IF(OR($C29=24,$G29=24),0,1)</f>
        <v/>
      </c>
      <c r="DU30">
        <f>DU29*IF(OR($C29=25,$G29=25),0,1)</f>
        <v/>
      </c>
      <c r="DV30">
        <f>DV29*IF(OR($C29=26,$G29=26),0,1)</f>
        <v/>
      </c>
      <c r="DW30">
        <f>DW29*IF(OR($C29=27,$G29=27),0,1)</f>
        <v/>
      </c>
      <c r="DX30">
        <f>DX29*IF(OR($C29=28,$G29=28),0,1)</f>
        <v/>
      </c>
      <c r="DY30">
        <f>DY29*IF(OR($C29=29,$G29=29),0,1)</f>
        <v/>
      </c>
      <c r="DZ30">
        <f>DZ29*IF(OR($C29=30,$G29=30),0,1)</f>
        <v/>
      </c>
      <c r="EA30">
        <f>EA29*IF(OR($C29=31,$G29=31),0,1)</f>
        <v/>
      </c>
      <c r="EB30">
        <f>EB29*IF(OR($C29=32,$G29=32),0,1)</f>
        <v/>
      </c>
      <c r="EC30">
        <f>EC29*IF(OR($C29=33,$G29=33),0,1)</f>
        <v/>
      </c>
      <c r="ED30">
        <f>ED29*IF(OR($C29=34,$G29=34),0,1)</f>
        <v/>
      </c>
      <c r="EE30">
        <f>EE29*IF(OR($C29=35,$G29=35),0,1)</f>
        <v/>
      </c>
      <c r="EF30">
        <f>EF29*IF(OR($C29=36,$G29=36),0,1)</f>
        <v/>
      </c>
      <c r="EG30">
        <f>EG29*IF(OR($C29=37,$G29=37),0,1)</f>
        <v/>
      </c>
      <c r="EH30">
        <f>EH29*IF(OR($C29=38,$G29=38),0,1)</f>
        <v/>
      </c>
      <c r="EI30">
        <f>EI29*IF(OR($C29=39,$G29=39),0,1)</f>
        <v/>
      </c>
      <c r="EJ30">
        <f>EJ29*IF(OR($C29=40,$G29=40),0,1)</f>
        <v/>
      </c>
      <c r="EK30">
        <f>EK29*IF(OR($C29=41,$G29=41),0,1)</f>
        <v/>
      </c>
      <c r="EL30">
        <f>EL29*IF(OR($C29=42,$G29=42),0,1)</f>
        <v/>
      </c>
      <c r="EM30">
        <f>EM29*IF(OR($C29=43,$G29=43),0,1)</f>
        <v/>
      </c>
      <c r="EN30">
        <f>EN29*IF(OR($C29=44,$G29=44),0,1)</f>
        <v/>
      </c>
      <c r="EO30">
        <f>EO29*IF(OR($C29=45,$G29=45),0,1)</f>
        <v/>
      </c>
      <c r="EP30">
        <f>EP29*IF(OR($C29=46,$G29=46),0,1)</f>
        <v/>
      </c>
      <c r="EQ30">
        <f>EQ29*IF(OR($C29=47,$G29=47),0,1)</f>
        <v/>
      </c>
      <c r="ER30">
        <f>ER29*IF(OR($C29=48,$G29=48),0,1)</f>
        <v/>
      </c>
      <c r="ES30">
        <f>ES29*IF(OR($C29=49,$G29=49),0,1)</f>
        <v/>
      </c>
      <c r="ET30">
        <f>ET29*IF(OR($C29=50,$G29=50),0,1)</f>
        <v/>
      </c>
      <c r="EU30">
        <f>EU29*IF(OR($C29=51,$G29=51),0,1)</f>
        <v/>
      </c>
      <c r="EV30">
        <f>EV29*IF(OR($C29=52,$G29=52),0,1)</f>
        <v/>
      </c>
      <c r="EW30">
        <f>EW29*IF(OR($C29=53,$G29=53),0,1)</f>
        <v/>
      </c>
      <c r="EX30">
        <f>EX29*IF(OR($C29=54,$G29=54),0,1)</f>
        <v/>
      </c>
      <c r="EY30">
        <f>EY29*IF(OR($C29=55,$G29=55),0,1)</f>
        <v/>
      </c>
      <c r="EZ30">
        <f>EZ29*IF(OR($C29=56,$G29=56),0,1)</f>
        <v/>
      </c>
      <c r="FA30">
        <f>FA29*IF(OR($C29=57,$G29=57),0,1)</f>
        <v/>
      </c>
      <c r="FB30">
        <f>FB29*IF(OR($C29=58,$G29=58),0,1)</f>
        <v/>
      </c>
      <c r="FC30">
        <f>FC29*IF(OR($C29=59,$G29=59),0,1)</f>
        <v/>
      </c>
      <c r="FD30">
        <f>FD29*IF(OR($C29=60,$G29=60),0,1)</f>
        <v/>
      </c>
      <c r="FE30">
        <f>FE29*IF(OR($C29=61,$G29=61),0,1)</f>
        <v/>
      </c>
      <c r="FF30">
        <f>FF29*IF(OR($C29=62,$G29=62),0,1)</f>
        <v/>
      </c>
      <c r="FG30">
        <f>FG29*IF(OR($C29=63,$G29=63),0,1)</f>
        <v/>
      </c>
      <c r="FH30">
        <f>FH29*IF(OR($C29=64,$G29=64),0,1)</f>
        <v/>
      </c>
      <c r="FI30">
        <f>FI29*IF(OR($C29=65,$G29=65),0,1)</f>
        <v/>
      </c>
      <c r="FJ30">
        <f>FJ29*IF(OR($C29=66,$G29=66),0,1)</f>
        <v/>
      </c>
      <c r="FK30">
        <f>FK29*IF(OR($C29=67,$G29=67),0,1)</f>
        <v/>
      </c>
      <c r="FL30">
        <f>FL29*IF(OR($C29=68,$G29=68),0,1)</f>
        <v/>
      </c>
      <c r="FM30">
        <f>FM29*IF(OR($C29=69,$G29=69),0,1)</f>
        <v/>
      </c>
      <c r="FN30">
        <f>FN29*IF(OR($C29=70,$G29=70),0,1)</f>
        <v/>
      </c>
      <c r="FO30">
        <f>FO29*IF(OR($C29=71,$G29=71),0,1)</f>
        <v/>
      </c>
      <c r="FP30">
        <f>FP29*IF(OR($C29=72,$G29=72),0,1)</f>
        <v/>
      </c>
      <c r="FQ30">
        <f>FQ29*IF(OR($C29=73,$G29=73),0,1)</f>
        <v/>
      </c>
      <c r="FR30">
        <f>FR29*IF(OR($C29=74,$G29=74),0,1)</f>
        <v/>
      </c>
      <c r="FS30">
        <f>FS29*IF(OR($C29=75,$G29=75),0,1)</f>
        <v/>
      </c>
      <c r="FT30">
        <f>FT29*IF(OR($C29=76,$G29=76),0,1)</f>
        <v/>
      </c>
      <c r="FU30">
        <f>FU29*IF(OR($C29=77,$G29=77),0,1)</f>
        <v/>
      </c>
      <c r="FV30">
        <f>FV29*IF(OR($C29=78,$G29=78),0,1)</f>
        <v/>
      </c>
      <c r="FW30">
        <f>FW29*IF(OR($C29=79,$G29=79),0,1)</f>
        <v/>
      </c>
      <c r="FX30">
        <f>FX29*IF(OR($C29=80,$G29=80),0,1)</f>
        <v/>
      </c>
      <c r="FY30">
        <f>FY29*IF(OR($C29=81,$G29=81),0,1)</f>
        <v/>
      </c>
      <c r="FZ30">
        <f>FZ29*IF(OR($C29=82,$G29=82),0,1)</f>
        <v/>
      </c>
      <c r="GA30">
        <f>GA29*IF(OR($C29=83,$G29=83),0,1)</f>
        <v/>
      </c>
      <c r="GB30">
        <f>GB29*IF(OR($C29=84,$G29=84),0,1)</f>
        <v/>
      </c>
      <c r="GC30">
        <f>GC29*IF(OR($C29=85,$G29=85),0,1)</f>
        <v/>
      </c>
      <c r="GD30">
        <f>GD29*IF(OR($C29=86,$G29=86),0,1)</f>
        <v/>
      </c>
      <c r="GE30">
        <f>GE29*IF(OR($C29=87,$G29=87),0,1)</f>
        <v/>
      </c>
      <c r="GF30">
        <f>GF29*IF(OR($C29=88,$G29=88),0,1)</f>
        <v/>
      </c>
      <c r="GG30">
        <f>GG29*IF(OR($C29=89,$G29=89),0,1)</f>
        <v/>
      </c>
      <c r="GH30">
        <f>GH29*IF(OR($C29=90,$G29=90),0,1)</f>
        <v/>
      </c>
      <c r="GI30">
        <f>GI29*IF(OR($C29=91,$G29=91),0,1)</f>
        <v/>
      </c>
      <c r="GJ30">
        <f>GJ29*IF(OR($C29=92,$G29=92),0,1)</f>
        <v/>
      </c>
      <c r="GK30">
        <f>GK29*IF(OR($C29=93,$G29=93),0,1)</f>
        <v/>
      </c>
      <c r="GL30">
        <f>GL29*IF(OR($C29=94,$G29=94),0,1)</f>
        <v/>
      </c>
      <c r="GM30">
        <f>GM29*IF(OR($C29=95,$G29=95),0,1)</f>
        <v/>
      </c>
      <c r="GN30">
        <f>GN29*IF(OR($C29=96,$G29=96),0,1)</f>
        <v/>
      </c>
      <c r="GO30">
        <f>GO29*IF(OR($C29=97,$G29=97),0,1)</f>
        <v/>
      </c>
      <c r="GP30">
        <f>GP29*IF(OR($C29=98,$G29=98),0,1)</f>
        <v/>
      </c>
      <c r="GQ30">
        <f>GQ29*IF(OR($C29=99,$G29=99),0,1)</f>
        <v/>
      </c>
      <c r="GR30">
        <f>GR29*IF(OR($C29=100,$G29=100),0,1)</f>
        <v/>
      </c>
      <c r="GS30">
        <f>GS29*IF(OR($C29=101,$G29=101),0,1)</f>
        <v/>
      </c>
      <c r="GT30">
        <f>GT29*IF(OR($C29=102,$G29=102),0,1)</f>
        <v/>
      </c>
      <c r="GU30">
        <f>GU29*IF(OR($C29=103,$G29=103),0,1)</f>
        <v/>
      </c>
      <c r="GV30">
        <f>GV29*IF(OR($C29=104,$G29=104),0,1)</f>
        <v/>
      </c>
      <c r="GW30">
        <f>GW29*IF(OR($C29=105,$G29=105),0,1)</f>
        <v/>
      </c>
      <c r="GX30">
        <f>GX29*IF(OR($C29=106,$G29=106),0,1)</f>
        <v/>
      </c>
      <c r="GY30">
        <f>GY29*IF(OR($C29=107,$G29=107),0,1)</f>
        <v/>
      </c>
      <c r="GZ30">
        <f>GZ29*IF(OR($C29=108,$G29=108),0,1)</f>
        <v/>
      </c>
      <c r="HA30">
        <f>HA29*IF(OR($C29=109,$G29=109),0,1)</f>
        <v/>
      </c>
      <c r="HB30">
        <f>HB29*IF(OR($C29=110,$G29=110),0,1)</f>
        <v/>
      </c>
      <c r="HC30">
        <f>HC29*IF(OR($C29=111,$G29=111),0,1)</f>
        <v/>
      </c>
      <c r="HD30">
        <f>HD29*IF(OR($C29=112,$G29=112),0,1)</f>
        <v/>
      </c>
      <c r="HE30">
        <f>HE29*IF(OR($C29=113,$G29=113),0,1)</f>
        <v/>
      </c>
      <c r="HF30">
        <f>HF29*IF(OR($C29=114,$G29=114),0,1)</f>
        <v/>
      </c>
      <c r="HG30">
        <f>HG29*IF(OR($C29=115,$G29=115),0,1)</f>
        <v/>
      </c>
      <c r="HH30">
        <f>HH29*IF(OR($C29=116,$G29=116),0,1)</f>
        <v/>
      </c>
      <c r="HI30">
        <f>HI29*IF(OR($C29=117,$G29=117),0,1)</f>
        <v/>
      </c>
      <c r="HJ30">
        <f>HJ29*IF(OR($C29=118,$G29=118),0,1)</f>
        <v/>
      </c>
      <c r="HK30">
        <f>HK29*IF(OR($C29=119,$G29=119),0,1)</f>
        <v/>
      </c>
      <c r="HL30">
        <f>HL29*IF(OR($C29=120,$G29=120),0,1)</f>
        <v/>
      </c>
      <c r="HM30">
        <f>HM29*IF(OR($C29=121,$G29=121),0,1)</f>
        <v/>
      </c>
      <c r="HN30">
        <f>HN29*IF(OR($C29=122,$G29=122),0,1)</f>
        <v/>
      </c>
      <c r="HO30">
        <f>HO29*IF(OR($C29=123,$G29=123),0,1)</f>
        <v/>
      </c>
      <c r="HP30">
        <f>HP29*IF(OR($C29=124,$G29=124),0,1)</f>
        <v/>
      </c>
      <c r="HQ30">
        <f>HQ29*IF(OR($C29=125,$G29=125),0,1)</f>
        <v/>
      </c>
      <c r="HR30">
        <f>HR29*IF(OR($C29=126,$G29=126),0,1)</f>
        <v/>
      </c>
      <c r="HS30">
        <f>HS29*IF(OR($C29=127,$G29=127),0,1)</f>
        <v/>
      </c>
      <c r="HT30">
        <f>HT29*IF(OR($C29=128,$G29=128),0,1)</f>
        <v/>
      </c>
      <c r="HU30">
        <f>HU29*IF(OR($C29=129,$G29=129),0,1)</f>
        <v/>
      </c>
      <c r="HV30">
        <f>HV29*IF(OR($C29=130,$G29=130),0,1)</f>
        <v/>
      </c>
      <c r="HW30">
        <f>HW29*IF(OR($C29=131,$G29=131),0,1)</f>
        <v/>
      </c>
      <c r="HX30">
        <f>HX29*IF(OR($C29=132,$G29=132),0,1)</f>
        <v/>
      </c>
      <c r="HY30">
        <f>HY29*IF(OR($C29=133,$G29=133),0,1)</f>
        <v/>
      </c>
      <c r="HZ30">
        <f>HZ29*IF(OR($C29=134,$G29=134),0,1)</f>
        <v/>
      </c>
      <c r="IA30">
        <f>IA29*IF(OR($C29=135,$G29=135),0,1)</f>
        <v/>
      </c>
      <c r="IB30">
        <f>IB29*IF(OR($C29=136,$G29=136),0,1)</f>
        <v/>
      </c>
      <c r="IC30">
        <f>IC29*IF(OR($C29=137,$G29=137),0,1)</f>
        <v/>
      </c>
      <c r="ID30">
        <f>ID29*IF(OR($C29=138,$G29=138),0,1)</f>
        <v/>
      </c>
      <c r="IE30">
        <f>IE29*IF(OR($C29=139,$G29=139),0,1)</f>
        <v/>
      </c>
      <c r="IF30">
        <f>IF29*IF(OR($C29=140,$G29=140),0,1)</f>
        <v/>
      </c>
      <c r="IG30">
        <f>IG29*IF(OR($C29=141,$G29=141),0,1)</f>
        <v/>
      </c>
      <c r="IH30">
        <f>IH29*IF(OR($C29=142,$G29=142),0,1)</f>
        <v/>
      </c>
      <c r="II30">
        <f>II29*IF(OR($C29=143,$G29=143),0,1)</f>
        <v/>
      </c>
      <c r="IJ30">
        <f>IJ29*IF(OR($C29=144,$G29=144),0,1)</f>
        <v/>
      </c>
      <c r="IK30">
        <f>IK29*IF(OR($C29=145,$G29=145),0,1)</f>
        <v/>
      </c>
      <c r="IL30">
        <f>IL29*IF(OR($C29=146,$G29=146),0,1)</f>
        <v/>
      </c>
      <c r="IM30">
        <f>IM29*IF(OR($C29=147,$G29=147),0,1)</f>
        <v/>
      </c>
      <c r="IN30">
        <f>IN29*IF(OR($C29=148,$G29=148),0,1)</f>
        <v/>
      </c>
      <c r="IO30">
        <f>IO29*IF(OR($C29=149,$G29=149),0,1)</f>
        <v/>
      </c>
      <c r="IP30">
        <f>IP29*IF(OR($C29=150,$G29=150),0,1)</f>
        <v/>
      </c>
      <c r="IQ30">
        <f>IQ29*IF(OR($C29=151,$G29=151),0,1)</f>
        <v/>
      </c>
      <c r="IR30">
        <f>IR29*IF(OR($C29=152,$G29=152),0,1)</f>
        <v/>
      </c>
      <c r="IS30">
        <f>IS29*IF(OR($C29=153,$G29=153),0,1)</f>
        <v/>
      </c>
      <c r="IT30">
        <f>IT29*IF(OR($C29=154,$G29=154),0,1)</f>
        <v/>
      </c>
      <c r="IU30">
        <f>IU29*IF(OR($C29=155,$G29=155),0,1)</f>
        <v/>
      </c>
      <c r="IV30">
        <f>IV29*IF(OR($C29=156,$G29=156),0,1)</f>
        <v/>
      </c>
      <c r="IW30">
        <f>IW29*IF(OR($C29=157,$G29=157),0,1)</f>
        <v/>
      </c>
      <c r="IX30">
        <f>IX29*IF(OR($C29=158,$G29=158),0,1)</f>
        <v/>
      </c>
      <c r="IY30">
        <f>IY29*IF(OR($C29=159,$G29=159),0,1)</f>
        <v/>
      </c>
      <c r="IZ30">
        <f>IZ29*IF(OR($C29=160,$G29=160),0,1)</f>
        <v/>
      </c>
      <c r="JA30">
        <f>JA29*IF(OR($C29=161,$G29=161),0,1)</f>
        <v/>
      </c>
      <c r="JB30">
        <f>JB29*IF(OR($C29=162,$G29=162),0,1)</f>
        <v/>
      </c>
      <c r="JC30">
        <f>JC29*IF(OR($C29=163,$G29=163),0,1)</f>
        <v/>
      </c>
      <c r="JD30">
        <f>JD29*IF(OR($C29=164,$G29=164),0,1)</f>
        <v/>
      </c>
      <c r="JE30">
        <f>JE29*IF(OR($C29=165,$G29=165),0,1)</f>
        <v/>
      </c>
      <c r="JF30">
        <f>JF29*IF(OR($C29=166,$G29=166),0,1)</f>
        <v/>
      </c>
      <c r="JG30">
        <f>JG29*IF(OR($C29=167,$G29=167),0,1)</f>
        <v/>
      </c>
      <c r="JH30">
        <f>JH29*IF(OR($C29=168,$G29=168),0,1)</f>
        <v/>
      </c>
      <c r="JI30">
        <f>JI29*IF(OR($C29=169,$G29=169),0,1)</f>
        <v/>
      </c>
      <c r="JJ30">
        <f>JJ29*IF(OR($C29=170,$G29=170),0,1)</f>
        <v/>
      </c>
      <c r="JK30">
        <f>JK29*IF(OR($C29=171,$G29=171),0,1)</f>
        <v/>
      </c>
      <c r="JL30">
        <f>JL29*IF(OR($C29=172,$G29=172),0,1)</f>
        <v/>
      </c>
      <c r="JM30">
        <f>JM29*IF(OR($C29=173,$G29=173),0,1)</f>
        <v/>
      </c>
      <c r="JN30">
        <f>JN29*IF(OR($C29=174,$G29=174),0,1)</f>
        <v/>
      </c>
      <c r="JO30">
        <f>JO29*IF(OR($C29=175,$G29=175),0,1)</f>
        <v/>
      </c>
      <c r="JP30">
        <f>JP29*IF(OR($C29=176,$G29=176),0,1)</f>
        <v/>
      </c>
      <c r="JQ30">
        <f>JQ29*IF(OR($C29=177,$G29=177),0,1)</f>
        <v/>
      </c>
      <c r="JR30">
        <f>JR29*IF(OR($C29=178,$G29=178),0,1)</f>
        <v/>
      </c>
      <c r="JS30">
        <f>JS29*IF(OR($C29=179,$G29=179),0,1)</f>
        <v/>
      </c>
      <c r="JT30">
        <f>JT29*IF(OR($C29=180,$G29=180),0,1)</f>
        <v/>
      </c>
      <c r="JU30">
        <f>JU29*IF(OR($C29=181,$G29=181),0,1)</f>
        <v/>
      </c>
      <c r="JV30">
        <f>JV29*IF(OR($C29=182,$G29=182),0,1)</f>
        <v/>
      </c>
      <c r="JW30">
        <f>JW29*IF(OR($C29=183,$G29=183),0,1)</f>
        <v/>
      </c>
      <c r="JX30">
        <f>JX29*IF(OR($C29=184,$G29=184),0,1)</f>
        <v/>
      </c>
      <c r="JY30">
        <f>JY29*IF(OR($C29=185,$G29=185),0,1)</f>
        <v/>
      </c>
      <c r="JZ30">
        <f>JZ29*IF(OR($C29=186,$G29=186),0,1)</f>
        <v/>
      </c>
      <c r="KA30">
        <f>KA29*IF(OR($C29=187,$G29=187),0,1)</f>
        <v/>
      </c>
      <c r="KB30">
        <f>KB29*IF(OR($C29=188,$G29=188),0,1)</f>
        <v/>
      </c>
      <c r="KC30">
        <f>KC29*IF(OR($C29=189,$G29=189),0,1)</f>
        <v/>
      </c>
      <c r="KD30">
        <f>KD29*IF(OR($C29=190,$G29=190),0,1)</f>
        <v/>
      </c>
      <c r="KE30">
        <f>KE29*IF(OR($C29=191,$G29=191),0,1)</f>
        <v/>
      </c>
      <c r="KF30">
        <f>KF29*IF(OR($C29=192,$G29=192),0,1)</f>
        <v/>
      </c>
      <c r="KG30">
        <f>KG29*IF(OR($C29=193,$G29=193),0,1)</f>
        <v/>
      </c>
      <c r="KH30">
        <f>KH29*IF(OR($C29=194,$G29=194),0,1)</f>
        <v/>
      </c>
      <c r="KI30">
        <f>KI29*IF(OR($C29=195,$G29=195),0,1)</f>
        <v/>
      </c>
      <c r="KJ30">
        <f>KJ29*IF(OR($C29=196,$G29=196),0,1)</f>
        <v/>
      </c>
      <c r="KK30">
        <f>KK29*IF(OR($C29=197,$G29=197),0,1)</f>
        <v/>
      </c>
      <c r="KL30">
        <f>KL29*IF(OR($C29=198,$G29=198),0,1)</f>
        <v/>
      </c>
      <c r="KM30">
        <f>KM29*IF(OR($C29=199,$G29=199),0,1)</f>
        <v/>
      </c>
      <c r="KN30">
        <f>KN29*IF(OR($C29=200,$G29=200),0,1)</f>
        <v/>
      </c>
      <c r="KO30">
        <f>KO29*IF(OR($C29=201,$G29=201),0,1)</f>
        <v/>
      </c>
      <c r="KP30">
        <f>KP29*IF(OR($C29=202,$G29=202),0,1)</f>
        <v/>
      </c>
      <c r="KQ30">
        <f>KQ29*IF(OR($C29=203,$G29=203),0,1)</f>
        <v/>
      </c>
      <c r="KR30">
        <f>KR29*IF(OR($C29=204,$G29=204),0,1)</f>
        <v/>
      </c>
      <c r="KS30">
        <f>KS29*IF(OR($C29=205,$G29=205),0,1)</f>
        <v/>
      </c>
      <c r="KT30">
        <f>KT29*IF(OR($C29=206,$G29=206),0,1)</f>
        <v/>
      </c>
      <c r="KU30">
        <f>KU29*IF(OR($C29=207,$G29=207),0,1)</f>
        <v/>
      </c>
      <c r="KV30">
        <f>KV29*IF(OR($C29=208,$G29=208),0,1)</f>
        <v/>
      </c>
      <c r="KW30">
        <f>KW29*IF(OR($C29=209,$G29=209),0,1)</f>
        <v/>
      </c>
      <c r="KX30">
        <f>KX29*IF(OR($C29=210,$G29=210),0,1)</f>
        <v/>
      </c>
      <c r="KY30">
        <f>KY29*IF(OR($C29=211,$G29=211),0,1)</f>
        <v/>
      </c>
      <c r="KZ30">
        <f>KZ29*IF(OR($C29=212,$G29=212),0,1)</f>
        <v/>
      </c>
      <c r="LA30">
        <f>LA29*IF(OR($C29=213,$G29=213),0,1)</f>
        <v/>
      </c>
      <c r="LB30">
        <f>LB29*IF(OR($C29=214,$G29=214),0,1)</f>
        <v/>
      </c>
      <c r="LC30">
        <f>LC29*IF(OR($C29=215,$G29=215),0,1)</f>
        <v/>
      </c>
      <c r="LD30">
        <f>LD29*IF(OR($C29=216,$G29=216),0,1)</f>
        <v/>
      </c>
      <c r="LE30">
        <f>LE29*IF(OR($C29=217,$G29=217),0,1)</f>
        <v/>
      </c>
      <c r="LF30">
        <f>LF29*IF(OR($C29=218,$G29=218),0,1)</f>
        <v/>
      </c>
      <c r="LG30">
        <f>LG29*IF(OR($C29=219,$G29=219),0,1)</f>
        <v/>
      </c>
      <c r="LH30">
        <f>LH29*IF(OR($C29=220,$G29=220),0,1)</f>
        <v/>
      </c>
      <c r="LI30">
        <f>LI29*IF(OR($C29=221,$G29=221),0,1)</f>
        <v/>
      </c>
      <c r="LJ30">
        <f>LJ29*IF(OR($C29=222,$G29=222),0,1)</f>
        <v/>
      </c>
      <c r="LK30">
        <f>LK29*IF(OR($C29=223,$G29=223),0,1)</f>
        <v/>
      </c>
      <c r="LL30">
        <f>LL29*IF(OR($C29=224,$G29=224),0,1)</f>
        <v/>
      </c>
      <c r="LM30">
        <f>LM29*IF(OR($C29=225,$G29=225),0,1)</f>
        <v/>
      </c>
      <c r="LN30">
        <f>LN29*IF(OR($C29=226,$G29=226),0,1)</f>
        <v/>
      </c>
      <c r="LO30">
        <f>LO29*IF(OR($C29=227,$G29=227),0,1)</f>
        <v/>
      </c>
      <c r="LP30">
        <f>LP29*IF(OR($C29=228,$G29=228),0,1)</f>
        <v/>
      </c>
      <c r="LQ30">
        <f>LQ29*IF(OR($C29=229,$G29=229),0,1)</f>
        <v/>
      </c>
      <c r="LR30">
        <f>LR29*IF(OR($C29=230,$G29=230),0,1)</f>
        <v/>
      </c>
      <c r="LS30">
        <f>LS29*IF(OR($C29=231,$G29=231),0,1)</f>
        <v/>
      </c>
      <c r="LT30">
        <f>LT29*IF(OR($C29=232,$G29=232),0,1)</f>
        <v/>
      </c>
      <c r="LU30">
        <f>LU29*IF(OR($C29=233,$G29=233),0,1)</f>
        <v/>
      </c>
      <c r="LV30">
        <f>LV29*IF(OR($C29=234,$G29=234),0,1)</f>
        <v/>
      </c>
      <c r="LW30">
        <f>LW29*IF(OR($C29=235,$G29=235),0,1)</f>
        <v/>
      </c>
      <c r="LX30">
        <f>LX29*IF(OR($C29=236,$G29=236),0,1)</f>
        <v/>
      </c>
      <c r="LY30">
        <f>LY29*IF(OR($C29=237,$G29=237),0,1)</f>
        <v/>
      </c>
      <c r="LZ30">
        <f>LZ29*IF(OR($C29=238,$G29=238),0,1)</f>
        <v/>
      </c>
      <c r="MA30">
        <f>MA29*IF(OR($C29=239,$G29=239),0,1)</f>
        <v/>
      </c>
      <c r="MB30">
        <f>MB29*IF(OR($C29=240,$G29=240),0,1)</f>
        <v/>
      </c>
      <c r="MD30">
        <f>IF('計算A'!D$106=1,CX30,1)</f>
        <v/>
      </c>
      <c r="ME30">
        <f>IF('計算A'!E$106=1,CY30,1)</f>
        <v/>
      </c>
      <c r="MF30">
        <f>IF('計算A'!F$106=1,CZ30,1)</f>
        <v/>
      </c>
      <c r="MG30">
        <f>IF('計算A'!G$106=1,DA30,1)</f>
        <v/>
      </c>
      <c r="MH30">
        <f>IF('計算A'!H$106=1,DB30,1)</f>
        <v/>
      </c>
      <c r="MI30">
        <f>IF('計算A'!I$106=1,DC30,1)</f>
        <v/>
      </c>
      <c r="MJ30">
        <f>IF('計算A'!J$106=1,DD30,1)</f>
        <v/>
      </c>
      <c r="MK30">
        <f>IF('計算A'!K$106=1,DE30,1)</f>
        <v/>
      </c>
      <c r="ML30">
        <f>IF('計算A'!L$106=1,DF30,1)</f>
        <v/>
      </c>
      <c r="MM30">
        <f>IF('計算A'!M$106=1,DG30,1)</f>
        <v/>
      </c>
      <c r="MN30">
        <f>IF('計算A'!N$106=1,DH30,1)</f>
        <v/>
      </c>
      <c r="MO30">
        <f>IF('計算A'!O$106=1,DI30,1)</f>
        <v/>
      </c>
      <c r="MP30">
        <f>IF('計算A'!P$106=1,DJ30,1)</f>
        <v/>
      </c>
      <c r="MQ30">
        <f>IF('計算A'!Q$106=1,DK30,1)</f>
        <v/>
      </c>
      <c r="MR30">
        <f>IF('計算A'!R$106=1,DL30,1)</f>
        <v/>
      </c>
      <c r="MS30">
        <f>IF('計算A'!S$106=1,DM30,1)</f>
        <v/>
      </c>
      <c r="MT30">
        <f>IF('計算A'!T$106=1,DN30,1)</f>
        <v/>
      </c>
      <c r="MU30">
        <f>IF('計算A'!U$106=1,DO30,1)</f>
        <v/>
      </c>
      <c r="MV30">
        <f>IF('計算A'!V$106=1,DP30,1)</f>
        <v/>
      </c>
      <c r="MW30">
        <f>IF('計算A'!W$106=1,DQ30,1)</f>
        <v/>
      </c>
      <c r="MX30">
        <f>IF('計算A'!X$106=1,DR30,1)</f>
        <v/>
      </c>
      <c r="MY30">
        <f>IF('計算A'!Y$106=1,DS30,1)</f>
        <v/>
      </c>
      <c r="MZ30">
        <f>IF('計算A'!Z$106=1,DT30,1)</f>
        <v/>
      </c>
      <c r="NA30">
        <f>IF('計算A'!AA$106=1,DU30,1)</f>
        <v/>
      </c>
      <c r="NB30">
        <f>IF('計算A'!AB$106=1,DV30,1)</f>
        <v/>
      </c>
      <c r="NC30">
        <f>IF('計算A'!AC$106=1,DW30,1)</f>
        <v/>
      </c>
      <c r="ND30">
        <f>IF('計算A'!AD$106=1,DX30,1)</f>
        <v/>
      </c>
      <c r="NE30">
        <f>IF('計算A'!AE$106=1,DY30,1)</f>
        <v/>
      </c>
      <c r="NF30">
        <f>IF('計算A'!AF$106=1,DZ30,1)</f>
        <v/>
      </c>
      <c r="NG30">
        <f>IF('計算A'!AG$106=1,EA30,1)</f>
        <v/>
      </c>
      <c r="NH30">
        <f>IF('計算A'!AH$106=1,EB30,1)</f>
        <v/>
      </c>
      <c r="NI30">
        <f>IF('計算A'!AI$106=1,EC30,1)</f>
        <v/>
      </c>
      <c r="NJ30">
        <f>IF('計算A'!AJ$106=1,ED30,1)</f>
        <v/>
      </c>
      <c r="NK30">
        <f>IF('計算A'!AK$106=1,EE30,1)</f>
        <v/>
      </c>
      <c r="NL30">
        <f>IF('計算A'!AL$106=1,EF30,1)</f>
        <v/>
      </c>
      <c r="NM30">
        <f>IF('計算A'!AM$106=1,EG30,1)</f>
        <v/>
      </c>
      <c r="NN30">
        <f>IF('計算A'!AN$106=1,EH30,1)</f>
        <v/>
      </c>
      <c r="NO30">
        <f>IF('計算A'!AO$106=1,EI30,1)</f>
        <v/>
      </c>
      <c r="NP30">
        <f>IF('計算A'!AP$106=1,EJ30,1)</f>
        <v/>
      </c>
      <c r="NQ30">
        <f>IF('計算A'!AQ$106=1,EK30,1)</f>
        <v/>
      </c>
      <c r="NR30">
        <f>IF('計算A'!AR$106=1,EL30,1)</f>
        <v/>
      </c>
      <c r="NS30">
        <f>IF('計算A'!AS$106=1,EM30,1)</f>
        <v/>
      </c>
      <c r="NT30">
        <f>IF('計算A'!AT$106=1,EN30,1)</f>
        <v/>
      </c>
      <c r="NU30">
        <f>IF('計算A'!AU$106=1,EO30,1)</f>
        <v/>
      </c>
      <c r="NV30">
        <f>IF('計算A'!AV$106=1,EP30,1)</f>
        <v/>
      </c>
      <c r="NW30">
        <f>IF('計算A'!AW$106=1,EQ30,1)</f>
        <v/>
      </c>
      <c r="NX30">
        <f>IF('計算A'!AX$106=1,ER30,1)</f>
        <v/>
      </c>
      <c r="NY30">
        <f>IF('計算A'!AY$106=1,ES30,1)</f>
        <v/>
      </c>
      <c r="NZ30">
        <f>IF('計算A'!AZ$106=1,ET30,1)</f>
        <v/>
      </c>
      <c r="OA30">
        <f>IF('計算A'!BA$106=1,EU30,1)</f>
        <v/>
      </c>
      <c r="OB30">
        <f>IF('計算A'!BB$106=1,EV30,1)</f>
        <v/>
      </c>
      <c r="OC30">
        <f>IF('計算A'!BC$106=1,EW30,1)</f>
        <v/>
      </c>
      <c r="OD30">
        <f>IF('計算A'!BD$106=1,EX30,1)</f>
        <v/>
      </c>
      <c r="OE30">
        <f>IF('計算A'!BE$106=1,EY30,1)</f>
        <v/>
      </c>
      <c r="OF30">
        <f>IF('計算A'!BF$106=1,EZ30,1)</f>
        <v/>
      </c>
      <c r="OG30">
        <f>IF('計算A'!BG$106=1,FA30,1)</f>
        <v/>
      </c>
      <c r="OH30">
        <f>IF('計算A'!BH$106=1,FB30,1)</f>
        <v/>
      </c>
      <c r="OI30">
        <f>IF('計算A'!BI$106=1,FC30,1)</f>
        <v/>
      </c>
      <c r="OJ30">
        <f>IF('計算A'!BJ$106=1,FD30,1)</f>
        <v/>
      </c>
      <c r="OK30">
        <f>IF('計算A'!BK$106=1,FE30,1)</f>
        <v/>
      </c>
      <c r="OL30">
        <f>IF('計算A'!BL$106=1,FF30,1)</f>
        <v/>
      </c>
      <c r="OM30">
        <f>IF('計算A'!BM$106=1,FG30,1)</f>
        <v/>
      </c>
      <c r="ON30">
        <f>IF('計算A'!BN$106=1,FH30,1)</f>
        <v/>
      </c>
      <c r="OO30">
        <f>IF('計算A'!BO$106=1,FI30,1)</f>
        <v/>
      </c>
      <c r="OP30">
        <f>IF('計算A'!BP$106=1,FJ30,1)</f>
        <v/>
      </c>
      <c r="OQ30">
        <f>IF('計算A'!BQ$106=1,FK30,1)</f>
        <v/>
      </c>
      <c r="OR30">
        <f>IF('計算A'!BR$106=1,FL30,1)</f>
        <v/>
      </c>
      <c r="OS30">
        <f>IF('計算A'!BS$106=1,FM30,1)</f>
        <v/>
      </c>
      <c r="OT30">
        <f>IF('計算A'!BT$106=1,FN30,1)</f>
        <v/>
      </c>
      <c r="OU30">
        <f>IF('計算A'!BU$106=1,FO30,1)</f>
        <v/>
      </c>
      <c r="OV30">
        <f>IF('計算A'!BV$106=1,FP30,1)</f>
        <v/>
      </c>
      <c r="OW30">
        <f>IF('計算A'!BW$106=1,FQ30,1)</f>
        <v/>
      </c>
      <c r="OX30">
        <f>IF('計算A'!BX$106=1,FR30,1)</f>
        <v/>
      </c>
      <c r="OY30">
        <f>IF('計算A'!BY$106=1,FS30,1)</f>
        <v/>
      </c>
      <c r="OZ30">
        <f>IF('計算A'!BZ$106=1,FT30,1)</f>
        <v/>
      </c>
      <c r="PA30">
        <f>IF('計算A'!CA$106=1,FU30,1)</f>
        <v/>
      </c>
      <c r="PB30">
        <f>IF('計算A'!CB$106=1,FV30,1)</f>
        <v/>
      </c>
      <c r="PC30">
        <f>IF('計算A'!CC$106=1,FW30,1)</f>
        <v/>
      </c>
      <c r="PD30">
        <f>IF('計算A'!CD$106=1,FX30,1)</f>
        <v/>
      </c>
      <c r="PE30">
        <f>IF('計算A'!CE$106=1,FY30,1)</f>
        <v/>
      </c>
      <c r="PF30">
        <f>IF('計算A'!CF$106=1,FZ30,1)</f>
        <v/>
      </c>
      <c r="PG30">
        <f>IF('計算A'!CG$106=1,GA30,1)</f>
        <v/>
      </c>
      <c r="PH30">
        <f>IF('計算A'!CH$106=1,GB30,1)</f>
        <v/>
      </c>
      <c r="PI30">
        <f>IF('計算A'!CI$106=1,GC30,1)</f>
        <v/>
      </c>
      <c r="PJ30">
        <f>IF('計算A'!CJ$106=1,GD30,1)</f>
        <v/>
      </c>
      <c r="PK30">
        <f>IF('計算A'!CK$106=1,GE30,1)</f>
        <v/>
      </c>
      <c r="PL30">
        <f>IF('計算A'!CL$106=1,GF30,1)</f>
        <v/>
      </c>
      <c r="PM30">
        <f>IF('計算A'!CM$106=1,GG30,1)</f>
        <v/>
      </c>
      <c r="PN30">
        <f>IF('計算A'!CN$106=1,GH30,1)</f>
        <v/>
      </c>
      <c r="PO30">
        <f>IF('計算A'!CO$106=1,GI30,1)</f>
        <v/>
      </c>
      <c r="PP30">
        <f>IF('計算A'!CP$106=1,GJ30,1)</f>
        <v/>
      </c>
      <c r="PQ30">
        <f>IF('計算A'!CQ$106=1,GK30,1)</f>
        <v/>
      </c>
      <c r="PR30">
        <f>IF('計算A'!CR$106=1,GL30,1)</f>
        <v/>
      </c>
      <c r="PS30">
        <f>IF('計算A'!CS$106=1,GM30,1)</f>
        <v/>
      </c>
      <c r="PT30">
        <f>IF('計算A'!CT$106=1,GN30,1)</f>
        <v/>
      </c>
      <c r="PU30">
        <f>IF('計算A'!CU$106=1,GO30,1)</f>
        <v/>
      </c>
      <c r="PV30">
        <f>IF('計算A'!CV$106=1,GP30,1)</f>
        <v/>
      </c>
      <c r="PW30">
        <f>IF('計算A'!CW$106=1,GQ30,1)</f>
        <v/>
      </c>
      <c r="PX30">
        <f>IF('計算A'!CX$106=1,GR30,1)</f>
        <v/>
      </c>
      <c r="PY30">
        <f>IF('計算A'!CY$106=1,GS30,1)</f>
        <v/>
      </c>
      <c r="PZ30">
        <f>IF('計算A'!CZ$106=1,GT30,1)</f>
        <v/>
      </c>
      <c r="QA30">
        <f>IF('計算A'!DA$106=1,GU30,1)</f>
        <v/>
      </c>
      <c r="QB30">
        <f>IF('計算A'!DB$106=1,GV30,1)</f>
        <v/>
      </c>
      <c r="QC30">
        <f>IF('計算A'!DC$106=1,GW30,1)</f>
        <v/>
      </c>
      <c r="QD30">
        <f>IF('計算A'!DD$106=1,GX30,1)</f>
        <v/>
      </c>
      <c r="QE30">
        <f>IF('計算A'!DE$106=1,GY30,1)</f>
        <v/>
      </c>
      <c r="QF30">
        <f>IF('計算A'!DF$106=1,GZ30,1)</f>
        <v/>
      </c>
      <c r="QG30">
        <f>IF('計算A'!DG$106=1,HA30,1)</f>
        <v/>
      </c>
      <c r="QH30">
        <f>IF('計算A'!DH$106=1,HB30,1)</f>
        <v/>
      </c>
      <c r="QI30">
        <f>IF('計算A'!DI$106=1,HC30,1)</f>
        <v/>
      </c>
      <c r="QJ30">
        <f>IF('計算A'!DJ$106=1,HD30,1)</f>
        <v/>
      </c>
      <c r="QK30">
        <f>IF('計算A'!DK$106=1,HE30,1)</f>
        <v/>
      </c>
      <c r="QL30">
        <f>IF('計算A'!DL$106=1,HF30,1)</f>
        <v/>
      </c>
      <c r="QM30">
        <f>IF('計算A'!DM$106=1,HG30,1)</f>
        <v/>
      </c>
      <c r="QN30">
        <f>IF('計算A'!DN$106=1,HH30,1)</f>
        <v/>
      </c>
      <c r="QO30">
        <f>IF('計算A'!DO$106=1,HI30,1)</f>
        <v/>
      </c>
      <c r="QP30">
        <f>IF('計算A'!DP$106=1,HJ30,1)</f>
        <v/>
      </c>
      <c r="QQ30">
        <f>IF('計算A'!DQ$106=1,HK30,1)</f>
        <v/>
      </c>
      <c r="QR30">
        <f>IF('計算A'!DR$106=1,HL30,1)</f>
        <v/>
      </c>
      <c r="QS30">
        <f>IF('計算A'!DS$106=1,HM30,1)</f>
        <v/>
      </c>
      <c r="QT30">
        <f>IF('計算A'!DT$106=1,HN30,1)</f>
        <v/>
      </c>
      <c r="QU30">
        <f>IF('計算A'!DU$106=1,HO30,1)</f>
        <v/>
      </c>
      <c r="QV30">
        <f>IF('計算A'!DV$106=1,HP30,1)</f>
        <v/>
      </c>
      <c r="QW30">
        <f>IF('計算A'!DW$106=1,HQ30,1)</f>
        <v/>
      </c>
      <c r="QX30">
        <f>IF('計算A'!DX$106=1,HR30,1)</f>
        <v/>
      </c>
      <c r="QY30">
        <f>IF('計算A'!DY$106=1,HS30,1)</f>
        <v/>
      </c>
      <c r="QZ30">
        <f>IF('計算A'!DZ$106=1,HT30,1)</f>
        <v/>
      </c>
      <c r="RA30">
        <f>IF('計算A'!EA$106=1,HU30,1)</f>
        <v/>
      </c>
      <c r="RB30">
        <f>IF('計算A'!EB$106=1,HV30,1)</f>
        <v/>
      </c>
      <c r="RC30">
        <f>IF('計算A'!EC$106=1,HW30,1)</f>
        <v/>
      </c>
      <c r="RD30">
        <f>IF('計算A'!ED$106=1,HX30,1)</f>
        <v/>
      </c>
      <c r="RE30">
        <f>IF('計算A'!EE$106=1,HY30,1)</f>
        <v/>
      </c>
      <c r="RF30">
        <f>IF('計算A'!EF$106=1,HZ30,1)</f>
        <v/>
      </c>
      <c r="RG30">
        <f>IF('計算A'!EG$106=1,IA30,1)</f>
        <v/>
      </c>
      <c r="RH30">
        <f>IF('計算A'!EH$106=1,IB30,1)</f>
        <v/>
      </c>
      <c r="RI30">
        <f>IF('計算A'!EI$106=1,IC30,1)</f>
        <v/>
      </c>
      <c r="RJ30">
        <f>IF('計算A'!EJ$106=1,ID30,1)</f>
        <v/>
      </c>
      <c r="RK30">
        <f>IF('計算A'!EK$106=1,IE30,1)</f>
        <v/>
      </c>
      <c r="RL30">
        <f>IF('計算A'!EL$106=1,IF30,1)</f>
        <v/>
      </c>
      <c r="RM30">
        <f>IF('計算A'!EM$106=1,IG30,1)</f>
        <v/>
      </c>
      <c r="RN30">
        <f>IF('計算A'!EN$106=1,IH30,1)</f>
        <v/>
      </c>
      <c r="RO30">
        <f>IF('計算A'!EO$106=1,II30,1)</f>
        <v/>
      </c>
      <c r="RP30">
        <f>IF('計算A'!EP$106=1,IJ30,1)</f>
        <v/>
      </c>
      <c r="RQ30">
        <f>IF('計算A'!EQ$106=1,IK30,1)</f>
        <v/>
      </c>
      <c r="RR30">
        <f>IF('計算A'!ER$106=1,IL30,1)</f>
        <v/>
      </c>
      <c r="RS30">
        <f>IF('計算A'!ES$106=1,IM30,1)</f>
        <v/>
      </c>
      <c r="RT30">
        <f>IF('計算A'!ET$106=1,IN30,1)</f>
        <v/>
      </c>
      <c r="RU30">
        <f>IF('計算A'!EU$106=1,IO30,1)</f>
        <v/>
      </c>
      <c r="RV30">
        <f>IF('計算A'!EV$106=1,IP30,1)</f>
        <v/>
      </c>
      <c r="RW30">
        <f>IF('計算A'!EW$106=1,IQ30,1)</f>
        <v/>
      </c>
      <c r="RX30">
        <f>IF('計算A'!EX$106=1,IR30,1)</f>
        <v/>
      </c>
      <c r="RY30">
        <f>IF('計算A'!EY$106=1,IS30,1)</f>
        <v/>
      </c>
      <c r="RZ30">
        <f>IF('計算A'!EZ$106=1,IT30,1)</f>
        <v/>
      </c>
      <c r="SA30">
        <f>IF('計算A'!FA$106=1,IU30,1)</f>
        <v/>
      </c>
      <c r="SB30">
        <f>IF('計算A'!FB$106=1,IV30,1)</f>
        <v/>
      </c>
      <c r="SC30">
        <f>IF('計算A'!FC$106=1,IW30,1)</f>
        <v/>
      </c>
      <c r="SD30">
        <f>IF('計算A'!FD$106=1,IX30,1)</f>
        <v/>
      </c>
      <c r="SE30">
        <f>IF('計算A'!FE$106=1,IY30,1)</f>
        <v/>
      </c>
      <c r="SF30">
        <f>IF('計算A'!FF$106=1,IZ30,1)</f>
        <v/>
      </c>
      <c r="SG30">
        <f>IF('計算A'!FG$106=1,JA30,1)</f>
        <v/>
      </c>
      <c r="SH30">
        <f>IF('計算A'!FH$106=1,JB30,1)</f>
        <v/>
      </c>
      <c r="SI30">
        <f>IF('計算A'!FI$106=1,JC30,1)</f>
        <v/>
      </c>
      <c r="SJ30">
        <f>IF('計算A'!FJ$106=1,JD30,1)</f>
        <v/>
      </c>
      <c r="SK30">
        <f>IF('計算A'!FK$106=1,JE30,1)</f>
        <v/>
      </c>
      <c r="SL30">
        <f>IF('計算A'!FL$106=1,JF30,1)</f>
        <v/>
      </c>
      <c r="SM30">
        <f>IF('計算A'!FM$106=1,JG30,1)</f>
        <v/>
      </c>
      <c r="SN30">
        <f>IF('計算A'!FN$106=1,JH30,1)</f>
        <v/>
      </c>
      <c r="SO30">
        <f>IF('計算A'!FO$106=1,JI30,1)</f>
        <v/>
      </c>
      <c r="SP30">
        <f>IF('計算A'!FP$106=1,JJ30,1)</f>
        <v/>
      </c>
      <c r="SQ30">
        <f>IF('計算A'!FQ$106=1,JK30,1)</f>
        <v/>
      </c>
      <c r="SR30">
        <f>IF('計算A'!FR$106=1,JL30,1)</f>
        <v/>
      </c>
      <c r="SS30">
        <f>IF('計算A'!FS$106=1,JM30,1)</f>
        <v/>
      </c>
      <c r="ST30">
        <f>IF('計算A'!FT$106=1,JN30,1)</f>
        <v/>
      </c>
      <c r="SU30">
        <f>IF('計算A'!FU$106=1,JO30,1)</f>
        <v/>
      </c>
      <c r="SV30">
        <f>IF('計算A'!FV$106=1,JP30,1)</f>
        <v/>
      </c>
      <c r="SW30">
        <f>IF('計算A'!FW$106=1,JQ30,1)</f>
        <v/>
      </c>
      <c r="SX30">
        <f>IF('計算A'!FX$106=1,JR30,1)</f>
        <v/>
      </c>
      <c r="SY30">
        <f>IF('計算A'!FY$106=1,JS30,1)</f>
        <v/>
      </c>
      <c r="SZ30">
        <f>IF('計算A'!FZ$106=1,JT30,1)</f>
        <v/>
      </c>
      <c r="TA30">
        <f>IF('計算A'!GA$106=1,JU30,1)</f>
        <v/>
      </c>
      <c r="TB30">
        <f>IF('計算A'!GB$106=1,JV30,1)</f>
        <v/>
      </c>
      <c r="TC30">
        <f>IF('計算A'!GC$106=1,JW30,1)</f>
        <v/>
      </c>
      <c r="TD30">
        <f>IF('計算A'!GD$106=1,JX30,1)</f>
        <v/>
      </c>
      <c r="TE30">
        <f>IF('計算A'!GE$106=1,JY30,1)</f>
        <v/>
      </c>
      <c r="TF30">
        <f>IF('計算A'!GF$106=1,JZ30,1)</f>
        <v/>
      </c>
      <c r="TG30">
        <f>IF('計算A'!GG$106=1,KA30,1)</f>
        <v/>
      </c>
      <c r="TH30">
        <f>IF('計算A'!GH$106=1,KB30,1)</f>
        <v/>
      </c>
      <c r="TI30">
        <f>IF('計算A'!GI$106=1,KC30,1)</f>
        <v/>
      </c>
      <c r="TJ30">
        <f>IF('計算A'!GJ$106=1,KD30,1)</f>
        <v/>
      </c>
      <c r="TK30">
        <f>IF('計算A'!GK$106=1,KE30,1)</f>
        <v/>
      </c>
      <c r="TL30">
        <f>IF('計算A'!GL$106=1,KF30,1)</f>
        <v/>
      </c>
      <c r="TM30">
        <f>IF('計算A'!GM$106=1,KG30,1)</f>
        <v/>
      </c>
      <c r="TN30">
        <f>IF('計算A'!GN$106=1,KH30,1)</f>
        <v/>
      </c>
      <c r="TO30">
        <f>IF('計算A'!GO$106=1,KI30,1)</f>
        <v/>
      </c>
      <c r="TP30">
        <f>IF('計算A'!GP$106=1,KJ30,1)</f>
        <v/>
      </c>
      <c r="TQ30">
        <f>IF('計算A'!GQ$106=1,KK30,1)</f>
        <v/>
      </c>
      <c r="TR30">
        <f>IF('計算A'!GR$106=1,KL30,1)</f>
        <v/>
      </c>
      <c r="TS30">
        <f>IF('計算A'!GS$106=1,KM30,1)</f>
        <v/>
      </c>
      <c r="TT30">
        <f>IF('計算A'!GT$106=1,KN30,1)</f>
        <v/>
      </c>
      <c r="TU30">
        <f>IF('計算A'!GU$106=1,KO30,1)</f>
        <v/>
      </c>
      <c r="TV30">
        <f>IF('計算A'!GV$106=1,KP30,1)</f>
        <v/>
      </c>
      <c r="TW30">
        <f>IF('計算A'!GW$106=1,KQ30,1)</f>
        <v/>
      </c>
      <c r="TX30">
        <f>IF('計算A'!GX$106=1,KR30,1)</f>
        <v/>
      </c>
      <c r="TY30">
        <f>IF('計算A'!GY$106=1,KS30,1)</f>
        <v/>
      </c>
      <c r="TZ30">
        <f>IF('計算A'!GZ$106=1,KT30,1)</f>
        <v/>
      </c>
      <c r="UA30">
        <f>IF('計算A'!HA$106=1,KU30,1)</f>
        <v/>
      </c>
      <c r="UB30">
        <f>IF('計算A'!HB$106=1,KV30,1)</f>
        <v/>
      </c>
      <c r="UC30">
        <f>IF('計算A'!HC$106=1,KW30,1)</f>
        <v/>
      </c>
      <c r="UD30">
        <f>IF('計算A'!HD$106=1,KX30,1)</f>
        <v/>
      </c>
      <c r="UE30">
        <f>IF('計算A'!HE$106=1,KY30,1)</f>
        <v/>
      </c>
      <c r="UF30">
        <f>IF('計算A'!HF$106=1,KZ30,1)</f>
        <v/>
      </c>
      <c r="UG30">
        <f>IF('計算A'!HG$106=1,LA30,1)</f>
        <v/>
      </c>
      <c r="UH30">
        <f>IF('計算A'!HH$106=1,LB30,1)</f>
        <v/>
      </c>
      <c r="UI30">
        <f>IF('計算A'!HI$106=1,LC30,1)</f>
        <v/>
      </c>
      <c r="UJ30">
        <f>IF('計算A'!HJ$106=1,LD30,1)</f>
        <v/>
      </c>
      <c r="UK30">
        <f>IF('計算A'!HK$106=1,LE30,1)</f>
        <v/>
      </c>
      <c r="UL30">
        <f>IF('計算A'!HL$106=1,LF30,1)</f>
        <v/>
      </c>
      <c r="UM30">
        <f>IF('計算A'!HM$106=1,LG30,1)</f>
        <v/>
      </c>
      <c r="UN30">
        <f>IF('計算A'!HN$106=1,LH30,1)</f>
        <v/>
      </c>
      <c r="UO30">
        <f>IF('計算A'!HO$106=1,LI30,1)</f>
        <v/>
      </c>
      <c r="UP30">
        <f>IF('計算A'!HP$106=1,LJ30,1)</f>
        <v/>
      </c>
      <c r="UQ30">
        <f>IF('計算A'!HQ$106=1,LK30,1)</f>
        <v/>
      </c>
      <c r="UR30">
        <f>IF('計算A'!HR$106=1,LL30,1)</f>
        <v/>
      </c>
      <c r="US30">
        <f>IF('計算A'!HS$106=1,LM30,1)</f>
        <v/>
      </c>
      <c r="UT30">
        <f>IF('計算A'!HT$106=1,LN30,1)</f>
        <v/>
      </c>
      <c r="UU30">
        <f>IF('計算A'!HU$106=1,LO30,1)</f>
        <v/>
      </c>
      <c r="UV30">
        <f>IF('計算A'!HV$106=1,LP30,1)</f>
        <v/>
      </c>
      <c r="UW30">
        <f>IF('計算A'!HW$106=1,LQ30,1)</f>
        <v/>
      </c>
      <c r="UX30">
        <f>IF('計算A'!HX$106=1,LR30,1)</f>
        <v/>
      </c>
      <c r="UY30">
        <f>IF('計算A'!HY$106=1,LS30,1)</f>
        <v/>
      </c>
      <c r="UZ30">
        <f>IF('計算A'!HZ$106=1,LT30,1)</f>
        <v/>
      </c>
      <c r="VA30">
        <f>IF('計算A'!IA$106=1,LU30,1)</f>
        <v/>
      </c>
      <c r="VB30">
        <f>IF('計算A'!IB$106=1,LV30,1)</f>
        <v/>
      </c>
      <c r="VC30">
        <f>IF('計算A'!IC$106=1,LW30,1)</f>
        <v/>
      </c>
      <c r="VD30">
        <f>IF('計算A'!ID$106=1,LX30,1)</f>
        <v/>
      </c>
      <c r="VE30">
        <f>IF('計算A'!IE$106=1,LY30,1)</f>
        <v/>
      </c>
      <c r="VF30">
        <f>IF('計算A'!IF$106=1,LZ30,1)</f>
        <v/>
      </c>
      <c r="VG30">
        <f>IF('計算A'!IG$106=1,MA30,1)</f>
        <v/>
      </c>
      <c r="VH30">
        <f>IF('計算A'!IH$106=1,MB30,1)</f>
        <v/>
      </c>
      <c r="VI30" t="n">
        <v>1</v>
      </c>
      <c r="VK30">
        <f>IF($B30=0,1000000,IF(INDEX('計算A'!$D$60:$II$104,$B30,1)*CW30=1,IF(AND($E30=2,MD30=0),1000000,INDEX('計算A'!D$110:D$114,$F30+1)+IF(AND($E30=1,MD30=0),1000,0)),1000000))</f>
        <v/>
      </c>
      <c r="VL30">
        <f>IF($B30=0,1000000,IF(INDEX('計算A'!$D$60:$II$104,$B30,2)*CX30=1,IF(AND($E30=2,ME30=0),1000000,INDEX('計算A'!E$110:E$114,$F30+1)+IF(AND($E30=1,ME30=0),1000,0)),1000000))</f>
        <v/>
      </c>
      <c r="VM30">
        <f>IF($B30=0,1000000,IF(INDEX('計算A'!$D$60:$II$104,$B30,3)*CY30=1,IF(AND($E30=2,MF30=0),1000000,INDEX('計算A'!F$110:F$114,$F30+1)+IF(AND($E30=1,MF30=0),1000,0)),1000000))</f>
        <v/>
      </c>
      <c r="VN30">
        <f>IF($B30=0,1000000,IF(INDEX('計算A'!$D$60:$II$104,$B30,4)*CZ30=1,IF(AND($E30=2,MG30=0),1000000,INDEX('計算A'!G$110:G$114,$F30+1)+IF(AND($E30=1,MG30=0),1000,0)),1000000))</f>
        <v/>
      </c>
      <c r="VO30">
        <f>IF($B30=0,1000000,IF(INDEX('計算A'!$D$60:$II$104,$B30,5)*DA30=1,IF(AND($E30=2,MH30=0),1000000,INDEX('計算A'!H$110:H$114,$F30+1)+IF(AND($E30=1,MH30=0),1000,0)),1000000))</f>
        <v/>
      </c>
      <c r="VP30">
        <f>IF($B30=0,1000000,IF(INDEX('計算A'!$D$60:$II$104,$B30,6)*DB30=1,IF(AND($E30=2,MI30=0),1000000,INDEX('計算A'!I$110:I$114,$F30+1)+IF(AND($E30=1,MI30=0),1000,0)),1000000))</f>
        <v/>
      </c>
      <c r="VQ30">
        <f>IF($B30=0,1000000,IF(INDEX('計算A'!$D$60:$II$104,$B30,7)*DC30=1,IF(AND($E30=2,MJ30=0),1000000,INDEX('計算A'!J$110:J$114,$F30+1)+IF(AND($E30=1,MJ30=0),1000,0)),1000000))</f>
        <v/>
      </c>
      <c r="VR30">
        <f>IF($B30=0,1000000,IF(INDEX('計算A'!$D$60:$II$104,$B30,8)*DD30=1,IF(AND($E30=2,MK30=0),1000000,INDEX('計算A'!K$110:K$114,$F30+1)+IF(AND($E30=1,MK30=0),1000,0)),1000000))</f>
        <v/>
      </c>
      <c r="VS30">
        <f>IF($B30=0,1000000,IF(INDEX('計算A'!$D$60:$II$104,$B30,9)*DE30=1,IF(AND($E30=2,ML30=0),1000000,INDEX('計算A'!L$110:L$114,$F30+1)+IF(AND($E30=1,ML30=0),1000,0)),1000000))</f>
        <v/>
      </c>
      <c r="VT30">
        <f>IF($B30=0,1000000,IF(INDEX('計算A'!$D$60:$II$104,$B30,10)*DF30=1,IF(AND($E30=2,MM30=0),1000000,INDEX('計算A'!M$110:M$114,$F30+1)+IF(AND($E30=1,MM30=0),1000,0)),1000000))</f>
        <v/>
      </c>
      <c r="VU30">
        <f>IF($B30=0,1000000,IF(INDEX('計算A'!$D$60:$II$104,$B30,11)*DG30=1,IF(AND($E30=2,MN30=0),1000000,INDEX('計算A'!N$110:N$114,$F30+1)+IF(AND($E30=1,MN30=0),1000,0)),1000000))</f>
        <v/>
      </c>
      <c r="VV30">
        <f>IF($B30=0,1000000,IF(INDEX('計算A'!$D$60:$II$104,$B30,12)*DH30=1,IF(AND($E30=2,MO30=0),1000000,INDEX('計算A'!O$110:O$114,$F30+1)+IF(AND($E30=1,MO30=0),1000,0)),1000000))</f>
        <v/>
      </c>
      <c r="VW30">
        <f>IF($B30=0,1000000,IF(INDEX('計算A'!$D$60:$II$104,$B30,13)*DI30=1,IF(AND($E30=2,MP30=0),1000000,INDEX('計算A'!P$110:P$114,$F30+1)+IF(AND($E30=1,MP30=0),1000,0)),1000000))</f>
        <v/>
      </c>
      <c r="VX30">
        <f>IF($B30=0,1000000,IF(INDEX('計算A'!$D$60:$II$104,$B30,14)*DJ30=1,IF(AND($E30=2,MQ30=0),1000000,INDEX('計算A'!Q$110:Q$114,$F30+1)+IF(AND($E30=1,MQ30=0),1000,0)),1000000))</f>
        <v/>
      </c>
      <c r="VY30">
        <f>IF($B30=0,1000000,IF(INDEX('計算A'!$D$60:$II$104,$B30,15)*DK30=1,IF(AND($E30=2,MR30=0),1000000,INDEX('計算A'!R$110:R$114,$F30+1)+IF(AND($E30=1,MR30=0),1000,0)),1000000))</f>
        <v/>
      </c>
      <c r="VZ30">
        <f>IF($B30=0,1000000,IF(INDEX('計算A'!$D$60:$II$104,$B30,16)*DL30=1,IF(AND($E30=2,MS30=0),1000000,INDEX('計算A'!S$110:S$114,$F30+1)+IF(AND($E30=1,MS30=0),1000,0)),1000000))</f>
        <v/>
      </c>
      <c r="WA30">
        <f>IF($B30=0,1000000,IF(INDEX('計算A'!$D$60:$II$104,$B30,17)*DM30=1,IF(AND($E30=2,MT30=0),1000000,INDEX('計算A'!T$110:T$114,$F30+1)+IF(AND($E30=1,MT30=0),1000,0)),1000000))</f>
        <v/>
      </c>
      <c r="WB30">
        <f>IF($B30=0,1000000,IF(INDEX('計算A'!$D$60:$II$104,$B30,18)*DN30=1,IF(AND($E30=2,MU30=0),1000000,INDEX('計算A'!U$110:U$114,$F30+1)+IF(AND($E30=1,MU30=0),1000,0)),1000000))</f>
        <v/>
      </c>
      <c r="WC30">
        <f>IF($B30=0,1000000,IF(INDEX('計算A'!$D$60:$II$104,$B30,19)*DO30=1,IF(AND($E30=2,MV30=0),1000000,INDEX('計算A'!V$110:V$114,$F30+1)+IF(AND($E30=1,MV30=0),1000,0)),1000000))</f>
        <v/>
      </c>
      <c r="WD30">
        <f>IF($B30=0,1000000,IF(INDEX('計算A'!$D$60:$II$104,$B30,20)*DP30=1,IF(AND($E30=2,MW30=0),1000000,INDEX('計算A'!W$110:W$114,$F30+1)+IF(AND($E30=1,MW30=0),1000,0)),1000000))</f>
        <v/>
      </c>
      <c r="WE30">
        <f>IF($B30=0,1000000,IF(INDEX('計算A'!$D$60:$II$104,$B30,21)*DQ30=1,IF(AND($E30=2,MX30=0),1000000,INDEX('計算A'!X$110:X$114,$F30+1)+IF(AND($E30=1,MX30=0),1000,0)),1000000))</f>
        <v/>
      </c>
      <c r="WF30">
        <f>IF($B30=0,1000000,IF(INDEX('計算A'!$D$60:$II$104,$B30,22)*DR30=1,IF(AND($E30=2,MY30=0),1000000,INDEX('計算A'!Y$110:Y$114,$F30+1)+IF(AND($E30=1,MY30=0),1000,0)),1000000))</f>
        <v/>
      </c>
      <c r="WG30">
        <f>IF($B30=0,1000000,IF(INDEX('計算A'!$D$60:$II$104,$B30,23)*DS30=1,IF(AND($E30=2,MZ30=0),1000000,INDEX('計算A'!Z$110:Z$114,$F30+1)+IF(AND($E30=1,MZ30=0),1000,0)),1000000))</f>
        <v/>
      </c>
      <c r="WH30">
        <f>IF($B30=0,1000000,IF(INDEX('計算A'!$D$60:$II$104,$B30,24)*DT30=1,IF(AND($E30=2,NA30=0),1000000,INDEX('計算A'!AA$110:AA$114,$F30+1)+IF(AND($E30=1,NA30=0),1000,0)),1000000))</f>
        <v/>
      </c>
      <c r="WI30">
        <f>IF($B30=0,1000000,IF(INDEX('計算A'!$D$60:$II$104,$B30,25)*DU30=1,IF(AND($E30=2,NB30=0),1000000,INDEX('計算A'!AB$110:AB$114,$F30+1)+IF(AND($E30=1,NB30=0),1000,0)),1000000))</f>
        <v/>
      </c>
      <c r="WJ30">
        <f>IF($B30=0,1000000,IF(INDEX('計算A'!$D$60:$II$104,$B30,26)*DV30=1,IF(AND($E30=2,NC30=0),1000000,INDEX('計算A'!AC$110:AC$114,$F30+1)+IF(AND($E30=1,NC30=0),1000,0)),1000000))</f>
        <v/>
      </c>
      <c r="WK30">
        <f>IF($B30=0,1000000,IF(INDEX('計算A'!$D$60:$II$104,$B30,27)*DW30=1,IF(AND($E30=2,ND30=0),1000000,INDEX('計算A'!AD$110:AD$114,$F30+1)+IF(AND($E30=1,ND30=0),1000,0)),1000000))</f>
        <v/>
      </c>
      <c r="WL30">
        <f>IF($B30=0,1000000,IF(INDEX('計算A'!$D$60:$II$104,$B30,28)*DX30=1,IF(AND($E30=2,NE30=0),1000000,INDEX('計算A'!AE$110:AE$114,$F30+1)+IF(AND($E30=1,NE30=0),1000,0)),1000000))</f>
        <v/>
      </c>
      <c r="WM30">
        <f>IF($B30=0,1000000,IF(INDEX('計算A'!$D$60:$II$104,$B30,29)*DY30=1,IF(AND($E30=2,NF30=0),1000000,INDEX('計算A'!AF$110:AF$114,$F30+1)+IF(AND($E30=1,NF30=0),1000,0)),1000000))</f>
        <v/>
      </c>
      <c r="WN30">
        <f>IF($B30=0,1000000,IF(INDEX('計算A'!$D$60:$II$104,$B30,30)*DZ30=1,IF(AND($E30=2,NG30=0),1000000,INDEX('計算A'!AG$110:AG$114,$F30+1)+IF(AND($E30=1,NG30=0),1000,0)),1000000))</f>
        <v/>
      </c>
      <c r="WO30">
        <f>IF($B30=0,1000000,IF(INDEX('計算A'!$D$60:$II$104,$B30,31)*EA30=1,IF(AND($E30=2,NH30=0),1000000,INDEX('計算A'!AH$110:AH$114,$F30+1)+IF(AND($E30=1,NH30=0),1000,0)),1000000))</f>
        <v/>
      </c>
      <c r="WP30">
        <f>IF($B30=0,1000000,IF(INDEX('計算A'!$D$60:$II$104,$B30,32)*EB30=1,IF(AND($E30=2,NI30=0),1000000,INDEX('計算A'!AI$110:AI$114,$F30+1)+IF(AND($E30=1,NI30=0),1000,0)),1000000))</f>
        <v/>
      </c>
      <c r="WQ30">
        <f>IF($B30=0,1000000,IF(INDEX('計算A'!$D$60:$II$104,$B30,33)*EC30=1,IF(AND($E30=2,NJ30=0),1000000,INDEX('計算A'!AJ$110:AJ$114,$F30+1)+IF(AND($E30=1,NJ30=0),1000,0)),1000000))</f>
        <v/>
      </c>
      <c r="WR30">
        <f>IF($B30=0,1000000,IF(INDEX('計算A'!$D$60:$II$104,$B30,34)*ED30=1,IF(AND($E30=2,NK30=0),1000000,INDEX('計算A'!AK$110:AK$114,$F30+1)+IF(AND($E30=1,NK30=0),1000,0)),1000000))</f>
        <v/>
      </c>
      <c r="WS30">
        <f>IF($B30=0,1000000,IF(INDEX('計算A'!$D$60:$II$104,$B30,35)*EE30=1,IF(AND($E30=2,NL30=0),1000000,INDEX('計算A'!AL$110:AL$114,$F30+1)+IF(AND($E30=1,NL30=0),1000,0)),1000000))</f>
        <v/>
      </c>
      <c r="WT30">
        <f>IF($B30=0,1000000,IF(INDEX('計算A'!$D$60:$II$104,$B30,36)*EF30=1,IF(AND($E30=2,NM30=0),1000000,INDEX('計算A'!AM$110:AM$114,$F30+1)+IF(AND($E30=1,NM30=0),1000,0)),1000000))</f>
        <v/>
      </c>
      <c r="WU30">
        <f>IF($B30=0,1000000,IF(INDEX('計算A'!$D$60:$II$104,$B30,37)*EG30=1,IF(AND($E30=2,NN30=0),1000000,INDEX('計算A'!AN$110:AN$114,$F30+1)+IF(AND($E30=1,NN30=0),1000,0)),1000000))</f>
        <v/>
      </c>
      <c r="WV30">
        <f>IF($B30=0,1000000,IF(INDEX('計算A'!$D$60:$II$104,$B30,38)*EH30=1,IF(AND($E30=2,NO30=0),1000000,INDEX('計算A'!AO$110:AO$114,$F30+1)+IF(AND($E30=1,NO30=0),1000,0)),1000000))</f>
        <v/>
      </c>
      <c r="WW30">
        <f>IF($B30=0,1000000,IF(INDEX('計算A'!$D$60:$II$104,$B30,39)*EI30=1,IF(AND($E30=2,NP30=0),1000000,INDEX('計算A'!AP$110:AP$114,$F30+1)+IF(AND($E30=1,NP30=0),1000,0)),1000000))</f>
        <v/>
      </c>
      <c r="WX30">
        <f>IF($B30=0,1000000,IF(INDEX('計算A'!$D$60:$II$104,$B30,40)*EJ30=1,IF(AND($E30=2,NQ30=0),1000000,INDEX('計算A'!AQ$110:AQ$114,$F30+1)+IF(AND($E30=1,NQ30=0),1000,0)),1000000))</f>
        <v/>
      </c>
      <c r="WY30">
        <f>IF($B30=0,1000000,IF(INDEX('計算A'!$D$60:$II$104,$B30,41)*EK30=1,IF(AND($E30=2,NR30=0),1000000,INDEX('計算A'!AR$110:AR$114,$F30+1)+IF(AND($E30=1,NR30=0),1000,0)),1000000))</f>
        <v/>
      </c>
      <c r="WZ30">
        <f>IF($B30=0,1000000,IF(INDEX('計算A'!$D$60:$II$104,$B30,42)*EL30=1,IF(AND($E30=2,NS30=0),1000000,INDEX('計算A'!AS$110:AS$114,$F30+1)+IF(AND($E30=1,NS30=0),1000,0)),1000000))</f>
        <v/>
      </c>
      <c r="XA30">
        <f>IF($B30=0,1000000,IF(INDEX('計算A'!$D$60:$II$104,$B30,43)*EM30=1,IF(AND($E30=2,NT30=0),1000000,INDEX('計算A'!AT$110:AT$114,$F30+1)+IF(AND($E30=1,NT30=0),1000,0)),1000000))</f>
        <v/>
      </c>
      <c r="XB30">
        <f>IF($B30=0,1000000,IF(INDEX('計算A'!$D$60:$II$104,$B30,44)*EN30=1,IF(AND($E30=2,NU30=0),1000000,INDEX('計算A'!AU$110:AU$114,$F30+1)+IF(AND($E30=1,NU30=0),1000,0)),1000000))</f>
        <v/>
      </c>
      <c r="XC30">
        <f>IF($B30=0,1000000,IF(INDEX('計算A'!$D$60:$II$104,$B30,45)*EO30=1,IF(AND($E30=2,NV30=0),1000000,INDEX('計算A'!AV$110:AV$114,$F30+1)+IF(AND($E30=1,NV30=0),1000,0)),1000000))</f>
        <v/>
      </c>
      <c r="XD30">
        <f>IF($B30=0,1000000,IF(INDEX('計算A'!$D$60:$II$104,$B30,46)*EP30=1,IF(AND($E30=2,NW30=0),1000000,INDEX('計算A'!AW$110:AW$114,$F30+1)+IF(AND($E30=1,NW30=0),1000,0)),1000000))</f>
        <v/>
      </c>
      <c r="XE30">
        <f>IF($B30=0,1000000,IF(INDEX('計算A'!$D$60:$II$104,$B30,47)*EQ30=1,IF(AND($E30=2,NX30=0),1000000,INDEX('計算A'!AX$110:AX$114,$F30+1)+IF(AND($E30=1,NX30=0),1000,0)),1000000))</f>
        <v/>
      </c>
      <c r="XF30">
        <f>IF($B30=0,1000000,IF(INDEX('計算A'!$D$60:$II$104,$B30,48)*ER30=1,IF(AND($E30=2,NY30=0),1000000,INDEX('計算A'!AY$110:AY$114,$F30+1)+IF(AND($E30=1,NY30=0),1000,0)),1000000))</f>
        <v/>
      </c>
      <c r="XG30">
        <f>IF($B30=0,1000000,IF(INDEX('計算A'!$D$60:$II$104,$B30,49)*ES30=1,IF(AND($E30=2,NZ30=0),1000000,INDEX('計算A'!AZ$110:AZ$114,$F30+1)+IF(AND($E30=1,NZ30=0),1000,0)),1000000))</f>
        <v/>
      </c>
      <c r="XH30">
        <f>IF($B30=0,1000000,IF(INDEX('計算A'!$D$60:$II$104,$B30,50)*ET30=1,IF(AND($E30=2,OA30=0),1000000,INDEX('計算A'!BA$110:BA$114,$F30+1)+IF(AND($E30=1,OA30=0),1000,0)),1000000))</f>
        <v/>
      </c>
      <c r="XI30">
        <f>IF($B30=0,1000000,IF(INDEX('計算A'!$D$60:$II$104,$B30,51)*EU30=1,IF(AND($E30=2,OB30=0),1000000,INDEX('計算A'!BB$110:BB$114,$F30+1)+IF(AND($E30=1,OB30=0),1000,0)),1000000))</f>
        <v/>
      </c>
      <c r="XJ30">
        <f>IF($B30=0,1000000,IF(INDEX('計算A'!$D$60:$II$104,$B30,52)*EV30=1,IF(AND($E30=2,OC30=0),1000000,INDEX('計算A'!BC$110:BC$114,$F30+1)+IF(AND($E30=1,OC30=0),1000,0)),1000000))</f>
        <v/>
      </c>
      <c r="XK30">
        <f>IF($B30=0,1000000,IF(INDEX('計算A'!$D$60:$II$104,$B30,53)*EW30=1,IF(AND($E30=2,OD30=0),1000000,INDEX('計算A'!BD$110:BD$114,$F30+1)+IF(AND($E30=1,OD30=0),1000,0)),1000000))</f>
        <v/>
      </c>
      <c r="XL30">
        <f>IF($B30=0,1000000,IF(INDEX('計算A'!$D$60:$II$104,$B30,54)*EX30=1,IF(AND($E30=2,OE30=0),1000000,INDEX('計算A'!BE$110:BE$114,$F30+1)+IF(AND($E30=1,OE30=0),1000,0)),1000000))</f>
        <v/>
      </c>
      <c r="XM30">
        <f>IF($B30=0,1000000,IF(INDEX('計算A'!$D$60:$II$104,$B30,55)*EY30=1,IF(AND($E30=2,OF30=0),1000000,INDEX('計算A'!BF$110:BF$114,$F30+1)+IF(AND($E30=1,OF30=0),1000,0)),1000000))</f>
        <v/>
      </c>
      <c r="XN30">
        <f>IF($B30=0,1000000,IF(INDEX('計算A'!$D$60:$II$104,$B30,56)*EZ30=1,IF(AND($E30=2,OG30=0),1000000,INDEX('計算A'!BG$110:BG$114,$F30+1)+IF(AND($E30=1,OG30=0),1000,0)),1000000))</f>
        <v/>
      </c>
      <c r="XO30">
        <f>IF($B30=0,1000000,IF(INDEX('計算A'!$D$60:$II$104,$B30,57)*FA30=1,IF(AND($E30=2,OH30=0),1000000,INDEX('計算A'!BH$110:BH$114,$F30+1)+IF(AND($E30=1,OH30=0),1000,0)),1000000))</f>
        <v/>
      </c>
      <c r="XP30">
        <f>IF($B30=0,1000000,IF(INDEX('計算A'!$D$60:$II$104,$B30,58)*FB30=1,IF(AND($E30=2,OI30=0),1000000,INDEX('計算A'!BI$110:BI$114,$F30+1)+IF(AND($E30=1,OI30=0),1000,0)),1000000))</f>
        <v/>
      </c>
      <c r="XQ30">
        <f>IF($B30=0,1000000,IF(INDEX('計算A'!$D$60:$II$104,$B30,59)*FC30=1,IF(AND($E30=2,OJ30=0),1000000,INDEX('計算A'!BJ$110:BJ$114,$F30+1)+IF(AND($E30=1,OJ30=0),1000,0)),1000000))</f>
        <v/>
      </c>
      <c r="XR30">
        <f>IF($B30=0,1000000,IF(INDEX('計算A'!$D$60:$II$104,$B30,60)*FD30=1,IF(AND($E30=2,OK30=0),1000000,INDEX('計算A'!BK$110:BK$114,$F30+1)+IF(AND($E30=1,OK30=0),1000,0)),1000000))</f>
        <v/>
      </c>
      <c r="XS30">
        <f>IF($B30=0,1000000,IF(INDEX('計算A'!$D$60:$II$104,$B30,61)*FE30=1,IF(AND($E30=2,OL30=0),1000000,INDEX('計算A'!BL$110:BL$114,$F30+1)+IF(AND($E30=1,OL30=0),1000,0)),1000000))</f>
        <v/>
      </c>
      <c r="XT30">
        <f>IF($B30=0,1000000,IF(INDEX('計算A'!$D$60:$II$104,$B30,62)*FF30=1,IF(AND($E30=2,OM30=0),1000000,INDEX('計算A'!BM$110:BM$114,$F30+1)+IF(AND($E30=1,OM30=0),1000,0)),1000000))</f>
        <v/>
      </c>
      <c r="XU30">
        <f>IF($B30=0,1000000,IF(INDEX('計算A'!$D$60:$II$104,$B30,63)*FG30=1,IF(AND($E30=2,ON30=0),1000000,INDEX('計算A'!BN$110:BN$114,$F30+1)+IF(AND($E30=1,ON30=0),1000,0)),1000000))</f>
        <v/>
      </c>
      <c r="XV30">
        <f>IF($B30=0,1000000,IF(INDEX('計算A'!$D$60:$II$104,$B30,64)*FH30=1,IF(AND($E30=2,OO30=0),1000000,INDEX('計算A'!BO$110:BO$114,$F30+1)+IF(AND($E30=1,OO30=0),1000,0)),1000000))</f>
        <v/>
      </c>
      <c r="XW30">
        <f>IF($B30=0,1000000,IF(INDEX('計算A'!$D$60:$II$104,$B30,65)*FI30=1,IF(AND($E30=2,OP30=0),1000000,INDEX('計算A'!BP$110:BP$114,$F30+1)+IF(AND($E30=1,OP30=0),1000,0)),1000000))</f>
        <v/>
      </c>
      <c r="XX30">
        <f>IF($B30=0,1000000,IF(INDEX('計算A'!$D$60:$II$104,$B30,66)*FJ30=1,IF(AND($E30=2,OQ30=0),1000000,INDEX('計算A'!BQ$110:BQ$114,$F30+1)+IF(AND($E30=1,OQ30=0),1000,0)),1000000))</f>
        <v/>
      </c>
      <c r="XY30">
        <f>IF($B30=0,1000000,IF(INDEX('計算A'!$D$60:$II$104,$B30,67)*FK30=1,IF(AND($E30=2,OR30=0),1000000,INDEX('計算A'!BR$110:BR$114,$F30+1)+IF(AND($E30=1,OR30=0),1000,0)),1000000))</f>
        <v/>
      </c>
      <c r="XZ30">
        <f>IF($B30=0,1000000,IF(INDEX('計算A'!$D$60:$II$104,$B30,68)*FL30=1,IF(AND($E30=2,OS30=0),1000000,INDEX('計算A'!BS$110:BS$114,$F30+1)+IF(AND($E30=1,OS30=0),1000,0)),1000000))</f>
        <v/>
      </c>
      <c r="YA30">
        <f>IF($B30=0,1000000,IF(INDEX('計算A'!$D$60:$II$104,$B30,69)*FM30=1,IF(AND($E30=2,OT30=0),1000000,INDEX('計算A'!BT$110:BT$114,$F30+1)+IF(AND($E30=1,OT30=0),1000,0)),1000000))</f>
        <v/>
      </c>
      <c r="YB30">
        <f>IF($B30=0,1000000,IF(INDEX('計算A'!$D$60:$II$104,$B30,70)*FN30=1,IF(AND($E30=2,OU30=0),1000000,INDEX('計算A'!BU$110:BU$114,$F30+1)+IF(AND($E30=1,OU30=0),1000,0)),1000000))</f>
        <v/>
      </c>
      <c r="YC30">
        <f>IF($B30=0,1000000,IF(INDEX('計算A'!$D$60:$II$104,$B30,71)*FO30=1,IF(AND($E30=2,OV30=0),1000000,INDEX('計算A'!BV$110:BV$114,$F30+1)+IF(AND($E30=1,OV30=0),1000,0)),1000000))</f>
        <v/>
      </c>
      <c r="YD30">
        <f>IF($B30=0,1000000,IF(INDEX('計算A'!$D$60:$II$104,$B30,72)*FP30=1,IF(AND($E30=2,OW30=0),1000000,INDEX('計算A'!BW$110:BW$114,$F30+1)+IF(AND($E30=1,OW30=0),1000,0)),1000000))</f>
        <v/>
      </c>
      <c r="YE30">
        <f>IF($B30=0,1000000,IF(INDEX('計算A'!$D$60:$II$104,$B30,73)*FQ30=1,IF(AND($E30=2,OX30=0),1000000,INDEX('計算A'!BX$110:BX$114,$F30+1)+IF(AND($E30=1,OX30=0),1000,0)),1000000))</f>
        <v/>
      </c>
      <c r="YF30">
        <f>IF($B30=0,1000000,IF(INDEX('計算A'!$D$60:$II$104,$B30,74)*FR30=1,IF(AND($E30=2,OY30=0),1000000,INDEX('計算A'!BY$110:BY$114,$F30+1)+IF(AND($E30=1,OY30=0),1000,0)),1000000))</f>
        <v/>
      </c>
      <c r="YG30">
        <f>IF($B30=0,1000000,IF(INDEX('計算A'!$D$60:$II$104,$B30,75)*FS30=1,IF(AND($E30=2,OZ30=0),1000000,INDEX('計算A'!BZ$110:BZ$114,$F30+1)+IF(AND($E30=1,OZ30=0),1000,0)),1000000))</f>
        <v/>
      </c>
      <c r="YH30">
        <f>IF($B30=0,1000000,IF(INDEX('計算A'!$D$60:$II$104,$B30,76)*FT30=1,IF(AND($E30=2,PA30=0),1000000,INDEX('計算A'!CA$110:CA$114,$F30+1)+IF(AND($E30=1,PA30=0),1000,0)),1000000))</f>
        <v/>
      </c>
      <c r="YI30">
        <f>IF($B30=0,1000000,IF(INDEX('計算A'!$D$60:$II$104,$B30,77)*FU30=1,IF(AND($E30=2,PB30=0),1000000,INDEX('計算A'!CB$110:CB$114,$F30+1)+IF(AND($E30=1,PB30=0),1000,0)),1000000))</f>
        <v/>
      </c>
      <c r="YJ30">
        <f>IF($B30=0,1000000,IF(INDEX('計算A'!$D$60:$II$104,$B30,78)*FV30=1,IF(AND($E30=2,PC30=0),1000000,INDEX('計算A'!CC$110:CC$114,$F30+1)+IF(AND($E30=1,PC30=0),1000,0)),1000000))</f>
        <v/>
      </c>
      <c r="YK30">
        <f>IF($B30=0,1000000,IF(INDEX('計算A'!$D$60:$II$104,$B30,79)*FW30=1,IF(AND($E30=2,PD30=0),1000000,INDEX('計算A'!CD$110:CD$114,$F30+1)+IF(AND($E30=1,PD30=0),1000,0)),1000000))</f>
        <v/>
      </c>
      <c r="YL30">
        <f>IF($B30=0,1000000,IF(INDEX('計算A'!$D$60:$II$104,$B30,80)*FX30=1,IF(AND($E30=2,PE30=0),1000000,INDEX('計算A'!CE$110:CE$114,$F30+1)+IF(AND($E30=1,PE30=0),1000,0)),1000000))</f>
        <v/>
      </c>
      <c r="YM30">
        <f>IF($B30=0,1000000,IF(INDEX('計算A'!$D$60:$II$104,$B30,81)*FY30=1,IF(AND($E30=2,PF30=0),1000000,INDEX('計算A'!CF$110:CF$114,$F30+1)+IF(AND($E30=1,PF30=0),1000,0)),1000000))</f>
        <v/>
      </c>
      <c r="YN30">
        <f>IF($B30=0,1000000,IF(INDEX('計算A'!$D$60:$II$104,$B30,82)*FZ30=1,IF(AND($E30=2,PG30=0),1000000,INDEX('計算A'!CG$110:CG$114,$F30+1)+IF(AND($E30=1,PG30=0),1000,0)),1000000))</f>
        <v/>
      </c>
      <c r="YO30">
        <f>IF($B30=0,1000000,IF(INDEX('計算A'!$D$60:$II$104,$B30,83)*GA30=1,IF(AND($E30=2,PH30=0),1000000,INDEX('計算A'!CH$110:CH$114,$F30+1)+IF(AND($E30=1,PH30=0),1000,0)),1000000))</f>
        <v/>
      </c>
      <c r="YP30">
        <f>IF($B30=0,1000000,IF(INDEX('計算A'!$D$60:$II$104,$B30,84)*GB30=1,IF(AND($E30=2,PI30=0),1000000,INDEX('計算A'!CI$110:CI$114,$F30+1)+IF(AND($E30=1,PI30=0),1000,0)),1000000))</f>
        <v/>
      </c>
      <c r="YQ30">
        <f>IF($B30=0,1000000,IF(INDEX('計算A'!$D$60:$II$104,$B30,85)*GC30=1,IF(AND($E30=2,PJ30=0),1000000,INDEX('計算A'!CJ$110:CJ$114,$F30+1)+IF(AND($E30=1,PJ30=0),1000,0)),1000000))</f>
        <v/>
      </c>
      <c r="YR30">
        <f>IF($B30=0,1000000,IF(INDEX('計算A'!$D$60:$II$104,$B30,86)*GD30=1,IF(AND($E30=2,PK30=0),1000000,INDEX('計算A'!CK$110:CK$114,$F30+1)+IF(AND($E30=1,PK30=0),1000,0)),1000000))</f>
        <v/>
      </c>
      <c r="YS30">
        <f>IF($B30=0,1000000,IF(INDEX('計算A'!$D$60:$II$104,$B30,87)*GE30=1,IF(AND($E30=2,PL30=0),1000000,INDEX('計算A'!CL$110:CL$114,$F30+1)+IF(AND($E30=1,PL30=0),1000,0)),1000000))</f>
        <v/>
      </c>
      <c r="YT30">
        <f>IF($B30=0,1000000,IF(INDEX('計算A'!$D$60:$II$104,$B30,88)*GF30=1,IF(AND($E30=2,PM30=0),1000000,INDEX('計算A'!CM$110:CM$114,$F30+1)+IF(AND($E30=1,PM30=0),1000,0)),1000000))</f>
        <v/>
      </c>
      <c r="YU30">
        <f>IF($B30=0,1000000,IF(INDEX('計算A'!$D$60:$II$104,$B30,89)*GG30=1,IF(AND($E30=2,PN30=0),1000000,INDEX('計算A'!CN$110:CN$114,$F30+1)+IF(AND($E30=1,PN30=0),1000,0)),1000000))</f>
        <v/>
      </c>
      <c r="YV30">
        <f>IF($B30=0,1000000,IF(INDEX('計算A'!$D$60:$II$104,$B30,90)*GH30=1,IF(AND($E30=2,PO30=0),1000000,INDEX('計算A'!CO$110:CO$114,$F30+1)+IF(AND($E30=1,PO30=0),1000,0)),1000000))</f>
        <v/>
      </c>
      <c r="YW30">
        <f>IF($B30=0,1000000,IF(INDEX('計算A'!$D$60:$II$104,$B30,91)*GI30=1,IF(AND($E30=2,PP30=0),1000000,INDEX('計算A'!CP$110:CP$114,$F30+1)+IF(AND($E30=1,PP30=0),1000,0)),1000000))</f>
        <v/>
      </c>
      <c r="YX30">
        <f>IF($B30=0,1000000,IF(INDEX('計算A'!$D$60:$II$104,$B30,92)*GJ30=1,IF(AND($E30=2,PQ30=0),1000000,INDEX('計算A'!CQ$110:CQ$114,$F30+1)+IF(AND($E30=1,PQ30=0),1000,0)),1000000))</f>
        <v/>
      </c>
      <c r="YY30">
        <f>IF($B30=0,1000000,IF(INDEX('計算A'!$D$60:$II$104,$B30,93)*GK30=1,IF(AND($E30=2,PR30=0),1000000,INDEX('計算A'!CR$110:CR$114,$F30+1)+IF(AND($E30=1,PR30=0),1000,0)),1000000))</f>
        <v/>
      </c>
      <c r="YZ30">
        <f>IF($B30=0,1000000,IF(INDEX('計算A'!$D$60:$II$104,$B30,94)*GL30=1,IF(AND($E30=2,PS30=0),1000000,INDEX('計算A'!CS$110:CS$114,$F30+1)+IF(AND($E30=1,PS30=0),1000,0)),1000000))</f>
        <v/>
      </c>
      <c r="ZA30">
        <f>IF($B30=0,1000000,IF(INDEX('計算A'!$D$60:$II$104,$B30,95)*GM30=1,IF(AND($E30=2,PT30=0),1000000,INDEX('計算A'!CT$110:CT$114,$F30+1)+IF(AND($E30=1,PT30=0),1000,0)),1000000))</f>
        <v/>
      </c>
      <c r="ZB30">
        <f>IF($B30=0,1000000,IF(INDEX('計算A'!$D$60:$II$104,$B30,96)*GN30=1,IF(AND($E30=2,PU30=0),1000000,INDEX('計算A'!CU$110:CU$114,$F30+1)+IF(AND($E30=1,PU30=0),1000,0)),1000000))</f>
        <v/>
      </c>
      <c r="ZC30">
        <f>IF($B30=0,1000000,IF(INDEX('計算A'!$D$60:$II$104,$B30,97)*GO30=1,IF(AND($E30=2,PV30=0),1000000,INDEX('計算A'!CV$110:CV$114,$F30+1)+IF(AND($E30=1,PV30=0),1000,0)),1000000))</f>
        <v/>
      </c>
      <c r="ZD30">
        <f>IF($B30=0,1000000,IF(INDEX('計算A'!$D$60:$II$104,$B30,98)*GP30=1,IF(AND($E30=2,PW30=0),1000000,INDEX('計算A'!CW$110:CW$114,$F30+1)+IF(AND($E30=1,PW30=0),1000,0)),1000000))</f>
        <v/>
      </c>
      <c r="ZE30">
        <f>IF($B30=0,1000000,IF(INDEX('計算A'!$D$60:$II$104,$B30,99)*GQ30=1,IF(AND($E30=2,PX30=0),1000000,INDEX('計算A'!CX$110:CX$114,$F30+1)+IF(AND($E30=1,PX30=0),1000,0)),1000000))</f>
        <v/>
      </c>
      <c r="ZF30">
        <f>IF($B30=0,1000000,IF(INDEX('計算A'!$D$60:$II$104,$B30,100)*GR30=1,IF(AND($E30=2,PY30=0),1000000,INDEX('計算A'!CY$110:CY$114,$F30+1)+IF(AND($E30=1,PY30=0),1000,0)),1000000))</f>
        <v/>
      </c>
      <c r="ZG30">
        <f>IF($B30=0,1000000,IF(INDEX('計算A'!$D$60:$II$104,$B30,101)*GS30=1,IF(AND($E30=2,PZ30=0),1000000,INDEX('計算A'!CZ$110:CZ$114,$F30+1)+IF(AND($E30=1,PZ30=0),1000,0)),1000000))</f>
        <v/>
      </c>
      <c r="ZH30">
        <f>IF($B30=0,1000000,IF(INDEX('計算A'!$D$60:$II$104,$B30,102)*GT30=1,IF(AND($E30=2,QA30=0),1000000,INDEX('計算A'!DA$110:DA$114,$F30+1)+IF(AND($E30=1,QA30=0),1000,0)),1000000))</f>
        <v/>
      </c>
      <c r="ZI30">
        <f>IF($B30=0,1000000,IF(INDEX('計算A'!$D$60:$II$104,$B30,103)*GU30=1,IF(AND($E30=2,QB30=0),1000000,INDEX('計算A'!DB$110:DB$114,$F30+1)+IF(AND($E30=1,QB30=0),1000,0)),1000000))</f>
        <v/>
      </c>
      <c r="ZJ30">
        <f>IF($B30=0,1000000,IF(INDEX('計算A'!$D$60:$II$104,$B30,104)*GV30=1,IF(AND($E30=2,QC30=0),1000000,INDEX('計算A'!DC$110:DC$114,$F30+1)+IF(AND($E30=1,QC30=0),1000,0)),1000000))</f>
        <v/>
      </c>
      <c r="ZK30">
        <f>IF($B30=0,1000000,IF(INDEX('計算A'!$D$60:$II$104,$B30,105)*GW30=1,IF(AND($E30=2,QD30=0),1000000,INDEX('計算A'!DD$110:DD$114,$F30+1)+IF(AND($E30=1,QD30=0),1000,0)),1000000))</f>
        <v/>
      </c>
      <c r="ZL30">
        <f>IF($B30=0,1000000,IF(INDEX('計算A'!$D$60:$II$104,$B30,106)*GX30=1,IF(AND($E30=2,QE30=0),1000000,INDEX('計算A'!DE$110:DE$114,$F30+1)+IF(AND($E30=1,QE30=0),1000,0)),1000000))</f>
        <v/>
      </c>
      <c r="ZM30">
        <f>IF($B30=0,1000000,IF(INDEX('計算A'!$D$60:$II$104,$B30,107)*GY30=1,IF(AND($E30=2,QF30=0),1000000,INDEX('計算A'!DF$110:DF$114,$F30+1)+IF(AND($E30=1,QF30=0),1000,0)),1000000))</f>
        <v/>
      </c>
      <c r="ZN30">
        <f>IF($B30=0,1000000,IF(INDEX('計算A'!$D$60:$II$104,$B30,108)*GZ30=1,IF(AND($E30=2,QG30=0),1000000,INDEX('計算A'!DG$110:DG$114,$F30+1)+IF(AND($E30=1,QG30=0),1000,0)),1000000))</f>
        <v/>
      </c>
      <c r="ZO30">
        <f>IF($B30=0,1000000,IF(INDEX('計算A'!$D$60:$II$104,$B30,109)*HA30=1,IF(AND($E30=2,QH30=0),1000000,INDEX('計算A'!DH$110:DH$114,$F30+1)+IF(AND($E30=1,QH30=0),1000,0)),1000000))</f>
        <v/>
      </c>
      <c r="ZP30">
        <f>IF($B30=0,1000000,IF(INDEX('計算A'!$D$60:$II$104,$B30,110)*HB30=1,IF(AND($E30=2,QI30=0),1000000,INDEX('計算A'!DI$110:DI$114,$F30+1)+IF(AND($E30=1,QI30=0),1000,0)),1000000))</f>
        <v/>
      </c>
      <c r="ZQ30">
        <f>IF($B30=0,1000000,IF(INDEX('計算A'!$D$60:$II$104,$B30,111)*HC30=1,IF(AND($E30=2,QJ30=0),1000000,INDEX('計算A'!DJ$110:DJ$114,$F30+1)+IF(AND($E30=1,QJ30=0),1000,0)),1000000))</f>
        <v/>
      </c>
      <c r="ZR30">
        <f>IF($B30=0,1000000,IF(INDEX('計算A'!$D$60:$II$104,$B30,112)*HD30=1,IF(AND($E30=2,QK30=0),1000000,INDEX('計算A'!DK$110:DK$114,$F30+1)+IF(AND($E30=1,QK30=0),1000,0)),1000000))</f>
        <v/>
      </c>
      <c r="ZS30">
        <f>IF($B30=0,1000000,IF(INDEX('計算A'!$D$60:$II$104,$B30,113)*HE30=1,IF(AND($E30=2,QL30=0),1000000,INDEX('計算A'!DL$110:DL$114,$F30+1)+IF(AND($E30=1,QL30=0),1000,0)),1000000))</f>
        <v/>
      </c>
      <c r="ZT30">
        <f>IF($B30=0,1000000,IF(INDEX('計算A'!$D$60:$II$104,$B30,114)*HF30=1,IF(AND($E30=2,QM30=0),1000000,INDEX('計算A'!DM$110:DM$114,$F30+1)+IF(AND($E30=1,QM30=0),1000,0)),1000000))</f>
        <v/>
      </c>
      <c r="ZU30">
        <f>IF($B30=0,1000000,IF(INDEX('計算A'!$D$60:$II$104,$B30,115)*HG30=1,IF(AND($E30=2,QN30=0),1000000,INDEX('計算A'!DN$110:DN$114,$F30+1)+IF(AND($E30=1,QN30=0),1000,0)),1000000))</f>
        <v/>
      </c>
      <c r="ZV30">
        <f>IF($B30=0,1000000,IF(INDEX('計算A'!$D$60:$II$104,$B30,116)*HH30=1,IF(AND($E30=2,QO30=0),1000000,INDEX('計算A'!DO$110:DO$114,$F30+1)+IF(AND($E30=1,QO30=0),1000,0)),1000000))</f>
        <v/>
      </c>
      <c r="ZW30">
        <f>IF($B30=0,1000000,IF(INDEX('計算A'!$D$60:$II$104,$B30,117)*HI30=1,IF(AND($E30=2,QP30=0),1000000,INDEX('計算A'!DP$110:DP$114,$F30+1)+IF(AND($E30=1,QP30=0),1000,0)),1000000))</f>
        <v/>
      </c>
      <c r="ZX30">
        <f>IF($B30=0,1000000,IF(INDEX('計算A'!$D$60:$II$104,$B30,118)*HJ30=1,IF(AND($E30=2,QQ30=0),1000000,INDEX('計算A'!DQ$110:DQ$114,$F30+1)+IF(AND($E30=1,QQ30=0),1000,0)),1000000))</f>
        <v/>
      </c>
      <c r="ZY30">
        <f>IF($B30=0,1000000,IF(INDEX('計算A'!$D$60:$II$104,$B30,119)*HK30=1,IF(AND($E30=2,QR30=0),1000000,INDEX('計算A'!DR$110:DR$114,$F30+1)+IF(AND($E30=1,QR30=0),1000,0)),1000000))</f>
        <v/>
      </c>
      <c r="ZZ30">
        <f>IF($B30=0,1000000,IF(INDEX('計算A'!$D$60:$II$104,$B30,120)*HL30=1,IF(AND($E30=2,QS30=0),1000000,INDEX('計算A'!DS$110:DS$114,$F30+1)+IF(AND($E30=1,QS30=0),1000,0)),1000000))</f>
        <v/>
      </c>
      <c r="AAA30">
        <f>IF($B30=0,1000000,IF(INDEX('計算A'!$D$60:$II$104,$B30,121)*HM30=1,IF(AND($E30=2,QT30=0),1000000,INDEX('計算A'!DT$110:DT$114,$F30+1)+IF(AND($E30=1,QT30=0),1000,0)),1000000))</f>
        <v/>
      </c>
      <c r="AAB30">
        <f>IF($B30=0,1000000,IF(INDEX('計算A'!$D$60:$II$104,$B30,122)*HN30=1,IF(AND($E30=2,QU30=0),1000000,INDEX('計算A'!DU$110:DU$114,$F30+1)+IF(AND($E30=1,QU30=0),1000,0)),1000000))</f>
        <v/>
      </c>
      <c r="AAC30">
        <f>IF($B30=0,1000000,IF(INDEX('計算A'!$D$60:$II$104,$B30,123)*HO30=1,IF(AND($E30=2,QV30=0),1000000,INDEX('計算A'!DV$110:DV$114,$F30+1)+IF(AND($E30=1,QV30=0),1000,0)),1000000))</f>
        <v/>
      </c>
      <c r="AAD30">
        <f>IF($B30=0,1000000,IF(INDEX('計算A'!$D$60:$II$104,$B30,124)*HP30=1,IF(AND($E30=2,QW30=0),1000000,INDEX('計算A'!DW$110:DW$114,$F30+1)+IF(AND($E30=1,QW30=0),1000,0)),1000000))</f>
        <v/>
      </c>
      <c r="AAE30">
        <f>IF($B30=0,1000000,IF(INDEX('計算A'!$D$60:$II$104,$B30,125)*HQ30=1,IF(AND($E30=2,QX30=0),1000000,INDEX('計算A'!DX$110:DX$114,$F30+1)+IF(AND($E30=1,QX30=0),1000,0)),1000000))</f>
        <v/>
      </c>
      <c r="AAF30">
        <f>IF($B30=0,1000000,IF(INDEX('計算A'!$D$60:$II$104,$B30,126)*HR30=1,IF(AND($E30=2,QY30=0),1000000,INDEX('計算A'!DY$110:DY$114,$F30+1)+IF(AND($E30=1,QY30=0),1000,0)),1000000))</f>
        <v/>
      </c>
      <c r="AAG30">
        <f>IF($B30=0,1000000,IF(INDEX('計算A'!$D$60:$II$104,$B30,127)*HS30=1,IF(AND($E30=2,QZ30=0),1000000,INDEX('計算A'!DZ$110:DZ$114,$F30+1)+IF(AND($E30=1,QZ30=0),1000,0)),1000000))</f>
        <v/>
      </c>
      <c r="AAH30">
        <f>IF($B30=0,1000000,IF(INDEX('計算A'!$D$60:$II$104,$B30,128)*HT30=1,IF(AND($E30=2,RA30=0),1000000,INDEX('計算A'!EA$110:EA$114,$F30+1)+IF(AND($E30=1,RA30=0),1000,0)),1000000))</f>
        <v/>
      </c>
      <c r="AAI30">
        <f>IF($B30=0,1000000,IF(INDEX('計算A'!$D$60:$II$104,$B30,129)*HU30=1,IF(AND($E30=2,RB30=0),1000000,INDEX('計算A'!EB$110:EB$114,$F30+1)+IF(AND($E30=1,RB30=0),1000,0)),1000000))</f>
        <v/>
      </c>
      <c r="AAJ30">
        <f>IF($B30=0,1000000,IF(INDEX('計算A'!$D$60:$II$104,$B30,130)*HV30=1,IF(AND($E30=2,RC30=0),1000000,INDEX('計算A'!EC$110:EC$114,$F30+1)+IF(AND($E30=1,RC30=0),1000,0)),1000000))</f>
        <v/>
      </c>
      <c r="AAK30">
        <f>IF($B30=0,1000000,IF(INDEX('計算A'!$D$60:$II$104,$B30,131)*HW30=1,IF(AND($E30=2,RD30=0),1000000,INDEX('計算A'!ED$110:ED$114,$F30+1)+IF(AND($E30=1,RD30=0),1000,0)),1000000))</f>
        <v/>
      </c>
      <c r="AAL30">
        <f>IF($B30=0,1000000,IF(INDEX('計算A'!$D$60:$II$104,$B30,132)*HX30=1,IF(AND($E30=2,RE30=0),1000000,INDEX('計算A'!EE$110:EE$114,$F30+1)+IF(AND($E30=1,RE30=0),1000,0)),1000000))</f>
        <v/>
      </c>
      <c r="AAM30">
        <f>IF($B30=0,1000000,IF(INDEX('計算A'!$D$60:$II$104,$B30,133)*HY30=1,IF(AND($E30=2,RF30=0),1000000,INDEX('計算A'!EF$110:EF$114,$F30+1)+IF(AND($E30=1,RF30=0),1000,0)),1000000))</f>
        <v/>
      </c>
      <c r="AAN30">
        <f>IF($B30=0,1000000,IF(INDEX('計算A'!$D$60:$II$104,$B30,134)*HZ30=1,IF(AND($E30=2,RG30=0),1000000,INDEX('計算A'!EG$110:EG$114,$F30+1)+IF(AND($E30=1,RG30=0),1000,0)),1000000))</f>
        <v/>
      </c>
      <c r="AAO30">
        <f>IF($B30=0,1000000,IF(INDEX('計算A'!$D$60:$II$104,$B30,135)*IA30=1,IF(AND($E30=2,RH30=0),1000000,INDEX('計算A'!EH$110:EH$114,$F30+1)+IF(AND($E30=1,RH30=0),1000,0)),1000000))</f>
        <v/>
      </c>
      <c r="AAP30">
        <f>IF($B30=0,1000000,IF(INDEX('計算A'!$D$60:$II$104,$B30,136)*IB30=1,IF(AND($E30=2,RI30=0),1000000,INDEX('計算A'!EI$110:EI$114,$F30+1)+IF(AND($E30=1,RI30=0),1000,0)),1000000))</f>
        <v/>
      </c>
      <c r="AAQ30">
        <f>IF($B30=0,1000000,IF(INDEX('計算A'!$D$60:$II$104,$B30,137)*IC30=1,IF(AND($E30=2,RJ30=0),1000000,INDEX('計算A'!EJ$110:EJ$114,$F30+1)+IF(AND($E30=1,RJ30=0),1000,0)),1000000))</f>
        <v/>
      </c>
      <c r="AAR30">
        <f>IF($B30=0,1000000,IF(INDEX('計算A'!$D$60:$II$104,$B30,138)*ID30=1,IF(AND($E30=2,RK30=0),1000000,INDEX('計算A'!EK$110:EK$114,$F30+1)+IF(AND($E30=1,RK30=0),1000,0)),1000000))</f>
        <v/>
      </c>
      <c r="AAS30">
        <f>IF($B30=0,1000000,IF(INDEX('計算A'!$D$60:$II$104,$B30,139)*IE30=1,IF(AND($E30=2,RL30=0),1000000,INDEX('計算A'!EL$110:EL$114,$F30+1)+IF(AND($E30=1,RL30=0),1000,0)),1000000))</f>
        <v/>
      </c>
      <c r="AAT30">
        <f>IF($B30=0,1000000,IF(INDEX('計算A'!$D$60:$II$104,$B30,140)*IF30=1,IF(AND($E30=2,RM30=0),1000000,INDEX('計算A'!EM$110:EM$114,$F30+1)+IF(AND($E30=1,RM30=0),1000,0)),1000000))</f>
        <v/>
      </c>
      <c r="AAU30">
        <f>IF($B30=0,1000000,IF(INDEX('計算A'!$D$60:$II$104,$B30,141)*IG30=1,IF(AND($E30=2,RN30=0),1000000,INDEX('計算A'!EN$110:EN$114,$F30+1)+IF(AND($E30=1,RN30=0),1000,0)),1000000))</f>
        <v/>
      </c>
      <c r="AAV30">
        <f>IF($B30=0,1000000,IF(INDEX('計算A'!$D$60:$II$104,$B30,142)*IH30=1,IF(AND($E30=2,RO30=0),1000000,INDEX('計算A'!EO$110:EO$114,$F30+1)+IF(AND($E30=1,RO30=0),1000,0)),1000000))</f>
        <v/>
      </c>
      <c r="AAW30">
        <f>IF($B30=0,1000000,IF(INDEX('計算A'!$D$60:$II$104,$B30,143)*II30=1,IF(AND($E30=2,RP30=0),1000000,INDEX('計算A'!EP$110:EP$114,$F30+1)+IF(AND($E30=1,RP30=0),1000,0)),1000000))</f>
        <v/>
      </c>
      <c r="AAX30">
        <f>IF($B30=0,1000000,IF(INDEX('計算A'!$D$60:$II$104,$B30,144)*IJ30=1,IF(AND($E30=2,RQ30=0),1000000,INDEX('計算A'!EQ$110:EQ$114,$F30+1)+IF(AND($E30=1,RQ30=0),1000,0)),1000000))</f>
        <v/>
      </c>
      <c r="AAY30">
        <f>IF($B30=0,1000000,IF(INDEX('計算A'!$D$60:$II$104,$B30,145)*IK30=1,IF(AND($E30=2,RR30=0),1000000,INDEX('計算A'!ER$110:ER$114,$F30+1)+IF(AND($E30=1,RR30=0),1000,0)),1000000))</f>
        <v/>
      </c>
      <c r="AAZ30">
        <f>IF($B30=0,1000000,IF(INDEX('計算A'!$D$60:$II$104,$B30,146)*IL30=1,IF(AND($E30=2,RS30=0),1000000,INDEX('計算A'!ES$110:ES$114,$F30+1)+IF(AND($E30=1,RS30=0),1000,0)),1000000))</f>
        <v/>
      </c>
      <c r="ABA30">
        <f>IF($B30=0,1000000,IF(INDEX('計算A'!$D$60:$II$104,$B30,147)*IM30=1,IF(AND($E30=2,RT30=0),1000000,INDEX('計算A'!ET$110:ET$114,$F30+1)+IF(AND($E30=1,RT30=0),1000,0)),1000000))</f>
        <v/>
      </c>
      <c r="ABB30">
        <f>IF($B30=0,1000000,IF(INDEX('計算A'!$D$60:$II$104,$B30,148)*IN30=1,IF(AND($E30=2,RU30=0),1000000,INDEX('計算A'!EU$110:EU$114,$F30+1)+IF(AND($E30=1,RU30=0),1000,0)),1000000))</f>
        <v/>
      </c>
      <c r="ABC30">
        <f>IF($B30=0,1000000,IF(INDEX('計算A'!$D$60:$II$104,$B30,149)*IO30=1,IF(AND($E30=2,RV30=0),1000000,INDEX('計算A'!EV$110:EV$114,$F30+1)+IF(AND($E30=1,RV30=0),1000,0)),1000000))</f>
        <v/>
      </c>
      <c r="ABD30">
        <f>IF($B30=0,1000000,IF(INDEX('計算A'!$D$60:$II$104,$B30,150)*IP30=1,IF(AND($E30=2,RW30=0),1000000,INDEX('計算A'!EW$110:EW$114,$F30+1)+IF(AND($E30=1,RW30=0),1000,0)),1000000))</f>
        <v/>
      </c>
      <c r="ABE30">
        <f>IF($B30=0,1000000,IF(INDEX('計算A'!$D$60:$II$104,$B30,151)*IQ30=1,IF(AND($E30=2,RX30=0),1000000,INDEX('計算A'!EX$110:EX$114,$F30+1)+IF(AND($E30=1,RX30=0),1000,0)),1000000))</f>
        <v/>
      </c>
      <c r="ABF30">
        <f>IF($B30=0,1000000,IF(INDEX('計算A'!$D$60:$II$104,$B30,152)*IR30=1,IF(AND($E30=2,RY30=0),1000000,INDEX('計算A'!EY$110:EY$114,$F30+1)+IF(AND($E30=1,RY30=0),1000,0)),1000000))</f>
        <v/>
      </c>
      <c r="ABG30">
        <f>IF($B30=0,1000000,IF(INDEX('計算A'!$D$60:$II$104,$B30,153)*IS30=1,IF(AND($E30=2,RZ30=0),1000000,INDEX('計算A'!EZ$110:EZ$114,$F30+1)+IF(AND($E30=1,RZ30=0),1000,0)),1000000))</f>
        <v/>
      </c>
      <c r="ABH30">
        <f>IF($B30=0,1000000,IF(INDEX('計算A'!$D$60:$II$104,$B30,154)*IT30=1,IF(AND($E30=2,SA30=0),1000000,INDEX('計算A'!FA$110:FA$114,$F30+1)+IF(AND($E30=1,SA30=0),1000,0)),1000000))</f>
        <v/>
      </c>
      <c r="ABI30">
        <f>IF($B30=0,1000000,IF(INDEX('計算A'!$D$60:$II$104,$B30,155)*IU30=1,IF(AND($E30=2,SB30=0),1000000,INDEX('計算A'!FB$110:FB$114,$F30+1)+IF(AND($E30=1,SB30=0),1000,0)),1000000))</f>
        <v/>
      </c>
      <c r="ABJ30">
        <f>IF($B30=0,1000000,IF(INDEX('計算A'!$D$60:$II$104,$B30,156)*IV30=1,IF(AND($E30=2,SC30=0),1000000,INDEX('計算A'!FC$110:FC$114,$F30+1)+IF(AND($E30=1,SC30=0),1000,0)),1000000))</f>
        <v/>
      </c>
      <c r="ABK30">
        <f>IF($B30=0,1000000,IF(INDEX('計算A'!$D$60:$II$104,$B30,157)*IW30=1,IF(AND($E30=2,SD30=0),1000000,INDEX('計算A'!FD$110:FD$114,$F30+1)+IF(AND($E30=1,SD30=0),1000,0)),1000000))</f>
        <v/>
      </c>
      <c r="ABL30">
        <f>IF($B30=0,1000000,IF(INDEX('計算A'!$D$60:$II$104,$B30,158)*IX30=1,IF(AND($E30=2,SE30=0),1000000,INDEX('計算A'!FE$110:FE$114,$F30+1)+IF(AND($E30=1,SE30=0),1000,0)),1000000))</f>
        <v/>
      </c>
      <c r="ABM30">
        <f>IF($B30=0,1000000,IF(INDEX('計算A'!$D$60:$II$104,$B30,159)*IY30=1,IF(AND($E30=2,SF30=0),1000000,INDEX('計算A'!FF$110:FF$114,$F30+1)+IF(AND($E30=1,SF30=0),1000,0)),1000000))</f>
        <v/>
      </c>
      <c r="ABN30">
        <f>IF($B30=0,1000000,IF(INDEX('計算A'!$D$60:$II$104,$B30,160)*IZ30=1,IF(AND($E30=2,SG30=0),1000000,INDEX('計算A'!FG$110:FG$114,$F30+1)+IF(AND($E30=1,SG30=0),1000,0)),1000000))</f>
        <v/>
      </c>
      <c r="ABO30">
        <f>IF($B30=0,1000000,IF(INDEX('計算A'!$D$60:$II$104,$B30,161)*JA30=1,IF(AND($E30=2,SH30=0),1000000,INDEX('計算A'!FH$110:FH$114,$F30+1)+IF(AND($E30=1,SH30=0),1000,0)),1000000))</f>
        <v/>
      </c>
      <c r="ABP30">
        <f>IF($B30=0,1000000,IF(INDEX('計算A'!$D$60:$II$104,$B30,162)*JB30=1,IF(AND($E30=2,SI30=0),1000000,INDEX('計算A'!FI$110:FI$114,$F30+1)+IF(AND($E30=1,SI30=0),1000,0)),1000000))</f>
        <v/>
      </c>
      <c r="ABQ30">
        <f>IF($B30=0,1000000,IF(INDEX('計算A'!$D$60:$II$104,$B30,163)*JC30=1,IF(AND($E30=2,SJ30=0),1000000,INDEX('計算A'!FJ$110:FJ$114,$F30+1)+IF(AND($E30=1,SJ30=0),1000,0)),1000000))</f>
        <v/>
      </c>
      <c r="ABR30">
        <f>IF($B30=0,1000000,IF(INDEX('計算A'!$D$60:$II$104,$B30,164)*JD30=1,IF(AND($E30=2,SK30=0),1000000,INDEX('計算A'!FK$110:FK$114,$F30+1)+IF(AND($E30=1,SK30=0),1000,0)),1000000))</f>
        <v/>
      </c>
      <c r="ABS30">
        <f>IF($B30=0,1000000,IF(INDEX('計算A'!$D$60:$II$104,$B30,165)*JE30=1,IF(AND($E30=2,SL30=0),1000000,INDEX('計算A'!FL$110:FL$114,$F30+1)+IF(AND($E30=1,SL30=0),1000,0)),1000000))</f>
        <v/>
      </c>
      <c r="ABT30">
        <f>IF($B30=0,1000000,IF(INDEX('計算A'!$D$60:$II$104,$B30,166)*JF30=1,IF(AND($E30=2,SM30=0),1000000,INDEX('計算A'!FM$110:FM$114,$F30+1)+IF(AND($E30=1,SM30=0),1000,0)),1000000))</f>
        <v/>
      </c>
      <c r="ABU30">
        <f>IF($B30=0,1000000,IF(INDEX('計算A'!$D$60:$II$104,$B30,167)*JG30=1,IF(AND($E30=2,SN30=0),1000000,INDEX('計算A'!FN$110:FN$114,$F30+1)+IF(AND($E30=1,SN30=0),1000,0)),1000000))</f>
        <v/>
      </c>
      <c r="ABV30">
        <f>IF($B30=0,1000000,IF(INDEX('計算A'!$D$60:$II$104,$B30,168)*JH30=1,IF(AND($E30=2,SO30=0),1000000,INDEX('計算A'!FO$110:FO$114,$F30+1)+IF(AND($E30=1,SO30=0),1000,0)),1000000))</f>
        <v/>
      </c>
      <c r="ABW30">
        <f>IF($B30=0,1000000,IF(INDEX('計算A'!$D$60:$II$104,$B30,169)*JI30=1,IF(AND($E30=2,SP30=0),1000000,INDEX('計算A'!FP$110:FP$114,$F30+1)+IF(AND($E30=1,SP30=0),1000,0)),1000000))</f>
        <v/>
      </c>
      <c r="ABX30">
        <f>IF($B30=0,1000000,IF(INDEX('計算A'!$D$60:$II$104,$B30,170)*JJ30=1,IF(AND($E30=2,SQ30=0),1000000,INDEX('計算A'!FQ$110:FQ$114,$F30+1)+IF(AND($E30=1,SQ30=0),1000,0)),1000000))</f>
        <v/>
      </c>
      <c r="ABY30">
        <f>IF($B30=0,1000000,IF(INDEX('計算A'!$D$60:$II$104,$B30,171)*JK30=1,IF(AND($E30=2,SR30=0),1000000,INDEX('計算A'!FR$110:FR$114,$F30+1)+IF(AND($E30=1,SR30=0),1000,0)),1000000))</f>
        <v/>
      </c>
      <c r="ABZ30">
        <f>IF($B30=0,1000000,IF(INDEX('計算A'!$D$60:$II$104,$B30,172)*JL30=1,IF(AND($E30=2,SS30=0),1000000,INDEX('計算A'!FS$110:FS$114,$F30+1)+IF(AND($E30=1,SS30=0),1000,0)),1000000))</f>
        <v/>
      </c>
      <c r="ACA30">
        <f>IF($B30=0,1000000,IF(INDEX('計算A'!$D$60:$II$104,$B30,173)*JM30=1,IF(AND($E30=2,ST30=0),1000000,INDEX('計算A'!FT$110:FT$114,$F30+1)+IF(AND($E30=1,ST30=0),1000,0)),1000000))</f>
        <v/>
      </c>
      <c r="ACB30">
        <f>IF($B30=0,1000000,IF(INDEX('計算A'!$D$60:$II$104,$B30,174)*JN30=1,IF(AND($E30=2,SU30=0),1000000,INDEX('計算A'!FU$110:FU$114,$F30+1)+IF(AND($E30=1,SU30=0),1000,0)),1000000))</f>
        <v/>
      </c>
      <c r="ACC30">
        <f>IF($B30=0,1000000,IF(INDEX('計算A'!$D$60:$II$104,$B30,175)*JO30=1,IF(AND($E30=2,SV30=0),1000000,INDEX('計算A'!FV$110:FV$114,$F30+1)+IF(AND($E30=1,SV30=0),1000,0)),1000000))</f>
        <v/>
      </c>
      <c r="ACD30">
        <f>IF($B30=0,1000000,IF(INDEX('計算A'!$D$60:$II$104,$B30,176)*JP30=1,IF(AND($E30=2,SW30=0),1000000,INDEX('計算A'!FW$110:FW$114,$F30+1)+IF(AND($E30=1,SW30=0),1000,0)),1000000))</f>
        <v/>
      </c>
      <c r="ACE30">
        <f>IF($B30=0,1000000,IF(INDEX('計算A'!$D$60:$II$104,$B30,177)*JQ30=1,IF(AND($E30=2,SX30=0),1000000,INDEX('計算A'!FX$110:FX$114,$F30+1)+IF(AND($E30=1,SX30=0),1000,0)),1000000))</f>
        <v/>
      </c>
      <c r="ACF30">
        <f>IF($B30=0,1000000,IF(INDEX('計算A'!$D$60:$II$104,$B30,178)*JR30=1,IF(AND($E30=2,SY30=0),1000000,INDEX('計算A'!FY$110:FY$114,$F30+1)+IF(AND($E30=1,SY30=0),1000,0)),1000000))</f>
        <v/>
      </c>
      <c r="ACG30">
        <f>IF($B30=0,1000000,IF(INDEX('計算A'!$D$60:$II$104,$B30,179)*JS30=1,IF(AND($E30=2,SZ30=0),1000000,INDEX('計算A'!FZ$110:FZ$114,$F30+1)+IF(AND($E30=1,SZ30=0),1000,0)),1000000))</f>
        <v/>
      </c>
      <c r="ACH30">
        <f>IF($B30=0,1000000,IF(INDEX('計算A'!$D$60:$II$104,$B30,180)*JT30=1,IF(AND($E30=2,TA30=0),1000000,INDEX('計算A'!GA$110:GA$114,$F30+1)+IF(AND($E30=1,TA30=0),1000,0)),1000000))</f>
        <v/>
      </c>
      <c r="ACI30">
        <f>IF($B30=0,1000000,IF(INDEX('計算A'!$D$60:$II$104,$B30,181)*JU30=1,IF(AND($E30=2,TB30=0),1000000,INDEX('計算A'!GB$110:GB$114,$F30+1)+IF(AND($E30=1,TB30=0),1000,0)),1000000))</f>
        <v/>
      </c>
      <c r="ACJ30">
        <f>IF($B30=0,1000000,IF(INDEX('計算A'!$D$60:$II$104,$B30,182)*JV30=1,IF(AND($E30=2,TC30=0),1000000,INDEX('計算A'!GC$110:GC$114,$F30+1)+IF(AND($E30=1,TC30=0),1000,0)),1000000))</f>
        <v/>
      </c>
      <c r="ACK30">
        <f>IF($B30=0,1000000,IF(INDEX('計算A'!$D$60:$II$104,$B30,183)*JW30=1,IF(AND($E30=2,TD30=0),1000000,INDEX('計算A'!GD$110:GD$114,$F30+1)+IF(AND($E30=1,TD30=0),1000,0)),1000000))</f>
        <v/>
      </c>
      <c r="ACL30">
        <f>IF($B30=0,1000000,IF(INDEX('計算A'!$D$60:$II$104,$B30,184)*JX30=1,IF(AND($E30=2,TE30=0),1000000,INDEX('計算A'!GE$110:GE$114,$F30+1)+IF(AND($E30=1,TE30=0),1000,0)),1000000))</f>
        <v/>
      </c>
      <c r="ACM30">
        <f>IF($B30=0,1000000,IF(INDEX('計算A'!$D$60:$II$104,$B30,185)*JY30=1,IF(AND($E30=2,TF30=0),1000000,INDEX('計算A'!GF$110:GF$114,$F30+1)+IF(AND($E30=1,TF30=0),1000,0)),1000000))</f>
        <v/>
      </c>
      <c r="ACN30">
        <f>IF($B30=0,1000000,IF(INDEX('計算A'!$D$60:$II$104,$B30,186)*JZ30=1,IF(AND($E30=2,TG30=0),1000000,INDEX('計算A'!GG$110:GG$114,$F30+1)+IF(AND($E30=1,TG30=0),1000,0)),1000000))</f>
        <v/>
      </c>
      <c r="ACO30">
        <f>IF($B30=0,1000000,IF(INDEX('計算A'!$D$60:$II$104,$B30,187)*KA30=1,IF(AND($E30=2,TH30=0),1000000,INDEX('計算A'!GH$110:GH$114,$F30+1)+IF(AND($E30=1,TH30=0),1000,0)),1000000))</f>
        <v/>
      </c>
      <c r="ACP30">
        <f>IF($B30=0,1000000,IF(INDEX('計算A'!$D$60:$II$104,$B30,188)*KB30=1,IF(AND($E30=2,TI30=0),1000000,INDEX('計算A'!GI$110:GI$114,$F30+1)+IF(AND($E30=1,TI30=0),1000,0)),1000000))</f>
        <v/>
      </c>
      <c r="ACQ30">
        <f>IF($B30=0,1000000,IF(INDEX('計算A'!$D$60:$II$104,$B30,189)*KC30=1,IF(AND($E30=2,TJ30=0),1000000,INDEX('計算A'!GJ$110:GJ$114,$F30+1)+IF(AND($E30=1,TJ30=0),1000,0)),1000000))</f>
        <v/>
      </c>
      <c r="ACR30">
        <f>IF($B30=0,1000000,IF(INDEX('計算A'!$D$60:$II$104,$B30,190)*KD30=1,IF(AND($E30=2,TK30=0),1000000,INDEX('計算A'!GK$110:GK$114,$F30+1)+IF(AND($E30=1,TK30=0),1000,0)),1000000))</f>
        <v/>
      </c>
      <c r="ACS30">
        <f>IF($B30=0,1000000,IF(INDEX('計算A'!$D$60:$II$104,$B30,191)*KE30=1,IF(AND($E30=2,TL30=0),1000000,INDEX('計算A'!GL$110:GL$114,$F30+1)+IF(AND($E30=1,TL30=0),1000,0)),1000000))</f>
        <v/>
      </c>
      <c r="ACT30">
        <f>IF($B30=0,1000000,IF(INDEX('計算A'!$D$60:$II$104,$B30,192)*KF30=1,IF(AND($E30=2,TM30=0),1000000,INDEX('計算A'!GM$110:GM$114,$F30+1)+IF(AND($E30=1,TM30=0),1000,0)),1000000))</f>
        <v/>
      </c>
      <c r="ACU30">
        <f>IF($B30=0,1000000,IF(INDEX('計算A'!$D$60:$II$104,$B30,193)*KG30=1,IF(AND($E30=2,TN30=0),1000000,INDEX('計算A'!GN$110:GN$114,$F30+1)+IF(AND($E30=1,TN30=0),1000,0)),1000000))</f>
        <v/>
      </c>
      <c r="ACV30">
        <f>IF($B30=0,1000000,IF(INDEX('計算A'!$D$60:$II$104,$B30,194)*KH30=1,IF(AND($E30=2,TO30=0),1000000,INDEX('計算A'!GO$110:GO$114,$F30+1)+IF(AND($E30=1,TO30=0),1000,0)),1000000))</f>
        <v/>
      </c>
      <c r="ACW30">
        <f>IF($B30=0,1000000,IF(INDEX('計算A'!$D$60:$II$104,$B30,195)*KI30=1,IF(AND($E30=2,TP30=0),1000000,INDEX('計算A'!GP$110:GP$114,$F30+1)+IF(AND($E30=1,TP30=0),1000,0)),1000000))</f>
        <v/>
      </c>
      <c r="ACX30">
        <f>IF($B30=0,1000000,IF(INDEX('計算A'!$D$60:$II$104,$B30,196)*KJ30=1,IF(AND($E30=2,TQ30=0),1000000,INDEX('計算A'!GQ$110:GQ$114,$F30+1)+IF(AND($E30=1,TQ30=0),1000,0)),1000000))</f>
        <v/>
      </c>
      <c r="ACY30">
        <f>IF($B30=0,1000000,IF(INDEX('計算A'!$D$60:$II$104,$B30,197)*KK30=1,IF(AND($E30=2,TR30=0),1000000,INDEX('計算A'!GR$110:GR$114,$F30+1)+IF(AND($E30=1,TR30=0),1000,0)),1000000))</f>
        <v/>
      </c>
      <c r="ACZ30">
        <f>IF($B30=0,1000000,IF(INDEX('計算A'!$D$60:$II$104,$B30,198)*KL30=1,IF(AND($E30=2,TS30=0),1000000,INDEX('計算A'!GS$110:GS$114,$F30+1)+IF(AND($E30=1,TS30=0),1000,0)),1000000))</f>
        <v/>
      </c>
      <c r="ADA30">
        <f>IF($B30=0,1000000,IF(INDEX('計算A'!$D$60:$II$104,$B30,199)*KM30=1,IF(AND($E30=2,TT30=0),1000000,INDEX('計算A'!GT$110:GT$114,$F30+1)+IF(AND($E30=1,TT30=0),1000,0)),1000000))</f>
        <v/>
      </c>
      <c r="ADB30">
        <f>IF($B30=0,1000000,IF(INDEX('計算A'!$D$60:$II$104,$B30,200)*KN30=1,IF(AND($E30=2,TU30=0),1000000,INDEX('計算A'!GU$110:GU$114,$F30+1)+IF(AND($E30=1,TU30=0),1000,0)),1000000))</f>
        <v/>
      </c>
      <c r="ADC30">
        <f>IF($B30=0,1000000,IF(INDEX('計算A'!$D$60:$II$104,$B30,201)*KO30=1,IF(AND($E30=2,TV30=0),1000000,INDEX('計算A'!GV$110:GV$114,$F30+1)+IF(AND($E30=1,TV30=0),1000,0)),1000000))</f>
        <v/>
      </c>
      <c r="ADD30">
        <f>IF($B30=0,1000000,IF(INDEX('計算A'!$D$60:$II$104,$B30,202)*KP30=1,IF(AND($E30=2,TW30=0),1000000,INDEX('計算A'!GW$110:GW$114,$F30+1)+IF(AND($E30=1,TW30=0),1000,0)),1000000))</f>
        <v/>
      </c>
      <c r="ADE30">
        <f>IF($B30=0,1000000,IF(INDEX('計算A'!$D$60:$II$104,$B30,203)*KQ30=1,IF(AND($E30=2,TX30=0),1000000,INDEX('計算A'!GX$110:GX$114,$F30+1)+IF(AND($E30=1,TX30=0),1000,0)),1000000))</f>
        <v/>
      </c>
      <c r="ADF30">
        <f>IF($B30=0,1000000,IF(INDEX('計算A'!$D$60:$II$104,$B30,204)*KR30=1,IF(AND($E30=2,TY30=0),1000000,INDEX('計算A'!GY$110:GY$114,$F30+1)+IF(AND($E30=1,TY30=0),1000,0)),1000000))</f>
        <v/>
      </c>
      <c r="ADG30">
        <f>IF($B30=0,1000000,IF(INDEX('計算A'!$D$60:$II$104,$B30,205)*KS30=1,IF(AND($E30=2,TZ30=0),1000000,INDEX('計算A'!GZ$110:GZ$114,$F30+1)+IF(AND($E30=1,TZ30=0),1000,0)),1000000))</f>
        <v/>
      </c>
      <c r="ADH30">
        <f>IF($B30=0,1000000,IF(INDEX('計算A'!$D$60:$II$104,$B30,206)*KT30=1,IF(AND($E30=2,UA30=0),1000000,INDEX('計算A'!HA$110:HA$114,$F30+1)+IF(AND($E30=1,UA30=0),1000,0)),1000000))</f>
        <v/>
      </c>
      <c r="ADI30">
        <f>IF($B30=0,1000000,IF(INDEX('計算A'!$D$60:$II$104,$B30,207)*KU30=1,IF(AND($E30=2,UB30=0),1000000,INDEX('計算A'!HB$110:HB$114,$F30+1)+IF(AND($E30=1,UB30=0),1000,0)),1000000))</f>
        <v/>
      </c>
      <c r="ADJ30">
        <f>IF($B30=0,1000000,IF(INDEX('計算A'!$D$60:$II$104,$B30,208)*KV30=1,IF(AND($E30=2,UC30=0),1000000,INDEX('計算A'!HC$110:HC$114,$F30+1)+IF(AND($E30=1,UC30=0),1000,0)),1000000))</f>
        <v/>
      </c>
      <c r="ADK30">
        <f>IF($B30=0,1000000,IF(INDEX('計算A'!$D$60:$II$104,$B30,209)*KW30=1,IF(AND($E30=2,UD30=0),1000000,INDEX('計算A'!HD$110:HD$114,$F30+1)+IF(AND($E30=1,UD30=0),1000,0)),1000000))</f>
        <v/>
      </c>
      <c r="ADL30">
        <f>IF($B30=0,1000000,IF(INDEX('計算A'!$D$60:$II$104,$B30,210)*KX30=1,IF(AND($E30=2,UE30=0),1000000,INDEX('計算A'!HE$110:HE$114,$F30+1)+IF(AND($E30=1,UE30=0),1000,0)),1000000))</f>
        <v/>
      </c>
      <c r="ADM30">
        <f>IF($B30=0,1000000,IF(INDEX('計算A'!$D$60:$II$104,$B30,211)*KY30=1,IF(AND($E30=2,UF30=0),1000000,INDEX('計算A'!HF$110:HF$114,$F30+1)+IF(AND($E30=1,UF30=0),1000,0)),1000000))</f>
        <v/>
      </c>
      <c r="ADN30">
        <f>IF($B30=0,1000000,IF(INDEX('計算A'!$D$60:$II$104,$B30,212)*KZ30=1,IF(AND($E30=2,UG30=0),1000000,INDEX('計算A'!HG$110:HG$114,$F30+1)+IF(AND($E30=1,UG30=0),1000,0)),1000000))</f>
        <v/>
      </c>
      <c r="ADO30">
        <f>IF($B30=0,1000000,IF(INDEX('計算A'!$D$60:$II$104,$B30,213)*LA30=1,IF(AND($E30=2,UH30=0),1000000,INDEX('計算A'!HH$110:HH$114,$F30+1)+IF(AND($E30=1,UH30=0),1000,0)),1000000))</f>
        <v/>
      </c>
      <c r="ADP30">
        <f>IF($B30=0,1000000,IF(INDEX('計算A'!$D$60:$II$104,$B30,214)*LB30=1,IF(AND($E30=2,UI30=0),1000000,INDEX('計算A'!HI$110:HI$114,$F30+1)+IF(AND($E30=1,UI30=0),1000,0)),1000000))</f>
        <v/>
      </c>
      <c r="ADQ30">
        <f>IF($B30=0,1000000,IF(INDEX('計算A'!$D$60:$II$104,$B30,215)*LC30=1,IF(AND($E30=2,UJ30=0),1000000,INDEX('計算A'!HJ$110:HJ$114,$F30+1)+IF(AND($E30=1,UJ30=0),1000,0)),1000000))</f>
        <v/>
      </c>
      <c r="ADR30">
        <f>IF($B30=0,1000000,IF(INDEX('計算A'!$D$60:$II$104,$B30,216)*LD30=1,IF(AND($E30=2,UK30=0),1000000,INDEX('計算A'!HK$110:HK$114,$F30+1)+IF(AND($E30=1,UK30=0),1000,0)),1000000))</f>
        <v/>
      </c>
      <c r="ADS30">
        <f>IF($B30=0,1000000,IF(INDEX('計算A'!$D$60:$II$104,$B30,217)*LE30=1,IF(AND($E30=2,UL30=0),1000000,INDEX('計算A'!HL$110:HL$114,$F30+1)+IF(AND($E30=1,UL30=0),1000,0)),1000000))</f>
        <v/>
      </c>
      <c r="ADT30">
        <f>IF($B30=0,1000000,IF(INDEX('計算A'!$D$60:$II$104,$B30,218)*LF30=1,IF(AND($E30=2,UM30=0),1000000,INDEX('計算A'!HM$110:HM$114,$F30+1)+IF(AND($E30=1,UM30=0),1000,0)),1000000))</f>
        <v/>
      </c>
      <c r="ADU30">
        <f>IF($B30=0,1000000,IF(INDEX('計算A'!$D$60:$II$104,$B30,219)*LG30=1,IF(AND($E30=2,UN30=0),1000000,INDEX('計算A'!HN$110:HN$114,$F30+1)+IF(AND($E30=1,UN30=0),1000,0)),1000000))</f>
        <v/>
      </c>
      <c r="ADV30">
        <f>IF($B30=0,1000000,IF(INDEX('計算A'!$D$60:$II$104,$B30,220)*LH30=1,IF(AND($E30=2,UO30=0),1000000,INDEX('計算A'!HO$110:HO$114,$F30+1)+IF(AND($E30=1,UO30=0),1000,0)),1000000))</f>
        <v/>
      </c>
      <c r="ADW30">
        <f>IF($B30=0,1000000,IF(INDEX('計算A'!$D$60:$II$104,$B30,221)*LI30=1,IF(AND($E30=2,UP30=0),1000000,INDEX('計算A'!HP$110:HP$114,$F30+1)+IF(AND($E30=1,UP30=0),1000,0)),1000000))</f>
        <v/>
      </c>
      <c r="ADX30">
        <f>IF($B30=0,1000000,IF(INDEX('計算A'!$D$60:$II$104,$B30,222)*LJ30=1,IF(AND($E30=2,UQ30=0),1000000,INDEX('計算A'!HQ$110:HQ$114,$F30+1)+IF(AND($E30=1,UQ30=0),1000,0)),1000000))</f>
        <v/>
      </c>
      <c r="ADY30">
        <f>IF($B30=0,1000000,IF(INDEX('計算A'!$D$60:$II$104,$B30,223)*LK30=1,IF(AND($E30=2,UR30=0),1000000,INDEX('計算A'!HR$110:HR$114,$F30+1)+IF(AND($E30=1,UR30=0),1000,0)),1000000))</f>
        <v/>
      </c>
      <c r="ADZ30">
        <f>IF($B30=0,1000000,IF(INDEX('計算A'!$D$60:$II$104,$B30,224)*LL30=1,IF(AND($E30=2,US30=0),1000000,INDEX('計算A'!HS$110:HS$114,$F30+1)+IF(AND($E30=1,US30=0),1000,0)),1000000))</f>
        <v/>
      </c>
      <c r="AEA30">
        <f>IF($B30=0,1000000,IF(INDEX('計算A'!$D$60:$II$104,$B30,225)*LM30=1,IF(AND($E30=2,UT30=0),1000000,INDEX('計算A'!HT$110:HT$114,$F30+1)+IF(AND($E30=1,UT30=0),1000,0)),1000000))</f>
        <v/>
      </c>
      <c r="AEB30">
        <f>IF($B30=0,1000000,IF(INDEX('計算A'!$D$60:$II$104,$B30,226)*LN30=1,IF(AND($E30=2,UU30=0),1000000,INDEX('計算A'!HU$110:HU$114,$F30+1)+IF(AND($E30=1,UU30=0),1000,0)),1000000))</f>
        <v/>
      </c>
      <c r="AEC30">
        <f>IF($B30=0,1000000,IF(INDEX('計算A'!$D$60:$II$104,$B30,227)*LO30=1,IF(AND($E30=2,UV30=0),1000000,INDEX('計算A'!HV$110:HV$114,$F30+1)+IF(AND($E30=1,UV30=0),1000,0)),1000000))</f>
        <v/>
      </c>
      <c r="AED30">
        <f>IF($B30=0,1000000,IF(INDEX('計算A'!$D$60:$II$104,$B30,228)*LP30=1,IF(AND($E30=2,UW30=0),1000000,INDEX('計算A'!HW$110:HW$114,$F30+1)+IF(AND($E30=1,UW30=0),1000,0)),1000000))</f>
        <v/>
      </c>
      <c r="AEE30">
        <f>IF($B30=0,1000000,IF(INDEX('計算A'!$D$60:$II$104,$B30,229)*LQ30=1,IF(AND($E30=2,UX30=0),1000000,INDEX('計算A'!HX$110:HX$114,$F30+1)+IF(AND($E30=1,UX30=0),1000,0)),1000000))</f>
        <v/>
      </c>
      <c r="AEF30">
        <f>IF($B30=0,1000000,IF(INDEX('計算A'!$D$60:$II$104,$B30,230)*LR30=1,IF(AND($E30=2,UY30=0),1000000,INDEX('計算A'!HY$110:HY$114,$F30+1)+IF(AND($E30=1,UY30=0),1000,0)),1000000))</f>
        <v/>
      </c>
      <c r="AEG30">
        <f>IF($B30=0,1000000,IF(INDEX('計算A'!$D$60:$II$104,$B30,231)*LS30=1,IF(AND($E30=2,UZ30=0),1000000,INDEX('計算A'!HZ$110:HZ$114,$F30+1)+IF(AND($E30=1,UZ30=0),1000,0)),1000000))</f>
        <v/>
      </c>
      <c r="AEH30">
        <f>IF($B30=0,1000000,IF(INDEX('計算A'!$D$60:$II$104,$B30,232)*LT30=1,IF(AND($E30=2,VA30=0),1000000,INDEX('計算A'!IA$110:IA$114,$F30+1)+IF(AND($E30=1,VA30=0),1000,0)),1000000))</f>
        <v/>
      </c>
      <c r="AEI30">
        <f>IF($B30=0,1000000,IF(INDEX('計算A'!$D$60:$II$104,$B30,233)*LU30=1,IF(AND($E30=2,VB30=0),1000000,INDEX('計算A'!IB$110:IB$114,$F30+1)+IF(AND($E30=1,VB30=0),1000,0)),1000000))</f>
        <v/>
      </c>
      <c r="AEJ30">
        <f>IF($B30=0,1000000,IF(INDEX('計算A'!$D$60:$II$104,$B30,234)*LV30=1,IF(AND($E30=2,VC30=0),1000000,INDEX('計算A'!IC$110:IC$114,$F30+1)+IF(AND($E30=1,VC30=0),1000,0)),1000000))</f>
        <v/>
      </c>
      <c r="AEK30">
        <f>IF($B30=0,1000000,IF(INDEX('計算A'!$D$60:$II$104,$B30,235)*LW30=1,IF(AND($E30=2,VD30=0),1000000,INDEX('計算A'!ID$110:ID$114,$F30+1)+IF(AND($E30=1,VD30=0),1000,0)),1000000))</f>
        <v/>
      </c>
      <c r="AEL30">
        <f>IF($B30=0,1000000,IF(INDEX('計算A'!$D$60:$II$104,$B30,236)*LX30=1,IF(AND($E30=2,VE30=0),1000000,INDEX('計算A'!IE$110:IE$114,$F30+1)+IF(AND($E30=1,VE30=0),1000,0)),1000000))</f>
        <v/>
      </c>
      <c r="AEM30">
        <f>IF($B30=0,1000000,IF(INDEX('計算A'!$D$60:$II$104,$B30,237)*LY30=1,IF(AND($E30=2,VF30=0),1000000,INDEX('計算A'!IF$110:IF$114,$F30+1)+IF(AND($E30=1,VF30=0),1000,0)),1000000))</f>
        <v/>
      </c>
      <c r="AEN30">
        <f>IF($B30=0,1000000,IF(INDEX('計算A'!$D$60:$II$104,$B30,238)*LZ30=1,IF(AND($E30=2,VG30=0),1000000,INDEX('計算A'!IG$110:IG$114,$F30+1)+IF(AND($E30=1,VG30=0),1000,0)),1000000))</f>
        <v/>
      </c>
      <c r="AEO30">
        <f>IF($B30=0,1000000,IF(INDEX('計算A'!$D$60:$II$104,$B30,239)*MA30=1,IF(AND($E30=2,VH30=0),1000000,INDEX('計算A'!IH$110:IH$114,$F30+1)+IF(AND($E30=1,VH30=0),1000,0)),1000000))</f>
        <v/>
      </c>
      <c r="AEP30">
        <f>IF($B30=0,1000000,IF(INDEX('計算A'!$D$60:$II$104,$B30,240)*MB30=1,IF(AND($E30=2,VI30=0),1000000,INDEX('計算A'!II$110:II$114,$F30+1)+IF(AND($E30=1,VI30=0),1000,0)),1000000))</f>
        <v/>
      </c>
    </row>
    <row r="31">
      <c r="A31" t="n">
        <v>29</v>
      </c>
      <c r="B31">
        <f>IF(MIN(BC31:CU31)&gt;=1000000,0,MATCH(MIN(BC31:CU31),BC31:CU31,0))</f>
        <v/>
      </c>
      <c r="C31">
        <f>IF(MIN(VK31:AEP31)&gt;=1000000,0,MATCH(MIN(VK31:AEP31),VK31:AEP31,0))</f>
        <v/>
      </c>
      <c r="D31">
        <f>IF(C31&gt;0,INDEX('計算A'!$D$5:$II$5,C31),0)</f>
        <v/>
      </c>
      <c r="E31">
        <f>IF(B31=0,0,INDEX('計算A'!$IQ$10:$IQ$54,B31))</f>
        <v/>
      </c>
      <c r="F31">
        <f>IF(B31=0,0,INDEX('計算A'!$IP$10:$IP$54,B31))</f>
        <v/>
      </c>
      <c r="G31">
        <f>IF(AND(C31&gt;0,E31&gt;0),IF(AND(INDEX('計算A'!$D$106:$II$106,C31)=1,INDEX($MD31:$VI31,C31)=1),C31+1,0),0)</f>
        <v/>
      </c>
      <c r="I31">
        <f>MAX(I30,IF($B30=1,1,0))</f>
        <v/>
      </c>
      <c r="J31">
        <f>MAX(J30,IF($B30=2,1,0))</f>
        <v/>
      </c>
      <c r="K31">
        <f>MAX(K30,IF($B30=3,1,0))</f>
        <v/>
      </c>
      <c r="L31">
        <f>MAX(L30,IF($B30=4,1,0))</f>
        <v/>
      </c>
      <c r="M31">
        <f>MAX(M30,IF($B30=5,1,0))</f>
        <v/>
      </c>
      <c r="N31">
        <f>MAX(N30,IF($B30=6,1,0))</f>
        <v/>
      </c>
      <c r="O31">
        <f>MAX(O30,IF($B30=7,1,0))</f>
        <v/>
      </c>
      <c r="P31">
        <f>MAX(P30,IF($B30=8,1,0))</f>
        <v/>
      </c>
      <c r="Q31">
        <f>MAX(Q30,IF($B30=9,1,0))</f>
        <v/>
      </c>
      <c r="R31">
        <f>MAX(R30,IF($B30=10,1,0))</f>
        <v/>
      </c>
      <c r="S31">
        <f>MAX(S30,IF($B30=11,1,0))</f>
        <v/>
      </c>
      <c r="T31">
        <f>MAX(T30,IF($B30=12,1,0))</f>
        <v/>
      </c>
      <c r="U31">
        <f>MAX(U30,IF($B30=13,1,0))</f>
        <v/>
      </c>
      <c r="V31">
        <f>MAX(V30,IF($B30=14,1,0))</f>
        <v/>
      </c>
      <c r="W31">
        <f>MAX(W30,IF($B30=15,1,0))</f>
        <v/>
      </c>
      <c r="X31">
        <f>MAX(X30,IF($B30=16,1,0))</f>
        <v/>
      </c>
      <c r="Y31">
        <f>MAX(Y30,IF($B30=17,1,0))</f>
        <v/>
      </c>
      <c r="Z31">
        <f>MAX(Z30,IF($B30=18,1,0))</f>
        <v/>
      </c>
      <c r="AA31">
        <f>MAX(AA30,IF($B30=19,1,0))</f>
        <v/>
      </c>
      <c r="AB31">
        <f>MAX(AB30,IF($B30=20,1,0))</f>
        <v/>
      </c>
      <c r="AC31">
        <f>MAX(AC30,IF($B30=21,1,0))</f>
        <v/>
      </c>
      <c r="AD31">
        <f>MAX(AD30,IF($B30=22,1,0))</f>
        <v/>
      </c>
      <c r="AE31">
        <f>MAX(AE30,IF($B30=23,1,0))</f>
        <v/>
      </c>
      <c r="AF31">
        <f>MAX(AF30,IF($B30=24,1,0))</f>
        <v/>
      </c>
      <c r="AG31">
        <f>MAX(AG30,IF($B30=25,1,0))</f>
        <v/>
      </c>
      <c r="AH31">
        <f>MAX(AH30,IF($B30=26,1,0))</f>
        <v/>
      </c>
      <c r="AI31">
        <f>MAX(AI30,IF($B30=27,1,0))</f>
        <v/>
      </c>
      <c r="AJ31">
        <f>MAX(AJ30,IF($B30=28,1,0))</f>
        <v/>
      </c>
      <c r="AK31">
        <f>MAX(AK30,IF($B30=29,1,0))</f>
        <v/>
      </c>
      <c r="AL31">
        <f>MAX(AL30,IF($B30=30,1,0))</f>
        <v/>
      </c>
      <c r="AM31">
        <f>MAX(AM30,IF($B30=31,1,0))</f>
        <v/>
      </c>
      <c r="AN31">
        <f>MAX(AN30,IF($B30=32,1,0))</f>
        <v/>
      </c>
      <c r="AO31">
        <f>MAX(AO30,IF($B30=33,1,0))</f>
        <v/>
      </c>
      <c r="AP31">
        <f>MAX(AP30,IF($B30=34,1,0))</f>
        <v/>
      </c>
      <c r="AQ31">
        <f>MAX(AQ30,IF($B30=35,1,0))</f>
        <v/>
      </c>
      <c r="AR31">
        <f>MAX(AR30,IF($B30=36,1,0))</f>
        <v/>
      </c>
      <c r="AS31">
        <f>MAX(AS30,IF($B30=37,1,0))</f>
        <v/>
      </c>
      <c r="AT31">
        <f>MAX(AT30,IF($B30=38,1,0))</f>
        <v/>
      </c>
      <c r="AU31">
        <f>MAX(AU30,IF($B30=39,1,0))</f>
        <v/>
      </c>
      <c r="AV31">
        <f>MAX(AV30,IF($B30=40,1,0))</f>
        <v/>
      </c>
      <c r="AW31">
        <f>MAX(AW30,IF($B30=41,1,0))</f>
        <v/>
      </c>
      <c r="AX31">
        <f>MAX(AX30,IF($B30=42,1,0))</f>
        <v/>
      </c>
      <c r="AY31">
        <f>MAX(AY30,IF($B30=43,1,0))</f>
        <v/>
      </c>
      <c r="AZ31">
        <f>MAX(AZ30,IF($B30=44,1,0))</f>
        <v/>
      </c>
      <c r="BA31">
        <f>MAX(BA30,IF($B30=45,1,0))</f>
        <v/>
      </c>
      <c r="BC31">
        <f>IF(I31=1,1000000,IF('計算A'!$IQ$10=2,SUMPRODUCT('計算A'!$D$60:$II$60,$CW31:$MB31,$MD31:$VI31),SUMPRODUCT('計算A'!$D$60:$II$60,$CW31:$MB31))*1000+1)</f>
        <v/>
      </c>
      <c r="BD31">
        <f>IF(J31=1,1000000,IF('計算A'!$IQ$11=2,SUMPRODUCT('計算A'!$D$61:$II$61,$CW31:$MB31,$MD31:$VI31),SUMPRODUCT('計算A'!$D$61:$II$61,$CW31:$MB31))*1000+2)</f>
        <v/>
      </c>
      <c r="BE31">
        <f>IF(K31=1,1000000,IF('計算A'!$IQ$12=2,SUMPRODUCT('計算A'!$D$62:$II$62,$CW31:$MB31,$MD31:$VI31),SUMPRODUCT('計算A'!$D$62:$II$62,$CW31:$MB31))*1000+3)</f>
        <v/>
      </c>
      <c r="BF31">
        <f>IF(L31=1,1000000,IF('計算A'!$IQ$13=2,SUMPRODUCT('計算A'!$D$63:$II$63,$CW31:$MB31,$MD31:$VI31),SUMPRODUCT('計算A'!$D$63:$II$63,$CW31:$MB31))*1000+4)</f>
        <v/>
      </c>
      <c r="BG31">
        <f>IF(M31=1,1000000,IF('計算A'!$IQ$14=2,SUMPRODUCT('計算A'!$D$64:$II$64,$CW31:$MB31,$MD31:$VI31),SUMPRODUCT('計算A'!$D$64:$II$64,$CW31:$MB31))*1000+5)</f>
        <v/>
      </c>
      <c r="BH31">
        <f>IF(N31=1,1000000,IF('計算A'!$IQ$15=2,SUMPRODUCT('計算A'!$D$65:$II$65,$CW31:$MB31,$MD31:$VI31),SUMPRODUCT('計算A'!$D$65:$II$65,$CW31:$MB31))*1000+6)</f>
        <v/>
      </c>
      <c r="BI31">
        <f>IF(O31=1,1000000,IF('計算A'!$IQ$16=2,SUMPRODUCT('計算A'!$D$66:$II$66,$CW31:$MB31,$MD31:$VI31),SUMPRODUCT('計算A'!$D$66:$II$66,$CW31:$MB31))*1000+7)</f>
        <v/>
      </c>
      <c r="BJ31">
        <f>IF(P31=1,1000000,IF('計算A'!$IQ$17=2,SUMPRODUCT('計算A'!$D$67:$II$67,$CW31:$MB31,$MD31:$VI31),SUMPRODUCT('計算A'!$D$67:$II$67,$CW31:$MB31))*1000+8)</f>
        <v/>
      </c>
      <c r="BK31">
        <f>IF(Q31=1,1000000,IF('計算A'!$IQ$18=2,SUMPRODUCT('計算A'!$D$68:$II$68,$CW31:$MB31,$MD31:$VI31),SUMPRODUCT('計算A'!$D$68:$II$68,$CW31:$MB31))*1000+9)</f>
        <v/>
      </c>
      <c r="BL31">
        <f>IF(R31=1,1000000,IF('計算A'!$IQ$19=2,SUMPRODUCT('計算A'!$D$69:$II$69,$CW31:$MB31,$MD31:$VI31),SUMPRODUCT('計算A'!$D$69:$II$69,$CW31:$MB31))*1000+10)</f>
        <v/>
      </c>
      <c r="BM31">
        <f>IF(S31=1,1000000,IF('計算A'!$IQ$20=2,SUMPRODUCT('計算A'!$D$70:$II$70,$CW31:$MB31,$MD31:$VI31),SUMPRODUCT('計算A'!$D$70:$II$70,$CW31:$MB31))*1000+11)</f>
        <v/>
      </c>
      <c r="BN31">
        <f>IF(T31=1,1000000,IF('計算A'!$IQ$21=2,SUMPRODUCT('計算A'!$D$71:$II$71,$CW31:$MB31,$MD31:$VI31),SUMPRODUCT('計算A'!$D$71:$II$71,$CW31:$MB31))*1000+12)</f>
        <v/>
      </c>
      <c r="BO31">
        <f>IF(U31=1,1000000,IF('計算A'!$IQ$22=2,SUMPRODUCT('計算A'!$D$72:$II$72,$CW31:$MB31,$MD31:$VI31),SUMPRODUCT('計算A'!$D$72:$II$72,$CW31:$MB31))*1000+13)</f>
        <v/>
      </c>
      <c r="BP31">
        <f>IF(V31=1,1000000,IF('計算A'!$IQ$23=2,SUMPRODUCT('計算A'!$D$73:$II$73,$CW31:$MB31,$MD31:$VI31),SUMPRODUCT('計算A'!$D$73:$II$73,$CW31:$MB31))*1000+14)</f>
        <v/>
      </c>
      <c r="BQ31">
        <f>IF(W31=1,1000000,IF('計算A'!$IQ$24=2,SUMPRODUCT('計算A'!$D$74:$II$74,$CW31:$MB31,$MD31:$VI31),SUMPRODUCT('計算A'!$D$74:$II$74,$CW31:$MB31))*1000+15)</f>
        <v/>
      </c>
      <c r="BR31">
        <f>IF(X31=1,1000000,IF('計算A'!$IQ$25=2,SUMPRODUCT('計算A'!$D$75:$II$75,$CW31:$MB31,$MD31:$VI31),SUMPRODUCT('計算A'!$D$75:$II$75,$CW31:$MB31))*1000+16)</f>
        <v/>
      </c>
      <c r="BS31">
        <f>IF(Y31=1,1000000,IF('計算A'!$IQ$26=2,SUMPRODUCT('計算A'!$D$76:$II$76,$CW31:$MB31,$MD31:$VI31),SUMPRODUCT('計算A'!$D$76:$II$76,$CW31:$MB31))*1000+17)</f>
        <v/>
      </c>
      <c r="BT31">
        <f>IF(Z31=1,1000000,IF('計算A'!$IQ$27=2,SUMPRODUCT('計算A'!$D$77:$II$77,$CW31:$MB31,$MD31:$VI31),SUMPRODUCT('計算A'!$D$77:$II$77,$CW31:$MB31))*1000+18)</f>
        <v/>
      </c>
      <c r="BU31">
        <f>IF(AA31=1,1000000,IF('計算A'!$IQ$28=2,SUMPRODUCT('計算A'!$D$78:$II$78,$CW31:$MB31,$MD31:$VI31),SUMPRODUCT('計算A'!$D$78:$II$78,$CW31:$MB31))*1000+19)</f>
        <v/>
      </c>
      <c r="BV31">
        <f>IF(AB31=1,1000000,IF('計算A'!$IQ$29=2,SUMPRODUCT('計算A'!$D$79:$II$79,$CW31:$MB31,$MD31:$VI31),SUMPRODUCT('計算A'!$D$79:$II$79,$CW31:$MB31))*1000+20)</f>
        <v/>
      </c>
      <c r="BW31">
        <f>IF(AC31=1,1000000,IF('計算A'!$IQ$30=2,SUMPRODUCT('計算A'!$D$80:$II$80,$CW31:$MB31,$MD31:$VI31),SUMPRODUCT('計算A'!$D$80:$II$80,$CW31:$MB31))*1000+21)</f>
        <v/>
      </c>
      <c r="BX31">
        <f>IF(AD31=1,1000000,IF('計算A'!$IQ$31=2,SUMPRODUCT('計算A'!$D$81:$II$81,$CW31:$MB31,$MD31:$VI31),SUMPRODUCT('計算A'!$D$81:$II$81,$CW31:$MB31))*1000+22)</f>
        <v/>
      </c>
      <c r="BY31">
        <f>IF(AE31=1,1000000,IF('計算A'!$IQ$32=2,SUMPRODUCT('計算A'!$D$82:$II$82,$CW31:$MB31,$MD31:$VI31),SUMPRODUCT('計算A'!$D$82:$II$82,$CW31:$MB31))*1000+23)</f>
        <v/>
      </c>
      <c r="BZ31">
        <f>IF(AF31=1,1000000,IF('計算A'!$IQ$33=2,SUMPRODUCT('計算A'!$D$83:$II$83,$CW31:$MB31,$MD31:$VI31),SUMPRODUCT('計算A'!$D$83:$II$83,$CW31:$MB31))*1000+24)</f>
        <v/>
      </c>
      <c r="CA31">
        <f>IF(AG31=1,1000000,IF('計算A'!$IQ$34=2,SUMPRODUCT('計算A'!$D$84:$II$84,$CW31:$MB31,$MD31:$VI31),SUMPRODUCT('計算A'!$D$84:$II$84,$CW31:$MB31))*1000+25)</f>
        <v/>
      </c>
      <c r="CB31">
        <f>IF(AH31=1,1000000,IF('計算A'!$IQ$35=2,SUMPRODUCT('計算A'!$D$85:$II$85,$CW31:$MB31,$MD31:$VI31),SUMPRODUCT('計算A'!$D$85:$II$85,$CW31:$MB31))*1000+26)</f>
        <v/>
      </c>
      <c r="CC31">
        <f>IF(AI31=1,1000000,IF('計算A'!$IQ$36=2,SUMPRODUCT('計算A'!$D$86:$II$86,$CW31:$MB31,$MD31:$VI31),SUMPRODUCT('計算A'!$D$86:$II$86,$CW31:$MB31))*1000+27)</f>
        <v/>
      </c>
      <c r="CD31">
        <f>IF(AJ31=1,1000000,IF('計算A'!$IQ$37=2,SUMPRODUCT('計算A'!$D$87:$II$87,$CW31:$MB31,$MD31:$VI31),SUMPRODUCT('計算A'!$D$87:$II$87,$CW31:$MB31))*1000+28)</f>
        <v/>
      </c>
      <c r="CE31">
        <f>IF(AK31=1,1000000,IF('計算A'!$IQ$38=2,SUMPRODUCT('計算A'!$D$88:$II$88,$CW31:$MB31,$MD31:$VI31),SUMPRODUCT('計算A'!$D$88:$II$88,$CW31:$MB31))*1000+29)</f>
        <v/>
      </c>
      <c r="CF31">
        <f>IF(AL31=1,1000000,IF('計算A'!$IQ$39=2,SUMPRODUCT('計算A'!$D$89:$II$89,$CW31:$MB31,$MD31:$VI31),SUMPRODUCT('計算A'!$D$89:$II$89,$CW31:$MB31))*1000+30)</f>
        <v/>
      </c>
      <c r="CG31">
        <f>IF(AM31=1,1000000,IF('計算A'!$IQ$40=2,SUMPRODUCT('計算A'!$D$90:$II$90,$CW31:$MB31,$MD31:$VI31),SUMPRODUCT('計算A'!$D$90:$II$90,$CW31:$MB31))*1000+31)</f>
        <v/>
      </c>
      <c r="CH31">
        <f>IF(AN31=1,1000000,IF('計算A'!$IQ$41=2,SUMPRODUCT('計算A'!$D$91:$II$91,$CW31:$MB31,$MD31:$VI31),SUMPRODUCT('計算A'!$D$91:$II$91,$CW31:$MB31))*1000+32)</f>
        <v/>
      </c>
      <c r="CI31">
        <f>IF(AO31=1,1000000,IF('計算A'!$IQ$42=2,SUMPRODUCT('計算A'!$D$92:$II$92,$CW31:$MB31,$MD31:$VI31),SUMPRODUCT('計算A'!$D$92:$II$92,$CW31:$MB31))*1000+33)</f>
        <v/>
      </c>
      <c r="CJ31">
        <f>IF(AP31=1,1000000,IF('計算A'!$IQ$43=2,SUMPRODUCT('計算A'!$D$93:$II$93,$CW31:$MB31,$MD31:$VI31),SUMPRODUCT('計算A'!$D$93:$II$93,$CW31:$MB31))*1000+34)</f>
        <v/>
      </c>
      <c r="CK31">
        <f>IF(AQ31=1,1000000,IF('計算A'!$IQ$44=2,SUMPRODUCT('計算A'!$D$94:$II$94,$CW31:$MB31,$MD31:$VI31),SUMPRODUCT('計算A'!$D$94:$II$94,$CW31:$MB31))*1000+35)</f>
        <v/>
      </c>
      <c r="CL31">
        <f>IF(AR31=1,1000000,IF('計算A'!$IQ$45=2,SUMPRODUCT('計算A'!$D$95:$II$95,$CW31:$MB31,$MD31:$VI31),SUMPRODUCT('計算A'!$D$95:$II$95,$CW31:$MB31))*1000+36)</f>
        <v/>
      </c>
      <c r="CM31">
        <f>IF(AS31=1,1000000,IF('計算A'!$IQ$46=2,SUMPRODUCT('計算A'!$D$96:$II$96,$CW31:$MB31,$MD31:$VI31),SUMPRODUCT('計算A'!$D$96:$II$96,$CW31:$MB31))*1000+37)</f>
        <v/>
      </c>
      <c r="CN31">
        <f>IF(AT31=1,1000000,IF('計算A'!$IQ$47=2,SUMPRODUCT('計算A'!$D$97:$II$97,$CW31:$MB31,$MD31:$VI31),SUMPRODUCT('計算A'!$D$97:$II$97,$CW31:$MB31))*1000+38)</f>
        <v/>
      </c>
      <c r="CO31">
        <f>IF(AU31=1,1000000,IF('計算A'!$IQ$48=2,SUMPRODUCT('計算A'!$D$98:$II$98,$CW31:$MB31,$MD31:$VI31),SUMPRODUCT('計算A'!$D$98:$II$98,$CW31:$MB31))*1000+39)</f>
        <v/>
      </c>
      <c r="CP31">
        <f>IF(AV31=1,1000000,IF('計算A'!$IQ$49=2,SUMPRODUCT('計算A'!$D$99:$II$99,$CW31:$MB31,$MD31:$VI31),SUMPRODUCT('計算A'!$D$99:$II$99,$CW31:$MB31))*1000+40)</f>
        <v/>
      </c>
      <c r="CQ31">
        <f>IF(AW31=1,1000000,IF('計算A'!$IQ$50=2,SUMPRODUCT('計算A'!$D$100:$II$100,$CW31:$MB31,$MD31:$VI31),SUMPRODUCT('計算A'!$D$100:$II$100,$CW31:$MB31))*1000+41)</f>
        <v/>
      </c>
      <c r="CR31">
        <f>IF(AX31=1,1000000,IF('計算A'!$IQ$51=2,SUMPRODUCT('計算A'!$D$101:$II$101,$CW31:$MB31,$MD31:$VI31),SUMPRODUCT('計算A'!$D$101:$II$101,$CW31:$MB31))*1000+42)</f>
        <v/>
      </c>
      <c r="CS31">
        <f>IF(AY31=1,1000000,IF('計算A'!$IQ$52=2,SUMPRODUCT('計算A'!$D$102:$II$102,$CW31:$MB31,$MD31:$VI31),SUMPRODUCT('計算A'!$D$102:$II$102,$CW31:$MB31))*1000+43)</f>
        <v/>
      </c>
      <c r="CT31">
        <f>IF(AZ31=1,1000000,IF('計算A'!$IQ$53=2,SUMPRODUCT('計算A'!$D$103:$II$103,$CW31:$MB31,$MD31:$VI31),SUMPRODUCT('計算A'!$D$103:$II$103,$CW31:$MB31))*1000+44)</f>
        <v/>
      </c>
      <c r="CU31">
        <f>IF(BA31=1,1000000,IF('計算A'!$IQ$54=2,SUMPRODUCT('計算A'!$D$104:$II$104,$CW31:$MB31,$MD31:$VI31),SUMPRODUCT('計算A'!$D$104:$II$104,$CW31:$MB31))*1000+45)</f>
        <v/>
      </c>
      <c r="CW31">
        <f>CW30*IF(OR($C30=1,$G30=1),0,1)</f>
        <v/>
      </c>
      <c r="CX31">
        <f>CX30*IF(OR($C30=2,$G30=2),0,1)</f>
        <v/>
      </c>
      <c r="CY31">
        <f>CY30*IF(OR($C30=3,$G30=3),0,1)</f>
        <v/>
      </c>
      <c r="CZ31">
        <f>CZ30*IF(OR($C30=4,$G30=4),0,1)</f>
        <v/>
      </c>
      <c r="DA31">
        <f>DA30*IF(OR($C30=5,$G30=5),0,1)</f>
        <v/>
      </c>
      <c r="DB31">
        <f>DB30*IF(OR($C30=6,$G30=6),0,1)</f>
        <v/>
      </c>
      <c r="DC31">
        <f>DC30*IF(OR($C30=7,$G30=7),0,1)</f>
        <v/>
      </c>
      <c r="DD31">
        <f>DD30*IF(OR($C30=8,$G30=8),0,1)</f>
        <v/>
      </c>
      <c r="DE31">
        <f>DE30*IF(OR($C30=9,$G30=9),0,1)</f>
        <v/>
      </c>
      <c r="DF31">
        <f>DF30*IF(OR($C30=10,$G30=10),0,1)</f>
        <v/>
      </c>
      <c r="DG31">
        <f>DG30*IF(OR($C30=11,$G30=11),0,1)</f>
        <v/>
      </c>
      <c r="DH31">
        <f>DH30*IF(OR($C30=12,$G30=12),0,1)</f>
        <v/>
      </c>
      <c r="DI31">
        <f>DI30*IF(OR($C30=13,$G30=13),0,1)</f>
        <v/>
      </c>
      <c r="DJ31">
        <f>DJ30*IF(OR($C30=14,$G30=14),0,1)</f>
        <v/>
      </c>
      <c r="DK31">
        <f>DK30*IF(OR($C30=15,$G30=15),0,1)</f>
        <v/>
      </c>
      <c r="DL31">
        <f>DL30*IF(OR($C30=16,$G30=16),0,1)</f>
        <v/>
      </c>
      <c r="DM31">
        <f>DM30*IF(OR($C30=17,$G30=17),0,1)</f>
        <v/>
      </c>
      <c r="DN31">
        <f>DN30*IF(OR($C30=18,$G30=18),0,1)</f>
        <v/>
      </c>
      <c r="DO31">
        <f>DO30*IF(OR($C30=19,$G30=19),0,1)</f>
        <v/>
      </c>
      <c r="DP31">
        <f>DP30*IF(OR($C30=20,$G30=20),0,1)</f>
        <v/>
      </c>
      <c r="DQ31">
        <f>DQ30*IF(OR($C30=21,$G30=21),0,1)</f>
        <v/>
      </c>
      <c r="DR31">
        <f>DR30*IF(OR($C30=22,$G30=22),0,1)</f>
        <v/>
      </c>
      <c r="DS31">
        <f>DS30*IF(OR($C30=23,$G30=23),0,1)</f>
        <v/>
      </c>
      <c r="DT31">
        <f>DT30*IF(OR($C30=24,$G30=24),0,1)</f>
        <v/>
      </c>
      <c r="DU31">
        <f>DU30*IF(OR($C30=25,$G30=25),0,1)</f>
        <v/>
      </c>
      <c r="DV31">
        <f>DV30*IF(OR($C30=26,$G30=26),0,1)</f>
        <v/>
      </c>
      <c r="DW31">
        <f>DW30*IF(OR($C30=27,$G30=27),0,1)</f>
        <v/>
      </c>
      <c r="DX31">
        <f>DX30*IF(OR($C30=28,$G30=28),0,1)</f>
        <v/>
      </c>
      <c r="DY31">
        <f>DY30*IF(OR($C30=29,$G30=29),0,1)</f>
        <v/>
      </c>
      <c r="DZ31">
        <f>DZ30*IF(OR($C30=30,$G30=30),0,1)</f>
        <v/>
      </c>
      <c r="EA31">
        <f>EA30*IF(OR($C30=31,$G30=31),0,1)</f>
        <v/>
      </c>
      <c r="EB31">
        <f>EB30*IF(OR($C30=32,$G30=32),0,1)</f>
        <v/>
      </c>
      <c r="EC31">
        <f>EC30*IF(OR($C30=33,$G30=33),0,1)</f>
        <v/>
      </c>
      <c r="ED31">
        <f>ED30*IF(OR($C30=34,$G30=34),0,1)</f>
        <v/>
      </c>
      <c r="EE31">
        <f>EE30*IF(OR($C30=35,$G30=35),0,1)</f>
        <v/>
      </c>
      <c r="EF31">
        <f>EF30*IF(OR($C30=36,$G30=36),0,1)</f>
        <v/>
      </c>
      <c r="EG31">
        <f>EG30*IF(OR($C30=37,$G30=37),0,1)</f>
        <v/>
      </c>
      <c r="EH31">
        <f>EH30*IF(OR($C30=38,$G30=38),0,1)</f>
        <v/>
      </c>
      <c r="EI31">
        <f>EI30*IF(OR($C30=39,$G30=39),0,1)</f>
        <v/>
      </c>
      <c r="EJ31">
        <f>EJ30*IF(OR($C30=40,$G30=40),0,1)</f>
        <v/>
      </c>
      <c r="EK31">
        <f>EK30*IF(OR($C30=41,$G30=41),0,1)</f>
        <v/>
      </c>
      <c r="EL31">
        <f>EL30*IF(OR($C30=42,$G30=42),0,1)</f>
        <v/>
      </c>
      <c r="EM31">
        <f>EM30*IF(OR($C30=43,$G30=43),0,1)</f>
        <v/>
      </c>
      <c r="EN31">
        <f>EN30*IF(OR($C30=44,$G30=44),0,1)</f>
        <v/>
      </c>
      <c r="EO31">
        <f>EO30*IF(OR($C30=45,$G30=45),0,1)</f>
        <v/>
      </c>
      <c r="EP31">
        <f>EP30*IF(OR($C30=46,$G30=46),0,1)</f>
        <v/>
      </c>
      <c r="EQ31">
        <f>EQ30*IF(OR($C30=47,$G30=47),0,1)</f>
        <v/>
      </c>
      <c r="ER31">
        <f>ER30*IF(OR($C30=48,$G30=48),0,1)</f>
        <v/>
      </c>
      <c r="ES31">
        <f>ES30*IF(OR($C30=49,$G30=49),0,1)</f>
        <v/>
      </c>
      <c r="ET31">
        <f>ET30*IF(OR($C30=50,$G30=50),0,1)</f>
        <v/>
      </c>
      <c r="EU31">
        <f>EU30*IF(OR($C30=51,$G30=51),0,1)</f>
        <v/>
      </c>
      <c r="EV31">
        <f>EV30*IF(OR($C30=52,$G30=52),0,1)</f>
        <v/>
      </c>
      <c r="EW31">
        <f>EW30*IF(OR($C30=53,$G30=53),0,1)</f>
        <v/>
      </c>
      <c r="EX31">
        <f>EX30*IF(OR($C30=54,$G30=54),0,1)</f>
        <v/>
      </c>
      <c r="EY31">
        <f>EY30*IF(OR($C30=55,$G30=55),0,1)</f>
        <v/>
      </c>
      <c r="EZ31">
        <f>EZ30*IF(OR($C30=56,$G30=56),0,1)</f>
        <v/>
      </c>
      <c r="FA31">
        <f>FA30*IF(OR($C30=57,$G30=57),0,1)</f>
        <v/>
      </c>
      <c r="FB31">
        <f>FB30*IF(OR($C30=58,$G30=58),0,1)</f>
        <v/>
      </c>
      <c r="FC31">
        <f>FC30*IF(OR($C30=59,$G30=59),0,1)</f>
        <v/>
      </c>
      <c r="FD31">
        <f>FD30*IF(OR($C30=60,$G30=60),0,1)</f>
        <v/>
      </c>
      <c r="FE31">
        <f>FE30*IF(OR($C30=61,$G30=61),0,1)</f>
        <v/>
      </c>
      <c r="FF31">
        <f>FF30*IF(OR($C30=62,$G30=62),0,1)</f>
        <v/>
      </c>
      <c r="FG31">
        <f>FG30*IF(OR($C30=63,$G30=63),0,1)</f>
        <v/>
      </c>
      <c r="FH31">
        <f>FH30*IF(OR($C30=64,$G30=64),0,1)</f>
        <v/>
      </c>
      <c r="FI31">
        <f>FI30*IF(OR($C30=65,$G30=65),0,1)</f>
        <v/>
      </c>
      <c r="FJ31">
        <f>FJ30*IF(OR($C30=66,$G30=66),0,1)</f>
        <v/>
      </c>
      <c r="FK31">
        <f>FK30*IF(OR($C30=67,$G30=67),0,1)</f>
        <v/>
      </c>
      <c r="FL31">
        <f>FL30*IF(OR($C30=68,$G30=68),0,1)</f>
        <v/>
      </c>
      <c r="FM31">
        <f>FM30*IF(OR($C30=69,$G30=69),0,1)</f>
        <v/>
      </c>
      <c r="FN31">
        <f>FN30*IF(OR($C30=70,$G30=70),0,1)</f>
        <v/>
      </c>
      <c r="FO31">
        <f>FO30*IF(OR($C30=71,$G30=71),0,1)</f>
        <v/>
      </c>
      <c r="FP31">
        <f>FP30*IF(OR($C30=72,$G30=72),0,1)</f>
        <v/>
      </c>
      <c r="FQ31">
        <f>FQ30*IF(OR($C30=73,$G30=73),0,1)</f>
        <v/>
      </c>
      <c r="FR31">
        <f>FR30*IF(OR($C30=74,$G30=74),0,1)</f>
        <v/>
      </c>
      <c r="FS31">
        <f>FS30*IF(OR($C30=75,$G30=75),0,1)</f>
        <v/>
      </c>
      <c r="FT31">
        <f>FT30*IF(OR($C30=76,$G30=76),0,1)</f>
        <v/>
      </c>
      <c r="FU31">
        <f>FU30*IF(OR($C30=77,$G30=77),0,1)</f>
        <v/>
      </c>
      <c r="FV31">
        <f>FV30*IF(OR($C30=78,$G30=78),0,1)</f>
        <v/>
      </c>
      <c r="FW31">
        <f>FW30*IF(OR($C30=79,$G30=79),0,1)</f>
        <v/>
      </c>
      <c r="FX31">
        <f>FX30*IF(OR($C30=80,$G30=80),0,1)</f>
        <v/>
      </c>
      <c r="FY31">
        <f>FY30*IF(OR($C30=81,$G30=81),0,1)</f>
        <v/>
      </c>
      <c r="FZ31">
        <f>FZ30*IF(OR($C30=82,$G30=82),0,1)</f>
        <v/>
      </c>
      <c r="GA31">
        <f>GA30*IF(OR($C30=83,$G30=83),0,1)</f>
        <v/>
      </c>
      <c r="GB31">
        <f>GB30*IF(OR($C30=84,$G30=84),0,1)</f>
        <v/>
      </c>
      <c r="GC31">
        <f>GC30*IF(OR($C30=85,$G30=85),0,1)</f>
        <v/>
      </c>
      <c r="GD31">
        <f>GD30*IF(OR($C30=86,$G30=86),0,1)</f>
        <v/>
      </c>
      <c r="GE31">
        <f>GE30*IF(OR($C30=87,$G30=87),0,1)</f>
        <v/>
      </c>
      <c r="GF31">
        <f>GF30*IF(OR($C30=88,$G30=88),0,1)</f>
        <v/>
      </c>
      <c r="GG31">
        <f>GG30*IF(OR($C30=89,$G30=89),0,1)</f>
        <v/>
      </c>
      <c r="GH31">
        <f>GH30*IF(OR($C30=90,$G30=90),0,1)</f>
        <v/>
      </c>
      <c r="GI31">
        <f>GI30*IF(OR($C30=91,$G30=91),0,1)</f>
        <v/>
      </c>
      <c r="GJ31">
        <f>GJ30*IF(OR($C30=92,$G30=92),0,1)</f>
        <v/>
      </c>
      <c r="GK31">
        <f>GK30*IF(OR($C30=93,$G30=93),0,1)</f>
        <v/>
      </c>
      <c r="GL31">
        <f>GL30*IF(OR($C30=94,$G30=94),0,1)</f>
        <v/>
      </c>
      <c r="GM31">
        <f>GM30*IF(OR($C30=95,$G30=95),0,1)</f>
        <v/>
      </c>
      <c r="GN31">
        <f>GN30*IF(OR($C30=96,$G30=96),0,1)</f>
        <v/>
      </c>
      <c r="GO31">
        <f>GO30*IF(OR($C30=97,$G30=97),0,1)</f>
        <v/>
      </c>
      <c r="GP31">
        <f>GP30*IF(OR($C30=98,$G30=98),0,1)</f>
        <v/>
      </c>
      <c r="GQ31">
        <f>GQ30*IF(OR($C30=99,$G30=99),0,1)</f>
        <v/>
      </c>
      <c r="GR31">
        <f>GR30*IF(OR($C30=100,$G30=100),0,1)</f>
        <v/>
      </c>
      <c r="GS31">
        <f>GS30*IF(OR($C30=101,$G30=101),0,1)</f>
        <v/>
      </c>
      <c r="GT31">
        <f>GT30*IF(OR($C30=102,$G30=102),0,1)</f>
        <v/>
      </c>
      <c r="GU31">
        <f>GU30*IF(OR($C30=103,$G30=103),0,1)</f>
        <v/>
      </c>
      <c r="GV31">
        <f>GV30*IF(OR($C30=104,$G30=104),0,1)</f>
        <v/>
      </c>
      <c r="GW31">
        <f>GW30*IF(OR($C30=105,$G30=105),0,1)</f>
        <v/>
      </c>
      <c r="GX31">
        <f>GX30*IF(OR($C30=106,$G30=106),0,1)</f>
        <v/>
      </c>
      <c r="GY31">
        <f>GY30*IF(OR($C30=107,$G30=107),0,1)</f>
        <v/>
      </c>
      <c r="GZ31">
        <f>GZ30*IF(OR($C30=108,$G30=108),0,1)</f>
        <v/>
      </c>
      <c r="HA31">
        <f>HA30*IF(OR($C30=109,$G30=109),0,1)</f>
        <v/>
      </c>
      <c r="HB31">
        <f>HB30*IF(OR($C30=110,$G30=110),0,1)</f>
        <v/>
      </c>
      <c r="HC31">
        <f>HC30*IF(OR($C30=111,$G30=111),0,1)</f>
        <v/>
      </c>
      <c r="HD31">
        <f>HD30*IF(OR($C30=112,$G30=112),0,1)</f>
        <v/>
      </c>
      <c r="HE31">
        <f>HE30*IF(OR($C30=113,$G30=113),0,1)</f>
        <v/>
      </c>
      <c r="HF31">
        <f>HF30*IF(OR($C30=114,$G30=114),0,1)</f>
        <v/>
      </c>
      <c r="HG31">
        <f>HG30*IF(OR($C30=115,$G30=115),0,1)</f>
        <v/>
      </c>
      <c r="HH31">
        <f>HH30*IF(OR($C30=116,$G30=116),0,1)</f>
        <v/>
      </c>
      <c r="HI31">
        <f>HI30*IF(OR($C30=117,$G30=117),0,1)</f>
        <v/>
      </c>
      <c r="HJ31">
        <f>HJ30*IF(OR($C30=118,$G30=118),0,1)</f>
        <v/>
      </c>
      <c r="HK31">
        <f>HK30*IF(OR($C30=119,$G30=119),0,1)</f>
        <v/>
      </c>
      <c r="HL31">
        <f>HL30*IF(OR($C30=120,$G30=120),0,1)</f>
        <v/>
      </c>
      <c r="HM31">
        <f>HM30*IF(OR($C30=121,$G30=121),0,1)</f>
        <v/>
      </c>
      <c r="HN31">
        <f>HN30*IF(OR($C30=122,$G30=122),0,1)</f>
        <v/>
      </c>
      <c r="HO31">
        <f>HO30*IF(OR($C30=123,$G30=123),0,1)</f>
        <v/>
      </c>
      <c r="HP31">
        <f>HP30*IF(OR($C30=124,$G30=124),0,1)</f>
        <v/>
      </c>
      <c r="HQ31">
        <f>HQ30*IF(OR($C30=125,$G30=125),0,1)</f>
        <v/>
      </c>
      <c r="HR31">
        <f>HR30*IF(OR($C30=126,$G30=126),0,1)</f>
        <v/>
      </c>
      <c r="HS31">
        <f>HS30*IF(OR($C30=127,$G30=127),0,1)</f>
        <v/>
      </c>
      <c r="HT31">
        <f>HT30*IF(OR($C30=128,$G30=128),0,1)</f>
        <v/>
      </c>
      <c r="HU31">
        <f>HU30*IF(OR($C30=129,$G30=129),0,1)</f>
        <v/>
      </c>
      <c r="HV31">
        <f>HV30*IF(OR($C30=130,$G30=130),0,1)</f>
        <v/>
      </c>
      <c r="HW31">
        <f>HW30*IF(OR($C30=131,$G30=131),0,1)</f>
        <v/>
      </c>
      <c r="HX31">
        <f>HX30*IF(OR($C30=132,$G30=132),0,1)</f>
        <v/>
      </c>
      <c r="HY31">
        <f>HY30*IF(OR($C30=133,$G30=133),0,1)</f>
        <v/>
      </c>
      <c r="HZ31">
        <f>HZ30*IF(OR($C30=134,$G30=134),0,1)</f>
        <v/>
      </c>
      <c r="IA31">
        <f>IA30*IF(OR($C30=135,$G30=135),0,1)</f>
        <v/>
      </c>
      <c r="IB31">
        <f>IB30*IF(OR($C30=136,$G30=136),0,1)</f>
        <v/>
      </c>
      <c r="IC31">
        <f>IC30*IF(OR($C30=137,$G30=137),0,1)</f>
        <v/>
      </c>
      <c r="ID31">
        <f>ID30*IF(OR($C30=138,$G30=138),0,1)</f>
        <v/>
      </c>
      <c r="IE31">
        <f>IE30*IF(OR($C30=139,$G30=139),0,1)</f>
        <v/>
      </c>
      <c r="IF31">
        <f>IF30*IF(OR($C30=140,$G30=140),0,1)</f>
        <v/>
      </c>
      <c r="IG31">
        <f>IG30*IF(OR($C30=141,$G30=141),0,1)</f>
        <v/>
      </c>
      <c r="IH31">
        <f>IH30*IF(OR($C30=142,$G30=142),0,1)</f>
        <v/>
      </c>
      <c r="II31">
        <f>II30*IF(OR($C30=143,$G30=143),0,1)</f>
        <v/>
      </c>
      <c r="IJ31">
        <f>IJ30*IF(OR($C30=144,$G30=144),0,1)</f>
        <v/>
      </c>
      <c r="IK31">
        <f>IK30*IF(OR($C30=145,$G30=145),0,1)</f>
        <v/>
      </c>
      <c r="IL31">
        <f>IL30*IF(OR($C30=146,$G30=146),0,1)</f>
        <v/>
      </c>
      <c r="IM31">
        <f>IM30*IF(OR($C30=147,$G30=147),0,1)</f>
        <v/>
      </c>
      <c r="IN31">
        <f>IN30*IF(OR($C30=148,$G30=148),0,1)</f>
        <v/>
      </c>
      <c r="IO31">
        <f>IO30*IF(OR($C30=149,$G30=149),0,1)</f>
        <v/>
      </c>
      <c r="IP31">
        <f>IP30*IF(OR($C30=150,$G30=150),0,1)</f>
        <v/>
      </c>
      <c r="IQ31">
        <f>IQ30*IF(OR($C30=151,$G30=151),0,1)</f>
        <v/>
      </c>
      <c r="IR31">
        <f>IR30*IF(OR($C30=152,$G30=152),0,1)</f>
        <v/>
      </c>
      <c r="IS31">
        <f>IS30*IF(OR($C30=153,$G30=153),0,1)</f>
        <v/>
      </c>
      <c r="IT31">
        <f>IT30*IF(OR($C30=154,$G30=154),0,1)</f>
        <v/>
      </c>
      <c r="IU31">
        <f>IU30*IF(OR($C30=155,$G30=155),0,1)</f>
        <v/>
      </c>
      <c r="IV31">
        <f>IV30*IF(OR($C30=156,$G30=156),0,1)</f>
        <v/>
      </c>
      <c r="IW31">
        <f>IW30*IF(OR($C30=157,$G30=157),0,1)</f>
        <v/>
      </c>
      <c r="IX31">
        <f>IX30*IF(OR($C30=158,$G30=158),0,1)</f>
        <v/>
      </c>
      <c r="IY31">
        <f>IY30*IF(OR($C30=159,$G30=159),0,1)</f>
        <v/>
      </c>
      <c r="IZ31">
        <f>IZ30*IF(OR($C30=160,$G30=160),0,1)</f>
        <v/>
      </c>
      <c r="JA31">
        <f>JA30*IF(OR($C30=161,$G30=161),0,1)</f>
        <v/>
      </c>
      <c r="JB31">
        <f>JB30*IF(OR($C30=162,$G30=162),0,1)</f>
        <v/>
      </c>
      <c r="JC31">
        <f>JC30*IF(OR($C30=163,$G30=163),0,1)</f>
        <v/>
      </c>
      <c r="JD31">
        <f>JD30*IF(OR($C30=164,$G30=164),0,1)</f>
        <v/>
      </c>
      <c r="JE31">
        <f>JE30*IF(OR($C30=165,$G30=165),0,1)</f>
        <v/>
      </c>
      <c r="JF31">
        <f>JF30*IF(OR($C30=166,$G30=166),0,1)</f>
        <v/>
      </c>
      <c r="JG31">
        <f>JG30*IF(OR($C30=167,$G30=167),0,1)</f>
        <v/>
      </c>
      <c r="JH31">
        <f>JH30*IF(OR($C30=168,$G30=168),0,1)</f>
        <v/>
      </c>
      <c r="JI31">
        <f>JI30*IF(OR($C30=169,$G30=169),0,1)</f>
        <v/>
      </c>
      <c r="JJ31">
        <f>JJ30*IF(OR($C30=170,$G30=170),0,1)</f>
        <v/>
      </c>
      <c r="JK31">
        <f>JK30*IF(OR($C30=171,$G30=171),0,1)</f>
        <v/>
      </c>
      <c r="JL31">
        <f>JL30*IF(OR($C30=172,$G30=172),0,1)</f>
        <v/>
      </c>
      <c r="JM31">
        <f>JM30*IF(OR($C30=173,$G30=173),0,1)</f>
        <v/>
      </c>
      <c r="JN31">
        <f>JN30*IF(OR($C30=174,$G30=174),0,1)</f>
        <v/>
      </c>
      <c r="JO31">
        <f>JO30*IF(OR($C30=175,$G30=175),0,1)</f>
        <v/>
      </c>
      <c r="JP31">
        <f>JP30*IF(OR($C30=176,$G30=176),0,1)</f>
        <v/>
      </c>
      <c r="JQ31">
        <f>JQ30*IF(OR($C30=177,$G30=177),0,1)</f>
        <v/>
      </c>
      <c r="JR31">
        <f>JR30*IF(OR($C30=178,$G30=178),0,1)</f>
        <v/>
      </c>
      <c r="JS31">
        <f>JS30*IF(OR($C30=179,$G30=179),0,1)</f>
        <v/>
      </c>
      <c r="JT31">
        <f>JT30*IF(OR($C30=180,$G30=180),0,1)</f>
        <v/>
      </c>
      <c r="JU31">
        <f>JU30*IF(OR($C30=181,$G30=181),0,1)</f>
        <v/>
      </c>
      <c r="JV31">
        <f>JV30*IF(OR($C30=182,$G30=182),0,1)</f>
        <v/>
      </c>
      <c r="JW31">
        <f>JW30*IF(OR($C30=183,$G30=183),0,1)</f>
        <v/>
      </c>
      <c r="JX31">
        <f>JX30*IF(OR($C30=184,$G30=184),0,1)</f>
        <v/>
      </c>
      <c r="JY31">
        <f>JY30*IF(OR($C30=185,$G30=185),0,1)</f>
        <v/>
      </c>
      <c r="JZ31">
        <f>JZ30*IF(OR($C30=186,$G30=186),0,1)</f>
        <v/>
      </c>
      <c r="KA31">
        <f>KA30*IF(OR($C30=187,$G30=187),0,1)</f>
        <v/>
      </c>
      <c r="KB31">
        <f>KB30*IF(OR($C30=188,$G30=188),0,1)</f>
        <v/>
      </c>
      <c r="KC31">
        <f>KC30*IF(OR($C30=189,$G30=189),0,1)</f>
        <v/>
      </c>
      <c r="KD31">
        <f>KD30*IF(OR($C30=190,$G30=190),0,1)</f>
        <v/>
      </c>
      <c r="KE31">
        <f>KE30*IF(OR($C30=191,$G30=191),0,1)</f>
        <v/>
      </c>
      <c r="KF31">
        <f>KF30*IF(OR($C30=192,$G30=192),0,1)</f>
        <v/>
      </c>
      <c r="KG31">
        <f>KG30*IF(OR($C30=193,$G30=193),0,1)</f>
        <v/>
      </c>
      <c r="KH31">
        <f>KH30*IF(OR($C30=194,$G30=194),0,1)</f>
        <v/>
      </c>
      <c r="KI31">
        <f>KI30*IF(OR($C30=195,$G30=195),0,1)</f>
        <v/>
      </c>
      <c r="KJ31">
        <f>KJ30*IF(OR($C30=196,$G30=196),0,1)</f>
        <v/>
      </c>
      <c r="KK31">
        <f>KK30*IF(OR($C30=197,$G30=197),0,1)</f>
        <v/>
      </c>
      <c r="KL31">
        <f>KL30*IF(OR($C30=198,$G30=198),0,1)</f>
        <v/>
      </c>
      <c r="KM31">
        <f>KM30*IF(OR($C30=199,$G30=199),0,1)</f>
        <v/>
      </c>
      <c r="KN31">
        <f>KN30*IF(OR($C30=200,$G30=200),0,1)</f>
        <v/>
      </c>
      <c r="KO31">
        <f>KO30*IF(OR($C30=201,$G30=201),0,1)</f>
        <v/>
      </c>
      <c r="KP31">
        <f>KP30*IF(OR($C30=202,$G30=202),0,1)</f>
        <v/>
      </c>
      <c r="KQ31">
        <f>KQ30*IF(OR($C30=203,$G30=203),0,1)</f>
        <v/>
      </c>
      <c r="KR31">
        <f>KR30*IF(OR($C30=204,$G30=204),0,1)</f>
        <v/>
      </c>
      <c r="KS31">
        <f>KS30*IF(OR($C30=205,$G30=205),0,1)</f>
        <v/>
      </c>
      <c r="KT31">
        <f>KT30*IF(OR($C30=206,$G30=206),0,1)</f>
        <v/>
      </c>
      <c r="KU31">
        <f>KU30*IF(OR($C30=207,$G30=207),0,1)</f>
        <v/>
      </c>
      <c r="KV31">
        <f>KV30*IF(OR($C30=208,$G30=208),0,1)</f>
        <v/>
      </c>
      <c r="KW31">
        <f>KW30*IF(OR($C30=209,$G30=209),0,1)</f>
        <v/>
      </c>
      <c r="KX31">
        <f>KX30*IF(OR($C30=210,$G30=210),0,1)</f>
        <v/>
      </c>
      <c r="KY31">
        <f>KY30*IF(OR($C30=211,$G30=211),0,1)</f>
        <v/>
      </c>
      <c r="KZ31">
        <f>KZ30*IF(OR($C30=212,$G30=212),0,1)</f>
        <v/>
      </c>
      <c r="LA31">
        <f>LA30*IF(OR($C30=213,$G30=213),0,1)</f>
        <v/>
      </c>
      <c r="LB31">
        <f>LB30*IF(OR($C30=214,$G30=214),0,1)</f>
        <v/>
      </c>
      <c r="LC31">
        <f>LC30*IF(OR($C30=215,$G30=215),0,1)</f>
        <v/>
      </c>
      <c r="LD31">
        <f>LD30*IF(OR($C30=216,$G30=216),0,1)</f>
        <v/>
      </c>
      <c r="LE31">
        <f>LE30*IF(OR($C30=217,$G30=217),0,1)</f>
        <v/>
      </c>
      <c r="LF31">
        <f>LF30*IF(OR($C30=218,$G30=218),0,1)</f>
        <v/>
      </c>
      <c r="LG31">
        <f>LG30*IF(OR($C30=219,$G30=219),0,1)</f>
        <v/>
      </c>
      <c r="LH31">
        <f>LH30*IF(OR($C30=220,$G30=220),0,1)</f>
        <v/>
      </c>
      <c r="LI31">
        <f>LI30*IF(OR($C30=221,$G30=221),0,1)</f>
        <v/>
      </c>
      <c r="LJ31">
        <f>LJ30*IF(OR($C30=222,$G30=222),0,1)</f>
        <v/>
      </c>
      <c r="LK31">
        <f>LK30*IF(OR($C30=223,$G30=223),0,1)</f>
        <v/>
      </c>
      <c r="LL31">
        <f>LL30*IF(OR($C30=224,$G30=224),0,1)</f>
        <v/>
      </c>
      <c r="LM31">
        <f>LM30*IF(OR($C30=225,$G30=225),0,1)</f>
        <v/>
      </c>
      <c r="LN31">
        <f>LN30*IF(OR($C30=226,$G30=226),0,1)</f>
        <v/>
      </c>
      <c r="LO31">
        <f>LO30*IF(OR($C30=227,$G30=227),0,1)</f>
        <v/>
      </c>
      <c r="LP31">
        <f>LP30*IF(OR($C30=228,$G30=228),0,1)</f>
        <v/>
      </c>
      <c r="LQ31">
        <f>LQ30*IF(OR($C30=229,$G30=229),0,1)</f>
        <v/>
      </c>
      <c r="LR31">
        <f>LR30*IF(OR($C30=230,$G30=230),0,1)</f>
        <v/>
      </c>
      <c r="LS31">
        <f>LS30*IF(OR($C30=231,$G30=231),0,1)</f>
        <v/>
      </c>
      <c r="LT31">
        <f>LT30*IF(OR($C30=232,$G30=232),0,1)</f>
        <v/>
      </c>
      <c r="LU31">
        <f>LU30*IF(OR($C30=233,$G30=233),0,1)</f>
        <v/>
      </c>
      <c r="LV31">
        <f>LV30*IF(OR($C30=234,$G30=234),0,1)</f>
        <v/>
      </c>
      <c r="LW31">
        <f>LW30*IF(OR($C30=235,$G30=235),0,1)</f>
        <v/>
      </c>
      <c r="LX31">
        <f>LX30*IF(OR($C30=236,$G30=236),0,1)</f>
        <v/>
      </c>
      <c r="LY31">
        <f>LY30*IF(OR($C30=237,$G30=237),0,1)</f>
        <v/>
      </c>
      <c r="LZ31">
        <f>LZ30*IF(OR($C30=238,$G30=238),0,1)</f>
        <v/>
      </c>
      <c r="MA31">
        <f>MA30*IF(OR($C30=239,$G30=239),0,1)</f>
        <v/>
      </c>
      <c r="MB31">
        <f>MB30*IF(OR($C30=240,$G30=240),0,1)</f>
        <v/>
      </c>
      <c r="MD31">
        <f>IF('計算A'!D$106=1,CX31,1)</f>
        <v/>
      </c>
      <c r="ME31">
        <f>IF('計算A'!E$106=1,CY31,1)</f>
        <v/>
      </c>
      <c r="MF31">
        <f>IF('計算A'!F$106=1,CZ31,1)</f>
        <v/>
      </c>
      <c r="MG31">
        <f>IF('計算A'!G$106=1,DA31,1)</f>
        <v/>
      </c>
      <c r="MH31">
        <f>IF('計算A'!H$106=1,DB31,1)</f>
        <v/>
      </c>
      <c r="MI31">
        <f>IF('計算A'!I$106=1,DC31,1)</f>
        <v/>
      </c>
      <c r="MJ31">
        <f>IF('計算A'!J$106=1,DD31,1)</f>
        <v/>
      </c>
      <c r="MK31">
        <f>IF('計算A'!K$106=1,DE31,1)</f>
        <v/>
      </c>
      <c r="ML31">
        <f>IF('計算A'!L$106=1,DF31,1)</f>
        <v/>
      </c>
      <c r="MM31">
        <f>IF('計算A'!M$106=1,DG31,1)</f>
        <v/>
      </c>
      <c r="MN31">
        <f>IF('計算A'!N$106=1,DH31,1)</f>
        <v/>
      </c>
      <c r="MO31">
        <f>IF('計算A'!O$106=1,DI31,1)</f>
        <v/>
      </c>
      <c r="MP31">
        <f>IF('計算A'!P$106=1,DJ31,1)</f>
        <v/>
      </c>
      <c r="MQ31">
        <f>IF('計算A'!Q$106=1,DK31,1)</f>
        <v/>
      </c>
      <c r="MR31">
        <f>IF('計算A'!R$106=1,DL31,1)</f>
        <v/>
      </c>
      <c r="MS31">
        <f>IF('計算A'!S$106=1,DM31,1)</f>
        <v/>
      </c>
      <c r="MT31">
        <f>IF('計算A'!T$106=1,DN31,1)</f>
        <v/>
      </c>
      <c r="MU31">
        <f>IF('計算A'!U$106=1,DO31,1)</f>
        <v/>
      </c>
      <c r="MV31">
        <f>IF('計算A'!V$106=1,DP31,1)</f>
        <v/>
      </c>
      <c r="MW31">
        <f>IF('計算A'!W$106=1,DQ31,1)</f>
        <v/>
      </c>
      <c r="MX31">
        <f>IF('計算A'!X$106=1,DR31,1)</f>
        <v/>
      </c>
      <c r="MY31">
        <f>IF('計算A'!Y$106=1,DS31,1)</f>
        <v/>
      </c>
      <c r="MZ31">
        <f>IF('計算A'!Z$106=1,DT31,1)</f>
        <v/>
      </c>
      <c r="NA31">
        <f>IF('計算A'!AA$106=1,DU31,1)</f>
        <v/>
      </c>
      <c r="NB31">
        <f>IF('計算A'!AB$106=1,DV31,1)</f>
        <v/>
      </c>
      <c r="NC31">
        <f>IF('計算A'!AC$106=1,DW31,1)</f>
        <v/>
      </c>
      <c r="ND31">
        <f>IF('計算A'!AD$106=1,DX31,1)</f>
        <v/>
      </c>
      <c r="NE31">
        <f>IF('計算A'!AE$106=1,DY31,1)</f>
        <v/>
      </c>
      <c r="NF31">
        <f>IF('計算A'!AF$106=1,DZ31,1)</f>
        <v/>
      </c>
      <c r="NG31">
        <f>IF('計算A'!AG$106=1,EA31,1)</f>
        <v/>
      </c>
      <c r="NH31">
        <f>IF('計算A'!AH$106=1,EB31,1)</f>
        <v/>
      </c>
      <c r="NI31">
        <f>IF('計算A'!AI$106=1,EC31,1)</f>
        <v/>
      </c>
      <c r="NJ31">
        <f>IF('計算A'!AJ$106=1,ED31,1)</f>
        <v/>
      </c>
      <c r="NK31">
        <f>IF('計算A'!AK$106=1,EE31,1)</f>
        <v/>
      </c>
      <c r="NL31">
        <f>IF('計算A'!AL$106=1,EF31,1)</f>
        <v/>
      </c>
      <c r="NM31">
        <f>IF('計算A'!AM$106=1,EG31,1)</f>
        <v/>
      </c>
      <c r="NN31">
        <f>IF('計算A'!AN$106=1,EH31,1)</f>
        <v/>
      </c>
      <c r="NO31">
        <f>IF('計算A'!AO$106=1,EI31,1)</f>
        <v/>
      </c>
      <c r="NP31">
        <f>IF('計算A'!AP$106=1,EJ31,1)</f>
        <v/>
      </c>
      <c r="NQ31">
        <f>IF('計算A'!AQ$106=1,EK31,1)</f>
        <v/>
      </c>
      <c r="NR31">
        <f>IF('計算A'!AR$106=1,EL31,1)</f>
        <v/>
      </c>
      <c r="NS31">
        <f>IF('計算A'!AS$106=1,EM31,1)</f>
        <v/>
      </c>
      <c r="NT31">
        <f>IF('計算A'!AT$106=1,EN31,1)</f>
        <v/>
      </c>
      <c r="NU31">
        <f>IF('計算A'!AU$106=1,EO31,1)</f>
        <v/>
      </c>
      <c r="NV31">
        <f>IF('計算A'!AV$106=1,EP31,1)</f>
        <v/>
      </c>
      <c r="NW31">
        <f>IF('計算A'!AW$106=1,EQ31,1)</f>
        <v/>
      </c>
      <c r="NX31">
        <f>IF('計算A'!AX$106=1,ER31,1)</f>
        <v/>
      </c>
      <c r="NY31">
        <f>IF('計算A'!AY$106=1,ES31,1)</f>
        <v/>
      </c>
      <c r="NZ31">
        <f>IF('計算A'!AZ$106=1,ET31,1)</f>
        <v/>
      </c>
      <c r="OA31">
        <f>IF('計算A'!BA$106=1,EU31,1)</f>
        <v/>
      </c>
      <c r="OB31">
        <f>IF('計算A'!BB$106=1,EV31,1)</f>
        <v/>
      </c>
      <c r="OC31">
        <f>IF('計算A'!BC$106=1,EW31,1)</f>
        <v/>
      </c>
      <c r="OD31">
        <f>IF('計算A'!BD$106=1,EX31,1)</f>
        <v/>
      </c>
      <c r="OE31">
        <f>IF('計算A'!BE$106=1,EY31,1)</f>
        <v/>
      </c>
      <c r="OF31">
        <f>IF('計算A'!BF$106=1,EZ31,1)</f>
        <v/>
      </c>
      <c r="OG31">
        <f>IF('計算A'!BG$106=1,FA31,1)</f>
        <v/>
      </c>
      <c r="OH31">
        <f>IF('計算A'!BH$106=1,FB31,1)</f>
        <v/>
      </c>
      <c r="OI31">
        <f>IF('計算A'!BI$106=1,FC31,1)</f>
        <v/>
      </c>
      <c r="OJ31">
        <f>IF('計算A'!BJ$106=1,FD31,1)</f>
        <v/>
      </c>
      <c r="OK31">
        <f>IF('計算A'!BK$106=1,FE31,1)</f>
        <v/>
      </c>
      <c r="OL31">
        <f>IF('計算A'!BL$106=1,FF31,1)</f>
        <v/>
      </c>
      <c r="OM31">
        <f>IF('計算A'!BM$106=1,FG31,1)</f>
        <v/>
      </c>
      <c r="ON31">
        <f>IF('計算A'!BN$106=1,FH31,1)</f>
        <v/>
      </c>
      <c r="OO31">
        <f>IF('計算A'!BO$106=1,FI31,1)</f>
        <v/>
      </c>
      <c r="OP31">
        <f>IF('計算A'!BP$106=1,FJ31,1)</f>
        <v/>
      </c>
      <c r="OQ31">
        <f>IF('計算A'!BQ$106=1,FK31,1)</f>
        <v/>
      </c>
      <c r="OR31">
        <f>IF('計算A'!BR$106=1,FL31,1)</f>
        <v/>
      </c>
      <c r="OS31">
        <f>IF('計算A'!BS$106=1,FM31,1)</f>
        <v/>
      </c>
      <c r="OT31">
        <f>IF('計算A'!BT$106=1,FN31,1)</f>
        <v/>
      </c>
      <c r="OU31">
        <f>IF('計算A'!BU$106=1,FO31,1)</f>
        <v/>
      </c>
      <c r="OV31">
        <f>IF('計算A'!BV$106=1,FP31,1)</f>
        <v/>
      </c>
      <c r="OW31">
        <f>IF('計算A'!BW$106=1,FQ31,1)</f>
        <v/>
      </c>
      <c r="OX31">
        <f>IF('計算A'!BX$106=1,FR31,1)</f>
        <v/>
      </c>
      <c r="OY31">
        <f>IF('計算A'!BY$106=1,FS31,1)</f>
        <v/>
      </c>
      <c r="OZ31">
        <f>IF('計算A'!BZ$106=1,FT31,1)</f>
        <v/>
      </c>
      <c r="PA31">
        <f>IF('計算A'!CA$106=1,FU31,1)</f>
        <v/>
      </c>
      <c r="PB31">
        <f>IF('計算A'!CB$106=1,FV31,1)</f>
        <v/>
      </c>
      <c r="PC31">
        <f>IF('計算A'!CC$106=1,FW31,1)</f>
        <v/>
      </c>
      <c r="PD31">
        <f>IF('計算A'!CD$106=1,FX31,1)</f>
        <v/>
      </c>
      <c r="PE31">
        <f>IF('計算A'!CE$106=1,FY31,1)</f>
        <v/>
      </c>
      <c r="PF31">
        <f>IF('計算A'!CF$106=1,FZ31,1)</f>
        <v/>
      </c>
      <c r="PG31">
        <f>IF('計算A'!CG$106=1,GA31,1)</f>
        <v/>
      </c>
      <c r="PH31">
        <f>IF('計算A'!CH$106=1,GB31,1)</f>
        <v/>
      </c>
      <c r="PI31">
        <f>IF('計算A'!CI$106=1,GC31,1)</f>
        <v/>
      </c>
      <c r="PJ31">
        <f>IF('計算A'!CJ$106=1,GD31,1)</f>
        <v/>
      </c>
      <c r="PK31">
        <f>IF('計算A'!CK$106=1,GE31,1)</f>
        <v/>
      </c>
      <c r="PL31">
        <f>IF('計算A'!CL$106=1,GF31,1)</f>
        <v/>
      </c>
      <c r="PM31">
        <f>IF('計算A'!CM$106=1,GG31,1)</f>
        <v/>
      </c>
      <c r="PN31">
        <f>IF('計算A'!CN$106=1,GH31,1)</f>
        <v/>
      </c>
      <c r="PO31">
        <f>IF('計算A'!CO$106=1,GI31,1)</f>
        <v/>
      </c>
      <c r="PP31">
        <f>IF('計算A'!CP$106=1,GJ31,1)</f>
        <v/>
      </c>
      <c r="PQ31">
        <f>IF('計算A'!CQ$106=1,GK31,1)</f>
        <v/>
      </c>
      <c r="PR31">
        <f>IF('計算A'!CR$106=1,GL31,1)</f>
        <v/>
      </c>
      <c r="PS31">
        <f>IF('計算A'!CS$106=1,GM31,1)</f>
        <v/>
      </c>
      <c r="PT31">
        <f>IF('計算A'!CT$106=1,GN31,1)</f>
        <v/>
      </c>
      <c r="PU31">
        <f>IF('計算A'!CU$106=1,GO31,1)</f>
        <v/>
      </c>
      <c r="PV31">
        <f>IF('計算A'!CV$106=1,GP31,1)</f>
        <v/>
      </c>
      <c r="PW31">
        <f>IF('計算A'!CW$106=1,GQ31,1)</f>
        <v/>
      </c>
      <c r="PX31">
        <f>IF('計算A'!CX$106=1,GR31,1)</f>
        <v/>
      </c>
      <c r="PY31">
        <f>IF('計算A'!CY$106=1,GS31,1)</f>
        <v/>
      </c>
      <c r="PZ31">
        <f>IF('計算A'!CZ$106=1,GT31,1)</f>
        <v/>
      </c>
      <c r="QA31">
        <f>IF('計算A'!DA$106=1,GU31,1)</f>
        <v/>
      </c>
      <c r="QB31">
        <f>IF('計算A'!DB$106=1,GV31,1)</f>
        <v/>
      </c>
      <c r="QC31">
        <f>IF('計算A'!DC$106=1,GW31,1)</f>
        <v/>
      </c>
      <c r="QD31">
        <f>IF('計算A'!DD$106=1,GX31,1)</f>
        <v/>
      </c>
      <c r="QE31">
        <f>IF('計算A'!DE$106=1,GY31,1)</f>
        <v/>
      </c>
      <c r="QF31">
        <f>IF('計算A'!DF$106=1,GZ31,1)</f>
        <v/>
      </c>
      <c r="QG31">
        <f>IF('計算A'!DG$106=1,HA31,1)</f>
        <v/>
      </c>
      <c r="QH31">
        <f>IF('計算A'!DH$106=1,HB31,1)</f>
        <v/>
      </c>
      <c r="QI31">
        <f>IF('計算A'!DI$106=1,HC31,1)</f>
        <v/>
      </c>
      <c r="QJ31">
        <f>IF('計算A'!DJ$106=1,HD31,1)</f>
        <v/>
      </c>
      <c r="QK31">
        <f>IF('計算A'!DK$106=1,HE31,1)</f>
        <v/>
      </c>
      <c r="QL31">
        <f>IF('計算A'!DL$106=1,HF31,1)</f>
        <v/>
      </c>
      <c r="QM31">
        <f>IF('計算A'!DM$106=1,HG31,1)</f>
        <v/>
      </c>
      <c r="QN31">
        <f>IF('計算A'!DN$106=1,HH31,1)</f>
        <v/>
      </c>
      <c r="QO31">
        <f>IF('計算A'!DO$106=1,HI31,1)</f>
        <v/>
      </c>
      <c r="QP31">
        <f>IF('計算A'!DP$106=1,HJ31,1)</f>
        <v/>
      </c>
      <c r="QQ31">
        <f>IF('計算A'!DQ$106=1,HK31,1)</f>
        <v/>
      </c>
      <c r="QR31">
        <f>IF('計算A'!DR$106=1,HL31,1)</f>
        <v/>
      </c>
      <c r="QS31">
        <f>IF('計算A'!DS$106=1,HM31,1)</f>
        <v/>
      </c>
      <c r="QT31">
        <f>IF('計算A'!DT$106=1,HN31,1)</f>
        <v/>
      </c>
      <c r="QU31">
        <f>IF('計算A'!DU$106=1,HO31,1)</f>
        <v/>
      </c>
      <c r="QV31">
        <f>IF('計算A'!DV$106=1,HP31,1)</f>
        <v/>
      </c>
      <c r="QW31">
        <f>IF('計算A'!DW$106=1,HQ31,1)</f>
        <v/>
      </c>
      <c r="QX31">
        <f>IF('計算A'!DX$106=1,HR31,1)</f>
        <v/>
      </c>
      <c r="QY31">
        <f>IF('計算A'!DY$106=1,HS31,1)</f>
        <v/>
      </c>
      <c r="QZ31">
        <f>IF('計算A'!DZ$106=1,HT31,1)</f>
        <v/>
      </c>
      <c r="RA31">
        <f>IF('計算A'!EA$106=1,HU31,1)</f>
        <v/>
      </c>
      <c r="RB31">
        <f>IF('計算A'!EB$106=1,HV31,1)</f>
        <v/>
      </c>
      <c r="RC31">
        <f>IF('計算A'!EC$106=1,HW31,1)</f>
        <v/>
      </c>
      <c r="RD31">
        <f>IF('計算A'!ED$106=1,HX31,1)</f>
        <v/>
      </c>
      <c r="RE31">
        <f>IF('計算A'!EE$106=1,HY31,1)</f>
        <v/>
      </c>
      <c r="RF31">
        <f>IF('計算A'!EF$106=1,HZ31,1)</f>
        <v/>
      </c>
      <c r="RG31">
        <f>IF('計算A'!EG$106=1,IA31,1)</f>
        <v/>
      </c>
      <c r="RH31">
        <f>IF('計算A'!EH$106=1,IB31,1)</f>
        <v/>
      </c>
      <c r="RI31">
        <f>IF('計算A'!EI$106=1,IC31,1)</f>
        <v/>
      </c>
      <c r="RJ31">
        <f>IF('計算A'!EJ$106=1,ID31,1)</f>
        <v/>
      </c>
      <c r="RK31">
        <f>IF('計算A'!EK$106=1,IE31,1)</f>
        <v/>
      </c>
      <c r="RL31">
        <f>IF('計算A'!EL$106=1,IF31,1)</f>
        <v/>
      </c>
      <c r="RM31">
        <f>IF('計算A'!EM$106=1,IG31,1)</f>
        <v/>
      </c>
      <c r="RN31">
        <f>IF('計算A'!EN$106=1,IH31,1)</f>
        <v/>
      </c>
      <c r="RO31">
        <f>IF('計算A'!EO$106=1,II31,1)</f>
        <v/>
      </c>
      <c r="RP31">
        <f>IF('計算A'!EP$106=1,IJ31,1)</f>
        <v/>
      </c>
      <c r="RQ31">
        <f>IF('計算A'!EQ$106=1,IK31,1)</f>
        <v/>
      </c>
      <c r="RR31">
        <f>IF('計算A'!ER$106=1,IL31,1)</f>
        <v/>
      </c>
      <c r="RS31">
        <f>IF('計算A'!ES$106=1,IM31,1)</f>
        <v/>
      </c>
      <c r="RT31">
        <f>IF('計算A'!ET$106=1,IN31,1)</f>
        <v/>
      </c>
      <c r="RU31">
        <f>IF('計算A'!EU$106=1,IO31,1)</f>
        <v/>
      </c>
      <c r="RV31">
        <f>IF('計算A'!EV$106=1,IP31,1)</f>
        <v/>
      </c>
      <c r="RW31">
        <f>IF('計算A'!EW$106=1,IQ31,1)</f>
        <v/>
      </c>
      <c r="RX31">
        <f>IF('計算A'!EX$106=1,IR31,1)</f>
        <v/>
      </c>
      <c r="RY31">
        <f>IF('計算A'!EY$106=1,IS31,1)</f>
        <v/>
      </c>
      <c r="RZ31">
        <f>IF('計算A'!EZ$106=1,IT31,1)</f>
        <v/>
      </c>
      <c r="SA31">
        <f>IF('計算A'!FA$106=1,IU31,1)</f>
        <v/>
      </c>
      <c r="SB31">
        <f>IF('計算A'!FB$106=1,IV31,1)</f>
        <v/>
      </c>
      <c r="SC31">
        <f>IF('計算A'!FC$106=1,IW31,1)</f>
        <v/>
      </c>
      <c r="SD31">
        <f>IF('計算A'!FD$106=1,IX31,1)</f>
        <v/>
      </c>
      <c r="SE31">
        <f>IF('計算A'!FE$106=1,IY31,1)</f>
        <v/>
      </c>
      <c r="SF31">
        <f>IF('計算A'!FF$106=1,IZ31,1)</f>
        <v/>
      </c>
      <c r="SG31">
        <f>IF('計算A'!FG$106=1,JA31,1)</f>
        <v/>
      </c>
      <c r="SH31">
        <f>IF('計算A'!FH$106=1,JB31,1)</f>
        <v/>
      </c>
      <c r="SI31">
        <f>IF('計算A'!FI$106=1,JC31,1)</f>
        <v/>
      </c>
      <c r="SJ31">
        <f>IF('計算A'!FJ$106=1,JD31,1)</f>
        <v/>
      </c>
      <c r="SK31">
        <f>IF('計算A'!FK$106=1,JE31,1)</f>
        <v/>
      </c>
      <c r="SL31">
        <f>IF('計算A'!FL$106=1,JF31,1)</f>
        <v/>
      </c>
      <c r="SM31">
        <f>IF('計算A'!FM$106=1,JG31,1)</f>
        <v/>
      </c>
      <c r="SN31">
        <f>IF('計算A'!FN$106=1,JH31,1)</f>
        <v/>
      </c>
      <c r="SO31">
        <f>IF('計算A'!FO$106=1,JI31,1)</f>
        <v/>
      </c>
      <c r="SP31">
        <f>IF('計算A'!FP$106=1,JJ31,1)</f>
        <v/>
      </c>
      <c r="SQ31">
        <f>IF('計算A'!FQ$106=1,JK31,1)</f>
        <v/>
      </c>
      <c r="SR31">
        <f>IF('計算A'!FR$106=1,JL31,1)</f>
        <v/>
      </c>
      <c r="SS31">
        <f>IF('計算A'!FS$106=1,JM31,1)</f>
        <v/>
      </c>
      <c r="ST31">
        <f>IF('計算A'!FT$106=1,JN31,1)</f>
        <v/>
      </c>
      <c r="SU31">
        <f>IF('計算A'!FU$106=1,JO31,1)</f>
        <v/>
      </c>
      <c r="SV31">
        <f>IF('計算A'!FV$106=1,JP31,1)</f>
        <v/>
      </c>
      <c r="SW31">
        <f>IF('計算A'!FW$106=1,JQ31,1)</f>
        <v/>
      </c>
      <c r="SX31">
        <f>IF('計算A'!FX$106=1,JR31,1)</f>
        <v/>
      </c>
      <c r="SY31">
        <f>IF('計算A'!FY$106=1,JS31,1)</f>
        <v/>
      </c>
      <c r="SZ31">
        <f>IF('計算A'!FZ$106=1,JT31,1)</f>
        <v/>
      </c>
      <c r="TA31">
        <f>IF('計算A'!GA$106=1,JU31,1)</f>
        <v/>
      </c>
      <c r="TB31">
        <f>IF('計算A'!GB$106=1,JV31,1)</f>
        <v/>
      </c>
      <c r="TC31">
        <f>IF('計算A'!GC$106=1,JW31,1)</f>
        <v/>
      </c>
      <c r="TD31">
        <f>IF('計算A'!GD$106=1,JX31,1)</f>
        <v/>
      </c>
      <c r="TE31">
        <f>IF('計算A'!GE$106=1,JY31,1)</f>
        <v/>
      </c>
      <c r="TF31">
        <f>IF('計算A'!GF$106=1,JZ31,1)</f>
        <v/>
      </c>
      <c r="TG31">
        <f>IF('計算A'!GG$106=1,KA31,1)</f>
        <v/>
      </c>
      <c r="TH31">
        <f>IF('計算A'!GH$106=1,KB31,1)</f>
        <v/>
      </c>
      <c r="TI31">
        <f>IF('計算A'!GI$106=1,KC31,1)</f>
        <v/>
      </c>
      <c r="TJ31">
        <f>IF('計算A'!GJ$106=1,KD31,1)</f>
        <v/>
      </c>
      <c r="TK31">
        <f>IF('計算A'!GK$106=1,KE31,1)</f>
        <v/>
      </c>
      <c r="TL31">
        <f>IF('計算A'!GL$106=1,KF31,1)</f>
        <v/>
      </c>
      <c r="TM31">
        <f>IF('計算A'!GM$106=1,KG31,1)</f>
        <v/>
      </c>
      <c r="TN31">
        <f>IF('計算A'!GN$106=1,KH31,1)</f>
        <v/>
      </c>
      <c r="TO31">
        <f>IF('計算A'!GO$106=1,KI31,1)</f>
        <v/>
      </c>
      <c r="TP31">
        <f>IF('計算A'!GP$106=1,KJ31,1)</f>
        <v/>
      </c>
      <c r="TQ31">
        <f>IF('計算A'!GQ$106=1,KK31,1)</f>
        <v/>
      </c>
      <c r="TR31">
        <f>IF('計算A'!GR$106=1,KL31,1)</f>
        <v/>
      </c>
      <c r="TS31">
        <f>IF('計算A'!GS$106=1,KM31,1)</f>
        <v/>
      </c>
      <c r="TT31">
        <f>IF('計算A'!GT$106=1,KN31,1)</f>
        <v/>
      </c>
      <c r="TU31">
        <f>IF('計算A'!GU$106=1,KO31,1)</f>
        <v/>
      </c>
      <c r="TV31">
        <f>IF('計算A'!GV$106=1,KP31,1)</f>
        <v/>
      </c>
      <c r="TW31">
        <f>IF('計算A'!GW$106=1,KQ31,1)</f>
        <v/>
      </c>
      <c r="TX31">
        <f>IF('計算A'!GX$106=1,KR31,1)</f>
        <v/>
      </c>
      <c r="TY31">
        <f>IF('計算A'!GY$106=1,KS31,1)</f>
        <v/>
      </c>
      <c r="TZ31">
        <f>IF('計算A'!GZ$106=1,KT31,1)</f>
        <v/>
      </c>
      <c r="UA31">
        <f>IF('計算A'!HA$106=1,KU31,1)</f>
        <v/>
      </c>
      <c r="UB31">
        <f>IF('計算A'!HB$106=1,KV31,1)</f>
        <v/>
      </c>
      <c r="UC31">
        <f>IF('計算A'!HC$106=1,KW31,1)</f>
        <v/>
      </c>
      <c r="UD31">
        <f>IF('計算A'!HD$106=1,KX31,1)</f>
        <v/>
      </c>
      <c r="UE31">
        <f>IF('計算A'!HE$106=1,KY31,1)</f>
        <v/>
      </c>
      <c r="UF31">
        <f>IF('計算A'!HF$106=1,KZ31,1)</f>
        <v/>
      </c>
      <c r="UG31">
        <f>IF('計算A'!HG$106=1,LA31,1)</f>
        <v/>
      </c>
      <c r="UH31">
        <f>IF('計算A'!HH$106=1,LB31,1)</f>
        <v/>
      </c>
      <c r="UI31">
        <f>IF('計算A'!HI$106=1,LC31,1)</f>
        <v/>
      </c>
      <c r="UJ31">
        <f>IF('計算A'!HJ$106=1,LD31,1)</f>
        <v/>
      </c>
      <c r="UK31">
        <f>IF('計算A'!HK$106=1,LE31,1)</f>
        <v/>
      </c>
      <c r="UL31">
        <f>IF('計算A'!HL$106=1,LF31,1)</f>
        <v/>
      </c>
      <c r="UM31">
        <f>IF('計算A'!HM$106=1,LG31,1)</f>
        <v/>
      </c>
      <c r="UN31">
        <f>IF('計算A'!HN$106=1,LH31,1)</f>
        <v/>
      </c>
      <c r="UO31">
        <f>IF('計算A'!HO$106=1,LI31,1)</f>
        <v/>
      </c>
      <c r="UP31">
        <f>IF('計算A'!HP$106=1,LJ31,1)</f>
        <v/>
      </c>
      <c r="UQ31">
        <f>IF('計算A'!HQ$106=1,LK31,1)</f>
        <v/>
      </c>
      <c r="UR31">
        <f>IF('計算A'!HR$106=1,LL31,1)</f>
        <v/>
      </c>
      <c r="US31">
        <f>IF('計算A'!HS$106=1,LM31,1)</f>
        <v/>
      </c>
      <c r="UT31">
        <f>IF('計算A'!HT$106=1,LN31,1)</f>
        <v/>
      </c>
      <c r="UU31">
        <f>IF('計算A'!HU$106=1,LO31,1)</f>
        <v/>
      </c>
      <c r="UV31">
        <f>IF('計算A'!HV$106=1,LP31,1)</f>
        <v/>
      </c>
      <c r="UW31">
        <f>IF('計算A'!HW$106=1,LQ31,1)</f>
        <v/>
      </c>
      <c r="UX31">
        <f>IF('計算A'!HX$106=1,LR31,1)</f>
        <v/>
      </c>
      <c r="UY31">
        <f>IF('計算A'!HY$106=1,LS31,1)</f>
        <v/>
      </c>
      <c r="UZ31">
        <f>IF('計算A'!HZ$106=1,LT31,1)</f>
        <v/>
      </c>
      <c r="VA31">
        <f>IF('計算A'!IA$106=1,LU31,1)</f>
        <v/>
      </c>
      <c r="VB31">
        <f>IF('計算A'!IB$106=1,LV31,1)</f>
        <v/>
      </c>
      <c r="VC31">
        <f>IF('計算A'!IC$106=1,LW31,1)</f>
        <v/>
      </c>
      <c r="VD31">
        <f>IF('計算A'!ID$106=1,LX31,1)</f>
        <v/>
      </c>
      <c r="VE31">
        <f>IF('計算A'!IE$106=1,LY31,1)</f>
        <v/>
      </c>
      <c r="VF31">
        <f>IF('計算A'!IF$106=1,LZ31,1)</f>
        <v/>
      </c>
      <c r="VG31">
        <f>IF('計算A'!IG$106=1,MA31,1)</f>
        <v/>
      </c>
      <c r="VH31">
        <f>IF('計算A'!IH$106=1,MB31,1)</f>
        <v/>
      </c>
      <c r="VI31" t="n">
        <v>1</v>
      </c>
      <c r="VK31">
        <f>IF($B31=0,1000000,IF(INDEX('計算A'!$D$60:$II$104,$B31,1)*CW31=1,IF(AND($E31=2,MD31=0),1000000,INDEX('計算A'!D$110:D$114,$F31+1)+IF(AND($E31=1,MD31=0),1000,0)),1000000))</f>
        <v/>
      </c>
      <c r="VL31">
        <f>IF($B31=0,1000000,IF(INDEX('計算A'!$D$60:$II$104,$B31,2)*CX31=1,IF(AND($E31=2,ME31=0),1000000,INDEX('計算A'!E$110:E$114,$F31+1)+IF(AND($E31=1,ME31=0),1000,0)),1000000))</f>
        <v/>
      </c>
      <c r="VM31">
        <f>IF($B31=0,1000000,IF(INDEX('計算A'!$D$60:$II$104,$B31,3)*CY31=1,IF(AND($E31=2,MF31=0),1000000,INDEX('計算A'!F$110:F$114,$F31+1)+IF(AND($E31=1,MF31=0),1000,0)),1000000))</f>
        <v/>
      </c>
      <c r="VN31">
        <f>IF($B31=0,1000000,IF(INDEX('計算A'!$D$60:$II$104,$B31,4)*CZ31=1,IF(AND($E31=2,MG31=0),1000000,INDEX('計算A'!G$110:G$114,$F31+1)+IF(AND($E31=1,MG31=0),1000,0)),1000000))</f>
        <v/>
      </c>
      <c r="VO31">
        <f>IF($B31=0,1000000,IF(INDEX('計算A'!$D$60:$II$104,$B31,5)*DA31=1,IF(AND($E31=2,MH31=0),1000000,INDEX('計算A'!H$110:H$114,$F31+1)+IF(AND($E31=1,MH31=0),1000,0)),1000000))</f>
        <v/>
      </c>
      <c r="VP31">
        <f>IF($B31=0,1000000,IF(INDEX('計算A'!$D$60:$II$104,$B31,6)*DB31=1,IF(AND($E31=2,MI31=0),1000000,INDEX('計算A'!I$110:I$114,$F31+1)+IF(AND($E31=1,MI31=0),1000,0)),1000000))</f>
        <v/>
      </c>
      <c r="VQ31">
        <f>IF($B31=0,1000000,IF(INDEX('計算A'!$D$60:$II$104,$B31,7)*DC31=1,IF(AND($E31=2,MJ31=0),1000000,INDEX('計算A'!J$110:J$114,$F31+1)+IF(AND($E31=1,MJ31=0),1000,0)),1000000))</f>
        <v/>
      </c>
      <c r="VR31">
        <f>IF($B31=0,1000000,IF(INDEX('計算A'!$D$60:$II$104,$B31,8)*DD31=1,IF(AND($E31=2,MK31=0),1000000,INDEX('計算A'!K$110:K$114,$F31+1)+IF(AND($E31=1,MK31=0),1000,0)),1000000))</f>
        <v/>
      </c>
      <c r="VS31">
        <f>IF($B31=0,1000000,IF(INDEX('計算A'!$D$60:$II$104,$B31,9)*DE31=1,IF(AND($E31=2,ML31=0),1000000,INDEX('計算A'!L$110:L$114,$F31+1)+IF(AND($E31=1,ML31=0),1000,0)),1000000))</f>
        <v/>
      </c>
      <c r="VT31">
        <f>IF($B31=0,1000000,IF(INDEX('計算A'!$D$60:$II$104,$B31,10)*DF31=1,IF(AND($E31=2,MM31=0),1000000,INDEX('計算A'!M$110:M$114,$F31+1)+IF(AND($E31=1,MM31=0),1000,0)),1000000))</f>
        <v/>
      </c>
      <c r="VU31">
        <f>IF($B31=0,1000000,IF(INDEX('計算A'!$D$60:$II$104,$B31,11)*DG31=1,IF(AND($E31=2,MN31=0),1000000,INDEX('計算A'!N$110:N$114,$F31+1)+IF(AND($E31=1,MN31=0),1000,0)),1000000))</f>
        <v/>
      </c>
      <c r="VV31">
        <f>IF($B31=0,1000000,IF(INDEX('計算A'!$D$60:$II$104,$B31,12)*DH31=1,IF(AND($E31=2,MO31=0),1000000,INDEX('計算A'!O$110:O$114,$F31+1)+IF(AND($E31=1,MO31=0),1000,0)),1000000))</f>
        <v/>
      </c>
      <c r="VW31">
        <f>IF($B31=0,1000000,IF(INDEX('計算A'!$D$60:$II$104,$B31,13)*DI31=1,IF(AND($E31=2,MP31=0),1000000,INDEX('計算A'!P$110:P$114,$F31+1)+IF(AND($E31=1,MP31=0),1000,0)),1000000))</f>
        <v/>
      </c>
      <c r="VX31">
        <f>IF($B31=0,1000000,IF(INDEX('計算A'!$D$60:$II$104,$B31,14)*DJ31=1,IF(AND($E31=2,MQ31=0),1000000,INDEX('計算A'!Q$110:Q$114,$F31+1)+IF(AND($E31=1,MQ31=0),1000,0)),1000000))</f>
        <v/>
      </c>
      <c r="VY31">
        <f>IF($B31=0,1000000,IF(INDEX('計算A'!$D$60:$II$104,$B31,15)*DK31=1,IF(AND($E31=2,MR31=0),1000000,INDEX('計算A'!R$110:R$114,$F31+1)+IF(AND($E31=1,MR31=0),1000,0)),1000000))</f>
        <v/>
      </c>
      <c r="VZ31">
        <f>IF($B31=0,1000000,IF(INDEX('計算A'!$D$60:$II$104,$B31,16)*DL31=1,IF(AND($E31=2,MS31=0),1000000,INDEX('計算A'!S$110:S$114,$F31+1)+IF(AND($E31=1,MS31=0),1000,0)),1000000))</f>
        <v/>
      </c>
      <c r="WA31">
        <f>IF($B31=0,1000000,IF(INDEX('計算A'!$D$60:$II$104,$B31,17)*DM31=1,IF(AND($E31=2,MT31=0),1000000,INDEX('計算A'!T$110:T$114,$F31+1)+IF(AND($E31=1,MT31=0),1000,0)),1000000))</f>
        <v/>
      </c>
      <c r="WB31">
        <f>IF($B31=0,1000000,IF(INDEX('計算A'!$D$60:$II$104,$B31,18)*DN31=1,IF(AND($E31=2,MU31=0),1000000,INDEX('計算A'!U$110:U$114,$F31+1)+IF(AND($E31=1,MU31=0),1000,0)),1000000))</f>
        <v/>
      </c>
      <c r="WC31">
        <f>IF($B31=0,1000000,IF(INDEX('計算A'!$D$60:$II$104,$B31,19)*DO31=1,IF(AND($E31=2,MV31=0),1000000,INDEX('計算A'!V$110:V$114,$F31+1)+IF(AND($E31=1,MV31=0),1000,0)),1000000))</f>
        <v/>
      </c>
      <c r="WD31">
        <f>IF($B31=0,1000000,IF(INDEX('計算A'!$D$60:$II$104,$B31,20)*DP31=1,IF(AND($E31=2,MW31=0),1000000,INDEX('計算A'!W$110:W$114,$F31+1)+IF(AND($E31=1,MW31=0),1000,0)),1000000))</f>
        <v/>
      </c>
      <c r="WE31">
        <f>IF($B31=0,1000000,IF(INDEX('計算A'!$D$60:$II$104,$B31,21)*DQ31=1,IF(AND($E31=2,MX31=0),1000000,INDEX('計算A'!X$110:X$114,$F31+1)+IF(AND($E31=1,MX31=0),1000,0)),1000000))</f>
        <v/>
      </c>
      <c r="WF31">
        <f>IF($B31=0,1000000,IF(INDEX('計算A'!$D$60:$II$104,$B31,22)*DR31=1,IF(AND($E31=2,MY31=0),1000000,INDEX('計算A'!Y$110:Y$114,$F31+1)+IF(AND($E31=1,MY31=0),1000,0)),1000000))</f>
        <v/>
      </c>
      <c r="WG31">
        <f>IF($B31=0,1000000,IF(INDEX('計算A'!$D$60:$II$104,$B31,23)*DS31=1,IF(AND($E31=2,MZ31=0),1000000,INDEX('計算A'!Z$110:Z$114,$F31+1)+IF(AND($E31=1,MZ31=0),1000,0)),1000000))</f>
        <v/>
      </c>
      <c r="WH31">
        <f>IF($B31=0,1000000,IF(INDEX('計算A'!$D$60:$II$104,$B31,24)*DT31=1,IF(AND($E31=2,NA31=0),1000000,INDEX('計算A'!AA$110:AA$114,$F31+1)+IF(AND($E31=1,NA31=0),1000,0)),1000000))</f>
        <v/>
      </c>
      <c r="WI31">
        <f>IF($B31=0,1000000,IF(INDEX('計算A'!$D$60:$II$104,$B31,25)*DU31=1,IF(AND($E31=2,NB31=0),1000000,INDEX('計算A'!AB$110:AB$114,$F31+1)+IF(AND($E31=1,NB31=0),1000,0)),1000000))</f>
        <v/>
      </c>
      <c r="WJ31">
        <f>IF($B31=0,1000000,IF(INDEX('計算A'!$D$60:$II$104,$B31,26)*DV31=1,IF(AND($E31=2,NC31=0),1000000,INDEX('計算A'!AC$110:AC$114,$F31+1)+IF(AND($E31=1,NC31=0),1000,0)),1000000))</f>
        <v/>
      </c>
      <c r="WK31">
        <f>IF($B31=0,1000000,IF(INDEX('計算A'!$D$60:$II$104,$B31,27)*DW31=1,IF(AND($E31=2,ND31=0),1000000,INDEX('計算A'!AD$110:AD$114,$F31+1)+IF(AND($E31=1,ND31=0),1000,0)),1000000))</f>
        <v/>
      </c>
      <c r="WL31">
        <f>IF($B31=0,1000000,IF(INDEX('計算A'!$D$60:$II$104,$B31,28)*DX31=1,IF(AND($E31=2,NE31=0),1000000,INDEX('計算A'!AE$110:AE$114,$F31+1)+IF(AND($E31=1,NE31=0),1000,0)),1000000))</f>
        <v/>
      </c>
      <c r="WM31">
        <f>IF($B31=0,1000000,IF(INDEX('計算A'!$D$60:$II$104,$B31,29)*DY31=1,IF(AND($E31=2,NF31=0),1000000,INDEX('計算A'!AF$110:AF$114,$F31+1)+IF(AND($E31=1,NF31=0),1000,0)),1000000))</f>
        <v/>
      </c>
      <c r="WN31">
        <f>IF($B31=0,1000000,IF(INDEX('計算A'!$D$60:$II$104,$B31,30)*DZ31=1,IF(AND($E31=2,NG31=0),1000000,INDEX('計算A'!AG$110:AG$114,$F31+1)+IF(AND($E31=1,NG31=0),1000,0)),1000000))</f>
        <v/>
      </c>
      <c r="WO31">
        <f>IF($B31=0,1000000,IF(INDEX('計算A'!$D$60:$II$104,$B31,31)*EA31=1,IF(AND($E31=2,NH31=0),1000000,INDEX('計算A'!AH$110:AH$114,$F31+1)+IF(AND($E31=1,NH31=0),1000,0)),1000000))</f>
        <v/>
      </c>
      <c r="WP31">
        <f>IF($B31=0,1000000,IF(INDEX('計算A'!$D$60:$II$104,$B31,32)*EB31=1,IF(AND($E31=2,NI31=0),1000000,INDEX('計算A'!AI$110:AI$114,$F31+1)+IF(AND($E31=1,NI31=0),1000,0)),1000000))</f>
        <v/>
      </c>
      <c r="WQ31">
        <f>IF($B31=0,1000000,IF(INDEX('計算A'!$D$60:$II$104,$B31,33)*EC31=1,IF(AND($E31=2,NJ31=0),1000000,INDEX('計算A'!AJ$110:AJ$114,$F31+1)+IF(AND($E31=1,NJ31=0),1000,0)),1000000))</f>
        <v/>
      </c>
      <c r="WR31">
        <f>IF($B31=0,1000000,IF(INDEX('計算A'!$D$60:$II$104,$B31,34)*ED31=1,IF(AND($E31=2,NK31=0),1000000,INDEX('計算A'!AK$110:AK$114,$F31+1)+IF(AND($E31=1,NK31=0),1000,0)),1000000))</f>
        <v/>
      </c>
      <c r="WS31">
        <f>IF($B31=0,1000000,IF(INDEX('計算A'!$D$60:$II$104,$B31,35)*EE31=1,IF(AND($E31=2,NL31=0),1000000,INDEX('計算A'!AL$110:AL$114,$F31+1)+IF(AND($E31=1,NL31=0),1000,0)),1000000))</f>
        <v/>
      </c>
      <c r="WT31">
        <f>IF($B31=0,1000000,IF(INDEX('計算A'!$D$60:$II$104,$B31,36)*EF31=1,IF(AND($E31=2,NM31=0),1000000,INDEX('計算A'!AM$110:AM$114,$F31+1)+IF(AND($E31=1,NM31=0),1000,0)),1000000))</f>
        <v/>
      </c>
      <c r="WU31">
        <f>IF($B31=0,1000000,IF(INDEX('計算A'!$D$60:$II$104,$B31,37)*EG31=1,IF(AND($E31=2,NN31=0),1000000,INDEX('計算A'!AN$110:AN$114,$F31+1)+IF(AND($E31=1,NN31=0),1000,0)),1000000))</f>
        <v/>
      </c>
      <c r="WV31">
        <f>IF($B31=0,1000000,IF(INDEX('計算A'!$D$60:$II$104,$B31,38)*EH31=1,IF(AND($E31=2,NO31=0),1000000,INDEX('計算A'!AO$110:AO$114,$F31+1)+IF(AND($E31=1,NO31=0),1000,0)),1000000))</f>
        <v/>
      </c>
      <c r="WW31">
        <f>IF($B31=0,1000000,IF(INDEX('計算A'!$D$60:$II$104,$B31,39)*EI31=1,IF(AND($E31=2,NP31=0),1000000,INDEX('計算A'!AP$110:AP$114,$F31+1)+IF(AND($E31=1,NP31=0),1000,0)),1000000))</f>
        <v/>
      </c>
      <c r="WX31">
        <f>IF($B31=0,1000000,IF(INDEX('計算A'!$D$60:$II$104,$B31,40)*EJ31=1,IF(AND($E31=2,NQ31=0),1000000,INDEX('計算A'!AQ$110:AQ$114,$F31+1)+IF(AND($E31=1,NQ31=0),1000,0)),1000000))</f>
        <v/>
      </c>
      <c r="WY31">
        <f>IF($B31=0,1000000,IF(INDEX('計算A'!$D$60:$II$104,$B31,41)*EK31=1,IF(AND($E31=2,NR31=0),1000000,INDEX('計算A'!AR$110:AR$114,$F31+1)+IF(AND($E31=1,NR31=0),1000,0)),1000000))</f>
        <v/>
      </c>
      <c r="WZ31">
        <f>IF($B31=0,1000000,IF(INDEX('計算A'!$D$60:$II$104,$B31,42)*EL31=1,IF(AND($E31=2,NS31=0),1000000,INDEX('計算A'!AS$110:AS$114,$F31+1)+IF(AND($E31=1,NS31=0),1000,0)),1000000))</f>
        <v/>
      </c>
      <c r="XA31">
        <f>IF($B31=0,1000000,IF(INDEX('計算A'!$D$60:$II$104,$B31,43)*EM31=1,IF(AND($E31=2,NT31=0),1000000,INDEX('計算A'!AT$110:AT$114,$F31+1)+IF(AND($E31=1,NT31=0),1000,0)),1000000))</f>
        <v/>
      </c>
      <c r="XB31">
        <f>IF($B31=0,1000000,IF(INDEX('計算A'!$D$60:$II$104,$B31,44)*EN31=1,IF(AND($E31=2,NU31=0),1000000,INDEX('計算A'!AU$110:AU$114,$F31+1)+IF(AND($E31=1,NU31=0),1000,0)),1000000))</f>
        <v/>
      </c>
      <c r="XC31">
        <f>IF($B31=0,1000000,IF(INDEX('計算A'!$D$60:$II$104,$B31,45)*EO31=1,IF(AND($E31=2,NV31=0),1000000,INDEX('計算A'!AV$110:AV$114,$F31+1)+IF(AND($E31=1,NV31=0),1000,0)),1000000))</f>
        <v/>
      </c>
      <c r="XD31">
        <f>IF($B31=0,1000000,IF(INDEX('計算A'!$D$60:$II$104,$B31,46)*EP31=1,IF(AND($E31=2,NW31=0),1000000,INDEX('計算A'!AW$110:AW$114,$F31+1)+IF(AND($E31=1,NW31=0),1000,0)),1000000))</f>
        <v/>
      </c>
      <c r="XE31">
        <f>IF($B31=0,1000000,IF(INDEX('計算A'!$D$60:$II$104,$B31,47)*EQ31=1,IF(AND($E31=2,NX31=0),1000000,INDEX('計算A'!AX$110:AX$114,$F31+1)+IF(AND($E31=1,NX31=0),1000,0)),1000000))</f>
        <v/>
      </c>
      <c r="XF31">
        <f>IF($B31=0,1000000,IF(INDEX('計算A'!$D$60:$II$104,$B31,48)*ER31=1,IF(AND($E31=2,NY31=0),1000000,INDEX('計算A'!AY$110:AY$114,$F31+1)+IF(AND($E31=1,NY31=0),1000,0)),1000000))</f>
        <v/>
      </c>
      <c r="XG31">
        <f>IF($B31=0,1000000,IF(INDEX('計算A'!$D$60:$II$104,$B31,49)*ES31=1,IF(AND($E31=2,NZ31=0),1000000,INDEX('計算A'!AZ$110:AZ$114,$F31+1)+IF(AND($E31=1,NZ31=0),1000,0)),1000000))</f>
        <v/>
      </c>
      <c r="XH31">
        <f>IF($B31=0,1000000,IF(INDEX('計算A'!$D$60:$II$104,$B31,50)*ET31=1,IF(AND($E31=2,OA31=0),1000000,INDEX('計算A'!BA$110:BA$114,$F31+1)+IF(AND($E31=1,OA31=0),1000,0)),1000000))</f>
        <v/>
      </c>
      <c r="XI31">
        <f>IF($B31=0,1000000,IF(INDEX('計算A'!$D$60:$II$104,$B31,51)*EU31=1,IF(AND($E31=2,OB31=0),1000000,INDEX('計算A'!BB$110:BB$114,$F31+1)+IF(AND($E31=1,OB31=0),1000,0)),1000000))</f>
        <v/>
      </c>
      <c r="XJ31">
        <f>IF($B31=0,1000000,IF(INDEX('計算A'!$D$60:$II$104,$B31,52)*EV31=1,IF(AND($E31=2,OC31=0),1000000,INDEX('計算A'!BC$110:BC$114,$F31+1)+IF(AND($E31=1,OC31=0),1000,0)),1000000))</f>
        <v/>
      </c>
      <c r="XK31">
        <f>IF($B31=0,1000000,IF(INDEX('計算A'!$D$60:$II$104,$B31,53)*EW31=1,IF(AND($E31=2,OD31=0),1000000,INDEX('計算A'!BD$110:BD$114,$F31+1)+IF(AND($E31=1,OD31=0),1000,0)),1000000))</f>
        <v/>
      </c>
      <c r="XL31">
        <f>IF($B31=0,1000000,IF(INDEX('計算A'!$D$60:$II$104,$B31,54)*EX31=1,IF(AND($E31=2,OE31=0),1000000,INDEX('計算A'!BE$110:BE$114,$F31+1)+IF(AND($E31=1,OE31=0),1000,0)),1000000))</f>
        <v/>
      </c>
      <c r="XM31">
        <f>IF($B31=0,1000000,IF(INDEX('計算A'!$D$60:$II$104,$B31,55)*EY31=1,IF(AND($E31=2,OF31=0),1000000,INDEX('計算A'!BF$110:BF$114,$F31+1)+IF(AND($E31=1,OF31=0),1000,0)),1000000))</f>
        <v/>
      </c>
      <c r="XN31">
        <f>IF($B31=0,1000000,IF(INDEX('計算A'!$D$60:$II$104,$B31,56)*EZ31=1,IF(AND($E31=2,OG31=0),1000000,INDEX('計算A'!BG$110:BG$114,$F31+1)+IF(AND($E31=1,OG31=0),1000,0)),1000000))</f>
        <v/>
      </c>
      <c r="XO31">
        <f>IF($B31=0,1000000,IF(INDEX('計算A'!$D$60:$II$104,$B31,57)*FA31=1,IF(AND($E31=2,OH31=0),1000000,INDEX('計算A'!BH$110:BH$114,$F31+1)+IF(AND($E31=1,OH31=0),1000,0)),1000000))</f>
        <v/>
      </c>
      <c r="XP31">
        <f>IF($B31=0,1000000,IF(INDEX('計算A'!$D$60:$II$104,$B31,58)*FB31=1,IF(AND($E31=2,OI31=0),1000000,INDEX('計算A'!BI$110:BI$114,$F31+1)+IF(AND($E31=1,OI31=0),1000,0)),1000000))</f>
        <v/>
      </c>
      <c r="XQ31">
        <f>IF($B31=0,1000000,IF(INDEX('計算A'!$D$60:$II$104,$B31,59)*FC31=1,IF(AND($E31=2,OJ31=0),1000000,INDEX('計算A'!BJ$110:BJ$114,$F31+1)+IF(AND($E31=1,OJ31=0),1000,0)),1000000))</f>
        <v/>
      </c>
      <c r="XR31">
        <f>IF($B31=0,1000000,IF(INDEX('計算A'!$D$60:$II$104,$B31,60)*FD31=1,IF(AND($E31=2,OK31=0),1000000,INDEX('計算A'!BK$110:BK$114,$F31+1)+IF(AND($E31=1,OK31=0),1000,0)),1000000))</f>
        <v/>
      </c>
      <c r="XS31">
        <f>IF($B31=0,1000000,IF(INDEX('計算A'!$D$60:$II$104,$B31,61)*FE31=1,IF(AND($E31=2,OL31=0),1000000,INDEX('計算A'!BL$110:BL$114,$F31+1)+IF(AND($E31=1,OL31=0),1000,0)),1000000))</f>
        <v/>
      </c>
      <c r="XT31">
        <f>IF($B31=0,1000000,IF(INDEX('計算A'!$D$60:$II$104,$B31,62)*FF31=1,IF(AND($E31=2,OM31=0),1000000,INDEX('計算A'!BM$110:BM$114,$F31+1)+IF(AND($E31=1,OM31=0),1000,0)),1000000))</f>
        <v/>
      </c>
      <c r="XU31">
        <f>IF($B31=0,1000000,IF(INDEX('計算A'!$D$60:$II$104,$B31,63)*FG31=1,IF(AND($E31=2,ON31=0),1000000,INDEX('計算A'!BN$110:BN$114,$F31+1)+IF(AND($E31=1,ON31=0),1000,0)),1000000))</f>
        <v/>
      </c>
      <c r="XV31">
        <f>IF($B31=0,1000000,IF(INDEX('計算A'!$D$60:$II$104,$B31,64)*FH31=1,IF(AND($E31=2,OO31=0),1000000,INDEX('計算A'!BO$110:BO$114,$F31+1)+IF(AND($E31=1,OO31=0),1000,0)),1000000))</f>
        <v/>
      </c>
      <c r="XW31">
        <f>IF($B31=0,1000000,IF(INDEX('計算A'!$D$60:$II$104,$B31,65)*FI31=1,IF(AND($E31=2,OP31=0),1000000,INDEX('計算A'!BP$110:BP$114,$F31+1)+IF(AND($E31=1,OP31=0),1000,0)),1000000))</f>
        <v/>
      </c>
      <c r="XX31">
        <f>IF($B31=0,1000000,IF(INDEX('計算A'!$D$60:$II$104,$B31,66)*FJ31=1,IF(AND($E31=2,OQ31=0),1000000,INDEX('計算A'!BQ$110:BQ$114,$F31+1)+IF(AND($E31=1,OQ31=0),1000,0)),1000000))</f>
        <v/>
      </c>
      <c r="XY31">
        <f>IF($B31=0,1000000,IF(INDEX('計算A'!$D$60:$II$104,$B31,67)*FK31=1,IF(AND($E31=2,OR31=0),1000000,INDEX('計算A'!BR$110:BR$114,$F31+1)+IF(AND($E31=1,OR31=0),1000,0)),1000000))</f>
        <v/>
      </c>
      <c r="XZ31">
        <f>IF($B31=0,1000000,IF(INDEX('計算A'!$D$60:$II$104,$B31,68)*FL31=1,IF(AND($E31=2,OS31=0),1000000,INDEX('計算A'!BS$110:BS$114,$F31+1)+IF(AND($E31=1,OS31=0),1000,0)),1000000))</f>
        <v/>
      </c>
      <c r="YA31">
        <f>IF($B31=0,1000000,IF(INDEX('計算A'!$D$60:$II$104,$B31,69)*FM31=1,IF(AND($E31=2,OT31=0),1000000,INDEX('計算A'!BT$110:BT$114,$F31+1)+IF(AND($E31=1,OT31=0),1000,0)),1000000))</f>
        <v/>
      </c>
      <c r="YB31">
        <f>IF($B31=0,1000000,IF(INDEX('計算A'!$D$60:$II$104,$B31,70)*FN31=1,IF(AND($E31=2,OU31=0),1000000,INDEX('計算A'!BU$110:BU$114,$F31+1)+IF(AND($E31=1,OU31=0),1000,0)),1000000))</f>
        <v/>
      </c>
      <c r="YC31">
        <f>IF($B31=0,1000000,IF(INDEX('計算A'!$D$60:$II$104,$B31,71)*FO31=1,IF(AND($E31=2,OV31=0),1000000,INDEX('計算A'!BV$110:BV$114,$F31+1)+IF(AND($E31=1,OV31=0),1000,0)),1000000))</f>
        <v/>
      </c>
      <c r="YD31">
        <f>IF($B31=0,1000000,IF(INDEX('計算A'!$D$60:$II$104,$B31,72)*FP31=1,IF(AND($E31=2,OW31=0),1000000,INDEX('計算A'!BW$110:BW$114,$F31+1)+IF(AND($E31=1,OW31=0),1000,0)),1000000))</f>
        <v/>
      </c>
      <c r="YE31">
        <f>IF($B31=0,1000000,IF(INDEX('計算A'!$D$60:$II$104,$B31,73)*FQ31=1,IF(AND($E31=2,OX31=0),1000000,INDEX('計算A'!BX$110:BX$114,$F31+1)+IF(AND($E31=1,OX31=0),1000,0)),1000000))</f>
        <v/>
      </c>
      <c r="YF31">
        <f>IF($B31=0,1000000,IF(INDEX('計算A'!$D$60:$II$104,$B31,74)*FR31=1,IF(AND($E31=2,OY31=0),1000000,INDEX('計算A'!BY$110:BY$114,$F31+1)+IF(AND($E31=1,OY31=0),1000,0)),1000000))</f>
        <v/>
      </c>
      <c r="YG31">
        <f>IF($B31=0,1000000,IF(INDEX('計算A'!$D$60:$II$104,$B31,75)*FS31=1,IF(AND($E31=2,OZ31=0),1000000,INDEX('計算A'!BZ$110:BZ$114,$F31+1)+IF(AND($E31=1,OZ31=0),1000,0)),1000000))</f>
        <v/>
      </c>
      <c r="YH31">
        <f>IF($B31=0,1000000,IF(INDEX('計算A'!$D$60:$II$104,$B31,76)*FT31=1,IF(AND($E31=2,PA31=0),1000000,INDEX('計算A'!CA$110:CA$114,$F31+1)+IF(AND($E31=1,PA31=0),1000,0)),1000000))</f>
        <v/>
      </c>
      <c r="YI31">
        <f>IF($B31=0,1000000,IF(INDEX('計算A'!$D$60:$II$104,$B31,77)*FU31=1,IF(AND($E31=2,PB31=0),1000000,INDEX('計算A'!CB$110:CB$114,$F31+1)+IF(AND($E31=1,PB31=0),1000,0)),1000000))</f>
        <v/>
      </c>
      <c r="YJ31">
        <f>IF($B31=0,1000000,IF(INDEX('計算A'!$D$60:$II$104,$B31,78)*FV31=1,IF(AND($E31=2,PC31=0),1000000,INDEX('計算A'!CC$110:CC$114,$F31+1)+IF(AND($E31=1,PC31=0),1000,0)),1000000))</f>
        <v/>
      </c>
      <c r="YK31">
        <f>IF($B31=0,1000000,IF(INDEX('計算A'!$D$60:$II$104,$B31,79)*FW31=1,IF(AND($E31=2,PD31=0),1000000,INDEX('計算A'!CD$110:CD$114,$F31+1)+IF(AND($E31=1,PD31=0),1000,0)),1000000))</f>
        <v/>
      </c>
      <c r="YL31">
        <f>IF($B31=0,1000000,IF(INDEX('計算A'!$D$60:$II$104,$B31,80)*FX31=1,IF(AND($E31=2,PE31=0),1000000,INDEX('計算A'!CE$110:CE$114,$F31+1)+IF(AND($E31=1,PE31=0),1000,0)),1000000))</f>
        <v/>
      </c>
      <c r="YM31">
        <f>IF($B31=0,1000000,IF(INDEX('計算A'!$D$60:$II$104,$B31,81)*FY31=1,IF(AND($E31=2,PF31=0),1000000,INDEX('計算A'!CF$110:CF$114,$F31+1)+IF(AND($E31=1,PF31=0),1000,0)),1000000))</f>
        <v/>
      </c>
      <c r="YN31">
        <f>IF($B31=0,1000000,IF(INDEX('計算A'!$D$60:$II$104,$B31,82)*FZ31=1,IF(AND($E31=2,PG31=0),1000000,INDEX('計算A'!CG$110:CG$114,$F31+1)+IF(AND($E31=1,PG31=0),1000,0)),1000000))</f>
        <v/>
      </c>
      <c r="YO31">
        <f>IF($B31=0,1000000,IF(INDEX('計算A'!$D$60:$II$104,$B31,83)*GA31=1,IF(AND($E31=2,PH31=0),1000000,INDEX('計算A'!CH$110:CH$114,$F31+1)+IF(AND($E31=1,PH31=0),1000,0)),1000000))</f>
        <v/>
      </c>
      <c r="YP31">
        <f>IF($B31=0,1000000,IF(INDEX('計算A'!$D$60:$II$104,$B31,84)*GB31=1,IF(AND($E31=2,PI31=0),1000000,INDEX('計算A'!CI$110:CI$114,$F31+1)+IF(AND($E31=1,PI31=0),1000,0)),1000000))</f>
        <v/>
      </c>
      <c r="YQ31">
        <f>IF($B31=0,1000000,IF(INDEX('計算A'!$D$60:$II$104,$B31,85)*GC31=1,IF(AND($E31=2,PJ31=0),1000000,INDEX('計算A'!CJ$110:CJ$114,$F31+1)+IF(AND($E31=1,PJ31=0),1000,0)),1000000))</f>
        <v/>
      </c>
      <c r="YR31">
        <f>IF($B31=0,1000000,IF(INDEX('計算A'!$D$60:$II$104,$B31,86)*GD31=1,IF(AND($E31=2,PK31=0),1000000,INDEX('計算A'!CK$110:CK$114,$F31+1)+IF(AND($E31=1,PK31=0),1000,0)),1000000))</f>
        <v/>
      </c>
      <c r="YS31">
        <f>IF($B31=0,1000000,IF(INDEX('計算A'!$D$60:$II$104,$B31,87)*GE31=1,IF(AND($E31=2,PL31=0),1000000,INDEX('計算A'!CL$110:CL$114,$F31+1)+IF(AND($E31=1,PL31=0),1000,0)),1000000))</f>
        <v/>
      </c>
      <c r="YT31">
        <f>IF($B31=0,1000000,IF(INDEX('計算A'!$D$60:$II$104,$B31,88)*GF31=1,IF(AND($E31=2,PM31=0),1000000,INDEX('計算A'!CM$110:CM$114,$F31+1)+IF(AND($E31=1,PM31=0),1000,0)),1000000))</f>
        <v/>
      </c>
      <c r="YU31">
        <f>IF($B31=0,1000000,IF(INDEX('計算A'!$D$60:$II$104,$B31,89)*GG31=1,IF(AND($E31=2,PN31=0),1000000,INDEX('計算A'!CN$110:CN$114,$F31+1)+IF(AND($E31=1,PN31=0),1000,0)),1000000))</f>
        <v/>
      </c>
      <c r="YV31">
        <f>IF($B31=0,1000000,IF(INDEX('計算A'!$D$60:$II$104,$B31,90)*GH31=1,IF(AND($E31=2,PO31=0),1000000,INDEX('計算A'!CO$110:CO$114,$F31+1)+IF(AND($E31=1,PO31=0),1000,0)),1000000))</f>
        <v/>
      </c>
      <c r="YW31">
        <f>IF($B31=0,1000000,IF(INDEX('計算A'!$D$60:$II$104,$B31,91)*GI31=1,IF(AND($E31=2,PP31=0),1000000,INDEX('計算A'!CP$110:CP$114,$F31+1)+IF(AND($E31=1,PP31=0),1000,0)),1000000))</f>
        <v/>
      </c>
      <c r="YX31">
        <f>IF($B31=0,1000000,IF(INDEX('計算A'!$D$60:$II$104,$B31,92)*GJ31=1,IF(AND($E31=2,PQ31=0),1000000,INDEX('計算A'!CQ$110:CQ$114,$F31+1)+IF(AND($E31=1,PQ31=0),1000,0)),1000000))</f>
        <v/>
      </c>
      <c r="YY31">
        <f>IF($B31=0,1000000,IF(INDEX('計算A'!$D$60:$II$104,$B31,93)*GK31=1,IF(AND($E31=2,PR31=0),1000000,INDEX('計算A'!CR$110:CR$114,$F31+1)+IF(AND($E31=1,PR31=0),1000,0)),1000000))</f>
        <v/>
      </c>
      <c r="YZ31">
        <f>IF($B31=0,1000000,IF(INDEX('計算A'!$D$60:$II$104,$B31,94)*GL31=1,IF(AND($E31=2,PS31=0),1000000,INDEX('計算A'!CS$110:CS$114,$F31+1)+IF(AND($E31=1,PS31=0),1000,0)),1000000))</f>
        <v/>
      </c>
      <c r="ZA31">
        <f>IF($B31=0,1000000,IF(INDEX('計算A'!$D$60:$II$104,$B31,95)*GM31=1,IF(AND($E31=2,PT31=0),1000000,INDEX('計算A'!CT$110:CT$114,$F31+1)+IF(AND($E31=1,PT31=0),1000,0)),1000000))</f>
        <v/>
      </c>
      <c r="ZB31">
        <f>IF($B31=0,1000000,IF(INDEX('計算A'!$D$60:$II$104,$B31,96)*GN31=1,IF(AND($E31=2,PU31=0),1000000,INDEX('計算A'!CU$110:CU$114,$F31+1)+IF(AND($E31=1,PU31=0),1000,0)),1000000))</f>
        <v/>
      </c>
      <c r="ZC31">
        <f>IF($B31=0,1000000,IF(INDEX('計算A'!$D$60:$II$104,$B31,97)*GO31=1,IF(AND($E31=2,PV31=0),1000000,INDEX('計算A'!CV$110:CV$114,$F31+1)+IF(AND($E31=1,PV31=0),1000,0)),1000000))</f>
        <v/>
      </c>
      <c r="ZD31">
        <f>IF($B31=0,1000000,IF(INDEX('計算A'!$D$60:$II$104,$B31,98)*GP31=1,IF(AND($E31=2,PW31=0),1000000,INDEX('計算A'!CW$110:CW$114,$F31+1)+IF(AND($E31=1,PW31=0),1000,0)),1000000))</f>
        <v/>
      </c>
      <c r="ZE31">
        <f>IF($B31=0,1000000,IF(INDEX('計算A'!$D$60:$II$104,$B31,99)*GQ31=1,IF(AND($E31=2,PX31=0),1000000,INDEX('計算A'!CX$110:CX$114,$F31+1)+IF(AND($E31=1,PX31=0),1000,0)),1000000))</f>
        <v/>
      </c>
      <c r="ZF31">
        <f>IF($B31=0,1000000,IF(INDEX('計算A'!$D$60:$II$104,$B31,100)*GR31=1,IF(AND($E31=2,PY31=0),1000000,INDEX('計算A'!CY$110:CY$114,$F31+1)+IF(AND($E31=1,PY31=0),1000,0)),1000000))</f>
        <v/>
      </c>
      <c r="ZG31">
        <f>IF($B31=0,1000000,IF(INDEX('計算A'!$D$60:$II$104,$B31,101)*GS31=1,IF(AND($E31=2,PZ31=0),1000000,INDEX('計算A'!CZ$110:CZ$114,$F31+1)+IF(AND($E31=1,PZ31=0),1000,0)),1000000))</f>
        <v/>
      </c>
      <c r="ZH31">
        <f>IF($B31=0,1000000,IF(INDEX('計算A'!$D$60:$II$104,$B31,102)*GT31=1,IF(AND($E31=2,QA31=0),1000000,INDEX('計算A'!DA$110:DA$114,$F31+1)+IF(AND($E31=1,QA31=0),1000,0)),1000000))</f>
        <v/>
      </c>
      <c r="ZI31">
        <f>IF($B31=0,1000000,IF(INDEX('計算A'!$D$60:$II$104,$B31,103)*GU31=1,IF(AND($E31=2,QB31=0),1000000,INDEX('計算A'!DB$110:DB$114,$F31+1)+IF(AND($E31=1,QB31=0),1000,0)),1000000))</f>
        <v/>
      </c>
      <c r="ZJ31">
        <f>IF($B31=0,1000000,IF(INDEX('計算A'!$D$60:$II$104,$B31,104)*GV31=1,IF(AND($E31=2,QC31=0),1000000,INDEX('計算A'!DC$110:DC$114,$F31+1)+IF(AND($E31=1,QC31=0),1000,0)),1000000))</f>
        <v/>
      </c>
      <c r="ZK31">
        <f>IF($B31=0,1000000,IF(INDEX('計算A'!$D$60:$II$104,$B31,105)*GW31=1,IF(AND($E31=2,QD31=0),1000000,INDEX('計算A'!DD$110:DD$114,$F31+1)+IF(AND($E31=1,QD31=0),1000,0)),1000000))</f>
        <v/>
      </c>
      <c r="ZL31">
        <f>IF($B31=0,1000000,IF(INDEX('計算A'!$D$60:$II$104,$B31,106)*GX31=1,IF(AND($E31=2,QE31=0),1000000,INDEX('計算A'!DE$110:DE$114,$F31+1)+IF(AND($E31=1,QE31=0),1000,0)),1000000))</f>
        <v/>
      </c>
      <c r="ZM31">
        <f>IF($B31=0,1000000,IF(INDEX('計算A'!$D$60:$II$104,$B31,107)*GY31=1,IF(AND($E31=2,QF31=0),1000000,INDEX('計算A'!DF$110:DF$114,$F31+1)+IF(AND($E31=1,QF31=0),1000,0)),1000000))</f>
        <v/>
      </c>
      <c r="ZN31">
        <f>IF($B31=0,1000000,IF(INDEX('計算A'!$D$60:$II$104,$B31,108)*GZ31=1,IF(AND($E31=2,QG31=0),1000000,INDEX('計算A'!DG$110:DG$114,$F31+1)+IF(AND($E31=1,QG31=0),1000,0)),1000000))</f>
        <v/>
      </c>
      <c r="ZO31">
        <f>IF($B31=0,1000000,IF(INDEX('計算A'!$D$60:$II$104,$B31,109)*HA31=1,IF(AND($E31=2,QH31=0),1000000,INDEX('計算A'!DH$110:DH$114,$F31+1)+IF(AND($E31=1,QH31=0),1000,0)),1000000))</f>
        <v/>
      </c>
      <c r="ZP31">
        <f>IF($B31=0,1000000,IF(INDEX('計算A'!$D$60:$II$104,$B31,110)*HB31=1,IF(AND($E31=2,QI31=0),1000000,INDEX('計算A'!DI$110:DI$114,$F31+1)+IF(AND($E31=1,QI31=0),1000,0)),1000000))</f>
        <v/>
      </c>
      <c r="ZQ31">
        <f>IF($B31=0,1000000,IF(INDEX('計算A'!$D$60:$II$104,$B31,111)*HC31=1,IF(AND($E31=2,QJ31=0),1000000,INDEX('計算A'!DJ$110:DJ$114,$F31+1)+IF(AND($E31=1,QJ31=0),1000,0)),1000000))</f>
        <v/>
      </c>
      <c r="ZR31">
        <f>IF($B31=0,1000000,IF(INDEX('計算A'!$D$60:$II$104,$B31,112)*HD31=1,IF(AND($E31=2,QK31=0),1000000,INDEX('計算A'!DK$110:DK$114,$F31+1)+IF(AND($E31=1,QK31=0),1000,0)),1000000))</f>
        <v/>
      </c>
      <c r="ZS31">
        <f>IF($B31=0,1000000,IF(INDEX('計算A'!$D$60:$II$104,$B31,113)*HE31=1,IF(AND($E31=2,QL31=0),1000000,INDEX('計算A'!DL$110:DL$114,$F31+1)+IF(AND($E31=1,QL31=0),1000,0)),1000000))</f>
        <v/>
      </c>
      <c r="ZT31">
        <f>IF($B31=0,1000000,IF(INDEX('計算A'!$D$60:$II$104,$B31,114)*HF31=1,IF(AND($E31=2,QM31=0),1000000,INDEX('計算A'!DM$110:DM$114,$F31+1)+IF(AND($E31=1,QM31=0),1000,0)),1000000))</f>
        <v/>
      </c>
      <c r="ZU31">
        <f>IF($B31=0,1000000,IF(INDEX('計算A'!$D$60:$II$104,$B31,115)*HG31=1,IF(AND($E31=2,QN31=0),1000000,INDEX('計算A'!DN$110:DN$114,$F31+1)+IF(AND($E31=1,QN31=0),1000,0)),1000000))</f>
        <v/>
      </c>
      <c r="ZV31">
        <f>IF($B31=0,1000000,IF(INDEX('計算A'!$D$60:$II$104,$B31,116)*HH31=1,IF(AND($E31=2,QO31=0),1000000,INDEX('計算A'!DO$110:DO$114,$F31+1)+IF(AND($E31=1,QO31=0),1000,0)),1000000))</f>
        <v/>
      </c>
      <c r="ZW31">
        <f>IF($B31=0,1000000,IF(INDEX('計算A'!$D$60:$II$104,$B31,117)*HI31=1,IF(AND($E31=2,QP31=0),1000000,INDEX('計算A'!DP$110:DP$114,$F31+1)+IF(AND($E31=1,QP31=0),1000,0)),1000000))</f>
        <v/>
      </c>
      <c r="ZX31">
        <f>IF($B31=0,1000000,IF(INDEX('計算A'!$D$60:$II$104,$B31,118)*HJ31=1,IF(AND($E31=2,QQ31=0),1000000,INDEX('計算A'!DQ$110:DQ$114,$F31+1)+IF(AND($E31=1,QQ31=0),1000,0)),1000000))</f>
        <v/>
      </c>
      <c r="ZY31">
        <f>IF($B31=0,1000000,IF(INDEX('計算A'!$D$60:$II$104,$B31,119)*HK31=1,IF(AND($E31=2,QR31=0),1000000,INDEX('計算A'!DR$110:DR$114,$F31+1)+IF(AND($E31=1,QR31=0),1000,0)),1000000))</f>
        <v/>
      </c>
      <c r="ZZ31">
        <f>IF($B31=0,1000000,IF(INDEX('計算A'!$D$60:$II$104,$B31,120)*HL31=1,IF(AND($E31=2,QS31=0),1000000,INDEX('計算A'!DS$110:DS$114,$F31+1)+IF(AND($E31=1,QS31=0),1000,0)),1000000))</f>
        <v/>
      </c>
      <c r="AAA31">
        <f>IF($B31=0,1000000,IF(INDEX('計算A'!$D$60:$II$104,$B31,121)*HM31=1,IF(AND($E31=2,QT31=0),1000000,INDEX('計算A'!DT$110:DT$114,$F31+1)+IF(AND($E31=1,QT31=0),1000,0)),1000000))</f>
        <v/>
      </c>
      <c r="AAB31">
        <f>IF($B31=0,1000000,IF(INDEX('計算A'!$D$60:$II$104,$B31,122)*HN31=1,IF(AND($E31=2,QU31=0),1000000,INDEX('計算A'!DU$110:DU$114,$F31+1)+IF(AND($E31=1,QU31=0),1000,0)),1000000))</f>
        <v/>
      </c>
      <c r="AAC31">
        <f>IF($B31=0,1000000,IF(INDEX('計算A'!$D$60:$II$104,$B31,123)*HO31=1,IF(AND($E31=2,QV31=0),1000000,INDEX('計算A'!DV$110:DV$114,$F31+1)+IF(AND($E31=1,QV31=0),1000,0)),1000000))</f>
        <v/>
      </c>
      <c r="AAD31">
        <f>IF($B31=0,1000000,IF(INDEX('計算A'!$D$60:$II$104,$B31,124)*HP31=1,IF(AND($E31=2,QW31=0),1000000,INDEX('計算A'!DW$110:DW$114,$F31+1)+IF(AND($E31=1,QW31=0),1000,0)),1000000))</f>
        <v/>
      </c>
      <c r="AAE31">
        <f>IF($B31=0,1000000,IF(INDEX('計算A'!$D$60:$II$104,$B31,125)*HQ31=1,IF(AND($E31=2,QX31=0),1000000,INDEX('計算A'!DX$110:DX$114,$F31+1)+IF(AND($E31=1,QX31=0),1000,0)),1000000))</f>
        <v/>
      </c>
      <c r="AAF31">
        <f>IF($B31=0,1000000,IF(INDEX('計算A'!$D$60:$II$104,$B31,126)*HR31=1,IF(AND($E31=2,QY31=0),1000000,INDEX('計算A'!DY$110:DY$114,$F31+1)+IF(AND($E31=1,QY31=0),1000,0)),1000000))</f>
        <v/>
      </c>
      <c r="AAG31">
        <f>IF($B31=0,1000000,IF(INDEX('計算A'!$D$60:$II$104,$B31,127)*HS31=1,IF(AND($E31=2,QZ31=0),1000000,INDEX('計算A'!DZ$110:DZ$114,$F31+1)+IF(AND($E31=1,QZ31=0),1000,0)),1000000))</f>
        <v/>
      </c>
      <c r="AAH31">
        <f>IF($B31=0,1000000,IF(INDEX('計算A'!$D$60:$II$104,$B31,128)*HT31=1,IF(AND($E31=2,RA31=0),1000000,INDEX('計算A'!EA$110:EA$114,$F31+1)+IF(AND($E31=1,RA31=0),1000,0)),1000000))</f>
        <v/>
      </c>
      <c r="AAI31">
        <f>IF($B31=0,1000000,IF(INDEX('計算A'!$D$60:$II$104,$B31,129)*HU31=1,IF(AND($E31=2,RB31=0),1000000,INDEX('計算A'!EB$110:EB$114,$F31+1)+IF(AND($E31=1,RB31=0),1000,0)),1000000))</f>
        <v/>
      </c>
      <c r="AAJ31">
        <f>IF($B31=0,1000000,IF(INDEX('計算A'!$D$60:$II$104,$B31,130)*HV31=1,IF(AND($E31=2,RC31=0),1000000,INDEX('計算A'!EC$110:EC$114,$F31+1)+IF(AND($E31=1,RC31=0),1000,0)),1000000))</f>
        <v/>
      </c>
      <c r="AAK31">
        <f>IF($B31=0,1000000,IF(INDEX('計算A'!$D$60:$II$104,$B31,131)*HW31=1,IF(AND($E31=2,RD31=0),1000000,INDEX('計算A'!ED$110:ED$114,$F31+1)+IF(AND($E31=1,RD31=0),1000,0)),1000000))</f>
        <v/>
      </c>
      <c r="AAL31">
        <f>IF($B31=0,1000000,IF(INDEX('計算A'!$D$60:$II$104,$B31,132)*HX31=1,IF(AND($E31=2,RE31=0),1000000,INDEX('計算A'!EE$110:EE$114,$F31+1)+IF(AND($E31=1,RE31=0),1000,0)),1000000))</f>
        <v/>
      </c>
      <c r="AAM31">
        <f>IF($B31=0,1000000,IF(INDEX('計算A'!$D$60:$II$104,$B31,133)*HY31=1,IF(AND($E31=2,RF31=0),1000000,INDEX('計算A'!EF$110:EF$114,$F31+1)+IF(AND($E31=1,RF31=0),1000,0)),1000000))</f>
        <v/>
      </c>
      <c r="AAN31">
        <f>IF($B31=0,1000000,IF(INDEX('計算A'!$D$60:$II$104,$B31,134)*HZ31=1,IF(AND($E31=2,RG31=0),1000000,INDEX('計算A'!EG$110:EG$114,$F31+1)+IF(AND($E31=1,RG31=0),1000,0)),1000000))</f>
        <v/>
      </c>
      <c r="AAO31">
        <f>IF($B31=0,1000000,IF(INDEX('計算A'!$D$60:$II$104,$B31,135)*IA31=1,IF(AND($E31=2,RH31=0),1000000,INDEX('計算A'!EH$110:EH$114,$F31+1)+IF(AND($E31=1,RH31=0),1000,0)),1000000))</f>
        <v/>
      </c>
      <c r="AAP31">
        <f>IF($B31=0,1000000,IF(INDEX('計算A'!$D$60:$II$104,$B31,136)*IB31=1,IF(AND($E31=2,RI31=0),1000000,INDEX('計算A'!EI$110:EI$114,$F31+1)+IF(AND($E31=1,RI31=0),1000,0)),1000000))</f>
        <v/>
      </c>
      <c r="AAQ31">
        <f>IF($B31=0,1000000,IF(INDEX('計算A'!$D$60:$II$104,$B31,137)*IC31=1,IF(AND($E31=2,RJ31=0),1000000,INDEX('計算A'!EJ$110:EJ$114,$F31+1)+IF(AND($E31=1,RJ31=0),1000,0)),1000000))</f>
        <v/>
      </c>
      <c r="AAR31">
        <f>IF($B31=0,1000000,IF(INDEX('計算A'!$D$60:$II$104,$B31,138)*ID31=1,IF(AND($E31=2,RK31=0),1000000,INDEX('計算A'!EK$110:EK$114,$F31+1)+IF(AND($E31=1,RK31=0),1000,0)),1000000))</f>
        <v/>
      </c>
      <c r="AAS31">
        <f>IF($B31=0,1000000,IF(INDEX('計算A'!$D$60:$II$104,$B31,139)*IE31=1,IF(AND($E31=2,RL31=0),1000000,INDEX('計算A'!EL$110:EL$114,$F31+1)+IF(AND($E31=1,RL31=0),1000,0)),1000000))</f>
        <v/>
      </c>
      <c r="AAT31">
        <f>IF($B31=0,1000000,IF(INDEX('計算A'!$D$60:$II$104,$B31,140)*IF31=1,IF(AND($E31=2,RM31=0),1000000,INDEX('計算A'!EM$110:EM$114,$F31+1)+IF(AND($E31=1,RM31=0),1000,0)),1000000))</f>
        <v/>
      </c>
      <c r="AAU31">
        <f>IF($B31=0,1000000,IF(INDEX('計算A'!$D$60:$II$104,$B31,141)*IG31=1,IF(AND($E31=2,RN31=0),1000000,INDEX('計算A'!EN$110:EN$114,$F31+1)+IF(AND($E31=1,RN31=0),1000,0)),1000000))</f>
        <v/>
      </c>
      <c r="AAV31">
        <f>IF($B31=0,1000000,IF(INDEX('計算A'!$D$60:$II$104,$B31,142)*IH31=1,IF(AND($E31=2,RO31=0),1000000,INDEX('計算A'!EO$110:EO$114,$F31+1)+IF(AND($E31=1,RO31=0),1000,0)),1000000))</f>
        <v/>
      </c>
      <c r="AAW31">
        <f>IF($B31=0,1000000,IF(INDEX('計算A'!$D$60:$II$104,$B31,143)*II31=1,IF(AND($E31=2,RP31=0),1000000,INDEX('計算A'!EP$110:EP$114,$F31+1)+IF(AND($E31=1,RP31=0),1000,0)),1000000))</f>
        <v/>
      </c>
      <c r="AAX31">
        <f>IF($B31=0,1000000,IF(INDEX('計算A'!$D$60:$II$104,$B31,144)*IJ31=1,IF(AND($E31=2,RQ31=0),1000000,INDEX('計算A'!EQ$110:EQ$114,$F31+1)+IF(AND($E31=1,RQ31=0),1000,0)),1000000))</f>
        <v/>
      </c>
      <c r="AAY31">
        <f>IF($B31=0,1000000,IF(INDEX('計算A'!$D$60:$II$104,$B31,145)*IK31=1,IF(AND($E31=2,RR31=0),1000000,INDEX('計算A'!ER$110:ER$114,$F31+1)+IF(AND($E31=1,RR31=0),1000,0)),1000000))</f>
        <v/>
      </c>
      <c r="AAZ31">
        <f>IF($B31=0,1000000,IF(INDEX('計算A'!$D$60:$II$104,$B31,146)*IL31=1,IF(AND($E31=2,RS31=0),1000000,INDEX('計算A'!ES$110:ES$114,$F31+1)+IF(AND($E31=1,RS31=0),1000,0)),1000000))</f>
        <v/>
      </c>
      <c r="ABA31">
        <f>IF($B31=0,1000000,IF(INDEX('計算A'!$D$60:$II$104,$B31,147)*IM31=1,IF(AND($E31=2,RT31=0),1000000,INDEX('計算A'!ET$110:ET$114,$F31+1)+IF(AND($E31=1,RT31=0),1000,0)),1000000))</f>
        <v/>
      </c>
      <c r="ABB31">
        <f>IF($B31=0,1000000,IF(INDEX('計算A'!$D$60:$II$104,$B31,148)*IN31=1,IF(AND($E31=2,RU31=0),1000000,INDEX('計算A'!EU$110:EU$114,$F31+1)+IF(AND($E31=1,RU31=0),1000,0)),1000000))</f>
        <v/>
      </c>
      <c r="ABC31">
        <f>IF($B31=0,1000000,IF(INDEX('計算A'!$D$60:$II$104,$B31,149)*IO31=1,IF(AND($E31=2,RV31=0),1000000,INDEX('計算A'!EV$110:EV$114,$F31+1)+IF(AND($E31=1,RV31=0),1000,0)),1000000))</f>
        <v/>
      </c>
      <c r="ABD31">
        <f>IF($B31=0,1000000,IF(INDEX('計算A'!$D$60:$II$104,$B31,150)*IP31=1,IF(AND($E31=2,RW31=0),1000000,INDEX('計算A'!EW$110:EW$114,$F31+1)+IF(AND($E31=1,RW31=0),1000,0)),1000000))</f>
        <v/>
      </c>
      <c r="ABE31">
        <f>IF($B31=0,1000000,IF(INDEX('計算A'!$D$60:$II$104,$B31,151)*IQ31=1,IF(AND($E31=2,RX31=0),1000000,INDEX('計算A'!EX$110:EX$114,$F31+1)+IF(AND($E31=1,RX31=0),1000,0)),1000000))</f>
        <v/>
      </c>
      <c r="ABF31">
        <f>IF($B31=0,1000000,IF(INDEX('計算A'!$D$60:$II$104,$B31,152)*IR31=1,IF(AND($E31=2,RY31=0),1000000,INDEX('計算A'!EY$110:EY$114,$F31+1)+IF(AND($E31=1,RY31=0),1000,0)),1000000))</f>
        <v/>
      </c>
      <c r="ABG31">
        <f>IF($B31=0,1000000,IF(INDEX('計算A'!$D$60:$II$104,$B31,153)*IS31=1,IF(AND($E31=2,RZ31=0),1000000,INDEX('計算A'!EZ$110:EZ$114,$F31+1)+IF(AND($E31=1,RZ31=0),1000,0)),1000000))</f>
        <v/>
      </c>
      <c r="ABH31">
        <f>IF($B31=0,1000000,IF(INDEX('計算A'!$D$60:$II$104,$B31,154)*IT31=1,IF(AND($E31=2,SA31=0),1000000,INDEX('計算A'!FA$110:FA$114,$F31+1)+IF(AND($E31=1,SA31=0),1000,0)),1000000))</f>
        <v/>
      </c>
      <c r="ABI31">
        <f>IF($B31=0,1000000,IF(INDEX('計算A'!$D$60:$II$104,$B31,155)*IU31=1,IF(AND($E31=2,SB31=0),1000000,INDEX('計算A'!FB$110:FB$114,$F31+1)+IF(AND($E31=1,SB31=0),1000,0)),1000000))</f>
        <v/>
      </c>
      <c r="ABJ31">
        <f>IF($B31=0,1000000,IF(INDEX('計算A'!$D$60:$II$104,$B31,156)*IV31=1,IF(AND($E31=2,SC31=0),1000000,INDEX('計算A'!FC$110:FC$114,$F31+1)+IF(AND($E31=1,SC31=0),1000,0)),1000000))</f>
        <v/>
      </c>
      <c r="ABK31">
        <f>IF($B31=0,1000000,IF(INDEX('計算A'!$D$60:$II$104,$B31,157)*IW31=1,IF(AND($E31=2,SD31=0),1000000,INDEX('計算A'!FD$110:FD$114,$F31+1)+IF(AND($E31=1,SD31=0),1000,0)),1000000))</f>
        <v/>
      </c>
      <c r="ABL31">
        <f>IF($B31=0,1000000,IF(INDEX('計算A'!$D$60:$II$104,$B31,158)*IX31=1,IF(AND($E31=2,SE31=0),1000000,INDEX('計算A'!FE$110:FE$114,$F31+1)+IF(AND($E31=1,SE31=0),1000,0)),1000000))</f>
        <v/>
      </c>
      <c r="ABM31">
        <f>IF($B31=0,1000000,IF(INDEX('計算A'!$D$60:$II$104,$B31,159)*IY31=1,IF(AND($E31=2,SF31=0),1000000,INDEX('計算A'!FF$110:FF$114,$F31+1)+IF(AND($E31=1,SF31=0),1000,0)),1000000))</f>
        <v/>
      </c>
      <c r="ABN31">
        <f>IF($B31=0,1000000,IF(INDEX('計算A'!$D$60:$II$104,$B31,160)*IZ31=1,IF(AND($E31=2,SG31=0),1000000,INDEX('計算A'!FG$110:FG$114,$F31+1)+IF(AND($E31=1,SG31=0),1000,0)),1000000))</f>
        <v/>
      </c>
      <c r="ABO31">
        <f>IF($B31=0,1000000,IF(INDEX('計算A'!$D$60:$II$104,$B31,161)*JA31=1,IF(AND($E31=2,SH31=0),1000000,INDEX('計算A'!FH$110:FH$114,$F31+1)+IF(AND($E31=1,SH31=0),1000,0)),1000000))</f>
        <v/>
      </c>
      <c r="ABP31">
        <f>IF($B31=0,1000000,IF(INDEX('計算A'!$D$60:$II$104,$B31,162)*JB31=1,IF(AND($E31=2,SI31=0),1000000,INDEX('計算A'!FI$110:FI$114,$F31+1)+IF(AND($E31=1,SI31=0),1000,0)),1000000))</f>
        <v/>
      </c>
      <c r="ABQ31">
        <f>IF($B31=0,1000000,IF(INDEX('計算A'!$D$60:$II$104,$B31,163)*JC31=1,IF(AND($E31=2,SJ31=0),1000000,INDEX('計算A'!FJ$110:FJ$114,$F31+1)+IF(AND($E31=1,SJ31=0),1000,0)),1000000))</f>
        <v/>
      </c>
      <c r="ABR31">
        <f>IF($B31=0,1000000,IF(INDEX('計算A'!$D$60:$II$104,$B31,164)*JD31=1,IF(AND($E31=2,SK31=0),1000000,INDEX('計算A'!FK$110:FK$114,$F31+1)+IF(AND($E31=1,SK31=0),1000,0)),1000000))</f>
        <v/>
      </c>
      <c r="ABS31">
        <f>IF($B31=0,1000000,IF(INDEX('計算A'!$D$60:$II$104,$B31,165)*JE31=1,IF(AND($E31=2,SL31=0),1000000,INDEX('計算A'!FL$110:FL$114,$F31+1)+IF(AND($E31=1,SL31=0),1000,0)),1000000))</f>
        <v/>
      </c>
      <c r="ABT31">
        <f>IF($B31=0,1000000,IF(INDEX('計算A'!$D$60:$II$104,$B31,166)*JF31=1,IF(AND($E31=2,SM31=0),1000000,INDEX('計算A'!FM$110:FM$114,$F31+1)+IF(AND($E31=1,SM31=0),1000,0)),1000000))</f>
        <v/>
      </c>
      <c r="ABU31">
        <f>IF($B31=0,1000000,IF(INDEX('計算A'!$D$60:$II$104,$B31,167)*JG31=1,IF(AND($E31=2,SN31=0),1000000,INDEX('計算A'!FN$110:FN$114,$F31+1)+IF(AND($E31=1,SN31=0),1000,0)),1000000))</f>
        <v/>
      </c>
      <c r="ABV31">
        <f>IF($B31=0,1000000,IF(INDEX('計算A'!$D$60:$II$104,$B31,168)*JH31=1,IF(AND($E31=2,SO31=0),1000000,INDEX('計算A'!FO$110:FO$114,$F31+1)+IF(AND($E31=1,SO31=0),1000,0)),1000000))</f>
        <v/>
      </c>
      <c r="ABW31">
        <f>IF($B31=0,1000000,IF(INDEX('計算A'!$D$60:$II$104,$B31,169)*JI31=1,IF(AND($E31=2,SP31=0),1000000,INDEX('計算A'!FP$110:FP$114,$F31+1)+IF(AND($E31=1,SP31=0),1000,0)),1000000))</f>
        <v/>
      </c>
      <c r="ABX31">
        <f>IF($B31=0,1000000,IF(INDEX('計算A'!$D$60:$II$104,$B31,170)*JJ31=1,IF(AND($E31=2,SQ31=0),1000000,INDEX('計算A'!FQ$110:FQ$114,$F31+1)+IF(AND($E31=1,SQ31=0),1000,0)),1000000))</f>
        <v/>
      </c>
      <c r="ABY31">
        <f>IF($B31=0,1000000,IF(INDEX('計算A'!$D$60:$II$104,$B31,171)*JK31=1,IF(AND($E31=2,SR31=0),1000000,INDEX('計算A'!FR$110:FR$114,$F31+1)+IF(AND($E31=1,SR31=0),1000,0)),1000000))</f>
        <v/>
      </c>
      <c r="ABZ31">
        <f>IF($B31=0,1000000,IF(INDEX('計算A'!$D$60:$II$104,$B31,172)*JL31=1,IF(AND($E31=2,SS31=0),1000000,INDEX('計算A'!FS$110:FS$114,$F31+1)+IF(AND($E31=1,SS31=0),1000,0)),1000000))</f>
        <v/>
      </c>
      <c r="ACA31">
        <f>IF($B31=0,1000000,IF(INDEX('計算A'!$D$60:$II$104,$B31,173)*JM31=1,IF(AND($E31=2,ST31=0),1000000,INDEX('計算A'!FT$110:FT$114,$F31+1)+IF(AND($E31=1,ST31=0),1000,0)),1000000))</f>
        <v/>
      </c>
      <c r="ACB31">
        <f>IF($B31=0,1000000,IF(INDEX('計算A'!$D$60:$II$104,$B31,174)*JN31=1,IF(AND($E31=2,SU31=0),1000000,INDEX('計算A'!FU$110:FU$114,$F31+1)+IF(AND($E31=1,SU31=0),1000,0)),1000000))</f>
        <v/>
      </c>
      <c r="ACC31">
        <f>IF($B31=0,1000000,IF(INDEX('計算A'!$D$60:$II$104,$B31,175)*JO31=1,IF(AND($E31=2,SV31=0),1000000,INDEX('計算A'!FV$110:FV$114,$F31+1)+IF(AND($E31=1,SV31=0),1000,0)),1000000))</f>
        <v/>
      </c>
      <c r="ACD31">
        <f>IF($B31=0,1000000,IF(INDEX('計算A'!$D$60:$II$104,$B31,176)*JP31=1,IF(AND($E31=2,SW31=0),1000000,INDEX('計算A'!FW$110:FW$114,$F31+1)+IF(AND($E31=1,SW31=0),1000,0)),1000000))</f>
        <v/>
      </c>
      <c r="ACE31">
        <f>IF($B31=0,1000000,IF(INDEX('計算A'!$D$60:$II$104,$B31,177)*JQ31=1,IF(AND($E31=2,SX31=0),1000000,INDEX('計算A'!FX$110:FX$114,$F31+1)+IF(AND($E31=1,SX31=0),1000,0)),1000000))</f>
        <v/>
      </c>
      <c r="ACF31">
        <f>IF($B31=0,1000000,IF(INDEX('計算A'!$D$60:$II$104,$B31,178)*JR31=1,IF(AND($E31=2,SY31=0),1000000,INDEX('計算A'!FY$110:FY$114,$F31+1)+IF(AND($E31=1,SY31=0),1000,0)),1000000))</f>
        <v/>
      </c>
      <c r="ACG31">
        <f>IF($B31=0,1000000,IF(INDEX('計算A'!$D$60:$II$104,$B31,179)*JS31=1,IF(AND($E31=2,SZ31=0),1000000,INDEX('計算A'!FZ$110:FZ$114,$F31+1)+IF(AND($E31=1,SZ31=0),1000,0)),1000000))</f>
        <v/>
      </c>
      <c r="ACH31">
        <f>IF($B31=0,1000000,IF(INDEX('計算A'!$D$60:$II$104,$B31,180)*JT31=1,IF(AND($E31=2,TA31=0),1000000,INDEX('計算A'!GA$110:GA$114,$F31+1)+IF(AND($E31=1,TA31=0),1000,0)),1000000))</f>
        <v/>
      </c>
      <c r="ACI31">
        <f>IF($B31=0,1000000,IF(INDEX('計算A'!$D$60:$II$104,$B31,181)*JU31=1,IF(AND($E31=2,TB31=0),1000000,INDEX('計算A'!GB$110:GB$114,$F31+1)+IF(AND($E31=1,TB31=0),1000,0)),1000000))</f>
        <v/>
      </c>
      <c r="ACJ31">
        <f>IF($B31=0,1000000,IF(INDEX('計算A'!$D$60:$II$104,$B31,182)*JV31=1,IF(AND($E31=2,TC31=0),1000000,INDEX('計算A'!GC$110:GC$114,$F31+1)+IF(AND($E31=1,TC31=0),1000,0)),1000000))</f>
        <v/>
      </c>
      <c r="ACK31">
        <f>IF($B31=0,1000000,IF(INDEX('計算A'!$D$60:$II$104,$B31,183)*JW31=1,IF(AND($E31=2,TD31=0),1000000,INDEX('計算A'!GD$110:GD$114,$F31+1)+IF(AND($E31=1,TD31=0),1000,0)),1000000))</f>
        <v/>
      </c>
      <c r="ACL31">
        <f>IF($B31=0,1000000,IF(INDEX('計算A'!$D$60:$II$104,$B31,184)*JX31=1,IF(AND($E31=2,TE31=0),1000000,INDEX('計算A'!GE$110:GE$114,$F31+1)+IF(AND($E31=1,TE31=0),1000,0)),1000000))</f>
        <v/>
      </c>
      <c r="ACM31">
        <f>IF($B31=0,1000000,IF(INDEX('計算A'!$D$60:$II$104,$B31,185)*JY31=1,IF(AND($E31=2,TF31=0),1000000,INDEX('計算A'!GF$110:GF$114,$F31+1)+IF(AND($E31=1,TF31=0),1000,0)),1000000))</f>
        <v/>
      </c>
      <c r="ACN31">
        <f>IF($B31=0,1000000,IF(INDEX('計算A'!$D$60:$II$104,$B31,186)*JZ31=1,IF(AND($E31=2,TG31=0),1000000,INDEX('計算A'!GG$110:GG$114,$F31+1)+IF(AND($E31=1,TG31=0),1000,0)),1000000))</f>
        <v/>
      </c>
      <c r="ACO31">
        <f>IF($B31=0,1000000,IF(INDEX('計算A'!$D$60:$II$104,$B31,187)*KA31=1,IF(AND($E31=2,TH31=0),1000000,INDEX('計算A'!GH$110:GH$114,$F31+1)+IF(AND($E31=1,TH31=0),1000,0)),1000000))</f>
        <v/>
      </c>
      <c r="ACP31">
        <f>IF($B31=0,1000000,IF(INDEX('計算A'!$D$60:$II$104,$B31,188)*KB31=1,IF(AND($E31=2,TI31=0),1000000,INDEX('計算A'!GI$110:GI$114,$F31+1)+IF(AND($E31=1,TI31=0),1000,0)),1000000))</f>
        <v/>
      </c>
      <c r="ACQ31">
        <f>IF($B31=0,1000000,IF(INDEX('計算A'!$D$60:$II$104,$B31,189)*KC31=1,IF(AND($E31=2,TJ31=0),1000000,INDEX('計算A'!GJ$110:GJ$114,$F31+1)+IF(AND($E31=1,TJ31=0),1000,0)),1000000))</f>
        <v/>
      </c>
      <c r="ACR31">
        <f>IF($B31=0,1000000,IF(INDEX('計算A'!$D$60:$II$104,$B31,190)*KD31=1,IF(AND($E31=2,TK31=0),1000000,INDEX('計算A'!GK$110:GK$114,$F31+1)+IF(AND($E31=1,TK31=0),1000,0)),1000000))</f>
        <v/>
      </c>
      <c r="ACS31">
        <f>IF($B31=0,1000000,IF(INDEX('計算A'!$D$60:$II$104,$B31,191)*KE31=1,IF(AND($E31=2,TL31=0),1000000,INDEX('計算A'!GL$110:GL$114,$F31+1)+IF(AND($E31=1,TL31=0),1000,0)),1000000))</f>
        <v/>
      </c>
      <c r="ACT31">
        <f>IF($B31=0,1000000,IF(INDEX('計算A'!$D$60:$II$104,$B31,192)*KF31=1,IF(AND($E31=2,TM31=0),1000000,INDEX('計算A'!GM$110:GM$114,$F31+1)+IF(AND($E31=1,TM31=0),1000,0)),1000000))</f>
        <v/>
      </c>
      <c r="ACU31">
        <f>IF($B31=0,1000000,IF(INDEX('計算A'!$D$60:$II$104,$B31,193)*KG31=1,IF(AND($E31=2,TN31=0),1000000,INDEX('計算A'!GN$110:GN$114,$F31+1)+IF(AND($E31=1,TN31=0),1000,0)),1000000))</f>
        <v/>
      </c>
      <c r="ACV31">
        <f>IF($B31=0,1000000,IF(INDEX('計算A'!$D$60:$II$104,$B31,194)*KH31=1,IF(AND($E31=2,TO31=0),1000000,INDEX('計算A'!GO$110:GO$114,$F31+1)+IF(AND($E31=1,TO31=0),1000,0)),1000000))</f>
        <v/>
      </c>
      <c r="ACW31">
        <f>IF($B31=0,1000000,IF(INDEX('計算A'!$D$60:$II$104,$B31,195)*KI31=1,IF(AND($E31=2,TP31=0),1000000,INDEX('計算A'!GP$110:GP$114,$F31+1)+IF(AND($E31=1,TP31=0),1000,0)),1000000))</f>
        <v/>
      </c>
      <c r="ACX31">
        <f>IF($B31=0,1000000,IF(INDEX('計算A'!$D$60:$II$104,$B31,196)*KJ31=1,IF(AND($E31=2,TQ31=0),1000000,INDEX('計算A'!GQ$110:GQ$114,$F31+1)+IF(AND($E31=1,TQ31=0),1000,0)),1000000))</f>
        <v/>
      </c>
      <c r="ACY31">
        <f>IF($B31=0,1000000,IF(INDEX('計算A'!$D$60:$II$104,$B31,197)*KK31=1,IF(AND($E31=2,TR31=0),1000000,INDEX('計算A'!GR$110:GR$114,$F31+1)+IF(AND($E31=1,TR31=0),1000,0)),1000000))</f>
        <v/>
      </c>
      <c r="ACZ31">
        <f>IF($B31=0,1000000,IF(INDEX('計算A'!$D$60:$II$104,$B31,198)*KL31=1,IF(AND($E31=2,TS31=0),1000000,INDEX('計算A'!GS$110:GS$114,$F31+1)+IF(AND($E31=1,TS31=0),1000,0)),1000000))</f>
        <v/>
      </c>
      <c r="ADA31">
        <f>IF($B31=0,1000000,IF(INDEX('計算A'!$D$60:$II$104,$B31,199)*KM31=1,IF(AND($E31=2,TT31=0),1000000,INDEX('計算A'!GT$110:GT$114,$F31+1)+IF(AND($E31=1,TT31=0),1000,0)),1000000))</f>
        <v/>
      </c>
      <c r="ADB31">
        <f>IF($B31=0,1000000,IF(INDEX('計算A'!$D$60:$II$104,$B31,200)*KN31=1,IF(AND($E31=2,TU31=0),1000000,INDEX('計算A'!GU$110:GU$114,$F31+1)+IF(AND($E31=1,TU31=0),1000,0)),1000000))</f>
        <v/>
      </c>
      <c r="ADC31">
        <f>IF($B31=0,1000000,IF(INDEX('計算A'!$D$60:$II$104,$B31,201)*KO31=1,IF(AND($E31=2,TV31=0),1000000,INDEX('計算A'!GV$110:GV$114,$F31+1)+IF(AND($E31=1,TV31=0),1000,0)),1000000))</f>
        <v/>
      </c>
      <c r="ADD31">
        <f>IF($B31=0,1000000,IF(INDEX('計算A'!$D$60:$II$104,$B31,202)*KP31=1,IF(AND($E31=2,TW31=0),1000000,INDEX('計算A'!GW$110:GW$114,$F31+1)+IF(AND($E31=1,TW31=0),1000,0)),1000000))</f>
        <v/>
      </c>
      <c r="ADE31">
        <f>IF($B31=0,1000000,IF(INDEX('計算A'!$D$60:$II$104,$B31,203)*KQ31=1,IF(AND($E31=2,TX31=0),1000000,INDEX('計算A'!GX$110:GX$114,$F31+1)+IF(AND($E31=1,TX31=0),1000,0)),1000000))</f>
        <v/>
      </c>
      <c r="ADF31">
        <f>IF($B31=0,1000000,IF(INDEX('計算A'!$D$60:$II$104,$B31,204)*KR31=1,IF(AND($E31=2,TY31=0),1000000,INDEX('計算A'!GY$110:GY$114,$F31+1)+IF(AND($E31=1,TY31=0),1000,0)),1000000))</f>
        <v/>
      </c>
      <c r="ADG31">
        <f>IF($B31=0,1000000,IF(INDEX('計算A'!$D$60:$II$104,$B31,205)*KS31=1,IF(AND($E31=2,TZ31=0),1000000,INDEX('計算A'!GZ$110:GZ$114,$F31+1)+IF(AND($E31=1,TZ31=0),1000,0)),1000000))</f>
        <v/>
      </c>
      <c r="ADH31">
        <f>IF($B31=0,1000000,IF(INDEX('計算A'!$D$60:$II$104,$B31,206)*KT31=1,IF(AND($E31=2,UA31=0),1000000,INDEX('計算A'!HA$110:HA$114,$F31+1)+IF(AND($E31=1,UA31=0),1000,0)),1000000))</f>
        <v/>
      </c>
      <c r="ADI31">
        <f>IF($B31=0,1000000,IF(INDEX('計算A'!$D$60:$II$104,$B31,207)*KU31=1,IF(AND($E31=2,UB31=0),1000000,INDEX('計算A'!HB$110:HB$114,$F31+1)+IF(AND($E31=1,UB31=0),1000,0)),1000000))</f>
        <v/>
      </c>
      <c r="ADJ31">
        <f>IF($B31=0,1000000,IF(INDEX('計算A'!$D$60:$II$104,$B31,208)*KV31=1,IF(AND($E31=2,UC31=0),1000000,INDEX('計算A'!HC$110:HC$114,$F31+1)+IF(AND($E31=1,UC31=0),1000,0)),1000000))</f>
        <v/>
      </c>
      <c r="ADK31">
        <f>IF($B31=0,1000000,IF(INDEX('計算A'!$D$60:$II$104,$B31,209)*KW31=1,IF(AND($E31=2,UD31=0),1000000,INDEX('計算A'!HD$110:HD$114,$F31+1)+IF(AND($E31=1,UD31=0),1000,0)),1000000))</f>
        <v/>
      </c>
      <c r="ADL31">
        <f>IF($B31=0,1000000,IF(INDEX('計算A'!$D$60:$II$104,$B31,210)*KX31=1,IF(AND($E31=2,UE31=0),1000000,INDEX('計算A'!HE$110:HE$114,$F31+1)+IF(AND($E31=1,UE31=0),1000,0)),1000000))</f>
        <v/>
      </c>
      <c r="ADM31">
        <f>IF($B31=0,1000000,IF(INDEX('計算A'!$D$60:$II$104,$B31,211)*KY31=1,IF(AND($E31=2,UF31=0),1000000,INDEX('計算A'!HF$110:HF$114,$F31+1)+IF(AND($E31=1,UF31=0),1000,0)),1000000))</f>
        <v/>
      </c>
      <c r="ADN31">
        <f>IF($B31=0,1000000,IF(INDEX('計算A'!$D$60:$II$104,$B31,212)*KZ31=1,IF(AND($E31=2,UG31=0),1000000,INDEX('計算A'!HG$110:HG$114,$F31+1)+IF(AND($E31=1,UG31=0),1000,0)),1000000))</f>
        <v/>
      </c>
      <c r="ADO31">
        <f>IF($B31=0,1000000,IF(INDEX('計算A'!$D$60:$II$104,$B31,213)*LA31=1,IF(AND($E31=2,UH31=0),1000000,INDEX('計算A'!HH$110:HH$114,$F31+1)+IF(AND($E31=1,UH31=0),1000,0)),1000000))</f>
        <v/>
      </c>
      <c r="ADP31">
        <f>IF($B31=0,1000000,IF(INDEX('計算A'!$D$60:$II$104,$B31,214)*LB31=1,IF(AND($E31=2,UI31=0),1000000,INDEX('計算A'!HI$110:HI$114,$F31+1)+IF(AND($E31=1,UI31=0),1000,0)),1000000))</f>
        <v/>
      </c>
      <c r="ADQ31">
        <f>IF($B31=0,1000000,IF(INDEX('計算A'!$D$60:$II$104,$B31,215)*LC31=1,IF(AND($E31=2,UJ31=0),1000000,INDEX('計算A'!HJ$110:HJ$114,$F31+1)+IF(AND($E31=1,UJ31=0),1000,0)),1000000))</f>
        <v/>
      </c>
      <c r="ADR31">
        <f>IF($B31=0,1000000,IF(INDEX('計算A'!$D$60:$II$104,$B31,216)*LD31=1,IF(AND($E31=2,UK31=0),1000000,INDEX('計算A'!HK$110:HK$114,$F31+1)+IF(AND($E31=1,UK31=0),1000,0)),1000000))</f>
        <v/>
      </c>
      <c r="ADS31">
        <f>IF($B31=0,1000000,IF(INDEX('計算A'!$D$60:$II$104,$B31,217)*LE31=1,IF(AND($E31=2,UL31=0),1000000,INDEX('計算A'!HL$110:HL$114,$F31+1)+IF(AND($E31=1,UL31=0),1000,0)),1000000))</f>
        <v/>
      </c>
      <c r="ADT31">
        <f>IF($B31=0,1000000,IF(INDEX('計算A'!$D$60:$II$104,$B31,218)*LF31=1,IF(AND($E31=2,UM31=0),1000000,INDEX('計算A'!HM$110:HM$114,$F31+1)+IF(AND($E31=1,UM31=0),1000,0)),1000000))</f>
        <v/>
      </c>
      <c r="ADU31">
        <f>IF($B31=0,1000000,IF(INDEX('計算A'!$D$60:$II$104,$B31,219)*LG31=1,IF(AND($E31=2,UN31=0),1000000,INDEX('計算A'!HN$110:HN$114,$F31+1)+IF(AND($E31=1,UN31=0),1000,0)),1000000))</f>
        <v/>
      </c>
      <c r="ADV31">
        <f>IF($B31=0,1000000,IF(INDEX('計算A'!$D$60:$II$104,$B31,220)*LH31=1,IF(AND($E31=2,UO31=0),1000000,INDEX('計算A'!HO$110:HO$114,$F31+1)+IF(AND($E31=1,UO31=0),1000,0)),1000000))</f>
        <v/>
      </c>
      <c r="ADW31">
        <f>IF($B31=0,1000000,IF(INDEX('計算A'!$D$60:$II$104,$B31,221)*LI31=1,IF(AND($E31=2,UP31=0),1000000,INDEX('計算A'!HP$110:HP$114,$F31+1)+IF(AND($E31=1,UP31=0),1000,0)),1000000))</f>
        <v/>
      </c>
      <c r="ADX31">
        <f>IF($B31=0,1000000,IF(INDEX('計算A'!$D$60:$II$104,$B31,222)*LJ31=1,IF(AND($E31=2,UQ31=0),1000000,INDEX('計算A'!HQ$110:HQ$114,$F31+1)+IF(AND($E31=1,UQ31=0),1000,0)),1000000))</f>
        <v/>
      </c>
      <c r="ADY31">
        <f>IF($B31=0,1000000,IF(INDEX('計算A'!$D$60:$II$104,$B31,223)*LK31=1,IF(AND($E31=2,UR31=0),1000000,INDEX('計算A'!HR$110:HR$114,$F31+1)+IF(AND($E31=1,UR31=0),1000,0)),1000000))</f>
        <v/>
      </c>
      <c r="ADZ31">
        <f>IF($B31=0,1000000,IF(INDEX('計算A'!$D$60:$II$104,$B31,224)*LL31=1,IF(AND($E31=2,US31=0),1000000,INDEX('計算A'!HS$110:HS$114,$F31+1)+IF(AND($E31=1,US31=0),1000,0)),1000000))</f>
        <v/>
      </c>
      <c r="AEA31">
        <f>IF($B31=0,1000000,IF(INDEX('計算A'!$D$60:$II$104,$B31,225)*LM31=1,IF(AND($E31=2,UT31=0),1000000,INDEX('計算A'!HT$110:HT$114,$F31+1)+IF(AND($E31=1,UT31=0),1000,0)),1000000))</f>
        <v/>
      </c>
      <c r="AEB31">
        <f>IF($B31=0,1000000,IF(INDEX('計算A'!$D$60:$II$104,$B31,226)*LN31=1,IF(AND($E31=2,UU31=0),1000000,INDEX('計算A'!HU$110:HU$114,$F31+1)+IF(AND($E31=1,UU31=0),1000,0)),1000000))</f>
        <v/>
      </c>
      <c r="AEC31">
        <f>IF($B31=0,1000000,IF(INDEX('計算A'!$D$60:$II$104,$B31,227)*LO31=1,IF(AND($E31=2,UV31=0),1000000,INDEX('計算A'!HV$110:HV$114,$F31+1)+IF(AND($E31=1,UV31=0),1000,0)),1000000))</f>
        <v/>
      </c>
      <c r="AED31">
        <f>IF($B31=0,1000000,IF(INDEX('計算A'!$D$60:$II$104,$B31,228)*LP31=1,IF(AND($E31=2,UW31=0),1000000,INDEX('計算A'!HW$110:HW$114,$F31+1)+IF(AND($E31=1,UW31=0),1000,0)),1000000))</f>
        <v/>
      </c>
      <c r="AEE31">
        <f>IF($B31=0,1000000,IF(INDEX('計算A'!$D$60:$II$104,$B31,229)*LQ31=1,IF(AND($E31=2,UX31=0),1000000,INDEX('計算A'!HX$110:HX$114,$F31+1)+IF(AND($E31=1,UX31=0),1000,0)),1000000))</f>
        <v/>
      </c>
      <c r="AEF31">
        <f>IF($B31=0,1000000,IF(INDEX('計算A'!$D$60:$II$104,$B31,230)*LR31=1,IF(AND($E31=2,UY31=0),1000000,INDEX('計算A'!HY$110:HY$114,$F31+1)+IF(AND($E31=1,UY31=0),1000,0)),1000000))</f>
        <v/>
      </c>
      <c r="AEG31">
        <f>IF($B31=0,1000000,IF(INDEX('計算A'!$D$60:$II$104,$B31,231)*LS31=1,IF(AND($E31=2,UZ31=0),1000000,INDEX('計算A'!HZ$110:HZ$114,$F31+1)+IF(AND($E31=1,UZ31=0),1000,0)),1000000))</f>
        <v/>
      </c>
      <c r="AEH31">
        <f>IF($B31=0,1000000,IF(INDEX('計算A'!$D$60:$II$104,$B31,232)*LT31=1,IF(AND($E31=2,VA31=0),1000000,INDEX('計算A'!IA$110:IA$114,$F31+1)+IF(AND($E31=1,VA31=0),1000,0)),1000000))</f>
        <v/>
      </c>
      <c r="AEI31">
        <f>IF($B31=0,1000000,IF(INDEX('計算A'!$D$60:$II$104,$B31,233)*LU31=1,IF(AND($E31=2,VB31=0),1000000,INDEX('計算A'!IB$110:IB$114,$F31+1)+IF(AND($E31=1,VB31=0),1000,0)),1000000))</f>
        <v/>
      </c>
      <c r="AEJ31">
        <f>IF($B31=0,1000000,IF(INDEX('計算A'!$D$60:$II$104,$B31,234)*LV31=1,IF(AND($E31=2,VC31=0),1000000,INDEX('計算A'!IC$110:IC$114,$F31+1)+IF(AND($E31=1,VC31=0),1000,0)),1000000))</f>
        <v/>
      </c>
      <c r="AEK31">
        <f>IF($B31=0,1000000,IF(INDEX('計算A'!$D$60:$II$104,$B31,235)*LW31=1,IF(AND($E31=2,VD31=0),1000000,INDEX('計算A'!ID$110:ID$114,$F31+1)+IF(AND($E31=1,VD31=0),1000,0)),1000000))</f>
        <v/>
      </c>
      <c r="AEL31">
        <f>IF($B31=0,1000000,IF(INDEX('計算A'!$D$60:$II$104,$B31,236)*LX31=1,IF(AND($E31=2,VE31=0),1000000,INDEX('計算A'!IE$110:IE$114,$F31+1)+IF(AND($E31=1,VE31=0),1000,0)),1000000))</f>
        <v/>
      </c>
      <c r="AEM31">
        <f>IF($B31=0,1000000,IF(INDEX('計算A'!$D$60:$II$104,$B31,237)*LY31=1,IF(AND($E31=2,VF31=0),1000000,INDEX('計算A'!IF$110:IF$114,$F31+1)+IF(AND($E31=1,VF31=0),1000,0)),1000000))</f>
        <v/>
      </c>
      <c r="AEN31">
        <f>IF($B31=0,1000000,IF(INDEX('計算A'!$D$60:$II$104,$B31,238)*LZ31=1,IF(AND($E31=2,VG31=0),1000000,INDEX('計算A'!IG$110:IG$114,$F31+1)+IF(AND($E31=1,VG31=0),1000,0)),1000000))</f>
        <v/>
      </c>
      <c r="AEO31">
        <f>IF($B31=0,1000000,IF(INDEX('計算A'!$D$60:$II$104,$B31,239)*MA31=1,IF(AND($E31=2,VH31=0),1000000,INDEX('計算A'!IH$110:IH$114,$F31+1)+IF(AND($E31=1,VH31=0),1000,0)),1000000))</f>
        <v/>
      </c>
      <c r="AEP31">
        <f>IF($B31=0,1000000,IF(INDEX('計算A'!$D$60:$II$104,$B31,240)*MB31=1,IF(AND($E31=2,VI31=0),1000000,INDEX('計算A'!II$110:II$114,$F31+1)+IF(AND($E31=1,VI31=0),1000,0)),1000000))</f>
        <v/>
      </c>
    </row>
    <row r="32">
      <c r="A32" t="n">
        <v>30</v>
      </c>
      <c r="B32">
        <f>IF(MIN(BC32:CU32)&gt;=1000000,0,MATCH(MIN(BC32:CU32),BC32:CU32,0))</f>
        <v/>
      </c>
      <c r="C32">
        <f>IF(MIN(VK32:AEP32)&gt;=1000000,0,MATCH(MIN(VK32:AEP32),VK32:AEP32,0))</f>
        <v/>
      </c>
      <c r="D32">
        <f>IF(C32&gt;0,INDEX('計算A'!$D$5:$II$5,C32),0)</f>
        <v/>
      </c>
      <c r="E32">
        <f>IF(B32=0,0,INDEX('計算A'!$IQ$10:$IQ$54,B32))</f>
        <v/>
      </c>
      <c r="F32">
        <f>IF(B32=0,0,INDEX('計算A'!$IP$10:$IP$54,B32))</f>
        <v/>
      </c>
      <c r="G32">
        <f>IF(AND(C32&gt;0,E32&gt;0),IF(AND(INDEX('計算A'!$D$106:$II$106,C32)=1,INDEX($MD32:$VI32,C32)=1),C32+1,0),0)</f>
        <v/>
      </c>
      <c r="I32">
        <f>MAX(I31,IF($B31=1,1,0))</f>
        <v/>
      </c>
      <c r="J32">
        <f>MAX(J31,IF($B31=2,1,0))</f>
        <v/>
      </c>
      <c r="K32">
        <f>MAX(K31,IF($B31=3,1,0))</f>
        <v/>
      </c>
      <c r="L32">
        <f>MAX(L31,IF($B31=4,1,0))</f>
        <v/>
      </c>
      <c r="M32">
        <f>MAX(M31,IF($B31=5,1,0))</f>
        <v/>
      </c>
      <c r="N32">
        <f>MAX(N31,IF($B31=6,1,0))</f>
        <v/>
      </c>
      <c r="O32">
        <f>MAX(O31,IF($B31=7,1,0))</f>
        <v/>
      </c>
      <c r="P32">
        <f>MAX(P31,IF($B31=8,1,0))</f>
        <v/>
      </c>
      <c r="Q32">
        <f>MAX(Q31,IF($B31=9,1,0))</f>
        <v/>
      </c>
      <c r="R32">
        <f>MAX(R31,IF($B31=10,1,0))</f>
        <v/>
      </c>
      <c r="S32">
        <f>MAX(S31,IF($B31=11,1,0))</f>
        <v/>
      </c>
      <c r="T32">
        <f>MAX(T31,IF($B31=12,1,0))</f>
        <v/>
      </c>
      <c r="U32">
        <f>MAX(U31,IF($B31=13,1,0))</f>
        <v/>
      </c>
      <c r="V32">
        <f>MAX(V31,IF($B31=14,1,0))</f>
        <v/>
      </c>
      <c r="W32">
        <f>MAX(W31,IF($B31=15,1,0))</f>
        <v/>
      </c>
      <c r="X32">
        <f>MAX(X31,IF($B31=16,1,0))</f>
        <v/>
      </c>
      <c r="Y32">
        <f>MAX(Y31,IF($B31=17,1,0))</f>
        <v/>
      </c>
      <c r="Z32">
        <f>MAX(Z31,IF($B31=18,1,0))</f>
        <v/>
      </c>
      <c r="AA32">
        <f>MAX(AA31,IF($B31=19,1,0))</f>
        <v/>
      </c>
      <c r="AB32">
        <f>MAX(AB31,IF($B31=20,1,0))</f>
        <v/>
      </c>
      <c r="AC32">
        <f>MAX(AC31,IF($B31=21,1,0))</f>
        <v/>
      </c>
      <c r="AD32">
        <f>MAX(AD31,IF($B31=22,1,0))</f>
        <v/>
      </c>
      <c r="AE32">
        <f>MAX(AE31,IF($B31=23,1,0))</f>
        <v/>
      </c>
      <c r="AF32">
        <f>MAX(AF31,IF($B31=24,1,0))</f>
        <v/>
      </c>
      <c r="AG32">
        <f>MAX(AG31,IF($B31=25,1,0))</f>
        <v/>
      </c>
      <c r="AH32">
        <f>MAX(AH31,IF($B31=26,1,0))</f>
        <v/>
      </c>
      <c r="AI32">
        <f>MAX(AI31,IF($B31=27,1,0))</f>
        <v/>
      </c>
      <c r="AJ32">
        <f>MAX(AJ31,IF($B31=28,1,0))</f>
        <v/>
      </c>
      <c r="AK32">
        <f>MAX(AK31,IF($B31=29,1,0))</f>
        <v/>
      </c>
      <c r="AL32">
        <f>MAX(AL31,IF($B31=30,1,0))</f>
        <v/>
      </c>
      <c r="AM32">
        <f>MAX(AM31,IF($B31=31,1,0))</f>
        <v/>
      </c>
      <c r="AN32">
        <f>MAX(AN31,IF($B31=32,1,0))</f>
        <v/>
      </c>
      <c r="AO32">
        <f>MAX(AO31,IF($B31=33,1,0))</f>
        <v/>
      </c>
      <c r="AP32">
        <f>MAX(AP31,IF($B31=34,1,0))</f>
        <v/>
      </c>
      <c r="AQ32">
        <f>MAX(AQ31,IF($B31=35,1,0))</f>
        <v/>
      </c>
      <c r="AR32">
        <f>MAX(AR31,IF($B31=36,1,0))</f>
        <v/>
      </c>
      <c r="AS32">
        <f>MAX(AS31,IF($B31=37,1,0))</f>
        <v/>
      </c>
      <c r="AT32">
        <f>MAX(AT31,IF($B31=38,1,0))</f>
        <v/>
      </c>
      <c r="AU32">
        <f>MAX(AU31,IF($B31=39,1,0))</f>
        <v/>
      </c>
      <c r="AV32">
        <f>MAX(AV31,IF($B31=40,1,0))</f>
        <v/>
      </c>
      <c r="AW32">
        <f>MAX(AW31,IF($B31=41,1,0))</f>
        <v/>
      </c>
      <c r="AX32">
        <f>MAX(AX31,IF($B31=42,1,0))</f>
        <v/>
      </c>
      <c r="AY32">
        <f>MAX(AY31,IF($B31=43,1,0))</f>
        <v/>
      </c>
      <c r="AZ32">
        <f>MAX(AZ31,IF($B31=44,1,0))</f>
        <v/>
      </c>
      <c r="BA32">
        <f>MAX(BA31,IF($B31=45,1,0))</f>
        <v/>
      </c>
      <c r="BC32">
        <f>IF(I32=1,1000000,IF('計算A'!$IQ$10=2,SUMPRODUCT('計算A'!$D$60:$II$60,$CW32:$MB32,$MD32:$VI32),SUMPRODUCT('計算A'!$D$60:$II$60,$CW32:$MB32))*1000+1)</f>
        <v/>
      </c>
      <c r="BD32">
        <f>IF(J32=1,1000000,IF('計算A'!$IQ$11=2,SUMPRODUCT('計算A'!$D$61:$II$61,$CW32:$MB32,$MD32:$VI32),SUMPRODUCT('計算A'!$D$61:$II$61,$CW32:$MB32))*1000+2)</f>
        <v/>
      </c>
      <c r="BE32">
        <f>IF(K32=1,1000000,IF('計算A'!$IQ$12=2,SUMPRODUCT('計算A'!$D$62:$II$62,$CW32:$MB32,$MD32:$VI32),SUMPRODUCT('計算A'!$D$62:$II$62,$CW32:$MB32))*1000+3)</f>
        <v/>
      </c>
      <c r="BF32">
        <f>IF(L32=1,1000000,IF('計算A'!$IQ$13=2,SUMPRODUCT('計算A'!$D$63:$II$63,$CW32:$MB32,$MD32:$VI32),SUMPRODUCT('計算A'!$D$63:$II$63,$CW32:$MB32))*1000+4)</f>
        <v/>
      </c>
      <c r="BG32">
        <f>IF(M32=1,1000000,IF('計算A'!$IQ$14=2,SUMPRODUCT('計算A'!$D$64:$II$64,$CW32:$MB32,$MD32:$VI32),SUMPRODUCT('計算A'!$D$64:$II$64,$CW32:$MB32))*1000+5)</f>
        <v/>
      </c>
      <c r="BH32">
        <f>IF(N32=1,1000000,IF('計算A'!$IQ$15=2,SUMPRODUCT('計算A'!$D$65:$II$65,$CW32:$MB32,$MD32:$VI32),SUMPRODUCT('計算A'!$D$65:$II$65,$CW32:$MB32))*1000+6)</f>
        <v/>
      </c>
      <c r="BI32">
        <f>IF(O32=1,1000000,IF('計算A'!$IQ$16=2,SUMPRODUCT('計算A'!$D$66:$II$66,$CW32:$MB32,$MD32:$VI32),SUMPRODUCT('計算A'!$D$66:$II$66,$CW32:$MB32))*1000+7)</f>
        <v/>
      </c>
      <c r="BJ32">
        <f>IF(P32=1,1000000,IF('計算A'!$IQ$17=2,SUMPRODUCT('計算A'!$D$67:$II$67,$CW32:$MB32,$MD32:$VI32),SUMPRODUCT('計算A'!$D$67:$II$67,$CW32:$MB32))*1000+8)</f>
        <v/>
      </c>
      <c r="BK32">
        <f>IF(Q32=1,1000000,IF('計算A'!$IQ$18=2,SUMPRODUCT('計算A'!$D$68:$II$68,$CW32:$MB32,$MD32:$VI32),SUMPRODUCT('計算A'!$D$68:$II$68,$CW32:$MB32))*1000+9)</f>
        <v/>
      </c>
      <c r="BL32">
        <f>IF(R32=1,1000000,IF('計算A'!$IQ$19=2,SUMPRODUCT('計算A'!$D$69:$II$69,$CW32:$MB32,$MD32:$VI32),SUMPRODUCT('計算A'!$D$69:$II$69,$CW32:$MB32))*1000+10)</f>
        <v/>
      </c>
      <c r="BM32">
        <f>IF(S32=1,1000000,IF('計算A'!$IQ$20=2,SUMPRODUCT('計算A'!$D$70:$II$70,$CW32:$MB32,$MD32:$VI32),SUMPRODUCT('計算A'!$D$70:$II$70,$CW32:$MB32))*1000+11)</f>
        <v/>
      </c>
      <c r="BN32">
        <f>IF(T32=1,1000000,IF('計算A'!$IQ$21=2,SUMPRODUCT('計算A'!$D$71:$II$71,$CW32:$MB32,$MD32:$VI32),SUMPRODUCT('計算A'!$D$71:$II$71,$CW32:$MB32))*1000+12)</f>
        <v/>
      </c>
      <c r="BO32">
        <f>IF(U32=1,1000000,IF('計算A'!$IQ$22=2,SUMPRODUCT('計算A'!$D$72:$II$72,$CW32:$MB32,$MD32:$VI32),SUMPRODUCT('計算A'!$D$72:$II$72,$CW32:$MB32))*1000+13)</f>
        <v/>
      </c>
      <c r="BP32">
        <f>IF(V32=1,1000000,IF('計算A'!$IQ$23=2,SUMPRODUCT('計算A'!$D$73:$II$73,$CW32:$MB32,$MD32:$VI32),SUMPRODUCT('計算A'!$D$73:$II$73,$CW32:$MB32))*1000+14)</f>
        <v/>
      </c>
      <c r="BQ32">
        <f>IF(W32=1,1000000,IF('計算A'!$IQ$24=2,SUMPRODUCT('計算A'!$D$74:$II$74,$CW32:$MB32,$MD32:$VI32),SUMPRODUCT('計算A'!$D$74:$II$74,$CW32:$MB32))*1000+15)</f>
        <v/>
      </c>
      <c r="BR32">
        <f>IF(X32=1,1000000,IF('計算A'!$IQ$25=2,SUMPRODUCT('計算A'!$D$75:$II$75,$CW32:$MB32,$MD32:$VI32),SUMPRODUCT('計算A'!$D$75:$II$75,$CW32:$MB32))*1000+16)</f>
        <v/>
      </c>
      <c r="BS32">
        <f>IF(Y32=1,1000000,IF('計算A'!$IQ$26=2,SUMPRODUCT('計算A'!$D$76:$II$76,$CW32:$MB32,$MD32:$VI32),SUMPRODUCT('計算A'!$D$76:$II$76,$CW32:$MB32))*1000+17)</f>
        <v/>
      </c>
      <c r="BT32">
        <f>IF(Z32=1,1000000,IF('計算A'!$IQ$27=2,SUMPRODUCT('計算A'!$D$77:$II$77,$CW32:$MB32,$MD32:$VI32),SUMPRODUCT('計算A'!$D$77:$II$77,$CW32:$MB32))*1000+18)</f>
        <v/>
      </c>
      <c r="BU32">
        <f>IF(AA32=1,1000000,IF('計算A'!$IQ$28=2,SUMPRODUCT('計算A'!$D$78:$II$78,$CW32:$MB32,$MD32:$VI32),SUMPRODUCT('計算A'!$D$78:$II$78,$CW32:$MB32))*1000+19)</f>
        <v/>
      </c>
      <c r="BV32">
        <f>IF(AB32=1,1000000,IF('計算A'!$IQ$29=2,SUMPRODUCT('計算A'!$D$79:$II$79,$CW32:$MB32,$MD32:$VI32),SUMPRODUCT('計算A'!$D$79:$II$79,$CW32:$MB32))*1000+20)</f>
        <v/>
      </c>
      <c r="BW32">
        <f>IF(AC32=1,1000000,IF('計算A'!$IQ$30=2,SUMPRODUCT('計算A'!$D$80:$II$80,$CW32:$MB32,$MD32:$VI32),SUMPRODUCT('計算A'!$D$80:$II$80,$CW32:$MB32))*1000+21)</f>
        <v/>
      </c>
      <c r="BX32">
        <f>IF(AD32=1,1000000,IF('計算A'!$IQ$31=2,SUMPRODUCT('計算A'!$D$81:$II$81,$CW32:$MB32,$MD32:$VI32),SUMPRODUCT('計算A'!$D$81:$II$81,$CW32:$MB32))*1000+22)</f>
        <v/>
      </c>
      <c r="BY32">
        <f>IF(AE32=1,1000000,IF('計算A'!$IQ$32=2,SUMPRODUCT('計算A'!$D$82:$II$82,$CW32:$MB32,$MD32:$VI32),SUMPRODUCT('計算A'!$D$82:$II$82,$CW32:$MB32))*1000+23)</f>
        <v/>
      </c>
      <c r="BZ32">
        <f>IF(AF32=1,1000000,IF('計算A'!$IQ$33=2,SUMPRODUCT('計算A'!$D$83:$II$83,$CW32:$MB32,$MD32:$VI32),SUMPRODUCT('計算A'!$D$83:$II$83,$CW32:$MB32))*1000+24)</f>
        <v/>
      </c>
      <c r="CA32">
        <f>IF(AG32=1,1000000,IF('計算A'!$IQ$34=2,SUMPRODUCT('計算A'!$D$84:$II$84,$CW32:$MB32,$MD32:$VI32),SUMPRODUCT('計算A'!$D$84:$II$84,$CW32:$MB32))*1000+25)</f>
        <v/>
      </c>
      <c r="CB32">
        <f>IF(AH32=1,1000000,IF('計算A'!$IQ$35=2,SUMPRODUCT('計算A'!$D$85:$II$85,$CW32:$MB32,$MD32:$VI32),SUMPRODUCT('計算A'!$D$85:$II$85,$CW32:$MB32))*1000+26)</f>
        <v/>
      </c>
      <c r="CC32">
        <f>IF(AI32=1,1000000,IF('計算A'!$IQ$36=2,SUMPRODUCT('計算A'!$D$86:$II$86,$CW32:$MB32,$MD32:$VI32),SUMPRODUCT('計算A'!$D$86:$II$86,$CW32:$MB32))*1000+27)</f>
        <v/>
      </c>
      <c r="CD32">
        <f>IF(AJ32=1,1000000,IF('計算A'!$IQ$37=2,SUMPRODUCT('計算A'!$D$87:$II$87,$CW32:$MB32,$MD32:$VI32),SUMPRODUCT('計算A'!$D$87:$II$87,$CW32:$MB32))*1000+28)</f>
        <v/>
      </c>
      <c r="CE32">
        <f>IF(AK32=1,1000000,IF('計算A'!$IQ$38=2,SUMPRODUCT('計算A'!$D$88:$II$88,$CW32:$MB32,$MD32:$VI32),SUMPRODUCT('計算A'!$D$88:$II$88,$CW32:$MB32))*1000+29)</f>
        <v/>
      </c>
      <c r="CF32">
        <f>IF(AL32=1,1000000,IF('計算A'!$IQ$39=2,SUMPRODUCT('計算A'!$D$89:$II$89,$CW32:$MB32,$MD32:$VI32),SUMPRODUCT('計算A'!$D$89:$II$89,$CW32:$MB32))*1000+30)</f>
        <v/>
      </c>
      <c r="CG32">
        <f>IF(AM32=1,1000000,IF('計算A'!$IQ$40=2,SUMPRODUCT('計算A'!$D$90:$II$90,$CW32:$MB32,$MD32:$VI32),SUMPRODUCT('計算A'!$D$90:$II$90,$CW32:$MB32))*1000+31)</f>
        <v/>
      </c>
      <c r="CH32">
        <f>IF(AN32=1,1000000,IF('計算A'!$IQ$41=2,SUMPRODUCT('計算A'!$D$91:$II$91,$CW32:$MB32,$MD32:$VI32),SUMPRODUCT('計算A'!$D$91:$II$91,$CW32:$MB32))*1000+32)</f>
        <v/>
      </c>
      <c r="CI32">
        <f>IF(AO32=1,1000000,IF('計算A'!$IQ$42=2,SUMPRODUCT('計算A'!$D$92:$II$92,$CW32:$MB32,$MD32:$VI32),SUMPRODUCT('計算A'!$D$92:$II$92,$CW32:$MB32))*1000+33)</f>
        <v/>
      </c>
      <c r="CJ32">
        <f>IF(AP32=1,1000000,IF('計算A'!$IQ$43=2,SUMPRODUCT('計算A'!$D$93:$II$93,$CW32:$MB32,$MD32:$VI32),SUMPRODUCT('計算A'!$D$93:$II$93,$CW32:$MB32))*1000+34)</f>
        <v/>
      </c>
      <c r="CK32">
        <f>IF(AQ32=1,1000000,IF('計算A'!$IQ$44=2,SUMPRODUCT('計算A'!$D$94:$II$94,$CW32:$MB32,$MD32:$VI32),SUMPRODUCT('計算A'!$D$94:$II$94,$CW32:$MB32))*1000+35)</f>
        <v/>
      </c>
      <c r="CL32">
        <f>IF(AR32=1,1000000,IF('計算A'!$IQ$45=2,SUMPRODUCT('計算A'!$D$95:$II$95,$CW32:$MB32,$MD32:$VI32),SUMPRODUCT('計算A'!$D$95:$II$95,$CW32:$MB32))*1000+36)</f>
        <v/>
      </c>
      <c r="CM32">
        <f>IF(AS32=1,1000000,IF('計算A'!$IQ$46=2,SUMPRODUCT('計算A'!$D$96:$II$96,$CW32:$MB32,$MD32:$VI32),SUMPRODUCT('計算A'!$D$96:$II$96,$CW32:$MB32))*1000+37)</f>
        <v/>
      </c>
      <c r="CN32">
        <f>IF(AT32=1,1000000,IF('計算A'!$IQ$47=2,SUMPRODUCT('計算A'!$D$97:$II$97,$CW32:$MB32,$MD32:$VI32),SUMPRODUCT('計算A'!$D$97:$II$97,$CW32:$MB32))*1000+38)</f>
        <v/>
      </c>
      <c r="CO32">
        <f>IF(AU32=1,1000000,IF('計算A'!$IQ$48=2,SUMPRODUCT('計算A'!$D$98:$II$98,$CW32:$MB32,$MD32:$VI32),SUMPRODUCT('計算A'!$D$98:$II$98,$CW32:$MB32))*1000+39)</f>
        <v/>
      </c>
      <c r="CP32">
        <f>IF(AV32=1,1000000,IF('計算A'!$IQ$49=2,SUMPRODUCT('計算A'!$D$99:$II$99,$CW32:$MB32,$MD32:$VI32),SUMPRODUCT('計算A'!$D$99:$II$99,$CW32:$MB32))*1000+40)</f>
        <v/>
      </c>
      <c r="CQ32">
        <f>IF(AW32=1,1000000,IF('計算A'!$IQ$50=2,SUMPRODUCT('計算A'!$D$100:$II$100,$CW32:$MB32,$MD32:$VI32),SUMPRODUCT('計算A'!$D$100:$II$100,$CW32:$MB32))*1000+41)</f>
        <v/>
      </c>
      <c r="CR32">
        <f>IF(AX32=1,1000000,IF('計算A'!$IQ$51=2,SUMPRODUCT('計算A'!$D$101:$II$101,$CW32:$MB32,$MD32:$VI32),SUMPRODUCT('計算A'!$D$101:$II$101,$CW32:$MB32))*1000+42)</f>
        <v/>
      </c>
      <c r="CS32">
        <f>IF(AY32=1,1000000,IF('計算A'!$IQ$52=2,SUMPRODUCT('計算A'!$D$102:$II$102,$CW32:$MB32,$MD32:$VI32),SUMPRODUCT('計算A'!$D$102:$II$102,$CW32:$MB32))*1000+43)</f>
        <v/>
      </c>
      <c r="CT32">
        <f>IF(AZ32=1,1000000,IF('計算A'!$IQ$53=2,SUMPRODUCT('計算A'!$D$103:$II$103,$CW32:$MB32,$MD32:$VI32),SUMPRODUCT('計算A'!$D$103:$II$103,$CW32:$MB32))*1000+44)</f>
        <v/>
      </c>
      <c r="CU32">
        <f>IF(BA32=1,1000000,IF('計算A'!$IQ$54=2,SUMPRODUCT('計算A'!$D$104:$II$104,$CW32:$MB32,$MD32:$VI32),SUMPRODUCT('計算A'!$D$104:$II$104,$CW32:$MB32))*1000+45)</f>
        <v/>
      </c>
      <c r="CW32">
        <f>CW31*IF(OR($C31=1,$G31=1),0,1)</f>
        <v/>
      </c>
      <c r="CX32">
        <f>CX31*IF(OR($C31=2,$G31=2),0,1)</f>
        <v/>
      </c>
      <c r="CY32">
        <f>CY31*IF(OR($C31=3,$G31=3),0,1)</f>
        <v/>
      </c>
      <c r="CZ32">
        <f>CZ31*IF(OR($C31=4,$G31=4),0,1)</f>
        <v/>
      </c>
      <c r="DA32">
        <f>DA31*IF(OR($C31=5,$G31=5),0,1)</f>
        <v/>
      </c>
      <c r="DB32">
        <f>DB31*IF(OR($C31=6,$G31=6),0,1)</f>
        <v/>
      </c>
      <c r="DC32">
        <f>DC31*IF(OR($C31=7,$G31=7),0,1)</f>
        <v/>
      </c>
      <c r="DD32">
        <f>DD31*IF(OR($C31=8,$G31=8),0,1)</f>
        <v/>
      </c>
      <c r="DE32">
        <f>DE31*IF(OR($C31=9,$G31=9),0,1)</f>
        <v/>
      </c>
      <c r="DF32">
        <f>DF31*IF(OR($C31=10,$G31=10),0,1)</f>
        <v/>
      </c>
      <c r="DG32">
        <f>DG31*IF(OR($C31=11,$G31=11),0,1)</f>
        <v/>
      </c>
      <c r="DH32">
        <f>DH31*IF(OR($C31=12,$G31=12),0,1)</f>
        <v/>
      </c>
      <c r="DI32">
        <f>DI31*IF(OR($C31=13,$G31=13),0,1)</f>
        <v/>
      </c>
      <c r="DJ32">
        <f>DJ31*IF(OR($C31=14,$G31=14),0,1)</f>
        <v/>
      </c>
      <c r="DK32">
        <f>DK31*IF(OR($C31=15,$G31=15),0,1)</f>
        <v/>
      </c>
      <c r="DL32">
        <f>DL31*IF(OR($C31=16,$G31=16),0,1)</f>
        <v/>
      </c>
      <c r="DM32">
        <f>DM31*IF(OR($C31=17,$G31=17),0,1)</f>
        <v/>
      </c>
      <c r="DN32">
        <f>DN31*IF(OR($C31=18,$G31=18),0,1)</f>
        <v/>
      </c>
      <c r="DO32">
        <f>DO31*IF(OR($C31=19,$G31=19),0,1)</f>
        <v/>
      </c>
      <c r="DP32">
        <f>DP31*IF(OR($C31=20,$G31=20),0,1)</f>
        <v/>
      </c>
      <c r="DQ32">
        <f>DQ31*IF(OR($C31=21,$G31=21),0,1)</f>
        <v/>
      </c>
      <c r="DR32">
        <f>DR31*IF(OR($C31=22,$G31=22),0,1)</f>
        <v/>
      </c>
      <c r="DS32">
        <f>DS31*IF(OR($C31=23,$G31=23),0,1)</f>
        <v/>
      </c>
      <c r="DT32">
        <f>DT31*IF(OR($C31=24,$G31=24),0,1)</f>
        <v/>
      </c>
      <c r="DU32">
        <f>DU31*IF(OR($C31=25,$G31=25),0,1)</f>
        <v/>
      </c>
      <c r="DV32">
        <f>DV31*IF(OR($C31=26,$G31=26),0,1)</f>
        <v/>
      </c>
      <c r="DW32">
        <f>DW31*IF(OR($C31=27,$G31=27),0,1)</f>
        <v/>
      </c>
      <c r="DX32">
        <f>DX31*IF(OR($C31=28,$G31=28),0,1)</f>
        <v/>
      </c>
      <c r="DY32">
        <f>DY31*IF(OR($C31=29,$G31=29),0,1)</f>
        <v/>
      </c>
      <c r="DZ32">
        <f>DZ31*IF(OR($C31=30,$G31=30),0,1)</f>
        <v/>
      </c>
      <c r="EA32">
        <f>EA31*IF(OR($C31=31,$G31=31),0,1)</f>
        <v/>
      </c>
      <c r="EB32">
        <f>EB31*IF(OR($C31=32,$G31=32),0,1)</f>
        <v/>
      </c>
      <c r="EC32">
        <f>EC31*IF(OR($C31=33,$G31=33),0,1)</f>
        <v/>
      </c>
      <c r="ED32">
        <f>ED31*IF(OR($C31=34,$G31=34),0,1)</f>
        <v/>
      </c>
      <c r="EE32">
        <f>EE31*IF(OR($C31=35,$G31=35),0,1)</f>
        <v/>
      </c>
      <c r="EF32">
        <f>EF31*IF(OR($C31=36,$G31=36),0,1)</f>
        <v/>
      </c>
      <c r="EG32">
        <f>EG31*IF(OR($C31=37,$G31=37),0,1)</f>
        <v/>
      </c>
      <c r="EH32">
        <f>EH31*IF(OR($C31=38,$G31=38),0,1)</f>
        <v/>
      </c>
      <c r="EI32">
        <f>EI31*IF(OR($C31=39,$G31=39),0,1)</f>
        <v/>
      </c>
      <c r="EJ32">
        <f>EJ31*IF(OR($C31=40,$G31=40),0,1)</f>
        <v/>
      </c>
      <c r="EK32">
        <f>EK31*IF(OR($C31=41,$G31=41),0,1)</f>
        <v/>
      </c>
      <c r="EL32">
        <f>EL31*IF(OR($C31=42,$G31=42),0,1)</f>
        <v/>
      </c>
      <c r="EM32">
        <f>EM31*IF(OR($C31=43,$G31=43),0,1)</f>
        <v/>
      </c>
      <c r="EN32">
        <f>EN31*IF(OR($C31=44,$G31=44),0,1)</f>
        <v/>
      </c>
      <c r="EO32">
        <f>EO31*IF(OR($C31=45,$G31=45),0,1)</f>
        <v/>
      </c>
      <c r="EP32">
        <f>EP31*IF(OR($C31=46,$G31=46),0,1)</f>
        <v/>
      </c>
      <c r="EQ32">
        <f>EQ31*IF(OR($C31=47,$G31=47),0,1)</f>
        <v/>
      </c>
      <c r="ER32">
        <f>ER31*IF(OR($C31=48,$G31=48),0,1)</f>
        <v/>
      </c>
      <c r="ES32">
        <f>ES31*IF(OR($C31=49,$G31=49),0,1)</f>
        <v/>
      </c>
      <c r="ET32">
        <f>ET31*IF(OR($C31=50,$G31=50),0,1)</f>
        <v/>
      </c>
      <c r="EU32">
        <f>EU31*IF(OR($C31=51,$G31=51),0,1)</f>
        <v/>
      </c>
      <c r="EV32">
        <f>EV31*IF(OR($C31=52,$G31=52),0,1)</f>
        <v/>
      </c>
      <c r="EW32">
        <f>EW31*IF(OR($C31=53,$G31=53),0,1)</f>
        <v/>
      </c>
      <c r="EX32">
        <f>EX31*IF(OR($C31=54,$G31=54),0,1)</f>
        <v/>
      </c>
      <c r="EY32">
        <f>EY31*IF(OR($C31=55,$G31=55),0,1)</f>
        <v/>
      </c>
      <c r="EZ32">
        <f>EZ31*IF(OR($C31=56,$G31=56),0,1)</f>
        <v/>
      </c>
      <c r="FA32">
        <f>FA31*IF(OR($C31=57,$G31=57),0,1)</f>
        <v/>
      </c>
      <c r="FB32">
        <f>FB31*IF(OR($C31=58,$G31=58),0,1)</f>
        <v/>
      </c>
      <c r="FC32">
        <f>FC31*IF(OR($C31=59,$G31=59),0,1)</f>
        <v/>
      </c>
      <c r="FD32">
        <f>FD31*IF(OR($C31=60,$G31=60),0,1)</f>
        <v/>
      </c>
      <c r="FE32">
        <f>FE31*IF(OR($C31=61,$G31=61),0,1)</f>
        <v/>
      </c>
      <c r="FF32">
        <f>FF31*IF(OR($C31=62,$G31=62),0,1)</f>
        <v/>
      </c>
      <c r="FG32">
        <f>FG31*IF(OR($C31=63,$G31=63),0,1)</f>
        <v/>
      </c>
      <c r="FH32">
        <f>FH31*IF(OR($C31=64,$G31=64),0,1)</f>
        <v/>
      </c>
      <c r="FI32">
        <f>FI31*IF(OR($C31=65,$G31=65),0,1)</f>
        <v/>
      </c>
      <c r="FJ32">
        <f>FJ31*IF(OR($C31=66,$G31=66),0,1)</f>
        <v/>
      </c>
      <c r="FK32">
        <f>FK31*IF(OR($C31=67,$G31=67),0,1)</f>
        <v/>
      </c>
      <c r="FL32">
        <f>FL31*IF(OR($C31=68,$G31=68),0,1)</f>
        <v/>
      </c>
      <c r="FM32">
        <f>FM31*IF(OR($C31=69,$G31=69),0,1)</f>
        <v/>
      </c>
      <c r="FN32">
        <f>FN31*IF(OR($C31=70,$G31=70),0,1)</f>
        <v/>
      </c>
      <c r="FO32">
        <f>FO31*IF(OR($C31=71,$G31=71),0,1)</f>
        <v/>
      </c>
      <c r="FP32">
        <f>FP31*IF(OR($C31=72,$G31=72),0,1)</f>
        <v/>
      </c>
      <c r="FQ32">
        <f>FQ31*IF(OR($C31=73,$G31=73),0,1)</f>
        <v/>
      </c>
      <c r="FR32">
        <f>FR31*IF(OR($C31=74,$G31=74),0,1)</f>
        <v/>
      </c>
      <c r="FS32">
        <f>FS31*IF(OR($C31=75,$G31=75),0,1)</f>
        <v/>
      </c>
      <c r="FT32">
        <f>FT31*IF(OR($C31=76,$G31=76),0,1)</f>
        <v/>
      </c>
      <c r="FU32">
        <f>FU31*IF(OR($C31=77,$G31=77),0,1)</f>
        <v/>
      </c>
      <c r="FV32">
        <f>FV31*IF(OR($C31=78,$G31=78),0,1)</f>
        <v/>
      </c>
      <c r="FW32">
        <f>FW31*IF(OR($C31=79,$G31=79),0,1)</f>
        <v/>
      </c>
      <c r="FX32">
        <f>FX31*IF(OR($C31=80,$G31=80),0,1)</f>
        <v/>
      </c>
      <c r="FY32">
        <f>FY31*IF(OR($C31=81,$G31=81),0,1)</f>
        <v/>
      </c>
      <c r="FZ32">
        <f>FZ31*IF(OR($C31=82,$G31=82),0,1)</f>
        <v/>
      </c>
      <c r="GA32">
        <f>GA31*IF(OR($C31=83,$G31=83),0,1)</f>
        <v/>
      </c>
      <c r="GB32">
        <f>GB31*IF(OR($C31=84,$G31=84),0,1)</f>
        <v/>
      </c>
      <c r="GC32">
        <f>GC31*IF(OR($C31=85,$G31=85),0,1)</f>
        <v/>
      </c>
      <c r="GD32">
        <f>GD31*IF(OR($C31=86,$G31=86),0,1)</f>
        <v/>
      </c>
      <c r="GE32">
        <f>GE31*IF(OR($C31=87,$G31=87),0,1)</f>
        <v/>
      </c>
      <c r="GF32">
        <f>GF31*IF(OR($C31=88,$G31=88),0,1)</f>
        <v/>
      </c>
      <c r="GG32">
        <f>GG31*IF(OR($C31=89,$G31=89),0,1)</f>
        <v/>
      </c>
      <c r="GH32">
        <f>GH31*IF(OR($C31=90,$G31=90),0,1)</f>
        <v/>
      </c>
      <c r="GI32">
        <f>GI31*IF(OR($C31=91,$G31=91),0,1)</f>
        <v/>
      </c>
      <c r="GJ32">
        <f>GJ31*IF(OR($C31=92,$G31=92),0,1)</f>
        <v/>
      </c>
      <c r="GK32">
        <f>GK31*IF(OR($C31=93,$G31=93),0,1)</f>
        <v/>
      </c>
      <c r="GL32">
        <f>GL31*IF(OR($C31=94,$G31=94),0,1)</f>
        <v/>
      </c>
      <c r="GM32">
        <f>GM31*IF(OR($C31=95,$G31=95),0,1)</f>
        <v/>
      </c>
      <c r="GN32">
        <f>GN31*IF(OR($C31=96,$G31=96),0,1)</f>
        <v/>
      </c>
      <c r="GO32">
        <f>GO31*IF(OR($C31=97,$G31=97),0,1)</f>
        <v/>
      </c>
      <c r="GP32">
        <f>GP31*IF(OR($C31=98,$G31=98),0,1)</f>
        <v/>
      </c>
      <c r="GQ32">
        <f>GQ31*IF(OR($C31=99,$G31=99),0,1)</f>
        <v/>
      </c>
      <c r="GR32">
        <f>GR31*IF(OR($C31=100,$G31=100),0,1)</f>
        <v/>
      </c>
      <c r="GS32">
        <f>GS31*IF(OR($C31=101,$G31=101),0,1)</f>
        <v/>
      </c>
      <c r="GT32">
        <f>GT31*IF(OR($C31=102,$G31=102),0,1)</f>
        <v/>
      </c>
      <c r="GU32">
        <f>GU31*IF(OR($C31=103,$G31=103),0,1)</f>
        <v/>
      </c>
      <c r="GV32">
        <f>GV31*IF(OR($C31=104,$G31=104),0,1)</f>
        <v/>
      </c>
      <c r="GW32">
        <f>GW31*IF(OR($C31=105,$G31=105),0,1)</f>
        <v/>
      </c>
      <c r="GX32">
        <f>GX31*IF(OR($C31=106,$G31=106),0,1)</f>
        <v/>
      </c>
      <c r="GY32">
        <f>GY31*IF(OR($C31=107,$G31=107),0,1)</f>
        <v/>
      </c>
      <c r="GZ32">
        <f>GZ31*IF(OR($C31=108,$G31=108),0,1)</f>
        <v/>
      </c>
      <c r="HA32">
        <f>HA31*IF(OR($C31=109,$G31=109),0,1)</f>
        <v/>
      </c>
      <c r="HB32">
        <f>HB31*IF(OR($C31=110,$G31=110),0,1)</f>
        <v/>
      </c>
      <c r="HC32">
        <f>HC31*IF(OR($C31=111,$G31=111),0,1)</f>
        <v/>
      </c>
      <c r="HD32">
        <f>HD31*IF(OR($C31=112,$G31=112),0,1)</f>
        <v/>
      </c>
      <c r="HE32">
        <f>HE31*IF(OR($C31=113,$G31=113),0,1)</f>
        <v/>
      </c>
      <c r="HF32">
        <f>HF31*IF(OR($C31=114,$G31=114),0,1)</f>
        <v/>
      </c>
      <c r="HG32">
        <f>HG31*IF(OR($C31=115,$G31=115),0,1)</f>
        <v/>
      </c>
      <c r="HH32">
        <f>HH31*IF(OR($C31=116,$G31=116),0,1)</f>
        <v/>
      </c>
      <c r="HI32">
        <f>HI31*IF(OR($C31=117,$G31=117),0,1)</f>
        <v/>
      </c>
      <c r="HJ32">
        <f>HJ31*IF(OR($C31=118,$G31=118),0,1)</f>
        <v/>
      </c>
      <c r="HK32">
        <f>HK31*IF(OR($C31=119,$G31=119),0,1)</f>
        <v/>
      </c>
      <c r="HL32">
        <f>HL31*IF(OR($C31=120,$G31=120),0,1)</f>
        <v/>
      </c>
      <c r="HM32">
        <f>HM31*IF(OR($C31=121,$G31=121),0,1)</f>
        <v/>
      </c>
      <c r="HN32">
        <f>HN31*IF(OR($C31=122,$G31=122),0,1)</f>
        <v/>
      </c>
      <c r="HO32">
        <f>HO31*IF(OR($C31=123,$G31=123),0,1)</f>
        <v/>
      </c>
      <c r="HP32">
        <f>HP31*IF(OR($C31=124,$G31=124),0,1)</f>
        <v/>
      </c>
      <c r="HQ32">
        <f>HQ31*IF(OR($C31=125,$G31=125),0,1)</f>
        <v/>
      </c>
      <c r="HR32">
        <f>HR31*IF(OR($C31=126,$G31=126),0,1)</f>
        <v/>
      </c>
      <c r="HS32">
        <f>HS31*IF(OR($C31=127,$G31=127),0,1)</f>
        <v/>
      </c>
      <c r="HT32">
        <f>HT31*IF(OR($C31=128,$G31=128),0,1)</f>
        <v/>
      </c>
      <c r="HU32">
        <f>HU31*IF(OR($C31=129,$G31=129),0,1)</f>
        <v/>
      </c>
      <c r="HV32">
        <f>HV31*IF(OR($C31=130,$G31=130),0,1)</f>
        <v/>
      </c>
      <c r="HW32">
        <f>HW31*IF(OR($C31=131,$G31=131),0,1)</f>
        <v/>
      </c>
      <c r="HX32">
        <f>HX31*IF(OR($C31=132,$G31=132),0,1)</f>
        <v/>
      </c>
      <c r="HY32">
        <f>HY31*IF(OR($C31=133,$G31=133),0,1)</f>
        <v/>
      </c>
      <c r="HZ32">
        <f>HZ31*IF(OR($C31=134,$G31=134),0,1)</f>
        <v/>
      </c>
      <c r="IA32">
        <f>IA31*IF(OR($C31=135,$G31=135),0,1)</f>
        <v/>
      </c>
      <c r="IB32">
        <f>IB31*IF(OR($C31=136,$G31=136),0,1)</f>
        <v/>
      </c>
      <c r="IC32">
        <f>IC31*IF(OR($C31=137,$G31=137),0,1)</f>
        <v/>
      </c>
      <c r="ID32">
        <f>ID31*IF(OR($C31=138,$G31=138),0,1)</f>
        <v/>
      </c>
      <c r="IE32">
        <f>IE31*IF(OR($C31=139,$G31=139),0,1)</f>
        <v/>
      </c>
      <c r="IF32">
        <f>IF31*IF(OR($C31=140,$G31=140),0,1)</f>
        <v/>
      </c>
      <c r="IG32">
        <f>IG31*IF(OR($C31=141,$G31=141),0,1)</f>
        <v/>
      </c>
      <c r="IH32">
        <f>IH31*IF(OR($C31=142,$G31=142),0,1)</f>
        <v/>
      </c>
      <c r="II32">
        <f>II31*IF(OR($C31=143,$G31=143),0,1)</f>
        <v/>
      </c>
      <c r="IJ32">
        <f>IJ31*IF(OR($C31=144,$G31=144),0,1)</f>
        <v/>
      </c>
      <c r="IK32">
        <f>IK31*IF(OR($C31=145,$G31=145),0,1)</f>
        <v/>
      </c>
      <c r="IL32">
        <f>IL31*IF(OR($C31=146,$G31=146),0,1)</f>
        <v/>
      </c>
      <c r="IM32">
        <f>IM31*IF(OR($C31=147,$G31=147),0,1)</f>
        <v/>
      </c>
      <c r="IN32">
        <f>IN31*IF(OR($C31=148,$G31=148),0,1)</f>
        <v/>
      </c>
      <c r="IO32">
        <f>IO31*IF(OR($C31=149,$G31=149),0,1)</f>
        <v/>
      </c>
      <c r="IP32">
        <f>IP31*IF(OR($C31=150,$G31=150),0,1)</f>
        <v/>
      </c>
      <c r="IQ32">
        <f>IQ31*IF(OR($C31=151,$G31=151),0,1)</f>
        <v/>
      </c>
      <c r="IR32">
        <f>IR31*IF(OR($C31=152,$G31=152),0,1)</f>
        <v/>
      </c>
      <c r="IS32">
        <f>IS31*IF(OR($C31=153,$G31=153),0,1)</f>
        <v/>
      </c>
      <c r="IT32">
        <f>IT31*IF(OR($C31=154,$G31=154),0,1)</f>
        <v/>
      </c>
      <c r="IU32">
        <f>IU31*IF(OR($C31=155,$G31=155),0,1)</f>
        <v/>
      </c>
      <c r="IV32">
        <f>IV31*IF(OR($C31=156,$G31=156),0,1)</f>
        <v/>
      </c>
      <c r="IW32">
        <f>IW31*IF(OR($C31=157,$G31=157),0,1)</f>
        <v/>
      </c>
      <c r="IX32">
        <f>IX31*IF(OR($C31=158,$G31=158),0,1)</f>
        <v/>
      </c>
      <c r="IY32">
        <f>IY31*IF(OR($C31=159,$G31=159),0,1)</f>
        <v/>
      </c>
      <c r="IZ32">
        <f>IZ31*IF(OR($C31=160,$G31=160),0,1)</f>
        <v/>
      </c>
      <c r="JA32">
        <f>JA31*IF(OR($C31=161,$G31=161),0,1)</f>
        <v/>
      </c>
      <c r="JB32">
        <f>JB31*IF(OR($C31=162,$G31=162),0,1)</f>
        <v/>
      </c>
      <c r="JC32">
        <f>JC31*IF(OR($C31=163,$G31=163),0,1)</f>
        <v/>
      </c>
      <c r="JD32">
        <f>JD31*IF(OR($C31=164,$G31=164),0,1)</f>
        <v/>
      </c>
      <c r="JE32">
        <f>JE31*IF(OR($C31=165,$G31=165),0,1)</f>
        <v/>
      </c>
      <c r="JF32">
        <f>JF31*IF(OR($C31=166,$G31=166),0,1)</f>
        <v/>
      </c>
      <c r="JG32">
        <f>JG31*IF(OR($C31=167,$G31=167),0,1)</f>
        <v/>
      </c>
      <c r="JH32">
        <f>JH31*IF(OR($C31=168,$G31=168),0,1)</f>
        <v/>
      </c>
      <c r="JI32">
        <f>JI31*IF(OR($C31=169,$G31=169),0,1)</f>
        <v/>
      </c>
      <c r="JJ32">
        <f>JJ31*IF(OR($C31=170,$G31=170),0,1)</f>
        <v/>
      </c>
      <c r="JK32">
        <f>JK31*IF(OR($C31=171,$G31=171),0,1)</f>
        <v/>
      </c>
      <c r="JL32">
        <f>JL31*IF(OR($C31=172,$G31=172),0,1)</f>
        <v/>
      </c>
      <c r="JM32">
        <f>JM31*IF(OR($C31=173,$G31=173),0,1)</f>
        <v/>
      </c>
      <c r="JN32">
        <f>JN31*IF(OR($C31=174,$G31=174),0,1)</f>
        <v/>
      </c>
      <c r="JO32">
        <f>JO31*IF(OR($C31=175,$G31=175),0,1)</f>
        <v/>
      </c>
      <c r="JP32">
        <f>JP31*IF(OR($C31=176,$G31=176),0,1)</f>
        <v/>
      </c>
      <c r="JQ32">
        <f>JQ31*IF(OR($C31=177,$G31=177),0,1)</f>
        <v/>
      </c>
      <c r="JR32">
        <f>JR31*IF(OR($C31=178,$G31=178),0,1)</f>
        <v/>
      </c>
      <c r="JS32">
        <f>JS31*IF(OR($C31=179,$G31=179),0,1)</f>
        <v/>
      </c>
      <c r="JT32">
        <f>JT31*IF(OR($C31=180,$G31=180),0,1)</f>
        <v/>
      </c>
      <c r="JU32">
        <f>JU31*IF(OR($C31=181,$G31=181),0,1)</f>
        <v/>
      </c>
      <c r="JV32">
        <f>JV31*IF(OR($C31=182,$G31=182),0,1)</f>
        <v/>
      </c>
      <c r="JW32">
        <f>JW31*IF(OR($C31=183,$G31=183),0,1)</f>
        <v/>
      </c>
      <c r="JX32">
        <f>JX31*IF(OR($C31=184,$G31=184),0,1)</f>
        <v/>
      </c>
      <c r="JY32">
        <f>JY31*IF(OR($C31=185,$G31=185),0,1)</f>
        <v/>
      </c>
      <c r="JZ32">
        <f>JZ31*IF(OR($C31=186,$G31=186),0,1)</f>
        <v/>
      </c>
      <c r="KA32">
        <f>KA31*IF(OR($C31=187,$G31=187),0,1)</f>
        <v/>
      </c>
      <c r="KB32">
        <f>KB31*IF(OR($C31=188,$G31=188),0,1)</f>
        <v/>
      </c>
      <c r="KC32">
        <f>KC31*IF(OR($C31=189,$G31=189),0,1)</f>
        <v/>
      </c>
      <c r="KD32">
        <f>KD31*IF(OR($C31=190,$G31=190),0,1)</f>
        <v/>
      </c>
      <c r="KE32">
        <f>KE31*IF(OR($C31=191,$G31=191),0,1)</f>
        <v/>
      </c>
      <c r="KF32">
        <f>KF31*IF(OR($C31=192,$G31=192),0,1)</f>
        <v/>
      </c>
      <c r="KG32">
        <f>KG31*IF(OR($C31=193,$G31=193),0,1)</f>
        <v/>
      </c>
      <c r="KH32">
        <f>KH31*IF(OR($C31=194,$G31=194),0,1)</f>
        <v/>
      </c>
      <c r="KI32">
        <f>KI31*IF(OR($C31=195,$G31=195),0,1)</f>
        <v/>
      </c>
      <c r="KJ32">
        <f>KJ31*IF(OR($C31=196,$G31=196),0,1)</f>
        <v/>
      </c>
      <c r="KK32">
        <f>KK31*IF(OR($C31=197,$G31=197),0,1)</f>
        <v/>
      </c>
      <c r="KL32">
        <f>KL31*IF(OR($C31=198,$G31=198),0,1)</f>
        <v/>
      </c>
      <c r="KM32">
        <f>KM31*IF(OR($C31=199,$G31=199),0,1)</f>
        <v/>
      </c>
      <c r="KN32">
        <f>KN31*IF(OR($C31=200,$G31=200),0,1)</f>
        <v/>
      </c>
      <c r="KO32">
        <f>KO31*IF(OR($C31=201,$G31=201),0,1)</f>
        <v/>
      </c>
      <c r="KP32">
        <f>KP31*IF(OR($C31=202,$G31=202),0,1)</f>
        <v/>
      </c>
      <c r="KQ32">
        <f>KQ31*IF(OR($C31=203,$G31=203),0,1)</f>
        <v/>
      </c>
      <c r="KR32">
        <f>KR31*IF(OR($C31=204,$G31=204),0,1)</f>
        <v/>
      </c>
      <c r="KS32">
        <f>KS31*IF(OR($C31=205,$G31=205),0,1)</f>
        <v/>
      </c>
      <c r="KT32">
        <f>KT31*IF(OR($C31=206,$G31=206),0,1)</f>
        <v/>
      </c>
      <c r="KU32">
        <f>KU31*IF(OR($C31=207,$G31=207),0,1)</f>
        <v/>
      </c>
      <c r="KV32">
        <f>KV31*IF(OR($C31=208,$G31=208),0,1)</f>
        <v/>
      </c>
      <c r="KW32">
        <f>KW31*IF(OR($C31=209,$G31=209),0,1)</f>
        <v/>
      </c>
      <c r="KX32">
        <f>KX31*IF(OR($C31=210,$G31=210),0,1)</f>
        <v/>
      </c>
      <c r="KY32">
        <f>KY31*IF(OR($C31=211,$G31=211),0,1)</f>
        <v/>
      </c>
      <c r="KZ32">
        <f>KZ31*IF(OR($C31=212,$G31=212),0,1)</f>
        <v/>
      </c>
      <c r="LA32">
        <f>LA31*IF(OR($C31=213,$G31=213),0,1)</f>
        <v/>
      </c>
      <c r="LB32">
        <f>LB31*IF(OR($C31=214,$G31=214),0,1)</f>
        <v/>
      </c>
      <c r="LC32">
        <f>LC31*IF(OR($C31=215,$G31=215),0,1)</f>
        <v/>
      </c>
      <c r="LD32">
        <f>LD31*IF(OR($C31=216,$G31=216),0,1)</f>
        <v/>
      </c>
      <c r="LE32">
        <f>LE31*IF(OR($C31=217,$G31=217),0,1)</f>
        <v/>
      </c>
      <c r="LF32">
        <f>LF31*IF(OR($C31=218,$G31=218),0,1)</f>
        <v/>
      </c>
      <c r="LG32">
        <f>LG31*IF(OR($C31=219,$G31=219),0,1)</f>
        <v/>
      </c>
      <c r="LH32">
        <f>LH31*IF(OR($C31=220,$G31=220),0,1)</f>
        <v/>
      </c>
      <c r="LI32">
        <f>LI31*IF(OR($C31=221,$G31=221),0,1)</f>
        <v/>
      </c>
      <c r="LJ32">
        <f>LJ31*IF(OR($C31=222,$G31=222),0,1)</f>
        <v/>
      </c>
      <c r="LK32">
        <f>LK31*IF(OR($C31=223,$G31=223),0,1)</f>
        <v/>
      </c>
      <c r="LL32">
        <f>LL31*IF(OR($C31=224,$G31=224),0,1)</f>
        <v/>
      </c>
      <c r="LM32">
        <f>LM31*IF(OR($C31=225,$G31=225),0,1)</f>
        <v/>
      </c>
      <c r="LN32">
        <f>LN31*IF(OR($C31=226,$G31=226),0,1)</f>
        <v/>
      </c>
      <c r="LO32">
        <f>LO31*IF(OR($C31=227,$G31=227),0,1)</f>
        <v/>
      </c>
      <c r="LP32">
        <f>LP31*IF(OR($C31=228,$G31=228),0,1)</f>
        <v/>
      </c>
      <c r="LQ32">
        <f>LQ31*IF(OR($C31=229,$G31=229),0,1)</f>
        <v/>
      </c>
      <c r="LR32">
        <f>LR31*IF(OR($C31=230,$G31=230),0,1)</f>
        <v/>
      </c>
      <c r="LS32">
        <f>LS31*IF(OR($C31=231,$G31=231),0,1)</f>
        <v/>
      </c>
      <c r="LT32">
        <f>LT31*IF(OR($C31=232,$G31=232),0,1)</f>
        <v/>
      </c>
      <c r="LU32">
        <f>LU31*IF(OR($C31=233,$G31=233),0,1)</f>
        <v/>
      </c>
      <c r="LV32">
        <f>LV31*IF(OR($C31=234,$G31=234),0,1)</f>
        <v/>
      </c>
      <c r="LW32">
        <f>LW31*IF(OR($C31=235,$G31=235),0,1)</f>
        <v/>
      </c>
      <c r="LX32">
        <f>LX31*IF(OR($C31=236,$G31=236),0,1)</f>
        <v/>
      </c>
      <c r="LY32">
        <f>LY31*IF(OR($C31=237,$G31=237),0,1)</f>
        <v/>
      </c>
      <c r="LZ32">
        <f>LZ31*IF(OR($C31=238,$G31=238),0,1)</f>
        <v/>
      </c>
      <c r="MA32">
        <f>MA31*IF(OR($C31=239,$G31=239),0,1)</f>
        <v/>
      </c>
      <c r="MB32">
        <f>MB31*IF(OR($C31=240,$G31=240),0,1)</f>
        <v/>
      </c>
      <c r="MD32">
        <f>IF('計算A'!D$106=1,CX32,1)</f>
        <v/>
      </c>
      <c r="ME32">
        <f>IF('計算A'!E$106=1,CY32,1)</f>
        <v/>
      </c>
      <c r="MF32">
        <f>IF('計算A'!F$106=1,CZ32,1)</f>
        <v/>
      </c>
      <c r="MG32">
        <f>IF('計算A'!G$106=1,DA32,1)</f>
        <v/>
      </c>
      <c r="MH32">
        <f>IF('計算A'!H$106=1,DB32,1)</f>
        <v/>
      </c>
      <c r="MI32">
        <f>IF('計算A'!I$106=1,DC32,1)</f>
        <v/>
      </c>
      <c r="MJ32">
        <f>IF('計算A'!J$106=1,DD32,1)</f>
        <v/>
      </c>
      <c r="MK32">
        <f>IF('計算A'!K$106=1,DE32,1)</f>
        <v/>
      </c>
      <c r="ML32">
        <f>IF('計算A'!L$106=1,DF32,1)</f>
        <v/>
      </c>
      <c r="MM32">
        <f>IF('計算A'!M$106=1,DG32,1)</f>
        <v/>
      </c>
      <c r="MN32">
        <f>IF('計算A'!N$106=1,DH32,1)</f>
        <v/>
      </c>
      <c r="MO32">
        <f>IF('計算A'!O$106=1,DI32,1)</f>
        <v/>
      </c>
      <c r="MP32">
        <f>IF('計算A'!P$106=1,DJ32,1)</f>
        <v/>
      </c>
      <c r="MQ32">
        <f>IF('計算A'!Q$106=1,DK32,1)</f>
        <v/>
      </c>
      <c r="MR32">
        <f>IF('計算A'!R$106=1,DL32,1)</f>
        <v/>
      </c>
      <c r="MS32">
        <f>IF('計算A'!S$106=1,DM32,1)</f>
        <v/>
      </c>
      <c r="MT32">
        <f>IF('計算A'!T$106=1,DN32,1)</f>
        <v/>
      </c>
      <c r="MU32">
        <f>IF('計算A'!U$106=1,DO32,1)</f>
        <v/>
      </c>
      <c r="MV32">
        <f>IF('計算A'!V$106=1,DP32,1)</f>
        <v/>
      </c>
      <c r="MW32">
        <f>IF('計算A'!W$106=1,DQ32,1)</f>
        <v/>
      </c>
      <c r="MX32">
        <f>IF('計算A'!X$106=1,DR32,1)</f>
        <v/>
      </c>
      <c r="MY32">
        <f>IF('計算A'!Y$106=1,DS32,1)</f>
        <v/>
      </c>
      <c r="MZ32">
        <f>IF('計算A'!Z$106=1,DT32,1)</f>
        <v/>
      </c>
      <c r="NA32">
        <f>IF('計算A'!AA$106=1,DU32,1)</f>
        <v/>
      </c>
      <c r="NB32">
        <f>IF('計算A'!AB$106=1,DV32,1)</f>
        <v/>
      </c>
      <c r="NC32">
        <f>IF('計算A'!AC$106=1,DW32,1)</f>
        <v/>
      </c>
      <c r="ND32">
        <f>IF('計算A'!AD$106=1,DX32,1)</f>
        <v/>
      </c>
      <c r="NE32">
        <f>IF('計算A'!AE$106=1,DY32,1)</f>
        <v/>
      </c>
      <c r="NF32">
        <f>IF('計算A'!AF$106=1,DZ32,1)</f>
        <v/>
      </c>
      <c r="NG32">
        <f>IF('計算A'!AG$106=1,EA32,1)</f>
        <v/>
      </c>
      <c r="NH32">
        <f>IF('計算A'!AH$106=1,EB32,1)</f>
        <v/>
      </c>
      <c r="NI32">
        <f>IF('計算A'!AI$106=1,EC32,1)</f>
        <v/>
      </c>
      <c r="NJ32">
        <f>IF('計算A'!AJ$106=1,ED32,1)</f>
        <v/>
      </c>
      <c r="NK32">
        <f>IF('計算A'!AK$106=1,EE32,1)</f>
        <v/>
      </c>
      <c r="NL32">
        <f>IF('計算A'!AL$106=1,EF32,1)</f>
        <v/>
      </c>
      <c r="NM32">
        <f>IF('計算A'!AM$106=1,EG32,1)</f>
        <v/>
      </c>
      <c r="NN32">
        <f>IF('計算A'!AN$106=1,EH32,1)</f>
        <v/>
      </c>
      <c r="NO32">
        <f>IF('計算A'!AO$106=1,EI32,1)</f>
        <v/>
      </c>
      <c r="NP32">
        <f>IF('計算A'!AP$106=1,EJ32,1)</f>
        <v/>
      </c>
      <c r="NQ32">
        <f>IF('計算A'!AQ$106=1,EK32,1)</f>
        <v/>
      </c>
      <c r="NR32">
        <f>IF('計算A'!AR$106=1,EL32,1)</f>
        <v/>
      </c>
      <c r="NS32">
        <f>IF('計算A'!AS$106=1,EM32,1)</f>
        <v/>
      </c>
      <c r="NT32">
        <f>IF('計算A'!AT$106=1,EN32,1)</f>
        <v/>
      </c>
      <c r="NU32">
        <f>IF('計算A'!AU$106=1,EO32,1)</f>
        <v/>
      </c>
      <c r="NV32">
        <f>IF('計算A'!AV$106=1,EP32,1)</f>
        <v/>
      </c>
      <c r="NW32">
        <f>IF('計算A'!AW$106=1,EQ32,1)</f>
        <v/>
      </c>
      <c r="NX32">
        <f>IF('計算A'!AX$106=1,ER32,1)</f>
        <v/>
      </c>
      <c r="NY32">
        <f>IF('計算A'!AY$106=1,ES32,1)</f>
        <v/>
      </c>
      <c r="NZ32">
        <f>IF('計算A'!AZ$106=1,ET32,1)</f>
        <v/>
      </c>
      <c r="OA32">
        <f>IF('計算A'!BA$106=1,EU32,1)</f>
        <v/>
      </c>
      <c r="OB32">
        <f>IF('計算A'!BB$106=1,EV32,1)</f>
        <v/>
      </c>
      <c r="OC32">
        <f>IF('計算A'!BC$106=1,EW32,1)</f>
        <v/>
      </c>
      <c r="OD32">
        <f>IF('計算A'!BD$106=1,EX32,1)</f>
        <v/>
      </c>
      <c r="OE32">
        <f>IF('計算A'!BE$106=1,EY32,1)</f>
        <v/>
      </c>
      <c r="OF32">
        <f>IF('計算A'!BF$106=1,EZ32,1)</f>
        <v/>
      </c>
      <c r="OG32">
        <f>IF('計算A'!BG$106=1,FA32,1)</f>
        <v/>
      </c>
      <c r="OH32">
        <f>IF('計算A'!BH$106=1,FB32,1)</f>
        <v/>
      </c>
      <c r="OI32">
        <f>IF('計算A'!BI$106=1,FC32,1)</f>
        <v/>
      </c>
      <c r="OJ32">
        <f>IF('計算A'!BJ$106=1,FD32,1)</f>
        <v/>
      </c>
      <c r="OK32">
        <f>IF('計算A'!BK$106=1,FE32,1)</f>
        <v/>
      </c>
      <c r="OL32">
        <f>IF('計算A'!BL$106=1,FF32,1)</f>
        <v/>
      </c>
      <c r="OM32">
        <f>IF('計算A'!BM$106=1,FG32,1)</f>
        <v/>
      </c>
      <c r="ON32">
        <f>IF('計算A'!BN$106=1,FH32,1)</f>
        <v/>
      </c>
      <c r="OO32">
        <f>IF('計算A'!BO$106=1,FI32,1)</f>
        <v/>
      </c>
      <c r="OP32">
        <f>IF('計算A'!BP$106=1,FJ32,1)</f>
        <v/>
      </c>
      <c r="OQ32">
        <f>IF('計算A'!BQ$106=1,FK32,1)</f>
        <v/>
      </c>
      <c r="OR32">
        <f>IF('計算A'!BR$106=1,FL32,1)</f>
        <v/>
      </c>
      <c r="OS32">
        <f>IF('計算A'!BS$106=1,FM32,1)</f>
        <v/>
      </c>
      <c r="OT32">
        <f>IF('計算A'!BT$106=1,FN32,1)</f>
        <v/>
      </c>
      <c r="OU32">
        <f>IF('計算A'!BU$106=1,FO32,1)</f>
        <v/>
      </c>
      <c r="OV32">
        <f>IF('計算A'!BV$106=1,FP32,1)</f>
        <v/>
      </c>
      <c r="OW32">
        <f>IF('計算A'!BW$106=1,FQ32,1)</f>
        <v/>
      </c>
      <c r="OX32">
        <f>IF('計算A'!BX$106=1,FR32,1)</f>
        <v/>
      </c>
      <c r="OY32">
        <f>IF('計算A'!BY$106=1,FS32,1)</f>
        <v/>
      </c>
      <c r="OZ32">
        <f>IF('計算A'!BZ$106=1,FT32,1)</f>
        <v/>
      </c>
      <c r="PA32">
        <f>IF('計算A'!CA$106=1,FU32,1)</f>
        <v/>
      </c>
      <c r="PB32">
        <f>IF('計算A'!CB$106=1,FV32,1)</f>
        <v/>
      </c>
      <c r="PC32">
        <f>IF('計算A'!CC$106=1,FW32,1)</f>
        <v/>
      </c>
      <c r="PD32">
        <f>IF('計算A'!CD$106=1,FX32,1)</f>
        <v/>
      </c>
      <c r="PE32">
        <f>IF('計算A'!CE$106=1,FY32,1)</f>
        <v/>
      </c>
      <c r="PF32">
        <f>IF('計算A'!CF$106=1,FZ32,1)</f>
        <v/>
      </c>
      <c r="PG32">
        <f>IF('計算A'!CG$106=1,GA32,1)</f>
        <v/>
      </c>
      <c r="PH32">
        <f>IF('計算A'!CH$106=1,GB32,1)</f>
        <v/>
      </c>
      <c r="PI32">
        <f>IF('計算A'!CI$106=1,GC32,1)</f>
        <v/>
      </c>
      <c r="PJ32">
        <f>IF('計算A'!CJ$106=1,GD32,1)</f>
        <v/>
      </c>
      <c r="PK32">
        <f>IF('計算A'!CK$106=1,GE32,1)</f>
        <v/>
      </c>
      <c r="PL32">
        <f>IF('計算A'!CL$106=1,GF32,1)</f>
        <v/>
      </c>
      <c r="PM32">
        <f>IF('計算A'!CM$106=1,GG32,1)</f>
        <v/>
      </c>
      <c r="PN32">
        <f>IF('計算A'!CN$106=1,GH32,1)</f>
        <v/>
      </c>
      <c r="PO32">
        <f>IF('計算A'!CO$106=1,GI32,1)</f>
        <v/>
      </c>
      <c r="PP32">
        <f>IF('計算A'!CP$106=1,GJ32,1)</f>
        <v/>
      </c>
      <c r="PQ32">
        <f>IF('計算A'!CQ$106=1,GK32,1)</f>
        <v/>
      </c>
      <c r="PR32">
        <f>IF('計算A'!CR$106=1,GL32,1)</f>
        <v/>
      </c>
      <c r="PS32">
        <f>IF('計算A'!CS$106=1,GM32,1)</f>
        <v/>
      </c>
      <c r="PT32">
        <f>IF('計算A'!CT$106=1,GN32,1)</f>
        <v/>
      </c>
      <c r="PU32">
        <f>IF('計算A'!CU$106=1,GO32,1)</f>
        <v/>
      </c>
      <c r="PV32">
        <f>IF('計算A'!CV$106=1,GP32,1)</f>
        <v/>
      </c>
      <c r="PW32">
        <f>IF('計算A'!CW$106=1,GQ32,1)</f>
        <v/>
      </c>
      <c r="PX32">
        <f>IF('計算A'!CX$106=1,GR32,1)</f>
        <v/>
      </c>
      <c r="PY32">
        <f>IF('計算A'!CY$106=1,GS32,1)</f>
        <v/>
      </c>
      <c r="PZ32">
        <f>IF('計算A'!CZ$106=1,GT32,1)</f>
        <v/>
      </c>
      <c r="QA32">
        <f>IF('計算A'!DA$106=1,GU32,1)</f>
        <v/>
      </c>
      <c r="QB32">
        <f>IF('計算A'!DB$106=1,GV32,1)</f>
        <v/>
      </c>
      <c r="QC32">
        <f>IF('計算A'!DC$106=1,GW32,1)</f>
        <v/>
      </c>
      <c r="QD32">
        <f>IF('計算A'!DD$106=1,GX32,1)</f>
        <v/>
      </c>
      <c r="QE32">
        <f>IF('計算A'!DE$106=1,GY32,1)</f>
        <v/>
      </c>
      <c r="QF32">
        <f>IF('計算A'!DF$106=1,GZ32,1)</f>
        <v/>
      </c>
      <c r="QG32">
        <f>IF('計算A'!DG$106=1,HA32,1)</f>
        <v/>
      </c>
      <c r="QH32">
        <f>IF('計算A'!DH$106=1,HB32,1)</f>
        <v/>
      </c>
      <c r="QI32">
        <f>IF('計算A'!DI$106=1,HC32,1)</f>
        <v/>
      </c>
      <c r="QJ32">
        <f>IF('計算A'!DJ$106=1,HD32,1)</f>
        <v/>
      </c>
      <c r="QK32">
        <f>IF('計算A'!DK$106=1,HE32,1)</f>
        <v/>
      </c>
      <c r="QL32">
        <f>IF('計算A'!DL$106=1,HF32,1)</f>
        <v/>
      </c>
      <c r="QM32">
        <f>IF('計算A'!DM$106=1,HG32,1)</f>
        <v/>
      </c>
      <c r="QN32">
        <f>IF('計算A'!DN$106=1,HH32,1)</f>
        <v/>
      </c>
      <c r="QO32">
        <f>IF('計算A'!DO$106=1,HI32,1)</f>
        <v/>
      </c>
      <c r="QP32">
        <f>IF('計算A'!DP$106=1,HJ32,1)</f>
        <v/>
      </c>
      <c r="QQ32">
        <f>IF('計算A'!DQ$106=1,HK32,1)</f>
        <v/>
      </c>
      <c r="QR32">
        <f>IF('計算A'!DR$106=1,HL32,1)</f>
        <v/>
      </c>
      <c r="QS32">
        <f>IF('計算A'!DS$106=1,HM32,1)</f>
        <v/>
      </c>
      <c r="QT32">
        <f>IF('計算A'!DT$106=1,HN32,1)</f>
        <v/>
      </c>
      <c r="QU32">
        <f>IF('計算A'!DU$106=1,HO32,1)</f>
        <v/>
      </c>
      <c r="QV32">
        <f>IF('計算A'!DV$106=1,HP32,1)</f>
        <v/>
      </c>
      <c r="QW32">
        <f>IF('計算A'!DW$106=1,HQ32,1)</f>
        <v/>
      </c>
      <c r="QX32">
        <f>IF('計算A'!DX$106=1,HR32,1)</f>
        <v/>
      </c>
      <c r="QY32">
        <f>IF('計算A'!DY$106=1,HS32,1)</f>
        <v/>
      </c>
      <c r="QZ32">
        <f>IF('計算A'!DZ$106=1,HT32,1)</f>
        <v/>
      </c>
      <c r="RA32">
        <f>IF('計算A'!EA$106=1,HU32,1)</f>
        <v/>
      </c>
      <c r="RB32">
        <f>IF('計算A'!EB$106=1,HV32,1)</f>
        <v/>
      </c>
      <c r="RC32">
        <f>IF('計算A'!EC$106=1,HW32,1)</f>
        <v/>
      </c>
      <c r="RD32">
        <f>IF('計算A'!ED$106=1,HX32,1)</f>
        <v/>
      </c>
      <c r="RE32">
        <f>IF('計算A'!EE$106=1,HY32,1)</f>
        <v/>
      </c>
      <c r="RF32">
        <f>IF('計算A'!EF$106=1,HZ32,1)</f>
        <v/>
      </c>
      <c r="RG32">
        <f>IF('計算A'!EG$106=1,IA32,1)</f>
        <v/>
      </c>
      <c r="RH32">
        <f>IF('計算A'!EH$106=1,IB32,1)</f>
        <v/>
      </c>
      <c r="RI32">
        <f>IF('計算A'!EI$106=1,IC32,1)</f>
        <v/>
      </c>
      <c r="RJ32">
        <f>IF('計算A'!EJ$106=1,ID32,1)</f>
        <v/>
      </c>
      <c r="RK32">
        <f>IF('計算A'!EK$106=1,IE32,1)</f>
        <v/>
      </c>
      <c r="RL32">
        <f>IF('計算A'!EL$106=1,IF32,1)</f>
        <v/>
      </c>
      <c r="RM32">
        <f>IF('計算A'!EM$106=1,IG32,1)</f>
        <v/>
      </c>
      <c r="RN32">
        <f>IF('計算A'!EN$106=1,IH32,1)</f>
        <v/>
      </c>
      <c r="RO32">
        <f>IF('計算A'!EO$106=1,II32,1)</f>
        <v/>
      </c>
      <c r="RP32">
        <f>IF('計算A'!EP$106=1,IJ32,1)</f>
        <v/>
      </c>
      <c r="RQ32">
        <f>IF('計算A'!EQ$106=1,IK32,1)</f>
        <v/>
      </c>
      <c r="RR32">
        <f>IF('計算A'!ER$106=1,IL32,1)</f>
        <v/>
      </c>
      <c r="RS32">
        <f>IF('計算A'!ES$106=1,IM32,1)</f>
        <v/>
      </c>
      <c r="RT32">
        <f>IF('計算A'!ET$106=1,IN32,1)</f>
        <v/>
      </c>
      <c r="RU32">
        <f>IF('計算A'!EU$106=1,IO32,1)</f>
        <v/>
      </c>
      <c r="RV32">
        <f>IF('計算A'!EV$106=1,IP32,1)</f>
        <v/>
      </c>
      <c r="RW32">
        <f>IF('計算A'!EW$106=1,IQ32,1)</f>
        <v/>
      </c>
      <c r="RX32">
        <f>IF('計算A'!EX$106=1,IR32,1)</f>
        <v/>
      </c>
      <c r="RY32">
        <f>IF('計算A'!EY$106=1,IS32,1)</f>
        <v/>
      </c>
      <c r="RZ32">
        <f>IF('計算A'!EZ$106=1,IT32,1)</f>
        <v/>
      </c>
      <c r="SA32">
        <f>IF('計算A'!FA$106=1,IU32,1)</f>
        <v/>
      </c>
      <c r="SB32">
        <f>IF('計算A'!FB$106=1,IV32,1)</f>
        <v/>
      </c>
      <c r="SC32">
        <f>IF('計算A'!FC$106=1,IW32,1)</f>
        <v/>
      </c>
      <c r="SD32">
        <f>IF('計算A'!FD$106=1,IX32,1)</f>
        <v/>
      </c>
      <c r="SE32">
        <f>IF('計算A'!FE$106=1,IY32,1)</f>
        <v/>
      </c>
      <c r="SF32">
        <f>IF('計算A'!FF$106=1,IZ32,1)</f>
        <v/>
      </c>
      <c r="SG32">
        <f>IF('計算A'!FG$106=1,JA32,1)</f>
        <v/>
      </c>
      <c r="SH32">
        <f>IF('計算A'!FH$106=1,JB32,1)</f>
        <v/>
      </c>
      <c r="SI32">
        <f>IF('計算A'!FI$106=1,JC32,1)</f>
        <v/>
      </c>
      <c r="SJ32">
        <f>IF('計算A'!FJ$106=1,JD32,1)</f>
        <v/>
      </c>
      <c r="SK32">
        <f>IF('計算A'!FK$106=1,JE32,1)</f>
        <v/>
      </c>
      <c r="SL32">
        <f>IF('計算A'!FL$106=1,JF32,1)</f>
        <v/>
      </c>
      <c r="SM32">
        <f>IF('計算A'!FM$106=1,JG32,1)</f>
        <v/>
      </c>
      <c r="SN32">
        <f>IF('計算A'!FN$106=1,JH32,1)</f>
        <v/>
      </c>
      <c r="SO32">
        <f>IF('計算A'!FO$106=1,JI32,1)</f>
        <v/>
      </c>
      <c r="SP32">
        <f>IF('計算A'!FP$106=1,JJ32,1)</f>
        <v/>
      </c>
      <c r="SQ32">
        <f>IF('計算A'!FQ$106=1,JK32,1)</f>
        <v/>
      </c>
      <c r="SR32">
        <f>IF('計算A'!FR$106=1,JL32,1)</f>
        <v/>
      </c>
      <c r="SS32">
        <f>IF('計算A'!FS$106=1,JM32,1)</f>
        <v/>
      </c>
      <c r="ST32">
        <f>IF('計算A'!FT$106=1,JN32,1)</f>
        <v/>
      </c>
      <c r="SU32">
        <f>IF('計算A'!FU$106=1,JO32,1)</f>
        <v/>
      </c>
      <c r="SV32">
        <f>IF('計算A'!FV$106=1,JP32,1)</f>
        <v/>
      </c>
      <c r="SW32">
        <f>IF('計算A'!FW$106=1,JQ32,1)</f>
        <v/>
      </c>
      <c r="SX32">
        <f>IF('計算A'!FX$106=1,JR32,1)</f>
        <v/>
      </c>
      <c r="SY32">
        <f>IF('計算A'!FY$106=1,JS32,1)</f>
        <v/>
      </c>
      <c r="SZ32">
        <f>IF('計算A'!FZ$106=1,JT32,1)</f>
        <v/>
      </c>
      <c r="TA32">
        <f>IF('計算A'!GA$106=1,JU32,1)</f>
        <v/>
      </c>
      <c r="TB32">
        <f>IF('計算A'!GB$106=1,JV32,1)</f>
        <v/>
      </c>
      <c r="TC32">
        <f>IF('計算A'!GC$106=1,JW32,1)</f>
        <v/>
      </c>
      <c r="TD32">
        <f>IF('計算A'!GD$106=1,JX32,1)</f>
        <v/>
      </c>
      <c r="TE32">
        <f>IF('計算A'!GE$106=1,JY32,1)</f>
        <v/>
      </c>
      <c r="TF32">
        <f>IF('計算A'!GF$106=1,JZ32,1)</f>
        <v/>
      </c>
      <c r="TG32">
        <f>IF('計算A'!GG$106=1,KA32,1)</f>
        <v/>
      </c>
      <c r="TH32">
        <f>IF('計算A'!GH$106=1,KB32,1)</f>
        <v/>
      </c>
      <c r="TI32">
        <f>IF('計算A'!GI$106=1,KC32,1)</f>
        <v/>
      </c>
      <c r="TJ32">
        <f>IF('計算A'!GJ$106=1,KD32,1)</f>
        <v/>
      </c>
      <c r="TK32">
        <f>IF('計算A'!GK$106=1,KE32,1)</f>
        <v/>
      </c>
      <c r="TL32">
        <f>IF('計算A'!GL$106=1,KF32,1)</f>
        <v/>
      </c>
      <c r="TM32">
        <f>IF('計算A'!GM$106=1,KG32,1)</f>
        <v/>
      </c>
      <c r="TN32">
        <f>IF('計算A'!GN$106=1,KH32,1)</f>
        <v/>
      </c>
      <c r="TO32">
        <f>IF('計算A'!GO$106=1,KI32,1)</f>
        <v/>
      </c>
      <c r="TP32">
        <f>IF('計算A'!GP$106=1,KJ32,1)</f>
        <v/>
      </c>
      <c r="TQ32">
        <f>IF('計算A'!GQ$106=1,KK32,1)</f>
        <v/>
      </c>
      <c r="TR32">
        <f>IF('計算A'!GR$106=1,KL32,1)</f>
        <v/>
      </c>
      <c r="TS32">
        <f>IF('計算A'!GS$106=1,KM32,1)</f>
        <v/>
      </c>
      <c r="TT32">
        <f>IF('計算A'!GT$106=1,KN32,1)</f>
        <v/>
      </c>
      <c r="TU32">
        <f>IF('計算A'!GU$106=1,KO32,1)</f>
        <v/>
      </c>
      <c r="TV32">
        <f>IF('計算A'!GV$106=1,KP32,1)</f>
        <v/>
      </c>
      <c r="TW32">
        <f>IF('計算A'!GW$106=1,KQ32,1)</f>
        <v/>
      </c>
      <c r="TX32">
        <f>IF('計算A'!GX$106=1,KR32,1)</f>
        <v/>
      </c>
      <c r="TY32">
        <f>IF('計算A'!GY$106=1,KS32,1)</f>
        <v/>
      </c>
      <c r="TZ32">
        <f>IF('計算A'!GZ$106=1,KT32,1)</f>
        <v/>
      </c>
      <c r="UA32">
        <f>IF('計算A'!HA$106=1,KU32,1)</f>
        <v/>
      </c>
      <c r="UB32">
        <f>IF('計算A'!HB$106=1,KV32,1)</f>
        <v/>
      </c>
      <c r="UC32">
        <f>IF('計算A'!HC$106=1,KW32,1)</f>
        <v/>
      </c>
      <c r="UD32">
        <f>IF('計算A'!HD$106=1,KX32,1)</f>
        <v/>
      </c>
      <c r="UE32">
        <f>IF('計算A'!HE$106=1,KY32,1)</f>
        <v/>
      </c>
      <c r="UF32">
        <f>IF('計算A'!HF$106=1,KZ32,1)</f>
        <v/>
      </c>
      <c r="UG32">
        <f>IF('計算A'!HG$106=1,LA32,1)</f>
        <v/>
      </c>
      <c r="UH32">
        <f>IF('計算A'!HH$106=1,LB32,1)</f>
        <v/>
      </c>
      <c r="UI32">
        <f>IF('計算A'!HI$106=1,LC32,1)</f>
        <v/>
      </c>
      <c r="UJ32">
        <f>IF('計算A'!HJ$106=1,LD32,1)</f>
        <v/>
      </c>
      <c r="UK32">
        <f>IF('計算A'!HK$106=1,LE32,1)</f>
        <v/>
      </c>
      <c r="UL32">
        <f>IF('計算A'!HL$106=1,LF32,1)</f>
        <v/>
      </c>
      <c r="UM32">
        <f>IF('計算A'!HM$106=1,LG32,1)</f>
        <v/>
      </c>
      <c r="UN32">
        <f>IF('計算A'!HN$106=1,LH32,1)</f>
        <v/>
      </c>
      <c r="UO32">
        <f>IF('計算A'!HO$106=1,LI32,1)</f>
        <v/>
      </c>
      <c r="UP32">
        <f>IF('計算A'!HP$106=1,LJ32,1)</f>
        <v/>
      </c>
      <c r="UQ32">
        <f>IF('計算A'!HQ$106=1,LK32,1)</f>
        <v/>
      </c>
      <c r="UR32">
        <f>IF('計算A'!HR$106=1,LL32,1)</f>
        <v/>
      </c>
      <c r="US32">
        <f>IF('計算A'!HS$106=1,LM32,1)</f>
        <v/>
      </c>
      <c r="UT32">
        <f>IF('計算A'!HT$106=1,LN32,1)</f>
        <v/>
      </c>
      <c r="UU32">
        <f>IF('計算A'!HU$106=1,LO32,1)</f>
        <v/>
      </c>
      <c r="UV32">
        <f>IF('計算A'!HV$106=1,LP32,1)</f>
        <v/>
      </c>
      <c r="UW32">
        <f>IF('計算A'!HW$106=1,LQ32,1)</f>
        <v/>
      </c>
      <c r="UX32">
        <f>IF('計算A'!HX$106=1,LR32,1)</f>
        <v/>
      </c>
      <c r="UY32">
        <f>IF('計算A'!HY$106=1,LS32,1)</f>
        <v/>
      </c>
      <c r="UZ32">
        <f>IF('計算A'!HZ$106=1,LT32,1)</f>
        <v/>
      </c>
      <c r="VA32">
        <f>IF('計算A'!IA$106=1,LU32,1)</f>
        <v/>
      </c>
      <c r="VB32">
        <f>IF('計算A'!IB$106=1,LV32,1)</f>
        <v/>
      </c>
      <c r="VC32">
        <f>IF('計算A'!IC$106=1,LW32,1)</f>
        <v/>
      </c>
      <c r="VD32">
        <f>IF('計算A'!ID$106=1,LX32,1)</f>
        <v/>
      </c>
      <c r="VE32">
        <f>IF('計算A'!IE$106=1,LY32,1)</f>
        <v/>
      </c>
      <c r="VF32">
        <f>IF('計算A'!IF$106=1,LZ32,1)</f>
        <v/>
      </c>
      <c r="VG32">
        <f>IF('計算A'!IG$106=1,MA32,1)</f>
        <v/>
      </c>
      <c r="VH32">
        <f>IF('計算A'!IH$106=1,MB32,1)</f>
        <v/>
      </c>
      <c r="VI32" t="n">
        <v>1</v>
      </c>
      <c r="VK32">
        <f>IF($B32=0,1000000,IF(INDEX('計算A'!$D$60:$II$104,$B32,1)*CW32=1,IF(AND($E32=2,MD32=0),1000000,INDEX('計算A'!D$110:D$114,$F32+1)+IF(AND($E32=1,MD32=0),1000,0)),1000000))</f>
        <v/>
      </c>
      <c r="VL32">
        <f>IF($B32=0,1000000,IF(INDEX('計算A'!$D$60:$II$104,$B32,2)*CX32=1,IF(AND($E32=2,ME32=0),1000000,INDEX('計算A'!E$110:E$114,$F32+1)+IF(AND($E32=1,ME32=0),1000,0)),1000000))</f>
        <v/>
      </c>
      <c r="VM32">
        <f>IF($B32=0,1000000,IF(INDEX('計算A'!$D$60:$II$104,$B32,3)*CY32=1,IF(AND($E32=2,MF32=0),1000000,INDEX('計算A'!F$110:F$114,$F32+1)+IF(AND($E32=1,MF32=0),1000,0)),1000000))</f>
        <v/>
      </c>
      <c r="VN32">
        <f>IF($B32=0,1000000,IF(INDEX('計算A'!$D$60:$II$104,$B32,4)*CZ32=1,IF(AND($E32=2,MG32=0),1000000,INDEX('計算A'!G$110:G$114,$F32+1)+IF(AND($E32=1,MG32=0),1000,0)),1000000))</f>
        <v/>
      </c>
      <c r="VO32">
        <f>IF($B32=0,1000000,IF(INDEX('計算A'!$D$60:$II$104,$B32,5)*DA32=1,IF(AND($E32=2,MH32=0),1000000,INDEX('計算A'!H$110:H$114,$F32+1)+IF(AND($E32=1,MH32=0),1000,0)),1000000))</f>
        <v/>
      </c>
      <c r="VP32">
        <f>IF($B32=0,1000000,IF(INDEX('計算A'!$D$60:$II$104,$B32,6)*DB32=1,IF(AND($E32=2,MI32=0),1000000,INDEX('計算A'!I$110:I$114,$F32+1)+IF(AND($E32=1,MI32=0),1000,0)),1000000))</f>
        <v/>
      </c>
      <c r="VQ32">
        <f>IF($B32=0,1000000,IF(INDEX('計算A'!$D$60:$II$104,$B32,7)*DC32=1,IF(AND($E32=2,MJ32=0),1000000,INDEX('計算A'!J$110:J$114,$F32+1)+IF(AND($E32=1,MJ32=0),1000,0)),1000000))</f>
        <v/>
      </c>
      <c r="VR32">
        <f>IF($B32=0,1000000,IF(INDEX('計算A'!$D$60:$II$104,$B32,8)*DD32=1,IF(AND($E32=2,MK32=0),1000000,INDEX('計算A'!K$110:K$114,$F32+1)+IF(AND($E32=1,MK32=0),1000,0)),1000000))</f>
        <v/>
      </c>
      <c r="VS32">
        <f>IF($B32=0,1000000,IF(INDEX('計算A'!$D$60:$II$104,$B32,9)*DE32=1,IF(AND($E32=2,ML32=0),1000000,INDEX('計算A'!L$110:L$114,$F32+1)+IF(AND($E32=1,ML32=0),1000,0)),1000000))</f>
        <v/>
      </c>
      <c r="VT32">
        <f>IF($B32=0,1000000,IF(INDEX('計算A'!$D$60:$II$104,$B32,10)*DF32=1,IF(AND($E32=2,MM32=0),1000000,INDEX('計算A'!M$110:M$114,$F32+1)+IF(AND($E32=1,MM32=0),1000,0)),1000000))</f>
        <v/>
      </c>
      <c r="VU32">
        <f>IF($B32=0,1000000,IF(INDEX('計算A'!$D$60:$II$104,$B32,11)*DG32=1,IF(AND($E32=2,MN32=0),1000000,INDEX('計算A'!N$110:N$114,$F32+1)+IF(AND($E32=1,MN32=0),1000,0)),1000000))</f>
        <v/>
      </c>
      <c r="VV32">
        <f>IF($B32=0,1000000,IF(INDEX('計算A'!$D$60:$II$104,$B32,12)*DH32=1,IF(AND($E32=2,MO32=0),1000000,INDEX('計算A'!O$110:O$114,$F32+1)+IF(AND($E32=1,MO32=0),1000,0)),1000000))</f>
        <v/>
      </c>
      <c r="VW32">
        <f>IF($B32=0,1000000,IF(INDEX('計算A'!$D$60:$II$104,$B32,13)*DI32=1,IF(AND($E32=2,MP32=0),1000000,INDEX('計算A'!P$110:P$114,$F32+1)+IF(AND($E32=1,MP32=0),1000,0)),1000000))</f>
        <v/>
      </c>
      <c r="VX32">
        <f>IF($B32=0,1000000,IF(INDEX('計算A'!$D$60:$II$104,$B32,14)*DJ32=1,IF(AND($E32=2,MQ32=0),1000000,INDEX('計算A'!Q$110:Q$114,$F32+1)+IF(AND($E32=1,MQ32=0),1000,0)),1000000))</f>
        <v/>
      </c>
      <c r="VY32">
        <f>IF($B32=0,1000000,IF(INDEX('計算A'!$D$60:$II$104,$B32,15)*DK32=1,IF(AND($E32=2,MR32=0),1000000,INDEX('計算A'!R$110:R$114,$F32+1)+IF(AND($E32=1,MR32=0),1000,0)),1000000))</f>
        <v/>
      </c>
      <c r="VZ32">
        <f>IF($B32=0,1000000,IF(INDEX('計算A'!$D$60:$II$104,$B32,16)*DL32=1,IF(AND($E32=2,MS32=0),1000000,INDEX('計算A'!S$110:S$114,$F32+1)+IF(AND($E32=1,MS32=0),1000,0)),1000000))</f>
        <v/>
      </c>
      <c r="WA32">
        <f>IF($B32=0,1000000,IF(INDEX('計算A'!$D$60:$II$104,$B32,17)*DM32=1,IF(AND($E32=2,MT32=0),1000000,INDEX('計算A'!T$110:T$114,$F32+1)+IF(AND($E32=1,MT32=0),1000,0)),1000000))</f>
        <v/>
      </c>
      <c r="WB32">
        <f>IF($B32=0,1000000,IF(INDEX('計算A'!$D$60:$II$104,$B32,18)*DN32=1,IF(AND($E32=2,MU32=0),1000000,INDEX('計算A'!U$110:U$114,$F32+1)+IF(AND($E32=1,MU32=0),1000,0)),1000000))</f>
        <v/>
      </c>
      <c r="WC32">
        <f>IF($B32=0,1000000,IF(INDEX('計算A'!$D$60:$II$104,$B32,19)*DO32=1,IF(AND($E32=2,MV32=0),1000000,INDEX('計算A'!V$110:V$114,$F32+1)+IF(AND($E32=1,MV32=0),1000,0)),1000000))</f>
        <v/>
      </c>
      <c r="WD32">
        <f>IF($B32=0,1000000,IF(INDEX('計算A'!$D$60:$II$104,$B32,20)*DP32=1,IF(AND($E32=2,MW32=0),1000000,INDEX('計算A'!W$110:W$114,$F32+1)+IF(AND($E32=1,MW32=0),1000,0)),1000000))</f>
        <v/>
      </c>
      <c r="WE32">
        <f>IF($B32=0,1000000,IF(INDEX('計算A'!$D$60:$II$104,$B32,21)*DQ32=1,IF(AND($E32=2,MX32=0),1000000,INDEX('計算A'!X$110:X$114,$F32+1)+IF(AND($E32=1,MX32=0),1000,0)),1000000))</f>
        <v/>
      </c>
      <c r="WF32">
        <f>IF($B32=0,1000000,IF(INDEX('計算A'!$D$60:$II$104,$B32,22)*DR32=1,IF(AND($E32=2,MY32=0),1000000,INDEX('計算A'!Y$110:Y$114,$F32+1)+IF(AND($E32=1,MY32=0),1000,0)),1000000))</f>
        <v/>
      </c>
      <c r="WG32">
        <f>IF($B32=0,1000000,IF(INDEX('計算A'!$D$60:$II$104,$B32,23)*DS32=1,IF(AND($E32=2,MZ32=0),1000000,INDEX('計算A'!Z$110:Z$114,$F32+1)+IF(AND($E32=1,MZ32=0),1000,0)),1000000))</f>
        <v/>
      </c>
      <c r="WH32">
        <f>IF($B32=0,1000000,IF(INDEX('計算A'!$D$60:$II$104,$B32,24)*DT32=1,IF(AND($E32=2,NA32=0),1000000,INDEX('計算A'!AA$110:AA$114,$F32+1)+IF(AND($E32=1,NA32=0),1000,0)),1000000))</f>
        <v/>
      </c>
      <c r="WI32">
        <f>IF($B32=0,1000000,IF(INDEX('計算A'!$D$60:$II$104,$B32,25)*DU32=1,IF(AND($E32=2,NB32=0),1000000,INDEX('計算A'!AB$110:AB$114,$F32+1)+IF(AND($E32=1,NB32=0),1000,0)),1000000))</f>
        <v/>
      </c>
      <c r="WJ32">
        <f>IF($B32=0,1000000,IF(INDEX('計算A'!$D$60:$II$104,$B32,26)*DV32=1,IF(AND($E32=2,NC32=0),1000000,INDEX('計算A'!AC$110:AC$114,$F32+1)+IF(AND($E32=1,NC32=0),1000,0)),1000000))</f>
        <v/>
      </c>
      <c r="WK32">
        <f>IF($B32=0,1000000,IF(INDEX('計算A'!$D$60:$II$104,$B32,27)*DW32=1,IF(AND($E32=2,ND32=0),1000000,INDEX('計算A'!AD$110:AD$114,$F32+1)+IF(AND($E32=1,ND32=0),1000,0)),1000000))</f>
        <v/>
      </c>
      <c r="WL32">
        <f>IF($B32=0,1000000,IF(INDEX('計算A'!$D$60:$II$104,$B32,28)*DX32=1,IF(AND($E32=2,NE32=0),1000000,INDEX('計算A'!AE$110:AE$114,$F32+1)+IF(AND($E32=1,NE32=0),1000,0)),1000000))</f>
        <v/>
      </c>
      <c r="WM32">
        <f>IF($B32=0,1000000,IF(INDEX('計算A'!$D$60:$II$104,$B32,29)*DY32=1,IF(AND($E32=2,NF32=0),1000000,INDEX('計算A'!AF$110:AF$114,$F32+1)+IF(AND($E32=1,NF32=0),1000,0)),1000000))</f>
        <v/>
      </c>
      <c r="WN32">
        <f>IF($B32=0,1000000,IF(INDEX('計算A'!$D$60:$II$104,$B32,30)*DZ32=1,IF(AND($E32=2,NG32=0),1000000,INDEX('計算A'!AG$110:AG$114,$F32+1)+IF(AND($E32=1,NG32=0),1000,0)),1000000))</f>
        <v/>
      </c>
      <c r="WO32">
        <f>IF($B32=0,1000000,IF(INDEX('計算A'!$D$60:$II$104,$B32,31)*EA32=1,IF(AND($E32=2,NH32=0),1000000,INDEX('計算A'!AH$110:AH$114,$F32+1)+IF(AND($E32=1,NH32=0),1000,0)),1000000))</f>
        <v/>
      </c>
      <c r="WP32">
        <f>IF($B32=0,1000000,IF(INDEX('計算A'!$D$60:$II$104,$B32,32)*EB32=1,IF(AND($E32=2,NI32=0),1000000,INDEX('計算A'!AI$110:AI$114,$F32+1)+IF(AND($E32=1,NI32=0),1000,0)),1000000))</f>
        <v/>
      </c>
      <c r="WQ32">
        <f>IF($B32=0,1000000,IF(INDEX('計算A'!$D$60:$II$104,$B32,33)*EC32=1,IF(AND($E32=2,NJ32=0),1000000,INDEX('計算A'!AJ$110:AJ$114,$F32+1)+IF(AND($E32=1,NJ32=0),1000,0)),1000000))</f>
        <v/>
      </c>
      <c r="WR32">
        <f>IF($B32=0,1000000,IF(INDEX('計算A'!$D$60:$II$104,$B32,34)*ED32=1,IF(AND($E32=2,NK32=0),1000000,INDEX('計算A'!AK$110:AK$114,$F32+1)+IF(AND($E32=1,NK32=0),1000,0)),1000000))</f>
        <v/>
      </c>
      <c r="WS32">
        <f>IF($B32=0,1000000,IF(INDEX('計算A'!$D$60:$II$104,$B32,35)*EE32=1,IF(AND($E32=2,NL32=0),1000000,INDEX('計算A'!AL$110:AL$114,$F32+1)+IF(AND($E32=1,NL32=0),1000,0)),1000000))</f>
        <v/>
      </c>
      <c r="WT32">
        <f>IF($B32=0,1000000,IF(INDEX('計算A'!$D$60:$II$104,$B32,36)*EF32=1,IF(AND($E32=2,NM32=0),1000000,INDEX('計算A'!AM$110:AM$114,$F32+1)+IF(AND($E32=1,NM32=0),1000,0)),1000000))</f>
        <v/>
      </c>
      <c r="WU32">
        <f>IF($B32=0,1000000,IF(INDEX('計算A'!$D$60:$II$104,$B32,37)*EG32=1,IF(AND($E32=2,NN32=0),1000000,INDEX('計算A'!AN$110:AN$114,$F32+1)+IF(AND($E32=1,NN32=0),1000,0)),1000000))</f>
        <v/>
      </c>
      <c r="WV32">
        <f>IF($B32=0,1000000,IF(INDEX('計算A'!$D$60:$II$104,$B32,38)*EH32=1,IF(AND($E32=2,NO32=0),1000000,INDEX('計算A'!AO$110:AO$114,$F32+1)+IF(AND($E32=1,NO32=0),1000,0)),1000000))</f>
        <v/>
      </c>
      <c r="WW32">
        <f>IF($B32=0,1000000,IF(INDEX('計算A'!$D$60:$II$104,$B32,39)*EI32=1,IF(AND($E32=2,NP32=0),1000000,INDEX('計算A'!AP$110:AP$114,$F32+1)+IF(AND($E32=1,NP32=0),1000,0)),1000000))</f>
        <v/>
      </c>
      <c r="WX32">
        <f>IF($B32=0,1000000,IF(INDEX('計算A'!$D$60:$II$104,$B32,40)*EJ32=1,IF(AND($E32=2,NQ32=0),1000000,INDEX('計算A'!AQ$110:AQ$114,$F32+1)+IF(AND($E32=1,NQ32=0),1000,0)),1000000))</f>
        <v/>
      </c>
      <c r="WY32">
        <f>IF($B32=0,1000000,IF(INDEX('計算A'!$D$60:$II$104,$B32,41)*EK32=1,IF(AND($E32=2,NR32=0),1000000,INDEX('計算A'!AR$110:AR$114,$F32+1)+IF(AND($E32=1,NR32=0),1000,0)),1000000))</f>
        <v/>
      </c>
      <c r="WZ32">
        <f>IF($B32=0,1000000,IF(INDEX('計算A'!$D$60:$II$104,$B32,42)*EL32=1,IF(AND($E32=2,NS32=0),1000000,INDEX('計算A'!AS$110:AS$114,$F32+1)+IF(AND($E32=1,NS32=0),1000,0)),1000000))</f>
        <v/>
      </c>
      <c r="XA32">
        <f>IF($B32=0,1000000,IF(INDEX('計算A'!$D$60:$II$104,$B32,43)*EM32=1,IF(AND($E32=2,NT32=0),1000000,INDEX('計算A'!AT$110:AT$114,$F32+1)+IF(AND($E32=1,NT32=0),1000,0)),1000000))</f>
        <v/>
      </c>
      <c r="XB32">
        <f>IF($B32=0,1000000,IF(INDEX('計算A'!$D$60:$II$104,$B32,44)*EN32=1,IF(AND($E32=2,NU32=0),1000000,INDEX('計算A'!AU$110:AU$114,$F32+1)+IF(AND($E32=1,NU32=0),1000,0)),1000000))</f>
        <v/>
      </c>
      <c r="XC32">
        <f>IF($B32=0,1000000,IF(INDEX('計算A'!$D$60:$II$104,$B32,45)*EO32=1,IF(AND($E32=2,NV32=0),1000000,INDEX('計算A'!AV$110:AV$114,$F32+1)+IF(AND($E32=1,NV32=0),1000,0)),1000000))</f>
        <v/>
      </c>
      <c r="XD32">
        <f>IF($B32=0,1000000,IF(INDEX('計算A'!$D$60:$II$104,$B32,46)*EP32=1,IF(AND($E32=2,NW32=0),1000000,INDEX('計算A'!AW$110:AW$114,$F32+1)+IF(AND($E32=1,NW32=0),1000,0)),1000000))</f>
        <v/>
      </c>
      <c r="XE32">
        <f>IF($B32=0,1000000,IF(INDEX('計算A'!$D$60:$II$104,$B32,47)*EQ32=1,IF(AND($E32=2,NX32=0),1000000,INDEX('計算A'!AX$110:AX$114,$F32+1)+IF(AND($E32=1,NX32=0),1000,0)),1000000))</f>
        <v/>
      </c>
      <c r="XF32">
        <f>IF($B32=0,1000000,IF(INDEX('計算A'!$D$60:$II$104,$B32,48)*ER32=1,IF(AND($E32=2,NY32=0),1000000,INDEX('計算A'!AY$110:AY$114,$F32+1)+IF(AND($E32=1,NY32=0),1000,0)),1000000))</f>
        <v/>
      </c>
      <c r="XG32">
        <f>IF($B32=0,1000000,IF(INDEX('計算A'!$D$60:$II$104,$B32,49)*ES32=1,IF(AND($E32=2,NZ32=0),1000000,INDEX('計算A'!AZ$110:AZ$114,$F32+1)+IF(AND($E32=1,NZ32=0),1000,0)),1000000))</f>
        <v/>
      </c>
      <c r="XH32">
        <f>IF($B32=0,1000000,IF(INDEX('計算A'!$D$60:$II$104,$B32,50)*ET32=1,IF(AND($E32=2,OA32=0),1000000,INDEX('計算A'!BA$110:BA$114,$F32+1)+IF(AND($E32=1,OA32=0),1000,0)),1000000))</f>
        <v/>
      </c>
      <c r="XI32">
        <f>IF($B32=0,1000000,IF(INDEX('計算A'!$D$60:$II$104,$B32,51)*EU32=1,IF(AND($E32=2,OB32=0),1000000,INDEX('計算A'!BB$110:BB$114,$F32+1)+IF(AND($E32=1,OB32=0),1000,0)),1000000))</f>
        <v/>
      </c>
      <c r="XJ32">
        <f>IF($B32=0,1000000,IF(INDEX('計算A'!$D$60:$II$104,$B32,52)*EV32=1,IF(AND($E32=2,OC32=0),1000000,INDEX('計算A'!BC$110:BC$114,$F32+1)+IF(AND($E32=1,OC32=0),1000,0)),1000000))</f>
        <v/>
      </c>
      <c r="XK32">
        <f>IF($B32=0,1000000,IF(INDEX('計算A'!$D$60:$II$104,$B32,53)*EW32=1,IF(AND($E32=2,OD32=0),1000000,INDEX('計算A'!BD$110:BD$114,$F32+1)+IF(AND($E32=1,OD32=0),1000,0)),1000000))</f>
        <v/>
      </c>
      <c r="XL32">
        <f>IF($B32=0,1000000,IF(INDEX('計算A'!$D$60:$II$104,$B32,54)*EX32=1,IF(AND($E32=2,OE32=0),1000000,INDEX('計算A'!BE$110:BE$114,$F32+1)+IF(AND($E32=1,OE32=0),1000,0)),1000000))</f>
        <v/>
      </c>
      <c r="XM32">
        <f>IF($B32=0,1000000,IF(INDEX('計算A'!$D$60:$II$104,$B32,55)*EY32=1,IF(AND($E32=2,OF32=0),1000000,INDEX('計算A'!BF$110:BF$114,$F32+1)+IF(AND($E32=1,OF32=0),1000,0)),1000000))</f>
        <v/>
      </c>
      <c r="XN32">
        <f>IF($B32=0,1000000,IF(INDEX('計算A'!$D$60:$II$104,$B32,56)*EZ32=1,IF(AND($E32=2,OG32=0),1000000,INDEX('計算A'!BG$110:BG$114,$F32+1)+IF(AND($E32=1,OG32=0),1000,0)),1000000))</f>
        <v/>
      </c>
      <c r="XO32">
        <f>IF($B32=0,1000000,IF(INDEX('計算A'!$D$60:$II$104,$B32,57)*FA32=1,IF(AND($E32=2,OH32=0),1000000,INDEX('計算A'!BH$110:BH$114,$F32+1)+IF(AND($E32=1,OH32=0),1000,0)),1000000))</f>
        <v/>
      </c>
      <c r="XP32">
        <f>IF($B32=0,1000000,IF(INDEX('計算A'!$D$60:$II$104,$B32,58)*FB32=1,IF(AND($E32=2,OI32=0),1000000,INDEX('計算A'!BI$110:BI$114,$F32+1)+IF(AND($E32=1,OI32=0),1000,0)),1000000))</f>
        <v/>
      </c>
      <c r="XQ32">
        <f>IF($B32=0,1000000,IF(INDEX('計算A'!$D$60:$II$104,$B32,59)*FC32=1,IF(AND($E32=2,OJ32=0),1000000,INDEX('計算A'!BJ$110:BJ$114,$F32+1)+IF(AND($E32=1,OJ32=0),1000,0)),1000000))</f>
        <v/>
      </c>
      <c r="XR32">
        <f>IF($B32=0,1000000,IF(INDEX('計算A'!$D$60:$II$104,$B32,60)*FD32=1,IF(AND($E32=2,OK32=0),1000000,INDEX('計算A'!BK$110:BK$114,$F32+1)+IF(AND($E32=1,OK32=0),1000,0)),1000000))</f>
        <v/>
      </c>
      <c r="XS32">
        <f>IF($B32=0,1000000,IF(INDEX('計算A'!$D$60:$II$104,$B32,61)*FE32=1,IF(AND($E32=2,OL32=0),1000000,INDEX('計算A'!BL$110:BL$114,$F32+1)+IF(AND($E32=1,OL32=0),1000,0)),1000000))</f>
        <v/>
      </c>
      <c r="XT32">
        <f>IF($B32=0,1000000,IF(INDEX('計算A'!$D$60:$II$104,$B32,62)*FF32=1,IF(AND($E32=2,OM32=0),1000000,INDEX('計算A'!BM$110:BM$114,$F32+1)+IF(AND($E32=1,OM32=0),1000,0)),1000000))</f>
        <v/>
      </c>
      <c r="XU32">
        <f>IF($B32=0,1000000,IF(INDEX('計算A'!$D$60:$II$104,$B32,63)*FG32=1,IF(AND($E32=2,ON32=0),1000000,INDEX('計算A'!BN$110:BN$114,$F32+1)+IF(AND($E32=1,ON32=0),1000,0)),1000000))</f>
        <v/>
      </c>
      <c r="XV32">
        <f>IF($B32=0,1000000,IF(INDEX('計算A'!$D$60:$II$104,$B32,64)*FH32=1,IF(AND($E32=2,OO32=0),1000000,INDEX('計算A'!BO$110:BO$114,$F32+1)+IF(AND($E32=1,OO32=0),1000,0)),1000000))</f>
        <v/>
      </c>
      <c r="XW32">
        <f>IF($B32=0,1000000,IF(INDEX('計算A'!$D$60:$II$104,$B32,65)*FI32=1,IF(AND($E32=2,OP32=0),1000000,INDEX('計算A'!BP$110:BP$114,$F32+1)+IF(AND($E32=1,OP32=0),1000,0)),1000000))</f>
        <v/>
      </c>
      <c r="XX32">
        <f>IF($B32=0,1000000,IF(INDEX('計算A'!$D$60:$II$104,$B32,66)*FJ32=1,IF(AND($E32=2,OQ32=0),1000000,INDEX('計算A'!BQ$110:BQ$114,$F32+1)+IF(AND($E32=1,OQ32=0),1000,0)),1000000))</f>
        <v/>
      </c>
      <c r="XY32">
        <f>IF($B32=0,1000000,IF(INDEX('計算A'!$D$60:$II$104,$B32,67)*FK32=1,IF(AND($E32=2,OR32=0),1000000,INDEX('計算A'!BR$110:BR$114,$F32+1)+IF(AND($E32=1,OR32=0),1000,0)),1000000))</f>
        <v/>
      </c>
      <c r="XZ32">
        <f>IF($B32=0,1000000,IF(INDEX('計算A'!$D$60:$II$104,$B32,68)*FL32=1,IF(AND($E32=2,OS32=0),1000000,INDEX('計算A'!BS$110:BS$114,$F32+1)+IF(AND($E32=1,OS32=0),1000,0)),1000000))</f>
        <v/>
      </c>
      <c r="YA32">
        <f>IF($B32=0,1000000,IF(INDEX('計算A'!$D$60:$II$104,$B32,69)*FM32=1,IF(AND($E32=2,OT32=0),1000000,INDEX('計算A'!BT$110:BT$114,$F32+1)+IF(AND($E32=1,OT32=0),1000,0)),1000000))</f>
        <v/>
      </c>
      <c r="YB32">
        <f>IF($B32=0,1000000,IF(INDEX('計算A'!$D$60:$II$104,$B32,70)*FN32=1,IF(AND($E32=2,OU32=0),1000000,INDEX('計算A'!BU$110:BU$114,$F32+1)+IF(AND($E32=1,OU32=0),1000,0)),1000000))</f>
        <v/>
      </c>
      <c r="YC32">
        <f>IF($B32=0,1000000,IF(INDEX('計算A'!$D$60:$II$104,$B32,71)*FO32=1,IF(AND($E32=2,OV32=0),1000000,INDEX('計算A'!BV$110:BV$114,$F32+1)+IF(AND($E32=1,OV32=0),1000,0)),1000000))</f>
        <v/>
      </c>
      <c r="YD32">
        <f>IF($B32=0,1000000,IF(INDEX('計算A'!$D$60:$II$104,$B32,72)*FP32=1,IF(AND($E32=2,OW32=0),1000000,INDEX('計算A'!BW$110:BW$114,$F32+1)+IF(AND($E32=1,OW32=0),1000,0)),1000000))</f>
        <v/>
      </c>
      <c r="YE32">
        <f>IF($B32=0,1000000,IF(INDEX('計算A'!$D$60:$II$104,$B32,73)*FQ32=1,IF(AND($E32=2,OX32=0),1000000,INDEX('計算A'!BX$110:BX$114,$F32+1)+IF(AND($E32=1,OX32=0),1000,0)),1000000))</f>
        <v/>
      </c>
      <c r="YF32">
        <f>IF($B32=0,1000000,IF(INDEX('計算A'!$D$60:$II$104,$B32,74)*FR32=1,IF(AND($E32=2,OY32=0),1000000,INDEX('計算A'!BY$110:BY$114,$F32+1)+IF(AND($E32=1,OY32=0),1000,0)),1000000))</f>
        <v/>
      </c>
      <c r="YG32">
        <f>IF($B32=0,1000000,IF(INDEX('計算A'!$D$60:$II$104,$B32,75)*FS32=1,IF(AND($E32=2,OZ32=0),1000000,INDEX('計算A'!BZ$110:BZ$114,$F32+1)+IF(AND($E32=1,OZ32=0),1000,0)),1000000))</f>
        <v/>
      </c>
      <c r="YH32">
        <f>IF($B32=0,1000000,IF(INDEX('計算A'!$D$60:$II$104,$B32,76)*FT32=1,IF(AND($E32=2,PA32=0),1000000,INDEX('計算A'!CA$110:CA$114,$F32+1)+IF(AND($E32=1,PA32=0),1000,0)),1000000))</f>
        <v/>
      </c>
      <c r="YI32">
        <f>IF($B32=0,1000000,IF(INDEX('計算A'!$D$60:$II$104,$B32,77)*FU32=1,IF(AND($E32=2,PB32=0),1000000,INDEX('計算A'!CB$110:CB$114,$F32+1)+IF(AND($E32=1,PB32=0),1000,0)),1000000))</f>
        <v/>
      </c>
      <c r="YJ32">
        <f>IF($B32=0,1000000,IF(INDEX('計算A'!$D$60:$II$104,$B32,78)*FV32=1,IF(AND($E32=2,PC32=0),1000000,INDEX('計算A'!CC$110:CC$114,$F32+1)+IF(AND($E32=1,PC32=0),1000,0)),1000000))</f>
        <v/>
      </c>
      <c r="YK32">
        <f>IF($B32=0,1000000,IF(INDEX('計算A'!$D$60:$II$104,$B32,79)*FW32=1,IF(AND($E32=2,PD32=0),1000000,INDEX('計算A'!CD$110:CD$114,$F32+1)+IF(AND($E32=1,PD32=0),1000,0)),1000000))</f>
        <v/>
      </c>
      <c r="YL32">
        <f>IF($B32=0,1000000,IF(INDEX('計算A'!$D$60:$II$104,$B32,80)*FX32=1,IF(AND($E32=2,PE32=0),1000000,INDEX('計算A'!CE$110:CE$114,$F32+1)+IF(AND($E32=1,PE32=0),1000,0)),1000000))</f>
        <v/>
      </c>
      <c r="YM32">
        <f>IF($B32=0,1000000,IF(INDEX('計算A'!$D$60:$II$104,$B32,81)*FY32=1,IF(AND($E32=2,PF32=0),1000000,INDEX('計算A'!CF$110:CF$114,$F32+1)+IF(AND($E32=1,PF32=0),1000,0)),1000000))</f>
        <v/>
      </c>
      <c r="YN32">
        <f>IF($B32=0,1000000,IF(INDEX('計算A'!$D$60:$II$104,$B32,82)*FZ32=1,IF(AND($E32=2,PG32=0),1000000,INDEX('計算A'!CG$110:CG$114,$F32+1)+IF(AND($E32=1,PG32=0),1000,0)),1000000))</f>
        <v/>
      </c>
      <c r="YO32">
        <f>IF($B32=0,1000000,IF(INDEX('計算A'!$D$60:$II$104,$B32,83)*GA32=1,IF(AND($E32=2,PH32=0),1000000,INDEX('計算A'!CH$110:CH$114,$F32+1)+IF(AND($E32=1,PH32=0),1000,0)),1000000))</f>
        <v/>
      </c>
      <c r="YP32">
        <f>IF($B32=0,1000000,IF(INDEX('計算A'!$D$60:$II$104,$B32,84)*GB32=1,IF(AND($E32=2,PI32=0),1000000,INDEX('計算A'!CI$110:CI$114,$F32+1)+IF(AND($E32=1,PI32=0),1000,0)),1000000))</f>
        <v/>
      </c>
      <c r="YQ32">
        <f>IF($B32=0,1000000,IF(INDEX('計算A'!$D$60:$II$104,$B32,85)*GC32=1,IF(AND($E32=2,PJ32=0),1000000,INDEX('計算A'!CJ$110:CJ$114,$F32+1)+IF(AND($E32=1,PJ32=0),1000,0)),1000000))</f>
        <v/>
      </c>
      <c r="YR32">
        <f>IF($B32=0,1000000,IF(INDEX('計算A'!$D$60:$II$104,$B32,86)*GD32=1,IF(AND($E32=2,PK32=0),1000000,INDEX('計算A'!CK$110:CK$114,$F32+1)+IF(AND($E32=1,PK32=0),1000,0)),1000000))</f>
        <v/>
      </c>
      <c r="YS32">
        <f>IF($B32=0,1000000,IF(INDEX('計算A'!$D$60:$II$104,$B32,87)*GE32=1,IF(AND($E32=2,PL32=0),1000000,INDEX('計算A'!CL$110:CL$114,$F32+1)+IF(AND($E32=1,PL32=0),1000,0)),1000000))</f>
        <v/>
      </c>
      <c r="YT32">
        <f>IF($B32=0,1000000,IF(INDEX('計算A'!$D$60:$II$104,$B32,88)*GF32=1,IF(AND($E32=2,PM32=0),1000000,INDEX('計算A'!CM$110:CM$114,$F32+1)+IF(AND($E32=1,PM32=0),1000,0)),1000000))</f>
        <v/>
      </c>
      <c r="YU32">
        <f>IF($B32=0,1000000,IF(INDEX('計算A'!$D$60:$II$104,$B32,89)*GG32=1,IF(AND($E32=2,PN32=0),1000000,INDEX('計算A'!CN$110:CN$114,$F32+1)+IF(AND($E32=1,PN32=0),1000,0)),1000000))</f>
        <v/>
      </c>
      <c r="YV32">
        <f>IF($B32=0,1000000,IF(INDEX('計算A'!$D$60:$II$104,$B32,90)*GH32=1,IF(AND($E32=2,PO32=0),1000000,INDEX('計算A'!CO$110:CO$114,$F32+1)+IF(AND($E32=1,PO32=0),1000,0)),1000000))</f>
        <v/>
      </c>
      <c r="YW32">
        <f>IF($B32=0,1000000,IF(INDEX('計算A'!$D$60:$II$104,$B32,91)*GI32=1,IF(AND($E32=2,PP32=0),1000000,INDEX('計算A'!CP$110:CP$114,$F32+1)+IF(AND($E32=1,PP32=0),1000,0)),1000000))</f>
        <v/>
      </c>
      <c r="YX32">
        <f>IF($B32=0,1000000,IF(INDEX('計算A'!$D$60:$II$104,$B32,92)*GJ32=1,IF(AND($E32=2,PQ32=0),1000000,INDEX('計算A'!CQ$110:CQ$114,$F32+1)+IF(AND($E32=1,PQ32=0),1000,0)),1000000))</f>
        <v/>
      </c>
      <c r="YY32">
        <f>IF($B32=0,1000000,IF(INDEX('計算A'!$D$60:$II$104,$B32,93)*GK32=1,IF(AND($E32=2,PR32=0),1000000,INDEX('計算A'!CR$110:CR$114,$F32+1)+IF(AND($E32=1,PR32=0),1000,0)),1000000))</f>
        <v/>
      </c>
      <c r="YZ32">
        <f>IF($B32=0,1000000,IF(INDEX('計算A'!$D$60:$II$104,$B32,94)*GL32=1,IF(AND($E32=2,PS32=0),1000000,INDEX('計算A'!CS$110:CS$114,$F32+1)+IF(AND($E32=1,PS32=0),1000,0)),1000000))</f>
        <v/>
      </c>
      <c r="ZA32">
        <f>IF($B32=0,1000000,IF(INDEX('計算A'!$D$60:$II$104,$B32,95)*GM32=1,IF(AND($E32=2,PT32=0),1000000,INDEX('計算A'!CT$110:CT$114,$F32+1)+IF(AND($E32=1,PT32=0),1000,0)),1000000))</f>
        <v/>
      </c>
      <c r="ZB32">
        <f>IF($B32=0,1000000,IF(INDEX('計算A'!$D$60:$II$104,$B32,96)*GN32=1,IF(AND($E32=2,PU32=0),1000000,INDEX('計算A'!CU$110:CU$114,$F32+1)+IF(AND($E32=1,PU32=0),1000,0)),1000000))</f>
        <v/>
      </c>
      <c r="ZC32">
        <f>IF($B32=0,1000000,IF(INDEX('計算A'!$D$60:$II$104,$B32,97)*GO32=1,IF(AND($E32=2,PV32=0),1000000,INDEX('計算A'!CV$110:CV$114,$F32+1)+IF(AND($E32=1,PV32=0),1000,0)),1000000))</f>
        <v/>
      </c>
      <c r="ZD32">
        <f>IF($B32=0,1000000,IF(INDEX('計算A'!$D$60:$II$104,$B32,98)*GP32=1,IF(AND($E32=2,PW32=0),1000000,INDEX('計算A'!CW$110:CW$114,$F32+1)+IF(AND($E32=1,PW32=0),1000,0)),1000000))</f>
        <v/>
      </c>
      <c r="ZE32">
        <f>IF($B32=0,1000000,IF(INDEX('計算A'!$D$60:$II$104,$B32,99)*GQ32=1,IF(AND($E32=2,PX32=0),1000000,INDEX('計算A'!CX$110:CX$114,$F32+1)+IF(AND($E32=1,PX32=0),1000,0)),1000000))</f>
        <v/>
      </c>
      <c r="ZF32">
        <f>IF($B32=0,1000000,IF(INDEX('計算A'!$D$60:$II$104,$B32,100)*GR32=1,IF(AND($E32=2,PY32=0),1000000,INDEX('計算A'!CY$110:CY$114,$F32+1)+IF(AND($E32=1,PY32=0),1000,0)),1000000))</f>
        <v/>
      </c>
      <c r="ZG32">
        <f>IF($B32=0,1000000,IF(INDEX('計算A'!$D$60:$II$104,$B32,101)*GS32=1,IF(AND($E32=2,PZ32=0),1000000,INDEX('計算A'!CZ$110:CZ$114,$F32+1)+IF(AND($E32=1,PZ32=0),1000,0)),1000000))</f>
        <v/>
      </c>
      <c r="ZH32">
        <f>IF($B32=0,1000000,IF(INDEX('計算A'!$D$60:$II$104,$B32,102)*GT32=1,IF(AND($E32=2,QA32=0),1000000,INDEX('計算A'!DA$110:DA$114,$F32+1)+IF(AND($E32=1,QA32=0),1000,0)),1000000))</f>
        <v/>
      </c>
      <c r="ZI32">
        <f>IF($B32=0,1000000,IF(INDEX('計算A'!$D$60:$II$104,$B32,103)*GU32=1,IF(AND($E32=2,QB32=0),1000000,INDEX('計算A'!DB$110:DB$114,$F32+1)+IF(AND($E32=1,QB32=0),1000,0)),1000000))</f>
        <v/>
      </c>
      <c r="ZJ32">
        <f>IF($B32=0,1000000,IF(INDEX('計算A'!$D$60:$II$104,$B32,104)*GV32=1,IF(AND($E32=2,QC32=0),1000000,INDEX('計算A'!DC$110:DC$114,$F32+1)+IF(AND($E32=1,QC32=0),1000,0)),1000000))</f>
        <v/>
      </c>
      <c r="ZK32">
        <f>IF($B32=0,1000000,IF(INDEX('計算A'!$D$60:$II$104,$B32,105)*GW32=1,IF(AND($E32=2,QD32=0),1000000,INDEX('計算A'!DD$110:DD$114,$F32+1)+IF(AND($E32=1,QD32=0),1000,0)),1000000))</f>
        <v/>
      </c>
      <c r="ZL32">
        <f>IF($B32=0,1000000,IF(INDEX('計算A'!$D$60:$II$104,$B32,106)*GX32=1,IF(AND($E32=2,QE32=0),1000000,INDEX('計算A'!DE$110:DE$114,$F32+1)+IF(AND($E32=1,QE32=0),1000,0)),1000000))</f>
        <v/>
      </c>
      <c r="ZM32">
        <f>IF($B32=0,1000000,IF(INDEX('計算A'!$D$60:$II$104,$B32,107)*GY32=1,IF(AND($E32=2,QF32=0),1000000,INDEX('計算A'!DF$110:DF$114,$F32+1)+IF(AND($E32=1,QF32=0),1000,0)),1000000))</f>
        <v/>
      </c>
      <c r="ZN32">
        <f>IF($B32=0,1000000,IF(INDEX('計算A'!$D$60:$II$104,$B32,108)*GZ32=1,IF(AND($E32=2,QG32=0),1000000,INDEX('計算A'!DG$110:DG$114,$F32+1)+IF(AND($E32=1,QG32=0),1000,0)),1000000))</f>
        <v/>
      </c>
      <c r="ZO32">
        <f>IF($B32=0,1000000,IF(INDEX('計算A'!$D$60:$II$104,$B32,109)*HA32=1,IF(AND($E32=2,QH32=0),1000000,INDEX('計算A'!DH$110:DH$114,$F32+1)+IF(AND($E32=1,QH32=0),1000,0)),1000000))</f>
        <v/>
      </c>
      <c r="ZP32">
        <f>IF($B32=0,1000000,IF(INDEX('計算A'!$D$60:$II$104,$B32,110)*HB32=1,IF(AND($E32=2,QI32=0),1000000,INDEX('計算A'!DI$110:DI$114,$F32+1)+IF(AND($E32=1,QI32=0),1000,0)),1000000))</f>
        <v/>
      </c>
      <c r="ZQ32">
        <f>IF($B32=0,1000000,IF(INDEX('計算A'!$D$60:$II$104,$B32,111)*HC32=1,IF(AND($E32=2,QJ32=0),1000000,INDEX('計算A'!DJ$110:DJ$114,$F32+1)+IF(AND($E32=1,QJ32=0),1000,0)),1000000))</f>
        <v/>
      </c>
      <c r="ZR32">
        <f>IF($B32=0,1000000,IF(INDEX('計算A'!$D$60:$II$104,$B32,112)*HD32=1,IF(AND($E32=2,QK32=0),1000000,INDEX('計算A'!DK$110:DK$114,$F32+1)+IF(AND($E32=1,QK32=0),1000,0)),1000000))</f>
        <v/>
      </c>
      <c r="ZS32">
        <f>IF($B32=0,1000000,IF(INDEX('計算A'!$D$60:$II$104,$B32,113)*HE32=1,IF(AND($E32=2,QL32=0),1000000,INDEX('計算A'!DL$110:DL$114,$F32+1)+IF(AND($E32=1,QL32=0),1000,0)),1000000))</f>
        <v/>
      </c>
      <c r="ZT32">
        <f>IF($B32=0,1000000,IF(INDEX('計算A'!$D$60:$II$104,$B32,114)*HF32=1,IF(AND($E32=2,QM32=0),1000000,INDEX('計算A'!DM$110:DM$114,$F32+1)+IF(AND($E32=1,QM32=0),1000,0)),1000000))</f>
        <v/>
      </c>
      <c r="ZU32">
        <f>IF($B32=0,1000000,IF(INDEX('計算A'!$D$60:$II$104,$B32,115)*HG32=1,IF(AND($E32=2,QN32=0),1000000,INDEX('計算A'!DN$110:DN$114,$F32+1)+IF(AND($E32=1,QN32=0),1000,0)),1000000))</f>
        <v/>
      </c>
      <c r="ZV32">
        <f>IF($B32=0,1000000,IF(INDEX('計算A'!$D$60:$II$104,$B32,116)*HH32=1,IF(AND($E32=2,QO32=0),1000000,INDEX('計算A'!DO$110:DO$114,$F32+1)+IF(AND($E32=1,QO32=0),1000,0)),1000000))</f>
        <v/>
      </c>
      <c r="ZW32">
        <f>IF($B32=0,1000000,IF(INDEX('計算A'!$D$60:$II$104,$B32,117)*HI32=1,IF(AND($E32=2,QP32=0),1000000,INDEX('計算A'!DP$110:DP$114,$F32+1)+IF(AND($E32=1,QP32=0),1000,0)),1000000))</f>
        <v/>
      </c>
      <c r="ZX32">
        <f>IF($B32=0,1000000,IF(INDEX('計算A'!$D$60:$II$104,$B32,118)*HJ32=1,IF(AND($E32=2,QQ32=0),1000000,INDEX('計算A'!DQ$110:DQ$114,$F32+1)+IF(AND($E32=1,QQ32=0),1000,0)),1000000))</f>
        <v/>
      </c>
      <c r="ZY32">
        <f>IF($B32=0,1000000,IF(INDEX('計算A'!$D$60:$II$104,$B32,119)*HK32=1,IF(AND($E32=2,QR32=0),1000000,INDEX('計算A'!DR$110:DR$114,$F32+1)+IF(AND($E32=1,QR32=0),1000,0)),1000000))</f>
        <v/>
      </c>
      <c r="ZZ32">
        <f>IF($B32=0,1000000,IF(INDEX('計算A'!$D$60:$II$104,$B32,120)*HL32=1,IF(AND($E32=2,QS32=0),1000000,INDEX('計算A'!DS$110:DS$114,$F32+1)+IF(AND($E32=1,QS32=0),1000,0)),1000000))</f>
        <v/>
      </c>
      <c r="AAA32">
        <f>IF($B32=0,1000000,IF(INDEX('計算A'!$D$60:$II$104,$B32,121)*HM32=1,IF(AND($E32=2,QT32=0),1000000,INDEX('計算A'!DT$110:DT$114,$F32+1)+IF(AND($E32=1,QT32=0),1000,0)),1000000))</f>
        <v/>
      </c>
      <c r="AAB32">
        <f>IF($B32=0,1000000,IF(INDEX('計算A'!$D$60:$II$104,$B32,122)*HN32=1,IF(AND($E32=2,QU32=0),1000000,INDEX('計算A'!DU$110:DU$114,$F32+1)+IF(AND($E32=1,QU32=0),1000,0)),1000000))</f>
        <v/>
      </c>
      <c r="AAC32">
        <f>IF($B32=0,1000000,IF(INDEX('計算A'!$D$60:$II$104,$B32,123)*HO32=1,IF(AND($E32=2,QV32=0),1000000,INDEX('計算A'!DV$110:DV$114,$F32+1)+IF(AND($E32=1,QV32=0),1000,0)),1000000))</f>
        <v/>
      </c>
      <c r="AAD32">
        <f>IF($B32=0,1000000,IF(INDEX('計算A'!$D$60:$II$104,$B32,124)*HP32=1,IF(AND($E32=2,QW32=0),1000000,INDEX('計算A'!DW$110:DW$114,$F32+1)+IF(AND($E32=1,QW32=0),1000,0)),1000000))</f>
        <v/>
      </c>
      <c r="AAE32">
        <f>IF($B32=0,1000000,IF(INDEX('計算A'!$D$60:$II$104,$B32,125)*HQ32=1,IF(AND($E32=2,QX32=0),1000000,INDEX('計算A'!DX$110:DX$114,$F32+1)+IF(AND($E32=1,QX32=0),1000,0)),1000000))</f>
        <v/>
      </c>
      <c r="AAF32">
        <f>IF($B32=0,1000000,IF(INDEX('計算A'!$D$60:$II$104,$B32,126)*HR32=1,IF(AND($E32=2,QY32=0),1000000,INDEX('計算A'!DY$110:DY$114,$F32+1)+IF(AND($E32=1,QY32=0),1000,0)),1000000))</f>
        <v/>
      </c>
      <c r="AAG32">
        <f>IF($B32=0,1000000,IF(INDEX('計算A'!$D$60:$II$104,$B32,127)*HS32=1,IF(AND($E32=2,QZ32=0),1000000,INDEX('計算A'!DZ$110:DZ$114,$F32+1)+IF(AND($E32=1,QZ32=0),1000,0)),1000000))</f>
        <v/>
      </c>
      <c r="AAH32">
        <f>IF($B32=0,1000000,IF(INDEX('計算A'!$D$60:$II$104,$B32,128)*HT32=1,IF(AND($E32=2,RA32=0),1000000,INDEX('計算A'!EA$110:EA$114,$F32+1)+IF(AND($E32=1,RA32=0),1000,0)),1000000))</f>
        <v/>
      </c>
      <c r="AAI32">
        <f>IF($B32=0,1000000,IF(INDEX('計算A'!$D$60:$II$104,$B32,129)*HU32=1,IF(AND($E32=2,RB32=0),1000000,INDEX('計算A'!EB$110:EB$114,$F32+1)+IF(AND($E32=1,RB32=0),1000,0)),1000000))</f>
        <v/>
      </c>
      <c r="AAJ32">
        <f>IF($B32=0,1000000,IF(INDEX('計算A'!$D$60:$II$104,$B32,130)*HV32=1,IF(AND($E32=2,RC32=0),1000000,INDEX('計算A'!EC$110:EC$114,$F32+1)+IF(AND($E32=1,RC32=0),1000,0)),1000000))</f>
        <v/>
      </c>
      <c r="AAK32">
        <f>IF($B32=0,1000000,IF(INDEX('計算A'!$D$60:$II$104,$B32,131)*HW32=1,IF(AND($E32=2,RD32=0),1000000,INDEX('計算A'!ED$110:ED$114,$F32+1)+IF(AND($E32=1,RD32=0),1000,0)),1000000))</f>
        <v/>
      </c>
      <c r="AAL32">
        <f>IF($B32=0,1000000,IF(INDEX('計算A'!$D$60:$II$104,$B32,132)*HX32=1,IF(AND($E32=2,RE32=0),1000000,INDEX('計算A'!EE$110:EE$114,$F32+1)+IF(AND($E32=1,RE32=0),1000,0)),1000000))</f>
        <v/>
      </c>
      <c r="AAM32">
        <f>IF($B32=0,1000000,IF(INDEX('計算A'!$D$60:$II$104,$B32,133)*HY32=1,IF(AND($E32=2,RF32=0),1000000,INDEX('計算A'!EF$110:EF$114,$F32+1)+IF(AND($E32=1,RF32=0),1000,0)),1000000))</f>
        <v/>
      </c>
      <c r="AAN32">
        <f>IF($B32=0,1000000,IF(INDEX('計算A'!$D$60:$II$104,$B32,134)*HZ32=1,IF(AND($E32=2,RG32=0),1000000,INDEX('計算A'!EG$110:EG$114,$F32+1)+IF(AND($E32=1,RG32=0),1000,0)),1000000))</f>
        <v/>
      </c>
      <c r="AAO32">
        <f>IF($B32=0,1000000,IF(INDEX('計算A'!$D$60:$II$104,$B32,135)*IA32=1,IF(AND($E32=2,RH32=0),1000000,INDEX('計算A'!EH$110:EH$114,$F32+1)+IF(AND($E32=1,RH32=0),1000,0)),1000000))</f>
        <v/>
      </c>
      <c r="AAP32">
        <f>IF($B32=0,1000000,IF(INDEX('計算A'!$D$60:$II$104,$B32,136)*IB32=1,IF(AND($E32=2,RI32=0),1000000,INDEX('計算A'!EI$110:EI$114,$F32+1)+IF(AND($E32=1,RI32=0),1000,0)),1000000))</f>
        <v/>
      </c>
      <c r="AAQ32">
        <f>IF($B32=0,1000000,IF(INDEX('計算A'!$D$60:$II$104,$B32,137)*IC32=1,IF(AND($E32=2,RJ32=0),1000000,INDEX('計算A'!EJ$110:EJ$114,$F32+1)+IF(AND($E32=1,RJ32=0),1000,0)),1000000))</f>
        <v/>
      </c>
      <c r="AAR32">
        <f>IF($B32=0,1000000,IF(INDEX('計算A'!$D$60:$II$104,$B32,138)*ID32=1,IF(AND($E32=2,RK32=0),1000000,INDEX('計算A'!EK$110:EK$114,$F32+1)+IF(AND($E32=1,RK32=0),1000,0)),1000000))</f>
        <v/>
      </c>
      <c r="AAS32">
        <f>IF($B32=0,1000000,IF(INDEX('計算A'!$D$60:$II$104,$B32,139)*IE32=1,IF(AND($E32=2,RL32=0),1000000,INDEX('計算A'!EL$110:EL$114,$F32+1)+IF(AND($E32=1,RL32=0),1000,0)),1000000))</f>
        <v/>
      </c>
      <c r="AAT32">
        <f>IF($B32=0,1000000,IF(INDEX('計算A'!$D$60:$II$104,$B32,140)*IF32=1,IF(AND($E32=2,RM32=0),1000000,INDEX('計算A'!EM$110:EM$114,$F32+1)+IF(AND($E32=1,RM32=0),1000,0)),1000000))</f>
        <v/>
      </c>
      <c r="AAU32">
        <f>IF($B32=0,1000000,IF(INDEX('計算A'!$D$60:$II$104,$B32,141)*IG32=1,IF(AND($E32=2,RN32=0),1000000,INDEX('計算A'!EN$110:EN$114,$F32+1)+IF(AND($E32=1,RN32=0),1000,0)),1000000))</f>
        <v/>
      </c>
      <c r="AAV32">
        <f>IF($B32=0,1000000,IF(INDEX('計算A'!$D$60:$II$104,$B32,142)*IH32=1,IF(AND($E32=2,RO32=0),1000000,INDEX('計算A'!EO$110:EO$114,$F32+1)+IF(AND($E32=1,RO32=0),1000,0)),1000000))</f>
        <v/>
      </c>
      <c r="AAW32">
        <f>IF($B32=0,1000000,IF(INDEX('計算A'!$D$60:$II$104,$B32,143)*II32=1,IF(AND($E32=2,RP32=0),1000000,INDEX('計算A'!EP$110:EP$114,$F32+1)+IF(AND($E32=1,RP32=0),1000,0)),1000000))</f>
        <v/>
      </c>
      <c r="AAX32">
        <f>IF($B32=0,1000000,IF(INDEX('計算A'!$D$60:$II$104,$B32,144)*IJ32=1,IF(AND($E32=2,RQ32=0),1000000,INDEX('計算A'!EQ$110:EQ$114,$F32+1)+IF(AND($E32=1,RQ32=0),1000,0)),1000000))</f>
        <v/>
      </c>
      <c r="AAY32">
        <f>IF($B32=0,1000000,IF(INDEX('計算A'!$D$60:$II$104,$B32,145)*IK32=1,IF(AND($E32=2,RR32=0),1000000,INDEX('計算A'!ER$110:ER$114,$F32+1)+IF(AND($E32=1,RR32=0),1000,0)),1000000))</f>
        <v/>
      </c>
      <c r="AAZ32">
        <f>IF($B32=0,1000000,IF(INDEX('計算A'!$D$60:$II$104,$B32,146)*IL32=1,IF(AND($E32=2,RS32=0),1000000,INDEX('計算A'!ES$110:ES$114,$F32+1)+IF(AND($E32=1,RS32=0),1000,0)),1000000))</f>
        <v/>
      </c>
      <c r="ABA32">
        <f>IF($B32=0,1000000,IF(INDEX('計算A'!$D$60:$II$104,$B32,147)*IM32=1,IF(AND($E32=2,RT32=0),1000000,INDEX('計算A'!ET$110:ET$114,$F32+1)+IF(AND($E32=1,RT32=0),1000,0)),1000000))</f>
        <v/>
      </c>
      <c r="ABB32">
        <f>IF($B32=0,1000000,IF(INDEX('計算A'!$D$60:$II$104,$B32,148)*IN32=1,IF(AND($E32=2,RU32=0),1000000,INDEX('計算A'!EU$110:EU$114,$F32+1)+IF(AND($E32=1,RU32=0),1000,0)),1000000))</f>
        <v/>
      </c>
      <c r="ABC32">
        <f>IF($B32=0,1000000,IF(INDEX('計算A'!$D$60:$II$104,$B32,149)*IO32=1,IF(AND($E32=2,RV32=0),1000000,INDEX('計算A'!EV$110:EV$114,$F32+1)+IF(AND($E32=1,RV32=0),1000,0)),1000000))</f>
        <v/>
      </c>
      <c r="ABD32">
        <f>IF($B32=0,1000000,IF(INDEX('計算A'!$D$60:$II$104,$B32,150)*IP32=1,IF(AND($E32=2,RW32=0),1000000,INDEX('計算A'!EW$110:EW$114,$F32+1)+IF(AND($E32=1,RW32=0),1000,0)),1000000))</f>
        <v/>
      </c>
      <c r="ABE32">
        <f>IF($B32=0,1000000,IF(INDEX('計算A'!$D$60:$II$104,$B32,151)*IQ32=1,IF(AND($E32=2,RX32=0),1000000,INDEX('計算A'!EX$110:EX$114,$F32+1)+IF(AND($E32=1,RX32=0),1000,0)),1000000))</f>
        <v/>
      </c>
      <c r="ABF32">
        <f>IF($B32=0,1000000,IF(INDEX('計算A'!$D$60:$II$104,$B32,152)*IR32=1,IF(AND($E32=2,RY32=0),1000000,INDEX('計算A'!EY$110:EY$114,$F32+1)+IF(AND($E32=1,RY32=0),1000,0)),1000000))</f>
        <v/>
      </c>
      <c r="ABG32">
        <f>IF($B32=0,1000000,IF(INDEX('計算A'!$D$60:$II$104,$B32,153)*IS32=1,IF(AND($E32=2,RZ32=0),1000000,INDEX('計算A'!EZ$110:EZ$114,$F32+1)+IF(AND($E32=1,RZ32=0),1000,0)),1000000))</f>
        <v/>
      </c>
      <c r="ABH32">
        <f>IF($B32=0,1000000,IF(INDEX('計算A'!$D$60:$II$104,$B32,154)*IT32=1,IF(AND($E32=2,SA32=0),1000000,INDEX('計算A'!FA$110:FA$114,$F32+1)+IF(AND($E32=1,SA32=0),1000,0)),1000000))</f>
        <v/>
      </c>
      <c r="ABI32">
        <f>IF($B32=0,1000000,IF(INDEX('計算A'!$D$60:$II$104,$B32,155)*IU32=1,IF(AND($E32=2,SB32=0),1000000,INDEX('計算A'!FB$110:FB$114,$F32+1)+IF(AND($E32=1,SB32=0),1000,0)),1000000))</f>
        <v/>
      </c>
      <c r="ABJ32">
        <f>IF($B32=0,1000000,IF(INDEX('計算A'!$D$60:$II$104,$B32,156)*IV32=1,IF(AND($E32=2,SC32=0),1000000,INDEX('計算A'!FC$110:FC$114,$F32+1)+IF(AND($E32=1,SC32=0),1000,0)),1000000))</f>
        <v/>
      </c>
      <c r="ABK32">
        <f>IF($B32=0,1000000,IF(INDEX('計算A'!$D$60:$II$104,$B32,157)*IW32=1,IF(AND($E32=2,SD32=0),1000000,INDEX('計算A'!FD$110:FD$114,$F32+1)+IF(AND($E32=1,SD32=0),1000,0)),1000000))</f>
        <v/>
      </c>
      <c r="ABL32">
        <f>IF($B32=0,1000000,IF(INDEX('計算A'!$D$60:$II$104,$B32,158)*IX32=1,IF(AND($E32=2,SE32=0),1000000,INDEX('計算A'!FE$110:FE$114,$F32+1)+IF(AND($E32=1,SE32=0),1000,0)),1000000))</f>
        <v/>
      </c>
      <c r="ABM32">
        <f>IF($B32=0,1000000,IF(INDEX('計算A'!$D$60:$II$104,$B32,159)*IY32=1,IF(AND($E32=2,SF32=0),1000000,INDEX('計算A'!FF$110:FF$114,$F32+1)+IF(AND($E32=1,SF32=0),1000,0)),1000000))</f>
        <v/>
      </c>
      <c r="ABN32">
        <f>IF($B32=0,1000000,IF(INDEX('計算A'!$D$60:$II$104,$B32,160)*IZ32=1,IF(AND($E32=2,SG32=0),1000000,INDEX('計算A'!FG$110:FG$114,$F32+1)+IF(AND($E32=1,SG32=0),1000,0)),1000000))</f>
        <v/>
      </c>
      <c r="ABO32">
        <f>IF($B32=0,1000000,IF(INDEX('計算A'!$D$60:$II$104,$B32,161)*JA32=1,IF(AND($E32=2,SH32=0),1000000,INDEX('計算A'!FH$110:FH$114,$F32+1)+IF(AND($E32=1,SH32=0),1000,0)),1000000))</f>
        <v/>
      </c>
      <c r="ABP32">
        <f>IF($B32=0,1000000,IF(INDEX('計算A'!$D$60:$II$104,$B32,162)*JB32=1,IF(AND($E32=2,SI32=0),1000000,INDEX('計算A'!FI$110:FI$114,$F32+1)+IF(AND($E32=1,SI32=0),1000,0)),1000000))</f>
        <v/>
      </c>
      <c r="ABQ32">
        <f>IF($B32=0,1000000,IF(INDEX('計算A'!$D$60:$II$104,$B32,163)*JC32=1,IF(AND($E32=2,SJ32=0),1000000,INDEX('計算A'!FJ$110:FJ$114,$F32+1)+IF(AND($E32=1,SJ32=0),1000,0)),1000000))</f>
        <v/>
      </c>
      <c r="ABR32">
        <f>IF($B32=0,1000000,IF(INDEX('計算A'!$D$60:$II$104,$B32,164)*JD32=1,IF(AND($E32=2,SK32=0),1000000,INDEX('計算A'!FK$110:FK$114,$F32+1)+IF(AND($E32=1,SK32=0),1000,0)),1000000))</f>
        <v/>
      </c>
      <c r="ABS32">
        <f>IF($B32=0,1000000,IF(INDEX('計算A'!$D$60:$II$104,$B32,165)*JE32=1,IF(AND($E32=2,SL32=0),1000000,INDEX('計算A'!FL$110:FL$114,$F32+1)+IF(AND($E32=1,SL32=0),1000,0)),1000000))</f>
        <v/>
      </c>
      <c r="ABT32">
        <f>IF($B32=0,1000000,IF(INDEX('計算A'!$D$60:$II$104,$B32,166)*JF32=1,IF(AND($E32=2,SM32=0),1000000,INDEX('計算A'!FM$110:FM$114,$F32+1)+IF(AND($E32=1,SM32=0),1000,0)),1000000))</f>
        <v/>
      </c>
      <c r="ABU32">
        <f>IF($B32=0,1000000,IF(INDEX('計算A'!$D$60:$II$104,$B32,167)*JG32=1,IF(AND($E32=2,SN32=0),1000000,INDEX('計算A'!FN$110:FN$114,$F32+1)+IF(AND($E32=1,SN32=0),1000,0)),1000000))</f>
        <v/>
      </c>
      <c r="ABV32">
        <f>IF($B32=0,1000000,IF(INDEX('計算A'!$D$60:$II$104,$B32,168)*JH32=1,IF(AND($E32=2,SO32=0),1000000,INDEX('計算A'!FO$110:FO$114,$F32+1)+IF(AND($E32=1,SO32=0),1000,0)),1000000))</f>
        <v/>
      </c>
      <c r="ABW32">
        <f>IF($B32=0,1000000,IF(INDEX('計算A'!$D$60:$II$104,$B32,169)*JI32=1,IF(AND($E32=2,SP32=0),1000000,INDEX('計算A'!FP$110:FP$114,$F32+1)+IF(AND($E32=1,SP32=0),1000,0)),1000000))</f>
        <v/>
      </c>
      <c r="ABX32">
        <f>IF($B32=0,1000000,IF(INDEX('計算A'!$D$60:$II$104,$B32,170)*JJ32=1,IF(AND($E32=2,SQ32=0),1000000,INDEX('計算A'!FQ$110:FQ$114,$F32+1)+IF(AND($E32=1,SQ32=0),1000,0)),1000000))</f>
        <v/>
      </c>
      <c r="ABY32">
        <f>IF($B32=0,1000000,IF(INDEX('計算A'!$D$60:$II$104,$B32,171)*JK32=1,IF(AND($E32=2,SR32=0),1000000,INDEX('計算A'!FR$110:FR$114,$F32+1)+IF(AND($E32=1,SR32=0),1000,0)),1000000))</f>
        <v/>
      </c>
      <c r="ABZ32">
        <f>IF($B32=0,1000000,IF(INDEX('計算A'!$D$60:$II$104,$B32,172)*JL32=1,IF(AND($E32=2,SS32=0),1000000,INDEX('計算A'!FS$110:FS$114,$F32+1)+IF(AND($E32=1,SS32=0),1000,0)),1000000))</f>
        <v/>
      </c>
      <c r="ACA32">
        <f>IF($B32=0,1000000,IF(INDEX('計算A'!$D$60:$II$104,$B32,173)*JM32=1,IF(AND($E32=2,ST32=0),1000000,INDEX('計算A'!FT$110:FT$114,$F32+1)+IF(AND($E32=1,ST32=0),1000,0)),1000000))</f>
        <v/>
      </c>
      <c r="ACB32">
        <f>IF($B32=0,1000000,IF(INDEX('計算A'!$D$60:$II$104,$B32,174)*JN32=1,IF(AND($E32=2,SU32=0),1000000,INDEX('計算A'!FU$110:FU$114,$F32+1)+IF(AND($E32=1,SU32=0),1000,0)),1000000))</f>
        <v/>
      </c>
      <c r="ACC32">
        <f>IF($B32=0,1000000,IF(INDEX('計算A'!$D$60:$II$104,$B32,175)*JO32=1,IF(AND($E32=2,SV32=0),1000000,INDEX('計算A'!FV$110:FV$114,$F32+1)+IF(AND($E32=1,SV32=0),1000,0)),1000000))</f>
        <v/>
      </c>
      <c r="ACD32">
        <f>IF($B32=0,1000000,IF(INDEX('計算A'!$D$60:$II$104,$B32,176)*JP32=1,IF(AND($E32=2,SW32=0),1000000,INDEX('計算A'!FW$110:FW$114,$F32+1)+IF(AND($E32=1,SW32=0),1000,0)),1000000))</f>
        <v/>
      </c>
      <c r="ACE32">
        <f>IF($B32=0,1000000,IF(INDEX('計算A'!$D$60:$II$104,$B32,177)*JQ32=1,IF(AND($E32=2,SX32=0),1000000,INDEX('計算A'!FX$110:FX$114,$F32+1)+IF(AND($E32=1,SX32=0),1000,0)),1000000))</f>
        <v/>
      </c>
      <c r="ACF32">
        <f>IF($B32=0,1000000,IF(INDEX('計算A'!$D$60:$II$104,$B32,178)*JR32=1,IF(AND($E32=2,SY32=0),1000000,INDEX('計算A'!FY$110:FY$114,$F32+1)+IF(AND($E32=1,SY32=0),1000,0)),1000000))</f>
        <v/>
      </c>
      <c r="ACG32">
        <f>IF($B32=0,1000000,IF(INDEX('計算A'!$D$60:$II$104,$B32,179)*JS32=1,IF(AND($E32=2,SZ32=0),1000000,INDEX('計算A'!FZ$110:FZ$114,$F32+1)+IF(AND($E32=1,SZ32=0),1000,0)),1000000))</f>
        <v/>
      </c>
      <c r="ACH32">
        <f>IF($B32=0,1000000,IF(INDEX('計算A'!$D$60:$II$104,$B32,180)*JT32=1,IF(AND($E32=2,TA32=0),1000000,INDEX('計算A'!GA$110:GA$114,$F32+1)+IF(AND($E32=1,TA32=0),1000,0)),1000000))</f>
        <v/>
      </c>
      <c r="ACI32">
        <f>IF($B32=0,1000000,IF(INDEX('計算A'!$D$60:$II$104,$B32,181)*JU32=1,IF(AND($E32=2,TB32=0),1000000,INDEX('計算A'!GB$110:GB$114,$F32+1)+IF(AND($E32=1,TB32=0),1000,0)),1000000))</f>
        <v/>
      </c>
      <c r="ACJ32">
        <f>IF($B32=0,1000000,IF(INDEX('計算A'!$D$60:$II$104,$B32,182)*JV32=1,IF(AND($E32=2,TC32=0),1000000,INDEX('計算A'!GC$110:GC$114,$F32+1)+IF(AND($E32=1,TC32=0),1000,0)),1000000))</f>
        <v/>
      </c>
      <c r="ACK32">
        <f>IF($B32=0,1000000,IF(INDEX('計算A'!$D$60:$II$104,$B32,183)*JW32=1,IF(AND($E32=2,TD32=0),1000000,INDEX('計算A'!GD$110:GD$114,$F32+1)+IF(AND($E32=1,TD32=0),1000,0)),1000000))</f>
        <v/>
      </c>
      <c r="ACL32">
        <f>IF($B32=0,1000000,IF(INDEX('計算A'!$D$60:$II$104,$B32,184)*JX32=1,IF(AND($E32=2,TE32=0),1000000,INDEX('計算A'!GE$110:GE$114,$F32+1)+IF(AND($E32=1,TE32=0),1000,0)),1000000))</f>
        <v/>
      </c>
      <c r="ACM32">
        <f>IF($B32=0,1000000,IF(INDEX('計算A'!$D$60:$II$104,$B32,185)*JY32=1,IF(AND($E32=2,TF32=0),1000000,INDEX('計算A'!GF$110:GF$114,$F32+1)+IF(AND($E32=1,TF32=0),1000,0)),1000000))</f>
        <v/>
      </c>
      <c r="ACN32">
        <f>IF($B32=0,1000000,IF(INDEX('計算A'!$D$60:$II$104,$B32,186)*JZ32=1,IF(AND($E32=2,TG32=0),1000000,INDEX('計算A'!GG$110:GG$114,$F32+1)+IF(AND($E32=1,TG32=0),1000,0)),1000000))</f>
        <v/>
      </c>
      <c r="ACO32">
        <f>IF($B32=0,1000000,IF(INDEX('計算A'!$D$60:$II$104,$B32,187)*KA32=1,IF(AND($E32=2,TH32=0),1000000,INDEX('計算A'!GH$110:GH$114,$F32+1)+IF(AND($E32=1,TH32=0),1000,0)),1000000))</f>
        <v/>
      </c>
      <c r="ACP32">
        <f>IF($B32=0,1000000,IF(INDEX('計算A'!$D$60:$II$104,$B32,188)*KB32=1,IF(AND($E32=2,TI32=0),1000000,INDEX('計算A'!GI$110:GI$114,$F32+1)+IF(AND($E32=1,TI32=0),1000,0)),1000000))</f>
        <v/>
      </c>
      <c r="ACQ32">
        <f>IF($B32=0,1000000,IF(INDEX('計算A'!$D$60:$II$104,$B32,189)*KC32=1,IF(AND($E32=2,TJ32=0),1000000,INDEX('計算A'!GJ$110:GJ$114,$F32+1)+IF(AND($E32=1,TJ32=0),1000,0)),1000000))</f>
        <v/>
      </c>
      <c r="ACR32">
        <f>IF($B32=0,1000000,IF(INDEX('計算A'!$D$60:$II$104,$B32,190)*KD32=1,IF(AND($E32=2,TK32=0),1000000,INDEX('計算A'!GK$110:GK$114,$F32+1)+IF(AND($E32=1,TK32=0),1000,0)),1000000))</f>
        <v/>
      </c>
      <c r="ACS32">
        <f>IF($B32=0,1000000,IF(INDEX('計算A'!$D$60:$II$104,$B32,191)*KE32=1,IF(AND($E32=2,TL32=0),1000000,INDEX('計算A'!GL$110:GL$114,$F32+1)+IF(AND($E32=1,TL32=0),1000,0)),1000000))</f>
        <v/>
      </c>
      <c r="ACT32">
        <f>IF($B32=0,1000000,IF(INDEX('計算A'!$D$60:$II$104,$B32,192)*KF32=1,IF(AND($E32=2,TM32=0),1000000,INDEX('計算A'!GM$110:GM$114,$F32+1)+IF(AND($E32=1,TM32=0),1000,0)),1000000))</f>
        <v/>
      </c>
      <c r="ACU32">
        <f>IF($B32=0,1000000,IF(INDEX('計算A'!$D$60:$II$104,$B32,193)*KG32=1,IF(AND($E32=2,TN32=0),1000000,INDEX('計算A'!GN$110:GN$114,$F32+1)+IF(AND($E32=1,TN32=0),1000,0)),1000000))</f>
        <v/>
      </c>
      <c r="ACV32">
        <f>IF($B32=0,1000000,IF(INDEX('計算A'!$D$60:$II$104,$B32,194)*KH32=1,IF(AND($E32=2,TO32=0),1000000,INDEX('計算A'!GO$110:GO$114,$F32+1)+IF(AND($E32=1,TO32=0),1000,0)),1000000))</f>
        <v/>
      </c>
      <c r="ACW32">
        <f>IF($B32=0,1000000,IF(INDEX('計算A'!$D$60:$II$104,$B32,195)*KI32=1,IF(AND($E32=2,TP32=0),1000000,INDEX('計算A'!GP$110:GP$114,$F32+1)+IF(AND($E32=1,TP32=0),1000,0)),1000000))</f>
        <v/>
      </c>
      <c r="ACX32">
        <f>IF($B32=0,1000000,IF(INDEX('計算A'!$D$60:$II$104,$B32,196)*KJ32=1,IF(AND($E32=2,TQ32=0),1000000,INDEX('計算A'!GQ$110:GQ$114,$F32+1)+IF(AND($E32=1,TQ32=0),1000,0)),1000000))</f>
        <v/>
      </c>
      <c r="ACY32">
        <f>IF($B32=0,1000000,IF(INDEX('計算A'!$D$60:$II$104,$B32,197)*KK32=1,IF(AND($E32=2,TR32=0),1000000,INDEX('計算A'!GR$110:GR$114,$F32+1)+IF(AND($E32=1,TR32=0),1000,0)),1000000))</f>
        <v/>
      </c>
      <c r="ACZ32">
        <f>IF($B32=0,1000000,IF(INDEX('計算A'!$D$60:$II$104,$B32,198)*KL32=1,IF(AND($E32=2,TS32=0),1000000,INDEX('計算A'!GS$110:GS$114,$F32+1)+IF(AND($E32=1,TS32=0),1000,0)),1000000))</f>
        <v/>
      </c>
      <c r="ADA32">
        <f>IF($B32=0,1000000,IF(INDEX('計算A'!$D$60:$II$104,$B32,199)*KM32=1,IF(AND($E32=2,TT32=0),1000000,INDEX('計算A'!GT$110:GT$114,$F32+1)+IF(AND($E32=1,TT32=0),1000,0)),1000000))</f>
        <v/>
      </c>
      <c r="ADB32">
        <f>IF($B32=0,1000000,IF(INDEX('計算A'!$D$60:$II$104,$B32,200)*KN32=1,IF(AND($E32=2,TU32=0),1000000,INDEX('計算A'!GU$110:GU$114,$F32+1)+IF(AND($E32=1,TU32=0),1000,0)),1000000))</f>
        <v/>
      </c>
      <c r="ADC32">
        <f>IF($B32=0,1000000,IF(INDEX('計算A'!$D$60:$II$104,$B32,201)*KO32=1,IF(AND($E32=2,TV32=0),1000000,INDEX('計算A'!GV$110:GV$114,$F32+1)+IF(AND($E32=1,TV32=0),1000,0)),1000000))</f>
        <v/>
      </c>
      <c r="ADD32">
        <f>IF($B32=0,1000000,IF(INDEX('計算A'!$D$60:$II$104,$B32,202)*KP32=1,IF(AND($E32=2,TW32=0),1000000,INDEX('計算A'!GW$110:GW$114,$F32+1)+IF(AND($E32=1,TW32=0),1000,0)),1000000))</f>
        <v/>
      </c>
      <c r="ADE32">
        <f>IF($B32=0,1000000,IF(INDEX('計算A'!$D$60:$II$104,$B32,203)*KQ32=1,IF(AND($E32=2,TX32=0),1000000,INDEX('計算A'!GX$110:GX$114,$F32+1)+IF(AND($E32=1,TX32=0),1000,0)),1000000))</f>
        <v/>
      </c>
      <c r="ADF32">
        <f>IF($B32=0,1000000,IF(INDEX('計算A'!$D$60:$II$104,$B32,204)*KR32=1,IF(AND($E32=2,TY32=0),1000000,INDEX('計算A'!GY$110:GY$114,$F32+1)+IF(AND($E32=1,TY32=0),1000,0)),1000000))</f>
        <v/>
      </c>
      <c r="ADG32">
        <f>IF($B32=0,1000000,IF(INDEX('計算A'!$D$60:$II$104,$B32,205)*KS32=1,IF(AND($E32=2,TZ32=0),1000000,INDEX('計算A'!GZ$110:GZ$114,$F32+1)+IF(AND($E32=1,TZ32=0),1000,0)),1000000))</f>
        <v/>
      </c>
      <c r="ADH32">
        <f>IF($B32=0,1000000,IF(INDEX('計算A'!$D$60:$II$104,$B32,206)*KT32=1,IF(AND($E32=2,UA32=0),1000000,INDEX('計算A'!HA$110:HA$114,$F32+1)+IF(AND($E32=1,UA32=0),1000,0)),1000000))</f>
        <v/>
      </c>
      <c r="ADI32">
        <f>IF($B32=0,1000000,IF(INDEX('計算A'!$D$60:$II$104,$B32,207)*KU32=1,IF(AND($E32=2,UB32=0),1000000,INDEX('計算A'!HB$110:HB$114,$F32+1)+IF(AND($E32=1,UB32=0),1000,0)),1000000))</f>
        <v/>
      </c>
      <c r="ADJ32">
        <f>IF($B32=0,1000000,IF(INDEX('計算A'!$D$60:$II$104,$B32,208)*KV32=1,IF(AND($E32=2,UC32=0),1000000,INDEX('計算A'!HC$110:HC$114,$F32+1)+IF(AND($E32=1,UC32=0),1000,0)),1000000))</f>
        <v/>
      </c>
      <c r="ADK32">
        <f>IF($B32=0,1000000,IF(INDEX('計算A'!$D$60:$II$104,$B32,209)*KW32=1,IF(AND($E32=2,UD32=0),1000000,INDEX('計算A'!HD$110:HD$114,$F32+1)+IF(AND($E32=1,UD32=0),1000,0)),1000000))</f>
        <v/>
      </c>
      <c r="ADL32">
        <f>IF($B32=0,1000000,IF(INDEX('計算A'!$D$60:$II$104,$B32,210)*KX32=1,IF(AND($E32=2,UE32=0),1000000,INDEX('計算A'!HE$110:HE$114,$F32+1)+IF(AND($E32=1,UE32=0),1000,0)),1000000))</f>
        <v/>
      </c>
      <c r="ADM32">
        <f>IF($B32=0,1000000,IF(INDEX('計算A'!$D$60:$II$104,$B32,211)*KY32=1,IF(AND($E32=2,UF32=0),1000000,INDEX('計算A'!HF$110:HF$114,$F32+1)+IF(AND($E32=1,UF32=0),1000,0)),1000000))</f>
        <v/>
      </c>
      <c r="ADN32">
        <f>IF($B32=0,1000000,IF(INDEX('計算A'!$D$60:$II$104,$B32,212)*KZ32=1,IF(AND($E32=2,UG32=0),1000000,INDEX('計算A'!HG$110:HG$114,$F32+1)+IF(AND($E32=1,UG32=0),1000,0)),1000000))</f>
        <v/>
      </c>
      <c r="ADO32">
        <f>IF($B32=0,1000000,IF(INDEX('計算A'!$D$60:$II$104,$B32,213)*LA32=1,IF(AND($E32=2,UH32=0),1000000,INDEX('計算A'!HH$110:HH$114,$F32+1)+IF(AND($E32=1,UH32=0),1000,0)),1000000))</f>
        <v/>
      </c>
      <c r="ADP32">
        <f>IF($B32=0,1000000,IF(INDEX('計算A'!$D$60:$II$104,$B32,214)*LB32=1,IF(AND($E32=2,UI32=0),1000000,INDEX('計算A'!HI$110:HI$114,$F32+1)+IF(AND($E32=1,UI32=0),1000,0)),1000000))</f>
        <v/>
      </c>
      <c r="ADQ32">
        <f>IF($B32=0,1000000,IF(INDEX('計算A'!$D$60:$II$104,$B32,215)*LC32=1,IF(AND($E32=2,UJ32=0),1000000,INDEX('計算A'!HJ$110:HJ$114,$F32+1)+IF(AND($E32=1,UJ32=0),1000,0)),1000000))</f>
        <v/>
      </c>
      <c r="ADR32">
        <f>IF($B32=0,1000000,IF(INDEX('計算A'!$D$60:$II$104,$B32,216)*LD32=1,IF(AND($E32=2,UK32=0),1000000,INDEX('計算A'!HK$110:HK$114,$F32+1)+IF(AND($E32=1,UK32=0),1000,0)),1000000))</f>
        <v/>
      </c>
      <c r="ADS32">
        <f>IF($B32=0,1000000,IF(INDEX('計算A'!$D$60:$II$104,$B32,217)*LE32=1,IF(AND($E32=2,UL32=0),1000000,INDEX('計算A'!HL$110:HL$114,$F32+1)+IF(AND($E32=1,UL32=0),1000,0)),1000000))</f>
        <v/>
      </c>
      <c r="ADT32">
        <f>IF($B32=0,1000000,IF(INDEX('計算A'!$D$60:$II$104,$B32,218)*LF32=1,IF(AND($E32=2,UM32=0),1000000,INDEX('計算A'!HM$110:HM$114,$F32+1)+IF(AND($E32=1,UM32=0),1000,0)),1000000))</f>
        <v/>
      </c>
      <c r="ADU32">
        <f>IF($B32=0,1000000,IF(INDEX('計算A'!$D$60:$II$104,$B32,219)*LG32=1,IF(AND($E32=2,UN32=0),1000000,INDEX('計算A'!HN$110:HN$114,$F32+1)+IF(AND($E32=1,UN32=0),1000,0)),1000000))</f>
        <v/>
      </c>
      <c r="ADV32">
        <f>IF($B32=0,1000000,IF(INDEX('計算A'!$D$60:$II$104,$B32,220)*LH32=1,IF(AND($E32=2,UO32=0),1000000,INDEX('計算A'!HO$110:HO$114,$F32+1)+IF(AND($E32=1,UO32=0),1000,0)),1000000))</f>
        <v/>
      </c>
      <c r="ADW32">
        <f>IF($B32=0,1000000,IF(INDEX('計算A'!$D$60:$II$104,$B32,221)*LI32=1,IF(AND($E32=2,UP32=0),1000000,INDEX('計算A'!HP$110:HP$114,$F32+1)+IF(AND($E32=1,UP32=0),1000,0)),1000000))</f>
        <v/>
      </c>
      <c r="ADX32">
        <f>IF($B32=0,1000000,IF(INDEX('計算A'!$D$60:$II$104,$B32,222)*LJ32=1,IF(AND($E32=2,UQ32=0),1000000,INDEX('計算A'!HQ$110:HQ$114,$F32+1)+IF(AND($E32=1,UQ32=0),1000,0)),1000000))</f>
        <v/>
      </c>
      <c r="ADY32">
        <f>IF($B32=0,1000000,IF(INDEX('計算A'!$D$60:$II$104,$B32,223)*LK32=1,IF(AND($E32=2,UR32=0),1000000,INDEX('計算A'!HR$110:HR$114,$F32+1)+IF(AND($E32=1,UR32=0),1000,0)),1000000))</f>
        <v/>
      </c>
      <c r="ADZ32">
        <f>IF($B32=0,1000000,IF(INDEX('計算A'!$D$60:$II$104,$B32,224)*LL32=1,IF(AND($E32=2,US32=0),1000000,INDEX('計算A'!HS$110:HS$114,$F32+1)+IF(AND($E32=1,US32=0),1000,0)),1000000))</f>
        <v/>
      </c>
      <c r="AEA32">
        <f>IF($B32=0,1000000,IF(INDEX('計算A'!$D$60:$II$104,$B32,225)*LM32=1,IF(AND($E32=2,UT32=0),1000000,INDEX('計算A'!HT$110:HT$114,$F32+1)+IF(AND($E32=1,UT32=0),1000,0)),1000000))</f>
        <v/>
      </c>
      <c r="AEB32">
        <f>IF($B32=0,1000000,IF(INDEX('計算A'!$D$60:$II$104,$B32,226)*LN32=1,IF(AND($E32=2,UU32=0),1000000,INDEX('計算A'!HU$110:HU$114,$F32+1)+IF(AND($E32=1,UU32=0),1000,0)),1000000))</f>
        <v/>
      </c>
      <c r="AEC32">
        <f>IF($B32=0,1000000,IF(INDEX('計算A'!$D$60:$II$104,$B32,227)*LO32=1,IF(AND($E32=2,UV32=0),1000000,INDEX('計算A'!HV$110:HV$114,$F32+1)+IF(AND($E32=1,UV32=0),1000,0)),1000000))</f>
        <v/>
      </c>
      <c r="AED32">
        <f>IF($B32=0,1000000,IF(INDEX('計算A'!$D$60:$II$104,$B32,228)*LP32=1,IF(AND($E32=2,UW32=0),1000000,INDEX('計算A'!HW$110:HW$114,$F32+1)+IF(AND($E32=1,UW32=0),1000,0)),1000000))</f>
        <v/>
      </c>
      <c r="AEE32">
        <f>IF($B32=0,1000000,IF(INDEX('計算A'!$D$60:$II$104,$B32,229)*LQ32=1,IF(AND($E32=2,UX32=0),1000000,INDEX('計算A'!HX$110:HX$114,$F32+1)+IF(AND($E32=1,UX32=0),1000,0)),1000000))</f>
        <v/>
      </c>
      <c r="AEF32">
        <f>IF($B32=0,1000000,IF(INDEX('計算A'!$D$60:$II$104,$B32,230)*LR32=1,IF(AND($E32=2,UY32=0),1000000,INDEX('計算A'!HY$110:HY$114,$F32+1)+IF(AND($E32=1,UY32=0),1000,0)),1000000))</f>
        <v/>
      </c>
      <c r="AEG32">
        <f>IF($B32=0,1000000,IF(INDEX('計算A'!$D$60:$II$104,$B32,231)*LS32=1,IF(AND($E32=2,UZ32=0),1000000,INDEX('計算A'!HZ$110:HZ$114,$F32+1)+IF(AND($E32=1,UZ32=0),1000,0)),1000000))</f>
        <v/>
      </c>
      <c r="AEH32">
        <f>IF($B32=0,1000000,IF(INDEX('計算A'!$D$60:$II$104,$B32,232)*LT32=1,IF(AND($E32=2,VA32=0),1000000,INDEX('計算A'!IA$110:IA$114,$F32+1)+IF(AND($E32=1,VA32=0),1000,0)),1000000))</f>
        <v/>
      </c>
      <c r="AEI32">
        <f>IF($B32=0,1000000,IF(INDEX('計算A'!$D$60:$II$104,$B32,233)*LU32=1,IF(AND($E32=2,VB32=0),1000000,INDEX('計算A'!IB$110:IB$114,$F32+1)+IF(AND($E32=1,VB32=0),1000,0)),1000000))</f>
        <v/>
      </c>
      <c r="AEJ32">
        <f>IF($B32=0,1000000,IF(INDEX('計算A'!$D$60:$II$104,$B32,234)*LV32=1,IF(AND($E32=2,VC32=0),1000000,INDEX('計算A'!IC$110:IC$114,$F32+1)+IF(AND($E32=1,VC32=0),1000,0)),1000000))</f>
        <v/>
      </c>
      <c r="AEK32">
        <f>IF($B32=0,1000000,IF(INDEX('計算A'!$D$60:$II$104,$B32,235)*LW32=1,IF(AND($E32=2,VD32=0),1000000,INDEX('計算A'!ID$110:ID$114,$F32+1)+IF(AND($E32=1,VD32=0),1000,0)),1000000))</f>
        <v/>
      </c>
      <c r="AEL32">
        <f>IF($B32=0,1000000,IF(INDEX('計算A'!$D$60:$II$104,$B32,236)*LX32=1,IF(AND($E32=2,VE32=0),1000000,INDEX('計算A'!IE$110:IE$114,$F32+1)+IF(AND($E32=1,VE32=0),1000,0)),1000000))</f>
        <v/>
      </c>
      <c r="AEM32">
        <f>IF($B32=0,1000000,IF(INDEX('計算A'!$D$60:$II$104,$B32,237)*LY32=1,IF(AND($E32=2,VF32=0),1000000,INDEX('計算A'!IF$110:IF$114,$F32+1)+IF(AND($E32=1,VF32=0),1000,0)),1000000))</f>
        <v/>
      </c>
      <c r="AEN32">
        <f>IF($B32=0,1000000,IF(INDEX('計算A'!$D$60:$II$104,$B32,238)*LZ32=1,IF(AND($E32=2,VG32=0),1000000,INDEX('計算A'!IG$110:IG$114,$F32+1)+IF(AND($E32=1,VG32=0),1000,0)),1000000))</f>
        <v/>
      </c>
      <c r="AEO32">
        <f>IF($B32=0,1000000,IF(INDEX('計算A'!$D$60:$II$104,$B32,239)*MA32=1,IF(AND($E32=2,VH32=0),1000000,INDEX('計算A'!IH$110:IH$114,$F32+1)+IF(AND($E32=1,VH32=0),1000,0)),1000000))</f>
        <v/>
      </c>
      <c r="AEP32">
        <f>IF($B32=0,1000000,IF(INDEX('計算A'!$D$60:$II$104,$B32,240)*MB32=1,IF(AND($E32=2,VI32=0),1000000,INDEX('計算A'!II$110:II$114,$F32+1)+IF(AND($E32=1,VI32=0),1000,0)),1000000))</f>
        <v/>
      </c>
    </row>
    <row r="33">
      <c r="A33" t="n">
        <v>31</v>
      </c>
      <c r="B33">
        <f>IF(MIN(BC33:CU33)&gt;=1000000,0,MATCH(MIN(BC33:CU33),BC33:CU33,0))</f>
        <v/>
      </c>
      <c r="C33">
        <f>IF(MIN(VK33:AEP33)&gt;=1000000,0,MATCH(MIN(VK33:AEP33),VK33:AEP33,0))</f>
        <v/>
      </c>
      <c r="D33">
        <f>IF(C33&gt;0,INDEX('計算A'!$D$5:$II$5,C33),0)</f>
        <v/>
      </c>
      <c r="E33">
        <f>IF(B33=0,0,INDEX('計算A'!$IQ$10:$IQ$54,B33))</f>
        <v/>
      </c>
      <c r="F33">
        <f>IF(B33=0,0,INDEX('計算A'!$IP$10:$IP$54,B33))</f>
        <v/>
      </c>
      <c r="G33">
        <f>IF(AND(C33&gt;0,E33&gt;0),IF(AND(INDEX('計算A'!$D$106:$II$106,C33)=1,INDEX($MD33:$VI33,C33)=1),C33+1,0),0)</f>
        <v/>
      </c>
      <c r="I33">
        <f>MAX(I32,IF($B32=1,1,0))</f>
        <v/>
      </c>
      <c r="J33">
        <f>MAX(J32,IF($B32=2,1,0))</f>
        <v/>
      </c>
      <c r="K33">
        <f>MAX(K32,IF($B32=3,1,0))</f>
        <v/>
      </c>
      <c r="L33">
        <f>MAX(L32,IF($B32=4,1,0))</f>
        <v/>
      </c>
      <c r="M33">
        <f>MAX(M32,IF($B32=5,1,0))</f>
        <v/>
      </c>
      <c r="N33">
        <f>MAX(N32,IF($B32=6,1,0))</f>
        <v/>
      </c>
      <c r="O33">
        <f>MAX(O32,IF($B32=7,1,0))</f>
        <v/>
      </c>
      <c r="P33">
        <f>MAX(P32,IF($B32=8,1,0))</f>
        <v/>
      </c>
      <c r="Q33">
        <f>MAX(Q32,IF($B32=9,1,0))</f>
        <v/>
      </c>
      <c r="R33">
        <f>MAX(R32,IF($B32=10,1,0))</f>
        <v/>
      </c>
      <c r="S33">
        <f>MAX(S32,IF($B32=11,1,0))</f>
        <v/>
      </c>
      <c r="T33">
        <f>MAX(T32,IF($B32=12,1,0))</f>
        <v/>
      </c>
      <c r="U33">
        <f>MAX(U32,IF($B32=13,1,0))</f>
        <v/>
      </c>
      <c r="V33">
        <f>MAX(V32,IF($B32=14,1,0))</f>
        <v/>
      </c>
      <c r="W33">
        <f>MAX(W32,IF($B32=15,1,0))</f>
        <v/>
      </c>
      <c r="X33">
        <f>MAX(X32,IF($B32=16,1,0))</f>
        <v/>
      </c>
      <c r="Y33">
        <f>MAX(Y32,IF($B32=17,1,0))</f>
        <v/>
      </c>
      <c r="Z33">
        <f>MAX(Z32,IF($B32=18,1,0))</f>
        <v/>
      </c>
      <c r="AA33">
        <f>MAX(AA32,IF($B32=19,1,0))</f>
        <v/>
      </c>
      <c r="AB33">
        <f>MAX(AB32,IF($B32=20,1,0))</f>
        <v/>
      </c>
      <c r="AC33">
        <f>MAX(AC32,IF($B32=21,1,0))</f>
        <v/>
      </c>
      <c r="AD33">
        <f>MAX(AD32,IF($B32=22,1,0))</f>
        <v/>
      </c>
      <c r="AE33">
        <f>MAX(AE32,IF($B32=23,1,0))</f>
        <v/>
      </c>
      <c r="AF33">
        <f>MAX(AF32,IF($B32=24,1,0))</f>
        <v/>
      </c>
      <c r="AG33">
        <f>MAX(AG32,IF($B32=25,1,0))</f>
        <v/>
      </c>
      <c r="AH33">
        <f>MAX(AH32,IF($B32=26,1,0))</f>
        <v/>
      </c>
      <c r="AI33">
        <f>MAX(AI32,IF($B32=27,1,0))</f>
        <v/>
      </c>
      <c r="AJ33">
        <f>MAX(AJ32,IF($B32=28,1,0))</f>
        <v/>
      </c>
      <c r="AK33">
        <f>MAX(AK32,IF($B32=29,1,0))</f>
        <v/>
      </c>
      <c r="AL33">
        <f>MAX(AL32,IF($B32=30,1,0))</f>
        <v/>
      </c>
      <c r="AM33">
        <f>MAX(AM32,IF($B32=31,1,0))</f>
        <v/>
      </c>
      <c r="AN33">
        <f>MAX(AN32,IF($B32=32,1,0))</f>
        <v/>
      </c>
      <c r="AO33">
        <f>MAX(AO32,IF($B32=33,1,0))</f>
        <v/>
      </c>
      <c r="AP33">
        <f>MAX(AP32,IF($B32=34,1,0))</f>
        <v/>
      </c>
      <c r="AQ33">
        <f>MAX(AQ32,IF($B32=35,1,0))</f>
        <v/>
      </c>
      <c r="AR33">
        <f>MAX(AR32,IF($B32=36,1,0))</f>
        <v/>
      </c>
      <c r="AS33">
        <f>MAX(AS32,IF($B32=37,1,0))</f>
        <v/>
      </c>
      <c r="AT33">
        <f>MAX(AT32,IF($B32=38,1,0))</f>
        <v/>
      </c>
      <c r="AU33">
        <f>MAX(AU32,IF($B32=39,1,0))</f>
        <v/>
      </c>
      <c r="AV33">
        <f>MAX(AV32,IF($B32=40,1,0))</f>
        <v/>
      </c>
      <c r="AW33">
        <f>MAX(AW32,IF($B32=41,1,0))</f>
        <v/>
      </c>
      <c r="AX33">
        <f>MAX(AX32,IF($B32=42,1,0))</f>
        <v/>
      </c>
      <c r="AY33">
        <f>MAX(AY32,IF($B32=43,1,0))</f>
        <v/>
      </c>
      <c r="AZ33">
        <f>MAX(AZ32,IF($B32=44,1,0))</f>
        <v/>
      </c>
      <c r="BA33">
        <f>MAX(BA32,IF($B32=45,1,0))</f>
        <v/>
      </c>
      <c r="BC33">
        <f>IF(I33=1,1000000,IF('計算A'!$IQ$10=2,SUMPRODUCT('計算A'!$D$60:$II$60,$CW33:$MB33,$MD33:$VI33),SUMPRODUCT('計算A'!$D$60:$II$60,$CW33:$MB33))*1000+1)</f>
        <v/>
      </c>
      <c r="BD33">
        <f>IF(J33=1,1000000,IF('計算A'!$IQ$11=2,SUMPRODUCT('計算A'!$D$61:$II$61,$CW33:$MB33,$MD33:$VI33),SUMPRODUCT('計算A'!$D$61:$II$61,$CW33:$MB33))*1000+2)</f>
        <v/>
      </c>
      <c r="BE33">
        <f>IF(K33=1,1000000,IF('計算A'!$IQ$12=2,SUMPRODUCT('計算A'!$D$62:$II$62,$CW33:$MB33,$MD33:$VI33),SUMPRODUCT('計算A'!$D$62:$II$62,$CW33:$MB33))*1000+3)</f>
        <v/>
      </c>
      <c r="BF33">
        <f>IF(L33=1,1000000,IF('計算A'!$IQ$13=2,SUMPRODUCT('計算A'!$D$63:$II$63,$CW33:$MB33,$MD33:$VI33),SUMPRODUCT('計算A'!$D$63:$II$63,$CW33:$MB33))*1000+4)</f>
        <v/>
      </c>
      <c r="BG33">
        <f>IF(M33=1,1000000,IF('計算A'!$IQ$14=2,SUMPRODUCT('計算A'!$D$64:$II$64,$CW33:$MB33,$MD33:$VI33),SUMPRODUCT('計算A'!$D$64:$II$64,$CW33:$MB33))*1000+5)</f>
        <v/>
      </c>
      <c r="BH33">
        <f>IF(N33=1,1000000,IF('計算A'!$IQ$15=2,SUMPRODUCT('計算A'!$D$65:$II$65,$CW33:$MB33,$MD33:$VI33),SUMPRODUCT('計算A'!$D$65:$II$65,$CW33:$MB33))*1000+6)</f>
        <v/>
      </c>
      <c r="BI33">
        <f>IF(O33=1,1000000,IF('計算A'!$IQ$16=2,SUMPRODUCT('計算A'!$D$66:$II$66,$CW33:$MB33,$MD33:$VI33),SUMPRODUCT('計算A'!$D$66:$II$66,$CW33:$MB33))*1000+7)</f>
        <v/>
      </c>
      <c r="BJ33">
        <f>IF(P33=1,1000000,IF('計算A'!$IQ$17=2,SUMPRODUCT('計算A'!$D$67:$II$67,$CW33:$MB33,$MD33:$VI33),SUMPRODUCT('計算A'!$D$67:$II$67,$CW33:$MB33))*1000+8)</f>
        <v/>
      </c>
      <c r="BK33">
        <f>IF(Q33=1,1000000,IF('計算A'!$IQ$18=2,SUMPRODUCT('計算A'!$D$68:$II$68,$CW33:$MB33,$MD33:$VI33),SUMPRODUCT('計算A'!$D$68:$II$68,$CW33:$MB33))*1000+9)</f>
        <v/>
      </c>
      <c r="BL33">
        <f>IF(R33=1,1000000,IF('計算A'!$IQ$19=2,SUMPRODUCT('計算A'!$D$69:$II$69,$CW33:$MB33,$MD33:$VI33),SUMPRODUCT('計算A'!$D$69:$II$69,$CW33:$MB33))*1000+10)</f>
        <v/>
      </c>
      <c r="BM33">
        <f>IF(S33=1,1000000,IF('計算A'!$IQ$20=2,SUMPRODUCT('計算A'!$D$70:$II$70,$CW33:$MB33,$MD33:$VI33),SUMPRODUCT('計算A'!$D$70:$II$70,$CW33:$MB33))*1000+11)</f>
        <v/>
      </c>
      <c r="BN33">
        <f>IF(T33=1,1000000,IF('計算A'!$IQ$21=2,SUMPRODUCT('計算A'!$D$71:$II$71,$CW33:$MB33,$MD33:$VI33),SUMPRODUCT('計算A'!$D$71:$II$71,$CW33:$MB33))*1000+12)</f>
        <v/>
      </c>
      <c r="BO33">
        <f>IF(U33=1,1000000,IF('計算A'!$IQ$22=2,SUMPRODUCT('計算A'!$D$72:$II$72,$CW33:$MB33,$MD33:$VI33),SUMPRODUCT('計算A'!$D$72:$II$72,$CW33:$MB33))*1000+13)</f>
        <v/>
      </c>
      <c r="BP33">
        <f>IF(V33=1,1000000,IF('計算A'!$IQ$23=2,SUMPRODUCT('計算A'!$D$73:$II$73,$CW33:$MB33,$MD33:$VI33),SUMPRODUCT('計算A'!$D$73:$II$73,$CW33:$MB33))*1000+14)</f>
        <v/>
      </c>
      <c r="BQ33">
        <f>IF(W33=1,1000000,IF('計算A'!$IQ$24=2,SUMPRODUCT('計算A'!$D$74:$II$74,$CW33:$MB33,$MD33:$VI33),SUMPRODUCT('計算A'!$D$74:$II$74,$CW33:$MB33))*1000+15)</f>
        <v/>
      </c>
      <c r="BR33">
        <f>IF(X33=1,1000000,IF('計算A'!$IQ$25=2,SUMPRODUCT('計算A'!$D$75:$II$75,$CW33:$MB33,$MD33:$VI33),SUMPRODUCT('計算A'!$D$75:$II$75,$CW33:$MB33))*1000+16)</f>
        <v/>
      </c>
      <c r="BS33">
        <f>IF(Y33=1,1000000,IF('計算A'!$IQ$26=2,SUMPRODUCT('計算A'!$D$76:$II$76,$CW33:$MB33,$MD33:$VI33),SUMPRODUCT('計算A'!$D$76:$II$76,$CW33:$MB33))*1000+17)</f>
        <v/>
      </c>
      <c r="BT33">
        <f>IF(Z33=1,1000000,IF('計算A'!$IQ$27=2,SUMPRODUCT('計算A'!$D$77:$II$77,$CW33:$MB33,$MD33:$VI33),SUMPRODUCT('計算A'!$D$77:$II$77,$CW33:$MB33))*1000+18)</f>
        <v/>
      </c>
      <c r="BU33">
        <f>IF(AA33=1,1000000,IF('計算A'!$IQ$28=2,SUMPRODUCT('計算A'!$D$78:$II$78,$CW33:$MB33,$MD33:$VI33),SUMPRODUCT('計算A'!$D$78:$II$78,$CW33:$MB33))*1000+19)</f>
        <v/>
      </c>
      <c r="BV33">
        <f>IF(AB33=1,1000000,IF('計算A'!$IQ$29=2,SUMPRODUCT('計算A'!$D$79:$II$79,$CW33:$MB33,$MD33:$VI33),SUMPRODUCT('計算A'!$D$79:$II$79,$CW33:$MB33))*1000+20)</f>
        <v/>
      </c>
      <c r="BW33">
        <f>IF(AC33=1,1000000,IF('計算A'!$IQ$30=2,SUMPRODUCT('計算A'!$D$80:$II$80,$CW33:$MB33,$MD33:$VI33),SUMPRODUCT('計算A'!$D$80:$II$80,$CW33:$MB33))*1000+21)</f>
        <v/>
      </c>
      <c r="BX33">
        <f>IF(AD33=1,1000000,IF('計算A'!$IQ$31=2,SUMPRODUCT('計算A'!$D$81:$II$81,$CW33:$MB33,$MD33:$VI33),SUMPRODUCT('計算A'!$D$81:$II$81,$CW33:$MB33))*1000+22)</f>
        <v/>
      </c>
      <c r="BY33">
        <f>IF(AE33=1,1000000,IF('計算A'!$IQ$32=2,SUMPRODUCT('計算A'!$D$82:$II$82,$CW33:$MB33,$MD33:$VI33),SUMPRODUCT('計算A'!$D$82:$II$82,$CW33:$MB33))*1000+23)</f>
        <v/>
      </c>
      <c r="BZ33">
        <f>IF(AF33=1,1000000,IF('計算A'!$IQ$33=2,SUMPRODUCT('計算A'!$D$83:$II$83,$CW33:$MB33,$MD33:$VI33),SUMPRODUCT('計算A'!$D$83:$II$83,$CW33:$MB33))*1000+24)</f>
        <v/>
      </c>
      <c r="CA33">
        <f>IF(AG33=1,1000000,IF('計算A'!$IQ$34=2,SUMPRODUCT('計算A'!$D$84:$II$84,$CW33:$MB33,$MD33:$VI33),SUMPRODUCT('計算A'!$D$84:$II$84,$CW33:$MB33))*1000+25)</f>
        <v/>
      </c>
      <c r="CB33">
        <f>IF(AH33=1,1000000,IF('計算A'!$IQ$35=2,SUMPRODUCT('計算A'!$D$85:$II$85,$CW33:$MB33,$MD33:$VI33),SUMPRODUCT('計算A'!$D$85:$II$85,$CW33:$MB33))*1000+26)</f>
        <v/>
      </c>
      <c r="CC33">
        <f>IF(AI33=1,1000000,IF('計算A'!$IQ$36=2,SUMPRODUCT('計算A'!$D$86:$II$86,$CW33:$MB33,$MD33:$VI33),SUMPRODUCT('計算A'!$D$86:$II$86,$CW33:$MB33))*1000+27)</f>
        <v/>
      </c>
      <c r="CD33">
        <f>IF(AJ33=1,1000000,IF('計算A'!$IQ$37=2,SUMPRODUCT('計算A'!$D$87:$II$87,$CW33:$MB33,$MD33:$VI33),SUMPRODUCT('計算A'!$D$87:$II$87,$CW33:$MB33))*1000+28)</f>
        <v/>
      </c>
      <c r="CE33">
        <f>IF(AK33=1,1000000,IF('計算A'!$IQ$38=2,SUMPRODUCT('計算A'!$D$88:$II$88,$CW33:$MB33,$MD33:$VI33),SUMPRODUCT('計算A'!$D$88:$II$88,$CW33:$MB33))*1000+29)</f>
        <v/>
      </c>
      <c r="CF33">
        <f>IF(AL33=1,1000000,IF('計算A'!$IQ$39=2,SUMPRODUCT('計算A'!$D$89:$II$89,$CW33:$MB33,$MD33:$VI33),SUMPRODUCT('計算A'!$D$89:$II$89,$CW33:$MB33))*1000+30)</f>
        <v/>
      </c>
      <c r="CG33">
        <f>IF(AM33=1,1000000,IF('計算A'!$IQ$40=2,SUMPRODUCT('計算A'!$D$90:$II$90,$CW33:$MB33,$MD33:$VI33),SUMPRODUCT('計算A'!$D$90:$II$90,$CW33:$MB33))*1000+31)</f>
        <v/>
      </c>
      <c r="CH33">
        <f>IF(AN33=1,1000000,IF('計算A'!$IQ$41=2,SUMPRODUCT('計算A'!$D$91:$II$91,$CW33:$MB33,$MD33:$VI33),SUMPRODUCT('計算A'!$D$91:$II$91,$CW33:$MB33))*1000+32)</f>
        <v/>
      </c>
      <c r="CI33">
        <f>IF(AO33=1,1000000,IF('計算A'!$IQ$42=2,SUMPRODUCT('計算A'!$D$92:$II$92,$CW33:$MB33,$MD33:$VI33),SUMPRODUCT('計算A'!$D$92:$II$92,$CW33:$MB33))*1000+33)</f>
        <v/>
      </c>
      <c r="CJ33">
        <f>IF(AP33=1,1000000,IF('計算A'!$IQ$43=2,SUMPRODUCT('計算A'!$D$93:$II$93,$CW33:$MB33,$MD33:$VI33),SUMPRODUCT('計算A'!$D$93:$II$93,$CW33:$MB33))*1000+34)</f>
        <v/>
      </c>
      <c r="CK33">
        <f>IF(AQ33=1,1000000,IF('計算A'!$IQ$44=2,SUMPRODUCT('計算A'!$D$94:$II$94,$CW33:$MB33,$MD33:$VI33),SUMPRODUCT('計算A'!$D$94:$II$94,$CW33:$MB33))*1000+35)</f>
        <v/>
      </c>
      <c r="CL33">
        <f>IF(AR33=1,1000000,IF('計算A'!$IQ$45=2,SUMPRODUCT('計算A'!$D$95:$II$95,$CW33:$MB33,$MD33:$VI33),SUMPRODUCT('計算A'!$D$95:$II$95,$CW33:$MB33))*1000+36)</f>
        <v/>
      </c>
      <c r="CM33">
        <f>IF(AS33=1,1000000,IF('計算A'!$IQ$46=2,SUMPRODUCT('計算A'!$D$96:$II$96,$CW33:$MB33,$MD33:$VI33),SUMPRODUCT('計算A'!$D$96:$II$96,$CW33:$MB33))*1000+37)</f>
        <v/>
      </c>
      <c r="CN33">
        <f>IF(AT33=1,1000000,IF('計算A'!$IQ$47=2,SUMPRODUCT('計算A'!$D$97:$II$97,$CW33:$MB33,$MD33:$VI33),SUMPRODUCT('計算A'!$D$97:$II$97,$CW33:$MB33))*1000+38)</f>
        <v/>
      </c>
      <c r="CO33">
        <f>IF(AU33=1,1000000,IF('計算A'!$IQ$48=2,SUMPRODUCT('計算A'!$D$98:$II$98,$CW33:$MB33,$MD33:$VI33),SUMPRODUCT('計算A'!$D$98:$II$98,$CW33:$MB33))*1000+39)</f>
        <v/>
      </c>
      <c r="CP33">
        <f>IF(AV33=1,1000000,IF('計算A'!$IQ$49=2,SUMPRODUCT('計算A'!$D$99:$II$99,$CW33:$MB33,$MD33:$VI33),SUMPRODUCT('計算A'!$D$99:$II$99,$CW33:$MB33))*1000+40)</f>
        <v/>
      </c>
      <c r="CQ33">
        <f>IF(AW33=1,1000000,IF('計算A'!$IQ$50=2,SUMPRODUCT('計算A'!$D$100:$II$100,$CW33:$MB33,$MD33:$VI33),SUMPRODUCT('計算A'!$D$100:$II$100,$CW33:$MB33))*1000+41)</f>
        <v/>
      </c>
      <c r="CR33">
        <f>IF(AX33=1,1000000,IF('計算A'!$IQ$51=2,SUMPRODUCT('計算A'!$D$101:$II$101,$CW33:$MB33,$MD33:$VI33),SUMPRODUCT('計算A'!$D$101:$II$101,$CW33:$MB33))*1000+42)</f>
        <v/>
      </c>
      <c r="CS33">
        <f>IF(AY33=1,1000000,IF('計算A'!$IQ$52=2,SUMPRODUCT('計算A'!$D$102:$II$102,$CW33:$MB33,$MD33:$VI33),SUMPRODUCT('計算A'!$D$102:$II$102,$CW33:$MB33))*1000+43)</f>
        <v/>
      </c>
      <c r="CT33">
        <f>IF(AZ33=1,1000000,IF('計算A'!$IQ$53=2,SUMPRODUCT('計算A'!$D$103:$II$103,$CW33:$MB33,$MD33:$VI33),SUMPRODUCT('計算A'!$D$103:$II$103,$CW33:$MB33))*1000+44)</f>
        <v/>
      </c>
      <c r="CU33">
        <f>IF(BA33=1,1000000,IF('計算A'!$IQ$54=2,SUMPRODUCT('計算A'!$D$104:$II$104,$CW33:$MB33,$MD33:$VI33),SUMPRODUCT('計算A'!$D$104:$II$104,$CW33:$MB33))*1000+45)</f>
        <v/>
      </c>
      <c r="CW33">
        <f>CW32*IF(OR($C32=1,$G32=1),0,1)</f>
        <v/>
      </c>
      <c r="CX33">
        <f>CX32*IF(OR($C32=2,$G32=2),0,1)</f>
        <v/>
      </c>
      <c r="CY33">
        <f>CY32*IF(OR($C32=3,$G32=3),0,1)</f>
        <v/>
      </c>
      <c r="CZ33">
        <f>CZ32*IF(OR($C32=4,$G32=4),0,1)</f>
        <v/>
      </c>
      <c r="DA33">
        <f>DA32*IF(OR($C32=5,$G32=5),0,1)</f>
        <v/>
      </c>
      <c r="DB33">
        <f>DB32*IF(OR($C32=6,$G32=6),0,1)</f>
        <v/>
      </c>
      <c r="DC33">
        <f>DC32*IF(OR($C32=7,$G32=7),0,1)</f>
        <v/>
      </c>
      <c r="DD33">
        <f>DD32*IF(OR($C32=8,$G32=8),0,1)</f>
        <v/>
      </c>
      <c r="DE33">
        <f>DE32*IF(OR($C32=9,$G32=9),0,1)</f>
        <v/>
      </c>
      <c r="DF33">
        <f>DF32*IF(OR($C32=10,$G32=10),0,1)</f>
        <v/>
      </c>
      <c r="DG33">
        <f>DG32*IF(OR($C32=11,$G32=11),0,1)</f>
        <v/>
      </c>
      <c r="DH33">
        <f>DH32*IF(OR($C32=12,$G32=12),0,1)</f>
        <v/>
      </c>
      <c r="DI33">
        <f>DI32*IF(OR($C32=13,$G32=13),0,1)</f>
        <v/>
      </c>
      <c r="DJ33">
        <f>DJ32*IF(OR($C32=14,$G32=14),0,1)</f>
        <v/>
      </c>
      <c r="DK33">
        <f>DK32*IF(OR($C32=15,$G32=15),0,1)</f>
        <v/>
      </c>
      <c r="DL33">
        <f>DL32*IF(OR($C32=16,$G32=16),0,1)</f>
        <v/>
      </c>
      <c r="DM33">
        <f>DM32*IF(OR($C32=17,$G32=17),0,1)</f>
        <v/>
      </c>
      <c r="DN33">
        <f>DN32*IF(OR($C32=18,$G32=18),0,1)</f>
        <v/>
      </c>
      <c r="DO33">
        <f>DO32*IF(OR($C32=19,$G32=19),0,1)</f>
        <v/>
      </c>
      <c r="DP33">
        <f>DP32*IF(OR($C32=20,$G32=20),0,1)</f>
        <v/>
      </c>
      <c r="DQ33">
        <f>DQ32*IF(OR($C32=21,$G32=21),0,1)</f>
        <v/>
      </c>
      <c r="DR33">
        <f>DR32*IF(OR($C32=22,$G32=22),0,1)</f>
        <v/>
      </c>
      <c r="DS33">
        <f>DS32*IF(OR($C32=23,$G32=23),0,1)</f>
        <v/>
      </c>
      <c r="DT33">
        <f>DT32*IF(OR($C32=24,$G32=24),0,1)</f>
        <v/>
      </c>
      <c r="DU33">
        <f>DU32*IF(OR($C32=25,$G32=25),0,1)</f>
        <v/>
      </c>
      <c r="DV33">
        <f>DV32*IF(OR($C32=26,$G32=26),0,1)</f>
        <v/>
      </c>
      <c r="DW33">
        <f>DW32*IF(OR($C32=27,$G32=27),0,1)</f>
        <v/>
      </c>
      <c r="DX33">
        <f>DX32*IF(OR($C32=28,$G32=28),0,1)</f>
        <v/>
      </c>
      <c r="DY33">
        <f>DY32*IF(OR($C32=29,$G32=29),0,1)</f>
        <v/>
      </c>
      <c r="DZ33">
        <f>DZ32*IF(OR($C32=30,$G32=30),0,1)</f>
        <v/>
      </c>
      <c r="EA33">
        <f>EA32*IF(OR($C32=31,$G32=31),0,1)</f>
        <v/>
      </c>
      <c r="EB33">
        <f>EB32*IF(OR($C32=32,$G32=32),0,1)</f>
        <v/>
      </c>
      <c r="EC33">
        <f>EC32*IF(OR($C32=33,$G32=33),0,1)</f>
        <v/>
      </c>
      <c r="ED33">
        <f>ED32*IF(OR($C32=34,$G32=34),0,1)</f>
        <v/>
      </c>
      <c r="EE33">
        <f>EE32*IF(OR($C32=35,$G32=35),0,1)</f>
        <v/>
      </c>
      <c r="EF33">
        <f>EF32*IF(OR($C32=36,$G32=36),0,1)</f>
        <v/>
      </c>
      <c r="EG33">
        <f>EG32*IF(OR($C32=37,$G32=37),0,1)</f>
        <v/>
      </c>
      <c r="EH33">
        <f>EH32*IF(OR($C32=38,$G32=38),0,1)</f>
        <v/>
      </c>
      <c r="EI33">
        <f>EI32*IF(OR($C32=39,$G32=39),0,1)</f>
        <v/>
      </c>
      <c r="EJ33">
        <f>EJ32*IF(OR($C32=40,$G32=40),0,1)</f>
        <v/>
      </c>
      <c r="EK33">
        <f>EK32*IF(OR($C32=41,$G32=41),0,1)</f>
        <v/>
      </c>
      <c r="EL33">
        <f>EL32*IF(OR($C32=42,$G32=42),0,1)</f>
        <v/>
      </c>
      <c r="EM33">
        <f>EM32*IF(OR($C32=43,$G32=43),0,1)</f>
        <v/>
      </c>
      <c r="EN33">
        <f>EN32*IF(OR($C32=44,$G32=44),0,1)</f>
        <v/>
      </c>
      <c r="EO33">
        <f>EO32*IF(OR($C32=45,$G32=45),0,1)</f>
        <v/>
      </c>
      <c r="EP33">
        <f>EP32*IF(OR($C32=46,$G32=46),0,1)</f>
        <v/>
      </c>
      <c r="EQ33">
        <f>EQ32*IF(OR($C32=47,$G32=47),0,1)</f>
        <v/>
      </c>
      <c r="ER33">
        <f>ER32*IF(OR($C32=48,$G32=48),0,1)</f>
        <v/>
      </c>
      <c r="ES33">
        <f>ES32*IF(OR($C32=49,$G32=49),0,1)</f>
        <v/>
      </c>
      <c r="ET33">
        <f>ET32*IF(OR($C32=50,$G32=50),0,1)</f>
        <v/>
      </c>
      <c r="EU33">
        <f>EU32*IF(OR($C32=51,$G32=51),0,1)</f>
        <v/>
      </c>
      <c r="EV33">
        <f>EV32*IF(OR($C32=52,$G32=52),0,1)</f>
        <v/>
      </c>
      <c r="EW33">
        <f>EW32*IF(OR($C32=53,$G32=53),0,1)</f>
        <v/>
      </c>
      <c r="EX33">
        <f>EX32*IF(OR($C32=54,$G32=54),0,1)</f>
        <v/>
      </c>
      <c r="EY33">
        <f>EY32*IF(OR($C32=55,$G32=55),0,1)</f>
        <v/>
      </c>
      <c r="EZ33">
        <f>EZ32*IF(OR($C32=56,$G32=56),0,1)</f>
        <v/>
      </c>
      <c r="FA33">
        <f>FA32*IF(OR($C32=57,$G32=57),0,1)</f>
        <v/>
      </c>
      <c r="FB33">
        <f>FB32*IF(OR($C32=58,$G32=58),0,1)</f>
        <v/>
      </c>
      <c r="FC33">
        <f>FC32*IF(OR($C32=59,$G32=59),0,1)</f>
        <v/>
      </c>
      <c r="FD33">
        <f>FD32*IF(OR($C32=60,$G32=60),0,1)</f>
        <v/>
      </c>
      <c r="FE33">
        <f>FE32*IF(OR($C32=61,$G32=61),0,1)</f>
        <v/>
      </c>
      <c r="FF33">
        <f>FF32*IF(OR($C32=62,$G32=62),0,1)</f>
        <v/>
      </c>
      <c r="FG33">
        <f>FG32*IF(OR($C32=63,$G32=63),0,1)</f>
        <v/>
      </c>
      <c r="FH33">
        <f>FH32*IF(OR($C32=64,$G32=64),0,1)</f>
        <v/>
      </c>
      <c r="FI33">
        <f>FI32*IF(OR($C32=65,$G32=65),0,1)</f>
        <v/>
      </c>
      <c r="FJ33">
        <f>FJ32*IF(OR($C32=66,$G32=66),0,1)</f>
        <v/>
      </c>
      <c r="FK33">
        <f>FK32*IF(OR($C32=67,$G32=67),0,1)</f>
        <v/>
      </c>
      <c r="FL33">
        <f>FL32*IF(OR($C32=68,$G32=68),0,1)</f>
        <v/>
      </c>
      <c r="FM33">
        <f>FM32*IF(OR($C32=69,$G32=69),0,1)</f>
        <v/>
      </c>
      <c r="FN33">
        <f>FN32*IF(OR($C32=70,$G32=70),0,1)</f>
        <v/>
      </c>
      <c r="FO33">
        <f>FO32*IF(OR($C32=71,$G32=71),0,1)</f>
        <v/>
      </c>
      <c r="FP33">
        <f>FP32*IF(OR($C32=72,$G32=72),0,1)</f>
        <v/>
      </c>
      <c r="FQ33">
        <f>FQ32*IF(OR($C32=73,$G32=73),0,1)</f>
        <v/>
      </c>
      <c r="FR33">
        <f>FR32*IF(OR($C32=74,$G32=74),0,1)</f>
        <v/>
      </c>
      <c r="FS33">
        <f>FS32*IF(OR($C32=75,$G32=75),0,1)</f>
        <v/>
      </c>
      <c r="FT33">
        <f>FT32*IF(OR($C32=76,$G32=76),0,1)</f>
        <v/>
      </c>
      <c r="FU33">
        <f>FU32*IF(OR($C32=77,$G32=77),0,1)</f>
        <v/>
      </c>
      <c r="FV33">
        <f>FV32*IF(OR($C32=78,$G32=78),0,1)</f>
        <v/>
      </c>
      <c r="FW33">
        <f>FW32*IF(OR($C32=79,$G32=79),0,1)</f>
        <v/>
      </c>
      <c r="FX33">
        <f>FX32*IF(OR($C32=80,$G32=80),0,1)</f>
        <v/>
      </c>
      <c r="FY33">
        <f>FY32*IF(OR($C32=81,$G32=81),0,1)</f>
        <v/>
      </c>
      <c r="FZ33">
        <f>FZ32*IF(OR($C32=82,$G32=82),0,1)</f>
        <v/>
      </c>
      <c r="GA33">
        <f>GA32*IF(OR($C32=83,$G32=83),0,1)</f>
        <v/>
      </c>
      <c r="GB33">
        <f>GB32*IF(OR($C32=84,$G32=84),0,1)</f>
        <v/>
      </c>
      <c r="GC33">
        <f>GC32*IF(OR($C32=85,$G32=85),0,1)</f>
        <v/>
      </c>
      <c r="GD33">
        <f>GD32*IF(OR($C32=86,$G32=86),0,1)</f>
        <v/>
      </c>
      <c r="GE33">
        <f>GE32*IF(OR($C32=87,$G32=87),0,1)</f>
        <v/>
      </c>
      <c r="GF33">
        <f>GF32*IF(OR($C32=88,$G32=88),0,1)</f>
        <v/>
      </c>
      <c r="GG33">
        <f>GG32*IF(OR($C32=89,$G32=89),0,1)</f>
        <v/>
      </c>
      <c r="GH33">
        <f>GH32*IF(OR($C32=90,$G32=90),0,1)</f>
        <v/>
      </c>
      <c r="GI33">
        <f>GI32*IF(OR($C32=91,$G32=91),0,1)</f>
        <v/>
      </c>
      <c r="GJ33">
        <f>GJ32*IF(OR($C32=92,$G32=92),0,1)</f>
        <v/>
      </c>
      <c r="GK33">
        <f>GK32*IF(OR($C32=93,$G32=93),0,1)</f>
        <v/>
      </c>
      <c r="GL33">
        <f>GL32*IF(OR($C32=94,$G32=94),0,1)</f>
        <v/>
      </c>
      <c r="GM33">
        <f>GM32*IF(OR($C32=95,$G32=95),0,1)</f>
        <v/>
      </c>
      <c r="GN33">
        <f>GN32*IF(OR($C32=96,$G32=96),0,1)</f>
        <v/>
      </c>
      <c r="GO33">
        <f>GO32*IF(OR($C32=97,$G32=97),0,1)</f>
        <v/>
      </c>
      <c r="GP33">
        <f>GP32*IF(OR($C32=98,$G32=98),0,1)</f>
        <v/>
      </c>
      <c r="GQ33">
        <f>GQ32*IF(OR($C32=99,$G32=99),0,1)</f>
        <v/>
      </c>
      <c r="GR33">
        <f>GR32*IF(OR($C32=100,$G32=100),0,1)</f>
        <v/>
      </c>
      <c r="GS33">
        <f>GS32*IF(OR($C32=101,$G32=101),0,1)</f>
        <v/>
      </c>
      <c r="GT33">
        <f>GT32*IF(OR($C32=102,$G32=102),0,1)</f>
        <v/>
      </c>
      <c r="GU33">
        <f>GU32*IF(OR($C32=103,$G32=103),0,1)</f>
        <v/>
      </c>
      <c r="GV33">
        <f>GV32*IF(OR($C32=104,$G32=104),0,1)</f>
        <v/>
      </c>
      <c r="GW33">
        <f>GW32*IF(OR($C32=105,$G32=105),0,1)</f>
        <v/>
      </c>
      <c r="GX33">
        <f>GX32*IF(OR($C32=106,$G32=106),0,1)</f>
        <v/>
      </c>
      <c r="GY33">
        <f>GY32*IF(OR($C32=107,$G32=107),0,1)</f>
        <v/>
      </c>
      <c r="GZ33">
        <f>GZ32*IF(OR($C32=108,$G32=108),0,1)</f>
        <v/>
      </c>
      <c r="HA33">
        <f>HA32*IF(OR($C32=109,$G32=109),0,1)</f>
        <v/>
      </c>
      <c r="HB33">
        <f>HB32*IF(OR($C32=110,$G32=110),0,1)</f>
        <v/>
      </c>
      <c r="HC33">
        <f>HC32*IF(OR($C32=111,$G32=111),0,1)</f>
        <v/>
      </c>
      <c r="HD33">
        <f>HD32*IF(OR($C32=112,$G32=112),0,1)</f>
        <v/>
      </c>
      <c r="HE33">
        <f>HE32*IF(OR($C32=113,$G32=113),0,1)</f>
        <v/>
      </c>
      <c r="HF33">
        <f>HF32*IF(OR($C32=114,$G32=114),0,1)</f>
        <v/>
      </c>
      <c r="HG33">
        <f>HG32*IF(OR($C32=115,$G32=115),0,1)</f>
        <v/>
      </c>
      <c r="HH33">
        <f>HH32*IF(OR($C32=116,$G32=116),0,1)</f>
        <v/>
      </c>
      <c r="HI33">
        <f>HI32*IF(OR($C32=117,$G32=117),0,1)</f>
        <v/>
      </c>
      <c r="HJ33">
        <f>HJ32*IF(OR($C32=118,$G32=118),0,1)</f>
        <v/>
      </c>
      <c r="HK33">
        <f>HK32*IF(OR($C32=119,$G32=119),0,1)</f>
        <v/>
      </c>
      <c r="HL33">
        <f>HL32*IF(OR($C32=120,$G32=120),0,1)</f>
        <v/>
      </c>
      <c r="HM33">
        <f>HM32*IF(OR($C32=121,$G32=121),0,1)</f>
        <v/>
      </c>
      <c r="HN33">
        <f>HN32*IF(OR($C32=122,$G32=122),0,1)</f>
        <v/>
      </c>
      <c r="HO33">
        <f>HO32*IF(OR($C32=123,$G32=123),0,1)</f>
        <v/>
      </c>
      <c r="HP33">
        <f>HP32*IF(OR($C32=124,$G32=124),0,1)</f>
        <v/>
      </c>
      <c r="HQ33">
        <f>HQ32*IF(OR($C32=125,$G32=125),0,1)</f>
        <v/>
      </c>
      <c r="HR33">
        <f>HR32*IF(OR($C32=126,$G32=126),0,1)</f>
        <v/>
      </c>
      <c r="HS33">
        <f>HS32*IF(OR($C32=127,$G32=127),0,1)</f>
        <v/>
      </c>
      <c r="HT33">
        <f>HT32*IF(OR($C32=128,$G32=128),0,1)</f>
        <v/>
      </c>
      <c r="HU33">
        <f>HU32*IF(OR($C32=129,$G32=129),0,1)</f>
        <v/>
      </c>
      <c r="HV33">
        <f>HV32*IF(OR($C32=130,$G32=130),0,1)</f>
        <v/>
      </c>
      <c r="HW33">
        <f>HW32*IF(OR($C32=131,$G32=131),0,1)</f>
        <v/>
      </c>
      <c r="HX33">
        <f>HX32*IF(OR($C32=132,$G32=132),0,1)</f>
        <v/>
      </c>
      <c r="HY33">
        <f>HY32*IF(OR($C32=133,$G32=133),0,1)</f>
        <v/>
      </c>
      <c r="HZ33">
        <f>HZ32*IF(OR($C32=134,$G32=134),0,1)</f>
        <v/>
      </c>
      <c r="IA33">
        <f>IA32*IF(OR($C32=135,$G32=135),0,1)</f>
        <v/>
      </c>
      <c r="IB33">
        <f>IB32*IF(OR($C32=136,$G32=136),0,1)</f>
        <v/>
      </c>
      <c r="IC33">
        <f>IC32*IF(OR($C32=137,$G32=137),0,1)</f>
        <v/>
      </c>
      <c r="ID33">
        <f>ID32*IF(OR($C32=138,$G32=138),0,1)</f>
        <v/>
      </c>
      <c r="IE33">
        <f>IE32*IF(OR($C32=139,$G32=139),0,1)</f>
        <v/>
      </c>
      <c r="IF33">
        <f>IF32*IF(OR($C32=140,$G32=140),0,1)</f>
        <v/>
      </c>
      <c r="IG33">
        <f>IG32*IF(OR($C32=141,$G32=141),0,1)</f>
        <v/>
      </c>
      <c r="IH33">
        <f>IH32*IF(OR($C32=142,$G32=142),0,1)</f>
        <v/>
      </c>
      <c r="II33">
        <f>II32*IF(OR($C32=143,$G32=143),0,1)</f>
        <v/>
      </c>
      <c r="IJ33">
        <f>IJ32*IF(OR($C32=144,$G32=144),0,1)</f>
        <v/>
      </c>
      <c r="IK33">
        <f>IK32*IF(OR($C32=145,$G32=145),0,1)</f>
        <v/>
      </c>
      <c r="IL33">
        <f>IL32*IF(OR($C32=146,$G32=146),0,1)</f>
        <v/>
      </c>
      <c r="IM33">
        <f>IM32*IF(OR($C32=147,$G32=147),0,1)</f>
        <v/>
      </c>
      <c r="IN33">
        <f>IN32*IF(OR($C32=148,$G32=148),0,1)</f>
        <v/>
      </c>
      <c r="IO33">
        <f>IO32*IF(OR($C32=149,$G32=149),0,1)</f>
        <v/>
      </c>
      <c r="IP33">
        <f>IP32*IF(OR($C32=150,$G32=150),0,1)</f>
        <v/>
      </c>
      <c r="IQ33">
        <f>IQ32*IF(OR($C32=151,$G32=151),0,1)</f>
        <v/>
      </c>
      <c r="IR33">
        <f>IR32*IF(OR($C32=152,$G32=152),0,1)</f>
        <v/>
      </c>
      <c r="IS33">
        <f>IS32*IF(OR($C32=153,$G32=153),0,1)</f>
        <v/>
      </c>
      <c r="IT33">
        <f>IT32*IF(OR($C32=154,$G32=154),0,1)</f>
        <v/>
      </c>
      <c r="IU33">
        <f>IU32*IF(OR($C32=155,$G32=155),0,1)</f>
        <v/>
      </c>
      <c r="IV33">
        <f>IV32*IF(OR($C32=156,$G32=156),0,1)</f>
        <v/>
      </c>
      <c r="IW33">
        <f>IW32*IF(OR($C32=157,$G32=157),0,1)</f>
        <v/>
      </c>
      <c r="IX33">
        <f>IX32*IF(OR($C32=158,$G32=158),0,1)</f>
        <v/>
      </c>
      <c r="IY33">
        <f>IY32*IF(OR($C32=159,$G32=159),0,1)</f>
        <v/>
      </c>
      <c r="IZ33">
        <f>IZ32*IF(OR($C32=160,$G32=160),0,1)</f>
        <v/>
      </c>
      <c r="JA33">
        <f>JA32*IF(OR($C32=161,$G32=161),0,1)</f>
        <v/>
      </c>
      <c r="JB33">
        <f>JB32*IF(OR($C32=162,$G32=162),0,1)</f>
        <v/>
      </c>
      <c r="JC33">
        <f>JC32*IF(OR($C32=163,$G32=163),0,1)</f>
        <v/>
      </c>
      <c r="JD33">
        <f>JD32*IF(OR($C32=164,$G32=164),0,1)</f>
        <v/>
      </c>
      <c r="JE33">
        <f>JE32*IF(OR($C32=165,$G32=165),0,1)</f>
        <v/>
      </c>
      <c r="JF33">
        <f>JF32*IF(OR($C32=166,$G32=166),0,1)</f>
        <v/>
      </c>
      <c r="JG33">
        <f>JG32*IF(OR($C32=167,$G32=167),0,1)</f>
        <v/>
      </c>
      <c r="JH33">
        <f>JH32*IF(OR($C32=168,$G32=168),0,1)</f>
        <v/>
      </c>
      <c r="JI33">
        <f>JI32*IF(OR($C32=169,$G32=169),0,1)</f>
        <v/>
      </c>
      <c r="JJ33">
        <f>JJ32*IF(OR($C32=170,$G32=170),0,1)</f>
        <v/>
      </c>
      <c r="JK33">
        <f>JK32*IF(OR($C32=171,$G32=171),0,1)</f>
        <v/>
      </c>
      <c r="JL33">
        <f>JL32*IF(OR($C32=172,$G32=172),0,1)</f>
        <v/>
      </c>
      <c r="JM33">
        <f>JM32*IF(OR($C32=173,$G32=173),0,1)</f>
        <v/>
      </c>
      <c r="JN33">
        <f>JN32*IF(OR($C32=174,$G32=174),0,1)</f>
        <v/>
      </c>
      <c r="JO33">
        <f>JO32*IF(OR($C32=175,$G32=175),0,1)</f>
        <v/>
      </c>
      <c r="JP33">
        <f>JP32*IF(OR($C32=176,$G32=176),0,1)</f>
        <v/>
      </c>
      <c r="JQ33">
        <f>JQ32*IF(OR($C32=177,$G32=177),0,1)</f>
        <v/>
      </c>
      <c r="JR33">
        <f>JR32*IF(OR($C32=178,$G32=178),0,1)</f>
        <v/>
      </c>
      <c r="JS33">
        <f>JS32*IF(OR($C32=179,$G32=179),0,1)</f>
        <v/>
      </c>
      <c r="JT33">
        <f>JT32*IF(OR($C32=180,$G32=180),0,1)</f>
        <v/>
      </c>
      <c r="JU33">
        <f>JU32*IF(OR($C32=181,$G32=181),0,1)</f>
        <v/>
      </c>
      <c r="JV33">
        <f>JV32*IF(OR($C32=182,$G32=182),0,1)</f>
        <v/>
      </c>
      <c r="JW33">
        <f>JW32*IF(OR($C32=183,$G32=183),0,1)</f>
        <v/>
      </c>
      <c r="JX33">
        <f>JX32*IF(OR($C32=184,$G32=184),0,1)</f>
        <v/>
      </c>
      <c r="JY33">
        <f>JY32*IF(OR($C32=185,$G32=185),0,1)</f>
        <v/>
      </c>
      <c r="JZ33">
        <f>JZ32*IF(OR($C32=186,$G32=186),0,1)</f>
        <v/>
      </c>
      <c r="KA33">
        <f>KA32*IF(OR($C32=187,$G32=187),0,1)</f>
        <v/>
      </c>
      <c r="KB33">
        <f>KB32*IF(OR($C32=188,$G32=188),0,1)</f>
        <v/>
      </c>
      <c r="KC33">
        <f>KC32*IF(OR($C32=189,$G32=189),0,1)</f>
        <v/>
      </c>
      <c r="KD33">
        <f>KD32*IF(OR($C32=190,$G32=190),0,1)</f>
        <v/>
      </c>
      <c r="KE33">
        <f>KE32*IF(OR($C32=191,$G32=191),0,1)</f>
        <v/>
      </c>
      <c r="KF33">
        <f>KF32*IF(OR($C32=192,$G32=192),0,1)</f>
        <v/>
      </c>
      <c r="KG33">
        <f>KG32*IF(OR($C32=193,$G32=193),0,1)</f>
        <v/>
      </c>
      <c r="KH33">
        <f>KH32*IF(OR($C32=194,$G32=194),0,1)</f>
        <v/>
      </c>
      <c r="KI33">
        <f>KI32*IF(OR($C32=195,$G32=195),0,1)</f>
        <v/>
      </c>
      <c r="KJ33">
        <f>KJ32*IF(OR($C32=196,$G32=196),0,1)</f>
        <v/>
      </c>
      <c r="KK33">
        <f>KK32*IF(OR($C32=197,$G32=197),0,1)</f>
        <v/>
      </c>
      <c r="KL33">
        <f>KL32*IF(OR($C32=198,$G32=198),0,1)</f>
        <v/>
      </c>
      <c r="KM33">
        <f>KM32*IF(OR($C32=199,$G32=199),0,1)</f>
        <v/>
      </c>
      <c r="KN33">
        <f>KN32*IF(OR($C32=200,$G32=200),0,1)</f>
        <v/>
      </c>
      <c r="KO33">
        <f>KO32*IF(OR($C32=201,$G32=201),0,1)</f>
        <v/>
      </c>
      <c r="KP33">
        <f>KP32*IF(OR($C32=202,$G32=202),0,1)</f>
        <v/>
      </c>
      <c r="KQ33">
        <f>KQ32*IF(OR($C32=203,$G32=203),0,1)</f>
        <v/>
      </c>
      <c r="KR33">
        <f>KR32*IF(OR($C32=204,$G32=204),0,1)</f>
        <v/>
      </c>
      <c r="KS33">
        <f>KS32*IF(OR($C32=205,$G32=205),0,1)</f>
        <v/>
      </c>
      <c r="KT33">
        <f>KT32*IF(OR($C32=206,$G32=206),0,1)</f>
        <v/>
      </c>
      <c r="KU33">
        <f>KU32*IF(OR($C32=207,$G32=207),0,1)</f>
        <v/>
      </c>
      <c r="KV33">
        <f>KV32*IF(OR($C32=208,$G32=208),0,1)</f>
        <v/>
      </c>
      <c r="KW33">
        <f>KW32*IF(OR($C32=209,$G32=209),0,1)</f>
        <v/>
      </c>
      <c r="KX33">
        <f>KX32*IF(OR($C32=210,$G32=210),0,1)</f>
        <v/>
      </c>
      <c r="KY33">
        <f>KY32*IF(OR($C32=211,$G32=211),0,1)</f>
        <v/>
      </c>
      <c r="KZ33">
        <f>KZ32*IF(OR($C32=212,$G32=212),0,1)</f>
        <v/>
      </c>
      <c r="LA33">
        <f>LA32*IF(OR($C32=213,$G32=213),0,1)</f>
        <v/>
      </c>
      <c r="LB33">
        <f>LB32*IF(OR($C32=214,$G32=214),0,1)</f>
        <v/>
      </c>
      <c r="LC33">
        <f>LC32*IF(OR($C32=215,$G32=215),0,1)</f>
        <v/>
      </c>
      <c r="LD33">
        <f>LD32*IF(OR($C32=216,$G32=216),0,1)</f>
        <v/>
      </c>
      <c r="LE33">
        <f>LE32*IF(OR($C32=217,$G32=217),0,1)</f>
        <v/>
      </c>
      <c r="LF33">
        <f>LF32*IF(OR($C32=218,$G32=218),0,1)</f>
        <v/>
      </c>
      <c r="LG33">
        <f>LG32*IF(OR($C32=219,$G32=219),0,1)</f>
        <v/>
      </c>
      <c r="LH33">
        <f>LH32*IF(OR($C32=220,$G32=220),0,1)</f>
        <v/>
      </c>
      <c r="LI33">
        <f>LI32*IF(OR($C32=221,$G32=221),0,1)</f>
        <v/>
      </c>
      <c r="LJ33">
        <f>LJ32*IF(OR($C32=222,$G32=222),0,1)</f>
        <v/>
      </c>
      <c r="LK33">
        <f>LK32*IF(OR($C32=223,$G32=223),0,1)</f>
        <v/>
      </c>
      <c r="LL33">
        <f>LL32*IF(OR($C32=224,$G32=224),0,1)</f>
        <v/>
      </c>
      <c r="LM33">
        <f>LM32*IF(OR($C32=225,$G32=225),0,1)</f>
        <v/>
      </c>
      <c r="LN33">
        <f>LN32*IF(OR($C32=226,$G32=226),0,1)</f>
        <v/>
      </c>
      <c r="LO33">
        <f>LO32*IF(OR($C32=227,$G32=227),0,1)</f>
        <v/>
      </c>
      <c r="LP33">
        <f>LP32*IF(OR($C32=228,$G32=228),0,1)</f>
        <v/>
      </c>
      <c r="LQ33">
        <f>LQ32*IF(OR($C32=229,$G32=229),0,1)</f>
        <v/>
      </c>
      <c r="LR33">
        <f>LR32*IF(OR($C32=230,$G32=230),0,1)</f>
        <v/>
      </c>
      <c r="LS33">
        <f>LS32*IF(OR($C32=231,$G32=231),0,1)</f>
        <v/>
      </c>
      <c r="LT33">
        <f>LT32*IF(OR($C32=232,$G32=232),0,1)</f>
        <v/>
      </c>
      <c r="LU33">
        <f>LU32*IF(OR($C32=233,$G32=233),0,1)</f>
        <v/>
      </c>
      <c r="LV33">
        <f>LV32*IF(OR($C32=234,$G32=234),0,1)</f>
        <v/>
      </c>
      <c r="LW33">
        <f>LW32*IF(OR($C32=235,$G32=235),0,1)</f>
        <v/>
      </c>
      <c r="LX33">
        <f>LX32*IF(OR($C32=236,$G32=236),0,1)</f>
        <v/>
      </c>
      <c r="LY33">
        <f>LY32*IF(OR($C32=237,$G32=237),0,1)</f>
        <v/>
      </c>
      <c r="LZ33">
        <f>LZ32*IF(OR($C32=238,$G32=238),0,1)</f>
        <v/>
      </c>
      <c r="MA33">
        <f>MA32*IF(OR($C32=239,$G32=239),0,1)</f>
        <v/>
      </c>
      <c r="MB33">
        <f>MB32*IF(OR($C32=240,$G32=240),0,1)</f>
        <v/>
      </c>
      <c r="MD33">
        <f>IF('計算A'!D$106=1,CX33,1)</f>
        <v/>
      </c>
      <c r="ME33">
        <f>IF('計算A'!E$106=1,CY33,1)</f>
        <v/>
      </c>
      <c r="MF33">
        <f>IF('計算A'!F$106=1,CZ33,1)</f>
        <v/>
      </c>
      <c r="MG33">
        <f>IF('計算A'!G$106=1,DA33,1)</f>
        <v/>
      </c>
      <c r="MH33">
        <f>IF('計算A'!H$106=1,DB33,1)</f>
        <v/>
      </c>
      <c r="MI33">
        <f>IF('計算A'!I$106=1,DC33,1)</f>
        <v/>
      </c>
      <c r="MJ33">
        <f>IF('計算A'!J$106=1,DD33,1)</f>
        <v/>
      </c>
      <c r="MK33">
        <f>IF('計算A'!K$106=1,DE33,1)</f>
        <v/>
      </c>
      <c r="ML33">
        <f>IF('計算A'!L$106=1,DF33,1)</f>
        <v/>
      </c>
      <c r="MM33">
        <f>IF('計算A'!M$106=1,DG33,1)</f>
        <v/>
      </c>
      <c r="MN33">
        <f>IF('計算A'!N$106=1,DH33,1)</f>
        <v/>
      </c>
      <c r="MO33">
        <f>IF('計算A'!O$106=1,DI33,1)</f>
        <v/>
      </c>
      <c r="MP33">
        <f>IF('計算A'!P$106=1,DJ33,1)</f>
        <v/>
      </c>
      <c r="MQ33">
        <f>IF('計算A'!Q$106=1,DK33,1)</f>
        <v/>
      </c>
      <c r="MR33">
        <f>IF('計算A'!R$106=1,DL33,1)</f>
        <v/>
      </c>
      <c r="MS33">
        <f>IF('計算A'!S$106=1,DM33,1)</f>
        <v/>
      </c>
      <c r="MT33">
        <f>IF('計算A'!T$106=1,DN33,1)</f>
        <v/>
      </c>
      <c r="MU33">
        <f>IF('計算A'!U$106=1,DO33,1)</f>
        <v/>
      </c>
      <c r="MV33">
        <f>IF('計算A'!V$106=1,DP33,1)</f>
        <v/>
      </c>
      <c r="MW33">
        <f>IF('計算A'!W$106=1,DQ33,1)</f>
        <v/>
      </c>
      <c r="MX33">
        <f>IF('計算A'!X$106=1,DR33,1)</f>
        <v/>
      </c>
      <c r="MY33">
        <f>IF('計算A'!Y$106=1,DS33,1)</f>
        <v/>
      </c>
      <c r="MZ33">
        <f>IF('計算A'!Z$106=1,DT33,1)</f>
        <v/>
      </c>
      <c r="NA33">
        <f>IF('計算A'!AA$106=1,DU33,1)</f>
        <v/>
      </c>
      <c r="NB33">
        <f>IF('計算A'!AB$106=1,DV33,1)</f>
        <v/>
      </c>
      <c r="NC33">
        <f>IF('計算A'!AC$106=1,DW33,1)</f>
        <v/>
      </c>
      <c r="ND33">
        <f>IF('計算A'!AD$106=1,DX33,1)</f>
        <v/>
      </c>
      <c r="NE33">
        <f>IF('計算A'!AE$106=1,DY33,1)</f>
        <v/>
      </c>
      <c r="NF33">
        <f>IF('計算A'!AF$106=1,DZ33,1)</f>
        <v/>
      </c>
      <c r="NG33">
        <f>IF('計算A'!AG$106=1,EA33,1)</f>
        <v/>
      </c>
      <c r="NH33">
        <f>IF('計算A'!AH$106=1,EB33,1)</f>
        <v/>
      </c>
      <c r="NI33">
        <f>IF('計算A'!AI$106=1,EC33,1)</f>
        <v/>
      </c>
      <c r="NJ33">
        <f>IF('計算A'!AJ$106=1,ED33,1)</f>
        <v/>
      </c>
      <c r="NK33">
        <f>IF('計算A'!AK$106=1,EE33,1)</f>
        <v/>
      </c>
      <c r="NL33">
        <f>IF('計算A'!AL$106=1,EF33,1)</f>
        <v/>
      </c>
      <c r="NM33">
        <f>IF('計算A'!AM$106=1,EG33,1)</f>
        <v/>
      </c>
      <c r="NN33">
        <f>IF('計算A'!AN$106=1,EH33,1)</f>
        <v/>
      </c>
      <c r="NO33">
        <f>IF('計算A'!AO$106=1,EI33,1)</f>
        <v/>
      </c>
      <c r="NP33">
        <f>IF('計算A'!AP$106=1,EJ33,1)</f>
        <v/>
      </c>
      <c r="NQ33">
        <f>IF('計算A'!AQ$106=1,EK33,1)</f>
        <v/>
      </c>
      <c r="NR33">
        <f>IF('計算A'!AR$106=1,EL33,1)</f>
        <v/>
      </c>
      <c r="NS33">
        <f>IF('計算A'!AS$106=1,EM33,1)</f>
        <v/>
      </c>
      <c r="NT33">
        <f>IF('計算A'!AT$106=1,EN33,1)</f>
        <v/>
      </c>
      <c r="NU33">
        <f>IF('計算A'!AU$106=1,EO33,1)</f>
        <v/>
      </c>
      <c r="NV33">
        <f>IF('計算A'!AV$106=1,EP33,1)</f>
        <v/>
      </c>
      <c r="NW33">
        <f>IF('計算A'!AW$106=1,EQ33,1)</f>
        <v/>
      </c>
      <c r="NX33">
        <f>IF('計算A'!AX$106=1,ER33,1)</f>
        <v/>
      </c>
      <c r="NY33">
        <f>IF('計算A'!AY$106=1,ES33,1)</f>
        <v/>
      </c>
      <c r="NZ33">
        <f>IF('計算A'!AZ$106=1,ET33,1)</f>
        <v/>
      </c>
      <c r="OA33">
        <f>IF('計算A'!BA$106=1,EU33,1)</f>
        <v/>
      </c>
      <c r="OB33">
        <f>IF('計算A'!BB$106=1,EV33,1)</f>
        <v/>
      </c>
      <c r="OC33">
        <f>IF('計算A'!BC$106=1,EW33,1)</f>
        <v/>
      </c>
      <c r="OD33">
        <f>IF('計算A'!BD$106=1,EX33,1)</f>
        <v/>
      </c>
      <c r="OE33">
        <f>IF('計算A'!BE$106=1,EY33,1)</f>
        <v/>
      </c>
      <c r="OF33">
        <f>IF('計算A'!BF$106=1,EZ33,1)</f>
        <v/>
      </c>
      <c r="OG33">
        <f>IF('計算A'!BG$106=1,FA33,1)</f>
        <v/>
      </c>
      <c r="OH33">
        <f>IF('計算A'!BH$106=1,FB33,1)</f>
        <v/>
      </c>
      <c r="OI33">
        <f>IF('計算A'!BI$106=1,FC33,1)</f>
        <v/>
      </c>
      <c r="OJ33">
        <f>IF('計算A'!BJ$106=1,FD33,1)</f>
        <v/>
      </c>
      <c r="OK33">
        <f>IF('計算A'!BK$106=1,FE33,1)</f>
        <v/>
      </c>
      <c r="OL33">
        <f>IF('計算A'!BL$106=1,FF33,1)</f>
        <v/>
      </c>
      <c r="OM33">
        <f>IF('計算A'!BM$106=1,FG33,1)</f>
        <v/>
      </c>
      <c r="ON33">
        <f>IF('計算A'!BN$106=1,FH33,1)</f>
        <v/>
      </c>
      <c r="OO33">
        <f>IF('計算A'!BO$106=1,FI33,1)</f>
        <v/>
      </c>
      <c r="OP33">
        <f>IF('計算A'!BP$106=1,FJ33,1)</f>
        <v/>
      </c>
      <c r="OQ33">
        <f>IF('計算A'!BQ$106=1,FK33,1)</f>
        <v/>
      </c>
      <c r="OR33">
        <f>IF('計算A'!BR$106=1,FL33,1)</f>
        <v/>
      </c>
      <c r="OS33">
        <f>IF('計算A'!BS$106=1,FM33,1)</f>
        <v/>
      </c>
      <c r="OT33">
        <f>IF('計算A'!BT$106=1,FN33,1)</f>
        <v/>
      </c>
      <c r="OU33">
        <f>IF('計算A'!BU$106=1,FO33,1)</f>
        <v/>
      </c>
      <c r="OV33">
        <f>IF('計算A'!BV$106=1,FP33,1)</f>
        <v/>
      </c>
      <c r="OW33">
        <f>IF('計算A'!BW$106=1,FQ33,1)</f>
        <v/>
      </c>
      <c r="OX33">
        <f>IF('計算A'!BX$106=1,FR33,1)</f>
        <v/>
      </c>
      <c r="OY33">
        <f>IF('計算A'!BY$106=1,FS33,1)</f>
        <v/>
      </c>
      <c r="OZ33">
        <f>IF('計算A'!BZ$106=1,FT33,1)</f>
        <v/>
      </c>
      <c r="PA33">
        <f>IF('計算A'!CA$106=1,FU33,1)</f>
        <v/>
      </c>
      <c r="PB33">
        <f>IF('計算A'!CB$106=1,FV33,1)</f>
        <v/>
      </c>
      <c r="PC33">
        <f>IF('計算A'!CC$106=1,FW33,1)</f>
        <v/>
      </c>
      <c r="PD33">
        <f>IF('計算A'!CD$106=1,FX33,1)</f>
        <v/>
      </c>
      <c r="PE33">
        <f>IF('計算A'!CE$106=1,FY33,1)</f>
        <v/>
      </c>
      <c r="PF33">
        <f>IF('計算A'!CF$106=1,FZ33,1)</f>
        <v/>
      </c>
      <c r="PG33">
        <f>IF('計算A'!CG$106=1,GA33,1)</f>
        <v/>
      </c>
      <c r="PH33">
        <f>IF('計算A'!CH$106=1,GB33,1)</f>
        <v/>
      </c>
      <c r="PI33">
        <f>IF('計算A'!CI$106=1,GC33,1)</f>
        <v/>
      </c>
      <c r="PJ33">
        <f>IF('計算A'!CJ$106=1,GD33,1)</f>
        <v/>
      </c>
      <c r="PK33">
        <f>IF('計算A'!CK$106=1,GE33,1)</f>
        <v/>
      </c>
      <c r="PL33">
        <f>IF('計算A'!CL$106=1,GF33,1)</f>
        <v/>
      </c>
      <c r="PM33">
        <f>IF('計算A'!CM$106=1,GG33,1)</f>
        <v/>
      </c>
      <c r="PN33">
        <f>IF('計算A'!CN$106=1,GH33,1)</f>
        <v/>
      </c>
      <c r="PO33">
        <f>IF('計算A'!CO$106=1,GI33,1)</f>
        <v/>
      </c>
      <c r="PP33">
        <f>IF('計算A'!CP$106=1,GJ33,1)</f>
        <v/>
      </c>
      <c r="PQ33">
        <f>IF('計算A'!CQ$106=1,GK33,1)</f>
        <v/>
      </c>
      <c r="PR33">
        <f>IF('計算A'!CR$106=1,GL33,1)</f>
        <v/>
      </c>
      <c r="PS33">
        <f>IF('計算A'!CS$106=1,GM33,1)</f>
        <v/>
      </c>
      <c r="PT33">
        <f>IF('計算A'!CT$106=1,GN33,1)</f>
        <v/>
      </c>
      <c r="PU33">
        <f>IF('計算A'!CU$106=1,GO33,1)</f>
        <v/>
      </c>
      <c r="PV33">
        <f>IF('計算A'!CV$106=1,GP33,1)</f>
        <v/>
      </c>
      <c r="PW33">
        <f>IF('計算A'!CW$106=1,GQ33,1)</f>
        <v/>
      </c>
      <c r="PX33">
        <f>IF('計算A'!CX$106=1,GR33,1)</f>
        <v/>
      </c>
      <c r="PY33">
        <f>IF('計算A'!CY$106=1,GS33,1)</f>
        <v/>
      </c>
      <c r="PZ33">
        <f>IF('計算A'!CZ$106=1,GT33,1)</f>
        <v/>
      </c>
      <c r="QA33">
        <f>IF('計算A'!DA$106=1,GU33,1)</f>
        <v/>
      </c>
      <c r="QB33">
        <f>IF('計算A'!DB$106=1,GV33,1)</f>
        <v/>
      </c>
      <c r="QC33">
        <f>IF('計算A'!DC$106=1,GW33,1)</f>
        <v/>
      </c>
      <c r="QD33">
        <f>IF('計算A'!DD$106=1,GX33,1)</f>
        <v/>
      </c>
      <c r="QE33">
        <f>IF('計算A'!DE$106=1,GY33,1)</f>
        <v/>
      </c>
      <c r="QF33">
        <f>IF('計算A'!DF$106=1,GZ33,1)</f>
        <v/>
      </c>
      <c r="QG33">
        <f>IF('計算A'!DG$106=1,HA33,1)</f>
        <v/>
      </c>
      <c r="QH33">
        <f>IF('計算A'!DH$106=1,HB33,1)</f>
        <v/>
      </c>
      <c r="QI33">
        <f>IF('計算A'!DI$106=1,HC33,1)</f>
        <v/>
      </c>
      <c r="QJ33">
        <f>IF('計算A'!DJ$106=1,HD33,1)</f>
        <v/>
      </c>
      <c r="QK33">
        <f>IF('計算A'!DK$106=1,HE33,1)</f>
        <v/>
      </c>
      <c r="QL33">
        <f>IF('計算A'!DL$106=1,HF33,1)</f>
        <v/>
      </c>
      <c r="QM33">
        <f>IF('計算A'!DM$106=1,HG33,1)</f>
        <v/>
      </c>
      <c r="QN33">
        <f>IF('計算A'!DN$106=1,HH33,1)</f>
        <v/>
      </c>
      <c r="QO33">
        <f>IF('計算A'!DO$106=1,HI33,1)</f>
        <v/>
      </c>
      <c r="QP33">
        <f>IF('計算A'!DP$106=1,HJ33,1)</f>
        <v/>
      </c>
      <c r="QQ33">
        <f>IF('計算A'!DQ$106=1,HK33,1)</f>
        <v/>
      </c>
      <c r="QR33">
        <f>IF('計算A'!DR$106=1,HL33,1)</f>
        <v/>
      </c>
      <c r="QS33">
        <f>IF('計算A'!DS$106=1,HM33,1)</f>
        <v/>
      </c>
      <c r="QT33">
        <f>IF('計算A'!DT$106=1,HN33,1)</f>
        <v/>
      </c>
      <c r="QU33">
        <f>IF('計算A'!DU$106=1,HO33,1)</f>
        <v/>
      </c>
      <c r="QV33">
        <f>IF('計算A'!DV$106=1,HP33,1)</f>
        <v/>
      </c>
      <c r="QW33">
        <f>IF('計算A'!DW$106=1,HQ33,1)</f>
        <v/>
      </c>
      <c r="QX33">
        <f>IF('計算A'!DX$106=1,HR33,1)</f>
        <v/>
      </c>
      <c r="QY33">
        <f>IF('計算A'!DY$106=1,HS33,1)</f>
        <v/>
      </c>
      <c r="QZ33">
        <f>IF('計算A'!DZ$106=1,HT33,1)</f>
        <v/>
      </c>
      <c r="RA33">
        <f>IF('計算A'!EA$106=1,HU33,1)</f>
        <v/>
      </c>
      <c r="RB33">
        <f>IF('計算A'!EB$106=1,HV33,1)</f>
        <v/>
      </c>
      <c r="RC33">
        <f>IF('計算A'!EC$106=1,HW33,1)</f>
        <v/>
      </c>
      <c r="RD33">
        <f>IF('計算A'!ED$106=1,HX33,1)</f>
        <v/>
      </c>
      <c r="RE33">
        <f>IF('計算A'!EE$106=1,HY33,1)</f>
        <v/>
      </c>
      <c r="RF33">
        <f>IF('計算A'!EF$106=1,HZ33,1)</f>
        <v/>
      </c>
      <c r="RG33">
        <f>IF('計算A'!EG$106=1,IA33,1)</f>
        <v/>
      </c>
      <c r="RH33">
        <f>IF('計算A'!EH$106=1,IB33,1)</f>
        <v/>
      </c>
      <c r="RI33">
        <f>IF('計算A'!EI$106=1,IC33,1)</f>
        <v/>
      </c>
      <c r="RJ33">
        <f>IF('計算A'!EJ$106=1,ID33,1)</f>
        <v/>
      </c>
      <c r="RK33">
        <f>IF('計算A'!EK$106=1,IE33,1)</f>
        <v/>
      </c>
      <c r="RL33">
        <f>IF('計算A'!EL$106=1,IF33,1)</f>
        <v/>
      </c>
      <c r="RM33">
        <f>IF('計算A'!EM$106=1,IG33,1)</f>
        <v/>
      </c>
      <c r="RN33">
        <f>IF('計算A'!EN$106=1,IH33,1)</f>
        <v/>
      </c>
      <c r="RO33">
        <f>IF('計算A'!EO$106=1,II33,1)</f>
        <v/>
      </c>
      <c r="RP33">
        <f>IF('計算A'!EP$106=1,IJ33,1)</f>
        <v/>
      </c>
      <c r="RQ33">
        <f>IF('計算A'!EQ$106=1,IK33,1)</f>
        <v/>
      </c>
      <c r="RR33">
        <f>IF('計算A'!ER$106=1,IL33,1)</f>
        <v/>
      </c>
      <c r="RS33">
        <f>IF('計算A'!ES$106=1,IM33,1)</f>
        <v/>
      </c>
      <c r="RT33">
        <f>IF('計算A'!ET$106=1,IN33,1)</f>
        <v/>
      </c>
      <c r="RU33">
        <f>IF('計算A'!EU$106=1,IO33,1)</f>
        <v/>
      </c>
      <c r="RV33">
        <f>IF('計算A'!EV$106=1,IP33,1)</f>
        <v/>
      </c>
      <c r="RW33">
        <f>IF('計算A'!EW$106=1,IQ33,1)</f>
        <v/>
      </c>
      <c r="RX33">
        <f>IF('計算A'!EX$106=1,IR33,1)</f>
        <v/>
      </c>
      <c r="RY33">
        <f>IF('計算A'!EY$106=1,IS33,1)</f>
        <v/>
      </c>
      <c r="RZ33">
        <f>IF('計算A'!EZ$106=1,IT33,1)</f>
        <v/>
      </c>
      <c r="SA33">
        <f>IF('計算A'!FA$106=1,IU33,1)</f>
        <v/>
      </c>
      <c r="SB33">
        <f>IF('計算A'!FB$106=1,IV33,1)</f>
        <v/>
      </c>
      <c r="SC33">
        <f>IF('計算A'!FC$106=1,IW33,1)</f>
        <v/>
      </c>
      <c r="SD33">
        <f>IF('計算A'!FD$106=1,IX33,1)</f>
        <v/>
      </c>
      <c r="SE33">
        <f>IF('計算A'!FE$106=1,IY33,1)</f>
        <v/>
      </c>
      <c r="SF33">
        <f>IF('計算A'!FF$106=1,IZ33,1)</f>
        <v/>
      </c>
      <c r="SG33">
        <f>IF('計算A'!FG$106=1,JA33,1)</f>
        <v/>
      </c>
      <c r="SH33">
        <f>IF('計算A'!FH$106=1,JB33,1)</f>
        <v/>
      </c>
      <c r="SI33">
        <f>IF('計算A'!FI$106=1,JC33,1)</f>
        <v/>
      </c>
      <c r="SJ33">
        <f>IF('計算A'!FJ$106=1,JD33,1)</f>
        <v/>
      </c>
      <c r="SK33">
        <f>IF('計算A'!FK$106=1,JE33,1)</f>
        <v/>
      </c>
      <c r="SL33">
        <f>IF('計算A'!FL$106=1,JF33,1)</f>
        <v/>
      </c>
      <c r="SM33">
        <f>IF('計算A'!FM$106=1,JG33,1)</f>
        <v/>
      </c>
      <c r="SN33">
        <f>IF('計算A'!FN$106=1,JH33,1)</f>
        <v/>
      </c>
      <c r="SO33">
        <f>IF('計算A'!FO$106=1,JI33,1)</f>
        <v/>
      </c>
      <c r="SP33">
        <f>IF('計算A'!FP$106=1,JJ33,1)</f>
        <v/>
      </c>
      <c r="SQ33">
        <f>IF('計算A'!FQ$106=1,JK33,1)</f>
        <v/>
      </c>
      <c r="SR33">
        <f>IF('計算A'!FR$106=1,JL33,1)</f>
        <v/>
      </c>
      <c r="SS33">
        <f>IF('計算A'!FS$106=1,JM33,1)</f>
        <v/>
      </c>
      <c r="ST33">
        <f>IF('計算A'!FT$106=1,JN33,1)</f>
        <v/>
      </c>
      <c r="SU33">
        <f>IF('計算A'!FU$106=1,JO33,1)</f>
        <v/>
      </c>
      <c r="SV33">
        <f>IF('計算A'!FV$106=1,JP33,1)</f>
        <v/>
      </c>
      <c r="SW33">
        <f>IF('計算A'!FW$106=1,JQ33,1)</f>
        <v/>
      </c>
      <c r="SX33">
        <f>IF('計算A'!FX$106=1,JR33,1)</f>
        <v/>
      </c>
      <c r="SY33">
        <f>IF('計算A'!FY$106=1,JS33,1)</f>
        <v/>
      </c>
      <c r="SZ33">
        <f>IF('計算A'!FZ$106=1,JT33,1)</f>
        <v/>
      </c>
      <c r="TA33">
        <f>IF('計算A'!GA$106=1,JU33,1)</f>
        <v/>
      </c>
      <c r="TB33">
        <f>IF('計算A'!GB$106=1,JV33,1)</f>
        <v/>
      </c>
      <c r="TC33">
        <f>IF('計算A'!GC$106=1,JW33,1)</f>
        <v/>
      </c>
      <c r="TD33">
        <f>IF('計算A'!GD$106=1,JX33,1)</f>
        <v/>
      </c>
      <c r="TE33">
        <f>IF('計算A'!GE$106=1,JY33,1)</f>
        <v/>
      </c>
      <c r="TF33">
        <f>IF('計算A'!GF$106=1,JZ33,1)</f>
        <v/>
      </c>
      <c r="TG33">
        <f>IF('計算A'!GG$106=1,KA33,1)</f>
        <v/>
      </c>
      <c r="TH33">
        <f>IF('計算A'!GH$106=1,KB33,1)</f>
        <v/>
      </c>
      <c r="TI33">
        <f>IF('計算A'!GI$106=1,KC33,1)</f>
        <v/>
      </c>
      <c r="TJ33">
        <f>IF('計算A'!GJ$106=1,KD33,1)</f>
        <v/>
      </c>
      <c r="TK33">
        <f>IF('計算A'!GK$106=1,KE33,1)</f>
        <v/>
      </c>
      <c r="TL33">
        <f>IF('計算A'!GL$106=1,KF33,1)</f>
        <v/>
      </c>
      <c r="TM33">
        <f>IF('計算A'!GM$106=1,KG33,1)</f>
        <v/>
      </c>
      <c r="TN33">
        <f>IF('計算A'!GN$106=1,KH33,1)</f>
        <v/>
      </c>
      <c r="TO33">
        <f>IF('計算A'!GO$106=1,KI33,1)</f>
        <v/>
      </c>
      <c r="TP33">
        <f>IF('計算A'!GP$106=1,KJ33,1)</f>
        <v/>
      </c>
      <c r="TQ33">
        <f>IF('計算A'!GQ$106=1,KK33,1)</f>
        <v/>
      </c>
      <c r="TR33">
        <f>IF('計算A'!GR$106=1,KL33,1)</f>
        <v/>
      </c>
      <c r="TS33">
        <f>IF('計算A'!GS$106=1,KM33,1)</f>
        <v/>
      </c>
      <c r="TT33">
        <f>IF('計算A'!GT$106=1,KN33,1)</f>
        <v/>
      </c>
      <c r="TU33">
        <f>IF('計算A'!GU$106=1,KO33,1)</f>
        <v/>
      </c>
      <c r="TV33">
        <f>IF('計算A'!GV$106=1,KP33,1)</f>
        <v/>
      </c>
      <c r="TW33">
        <f>IF('計算A'!GW$106=1,KQ33,1)</f>
        <v/>
      </c>
      <c r="TX33">
        <f>IF('計算A'!GX$106=1,KR33,1)</f>
        <v/>
      </c>
      <c r="TY33">
        <f>IF('計算A'!GY$106=1,KS33,1)</f>
        <v/>
      </c>
      <c r="TZ33">
        <f>IF('計算A'!GZ$106=1,KT33,1)</f>
        <v/>
      </c>
      <c r="UA33">
        <f>IF('計算A'!HA$106=1,KU33,1)</f>
        <v/>
      </c>
      <c r="UB33">
        <f>IF('計算A'!HB$106=1,KV33,1)</f>
        <v/>
      </c>
      <c r="UC33">
        <f>IF('計算A'!HC$106=1,KW33,1)</f>
        <v/>
      </c>
      <c r="UD33">
        <f>IF('計算A'!HD$106=1,KX33,1)</f>
        <v/>
      </c>
      <c r="UE33">
        <f>IF('計算A'!HE$106=1,KY33,1)</f>
        <v/>
      </c>
      <c r="UF33">
        <f>IF('計算A'!HF$106=1,KZ33,1)</f>
        <v/>
      </c>
      <c r="UG33">
        <f>IF('計算A'!HG$106=1,LA33,1)</f>
        <v/>
      </c>
      <c r="UH33">
        <f>IF('計算A'!HH$106=1,LB33,1)</f>
        <v/>
      </c>
      <c r="UI33">
        <f>IF('計算A'!HI$106=1,LC33,1)</f>
        <v/>
      </c>
      <c r="UJ33">
        <f>IF('計算A'!HJ$106=1,LD33,1)</f>
        <v/>
      </c>
      <c r="UK33">
        <f>IF('計算A'!HK$106=1,LE33,1)</f>
        <v/>
      </c>
      <c r="UL33">
        <f>IF('計算A'!HL$106=1,LF33,1)</f>
        <v/>
      </c>
      <c r="UM33">
        <f>IF('計算A'!HM$106=1,LG33,1)</f>
        <v/>
      </c>
      <c r="UN33">
        <f>IF('計算A'!HN$106=1,LH33,1)</f>
        <v/>
      </c>
      <c r="UO33">
        <f>IF('計算A'!HO$106=1,LI33,1)</f>
        <v/>
      </c>
      <c r="UP33">
        <f>IF('計算A'!HP$106=1,LJ33,1)</f>
        <v/>
      </c>
      <c r="UQ33">
        <f>IF('計算A'!HQ$106=1,LK33,1)</f>
        <v/>
      </c>
      <c r="UR33">
        <f>IF('計算A'!HR$106=1,LL33,1)</f>
        <v/>
      </c>
      <c r="US33">
        <f>IF('計算A'!HS$106=1,LM33,1)</f>
        <v/>
      </c>
      <c r="UT33">
        <f>IF('計算A'!HT$106=1,LN33,1)</f>
        <v/>
      </c>
      <c r="UU33">
        <f>IF('計算A'!HU$106=1,LO33,1)</f>
        <v/>
      </c>
      <c r="UV33">
        <f>IF('計算A'!HV$106=1,LP33,1)</f>
        <v/>
      </c>
      <c r="UW33">
        <f>IF('計算A'!HW$106=1,LQ33,1)</f>
        <v/>
      </c>
      <c r="UX33">
        <f>IF('計算A'!HX$106=1,LR33,1)</f>
        <v/>
      </c>
      <c r="UY33">
        <f>IF('計算A'!HY$106=1,LS33,1)</f>
        <v/>
      </c>
      <c r="UZ33">
        <f>IF('計算A'!HZ$106=1,LT33,1)</f>
        <v/>
      </c>
      <c r="VA33">
        <f>IF('計算A'!IA$106=1,LU33,1)</f>
        <v/>
      </c>
      <c r="VB33">
        <f>IF('計算A'!IB$106=1,LV33,1)</f>
        <v/>
      </c>
      <c r="VC33">
        <f>IF('計算A'!IC$106=1,LW33,1)</f>
        <v/>
      </c>
      <c r="VD33">
        <f>IF('計算A'!ID$106=1,LX33,1)</f>
        <v/>
      </c>
      <c r="VE33">
        <f>IF('計算A'!IE$106=1,LY33,1)</f>
        <v/>
      </c>
      <c r="VF33">
        <f>IF('計算A'!IF$106=1,LZ33,1)</f>
        <v/>
      </c>
      <c r="VG33">
        <f>IF('計算A'!IG$106=1,MA33,1)</f>
        <v/>
      </c>
      <c r="VH33">
        <f>IF('計算A'!IH$106=1,MB33,1)</f>
        <v/>
      </c>
      <c r="VI33" t="n">
        <v>1</v>
      </c>
      <c r="VK33">
        <f>IF($B33=0,1000000,IF(INDEX('計算A'!$D$60:$II$104,$B33,1)*CW33=1,IF(AND($E33=2,MD33=0),1000000,INDEX('計算A'!D$110:D$114,$F33+1)+IF(AND($E33=1,MD33=0),1000,0)),1000000))</f>
        <v/>
      </c>
      <c r="VL33">
        <f>IF($B33=0,1000000,IF(INDEX('計算A'!$D$60:$II$104,$B33,2)*CX33=1,IF(AND($E33=2,ME33=0),1000000,INDEX('計算A'!E$110:E$114,$F33+1)+IF(AND($E33=1,ME33=0),1000,0)),1000000))</f>
        <v/>
      </c>
      <c r="VM33">
        <f>IF($B33=0,1000000,IF(INDEX('計算A'!$D$60:$II$104,$B33,3)*CY33=1,IF(AND($E33=2,MF33=0),1000000,INDEX('計算A'!F$110:F$114,$F33+1)+IF(AND($E33=1,MF33=0),1000,0)),1000000))</f>
        <v/>
      </c>
      <c r="VN33">
        <f>IF($B33=0,1000000,IF(INDEX('計算A'!$D$60:$II$104,$B33,4)*CZ33=1,IF(AND($E33=2,MG33=0),1000000,INDEX('計算A'!G$110:G$114,$F33+1)+IF(AND($E33=1,MG33=0),1000,0)),1000000))</f>
        <v/>
      </c>
      <c r="VO33">
        <f>IF($B33=0,1000000,IF(INDEX('計算A'!$D$60:$II$104,$B33,5)*DA33=1,IF(AND($E33=2,MH33=0),1000000,INDEX('計算A'!H$110:H$114,$F33+1)+IF(AND($E33=1,MH33=0),1000,0)),1000000))</f>
        <v/>
      </c>
      <c r="VP33">
        <f>IF($B33=0,1000000,IF(INDEX('計算A'!$D$60:$II$104,$B33,6)*DB33=1,IF(AND($E33=2,MI33=0),1000000,INDEX('計算A'!I$110:I$114,$F33+1)+IF(AND($E33=1,MI33=0),1000,0)),1000000))</f>
        <v/>
      </c>
      <c r="VQ33">
        <f>IF($B33=0,1000000,IF(INDEX('計算A'!$D$60:$II$104,$B33,7)*DC33=1,IF(AND($E33=2,MJ33=0),1000000,INDEX('計算A'!J$110:J$114,$F33+1)+IF(AND($E33=1,MJ33=0),1000,0)),1000000))</f>
        <v/>
      </c>
      <c r="VR33">
        <f>IF($B33=0,1000000,IF(INDEX('計算A'!$D$60:$II$104,$B33,8)*DD33=1,IF(AND($E33=2,MK33=0),1000000,INDEX('計算A'!K$110:K$114,$F33+1)+IF(AND($E33=1,MK33=0),1000,0)),1000000))</f>
        <v/>
      </c>
      <c r="VS33">
        <f>IF($B33=0,1000000,IF(INDEX('計算A'!$D$60:$II$104,$B33,9)*DE33=1,IF(AND($E33=2,ML33=0),1000000,INDEX('計算A'!L$110:L$114,$F33+1)+IF(AND($E33=1,ML33=0),1000,0)),1000000))</f>
        <v/>
      </c>
      <c r="VT33">
        <f>IF($B33=0,1000000,IF(INDEX('計算A'!$D$60:$II$104,$B33,10)*DF33=1,IF(AND($E33=2,MM33=0),1000000,INDEX('計算A'!M$110:M$114,$F33+1)+IF(AND($E33=1,MM33=0),1000,0)),1000000))</f>
        <v/>
      </c>
      <c r="VU33">
        <f>IF($B33=0,1000000,IF(INDEX('計算A'!$D$60:$II$104,$B33,11)*DG33=1,IF(AND($E33=2,MN33=0),1000000,INDEX('計算A'!N$110:N$114,$F33+1)+IF(AND($E33=1,MN33=0),1000,0)),1000000))</f>
        <v/>
      </c>
      <c r="VV33">
        <f>IF($B33=0,1000000,IF(INDEX('計算A'!$D$60:$II$104,$B33,12)*DH33=1,IF(AND($E33=2,MO33=0),1000000,INDEX('計算A'!O$110:O$114,$F33+1)+IF(AND($E33=1,MO33=0),1000,0)),1000000))</f>
        <v/>
      </c>
      <c r="VW33">
        <f>IF($B33=0,1000000,IF(INDEX('計算A'!$D$60:$II$104,$B33,13)*DI33=1,IF(AND($E33=2,MP33=0),1000000,INDEX('計算A'!P$110:P$114,$F33+1)+IF(AND($E33=1,MP33=0),1000,0)),1000000))</f>
        <v/>
      </c>
      <c r="VX33">
        <f>IF($B33=0,1000000,IF(INDEX('計算A'!$D$60:$II$104,$B33,14)*DJ33=1,IF(AND($E33=2,MQ33=0),1000000,INDEX('計算A'!Q$110:Q$114,$F33+1)+IF(AND($E33=1,MQ33=0),1000,0)),1000000))</f>
        <v/>
      </c>
      <c r="VY33">
        <f>IF($B33=0,1000000,IF(INDEX('計算A'!$D$60:$II$104,$B33,15)*DK33=1,IF(AND($E33=2,MR33=0),1000000,INDEX('計算A'!R$110:R$114,$F33+1)+IF(AND($E33=1,MR33=0),1000,0)),1000000))</f>
        <v/>
      </c>
      <c r="VZ33">
        <f>IF($B33=0,1000000,IF(INDEX('計算A'!$D$60:$II$104,$B33,16)*DL33=1,IF(AND($E33=2,MS33=0),1000000,INDEX('計算A'!S$110:S$114,$F33+1)+IF(AND($E33=1,MS33=0),1000,0)),1000000))</f>
        <v/>
      </c>
      <c r="WA33">
        <f>IF($B33=0,1000000,IF(INDEX('計算A'!$D$60:$II$104,$B33,17)*DM33=1,IF(AND($E33=2,MT33=0),1000000,INDEX('計算A'!T$110:T$114,$F33+1)+IF(AND($E33=1,MT33=0),1000,0)),1000000))</f>
        <v/>
      </c>
      <c r="WB33">
        <f>IF($B33=0,1000000,IF(INDEX('計算A'!$D$60:$II$104,$B33,18)*DN33=1,IF(AND($E33=2,MU33=0),1000000,INDEX('計算A'!U$110:U$114,$F33+1)+IF(AND($E33=1,MU33=0),1000,0)),1000000))</f>
        <v/>
      </c>
      <c r="WC33">
        <f>IF($B33=0,1000000,IF(INDEX('計算A'!$D$60:$II$104,$B33,19)*DO33=1,IF(AND($E33=2,MV33=0),1000000,INDEX('計算A'!V$110:V$114,$F33+1)+IF(AND($E33=1,MV33=0),1000,0)),1000000))</f>
        <v/>
      </c>
      <c r="WD33">
        <f>IF($B33=0,1000000,IF(INDEX('計算A'!$D$60:$II$104,$B33,20)*DP33=1,IF(AND($E33=2,MW33=0),1000000,INDEX('計算A'!W$110:W$114,$F33+1)+IF(AND($E33=1,MW33=0),1000,0)),1000000))</f>
        <v/>
      </c>
      <c r="WE33">
        <f>IF($B33=0,1000000,IF(INDEX('計算A'!$D$60:$II$104,$B33,21)*DQ33=1,IF(AND($E33=2,MX33=0),1000000,INDEX('計算A'!X$110:X$114,$F33+1)+IF(AND($E33=1,MX33=0),1000,0)),1000000))</f>
        <v/>
      </c>
      <c r="WF33">
        <f>IF($B33=0,1000000,IF(INDEX('計算A'!$D$60:$II$104,$B33,22)*DR33=1,IF(AND($E33=2,MY33=0),1000000,INDEX('計算A'!Y$110:Y$114,$F33+1)+IF(AND($E33=1,MY33=0),1000,0)),1000000))</f>
        <v/>
      </c>
      <c r="WG33">
        <f>IF($B33=0,1000000,IF(INDEX('計算A'!$D$60:$II$104,$B33,23)*DS33=1,IF(AND($E33=2,MZ33=0),1000000,INDEX('計算A'!Z$110:Z$114,$F33+1)+IF(AND($E33=1,MZ33=0),1000,0)),1000000))</f>
        <v/>
      </c>
      <c r="WH33">
        <f>IF($B33=0,1000000,IF(INDEX('計算A'!$D$60:$II$104,$B33,24)*DT33=1,IF(AND($E33=2,NA33=0),1000000,INDEX('計算A'!AA$110:AA$114,$F33+1)+IF(AND($E33=1,NA33=0),1000,0)),1000000))</f>
        <v/>
      </c>
      <c r="WI33">
        <f>IF($B33=0,1000000,IF(INDEX('計算A'!$D$60:$II$104,$B33,25)*DU33=1,IF(AND($E33=2,NB33=0),1000000,INDEX('計算A'!AB$110:AB$114,$F33+1)+IF(AND($E33=1,NB33=0),1000,0)),1000000))</f>
        <v/>
      </c>
      <c r="WJ33">
        <f>IF($B33=0,1000000,IF(INDEX('計算A'!$D$60:$II$104,$B33,26)*DV33=1,IF(AND($E33=2,NC33=0),1000000,INDEX('計算A'!AC$110:AC$114,$F33+1)+IF(AND($E33=1,NC33=0),1000,0)),1000000))</f>
        <v/>
      </c>
      <c r="WK33">
        <f>IF($B33=0,1000000,IF(INDEX('計算A'!$D$60:$II$104,$B33,27)*DW33=1,IF(AND($E33=2,ND33=0),1000000,INDEX('計算A'!AD$110:AD$114,$F33+1)+IF(AND($E33=1,ND33=0),1000,0)),1000000))</f>
        <v/>
      </c>
      <c r="WL33">
        <f>IF($B33=0,1000000,IF(INDEX('計算A'!$D$60:$II$104,$B33,28)*DX33=1,IF(AND($E33=2,NE33=0),1000000,INDEX('計算A'!AE$110:AE$114,$F33+1)+IF(AND($E33=1,NE33=0),1000,0)),1000000))</f>
        <v/>
      </c>
      <c r="WM33">
        <f>IF($B33=0,1000000,IF(INDEX('計算A'!$D$60:$II$104,$B33,29)*DY33=1,IF(AND($E33=2,NF33=0),1000000,INDEX('計算A'!AF$110:AF$114,$F33+1)+IF(AND($E33=1,NF33=0),1000,0)),1000000))</f>
        <v/>
      </c>
      <c r="WN33">
        <f>IF($B33=0,1000000,IF(INDEX('計算A'!$D$60:$II$104,$B33,30)*DZ33=1,IF(AND($E33=2,NG33=0),1000000,INDEX('計算A'!AG$110:AG$114,$F33+1)+IF(AND($E33=1,NG33=0),1000,0)),1000000))</f>
        <v/>
      </c>
      <c r="WO33">
        <f>IF($B33=0,1000000,IF(INDEX('計算A'!$D$60:$II$104,$B33,31)*EA33=1,IF(AND($E33=2,NH33=0),1000000,INDEX('計算A'!AH$110:AH$114,$F33+1)+IF(AND($E33=1,NH33=0),1000,0)),1000000))</f>
        <v/>
      </c>
      <c r="WP33">
        <f>IF($B33=0,1000000,IF(INDEX('計算A'!$D$60:$II$104,$B33,32)*EB33=1,IF(AND($E33=2,NI33=0),1000000,INDEX('計算A'!AI$110:AI$114,$F33+1)+IF(AND($E33=1,NI33=0),1000,0)),1000000))</f>
        <v/>
      </c>
      <c r="WQ33">
        <f>IF($B33=0,1000000,IF(INDEX('計算A'!$D$60:$II$104,$B33,33)*EC33=1,IF(AND($E33=2,NJ33=0),1000000,INDEX('計算A'!AJ$110:AJ$114,$F33+1)+IF(AND($E33=1,NJ33=0),1000,0)),1000000))</f>
        <v/>
      </c>
      <c r="WR33">
        <f>IF($B33=0,1000000,IF(INDEX('計算A'!$D$60:$II$104,$B33,34)*ED33=1,IF(AND($E33=2,NK33=0),1000000,INDEX('計算A'!AK$110:AK$114,$F33+1)+IF(AND($E33=1,NK33=0),1000,0)),1000000))</f>
        <v/>
      </c>
      <c r="WS33">
        <f>IF($B33=0,1000000,IF(INDEX('計算A'!$D$60:$II$104,$B33,35)*EE33=1,IF(AND($E33=2,NL33=0),1000000,INDEX('計算A'!AL$110:AL$114,$F33+1)+IF(AND($E33=1,NL33=0),1000,0)),1000000))</f>
        <v/>
      </c>
      <c r="WT33">
        <f>IF($B33=0,1000000,IF(INDEX('計算A'!$D$60:$II$104,$B33,36)*EF33=1,IF(AND($E33=2,NM33=0),1000000,INDEX('計算A'!AM$110:AM$114,$F33+1)+IF(AND($E33=1,NM33=0),1000,0)),1000000))</f>
        <v/>
      </c>
      <c r="WU33">
        <f>IF($B33=0,1000000,IF(INDEX('計算A'!$D$60:$II$104,$B33,37)*EG33=1,IF(AND($E33=2,NN33=0),1000000,INDEX('計算A'!AN$110:AN$114,$F33+1)+IF(AND($E33=1,NN33=0),1000,0)),1000000))</f>
        <v/>
      </c>
      <c r="WV33">
        <f>IF($B33=0,1000000,IF(INDEX('計算A'!$D$60:$II$104,$B33,38)*EH33=1,IF(AND($E33=2,NO33=0),1000000,INDEX('計算A'!AO$110:AO$114,$F33+1)+IF(AND($E33=1,NO33=0),1000,0)),1000000))</f>
        <v/>
      </c>
      <c r="WW33">
        <f>IF($B33=0,1000000,IF(INDEX('計算A'!$D$60:$II$104,$B33,39)*EI33=1,IF(AND($E33=2,NP33=0),1000000,INDEX('計算A'!AP$110:AP$114,$F33+1)+IF(AND($E33=1,NP33=0),1000,0)),1000000))</f>
        <v/>
      </c>
      <c r="WX33">
        <f>IF($B33=0,1000000,IF(INDEX('計算A'!$D$60:$II$104,$B33,40)*EJ33=1,IF(AND($E33=2,NQ33=0),1000000,INDEX('計算A'!AQ$110:AQ$114,$F33+1)+IF(AND($E33=1,NQ33=0),1000,0)),1000000))</f>
        <v/>
      </c>
      <c r="WY33">
        <f>IF($B33=0,1000000,IF(INDEX('計算A'!$D$60:$II$104,$B33,41)*EK33=1,IF(AND($E33=2,NR33=0),1000000,INDEX('計算A'!AR$110:AR$114,$F33+1)+IF(AND($E33=1,NR33=0),1000,0)),1000000))</f>
        <v/>
      </c>
      <c r="WZ33">
        <f>IF($B33=0,1000000,IF(INDEX('計算A'!$D$60:$II$104,$B33,42)*EL33=1,IF(AND($E33=2,NS33=0),1000000,INDEX('計算A'!AS$110:AS$114,$F33+1)+IF(AND($E33=1,NS33=0),1000,0)),1000000))</f>
        <v/>
      </c>
      <c r="XA33">
        <f>IF($B33=0,1000000,IF(INDEX('計算A'!$D$60:$II$104,$B33,43)*EM33=1,IF(AND($E33=2,NT33=0),1000000,INDEX('計算A'!AT$110:AT$114,$F33+1)+IF(AND($E33=1,NT33=0),1000,0)),1000000))</f>
        <v/>
      </c>
      <c r="XB33">
        <f>IF($B33=0,1000000,IF(INDEX('計算A'!$D$60:$II$104,$B33,44)*EN33=1,IF(AND($E33=2,NU33=0),1000000,INDEX('計算A'!AU$110:AU$114,$F33+1)+IF(AND($E33=1,NU33=0),1000,0)),1000000))</f>
        <v/>
      </c>
      <c r="XC33">
        <f>IF($B33=0,1000000,IF(INDEX('計算A'!$D$60:$II$104,$B33,45)*EO33=1,IF(AND($E33=2,NV33=0),1000000,INDEX('計算A'!AV$110:AV$114,$F33+1)+IF(AND($E33=1,NV33=0),1000,0)),1000000))</f>
        <v/>
      </c>
      <c r="XD33">
        <f>IF($B33=0,1000000,IF(INDEX('計算A'!$D$60:$II$104,$B33,46)*EP33=1,IF(AND($E33=2,NW33=0),1000000,INDEX('計算A'!AW$110:AW$114,$F33+1)+IF(AND($E33=1,NW33=0),1000,0)),1000000))</f>
        <v/>
      </c>
      <c r="XE33">
        <f>IF($B33=0,1000000,IF(INDEX('計算A'!$D$60:$II$104,$B33,47)*EQ33=1,IF(AND($E33=2,NX33=0),1000000,INDEX('計算A'!AX$110:AX$114,$F33+1)+IF(AND($E33=1,NX33=0),1000,0)),1000000))</f>
        <v/>
      </c>
      <c r="XF33">
        <f>IF($B33=0,1000000,IF(INDEX('計算A'!$D$60:$II$104,$B33,48)*ER33=1,IF(AND($E33=2,NY33=0),1000000,INDEX('計算A'!AY$110:AY$114,$F33+1)+IF(AND($E33=1,NY33=0),1000,0)),1000000))</f>
        <v/>
      </c>
      <c r="XG33">
        <f>IF($B33=0,1000000,IF(INDEX('計算A'!$D$60:$II$104,$B33,49)*ES33=1,IF(AND($E33=2,NZ33=0),1000000,INDEX('計算A'!AZ$110:AZ$114,$F33+1)+IF(AND($E33=1,NZ33=0),1000,0)),1000000))</f>
        <v/>
      </c>
      <c r="XH33">
        <f>IF($B33=0,1000000,IF(INDEX('計算A'!$D$60:$II$104,$B33,50)*ET33=1,IF(AND($E33=2,OA33=0),1000000,INDEX('計算A'!BA$110:BA$114,$F33+1)+IF(AND($E33=1,OA33=0),1000,0)),1000000))</f>
        <v/>
      </c>
      <c r="XI33">
        <f>IF($B33=0,1000000,IF(INDEX('計算A'!$D$60:$II$104,$B33,51)*EU33=1,IF(AND($E33=2,OB33=0),1000000,INDEX('計算A'!BB$110:BB$114,$F33+1)+IF(AND($E33=1,OB33=0),1000,0)),1000000))</f>
        <v/>
      </c>
      <c r="XJ33">
        <f>IF($B33=0,1000000,IF(INDEX('計算A'!$D$60:$II$104,$B33,52)*EV33=1,IF(AND($E33=2,OC33=0),1000000,INDEX('計算A'!BC$110:BC$114,$F33+1)+IF(AND($E33=1,OC33=0),1000,0)),1000000))</f>
        <v/>
      </c>
      <c r="XK33">
        <f>IF($B33=0,1000000,IF(INDEX('計算A'!$D$60:$II$104,$B33,53)*EW33=1,IF(AND($E33=2,OD33=0),1000000,INDEX('計算A'!BD$110:BD$114,$F33+1)+IF(AND($E33=1,OD33=0),1000,0)),1000000))</f>
        <v/>
      </c>
      <c r="XL33">
        <f>IF($B33=0,1000000,IF(INDEX('計算A'!$D$60:$II$104,$B33,54)*EX33=1,IF(AND($E33=2,OE33=0),1000000,INDEX('計算A'!BE$110:BE$114,$F33+1)+IF(AND($E33=1,OE33=0),1000,0)),1000000))</f>
        <v/>
      </c>
      <c r="XM33">
        <f>IF($B33=0,1000000,IF(INDEX('計算A'!$D$60:$II$104,$B33,55)*EY33=1,IF(AND($E33=2,OF33=0),1000000,INDEX('計算A'!BF$110:BF$114,$F33+1)+IF(AND($E33=1,OF33=0),1000,0)),1000000))</f>
        <v/>
      </c>
      <c r="XN33">
        <f>IF($B33=0,1000000,IF(INDEX('計算A'!$D$60:$II$104,$B33,56)*EZ33=1,IF(AND($E33=2,OG33=0),1000000,INDEX('計算A'!BG$110:BG$114,$F33+1)+IF(AND($E33=1,OG33=0),1000,0)),1000000))</f>
        <v/>
      </c>
      <c r="XO33">
        <f>IF($B33=0,1000000,IF(INDEX('計算A'!$D$60:$II$104,$B33,57)*FA33=1,IF(AND($E33=2,OH33=0),1000000,INDEX('計算A'!BH$110:BH$114,$F33+1)+IF(AND($E33=1,OH33=0),1000,0)),1000000))</f>
        <v/>
      </c>
      <c r="XP33">
        <f>IF($B33=0,1000000,IF(INDEX('計算A'!$D$60:$II$104,$B33,58)*FB33=1,IF(AND($E33=2,OI33=0),1000000,INDEX('計算A'!BI$110:BI$114,$F33+1)+IF(AND($E33=1,OI33=0),1000,0)),1000000))</f>
        <v/>
      </c>
      <c r="XQ33">
        <f>IF($B33=0,1000000,IF(INDEX('計算A'!$D$60:$II$104,$B33,59)*FC33=1,IF(AND($E33=2,OJ33=0),1000000,INDEX('計算A'!BJ$110:BJ$114,$F33+1)+IF(AND($E33=1,OJ33=0),1000,0)),1000000))</f>
        <v/>
      </c>
      <c r="XR33">
        <f>IF($B33=0,1000000,IF(INDEX('計算A'!$D$60:$II$104,$B33,60)*FD33=1,IF(AND($E33=2,OK33=0),1000000,INDEX('計算A'!BK$110:BK$114,$F33+1)+IF(AND($E33=1,OK33=0),1000,0)),1000000))</f>
        <v/>
      </c>
      <c r="XS33">
        <f>IF($B33=0,1000000,IF(INDEX('計算A'!$D$60:$II$104,$B33,61)*FE33=1,IF(AND($E33=2,OL33=0),1000000,INDEX('計算A'!BL$110:BL$114,$F33+1)+IF(AND($E33=1,OL33=0),1000,0)),1000000))</f>
        <v/>
      </c>
      <c r="XT33">
        <f>IF($B33=0,1000000,IF(INDEX('計算A'!$D$60:$II$104,$B33,62)*FF33=1,IF(AND($E33=2,OM33=0),1000000,INDEX('計算A'!BM$110:BM$114,$F33+1)+IF(AND($E33=1,OM33=0),1000,0)),1000000))</f>
        <v/>
      </c>
      <c r="XU33">
        <f>IF($B33=0,1000000,IF(INDEX('計算A'!$D$60:$II$104,$B33,63)*FG33=1,IF(AND($E33=2,ON33=0),1000000,INDEX('計算A'!BN$110:BN$114,$F33+1)+IF(AND($E33=1,ON33=0),1000,0)),1000000))</f>
        <v/>
      </c>
      <c r="XV33">
        <f>IF($B33=0,1000000,IF(INDEX('計算A'!$D$60:$II$104,$B33,64)*FH33=1,IF(AND($E33=2,OO33=0),1000000,INDEX('計算A'!BO$110:BO$114,$F33+1)+IF(AND($E33=1,OO33=0),1000,0)),1000000))</f>
        <v/>
      </c>
      <c r="XW33">
        <f>IF($B33=0,1000000,IF(INDEX('計算A'!$D$60:$II$104,$B33,65)*FI33=1,IF(AND($E33=2,OP33=0),1000000,INDEX('計算A'!BP$110:BP$114,$F33+1)+IF(AND($E33=1,OP33=0),1000,0)),1000000))</f>
        <v/>
      </c>
      <c r="XX33">
        <f>IF($B33=0,1000000,IF(INDEX('計算A'!$D$60:$II$104,$B33,66)*FJ33=1,IF(AND($E33=2,OQ33=0),1000000,INDEX('計算A'!BQ$110:BQ$114,$F33+1)+IF(AND($E33=1,OQ33=0),1000,0)),1000000))</f>
        <v/>
      </c>
      <c r="XY33">
        <f>IF($B33=0,1000000,IF(INDEX('計算A'!$D$60:$II$104,$B33,67)*FK33=1,IF(AND($E33=2,OR33=0),1000000,INDEX('計算A'!BR$110:BR$114,$F33+1)+IF(AND($E33=1,OR33=0),1000,0)),1000000))</f>
        <v/>
      </c>
      <c r="XZ33">
        <f>IF($B33=0,1000000,IF(INDEX('計算A'!$D$60:$II$104,$B33,68)*FL33=1,IF(AND($E33=2,OS33=0),1000000,INDEX('計算A'!BS$110:BS$114,$F33+1)+IF(AND($E33=1,OS33=0),1000,0)),1000000))</f>
        <v/>
      </c>
      <c r="YA33">
        <f>IF($B33=0,1000000,IF(INDEX('計算A'!$D$60:$II$104,$B33,69)*FM33=1,IF(AND($E33=2,OT33=0),1000000,INDEX('計算A'!BT$110:BT$114,$F33+1)+IF(AND($E33=1,OT33=0),1000,0)),1000000))</f>
        <v/>
      </c>
      <c r="YB33">
        <f>IF($B33=0,1000000,IF(INDEX('計算A'!$D$60:$II$104,$B33,70)*FN33=1,IF(AND($E33=2,OU33=0),1000000,INDEX('計算A'!BU$110:BU$114,$F33+1)+IF(AND($E33=1,OU33=0),1000,0)),1000000))</f>
        <v/>
      </c>
      <c r="YC33">
        <f>IF($B33=0,1000000,IF(INDEX('計算A'!$D$60:$II$104,$B33,71)*FO33=1,IF(AND($E33=2,OV33=0),1000000,INDEX('計算A'!BV$110:BV$114,$F33+1)+IF(AND($E33=1,OV33=0),1000,0)),1000000))</f>
        <v/>
      </c>
      <c r="YD33">
        <f>IF($B33=0,1000000,IF(INDEX('計算A'!$D$60:$II$104,$B33,72)*FP33=1,IF(AND($E33=2,OW33=0),1000000,INDEX('計算A'!BW$110:BW$114,$F33+1)+IF(AND($E33=1,OW33=0),1000,0)),1000000))</f>
        <v/>
      </c>
      <c r="YE33">
        <f>IF($B33=0,1000000,IF(INDEX('計算A'!$D$60:$II$104,$B33,73)*FQ33=1,IF(AND($E33=2,OX33=0),1000000,INDEX('計算A'!BX$110:BX$114,$F33+1)+IF(AND($E33=1,OX33=0),1000,0)),1000000))</f>
        <v/>
      </c>
      <c r="YF33">
        <f>IF($B33=0,1000000,IF(INDEX('計算A'!$D$60:$II$104,$B33,74)*FR33=1,IF(AND($E33=2,OY33=0),1000000,INDEX('計算A'!BY$110:BY$114,$F33+1)+IF(AND($E33=1,OY33=0),1000,0)),1000000))</f>
        <v/>
      </c>
      <c r="YG33">
        <f>IF($B33=0,1000000,IF(INDEX('計算A'!$D$60:$II$104,$B33,75)*FS33=1,IF(AND($E33=2,OZ33=0),1000000,INDEX('計算A'!BZ$110:BZ$114,$F33+1)+IF(AND($E33=1,OZ33=0),1000,0)),1000000))</f>
        <v/>
      </c>
      <c r="YH33">
        <f>IF($B33=0,1000000,IF(INDEX('計算A'!$D$60:$II$104,$B33,76)*FT33=1,IF(AND($E33=2,PA33=0),1000000,INDEX('計算A'!CA$110:CA$114,$F33+1)+IF(AND($E33=1,PA33=0),1000,0)),1000000))</f>
        <v/>
      </c>
      <c r="YI33">
        <f>IF($B33=0,1000000,IF(INDEX('計算A'!$D$60:$II$104,$B33,77)*FU33=1,IF(AND($E33=2,PB33=0),1000000,INDEX('計算A'!CB$110:CB$114,$F33+1)+IF(AND($E33=1,PB33=0),1000,0)),1000000))</f>
        <v/>
      </c>
      <c r="YJ33">
        <f>IF($B33=0,1000000,IF(INDEX('計算A'!$D$60:$II$104,$B33,78)*FV33=1,IF(AND($E33=2,PC33=0),1000000,INDEX('計算A'!CC$110:CC$114,$F33+1)+IF(AND($E33=1,PC33=0),1000,0)),1000000))</f>
        <v/>
      </c>
      <c r="YK33">
        <f>IF($B33=0,1000000,IF(INDEX('計算A'!$D$60:$II$104,$B33,79)*FW33=1,IF(AND($E33=2,PD33=0),1000000,INDEX('計算A'!CD$110:CD$114,$F33+1)+IF(AND($E33=1,PD33=0),1000,0)),1000000))</f>
        <v/>
      </c>
      <c r="YL33">
        <f>IF($B33=0,1000000,IF(INDEX('計算A'!$D$60:$II$104,$B33,80)*FX33=1,IF(AND($E33=2,PE33=0),1000000,INDEX('計算A'!CE$110:CE$114,$F33+1)+IF(AND($E33=1,PE33=0),1000,0)),1000000))</f>
        <v/>
      </c>
      <c r="YM33">
        <f>IF($B33=0,1000000,IF(INDEX('計算A'!$D$60:$II$104,$B33,81)*FY33=1,IF(AND($E33=2,PF33=0),1000000,INDEX('計算A'!CF$110:CF$114,$F33+1)+IF(AND($E33=1,PF33=0),1000,0)),1000000))</f>
        <v/>
      </c>
      <c r="YN33">
        <f>IF($B33=0,1000000,IF(INDEX('計算A'!$D$60:$II$104,$B33,82)*FZ33=1,IF(AND($E33=2,PG33=0),1000000,INDEX('計算A'!CG$110:CG$114,$F33+1)+IF(AND($E33=1,PG33=0),1000,0)),1000000))</f>
        <v/>
      </c>
      <c r="YO33">
        <f>IF($B33=0,1000000,IF(INDEX('計算A'!$D$60:$II$104,$B33,83)*GA33=1,IF(AND($E33=2,PH33=0),1000000,INDEX('計算A'!CH$110:CH$114,$F33+1)+IF(AND($E33=1,PH33=0),1000,0)),1000000))</f>
        <v/>
      </c>
      <c r="YP33">
        <f>IF($B33=0,1000000,IF(INDEX('計算A'!$D$60:$II$104,$B33,84)*GB33=1,IF(AND($E33=2,PI33=0),1000000,INDEX('計算A'!CI$110:CI$114,$F33+1)+IF(AND($E33=1,PI33=0),1000,0)),1000000))</f>
        <v/>
      </c>
      <c r="YQ33">
        <f>IF($B33=0,1000000,IF(INDEX('計算A'!$D$60:$II$104,$B33,85)*GC33=1,IF(AND($E33=2,PJ33=0),1000000,INDEX('計算A'!CJ$110:CJ$114,$F33+1)+IF(AND($E33=1,PJ33=0),1000,0)),1000000))</f>
        <v/>
      </c>
      <c r="YR33">
        <f>IF($B33=0,1000000,IF(INDEX('計算A'!$D$60:$II$104,$B33,86)*GD33=1,IF(AND($E33=2,PK33=0),1000000,INDEX('計算A'!CK$110:CK$114,$F33+1)+IF(AND($E33=1,PK33=0),1000,0)),1000000))</f>
        <v/>
      </c>
      <c r="YS33">
        <f>IF($B33=0,1000000,IF(INDEX('計算A'!$D$60:$II$104,$B33,87)*GE33=1,IF(AND($E33=2,PL33=0),1000000,INDEX('計算A'!CL$110:CL$114,$F33+1)+IF(AND($E33=1,PL33=0),1000,0)),1000000))</f>
        <v/>
      </c>
      <c r="YT33">
        <f>IF($B33=0,1000000,IF(INDEX('計算A'!$D$60:$II$104,$B33,88)*GF33=1,IF(AND($E33=2,PM33=0),1000000,INDEX('計算A'!CM$110:CM$114,$F33+1)+IF(AND($E33=1,PM33=0),1000,0)),1000000))</f>
        <v/>
      </c>
      <c r="YU33">
        <f>IF($B33=0,1000000,IF(INDEX('計算A'!$D$60:$II$104,$B33,89)*GG33=1,IF(AND($E33=2,PN33=0),1000000,INDEX('計算A'!CN$110:CN$114,$F33+1)+IF(AND($E33=1,PN33=0),1000,0)),1000000))</f>
        <v/>
      </c>
      <c r="YV33">
        <f>IF($B33=0,1000000,IF(INDEX('計算A'!$D$60:$II$104,$B33,90)*GH33=1,IF(AND($E33=2,PO33=0),1000000,INDEX('計算A'!CO$110:CO$114,$F33+1)+IF(AND($E33=1,PO33=0),1000,0)),1000000))</f>
        <v/>
      </c>
      <c r="YW33">
        <f>IF($B33=0,1000000,IF(INDEX('計算A'!$D$60:$II$104,$B33,91)*GI33=1,IF(AND($E33=2,PP33=0),1000000,INDEX('計算A'!CP$110:CP$114,$F33+1)+IF(AND($E33=1,PP33=0),1000,0)),1000000))</f>
        <v/>
      </c>
      <c r="YX33">
        <f>IF($B33=0,1000000,IF(INDEX('計算A'!$D$60:$II$104,$B33,92)*GJ33=1,IF(AND($E33=2,PQ33=0),1000000,INDEX('計算A'!CQ$110:CQ$114,$F33+1)+IF(AND($E33=1,PQ33=0),1000,0)),1000000))</f>
        <v/>
      </c>
      <c r="YY33">
        <f>IF($B33=0,1000000,IF(INDEX('計算A'!$D$60:$II$104,$B33,93)*GK33=1,IF(AND($E33=2,PR33=0),1000000,INDEX('計算A'!CR$110:CR$114,$F33+1)+IF(AND($E33=1,PR33=0),1000,0)),1000000))</f>
        <v/>
      </c>
      <c r="YZ33">
        <f>IF($B33=0,1000000,IF(INDEX('計算A'!$D$60:$II$104,$B33,94)*GL33=1,IF(AND($E33=2,PS33=0),1000000,INDEX('計算A'!CS$110:CS$114,$F33+1)+IF(AND($E33=1,PS33=0),1000,0)),1000000))</f>
        <v/>
      </c>
      <c r="ZA33">
        <f>IF($B33=0,1000000,IF(INDEX('計算A'!$D$60:$II$104,$B33,95)*GM33=1,IF(AND($E33=2,PT33=0),1000000,INDEX('計算A'!CT$110:CT$114,$F33+1)+IF(AND($E33=1,PT33=0),1000,0)),1000000))</f>
        <v/>
      </c>
      <c r="ZB33">
        <f>IF($B33=0,1000000,IF(INDEX('計算A'!$D$60:$II$104,$B33,96)*GN33=1,IF(AND($E33=2,PU33=0),1000000,INDEX('計算A'!CU$110:CU$114,$F33+1)+IF(AND($E33=1,PU33=0),1000,0)),1000000))</f>
        <v/>
      </c>
      <c r="ZC33">
        <f>IF($B33=0,1000000,IF(INDEX('計算A'!$D$60:$II$104,$B33,97)*GO33=1,IF(AND($E33=2,PV33=0),1000000,INDEX('計算A'!CV$110:CV$114,$F33+1)+IF(AND($E33=1,PV33=0),1000,0)),1000000))</f>
        <v/>
      </c>
      <c r="ZD33">
        <f>IF($B33=0,1000000,IF(INDEX('計算A'!$D$60:$II$104,$B33,98)*GP33=1,IF(AND($E33=2,PW33=0),1000000,INDEX('計算A'!CW$110:CW$114,$F33+1)+IF(AND($E33=1,PW33=0),1000,0)),1000000))</f>
        <v/>
      </c>
      <c r="ZE33">
        <f>IF($B33=0,1000000,IF(INDEX('計算A'!$D$60:$II$104,$B33,99)*GQ33=1,IF(AND($E33=2,PX33=0),1000000,INDEX('計算A'!CX$110:CX$114,$F33+1)+IF(AND($E33=1,PX33=0),1000,0)),1000000))</f>
        <v/>
      </c>
      <c r="ZF33">
        <f>IF($B33=0,1000000,IF(INDEX('計算A'!$D$60:$II$104,$B33,100)*GR33=1,IF(AND($E33=2,PY33=0),1000000,INDEX('計算A'!CY$110:CY$114,$F33+1)+IF(AND($E33=1,PY33=0),1000,0)),1000000))</f>
        <v/>
      </c>
      <c r="ZG33">
        <f>IF($B33=0,1000000,IF(INDEX('計算A'!$D$60:$II$104,$B33,101)*GS33=1,IF(AND($E33=2,PZ33=0),1000000,INDEX('計算A'!CZ$110:CZ$114,$F33+1)+IF(AND($E33=1,PZ33=0),1000,0)),1000000))</f>
        <v/>
      </c>
      <c r="ZH33">
        <f>IF($B33=0,1000000,IF(INDEX('計算A'!$D$60:$II$104,$B33,102)*GT33=1,IF(AND($E33=2,QA33=0),1000000,INDEX('計算A'!DA$110:DA$114,$F33+1)+IF(AND($E33=1,QA33=0),1000,0)),1000000))</f>
        <v/>
      </c>
      <c r="ZI33">
        <f>IF($B33=0,1000000,IF(INDEX('計算A'!$D$60:$II$104,$B33,103)*GU33=1,IF(AND($E33=2,QB33=0),1000000,INDEX('計算A'!DB$110:DB$114,$F33+1)+IF(AND($E33=1,QB33=0),1000,0)),1000000))</f>
        <v/>
      </c>
      <c r="ZJ33">
        <f>IF($B33=0,1000000,IF(INDEX('計算A'!$D$60:$II$104,$B33,104)*GV33=1,IF(AND($E33=2,QC33=0),1000000,INDEX('計算A'!DC$110:DC$114,$F33+1)+IF(AND($E33=1,QC33=0),1000,0)),1000000))</f>
        <v/>
      </c>
      <c r="ZK33">
        <f>IF($B33=0,1000000,IF(INDEX('計算A'!$D$60:$II$104,$B33,105)*GW33=1,IF(AND($E33=2,QD33=0),1000000,INDEX('計算A'!DD$110:DD$114,$F33+1)+IF(AND($E33=1,QD33=0),1000,0)),1000000))</f>
        <v/>
      </c>
      <c r="ZL33">
        <f>IF($B33=0,1000000,IF(INDEX('計算A'!$D$60:$II$104,$B33,106)*GX33=1,IF(AND($E33=2,QE33=0),1000000,INDEX('計算A'!DE$110:DE$114,$F33+1)+IF(AND($E33=1,QE33=0),1000,0)),1000000))</f>
        <v/>
      </c>
      <c r="ZM33">
        <f>IF($B33=0,1000000,IF(INDEX('計算A'!$D$60:$II$104,$B33,107)*GY33=1,IF(AND($E33=2,QF33=0),1000000,INDEX('計算A'!DF$110:DF$114,$F33+1)+IF(AND($E33=1,QF33=0),1000,0)),1000000))</f>
        <v/>
      </c>
      <c r="ZN33">
        <f>IF($B33=0,1000000,IF(INDEX('計算A'!$D$60:$II$104,$B33,108)*GZ33=1,IF(AND($E33=2,QG33=0),1000000,INDEX('計算A'!DG$110:DG$114,$F33+1)+IF(AND($E33=1,QG33=0),1000,0)),1000000))</f>
        <v/>
      </c>
      <c r="ZO33">
        <f>IF($B33=0,1000000,IF(INDEX('計算A'!$D$60:$II$104,$B33,109)*HA33=1,IF(AND($E33=2,QH33=0),1000000,INDEX('計算A'!DH$110:DH$114,$F33+1)+IF(AND($E33=1,QH33=0),1000,0)),1000000))</f>
        <v/>
      </c>
      <c r="ZP33">
        <f>IF($B33=0,1000000,IF(INDEX('計算A'!$D$60:$II$104,$B33,110)*HB33=1,IF(AND($E33=2,QI33=0),1000000,INDEX('計算A'!DI$110:DI$114,$F33+1)+IF(AND($E33=1,QI33=0),1000,0)),1000000))</f>
        <v/>
      </c>
      <c r="ZQ33">
        <f>IF($B33=0,1000000,IF(INDEX('計算A'!$D$60:$II$104,$B33,111)*HC33=1,IF(AND($E33=2,QJ33=0),1000000,INDEX('計算A'!DJ$110:DJ$114,$F33+1)+IF(AND($E33=1,QJ33=0),1000,0)),1000000))</f>
        <v/>
      </c>
      <c r="ZR33">
        <f>IF($B33=0,1000000,IF(INDEX('計算A'!$D$60:$II$104,$B33,112)*HD33=1,IF(AND($E33=2,QK33=0),1000000,INDEX('計算A'!DK$110:DK$114,$F33+1)+IF(AND($E33=1,QK33=0),1000,0)),1000000))</f>
        <v/>
      </c>
      <c r="ZS33">
        <f>IF($B33=0,1000000,IF(INDEX('計算A'!$D$60:$II$104,$B33,113)*HE33=1,IF(AND($E33=2,QL33=0),1000000,INDEX('計算A'!DL$110:DL$114,$F33+1)+IF(AND($E33=1,QL33=0),1000,0)),1000000))</f>
        <v/>
      </c>
      <c r="ZT33">
        <f>IF($B33=0,1000000,IF(INDEX('計算A'!$D$60:$II$104,$B33,114)*HF33=1,IF(AND($E33=2,QM33=0),1000000,INDEX('計算A'!DM$110:DM$114,$F33+1)+IF(AND($E33=1,QM33=0),1000,0)),1000000))</f>
        <v/>
      </c>
      <c r="ZU33">
        <f>IF($B33=0,1000000,IF(INDEX('計算A'!$D$60:$II$104,$B33,115)*HG33=1,IF(AND($E33=2,QN33=0),1000000,INDEX('計算A'!DN$110:DN$114,$F33+1)+IF(AND($E33=1,QN33=0),1000,0)),1000000))</f>
        <v/>
      </c>
      <c r="ZV33">
        <f>IF($B33=0,1000000,IF(INDEX('計算A'!$D$60:$II$104,$B33,116)*HH33=1,IF(AND($E33=2,QO33=0),1000000,INDEX('計算A'!DO$110:DO$114,$F33+1)+IF(AND($E33=1,QO33=0),1000,0)),1000000))</f>
        <v/>
      </c>
      <c r="ZW33">
        <f>IF($B33=0,1000000,IF(INDEX('計算A'!$D$60:$II$104,$B33,117)*HI33=1,IF(AND($E33=2,QP33=0),1000000,INDEX('計算A'!DP$110:DP$114,$F33+1)+IF(AND($E33=1,QP33=0),1000,0)),1000000))</f>
        <v/>
      </c>
      <c r="ZX33">
        <f>IF($B33=0,1000000,IF(INDEX('計算A'!$D$60:$II$104,$B33,118)*HJ33=1,IF(AND($E33=2,QQ33=0),1000000,INDEX('計算A'!DQ$110:DQ$114,$F33+1)+IF(AND($E33=1,QQ33=0),1000,0)),1000000))</f>
        <v/>
      </c>
      <c r="ZY33">
        <f>IF($B33=0,1000000,IF(INDEX('計算A'!$D$60:$II$104,$B33,119)*HK33=1,IF(AND($E33=2,QR33=0),1000000,INDEX('計算A'!DR$110:DR$114,$F33+1)+IF(AND($E33=1,QR33=0),1000,0)),1000000))</f>
        <v/>
      </c>
      <c r="ZZ33">
        <f>IF($B33=0,1000000,IF(INDEX('計算A'!$D$60:$II$104,$B33,120)*HL33=1,IF(AND($E33=2,QS33=0),1000000,INDEX('計算A'!DS$110:DS$114,$F33+1)+IF(AND($E33=1,QS33=0),1000,0)),1000000))</f>
        <v/>
      </c>
      <c r="AAA33">
        <f>IF($B33=0,1000000,IF(INDEX('計算A'!$D$60:$II$104,$B33,121)*HM33=1,IF(AND($E33=2,QT33=0),1000000,INDEX('計算A'!DT$110:DT$114,$F33+1)+IF(AND($E33=1,QT33=0),1000,0)),1000000))</f>
        <v/>
      </c>
      <c r="AAB33">
        <f>IF($B33=0,1000000,IF(INDEX('計算A'!$D$60:$II$104,$B33,122)*HN33=1,IF(AND($E33=2,QU33=0),1000000,INDEX('計算A'!DU$110:DU$114,$F33+1)+IF(AND($E33=1,QU33=0),1000,0)),1000000))</f>
        <v/>
      </c>
      <c r="AAC33">
        <f>IF($B33=0,1000000,IF(INDEX('計算A'!$D$60:$II$104,$B33,123)*HO33=1,IF(AND($E33=2,QV33=0),1000000,INDEX('計算A'!DV$110:DV$114,$F33+1)+IF(AND($E33=1,QV33=0),1000,0)),1000000))</f>
        <v/>
      </c>
      <c r="AAD33">
        <f>IF($B33=0,1000000,IF(INDEX('計算A'!$D$60:$II$104,$B33,124)*HP33=1,IF(AND($E33=2,QW33=0),1000000,INDEX('計算A'!DW$110:DW$114,$F33+1)+IF(AND($E33=1,QW33=0),1000,0)),1000000))</f>
        <v/>
      </c>
      <c r="AAE33">
        <f>IF($B33=0,1000000,IF(INDEX('計算A'!$D$60:$II$104,$B33,125)*HQ33=1,IF(AND($E33=2,QX33=0),1000000,INDEX('計算A'!DX$110:DX$114,$F33+1)+IF(AND($E33=1,QX33=0),1000,0)),1000000))</f>
        <v/>
      </c>
      <c r="AAF33">
        <f>IF($B33=0,1000000,IF(INDEX('計算A'!$D$60:$II$104,$B33,126)*HR33=1,IF(AND($E33=2,QY33=0),1000000,INDEX('計算A'!DY$110:DY$114,$F33+1)+IF(AND($E33=1,QY33=0),1000,0)),1000000))</f>
        <v/>
      </c>
      <c r="AAG33">
        <f>IF($B33=0,1000000,IF(INDEX('計算A'!$D$60:$II$104,$B33,127)*HS33=1,IF(AND($E33=2,QZ33=0),1000000,INDEX('計算A'!DZ$110:DZ$114,$F33+1)+IF(AND($E33=1,QZ33=0),1000,0)),1000000))</f>
        <v/>
      </c>
      <c r="AAH33">
        <f>IF($B33=0,1000000,IF(INDEX('計算A'!$D$60:$II$104,$B33,128)*HT33=1,IF(AND($E33=2,RA33=0),1000000,INDEX('計算A'!EA$110:EA$114,$F33+1)+IF(AND($E33=1,RA33=0),1000,0)),1000000))</f>
        <v/>
      </c>
      <c r="AAI33">
        <f>IF($B33=0,1000000,IF(INDEX('計算A'!$D$60:$II$104,$B33,129)*HU33=1,IF(AND($E33=2,RB33=0),1000000,INDEX('計算A'!EB$110:EB$114,$F33+1)+IF(AND($E33=1,RB33=0),1000,0)),1000000))</f>
        <v/>
      </c>
      <c r="AAJ33">
        <f>IF($B33=0,1000000,IF(INDEX('計算A'!$D$60:$II$104,$B33,130)*HV33=1,IF(AND($E33=2,RC33=0),1000000,INDEX('計算A'!EC$110:EC$114,$F33+1)+IF(AND($E33=1,RC33=0),1000,0)),1000000))</f>
        <v/>
      </c>
      <c r="AAK33">
        <f>IF($B33=0,1000000,IF(INDEX('計算A'!$D$60:$II$104,$B33,131)*HW33=1,IF(AND($E33=2,RD33=0),1000000,INDEX('計算A'!ED$110:ED$114,$F33+1)+IF(AND($E33=1,RD33=0),1000,0)),1000000))</f>
        <v/>
      </c>
      <c r="AAL33">
        <f>IF($B33=0,1000000,IF(INDEX('計算A'!$D$60:$II$104,$B33,132)*HX33=1,IF(AND($E33=2,RE33=0),1000000,INDEX('計算A'!EE$110:EE$114,$F33+1)+IF(AND($E33=1,RE33=0),1000,0)),1000000))</f>
        <v/>
      </c>
      <c r="AAM33">
        <f>IF($B33=0,1000000,IF(INDEX('計算A'!$D$60:$II$104,$B33,133)*HY33=1,IF(AND($E33=2,RF33=0),1000000,INDEX('計算A'!EF$110:EF$114,$F33+1)+IF(AND($E33=1,RF33=0),1000,0)),1000000))</f>
        <v/>
      </c>
      <c r="AAN33">
        <f>IF($B33=0,1000000,IF(INDEX('計算A'!$D$60:$II$104,$B33,134)*HZ33=1,IF(AND($E33=2,RG33=0),1000000,INDEX('計算A'!EG$110:EG$114,$F33+1)+IF(AND($E33=1,RG33=0),1000,0)),1000000))</f>
        <v/>
      </c>
      <c r="AAO33">
        <f>IF($B33=0,1000000,IF(INDEX('計算A'!$D$60:$II$104,$B33,135)*IA33=1,IF(AND($E33=2,RH33=0),1000000,INDEX('計算A'!EH$110:EH$114,$F33+1)+IF(AND($E33=1,RH33=0),1000,0)),1000000))</f>
        <v/>
      </c>
      <c r="AAP33">
        <f>IF($B33=0,1000000,IF(INDEX('計算A'!$D$60:$II$104,$B33,136)*IB33=1,IF(AND($E33=2,RI33=0),1000000,INDEX('計算A'!EI$110:EI$114,$F33+1)+IF(AND($E33=1,RI33=0),1000,0)),1000000))</f>
        <v/>
      </c>
      <c r="AAQ33">
        <f>IF($B33=0,1000000,IF(INDEX('計算A'!$D$60:$II$104,$B33,137)*IC33=1,IF(AND($E33=2,RJ33=0),1000000,INDEX('計算A'!EJ$110:EJ$114,$F33+1)+IF(AND($E33=1,RJ33=0),1000,0)),1000000))</f>
        <v/>
      </c>
      <c r="AAR33">
        <f>IF($B33=0,1000000,IF(INDEX('計算A'!$D$60:$II$104,$B33,138)*ID33=1,IF(AND($E33=2,RK33=0),1000000,INDEX('計算A'!EK$110:EK$114,$F33+1)+IF(AND($E33=1,RK33=0),1000,0)),1000000))</f>
        <v/>
      </c>
      <c r="AAS33">
        <f>IF($B33=0,1000000,IF(INDEX('計算A'!$D$60:$II$104,$B33,139)*IE33=1,IF(AND($E33=2,RL33=0),1000000,INDEX('計算A'!EL$110:EL$114,$F33+1)+IF(AND($E33=1,RL33=0),1000,0)),1000000))</f>
        <v/>
      </c>
      <c r="AAT33">
        <f>IF($B33=0,1000000,IF(INDEX('計算A'!$D$60:$II$104,$B33,140)*IF33=1,IF(AND($E33=2,RM33=0),1000000,INDEX('計算A'!EM$110:EM$114,$F33+1)+IF(AND($E33=1,RM33=0),1000,0)),1000000))</f>
        <v/>
      </c>
      <c r="AAU33">
        <f>IF($B33=0,1000000,IF(INDEX('計算A'!$D$60:$II$104,$B33,141)*IG33=1,IF(AND($E33=2,RN33=0),1000000,INDEX('計算A'!EN$110:EN$114,$F33+1)+IF(AND($E33=1,RN33=0),1000,0)),1000000))</f>
        <v/>
      </c>
      <c r="AAV33">
        <f>IF($B33=0,1000000,IF(INDEX('計算A'!$D$60:$II$104,$B33,142)*IH33=1,IF(AND($E33=2,RO33=0),1000000,INDEX('計算A'!EO$110:EO$114,$F33+1)+IF(AND($E33=1,RO33=0),1000,0)),1000000))</f>
        <v/>
      </c>
      <c r="AAW33">
        <f>IF($B33=0,1000000,IF(INDEX('計算A'!$D$60:$II$104,$B33,143)*II33=1,IF(AND($E33=2,RP33=0),1000000,INDEX('計算A'!EP$110:EP$114,$F33+1)+IF(AND($E33=1,RP33=0),1000,0)),1000000))</f>
        <v/>
      </c>
      <c r="AAX33">
        <f>IF($B33=0,1000000,IF(INDEX('計算A'!$D$60:$II$104,$B33,144)*IJ33=1,IF(AND($E33=2,RQ33=0),1000000,INDEX('計算A'!EQ$110:EQ$114,$F33+1)+IF(AND($E33=1,RQ33=0),1000,0)),1000000))</f>
        <v/>
      </c>
      <c r="AAY33">
        <f>IF($B33=0,1000000,IF(INDEX('計算A'!$D$60:$II$104,$B33,145)*IK33=1,IF(AND($E33=2,RR33=0),1000000,INDEX('計算A'!ER$110:ER$114,$F33+1)+IF(AND($E33=1,RR33=0),1000,0)),1000000))</f>
        <v/>
      </c>
      <c r="AAZ33">
        <f>IF($B33=0,1000000,IF(INDEX('計算A'!$D$60:$II$104,$B33,146)*IL33=1,IF(AND($E33=2,RS33=0),1000000,INDEX('計算A'!ES$110:ES$114,$F33+1)+IF(AND($E33=1,RS33=0),1000,0)),1000000))</f>
        <v/>
      </c>
      <c r="ABA33">
        <f>IF($B33=0,1000000,IF(INDEX('計算A'!$D$60:$II$104,$B33,147)*IM33=1,IF(AND($E33=2,RT33=0),1000000,INDEX('計算A'!ET$110:ET$114,$F33+1)+IF(AND($E33=1,RT33=0),1000,0)),1000000))</f>
        <v/>
      </c>
      <c r="ABB33">
        <f>IF($B33=0,1000000,IF(INDEX('計算A'!$D$60:$II$104,$B33,148)*IN33=1,IF(AND($E33=2,RU33=0),1000000,INDEX('計算A'!EU$110:EU$114,$F33+1)+IF(AND($E33=1,RU33=0),1000,0)),1000000))</f>
        <v/>
      </c>
      <c r="ABC33">
        <f>IF($B33=0,1000000,IF(INDEX('計算A'!$D$60:$II$104,$B33,149)*IO33=1,IF(AND($E33=2,RV33=0),1000000,INDEX('計算A'!EV$110:EV$114,$F33+1)+IF(AND($E33=1,RV33=0),1000,0)),1000000))</f>
        <v/>
      </c>
      <c r="ABD33">
        <f>IF($B33=0,1000000,IF(INDEX('計算A'!$D$60:$II$104,$B33,150)*IP33=1,IF(AND($E33=2,RW33=0),1000000,INDEX('計算A'!EW$110:EW$114,$F33+1)+IF(AND($E33=1,RW33=0),1000,0)),1000000))</f>
        <v/>
      </c>
      <c r="ABE33">
        <f>IF($B33=0,1000000,IF(INDEX('計算A'!$D$60:$II$104,$B33,151)*IQ33=1,IF(AND($E33=2,RX33=0),1000000,INDEX('計算A'!EX$110:EX$114,$F33+1)+IF(AND($E33=1,RX33=0),1000,0)),1000000))</f>
        <v/>
      </c>
      <c r="ABF33">
        <f>IF($B33=0,1000000,IF(INDEX('計算A'!$D$60:$II$104,$B33,152)*IR33=1,IF(AND($E33=2,RY33=0),1000000,INDEX('計算A'!EY$110:EY$114,$F33+1)+IF(AND($E33=1,RY33=0),1000,0)),1000000))</f>
        <v/>
      </c>
      <c r="ABG33">
        <f>IF($B33=0,1000000,IF(INDEX('計算A'!$D$60:$II$104,$B33,153)*IS33=1,IF(AND($E33=2,RZ33=0),1000000,INDEX('計算A'!EZ$110:EZ$114,$F33+1)+IF(AND($E33=1,RZ33=0),1000,0)),1000000))</f>
        <v/>
      </c>
      <c r="ABH33">
        <f>IF($B33=0,1000000,IF(INDEX('計算A'!$D$60:$II$104,$B33,154)*IT33=1,IF(AND($E33=2,SA33=0),1000000,INDEX('計算A'!FA$110:FA$114,$F33+1)+IF(AND($E33=1,SA33=0),1000,0)),1000000))</f>
        <v/>
      </c>
      <c r="ABI33">
        <f>IF($B33=0,1000000,IF(INDEX('計算A'!$D$60:$II$104,$B33,155)*IU33=1,IF(AND($E33=2,SB33=0),1000000,INDEX('計算A'!FB$110:FB$114,$F33+1)+IF(AND($E33=1,SB33=0),1000,0)),1000000))</f>
        <v/>
      </c>
      <c r="ABJ33">
        <f>IF($B33=0,1000000,IF(INDEX('計算A'!$D$60:$II$104,$B33,156)*IV33=1,IF(AND($E33=2,SC33=0),1000000,INDEX('計算A'!FC$110:FC$114,$F33+1)+IF(AND($E33=1,SC33=0),1000,0)),1000000))</f>
        <v/>
      </c>
      <c r="ABK33">
        <f>IF($B33=0,1000000,IF(INDEX('計算A'!$D$60:$II$104,$B33,157)*IW33=1,IF(AND($E33=2,SD33=0),1000000,INDEX('計算A'!FD$110:FD$114,$F33+1)+IF(AND($E33=1,SD33=0),1000,0)),1000000))</f>
        <v/>
      </c>
      <c r="ABL33">
        <f>IF($B33=0,1000000,IF(INDEX('計算A'!$D$60:$II$104,$B33,158)*IX33=1,IF(AND($E33=2,SE33=0),1000000,INDEX('計算A'!FE$110:FE$114,$F33+1)+IF(AND($E33=1,SE33=0),1000,0)),1000000))</f>
        <v/>
      </c>
      <c r="ABM33">
        <f>IF($B33=0,1000000,IF(INDEX('計算A'!$D$60:$II$104,$B33,159)*IY33=1,IF(AND($E33=2,SF33=0),1000000,INDEX('計算A'!FF$110:FF$114,$F33+1)+IF(AND($E33=1,SF33=0),1000,0)),1000000))</f>
        <v/>
      </c>
      <c r="ABN33">
        <f>IF($B33=0,1000000,IF(INDEX('計算A'!$D$60:$II$104,$B33,160)*IZ33=1,IF(AND($E33=2,SG33=0),1000000,INDEX('計算A'!FG$110:FG$114,$F33+1)+IF(AND($E33=1,SG33=0),1000,0)),1000000))</f>
        <v/>
      </c>
      <c r="ABO33">
        <f>IF($B33=0,1000000,IF(INDEX('計算A'!$D$60:$II$104,$B33,161)*JA33=1,IF(AND($E33=2,SH33=0),1000000,INDEX('計算A'!FH$110:FH$114,$F33+1)+IF(AND($E33=1,SH33=0),1000,0)),1000000))</f>
        <v/>
      </c>
      <c r="ABP33">
        <f>IF($B33=0,1000000,IF(INDEX('計算A'!$D$60:$II$104,$B33,162)*JB33=1,IF(AND($E33=2,SI33=0),1000000,INDEX('計算A'!FI$110:FI$114,$F33+1)+IF(AND($E33=1,SI33=0),1000,0)),1000000))</f>
        <v/>
      </c>
      <c r="ABQ33">
        <f>IF($B33=0,1000000,IF(INDEX('計算A'!$D$60:$II$104,$B33,163)*JC33=1,IF(AND($E33=2,SJ33=0),1000000,INDEX('計算A'!FJ$110:FJ$114,$F33+1)+IF(AND($E33=1,SJ33=0),1000,0)),1000000))</f>
        <v/>
      </c>
      <c r="ABR33">
        <f>IF($B33=0,1000000,IF(INDEX('計算A'!$D$60:$II$104,$B33,164)*JD33=1,IF(AND($E33=2,SK33=0),1000000,INDEX('計算A'!FK$110:FK$114,$F33+1)+IF(AND($E33=1,SK33=0),1000,0)),1000000))</f>
        <v/>
      </c>
      <c r="ABS33">
        <f>IF($B33=0,1000000,IF(INDEX('計算A'!$D$60:$II$104,$B33,165)*JE33=1,IF(AND($E33=2,SL33=0),1000000,INDEX('計算A'!FL$110:FL$114,$F33+1)+IF(AND($E33=1,SL33=0),1000,0)),1000000))</f>
        <v/>
      </c>
      <c r="ABT33">
        <f>IF($B33=0,1000000,IF(INDEX('計算A'!$D$60:$II$104,$B33,166)*JF33=1,IF(AND($E33=2,SM33=0),1000000,INDEX('計算A'!FM$110:FM$114,$F33+1)+IF(AND($E33=1,SM33=0),1000,0)),1000000))</f>
        <v/>
      </c>
      <c r="ABU33">
        <f>IF($B33=0,1000000,IF(INDEX('計算A'!$D$60:$II$104,$B33,167)*JG33=1,IF(AND($E33=2,SN33=0),1000000,INDEX('計算A'!FN$110:FN$114,$F33+1)+IF(AND($E33=1,SN33=0),1000,0)),1000000))</f>
        <v/>
      </c>
      <c r="ABV33">
        <f>IF($B33=0,1000000,IF(INDEX('計算A'!$D$60:$II$104,$B33,168)*JH33=1,IF(AND($E33=2,SO33=0),1000000,INDEX('計算A'!FO$110:FO$114,$F33+1)+IF(AND($E33=1,SO33=0),1000,0)),1000000))</f>
        <v/>
      </c>
      <c r="ABW33">
        <f>IF($B33=0,1000000,IF(INDEX('計算A'!$D$60:$II$104,$B33,169)*JI33=1,IF(AND($E33=2,SP33=0),1000000,INDEX('計算A'!FP$110:FP$114,$F33+1)+IF(AND($E33=1,SP33=0),1000,0)),1000000))</f>
        <v/>
      </c>
      <c r="ABX33">
        <f>IF($B33=0,1000000,IF(INDEX('計算A'!$D$60:$II$104,$B33,170)*JJ33=1,IF(AND($E33=2,SQ33=0),1000000,INDEX('計算A'!FQ$110:FQ$114,$F33+1)+IF(AND($E33=1,SQ33=0),1000,0)),1000000))</f>
        <v/>
      </c>
      <c r="ABY33">
        <f>IF($B33=0,1000000,IF(INDEX('計算A'!$D$60:$II$104,$B33,171)*JK33=1,IF(AND($E33=2,SR33=0),1000000,INDEX('計算A'!FR$110:FR$114,$F33+1)+IF(AND($E33=1,SR33=0),1000,0)),1000000))</f>
        <v/>
      </c>
      <c r="ABZ33">
        <f>IF($B33=0,1000000,IF(INDEX('計算A'!$D$60:$II$104,$B33,172)*JL33=1,IF(AND($E33=2,SS33=0),1000000,INDEX('計算A'!FS$110:FS$114,$F33+1)+IF(AND($E33=1,SS33=0),1000,0)),1000000))</f>
        <v/>
      </c>
      <c r="ACA33">
        <f>IF($B33=0,1000000,IF(INDEX('計算A'!$D$60:$II$104,$B33,173)*JM33=1,IF(AND($E33=2,ST33=0),1000000,INDEX('計算A'!FT$110:FT$114,$F33+1)+IF(AND($E33=1,ST33=0),1000,0)),1000000))</f>
        <v/>
      </c>
      <c r="ACB33">
        <f>IF($B33=0,1000000,IF(INDEX('計算A'!$D$60:$II$104,$B33,174)*JN33=1,IF(AND($E33=2,SU33=0),1000000,INDEX('計算A'!FU$110:FU$114,$F33+1)+IF(AND($E33=1,SU33=0),1000,0)),1000000))</f>
        <v/>
      </c>
      <c r="ACC33">
        <f>IF($B33=0,1000000,IF(INDEX('計算A'!$D$60:$II$104,$B33,175)*JO33=1,IF(AND($E33=2,SV33=0),1000000,INDEX('計算A'!FV$110:FV$114,$F33+1)+IF(AND($E33=1,SV33=0),1000,0)),1000000))</f>
        <v/>
      </c>
      <c r="ACD33">
        <f>IF($B33=0,1000000,IF(INDEX('計算A'!$D$60:$II$104,$B33,176)*JP33=1,IF(AND($E33=2,SW33=0),1000000,INDEX('計算A'!FW$110:FW$114,$F33+1)+IF(AND($E33=1,SW33=0),1000,0)),1000000))</f>
        <v/>
      </c>
      <c r="ACE33">
        <f>IF($B33=0,1000000,IF(INDEX('計算A'!$D$60:$II$104,$B33,177)*JQ33=1,IF(AND($E33=2,SX33=0),1000000,INDEX('計算A'!FX$110:FX$114,$F33+1)+IF(AND($E33=1,SX33=0),1000,0)),1000000))</f>
        <v/>
      </c>
      <c r="ACF33">
        <f>IF($B33=0,1000000,IF(INDEX('計算A'!$D$60:$II$104,$B33,178)*JR33=1,IF(AND($E33=2,SY33=0),1000000,INDEX('計算A'!FY$110:FY$114,$F33+1)+IF(AND($E33=1,SY33=0),1000,0)),1000000))</f>
        <v/>
      </c>
      <c r="ACG33">
        <f>IF($B33=0,1000000,IF(INDEX('計算A'!$D$60:$II$104,$B33,179)*JS33=1,IF(AND($E33=2,SZ33=0),1000000,INDEX('計算A'!FZ$110:FZ$114,$F33+1)+IF(AND($E33=1,SZ33=0),1000,0)),1000000))</f>
        <v/>
      </c>
      <c r="ACH33">
        <f>IF($B33=0,1000000,IF(INDEX('計算A'!$D$60:$II$104,$B33,180)*JT33=1,IF(AND($E33=2,TA33=0),1000000,INDEX('計算A'!GA$110:GA$114,$F33+1)+IF(AND($E33=1,TA33=0),1000,0)),1000000))</f>
        <v/>
      </c>
      <c r="ACI33">
        <f>IF($B33=0,1000000,IF(INDEX('計算A'!$D$60:$II$104,$B33,181)*JU33=1,IF(AND($E33=2,TB33=0),1000000,INDEX('計算A'!GB$110:GB$114,$F33+1)+IF(AND($E33=1,TB33=0),1000,0)),1000000))</f>
        <v/>
      </c>
      <c r="ACJ33">
        <f>IF($B33=0,1000000,IF(INDEX('計算A'!$D$60:$II$104,$B33,182)*JV33=1,IF(AND($E33=2,TC33=0),1000000,INDEX('計算A'!GC$110:GC$114,$F33+1)+IF(AND($E33=1,TC33=0),1000,0)),1000000))</f>
        <v/>
      </c>
      <c r="ACK33">
        <f>IF($B33=0,1000000,IF(INDEX('計算A'!$D$60:$II$104,$B33,183)*JW33=1,IF(AND($E33=2,TD33=0),1000000,INDEX('計算A'!GD$110:GD$114,$F33+1)+IF(AND($E33=1,TD33=0),1000,0)),1000000))</f>
        <v/>
      </c>
      <c r="ACL33">
        <f>IF($B33=0,1000000,IF(INDEX('計算A'!$D$60:$II$104,$B33,184)*JX33=1,IF(AND($E33=2,TE33=0),1000000,INDEX('計算A'!GE$110:GE$114,$F33+1)+IF(AND($E33=1,TE33=0),1000,0)),1000000))</f>
        <v/>
      </c>
      <c r="ACM33">
        <f>IF($B33=0,1000000,IF(INDEX('計算A'!$D$60:$II$104,$B33,185)*JY33=1,IF(AND($E33=2,TF33=0),1000000,INDEX('計算A'!GF$110:GF$114,$F33+1)+IF(AND($E33=1,TF33=0),1000,0)),1000000))</f>
        <v/>
      </c>
      <c r="ACN33">
        <f>IF($B33=0,1000000,IF(INDEX('計算A'!$D$60:$II$104,$B33,186)*JZ33=1,IF(AND($E33=2,TG33=0),1000000,INDEX('計算A'!GG$110:GG$114,$F33+1)+IF(AND($E33=1,TG33=0),1000,0)),1000000))</f>
        <v/>
      </c>
      <c r="ACO33">
        <f>IF($B33=0,1000000,IF(INDEX('計算A'!$D$60:$II$104,$B33,187)*KA33=1,IF(AND($E33=2,TH33=0),1000000,INDEX('計算A'!GH$110:GH$114,$F33+1)+IF(AND($E33=1,TH33=0),1000,0)),1000000))</f>
        <v/>
      </c>
      <c r="ACP33">
        <f>IF($B33=0,1000000,IF(INDEX('計算A'!$D$60:$II$104,$B33,188)*KB33=1,IF(AND($E33=2,TI33=0),1000000,INDEX('計算A'!GI$110:GI$114,$F33+1)+IF(AND($E33=1,TI33=0),1000,0)),1000000))</f>
        <v/>
      </c>
      <c r="ACQ33">
        <f>IF($B33=0,1000000,IF(INDEX('計算A'!$D$60:$II$104,$B33,189)*KC33=1,IF(AND($E33=2,TJ33=0),1000000,INDEX('計算A'!GJ$110:GJ$114,$F33+1)+IF(AND($E33=1,TJ33=0),1000,0)),1000000))</f>
        <v/>
      </c>
      <c r="ACR33">
        <f>IF($B33=0,1000000,IF(INDEX('計算A'!$D$60:$II$104,$B33,190)*KD33=1,IF(AND($E33=2,TK33=0),1000000,INDEX('計算A'!GK$110:GK$114,$F33+1)+IF(AND($E33=1,TK33=0),1000,0)),1000000))</f>
        <v/>
      </c>
      <c r="ACS33">
        <f>IF($B33=0,1000000,IF(INDEX('計算A'!$D$60:$II$104,$B33,191)*KE33=1,IF(AND($E33=2,TL33=0),1000000,INDEX('計算A'!GL$110:GL$114,$F33+1)+IF(AND($E33=1,TL33=0),1000,0)),1000000))</f>
        <v/>
      </c>
      <c r="ACT33">
        <f>IF($B33=0,1000000,IF(INDEX('計算A'!$D$60:$II$104,$B33,192)*KF33=1,IF(AND($E33=2,TM33=0),1000000,INDEX('計算A'!GM$110:GM$114,$F33+1)+IF(AND($E33=1,TM33=0),1000,0)),1000000))</f>
        <v/>
      </c>
      <c r="ACU33">
        <f>IF($B33=0,1000000,IF(INDEX('計算A'!$D$60:$II$104,$B33,193)*KG33=1,IF(AND($E33=2,TN33=0),1000000,INDEX('計算A'!GN$110:GN$114,$F33+1)+IF(AND($E33=1,TN33=0),1000,0)),1000000))</f>
        <v/>
      </c>
      <c r="ACV33">
        <f>IF($B33=0,1000000,IF(INDEX('計算A'!$D$60:$II$104,$B33,194)*KH33=1,IF(AND($E33=2,TO33=0),1000000,INDEX('計算A'!GO$110:GO$114,$F33+1)+IF(AND($E33=1,TO33=0),1000,0)),1000000))</f>
        <v/>
      </c>
      <c r="ACW33">
        <f>IF($B33=0,1000000,IF(INDEX('計算A'!$D$60:$II$104,$B33,195)*KI33=1,IF(AND($E33=2,TP33=0),1000000,INDEX('計算A'!GP$110:GP$114,$F33+1)+IF(AND($E33=1,TP33=0),1000,0)),1000000))</f>
        <v/>
      </c>
      <c r="ACX33">
        <f>IF($B33=0,1000000,IF(INDEX('計算A'!$D$60:$II$104,$B33,196)*KJ33=1,IF(AND($E33=2,TQ33=0),1000000,INDEX('計算A'!GQ$110:GQ$114,$F33+1)+IF(AND($E33=1,TQ33=0),1000,0)),1000000))</f>
        <v/>
      </c>
      <c r="ACY33">
        <f>IF($B33=0,1000000,IF(INDEX('計算A'!$D$60:$II$104,$B33,197)*KK33=1,IF(AND($E33=2,TR33=0),1000000,INDEX('計算A'!GR$110:GR$114,$F33+1)+IF(AND($E33=1,TR33=0),1000,0)),1000000))</f>
        <v/>
      </c>
      <c r="ACZ33">
        <f>IF($B33=0,1000000,IF(INDEX('計算A'!$D$60:$II$104,$B33,198)*KL33=1,IF(AND($E33=2,TS33=0),1000000,INDEX('計算A'!GS$110:GS$114,$F33+1)+IF(AND($E33=1,TS33=0),1000,0)),1000000))</f>
        <v/>
      </c>
      <c r="ADA33">
        <f>IF($B33=0,1000000,IF(INDEX('計算A'!$D$60:$II$104,$B33,199)*KM33=1,IF(AND($E33=2,TT33=0),1000000,INDEX('計算A'!GT$110:GT$114,$F33+1)+IF(AND($E33=1,TT33=0),1000,0)),1000000))</f>
        <v/>
      </c>
      <c r="ADB33">
        <f>IF($B33=0,1000000,IF(INDEX('計算A'!$D$60:$II$104,$B33,200)*KN33=1,IF(AND($E33=2,TU33=0),1000000,INDEX('計算A'!GU$110:GU$114,$F33+1)+IF(AND($E33=1,TU33=0),1000,0)),1000000))</f>
        <v/>
      </c>
      <c r="ADC33">
        <f>IF($B33=0,1000000,IF(INDEX('計算A'!$D$60:$II$104,$B33,201)*KO33=1,IF(AND($E33=2,TV33=0),1000000,INDEX('計算A'!GV$110:GV$114,$F33+1)+IF(AND($E33=1,TV33=0),1000,0)),1000000))</f>
        <v/>
      </c>
      <c r="ADD33">
        <f>IF($B33=0,1000000,IF(INDEX('計算A'!$D$60:$II$104,$B33,202)*KP33=1,IF(AND($E33=2,TW33=0),1000000,INDEX('計算A'!GW$110:GW$114,$F33+1)+IF(AND($E33=1,TW33=0),1000,0)),1000000))</f>
        <v/>
      </c>
      <c r="ADE33">
        <f>IF($B33=0,1000000,IF(INDEX('計算A'!$D$60:$II$104,$B33,203)*KQ33=1,IF(AND($E33=2,TX33=0),1000000,INDEX('計算A'!GX$110:GX$114,$F33+1)+IF(AND($E33=1,TX33=0),1000,0)),1000000))</f>
        <v/>
      </c>
      <c r="ADF33">
        <f>IF($B33=0,1000000,IF(INDEX('計算A'!$D$60:$II$104,$B33,204)*KR33=1,IF(AND($E33=2,TY33=0),1000000,INDEX('計算A'!GY$110:GY$114,$F33+1)+IF(AND($E33=1,TY33=0),1000,0)),1000000))</f>
        <v/>
      </c>
      <c r="ADG33">
        <f>IF($B33=0,1000000,IF(INDEX('計算A'!$D$60:$II$104,$B33,205)*KS33=1,IF(AND($E33=2,TZ33=0),1000000,INDEX('計算A'!GZ$110:GZ$114,$F33+1)+IF(AND($E33=1,TZ33=0),1000,0)),1000000))</f>
        <v/>
      </c>
      <c r="ADH33">
        <f>IF($B33=0,1000000,IF(INDEX('計算A'!$D$60:$II$104,$B33,206)*KT33=1,IF(AND($E33=2,UA33=0),1000000,INDEX('計算A'!HA$110:HA$114,$F33+1)+IF(AND($E33=1,UA33=0),1000,0)),1000000))</f>
        <v/>
      </c>
      <c r="ADI33">
        <f>IF($B33=0,1000000,IF(INDEX('計算A'!$D$60:$II$104,$B33,207)*KU33=1,IF(AND($E33=2,UB33=0),1000000,INDEX('計算A'!HB$110:HB$114,$F33+1)+IF(AND($E33=1,UB33=0),1000,0)),1000000))</f>
        <v/>
      </c>
      <c r="ADJ33">
        <f>IF($B33=0,1000000,IF(INDEX('計算A'!$D$60:$II$104,$B33,208)*KV33=1,IF(AND($E33=2,UC33=0),1000000,INDEX('計算A'!HC$110:HC$114,$F33+1)+IF(AND($E33=1,UC33=0),1000,0)),1000000))</f>
        <v/>
      </c>
      <c r="ADK33">
        <f>IF($B33=0,1000000,IF(INDEX('計算A'!$D$60:$II$104,$B33,209)*KW33=1,IF(AND($E33=2,UD33=0),1000000,INDEX('計算A'!HD$110:HD$114,$F33+1)+IF(AND($E33=1,UD33=0),1000,0)),1000000))</f>
        <v/>
      </c>
      <c r="ADL33">
        <f>IF($B33=0,1000000,IF(INDEX('計算A'!$D$60:$II$104,$B33,210)*KX33=1,IF(AND($E33=2,UE33=0),1000000,INDEX('計算A'!HE$110:HE$114,$F33+1)+IF(AND($E33=1,UE33=0),1000,0)),1000000))</f>
        <v/>
      </c>
      <c r="ADM33">
        <f>IF($B33=0,1000000,IF(INDEX('計算A'!$D$60:$II$104,$B33,211)*KY33=1,IF(AND($E33=2,UF33=0),1000000,INDEX('計算A'!HF$110:HF$114,$F33+1)+IF(AND($E33=1,UF33=0),1000,0)),1000000))</f>
        <v/>
      </c>
      <c r="ADN33">
        <f>IF($B33=0,1000000,IF(INDEX('計算A'!$D$60:$II$104,$B33,212)*KZ33=1,IF(AND($E33=2,UG33=0),1000000,INDEX('計算A'!HG$110:HG$114,$F33+1)+IF(AND($E33=1,UG33=0),1000,0)),1000000))</f>
        <v/>
      </c>
      <c r="ADO33">
        <f>IF($B33=0,1000000,IF(INDEX('計算A'!$D$60:$II$104,$B33,213)*LA33=1,IF(AND($E33=2,UH33=0),1000000,INDEX('計算A'!HH$110:HH$114,$F33+1)+IF(AND($E33=1,UH33=0),1000,0)),1000000))</f>
        <v/>
      </c>
      <c r="ADP33">
        <f>IF($B33=0,1000000,IF(INDEX('計算A'!$D$60:$II$104,$B33,214)*LB33=1,IF(AND($E33=2,UI33=0),1000000,INDEX('計算A'!HI$110:HI$114,$F33+1)+IF(AND($E33=1,UI33=0),1000,0)),1000000))</f>
        <v/>
      </c>
      <c r="ADQ33">
        <f>IF($B33=0,1000000,IF(INDEX('計算A'!$D$60:$II$104,$B33,215)*LC33=1,IF(AND($E33=2,UJ33=0),1000000,INDEX('計算A'!HJ$110:HJ$114,$F33+1)+IF(AND($E33=1,UJ33=0),1000,0)),1000000))</f>
        <v/>
      </c>
      <c r="ADR33">
        <f>IF($B33=0,1000000,IF(INDEX('計算A'!$D$60:$II$104,$B33,216)*LD33=1,IF(AND($E33=2,UK33=0),1000000,INDEX('計算A'!HK$110:HK$114,$F33+1)+IF(AND($E33=1,UK33=0),1000,0)),1000000))</f>
        <v/>
      </c>
      <c r="ADS33">
        <f>IF($B33=0,1000000,IF(INDEX('計算A'!$D$60:$II$104,$B33,217)*LE33=1,IF(AND($E33=2,UL33=0),1000000,INDEX('計算A'!HL$110:HL$114,$F33+1)+IF(AND($E33=1,UL33=0),1000,0)),1000000))</f>
        <v/>
      </c>
      <c r="ADT33">
        <f>IF($B33=0,1000000,IF(INDEX('計算A'!$D$60:$II$104,$B33,218)*LF33=1,IF(AND($E33=2,UM33=0),1000000,INDEX('計算A'!HM$110:HM$114,$F33+1)+IF(AND($E33=1,UM33=0),1000,0)),1000000))</f>
        <v/>
      </c>
      <c r="ADU33">
        <f>IF($B33=0,1000000,IF(INDEX('計算A'!$D$60:$II$104,$B33,219)*LG33=1,IF(AND($E33=2,UN33=0),1000000,INDEX('計算A'!HN$110:HN$114,$F33+1)+IF(AND($E33=1,UN33=0),1000,0)),1000000))</f>
        <v/>
      </c>
      <c r="ADV33">
        <f>IF($B33=0,1000000,IF(INDEX('計算A'!$D$60:$II$104,$B33,220)*LH33=1,IF(AND($E33=2,UO33=0),1000000,INDEX('計算A'!HO$110:HO$114,$F33+1)+IF(AND($E33=1,UO33=0),1000,0)),1000000))</f>
        <v/>
      </c>
      <c r="ADW33">
        <f>IF($B33=0,1000000,IF(INDEX('計算A'!$D$60:$II$104,$B33,221)*LI33=1,IF(AND($E33=2,UP33=0),1000000,INDEX('計算A'!HP$110:HP$114,$F33+1)+IF(AND($E33=1,UP33=0),1000,0)),1000000))</f>
        <v/>
      </c>
      <c r="ADX33">
        <f>IF($B33=0,1000000,IF(INDEX('計算A'!$D$60:$II$104,$B33,222)*LJ33=1,IF(AND($E33=2,UQ33=0),1000000,INDEX('計算A'!HQ$110:HQ$114,$F33+1)+IF(AND($E33=1,UQ33=0),1000,0)),1000000))</f>
        <v/>
      </c>
      <c r="ADY33">
        <f>IF($B33=0,1000000,IF(INDEX('計算A'!$D$60:$II$104,$B33,223)*LK33=1,IF(AND($E33=2,UR33=0),1000000,INDEX('計算A'!HR$110:HR$114,$F33+1)+IF(AND($E33=1,UR33=0),1000,0)),1000000))</f>
        <v/>
      </c>
      <c r="ADZ33">
        <f>IF($B33=0,1000000,IF(INDEX('計算A'!$D$60:$II$104,$B33,224)*LL33=1,IF(AND($E33=2,US33=0),1000000,INDEX('計算A'!HS$110:HS$114,$F33+1)+IF(AND($E33=1,US33=0),1000,0)),1000000))</f>
        <v/>
      </c>
      <c r="AEA33">
        <f>IF($B33=0,1000000,IF(INDEX('計算A'!$D$60:$II$104,$B33,225)*LM33=1,IF(AND($E33=2,UT33=0),1000000,INDEX('計算A'!HT$110:HT$114,$F33+1)+IF(AND($E33=1,UT33=0),1000,0)),1000000))</f>
        <v/>
      </c>
      <c r="AEB33">
        <f>IF($B33=0,1000000,IF(INDEX('計算A'!$D$60:$II$104,$B33,226)*LN33=1,IF(AND($E33=2,UU33=0),1000000,INDEX('計算A'!HU$110:HU$114,$F33+1)+IF(AND($E33=1,UU33=0),1000,0)),1000000))</f>
        <v/>
      </c>
      <c r="AEC33">
        <f>IF($B33=0,1000000,IF(INDEX('計算A'!$D$60:$II$104,$B33,227)*LO33=1,IF(AND($E33=2,UV33=0),1000000,INDEX('計算A'!HV$110:HV$114,$F33+1)+IF(AND($E33=1,UV33=0),1000,0)),1000000))</f>
        <v/>
      </c>
      <c r="AED33">
        <f>IF($B33=0,1000000,IF(INDEX('計算A'!$D$60:$II$104,$B33,228)*LP33=1,IF(AND($E33=2,UW33=0),1000000,INDEX('計算A'!HW$110:HW$114,$F33+1)+IF(AND($E33=1,UW33=0),1000,0)),1000000))</f>
        <v/>
      </c>
      <c r="AEE33">
        <f>IF($B33=0,1000000,IF(INDEX('計算A'!$D$60:$II$104,$B33,229)*LQ33=1,IF(AND($E33=2,UX33=0),1000000,INDEX('計算A'!HX$110:HX$114,$F33+1)+IF(AND($E33=1,UX33=0),1000,0)),1000000))</f>
        <v/>
      </c>
      <c r="AEF33">
        <f>IF($B33=0,1000000,IF(INDEX('計算A'!$D$60:$II$104,$B33,230)*LR33=1,IF(AND($E33=2,UY33=0),1000000,INDEX('計算A'!HY$110:HY$114,$F33+1)+IF(AND($E33=1,UY33=0),1000,0)),1000000))</f>
        <v/>
      </c>
      <c r="AEG33">
        <f>IF($B33=0,1000000,IF(INDEX('計算A'!$D$60:$II$104,$B33,231)*LS33=1,IF(AND($E33=2,UZ33=0),1000000,INDEX('計算A'!HZ$110:HZ$114,$F33+1)+IF(AND($E33=1,UZ33=0),1000,0)),1000000))</f>
        <v/>
      </c>
      <c r="AEH33">
        <f>IF($B33=0,1000000,IF(INDEX('計算A'!$D$60:$II$104,$B33,232)*LT33=1,IF(AND($E33=2,VA33=0),1000000,INDEX('計算A'!IA$110:IA$114,$F33+1)+IF(AND($E33=1,VA33=0),1000,0)),1000000))</f>
        <v/>
      </c>
      <c r="AEI33">
        <f>IF($B33=0,1000000,IF(INDEX('計算A'!$D$60:$II$104,$B33,233)*LU33=1,IF(AND($E33=2,VB33=0),1000000,INDEX('計算A'!IB$110:IB$114,$F33+1)+IF(AND($E33=1,VB33=0),1000,0)),1000000))</f>
        <v/>
      </c>
      <c r="AEJ33">
        <f>IF($B33=0,1000000,IF(INDEX('計算A'!$D$60:$II$104,$B33,234)*LV33=1,IF(AND($E33=2,VC33=0),1000000,INDEX('計算A'!IC$110:IC$114,$F33+1)+IF(AND($E33=1,VC33=0),1000,0)),1000000))</f>
        <v/>
      </c>
      <c r="AEK33">
        <f>IF($B33=0,1000000,IF(INDEX('計算A'!$D$60:$II$104,$B33,235)*LW33=1,IF(AND($E33=2,VD33=0),1000000,INDEX('計算A'!ID$110:ID$114,$F33+1)+IF(AND($E33=1,VD33=0),1000,0)),1000000))</f>
        <v/>
      </c>
      <c r="AEL33">
        <f>IF($B33=0,1000000,IF(INDEX('計算A'!$D$60:$II$104,$B33,236)*LX33=1,IF(AND($E33=2,VE33=0),1000000,INDEX('計算A'!IE$110:IE$114,$F33+1)+IF(AND($E33=1,VE33=0),1000,0)),1000000))</f>
        <v/>
      </c>
      <c r="AEM33">
        <f>IF($B33=0,1000000,IF(INDEX('計算A'!$D$60:$II$104,$B33,237)*LY33=1,IF(AND($E33=2,VF33=0),1000000,INDEX('計算A'!IF$110:IF$114,$F33+1)+IF(AND($E33=1,VF33=0),1000,0)),1000000))</f>
        <v/>
      </c>
      <c r="AEN33">
        <f>IF($B33=0,1000000,IF(INDEX('計算A'!$D$60:$II$104,$B33,238)*LZ33=1,IF(AND($E33=2,VG33=0),1000000,INDEX('計算A'!IG$110:IG$114,$F33+1)+IF(AND($E33=1,VG33=0),1000,0)),1000000))</f>
        <v/>
      </c>
      <c r="AEO33">
        <f>IF($B33=0,1000000,IF(INDEX('計算A'!$D$60:$II$104,$B33,239)*MA33=1,IF(AND($E33=2,VH33=0),1000000,INDEX('計算A'!IH$110:IH$114,$F33+1)+IF(AND($E33=1,VH33=0),1000,0)),1000000))</f>
        <v/>
      </c>
      <c r="AEP33">
        <f>IF($B33=0,1000000,IF(INDEX('計算A'!$D$60:$II$104,$B33,240)*MB33=1,IF(AND($E33=2,VI33=0),1000000,INDEX('計算A'!II$110:II$114,$F33+1)+IF(AND($E33=1,VI33=0),1000,0)),1000000))</f>
        <v/>
      </c>
    </row>
    <row r="34">
      <c r="A34" t="n">
        <v>32</v>
      </c>
      <c r="B34">
        <f>IF(MIN(BC34:CU34)&gt;=1000000,0,MATCH(MIN(BC34:CU34),BC34:CU34,0))</f>
        <v/>
      </c>
      <c r="C34">
        <f>IF(MIN(VK34:AEP34)&gt;=1000000,0,MATCH(MIN(VK34:AEP34),VK34:AEP34,0))</f>
        <v/>
      </c>
      <c r="D34">
        <f>IF(C34&gt;0,INDEX('計算A'!$D$5:$II$5,C34),0)</f>
        <v/>
      </c>
      <c r="E34">
        <f>IF(B34=0,0,INDEX('計算A'!$IQ$10:$IQ$54,B34))</f>
        <v/>
      </c>
      <c r="F34">
        <f>IF(B34=0,0,INDEX('計算A'!$IP$10:$IP$54,B34))</f>
        <v/>
      </c>
      <c r="G34">
        <f>IF(AND(C34&gt;0,E34&gt;0),IF(AND(INDEX('計算A'!$D$106:$II$106,C34)=1,INDEX($MD34:$VI34,C34)=1),C34+1,0),0)</f>
        <v/>
      </c>
      <c r="I34">
        <f>MAX(I33,IF($B33=1,1,0))</f>
        <v/>
      </c>
      <c r="J34">
        <f>MAX(J33,IF($B33=2,1,0))</f>
        <v/>
      </c>
      <c r="K34">
        <f>MAX(K33,IF($B33=3,1,0))</f>
        <v/>
      </c>
      <c r="L34">
        <f>MAX(L33,IF($B33=4,1,0))</f>
        <v/>
      </c>
      <c r="M34">
        <f>MAX(M33,IF($B33=5,1,0))</f>
        <v/>
      </c>
      <c r="N34">
        <f>MAX(N33,IF($B33=6,1,0))</f>
        <v/>
      </c>
      <c r="O34">
        <f>MAX(O33,IF($B33=7,1,0))</f>
        <v/>
      </c>
      <c r="P34">
        <f>MAX(P33,IF($B33=8,1,0))</f>
        <v/>
      </c>
      <c r="Q34">
        <f>MAX(Q33,IF($B33=9,1,0))</f>
        <v/>
      </c>
      <c r="R34">
        <f>MAX(R33,IF($B33=10,1,0))</f>
        <v/>
      </c>
      <c r="S34">
        <f>MAX(S33,IF($B33=11,1,0))</f>
        <v/>
      </c>
      <c r="T34">
        <f>MAX(T33,IF($B33=12,1,0))</f>
        <v/>
      </c>
      <c r="U34">
        <f>MAX(U33,IF($B33=13,1,0))</f>
        <v/>
      </c>
      <c r="V34">
        <f>MAX(V33,IF($B33=14,1,0))</f>
        <v/>
      </c>
      <c r="W34">
        <f>MAX(W33,IF($B33=15,1,0))</f>
        <v/>
      </c>
      <c r="X34">
        <f>MAX(X33,IF($B33=16,1,0))</f>
        <v/>
      </c>
      <c r="Y34">
        <f>MAX(Y33,IF($B33=17,1,0))</f>
        <v/>
      </c>
      <c r="Z34">
        <f>MAX(Z33,IF($B33=18,1,0))</f>
        <v/>
      </c>
      <c r="AA34">
        <f>MAX(AA33,IF($B33=19,1,0))</f>
        <v/>
      </c>
      <c r="AB34">
        <f>MAX(AB33,IF($B33=20,1,0))</f>
        <v/>
      </c>
      <c r="AC34">
        <f>MAX(AC33,IF($B33=21,1,0))</f>
        <v/>
      </c>
      <c r="AD34">
        <f>MAX(AD33,IF($B33=22,1,0))</f>
        <v/>
      </c>
      <c r="AE34">
        <f>MAX(AE33,IF($B33=23,1,0))</f>
        <v/>
      </c>
      <c r="AF34">
        <f>MAX(AF33,IF($B33=24,1,0))</f>
        <v/>
      </c>
      <c r="AG34">
        <f>MAX(AG33,IF($B33=25,1,0))</f>
        <v/>
      </c>
      <c r="AH34">
        <f>MAX(AH33,IF($B33=26,1,0))</f>
        <v/>
      </c>
      <c r="AI34">
        <f>MAX(AI33,IF($B33=27,1,0))</f>
        <v/>
      </c>
      <c r="AJ34">
        <f>MAX(AJ33,IF($B33=28,1,0))</f>
        <v/>
      </c>
      <c r="AK34">
        <f>MAX(AK33,IF($B33=29,1,0))</f>
        <v/>
      </c>
      <c r="AL34">
        <f>MAX(AL33,IF($B33=30,1,0))</f>
        <v/>
      </c>
      <c r="AM34">
        <f>MAX(AM33,IF($B33=31,1,0))</f>
        <v/>
      </c>
      <c r="AN34">
        <f>MAX(AN33,IF($B33=32,1,0))</f>
        <v/>
      </c>
      <c r="AO34">
        <f>MAX(AO33,IF($B33=33,1,0))</f>
        <v/>
      </c>
      <c r="AP34">
        <f>MAX(AP33,IF($B33=34,1,0))</f>
        <v/>
      </c>
      <c r="AQ34">
        <f>MAX(AQ33,IF($B33=35,1,0))</f>
        <v/>
      </c>
      <c r="AR34">
        <f>MAX(AR33,IF($B33=36,1,0))</f>
        <v/>
      </c>
      <c r="AS34">
        <f>MAX(AS33,IF($B33=37,1,0))</f>
        <v/>
      </c>
      <c r="AT34">
        <f>MAX(AT33,IF($B33=38,1,0))</f>
        <v/>
      </c>
      <c r="AU34">
        <f>MAX(AU33,IF($B33=39,1,0))</f>
        <v/>
      </c>
      <c r="AV34">
        <f>MAX(AV33,IF($B33=40,1,0))</f>
        <v/>
      </c>
      <c r="AW34">
        <f>MAX(AW33,IF($B33=41,1,0))</f>
        <v/>
      </c>
      <c r="AX34">
        <f>MAX(AX33,IF($B33=42,1,0))</f>
        <v/>
      </c>
      <c r="AY34">
        <f>MAX(AY33,IF($B33=43,1,0))</f>
        <v/>
      </c>
      <c r="AZ34">
        <f>MAX(AZ33,IF($B33=44,1,0))</f>
        <v/>
      </c>
      <c r="BA34">
        <f>MAX(BA33,IF($B33=45,1,0))</f>
        <v/>
      </c>
      <c r="BC34">
        <f>IF(I34=1,1000000,IF('計算A'!$IQ$10=2,SUMPRODUCT('計算A'!$D$60:$II$60,$CW34:$MB34,$MD34:$VI34),SUMPRODUCT('計算A'!$D$60:$II$60,$CW34:$MB34))*1000+1)</f>
        <v/>
      </c>
      <c r="BD34">
        <f>IF(J34=1,1000000,IF('計算A'!$IQ$11=2,SUMPRODUCT('計算A'!$D$61:$II$61,$CW34:$MB34,$MD34:$VI34),SUMPRODUCT('計算A'!$D$61:$II$61,$CW34:$MB34))*1000+2)</f>
        <v/>
      </c>
      <c r="BE34">
        <f>IF(K34=1,1000000,IF('計算A'!$IQ$12=2,SUMPRODUCT('計算A'!$D$62:$II$62,$CW34:$MB34,$MD34:$VI34),SUMPRODUCT('計算A'!$D$62:$II$62,$CW34:$MB34))*1000+3)</f>
        <v/>
      </c>
      <c r="BF34">
        <f>IF(L34=1,1000000,IF('計算A'!$IQ$13=2,SUMPRODUCT('計算A'!$D$63:$II$63,$CW34:$MB34,$MD34:$VI34),SUMPRODUCT('計算A'!$D$63:$II$63,$CW34:$MB34))*1000+4)</f>
        <v/>
      </c>
      <c r="BG34">
        <f>IF(M34=1,1000000,IF('計算A'!$IQ$14=2,SUMPRODUCT('計算A'!$D$64:$II$64,$CW34:$MB34,$MD34:$VI34),SUMPRODUCT('計算A'!$D$64:$II$64,$CW34:$MB34))*1000+5)</f>
        <v/>
      </c>
      <c r="BH34">
        <f>IF(N34=1,1000000,IF('計算A'!$IQ$15=2,SUMPRODUCT('計算A'!$D$65:$II$65,$CW34:$MB34,$MD34:$VI34),SUMPRODUCT('計算A'!$D$65:$II$65,$CW34:$MB34))*1000+6)</f>
        <v/>
      </c>
      <c r="BI34">
        <f>IF(O34=1,1000000,IF('計算A'!$IQ$16=2,SUMPRODUCT('計算A'!$D$66:$II$66,$CW34:$MB34,$MD34:$VI34),SUMPRODUCT('計算A'!$D$66:$II$66,$CW34:$MB34))*1000+7)</f>
        <v/>
      </c>
      <c r="BJ34">
        <f>IF(P34=1,1000000,IF('計算A'!$IQ$17=2,SUMPRODUCT('計算A'!$D$67:$II$67,$CW34:$MB34,$MD34:$VI34),SUMPRODUCT('計算A'!$D$67:$II$67,$CW34:$MB34))*1000+8)</f>
        <v/>
      </c>
      <c r="BK34">
        <f>IF(Q34=1,1000000,IF('計算A'!$IQ$18=2,SUMPRODUCT('計算A'!$D$68:$II$68,$CW34:$MB34,$MD34:$VI34),SUMPRODUCT('計算A'!$D$68:$II$68,$CW34:$MB34))*1000+9)</f>
        <v/>
      </c>
      <c r="BL34">
        <f>IF(R34=1,1000000,IF('計算A'!$IQ$19=2,SUMPRODUCT('計算A'!$D$69:$II$69,$CW34:$MB34,$MD34:$VI34),SUMPRODUCT('計算A'!$D$69:$II$69,$CW34:$MB34))*1000+10)</f>
        <v/>
      </c>
      <c r="BM34">
        <f>IF(S34=1,1000000,IF('計算A'!$IQ$20=2,SUMPRODUCT('計算A'!$D$70:$II$70,$CW34:$MB34,$MD34:$VI34),SUMPRODUCT('計算A'!$D$70:$II$70,$CW34:$MB34))*1000+11)</f>
        <v/>
      </c>
      <c r="BN34">
        <f>IF(T34=1,1000000,IF('計算A'!$IQ$21=2,SUMPRODUCT('計算A'!$D$71:$II$71,$CW34:$MB34,$MD34:$VI34),SUMPRODUCT('計算A'!$D$71:$II$71,$CW34:$MB34))*1000+12)</f>
        <v/>
      </c>
      <c r="BO34">
        <f>IF(U34=1,1000000,IF('計算A'!$IQ$22=2,SUMPRODUCT('計算A'!$D$72:$II$72,$CW34:$MB34,$MD34:$VI34),SUMPRODUCT('計算A'!$D$72:$II$72,$CW34:$MB34))*1000+13)</f>
        <v/>
      </c>
      <c r="BP34">
        <f>IF(V34=1,1000000,IF('計算A'!$IQ$23=2,SUMPRODUCT('計算A'!$D$73:$II$73,$CW34:$MB34,$MD34:$VI34),SUMPRODUCT('計算A'!$D$73:$II$73,$CW34:$MB34))*1000+14)</f>
        <v/>
      </c>
      <c r="BQ34">
        <f>IF(W34=1,1000000,IF('計算A'!$IQ$24=2,SUMPRODUCT('計算A'!$D$74:$II$74,$CW34:$MB34,$MD34:$VI34),SUMPRODUCT('計算A'!$D$74:$II$74,$CW34:$MB34))*1000+15)</f>
        <v/>
      </c>
      <c r="BR34">
        <f>IF(X34=1,1000000,IF('計算A'!$IQ$25=2,SUMPRODUCT('計算A'!$D$75:$II$75,$CW34:$MB34,$MD34:$VI34),SUMPRODUCT('計算A'!$D$75:$II$75,$CW34:$MB34))*1000+16)</f>
        <v/>
      </c>
      <c r="BS34">
        <f>IF(Y34=1,1000000,IF('計算A'!$IQ$26=2,SUMPRODUCT('計算A'!$D$76:$II$76,$CW34:$MB34,$MD34:$VI34),SUMPRODUCT('計算A'!$D$76:$II$76,$CW34:$MB34))*1000+17)</f>
        <v/>
      </c>
      <c r="BT34">
        <f>IF(Z34=1,1000000,IF('計算A'!$IQ$27=2,SUMPRODUCT('計算A'!$D$77:$II$77,$CW34:$MB34,$MD34:$VI34),SUMPRODUCT('計算A'!$D$77:$II$77,$CW34:$MB34))*1000+18)</f>
        <v/>
      </c>
      <c r="BU34">
        <f>IF(AA34=1,1000000,IF('計算A'!$IQ$28=2,SUMPRODUCT('計算A'!$D$78:$II$78,$CW34:$MB34,$MD34:$VI34),SUMPRODUCT('計算A'!$D$78:$II$78,$CW34:$MB34))*1000+19)</f>
        <v/>
      </c>
      <c r="BV34">
        <f>IF(AB34=1,1000000,IF('計算A'!$IQ$29=2,SUMPRODUCT('計算A'!$D$79:$II$79,$CW34:$MB34,$MD34:$VI34),SUMPRODUCT('計算A'!$D$79:$II$79,$CW34:$MB34))*1000+20)</f>
        <v/>
      </c>
      <c r="BW34">
        <f>IF(AC34=1,1000000,IF('計算A'!$IQ$30=2,SUMPRODUCT('計算A'!$D$80:$II$80,$CW34:$MB34,$MD34:$VI34),SUMPRODUCT('計算A'!$D$80:$II$80,$CW34:$MB34))*1000+21)</f>
        <v/>
      </c>
      <c r="BX34">
        <f>IF(AD34=1,1000000,IF('計算A'!$IQ$31=2,SUMPRODUCT('計算A'!$D$81:$II$81,$CW34:$MB34,$MD34:$VI34),SUMPRODUCT('計算A'!$D$81:$II$81,$CW34:$MB34))*1000+22)</f>
        <v/>
      </c>
      <c r="BY34">
        <f>IF(AE34=1,1000000,IF('計算A'!$IQ$32=2,SUMPRODUCT('計算A'!$D$82:$II$82,$CW34:$MB34,$MD34:$VI34),SUMPRODUCT('計算A'!$D$82:$II$82,$CW34:$MB34))*1000+23)</f>
        <v/>
      </c>
      <c r="BZ34">
        <f>IF(AF34=1,1000000,IF('計算A'!$IQ$33=2,SUMPRODUCT('計算A'!$D$83:$II$83,$CW34:$MB34,$MD34:$VI34),SUMPRODUCT('計算A'!$D$83:$II$83,$CW34:$MB34))*1000+24)</f>
        <v/>
      </c>
      <c r="CA34">
        <f>IF(AG34=1,1000000,IF('計算A'!$IQ$34=2,SUMPRODUCT('計算A'!$D$84:$II$84,$CW34:$MB34,$MD34:$VI34),SUMPRODUCT('計算A'!$D$84:$II$84,$CW34:$MB34))*1000+25)</f>
        <v/>
      </c>
      <c r="CB34">
        <f>IF(AH34=1,1000000,IF('計算A'!$IQ$35=2,SUMPRODUCT('計算A'!$D$85:$II$85,$CW34:$MB34,$MD34:$VI34),SUMPRODUCT('計算A'!$D$85:$II$85,$CW34:$MB34))*1000+26)</f>
        <v/>
      </c>
      <c r="CC34">
        <f>IF(AI34=1,1000000,IF('計算A'!$IQ$36=2,SUMPRODUCT('計算A'!$D$86:$II$86,$CW34:$MB34,$MD34:$VI34),SUMPRODUCT('計算A'!$D$86:$II$86,$CW34:$MB34))*1000+27)</f>
        <v/>
      </c>
      <c r="CD34">
        <f>IF(AJ34=1,1000000,IF('計算A'!$IQ$37=2,SUMPRODUCT('計算A'!$D$87:$II$87,$CW34:$MB34,$MD34:$VI34),SUMPRODUCT('計算A'!$D$87:$II$87,$CW34:$MB34))*1000+28)</f>
        <v/>
      </c>
      <c r="CE34">
        <f>IF(AK34=1,1000000,IF('計算A'!$IQ$38=2,SUMPRODUCT('計算A'!$D$88:$II$88,$CW34:$MB34,$MD34:$VI34),SUMPRODUCT('計算A'!$D$88:$II$88,$CW34:$MB34))*1000+29)</f>
        <v/>
      </c>
      <c r="CF34">
        <f>IF(AL34=1,1000000,IF('計算A'!$IQ$39=2,SUMPRODUCT('計算A'!$D$89:$II$89,$CW34:$MB34,$MD34:$VI34),SUMPRODUCT('計算A'!$D$89:$II$89,$CW34:$MB34))*1000+30)</f>
        <v/>
      </c>
      <c r="CG34">
        <f>IF(AM34=1,1000000,IF('計算A'!$IQ$40=2,SUMPRODUCT('計算A'!$D$90:$II$90,$CW34:$MB34,$MD34:$VI34),SUMPRODUCT('計算A'!$D$90:$II$90,$CW34:$MB34))*1000+31)</f>
        <v/>
      </c>
      <c r="CH34">
        <f>IF(AN34=1,1000000,IF('計算A'!$IQ$41=2,SUMPRODUCT('計算A'!$D$91:$II$91,$CW34:$MB34,$MD34:$VI34),SUMPRODUCT('計算A'!$D$91:$II$91,$CW34:$MB34))*1000+32)</f>
        <v/>
      </c>
      <c r="CI34">
        <f>IF(AO34=1,1000000,IF('計算A'!$IQ$42=2,SUMPRODUCT('計算A'!$D$92:$II$92,$CW34:$MB34,$MD34:$VI34),SUMPRODUCT('計算A'!$D$92:$II$92,$CW34:$MB34))*1000+33)</f>
        <v/>
      </c>
      <c r="CJ34">
        <f>IF(AP34=1,1000000,IF('計算A'!$IQ$43=2,SUMPRODUCT('計算A'!$D$93:$II$93,$CW34:$MB34,$MD34:$VI34),SUMPRODUCT('計算A'!$D$93:$II$93,$CW34:$MB34))*1000+34)</f>
        <v/>
      </c>
      <c r="CK34">
        <f>IF(AQ34=1,1000000,IF('計算A'!$IQ$44=2,SUMPRODUCT('計算A'!$D$94:$II$94,$CW34:$MB34,$MD34:$VI34),SUMPRODUCT('計算A'!$D$94:$II$94,$CW34:$MB34))*1000+35)</f>
        <v/>
      </c>
      <c r="CL34">
        <f>IF(AR34=1,1000000,IF('計算A'!$IQ$45=2,SUMPRODUCT('計算A'!$D$95:$II$95,$CW34:$MB34,$MD34:$VI34),SUMPRODUCT('計算A'!$D$95:$II$95,$CW34:$MB34))*1000+36)</f>
        <v/>
      </c>
      <c r="CM34">
        <f>IF(AS34=1,1000000,IF('計算A'!$IQ$46=2,SUMPRODUCT('計算A'!$D$96:$II$96,$CW34:$MB34,$MD34:$VI34),SUMPRODUCT('計算A'!$D$96:$II$96,$CW34:$MB34))*1000+37)</f>
        <v/>
      </c>
      <c r="CN34">
        <f>IF(AT34=1,1000000,IF('計算A'!$IQ$47=2,SUMPRODUCT('計算A'!$D$97:$II$97,$CW34:$MB34,$MD34:$VI34),SUMPRODUCT('計算A'!$D$97:$II$97,$CW34:$MB34))*1000+38)</f>
        <v/>
      </c>
      <c r="CO34">
        <f>IF(AU34=1,1000000,IF('計算A'!$IQ$48=2,SUMPRODUCT('計算A'!$D$98:$II$98,$CW34:$MB34,$MD34:$VI34),SUMPRODUCT('計算A'!$D$98:$II$98,$CW34:$MB34))*1000+39)</f>
        <v/>
      </c>
      <c r="CP34">
        <f>IF(AV34=1,1000000,IF('計算A'!$IQ$49=2,SUMPRODUCT('計算A'!$D$99:$II$99,$CW34:$MB34,$MD34:$VI34),SUMPRODUCT('計算A'!$D$99:$II$99,$CW34:$MB34))*1000+40)</f>
        <v/>
      </c>
      <c r="CQ34">
        <f>IF(AW34=1,1000000,IF('計算A'!$IQ$50=2,SUMPRODUCT('計算A'!$D$100:$II$100,$CW34:$MB34,$MD34:$VI34),SUMPRODUCT('計算A'!$D$100:$II$100,$CW34:$MB34))*1000+41)</f>
        <v/>
      </c>
      <c r="CR34">
        <f>IF(AX34=1,1000000,IF('計算A'!$IQ$51=2,SUMPRODUCT('計算A'!$D$101:$II$101,$CW34:$MB34,$MD34:$VI34),SUMPRODUCT('計算A'!$D$101:$II$101,$CW34:$MB34))*1000+42)</f>
        <v/>
      </c>
      <c r="CS34">
        <f>IF(AY34=1,1000000,IF('計算A'!$IQ$52=2,SUMPRODUCT('計算A'!$D$102:$II$102,$CW34:$MB34,$MD34:$VI34),SUMPRODUCT('計算A'!$D$102:$II$102,$CW34:$MB34))*1000+43)</f>
        <v/>
      </c>
      <c r="CT34">
        <f>IF(AZ34=1,1000000,IF('計算A'!$IQ$53=2,SUMPRODUCT('計算A'!$D$103:$II$103,$CW34:$MB34,$MD34:$VI34),SUMPRODUCT('計算A'!$D$103:$II$103,$CW34:$MB34))*1000+44)</f>
        <v/>
      </c>
      <c r="CU34">
        <f>IF(BA34=1,1000000,IF('計算A'!$IQ$54=2,SUMPRODUCT('計算A'!$D$104:$II$104,$CW34:$MB34,$MD34:$VI34),SUMPRODUCT('計算A'!$D$104:$II$104,$CW34:$MB34))*1000+45)</f>
        <v/>
      </c>
      <c r="CW34">
        <f>CW33*IF(OR($C33=1,$G33=1),0,1)</f>
        <v/>
      </c>
      <c r="CX34">
        <f>CX33*IF(OR($C33=2,$G33=2),0,1)</f>
        <v/>
      </c>
      <c r="CY34">
        <f>CY33*IF(OR($C33=3,$G33=3),0,1)</f>
        <v/>
      </c>
      <c r="CZ34">
        <f>CZ33*IF(OR($C33=4,$G33=4),0,1)</f>
        <v/>
      </c>
      <c r="DA34">
        <f>DA33*IF(OR($C33=5,$G33=5),0,1)</f>
        <v/>
      </c>
      <c r="DB34">
        <f>DB33*IF(OR($C33=6,$G33=6),0,1)</f>
        <v/>
      </c>
      <c r="DC34">
        <f>DC33*IF(OR($C33=7,$G33=7),0,1)</f>
        <v/>
      </c>
      <c r="DD34">
        <f>DD33*IF(OR($C33=8,$G33=8),0,1)</f>
        <v/>
      </c>
      <c r="DE34">
        <f>DE33*IF(OR($C33=9,$G33=9),0,1)</f>
        <v/>
      </c>
      <c r="DF34">
        <f>DF33*IF(OR($C33=10,$G33=10),0,1)</f>
        <v/>
      </c>
      <c r="DG34">
        <f>DG33*IF(OR($C33=11,$G33=11),0,1)</f>
        <v/>
      </c>
      <c r="DH34">
        <f>DH33*IF(OR($C33=12,$G33=12),0,1)</f>
        <v/>
      </c>
      <c r="DI34">
        <f>DI33*IF(OR($C33=13,$G33=13),0,1)</f>
        <v/>
      </c>
      <c r="DJ34">
        <f>DJ33*IF(OR($C33=14,$G33=14),0,1)</f>
        <v/>
      </c>
      <c r="DK34">
        <f>DK33*IF(OR($C33=15,$G33=15),0,1)</f>
        <v/>
      </c>
      <c r="DL34">
        <f>DL33*IF(OR($C33=16,$G33=16),0,1)</f>
        <v/>
      </c>
      <c r="DM34">
        <f>DM33*IF(OR($C33=17,$G33=17),0,1)</f>
        <v/>
      </c>
      <c r="DN34">
        <f>DN33*IF(OR($C33=18,$G33=18),0,1)</f>
        <v/>
      </c>
      <c r="DO34">
        <f>DO33*IF(OR($C33=19,$G33=19),0,1)</f>
        <v/>
      </c>
      <c r="DP34">
        <f>DP33*IF(OR($C33=20,$G33=20),0,1)</f>
        <v/>
      </c>
      <c r="DQ34">
        <f>DQ33*IF(OR($C33=21,$G33=21),0,1)</f>
        <v/>
      </c>
      <c r="DR34">
        <f>DR33*IF(OR($C33=22,$G33=22),0,1)</f>
        <v/>
      </c>
      <c r="DS34">
        <f>DS33*IF(OR($C33=23,$G33=23),0,1)</f>
        <v/>
      </c>
      <c r="DT34">
        <f>DT33*IF(OR($C33=24,$G33=24),0,1)</f>
        <v/>
      </c>
      <c r="DU34">
        <f>DU33*IF(OR($C33=25,$G33=25),0,1)</f>
        <v/>
      </c>
      <c r="DV34">
        <f>DV33*IF(OR($C33=26,$G33=26),0,1)</f>
        <v/>
      </c>
      <c r="DW34">
        <f>DW33*IF(OR($C33=27,$G33=27),0,1)</f>
        <v/>
      </c>
      <c r="DX34">
        <f>DX33*IF(OR($C33=28,$G33=28),0,1)</f>
        <v/>
      </c>
      <c r="DY34">
        <f>DY33*IF(OR($C33=29,$G33=29),0,1)</f>
        <v/>
      </c>
      <c r="DZ34">
        <f>DZ33*IF(OR($C33=30,$G33=30),0,1)</f>
        <v/>
      </c>
      <c r="EA34">
        <f>EA33*IF(OR($C33=31,$G33=31),0,1)</f>
        <v/>
      </c>
      <c r="EB34">
        <f>EB33*IF(OR($C33=32,$G33=32),0,1)</f>
        <v/>
      </c>
      <c r="EC34">
        <f>EC33*IF(OR($C33=33,$G33=33),0,1)</f>
        <v/>
      </c>
      <c r="ED34">
        <f>ED33*IF(OR($C33=34,$G33=34),0,1)</f>
        <v/>
      </c>
      <c r="EE34">
        <f>EE33*IF(OR($C33=35,$G33=35),0,1)</f>
        <v/>
      </c>
      <c r="EF34">
        <f>EF33*IF(OR($C33=36,$G33=36),0,1)</f>
        <v/>
      </c>
      <c r="EG34">
        <f>EG33*IF(OR($C33=37,$G33=37),0,1)</f>
        <v/>
      </c>
      <c r="EH34">
        <f>EH33*IF(OR($C33=38,$G33=38),0,1)</f>
        <v/>
      </c>
      <c r="EI34">
        <f>EI33*IF(OR($C33=39,$G33=39),0,1)</f>
        <v/>
      </c>
      <c r="EJ34">
        <f>EJ33*IF(OR($C33=40,$G33=40),0,1)</f>
        <v/>
      </c>
      <c r="EK34">
        <f>EK33*IF(OR($C33=41,$G33=41),0,1)</f>
        <v/>
      </c>
      <c r="EL34">
        <f>EL33*IF(OR($C33=42,$G33=42),0,1)</f>
        <v/>
      </c>
      <c r="EM34">
        <f>EM33*IF(OR($C33=43,$G33=43),0,1)</f>
        <v/>
      </c>
      <c r="EN34">
        <f>EN33*IF(OR($C33=44,$G33=44),0,1)</f>
        <v/>
      </c>
      <c r="EO34">
        <f>EO33*IF(OR($C33=45,$G33=45),0,1)</f>
        <v/>
      </c>
      <c r="EP34">
        <f>EP33*IF(OR($C33=46,$G33=46),0,1)</f>
        <v/>
      </c>
      <c r="EQ34">
        <f>EQ33*IF(OR($C33=47,$G33=47),0,1)</f>
        <v/>
      </c>
      <c r="ER34">
        <f>ER33*IF(OR($C33=48,$G33=48),0,1)</f>
        <v/>
      </c>
      <c r="ES34">
        <f>ES33*IF(OR($C33=49,$G33=49),0,1)</f>
        <v/>
      </c>
      <c r="ET34">
        <f>ET33*IF(OR($C33=50,$G33=50),0,1)</f>
        <v/>
      </c>
      <c r="EU34">
        <f>EU33*IF(OR($C33=51,$G33=51),0,1)</f>
        <v/>
      </c>
      <c r="EV34">
        <f>EV33*IF(OR($C33=52,$G33=52),0,1)</f>
        <v/>
      </c>
      <c r="EW34">
        <f>EW33*IF(OR($C33=53,$G33=53),0,1)</f>
        <v/>
      </c>
      <c r="EX34">
        <f>EX33*IF(OR($C33=54,$G33=54),0,1)</f>
        <v/>
      </c>
      <c r="EY34">
        <f>EY33*IF(OR($C33=55,$G33=55),0,1)</f>
        <v/>
      </c>
      <c r="EZ34">
        <f>EZ33*IF(OR($C33=56,$G33=56),0,1)</f>
        <v/>
      </c>
      <c r="FA34">
        <f>FA33*IF(OR($C33=57,$G33=57),0,1)</f>
        <v/>
      </c>
      <c r="FB34">
        <f>FB33*IF(OR($C33=58,$G33=58),0,1)</f>
        <v/>
      </c>
      <c r="FC34">
        <f>FC33*IF(OR($C33=59,$G33=59),0,1)</f>
        <v/>
      </c>
      <c r="FD34">
        <f>FD33*IF(OR($C33=60,$G33=60),0,1)</f>
        <v/>
      </c>
      <c r="FE34">
        <f>FE33*IF(OR($C33=61,$G33=61),0,1)</f>
        <v/>
      </c>
      <c r="FF34">
        <f>FF33*IF(OR($C33=62,$G33=62),0,1)</f>
        <v/>
      </c>
      <c r="FG34">
        <f>FG33*IF(OR($C33=63,$G33=63),0,1)</f>
        <v/>
      </c>
      <c r="FH34">
        <f>FH33*IF(OR($C33=64,$G33=64),0,1)</f>
        <v/>
      </c>
      <c r="FI34">
        <f>FI33*IF(OR($C33=65,$G33=65),0,1)</f>
        <v/>
      </c>
      <c r="FJ34">
        <f>FJ33*IF(OR($C33=66,$G33=66),0,1)</f>
        <v/>
      </c>
      <c r="FK34">
        <f>FK33*IF(OR($C33=67,$G33=67),0,1)</f>
        <v/>
      </c>
      <c r="FL34">
        <f>FL33*IF(OR($C33=68,$G33=68),0,1)</f>
        <v/>
      </c>
      <c r="FM34">
        <f>FM33*IF(OR($C33=69,$G33=69),0,1)</f>
        <v/>
      </c>
      <c r="FN34">
        <f>FN33*IF(OR($C33=70,$G33=70),0,1)</f>
        <v/>
      </c>
      <c r="FO34">
        <f>FO33*IF(OR($C33=71,$G33=71),0,1)</f>
        <v/>
      </c>
      <c r="FP34">
        <f>FP33*IF(OR($C33=72,$G33=72),0,1)</f>
        <v/>
      </c>
      <c r="FQ34">
        <f>FQ33*IF(OR($C33=73,$G33=73),0,1)</f>
        <v/>
      </c>
      <c r="FR34">
        <f>FR33*IF(OR($C33=74,$G33=74),0,1)</f>
        <v/>
      </c>
      <c r="FS34">
        <f>FS33*IF(OR($C33=75,$G33=75),0,1)</f>
        <v/>
      </c>
      <c r="FT34">
        <f>FT33*IF(OR($C33=76,$G33=76),0,1)</f>
        <v/>
      </c>
      <c r="FU34">
        <f>FU33*IF(OR($C33=77,$G33=77),0,1)</f>
        <v/>
      </c>
      <c r="FV34">
        <f>FV33*IF(OR($C33=78,$G33=78),0,1)</f>
        <v/>
      </c>
      <c r="FW34">
        <f>FW33*IF(OR($C33=79,$G33=79),0,1)</f>
        <v/>
      </c>
      <c r="FX34">
        <f>FX33*IF(OR($C33=80,$G33=80),0,1)</f>
        <v/>
      </c>
      <c r="FY34">
        <f>FY33*IF(OR($C33=81,$G33=81),0,1)</f>
        <v/>
      </c>
      <c r="FZ34">
        <f>FZ33*IF(OR($C33=82,$G33=82),0,1)</f>
        <v/>
      </c>
      <c r="GA34">
        <f>GA33*IF(OR($C33=83,$G33=83),0,1)</f>
        <v/>
      </c>
      <c r="GB34">
        <f>GB33*IF(OR($C33=84,$G33=84),0,1)</f>
        <v/>
      </c>
      <c r="GC34">
        <f>GC33*IF(OR($C33=85,$G33=85),0,1)</f>
        <v/>
      </c>
      <c r="GD34">
        <f>GD33*IF(OR($C33=86,$G33=86),0,1)</f>
        <v/>
      </c>
      <c r="GE34">
        <f>GE33*IF(OR($C33=87,$G33=87),0,1)</f>
        <v/>
      </c>
      <c r="GF34">
        <f>GF33*IF(OR($C33=88,$G33=88),0,1)</f>
        <v/>
      </c>
      <c r="GG34">
        <f>GG33*IF(OR($C33=89,$G33=89),0,1)</f>
        <v/>
      </c>
      <c r="GH34">
        <f>GH33*IF(OR($C33=90,$G33=90),0,1)</f>
        <v/>
      </c>
      <c r="GI34">
        <f>GI33*IF(OR($C33=91,$G33=91),0,1)</f>
        <v/>
      </c>
      <c r="GJ34">
        <f>GJ33*IF(OR($C33=92,$G33=92),0,1)</f>
        <v/>
      </c>
      <c r="GK34">
        <f>GK33*IF(OR($C33=93,$G33=93),0,1)</f>
        <v/>
      </c>
      <c r="GL34">
        <f>GL33*IF(OR($C33=94,$G33=94),0,1)</f>
        <v/>
      </c>
      <c r="GM34">
        <f>GM33*IF(OR($C33=95,$G33=95),0,1)</f>
        <v/>
      </c>
      <c r="GN34">
        <f>GN33*IF(OR($C33=96,$G33=96),0,1)</f>
        <v/>
      </c>
      <c r="GO34">
        <f>GO33*IF(OR($C33=97,$G33=97),0,1)</f>
        <v/>
      </c>
      <c r="GP34">
        <f>GP33*IF(OR($C33=98,$G33=98),0,1)</f>
        <v/>
      </c>
      <c r="GQ34">
        <f>GQ33*IF(OR($C33=99,$G33=99),0,1)</f>
        <v/>
      </c>
      <c r="GR34">
        <f>GR33*IF(OR($C33=100,$G33=100),0,1)</f>
        <v/>
      </c>
      <c r="GS34">
        <f>GS33*IF(OR($C33=101,$G33=101),0,1)</f>
        <v/>
      </c>
      <c r="GT34">
        <f>GT33*IF(OR($C33=102,$G33=102),0,1)</f>
        <v/>
      </c>
      <c r="GU34">
        <f>GU33*IF(OR($C33=103,$G33=103),0,1)</f>
        <v/>
      </c>
      <c r="GV34">
        <f>GV33*IF(OR($C33=104,$G33=104),0,1)</f>
        <v/>
      </c>
      <c r="GW34">
        <f>GW33*IF(OR($C33=105,$G33=105),0,1)</f>
        <v/>
      </c>
      <c r="GX34">
        <f>GX33*IF(OR($C33=106,$G33=106),0,1)</f>
        <v/>
      </c>
      <c r="GY34">
        <f>GY33*IF(OR($C33=107,$G33=107),0,1)</f>
        <v/>
      </c>
      <c r="GZ34">
        <f>GZ33*IF(OR($C33=108,$G33=108),0,1)</f>
        <v/>
      </c>
      <c r="HA34">
        <f>HA33*IF(OR($C33=109,$G33=109),0,1)</f>
        <v/>
      </c>
      <c r="HB34">
        <f>HB33*IF(OR($C33=110,$G33=110),0,1)</f>
        <v/>
      </c>
      <c r="HC34">
        <f>HC33*IF(OR($C33=111,$G33=111),0,1)</f>
        <v/>
      </c>
      <c r="HD34">
        <f>HD33*IF(OR($C33=112,$G33=112),0,1)</f>
        <v/>
      </c>
      <c r="HE34">
        <f>HE33*IF(OR($C33=113,$G33=113),0,1)</f>
        <v/>
      </c>
      <c r="HF34">
        <f>HF33*IF(OR($C33=114,$G33=114),0,1)</f>
        <v/>
      </c>
      <c r="HG34">
        <f>HG33*IF(OR($C33=115,$G33=115),0,1)</f>
        <v/>
      </c>
      <c r="HH34">
        <f>HH33*IF(OR($C33=116,$G33=116),0,1)</f>
        <v/>
      </c>
      <c r="HI34">
        <f>HI33*IF(OR($C33=117,$G33=117),0,1)</f>
        <v/>
      </c>
      <c r="HJ34">
        <f>HJ33*IF(OR($C33=118,$G33=118),0,1)</f>
        <v/>
      </c>
      <c r="HK34">
        <f>HK33*IF(OR($C33=119,$G33=119),0,1)</f>
        <v/>
      </c>
      <c r="HL34">
        <f>HL33*IF(OR($C33=120,$G33=120),0,1)</f>
        <v/>
      </c>
      <c r="HM34">
        <f>HM33*IF(OR($C33=121,$G33=121),0,1)</f>
        <v/>
      </c>
      <c r="HN34">
        <f>HN33*IF(OR($C33=122,$G33=122),0,1)</f>
        <v/>
      </c>
      <c r="HO34">
        <f>HO33*IF(OR($C33=123,$G33=123),0,1)</f>
        <v/>
      </c>
      <c r="HP34">
        <f>HP33*IF(OR($C33=124,$G33=124),0,1)</f>
        <v/>
      </c>
      <c r="HQ34">
        <f>HQ33*IF(OR($C33=125,$G33=125),0,1)</f>
        <v/>
      </c>
      <c r="HR34">
        <f>HR33*IF(OR($C33=126,$G33=126),0,1)</f>
        <v/>
      </c>
      <c r="HS34">
        <f>HS33*IF(OR($C33=127,$G33=127),0,1)</f>
        <v/>
      </c>
      <c r="HT34">
        <f>HT33*IF(OR($C33=128,$G33=128),0,1)</f>
        <v/>
      </c>
      <c r="HU34">
        <f>HU33*IF(OR($C33=129,$G33=129),0,1)</f>
        <v/>
      </c>
      <c r="HV34">
        <f>HV33*IF(OR($C33=130,$G33=130),0,1)</f>
        <v/>
      </c>
      <c r="HW34">
        <f>HW33*IF(OR($C33=131,$G33=131),0,1)</f>
        <v/>
      </c>
      <c r="HX34">
        <f>HX33*IF(OR($C33=132,$G33=132),0,1)</f>
        <v/>
      </c>
      <c r="HY34">
        <f>HY33*IF(OR($C33=133,$G33=133),0,1)</f>
        <v/>
      </c>
      <c r="HZ34">
        <f>HZ33*IF(OR($C33=134,$G33=134),0,1)</f>
        <v/>
      </c>
      <c r="IA34">
        <f>IA33*IF(OR($C33=135,$G33=135),0,1)</f>
        <v/>
      </c>
      <c r="IB34">
        <f>IB33*IF(OR($C33=136,$G33=136),0,1)</f>
        <v/>
      </c>
      <c r="IC34">
        <f>IC33*IF(OR($C33=137,$G33=137),0,1)</f>
        <v/>
      </c>
      <c r="ID34">
        <f>ID33*IF(OR($C33=138,$G33=138),0,1)</f>
        <v/>
      </c>
      <c r="IE34">
        <f>IE33*IF(OR($C33=139,$G33=139),0,1)</f>
        <v/>
      </c>
      <c r="IF34">
        <f>IF33*IF(OR($C33=140,$G33=140),0,1)</f>
        <v/>
      </c>
      <c r="IG34">
        <f>IG33*IF(OR($C33=141,$G33=141),0,1)</f>
        <v/>
      </c>
      <c r="IH34">
        <f>IH33*IF(OR($C33=142,$G33=142),0,1)</f>
        <v/>
      </c>
      <c r="II34">
        <f>II33*IF(OR($C33=143,$G33=143),0,1)</f>
        <v/>
      </c>
      <c r="IJ34">
        <f>IJ33*IF(OR($C33=144,$G33=144),0,1)</f>
        <v/>
      </c>
      <c r="IK34">
        <f>IK33*IF(OR($C33=145,$G33=145),0,1)</f>
        <v/>
      </c>
      <c r="IL34">
        <f>IL33*IF(OR($C33=146,$G33=146),0,1)</f>
        <v/>
      </c>
      <c r="IM34">
        <f>IM33*IF(OR($C33=147,$G33=147),0,1)</f>
        <v/>
      </c>
      <c r="IN34">
        <f>IN33*IF(OR($C33=148,$G33=148),0,1)</f>
        <v/>
      </c>
      <c r="IO34">
        <f>IO33*IF(OR($C33=149,$G33=149),0,1)</f>
        <v/>
      </c>
      <c r="IP34">
        <f>IP33*IF(OR($C33=150,$G33=150),0,1)</f>
        <v/>
      </c>
      <c r="IQ34">
        <f>IQ33*IF(OR($C33=151,$G33=151),0,1)</f>
        <v/>
      </c>
      <c r="IR34">
        <f>IR33*IF(OR($C33=152,$G33=152),0,1)</f>
        <v/>
      </c>
      <c r="IS34">
        <f>IS33*IF(OR($C33=153,$G33=153),0,1)</f>
        <v/>
      </c>
      <c r="IT34">
        <f>IT33*IF(OR($C33=154,$G33=154),0,1)</f>
        <v/>
      </c>
      <c r="IU34">
        <f>IU33*IF(OR($C33=155,$G33=155),0,1)</f>
        <v/>
      </c>
      <c r="IV34">
        <f>IV33*IF(OR($C33=156,$G33=156),0,1)</f>
        <v/>
      </c>
      <c r="IW34">
        <f>IW33*IF(OR($C33=157,$G33=157),0,1)</f>
        <v/>
      </c>
      <c r="IX34">
        <f>IX33*IF(OR($C33=158,$G33=158),0,1)</f>
        <v/>
      </c>
      <c r="IY34">
        <f>IY33*IF(OR($C33=159,$G33=159),0,1)</f>
        <v/>
      </c>
      <c r="IZ34">
        <f>IZ33*IF(OR($C33=160,$G33=160),0,1)</f>
        <v/>
      </c>
      <c r="JA34">
        <f>JA33*IF(OR($C33=161,$G33=161),0,1)</f>
        <v/>
      </c>
      <c r="JB34">
        <f>JB33*IF(OR($C33=162,$G33=162),0,1)</f>
        <v/>
      </c>
      <c r="JC34">
        <f>JC33*IF(OR($C33=163,$G33=163),0,1)</f>
        <v/>
      </c>
      <c r="JD34">
        <f>JD33*IF(OR($C33=164,$G33=164),0,1)</f>
        <v/>
      </c>
      <c r="JE34">
        <f>JE33*IF(OR($C33=165,$G33=165),0,1)</f>
        <v/>
      </c>
      <c r="JF34">
        <f>JF33*IF(OR($C33=166,$G33=166),0,1)</f>
        <v/>
      </c>
      <c r="JG34">
        <f>JG33*IF(OR($C33=167,$G33=167),0,1)</f>
        <v/>
      </c>
      <c r="JH34">
        <f>JH33*IF(OR($C33=168,$G33=168),0,1)</f>
        <v/>
      </c>
      <c r="JI34">
        <f>JI33*IF(OR($C33=169,$G33=169),0,1)</f>
        <v/>
      </c>
      <c r="JJ34">
        <f>JJ33*IF(OR($C33=170,$G33=170),0,1)</f>
        <v/>
      </c>
      <c r="JK34">
        <f>JK33*IF(OR($C33=171,$G33=171),0,1)</f>
        <v/>
      </c>
      <c r="JL34">
        <f>JL33*IF(OR($C33=172,$G33=172),0,1)</f>
        <v/>
      </c>
      <c r="JM34">
        <f>JM33*IF(OR($C33=173,$G33=173),0,1)</f>
        <v/>
      </c>
      <c r="JN34">
        <f>JN33*IF(OR($C33=174,$G33=174),0,1)</f>
        <v/>
      </c>
      <c r="JO34">
        <f>JO33*IF(OR($C33=175,$G33=175),0,1)</f>
        <v/>
      </c>
      <c r="JP34">
        <f>JP33*IF(OR($C33=176,$G33=176),0,1)</f>
        <v/>
      </c>
      <c r="JQ34">
        <f>JQ33*IF(OR($C33=177,$G33=177),0,1)</f>
        <v/>
      </c>
      <c r="JR34">
        <f>JR33*IF(OR($C33=178,$G33=178),0,1)</f>
        <v/>
      </c>
      <c r="JS34">
        <f>JS33*IF(OR($C33=179,$G33=179),0,1)</f>
        <v/>
      </c>
      <c r="JT34">
        <f>JT33*IF(OR($C33=180,$G33=180),0,1)</f>
        <v/>
      </c>
      <c r="JU34">
        <f>JU33*IF(OR($C33=181,$G33=181),0,1)</f>
        <v/>
      </c>
      <c r="JV34">
        <f>JV33*IF(OR($C33=182,$G33=182),0,1)</f>
        <v/>
      </c>
      <c r="JW34">
        <f>JW33*IF(OR($C33=183,$G33=183),0,1)</f>
        <v/>
      </c>
      <c r="JX34">
        <f>JX33*IF(OR($C33=184,$G33=184),0,1)</f>
        <v/>
      </c>
      <c r="JY34">
        <f>JY33*IF(OR($C33=185,$G33=185),0,1)</f>
        <v/>
      </c>
      <c r="JZ34">
        <f>JZ33*IF(OR($C33=186,$G33=186),0,1)</f>
        <v/>
      </c>
      <c r="KA34">
        <f>KA33*IF(OR($C33=187,$G33=187),0,1)</f>
        <v/>
      </c>
      <c r="KB34">
        <f>KB33*IF(OR($C33=188,$G33=188),0,1)</f>
        <v/>
      </c>
      <c r="KC34">
        <f>KC33*IF(OR($C33=189,$G33=189),0,1)</f>
        <v/>
      </c>
      <c r="KD34">
        <f>KD33*IF(OR($C33=190,$G33=190),0,1)</f>
        <v/>
      </c>
      <c r="KE34">
        <f>KE33*IF(OR($C33=191,$G33=191),0,1)</f>
        <v/>
      </c>
      <c r="KF34">
        <f>KF33*IF(OR($C33=192,$G33=192),0,1)</f>
        <v/>
      </c>
      <c r="KG34">
        <f>KG33*IF(OR($C33=193,$G33=193),0,1)</f>
        <v/>
      </c>
      <c r="KH34">
        <f>KH33*IF(OR($C33=194,$G33=194),0,1)</f>
        <v/>
      </c>
      <c r="KI34">
        <f>KI33*IF(OR($C33=195,$G33=195),0,1)</f>
        <v/>
      </c>
      <c r="KJ34">
        <f>KJ33*IF(OR($C33=196,$G33=196),0,1)</f>
        <v/>
      </c>
      <c r="KK34">
        <f>KK33*IF(OR($C33=197,$G33=197),0,1)</f>
        <v/>
      </c>
      <c r="KL34">
        <f>KL33*IF(OR($C33=198,$G33=198),0,1)</f>
        <v/>
      </c>
      <c r="KM34">
        <f>KM33*IF(OR($C33=199,$G33=199),0,1)</f>
        <v/>
      </c>
      <c r="KN34">
        <f>KN33*IF(OR($C33=200,$G33=200),0,1)</f>
        <v/>
      </c>
      <c r="KO34">
        <f>KO33*IF(OR($C33=201,$G33=201),0,1)</f>
        <v/>
      </c>
      <c r="KP34">
        <f>KP33*IF(OR($C33=202,$G33=202),0,1)</f>
        <v/>
      </c>
      <c r="KQ34">
        <f>KQ33*IF(OR($C33=203,$G33=203),0,1)</f>
        <v/>
      </c>
      <c r="KR34">
        <f>KR33*IF(OR($C33=204,$G33=204),0,1)</f>
        <v/>
      </c>
      <c r="KS34">
        <f>KS33*IF(OR($C33=205,$G33=205),0,1)</f>
        <v/>
      </c>
      <c r="KT34">
        <f>KT33*IF(OR($C33=206,$G33=206),0,1)</f>
        <v/>
      </c>
      <c r="KU34">
        <f>KU33*IF(OR($C33=207,$G33=207),0,1)</f>
        <v/>
      </c>
      <c r="KV34">
        <f>KV33*IF(OR($C33=208,$G33=208),0,1)</f>
        <v/>
      </c>
      <c r="KW34">
        <f>KW33*IF(OR($C33=209,$G33=209),0,1)</f>
        <v/>
      </c>
      <c r="KX34">
        <f>KX33*IF(OR($C33=210,$G33=210),0,1)</f>
        <v/>
      </c>
      <c r="KY34">
        <f>KY33*IF(OR($C33=211,$G33=211),0,1)</f>
        <v/>
      </c>
      <c r="KZ34">
        <f>KZ33*IF(OR($C33=212,$G33=212),0,1)</f>
        <v/>
      </c>
      <c r="LA34">
        <f>LA33*IF(OR($C33=213,$G33=213),0,1)</f>
        <v/>
      </c>
      <c r="LB34">
        <f>LB33*IF(OR($C33=214,$G33=214),0,1)</f>
        <v/>
      </c>
      <c r="LC34">
        <f>LC33*IF(OR($C33=215,$G33=215),0,1)</f>
        <v/>
      </c>
      <c r="LD34">
        <f>LD33*IF(OR($C33=216,$G33=216),0,1)</f>
        <v/>
      </c>
      <c r="LE34">
        <f>LE33*IF(OR($C33=217,$G33=217),0,1)</f>
        <v/>
      </c>
      <c r="LF34">
        <f>LF33*IF(OR($C33=218,$G33=218),0,1)</f>
        <v/>
      </c>
      <c r="LG34">
        <f>LG33*IF(OR($C33=219,$G33=219),0,1)</f>
        <v/>
      </c>
      <c r="LH34">
        <f>LH33*IF(OR($C33=220,$G33=220),0,1)</f>
        <v/>
      </c>
      <c r="LI34">
        <f>LI33*IF(OR($C33=221,$G33=221),0,1)</f>
        <v/>
      </c>
      <c r="LJ34">
        <f>LJ33*IF(OR($C33=222,$G33=222),0,1)</f>
        <v/>
      </c>
      <c r="LK34">
        <f>LK33*IF(OR($C33=223,$G33=223),0,1)</f>
        <v/>
      </c>
      <c r="LL34">
        <f>LL33*IF(OR($C33=224,$G33=224),0,1)</f>
        <v/>
      </c>
      <c r="LM34">
        <f>LM33*IF(OR($C33=225,$G33=225),0,1)</f>
        <v/>
      </c>
      <c r="LN34">
        <f>LN33*IF(OR($C33=226,$G33=226),0,1)</f>
        <v/>
      </c>
      <c r="LO34">
        <f>LO33*IF(OR($C33=227,$G33=227),0,1)</f>
        <v/>
      </c>
      <c r="LP34">
        <f>LP33*IF(OR($C33=228,$G33=228),0,1)</f>
        <v/>
      </c>
      <c r="LQ34">
        <f>LQ33*IF(OR($C33=229,$G33=229),0,1)</f>
        <v/>
      </c>
      <c r="LR34">
        <f>LR33*IF(OR($C33=230,$G33=230),0,1)</f>
        <v/>
      </c>
      <c r="LS34">
        <f>LS33*IF(OR($C33=231,$G33=231),0,1)</f>
        <v/>
      </c>
      <c r="LT34">
        <f>LT33*IF(OR($C33=232,$G33=232),0,1)</f>
        <v/>
      </c>
      <c r="LU34">
        <f>LU33*IF(OR($C33=233,$G33=233),0,1)</f>
        <v/>
      </c>
      <c r="LV34">
        <f>LV33*IF(OR($C33=234,$G33=234),0,1)</f>
        <v/>
      </c>
      <c r="LW34">
        <f>LW33*IF(OR($C33=235,$G33=235),0,1)</f>
        <v/>
      </c>
      <c r="LX34">
        <f>LX33*IF(OR($C33=236,$G33=236),0,1)</f>
        <v/>
      </c>
      <c r="LY34">
        <f>LY33*IF(OR($C33=237,$G33=237),0,1)</f>
        <v/>
      </c>
      <c r="LZ34">
        <f>LZ33*IF(OR($C33=238,$G33=238),0,1)</f>
        <v/>
      </c>
      <c r="MA34">
        <f>MA33*IF(OR($C33=239,$G33=239),0,1)</f>
        <v/>
      </c>
      <c r="MB34">
        <f>MB33*IF(OR($C33=240,$G33=240),0,1)</f>
        <v/>
      </c>
      <c r="MD34">
        <f>IF('計算A'!D$106=1,CX34,1)</f>
        <v/>
      </c>
      <c r="ME34">
        <f>IF('計算A'!E$106=1,CY34,1)</f>
        <v/>
      </c>
      <c r="MF34">
        <f>IF('計算A'!F$106=1,CZ34,1)</f>
        <v/>
      </c>
      <c r="MG34">
        <f>IF('計算A'!G$106=1,DA34,1)</f>
        <v/>
      </c>
      <c r="MH34">
        <f>IF('計算A'!H$106=1,DB34,1)</f>
        <v/>
      </c>
      <c r="MI34">
        <f>IF('計算A'!I$106=1,DC34,1)</f>
        <v/>
      </c>
      <c r="MJ34">
        <f>IF('計算A'!J$106=1,DD34,1)</f>
        <v/>
      </c>
      <c r="MK34">
        <f>IF('計算A'!K$106=1,DE34,1)</f>
        <v/>
      </c>
      <c r="ML34">
        <f>IF('計算A'!L$106=1,DF34,1)</f>
        <v/>
      </c>
      <c r="MM34">
        <f>IF('計算A'!M$106=1,DG34,1)</f>
        <v/>
      </c>
      <c r="MN34">
        <f>IF('計算A'!N$106=1,DH34,1)</f>
        <v/>
      </c>
      <c r="MO34">
        <f>IF('計算A'!O$106=1,DI34,1)</f>
        <v/>
      </c>
      <c r="MP34">
        <f>IF('計算A'!P$106=1,DJ34,1)</f>
        <v/>
      </c>
      <c r="MQ34">
        <f>IF('計算A'!Q$106=1,DK34,1)</f>
        <v/>
      </c>
      <c r="MR34">
        <f>IF('計算A'!R$106=1,DL34,1)</f>
        <v/>
      </c>
      <c r="MS34">
        <f>IF('計算A'!S$106=1,DM34,1)</f>
        <v/>
      </c>
      <c r="MT34">
        <f>IF('計算A'!T$106=1,DN34,1)</f>
        <v/>
      </c>
      <c r="MU34">
        <f>IF('計算A'!U$106=1,DO34,1)</f>
        <v/>
      </c>
      <c r="MV34">
        <f>IF('計算A'!V$106=1,DP34,1)</f>
        <v/>
      </c>
      <c r="MW34">
        <f>IF('計算A'!W$106=1,DQ34,1)</f>
        <v/>
      </c>
      <c r="MX34">
        <f>IF('計算A'!X$106=1,DR34,1)</f>
        <v/>
      </c>
      <c r="MY34">
        <f>IF('計算A'!Y$106=1,DS34,1)</f>
        <v/>
      </c>
      <c r="MZ34">
        <f>IF('計算A'!Z$106=1,DT34,1)</f>
        <v/>
      </c>
      <c r="NA34">
        <f>IF('計算A'!AA$106=1,DU34,1)</f>
        <v/>
      </c>
      <c r="NB34">
        <f>IF('計算A'!AB$106=1,DV34,1)</f>
        <v/>
      </c>
      <c r="NC34">
        <f>IF('計算A'!AC$106=1,DW34,1)</f>
        <v/>
      </c>
      <c r="ND34">
        <f>IF('計算A'!AD$106=1,DX34,1)</f>
        <v/>
      </c>
      <c r="NE34">
        <f>IF('計算A'!AE$106=1,DY34,1)</f>
        <v/>
      </c>
      <c r="NF34">
        <f>IF('計算A'!AF$106=1,DZ34,1)</f>
        <v/>
      </c>
      <c r="NG34">
        <f>IF('計算A'!AG$106=1,EA34,1)</f>
        <v/>
      </c>
      <c r="NH34">
        <f>IF('計算A'!AH$106=1,EB34,1)</f>
        <v/>
      </c>
      <c r="NI34">
        <f>IF('計算A'!AI$106=1,EC34,1)</f>
        <v/>
      </c>
      <c r="NJ34">
        <f>IF('計算A'!AJ$106=1,ED34,1)</f>
        <v/>
      </c>
      <c r="NK34">
        <f>IF('計算A'!AK$106=1,EE34,1)</f>
        <v/>
      </c>
      <c r="NL34">
        <f>IF('計算A'!AL$106=1,EF34,1)</f>
        <v/>
      </c>
      <c r="NM34">
        <f>IF('計算A'!AM$106=1,EG34,1)</f>
        <v/>
      </c>
      <c r="NN34">
        <f>IF('計算A'!AN$106=1,EH34,1)</f>
        <v/>
      </c>
      <c r="NO34">
        <f>IF('計算A'!AO$106=1,EI34,1)</f>
        <v/>
      </c>
      <c r="NP34">
        <f>IF('計算A'!AP$106=1,EJ34,1)</f>
        <v/>
      </c>
      <c r="NQ34">
        <f>IF('計算A'!AQ$106=1,EK34,1)</f>
        <v/>
      </c>
      <c r="NR34">
        <f>IF('計算A'!AR$106=1,EL34,1)</f>
        <v/>
      </c>
      <c r="NS34">
        <f>IF('計算A'!AS$106=1,EM34,1)</f>
        <v/>
      </c>
      <c r="NT34">
        <f>IF('計算A'!AT$106=1,EN34,1)</f>
        <v/>
      </c>
      <c r="NU34">
        <f>IF('計算A'!AU$106=1,EO34,1)</f>
        <v/>
      </c>
      <c r="NV34">
        <f>IF('計算A'!AV$106=1,EP34,1)</f>
        <v/>
      </c>
      <c r="NW34">
        <f>IF('計算A'!AW$106=1,EQ34,1)</f>
        <v/>
      </c>
      <c r="NX34">
        <f>IF('計算A'!AX$106=1,ER34,1)</f>
        <v/>
      </c>
      <c r="NY34">
        <f>IF('計算A'!AY$106=1,ES34,1)</f>
        <v/>
      </c>
      <c r="NZ34">
        <f>IF('計算A'!AZ$106=1,ET34,1)</f>
        <v/>
      </c>
      <c r="OA34">
        <f>IF('計算A'!BA$106=1,EU34,1)</f>
        <v/>
      </c>
      <c r="OB34">
        <f>IF('計算A'!BB$106=1,EV34,1)</f>
        <v/>
      </c>
      <c r="OC34">
        <f>IF('計算A'!BC$106=1,EW34,1)</f>
        <v/>
      </c>
      <c r="OD34">
        <f>IF('計算A'!BD$106=1,EX34,1)</f>
        <v/>
      </c>
      <c r="OE34">
        <f>IF('計算A'!BE$106=1,EY34,1)</f>
        <v/>
      </c>
      <c r="OF34">
        <f>IF('計算A'!BF$106=1,EZ34,1)</f>
        <v/>
      </c>
      <c r="OG34">
        <f>IF('計算A'!BG$106=1,FA34,1)</f>
        <v/>
      </c>
      <c r="OH34">
        <f>IF('計算A'!BH$106=1,FB34,1)</f>
        <v/>
      </c>
      <c r="OI34">
        <f>IF('計算A'!BI$106=1,FC34,1)</f>
        <v/>
      </c>
      <c r="OJ34">
        <f>IF('計算A'!BJ$106=1,FD34,1)</f>
        <v/>
      </c>
      <c r="OK34">
        <f>IF('計算A'!BK$106=1,FE34,1)</f>
        <v/>
      </c>
      <c r="OL34">
        <f>IF('計算A'!BL$106=1,FF34,1)</f>
        <v/>
      </c>
      <c r="OM34">
        <f>IF('計算A'!BM$106=1,FG34,1)</f>
        <v/>
      </c>
      <c r="ON34">
        <f>IF('計算A'!BN$106=1,FH34,1)</f>
        <v/>
      </c>
      <c r="OO34">
        <f>IF('計算A'!BO$106=1,FI34,1)</f>
        <v/>
      </c>
      <c r="OP34">
        <f>IF('計算A'!BP$106=1,FJ34,1)</f>
        <v/>
      </c>
      <c r="OQ34">
        <f>IF('計算A'!BQ$106=1,FK34,1)</f>
        <v/>
      </c>
      <c r="OR34">
        <f>IF('計算A'!BR$106=1,FL34,1)</f>
        <v/>
      </c>
      <c r="OS34">
        <f>IF('計算A'!BS$106=1,FM34,1)</f>
        <v/>
      </c>
      <c r="OT34">
        <f>IF('計算A'!BT$106=1,FN34,1)</f>
        <v/>
      </c>
      <c r="OU34">
        <f>IF('計算A'!BU$106=1,FO34,1)</f>
        <v/>
      </c>
      <c r="OV34">
        <f>IF('計算A'!BV$106=1,FP34,1)</f>
        <v/>
      </c>
      <c r="OW34">
        <f>IF('計算A'!BW$106=1,FQ34,1)</f>
        <v/>
      </c>
      <c r="OX34">
        <f>IF('計算A'!BX$106=1,FR34,1)</f>
        <v/>
      </c>
      <c r="OY34">
        <f>IF('計算A'!BY$106=1,FS34,1)</f>
        <v/>
      </c>
      <c r="OZ34">
        <f>IF('計算A'!BZ$106=1,FT34,1)</f>
        <v/>
      </c>
      <c r="PA34">
        <f>IF('計算A'!CA$106=1,FU34,1)</f>
        <v/>
      </c>
      <c r="PB34">
        <f>IF('計算A'!CB$106=1,FV34,1)</f>
        <v/>
      </c>
      <c r="PC34">
        <f>IF('計算A'!CC$106=1,FW34,1)</f>
        <v/>
      </c>
      <c r="PD34">
        <f>IF('計算A'!CD$106=1,FX34,1)</f>
        <v/>
      </c>
      <c r="PE34">
        <f>IF('計算A'!CE$106=1,FY34,1)</f>
        <v/>
      </c>
      <c r="PF34">
        <f>IF('計算A'!CF$106=1,FZ34,1)</f>
        <v/>
      </c>
      <c r="PG34">
        <f>IF('計算A'!CG$106=1,GA34,1)</f>
        <v/>
      </c>
      <c r="PH34">
        <f>IF('計算A'!CH$106=1,GB34,1)</f>
        <v/>
      </c>
      <c r="PI34">
        <f>IF('計算A'!CI$106=1,GC34,1)</f>
        <v/>
      </c>
      <c r="PJ34">
        <f>IF('計算A'!CJ$106=1,GD34,1)</f>
        <v/>
      </c>
      <c r="PK34">
        <f>IF('計算A'!CK$106=1,GE34,1)</f>
        <v/>
      </c>
      <c r="PL34">
        <f>IF('計算A'!CL$106=1,GF34,1)</f>
        <v/>
      </c>
      <c r="PM34">
        <f>IF('計算A'!CM$106=1,GG34,1)</f>
        <v/>
      </c>
      <c r="PN34">
        <f>IF('計算A'!CN$106=1,GH34,1)</f>
        <v/>
      </c>
      <c r="PO34">
        <f>IF('計算A'!CO$106=1,GI34,1)</f>
        <v/>
      </c>
      <c r="PP34">
        <f>IF('計算A'!CP$106=1,GJ34,1)</f>
        <v/>
      </c>
      <c r="PQ34">
        <f>IF('計算A'!CQ$106=1,GK34,1)</f>
        <v/>
      </c>
      <c r="PR34">
        <f>IF('計算A'!CR$106=1,GL34,1)</f>
        <v/>
      </c>
      <c r="PS34">
        <f>IF('計算A'!CS$106=1,GM34,1)</f>
        <v/>
      </c>
      <c r="PT34">
        <f>IF('計算A'!CT$106=1,GN34,1)</f>
        <v/>
      </c>
      <c r="PU34">
        <f>IF('計算A'!CU$106=1,GO34,1)</f>
        <v/>
      </c>
      <c r="PV34">
        <f>IF('計算A'!CV$106=1,GP34,1)</f>
        <v/>
      </c>
      <c r="PW34">
        <f>IF('計算A'!CW$106=1,GQ34,1)</f>
        <v/>
      </c>
      <c r="PX34">
        <f>IF('計算A'!CX$106=1,GR34,1)</f>
        <v/>
      </c>
      <c r="PY34">
        <f>IF('計算A'!CY$106=1,GS34,1)</f>
        <v/>
      </c>
      <c r="PZ34">
        <f>IF('計算A'!CZ$106=1,GT34,1)</f>
        <v/>
      </c>
      <c r="QA34">
        <f>IF('計算A'!DA$106=1,GU34,1)</f>
        <v/>
      </c>
      <c r="QB34">
        <f>IF('計算A'!DB$106=1,GV34,1)</f>
        <v/>
      </c>
      <c r="QC34">
        <f>IF('計算A'!DC$106=1,GW34,1)</f>
        <v/>
      </c>
      <c r="QD34">
        <f>IF('計算A'!DD$106=1,GX34,1)</f>
        <v/>
      </c>
      <c r="QE34">
        <f>IF('計算A'!DE$106=1,GY34,1)</f>
        <v/>
      </c>
      <c r="QF34">
        <f>IF('計算A'!DF$106=1,GZ34,1)</f>
        <v/>
      </c>
      <c r="QG34">
        <f>IF('計算A'!DG$106=1,HA34,1)</f>
        <v/>
      </c>
      <c r="QH34">
        <f>IF('計算A'!DH$106=1,HB34,1)</f>
        <v/>
      </c>
      <c r="QI34">
        <f>IF('計算A'!DI$106=1,HC34,1)</f>
        <v/>
      </c>
      <c r="QJ34">
        <f>IF('計算A'!DJ$106=1,HD34,1)</f>
        <v/>
      </c>
      <c r="QK34">
        <f>IF('計算A'!DK$106=1,HE34,1)</f>
        <v/>
      </c>
      <c r="QL34">
        <f>IF('計算A'!DL$106=1,HF34,1)</f>
        <v/>
      </c>
      <c r="QM34">
        <f>IF('計算A'!DM$106=1,HG34,1)</f>
        <v/>
      </c>
      <c r="QN34">
        <f>IF('計算A'!DN$106=1,HH34,1)</f>
        <v/>
      </c>
      <c r="QO34">
        <f>IF('計算A'!DO$106=1,HI34,1)</f>
        <v/>
      </c>
      <c r="QP34">
        <f>IF('計算A'!DP$106=1,HJ34,1)</f>
        <v/>
      </c>
      <c r="QQ34">
        <f>IF('計算A'!DQ$106=1,HK34,1)</f>
        <v/>
      </c>
      <c r="QR34">
        <f>IF('計算A'!DR$106=1,HL34,1)</f>
        <v/>
      </c>
      <c r="QS34">
        <f>IF('計算A'!DS$106=1,HM34,1)</f>
        <v/>
      </c>
      <c r="QT34">
        <f>IF('計算A'!DT$106=1,HN34,1)</f>
        <v/>
      </c>
      <c r="QU34">
        <f>IF('計算A'!DU$106=1,HO34,1)</f>
        <v/>
      </c>
      <c r="QV34">
        <f>IF('計算A'!DV$106=1,HP34,1)</f>
        <v/>
      </c>
      <c r="QW34">
        <f>IF('計算A'!DW$106=1,HQ34,1)</f>
        <v/>
      </c>
      <c r="QX34">
        <f>IF('計算A'!DX$106=1,HR34,1)</f>
        <v/>
      </c>
      <c r="QY34">
        <f>IF('計算A'!DY$106=1,HS34,1)</f>
        <v/>
      </c>
      <c r="QZ34">
        <f>IF('計算A'!DZ$106=1,HT34,1)</f>
        <v/>
      </c>
      <c r="RA34">
        <f>IF('計算A'!EA$106=1,HU34,1)</f>
        <v/>
      </c>
      <c r="RB34">
        <f>IF('計算A'!EB$106=1,HV34,1)</f>
        <v/>
      </c>
      <c r="RC34">
        <f>IF('計算A'!EC$106=1,HW34,1)</f>
        <v/>
      </c>
      <c r="RD34">
        <f>IF('計算A'!ED$106=1,HX34,1)</f>
        <v/>
      </c>
      <c r="RE34">
        <f>IF('計算A'!EE$106=1,HY34,1)</f>
        <v/>
      </c>
      <c r="RF34">
        <f>IF('計算A'!EF$106=1,HZ34,1)</f>
        <v/>
      </c>
      <c r="RG34">
        <f>IF('計算A'!EG$106=1,IA34,1)</f>
        <v/>
      </c>
      <c r="RH34">
        <f>IF('計算A'!EH$106=1,IB34,1)</f>
        <v/>
      </c>
      <c r="RI34">
        <f>IF('計算A'!EI$106=1,IC34,1)</f>
        <v/>
      </c>
      <c r="RJ34">
        <f>IF('計算A'!EJ$106=1,ID34,1)</f>
        <v/>
      </c>
      <c r="RK34">
        <f>IF('計算A'!EK$106=1,IE34,1)</f>
        <v/>
      </c>
      <c r="RL34">
        <f>IF('計算A'!EL$106=1,IF34,1)</f>
        <v/>
      </c>
      <c r="RM34">
        <f>IF('計算A'!EM$106=1,IG34,1)</f>
        <v/>
      </c>
      <c r="RN34">
        <f>IF('計算A'!EN$106=1,IH34,1)</f>
        <v/>
      </c>
      <c r="RO34">
        <f>IF('計算A'!EO$106=1,II34,1)</f>
        <v/>
      </c>
      <c r="RP34">
        <f>IF('計算A'!EP$106=1,IJ34,1)</f>
        <v/>
      </c>
      <c r="RQ34">
        <f>IF('計算A'!EQ$106=1,IK34,1)</f>
        <v/>
      </c>
      <c r="RR34">
        <f>IF('計算A'!ER$106=1,IL34,1)</f>
        <v/>
      </c>
      <c r="RS34">
        <f>IF('計算A'!ES$106=1,IM34,1)</f>
        <v/>
      </c>
      <c r="RT34">
        <f>IF('計算A'!ET$106=1,IN34,1)</f>
        <v/>
      </c>
      <c r="RU34">
        <f>IF('計算A'!EU$106=1,IO34,1)</f>
        <v/>
      </c>
      <c r="RV34">
        <f>IF('計算A'!EV$106=1,IP34,1)</f>
        <v/>
      </c>
      <c r="RW34">
        <f>IF('計算A'!EW$106=1,IQ34,1)</f>
        <v/>
      </c>
      <c r="RX34">
        <f>IF('計算A'!EX$106=1,IR34,1)</f>
        <v/>
      </c>
      <c r="RY34">
        <f>IF('計算A'!EY$106=1,IS34,1)</f>
        <v/>
      </c>
      <c r="RZ34">
        <f>IF('計算A'!EZ$106=1,IT34,1)</f>
        <v/>
      </c>
      <c r="SA34">
        <f>IF('計算A'!FA$106=1,IU34,1)</f>
        <v/>
      </c>
      <c r="SB34">
        <f>IF('計算A'!FB$106=1,IV34,1)</f>
        <v/>
      </c>
      <c r="SC34">
        <f>IF('計算A'!FC$106=1,IW34,1)</f>
        <v/>
      </c>
      <c r="SD34">
        <f>IF('計算A'!FD$106=1,IX34,1)</f>
        <v/>
      </c>
      <c r="SE34">
        <f>IF('計算A'!FE$106=1,IY34,1)</f>
        <v/>
      </c>
      <c r="SF34">
        <f>IF('計算A'!FF$106=1,IZ34,1)</f>
        <v/>
      </c>
      <c r="SG34">
        <f>IF('計算A'!FG$106=1,JA34,1)</f>
        <v/>
      </c>
      <c r="SH34">
        <f>IF('計算A'!FH$106=1,JB34,1)</f>
        <v/>
      </c>
      <c r="SI34">
        <f>IF('計算A'!FI$106=1,JC34,1)</f>
        <v/>
      </c>
      <c r="SJ34">
        <f>IF('計算A'!FJ$106=1,JD34,1)</f>
        <v/>
      </c>
      <c r="SK34">
        <f>IF('計算A'!FK$106=1,JE34,1)</f>
        <v/>
      </c>
      <c r="SL34">
        <f>IF('計算A'!FL$106=1,JF34,1)</f>
        <v/>
      </c>
      <c r="SM34">
        <f>IF('計算A'!FM$106=1,JG34,1)</f>
        <v/>
      </c>
      <c r="SN34">
        <f>IF('計算A'!FN$106=1,JH34,1)</f>
        <v/>
      </c>
      <c r="SO34">
        <f>IF('計算A'!FO$106=1,JI34,1)</f>
        <v/>
      </c>
      <c r="SP34">
        <f>IF('計算A'!FP$106=1,JJ34,1)</f>
        <v/>
      </c>
      <c r="SQ34">
        <f>IF('計算A'!FQ$106=1,JK34,1)</f>
        <v/>
      </c>
      <c r="SR34">
        <f>IF('計算A'!FR$106=1,JL34,1)</f>
        <v/>
      </c>
      <c r="SS34">
        <f>IF('計算A'!FS$106=1,JM34,1)</f>
        <v/>
      </c>
      <c r="ST34">
        <f>IF('計算A'!FT$106=1,JN34,1)</f>
        <v/>
      </c>
      <c r="SU34">
        <f>IF('計算A'!FU$106=1,JO34,1)</f>
        <v/>
      </c>
      <c r="SV34">
        <f>IF('計算A'!FV$106=1,JP34,1)</f>
        <v/>
      </c>
      <c r="SW34">
        <f>IF('計算A'!FW$106=1,JQ34,1)</f>
        <v/>
      </c>
      <c r="SX34">
        <f>IF('計算A'!FX$106=1,JR34,1)</f>
        <v/>
      </c>
      <c r="SY34">
        <f>IF('計算A'!FY$106=1,JS34,1)</f>
        <v/>
      </c>
      <c r="SZ34">
        <f>IF('計算A'!FZ$106=1,JT34,1)</f>
        <v/>
      </c>
      <c r="TA34">
        <f>IF('計算A'!GA$106=1,JU34,1)</f>
        <v/>
      </c>
      <c r="TB34">
        <f>IF('計算A'!GB$106=1,JV34,1)</f>
        <v/>
      </c>
      <c r="TC34">
        <f>IF('計算A'!GC$106=1,JW34,1)</f>
        <v/>
      </c>
      <c r="TD34">
        <f>IF('計算A'!GD$106=1,JX34,1)</f>
        <v/>
      </c>
      <c r="TE34">
        <f>IF('計算A'!GE$106=1,JY34,1)</f>
        <v/>
      </c>
      <c r="TF34">
        <f>IF('計算A'!GF$106=1,JZ34,1)</f>
        <v/>
      </c>
      <c r="TG34">
        <f>IF('計算A'!GG$106=1,KA34,1)</f>
        <v/>
      </c>
      <c r="TH34">
        <f>IF('計算A'!GH$106=1,KB34,1)</f>
        <v/>
      </c>
      <c r="TI34">
        <f>IF('計算A'!GI$106=1,KC34,1)</f>
        <v/>
      </c>
      <c r="TJ34">
        <f>IF('計算A'!GJ$106=1,KD34,1)</f>
        <v/>
      </c>
      <c r="TK34">
        <f>IF('計算A'!GK$106=1,KE34,1)</f>
        <v/>
      </c>
      <c r="TL34">
        <f>IF('計算A'!GL$106=1,KF34,1)</f>
        <v/>
      </c>
      <c r="TM34">
        <f>IF('計算A'!GM$106=1,KG34,1)</f>
        <v/>
      </c>
      <c r="TN34">
        <f>IF('計算A'!GN$106=1,KH34,1)</f>
        <v/>
      </c>
      <c r="TO34">
        <f>IF('計算A'!GO$106=1,KI34,1)</f>
        <v/>
      </c>
      <c r="TP34">
        <f>IF('計算A'!GP$106=1,KJ34,1)</f>
        <v/>
      </c>
      <c r="TQ34">
        <f>IF('計算A'!GQ$106=1,KK34,1)</f>
        <v/>
      </c>
      <c r="TR34">
        <f>IF('計算A'!GR$106=1,KL34,1)</f>
        <v/>
      </c>
      <c r="TS34">
        <f>IF('計算A'!GS$106=1,KM34,1)</f>
        <v/>
      </c>
      <c r="TT34">
        <f>IF('計算A'!GT$106=1,KN34,1)</f>
        <v/>
      </c>
      <c r="TU34">
        <f>IF('計算A'!GU$106=1,KO34,1)</f>
        <v/>
      </c>
      <c r="TV34">
        <f>IF('計算A'!GV$106=1,KP34,1)</f>
        <v/>
      </c>
      <c r="TW34">
        <f>IF('計算A'!GW$106=1,KQ34,1)</f>
        <v/>
      </c>
      <c r="TX34">
        <f>IF('計算A'!GX$106=1,KR34,1)</f>
        <v/>
      </c>
      <c r="TY34">
        <f>IF('計算A'!GY$106=1,KS34,1)</f>
        <v/>
      </c>
      <c r="TZ34">
        <f>IF('計算A'!GZ$106=1,KT34,1)</f>
        <v/>
      </c>
      <c r="UA34">
        <f>IF('計算A'!HA$106=1,KU34,1)</f>
        <v/>
      </c>
      <c r="UB34">
        <f>IF('計算A'!HB$106=1,KV34,1)</f>
        <v/>
      </c>
      <c r="UC34">
        <f>IF('計算A'!HC$106=1,KW34,1)</f>
        <v/>
      </c>
      <c r="UD34">
        <f>IF('計算A'!HD$106=1,KX34,1)</f>
        <v/>
      </c>
      <c r="UE34">
        <f>IF('計算A'!HE$106=1,KY34,1)</f>
        <v/>
      </c>
      <c r="UF34">
        <f>IF('計算A'!HF$106=1,KZ34,1)</f>
        <v/>
      </c>
      <c r="UG34">
        <f>IF('計算A'!HG$106=1,LA34,1)</f>
        <v/>
      </c>
      <c r="UH34">
        <f>IF('計算A'!HH$106=1,LB34,1)</f>
        <v/>
      </c>
      <c r="UI34">
        <f>IF('計算A'!HI$106=1,LC34,1)</f>
        <v/>
      </c>
      <c r="UJ34">
        <f>IF('計算A'!HJ$106=1,LD34,1)</f>
        <v/>
      </c>
      <c r="UK34">
        <f>IF('計算A'!HK$106=1,LE34,1)</f>
        <v/>
      </c>
      <c r="UL34">
        <f>IF('計算A'!HL$106=1,LF34,1)</f>
        <v/>
      </c>
      <c r="UM34">
        <f>IF('計算A'!HM$106=1,LG34,1)</f>
        <v/>
      </c>
      <c r="UN34">
        <f>IF('計算A'!HN$106=1,LH34,1)</f>
        <v/>
      </c>
      <c r="UO34">
        <f>IF('計算A'!HO$106=1,LI34,1)</f>
        <v/>
      </c>
      <c r="UP34">
        <f>IF('計算A'!HP$106=1,LJ34,1)</f>
        <v/>
      </c>
      <c r="UQ34">
        <f>IF('計算A'!HQ$106=1,LK34,1)</f>
        <v/>
      </c>
      <c r="UR34">
        <f>IF('計算A'!HR$106=1,LL34,1)</f>
        <v/>
      </c>
      <c r="US34">
        <f>IF('計算A'!HS$106=1,LM34,1)</f>
        <v/>
      </c>
      <c r="UT34">
        <f>IF('計算A'!HT$106=1,LN34,1)</f>
        <v/>
      </c>
      <c r="UU34">
        <f>IF('計算A'!HU$106=1,LO34,1)</f>
        <v/>
      </c>
      <c r="UV34">
        <f>IF('計算A'!HV$106=1,LP34,1)</f>
        <v/>
      </c>
      <c r="UW34">
        <f>IF('計算A'!HW$106=1,LQ34,1)</f>
        <v/>
      </c>
      <c r="UX34">
        <f>IF('計算A'!HX$106=1,LR34,1)</f>
        <v/>
      </c>
      <c r="UY34">
        <f>IF('計算A'!HY$106=1,LS34,1)</f>
        <v/>
      </c>
      <c r="UZ34">
        <f>IF('計算A'!HZ$106=1,LT34,1)</f>
        <v/>
      </c>
      <c r="VA34">
        <f>IF('計算A'!IA$106=1,LU34,1)</f>
        <v/>
      </c>
      <c r="VB34">
        <f>IF('計算A'!IB$106=1,LV34,1)</f>
        <v/>
      </c>
      <c r="VC34">
        <f>IF('計算A'!IC$106=1,LW34,1)</f>
        <v/>
      </c>
      <c r="VD34">
        <f>IF('計算A'!ID$106=1,LX34,1)</f>
        <v/>
      </c>
      <c r="VE34">
        <f>IF('計算A'!IE$106=1,LY34,1)</f>
        <v/>
      </c>
      <c r="VF34">
        <f>IF('計算A'!IF$106=1,LZ34,1)</f>
        <v/>
      </c>
      <c r="VG34">
        <f>IF('計算A'!IG$106=1,MA34,1)</f>
        <v/>
      </c>
      <c r="VH34">
        <f>IF('計算A'!IH$106=1,MB34,1)</f>
        <v/>
      </c>
      <c r="VI34" t="n">
        <v>1</v>
      </c>
      <c r="VK34">
        <f>IF($B34=0,1000000,IF(INDEX('計算A'!$D$60:$II$104,$B34,1)*CW34=1,IF(AND($E34=2,MD34=0),1000000,INDEX('計算A'!D$110:D$114,$F34+1)+IF(AND($E34=1,MD34=0),1000,0)),1000000))</f>
        <v/>
      </c>
      <c r="VL34">
        <f>IF($B34=0,1000000,IF(INDEX('計算A'!$D$60:$II$104,$B34,2)*CX34=1,IF(AND($E34=2,ME34=0),1000000,INDEX('計算A'!E$110:E$114,$F34+1)+IF(AND($E34=1,ME34=0),1000,0)),1000000))</f>
        <v/>
      </c>
      <c r="VM34">
        <f>IF($B34=0,1000000,IF(INDEX('計算A'!$D$60:$II$104,$B34,3)*CY34=1,IF(AND($E34=2,MF34=0),1000000,INDEX('計算A'!F$110:F$114,$F34+1)+IF(AND($E34=1,MF34=0),1000,0)),1000000))</f>
        <v/>
      </c>
      <c r="VN34">
        <f>IF($B34=0,1000000,IF(INDEX('計算A'!$D$60:$II$104,$B34,4)*CZ34=1,IF(AND($E34=2,MG34=0),1000000,INDEX('計算A'!G$110:G$114,$F34+1)+IF(AND($E34=1,MG34=0),1000,0)),1000000))</f>
        <v/>
      </c>
      <c r="VO34">
        <f>IF($B34=0,1000000,IF(INDEX('計算A'!$D$60:$II$104,$B34,5)*DA34=1,IF(AND($E34=2,MH34=0),1000000,INDEX('計算A'!H$110:H$114,$F34+1)+IF(AND($E34=1,MH34=0),1000,0)),1000000))</f>
        <v/>
      </c>
      <c r="VP34">
        <f>IF($B34=0,1000000,IF(INDEX('計算A'!$D$60:$II$104,$B34,6)*DB34=1,IF(AND($E34=2,MI34=0),1000000,INDEX('計算A'!I$110:I$114,$F34+1)+IF(AND($E34=1,MI34=0),1000,0)),1000000))</f>
        <v/>
      </c>
      <c r="VQ34">
        <f>IF($B34=0,1000000,IF(INDEX('計算A'!$D$60:$II$104,$B34,7)*DC34=1,IF(AND($E34=2,MJ34=0),1000000,INDEX('計算A'!J$110:J$114,$F34+1)+IF(AND($E34=1,MJ34=0),1000,0)),1000000))</f>
        <v/>
      </c>
      <c r="VR34">
        <f>IF($B34=0,1000000,IF(INDEX('計算A'!$D$60:$II$104,$B34,8)*DD34=1,IF(AND($E34=2,MK34=0),1000000,INDEX('計算A'!K$110:K$114,$F34+1)+IF(AND($E34=1,MK34=0),1000,0)),1000000))</f>
        <v/>
      </c>
      <c r="VS34">
        <f>IF($B34=0,1000000,IF(INDEX('計算A'!$D$60:$II$104,$B34,9)*DE34=1,IF(AND($E34=2,ML34=0),1000000,INDEX('計算A'!L$110:L$114,$F34+1)+IF(AND($E34=1,ML34=0),1000,0)),1000000))</f>
        <v/>
      </c>
      <c r="VT34">
        <f>IF($B34=0,1000000,IF(INDEX('計算A'!$D$60:$II$104,$B34,10)*DF34=1,IF(AND($E34=2,MM34=0),1000000,INDEX('計算A'!M$110:M$114,$F34+1)+IF(AND($E34=1,MM34=0),1000,0)),1000000))</f>
        <v/>
      </c>
      <c r="VU34">
        <f>IF($B34=0,1000000,IF(INDEX('計算A'!$D$60:$II$104,$B34,11)*DG34=1,IF(AND($E34=2,MN34=0),1000000,INDEX('計算A'!N$110:N$114,$F34+1)+IF(AND($E34=1,MN34=0),1000,0)),1000000))</f>
        <v/>
      </c>
      <c r="VV34">
        <f>IF($B34=0,1000000,IF(INDEX('計算A'!$D$60:$II$104,$B34,12)*DH34=1,IF(AND($E34=2,MO34=0),1000000,INDEX('計算A'!O$110:O$114,$F34+1)+IF(AND($E34=1,MO34=0),1000,0)),1000000))</f>
        <v/>
      </c>
      <c r="VW34">
        <f>IF($B34=0,1000000,IF(INDEX('計算A'!$D$60:$II$104,$B34,13)*DI34=1,IF(AND($E34=2,MP34=0),1000000,INDEX('計算A'!P$110:P$114,$F34+1)+IF(AND($E34=1,MP34=0),1000,0)),1000000))</f>
        <v/>
      </c>
      <c r="VX34">
        <f>IF($B34=0,1000000,IF(INDEX('計算A'!$D$60:$II$104,$B34,14)*DJ34=1,IF(AND($E34=2,MQ34=0),1000000,INDEX('計算A'!Q$110:Q$114,$F34+1)+IF(AND($E34=1,MQ34=0),1000,0)),1000000))</f>
        <v/>
      </c>
      <c r="VY34">
        <f>IF($B34=0,1000000,IF(INDEX('計算A'!$D$60:$II$104,$B34,15)*DK34=1,IF(AND($E34=2,MR34=0),1000000,INDEX('計算A'!R$110:R$114,$F34+1)+IF(AND($E34=1,MR34=0),1000,0)),1000000))</f>
        <v/>
      </c>
      <c r="VZ34">
        <f>IF($B34=0,1000000,IF(INDEX('計算A'!$D$60:$II$104,$B34,16)*DL34=1,IF(AND($E34=2,MS34=0),1000000,INDEX('計算A'!S$110:S$114,$F34+1)+IF(AND($E34=1,MS34=0),1000,0)),1000000))</f>
        <v/>
      </c>
      <c r="WA34">
        <f>IF($B34=0,1000000,IF(INDEX('計算A'!$D$60:$II$104,$B34,17)*DM34=1,IF(AND($E34=2,MT34=0),1000000,INDEX('計算A'!T$110:T$114,$F34+1)+IF(AND($E34=1,MT34=0),1000,0)),1000000))</f>
        <v/>
      </c>
      <c r="WB34">
        <f>IF($B34=0,1000000,IF(INDEX('計算A'!$D$60:$II$104,$B34,18)*DN34=1,IF(AND($E34=2,MU34=0),1000000,INDEX('計算A'!U$110:U$114,$F34+1)+IF(AND($E34=1,MU34=0),1000,0)),1000000))</f>
        <v/>
      </c>
      <c r="WC34">
        <f>IF($B34=0,1000000,IF(INDEX('計算A'!$D$60:$II$104,$B34,19)*DO34=1,IF(AND($E34=2,MV34=0),1000000,INDEX('計算A'!V$110:V$114,$F34+1)+IF(AND($E34=1,MV34=0),1000,0)),1000000))</f>
        <v/>
      </c>
      <c r="WD34">
        <f>IF($B34=0,1000000,IF(INDEX('計算A'!$D$60:$II$104,$B34,20)*DP34=1,IF(AND($E34=2,MW34=0),1000000,INDEX('計算A'!W$110:W$114,$F34+1)+IF(AND($E34=1,MW34=0),1000,0)),1000000))</f>
        <v/>
      </c>
      <c r="WE34">
        <f>IF($B34=0,1000000,IF(INDEX('計算A'!$D$60:$II$104,$B34,21)*DQ34=1,IF(AND($E34=2,MX34=0),1000000,INDEX('計算A'!X$110:X$114,$F34+1)+IF(AND($E34=1,MX34=0),1000,0)),1000000))</f>
        <v/>
      </c>
      <c r="WF34">
        <f>IF($B34=0,1000000,IF(INDEX('計算A'!$D$60:$II$104,$B34,22)*DR34=1,IF(AND($E34=2,MY34=0),1000000,INDEX('計算A'!Y$110:Y$114,$F34+1)+IF(AND($E34=1,MY34=0),1000,0)),1000000))</f>
        <v/>
      </c>
      <c r="WG34">
        <f>IF($B34=0,1000000,IF(INDEX('計算A'!$D$60:$II$104,$B34,23)*DS34=1,IF(AND($E34=2,MZ34=0),1000000,INDEX('計算A'!Z$110:Z$114,$F34+1)+IF(AND($E34=1,MZ34=0),1000,0)),1000000))</f>
        <v/>
      </c>
      <c r="WH34">
        <f>IF($B34=0,1000000,IF(INDEX('計算A'!$D$60:$II$104,$B34,24)*DT34=1,IF(AND($E34=2,NA34=0),1000000,INDEX('計算A'!AA$110:AA$114,$F34+1)+IF(AND($E34=1,NA34=0),1000,0)),1000000))</f>
        <v/>
      </c>
      <c r="WI34">
        <f>IF($B34=0,1000000,IF(INDEX('計算A'!$D$60:$II$104,$B34,25)*DU34=1,IF(AND($E34=2,NB34=0),1000000,INDEX('計算A'!AB$110:AB$114,$F34+1)+IF(AND($E34=1,NB34=0),1000,0)),1000000))</f>
        <v/>
      </c>
      <c r="WJ34">
        <f>IF($B34=0,1000000,IF(INDEX('計算A'!$D$60:$II$104,$B34,26)*DV34=1,IF(AND($E34=2,NC34=0),1000000,INDEX('計算A'!AC$110:AC$114,$F34+1)+IF(AND($E34=1,NC34=0),1000,0)),1000000))</f>
        <v/>
      </c>
      <c r="WK34">
        <f>IF($B34=0,1000000,IF(INDEX('計算A'!$D$60:$II$104,$B34,27)*DW34=1,IF(AND($E34=2,ND34=0),1000000,INDEX('計算A'!AD$110:AD$114,$F34+1)+IF(AND($E34=1,ND34=0),1000,0)),1000000))</f>
        <v/>
      </c>
      <c r="WL34">
        <f>IF($B34=0,1000000,IF(INDEX('計算A'!$D$60:$II$104,$B34,28)*DX34=1,IF(AND($E34=2,NE34=0),1000000,INDEX('計算A'!AE$110:AE$114,$F34+1)+IF(AND($E34=1,NE34=0),1000,0)),1000000))</f>
        <v/>
      </c>
      <c r="WM34">
        <f>IF($B34=0,1000000,IF(INDEX('計算A'!$D$60:$II$104,$B34,29)*DY34=1,IF(AND($E34=2,NF34=0),1000000,INDEX('計算A'!AF$110:AF$114,$F34+1)+IF(AND($E34=1,NF34=0),1000,0)),1000000))</f>
        <v/>
      </c>
      <c r="WN34">
        <f>IF($B34=0,1000000,IF(INDEX('計算A'!$D$60:$II$104,$B34,30)*DZ34=1,IF(AND($E34=2,NG34=0),1000000,INDEX('計算A'!AG$110:AG$114,$F34+1)+IF(AND($E34=1,NG34=0),1000,0)),1000000))</f>
        <v/>
      </c>
      <c r="WO34">
        <f>IF($B34=0,1000000,IF(INDEX('計算A'!$D$60:$II$104,$B34,31)*EA34=1,IF(AND($E34=2,NH34=0),1000000,INDEX('計算A'!AH$110:AH$114,$F34+1)+IF(AND($E34=1,NH34=0),1000,0)),1000000))</f>
        <v/>
      </c>
      <c r="WP34">
        <f>IF($B34=0,1000000,IF(INDEX('計算A'!$D$60:$II$104,$B34,32)*EB34=1,IF(AND($E34=2,NI34=0),1000000,INDEX('計算A'!AI$110:AI$114,$F34+1)+IF(AND($E34=1,NI34=0),1000,0)),1000000))</f>
        <v/>
      </c>
      <c r="WQ34">
        <f>IF($B34=0,1000000,IF(INDEX('計算A'!$D$60:$II$104,$B34,33)*EC34=1,IF(AND($E34=2,NJ34=0),1000000,INDEX('計算A'!AJ$110:AJ$114,$F34+1)+IF(AND($E34=1,NJ34=0),1000,0)),1000000))</f>
        <v/>
      </c>
      <c r="WR34">
        <f>IF($B34=0,1000000,IF(INDEX('計算A'!$D$60:$II$104,$B34,34)*ED34=1,IF(AND($E34=2,NK34=0),1000000,INDEX('計算A'!AK$110:AK$114,$F34+1)+IF(AND($E34=1,NK34=0),1000,0)),1000000))</f>
        <v/>
      </c>
      <c r="WS34">
        <f>IF($B34=0,1000000,IF(INDEX('計算A'!$D$60:$II$104,$B34,35)*EE34=1,IF(AND($E34=2,NL34=0),1000000,INDEX('計算A'!AL$110:AL$114,$F34+1)+IF(AND($E34=1,NL34=0),1000,0)),1000000))</f>
        <v/>
      </c>
      <c r="WT34">
        <f>IF($B34=0,1000000,IF(INDEX('計算A'!$D$60:$II$104,$B34,36)*EF34=1,IF(AND($E34=2,NM34=0),1000000,INDEX('計算A'!AM$110:AM$114,$F34+1)+IF(AND($E34=1,NM34=0),1000,0)),1000000))</f>
        <v/>
      </c>
      <c r="WU34">
        <f>IF($B34=0,1000000,IF(INDEX('計算A'!$D$60:$II$104,$B34,37)*EG34=1,IF(AND($E34=2,NN34=0),1000000,INDEX('計算A'!AN$110:AN$114,$F34+1)+IF(AND($E34=1,NN34=0),1000,0)),1000000))</f>
        <v/>
      </c>
      <c r="WV34">
        <f>IF($B34=0,1000000,IF(INDEX('計算A'!$D$60:$II$104,$B34,38)*EH34=1,IF(AND($E34=2,NO34=0),1000000,INDEX('計算A'!AO$110:AO$114,$F34+1)+IF(AND($E34=1,NO34=0),1000,0)),1000000))</f>
        <v/>
      </c>
      <c r="WW34">
        <f>IF($B34=0,1000000,IF(INDEX('計算A'!$D$60:$II$104,$B34,39)*EI34=1,IF(AND($E34=2,NP34=0),1000000,INDEX('計算A'!AP$110:AP$114,$F34+1)+IF(AND($E34=1,NP34=0),1000,0)),1000000))</f>
        <v/>
      </c>
      <c r="WX34">
        <f>IF($B34=0,1000000,IF(INDEX('計算A'!$D$60:$II$104,$B34,40)*EJ34=1,IF(AND($E34=2,NQ34=0),1000000,INDEX('計算A'!AQ$110:AQ$114,$F34+1)+IF(AND($E34=1,NQ34=0),1000,0)),1000000))</f>
        <v/>
      </c>
      <c r="WY34">
        <f>IF($B34=0,1000000,IF(INDEX('計算A'!$D$60:$II$104,$B34,41)*EK34=1,IF(AND($E34=2,NR34=0),1000000,INDEX('計算A'!AR$110:AR$114,$F34+1)+IF(AND($E34=1,NR34=0),1000,0)),1000000))</f>
        <v/>
      </c>
      <c r="WZ34">
        <f>IF($B34=0,1000000,IF(INDEX('計算A'!$D$60:$II$104,$B34,42)*EL34=1,IF(AND($E34=2,NS34=0),1000000,INDEX('計算A'!AS$110:AS$114,$F34+1)+IF(AND($E34=1,NS34=0),1000,0)),1000000))</f>
        <v/>
      </c>
      <c r="XA34">
        <f>IF($B34=0,1000000,IF(INDEX('計算A'!$D$60:$II$104,$B34,43)*EM34=1,IF(AND($E34=2,NT34=0),1000000,INDEX('計算A'!AT$110:AT$114,$F34+1)+IF(AND($E34=1,NT34=0),1000,0)),1000000))</f>
        <v/>
      </c>
      <c r="XB34">
        <f>IF($B34=0,1000000,IF(INDEX('計算A'!$D$60:$II$104,$B34,44)*EN34=1,IF(AND($E34=2,NU34=0),1000000,INDEX('計算A'!AU$110:AU$114,$F34+1)+IF(AND($E34=1,NU34=0),1000,0)),1000000))</f>
        <v/>
      </c>
      <c r="XC34">
        <f>IF($B34=0,1000000,IF(INDEX('計算A'!$D$60:$II$104,$B34,45)*EO34=1,IF(AND($E34=2,NV34=0),1000000,INDEX('計算A'!AV$110:AV$114,$F34+1)+IF(AND($E34=1,NV34=0),1000,0)),1000000))</f>
        <v/>
      </c>
      <c r="XD34">
        <f>IF($B34=0,1000000,IF(INDEX('計算A'!$D$60:$II$104,$B34,46)*EP34=1,IF(AND($E34=2,NW34=0),1000000,INDEX('計算A'!AW$110:AW$114,$F34+1)+IF(AND($E34=1,NW34=0),1000,0)),1000000))</f>
        <v/>
      </c>
      <c r="XE34">
        <f>IF($B34=0,1000000,IF(INDEX('計算A'!$D$60:$II$104,$B34,47)*EQ34=1,IF(AND($E34=2,NX34=0),1000000,INDEX('計算A'!AX$110:AX$114,$F34+1)+IF(AND($E34=1,NX34=0),1000,0)),1000000))</f>
        <v/>
      </c>
      <c r="XF34">
        <f>IF($B34=0,1000000,IF(INDEX('計算A'!$D$60:$II$104,$B34,48)*ER34=1,IF(AND($E34=2,NY34=0),1000000,INDEX('計算A'!AY$110:AY$114,$F34+1)+IF(AND($E34=1,NY34=0),1000,0)),1000000))</f>
        <v/>
      </c>
      <c r="XG34">
        <f>IF($B34=0,1000000,IF(INDEX('計算A'!$D$60:$II$104,$B34,49)*ES34=1,IF(AND($E34=2,NZ34=0),1000000,INDEX('計算A'!AZ$110:AZ$114,$F34+1)+IF(AND($E34=1,NZ34=0),1000,0)),1000000))</f>
        <v/>
      </c>
      <c r="XH34">
        <f>IF($B34=0,1000000,IF(INDEX('計算A'!$D$60:$II$104,$B34,50)*ET34=1,IF(AND($E34=2,OA34=0),1000000,INDEX('計算A'!BA$110:BA$114,$F34+1)+IF(AND($E34=1,OA34=0),1000,0)),1000000))</f>
        <v/>
      </c>
      <c r="XI34">
        <f>IF($B34=0,1000000,IF(INDEX('計算A'!$D$60:$II$104,$B34,51)*EU34=1,IF(AND($E34=2,OB34=0),1000000,INDEX('計算A'!BB$110:BB$114,$F34+1)+IF(AND($E34=1,OB34=0),1000,0)),1000000))</f>
        <v/>
      </c>
      <c r="XJ34">
        <f>IF($B34=0,1000000,IF(INDEX('計算A'!$D$60:$II$104,$B34,52)*EV34=1,IF(AND($E34=2,OC34=0),1000000,INDEX('計算A'!BC$110:BC$114,$F34+1)+IF(AND($E34=1,OC34=0),1000,0)),1000000))</f>
        <v/>
      </c>
      <c r="XK34">
        <f>IF($B34=0,1000000,IF(INDEX('計算A'!$D$60:$II$104,$B34,53)*EW34=1,IF(AND($E34=2,OD34=0),1000000,INDEX('計算A'!BD$110:BD$114,$F34+1)+IF(AND($E34=1,OD34=0),1000,0)),1000000))</f>
        <v/>
      </c>
      <c r="XL34">
        <f>IF($B34=0,1000000,IF(INDEX('計算A'!$D$60:$II$104,$B34,54)*EX34=1,IF(AND($E34=2,OE34=0),1000000,INDEX('計算A'!BE$110:BE$114,$F34+1)+IF(AND($E34=1,OE34=0),1000,0)),1000000))</f>
        <v/>
      </c>
      <c r="XM34">
        <f>IF($B34=0,1000000,IF(INDEX('計算A'!$D$60:$II$104,$B34,55)*EY34=1,IF(AND($E34=2,OF34=0),1000000,INDEX('計算A'!BF$110:BF$114,$F34+1)+IF(AND($E34=1,OF34=0),1000,0)),1000000))</f>
        <v/>
      </c>
      <c r="XN34">
        <f>IF($B34=0,1000000,IF(INDEX('計算A'!$D$60:$II$104,$B34,56)*EZ34=1,IF(AND($E34=2,OG34=0),1000000,INDEX('計算A'!BG$110:BG$114,$F34+1)+IF(AND($E34=1,OG34=0),1000,0)),1000000))</f>
        <v/>
      </c>
      <c r="XO34">
        <f>IF($B34=0,1000000,IF(INDEX('計算A'!$D$60:$II$104,$B34,57)*FA34=1,IF(AND($E34=2,OH34=0),1000000,INDEX('計算A'!BH$110:BH$114,$F34+1)+IF(AND($E34=1,OH34=0),1000,0)),1000000))</f>
        <v/>
      </c>
      <c r="XP34">
        <f>IF($B34=0,1000000,IF(INDEX('計算A'!$D$60:$II$104,$B34,58)*FB34=1,IF(AND($E34=2,OI34=0),1000000,INDEX('計算A'!BI$110:BI$114,$F34+1)+IF(AND($E34=1,OI34=0),1000,0)),1000000))</f>
        <v/>
      </c>
      <c r="XQ34">
        <f>IF($B34=0,1000000,IF(INDEX('計算A'!$D$60:$II$104,$B34,59)*FC34=1,IF(AND($E34=2,OJ34=0),1000000,INDEX('計算A'!BJ$110:BJ$114,$F34+1)+IF(AND($E34=1,OJ34=0),1000,0)),1000000))</f>
        <v/>
      </c>
      <c r="XR34">
        <f>IF($B34=0,1000000,IF(INDEX('計算A'!$D$60:$II$104,$B34,60)*FD34=1,IF(AND($E34=2,OK34=0),1000000,INDEX('計算A'!BK$110:BK$114,$F34+1)+IF(AND($E34=1,OK34=0),1000,0)),1000000))</f>
        <v/>
      </c>
      <c r="XS34">
        <f>IF($B34=0,1000000,IF(INDEX('計算A'!$D$60:$II$104,$B34,61)*FE34=1,IF(AND($E34=2,OL34=0),1000000,INDEX('計算A'!BL$110:BL$114,$F34+1)+IF(AND($E34=1,OL34=0),1000,0)),1000000))</f>
        <v/>
      </c>
      <c r="XT34">
        <f>IF($B34=0,1000000,IF(INDEX('計算A'!$D$60:$II$104,$B34,62)*FF34=1,IF(AND($E34=2,OM34=0),1000000,INDEX('計算A'!BM$110:BM$114,$F34+1)+IF(AND($E34=1,OM34=0),1000,0)),1000000))</f>
        <v/>
      </c>
      <c r="XU34">
        <f>IF($B34=0,1000000,IF(INDEX('計算A'!$D$60:$II$104,$B34,63)*FG34=1,IF(AND($E34=2,ON34=0),1000000,INDEX('計算A'!BN$110:BN$114,$F34+1)+IF(AND($E34=1,ON34=0),1000,0)),1000000))</f>
        <v/>
      </c>
      <c r="XV34">
        <f>IF($B34=0,1000000,IF(INDEX('計算A'!$D$60:$II$104,$B34,64)*FH34=1,IF(AND($E34=2,OO34=0),1000000,INDEX('計算A'!BO$110:BO$114,$F34+1)+IF(AND($E34=1,OO34=0),1000,0)),1000000))</f>
        <v/>
      </c>
      <c r="XW34">
        <f>IF($B34=0,1000000,IF(INDEX('計算A'!$D$60:$II$104,$B34,65)*FI34=1,IF(AND($E34=2,OP34=0),1000000,INDEX('計算A'!BP$110:BP$114,$F34+1)+IF(AND($E34=1,OP34=0),1000,0)),1000000))</f>
        <v/>
      </c>
      <c r="XX34">
        <f>IF($B34=0,1000000,IF(INDEX('計算A'!$D$60:$II$104,$B34,66)*FJ34=1,IF(AND($E34=2,OQ34=0),1000000,INDEX('計算A'!BQ$110:BQ$114,$F34+1)+IF(AND($E34=1,OQ34=0),1000,0)),1000000))</f>
        <v/>
      </c>
      <c r="XY34">
        <f>IF($B34=0,1000000,IF(INDEX('計算A'!$D$60:$II$104,$B34,67)*FK34=1,IF(AND($E34=2,OR34=0),1000000,INDEX('計算A'!BR$110:BR$114,$F34+1)+IF(AND($E34=1,OR34=0),1000,0)),1000000))</f>
        <v/>
      </c>
      <c r="XZ34">
        <f>IF($B34=0,1000000,IF(INDEX('計算A'!$D$60:$II$104,$B34,68)*FL34=1,IF(AND($E34=2,OS34=0),1000000,INDEX('計算A'!BS$110:BS$114,$F34+1)+IF(AND($E34=1,OS34=0),1000,0)),1000000))</f>
        <v/>
      </c>
      <c r="YA34">
        <f>IF($B34=0,1000000,IF(INDEX('計算A'!$D$60:$II$104,$B34,69)*FM34=1,IF(AND($E34=2,OT34=0),1000000,INDEX('計算A'!BT$110:BT$114,$F34+1)+IF(AND($E34=1,OT34=0),1000,0)),1000000))</f>
        <v/>
      </c>
      <c r="YB34">
        <f>IF($B34=0,1000000,IF(INDEX('計算A'!$D$60:$II$104,$B34,70)*FN34=1,IF(AND($E34=2,OU34=0),1000000,INDEX('計算A'!BU$110:BU$114,$F34+1)+IF(AND($E34=1,OU34=0),1000,0)),1000000))</f>
        <v/>
      </c>
      <c r="YC34">
        <f>IF($B34=0,1000000,IF(INDEX('計算A'!$D$60:$II$104,$B34,71)*FO34=1,IF(AND($E34=2,OV34=0),1000000,INDEX('計算A'!BV$110:BV$114,$F34+1)+IF(AND($E34=1,OV34=0),1000,0)),1000000))</f>
        <v/>
      </c>
      <c r="YD34">
        <f>IF($B34=0,1000000,IF(INDEX('計算A'!$D$60:$II$104,$B34,72)*FP34=1,IF(AND($E34=2,OW34=0),1000000,INDEX('計算A'!BW$110:BW$114,$F34+1)+IF(AND($E34=1,OW34=0),1000,0)),1000000))</f>
        <v/>
      </c>
      <c r="YE34">
        <f>IF($B34=0,1000000,IF(INDEX('計算A'!$D$60:$II$104,$B34,73)*FQ34=1,IF(AND($E34=2,OX34=0),1000000,INDEX('計算A'!BX$110:BX$114,$F34+1)+IF(AND($E34=1,OX34=0),1000,0)),1000000))</f>
        <v/>
      </c>
      <c r="YF34">
        <f>IF($B34=0,1000000,IF(INDEX('計算A'!$D$60:$II$104,$B34,74)*FR34=1,IF(AND($E34=2,OY34=0),1000000,INDEX('計算A'!BY$110:BY$114,$F34+1)+IF(AND($E34=1,OY34=0),1000,0)),1000000))</f>
        <v/>
      </c>
      <c r="YG34">
        <f>IF($B34=0,1000000,IF(INDEX('計算A'!$D$60:$II$104,$B34,75)*FS34=1,IF(AND($E34=2,OZ34=0),1000000,INDEX('計算A'!BZ$110:BZ$114,$F34+1)+IF(AND($E34=1,OZ34=0),1000,0)),1000000))</f>
        <v/>
      </c>
      <c r="YH34">
        <f>IF($B34=0,1000000,IF(INDEX('計算A'!$D$60:$II$104,$B34,76)*FT34=1,IF(AND($E34=2,PA34=0),1000000,INDEX('計算A'!CA$110:CA$114,$F34+1)+IF(AND($E34=1,PA34=0),1000,0)),1000000))</f>
        <v/>
      </c>
      <c r="YI34">
        <f>IF($B34=0,1000000,IF(INDEX('計算A'!$D$60:$II$104,$B34,77)*FU34=1,IF(AND($E34=2,PB34=0),1000000,INDEX('計算A'!CB$110:CB$114,$F34+1)+IF(AND($E34=1,PB34=0),1000,0)),1000000))</f>
        <v/>
      </c>
      <c r="YJ34">
        <f>IF($B34=0,1000000,IF(INDEX('計算A'!$D$60:$II$104,$B34,78)*FV34=1,IF(AND($E34=2,PC34=0),1000000,INDEX('計算A'!CC$110:CC$114,$F34+1)+IF(AND($E34=1,PC34=0),1000,0)),1000000))</f>
        <v/>
      </c>
      <c r="YK34">
        <f>IF($B34=0,1000000,IF(INDEX('計算A'!$D$60:$II$104,$B34,79)*FW34=1,IF(AND($E34=2,PD34=0),1000000,INDEX('計算A'!CD$110:CD$114,$F34+1)+IF(AND($E34=1,PD34=0),1000,0)),1000000))</f>
        <v/>
      </c>
      <c r="YL34">
        <f>IF($B34=0,1000000,IF(INDEX('計算A'!$D$60:$II$104,$B34,80)*FX34=1,IF(AND($E34=2,PE34=0),1000000,INDEX('計算A'!CE$110:CE$114,$F34+1)+IF(AND($E34=1,PE34=0),1000,0)),1000000))</f>
        <v/>
      </c>
      <c r="YM34">
        <f>IF($B34=0,1000000,IF(INDEX('計算A'!$D$60:$II$104,$B34,81)*FY34=1,IF(AND($E34=2,PF34=0),1000000,INDEX('計算A'!CF$110:CF$114,$F34+1)+IF(AND($E34=1,PF34=0),1000,0)),1000000))</f>
        <v/>
      </c>
      <c r="YN34">
        <f>IF($B34=0,1000000,IF(INDEX('計算A'!$D$60:$II$104,$B34,82)*FZ34=1,IF(AND($E34=2,PG34=0),1000000,INDEX('計算A'!CG$110:CG$114,$F34+1)+IF(AND($E34=1,PG34=0),1000,0)),1000000))</f>
        <v/>
      </c>
      <c r="YO34">
        <f>IF($B34=0,1000000,IF(INDEX('計算A'!$D$60:$II$104,$B34,83)*GA34=1,IF(AND($E34=2,PH34=0),1000000,INDEX('計算A'!CH$110:CH$114,$F34+1)+IF(AND($E34=1,PH34=0),1000,0)),1000000))</f>
        <v/>
      </c>
      <c r="YP34">
        <f>IF($B34=0,1000000,IF(INDEX('計算A'!$D$60:$II$104,$B34,84)*GB34=1,IF(AND($E34=2,PI34=0),1000000,INDEX('計算A'!CI$110:CI$114,$F34+1)+IF(AND($E34=1,PI34=0),1000,0)),1000000))</f>
        <v/>
      </c>
      <c r="YQ34">
        <f>IF($B34=0,1000000,IF(INDEX('計算A'!$D$60:$II$104,$B34,85)*GC34=1,IF(AND($E34=2,PJ34=0),1000000,INDEX('計算A'!CJ$110:CJ$114,$F34+1)+IF(AND($E34=1,PJ34=0),1000,0)),1000000))</f>
        <v/>
      </c>
      <c r="YR34">
        <f>IF($B34=0,1000000,IF(INDEX('計算A'!$D$60:$II$104,$B34,86)*GD34=1,IF(AND($E34=2,PK34=0),1000000,INDEX('計算A'!CK$110:CK$114,$F34+1)+IF(AND($E34=1,PK34=0),1000,0)),1000000))</f>
        <v/>
      </c>
      <c r="YS34">
        <f>IF($B34=0,1000000,IF(INDEX('計算A'!$D$60:$II$104,$B34,87)*GE34=1,IF(AND($E34=2,PL34=0),1000000,INDEX('計算A'!CL$110:CL$114,$F34+1)+IF(AND($E34=1,PL34=0),1000,0)),1000000))</f>
        <v/>
      </c>
      <c r="YT34">
        <f>IF($B34=0,1000000,IF(INDEX('計算A'!$D$60:$II$104,$B34,88)*GF34=1,IF(AND($E34=2,PM34=0),1000000,INDEX('計算A'!CM$110:CM$114,$F34+1)+IF(AND($E34=1,PM34=0),1000,0)),1000000))</f>
        <v/>
      </c>
      <c r="YU34">
        <f>IF($B34=0,1000000,IF(INDEX('計算A'!$D$60:$II$104,$B34,89)*GG34=1,IF(AND($E34=2,PN34=0),1000000,INDEX('計算A'!CN$110:CN$114,$F34+1)+IF(AND($E34=1,PN34=0),1000,0)),1000000))</f>
        <v/>
      </c>
      <c r="YV34">
        <f>IF($B34=0,1000000,IF(INDEX('計算A'!$D$60:$II$104,$B34,90)*GH34=1,IF(AND($E34=2,PO34=0),1000000,INDEX('計算A'!CO$110:CO$114,$F34+1)+IF(AND($E34=1,PO34=0),1000,0)),1000000))</f>
        <v/>
      </c>
      <c r="YW34">
        <f>IF($B34=0,1000000,IF(INDEX('計算A'!$D$60:$II$104,$B34,91)*GI34=1,IF(AND($E34=2,PP34=0),1000000,INDEX('計算A'!CP$110:CP$114,$F34+1)+IF(AND($E34=1,PP34=0),1000,0)),1000000))</f>
        <v/>
      </c>
      <c r="YX34">
        <f>IF($B34=0,1000000,IF(INDEX('計算A'!$D$60:$II$104,$B34,92)*GJ34=1,IF(AND($E34=2,PQ34=0),1000000,INDEX('計算A'!CQ$110:CQ$114,$F34+1)+IF(AND($E34=1,PQ34=0),1000,0)),1000000))</f>
        <v/>
      </c>
      <c r="YY34">
        <f>IF($B34=0,1000000,IF(INDEX('計算A'!$D$60:$II$104,$B34,93)*GK34=1,IF(AND($E34=2,PR34=0),1000000,INDEX('計算A'!CR$110:CR$114,$F34+1)+IF(AND($E34=1,PR34=0),1000,0)),1000000))</f>
        <v/>
      </c>
      <c r="YZ34">
        <f>IF($B34=0,1000000,IF(INDEX('計算A'!$D$60:$II$104,$B34,94)*GL34=1,IF(AND($E34=2,PS34=0),1000000,INDEX('計算A'!CS$110:CS$114,$F34+1)+IF(AND($E34=1,PS34=0),1000,0)),1000000))</f>
        <v/>
      </c>
      <c r="ZA34">
        <f>IF($B34=0,1000000,IF(INDEX('計算A'!$D$60:$II$104,$B34,95)*GM34=1,IF(AND($E34=2,PT34=0),1000000,INDEX('計算A'!CT$110:CT$114,$F34+1)+IF(AND($E34=1,PT34=0),1000,0)),1000000))</f>
        <v/>
      </c>
      <c r="ZB34">
        <f>IF($B34=0,1000000,IF(INDEX('計算A'!$D$60:$II$104,$B34,96)*GN34=1,IF(AND($E34=2,PU34=0),1000000,INDEX('計算A'!CU$110:CU$114,$F34+1)+IF(AND($E34=1,PU34=0),1000,0)),1000000))</f>
        <v/>
      </c>
      <c r="ZC34">
        <f>IF($B34=0,1000000,IF(INDEX('計算A'!$D$60:$II$104,$B34,97)*GO34=1,IF(AND($E34=2,PV34=0),1000000,INDEX('計算A'!CV$110:CV$114,$F34+1)+IF(AND($E34=1,PV34=0),1000,0)),1000000))</f>
        <v/>
      </c>
      <c r="ZD34">
        <f>IF($B34=0,1000000,IF(INDEX('計算A'!$D$60:$II$104,$B34,98)*GP34=1,IF(AND($E34=2,PW34=0),1000000,INDEX('計算A'!CW$110:CW$114,$F34+1)+IF(AND($E34=1,PW34=0),1000,0)),1000000))</f>
        <v/>
      </c>
      <c r="ZE34">
        <f>IF($B34=0,1000000,IF(INDEX('計算A'!$D$60:$II$104,$B34,99)*GQ34=1,IF(AND($E34=2,PX34=0),1000000,INDEX('計算A'!CX$110:CX$114,$F34+1)+IF(AND($E34=1,PX34=0),1000,0)),1000000))</f>
        <v/>
      </c>
      <c r="ZF34">
        <f>IF($B34=0,1000000,IF(INDEX('計算A'!$D$60:$II$104,$B34,100)*GR34=1,IF(AND($E34=2,PY34=0),1000000,INDEX('計算A'!CY$110:CY$114,$F34+1)+IF(AND($E34=1,PY34=0),1000,0)),1000000))</f>
        <v/>
      </c>
      <c r="ZG34">
        <f>IF($B34=0,1000000,IF(INDEX('計算A'!$D$60:$II$104,$B34,101)*GS34=1,IF(AND($E34=2,PZ34=0),1000000,INDEX('計算A'!CZ$110:CZ$114,$F34+1)+IF(AND($E34=1,PZ34=0),1000,0)),1000000))</f>
        <v/>
      </c>
      <c r="ZH34">
        <f>IF($B34=0,1000000,IF(INDEX('計算A'!$D$60:$II$104,$B34,102)*GT34=1,IF(AND($E34=2,QA34=0),1000000,INDEX('計算A'!DA$110:DA$114,$F34+1)+IF(AND($E34=1,QA34=0),1000,0)),1000000))</f>
        <v/>
      </c>
      <c r="ZI34">
        <f>IF($B34=0,1000000,IF(INDEX('計算A'!$D$60:$II$104,$B34,103)*GU34=1,IF(AND($E34=2,QB34=0),1000000,INDEX('計算A'!DB$110:DB$114,$F34+1)+IF(AND($E34=1,QB34=0),1000,0)),1000000))</f>
        <v/>
      </c>
      <c r="ZJ34">
        <f>IF($B34=0,1000000,IF(INDEX('計算A'!$D$60:$II$104,$B34,104)*GV34=1,IF(AND($E34=2,QC34=0),1000000,INDEX('計算A'!DC$110:DC$114,$F34+1)+IF(AND($E34=1,QC34=0),1000,0)),1000000))</f>
        <v/>
      </c>
      <c r="ZK34">
        <f>IF($B34=0,1000000,IF(INDEX('計算A'!$D$60:$II$104,$B34,105)*GW34=1,IF(AND($E34=2,QD34=0),1000000,INDEX('計算A'!DD$110:DD$114,$F34+1)+IF(AND($E34=1,QD34=0),1000,0)),1000000))</f>
        <v/>
      </c>
      <c r="ZL34">
        <f>IF($B34=0,1000000,IF(INDEX('計算A'!$D$60:$II$104,$B34,106)*GX34=1,IF(AND($E34=2,QE34=0),1000000,INDEX('計算A'!DE$110:DE$114,$F34+1)+IF(AND($E34=1,QE34=0),1000,0)),1000000))</f>
        <v/>
      </c>
      <c r="ZM34">
        <f>IF($B34=0,1000000,IF(INDEX('計算A'!$D$60:$II$104,$B34,107)*GY34=1,IF(AND($E34=2,QF34=0),1000000,INDEX('計算A'!DF$110:DF$114,$F34+1)+IF(AND($E34=1,QF34=0),1000,0)),1000000))</f>
        <v/>
      </c>
      <c r="ZN34">
        <f>IF($B34=0,1000000,IF(INDEX('計算A'!$D$60:$II$104,$B34,108)*GZ34=1,IF(AND($E34=2,QG34=0),1000000,INDEX('計算A'!DG$110:DG$114,$F34+1)+IF(AND($E34=1,QG34=0),1000,0)),1000000))</f>
        <v/>
      </c>
      <c r="ZO34">
        <f>IF($B34=0,1000000,IF(INDEX('計算A'!$D$60:$II$104,$B34,109)*HA34=1,IF(AND($E34=2,QH34=0),1000000,INDEX('計算A'!DH$110:DH$114,$F34+1)+IF(AND($E34=1,QH34=0),1000,0)),1000000))</f>
        <v/>
      </c>
      <c r="ZP34">
        <f>IF($B34=0,1000000,IF(INDEX('計算A'!$D$60:$II$104,$B34,110)*HB34=1,IF(AND($E34=2,QI34=0),1000000,INDEX('計算A'!DI$110:DI$114,$F34+1)+IF(AND($E34=1,QI34=0),1000,0)),1000000))</f>
        <v/>
      </c>
      <c r="ZQ34">
        <f>IF($B34=0,1000000,IF(INDEX('計算A'!$D$60:$II$104,$B34,111)*HC34=1,IF(AND($E34=2,QJ34=0),1000000,INDEX('計算A'!DJ$110:DJ$114,$F34+1)+IF(AND($E34=1,QJ34=0),1000,0)),1000000))</f>
        <v/>
      </c>
      <c r="ZR34">
        <f>IF($B34=0,1000000,IF(INDEX('計算A'!$D$60:$II$104,$B34,112)*HD34=1,IF(AND($E34=2,QK34=0),1000000,INDEX('計算A'!DK$110:DK$114,$F34+1)+IF(AND($E34=1,QK34=0),1000,0)),1000000))</f>
        <v/>
      </c>
      <c r="ZS34">
        <f>IF($B34=0,1000000,IF(INDEX('計算A'!$D$60:$II$104,$B34,113)*HE34=1,IF(AND($E34=2,QL34=0),1000000,INDEX('計算A'!DL$110:DL$114,$F34+1)+IF(AND($E34=1,QL34=0),1000,0)),1000000))</f>
        <v/>
      </c>
      <c r="ZT34">
        <f>IF($B34=0,1000000,IF(INDEX('計算A'!$D$60:$II$104,$B34,114)*HF34=1,IF(AND($E34=2,QM34=0),1000000,INDEX('計算A'!DM$110:DM$114,$F34+1)+IF(AND($E34=1,QM34=0),1000,0)),1000000))</f>
        <v/>
      </c>
      <c r="ZU34">
        <f>IF($B34=0,1000000,IF(INDEX('計算A'!$D$60:$II$104,$B34,115)*HG34=1,IF(AND($E34=2,QN34=0),1000000,INDEX('計算A'!DN$110:DN$114,$F34+1)+IF(AND($E34=1,QN34=0),1000,0)),1000000))</f>
        <v/>
      </c>
      <c r="ZV34">
        <f>IF($B34=0,1000000,IF(INDEX('計算A'!$D$60:$II$104,$B34,116)*HH34=1,IF(AND($E34=2,QO34=0),1000000,INDEX('計算A'!DO$110:DO$114,$F34+1)+IF(AND($E34=1,QO34=0),1000,0)),1000000))</f>
        <v/>
      </c>
      <c r="ZW34">
        <f>IF($B34=0,1000000,IF(INDEX('計算A'!$D$60:$II$104,$B34,117)*HI34=1,IF(AND($E34=2,QP34=0),1000000,INDEX('計算A'!DP$110:DP$114,$F34+1)+IF(AND($E34=1,QP34=0),1000,0)),1000000))</f>
        <v/>
      </c>
      <c r="ZX34">
        <f>IF($B34=0,1000000,IF(INDEX('計算A'!$D$60:$II$104,$B34,118)*HJ34=1,IF(AND($E34=2,QQ34=0),1000000,INDEX('計算A'!DQ$110:DQ$114,$F34+1)+IF(AND($E34=1,QQ34=0),1000,0)),1000000))</f>
        <v/>
      </c>
      <c r="ZY34">
        <f>IF($B34=0,1000000,IF(INDEX('計算A'!$D$60:$II$104,$B34,119)*HK34=1,IF(AND($E34=2,QR34=0),1000000,INDEX('計算A'!DR$110:DR$114,$F34+1)+IF(AND($E34=1,QR34=0),1000,0)),1000000))</f>
        <v/>
      </c>
      <c r="ZZ34">
        <f>IF($B34=0,1000000,IF(INDEX('計算A'!$D$60:$II$104,$B34,120)*HL34=1,IF(AND($E34=2,QS34=0),1000000,INDEX('計算A'!DS$110:DS$114,$F34+1)+IF(AND($E34=1,QS34=0),1000,0)),1000000))</f>
        <v/>
      </c>
      <c r="AAA34">
        <f>IF($B34=0,1000000,IF(INDEX('計算A'!$D$60:$II$104,$B34,121)*HM34=1,IF(AND($E34=2,QT34=0),1000000,INDEX('計算A'!DT$110:DT$114,$F34+1)+IF(AND($E34=1,QT34=0),1000,0)),1000000))</f>
        <v/>
      </c>
      <c r="AAB34">
        <f>IF($B34=0,1000000,IF(INDEX('計算A'!$D$60:$II$104,$B34,122)*HN34=1,IF(AND($E34=2,QU34=0),1000000,INDEX('計算A'!DU$110:DU$114,$F34+1)+IF(AND($E34=1,QU34=0),1000,0)),1000000))</f>
        <v/>
      </c>
      <c r="AAC34">
        <f>IF($B34=0,1000000,IF(INDEX('計算A'!$D$60:$II$104,$B34,123)*HO34=1,IF(AND($E34=2,QV34=0),1000000,INDEX('計算A'!DV$110:DV$114,$F34+1)+IF(AND($E34=1,QV34=0),1000,0)),1000000))</f>
        <v/>
      </c>
      <c r="AAD34">
        <f>IF($B34=0,1000000,IF(INDEX('計算A'!$D$60:$II$104,$B34,124)*HP34=1,IF(AND($E34=2,QW34=0),1000000,INDEX('計算A'!DW$110:DW$114,$F34+1)+IF(AND($E34=1,QW34=0),1000,0)),1000000))</f>
        <v/>
      </c>
      <c r="AAE34">
        <f>IF($B34=0,1000000,IF(INDEX('計算A'!$D$60:$II$104,$B34,125)*HQ34=1,IF(AND($E34=2,QX34=0),1000000,INDEX('計算A'!DX$110:DX$114,$F34+1)+IF(AND($E34=1,QX34=0),1000,0)),1000000))</f>
        <v/>
      </c>
      <c r="AAF34">
        <f>IF($B34=0,1000000,IF(INDEX('計算A'!$D$60:$II$104,$B34,126)*HR34=1,IF(AND($E34=2,QY34=0),1000000,INDEX('計算A'!DY$110:DY$114,$F34+1)+IF(AND($E34=1,QY34=0),1000,0)),1000000))</f>
        <v/>
      </c>
      <c r="AAG34">
        <f>IF($B34=0,1000000,IF(INDEX('計算A'!$D$60:$II$104,$B34,127)*HS34=1,IF(AND($E34=2,QZ34=0),1000000,INDEX('計算A'!DZ$110:DZ$114,$F34+1)+IF(AND($E34=1,QZ34=0),1000,0)),1000000))</f>
        <v/>
      </c>
      <c r="AAH34">
        <f>IF($B34=0,1000000,IF(INDEX('計算A'!$D$60:$II$104,$B34,128)*HT34=1,IF(AND($E34=2,RA34=0),1000000,INDEX('計算A'!EA$110:EA$114,$F34+1)+IF(AND($E34=1,RA34=0),1000,0)),1000000))</f>
        <v/>
      </c>
      <c r="AAI34">
        <f>IF($B34=0,1000000,IF(INDEX('計算A'!$D$60:$II$104,$B34,129)*HU34=1,IF(AND($E34=2,RB34=0),1000000,INDEX('計算A'!EB$110:EB$114,$F34+1)+IF(AND($E34=1,RB34=0),1000,0)),1000000))</f>
        <v/>
      </c>
      <c r="AAJ34">
        <f>IF($B34=0,1000000,IF(INDEX('計算A'!$D$60:$II$104,$B34,130)*HV34=1,IF(AND($E34=2,RC34=0),1000000,INDEX('計算A'!EC$110:EC$114,$F34+1)+IF(AND($E34=1,RC34=0),1000,0)),1000000))</f>
        <v/>
      </c>
      <c r="AAK34">
        <f>IF($B34=0,1000000,IF(INDEX('計算A'!$D$60:$II$104,$B34,131)*HW34=1,IF(AND($E34=2,RD34=0),1000000,INDEX('計算A'!ED$110:ED$114,$F34+1)+IF(AND($E34=1,RD34=0),1000,0)),1000000))</f>
        <v/>
      </c>
      <c r="AAL34">
        <f>IF($B34=0,1000000,IF(INDEX('計算A'!$D$60:$II$104,$B34,132)*HX34=1,IF(AND($E34=2,RE34=0),1000000,INDEX('計算A'!EE$110:EE$114,$F34+1)+IF(AND($E34=1,RE34=0),1000,0)),1000000))</f>
        <v/>
      </c>
      <c r="AAM34">
        <f>IF($B34=0,1000000,IF(INDEX('計算A'!$D$60:$II$104,$B34,133)*HY34=1,IF(AND($E34=2,RF34=0),1000000,INDEX('計算A'!EF$110:EF$114,$F34+1)+IF(AND($E34=1,RF34=0),1000,0)),1000000))</f>
        <v/>
      </c>
      <c r="AAN34">
        <f>IF($B34=0,1000000,IF(INDEX('計算A'!$D$60:$II$104,$B34,134)*HZ34=1,IF(AND($E34=2,RG34=0),1000000,INDEX('計算A'!EG$110:EG$114,$F34+1)+IF(AND($E34=1,RG34=0),1000,0)),1000000))</f>
        <v/>
      </c>
      <c r="AAO34">
        <f>IF($B34=0,1000000,IF(INDEX('計算A'!$D$60:$II$104,$B34,135)*IA34=1,IF(AND($E34=2,RH34=0),1000000,INDEX('計算A'!EH$110:EH$114,$F34+1)+IF(AND($E34=1,RH34=0),1000,0)),1000000))</f>
        <v/>
      </c>
      <c r="AAP34">
        <f>IF($B34=0,1000000,IF(INDEX('計算A'!$D$60:$II$104,$B34,136)*IB34=1,IF(AND($E34=2,RI34=0),1000000,INDEX('計算A'!EI$110:EI$114,$F34+1)+IF(AND($E34=1,RI34=0),1000,0)),1000000))</f>
        <v/>
      </c>
      <c r="AAQ34">
        <f>IF($B34=0,1000000,IF(INDEX('計算A'!$D$60:$II$104,$B34,137)*IC34=1,IF(AND($E34=2,RJ34=0),1000000,INDEX('計算A'!EJ$110:EJ$114,$F34+1)+IF(AND($E34=1,RJ34=0),1000,0)),1000000))</f>
        <v/>
      </c>
      <c r="AAR34">
        <f>IF($B34=0,1000000,IF(INDEX('計算A'!$D$60:$II$104,$B34,138)*ID34=1,IF(AND($E34=2,RK34=0),1000000,INDEX('計算A'!EK$110:EK$114,$F34+1)+IF(AND($E34=1,RK34=0),1000,0)),1000000))</f>
        <v/>
      </c>
      <c r="AAS34">
        <f>IF($B34=0,1000000,IF(INDEX('計算A'!$D$60:$II$104,$B34,139)*IE34=1,IF(AND($E34=2,RL34=0),1000000,INDEX('計算A'!EL$110:EL$114,$F34+1)+IF(AND($E34=1,RL34=0),1000,0)),1000000))</f>
        <v/>
      </c>
      <c r="AAT34">
        <f>IF($B34=0,1000000,IF(INDEX('計算A'!$D$60:$II$104,$B34,140)*IF34=1,IF(AND($E34=2,RM34=0),1000000,INDEX('計算A'!EM$110:EM$114,$F34+1)+IF(AND($E34=1,RM34=0),1000,0)),1000000))</f>
        <v/>
      </c>
      <c r="AAU34">
        <f>IF($B34=0,1000000,IF(INDEX('計算A'!$D$60:$II$104,$B34,141)*IG34=1,IF(AND($E34=2,RN34=0),1000000,INDEX('計算A'!EN$110:EN$114,$F34+1)+IF(AND($E34=1,RN34=0),1000,0)),1000000))</f>
        <v/>
      </c>
      <c r="AAV34">
        <f>IF($B34=0,1000000,IF(INDEX('計算A'!$D$60:$II$104,$B34,142)*IH34=1,IF(AND($E34=2,RO34=0),1000000,INDEX('計算A'!EO$110:EO$114,$F34+1)+IF(AND($E34=1,RO34=0),1000,0)),1000000))</f>
        <v/>
      </c>
      <c r="AAW34">
        <f>IF($B34=0,1000000,IF(INDEX('計算A'!$D$60:$II$104,$B34,143)*II34=1,IF(AND($E34=2,RP34=0),1000000,INDEX('計算A'!EP$110:EP$114,$F34+1)+IF(AND($E34=1,RP34=0),1000,0)),1000000))</f>
        <v/>
      </c>
      <c r="AAX34">
        <f>IF($B34=0,1000000,IF(INDEX('計算A'!$D$60:$II$104,$B34,144)*IJ34=1,IF(AND($E34=2,RQ34=0),1000000,INDEX('計算A'!EQ$110:EQ$114,$F34+1)+IF(AND($E34=1,RQ34=0),1000,0)),1000000))</f>
        <v/>
      </c>
      <c r="AAY34">
        <f>IF($B34=0,1000000,IF(INDEX('計算A'!$D$60:$II$104,$B34,145)*IK34=1,IF(AND($E34=2,RR34=0),1000000,INDEX('計算A'!ER$110:ER$114,$F34+1)+IF(AND($E34=1,RR34=0),1000,0)),1000000))</f>
        <v/>
      </c>
      <c r="AAZ34">
        <f>IF($B34=0,1000000,IF(INDEX('計算A'!$D$60:$II$104,$B34,146)*IL34=1,IF(AND($E34=2,RS34=0),1000000,INDEX('計算A'!ES$110:ES$114,$F34+1)+IF(AND($E34=1,RS34=0),1000,0)),1000000))</f>
        <v/>
      </c>
      <c r="ABA34">
        <f>IF($B34=0,1000000,IF(INDEX('計算A'!$D$60:$II$104,$B34,147)*IM34=1,IF(AND($E34=2,RT34=0),1000000,INDEX('計算A'!ET$110:ET$114,$F34+1)+IF(AND($E34=1,RT34=0),1000,0)),1000000))</f>
        <v/>
      </c>
      <c r="ABB34">
        <f>IF($B34=0,1000000,IF(INDEX('計算A'!$D$60:$II$104,$B34,148)*IN34=1,IF(AND($E34=2,RU34=0),1000000,INDEX('計算A'!EU$110:EU$114,$F34+1)+IF(AND($E34=1,RU34=0),1000,0)),1000000))</f>
        <v/>
      </c>
      <c r="ABC34">
        <f>IF($B34=0,1000000,IF(INDEX('計算A'!$D$60:$II$104,$B34,149)*IO34=1,IF(AND($E34=2,RV34=0),1000000,INDEX('計算A'!EV$110:EV$114,$F34+1)+IF(AND($E34=1,RV34=0),1000,0)),1000000))</f>
        <v/>
      </c>
      <c r="ABD34">
        <f>IF($B34=0,1000000,IF(INDEX('計算A'!$D$60:$II$104,$B34,150)*IP34=1,IF(AND($E34=2,RW34=0),1000000,INDEX('計算A'!EW$110:EW$114,$F34+1)+IF(AND($E34=1,RW34=0),1000,0)),1000000))</f>
        <v/>
      </c>
      <c r="ABE34">
        <f>IF($B34=0,1000000,IF(INDEX('計算A'!$D$60:$II$104,$B34,151)*IQ34=1,IF(AND($E34=2,RX34=0),1000000,INDEX('計算A'!EX$110:EX$114,$F34+1)+IF(AND($E34=1,RX34=0),1000,0)),1000000))</f>
        <v/>
      </c>
      <c r="ABF34">
        <f>IF($B34=0,1000000,IF(INDEX('計算A'!$D$60:$II$104,$B34,152)*IR34=1,IF(AND($E34=2,RY34=0),1000000,INDEX('計算A'!EY$110:EY$114,$F34+1)+IF(AND($E34=1,RY34=0),1000,0)),1000000))</f>
        <v/>
      </c>
      <c r="ABG34">
        <f>IF($B34=0,1000000,IF(INDEX('計算A'!$D$60:$II$104,$B34,153)*IS34=1,IF(AND($E34=2,RZ34=0),1000000,INDEX('計算A'!EZ$110:EZ$114,$F34+1)+IF(AND($E34=1,RZ34=0),1000,0)),1000000))</f>
        <v/>
      </c>
      <c r="ABH34">
        <f>IF($B34=0,1000000,IF(INDEX('計算A'!$D$60:$II$104,$B34,154)*IT34=1,IF(AND($E34=2,SA34=0),1000000,INDEX('計算A'!FA$110:FA$114,$F34+1)+IF(AND($E34=1,SA34=0),1000,0)),1000000))</f>
        <v/>
      </c>
      <c r="ABI34">
        <f>IF($B34=0,1000000,IF(INDEX('計算A'!$D$60:$II$104,$B34,155)*IU34=1,IF(AND($E34=2,SB34=0),1000000,INDEX('計算A'!FB$110:FB$114,$F34+1)+IF(AND($E34=1,SB34=0),1000,0)),1000000))</f>
        <v/>
      </c>
      <c r="ABJ34">
        <f>IF($B34=0,1000000,IF(INDEX('計算A'!$D$60:$II$104,$B34,156)*IV34=1,IF(AND($E34=2,SC34=0),1000000,INDEX('計算A'!FC$110:FC$114,$F34+1)+IF(AND($E34=1,SC34=0),1000,0)),1000000))</f>
        <v/>
      </c>
      <c r="ABK34">
        <f>IF($B34=0,1000000,IF(INDEX('計算A'!$D$60:$II$104,$B34,157)*IW34=1,IF(AND($E34=2,SD34=0),1000000,INDEX('計算A'!FD$110:FD$114,$F34+1)+IF(AND($E34=1,SD34=0),1000,0)),1000000))</f>
        <v/>
      </c>
      <c r="ABL34">
        <f>IF($B34=0,1000000,IF(INDEX('計算A'!$D$60:$II$104,$B34,158)*IX34=1,IF(AND($E34=2,SE34=0),1000000,INDEX('計算A'!FE$110:FE$114,$F34+1)+IF(AND($E34=1,SE34=0),1000,0)),1000000))</f>
        <v/>
      </c>
      <c r="ABM34">
        <f>IF($B34=0,1000000,IF(INDEX('計算A'!$D$60:$II$104,$B34,159)*IY34=1,IF(AND($E34=2,SF34=0),1000000,INDEX('計算A'!FF$110:FF$114,$F34+1)+IF(AND($E34=1,SF34=0),1000,0)),1000000))</f>
        <v/>
      </c>
      <c r="ABN34">
        <f>IF($B34=0,1000000,IF(INDEX('計算A'!$D$60:$II$104,$B34,160)*IZ34=1,IF(AND($E34=2,SG34=0),1000000,INDEX('計算A'!FG$110:FG$114,$F34+1)+IF(AND($E34=1,SG34=0),1000,0)),1000000))</f>
        <v/>
      </c>
      <c r="ABO34">
        <f>IF($B34=0,1000000,IF(INDEX('計算A'!$D$60:$II$104,$B34,161)*JA34=1,IF(AND($E34=2,SH34=0),1000000,INDEX('計算A'!FH$110:FH$114,$F34+1)+IF(AND($E34=1,SH34=0),1000,0)),1000000))</f>
        <v/>
      </c>
      <c r="ABP34">
        <f>IF($B34=0,1000000,IF(INDEX('計算A'!$D$60:$II$104,$B34,162)*JB34=1,IF(AND($E34=2,SI34=0),1000000,INDEX('計算A'!FI$110:FI$114,$F34+1)+IF(AND($E34=1,SI34=0),1000,0)),1000000))</f>
        <v/>
      </c>
      <c r="ABQ34">
        <f>IF($B34=0,1000000,IF(INDEX('計算A'!$D$60:$II$104,$B34,163)*JC34=1,IF(AND($E34=2,SJ34=0),1000000,INDEX('計算A'!FJ$110:FJ$114,$F34+1)+IF(AND($E34=1,SJ34=0),1000,0)),1000000))</f>
        <v/>
      </c>
      <c r="ABR34">
        <f>IF($B34=0,1000000,IF(INDEX('計算A'!$D$60:$II$104,$B34,164)*JD34=1,IF(AND($E34=2,SK34=0),1000000,INDEX('計算A'!FK$110:FK$114,$F34+1)+IF(AND($E34=1,SK34=0),1000,0)),1000000))</f>
        <v/>
      </c>
      <c r="ABS34">
        <f>IF($B34=0,1000000,IF(INDEX('計算A'!$D$60:$II$104,$B34,165)*JE34=1,IF(AND($E34=2,SL34=0),1000000,INDEX('計算A'!FL$110:FL$114,$F34+1)+IF(AND($E34=1,SL34=0),1000,0)),1000000))</f>
        <v/>
      </c>
      <c r="ABT34">
        <f>IF($B34=0,1000000,IF(INDEX('計算A'!$D$60:$II$104,$B34,166)*JF34=1,IF(AND($E34=2,SM34=0),1000000,INDEX('計算A'!FM$110:FM$114,$F34+1)+IF(AND($E34=1,SM34=0),1000,0)),1000000))</f>
        <v/>
      </c>
      <c r="ABU34">
        <f>IF($B34=0,1000000,IF(INDEX('計算A'!$D$60:$II$104,$B34,167)*JG34=1,IF(AND($E34=2,SN34=0),1000000,INDEX('計算A'!FN$110:FN$114,$F34+1)+IF(AND($E34=1,SN34=0),1000,0)),1000000))</f>
        <v/>
      </c>
      <c r="ABV34">
        <f>IF($B34=0,1000000,IF(INDEX('計算A'!$D$60:$II$104,$B34,168)*JH34=1,IF(AND($E34=2,SO34=0),1000000,INDEX('計算A'!FO$110:FO$114,$F34+1)+IF(AND($E34=1,SO34=0),1000,0)),1000000))</f>
        <v/>
      </c>
      <c r="ABW34">
        <f>IF($B34=0,1000000,IF(INDEX('計算A'!$D$60:$II$104,$B34,169)*JI34=1,IF(AND($E34=2,SP34=0),1000000,INDEX('計算A'!FP$110:FP$114,$F34+1)+IF(AND($E34=1,SP34=0),1000,0)),1000000))</f>
        <v/>
      </c>
      <c r="ABX34">
        <f>IF($B34=0,1000000,IF(INDEX('計算A'!$D$60:$II$104,$B34,170)*JJ34=1,IF(AND($E34=2,SQ34=0),1000000,INDEX('計算A'!FQ$110:FQ$114,$F34+1)+IF(AND($E34=1,SQ34=0),1000,0)),1000000))</f>
        <v/>
      </c>
      <c r="ABY34">
        <f>IF($B34=0,1000000,IF(INDEX('計算A'!$D$60:$II$104,$B34,171)*JK34=1,IF(AND($E34=2,SR34=0),1000000,INDEX('計算A'!FR$110:FR$114,$F34+1)+IF(AND($E34=1,SR34=0),1000,0)),1000000))</f>
        <v/>
      </c>
      <c r="ABZ34">
        <f>IF($B34=0,1000000,IF(INDEX('計算A'!$D$60:$II$104,$B34,172)*JL34=1,IF(AND($E34=2,SS34=0),1000000,INDEX('計算A'!FS$110:FS$114,$F34+1)+IF(AND($E34=1,SS34=0),1000,0)),1000000))</f>
        <v/>
      </c>
      <c r="ACA34">
        <f>IF($B34=0,1000000,IF(INDEX('計算A'!$D$60:$II$104,$B34,173)*JM34=1,IF(AND($E34=2,ST34=0),1000000,INDEX('計算A'!FT$110:FT$114,$F34+1)+IF(AND($E34=1,ST34=0),1000,0)),1000000))</f>
        <v/>
      </c>
      <c r="ACB34">
        <f>IF($B34=0,1000000,IF(INDEX('計算A'!$D$60:$II$104,$B34,174)*JN34=1,IF(AND($E34=2,SU34=0),1000000,INDEX('計算A'!FU$110:FU$114,$F34+1)+IF(AND($E34=1,SU34=0),1000,0)),1000000))</f>
        <v/>
      </c>
      <c r="ACC34">
        <f>IF($B34=0,1000000,IF(INDEX('計算A'!$D$60:$II$104,$B34,175)*JO34=1,IF(AND($E34=2,SV34=0),1000000,INDEX('計算A'!FV$110:FV$114,$F34+1)+IF(AND($E34=1,SV34=0),1000,0)),1000000))</f>
        <v/>
      </c>
      <c r="ACD34">
        <f>IF($B34=0,1000000,IF(INDEX('計算A'!$D$60:$II$104,$B34,176)*JP34=1,IF(AND($E34=2,SW34=0),1000000,INDEX('計算A'!FW$110:FW$114,$F34+1)+IF(AND($E34=1,SW34=0),1000,0)),1000000))</f>
        <v/>
      </c>
      <c r="ACE34">
        <f>IF($B34=0,1000000,IF(INDEX('計算A'!$D$60:$II$104,$B34,177)*JQ34=1,IF(AND($E34=2,SX34=0),1000000,INDEX('計算A'!FX$110:FX$114,$F34+1)+IF(AND($E34=1,SX34=0),1000,0)),1000000))</f>
        <v/>
      </c>
      <c r="ACF34">
        <f>IF($B34=0,1000000,IF(INDEX('計算A'!$D$60:$II$104,$B34,178)*JR34=1,IF(AND($E34=2,SY34=0),1000000,INDEX('計算A'!FY$110:FY$114,$F34+1)+IF(AND($E34=1,SY34=0),1000,0)),1000000))</f>
        <v/>
      </c>
      <c r="ACG34">
        <f>IF($B34=0,1000000,IF(INDEX('計算A'!$D$60:$II$104,$B34,179)*JS34=1,IF(AND($E34=2,SZ34=0),1000000,INDEX('計算A'!FZ$110:FZ$114,$F34+1)+IF(AND($E34=1,SZ34=0),1000,0)),1000000))</f>
        <v/>
      </c>
      <c r="ACH34">
        <f>IF($B34=0,1000000,IF(INDEX('計算A'!$D$60:$II$104,$B34,180)*JT34=1,IF(AND($E34=2,TA34=0),1000000,INDEX('計算A'!GA$110:GA$114,$F34+1)+IF(AND($E34=1,TA34=0),1000,0)),1000000))</f>
        <v/>
      </c>
      <c r="ACI34">
        <f>IF($B34=0,1000000,IF(INDEX('計算A'!$D$60:$II$104,$B34,181)*JU34=1,IF(AND($E34=2,TB34=0),1000000,INDEX('計算A'!GB$110:GB$114,$F34+1)+IF(AND($E34=1,TB34=0),1000,0)),1000000))</f>
        <v/>
      </c>
      <c r="ACJ34">
        <f>IF($B34=0,1000000,IF(INDEX('計算A'!$D$60:$II$104,$B34,182)*JV34=1,IF(AND($E34=2,TC34=0),1000000,INDEX('計算A'!GC$110:GC$114,$F34+1)+IF(AND($E34=1,TC34=0),1000,0)),1000000))</f>
        <v/>
      </c>
      <c r="ACK34">
        <f>IF($B34=0,1000000,IF(INDEX('計算A'!$D$60:$II$104,$B34,183)*JW34=1,IF(AND($E34=2,TD34=0),1000000,INDEX('計算A'!GD$110:GD$114,$F34+1)+IF(AND($E34=1,TD34=0),1000,0)),1000000))</f>
        <v/>
      </c>
      <c r="ACL34">
        <f>IF($B34=0,1000000,IF(INDEX('計算A'!$D$60:$II$104,$B34,184)*JX34=1,IF(AND($E34=2,TE34=0),1000000,INDEX('計算A'!GE$110:GE$114,$F34+1)+IF(AND($E34=1,TE34=0),1000,0)),1000000))</f>
        <v/>
      </c>
      <c r="ACM34">
        <f>IF($B34=0,1000000,IF(INDEX('計算A'!$D$60:$II$104,$B34,185)*JY34=1,IF(AND($E34=2,TF34=0),1000000,INDEX('計算A'!GF$110:GF$114,$F34+1)+IF(AND($E34=1,TF34=0),1000,0)),1000000))</f>
        <v/>
      </c>
      <c r="ACN34">
        <f>IF($B34=0,1000000,IF(INDEX('計算A'!$D$60:$II$104,$B34,186)*JZ34=1,IF(AND($E34=2,TG34=0),1000000,INDEX('計算A'!GG$110:GG$114,$F34+1)+IF(AND($E34=1,TG34=0),1000,0)),1000000))</f>
        <v/>
      </c>
      <c r="ACO34">
        <f>IF($B34=0,1000000,IF(INDEX('計算A'!$D$60:$II$104,$B34,187)*KA34=1,IF(AND($E34=2,TH34=0),1000000,INDEX('計算A'!GH$110:GH$114,$F34+1)+IF(AND($E34=1,TH34=0),1000,0)),1000000))</f>
        <v/>
      </c>
      <c r="ACP34">
        <f>IF($B34=0,1000000,IF(INDEX('計算A'!$D$60:$II$104,$B34,188)*KB34=1,IF(AND($E34=2,TI34=0),1000000,INDEX('計算A'!GI$110:GI$114,$F34+1)+IF(AND($E34=1,TI34=0),1000,0)),1000000))</f>
        <v/>
      </c>
      <c r="ACQ34">
        <f>IF($B34=0,1000000,IF(INDEX('計算A'!$D$60:$II$104,$B34,189)*KC34=1,IF(AND($E34=2,TJ34=0),1000000,INDEX('計算A'!GJ$110:GJ$114,$F34+1)+IF(AND($E34=1,TJ34=0),1000,0)),1000000))</f>
        <v/>
      </c>
      <c r="ACR34">
        <f>IF($B34=0,1000000,IF(INDEX('計算A'!$D$60:$II$104,$B34,190)*KD34=1,IF(AND($E34=2,TK34=0),1000000,INDEX('計算A'!GK$110:GK$114,$F34+1)+IF(AND($E34=1,TK34=0),1000,0)),1000000))</f>
        <v/>
      </c>
      <c r="ACS34">
        <f>IF($B34=0,1000000,IF(INDEX('計算A'!$D$60:$II$104,$B34,191)*KE34=1,IF(AND($E34=2,TL34=0),1000000,INDEX('計算A'!GL$110:GL$114,$F34+1)+IF(AND($E34=1,TL34=0),1000,0)),1000000))</f>
        <v/>
      </c>
      <c r="ACT34">
        <f>IF($B34=0,1000000,IF(INDEX('計算A'!$D$60:$II$104,$B34,192)*KF34=1,IF(AND($E34=2,TM34=0),1000000,INDEX('計算A'!GM$110:GM$114,$F34+1)+IF(AND($E34=1,TM34=0),1000,0)),1000000))</f>
        <v/>
      </c>
      <c r="ACU34">
        <f>IF($B34=0,1000000,IF(INDEX('計算A'!$D$60:$II$104,$B34,193)*KG34=1,IF(AND($E34=2,TN34=0),1000000,INDEX('計算A'!GN$110:GN$114,$F34+1)+IF(AND($E34=1,TN34=0),1000,0)),1000000))</f>
        <v/>
      </c>
      <c r="ACV34">
        <f>IF($B34=0,1000000,IF(INDEX('計算A'!$D$60:$II$104,$B34,194)*KH34=1,IF(AND($E34=2,TO34=0),1000000,INDEX('計算A'!GO$110:GO$114,$F34+1)+IF(AND($E34=1,TO34=0),1000,0)),1000000))</f>
        <v/>
      </c>
      <c r="ACW34">
        <f>IF($B34=0,1000000,IF(INDEX('計算A'!$D$60:$II$104,$B34,195)*KI34=1,IF(AND($E34=2,TP34=0),1000000,INDEX('計算A'!GP$110:GP$114,$F34+1)+IF(AND($E34=1,TP34=0),1000,0)),1000000))</f>
        <v/>
      </c>
      <c r="ACX34">
        <f>IF($B34=0,1000000,IF(INDEX('計算A'!$D$60:$II$104,$B34,196)*KJ34=1,IF(AND($E34=2,TQ34=0),1000000,INDEX('計算A'!GQ$110:GQ$114,$F34+1)+IF(AND($E34=1,TQ34=0),1000,0)),1000000))</f>
        <v/>
      </c>
      <c r="ACY34">
        <f>IF($B34=0,1000000,IF(INDEX('計算A'!$D$60:$II$104,$B34,197)*KK34=1,IF(AND($E34=2,TR34=0),1000000,INDEX('計算A'!GR$110:GR$114,$F34+1)+IF(AND($E34=1,TR34=0),1000,0)),1000000))</f>
        <v/>
      </c>
      <c r="ACZ34">
        <f>IF($B34=0,1000000,IF(INDEX('計算A'!$D$60:$II$104,$B34,198)*KL34=1,IF(AND($E34=2,TS34=0),1000000,INDEX('計算A'!GS$110:GS$114,$F34+1)+IF(AND($E34=1,TS34=0),1000,0)),1000000))</f>
        <v/>
      </c>
      <c r="ADA34">
        <f>IF($B34=0,1000000,IF(INDEX('計算A'!$D$60:$II$104,$B34,199)*KM34=1,IF(AND($E34=2,TT34=0),1000000,INDEX('計算A'!GT$110:GT$114,$F34+1)+IF(AND($E34=1,TT34=0),1000,0)),1000000))</f>
        <v/>
      </c>
      <c r="ADB34">
        <f>IF($B34=0,1000000,IF(INDEX('計算A'!$D$60:$II$104,$B34,200)*KN34=1,IF(AND($E34=2,TU34=0),1000000,INDEX('計算A'!GU$110:GU$114,$F34+1)+IF(AND($E34=1,TU34=0),1000,0)),1000000))</f>
        <v/>
      </c>
      <c r="ADC34">
        <f>IF($B34=0,1000000,IF(INDEX('計算A'!$D$60:$II$104,$B34,201)*KO34=1,IF(AND($E34=2,TV34=0),1000000,INDEX('計算A'!GV$110:GV$114,$F34+1)+IF(AND($E34=1,TV34=0),1000,0)),1000000))</f>
        <v/>
      </c>
      <c r="ADD34">
        <f>IF($B34=0,1000000,IF(INDEX('計算A'!$D$60:$II$104,$B34,202)*KP34=1,IF(AND($E34=2,TW34=0),1000000,INDEX('計算A'!GW$110:GW$114,$F34+1)+IF(AND($E34=1,TW34=0),1000,0)),1000000))</f>
        <v/>
      </c>
      <c r="ADE34">
        <f>IF($B34=0,1000000,IF(INDEX('計算A'!$D$60:$II$104,$B34,203)*KQ34=1,IF(AND($E34=2,TX34=0),1000000,INDEX('計算A'!GX$110:GX$114,$F34+1)+IF(AND($E34=1,TX34=0),1000,0)),1000000))</f>
        <v/>
      </c>
      <c r="ADF34">
        <f>IF($B34=0,1000000,IF(INDEX('計算A'!$D$60:$II$104,$B34,204)*KR34=1,IF(AND($E34=2,TY34=0),1000000,INDEX('計算A'!GY$110:GY$114,$F34+1)+IF(AND($E34=1,TY34=0),1000,0)),1000000))</f>
        <v/>
      </c>
      <c r="ADG34">
        <f>IF($B34=0,1000000,IF(INDEX('計算A'!$D$60:$II$104,$B34,205)*KS34=1,IF(AND($E34=2,TZ34=0),1000000,INDEX('計算A'!GZ$110:GZ$114,$F34+1)+IF(AND($E34=1,TZ34=0),1000,0)),1000000))</f>
        <v/>
      </c>
      <c r="ADH34">
        <f>IF($B34=0,1000000,IF(INDEX('計算A'!$D$60:$II$104,$B34,206)*KT34=1,IF(AND($E34=2,UA34=0),1000000,INDEX('計算A'!HA$110:HA$114,$F34+1)+IF(AND($E34=1,UA34=0),1000,0)),1000000))</f>
        <v/>
      </c>
      <c r="ADI34">
        <f>IF($B34=0,1000000,IF(INDEX('計算A'!$D$60:$II$104,$B34,207)*KU34=1,IF(AND($E34=2,UB34=0),1000000,INDEX('計算A'!HB$110:HB$114,$F34+1)+IF(AND($E34=1,UB34=0),1000,0)),1000000))</f>
        <v/>
      </c>
      <c r="ADJ34">
        <f>IF($B34=0,1000000,IF(INDEX('計算A'!$D$60:$II$104,$B34,208)*KV34=1,IF(AND($E34=2,UC34=0),1000000,INDEX('計算A'!HC$110:HC$114,$F34+1)+IF(AND($E34=1,UC34=0),1000,0)),1000000))</f>
        <v/>
      </c>
      <c r="ADK34">
        <f>IF($B34=0,1000000,IF(INDEX('計算A'!$D$60:$II$104,$B34,209)*KW34=1,IF(AND($E34=2,UD34=0),1000000,INDEX('計算A'!HD$110:HD$114,$F34+1)+IF(AND($E34=1,UD34=0),1000,0)),1000000))</f>
        <v/>
      </c>
      <c r="ADL34">
        <f>IF($B34=0,1000000,IF(INDEX('計算A'!$D$60:$II$104,$B34,210)*KX34=1,IF(AND($E34=2,UE34=0),1000000,INDEX('計算A'!HE$110:HE$114,$F34+1)+IF(AND($E34=1,UE34=0),1000,0)),1000000))</f>
        <v/>
      </c>
      <c r="ADM34">
        <f>IF($B34=0,1000000,IF(INDEX('計算A'!$D$60:$II$104,$B34,211)*KY34=1,IF(AND($E34=2,UF34=0),1000000,INDEX('計算A'!HF$110:HF$114,$F34+1)+IF(AND($E34=1,UF34=0),1000,0)),1000000))</f>
        <v/>
      </c>
      <c r="ADN34">
        <f>IF($B34=0,1000000,IF(INDEX('計算A'!$D$60:$II$104,$B34,212)*KZ34=1,IF(AND($E34=2,UG34=0),1000000,INDEX('計算A'!HG$110:HG$114,$F34+1)+IF(AND($E34=1,UG34=0),1000,0)),1000000))</f>
        <v/>
      </c>
      <c r="ADO34">
        <f>IF($B34=0,1000000,IF(INDEX('計算A'!$D$60:$II$104,$B34,213)*LA34=1,IF(AND($E34=2,UH34=0),1000000,INDEX('計算A'!HH$110:HH$114,$F34+1)+IF(AND($E34=1,UH34=0),1000,0)),1000000))</f>
        <v/>
      </c>
      <c r="ADP34">
        <f>IF($B34=0,1000000,IF(INDEX('計算A'!$D$60:$II$104,$B34,214)*LB34=1,IF(AND($E34=2,UI34=0),1000000,INDEX('計算A'!HI$110:HI$114,$F34+1)+IF(AND($E34=1,UI34=0),1000,0)),1000000))</f>
        <v/>
      </c>
      <c r="ADQ34">
        <f>IF($B34=0,1000000,IF(INDEX('計算A'!$D$60:$II$104,$B34,215)*LC34=1,IF(AND($E34=2,UJ34=0),1000000,INDEX('計算A'!HJ$110:HJ$114,$F34+1)+IF(AND($E34=1,UJ34=0),1000,0)),1000000))</f>
        <v/>
      </c>
      <c r="ADR34">
        <f>IF($B34=0,1000000,IF(INDEX('計算A'!$D$60:$II$104,$B34,216)*LD34=1,IF(AND($E34=2,UK34=0),1000000,INDEX('計算A'!HK$110:HK$114,$F34+1)+IF(AND($E34=1,UK34=0),1000,0)),1000000))</f>
        <v/>
      </c>
      <c r="ADS34">
        <f>IF($B34=0,1000000,IF(INDEX('計算A'!$D$60:$II$104,$B34,217)*LE34=1,IF(AND($E34=2,UL34=0),1000000,INDEX('計算A'!HL$110:HL$114,$F34+1)+IF(AND($E34=1,UL34=0),1000,0)),1000000))</f>
        <v/>
      </c>
      <c r="ADT34">
        <f>IF($B34=0,1000000,IF(INDEX('計算A'!$D$60:$II$104,$B34,218)*LF34=1,IF(AND($E34=2,UM34=0),1000000,INDEX('計算A'!HM$110:HM$114,$F34+1)+IF(AND($E34=1,UM34=0),1000,0)),1000000))</f>
        <v/>
      </c>
      <c r="ADU34">
        <f>IF($B34=0,1000000,IF(INDEX('計算A'!$D$60:$II$104,$B34,219)*LG34=1,IF(AND($E34=2,UN34=0),1000000,INDEX('計算A'!HN$110:HN$114,$F34+1)+IF(AND($E34=1,UN34=0),1000,0)),1000000))</f>
        <v/>
      </c>
      <c r="ADV34">
        <f>IF($B34=0,1000000,IF(INDEX('計算A'!$D$60:$II$104,$B34,220)*LH34=1,IF(AND($E34=2,UO34=0),1000000,INDEX('計算A'!HO$110:HO$114,$F34+1)+IF(AND($E34=1,UO34=0),1000,0)),1000000))</f>
        <v/>
      </c>
      <c r="ADW34">
        <f>IF($B34=0,1000000,IF(INDEX('計算A'!$D$60:$II$104,$B34,221)*LI34=1,IF(AND($E34=2,UP34=0),1000000,INDEX('計算A'!HP$110:HP$114,$F34+1)+IF(AND($E34=1,UP34=0),1000,0)),1000000))</f>
        <v/>
      </c>
      <c r="ADX34">
        <f>IF($B34=0,1000000,IF(INDEX('計算A'!$D$60:$II$104,$B34,222)*LJ34=1,IF(AND($E34=2,UQ34=0),1000000,INDEX('計算A'!HQ$110:HQ$114,$F34+1)+IF(AND($E34=1,UQ34=0),1000,0)),1000000))</f>
        <v/>
      </c>
      <c r="ADY34">
        <f>IF($B34=0,1000000,IF(INDEX('計算A'!$D$60:$II$104,$B34,223)*LK34=1,IF(AND($E34=2,UR34=0),1000000,INDEX('計算A'!HR$110:HR$114,$F34+1)+IF(AND($E34=1,UR34=0),1000,0)),1000000))</f>
        <v/>
      </c>
      <c r="ADZ34">
        <f>IF($B34=0,1000000,IF(INDEX('計算A'!$D$60:$II$104,$B34,224)*LL34=1,IF(AND($E34=2,US34=0),1000000,INDEX('計算A'!HS$110:HS$114,$F34+1)+IF(AND($E34=1,US34=0),1000,0)),1000000))</f>
        <v/>
      </c>
      <c r="AEA34">
        <f>IF($B34=0,1000000,IF(INDEX('計算A'!$D$60:$II$104,$B34,225)*LM34=1,IF(AND($E34=2,UT34=0),1000000,INDEX('計算A'!HT$110:HT$114,$F34+1)+IF(AND($E34=1,UT34=0),1000,0)),1000000))</f>
        <v/>
      </c>
      <c r="AEB34">
        <f>IF($B34=0,1000000,IF(INDEX('計算A'!$D$60:$II$104,$B34,226)*LN34=1,IF(AND($E34=2,UU34=0),1000000,INDEX('計算A'!HU$110:HU$114,$F34+1)+IF(AND($E34=1,UU34=0),1000,0)),1000000))</f>
        <v/>
      </c>
      <c r="AEC34">
        <f>IF($B34=0,1000000,IF(INDEX('計算A'!$D$60:$II$104,$B34,227)*LO34=1,IF(AND($E34=2,UV34=0),1000000,INDEX('計算A'!HV$110:HV$114,$F34+1)+IF(AND($E34=1,UV34=0),1000,0)),1000000))</f>
        <v/>
      </c>
      <c r="AED34">
        <f>IF($B34=0,1000000,IF(INDEX('計算A'!$D$60:$II$104,$B34,228)*LP34=1,IF(AND($E34=2,UW34=0),1000000,INDEX('計算A'!HW$110:HW$114,$F34+1)+IF(AND($E34=1,UW34=0),1000,0)),1000000))</f>
        <v/>
      </c>
      <c r="AEE34">
        <f>IF($B34=0,1000000,IF(INDEX('計算A'!$D$60:$II$104,$B34,229)*LQ34=1,IF(AND($E34=2,UX34=0),1000000,INDEX('計算A'!HX$110:HX$114,$F34+1)+IF(AND($E34=1,UX34=0),1000,0)),1000000))</f>
        <v/>
      </c>
      <c r="AEF34">
        <f>IF($B34=0,1000000,IF(INDEX('計算A'!$D$60:$II$104,$B34,230)*LR34=1,IF(AND($E34=2,UY34=0),1000000,INDEX('計算A'!HY$110:HY$114,$F34+1)+IF(AND($E34=1,UY34=0),1000,0)),1000000))</f>
        <v/>
      </c>
      <c r="AEG34">
        <f>IF($B34=0,1000000,IF(INDEX('計算A'!$D$60:$II$104,$B34,231)*LS34=1,IF(AND($E34=2,UZ34=0),1000000,INDEX('計算A'!HZ$110:HZ$114,$F34+1)+IF(AND($E34=1,UZ34=0),1000,0)),1000000))</f>
        <v/>
      </c>
      <c r="AEH34">
        <f>IF($B34=0,1000000,IF(INDEX('計算A'!$D$60:$II$104,$B34,232)*LT34=1,IF(AND($E34=2,VA34=0),1000000,INDEX('計算A'!IA$110:IA$114,$F34+1)+IF(AND($E34=1,VA34=0),1000,0)),1000000))</f>
        <v/>
      </c>
      <c r="AEI34">
        <f>IF($B34=0,1000000,IF(INDEX('計算A'!$D$60:$II$104,$B34,233)*LU34=1,IF(AND($E34=2,VB34=0),1000000,INDEX('計算A'!IB$110:IB$114,$F34+1)+IF(AND($E34=1,VB34=0),1000,0)),1000000))</f>
        <v/>
      </c>
      <c r="AEJ34">
        <f>IF($B34=0,1000000,IF(INDEX('計算A'!$D$60:$II$104,$B34,234)*LV34=1,IF(AND($E34=2,VC34=0),1000000,INDEX('計算A'!IC$110:IC$114,$F34+1)+IF(AND($E34=1,VC34=0),1000,0)),1000000))</f>
        <v/>
      </c>
      <c r="AEK34">
        <f>IF($B34=0,1000000,IF(INDEX('計算A'!$D$60:$II$104,$B34,235)*LW34=1,IF(AND($E34=2,VD34=0),1000000,INDEX('計算A'!ID$110:ID$114,$F34+1)+IF(AND($E34=1,VD34=0),1000,0)),1000000))</f>
        <v/>
      </c>
      <c r="AEL34">
        <f>IF($B34=0,1000000,IF(INDEX('計算A'!$D$60:$II$104,$B34,236)*LX34=1,IF(AND($E34=2,VE34=0),1000000,INDEX('計算A'!IE$110:IE$114,$F34+1)+IF(AND($E34=1,VE34=0),1000,0)),1000000))</f>
        <v/>
      </c>
      <c r="AEM34">
        <f>IF($B34=0,1000000,IF(INDEX('計算A'!$D$60:$II$104,$B34,237)*LY34=1,IF(AND($E34=2,VF34=0),1000000,INDEX('計算A'!IF$110:IF$114,$F34+1)+IF(AND($E34=1,VF34=0),1000,0)),1000000))</f>
        <v/>
      </c>
      <c r="AEN34">
        <f>IF($B34=0,1000000,IF(INDEX('計算A'!$D$60:$II$104,$B34,238)*LZ34=1,IF(AND($E34=2,VG34=0),1000000,INDEX('計算A'!IG$110:IG$114,$F34+1)+IF(AND($E34=1,VG34=0),1000,0)),1000000))</f>
        <v/>
      </c>
      <c r="AEO34">
        <f>IF($B34=0,1000000,IF(INDEX('計算A'!$D$60:$II$104,$B34,239)*MA34=1,IF(AND($E34=2,VH34=0),1000000,INDEX('計算A'!IH$110:IH$114,$F34+1)+IF(AND($E34=1,VH34=0),1000,0)),1000000))</f>
        <v/>
      </c>
      <c r="AEP34">
        <f>IF($B34=0,1000000,IF(INDEX('計算A'!$D$60:$II$104,$B34,240)*MB34=1,IF(AND($E34=2,VI34=0),1000000,INDEX('計算A'!II$110:II$114,$F34+1)+IF(AND($E34=1,VI34=0),1000,0)),1000000))</f>
        <v/>
      </c>
    </row>
    <row r="35">
      <c r="A35" t="n">
        <v>33</v>
      </c>
      <c r="B35">
        <f>IF(MIN(BC35:CU35)&gt;=1000000,0,MATCH(MIN(BC35:CU35),BC35:CU35,0))</f>
        <v/>
      </c>
      <c r="C35">
        <f>IF(MIN(VK35:AEP35)&gt;=1000000,0,MATCH(MIN(VK35:AEP35),VK35:AEP35,0))</f>
        <v/>
      </c>
      <c r="D35">
        <f>IF(C35&gt;0,INDEX('計算A'!$D$5:$II$5,C35),0)</f>
        <v/>
      </c>
      <c r="E35">
        <f>IF(B35=0,0,INDEX('計算A'!$IQ$10:$IQ$54,B35))</f>
        <v/>
      </c>
      <c r="F35">
        <f>IF(B35=0,0,INDEX('計算A'!$IP$10:$IP$54,B35))</f>
        <v/>
      </c>
      <c r="G35">
        <f>IF(AND(C35&gt;0,E35&gt;0),IF(AND(INDEX('計算A'!$D$106:$II$106,C35)=1,INDEX($MD35:$VI35,C35)=1),C35+1,0),0)</f>
        <v/>
      </c>
      <c r="I35">
        <f>MAX(I34,IF($B34=1,1,0))</f>
        <v/>
      </c>
      <c r="J35">
        <f>MAX(J34,IF($B34=2,1,0))</f>
        <v/>
      </c>
      <c r="K35">
        <f>MAX(K34,IF($B34=3,1,0))</f>
        <v/>
      </c>
      <c r="L35">
        <f>MAX(L34,IF($B34=4,1,0))</f>
        <v/>
      </c>
      <c r="M35">
        <f>MAX(M34,IF($B34=5,1,0))</f>
        <v/>
      </c>
      <c r="N35">
        <f>MAX(N34,IF($B34=6,1,0))</f>
        <v/>
      </c>
      <c r="O35">
        <f>MAX(O34,IF($B34=7,1,0))</f>
        <v/>
      </c>
      <c r="P35">
        <f>MAX(P34,IF($B34=8,1,0))</f>
        <v/>
      </c>
      <c r="Q35">
        <f>MAX(Q34,IF($B34=9,1,0))</f>
        <v/>
      </c>
      <c r="R35">
        <f>MAX(R34,IF($B34=10,1,0))</f>
        <v/>
      </c>
      <c r="S35">
        <f>MAX(S34,IF($B34=11,1,0))</f>
        <v/>
      </c>
      <c r="T35">
        <f>MAX(T34,IF($B34=12,1,0))</f>
        <v/>
      </c>
      <c r="U35">
        <f>MAX(U34,IF($B34=13,1,0))</f>
        <v/>
      </c>
      <c r="V35">
        <f>MAX(V34,IF($B34=14,1,0))</f>
        <v/>
      </c>
      <c r="W35">
        <f>MAX(W34,IF($B34=15,1,0))</f>
        <v/>
      </c>
      <c r="X35">
        <f>MAX(X34,IF($B34=16,1,0))</f>
        <v/>
      </c>
      <c r="Y35">
        <f>MAX(Y34,IF($B34=17,1,0))</f>
        <v/>
      </c>
      <c r="Z35">
        <f>MAX(Z34,IF($B34=18,1,0))</f>
        <v/>
      </c>
      <c r="AA35">
        <f>MAX(AA34,IF($B34=19,1,0))</f>
        <v/>
      </c>
      <c r="AB35">
        <f>MAX(AB34,IF($B34=20,1,0))</f>
        <v/>
      </c>
      <c r="AC35">
        <f>MAX(AC34,IF($B34=21,1,0))</f>
        <v/>
      </c>
      <c r="AD35">
        <f>MAX(AD34,IF($B34=22,1,0))</f>
        <v/>
      </c>
      <c r="AE35">
        <f>MAX(AE34,IF($B34=23,1,0))</f>
        <v/>
      </c>
      <c r="AF35">
        <f>MAX(AF34,IF($B34=24,1,0))</f>
        <v/>
      </c>
      <c r="AG35">
        <f>MAX(AG34,IF($B34=25,1,0))</f>
        <v/>
      </c>
      <c r="AH35">
        <f>MAX(AH34,IF($B34=26,1,0))</f>
        <v/>
      </c>
      <c r="AI35">
        <f>MAX(AI34,IF($B34=27,1,0))</f>
        <v/>
      </c>
      <c r="AJ35">
        <f>MAX(AJ34,IF($B34=28,1,0))</f>
        <v/>
      </c>
      <c r="AK35">
        <f>MAX(AK34,IF($B34=29,1,0))</f>
        <v/>
      </c>
      <c r="AL35">
        <f>MAX(AL34,IF($B34=30,1,0))</f>
        <v/>
      </c>
      <c r="AM35">
        <f>MAX(AM34,IF($B34=31,1,0))</f>
        <v/>
      </c>
      <c r="AN35">
        <f>MAX(AN34,IF($B34=32,1,0))</f>
        <v/>
      </c>
      <c r="AO35">
        <f>MAX(AO34,IF($B34=33,1,0))</f>
        <v/>
      </c>
      <c r="AP35">
        <f>MAX(AP34,IF($B34=34,1,0))</f>
        <v/>
      </c>
      <c r="AQ35">
        <f>MAX(AQ34,IF($B34=35,1,0))</f>
        <v/>
      </c>
      <c r="AR35">
        <f>MAX(AR34,IF($B34=36,1,0))</f>
        <v/>
      </c>
      <c r="AS35">
        <f>MAX(AS34,IF($B34=37,1,0))</f>
        <v/>
      </c>
      <c r="AT35">
        <f>MAX(AT34,IF($B34=38,1,0))</f>
        <v/>
      </c>
      <c r="AU35">
        <f>MAX(AU34,IF($B34=39,1,0))</f>
        <v/>
      </c>
      <c r="AV35">
        <f>MAX(AV34,IF($B34=40,1,0))</f>
        <v/>
      </c>
      <c r="AW35">
        <f>MAX(AW34,IF($B34=41,1,0))</f>
        <v/>
      </c>
      <c r="AX35">
        <f>MAX(AX34,IF($B34=42,1,0))</f>
        <v/>
      </c>
      <c r="AY35">
        <f>MAX(AY34,IF($B34=43,1,0))</f>
        <v/>
      </c>
      <c r="AZ35">
        <f>MAX(AZ34,IF($B34=44,1,0))</f>
        <v/>
      </c>
      <c r="BA35">
        <f>MAX(BA34,IF($B34=45,1,0))</f>
        <v/>
      </c>
      <c r="BC35">
        <f>IF(I35=1,1000000,IF('計算A'!$IQ$10=2,SUMPRODUCT('計算A'!$D$60:$II$60,$CW35:$MB35,$MD35:$VI35),SUMPRODUCT('計算A'!$D$60:$II$60,$CW35:$MB35))*1000+1)</f>
        <v/>
      </c>
      <c r="BD35">
        <f>IF(J35=1,1000000,IF('計算A'!$IQ$11=2,SUMPRODUCT('計算A'!$D$61:$II$61,$CW35:$MB35,$MD35:$VI35),SUMPRODUCT('計算A'!$D$61:$II$61,$CW35:$MB35))*1000+2)</f>
        <v/>
      </c>
      <c r="BE35">
        <f>IF(K35=1,1000000,IF('計算A'!$IQ$12=2,SUMPRODUCT('計算A'!$D$62:$II$62,$CW35:$MB35,$MD35:$VI35),SUMPRODUCT('計算A'!$D$62:$II$62,$CW35:$MB35))*1000+3)</f>
        <v/>
      </c>
      <c r="BF35">
        <f>IF(L35=1,1000000,IF('計算A'!$IQ$13=2,SUMPRODUCT('計算A'!$D$63:$II$63,$CW35:$MB35,$MD35:$VI35),SUMPRODUCT('計算A'!$D$63:$II$63,$CW35:$MB35))*1000+4)</f>
        <v/>
      </c>
      <c r="BG35">
        <f>IF(M35=1,1000000,IF('計算A'!$IQ$14=2,SUMPRODUCT('計算A'!$D$64:$II$64,$CW35:$MB35,$MD35:$VI35),SUMPRODUCT('計算A'!$D$64:$II$64,$CW35:$MB35))*1000+5)</f>
        <v/>
      </c>
      <c r="BH35">
        <f>IF(N35=1,1000000,IF('計算A'!$IQ$15=2,SUMPRODUCT('計算A'!$D$65:$II$65,$CW35:$MB35,$MD35:$VI35),SUMPRODUCT('計算A'!$D$65:$II$65,$CW35:$MB35))*1000+6)</f>
        <v/>
      </c>
      <c r="BI35">
        <f>IF(O35=1,1000000,IF('計算A'!$IQ$16=2,SUMPRODUCT('計算A'!$D$66:$II$66,$CW35:$MB35,$MD35:$VI35),SUMPRODUCT('計算A'!$D$66:$II$66,$CW35:$MB35))*1000+7)</f>
        <v/>
      </c>
      <c r="BJ35">
        <f>IF(P35=1,1000000,IF('計算A'!$IQ$17=2,SUMPRODUCT('計算A'!$D$67:$II$67,$CW35:$MB35,$MD35:$VI35),SUMPRODUCT('計算A'!$D$67:$II$67,$CW35:$MB35))*1000+8)</f>
        <v/>
      </c>
      <c r="BK35">
        <f>IF(Q35=1,1000000,IF('計算A'!$IQ$18=2,SUMPRODUCT('計算A'!$D$68:$II$68,$CW35:$MB35,$MD35:$VI35),SUMPRODUCT('計算A'!$D$68:$II$68,$CW35:$MB35))*1000+9)</f>
        <v/>
      </c>
      <c r="BL35">
        <f>IF(R35=1,1000000,IF('計算A'!$IQ$19=2,SUMPRODUCT('計算A'!$D$69:$II$69,$CW35:$MB35,$MD35:$VI35),SUMPRODUCT('計算A'!$D$69:$II$69,$CW35:$MB35))*1000+10)</f>
        <v/>
      </c>
      <c r="BM35">
        <f>IF(S35=1,1000000,IF('計算A'!$IQ$20=2,SUMPRODUCT('計算A'!$D$70:$II$70,$CW35:$MB35,$MD35:$VI35),SUMPRODUCT('計算A'!$D$70:$II$70,$CW35:$MB35))*1000+11)</f>
        <v/>
      </c>
      <c r="BN35">
        <f>IF(T35=1,1000000,IF('計算A'!$IQ$21=2,SUMPRODUCT('計算A'!$D$71:$II$71,$CW35:$MB35,$MD35:$VI35),SUMPRODUCT('計算A'!$D$71:$II$71,$CW35:$MB35))*1000+12)</f>
        <v/>
      </c>
      <c r="BO35">
        <f>IF(U35=1,1000000,IF('計算A'!$IQ$22=2,SUMPRODUCT('計算A'!$D$72:$II$72,$CW35:$MB35,$MD35:$VI35),SUMPRODUCT('計算A'!$D$72:$II$72,$CW35:$MB35))*1000+13)</f>
        <v/>
      </c>
      <c r="BP35">
        <f>IF(V35=1,1000000,IF('計算A'!$IQ$23=2,SUMPRODUCT('計算A'!$D$73:$II$73,$CW35:$MB35,$MD35:$VI35),SUMPRODUCT('計算A'!$D$73:$II$73,$CW35:$MB35))*1000+14)</f>
        <v/>
      </c>
      <c r="BQ35">
        <f>IF(W35=1,1000000,IF('計算A'!$IQ$24=2,SUMPRODUCT('計算A'!$D$74:$II$74,$CW35:$MB35,$MD35:$VI35),SUMPRODUCT('計算A'!$D$74:$II$74,$CW35:$MB35))*1000+15)</f>
        <v/>
      </c>
      <c r="BR35">
        <f>IF(X35=1,1000000,IF('計算A'!$IQ$25=2,SUMPRODUCT('計算A'!$D$75:$II$75,$CW35:$MB35,$MD35:$VI35),SUMPRODUCT('計算A'!$D$75:$II$75,$CW35:$MB35))*1000+16)</f>
        <v/>
      </c>
      <c r="BS35">
        <f>IF(Y35=1,1000000,IF('計算A'!$IQ$26=2,SUMPRODUCT('計算A'!$D$76:$II$76,$CW35:$MB35,$MD35:$VI35),SUMPRODUCT('計算A'!$D$76:$II$76,$CW35:$MB35))*1000+17)</f>
        <v/>
      </c>
      <c r="BT35">
        <f>IF(Z35=1,1000000,IF('計算A'!$IQ$27=2,SUMPRODUCT('計算A'!$D$77:$II$77,$CW35:$MB35,$MD35:$VI35),SUMPRODUCT('計算A'!$D$77:$II$77,$CW35:$MB35))*1000+18)</f>
        <v/>
      </c>
      <c r="BU35">
        <f>IF(AA35=1,1000000,IF('計算A'!$IQ$28=2,SUMPRODUCT('計算A'!$D$78:$II$78,$CW35:$MB35,$MD35:$VI35),SUMPRODUCT('計算A'!$D$78:$II$78,$CW35:$MB35))*1000+19)</f>
        <v/>
      </c>
      <c r="BV35">
        <f>IF(AB35=1,1000000,IF('計算A'!$IQ$29=2,SUMPRODUCT('計算A'!$D$79:$II$79,$CW35:$MB35,$MD35:$VI35),SUMPRODUCT('計算A'!$D$79:$II$79,$CW35:$MB35))*1000+20)</f>
        <v/>
      </c>
      <c r="BW35">
        <f>IF(AC35=1,1000000,IF('計算A'!$IQ$30=2,SUMPRODUCT('計算A'!$D$80:$II$80,$CW35:$MB35,$MD35:$VI35),SUMPRODUCT('計算A'!$D$80:$II$80,$CW35:$MB35))*1000+21)</f>
        <v/>
      </c>
      <c r="BX35">
        <f>IF(AD35=1,1000000,IF('計算A'!$IQ$31=2,SUMPRODUCT('計算A'!$D$81:$II$81,$CW35:$MB35,$MD35:$VI35),SUMPRODUCT('計算A'!$D$81:$II$81,$CW35:$MB35))*1000+22)</f>
        <v/>
      </c>
      <c r="BY35">
        <f>IF(AE35=1,1000000,IF('計算A'!$IQ$32=2,SUMPRODUCT('計算A'!$D$82:$II$82,$CW35:$MB35,$MD35:$VI35),SUMPRODUCT('計算A'!$D$82:$II$82,$CW35:$MB35))*1000+23)</f>
        <v/>
      </c>
      <c r="BZ35">
        <f>IF(AF35=1,1000000,IF('計算A'!$IQ$33=2,SUMPRODUCT('計算A'!$D$83:$II$83,$CW35:$MB35,$MD35:$VI35),SUMPRODUCT('計算A'!$D$83:$II$83,$CW35:$MB35))*1000+24)</f>
        <v/>
      </c>
      <c r="CA35">
        <f>IF(AG35=1,1000000,IF('計算A'!$IQ$34=2,SUMPRODUCT('計算A'!$D$84:$II$84,$CW35:$MB35,$MD35:$VI35),SUMPRODUCT('計算A'!$D$84:$II$84,$CW35:$MB35))*1000+25)</f>
        <v/>
      </c>
      <c r="CB35">
        <f>IF(AH35=1,1000000,IF('計算A'!$IQ$35=2,SUMPRODUCT('計算A'!$D$85:$II$85,$CW35:$MB35,$MD35:$VI35),SUMPRODUCT('計算A'!$D$85:$II$85,$CW35:$MB35))*1000+26)</f>
        <v/>
      </c>
      <c r="CC35">
        <f>IF(AI35=1,1000000,IF('計算A'!$IQ$36=2,SUMPRODUCT('計算A'!$D$86:$II$86,$CW35:$MB35,$MD35:$VI35),SUMPRODUCT('計算A'!$D$86:$II$86,$CW35:$MB35))*1000+27)</f>
        <v/>
      </c>
      <c r="CD35">
        <f>IF(AJ35=1,1000000,IF('計算A'!$IQ$37=2,SUMPRODUCT('計算A'!$D$87:$II$87,$CW35:$MB35,$MD35:$VI35),SUMPRODUCT('計算A'!$D$87:$II$87,$CW35:$MB35))*1000+28)</f>
        <v/>
      </c>
      <c r="CE35">
        <f>IF(AK35=1,1000000,IF('計算A'!$IQ$38=2,SUMPRODUCT('計算A'!$D$88:$II$88,$CW35:$MB35,$MD35:$VI35),SUMPRODUCT('計算A'!$D$88:$II$88,$CW35:$MB35))*1000+29)</f>
        <v/>
      </c>
      <c r="CF35">
        <f>IF(AL35=1,1000000,IF('計算A'!$IQ$39=2,SUMPRODUCT('計算A'!$D$89:$II$89,$CW35:$MB35,$MD35:$VI35),SUMPRODUCT('計算A'!$D$89:$II$89,$CW35:$MB35))*1000+30)</f>
        <v/>
      </c>
      <c r="CG35">
        <f>IF(AM35=1,1000000,IF('計算A'!$IQ$40=2,SUMPRODUCT('計算A'!$D$90:$II$90,$CW35:$MB35,$MD35:$VI35),SUMPRODUCT('計算A'!$D$90:$II$90,$CW35:$MB35))*1000+31)</f>
        <v/>
      </c>
      <c r="CH35">
        <f>IF(AN35=1,1000000,IF('計算A'!$IQ$41=2,SUMPRODUCT('計算A'!$D$91:$II$91,$CW35:$MB35,$MD35:$VI35),SUMPRODUCT('計算A'!$D$91:$II$91,$CW35:$MB35))*1000+32)</f>
        <v/>
      </c>
      <c r="CI35">
        <f>IF(AO35=1,1000000,IF('計算A'!$IQ$42=2,SUMPRODUCT('計算A'!$D$92:$II$92,$CW35:$MB35,$MD35:$VI35),SUMPRODUCT('計算A'!$D$92:$II$92,$CW35:$MB35))*1000+33)</f>
        <v/>
      </c>
      <c r="CJ35">
        <f>IF(AP35=1,1000000,IF('計算A'!$IQ$43=2,SUMPRODUCT('計算A'!$D$93:$II$93,$CW35:$MB35,$MD35:$VI35),SUMPRODUCT('計算A'!$D$93:$II$93,$CW35:$MB35))*1000+34)</f>
        <v/>
      </c>
      <c r="CK35">
        <f>IF(AQ35=1,1000000,IF('計算A'!$IQ$44=2,SUMPRODUCT('計算A'!$D$94:$II$94,$CW35:$MB35,$MD35:$VI35),SUMPRODUCT('計算A'!$D$94:$II$94,$CW35:$MB35))*1000+35)</f>
        <v/>
      </c>
      <c r="CL35">
        <f>IF(AR35=1,1000000,IF('計算A'!$IQ$45=2,SUMPRODUCT('計算A'!$D$95:$II$95,$CW35:$MB35,$MD35:$VI35),SUMPRODUCT('計算A'!$D$95:$II$95,$CW35:$MB35))*1000+36)</f>
        <v/>
      </c>
      <c r="CM35">
        <f>IF(AS35=1,1000000,IF('計算A'!$IQ$46=2,SUMPRODUCT('計算A'!$D$96:$II$96,$CW35:$MB35,$MD35:$VI35),SUMPRODUCT('計算A'!$D$96:$II$96,$CW35:$MB35))*1000+37)</f>
        <v/>
      </c>
      <c r="CN35">
        <f>IF(AT35=1,1000000,IF('計算A'!$IQ$47=2,SUMPRODUCT('計算A'!$D$97:$II$97,$CW35:$MB35,$MD35:$VI35),SUMPRODUCT('計算A'!$D$97:$II$97,$CW35:$MB35))*1000+38)</f>
        <v/>
      </c>
      <c r="CO35">
        <f>IF(AU35=1,1000000,IF('計算A'!$IQ$48=2,SUMPRODUCT('計算A'!$D$98:$II$98,$CW35:$MB35,$MD35:$VI35),SUMPRODUCT('計算A'!$D$98:$II$98,$CW35:$MB35))*1000+39)</f>
        <v/>
      </c>
      <c r="CP35">
        <f>IF(AV35=1,1000000,IF('計算A'!$IQ$49=2,SUMPRODUCT('計算A'!$D$99:$II$99,$CW35:$MB35,$MD35:$VI35),SUMPRODUCT('計算A'!$D$99:$II$99,$CW35:$MB35))*1000+40)</f>
        <v/>
      </c>
      <c r="CQ35">
        <f>IF(AW35=1,1000000,IF('計算A'!$IQ$50=2,SUMPRODUCT('計算A'!$D$100:$II$100,$CW35:$MB35,$MD35:$VI35),SUMPRODUCT('計算A'!$D$100:$II$100,$CW35:$MB35))*1000+41)</f>
        <v/>
      </c>
      <c r="CR35">
        <f>IF(AX35=1,1000000,IF('計算A'!$IQ$51=2,SUMPRODUCT('計算A'!$D$101:$II$101,$CW35:$MB35,$MD35:$VI35),SUMPRODUCT('計算A'!$D$101:$II$101,$CW35:$MB35))*1000+42)</f>
        <v/>
      </c>
      <c r="CS35">
        <f>IF(AY35=1,1000000,IF('計算A'!$IQ$52=2,SUMPRODUCT('計算A'!$D$102:$II$102,$CW35:$MB35,$MD35:$VI35),SUMPRODUCT('計算A'!$D$102:$II$102,$CW35:$MB35))*1000+43)</f>
        <v/>
      </c>
      <c r="CT35">
        <f>IF(AZ35=1,1000000,IF('計算A'!$IQ$53=2,SUMPRODUCT('計算A'!$D$103:$II$103,$CW35:$MB35,$MD35:$VI35),SUMPRODUCT('計算A'!$D$103:$II$103,$CW35:$MB35))*1000+44)</f>
        <v/>
      </c>
      <c r="CU35">
        <f>IF(BA35=1,1000000,IF('計算A'!$IQ$54=2,SUMPRODUCT('計算A'!$D$104:$II$104,$CW35:$MB35,$MD35:$VI35),SUMPRODUCT('計算A'!$D$104:$II$104,$CW35:$MB35))*1000+45)</f>
        <v/>
      </c>
      <c r="CW35">
        <f>CW34*IF(OR($C34=1,$G34=1),0,1)</f>
        <v/>
      </c>
      <c r="CX35">
        <f>CX34*IF(OR($C34=2,$G34=2),0,1)</f>
        <v/>
      </c>
      <c r="CY35">
        <f>CY34*IF(OR($C34=3,$G34=3),0,1)</f>
        <v/>
      </c>
      <c r="CZ35">
        <f>CZ34*IF(OR($C34=4,$G34=4),0,1)</f>
        <v/>
      </c>
      <c r="DA35">
        <f>DA34*IF(OR($C34=5,$G34=5),0,1)</f>
        <v/>
      </c>
      <c r="DB35">
        <f>DB34*IF(OR($C34=6,$G34=6),0,1)</f>
        <v/>
      </c>
      <c r="DC35">
        <f>DC34*IF(OR($C34=7,$G34=7),0,1)</f>
        <v/>
      </c>
      <c r="DD35">
        <f>DD34*IF(OR($C34=8,$G34=8),0,1)</f>
        <v/>
      </c>
      <c r="DE35">
        <f>DE34*IF(OR($C34=9,$G34=9),0,1)</f>
        <v/>
      </c>
      <c r="DF35">
        <f>DF34*IF(OR($C34=10,$G34=10),0,1)</f>
        <v/>
      </c>
      <c r="DG35">
        <f>DG34*IF(OR($C34=11,$G34=11),0,1)</f>
        <v/>
      </c>
      <c r="DH35">
        <f>DH34*IF(OR($C34=12,$G34=12),0,1)</f>
        <v/>
      </c>
      <c r="DI35">
        <f>DI34*IF(OR($C34=13,$G34=13),0,1)</f>
        <v/>
      </c>
      <c r="DJ35">
        <f>DJ34*IF(OR($C34=14,$G34=14),0,1)</f>
        <v/>
      </c>
      <c r="DK35">
        <f>DK34*IF(OR($C34=15,$G34=15),0,1)</f>
        <v/>
      </c>
      <c r="DL35">
        <f>DL34*IF(OR($C34=16,$G34=16),0,1)</f>
        <v/>
      </c>
      <c r="DM35">
        <f>DM34*IF(OR($C34=17,$G34=17),0,1)</f>
        <v/>
      </c>
      <c r="DN35">
        <f>DN34*IF(OR($C34=18,$G34=18),0,1)</f>
        <v/>
      </c>
      <c r="DO35">
        <f>DO34*IF(OR($C34=19,$G34=19),0,1)</f>
        <v/>
      </c>
      <c r="DP35">
        <f>DP34*IF(OR($C34=20,$G34=20),0,1)</f>
        <v/>
      </c>
      <c r="DQ35">
        <f>DQ34*IF(OR($C34=21,$G34=21),0,1)</f>
        <v/>
      </c>
      <c r="DR35">
        <f>DR34*IF(OR($C34=22,$G34=22),0,1)</f>
        <v/>
      </c>
      <c r="DS35">
        <f>DS34*IF(OR($C34=23,$G34=23),0,1)</f>
        <v/>
      </c>
      <c r="DT35">
        <f>DT34*IF(OR($C34=24,$G34=24),0,1)</f>
        <v/>
      </c>
      <c r="DU35">
        <f>DU34*IF(OR($C34=25,$G34=25),0,1)</f>
        <v/>
      </c>
      <c r="DV35">
        <f>DV34*IF(OR($C34=26,$G34=26),0,1)</f>
        <v/>
      </c>
      <c r="DW35">
        <f>DW34*IF(OR($C34=27,$G34=27),0,1)</f>
        <v/>
      </c>
      <c r="DX35">
        <f>DX34*IF(OR($C34=28,$G34=28),0,1)</f>
        <v/>
      </c>
      <c r="DY35">
        <f>DY34*IF(OR($C34=29,$G34=29),0,1)</f>
        <v/>
      </c>
      <c r="DZ35">
        <f>DZ34*IF(OR($C34=30,$G34=30),0,1)</f>
        <v/>
      </c>
      <c r="EA35">
        <f>EA34*IF(OR($C34=31,$G34=31),0,1)</f>
        <v/>
      </c>
      <c r="EB35">
        <f>EB34*IF(OR($C34=32,$G34=32),0,1)</f>
        <v/>
      </c>
      <c r="EC35">
        <f>EC34*IF(OR($C34=33,$G34=33),0,1)</f>
        <v/>
      </c>
      <c r="ED35">
        <f>ED34*IF(OR($C34=34,$G34=34),0,1)</f>
        <v/>
      </c>
      <c r="EE35">
        <f>EE34*IF(OR($C34=35,$G34=35),0,1)</f>
        <v/>
      </c>
      <c r="EF35">
        <f>EF34*IF(OR($C34=36,$G34=36),0,1)</f>
        <v/>
      </c>
      <c r="EG35">
        <f>EG34*IF(OR($C34=37,$G34=37),0,1)</f>
        <v/>
      </c>
      <c r="EH35">
        <f>EH34*IF(OR($C34=38,$G34=38),0,1)</f>
        <v/>
      </c>
      <c r="EI35">
        <f>EI34*IF(OR($C34=39,$G34=39),0,1)</f>
        <v/>
      </c>
      <c r="EJ35">
        <f>EJ34*IF(OR($C34=40,$G34=40),0,1)</f>
        <v/>
      </c>
      <c r="EK35">
        <f>EK34*IF(OR($C34=41,$G34=41),0,1)</f>
        <v/>
      </c>
      <c r="EL35">
        <f>EL34*IF(OR($C34=42,$G34=42),0,1)</f>
        <v/>
      </c>
      <c r="EM35">
        <f>EM34*IF(OR($C34=43,$G34=43),0,1)</f>
        <v/>
      </c>
      <c r="EN35">
        <f>EN34*IF(OR($C34=44,$G34=44),0,1)</f>
        <v/>
      </c>
      <c r="EO35">
        <f>EO34*IF(OR($C34=45,$G34=45),0,1)</f>
        <v/>
      </c>
      <c r="EP35">
        <f>EP34*IF(OR($C34=46,$G34=46),0,1)</f>
        <v/>
      </c>
      <c r="EQ35">
        <f>EQ34*IF(OR($C34=47,$G34=47),0,1)</f>
        <v/>
      </c>
      <c r="ER35">
        <f>ER34*IF(OR($C34=48,$G34=48),0,1)</f>
        <v/>
      </c>
      <c r="ES35">
        <f>ES34*IF(OR($C34=49,$G34=49),0,1)</f>
        <v/>
      </c>
      <c r="ET35">
        <f>ET34*IF(OR($C34=50,$G34=50),0,1)</f>
        <v/>
      </c>
      <c r="EU35">
        <f>EU34*IF(OR($C34=51,$G34=51),0,1)</f>
        <v/>
      </c>
      <c r="EV35">
        <f>EV34*IF(OR($C34=52,$G34=52),0,1)</f>
        <v/>
      </c>
      <c r="EW35">
        <f>EW34*IF(OR($C34=53,$G34=53),0,1)</f>
        <v/>
      </c>
      <c r="EX35">
        <f>EX34*IF(OR($C34=54,$G34=54),0,1)</f>
        <v/>
      </c>
      <c r="EY35">
        <f>EY34*IF(OR($C34=55,$G34=55),0,1)</f>
        <v/>
      </c>
      <c r="EZ35">
        <f>EZ34*IF(OR($C34=56,$G34=56),0,1)</f>
        <v/>
      </c>
      <c r="FA35">
        <f>FA34*IF(OR($C34=57,$G34=57),0,1)</f>
        <v/>
      </c>
      <c r="FB35">
        <f>FB34*IF(OR($C34=58,$G34=58),0,1)</f>
        <v/>
      </c>
      <c r="FC35">
        <f>FC34*IF(OR($C34=59,$G34=59),0,1)</f>
        <v/>
      </c>
      <c r="FD35">
        <f>FD34*IF(OR($C34=60,$G34=60),0,1)</f>
        <v/>
      </c>
      <c r="FE35">
        <f>FE34*IF(OR($C34=61,$G34=61),0,1)</f>
        <v/>
      </c>
      <c r="FF35">
        <f>FF34*IF(OR($C34=62,$G34=62),0,1)</f>
        <v/>
      </c>
      <c r="FG35">
        <f>FG34*IF(OR($C34=63,$G34=63),0,1)</f>
        <v/>
      </c>
      <c r="FH35">
        <f>FH34*IF(OR($C34=64,$G34=64),0,1)</f>
        <v/>
      </c>
      <c r="FI35">
        <f>FI34*IF(OR($C34=65,$G34=65),0,1)</f>
        <v/>
      </c>
      <c r="FJ35">
        <f>FJ34*IF(OR($C34=66,$G34=66),0,1)</f>
        <v/>
      </c>
      <c r="FK35">
        <f>FK34*IF(OR($C34=67,$G34=67),0,1)</f>
        <v/>
      </c>
      <c r="FL35">
        <f>FL34*IF(OR($C34=68,$G34=68),0,1)</f>
        <v/>
      </c>
      <c r="FM35">
        <f>FM34*IF(OR($C34=69,$G34=69),0,1)</f>
        <v/>
      </c>
      <c r="FN35">
        <f>FN34*IF(OR($C34=70,$G34=70),0,1)</f>
        <v/>
      </c>
      <c r="FO35">
        <f>FO34*IF(OR($C34=71,$G34=71),0,1)</f>
        <v/>
      </c>
      <c r="FP35">
        <f>FP34*IF(OR($C34=72,$G34=72),0,1)</f>
        <v/>
      </c>
      <c r="FQ35">
        <f>FQ34*IF(OR($C34=73,$G34=73),0,1)</f>
        <v/>
      </c>
      <c r="FR35">
        <f>FR34*IF(OR($C34=74,$G34=74),0,1)</f>
        <v/>
      </c>
      <c r="FS35">
        <f>FS34*IF(OR($C34=75,$G34=75),0,1)</f>
        <v/>
      </c>
      <c r="FT35">
        <f>FT34*IF(OR($C34=76,$G34=76),0,1)</f>
        <v/>
      </c>
      <c r="FU35">
        <f>FU34*IF(OR($C34=77,$G34=77),0,1)</f>
        <v/>
      </c>
      <c r="FV35">
        <f>FV34*IF(OR($C34=78,$G34=78),0,1)</f>
        <v/>
      </c>
      <c r="FW35">
        <f>FW34*IF(OR($C34=79,$G34=79),0,1)</f>
        <v/>
      </c>
      <c r="FX35">
        <f>FX34*IF(OR($C34=80,$G34=80),0,1)</f>
        <v/>
      </c>
      <c r="FY35">
        <f>FY34*IF(OR($C34=81,$G34=81),0,1)</f>
        <v/>
      </c>
      <c r="FZ35">
        <f>FZ34*IF(OR($C34=82,$G34=82),0,1)</f>
        <v/>
      </c>
      <c r="GA35">
        <f>GA34*IF(OR($C34=83,$G34=83),0,1)</f>
        <v/>
      </c>
      <c r="GB35">
        <f>GB34*IF(OR($C34=84,$G34=84),0,1)</f>
        <v/>
      </c>
      <c r="GC35">
        <f>GC34*IF(OR($C34=85,$G34=85),0,1)</f>
        <v/>
      </c>
      <c r="GD35">
        <f>GD34*IF(OR($C34=86,$G34=86),0,1)</f>
        <v/>
      </c>
      <c r="GE35">
        <f>GE34*IF(OR($C34=87,$G34=87),0,1)</f>
        <v/>
      </c>
      <c r="GF35">
        <f>GF34*IF(OR($C34=88,$G34=88),0,1)</f>
        <v/>
      </c>
      <c r="GG35">
        <f>GG34*IF(OR($C34=89,$G34=89),0,1)</f>
        <v/>
      </c>
      <c r="GH35">
        <f>GH34*IF(OR($C34=90,$G34=90),0,1)</f>
        <v/>
      </c>
      <c r="GI35">
        <f>GI34*IF(OR($C34=91,$G34=91),0,1)</f>
        <v/>
      </c>
      <c r="GJ35">
        <f>GJ34*IF(OR($C34=92,$G34=92),0,1)</f>
        <v/>
      </c>
      <c r="GK35">
        <f>GK34*IF(OR($C34=93,$G34=93),0,1)</f>
        <v/>
      </c>
      <c r="GL35">
        <f>GL34*IF(OR($C34=94,$G34=94),0,1)</f>
        <v/>
      </c>
      <c r="GM35">
        <f>GM34*IF(OR($C34=95,$G34=95),0,1)</f>
        <v/>
      </c>
      <c r="GN35">
        <f>GN34*IF(OR($C34=96,$G34=96),0,1)</f>
        <v/>
      </c>
      <c r="GO35">
        <f>GO34*IF(OR($C34=97,$G34=97),0,1)</f>
        <v/>
      </c>
      <c r="GP35">
        <f>GP34*IF(OR($C34=98,$G34=98),0,1)</f>
        <v/>
      </c>
      <c r="GQ35">
        <f>GQ34*IF(OR($C34=99,$G34=99),0,1)</f>
        <v/>
      </c>
      <c r="GR35">
        <f>GR34*IF(OR($C34=100,$G34=100),0,1)</f>
        <v/>
      </c>
      <c r="GS35">
        <f>GS34*IF(OR($C34=101,$G34=101),0,1)</f>
        <v/>
      </c>
      <c r="GT35">
        <f>GT34*IF(OR($C34=102,$G34=102),0,1)</f>
        <v/>
      </c>
      <c r="GU35">
        <f>GU34*IF(OR($C34=103,$G34=103),0,1)</f>
        <v/>
      </c>
      <c r="GV35">
        <f>GV34*IF(OR($C34=104,$G34=104),0,1)</f>
        <v/>
      </c>
      <c r="GW35">
        <f>GW34*IF(OR($C34=105,$G34=105),0,1)</f>
        <v/>
      </c>
      <c r="GX35">
        <f>GX34*IF(OR($C34=106,$G34=106),0,1)</f>
        <v/>
      </c>
      <c r="GY35">
        <f>GY34*IF(OR($C34=107,$G34=107),0,1)</f>
        <v/>
      </c>
      <c r="GZ35">
        <f>GZ34*IF(OR($C34=108,$G34=108),0,1)</f>
        <v/>
      </c>
      <c r="HA35">
        <f>HA34*IF(OR($C34=109,$G34=109),0,1)</f>
        <v/>
      </c>
      <c r="HB35">
        <f>HB34*IF(OR($C34=110,$G34=110),0,1)</f>
        <v/>
      </c>
      <c r="HC35">
        <f>HC34*IF(OR($C34=111,$G34=111),0,1)</f>
        <v/>
      </c>
      <c r="HD35">
        <f>HD34*IF(OR($C34=112,$G34=112),0,1)</f>
        <v/>
      </c>
      <c r="HE35">
        <f>HE34*IF(OR($C34=113,$G34=113),0,1)</f>
        <v/>
      </c>
      <c r="HF35">
        <f>HF34*IF(OR($C34=114,$G34=114),0,1)</f>
        <v/>
      </c>
      <c r="HG35">
        <f>HG34*IF(OR($C34=115,$G34=115),0,1)</f>
        <v/>
      </c>
      <c r="HH35">
        <f>HH34*IF(OR($C34=116,$G34=116),0,1)</f>
        <v/>
      </c>
      <c r="HI35">
        <f>HI34*IF(OR($C34=117,$G34=117),0,1)</f>
        <v/>
      </c>
      <c r="HJ35">
        <f>HJ34*IF(OR($C34=118,$G34=118),0,1)</f>
        <v/>
      </c>
      <c r="HK35">
        <f>HK34*IF(OR($C34=119,$G34=119),0,1)</f>
        <v/>
      </c>
      <c r="HL35">
        <f>HL34*IF(OR($C34=120,$G34=120),0,1)</f>
        <v/>
      </c>
      <c r="HM35">
        <f>HM34*IF(OR($C34=121,$G34=121),0,1)</f>
        <v/>
      </c>
      <c r="HN35">
        <f>HN34*IF(OR($C34=122,$G34=122),0,1)</f>
        <v/>
      </c>
      <c r="HO35">
        <f>HO34*IF(OR($C34=123,$G34=123),0,1)</f>
        <v/>
      </c>
      <c r="HP35">
        <f>HP34*IF(OR($C34=124,$G34=124),0,1)</f>
        <v/>
      </c>
      <c r="HQ35">
        <f>HQ34*IF(OR($C34=125,$G34=125),0,1)</f>
        <v/>
      </c>
      <c r="HR35">
        <f>HR34*IF(OR($C34=126,$G34=126),0,1)</f>
        <v/>
      </c>
      <c r="HS35">
        <f>HS34*IF(OR($C34=127,$G34=127),0,1)</f>
        <v/>
      </c>
      <c r="HT35">
        <f>HT34*IF(OR($C34=128,$G34=128),0,1)</f>
        <v/>
      </c>
      <c r="HU35">
        <f>HU34*IF(OR($C34=129,$G34=129),0,1)</f>
        <v/>
      </c>
      <c r="HV35">
        <f>HV34*IF(OR($C34=130,$G34=130),0,1)</f>
        <v/>
      </c>
      <c r="HW35">
        <f>HW34*IF(OR($C34=131,$G34=131),0,1)</f>
        <v/>
      </c>
      <c r="HX35">
        <f>HX34*IF(OR($C34=132,$G34=132),0,1)</f>
        <v/>
      </c>
      <c r="HY35">
        <f>HY34*IF(OR($C34=133,$G34=133),0,1)</f>
        <v/>
      </c>
      <c r="HZ35">
        <f>HZ34*IF(OR($C34=134,$G34=134),0,1)</f>
        <v/>
      </c>
      <c r="IA35">
        <f>IA34*IF(OR($C34=135,$G34=135),0,1)</f>
        <v/>
      </c>
      <c r="IB35">
        <f>IB34*IF(OR($C34=136,$G34=136),0,1)</f>
        <v/>
      </c>
      <c r="IC35">
        <f>IC34*IF(OR($C34=137,$G34=137),0,1)</f>
        <v/>
      </c>
      <c r="ID35">
        <f>ID34*IF(OR($C34=138,$G34=138),0,1)</f>
        <v/>
      </c>
      <c r="IE35">
        <f>IE34*IF(OR($C34=139,$G34=139),0,1)</f>
        <v/>
      </c>
      <c r="IF35">
        <f>IF34*IF(OR($C34=140,$G34=140),0,1)</f>
        <v/>
      </c>
      <c r="IG35">
        <f>IG34*IF(OR($C34=141,$G34=141),0,1)</f>
        <v/>
      </c>
      <c r="IH35">
        <f>IH34*IF(OR($C34=142,$G34=142),0,1)</f>
        <v/>
      </c>
      <c r="II35">
        <f>II34*IF(OR($C34=143,$G34=143),0,1)</f>
        <v/>
      </c>
      <c r="IJ35">
        <f>IJ34*IF(OR($C34=144,$G34=144),0,1)</f>
        <v/>
      </c>
      <c r="IK35">
        <f>IK34*IF(OR($C34=145,$G34=145),0,1)</f>
        <v/>
      </c>
      <c r="IL35">
        <f>IL34*IF(OR($C34=146,$G34=146),0,1)</f>
        <v/>
      </c>
      <c r="IM35">
        <f>IM34*IF(OR($C34=147,$G34=147),0,1)</f>
        <v/>
      </c>
      <c r="IN35">
        <f>IN34*IF(OR($C34=148,$G34=148),0,1)</f>
        <v/>
      </c>
      <c r="IO35">
        <f>IO34*IF(OR($C34=149,$G34=149),0,1)</f>
        <v/>
      </c>
      <c r="IP35">
        <f>IP34*IF(OR($C34=150,$G34=150),0,1)</f>
        <v/>
      </c>
      <c r="IQ35">
        <f>IQ34*IF(OR($C34=151,$G34=151),0,1)</f>
        <v/>
      </c>
      <c r="IR35">
        <f>IR34*IF(OR($C34=152,$G34=152),0,1)</f>
        <v/>
      </c>
      <c r="IS35">
        <f>IS34*IF(OR($C34=153,$G34=153),0,1)</f>
        <v/>
      </c>
      <c r="IT35">
        <f>IT34*IF(OR($C34=154,$G34=154),0,1)</f>
        <v/>
      </c>
      <c r="IU35">
        <f>IU34*IF(OR($C34=155,$G34=155),0,1)</f>
        <v/>
      </c>
      <c r="IV35">
        <f>IV34*IF(OR($C34=156,$G34=156),0,1)</f>
        <v/>
      </c>
      <c r="IW35">
        <f>IW34*IF(OR($C34=157,$G34=157),0,1)</f>
        <v/>
      </c>
      <c r="IX35">
        <f>IX34*IF(OR($C34=158,$G34=158),0,1)</f>
        <v/>
      </c>
      <c r="IY35">
        <f>IY34*IF(OR($C34=159,$G34=159),0,1)</f>
        <v/>
      </c>
      <c r="IZ35">
        <f>IZ34*IF(OR($C34=160,$G34=160),0,1)</f>
        <v/>
      </c>
      <c r="JA35">
        <f>JA34*IF(OR($C34=161,$G34=161),0,1)</f>
        <v/>
      </c>
      <c r="JB35">
        <f>JB34*IF(OR($C34=162,$G34=162),0,1)</f>
        <v/>
      </c>
      <c r="JC35">
        <f>JC34*IF(OR($C34=163,$G34=163),0,1)</f>
        <v/>
      </c>
      <c r="JD35">
        <f>JD34*IF(OR($C34=164,$G34=164),0,1)</f>
        <v/>
      </c>
      <c r="JE35">
        <f>JE34*IF(OR($C34=165,$G34=165),0,1)</f>
        <v/>
      </c>
      <c r="JF35">
        <f>JF34*IF(OR($C34=166,$G34=166),0,1)</f>
        <v/>
      </c>
      <c r="JG35">
        <f>JG34*IF(OR($C34=167,$G34=167),0,1)</f>
        <v/>
      </c>
      <c r="JH35">
        <f>JH34*IF(OR($C34=168,$G34=168),0,1)</f>
        <v/>
      </c>
      <c r="JI35">
        <f>JI34*IF(OR($C34=169,$G34=169),0,1)</f>
        <v/>
      </c>
      <c r="JJ35">
        <f>JJ34*IF(OR($C34=170,$G34=170),0,1)</f>
        <v/>
      </c>
      <c r="JK35">
        <f>JK34*IF(OR($C34=171,$G34=171),0,1)</f>
        <v/>
      </c>
      <c r="JL35">
        <f>JL34*IF(OR($C34=172,$G34=172),0,1)</f>
        <v/>
      </c>
      <c r="JM35">
        <f>JM34*IF(OR($C34=173,$G34=173),0,1)</f>
        <v/>
      </c>
      <c r="JN35">
        <f>JN34*IF(OR($C34=174,$G34=174),0,1)</f>
        <v/>
      </c>
      <c r="JO35">
        <f>JO34*IF(OR($C34=175,$G34=175),0,1)</f>
        <v/>
      </c>
      <c r="JP35">
        <f>JP34*IF(OR($C34=176,$G34=176),0,1)</f>
        <v/>
      </c>
      <c r="JQ35">
        <f>JQ34*IF(OR($C34=177,$G34=177),0,1)</f>
        <v/>
      </c>
      <c r="JR35">
        <f>JR34*IF(OR($C34=178,$G34=178),0,1)</f>
        <v/>
      </c>
      <c r="JS35">
        <f>JS34*IF(OR($C34=179,$G34=179),0,1)</f>
        <v/>
      </c>
      <c r="JT35">
        <f>JT34*IF(OR($C34=180,$G34=180),0,1)</f>
        <v/>
      </c>
      <c r="JU35">
        <f>JU34*IF(OR($C34=181,$G34=181),0,1)</f>
        <v/>
      </c>
      <c r="JV35">
        <f>JV34*IF(OR($C34=182,$G34=182),0,1)</f>
        <v/>
      </c>
      <c r="JW35">
        <f>JW34*IF(OR($C34=183,$G34=183),0,1)</f>
        <v/>
      </c>
      <c r="JX35">
        <f>JX34*IF(OR($C34=184,$G34=184),0,1)</f>
        <v/>
      </c>
      <c r="JY35">
        <f>JY34*IF(OR($C34=185,$G34=185),0,1)</f>
        <v/>
      </c>
      <c r="JZ35">
        <f>JZ34*IF(OR($C34=186,$G34=186),0,1)</f>
        <v/>
      </c>
      <c r="KA35">
        <f>KA34*IF(OR($C34=187,$G34=187),0,1)</f>
        <v/>
      </c>
      <c r="KB35">
        <f>KB34*IF(OR($C34=188,$G34=188),0,1)</f>
        <v/>
      </c>
      <c r="KC35">
        <f>KC34*IF(OR($C34=189,$G34=189),0,1)</f>
        <v/>
      </c>
      <c r="KD35">
        <f>KD34*IF(OR($C34=190,$G34=190),0,1)</f>
        <v/>
      </c>
      <c r="KE35">
        <f>KE34*IF(OR($C34=191,$G34=191),0,1)</f>
        <v/>
      </c>
      <c r="KF35">
        <f>KF34*IF(OR($C34=192,$G34=192),0,1)</f>
        <v/>
      </c>
      <c r="KG35">
        <f>KG34*IF(OR($C34=193,$G34=193),0,1)</f>
        <v/>
      </c>
      <c r="KH35">
        <f>KH34*IF(OR($C34=194,$G34=194),0,1)</f>
        <v/>
      </c>
      <c r="KI35">
        <f>KI34*IF(OR($C34=195,$G34=195),0,1)</f>
        <v/>
      </c>
      <c r="KJ35">
        <f>KJ34*IF(OR($C34=196,$G34=196),0,1)</f>
        <v/>
      </c>
      <c r="KK35">
        <f>KK34*IF(OR($C34=197,$G34=197),0,1)</f>
        <v/>
      </c>
      <c r="KL35">
        <f>KL34*IF(OR($C34=198,$G34=198),0,1)</f>
        <v/>
      </c>
      <c r="KM35">
        <f>KM34*IF(OR($C34=199,$G34=199),0,1)</f>
        <v/>
      </c>
      <c r="KN35">
        <f>KN34*IF(OR($C34=200,$G34=200),0,1)</f>
        <v/>
      </c>
      <c r="KO35">
        <f>KO34*IF(OR($C34=201,$G34=201),0,1)</f>
        <v/>
      </c>
      <c r="KP35">
        <f>KP34*IF(OR($C34=202,$G34=202),0,1)</f>
        <v/>
      </c>
      <c r="KQ35">
        <f>KQ34*IF(OR($C34=203,$G34=203),0,1)</f>
        <v/>
      </c>
      <c r="KR35">
        <f>KR34*IF(OR($C34=204,$G34=204),0,1)</f>
        <v/>
      </c>
      <c r="KS35">
        <f>KS34*IF(OR($C34=205,$G34=205),0,1)</f>
        <v/>
      </c>
      <c r="KT35">
        <f>KT34*IF(OR($C34=206,$G34=206),0,1)</f>
        <v/>
      </c>
      <c r="KU35">
        <f>KU34*IF(OR($C34=207,$G34=207),0,1)</f>
        <v/>
      </c>
      <c r="KV35">
        <f>KV34*IF(OR($C34=208,$G34=208),0,1)</f>
        <v/>
      </c>
      <c r="KW35">
        <f>KW34*IF(OR($C34=209,$G34=209),0,1)</f>
        <v/>
      </c>
      <c r="KX35">
        <f>KX34*IF(OR($C34=210,$G34=210),0,1)</f>
        <v/>
      </c>
      <c r="KY35">
        <f>KY34*IF(OR($C34=211,$G34=211),0,1)</f>
        <v/>
      </c>
      <c r="KZ35">
        <f>KZ34*IF(OR($C34=212,$G34=212),0,1)</f>
        <v/>
      </c>
      <c r="LA35">
        <f>LA34*IF(OR($C34=213,$G34=213),0,1)</f>
        <v/>
      </c>
      <c r="LB35">
        <f>LB34*IF(OR($C34=214,$G34=214),0,1)</f>
        <v/>
      </c>
      <c r="LC35">
        <f>LC34*IF(OR($C34=215,$G34=215),0,1)</f>
        <v/>
      </c>
      <c r="LD35">
        <f>LD34*IF(OR($C34=216,$G34=216),0,1)</f>
        <v/>
      </c>
      <c r="LE35">
        <f>LE34*IF(OR($C34=217,$G34=217),0,1)</f>
        <v/>
      </c>
      <c r="LF35">
        <f>LF34*IF(OR($C34=218,$G34=218),0,1)</f>
        <v/>
      </c>
      <c r="LG35">
        <f>LG34*IF(OR($C34=219,$G34=219),0,1)</f>
        <v/>
      </c>
      <c r="LH35">
        <f>LH34*IF(OR($C34=220,$G34=220),0,1)</f>
        <v/>
      </c>
      <c r="LI35">
        <f>LI34*IF(OR($C34=221,$G34=221),0,1)</f>
        <v/>
      </c>
      <c r="LJ35">
        <f>LJ34*IF(OR($C34=222,$G34=222),0,1)</f>
        <v/>
      </c>
      <c r="LK35">
        <f>LK34*IF(OR($C34=223,$G34=223),0,1)</f>
        <v/>
      </c>
      <c r="LL35">
        <f>LL34*IF(OR($C34=224,$G34=224),0,1)</f>
        <v/>
      </c>
      <c r="LM35">
        <f>LM34*IF(OR($C34=225,$G34=225),0,1)</f>
        <v/>
      </c>
      <c r="LN35">
        <f>LN34*IF(OR($C34=226,$G34=226),0,1)</f>
        <v/>
      </c>
      <c r="LO35">
        <f>LO34*IF(OR($C34=227,$G34=227),0,1)</f>
        <v/>
      </c>
      <c r="LP35">
        <f>LP34*IF(OR($C34=228,$G34=228),0,1)</f>
        <v/>
      </c>
      <c r="LQ35">
        <f>LQ34*IF(OR($C34=229,$G34=229),0,1)</f>
        <v/>
      </c>
      <c r="LR35">
        <f>LR34*IF(OR($C34=230,$G34=230),0,1)</f>
        <v/>
      </c>
      <c r="LS35">
        <f>LS34*IF(OR($C34=231,$G34=231),0,1)</f>
        <v/>
      </c>
      <c r="LT35">
        <f>LT34*IF(OR($C34=232,$G34=232),0,1)</f>
        <v/>
      </c>
      <c r="LU35">
        <f>LU34*IF(OR($C34=233,$G34=233),0,1)</f>
        <v/>
      </c>
      <c r="LV35">
        <f>LV34*IF(OR($C34=234,$G34=234),0,1)</f>
        <v/>
      </c>
      <c r="LW35">
        <f>LW34*IF(OR($C34=235,$G34=235),0,1)</f>
        <v/>
      </c>
      <c r="LX35">
        <f>LX34*IF(OR($C34=236,$G34=236),0,1)</f>
        <v/>
      </c>
      <c r="LY35">
        <f>LY34*IF(OR($C34=237,$G34=237),0,1)</f>
        <v/>
      </c>
      <c r="LZ35">
        <f>LZ34*IF(OR($C34=238,$G34=238),0,1)</f>
        <v/>
      </c>
      <c r="MA35">
        <f>MA34*IF(OR($C34=239,$G34=239),0,1)</f>
        <v/>
      </c>
      <c r="MB35">
        <f>MB34*IF(OR($C34=240,$G34=240),0,1)</f>
        <v/>
      </c>
      <c r="MD35">
        <f>IF('計算A'!D$106=1,CX35,1)</f>
        <v/>
      </c>
      <c r="ME35">
        <f>IF('計算A'!E$106=1,CY35,1)</f>
        <v/>
      </c>
      <c r="MF35">
        <f>IF('計算A'!F$106=1,CZ35,1)</f>
        <v/>
      </c>
      <c r="MG35">
        <f>IF('計算A'!G$106=1,DA35,1)</f>
        <v/>
      </c>
      <c r="MH35">
        <f>IF('計算A'!H$106=1,DB35,1)</f>
        <v/>
      </c>
      <c r="MI35">
        <f>IF('計算A'!I$106=1,DC35,1)</f>
        <v/>
      </c>
      <c r="MJ35">
        <f>IF('計算A'!J$106=1,DD35,1)</f>
        <v/>
      </c>
      <c r="MK35">
        <f>IF('計算A'!K$106=1,DE35,1)</f>
        <v/>
      </c>
      <c r="ML35">
        <f>IF('計算A'!L$106=1,DF35,1)</f>
        <v/>
      </c>
      <c r="MM35">
        <f>IF('計算A'!M$106=1,DG35,1)</f>
        <v/>
      </c>
      <c r="MN35">
        <f>IF('計算A'!N$106=1,DH35,1)</f>
        <v/>
      </c>
      <c r="MO35">
        <f>IF('計算A'!O$106=1,DI35,1)</f>
        <v/>
      </c>
      <c r="MP35">
        <f>IF('計算A'!P$106=1,DJ35,1)</f>
        <v/>
      </c>
      <c r="MQ35">
        <f>IF('計算A'!Q$106=1,DK35,1)</f>
        <v/>
      </c>
      <c r="MR35">
        <f>IF('計算A'!R$106=1,DL35,1)</f>
        <v/>
      </c>
      <c r="MS35">
        <f>IF('計算A'!S$106=1,DM35,1)</f>
        <v/>
      </c>
      <c r="MT35">
        <f>IF('計算A'!T$106=1,DN35,1)</f>
        <v/>
      </c>
      <c r="MU35">
        <f>IF('計算A'!U$106=1,DO35,1)</f>
        <v/>
      </c>
      <c r="MV35">
        <f>IF('計算A'!V$106=1,DP35,1)</f>
        <v/>
      </c>
      <c r="MW35">
        <f>IF('計算A'!W$106=1,DQ35,1)</f>
        <v/>
      </c>
      <c r="MX35">
        <f>IF('計算A'!X$106=1,DR35,1)</f>
        <v/>
      </c>
      <c r="MY35">
        <f>IF('計算A'!Y$106=1,DS35,1)</f>
        <v/>
      </c>
      <c r="MZ35">
        <f>IF('計算A'!Z$106=1,DT35,1)</f>
        <v/>
      </c>
      <c r="NA35">
        <f>IF('計算A'!AA$106=1,DU35,1)</f>
        <v/>
      </c>
      <c r="NB35">
        <f>IF('計算A'!AB$106=1,DV35,1)</f>
        <v/>
      </c>
      <c r="NC35">
        <f>IF('計算A'!AC$106=1,DW35,1)</f>
        <v/>
      </c>
      <c r="ND35">
        <f>IF('計算A'!AD$106=1,DX35,1)</f>
        <v/>
      </c>
      <c r="NE35">
        <f>IF('計算A'!AE$106=1,DY35,1)</f>
        <v/>
      </c>
      <c r="NF35">
        <f>IF('計算A'!AF$106=1,DZ35,1)</f>
        <v/>
      </c>
      <c r="NG35">
        <f>IF('計算A'!AG$106=1,EA35,1)</f>
        <v/>
      </c>
      <c r="NH35">
        <f>IF('計算A'!AH$106=1,EB35,1)</f>
        <v/>
      </c>
      <c r="NI35">
        <f>IF('計算A'!AI$106=1,EC35,1)</f>
        <v/>
      </c>
      <c r="NJ35">
        <f>IF('計算A'!AJ$106=1,ED35,1)</f>
        <v/>
      </c>
      <c r="NK35">
        <f>IF('計算A'!AK$106=1,EE35,1)</f>
        <v/>
      </c>
      <c r="NL35">
        <f>IF('計算A'!AL$106=1,EF35,1)</f>
        <v/>
      </c>
      <c r="NM35">
        <f>IF('計算A'!AM$106=1,EG35,1)</f>
        <v/>
      </c>
      <c r="NN35">
        <f>IF('計算A'!AN$106=1,EH35,1)</f>
        <v/>
      </c>
      <c r="NO35">
        <f>IF('計算A'!AO$106=1,EI35,1)</f>
        <v/>
      </c>
      <c r="NP35">
        <f>IF('計算A'!AP$106=1,EJ35,1)</f>
        <v/>
      </c>
      <c r="NQ35">
        <f>IF('計算A'!AQ$106=1,EK35,1)</f>
        <v/>
      </c>
      <c r="NR35">
        <f>IF('計算A'!AR$106=1,EL35,1)</f>
        <v/>
      </c>
      <c r="NS35">
        <f>IF('計算A'!AS$106=1,EM35,1)</f>
        <v/>
      </c>
      <c r="NT35">
        <f>IF('計算A'!AT$106=1,EN35,1)</f>
        <v/>
      </c>
      <c r="NU35">
        <f>IF('計算A'!AU$106=1,EO35,1)</f>
        <v/>
      </c>
      <c r="NV35">
        <f>IF('計算A'!AV$106=1,EP35,1)</f>
        <v/>
      </c>
      <c r="NW35">
        <f>IF('計算A'!AW$106=1,EQ35,1)</f>
        <v/>
      </c>
      <c r="NX35">
        <f>IF('計算A'!AX$106=1,ER35,1)</f>
        <v/>
      </c>
      <c r="NY35">
        <f>IF('計算A'!AY$106=1,ES35,1)</f>
        <v/>
      </c>
      <c r="NZ35">
        <f>IF('計算A'!AZ$106=1,ET35,1)</f>
        <v/>
      </c>
      <c r="OA35">
        <f>IF('計算A'!BA$106=1,EU35,1)</f>
        <v/>
      </c>
      <c r="OB35">
        <f>IF('計算A'!BB$106=1,EV35,1)</f>
        <v/>
      </c>
      <c r="OC35">
        <f>IF('計算A'!BC$106=1,EW35,1)</f>
        <v/>
      </c>
      <c r="OD35">
        <f>IF('計算A'!BD$106=1,EX35,1)</f>
        <v/>
      </c>
      <c r="OE35">
        <f>IF('計算A'!BE$106=1,EY35,1)</f>
        <v/>
      </c>
      <c r="OF35">
        <f>IF('計算A'!BF$106=1,EZ35,1)</f>
        <v/>
      </c>
      <c r="OG35">
        <f>IF('計算A'!BG$106=1,FA35,1)</f>
        <v/>
      </c>
      <c r="OH35">
        <f>IF('計算A'!BH$106=1,FB35,1)</f>
        <v/>
      </c>
      <c r="OI35">
        <f>IF('計算A'!BI$106=1,FC35,1)</f>
        <v/>
      </c>
      <c r="OJ35">
        <f>IF('計算A'!BJ$106=1,FD35,1)</f>
        <v/>
      </c>
      <c r="OK35">
        <f>IF('計算A'!BK$106=1,FE35,1)</f>
        <v/>
      </c>
      <c r="OL35">
        <f>IF('計算A'!BL$106=1,FF35,1)</f>
        <v/>
      </c>
      <c r="OM35">
        <f>IF('計算A'!BM$106=1,FG35,1)</f>
        <v/>
      </c>
      <c r="ON35">
        <f>IF('計算A'!BN$106=1,FH35,1)</f>
        <v/>
      </c>
      <c r="OO35">
        <f>IF('計算A'!BO$106=1,FI35,1)</f>
        <v/>
      </c>
      <c r="OP35">
        <f>IF('計算A'!BP$106=1,FJ35,1)</f>
        <v/>
      </c>
      <c r="OQ35">
        <f>IF('計算A'!BQ$106=1,FK35,1)</f>
        <v/>
      </c>
      <c r="OR35">
        <f>IF('計算A'!BR$106=1,FL35,1)</f>
        <v/>
      </c>
      <c r="OS35">
        <f>IF('計算A'!BS$106=1,FM35,1)</f>
        <v/>
      </c>
      <c r="OT35">
        <f>IF('計算A'!BT$106=1,FN35,1)</f>
        <v/>
      </c>
      <c r="OU35">
        <f>IF('計算A'!BU$106=1,FO35,1)</f>
        <v/>
      </c>
      <c r="OV35">
        <f>IF('計算A'!BV$106=1,FP35,1)</f>
        <v/>
      </c>
      <c r="OW35">
        <f>IF('計算A'!BW$106=1,FQ35,1)</f>
        <v/>
      </c>
      <c r="OX35">
        <f>IF('計算A'!BX$106=1,FR35,1)</f>
        <v/>
      </c>
      <c r="OY35">
        <f>IF('計算A'!BY$106=1,FS35,1)</f>
        <v/>
      </c>
      <c r="OZ35">
        <f>IF('計算A'!BZ$106=1,FT35,1)</f>
        <v/>
      </c>
      <c r="PA35">
        <f>IF('計算A'!CA$106=1,FU35,1)</f>
        <v/>
      </c>
      <c r="PB35">
        <f>IF('計算A'!CB$106=1,FV35,1)</f>
        <v/>
      </c>
      <c r="PC35">
        <f>IF('計算A'!CC$106=1,FW35,1)</f>
        <v/>
      </c>
      <c r="PD35">
        <f>IF('計算A'!CD$106=1,FX35,1)</f>
        <v/>
      </c>
      <c r="PE35">
        <f>IF('計算A'!CE$106=1,FY35,1)</f>
        <v/>
      </c>
      <c r="PF35">
        <f>IF('計算A'!CF$106=1,FZ35,1)</f>
        <v/>
      </c>
      <c r="PG35">
        <f>IF('計算A'!CG$106=1,GA35,1)</f>
        <v/>
      </c>
      <c r="PH35">
        <f>IF('計算A'!CH$106=1,GB35,1)</f>
        <v/>
      </c>
      <c r="PI35">
        <f>IF('計算A'!CI$106=1,GC35,1)</f>
        <v/>
      </c>
      <c r="PJ35">
        <f>IF('計算A'!CJ$106=1,GD35,1)</f>
        <v/>
      </c>
      <c r="PK35">
        <f>IF('計算A'!CK$106=1,GE35,1)</f>
        <v/>
      </c>
      <c r="PL35">
        <f>IF('計算A'!CL$106=1,GF35,1)</f>
        <v/>
      </c>
      <c r="PM35">
        <f>IF('計算A'!CM$106=1,GG35,1)</f>
        <v/>
      </c>
      <c r="PN35">
        <f>IF('計算A'!CN$106=1,GH35,1)</f>
        <v/>
      </c>
      <c r="PO35">
        <f>IF('計算A'!CO$106=1,GI35,1)</f>
        <v/>
      </c>
      <c r="PP35">
        <f>IF('計算A'!CP$106=1,GJ35,1)</f>
        <v/>
      </c>
      <c r="PQ35">
        <f>IF('計算A'!CQ$106=1,GK35,1)</f>
        <v/>
      </c>
      <c r="PR35">
        <f>IF('計算A'!CR$106=1,GL35,1)</f>
        <v/>
      </c>
      <c r="PS35">
        <f>IF('計算A'!CS$106=1,GM35,1)</f>
        <v/>
      </c>
      <c r="PT35">
        <f>IF('計算A'!CT$106=1,GN35,1)</f>
        <v/>
      </c>
      <c r="PU35">
        <f>IF('計算A'!CU$106=1,GO35,1)</f>
        <v/>
      </c>
      <c r="PV35">
        <f>IF('計算A'!CV$106=1,GP35,1)</f>
        <v/>
      </c>
      <c r="PW35">
        <f>IF('計算A'!CW$106=1,GQ35,1)</f>
        <v/>
      </c>
      <c r="PX35">
        <f>IF('計算A'!CX$106=1,GR35,1)</f>
        <v/>
      </c>
      <c r="PY35">
        <f>IF('計算A'!CY$106=1,GS35,1)</f>
        <v/>
      </c>
      <c r="PZ35">
        <f>IF('計算A'!CZ$106=1,GT35,1)</f>
        <v/>
      </c>
      <c r="QA35">
        <f>IF('計算A'!DA$106=1,GU35,1)</f>
        <v/>
      </c>
      <c r="QB35">
        <f>IF('計算A'!DB$106=1,GV35,1)</f>
        <v/>
      </c>
      <c r="QC35">
        <f>IF('計算A'!DC$106=1,GW35,1)</f>
        <v/>
      </c>
      <c r="QD35">
        <f>IF('計算A'!DD$106=1,GX35,1)</f>
        <v/>
      </c>
      <c r="QE35">
        <f>IF('計算A'!DE$106=1,GY35,1)</f>
        <v/>
      </c>
      <c r="QF35">
        <f>IF('計算A'!DF$106=1,GZ35,1)</f>
        <v/>
      </c>
      <c r="QG35">
        <f>IF('計算A'!DG$106=1,HA35,1)</f>
        <v/>
      </c>
      <c r="QH35">
        <f>IF('計算A'!DH$106=1,HB35,1)</f>
        <v/>
      </c>
      <c r="QI35">
        <f>IF('計算A'!DI$106=1,HC35,1)</f>
        <v/>
      </c>
      <c r="QJ35">
        <f>IF('計算A'!DJ$106=1,HD35,1)</f>
        <v/>
      </c>
      <c r="QK35">
        <f>IF('計算A'!DK$106=1,HE35,1)</f>
        <v/>
      </c>
      <c r="QL35">
        <f>IF('計算A'!DL$106=1,HF35,1)</f>
        <v/>
      </c>
      <c r="QM35">
        <f>IF('計算A'!DM$106=1,HG35,1)</f>
        <v/>
      </c>
      <c r="QN35">
        <f>IF('計算A'!DN$106=1,HH35,1)</f>
        <v/>
      </c>
      <c r="QO35">
        <f>IF('計算A'!DO$106=1,HI35,1)</f>
        <v/>
      </c>
      <c r="QP35">
        <f>IF('計算A'!DP$106=1,HJ35,1)</f>
        <v/>
      </c>
      <c r="QQ35">
        <f>IF('計算A'!DQ$106=1,HK35,1)</f>
        <v/>
      </c>
      <c r="QR35">
        <f>IF('計算A'!DR$106=1,HL35,1)</f>
        <v/>
      </c>
      <c r="QS35">
        <f>IF('計算A'!DS$106=1,HM35,1)</f>
        <v/>
      </c>
      <c r="QT35">
        <f>IF('計算A'!DT$106=1,HN35,1)</f>
        <v/>
      </c>
      <c r="QU35">
        <f>IF('計算A'!DU$106=1,HO35,1)</f>
        <v/>
      </c>
      <c r="QV35">
        <f>IF('計算A'!DV$106=1,HP35,1)</f>
        <v/>
      </c>
      <c r="QW35">
        <f>IF('計算A'!DW$106=1,HQ35,1)</f>
        <v/>
      </c>
      <c r="QX35">
        <f>IF('計算A'!DX$106=1,HR35,1)</f>
        <v/>
      </c>
      <c r="QY35">
        <f>IF('計算A'!DY$106=1,HS35,1)</f>
        <v/>
      </c>
      <c r="QZ35">
        <f>IF('計算A'!DZ$106=1,HT35,1)</f>
        <v/>
      </c>
      <c r="RA35">
        <f>IF('計算A'!EA$106=1,HU35,1)</f>
        <v/>
      </c>
      <c r="RB35">
        <f>IF('計算A'!EB$106=1,HV35,1)</f>
        <v/>
      </c>
      <c r="RC35">
        <f>IF('計算A'!EC$106=1,HW35,1)</f>
        <v/>
      </c>
      <c r="RD35">
        <f>IF('計算A'!ED$106=1,HX35,1)</f>
        <v/>
      </c>
      <c r="RE35">
        <f>IF('計算A'!EE$106=1,HY35,1)</f>
        <v/>
      </c>
      <c r="RF35">
        <f>IF('計算A'!EF$106=1,HZ35,1)</f>
        <v/>
      </c>
      <c r="RG35">
        <f>IF('計算A'!EG$106=1,IA35,1)</f>
        <v/>
      </c>
      <c r="RH35">
        <f>IF('計算A'!EH$106=1,IB35,1)</f>
        <v/>
      </c>
      <c r="RI35">
        <f>IF('計算A'!EI$106=1,IC35,1)</f>
        <v/>
      </c>
      <c r="RJ35">
        <f>IF('計算A'!EJ$106=1,ID35,1)</f>
        <v/>
      </c>
      <c r="RK35">
        <f>IF('計算A'!EK$106=1,IE35,1)</f>
        <v/>
      </c>
      <c r="RL35">
        <f>IF('計算A'!EL$106=1,IF35,1)</f>
        <v/>
      </c>
      <c r="RM35">
        <f>IF('計算A'!EM$106=1,IG35,1)</f>
        <v/>
      </c>
      <c r="RN35">
        <f>IF('計算A'!EN$106=1,IH35,1)</f>
        <v/>
      </c>
      <c r="RO35">
        <f>IF('計算A'!EO$106=1,II35,1)</f>
        <v/>
      </c>
      <c r="RP35">
        <f>IF('計算A'!EP$106=1,IJ35,1)</f>
        <v/>
      </c>
      <c r="RQ35">
        <f>IF('計算A'!EQ$106=1,IK35,1)</f>
        <v/>
      </c>
      <c r="RR35">
        <f>IF('計算A'!ER$106=1,IL35,1)</f>
        <v/>
      </c>
      <c r="RS35">
        <f>IF('計算A'!ES$106=1,IM35,1)</f>
        <v/>
      </c>
      <c r="RT35">
        <f>IF('計算A'!ET$106=1,IN35,1)</f>
        <v/>
      </c>
      <c r="RU35">
        <f>IF('計算A'!EU$106=1,IO35,1)</f>
        <v/>
      </c>
      <c r="RV35">
        <f>IF('計算A'!EV$106=1,IP35,1)</f>
        <v/>
      </c>
      <c r="RW35">
        <f>IF('計算A'!EW$106=1,IQ35,1)</f>
        <v/>
      </c>
      <c r="RX35">
        <f>IF('計算A'!EX$106=1,IR35,1)</f>
        <v/>
      </c>
      <c r="RY35">
        <f>IF('計算A'!EY$106=1,IS35,1)</f>
        <v/>
      </c>
      <c r="RZ35">
        <f>IF('計算A'!EZ$106=1,IT35,1)</f>
        <v/>
      </c>
      <c r="SA35">
        <f>IF('計算A'!FA$106=1,IU35,1)</f>
        <v/>
      </c>
      <c r="SB35">
        <f>IF('計算A'!FB$106=1,IV35,1)</f>
        <v/>
      </c>
      <c r="SC35">
        <f>IF('計算A'!FC$106=1,IW35,1)</f>
        <v/>
      </c>
      <c r="SD35">
        <f>IF('計算A'!FD$106=1,IX35,1)</f>
        <v/>
      </c>
      <c r="SE35">
        <f>IF('計算A'!FE$106=1,IY35,1)</f>
        <v/>
      </c>
      <c r="SF35">
        <f>IF('計算A'!FF$106=1,IZ35,1)</f>
        <v/>
      </c>
      <c r="SG35">
        <f>IF('計算A'!FG$106=1,JA35,1)</f>
        <v/>
      </c>
      <c r="SH35">
        <f>IF('計算A'!FH$106=1,JB35,1)</f>
        <v/>
      </c>
      <c r="SI35">
        <f>IF('計算A'!FI$106=1,JC35,1)</f>
        <v/>
      </c>
      <c r="SJ35">
        <f>IF('計算A'!FJ$106=1,JD35,1)</f>
        <v/>
      </c>
      <c r="SK35">
        <f>IF('計算A'!FK$106=1,JE35,1)</f>
        <v/>
      </c>
      <c r="SL35">
        <f>IF('計算A'!FL$106=1,JF35,1)</f>
        <v/>
      </c>
      <c r="SM35">
        <f>IF('計算A'!FM$106=1,JG35,1)</f>
        <v/>
      </c>
      <c r="SN35">
        <f>IF('計算A'!FN$106=1,JH35,1)</f>
        <v/>
      </c>
      <c r="SO35">
        <f>IF('計算A'!FO$106=1,JI35,1)</f>
        <v/>
      </c>
      <c r="SP35">
        <f>IF('計算A'!FP$106=1,JJ35,1)</f>
        <v/>
      </c>
      <c r="SQ35">
        <f>IF('計算A'!FQ$106=1,JK35,1)</f>
        <v/>
      </c>
      <c r="SR35">
        <f>IF('計算A'!FR$106=1,JL35,1)</f>
        <v/>
      </c>
      <c r="SS35">
        <f>IF('計算A'!FS$106=1,JM35,1)</f>
        <v/>
      </c>
      <c r="ST35">
        <f>IF('計算A'!FT$106=1,JN35,1)</f>
        <v/>
      </c>
      <c r="SU35">
        <f>IF('計算A'!FU$106=1,JO35,1)</f>
        <v/>
      </c>
      <c r="SV35">
        <f>IF('計算A'!FV$106=1,JP35,1)</f>
        <v/>
      </c>
      <c r="SW35">
        <f>IF('計算A'!FW$106=1,JQ35,1)</f>
        <v/>
      </c>
      <c r="SX35">
        <f>IF('計算A'!FX$106=1,JR35,1)</f>
        <v/>
      </c>
      <c r="SY35">
        <f>IF('計算A'!FY$106=1,JS35,1)</f>
        <v/>
      </c>
      <c r="SZ35">
        <f>IF('計算A'!FZ$106=1,JT35,1)</f>
        <v/>
      </c>
      <c r="TA35">
        <f>IF('計算A'!GA$106=1,JU35,1)</f>
        <v/>
      </c>
      <c r="TB35">
        <f>IF('計算A'!GB$106=1,JV35,1)</f>
        <v/>
      </c>
      <c r="TC35">
        <f>IF('計算A'!GC$106=1,JW35,1)</f>
        <v/>
      </c>
      <c r="TD35">
        <f>IF('計算A'!GD$106=1,JX35,1)</f>
        <v/>
      </c>
      <c r="TE35">
        <f>IF('計算A'!GE$106=1,JY35,1)</f>
        <v/>
      </c>
      <c r="TF35">
        <f>IF('計算A'!GF$106=1,JZ35,1)</f>
        <v/>
      </c>
      <c r="TG35">
        <f>IF('計算A'!GG$106=1,KA35,1)</f>
        <v/>
      </c>
      <c r="TH35">
        <f>IF('計算A'!GH$106=1,KB35,1)</f>
        <v/>
      </c>
      <c r="TI35">
        <f>IF('計算A'!GI$106=1,KC35,1)</f>
        <v/>
      </c>
      <c r="TJ35">
        <f>IF('計算A'!GJ$106=1,KD35,1)</f>
        <v/>
      </c>
      <c r="TK35">
        <f>IF('計算A'!GK$106=1,KE35,1)</f>
        <v/>
      </c>
      <c r="TL35">
        <f>IF('計算A'!GL$106=1,KF35,1)</f>
        <v/>
      </c>
      <c r="TM35">
        <f>IF('計算A'!GM$106=1,KG35,1)</f>
        <v/>
      </c>
      <c r="TN35">
        <f>IF('計算A'!GN$106=1,KH35,1)</f>
        <v/>
      </c>
      <c r="TO35">
        <f>IF('計算A'!GO$106=1,KI35,1)</f>
        <v/>
      </c>
      <c r="TP35">
        <f>IF('計算A'!GP$106=1,KJ35,1)</f>
        <v/>
      </c>
      <c r="TQ35">
        <f>IF('計算A'!GQ$106=1,KK35,1)</f>
        <v/>
      </c>
      <c r="TR35">
        <f>IF('計算A'!GR$106=1,KL35,1)</f>
        <v/>
      </c>
      <c r="TS35">
        <f>IF('計算A'!GS$106=1,KM35,1)</f>
        <v/>
      </c>
      <c r="TT35">
        <f>IF('計算A'!GT$106=1,KN35,1)</f>
        <v/>
      </c>
      <c r="TU35">
        <f>IF('計算A'!GU$106=1,KO35,1)</f>
        <v/>
      </c>
      <c r="TV35">
        <f>IF('計算A'!GV$106=1,KP35,1)</f>
        <v/>
      </c>
      <c r="TW35">
        <f>IF('計算A'!GW$106=1,KQ35,1)</f>
        <v/>
      </c>
      <c r="TX35">
        <f>IF('計算A'!GX$106=1,KR35,1)</f>
        <v/>
      </c>
      <c r="TY35">
        <f>IF('計算A'!GY$106=1,KS35,1)</f>
        <v/>
      </c>
      <c r="TZ35">
        <f>IF('計算A'!GZ$106=1,KT35,1)</f>
        <v/>
      </c>
      <c r="UA35">
        <f>IF('計算A'!HA$106=1,KU35,1)</f>
        <v/>
      </c>
      <c r="UB35">
        <f>IF('計算A'!HB$106=1,KV35,1)</f>
        <v/>
      </c>
      <c r="UC35">
        <f>IF('計算A'!HC$106=1,KW35,1)</f>
        <v/>
      </c>
      <c r="UD35">
        <f>IF('計算A'!HD$106=1,KX35,1)</f>
        <v/>
      </c>
      <c r="UE35">
        <f>IF('計算A'!HE$106=1,KY35,1)</f>
        <v/>
      </c>
      <c r="UF35">
        <f>IF('計算A'!HF$106=1,KZ35,1)</f>
        <v/>
      </c>
      <c r="UG35">
        <f>IF('計算A'!HG$106=1,LA35,1)</f>
        <v/>
      </c>
      <c r="UH35">
        <f>IF('計算A'!HH$106=1,LB35,1)</f>
        <v/>
      </c>
      <c r="UI35">
        <f>IF('計算A'!HI$106=1,LC35,1)</f>
        <v/>
      </c>
      <c r="UJ35">
        <f>IF('計算A'!HJ$106=1,LD35,1)</f>
        <v/>
      </c>
      <c r="UK35">
        <f>IF('計算A'!HK$106=1,LE35,1)</f>
        <v/>
      </c>
      <c r="UL35">
        <f>IF('計算A'!HL$106=1,LF35,1)</f>
        <v/>
      </c>
      <c r="UM35">
        <f>IF('計算A'!HM$106=1,LG35,1)</f>
        <v/>
      </c>
      <c r="UN35">
        <f>IF('計算A'!HN$106=1,LH35,1)</f>
        <v/>
      </c>
      <c r="UO35">
        <f>IF('計算A'!HO$106=1,LI35,1)</f>
        <v/>
      </c>
      <c r="UP35">
        <f>IF('計算A'!HP$106=1,LJ35,1)</f>
        <v/>
      </c>
      <c r="UQ35">
        <f>IF('計算A'!HQ$106=1,LK35,1)</f>
        <v/>
      </c>
      <c r="UR35">
        <f>IF('計算A'!HR$106=1,LL35,1)</f>
        <v/>
      </c>
      <c r="US35">
        <f>IF('計算A'!HS$106=1,LM35,1)</f>
        <v/>
      </c>
      <c r="UT35">
        <f>IF('計算A'!HT$106=1,LN35,1)</f>
        <v/>
      </c>
      <c r="UU35">
        <f>IF('計算A'!HU$106=1,LO35,1)</f>
        <v/>
      </c>
      <c r="UV35">
        <f>IF('計算A'!HV$106=1,LP35,1)</f>
        <v/>
      </c>
      <c r="UW35">
        <f>IF('計算A'!HW$106=1,LQ35,1)</f>
        <v/>
      </c>
      <c r="UX35">
        <f>IF('計算A'!HX$106=1,LR35,1)</f>
        <v/>
      </c>
      <c r="UY35">
        <f>IF('計算A'!HY$106=1,LS35,1)</f>
        <v/>
      </c>
      <c r="UZ35">
        <f>IF('計算A'!HZ$106=1,LT35,1)</f>
        <v/>
      </c>
      <c r="VA35">
        <f>IF('計算A'!IA$106=1,LU35,1)</f>
        <v/>
      </c>
      <c r="VB35">
        <f>IF('計算A'!IB$106=1,LV35,1)</f>
        <v/>
      </c>
      <c r="VC35">
        <f>IF('計算A'!IC$106=1,LW35,1)</f>
        <v/>
      </c>
      <c r="VD35">
        <f>IF('計算A'!ID$106=1,LX35,1)</f>
        <v/>
      </c>
      <c r="VE35">
        <f>IF('計算A'!IE$106=1,LY35,1)</f>
        <v/>
      </c>
      <c r="VF35">
        <f>IF('計算A'!IF$106=1,LZ35,1)</f>
        <v/>
      </c>
      <c r="VG35">
        <f>IF('計算A'!IG$106=1,MA35,1)</f>
        <v/>
      </c>
      <c r="VH35">
        <f>IF('計算A'!IH$106=1,MB35,1)</f>
        <v/>
      </c>
      <c r="VI35" t="n">
        <v>1</v>
      </c>
      <c r="VK35">
        <f>IF($B35=0,1000000,IF(INDEX('計算A'!$D$60:$II$104,$B35,1)*CW35=1,IF(AND($E35=2,MD35=0),1000000,INDEX('計算A'!D$110:D$114,$F35+1)+IF(AND($E35=1,MD35=0),1000,0)),1000000))</f>
        <v/>
      </c>
      <c r="VL35">
        <f>IF($B35=0,1000000,IF(INDEX('計算A'!$D$60:$II$104,$B35,2)*CX35=1,IF(AND($E35=2,ME35=0),1000000,INDEX('計算A'!E$110:E$114,$F35+1)+IF(AND($E35=1,ME35=0),1000,0)),1000000))</f>
        <v/>
      </c>
      <c r="VM35">
        <f>IF($B35=0,1000000,IF(INDEX('計算A'!$D$60:$II$104,$B35,3)*CY35=1,IF(AND($E35=2,MF35=0),1000000,INDEX('計算A'!F$110:F$114,$F35+1)+IF(AND($E35=1,MF35=0),1000,0)),1000000))</f>
        <v/>
      </c>
      <c r="VN35">
        <f>IF($B35=0,1000000,IF(INDEX('計算A'!$D$60:$II$104,$B35,4)*CZ35=1,IF(AND($E35=2,MG35=0),1000000,INDEX('計算A'!G$110:G$114,$F35+1)+IF(AND($E35=1,MG35=0),1000,0)),1000000))</f>
        <v/>
      </c>
      <c r="VO35">
        <f>IF($B35=0,1000000,IF(INDEX('計算A'!$D$60:$II$104,$B35,5)*DA35=1,IF(AND($E35=2,MH35=0),1000000,INDEX('計算A'!H$110:H$114,$F35+1)+IF(AND($E35=1,MH35=0),1000,0)),1000000))</f>
        <v/>
      </c>
      <c r="VP35">
        <f>IF($B35=0,1000000,IF(INDEX('計算A'!$D$60:$II$104,$B35,6)*DB35=1,IF(AND($E35=2,MI35=0),1000000,INDEX('計算A'!I$110:I$114,$F35+1)+IF(AND($E35=1,MI35=0),1000,0)),1000000))</f>
        <v/>
      </c>
      <c r="VQ35">
        <f>IF($B35=0,1000000,IF(INDEX('計算A'!$D$60:$II$104,$B35,7)*DC35=1,IF(AND($E35=2,MJ35=0),1000000,INDEX('計算A'!J$110:J$114,$F35+1)+IF(AND($E35=1,MJ35=0),1000,0)),1000000))</f>
        <v/>
      </c>
      <c r="VR35">
        <f>IF($B35=0,1000000,IF(INDEX('計算A'!$D$60:$II$104,$B35,8)*DD35=1,IF(AND($E35=2,MK35=0),1000000,INDEX('計算A'!K$110:K$114,$F35+1)+IF(AND($E35=1,MK35=0),1000,0)),1000000))</f>
        <v/>
      </c>
      <c r="VS35">
        <f>IF($B35=0,1000000,IF(INDEX('計算A'!$D$60:$II$104,$B35,9)*DE35=1,IF(AND($E35=2,ML35=0),1000000,INDEX('計算A'!L$110:L$114,$F35+1)+IF(AND($E35=1,ML35=0),1000,0)),1000000))</f>
        <v/>
      </c>
      <c r="VT35">
        <f>IF($B35=0,1000000,IF(INDEX('計算A'!$D$60:$II$104,$B35,10)*DF35=1,IF(AND($E35=2,MM35=0),1000000,INDEX('計算A'!M$110:M$114,$F35+1)+IF(AND($E35=1,MM35=0),1000,0)),1000000))</f>
        <v/>
      </c>
      <c r="VU35">
        <f>IF($B35=0,1000000,IF(INDEX('計算A'!$D$60:$II$104,$B35,11)*DG35=1,IF(AND($E35=2,MN35=0),1000000,INDEX('計算A'!N$110:N$114,$F35+1)+IF(AND($E35=1,MN35=0),1000,0)),1000000))</f>
        <v/>
      </c>
      <c r="VV35">
        <f>IF($B35=0,1000000,IF(INDEX('計算A'!$D$60:$II$104,$B35,12)*DH35=1,IF(AND($E35=2,MO35=0),1000000,INDEX('計算A'!O$110:O$114,$F35+1)+IF(AND($E35=1,MO35=0),1000,0)),1000000))</f>
        <v/>
      </c>
      <c r="VW35">
        <f>IF($B35=0,1000000,IF(INDEX('計算A'!$D$60:$II$104,$B35,13)*DI35=1,IF(AND($E35=2,MP35=0),1000000,INDEX('計算A'!P$110:P$114,$F35+1)+IF(AND($E35=1,MP35=0),1000,0)),1000000))</f>
        <v/>
      </c>
      <c r="VX35">
        <f>IF($B35=0,1000000,IF(INDEX('計算A'!$D$60:$II$104,$B35,14)*DJ35=1,IF(AND($E35=2,MQ35=0),1000000,INDEX('計算A'!Q$110:Q$114,$F35+1)+IF(AND($E35=1,MQ35=0),1000,0)),1000000))</f>
        <v/>
      </c>
      <c r="VY35">
        <f>IF($B35=0,1000000,IF(INDEX('計算A'!$D$60:$II$104,$B35,15)*DK35=1,IF(AND($E35=2,MR35=0),1000000,INDEX('計算A'!R$110:R$114,$F35+1)+IF(AND($E35=1,MR35=0),1000,0)),1000000))</f>
        <v/>
      </c>
      <c r="VZ35">
        <f>IF($B35=0,1000000,IF(INDEX('計算A'!$D$60:$II$104,$B35,16)*DL35=1,IF(AND($E35=2,MS35=0),1000000,INDEX('計算A'!S$110:S$114,$F35+1)+IF(AND($E35=1,MS35=0),1000,0)),1000000))</f>
        <v/>
      </c>
      <c r="WA35">
        <f>IF($B35=0,1000000,IF(INDEX('計算A'!$D$60:$II$104,$B35,17)*DM35=1,IF(AND($E35=2,MT35=0),1000000,INDEX('計算A'!T$110:T$114,$F35+1)+IF(AND($E35=1,MT35=0),1000,0)),1000000))</f>
        <v/>
      </c>
      <c r="WB35">
        <f>IF($B35=0,1000000,IF(INDEX('計算A'!$D$60:$II$104,$B35,18)*DN35=1,IF(AND($E35=2,MU35=0),1000000,INDEX('計算A'!U$110:U$114,$F35+1)+IF(AND($E35=1,MU35=0),1000,0)),1000000))</f>
        <v/>
      </c>
      <c r="WC35">
        <f>IF($B35=0,1000000,IF(INDEX('計算A'!$D$60:$II$104,$B35,19)*DO35=1,IF(AND($E35=2,MV35=0),1000000,INDEX('計算A'!V$110:V$114,$F35+1)+IF(AND($E35=1,MV35=0),1000,0)),1000000))</f>
        <v/>
      </c>
      <c r="WD35">
        <f>IF($B35=0,1000000,IF(INDEX('計算A'!$D$60:$II$104,$B35,20)*DP35=1,IF(AND($E35=2,MW35=0),1000000,INDEX('計算A'!W$110:W$114,$F35+1)+IF(AND($E35=1,MW35=0),1000,0)),1000000))</f>
        <v/>
      </c>
      <c r="WE35">
        <f>IF($B35=0,1000000,IF(INDEX('計算A'!$D$60:$II$104,$B35,21)*DQ35=1,IF(AND($E35=2,MX35=0),1000000,INDEX('計算A'!X$110:X$114,$F35+1)+IF(AND($E35=1,MX35=0),1000,0)),1000000))</f>
        <v/>
      </c>
      <c r="WF35">
        <f>IF($B35=0,1000000,IF(INDEX('計算A'!$D$60:$II$104,$B35,22)*DR35=1,IF(AND($E35=2,MY35=0),1000000,INDEX('計算A'!Y$110:Y$114,$F35+1)+IF(AND($E35=1,MY35=0),1000,0)),1000000))</f>
        <v/>
      </c>
      <c r="WG35">
        <f>IF($B35=0,1000000,IF(INDEX('計算A'!$D$60:$II$104,$B35,23)*DS35=1,IF(AND($E35=2,MZ35=0),1000000,INDEX('計算A'!Z$110:Z$114,$F35+1)+IF(AND($E35=1,MZ35=0),1000,0)),1000000))</f>
        <v/>
      </c>
      <c r="WH35">
        <f>IF($B35=0,1000000,IF(INDEX('計算A'!$D$60:$II$104,$B35,24)*DT35=1,IF(AND($E35=2,NA35=0),1000000,INDEX('計算A'!AA$110:AA$114,$F35+1)+IF(AND($E35=1,NA35=0),1000,0)),1000000))</f>
        <v/>
      </c>
      <c r="WI35">
        <f>IF($B35=0,1000000,IF(INDEX('計算A'!$D$60:$II$104,$B35,25)*DU35=1,IF(AND($E35=2,NB35=0),1000000,INDEX('計算A'!AB$110:AB$114,$F35+1)+IF(AND($E35=1,NB35=0),1000,0)),1000000))</f>
        <v/>
      </c>
      <c r="WJ35">
        <f>IF($B35=0,1000000,IF(INDEX('計算A'!$D$60:$II$104,$B35,26)*DV35=1,IF(AND($E35=2,NC35=0),1000000,INDEX('計算A'!AC$110:AC$114,$F35+1)+IF(AND($E35=1,NC35=0),1000,0)),1000000))</f>
        <v/>
      </c>
      <c r="WK35">
        <f>IF($B35=0,1000000,IF(INDEX('計算A'!$D$60:$II$104,$B35,27)*DW35=1,IF(AND($E35=2,ND35=0),1000000,INDEX('計算A'!AD$110:AD$114,$F35+1)+IF(AND($E35=1,ND35=0),1000,0)),1000000))</f>
        <v/>
      </c>
      <c r="WL35">
        <f>IF($B35=0,1000000,IF(INDEX('計算A'!$D$60:$II$104,$B35,28)*DX35=1,IF(AND($E35=2,NE35=0),1000000,INDEX('計算A'!AE$110:AE$114,$F35+1)+IF(AND($E35=1,NE35=0),1000,0)),1000000))</f>
        <v/>
      </c>
      <c r="WM35">
        <f>IF($B35=0,1000000,IF(INDEX('計算A'!$D$60:$II$104,$B35,29)*DY35=1,IF(AND($E35=2,NF35=0),1000000,INDEX('計算A'!AF$110:AF$114,$F35+1)+IF(AND($E35=1,NF35=0),1000,0)),1000000))</f>
        <v/>
      </c>
      <c r="WN35">
        <f>IF($B35=0,1000000,IF(INDEX('計算A'!$D$60:$II$104,$B35,30)*DZ35=1,IF(AND($E35=2,NG35=0),1000000,INDEX('計算A'!AG$110:AG$114,$F35+1)+IF(AND($E35=1,NG35=0),1000,0)),1000000))</f>
        <v/>
      </c>
      <c r="WO35">
        <f>IF($B35=0,1000000,IF(INDEX('計算A'!$D$60:$II$104,$B35,31)*EA35=1,IF(AND($E35=2,NH35=0),1000000,INDEX('計算A'!AH$110:AH$114,$F35+1)+IF(AND($E35=1,NH35=0),1000,0)),1000000))</f>
        <v/>
      </c>
      <c r="WP35">
        <f>IF($B35=0,1000000,IF(INDEX('計算A'!$D$60:$II$104,$B35,32)*EB35=1,IF(AND($E35=2,NI35=0),1000000,INDEX('計算A'!AI$110:AI$114,$F35+1)+IF(AND($E35=1,NI35=0),1000,0)),1000000))</f>
        <v/>
      </c>
      <c r="WQ35">
        <f>IF($B35=0,1000000,IF(INDEX('計算A'!$D$60:$II$104,$B35,33)*EC35=1,IF(AND($E35=2,NJ35=0),1000000,INDEX('計算A'!AJ$110:AJ$114,$F35+1)+IF(AND($E35=1,NJ35=0),1000,0)),1000000))</f>
        <v/>
      </c>
      <c r="WR35">
        <f>IF($B35=0,1000000,IF(INDEX('計算A'!$D$60:$II$104,$B35,34)*ED35=1,IF(AND($E35=2,NK35=0),1000000,INDEX('計算A'!AK$110:AK$114,$F35+1)+IF(AND($E35=1,NK35=0),1000,0)),1000000))</f>
        <v/>
      </c>
      <c r="WS35">
        <f>IF($B35=0,1000000,IF(INDEX('計算A'!$D$60:$II$104,$B35,35)*EE35=1,IF(AND($E35=2,NL35=0),1000000,INDEX('計算A'!AL$110:AL$114,$F35+1)+IF(AND($E35=1,NL35=0),1000,0)),1000000))</f>
        <v/>
      </c>
      <c r="WT35">
        <f>IF($B35=0,1000000,IF(INDEX('計算A'!$D$60:$II$104,$B35,36)*EF35=1,IF(AND($E35=2,NM35=0),1000000,INDEX('計算A'!AM$110:AM$114,$F35+1)+IF(AND($E35=1,NM35=0),1000,0)),1000000))</f>
        <v/>
      </c>
      <c r="WU35">
        <f>IF($B35=0,1000000,IF(INDEX('計算A'!$D$60:$II$104,$B35,37)*EG35=1,IF(AND($E35=2,NN35=0),1000000,INDEX('計算A'!AN$110:AN$114,$F35+1)+IF(AND($E35=1,NN35=0),1000,0)),1000000))</f>
        <v/>
      </c>
      <c r="WV35">
        <f>IF($B35=0,1000000,IF(INDEX('計算A'!$D$60:$II$104,$B35,38)*EH35=1,IF(AND($E35=2,NO35=0),1000000,INDEX('計算A'!AO$110:AO$114,$F35+1)+IF(AND($E35=1,NO35=0),1000,0)),1000000))</f>
        <v/>
      </c>
      <c r="WW35">
        <f>IF($B35=0,1000000,IF(INDEX('計算A'!$D$60:$II$104,$B35,39)*EI35=1,IF(AND($E35=2,NP35=0),1000000,INDEX('計算A'!AP$110:AP$114,$F35+1)+IF(AND($E35=1,NP35=0),1000,0)),1000000))</f>
        <v/>
      </c>
      <c r="WX35">
        <f>IF($B35=0,1000000,IF(INDEX('計算A'!$D$60:$II$104,$B35,40)*EJ35=1,IF(AND($E35=2,NQ35=0),1000000,INDEX('計算A'!AQ$110:AQ$114,$F35+1)+IF(AND($E35=1,NQ35=0),1000,0)),1000000))</f>
        <v/>
      </c>
      <c r="WY35">
        <f>IF($B35=0,1000000,IF(INDEX('計算A'!$D$60:$II$104,$B35,41)*EK35=1,IF(AND($E35=2,NR35=0),1000000,INDEX('計算A'!AR$110:AR$114,$F35+1)+IF(AND($E35=1,NR35=0),1000,0)),1000000))</f>
        <v/>
      </c>
      <c r="WZ35">
        <f>IF($B35=0,1000000,IF(INDEX('計算A'!$D$60:$II$104,$B35,42)*EL35=1,IF(AND($E35=2,NS35=0),1000000,INDEX('計算A'!AS$110:AS$114,$F35+1)+IF(AND($E35=1,NS35=0),1000,0)),1000000))</f>
        <v/>
      </c>
      <c r="XA35">
        <f>IF($B35=0,1000000,IF(INDEX('計算A'!$D$60:$II$104,$B35,43)*EM35=1,IF(AND($E35=2,NT35=0),1000000,INDEX('計算A'!AT$110:AT$114,$F35+1)+IF(AND($E35=1,NT35=0),1000,0)),1000000))</f>
        <v/>
      </c>
      <c r="XB35">
        <f>IF($B35=0,1000000,IF(INDEX('計算A'!$D$60:$II$104,$B35,44)*EN35=1,IF(AND($E35=2,NU35=0),1000000,INDEX('計算A'!AU$110:AU$114,$F35+1)+IF(AND($E35=1,NU35=0),1000,0)),1000000))</f>
        <v/>
      </c>
      <c r="XC35">
        <f>IF($B35=0,1000000,IF(INDEX('計算A'!$D$60:$II$104,$B35,45)*EO35=1,IF(AND($E35=2,NV35=0),1000000,INDEX('計算A'!AV$110:AV$114,$F35+1)+IF(AND($E35=1,NV35=0),1000,0)),1000000))</f>
        <v/>
      </c>
      <c r="XD35">
        <f>IF($B35=0,1000000,IF(INDEX('計算A'!$D$60:$II$104,$B35,46)*EP35=1,IF(AND($E35=2,NW35=0),1000000,INDEX('計算A'!AW$110:AW$114,$F35+1)+IF(AND($E35=1,NW35=0),1000,0)),1000000))</f>
        <v/>
      </c>
      <c r="XE35">
        <f>IF($B35=0,1000000,IF(INDEX('計算A'!$D$60:$II$104,$B35,47)*EQ35=1,IF(AND($E35=2,NX35=0),1000000,INDEX('計算A'!AX$110:AX$114,$F35+1)+IF(AND($E35=1,NX35=0),1000,0)),1000000))</f>
        <v/>
      </c>
      <c r="XF35">
        <f>IF($B35=0,1000000,IF(INDEX('計算A'!$D$60:$II$104,$B35,48)*ER35=1,IF(AND($E35=2,NY35=0),1000000,INDEX('計算A'!AY$110:AY$114,$F35+1)+IF(AND($E35=1,NY35=0),1000,0)),1000000))</f>
        <v/>
      </c>
      <c r="XG35">
        <f>IF($B35=0,1000000,IF(INDEX('計算A'!$D$60:$II$104,$B35,49)*ES35=1,IF(AND($E35=2,NZ35=0),1000000,INDEX('計算A'!AZ$110:AZ$114,$F35+1)+IF(AND($E35=1,NZ35=0),1000,0)),1000000))</f>
        <v/>
      </c>
      <c r="XH35">
        <f>IF($B35=0,1000000,IF(INDEX('計算A'!$D$60:$II$104,$B35,50)*ET35=1,IF(AND($E35=2,OA35=0),1000000,INDEX('計算A'!BA$110:BA$114,$F35+1)+IF(AND($E35=1,OA35=0),1000,0)),1000000))</f>
        <v/>
      </c>
      <c r="XI35">
        <f>IF($B35=0,1000000,IF(INDEX('計算A'!$D$60:$II$104,$B35,51)*EU35=1,IF(AND($E35=2,OB35=0),1000000,INDEX('計算A'!BB$110:BB$114,$F35+1)+IF(AND($E35=1,OB35=0),1000,0)),1000000))</f>
        <v/>
      </c>
      <c r="XJ35">
        <f>IF($B35=0,1000000,IF(INDEX('計算A'!$D$60:$II$104,$B35,52)*EV35=1,IF(AND($E35=2,OC35=0),1000000,INDEX('計算A'!BC$110:BC$114,$F35+1)+IF(AND($E35=1,OC35=0),1000,0)),1000000))</f>
        <v/>
      </c>
      <c r="XK35">
        <f>IF($B35=0,1000000,IF(INDEX('計算A'!$D$60:$II$104,$B35,53)*EW35=1,IF(AND($E35=2,OD35=0),1000000,INDEX('計算A'!BD$110:BD$114,$F35+1)+IF(AND($E35=1,OD35=0),1000,0)),1000000))</f>
        <v/>
      </c>
      <c r="XL35">
        <f>IF($B35=0,1000000,IF(INDEX('計算A'!$D$60:$II$104,$B35,54)*EX35=1,IF(AND($E35=2,OE35=0),1000000,INDEX('計算A'!BE$110:BE$114,$F35+1)+IF(AND($E35=1,OE35=0),1000,0)),1000000))</f>
        <v/>
      </c>
      <c r="XM35">
        <f>IF($B35=0,1000000,IF(INDEX('計算A'!$D$60:$II$104,$B35,55)*EY35=1,IF(AND($E35=2,OF35=0),1000000,INDEX('計算A'!BF$110:BF$114,$F35+1)+IF(AND($E35=1,OF35=0),1000,0)),1000000))</f>
        <v/>
      </c>
      <c r="XN35">
        <f>IF($B35=0,1000000,IF(INDEX('計算A'!$D$60:$II$104,$B35,56)*EZ35=1,IF(AND($E35=2,OG35=0),1000000,INDEX('計算A'!BG$110:BG$114,$F35+1)+IF(AND($E35=1,OG35=0),1000,0)),1000000))</f>
        <v/>
      </c>
      <c r="XO35">
        <f>IF($B35=0,1000000,IF(INDEX('計算A'!$D$60:$II$104,$B35,57)*FA35=1,IF(AND($E35=2,OH35=0),1000000,INDEX('計算A'!BH$110:BH$114,$F35+1)+IF(AND($E35=1,OH35=0),1000,0)),1000000))</f>
        <v/>
      </c>
      <c r="XP35">
        <f>IF($B35=0,1000000,IF(INDEX('計算A'!$D$60:$II$104,$B35,58)*FB35=1,IF(AND($E35=2,OI35=0),1000000,INDEX('計算A'!BI$110:BI$114,$F35+1)+IF(AND($E35=1,OI35=0),1000,0)),1000000))</f>
        <v/>
      </c>
      <c r="XQ35">
        <f>IF($B35=0,1000000,IF(INDEX('計算A'!$D$60:$II$104,$B35,59)*FC35=1,IF(AND($E35=2,OJ35=0),1000000,INDEX('計算A'!BJ$110:BJ$114,$F35+1)+IF(AND($E35=1,OJ35=0),1000,0)),1000000))</f>
        <v/>
      </c>
      <c r="XR35">
        <f>IF($B35=0,1000000,IF(INDEX('計算A'!$D$60:$II$104,$B35,60)*FD35=1,IF(AND($E35=2,OK35=0),1000000,INDEX('計算A'!BK$110:BK$114,$F35+1)+IF(AND($E35=1,OK35=0),1000,0)),1000000))</f>
        <v/>
      </c>
      <c r="XS35">
        <f>IF($B35=0,1000000,IF(INDEX('計算A'!$D$60:$II$104,$B35,61)*FE35=1,IF(AND($E35=2,OL35=0),1000000,INDEX('計算A'!BL$110:BL$114,$F35+1)+IF(AND($E35=1,OL35=0),1000,0)),1000000))</f>
        <v/>
      </c>
      <c r="XT35">
        <f>IF($B35=0,1000000,IF(INDEX('計算A'!$D$60:$II$104,$B35,62)*FF35=1,IF(AND($E35=2,OM35=0),1000000,INDEX('計算A'!BM$110:BM$114,$F35+1)+IF(AND($E35=1,OM35=0),1000,0)),1000000))</f>
        <v/>
      </c>
      <c r="XU35">
        <f>IF($B35=0,1000000,IF(INDEX('計算A'!$D$60:$II$104,$B35,63)*FG35=1,IF(AND($E35=2,ON35=0),1000000,INDEX('計算A'!BN$110:BN$114,$F35+1)+IF(AND($E35=1,ON35=0),1000,0)),1000000))</f>
        <v/>
      </c>
      <c r="XV35">
        <f>IF($B35=0,1000000,IF(INDEX('計算A'!$D$60:$II$104,$B35,64)*FH35=1,IF(AND($E35=2,OO35=0),1000000,INDEX('計算A'!BO$110:BO$114,$F35+1)+IF(AND($E35=1,OO35=0),1000,0)),1000000))</f>
        <v/>
      </c>
      <c r="XW35">
        <f>IF($B35=0,1000000,IF(INDEX('計算A'!$D$60:$II$104,$B35,65)*FI35=1,IF(AND($E35=2,OP35=0),1000000,INDEX('計算A'!BP$110:BP$114,$F35+1)+IF(AND($E35=1,OP35=0),1000,0)),1000000))</f>
        <v/>
      </c>
      <c r="XX35">
        <f>IF($B35=0,1000000,IF(INDEX('計算A'!$D$60:$II$104,$B35,66)*FJ35=1,IF(AND($E35=2,OQ35=0),1000000,INDEX('計算A'!BQ$110:BQ$114,$F35+1)+IF(AND($E35=1,OQ35=0),1000,0)),1000000))</f>
        <v/>
      </c>
      <c r="XY35">
        <f>IF($B35=0,1000000,IF(INDEX('計算A'!$D$60:$II$104,$B35,67)*FK35=1,IF(AND($E35=2,OR35=0),1000000,INDEX('計算A'!BR$110:BR$114,$F35+1)+IF(AND($E35=1,OR35=0),1000,0)),1000000))</f>
        <v/>
      </c>
      <c r="XZ35">
        <f>IF($B35=0,1000000,IF(INDEX('計算A'!$D$60:$II$104,$B35,68)*FL35=1,IF(AND($E35=2,OS35=0),1000000,INDEX('計算A'!BS$110:BS$114,$F35+1)+IF(AND($E35=1,OS35=0),1000,0)),1000000))</f>
        <v/>
      </c>
      <c r="YA35">
        <f>IF($B35=0,1000000,IF(INDEX('計算A'!$D$60:$II$104,$B35,69)*FM35=1,IF(AND($E35=2,OT35=0),1000000,INDEX('計算A'!BT$110:BT$114,$F35+1)+IF(AND($E35=1,OT35=0),1000,0)),1000000))</f>
        <v/>
      </c>
      <c r="YB35">
        <f>IF($B35=0,1000000,IF(INDEX('計算A'!$D$60:$II$104,$B35,70)*FN35=1,IF(AND($E35=2,OU35=0),1000000,INDEX('計算A'!BU$110:BU$114,$F35+1)+IF(AND($E35=1,OU35=0),1000,0)),1000000))</f>
        <v/>
      </c>
      <c r="YC35">
        <f>IF($B35=0,1000000,IF(INDEX('計算A'!$D$60:$II$104,$B35,71)*FO35=1,IF(AND($E35=2,OV35=0),1000000,INDEX('計算A'!BV$110:BV$114,$F35+1)+IF(AND($E35=1,OV35=0),1000,0)),1000000))</f>
        <v/>
      </c>
      <c r="YD35">
        <f>IF($B35=0,1000000,IF(INDEX('計算A'!$D$60:$II$104,$B35,72)*FP35=1,IF(AND($E35=2,OW35=0),1000000,INDEX('計算A'!BW$110:BW$114,$F35+1)+IF(AND($E35=1,OW35=0),1000,0)),1000000))</f>
        <v/>
      </c>
      <c r="YE35">
        <f>IF($B35=0,1000000,IF(INDEX('計算A'!$D$60:$II$104,$B35,73)*FQ35=1,IF(AND($E35=2,OX35=0),1000000,INDEX('計算A'!BX$110:BX$114,$F35+1)+IF(AND($E35=1,OX35=0),1000,0)),1000000))</f>
        <v/>
      </c>
      <c r="YF35">
        <f>IF($B35=0,1000000,IF(INDEX('計算A'!$D$60:$II$104,$B35,74)*FR35=1,IF(AND($E35=2,OY35=0),1000000,INDEX('計算A'!BY$110:BY$114,$F35+1)+IF(AND($E35=1,OY35=0),1000,0)),1000000))</f>
        <v/>
      </c>
      <c r="YG35">
        <f>IF($B35=0,1000000,IF(INDEX('計算A'!$D$60:$II$104,$B35,75)*FS35=1,IF(AND($E35=2,OZ35=0),1000000,INDEX('計算A'!BZ$110:BZ$114,$F35+1)+IF(AND($E35=1,OZ35=0),1000,0)),1000000))</f>
        <v/>
      </c>
      <c r="YH35">
        <f>IF($B35=0,1000000,IF(INDEX('計算A'!$D$60:$II$104,$B35,76)*FT35=1,IF(AND($E35=2,PA35=0),1000000,INDEX('計算A'!CA$110:CA$114,$F35+1)+IF(AND($E35=1,PA35=0),1000,0)),1000000))</f>
        <v/>
      </c>
      <c r="YI35">
        <f>IF($B35=0,1000000,IF(INDEX('計算A'!$D$60:$II$104,$B35,77)*FU35=1,IF(AND($E35=2,PB35=0),1000000,INDEX('計算A'!CB$110:CB$114,$F35+1)+IF(AND($E35=1,PB35=0),1000,0)),1000000))</f>
        <v/>
      </c>
      <c r="YJ35">
        <f>IF($B35=0,1000000,IF(INDEX('計算A'!$D$60:$II$104,$B35,78)*FV35=1,IF(AND($E35=2,PC35=0),1000000,INDEX('計算A'!CC$110:CC$114,$F35+1)+IF(AND($E35=1,PC35=0),1000,0)),1000000))</f>
        <v/>
      </c>
      <c r="YK35">
        <f>IF($B35=0,1000000,IF(INDEX('計算A'!$D$60:$II$104,$B35,79)*FW35=1,IF(AND($E35=2,PD35=0),1000000,INDEX('計算A'!CD$110:CD$114,$F35+1)+IF(AND($E35=1,PD35=0),1000,0)),1000000))</f>
        <v/>
      </c>
      <c r="YL35">
        <f>IF($B35=0,1000000,IF(INDEX('計算A'!$D$60:$II$104,$B35,80)*FX35=1,IF(AND($E35=2,PE35=0),1000000,INDEX('計算A'!CE$110:CE$114,$F35+1)+IF(AND($E35=1,PE35=0),1000,0)),1000000))</f>
        <v/>
      </c>
      <c r="YM35">
        <f>IF($B35=0,1000000,IF(INDEX('計算A'!$D$60:$II$104,$B35,81)*FY35=1,IF(AND($E35=2,PF35=0),1000000,INDEX('計算A'!CF$110:CF$114,$F35+1)+IF(AND($E35=1,PF35=0),1000,0)),1000000))</f>
        <v/>
      </c>
      <c r="YN35">
        <f>IF($B35=0,1000000,IF(INDEX('計算A'!$D$60:$II$104,$B35,82)*FZ35=1,IF(AND($E35=2,PG35=0),1000000,INDEX('計算A'!CG$110:CG$114,$F35+1)+IF(AND($E35=1,PG35=0),1000,0)),1000000))</f>
        <v/>
      </c>
      <c r="YO35">
        <f>IF($B35=0,1000000,IF(INDEX('計算A'!$D$60:$II$104,$B35,83)*GA35=1,IF(AND($E35=2,PH35=0),1000000,INDEX('計算A'!CH$110:CH$114,$F35+1)+IF(AND($E35=1,PH35=0),1000,0)),1000000))</f>
        <v/>
      </c>
      <c r="YP35">
        <f>IF($B35=0,1000000,IF(INDEX('計算A'!$D$60:$II$104,$B35,84)*GB35=1,IF(AND($E35=2,PI35=0),1000000,INDEX('計算A'!CI$110:CI$114,$F35+1)+IF(AND($E35=1,PI35=0),1000,0)),1000000))</f>
        <v/>
      </c>
      <c r="YQ35">
        <f>IF($B35=0,1000000,IF(INDEX('計算A'!$D$60:$II$104,$B35,85)*GC35=1,IF(AND($E35=2,PJ35=0),1000000,INDEX('計算A'!CJ$110:CJ$114,$F35+1)+IF(AND($E35=1,PJ35=0),1000,0)),1000000))</f>
        <v/>
      </c>
      <c r="YR35">
        <f>IF($B35=0,1000000,IF(INDEX('計算A'!$D$60:$II$104,$B35,86)*GD35=1,IF(AND($E35=2,PK35=0),1000000,INDEX('計算A'!CK$110:CK$114,$F35+1)+IF(AND($E35=1,PK35=0),1000,0)),1000000))</f>
        <v/>
      </c>
      <c r="YS35">
        <f>IF($B35=0,1000000,IF(INDEX('計算A'!$D$60:$II$104,$B35,87)*GE35=1,IF(AND($E35=2,PL35=0),1000000,INDEX('計算A'!CL$110:CL$114,$F35+1)+IF(AND($E35=1,PL35=0),1000,0)),1000000))</f>
        <v/>
      </c>
      <c r="YT35">
        <f>IF($B35=0,1000000,IF(INDEX('計算A'!$D$60:$II$104,$B35,88)*GF35=1,IF(AND($E35=2,PM35=0),1000000,INDEX('計算A'!CM$110:CM$114,$F35+1)+IF(AND($E35=1,PM35=0),1000,0)),1000000))</f>
        <v/>
      </c>
      <c r="YU35">
        <f>IF($B35=0,1000000,IF(INDEX('計算A'!$D$60:$II$104,$B35,89)*GG35=1,IF(AND($E35=2,PN35=0),1000000,INDEX('計算A'!CN$110:CN$114,$F35+1)+IF(AND($E35=1,PN35=0),1000,0)),1000000))</f>
        <v/>
      </c>
      <c r="YV35">
        <f>IF($B35=0,1000000,IF(INDEX('計算A'!$D$60:$II$104,$B35,90)*GH35=1,IF(AND($E35=2,PO35=0),1000000,INDEX('計算A'!CO$110:CO$114,$F35+1)+IF(AND($E35=1,PO35=0),1000,0)),1000000))</f>
        <v/>
      </c>
      <c r="YW35">
        <f>IF($B35=0,1000000,IF(INDEX('計算A'!$D$60:$II$104,$B35,91)*GI35=1,IF(AND($E35=2,PP35=0),1000000,INDEX('計算A'!CP$110:CP$114,$F35+1)+IF(AND($E35=1,PP35=0),1000,0)),1000000))</f>
        <v/>
      </c>
      <c r="YX35">
        <f>IF($B35=0,1000000,IF(INDEX('計算A'!$D$60:$II$104,$B35,92)*GJ35=1,IF(AND($E35=2,PQ35=0),1000000,INDEX('計算A'!CQ$110:CQ$114,$F35+1)+IF(AND($E35=1,PQ35=0),1000,0)),1000000))</f>
        <v/>
      </c>
      <c r="YY35">
        <f>IF($B35=0,1000000,IF(INDEX('計算A'!$D$60:$II$104,$B35,93)*GK35=1,IF(AND($E35=2,PR35=0),1000000,INDEX('計算A'!CR$110:CR$114,$F35+1)+IF(AND($E35=1,PR35=0),1000,0)),1000000))</f>
        <v/>
      </c>
      <c r="YZ35">
        <f>IF($B35=0,1000000,IF(INDEX('計算A'!$D$60:$II$104,$B35,94)*GL35=1,IF(AND($E35=2,PS35=0),1000000,INDEX('計算A'!CS$110:CS$114,$F35+1)+IF(AND($E35=1,PS35=0),1000,0)),1000000))</f>
        <v/>
      </c>
      <c r="ZA35">
        <f>IF($B35=0,1000000,IF(INDEX('計算A'!$D$60:$II$104,$B35,95)*GM35=1,IF(AND($E35=2,PT35=0),1000000,INDEX('計算A'!CT$110:CT$114,$F35+1)+IF(AND($E35=1,PT35=0),1000,0)),1000000))</f>
        <v/>
      </c>
      <c r="ZB35">
        <f>IF($B35=0,1000000,IF(INDEX('計算A'!$D$60:$II$104,$B35,96)*GN35=1,IF(AND($E35=2,PU35=0),1000000,INDEX('計算A'!CU$110:CU$114,$F35+1)+IF(AND($E35=1,PU35=0),1000,0)),1000000))</f>
        <v/>
      </c>
      <c r="ZC35">
        <f>IF($B35=0,1000000,IF(INDEX('計算A'!$D$60:$II$104,$B35,97)*GO35=1,IF(AND($E35=2,PV35=0),1000000,INDEX('計算A'!CV$110:CV$114,$F35+1)+IF(AND($E35=1,PV35=0),1000,0)),1000000))</f>
        <v/>
      </c>
      <c r="ZD35">
        <f>IF($B35=0,1000000,IF(INDEX('計算A'!$D$60:$II$104,$B35,98)*GP35=1,IF(AND($E35=2,PW35=0),1000000,INDEX('計算A'!CW$110:CW$114,$F35+1)+IF(AND($E35=1,PW35=0),1000,0)),1000000))</f>
        <v/>
      </c>
      <c r="ZE35">
        <f>IF($B35=0,1000000,IF(INDEX('計算A'!$D$60:$II$104,$B35,99)*GQ35=1,IF(AND($E35=2,PX35=0),1000000,INDEX('計算A'!CX$110:CX$114,$F35+1)+IF(AND($E35=1,PX35=0),1000,0)),1000000))</f>
        <v/>
      </c>
      <c r="ZF35">
        <f>IF($B35=0,1000000,IF(INDEX('計算A'!$D$60:$II$104,$B35,100)*GR35=1,IF(AND($E35=2,PY35=0),1000000,INDEX('計算A'!CY$110:CY$114,$F35+1)+IF(AND($E35=1,PY35=0),1000,0)),1000000))</f>
        <v/>
      </c>
      <c r="ZG35">
        <f>IF($B35=0,1000000,IF(INDEX('計算A'!$D$60:$II$104,$B35,101)*GS35=1,IF(AND($E35=2,PZ35=0),1000000,INDEX('計算A'!CZ$110:CZ$114,$F35+1)+IF(AND($E35=1,PZ35=0),1000,0)),1000000))</f>
        <v/>
      </c>
      <c r="ZH35">
        <f>IF($B35=0,1000000,IF(INDEX('計算A'!$D$60:$II$104,$B35,102)*GT35=1,IF(AND($E35=2,QA35=0),1000000,INDEX('計算A'!DA$110:DA$114,$F35+1)+IF(AND($E35=1,QA35=0),1000,0)),1000000))</f>
        <v/>
      </c>
      <c r="ZI35">
        <f>IF($B35=0,1000000,IF(INDEX('計算A'!$D$60:$II$104,$B35,103)*GU35=1,IF(AND($E35=2,QB35=0),1000000,INDEX('計算A'!DB$110:DB$114,$F35+1)+IF(AND($E35=1,QB35=0),1000,0)),1000000))</f>
        <v/>
      </c>
      <c r="ZJ35">
        <f>IF($B35=0,1000000,IF(INDEX('計算A'!$D$60:$II$104,$B35,104)*GV35=1,IF(AND($E35=2,QC35=0),1000000,INDEX('計算A'!DC$110:DC$114,$F35+1)+IF(AND($E35=1,QC35=0),1000,0)),1000000))</f>
        <v/>
      </c>
      <c r="ZK35">
        <f>IF($B35=0,1000000,IF(INDEX('計算A'!$D$60:$II$104,$B35,105)*GW35=1,IF(AND($E35=2,QD35=0),1000000,INDEX('計算A'!DD$110:DD$114,$F35+1)+IF(AND($E35=1,QD35=0),1000,0)),1000000))</f>
        <v/>
      </c>
      <c r="ZL35">
        <f>IF($B35=0,1000000,IF(INDEX('計算A'!$D$60:$II$104,$B35,106)*GX35=1,IF(AND($E35=2,QE35=0),1000000,INDEX('計算A'!DE$110:DE$114,$F35+1)+IF(AND($E35=1,QE35=0),1000,0)),1000000))</f>
        <v/>
      </c>
      <c r="ZM35">
        <f>IF($B35=0,1000000,IF(INDEX('計算A'!$D$60:$II$104,$B35,107)*GY35=1,IF(AND($E35=2,QF35=0),1000000,INDEX('計算A'!DF$110:DF$114,$F35+1)+IF(AND($E35=1,QF35=0),1000,0)),1000000))</f>
        <v/>
      </c>
      <c r="ZN35">
        <f>IF($B35=0,1000000,IF(INDEX('計算A'!$D$60:$II$104,$B35,108)*GZ35=1,IF(AND($E35=2,QG35=0),1000000,INDEX('計算A'!DG$110:DG$114,$F35+1)+IF(AND($E35=1,QG35=0),1000,0)),1000000))</f>
        <v/>
      </c>
      <c r="ZO35">
        <f>IF($B35=0,1000000,IF(INDEX('計算A'!$D$60:$II$104,$B35,109)*HA35=1,IF(AND($E35=2,QH35=0),1000000,INDEX('計算A'!DH$110:DH$114,$F35+1)+IF(AND($E35=1,QH35=0),1000,0)),1000000))</f>
        <v/>
      </c>
      <c r="ZP35">
        <f>IF($B35=0,1000000,IF(INDEX('計算A'!$D$60:$II$104,$B35,110)*HB35=1,IF(AND($E35=2,QI35=0),1000000,INDEX('計算A'!DI$110:DI$114,$F35+1)+IF(AND($E35=1,QI35=0),1000,0)),1000000))</f>
        <v/>
      </c>
      <c r="ZQ35">
        <f>IF($B35=0,1000000,IF(INDEX('計算A'!$D$60:$II$104,$B35,111)*HC35=1,IF(AND($E35=2,QJ35=0),1000000,INDEX('計算A'!DJ$110:DJ$114,$F35+1)+IF(AND($E35=1,QJ35=0),1000,0)),1000000))</f>
        <v/>
      </c>
      <c r="ZR35">
        <f>IF($B35=0,1000000,IF(INDEX('計算A'!$D$60:$II$104,$B35,112)*HD35=1,IF(AND($E35=2,QK35=0),1000000,INDEX('計算A'!DK$110:DK$114,$F35+1)+IF(AND($E35=1,QK35=0),1000,0)),1000000))</f>
        <v/>
      </c>
      <c r="ZS35">
        <f>IF($B35=0,1000000,IF(INDEX('計算A'!$D$60:$II$104,$B35,113)*HE35=1,IF(AND($E35=2,QL35=0),1000000,INDEX('計算A'!DL$110:DL$114,$F35+1)+IF(AND($E35=1,QL35=0),1000,0)),1000000))</f>
        <v/>
      </c>
      <c r="ZT35">
        <f>IF($B35=0,1000000,IF(INDEX('計算A'!$D$60:$II$104,$B35,114)*HF35=1,IF(AND($E35=2,QM35=0),1000000,INDEX('計算A'!DM$110:DM$114,$F35+1)+IF(AND($E35=1,QM35=0),1000,0)),1000000))</f>
        <v/>
      </c>
      <c r="ZU35">
        <f>IF($B35=0,1000000,IF(INDEX('計算A'!$D$60:$II$104,$B35,115)*HG35=1,IF(AND($E35=2,QN35=0),1000000,INDEX('計算A'!DN$110:DN$114,$F35+1)+IF(AND($E35=1,QN35=0),1000,0)),1000000))</f>
        <v/>
      </c>
      <c r="ZV35">
        <f>IF($B35=0,1000000,IF(INDEX('計算A'!$D$60:$II$104,$B35,116)*HH35=1,IF(AND($E35=2,QO35=0),1000000,INDEX('計算A'!DO$110:DO$114,$F35+1)+IF(AND($E35=1,QO35=0),1000,0)),1000000))</f>
        <v/>
      </c>
      <c r="ZW35">
        <f>IF($B35=0,1000000,IF(INDEX('計算A'!$D$60:$II$104,$B35,117)*HI35=1,IF(AND($E35=2,QP35=0),1000000,INDEX('計算A'!DP$110:DP$114,$F35+1)+IF(AND($E35=1,QP35=0),1000,0)),1000000))</f>
        <v/>
      </c>
      <c r="ZX35">
        <f>IF($B35=0,1000000,IF(INDEX('計算A'!$D$60:$II$104,$B35,118)*HJ35=1,IF(AND($E35=2,QQ35=0),1000000,INDEX('計算A'!DQ$110:DQ$114,$F35+1)+IF(AND($E35=1,QQ35=0),1000,0)),1000000))</f>
        <v/>
      </c>
      <c r="ZY35">
        <f>IF($B35=0,1000000,IF(INDEX('計算A'!$D$60:$II$104,$B35,119)*HK35=1,IF(AND($E35=2,QR35=0),1000000,INDEX('計算A'!DR$110:DR$114,$F35+1)+IF(AND($E35=1,QR35=0),1000,0)),1000000))</f>
        <v/>
      </c>
      <c r="ZZ35">
        <f>IF($B35=0,1000000,IF(INDEX('計算A'!$D$60:$II$104,$B35,120)*HL35=1,IF(AND($E35=2,QS35=0),1000000,INDEX('計算A'!DS$110:DS$114,$F35+1)+IF(AND($E35=1,QS35=0),1000,0)),1000000))</f>
        <v/>
      </c>
      <c r="AAA35">
        <f>IF($B35=0,1000000,IF(INDEX('計算A'!$D$60:$II$104,$B35,121)*HM35=1,IF(AND($E35=2,QT35=0),1000000,INDEX('計算A'!DT$110:DT$114,$F35+1)+IF(AND($E35=1,QT35=0),1000,0)),1000000))</f>
        <v/>
      </c>
      <c r="AAB35">
        <f>IF($B35=0,1000000,IF(INDEX('計算A'!$D$60:$II$104,$B35,122)*HN35=1,IF(AND($E35=2,QU35=0),1000000,INDEX('計算A'!DU$110:DU$114,$F35+1)+IF(AND($E35=1,QU35=0),1000,0)),1000000))</f>
        <v/>
      </c>
      <c r="AAC35">
        <f>IF($B35=0,1000000,IF(INDEX('計算A'!$D$60:$II$104,$B35,123)*HO35=1,IF(AND($E35=2,QV35=0),1000000,INDEX('計算A'!DV$110:DV$114,$F35+1)+IF(AND($E35=1,QV35=0),1000,0)),1000000))</f>
        <v/>
      </c>
      <c r="AAD35">
        <f>IF($B35=0,1000000,IF(INDEX('計算A'!$D$60:$II$104,$B35,124)*HP35=1,IF(AND($E35=2,QW35=0),1000000,INDEX('計算A'!DW$110:DW$114,$F35+1)+IF(AND($E35=1,QW35=0),1000,0)),1000000))</f>
        <v/>
      </c>
      <c r="AAE35">
        <f>IF($B35=0,1000000,IF(INDEX('計算A'!$D$60:$II$104,$B35,125)*HQ35=1,IF(AND($E35=2,QX35=0),1000000,INDEX('計算A'!DX$110:DX$114,$F35+1)+IF(AND($E35=1,QX35=0),1000,0)),1000000))</f>
        <v/>
      </c>
      <c r="AAF35">
        <f>IF($B35=0,1000000,IF(INDEX('計算A'!$D$60:$II$104,$B35,126)*HR35=1,IF(AND($E35=2,QY35=0),1000000,INDEX('計算A'!DY$110:DY$114,$F35+1)+IF(AND($E35=1,QY35=0),1000,0)),1000000))</f>
        <v/>
      </c>
      <c r="AAG35">
        <f>IF($B35=0,1000000,IF(INDEX('計算A'!$D$60:$II$104,$B35,127)*HS35=1,IF(AND($E35=2,QZ35=0),1000000,INDEX('計算A'!DZ$110:DZ$114,$F35+1)+IF(AND($E35=1,QZ35=0),1000,0)),1000000))</f>
        <v/>
      </c>
      <c r="AAH35">
        <f>IF($B35=0,1000000,IF(INDEX('計算A'!$D$60:$II$104,$B35,128)*HT35=1,IF(AND($E35=2,RA35=0),1000000,INDEX('計算A'!EA$110:EA$114,$F35+1)+IF(AND($E35=1,RA35=0),1000,0)),1000000))</f>
        <v/>
      </c>
      <c r="AAI35">
        <f>IF($B35=0,1000000,IF(INDEX('計算A'!$D$60:$II$104,$B35,129)*HU35=1,IF(AND($E35=2,RB35=0),1000000,INDEX('計算A'!EB$110:EB$114,$F35+1)+IF(AND($E35=1,RB35=0),1000,0)),1000000))</f>
        <v/>
      </c>
      <c r="AAJ35">
        <f>IF($B35=0,1000000,IF(INDEX('計算A'!$D$60:$II$104,$B35,130)*HV35=1,IF(AND($E35=2,RC35=0),1000000,INDEX('計算A'!EC$110:EC$114,$F35+1)+IF(AND($E35=1,RC35=0),1000,0)),1000000))</f>
        <v/>
      </c>
      <c r="AAK35">
        <f>IF($B35=0,1000000,IF(INDEX('計算A'!$D$60:$II$104,$B35,131)*HW35=1,IF(AND($E35=2,RD35=0),1000000,INDEX('計算A'!ED$110:ED$114,$F35+1)+IF(AND($E35=1,RD35=0),1000,0)),1000000))</f>
        <v/>
      </c>
      <c r="AAL35">
        <f>IF($B35=0,1000000,IF(INDEX('計算A'!$D$60:$II$104,$B35,132)*HX35=1,IF(AND($E35=2,RE35=0),1000000,INDEX('計算A'!EE$110:EE$114,$F35+1)+IF(AND($E35=1,RE35=0),1000,0)),1000000))</f>
        <v/>
      </c>
      <c r="AAM35">
        <f>IF($B35=0,1000000,IF(INDEX('計算A'!$D$60:$II$104,$B35,133)*HY35=1,IF(AND($E35=2,RF35=0),1000000,INDEX('計算A'!EF$110:EF$114,$F35+1)+IF(AND($E35=1,RF35=0),1000,0)),1000000))</f>
        <v/>
      </c>
      <c r="AAN35">
        <f>IF($B35=0,1000000,IF(INDEX('計算A'!$D$60:$II$104,$B35,134)*HZ35=1,IF(AND($E35=2,RG35=0),1000000,INDEX('計算A'!EG$110:EG$114,$F35+1)+IF(AND($E35=1,RG35=0),1000,0)),1000000))</f>
        <v/>
      </c>
      <c r="AAO35">
        <f>IF($B35=0,1000000,IF(INDEX('計算A'!$D$60:$II$104,$B35,135)*IA35=1,IF(AND($E35=2,RH35=0),1000000,INDEX('計算A'!EH$110:EH$114,$F35+1)+IF(AND($E35=1,RH35=0),1000,0)),1000000))</f>
        <v/>
      </c>
      <c r="AAP35">
        <f>IF($B35=0,1000000,IF(INDEX('計算A'!$D$60:$II$104,$B35,136)*IB35=1,IF(AND($E35=2,RI35=0),1000000,INDEX('計算A'!EI$110:EI$114,$F35+1)+IF(AND($E35=1,RI35=0),1000,0)),1000000))</f>
        <v/>
      </c>
      <c r="AAQ35">
        <f>IF($B35=0,1000000,IF(INDEX('計算A'!$D$60:$II$104,$B35,137)*IC35=1,IF(AND($E35=2,RJ35=0),1000000,INDEX('計算A'!EJ$110:EJ$114,$F35+1)+IF(AND($E35=1,RJ35=0),1000,0)),1000000))</f>
        <v/>
      </c>
      <c r="AAR35">
        <f>IF($B35=0,1000000,IF(INDEX('計算A'!$D$60:$II$104,$B35,138)*ID35=1,IF(AND($E35=2,RK35=0),1000000,INDEX('計算A'!EK$110:EK$114,$F35+1)+IF(AND($E35=1,RK35=0),1000,0)),1000000))</f>
        <v/>
      </c>
      <c r="AAS35">
        <f>IF($B35=0,1000000,IF(INDEX('計算A'!$D$60:$II$104,$B35,139)*IE35=1,IF(AND($E35=2,RL35=0),1000000,INDEX('計算A'!EL$110:EL$114,$F35+1)+IF(AND($E35=1,RL35=0),1000,0)),1000000))</f>
        <v/>
      </c>
      <c r="AAT35">
        <f>IF($B35=0,1000000,IF(INDEX('計算A'!$D$60:$II$104,$B35,140)*IF35=1,IF(AND($E35=2,RM35=0),1000000,INDEX('計算A'!EM$110:EM$114,$F35+1)+IF(AND($E35=1,RM35=0),1000,0)),1000000))</f>
        <v/>
      </c>
      <c r="AAU35">
        <f>IF($B35=0,1000000,IF(INDEX('計算A'!$D$60:$II$104,$B35,141)*IG35=1,IF(AND($E35=2,RN35=0),1000000,INDEX('計算A'!EN$110:EN$114,$F35+1)+IF(AND($E35=1,RN35=0),1000,0)),1000000))</f>
        <v/>
      </c>
      <c r="AAV35">
        <f>IF($B35=0,1000000,IF(INDEX('計算A'!$D$60:$II$104,$B35,142)*IH35=1,IF(AND($E35=2,RO35=0),1000000,INDEX('計算A'!EO$110:EO$114,$F35+1)+IF(AND($E35=1,RO35=0),1000,0)),1000000))</f>
        <v/>
      </c>
      <c r="AAW35">
        <f>IF($B35=0,1000000,IF(INDEX('計算A'!$D$60:$II$104,$B35,143)*II35=1,IF(AND($E35=2,RP35=0),1000000,INDEX('計算A'!EP$110:EP$114,$F35+1)+IF(AND($E35=1,RP35=0),1000,0)),1000000))</f>
        <v/>
      </c>
      <c r="AAX35">
        <f>IF($B35=0,1000000,IF(INDEX('計算A'!$D$60:$II$104,$B35,144)*IJ35=1,IF(AND($E35=2,RQ35=0),1000000,INDEX('計算A'!EQ$110:EQ$114,$F35+1)+IF(AND($E35=1,RQ35=0),1000,0)),1000000))</f>
        <v/>
      </c>
      <c r="AAY35">
        <f>IF($B35=0,1000000,IF(INDEX('計算A'!$D$60:$II$104,$B35,145)*IK35=1,IF(AND($E35=2,RR35=0),1000000,INDEX('計算A'!ER$110:ER$114,$F35+1)+IF(AND($E35=1,RR35=0),1000,0)),1000000))</f>
        <v/>
      </c>
      <c r="AAZ35">
        <f>IF($B35=0,1000000,IF(INDEX('計算A'!$D$60:$II$104,$B35,146)*IL35=1,IF(AND($E35=2,RS35=0),1000000,INDEX('計算A'!ES$110:ES$114,$F35+1)+IF(AND($E35=1,RS35=0),1000,0)),1000000))</f>
        <v/>
      </c>
      <c r="ABA35">
        <f>IF($B35=0,1000000,IF(INDEX('計算A'!$D$60:$II$104,$B35,147)*IM35=1,IF(AND($E35=2,RT35=0),1000000,INDEX('計算A'!ET$110:ET$114,$F35+1)+IF(AND($E35=1,RT35=0),1000,0)),1000000))</f>
        <v/>
      </c>
      <c r="ABB35">
        <f>IF($B35=0,1000000,IF(INDEX('計算A'!$D$60:$II$104,$B35,148)*IN35=1,IF(AND($E35=2,RU35=0),1000000,INDEX('計算A'!EU$110:EU$114,$F35+1)+IF(AND($E35=1,RU35=0),1000,0)),1000000))</f>
        <v/>
      </c>
      <c r="ABC35">
        <f>IF($B35=0,1000000,IF(INDEX('計算A'!$D$60:$II$104,$B35,149)*IO35=1,IF(AND($E35=2,RV35=0),1000000,INDEX('計算A'!EV$110:EV$114,$F35+1)+IF(AND($E35=1,RV35=0),1000,0)),1000000))</f>
        <v/>
      </c>
      <c r="ABD35">
        <f>IF($B35=0,1000000,IF(INDEX('計算A'!$D$60:$II$104,$B35,150)*IP35=1,IF(AND($E35=2,RW35=0),1000000,INDEX('計算A'!EW$110:EW$114,$F35+1)+IF(AND($E35=1,RW35=0),1000,0)),1000000))</f>
        <v/>
      </c>
      <c r="ABE35">
        <f>IF($B35=0,1000000,IF(INDEX('計算A'!$D$60:$II$104,$B35,151)*IQ35=1,IF(AND($E35=2,RX35=0),1000000,INDEX('計算A'!EX$110:EX$114,$F35+1)+IF(AND($E35=1,RX35=0),1000,0)),1000000))</f>
        <v/>
      </c>
      <c r="ABF35">
        <f>IF($B35=0,1000000,IF(INDEX('計算A'!$D$60:$II$104,$B35,152)*IR35=1,IF(AND($E35=2,RY35=0),1000000,INDEX('計算A'!EY$110:EY$114,$F35+1)+IF(AND($E35=1,RY35=0),1000,0)),1000000))</f>
        <v/>
      </c>
      <c r="ABG35">
        <f>IF($B35=0,1000000,IF(INDEX('計算A'!$D$60:$II$104,$B35,153)*IS35=1,IF(AND($E35=2,RZ35=0),1000000,INDEX('計算A'!EZ$110:EZ$114,$F35+1)+IF(AND($E35=1,RZ35=0),1000,0)),1000000))</f>
        <v/>
      </c>
      <c r="ABH35">
        <f>IF($B35=0,1000000,IF(INDEX('計算A'!$D$60:$II$104,$B35,154)*IT35=1,IF(AND($E35=2,SA35=0),1000000,INDEX('計算A'!FA$110:FA$114,$F35+1)+IF(AND($E35=1,SA35=0),1000,0)),1000000))</f>
        <v/>
      </c>
      <c r="ABI35">
        <f>IF($B35=0,1000000,IF(INDEX('計算A'!$D$60:$II$104,$B35,155)*IU35=1,IF(AND($E35=2,SB35=0),1000000,INDEX('計算A'!FB$110:FB$114,$F35+1)+IF(AND($E35=1,SB35=0),1000,0)),1000000))</f>
        <v/>
      </c>
      <c r="ABJ35">
        <f>IF($B35=0,1000000,IF(INDEX('計算A'!$D$60:$II$104,$B35,156)*IV35=1,IF(AND($E35=2,SC35=0),1000000,INDEX('計算A'!FC$110:FC$114,$F35+1)+IF(AND($E35=1,SC35=0),1000,0)),1000000))</f>
        <v/>
      </c>
      <c r="ABK35">
        <f>IF($B35=0,1000000,IF(INDEX('計算A'!$D$60:$II$104,$B35,157)*IW35=1,IF(AND($E35=2,SD35=0),1000000,INDEX('計算A'!FD$110:FD$114,$F35+1)+IF(AND($E35=1,SD35=0),1000,0)),1000000))</f>
        <v/>
      </c>
      <c r="ABL35">
        <f>IF($B35=0,1000000,IF(INDEX('計算A'!$D$60:$II$104,$B35,158)*IX35=1,IF(AND($E35=2,SE35=0),1000000,INDEX('計算A'!FE$110:FE$114,$F35+1)+IF(AND($E35=1,SE35=0),1000,0)),1000000))</f>
        <v/>
      </c>
      <c r="ABM35">
        <f>IF($B35=0,1000000,IF(INDEX('計算A'!$D$60:$II$104,$B35,159)*IY35=1,IF(AND($E35=2,SF35=0),1000000,INDEX('計算A'!FF$110:FF$114,$F35+1)+IF(AND($E35=1,SF35=0),1000,0)),1000000))</f>
        <v/>
      </c>
      <c r="ABN35">
        <f>IF($B35=0,1000000,IF(INDEX('計算A'!$D$60:$II$104,$B35,160)*IZ35=1,IF(AND($E35=2,SG35=0),1000000,INDEX('計算A'!FG$110:FG$114,$F35+1)+IF(AND($E35=1,SG35=0),1000,0)),1000000))</f>
        <v/>
      </c>
      <c r="ABO35">
        <f>IF($B35=0,1000000,IF(INDEX('計算A'!$D$60:$II$104,$B35,161)*JA35=1,IF(AND($E35=2,SH35=0),1000000,INDEX('計算A'!FH$110:FH$114,$F35+1)+IF(AND($E35=1,SH35=0),1000,0)),1000000))</f>
        <v/>
      </c>
      <c r="ABP35">
        <f>IF($B35=0,1000000,IF(INDEX('計算A'!$D$60:$II$104,$B35,162)*JB35=1,IF(AND($E35=2,SI35=0),1000000,INDEX('計算A'!FI$110:FI$114,$F35+1)+IF(AND($E35=1,SI35=0),1000,0)),1000000))</f>
        <v/>
      </c>
      <c r="ABQ35">
        <f>IF($B35=0,1000000,IF(INDEX('計算A'!$D$60:$II$104,$B35,163)*JC35=1,IF(AND($E35=2,SJ35=0),1000000,INDEX('計算A'!FJ$110:FJ$114,$F35+1)+IF(AND($E35=1,SJ35=0),1000,0)),1000000))</f>
        <v/>
      </c>
      <c r="ABR35">
        <f>IF($B35=0,1000000,IF(INDEX('計算A'!$D$60:$II$104,$B35,164)*JD35=1,IF(AND($E35=2,SK35=0),1000000,INDEX('計算A'!FK$110:FK$114,$F35+1)+IF(AND($E35=1,SK35=0),1000,0)),1000000))</f>
        <v/>
      </c>
      <c r="ABS35">
        <f>IF($B35=0,1000000,IF(INDEX('計算A'!$D$60:$II$104,$B35,165)*JE35=1,IF(AND($E35=2,SL35=0),1000000,INDEX('計算A'!FL$110:FL$114,$F35+1)+IF(AND($E35=1,SL35=0),1000,0)),1000000))</f>
        <v/>
      </c>
      <c r="ABT35">
        <f>IF($B35=0,1000000,IF(INDEX('計算A'!$D$60:$II$104,$B35,166)*JF35=1,IF(AND($E35=2,SM35=0),1000000,INDEX('計算A'!FM$110:FM$114,$F35+1)+IF(AND($E35=1,SM35=0),1000,0)),1000000))</f>
        <v/>
      </c>
      <c r="ABU35">
        <f>IF($B35=0,1000000,IF(INDEX('計算A'!$D$60:$II$104,$B35,167)*JG35=1,IF(AND($E35=2,SN35=0),1000000,INDEX('計算A'!FN$110:FN$114,$F35+1)+IF(AND($E35=1,SN35=0),1000,0)),1000000))</f>
        <v/>
      </c>
      <c r="ABV35">
        <f>IF($B35=0,1000000,IF(INDEX('計算A'!$D$60:$II$104,$B35,168)*JH35=1,IF(AND($E35=2,SO35=0),1000000,INDEX('計算A'!FO$110:FO$114,$F35+1)+IF(AND($E35=1,SO35=0),1000,0)),1000000))</f>
        <v/>
      </c>
      <c r="ABW35">
        <f>IF($B35=0,1000000,IF(INDEX('計算A'!$D$60:$II$104,$B35,169)*JI35=1,IF(AND($E35=2,SP35=0),1000000,INDEX('計算A'!FP$110:FP$114,$F35+1)+IF(AND($E35=1,SP35=0),1000,0)),1000000))</f>
        <v/>
      </c>
      <c r="ABX35">
        <f>IF($B35=0,1000000,IF(INDEX('計算A'!$D$60:$II$104,$B35,170)*JJ35=1,IF(AND($E35=2,SQ35=0),1000000,INDEX('計算A'!FQ$110:FQ$114,$F35+1)+IF(AND($E35=1,SQ35=0),1000,0)),1000000))</f>
        <v/>
      </c>
      <c r="ABY35">
        <f>IF($B35=0,1000000,IF(INDEX('計算A'!$D$60:$II$104,$B35,171)*JK35=1,IF(AND($E35=2,SR35=0),1000000,INDEX('計算A'!FR$110:FR$114,$F35+1)+IF(AND($E35=1,SR35=0),1000,0)),1000000))</f>
        <v/>
      </c>
      <c r="ABZ35">
        <f>IF($B35=0,1000000,IF(INDEX('計算A'!$D$60:$II$104,$B35,172)*JL35=1,IF(AND($E35=2,SS35=0),1000000,INDEX('計算A'!FS$110:FS$114,$F35+1)+IF(AND($E35=1,SS35=0),1000,0)),1000000))</f>
        <v/>
      </c>
      <c r="ACA35">
        <f>IF($B35=0,1000000,IF(INDEX('計算A'!$D$60:$II$104,$B35,173)*JM35=1,IF(AND($E35=2,ST35=0),1000000,INDEX('計算A'!FT$110:FT$114,$F35+1)+IF(AND($E35=1,ST35=0),1000,0)),1000000))</f>
        <v/>
      </c>
      <c r="ACB35">
        <f>IF($B35=0,1000000,IF(INDEX('計算A'!$D$60:$II$104,$B35,174)*JN35=1,IF(AND($E35=2,SU35=0),1000000,INDEX('計算A'!FU$110:FU$114,$F35+1)+IF(AND($E35=1,SU35=0),1000,0)),1000000))</f>
        <v/>
      </c>
      <c r="ACC35">
        <f>IF($B35=0,1000000,IF(INDEX('計算A'!$D$60:$II$104,$B35,175)*JO35=1,IF(AND($E35=2,SV35=0),1000000,INDEX('計算A'!FV$110:FV$114,$F35+1)+IF(AND($E35=1,SV35=0),1000,0)),1000000))</f>
        <v/>
      </c>
      <c r="ACD35">
        <f>IF($B35=0,1000000,IF(INDEX('計算A'!$D$60:$II$104,$B35,176)*JP35=1,IF(AND($E35=2,SW35=0),1000000,INDEX('計算A'!FW$110:FW$114,$F35+1)+IF(AND($E35=1,SW35=0),1000,0)),1000000))</f>
        <v/>
      </c>
      <c r="ACE35">
        <f>IF($B35=0,1000000,IF(INDEX('計算A'!$D$60:$II$104,$B35,177)*JQ35=1,IF(AND($E35=2,SX35=0),1000000,INDEX('計算A'!FX$110:FX$114,$F35+1)+IF(AND($E35=1,SX35=0),1000,0)),1000000))</f>
        <v/>
      </c>
      <c r="ACF35">
        <f>IF($B35=0,1000000,IF(INDEX('計算A'!$D$60:$II$104,$B35,178)*JR35=1,IF(AND($E35=2,SY35=0),1000000,INDEX('計算A'!FY$110:FY$114,$F35+1)+IF(AND($E35=1,SY35=0),1000,0)),1000000))</f>
        <v/>
      </c>
      <c r="ACG35">
        <f>IF($B35=0,1000000,IF(INDEX('計算A'!$D$60:$II$104,$B35,179)*JS35=1,IF(AND($E35=2,SZ35=0),1000000,INDEX('計算A'!FZ$110:FZ$114,$F35+1)+IF(AND($E35=1,SZ35=0),1000,0)),1000000))</f>
        <v/>
      </c>
      <c r="ACH35">
        <f>IF($B35=0,1000000,IF(INDEX('計算A'!$D$60:$II$104,$B35,180)*JT35=1,IF(AND($E35=2,TA35=0),1000000,INDEX('計算A'!GA$110:GA$114,$F35+1)+IF(AND($E35=1,TA35=0),1000,0)),1000000))</f>
        <v/>
      </c>
      <c r="ACI35">
        <f>IF($B35=0,1000000,IF(INDEX('計算A'!$D$60:$II$104,$B35,181)*JU35=1,IF(AND($E35=2,TB35=0),1000000,INDEX('計算A'!GB$110:GB$114,$F35+1)+IF(AND($E35=1,TB35=0),1000,0)),1000000))</f>
        <v/>
      </c>
      <c r="ACJ35">
        <f>IF($B35=0,1000000,IF(INDEX('計算A'!$D$60:$II$104,$B35,182)*JV35=1,IF(AND($E35=2,TC35=0),1000000,INDEX('計算A'!GC$110:GC$114,$F35+1)+IF(AND($E35=1,TC35=0),1000,0)),1000000))</f>
        <v/>
      </c>
      <c r="ACK35">
        <f>IF($B35=0,1000000,IF(INDEX('計算A'!$D$60:$II$104,$B35,183)*JW35=1,IF(AND($E35=2,TD35=0),1000000,INDEX('計算A'!GD$110:GD$114,$F35+1)+IF(AND($E35=1,TD35=0),1000,0)),1000000))</f>
        <v/>
      </c>
      <c r="ACL35">
        <f>IF($B35=0,1000000,IF(INDEX('計算A'!$D$60:$II$104,$B35,184)*JX35=1,IF(AND($E35=2,TE35=0),1000000,INDEX('計算A'!GE$110:GE$114,$F35+1)+IF(AND($E35=1,TE35=0),1000,0)),1000000))</f>
        <v/>
      </c>
      <c r="ACM35">
        <f>IF($B35=0,1000000,IF(INDEX('計算A'!$D$60:$II$104,$B35,185)*JY35=1,IF(AND($E35=2,TF35=0),1000000,INDEX('計算A'!GF$110:GF$114,$F35+1)+IF(AND($E35=1,TF35=0),1000,0)),1000000))</f>
        <v/>
      </c>
      <c r="ACN35">
        <f>IF($B35=0,1000000,IF(INDEX('計算A'!$D$60:$II$104,$B35,186)*JZ35=1,IF(AND($E35=2,TG35=0),1000000,INDEX('計算A'!GG$110:GG$114,$F35+1)+IF(AND($E35=1,TG35=0),1000,0)),1000000))</f>
        <v/>
      </c>
      <c r="ACO35">
        <f>IF($B35=0,1000000,IF(INDEX('計算A'!$D$60:$II$104,$B35,187)*KA35=1,IF(AND($E35=2,TH35=0),1000000,INDEX('計算A'!GH$110:GH$114,$F35+1)+IF(AND($E35=1,TH35=0),1000,0)),1000000))</f>
        <v/>
      </c>
      <c r="ACP35">
        <f>IF($B35=0,1000000,IF(INDEX('計算A'!$D$60:$II$104,$B35,188)*KB35=1,IF(AND($E35=2,TI35=0),1000000,INDEX('計算A'!GI$110:GI$114,$F35+1)+IF(AND($E35=1,TI35=0),1000,0)),1000000))</f>
        <v/>
      </c>
      <c r="ACQ35">
        <f>IF($B35=0,1000000,IF(INDEX('計算A'!$D$60:$II$104,$B35,189)*KC35=1,IF(AND($E35=2,TJ35=0),1000000,INDEX('計算A'!GJ$110:GJ$114,$F35+1)+IF(AND($E35=1,TJ35=0),1000,0)),1000000))</f>
        <v/>
      </c>
      <c r="ACR35">
        <f>IF($B35=0,1000000,IF(INDEX('計算A'!$D$60:$II$104,$B35,190)*KD35=1,IF(AND($E35=2,TK35=0),1000000,INDEX('計算A'!GK$110:GK$114,$F35+1)+IF(AND($E35=1,TK35=0),1000,0)),1000000))</f>
        <v/>
      </c>
      <c r="ACS35">
        <f>IF($B35=0,1000000,IF(INDEX('計算A'!$D$60:$II$104,$B35,191)*KE35=1,IF(AND($E35=2,TL35=0),1000000,INDEX('計算A'!GL$110:GL$114,$F35+1)+IF(AND($E35=1,TL35=0),1000,0)),1000000))</f>
        <v/>
      </c>
      <c r="ACT35">
        <f>IF($B35=0,1000000,IF(INDEX('計算A'!$D$60:$II$104,$B35,192)*KF35=1,IF(AND($E35=2,TM35=0),1000000,INDEX('計算A'!GM$110:GM$114,$F35+1)+IF(AND($E35=1,TM35=0),1000,0)),1000000))</f>
        <v/>
      </c>
      <c r="ACU35">
        <f>IF($B35=0,1000000,IF(INDEX('計算A'!$D$60:$II$104,$B35,193)*KG35=1,IF(AND($E35=2,TN35=0),1000000,INDEX('計算A'!GN$110:GN$114,$F35+1)+IF(AND($E35=1,TN35=0),1000,0)),1000000))</f>
        <v/>
      </c>
      <c r="ACV35">
        <f>IF($B35=0,1000000,IF(INDEX('計算A'!$D$60:$II$104,$B35,194)*KH35=1,IF(AND($E35=2,TO35=0),1000000,INDEX('計算A'!GO$110:GO$114,$F35+1)+IF(AND($E35=1,TO35=0),1000,0)),1000000))</f>
        <v/>
      </c>
      <c r="ACW35">
        <f>IF($B35=0,1000000,IF(INDEX('計算A'!$D$60:$II$104,$B35,195)*KI35=1,IF(AND($E35=2,TP35=0),1000000,INDEX('計算A'!GP$110:GP$114,$F35+1)+IF(AND($E35=1,TP35=0),1000,0)),1000000))</f>
        <v/>
      </c>
      <c r="ACX35">
        <f>IF($B35=0,1000000,IF(INDEX('計算A'!$D$60:$II$104,$B35,196)*KJ35=1,IF(AND($E35=2,TQ35=0),1000000,INDEX('計算A'!GQ$110:GQ$114,$F35+1)+IF(AND($E35=1,TQ35=0),1000,0)),1000000))</f>
        <v/>
      </c>
      <c r="ACY35">
        <f>IF($B35=0,1000000,IF(INDEX('計算A'!$D$60:$II$104,$B35,197)*KK35=1,IF(AND($E35=2,TR35=0),1000000,INDEX('計算A'!GR$110:GR$114,$F35+1)+IF(AND($E35=1,TR35=0),1000,0)),1000000))</f>
        <v/>
      </c>
      <c r="ACZ35">
        <f>IF($B35=0,1000000,IF(INDEX('計算A'!$D$60:$II$104,$B35,198)*KL35=1,IF(AND($E35=2,TS35=0),1000000,INDEX('計算A'!GS$110:GS$114,$F35+1)+IF(AND($E35=1,TS35=0),1000,0)),1000000))</f>
        <v/>
      </c>
      <c r="ADA35">
        <f>IF($B35=0,1000000,IF(INDEX('計算A'!$D$60:$II$104,$B35,199)*KM35=1,IF(AND($E35=2,TT35=0),1000000,INDEX('計算A'!GT$110:GT$114,$F35+1)+IF(AND($E35=1,TT35=0),1000,0)),1000000))</f>
        <v/>
      </c>
      <c r="ADB35">
        <f>IF($B35=0,1000000,IF(INDEX('計算A'!$D$60:$II$104,$B35,200)*KN35=1,IF(AND($E35=2,TU35=0),1000000,INDEX('計算A'!GU$110:GU$114,$F35+1)+IF(AND($E35=1,TU35=0),1000,0)),1000000))</f>
        <v/>
      </c>
      <c r="ADC35">
        <f>IF($B35=0,1000000,IF(INDEX('計算A'!$D$60:$II$104,$B35,201)*KO35=1,IF(AND($E35=2,TV35=0),1000000,INDEX('計算A'!GV$110:GV$114,$F35+1)+IF(AND($E35=1,TV35=0),1000,0)),1000000))</f>
        <v/>
      </c>
      <c r="ADD35">
        <f>IF($B35=0,1000000,IF(INDEX('計算A'!$D$60:$II$104,$B35,202)*KP35=1,IF(AND($E35=2,TW35=0),1000000,INDEX('計算A'!GW$110:GW$114,$F35+1)+IF(AND($E35=1,TW35=0),1000,0)),1000000))</f>
        <v/>
      </c>
      <c r="ADE35">
        <f>IF($B35=0,1000000,IF(INDEX('計算A'!$D$60:$II$104,$B35,203)*KQ35=1,IF(AND($E35=2,TX35=0),1000000,INDEX('計算A'!GX$110:GX$114,$F35+1)+IF(AND($E35=1,TX35=0),1000,0)),1000000))</f>
        <v/>
      </c>
      <c r="ADF35">
        <f>IF($B35=0,1000000,IF(INDEX('計算A'!$D$60:$II$104,$B35,204)*KR35=1,IF(AND($E35=2,TY35=0),1000000,INDEX('計算A'!GY$110:GY$114,$F35+1)+IF(AND($E35=1,TY35=0),1000,0)),1000000))</f>
        <v/>
      </c>
      <c r="ADG35">
        <f>IF($B35=0,1000000,IF(INDEX('計算A'!$D$60:$II$104,$B35,205)*KS35=1,IF(AND($E35=2,TZ35=0),1000000,INDEX('計算A'!GZ$110:GZ$114,$F35+1)+IF(AND($E35=1,TZ35=0),1000,0)),1000000))</f>
        <v/>
      </c>
      <c r="ADH35">
        <f>IF($B35=0,1000000,IF(INDEX('計算A'!$D$60:$II$104,$B35,206)*KT35=1,IF(AND($E35=2,UA35=0),1000000,INDEX('計算A'!HA$110:HA$114,$F35+1)+IF(AND($E35=1,UA35=0),1000,0)),1000000))</f>
        <v/>
      </c>
      <c r="ADI35">
        <f>IF($B35=0,1000000,IF(INDEX('計算A'!$D$60:$II$104,$B35,207)*KU35=1,IF(AND($E35=2,UB35=0),1000000,INDEX('計算A'!HB$110:HB$114,$F35+1)+IF(AND($E35=1,UB35=0),1000,0)),1000000))</f>
        <v/>
      </c>
      <c r="ADJ35">
        <f>IF($B35=0,1000000,IF(INDEX('計算A'!$D$60:$II$104,$B35,208)*KV35=1,IF(AND($E35=2,UC35=0),1000000,INDEX('計算A'!HC$110:HC$114,$F35+1)+IF(AND($E35=1,UC35=0),1000,0)),1000000))</f>
        <v/>
      </c>
      <c r="ADK35">
        <f>IF($B35=0,1000000,IF(INDEX('計算A'!$D$60:$II$104,$B35,209)*KW35=1,IF(AND($E35=2,UD35=0),1000000,INDEX('計算A'!HD$110:HD$114,$F35+1)+IF(AND($E35=1,UD35=0),1000,0)),1000000))</f>
        <v/>
      </c>
      <c r="ADL35">
        <f>IF($B35=0,1000000,IF(INDEX('計算A'!$D$60:$II$104,$B35,210)*KX35=1,IF(AND($E35=2,UE35=0),1000000,INDEX('計算A'!HE$110:HE$114,$F35+1)+IF(AND($E35=1,UE35=0),1000,0)),1000000))</f>
        <v/>
      </c>
      <c r="ADM35">
        <f>IF($B35=0,1000000,IF(INDEX('計算A'!$D$60:$II$104,$B35,211)*KY35=1,IF(AND($E35=2,UF35=0),1000000,INDEX('計算A'!HF$110:HF$114,$F35+1)+IF(AND($E35=1,UF35=0),1000,0)),1000000))</f>
        <v/>
      </c>
      <c r="ADN35">
        <f>IF($B35=0,1000000,IF(INDEX('計算A'!$D$60:$II$104,$B35,212)*KZ35=1,IF(AND($E35=2,UG35=0),1000000,INDEX('計算A'!HG$110:HG$114,$F35+1)+IF(AND($E35=1,UG35=0),1000,0)),1000000))</f>
        <v/>
      </c>
      <c r="ADO35">
        <f>IF($B35=0,1000000,IF(INDEX('計算A'!$D$60:$II$104,$B35,213)*LA35=1,IF(AND($E35=2,UH35=0),1000000,INDEX('計算A'!HH$110:HH$114,$F35+1)+IF(AND($E35=1,UH35=0),1000,0)),1000000))</f>
        <v/>
      </c>
      <c r="ADP35">
        <f>IF($B35=0,1000000,IF(INDEX('計算A'!$D$60:$II$104,$B35,214)*LB35=1,IF(AND($E35=2,UI35=0),1000000,INDEX('計算A'!HI$110:HI$114,$F35+1)+IF(AND($E35=1,UI35=0),1000,0)),1000000))</f>
        <v/>
      </c>
      <c r="ADQ35">
        <f>IF($B35=0,1000000,IF(INDEX('計算A'!$D$60:$II$104,$B35,215)*LC35=1,IF(AND($E35=2,UJ35=0),1000000,INDEX('計算A'!HJ$110:HJ$114,$F35+1)+IF(AND($E35=1,UJ35=0),1000,0)),1000000))</f>
        <v/>
      </c>
      <c r="ADR35">
        <f>IF($B35=0,1000000,IF(INDEX('計算A'!$D$60:$II$104,$B35,216)*LD35=1,IF(AND($E35=2,UK35=0),1000000,INDEX('計算A'!HK$110:HK$114,$F35+1)+IF(AND($E35=1,UK35=0),1000,0)),1000000))</f>
        <v/>
      </c>
      <c r="ADS35">
        <f>IF($B35=0,1000000,IF(INDEX('計算A'!$D$60:$II$104,$B35,217)*LE35=1,IF(AND($E35=2,UL35=0),1000000,INDEX('計算A'!HL$110:HL$114,$F35+1)+IF(AND($E35=1,UL35=0),1000,0)),1000000))</f>
        <v/>
      </c>
      <c r="ADT35">
        <f>IF($B35=0,1000000,IF(INDEX('計算A'!$D$60:$II$104,$B35,218)*LF35=1,IF(AND($E35=2,UM35=0),1000000,INDEX('計算A'!HM$110:HM$114,$F35+1)+IF(AND($E35=1,UM35=0),1000,0)),1000000))</f>
        <v/>
      </c>
      <c r="ADU35">
        <f>IF($B35=0,1000000,IF(INDEX('計算A'!$D$60:$II$104,$B35,219)*LG35=1,IF(AND($E35=2,UN35=0),1000000,INDEX('計算A'!HN$110:HN$114,$F35+1)+IF(AND($E35=1,UN35=0),1000,0)),1000000))</f>
        <v/>
      </c>
      <c r="ADV35">
        <f>IF($B35=0,1000000,IF(INDEX('計算A'!$D$60:$II$104,$B35,220)*LH35=1,IF(AND($E35=2,UO35=0),1000000,INDEX('計算A'!HO$110:HO$114,$F35+1)+IF(AND($E35=1,UO35=0),1000,0)),1000000))</f>
        <v/>
      </c>
      <c r="ADW35">
        <f>IF($B35=0,1000000,IF(INDEX('計算A'!$D$60:$II$104,$B35,221)*LI35=1,IF(AND($E35=2,UP35=0),1000000,INDEX('計算A'!HP$110:HP$114,$F35+1)+IF(AND($E35=1,UP35=0),1000,0)),1000000))</f>
        <v/>
      </c>
      <c r="ADX35">
        <f>IF($B35=0,1000000,IF(INDEX('計算A'!$D$60:$II$104,$B35,222)*LJ35=1,IF(AND($E35=2,UQ35=0),1000000,INDEX('計算A'!HQ$110:HQ$114,$F35+1)+IF(AND($E35=1,UQ35=0),1000,0)),1000000))</f>
        <v/>
      </c>
      <c r="ADY35">
        <f>IF($B35=0,1000000,IF(INDEX('計算A'!$D$60:$II$104,$B35,223)*LK35=1,IF(AND($E35=2,UR35=0),1000000,INDEX('計算A'!HR$110:HR$114,$F35+1)+IF(AND($E35=1,UR35=0),1000,0)),1000000))</f>
        <v/>
      </c>
      <c r="ADZ35">
        <f>IF($B35=0,1000000,IF(INDEX('計算A'!$D$60:$II$104,$B35,224)*LL35=1,IF(AND($E35=2,US35=0),1000000,INDEX('計算A'!HS$110:HS$114,$F35+1)+IF(AND($E35=1,US35=0),1000,0)),1000000))</f>
        <v/>
      </c>
      <c r="AEA35">
        <f>IF($B35=0,1000000,IF(INDEX('計算A'!$D$60:$II$104,$B35,225)*LM35=1,IF(AND($E35=2,UT35=0),1000000,INDEX('計算A'!HT$110:HT$114,$F35+1)+IF(AND($E35=1,UT35=0),1000,0)),1000000))</f>
        <v/>
      </c>
      <c r="AEB35">
        <f>IF($B35=0,1000000,IF(INDEX('計算A'!$D$60:$II$104,$B35,226)*LN35=1,IF(AND($E35=2,UU35=0),1000000,INDEX('計算A'!HU$110:HU$114,$F35+1)+IF(AND($E35=1,UU35=0),1000,0)),1000000))</f>
        <v/>
      </c>
      <c r="AEC35">
        <f>IF($B35=0,1000000,IF(INDEX('計算A'!$D$60:$II$104,$B35,227)*LO35=1,IF(AND($E35=2,UV35=0),1000000,INDEX('計算A'!HV$110:HV$114,$F35+1)+IF(AND($E35=1,UV35=0),1000,0)),1000000))</f>
        <v/>
      </c>
      <c r="AED35">
        <f>IF($B35=0,1000000,IF(INDEX('計算A'!$D$60:$II$104,$B35,228)*LP35=1,IF(AND($E35=2,UW35=0),1000000,INDEX('計算A'!HW$110:HW$114,$F35+1)+IF(AND($E35=1,UW35=0),1000,0)),1000000))</f>
        <v/>
      </c>
      <c r="AEE35">
        <f>IF($B35=0,1000000,IF(INDEX('計算A'!$D$60:$II$104,$B35,229)*LQ35=1,IF(AND($E35=2,UX35=0),1000000,INDEX('計算A'!HX$110:HX$114,$F35+1)+IF(AND($E35=1,UX35=0),1000,0)),1000000))</f>
        <v/>
      </c>
      <c r="AEF35">
        <f>IF($B35=0,1000000,IF(INDEX('計算A'!$D$60:$II$104,$B35,230)*LR35=1,IF(AND($E35=2,UY35=0),1000000,INDEX('計算A'!HY$110:HY$114,$F35+1)+IF(AND($E35=1,UY35=0),1000,0)),1000000))</f>
        <v/>
      </c>
      <c r="AEG35">
        <f>IF($B35=0,1000000,IF(INDEX('計算A'!$D$60:$II$104,$B35,231)*LS35=1,IF(AND($E35=2,UZ35=0),1000000,INDEX('計算A'!HZ$110:HZ$114,$F35+1)+IF(AND($E35=1,UZ35=0),1000,0)),1000000))</f>
        <v/>
      </c>
      <c r="AEH35">
        <f>IF($B35=0,1000000,IF(INDEX('計算A'!$D$60:$II$104,$B35,232)*LT35=1,IF(AND($E35=2,VA35=0),1000000,INDEX('計算A'!IA$110:IA$114,$F35+1)+IF(AND($E35=1,VA35=0),1000,0)),1000000))</f>
        <v/>
      </c>
      <c r="AEI35">
        <f>IF($B35=0,1000000,IF(INDEX('計算A'!$D$60:$II$104,$B35,233)*LU35=1,IF(AND($E35=2,VB35=0),1000000,INDEX('計算A'!IB$110:IB$114,$F35+1)+IF(AND($E35=1,VB35=0),1000,0)),1000000))</f>
        <v/>
      </c>
      <c r="AEJ35">
        <f>IF($B35=0,1000000,IF(INDEX('計算A'!$D$60:$II$104,$B35,234)*LV35=1,IF(AND($E35=2,VC35=0),1000000,INDEX('計算A'!IC$110:IC$114,$F35+1)+IF(AND($E35=1,VC35=0),1000,0)),1000000))</f>
        <v/>
      </c>
      <c r="AEK35">
        <f>IF($B35=0,1000000,IF(INDEX('計算A'!$D$60:$II$104,$B35,235)*LW35=1,IF(AND($E35=2,VD35=0),1000000,INDEX('計算A'!ID$110:ID$114,$F35+1)+IF(AND($E35=1,VD35=0),1000,0)),1000000))</f>
        <v/>
      </c>
      <c r="AEL35">
        <f>IF($B35=0,1000000,IF(INDEX('計算A'!$D$60:$II$104,$B35,236)*LX35=1,IF(AND($E35=2,VE35=0),1000000,INDEX('計算A'!IE$110:IE$114,$F35+1)+IF(AND($E35=1,VE35=0),1000,0)),1000000))</f>
        <v/>
      </c>
      <c r="AEM35">
        <f>IF($B35=0,1000000,IF(INDEX('計算A'!$D$60:$II$104,$B35,237)*LY35=1,IF(AND($E35=2,VF35=0),1000000,INDEX('計算A'!IF$110:IF$114,$F35+1)+IF(AND($E35=1,VF35=0),1000,0)),1000000))</f>
        <v/>
      </c>
      <c r="AEN35">
        <f>IF($B35=0,1000000,IF(INDEX('計算A'!$D$60:$II$104,$B35,238)*LZ35=1,IF(AND($E35=2,VG35=0),1000000,INDEX('計算A'!IG$110:IG$114,$F35+1)+IF(AND($E35=1,VG35=0),1000,0)),1000000))</f>
        <v/>
      </c>
      <c r="AEO35">
        <f>IF($B35=0,1000000,IF(INDEX('計算A'!$D$60:$II$104,$B35,239)*MA35=1,IF(AND($E35=2,VH35=0),1000000,INDEX('計算A'!IH$110:IH$114,$F35+1)+IF(AND($E35=1,VH35=0),1000,0)),1000000))</f>
        <v/>
      </c>
      <c r="AEP35">
        <f>IF($B35=0,1000000,IF(INDEX('計算A'!$D$60:$II$104,$B35,240)*MB35=1,IF(AND($E35=2,VI35=0),1000000,INDEX('計算A'!II$110:II$114,$F35+1)+IF(AND($E35=1,VI35=0),1000,0)),1000000))</f>
        <v/>
      </c>
    </row>
    <row r="36">
      <c r="A36" t="n">
        <v>34</v>
      </c>
      <c r="B36">
        <f>IF(MIN(BC36:CU36)&gt;=1000000,0,MATCH(MIN(BC36:CU36),BC36:CU36,0))</f>
        <v/>
      </c>
      <c r="C36">
        <f>IF(MIN(VK36:AEP36)&gt;=1000000,0,MATCH(MIN(VK36:AEP36),VK36:AEP36,0))</f>
        <v/>
      </c>
      <c r="D36">
        <f>IF(C36&gt;0,INDEX('計算A'!$D$5:$II$5,C36),0)</f>
        <v/>
      </c>
      <c r="E36">
        <f>IF(B36=0,0,INDEX('計算A'!$IQ$10:$IQ$54,B36))</f>
        <v/>
      </c>
      <c r="F36">
        <f>IF(B36=0,0,INDEX('計算A'!$IP$10:$IP$54,B36))</f>
        <v/>
      </c>
      <c r="G36">
        <f>IF(AND(C36&gt;0,E36&gt;0),IF(AND(INDEX('計算A'!$D$106:$II$106,C36)=1,INDEX($MD36:$VI36,C36)=1),C36+1,0),0)</f>
        <v/>
      </c>
      <c r="I36">
        <f>MAX(I35,IF($B35=1,1,0))</f>
        <v/>
      </c>
      <c r="J36">
        <f>MAX(J35,IF($B35=2,1,0))</f>
        <v/>
      </c>
      <c r="K36">
        <f>MAX(K35,IF($B35=3,1,0))</f>
        <v/>
      </c>
      <c r="L36">
        <f>MAX(L35,IF($B35=4,1,0))</f>
        <v/>
      </c>
      <c r="M36">
        <f>MAX(M35,IF($B35=5,1,0))</f>
        <v/>
      </c>
      <c r="N36">
        <f>MAX(N35,IF($B35=6,1,0))</f>
        <v/>
      </c>
      <c r="O36">
        <f>MAX(O35,IF($B35=7,1,0))</f>
        <v/>
      </c>
      <c r="P36">
        <f>MAX(P35,IF($B35=8,1,0))</f>
        <v/>
      </c>
      <c r="Q36">
        <f>MAX(Q35,IF($B35=9,1,0))</f>
        <v/>
      </c>
      <c r="R36">
        <f>MAX(R35,IF($B35=10,1,0))</f>
        <v/>
      </c>
      <c r="S36">
        <f>MAX(S35,IF($B35=11,1,0))</f>
        <v/>
      </c>
      <c r="T36">
        <f>MAX(T35,IF($B35=12,1,0))</f>
        <v/>
      </c>
      <c r="U36">
        <f>MAX(U35,IF($B35=13,1,0))</f>
        <v/>
      </c>
      <c r="V36">
        <f>MAX(V35,IF($B35=14,1,0))</f>
        <v/>
      </c>
      <c r="W36">
        <f>MAX(W35,IF($B35=15,1,0))</f>
        <v/>
      </c>
      <c r="X36">
        <f>MAX(X35,IF($B35=16,1,0))</f>
        <v/>
      </c>
      <c r="Y36">
        <f>MAX(Y35,IF($B35=17,1,0))</f>
        <v/>
      </c>
      <c r="Z36">
        <f>MAX(Z35,IF($B35=18,1,0))</f>
        <v/>
      </c>
      <c r="AA36">
        <f>MAX(AA35,IF($B35=19,1,0))</f>
        <v/>
      </c>
      <c r="AB36">
        <f>MAX(AB35,IF($B35=20,1,0))</f>
        <v/>
      </c>
      <c r="AC36">
        <f>MAX(AC35,IF($B35=21,1,0))</f>
        <v/>
      </c>
      <c r="AD36">
        <f>MAX(AD35,IF($B35=22,1,0))</f>
        <v/>
      </c>
      <c r="AE36">
        <f>MAX(AE35,IF($B35=23,1,0))</f>
        <v/>
      </c>
      <c r="AF36">
        <f>MAX(AF35,IF($B35=24,1,0))</f>
        <v/>
      </c>
      <c r="AG36">
        <f>MAX(AG35,IF($B35=25,1,0))</f>
        <v/>
      </c>
      <c r="AH36">
        <f>MAX(AH35,IF($B35=26,1,0))</f>
        <v/>
      </c>
      <c r="AI36">
        <f>MAX(AI35,IF($B35=27,1,0))</f>
        <v/>
      </c>
      <c r="AJ36">
        <f>MAX(AJ35,IF($B35=28,1,0))</f>
        <v/>
      </c>
      <c r="AK36">
        <f>MAX(AK35,IF($B35=29,1,0))</f>
        <v/>
      </c>
      <c r="AL36">
        <f>MAX(AL35,IF($B35=30,1,0))</f>
        <v/>
      </c>
      <c r="AM36">
        <f>MAX(AM35,IF($B35=31,1,0))</f>
        <v/>
      </c>
      <c r="AN36">
        <f>MAX(AN35,IF($B35=32,1,0))</f>
        <v/>
      </c>
      <c r="AO36">
        <f>MAX(AO35,IF($B35=33,1,0))</f>
        <v/>
      </c>
      <c r="AP36">
        <f>MAX(AP35,IF($B35=34,1,0))</f>
        <v/>
      </c>
      <c r="AQ36">
        <f>MAX(AQ35,IF($B35=35,1,0))</f>
        <v/>
      </c>
      <c r="AR36">
        <f>MAX(AR35,IF($B35=36,1,0))</f>
        <v/>
      </c>
      <c r="AS36">
        <f>MAX(AS35,IF($B35=37,1,0))</f>
        <v/>
      </c>
      <c r="AT36">
        <f>MAX(AT35,IF($B35=38,1,0))</f>
        <v/>
      </c>
      <c r="AU36">
        <f>MAX(AU35,IF($B35=39,1,0))</f>
        <v/>
      </c>
      <c r="AV36">
        <f>MAX(AV35,IF($B35=40,1,0))</f>
        <v/>
      </c>
      <c r="AW36">
        <f>MAX(AW35,IF($B35=41,1,0))</f>
        <v/>
      </c>
      <c r="AX36">
        <f>MAX(AX35,IF($B35=42,1,0))</f>
        <v/>
      </c>
      <c r="AY36">
        <f>MAX(AY35,IF($B35=43,1,0))</f>
        <v/>
      </c>
      <c r="AZ36">
        <f>MAX(AZ35,IF($B35=44,1,0))</f>
        <v/>
      </c>
      <c r="BA36">
        <f>MAX(BA35,IF($B35=45,1,0))</f>
        <v/>
      </c>
      <c r="BC36">
        <f>IF(I36=1,1000000,IF('計算A'!$IQ$10=2,SUMPRODUCT('計算A'!$D$60:$II$60,$CW36:$MB36,$MD36:$VI36),SUMPRODUCT('計算A'!$D$60:$II$60,$CW36:$MB36))*1000+1)</f>
        <v/>
      </c>
      <c r="BD36">
        <f>IF(J36=1,1000000,IF('計算A'!$IQ$11=2,SUMPRODUCT('計算A'!$D$61:$II$61,$CW36:$MB36,$MD36:$VI36),SUMPRODUCT('計算A'!$D$61:$II$61,$CW36:$MB36))*1000+2)</f>
        <v/>
      </c>
      <c r="BE36">
        <f>IF(K36=1,1000000,IF('計算A'!$IQ$12=2,SUMPRODUCT('計算A'!$D$62:$II$62,$CW36:$MB36,$MD36:$VI36),SUMPRODUCT('計算A'!$D$62:$II$62,$CW36:$MB36))*1000+3)</f>
        <v/>
      </c>
      <c r="BF36">
        <f>IF(L36=1,1000000,IF('計算A'!$IQ$13=2,SUMPRODUCT('計算A'!$D$63:$II$63,$CW36:$MB36,$MD36:$VI36),SUMPRODUCT('計算A'!$D$63:$II$63,$CW36:$MB36))*1000+4)</f>
        <v/>
      </c>
      <c r="BG36">
        <f>IF(M36=1,1000000,IF('計算A'!$IQ$14=2,SUMPRODUCT('計算A'!$D$64:$II$64,$CW36:$MB36,$MD36:$VI36),SUMPRODUCT('計算A'!$D$64:$II$64,$CW36:$MB36))*1000+5)</f>
        <v/>
      </c>
      <c r="BH36">
        <f>IF(N36=1,1000000,IF('計算A'!$IQ$15=2,SUMPRODUCT('計算A'!$D$65:$II$65,$CW36:$MB36,$MD36:$VI36),SUMPRODUCT('計算A'!$D$65:$II$65,$CW36:$MB36))*1000+6)</f>
        <v/>
      </c>
      <c r="BI36">
        <f>IF(O36=1,1000000,IF('計算A'!$IQ$16=2,SUMPRODUCT('計算A'!$D$66:$II$66,$CW36:$MB36,$MD36:$VI36),SUMPRODUCT('計算A'!$D$66:$II$66,$CW36:$MB36))*1000+7)</f>
        <v/>
      </c>
      <c r="BJ36">
        <f>IF(P36=1,1000000,IF('計算A'!$IQ$17=2,SUMPRODUCT('計算A'!$D$67:$II$67,$CW36:$MB36,$MD36:$VI36),SUMPRODUCT('計算A'!$D$67:$II$67,$CW36:$MB36))*1000+8)</f>
        <v/>
      </c>
      <c r="BK36">
        <f>IF(Q36=1,1000000,IF('計算A'!$IQ$18=2,SUMPRODUCT('計算A'!$D$68:$II$68,$CW36:$MB36,$MD36:$VI36),SUMPRODUCT('計算A'!$D$68:$II$68,$CW36:$MB36))*1000+9)</f>
        <v/>
      </c>
      <c r="BL36">
        <f>IF(R36=1,1000000,IF('計算A'!$IQ$19=2,SUMPRODUCT('計算A'!$D$69:$II$69,$CW36:$MB36,$MD36:$VI36),SUMPRODUCT('計算A'!$D$69:$II$69,$CW36:$MB36))*1000+10)</f>
        <v/>
      </c>
      <c r="BM36">
        <f>IF(S36=1,1000000,IF('計算A'!$IQ$20=2,SUMPRODUCT('計算A'!$D$70:$II$70,$CW36:$MB36,$MD36:$VI36),SUMPRODUCT('計算A'!$D$70:$II$70,$CW36:$MB36))*1000+11)</f>
        <v/>
      </c>
      <c r="BN36">
        <f>IF(T36=1,1000000,IF('計算A'!$IQ$21=2,SUMPRODUCT('計算A'!$D$71:$II$71,$CW36:$MB36,$MD36:$VI36),SUMPRODUCT('計算A'!$D$71:$II$71,$CW36:$MB36))*1000+12)</f>
        <v/>
      </c>
      <c r="BO36">
        <f>IF(U36=1,1000000,IF('計算A'!$IQ$22=2,SUMPRODUCT('計算A'!$D$72:$II$72,$CW36:$MB36,$MD36:$VI36),SUMPRODUCT('計算A'!$D$72:$II$72,$CW36:$MB36))*1000+13)</f>
        <v/>
      </c>
      <c r="BP36">
        <f>IF(V36=1,1000000,IF('計算A'!$IQ$23=2,SUMPRODUCT('計算A'!$D$73:$II$73,$CW36:$MB36,$MD36:$VI36),SUMPRODUCT('計算A'!$D$73:$II$73,$CW36:$MB36))*1000+14)</f>
        <v/>
      </c>
      <c r="BQ36">
        <f>IF(W36=1,1000000,IF('計算A'!$IQ$24=2,SUMPRODUCT('計算A'!$D$74:$II$74,$CW36:$MB36,$MD36:$VI36),SUMPRODUCT('計算A'!$D$74:$II$74,$CW36:$MB36))*1000+15)</f>
        <v/>
      </c>
      <c r="BR36">
        <f>IF(X36=1,1000000,IF('計算A'!$IQ$25=2,SUMPRODUCT('計算A'!$D$75:$II$75,$CW36:$MB36,$MD36:$VI36),SUMPRODUCT('計算A'!$D$75:$II$75,$CW36:$MB36))*1000+16)</f>
        <v/>
      </c>
      <c r="BS36">
        <f>IF(Y36=1,1000000,IF('計算A'!$IQ$26=2,SUMPRODUCT('計算A'!$D$76:$II$76,$CW36:$MB36,$MD36:$VI36),SUMPRODUCT('計算A'!$D$76:$II$76,$CW36:$MB36))*1000+17)</f>
        <v/>
      </c>
      <c r="BT36">
        <f>IF(Z36=1,1000000,IF('計算A'!$IQ$27=2,SUMPRODUCT('計算A'!$D$77:$II$77,$CW36:$MB36,$MD36:$VI36),SUMPRODUCT('計算A'!$D$77:$II$77,$CW36:$MB36))*1000+18)</f>
        <v/>
      </c>
      <c r="BU36">
        <f>IF(AA36=1,1000000,IF('計算A'!$IQ$28=2,SUMPRODUCT('計算A'!$D$78:$II$78,$CW36:$MB36,$MD36:$VI36),SUMPRODUCT('計算A'!$D$78:$II$78,$CW36:$MB36))*1000+19)</f>
        <v/>
      </c>
      <c r="BV36">
        <f>IF(AB36=1,1000000,IF('計算A'!$IQ$29=2,SUMPRODUCT('計算A'!$D$79:$II$79,$CW36:$MB36,$MD36:$VI36),SUMPRODUCT('計算A'!$D$79:$II$79,$CW36:$MB36))*1000+20)</f>
        <v/>
      </c>
      <c r="BW36">
        <f>IF(AC36=1,1000000,IF('計算A'!$IQ$30=2,SUMPRODUCT('計算A'!$D$80:$II$80,$CW36:$MB36,$MD36:$VI36),SUMPRODUCT('計算A'!$D$80:$II$80,$CW36:$MB36))*1000+21)</f>
        <v/>
      </c>
      <c r="BX36">
        <f>IF(AD36=1,1000000,IF('計算A'!$IQ$31=2,SUMPRODUCT('計算A'!$D$81:$II$81,$CW36:$MB36,$MD36:$VI36),SUMPRODUCT('計算A'!$D$81:$II$81,$CW36:$MB36))*1000+22)</f>
        <v/>
      </c>
      <c r="BY36">
        <f>IF(AE36=1,1000000,IF('計算A'!$IQ$32=2,SUMPRODUCT('計算A'!$D$82:$II$82,$CW36:$MB36,$MD36:$VI36),SUMPRODUCT('計算A'!$D$82:$II$82,$CW36:$MB36))*1000+23)</f>
        <v/>
      </c>
      <c r="BZ36">
        <f>IF(AF36=1,1000000,IF('計算A'!$IQ$33=2,SUMPRODUCT('計算A'!$D$83:$II$83,$CW36:$MB36,$MD36:$VI36),SUMPRODUCT('計算A'!$D$83:$II$83,$CW36:$MB36))*1000+24)</f>
        <v/>
      </c>
      <c r="CA36">
        <f>IF(AG36=1,1000000,IF('計算A'!$IQ$34=2,SUMPRODUCT('計算A'!$D$84:$II$84,$CW36:$MB36,$MD36:$VI36),SUMPRODUCT('計算A'!$D$84:$II$84,$CW36:$MB36))*1000+25)</f>
        <v/>
      </c>
      <c r="CB36">
        <f>IF(AH36=1,1000000,IF('計算A'!$IQ$35=2,SUMPRODUCT('計算A'!$D$85:$II$85,$CW36:$MB36,$MD36:$VI36),SUMPRODUCT('計算A'!$D$85:$II$85,$CW36:$MB36))*1000+26)</f>
        <v/>
      </c>
      <c r="CC36">
        <f>IF(AI36=1,1000000,IF('計算A'!$IQ$36=2,SUMPRODUCT('計算A'!$D$86:$II$86,$CW36:$MB36,$MD36:$VI36),SUMPRODUCT('計算A'!$D$86:$II$86,$CW36:$MB36))*1000+27)</f>
        <v/>
      </c>
      <c r="CD36">
        <f>IF(AJ36=1,1000000,IF('計算A'!$IQ$37=2,SUMPRODUCT('計算A'!$D$87:$II$87,$CW36:$MB36,$MD36:$VI36),SUMPRODUCT('計算A'!$D$87:$II$87,$CW36:$MB36))*1000+28)</f>
        <v/>
      </c>
      <c r="CE36">
        <f>IF(AK36=1,1000000,IF('計算A'!$IQ$38=2,SUMPRODUCT('計算A'!$D$88:$II$88,$CW36:$MB36,$MD36:$VI36),SUMPRODUCT('計算A'!$D$88:$II$88,$CW36:$MB36))*1000+29)</f>
        <v/>
      </c>
      <c r="CF36">
        <f>IF(AL36=1,1000000,IF('計算A'!$IQ$39=2,SUMPRODUCT('計算A'!$D$89:$II$89,$CW36:$MB36,$MD36:$VI36),SUMPRODUCT('計算A'!$D$89:$II$89,$CW36:$MB36))*1000+30)</f>
        <v/>
      </c>
      <c r="CG36">
        <f>IF(AM36=1,1000000,IF('計算A'!$IQ$40=2,SUMPRODUCT('計算A'!$D$90:$II$90,$CW36:$MB36,$MD36:$VI36),SUMPRODUCT('計算A'!$D$90:$II$90,$CW36:$MB36))*1000+31)</f>
        <v/>
      </c>
      <c r="CH36">
        <f>IF(AN36=1,1000000,IF('計算A'!$IQ$41=2,SUMPRODUCT('計算A'!$D$91:$II$91,$CW36:$MB36,$MD36:$VI36),SUMPRODUCT('計算A'!$D$91:$II$91,$CW36:$MB36))*1000+32)</f>
        <v/>
      </c>
      <c r="CI36">
        <f>IF(AO36=1,1000000,IF('計算A'!$IQ$42=2,SUMPRODUCT('計算A'!$D$92:$II$92,$CW36:$MB36,$MD36:$VI36),SUMPRODUCT('計算A'!$D$92:$II$92,$CW36:$MB36))*1000+33)</f>
        <v/>
      </c>
      <c r="CJ36">
        <f>IF(AP36=1,1000000,IF('計算A'!$IQ$43=2,SUMPRODUCT('計算A'!$D$93:$II$93,$CW36:$MB36,$MD36:$VI36),SUMPRODUCT('計算A'!$D$93:$II$93,$CW36:$MB36))*1000+34)</f>
        <v/>
      </c>
      <c r="CK36">
        <f>IF(AQ36=1,1000000,IF('計算A'!$IQ$44=2,SUMPRODUCT('計算A'!$D$94:$II$94,$CW36:$MB36,$MD36:$VI36),SUMPRODUCT('計算A'!$D$94:$II$94,$CW36:$MB36))*1000+35)</f>
        <v/>
      </c>
      <c r="CL36">
        <f>IF(AR36=1,1000000,IF('計算A'!$IQ$45=2,SUMPRODUCT('計算A'!$D$95:$II$95,$CW36:$MB36,$MD36:$VI36),SUMPRODUCT('計算A'!$D$95:$II$95,$CW36:$MB36))*1000+36)</f>
        <v/>
      </c>
      <c r="CM36">
        <f>IF(AS36=1,1000000,IF('計算A'!$IQ$46=2,SUMPRODUCT('計算A'!$D$96:$II$96,$CW36:$MB36,$MD36:$VI36),SUMPRODUCT('計算A'!$D$96:$II$96,$CW36:$MB36))*1000+37)</f>
        <v/>
      </c>
      <c r="CN36">
        <f>IF(AT36=1,1000000,IF('計算A'!$IQ$47=2,SUMPRODUCT('計算A'!$D$97:$II$97,$CW36:$MB36,$MD36:$VI36),SUMPRODUCT('計算A'!$D$97:$II$97,$CW36:$MB36))*1000+38)</f>
        <v/>
      </c>
      <c r="CO36">
        <f>IF(AU36=1,1000000,IF('計算A'!$IQ$48=2,SUMPRODUCT('計算A'!$D$98:$II$98,$CW36:$MB36,$MD36:$VI36),SUMPRODUCT('計算A'!$D$98:$II$98,$CW36:$MB36))*1000+39)</f>
        <v/>
      </c>
      <c r="CP36">
        <f>IF(AV36=1,1000000,IF('計算A'!$IQ$49=2,SUMPRODUCT('計算A'!$D$99:$II$99,$CW36:$MB36,$MD36:$VI36),SUMPRODUCT('計算A'!$D$99:$II$99,$CW36:$MB36))*1000+40)</f>
        <v/>
      </c>
      <c r="CQ36">
        <f>IF(AW36=1,1000000,IF('計算A'!$IQ$50=2,SUMPRODUCT('計算A'!$D$100:$II$100,$CW36:$MB36,$MD36:$VI36),SUMPRODUCT('計算A'!$D$100:$II$100,$CW36:$MB36))*1000+41)</f>
        <v/>
      </c>
      <c r="CR36">
        <f>IF(AX36=1,1000000,IF('計算A'!$IQ$51=2,SUMPRODUCT('計算A'!$D$101:$II$101,$CW36:$MB36,$MD36:$VI36),SUMPRODUCT('計算A'!$D$101:$II$101,$CW36:$MB36))*1000+42)</f>
        <v/>
      </c>
      <c r="CS36">
        <f>IF(AY36=1,1000000,IF('計算A'!$IQ$52=2,SUMPRODUCT('計算A'!$D$102:$II$102,$CW36:$MB36,$MD36:$VI36),SUMPRODUCT('計算A'!$D$102:$II$102,$CW36:$MB36))*1000+43)</f>
        <v/>
      </c>
      <c r="CT36">
        <f>IF(AZ36=1,1000000,IF('計算A'!$IQ$53=2,SUMPRODUCT('計算A'!$D$103:$II$103,$CW36:$MB36,$MD36:$VI36),SUMPRODUCT('計算A'!$D$103:$II$103,$CW36:$MB36))*1000+44)</f>
        <v/>
      </c>
      <c r="CU36">
        <f>IF(BA36=1,1000000,IF('計算A'!$IQ$54=2,SUMPRODUCT('計算A'!$D$104:$II$104,$CW36:$MB36,$MD36:$VI36),SUMPRODUCT('計算A'!$D$104:$II$104,$CW36:$MB36))*1000+45)</f>
        <v/>
      </c>
      <c r="CW36">
        <f>CW35*IF(OR($C35=1,$G35=1),0,1)</f>
        <v/>
      </c>
      <c r="CX36">
        <f>CX35*IF(OR($C35=2,$G35=2),0,1)</f>
        <v/>
      </c>
      <c r="CY36">
        <f>CY35*IF(OR($C35=3,$G35=3),0,1)</f>
        <v/>
      </c>
      <c r="CZ36">
        <f>CZ35*IF(OR($C35=4,$G35=4),0,1)</f>
        <v/>
      </c>
      <c r="DA36">
        <f>DA35*IF(OR($C35=5,$G35=5),0,1)</f>
        <v/>
      </c>
      <c r="DB36">
        <f>DB35*IF(OR($C35=6,$G35=6),0,1)</f>
        <v/>
      </c>
      <c r="DC36">
        <f>DC35*IF(OR($C35=7,$G35=7),0,1)</f>
        <v/>
      </c>
      <c r="DD36">
        <f>DD35*IF(OR($C35=8,$G35=8),0,1)</f>
        <v/>
      </c>
      <c r="DE36">
        <f>DE35*IF(OR($C35=9,$G35=9),0,1)</f>
        <v/>
      </c>
      <c r="DF36">
        <f>DF35*IF(OR($C35=10,$G35=10),0,1)</f>
        <v/>
      </c>
      <c r="DG36">
        <f>DG35*IF(OR($C35=11,$G35=11),0,1)</f>
        <v/>
      </c>
      <c r="DH36">
        <f>DH35*IF(OR($C35=12,$G35=12),0,1)</f>
        <v/>
      </c>
      <c r="DI36">
        <f>DI35*IF(OR($C35=13,$G35=13),0,1)</f>
        <v/>
      </c>
      <c r="DJ36">
        <f>DJ35*IF(OR($C35=14,$G35=14),0,1)</f>
        <v/>
      </c>
      <c r="DK36">
        <f>DK35*IF(OR($C35=15,$G35=15),0,1)</f>
        <v/>
      </c>
      <c r="DL36">
        <f>DL35*IF(OR($C35=16,$G35=16),0,1)</f>
        <v/>
      </c>
      <c r="DM36">
        <f>DM35*IF(OR($C35=17,$G35=17),0,1)</f>
        <v/>
      </c>
      <c r="DN36">
        <f>DN35*IF(OR($C35=18,$G35=18),0,1)</f>
        <v/>
      </c>
      <c r="DO36">
        <f>DO35*IF(OR($C35=19,$G35=19),0,1)</f>
        <v/>
      </c>
      <c r="DP36">
        <f>DP35*IF(OR($C35=20,$G35=20),0,1)</f>
        <v/>
      </c>
      <c r="DQ36">
        <f>DQ35*IF(OR($C35=21,$G35=21),0,1)</f>
        <v/>
      </c>
      <c r="DR36">
        <f>DR35*IF(OR($C35=22,$G35=22),0,1)</f>
        <v/>
      </c>
      <c r="DS36">
        <f>DS35*IF(OR($C35=23,$G35=23),0,1)</f>
        <v/>
      </c>
      <c r="DT36">
        <f>DT35*IF(OR($C35=24,$G35=24),0,1)</f>
        <v/>
      </c>
      <c r="DU36">
        <f>DU35*IF(OR($C35=25,$G35=25),0,1)</f>
        <v/>
      </c>
      <c r="DV36">
        <f>DV35*IF(OR($C35=26,$G35=26),0,1)</f>
        <v/>
      </c>
      <c r="DW36">
        <f>DW35*IF(OR($C35=27,$G35=27),0,1)</f>
        <v/>
      </c>
      <c r="DX36">
        <f>DX35*IF(OR($C35=28,$G35=28),0,1)</f>
        <v/>
      </c>
      <c r="DY36">
        <f>DY35*IF(OR($C35=29,$G35=29),0,1)</f>
        <v/>
      </c>
      <c r="DZ36">
        <f>DZ35*IF(OR($C35=30,$G35=30),0,1)</f>
        <v/>
      </c>
      <c r="EA36">
        <f>EA35*IF(OR($C35=31,$G35=31),0,1)</f>
        <v/>
      </c>
      <c r="EB36">
        <f>EB35*IF(OR($C35=32,$G35=32),0,1)</f>
        <v/>
      </c>
      <c r="EC36">
        <f>EC35*IF(OR($C35=33,$G35=33),0,1)</f>
        <v/>
      </c>
      <c r="ED36">
        <f>ED35*IF(OR($C35=34,$G35=34),0,1)</f>
        <v/>
      </c>
      <c r="EE36">
        <f>EE35*IF(OR($C35=35,$G35=35),0,1)</f>
        <v/>
      </c>
      <c r="EF36">
        <f>EF35*IF(OR($C35=36,$G35=36),0,1)</f>
        <v/>
      </c>
      <c r="EG36">
        <f>EG35*IF(OR($C35=37,$G35=37),0,1)</f>
        <v/>
      </c>
      <c r="EH36">
        <f>EH35*IF(OR($C35=38,$G35=38),0,1)</f>
        <v/>
      </c>
      <c r="EI36">
        <f>EI35*IF(OR($C35=39,$G35=39),0,1)</f>
        <v/>
      </c>
      <c r="EJ36">
        <f>EJ35*IF(OR($C35=40,$G35=40),0,1)</f>
        <v/>
      </c>
      <c r="EK36">
        <f>EK35*IF(OR($C35=41,$G35=41),0,1)</f>
        <v/>
      </c>
      <c r="EL36">
        <f>EL35*IF(OR($C35=42,$G35=42),0,1)</f>
        <v/>
      </c>
      <c r="EM36">
        <f>EM35*IF(OR($C35=43,$G35=43),0,1)</f>
        <v/>
      </c>
      <c r="EN36">
        <f>EN35*IF(OR($C35=44,$G35=44),0,1)</f>
        <v/>
      </c>
      <c r="EO36">
        <f>EO35*IF(OR($C35=45,$G35=45),0,1)</f>
        <v/>
      </c>
      <c r="EP36">
        <f>EP35*IF(OR($C35=46,$G35=46),0,1)</f>
        <v/>
      </c>
      <c r="EQ36">
        <f>EQ35*IF(OR($C35=47,$G35=47),0,1)</f>
        <v/>
      </c>
      <c r="ER36">
        <f>ER35*IF(OR($C35=48,$G35=48),0,1)</f>
        <v/>
      </c>
      <c r="ES36">
        <f>ES35*IF(OR($C35=49,$G35=49),0,1)</f>
        <v/>
      </c>
      <c r="ET36">
        <f>ET35*IF(OR($C35=50,$G35=50),0,1)</f>
        <v/>
      </c>
      <c r="EU36">
        <f>EU35*IF(OR($C35=51,$G35=51),0,1)</f>
        <v/>
      </c>
      <c r="EV36">
        <f>EV35*IF(OR($C35=52,$G35=52),0,1)</f>
        <v/>
      </c>
      <c r="EW36">
        <f>EW35*IF(OR($C35=53,$G35=53),0,1)</f>
        <v/>
      </c>
      <c r="EX36">
        <f>EX35*IF(OR($C35=54,$G35=54),0,1)</f>
        <v/>
      </c>
      <c r="EY36">
        <f>EY35*IF(OR($C35=55,$G35=55),0,1)</f>
        <v/>
      </c>
      <c r="EZ36">
        <f>EZ35*IF(OR($C35=56,$G35=56),0,1)</f>
        <v/>
      </c>
      <c r="FA36">
        <f>FA35*IF(OR($C35=57,$G35=57),0,1)</f>
        <v/>
      </c>
      <c r="FB36">
        <f>FB35*IF(OR($C35=58,$G35=58),0,1)</f>
        <v/>
      </c>
      <c r="FC36">
        <f>FC35*IF(OR($C35=59,$G35=59),0,1)</f>
        <v/>
      </c>
      <c r="FD36">
        <f>FD35*IF(OR($C35=60,$G35=60),0,1)</f>
        <v/>
      </c>
      <c r="FE36">
        <f>FE35*IF(OR($C35=61,$G35=61),0,1)</f>
        <v/>
      </c>
      <c r="FF36">
        <f>FF35*IF(OR($C35=62,$G35=62),0,1)</f>
        <v/>
      </c>
      <c r="FG36">
        <f>FG35*IF(OR($C35=63,$G35=63),0,1)</f>
        <v/>
      </c>
      <c r="FH36">
        <f>FH35*IF(OR($C35=64,$G35=64),0,1)</f>
        <v/>
      </c>
      <c r="FI36">
        <f>FI35*IF(OR($C35=65,$G35=65),0,1)</f>
        <v/>
      </c>
      <c r="FJ36">
        <f>FJ35*IF(OR($C35=66,$G35=66),0,1)</f>
        <v/>
      </c>
      <c r="FK36">
        <f>FK35*IF(OR($C35=67,$G35=67),0,1)</f>
        <v/>
      </c>
      <c r="FL36">
        <f>FL35*IF(OR($C35=68,$G35=68),0,1)</f>
        <v/>
      </c>
      <c r="FM36">
        <f>FM35*IF(OR($C35=69,$G35=69),0,1)</f>
        <v/>
      </c>
      <c r="FN36">
        <f>FN35*IF(OR($C35=70,$G35=70),0,1)</f>
        <v/>
      </c>
      <c r="FO36">
        <f>FO35*IF(OR($C35=71,$G35=71),0,1)</f>
        <v/>
      </c>
      <c r="FP36">
        <f>FP35*IF(OR($C35=72,$G35=72),0,1)</f>
        <v/>
      </c>
      <c r="FQ36">
        <f>FQ35*IF(OR($C35=73,$G35=73),0,1)</f>
        <v/>
      </c>
      <c r="FR36">
        <f>FR35*IF(OR($C35=74,$G35=74),0,1)</f>
        <v/>
      </c>
      <c r="FS36">
        <f>FS35*IF(OR($C35=75,$G35=75),0,1)</f>
        <v/>
      </c>
      <c r="FT36">
        <f>FT35*IF(OR($C35=76,$G35=76),0,1)</f>
        <v/>
      </c>
      <c r="FU36">
        <f>FU35*IF(OR($C35=77,$G35=77),0,1)</f>
        <v/>
      </c>
      <c r="FV36">
        <f>FV35*IF(OR($C35=78,$G35=78),0,1)</f>
        <v/>
      </c>
      <c r="FW36">
        <f>FW35*IF(OR($C35=79,$G35=79),0,1)</f>
        <v/>
      </c>
      <c r="FX36">
        <f>FX35*IF(OR($C35=80,$G35=80),0,1)</f>
        <v/>
      </c>
      <c r="FY36">
        <f>FY35*IF(OR($C35=81,$G35=81),0,1)</f>
        <v/>
      </c>
      <c r="FZ36">
        <f>FZ35*IF(OR($C35=82,$G35=82),0,1)</f>
        <v/>
      </c>
      <c r="GA36">
        <f>GA35*IF(OR($C35=83,$G35=83),0,1)</f>
        <v/>
      </c>
      <c r="GB36">
        <f>GB35*IF(OR($C35=84,$G35=84),0,1)</f>
        <v/>
      </c>
      <c r="GC36">
        <f>GC35*IF(OR($C35=85,$G35=85),0,1)</f>
        <v/>
      </c>
      <c r="GD36">
        <f>GD35*IF(OR($C35=86,$G35=86),0,1)</f>
        <v/>
      </c>
      <c r="GE36">
        <f>GE35*IF(OR($C35=87,$G35=87),0,1)</f>
        <v/>
      </c>
      <c r="GF36">
        <f>GF35*IF(OR($C35=88,$G35=88),0,1)</f>
        <v/>
      </c>
      <c r="GG36">
        <f>GG35*IF(OR($C35=89,$G35=89),0,1)</f>
        <v/>
      </c>
      <c r="GH36">
        <f>GH35*IF(OR($C35=90,$G35=90),0,1)</f>
        <v/>
      </c>
      <c r="GI36">
        <f>GI35*IF(OR($C35=91,$G35=91),0,1)</f>
        <v/>
      </c>
      <c r="GJ36">
        <f>GJ35*IF(OR($C35=92,$G35=92),0,1)</f>
        <v/>
      </c>
      <c r="GK36">
        <f>GK35*IF(OR($C35=93,$G35=93),0,1)</f>
        <v/>
      </c>
      <c r="GL36">
        <f>GL35*IF(OR($C35=94,$G35=94),0,1)</f>
        <v/>
      </c>
      <c r="GM36">
        <f>GM35*IF(OR($C35=95,$G35=95),0,1)</f>
        <v/>
      </c>
      <c r="GN36">
        <f>GN35*IF(OR($C35=96,$G35=96),0,1)</f>
        <v/>
      </c>
      <c r="GO36">
        <f>GO35*IF(OR($C35=97,$G35=97),0,1)</f>
        <v/>
      </c>
      <c r="GP36">
        <f>GP35*IF(OR($C35=98,$G35=98),0,1)</f>
        <v/>
      </c>
      <c r="GQ36">
        <f>GQ35*IF(OR($C35=99,$G35=99),0,1)</f>
        <v/>
      </c>
      <c r="GR36">
        <f>GR35*IF(OR($C35=100,$G35=100),0,1)</f>
        <v/>
      </c>
      <c r="GS36">
        <f>GS35*IF(OR($C35=101,$G35=101),0,1)</f>
        <v/>
      </c>
      <c r="GT36">
        <f>GT35*IF(OR($C35=102,$G35=102),0,1)</f>
        <v/>
      </c>
      <c r="GU36">
        <f>GU35*IF(OR($C35=103,$G35=103),0,1)</f>
        <v/>
      </c>
      <c r="GV36">
        <f>GV35*IF(OR($C35=104,$G35=104),0,1)</f>
        <v/>
      </c>
      <c r="GW36">
        <f>GW35*IF(OR($C35=105,$G35=105),0,1)</f>
        <v/>
      </c>
      <c r="GX36">
        <f>GX35*IF(OR($C35=106,$G35=106),0,1)</f>
        <v/>
      </c>
      <c r="GY36">
        <f>GY35*IF(OR($C35=107,$G35=107),0,1)</f>
        <v/>
      </c>
      <c r="GZ36">
        <f>GZ35*IF(OR($C35=108,$G35=108),0,1)</f>
        <v/>
      </c>
      <c r="HA36">
        <f>HA35*IF(OR($C35=109,$G35=109),0,1)</f>
        <v/>
      </c>
      <c r="HB36">
        <f>HB35*IF(OR($C35=110,$G35=110),0,1)</f>
        <v/>
      </c>
      <c r="HC36">
        <f>HC35*IF(OR($C35=111,$G35=111),0,1)</f>
        <v/>
      </c>
      <c r="HD36">
        <f>HD35*IF(OR($C35=112,$G35=112),0,1)</f>
        <v/>
      </c>
      <c r="HE36">
        <f>HE35*IF(OR($C35=113,$G35=113),0,1)</f>
        <v/>
      </c>
      <c r="HF36">
        <f>HF35*IF(OR($C35=114,$G35=114),0,1)</f>
        <v/>
      </c>
      <c r="HG36">
        <f>HG35*IF(OR($C35=115,$G35=115),0,1)</f>
        <v/>
      </c>
      <c r="HH36">
        <f>HH35*IF(OR($C35=116,$G35=116),0,1)</f>
        <v/>
      </c>
      <c r="HI36">
        <f>HI35*IF(OR($C35=117,$G35=117),0,1)</f>
        <v/>
      </c>
      <c r="HJ36">
        <f>HJ35*IF(OR($C35=118,$G35=118),0,1)</f>
        <v/>
      </c>
      <c r="HK36">
        <f>HK35*IF(OR($C35=119,$G35=119),0,1)</f>
        <v/>
      </c>
      <c r="HL36">
        <f>HL35*IF(OR($C35=120,$G35=120),0,1)</f>
        <v/>
      </c>
      <c r="HM36">
        <f>HM35*IF(OR($C35=121,$G35=121),0,1)</f>
        <v/>
      </c>
      <c r="HN36">
        <f>HN35*IF(OR($C35=122,$G35=122),0,1)</f>
        <v/>
      </c>
      <c r="HO36">
        <f>HO35*IF(OR($C35=123,$G35=123),0,1)</f>
        <v/>
      </c>
      <c r="HP36">
        <f>HP35*IF(OR($C35=124,$G35=124),0,1)</f>
        <v/>
      </c>
      <c r="HQ36">
        <f>HQ35*IF(OR($C35=125,$G35=125),0,1)</f>
        <v/>
      </c>
      <c r="HR36">
        <f>HR35*IF(OR($C35=126,$G35=126),0,1)</f>
        <v/>
      </c>
      <c r="HS36">
        <f>HS35*IF(OR($C35=127,$G35=127),0,1)</f>
        <v/>
      </c>
      <c r="HT36">
        <f>HT35*IF(OR($C35=128,$G35=128),0,1)</f>
        <v/>
      </c>
      <c r="HU36">
        <f>HU35*IF(OR($C35=129,$G35=129),0,1)</f>
        <v/>
      </c>
      <c r="HV36">
        <f>HV35*IF(OR($C35=130,$G35=130),0,1)</f>
        <v/>
      </c>
      <c r="HW36">
        <f>HW35*IF(OR($C35=131,$G35=131),0,1)</f>
        <v/>
      </c>
      <c r="HX36">
        <f>HX35*IF(OR($C35=132,$G35=132),0,1)</f>
        <v/>
      </c>
      <c r="HY36">
        <f>HY35*IF(OR($C35=133,$G35=133),0,1)</f>
        <v/>
      </c>
      <c r="HZ36">
        <f>HZ35*IF(OR($C35=134,$G35=134),0,1)</f>
        <v/>
      </c>
      <c r="IA36">
        <f>IA35*IF(OR($C35=135,$G35=135),0,1)</f>
        <v/>
      </c>
      <c r="IB36">
        <f>IB35*IF(OR($C35=136,$G35=136),0,1)</f>
        <v/>
      </c>
      <c r="IC36">
        <f>IC35*IF(OR($C35=137,$G35=137),0,1)</f>
        <v/>
      </c>
      <c r="ID36">
        <f>ID35*IF(OR($C35=138,$G35=138),0,1)</f>
        <v/>
      </c>
      <c r="IE36">
        <f>IE35*IF(OR($C35=139,$G35=139),0,1)</f>
        <v/>
      </c>
      <c r="IF36">
        <f>IF35*IF(OR($C35=140,$G35=140),0,1)</f>
        <v/>
      </c>
      <c r="IG36">
        <f>IG35*IF(OR($C35=141,$G35=141),0,1)</f>
        <v/>
      </c>
      <c r="IH36">
        <f>IH35*IF(OR($C35=142,$G35=142),0,1)</f>
        <v/>
      </c>
      <c r="II36">
        <f>II35*IF(OR($C35=143,$G35=143),0,1)</f>
        <v/>
      </c>
      <c r="IJ36">
        <f>IJ35*IF(OR($C35=144,$G35=144),0,1)</f>
        <v/>
      </c>
      <c r="IK36">
        <f>IK35*IF(OR($C35=145,$G35=145),0,1)</f>
        <v/>
      </c>
      <c r="IL36">
        <f>IL35*IF(OR($C35=146,$G35=146),0,1)</f>
        <v/>
      </c>
      <c r="IM36">
        <f>IM35*IF(OR($C35=147,$G35=147),0,1)</f>
        <v/>
      </c>
      <c r="IN36">
        <f>IN35*IF(OR($C35=148,$G35=148),0,1)</f>
        <v/>
      </c>
      <c r="IO36">
        <f>IO35*IF(OR($C35=149,$G35=149),0,1)</f>
        <v/>
      </c>
      <c r="IP36">
        <f>IP35*IF(OR($C35=150,$G35=150),0,1)</f>
        <v/>
      </c>
      <c r="IQ36">
        <f>IQ35*IF(OR($C35=151,$G35=151),0,1)</f>
        <v/>
      </c>
      <c r="IR36">
        <f>IR35*IF(OR($C35=152,$G35=152),0,1)</f>
        <v/>
      </c>
      <c r="IS36">
        <f>IS35*IF(OR($C35=153,$G35=153),0,1)</f>
        <v/>
      </c>
      <c r="IT36">
        <f>IT35*IF(OR($C35=154,$G35=154),0,1)</f>
        <v/>
      </c>
      <c r="IU36">
        <f>IU35*IF(OR($C35=155,$G35=155),0,1)</f>
        <v/>
      </c>
      <c r="IV36">
        <f>IV35*IF(OR($C35=156,$G35=156),0,1)</f>
        <v/>
      </c>
      <c r="IW36">
        <f>IW35*IF(OR($C35=157,$G35=157),0,1)</f>
        <v/>
      </c>
      <c r="IX36">
        <f>IX35*IF(OR($C35=158,$G35=158),0,1)</f>
        <v/>
      </c>
      <c r="IY36">
        <f>IY35*IF(OR($C35=159,$G35=159),0,1)</f>
        <v/>
      </c>
      <c r="IZ36">
        <f>IZ35*IF(OR($C35=160,$G35=160),0,1)</f>
        <v/>
      </c>
      <c r="JA36">
        <f>JA35*IF(OR($C35=161,$G35=161),0,1)</f>
        <v/>
      </c>
      <c r="JB36">
        <f>JB35*IF(OR($C35=162,$G35=162),0,1)</f>
        <v/>
      </c>
      <c r="JC36">
        <f>JC35*IF(OR($C35=163,$G35=163),0,1)</f>
        <v/>
      </c>
      <c r="JD36">
        <f>JD35*IF(OR($C35=164,$G35=164),0,1)</f>
        <v/>
      </c>
      <c r="JE36">
        <f>JE35*IF(OR($C35=165,$G35=165),0,1)</f>
        <v/>
      </c>
      <c r="JF36">
        <f>JF35*IF(OR($C35=166,$G35=166),0,1)</f>
        <v/>
      </c>
      <c r="JG36">
        <f>JG35*IF(OR($C35=167,$G35=167),0,1)</f>
        <v/>
      </c>
      <c r="JH36">
        <f>JH35*IF(OR($C35=168,$G35=168),0,1)</f>
        <v/>
      </c>
      <c r="JI36">
        <f>JI35*IF(OR($C35=169,$G35=169),0,1)</f>
        <v/>
      </c>
      <c r="JJ36">
        <f>JJ35*IF(OR($C35=170,$G35=170),0,1)</f>
        <v/>
      </c>
      <c r="JK36">
        <f>JK35*IF(OR($C35=171,$G35=171),0,1)</f>
        <v/>
      </c>
      <c r="JL36">
        <f>JL35*IF(OR($C35=172,$G35=172),0,1)</f>
        <v/>
      </c>
      <c r="JM36">
        <f>JM35*IF(OR($C35=173,$G35=173),0,1)</f>
        <v/>
      </c>
      <c r="JN36">
        <f>JN35*IF(OR($C35=174,$G35=174),0,1)</f>
        <v/>
      </c>
      <c r="JO36">
        <f>JO35*IF(OR($C35=175,$G35=175),0,1)</f>
        <v/>
      </c>
      <c r="JP36">
        <f>JP35*IF(OR($C35=176,$G35=176),0,1)</f>
        <v/>
      </c>
      <c r="JQ36">
        <f>JQ35*IF(OR($C35=177,$G35=177),0,1)</f>
        <v/>
      </c>
      <c r="JR36">
        <f>JR35*IF(OR($C35=178,$G35=178),0,1)</f>
        <v/>
      </c>
      <c r="JS36">
        <f>JS35*IF(OR($C35=179,$G35=179),0,1)</f>
        <v/>
      </c>
      <c r="JT36">
        <f>JT35*IF(OR($C35=180,$G35=180),0,1)</f>
        <v/>
      </c>
      <c r="JU36">
        <f>JU35*IF(OR($C35=181,$G35=181),0,1)</f>
        <v/>
      </c>
      <c r="JV36">
        <f>JV35*IF(OR($C35=182,$G35=182),0,1)</f>
        <v/>
      </c>
      <c r="JW36">
        <f>JW35*IF(OR($C35=183,$G35=183),0,1)</f>
        <v/>
      </c>
      <c r="JX36">
        <f>JX35*IF(OR($C35=184,$G35=184),0,1)</f>
        <v/>
      </c>
      <c r="JY36">
        <f>JY35*IF(OR($C35=185,$G35=185),0,1)</f>
        <v/>
      </c>
      <c r="JZ36">
        <f>JZ35*IF(OR($C35=186,$G35=186),0,1)</f>
        <v/>
      </c>
      <c r="KA36">
        <f>KA35*IF(OR($C35=187,$G35=187),0,1)</f>
        <v/>
      </c>
      <c r="KB36">
        <f>KB35*IF(OR($C35=188,$G35=188),0,1)</f>
        <v/>
      </c>
      <c r="KC36">
        <f>KC35*IF(OR($C35=189,$G35=189),0,1)</f>
        <v/>
      </c>
      <c r="KD36">
        <f>KD35*IF(OR($C35=190,$G35=190),0,1)</f>
        <v/>
      </c>
      <c r="KE36">
        <f>KE35*IF(OR($C35=191,$G35=191),0,1)</f>
        <v/>
      </c>
      <c r="KF36">
        <f>KF35*IF(OR($C35=192,$G35=192),0,1)</f>
        <v/>
      </c>
      <c r="KG36">
        <f>KG35*IF(OR($C35=193,$G35=193),0,1)</f>
        <v/>
      </c>
      <c r="KH36">
        <f>KH35*IF(OR($C35=194,$G35=194),0,1)</f>
        <v/>
      </c>
      <c r="KI36">
        <f>KI35*IF(OR($C35=195,$G35=195),0,1)</f>
        <v/>
      </c>
      <c r="KJ36">
        <f>KJ35*IF(OR($C35=196,$G35=196),0,1)</f>
        <v/>
      </c>
      <c r="KK36">
        <f>KK35*IF(OR($C35=197,$G35=197),0,1)</f>
        <v/>
      </c>
      <c r="KL36">
        <f>KL35*IF(OR($C35=198,$G35=198),0,1)</f>
        <v/>
      </c>
      <c r="KM36">
        <f>KM35*IF(OR($C35=199,$G35=199),0,1)</f>
        <v/>
      </c>
      <c r="KN36">
        <f>KN35*IF(OR($C35=200,$G35=200),0,1)</f>
        <v/>
      </c>
      <c r="KO36">
        <f>KO35*IF(OR($C35=201,$G35=201),0,1)</f>
        <v/>
      </c>
      <c r="KP36">
        <f>KP35*IF(OR($C35=202,$G35=202),0,1)</f>
        <v/>
      </c>
      <c r="KQ36">
        <f>KQ35*IF(OR($C35=203,$G35=203),0,1)</f>
        <v/>
      </c>
      <c r="KR36">
        <f>KR35*IF(OR($C35=204,$G35=204),0,1)</f>
        <v/>
      </c>
      <c r="KS36">
        <f>KS35*IF(OR($C35=205,$G35=205),0,1)</f>
        <v/>
      </c>
      <c r="KT36">
        <f>KT35*IF(OR($C35=206,$G35=206),0,1)</f>
        <v/>
      </c>
      <c r="KU36">
        <f>KU35*IF(OR($C35=207,$G35=207),0,1)</f>
        <v/>
      </c>
      <c r="KV36">
        <f>KV35*IF(OR($C35=208,$G35=208),0,1)</f>
        <v/>
      </c>
      <c r="KW36">
        <f>KW35*IF(OR($C35=209,$G35=209),0,1)</f>
        <v/>
      </c>
      <c r="KX36">
        <f>KX35*IF(OR($C35=210,$G35=210),0,1)</f>
        <v/>
      </c>
      <c r="KY36">
        <f>KY35*IF(OR($C35=211,$G35=211),0,1)</f>
        <v/>
      </c>
      <c r="KZ36">
        <f>KZ35*IF(OR($C35=212,$G35=212),0,1)</f>
        <v/>
      </c>
      <c r="LA36">
        <f>LA35*IF(OR($C35=213,$G35=213),0,1)</f>
        <v/>
      </c>
      <c r="LB36">
        <f>LB35*IF(OR($C35=214,$G35=214),0,1)</f>
        <v/>
      </c>
      <c r="LC36">
        <f>LC35*IF(OR($C35=215,$G35=215),0,1)</f>
        <v/>
      </c>
      <c r="LD36">
        <f>LD35*IF(OR($C35=216,$G35=216),0,1)</f>
        <v/>
      </c>
      <c r="LE36">
        <f>LE35*IF(OR($C35=217,$G35=217),0,1)</f>
        <v/>
      </c>
      <c r="LF36">
        <f>LF35*IF(OR($C35=218,$G35=218),0,1)</f>
        <v/>
      </c>
      <c r="LG36">
        <f>LG35*IF(OR($C35=219,$G35=219),0,1)</f>
        <v/>
      </c>
      <c r="LH36">
        <f>LH35*IF(OR($C35=220,$G35=220),0,1)</f>
        <v/>
      </c>
      <c r="LI36">
        <f>LI35*IF(OR($C35=221,$G35=221),0,1)</f>
        <v/>
      </c>
      <c r="LJ36">
        <f>LJ35*IF(OR($C35=222,$G35=222),0,1)</f>
        <v/>
      </c>
      <c r="LK36">
        <f>LK35*IF(OR($C35=223,$G35=223),0,1)</f>
        <v/>
      </c>
      <c r="LL36">
        <f>LL35*IF(OR($C35=224,$G35=224),0,1)</f>
        <v/>
      </c>
      <c r="LM36">
        <f>LM35*IF(OR($C35=225,$G35=225),0,1)</f>
        <v/>
      </c>
      <c r="LN36">
        <f>LN35*IF(OR($C35=226,$G35=226),0,1)</f>
        <v/>
      </c>
      <c r="LO36">
        <f>LO35*IF(OR($C35=227,$G35=227),0,1)</f>
        <v/>
      </c>
      <c r="LP36">
        <f>LP35*IF(OR($C35=228,$G35=228),0,1)</f>
        <v/>
      </c>
      <c r="LQ36">
        <f>LQ35*IF(OR($C35=229,$G35=229),0,1)</f>
        <v/>
      </c>
      <c r="LR36">
        <f>LR35*IF(OR($C35=230,$G35=230),0,1)</f>
        <v/>
      </c>
      <c r="LS36">
        <f>LS35*IF(OR($C35=231,$G35=231),0,1)</f>
        <v/>
      </c>
      <c r="LT36">
        <f>LT35*IF(OR($C35=232,$G35=232),0,1)</f>
        <v/>
      </c>
      <c r="LU36">
        <f>LU35*IF(OR($C35=233,$G35=233),0,1)</f>
        <v/>
      </c>
      <c r="LV36">
        <f>LV35*IF(OR($C35=234,$G35=234),0,1)</f>
        <v/>
      </c>
      <c r="LW36">
        <f>LW35*IF(OR($C35=235,$G35=235),0,1)</f>
        <v/>
      </c>
      <c r="LX36">
        <f>LX35*IF(OR($C35=236,$G35=236),0,1)</f>
        <v/>
      </c>
      <c r="LY36">
        <f>LY35*IF(OR($C35=237,$G35=237),0,1)</f>
        <v/>
      </c>
      <c r="LZ36">
        <f>LZ35*IF(OR($C35=238,$G35=238),0,1)</f>
        <v/>
      </c>
      <c r="MA36">
        <f>MA35*IF(OR($C35=239,$G35=239),0,1)</f>
        <v/>
      </c>
      <c r="MB36">
        <f>MB35*IF(OR($C35=240,$G35=240),0,1)</f>
        <v/>
      </c>
      <c r="MD36">
        <f>IF('計算A'!D$106=1,CX36,1)</f>
        <v/>
      </c>
      <c r="ME36">
        <f>IF('計算A'!E$106=1,CY36,1)</f>
        <v/>
      </c>
      <c r="MF36">
        <f>IF('計算A'!F$106=1,CZ36,1)</f>
        <v/>
      </c>
      <c r="MG36">
        <f>IF('計算A'!G$106=1,DA36,1)</f>
        <v/>
      </c>
      <c r="MH36">
        <f>IF('計算A'!H$106=1,DB36,1)</f>
        <v/>
      </c>
      <c r="MI36">
        <f>IF('計算A'!I$106=1,DC36,1)</f>
        <v/>
      </c>
      <c r="MJ36">
        <f>IF('計算A'!J$106=1,DD36,1)</f>
        <v/>
      </c>
      <c r="MK36">
        <f>IF('計算A'!K$106=1,DE36,1)</f>
        <v/>
      </c>
      <c r="ML36">
        <f>IF('計算A'!L$106=1,DF36,1)</f>
        <v/>
      </c>
      <c r="MM36">
        <f>IF('計算A'!M$106=1,DG36,1)</f>
        <v/>
      </c>
      <c r="MN36">
        <f>IF('計算A'!N$106=1,DH36,1)</f>
        <v/>
      </c>
      <c r="MO36">
        <f>IF('計算A'!O$106=1,DI36,1)</f>
        <v/>
      </c>
      <c r="MP36">
        <f>IF('計算A'!P$106=1,DJ36,1)</f>
        <v/>
      </c>
      <c r="MQ36">
        <f>IF('計算A'!Q$106=1,DK36,1)</f>
        <v/>
      </c>
      <c r="MR36">
        <f>IF('計算A'!R$106=1,DL36,1)</f>
        <v/>
      </c>
      <c r="MS36">
        <f>IF('計算A'!S$106=1,DM36,1)</f>
        <v/>
      </c>
      <c r="MT36">
        <f>IF('計算A'!T$106=1,DN36,1)</f>
        <v/>
      </c>
      <c r="MU36">
        <f>IF('計算A'!U$106=1,DO36,1)</f>
        <v/>
      </c>
      <c r="MV36">
        <f>IF('計算A'!V$106=1,DP36,1)</f>
        <v/>
      </c>
      <c r="MW36">
        <f>IF('計算A'!W$106=1,DQ36,1)</f>
        <v/>
      </c>
      <c r="MX36">
        <f>IF('計算A'!X$106=1,DR36,1)</f>
        <v/>
      </c>
      <c r="MY36">
        <f>IF('計算A'!Y$106=1,DS36,1)</f>
        <v/>
      </c>
      <c r="MZ36">
        <f>IF('計算A'!Z$106=1,DT36,1)</f>
        <v/>
      </c>
      <c r="NA36">
        <f>IF('計算A'!AA$106=1,DU36,1)</f>
        <v/>
      </c>
      <c r="NB36">
        <f>IF('計算A'!AB$106=1,DV36,1)</f>
        <v/>
      </c>
      <c r="NC36">
        <f>IF('計算A'!AC$106=1,DW36,1)</f>
        <v/>
      </c>
      <c r="ND36">
        <f>IF('計算A'!AD$106=1,DX36,1)</f>
        <v/>
      </c>
      <c r="NE36">
        <f>IF('計算A'!AE$106=1,DY36,1)</f>
        <v/>
      </c>
      <c r="NF36">
        <f>IF('計算A'!AF$106=1,DZ36,1)</f>
        <v/>
      </c>
      <c r="NG36">
        <f>IF('計算A'!AG$106=1,EA36,1)</f>
        <v/>
      </c>
      <c r="NH36">
        <f>IF('計算A'!AH$106=1,EB36,1)</f>
        <v/>
      </c>
      <c r="NI36">
        <f>IF('計算A'!AI$106=1,EC36,1)</f>
        <v/>
      </c>
      <c r="NJ36">
        <f>IF('計算A'!AJ$106=1,ED36,1)</f>
        <v/>
      </c>
      <c r="NK36">
        <f>IF('計算A'!AK$106=1,EE36,1)</f>
        <v/>
      </c>
      <c r="NL36">
        <f>IF('計算A'!AL$106=1,EF36,1)</f>
        <v/>
      </c>
      <c r="NM36">
        <f>IF('計算A'!AM$106=1,EG36,1)</f>
        <v/>
      </c>
      <c r="NN36">
        <f>IF('計算A'!AN$106=1,EH36,1)</f>
        <v/>
      </c>
      <c r="NO36">
        <f>IF('計算A'!AO$106=1,EI36,1)</f>
        <v/>
      </c>
      <c r="NP36">
        <f>IF('計算A'!AP$106=1,EJ36,1)</f>
        <v/>
      </c>
      <c r="NQ36">
        <f>IF('計算A'!AQ$106=1,EK36,1)</f>
        <v/>
      </c>
      <c r="NR36">
        <f>IF('計算A'!AR$106=1,EL36,1)</f>
        <v/>
      </c>
      <c r="NS36">
        <f>IF('計算A'!AS$106=1,EM36,1)</f>
        <v/>
      </c>
      <c r="NT36">
        <f>IF('計算A'!AT$106=1,EN36,1)</f>
        <v/>
      </c>
      <c r="NU36">
        <f>IF('計算A'!AU$106=1,EO36,1)</f>
        <v/>
      </c>
      <c r="NV36">
        <f>IF('計算A'!AV$106=1,EP36,1)</f>
        <v/>
      </c>
      <c r="NW36">
        <f>IF('計算A'!AW$106=1,EQ36,1)</f>
        <v/>
      </c>
      <c r="NX36">
        <f>IF('計算A'!AX$106=1,ER36,1)</f>
        <v/>
      </c>
      <c r="NY36">
        <f>IF('計算A'!AY$106=1,ES36,1)</f>
        <v/>
      </c>
      <c r="NZ36">
        <f>IF('計算A'!AZ$106=1,ET36,1)</f>
        <v/>
      </c>
      <c r="OA36">
        <f>IF('計算A'!BA$106=1,EU36,1)</f>
        <v/>
      </c>
      <c r="OB36">
        <f>IF('計算A'!BB$106=1,EV36,1)</f>
        <v/>
      </c>
      <c r="OC36">
        <f>IF('計算A'!BC$106=1,EW36,1)</f>
        <v/>
      </c>
      <c r="OD36">
        <f>IF('計算A'!BD$106=1,EX36,1)</f>
        <v/>
      </c>
      <c r="OE36">
        <f>IF('計算A'!BE$106=1,EY36,1)</f>
        <v/>
      </c>
      <c r="OF36">
        <f>IF('計算A'!BF$106=1,EZ36,1)</f>
        <v/>
      </c>
      <c r="OG36">
        <f>IF('計算A'!BG$106=1,FA36,1)</f>
        <v/>
      </c>
      <c r="OH36">
        <f>IF('計算A'!BH$106=1,FB36,1)</f>
        <v/>
      </c>
      <c r="OI36">
        <f>IF('計算A'!BI$106=1,FC36,1)</f>
        <v/>
      </c>
      <c r="OJ36">
        <f>IF('計算A'!BJ$106=1,FD36,1)</f>
        <v/>
      </c>
      <c r="OK36">
        <f>IF('計算A'!BK$106=1,FE36,1)</f>
        <v/>
      </c>
      <c r="OL36">
        <f>IF('計算A'!BL$106=1,FF36,1)</f>
        <v/>
      </c>
      <c r="OM36">
        <f>IF('計算A'!BM$106=1,FG36,1)</f>
        <v/>
      </c>
      <c r="ON36">
        <f>IF('計算A'!BN$106=1,FH36,1)</f>
        <v/>
      </c>
      <c r="OO36">
        <f>IF('計算A'!BO$106=1,FI36,1)</f>
        <v/>
      </c>
      <c r="OP36">
        <f>IF('計算A'!BP$106=1,FJ36,1)</f>
        <v/>
      </c>
      <c r="OQ36">
        <f>IF('計算A'!BQ$106=1,FK36,1)</f>
        <v/>
      </c>
      <c r="OR36">
        <f>IF('計算A'!BR$106=1,FL36,1)</f>
        <v/>
      </c>
      <c r="OS36">
        <f>IF('計算A'!BS$106=1,FM36,1)</f>
        <v/>
      </c>
      <c r="OT36">
        <f>IF('計算A'!BT$106=1,FN36,1)</f>
        <v/>
      </c>
      <c r="OU36">
        <f>IF('計算A'!BU$106=1,FO36,1)</f>
        <v/>
      </c>
      <c r="OV36">
        <f>IF('計算A'!BV$106=1,FP36,1)</f>
        <v/>
      </c>
      <c r="OW36">
        <f>IF('計算A'!BW$106=1,FQ36,1)</f>
        <v/>
      </c>
      <c r="OX36">
        <f>IF('計算A'!BX$106=1,FR36,1)</f>
        <v/>
      </c>
      <c r="OY36">
        <f>IF('計算A'!BY$106=1,FS36,1)</f>
        <v/>
      </c>
      <c r="OZ36">
        <f>IF('計算A'!BZ$106=1,FT36,1)</f>
        <v/>
      </c>
      <c r="PA36">
        <f>IF('計算A'!CA$106=1,FU36,1)</f>
        <v/>
      </c>
      <c r="PB36">
        <f>IF('計算A'!CB$106=1,FV36,1)</f>
        <v/>
      </c>
      <c r="PC36">
        <f>IF('計算A'!CC$106=1,FW36,1)</f>
        <v/>
      </c>
      <c r="PD36">
        <f>IF('計算A'!CD$106=1,FX36,1)</f>
        <v/>
      </c>
      <c r="PE36">
        <f>IF('計算A'!CE$106=1,FY36,1)</f>
        <v/>
      </c>
      <c r="PF36">
        <f>IF('計算A'!CF$106=1,FZ36,1)</f>
        <v/>
      </c>
      <c r="PG36">
        <f>IF('計算A'!CG$106=1,GA36,1)</f>
        <v/>
      </c>
      <c r="PH36">
        <f>IF('計算A'!CH$106=1,GB36,1)</f>
        <v/>
      </c>
      <c r="PI36">
        <f>IF('計算A'!CI$106=1,GC36,1)</f>
        <v/>
      </c>
      <c r="PJ36">
        <f>IF('計算A'!CJ$106=1,GD36,1)</f>
        <v/>
      </c>
      <c r="PK36">
        <f>IF('計算A'!CK$106=1,GE36,1)</f>
        <v/>
      </c>
      <c r="PL36">
        <f>IF('計算A'!CL$106=1,GF36,1)</f>
        <v/>
      </c>
      <c r="PM36">
        <f>IF('計算A'!CM$106=1,GG36,1)</f>
        <v/>
      </c>
      <c r="PN36">
        <f>IF('計算A'!CN$106=1,GH36,1)</f>
        <v/>
      </c>
      <c r="PO36">
        <f>IF('計算A'!CO$106=1,GI36,1)</f>
        <v/>
      </c>
      <c r="PP36">
        <f>IF('計算A'!CP$106=1,GJ36,1)</f>
        <v/>
      </c>
      <c r="PQ36">
        <f>IF('計算A'!CQ$106=1,GK36,1)</f>
        <v/>
      </c>
      <c r="PR36">
        <f>IF('計算A'!CR$106=1,GL36,1)</f>
        <v/>
      </c>
      <c r="PS36">
        <f>IF('計算A'!CS$106=1,GM36,1)</f>
        <v/>
      </c>
      <c r="PT36">
        <f>IF('計算A'!CT$106=1,GN36,1)</f>
        <v/>
      </c>
      <c r="PU36">
        <f>IF('計算A'!CU$106=1,GO36,1)</f>
        <v/>
      </c>
      <c r="PV36">
        <f>IF('計算A'!CV$106=1,GP36,1)</f>
        <v/>
      </c>
      <c r="PW36">
        <f>IF('計算A'!CW$106=1,GQ36,1)</f>
        <v/>
      </c>
      <c r="PX36">
        <f>IF('計算A'!CX$106=1,GR36,1)</f>
        <v/>
      </c>
      <c r="PY36">
        <f>IF('計算A'!CY$106=1,GS36,1)</f>
        <v/>
      </c>
      <c r="PZ36">
        <f>IF('計算A'!CZ$106=1,GT36,1)</f>
        <v/>
      </c>
      <c r="QA36">
        <f>IF('計算A'!DA$106=1,GU36,1)</f>
        <v/>
      </c>
      <c r="QB36">
        <f>IF('計算A'!DB$106=1,GV36,1)</f>
        <v/>
      </c>
      <c r="QC36">
        <f>IF('計算A'!DC$106=1,GW36,1)</f>
        <v/>
      </c>
      <c r="QD36">
        <f>IF('計算A'!DD$106=1,GX36,1)</f>
        <v/>
      </c>
      <c r="QE36">
        <f>IF('計算A'!DE$106=1,GY36,1)</f>
        <v/>
      </c>
      <c r="QF36">
        <f>IF('計算A'!DF$106=1,GZ36,1)</f>
        <v/>
      </c>
      <c r="QG36">
        <f>IF('計算A'!DG$106=1,HA36,1)</f>
        <v/>
      </c>
      <c r="QH36">
        <f>IF('計算A'!DH$106=1,HB36,1)</f>
        <v/>
      </c>
      <c r="QI36">
        <f>IF('計算A'!DI$106=1,HC36,1)</f>
        <v/>
      </c>
      <c r="QJ36">
        <f>IF('計算A'!DJ$106=1,HD36,1)</f>
        <v/>
      </c>
      <c r="QK36">
        <f>IF('計算A'!DK$106=1,HE36,1)</f>
        <v/>
      </c>
      <c r="QL36">
        <f>IF('計算A'!DL$106=1,HF36,1)</f>
        <v/>
      </c>
      <c r="QM36">
        <f>IF('計算A'!DM$106=1,HG36,1)</f>
        <v/>
      </c>
      <c r="QN36">
        <f>IF('計算A'!DN$106=1,HH36,1)</f>
        <v/>
      </c>
      <c r="QO36">
        <f>IF('計算A'!DO$106=1,HI36,1)</f>
        <v/>
      </c>
      <c r="QP36">
        <f>IF('計算A'!DP$106=1,HJ36,1)</f>
        <v/>
      </c>
      <c r="QQ36">
        <f>IF('計算A'!DQ$106=1,HK36,1)</f>
        <v/>
      </c>
      <c r="QR36">
        <f>IF('計算A'!DR$106=1,HL36,1)</f>
        <v/>
      </c>
      <c r="QS36">
        <f>IF('計算A'!DS$106=1,HM36,1)</f>
        <v/>
      </c>
      <c r="QT36">
        <f>IF('計算A'!DT$106=1,HN36,1)</f>
        <v/>
      </c>
      <c r="QU36">
        <f>IF('計算A'!DU$106=1,HO36,1)</f>
        <v/>
      </c>
      <c r="QV36">
        <f>IF('計算A'!DV$106=1,HP36,1)</f>
        <v/>
      </c>
      <c r="QW36">
        <f>IF('計算A'!DW$106=1,HQ36,1)</f>
        <v/>
      </c>
      <c r="QX36">
        <f>IF('計算A'!DX$106=1,HR36,1)</f>
        <v/>
      </c>
      <c r="QY36">
        <f>IF('計算A'!DY$106=1,HS36,1)</f>
        <v/>
      </c>
      <c r="QZ36">
        <f>IF('計算A'!DZ$106=1,HT36,1)</f>
        <v/>
      </c>
      <c r="RA36">
        <f>IF('計算A'!EA$106=1,HU36,1)</f>
        <v/>
      </c>
      <c r="RB36">
        <f>IF('計算A'!EB$106=1,HV36,1)</f>
        <v/>
      </c>
      <c r="RC36">
        <f>IF('計算A'!EC$106=1,HW36,1)</f>
        <v/>
      </c>
      <c r="RD36">
        <f>IF('計算A'!ED$106=1,HX36,1)</f>
        <v/>
      </c>
      <c r="RE36">
        <f>IF('計算A'!EE$106=1,HY36,1)</f>
        <v/>
      </c>
      <c r="RF36">
        <f>IF('計算A'!EF$106=1,HZ36,1)</f>
        <v/>
      </c>
      <c r="RG36">
        <f>IF('計算A'!EG$106=1,IA36,1)</f>
        <v/>
      </c>
      <c r="RH36">
        <f>IF('計算A'!EH$106=1,IB36,1)</f>
        <v/>
      </c>
      <c r="RI36">
        <f>IF('計算A'!EI$106=1,IC36,1)</f>
        <v/>
      </c>
      <c r="RJ36">
        <f>IF('計算A'!EJ$106=1,ID36,1)</f>
        <v/>
      </c>
      <c r="RK36">
        <f>IF('計算A'!EK$106=1,IE36,1)</f>
        <v/>
      </c>
      <c r="RL36">
        <f>IF('計算A'!EL$106=1,IF36,1)</f>
        <v/>
      </c>
      <c r="RM36">
        <f>IF('計算A'!EM$106=1,IG36,1)</f>
        <v/>
      </c>
      <c r="RN36">
        <f>IF('計算A'!EN$106=1,IH36,1)</f>
        <v/>
      </c>
      <c r="RO36">
        <f>IF('計算A'!EO$106=1,II36,1)</f>
        <v/>
      </c>
      <c r="RP36">
        <f>IF('計算A'!EP$106=1,IJ36,1)</f>
        <v/>
      </c>
      <c r="RQ36">
        <f>IF('計算A'!EQ$106=1,IK36,1)</f>
        <v/>
      </c>
      <c r="RR36">
        <f>IF('計算A'!ER$106=1,IL36,1)</f>
        <v/>
      </c>
      <c r="RS36">
        <f>IF('計算A'!ES$106=1,IM36,1)</f>
        <v/>
      </c>
      <c r="RT36">
        <f>IF('計算A'!ET$106=1,IN36,1)</f>
        <v/>
      </c>
      <c r="RU36">
        <f>IF('計算A'!EU$106=1,IO36,1)</f>
        <v/>
      </c>
      <c r="RV36">
        <f>IF('計算A'!EV$106=1,IP36,1)</f>
        <v/>
      </c>
      <c r="RW36">
        <f>IF('計算A'!EW$106=1,IQ36,1)</f>
        <v/>
      </c>
      <c r="RX36">
        <f>IF('計算A'!EX$106=1,IR36,1)</f>
        <v/>
      </c>
      <c r="RY36">
        <f>IF('計算A'!EY$106=1,IS36,1)</f>
        <v/>
      </c>
      <c r="RZ36">
        <f>IF('計算A'!EZ$106=1,IT36,1)</f>
        <v/>
      </c>
      <c r="SA36">
        <f>IF('計算A'!FA$106=1,IU36,1)</f>
        <v/>
      </c>
      <c r="SB36">
        <f>IF('計算A'!FB$106=1,IV36,1)</f>
        <v/>
      </c>
      <c r="SC36">
        <f>IF('計算A'!FC$106=1,IW36,1)</f>
        <v/>
      </c>
      <c r="SD36">
        <f>IF('計算A'!FD$106=1,IX36,1)</f>
        <v/>
      </c>
      <c r="SE36">
        <f>IF('計算A'!FE$106=1,IY36,1)</f>
        <v/>
      </c>
      <c r="SF36">
        <f>IF('計算A'!FF$106=1,IZ36,1)</f>
        <v/>
      </c>
      <c r="SG36">
        <f>IF('計算A'!FG$106=1,JA36,1)</f>
        <v/>
      </c>
      <c r="SH36">
        <f>IF('計算A'!FH$106=1,JB36,1)</f>
        <v/>
      </c>
      <c r="SI36">
        <f>IF('計算A'!FI$106=1,JC36,1)</f>
        <v/>
      </c>
      <c r="SJ36">
        <f>IF('計算A'!FJ$106=1,JD36,1)</f>
        <v/>
      </c>
      <c r="SK36">
        <f>IF('計算A'!FK$106=1,JE36,1)</f>
        <v/>
      </c>
      <c r="SL36">
        <f>IF('計算A'!FL$106=1,JF36,1)</f>
        <v/>
      </c>
      <c r="SM36">
        <f>IF('計算A'!FM$106=1,JG36,1)</f>
        <v/>
      </c>
      <c r="SN36">
        <f>IF('計算A'!FN$106=1,JH36,1)</f>
        <v/>
      </c>
      <c r="SO36">
        <f>IF('計算A'!FO$106=1,JI36,1)</f>
        <v/>
      </c>
      <c r="SP36">
        <f>IF('計算A'!FP$106=1,JJ36,1)</f>
        <v/>
      </c>
      <c r="SQ36">
        <f>IF('計算A'!FQ$106=1,JK36,1)</f>
        <v/>
      </c>
      <c r="SR36">
        <f>IF('計算A'!FR$106=1,JL36,1)</f>
        <v/>
      </c>
      <c r="SS36">
        <f>IF('計算A'!FS$106=1,JM36,1)</f>
        <v/>
      </c>
      <c r="ST36">
        <f>IF('計算A'!FT$106=1,JN36,1)</f>
        <v/>
      </c>
      <c r="SU36">
        <f>IF('計算A'!FU$106=1,JO36,1)</f>
        <v/>
      </c>
      <c r="SV36">
        <f>IF('計算A'!FV$106=1,JP36,1)</f>
        <v/>
      </c>
      <c r="SW36">
        <f>IF('計算A'!FW$106=1,JQ36,1)</f>
        <v/>
      </c>
      <c r="SX36">
        <f>IF('計算A'!FX$106=1,JR36,1)</f>
        <v/>
      </c>
      <c r="SY36">
        <f>IF('計算A'!FY$106=1,JS36,1)</f>
        <v/>
      </c>
      <c r="SZ36">
        <f>IF('計算A'!FZ$106=1,JT36,1)</f>
        <v/>
      </c>
      <c r="TA36">
        <f>IF('計算A'!GA$106=1,JU36,1)</f>
        <v/>
      </c>
      <c r="TB36">
        <f>IF('計算A'!GB$106=1,JV36,1)</f>
        <v/>
      </c>
      <c r="TC36">
        <f>IF('計算A'!GC$106=1,JW36,1)</f>
        <v/>
      </c>
      <c r="TD36">
        <f>IF('計算A'!GD$106=1,JX36,1)</f>
        <v/>
      </c>
      <c r="TE36">
        <f>IF('計算A'!GE$106=1,JY36,1)</f>
        <v/>
      </c>
      <c r="TF36">
        <f>IF('計算A'!GF$106=1,JZ36,1)</f>
        <v/>
      </c>
      <c r="TG36">
        <f>IF('計算A'!GG$106=1,KA36,1)</f>
        <v/>
      </c>
      <c r="TH36">
        <f>IF('計算A'!GH$106=1,KB36,1)</f>
        <v/>
      </c>
      <c r="TI36">
        <f>IF('計算A'!GI$106=1,KC36,1)</f>
        <v/>
      </c>
      <c r="TJ36">
        <f>IF('計算A'!GJ$106=1,KD36,1)</f>
        <v/>
      </c>
      <c r="TK36">
        <f>IF('計算A'!GK$106=1,KE36,1)</f>
        <v/>
      </c>
      <c r="TL36">
        <f>IF('計算A'!GL$106=1,KF36,1)</f>
        <v/>
      </c>
      <c r="TM36">
        <f>IF('計算A'!GM$106=1,KG36,1)</f>
        <v/>
      </c>
      <c r="TN36">
        <f>IF('計算A'!GN$106=1,KH36,1)</f>
        <v/>
      </c>
      <c r="TO36">
        <f>IF('計算A'!GO$106=1,KI36,1)</f>
        <v/>
      </c>
      <c r="TP36">
        <f>IF('計算A'!GP$106=1,KJ36,1)</f>
        <v/>
      </c>
      <c r="TQ36">
        <f>IF('計算A'!GQ$106=1,KK36,1)</f>
        <v/>
      </c>
      <c r="TR36">
        <f>IF('計算A'!GR$106=1,KL36,1)</f>
        <v/>
      </c>
      <c r="TS36">
        <f>IF('計算A'!GS$106=1,KM36,1)</f>
        <v/>
      </c>
      <c r="TT36">
        <f>IF('計算A'!GT$106=1,KN36,1)</f>
        <v/>
      </c>
      <c r="TU36">
        <f>IF('計算A'!GU$106=1,KO36,1)</f>
        <v/>
      </c>
      <c r="TV36">
        <f>IF('計算A'!GV$106=1,KP36,1)</f>
        <v/>
      </c>
      <c r="TW36">
        <f>IF('計算A'!GW$106=1,KQ36,1)</f>
        <v/>
      </c>
      <c r="TX36">
        <f>IF('計算A'!GX$106=1,KR36,1)</f>
        <v/>
      </c>
      <c r="TY36">
        <f>IF('計算A'!GY$106=1,KS36,1)</f>
        <v/>
      </c>
      <c r="TZ36">
        <f>IF('計算A'!GZ$106=1,KT36,1)</f>
        <v/>
      </c>
      <c r="UA36">
        <f>IF('計算A'!HA$106=1,KU36,1)</f>
        <v/>
      </c>
      <c r="UB36">
        <f>IF('計算A'!HB$106=1,KV36,1)</f>
        <v/>
      </c>
      <c r="UC36">
        <f>IF('計算A'!HC$106=1,KW36,1)</f>
        <v/>
      </c>
      <c r="UD36">
        <f>IF('計算A'!HD$106=1,KX36,1)</f>
        <v/>
      </c>
      <c r="UE36">
        <f>IF('計算A'!HE$106=1,KY36,1)</f>
        <v/>
      </c>
      <c r="UF36">
        <f>IF('計算A'!HF$106=1,KZ36,1)</f>
        <v/>
      </c>
      <c r="UG36">
        <f>IF('計算A'!HG$106=1,LA36,1)</f>
        <v/>
      </c>
      <c r="UH36">
        <f>IF('計算A'!HH$106=1,LB36,1)</f>
        <v/>
      </c>
      <c r="UI36">
        <f>IF('計算A'!HI$106=1,LC36,1)</f>
        <v/>
      </c>
      <c r="UJ36">
        <f>IF('計算A'!HJ$106=1,LD36,1)</f>
        <v/>
      </c>
      <c r="UK36">
        <f>IF('計算A'!HK$106=1,LE36,1)</f>
        <v/>
      </c>
      <c r="UL36">
        <f>IF('計算A'!HL$106=1,LF36,1)</f>
        <v/>
      </c>
      <c r="UM36">
        <f>IF('計算A'!HM$106=1,LG36,1)</f>
        <v/>
      </c>
      <c r="UN36">
        <f>IF('計算A'!HN$106=1,LH36,1)</f>
        <v/>
      </c>
      <c r="UO36">
        <f>IF('計算A'!HO$106=1,LI36,1)</f>
        <v/>
      </c>
      <c r="UP36">
        <f>IF('計算A'!HP$106=1,LJ36,1)</f>
        <v/>
      </c>
      <c r="UQ36">
        <f>IF('計算A'!HQ$106=1,LK36,1)</f>
        <v/>
      </c>
      <c r="UR36">
        <f>IF('計算A'!HR$106=1,LL36,1)</f>
        <v/>
      </c>
      <c r="US36">
        <f>IF('計算A'!HS$106=1,LM36,1)</f>
        <v/>
      </c>
      <c r="UT36">
        <f>IF('計算A'!HT$106=1,LN36,1)</f>
        <v/>
      </c>
      <c r="UU36">
        <f>IF('計算A'!HU$106=1,LO36,1)</f>
        <v/>
      </c>
      <c r="UV36">
        <f>IF('計算A'!HV$106=1,LP36,1)</f>
        <v/>
      </c>
      <c r="UW36">
        <f>IF('計算A'!HW$106=1,LQ36,1)</f>
        <v/>
      </c>
      <c r="UX36">
        <f>IF('計算A'!HX$106=1,LR36,1)</f>
        <v/>
      </c>
      <c r="UY36">
        <f>IF('計算A'!HY$106=1,LS36,1)</f>
        <v/>
      </c>
      <c r="UZ36">
        <f>IF('計算A'!HZ$106=1,LT36,1)</f>
        <v/>
      </c>
      <c r="VA36">
        <f>IF('計算A'!IA$106=1,LU36,1)</f>
        <v/>
      </c>
      <c r="VB36">
        <f>IF('計算A'!IB$106=1,LV36,1)</f>
        <v/>
      </c>
      <c r="VC36">
        <f>IF('計算A'!IC$106=1,LW36,1)</f>
        <v/>
      </c>
      <c r="VD36">
        <f>IF('計算A'!ID$106=1,LX36,1)</f>
        <v/>
      </c>
      <c r="VE36">
        <f>IF('計算A'!IE$106=1,LY36,1)</f>
        <v/>
      </c>
      <c r="VF36">
        <f>IF('計算A'!IF$106=1,LZ36,1)</f>
        <v/>
      </c>
      <c r="VG36">
        <f>IF('計算A'!IG$106=1,MA36,1)</f>
        <v/>
      </c>
      <c r="VH36">
        <f>IF('計算A'!IH$106=1,MB36,1)</f>
        <v/>
      </c>
      <c r="VI36" t="n">
        <v>1</v>
      </c>
      <c r="VK36">
        <f>IF($B36=0,1000000,IF(INDEX('計算A'!$D$60:$II$104,$B36,1)*CW36=1,IF(AND($E36=2,MD36=0),1000000,INDEX('計算A'!D$110:D$114,$F36+1)+IF(AND($E36=1,MD36=0),1000,0)),1000000))</f>
        <v/>
      </c>
      <c r="VL36">
        <f>IF($B36=0,1000000,IF(INDEX('計算A'!$D$60:$II$104,$B36,2)*CX36=1,IF(AND($E36=2,ME36=0),1000000,INDEX('計算A'!E$110:E$114,$F36+1)+IF(AND($E36=1,ME36=0),1000,0)),1000000))</f>
        <v/>
      </c>
      <c r="VM36">
        <f>IF($B36=0,1000000,IF(INDEX('計算A'!$D$60:$II$104,$B36,3)*CY36=1,IF(AND($E36=2,MF36=0),1000000,INDEX('計算A'!F$110:F$114,$F36+1)+IF(AND($E36=1,MF36=0),1000,0)),1000000))</f>
        <v/>
      </c>
      <c r="VN36">
        <f>IF($B36=0,1000000,IF(INDEX('計算A'!$D$60:$II$104,$B36,4)*CZ36=1,IF(AND($E36=2,MG36=0),1000000,INDEX('計算A'!G$110:G$114,$F36+1)+IF(AND($E36=1,MG36=0),1000,0)),1000000))</f>
        <v/>
      </c>
      <c r="VO36">
        <f>IF($B36=0,1000000,IF(INDEX('計算A'!$D$60:$II$104,$B36,5)*DA36=1,IF(AND($E36=2,MH36=0),1000000,INDEX('計算A'!H$110:H$114,$F36+1)+IF(AND($E36=1,MH36=0),1000,0)),1000000))</f>
        <v/>
      </c>
      <c r="VP36">
        <f>IF($B36=0,1000000,IF(INDEX('計算A'!$D$60:$II$104,$B36,6)*DB36=1,IF(AND($E36=2,MI36=0),1000000,INDEX('計算A'!I$110:I$114,$F36+1)+IF(AND($E36=1,MI36=0),1000,0)),1000000))</f>
        <v/>
      </c>
      <c r="VQ36">
        <f>IF($B36=0,1000000,IF(INDEX('計算A'!$D$60:$II$104,$B36,7)*DC36=1,IF(AND($E36=2,MJ36=0),1000000,INDEX('計算A'!J$110:J$114,$F36+1)+IF(AND($E36=1,MJ36=0),1000,0)),1000000))</f>
        <v/>
      </c>
      <c r="VR36">
        <f>IF($B36=0,1000000,IF(INDEX('計算A'!$D$60:$II$104,$B36,8)*DD36=1,IF(AND($E36=2,MK36=0),1000000,INDEX('計算A'!K$110:K$114,$F36+1)+IF(AND($E36=1,MK36=0),1000,0)),1000000))</f>
        <v/>
      </c>
      <c r="VS36">
        <f>IF($B36=0,1000000,IF(INDEX('計算A'!$D$60:$II$104,$B36,9)*DE36=1,IF(AND($E36=2,ML36=0),1000000,INDEX('計算A'!L$110:L$114,$F36+1)+IF(AND($E36=1,ML36=0),1000,0)),1000000))</f>
        <v/>
      </c>
      <c r="VT36">
        <f>IF($B36=0,1000000,IF(INDEX('計算A'!$D$60:$II$104,$B36,10)*DF36=1,IF(AND($E36=2,MM36=0),1000000,INDEX('計算A'!M$110:M$114,$F36+1)+IF(AND($E36=1,MM36=0),1000,0)),1000000))</f>
        <v/>
      </c>
      <c r="VU36">
        <f>IF($B36=0,1000000,IF(INDEX('計算A'!$D$60:$II$104,$B36,11)*DG36=1,IF(AND($E36=2,MN36=0),1000000,INDEX('計算A'!N$110:N$114,$F36+1)+IF(AND($E36=1,MN36=0),1000,0)),1000000))</f>
        <v/>
      </c>
      <c r="VV36">
        <f>IF($B36=0,1000000,IF(INDEX('計算A'!$D$60:$II$104,$B36,12)*DH36=1,IF(AND($E36=2,MO36=0),1000000,INDEX('計算A'!O$110:O$114,$F36+1)+IF(AND($E36=1,MO36=0),1000,0)),1000000))</f>
        <v/>
      </c>
      <c r="VW36">
        <f>IF($B36=0,1000000,IF(INDEX('計算A'!$D$60:$II$104,$B36,13)*DI36=1,IF(AND($E36=2,MP36=0),1000000,INDEX('計算A'!P$110:P$114,$F36+1)+IF(AND($E36=1,MP36=0),1000,0)),1000000))</f>
        <v/>
      </c>
      <c r="VX36">
        <f>IF($B36=0,1000000,IF(INDEX('計算A'!$D$60:$II$104,$B36,14)*DJ36=1,IF(AND($E36=2,MQ36=0),1000000,INDEX('計算A'!Q$110:Q$114,$F36+1)+IF(AND($E36=1,MQ36=0),1000,0)),1000000))</f>
        <v/>
      </c>
      <c r="VY36">
        <f>IF($B36=0,1000000,IF(INDEX('計算A'!$D$60:$II$104,$B36,15)*DK36=1,IF(AND($E36=2,MR36=0),1000000,INDEX('計算A'!R$110:R$114,$F36+1)+IF(AND($E36=1,MR36=0),1000,0)),1000000))</f>
        <v/>
      </c>
      <c r="VZ36">
        <f>IF($B36=0,1000000,IF(INDEX('計算A'!$D$60:$II$104,$B36,16)*DL36=1,IF(AND($E36=2,MS36=0),1000000,INDEX('計算A'!S$110:S$114,$F36+1)+IF(AND($E36=1,MS36=0),1000,0)),1000000))</f>
        <v/>
      </c>
      <c r="WA36">
        <f>IF($B36=0,1000000,IF(INDEX('計算A'!$D$60:$II$104,$B36,17)*DM36=1,IF(AND($E36=2,MT36=0),1000000,INDEX('計算A'!T$110:T$114,$F36+1)+IF(AND($E36=1,MT36=0),1000,0)),1000000))</f>
        <v/>
      </c>
      <c r="WB36">
        <f>IF($B36=0,1000000,IF(INDEX('計算A'!$D$60:$II$104,$B36,18)*DN36=1,IF(AND($E36=2,MU36=0),1000000,INDEX('計算A'!U$110:U$114,$F36+1)+IF(AND($E36=1,MU36=0),1000,0)),1000000))</f>
        <v/>
      </c>
      <c r="WC36">
        <f>IF($B36=0,1000000,IF(INDEX('計算A'!$D$60:$II$104,$B36,19)*DO36=1,IF(AND($E36=2,MV36=0),1000000,INDEX('計算A'!V$110:V$114,$F36+1)+IF(AND($E36=1,MV36=0),1000,0)),1000000))</f>
        <v/>
      </c>
      <c r="WD36">
        <f>IF($B36=0,1000000,IF(INDEX('計算A'!$D$60:$II$104,$B36,20)*DP36=1,IF(AND($E36=2,MW36=0),1000000,INDEX('計算A'!W$110:W$114,$F36+1)+IF(AND($E36=1,MW36=0),1000,0)),1000000))</f>
        <v/>
      </c>
      <c r="WE36">
        <f>IF($B36=0,1000000,IF(INDEX('計算A'!$D$60:$II$104,$B36,21)*DQ36=1,IF(AND($E36=2,MX36=0),1000000,INDEX('計算A'!X$110:X$114,$F36+1)+IF(AND($E36=1,MX36=0),1000,0)),1000000))</f>
        <v/>
      </c>
      <c r="WF36">
        <f>IF($B36=0,1000000,IF(INDEX('計算A'!$D$60:$II$104,$B36,22)*DR36=1,IF(AND($E36=2,MY36=0),1000000,INDEX('計算A'!Y$110:Y$114,$F36+1)+IF(AND($E36=1,MY36=0),1000,0)),1000000))</f>
        <v/>
      </c>
      <c r="WG36">
        <f>IF($B36=0,1000000,IF(INDEX('計算A'!$D$60:$II$104,$B36,23)*DS36=1,IF(AND($E36=2,MZ36=0),1000000,INDEX('計算A'!Z$110:Z$114,$F36+1)+IF(AND($E36=1,MZ36=0),1000,0)),1000000))</f>
        <v/>
      </c>
      <c r="WH36">
        <f>IF($B36=0,1000000,IF(INDEX('計算A'!$D$60:$II$104,$B36,24)*DT36=1,IF(AND($E36=2,NA36=0),1000000,INDEX('計算A'!AA$110:AA$114,$F36+1)+IF(AND($E36=1,NA36=0),1000,0)),1000000))</f>
        <v/>
      </c>
      <c r="WI36">
        <f>IF($B36=0,1000000,IF(INDEX('計算A'!$D$60:$II$104,$B36,25)*DU36=1,IF(AND($E36=2,NB36=0),1000000,INDEX('計算A'!AB$110:AB$114,$F36+1)+IF(AND($E36=1,NB36=0),1000,0)),1000000))</f>
        <v/>
      </c>
      <c r="WJ36">
        <f>IF($B36=0,1000000,IF(INDEX('計算A'!$D$60:$II$104,$B36,26)*DV36=1,IF(AND($E36=2,NC36=0),1000000,INDEX('計算A'!AC$110:AC$114,$F36+1)+IF(AND($E36=1,NC36=0),1000,0)),1000000))</f>
        <v/>
      </c>
      <c r="WK36">
        <f>IF($B36=0,1000000,IF(INDEX('計算A'!$D$60:$II$104,$B36,27)*DW36=1,IF(AND($E36=2,ND36=0),1000000,INDEX('計算A'!AD$110:AD$114,$F36+1)+IF(AND($E36=1,ND36=0),1000,0)),1000000))</f>
        <v/>
      </c>
      <c r="WL36">
        <f>IF($B36=0,1000000,IF(INDEX('計算A'!$D$60:$II$104,$B36,28)*DX36=1,IF(AND($E36=2,NE36=0),1000000,INDEX('計算A'!AE$110:AE$114,$F36+1)+IF(AND($E36=1,NE36=0),1000,0)),1000000))</f>
        <v/>
      </c>
      <c r="WM36">
        <f>IF($B36=0,1000000,IF(INDEX('計算A'!$D$60:$II$104,$B36,29)*DY36=1,IF(AND($E36=2,NF36=0),1000000,INDEX('計算A'!AF$110:AF$114,$F36+1)+IF(AND($E36=1,NF36=0),1000,0)),1000000))</f>
        <v/>
      </c>
      <c r="WN36">
        <f>IF($B36=0,1000000,IF(INDEX('計算A'!$D$60:$II$104,$B36,30)*DZ36=1,IF(AND($E36=2,NG36=0),1000000,INDEX('計算A'!AG$110:AG$114,$F36+1)+IF(AND($E36=1,NG36=0),1000,0)),1000000))</f>
        <v/>
      </c>
      <c r="WO36">
        <f>IF($B36=0,1000000,IF(INDEX('計算A'!$D$60:$II$104,$B36,31)*EA36=1,IF(AND($E36=2,NH36=0),1000000,INDEX('計算A'!AH$110:AH$114,$F36+1)+IF(AND($E36=1,NH36=0),1000,0)),1000000))</f>
        <v/>
      </c>
      <c r="WP36">
        <f>IF($B36=0,1000000,IF(INDEX('計算A'!$D$60:$II$104,$B36,32)*EB36=1,IF(AND($E36=2,NI36=0),1000000,INDEX('計算A'!AI$110:AI$114,$F36+1)+IF(AND($E36=1,NI36=0),1000,0)),1000000))</f>
        <v/>
      </c>
      <c r="WQ36">
        <f>IF($B36=0,1000000,IF(INDEX('計算A'!$D$60:$II$104,$B36,33)*EC36=1,IF(AND($E36=2,NJ36=0),1000000,INDEX('計算A'!AJ$110:AJ$114,$F36+1)+IF(AND($E36=1,NJ36=0),1000,0)),1000000))</f>
        <v/>
      </c>
      <c r="WR36">
        <f>IF($B36=0,1000000,IF(INDEX('計算A'!$D$60:$II$104,$B36,34)*ED36=1,IF(AND($E36=2,NK36=0),1000000,INDEX('計算A'!AK$110:AK$114,$F36+1)+IF(AND($E36=1,NK36=0),1000,0)),1000000))</f>
        <v/>
      </c>
      <c r="WS36">
        <f>IF($B36=0,1000000,IF(INDEX('計算A'!$D$60:$II$104,$B36,35)*EE36=1,IF(AND($E36=2,NL36=0),1000000,INDEX('計算A'!AL$110:AL$114,$F36+1)+IF(AND($E36=1,NL36=0),1000,0)),1000000))</f>
        <v/>
      </c>
      <c r="WT36">
        <f>IF($B36=0,1000000,IF(INDEX('計算A'!$D$60:$II$104,$B36,36)*EF36=1,IF(AND($E36=2,NM36=0),1000000,INDEX('計算A'!AM$110:AM$114,$F36+1)+IF(AND($E36=1,NM36=0),1000,0)),1000000))</f>
        <v/>
      </c>
      <c r="WU36">
        <f>IF($B36=0,1000000,IF(INDEX('計算A'!$D$60:$II$104,$B36,37)*EG36=1,IF(AND($E36=2,NN36=0),1000000,INDEX('計算A'!AN$110:AN$114,$F36+1)+IF(AND($E36=1,NN36=0),1000,0)),1000000))</f>
        <v/>
      </c>
      <c r="WV36">
        <f>IF($B36=0,1000000,IF(INDEX('計算A'!$D$60:$II$104,$B36,38)*EH36=1,IF(AND($E36=2,NO36=0),1000000,INDEX('計算A'!AO$110:AO$114,$F36+1)+IF(AND($E36=1,NO36=0),1000,0)),1000000))</f>
        <v/>
      </c>
      <c r="WW36">
        <f>IF($B36=0,1000000,IF(INDEX('計算A'!$D$60:$II$104,$B36,39)*EI36=1,IF(AND($E36=2,NP36=0),1000000,INDEX('計算A'!AP$110:AP$114,$F36+1)+IF(AND($E36=1,NP36=0),1000,0)),1000000))</f>
        <v/>
      </c>
      <c r="WX36">
        <f>IF($B36=0,1000000,IF(INDEX('計算A'!$D$60:$II$104,$B36,40)*EJ36=1,IF(AND($E36=2,NQ36=0),1000000,INDEX('計算A'!AQ$110:AQ$114,$F36+1)+IF(AND($E36=1,NQ36=0),1000,0)),1000000))</f>
        <v/>
      </c>
      <c r="WY36">
        <f>IF($B36=0,1000000,IF(INDEX('計算A'!$D$60:$II$104,$B36,41)*EK36=1,IF(AND($E36=2,NR36=0),1000000,INDEX('計算A'!AR$110:AR$114,$F36+1)+IF(AND($E36=1,NR36=0),1000,0)),1000000))</f>
        <v/>
      </c>
      <c r="WZ36">
        <f>IF($B36=0,1000000,IF(INDEX('計算A'!$D$60:$II$104,$B36,42)*EL36=1,IF(AND($E36=2,NS36=0),1000000,INDEX('計算A'!AS$110:AS$114,$F36+1)+IF(AND($E36=1,NS36=0),1000,0)),1000000))</f>
        <v/>
      </c>
      <c r="XA36">
        <f>IF($B36=0,1000000,IF(INDEX('計算A'!$D$60:$II$104,$B36,43)*EM36=1,IF(AND($E36=2,NT36=0),1000000,INDEX('計算A'!AT$110:AT$114,$F36+1)+IF(AND($E36=1,NT36=0),1000,0)),1000000))</f>
        <v/>
      </c>
      <c r="XB36">
        <f>IF($B36=0,1000000,IF(INDEX('計算A'!$D$60:$II$104,$B36,44)*EN36=1,IF(AND($E36=2,NU36=0),1000000,INDEX('計算A'!AU$110:AU$114,$F36+1)+IF(AND($E36=1,NU36=0),1000,0)),1000000))</f>
        <v/>
      </c>
      <c r="XC36">
        <f>IF($B36=0,1000000,IF(INDEX('計算A'!$D$60:$II$104,$B36,45)*EO36=1,IF(AND($E36=2,NV36=0),1000000,INDEX('計算A'!AV$110:AV$114,$F36+1)+IF(AND($E36=1,NV36=0),1000,0)),1000000))</f>
        <v/>
      </c>
      <c r="XD36">
        <f>IF($B36=0,1000000,IF(INDEX('計算A'!$D$60:$II$104,$B36,46)*EP36=1,IF(AND($E36=2,NW36=0),1000000,INDEX('計算A'!AW$110:AW$114,$F36+1)+IF(AND($E36=1,NW36=0),1000,0)),1000000))</f>
        <v/>
      </c>
      <c r="XE36">
        <f>IF($B36=0,1000000,IF(INDEX('計算A'!$D$60:$II$104,$B36,47)*EQ36=1,IF(AND($E36=2,NX36=0),1000000,INDEX('計算A'!AX$110:AX$114,$F36+1)+IF(AND($E36=1,NX36=0),1000,0)),1000000))</f>
        <v/>
      </c>
      <c r="XF36">
        <f>IF($B36=0,1000000,IF(INDEX('計算A'!$D$60:$II$104,$B36,48)*ER36=1,IF(AND($E36=2,NY36=0),1000000,INDEX('計算A'!AY$110:AY$114,$F36+1)+IF(AND($E36=1,NY36=0),1000,0)),1000000))</f>
        <v/>
      </c>
      <c r="XG36">
        <f>IF($B36=0,1000000,IF(INDEX('計算A'!$D$60:$II$104,$B36,49)*ES36=1,IF(AND($E36=2,NZ36=0),1000000,INDEX('計算A'!AZ$110:AZ$114,$F36+1)+IF(AND($E36=1,NZ36=0),1000,0)),1000000))</f>
        <v/>
      </c>
      <c r="XH36">
        <f>IF($B36=0,1000000,IF(INDEX('計算A'!$D$60:$II$104,$B36,50)*ET36=1,IF(AND($E36=2,OA36=0),1000000,INDEX('計算A'!BA$110:BA$114,$F36+1)+IF(AND($E36=1,OA36=0),1000,0)),1000000))</f>
        <v/>
      </c>
      <c r="XI36">
        <f>IF($B36=0,1000000,IF(INDEX('計算A'!$D$60:$II$104,$B36,51)*EU36=1,IF(AND($E36=2,OB36=0),1000000,INDEX('計算A'!BB$110:BB$114,$F36+1)+IF(AND($E36=1,OB36=0),1000,0)),1000000))</f>
        <v/>
      </c>
      <c r="XJ36">
        <f>IF($B36=0,1000000,IF(INDEX('計算A'!$D$60:$II$104,$B36,52)*EV36=1,IF(AND($E36=2,OC36=0),1000000,INDEX('計算A'!BC$110:BC$114,$F36+1)+IF(AND($E36=1,OC36=0),1000,0)),1000000))</f>
        <v/>
      </c>
      <c r="XK36">
        <f>IF($B36=0,1000000,IF(INDEX('計算A'!$D$60:$II$104,$B36,53)*EW36=1,IF(AND($E36=2,OD36=0),1000000,INDEX('計算A'!BD$110:BD$114,$F36+1)+IF(AND($E36=1,OD36=0),1000,0)),1000000))</f>
        <v/>
      </c>
      <c r="XL36">
        <f>IF($B36=0,1000000,IF(INDEX('計算A'!$D$60:$II$104,$B36,54)*EX36=1,IF(AND($E36=2,OE36=0),1000000,INDEX('計算A'!BE$110:BE$114,$F36+1)+IF(AND($E36=1,OE36=0),1000,0)),1000000))</f>
        <v/>
      </c>
      <c r="XM36">
        <f>IF($B36=0,1000000,IF(INDEX('計算A'!$D$60:$II$104,$B36,55)*EY36=1,IF(AND($E36=2,OF36=0),1000000,INDEX('計算A'!BF$110:BF$114,$F36+1)+IF(AND($E36=1,OF36=0),1000,0)),1000000))</f>
        <v/>
      </c>
      <c r="XN36">
        <f>IF($B36=0,1000000,IF(INDEX('計算A'!$D$60:$II$104,$B36,56)*EZ36=1,IF(AND($E36=2,OG36=0),1000000,INDEX('計算A'!BG$110:BG$114,$F36+1)+IF(AND($E36=1,OG36=0),1000,0)),1000000))</f>
        <v/>
      </c>
      <c r="XO36">
        <f>IF($B36=0,1000000,IF(INDEX('計算A'!$D$60:$II$104,$B36,57)*FA36=1,IF(AND($E36=2,OH36=0),1000000,INDEX('計算A'!BH$110:BH$114,$F36+1)+IF(AND($E36=1,OH36=0),1000,0)),1000000))</f>
        <v/>
      </c>
      <c r="XP36">
        <f>IF($B36=0,1000000,IF(INDEX('計算A'!$D$60:$II$104,$B36,58)*FB36=1,IF(AND($E36=2,OI36=0),1000000,INDEX('計算A'!BI$110:BI$114,$F36+1)+IF(AND($E36=1,OI36=0),1000,0)),1000000))</f>
        <v/>
      </c>
      <c r="XQ36">
        <f>IF($B36=0,1000000,IF(INDEX('計算A'!$D$60:$II$104,$B36,59)*FC36=1,IF(AND($E36=2,OJ36=0),1000000,INDEX('計算A'!BJ$110:BJ$114,$F36+1)+IF(AND($E36=1,OJ36=0),1000,0)),1000000))</f>
        <v/>
      </c>
      <c r="XR36">
        <f>IF($B36=0,1000000,IF(INDEX('計算A'!$D$60:$II$104,$B36,60)*FD36=1,IF(AND($E36=2,OK36=0),1000000,INDEX('計算A'!BK$110:BK$114,$F36+1)+IF(AND($E36=1,OK36=0),1000,0)),1000000))</f>
        <v/>
      </c>
      <c r="XS36">
        <f>IF($B36=0,1000000,IF(INDEX('計算A'!$D$60:$II$104,$B36,61)*FE36=1,IF(AND($E36=2,OL36=0),1000000,INDEX('計算A'!BL$110:BL$114,$F36+1)+IF(AND($E36=1,OL36=0),1000,0)),1000000))</f>
        <v/>
      </c>
      <c r="XT36">
        <f>IF($B36=0,1000000,IF(INDEX('計算A'!$D$60:$II$104,$B36,62)*FF36=1,IF(AND($E36=2,OM36=0),1000000,INDEX('計算A'!BM$110:BM$114,$F36+1)+IF(AND($E36=1,OM36=0),1000,0)),1000000))</f>
        <v/>
      </c>
      <c r="XU36">
        <f>IF($B36=0,1000000,IF(INDEX('計算A'!$D$60:$II$104,$B36,63)*FG36=1,IF(AND($E36=2,ON36=0),1000000,INDEX('計算A'!BN$110:BN$114,$F36+1)+IF(AND($E36=1,ON36=0),1000,0)),1000000))</f>
        <v/>
      </c>
      <c r="XV36">
        <f>IF($B36=0,1000000,IF(INDEX('計算A'!$D$60:$II$104,$B36,64)*FH36=1,IF(AND($E36=2,OO36=0),1000000,INDEX('計算A'!BO$110:BO$114,$F36+1)+IF(AND($E36=1,OO36=0),1000,0)),1000000))</f>
        <v/>
      </c>
      <c r="XW36">
        <f>IF($B36=0,1000000,IF(INDEX('計算A'!$D$60:$II$104,$B36,65)*FI36=1,IF(AND($E36=2,OP36=0),1000000,INDEX('計算A'!BP$110:BP$114,$F36+1)+IF(AND($E36=1,OP36=0),1000,0)),1000000))</f>
        <v/>
      </c>
      <c r="XX36">
        <f>IF($B36=0,1000000,IF(INDEX('計算A'!$D$60:$II$104,$B36,66)*FJ36=1,IF(AND($E36=2,OQ36=0),1000000,INDEX('計算A'!BQ$110:BQ$114,$F36+1)+IF(AND($E36=1,OQ36=0),1000,0)),1000000))</f>
        <v/>
      </c>
      <c r="XY36">
        <f>IF($B36=0,1000000,IF(INDEX('計算A'!$D$60:$II$104,$B36,67)*FK36=1,IF(AND($E36=2,OR36=0),1000000,INDEX('計算A'!BR$110:BR$114,$F36+1)+IF(AND($E36=1,OR36=0),1000,0)),1000000))</f>
        <v/>
      </c>
      <c r="XZ36">
        <f>IF($B36=0,1000000,IF(INDEX('計算A'!$D$60:$II$104,$B36,68)*FL36=1,IF(AND($E36=2,OS36=0),1000000,INDEX('計算A'!BS$110:BS$114,$F36+1)+IF(AND($E36=1,OS36=0),1000,0)),1000000))</f>
        <v/>
      </c>
      <c r="YA36">
        <f>IF($B36=0,1000000,IF(INDEX('計算A'!$D$60:$II$104,$B36,69)*FM36=1,IF(AND($E36=2,OT36=0),1000000,INDEX('計算A'!BT$110:BT$114,$F36+1)+IF(AND($E36=1,OT36=0),1000,0)),1000000))</f>
        <v/>
      </c>
      <c r="YB36">
        <f>IF($B36=0,1000000,IF(INDEX('計算A'!$D$60:$II$104,$B36,70)*FN36=1,IF(AND($E36=2,OU36=0),1000000,INDEX('計算A'!BU$110:BU$114,$F36+1)+IF(AND($E36=1,OU36=0),1000,0)),1000000))</f>
        <v/>
      </c>
      <c r="YC36">
        <f>IF($B36=0,1000000,IF(INDEX('計算A'!$D$60:$II$104,$B36,71)*FO36=1,IF(AND($E36=2,OV36=0),1000000,INDEX('計算A'!BV$110:BV$114,$F36+1)+IF(AND($E36=1,OV36=0),1000,0)),1000000))</f>
        <v/>
      </c>
      <c r="YD36">
        <f>IF($B36=0,1000000,IF(INDEX('計算A'!$D$60:$II$104,$B36,72)*FP36=1,IF(AND($E36=2,OW36=0),1000000,INDEX('計算A'!BW$110:BW$114,$F36+1)+IF(AND($E36=1,OW36=0),1000,0)),1000000))</f>
        <v/>
      </c>
      <c r="YE36">
        <f>IF($B36=0,1000000,IF(INDEX('計算A'!$D$60:$II$104,$B36,73)*FQ36=1,IF(AND($E36=2,OX36=0),1000000,INDEX('計算A'!BX$110:BX$114,$F36+1)+IF(AND($E36=1,OX36=0),1000,0)),1000000))</f>
        <v/>
      </c>
      <c r="YF36">
        <f>IF($B36=0,1000000,IF(INDEX('計算A'!$D$60:$II$104,$B36,74)*FR36=1,IF(AND($E36=2,OY36=0),1000000,INDEX('計算A'!BY$110:BY$114,$F36+1)+IF(AND($E36=1,OY36=0),1000,0)),1000000))</f>
        <v/>
      </c>
      <c r="YG36">
        <f>IF($B36=0,1000000,IF(INDEX('計算A'!$D$60:$II$104,$B36,75)*FS36=1,IF(AND($E36=2,OZ36=0),1000000,INDEX('計算A'!BZ$110:BZ$114,$F36+1)+IF(AND($E36=1,OZ36=0),1000,0)),1000000))</f>
        <v/>
      </c>
      <c r="YH36">
        <f>IF($B36=0,1000000,IF(INDEX('計算A'!$D$60:$II$104,$B36,76)*FT36=1,IF(AND($E36=2,PA36=0),1000000,INDEX('計算A'!CA$110:CA$114,$F36+1)+IF(AND($E36=1,PA36=0),1000,0)),1000000))</f>
        <v/>
      </c>
      <c r="YI36">
        <f>IF($B36=0,1000000,IF(INDEX('計算A'!$D$60:$II$104,$B36,77)*FU36=1,IF(AND($E36=2,PB36=0),1000000,INDEX('計算A'!CB$110:CB$114,$F36+1)+IF(AND($E36=1,PB36=0),1000,0)),1000000))</f>
        <v/>
      </c>
      <c r="YJ36">
        <f>IF($B36=0,1000000,IF(INDEX('計算A'!$D$60:$II$104,$B36,78)*FV36=1,IF(AND($E36=2,PC36=0),1000000,INDEX('計算A'!CC$110:CC$114,$F36+1)+IF(AND($E36=1,PC36=0),1000,0)),1000000))</f>
        <v/>
      </c>
      <c r="YK36">
        <f>IF($B36=0,1000000,IF(INDEX('計算A'!$D$60:$II$104,$B36,79)*FW36=1,IF(AND($E36=2,PD36=0),1000000,INDEX('計算A'!CD$110:CD$114,$F36+1)+IF(AND($E36=1,PD36=0),1000,0)),1000000))</f>
        <v/>
      </c>
      <c r="YL36">
        <f>IF($B36=0,1000000,IF(INDEX('計算A'!$D$60:$II$104,$B36,80)*FX36=1,IF(AND($E36=2,PE36=0),1000000,INDEX('計算A'!CE$110:CE$114,$F36+1)+IF(AND($E36=1,PE36=0),1000,0)),1000000))</f>
        <v/>
      </c>
      <c r="YM36">
        <f>IF($B36=0,1000000,IF(INDEX('計算A'!$D$60:$II$104,$B36,81)*FY36=1,IF(AND($E36=2,PF36=0),1000000,INDEX('計算A'!CF$110:CF$114,$F36+1)+IF(AND($E36=1,PF36=0),1000,0)),1000000))</f>
        <v/>
      </c>
      <c r="YN36">
        <f>IF($B36=0,1000000,IF(INDEX('計算A'!$D$60:$II$104,$B36,82)*FZ36=1,IF(AND($E36=2,PG36=0),1000000,INDEX('計算A'!CG$110:CG$114,$F36+1)+IF(AND($E36=1,PG36=0),1000,0)),1000000))</f>
        <v/>
      </c>
      <c r="YO36">
        <f>IF($B36=0,1000000,IF(INDEX('計算A'!$D$60:$II$104,$B36,83)*GA36=1,IF(AND($E36=2,PH36=0),1000000,INDEX('計算A'!CH$110:CH$114,$F36+1)+IF(AND($E36=1,PH36=0),1000,0)),1000000))</f>
        <v/>
      </c>
      <c r="YP36">
        <f>IF($B36=0,1000000,IF(INDEX('計算A'!$D$60:$II$104,$B36,84)*GB36=1,IF(AND($E36=2,PI36=0),1000000,INDEX('計算A'!CI$110:CI$114,$F36+1)+IF(AND($E36=1,PI36=0),1000,0)),1000000))</f>
        <v/>
      </c>
      <c r="YQ36">
        <f>IF($B36=0,1000000,IF(INDEX('計算A'!$D$60:$II$104,$B36,85)*GC36=1,IF(AND($E36=2,PJ36=0),1000000,INDEX('計算A'!CJ$110:CJ$114,$F36+1)+IF(AND($E36=1,PJ36=0),1000,0)),1000000))</f>
        <v/>
      </c>
      <c r="YR36">
        <f>IF($B36=0,1000000,IF(INDEX('計算A'!$D$60:$II$104,$B36,86)*GD36=1,IF(AND($E36=2,PK36=0),1000000,INDEX('計算A'!CK$110:CK$114,$F36+1)+IF(AND($E36=1,PK36=0),1000,0)),1000000))</f>
        <v/>
      </c>
      <c r="YS36">
        <f>IF($B36=0,1000000,IF(INDEX('計算A'!$D$60:$II$104,$B36,87)*GE36=1,IF(AND($E36=2,PL36=0),1000000,INDEX('計算A'!CL$110:CL$114,$F36+1)+IF(AND($E36=1,PL36=0),1000,0)),1000000))</f>
        <v/>
      </c>
      <c r="YT36">
        <f>IF($B36=0,1000000,IF(INDEX('計算A'!$D$60:$II$104,$B36,88)*GF36=1,IF(AND($E36=2,PM36=0),1000000,INDEX('計算A'!CM$110:CM$114,$F36+1)+IF(AND($E36=1,PM36=0),1000,0)),1000000))</f>
        <v/>
      </c>
      <c r="YU36">
        <f>IF($B36=0,1000000,IF(INDEX('計算A'!$D$60:$II$104,$B36,89)*GG36=1,IF(AND($E36=2,PN36=0),1000000,INDEX('計算A'!CN$110:CN$114,$F36+1)+IF(AND($E36=1,PN36=0),1000,0)),1000000))</f>
        <v/>
      </c>
      <c r="YV36">
        <f>IF($B36=0,1000000,IF(INDEX('計算A'!$D$60:$II$104,$B36,90)*GH36=1,IF(AND($E36=2,PO36=0),1000000,INDEX('計算A'!CO$110:CO$114,$F36+1)+IF(AND($E36=1,PO36=0),1000,0)),1000000))</f>
        <v/>
      </c>
      <c r="YW36">
        <f>IF($B36=0,1000000,IF(INDEX('計算A'!$D$60:$II$104,$B36,91)*GI36=1,IF(AND($E36=2,PP36=0),1000000,INDEX('計算A'!CP$110:CP$114,$F36+1)+IF(AND($E36=1,PP36=0),1000,0)),1000000))</f>
        <v/>
      </c>
      <c r="YX36">
        <f>IF($B36=0,1000000,IF(INDEX('計算A'!$D$60:$II$104,$B36,92)*GJ36=1,IF(AND($E36=2,PQ36=0),1000000,INDEX('計算A'!CQ$110:CQ$114,$F36+1)+IF(AND($E36=1,PQ36=0),1000,0)),1000000))</f>
        <v/>
      </c>
      <c r="YY36">
        <f>IF($B36=0,1000000,IF(INDEX('計算A'!$D$60:$II$104,$B36,93)*GK36=1,IF(AND($E36=2,PR36=0),1000000,INDEX('計算A'!CR$110:CR$114,$F36+1)+IF(AND($E36=1,PR36=0),1000,0)),1000000))</f>
        <v/>
      </c>
      <c r="YZ36">
        <f>IF($B36=0,1000000,IF(INDEX('計算A'!$D$60:$II$104,$B36,94)*GL36=1,IF(AND($E36=2,PS36=0),1000000,INDEX('計算A'!CS$110:CS$114,$F36+1)+IF(AND($E36=1,PS36=0),1000,0)),1000000))</f>
        <v/>
      </c>
      <c r="ZA36">
        <f>IF($B36=0,1000000,IF(INDEX('計算A'!$D$60:$II$104,$B36,95)*GM36=1,IF(AND($E36=2,PT36=0),1000000,INDEX('計算A'!CT$110:CT$114,$F36+1)+IF(AND($E36=1,PT36=0),1000,0)),1000000))</f>
        <v/>
      </c>
      <c r="ZB36">
        <f>IF($B36=0,1000000,IF(INDEX('計算A'!$D$60:$II$104,$B36,96)*GN36=1,IF(AND($E36=2,PU36=0),1000000,INDEX('計算A'!CU$110:CU$114,$F36+1)+IF(AND($E36=1,PU36=0),1000,0)),1000000))</f>
        <v/>
      </c>
      <c r="ZC36">
        <f>IF($B36=0,1000000,IF(INDEX('計算A'!$D$60:$II$104,$B36,97)*GO36=1,IF(AND($E36=2,PV36=0),1000000,INDEX('計算A'!CV$110:CV$114,$F36+1)+IF(AND($E36=1,PV36=0),1000,0)),1000000))</f>
        <v/>
      </c>
      <c r="ZD36">
        <f>IF($B36=0,1000000,IF(INDEX('計算A'!$D$60:$II$104,$B36,98)*GP36=1,IF(AND($E36=2,PW36=0),1000000,INDEX('計算A'!CW$110:CW$114,$F36+1)+IF(AND($E36=1,PW36=0),1000,0)),1000000))</f>
        <v/>
      </c>
      <c r="ZE36">
        <f>IF($B36=0,1000000,IF(INDEX('計算A'!$D$60:$II$104,$B36,99)*GQ36=1,IF(AND($E36=2,PX36=0),1000000,INDEX('計算A'!CX$110:CX$114,$F36+1)+IF(AND($E36=1,PX36=0),1000,0)),1000000))</f>
        <v/>
      </c>
      <c r="ZF36">
        <f>IF($B36=0,1000000,IF(INDEX('計算A'!$D$60:$II$104,$B36,100)*GR36=1,IF(AND($E36=2,PY36=0),1000000,INDEX('計算A'!CY$110:CY$114,$F36+1)+IF(AND($E36=1,PY36=0),1000,0)),1000000))</f>
        <v/>
      </c>
      <c r="ZG36">
        <f>IF($B36=0,1000000,IF(INDEX('計算A'!$D$60:$II$104,$B36,101)*GS36=1,IF(AND($E36=2,PZ36=0),1000000,INDEX('計算A'!CZ$110:CZ$114,$F36+1)+IF(AND($E36=1,PZ36=0),1000,0)),1000000))</f>
        <v/>
      </c>
      <c r="ZH36">
        <f>IF($B36=0,1000000,IF(INDEX('計算A'!$D$60:$II$104,$B36,102)*GT36=1,IF(AND($E36=2,QA36=0),1000000,INDEX('計算A'!DA$110:DA$114,$F36+1)+IF(AND($E36=1,QA36=0),1000,0)),1000000))</f>
        <v/>
      </c>
      <c r="ZI36">
        <f>IF($B36=0,1000000,IF(INDEX('計算A'!$D$60:$II$104,$B36,103)*GU36=1,IF(AND($E36=2,QB36=0),1000000,INDEX('計算A'!DB$110:DB$114,$F36+1)+IF(AND($E36=1,QB36=0),1000,0)),1000000))</f>
        <v/>
      </c>
      <c r="ZJ36">
        <f>IF($B36=0,1000000,IF(INDEX('計算A'!$D$60:$II$104,$B36,104)*GV36=1,IF(AND($E36=2,QC36=0),1000000,INDEX('計算A'!DC$110:DC$114,$F36+1)+IF(AND($E36=1,QC36=0),1000,0)),1000000))</f>
        <v/>
      </c>
      <c r="ZK36">
        <f>IF($B36=0,1000000,IF(INDEX('計算A'!$D$60:$II$104,$B36,105)*GW36=1,IF(AND($E36=2,QD36=0),1000000,INDEX('計算A'!DD$110:DD$114,$F36+1)+IF(AND($E36=1,QD36=0),1000,0)),1000000))</f>
        <v/>
      </c>
      <c r="ZL36">
        <f>IF($B36=0,1000000,IF(INDEX('計算A'!$D$60:$II$104,$B36,106)*GX36=1,IF(AND($E36=2,QE36=0),1000000,INDEX('計算A'!DE$110:DE$114,$F36+1)+IF(AND($E36=1,QE36=0),1000,0)),1000000))</f>
        <v/>
      </c>
      <c r="ZM36">
        <f>IF($B36=0,1000000,IF(INDEX('計算A'!$D$60:$II$104,$B36,107)*GY36=1,IF(AND($E36=2,QF36=0),1000000,INDEX('計算A'!DF$110:DF$114,$F36+1)+IF(AND($E36=1,QF36=0),1000,0)),1000000))</f>
        <v/>
      </c>
      <c r="ZN36">
        <f>IF($B36=0,1000000,IF(INDEX('計算A'!$D$60:$II$104,$B36,108)*GZ36=1,IF(AND($E36=2,QG36=0),1000000,INDEX('計算A'!DG$110:DG$114,$F36+1)+IF(AND($E36=1,QG36=0),1000,0)),1000000))</f>
        <v/>
      </c>
      <c r="ZO36">
        <f>IF($B36=0,1000000,IF(INDEX('計算A'!$D$60:$II$104,$B36,109)*HA36=1,IF(AND($E36=2,QH36=0),1000000,INDEX('計算A'!DH$110:DH$114,$F36+1)+IF(AND($E36=1,QH36=0),1000,0)),1000000))</f>
        <v/>
      </c>
      <c r="ZP36">
        <f>IF($B36=0,1000000,IF(INDEX('計算A'!$D$60:$II$104,$B36,110)*HB36=1,IF(AND($E36=2,QI36=0),1000000,INDEX('計算A'!DI$110:DI$114,$F36+1)+IF(AND($E36=1,QI36=0),1000,0)),1000000))</f>
        <v/>
      </c>
      <c r="ZQ36">
        <f>IF($B36=0,1000000,IF(INDEX('計算A'!$D$60:$II$104,$B36,111)*HC36=1,IF(AND($E36=2,QJ36=0),1000000,INDEX('計算A'!DJ$110:DJ$114,$F36+1)+IF(AND($E36=1,QJ36=0),1000,0)),1000000))</f>
        <v/>
      </c>
      <c r="ZR36">
        <f>IF($B36=0,1000000,IF(INDEX('計算A'!$D$60:$II$104,$B36,112)*HD36=1,IF(AND($E36=2,QK36=0),1000000,INDEX('計算A'!DK$110:DK$114,$F36+1)+IF(AND($E36=1,QK36=0),1000,0)),1000000))</f>
        <v/>
      </c>
      <c r="ZS36">
        <f>IF($B36=0,1000000,IF(INDEX('計算A'!$D$60:$II$104,$B36,113)*HE36=1,IF(AND($E36=2,QL36=0),1000000,INDEX('計算A'!DL$110:DL$114,$F36+1)+IF(AND($E36=1,QL36=0),1000,0)),1000000))</f>
        <v/>
      </c>
      <c r="ZT36">
        <f>IF($B36=0,1000000,IF(INDEX('計算A'!$D$60:$II$104,$B36,114)*HF36=1,IF(AND($E36=2,QM36=0),1000000,INDEX('計算A'!DM$110:DM$114,$F36+1)+IF(AND($E36=1,QM36=0),1000,0)),1000000))</f>
        <v/>
      </c>
      <c r="ZU36">
        <f>IF($B36=0,1000000,IF(INDEX('計算A'!$D$60:$II$104,$B36,115)*HG36=1,IF(AND($E36=2,QN36=0),1000000,INDEX('計算A'!DN$110:DN$114,$F36+1)+IF(AND($E36=1,QN36=0),1000,0)),1000000))</f>
        <v/>
      </c>
      <c r="ZV36">
        <f>IF($B36=0,1000000,IF(INDEX('計算A'!$D$60:$II$104,$B36,116)*HH36=1,IF(AND($E36=2,QO36=0),1000000,INDEX('計算A'!DO$110:DO$114,$F36+1)+IF(AND($E36=1,QO36=0),1000,0)),1000000))</f>
        <v/>
      </c>
      <c r="ZW36">
        <f>IF($B36=0,1000000,IF(INDEX('計算A'!$D$60:$II$104,$B36,117)*HI36=1,IF(AND($E36=2,QP36=0),1000000,INDEX('計算A'!DP$110:DP$114,$F36+1)+IF(AND($E36=1,QP36=0),1000,0)),1000000))</f>
        <v/>
      </c>
      <c r="ZX36">
        <f>IF($B36=0,1000000,IF(INDEX('計算A'!$D$60:$II$104,$B36,118)*HJ36=1,IF(AND($E36=2,QQ36=0),1000000,INDEX('計算A'!DQ$110:DQ$114,$F36+1)+IF(AND($E36=1,QQ36=0),1000,0)),1000000))</f>
        <v/>
      </c>
      <c r="ZY36">
        <f>IF($B36=0,1000000,IF(INDEX('計算A'!$D$60:$II$104,$B36,119)*HK36=1,IF(AND($E36=2,QR36=0),1000000,INDEX('計算A'!DR$110:DR$114,$F36+1)+IF(AND($E36=1,QR36=0),1000,0)),1000000))</f>
        <v/>
      </c>
      <c r="ZZ36">
        <f>IF($B36=0,1000000,IF(INDEX('計算A'!$D$60:$II$104,$B36,120)*HL36=1,IF(AND($E36=2,QS36=0),1000000,INDEX('計算A'!DS$110:DS$114,$F36+1)+IF(AND($E36=1,QS36=0),1000,0)),1000000))</f>
        <v/>
      </c>
      <c r="AAA36">
        <f>IF($B36=0,1000000,IF(INDEX('計算A'!$D$60:$II$104,$B36,121)*HM36=1,IF(AND($E36=2,QT36=0),1000000,INDEX('計算A'!DT$110:DT$114,$F36+1)+IF(AND($E36=1,QT36=0),1000,0)),1000000))</f>
        <v/>
      </c>
      <c r="AAB36">
        <f>IF($B36=0,1000000,IF(INDEX('計算A'!$D$60:$II$104,$B36,122)*HN36=1,IF(AND($E36=2,QU36=0),1000000,INDEX('計算A'!DU$110:DU$114,$F36+1)+IF(AND($E36=1,QU36=0),1000,0)),1000000))</f>
        <v/>
      </c>
      <c r="AAC36">
        <f>IF($B36=0,1000000,IF(INDEX('計算A'!$D$60:$II$104,$B36,123)*HO36=1,IF(AND($E36=2,QV36=0),1000000,INDEX('計算A'!DV$110:DV$114,$F36+1)+IF(AND($E36=1,QV36=0),1000,0)),1000000))</f>
        <v/>
      </c>
      <c r="AAD36">
        <f>IF($B36=0,1000000,IF(INDEX('計算A'!$D$60:$II$104,$B36,124)*HP36=1,IF(AND($E36=2,QW36=0),1000000,INDEX('計算A'!DW$110:DW$114,$F36+1)+IF(AND($E36=1,QW36=0),1000,0)),1000000))</f>
        <v/>
      </c>
      <c r="AAE36">
        <f>IF($B36=0,1000000,IF(INDEX('計算A'!$D$60:$II$104,$B36,125)*HQ36=1,IF(AND($E36=2,QX36=0),1000000,INDEX('計算A'!DX$110:DX$114,$F36+1)+IF(AND($E36=1,QX36=0),1000,0)),1000000))</f>
        <v/>
      </c>
      <c r="AAF36">
        <f>IF($B36=0,1000000,IF(INDEX('計算A'!$D$60:$II$104,$B36,126)*HR36=1,IF(AND($E36=2,QY36=0),1000000,INDEX('計算A'!DY$110:DY$114,$F36+1)+IF(AND($E36=1,QY36=0),1000,0)),1000000))</f>
        <v/>
      </c>
      <c r="AAG36">
        <f>IF($B36=0,1000000,IF(INDEX('計算A'!$D$60:$II$104,$B36,127)*HS36=1,IF(AND($E36=2,QZ36=0),1000000,INDEX('計算A'!DZ$110:DZ$114,$F36+1)+IF(AND($E36=1,QZ36=0),1000,0)),1000000))</f>
        <v/>
      </c>
      <c r="AAH36">
        <f>IF($B36=0,1000000,IF(INDEX('計算A'!$D$60:$II$104,$B36,128)*HT36=1,IF(AND($E36=2,RA36=0),1000000,INDEX('計算A'!EA$110:EA$114,$F36+1)+IF(AND($E36=1,RA36=0),1000,0)),1000000))</f>
        <v/>
      </c>
      <c r="AAI36">
        <f>IF($B36=0,1000000,IF(INDEX('計算A'!$D$60:$II$104,$B36,129)*HU36=1,IF(AND($E36=2,RB36=0),1000000,INDEX('計算A'!EB$110:EB$114,$F36+1)+IF(AND($E36=1,RB36=0),1000,0)),1000000))</f>
        <v/>
      </c>
      <c r="AAJ36">
        <f>IF($B36=0,1000000,IF(INDEX('計算A'!$D$60:$II$104,$B36,130)*HV36=1,IF(AND($E36=2,RC36=0),1000000,INDEX('計算A'!EC$110:EC$114,$F36+1)+IF(AND($E36=1,RC36=0),1000,0)),1000000))</f>
        <v/>
      </c>
      <c r="AAK36">
        <f>IF($B36=0,1000000,IF(INDEX('計算A'!$D$60:$II$104,$B36,131)*HW36=1,IF(AND($E36=2,RD36=0),1000000,INDEX('計算A'!ED$110:ED$114,$F36+1)+IF(AND($E36=1,RD36=0),1000,0)),1000000))</f>
        <v/>
      </c>
      <c r="AAL36">
        <f>IF($B36=0,1000000,IF(INDEX('計算A'!$D$60:$II$104,$B36,132)*HX36=1,IF(AND($E36=2,RE36=0),1000000,INDEX('計算A'!EE$110:EE$114,$F36+1)+IF(AND($E36=1,RE36=0),1000,0)),1000000))</f>
        <v/>
      </c>
      <c r="AAM36">
        <f>IF($B36=0,1000000,IF(INDEX('計算A'!$D$60:$II$104,$B36,133)*HY36=1,IF(AND($E36=2,RF36=0),1000000,INDEX('計算A'!EF$110:EF$114,$F36+1)+IF(AND($E36=1,RF36=0),1000,0)),1000000))</f>
        <v/>
      </c>
      <c r="AAN36">
        <f>IF($B36=0,1000000,IF(INDEX('計算A'!$D$60:$II$104,$B36,134)*HZ36=1,IF(AND($E36=2,RG36=0),1000000,INDEX('計算A'!EG$110:EG$114,$F36+1)+IF(AND($E36=1,RG36=0),1000,0)),1000000))</f>
        <v/>
      </c>
      <c r="AAO36">
        <f>IF($B36=0,1000000,IF(INDEX('計算A'!$D$60:$II$104,$B36,135)*IA36=1,IF(AND($E36=2,RH36=0),1000000,INDEX('計算A'!EH$110:EH$114,$F36+1)+IF(AND($E36=1,RH36=0),1000,0)),1000000))</f>
        <v/>
      </c>
      <c r="AAP36">
        <f>IF($B36=0,1000000,IF(INDEX('計算A'!$D$60:$II$104,$B36,136)*IB36=1,IF(AND($E36=2,RI36=0),1000000,INDEX('計算A'!EI$110:EI$114,$F36+1)+IF(AND($E36=1,RI36=0),1000,0)),1000000))</f>
        <v/>
      </c>
      <c r="AAQ36">
        <f>IF($B36=0,1000000,IF(INDEX('計算A'!$D$60:$II$104,$B36,137)*IC36=1,IF(AND($E36=2,RJ36=0),1000000,INDEX('計算A'!EJ$110:EJ$114,$F36+1)+IF(AND($E36=1,RJ36=0),1000,0)),1000000))</f>
        <v/>
      </c>
      <c r="AAR36">
        <f>IF($B36=0,1000000,IF(INDEX('計算A'!$D$60:$II$104,$B36,138)*ID36=1,IF(AND($E36=2,RK36=0),1000000,INDEX('計算A'!EK$110:EK$114,$F36+1)+IF(AND($E36=1,RK36=0),1000,0)),1000000))</f>
        <v/>
      </c>
      <c r="AAS36">
        <f>IF($B36=0,1000000,IF(INDEX('計算A'!$D$60:$II$104,$B36,139)*IE36=1,IF(AND($E36=2,RL36=0),1000000,INDEX('計算A'!EL$110:EL$114,$F36+1)+IF(AND($E36=1,RL36=0),1000,0)),1000000))</f>
        <v/>
      </c>
      <c r="AAT36">
        <f>IF($B36=0,1000000,IF(INDEX('計算A'!$D$60:$II$104,$B36,140)*IF36=1,IF(AND($E36=2,RM36=0),1000000,INDEX('計算A'!EM$110:EM$114,$F36+1)+IF(AND($E36=1,RM36=0),1000,0)),1000000))</f>
        <v/>
      </c>
      <c r="AAU36">
        <f>IF($B36=0,1000000,IF(INDEX('計算A'!$D$60:$II$104,$B36,141)*IG36=1,IF(AND($E36=2,RN36=0),1000000,INDEX('計算A'!EN$110:EN$114,$F36+1)+IF(AND($E36=1,RN36=0),1000,0)),1000000))</f>
        <v/>
      </c>
      <c r="AAV36">
        <f>IF($B36=0,1000000,IF(INDEX('計算A'!$D$60:$II$104,$B36,142)*IH36=1,IF(AND($E36=2,RO36=0),1000000,INDEX('計算A'!EO$110:EO$114,$F36+1)+IF(AND($E36=1,RO36=0),1000,0)),1000000))</f>
        <v/>
      </c>
      <c r="AAW36">
        <f>IF($B36=0,1000000,IF(INDEX('計算A'!$D$60:$II$104,$B36,143)*II36=1,IF(AND($E36=2,RP36=0),1000000,INDEX('計算A'!EP$110:EP$114,$F36+1)+IF(AND($E36=1,RP36=0),1000,0)),1000000))</f>
        <v/>
      </c>
      <c r="AAX36">
        <f>IF($B36=0,1000000,IF(INDEX('計算A'!$D$60:$II$104,$B36,144)*IJ36=1,IF(AND($E36=2,RQ36=0),1000000,INDEX('計算A'!EQ$110:EQ$114,$F36+1)+IF(AND($E36=1,RQ36=0),1000,0)),1000000))</f>
        <v/>
      </c>
      <c r="AAY36">
        <f>IF($B36=0,1000000,IF(INDEX('計算A'!$D$60:$II$104,$B36,145)*IK36=1,IF(AND($E36=2,RR36=0),1000000,INDEX('計算A'!ER$110:ER$114,$F36+1)+IF(AND($E36=1,RR36=0),1000,0)),1000000))</f>
        <v/>
      </c>
      <c r="AAZ36">
        <f>IF($B36=0,1000000,IF(INDEX('計算A'!$D$60:$II$104,$B36,146)*IL36=1,IF(AND($E36=2,RS36=0),1000000,INDEX('計算A'!ES$110:ES$114,$F36+1)+IF(AND($E36=1,RS36=0),1000,0)),1000000))</f>
        <v/>
      </c>
      <c r="ABA36">
        <f>IF($B36=0,1000000,IF(INDEX('計算A'!$D$60:$II$104,$B36,147)*IM36=1,IF(AND($E36=2,RT36=0),1000000,INDEX('計算A'!ET$110:ET$114,$F36+1)+IF(AND($E36=1,RT36=0),1000,0)),1000000))</f>
        <v/>
      </c>
      <c r="ABB36">
        <f>IF($B36=0,1000000,IF(INDEX('計算A'!$D$60:$II$104,$B36,148)*IN36=1,IF(AND($E36=2,RU36=0),1000000,INDEX('計算A'!EU$110:EU$114,$F36+1)+IF(AND($E36=1,RU36=0),1000,0)),1000000))</f>
        <v/>
      </c>
      <c r="ABC36">
        <f>IF($B36=0,1000000,IF(INDEX('計算A'!$D$60:$II$104,$B36,149)*IO36=1,IF(AND($E36=2,RV36=0),1000000,INDEX('計算A'!EV$110:EV$114,$F36+1)+IF(AND($E36=1,RV36=0),1000,0)),1000000))</f>
        <v/>
      </c>
      <c r="ABD36">
        <f>IF($B36=0,1000000,IF(INDEX('計算A'!$D$60:$II$104,$B36,150)*IP36=1,IF(AND($E36=2,RW36=0),1000000,INDEX('計算A'!EW$110:EW$114,$F36+1)+IF(AND($E36=1,RW36=0),1000,0)),1000000))</f>
        <v/>
      </c>
      <c r="ABE36">
        <f>IF($B36=0,1000000,IF(INDEX('計算A'!$D$60:$II$104,$B36,151)*IQ36=1,IF(AND($E36=2,RX36=0),1000000,INDEX('計算A'!EX$110:EX$114,$F36+1)+IF(AND($E36=1,RX36=0),1000,0)),1000000))</f>
        <v/>
      </c>
      <c r="ABF36">
        <f>IF($B36=0,1000000,IF(INDEX('計算A'!$D$60:$II$104,$B36,152)*IR36=1,IF(AND($E36=2,RY36=0),1000000,INDEX('計算A'!EY$110:EY$114,$F36+1)+IF(AND($E36=1,RY36=0),1000,0)),1000000))</f>
        <v/>
      </c>
      <c r="ABG36">
        <f>IF($B36=0,1000000,IF(INDEX('計算A'!$D$60:$II$104,$B36,153)*IS36=1,IF(AND($E36=2,RZ36=0),1000000,INDEX('計算A'!EZ$110:EZ$114,$F36+1)+IF(AND($E36=1,RZ36=0),1000,0)),1000000))</f>
        <v/>
      </c>
      <c r="ABH36">
        <f>IF($B36=0,1000000,IF(INDEX('計算A'!$D$60:$II$104,$B36,154)*IT36=1,IF(AND($E36=2,SA36=0),1000000,INDEX('計算A'!FA$110:FA$114,$F36+1)+IF(AND($E36=1,SA36=0),1000,0)),1000000))</f>
        <v/>
      </c>
      <c r="ABI36">
        <f>IF($B36=0,1000000,IF(INDEX('計算A'!$D$60:$II$104,$B36,155)*IU36=1,IF(AND($E36=2,SB36=0),1000000,INDEX('計算A'!FB$110:FB$114,$F36+1)+IF(AND($E36=1,SB36=0),1000,0)),1000000))</f>
        <v/>
      </c>
      <c r="ABJ36">
        <f>IF($B36=0,1000000,IF(INDEX('計算A'!$D$60:$II$104,$B36,156)*IV36=1,IF(AND($E36=2,SC36=0),1000000,INDEX('計算A'!FC$110:FC$114,$F36+1)+IF(AND($E36=1,SC36=0),1000,0)),1000000))</f>
        <v/>
      </c>
      <c r="ABK36">
        <f>IF($B36=0,1000000,IF(INDEX('計算A'!$D$60:$II$104,$B36,157)*IW36=1,IF(AND($E36=2,SD36=0),1000000,INDEX('計算A'!FD$110:FD$114,$F36+1)+IF(AND($E36=1,SD36=0),1000,0)),1000000))</f>
        <v/>
      </c>
      <c r="ABL36">
        <f>IF($B36=0,1000000,IF(INDEX('計算A'!$D$60:$II$104,$B36,158)*IX36=1,IF(AND($E36=2,SE36=0),1000000,INDEX('計算A'!FE$110:FE$114,$F36+1)+IF(AND($E36=1,SE36=0),1000,0)),1000000))</f>
        <v/>
      </c>
      <c r="ABM36">
        <f>IF($B36=0,1000000,IF(INDEX('計算A'!$D$60:$II$104,$B36,159)*IY36=1,IF(AND($E36=2,SF36=0),1000000,INDEX('計算A'!FF$110:FF$114,$F36+1)+IF(AND($E36=1,SF36=0),1000,0)),1000000))</f>
        <v/>
      </c>
      <c r="ABN36">
        <f>IF($B36=0,1000000,IF(INDEX('計算A'!$D$60:$II$104,$B36,160)*IZ36=1,IF(AND($E36=2,SG36=0),1000000,INDEX('計算A'!FG$110:FG$114,$F36+1)+IF(AND($E36=1,SG36=0),1000,0)),1000000))</f>
        <v/>
      </c>
      <c r="ABO36">
        <f>IF($B36=0,1000000,IF(INDEX('計算A'!$D$60:$II$104,$B36,161)*JA36=1,IF(AND($E36=2,SH36=0),1000000,INDEX('計算A'!FH$110:FH$114,$F36+1)+IF(AND($E36=1,SH36=0),1000,0)),1000000))</f>
        <v/>
      </c>
      <c r="ABP36">
        <f>IF($B36=0,1000000,IF(INDEX('計算A'!$D$60:$II$104,$B36,162)*JB36=1,IF(AND($E36=2,SI36=0),1000000,INDEX('計算A'!FI$110:FI$114,$F36+1)+IF(AND($E36=1,SI36=0),1000,0)),1000000))</f>
        <v/>
      </c>
      <c r="ABQ36">
        <f>IF($B36=0,1000000,IF(INDEX('計算A'!$D$60:$II$104,$B36,163)*JC36=1,IF(AND($E36=2,SJ36=0),1000000,INDEX('計算A'!FJ$110:FJ$114,$F36+1)+IF(AND($E36=1,SJ36=0),1000,0)),1000000))</f>
        <v/>
      </c>
      <c r="ABR36">
        <f>IF($B36=0,1000000,IF(INDEX('計算A'!$D$60:$II$104,$B36,164)*JD36=1,IF(AND($E36=2,SK36=0),1000000,INDEX('計算A'!FK$110:FK$114,$F36+1)+IF(AND($E36=1,SK36=0),1000,0)),1000000))</f>
        <v/>
      </c>
      <c r="ABS36">
        <f>IF($B36=0,1000000,IF(INDEX('計算A'!$D$60:$II$104,$B36,165)*JE36=1,IF(AND($E36=2,SL36=0),1000000,INDEX('計算A'!FL$110:FL$114,$F36+1)+IF(AND($E36=1,SL36=0),1000,0)),1000000))</f>
        <v/>
      </c>
      <c r="ABT36">
        <f>IF($B36=0,1000000,IF(INDEX('計算A'!$D$60:$II$104,$B36,166)*JF36=1,IF(AND($E36=2,SM36=0),1000000,INDEX('計算A'!FM$110:FM$114,$F36+1)+IF(AND($E36=1,SM36=0),1000,0)),1000000))</f>
        <v/>
      </c>
      <c r="ABU36">
        <f>IF($B36=0,1000000,IF(INDEX('計算A'!$D$60:$II$104,$B36,167)*JG36=1,IF(AND($E36=2,SN36=0),1000000,INDEX('計算A'!FN$110:FN$114,$F36+1)+IF(AND($E36=1,SN36=0),1000,0)),1000000))</f>
        <v/>
      </c>
      <c r="ABV36">
        <f>IF($B36=0,1000000,IF(INDEX('計算A'!$D$60:$II$104,$B36,168)*JH36=1,IF(AND($E36=2,SO36=0),1000000,INDEX('計算A'!FO$110:FO$114,$F36+1)+IF(AND($E36=1,SO36=0),1000,0)),1000000))</f>
        <v/>
      </c>
      <c r="ABW36">
        <f>IF($B36=0,1000000,IF(INDEX('計算A'!$D$60:$II$104,$B36,169)*JI36=1,IF(AND($E36=2,SP36=0),1000000,INDEX('計算A'!FP$110:FP$114,$F36+1)+IF(AND($E36=1,SP36=0),1000,0)),1000000))</f>
        <v/>
      </c>
      <c r="ABX36">
        <f>IF($B36=0,1000000,IF(INDEX('計算A'!$D$60:$II$104,$B36,170)*JJ36=1,IF(AND($E36=2,SQ36=0),1000000,INDEX('計算A'!FQ$110:FQ$114,$F36+1)+IF(AND($E36=1,SQ36=0),1000,0)),1000000))</f>
        <v/>
      </c>
      <c r="ABY36">
        <f>IF($B36=0,1000000,IF(INDEX('計算A'!$D$60:$II$104,$B36,171)*JK36=1,IF(AND($E36=2,SR36=0),1000000,INDEX('計算A'!FR$110:FR$114,$F36+1)+IF(AND($E36=1,SR36=0),1000,0)),1000000))</f>
        <v/>
      </c>
      <c r="ABZ36">
        <f>IF($B36=0,1000000,IF(INDEX('計算A'!$D$60:$II$104,$B36,172)*JL36=1,IF(AND($E36=2,SS36=0),1000000,INDEX('計算A'!FS$110:FS$114,$F36+1)+IF(AND($E36=1,SS36=0),1000,0)),1000000))</f>
        <v/>
      </c>
      <c r="ACA36">
        <f>IF($B36=0,1000000,IF(INDEX('計算A'!$D$60:$II$104,$B36,173)*JM36=1,IF(AND($E36=2,ST36=0),1000000,INDEX('計算A'!FT$110:FT$114,$F36+1)+IF(AND($E36=1,ST36=0),1000,0)),1000000))</f>
        <v/>
      </c>
      <c r="ACB36">
        <f>IF($B36=0,1000000,IF(INDEX('計算A'!$D$60:$II$104,$B36,174)*JN36=1,IF(AND($E36=2,SU36=0),1000000,INDEX('計算A'!FU$110:FU$114,$F36+1)+IF(AND($E36=1,SU36=0),1000,0)),1000000))</f>
        <v/>
      </c>
      <c r="ACC36">
        <f>IF($B36=0,1000000,IF(INDEX('計算A'!$D$60:$II$104,$B36,175)*JO36=1,IF(AND($E36=2,SV36=0),1000000,INDEX('計算A'!FV$110:FV$114,$F36+1)+IF(AND($E36=1,SV36=0),1000,0)),1000000))</f>
        <v/>
      </c>
      <c r="ACD36">
        <f>IF($B36=0,1000000,IF(INDEX('計算A'!$D$60:$II$104,$B36,176)*JP36=1,IF(AND($E36=2,SW36=0),1000000,INDEX('計算A'!FW$110:FW$114,$F36+1)+IF(AND($E36=1,SW36=0),1000,0)),1000000))</f>
        <v/>
      </c>
      <c r="ACE36">
        <f>IF($B36=0,1000000,IF(INDEX('計算A'!$D$60:$II$104,$B36,177)*JQ36=1,IF(AND($E36=2,SX36=0),1000000,INDEX('計算A'!FX$110:FX$114,$F36+1)+IF(AND($E36=1,SX36=0),1000,0)),1000000))</f>
        <v/>
      </c>
      <c r="ACF36">
        <f>IF($B36=0,1000000,IF(INDEX('計算A'!$D$60:$II$104,$B36,178)*JR36=1,IF(AND($E36=2,SY36=0),1000000,INDEX('計算A'!FY$110:FY$114,$F36+1)+IF(AND($E36=1,SY36=0),1000,0)),1000000))</f>
        <v/>
      </c>
      <c r="ACG36">
        <f>IF($B36=0,1000000,IF(INDEX('計算A'!$D$60:$II$104,$B36,179)*JS36=1,IF(AND($E36=2,SZ36=0),1000000,INDEX('計算A'!FZ$110:FZ$114,$F36+1)+IF(AND($E36=1,SZ36=0),1000,0)),1000000))</f>
        <v/>
      </c>
      <c r="ACH36">
        <f>IF($B36=0,1000000,IF(INDEX('計算A'!$D$60:$II$104,$B36,180)*JT36=1,IF(AND($E36=2,TA36=0),1000000,INDEX('計算A'!GA$110:GA$114,$F36+1)+IF(AND($E36=1,TA36=0),1000,0)),1000000))</f>
        <v/>
      </c>
      <c r="ACI36">
        <f>IF($B36=0,1000000,IF(INDEX('計算A'!$D$60:$II$104,$B36,181)*JU36=1,IF(AND($E36=2,TB36=0),1000000,INDEX('計算A'!GB$110:GB$114,$F36+1)+IF(AND($E36=1,TB36=0),1000,0)),1000000))</f>
        <v/>
      </c>
      <c r="ACJ36">
        <f>IF($B36=0,1000000,IF(INDEX('計算A'!$D$60:$II$104,$B36,182)*JV36=1,IF(AND($E36=2,TC36=0),1000000,INDEX('計算A'!GC$110:GC$114,$F36+1)+IF(AND($E36=1,TC36=0),1000,0)),1000000))</f>
        <v/>
      </c>
      <c r="ACK36">
        <f>IF($B36=0,1000000,IF(INDEX('計算A'!$D$60:$II$104,$B36,183)*JW36=1,IF(AND($E36=2,TD36=0),1000000,INDEX('計算A'!GD$110:GD$114,$F36+1)+IF(AND($E36=1,TD36=0),1000,0)),1000000))</f>
        <v/>
      </c>
      <c r="ACL36">
        <f>IF($B36=0,1000000,IF(INDEX('計算A'!$D$60:$II$104,$B36,184)*JX36=1,IF(AND($E36=2,TE36=0),1000000,INDEX('計算A'!GE$110:GE$114,$F36+1)+IF(AND($E36=1,TE36=0),1000,0)),1000000))</f>
        <v/>
      </c>
      <c r="ACM36">
        <f>IF($B36=0,1000000,IF(INDEX('計算A'!$D$60:$II$104,$B36,185)*JY36=1,IF(AND($E36=2,TF36=0),1000000,INDEX('計算A'!GF$110:GF$114,$F36+1)+IF(AND($E36=1,TF36=0),1000,0)),1000000))</f>
        <v/>
      </c>
      <c r="ACN36">
        <f>IF($B36=0,1000000,IF(INDEX('計算A'!$D$60:$II$104,$B36,186)*JZ36=1,IF(AND($E36=2,TG36=0),1000000,INDEX('計算A'!GG$110:GG$114,$F36+1)+IF(AND($E36=1,TG36=0),1000,0)),1000000))</f>
        <v/>
      </c>
      <c r="ACO36">
        <f>IF($B36=0,1000000,IF(INDEX('計算A'!$D$60:$II$104,$B36,187)*KA36=1,IF(AND($E36=2,TH36=0),1000000,INDEX('計算A'!GH$110:GH$114,$F36+1)+IF(AND($E36=1,TH36=0),1000,0)),1000000))</f>
        <v/>
      </c>
      <c r="ACP36">
        <f>IF($B36=0,1000000,IF(INDEX('計算A'!$D$60:$II$104,$B36,188)*KB36=1,IF(AND($E36=2,TI36=0),1000000,INDEX('計算A'!GI$110:GI$114,$F36+1)+IF(AND($E36=1,TI36=0),1000,0)),1000000))</f>
        <v/>
      </c>
      <c r="ACQ36">
        <f>IF($B36=0,1000000,IF(INDEX('計算A'!$D$60:$II$104,$B36,189)*KC36=1,IF(AND($E36=2,TJ36=0),1000000,INDEX('計算A'!GJ$110:GJ$114,$F36+1)+IF(AND($E36=1,TJ36=0),1000,0)),1000000))</f>
        <v/>
      </c>
      <c r="ACR36">
        <f>IF($B36=0,1000000,IF(INDEX('計算A'!$D$60:$II$104,$B36,190)*KD36=1,IF(AND($E36=2,TK36=0),1000000,INDEX('計算A'!GK$110:GK$114,$F36+1)+IF(AND($E36=1,TK36=0),1000,0)),1000000))</f>
        <v/>
      </c>
      <c r="ACS36">
        <f>IF($B36=0,1000000,IF(INDEX('計算A'!$D$60:$II$104,$B36,191)*KE36=1,IF(AND($E36=2,TL36=0),1000000,INDEX('計算A'!GL$110:GL$114,$F36+1)+IF(AND($E36=1,TL36=0),1000,0)),1000000))</f>
        <v/>
      </c>
      <c r="ACT36">
        <f>IF($B36=0,1000000,IF(INDEX('計算A'!$D$60:$II$104,$B36,192)*KF36=1,IF(AND($E36=2,TM36=0),1000000,INDEX('計算A'!GM$110:GM$114,$F36+1)+IF(AND($E36=1,TM36=0),1000,0)),1000000))</f>
        <v/>
      </c>
      <c r="ACU36">
        <f>IF($B36=0,1000000,IF(INDEX('計算A'!$D$60:$II$104,$B36,193)*KG36=1,IF(AND($E36=2,TN36=0),1000000,INDEX('計算A'!GN$110:GN$114,$F36+1)+IF(AND($E36=1,TN36=0),1000,0)),1000000))</f>
        <v/>
      </c>
      <c r="ACV36">
        <f>IF($B36=0,1000000,IF(INDEX('計算A'!$D$60:$II$104,$B36,194)*KH36=1,IF(AND($E36=2,TO36=0),1000000,INDEX('計算A'!GO$110:GO$114,$F36+1)+IF(AND($E36=1,TO36=0),1000,0)),1000000))</f>
        <v/>
      </c>
      <c r="ACW36">
        <f>IF($B36=0,1000000,IF(INDEX('計算A'!$D$60:$II$104,$B36,195)*KI36=1,IF(AND($E36=2,TP36=0),1000000,INDEX('計算A'!GP$110:GP$114,$F36+1)+IF(AND($E36=1,TP36=0),1000,0)),1000000))</f>
        <v/>
      </c>
      <c r="ACX36">
        <f>IF($B36=0,1000000,IF(INDEX('計算A'!$D$60:$II$104,$B36,196)*KJ36=1,IF(AND($E36=2,TQ36=0),1000000,INDEX('計算A'!GQ$110:GQ$114,$F36+1)+IF(AND($E36=1,TQ36=0),1000,0)),1000000))</f>
        <v/>
      </c>
      <c r="ACY36">
        <f>IF($B36=0,1000000,IF(INDEX('計算A'!$D$60:$II$104,$B36,197)*KK36=1,IF(AND($E36=2,TR36=0),1000000,INDEX('計算A'!GR$110:GR$114,$F36+1)+IF(AND($E36=1,TR36=0),1000,0)),1000000))</f>
        <v/>
      </c>
      <c r="ACZ36">
        <f>IF($B36=0,1000000,IF(INDEX('計算A'!$D$60:$II$104,$B36,198)*KL36=1,IF(AND($E36=2,TS36=0),1000000,INDEX('計算A'!GS$110:GS$114,$F36+1)+IF(AND($E36=1,TS36=0),1000,0)),1000000))</f>
        <v/>
      </c>
      <c r="ADA36">
        <f>IF($B36=0,1000000,IF(INDEX('計算A'!$D$60:$II$104,$B36,199)*KM36=1,IF(AND($E36=2,TT36=0),1000000,INDEX('計算A'!GT$110:GT$114,$F36+1)+IF(AND($E36=1,TT36=0),1000,0)),1000000))</f>
        <v/>
      </c>
      <c r="ADB36">
        <f>IF($B36=0,1000000,IF(INDEX('計算A'!$D$60:$II$104,$B36,200)*KN36=1,IF(AND($E36=2,TU36=0),1000000,INDEX('計算A'!GU$110:GU$114,$F36+1)+IF(AND($E36=1,TU36=0),1000,0)),1000000))</f>
        <v/>
      </c>
      <c r="ADC36">
        <f>IF($B36=0,1000000,IF(INDEX('計算A'!$D$60:$II$104,$B36,201)*KO36=1,IF(AND($E36=2,TV36=0),1000000,INDEX('計算A'!GV$110:GV$114,$F36+1)+IF(AND($E36=1,TV36=0),1000,0)),1000000))</f>
        <v/>
      </c>
      <c r="ADD36">
        <f>IF($B36=0,1000000,IF(INDEX('計算A'!$D$60:$II$104,$B36,202)*KP36=1,IF(AND($E36=2,TW36=0),1000000,INDEX('計算A'!GW$110:GW$114,$F36+1)+IF(AND($E36=1,TW36=0),1000,0)),1000000))</f>
        <v/>
      </c>
      <c r="ADE36">
        <f>IF($B36=0,1000000,IF(INDEX('計算A'!$D$60:$II$104,$B36,203)*KQ36=1,IF(AND($E36=2,TX36=0),1000000,INDEX('計算A'!GX$110:GX$114,$F36+1)+IF(AND($E36=1,TX36=0),1000,0)),1000000))</f>
        <v/>
      </c>
      <c r="ADF36">
        <f>IF($B36=0,1000000,IF(INDEX('計算A'!$D$60:$II$104,$B36,204)*KR36=1,IF(AND($E36=2,TY36=0),1000000,INDEX('計算A'!GY$110:GY$114,$F36+1)+IF(AND($E36=1,TY36=0),1000,0)),1000000))</f>
        <v/>
      </c>
      <c r="ADG36">
        <f>IF($B36=0,1000000,IF(INDEX('計算A'!$D$60:$II$104,$B36,205)*KS36=1,IF(AND($E36=2,TZ36=0),1000000,INDEX('計算A'!GZ$110:GZ$114,$F36+1)+IF(AND($E36=1,TZ36=0),1000,0)),1000000))</f>
        <v/>
      </c>
      <c r="ADH36">
        <f>IF($B36=0,1000000,IF(INDEX('計算A'!$D$60:$II$104,$B36,206)*KT36=1,IF(AND($E36=2,UA36=0),1000000,INDEX('計算A'!HA$110:HA$114,$F36+1)+IF(AND($E36=1,UA36=0),1000,0)),1000000))</f>
        <v/>
      </c>
      <c r="ADI36">
        <f>IF($B36=0,1000000,IF(INDEX('計算A'!$D$60:$II$104,$B36,207)*KU36=1,IF(AND($E36=2,UB36=0),1000000,INDEX('計算A'!HB$110:HB$114,$F36+1)+IF(AND($E36=1,UB36=0),1000,0)),1000000))</f>
        <v/>
      </c>
      <c r="ADJ36">
        <f>IF($B36=0,1000000,IF(INDEX('計算A'!$D$60:$II$104,$B36,208)*KV36=1,IF(AND($E36=2,UC36=0),1000000,INDEX('計算A'!HC$110:HC$114,$F36+1)+IF(AND($E36=1,UC36=0),1000,0)),1000000))</f>
        <v/>
      </c>
      <c r="ADK36">
        <f>IF($B36=0,1000000,IF(INDEX('計算A'!$D$60:$II$104,$B36,209)*KW36=1,IF(AND($E36=2,UD36=0),1000000,INDEX('計算A'!HD$110:HD$114,$F36+1)+IF(AND($E36=1,UD36=0),1000,0)),1000000))</f>
        <v/>
      </c>
      <c r="ADL36">
        <f>IF($B36=0,1000000,IF(INDEX('計算A'!$D$60:$II$104,$B36,210)*KX36=1,IF(AND($E36=2,UE36=0),1000000,INDEX('計算A'!HE$110:HE$114,$F36+1)+IF(AND($E36=1,UE36=0),1000,0)),1000000))</f>
        <v/>
      </c>
      <c r="ADM36">
        <f>IF($B36=0,1000000,IF(INDEX('計算A'!$D$60:$II$104,$B36,211)*KY36=1,IF(AND($E36=2,UF36=0),1000000,INDEX('計算A'!HF$110:HF$114,$F36+1)+IF(AND($E36=1,UF36=0),1000,0)),1000000))</f>
        <v/>
      </c>
      <c r="ADN36">
        <f>IF($B36=0,1000000,IF(INDEX('計算A'!$D$60:$II$104,$B36,212)*KZ36=1,IF(AND($E36=2,UG36=0),1000000,INDEX('計算A'!HG$110:HG$114,$F36+1)+IF(AND($E36=1,UG36=0),1000,0)),1000000))</f>
        <v/>
      </c>
      <c r="ADO36">
        <f>IF($B36=0,1000000,IF(INDEX('計算A'!$D$60:$II$104,$B36,213)*LA36=1,IF(AND($E36=2,UH36=0),1000000,INDEX('計算A'!HH$110:HH$114,$F36+1)+IF(AND($E36=1,UH36=0),1000,0)),1000000))</f>
        <v/>
      </c>
      <c r="ADP36">
        <f>IF($B36=0,1000000,IF(INDEX('計算A'!$D$60:$II$104,$B36,214)*LB36=1,IF(AND($E36=2,UI36=0),1000000,INDEX('計算A'!HI$110:HI$114,$F36+1)+IF(AND($E36=1,UI36=0),1000,0)),1000000))</f>
        <v/>
      </c>
      <c r="ADQ36">
        <f>IF($B36=0,1000000,IF(INDEX('計算A'!$D$60:$II$104,$B36,215)*LC36=1,IF(AND($E36=2,UJ36=0),1000000,INDEX('計算A'!HJ$110:HJ$114,$F36+1)+IF(AND($E36=1,UJ36=0),1000,0)),1000000))</f>
        <v/>
      </c>
      <c r="ADR36">
        <f>IF($B36=0,1000000,IF(INDEX('計算A'!$D$60:$II$104,$B36,216)*LD36=1,IF(AND($E36=2,UK36=0),1000000,INDEX('計算A'!HK$110:HK$114,$F36+1)+IF(AND($E36=1,UK36=0),1000,0)),1000000))</f>
        <v/>
      </c>
      <c r="ADS36">
        <f>IF($B36=0,1000000,IF(INDEX('計算A'!$D$60:$II$104,$B36,217)*LE36=1,IF(AND($E36=2,UL36=0),1000000,INDEX('計算A'!HL$110:HL$114,$F36+1)+IF(AND($E36=1,UL36=0),1000,0)),1000000))</f>
        <v/>
      </c>
      <c r="ADT36">
        <f>IF($B36=0,1000000,IF(INDEX('計算A'!$D$60:$II$104,$B36,218)*LF36=1,IF(AND($E36=2,UM36=0),1000000,INDEX('計算A'!HM$110:HM$114,$F36+1)+IF(AND($E36=1,UM36=0),1000,0)),1000000))</f>
        <v/>
      </c>
      <c r="ADU36">
        <f>IF($B36=0,1000000,IF(INDEX('計算A'!$D$60:$II$104,$B36,219)*LG36=1,IF(AND($E36=2,UN36=0),1000000,INDEX('計算A'!HN$110:HN$114,$F36+1)+IF(AND($E36=1,UN36=0),1000,0)),1000000))</f>
        <v/>
      </c>
      <c r="ADV36">
        <f>IF($B36=0,1000000,IF(INDEX('計算A'!$D$60:$II$104,$B36,220)*LH36=1,IF(AND($E36=2,UO36=0),1000000,INDEX('計算A'!HO$110:HO$114,$F36+1)+IF(AND($E36=1,UO36=0),1000,0)),1000000))</f>
        <v/>
      </c>
      <c r="ADW36">
        <f>IF($B36=0,1000000,IF(INDEX('計算A'!$D$60:$II$104,$B36,221)*LI36=1,IF(AND($E36=2,UP36=0),1000000,INDEX('計算A'!HP$110:HP$114,$F36+1)+IF(AND($E36=1,UP36=0),1000,0)),1000000))</f>
        <v/>
      </c>
      <c r="ADX36">
        <f>IF($B36=0,1000000,IF(INDEX('計算A'!$D$60:$II$104,$B36,222)*LJ36=1,IF(AND($E36=2,UQ36=0),1000000,INDEX('計算A'!HQ$110:HQ$114,$F36+1)+IF(AND($E36=1,UQ36=0),1000,0)),1000000))</f>
        <v/>
      </c>
      <c r="ADY36">
        <f>IF($B36=0,1000000,IF(INDEX('計算A'!$D$60:$II$104,$B36,223)*LK36=1,IF(AND($E36=2,UR36=0),1000000,INDEX('計算A'!HR$110:HR$114,$F36+1)+IF(AND($E36=1,UR36=0),1000,0)),1000000))</f>
        <v/>
      </c>
      <c r="ADZ36">
        <f>IF($B36=0,1000000,IF(INDEX('計算A'!$D$60:$II$104,$B36,224)*LL36=1,IF(AND($E36=2,US36=0),1000000,INDEX('計算A'!HS$110:HS$114,$F36+1)+IF(AND($E36=1,US36=0),1000,0)),1000000))</f>
        <v/>
      </c>
      <c r="AEA36">
        <f>IF($B36=0,1000000,IF(INDEX('計算A'!$D$60:$II$104,$B36,225)*LM36=1,IF(AND($E36=2,UT36=0),1000000,INDEX('計算A'!HT$110:HT$114,$F36+1)+IF(AND($E36=1,UT36=0),1000,0)),1000000))</f>
        <v/>
      </c>
      <c r="AEB36">
        <f>IF($B36=0,1000000,IF(INDEX('計算A'!$D$60:$II$104,$B36,226)*LN36=1,IF(AND($E36=2,UU36=0),1000000,INDEX('計算A'!HU$110:HU$114,$F36+1)+IF(AND($E36=1,UU36=0),1000,0)),1000000))</f>
        <v/>
      </c>
      <c r="AEC36">
        <f>IF($B36=0,1000000,IF(INDEX('計算A'!$D$60:$II$104,$B36,227)*LO36=1,IF(AND($E36=2,UV36=0),1000000,INDEX('計算A'!HV$110:HV$114,$F36+1)+IF(AND($E36=1,UV36=0),1000,0)),1000000))</f>
        <v/>
      </c>
      <c r="AED36">
        <f>IF($B36=0,1000000,IF(INDEX('計算A'!$D$60:$II$104,$B36,228)*LP36=1,IF(AND($E36=2,UW36=0),1000000,INDEX('計算A'!HW$110:HW$114,$F36+1)+IF(AND($E36=1,UW36=0),1000,0)),1000000))</f>
        <v/>
      </c>
      <c r="AEE36">
        <f>IF($B36=0,1000000,IF(INDEX('計算A'!$D$60:$II$104,$B36,229)*LQ36=1,IF(AND($E36=2,UX36=0),1000000,INDEX('計算A'!HX$110:HX$114,$F36+1)+IF(AND($E36=1,UX36=0),1000,0)),1000000))</f>
        <v/>
      </c>
      <c r="AEF36">
        <f>IF($B36=0,1000000,IF(INDEX('計算A'!$D$60:$II$104,$B36,230)*LR36=1,IF(AND($E36=2,UY36=0),1000000,INDEX('計算A'!HY$110:HY$114,$F36+1)+IF(AND($E36=1,UY36=0),1000,0)),1000000))</f>
        <v/>
      </c>
      <c r="AEG36">
        <f>IF($B36=0,1000000,IF(INDEX('計算A'!$D$60:$II$104,$B36,231)*LS36=1,IF(AND($E36=2,UZ36=0),1000000,INDEX('計算A'!HZ$110:HZ$114,$F36+1)+IF(AND($E36=1,UZ36=0),1000,0)),1000000))</f>
        <v/>
      </c>
      <c r="AEH36">
        <f>IF($B36=0,1000000,IF(INDEX('計算A'!$D$60:$II$104,$B36,232)*LT36=1,IF(AND($E36=2,VA36=0),1000000,INDEX('計算A'!IA$110:IA$114,$F36+1)+IF(AND($E36=1,VA36=0),1000,0)),1000000))</f>
        <v/>
      </c>
      <c r="AEI36">
        <f>IF($B36=0,1000000,IF(INDEX('計算A'!$D$60:$II$104,$B36,233)*LU36=1,IF(AND($E36=2,VB36=0),1000000,INDEX('計算A'!IB$110:IB$114,$F36+1)+IF(AND($E36=1,VB36=0),1000,0)),1000000))</f>
        <v/>
      </c>
      <c r="AEJ36">
        <f>IF($B36=0,1000000,IF(INDEX('計算A'!$D$60:$II$104,$B36,234)*LV36=1,IF(AND($E36=2,VC36=0),1000000,INDEX('計算A'!IC$110:IC$114,$F36+1)+IF(AND($E36=1,VC36=0),1000,0)),1000000))</f>
        <v/>
      </c>
      <c r="AEK36">
        <f>IF($B36=0,1000000,IF(INDEX('計算A'!$D$60:$II$104,$B36,235)*LW36=1,IF(AND($E36=2,VD36=0),1000000,INDEX('計算A'!ID$110:ID$114,$F36+1)+IF(AND($E36=1,VD36=0),1000,0)),1000000))</f>
        <v/>
      </c>
      <c r="AEL36">
        <f>IF($B36=0,1000000,IF(INDEX('計算A'!$D$60:$II$104,$B36,236)*LX36=1,IF(AND($E36=2,VE36=0),1000000,INDEX('計算A'!IE$110:IE$114,$F36+1)+IF(AND($E36=1,VE36=0),1000,0)),1000000))</f>
        <v/>
      </c>
      <c r="AEM36">
        <f>IF($B36=0,1000000,IF(INDEX('計算A'!$D$60:$II$104,$B36,237)*LY36=1,IF(AND($E36=2,VF36=0),1000000,INDEX('計算A'!IF$110:IF$114,$F36+1)+IF(AND($E36=1,VF36=0),1000,0)),1000000))</f>
        <v/>
      </c>
      <c r="AEN36">
        <f>IF($B36=0,1000000,IF(INDEX('計算A'!$D$60:$II$104,$B36,238)*LZ36=1,IF(AND($E36=2,VG36=0),1000000,INDEX('計算A'!IG$110:IG$114,$F36+1)+IF(AND($E36=1,VG36=0),1000,0)),1000000))</f>
        <v/>
      </c>
      <c r="AEO36">
        <f>IF($B36=0,1000000,IF(INDEX('計算A'!$D$60:$II$104,$B36,239)*MA36=1,IF(AND($E36=2,VH36=0),1000000,INDEX('計算A'!IH$110:IH$114,$F36+1)+IF(AND($E36=1,VH36=0),1000,0)),1000000))</f>
        <v/>
      </c>
      <c r="AEP36">
        <f>IF($B36=0,1000000,IF(INDEX('計算A'!$D$60:$II$104,$B36,240)*MB36=1,IF(AND($E36=2,VI36=0),1000000,INDEX('計算A'!II$110:II$114,$F36+1)+IF(AND($E36=1,VI36=0),1000,0)),1000000))</f>
        <v/>
      </c>
    </row>
    <row r="37">
      <c r="A37" t="n">
        <v>35</v>
      </c>
      <c r="B37">
        <f>IF(MIN(BC37:CU37)&gt;=1000000,0,MATCH(MIN(BC37:CU37),BC37:CU37,0))</f>
        <v/>
      </c>
      <c r="C37">
        <f>IF(MIN(VK37:AEP37)&gt;=1000000,0,MATCH(MIN(VK37:AEP37),VK37:AEP37,0))</f>
        <v/>
      </c>
      <c r="D37">
        <f>IF(C37&gt;0,INDEX('計算A'!$D$5:$II$5,C37),0)</f>
        <v/>
      </c>
      <c r="E37">
        <f>IF(B37=0,0,INDEX('計算A'!$IQ$10:$IQ$54,B37))</f>
        <v/>
      </c>
      <c r="F37">
        <f>IF(B37=0,0,INDEX('計算A'!$IP$10:$IP$54,B37))</f>
        <v/>
      </c>
      <c r="G37">
        <f>IF(AND(C37&gt;0,E37&gt;0),IF(AND(INDEX('計算A'!$D$106:$II$106,C37)=1,INDEX($MD37:$VI37,C37)=1),C37+1,0),0)</f>
        <v/>
      </c>
      <c r="I37">
        <f>MAX(I36,IF($B36=1,1,0))</f>
        <v/>
      </c>
      <c r="J37">
        <f>MAX(J36,IF($B36=2,1,0))</f>
        <v/>
      </c>
      <c r="K37">
        <f>MAX(K36,IF($B36=3,1,0))</f>
        <v/>
      </c>
      <c r="L37">
        <f>MAX(L36,IF($B36=4,1,0))</f>
        <v/>
      </c>
      <c r="M37">
        <f>MAX(M36,IF($B36=5,1,0))</f>
        <v/>
      </c>
      <c r="N37">
        <f>MAX(N36,IF($B36=6,1,0))</f>
        <v/>
      </c>
      <c r="O37">
        <f>MAX(O36,IF($B36=7,1,0))</f>
        <v/>
      </c>
      <c r="P37">
        <f>MAX(P36,IF($B36=8,1,0))</f>
        <v/>
      </c>
      <c r="Q37">
        <f>MAX(Q36,IF($B36=9,1,0))</f>
        <v/>
      </c>
      <c r="R37">
        <f>MAX(R36,IF($B36=10,1,0))</f>
        <v/>
      </c>
      <c r="S37">
        <f>MAX(S36,IF($B36=11,1,0))</f>
        <v/>
      </c>
      <c r="T37">
        <f>MAX(T36,IF($B36=12,1,0))</f>
        <v/>
      </c>
      <c r="U37">
        <f>MAX(U36,IF($B36=13,1,0))</f>
        <v/>
      </c>
      <c r="V37">
        <f>MAX(V36,IF($B36=14,1,0))</f>
        <v/>
      </c>
      <c r="W37">
        <f>MAX(W36,IF($B36=15,1,0))</f>
        <v/>
      </c>
      <c r="X37">
        <f>MAX(X36,IF($B36=16,1,0))</f>
        <v/>
      </c>
      <c r="Y37">
        <f>MAX(Y36,IF($B36=17,1,0))</f>
        <v/>
      </c>
      <c r="Z37">
        <f>MAX(Z36,IF($B36=18,1,0))</f>
        <v/>
      </c>
      <c r="AA37">
        <f>MAX(AA36,IF($B36=19,1,0))</f>
        <v/>
      </c>
      <c r="AB37">
        <f>MAX(AB36,IF($B36=20,1,0))</f>
        <v/>
      </c>
      <c r="AC37">
        <f>MAX(AC36,IF($B36=21,1,0))</f>
        <v/>
      </c>
      <c r="AD37">
        <f>MAX(AD36,IF($B36=22,1,0))</f>
        <v/>
      </c>
      <c r="AE37">
        <f>MAX(AE36,IF($B36=23,1,0))</f>
        <v/>
      </c>
      <c r="AF37">
        <f>MAX(AF36,IF($B36=24,1,0))</f>
        <v/>
      </c>
      <c r="AG37">
        <f>MAX(AG36,IF($B36=25,1,0))</f>
        <v/>
      </c>
      <c r="AH37">
        <f>MAX(AH36,IF($B36=26,1,0))</f>
        <v/>
      </c>
      <c r="AI37">
        <f>MAX(AI36,IF($B36=27,1,0))</f>
        <v/>
      </c>
      <c r="AJ37">
        <f>MAX(AJ36,IF($B36=28,1,0))</f>
        <v/>
      </c>
      <c r="AK37">
        <f>MAX(AK36,IF($B36=29,1,0))</f>
        <v/>
      </c>
      <c r="AL37">
        <f>MAX(AL36,IF($B36=30,1,0))</f>
        <v/>
      </c>
      <c r="AM37">
        <f>MAX(AM36,IF($B36=31,1,0))</f>
        <v/>
      </c>
      <c r="AN37">
        <f>MAX(AN36,IF($B36=32,1,0))</f>
        <v/>
      </c>
      <c r="AO37">
        <f>MAX(AO36,IF($B36=33,1,0))</f>
        <v/>
      </c>
      <c r="AP37">
        <f>MAX(AP36,IF($B36=34,1,0))</f>
        <v/>
      </c>
      <c r="AQ37">
        <f>MAX(AQ36,IF($B36=35,1,0))</f>
        <v/>
      </c>
      <c r="AR37">
        <f>MAX(AR36,IF($B36=36,1,0))</f>
        <v/>
      </c>
      <c r="AS37">
        <f>MAX(AS36,IF($B36=37,1,0))</f>
        <v/>
      </c>
      <c r="AT37">
        <f>MAX(AT36,IF($B36=38,1,0))</f>
        <v/>
      </c>
      <c r="AU37">
        <f>MAX(AU36,IF($B36=39,1,0))</f>
        <v/>
      </c>
      <c r="AV37">
        <f>MAX(AV36,IF($B36=40,1,0))</f>
        <v/>
      </c>
      <c r="AW37">
        <f>MAX(AW36,IF($B36=41,1,0))</f>
        <v/>
      </c>
      <c r="AX37">
        <f>MAX(AX36,IF($B36=42,1,0))</f>
        <v/>
      </c>
      <c r="AY37">
        <f>MAX(AY36,IF($B36=43,1,0))</f>
        <v/>
      </c>
      <c r="AZ37">
        <f>MAX(AZ36,IF($B36=44,1,0))</f>
        <v/>
      </c>
      <c r="BA37">
        <f>MAX(BA36,IF($B36=45,1,0))</f>
        <v/>
      </c>
      <c r="BC37">
        <f>IF(I37=1,1000000,IF('計算A'!$IQ$10=2,SUMPRODUCT('計算A'!$D$60:$II$60,$CW37:$MB37,$MD37:$VI37),SUMPRODUCT('計算A'!$D$60:$II$60,$CW37:$MB37))*1000+1)</f>
        <v/>
      </c>
      <c r="BD37">
        <f>IF(J37=1,1000000,IF('計算A'!$IQ$11=2,SUMPRODUCT('計算A'!$D$61:$II$61,$CW37:$MB37,$MD37:$VI37),SUMPRODUCT('計算A'!$D$61:$II$61,$CW37:$MB37))*1000+2)</f>
        <v/>
      </c>
      <c r="BE37">
        <f>IF(K37=1,1000000,IF('計算A'!$IQ$12=2,SUMPRODUCT('計算A'!$D$62:$II$62,$CW37:$MB37,$MD37:$VI37),SUMPRODUCT('計算A'!$D$62:$II$62,$CW37:$MB37))*1000+3)</f>
        <v/>
      </c>
      <c r="BF37">
        <f>IF(L37=1,1000000,IF('計算A'!$IQ$13=2,SUMPRODUCT('計算A'!$D$63:$II$63,$CW37:$MB37,$MD37:$VI37),SUMPRODUCT('計算A'!$D$63:$II$63,$CW37:$MB37))*1000+4)</f>
        <v/>
      </c>
      <c r="BG37">
        <f>IF(M37=1,1000000,IF('計算A'!$IQ$14=2,SUMPRODUCT('計算A'!$D$64:$II$64,$CW37:$MB37,$MD37:$VI37),SUMPRODUCT('計算A'!$D$64:$II$64,$CW37:$MB37))*1000+5)</f>
        <v/>
      </c>
      <c r="BH37">
        <f>IF(N37=1,1000000,IF('計算A'!$IQ$15=2,SUMPRODUCT('計算A'!$D$65:$II$65,$CW37:$MB37,$MD37:$VI37),SUMPRODUCT('計算A'!$D$65:$II$65,$CW37:$MB37))*1000+6)</f>
        <v/>
      </c>
      <c r="BI37">
        <f>IF(O37=1,1000000,IF('計算A'!$IQ$16=2,SUMPRODUCT('計算A'!$D$66:$II$66,$CW37:$MB37,$MD37:$VI37),SUMPRODUCT('計算A'!$D$66:$II$66,$CW37:$MB37))*1000+7)</f>
        <v/>
      </c>
      <c r="BJ37">
        <f>IF(P37=1,1000000,IF('計算A'!$IQ$17=2,SUMPRODUCT('計算A'!$D$67:$II$67,$CW37:$MB37,$MD37:$VI37),SUMPRODUCT('計算A'!$D$67:$II$67,$CW37:$MB37))*1000+8)</f>
        <v/>
      </c>
      <c r="BK37">
        <f>IF(Q37=1,1000000,IF('計算A'!$IQ$18=2,SUMPRODUCT('計算A'!$D$68:$II$68,$CW37:$MB37,$MD37:$VI37),SUMPRODUCT('計算A'!$D$68:$II$68,$CW37:$MB37))*1000+9)</f>
        <v/>
      </c>
      <c r="BL37">
        <f>IF(R37=1,1000000,IF('計算A'!$IQ$19=2,SUMPRODUCT('計算A'!$D$69:$II$69,$CW37:$MB37,$MD37:$VI37),SUMPRODUCT('計算A'!$D$69:$II$69,$CW37:$MB37))*1000+10)</f>
        <v/>
      </c>
      <c r="BM37">
        <f>IF(S37=1,1000000,IF('計算A'!$IQ$20=2,SUMPRODUCT('計算A'!$D$70:$II$70,$CW37:$MB37,$MD37:$VI37),SUMPRODUCT('計算A'!$D$70:$II$70,$CW37:$MB37))*1000+11)</f>
        <v/>
      </c>
      <c r="BN37">
        <f>IF(T37=1,1000000,IF('計算A'!$IQ$21=2,SUMPRODUCT('計算A'!$D$71:$II$71,$CW37:$MB37,$MD37:$VI37),SUMPRODUCT('計算A'!$D$71:$II$71,$CW37:$MB37))*1000+12)</f>
        <v/>
      </c>
      <c r="BO37">
        <f>IF(U37=1,1000000,IF('計算A'!$IQ$22=2,SUMPRODUCT('計算A'!$D$72:$II$72,$CW37:$MB37,$MD37:$VI37),SUMPRODUCT('計算A'!$D$72:$II$72,$CW37:$MB37))*1000+13)</f>
        <v/>
      </c>
      <c r="BP37">
        <f>IF(V37=1,1000000,IF('計算A'!$IQ$23=2,SUMPRODUCT('計算A'!$D$73:$II$73,$CW37:$MB37,$MD37:$VI37),SUMPRODUCT('計算A'!$D$73:$II$73,$CW37:$MB37))*1000+14)</f>
        <v/>
      </c>
      <c r="BQ37">
        <f>IF(W37=1,1000000,IF('計算A'!$IQ$24=2,SUMPRODUCT('計算A'!$D$74:$II$74,$CW37:$MB37,$MD37:$VI37),SUMPRODUCT('計算A'!$D$74:$II$74,$CW37:$MB37))*1000+15)</f>
        <v/>
      </c>
      <c r="BR37">
        <f>IF(X37=1,1000000,IF('計算A'!$IQ$25=2,SUMPRODUCT('計算A'!$D$75:$II$75,$CW37:$MB37,$MD37:$VI37),SUMPRODUCT('計算A'!$D$75:$II$75,$CW37:$MB37))*1000+16)</f>
        <v/>
      </c>
      <c r="BS37">
        <f>IF(Y37=1,1000000,IF('計算A'!$IQ$26=2,SUMPRODUCT('計算A'!$D$76:$II$76,$CW37:$MB37,$MD37:$VI37),SUMPRODUCT('計算A'!$D$76:$II$76,$CW37:$MB37))*1000+17)</f>
        <v/>
      </c>
      <c r="BT37">
        <f>IF(Z37=1,1000000,IF('計算A'!$IQ$27=2,SUMPRODUCT('計算A'!$D$77:$II$77,$CW37:$MB37,$MD37:$VI37),SUMPRODUCT('計算A'!$D$77:$II$77,$CW37:$MB37))*1000+18)</f>
        <v/>
      </c>
      <c r="BU37">
        <f>IF(AA37=1,1000000,IF('計算A'!$IQ$28=2,SUMPRODUCT('計算A'!$D$78:$II$78,$CW37:$MB37,$MD37:$VI37),SUMPRODUCT('計算A'!$D$78:$II$78,$CW37:$MB37))*1000+19)</f>
        <v/>
      </c>
      <c r="BV37">
        <f>IF(AB37=1,1000000,IF('計算A'!$IQ$29=2,SUMPRODUCT('計算A'!$D$79:$II$79,$CW37:$MB37,$MD37:$VI37),SUMPRODUCT('計算A'!$D$79:$II$79,$CW37:$MB37))*1000+20)</f>
        <v/>
      </c>
      <c r="BW37">
        <f>IF(AC37=1,1000000,IF('計算A'!$IQ$30=2,SUMPRODUCT('計算A'!$D$80:$II$80,$CW37:$MB37,$MD37:$VI37),SUMPRODUCT('計算A'!$D$80:$II$80,$CW37:$MB37))*1000+21)</f>
        <v/>
      </c>
      <c r="BX37">
        <f>IF(AD37=1,1000000,IF('計算A'!$IQ$31=2,SUMPRODUCT('計算A'!$D$81:$II$81,$CW37:$MB37,$MD37:$VI37),SUMPRODUCT('計算A'!$D$81:$II$81,$CW37:$MB37))*1000+22)</f>
        <v/>
      </c>
      <c r="BY37">
        <f>IF(AE37=1,1000000,IF('計算A'!$IQ$32=2,SUMPRODUCT('計算A'!$D$82:$II$82,$CW37:$MB37,$MD37:$VI37),SUMPRODUCT('計算A'!$D$82:$II$82,$CW37:$MB37))*1000+23)</f>
        <v/>
      </c>
      <c r="BZ37">
        <f>IF(AF37=1,1000000,IF('計算A'!$IQ$33=2,SUMPRODUCT('計算A'!$D$83:$II$83,$CW37:$MB37,$MD37:$VI37),SUMPRODUCT('計算A'!$D$83:$II$83,$CW37:$MB37))*1000+24)</f>
        <v/>
      </c>
      <c r="CA37">
        <f>IF(AG37=1,1000000,IF('計算A'!$IQ$34=2,SUMPRODUCT('計算A'!$D$84:$II$84,$CW37:$MB37,$MD37:$VI37),SUMPRODUCT('計算A'!$D$84:$II$84,$CW37:$MB37))*1000+25)</f>
        <v/>
      </c>
      <c r="CB37">
        <f>IF(AH37=1,1000000,IF('計算A'!$IQ$35=2,SUMPRODUCT('計算A'!$D$85:$II$85,$CW37:$MB37,$MD37:$VI37),SUMPRODUCT('計算A'!$D$85:$II$85,$CW37:$MB37))*1000+26)</f>
        <v/>
      </c>
      <c r="CC37">
        <f>IF(AI37=1,1000000,IF('計算A'!$IQ$36=2,SUMPRODUCT('計算A'!$D$86:$II$86,$CW37:$MB37,$MD37:$VI37),SUMPRODUCT('計算A'!$D$86:$II$86,$CW37:$MB37))*1000+27)</f>
        <v/>
      </c>
      <c r="CD37">
        <f>IF(AJ37=1,1000000,IF('計算A'!$IQ$37=2,SUMPRODUCT('計算A'!$D$87:$II$87,$CW37:$MB37,$MD37:$VI37),SUMPRODUCT('計算A'!$D$87:$II$87,$CW37:$MB37))*1000+28)</f>
        <v/>
      </c>
      <c r="CE37">
        <f>IF(AK37=1,1000000,IF('計算A'!$IQ$38=2,SUMPRODUCT('計算A'!$D$88:$II$88,$CW37:$MB37,$MD37:$VI37),SUMPRODUCT('計算A'!$D$88:$II$88,$CW37:$MB37))*1000+29)</f>
        <v/>
      </c>
      <c r="CF37">
        <f>IF(AL37=1,1000000,IF('計算A'!$IQ$39=2,SUMPRODUCT('計算A'!$D$89:$II$89,$CW37:$MB37,$MD37:$VI37),SUMPRODUCT('計算A'!$D$89:$II$89,$CW37:$MB37))*1000+30)</f>
        <v/>
      </c>
      <c r="CG37">
        <f>IF(AM37=1,1000000,IF('計算A'!$IQ$40=2,SUMPRODUCT('計算A'!$D$90:$II$90,$CW37:$MB37,$MD37:$VI37),SUMPRODUCT('計算A'!$D$90:$II$90,$CW37:$MB37))*1000+31)</f>
        <v/>
      </c>
      <c r="CH37">
        <f>IF(AN37=1,1000000,IF('計算A'!$IQ$41=2,SUMPRODUCT('計算A'!$D$91:$II$91,$CW37:$MB37,$MD37:$VI37),SUMPRODUCT('計算A'!$D$91:$II$91,$CW37:$MB37))*1000+32)</f>
        <v/>
      </c>
      <c r="CI37">
        <f>IF(AO37=1,1000000,IF('計算A'!$IQ$42=2,SUMPRODUCT('計算A'!$D$92:$II$92,$CW37:$MB37,$MD37:$VI37),SUMPRODUCT('計算A'!$D$92:$II$92,$CW37:$MB37))*1000+33)</f>
        <v/>
      </c>
      <c r="CJ37">
        <f>IF(AP37=1,1000000,IF('計算A'!$IQ$43=2,SUMPRODUCT('計算A'!$D$93:$II$93,$CW37:$MB37,$MD37:$VI37),SUMPRODUCT('計算A'!$D$93:$II$93,$CW37:$MB37))*1000+34)</f>
        <v/>
      </c>
      <c r="CK37">
        <f>IF(AQ37=1,1000000,IF('計算A'!$IQ$44=2,SUMPRODUCT('計算A'!$D$94:$II$94,$CW37:$MB37,$MD37:$VI37),SUMPRODUCT('計算A'!$D$94:$II$94,$CW37:$MB37))*1000+35)</f>
        <v/>
      </c>
      <c r="CL37">
        <f>IF(AR37=1,1000000,IF('計算A'!$IQ$45=2,SUMPRODUCT('計算A'!$D$95:$II$95,$CW37:$MB37,$MD37:$VI37),SUMPRODUCT('計算A'!$D$95:$II$95,$CW37:$MB37))*1000+36)</f>
        <v/>
      </c>
      <c r="CM37">
        <f>IF(AS37=1,1000000,IF('計算A'!$IQ$46=2,SUMPRODUCT('計算A'!$D$96:$II$96,$CW37:$MB37,$MD37:$VI37),SUMPRODUCT('計算A'!$D$96:$II$96,$CW37:$MB37))*1000+37)</f>
        <v/>
      </c>
      <c r="CN37">
        <f>IF(AT37=1,1000000,IF('計算A'!$IQ$47=2,SUMPRODUCT('計算A'!$D$97:$II$97,$CW37:$MB37,$MD37:$VI37),SUMPRODUCT('計算A'!$D$97:$II$97,$CW37:$MB37))*1000+38)</f>
        <v/>
      </c>
      <c r="CO37">
        <f>IF(AU37=1,1000000,IF('計算A'!$IQ$48=2,SUMPRODUCT('計算A'!$D$98:$II$98,$CW37:$MB37,$MD37:$VI37),SUMPRODUCT('計算A'!$D$98:$II$98,$CW37:$MB37))*1000+39)</f>
        <v/>
      </c>
      <c r="CP37">
        <f>IF(AV37=1,1000000,IF('計算A'!$IQ$49=2,SUMPRODUCT('計算A'!$D$99:$II$99,$CW37:$MB37,$MD37:$VI37),SUMPRODUCT('計算A'!$D$99:$II$99,$CW37:$MB37))*1000+40)</f>
        <v/>
      </c>
      <c r="CQ37">
        <f>IF(AW37=1,1000000,IF('計算A'!$IQ$50=2,SUMPRODUCT('計算A'!$D$100:$II$100,$CW37:$MB37,$MD37:$VI37),SUMPRODUCT('計算A'!$D$100:$II$100,$CW37:$MB37))*1000+41)</f>
        <v/>
      </c>
      <c r="CR37">
        <f>IF(AX37=1,1000000,IF('計算A'!$IQ$51=2,SUMPRODUCT('計算A'!$D$101:$II$101,$CW37:$MB37,$MD37:$VI37),SUMPRODUCT('計算A'!$D$101:$II$101,$CW37:$MB37))*1000+42)</f>
        <v/>
      </c>
      <c r="CS37">
        <f>IF(AY37=1,1000000,IF('計算A'!$IQ$52=2,SUMPRODUCT('計算A'!$D$102:$II$102,$CW37:$MB37,$MD37:$VI37),SUMPRODUCT('計算A'!$D$102:$II$102,$CW37:$MB37))*1000+43)</f>
        <v/>
      </c>
      <c r="CT37">
        <f>IF(AZ37=1,1000000,IF('計算A'!$IQ$53=2,SUMPRODUCT('計算A'!$D$103:$II$103,$CW37:$MB37,$MD37:$VI37),SUMPRODUCT('計算A'!$D$103:$II$103,$CW37:$MB37))*1000+44)</f>
        <v/>
      </c>
      <c r="CU37">
        <f>IF(BA37=1,1000000,IF('計算A'!$IQ$54=2,SUMPRODUCT('計算A'!$D$104:$II$104,$CW37:$MB37,$MD37:$VI37),SUMPRODUCT('計算A'!$D$104:$II$104,$CW37:$MB37))*1000+45)</f>
        <v/>
      </c>
      <c r="CW37">
        <f>CW36*IF(OR($C36=1,$G36=1),0,1)</f>
        <v/>
      </c>
      <c r="CX37">
        <f>CX36*IF(OR($C36=2,$G36=2),0,1)</f>
        <v/>
      </c>
      <c r="CY37">
        <f>CY36*IF(OR($C36=3,$G36=3),0,1)</f>
        <v/>
      </c>
      <c r="CZ37">
        <f>CZ36*IF(OR($C36=4,$G36=4),0,1)</f>
        <v/>
      </c>
      <c r="DA37">
        <f>DA36*IF(OR($C36=5,$G36=5),0,1)</f>
        <v/>
      </c>
      <c r="DB37">
        <f>DB36*IF(OR($C36=6,$G36=6),0,1)</f>
        <v/>
      </c>
      <c r="DC37">
        <f>DC36*IF(OR($C36=7,$G36=7),0,1)</f>
        <v/>
      </c>
      <c r="DD37">
        <f>DD36*IF(OR($C36=8,$G36=8),0,1)</f>
        <v/>
      </c>
      <c r="DE37">
        <f>DE36*IF(OR($C36=9,$G36=9),0,1)</f>
        <v/>
      </c>
      <c r="DF37">
        <f>DF36*IF(OR($C36=10,$G36=10),0,1)</f>
        <v/>
      </c>
      <c r="DG37">
        <f>DG36*IF(OR($C36=11,$G36=11),0,1)</f>
        <v/>
      </c>
      <c r="DH37">
        <f>DH36*IF(OR($C36=12,$G36=12),0,1)</f>
        <v/>
      </c>
      <c r="DI37">
        <f>DI36*IF(OR($C36=13,$G36=13),0,1)</f>
        <v/>
      </c>
      <c r="DJ37">
        <f>DJ36*IF(OR($C36=14,$G36=14),0,1)</f>
        <v/>
      </c>
      <c r="DK37">
        <f>DK36*IF(OR($C36=15,$G36=15),0,1)</f>
        <v/>
      </c>
      <c r="DL37">
        <f>DL36*IF(OR($C36=16,$G36=16),0,1)</f>
        <v/>
      </c>
      <c r="DM37">
        <f>DM36*IF(OR($C36=17,$G36=17),0,1)</f>
        <v/>
      </c>
      <c r="DN37">
        <f>DN36*IF(OR($C36=18,$G36=18),0,1)</f>
        <v/>
      </c>
      <c r="DO37">
        <f>DO36*IF(OR($C36=19,$G36=19),0,1)</f>
        <v/>
      </c>
      <c r="DP37">
        <f>DP36*IF(OR($C36=20,$G36=20),0,1)</f>
        <v/>
      </c>
      <c r="DQ37">
        <f>DQ36*IF(OR($C36=21,$G36=21),0,1)</f>
        <v/>
      </c>
      <c r="DR37">
        <f>DR36*IF(OR($C36=22,$G36=22),0,1)</f>
        <v/>
      </c>
      <c r="DS37">
        <f>DS36*IF(OR($C36=23,$G36=23),0,1)</f>
        <v/>
      </c>
      <c r="DT37">
        <f>DT36*IF(OR($C36=24,$G36=24),0,1)</f>
        <v/>
      </c>
      <c r="DU37">
        <f>DU36*IF(OR($C36=25,$G36=25),0,1)</f>
        <v/>
      </c>
      <c r="DV37">
        <f>DV36*IF(OR($C36=26,$G36=26),0,1)</f>
        <v/>
      </c>
      <c r="DW37">
        <f>DW36*IF(OR($C36=27,$G36=27),0,1)</f>
        <v/>
      </c>
      <c r="DX37">
        <f>DX36*IF(OR($C36=28,$G36=28),0,1)</f>
        <v/>
      </c>
      <c r="DY37">
        <f>DY36*IF(OR($C36=29,$G36=29),0,1)</f>
        <v/>
      </c>
      <c r="DZ37">
        <f>DZ36*IF(OR($C36=30,$G36=30),0,1)</f>
        <v/>
      </c>
      <c r="EA37">
        <f>EA36*IF(OR($C36=31,$G36=31),0,1)</f>
        <v/>
      </c>
      <c r="EB37">
        <f>EB36*IF(OR($C36=32,$G36=32),0,1)</f>
        <v/>
      </c>
      <c r="EC37">
        <f>EC36*IF(OR($C36=33,$G36=33),0,1)</f>
        <v/>
      </c>
      <c r="ED37">
        <f>ED36*IF(OR($C36=34,$G36=34),0,1)</f>
        <v/>
      </c>
      <c r="EE37">
        <f>EE36*IF(OR($C36=35,$G36=35),0,1)</f>
        <v/>
      </c>
      <c r="EF37">
        <f>EF36*IF(OR($C36=36,$G36=36),0,1)</f>
        <v/>
      </c>
      <c r="EG37">
        <f>EG36*IF(OR($C36=37,$G36=37),0,1)</f>
        <v/>
      </c>
      <c r="EH37">
        <f>EH36*IF(OR($C36=38,$G36=38),0,1)</f>
        <v/>
      </c>
      <c r="EI37">
        <f>EI36*IF(OR($C36=39,$G36=39),0,1)</f>
        <v/>
      </c>
      <c r="EJ37">
        <f>EJ36*IF(OR($C36=40,$G36=40),0,1)</f>
        <v/>
      </c>
      <c r="EK37">
        <f>EK36*IF(OR($C36=41,$G36=41),0,1)</f>
        <v/>
      </c>
      <c r="EL37">
        <f>EL36*IF(OR($C36=42,$G36=42),0,1)</f>
        <v/>
      </c>
      <c r="EM37">
        <f>EM36*IF(OR($C36=43,$G36=43),0,1)</f>
        <v/>
      </c>
      <c r="EN37">
        <f>EN36*IF(OR($C36=44,$G36=44),0,1)</f>
        <v/>
      </c>
      <c r="EO37">
        <f>EO36*IF(OR($C36=45,$G36=45),0,1)</f>
        <v/>
      </c>
      <c r="EP37">
        <f>EP36*IF(OR($C36=46,$G36=46),0,1)</f>
        <v/>
      </c>
      <c r="EQ37">
        <f>EQ36*IF(OR($C36=47,$G36=47),0,1)</f>
        <v/>
      </c>
      <c r="ER37">
        <f>ER36*IF(OR($C36=48,$G36=48),0,1)</f>
        <v/>
      </c>
      <c r="ES37">
        <f>ES36*IF(OR($C36=49,$G36=49),0,1)</f>
        <v/>
      </c>
      <c r="ET37">
        <f>ET36*IF(OR($C36=50,$G36=50),0,1)</f>
        <v/>
      </c>
      <c r="EU37">
        <f>EU36*IF(OR($C36=51,$G36=51),0,1)</f>
        <v/>
      </c>
      <c r="EV37">
        <f>EV36*IF(OR($C36=52,$G36=52),0,1)</f>
        <v/>
      </c>
      <c r="EW37">
        <f>EW36*IF(OR($C36=53,$G36=53),0,1)</f>
        <v/>
      </c>
      <c r="EX37">
        <f>EX36*IF(OR($C36=54,$G36=54),0,1)</f>
        <v/>
      </c>
      <c r="EY37">
        <f>EY36*IF(OR($C36=55,$G36=55),0,1)</f>
        <v/>
      </c>
      <c r="EZ37">
        <f>EZ36*IF(OR($C36=56,$G36=56),0,1)</f>
        <v/>
      </c>
      <c r="FA37">
        <f>FA36*IF(OR($C36=57,$G36=57),0,1)</f>
        <v/>
      </c>
      <c r="FB37">
        <f>FB36*IF(OR($C36=58,$G36=58),0,1)</f>
        <v/>
      </c>
      <c r="FC37">
        <f>FC36*IF(OR($C36=59,$G36=59),0,1)</f>
        <v/>
      </c>
      <c r="FD37">
        <f>FD36*IF(OR($C36=60,$G36=60),0,1)</f>
        <v/>
      </c>
      <c r="FE37">
        <f>FE36*IF(OR($C36=61,$G36=61),0,1)</f>
        <v/>
      </c>
      <c r="FF37">
        <f>FF36*IF(OR($C36=62,$G36=62),0,1)</f>
        <v/>
      </c>
      <c r="FG37">
        <f>FG36*IF(OR($C36=63,$G36=63),0,1)</f>
        <v/>
      </c>
      <c r="FH37">
        <f>FH36*IF(OR($C36=64,$G36=64),0,1)</f>
        <v/>
      </c>
      <c r="FI37">
        <f>FI36*IF(OR($C36=65,$G36=65),0,1)</f>
        <v/>
      </c>
      <c r="FJ37">
        <f>FJ36*IF(OR($C36=66,$G36=66),0,1)</f>
        <v/>
      </c>
      <c r="FK37">
        <f>FK36*IF(OR($C36=67,$G36=67),0,1)</f>
        <v/>
      </c>
      <c r="FL37">
        <f>FL36*IF(OR($C36=68,$G36=68),0,1)</f>
        <v/>
      </c>
      <c r="FM37">
        <f>FM36*IF(OR($C36=69,$G36=69),0,1)</f>
        <v/>
      </c>
      <c r="FN37">
        <f>FN36*IF(OR($C36=70,$G36=70),0,1)</f>
        <v/>
      </c>
      <c r="FO37">
        <f>FO36*IF(OR($C36=71,$G36=71),0,1)</f>
        <v/>
      </c>
      <c r="FP37">
        <f>FP36*IF(OR($C36=72,$G36=72),0,1)</f>
        <v/>
      </c>
      <c r="FQ37">
        <f>FQ36*IF(OR($C36=73,$G36=73),0,1)</f>
        <v/>
      </c>
      <c r="FR37">
        <f>FR36*IF(OR($C36=74,$G36=74),0,1)</f>
        <v/>
      </c>
      <c r="FS37">
        <f>FS36*IF(OR($C36=75,$G36=75),0,1)</f>
        <v/>
      </c>
      <c r="FT37">
        <f>FT36*IF(OR($C36=76,$G36=76),0,1)</f>
        <v/>
      </c>
      <c r="FU37">
        <f>FU36*IF(OR($C36=77,$G36=77),0,1)</f>
        <v/>
      </c>
      <c r="FV37">
        <f>FV36*IF(OR($C36=78,$G36=78),0,1)</f>
        <v/>
      </c>
      <c r="FW37">
        <f>FW36*IF(OR($C36=79,$G36=79),0,1)</f>
        <v/>
      </c>
      <c r="FX37">
        <f>FX36*IF(OR($C36=80,$G36=80),0,1)</f>
        <v/>
      </c>
      <c r="FY37">
        <f>FY36*IF(OR($C36=81,$G36=81),0,1)</f>
        <v/>
      </c>
      <c r="FZ37">
        <f>FZ36*IF(OR($C36=82,$G36=82),0,1)</f>
        <v/>
      </c>
      <c r="GA37">
        <f>GA36*IF(OR($C36=83,$G36=83),0,1)</f>
        <v/>
      </c>
      <c r="GB37">
        <f>GB36*IF(OR($C36=84,$G36=84),0,1)</f>
        <v/>
      </c>
      <c r="GC37">
        <f>GC36*IF(OR($C36=85,$G36=85),0,1)</f>
        <v/>
      </c>
      <c r="GD37">
        <f>GD36*IF(OR($C36=86,$G36=86),0,1)</f>
        <v/>
      </c>
      <c r="GE37">
        <f>GE36*IF(OR($C36=87,$G36=87),0,1)</f>
        <v/>
      </c>
      <c r="GF37">
        <f>GF36*IF(OR($C36=88,$G36=88),0,1)</f>
        <v/>
      </c>
      <c r="GG37">
        <f>GG36*IF(OR($C36=89,$G36=89),0,1)</f>
        <v/>
      </c>
      <c r="GH37">
        <f>GH36*IF(OR($C36=90,$G36=90),0,1)</f>
        <v/>
      </c>
      <c r="GI37">
        <f>GI36*IF(OR($C36=91,$G36=91),0,1)</f>
        <v/>
      </c>
      <c r="GJ37">
        <f>GJ36*IF(OR($C36=92,$G36=92),0,1)</f>
        <v/>
      </c>
      <c r="GK37">
        <f>GK36*IF(OR($C36=93,$G36=93),0,1)</f>
        <v/>
      </c>
      <c r="GL37">
        <f>GL36*IF(OR($C36=94,$G36=94),0,1)</f>
        <v/>
      </c>
      <c r="GM37">
        <f>GM36*IF(OR($C36=95,$G36=95),0,1)</f>
        <v/>
      </c>
      <c r="GN37">
        <f>GN36*IF(OR($C36=96,$G36=96),0,1)</f>
        <v/>
      </c>
      <c r="GO37">
        <f>GO36*IF(OR($C36=97,$G36=97),0,1)</f>
        <v/>
      </c>
      <c r="GP37">
        <f>GP36*IF(OR($C36=98,$G36=98),0,1)</f>
        <v/>
      </c>
      <c r="GQ37">
        <f>GQ36*IF(OR($C36=99,$G36=99),0,1)</f>
        <v/>
      </c>
      <c r="GR37">
        <f>GR36*IF(OR($C36=100,$G36=100),0,1)</f>
        <v/>
      </c>
      <c r="GS37">
        <f>GS36*IF(OR($C36=101,$G36=101),0,1)</f>
        <v/>
      </c>
      <c r="GT37">
        <f>GT36*IF(OR($C36=102,$G36=102),0,1)</f>
        <v/>
      </c>
      <c r="GU37">
        <f>GU36*IF(OR($C36=103,$G36=103),0,1)</f>
        <v/>
      </c>
      <c r="GV37">
        <f>GV36*IF(OR($C36=104,$G36=104),0,1)</f>
        <v/>
      </c>
      <c r="GW37">
        <f>GW36*IF(OR($C36=105,$G36=105),0,1)</f>
        <v/>
      </c>
      <c r="GX37">
        <f>GX36*IF(OR($C36=106,$G36=106),0,1)</f>
        <v/>
      </c>
      <c r="GY37">
        <f>GY36*IF(OR($C36=107,$G36=107),0,1)</f>
        <v/>
      </c>
      <c r="GZ37">
        <f>GZ36*IF(OR($C36=108,$G36=108),0,1)</f>
        <v/>
      </c>
      <c r="HA37">
        <f>HA36*IF(OR($C36=109,$G36=109),0,1)</f>
        <v/>
      </c>
      <c r="HB37">
        <f>HB36*IF(OR($C36=110,$G36=110),0,1)</f>
        <v/>
      </c>
      <c r="HC37">
        <f>HC36*IF(OR($C36=111,$G36=111),0,1)</f>
        <v/>
      </c>
      <c r="HD37">
        <f>HD36*IF(OR($C36=112,$G36=112),0,1)</f>
        <v/>
      </c>
      <c r="HE37">
        <f>HE36*IF(OR($C36=113,$G36=113),0,1)</f>
        <v/>
      </c>
      <c r="HF37">
        <f>HF36*IF(OR($C36=114,$G36=114),0,1)</f>
        <v/>
      </c>
      <c r="HG37">
        <f>HG36*IF(OR($C36=115,$G36=115),0,1)</f>
        <v/>
      </c>
      <c r="HH37">
        <f>HH36*IF(OR($C36=116,$G36=116),0,1)</f>
        <v/>
      </c>
      <c r="HI37">
        <f>HI36*IF(OR($C36=117,$G36=117),0,1)</f>
        <v/>
      </c>
      <c r="HJ37">
        <f>HJ36*IF(OR($C36=118,$G36=118),0,1)</f>
        <v/>
      </c>
      <c r="HK37">
        <f>HK36*IF(OR($C36=119,$G36=119),0,1)</f>
        <v/>
      </c>
      <c r="HL37">
        <f>HL36*IF(OR($C36=120,$G36=120),0,1)</f>
        <v/>
      </c>
      <c r="HM37">
        <f>HM36*IF(OR($C36=121,$G36=121),0,1)</f>
        <v/>
      </c>
      <c r="HN37">
        <f>HN36*IF(OR($C36=122,$G36=122),0,1)</f>
        <v/>
      </c>
      <c r="HO37">
        <f>HO36*IF(OR($C36=123,$G36=123),0,1)</f>
        <v/>
      </c>
      <c r="HP37">
        <f>HP36*IF(OR($C36=124,$G36=124),0,1)</f>
        <v/>
      </c>
      <c r="HQ37">
        <f>HQ36*IF(OR($C36=125,$G36=125),0,1)</f>
        <v/>
      </c>
      <c r="HR37">
        <f>HR36*IF(OR($C36=126,$G36=126),0,1)</f>
        <v/>
      </c>
      <c r="HS37">
        <f>HS36*IF(OR($C36=127,$G36=127),0,1)</f>
        <v/>
      </c>
      <c r="HT37">
        <f>HT36*IF(OR($C36=128,$G36=128),0,1)</f>
        <v/>
      </c>
      <c r="HU37">
        <f>HU36*IF(OR($C36=129,$G36=129),0,1)</f>
        <v/>
      </c>
      <c r="HV37">
        <f>HV36*IF(OR($C36=130,$G36=130),0,1)</f>
        <v/>
      </c>
      <c r="HW37">
        <f>HW36*IF(OR($C36=131,$G36=131),0,1)</f>
        <v/>
      </c>
      <c r="HX37">
        <f>HX36*IF(OR($C36=132,$G36=132),0,1)</f>
        <v/>
      </c>
      <c r="HY37">
        <f>HY36*IF(OR($C36=133,$G36=133),0,1)</f>
        <v/>
      </c>
      <c r="HZ37">
        <f>HZ36*IF(OR($C36=134,$G36=134),0,1)</f>
        <v/>
      </c>
      <c r="IA37">
        <f>IA36*IF(OR($C36=135,$G36=135),0,1)</f>
        <v/>
      </c>
      <c r="IB37">
        <f>IB36*IF(OR($C36=136,$G36=136),0,1)</f>
        <v/>
      </c>
      <c r="IC37">
        <f>IC36*IF(OR($C36=137,$G36=137),0,1)</f>
        <v/>
      </c>
      <c r="ID37">
        <f>ID36*IF(OR($C36=138,$G36=138),0,1)</f>
        <v/>
      </c>
      <c r="IE37">
        <f>IE36*IF(OR($C36=139,$G36=139),0,1)</f>
        <v/>
      </c>
      <c r="IF37">
        <f>IF36*IF(OR($C36=140,$G36=140),0,1)</f>
        <v/>
      </c>
      <c r="IG37">
        <f>IG36*IF(OR($C36=141,$G36=141),0,1)</f>
        <v/>
      </c>
      <c r="IH37">
        <f>IH36*IF(OR($C36=142,$G36=142),0,1)</f>
        <v/>
      </c>
      <c r="II37">
        <f>II36*IF(OR($C36=143,$G36=143),0,1)</f>
        <v/>
      </c>
      <c r="IJ37">
        <f>IJ36*IF(OR($C36=144,$G36=144),0,1)</f>
        <v/>
      </c>
      <c r="IK37">
        <f>IK36*IF(OR($C36=145,$G36=145),0,1)</f>
        <v/>
      </c>
      <c r="IL37">
        <f>IL36*IF(OR($C36=146,$G36=146),0,1)</f>
        <v/>
      </c>
      <c r="IM37">
        <f>IM36*IF(OR($C36=147,$G36=147),0,1)</f>
        <v/>
      </c>
      <c r="IN37">
        <f>IN36*IF(OR($C36=148,$G36=148),0,1)</f>
        <v/>
      </c>
      <c r="IO37">
        <f>IO36*IF(OR($C36=149,$G36=149),0,1)</f>
        <v/>
      </c>
      <c r="IP37">
        <f>IP36*IF(OR($C36=150,$G36=150),0,1)</f>
        <v/>
      </c>
      <c r="IQ37">
        <f>IQ36*IF(OR($C36=151,$G36=151),0,1)</f>
        <v/>
      </c>
      <c r="IR37">
        <f>IR36*IF(OR($C36=152,$G36=152),0,1)</f>
        <v/>
      </c>
      <c r="IS37">
        <f>IS36*IF(OR($C36=153,$G36=153),0,1)</f>
        <v/>
      </c>
      <c r="IT37">
        <f>IT36*IF(OR($C36=154,$G36=154),0,1)</f>
        <v/>
      </c>
      <c r="IU37">
        <f>IU36*IF(OR($C36=155,$G36=155),0,1)</f>
        <v/>
      </c>
      <c r="IV37">
        <f>IV36*IF(OR($C36=156,$G36=156),0,1)</f>
        <v/>
      </c>
      <c r="IW37">
        <f>IW36*IF(OR($C36=157,$G36=157),0,1)</f>
        <v/>
      </c>
      <c r="IX37">
        <f>IX36*IF(OR($C36=158,$G36=158),0,1)</f>
        <v/>
      </c>
      <c r="IY37">
        <f>IY36*IF(OR($C36=159,$G36=159),0,1)</f>
        <v/>
      </c>
      <c r="IZ37">
        <f>IZ36*IF(OR($C36=160,$G36=160),0,1)</f>
        <v/>
      </c>
      <c r="JA37">
        <f>JA36*IF(OR($C36=161,$G36=161),0,1)</f>
        <v/>
      </c>
      <c r="JB37">
        <f>JB36*IF(OR($C36=162,$G36=162),0,1)</f>
        <v/>
      </c>
      <c r="JC37">
        <f>JC36*IF(OR($C36=163,$G36=163),0,1)</f>
        <v/>
      </c>
      <c r="JD37">
        <f>JD36*IF(OR($C36=164,$G36=164),0,1)</f>
        <v/>
      </c>
      <c r="JE37">
        <f>JE36*IF(OR($C36=165,$G36=165),0,1)</f>
        <v/>
      </c>
      <c r="JF37">
        <f>JF36*IF(OR($C36=166,$G36=166),0,1)</f>
        <v/>
      </c>
      <c r="JG37">
        <f>JG36*IF(OR($C36=167,$G36=167),0,1)</f>
        <v/>
      </c>
      <c r="JH37">
        <f>JH36*IF(OR($C36=168,$G36=168),0,1)</f>
        <v/>
      </c>
      <c r="JI37">
        <f>JI36*IF(OR($C36=169,$G36=169),0,1)</f>
        <v/>
      </c>
      <c r="JJ37">
        <f>JJ36*IF(OR($C36=170,$G36=170),0,1)</f>
        <v/>
      </c>
      <c r="JK37">
        <f>JK36*IF(OR($C36=171,$G36=171),0,1)</f>
        <v/>
      </c>
      <c r="JL37">
        <f>JL36*IF(OR($C36=172,$G36=172),0,1)</f>
        <v/>
      </c>
      <c r="JM37">
        <f>JM36*IF(OR($C36=173,$G36=173),0,1)</f>
        <v/>
      </c>
      <c r="JN37">
        <f>JN36*IF(OR($C36=174,$G36=174),0,1)</f>
        <v/>
      </c>
      <c r="JO37">
        <f>JO36*IF(OR($C36=175,$G36=175),0,1)</f>
        <v/>
      </c>
      <c r="JP37">
        <f>JP36*IF(OR($C36=176,$G36=176),0,1)</f>
        <v/>
      </c>
      <c r="JQ37">
        <f>JQ36*IF(OR($C36=177,$G36=177),0,1)</f>
        <v/>
      </c>
      <c r="JR37">
        <f>JR36*IF(OR($C36=178,$G36=178),0,1)</f>
        <v/>
      </c>
      <c r="JS37">
        <f>JS36*IF(OR($C36=179,$G36=179),0,1)</f>
        <v/>
      </c>
      <c r="JT37">
        <f>JT36*IF(OR($C36=180,$G36=180),0,1)</f>
        <v/>
      </c>
      <c r="JU37">
        <f>JU36*IF(OR($C36=181,$G36=181),0,1)</f>
        <v/>
      </c>
      <c r="JV37">
        <f>JV36*IF(OR($C36=182,$G36=182),0,1)</f>
        <v/>
      </c>
      <c r="JW37">
        <f>JW36*IF(OR($C36=183,$G36=183),0,1)</f>
        <v/>
      </c>
      <c r="JX37">
        <f>JX36*IF(OR($C36=184,$G36=184),0,1)</f>
        <v/>
      </c>
      <c r="JY37">
        <f>JY36*IF(OR($C36=185,$G36=185),0,1)</f>
        <v/>
      </c>
      <c r="JZ37">
        <f>JZ36*IF(OR($C36=186,$G36=186),0,1)</f>
        <v/>
      </c>
      <c r="KA37">
        <f>KA36*IF(OR($C36=187,$G36=187),0,1)</f>
        <v/>
      </c>
      <c r="KB37">
        <f>KB36*IF(OR($C36=188,$G36=188),0,1)</f>
        <v/>
      </c>
      <c r="KC37">
        <f>KC36*IF(OR($C36=189,$G36=189),0,1)</f>
        <v/>
      </c>
      <c r="KD37">
        <f>KD36*IF(OR($C36=190,$G36=190),0,1)</f>
        <v/>
      </c>
      <c r="KE37">
        <f>KE36*IF(OR($C36=191,$G36=191),0,1)</f>
        <v/>
      </c>
      <c r="KF37">
        <f>KF36*IF(OR($C36=192,$G36=192),0,1)</f>
        <v/>
      </c>
      <c r="KG37">
        <f>KG36*IF(OR($C36=193,$G36=193),0,1)</f>
        <v/>
      </c>
      <c r="KH37">
        <f>KH36*IF(OR($C36=194,$G36=194),0,1)</f>
        <v/>
      </c>
      <c r="KI37">
        <f>KI36*IF(OR($C36=195,$G36=195),0,1)</f>
        <v/>
      </c>
      <c r="KJ37">
        <f>KJ36*IF(OR($C36=196,$G36=196),0,1)</f>
        <v/>
      </c>
      <c r="KK37">
        <f>KK36*IF(OR($C36=197,$G36=197),0,1)</f>
        <v/>
      </c>
      <c r="KL37">
        <f>KL36*IF(OR($C36=198,$G36=198),0,1)</f>
        <v/>
      </c>
      <c r="KM37">
        <f>KM36*IF(OR($C36=199,$G36=199),0,1)</f>
        <v/>
      </c>
      <c r="KN37">
        <f>KN36*IF(OR($C36=200,$G36=200),0,1)</f>
        <v/>
      </c>
      <c r="KO37">
        <f>KO36*IF(OR($C36=201,$G36=201),0,1)</f>
        <v/>
      </c>
      <c r="KP37">
        <f>KP36*IF(OR($C36=202,$G36=202),0,1)</f>
        <v/>
      </c>
      <c r="KQ37">
        <f>KQ36*IF(OR($C36=203,$G36=203),0,1)</f>
        <v/>
      </c>
      <c r="KR37">
        <f>KR36*IF(OR($C36=204,$G36=204),0,1)</f>
        <v/>
      </c>
      <c r="KS37">
        <f>KS36*IF(OR($C36=205,$G36=205),0,1)</f>
        <v/>
      </c>
      <c r="KT37">
        <f>KT36*IF(OR($C36=206,$G36=206),0,1)</f>
        <v/>
      </c>
      <c r="KU37">
        <f>KU36*IF(OR($C36=207,$G36=207),0,1)</f>
        <v/>
      </c>
      <c r="KV37">
        <f>KV36*IF(OR($C36=208,$G36=208),0,1)</f>
        <v/>
      </c>
      <c r="KW37">
        <f>KW36*IF(OR($C36=209,$G36=209),0,1)</f>
        <v/>
      </c>
      <c r="KX37">
        <f>KX36*IF(OR($C36=210,$G36=210),0,1)</f>
        <v/>
      </c>
      <c r="KY37">
        <f>KY36*IF(OR($C36=211,$G36=211),0,1)</f>
        <v/>
      </c>
      <c r="KZ37">
        <f>KZ36*IF(OR($C36=212,$G36=212),0,1)</f>
        <v/>
      </c>
      <c r="LA37">
        <f>LA36*IF(OR($C36=213,$G36=213),0,1)</f>
        <v/>
      </c>
      <c r="LB37">
        <f>LB36*IF(OR($C36=214,$G36=214),0,1)</f>
        <v/>
      </c>
      <c r="LC37">
        <f>LC36*IF(OR($C36=215,$G36=215),0,1)</f>
        <v/>
      </c>
      <c r="LD37">
        <f>LD36*IF(OR($C36=216,$G36=216),0,1)</f>
        <v/>
      </c>
      <c r="LE37">
        <f>LE36*IF(OR($C36=217,$G36=217),0,1)</f>
        <v/>
      </c>
      <c r="LF37">
        <f>LF36*IF(OR($C36=218,$G36=218),0,1)</f>
        <v/>
      </c>
      <c r="LG37">
        <f>LG36*IF(OR($C36=219,$G36=219),0,1)</f>
        <v/>
      </c>
      <c r="LH37">
        <f>LH36*IF(OR($C36=220,$G36=220),0,1)</f>
        <v/>
      </c>
      <c r="LI37">
        <f>LI36*IF(OR($C36=221,$G36=221),0,1)</f>
        <v/>
      </c>
      <c r="LJ37">
        <f>LJ36*IF(OR($C36=222,$G36=222),0,1)</f>
        <v/>
      </c>
      <c r="LK37">
        <f>LK36*IF(OR($C36=223,$G36=223),0,1)</f>
        <v/>
      </c>
      <c r="LL37">
        <f>LL36*IF(OR($C36=224,$G36=224),0,1)</f>
        <v/>
      </c>
      <c r="LM37">
        <f>LM36*IF(OR($C36=225,$G36=225),0,1)</f>
        <v/>
      </c>
      <c r="LN37">
        <f>LN36*IF(OR($C36=226,$G36=226),0,1)</f>
        <v/>
      </c>
      <c r="LO37">
        <f>LO36*IF(OR($C36=227,$G36=227),0,1)</f>
        <v/>
      </c>
      <c r="LP37">
        <f>LP36*IF(OR($C36=228,$G36=228),0,1)</f>
        <v/>
      </c>
      <c r="LQ37">
        <f>LQ36*IF(OR($C36=229,$G36=229),0,1)</f>
        <v/>
      </c>
      <c r="LR37">
        <f>LR36*IF(OR($C36=230,$G36=230),0,1)</f>
        <v/>
      </c>
      <c r="LS37">
        <f>LS36*IF(OR($C36=231,$G36=231),0,1)</f>
        <v/>
      </c>
      <c r="LT37">
        <f>LT36*IF(OR($C36=232,$G36=232),0,1)</f>
        <v/>
      </c>
      <c r="LU37">
        <f>LU36*IF(OR($C36=233,$G36=233),0,1)</f>
        <v/>
      </c>
      <c r="LV37">
        <f>LV36*IF(OR($C36=234,$G36=234),0,1)</f>
        <v/>
      </c>
      <c r="LW37">
        <f>LW36*IF(OR($C36=235,$G36=235),0,1)</f>
        <v/>
      </c>
      <c r="LX37">
        <f>LX36*IF(OR($C36=236,$G36=236),0,1)</f>
        <v/>
      </c>
      <c r="LY37">
        <f>LY36*IF(OR($C36=237,$G36=237),0,1)</f>
        <v/>
      </c>
      <c r="LZ37">
        <f>LZ36*IF(OR($C36=238,$G36=238),0,1)</f>
        <v/>
      </c>
      <c r="MA37">
        <f>MA36*IF(OR($C36=239,$G36=239),0,1)</f>
        <v/>
      </c>
      <c r="MB37">
        <f>MB36*IF(OR($C36=240,$G36=240),0,1)</f>
        <v/>
      </c>
      <c r="MD37">
        <f>IF('計算A'!D$106=1,CX37,1)</f>
        <v/>
      </c>
      <c r="ME37">
        <f>IF('計算A'!E$106=1,CY37,1)</f>
        <v/>
      </c>
      <c r="MF37">
        <f>IF('計算A'!F$106=1,CZ37,1)</f>
        <v/>
      </c>
      <c r="MG37">
        <f>IF('計算A'!G$106=1,DA37,1)</f>
        <v/>
      </c>
      <c r="MH37">
        <f>IF('計算A'!H$106=1,DB37,1)</f>
        <v/>
      </c>
      <c r="MI37">
        <f>IF('計算A'!I$106=1,DC37,1)</f>
        <v/>
      </c>
      <c r="MJ37">
        <f>IF('計算A'!J$106=1,DD37,1)</f>
        <v/>
      </c>
      <c r="MK37">
        <f>IF('計算A'!K$106=1,DE37,1)</f>
        <v/>
      </c>
      <c r="ML37">
        <f>IF('計算A'!L$106=1,DF37,1)</f>
        <v/>
      </c>
      <c r="MM37">
        <f>IF('計算A'!M$106=1,DG37,1)</f>
        <v/>
      </c>
      <c r="MN37">
        <f>IF('計算A'!N$106=1,DH37,1)</f>
        <v/>
      </c>
      <c r="MO37">
        <f>IF('計算A'!O$106=1,DI37,1)</f>
        <v/>
      </c>
      <c r="MP37">
        <f>IF('計算A'!P$106=1,DJ37,1)</f>
        <v/>
      </c>
      <c r="MQ37">
        <f>IF('計算A'!Q$106=1,DK37,1)</f>
        <v/>
      </c>
      <c r="MR37">
        <f>IF('計算A'!R$106=1,DL37,1)</f>
        <v/>
      </c>
      <c r="MS37">
        <f>IF('計算A'!S$106=1,DM37,1)</f>
        <v/>
      </c>
      <c r="MT37">
        <f>IF('計算A'!T$106=1,DN37,1)</f>
        <v/>
      </c>
      <c r="MU37">
        <f>IF('計算A'!U$106=1,DO37,1)</f>
        <v/>
      </c>
      <c r="MV37">
        <f>IF('計算A'!V$106=1,DP37,1)</f>
        <v/>
      </c>
      <c r="MW37">
        <f>IF('計算A'!W$106=1,DQ37,1)</f>
        <v/>
      </c>
      <c r="MX37">
        <f>IF('計算A'!X$106=1,DR37,1)</f>
        <v/>
      </c>
      <c r="MY37">
        <f>IF('計算A'!Y$106=1,DS37,1)</f>
        <v/>
      </c>
      <c r="MZ37">
        <f>IF('計算A'!Z$106=1,DT37,1)</f>
        <v/>
      </c>
      <c r="NA37">
        <f>IF('計算A'!AA$106=1,DU37,1)</f>
        <v/>
      </c>
      <c r="NB37">
        <f>IF('計算A'!AB$106=1,DV37,1)</f>
        <v/>
      </c>
      <c r="NC37">
        <f>IF('計算A'!AC$106=1,DW37,1)</f>
        <v/>
      </c>
      <c r="ND37">
        <f>IF('計算A'!AD$106=1,DX37,1)</f>
        <v/>
      </c>
      <c r="NE37">
        <f>IF('計算A'!AE$106=1,DY37,1)</f>
        <v/>
      </c>
      <c r="NF37">
        <f>IF('計算A'!AF$106=1,DZ37,1)</f>
        <v/>
      </c>
      <c r="NG37">
        <f>IF('計算A'!AG$106=1,EA37,1)</f>
        <v/>
      </c>
      <c r="NH37">
        <f>IF('計算A'!AH$106=1,EB37,1)</f>
        <v/>
      </c>
      <c r="NI37">
        <f>IF('計算A'!AI$106=1,EC37,1)</f>
        <v/>
      </c>
      <c r="NJ37">
        <f>IF('計算A'!AJ$106=1,ED37,1)</f>
        <v/>
      </c>
      <c r="NK37">
        <f>IF('計算A'!AK$106=1,EE37,1)</f>
        <v/>
      </c>
      <c r="NL37">
        <f>IF('計算A'!AL$106=1,EF37,1)</f>
        <v/>
      </c>
      <c r="NM37">
        <f>IF('計算A'!AM$106=1,EG37,1)</f>
        <v/>
      </c>
      <c r="NN37">
        <f>IF('計算A'!AN$106=1,EH37,1)</f>
        <v/>
      </c>
      <c r="NO37">
        <f>IF('計算A'!AO$106=1,EI37,1)</f>
        <v/>
      </c>
      <c r="NP37">
        <f>IF('計算A'!AP$106=1,EJ37,1)</f>
        <v/>
      </c>
      <c r="NQ37">
        <f>IF('計算A'!AQ$106=1,EK37,1)</f>
        <v/>
      </c>
      <c r="NR37">
        <f>IF('計算A'!AR$106=1,EL37,1)</f>
        <v/>
      </c>
      <c r="NS37">
        <f>IF('計算A'!AS$106=1,EM37,1)</f>
        <v/>
      </c>
      <c r="NT37">
        <f>IF('計算A'!AT$106=1,EN37,1)</f>
        <v/>
      </c>
      <c r="NU37">
        <f>IF('計算A'!AU$106=1,EO37,1)</f>
        <v/>
      </c>
      <c r="NV37">
        <f>IF('計算A'!AV$106=1,EP37,1)</f>
        <v/>
      </c>
      <c r="NW37">
        <f>IF('計算A'!AW$106=1,EQ37,1)</f>
        <v/>
      </c>
      <c r="NX37">
        <f>IF('計算A'!AX$106=1,ER37,1)</f>
        <v/>
      </c>
      <c r="NY37">
        <f>IF('計算A'!AY$106=1,ES37,1)</f>
        <v/>
      </c>
      <c r="NZ37">
        <f>IF('計算A'!AZ$106=1,ET37,1)</f>
        <v/>
      </c>
      <c r="OA37">
        <f>IF('計算A'!BA$106=1,EU37,1)</f>
        <v/>
      </c>
      <c r="OB37">
        <f>IF('計算A'!BB$106=1,EV37,1)</f>
        <v/>
      </c>
      <c r="OC37">
        <f>IF('計算A'!BC$106=1,EW37,1)</f>
        <v/>
      </c>
      <c r="OD37">
        <f>IF('計算A'!BD$106=1,EX37,1)</f>
        <v/>
      </c>
      <c r="OE37">
        <f>IF('計算A'!BE$106=1,EY37,1)</f>
        <v/>
      </c>
      <c r="OF37">
        <f>IF('計算A'!BF$106=1,EZ37,1)</f>
        <v/>
      </c>
      <c r="OG37">
        <f>IF('計算A'!BG$106=1,FA37,1)</f>
        <v/>
      </c>
      <c r="OH37">
        <f>IF('計算A'!BH$106=1,FB37,1)</f>
        <v/>
      </c>
      <c r="OI37">
        <f>IF('計算A'!BI$106=1,FC37,1)</f>
        <v/>
      </c>
      <c r="OJ37">
        <f>IF('計算A'!BJ$106=1,FD37,1)</f>
        <v/>
      </c>
      <c r="OK37">
        <f>IF('計算A'!BK$106=1,FE37,1)</f>
        <v/>
      </c>
      <c r="OL37">
        <f>IF('計算A'!BL$106=1,FF37,1)</f>
        <v/>
      </c>
      <c r="OM37">
        <f>IF('計算A'!BM$106=1,FG37,1)</f>
        <v/>
      </c>
      <c r="ON37">
        <f>IF('計算A'!BN$106=1,FH37,1)</f>
        <v/>
      </c>
      <c r="OO37">
        <f>IF('計算A'!BO$106=1,FI37,1)</f>
        <v/>
      </c>
      <c r="OP37">
        <f>IF('計算A'!BP$106=1,FJ37,1)</f>
        <v/>
      </c>
      <c r="OQ37">
        <f>IF('計算A'!BQ$106=1,FK37,1)</f>
        <v/>
      </c>
      <c r="OR37">
        <f>IF('計算A'!BR$106=1,FL37,1)</f>
        <v/>
      </c>
      <c r="OS37">
        <f>IF('計算A'!BS$106=1,FM37,1)</f>
        <v/>
      </c>
      <c r="OT37">
        <f>IF('計算A'!BT$106=1,FN37,1)</f>
        <v/>
      </c>
      <c r="OU37">
        <f>IF('計算A'!BU$106=1,FO37,1)</f>
        <v/>
      </c>
      <c r="OV37">
        <f>IF('計算A'!BV$106=1,FP37,1)</f>
        <v/>
      </c>
      <c r="OW37">
        <f>IF('計算A'!BW$106=1,FQ37,1)</f>
        <v/>
      </c>
      <c r="OX37">
        <f>IF('計算A'!BX$106=1,FR37,1)</f>
        <v/>
      </c>
      <c r="OY37">
        <f>IF('計算A'!BY$106=1,FS37,1)</f>
        <v/>
      </c>
      <c r="OZ37">
        <f>IF('計算A'!BZ$106=1,FT37,1)</f>
        <v/>
      </c>
      <c r="PA37">
        <f>IF('計算A'!CA$106=1,FU37,1)</f>
        <v/>
      </c>
      <c r="PB37">
        <f>IF('計算A'!CB$106=1,FV37,1)</f>
        <v/>
      </c>
      <c r="PC37">
        <f>IF('計算A'!CC$106=1,FW37,1)</f>
        <v/>
      </c>
      <c r="PD37">
        <f>IF('計算A'!CD$106=1,FX37,1)</f>
        <v/>
      </c>
      <c r="PE37">
        <f>IF('計算A'!CE$106=1,FY37,1)</f>
        <v/>
      </c>
      <c r="PF37">
        <f>IF('計算A'!CF$106=1,FZ37,1)</f>
        <v/>
      </c>
      <c r="PG37">
        <f>IF('計算A'!CG$106=1,GA37,1)</f>
        <v/>
      </c>
      <c r="PH37">
        <f>IF('計算A'!CH$106=1,GB37,1)</f>
        <v/>
      </c>
      <c r="PI37">
        <f>IF('計算A'!CI$106=1,GC37,1)</f>
        <v/>
      </c>
      <c r="PJ37">
        <f>IF('計算A'!CJ$106=1,GD37,1)</f>
        <v/>
      </c>
      <c r="PK37">
        <f>IF('計算A'!CK$106=1,GE37,1)</f>
        <v/>
      </c>
      <c r="PL37">
        <f>IF('計算A'!CL$106=1,GF37,1)</f>
        <v/>
      </c>
      <c r="PM37">
        <f>IF('計算A'!CM$106=1,GG37,1)</f>
        <v/>
      </c>
      <c r="PN37">
        <f>IF('計算A'!CN$106=1,GH37,1)</f>
        <v/>
      </c>
      <c r="PO37">
        <f>IF('計算A'!CO$106=1,GI37,1)</f>
        <v/>
      </c>
      <c r="PP37">
        <f>IF('計算A'!CP$106=1,GJ37,1)</f>
        <v/>
      </c>
      <c r="PQ37">
        <f>IF('計算A'!CQ$106=1,GK37,1)</f>
        <v/>
      </c>
      <c r="PR37">
        <f>IF('計算A'!CR$106=1,GL37,1)</f>
        <v/>
      </c>
      <c r="PS37">
        <f>IF('計算A'!CS$106=1,GM37,1)</f>
        <v/>
      </c>
      <c r="PT37">
        <f>IF('計算A'!CT$106=1,GN37,1)</f>
        <v/>
      </c>
      <c r="PU37">
        <f>IF('計算A'!CU$106=1,GO37,1)</f>
        <v/>
      </c>
      <c r="PV37">
        <f>IF('計算A'!CV$106=1,GP37,1)</f>
        <v/>
      </c>
      <c r="PW37">
        <f>IF('計算A'!CW$106=1,GQ37,1)</f>
        <v/>
      </c>
      <c r="PX37">
        <f>IF('計算A'!CX$106=1,GR37,1)</f>
        <v/>
      </c>
      <c r="PY37">
        <f>IF('計算A'!CY$106=1,GS37,1)</f>
        <v/>
      </c>
      <c r="PZ37">
        <f>IF('計算A'!CZ$106=1,GT37,1)</f>
        <v/>
      </c>
      <c r="QA37">
        <f>IF('計算A'!DA$106=1,GU37,1)</f>
        <v/>
      </c>
      <c r="QB37">
        <f>IF('計算A'!DB$106=1,GV37,1)</f>
        <v/>
      </c>
      <c r="QC37">
        <f>IF('計算A'!DC$106=1,GW37,1)</f>
        <v/>
      </c>
      <c r="QD37">
        <f>IF('計算A'!DD$106=1,GX37,1)</f>
        <v/>
      </c>
      <c r="QE37">
        <f>IF('計算A'!DE$106=1,GY37,1)</f>
        <v/>
      </c>
      <c r="QF37">
        <f>IF('計算A'!DF$106=1,GZ37,1)</f>
        <v/>
      </c>
      <c r="QG37">
        <f>IF('計算A'!DG$106=1,HA37,1)</f>
        <v/>
      </c>
      <c r="QH37">
        <f>IF('計算A'!DH$106=1,HB37,1)</f>
        <v/>
      </c>
      <c r="QI37">
        <f>IF('計算A'!DI$106=1,HC37,1)</f>
        <v/>
      </c>
      <c r="QJ37">
        <f>IF('計算A'!DJ$106=1,HD37,1)</f>
        <v/>
      </c>
      <c r="QK37">
        <f>IF('計算A'!DK$106=1,HE37,1)</f>
        <v/>
      </c>
      <c r="QL37">
        <f>IF('計算A'!DL$106=1,HF37,1)</f>
        <v/>
      </c>
      <c r="QM37">
        <f>IF('計算A'!DM$106=1,HG37,1)</f>
        <v/>
      </c>
      <c r="QN37">
        <f>IF('計算A'!DN$106=1,HH37,1)</f>
        <v/>
      </c>
      <c r="QO37">
        <f>IF('計算A'!DO$106=1,HI37,1)</f>
        <v/>
      </c>
      <c r="QP37">
        <f>IF('計算A'!DP$106=1,HJ37,1)</f>
        <v/>
      </c>
      <c r="QQ37">
        <f>IF('計算A'!DQ$106=1,HK37,1)</f>
        <v/>
      </c>
      <c r="QR37">
        <f>IF('計算A'!DR$106=1,HL37,1)</f>
        <v/>
      </c>
      <c r="QS37">
        <f>IF('計算A'!DS$106=1,HM37,1)</f>
        <v/>
      </c>
      <c r="QT37">
        <f>IF('計算A'!DT$106=1,HN37,1)</f>
        <v/>
      </c>
      <c r="QU37">
        <f>IF('計算A'!DU$106=1,HO37,1)</f>
        <v/>
      </c>
      <c r="QV37">
        <f>IF('計算A'!DV$106=1,HP37,1)</f>
        <v/>
      </c>
      <c r="QW37">
        <f>IF('計算A'!DW$106=1,HQ37,1)</f>
        <v/>
      </c>
      <c r="QX37">
        <f>IF('計算A'!DX$106=1,HR37,1)</f>
        <v/>
      </c>
      <c r="QY37">
        <f>IF('計算A'!DY$106=1,HS37,1)</f>
        <v/>
      </c>
      <c r="QZ37">
        <f>IF('計算A'!DZ$106=1,HT37,1)</f>
        <v/>
      </c>
      <c r="RA37">
        <f>IF('計算A'!EA$106=1,HU37,1)</f>
        <v/>
      </c>
      <c r="RB37">
        <f>IF('計算A'!EB$106=1,HV37,1)</f>
        <v/>
      </c>
      <c r="RC37">
        <f>IF('計算A'!EC$106=1,HW37,1)</f>
        <v/>
      </c>
      <c r="RD37">
        <f>IF('計算A'!ED$106=1,HX37,1)</f>
        <v/>
      </c>
      <c r="RE37">
        <f>IF('計算A'!EE$106=1,HY37,1)</f>
        <v/>
      </c>
      <c r="RF37">
        <f>IF('計算A'!EF$106=1,HZ37,1)</f>
        <v/>
      </c>
      <c r="RG37">
        <f>IF('計算A'!EG$106=1,IA37,1)</f>
        <v/>
      </c>
      <c r="RH37">
        <f>IF('計算A'!EH$106=1,IB37,1)</f>
        <v/>
      </c>
      <c r="RI37">
        <f>IF('計算A'!EI$106=1,IC37,1)</f>
        <v/>
      </c>
      <c r="RJ37">
        <f>IF('計算A'!EJ$106=1,ID37,1)</f>
        <v/>
      </c>
      <c r="RK37">
        <f>IF('計算A'!EK$106=1,IE37,1)</f>
        <v/>
      </c>
      <c r="RL37">
        <f>IF('計算A'!EL$106=1,IF37,1)</f>
        <v/>
      </c>
      <c r="RM37">
        <f>IF('計算A'!EM$106=1,IG37,1)</f>
        <v/>
      </c>
      <c r="RN37">
        <f>IF('計算A'!EN$106=1,IH37,1)</f>
        <v/>
      </c>
      <c r="RO37">
        <f>IF('計算A'!EO$106=1,II37,1)</f>
        <v/>
      </c>
      <c r="RP37">
        <f>IF('計算A'!EP$106=1,IJ37,1)</f>
        <v/>
      </c>
      <c r="RQ37">
        <f>IF('計算A'!EQ$106=1,IK37,1)</f>
        <v/>
      </c>
      <c r="RR37">
        <f>IF('計算A'!ER$106=1,IL37,1)</f>
        <v/>
      </c>
      <c r="RS37">
        <f>IF('計算A'!ES$106=1,IM37,1)</f>
        <v/>
      </c>
      <c r="RT37">
        <f>IF('計算A'!ET$106=1,IN37,1)</f>
        <v/>
      </c>
      <c r="RU37">
        <f>IF('計算A'!EU$106=1,IO37,1)</f>
        <v/>
      </c>
      <c r="RV37">
        <f>IF('計算A'!EV$106=1,IP37,1)</f>
        <v/>
      </c>
      <c r="RW37">
        <f>IF('計算A'!EW$106=1,IQ37,1)</f>
        <v/>
      </c>
      <c r="RX37">
        <f>IF('計算A'!EX$106=1,IR37,1)</f>
        <v/>
      </c>
      <c r="RY37">
        <f>IF('計算A'!EY$106=1,IS37,1)</f>
        <v/>
      </c>
      <c r="RZ37">
        <f>IF('計算A'!EZ$106=1,IT37,1)</f>
        <v/>
      </c>
      <c r="SA37">
        <f>IF('計算A'!FA$106=1,IU37,1)</f>
        <v/>
      </c>
      <c r="SB37">
        <f>IF('計算A'!FB$106=1,IV37,1)</f>
        <v/>
      </c>
      <c r="SC37">
        <f>IF('計算A'!FC$106=1,IW37,1)</f>
        <v/>
      </c>
      <c r="SD37">
        <f>IF('計算A'!FD$106=1,IX37,1)</f>
        <v/>
      </c>
      <c r="SE37">
        <f>IF('計算A'!FE$106=1,IY37,1)</f>
        <v/>
      </c>
      <c r="SF37">
        <f>IF('計算A'!FF$106=1,IZ37,1)</f>
        <v/>
      </c>
      <c r="SG37">
        <f>IF('計算A'!FG$106=1,JA37,1)</f>
        <v/>
      </c>
      <c r="SH37">
        <f>IF('計算A'!FH$106=1,JB37,1)</f>
        <v/>
      </c>
      <c r="SI37">
        <f>IF('計算A'!FI$106=1,JC37,1)</f>
        <v/>
      </c>
      <c r="SJ37">
        <f>IF('計算A'!FJ$106=1,JD37,1)</f>
        <v/>
      </c>
      <c r="SK37">
        <f>IF('計算A'!FK$106=1,JE37,1)</f>
        <v/>
      </c>
      <c r="SL37">
        <f>IF('計算A'!FL$106=1,JF37,1)</f>
        <v/>
      </c>
      <c r="SM37">
        <f>IF('計算A'!FM$106=1,JG37,1)</f>
        <v/>
      </c>
      <c r="SN37">
        <f>IF('計算A'!FN$106=1,JH37,1)</f>
        <v/>
      </c>
      <c r="SO37">
        <f>IF('計算A'!FO$106=1,JI37,1)</f>
        <v/>
      </c>
      <c r="SP37">
        <f>IF('計算A'!FP$106=1,JJ37,1)</f>
        <v/>
      </c>
      <c r="SQ37">
        <f>IF('計算A'!FQ$106=1,JK37,1)</f>
        <v/>
      </c>
      <c r="SR37">
        <f>IF('計算A'!FR$106=1,JL37,1)</f>
        <v/>
      </c>
      <c r="SS37">
        <f>IF('計算A'!FS$106=1,JM37,1)</f>
        <v/>
      </c>
      <c r="ST37">
        <f>IF('計算A'!FT$106=1,JN37,1)</f>
        <v/>
      </c>
      <c r="SU37">
        <f>IF('計算A'!FU$106=1,JO37,1)</f>
        <v/>
      </c>
      <c r="SV37">
        <f>IF('計算A'!FV$106=1,JP37,1)</f>
        <v/>
      </c>
      <c r="SW37">
        <f>IF('計算A'!FW$106=1,JQ37,1)</f>
        <v/>
      </c>
      <c r="SX37">
        <f>IF('計算A'!FX$106=1,JR37,1)</f>
        <v/>
      </c>
      <c r="SY37">
        <f>IF('計算A'!FY$106=1,JS37,1)</f>
        <v/>
      </c>
      <c r="SZ37">
        <f>IF('計算A'!FZ$106=1,JT37,1)</f>
        <v/>
      </c>
      <c r="TA37">
        <f>IF('計算A'!GA$106=1,JU37,1)</f>
        <v/>
      </c>
      <c r="TB37">
        <f>IF('計算A'!GB$106=1,JV37,1)</f>
        <v/>
      </c>
      <c r="TC37">
        <f>IF('計算A'!GC$106=1,JW37,1)</f>
        <v/>
      </c>
      <c r="TD37">
        <f>IF('計算A'!GD$106=1,JX37,1)</f>
        <v/>
      </c>
      <c r="TE37">
        <f>IF('計算A'!GE$106=1,JY37,1)</f>
        <v/>
      </c>
      <c r="TF37">
        <f>IF('計算A'!GF$106=1,JZ37,1)</f>
        <v/>
      </c>
      <c r="TG37">
        <f>IF('計算A'!GG$106=1,KA37,1)</f>
        <v/>
      </c>
      <c r="TH37">
        <f>IF('計算A'!GH$106=1,KB37,1)</f>
        <v/>
      </c>
      <c r="TI37">
        <f>IF('計算A'!GI$106=1,KC37,1)</f>
        <v/>
      </c>
      <c r="TJ37">
        <f>IF('計算A'!GJ$106=1,KD37,1)</f>
        <v/>
      </c>
      <c r="TK37">
        <f>IF('計算A'!GK$106=1,KE37,1)</f>
        <v/>
      </c>
      <c r="TL37">
        <f>IF('計算A'!GL$106=1,KF37,1)</f>
        <v/>
      </c>
      <c r="TM37">
        <f>IF('計算A'!GM$106=1,KG37,1)</f>
        <v/>
      </c>
      <c r="TN37">
        <f>IF('計算A'!GN$106=1,KH37,1)</f>
        <v/>
      </c>
      <c r="TO37">
        <f>IF('計算A'!GO$106=1,KI37,1)</f>
        <v/>
      </c>
      <c r="TP37">
        <f>IF('計算A'!GP$106=1,KJ37,1)</f>
        <v/>
      </c>
      <c r="TQ37">
        <f>IF('計算A'!GQ$106=1,KK37,1)</f>
        <v/>
      </c>
      <c r="TR37">
        <f>IF('計算A'!GR$106=1,KL37,1)</f>
        <v/>
      </c>
      <c r="TS37">
        <f>IF('計算A'!GS$106=1,KM37,1)</f>
        <v/>
      </c>
      <c r="TT37">
        <f>IF('計算A'!GT$106=1,KN37,1)</f>
        <v/>
      </c>
      <c r="TU37">
        <f>IF('計算A'!GU$106=1,KO37,1)</f>
        <v/>
      </c>
      <c r="TV37">
        <f>IF('計算A'!GV$106=1,KP37,1)</f>
        <v/>
      </c>
      <c r="TW37">
        <f>IF('計算A'!GW$106=1,KQ37,1)</f>
        <v/>
      </c>
      <c r="TX37">
        <f>IF('計算A'!GX$106=1,KR37,1)</f>
        <v/>
      </c>
      <c r="TY37">
        <f>IF('計算A'!GY$106=1,KS37,1)</f>
        <v/>
      </c>
      <c r="TZ37">
        <f>IF('計算A'!GZ$106=1,KT37,1)</f>
        <v/>
      </c>
      <c r="UA37">
        <f>IF('計算A'!HA$106=1,KU37,1)</f>
        <v/>
      </c>
      <c r="UB37">
        <f>IF('計算A'!HB$106=1,KV37,1)</f>
        <v/>
      </c>
      <c r="UC37">
        <f>IF('計算A'!HC$106=1,KW37,1)</f>
        <v/>
      </c>
      <c r="UD37">
        <f>IF('計算A'!HD$106=1,KX37,1)</f>
        <v/>
      </c>
      <c r="UE37">
        <f>IF('計算A'!HE$106=1,KY37,1)</f>
        <v/>
      </c>
      <c r="UF37">
        <f>IF('計算A'!HF$106=1,KZ37,1)</f>
        <v/>
      </c>
      <c r="UG37">
        <f>IF('計算A'!HG$106=1,LA37,1)</f>
        <v/>
      </c>
      <c r="UH37">
        <f>IF('計算A'!HH$106=1,LB37,1)</f>
        <v/>
      </c>
      <c r="UI37">
        <f>IF('計算A'!HI$106=1,LC37,1)</f>
        <v/>
      </c>
      <c r="UJ37">
        <f>IF('計算A'!HJ$106=1,LD37,1)</f>
        <v/>
      </c>
      <c r="UK37">
        <f>IF('計算A'!HK$106=1,LE37,1)</f>
        <v/>
      </c>
      <c r="UL37">
        <f>IF('計算A'!HL$106=1,LF37,1)</f>
        <v/>
      </c>
      <c r="UM37">
        <f>IF('計算A'!HM$106=1,LG37,1)</f>
        <v/>
      </c>
      <c r="UN37">
        <f>IF('計算A'!HN$106=1,LH37,1)</f>
        <v/>
      </c>
      <c r="UO37">
        <f>IF('計算A'!HO$106=1,LI37,1)</f>
        <v/>
      </c>
      <c r="UP37">
        <f>IF('計算A'!HP$106=1,LJ37,1)</f>
        <v/>
      </c>
      <c r="UQ37">
        <f>IF('計算A'!HQ$106=1,LK37,1)</f>
        <v/>
      </c>
      <c r="UR37">
        <f>IF('計算A'!HR$106=1,LL37,1)</f>
        <v/>
      </c>
      <c r="US37">
        <f>IF('計算A'!HS$106=1,LM37,1)</f>
        <v/>
      </c>
      <c r="UT37">
        <f>IF('計算A'!HT$106=1,LN37,1)</f>
        <v/>
      </c>
      <c r="UU37">
        <f>IF('計算A'!HU$106=1,LO37,1)</f>
        <v/>
      </c>
      <c r="UV37">
        <f>IF('計算A'!HV$106=1,LP37,1)</f>
        <v/>
      </c>
      <c r="UW37">
        <f>IF('計算A'!HW$106=1,LQ37,1)</f>
        <v/>
      </c>
      <c r="UX37">
        <f>IF('計算A'!HX$106=1,LR37,1)</f>
        <v/>
      </c>
      <c r="UY37">
        <f>IF('計算A'!HY$106=1,LS37,1)</f>
        <v/>
      </c>
      <c r="UZ37">
        <f>IF('計算A'!HZ$106=1,LT37,1)</f>
        <v/>
      </c>
      <c r="VA37">
        <f>IF('計算A'!IA$106=1,LU37,1)</f>
        <v/>
      </c>
      <c r="VB37">
        <f>IF('計算A'!IB$106=1,LV37,1)</f>
        <v/>
      </c>
      <c r="VC37">
        <f>IF('計算A'!IC$106=1,LW37,1)</f>
        <v/>
      </c>
      <c r="VD37">
        <f>IF('計算A'!ID$106=1,LX37,1)</f>
        <v/>
      </c>
      <c r="VE37">
        <f>IF('計算A'!IE$106=1,LY37,1)</f>
        <v/>
      </c>
      <c r="VF37">
        <f>IF('計算A'!IF$106=1,LZ37,1)</f>
        <v/>
      </c>
      <c r="VG37">
        <f>IF('計算A'!IG$106=1,MA37,1)</f>
        <v/>
      </c>
      <c r="VH37">
        <f>IF('計算A'!IH$106=1,MB37,1)</f>
        <v/>
      </c>
      <c r="VI37" t="n">
        <v>1</v>
      </c>
      <c r="VK37">
        <f>IF($B37=0,1000000,IF(INDEX('計算A'!$D$60:$II$104,$B37,1)*CW37=1,IF(AND($E37=2,MD37=0),1000000,INDEX('計算A'!D$110:D$114,$F37+1)+IF(AND($E37=1,MD37=0),1000,0)),1000000))</f>
        <v/>
      </c>
      <c r="VL37">
        <f>IF($B37=0,1000000,IF(INDEX('計算A'!$D$60:$II$104,$B37,2)*CX37=1,IF(AND($E37=2,ME37=0),1000000,INDEX('計算A'!E$110:E$114,$F37+1)+IF(AND($E37=1,ME37=0),1000,0)),1000000))</f>
        <v/>
      </c>
      <c r="VM37">
        <f>IF($B37=0,1000000,IF(INDEX('計算A'!$D$60:$II$104,$B37,3)*CY37=1,IF(AND($E37=2,MF37=0),1000000,INDEX('計算A'!F$110:F$114,$F37+1)+IF(AND($E37=1,MF37=0),1000,0)),1000000))</f>
        <v/>
      </c>
      <c r="VN37">
        <f>IF($B37=0,1000000,IF(INDEX('計算A'!$D$60:$II$104,$B37,4)*CZ37=1,IF(AND($E37=2,MG37=0),1000000,INDEX('計算A'!G$110:G$114,$F37+1)+IF(AND($E37=1,MG37=0),1000,0)),1000000))</f>
        <v/>
      </c>
      <c r="VO37">
        <f>IF($B37=0,1000000,IF(INDEX('計算A'!$D$60:$II$104,$B37,5)*DA37=1,IF(AND($E37=2,MH37=0),1000000,INDEX('計算A'!H$110:H$114,$F37+1)+IF(AND($E37=1,MH37=0),1000,0)),1000000))</f>
        <v/>
      </c>
      <c r="VP37">
        <f>IF($B37=0,1000000,IF(INDEX('計算A'!$D$60:$II$104,$B37,6)*DB37=1,IF(AND($E37=2,MI37=0),1000000,INDEX('計算A'!I$110:I$114,$F37+1)+IF(AND($E37=1,MI37=0),1000,0)),1000000))</f>
        <v/>
      </c>
      <c r="VQ37">
        <f>IF($B37=0,1000000,IF(INDEX('計算A'!$D$60:$II$104,$B37,7)*DC37=1,IF(AND($E37=2,MJ37=0),1000000,INDEX('計算A'!J$110:J$114,$F37+1)+IF(AND($E37=1,MJ37=0),1000,0)),1000000))</f>
        <v/>
      </c>
      <c r="VR37">
        <f>IF($B37=0,1000000,IF(INDEX('計算A'!$D$60:$II$104,$B37,8)*DD37=1,IF(AND($E37=2,MK37=0),1000000,INDEX('計算A'!K$110:K$114,$F37+1)+IF(AND($E37=1,MK37=0),1000,0)),1000000))</f>
        <v/>
      </c>
      <c r="VS37">
        <f>IF($B37=0,1000000,IF(INDEX('計算A'!$D$60:$II$104,$B37,9)*DE37=1,IF(AND($E37=2,ML37=0),1000000,INDEX('計算A'!L$110:L$114,$F37+1)+IF(AND($E37=1,ML37=0),1000,0)),1000000))</f>
        <v/>
      </c>
      <c r="VT37">
        <f>IF($B37=0,1000000,IF(INDEX('計算A'!$D$60:$II$104,$B37,10)*DF37=1,IF(AND($E37=2,MM37=0),1000000,INDEX('計算A'!M$110:M$114,$F37+1)+IF(AND($E37=1,MM37=0),1000,0)),1000000))</f>
        <v/>
      </c>
      <c r="VU37">
        <f>IF($B37=0,1000000,IF(INDEX('計算A'!$D$60:$II$104,$B37,11)*DG37=1,IF(AND($E37=2,MN37=0),1000000,INDEX('計算A'!N$110:N$114,$F37+1)+IF(AND($E37=1,MN37=0),1000,0)),1000000))</f>
        <v/>
      </c>
      <c r="VV37">
        <f>IF($B37=0,1000000,IF(INDEX('計算A'!$D$60:$II$104,$B37,12)*DH37=1,IF(AND($E37=2,MO37=0),1000000,INDEX('計算A'!O$110:O$114,$F37+1)+IF(AND($E37=1,MO37=0),1000,0)),1000000))</f>
        <v/>
      </c>
      <c r="VW37">
        <f>IF($B37=0,1000000,IF(INDEX('計算A'!$D$60:$II$104,$B37,13)*DI37=1,IF(AND($E37=2,MP37=0),1000000,INDEX('計算A'!P$110:P$114,$F37+1)+IF(AND($E37=1,MP37=0),1000,0)),1000000))</f>
        <v/>
      </c>
      <c r="VX37">
        <f>IF($B37=0,1000000,IF(INDEX('計算A'!$D$60:$II$104,$B37,14)*DJ37=1,IF(AND($E37=2,MQ37=0),1000000,INDEX('計算A'!Q$110:Q$114,$F37+1)+IF(AND($E37=1,MQ37=0),1000,0)),1000000))</f>
        <v/>
      </c>
      <c r="VY37">
        <f>IF($B37=0,1000000,IF(INDEX('計算A'!$D$60:$II$104,$B37,15)*DK37=1,IF(AND($E37=2,MR37=0),1000000,INDEX('計算A'!R$110:R$114,$F37+1)+IF(AND($E37=1,MR37=0),1000,0)),1000000))</f>
        <v/>
      </c>
      <c r="VZ37">
        <f>IF($B37=0,1000000,IF(INDEX('計算A'!$D$60:$II$104,$B37,16)*DL37=1,IF(AND($E37=2,MS37=0),1000000,INDEX('計算A'!S$110:S$114,$F37+1)+IF(AND($E37=1,MS37=0),1000,0)),1000000))</f>
        <v/>
      </c>
      <c r="WA37">
        <f>IF($B37=0,1000000,IF(INDEX('計算A'!$D$60:$II$104,$B37,17)*DM37=1,IF(AND($E37=2,MT37=0),1000000,INDEX('計算A'!T$110:T$114,$F37+1)+IF(AND($E37=1,MT37=0),1000,0)),1000000))</f>
        <v/>
      </c>
      <c r="WB37">
        <f>IF($B37=0,1000000,IF(INDEX('計算A'!$D$60:$II$104,$B37,18)*DN37=1,IF(AND($E37=2,MU37=0),1000000,INDEX('計算A'!U$110:U$114,$F37+1)+IF(AND($E37=1,MU37=0),1000,0)),1000000))</f>
        <v/>
      </c>
      <c r="WC37">
        <f>IF($B37=0,1000000,IF(INDEX('計算A'!$D$60:$II$104,$B37,19)*DO37=1,IF(AND($E37=2,MV37=0),1000000,INDEX('計算A'!V$110:V$114,$F37+1)+IF(AND($E37=1,MV37=0),1000,0)),1000000))</f>
        <v/>
      </c>
      <c r="WD37">
        <f>IF($B37=0,1000000,IF(INDEX('計算A'!$D$60:$II$104,$B37,20)*DP37=1,IF(AND($E37=2,MW37=0),1000000,INDEX('計算A'!W$110:W$114,$F37+1)+IF(AND($E37=1,MW37=0),1000,0)),1000000))</f>
        <v/>
      </c>
      <c r="WE37">
        <f>IF($B37=0,1000000,IF(INDEX('計算A'!$D$60:$II$104,$B37,21)*DQ37=1,IF(AND($E37=2,MX37=0),1000000,INDEX('計算A'!X$110:X$114,$F37+1)+IF(AND($E37=1,MX37=0),1000,0)),1000000))</f>
        <v/>
      </c>
      <c r="WF37">
        <f>IF($B37=0,1000000,IF(INDEX('計算A'!$D$60:$II$104,$B37,22)*DR37=1,IF(AND($E37=2,MY37=0),1000000,INDEX('計算A'!Y$110:Y$114,$F37+1)+IF(AND($E37=1,MY37=0),1000,0)),1000000))</f>
        <v/>
      </c>
      <c r="WG37">
        <f>IF($B37=0,1000000,IF(INDEX('計算A'!$D$60:$II$104,$B37,23)*DS37=1,IF(AND($E37=2,MZ37=0),1000000,INDEX('計算A'!Z$110:Z$114,$F37+1)+IF(AND($E37=1,MZ37=0),1000,0)),1000000))</f>
        <v/>
      </c>
      <c r="WH37">
        <f>IF($B37=0,1000000,IF(INDEX('計算A'!$D$60:$II$104,$B37,24)*DT37=1,IF(AND($E37=2,NA37=0),1000000,INDEX('計算A'!AA$110:AA$114,$F37+1)+IF(AND($E37=1,NA37=0),1000,0)),1000000))</f>
        <v/>
      </c>
      <c r="WI37">
        <f>IF($B37=0,1000000,IF(INDEX('計算A'!$D$60:$II$104,$B37,25)*DU37=1,IF(AND($E37=2,NB37=0),1000000,INDEX('計算A'!AB$110:AB$114,$F37+1)+IF(AND($E37=1,NB37=0),1000,0)),1000000))</f>
        <v/>
      </c>
      <c r="WJ37">
        <f>IF($B37=0,1000000,IF(INDEX('計算A'!$D$60:$II$104,$B37,26)*DV37=1,IF(AND($E37=2,NC37=0),1000000,INDEX('計算A'!AC$110:AC$114,$F37+1)+IF(AND($E37=1,NC37=0),1000,0)),1000000))</f>
        <v/>
      </c>
      <c r="WK37">
        <f>IF($B37=0,1000000,IF(INDEX('計算A'!$D$60:$II$104,$B37,27)*DW37=1,IF(AND($E37=2,ND37=0),1000000,INDEX('計算A'!AD$110:AD$114,$F37+1)+IF(AND($E37=1,ND37=0),1000,0)),1000000))</f>
        <v/>
      </c>
      <c r="WL37">
        <f>IF($B37=0,1000000,IF(INDEX('計算A'!$D$60:$II$104,$B37,28)*DX37=1,IF(AND($E37=2,NE37=0),1000000,INDEX('計算A'!AE$110:AE$114,$F37+1)+IF(AND($E37=1,NE37=0),1000,0)),1000000))</f>
        <v/>
      </c>
      <c r="WM37">
        <f>IF($B37=0,1000000,IF(INDEX('計算A'!$D$60:$II$104,$B37,29)*DY37=1,IF(AND($E37=2,NF37=0),1000000,INDEX('計算A'!AF$110:AF$114,$F37+1)+IF(AND($E37=1,NF37=0),1000,0)),1000000))</f>
        <v/>
      </c>
      <c r="WN37">
        <f>IF($B37=0,1000000,IF(INDEX('計算A'!$D$60:$II$104,$B37,30)*DZ37=1,IF(AND($E37=2,NG37=0),1000000,INDEX('計算A'!AG$110:AG$114,$F37+1)+IF(AND($E37=1,NG37=0),1000,0)),1000000))</f>
        <v/>
      </c>
      <c r="WO37">
        <f>IF($B37=0,1000000,IF(INDEX('計算A'!$D$60:$II$104,$B37,31)*EA37=1,IF(AND($E37=2,NH37=0),1000000,INDEX('計算A'!AH$110:AH$114,$F37+1)+IF(AND($E37=1,NH37=0),1000,0)),1000000))</f>
        <v/>
      </c>
      <c r="WP37">
        <f>IF($B37=0,1000000,IF(INDEX('計算A'!$D$60:$II$104,$B37,32)*EB37=1,IF(AND($E37=2,NI37=0),1000000,INDEX('計算A'!AI$110:AI$114,$F37+1)+IF(AND($E37=1,NI37=0),1000,0)),1000000))</f>
        <v/>
      </c>
      <c r="WQ37">
        <f>IF($B37=0,1000000,IF(INDEX('計算A'!$D$60:$II$104,$B37,33)*EC37=1,IF(AND($E37=2,NJ37=0),1000000,INDEX('計算A'!AJ$110:AJ$114,$F37+1)+IF(AND($E37=1,NJ37=0),1000,0)),1000000))</f>
        <v/>
      </c>
      <c r="WR37">
        <f>IF($B37=0,1000000,IF(INDEX('計算A'!$D$60:$II$104,$B37,34)*ED37=1,IF(AND($E37=2,NK37=0),1000000,INDEX('計算A'!AK$110:AK$114,$F37+1)+IF(AND($E37=1,NK37=0),1000,0)),1000000))</f>
        <v/>
      </c>
      <c r="WS37">
        <f>IF($B37=0,1000000,IF(INDEX('計算A'!$D$60:$II$104,$B37,35)*EE37=1,IF(AND($E37=2,NL37=0),1000000,INDEX('計算A'!AL$110:AL$114,$F37+1)+IF(AND($E37=1,NL37=0),1000,0)),1000000))</f>
        <v/>
      </c>
      <c r="WT37">
        <f>IF($B37=0,1000000,IF(INDEX('計算A'!$D$60:$II$104,$B37,36)*EF37=1,IF(AND($E37=2,NM37=0),1000000,INDEX('計算A'!AM$110:AM$114,$F37+1)+IF(AND($E37=1,NM37=0),1000,0)),1000000))</f>
        <v/>
      </c>
      <c r="WU37">
        <f>IF($B37=0,1000000,IF(INDEX('計算A'!$D$60:$II$104,$B37,37)*EG37=1,IF(AND($E37=2,NN37=0),1000000,INDEX('計算A'!AN$110:AN$114,$F37+1)+IF(AND($E37=1,NN37=0),1000,0)),1000000))</f>
        <v/>
      </c>
      <c r="WV37">
        <f>IF($B37=0,1000000,IF(INDEX('計算A'!$D$60:$II$104,$B37,38)*EH37=1,IF(AND($E37=2,NO37=0),1000000,INDEX('計算A'!AO$110:AO$114,$F37+1)+IF(AND($E37=1,NO37=0),1000,0)),1000000))</f>
        <v/>
      </c>
      <c r="WW37">
        <f>IF($B37=0,1000000,IF(INDEX('計算A'!$D$60:$II$104,$B37,39)*EI37=1,IF(AND($E37=2,NP37=0),1000000,INDEX('計算A'!AP$110:AP$114,$F37+1)+IF(AND($E37=1,NP37=0),1000,0)),1000000))</f>
        <v/>
      </c>
      <c r="WX37">
        <f>IF($B37=0,1000000,IF(INDEX('計算A'!$D$60:$II$104,$B37,40)*EJ37=1,IF(AND($E37=2,NQ37=0),1000000,INDEX('計算A'!AQ$110:AQ$114,$F37+1)+IF(AND($E37=1,NQ37=0),1000,0)),1000000))</f>
        <v/>
      </c>
      <c r="WY37">
        <f>IF($B37=0,1000000,IF(INDEX('計算A'!$D$60:$II$104,$B37,41)*EK37=1,IF(AND($E37=2,NR37=0),1000000,INDEX('計算A'!AR$110:AR$114,$F37+1)+IF(AND($E37=1,NR37=0),1000,0)),1000000))</f>
        <v/>
      </c>
      <c r="WZ37">
        <f>IF($B37=0,1000000,IF(INDEX('計算A'!$D$60:$II$104,$B37,42)*EL37=1,IF(AND($E37=2,NS37=0),1000000,INDEX('計算A'!AS$110:AS$114,$F37+1)+IF(AND($E37=1,NS37=0),1000,0)),1000000))</f>
        <v/>
      </c>
      <c r="XA37">
        <f>IF($B37=0,1000000,IF(INDEX('計算A'!$D$60:$II$104,$B37,43)*EM37=1,IF(AND($E37=2,NT37=0),1000000,INDEX('計算A'!AT$110:AT$114,$F37+1)+IF(AND($E37=1,NT37=0),1000,0)),1000000))</f>
        <v/>
      </c>
      <c r="XB37">
        <f>IF($B37=0,1000000,IF(INDEX('計算A'!$D$60:$II$104,$B37,44)*EN37=1,IF(AND($E37=2,NU37=0),1000000,INDEX('計算A'!AU$110:AU$114,$F37+1)+IF(AND($E37=1,NU37=0),1000,0)),1000000))</f>
        <v/>
      </c>
      <c r="XC37">
        <f>IF($B37=0,1000000,IF(INDEX('計算A'!$D$60:$II$104,$B37,45)*EO37=1,IF(AND($E37=2,NV37=0),1000000,INDEX('計算A'!AV$110:AV$114,$F37+1)+IF(AND($E37=1,NV37=0),1000,0)),1000000))</f>
        <v/>
      </c>
      <c r="XD37">
        <f>IF($B37=0,1000000,IF(INDEX('計算A'!$D$60:$II$104,$B37,46)*EP37=1,IF(AND($E37=2,NW37=0),1000000,INDEX('計算A'!AW$110:AW$114,$F37+1)+IF(AND($E37=1,NW37=0),1000,0)),1000000))</f>
        <v/>
      </c>
      <c r="XE37">
        <f>IF($B37=0,1000000,IF(INDEX('計算A'!$D$60:$II$104,$B37,47)*EQ37=1,IF(AND($E37=2,NX37=0),1000000,INDEX('計算A'!AX$110:AX$114,$F37+1)+IF(AND($E37=1,NX37=0),1000,0)),1000000))</f>
        <v/>
      </c>
      <c r="XF37">
        <f>IF($B37=0,1000000,IF(INDEX('計算A'!$D$60:$II$104,$B37,48)*ER37=1,IF(AND($E37=2,NY37=0),1000000,INDEX('計算A'!AY$110:AY$114,$F37+1)+IF(AND($E37=1,NY37=0),1000,0)),1000000))</f>
        <v/>
      </c>
      <c r="XG37">
        <f>IF($B37=0,1000000,IF(INDEX('計算A'!$D$60:$II$104,$B37,49)*ES37=1,IF(AND($E37=2,NZ37=0),1000000,INDEX('計算A'!AZ$110:AZ$114,$F37+1)+IF(AND($E37=1,NZ37=0),1000,0)),1000000))</f>
        <v/>
      </c>
      <c r="XH37">
        <f>IF($B37=0,1000000,IF(INDEX('計算A'!$D$60:$II$104,$B37,50)*ET37=1,IF(AND($E37=2,OA37=0),1000000,INDEX('計算A'!BA$110:BA$114,$F37+1)+IF(AND($E37=1,OA37=0),1000,0)),1000000))</f>
        <v/>
      </c>
      <c r="XI37">
        <f>IF($B37=0,1000000,IF(INDEX('計算A'!$D$60:$II$104,$B37,51)*EU37=1,IF(AND($E37=2,OB37=0),1000000,INDEX('計算A'!BB$110:BB$114,$F37+1)+IF(AND($E37=1,OB37=0),1000,0)),1000000))</f>
        <v/>
      </c>
      <c r="XJ37">
        <f>IF($B37=0,1000000,IF(INDEX('計算A'!$D$60:$II$104,$B37,52)*EV37=1,IF(AND($E37=2,OC37=0),1000000,INDEX('計算A'!BC$110:BC$114,$F37+1)+IF(AND($E37=1,OC37=0),1000,0)),1000000))</f>
        <v/>
      </c>
      <c r="XK37">
        <f>IF($B37=0,1000000,IF(INDEX('計算A'!$D$60:$II$104,$B37,53)*EW37=1,IF(AND($E37=2,OD37=0),1000000,INDEX('計算A'!BD$110:BD$114,$F37+1)+IF(AND($E37=1,OD37=0),1000,0)),1000000))</f>
        <v/>
      </c>
      <c r="XL37">
        <f>IF($B37=0,1000000,IF(INDEX('計算A'!$D$60:$II$104,$B37,54)*EX37=1,IF(AND($E37=2,OE37=0),1000000,INDEX('計算A'!BE$110:BE$114,$F37+1)+IF(AND($E37=1,OE37=0),1000,0)),1000000))</f>
        <v/>
      </c>
      <c r="XM37">
        <f>IF($B37=0,1000000,IF(INDEX('計算A'!$D$60:$II$104,$B37,55)*EY37=1,IF(AND($E37=2,OF37=0),1000000,INDEX('計算A'!BF$110:BF$114,$F37+1)+IF(AND($E37=1,OF37=0),1000,0)),1000000))</f>
        <v/>
      </c>
      <c r="XN37">
        <f>IF($B37=0,1000000,IF(INDEX('計算A'!$D$60:$II$104,$B37,56)*EZ37=1,IF(AND($E37=2,OG37=0),1000000,INDEX('計算A'!BG$110:BG$114,$F37+1)+IF(AND($E37=1,OG37=0),1000,0)),1000000))</f>
        <v/>
      </c>
      <c r="XO37">
        <f>IF($B37=0,1000000,IF(INDEX('計算A'!$D$60:$II$104,$B37,57)*FA37=1,IF(AND($E37=2,OH37=0),1000000,INDEX('計算A'!BH$110:BH$114,$F37+1)+IF(AND($E37=1,OH37=0),1000,0)),1000000))</f>
        <v/>
      </c>
      <c r="XP37">
        <f>IF($B37=0,1000000,IF(INDEX('計算A'!$D$60:$II$104,$B37,58)*FB37=1,IF(AND($E37=2,OI37=0),1000000,INDEX('計算A'!BI$110:BI$114,$F37+1)+IF(AND($E37=1,OI37=0),1000,0)),1000000))</f>
        <v/>
      </c>
      <c r="XQ37">
        <f>IF($B37=0,1000000,IF(INDEX('計算A'!$D$60:$II$104,$B37,59)*FC37=1,IF(AND($E37=2,OJ37=0),1000000,INDEX('計算A'!BJ$110:BJ$114,$F37+1)+IF(AND($E37=1,OJ37=0),1000,0)),1000000))</f>
        <v/>
      </c>
      <c r="XR37">
        <f>IF($B37=0,1000000,IF(INDEX('計算A'!$D$60:$II$104,$B37,60)*FD37=1,IF(AND($E37=2,OK37=0),1000000,INDEX('計算A'!BK$110:BK$114,$F37+1)+IF(AND($E37=1,OK37=0),1000,0)),1000000))</f>
        <v/>
      </c>
      <c r="XS37">
        <f>IF($B37=0,1000000,IF(INDEX('計算A'!$D$60:$II$104,$B37,61)*FE37=1,IF(AND($E37=2,OL37=0),1000000,INDEX('計算A'!BL$110:BL$114,$F37+1)+IF(AND($E37=1,OL37=0),1000,0)),1000000))</f>
        <v/>
      </c>
      <c r="XT37">
        <f>IF($B37=0,1000000,IF(INDEX('計算A'!$D$60:$II$104,$B37,62)*FF37=1,IF(AND($E37=2,OM37=0),1000000,INDEX('計算A'!BM$110:BM$114,$F37+1)+IF(AND($E37=1,OM37=0),1000,0)),1000000))</f>
        <v/>
      </c>
      <c r="XU37">
        <f>IF($B37=0,1000000,IF(INDEX('計算A'!$D$60:$II$104,$B37,63)*FG37=1,IF(AND($E37=2,ON37=0),1000000,INDEX('計算A'!BN$110:BN$114,$F37+1)+IF(AND($E37=1,ON37=0),1000,0)),1000000))</f>
        <v/>
      </c>
      <c r="XV37">
        <f>IF($B37=0,1000000,IF(INDEX('計算A'!$D$60:$II$104,$B37,64)*FH37=1,IF(AND($E37=2,OO37=0),1000000,INDEX('計算A'!BO$110:BO$114,$F37+1)+IF(AND($E37=1,OO37=0),1000,0)),1000000))</f>
        <v/>
      </c>
      <c r="XW37">
        <f>IF($B37=0,1000000,IF(INDEX('計算A'!$D$60:$II$104,$B37,65)*FI37=1,IF(AND($E37=2,OP37=0),1000000,INDEX('計算A'!BP$110:BP$114,$F37+1)+IF(AND($E37=1,OP37=0),1000,0)),1000000))</f>
        <v/>
      </c>
      <c r="XX37">
        <f>IF($B37=0,1000000,IF(INDEX('計算A'!$D$60:$II$104,$B37,66)*FJ37=1,IF(AND($E37=2,OQ37=0),1000000,INDEX('計算A'!BQ$110:BQ$114,$F37+1)+IF(AND($E37=1,OQ37=0),1000,0)),1000000))</f>
        <v/>
      </c>
      <c r="XY37">
        <f>IF($B37=0,1000000,IF(INDEX('計算A'!$D$60:$II$104,$B37,67)*FK37=1,IF(AND($E37=2,OR37=0),1000000,INDEX('計算A'!BR$110:BR$114,$F37+1)+IF(AND($E37=1,OR37=0),1000,0)),1000000))</f>
        <v/>
      </c>
      <c r="XZ37">
        <f>IF($B37=0,1000000,IF(INDEX('計算A'!$D$60:$II$104,$B37,68)*FL37=1,IF(AND($E37=2,OS37=0),1000000,INDEX('計算A'!BS$110:BS$114,$F37+1)+IF(AND($E37=1,OS37=0),1000,0)),1000000))</f>
        <v/>
      </c>
      <c r="YA37">
        <f>IF($B37=0,1000000,IF(INDEX('計算A'!$D$60:$II$104,$B37,69)*FM37=1,IF(AND($E37=2,OT37=0),1000000,INDEX('計算A'!BT$110:BT$114,$F37+1)+IF(AND($E37=1,OT37=0),1000,0)),1000000))</f>
        <v/>
      </c>
      <c r="YB37">
        <f>IF($B37=0,1000000,IF(INDEX('計算A'!$D$60:$II$104,$B37,70)*FN37=1,IF(AND($E37=2,OU37=0),1000000,INDEX('計算A'!BU$110:BU$114,$F37+1)+IF(AND($E37=1,OU37=0),1000,0)),1000000))</f>
        <v/>
      </c>
      <c r="YC37">
        <f>IF($B37=0,1000000,IF(INDEX('計算A'!$D$60:$II$104,$B37,71)*FO37=1,IF(AND($E37=2,OV37=0),1000000,INDEX('計算A'!BV$110:BV$114,$F37+1)+IF(AND($E37=1,OV37=0),1000,0)),1000000))</f>
        <v/>
      </c>
      <c r="YD37">
        <f>IF($B37=0,1000000,IF(INDEX('計算A'!$D$60:$II$104,$B37,72)*FP37=1,IF(AND($E37=2,OW37=0),1000000,INDEX('計算A'!BW$110:BW$114,$F37+1)+IF(AND($E37=1,OW37=0),1000,0)),1000000))</f>
        <v/>
      </c>
      <c r="YE37">
        <f>IF($B37=0,1000000,IF(INDEX('計算A'!$D$60:$II$104,$B37,73)*FQ37=1,IF(AND($E37=2,OX37=0),1000000,INDEX('計算A'!BX$110:BX$114,$F37+1)+IF(AND($E37=1,OX37=0),1000,0)),1000000))</f>
        <v/>
      </c>
      <c r="YF37">
        <f>IF($B37=0,1000000,IF(INDEX('計算A'!$D$60:$II$104,$B37,74)*FR37=1,IF(AND($E37=2,OY37=0),1000000,INDEX('計算A'!BY$110:BY$114,$F37+1)+IF(AND($E37=1,OY37=0),1000,0)),1000000))</f>
        <v/>
      </c>
      <c r="YG37">
        <f>IF($B37=0,1000000,IF(INDEX('計算A'!$D$60:$II$104,$B37,75)*FS37=1,IF(AND($E37=2,OZ37=0),1000000,INDEX('計算A'!BZ$110:BZ$114,$F37+1)+IF(AND($E37=1,OZ37=0),1000,0)),1000000))</f>
        <v/>
      </c>
      <c r="YH37">
        <f>IF($B37=0,1000000,IF(INDEX('計算A'!$D$60:$II$104,$B37,76)*FT37=1,IF(AND($E37=2,PA37=0),1000000,INDEX('計算A'!CA$110:CA$114,$F37+1)+IF(AND($E37=1,PA37=0),1000,0)),1000000))</f>
        <v/>
      </c>
      <c r="YI37">
        <f>IF($B37=0,1000000,IF(INDEX('計算A'!$D$60:$II$104,$B37,77)*FU37=1,IF(AND($E37=2,PB37=0),1000000,INDEX('計算A'!CB$110:CB$114,$F37+1)+IF(AND($E37=1,PB37=0),1000,0)),1000000))</f>
        <v/>
      </c>
      <c r="YJ37">
        <f>IF($B37=0,1000000,IF(INDEX('計算A'!$D$60:$II$104,$B37,78)*FV37=1,IF(AND($E37=2,PC37=0),1000000,INDEX('計算A'!CC$110:CC$114,$F37+1)+IF(AND($E37=1,PC37=0),1000,0)),1000000))</f>
        <v/>
      </c>
      <c r="YK37">
        <f>IF($B37=0,1000000,IF(INDEX('計算A'!$D$60:$II$104,$B37,79)*FW37=1,IF(AND($E37=2,PD37=0),1000000,INDEX('計算A'!CD$110:CD$114,$F37+1)+IF(AND($E37=1,PD37=0),1000,0)),1000000))</f>
        <v/>
      </c>
      <c r="YL37">
        <f>IF($B37=0,1000000,IF(INDEX('計算A'!$D$60:$II$104,$B37,80)*FX37=1,IF(AND($E37=2,PE37=0),1000000,INDEX('計算A'!CE$110:CE$114,$F37+1)+IF(AND($E37=1,PE37=0),1000,0)),1000000))</f>
        <v/>
      </c>
      <c r="YM37">
        <f>IF($B37=0,1000000,IF(INDEX('計算A'!$D$60:$II$104,$B37,81)*FY37=1,IF(AND($E37=2,PF37=0),1000000,INDEX('計算A'!CF$110:CF$114,$F37+1)+IF(AND($E37=1,PF37=0),1000,0)),1000000))</f>
        <v/>
      </c>
      <c r="YN37">
        <f>IF($B37=0,1000000,IF(INDEX('計算A'!$D$60:$II$104,$B37,82)*FZ37=1,IF(AND($E37=2,PG37=0),1000000,INDEX('計算A'!CG$110:CG$114,$F37+1)+IF(AND($E37=1,PG37=0),1000,0)),1000000))</f>
        <v/>
      </c>
      <c r="YO37">
        <f>IF($B37=0,1000000,IF(INDEX('計算A'!$D$60:$II$104,$B37,83)*GA37=1,IF(AND($E37=2,PH37=0),1000000,INDEX('計算A'!CH$110:CH$114,$F37+1)+IF(AND($E37=1,PH37=0),1000,0)),1000000))</f>
        <v/>
      </c>
      <c r="YP37">
        <f>IF($B37=0,1000000,IF(INDEX('計算A'!$D$60:$II$104,$B37,84)*GB37=1,IF(AND($E37=2,PI37=0),1000000,INDEX('計算A'!CI$110:CI$114,$F37+1)+IF(AND($E37=1,PI37=0),1000,0)),1000000))</f>
        <v/>
      </c>
      <c r="YQ37">
        <f>IF($B37=0,1000000,IF(INDEX('計算A'!$D$60:$II$104,$B37,85)*GC37=1,IF(AND($E37=2,PJ37=0),1000000,INDEX('計算A'!CJ$110:CJ$114,$F37+1)+IF(AND($E37=1,PJ37=0),1000,0)),1000000))</f>
        <v/>
      </c>
      <c r="YR37">
        <f>IF($B37=0,1000000,IF(INDEX('計算A'!$D$60:$II$104,$B37,86)*GD37=1,IF(AND($E37=2,PK37=0),1000000,INDEX('計算A'!CK$110:CK$114,$F37+1)+IF(AND($E37=1,PK37=0),1000,0)),1000000))</f>
        <v/>
      </c>
      <c r="YS37">
        <f>IF($B37=0,1000000,IF(INDEX('計算A'!$D$60:$II$104,$B37,87)*GE37=1,IF(AND($E37=2,PL37=0),1000000,INDEX('計算A'!CL$110:CL$114,$F37+1)+IF(AND($E37=1,PL37=0),1000,0)),1000000))</f>
        <v/>
      </c>
      <c r="YT37">
        <f>IF($B37=0,1000000,IF(INDEX('計算A'!$D$60:$II$104,$B37,88)*GF37=1,IF(AND($E37=2,PM37=0),1000000,INDEX('計算A'!CM$110:CM$114,$F37+1)+IF(AND($E37=1,PM37=0),1000,0)),1000000))</f>
        <v/>
      </c>
      <c r="YU37">
        <f>IF($B37=0,1000000,IF(INDEX('計算A'!$D$60:$II$104,$B37,89)*GG37=1,IF(AND($E37=2,PN37=0),1000000,INDEX('計算A'!CN$110:CN$114,$F37+1)+IF(AND($E37=1,PN37=0),1000,0)),1000000))</f>
        <v/>
      </c>
      <c r="YV37">
        <f>IF($B37=0,1000000,IF(INDEX('計算A'!$D$60:$II$104,$B37,90)*GH37=1,IF(AND($E37=2,PO37=0),1000000,INDEX('計算A'!CO$110:CO$114,$F37+1)+IF(AND($E37=1,PO37=0),1000,0)),1000000))</f>
        <v/>
      </c>
      <c r="YW37">
        <f>IF($B37=0,1000000,IF(INDEX('計算A'!$D$60:$II$104,$B37,91)*GI37=1,IF(AND($E37=2,PP37=0),1000000,INDEX('計算A'!CP$110:CP$114,$F37+1)+IF(AND($E37=1,PP37=0),1000,0)),1000000))</f>
        <v/>
      </c>
      <c r="YX37">
        <f>IF($B37=0,1000000,IF(INDEX('計算A'!$D$60:$II$104,$B37,92)*GJ37=1,IF(AND($E37=2,PQ37=0),1000000,INDEX('計算A'!CQ$110:CQ$114,$F37+1)+IF(AND($E37=1,PQ37=0),1000,0)),1000000))</f>
        <v/>
      </c>
      <c r="YY37">
        <f>IF($B37=0,1000000,IF(INDEX('計算A'!$D$60:$II$104,$B37,93)*GK37=1,IF(AND($E37=2,PR37=0),1000000,INDEX('計算A'!CR$110:CR$114,$F37+1)+IF(AND($E37=1,PR37=0),1000,0)),1000000))</f>
        <v/>
      </c>
      <c r="YZ37">
        <f>IF($B37=0,1000000,IF(INDEX('計算A'!$D$60:$II$104,$B37,94)*GL37=1,IF(AND($E37=2,PS37=0),1000000,INDEX('計算A'!CS$110:CS$114,$F37+1)+IF(AND($E37=1,PS37=0),1000,0)),1000000))</f>
        <v/>
      </c>
      <c r="ZA37">
        <f>IF($B37=0,1000000,IF(INDEX('計算A'!$D$60:$II$104,$B37,95)*GM37=1,IF(AND($E37=2,PT37=0),1000000,INDEX('計算A'!CT$110:CT$114,$F37+1)+IF(AND($E37=1,PT37=0),1000,0)),1000000))</f>
        <v/>
      </c>
      <c r="ZB37">
        <f>IF($B37=0,1000000,IF(INDEX('計算A'!$D$60:$II$104,$B37,96)*GN37=1,IF(AND($E37=2,PU37=0),1000000,INDEX('計算A'!CU$110:CU$114,$F37+1)+IF(AND($E37=1,PU37=0),1000,0)),1000000))</f>
        <v/>
      </c>
      <c r="ZC37">
        <f>IF($B37=0,1000000,IF(INDEX('計算A'!$D$60:$II$104,$B37,97)*GO37=1,IF(AND($E37=2,PV37=0),1000000,INDEX('計算A'!CV$110:CV$114,$F37+1)+IF(AND($E37=1,PV37=0),1000,0)),1000000))</f>
        <v/>
      </c>
      <c r="ZD37">
        <f>IF($B37=0,1000000,IF(INDEX('計算A'!$D$60:$II$104,$B37,98)*GP37=1,IF(AND($E37=2,PW37=0),1000000,INDEX('計算A'!CW$110:CW$114,$F37+1)+IF(AND($E37=1,PW37=0),1000,0)),1000000))</f>
        <v/>
      </c>
      <c r="ZE37">
        <f>IF($B37=0,1000000,IF(INDEX('計算A'!$D$60:$II$104,$B37,99)*GQ37=1,IF(AND($E37=2,PX37=0),1000000,INDEX('計算A'!CX$110:CX$114,$F37+1)+IF(AND($E37=1,PX37=0),1000,0)),1000000))</f>
        <v/>
      </c>
      <c r="ZF37">
        <f>IF($B37=0,1000000,IF(INDEX('計算A'!$D$60:$II$104,$B37,100)*GR37=1,IF(AND($E37=2,PY37=0),1000000,INDEX('計算A'!CY$110:CY$114,$F37+1)+IF(AND($E37=1,PY37=0),1000,0)),1000000))</f>
        <v/>
      </c>
      <c r="ZG37">
        <f>IF($B37=0,1000000,IF(INDEX('計算A'!$D$60:$II$104,$B37,101)*GS37=1,IF(AND($E37=2,PZ37=0),1000000,INDEX('計算A'!CZ$110:CZ$114,$F37+1)+IF(AND($E37=1,PZ37=0),1000,0)),1000000))</f>
        <v/>
      </c>
      <c r="ZH37">
        <f>IF($B37=0,1000000,IF(INDEX('計算A'!$D$60:$II$104,$B37,102)*GT37=1,IF(AND($E37=2,QA37=0),1000000,INDEX('計算A'!DA$110:DA$114,$F37+1)+IF(AND($E37=1,QA37=0),1000,0)),1000000))</f>
        <v/>
      </c>
      <c r="ZI37">
        <f>IF($B37=0,1000000,IF(INDEX('計算A'!$D$60:$II$104,$B37,103)*GU37=1,IF(AND($E37=2,QB37=0),1000000,INDEX('計算A'!DB$110:DB$114,$F37+1)+IF(AND($E37=1,QB37=0),1000,0)),1000000))</f>
        <v/>
      </c>
      <c r="ZJ37">
        <f>IF($B37=0,1000000,IF(INDEX('計算A'!$D$60:$II$104,$B37,104)*GV37=1,IF(AND($E37=2,QC37=0),1000000,INDEX('計算A'!DC$110:DC$114,$F37+1)+IF(AND($E37=1,QC37=0),1000,0)),1000000))</f>
        <v/>
      </c>
      <c r="ZK37">
        <f>IF($B37=0,1000000,IF(INDEX('計算A'!$D$60:$II$104,$B37,105)*GW37=1,IF(AND($E37=2,QD37=0),1000000,INDEX('計算A'!DD$110:DD$114,$F37+1)+IF(AND($E37=1,QD37=0),1000,0)),1000000))</f>
        <v/>
      </c>
      <c r="ZL37">
        <f>IF($B37=0,1000000,IF(INDEX('計算A'!$D$60:$II$104,$B37,106)*GX37=1,IF(AND($E37=2,QE37=0),1000000,INDEX('計算A'!DE$110:DE$114,$F37+1)+IF(AND($E37=1,QE37=0),1000,0)),1000000))</f>
        <v/>
      </c>
      <c r="ZM37">
        <f>IF($B37=0,1000000,IF(INDEX('計算A'!$D$60:$II$104,$B37,107)*GY37=1,IF(AND($E37=2,QF37=0),1000000,INDEX('計算A'!DF$110:DF$114,$F37+1)+IF(AND($E37=1,QF37=0),1000,0)),1000000))</f>
        <v/>
      </c>
      <c r="ZN37">
        <f>IF($B37=0,1000000,IF(INDEX('計算A'!$D$60:$II$104,$B37,108)*GZ37=1,IF(AND($E37=2,QG37=0),1000000,INDEX('計算A'!DG$110:DG$114,$F37+1)+IF(AND($E37=1,QG37=0),1000,0)),1000000))</f>
        <v/>
      </c>
      <c r="ZO37">
        <f>IF($B37=0,1000000,IF(INDEX('計算A'!$D$60:$II$104,$B37,109)*HA37=1,IF(AND($E37=2,QH37=0),1000000,INDEX('計算A'!DH$110:DH$114,$F37+1)+IF(AND($E37=1,QH37=0),1000,0)),1000000))</f>
        <v/>
      </c>
      <c r="ZP37">
        <f>IF($B37=0,1000000,IF(INDEX('計算A'!$D$60:$II$104,$B37,110)*HB37=1,IF(AND($E37=2,QI37=0),1000000,INDEX('計算A'!DI$110:DI$114,$F37+1)+IF(AND($E37=1,QI37=0),1000,0)),1000000))</f>
        <v/>
      </c>
      <c r="ZQ37">
        <f>IF($B37=0,1000000,IF(INDEX('計算A'!$D$60:$II$104,$B37,111)*HC37=1,IF(AND($E37=2,QJ37=0),1000000,INDEX('計算A'!DJ$110:DJ$114,$F37+1)+IF(AND($E37=1,QJ37=0),1000,0)),1000000))</f>
        <v/>
      </c>
      <c r="ZR37">
        <f>IF($B37=0,1000000,IF(INDEX('計算A'!$D$60:$II$104,$B37,112)*HD37=1,IF(AND($E37=2,QK37=0),1000000,INDEX('計算A'!DK$110:DK$114,$F37+1)+IF(AND($E37=1,QK37=0),1000,0)),1000000))</f>
        <v/>
      </c>
      <c r="ZS37">
        <f>IF($B37=0,1000000,IF(INDEX('計算A'!$D$60:$II$104,$B37,113)*HE37=1,IF(AND($E37=2,QL37=0),1000000,INDEX('計算A'!DL$110:DL$114,$F37+1)+IF(AND($E37=1,QL37=0),1000,0)),1000000))</f>
        <v/>
      </c>
      <c r="ZT37">
        <f>IF($B37=0,1000000,IF(INDEX('計算A'!$D$60:$II$104,$B37,114)*HF37=1,IF(AND($E37=2,QM37=0),1000000,INDEX('計算A'!DM$110:DM$114,$F37+1)+IF(AND($E37=1,QM37=0),1000,0)),1000000))</f>
        <v/>
      </c>
      <c r="ZU37">
        <f>IF($B37=0,1000000,IF(INDEX('計算A'!$D$60:$II$104,$B37,115)*HG37=1,IF(AND($E37=2,QN37=0),1000000,INDEX('計算A'!DN$110:DN$114,$F37+1)+IF(AND($E37=1,QN37=0),1000,0)),1000000))</f>
        <v/>
      </c>
      <c r="ZV37">
        <f>IF($B37=0,1000000,IF(INDEX('計算A'!$D$60:$II$104,$B37,116)*HH37=1,IF(AND($E37=2,QO37=0),1000000,INDEX('計算A'!DO$110:DO$114,$F37+1)+IF(AND($E37=1,QO37=0),1000,0)),1000000))</f>
        <v/>
      </c>
      <c r="ZW37">
        <f>IF($B37=0,1000000,IF(INDEX('計算A'!$D$60:$II$104,$B37,117)*HI37=1,IF(AND($E37=2,QP37=0),1000000,INDEX('計算A'!DP$110:DP$114,$F37+1)+IF(AND($E37=1,QP37=0),1000,0)),1000000))</f>
        <v/>
      </c>
      <c r="ZX37">
        <f>IF($B37=0,1000000,IF(INDEX('計算A'!$D$60:$II$104,$B37,118)*HJ37=1,IF(AND($E37=2,QQ37=0),1000000,INDEX('計算A'!DQ$110:DQ$114,$F37+1)+IF(AND($E37=1,QQ37=0),1000,0)),1000000))</f>
        <v/>
      </c>
      <c r="ZY37">
        <f>IF($B37=0,1000000,IF(INDEX('計算A'!$D$60:$II$104,$B37,119)*HK37=1,IF(AND($E37=2,QR37=0),1000000,INDEX('計算A'!DR$110:DR$114,$F37+1)+IF(AND($E37=1,QR37=0),1000,0)),1000000))</f>
        <v/>
      </c>
      <c r="ZZ37">
        <f>IF($B37=0,1000000,IF(INDEX('計算A'!$D$60:$II$104,$B37,120)*HL37=1,IF(AND($E37=2,QS37=0),1000000,INDEX('計算A'!DS$110:DS$114,$F37+1)+IF(AND($E37=1,QS37=0),1000,0)),1000000))</f>
        <v/>
      </c>
      <c r="AAA37">
        <f>IF($B37=0,1000000,IF(INDEX('計算A'!$D$60:$II$104,$B37,121)*HM37=1,IF(AND($E37=2,QT37=0),1000000,INDEX('計算A'!DT$110:DT$114,$F37+1)+IF(AND($E37=1,QT37=0),1000,0)),1000000))</f>
        <v/>
      </c>
      <c r="AAB37">
        <f>IF($B37=0,1000000,IF(INDEX('計算A'!$D$60:$II$104,$B37,122)*HN37=1,IF(AND($E37=2,QU37=0),1000000,INDEX('計算A'!DU$110:DU$114,$F37+1)+IF(AND($E37=1,QU37=0),1000,0)),1000000))</f>
        <v/>
      </c>
      <c r="AAC37">
        <f>IF($B37=0,1000000,IF(INDEX('計算A'!$D$60:$II$104,$B37,123)*HO37=1,IF(AND($E37=2,QV37=0),1000000,INDEX('計算A'!DV$110:DV$114,$F37+1)+IF(AND($E37=1,QV37=0),1000,0)),1000000))</f>
        <v/>
      </c>
      <c r="AAD37">
        <f>IF($B37=0,1000000,IF(INDEX('計算A'!$D$60:$II$104,$B37,124)*HP37=1,IF(AND($E37=2,QW37=0),1000000,INDEX('計算A'!DW$110:DW$114,$F37+1)+IF(AND($E37=1,QW37=0),1000,0)),1000000))</f>
        <v/>
      </c>
      <c r="AAE37">
        <f>IF($B37=0,1000000,IF(INDEX('計算A'!$D$60:$II$104,$B37,125)*HQ37=1,IF(AND($E37=2,QX37=0),1000000,INDEX('計算A'!DX$110:DX$114,$F37+1)+IF(AND($E37=1,QX37=0),1000,0)),1000000))</f>
        <v/>
      </c>
      <c r="AAF37">
        <f>IF($B37=0,1000000,IF(INDEX('計算A'!$D$60:$II$104,$B37,126)*HR37=1,IF(AND($E37=2,QY37=0),1000000,INDEX('計算A'!DY$110:DY$114,$F37+1)+IF(AND($E37=1,QY37=0),1000,0)),1000000))</f>
        <v/>
      </c>
      <c r="AAG37">
        <f>IF($B37=0,1000000,IF(INDEX('計算A'!$D$60:$II$104,$B37,127)*HS37=1,IF(AND($E37=2,QZ37=0),1000000,INDEX('計算A'!DZ$110:DZ$114,$F37+1)+IF(AND($E37=1,QZ37=0),1000,0)),1000000))</f>
        <v/>
      </c>
      <c r="AAH37">
        <f>IF($B37=0,1000000,IF(INDEX('計算A'!$D$60:$II$104,$B37,128)*HT37=1,IF(AND($E37=2,RA37=0),1000000,INDEX('計算A'!EA$110:EA$114,$F37+1)+IF(AND($E37=1,RA37=0),1000,0)),1000000))</f>
        <v/>
      </c>
      <c r="AAI37">
        <f>IF($B37=0,1000000,IF(INDEX('計算A'!$D$60:$II$104,$B37,129)*HU37=1,IF(AND($E37=2,RB37=0),1000000,INDEX('計算A'!EB$110:EB$114,$F37+1)+IF(AND($E37=1,RB37=0),1000,0)),1000000))</f>
        <v/>
      </c>
      <c r="AAJ37">
        <f>IF($B37=0,1000000,IF(INDEX('計算A'!$D$60:$II$104,$B37,130)*HV37=1,IF(AND($E37=2,RC37=0),1000000,INDEX('計算A'!EC$110:EC$114,$F37+1)+IF(AND($E37=1,RC37=0),1000,0)),1000000))</f>
        <v/>
      </c>
      <c r="AAK37">
        <f>IF($B37=0,1000000,IF(INDEX('計算A'!$D$60:$II$104,$B37,131)*HW37=1,IF(AND($E37=2,RD37=0),1000000,INDEX('計算A'!ED$110:ED$114,$F37+1)+IF(AND($E37=1,RD37=0),1000,0)),1000000))</f>
        <v/>
      </c>
      <c r="AAL37">
        <f>IF($B37=0,1000000,IF(INDEX('計算A'!$D$60:$II$104,$B37,132)*HX37=1,IF(AND($E37=2,RE37=0),1000000,INDEX('計算A'!EE$110:EE$114,$F37+1)+IF(AND($E37=1,RE37=0),1000,0)),1000000))</f>
        <v/>
      </c>
      <c r="AAM37">
        <f>IF($B37=0,1000000,IF(INDEX('計算A'!$D$60:$II$104,$B37,133)*HY37=1,IF(AND($E37=2,RF37=0),1000000,INDEX('計算A'!EF$110:EF$114,$F37+1)+IF(AND($E37=1,RF37=0),1000,0)),1000000))</f>
        <v/>
      </c>
      <c r="AAN37">
        <f>IF($B37=0,1000000,IF(INDEX('計算A'!$D$60:$II$104,$B37,134)*HZ37=1,IF(AND($E37=2,RG37=0),1000000,INDEX('計算A'!EG$110:EG$114,$F37+1)+IF(AND($E37=1,RG37=0),1000,0)),1000000))</f>
        <v/>
      </c>
      <c r="AAO37">
        <f>IF($B37=0,1000000,IF(INDEX('計算A'!$D$60:$II$104,$B37,135)*IA37=1,IF(AND($E37=2,RH37=0),1000000,INDEX('計算A'!EH$110:EH$114,$F37+1)+IF(AND($E37=1,RH37=0),1000,0)),1000000))</f>
        <v/>
      </c>
      <c r="AAP37">
        <f>IF($B37=0,1000000,IF(INDEX('計算A'!$D$60:$II$104,$B37,136)*IB37=1,IF(AND($E37=2,RI37=0),1000000,INDEX('計算A'!EI$110:EI$114,$F37+1)+IF(AND($E37=1,RI37=0),1000,0)),1000000))</f>
        <v/>
      </c>
      <c r="AAQ37">
        <f>IF($B37=0,1000000,IF(INDEX('計算A'!$D$60:$II$104,$B37,137)*IC37=1,IF(AND($E37=2,RJ37=0),1000000,INDEX('計算A'!EJ$110:EJ$114,$F37+1)+IF(AND($E37=1,RJ37=0),1000,0)),1000000))</f>
        <v/>
      </c>
      <c r="AAR37">
        <f>IF($B37=0,1000000,IF(INDEX('計算A'!$D$60:$II$104,$B37,138)*ID37=1,IF(AND($E37=2,RK37=0),1000000,INDEX('計算A'!EK$110:EK$114,$F37+1)+IF(AND($E37=1,RK37=0),1000,0)),1000000))</f>
        <v/>
      </c>
      <c r="AAS37">
        <f>IF($B37=0,1000000,IF(INDEX('計算A'!$D$60:$II$104,$B37,139)*IE37=1,IF(AND($E37=2,RL37=0),1000000,INDEX('計算A'!EL$110:EL$114,$F37+1)+IF(AND($E37=1,RL37=0),1000,0)),1000000))</f>
        <v/>
      </c>
      <c r="AAT37">
        <f>IF($B37=0,1000000,IF(INDEX('計算A'!$D$60:$II$104,$B37,140)*IF37=1,IF(AND($E37=2,RM37=0),1000000,INDEX('計算A'!EM$110:EM$114,$F37+1)+IF(AND($E37=1,RM37=0),1000,0)),1000000))</f>
        <v/>
      </c>
      <c r="AAU37">
        <f>IF($B37=0,1000000,IF(INDEX('計算A'!$D$60:$II$104,$B37,141)*IG37=1,IF(AND($E37=2,RN37=0),1000000,INDEX('計算A'!EN$110:EN$114,$F37+1)+IF(AND($E37=1,RN37=0),1000,0)),1000000))</f>
        <v/>
      </c>
      <c r="AAV37">
        <f>IF($B37=0,1000000,IF(INDEX('計算A'!$D$60:$II$104,$B37,142)*IH37=1,IF(AND($E37=2,RO37=0),1000000,INDEX('計算A'!EO$110:EO$114,$F37+1)+IF(AND($E37=1,RO37=0),1000,0)),1000000))</f>
        <v/>
      </c>
      <c r="AAW37">
        <f>IF($B37=0,1000000,IF(INDEX('計算A'!$D$60:$II$104,$B37,143)*II37=1,IF(AND($E37=2,RP37=0),1000000,INDEX('計算A'!EP$110:EP$114,$F37+1)+IF(AND($E37=1,RP37=0),1000,0)),1000000))</f>
        <v/>
      </c>
      <c r="AAX37">
        <f>IF($B37=0,1000000,IF(INDEX('計算A'!$D$60:$II$104,$B37,144)*IJ37=1,IF(AND($E37=2,RQ37=0),1000000,INDEX('計算A'!EQ$110:EQ$114,$F37+1)+IF(AND($E37=1,RQ37=0),1000,0)),1000000))</f>
        <v/>
      </c>
      <c r="AAY37">
        <f>IF($B37=0,1000000,IF(INDEX('計算A'!$D$60:$II$104,$B37,145)*IK37=1,IF(AND($E37=2,RR37=0),1000000,INDEX('計算A'!ER$110:ER$114,$F37+1)+IF(AND($E37=1,RR37=0),1000,0)),1000000))</f>
        <v/>
      </c>
      <c r="AAZ37">
        <f>IF($B37=0,1000000,IF(INDEX('計算A'!$D$60:$II$104,$B37,146)*IL37=1,IF(AND($E37=2,RS37=0),1000000,INDEX('計算A'!ES$110:ES$114,$F37+1)+IF(AND($E37=1,RS37=0),1000,0)),1000000))</f>
        <v/>
      </c>
      <c r="ABA37">
        <f>IF($B37=0,1000000,IF(INDEX('計算A'!$D$60:$II$104,$B37,147)*IM37=1,IF(AND($E37=2,RT37=0),1000000,INDEX('計算A'!ET$110:ET$114,$F37+1)+IF(AND($E37=1,RT37=0),1000,0)),1000000))</f>
        <v/>
      </c>
      <c r="ABB37">
        <f>IF($B37=0,1000000,IF(INDEX('計算A'!$D$60:$II$104,$B37,148)*IN37=1,IF(AND($E37=2,RU37=0),1000000,INDEX('計算A'!EU$110:EU$114,$F37+1)+IF(AND($E37=1,RU37=0),1000,0)),1000000))</f>
        <v/>
      </c>
      <c r="ABC37">
        <f>IF($B37=0,1000000,IF(INDEX('計算A'!$D$60:$II$104,$B37,149)*IO37=1,IF(AND($E37=2,RV37=0),1000000,INDEX('計算A'!EV$110:EV$114,$F37+1)+IF(AND($E37=1,RV37=0),1000,0)),1000000))</f>
        <v/>
      </c>
      <c r="ABD37">
        <f>IF($B37=0,1000000,IF(INDEX('計算A'!$D$60:$II$104,$B37,150)*IP37=1,IF(AND($E37=2,RW37=0),1000000,INDEX('計算A'!EW$110:EW$114,$F37+1)+IF(AND($E37=1,RW37=0),1000,0)),1000000))</f>
        <v/>
      </c>
      <c r="ABE37">
        <f>IF($B37=0,1000000,IF(INDEX('計算A'!$D$60:$II$104,$B37,151)*IQ37=1,IF(AND($E37=2,RX37=0),1000000,INDEX('計算A'!EX$110:EX$114,$F37+1)+IF(AND($E37=1,RX37=0),1000,0)),1000000))</f>
        <v/>
      </c>
      <c r="ABF37">
        <f>IF($B37=0,1000000,IF(INDEX('計算A'!$D$60:$II$104,$B37,152)*IR37=1,IF(AND($E37=2,RY37=0),1000000,INDEX('計算A'!EY$110:EY$114,$F37+1)+IF(AND($E37=1,RY37=0),1000,0)),1000000))</f>
        <v/>
      </c>
      <c r="ABG37">
        <f>IF($B37=0,1000000,IF(INDEX('計算A'!$D$60:$II$104,$B37,153)*IS37=1,IF(AND($E37=2,RZ37=0),1000000,INDEX('計算A'!EZ$110:EZ$114,$F37+1)+IF(AND($E37=1,RZ37=0),1000,0)),1000000))</f>
        <v/>
      </c>
      <c r="ABH37">
        <f>IF($B37=0,1000000,IF(INDEX('計算A'!$D$60:$II$104,$B37,154)*IT37=1,IF(AND($E37=2,SA37=0),1000000,INDEX('計算A'!FA$110:FA$114,$F37+1)+IF(AND($E37=1,SA37=0),1000,0)),1000000))</f>
        <v/>
      </c>
      <c r="ABI37">
        <f>IF($B37=0,1000000,IF(INDEX('計算A'!$D$60:$II$104,$B37,155)*IU37=1,IF(AND($E37=2,SB37=0),1000000,INDEX('計算A'!FB$110:FB$114,$F37+1)+IF(AND($E37=1,SB37=0),1000,0)),1000000))</f>
        <v/>
      </c>
      <c r="ABJ37">
        <f>IF($B37=0,1000000,IF(INDEX('計算A'!$D$60:$II$104,$B37,156)*IV37=1,IF(AND($E37=2,SC37=0),1000000,INDEX('計算A'!FC$110:FC$114,$F37+1)+IF(AND($E37=1,SC37=0),1000,0)),1000000))</f>
        <v/>
      </c>
      <c r="ABK37">
        <f>IF($B37=0,1000000,IF(INDEX('計算A'!$D$60:$II$104,$B37,157)*IW37=1,IF(AND($E37=2,SD37=0),1000000,INDEX('計算A'!FD$110:FD$114,$F37+1)+IF(AND($E37=1,SD37=0),1000,0)),1000000))</f>
        <v/>
      </c>
      <c r="ABL37">
        <f>IF($B37=0,1000000,IF(INDEX('計算A'!$D$60:$II$104,$B37,158)*IX37=1,IF(AND($E37=2,SE37=0),1000000,INDEX('計算A'!FE$110:FE$114,$F37+1)+IF(AND($E37=1,SE37=0),1000,0)),1000000))</f>
        <v/>
      </c>
      <c r="ABM37">
        <f>IF($B37=0,1000000,IF(INDEX('計算A'!$D$60:$II$104,$B37,159)*IY37=1,IF(AND($E37=2,SF37=0),1000000,INDEX('計算A'!FF$110:FF$114,$F37+1)+IF(AND($E37=1,SF37=0),1000,0)),1000000))</f>
        <v/>
      </c>
      <c r="ABN37">
        <f>IF($B37=0,1000000,IF(INDEX('計算A'!$D$60:$II$104,$B37,160)*IZ37=1,IF(AND($E37=2,SG37=0),1000000,INDEX('計算A'!FG$110:FG$114,$F37+1)+IF(AND($E37=1,SG37=0),1000,0)),1000000))</f>
        <v/>
      </c>
      <c r="ABO37">
        <f>IF($B37=0,1000000,IF(INDEX('計算A'!$D$60:$II$104,$B37,161)*JA37=1,IF(AND($E37=2,SH37=0),1000000,INDEX('計算A'!FH$110:FH$114,$F37+1)+IF(AND($E37=1,SH37=0),1000,0)),1000000))</f>
        <v/>
      </c>
      <c r="ABP37">
        <f>IF($B37=0,1000000,IF(INDEX('計算A'!$D$60:$II$104,$B37,162)*JB37=1,IF(AND($E37=2,SI37=0),1000000,INDEX('計算A'!FI$110:FI$114,$F37+1)+IF(AND($E37=1,SI37=0),1000,0)),1000000))</f>
        <v/>
      </c>
      <c r="ABQ37">
        <f>IF($B37=0,1000000,IF(INDEX('計算A'!$D$60:$II$104,$B37,163)*JC37=1,IF(AND($E37=2,SJ37=0),1000000,INDEX('計算A'!FJ$110:FJ$114,$F37+1)+IF(AND($E37=1,SJ37=0),1000,0)),1000000))</f>
        <v/>
      </c>
      <c r="ABR37">
        <f>IF($B37=0,1000000,IF(INDEX('計算A'!$D$60:$II$104,$B37,164)*JD37=1,IF(AND($E37=2,SK37=0),1000000,INDEX('計算A'!FK$110:FK$114,$F37+1)+IF(AND($E37=1,SK37=0),1000,0)),1000000))</f>
        <v/>
      </c>
      <c r="ABS37">
        <f>IF($B37=0,1000000,IF(INDEX('計算A'!$D$60:$II$104,$B37,165)*JE37=1,IF(AND($E37=2,SL37=0),1000000,INDEX('計算A'!FL$110:FL$114,$F37+1)+IF(AND($E37=1,SL37=0),1000,0)),1000000))</f>
        <v/>
      </c>
      <c r="ABT37">
        <f>IF($B37=0,1000000,IF(INDEX('計算A'!$D$60:$II$104,$B37,166)*JF37=1,IF(AND($E37=2,SM37=0),1000000,INDEX('計算A'!FM$110:FM$114,$F37+1)+IF(AND($E37=1,SM37=0),1000,0)),1000000))</f>
        <v/>
      </c>
      <c r="ABU37">
        <f>IF($B37=0,1000000,IF(INDEX('計算A'!$D$60:$II$104,$B37,167)*JG37=1,IF(AND($E37=2,SN37=0),1000000,INDEX('計算A'!FN$110:FN$114,$F37+1)+IF(AND($E37=1,SN37=0),1000,0)),1000000))</f>
        <v/>
      </c>
      <c r="ABV37">
        <f>IF($B37=0,1000000,IF(INDEX('計算A'!$D$60:$II$104,$B37,168)*JH37=1,IF(AND($E37=2,SO37=0),1000000,INDEX('計算A'!FO$110:FO$114,$F37+1)+IF(AND($E37=1,SO37=0),1000,0)),1000000))</f>
        <v/>
      </c>
      <c r="ABW37">
        <f>IF($B37=0,1000000,IF(INDEX('計算A'!$D$60:$II$104,$B37,169)*JI37=1,IF(AND($E37=2,SP37=0),1000000,INDEX('計算A'!FP$110:FP$114,$F37+1)+IF(AND($E37=1,SP37=0),1000,0)),1000000))</f>
        <v/>
      </c>
      <c r="ABX37">
        <f>IF($B37=0,1000000,IF(INDEX('計算A'!$D$60:$II$104,$B37,170)*JJ37=1,IF(AND($E37=2,SQ37=0),1000000,INDEX('計算A'!FQ$110:FQ$114,$F37+1)+IF(AND($E37=1,SQ37=0),1000,0)),1000000))</f>
        <v/>
      </c>
      <c r="ABY37">
        <f>IF($B37=0,1000000,IF(INDEX('計算A'!$D$60:$II$104,$B37,171)*JK37=1,IF(AND($E37=2,SR37=0),1000000,INDEX('計算A'!FR$110:FR$114,$F37+1)+IF(AND($E37=1,SR37=0),1000,0)),1000000))</f>
        <v/>
      </c>
      <c r="ABZ37">
        <f>IF($B37=0,1000000,IF(INDEX('計算A'!$D$60:$II$104,$B37,172)*JL37=1,IF(AND($E37=2,SS37=0),1000000,INDEX('計算A'!FS$110:FS$114,$F37+1)+IF(AND($E37=1,SS37=0),1000,0)),1000000))</f>
        <v/>
      </c>
      <c r="ACA37">
        <f>IF($B37=0,1000000,IF(INDEX('計算A'!$D$60:$II$104,$B37,173)*JM37=1,IF(AND($E37=2,ST37=0),1000000,INDEX('計算A'!FT$110:FT$114,$F37+1)+IF(AND($E37=1,ST37=0),1000,0)),1000000))</f>
        <v/>
      </c>
      <c r="ACB37">
        <f>IF($B37=0,1000000,IF(INDEX('計算A'!$D$60:$II$104,$B37,174)*JN37=1,IF(AND($E37=2,SU37=0),1000000,INDEX('計算A'!FU$110:FU$114,$F37+1)+IF(AND($E37=1,SU37=0),1000,0)),1000000))</f>
        <v/>
      </c>
      <c r="ACC37">
        <f>IF($B37=0,1000000,IF(INDEX('計算A'!$D$60:$II$104,$B37,175)*JO37=1,IF(AND($E37=2,SV37=0),1000000,INDEX('計算A'!FV$110:FV$114,$F37+1)+IF(AND($E37=1,SV37=0),1000,0)),1000000))</f>
        <v/>
      </c>
      <c r="ACD37">
        <f>IF($B37=0,1000000,IF(INDEX('計算A'!$D$60:$II$104,$B37,176)*JP37=1,IF(AND($E37=2,SW37=0),1000000,INDEX('計算A'!FW$110:FW$114,$F37+1)+IF(AND($E37=1,SW37=0),1000,0)),1000000))</f>
        <v/>
      </c>
      <c r="ACE37">
        <f>IF($B37=0,1000000,IF(INDEX('計算A'!$D$60:$II$104,$B37,177)*JQ37=1,IF(AND($E37=2,SX37=0),1000000,INDEX('計算A'!FX$110:FX$114,$F37+1)+IF(AND($E37=1,SX37=0),1000,0)),1000000))</f>
        <v/>
      </c>
      <c r="ACF37">
        <f>IF($B37=0,1000000,IF(INDEX('計算A'!$D$60:$II$104,$B37,178)*JR37=1,IF(AND($E37=2,SY37=0),1000000,INDEX('計算A'!FY$110:FY$114,$F37+1)+IF(AND($E37=1,SY37=0),1000,0)),1000000))</f>
        <v/>
      </c>
      <c r="ACG37">
        <f>IF($B37=0,1000000,IF(INDEX('計算A'!$D$60:$II$104,$B37,179)*JS37=1,IF(AND($E37=2,SZ37=0),1000000,INDEX('計算A'!FZ$110:FZ$114,$F37+1)+IF(AND($E37=1,SZ37=0),1000,0)),1000000))</f>
        <v/>
      </c>
      <c r="ACH37">
        <f>IF($B37=0,1000000,IF(INDEX('計算A'!$D$60:$II$104,$B37,180)*JT37=1,IF(AND($E37=2,TA37=0),1000000,INDEX('計算A'!GA$110:GA$114,$F37+1)+IF(AND($E37=1,TA37=0),1000,0)),1000000))</f>
        <v/>
      </c>
      <c r="ACI37">
        <f>IF($B37=0,1000000,IF(INDEX('計算A'!$D$60:$II$104,$B37,181)*JU37=1,IF(AND($E37=2,TB37=0),1000000,INDEX('計算A'!GB$110:GB$114,$F37+1)+IF(AND($E37=1,TB37=0),1000,0)),1000000))</f>
        <v/>
      </c>
      <c r="ACJ37">
        <f>IF($B37=0,1000000,IF(INDEX('計算A'!$D$60:$II$104,$B37,182)*JV37=1,IF(AND($E37=2,TC37=0),1000000,INDEX('計算A'!GC$110:GC$114,$F37+1)+IF(AND($E37=1,TC37=0),1000,0)),1000000))</f>
        <v/>
      </c>
      <c r="ACK37">
        <f>IF($B37=0,1000000,IF(INDEX('計算A'!$D$60:$II$104,$B37,183)*JW37=1,IF(AND($E37=2,TD37=0),1000000,INDEX('計算A'!GD$110:GD$114,$F37+1)+IF(AND($E37=1,TD37=0),1000,0)),1000000))</f>
        <v/>
      </c>
      <c r="ACL37">
        <f>IF($B37=0,1000000,IF(INDEX('計算A'!$D$60:$II$104,$B37,184)*JX37=1,IF(AND($E37=2,TE37=0),1000000,INDEX('計算A'!GE$110:GE$114,$F37+1)+IF(AND($E37=1,TE37=0),1000,0)),1000000))</f>
        <v/>
      </c>
      <c r="ACM37">
        <f>IF($B37=0,1000000,IF(INDEX('計算A'!$D$60:$II$104,$B37,185)*JY37=1,IF(AND($E37=2,TF37=0),1000000,INDEX('計算A'!GF$110:GF$114,$F37+1)+IF(AND($E37=1,TF37=0),1000,0)),1000000))</f>
        <v/>
      </c>
      <c r="ACN37">
        <f>IF($B37=0,1000000,IF(INDEX('計算A'!$D$60:$II$104,$B37,186)*JZ37=1,IF(AND($E37=2,TG37=0),1000000,INDEX('計算A'!GG$110:GG$114,$F37+1)+IF(AND($E37=1,TG37=0),1000,0)),1000000))</f>
        <v/>
      </c>
      <c r="ACO37">
        <f>IF($B37=0,1000000,IF(INDEX('計算A'!$D$60:$II$104,$B37,187)*KA37=1,IF(AND($E37=2,TH37=0),1000000,INDEX('計算A'!GH$110:GH$114,$F37+1)+IF(AND($E37=1,TH37=0),1000,0)),1000000))</f>
        <v/>
      </c>
      <c r="ACP37">
        <f>IF($B37=0,1000000,IF(INDEX('計算A'!$D$60:$II$104,$B37,188)*KB37=1,IF(AND($E37=2,TI37=0),1000000,INDEX('計算A'!GI$110:GI$114,$F37+1)+IF(AND($E37=1,TI37=0),1000,0)),1000000))</f>
        <v/>
      </c>
      <c r="ACQ37">
        <f>IF($B37=0,1000000,IF(INDEX('計算A'!$D$60:$II$104,$B37,189)*KC37=1,IF(AND($E37=2,TJ37=0),1000000,INDEX('計算A'!GJ$110:GJ$114,$F37+1)+IF(AND($E37=1,TJ37=0),1000,0)),1000000))</f>
        <v/>
      </c>
      <c r="ACR37">
        <f>IF($B37=0,1000000,IF(INDEX('計算A'!$D$60:$II$104,$B37,190)*KD37=1,IF(AND($E37=2,TK37=0),1000000,INDEX('計算A'!GK$110:GK$114,$F37+1)+IF(AND($E37=1,TK37=0),1000,0)),1000000))</f>
        <v/>
      </c>
      <c r="ACS37">
        <f>IF($B37=0,1000000,IF(INDEX('計算A'!$D$60:$II$104,$B37,191)*KE37=1,IF(AND($E37=2,TL37=0),1000000,INDEX('計算A'!GL$110:GL$114,$F37+1)+IF(AND($E37=1,TL37=0),1000,0)),1000000))</f>
        <v/>
      </c>
      <c r="ACT37">
        <f>IF($B37=0,1000000,IF(INDEX('計算A'!$D$60:$II$104,$B37,192)*KF37=1,IF(AND($E37=2,TM37=0),1000000,INDEX('計算A'!GM$110:GM$114,$F37+1)+IF(AND($E37=1,TM37=0),1000,0)),1000000))</f>
        <v/>
      </c>
      <c r="ACU37">
        <f>IF($B37=0,1000000,IF(INDEX('計算A'!$D$60:$II$104,$B37,193)*KG37=1,IF(AND($E37=2,TN37=0),1000000,INDEX('計算A'!GN$110:GN$114,$F37+1)+IF(AND($E37=1,TN37=0),1000,0)),1000000))</f>
        <v/>
      </c>
      <c r="ACV37">
        <f>IF($B37=0,1000000,IF(INDEX('計算A'!$D$60:$II$104,$B37,194)*KH37=1,IF(AND($E37=2,TO37=0),1000000,INDEX('計算A'!GO$110:GO$114,$F37+1)+IF(AND($E37=1,TO37=0),1000,0)),1000000))</f>
        <v/>
      </c>
      <c r="ACW37">
        <f>IF($B37=0,1000000,IF(INDEX('計算A'!$D$60:$II$104,$B37,195)*KI37=1,IF(AND($E37=2,TP37=0),1000000,INDEX('計算A'!GP$110:GP$114,$F37+1)+IF(AND($E37=1,TP37=0),1000,0)),1000000))</f>
        <v/>
      </c>
      <c r="ACX37">
        <f>IF($B37=0,1000000,IF(INDEX('計算A'!$D$60:$II$104,$B37,196)*KJ37=1,IF(AND($E37=2,TQ37=0),1000000,INDEX('計算A'!GQ$110:GQ$114,$F37+1)+IF(AND($E37=1,TQ37=0),1000,0)),1000000))</f>
        <v/>
      </c>
      <c r="ACY37">
        <f>IF($B37=0,1000000,IF(INDEX('計算A'!$D$60:$II$104,$B37,197)*KK37=1,IF(AND($E37=2,TR37=0),1000000,INDEX('計算A'!GR$110:GR$114,$F37+1)+IF(AND($E37=1,TR37=0),1000,0)),1000000))</f>
        <v/>
      </c>
      <c r="ACZ37">
        <f>IF($B37=0,1000000,IF(INDEX('計算A'!$D$60:$II$104,$B37,198)*KL37=1,IF(AND($E37=2,TS37=0),1000000,INDEX('計算A'!GS$110:GS$114,$F37+1)+IF(AND($E37=1,TS37=0),1000,0)),1000000))</f>
        <v/>
      </c>
      <c r="ADA37">
        <f>IF($B37=0,1000000,IF(INDEX('計算A'!$D$60:$II$104,$B37,199)*KM37=1,IF(AND($E37=2,TT37=0),1000000,INDEX('計算A'!GT$110:GT$114,$F37+1)+IF(AND($E37=1,TT37=0),1000,0)),1000000))</f>
        <v/>
      </c>
      <c r="ADB37">
        <f>IF($B37=0,1000000,IF(INDEX('計算A'!$D$60:$II$104,$B37,200)*KN37=1,IF(AND($E37=2,TU37=0),1000000,INDEX('計算A'!GU$110:GU$114,$F37+1)+IF(AND($E37=1,TU37=0),1000,0)),1000000))</f>
        <v/>
      </c>
      <c r="ADC37">
        <f>IF($B37=0,1000000,IF(INDEX('計算A'!$D$60:$II$104,$B37,201)*KO37=1,IF(AND($E37=2,TV37=0),1000000,INDEX('計算A'!GV$110:GV$114,$F37+1)+IF(AND($E37=1,TV37=0),1000,0)),1000000))</f>
        <v/>
      </c>
      <c r="ADD37">
        <f>IF($B37=0,1000000,IF(INDEX('計算A'!$D$60:$II$104,$B37,202)*KP37=1,IF(AND($E37=2,TW37=0),1000000,INDEX('計算A'!GW$110:GW$114,$F37+1)+IF(AND($E37=1,TW37=0),1000,0)),1000000))</f>
        <v/>
      </c>
      <c r="ADE37">
        <f>IF($B37=0,1000000,IF(INDEX('計算A'!$D$60:$II$104,$B37,203)*KQ37=1,IF(AND($E37=2,TX37=0),1000000,INDEX('計算A'!GX$110:GX$114,$F37+1)+IF(AND($E37=1,TX37=0),1000,0)),1000000))</f>
        <v/>
      </c>
      <c r="ADF37">
        <f>IF($B37=0,1000000,IF(INDEX('計算A'!$D$60:$II$104,$B37,204)*KR37=1,IF(AND($E37=2,TY37=0),1000000,INDEX('計算A'!GY$110:GY$114,$F37+1)+IF(AND($E37=1,TY37=0),1000,0)),1000000))</f>
        <v/>
      </c>
      <c r="ADG37">
        <f>IF($B37=0,1000000,IF(INDEX('計算A'!$D$60:$II$104,$B37,205)*KS37=1,IF(AND($E37=2,TZ37=0),1000000,INDEX('計算A'!GZ$110:GZ$114,$F37+1)+IF(AND($E37=1,TZ37=0),1000,0)),1000000))</f>
        <v/>
      </c>
      <c r="ADH37">
        <f>IF($B37=0,1000000,IF(INDEX('計算A'!$D$60:$II$104,$B37,206)*KT37=1,IF(AND($E37=2,UA37=0),1000000,INDEX('計算A'!HA$110:HA$114,$F37+1)+IF(AND($E37=1,UA37=0),1000,0)),1000000))</f>
        <v/>
      </c>
      <c r="ADI37">
        <f>IF($B37=0,1000000,IF(INDEX('計算A'!$D$60:$II$104,$B37,207)*KU37=1,IF(AND($E37=2,UB37=0),1000000,INDEX('計算A'!HB$110:HB$114,$F37+1)+IF(AND($E37=1,UB37=0),1000,0)),1000000))</f>
        <v/>
      </c>
      <c r="ADJ37">
        <f>IF($B37=0,1000000,IF(INDEX('計算A'!$D$60:$II$104,$B37,208)*KV37=1,IF(AND($E37=2,UC37=0),1000000,INDEX('計算A'!HC$110:HC$114,$F37+1)+IF(AND($E37=1,UC37=0),1000,0)),1000000))</f>
        <v/>
      </c>
      <c r="ADK37">
        <f>IF($B37=0,1000000,IF(INDEX('計算A'!$D$60:$II$104,$B37,209)*KW37=1,IF(AND($E37=2,UD37=0),1000000,INDEX('計算A'!HD$110:HD$114,$F37+1)+IF(AND($E37=1,UD37=0),1000,0)),1000000))</f>
        <v/>
      </c>
      <c r="ADL37">
        <f>IF($B37=0,1000000,IF(INDEX('計算A'!$D$60:$II$104,$B37,210)*KX37=1,IF(AND($E37=2,UE37=0),1000000,INDEX('計算A'!HE$110:HE$114,$F37+1)+IF(AND($E37=1,UE37=0),1000,0)),1000000))</f>
        <v/>
      </c>
      <c r="ADM37">
        <f>IF($B37=0,1000000,IF(INDEX('計算A'!$D$60:$II$104,$B37,211)*KY37=1,IF(AND($E37=2,UF37=0),1000000,INDEX('計算A'!HF$110:HF$114,$F37+1)+IF(AND($E37=1,UF37=0),1000,0)),1000000))</f>
        <v/>
      </c>
      <c r="ADN37">
        <f>IF($B37=0,1000000,IF(INDEX('計算A'!$D$60:$II$104,$B37,212)*KZ37=1,IF(AND($E37=2,UG37=0),1000000,INDEX('計算A'!HG$110:HG$114,$F37+1)+IF(AND($E37=1,UG37=0),1000,0)),1000000))</f>
        <v/>
      </c>
      <c r="ADO37">
        <f>IF($B37=0,1000000,IF(INDEX('計算A'!$D$60:$II$104,$B37,213)*LA37=1,IF(AND($E37=2,UH37=0),1000000,INDEX('計算A'!HH$110:HH$114,$F37+1)+IF(AND($E37=1,UH37=0),1000,0)),1000000))</f>
        <v/>
      </c>
      <c r="ADP37">
        <f>IF($B37=0,1000000,IF(INDEX('計算A'!$D$60:$II$104,$B37,214)*LB37=1,IF(AND($E37=2,UI37=0),1000000,INDEX('計算A'!HI$110:HI$114,$F37+1)+IF(AND($E37=1,UI37=0),1000,0)),1000000))</f>
        <v/>
      </c>
      <c r="ADQ37">
        <f>IF($B37=0,1000000,IF(INDEX('計算A'!$D$60:$II$104,$B37,215)*LC37=1,IF(AND($E37=2,UJ37=0),1000000,INDEX('計算A'!HJ$110:HJ$114,$F37+1)+IF(AND($E37=1,UJ37=0),1000,0)),1000000))</f>
        <v/>
      </c>
      <c r="ADR37">
        <f>IF($B37=0,1000000,IF(INDEX('計算A'!$D$60:$II$104,$B37,216)*LD37=1,IF(AND($E37=2,UK37=0),1000000,INDEX('計算A'!HK$110:HK$114,$F37+1)+IF(AND($E37=1,UK37=0),1000,0)),1000000))</f>
        <v/>
      </c>
      <c r="ADS37">
        <f>IF($B37=0,1000000,IF(INDEX('計算A'!$D$60:$II$104,$B37,217)*LE37=1,IF(AND($E37=2,UL37=0),1000000,INDEX('計算A'!HL$110:HL$114,$F37+1)+IF(AND($E37=1,UL37=0),1000,0)),1000000))</f>
        <v/>
      </c>
      <c r="ADT37">
        <f>IF($B37=0,1000000,IF(INDEX('計算A'!$D$60:$II$104,$B37,218)*LF37=1,IF(AND($E37=2,UM37=0),1000000,INDEX('計算A'!HM$110:HM$114,$F37+1)+IF(AND($E37=1,UM37=0),1000,0)),1000000))</f>
        <v/>
      </c>
      <c r="ADU37">
        <f>IF($B37=0,1000000,IF(INDEX('計算A'!$D$60:$II$104,$B37,219)*LG37=1,IF(AND($E37=2,UN37=0),1000000,INDEX('計算A'!HN$110:HN$114,$F37+1)+IF(AND($E37=1,UN37=0),1000,0)),1000000))</f>
        <v/>
      </c>
      <c r="ADV37">
        <f>IF($B37=0,1000000,IF(INDEX('計算A'!$D$60:$II$104,$B37,220)*LH37=1,IF(AND($E37=2,UO37=0),1000000,INDEX('計算A'!HO$110:HO$114,$F37+1)+IF(AND($E37=1,UO37=0),1000,0)),1000000))</f>
        <v/>
      </c>
      <c r="ADW37">
        <f>IF($B37=0,1000000,IF(INDEX('計算A'!$D$60:$II$104,$B37,221)*LI37=1,IF(AND($E37=2,UP37=0),1000000,INDEX('計算A'!HP$110:HP$114,$F37+1)+IF(AND($E37=1,UP37=0),1000,0)),1000000))</f>
        <v/>
      </c>
      <c r="ADX37">
        <f>IF($B37=0,1000000,IF(INDEX('計算A'!$D$60:$II$104,$B37,222)*LJ37=1,IF(AND($E37=2,UQ37=0),1000000,INDEX('計算A'!HQ$110:HQ$114,$F37+1)+IF(AND($E37=1,UQ37=0),1000,0)),1000000))</f>
        <v/>
      </c>
      <c r="ADY37">
        <f>IF($B37=0,1000000,IF(INDEX('計算A'!$D$60:$II$104,$B37,223)*LK37=1,IF(AND($E37=2,UR37=0),1000000,INDEX('計算A'!HR$110:HR$114,$F37+1)+IF(AND($E37=1,UR37=0),1000,0)),1000000))</f>
        <v/>
      </c>
      <c r="ADZ37">
        <f>IF($B37=0,1000000,IF(INDEX('計算A'!$D$60:$II$104,$B37,224)*LL37=1,IF(AND($E37=2,US37=0),1000000,INDEX('計算A'!HS$110:HS$114,$F37+1)+IF(AND($E37=1,US37=0),1000,0)),1000000))</f>
        <v/>
      </c>
      <c r="AEA37">
        <f>IF($B37=0,1000000,IF(INDEX('計算A'!$D$60:$II$104,$B37,225)*LM37=1,IF(AND($E37=2,UT37=0),1000000,INDEX('計算A'!HT$110:HT$114,$F37+1)+IF(AND($E37=1,UT37=0),1000,0)),1000000))</f>
        <v/>
      </c>
      <c r="AEB37">
        <f>IF($B37=0,1000000,IF(INDEX('計算A'!$D$60:$II$104,$B37,226)*LN37=1,IF(AND($E37=2,UU37=0),1000000,INDEX('計算A'!HU$110:HU$114,$F37+1)+IF(AND($E37=1,UU37=0),1000,0)),1000000))</f>
        <v/>
      </c>
      <c r="AEC37">
        <f>IF($B37=0,1000000,IF(INDEX('計算A'!$D$60:$II$104,$B37,227)*LO37=1,IF(AND($E37=2,UV37=0),1000000,INDEX('計算A'!HV$110:HV$114,$F37+1)+IF(AND($E37=1,UV37=0),1000,0)),1000000))</f>
        <v/>
      </c>
      <c r="AED37">
        <f>IF($B37=0,1000000,IF(INDEX('計算A'!$D$60:$II$104,$B37,228)*LP37=1,IF(AND($E37=2,UW37=0),1000000,INDEX('計算A'!HW$110:HW$114,$F37+1)+IF(AND($E37=1,UW37=0),1000,0)),1000000))</f>
        <v/>
      </c>
      <c r="AEE37">
        <f>IF($B37=0,1000000,IF(INDEX('計算A'!$D$60:$II$104,$B37,229)*LQ37=1,IF(AND($E37=2,UX37=0),1000000,INDEX('計算A'!HX$110:HX$114,$F37+1)+IF(AND($E37=1,UX37=0),1000,0)),1000000))</f>
        <v/>
      </c>
      <c r="AEF37">
        <f>IF($B37=0,1000000,IF(INDEX('計算A'!$D$60:$II$104,$B37,230)*LR37=1,IF(AND($E37=2,UY37=0),1000000,INDEX('計算A'!HY$110:HY$114,$F37+1)+IF(AND($E37=1,UY37=0),1000,0)),1000000))</f>
        <v/>
      </c>
      <c r="AEG37">
        <f>IF($B37=0,1000000,IF(INDEX('計算A'!$D$60:$II$104,$B37,231)*LS37=1,IF(AND($E37=2,UZ37=0),1000000,INDEX('計算A'!HZ$110:HZ$114,$F37+1)+IF(AND($E37=1,UZ37=0),1000,0)),1000000))</f>
        <v/>
      </c>
      <c r="AEH37">
        <f>IF($B37=0,1000000,IF(INDEX('計算A'!$D$60:$II$104,$B37,232)*LT37=1,IF(AND($E37=2,VA37=0),1000000,INDEX('計算A'!IA$110:IA$114,$F37+1)+IF(AND($E37=1,VA37=0),1000,0)),1000000))</f>
        <v/>
      </c>
      <c r="AEI37">
        <f>IF($B37=0,1000000,IF(INDEX('計算A'!$D$60:$II$104,$B37,233)*LU37=1,IF(AND($E37=2,VB37=0),1000000,INDEX('計算A'!IB$110:IB$114,$F37+1)+IF(AND($E37=1,VB37=0),1000,0)),1000000))</f>
        <v/>
      </c>
      <c r="AEJ37">
        <f>IF($B37=0,1000000,IF(INDEX('計算A'!$D$60:$II$104,$B37,234)*LV37=1,IF(AND($E37=2,VC37=0),1000000,INDEX('計算A'!IC$110:IC$114,$F37+1)+IF(AND($E37=1,VC37=0),1000,0)),1000000))</f>
        <v/>
      </c>
      <c r="AEK37">
        <f>IF($B37=0,1000000,IF(INDEX('計算A'!$D$60:$II$104,$B37,235)*LW37=1,IF(AND($E37=2,VD37=0),1000000,INDEX('計算A'!ID$110:ID$114,$F37+1)+IF(AND($E37=1,VD37=0),1000,0)),1000000))</f>
        <v/>
      </c>
      <c r="AEL37">
        <f>IF($B37=0,1000000,IF(INDEX('計算A'!$D$60:$II$104,$B37,236)*LX37=1,IF(AND($E37=2,VE37=0),1000000,INDEX('計算A'!IE$110:IE$114,$F37+1)+IF(AND($E37=1,VE37=0),1000,0)),1000000))</f>
        <v/>
      </c>
      <c r="AEM37">
        <f>IF($B37=0,1000000,IF(INDEX('計算A'!$D$60:$II$104,$B37,237)*LY37=1,IF(AND($E37=2,VF37=0),1000000,INDEX('計算A'!IF$110:IF$114,$F37+1)+IF(AND($E37=1,VF37=0),1000,0)),1000000))</f>
        <v/>
      </c>
      <c r="AEN37">
        <f>IF($B37=0,1000000,IF(INDEX('計算A'!$D$60:$II$104,$B37,238)*LZ37=1,IF(AND($E37=2,VG37=0),1000000,INDEX('計算A'!IG$110:IG$114,$F37+1)+IF(AND($E37=1,VG37=0),1000,0)),1000000))</f>
        <v/>
      </c>
      <c r="AEO37">
        <f>IF($B37=0,1000000,IF(INDEX('計算A'!$D$60:$II$104,$B37,239)*MA37=1,IF(AND($E37=2,VH37=0),1000000,INDEX('計算A'!IH$110:IH$114,$F37+1)+IF(AND($E37=1,VH37=0),1000,0)),1000000))</f>
        <v/>
      </c>
      <c r="AEP37">
        <f>IF($B37=0,1000000,IF(INDEX('計算A'!$D$60:$II$104,$B37,240)*MB37=1,IF(AND($E37=2,VI37=0),1000000,INDEX('計算A'!II$110:II$114,$F37+1)+IF(AND($E37=1,VI37=0),1000,0)),1000000))</f>
        <v/>
      </c>
    </row>
    <row r="38">
      <c r="A38" t="n">
        <v>36</v>
      </c>
      <c r="B38">
        <f>IF(MIN(BC38:CU38)&gt;=1000000,0,MATCH(MIN(BC38:CU38),BC38:CU38,0))</f>
        <v/>
      </c>
      <c r="C38">
        <f>IF(MIN(VK38:AEP38)&gt;=1000000,0,MATCH(MIN(VK38:AEP38),VK38:AEP38,0))</f>
        <v/>
      </c>
      <c r="D38">
        <f>IF(C38&gt;0,INDEX('計算A'!$D$5:$II$5,C38),0)</f>
        <v/>
      </c>
      <c r="E38">
        <f>IF(B38=0,0,INDEX('計算A'!$IQ$10:$IQ$54,B38))</f>
        <v/>
      </c>
      <c r="F38">
        <f>IF(B38=0,0,INDEX('計算A'!$IP$10:$IP$54,B38))</f>
        <v/>
      </c>
      <c r="G38">
        <f>IF(AND(C38&gt;0,E38&gt;0),IF(AND(INDEX('計算A'!$D$106:$II$106,C38)=1,INDEX($MD38:$VI38,C38)=1),C38+1,0),0)</f>
        <v/>
      </c>
      <c r="I38">
        <f>MAX(I37,IF($B37=1,1,0))</f>
        <v/>
      </c>
      <c r="J38">
        <f>MAX(J37,IF($B37=2,1,0))</f>
        <v/>
      </c>
      <c r="K38">
        <f>MAX(K37,IF($B37=3,1,0))</f>
        <v/>
      </c>
      <c r="L38">
        <f>MAX(L37,IF($B37=4,1,0))</f>
        <v/>
      </c>
      <c r="M38">
        <f>MAX(M37,IF($B37=5,1,0))</f>
        <v/>
      </c>
      <c r="N38">
        <f>MAX(N37,IF($B37=6,1,0))</f>
        <v/>
      </c>
      <c r="O38">
        <f>MAX(O37,IF($B37=7,1,0))</f>
        <v/>
      </c>
      <c r="P38">
        <f>MAX(P37,IF($B37=8,1,0))</f>
        <v/>
      </c>
      <c r="Q38">
        <f>MAX(Q37,IF($B37=9,1,0))</f>
        <v/>
      </c>
      <c r="R38">
        <f>MAX(R37,IF($B37=10,1,0))</f>
        <v/>
      </c>
      <c r="S38">
        <f>MAX(S37,IF($B37=11,1,0))</f>
        <v/>
      </c>
      <c r="T38">
        <f>MAX(T37,IF($B37=12,1,0))</f>
        <v/>
      </c>
      <c r="U38">
        <f>MAX(U37,IF($B37=13,1,0))</f>
        <v/>
      </c>
      <c r="V38">
        <f>MAX(V37,IF($B37=14,1,0))</f>
        <v/>
      </c>
      <c r="W38">
        <f>MAX(W37,IF($B37=15,1,0))</f>
        <v/>
      </c>
      <c r="X38">
        <f>MAX(X37,IF($B37=16,1,0))</f>
        <v/>
      </c>
      <c r="Y38">
        <f>MAX(Y37,IF($B37=17,1,0))</f>
        <v/>
      </c>
      <c r="Z38">
        <f>MAX(Z37,IF($B37=18,1,0))</f>
        <v/>
      </c>
      <c r="AA38">
        <f>MAX(AA37,IF($B37=19,1,0))</f>
        <v/>
      </c>
      <c r="AB38">
        <f>MAX(AB37,IF($B37=20,1,0))</f>
        <v/>
      </c>
      <c r="AC38">
        <f>MAX(AC37,IF($B37=21,1,0))</f>
        <v/>
      </c>
      <c r="AD38">
        <f>MAX(AD37,IF($B37=22,1,0))</f>
        <v/>
      </c>
      <c r="AE38">
        <f>MAX(AE37,IF($B37=23,1,0))</f>
        <v/>
      </c>
      <c r="AF38">
        <f>MAX(AF37,IF($B37=24,1,0))</f>
        <v/>
      </c>
      <c r="AG38">
        <f>MAX(AG37,IF($B37=25,1,0))</f>
        <v/>
      </c>
      <c r="AH38">
        <f>MAX(AH37,IF($B37=26,1,0))</f>
        <v/>
      </c>
      <c r="AI38">
        <f>MAX(AI37,IF($B37=27,1,0))</f>
        <v/>
      </c>
      <c r="AJ38">
        <f>MAX(AJ37,IF($B37=28,1,0))</f>
        <v/>
      </c>
      <c r="AK38">
        <f>MAX(AK37,IF($B37=29,1,0))</f>
        <v/>
      </c>
      <c r="AL38">
        <f>MAX(AL37,IF($B37=30,1,0))</f>
        <v/>
      </c>
      <c r="AM38">
        <f>MAX(AM37,IF($B37=31,1,0))</f>
        <v/>
      </c>
      <c r="AN38">
        <f>MAX(AN37,IF($B37=32,1,0))</f>
        <v/>
      </c>
      <c r="AO38">
        <f>MAX(AO37,IF($B37=33,1,0))</f>
        <v/>
      </c>
      <c r="AP38">
        <f>MAX(AP37,IF($B37=34,1,0))</f>
        <v/>
      </c>
      <c r="AQ38">
        <f>MAX(AQ37,IF($B37=35,1,0))</f>
        <v/>
      </c>
      <c r="AR38">
        <f>MAX(AR37,IF($B37=36,1,0))</f>
        <v/>
      </c>
      <c r="AS38">
        <f>MAX(AS37,IF($B37=37,1,0))</f>
        <v/>
      </c>
      <c r="AT38">
        <f>MAX(AT37,IF($B37=38,1,0))</f>
        <v/>
      </c>
      <c r="AU38">
        <f>MAX(AU37,IF($B37=39,1,0))</f>
        <v/>
      </c>
      <c r="AV38">
        <f>MAX(AV37,IF($B37=40,1,0))</f>
        <v/>
      </c>
      <c r="AW38">
        <f>MAX(AW37,IF($B37=41,1,0))</f>
        <v/>
      </c>
      <c r="AX38">
        <f>MAX(AX37,IF($B37=42,1,0))</f>
        <v/>
      </c>
      <c r="AY38">
        <f>MAX(AY37,IF($B37=43,1,0))</f>
        <v/>
      </c>
      <c r="AZ38">
        <f>MAX(AZ37,IF($B37=44,1,0))</f>
        <v/>
      </c>
      <c r="BA38">
        <f>MAX(BA37,IF($B37=45,1,0))</f>
        <v/>
      </c>
      <c r="BC38">
        <f>IF(I38=1,1000000,IF('計算A'!$IQ$10=2,SUMPRODUCT('計算A'!$D$60:$II$60,$CW38:$MB38,$MD38:$VI38),SUMPRODUCT('計算A'!$D$60:$II$60,$CW38:$MB38))*1000+1)</f>
        <v/>
      </c>
      <c r="BD38">
        <f>IF(J38=1,1000000,IF('計算A'!$IQ$11=2,SUMPRODUCT('計算A'!$D$61:$II$61,$CW38:$MB38,$MD38:$VI38),SUMPRODUCT('計算A'!$D$61:$II$61,$CW38:$MB38))*1000+2)</f>
        <v/>
      </c>
      <c r="BE38">
        <f>IF(K38=1,1000000,IF('計算A'!$IQ$12=2,SUMPRODUCT('計算A'!$D$62:$II$62,$CW38:$MB38,$MD38:$VI38),SUMPRODUCT('計算A'!$D$62:$II$62,$CW38:$MB38))*1000+3)</f>
        <v/>
      </c>
      <c r="BF38">
        <f>IF(L38=1,1000000,IF('計算A'!$IQ$13=2,SUMPRODUCT('計算A'!$D$63:$II$63,$CW38:$MB38,$MD38:$VI38),SUMPRODUCT('計算A'!$D$63:$II$63,$CW38:$MB38))*1000+4)</f>
        <v/>
      </c>
      <c r="BG38">
        <f>IF(M38=1,1000000,IF('計算A'!$IQ$14=2,SUMPRODUCT('計算A'!$D$64:$II$64,$CW38:$MB38,$MD38:$VI38),SUMPRODUCT('計算A'!$D$64:$II$64,$CW38:$MB38))*1000+5)</f>
        <v/>
      </c>
      <c r="BH38">
        <f>IF(N38=1,1000000,IF('計算A'!$IQ$15=2,SUMPRODUCT('計算A'!$D$65:$II$65,$CW38:$MB38,$MD38:$VI38),SUMPRODUCT('計算A'!$D$65:$II$65,$CW38:$MB38))*1000+6)</f>
        <v/>
      </c>
      <c r="BI38">
        <f>IF(O38=1,1000000,IF('計算A'!$IQ$16=2,SUMPRODUCT('計算A'!$D$66:$II$66,$CW38:$MB38,$MD38:$VI38),SUMPRODUCT('計算A'!$D$66:$II$66,$CW38:$MB38))*1000+7)</f>
        <v/>
      </c>
      <c r="BJ38">
        <f>IF(P38=1,1000000,IF('計算A'!$IQ$17=2,SUMPRODUCT('計算A'!$D$67:$II$67,$CW38:$MB38,$MD38:$VI38),SUMPRODUCT('計算A'!$D$67:$II$67,$CW38:$MB38))*1000+8)</f>
        <v/>
      </c>
      <c r="BK38">
        <f>IF(Q38=1,1000000,IF('計算A'!$IQ$18=2,SUMPRODUCT('計算A'!$D$68:$II$68,$CW38:$MB38,$MD38:$VI38),SUMPRODUCT('計算A'!$D$68:$II$68,$CW38:$MB38))*1000+9)</f>
        <v/>
      </c>
      <c r="BL38">
        <f>IF(R38=1,1000000,IF('計算A'!$IQ$19=2,SUMPRODUCT('計算A'!$D$69:$II$69,$CW38:$MB38,$MD38:$VI38),SUMPRODUCT('計算A'!$D$69:$II$69,$CW38:$MB38))*1000+10)</f>
        <v/>
      </c>
      <c r="BM38">
        <f>IF(S38=1,1000000,IF('計算A'!$IQ$20=2,SUMPRODUCT('計算A'!$D$70:$II$70,$CW38:$MB38,$MD38:$VI38),SUMPRODUCT('計算A'!$D$70:$II$70,$CW38:$MB38))*1000+11)</f>
        <v/>
      </c>
      <c r="BN38">
        <f>IF(T38=1,1000000,IF('計算A'!$IQ$21=2,SUMPRODUCT('計算A'!$D$71:$II$71,$CW38:$MB38,$MD38:$VI38),SUMPRODUCT('計算A'!$D$71:$II$71,$CW38:$MB38))*1000+12)</f>
        <v/>
      </c>
      <c r="BO38">
        <f>IF(U38=1,1000000,IF('計算A'!$IQ$22=2,SUMPRODUCT('計算A'!$D$72:$II$72,$CW38:$MB38,$MD38:$VI38),SUMPRODUCT('計算A'!$D$72:$II$72,$CW38:$MB38))*1000+13)</f>
        <v/>
      </c>
      <c r="BP38">
        <f>IF(V38=1,1000000,IF('計算A'!$IQ$23=2,SUMPRODUCT('計算A'!$D$73:$II$73,$CW38:$MB38,$MD38:$VI38),SUMPRODUCT('計算A'!$D$73:$II$73,$CW38:$MB38))*1000+14)</f>
        <v/>
      </c>
      <c r="BQ38">
        <f>IF(W38=1,1000000,IF('計算A'!$IQ$24=2,SUMPRODUCT('計算A'!$D$74:$II$74,$CW38:$MB38,$MD38:$VI38),SUMPRODUCT('計算A'!$D$74:$II$74,$CW38:$MB38))*1000+15)</f>
        <v/>
      </c>
      <c r="BR38">
        <f>IF(X38=1,1000000,IF('計算A'!$IQ$25=2,SUMPRODUCT('計算A'!$D$75:$II$75,$CW38:$MB38,$MD38:$VI38),SUMPRODUCT('計算A'!$D$75:$II$75,$CW38:$MB38))*1000+16)</f>
        <v/>
      </c>
      <c r="BS38">
        <f>IF(Y38=1,1000000,IF('計算A'!$IQ$26=2,SUMPRODUCT('計算A'!$D$76:$II$76,$CW38:$MB38,$MD38:$VI38),SUMPRODUCT('計算A'!$D$76:$II$76,$CW38:$MB38))*1000+17)</f>
        <v/>
      </c>
      <c r="BT38">
        <f>IF(Z38=1,1000000,IF('計算A'!$IQ$27=2,SUMPRODUCT('計算A'!$D$77:$II$77,$CW38:$MB38,$MD38:$VI38),SUMPRODUCT('計算A'!$D$77:$II$77,$CW38:$MB38))*1000+18)</f>
        <v/>
      </c>
      <c r="BU38">
        <f>IF(AA38=1,1000000,IF('計算A'!$IQ$28=2,SUMPRODUCT('計算A'!$D$78:$II$78,$CW38:$MB38,$MD38:$VI38),SUMPRODUCT('計算A'!$D$78:$II$78,$CW38:$MB38))*1000+19)</f>
        <v/>
      </c>
      <c r="BV38">
        <f>IF(AB38=1,1000000,IF('計算A'!$IQ$29=2,SUMPRODUCT('計算A'!$D$79:$II$79,$CW38:$MB38,$MD38:$VI38),SUMPRODUCT('計算A'!$D$79:$II$79,$CW38:$MB38))*1000+20)</f>
        <v/>
      </c>
      <c r="BW38">
        <f>IF(AC38=1,1000000,IF('計算A'!$IQ$30=2,SUMPRODUCT('計算A'!$D$80:$II$80,$CW38:$MB38,$MD38:$VI38),SUMPRODUCT('計算A'!$D$80:$II$80,$CW38:$MB38))*1000+21)</f>
        <v/>
      </c>
      <c r="BX38">
        <f>IF(AD38=1,1000000,IF('計算A'!$IQ$31=2,SUMPRODUCT('計算A'!$D$81:$II$81,$CW38:$MB38,$MD38:$VI38),SUMPRODUCT('計算A'!$D$81:$II$81,$CW38:$MB38))*1000+22)</f>
        <v/>
      </c>
      <c r="BY38">
        <f>IF(AE38=1,1000000,IF('計算A'!$IQ$32=2,SUMPRODUCT('計算A'!$D$82:$II$82,$CW38:$MB38,$MD38:$VI38),SUMPRODUCT('計算A'!$D$82:$II$82,$CW38:$MB38))*1000+23)</f>
        <v/>
      </c>
      <c r="BZ38">
        <f>IF(AF38=1,1000000,IF('計算A'!$IQ$33=2,SUMPRODUCT('計算A'!$D$83:$II$83,$CW38:$MB38,$MD38:$VI38),SUMPRODUCT('計算A'!$D$83:$II$83,$CW38:$MB38))*1000+24)</f>
        <v/>
      </c>
      <c r="CA38">
        <f>IF(AG38=1,1000000,IF('計算A'!$IQ$34=2,SUMPRODUCT('計算A'!$D$84:$II$84,$CW38:$MB38,$MD38:$VI38),SUMPRODUCT('計算A'!$D$84:$II$84,$CW38:$MB38))*1000+25)</f>
        <v/>
      </c>
      <c r="CB38">
        <f>IF(AH38=1,1000000,IF('計算A'!$IQ$35=2,SUMPRODUCT('計算A'!$D$85:$II$85,$CW38:$MB38,$MD38:$VI38),SUMPRODUCT('計算A'!$D$85:$II$85,$CW38:$MB38))*1000+26)</f>
        <v/>
      </c>
      <c r="CC38">
        <f>IF(AI38=1,1000000,IF('計算A'!$IQ$36=2,SUMPRODUCT('計算A'!$D$86:$II$86,$CW38:$MB38,$MD38:$VI38),SUMPRODUCT('計算A'!$D$86:$II$86,$CW38:$MB38))*1000+27)</f>
        <v/>
      </c>
      <c r="CD38">
        <f>IF(AJ38=1,1000000,IF('計算A'!$IQ$37=2,SUMPRODUCT('計算A'!$D$87:$II$87,$CW38:$MB38,$MD38:$VI38),SUMPRODUCT('計算A'!$D$87:$II$87,$CW38:$MB38))*1000+28)</f>
        <v/>
      </c>
      <c r="CE38">
        <f>IF(AK38=1,1000000,IF('計算A'!$IQ$38=2,SUMPRODUCT('計算A'!$D$88:$II$88,$CW38:$MB38,$MD38:$VI38),SUMPRODUCT('計算A'!$D$88:$II$88,$CW38:$MB38))*1000+29)</f>
        <v/>
      </c>
      <c r="CF38">
        <f>IF(AL38=1,1000000,IF('計算A'!$IQ$39=2,SUMPRODUCT('計算A'!$D$89:$II$89,$CW38:$MB38,$MD38:$VI38),SUMPRODUCT('計算A'!$D$89:$II$89,$CW38:$MB38))*1000+30)</f>
        <v/>
      </c>
      <c r="CG38">
        <f>IF(AM38=1,1000000,IF('計算A'!$IQ$40=2,SUMPRODUCT('計算A'!$D$90:$II$90,$CW38:$MB38,$MD38:$VI38),SUMPRODUCT('計算A'!$D$90:$II$90,$CW38:$MB38))*1000+31)</f>
        <v/>
      </c>
      <c r="CH38">
        <f>IF(AN38=1,1000000,IF('計算A'!$IQ$41=2,SUMPRODUCT('計算A'!$D$91:$II$91,$CW38:$MB38,$MD38:$VI38),SUMPRODUCT('計算A'!$D$91:$II$91,$CW38:$MB38))*1000+32)</f>
        <v/>
      </c>
      <c r="CI38">
        <f>IF(AO38=1,1000000,IF('計算A'!$IQ$42=2,SUMPRODUCT('計算A'!$D$92:$II$92,$CW38:$MB38,$MD38:$VI38),SUMPRODUCT('計算A'!$D$92:$II$92,$CW38:$MB38))*1000+33)</f>
        <v/>
      </c>
      <c r="CJ38">
        <f>IF(AP38=1,1000000,IF('計算A'!$IQ$43=2,SUMPRODUCT('計算A'!$D$93:$II$93,$CW38:$MB38,$MD38:$VI38),SUMPRODUCT('計算A'!$D$93:$II$93,$CW38:$MB38))*1000+34)</f>
        <v/>
      </c>
      <c r="CK38">
        <f>IF(AQ38=1,1000000,IF('計算A'!$IQ$44=2,SUMPRODUCT('計算A'!$D$94:$II$94,$CW38:$MB38,$MD38:$VI38),SUMPRODUCT('計算A'!$D$94:$II$94,$CW38:$MB38))*1000+35)</f>
        <v/>
      </c>
      <c r="CL38">
        <f>IF(AR38=1,1000000,IF('計算A'!$IQ$45=2,SUMPRODUCT('計算A'!$D$95:$II$95,$CW38:$MB38,$MD38:$VI38),SUMPRODUCT('計算A'!$D$95:$II$95,$CW38:$MB38))*1000+36)</f>
        <v/>
      </c>
      <c r="CM38">
        <f>IF(AS38=1,1000000,IF('計算A'!$IQ$46=2,SUMPRODUCT('計算A'!$D$96:$II$96,$CW38:$MB38,$MD38:$VI38),SUMPRODUCT('計算A'!$D$96:$II$96,$CW38:$MB38))*1000+37)</f>
        <v/>
      </c>
      <c r="CN38">
        <f>IF(AT38=1,1000000,IF('計算A'!$IQ$47=2,SUMPRODUCT('計算A'!$D$97:$II$97,$CW38:$MB38,$MD38:$VI38),SUMPRODUCT('計算A'!$D$97:$II$97,$CW38:$MB38))*1000+38)</f>
        <v/>
      </c>
      <c r="CO38">
        <f>IF(AU38=1,1000000,IF('計算A'!$IQ$48=2,SUMPRODUCT('計算A'!$D$98:$II$98,$CW38:$MB38,$MD38:$VI38),SUMPRODUCT('計算A'!$D$98:$II$98,$CW38:$MB38))*1000+39)</f>
        <v/>
      </c>
      <c r="CP38">
        <f>IF(AV38=1,1000000,IF('計算A'!$IQ$49=2,SUMPRODUCT('計算A'!$D$99:$II$99,$CW38:$MB38,$MD38:$VI38),SUMPRODUCT('計算A'!$D$99:$II$99,$CW38:$MB38))*1000+40)</f>
        <v/>
      </c>
      <c r="CQ38">
        <f>IF(AW38=1,1000000,IF('計算A'!$IQ$50=2,SUMPRODUCT('計算A'!$D$100:$II$100,$CW38:$MB38,$MD38:$VI38),SUMPRODUCT('計算A'!$D$100:$II$100,$CW38:$MB38))*1000+41)</f>
        <v/>
      </c>
      <c r="CR38">
        <f>IF(AX38=1,1000000,IF('計算A'!$IQ$51=2,SUMPRODUCT('計算A'!$D$101:$II$101,$CW38:$MB38,$MD38:$VI38),SUMPRODUCT('計算A'!$D$101:$II$101,$CW38:$MB38))*1000+42)</f>
        <v/>
      </c>
      <c r="CS38">
        <f>IF(AY38=1,1000000,IF('計算A'!$IQ$52=2,SUMPRODUCT('計算A'!$D$102:$II$102,$CW38:$MB38,$MD38:$VI38),SUMPRODUCT('計算A'!$D$102:$II$102,$CW38:$MB38))*1000+43)</f>
        <v/>
      </c>
      <c r="CT38">
        <f>IF(AZ38=1,1000000,IF('計算A'!$IQ$53=2,SUMPRODUCT('計算A'!$D$103:$II$103,$CW38:$MB38,$MD38:$VI38),SUMPRODUCT('計算A'!$D$103:$II$103,$CW38:$MB38))*1000+44)</f>
        <v/>
      </c>
      <c r="CU38">
        <f>IF(BA38=1,1000000,IF('計算A'!$IQ$54=2,SUMPRODUCT('計算A'!$D$104:$II$104,$CW38:$MB38,$MD38:$VI38),SUMPRODUCT('計算A'!$D$104:$II$104,$CW38:$MB38))*1000+45)</f>
        <v/>
      </c>
      <c r="CW38">
        <f>CW37*IF(OR($C37=1,$G37=1),0,1)</f>
        <v/>
      </c>
      <c r="CX38">
        <f>CX37*IF(OR($C37=2,$G37=2),0,1)</f>
        <v/>
      </c>
      <c r="CY38">
        <f>CY37*IF(OR($C37=3,$G37=3),0,1)</f>
        <v/>
      </c>
      <c r="CZ38">
        <f>CZ37*IF(OR($C37=4,$G37=4),0,1)</f>
        <v/>
      </c>
      <c r="DA38">
        <f>DA37*IF(OR($C37=5,$G37=5),0,1)</f>
        <v/>
      </c>
      <c r="DB38">
        <f>DB37*IF(OR($C37=6,$G37=6),0,1)</f>
        <v/>
      </c>
      <c r="DC38">
        <f>DC37*IF(OR($C37=7,$G37=7),0,1)</f>
        <v/>
      </c>
      <c r="DD38">
        <f>DD37*IF(OR($C37=8,$G37=8),0,1)</f>
        <v/>
      </c>
      <c r="DE38">
        <f>DE37*IF(OR($C37=9,$G37=9),0,1)</f>
        <v/>
      </c>
      <c r="DF38">
        <f>DF37*IF(OR($C37=10,$G37=10),0,1)</f>
        <v/>
      </c>
      <c r="DG38">
        <f>DG37*IF(OR($C37=11,$G37=11),0,1)</f>
        <v/>
      </c>
      <c r="DH38">
        <f>DH37*IF(OR($C37=12,$G37=12),0,1)</f>
        <v/>
      </c>
      <c r="DI38">
        <f>DI37*IF(OR($C37=13,$G37=13),0,1)</f>
        <v/>
      </c>
      <c r="DJ38">
        <f>DJ37*IF(OR($C37=14,$G37=14),0,1)</f>
        <v/>
      </c>
      <c r="DK38">
        <f>DK37*IF(OR($C37=15,$G37=15),0,1)</f>
        <v/>
      </c>
      <c r="DL38">
        <f>DL37*IF(OR($C37=16,$G37=16),0,1)</f>
        <v/>
      </c>
      <c r="DM38">
        <f>DM37*IF(OR($C37=17,$G37=17),0,1)</f>
        <v/>
      </c>
      <c r="DN38">
        <f>DN37*IF(OR($C37=18,$G37=18),0,1)</f>
        <v/>
      </c>
      <c r="DO38">
        <f>DO37*IF(OR($C37=19,$G37=19),0,1)</f>
        <v/>
      </c>
      <c r="DP38">
        <f>DP37*IF(OR($C37=20,$G37=20),0,1)</f>
        <v/>
      </c>
      <c r="DQ38">
        <f>DQ37*IF(OR($C37=21,$G37=21),0,1)</f>
        <v/>
      </c>
      <c r="DR38">
        <f>DR37*IF(OR($C37=22,$G37=22),0,1)</f>
        <v/>
      </c>
      <c r="DS38">
        <f>DS37*IF(OR($C37=23,$G37=23),0,1)</f>
        <v/>
      </c>
      <c r="DT38">
        <f>DT37*IF(OR($C37=24,$G37=24),0,1)</f>
        <v/>
      </c>
      <c r="DU38">
        <f>DU37*IF(OR($C37=25,$G37=25),0,1)</f>
        <v/>
      </c>
      <c r="DV38">
        <f>DV37*IF(OR($C37=26,$G37=26),0,1)</f>
        <v/>
      </c>
      <c r="DW38">
        <f>DW37*IF(OR($C37=27,$G37=27),0,1)</f>
        <v/>
      </c>
      <c r="DX38">
        <f>DX37*IF(OR($C37=28,$G37=28),0,1)</f>
        <v/>
      </c>
      <c r="DY38">
        <f>DY37*IF(OR($C37=29,$G37=29),0,1)</f>
        <v/>
      </c>
      <c r="DZ38">
        <f>DZ37*IF(OR($C37=30,$G37=30),0,1)</f>
        <v/>
      </c>
      <c r="EA38">
        <f>EA37*IF(OR($C37=31,$G37=31),0,1)</f>
        <v/>
      </c>
      <c r="EB38">
        <f>EB37*IF(OR($C37=32,$G37=32),0,1)</f>
        <v/>
      </c>
      <c r="EC38">
        <f>EC37*IF(OR($C37=33,$G37=33),0,1)</f>
        <v/>
      </c>
      <c r="ED38">
        <f>ED37*IF(OR($C37=34,$G37=34),0,1)</f>
        <v/>
      </c>
      <c r="EE38">
        <f>EE37*IF(OR($C37=35,$G37=35),0,1)</f>
        <v/>
      </c>
      <c r="EF38">
        <f>EF37*IF(OR($C37=36,$G37=36),0,1)</f>
        <v/>
      </c>
      <c r="EG38">
        <f>EG37*IF(OR($C37=37,$G37=37),0,1)</f>
        <v/>
      </c>
      <c r="EH38">
        <f>EH37*IF(OR($C37=38,$G37=38),0,1)</f>
        <v/>
      </c>
      <c r="EI38">
        <f>EI37*IF(OR($C37=39,$G37=39),0,1)</f>
        <v/>
      </c>
      <c r="EJ38">
        <f>EJ37*IF(OR($C37=40,$G37=40),0,1)</f>
        <v/>
      </c>
      <c r="EK38">
        <f>EK37*IF(OR($C37=41,$G37=41),0,1)</f>
        <v/>
      </c>
      <c r="EL38">
        <f>EL37*IF(OR($C37=42,$G37=42),0,1)</f>
        <v/>
      </c>
      <c r="EM38">
        <f>EM37*IF(OR($C37=43,$G37=43),0,1)</f>
        <v/>
      </c>
      <c r="EN38">
        <f>EN37*IF(OR($C37=44,$G37=44),0,1)</f>
        <v/>
      </c>
      <c r="EO38">
        <f>EO37*IF(OR($C37=45,$G37=45),0,1)</f>
        <v/>
      </c>
      <c r="EP38">
        <f>EP37*IF(OR($C37=46,$G37=46),0,1)</f>
        <v/>
      </c>
      <c r="EQ38">
        <f>EQ37*IF(OR($C37=47,$G37=47),0,1)</f>
        <v/>
      </c>
      <c r="ER38">
        <f>ER37*IF(OR($C37=48,$G37=48),0,1)</f>
        <v/>
      </c>
      <c r="ES38">
        <f>ES37*IF(OR($C37=49,$G37=49),0,1)</f>
        <v/>
      </c>
      <c r="ET38">
        <f>ET37*IF(OR($C37=50,$G37=50),0,1)</f>
        <v/>
      </c>
      <c r="EU38">
        <f>EU37*IF(OR($C37=51,$G37=51),0,1)</f>
        <v/>
      </c>
      <c r="EV38">
        <f>EV37*IF(OR($C37=52,$G37=52),0,1)</f>
        <v/>
      </c>
      <c r="EW38">
        <f>EW37*IF(OR($C37=53,$G37=53),0,1)</f>
        <v/>
      </c>
      <c r="EX38">
        <f>EX37*IF(OR($C37=54,$G37=54),0,1)</f>
        <v/>
      </c>
      <c r="EY38">
        <f>EY37*IF(OR($C37=55,$G37=55),0,1)</f>
        <v/>
      </c>
      <c r="EZ38">
        <f>EZ37*IF(OR($C37=56,$G37=56),0,1)</f>
        <v/>
      </c>
      <c r="FA38">
        <f>FA37*IF(OR($C37=57,$G37=57),0,1)</f>
        <v/>
      </c>
      <c r="FB38">
        <f>FB37*IF(OR($C37=58,$G37=58),0,1)</f>
        <v/>
      </c>
      <c r="FC38">
        <f>FC37*IF(OR($C37=59,$G37=59),0,1)</f>
        <v/>
      </c>
      <c r="FD38">
        <f>FD37*IF(OR($C37=60,$G37=60),0,1)</f>
        <v/>
      </c>
      <c r="FE38">
        <f>FE37*IF(OR($C37=61,$G37=61),0,1)</f>
        <v/>
      </c>
      <c r="FF38">
        <f>FF37*IF(OR($C37=62,$G37=62),0,1)</f>
        <v/>
      </c>
      <c r="FG38">
        <f>FG37*IF(OR($C37=63,$G37=63),0,1)</f>
        <v/>
      </c>
      <c r="FH38">
        <f>FH37*IF(OR($C37=64,$G37=64),0,1)</f>
        <v/>
      </c>
      <c r="FI38">
        <f>FI37*IF(OR($C37=65,$G37=65),0,1)</f>
        <v/>
      </c>
      <c r="FJ38">
        <f>FJ37*IF(OR($C37=66,$G37=66),0,1)</f>
        <v/>
      </c>
      <c r="FK38">
        <f>FK37*IF(OR($C37=67,$G37=67),0,1)</f>
        <v/>
      </c>
      <c r="FL38">
        <f>FL37*IF(OR($C37=68,$G37=68),0,1)</f>
        <v/>
      </c>
      <c r="FM38">
        <f>FM37*IF(OR($C37=69,$G37=69),0,1)</f>
        <v/>
      </c>
      <c r="FN38">
        <f>FN37*IF(OR($C37=70,$G37=70),0,1)</f>
        <v/>
      </c>
      <c r="FO38">
        <f>FO37*IF(OR($C37=71,$G37=71),0,1)</f>
        <v/>
      </c>
      <c r="FP38">
        <f>FP37*IF(OR($C37=72,$G37=72),0,1)</f>
        <v/>
      </c>
      <c r="FQ38">
        <f>FQ37*IF(OR($C37=73,$G37=73),0,1)</f>
        <v/>
      </c>
      <c r="FR38">
        <f>FR37*IF(OR($C37=74,$G37=74),0,1)</f>
        <v/>
      </c>
      <c r="FS38">
        <f>FS37*IF(OR($C37=75,$G37=75),0,1)</f>
        <v/>
      </c>
      <c r="FT38">
        <f>FT37*IF(OR($C37=76,$G37=76),0,1)</f>
        <v/>
      </c>
      <c r="FU38">
        <f>FU37*IF(OR($C37=77,$G37=77),0,1)</f>
        <v/>
      </c>
      <c r="FV38">
        <f>FV37*IF(OR($C37=78,$G37=78),0,1)</f>
        <v/>
      </c>
      <c r="FW38">
        <f>FW37*IF(OR($C37=79,$G37=79),0,1)</f>
        <v/>
      </c>
      <c r="FX38">
        <f>FX37*IF(OR($C37=80,$G37=80),0,1)</f>
        <v/>
      </c>
      <c r="FY38">
        <f>FY37*IF(OR($C37=81,$G37=81),0,1)</f>
        <v/>
      </c>
      <c r="FZ38">
        <f>FZ37*IF(OR($C37=82,$G37=82),0,1)</f>
        <v/>
      </c>
      <c r="GA38">
        <f>GA37*IF(OR($C37=83,$G37=83),0,1)</f>
        <v/>
      </c>
      <c r="GB38">
        <f>GB37*IF(OR($C37=84,$G37=84),0,1)</f>
        <v/>
      </c>
      <c r="GC38">
        <f>GC37*IF(OR($C37=85,$G37=85),0,1)</f>
        <v/>
      </c>
      <c r="GD38">
        <f>GD37*IF(OR($C37=86,$G37=86),0,1)</f>
        <v/>
      </c>
      <c r="GE38">
        <f>GE37*IF(OR($C37=87,$G37=87),0,1)</f>
        <v/>
      </c>
      <c r="GF38">
        <f>GF37*IF(OR($C37=88,$G37=88),0,1)</f>
        <v/>
      </c>
      <c r="GG38">
        <f>GG37*IF(OR($C37=89,$G37=89),0,1)</f>
        <v/>
      </c>
      <c r="GH38">
        <f>GH37*IF(OR($C37=90,$G37=90),0,1)</f>
        <v/>
      </c>
      <c r="GI38">
        <f>GI37*IF(OR($C37=91,$G37=91),0,1)</f>
        <v/>
      </c>
      <c r="GJ38">
        <f>GJ37*IF(OR($C37=92,$G37=92),0,1)</f>
        <v/>
      </c>
      <c r="GK38">
        <f>GK37*IF(OR($C37=93,$G37=93),0,1)</f>
        <v/>
      </c>
      <c r="GL38">
        <f>GL37*IF(OR($C37=94,$G37=94),0,1)</f>
        <v/>
      </c>
      <c r="GM38">
        <f>GM37*IF(OR($C37=95,$G37=95),0,1)</f>
        <v/>
      </c>
      <c r="GN38">
        <f>GN37*IF(OR($C37=96,$G37=96),0,1)</f>
        <v/>
      </c>
      <c r="GO38">
        <f>GO37*IF(OR($C37=97,$G37=97),0,1)</f>
        <v/>
      </c>
      <c r="GP38">
        <f>GP37*IF(OR($C37=98,$G37=98),0,1)</f>
        <v/>
      </c>
      <c r="GQ38">
        <f>GQ37*IF(OR($C37=99,$G37=99),0,1)</f>
        <v/>
      </c>
      <c r="GR38">
        <f>GR37*IF(OR($C37=100,$G37=100),0,1)</f>
        <v/>
      </c>
      <c r="GS38">
        <f>GS37*IF(OR($C37=101,$G37=101),0,1)</f>
        <v/>
      </c>
      <c r="GT38">
        <f>GT37*IF(OR($C37=102,$G37=102),0,1)</f>
        <v/>
      </c>
      <c r="GU38">
        <f>GU37*IF(OR($C37=103,$G37=103),0,1)</f>
        <v/>
      </c>
      <c r="GV38">
        <f>GV37*IF(OR($C37=104,$G37=104),0,1)</f>
        <v/>
      </c>
      <c r="GW38">
        <f>GW37*IF(OR($C37=105,$G37=105),0,1)</f>
        <v/>
      </c>
      <c r="GX38">
        <f>GX37*IF(OR($C37=106,$G37=106),0,1)</f>
        <v/>
      </c>
      <c r="GY38">
        <f>GY37*IF(OR($C37=107,$G37=107),0,1)</f>
        <v/>
      </c>
      <c r="GZ38">
        <f>GZ37*IF(OR($C37=108,$G37=108),0,1)</f>
        <v/>
      </c>
      <c r="HA38">
        <f>HA37*IF(OR($C37=109,$G37=109),0,1)</f>
        <v/>
      </c>
      <c r="HB38">
        <f>HB37*IF(OR($C37=110,$G37=110),0,1)</f>
        <v/>
      </c>
      <c r="HC38">
        <f>HC37*IF(OR($C37=111,$G37=111),0,1)</f>
        <v/>
      </c>
      <c r="HD38">
        <f>HD37*IF(OR($C37=112,$G37=112),0,1)</f>
        <v/>
      </c>
      <c r="HE38">
        <f>HE37*IF(OR($C37=113,$G37=113),0,1)</f>
        <v/>
      </c>
      <c r="HF38">
        <f>HF37*IF(OR($C37=114,$G37=114),0,1)</f>
        <v/>
      </c>
      <c r="HG38">
        <f>HG37*IF(OR($C37=115,$G37=115),0,1)</f>
        <v/>
      </c>
      <c r="HH38">
        <f>HH37*IF(OR($C37=116,$G37=116),0,1)</f>
        <v/>
      </c>
      <c r="HI38">
        <f>HI37*IF(OR($C37=117,$G37=117),0,1)</f>
        <v/>
      </c>
      <c r="HJ38">
        <f>HJ37*IF(OR($C37=118,$G37=118),0,1)</f>
        <v/>
      </c>
      <c r="HK38">
        <f>HK37*IF(OR($C37=119,$G37=119),0,1)</f>
        <v/>
      </c>
      <c r="HL38">
        <f>HL37*IF(OR($C37=120,$G37=120),0,1)</f>
        <v/>
      </c>
      <c r="HM38">
        <f>HM37*IF(OR($C37=121,$G37=121),0,1)</f>
        <v/>
      </c>
      <c r="HN38">
        <f>HN37*IF(OR($C37=122,$G37=122),0,1)</f>
        <v/>
      </c>
      <c r="HO38">
        <f>HO37*IF(OR($C37=123,$G37=123),0,1)</f>
        <v/>
      </c>
      <c r="HP38">
        <f>HP37*IF(OR($C37=124,$G37=124),0,1)</f>
        <v/>
      </c>
      <c r="HQ38">
        <f>HQ37*IF(OR($C37=125,$G37=125),0,1)</f>
        <v/>
      </c>
      <c r="HR38">
        <f>HR37*IF(OR($C37=126,$G37=126),0,1)</f>
        <v/>
      </c>
      <c r="HS38">
        <f>HS37*IF(OR($C37=127,$G37=127),0,1)</f>
        <v/>
      </c>
      <c r="HT38">
        <f>HT37*IF(OR($C37=128,$G37=128),0,1)</f>
        <v/>
      </c>
      <c r="HU38">
        <f>HU37*IF(OR($C37=129,$G37=129),0,1)</f>
        <v/>
      </c>
      <c r="HV38">
        <f>HV37*IF(OR($C37=130,$G37=130),0,1)</f>
        <v/>
      </c>
      <c r="HW38">
        <f>HW37*IF(OR($C37=131,$G37=131),0,1)</f>
        <v/>
      </c>
      <c r="HX38">
        <f>HX37*IF(OR($C37=132,$G37=132),0,1)</f>
        <v/>
      </c>
      <c r="HY38">
        <f>HY37*IF(OR($C37=133,$G37=133),0,1)</f>
        <v/>
      </c>
      <c r="HZ38">
        <f>HZ37*IF(OR($C37=134,$G37=134),0,1)</f>
        <v/>
      </c>
      <c r="IA38">
        <f>IA37*IF(OR($C37=135,$G37=135),0,1)</f>
        <v/>
      </c>
      <c r="IB38">
        <f>IB37*IF(OR($C37=136,$G37=136),0,1)</f>
        <v/>
      </c>
      <c r="IC38">
        <f>IC37*IF(OR($C37=137,$G37=137),0,1)</f>
        <v/>
      </c>
      <c r="ID38">
        <f>ID37*IF(OR($C37=138,$G37=138),0,1)</f>
        <v/>
      </c>
      <c r="IE38">
        <f>IE37*IF(OR($C37=139,$G37=139),0,1)</f>
        <v/>
      </c>
      <c r="IF38">
        <f>IF37*IF(OR($C37=140,$G37=140),0,1)</f>
        <v/>
      </c>
      <c r="IG38">
        <f>IG37*IF(OR($C37=141,$G37=141),0,1)</f>
        <v/>
      </c>
      <c r="IH38">
        <f>IH37*IF(OR($C37=142,$G37=142),0,1)</f>
        <v/>
      </c>
      <c r="II38">
        <f>II37*IF(OR($C37=143,$G37=143),0,1)</f>
        <v/>
      </c>
      <c r="IJ38">
        <f>IJ37*IF(OR($C37=144,$G37=144),0,1)</f>
        <v/>
      </c>
      <c r="IK38">
        <f>IK37*IF(OR($C37=145,$G37=145),0,1)</f>
        <v/>
      </c>
      <c r="IL38">
        <f>IL37*IF(OR($C37=146,$G37=146),0,1)</f>
        <v/>
      </c>
      <c r="IM38">
        <f>IM37*IF(OR($C37=147,$G37=147),0,1)</f>
        <v/>
      </c>
      <c r="IN38">
        <f>IN37*IF(OR($C37=148,$G37=148),0,1)</f>
        <v/>
      </c>
      <c r="IO38">
        <f>IO37*IF(OR($C37=149,$G37=149),0,1)</f>
        <v/>
      </c>
      <c r="IP38">
        <f>IP37*IF(OR($C37=150,$G37=150),0,1)</f>
        <v/>
      </c>
      <c r="IQ38">
        <f>IQ37*IF(OR($C37=151,$G37=151),0,1)</f>
        <v/>
      </c>
      <c r="IR38">
        <f>IR37*IF(OR($C37=152,$G37=152),0,1)</f>
        <v/>
      </c>
      <c r="IS38">
        <f>IS37*IF(OR($C37=153,$G37=153),0,1)</f>
        <v/>
      </c>
      <c r="IT38">
        <f>IT37*IF(OR($C37=154,$G37=154),0,1)</f>
        <v/>
      </c>
      <c r="IU38">
        <f>IU37*IF(OR($C37=155,$G37=155),0,1)</f>
        <v/>
      </c>
      <c r="IV38">
        <f>IV37*IF(OR($C37=156,$G37=156),0,1)</f>
        <v/>
      </c>
      <c r="IW38">
        <f>IW37*IF(OR($C37=157,$G37=157),0,1)</f>
        <v/>
      </c>
      <c r="IX38">
        <f>IX37*IF(OR($C37=158,$G37=158),0,1)</f>
        <v/>
      </c>
      <c r="IY38">
        <f>IY37*IF(OR($C37=159,$G37=159),0,1)</f>
        <v/>
      </c>
      <c r="IZ38">
        <f>IZ37*IF(OR($C37=160,$G37=160),0,1)</f>
        <v/>
      </c>
      <c r="JA38">
        <f>JA37*IF(OR($C37=161,$G37=161),0,1)</f>
        <v/>
      </c>
      <c r="JB38">
        <f>JB37*IF(OR($C37=162,$G37=162),0,1)</f>
        <v/>
      </c>
      <c r="JC38">
        <f>JC37*IF(OR($C37=163,$G37=163),0,1)</f>
        <v/>
      </c>
      <c r="JD38">
        <f>JD37*IF(OR($C37=164,$G37=164),0,1)</f>
        <v/>
      </c>
      <c r="JE38">
        <f>JE37*IF(OR($C37=165,$G37=165),0,1)</f>
        <v/>
      </c>
      <c r="JF38">
        <f>JF37*IF(OR($C37=166,$G37=166),0,1)</f>
        <v/>
      </c>
      <c r="JG38">
        <f>JG37*IF(OR($C37=167,$G37=167),0,1)</f>
        <v/>
      </c>
      <c r="JH38">
        <f>JH37*IF(OR($C37=168,$G37=168),0,1)</f>
        <v/>
      </c>
      <c r="JI38">
        <f>JI37*IF(OR($C37=169,$G37=169),0,1)</f>
        <v/>
      </c>
      <c r="JJ38">
        <f>JJ37*IF(OR($C37=170,$G37=170),0,1)</f>
        <v/>
      </c>
      <c r="JK38">
        <f>JK37*IF(OR($C37=171,$G37=171),0,1)</f>
        <v/>
      </c>
      <c r="JL38">
        <f>JL37*IF(OR($C37=172,$G37=172),0,1)</f>
        <v/>
      </c>
      <c r="JM38">
        <f>JM37*IF(OR($C37=173,$G37=173),0,1)</f>
        <v/>
      </c>
      <c r="JN38">
        <f>JN37*IF(OR($C37=174,$G37=174),0,1)</f>
        <v/>
      </c>
      <c r="JO38">
        <f>JO37*IF(OR($C37=175,$G37=175),0,1)</f>
        <v/>
      </c>
      <c r="JP38">
        <f>JP37*IF(OR($C37=176,$G37=176),0,1)</f>
        <v/>
      </c>
      <c r="JQ38">
        <f>JQ37*IF(OR($C37=177,$G37=177),0,1)</f>
        <v/>
      </c>
      <c r="JR38">
        <f>JR37*IF(OR($C37=178,$G37=178),0,1)</f>
        <v/>
      </c>
      <c r="JS38">
        <f>JS37*IF(OR($C37=179,$G37=179),0,1)</f>
        <v/>
      </c>
      <c r="JT38">
        <f>JT37*IF(OR($C37=180,$G37=180),0,1)</f>
        <v/>
      </c>
      <c r="JU38">
        <f>JU37*IF(OR($C37=181,$G37=181),0,1)</f>
        <v/>
      </c>
      <c r="JV38">
        <f>JV37*IF(OR($C37=182,$G37=182),0,1)</f>
        <v/>
      </c>
      <c r="JW38">
        <f>JW37*IF(OR($C37=183,$G37=183),0,1)</f>
        <v/>
      </c>
      <c r="JX38">
        <f>JX37*IF(OR($C37=184,$G37=184),0,1)</f>
        <v/>
      </c>
      <c r="JY38">
        <f>JY37*IF(OR($C37=185,$G37=185),0,1)</f>
        <v/>
      </c>
      <c r="JZ38">
        <f>JZ37*IF(OR($C37=186,$G37=186),0,1)</f>
        <v/>
      </c>
      <c r="KA38">
        <f>KA37*IF(OR($C37=187,$G37=187),0,1)</f>
        <v/>
      </c>
      <c r="KB38">
        <f>KB37*IF(OR($C37=188,$G37=188),0,1)</f>
        <v/>
      </c>
      <c r="KC38">
        <f>KC37*IF(OR($C37=189,$G37=189),0,1)</f>
        <v/>
      </c>
      <c r="KD38">
        <f>KD37*IF(OR($C37=190,$G37=190),0,1)</f>
        <v/>
      </c>
      <c r="KE38">
        <f>KE37*IF(OR($C37=191,$G37=191),0,1)</f>
        <v/>
      </c>
      <c r="KF38">
        <f>KF37*IF(OR($C37=192,$G37=192),0,1)</f>
        <v/>
      </c>
      <c r="KG38">
        <f>KG37*IF(OR($C37=193,$G37=193),0,1)</f>
        <v/>
      </c>
      <c r="KH38">
        <f>KH37*IF(OR($C37=194,$G37=194),0,1)</f>
        <v/>
      </c>
      <c r="KI38">
        <f>KI37*IF(OR($C37=195,$G37=195),0,1)</f>
        <v/>
      </c>
      <c r="KJ38">
        <f>KJ37*IF(OR($C37=196,$G37=196),0,1)</f>
        <v/>
      </c>
      <c r="KK38">
        <f>KK37*IF(OR($C37=197,$G37=197),0,1)</f>
        <v/>
      </c>
      <c r="KL38">
        <f>KL37*IF(OR($C37=198,$G37=198),0,1)</f>
        <v/>
      </c>
      <c r="KM38">
        <f>KM37*IF(OR($C37=199,$G37=199),0,1)</f>
        <v/>
      </c>
      <c r="KN38">
        <f>KN37*IF(OR($C37=200,$G37=200),0,1)</f>
        <v/>
      </c>
      <c r="KO38">
        <f>KO37*IF(OR($C37=201,$G37=201),0,1)</f>
        <v/>
      </c>
      <c r="KP38">
        <f>KP37*IF(OR($C37=202,$G37=202),0,1)</f>
        <v/>
      </c>
      <c r="KQ38">
        <f>KQ37*IF(OR($C37=203,$G37=203),0,1)</f>
        <v/>
      </c>
      <c r="KR38">
        <f>KR37*IF(OR($C37=204,$G37=204),0,1)</f>
        <v/>
      </c>
      <c r="KS38">
        <f>KS37*IF(OR($C37=205,$G37=205),0,1)</f>
        <v/>
      </c>
      <c r="KT38">
        <f>KT37*IF(OR($C37=206,$G37=206),0,1)</f>
        <v/>
      </c>
      <c r="KU38">
        <f>KU37*IF(OR($C37=207,$G37=207),0,1)</f>
        <v/>
      </c>
      <c r="KV38">
        <f>KV37*IF(OR($C37=208,$G37=208),0,1)</f>
        <v/>
      </c>
      <c r="KW38">
        <f>KW37*IF(OR($C37=209,$G37=209),0,1)</f>
        <v/>
      </c>
      <c r="KX38">
        <f>KX37*IF(OR($C37=210,$G37=210),0,1)</f>
        <v/>
      </c>
      <c r="KY38">
        <f>KY37*IF(OR($C37=211,$G37=211),0,1)</f>
        <v/>
      </c>
      <c r="KZ38">
        <f>KZ37*IF(OR($C37=212,$G37=212),0,1)</f>
        <v/>
      </c>
      <c r="LA38">
        <f>LA37*IF(OR($C37=213,$G37=213),0,1)</f>
        <v/>
      </c>
      <c r="LB38">
        <f>LB37*IF(OR($C37=214,$G37=214),0,1)</f>
        <v/>
      </c>
      <c r="LC38">
        <f>LC37*IF(OR($C37=215,$G37=215),0,1)</f>
        <v/>
      </c>
      <c r="LD38">
        <f>LD37*IF(OR($C37=216,$G37=216),0,1)</f>
        <v/>
      </c>
      <c r="LE38">
        <f>LE37*IF(OR($C37=217,$G37=217),0,1)</f>
        <v/>
      </c>
      <c r="LF38">
        <f>LF37*IF(OR($C37=218,$G37=218),0,1)</f>
        <v/>
      </c>
      <c r="LG38">
        <f>LG37*IF(OR($C37=219,$G37=219),0,1)</f>
        <v/>
      </c>
      <c r="LH38">
        <f>LH37*IF(OR($C37=220,$G37=220),0,1)</f>
        <v/>
      </c>
      <c r="LI38">
        <f>LI37*IF(OR($C37=221,$G37=221),0,1)</f>
        <v/>
      </c>
      <c r="LJ38">
        <f>LJ37*IF(OR($C37=222,$G37=222),0,1)</f>
        <v/>
      </c>
      <c r="LK38">
        <f>LK37*IF(OR($C37=223,$G37=223),0,1)</f>
        <v/>
      </c>
      <c r="LL38">
        <f>LL37*IF(OR($C37=224,$G37=224),0,1)</f>
        <v/>
      </c>
      <c r="LM38">
        <f>LM37*IF(OR($C37=225,$G37=225),0,1)</f>
        <v/>
      </c>
      <c r="LN38">
        <f>LN37*IF(OR($C37=226,$G37=226),0,1)</f>
        <v/>
      </c>
      <c r="LO38">
        <f>LO37*IF(OR($C37=227,$G37=227),0,1)</f>
        <v/>
      </c>
      <c r="LP38">
        <f>LP37*IF(OR($C37=228,$G37=228),0,1)</f>
        <v/>
      </c>
      <c r="LQ38">
        <f>LQ37*IF(OR($C37=229,$G37=229),0,1)</f>
        <v/>
      </c>
      <c r="LR38">
        <f>LR37*IF(OR($C37=230,$G37=230),0,1)</f>
        <v/>
      </c>
      <c r="LS38">
        <f>LS37*IF(OR($C37=231,$G37=231),0,1)</f>
        <v/>
      </c>
      <c r="LT38">
        <f>LT37*IF(OR($C37=232,$G37=232),0,1)</f>
        <v/>
      </c>
      <c r="LU38">
        <f>LU37*IF(OR($C37=233,$G37=233),0,1)</f>
        <v/>
      </c>
      <c r="LV38">
        <f>LV37*IF(OR($C37=234,$G37=234),0,1)</f>
        <v/>
      </c>
      <c r="LW38">
        <f>LW37*IF(OR($C37=235,$G37=235),0,1)</f>
        <v/>
      </c>
      <c r="LX38">
        <f>LX37*IF(OR($C37=236,$G37=236),0,1)</f>
        <v/>
      </c>
      <c r="LY38">
        <f>LY37*IF(OR($C37=237,$G37=237),0,1)</f>
        <v/>
      </c>
      <c r="LZ38">
        <f>LZ37*IF(OR($C37=238,$G37=238),0,1)</f>
        <v/>
      </c>
      <c r="MA38">
        <f>MA37*IF(OR($C37=239,$G37=239),0,1)</f>
        <v/>
      </c>
      <c r="MB38">
        <f>MB37*IF(OR($C37=240,$G37=240),0,1)</f>
        <v/>
      </c>
      <c r="MD38">
        <f>IF('計算A'!D$106=1,CX38,1)</f>
        <v/>
      </c>
      <c r="ME38">
        <f>IF('計算A'!E$106=1,CY38,1)</f>
        <v/>
      </c>
      <c r="MF38">
        <f>IF('計算A'!F$106=1,CZ38,1)</f>
        <v/>
      </c>
      <c r="MG38">
        <f>IF('計算A'!G$106=1,DA38,1)</f>
        <v/>
      </c>
      <c r="MH38">
        <f>IF('計算A'!H$106=1,DB38,1)</f>
        <v/>
      </c>
      <c r="MI38">
        <f>IF('計算A'!I$106=1,DC38,1)</f>
        <v/>
      </c>
      <c r="MJ38">
        <f>IF('計算A'!J$106=1,DD38,1)</f>
        <v/>
      </c>
      <c r="MK38">
        <f>IF('計算A'!K$106=1,DE38,1)</f>
        <v/>
      </c>
      <c r="ML38">
        <f>IF('計算A'!L$106=1,DF38,1)</f>
        <v/>
      </c>
      <c r="MM38">
        <f>IF('計算A'!M$106=1,DG38,1)</f>
        <v/>
      </c>
      <c r="MN38">
        <f>IF('計算A'!N$106=1,DH38,1)</f>
        <v/>
      </c>
      <c r="MO38">
        <f>IF('計算A'!O$106=1,DI38,1)</f>
        <v/>
      </c>
      <c r="MP38">
        <f>IF('計算A'!P$106=1,DJ38,1)</f>
        <v/>
      </c>
      <c r="MQ38">
        <f>IF('計算A'!Q$106=1,DK38,1)</f>
        <v/>
      </c>
      <c r="MR38">
        <f>IF('計算A'!R$106=1,DL38,1)</f>
        <v/>
      </c>
      <c r="MS38">
        <f>IF('計算A'!S$106=1,DM38,1)</f>
        <v/>
      </c>
      <c r="MT38">
        <f>IF('計算A'!T$106=1,DN38,1)</f>
        <v/>
      </c>
      <c r="MU38">
        <f>IF('計算A'!U$106=1,DO38,1)</f>
        <v/>
      </c>
      <c r="MV38">
        <f>IF('計算A'!V$106=1,DP38,1)</f>
        <v/>
      </c>
      <c r="MW38">
        <f>IF('計算A'!W$106=1,DQ38,1)</f>
        <v/>
      </c>
      <c r="MX38">
        <f>IF('計算A'!X$106=1,DR38,1)</f>
        <v/>
      </c>
      <c r="MY38">
        <f>IF('計算A'!Y$106=1,DS38,1)</f>
        <v/>
      </c>
      <c r="MZ38">
        <f>IF('計算A'!Z$106=1,DT38,1)</f>
        <v/>
      </c>
      <c r="NA38">
        <f>IF('計算A'!AA$106=1,DU38,1)</f>
        <v/>
      </c>
      <c r="NB38">
        <f>IF('計算A'!AB$106=1,DV38,1)</f>
        <v/>
      </c>
      <c r="NC38">
        <f>IF('計算A'!AC$106=1,DW38,1)</f>
        <v/>
      </c>
      <c r="ND38">
        <f>IF('計算A'!AD$106=1,DX38,1)</f>
        <v/>
      </c>
      <c r="NE38">
        <f>IF('計算A'!AE$106=1,DY38,1)</f>
        <v/>
      </c>
      <c r="NF38">
        <f>IF('計算A'!AF$106=1,DZ38,1)</f>
        <v/>
      </c>
      <c r="NG38">
        <f>IF('計算A'!AG$106=1,EA38,1)</f>
        <v/>
      </c>
      <c r="NH38">
        <f>IF('計算A'!AH$106=1,EB38,1)</f>
        <v/>
      </c>
      <c r="NI38">
        <f>IF('計算A'!AI$106=1,EC38,1)</f>
        <v/>
      </c>
      <c r="NJ38">
        <f>IF('計算A'!AJ$106=1,ED38,1)</f>
        <v/>
      </c>
      <c r="NK38">
        <f>IF('計算A'!AK$106=1,EE38,1)</f>
        <v/>
      </c>
      <c r="NL38">
        <f>IF('計算A'!AL$106=1,EF38,1)</f>
        <v/>
      </c>
      <c r="NM38">
        <f>IF('計算A'!AM$106=1,EG38,1)</f>
        <v/>
      </c>
      <c r="NN38">
        <f>IF('計算A'!AN$106=1,EH38,1)</f>
        <v/>
      </c>
      <c r="NO38">
        <f>IF('計算A'!AO$106=1,EI38,1)</f>
        <v/>
      </c>
      <c r="NP38">
        <f>IF('計算A'!AP$106=1,EJ38,1)</f>
        <v/>
      </c>
      <c r="NQ38">
        <f>IF('計算A'!AQ$106=1,EK38,1)</f>
        <v/>
      </c>
      <c r="NR38">
        <f>IF('計算A'!AR$106=1,EL38,1)</f>
        <v/>
      </c>
      <c r="NS38">
        <f>IF('計算A'!AS$106=1,EM38,1)</f>
        <v/>
      </c>
      <c r="NT38">
        <f>IF('計算A'!AT$106=1,EN38,1)</f>
        <v/>
      </c>
      <c r="NU38">
        <f>IF('計算A'!AU$106=1,EO38,1)</f>
        <v/>
      </c>
      <c r="NV38">
        <f>IF('計算A'!AV$106=1,EP38,1)</f>
        <v/>
      </c>
      <c r="NW38">
        <f>IF('計算A'!AW$106=1,EQ38,1)</f>
        <v/>
      </c>
      <c r="NX38">
        <f>IF('計算A'!AX$106=1,ER38,1)</f>
        <v/>
      </c>
      <c r="NY38">
        <f>IF('計算A'!AY$106=1,ES38,1)</f>
        <v/>
      </c>
      <c r="NZ38">
        <f>IF('計算A'!AZ$106=1,ET38,1)</f>
        <v/>
      </c>
      <c r="OA38">
        <f>IF('計算A'!BA$106=1,EU38,1)</f>
        <v/>
      </c>
      <c r="OB38">
        <f>IF('計算A'!BB$106=1,EV38,1)</f>
        <v/>
      </c>
      <c r="OC38">
        <f>IF('計算A'!BC$106=1,EW38,1)</f>
        <v/>
      </c>
      <c r="OD38">
        <f>IF('計算A'!BD$106=1,EX38,1)</f>
        <v/>
      </c>
      <c r="OE38">
        <f>IF('計算A'!BE$106=1,EY38,1)</f>
        <v/>
      </c>
      <c r="OF38">
        <f>IF('計算A'!BF$106=1,EZ38,1)</f>
        <v/>
      </c>
      <c r="OG38">
        <f>IF('計算A'!BG$106=1,FA38,1)</f>
        <v/>
      </c>
      <c r="OH38">
        <f>IF('計算A'!BH$106=1,FB38,1)</f>
        <v/>
      </c>
      <c r="OI38">
        <f>IF('計算A'!BI$106=1,FC38,1)</f>
        <v/>
      </c>
      <c r="OJ38">
        <f>IF('計算A'!BJ$106=1,FD38,1)</f>
        <v/>
      </c>
      <c r="OK38">
        <f>IF('計算A'!BK$106=1,FE38,1)</f>
        <v/>
      </c>
      <c r="OL38">
        <f>IF('計算A'!BL$106=1,FF38,1)</f>
        <v/>
      </c>
      <c r="OM38">
        <f>IF('計算A'!BM$106=1,FG38,1)</f>
        <v/>
      </c>
      <c r="ON38">
        <f>IF('計算A'!BN$106=1,FH38,1)</f>
        <v/>
      </c>
      <c r="OO38">
        <f>IF('計算A'!BO$106=1,FI38,1)</f>
        <v/>
      </c>
      <c r="OP38">
        <f>IF('計算A'!BP$106=1,FJ38,1)</f>
        <v/>
      </c>
      <c r="OQ38">
        <f>IF('計算A'!BQ$106=1,FK38,1)</f>
        <v/>
      </c>
      <c r="OR38">
        <f>IF('計算A'!BR$106=1,FL38,1)</f>
        <v/>
      </c>
      <c r="OS38">
        <f>IF('計算A'!BS$106=1,FM38,1)</f>
        <v/>
      </c>
      <c r="OT38">
        <f>IF('計算A'!BT$106=1,FN38,1)</f>
        <v/>
      </c>
      <c r="OU38">
        <f>IF('計算A'!BU$106=1,FO38,1)</f>
        <v/>
      </c>
      <c r="OV38">
        <f>IF('計算A'!BV$106=1,FP38,1)</f>
        <v/>
      </c>
      <c r="OW38">
        <f>IF('計算A'!BW$106=1,FQ38,1)</f>
        <v/>
      </c>
      <c r="OX38">
        <f>IF('計算A'!BX$106=1,FR38,1)</f>
        <v/>
      </c>
      <c r="OY38">
        <f>IF('計算A'!BY$106=1,FS38,1)</f>
        <v/>
      </c>
      <c r="OZ38">
        <f>IF('計算A'!BZ$106=1,FT38,1)</f>
        <v/>
      </c>
      <c r="PA38">
        <f>IF('計算A'!CA$106=1,FU38,1)</f>
        <v/>
      </c>
      <c r="PB38">
        <f>IF('計算A'!CB$106=1,FV38,1)</f>
        <v/>
      </c>
      <c r="PC38">
        <f>IF('計算A'!CC$106=1,FW38,1)</f>
        <v/>
      </c>
      <c r="PD38">
        <f>IF('計算A'!CD$106=1,FX38,1)</f>
        <v/>
      </c>
      <c r="PE38">
        <f>IF('計算A'!CE$106=1,FY38,1)</f>
        <v/>
      </c>
      <c r="PF38">
        <f>IF('計算A'!CF$106=1,FZ38,1)</f>
        <v/>
      </c>
      <c r="PG38">
        <f>IF('計算A'!CG$106=1,GA38,1)</f>
        <v/>
      </c>
      <c r="PH38">
        <f>IF('計算A'!CH$106=1,GB38,1)</f>
        <v/>
      </c>
      <c r="PI38">
        <f>IF('計算A'!CI$106=1,GC38,1)</f>
        <v/>
      </c>
      <c r="PJ38">
        <f>IF('計算A'!CJ$106=1,GD38,1)</f>
        <v/>
      </c>
      <c r="PK38">
        <f>IF('計算A'!CK$106=1,GE38,1)</f>
        <v/>
      </c>
      <c r="PL38">
        <f>IF('計算A'!CL$106=1,GF38,1)</f>
        <v/>
      </c>
      <c r="PM38">
        <f>IF('計算A'!CM$106=1,GG38,1)</f>
        <v/>
      </c>
      <c r="PN38">
        <f>IF('計算A'!CN$106=1,GH38,1)</f>
        <v/>
      </c>
      <c r="PO38">
        <f>IF('計算A'!CO$106=1,GI38,1)</f>
        <v/>
      </c>
      <c r="PP38">
        <f>IF('計算A'!CP$106=1,GJ38,1)</f>
        <v/>
      </c>
      <c r="PQ38">
        <f>IF('計算A'!CQ$106=1,GK38,1)</f>
        <v/>
      </c>
      <c r="PR38">
        <f>IF('計算A'!CR$106=1,GL38,1)</f>
        <v/>
      </c>
      <c r="PS38">
        <f>IF('計算A'!CS$106=1,GM38,1)</f>
        <v/>
      </c>
      <c r="PT38">
        <f>IF('計算A'!CT$106=1,GN38,1)</f>
        <v/>
      </c>
      <c r="PU38">
        <f>IF('計算A'!CU$106=1,GO38,1)</f>
        <v/>
      </c>
      <c r="PV38">
        <f>IF('計算A'!CV$106=1,GP38,1)</f>
        <v/>
      </c>
      <c r="PW38">
        <f>IF('計算A'!CW$106=1,GQ38,1)</f>
        <v/>
      </c>
      <c r="PX38">
        <f>IF('計算A'!CX$106=1,GR38,1)</f>
        <v/>
      </c>
      <c r="PY38">
        <f>IF('計算A'!CY$106=1,GS38,1)</f>
        <v/>
      </c>
      <c r="PZ38">
        <f>IF('計算A'!CZ$106=1,GT38,1)</f>
        <v/>
      </c>
      <c r="QA38">
        <f>IF('計算A'!DA$106=1,GU38,1)</f>
        <v/>
      </c>
      <c r="QB38">
        <f>IF('計算A'!DB$106=1,GV38,1)</f>
        <v/>
      </c>
      <c r="QC38">
        <f>IF('計算A'!DC$106=1,GW38,1)</f>
        <v/>
      </c>
      <c r="QD38">
        <f>IF('計算A'!DD$106=1,GX38,1)</f>
        <v/>
      </c>
      <c r="QE38">
        <f>IF('計算A'!DE$106=1,GY38,1)</f>
        <v/>
      </c>
      <c r="QF38">
        <f>IF('計算A'!DF$106=1,GZ38,1)</f>
        <v/>
      </c>
      <c r="QG38">
        <f>IF('計算A'!DG$106=1,HA38,1)</f>
        <v/>
      </c>
      <c r="QH38">
        <f>IF('計算A'!DH$106=1,HB38,1)</f>
        <v/>
      </c>
      <c r="QI38">
        <f>IF('計算A'!DI$106=1,HC38,1)</f>
        <v/>
      </c>
      <c r="QJ38">
        <f>IF('計算A'!DJ$106=1,HD38,1)</f>
        <v/>
      </c>
      <c r="QK38">
        <f>IF('計算A'!DK$106=1,HE38,1)</f>
        <v/>
      </c>
      <c r="QL38">
        <f>IF('計算A'!DL$106=1,HF38,1)</f>
        <v/>
      </c>
      <c r="QM38">
        <f>IF('計算A'!DM$106=1,HG38,1)</f>
        <v/>
      </c>
      <c r="QN38">
        <f>IF('計算A'!DN$106=1,HH38,1)</f>
        <v/>
      </c>
      <c r="QO38">
        <f>IF('計算A'!DO$106=1,HI38,1)</f>
        <v/>
      </c>
      <c r="QP38">
        <f>IF('計算A'!DP$106=1,HJ38,1)</f>
        <v/>
      </c>
      <c r="QQ38">
        <f>IF('計算A'!DQ$106=1,HK38,1)</f>
        <v/>
      </c>
      <c r="QR38">
        <f>IF('計算A'!DR$106=1,HL38,1)</f>
        <v/>
      </c>
      <c r="QS38">
        <f>IF('計算A'!DS$106=1,HM38,1)</f>
        <v/>
      </c>
      <c r="QT38">
        <f>IF('計算A'!DT$106=1,HN38,1)</f>
        <v/>
      </c>
      <c r="QU38">
        <f>IF('計算A'!DU$106=1,HO38,1)</f>
        <v/>
      </c>
      <c r="QV38">
        <f>IF('計算A'!DV$106=1,HP38,1)</f>
        <v/>
      </c>
      <c r="QW38">
        <f>IF('計算A'!DW$106=1,HQ38,1)</f>
        <v/>
      </c>
      <c r="QX38">
        <f>IF('計算A'!DX$106=1,HR38,1)</f>
        <v/>
      </c>
      <c r="QY38">
        <f>IF('計算A'!DY$106=1,HS38,1)</f>
        <v/>
      </c>
      <c r="QZ38">
        <f>IF('計算A'!DZ$106=1,HT38,1)</f>
        <v/>
      </c>
      <c r="RA38">
        <f>IF('計算A'!EA$106=1,HU38,1)</f>
        <v/>
      </c>
      <c r="RB38">
        <f>IF('計算A'!EB$106=1,HV38,1)</f>
        <v/>
      </c>
      <c r="RC38">
        <f>IF('計算A'!EC$106=1,HW38,1)</f>
        <v/>
      </c>
      <c r="RD38">
        <f>IF('計算A'!ED$106=1,HX38,1)</f>
        <v/>
      </c>
      <c r="RE38">
        <f>IF('計算A'!EE$106=1,HY38,1)</f>
        <v/>
      </c>
      <c r="RF38">
        <f>IF('計算A'!EF$106=1,HZ38,1)</f>
        <v/>
      </c>
      <c r="RG38">
        <f>IF('計算A'!EG$106=1,IA38,1)</f>
        <v/>
      </c>
      <c r="RH38">
        <f>IF('計算A'!EH$106=1,IB38,1)</f>
        <v/>
      </c>
      <c r="RI38">
        <f>IF('計算A'!EI$106=1,IC38,1)</f>
        <v/>
      </c>
      <c r="RJ38">
        <f>IF('計算A'!EJ$106=1,ID38,1)</f>
        <v/>
      </c>
      <c r="RK38">
        <f>IF('計算A'!EK$106=1,IE38,1)</f>
        <v/>
      </c>
      <c r="RL38">
        <f>IF('計算A'!EL$106=1,IF38,1)</f>
        <v/>
      </c>
      <c r="RM38">
        <f>IF('計算A'!EM$106=1,IG38,1)</f>
        <v/>
      </c>
      <c r="RN38">
        <f>IF('計算A'!EN$106=1,IH38,1)</f>
        <v/>
      </c>
      <c r="RO38">
        <f>IF('計算A'!EO$106=1,II38,1)</f>
        <v/>
      </c>
      <c r="RP38">
        <f>IF('計算A'!EP$106=1,IJ38,1)</f>
        <v/>
      </c>
      <c r="RQ38">
        <f>IF('計算A'!EQ$106=1,IK38,1)</f>
        <v/>
      </c>
      <c r="RR38">
        <f>IF('計算A'!ER$106=1,IL38,1)</f>
        <v/>
      </c>
      <c r="RS38">
        <f>IF('計算A'!ES$106=1,IM38,1)</f>
        <v/>
      </c>
      <c r="RT38">
        <f>IF('計算A'!ET$106=1,IN38,1)</f>
        <v/>
      </c>
      <c r="RU38">
        <f>IF('計算A'!EU$106=1,IO38,1)</f>
        <v/>
      </c>
      <c r="RV38">
        <f>IF('計算A'!EV$106=1,IP38,1)</f>
        <v/>
      </c>
      <c r="RW38">
        <f>IF('計算A'!EW$106=1,IQ38,1)</f>
        <v/>
      </c>
      <c r="RX38">
        <f>IF('計算A'!EX$106=1,IR38,1)</f>
        <v/>
      </c>
      <c r="RY38">
        <f>IF('計算A'!EY$106=1,IS38,1)</f>
        <v/>
      </c>
      <c r="RZ38">
        <f>IF('計算A'!EZ$106=1,IT38,1)</f>
        <v/>
      </c>
      <c r="SA38">
        <f>IF('計算A'!FA$106=1,IU38,1)</f>
        <v/>
      </c>
      <c r="SB38">
        <f>IF('計算A'!FB$106=1,IV38,1)</f>
        <v/>
      </c>
      <c r="SC38">
        <f>IF('計算A'!FC$106=1,IW38,1)</f>
        <v/>
      </c>
      <c r="SD38">
        <f>IF('計算A'!FD$106=1,IX38,1)</f>
        <v/>
      </c>
      <c r="SE38">
        <f>IF('計算A'!FE$106=1,IY38,1)</f>
        <v/>
      </c>
      <c r="SF38">
        <f>IF('計算A'!FF$106=1,IZ38,1)</f>
        <v/>
      </c>
      <c r="SG38">
        <f>IF('計算A'!FG$106=1,JA38,1)</f>
        <v/>
      </c>
      <c r="SH38">
        <f>IF('計算A'!FH$106=1,JB38,1)</f>
        <v/>
      </c>
      <c r="SI38">
        <f>IF('計算A'!FI$106=1,JC38,1)</f>
        <v/>
      </c>
      <c r="SJ38">
        <f>IF('計算A'!FJ$106=1,JD38,1)</f>
        <v/>
      </c>
      <c r="SK38">
        <f>IF('計算A'!FK$106=1,JE38,1)</f>
        <v/>
      </c>
      <c r="SL38">
        <f>IF('計算A'!FL$106=1,JF38,1)</f>
        <v/>
      </c>
      <c r="SM38">
        <f>IF('計算A'!FM$106=1,JG38,1)</f>
        <v/>
      </c>
      <c r="SN38">
        <f>IF('計算A'!FN$106=1,JH38,1)</f>
        <v/>
      </c>
      <c r="SO38">
        <f>IF('計算A'!FO$106=1,JI38,1)</f>
        <v/>
      </c>
      <c r="SP38">
        <f>IF('計算A'!FP$106=1,JJ38,1)</f>
        <v/>
      </c>
      <c r="SQ38">
        <f>IF('計算A'!FQ$106=1,JK38,1)</f>
        <v/>
      </c>
      <c r="SR38">
        <f>IF('計算A'!FR$106=1,JL38,1)</f>
        <v/>
      </c>
      <c r="SS38">
        <f>IF('計算A'!FS$106=1,JM38,1)</f>
        <v/>
      </c>
      <c r="ST38">
        <f>IF('計算A'!FT$106=1,JN38,1)</f>
        <v/>
      </c>
      <c r="SU38">
        <f>IF('計算A'!FU$106=1,JO38,1)</f>
        <v/>
      </c>
      <c r="SV38">
        <f>IF('計算A'!FV$106=1,JP38,1)</f>
        <v/>
      </c>
      <c r="SW38">
        <f>IF('計算A'!FW$106=1,JQ38,1)</f>
        <v/>
      </c>
      <c r="SX38">
        <f>IF('計算A'!FX$106=1,JR38,1)</f>
        <v/>
      </c>
      <c r="SY38">
        <f>IF('計算A'!FY$106=1,JS38,1)</f>
        <v/>
      </c>
      <c r="SZ38">
        <f>IF('計算A'!FZ$106=1,JT38,1)</f>
        <v/>
      </c>
      <c r="TA38">
        <f>IF('計算A'!GA$106=1,JU38,1)</f>
        <v/>
      </c>
      <c r="TB38">
        <f>IF('計算A'!GB$106=1,JV38,1)</f>
        <v/>
      </c>
      <c r="TC38">
        <f>IF('計算A'!GC$106=1,JW38,1)</f>
        <v/>
      </c>
      <c r="TD38">
        <f>IF('計算A'!GD$106=1,JX38,1)</f>
        <v/>
      </c>
      <c r="TE38">
        <f>IF('計算A'!GE$106=1,JY38,1)</f>
        <v/>
      </c>
      <c r="TF38">
        <f>IF('計算A'!GF$106=1,JZ38,1)</f>
        <v/>
      </c>
      <c r="TG38">
        <f>IF('計算A'!GG$106=1,KA38,1)</f>
        <v/>
      </c>
      <c r="TH38">
        <f>IF('計算A'!GH$106=1,KB38,1)</f>
        <v/>
      </c>
      <c r="TI38">
        <f>IF('計算A'!GI$106=1,KC38,1)</f>
        <v/>
      </c>
      <c r="TJ38">
        <f>IF('計算A'!GJ$106=1,KD38,1)</f>
        <v/>
      </c>
      <c r="TK38">
        <f>IF('計算A'!GK$106=1,KE38,1)</f>
        <v/>
      </c>
      <c r="TL38">
        <f>IF('計算A'!GL$106=1,KF38,1)</f>
        <v/>
      </c>
      <c r="TM38">
        <f>IF('計算A'!GM$106=1,KG38,1)</f>
        <v/>
      </c>
      <c r="TN38">
        <f>IF('計算A'!GN$106=1,KH38,1)</f>
        <v/>
      </c>
      <c r="TO38">
        <f>IF('計算A'!GO$106=1,KI38,1)</f>
        <v/>
      </c>
      <c r="TP38">
        <f>IF('計算A'!GP$106=1,KJ38,1)</f>
        <v/>
      </c>
      <c r="TQ38">
        <f>IF('計算A'!GQ$106=1,KK38,1)</f>
        <v/>
      </c>
      <c r="TR38">
        <f>IF('計算A'!GR$106=1,KL38,1)</f>
        <v/>
      </c>
      <c r="TS38">
        <f>IF('計算A'!GS$106=1,KM38,1)</f>
        <v/>
      </c>
      <c r="TT38">
        <f>IF('計算A'!GT$106=1,KN38,1)</f>
        <v/>
      </c>
      <c r="TU38">
        <f>IF('計算A'!GU$106=1,KO38,1)</f>
        <v/>
      </c>
      <c r="TV38">
        <f>IF('計算A'!GV$106=1,KP38,1)</f>
        <v/>
      </c>
      <c r="TW38">
        <f>IF('計算A'!GW$106=1,KQ38,1)</f>
        <v/>
      </c>
      <c r="TX38">
        <f>IF('計算A'!GX$106=1,KR38,1)</f>
        <v/>
      </c>
      <c r="TY38">
        <f>IF('計算A'!GY$106=1,KS38,1)</f>
        <v/>
      </c>
      <c r="TZ38">
        <f>IF('計算A'!GZ$106=1,KT38,1)</f>
        <v/>
      </c>
      <c r="UA38">
        <f>IF('計算A'!HA$106=1,KU38,1)</f>
        <v/>
      </c>
      <c r="UB38">
        <f>IF('計算A'!HB$106=1,KV38,1)</f>
        <v/>
      </c>
      <c r="UC38">
        <f>IF('計算A'!HC$106=1,KW38,1)</f>
        <v/>
      </c>
      <c r="UD38">
        <f>IF('計算A'!HD$106=1,KX38,1)</f>
        <v/>
      </c>
      <c r="UE38">
        <f>IF('計算A'!HE$106=1,KY38,1)</f>
        <v/>
      </c>
      <c r="UF38">
        <f>IF('計算A'!HF$106=1,KZ38,1)</f>
        <v/>
      </c>
      <c r="UG38">
        <f>IF('計算A'!HG$106=1,LA38,1)</f>
        <v/>
      </c>
      <c r="UH38">
        <f>IF('計算A'!HH$106=1,LB38,1)</f>
        <v/>
      </c>
      <c r="UI38">
        <f>IF('計算A'!HI$106=1,LC38,1)</f>
        <v/>
      </c>
      <c r="UJ38">
        <f>IF('計算A'!HJ$106=1,LD38,1)</f>
        <v/>
      </c>
      <c r="UK38">
        <f>IF('計算A'!HK$106=1,LE38,1)</f>
        <v/>
      </c>
      <c r="UL38">
        <f>IF('計算A'!HL$106=1,LF38,1)</f>
        <v/>
      </c>
      <c r="UM38">
        <f>IF('計算A'!HM$106=1,LG38,1)</f>
        <v/>
      </c>
      <c r="UN38">
        <f>IF('計算A'!HN$106=1,LH38,1)</f>
        <v/>
      </c>
      <c r="UO38">
        <f>IF('計算A'!HO$106=1,LI38,1)</f>
        <v/>
      </c>
      <c r="UP38">
        <f>IF('計算A'!HP$106=1,LJ38,1)</f>
        <v/>
      </c>
      <c r="UQ38">
        <f>IF('計算A'!HQ$106=1,LK38,1)</f>
        <v/>
      </c>
      <c r="UR38">
        <f>IF('計算A'!HR$106=1,LL38,1)</f>
        <v/>
      </c>
      <c r="US38">
        <f>IF('計算A'!HS$106=1,LM38,1)</f>
        <v/>
      </c>
      <c r="UT38">
        <f>IF('計算A'!HT$106=1,LN38,1)</f>
        <v/>
      </c>
      <c r="UU38">
        <f>IF('計算A'!HU$106=1,LO38,1)</f>
        <v/>
      </c>
      <c r="UV38">
        <f>IF('計算A'!HV$106=1,LP38,1)</f>
        <v/>
      </c>
      <c r="UW38">
        <f>IF('計算A'!HW$106=1,LQ38,1)</f>
        <v/>
      </c>
      <c r="UX38">
        <f>IF('計算A'!HX$106=1,LR38,1)</f>
        <v/>
      </c>
      <c r="UY38">
        <f>IF('計算A'!HY$106=1,LS38,1)</f>
        <v/>
      </c>
      <c r="UZ38">
        <f>IF('計算A'!HZ$106=1,LT38,1)</f>
        <v/>
      </c>
      <c r="VA38">
        <f>IF('計算A'!IA$106=1,LU38,1)</f>
        <v/>
      </c>
      <c r="VB38">
        <f>IF('計算A'!IB$106=1,LV38,1)</f>
        <v/>
      </c>
      <c r="VC38">
        <f>IF('計算A'!IC$106=1,LW38,1)</f>
        <v/>
      </c>
      <c r="VD38">
        <f>IF('計算A'!ID$106=1,LX38,1)</f>
        <v/>
      </c>
      <c r="VE38">
        <f>IF('計算A'!IE$106=1,LY38,1)</f>
        <v/>
      </c>
      <c r="VF38">
        <f>IF('計算A'!IF$106=1,LZ38,1)</f>
        <v/>
      </c>
      <c r="VG38">
        <f>IF('計算A'!IG$106=1,MA38,1)</f>
        <v/>
      </c>
      <c r="VH38">
        <f>IF('計算A'!IH$106=1,MB38,1)</f>
        <v/>
      </c>
      <c r="VI38" t="n">
        <v>1</v>
      </c>
      <c r="VK38">
        <f>IF($B38=0,1000000,IF(INDEX('計算A'!$D$60:$II$104,$B38,1)*CW38=1,IF(AND($E38=2,MD38=0),1000000,INDEX('計算A'!D$110:D$114,$F38+1)+IF(AND($E38=1,MD38=0),1000,0)),1000000))</f>
        <v/>
      </c>
      <c r="VL38">
        <f>IF($B38=0,1000000,IF(INDEX('計算A'!$D$60:$II$104,$B38,2)*CX38=1,IF(AND($E38=2,ME38=0),1000000,INDEX('計算A'!E$110:E$114,$F38+1)+IF(AND($E38=1,ME38=0),1000,0)),1000000))</f>
        <v/>
      </c>
      <c r="VM38">
        <f>IF($B38=0,1000000,IF(INDEX('計算A'!$D$60:$II$104,$B38,3)*CY38=1,IF(AND($E38=2,MF38=0),1000000,INDEX('計算A'!F$110:F$114,$F38+1)+IF(AND($E38=1,MF38=0),1000,0)),1000000))</f>
        <v/>
      </c>
      <c r="VN38">
        <f>IF($B38=0,1000000,IF(INDEX('計算A'!$D$60:$II$104,$B38,4)*CZ38=1,IF(AND($E38=2,MG38=0),1000000,INDEX('計算A'!G$110:G$114,$F38+1)+IF(AND($E38=1,MG38=0),1000,0)),1000000))</f>
        <v/>
      </c>
      <c r="VO38">
        <f>IF($B38=0,1000000,IF(INDEX('計算A'!$D$60:$II$104,$B38,5)*DA38=1,IF(AND($E38=2,MH38=0),1000000,INDEX('計算A'!H$110:H$114,$F38+1)+IF(AND($E38=1,MH38=0),1000,0)),1000000))</f>
        <v/>
      </c>
      <c r="VP38">
        <f>IF($B38=0,1000000,IF(INDEX('計算A'!$D$60:$II$104,$B38,6)*DB38=1,IF(AND($E38=2,MI38=0),1000000,INDEX('計算A'!I$110:I$114,$F38+1)+IF(AND($E38=1,MI38=0),1000,0)),1000000))</f>
        <v/>
      </c>
      <c r="VQ38">
        <f>IF($B38=0,1000000,IF(INDEX('計算A'!$D$60:$II$104,$B38,7)*DC38=1,IF(AND($E38=2,MJ38=0),1000000,INDEX('計算A'!J$110:J$114,$F38+1)+IF(AND($E38=1,MJ38=0),1000,0)),1000000))</f>
        <v/>
      </c>
      <c r="VR38">
        <f>IF($B38=0,1000000,IF(INDEX('計算A'!$D$60:$II$104,$B38,8)*DD38=1,IF(AND($E38=2,MK38=0),1000000,INDEX('計算A'!K$110:K$114,$F38+1)+IF(AND($E38=1,MK38=0),1000,0)),1000000))</f>
        <v/>
      </c>
      <c r="VS38">
        <f>IF($B38=0,1000000,IF(INDEX('計算A'!$D$60:$II$104,$B38,9)*DE38=1,IF(AND($E38=2,ML38=0),1000000,INDEX('計算A'!L$110:L$114,$F38+1)+IF(AND($E38=1,ML38=0),1000,0)),1000000))</f>
        <v/>
      </c>
      <c r="VT38">
        <f>IF($B38=0,1000000,IF(INDEX('計算A'!$D$60:$II$104,$B38,10)*DF38=1,IF(AND($E38=2,MM38=0),1000000,INDEX('計算A'!M$110:M$114,$F38+1)+IF(AND($E38=1,MM38=0),1000,0)),1000000))</f>
        <v/>
      </c>
      <c r="VU38">
        <f>IF($B38=0,1000000,IF(INDEX('計算A'!$D$60:$II$104,$B38,11)*DG38=1,IF(AND($E38=2,MN38=0),1000000,INDEX('計算A'!N$110:N$114,$F38+1)+IF(AND($E38=1,MN38=0),1000,0)),1000000))</f>
        <v/>
      </c>
      <c r="VV38">
        <f>IF($B38=0,1000000,IF(INDEX('計算A'!$D$60:$II$104,$B38,12)*DH38=1,IF(AND($E38=2,MO38=0),1000000,INDEX('計算A'!O$110:O$114,$F38+1)+IF(AND($E38=1,MO38=0),1000,0)),1000000))</f>
        <v/>
      </c>
      <c r="VW38">
        <f>IF($B38=0,1000000,IF(INDEX('計算A'!$D$60:$II$104,$B38,13)*DI38=1,IF(AND($E38=2,MP38=0),1000000,INDEX('計算A'!P$110:P$114,$F38+1)+IF(AND($E38=1,MP38=0),1000,0)),1000000))</f>
        <v/>
      </c>
      <c r="VX38">
        <f>IF($B38=0,1000000,IF(INDEX('計算A'!$D$60:$II$104,$B38,14)*DJ38=1,IF(AND($E38=2,MQ38=0),1000000,INDEX('計算A'!Q$110:Q$114,$F38+1)+IF(AND($E38=1,MQ38=0),1000,0)),1000000))</f>
        <v/>
      </c>
      <c r="VY38">
        <f>IF($B38=0,1000000,IF(INDEX('計算A'!$D$60:$II$104,$B38,15)*DK38=1,IF(AND($E38=2,MR38=0),1000000,INDEX('計算A'!R$110:R$114,$F38+1)+IF(AND($E38=1,MR38=0),1000,0)),1000000))</f>
        <v/>
      </c>
      <c r="VZ38">
        <f>IF($B38=0,1000000,IF(INDEX('計算A'!$D$60:$II$104,$B38,16)*DL38=1,IF(AND($E38=2,MS38=0),1000000,INDEX('計算A'!S$110:S$114,$F38+1)+IF(AND($E38=1,MS38=0),1000,0)),1000000))</f>
        <v/>
      </c>
      <c r="WA38">
        <f>IF($B38=0,1000000,IF(INDEX('計算A'!$D$60:$II$104,$B38,17)*DM38=1,IF(AND($E38=2,MT38=0),1000000,INDEX('計算A'!T$110:T$114,$F38+1)+IF(AND($E38=1,MT38=0),1000,0)),1000000))</f>
        <v/>
      </c>
      <c r="WB38">
        <f>IF($B38=0,1000000,IF(INDEX('計算A'!$D$60:$II$104,$B38,18)*DN38=1,IF(AND($E38=2,MU38=0),1000000,INDEX('計算A'!U$110:U$114,$F38+1)+IF(AND($E38=1,MU38=0),1000,0)),1000000))</f>
        <v/>
      </c>
      <c r="WC38">
        <f>IF($B38=0,1000000,IF(INDEX('計算A'!$D$60:$II$104,$B38,19)*DO38=1,IF(AND($E38=2,MV38=0),1000000,INDEX('計算A'!V$110:V$114,$F38+1)+IF(AND($E38=1,MV38=0),1000,0)),1000000))</f>
        <v/>
      </c>
      <c r="WD38">
        <f>IF($B38=0,1000000,IF(INDEX('計算A'!$D$60:$II$104,$B38,20)*DP38=1,IF(AND($E38=2,MW38=0),1000000,INDEX('計算A'!W$110:W$114,$F38+1)+IF(AND($E38=1,MW38=0),1000,0)),1000000))</f>
        <v/>
      </c>
      <c r="WE38">
        <f>IF($B38=0,1000000,IF(INDEX('計算A'!$D$60:$II$104,$B38,21)*DQ38=1,IF(AND($E38=2,MX38=0),1000000,INDEX('計算A'!X$110:X$114,$F38+1)+IF(AND($E38=1,MX38=0),1000,0)),1000000))</f>
        <v/>
      </c>
      <c r="WF38">
        <f>IF($B38=0,1000000,IF(INDEX('計算A'!$D$60:$II$104,$B38,22)*DR38=1,IF(AND($E38=2,MY38=0),1000000,INDEX('計算A'!Y$110:Y$114,$F38+1)+IF(AND($E38=1,MY38=0),1000,0)),1000000))</f>
        <v/>
      </c>
      <c r="WG38">
        <f>IF($B38=0,1000000,IF(INDEX('計算A'!$D$60:$II$104,$B38,23)*DS38=1,IF(AND($E38=2,MZ38=0),1000000,INDEX('計算A'!Z$110:Z$114,$F38+1)+IF(AND($E38=1,MZ38=0),1000,0)),1000000))</f>
        <v/>
      </c>
      <c r="WH38">
        <f>IF($B38=0,1000000,IF(INDEX('計算A'!$D$60:$II$104,$B38,24)*DT38=1,IF(AND($E38=2,NA38=0),1000000,INDEX('計算A'!AA$110:AA$114,$F38+1)+IF(AND($E38=1,NA38=0),1000,0)),1000000))</f>
        <v/>
      </c>
      <c r="WI38">
        <f>IF($B38=0,1000000,IF(INDEX('計算A'!$D$60:$II$104,$B38,25)*DU38=1,IF(AND($E38=2,NB38=0),1000000,INDEX('計算A'!AB$110:AB$114,$F38+1)+IF(AND($E38=1,NB38=0),1000,0)),1000000))</f>
        <v/>
      </c>
      <c r="WJ38">
        <f>IF($B38=0,1000000,IF(INDEX('計算A'!$D$60:$II$104,$B38,26)*DV38=1,IF(AND($E38=2,NC38=0),1000000,INDEX('計算A'!AC$110:AC$114,$F38+1)+IF(AND($E38=1,NC38=0),1000,0)),1000000))</f>
        <v/>
      </c>
      <c r="WK38">
        <f>IF($B38=0,1000000,IF(INDEX('計算A'!$D$60:$II$104,$B38,27)*DW38=1,IF(AND($E38=2,ND38=0),1000000,INDEX('計算A'!AD$110:AD$114,$F38+1)+IF(AND($E38=1,ND38=0),1000,0)),1000000))</f>
        <v/>
      </c>
      <c r="WL38">
        <f>IF($B38=0,1000000,IF(INDEX('計算A'!$D$60:$II$104,$B38,28)*DX38=1,IF(AND($E38=2,NE38=0),1000000,INDEX('計算A'!AE$110:AE$114,$F38+1)+IF(AND($E38=1,NE38=0),1000,0)),1000000))</f>
        <v/>
      </c>
      <c r="WM38">
        <f>IF($B38=0,1000000,IF(INDEX('計算A'!$D$60:$II$104,$B38,29)*DY38=1,IF(AND($E38=2,NF38=0),1000000,INDEX('計算A'!AF$110:AF$114,$F38+1)+IF(AND($E38=1,NF38=0),1000,0)),1000000))</f>
        <v/>
      </c>
      <c r="WN38">
        <f>IF($B38=0,1000000,IF(INDEX('計算A'!$D$60:$II$104,$B38,30)*DZ38=1,IF(AND($E38=2,NG38=0),1000000,INDEX('計算A'!AG$110:AG$114,$F38+1)+IF(AND($E38=1,NG38=0),1000,0)),1000000))</f>
        <v/>
      </c>
      <c r="WO38">
        <f>IF($B38=0,1000000,IF(INDEX('計算A'!$D$60:$II$104,$B38,31)*EA38=1,IF(AND($E38=2,NH38=0),1000000,INDEX('計算A'!AH$110:AH$114,$F38+1)+IF(AND($E38=1,NH38=0),1000,0)),1000000))</f>
        <v/>
      </c>
      <c r="WP38">
        <f>IF($B38=0,1000000,IF(INDEX('計算A'!$D$60:$II$104,$B38,32)*EB38=1,IF(AND($E38=2,NI38=0),1000000,INDEX('計算A'!AI$110:AI$114,$F38+1)+IF(AND($E38=1,NI38=0),1000,0)),1000000))</f>
        <v/>
      </c>
      <c r="WQ38">
        <f>IF($B38=0,1000000,IF(INDEX('計算A'!$D$60:$II$104,$B38,33)*EC38=1,IF(AND($E38=2,NJ38=0),1000000,INDEX('計算A'!AJ$110:AJ$114,$F38+1)+IF(AND($E38=1,NJ38=0),1000,0)),1000000))</f>
        <v/>
      </c>
      <c r="WR38">
        <f>IF($B38=0,1000000,IF(INDEX('計算A'!$D$60:$II$104,$B38,34)*ED38=1,IF(AND($E38=2,NK38=0),1000000,INDEX('計算A'!AK$110:AK$114,$F38+1)+IF(AND($E38=1,NK38=0),1000,0)),1000000))</f>
        <v/>
      </c>
      <c r="WS38">
        <f>IF($B38=0,1000000,IF(INDEX('計算A'!$D$60:$II$104,$B38,35)*EE38=1,IF(AND($E38=2,NL38=0),1000000,INDEX('計算A'!AL$110:AL$114,$F38+1)+IF(AND($E38=1,NL38=0),1000,0)),1000000))</f>
        <v/>
      </c>
      <c r="WT38">
        <f>IF($B38=0,1000000,IF(INDEX('計算A'!$D$60:$II$104,$B38,36)*EF38=1,IF(AND($E38=2,NM38=0),1000000,INDEX('計算A'!AM$110:AM$114,$F38+1)+IF(AND($E38=1,NM38=0),1000,0)),1000000))</f>
        <v/>
      </c>
      <c r="WU38">
        <f>IF($B38=0,1000000,IF(INDEX('計算A'!$D$60:$II$104,$B38,37)*EG38=1,IF(AND($E38=2,NN38=0),1000000,INDEX('計算A'!AN$110:AN$114,$F38+1)+IF(AND($E38=1,NN38=0),1000,0)),1000000))</f>
        <v/>
      </c>
      <c r="WV38">
        <f>IF($B38=0,1000000,IF(INDEX('計算A'!$D$60:$II$104,$B38,38)*EH38=1,IF(AND($E38=2,NO38=0),1000000,INDEX('計算A'!AO$110:AO$114,$F38+1)+IF(AND($E38=1,NO38=0),1000,0)),1000000))</f>
        <v/>
      </c>
      <c r="WW38">
        <f>IF($B38=0,1000000,IF(INDEX('計算A'!$D$60:$II$104,$B38,39)*EI38=1,IF(AND($E38=2,NP38=0),1000000,INDEX('計算A'!AP$110:AP$114,$F38+1)+IF(AND($E38=1,NP38=0),1000,0)),1000000))</f>
        <v/>
      </c>
      <c r="WX38">
        <f>IF($B38=0,1000000,IF(INDEX('計算A'!$D$60:$II$104,$B38,40)*EJ38=1,IF(AND($E38=2,NQ38=0),1000000,INDEX('計算A'!AQ$110:AQ$114,$F38+1)+IF(AND($E38=1,NQ38=0),1000,0)),1000000))</f>
        <v/>
      </c>
      <c r="WY38">
        <f>IF($B38=0,1000000,IF(INDEX('計算A'!$D$60:$II$104,$B38,41)*EK38=1,IF(AND($E38=2,NR38=0),1000000,INDEX('計算A'!AR$110:AR$114,$F38+1)+IF(AND($E38=1,NR38=0),1000,0)),1000000))</f>
        <v/>
      </c>
      <c r="WZ38">
        <f>IF($B38=0,1000000,IF(INDEX('計算A'!$D$60:$II$104,$B38,42)*EL38=1,IF(AND($E38=2,NS38=0),1000000,INDEX('計算A'!AS$110:AS$114,$F38+1)+IF(AND($E38=1,NS38=0),1000,0)),1000000))</f>
        <v/>
      </c>
      <c r="XA38">
        <f>IF($B38=0,1000000,IF(INDEX('計算A'!$D$60:$II$104,$B38,43)*EM38=1,IF(AND($E38=2,NT38=0),1000000,INDEX('計算A'!AT$110:AT$114,$F38+1)+IF(AND($E38=1,NT38=0),1000,0)),1000000))</f>
        <v/>
      </c>
      <c r="XB38">
        <f>IF($B38=0,1000000,IF(INDEX('計算A'!$D$60:$II$104,$B38,44)*EN38=1,IF(AND($E38=2,NU38=0),1000000,INDEX('計算A'!AU$110:AU$114,$F38+1)+IF(AND($E38=1,NU38=0),1000,0)),1000000))</f>
        <v/>
      </c>
      <c r="XC38">
        <f>IF($B38=0,1000000,IF(INDEX('計算A'!$D$60:$II$104,$B38,45)*EO38=1,IF(AND($E38=2,NV38=0),1000000,INDEX('計算A'!AV$110:AV$114,$F38+1)+IF(AND($E38=1,NV38=0),1000,0)),1000000))</f>
        <v/>
      </c>
      <c r="XD38">
        <f>IF($B38=0,1000000,IF(INDEX('計算A'!$D$60:$II$104,$B38,46)*EP38=1,IF(AND($E38=2,NW38=0),1000000,INDEX('計算A'!AW$110:AW$114,$F38+1)+IF(AND($E38=1,NW38=0),1000,0)),1000000))</f>
        <v/>
      </c>
      <c r="XE38">
        <f>IF($B38=0,1000000,IF(INDEX('計算A'!$D$60:$II$104,$B38,47)*EQ38=1,IF(AND($E38=2,NX38=0),1000000,INDEX('計算A'!AX$110:AX$114,$F38+1)+IF(AND($E38=1,NX38=0),1000,0)),1000000))</f>
        <v/>
      </c>
      <c r="XF38">
        <f>IF($B38=0,1000000,IF(INDEX('計算A'!$D$60:$II$104,$B38,48)*ER38=1,IF(AND($E38=2,NY38=0),1000000,INDEX('計算A'!AY$110:AY$114,$F38+1)+IF(AND($E38=1,NY38=0),1000,0)),1000000))</f>
        <v/>
      </c>
      <c r="XG38">
        <f>IF($B38=0,1000000,IF(INDEX('計算A'!$D$60:$II$104,$B38,49)*ES38=1,IF(AND($E38=2,NZ38=0),1000000,INDEX('計算A'!AZ$110:AZ$114,$F38+1)+IF(AND($E38=1,NZ38=0),1000,0)),1000000))</f>
        <v/>
      </c>
      <c r="XH38">
        <f>IF($B38=0,1000000,IF(INDEX('計算A'!$D$60:$II$104,$B38,50)*ET38=1,IF(AND($E38=2,OA38=0),1000000,INDEX('計算A'!BA$110:BA$114,$F38+1)+IF(AND($E38=1,OA38=0),1000,0)),1000000))</f>
        <v/>
      </c>
      <c r="XI38">
        <f>IF($B38=0,1000000,IF(INDEX('計算A'!$D$60:$II$104,$B38,51)*EU38=1,IF(AND($E38=2,OB38=0),1000000,INDEX('計算A'!BB$110:BB$114,$F38+1)+IF(AND($E38=1,OB38=0),1000,0)),1000000))</f>
        <v/>
      </c>
      <c r="XJ38">
        <f>IF($B38=0,1000000,IF(INDEX('計算A'!$D$60:$II$104,$B38,52)*EV38=1,IF(AND($E38=2,OC38=0),1000000,INDEX('計算A'!BC$110:BC$114,$F38+1)+IF(AND($E38=1,OC38=0),1000,0)),1000000))</f>
        <v/>
      </c>
      <c r="XK38">
        <f>IF($B38=0,1000000,IF(INDEX('計算A'!$D$60:$II$104,$B38,53)*EW38=1,IF(AND($E38=2,OD38=0),1000000,INDEX('計算A'!BD$110:BD$114,$F38+1)+IF(AND($E38=1,OD38=0),1000,0)),1000000))</f>
        <v/>
      </c>
      <c r="XL38">
        <f>IF($B38=0,1000000,IF(INDEX('計算A'!$D$60:$II$104,$B38,54)*EX38=1,IF(AND($E38=2,OE38=0),1000000,INDEX('計算A'!BE$110:BE$114,$F38+1)+IF(AND($E38=1,OE38=0),1000,0)),1000000))</f>
        <v/>
      </c>
      <c r="XM38">
        <f>IF($B38=0,1000000,IF(INDEX('計算A'!$D$60:$II$104,$B38,55)*EY38=1,IF(AND($E38=2,OF38=0),1000000,INDEX('計算A'!BF$110:BF$114,$F38+1)+IF(AND($E38=1,OF38=0),1000,0)),1000000))</f>
        <v/>
      </c>
      <c r="XN38">
        <f>IF($B38=0,1000000,IF(INDEX('計算A'!$D$60:$II$104,$B38,56)*EZ38=1,IF(AND($E38=2,OG38=0),1000000,INDEX('計算A'!BG$110:BG$114,$F38+1)+IF(AND($E38=1,OG38=0),1000,0)),1000000))</f>
        <v/>
      </c>
      <c r="XO38">
        <f>IF($B38=0,1000000,IF(INDEX('計算A'!$D$60:$II$104,$B38,57)*FA38=1,IF(AND($E38=2,OH38=0),1000000,INDEX('計算A'!BH$110:BH$114,$F38+1)+IF(AND($E38=1,OH38=0),1000,0)),1000000))</f>
        <v/>
      </c>
      <c r="XP38">
        <f>IF($B38=0,1000000,IF(INDEX('計算A'!$D$60:$II$104,$B38,58)*FB38=1,IF(AND($E38=2,OI38=0),1000000,INDEX('計算A'!BI$110:BI$114,$F38+1)+IF(AND($E38=1,OI38=0),1000,0)),1000000))</f>
        <v/>
      </c>
      <c r="XQ38">
        <f>IF($B38=0,1000000,IF(INDEX('計算A'!$D$60:$II$104,$B38,59)*FC38=1,IF(AND($E38=2,OJ38=0),1000000,INDEX('計算A'!BJ$110:BJ$114,$F38+1)+IF(AND($E38=1,OJ38=0),1000,0)),1000000))</f>
        <v/>
      </c>
      <c r="XR38">
        <f>IF($B38=0,1000000,IF(INDEX('計算A'!$D$60:$II$104,$B38,60)*FD38=1,IF(AND($E38=2,OK38=0),1000000,INDEX('計算A'!BK$110:BK$114,$F38+1)+IF(AND($E38=1,OK38=0),1000,0)),1000000))</f>
        <v/>
      </c>
      <c r="XS38">
        <f>IF($B38=0,1000000,IF(INDEX('計算A'!$D$60:$II$104,$B38,61)*FE38=1,IF(AND($E38=2,OL38=0),1000000,INDEX('計算A'!BL$110:BL$114,$F38+1)+IF(AND($E38=1,OL38=0),1000,0)),1000000))</f>
        <v/>
      </c>
      <c r="XT38">
        <f>IF($B38=0,1000000,IF(INDEX('計算A'!$D$60:$II$104,$B38,62)*FF38=1,IF(AND($E38=2,OM38=0),1000000,INDEX('計算A'!BM$110:BM$114,$F38+1)+IF(AND($E38=1,OM38=0),1000,0)),1000000))</f>
        <v/>
      </c>
      <c r="XU38">
        <f>IF($B38=0,1000000,IF(INDEX('計算A'!$D$60:$II$104,$B38,63)*FG38=1,IF(AND($E38=2,ON38=0),1000000,INDEX('計算A'!BN$110:BN$114,$F38+1)+IF(AND($E38=1,ON38=0),1000,0)),1000000))</f>
        <v/>
      </c>
      <c r="XV38">
        <f>IF($B38=0,1000000,IF(INDEX('計算A'!$D$60:$II$104,$B38,64)*FH38=1,IF(AND($E38=2,OO38=0),1000000,INDEX('計算A'!BO$110:BO$114,$F38+1)+IF(AND($E38=1,OO38=0),1000,0)),1000000))</f>
        <v/>
      </c>
      <c r="XW38">
        <f>IF($B38=0,1000000,IF(INDEX('計算A'!$D$60:$II$104,$B38,65)*FI38=1,IF(AND($E38=2,OP38=0),1000000,INDEX('計算A'!BP$110:BP$114,$F38+1)+IF(AND($E38=1,OP38=0),1000,0)),1000000))</f>
        <v/>
      </c>
      <c r="XX38">
        <f>IF($B38=0,1000000,IF(INDEX('計算A'!$D$60:$II$104,$B38,66)*FJ38=1,IF(AND($E38=2,OQ38=0),1000000,INDEX('計算A'!BQ$110:BQ$114,$F38+1)+IF(AND($E38=1,OQ38=0),1000,0)),1000000))</f>
        <v/>
      </c>
      <c r="XY38">
        <f>IF($B38=0,1000000,IF(INDEX('計算A'!$D$60:$II$104,$B38,67)*FK38=1,IF(AND($E38=2,OR38=0),1000000,INDEX('計算A'!BR$110:BR$114,$F38+1)+IF(AND($E38=1,OR38=0),1000,0)),1000000))</f>
        <v/>
      </c>
      <c r="XZ38">
        <f>IF($B38=0,1000000,IF(INDEX('計算A'!$D$60:$II$104,$B38,68)*FL38=1,IF(AND($E38=2,OS38=0),1000000,INDEX('計算A'!BS$110:BS$114,$F38+1)+IF(AND($E38=1,OS38=0),1000,0)),1000000))</f>
        <v/>
      </c>
      <c r="YA38">
        <f>IF($B38=0,1000000,IF(INDEX('計算A'!$D$60:$II$104,$B38,69)*FM38=1,IF(AND($E38=2,OT38=0),1000000,INDEX('計算A'!BT$110:BT$114,$F38+1)+IF(AND($E38=1,OT38=0),1000,0)),1000000))</f>
        <v/>
      </c>
      <c r="YB38">
        <f>IF($B38=0,1000000,IF(INDEX('計算A'!$D$60:$II$104,$B38,70)*FN38=1,IF(AND($E38=2,OU38=0),1000000,INDEX('計算A'!BU$110:BU$114,$F38+1)+IF(AND($E38=1,OU38=0),1000,0)),1000000))</f>
        <v/>
      </c>
      <c r="YC38">
        <f>IF($B38=0,1000000,IF(INDEX('計算A'!$D$60:$II$104,$B38,71)*FO38=1,IF(AND($E38=2,OV38=0),1000000,INDEX('計算A'!BV$110:BV$114,$F38+1)+IF(AND($E38=1,OV38=0),1000,0)),1000000))</f>
        <v/>
      </c>
      <c r="YD38">
        <f>IF($B38=0,1000000,IF(INDEX('計算A'!$D$60:$II$104,$B38,72)*FP38=1,IF(AND($E38=2,OW38=0),1000000,INDEX('計算A'!BW$110:BW$114,$F38+1)+IF(AND($E38=1,OW38=0),1000,0)),1000000))</f>
        <v/>
      </c>
      <c r="YE38">
        <f>IF($B38=0,1000000,IF(INDEX('計算A'!$D$60:$II$104,$B38,73)*FQ38=1,IF(AND($E38=2,OX38=0),1000000,INDEX('計算A'!BX$110:BX$114,$F38+1)+IF(AND($E38=1,OX38=0),1000,0)),1000000))</f>
        <v/>
      </c>
      <c r="YF38">
        <f>IF($B38=0,1000000,IF(INDEX('計算A'!$D$60:$II$104,$B38,74)*FR38=1,IF(AND($E38=2,OY38=0),1000000,INDEX('計算A'!BY$110:BY$114,$F38+1)+IF(AND($E38=1,OY38=0),1000,0)),1000000))</f>
        <v/>
      </c>
      <c r="YG38">
        <f>IF($B38=0,1000000,IF(INDEX('計算A'!$D$60:$II$104,$B38,75)*FS38=1,IF(AND($E38=2,OZ38=0),1000000,INDEX('計算A'!BZ$110:BZ$114,$F38+1)+IF(AND($E38=1,OZ38=0),1000,0)),1000000))</f>
        <v/>
      </c>
      <c r="YH38">
        <f>IF($B38=0,1000000,IF(INDEX('計算A'!$D$60:$II$104,$B38,76)*FT38=1,IF(AND($E38=2,PA38=0),1000000,INDEX('計算A'!CA$110:CA$114,$F38+1)+IF(AND($E38=1,PA38=0),1000,0)),1000000))</f>
        <v/>
      </c>
      <c r="YI38">
        <f>IF($B38=0,1000000,IF(INDEX('計算A'!$D$60:$II$104,$B38,77)*FU38=1,IF(AND($E38=2,PB38=0),1000000,INDEX('計算A'!CB$110:CB$114,$F38+1)+IF(AND($E38=1,PB38=0),1000,0)),1000000))</f>
        <v/>
      </c>
      <c r="YJ38">
        <f>IF($B38=0,1000000,IF(INDEX('計算A'!$D$60:$II$104,$B38,78)*FV38=1,IF(AND($E38=2,PC38=0),1000000,INDEX('計算A'!CC$110:CC$114,$F38+1)+IF(AND($E38=1,PC38=0),1000,0)),1000000))</f>
        <v/>
      </c>
      <c r="YK38">
        <f>IF($B38=0,1000000,IF(INDEX('計算A'!$D$60:$II$104,$B38,79)*FW38=1,IF(AND($E38=2,PD38=0),1000000,INDEX('計算A'!CD$110:CD$114,$F38+1)+IF(AND($E38=1,PD38=0),1000,0)),1000000))</f>
        <v/>
      </c>
      <c r="YL38">
        <f>IF($B38=0,1000000,IF(INDEX('計算A'!$D$60:$II$104,$B38,80)*FX38=1,IF(AND($E38=2,PE38=0),1000000,INDEX('計算A'!CE$110:CE$114,$F38+1)+IF(AND($E38=1,PE38=0),1000,0)),1000000))</f>
        <v/>
      </c>
      <c r="YM38">
        <f>IF($B38=0,1000000,IF(INDEX('計算A'!$D$60:$II$104,$B38,81)*FY38=1,IF(AND($E38=2,PF38=0),1000000,INDEX('計算A'!CF$110:CF$114,$F38+1)+IF(AND($E38=1,PF38=0),1000,0)),1000000))</f>
        <v/>
      </c>
      <c r="YN38">
        <f>IF($B38=0,1000000,IF(INDEX('計算A'!$D$60:$II$104,$B38,82)*FZ38=1,IF(AND($E38=2,PG38=0),1000000,INDEX('計算A'!CG$110:CG$114,$F38+1)+IF(AND($E38=1,PG38=0),1000,0)),1000000))</f>
        <v/>
      </c>
      <c r="YO38">
        <f>IF($B38=0,1000000,IF(INDEX('計算A'!$D$60:$II$104,$B38,83)*GA38=1,IF(AND($E38=2,PH38=0),1000000,INDEX('計算A'!CH$110:CH$114,$F38+1)+IF(AND($E38=1,PH38=0),1000,0)),1000000))</f>
        <v/>
      </c>
      <c r="YP38">
        <f>IF($B38=0,1000000,IF(INDEX('計算A'!$D$60:$II$104,$B38,84)*GB38=1,IF(AND($E38=2,PI38=0),1000000,INDEX('計算A'!CI$110:CI$114,$F38+1)+IF(AND($E38=1,PI38=0),1000,0)),1000000))</f>
        <v/>
      </c>
      <c r="YQ38">
        <f>IF($B38=0,1000000,IF(INDEX('計算A'!$D$60:$II$104,$B38,85)*GC38=1,IF(AND($E38=2,PJ38=0),1000000,INDEX('計算A'!CJ$110:CJ$114,$F38+1)+IF(AND($E38=1,PJ38=0),1000,0)),1000000))</f>
        <v/>
      </c>
      <c r="YR38">
        <f>IF($B38=0,1000000,IF(INDEX('計算A'!$D$60:$II$104,$B38,86)*GD38=1,IF(AND($E38=2,PK38=0),1000000,INDEX('計算A'!CK$110:CK$114,$F38+1)+IF(AND($E38=1,PK38=0),1000,0)),1000000))</f>
        <v/>
      </c>
      <c r="YS38">
        <f>IF($B38=0,1000000,IF(INDEX('計算A'!$D$60:$II$104,$B38,87)*GE38=1,IF(AND($E38=2,PL38=0),1000000,INDEX('計算A'!CL$110:CL$114,$F38+1)+IF(AND($E38=1,PL38=0),1000,0)),1000000))</f>
        <v/>
      </c>
      <c r="YT38">
        <f>IF($B38=0,1000000,IF(INDEX('計算A'!$D$60:$II$104,$B38,88)*GF38=1,IF(AND($E38=2,PM38=0),1000000,INDEX('計算A'!CM$110:CM$114,$F38+1)+IF(AND($E38=1,PM38=0),1000,0)),1000000))</f>
        <v/>
      </c>
      <c r="YU38">
        <f>IF($B38=0,1000000,IF(INDEX('計算A'!$D$60:$II$104,$B38,89)*GG38=1,IF(AND($E38=2,PN38=0),1000000,INDEX('計算A'!CN$110:CN$114,$F38+1)+IF(AND($E38=1,PN38=0),1000,0)),1000000))</f>
        <v/>
      </c>
      <c r="YV38">
        <f>IF($B38=0,1000000,IF(INDEX('計算A'!$D$60:$II$104,$B38,90)*GH38=1,IF(AND($E38=2,PO38=0),1000000,INDEX('計算A'!CO$110:CO$114,$F38+1)+IF(AND($E38=1,PO38=0),1000,0)),1000000))</f>
        <v/>
      </c>
      <c r="YW38">
        <f>IF($B38=0,1000000,IF(INDEX('計算A'!$D$60:$II$104,$B38,91)*GI38=1,IF(AND($E38=2,PP38=0),1000000,INDEX('計算A'!CP$110:CP$114,$F38+1)+IF(AND($E38=1,PP38=0),1000,0)),1000000))</f>
        <v/>
      </c>
      <c r="YX38">
        <f>IF($B38=0,1000000,IF(INDEX('計算A'!$D$60:$II$104,$B38,92)*GJ38=1,IF(AND($E38=2,PQ38=0),1000000,INDEX('計算A'!CQ$110:CQ$114,$F38+1)+IF(AND($E38=1,PQ38=0),1000,0)),1000000))</f>
        <v/>
      </c>
      <c r="YY38">
        <f>IF($B38=0,1000000,IF(INDEX('計算A'!$D$60:$II$104,$B38,93)*GK38=1,IF(AND($E38=2,PR38=0),1000000,INDEX('計算A'!CR$110:CR$114,$F38+1)+IF(AND($E38=1,PR38=0),1000,0)),1000000))</f>
        <v/>
      </c>
      <c r="YZ38">
        <f>IF($B38=0,1000000,IF(INDEX('計算A'!$D$60:$II$104,$B38,94)*GL38=1,IF(AND($E38=2,PS38=0),1000000,INDEX('計算A'!CS$110:CS$114,$F38+1)+IF(AND($E38=1,PS38=0),1000,0)),1000000))</f>
        <v/>
      </c>
      <c r="ZA38">
        <f>IF($B38=0,1000000,IF(INDEX('計算A'!$D$60:$II$104,$B38,95)*GM38=1,IF(AND($E38=2,PT38=0),1000000,INDEX('計算A'!CT$110:CT$114,$F38+1)+IF(AND($E38=1,PT38=0),1000,0)),1000000))</f>
        <v/>
      </c>
      <c r="ZB38">
        <f>IF($B38=0,1000000,IF(INDEX('計算A'!$D$60:$II$104,$B38,96)*GN38=1,IF(AND($E38=2,PU38=0),1000000,INDEX('計算A'!CU$110:CU$114,$F38+1)+IF(AND($E38=1,PU38=0),1000,0)),1000000))</f>
        <v/>
      </c>
      <c r="ZC38">
        <f>IF($B38=0,1000000,IF(INDEX('計算A'!$D$60:$II$104,$B38,97)*GO38=1,IF(AND($E38=2,PV38=0),1000000,INDEX('計算A'!CV$110:CV$114,$F38+1)+IF(AND($E38=1,PV38=0),1000,0)),1000000))</f>
        <v/>
      </c>
      <c r="ZD38">
        <f>IF($B38=0,1000000,IF(INDEX('計算A'!$D$60:$II$104,$B38,98)*GP38=1,IF(AND($E38=2,PW38=0),1000000,INDEX('計算A'!CW$110:CW$114,$F38+1)+IF(AND($E38=1,PW38=0),1000,0)),1000000))</f>
        <v/>
      </c>
      <c r="ZE38">
        <f>IF($B38=0,1000000,IF(INDEX('計算A'!$D$60:$II$104,$B38,99)*GQ38=1,IF(AND($E38=2,PX38=0),1000000,INDEX('計算A'!CX$110:CX$114,$F38+1)+IF(AND($E38=1,PX38=0),1000,0)),1000000))</f>
        <v/>
      </c>
      <c r="ZF38">
        <f>IF($B38=0,1000000,IF(INDEX('計算A'!$D$60:$II$104,$B38,100)*GR38=1,IF(AND($E38=2,PY38=0),1000000,INDEX('計算A'!CY$110:CY$114,$F38+1)+IF(AND($E38=1,PY38=0),1000,0)),1000000))</f>
        <v/>
      </c>
      <c r="ZG38">
        <f>IF($B38=0,1000000,IF(INDEX('計算A'!$D$60:$II$104,$B38,101)*GS38=1,IF(AND($E38=2,PZ38=0),1000000,INDEX('計算A'!CZ$110:CZ$114,$F38+1)+IF(AND($E38=1,PZ38=0),1000,0)),1000000))</f>
        <v/>
      </c>
      <c r="ZH38">
        <f>IF($B38=0,1000000,IF(INDEX('計算A'!$D$60:$II$104,$B38,102)*GT38=1,IF(AND($E38=2,QA38=0),1000000,INDEX('計算A'!DA$110:DA$114,$F38+1)+IF(AND($E38=1,QA38=0),1000,0)),1000000))</f>
        <v/>
      </c>
      <c r="ZI38">
        <f>IF($B38=0,1000000,IF(INDEX('計算A'!$D$60:$II$104,$B38,103)*GU38=1,IF(AND($E38=2,QB38=0),1000000,INDEX('計算A'!DB$110:DB$114,$F38+1)+IF(AND($E38=1,QB38=0),1000,0)),1000000))</f>
        <v/>
      </c>
      <c r="ZJ38">
        <f>IF($B38=0,1000000,IF(INDEX('計算A'!$D$60:$II$104,$B38,104)*GV38=1,IF(AND($E38=2,QC38=0),1000000,INDEX('計算A'!DC$110:DC$114,$F38+1)+IF(AND($E38=1,QC38=0),1000,0)),1000000))</f>
        <v/>
      </c>
      <c r="ZK38">
        <f>IF($B38=0,1000000,IF(INDEX('計算A'!$D$60:$II$104,$B38,105)*GW38=1,IF(AND($E38=2,QD38=0),1000000,INDEX('計算A'!DD$110:DD$114,$F38+1)+IF(AND($E38=1,QD38=0),1000,0)),1000000))</f>
        <v/>
      </c>
      <c r="ZL38">
        <f>IF($B38=0,1000000,IF(INDEX('計算A'!$D$60:$II$104,$B38,106)*GX38=1,IF(AND($E38=2,QE38=0),1000000,INDEX('計算A'!DE$110:DE$114,$F38+1)+IF(AND($E38=1,QE38=0),1000,0)),1000000))</f>
        <v/>
      </c>
      <c r="ZM38">
        <f>IF($B38=0,1000000,IF(INDEX('計算A'!$D$60:$II$104,$B38,107)*GY38=1,IF(AND($E38=2,QF38=0),1000000,INDEX('計算A'!DF$110:DF$114,$F38+1)+IF(AND($E38=1,QF38=0),1000,0)),1000000))</f>
        <v/>
      </c>
      <c r="ZN38">
        <f>IF($B38=0,1000000,IF(INDEX('計算A'!$D$60:$II$104,$B38,108)*GZ38=1,IF(AND($E38=2,QG38=0),1000000,INDEX('計算A'!DG$110:DG$114,$F38+1)+IF(AND($E38=1,QG38=0),1000,0)),1000000))</f>
        <v/>
      </c>
      <c r="ZO38">
        <f>IF($B38=0,1000000,IF(INDEX('計算A'!$D$60:$II$104,$B38,109)*HA38=1,IF(AND($E38=2,QH38=0),1000000,INDEX('計算A'!DH$110:DH$114,$F38+1)+IF(AND($E38=1,QH38=0),1000,0)),1000000))</f>
        <v/>
      </c>
      <c r="ZP38">
        <f>IF($B38=0,1000000,IF(INDEX('計算A'!$D$60:$II$104,$B38,110)*HB38=1,IF(AND($E38=2,QI38=0),1000000,INDEX('計算A'!DI$110:DI$114,$F38+1)+IF(AND($E38=1,QI38=0),1000,0)),1000000))</f>
        <v/>
      </c>
      <c r="ZQ38">
        <f>IF($B38=0,1000000,IF(INDEX('計算A'!$D$60:$II$104,$B38,111)*HC38=1,IF(AND($E38=2,QJ38=0),1000000,INDEX('計算A'!DJ$110:DJ$114,$F38+1)+IF(AND($E38=1,QJ38=0),1000,0)),1000000))</f>
        <v/>
      </c>
      <c r="ZR38">
        <f>IF($B38=0,1000000,IF(INDEX('計算A'!$D$60:$II$104,$B38,112)*HD38=1,IF(AND($E38=2,QK38=0),1000000,INDEX('計算A'!DK$110:DK$114,$F38+1)+IF(AND($E38=1,QK38=0),1000,0)),1000000))</f>
        <v/>
      </c>
      <c r="ZS38">
        <f>IF($B38=0,1000000,IF(INDEX('計算A'!$D$60:$II$104,$B38,113)*HE38=1,IF(AND($E38=2,QL38=0),1000000,INDEX('計算A'!DL$110:DL$114,$F38+1)+IF(AND($E38=1,QL38=0),1000,0)),1000000))</f>
        <v/>
      </c>
      <c r="ZT38">
        <f>IF($B38=0,1000000,IF(INDEX('計算A'!$D$60:$II$104,$B38,114)*HF38=1,IF(AND($E38=2,QM38=0),1000000,INDEX('計算A'!DM$110:DM$114,$F38+1)+IF(AND($E38=1,QM38=0),1000,0)),1000000))</f>
        <v/>
      </c>
      <c r="ZU38">
        <f>IF($B38=0,1000000,IF(INDEX('計算A'!$D$60:$II$104,$B38,115)*HG38=1,IF(AND($E38=2,QN38=0),1000000,INDEX('計算A'!DN$110:DN$114,$F38+1)+IF(AND($E38=1,QN38=0),1000,0)),1000000))</f>
        <v/>
      </c>
      <c r="ZV38">
        <f>IF($B38=0,1000000,IF(INDEX('計算A'!$D$60:$II$104,$B38,116)*HH38=1,IF(AND($E38=2,QO38=0),1000000,INDEX('計算A'!DO$110:DO$114,$F38+1)+IF(AND($E38=1,QO38=0),1000,0)),1000000))</f>
        <v/>
      </c>
      <c r="ZW38">
        <f>IF($B38=0,1000000,IF(INDEX('計算A'!$D$60:$II$104,$B38,117)*HI38=1,IF(AND($E38=2,QP38=0),1000000,INDEX('計算A'!DP$110:DP$114,$F38+1)+IF(AND($E38=1,QP38=0),1000,0)),1000000))</f>
        <v/>
      </c>
      <c r="ZX38">
        <f>IF($B38=0,1000000,IF(INDEX('計算A'!$D$60:$II$104,$B38,118)*HJ38=1,IF(AND($E38=2,QQ38=0),1000000,INDEX('計算A'!DQ$110:DQ$114,$F38+1)+IF(AND($E38=1,QQ38=0),1000,0)),1000000))</f>
        <v/>
      </c>
      <c r="ZY38">
        <f>IF($B38=0,1000000,IF(INDEX('計算A'!$D$60:$II$104,$B38,119)*HK38=1,IF(AND($E38=2,QR38=0),1000000,INDEX('計算A'!DR$110:DR$114,$F38+1)+IF(AND($E38=1,QR38=0),1000,0)),1000000))</f>
        <v/>
      </c>
      <c r="ZZ38">
        <f>IF($B38=0,1000000,IF(INDEX('計算A'!$D$60:$II$104,$B38,120)*HL38=1,IF(AND($E38=2,QS38=0),1000000,INDEX('計算A'!DS$110:DS$114,$F38+1)+IF(AND($E38=1,QS38=0),1000,0)),1000000))</f>
        <v/>
      </c>
      <c r="AAA38">
        <f>IF($B38=0,1000000,IF(INDEX('計算A'!$D$60:$II$104,$B38,121)*HM38=1,IF(AND($E38=2,QT38=0),1000000,INDEX('計算A'!DT$110:DT$114,$F38+1)+IF(AND($E38=1,QT38=0),1000,0)),1000000))</f>
        <v/>
      </c>
      <c r="AAB38">
        <f>IF($B38=0,1000000,IF(INDEX('計算A'!$D$60:$II$104,$B38,122)*HN38=1,IF(AND($E38=2,QU38=0),1000000,INDEX('計算A'!DU$110:DU$114,$F38+1)+IF(AND($E38=1,QU38=0),1000,0)),1000000))</f>
        <v/>
      </c>
      <c r="AAC38">
        <f>IF($B38=0,1000000,IF(INDEX('計算A'!$D$60:$II$104,$B38,123)*HO38=1,IF(AND($E38=2,QV38=0),1000000,INDEX('計算A'!DV$110:DV$114,$F38+1)+IF(AND($E38=1,QV38=0),1000,0)),1000000))</f>
        <v/>
      </c>
      <c r="AAD38">
        <f>IF($B38=0,1000000,IF(INDEX('計算A'!$D$60:$II$104,$B38,124)*HP38=1,IF(AND($E38=2,QW38=0),1000000,INDEX('計算A'!DW$110:DW$114,$F38+1)+IF(AND($E38=1,QW38=0),1000,0)),1000000))</f>
        <v/>
      </c>
      <c r="AAE38">
        <f>IF($B38=0,1000000,IF(INDEX('計算A'!$D$60:$II$104,$B38,125)*HQ38=1,IF(AND($E38=2,QX38=0),1000000,INDEX('計算A'!DX$110:DX$114,$F38+1)+IF(AND($E38=1,QX38=0),1000,0)),1000000))</f>
        <v/>
      </c>
      <c r="AAF38">
        <f>IF($B38=0,1000000,IF(INDEX('計算A'!$D$60:$II$104,$B38,126)*HR38=1,IF(AND($E38=2,QY38=0),1000000,INDEX('計算A'!DY$110:DY$114,$F38+1)+IF(AND($E38=1,QY38=0),1000,0)),1000000))</f>
        <v/>
      </c>
      <c r="AAG38">
        <f>IF($B38=0,1000000,IF(INDEX('計算A'!$D$60:$II$104,$B38,127)*HS38=1,IF(AND($E38=2,QZ38=0),1000000,INDEX('計算A'!DZ$110:DZ$114,$F38+1)+IF(AND($E38=1,QZ38=0),1000,0)),1000000))</f>
        <v/>
      </c>
      <c r="AAH38">
        <f>IF($B38=0,1000000,IF(INDEX('計算A'!$D$60:$II$104,$B38,128)*HT38=1,IF(AND($E38=2,RA38=0),1000000,INDEX('計算A'!EA$110:EA$114,$F38+1)+IF(AND($E38=1,RA38=0),1000,0)),1000000))</f>
        <v/>
      </c>
      <c r="AAI38">
        <f>IF($B38=0,1000000,IF(INDEX('計算A'!$D$60:$II$104,$B38,129)*HU38=1,IF(AND($E38=2,RB38=0),1000000,INDEX('計算A'!EB$110:EB$114,$F38+1)+IF(AND($E38=1,RB38=0),1000,0)),1000000))</f>
        <v/>
      </c>
      <c r="AAJ38">
        <f>IF($B38=0,1000000,IF(INDEX('計算A'!$D$60:$II$104,$B38,130)*HV38=1,IF(AND($E38=2,RC38=0),1000000,INDEX('計算A'!EC$110:EC$114,$F38+1)+IF(AND($E38=1,RC38=0),1000,0)),1000000))</f>
        <v/>
      </c>
      <c r="AAK38">
        <f>IF($B38=0,1000000,IF(INDEX('計算A'!$D$60:$II$104,$B38,131)*HW38=1,IF(AND($E38=2,RD38=0),1000000,INDEX('計算A'!ED$110:ED$114,$F38+1)+IF(AND($E38=1,RD38=0),1000,0)),1000000))</f>
        <v/>
      </c>
      <c r="AAL38">
        <f>IF($B38=0,1000000,IF(INDEX('計算A'!$D$60:$II$104,$B38,132)*HX38=1,IF(AND($E38=2,RE38=0),1000000,INDEX('計算A'!EE$110:EE$114,$F38+1)+IF(AND($E38=1,RE38=0),1000,0)),1000000))</f>
        <v/>
      </c>
      <c r="AAM38">
        <f>IF($B38=0,1000000,IF(INDEX('計算A'!$D$60:$II$104,$B38,133)*HY38=1,IF(AND($E38=2,RF38=0),1000000,INDEX('計算A'!EF$110:EF$114,$F38+1)+IF(AND($E38=1,RF38=0),1000,0)),1000000))</f>
        <v/>
      </c>
      <c r="AAN38">
        <f>IF($B38=0,1000000,IF(INDEX('計算A'!$D$60:$II$104,$B38,134)*HZ38=1,IF(AND($E38=2,RG38=0),1000000,INDEX('計算A'!EG$110:EG$114,$F38+1)+IF(AND($E38=1,RG38=0),1000,0)),1000000))</f>
        <v/>
      </c>
      <c r="AAO38">
        <f>IF($B38=0,1000000,IF(INDEX('計算A'!$D$60:$II$104,$B38,135)*IA38=1,IF(AND($E38=2,RH38=0),1000000,INDEX('計算A'!EH$110:EH$114,$F38+1)+IF(AND($E38=1,RH38=0),1000,0)),1000000))</f>
        <v/>
      </c>
      <c r="AAP38">
        <f>IF($B38=0,1000000,IF(INDEX('計算A'!$D$60:$II$104,$B38,136)*IB38=1,IF(AND($E38=2,RI38=0),1000000,INDEX('計算A'!EI$110:EI$114,$F38+1)+IF(AND($E38=1,RI38=0),1000,0)),1000000))</f>
        <v/>
      </c>
      <c r="AAQ38">
        <f>IF($B38=0,1000000,IF(INDEX('計算A'!$D$60:$II$104,$B38,137)*IC38=1,IF(AND($E38=2,RJ38=0),1000000,INDEX('計算A'!EJ$110:EJ$114,$F38+1)+IF(AND($E38=1,RJ38=0),1000,0)),1000000))</f>
        <v/>
      </c>
      <c r="AAR38">
        <f>IF($B38=0,1000000,IF(INDEX('計算A'!$D$60:$II$104,$B38,138)*ID38=1,IF(AND($E38=2,RK38=0),1000000,INDEX('計算A'!EK$110:EK$114,$F38+1)+IF(AND($E38=1,RK38=0),1000,0)),1000000))</f>
        <v/>
      </c>
      <c r="AAS38">
        <f>IF($B38=0,1000000,IF(INDEX('計算A'!$D$60:$II$104,$B38,139)*IE38=1,IF(AND($E38=2,RL38=0),1000000,INDEX('計算A'!EL$110:EL$114,$F38+1)+IF(AND($E38=1,RL38=0),1000,0)),1000000))</f>
        <v/>
      </c>
      <c r="AAT38">
        <f>IF($B38=0,1000000,IF(INDEX('計算A'!$D$60:$II$104,$B38,140)*IF38=1,IF(AND($E38=2,RM38=0),1000000,INDEX('計算A'!EM$110:EM$114,$F38+1)+IF(AND($E38=1,RM38=0),1000,0)),1000000))</f>
        <v/>
      </c>
      <c r="AAU38">
        <f>IF($B38=0,1000000,IF(INDEX('計算A'!$D$60:$II$104,$B38,141)*IG38=1,IF(AND($E38=2,RN38=0),1000000,INDEX('計算A'!EN$110:EN$114,$F38+1)+IF(AND($E38=1,RN38=0),1000,0)),1000000))</f>
        <v/>
      </c>
      <c r="AAV38">
        <f>IF($B38=0,1000000,IF(INDEX('計算A'!$D$60:$II$104,$B38,142)*IH38=1,IF(AND($E38=2,RO38=0),1000000,INDEX('計算A'!EO$110:EO$114,$F38+1)+IF(AND($E38=1,RO38=0),1000,0)),1000000))</f>
        <v/>
      </c>
      <c r="AAW38">
        <f>IF($B38=0,1000000,IF(INDEX('計算A'!$D$60:$II$104,$B38,143)*II38=1,IF(AND($E38=2,RP38=0),1000000,INDEX('計算A'!EP$110:EP$114,$F38+1)+IF(AND($E38=1,RP38=0),1000,0)),1000000))</f>
        <v/>
      </c>
      <c r="AAX38">
        <f>IF($B38=0,1000000,IF(INDEX('計算A'!$D$60:$II$104,$B38,144)*IJ38=1,IF(AND($E38=2,RQ38=0),1000000,INDEX('計算A'!EQ$110:EQ$114,$F38+1)+IF(AND($E38=1,RQ38=0),1000,0)),1000000))</f>
        <v/>
      </c>
      <c r="AAY38">
        <f>IF($B38=0,1000000,IF(INDEX('計算A'!$D$60:$II$104,$B38,145)*IK38=1,IF(AND($E38=2,RR38=0),1000000,INDEX('計算A'!ER$110:ER$114,$F38+1)+IF(AND($E38=1,RR38=0),1000,0)),1000000))</f>
        <v/>
      </c>
      <c r="AAZ38">
        <f>IF($B38=0,1000000,IF(INDEX('計算A'!$D$60:$II$104,$B38,146)*IL38=1,IF(AND($E38=2,RS38=0),1000000,INDEX('計算A'!ES$110:ES$114,$F38+1)+IF(AND($E38=1,RS38=0),1000,0)),1000000))</f>
        <v/>
      </c>
      <c r="ABA38">
        <f>IF($B38=0,1000000,IF(INDEX('計算A'!$D$60:$II$104,$B38,147)*IM38=1,IF(AND($E38=2,RT38=0),1000000,INDEX('計算A'!ET$110:ET$114,$F38+1)+IF(AND($E38=1,RT38=0),1000,0)),1000000))</f>
        <v/>
      </c>
      <c r="ABB38">
        <f>IF($B38=0,1000000,IF(INDEX('計算A'!$D$60:$II$104,$B38,148)*IN38=1,IF(AND($E38=2,RU38=0),1000000,INDEX('計算A'!EU$110:EU$114,$F38+1)+IF(AND($E38=1,RU38=0),1000,0)),1000000))</f>
        <v/>
      </c>
      <c r="ABC38">
        <f>IF($B38=0,1000000,IF(INDEX('計算A'!$D$60:$II$104,$B38,149)*IO38=1,IF(AND($E38=2,RV38=0),1000000,INDEX('計算A'!EV$110:EV$114,$F38+1)+IF(AND($E38=1,RV38=0),1000,0)),1000000))</f>
        <v/>
      </c>
      <c r="ABD38">
        <f>IF($B38=0,1000000,IF(INDEX('計算A'!$D$60:$II$104,$B38,150)*IP38=1,IF(AND($E38=2,RW38=0),1000000,INDEX('計算A'!EW$110:EW$114,$F38+1)+IF(AND($E38=1,RW38=0),1000,0)),1000000))</f>
        <v/>
      </c>
      <c r="ABE38">
        <f>IF($B38=0,1000000,IF(INDEX('計算A'!$D$60:$II$104,$B38,151)*IQ38=1,IF(AND($E38=2,RX38=0),1000000,INDEX('計算A'!EX$110:EX$114,$F38+1)+IF(AND($E38=1,RX38=0),1000,0)),1000000))</f>
        <v/>
      </c>
      <c r="ABF38">
        <f>IF($B38=0,1000000,IF(INDEX('計算A'!$D$60:$II$104,$B38,152)*IR38=1,IF(AND($E38=2,RY38=0),1000000,INDEX('計算A'!EY$110:EY$114,$F38+1)+IF(AND($E38=1,RY38=0),1000,0)),1000000))</f>
        <v/>
      </c>
      <c r="ABG38">
        <f>IF($B38=0,1000000,IF(INDEX('計算A'!$D$60:$II$104,$B38,153)*IS38=1,IF(AND($E38=2,RZ38=0),1000000,INDEX('計算A'!EZ$110:EZ$114,$F38+1)+IF(AND($E38=1,RZ38=0),1000,0)),1000000))</f>
        <v/>
      </c>
      <c r="ABH38">
        <f>IF($B38=0,1000000,IF(INDEX('計算A'!$D$60:$II$104,$B38,154)*IT38=1,IF(AND($E38=2,SA38=0),1000000,INDEX('計算A'!FA$110:FA$114,$F38+1)+IF(AND($E38=1,SA38=0),1000,0)),1000000))</f>
        <v/>
      </c>
      <c r="ABI38">
        <f>IF($B38=0,1000000,IF(INDEX('計算A'!$D$60:$II$104,$B38,155)*IU38=1,IF(AND($E38=2,SB38=0),1000000,INDEX('計算A'!FB$110:FB$114,$F38+1)+IF(AND($E38=1,SB38=0),1000,0)),1000000))</f>
        <v/>
      </c>
      <c r="ABJ38">
        <f>IF($B38=0,1000000,IF(INDEX('計算A'!$D$60:$II$104,$B38,156)*IV38=1,IF(AND($E38=2,SC38=0),1000000,INDEX('計算A'!FC$110:FC$114,$F38+1)+IF(AND($E38=1,SC38=0),1000,0)),1000000))</f>
        <v/>
      </c>
      <c r="ABK38">
        <f>IF($B38=0,1000000,IF(INDEX('計算A'!$D$60:$II$104,$B38,157)*IW38=1,IF(AND($E38=2,SD38=0),1000000,INDEX('計算A'!FD$110:FD$114,$F38+1)+IF(AND($E38=1,SD38=0),1000,0)),1000000))</f>
        <v/>
      </c>
      <c r="ABL38">
        <f>IF($B38=0,1000000,IF(INDEX('計算A'!$D$60:$II$104,$B38,158)*IX38=1,IF(AND($E38=2,SE38=0),1000000,INDEX('計算A'!FE$110:FE$114,$F38+1)+IF(AND($E38=1,SE38=0),1000,0)),1000000))</f>
        <v/>
      </c>
      <c r="ABM38">
        <f>IF($B38=0,1000000,IF(INDEX('計算A'!$D$60:$II$104,$B38,159)*IY38=1,IF(AND($E38=2,SF38=0),1000000,INDEX('計算A'!FF$110:FF$114,$F38+1)+IF(AND($E38=1,SF38=0),1000,0)),1000000))</f>
        <v/>
      </c>
      <c r="ABN38">
        <f>IF($B38=0,1000000,IF(INDEX('計算A'!$D$60:$II$104,$B38,160)*IZ38=1,IF(AND($E38=2,SG38=0),1000000,INDEX('計算A'!FG$110:FG$114,$F38+1)+IF(AND($E38=1,SG38=0),1000,0)),1000000))</f>
        <v/>
      </c>
      <c r="ABO38">
        <f>IF($B38=0,1000000,IF(INDEX('計算A'!$D$60:$II$104,$B38,161)*JA38=1,IF(AND($E38=2,SH38=0),1000000,INDEX('計算A'!FH$110:FH$114,$F38+1)+IF(AND($E38=1,SH38=0),1000,0)),1000000))</f>
        <v/>
      </c>
      <c r="ABP38">
        <f>IF($B38=0,1000000,IF(INDEX('計算A'!$D$60:$II$104,$B38,162)*JB38=1,IF(AND($E38=2,SI38=0),1000000,INDEX('計算A'!FI$110:FI$114,$F38+1)+IF(AND($E38=1,SI38=0),1000,0)),1000000))</f>
        <v/>
      </c>
      <c r="ABQ38">
        <f>IF($B38=0,1000000,IF(INDEX('計算A'!$D$60:$II$104,$B38,163)*JC38=1,IF(AND($E38=2,SJ38=0),1000000,INDEX('計算A'!FJ$110:FJ$114,$F38+1)+IF(AND($E38=1,SJ38=0),1000,0)),1000000))</f>
        <v/>
      </c>
      <c r="ABR38">
        <f>IF($B38=0,1000000,IF(INDEX('計算A'!$D$60:$II$104,$B38,164)*JD38=1,IF(AND($E38=2,SK38=0),1000000,INDEX('計算A'!FK$110:FK$114,$F38+1)+IF(AND($E38=1,SK38=0),1000,0)),1000000))</f>
        <v/>
      </c>
      <c r="ABS38">
        <f>IF($B38=0,1000000,IF(INDEX('計算A'!$D$60:$II$104,$B38,165)*JE38=1,IF(AND($E38=2,SL38=0),1000000,INDEX('計算A'!FL$110:FL$114,$F38+1)+IF(AND($E38=1,SL38=0),1000,0)),1000000))</f>
        <v/>
      </c>
      <c r="ABT38">
        <f>IF($B38=0,1000000,IF(INDEX('計算A'!$D$60:$II$104,$B38,166)*JF38=1,IF(AND($E38=2,SM38=0),1000000,INDEX('計算A'!FM$110:FM$114,$F38+1)+IF(AND($E38=1,SM38=0),1000,0)),1000000))</f>
        <v/>
      </c>
      <c r="ABU38">
        <f>IF($B38=0,1000000,IF(INDEX('計算A'!$D$60:$II$104,$B38,167)*JG38=1,IF(AND($E38=2,SN38=0),1000000,INDEX('計算A'!FN$110:FN$114,$F38+1)+IF(AND($E38=1,SN38=0),1000,0)),1000000))</f>
        <v/>
      </c>
      <c r="ABV38">
        <f>IF($B38=0,1000000,IF(INDEX('計算A'!$D$60:$II$104,$B38,168)*JH38=1,IF(AND($E38=2,SO38=0),1000000,INDEX('計算A'!FO$110:FO$114,$F38+1)+IF(AND($E38=1,SO38=0),1000,0)),1000000))</f>
        <v/>
      </c>
      <c r="ABW38">
        <f>IF($B38=0,1000000,IF(INDEX('計算A'!$D$60:$II$104,$B38,169)*JI38=1,IF(AND($E38=2,SP38=0),1000000,INDEX('計算A'!FP$110:FP$114,$F38+1)+IF(AND($E38=1,SP38=0),1000,0)),1000000))</f>
        <v/>
      </c>
      <c r="ABX38">
        <f>IF($B38=0,1000000,IF(INDEX('計算A'!$D$60:$II$104,$B38,170)*JJ38=1,IF(AND($E38=2,SQ38=0),1000000,INDEX('計算A'!FQ$110:FQ$114,$F38+1)+IF(AND($E38=1,SQ38=0),1000,0)),1000000))</f>
        <v/>
      </c>
      <c r="ABY38">
        <f>IF($B38=0,1000000,IF(INDEX('計算A'!$D$60:$II$104,$B38,171)*JK38=1,IF(AND($E38=2,SR38=0),1000000,INDEX('計算A'!FR$110:FR$114,$F38+1)+IF(AND($E38=1,SR38=0),1000,0)),1000000))</f>
        <v/>
      </c>
      <c r="ABZ38">
        <f>IF($B38=0,1000000,IF(INDEX('計算A'!$D$60:$II$104,$B38,172)*JL38=1,IF(AND($E38=2,SS38=0),1000000,INDEX('計算A'!FS$110:FS$114,$F38+1)+IF(AND($E38=1,SS38=0),1000,0)),1000000))</f>
        <v/>
      </c>
      <c r="ACA38">
        <f>IF($B38=0,1000000,IF(INDEX('計算A'!$D$60:$II$104,$B38,173)*JM38=1,IF(AND($E38=2,ST38=0),1000000,INDEX('計算A'!FT$110:FT$114,$F38+1)+IF(AND($E38=1,ST38=0),1000,0)),1000000))</f>
        <v/>
      </c>
      <c r="ACB38">
        <f>IF($B38=0,1000000,IF(INDEX('計算A'!$D$60:$II$104,$B38,174)*JN38=1,IF(AND($E38=2,SU38=0),1000000,INDEX('計算A'!FU$110:FU$114,$F38+1)+IF(AND($E38=1,SU38=0),1000,0)),1000000))</f>
        <v/>
      </c>
      <c r="ACC38">
        <f>IF($B38=0,1000000,IF(INDEX('計算A'!$D$60:$II$104,$B38,175)*JO38=1,IF(AND($E38=2,SV38=0),1000000,INDEX('計算A'!FV$110:FV$114,$F38+1)+IF(AND($E38=1,SV38=0),1000,0)),1000000))</f>
        <v/>
      </c>
      <c r="ACD38">
        <f>IF($B38=0,1000000,IF(INDEX('計算A'!$D$60:$II$104,$B38,176)*JP38=1,IF(AND($E38=2,SW38=0),1000000,INDEX('計算A'!FW$110:FW$114,$F38+1)+IF(AND($E38=1,SW38=0),1000,0)),1000000))</f>
        <v/>
      </c>
      <c r="ACE38">
        <f>IF($B38=0,1000000,IF(INDEX('計算A'!$D$60:$II$104,$B38,177)*JQ38=1,IF(AND($E38=2,SX38=0),1000000,INDEX('計算A'!FX$110:FX$114,$F38+1)+IF(AND($E38=1,SX38=0),1000,0)),1000000))</f>
        <v/>
      </c>
      <c r="ACF38">
        <f>IF($B38=0,1000000,IF(INDEX('計算A'!$D$60:$II$104,$B38,178)*JR38=1,IF(AND($E38=2,SY38=0),1000000,INDEX('計算A'!FY$110:FY$114,$F38+1)+IF(AND($E38=1,SY38=0),1000,0)),1000000))</f>
        <v/>
      </c>
      <c r="ACG38">
        <f>IF($B38=0,1000000,IF(INDEX('計算A'!$D$60:$II$104,$B38,179)*JS38=1,IF(AND($E38=2,SZ38=0),1000000,INDEX('計算A'!FZ$110:FZ$114,$F38+1)+IF(AND($E38=1,SZ38=0),1000,0)),1000000))</f>
        <v/>
      </c>
      <c r="ACH38">
        <f>IF($B38=0,1000000,IF(INDEX('計算A'!$D$60:$II$104,$B38,180)*JT38=1,IF(AND($E38=2,TA38=0),1000000,INDEX('計算A'!GA$110:GA$114,$F38+1)+IF(AND($E38=1,TA38=0),1000,0)),1000000))</f>
        <v/>
      </c>
      <c r="ACI38">
        <f>IF($B38=0,1000000,IF(INDEX('計算A'!$D$60:$II$104,$B38,181)*JU38=1,IF(AND($E38=2,TB38=0),1000000,INDEX('計算A'!GB$110:GB$114,$F38+1)+IF(AND($E38=1,TB38=0),1000,0)),1000000))</f>
        <v/>
      </c>
      <c r="ACJ38">
        <f>IF($B38=0,1000000,IF(INDEX('計算A'!$D$60:$II$104,$B38,182)*JV38=1,IF(AND($E38=2,TC38=0),1000000,INDEX('計算A'!GC$110:GC$114,$F38+1)+IF(AND($E38=1,TC38=0),1000,0)),1000000))</f>
        <v/>
      </c>
      <c r="ACK38">
        <f>IF($B38=0,1000000,IF(INDEX('計算A'!$D$60:$II$104,$B38,183)*JW38=1,IF(AND($E38=2,TD38=0),1000000,INDEX('計算A'!GD$110:GD$114,$F38+1)+IF(AND($E38=1,TD38=0),1000,0)),1000000))</f>
        <v/>
      </c>
      <c r="ACL38">
        <f>IF($B38=0,1000000,IF(INDEX('計算A'!$D$60:$II$104,$B38,184)*JX38=1,IF(AND($E38=2,TE38=0),1000000,INDEX('計算A'!GE$110:GE$114,$F38+1)+IF(AND($E38=1,TE38=0),1000,0)),1000000))</f>
        <v/>
      </c>
      <c r="ACM38">
        <f>IF($B38=0,1000000,IF(INDEX('計算A'!$D$60:$II$104,$B38,185)*JY38=1,IF(AND($E38=2,TF38=0),1000000,INDEX('計算A'!GF$110:GF$114,$F38+1)+IF(AND($E38=1,TF38=0),1000,0)),1000000))</f>
        <v/>
      </c>
      <c r="ACN38">
        <f>IF($B38=0,1000000,IF(INDEX('計算A'!$D$60:$II$104,$B38,186)*JZ38=1,IF(AND($E38=2,TG38=0),1000000,INDEX('計算A'!GG$110:GG$114,$F38+1)+IF(AND($E38=1,TG38=0),1000,0)),1000000))</f>
        <v/>
      </c>
      <c r="ACO38">
        <f>IF($B38=0,1000000,IF(INDEX('計算A'!$D$60:$II$104,$B38,187)*KA38=1,IF(AND($E38=2,TH38=0),1000000,INDEX('計算A'!GH$110:GH$114,$F38+1)+IF(AND($E38=1,TH38=0),1000,0)),1000000))</f>
        <v/>
      </c>
      <c r="ACP38">
        <f>IF($B38=0,1000000,IF(INDEX('計算A'!$D$60:$II$104,$B38,188)*KB38=1,IF(AND($E38=2,TI38=0),1000000,INDEX('計算A'!GI$110:GI$114,$F38+1)+IF(AND($E38=1,TI38=0),1000,0)),1000000))</f>
        <v/>
      </c>
      <c r="ACQ38">
        <f>IF($B38=0,1000000,IF(INDEX('計算A'!$D$60:$II$104,$B38,189)*KC38=1,IF(AND($E38=2,TJ38=0),1000000,INDEX('計算A'!GJ$110:GJ$114,$F38+1)+IF(AND($E38=1,TJ38=0),1000,0)),1000000))</f>
        <v/>
      </c>
      <c r="ACR38">
        <f>IF($B38=0,1000000,IF(INDEX('計算A'!$D$60:$II$104,$B38,190)*KD38=1,IF(AND($E38=2,TK38=0),1000000,INDEX('計算A'!GK$110:GK$114,$F38+1)+IF(AND($E38=1,TK38=0),1000,0)),1000000))</f>
        <v/>
      </c>
      <c r="ACS38">
        <f>IF($B38=0,1000000,IF(INDEX('計算A'!$D$60:$II$104,$B38,191)*KE38=1,IF(AND($E38=2,TL38=0),1000000,INDEX('計算A'!GL$110:GL$114,$F38+1)+IF(AND($E38=1,TL38=0),1000,0)),1000000))</f>
        <v/>
      </c>
      <c r="ACT38">
        <f>IF($B38=0,1000000,IF(INDEX('計算A'!$D$60:$II$104,$B38,192)*KF38=1,IF(AND($E38=2,TM38=0),1000000,INDEX('計算A'!GM$110:GM$114,$F38+1)+IF(AND($E38=1,TM38=0),1000,0)),1000000))</f>
        <v/>
      </c>
      <c r="ACU38">
        <f>IF($B38=0,1000000,IF(INDEX('計算A'!$D$60:$II$104,$B38,193)*KG38=1,IF(AND($E38=2,TN38=0),1000000,INDEX('計算A'!GN$110:GN$114,$F38+1)+IF(AND($E38=1,TN38=0),1000,0)),1000000))</f>
        <v/>
      </c>
      <c r="ACV38">
        <f>IF($B38=0,1000000,IF(INDEX('計算A'!$D$60:$II$104,$B38,194)*KH38=1,IF(AND($E38=2,TO38=0),1000000,INDEX('計算A'!GO$110:GO$114,$F38+1)+IF(AND($E38=1,TO38=0),1000,0)),1000000))</f>
        <v/>
      </c>
      <c r="ACW38">
        <f>IF($B38=0,1000000,IF(INDEX('計算A'!$D$60:$II$104,$B38,195)*KI38=1,IF(AND($E38=2,TP38=0),1000000,INDEX('計算A'!GP$110:GP$114,$F38+1)+IF(AND($E38=1,TP38=0),1000,0)),1000000))</f>
        <v/>
      </c>
      <c r="ACX38">
        <f>IF($B38=0,1000000,IF(INDEX('計算A'!$D$60:$II$104,$B38,196)*KJ38=1,IF(AND($E38=2,TQ38=0),1000000,INDEX('計算A'!GQ$110:GQ$114,$F38+1)+IF(AND($E38=1,TQ38=0),1000,0)),1000000))</f>
        <v/>
      </c>
      <c r="ACY38">
        <f>IF($B38=0,1000000,IF(INDEX('計算A'!$D$60:$II$104,$B38,197)*KK38=1,IF(AND($E38=2,TR38=0),1000000,INDEX('計算A'!GR$110:GR$114,$F38+1)+IF(AND($E38=1,TR38=0),1000,0)),1000000))</f>
        <v/>
      </c>
      <c r="ACZ38">
        <f>IF($B38=0,1000000,IF(INDEX('計算A'!$D$60:$II$104,$B38,198)*KL38=1,IF(AND($E38=2,TS38=0),1000000,INDEX('計算A'!GS$110:GS$114,$F38+1)+IF(AND($E38=1,TS38=0),1000,0)),1000000))</f>
        <v/>
      </c>
      <c r="ADA38">
        <f>IF($B38=0,1000000,IF(INDEX('計算A'!$D$60:$II$104,$B38,199)*KM38=1,IF(AND($E38=2,TT38=0),1000000,INDEX('計算A'!GT$110:GT$114,$F38+1)+IF(AND($E38=1,TT38=0),1000,0)),1000000))</f>
        <v/>
      </c>
      <c r="ADB38">
        <f>IF($B38=0,1000000,IF(INDEX('計算A'!$D$60:$II$104,$B38,200)*KN38=1,IF(AND($E38=2,TU38=0),1000000,INDEX('計算A'!GU$110:GU$114,$F38+1)+IF(AND($E38=1,TU38=0),1000,0)),1000000))</f>
        <v/>
      </c>
      <c r="ADC38">
        <f>IF($B38=0,1000000,IF(INDEX('計算A'!$D$60:$II$104,$B38,201)*KO38=1,IF(AND($E38=2,TV38=0),1000000,INDEX('計算A'!GV$110:GV$114,$F38+1)+IF(AND($E38=1,TV38=0),1000,0)),1000000))</f>
        <v/>
      </c>
      <c r="ADD38">
        <f>IF($B38=0,1000000,IF(INDEX('計算A'!$D$60:$II$104,$B38,202)*KP38=1,IF(AND($E38=2,TW38=0),1000000,INDEX('計算A'!GW$110:GW$114,$F38+1)+IF(AND($E38=1,TW38=0),1000,0)),1000000))</f>
        <v/>
      </c>
      <c r="ADE38">
        <f>IF($B38=0,1000000,IF(INDEX('計算A'!$D$60:$II$104,$B38,203)*KQ38=1,IF(AND($E38=2,TX38=0),1000000,INDEX('計算A'!GX$110:GX$114,$F38+1)+IF(AND($E38=1,TX38=0),1000,0)),1000000))</f>
        <v/>
      </c>
      <c r="ADF38">
        <f>IF($B38=0,1000000,IF(INDEX('計算A'!$D$60:$II$104,$B38,204)*KR38=1,IF(AND($E38=2,TY38=0),1000000,INDEX('計算A'!GY$110:GY$114,$F38+1)+IF(AND($E38=1,TY38=0),1000,0)),1000000))</f>
        <v/>
      </c>
      <c r="ADG38">
        <f>IF($B38=0,1000000,IF(INDEX('計算A'!$D$60:$II$104,$B38,205)*KS38=1,IF(AND($E38=2,TZ38=0),1000000,INDEX('計算A'!GZ$110:GZ$114,$F38+1)+IF(AND($E38=1,TZ38=0),1000,0)),1000000))</f>
        <v/>
      </c>
      <c r="ADH38">
        <f>IF($B38=0,1000000,IF(INDEX('計算A'!$D$60:$II$104,$B38,206)*KT38=1,IF(AND($E38=2,UA38=0),1000000,INDEX('計算A'!HA$110:HA$114,$F38+1)+IF(AND($E38=1,UA38=0),1000,0)),1000000))</f>
        <v/>
      </c>
      <c r="ADI38">
        <f>IF($B38=0,1000000,IF(INDEX('計算A'!$D$60:$II$104,$B38,207)*KU38=1,IF(AND($E38=2,UB38=0),1000000,INDEX('計算A'!HB$110:HB$114,$F38+1)+IF(AND($E38=1,UB38=0),1000,0)),1000000))</f>
        <v/>
      </c>
      <c r="ADJ38">
        <f>IF($B38=0,1000000,IF(INDEX('計算A'!$D$60:$II$104,$B38,208)*KV38=1,IF(AND($E38=2,UC38=0),1000000,INDEX('計算A'!HC$110:HC$114,$F38+1)+IF(AND($E38=1,UC38=0),1000,0)),1000000))</f>
        <v/>
      </c>
      <c r="ADK38">
        <f>IF($B38=0,1000000,IF(INDEX('計算A'!$D$60:$II$104,$B38,209)*KW38=1,IF(AND($E38=2,UD38=0),1000000,INDEX('計算A'!HD$110:HD$114,$F38+1)+IF(AND($E38=1,UD38=0),1000,0)),1000000))</f>
        <v/>
      </c>
      <c r="ADL38">
        <f>IF($B38=0,1000000,IF(INDEX('計算A'!$D$60:$II$104,$B38,210)*KX38=1,IF(AND($E38=2,UE38=0),1000000,INDEX('計算A'!HE$110:HE$114,$F38+1)+IF(AND($E38=1,UE38=0),1000,0)),1000000))</f>
        <v/>
      </c>
      <c r="ADM38">
        <f>IF($B38=0,1000000,IF(INDEX('計算A'!$D$60:$II$104,$B38,211)*KY38=1,IF(AND($E38=2,UF38=0),1000000,INDEX('計算A'!HF$110:HF$114,$F38+1)+IF(AND($E38=1,UF38=0),1000,0)),1000000))</f>
        <v/>
      </c>
      <c r="ADN38">
        <f>IF($B38=0,1000000,IF(INDEX('計算A'!$D$60:$II$104,$B38,212)*KZ38=1,IF(AND($E38=2,UG38=0),1000000,INDEX('計算A'!HG$110:HG$114,$F38+1)+IF(AND($E38=1,UG38=0),1000,0)),1000000))</f>
        <v/>
      </c>
      <c r="ADO38">
        <f>IF($B38=0,1000000,IF(INDEX('計算A'!$D$60:$II$104,$B38,213)*LA38=1,IF(AND($E38=2,UH38=0),1000000,INDEX('計算A'!HH$110:HH$114,$F38+1)+IF(AND($E38=1,UH38=0),1000,0)),1000000))</f>
        <v/>
      </c>
      <c r="ADP38">
        <f>IF($B38=0,1000000,IF(INDEX('計算A'!$D$60:$II$104,$B38,214)*LB38=1,IF(AND($E38=2,UI38=0),1000000,INDEX('計算A'!HI$110:HI$114,$F38+1)+IF(AND($E38=1,UI38=0),1000,0)),1000000))</f>
        <v/>
      </c>
      <c r="ADQ38">
        <f>IF($B38=0,1000000,IF(INDEX('計算A'!$D$60:$II$104,$B38,215)*LC38=1,IF(AND($E38=2,UJ38=0),1000000,INDEX('計算A'!HJ$110:HJ$114,$F38+1)+IF(AND($E38=1,UJ38=0),1000,0)),1000000))</f>
        <v/>
      </c>
      <c r="ADR38">
        <f>IF($B38=0,1000000,IF(INDEX('計算A'!$D$60:$II$104,$B38,216)*LD38=1,IF(AND($E38=2,UK38=0),1000000,INDEX('計算A'!HK$110:HK$114,$F38+1)+IF(AND($E38=1,UK38=0),1000,0)),1000000))</f>
        <v/>
      </c>
      <c r="ADS38">
        <f>IF($B38=0,1000000,IF(INDEX('計算A'!$D$60:$II$104,$B38,217)*LE38=1,IF(AND($E38=2,UL38=0),1000000,INDEX('計算A'!HL$110:HL$114,$F38+1)+IF(AND($E38=1,UL38=0),1000,0)),1000000))</f>
        <v/>
      </c>
      <c r="ADT38">
        <f>IF($B38=0,1000000,IF(INDEX('計算A'!$D$60:$II$104,$B38,218)*LF38=1,IF(AND($E38=2,UM38=0),1000000,INDEX('計算A'!HM$110:HM$114,$F38+1)+IF(AND($E38=1,UM38=0),1000,0)),1000000))</f>
        <v/>
      </c>
      <c r="ADU38">
        <f>IF($B38=0,1000000,IF(INDEX('計算A'!$D$60:$II$104,$B38,219)*LG38=1,IF(AND($E38=2,UN38=0),1000000,INDEX('計算A'!HN$110:HN$114,$F38+1)+IF(AND($E38=1,UN38=0),1000,0)),1000000))</f>
        <v/>
      </c>
      <c r="ADV38">
        <f>IF($B38=0,1000000,IF(INDEX('計算A'!$D$60:$II$104,$B38,220)*LH38=1,IF(AND($E38=2,UO38=0),1000000,INDEX('計算A'!HO$110:HO$114,$F38+1)+IF(AND($E38=1,UO38=0),1000,0)),1000000))</f>
        <v/>
      </c>
      <c r="ADW38">
        <f>IF($B38=0,1000000,IF(INDEX('計算A'!$D$60:$II$104,$B38,221)*LI38=1,IF(AND($E38=2,UP38=0),1000000,INDEX('計算A'!HP$110:HP$114,$F38+1)+IF(AND($E38=1,UP38=0),1000,0)),1000000))</f>
        <v/>
      </c>
      <c r="ADX38">
        <f>IF($B38=0,1000000,IF(INDEX('計算A'!$D$60:$II$104,$B38,222)*LJ38=1,IF(AND($E38=2,UQ38=0),1000000,INDEX('計算A'!HQ$110:HQ$114,$F38+1)+IF(AND($E38=1,UQ38=0),1000,0)),1000000))</f>
        <v/>
      </c>
      <c r="ADY38">
        <f>IF($B38=0,1000000,IF(INDEX('計算A'!$D$60:$II$104,$B38,223)*LK38=1,IF(AND($E38=2,UR38=0),1000000,INDEX('計算A'!HR$110:HR$114,$F38+1)+IF(AND($E38=1,UR38=0),1000,0)),1000000))</f>
        <v/>
      </c>
      <c r="ADZ38">
        <f>IF($B38=0,1000000,IF(INDEX('計算A'!$D$60:$II$104,$B38,224)*LL38=1,IF(AND($E38=2,US38=0),1000000,INDEX('計算A'!HS$110:HS$114,$F38+1)+IF(AND($E38=1,US38=0),1000,0)),1000000))</f>
        <v/>
      </c>
      <c r="AEA38">
        <f>IF($B38=0,1000000,IF(INDEX('計算A'!$D$60:$II$104,$B38,225)*LM38=1,IF(AND($E38=2,UT38=0),1000000,INDEX('計算A'!HT$110:HT$114,$F38+1)+IF(AND($E38=1,UT38=0),1000,0)),1000000))</f>
        <v/>
      </c>
      <c r="AEB38">
        <f>IF($B38=0,1000000,IF(INDEX('計算A'!$D$60:$II$104,$B38,226)*LN38=1,IF(AND($E38=2,UU38=0),1000000,INDEX('計算A'!HU$110:HU$114,$F38+1)+IF(AND($E38=1,UU38=0),1000,0)),1000000))</f>
        <v/>
      </c>
      <c r="AEC38">
        <f>IF($B38=0,1000000,IF(INDEX('計算A'!$D$60:$II$104,$B38,227)*LO38=1,IF(AND($E38=2,UV38=0),1000000,INDEX('計算A'!HV$110:HV$114,$F38+1)+IF(AND($E38=1,UV38=0),1000,0)),1000000))</f>
        <v/>
      </c>
      <c r="AED38">
        <f>IF($B38=0,1000000,IF(INDEX('計算A'!$D$60:$II$104,$B38,228)*LP38=1,IF(AND($E38=2,UW38=0),1000000,INDEX('計算A'!HW$110:HW$114,$F38+1)+IF(AND($E38=1,UW38=0),1000,0)),1000000))</f>
        <v/>
      </c>
      <c r="AEE38">
        <f>IF($B38=0,1000000,IF(INDEX('計算A'!$D$60:$II$104,$B38,229)*LQ38=1,IF(AND($E38=2,UX38=0),1000000,INDEX('計算A'!HX$110:HX$114,$F38+1)+IF(AND($E38=1,UX38=0),1000,0)),1000000))</f>
        <v/>
      </c>
      <c r="AEF38">
        <f>IF($B38=0,1000000,IF(INDEX('計算A'!$D$60:$II$104,$B38,230)*LR38=1,IF(AND($E38=2,UY38=0),1000000,INDEX('計算A'!HY$110:HY$114,$F38+1)+IF(AND($E38=1,UY38=0),1000,0)),1000000))</f>
        <v/>
      </c>
      <c r="AEG38">
        <f>IF($B38=0,1000000,IF(INDEX('計算A'!$D$60:$II$104,$B38,231)*LS38=1,IF(AND($E38=2,UZ38=0),1000000,INDEX('計算A'!HZ$110:HZ$114,$F38+1)+IF(AND($E38=1,UZ38=0),1000,0)),1000000))</f>
        <v/>
      </c>
      <c r="AEH38">
        <f>IF($B38=0,1000000,IF(INDEX('計算A'!$D$60:$II$104,$B38,232)*LT38=1,IF(AND($E38=2,VA38=0),1000000,INDEX('計算A'!IA$110:IA$114,$F38+1)+IF(AND($E38=1,VA38=0),1000,0)),1000000))</f>
        <v/>
      </c>
      <c r="AEI38">
        <f>IF($B38=0,1000000,IF(INDEX('計算A'!$D$60:$II$104,$B38,233)*LU38=1,IF(AND($E38=2,VB38=0),1000000,INDEX('計算A'!IB$110:IB$114,$F38+1)+IF(AND($E38=1,VB38=0),1000,0)),1000000))</f>
        <v/>
      </c>
      <c r="AEJ38">
        <f>IF($B38=0,1000000,IF(INDEX('計算A'!$D$60:$II$104,$B38,234)*LV38=1,IF(AND($E38=2,VC38=0),1000000,INDEX('計算A'!IC$110:IC$114,$F38+1)+IF(AND($E38=1,VC38=0),1000,0)),1000000))</f>
        <v/>
      </c>
      <c r="AEK38">
        <f>IF($B38=0,1000000,IF(INDEX('計算A'!$D$60:$II$104,$B38,235)*LW38=1,IF(AND($E38=2,VD38=0),1000000,INDEX('計算A'!ID$110:ID$114,$F38+1)+IF(AND($E38=1,VD38=0),1000,0)),1000000))</f>
        <v/>
      </c>
      <c r="AEL38">
        <f>IF($B38=0,1000000,IF(INDEX('計算A'!$D$60:$II$104,$B38,236)*LX38=1,IF(AND($E38=2,VE38=0),1000000,INDEX('計算A'!IE$110:IE$114,$F38+1)+IF(AND($E38=1,VE38=0),1000,0)),1000000))</f>
        <v/>
      </c>
      <c r="AEM38">
        <f>IF($B38=0,1000000,IF(INDEX('計算A'!$D$60:$II$104,$B38,237)*LY38=1,IF(AND($E38=2,VF38=0),1000000,INDEX('計算A'!IF$110:IF$114,$F38+1)+IF(AND($E38=1,VF38=0),1000,0)),1000000))</f>
        <v/>
      </c>
      <c r="AEN38">
        <f>IF($B38=0,1000000,IF(INDEX('計算A'!$D$60:$II$104,$B38,238)*LZ38=1,IF(AND($E38=2,VG38=0),1000000,INDEX('計算A'!IG$110:IG$114,$F38+1)+IF(AND($E38=1,VG38=0),1000,0)),1000000))</f>
        <v/>
      </c>
      <c r="AEO38">
        <f>IF($B38=0,1000000,IF(INDEX('計算A'!$D$60:$II$104,$B38,239)*MA38=1,IF(AND($E38=2,VH38=0),1000000,INDEX('計算A'!IH$110:IH$114,$F38+1)+IF(AND($E38=1,VH38=0),1000,0)),1000000))</f>
        <v/>
      </c>
      <c r="AEP38">
        <f>IF($B38=0,1000000,IF(INDEX('計算A'!$D$60:$II$104,$B38,240)*MB38=1,IF(AND($E38=2,VI38=0),1000000,INDEX('計算A'!II$110:II$114,$F38+1)+IF(AND($E38=1,VI38=0),1000,0)),1000000))</f>
        <v/>
      </c>
    </row>
    <row r="39">
      <c r="A39" t="n">
        <v>37</v>
      </c>
      <c r="B39">
        <f>IF(MIN(BC39:CU39)&gt;=1000000,0,MATCH(MIN(BC39:CU39),BC39:CU39,0))</f>
        <v/>
      </c>
      <c r="C39">
        <f>IF(MIN(VK39:AEP39)&gt;=1000000,0,MATCH(MIN(VK39:AEP39),VK39:AEP39,0))</f>
        <v/>
      </c>
      <c r="D39">
        <f>IF(C39&gt;0,INDEX('計算A'!$D$5:$II$5,C39),0)</f>
        <v/>
      </c>
      <c r="E39">
        <f>IF(B39=0,0,INDEX('計算A'!$IQ$10:$IQ$54,B39))</f>
        <v/>
      </c>
      <c r="F39">
        <f>IF(B39=0,0,INDEX('計算A'!$IP$10:$IP$54,B39))</f>
        <v/>
      </c>
      <c r="G39">
        <f>IF(AND(C39&gt;0,E39&gt;0),IF(AND(INDEX('計算A'!$D$106:$II$106,C39)=1,INDEX($MD39:$VI39,C39)=1),C39+1,0),0)</f>
        <v/>
      </c>
      <c r="I39">
        <f>MAX(I38,IF($B38=1,1,0))</f>
        <v/>
      </c>
      <c r="J39">
        <f>MAX(J38,IF($B38=2,1,0))</f>
        <v/>
      </c>
      <c r="K39">
        <f>MAX(K38,IF($B38=3,1,0))</f>
        <v/>
      </c>
      <c r="L39">
        <f>MAX(L38,IF($B38=4,1,0))</f>
        <v/>
      </c>
      <c r="M39">
        <f>MAX(M38,IF($B38=5,1,0))</f>
        <v/>
      </c>
      <c r="N39">
        <f>MAX(N38,IF($B38=6,1,0))</f>
        <v/>
      </c>
      <c r="O39">
        <f>MAX(O38,IF($B38=7,1,0))</f>
        <v/>
      </c>
      <c r="P39">
        <f>MAX(P38,IF($B38=8,1,0))</f>
        <v/>
      </c>
      <c r="Q39">
        <f>MAX(Q38,IF($B38=9,1,0))</f>
        <v/>
      </c>
      <c r="R39">
        <f>MAX(R38,IF($B38=10,1,0))</f>
        <v/>
      </c>
      <c r="S39">
        <f>MAX(S38,IF($B38=11,1,0))</f>
        <v/>
      </c>
      <c r="T39">
        <f>MAX(T38,IF($B38=12,1,0))</f>
        <v/>
      </c>
      <c r="U39">
        <f>MAX(U38,IF($B38=13,1,0))</f>
        <v/>
      </c>
      <c r="V39">
        <f>MAX(V38,IF($B38=14,1,0))</f>
        <v/>
      </c>
      <c r="W39">
        <f>MAX(W38,IF($B38=15,1,0))</f>
        <v/>
      </c>
      <c r="X39">
        <f>MAX(X38,IF($B38=16,1,0))</f>
        <v/>
      </c>
      <c r="Y39">
        <f>MAX(Y38,IF($B38=17,1,0))</f>
        <v/>
      </c>
      <c r="Z39">
        <f>MAX(Z38,IF($B38=18,1,0))</f>
        <v/>
      </c>
      <c r="AA39">
        <f>MAX(AA38,IF($B38=19,1,0))</f>
        <v/>
      </c>
      <c r="AB39">
        <f>MAX(AB38,IF($B38=20,1,0))</f>
        <v/>
      </c>
      <c r="AC39">
        <f>MAX(AC38,IF($B38=21,1,0))</f>
        <v/>
      </c>
      <c r="AD39">
        <f>MAX(AD38,IF($B38=22,1,0))</f>
        <v/>
      </c>
      <c r="AE39">
        <f>MAX(AE38,IF($B38=23,1,0))</f>
        <v/>
      </c>
      <c r="AF39">
        <f>MAX(AF38,IF($B38=24,1,0))</f>
        <v/>
      </c>
      <c r="AG39">
        <f>MAX(AG38,IF($B38=25,1,0))</f>
        <v/>
      </c>
      <c r="AH39">
        <f>MAX(AH38,IF($B38=26,1,0))</f>
        <v/>
      </c>
      <c r="AI39">
        <f>MAX(AI38,IF($B38=27,1,0))</f>
        <v/>
      </c>
      <c r="AJ39">
        <f>MAX(AJ38,IF($B38=28,1,0))</f>
        <v/>
      </c>
      <c r="AK39">
        <f>MAX(AK38,IF($B38=29,1,0))</f>
        <v/>
      </c>
      <c r="AL39">
        <f>MAX(AL38,IF($B38=30,1,0))</f>
        <v/>
      </c>
      <c r="AM39">
        <f>MAX(AM38,IF($B38=31,1,0))</f>
        <v/>
      </c>
      <c r="AN39">
        <f>MAX(AN38,IF($B38=32,1,0))</f>
        <v/>
      </c>
      <c r="AO39">
        <f>MAX(AO38,IF($B38=33,1,0))</f>
        <v/>
      </c>
      <c r="AP39">
        <f>MAX(AP38,IF($B38=34,1,0))</f>
        <v/>
      </c>
      <c r="AQ39">
        <f>MAX(AQ38,IF($B38=35,1,0))</f>
        <v/>
      </c>
      <c r="AR39">
        <f>MAX(AR38,IF($B38=36,1,0))</f>
        <v/>
      </c>
      <c r="AS39">
        <f>MAX(AS38,IF($B38=37,1,0))</f>
        <v/>
      </c>
      <c r="AT39">
        <f>MAX(AT38,IF($B38=38,1,0))</f>
        <v/>
      </c>
      <c r="AU39">
        <f>MAX(AU38,IF($B38=39,1,0))</f>
        <v/>
      </c>
      <c r="AV39">
        <f>MAX(AV38,IF($B38=40,1,0))</f>
        <v/>
      </c>
      <c r="AW39">
        <f>MAX(AW38,IF($B38=41,1,0))</f>
        <v/>
      </c>
      <c r="AX39">
        <f>MAX(AX38,IF($B38=42,1,0))</f>
        <v/>
      </c>
      <c r="AY39">
        <f>MAX(AY38,IF($B38=43,1,0))</f>
        <v/>
      </c>
      <c r="AZ39">
        <f>MAX(AZ38,IF($B38=44,1,0))</f>
        <v/>
      </c>
      <c r="BA39">
        <f>MAX(BA38,IF($B38=45,1,0))</f>
        <v/>
      </c>
      <c r="BC39">
        <f>IF(I39=1,1000000,IF('計算A'!$IQ$10=2,SUMPRODUCT('計算A'!$D$60:$II$60,$CW39:$MB39,$MD39:$VI39),SUMPRODUCT('計算A'!$D$60:$II$60,$CW39:$MB39))*1000+1)</f>
        <v/>
      </c>
      <c r="BD39">
        <f>IF(J39=1,1000000,IF('計算A'!$IQ$11=2,SUMPRODUCT('計算A'!$D$61:$II$61,$CW39:$MB39,$MD39:$VI39),SUMPRODUCT('計算A'!$D$61:$II$61,$CW39:$MB39))*1000+2)</f>
        <v/>
      </c>
      <c r="BE39">
        <f>IF(K39=1,1000000,IF('計算A'!$IQ$12=2,SUMPRODUCT('計算A'!$D$62:$II$62,$CW39:$MB39,$MD39:$VI39),SUMPRODUCT('計算A'!$D$62:$II$62,$CW39:$MB39))*1000+3)</f>
        <v/>
      </c>
      <c r="BF39">
        <f>IF(L39=1,1000000,IF('計算A'!$IQ$13=2,SUMPRODUCT('計算A'!$D$63:$II$63,$CW39:$MB39,$MD39:$VI39),SUMPRODUCT('計算A'!$D$63:$II$63,$CW39:$MB39))*1000+4)</f>
        <v/>
      </c>
      <c r="BG39">
        <f>IF(M39=1,1000000,IF('計算A'!$IQ$14=2,SUMPRODUCT('計算A'!$D$64:$II$64,$CW39:$MB39,$MD39:$VI39),SUMPRODUCT('計算A'!$D$64:$II$64,$CW39:$MB39))*1000+5)</f>
        <v/>
      </c>
      <c r="BH39">
        <f>IF(N39=1,1000000,IF('計算A'!$IQ$15=2,SUMPRODUCT('計算A'!$D$65:$II$65,$CW39:$MB39,$MD39:$VI39),SUMPRODUCT('計算A'!$D$65:$II$65,$CW39:$MB39))*1000+6)</f>
        <v/>
      </c>
      <c r="BI39">
        <f>IF(O39=1,1000000,IF('計算A'!$IQ$16=2,SUMPRODUCT('計算A'!$D$66:$II$66,$CW39:$MB39,$MD39:$VI39),SUMPRODUCT('計算A'!$D$66:$II$66,$CW39:$MB39))*1000+7)</f>
        <v/>
      </c>
      <c r="BJ39">
        <f>IF(P39=1,1000000,IF('計算A'!$IQ$17=2,SUMPRODUCT('計算A'!$D$67:$II$67,$CW39:$MB39,$MD39:$VI39),SUMPRODUCT('計算A'!$D$67:$II$67,$CW39:$MB39))*1000+8)</f>
        <v/>
      </c>
      <c r="BK39">
        <f>IF(Q39=1,1000000,IF('計算A'!$IQ$18=2,SUMPRODUCT('計算A'!$D$68:$II$68,$CW39:$MB39,$MD39:$VI39),SUMPRODUCT('計算A'!$D$68:$II$68,$CW39:$MB39))*1000+9)</f>
        <v/>
      </c>
      <c r="BL39">
        <f>IF(R39=1,1000000,IF('計算A'!$IQ$19=2,SUMPRODUCT('計算A'!$D$69:$II$69,$CW39:$MB39,$MD39:$VI39),SUMPRODUCT('計算A'!$D$69:$II$69,$CW39:$MB39))*1000+10)</f>
        <v/>
      </c>
      <c r="BM39">
        <f>IF(S39=1,1000000,IF('計算A'!$IQ$20=2,SUMPRODUCT('計算A'!$D$70:$II$70,$CW39:$MB39,$MD39:$VI39),SUMPRODUCT('計算A'!$D$70:$II$70,$CW39:$MB39))*1000+11)</f>
        <v/>
      </c>
      <c r="BN39">
        <f>IF(T39=1,1000000,IF('計算A'!$IQ$21=2,SUMPRODUCT('計算A'!$D$71:$II$71,$CW39:$MB39,$MD39:$VI39),SUMPRODUCT('計算A'!$D$71:$II$71,$CW39:$MB39))*1000+12)</f>
        <v/>
      </c>
      <c r="BO39">
        <f>IF(U39=1,1000000,IF('計算A'!$IQ$22=2,SUMPRODUCT('計算A'!$D$72:$II$72,$CW39:$MB39,$MD39:$VI39),SUMPRODUCT('計算A'!$D$72:$II$72,$CW39:$MB39))*1000+13)</f>
        <v/>
      </c>
      <c r="BP39">
        <f>IF(V39=1,1000000,IF('計算A'!$IQ$23=2,SUMPRODUCT('計算A'!$D$73:$II$73,$CW39:$MB39,$MD39:$VI39),SUMPRODUCT('計算A'!$D$73:$II$73,$CW39:$MB39))*1000+14)</f>
        <v/>
      </c>
      <c r="BQ39">
        <f>IF(W39=1,1000000,IF('計算A'!$IQ$24=2,SUMPRODUCT('計算A'!$D$74:$II$74,$CW39:$MB39,$MD39:$VI39),SUMPRODUCT('計算A'!$D$74:$II$74,$CW39:$MB39))*1000+15)</f>
        <v/>
      </c>
      <c r="BR39">
        <f>IF(X39=1,1000000,IF('計算A'!$IQ$25=2,SUMPRODUCT('計算A'!$D$75:$II$75,$CW39:$MB39,$MD39:$VI39),SUMPRODUCT('計算A'!$D$75:$II$75,$CW39:$MB39))*1000+16)</f>
        <v/>
      </c>
      <c r="BS39">
        <f>IF(Y39=1,1000000,IF('計算A'!$IQ$26=2,SUMPRODUCT('計算A'!$D$76:$II$76,$CW39:$MB39,$MD39:$VI39),SUMPRODUCT('計算A'!$D$76:$II$76,$CW39:$MB39))*1000+17)</f>
        <v/>
      </c>
      <c r="BT39">
        <f>IF(Z39=1,1000000,IF('計算A'!$IQ$27=2,SUMPRODUCT('計算A'!$D$77:$II$77,$CW39:$MB39,$MD39:$VI39),SUMPRODUCT('計算A'!$D$77:$II$77,$CW39:$MB39))*1000+18)</f>
        <v/>
      </c>
      <c r="BU39">
        <f>IF(AA39=1,1000000,IF('計算A'!$IQ$28=2,SUMPRODUCT('計算A'!$D$78:$II$78,$CW39:$MB39,$MD39:$VI39),SUMPRODUCT('計算A'!$D$78:$II$78,$CW39:$MB39))*1000+19)</f>
        <v/>
      </c>
      <c r="BV39">
        <f>IF(AB39=1,1000000,IF('計算A'!$IQ$29=2,SUMPRODUCT('計算A'!$D$79:$II$79,$CW39:$MB39,$MD39:$VI39),SUMPRODUCT('計算A'!$D$79:$II$79,$CW39:$MB39))*1000+20)</f>
        <v/>
      </c>
      <c r="BW39">
        <f>IF(AC39=1,1000000,IF('計算A'!$IQ$30=2,SUMPRODUCT('計算A'!$D$80:$II$80,$CW39:$MB39,$MD39:$VI39),SUMPRODUCT('計算A'!$D$80:$II$80,$CW39:$MB39))*1000+21)</f>
        <v/>
      </c>
      <c r="BX39">
        <f>IF(AD39=1,1000000,IF('計算A'!$IQ$31=2,SUMPRODUCT('計算A'!$D$81:$II$81,$CW39:$MB39,$MD39:$VI39),SUMPRODUCT('計算A'!$D$81:$II$81,$CW39:$MB39))*1000+22)</f>
        <v/>
      </c>
      <c r="BY39">
        <f>IF(AE39=1,1000000,IF('計算A'!$IQ$32=2,SUMPRODUCT('計算A'!$D$82:$II$82,$CW39:$MB39,$MD39:$VI39),SUMPRODUCT('計算A'!$D$82:$II$82,$CW39:$MB39))*1000+23)</f>
        <v/>
      </c>
      <c r="BZ39">
        <f>IF(AF39=1,1000000,IF('計算A'!$IQ$33=2,SUMPRODUCT('計算A'!$D$83:$II$83,$CW39:$MB39,$MD39:$VI39),SUMPRODUCT('計算A'!$D$83:$II$83,$CW39:$MB39))*1000+24)</f>
        <v/>
      </c>
      <c r="CA39">
        <f>IF(AG39=1,1000000,IF('計算A'!$IQ$34=2,SUMPRODUCT('計算A'!$D$84:$II$84,$CW39:$MB39,$MD39:$VI39),SUMPRODUCT('計算A'!$D$84:$II$84,$CW39:$MB39))*1000+25)</f>
        <v/>
      </c>
      <c r="CB39">
        <f>IF(AH39=1,1000000,IF('計算A'!$IQ$35=2,SUMPRODUCT('計算A'!$D$85:$II$85,$CW39:$MB39,$MD39:$VI39),SUMPRODUCT('計算A'!$D$85:$II$85,$CW39:$MB39))*1000+26)</f>
        <v/>
      </c>
      <c r="CC39">
        <f>IF(AI39=1,1000000,IF('計算A'!$IQ$36=2,SUMPRODUCT('計算A'!$D$86:$II$86,$CW39:$MB39,$MD39:$VI39),SUMPRODUCT('計算A'!$D$86:$II$86,$CW39:$MB39))*1000+27)</f>
        <v/>
      </c>
      <c r="CD39">
        <f>IF(AJ39=1,1000000,IF('計算A'!$IQ$37=2,SUMPRODUCT('計算A'!$D$87:$II$87,$CW39:$MB39,$MD39:$VI39),SUMPRODUCT('計算A'!$D$87:$II$87,$CW39:$MB39))*1000+28)</f>
        <v/>
      </c>
      <c r="CE39">
        <f>IF(AK39=1,1000000,IF('計算A'!$IQ$38=2,SUMPRODUCT('計算A'!$D$88:$II$88,$CW39:$MB39,$MD39:$VI39),SUMPRODUCT('計算A'!$D$88:$II$88,$CW39:$MB39))*1000+29)</f>
        <v/>
      </c>
      <c r="CF39">
        <f>IF(AL39=1,1000000,IF('計算A'!$IQ$39=2,SUMPRODUCT('計算A'!$D$89:$II$89,$CW39:$MB39,$MD39:$VI39),SUMPRODUCT('計算A'!$D$89:$II$89,$CW39:$MB39))*1000+30)</f>
        <v/>
      </c>
      <c r="CG39">
        <f>IF(AM39=1,1000000,IF('計算A'!$IQ$40=2,SUMPRODUCT('計算A'!$D$90:$II$90,$CW39:$MB39,$MD39:$VI39),SUMPRODUCT('計算A'!$D$90:$II$90,$CW39:$MB39))*1000+31)</f>
        <v/>
      </c>
      <c r="CH39">
        <f>IF(AN39=1,1000000,IF('計算A'!$IQ$41=2,SUMPRODUCT('計算A'!$D$91:$II$91,$CW39:$MB39,$MD39:$VI39),SUMPRODUCT('計算A'!$D$91:$II$91,$CW39:$MB39))*1000+32)</f>
        <v/>
      </c>
      <c r="CI39">
        <f>IF(AO39=1,1000000,IF('計算A'!$IQ$42=2,SUMPRODUCT('計算A'!$D$92:$II$92,$CW39:$MB39,$MD39:$VI39),SUMPRODUCT('計算A'!$D$92:$II$92,$CW39:$MB39))*1000+33)</f>
        <v/>
      </c>
      <c r="CJ39">
        <f>IF(AP39=1,1000000,IF('計算A'!$IQ$43=2,SUMPRODUCT('計算A'!$D$93:$II$93,$CW39:$MB39,$MD39:$VI39),SUMPRODUCT('計算A'!$D$93:$II$93,$CW39:$MB39))*1000+34)</f>
        <v/>
      </c>
      <c r="CK39">
        <f>IF(AQ39=1,1000000,IF('計算A'!$IQ$44=2,SUMPRODUCT('計算A'!$D$94:$II$94,$CW39:$MB39,$MD39:$VI39),SUMPRODUCT('計算A'!$D$94:$II$94,$CW39:$MB39))*1000+35)</f>
        <v/>
      </c>
      <c r="CL39">
        <f>IF(AR39=1,1000000,IF('計算A'!$IQ$45=2,SUMPRODUCT('計算A'!$D$95:$II$95,$CW39:$MB39,$MD39:$VI39),SUMPRODUCT('計算A'!$D$95:$II$95,$CW39:$MB39))*1000+36)</f>
        <v/>
      </c>
      <c r="CM39">
        <f>IF(AS39=1,1000000,IF('計算A'!$IQ$46=2,SUMPRODUCT('計算A'!$D$96:$II$96,$CW39:$MB39,$MD39:$VI39),SUMPRODUCT('計算A'!$D$96:$II$96,$CW39:$MB39))*1000+37)</f>
        <v/>
      </c>
      <c r="CN39">
        <f>IF(AT39=1,1000000,IF('計算A'!$IQ$47=2,SUMPRODUCT('計算A'!$D$97:$II$97,$CW39:$MB39,$MD39:$VI39),SUMPRODUCT('計算A'!$D$97:$II$97,$CW39:$MB39))*1000+38)</f>
        <v/>
      </c>
      <c r="CO39">
        <f>IF(AU39=1,1000000,IF('計算A'!$IQ$48=2,SUMPRODUCT('計算A'!$D$98:$II$98,$CW39:$MB39,$MD39:$VI39),SUMPRODUCT('計算A'!$D$98:$II$98,$CW39:$MB39))*1000+39)</f>
        <v/>
      </c>
      <c r="CP39">
        <f>IF(AV39=1,1000000,IF('計算A'!$IQ$49=2,SUMPRODUCT('計算A'!$D$99:$II$99,$CW39:$MB39,$MD39:$VI39),SUMPRODUCT('計算A'!$D$99:$II$99,$CW39:$MB39))*1000+40)</f>
        <v/>
      </c>
      <c r="CQ39">
        <f>IF(AW39=1,1000000,IF('計算A'!$IQ$50=2,SUMPRODUCT('計算A'!$D$100:$II$100,$CW39:$MB39,$MD39:$VI39),SUMPRODUCT('計算A'!$D$100:$II$100,$CW39:$MB39))*1000+41)</f>
        <v/>
      </c>
      <c r="CR39">
        <f>IF(AX39=1,1000000,IF('計算A'!$IQ$51=2,SUMPRODUCT('計算A'!$D$101:$II$101,$CW39:$MB39,$MD39:$VI39),SUMPRODUCT('計算A'!$D$101:$II$101,$CW39:$MB39))*1000+42)</f>
        <v/>
      </c>
      <c r="CS39">
        <f>IF(AY39=1,1000000,IF('計算A'!$IQ$52=2,SUMPRODUCT('計算A'!$D$102:$II$102,$CW39:$MB39,$MD39:$VI39),SUMPRODUCT('計算A'!$D$102:$II$102,$CW39:$MB39))*1000+43)</f>
        <v/>
      </c>
      <c r="CT39">
        <f>IF(AZ39=1,1000000,IF('計算A'!$IQ$53=2,SUMPRODUCT('計算A'!$D$103:$II$103,$CW39:$MB39,$MD39:$VI39),SUMPRODUCT('計算A'!$D$103:$II$103,$CW39:$MB39))*1000+44)</f>
        <v/>
      </c>
      <c r="CU39">
        <f>IF(BA39=1,1000000,IF('計算A'!$IQ$54=2,SUMPRODUCT('計算A'!$D$104:$II$104,$CW39:$MB39,$MD39:$VI39),SUMPRODUCT('計算A'!$D$104:$II$104,$CW39:$MB39))*1000+45)</f>
        <v/>
      </c>
      <c r="CW39">
        <f>CW38*IF(OR($C38=1,$G38=1),0,1)</f>
        <v/>
      </c>
      <c r="CX39">
        <f>CX38*IF(OR($C38=2,$G38=2),0,1)</f>
        <v/>
      </c>
      <c r="CY39">
        <f>CY38*IF(OR($C38=3,$G38=3),0,1)</f>
        <v/>
      </c>
      <c r="CZ39">
        <f>CZ38*IF(OR($C38=4,$G38=4),0,1)</f>
        <v/>
      </c>
      <c r="DA39">
        <f>DA38*IF(OR($C38=5,$G38=5),0,1)</f>
        <v/>
      </c>
      <c r="DB39">
        <f>DB38*IF(OR($C38=6,$G38=6),0,1)</f>
        <v/>
      </c>
      <c r="DC39">
        <f>DC38*IF(OR($C38=7,$G38=7),0,1)</f>
        <v/>
      </c>
      <c r="DD39">
        <f>DD38*IF(OR($C38=8,$G38=8),0,1)</f>
        <v/>
      </c>
      <c r="DE39">
        <f>DE38*IF(OR($C38=9,$G38=9),0,1)</f>
        <v/>
      </c>
      <c r="DF39">
        <f>DF38*IF(OR($C38=10,$G38=10),0,1)</f>
        <v/>
      </c>
      <c r="DG39">
        <f>DG38*IF(OR($C38=11,$G38=11),0,1)</f>
        <v/>
      </c>
      <c r="DH39">
        <f>DH38*IF(OR($C38=12,$G38=12),0,1)</f>
        <v/>
      </c>
      <c r="DI39">
        <f>DI38*IF(OR($C38=13,$G38=13),0,1)</f>
        <v/>
      </c>
      <c r="DJ39">
        <f>DJ38*IF(OR($C38=14,$G38=14),0,1)</f>
        <v/>
      </c>
      <c r="DK39">
        <f>DK38*IF(OR($C38=15,$G38=15),0,1)</f>
        <v/>
      </c>
      <c r="DL39">
        <f>DL38*IF(OR($C38=16,$G38=16),0,1)</f>
        <v/>
      </c>
      <c r="DM39">
        <f>DM38*IF(OR($C38=17,$G38=17),0,1)</f>
        <v/>
      </c>
      <c r="DN39">
        <f>DN38*IF(OR($C38=18,$G38=18),0,1)</f>
        <v/>
      </c>
      <c r="DO39">
        <f>DO38*IF(OR($C38=19,$G38=19),0,1)</f>
        <v/>
      </c>
      <c r="DP39">
        <f>DP38*IF(OR($C38=20,$G38=20),0,1)</f>
        <v/>
      </c>
      <c r="DQ39">
        <f>DQ38*IF(OR($C38=21,$G38=21),0,1)</f>
        <v/>
      </c>
      <c r="DR39">
        <f>DR38*IF(OR($C38=22,$G38=22),0,1)</f>
        <v/>
      </c>
      <c r="DS39">
        <f>DS38*IF(OR($C38=23,$G38=23),0,1)</f>
        <v/>
      </c>
      <c r="DT39">
        <f>DT38*IF(OR($C38=24,$G38=24),0,1)</f>
        <v/>
      </c>
      <c r="DU39">
        <f>DU38*IF(OR($C38=25,$G38=25),0,1)</f>
        <v/>
      </c>
      <c r="DV39">
        <f>DV38*IF(OR($C38=26,$G38=26),0,1)</f>
        <v/>
      </c>
      <c r="DW39">
        <f>DW38*IF(OR($C38=27,$G38=27),0,1)</f>
        <v/>
      </c>
      <c r="DX39">
        <f>DX38*IF(OR($C38=28,$G38=28),0,1)</f>
        <v/>
      </c>
      <c r="DY39">
        <f>DY38*IF(OR($C38=29,$G38=29),0,1)</f>
        <v/>
      </c>
      <c r="DZ39">
        <f>DZ38*IF(OR($C38=30,$G38=30),0,1)</f>
        <v/>
      </c>
      <c r="EA39">
        <f>EA38*IF(OR($C38=31,$G38=31),0,1)</f>
        <v/>
      </c>
      <c r="EB39">
        <f>EB38*IF(OR($C38=32,$G38=32),0,1)</f>
        <v/>
      </c>
      <c r="EC39">
        <f>EC38*IF(OR($C38=33,$G38=33),0,1)</f>
        <v/>
      </c>
      <c r="ED39">
        <f>ED38*IF(OR($C38=34,$G38=34),0,1)</f>
        <v/>
      </c>
      <c r="EE39">
        <f>EE38*IF(OR($C38=35,$G38=35),0,1)</f>
        <v/>
      </c>
      <c r="EF39">
        <f>EF38*IF(OR($C38=36,$G38=36),0,1)</f>
        <v/>
      </c>
      <c r="EG39">
        <f>EG38*IF(OR($C38=37,$G38=37),0,1)</f>
        <v/>
      </c>
      <c r="EH39">
        <f>EH38*IF(OR($C38=38,$G38=38),0,1)</f>
        <v/>
      </c>
      <c r="EI39">
        <f>EI38*IF(OR($C38=39,$G38=39),0,1)</f>
        <v/>
      </c>
      <c r="EJ39">
        <f>EJ38*IF(OR($C38=40,$G38=40),0,1)</f>
        <v/>
      </c>
      <c r="EK39">
        <f>EK38*IF(OR($C38=41,$G38=41),0,1)</f>
        <v/>
      </c>
      <c r="EL39">
        <f>EL38*IF(OR($C38=42,$G38=42),0,1)</f>
        <v/>
      </c>
      <c r="EM39">
        <f>EM38*IF(OR($C38=43,$G38=43),0,1)</f>
        <v/>
      </c>
      <c r="EN39">
        <f>EN38*IF(OR($C38=44,$G38=44),0,1)</f>
        <v/>
      </c>
      <c r="EO39">
        <f>EO38*IF(OR($C38=45,$G38=45),0,1)</f>
        <v/>
      </c>
      <c r="EP39">
        <f>EP38*IF(OR($C38=46,$G38=46),0,1)</f>
        <v/>
      </c>
      <c r="EQ39">
        <f>EQ38*IF(OR($C38=47,$G38=47),0,1)</f>
        <v/>
      </c>
      <c r="ER39">
        <f>ER38*IF(OR($C38=48,$G38=48),0,1)</f>
        <v/>
      </c>
      <c r="ES39">
        <f>ES38*IF(OR($C38=49,$G38=49),0,1)</f>
        <v/>
      </c>
      <c r="ET39">
        <f>ET38*IF(OR($C38=50,$G38=50),0,1)</f>
        <v/>
      </c>
      <c r="EU39">
        <f>EU38*IF(OR($C38=51,$G38=51),0,1)</f>
        <v/>
      </c>
      <c r="EV39">
        <f>EV38*IF(OR($C38=52,$G38=52),0,1)</f>
        <v/>
      </c>
      <c r="EW39">
        <f>EW38*IF(OR($C38=53,$G38=53),0,1)</f>
        <v/>
      </c>
      <c r="EX39">
        <f>EX38*IF(OR($C38=54,$G38=54),0,1)</f>
        <v/>
      </c>
      <c r="EY39">
        <f>EY38*IF(OR($C38=55,$G38=55),0,1)</f>
        <v/>
      </c>
      <c r="EZ39">
        <f>EZ38*IF(OR($C38=56,$G38=56),0,1)</f>
        <v/>
      </c>
      <c r="FA39">
        <f>FA38*IF(OR($C38=57,$G38=57),0,1)</f>
        <v/>
      </c>
      <c r="FB39">
        <f>FB38*IF(OR($C38=58,$G38=58),0,1)</f>
        <v/>
      </c>
      <c r="FC39">
        <f>FC38*IF(OR($C38=59,$G38=59),0,1)</f>
        <v/>
      </c>
      <c r="FD39">
        <f>FD38*IF(OR($C38=60,$G38=60),0,1)</f>
        <v/>
      </c>
      <c r="FE39">
        <f>FE38*IF(OR($C38=61,$G38=61),0,1)</f>
        <v/>
      </c>
      <c r="FF39">
        <f>FF38*IF(OR($C38=62,$G38=62),0,1)</f>
        <v/>
      </c>
      <c r="FG39">
        <f>FG38*IF(OR($C38=63,$G38=63),0,1)</f>
        <v/>
      </c>
      <c r="FH39">
        <f>FH38*IF(OR($C38=64,$G38=64),0,1)</f>
        <v/>
      </c>
      <c r="FI39">
        <f>FI38*IF(OR($C38=65,$G38=65),0,1)</f>
        <v/>
      </c>
      <c r="FJ39">
        <f>FJ38*IF(OR($C38=66,$G38=66),0,1)</f>
        <v/>
      </c>
      <c r="FK39">
        <f>FK38*IF(OR($C38=67,$G38=67),0,1)</f>
        <v/>
      </c>
      <c r="FL39">
        <f>FL38*IF(OR($C38=68,$G38=68),0,1)</f>
        <v/>
      </c>
      <c r="FM39">
        <f>FM38*IF(OR($C38=69,$G38=69),0,1)</f>
        <v/>
      </c>
      <c r="FN39">
        <f>FN38*IF(OR($C38=70,$G38=70),0,1)</f>
        <v/>
      </c>
      <c r="FO39">
        <f>FO38*IF(OR($C38=71,$G38=71),0,1)</f>
        <v/>
      </c>
      <c r="FP39">
        <f>FP38*IF(OR($C38=72,$G38=72),0,1)</f>
        <v/>
      </c>
      <c r="FQ39">
        <f>FQ38*IF(OR($C38=73,$G38=73),0,1)</f>
        <v/>
      </c>
      <c r="FR39">
        <f>FR38*IF(OR($C38=74,$G38=74),0,1)</f>
        <v/>
      </c>
      <c r="FS39">
        <f>FS38*IF(OR($C38=75,$G38=75),0,1)</f>
        <v/>
      </c>
      <c r="FT39">
        <f>FT38*IF(OR($C38=76,$G38=76),0,1)</f>
        <v/>
      </c>
      <c r="FU39">
        <f>FU38*IF(OR($C38=77,$G38=77),0,1)</f>
        <v/>
      </c>
      <c r="FV39">
        <f>FV38*IF(OR($C38=78,$G38=78),0,1)</f>
        <v/>
      </c>
      <c r="FW39">
        <f>FW38*IF(OR($C38=79,$G38=79),0,1)</f>
        <v/>
      </c>
      <c r="FX39">
        <f>FX38*IF(OR($C38=80,$G38=80),0,1)</f>
        <v/>
      </c>
      <c r="FY39">
        <f>FY38*IF(OR($C38=81,$G38=81),0,1)</f>
        <v/>
      </c>
      <c r="FZ39">
        <f>FZ38*IF(OR($C38=82,$G38=82),0,1)</f>
        <v/>
      </c>
      <c r="GA39">
        <f>GA38*IF(OR($C38=83,$G38=83),0,1)</f>
        <v/>
      </c>
      <c r="GB39">
        <f>GB38*IF(OR($C38=84,$G38=84),0,1)</f>
        <v/>
      </c>
      <c r="GC39">
        <f>GC38*IF(OR($C38=85,$G38=85),0,1)</f>
        <v/>
      </c>
      <c r="GD39">
        <f>GD38*IF(OR($C38=86,$G38=86),0,1)</f>
        <v/>
      </c>
      <c r="GE39">
        <f>GE38*IF(OR($C38=87,$G38=87),0,1)</f>
        <v/>
      </c>
      <c r="GF39">
        <f>GF38*IF(OR($C38=88,$G38=88),0,1)</f>
        <v/>
      </c>
      <c r="GG39">
        <f>GG38*IF(OR($C38=89,$G38=89),0,1)</f>
        <v/>
      </c>
      <c r="GH39">
        <f>GH38*IF(OR($C38=90,$G38=90),0,1)</f>
        <v/>
      </c>
      <c r="GI39">
        <f>GI38*IF(OR($C38=91,$G38=91),0,1)</f>
        <v/>
      </c>
      <c r="GJ39">
        <f>GJ38*IF(OR($C38=92,$G38=92),0,1)</f>
        <v/>
      </c>
      <c r="GK39">
        <f>GK38*IF(OR($C38=93,$G38=93),0,1)</f>
        <v/>
      </c>
      <c r="GL39">
        <f>GL38*IF(OR($C38=94,$G38=94),0,1)</f>
        <v/>
      </c>
      <c r="GM39">
        <f>GM38*IF(OR($C38=95,$G38=95),0,1)</f>
        <v/>
      </c>
      <c r="GN39">
        <f>GN38*IF(OR($C38=96,$G38=96),0,1)</f>
        <v/>
      </c>
      <c r="GO39">
        <f>GO38*IF(OR($C38=97,$G38=97),0,1)</f>
        <v/>
      </c>
      <c r="GP39">
        <f>GP38*IF(OR($C38=98,$G38=98),0,1)</f>
        <v/>
      </c>
      <c r="GQ39">
        <f>GQ38*IF(OR($C38=99,$G38=99),0,1)</f>
        <v/>
      </c>
      <c r="GR39">
        <f>GR38*IF(OR($C38=100,$G38=100),0,1)</f>
        <v/>
      </c>
      <c r="GS39">
        <f>GS38*IF(OR($C38=101,$G38=101),0,1)</f>
        <v/>
      </c>
      <c r="GT39">
        <f>GT38*IF(OR($C38=102,$G38=102),0,1)</f>
        <v/>
      </c>
      <c r="GU39">
        <f>GU38*IF(OR($C38=103,$G38=103),0,1)</f>
        <v/>
      </c>
      <c r="GV39">
        <f>GV38*IF(OR($C38=104,$G38=104),0,1)</f>
        <v/>
      </c>
      <c r="GW39">
        <f>GW38*IF(OR($C38=105,$G38=105),0,1)</f>
        <v/>
      </c>
      <c r="GX39">
        <f>GX38*IF(OR($C38=106,$G38=106),0,1)</f>
        <v/>
      </c>
      <c r="GY39">
        <f>GY38*IF(OR($C38=107,$G38=107),0,1)</f>
        <v/>
      </c>
      <c r="GZ39">
        <f>GZ38*IF(OR($C38=108,$G38=108),0,1)</f>
        <v/>
      </c>
      <c r="HA39">
        <f>HA38*IF(OR($C38=109,$G38=109),0,1)</f>
        <v/>
      </c>
      <c r="HB39">
        <f>HB38*IF(OR($C38=110,$G38=110),0,1)</f>
        <v/>
      </c>
      <c r="HC39">
        <f>HC38*IF(OR($C38=111,$G38=111),0,1)</f>
        <v/>
      </c>
      <c r="HD39">
        <f>HD38*IF(OR($C38=112,$G38=112),0,1)</f>
        <v/>
      </c>
      <c r="HE39">
        <f>HE38*IF(OR($C38=113,$G38=113),0,1)</f>
        <v/>
      </c>
      <c r="HF39">
        <f>HF38*IF(OR($C38=114,$G38=114),0,1)</f>
        <v/>
      </c>
      <c r="HG39">
        <f>HG38*IF(OR($C38=115,$G38=115),0,1)</f>
        <v/>
      </c>
      <c r="HH39">
        <f>HH38*IF(OR($C38=116,$G38=116),0,1)</f>
        <v/>
      </c>
      <c r="HI39">
        <f>HI38*IF(OR($C38=117,$G38=117),0,1)</f>
        <v/>
      </c>
      <c r="HJ39">
        <f>HJ38*IF(OR($C38=118,$G38=118),0,1)</f>
        <v/>
      </c>
      <c r="HK39">
        <f>HK38*IF(OR($C38=119,$G38=119),0,1)</f>
        <v/>
      </c>
      <c r="HL39">
        <f>HL38*IF(OR($C38=120,$G38=120),0,1)</f>
        <v/>
      </c>
      <c r="HM39">
        <f>HM38*IF(OR($C38=121,$G38=121),0,1)</f>
        <v/>
      </c>
      <c r="HN39">
        <f>HN38*IF(OR($C38=122,$G38=122),0,1)</f>
        <v/>
      </c>
      <c r="HO39">
        <f>HO38*IF(OR($C38=123,$G38=123),0,1)</f>
        <v/>
      </c>
      <c r="HP39">
        <f>HP38*IF(OR($C38=124,$G38=124),0,1)</f>
        <v/>
      </c>
      <c r="HQ39">
        <f>HQ38*IF(OR($C38=125,$G38=125),0,1)</f>
        <v/>
      </c>
      <c r="HR39">
        <f>HR38*IF(OR($C38=126,$G38=126),0,1)</f>
        <v/>
      </c>
      <c r="HS39">
        <f>HS38*IF(OR($C38=127,$G38=127),0,1)</f>
        <v/>
      </c>
      <c r="HT39">
        <f>HT38*IF(OR($C38=128,$G38=128),0,1)</f>
        <v/>
      </c>
      <c r="HU39">
        <f>HU38*IF(OR($C38=129,$G38=129),0,1)</f>
        <v/>
      </c>
      <c r="HV39">
        <f>HV38*IF(OR($C38=130,$G38=130),0,1)</f>
        <v/>
      </c>
      <c r="HW39">
        <f>HW38*IF(OR($C38=131,$G38=131),0,1)</f>
        <v/>
      </c>
      <c r="HX39">
        <f>HX38*IF(OR($C38=132,$G38=132),0,1)</f>
        <v/>
      </c>
      <c r="HY39">
        <f>HY38*IF(OR($C38=133,$G38=133),0,1)</f>
        <v/>
      </c>
      <c r="HZ39">
        <f>HZ38*IF(OR($C38=134,$G38=134),0,1)</f>
        <v/>
      </c>
      <c r="IA39">
        <f>IA38*IF(OR($C38=135,$G38=135),0,1)</f>
        <v/>
      </c>
      <c r="IB39">
        <f>IB38*IF(OR($C38=136,$G38=136),0,1)</f>
        <v/>
      </c>
      <c r="IC39">
        <f>IC38*IF(OR($C38=137,$G38=137),0,1)</f>
        <v/>
      </c>
      <c r="ID39">
        <f>ID38*IF(OR($C38=138,$G38=138),0,1)</f>
        <v/>
      </c>
      <c r="IE39">
        <f>IE38*IF(OR($C38=139,$G38=139),0,1)</f>
        <v/>
      </c>
      <c r="IF39">
        <f>IF38*IF(OR($C38=140,$G38=140),0,1)</f>
        <v/>
      </c>
      <c r="IG39">
        <f>IG38*IF(OR($C38=141,$G38=141),0,1)</f>
        <v/>
      </c>
      <c r="IH39">
        <f>IH38*IF(OR($C38=142,$G38=142),0,1)</f>
        <v/>
      </c>
      <c r="II39">
        <f>II38*IF(OR($C38=143,$G38=143),0,1)</f>
        <v/>
      </c>
      <c r="IJ39">
        <f>IJ38*IF(OR($C38=144,$G38=144),0,1)</f>
        <v/>
      </c>
      <c r="IK39">
        <f>IK38*IF(OR($C38=145,$G38=145),0,1)</f>
        <v/>
      </c>
      <c r="IL39">
        <f>IL38*IF(OR($C38=146,$G38=146),0,1)</f>
        <v/>
      </c>
      <c r="IM39">
        <f>IM38*IF(OR($C38=147,$G38=147),0,1)</f>
        <v/>
      </c>
      <c r="IN39">
        <f>IN38*IF(OR($C38=148,$G38=148),0,1)</f>
        <v/>
      </c>
      <c r="IO39">
        <f>IO38*IF(OR($C38=149,$G38=149),0,1)</f>
        <v/>
      </c>
      <c r="IP39">
        <f>IP38*IF(OR($C38=150,$G38=150),0,1)</f>
        <v/>
      </c>
      <c r="IQ39">
        <f>IQ38*IF(OR($C38=151,$G38=151),0,1)</f>
        <v/>
      </c>
      <c r="IR39">
        <f>IR38*IF(OR($C38=152,$G38=152),0,1)</f>
        <v/>
      </c>
      <c r="IS39">
        <f>IS38*IF(OR($C38=153,$G38=153),0,1)</f>
        <v/>
      </c>
      <c r="IT39">
        <f>IT38*IF(OR($C38=154,$G38=154),0,1)</f>
        <v/>
      </c>
      <c r="IU39">
        <f>IU38*IF(OR($C38=155,$G38=155),0,1)</f>
        <v/>
      </c>
      <c r="IV39">
        <f>IV38*IF(OR($C38=156,$G38=156),0,1)</f>
        <v/>
      </c>
      <c r="IW39">
        <f>IW38*IF(OR($C38=157,$G38=157),0,1)</f>
        <v/>
      </c>
      <c r="IX39">
        <f>IX38*IF(OR($C38=158,$G38=158),0,1)</f>
        <v/>
      </c>
      <c r="IY39">
        <f>IY38*IF(OR($C38=159,$G38=159),0,1)</f>
        <v/>
      </c>
      <c r="IZ39">
        <f>IZ38*IF(OR($C38=160,$G38=160),0,1)</f>
        <v/>
      </c>
      <c r="JA39">
        <f>JA38*IF(OR($C38=161,$G38=161),0,1)</f>
        <v/>
      </c>
      <c r="JB39">
        <f>JB38*IF(OR($C38=162,$G38=162),0,1)</f>
        <v/>
      </c>
      <c r="JC39">
        <f>JC38*IF(OR($C38=163,$G38=163),0,1)</f>
        <v/>
      </c>
      <c r="JD39">
        <f>JD38*IF(OR($C38=164,$G38=164),0,1)</f>
        <v/>
      </c>
      <c r="JE39">
        <f>JE38*IF(OR($C38=165,$G38=165),0,1)</f>
        <v/>
      </c>
      <c r="JF39">
        <f>JF38*IF(OR($C38=166,$G38=166),0,1)</f>
        <v/>
      </c>
      <c r="JG39">
        <f>JG38*IF(OR($C38=167,$G38=167),0,1)</f>
        <v/>
      </c>
      <c r="JH39">
        <f>JH38*IF(OR($C38=168,$G38=168),0,1)</f>
        <v/>
      </c>
      <c r="JI39">
        <f>JI38*IF(OR($C38=169,$G38=169),0,1)</f>
        <v/>
      </c>
      <c r="JJ39">
        <f>JJ38*IF(OR($C38=170,$G38=170),0,1)</f>
        <v/>
      </c>
      <c r="JK39">
        <f>JK38*IF(OR($C38=171,$G38=171),0,1)</f>
        <v/>
      </c>
      <c r="JL39">
        <f>JL38*IF(OR($C38=172,$G38=172),0,1)</f>
        <v/>
      </c>
      <c r="JM39">
        <f>JM38*IF(OR($C38=173,$G38=173),0,1)</f>
        <v/>
      </c>
      <c r="JN39">
        <f>JN38*IF(OR($C38=174,$G38=174),0,1)</f>
        <v/>
      </c>
      <c r="JO39">
        <f>JO38*IF(OR($C38=175,$G38=175),0,1)</f>
        <v/>
      </c>
      <c r="JP39">
        <f>JP38*IF(OR($C38=176,$G38=176),0,1)</f>
        <v/>
      </c>
      <c r="JQ39">
        <f>JQ38*IF(OR($C38=177,$G38=177),0,1)</f>
        <v/>
      </c>
      <c r="JR39">
        <f>JR38*IF(OR($C38=178,$G38=178),0,1)</f>
        <v/>
      </c>
      <c r="JS39">
        <f>JS38*IF(OR($C38=179,$G38=179),0,1)</f>
        <v/>
      </c>
      <c r="JT39">
        <f>JT38*IF(OR($C38=180,$G38=180),0,1)</f>
        <v/>
      </c>
      <c r="JU39">
        <f>JU38*IF(OR($C38=181,$G38=181),0,1)</f>
        <v/>
      </c>
      <c r="JV39">
        <f>JV38*IF(OR($C38=182,$G38=182),0,1)</f>
        <v/>
      </c>
      <c r="JW39">
        <f>JW38*IF(OR($C38=183,$G38=183),0,1)</f>
        <v/>
      </c>
      <c r="JX39">
        <f>JX38*IF(OR($C38=184,$G38=184),0,1)</f>
        <v/>
      </c>
      <c r="JY39">
        <f>JY38*IF(OR($C38=185,$G38=185),0,1)</f>
        <v/>
      </c>
      <c r="JZ39">
        <f>JZ38*IF(OR($C38=186,$G38=186),0,1)</f>
        <v/>
      </c>
      <c r="KA39">
        <f>KA38*IF(OR($C38=187,$G38=187),0,1)</f>
        <v/>
      </c>
      <c r="KB39">
        <f>KB38*IF(OR($C38=188,$G38=188),0,1)</f>
        <v/>
      </c>
      <c r="KC39">
        <f>KC38*IF(OR($C38=189,$G38=189),0,1)</f>
        <v/>
      </c>
      <c r="KD39">
        <f>KD38*IF(OR($C38=190,$G38=190),0,1)</f>
        <v/>
      </c>
      <c r="KE39">
        <f>KE38*IF(OR($C38=191,$G38=191),0,1)</f>
        <v/>
      </c>
      <c r="KF39">
        <f>KF38*IF(OR($C38=192,$G38=192),0,1)</f>
        <v/>
      </c>
      <c r="KG39">
        <f>KG38*IF(OR($C38=193,$G38=193),0,1)</f>
        <v/>
      </c>
      <c r="KH39">
        <f>KH38*IF(OR($C38=194,$G38=194),0,1)</f>
        <v/>
      </c>
      <c r="KI39">
        <f>KI38*IF(OR($C38=195,$G38=195),0,1)</f>
        <v/>
      </c>
      <c r="KJ39">
        <f>KJ38*IF(OR($C38=196,$G38=196),0,1)</f>
        <v/>
      </c>
      <c r="KK39">
        <f>KK38*IF(OR($C38=197,$G38=197),0,1)</f>
        <v/>
      </c>
      <c r="KL39">
        <f>KL38*IF(OR($C38=198,$G38=198),0,1)</f>
        <v/>
      </c>
      <c r="KM39">
        <f>KM38*IF(OR($C38=199,$G38=199),0,1)</f>
        <v/>
      </c>
      <c r="KN39">
        <f>KN38*IF(OR($C38=200,$G38=200),0,1)</f>
        <v/>
      </c>
      <c r="KO39">
        <f>KO38*IF(OR($C38=201,$G38=201),0,1)</f>
        <v/>
      </c>
      <c r="KP39">
        <f>KP38*IF(OR($C38=202,$G38=202),0,1)</f>
        <v/>
      </c>
      <c r="KQ39">
        <f>KQ38*IF(OR($C38=203,$G38=203),0,1)</f>
        <v/>
      </c>
      <c r="KR39">
        <f>KR38*IF(OR($C38=204,$G38=204),0,1)</f>
        <v/>
      </c>
      <c r="KS39">
        <f>KS38*IF(OR($C38=205,$G38=205),0,1)</f>
        <v/>
      </c>
      <c r="KT39">
        <f>KT38*IF(OR($C38=206,$G38=206),0,1)</f>
        <v/>
      </c>
      <c r="KU39">
        <f>KU38*IF(OR($C38=207,$G38=207),0,1)</f>
        <v/>
      </c>
      <c r="KV39">
        <f>KV38*IF(OR($C38=208,$G38=208),0,1)</f>
        <v/>
      </c>
      <c r="KW39">
        <f>KW38*IF(OR($C38=209,$G38=209),0,1)</f>
        <v/>
      </c>
      <c r="KX39">
        <f>KX38*IF(OR($C38=210,$G38=210),0,1)</f>
        <v/>
      </c>
      <c r="KY39">
        <f>KY38*IF(OR($C38=211,$G38=211),0,1)</f>
        <v/>
      </c>
      <c r="KZ39">
        <f>KZ38*IF(OR($C38=212,$G38=212),0,1)</f>
        <v/>
      </c>
      <c r="LA39">
        <f>LA38*IF(OR($C38=213,$G38=213),0,1)</f>
        <v/>
      </c>
      <c r="LB39">
        <f>LB38*IF(OR($C38=214,$G38=214),0,1)</f>
        <v/>
      </c>
      <c r="LC39">
        <f>LC38*IF(OR($C38=215,$G38=215),0,1)</f>
        <v/>
      </c>
      <c r="LD39">
        <f>LD38*IF(OR($C38=216,$G38=216),0,1)</f>
        <v/>
      </c>
      <c r="LE39">
        <f>LE38*IF(OR($C38=217,$G38=217),0,1)</f>
        <v/>
      </c>
      <c r="LF39">
        <f>LF38*IF(OR($C38=218,$G38=218),0,1)</f>
        <v/>
      </c>
      <c r="LG39">
        <f>LG38*IF(OR($C38=219,$G38=219),0,1)</f>
        <v/>
      </c>
      <c r="LH39">
        <f>LH38*IF(OR($C38=220,$G38=220),0,1)</f>
        <v/>
      </c>
      <c r="LI39">
        <f>LI38*IF(OR($C38=221,$G38=221),0,1)</f>
        <v/>
      </c>
      <c r="LJ39">
        <f>LJ38*IF(OR($C38=222,$G38=222),0,1)</f>
        <v/>
      </c>
      <c r="LK39">
        <f>LK38*IF(OR($C38=223,$G38=223),0,1)</f>
        <v/>
      </c>
      <c r="LL39">
        <f>LL38*IF(OR($C38=224,$G38=224),0,1)</f>
        <v/>
      </c>
      <c r="LM39">
        <f>LM38*IF(OR($C38=225,$G38=225),0,1)</f>
        <v/>
      </c>
      <c r="LN39">
        <f>LN38*IF(OR($C38=226,$G38=226),0,1)</f>
        <v/>
      </c>
      <c r="LO39">
        <f>LO38*IF(OR($C38=227,$G38=227),0,1)</f>
        <v/>
      </c>
      <c r="LP39">
        <f>LP38*IF(OR($C38=228,$G38=228),0,1)</f>
        <v/>
      </c>
      <c r="LQ39">
        <f>LQ38*IF(OR($C38=229,$G38=229),0,1)</f>
        <v/>
      </c>
      <c r="LR39">
        <f>LR38*IF(OR($C38=230,$G38=230),0,1)</f>
        <v/>
      </c>
      <c r="LS39">
        <f>LS38*IF(OR($C38=231,$G38=231),0,1)</f>
        <v/>
      </c>
      <c r="LT39">
        <f>LT38*IF(OR($C38=232,$G38=232),0,1)</f>
        <v/>
      </c>
      <c r="LU39">
        <f>LU38*IF(OR($C38=233,$G38=233),0,1)</f>
        <v/>
      </c>
      <c r="LV39">
        <f>LV38*IF(OR($C38=234,$G38=234),0,1)</f>
        <v/>
      </c>
      <c r="LW39">
        <f>LW38*IF(OR($C38=235,$G38=235),0,1)</f>
        <v/>
      </c>
      <c r="LX39">
        <f>LX38*IF(OR($C38=236,$G38=236),0,1)</f>
        <v/>
      </c>
      <c r="LY39">
        <f>LY38*IF(OR($C38=237,$G38=237),0,1)</f>
        <v/>
      </c>
      <c r="LZ39">
        <f>LZ38*IF(OR($C38=238,$G38=238),0,1)</f>
        <v/>
      </c>
      <c r="MA39">
        <f>MA38*IF(OR($C38=239,$G38=239),0,1)</f>
        <v/>
      </c>
      <c r="MB39">
        <f>MB38*IF(OR($C38=240,$G38=240),0,1)</f>
        <v/>
      </c>
      <c r="MD39">
        <f>IF('計算A'!D$106=1,CX39,1)</f>
        <v/>
      </c>
      <c r="ME39">
        <f>IF('計算A'!E$106=1,CY39,1)</f>
        <v/>
      </c>
      <c r="MF39">
        <f>IF('計算A'!F$106=1,CZ39,1)</f>
        <v/>
      </c>
      <c r="MG39">
        <f>IF('計算A'!G$106=1,DA39,1)</f>
        <v/>
      </c>
      <c r="MH39">
        <f>IF('計算A'!H$106=1,DB39,1)</f>
        <v/>
      </c>
      <c r="MI39">
        <f>IF('計算A'!I$106=1,DC39,1)</f>
        <v/>
      </c>
      <c r="MJ39">
        <f>IF('計算A'!J$106=1,DD39,1)</f>
        <v/>
      </c>
      <c r="MK39">
        <f>IF('計算A'!K$106=1,DE39,1)</f>
        <v/>
      </c>
      <c r="ML39">
        <f>IF('計算A'!L$106=1,DF39,1)</f>
        <v/>
      </c>
      <c r="MM39">
        <f>IF('計算A'!M$106=1,DG39,1)</f>
        <v/>
      </c>
      <c r="MN39">
        <f>IF('計算A'!N$106=1,DH39,1)</f>
        <v/>
      </c>
      <c r="MO39">
        <f>IF('計算A'!O$106=1,DI39,1)</f>
        <v/>
      </c>
      <c r="MP39">
        <f>IF('計算A'!P$106=1,DJ39,1)</f>
        <v/>
      </c>
      <c r="MQ39">
        <f>IF('計算A'!Q$106=1,DK39,1)</f>
        <v/>
      </c>
      <c r="MR39">
        <f>IF('計算A'!R$106=1,DL39,1)</f>
        <v/>
      </c>
      <c r="MS39">
        <f>IF('計算A'!S$106=1,DM39,1)</f>
        <v/>
      </c>
      <c r="MT39">
        <f>IF('計算A'!T$106=1,DN39,1)</f>
        <v/>
      </c>
      <c r="MU39">
        <f>IF('計算A'!U$106=1,DO39,1)</f>
        <v/>
      </c>
      <c r="MV39">
        <f>IF('計算A'!V$106=1,DP39,1)</f>
        <v/>
      </c>
      <c r="MW39">
        <f>IF('計算A'!W$106=1,DQ39,1)</f>
        <v/>
      </c>
      <c r="MX39">
        <f>IF('計算A'!X$106=1,DR39,1)</f>
        <v/>
      </c>
      <c r="MY39">
        <f>IF('計算A'!Y$106=1,DS39,1)</f>
        <v/>
      </c>
      <c r="MZ39">
        <f>IF('計算A'!Z$106=1,DT39,1)</f>
        <v/>
      </c>
      <c r="NA39">
        <f>IF('計算A'!AA$106=1,DU39,1)</f>
        <v/>
      </c>
      <c r="NB39">
        <f>IF('計算A'!AB$106=1,DV39,1)</f>
        <v/>
      </c>
      <c r="NC39">
        <f>IF('計算A'!AC$106=1,DW39,1)</f>
        <v/>
      </c>
      <c r="ND39">
        <f>IF('計算A'!AD$106=1,DX39,1)</f>
        <v/>
      </c>
      <c r="NE39">
        <f>IF('計算A'!AE$106=1,DY39,1)</f>
        <v/>
      </c>
      <c r="NF39">
        <f>IF('計算A'!AF$106=1,DZ39,1)</f>
        <v/>
      </c>
      <c r="NG39">
        <f>IF('計算A'!AG$106=1,EA39,1)</f>
        <v/>
      </c>
      <c r="NH39">
        <f>IF('計算A'!AH$106=1,EB39,1)</f>
        <v/>
      </c>
      <c r="NI39">
        <f>IF('計算A'!AI$106=1,EC39,1)</f>
        <v/>
      </c>
      <c r="NJ39">
        <f>IF('計算A'!AJ$106=1,ED39,1)</f>
        <v/>
      </c>
      <c r="NK39">
        <f>IF('計算A'!AK$106=1,EE39,1)</f>
        <v/>
      </c>
      <c r="NL39">
        <f>IF('計算A'!AL$106=1,EF39,1)</f>
        <v/>
      </c>
      <c r="NM39">
        <f>IF('計算A'!AM$106=1,EG39,1)</f>
        <v/>
      </c>
      <c r="NN39">
        <f>IF('計算A'!AN$106=1,EH39,1)</f>
        <v/>
      </c>
      <c r="NO39">
        <f>IF('計算A'!AO$106=1,EI39,1)</f>
        <v/>
      </c>
      <c r="NP39">
        <f>IF('計算A'!AP$106=1,EJ39,1)</f>
        <v/>
      </c>
      <c r="NQ39">
        <f>IF('計算A'!AQ$106=1,EK39,1)</f>
        <v/>
      </c>
      <c r="NR39">
        <f>IF('計算A'!AR$106=1,EL39,1)</f>
        <v/>
      </c>
      <c r="NS39">
        <f>IF('計算A'!AS$106=1,EM39,1)</f>
        <v/>
      </c>
      <c r="NT39">
        <f>IF('計算A'!AT$106=1,EN39,1)</f>
        <v/>
      </c>
      <c r="NU39">
        <f>IF('計算A'!AU$106=1,EO39,1)</f>
        <v/>
      </c>
      <c r="NV39">
        <f>IF('計算A'!AV$106=1,EP39,1)</f>
        <v/>
      </c>
      <c r="NW39">
        <f>IF('計算A'!AW$106=1,EQ39,1)</f>
        <v/>
      </c>
      <c r="NX39">
        <f>IF('計算A'!AX$106=1,ER39,1)</f>
        <v/>
      </c>
      <c r="NY39">
        <f>IF('計算A'!AY$106=1,ES39,1)</f>
        <v/>
      </c>
      <c r="NZ39">
        <f>IF('計算A'!AZ$106=1,ET39,1)</f>
        <v/>
      </c>
      <c r="OA39">
        <f>IF('計算A'!BA$106=1,EU39,1)</f>
        <v/>
      </c>
      <c r="OB39">
        <f>IF('計算A'!BB$106=1,EV39,1)</f>
        <v/>
      </c>
      <c r="OC39">
        <f>IF('計算A'!BC$106=1,EW39,1)</f>
        <v/>
      </c>
      <c r="OD39">
        <f>IF('計算A'!BD$106=1,EX39,1)</f>
        <v/>
      </c>
      <c r="OE39">
        <f>IF('計算A'!BE$106=1,EY39,1)</f>
        <v/>
      </c>
      <c r="OF39">
        <f>IF('計算A'!BF$106=1,EZ39,1)</f>
        <v/>
      </c>
      <c r="OG39">
        <f>IF('計算A'!BG$106=1,FA39,1)</f>
        <v/>
      </c>
      <c r="OH39">
        <f>IF('計算A'!BH$106=1,FB39,1)</f>
        <v/>
      </c>
      <c r="OI39">
        <f>IF('計算A'!BI$106=1,FC39,1)</f>
        <v/>
      </c>
      <c r="OJ39">
        <f>IF('計算A'!BJ$106=1,FD39,1)</f>
        <v/>
      </c>
      <c r="OK39">
        <f>IF('計算A'!BK$106=1,FE39,1)</f>
        <v/>
      </c>
      <c r="OL39">
        <f>IF('計算A'!BL$106=1,FF39,1)</f>
        <v/>
      </c>
      <c r="OM39">
        <f>IF('計算A'!BM$106=1,FG39,1)</f>
        <v/>
      </c>
      <c r="ON39">
        <f>IF('計算A'!BN$106=1,FH39,1)</f>
        <v/>
      </c>
      <c r="OO39">
        <f>IF('計算A'!BO$106=1,FI39,1)</f>
        <v/>
      </c>
      <c r="OP39">
        <f>IF('計算A'!BP$106=1,FJ39,1)</f>
        <v/>
      </c>
      <c r="OQ39">
        <f>IF('計算A'!BQ$106=1,FK39,1)</f>
        <v/>
      </c>
      <c r="OR39">
        <f>IF('計算A'!BR$106=1,FL39,1)</f>
        <v/>
      </c>
      <c r="OS39">
        <f>IF('計算A'!BS$106=1,FM39,1)</f>
        <v/>
      </c>
      <c r="OT39">
        <f>IF('計算A'!BT$106=1,FN39,1)</f>
        <v/>
      </c>
      <c r="OU39">
        <f>IF('計算A'!BU$106=1,FO39,1)</f>
        <v/>
      </c>
      <c r="OV39">
        <f>IF('計算A'!BV$106=1,FP39,1)</f>
        <v/>
      </c>
      <c r="OW39">
        <f>IF('計算A'!BW$106=1,FQ39,1)</f>
        <v/>
      </c>
      <c r="OX39">
        <f>IF('計算A'!BX$106=1,FR39,1)</f>
        <v/>
      </c>
      <c r="OY39">
        <f>IF('計算A'!BY$106=1,FS39,1)</f>
        <v/>
      </c>
      <c r="OZ39">
        <f>IF('計算A'!BZ$106=1,FT39,1)</f>
        <v/>
      </c>
      <c r="PA39">
        <f>IF('計算A'!CA$106=1,FU39,1)</f>
        <v/>
      </c>
      <c r="PB39">
        <f>IF('計算A'!CB$106=1,FV39,1)</f>
        <v/>
      </c>
      <c r="PC39">
        <f>IF('計算A'!CC$106=1,FW39,1)</f>
        <v/>
      </c>
      <c r="PD39">
        <f>IF('計算A'!CD$106=1,FX39,1)</f>
        <v/>
      </c>
      <c r="PE39">
        <f>IF('計算A'!CE$106=1,FY39,1)</f>
        <v/>
      </c>
      <c r="PF39">
        <f>IF('計算A'!CF$106=1,FZ39,1)</f>
        <v/>
      </c>
      <c r="PG39">
        <f>IF('計算A'!CG$106=1,GA39,1)</f>
        <v/>
      </c>
      <c r="PH39">
        <f>IF('計算A'!CH$106=1,GB39,1)</f>
        <v/>
      </c>
      <c r="PI39">
        <f>IF('計算A'!CI$106=1,GC39,1)</f>
        <v/>
      </c>
      <c r="PJ39">
        <f>IF('計算A'!CJ$106=1,GD39,1)</f>
        <v/>
      </c>
      <c r="PK39">
        <f>IF('計算A'!CK$106=1,GE39,1)</f>
        <v/>
      </c>
      <c r="PL39">
        <f>IF('計算A'!CL$106=1,GF39,1)</f>
        <v/>
      </c>
      <c r="PM39">
        <f>IF('計算A'!CM$106=1,GG39,1)</f>
        <v/>
      </c>
      <c r="PN39">
        <f>IF('計算A'!CN$106=1,GH39,1)</f>
        <v/>
      </c>
      <c r="PO39">
        <f>IF('計算A'!CO$106=1,GI39,1)</f>
        <v/>
      </c>
      <c r="PP39">
        <f>IF('計算A'!CP$106=1,GJ39,1)</f>
        <v/>
      </c>
      <c r="PQ39">
        <f>IF('計算A'!CQ$106=1,GK39,1)</f>
        <v/>
      </c>
      <c r="PR39">
        <f>IF('計算A'!CR$106=1,GL39,1)</f>
        <v/>
      </c>
      <c r="PS39">
        <f>IF('計算A'!CS$106=1,GM39,1)</f>
        <v/>
      </c>
      <c r="PT39">
        <f>IF('計算A'!CT$106=1,GN39,1)</f>
        <v/>
      </c>
      <c r="PU39">
        <f>IF('計算A'!CU$106=1,GO39,1)</f>
        <v/>
      </c>
      <c r="PV39">
        <f>IF('計算A'!CV$106=1,GP39,1)</f>
        <v/>
      </c>
      <c r="PW39">
        <f>IF('計算A'!CW$106=1,GQ39,1)</f>
        <v/>
      </c>
      <c r="PX39">
        <f>IF('計算A'!CX$106=1,GR39,1)</f>
        <v/>
      </c>
      <c r="PY39">
        <f>IF('計算A'!CY$106=1,GS39,1)</f>
        <v/>
      </c>
      <c r="PZ39">
        <f>IF('計算A'!CZ$106=1,GT39,1)</f>
        <v/>
      </c>
      <c r="QA39">
        <f>IF('計算A'!DA$106=1,GU39,1)</f>
        <v/>
      </c>
      <c r="QB39">
        <f>IF('計算A'!DB$106=1,GV39,1)</f>
        <v/>
      </c>
      <c r="QC39">
        <f>IF('計算A'!DC$106=1,GW39,1)</f>
        <v/>
      </c>
      <c r="QD39">
        <f>IF('計算A'!DD$106=1,GX39,1)</f>
        <v/>
      </c>
      <c r="QE39">
        <f>IF('計算A'!DE$106=1,GY39,1)</f>
        <v/>
      </c>
      <c r="QF39">
        <f>IF('計算A'!DF$106=1,GZ39,1)</f>
        <v/>
      </c>
      <c r="QG39">
        <f>IF('計算A'!DG$106=1,HA39,1)</f>
        <v/>
      </c>
      <c r="QH39">
        <f>IF('計算A'!DH$106=1,HB39,1)</f>
        <v/>
      </c>
      <c r="QI39">
        <f>IF('計算A'!DI$106=1,HC39,1)</f>
        <v/>
      </c>
      <c r="QJ39">
        <f>IF('計算A'!DJ$106=1,HD39,1)</f>
        <v/>
      </c>
      <c r="QK39">
        <f>IF('計算A'!DK$106=1,HE39,1)</f>
        <v/>
      </c>
      <c r="QL39">
        <f>IF('計算A'!DL$106=1,HF39,1)</f>
        <v/>
      </c>
      <c r="QM39">
        <f>IF('計算A'!DM$106=1,HG39,1)</f>
        <v/>
      </c>
      <c r="QN39">
        <f>IF('計算A'!DN$106=1,HH39,1)</f>
        <v/>
      </c>
      <c r="QO39">
        <f>IF('計算A'!DO$106=1,HI39,1)</f>
        <v/>
      </c>
      <c r="QP39">
        <f>IF('計算A'!DP$106=1,HJ39,1)</f>
        <v/>
      </c>
      <c r="QQ39">
        <f>IF('計算A'!DQ$106=1,HK39,1)</f>
        <v/>
      </c>
      <c r="QR39">
        <f>IF('計算A'!DR$106=1,HL39,1)</f>
        <v/>
      </c>
      <c r="QS39">
        <f>IF('計算A'!DS$106=1,HM39,1)</f>
        <v/>
      </c>
      <c r="QT39">
        <f>IF('計算A'!DT$106=1,HN39,1)</f>
        <v/>
      </c>
      <c r="QU39">
        <f>IF('計算A'!DU$106=1,HO39,1)</f>
        <v/>
      </c>
      <c r="QV39">
        <f>IF('計算A'!DV$106=1,HP39,1)</f>
        <v/>
      </c>
      <c r="QW39">
        <f>IF('計算A'!DW$106=1,HQ39,1)</f>
        <v/>
      </c>
      <c r="QX39">
        <f>IF('計算A'!DX$106=1,HR39,1)</f>
        <v/>
      </c>
      <c r="QY39">
        <f>IF('計算A'!DY$106=1,HS39,1)</f>
        <v/>
      </c>
      <c r="QZ39">
        <f>IF('計算A'!DZ$106=1,HT39,1)</f>
        <v/>
      </c>
      <c r="RA39">
        <f>IF('計算A'!EA$106=1,HU39,1)</f>
        <v/>
      </c>
      <c r="RB39">
        <f>IF('計算A'!EB$106=1,HV39,1)</f>
        <v/>
      </c>
      <c r="RC39">
        <f>IF('計算A'!EC$106=1,HW39,1)</f>
        <v/>
      </c>
      <c r="RD39">
        <f>IF('計算A'!ED$106=1,HX39,1)</f>
        <v/>
      </c>
      <c r="RE39">
        <f>IF('計算A'!EE$106=1,HY39,1)</f>
        <v/>
      </c>
      <c r="RF39">
        <f>IF('計算A'!EF$106=1,HZ39,1)</f>
        <v/>
      </c>
      <c r="RG39">
        <f>IF('計算A'!EG$106=1,IA39,1)</f>
        <v/>
      </c>
      <c r="RH39">
        <f>IF('計算A'!EH$106=1,IB39,1)</f>
        <v/>
      </c>
      <c r="RI39">
        <f>IF('計算A'!EI$106=1,IC39,1)</f>
        <v/>
      </c>
      <c r="RJ39">
        <f>IF('計算A'!EJ$106=1,ID39,1)</f>
        <v/>
      </c>
      <c r="RK39">
        <f>IF('計算A'!EK$106=1,IE39,1)</f>
        <v/>
      </c>
      <c r="RL39">
        <f>IF('計算A'!EL$106=1,IF39,1)</f>
        <v/>
      </c>
      <c r="RM39">
        <f>IF('計算A'!EM$106=1,IG39,1)</f>
        <v/>
      </c>
      <c r="RN39">
        <f>IF('計算A'!EN$106=1,IH39,1)</f>
        <v/>
      </c>
      <c r="RO39">
        <f>IF('計算A'!EO$106=1,II39,1)</f>
        <v/>
      </c>
      <c r="RP39">
        <f>IF('計算A'!EP$106=1,IJ39,1)</f>
        <v/>
      </c>
      <c r="RQ39">
        <f>IF('計算A'!EQ$106=1,IK39,1)</f>
        <v/>
      </c>
      <c r="RR39">
        <f>IF('計算A'!ER$106=1,IL39,1)</f>
        <v/>
      </c>
      <c r="RS39">
        <f>IF('計算A'!ES$106=1,IM39,1)</f>
        <v/>
      </c>
      <c r="RT39">
        <f>IF('計算A'!ET$106=1,IN39,1)</f>
        <v/>
      </c>
      <c r="RU39">
        <f>IF('計算A'!EU$106=1,IO39,1)</f>
        <v/>
      </c>
      <c r="RV39">
        <f>IF('計算A'!EV$106=1,IP39,1)</f>
        <v/>
      </c>
      <c r="RW39">
        <f>IF('計算A'!EW$106=1,IQ39,1)</f>
        <v/>
      </c>
      <c r="RX39">
        <f>IF('計算A'!EX$106=1,IR39,1)</f>
        <v/>
      </c>
      <c r="RY39">
        <f>IF('計算A'!EY$106=1,IS39,1)</f>
        <v/>
      </c>
      <c r="RZ39">
        <f>IF('計算A'!EZ$106=1,IT39,1)</f>
        <v/>
      </c>
      <c r="SA39">
        <f>IF('計算A'!FA$106=1,IU39,1)</f>
        <v/>
      </c>
      <c r="SB39">
        <f>IF('計算A'!FB$106=1,IV39,1)</f>
        <v/>
      </c>
      <c r="SC39">
        <f>IF('計算A'!FC$106=1,IW39,1)</f>
        <v/>
      </c>
      <c r="SD39">
        <f>IF('計算A'!FD$106=1,IX39,1)</f>
        <v/>
      </c>
      <c r="SE39">
        <f>IF('計算A'!FE$106=1,IY39,1)</f>
        <v/>
      </c>
      <c r="SF39">
        <f>IF('計算A'!FF$106=1,IZ39,1)</f>
        <v/>
      </c>
      <c r="SG39">
        <f>IF('計算A'!FG$106=1,JA39,1)</f>
        <v/>
      </c>
      <c r="SH39">
        <f>IF('計算A'!FH$106=1,JB39,1)</f>
        <v/>
      </c>
      <c r="SI39">
        <f>IF('計算A'!FI$106=1,JC39,1)</f>
        <v/>
      </c>
      <c r="SJ39">
        <f>IF('計算A'!FJ$106=1,JD39,1)</f>
        <v/>
      </c>
      <c r="SK39">
        <f>IF('計算A'!FK$106=1,JE39,1)</f>
        <v/>
      </c>
      <c r="SL39">
        <f>IF('計算A'!FL$106=1,JF39,1)</f>
        <v/>
      </c>
      <c r="SM39">
        <f>IF('計算A'!FM$106=1,JG39,1)</f>
        <v/>
      </c>
      <c r="SN39">
        <f>IF('計算A'!FN$106=1,JH39,1)</f>
        <v/>
      </c>
      <c r="SO39">
        <f>IF('計算A'!FO$106=1,JI39,1)</f>
        <v/>
      </c>
      <c r="SP39">
        <f>IF('計算A'!FP$106=1,JJ39,1)</f>
        <v/>
      </c>
      <c r="SQ39">
        <f>IF('計算A'!FQ$106=1,JK39,1)</f>
        <v/>
      </c>
      <c r="SR39">
        <f>IF('計算A'!FR$106=1,JL39,1)</f>
        <v/>
      </c>
      <c r="SS39">
        <f>IF('計算A'!FS$106=1,JM39,1)</f>
        <v/>
      </c>
      <c r="ST39">
        <f>IF('計算A'!FT$106=1,JN39,1)</f>
        <v/>
      </c>
      <c r="SU39">
        <f>IF('計算A'!FU$106=1,JO39,1)</f>
        <v/>
      </c>
      <c r="SV39">
        <f>IF('計算A'!FV$106=1,JP39,1)</f>
        <v/>
      </c>
      <c r="SW39">
        <f>IF('計算A'!FW$106=1,JQ39,1)</f>
        <v/>
      </c>
      <c r="SX39">
        <f>IF('計算A'!FX$106=1,JR39,1)</f>
        <v/>
      </c>
      <c r="SY39">
        <f>IF('計算A'!FY$106=1,JS39,1)</f>
        <v/>
      </c>
      <c r="SZ39">
        <f>IF('計算A'!FZ$106=1,JT39,1)</f>
        <v/>
      </c>
      <c r="TA39">
        <f>IF('計算A'!GA$106=1,JU39,1)</f>
        <v/>
      </c>
      <c r="TB39">
        <f>IF('計算A'!GB$106=1,JV39,1)</f>
        <v/>
      </c>
      <c r="TC39">
        <f>IF('計算A'!GC$106=1,JW39,1)</f>
        <v/>
      </c>
      <c r="TD39">
        <f>IF('計算A'!GD$106=1,JX39,1)</f>
        <v/>
      </c>
      <c r="TE39">
        <f>IF('計算A'!GE$106=1,JY39,1)</f>
        <v/>
      </c>
      <c r="TF39">
        <f>IF('計算A'!GF$106=1,JZ39,1)</f>
        <v/>
      </c>
      <c r="TG39">
        <f>IF('計算A'!GG$106=1,KA39,1)</f>
        <v/>
      </c>
      <c r="TH39">
        <f>IF('計算A'!GH$106=1,KB39,1)</f>
        <v/>
      </c>
      <c r="TI39">
        <f>IF('計算A'!GI$106=1,KC39,1)</f>
        <v/>
      </c>
      <c r="TJ39">
        <f>IF('計算A'!GJ$106=1,KD39,1)</f>
        <v/>
      </c>
      <c r="TK39">
        <f>IF('計算A'!GK$106=1,KE39,1)</f>
        <v/>
      </c>
      <c r="TL39">
        <f>IF('計算A'!GL$106=1,KF39,1)</f>
        <v/>
      </c>
      <c r="TM39">
        <f>IF('計算A'!GM$106=1,KG39,1)</f>
        <v/>
      </c>
      <c r="TN39">
        <f>IF('計算A'!GN$106=1,KH39,1)</f>
        <v/>
      </c>
      <c r="TO39">
        <f>IF('計算A'!GO$106=1,KI39,1)</f>
        <v/>
      </c>
      <c r="TP39">
        <f>IF('計算A'!GP$106=1,KJ39,1)</f>
        <v/>
      </c>
      <c r="TQ39">
        <f>IF('計算A'!GQ$106=1,KK39,1)</f>
        <v/>
      </c>
      <c r="TR39">
        <f>IF('計算A'!GR$106=1,KL39,1)</f>
        <v/>
      </c>
      <c r="TS39">
        <f>IF('計算A'!GS$106=1,KM39,1)</f>
        <v/>
      </c>
      <c r="TT39">
        <f>IF('計算A'!GT$106=1,KN39,1)</f>
        <v/>
      </c>
      <c r="TU39">
        <f>IF('計算A'!GU$106=1,KO39,1)</f>
        <v/>
      </c>
      <c r="TV39">
        <f>IF('計算A'!GV$106=1,KP39,1)</f>
        <v/>
      </c>
      <c r="TW39">
        <f>IF('計算A'!GW$106=1,KQ39,1)</f>
        <v/>
      </c>
      <c r="TX39">
        <f>IF('計算A'!GX$106=1,KR39,1)</f>
        <v/>
      </c>
      <c r="TY39">
        <f>IF('計算A'!GY$106=1,KS39,1)</f>
        <v/>
      </c>
      <c r="TZ39">
        <f>IF('計算A'!GZ$106=1,KT39,1)</f>
        <v/>
      </c>
      <c r="UA39">
        <f>IF('計算A'!HA$106=1,KU39,1)</f>
        <v/>
      </c>
      <c r="UB39">
        <f>IF('計算A'!HB$106=1,KV39,1)</f>
        <v/>
      </c>
      <c r="UC39">
        <f>IF('計算A'!HC$106=1,KW39,1)</f>
        <v/>
      </c>
      <c r="UD39">
        <f>IF('計算A'!HD$106=1,KX39,1)</f>
        <v/>
      </c>
      <c r="UE39">
        <f>IF('計算A'!HE$106=1,KY39,1)</f>
        <v/>
      </c>
      <c r="UF39">
        <f>IF('計算A'!HF$106=1,KZ39,1)</f>
        <v/>
      </c>
      <c r="UG39">
        <f>IF('計算A'!HG$106=1,LA39,1)</f>
        <v/>
      </c>
      <c r="UH39">
        <f>IF('計算A'!HH$106=1,LB39,1)</f>
        <v/>
      </c>
      <c r="UI39">
        <f>IF('計算A'!HI$106=1,LC39,1)</f>
        <v/>
      </c>
      <c r="UJ39">
        <f>IF('計算A'!HJ$106=1,LD39,1)</f>
        <v/>
      </c>
      <c r="UK39">
        <f>IF('計算A'!HK$106=1,LE39,1)</f>
        <v/>
      </c>
      <c r="UL39">
        <f>IF('計算A'!HL$106=1,LF39,1)</f>
        <v/>
      </c>
      <c r="UM39">
        <f>IF('計算A'!HM$106=1,LG39,1)</f>
        <v/>
      </c>
      <c r="UN39">
        <f>IF('計算A'!HN$106=1,LH39,1)</f>
        <v/>
      </c>
      <c r="UO39">
        <f>IF('計算A'!HO$106=1,LI39,1)</f>
        <v/>
      </c>
      <c r="UP39">
        <f>IF('計算A'!HP$106=1,LJ39,1)</f>
        <v/>
      </c>
      <c r="UQ39">
        <f>IF('計算A'!HQ$106=1,LK39,1)</f>
        <v/>
      </c>
      <c r="UR39">
        <f>IF('計算A'!HR$106=1,LL39,1)</f>
        <v/>
      </c>
      <c r="US39">
        <f>IF('計算A'!HS$106=1,LM39,1)</f>
        <v/>
      </c>
      <c r="UT39">
        <f>IF('計算A'!HT$106=1,LN39,1)</f>
        <v/>
      </c>
      <c r="UU39">
        <f>IF('計算A'!HU$106=1,LO39,1)</f>
        <v/>
      </c>
      <c r="UV39">
        <f>IF('計算A'!HV$106=1,LP39,1)</f>
        <v/>
      </c>
      <c r="UW39">
        <f>IF('計算A'!HW$106=1,LQ39,1)</f>
        <v/>
      </c>
      <c r="UX39">
        <f>IF('計算A'!HX$106=1,LR39,1)</f>
        <v/>
      </c>
      <c r="UY39">
        <f>IF('計算A'!HY$106=1,LS39,1)</f>
        <v/>
      </c>
      <c r="UZ39">
        <f>IF('計算A'!HZ$106=1,LT39,1)</f>
        <v/>
      </c>
      <c r="VA39">
        <f>IF('計算A'!IA$106=1,LU39,1)</f>
        <v/>
      </c>
      <c r="VB39">
        <f>IF('計算A'!IB$106=1,LV39,1)</f>
        <v/>
      </c>
      <c r="VC39">
        <f>IF('計算A'!IC$106=1,LW39,1)</f>
        <v/>
      </c>
      <c r="VD39">
        <f>IF('計算A'!ID$106=1,LX39,1)</f>
        <v/>
      </c>
      <c r="VE39">
        <f>IF('計算A'!IE$106=1,LY39,1)</f>
        <v/>
      </c>
      <c r="VF39">
        <f>IF('計算A'!IF$106=1,LZ39,1)</f>
        <v/>
      </c>
      <c r="VG39">
        <f>IF('計算A'!IG$106=1,MA39,1)</f>
        <v/>
      </c>
      <c r="VH39">
        <f>IF('計算A'!IH$106=1,MB39,1)</f>
        <v/>
      </c>
      <c r="VI39" t="n">
        <v>1</v>
      </c>
      <c r="VK39">
        <f>IF($B39=0,1000000,IF(INDEX('計算A'!$D$60:$II$104,$B39,1)*CW39=1,IF(AND($E39=2,MD39=0),1000000,INDEX('計算A'!D$110:D$114,$F39+1)+IF(AND($E39=1,MD39=0),1000,0)),1000000))</f>
        <v/>
      </c>
      <c r="VL39">
        <f>IF($B39=0,1000000,IF(INDEX('計算A'!$D$60:$II$104,$B39,2)*CX39=1,IF(AND($E39=2,ME39=0),1000000,INDEX('計算A'!E$110:E$114,$F39+1)+IF(AND($E39=1,ME39=0),1000,0)),1000000))</f>
        <v/>
      </c>
      <c r="VM39">
        <f>IF($B39=0,1000000,IF(INDEX('計算A'!$D$60:$II$104,$B39,3)*CY39=1,IF(AND($E39=2,MF39=0),1000000,INDEX('計算A'!F$110:F$114,$F39+1)+IF(AND($E39=1,MF39=0),1000,0)),1000000))</f>
        <v/>
      </c>
      <c r="VN39">
        <f>IF($B39=0,1000000,IF(INDEX('計算A'!$D$60:$II$104,$B39,4)*CZ39=1,IF(AND($E39=2,MG39=0),1000000,INDEX('計算A'!G$110:G$114,$F39+1)+IF(AND($E39=1,MG39=0),1000,0)),1000000))</f>
        <v/>
      </c>
      <c r="VO39">
        <f>IF($B39=0,1000000,IF(INDEX('計算A'!$D$60:$II$104,$B39,5)*DA39=1,IF(AND($E39=2,MH39=0),1000000,INDEX('計算A'!H$110:H$114,$F39+1)+IF(AND($E39=1,MH39=0),1000,0)),1000000))</f>
        <v/>
      </c>
      <c r="VP39">
        <f>IF($B39=0,1000000,IF(INDEX('計算A'!$D$60:$II$104,$B39,6)*DB39=1,IF(AND($E39=2,MI39=0),1000000,INDEX('計算A'!I$110:I$114,$F39+1)+IF(AND($E39=1,MI39=0),1000,0)),1000000))</f>
        <v/>
      </c>
      <c r="VQ39">
        <f>IF($B39=0,1000000,IF(INDEX('計算A'!$D$60:$II$104,$B39,7)*DC39=1,IF(AND($E39=2,MJ39=0),1000000,INDEX('計算A'!J$110:J$114,$F39+1)+IF(AND($E39=1,MJ39=0),1000,0)),1000000))</f>
        <v/>
      </c>
      <c r="VR39">
        <f>IF($B39=0,1000000,IF(INDEX('計算A'!$D$60:$II$104,$B39,8)*DD39=1,IF(AND($E39=2,MK39=0),1000000,INDEX('計算A'!K$110:K$114,$F39+1)+IF(AND($E39=1,MK39=0),1000,0)),1000000))</f>
        <v/>
      </c>
      <c r="VS39">
        <f>IF($B39=0,1000000,IF(INDEX('計算A'!$D$60:$II$104,$B39,9)*DE39=1,IF(AND($E39=2,ML39=0),1000000,INDEX('計算A'!L$110:L$114,$F39+1)+IF(AND($E39=1,ML39=0),1000,0)),1000000))</f>
        <v/>
      </c>
      <c r="VT39">
        <f>IF($B39=0,1000000,IF(INDEX('計算A'!$D$60:$II$104,$B39,10)*DF39=1,IF(AND($E39=2,MM39=0),1000000,INDEX('計算A'!M$110:M$114,$F39+1)+IF(AND($E39=1,MM39=0),1000,0)),1000000))</f>
        <v/>
      </c>
      <c r="VU39">
        <f>IF($B39=0,1000000,IF(INDEX('計算A'!$D$60:$II$104,$B39,11)*DG39=1,IF(AND($E39=2,MN39=0),1000000,INDEX('計算A'!N$110:N$114,$F39+1)+IF(AND($E39=1,MN39=0),1000,0)),1000000))</f>
        <v/>
      </c>
      <c r="VV39">
        <f>IF($B39=0,1000000,IF(INDEX('計算A'!$D$60:$II$104,$B39,12)*DH39=1,IF(AND($E39=2,MO39=0),1000000,INDEX('計算A'!O$110:O$114,$F39+1)+IF(AND($E39=1,MO39=0),1000,0)),1000000))</f>
        <v/>
      </c>
      <c r="VW39">
        <f>IF($B39=0,1000000,IF(INDEX('計算A'!$D$60:$II$104,$B39,13)*DI39=1,IF(AND($E39=2,MP39=0),1000000,INDEX('計算A'!P$110:P$114,$F39+1)+IF(AND($E39=1,MP39=0),1000,0)),1000000))</f>
        <v/>
      </c>
      <c r="VX39">
        <f>IF($B39=0,1000000,IF(INDEX('計算A'!$D$60:$II$104,$B39,14)*DJ39=1,IF(AND($E39=2,MQ39=0),1000000,INDEX('計算A'!Q$110:Q$114,$F39+1)+IF(AND($E39=1,MQ39=0),1000,0)),1000000))</f>
        <v/>
      </c>
      <c r="VY39">
        <f>IF($B39=0,1000000,IF(INDEX('計算A'!$D$60:$II$104,$B39,15)*DK39=1,IF(AND($E39=2,MR39=0),1000000,INDEX('計算A'!R$110:R$114,$F39+1)+IF(AND($E39=1,MR39=0),1000,0)),1000000))</f>
        <v/>
      </c>
      <c r="VZ39">
        <f>IF($B39=0,1000000,IF(INDEX('計算A'!$D$60:$II$104,$B39,16)*DL39=1,IF(AND($E39=2,MS39=0),1000000,INDEX('計算A'!S$110:S$114,$F39+1)+IF(AND($E39=1,MS39=0),1000,0)),1000000))</f>
        <v/>
      </c>
      <c r="WA39">
        <f>IF($B39=0,1000000,IF(INDEX('計算A'!$D$60:$II$104,$B39,17)*DM39=1,IF(AND($E39=2,MT39=0),1000000,INDEX('計算A'!T$110:T$114,$F39+1)+IF(AND($E39=1,MT39=0),1000,0)),1000000))</f>
        <v/>
      </c>
      <c r="WB39">
        <f>IF($B39=0,1000000,IF(INDEX('計算A'!$D$60:$II$104,$B39,18)*DN39=1,IF(AND($E39=2,MU39=0),1000000,INDEX('計算A'!U$110:U$114,$F39+1)+IF(AND($E39=1,MU39=0),1000,0)),1000000))</f>
        <v/>
      </c>
      <c r="WC39">
        <f>IF($B39=0,1000000,IF(INDEX('計算A'!$D$60:$II$104,$B39,19)*DO39=1,IF(AND($E39=2,MV39=0),1000000,INDEX('計算A'!V$110:V$114,$F39+1)+IF(AND($E39=1,MV39=0),1000,0)),1000000))</f>
        <v/>
      </c>
      <c r="WD39">
        <f>IF($B39=0,1000000,IF(INDEX('計算A'!$D$60:$II$104,$B39,20)*DP39=1,IF(AND($E39=2,MW39=0),1000000,INDEX('計算A'!W$110:W$114,$F39+1)+IF(AND($E39=1,MW39=0),1000,0)),1000000))</f>
        <v/>
      </c>
      <c r="WE39">
        <f>IF($B39=0,1000000,IF(INDEX('計算A'!$D$60:$II$104,$B39,21)*DQ39=1,IF(AND($E39=2,MX39=0),1000000,INDEX('計算A'!X$110:X$114,$F39+1)+IF(AND($E39=1,MX39=0),1000,0)),1000000))</f>
        <v/>
      </c>
      <c r="WF39">
        <f>IF($B39=0,1000000,IF(INDEX('計算A'!$D$60:$II$104,$B39,22)*DR39=1,IF(AND($E39=2,MY39=0),1000000,INDEX('計算A'!Y$110:Y$114,$F39+1)+IF(AND($E39=1,MY39=0),1000,0)),1000000))</f>
        <v/>
      </c>
      <c r="WG39">
        <f>IF($B39=0,1000000,IF(INDEX('計算A'!$D$60:$II$104,$B39,23)*DS39=1,IF(AND($E39=2,MZ39=0),1000000,INDEX('計算A'!Z$110:Z$114,$F39+1)+IF(AND($E39=1,MZ39=0),1000,0)),1000000))</f>
        <v/>
      </c>
      <c r="WH39">
        <f>IF($B39=0,1000000,IF(INDEX('計算A'!$D$60:$II$104,$B39,24)*DT39=1,IF(AND($E39=2,NA39=0),1000000,INDEX('計算A'!AA$110:AA$114,$F39+1)+IF(AND($E39=1,NA39=0),1000,0)),1000000))</f>
        <v/>
      </c>
      <c r="WI39">
        <f>IF($B39=0,1000000,IF(INDEX('計算A'!$D$60:$II$104,$B39,25)*DU39=1,IF(AND($E39=2,NB39=0),1000000,INDEX('計算A'!AB$110:AB$114,$F39+1)+IF(AND($E39=1,NB39=0),1000,0)),1000000))</f>
        <v/>
      </c>
      <c r="WJ39">
        <f>IF($B39=0,1000000,IF(INDEX('計算A'!$D$60:$II$104,$B39,26)*DV39=1,IF(AND($E39=2,NC39=0),1000000,INDEX('計算A'!AC$110:AC$114,$F39+1)+IF(AND($E39=1,NC39=0),1000,0)),1000000))</f>
        <v/>
      </c>
      <c r="WK39">
        <f>IF($B39=0,1000000,IF(INDEX('計算A'!$D$60:$II$104,$B39,27)*DW39=1,IF(AND($E39=2,ND39=0),1000000,INDEX('計算A'!AD$110:AD$114,$F39+1)+IF(AND($E39=1,ND39=0),1000,0)),1000000))</f>
        <v/>
      </c>
      <c r="WL39">
        <f>IF($B39=0,1000000,IF(INDEX('計算A'!$D$60:$II$104,$B39,28)*DX39=1,IF(AND($E39=2,NE39=0),1000000,INDEX('計算A'!AE$110:AE$114,$F39+1)+IF(AND($E39=1,NE39=0),1000,0)),1000000))</f>
        <v/>
      </c>
      <c r="WM39">
        <f>IF($B39=0,1000000,IF(INDEX('計算A'!$D$60:$II$104,$B39,29)*DY39=1,IF(AND($E39=2,NF39=0),1000000,INDEX('計算A'!AF$110:AF$114,$F39+1)+IF(AND($E39=1,NF39=0),1000,0)),1000000))</f>
        <v/>
      </c>
      <c r="WN39">
        <f>IF($B39=0,1000000,IF(INDEX('計算A'!$D$60:$II$104,$B39,30)*DZ39=1,IF(AND($E39=2,NG39=0),1000000,INDEX('計算A'!AG$110:AG$114,$F39+1)+IF(AND($E39=1,NG39=0),1000,0)),1000000))</f>
        <v/>
      </c>
      <c r="WO39">
        <f>IF($B39=0,1000000,IF(INDEX('計算A'!$D$60:$II$104,$B39,31)*EA39=1,IF(AND($E39=2,NH39=0),1000000,INDEX('計算A'!AH$110:AH$114,$F39+1)+IF(AND($E39=1,NH39=0),1000,0)),1000000))</f>
        <v/>
      </c>
      <c r="WP39">
        <f>IF($B39=0,1000000,IF(INDEX('計算A'!$D$60:$II$104,$B39,32)*EB39=1,IF(AND($E39=2,NI39=0),1000000,INDEX('計算A'!AI$110:AI$114,$F39+1)+IF(AND($E39=1,NI39=0),1000,0)),1000000))</f>
        <v/>
      </c>
      <c r="WQ39">
        <f>IF($B39=0,1000000,IF(INDEX('計算A'!$D$60:$II$104,$B39,33)*EC39=1,IF(AND($E39=2,NJ39=0),1000000,INDEX('計算A'!AJ$110:AJ$114,$F39+1)+IF(AND($E39=1,NJ39=0),1000,0)),1000000))</f>
        <v/>
      </c>
      <c r="WR39">
        <f>IF($B39=0,1000000,IF(INDEX('計算A'!$D$60:$II$104,$B39,34)*ED39=1,IF(AND($E39=2,NK39=0),1000000,INDEX('計算A'!AK$110:AK$114,$F39+1)+IF(AND($E39=1,NK39=0),1000,0)),1000000))</f>
        <v/>
      </c>
      <c r="WS39">
        <f>IF($B39=0,1000000,IF(INDEX('計算A'!$D$60:$II$104,$B39,35)*EE39=1,IF(AND($E39=2,NL39=0),1000000,INDEX('計算A'!AL$110:AL$114,$F39+1)+IF(AND($E39=1,NL39=0),1000,0)),1000000))</f>
        <v/>
      </c>
      <c r="WT39">
        <f>IF($B39=0,1000000,IF(INDEX('計算A'!$D$60:$II$104,$B39,36)*EF39=1,IF(AND($E39=2,NM39=0),1000000,INDEX('計算A'!AM$110:AM$114,$F39+1)+IF(AND($E39=1,NM39=0),1000,0)),1000000))</f>
        <v/>
      </c>
      <c r="WU39">
        <f>IF($B39=0,1000000,IF(INDEX('計算A'!$D$60:$II$104,$B39,37)*EG39=1,IF(AND($E39=2,NN39=0),1000000,INDEX('計算A'!AN$110:AN$114,$F39+1)+IF(AND($E39=1,NN39=0),1000,0)),1000000))</f>
        <v/>
      </c>
      <c r="WV39">
        <f>IF($B39=0,1000000,IF(INDEX('計算A'!$D$60:$II$104,$B39,38)*EH39=1,IF(AND($E39=2,NO39=0),1000000,INDEX('計算A'!AO$110:AO$114,$F39+1)+IF(AND($E39=1,NO39=0),1000,0)),1000000))</f>
        <v/>
      </c>
      <c r="WW39">
        <f>IF($B39=0,1000000,IF(INDEX('計算A'!$D$60:$II$104,$B39,39)*EI39=1,IF(AND($E39=2,NP39=0),1000000,INDEX('計算A'!AP$110:AP$114,$F39+1)+IF(AND($E39=1,NP39=0),1000,0)),1000000))</f>
        <v/>
      </c>
      <c r="WX39">
        <f>IF($B39=0,1000000,IF(INDEX('計算A'!$D$60:$II$104,$B39,40)*EJ39=1,IF(AND($E39=2,NQ39=0),1000000,INDEX('計算A'!AQ$110:AQ$114,$F39+1)+IF(AND($E39=1,NQ39=0),1000,0)),1000000))</f>
        <v/>
      </c>
      <c r="WY39">
        <f>IF($B39=0,1000000,IF(INDEX('計算A'!$D$60:$II$104,$B39,41)*EK39=1,IF(AND($E39=2,NR39=0),1000000,INDEX('計算A'!AR$110:AR$114,$F39+1)+IF(AND($E39=1,NR39=0),1000,0)),1000000))</f>
        <v/>
      </c>
      <c r="WZ39">
        <f>IF($B39=0,1000000,IF(INDEX('計算A'!$D$60:$II$104,$B39,42)*EL39=1,IF(AND($E39=2,NS39=0),1000000,INDEX('計算A'!AS$110:AS$114,$F39+1)+IF(AND($E39=1,NS39=0),1000,0)),1000000))</f>
        <v/>
      </c>
      <c r="XA39">
        <f>IF($B39=0,1000000,IF(INDEX('計算A'!$D$60:$II$104,$B39,43)*EM39=1,IF(AND($E39=2,NT39=0),1000000,INDEX('計算A'!AT$110:AT$114,$F39+1)+IF(AND($E39=1,NT39=0),1000,0)),1000000))</f>
        <v/>
      </c>
      <c r="XB39">
        <f>IF($B39=0,1000000,IF(INDEX('計算A'!$D$60:$II$104,$B39,44)*EN39=1,IF(AND($E39=2,NU39=0),1000000,INDEX('計算A'!AU$110:AU$114,$F39+1)+IF(AND($E39=1,NU39=0),1000,0)),1000000))</f>
        <v/>
      </c>
      <c r="XC39">
        <f>IF($B39=0,1000000,IF(INDEX('計算A'!$D$60:$II$104,$B39,45)*EO39=1,IF(AND($E39=2,NV39=0),1000000,INDEX('計算A'!AV$110:AV$114,$F39+1)+IF(AND($E39=1,NV39=0),1000,0)),1000000))</f>
        <v/>
      </c>
      <c r="XD39">
        <f>IF($B39=0,1000000,IF(INDEX('計算A'!$D$60:$II$104,$B39,46)*EP39=1,IF(AND($E39=2,NW39=0),1000000,INDEX('計算A'!AW$110:AW$114,$F39+1)+IF(AND($E39=1,NW39=0),1000,0)),1000000))</f>
        <v/>
      </c>
      <c r="XE39">
        <f>IF($B39=0,1000000,IF(INDEX('計算A'!$D$60:$II$104,$B39,47)*EQ39=1,IF(AND($E39=2,NX39=0),1000000,INDEX('計算A'!AX$110:AX$114,$F39+1)+IF(AND($E39=1,NX39=0),1000,0)),1000000))</f>
        <v/>
      </c>
      <c r="XF39">
        <f>IF($B39=0,1000000,IF(INDEX('計算A'!$D$60:$II$104,$B39,48)*ER39=1,IF(AND($E39=2,NY39=0),1000000,INDEX('計算A'!AY$110:AY$114,$F39+1)+IF(AND($E39=1,NY39=0),1000,0)),1000000))</f>
        <v/>
      </c>
      <c r="XG39">
        <f>IF($B39=0,1000000,IF(INDEX('計算A'!$D$60:$II$104,$B39,49)*ES39=1,IF(AND($E39=2,NZ39=0),1000000,INDEX('計算A'!AZ$110:AZ$114,$F39+1)+IF(AND($E39=1,NZ39=0),1000,0)),1000000))</f>
        <v/>
      </c>
      <c r="XH39">
        <f>IF($B39=0,1000000,IF(INDEX('計算A'!$D$60:$II$104,$B39,50)*ET39=1,IF(AND($E39=2,OA39=0),1000000,INDEX('計算A'!BA$110:BA$114,$F39+1)+IF(AND($E39=1,OA39=0),1000,0)),1000000))</f>
        <v/>
      </c>
      <c r="XI39">
        <f>IF($B39=0,1000000,IF(INDEX('計算A'!$D$60:$II$104,$B39,51)*EU39=1,IF(AND($E39=2,OB39=0),1000000,INDEX('計算A'!BB$110:BB$114,$F39+1)+IF(AND($E39=1,OB39=0),1000,0)),1000000))</f>
        <v/>
      </c>
      <c r="XJ39">
        <f>IF($B39=0,1000000,IF(INDEX('計算A'!$D$60:$II$104,$B39,52)*EV39=1,IF(AND($E39=2,OC39=0),1000000,INDEX('計算A'!BC$110:BC$114,$F39+1)+IF(AND($E39=1,OC39=0),1000,0)),1000000))</f>
        <v/>
      </c>
      <c r="XK39">
        <f>IF($B39=0,1000000,IF(INDEX('計算A'!$D$60:$II$104,$B39,53)*EW39=1,IF(AND($E39=2,OD39=0),1000000,INDEX('計算A'!BD$110:BD$114,$F39+1)+IF(AND($E39=1,OD39=0),1000,0)),1000000))</f>
        <v/>
      </c>
      <c r="XL39">
        <f>IF($B39=0,1000000,IF(INDEX('計算A'!$D$60:$II$104,$B39,54)*EX39=1,IF(AND($E39=2,OE39=0),1000000,INDEX('計算A'!BE$110:BE$114,$F39+1)+IF(AND($E39=1,OE39=0),1000,0)),1000000))</f>
        <v/>
      </c>
      <c r="XM39">
        <f>IF($B39=0,1000000,IF(INDEX('計算A'!$D$60:$II$104,$B39,55)*EY39=1,IF(AND($E39=2,OF39=0),1000000,INDEX('計算A'!BF$110:BF$114,$F39+1)+IF(AND($E39=1,OF39=0),1000,0)),1000000))</f>
        <v/>
      </c>
      <c r="XN39">
        <f>IF($B39=0,1000000,IF(INDEX('計算A'!$D$60:$II$104,$B39,56)*EZ39=1,IF(AND($E39=2,OG39=0),1000000,INDEX('計算A'!BG$110:BG$114,$F39+1)+IF(AND($E39=1,OG39=0),1000,0)),1000000))</f>
        <v/>
      </c>
      <c r="XO39">
        <f>IF($B39=0,1000000,IF(INDEX('計算A'!$D$60:$II$104,$B39,57)*FA39=1,IF(AND($E39=2,OH39=0),1000000,INDEX('計算A'!BH$110:BH$114,$F39+1)+IF(AND($E39=1,OH39=0),1000,0)),1000000))</f>
        <v/>
      </c>
      <c r="XP39">
        <f>IF($B39=0,1000000,IF(INDEX('計算A'!$D$60:$II$104,$B39,58)*FB39=1,IF(AND($E39=2,OI39=0),1000000,INDEX('計算A'!BI$110:BI$114,$F39+1)+IF(AND($E39=1,OI39=0),1000,0)),1000000))</f>
        <v/>
      </c>
      <c r="XQ39">
        <f>IF($B39=0,1000000,IF(INDEX('計算A'!$D$60:$II$104,$B39,59)*FC39=1,IF(AND($E39=2,OJ39=0),1000000,INDEX('計算A'!BJ$110:BJ$114,$F39+1)+IF(AND($E39=1,OJ39=0),1000,0)),1000000))</f>
        <v/>
      </c>
      <c r="XR39">
        <f>IF($B39=0,1000000,IF(INDEX('計算A'!$D$60:$II$104,$B39,60)*FD39=1,IF(AND($E39=2,OK39=0),1000000,INDEX('計算A'!BK$110:BK$114,$F39+1)+IF(AND($E39=1,OK39=0),1000,0)),1000000))</f>
        <v/>
      </c>
      <c r="XS39">
        <f>IF($B39=0,1000000,IF(INDEX('計算A'!$D$60:$II$104,$B39,61)*FE39=1,IF(AND($E39=2,OL39=0),1000000,INDEX('計算A'!BL$110:BL$114,$F39+1)+IF(AND($E39=1,OL39=0),1000,0)),1000000))</f>
        <v/>
      </c>
      <c r="XT39">
        <f>IF($B39=0,1000000,IF(INDEX('計算A'!$D$60:$II$104,$B39,62)*FF39=1,IF(AND($E39=2,OM39=0),1000000,INDEX('計算A'!BM$110:BM$114,$F39+1)+IF(AND($E39=1,OM39=0),1000,0)),1000000))</f>
        <v/>
      </c>
      <c r="XU39">
        <f>IF($B39=0,1000000,IF(INDEX('計算A'!$D$60:$II$104,$B39,63)*FG39=1,IF(AND($E39=2,ON39=0),1000000,INDEX('計算A'!BN$110:BN$114,$F39+1)+IF(AND($E39=1,ON39=0),1000,0)),1000000))</f>
        <v/>
      </c>
      <c r="XV39">
        <f>IF($B39=0,1000000,IF(INDEX('計算A'!$D$60:$II$104,$B39,64)*FH39=1,IF(AND($E39=2,OO39=0),1000000,INDEX('計算A'!BO$110:BO$114,$F39+1)+IF(AND($E39=1,OO39=0),1000,0)),1000000))</f>
        <v/>
      </c>
      <c r="XW39">
        <f>IF($B39=0,1000000,IF(INDEX('計算A'!$D$60:$II$104,$B39,65)*FI39=1,IF(AND($E39=2,OP39=0),1000000,INDEX('計算A'!BP$110:BP$114,$F39+1)+IF(AND($E39=1,OP39=0),1000,0)),1000000))</f>
        <v/>
      </c>
      <c r="XX39">
        <f>IF($B39=0,1000000,IF(INDEX('計算A'!$D$60:$II$104,$B39,66)*FJ39=1,IF(AND($E39=2,OQ39=0),1000000,INDEX('計算A'!BQ$110:BQ$114,$F39+1)+IF(AND($E39=1,OQ39=0),1000,0)),1000000))</f>
        <v/>
      </c>
      <c r="XY39">
        <f>IF($B39=0,1000000,IF(INDEX('計算A'!$D$60:$II$104,$B39,67)*FK39=1,IF(AND($E39=2,OR39=0),1000000,INDEX('計算A'!BR$110:BR$114,$F39+1)+IF(AND($E39=1,OR39=0),1000,0)),1000000))</f>
        <v/>
      </c>
      <c r="XZ39">
        <f>IF($B39=0,1000000,IF(INDEX('計算A'!$D$60:$II$104,$B39,68)*FL39=1,IF(AND($E39=2,OS39=0),1000000,INDEX('計算A'!BS$110:BS$114,$F39+1)+IF(AND($E39=1,OS39=0),1000,0)),1000000))</f>
        <v/>
      </c>
      <c r="YA39">
        <f>IF($B39=0,1000000,IF(INDEX('計算A'!$D$60:$II$104,$B39,69)*FM39=1,IF(AND($E39=2,OT39=0),1000000,INDEX('計算A'!BT$110:BT$114,$F39+1)+IF(AND($E39=1,OT39=0),1000,0)),1000000))</f>
        <v/>
      </c>
      <c r="YB39">
        <f>IF($B39=0,1000000,IF(INDEX('計算A'!$D$60:$II$104,$B39,70)*FN39=1,IF(AND($E39=2,OU39=0),1000000,INDEX('計算A'!BU$110:BU$114,$F39+1)+IF(AND($E39=1,OU39=0),1000,0)),1000000))</f>
        <v/>
      </c>
      <c r="YC39">
        <f>IF($B39=0,1000000,IF(INDEX('計算A'!$D$60:$II$104,$B39,71)*FO39=1,IF(AND($E39=2,OV39=0),1000000,INDEX('計算A'!BV$110:BV$114,$F39+1)+IF(AND($E39=1,OV39=0),1000,0)),1000000))</f>
        <v/>
      </c>
      <c r="YD39">
        <f>IF($B39=0,1000000,IF(INDEX('計算A'!$D$60:$II$104,$B39,72)*FP39=1,IF(AND($E39=2,OW39=0),1000000,INDEX('計算A'!BW$110:BW$114,$F39+1)+IF(AND($E39=1,OW39=0),1000,0)),1000000))</f>
        <v/>
      </c>
      <c r="YE39">
        <f>IF($B39=0,1000000,IF(INDEX('計算A'!$D$60:$II$104,$B39,73)*FQ39=1,IF(AND($E39=2,OX39=0),1000000,INDEX('計算A'!BX$110:BX$114,$F39+1)+IF(AND($E39=1,OX39=0),1000,0)),1000000))</f>
        <v/>
      </c>
      <c r="YF39">
        <f>IF($B39=0,1000000,IF(INDEX('計算A'!$D$60:$II$104,$B39,74)*FR39=1,IF(AND($E39=2,OY39=0),1000000,INDEX('計算A'!BY$110:BY$114,$F39+1)+IF(AND($E39=1,OY39=0),1000,0)),1000000))</f>
        <v/>
      </c>
      <c r="YG39">
        <f>IF($B39=0,1000000,IF(INDEX('計算A'!$D$60:$II$104,$B39,75)*FS39=1,IF(AND($E39=2,OZ39=0),1000000,INDEX('計算A'!BZ$110:BZ$114,$F39+1)+IF(AND($E39=1,OZ39=0),1000,0)),1000000))</f>
        <v/>
      </c>
      <c r="YH39">
        <f>IF($B39=0,1000000,IF(INDEX('計算A'!$D$60:$II$104,$B39,76)*FT39=1,IF(AND($E39=2,PA39=0),1000000,INDEX('計算A'!CA$110:CA$114,$F39+1)+IF(AND($E39=1,PA39=0),1000,0)),1000000))</f>
        <v/>
      </c>
      <c r="YI39">
        <f>IF($B39=0,1000000,IF(INDEX('計算A'!$D$60:$II$104,$B39,77)*FU39=1,IF(AND($E39=2,PB39=0),1000000,INDEX('計算A'!CB$110:CB$114,$F39+1)+IF(AND($E39=1,PB39=0),1000,0)),1000000))</f>
        <v/>
      </c>
      <c r="YJ39">
        <f>IF($B39=0,1000000,IF(INDEX('計算A'!$D$60:$II$104,$B39,78)*FV39=1,IF(AND($E39=2,PC39=0),1000000,INDEX('計算A'!CC$110:CC$114,$F39+1)+IF(AND($E39=1,PC39=0),1000,0)),1000000))</f>
        <v/>
      </c>
      <c r="YK39">
        <f>IF($B39=0,1000000,IF(INDEX('計算A'!$D$60:$II$104,$B39,79)*FW39=1,IF(AND($E39=2,PD39=0),1000000,INDEX('計算A'!CD$110:CD$114,$F39+1)+IF(AND($E39=1,PD39=0),1000,0)),1000000))</f>
        <v/>
      </c>
      <c r="YL39">
        <f>IF($B39=0,1000000,IF(INDEX('計算A'!$D$60:$II$104,$B39,80)*FX39=1,IF(AND($E39=2,PE39=0),1000000,INDEX('計算A'!CE$110:CE$114,$F39+1)+IF(AND($E39=1,PE39=0),1000,0)),1000000))</f>
        <v/>
      </c>
      <c r="YM39">
        <f>IF($B39=0,1000000,IF(INDEX('計算A'!$D$60:$II$104,$B39,81)*FY39=1,IF(AND($E39=2,PF39=0),1000000,INDEX('計算A'!CF$110:CF$114,$F39+1)+IF(AND($E39=1,PF39=0),1000,0)),1000000))</f>
        <v/>
      </c>
      <c r="YN39">
        <f>IF($B39=0,1000000,IF(INDEX('計算A'!$D$60:$II$104,$B39,82)*FZ39=1,IF(AND($E39=2,PG39=0),1000000,INDEX('計算A'!CG$110:CG$114,$F39+1)+IF(AND($E39=1,PG39=0),1000,0)),1000000))</f>
        <v/>
      </c>
      <c r="YO39">
        <f>IF($B39=0,1000000,IF(INDEX('計算A'!$D$60:$II$104,$B39,83)*GA39=1,IF(AND($E39=2,PH39=0),1000000,INDEX('計算A'!CH$110:CH$114,$F39+1)+IF(AND($E39=1,PH39=0),1000,0)),1000000))</f>
        <v/>
      </c>
      <c r="YP39">
        <f>IF($B39=0,1000000,IF(INDEX('計算A'!$D$60:$II$104,$B39,84)*GB39=1,IF(AND($E39=2,PI39=0),1000000,INDEX('計算A'!CI$110:CI$114,$F39+1)+IF(AND($E39=1,PI39=0),1000,0)),1000000))</f>
        <v/>
      </c>
      <c r="YQ39">
        <f>IF($B39=0,1000000,IF(INDEX('計算A'!$D$60:$II$104,$B39,85)*GC39=1,IF(AND($E39=2,PJ39=0),1000000,INDEX('計算A'!CJ$110:CJ$114,$F39+1)+IF(AND($E39=1,PJ39=0),1000,0)),1000000))</f>
        <v/>
      </c>
      <c r="YR39">
        <f>IF($B39=0,1000000,IF(INDEX('計算A'!$D$60:$II$104,$B39,86)*GD39=1,IF(AND($E39=2,PK39=0),1000000,INDEX('計算A'!CK$110:CK$114,$F39+1)+IF(AND($E39=1,PK39=0),1000,0)),1000000))</f>
        <v/>
      </c>
      <c r="YS39">
        <f>IF($B39=0,1000000,IF(INDEX('計算A'!$D$60:$II$104,$B39,87)*GE39=1,IF(AND($E39=2,PL39=0),1000000,INDEX('計算A'!CL$110:CL$114,$F39+1)+IF(AND($E39=1,PL39=0),1000,0)),1000000))</f>
        <v/>
      </c>
      <c r="YT39">
        <f>IF($B39=0,1000000,IF(INDEX('計算A'!$D$60:$II$104,$B39,88)*GF39=1,IF(AND($E39=2,PM39=0),1000000,INDEX('計算A'!CM$110:CM$114,$F39+1)+IF(AND($E39=1,PM39=0),1000,0)),1000000))</f>
        <v/>
      </c>
      <c r="YU39">
        <f>IF($B39=0,1000000,IF(INDEX('計算A'!$D$60:$II$104,$B39,89)*GG39=1,IF(AND($E39=2,PN39=0),1000000,INDEX('計算A'!CN$110:CN$114,$F39+1)+IF(AND($E39=1,PN39=0),1000,0)),1000000))</f>
        <v/>
      </c>
      <c r="YV39">
        <f>IF($B39=0,1000000,IF(INDEX('計算A'!$D$60:$II$104,$B39,90)*GH39=1,IF(AND($E39=2,PO39=0),1000000,INDEX('計算A'!CO$110:CO$114,$F39+1)+IF(AND($E39=1,PO39=0),1000,0)),1000000))</f>
        <v/>
      </c>
      <c r="YW39">
        <f>IF($B39=0,1000000,IF(INDEX('計算A'!$D$60:$II$104,$B39,91)*GI39=1,IF(AND($E39=2,PP39=0),1000000,INDEX('計算A'!CP$110:CP$114,$F39+1)+IF(AND($E39=1,PP39=0),1000,0)),1000000))</f>
        <v/>
      </c>
      <c r="YX39">
        <f>IF($B39=0,1000000,IF(INDEX('計算A'!$D$60:$II$104,$B39,92)*GJ39=1,IF(AND($E39=2,PQ39=0),1000000,INDEX('計算A'!CQ$110:CQ$114,$F39+1)+IF(AND($E39=1,PQ39=0),1000,0)),1000000))</f>
        <v/>
      </c>
      <c r="YY39">
        <f>IF($B39=0,1000000,IF(INDEX('計算A'!$D$60:$II$104,$B39,93)*GK39=1,IF(AND($E39=2,PR39=0),1000000,INDEX('計算A'!CR$110:CR$114,$F39+1)+IF(AND($E39=1,PR39=0),1000,0)),1000000))</f>
        <v/>
      </c>
      <c r="YZ39">
        <f>IF($B39=0,1000000,IF(INDEX('計算A'!$D$60:$II$104,$B39,94)*GL39=1,IF(AND($E39=2,PS39=0),1000000,INDEX('計算A'!CS$110:CS$114,$F39+1)+IF(AND($E39=1,PS39=0),1000,0)),1000000))</f>
        <v/>
      </c>
      <c r="ZA39">
        <f>IF($B39=0,1000000,IF(INDEX('計算A'!$D$60:$II$104,$B39,95)*GM39=1,IF(AND($E39=2,PT39=0),1000000,INDEX('計算A'!CT$110:CT$114,$F39+1)+IF(AND($E39=1,PT39=0),1000,0)),1000000))</f>
        <v/>
      </c>
      <c r="ZB39">
        <f>IF($B39=0,1000000,IF(INDEX('計算A'!$D$60:$II$104,$B39,96)*GN39=1,IF(AND($E39=2,PU39=0),1000000,INDEX('計算A'!CU$110:CU$114,$F39+1)+IF(AND($E39=1,PU39=0),1000,0)),1000000))</f>
        <v/>
      </c>
      <c r="ZC39">
        <f>IF($B39=0,1000000,IF(INDEX('計算A'!$D$60:$II$104,$B39,97)*GO39=1,IF(AND($E39=2,PV39=0),1000000,INDEX('計算A'!CV$110:CV$114,$F39+1)+IF(AND($E39=1,PV39=0),1000,0)),1000000))</f>
        <v/>
      </c>
      <c r="ZD39">
        <f>IF($B39=0,1000000,IF(INDEX('計算A'!$D$60:$II$104,$B39,98)*GP39=1,IF(AND($E39=2,PW39=0),1000000,INDEX('計算A'!CW$110:CW$114,$F39+1)+IF(AND($E39=1,PW39=0),1000,0)),1000000))</f>
        <v/>
      </c>
      <c r="ZE39">
        <f>IF($B39=0,1000000,IF(INDEX('計算A'!$D$60:$II$104,$B39,99)*GQ39=1,IF(AND($E39=2,PX39=0),1000000,INDEX('計算A'!CX$110:CX$114,$F39+1)+IF(AND($E39=1,PX39=0),1000,0)),1000000))</f>
        <v/>
      </c>
      <c r="ZF39">
        <f>IF($B39=0,1000000,IF(INDEX('計算A'!$D$60:$II$104,$B39,100)*GR39=1,IF(AND($E39=2,PY39=0),1000000,INDEX('計算A'!CY$110:CY$114,$F39+1)+IF(AND($E39=1,PY39=0),1000,0)),1000000))</f>
        <v/>
      </c>
      <c r="ZG39">
        <f>IF($B39=0,1000000,IF(INDEX('計算A'!$D$60:$II$104,$B39,101)*GS39=1,IF(AND($E39=2,PZ39=0),1000000,INDEX('計算A'!CZ$110:CZ$114,$F39+1)+IF(AND($E39=1,PZ39=0),1000,0)),1000000))</f>
        <v/>
      </c>
      <c r="ZH39">
        <f>IF($B39=0,1000000,IF(INDEX('計算A'!$D$60:$II$104,$B39,102)*GT39=1,IF(AND($E39=2,QA39=0),1000000,INDEX('計算A'!DA$110:DA$114,$F39+1)+IF(AND($E39=1,QA39=0),1000,0)),1000000))</f>
        <v/>
      </c>
      <c r="ZI39">
        <f>IF($B39=0,1000000,IF(INDEX('計算A'!$D$60:$II$104,$B39,103)*GU39=1,IF(AND($E39=2,QB39=0),1000000,INDEX('計算A'!DB$110:DB$114,$F39+1)+IF(AND($E39=1,QB39=0),1000,0)),1000000))</f>
        <v/>
      </c>
      <c r="ZJ39">
        <f>IF($B39=0,1000000,IF(INDEX('計算A'!$D$60:$II$104,$B39,104)*GV39=1,IF(AND($E39=2,QC39=0),1000000,INDEX('計算A'!DC$110:DC$114,$F39+1)+IF(AND($E39=1,QC39=0),1000,0)),1000000))</f>
        <v/>
      </c>
      <c r="ZK39">
        <f>IF($B39=0,1000000,IF(INDEX('計算A'!$D$60:$II$104,$B39,105)*GW39=1,IF(AND($E39=2,QD39=0),1000000,INDEX('計算A'!DD$110:DD$114,$F39+1)+IF(AND($E39=1,QD39=0),1000,0)),1000000))</f>
        <v/>
      </c>
      <c r="ZL39">
        <f>IF($B39=0,1000000,IF(INDEX('計算A'!$D$60:$II$104,$B39,106)*GX39=1,IF(AND($E39=2,QE39=0),1000000,INDEX('計算A'!DE$110:DE$114,$F39+1)+IF(AND($E39=1,QE39=0),1000,0)),1000000))</f>
        <v/>
      </c>
      <c r="ZM39">
        <f>IF($B39=0,1000000,IF(INDEX('計算A'!$D$60:$II$104,$B39,107)*GY39=1,IF(AND($E39=2,QF39=0),1000000,INDEX('計算A'!DF$110:DF$114,$F39+1)+IF(AND($E39=1,QF39=0),1000,0)),1000000))</f>
        <v/>
      </c>
      <c r="ZN39">
        <f>IF($B39=0,1000000,IF(INDEX('計算A'!$D$60:$II$104,$B39,108)*GZ39=1,IF(AND($E39=2,QG39=0),1000000,INDEX('計算A'!DG$110:DG$114,$F39+1)+IF(AND($E39=1,QG39=0),1000,0)),1000000))</f>
        <v/>
      </c>
      <c r="ZO39">
        <f>IF($B39=0,1000000,IF(INDEX('計算A'!$D$60:$II$104,$B39,109)*HA39=1,IF(AND($E39=2,QH39=0),1000000,INDEX('計算A'!DH$110:DH$114,$F39+1)+IF(AND($E39=1,QH39=0),1000,0)),1000000))</f>
        <v/>
      </c>
      <c r="ZP39">
        <f>IF($B39=0,1000000,IF(INDEX('計算A'!$D$60:$II$104,$B39,110)*HB39=1,IF(AND($E39=2,QI39=0),1000000,INDEX('計算A'!DI$110:DI$114,$F39+1)+IF(AND($E39=1,QI39=0),1000,0)),1000000))</f>
        <v/>
      </c>
      <c r="ZQ39">
        <f>IF($B39=0,1000000,IF(INDEX('計算A'!$D$60:$II$104,$B39,111)*HC39=1,IF(AND($E39=2,QJ39=0),1000000,INDEX('計算A'!DJ$110:DJ$114,$F39+1)+IF(AND($E39=1,QJ39=0),1000,0)),1000000))</f>
        <v/>
      </c>
      <c r="ZR39">
        <f>IF($B39=0,1000000,IF(INDEX('計算A'!$D$60:$II$104,$B39,112)*HD39=1,IF(AND($E39=2,QK39=0),1000000,INDEX('計算A'!DK$110:DK$114,$F39+1)+IF(AND($E39=1,QK39=0),1000,0)),1000000))</f>
        <v/>
      </c>
      <c r="ZS39">
        <f>IF($B39=0,1000000,IF(INDEX('計算A'!$D$60:$II$104,$B39,113)*HE39=1,IF(AND($E39=2,QL39=0),1000000,INDEX('計算A'!DL$110:DL$114,$F39+1)+IF(AND($E39=1,QL39=0),1000,0)),1000000))</f>
        <v/>
      </c>
      <c r="ZT39">
        <f>IF($B39=0,1000000,IF(INDEX('計算A'!$D$60:$II$104,$B39,114)*HF39=1,IF(AND($E39=2,QM39=0),1000000,INDEX('計算A'!DM$110:DM$114,$F39+1)+IF(AND($E39=1,QM39=0),1000,0)),1000000))</f>
        <v/>
      </c>
      <c r="ZU39">
        <f>IF($B39=0,1000000,IF(INDEX('計算A'!$D$60:$II$104,$B39,115)*HG39=1,IF(AND($E39=2,QN39=0),1000000,INDEX('計算A'!DN$110:DN$114,$F39+1)+IF(AND($E39=1,QN39=0),1000,0)),1000000))</f>
        <v/>
      </c>
      <c r="ZV39">
        <f>IF($B39=0,1000000,IF(INDEX('計算A'!$D$60:$II$104,$B39,116)*HH39=1,IF(AND($E39=2,QO39=0),1000000,INDEX('計算A'!DO$110:DO$114,$F39+1)+IF(AND($E39=1,QO39=0),1000,0)),1000000))</f>
        <v/>
      </c>
      <c r="ZW39">
        <f>IF($B39=0,1000000,IF(INDEX('計算A'!$D$60:$II$104,$B39,117)*HI39=1,IF(AND($E39=2,QP39=0),1000000,INDEX('計算A'!DP$110:DP$114,$F39+1)+IF(AND($E39=1,QP39=0),1000,0)),1000000))</f>
        <v/>
      </c>
      <c r="ZX39">
        <f>IF($B39=0,1000000,IF(INDEX('計算A'!$D$60:$II$104,$B39,118)*HJ39=1,IF(AND($E39=2,QQ39=0),1000000,INDEX('計算A'!DQ$110:DQ$114,$F39+1)+IF(AND($E39=1,QQ39=0),1000,0)),1000000))</f>
        <v/>
      </c>
      <c r="ZY39">
        <f>IF($B39=0,1000000,IF(INDEX('計算A'!$D$60:$II$104,$B39,119)*HK39=1,IF(AND($E39=2,QR39=0),1000000,INDEX('計算A'!DR$110:DR$114,$F39+1)+IF(AND($E39=1,QR39=0),1000,0)),1000000))</f>
        <v/>
      </c>
      <c r="ZZ39">
        <f>IF($B39=0,1000000,IF(INDEX('計算A'!$D$60:$II$104,$B39,120)*HL39=1,IF(AND($E39=2,QS39=0),1000000,INDEX('計算A'!DS$110:DS$114,$F39+1)+IF(AND($E39=1,QS39=0),1000,0)),1000000))</f>
        <v/>
      </c>
      <c r="AAA39">
        <f>IF($B39=0,1000000,IF(INDEX('計算A'!$D$60:$II$104,$B39,121)*HM39=1,IF(AND($E39=2,QT39=0),1000000,INDEX('計算A'!DT$110:DT$114,$F39+1)+IF(AND($E39=1,QT39=0),1000,0)),1000000))</f>
        <v/>
      </c>
      <c r="AAB39">
        <f>IF($B39=0,1000000,IF(INDEX('計算A'!$D$60:$II$104,$B39,122)*HN39=1,IF(AND($E39=2,QU39=0),1000000,INDEX('計算A'!DU$110:DU$114,$F39+1)+IF(AND($E39=1,QU39=0),1000,0)),1000000))</f>
        <v/>
      </c>
      <c r="AAC39">
        <f>IF($B39=0,1000000,IF(INDEX('計算A'!$D$60:$II$104,$B39,123)*HO39=1,IF(AND($E39=2,QV39=0),1000000,INDEX('計算A'!DV$110:DV$114,$F39+1)+IF(AND($E39=1,QV39=0),1000,0)),1000000))</f>
        <v/>
      </c>
      <c r="AAD39">
        <f>IF($B39=0,1000000,IF(INDEX('計算A'!$D$60:$II$104,$B39,124)*HP39=1,IF(AND($E39=2,QW39=0),1000000,INDEX('計算A'!DW$110:DW$114,$F39+1)+IF(AND($E39=1,QW39=0),1000,0)),1000000))</f>
        <v/>
      </c>
      <c r="AAE39">
        <f>IF($B39=0,1000000,IF(INDEX('計算A'!$D$60:$II$104,$B39,125)*HQ39=1,IF(AND($E39=2,QX39=0),1000000,INDEX('計算A'!DX$110:DX$114,$F39+1)+IF(AND($E39=1,QX39=0),1000,0)),1000000))</f>
        <v/>
      </c>
      <c r="AAF39">
        <f>IF($B39=0,1000000,IF(INDEX('計算A'!$D$60:$II$104,$B39,126)*HR39=1,IF(AND($E39=2,QY39=0),1000000,INDEX('計算A'!DY$110:DY$114,$F39+1)+IF(AND($E39=1,QY39=0),1000,0)),1000000))</f>
        <v/>
      </c>
      <c r="AAG39">
        <f>IF($B39=0,1000000,IF(INDEX('計算A'!$D$60:$II$104,$B39,127)*HS39=1,IF(AND($E39=2,QZ39=0),1000000,INDEX('計算A'!DZ$110:DZ$114,$F39+1)+IF(AND($E39=1,QZ39=0),1000,0)),1000000))</f>
        <v/>
      </c>
      <c r="AAH39">
        <f>IF($B39=0,1000000,IF(INDEX('計算A'!$D$60:$II$104,$B39,128)*HT39=1,IF(AND($E39=2,RA39=0),1000000,INDEX('計算A'!EA$110:EA$114,$F39+1)+IF(AND($E39=1,RA39=0),1000,0)),1000000))</f>
        <v/>
      </c>
      <c r="AAI39">
        <f>IF($B39=0,1000000,IF(INDEX('計算A'!$D$60:$II$104,$B39,129)*HU39=1,IF(AND($E39=2,RB39=0),1000000,INDEX('計算A'!EB$110:EB$114,$F39+1)+IF(AND($E39=1,RB39=0),1000,0)),1000000))</f>
        <v/>
      </c>
      <c r="AAJ39">
        <f>IF($B39=0,1000000,IF(INDEX('計算A'!$D$60:$II$104,$B39,130)*HV39=1,IF(AND($E39=2,RC39=0),1000000,INDEX('計算A'!EC$110:EC$114,$F39+1)+IF(AND($E39=1,RC39=0),1000,0)),1000000))</f>
        <v/>
      </c>
      <c r="AAK39">
        <f>IF($B39=0,1000000,IF(INDEX('計算A'!$D$60:$II$104,$B39,131)*HW39=1,IF(AND($E39=2,RD39=0),1000000,INDEX('計算A'!ED$110:ED$114,$F39+1)+IF(AND($E39=1,RD39=0),1000,0)),1000000))</f>
        <v/>
      </c>
      <c r="AAL39">
        <f>IF($B39=0,1000000,IF(INDEX('計算A'!$D$60:$II$104,$B39,132)*HX39=1,IF(AND($E39=2,RE39=0),1000000,INDEX('計算A'!EE$110:EE$114,$F39+1)+IF(AND($E39=1,RE39=0),1000,0)),1000000))</f>
        <v/>
      </c>
      <c r="AAM39">
        <f>IF($B39=0,1000000,IF(INDEX('計算A'!$D$60:$II$104,$B39,133)*HY39=1,IF(AND($E39=2,RF39=0),1000000,INDEX('計算A'!EF$110:EF$114,$F39+1)+IF(AND($E39=1,RF39=0),1000,0)),1000000))</f>
        <v/>
      </c>
      <c r="AAN39">
        <f>IF($B39=0,1000000,IF(INDEX('計算A'!$D$60:$II$104,$B39,134)*HZ39=1,IF(AND($E39=2,RG39=0),1000000,INDEX('計算A'!EG$110:EG$114,$F39+1)+IF(AND($E39=1,RG39=0),1000,0)),1000000))</f>
        <v/>
      </c>
      <c r="AAO39">
        <f>IF($B39=0,1000000,IF(INDEX('計算A'!$D$60:$II$104,$B39,135)*IA39=1,IF(AND($E39=2,RH39=0),1000000,INDEX('計算A'!EH$110:EH$114,$F39+1)+IF(AND($E39=1,RH39=0),1000,0)),1000000))</f>
        <v/>
      </c>
      <c r="AAP39">
        <f>IF($B39=0,1000000,IF(INDEX('計算A'!$D$60:$II$104,$B39,136)*IB39=1,IF(AND($E39=2,RI39=0),1000000,INDEX('計算A'!EI$110:EI$114,$F39+1)+IF(AND($E39=1,RI39=0),1000,0)),1000000))</f>
        <v/>
      </c>
      <c r="AAQ39">
        <f>IF($B39=0,1000000,IF(INDEX('計算A'!$D$60:$II$104,$B39,137)*IC39=1,IF(AND($E39=2,RJ39=0),1000000,INDEX('計算A'!EJ$110:EJ$114,$F39+1)+IF(AND($E39=1,RJ39=0),1000,0)),1000000))</f>
        <v/>
      </c>
      <c r="AAR39">
        <f>IF($B39=0,1000000,IF(INDEX('計算A'!$D$60:$II$104,$B39,138)*ID39=1,IF(AND($E39=2,RK39=0),1000000,INDEX('計算A'!EK$110:EK$114,$F39+1)+IF(AND($E39=1,RK39=0),1000,0)),1000000))</f>
        <v/>
      </c>
      <c r="AAS39">
        <f>IF($B39=0,1000000,IF(INDEX('計算A'!$D$60:$II$104,$B39,139)*IE39=1,IF(AND($E39=2,RL39=0),1000000,INDEX('計算A'!EL$110:EL$114,$F39+1)+IF(AND($E39=1,RL39=0),1000,0)),1000000))</f>
        <v/>
      </c>
      <c r="AAT39">
        <f>IF($B39=0,1000000,IF(INDEX('計算A'!$D$60:$II$104,$B39,140)*IF39=1,IF(AND($E39=2,RM39=0),1000000,INDEX('計算A'!EM$110:EM$114,$F39+1)+IF(AND($E39=1,RM39=0),1000,0)),1000000))</f>
        <v/>
      </c>
      <c r="AAU39">
        <f>IF($B39=0,1000000,IF(INDEX('計算A'!$D$60:$II$104,$B39,141)*IG39=1,IF(AND($E39=2,RN39=0),1000000,INDEX('計算A'!EN$110:EN$114,$F39+1)+IF(AND($E39=1,RN39=0),1000,0)),1000000))</f>
        <v/>
      </c>
      <c r="AAV39">
        <f>IF($B39=0,1000000,IF(INDEX('計算A'!$D$60:$II$104,$B39,142)*IH39=1,IF(AND($E39=2,RO39=0),1000000,INDEX('計算A'!EO$110:EO$114,$F39+1)+IF(AND($E39=1,RO39=0),1000,0)),1000000))</f>
        <v/>
      </c>
      <c r="AAW39">
        <f>IF($B39=0,1000000,IF(INDEX('計算A'!$D$60:$II$104,$B39,143)*II39=1,IF(AND($E39=2,RP39=0),1000000,INDEX('計算A'!EP$110:EP$114,$F39+1)+IF(AND($E39=1,RP39=0),1000,0)),1000000))</f>
        <v/>
      </c>
      <c r="AAX39">
        <f>IF($B39=0,1000000,IF(INDEX('計算A'!$D$60:$II$104,$B39,144)*IJ39=1,IF(AND($E39=2,RQ39=0),1000000,INDEX('計算A'!EQ$110:EQ$114,$F39+1)+IF(AND($E39=1,RQ39=0),1000,0)),1000000))</f>
        <v/>
      </c>
      <c r="AAY39">
        <f>IF($B39=0,1000000,IF(INDEX('計算A'!$D$60:$II$104,$B39,145)*IK39=1,IF(AND($E39=2,RR39=0),1000000,INDEX('計算A'!ER$110:ER$114,$F39+1)+IF(AND($E39=1,RR39=0),1000,0)),1000000))</f>
        <v/>
      </c>
      <c r="AAZ39">
        <f>IF($B39=0,1000000,IF(INDEX('計算A'!$D$60:$II$104,$B39,146)*IL39=1,IF(AND($E39=2,RS39=0),1000000,INDEX('計算A'!ES$110:ES$114,$F39+1)+IF(AND($E39=1,RS39=0),1000,0)),1000000))</f>
        <v/>
      </c>
      <c r="ABA39">
        <f>IF($B39=0,1000000,IF(INDEX('計算A'!$D$60:$II$104,$B39,147)*IM39=1,IF(AND($E39=2,RT39=0),1000000,INDEX('計算A'!ET$110:ET$114,$F39+1)+IF(AND($E39=1,RT39=0),1000,0)),1000000))</f>
        <v/>
      </c>
      <c r="ABB39">
        <f>IF($B39=0,1000000,IF(INDEX('計算A'!$D$60:$II$104,$B39,148)*IN39=1,IF(AND($E39=2,RU39=0),1000000,INDEX('計算A'!EU$110:EU$114,$F39+1)+IF(AND($E39=1,RU39=0),1000,0)),1000000))</f>
        <v/>
      </c>
      <c r="ABC39">
        <f>IF($B39=0,1000000,IF(INDEX('計算A'!$D$60:$II$104,$B39,149)*IO39=1,IF(AND($E39=2,RV39=0),1000000,INDEX('計算A'!EV$110:EV$114,$F39+1)+IF(AND($E39=1,RV39=0),1000,0)),1000000))</f>
        <v/>
      </c>
      <c r="ABD39">
        <f>IF($B39=0,1000000,IF(INDEX('計算A'!$D$60:$II$104,$B39,150)*IP39=1,IF(AND($E39=2,RW39=0),1000000,INDEX('計算A'!EW$110:EW$114,$F39+1)+IF(AND($E39=1,RW39=0),1000,0)),1000000))</f>
        <v/>
      </c>
      <c r="ABE39">
        <f>IF($B39=0,1000000,IF(INDEX('計算A'!$D$60:$II$104,$B39,151)*IQ39=1,IF(AND($E39=2,RX39=0),1000000,INDEX('計算A'!EX$110:EX$114,$F39+1)+IF(AND($E39=1,RX39=0),1000,0)),1000000))</f>
        <v/>
      </c>
      <c r="ABF39">
        <f>IF($B39=0,1000000,IF(INDEX('計算A'!$D$60:$II$104,$B39,152)*IR39=1,IF(AND($E39=2,RY39=0),1000000,INDEX('計算A'!EY$110:EY$114,$F39+1)+IF(AND($E39=1,RY39=0),1000,0)),1000000))</f>
        <v/>
      </c>
      <c r="ABG39">
        <f>IF($B39=0,1000000,IF(INDEX('計算A'!$D$60:$II$104,$B39,153)*IS39=1,IF(AND($E39=2,RZ39=0),1000000,INDEX('計算A'!EZ$110:EZ$114,$F39+1)+IF(AND($E39=1,RZ39=0),1000,0)),1000000))</f>
        <v/>
      </c>
      <c r="ABH39">
        <f>IF($B39=0,1000000,IF(INDEX('計算A'!$D$60:$II$104,$B39,154)*IT39=1,IF(AND($E39=2,SA39=0),1000000,INDEX('計算A'!FA$110:FA$114,$F39+1)+IF(AND($E39=1,SA39=0),1000,0)),1000000))</f>
        <v/>
      </c>
      <c r="ABI39">
        <f>IF($B39=0,1000000,IF(INDEX('計算A'!$D$60:$II$104,$B39,155)*IU39=1,IF(AND($E39=2,SB39=0),1000000,INDEX('計算A'!FB$110:FB$114,$F39+1)+IF(AND($E39=1,SB39=0),1000,0)),1000000))</f>
        <v/>
      </c>
      <c r="ABJ39">
        <f>IF($B39=0,1000000,IF(INDEX('計算A'!$D$60:$II$104,$B39,156)*IV39=1,IF(AND($E39=2,SC39=0),1000000,INDEX('計算A'!FC$110:FC$114,$F39+1)+IF(AND($E39=1,SC39=0),1000,0)),1000000))</f>
        <v/>
      </c>
      <c r="ABK39">
        <f>IF($B39=0,1000000,IF(INDEX('計算A'!$D$60:$II$104,$B39,157)*IW39=1,IF(AND($E39=2,SD39=0),1000000,INDEX('計算A'!FD$110:FD$114,$F39+1)+IF(AND($E39=1,SD39=0),1000,0)),1000000))</f>
        <v/>
      </c>
      <c r="ABL39">
        <f>IF($B39=0,1000000,IF(INDEX('計算A'!$D$60:$II$104,$B39,158)*IX39=1,IF(AND($E39=2,SE39=0),1000000,INDEX('計算A'!FE$110:FE$114,$F39+1)+IF(AND($E39=1,SE39=0),1000,0)),1000000))</f>
        <v/>
      </c>
      <c r="ABM39">
        <f>IF($B39=0,1000000,IF(INDEX('計算A'!$D$60:$II$104,$B39,159)*IY39=1,IF(AND($E39=2,SF39=0),1000000,INDEX('計算A'!FF$110:FF$114,$F39+1)+IF(AND($E39=1,SF39=0),1000,0)),1000000))</f>
        <v/>
      </c>
      <c r="ABN39">
        <f>IF($B39=0,1000000,IF(INDEX('計算A'!$D$60:$II$104,$B39,160)*IZ39=1,IF(AND($E39=2,SG39=0),1000000,INDEX('計算A'!FG$110:FG$114,$F39+1)+IF(AND($E39=1,SG39=0),1000,0)),1000000))</f>
        <v/>
      </c>
      <c r="ABO39">
        <f>IF($B39=0,1000000,IF(INDEX('計算A'!$D$60:$II$104,$B39,161)*JA39=1,IF(AND($E39=2,SH39=0),1000000,INDEX('計算A'!FH$110:FH$114,$F39+1)+IF(AND($E39=1,SH39=0),1000,0)),1000000))</f>
        <v/>
      </c>
      <c r="ABP39">
        <f>IF($B39=0,1000000,IF(INDEX('計算A'!$D$60:$II$104,$B39,162)*JB39=1,IF(AND($E39=2,SI39=0),1000000,INDEX('計算A'!FI$110:FI$114,$F39+1)+IF(AND($E39=1,SI39=0),1000,0)),1000000))</f>
        <v/>
      </c>
      <c r="ABQ39">
        <f>IF($B39=0,1000000,IF(INDEX('計算A'!$D$60:$II$104,$B39,163)*JC39=1,IF(AND($E39=2,SJ39=0),1000000,INDEX('計算A'!FJ$110:FJ$114,$F39+1)+IF(AND($E39=1,SJ39=0),1000,0)),1000000))</f>
        <v/>
      </c>
      <c r="ABR39">
        <f>IF($B39=0,1000000,IF(INDEX('計算A'!$D$60:$II$104,$B39,164)*JD39=1,IF(AND($E39=2,SK39=0),1000000,INDEX('計算A'!FK$110:FK$114,$F39+1)+IF(AND($E39=1,SK39=0),1000,0)),1000000))</f>
        <v/>
      </c>
      <c r="ABS39">
        <f>IF($B39=0,1000000,IF(INDEX('計算A'!$D$60:$II$104,$B39,165)*JE39=1,IF(AND($E39=2,SL39=0),1000000,INDEX('計算A'!FL$110:FL$114,$F39+1)+IF(AND($E39=1,SL39=0),1000,0)),1000000))</f>
        <v/>
      </c>
      <c r="ABT39">
        <f>IF($B39=0,1000000,IF(INDEX('計算A'!$D$60:$II$104,$B39,166)*JF39=1,IF(AND($E39=2,SM39=0),1000000,INDEX('計算A'!FM$110:FM$114,$F39+1)+IF(AND($E39=1,SM39=0),1000,0)),1000000))</f>
        <v/>
      </c>
      <c r="ABU39">
        <f>IF($B39=0,1000000,IF(INDEX('計算A'!$D$60:$II$104,$B39,167)*JG39=1,IF(AND($E39=2,SN39=0),1000000,INDEX('計算A'!FN$110:FN$114,$F39+1)+IF(AND($E39=1,SN39=0),1000,0)),1000000))</f>
        <v/>
      </c>
      <c r="ABV39">
        <f>IF($B39=0,1000000,IF(INDEX('計算A'!$D$60:$II$104,$B39,168)*JH39=1,IF(AND($E39=2,SO39=0),1000000,INDEX('計算A'!FO$110:FO$114,$F39+1)+IF(AND($E39=1,SO39=0),1000,0)),1000000))</f>
        <v/>
      </c>
      <c r="ABW39">
        <f>IF($B39=0,1000000,IF(INDEX('計算A'!$D$60:$II$104,$B39,169)*JI39=1,IF(AND($E39=2,SP39=0),1000000,INDEX('計算A'!FP$110:FP$114,$F39+1)+IF(AND($E39=1,SP39=0),1000,0)),1000000))</f>
        <v/>
      </c>
      <c r="ABX39">
        <f>IF($B39=0,1000000,IF(INDEX('計算A'!$D$60:$II$104,$B39,170)*JJ39=1,IF(AND($E39=2,SQ39=0),1000000,INDEX('計算A'!FQ$110:FQ$114,$F39+1)+IF(AND($E39=1,SQ39=0),1000,0)),1000000))</f>
        <v/>
      </c>
      <c r="ABY39">
        <f>IF($B39=0,1000000,IF(INDEX('計算A'!$D$60:$II$104,$B39,171)*JK39=1,IF(AND($E39=2,SR39=0),1000000,INDEX('計算A'!FR$110:FR$114,$F39+1)+IF(AND($E39=1,SR39=0),1000,0)),1000000))</f>
        <v/>
      </c>
      <c r="ABZ39">
        <f>IF($B39=0,1000000,IF(INDEX('計算A'!$D$60:$II$104,$B39,172)*JL39=1,IF(AND($E39=2,SS39=0),1000000,INDEX('計算A'!FS$110:FS$114,$F39+1)+IF(AND($E39=1,SS39=0),1000,0)),1000000))</f>
        <v/>
      </c>
      <c r="ACA39">
        <f>IF($B39=0,1000000,IF(INDEX('計算A'!$D$60:$II$104,$B39,173)*JM39=1,IF(AND($E39=2,ST39=0),1000000,INDEX('計算A'!FT$110:FT$114,$F39+1)+IF(AND($E39=1,ST39=0),1000,0)),1000000))</f>
        <v/>
      </c>
      <c r="ACB39">
        <f>IF($B39=0,1000000,IF(INDEX('計算A'!$D$60:$II$104,$B39,174)*JN39=1,IF(AND($E39=2,SU39=0),1000000,INDEX('計算A'!FU$110:FU$114,$F39+1)+IF(AND($E39=1,SU39=0),1000,0)),1000000))</f>
        <v/>
      </c>
      <c r="ACC39">
        <f>IF($B39=0,1000000,IF(INDEX('計算A'!$D$60:$II$104,$B39,175)*JO39=1,IF(AND($E39=2,SV39=0),1000000,INDEX('計算A'!FV$110:FV$114,$F39+1)+IF(AND($E39=1,SV39=0),1000,0)),1000000))</f>
        <v/>
      </c>
      <c r="ACD39">
        <f>IF($B39=0,1000000,IF(INDEX('計算A'!$D$60:$II$104,$B39,176)*JP39=1,IF(AND($E39=2,SW39=0),1000000,INDEX('計算A'!FW$110:FW$114,$F39+1)+IF(AND($E39=1,SW39=0),1000,0)),1000000))</f>
        <v/>
      </c>
      <c r="ACE39">
        <f>IF($B39=0,1000000,IF(INDEX('計算A'!$D$60:$II$104,$B39,177)*JQ39=1,IF(AND($E39=2,SX39=0),1000000,INDEX('計算A'!FX$110:FX$114,$F39+1)+IF(AND($E39=1,SX39=0),1000,0)),1000000))</f>
        <v/>
      </c>
      <c r="ACF39">
        <f>IF($B39=0,1000000,IF(INDEX('計算A'!$D$60:$II$104,$B39,178)*JR39=1,IF(AND($E39=2,SY39=0),1000000,INDEX('計算A'!FY$110:FY$114,$F39+1)+IF(AND($E39=1,SY39=0),1000,0)),1000000))</f>
        <v/>
      </c>
      <c r="ACG39">
        <f>IF($B39=0,1000000,IF(INDEX('計算A'!$D$60:$II$104,$B39,179)*JS39=1,IF(AND($E39=2,SZ39=0),1000000,INDEX('計算A'!FZ$110:FZ$114,$F39+1)+IF(AND($E39=1,SZ39=0),1000,0)),1000000))</f>
        <v/>
      </c>
      <c r="ACH39">
        <f>IF($B39=0,1000000,IF(INDEX('計算A'!$D$60:$II$104,$B39,180)*JT39=1,IF(AND($E39=2,TA39=0),1000000,INDEX('計算A'!GA$110:GA$114,$F39+1)+IF(AND($E39=1,TA39=0),1000,0)),1000000))</f>
        <v/>
      </c>
      <c r="ACI39">
        <f>IF($B39=0,1000000,IF(INDEX('計算A'!$D$60:$II$104,$B39,181)*JU39=1,IF(AND($E39=2,TB39=0),1000000,INDEX('計算A'!GB$110:GB$114,$F39+1)+IF(AND($E39=1,TB39=0),1000,0)),1000000))</f>
        <v/>
      </c>
      <c r="ACJ39">
        <f>IF($B39=0,1000000,IF(INDEX('計算A'!$D$60:$II$104,$B39,182)*JV39=1,IF(AND($E39=2,TC39=0),1000000,INDEX('計算A'!GC$110:GC$114,$F39+1)+IF(AND($E39=1,TC39=0),1000,0)),1000000))</f>
        <v/>
      </c>
      <c r="ACK39">
        <f>IF($B39=0,1000000,IF(INDEX('計算A'!$D$60:$II$104,$B39,183)*JW39=1,IF(AND($E39=2,TD39=0),1000000,INDEX('計算A'!GD$110:GD$114,$F39+1)+IF(AND($E39=1,TD39=0),1000,0)),1000000))</f>
        <v/>
      </c>
      <c r="ACL39">
        <f>IF($B39=0,1000000,IF(INDEX('計算A'!$D$60:$II$104,$B39,184)*JX39=1,IF(AND($E39=2,TE39=0),1000000,INDEX('計算A'!GE$110:GE$114,$F39+1)+IF(AND($E39=1,TE39=0),1000,0)),1000000))</f>
        <v/>
      </c>
      <c r="ACM39">
        <f>IF($B39=0,1000000,IF(INDEX('計算A'!$D$60:$II$104,$B39,185)*JY39=1,IF(AND($E39=2,TF39=0),1000000,INDEX('計算A'!GF$110:GF$114,$F39+1)+IF(AND($E39=1,TF39=0),1000,0)),1000000))</f>
        <v/>
      </c>
      <c r="ACN39">
        <f>IF($B39=0,1000000,IF(INDEX('計算A'!$D$60:$II$104,$B39,186)*JZ39=1,IF(AND($E39=2,TG39=0),1000000,INDEX('計算A'!GG$110:GG$114,$F39+1)+IF(AND($E39=1,TG39=0),1000,0)),1000000))</f>
        <v/>
      </c>
      <c r="ACO39">
        <f>IF($B39=0,1000000,IF(INDEX('計算A'!$D$60:$II$104,$B39,187)*KA39=1,IF(AND($E39=2,TH39=0),1000000,INDEX('計算A'!GH$110:GH$114,$F39+1)+IF(AND($E39=1,TH39=0),1000,0)),1000000))</f>
        <v/>
      </c>
      <c r="ACP39">
        <f>IF($B39=0,1000000,IF(INDEX('計算A'!$D$60:$II$104,$B39,188)*KB39=1,IF(AND($E39=2,TI39=0),1000000,INDEX('計算A'!GI$110:GI$114,$F39+1)+IF(AND($E39=1,TI39=0),1000,0)),1000000))</f>
        <v/>
      </c>
      <c r="ACQ39">
        <f>IF($B39=0,1000000,IF(INDEX('計算A'!$D$60:$II$104,$B39,189)*KC39=1,IF(AND($E39=2,TJ39=0),1000000,INDEX('計算A'!GJ$110:GJ$114,$F39+1)+IF(AND($E39=1,TJ39=0),1000,0)),1000000))</f>
        <v/>
      </c>
      <c r="ACR39">
        <f>IF($B39=0,1000000,IF(INDEX('計算A'!$D$60:$II$104,$B39,190)*KD39=1,IF(AND($E39=2,TK39=0),1000000,INDEX('計算A'!GK$110:GK$114,$F39+1)+IF(AND($E39=1,TK39=0),1000,0)),1000000))</f>
        <v/>
      </c>
      <c r="ACS39">
        <f>IF($B39=0,1000000,IF(INDEX('計算A'!$D$60:$II$104,$B39,191)*KE39=1,IF(AND($E39=2,TL39=0),1000000,INDEX('計算A'!GL$110:GL$114,$F39+1)+IF(AND($E39=1,TL39=0),1000,0)),1000000))</f>
        <v/>
      </c>
      <c r="ACT39">
        <f>IF($B39=0,1000000,IF(INDEX('計算A'!$D$60:$II$104,$B39,192)*KF39=1,IF(AND($E39=2,TM39=0),1000000,INDEX('計算A'!GM$110:GM$114,$F39+1)+IF(AND($E39=1,TM39=0),1000,0)),1000000))</f>
        <v/>
      </c>
      <c r="ACU39">
        <f>IF($B39=0,1000000,IF(INDEX('計算A'!$D$60:$II$104,$B39,193)*KG39=1,IF(AND($E39=2,TN39=0),1000000,INDEX('計算A'!GN$110:GN$114,$F39+1)+IF(AND($E39=1,TN39=0),1000,0)),1000000))</f>
        <v/>
      </c>
      <c r="ACV39">
        <f>IF($B39=0,1000000,IF(INDEX('計算A'!$D$60:$II$104,$B39,194)*KH39=1,IF(AND($E39=2,TO39=0),1000000,INDEX('計算A'!GO$110:GO$114,$F39+1)+IF(AND($E39=1,TO39=0),1000,0)),1000000))</f>
        <v/>
      </c>
      <c r="ACW39">
        <f>IF($B39=0,1000000,IF(INDEX('計算A'!$D$60:$II$104,$B39,195)*KI39=1,IF(AND($E39=2,TP39=0),1000000,INDEX('計算A'!GP$110:GP$114,$F39+1)+IF(AND($E39=1,TP39=0),1000,0)),1000000))</f>
        <v/>
      </c>
      <c r="ACX39">
        <f>IF($B39=0,1000000,IF(INDEX('計算A'!$D$60:$II$104,$B39,196)*KJ39=1,IF(AND($E39=2,TQ39=0),1000000,INDEX('計算A'!GQ$110:GQ$114,$F39+1)+IF(AND($E39=1,TQ39=0),1000,0)),1000000))</f>
        <v/>
      </c>
      <c r="ACY39">
        <f>IF($B39=0,1000000,IF(INDEX('計算A'!$D$60:$II$104,$B39,197)*KK39=1,IF(AND($E39=2,TR39=0),1000000,INDEX('計算A'!GR$110:GR$114,$F39+1)+IF(AND($E39=1,TR39=0),1000,0)),1000000))</f>
        <v/>
      </c>
      <c r="ACZ39">
        <f>IF($B39=0,1000000,IF(INDEX('計算A'!$D$60:$II$104,$B39,198)*KL39=1,IF(AND($E39=2,TS39=0),1000000,INDEX('計算A'!GS$110:GS$114,$F39+1)+IF(AND($E39=1,TS39=0),1000,0)),1000000))</f>
        <v/>
      </c>
      <c r="ADA39">
        <f>IF($B39=0,1000000,IF(INDEX('計算A'!$D$60:$II$104,$B39,199)*KM39=1,IF(AND($E39=2,TT39=0),1000000,INDEX('計算A'!GT$110:GT$114,$F39+1)+IF(AND($E39=1,TT39=0),1000,0)),1000000))</f>
        <v/>
      </c>
      <c r="ADB39">
        <f>IF($B39=0,1000000,IF(INDEX('計算A'!$D$60:$II$104,$B39,200)*KN39=1,IF(AND($E39=2,TU39=0),1000000,INDEX('計算A'!GU$110:GU$114,$F39+1)+IF(AND($E39=1,TU39=0),1000,0)),1000000))</f>
        <v/>
      </c>
      <c r="ADC39">
        <f>IF($B39=0,1000000,IF(INDEX('計算A'!$D$60:$II$104,$B39,201)*KO39=1,IF(AND($E39=2,TV39=0),1000000,INDEX('計算A'!GV$110:GV$114,$F39+1)+IF(AND($E39=1,TV39=0),1000,0)),1000000))</f>
        <v/>
      </c>
      <c r="ADD39">
        <f>IF($B39=0,1000000,IF(INDEX('計算A'!$D$60:$II$104,$B39,202)*KP39=1,IF(AND($E39=2,TW39=0),1000000,INDEX('計算A'!GW$110:GW$114,$F39+1)+IF(AND($E39=1,TW39=0),1000,0)),1000000))</f>
        <v/>
      </c>
      <c r="ADE39">
        <f>IF($B39=0,1000000,IF(INDEX('計算A'!$D$60:$II$104,$B39,203)*KQ39=1,IF(AND($E39=2,TX39=0),1000000,INDEX('計算A'!GX$110:GX$114,$F39+1)+IF(AND($E39=1,TX39=0),1000,0)),1000000))</f>
        <v/>
      </c>
      <c r="ADF39">
        <f>IF($B39=0,1000000,IF(INDEX('計算A'!$D$60:$II$104,$B39,204)*KR39=1,IF(AND($E39=2,TY39=0),1000000,INDEX('計算A'!GY$110:GY$114,$F39+1)+IF(AND($E39=1,TY39=0),1000,0)),1000000))</f>
        <v/>
      </c>
      <c r="ADG39">
        <f>IF($B39=0,1000000,IF(INDEX('計算A'!$D$60:$II$104,$B39,205)*KS39=1,IF(AND($E39=2,TZ39=0),1000000,INDEX('計算A'!GZ$110:GZ$114,$F39+1)+IF(AND($E39=1,TZ39=0),1000,0)),1000000))</f>
        <v/>
      </c>
      <c r="ADH39">
        <f>IF($B39=0,1000000,IF(INDEX('計算A'!$D$60:$II$104,$B39,206)*KT39=1,IF(AND($E39=2,UA39=0),1000000,INDEX('計算A'!HA$110:HA$114,$F39+1)+IF(AND($E39=1,UA39=0),1000,0)),1000000))</f>
        <v/>
      </c>
      <c r="ADI39">
        <f>IF($B39=0,1000000,IF(INDEX('計算A'!$D$60:$II$104,$B39,207)*KU39=1,IF(AND($E39=2,UB39=0),1000000,INDEX('計算A'!HB$110:HB$114,$F39+1)+IF(AND($E39=1,UB39=0),1000,0)),1000000))</f>
        <v/>
      </c>
      <c r="ADJ39">
        <f>IF($B39=0,1000000,IF(INDEX('計算A'!$D$60:$II$104,$B39,208)*KV39=1,IF(AND($E39=2,UC39=0),1000000,INDEX('計算A'!HC$110:HC$114,$F39+1)+IF(AND($E39=1,UC39=0),1000,0)),1000000))</f>
        <v/>
      </c>
      <c r="ADK39">
        <f>IF($B39=0,1000000,IF(INDEX('計算A'!$D$60:$II$104,$B39,209)*KW39=1,IF(AND($E39=2,UD39=0),1000000,INDEX('計算A'!HD$110:HD$114,$F39+1)+IF(AND($E39=1,UD39=0),1000,0)),1000000))</f>
        <v/>
      </c>
      <c r="ADL39">
        <f>IF($B39=0,1000000,IF(INDEX('計算A'!$D$60:$II$104,$B39,210)*KX39=1,IF(AND($E39=2,UE39=0),1000000,INDEX('計算A'!HE$110:HE$114,$F39+1)+IF(AND($E39=1,UE39=0),1000,0)),1000000))</f>
        <v/>
      </c>
      <c r="ADM39">
        <f>IF($B39=0,1000000,IF(INDEX('計算A'!$D$60:$II$104,$B39,211)*KY39=1,IF(AND($E39=2,UF39=0),1000000,INDEX('計算A'!HF$110:HF$114,$F39+1)+IF(AND($E39=1,UF39=0),1000,0)),1000000))</f>
        <v/>
      </c>
      <c r="ADN39">
        <f>IF($B39=0,1000000,IF(INDEX('計算A'!$D$60:$II$104,$B39,212)*KZ39=1,IF(AND($E39=2,UG39=0),1000000,INDEX('計算A'!HG$110:HG$114,$F39+1)+IF(AND($E39=1,UG39=0),1000,0)),1000000))</f>
        <v/>
      </c>
      <c r="ADO39">
        <f>IF($B39=0,1000000,IF(INDEX('計算A'!$D$60:$II$104,$B39,213)*LA39=1,IF(AND($E39=2,UH39=0),1000000,INDEX('計算A'!HH$110:HH$114,$F39+1)+IF(AND($E39=1,UH39=0),1000,0)),1000000))</f>
        <v/>
      </c>
      <c r="ADP39">
        <f>IF($B39=0,1000000,IF(INDEX('計算A'!$D$60:$II$104,$B39,214)*LB39=1,IF(AND($E39=2,UI39=0),1000000,INDEX('計算A'!HI$110:HI$114,$F39+1)+IF(AND($E39=1,UI39=0),1000,0)),1000000))</f>
        <v/>
      </c>
      <c r="ADQ39">
        <f>IF($B39=0,1000000,IF(INDEX('計算A'!$D$60:$II$104,$B39,215)*LC39=1,IF(AND($E39=2,UJ39=0),1000000,INDEX('計算A'!HJ$110:HJ$114,$F39+1)+IF(AND($E39=1,UJ39=0),1000,0)),1000000))</f>
        <v/>
      </c>
      <c r="ADR39">
        <f>IF($B39=0,1000000,IF(INDEX('計算A'!$D$60:$II$104,$B39,216)*LD39=1,IF(AND($E39=2,UK39=0),1000000,INDEX('計算A'!HK$110:HK$114,$F39+1)+IF(AND($E39=1,UK39=0),1000,0)),1000000))</f>
        <v/>
      </c>
      <c r="ADS39">
        <f>IF($B39=0,1000000,IF(INDEX('計算A'!$D$60:$II$104,$B39,217)*LE39=1,IF(AND($E39=2,UL39=0),1000000,INDEX('計算A'!HL$110:HL$114,$F39+1)+IF(AND($E39=1,UL39=0),1000,0)),1000000))</f>
        <v/>
      </c>
      <c r="ADT39">
        <f>IF($B39=0,1000000,IF(INDEX('計算A'!$D$60:$II$104,$B39,218)*LF39=1,IF(AND($E39=2,UM39=0),1000000,INDEX('計算A'!HM$110:HM$114,$F39+1)+IF(AND($E39=1,UM39=0),1000,0)),1000000))</f>
        <v/>
      </c>
      <c r="ADU39">
        <f>IF($B39=0,1000000,IF(INDEX('計算A'!$D$60:$II$104,$B39,219)*LG39=1,IF(AND($E39=2,UN39=0),1000000,INDEX('計算A'!HN$110:HN$114,$F39+1)+IF(AND($E39=1,UN39=0),1000,0)),1000000))</f>
        <v/>
      </c>
      <c r="ADV39">
        <f>IF($B39=0,1000000,IF(INDEX('計算A'!$D$60:$II$104,$B39,220)*LH39=1,IF(AND($E39=2,UO39=0),1000000,INDEX('計算A'!HO$110:HO$114,$F39+1)+IF(AND($E39=1,UO39=0),1000,0)),1000000))</f>
        <v/>
      </c>
      <c r="ADW39">
        <f>IF($B39=0,1000000,IF(INDEX('計算A'!$D$60:$II$104,$B39,221)*LI39=1,IF(AND($E39=2,UP39=0),1000000,INDEX('計算A'!HP$110:HP$114,$F39+1)+IF(AND($E39=1,UP39=0),1000,0)),1000000))</f>
        <v/>
      </c>
      <c r="ADX39">
        <f>IF($B39=0,1000000,IF(INDEX('計算A'!$D$60:$II$104,$B39,222)*LJ39=1,IF(AND($E39=2,UQ39=0),1000000,INDEX('計算A'!HQ$110:HQ$114,$F39+1)+IF(AND($E39=1,UQ39=0),1000,0)),1000000))</f>
        <v/>
      </c>
      <c r="ADY39">
        <f>IF($B39=0,1000000,IF(INDEX('計算A'!$D$60:$II$104,$B39,223)*LK39=1,IF(AND($E39=2,UR39=0),1000000,INDEX('計算A'!HR$110:HR$114,$F39+1)+IF(AND($E39=1,UR39=0),1000,0)),1000000))</f>
        <v/>
      </c>
      <c r="ADZ39">
        <f>IF($B39=0,1000000,IF(INDEX('計算A'!$D$60:$II$104,$B39,224)*LL39=1,IF(AND($E39=2,US39=0),1000000,INDEX('計算A'!HS$110:HS$114,$F39+1)+IF(AND($E39=1,US39=0),1000,0)),1000000))</f>
        <v/>
      </c>
      <c r="AEA39">
        <f>IF($B39=0,1000000,IF(INDEX('計算A'!$D$60:$II$104,$B39,225)*LM39=1,IF(AND($E39=2,UT39=0),1000000,INDEX('計算A'!HT$110:HT$114,$F39+1)+IF(AND($E39=1,UT39=0),1000,0)),1000000))</f>
        <v/>
      </c>
      <c r="AEB39">
        <f>IF($B39=0,1000000,IF(INDEX('計算A'!$D$60:$II$104,$B39,226)*LN39=1,IF(AND($E39=2,UU39=0),1000000,INDEX('計算A'!HU$110:HU$114,$F39+1)+IF(AND($E39=1,UU39=0),1000,0)),1000000))</f>
        <v/>
      </c>
      <c r="AEC39">
        <f>IF($B39=0,1000000,IF(INDEX('計算A'!$D$60:$II$104,$B39,227)*LO39=1,IF(AND($E39=2,UV39=0),1000000,INDEX('計算A'!HV$110:HV$114,$F39+1)+IF(AND($E39=1,UV39=0),1000,0)),1000000))</f>
        <v/>
      </c>
      <c r="AED39">
        <f>IF($B39=0,1000000,IF(INDEX('計算A'!$D$60:$II$104,$B39,228)*LP39=1,IF(AND($E39=2,UW39=0),1000000,INDEX('計算A'!HW$110:HW$114,$F39+1)+IF(AND($E39=1,UW39=0),1000,0)),1000000))</f>
        <v/>
      </c>
      <c r="AEE39">
        <f>IF($B39=0,1000000,IF(INDEX('計算A'!$D$60:$II$104,$B39,229)*LQ39=1,IF(AND($E39=2,UX39=0),1000000,INDEX('計算A'!HX$110:HX$114,$F39+1)+IF(AND($E39=1,UX39=0),1000,0)),1000000))</f>
        <v/>
      </c>
      <c r="AEF39">
        <f>IF($B39=0,1000000,IF(INDEX('計算A'!$D$60:$II$104,$B39,230)*LR39=1,IF(AND($E39=2,UY39=0),1000000,INDEX('計算A'!HY$110:HY$114,$F39+1)+IF(AND($E39=1,UY39=0),1000,0)),1000000))</f>
        <v/>
      </c>
      <c r="AEG39">
        <f>IF($B39=0,1000000,IF(INDEX('計算A'!$D$60:$II$104,$B39,231)*LS39=1,IF(AND($E39=2,UZ39=0),1000000,INDEX('計算A'!HZ$110:HZ$114,$F39+1)+IF(AND($E39=1,UZ39=0),1000,0)),1000000))</f>
        <v/>
      </c>
      <c r="AEH39">
        <f>IF($B39=0,1000000,IF(INDEX('計算A'!$D$60:$II$104,$B39,232)*LT39=1,IF(AND($E39=2,VA39=0),1000000,INDEX('計算A'!IA$110:IA$114,$F39+1)+IF(AND($E39=1,VA39=0),1000,0)),1000000))</f>
        <v/>
      </c>
      <c r="AEI39">
        <f>IF($B39=0,1000000,IF(INDEX('計算A'!$D$60:$II$104,$B39,233)*LU39=1,IF(AND($E39=2,VB39=0),1000000,INDEX('計算A'!IB$110:IB$114,$F39+1)+IF(AND($E39=1,VB39=0),1000,0)),1000000))</f>
        <v/>
      </c>
      <c r="AEJ39">
        <f>IF($B39=0,1000000,IF(INDEX('計算A'!$D$60:$II$104,$B39,234)*LV39=1,IF(AND($E39=2,VC39=0),1000000,INDEX('計算A'!IC$110:IC$114,$F39+1)+IF(AND($E39=1,VC39=0),1000,0)),1000000))</f>
        <v/>
      </c>
      <c r="AEK39">
        <f>IF($B39=0,1000000,IF(INDEX('計算A'!$D$60:$II$104,$B39,235)*LW39=1,IF(AND($E39=2,VD39=0),1000000,INDEX('計算A'!ID$110:ID$114,$F39+1)+IF(AND($E39=1,VD39=0),1000,0)),1000000))</f>
        <v/>
      </c>
      <c r="AEL39">
        <f>IF($B39=0,1000000,IF(INDEX('計算A'!$D$60:$II$104,$B39,236)*LX39=1,IF(AND($E39=2,VE39=0),1000000,INDEX('計算A'!IE$110:IE$114,$F39+1)+IF(AND($E39=1,VE39=0),1000,0)),1000000))</f>
        <v/>
      </c>
      <c r="AEM39">
        <f>IF($B39=0,1000000,IF(INDEX('計算A'!$D$60:$II$104,$B39,237)*LY39=1,IF(AND($E39=2,VF39=0),1000000,INDEX('計算A'!IF$110:IF$114,$F39+1)+IF(AND($E39=1,VF39=0),1000,0)),1000000))</f>
        <v/>
      </c>
      <c r="AEN39">
        <f>IF($B39=0,1000000,IF(INDEX('計算A'!$D$60:$II$104,$B39,238)*LZ39=1,IF(AND($E39=2,VG39=0),1000000,INDEX('計算A'!IG$110:IG$114,$F39+1)+IF(AND($E39=1,VG39=0),1000,0)),1000000))</f>
        <v/>
      </c>
      <c r="AEO39">
        <f>IF($B39=0,1000000,IF(INDEX('計算A'!$D$60:$II$104,$B39,239)*MA39=1,IF(AND($E39=2,VH39=0),1000000,INDEX('計算A'!IH$110:IH$114,$F39+1)+IF(AND($E39=1,VH39=0),1000,0)),1000000))</f>
        <v/>
      </c>
      <c r="AEP39">
        <f>IF($B39=0,1000000,IF(INDEX('計算A'!$D$60:$II$104,$B39,240)*MB39=1,IF(AND($E39=2,VI39=0),1000000,INDEX('計算A'!II$110:II$114,$F39+1)+IF(AND($E39=1,VI39=0),1000,0)),1000000))</f>
        <v/>
      </c>
    </row>
    <row r="40">
      <c r="A40" t="n">
        <v>38</v>
      </c>
      <c r="B40">
        <f>IF(MIN(BC40:CU40)&gt;=1000000,0,MATCH(MIN(BC40:CU40),BC40:CU40,0))</f>
        <v/>
      </c>
      <c r="C40">
        <f>IF(MIN(VK40:AEP40)&gt;=1000000,0,MATCH(MIN(VK40:AEP40),VK40:AEP40,0))</f>
        <v/>
      </c>
      <c r="D40">
        <f>IF(C40&gt;0,INDEX('計算A'!$D$5:$II$5,C40),0)</f>
        <v/>
      </c>
      <c r="E40">
        <f>IF(B40=0,0,INDEX('計算A'!$IQ$10:$IQ$54,B40))</f>
        <v/>
      </c>
      <c r="F40">
        <f>IF(B40=0,0,INDEX('計算A'!$IP$10:$IP$54,B40))</f>
        <v/>
      </c>
      <c r="G40">
        <f>IF(AND(C40&gt;0,E40&gt;0),IF(AND(INDEX('計算A'!$D$106:$II$106,C40)=1,INDEX($MD40:$VI40,C40)=1),C40+1,0),0)</f>
        <v/>
      </c>
      <c r="I40">
        <f>MAX(I39,IF($B39=1,1,0))</f>
        <v/>
      </c>
      <c r="J40">
        <f>MAX(J39,IF($B39=2,1,0))</f>
        <v/>
      </c>
      <c r="K40">
        <f>MAX(K39,IF($B39=3,1,0))</f>
        <v/>
      </c>
      <c r="L40">
        <f>MAX(L39,IF($B39=4,1,0))</f>
        <v/>
      </c>
      <c r="M40">
        <f>MAX(M39,IF($B39=5,1,0))</f>
        <v/>
      </c>
      <c r="N40">
        <f>MAX(N39,IF($B39=6,1,0))</f>
        <v/>
      </c>
      <c r="O40">
        <f>MAX(O39,IF($B39=7,1,0))</f>
        <v/>
      </c>
      <c r="P40">
        <f>MAX(P39,IF($B39=8,1,0))</f>
        <v/>
      </c>
      <c r="Q40">
        <f>MAX(Q39,IF($B39=9,1,0))</f>
        <v/>
      </c>
      <c r="R40">
        <f>MAX(R39,IF($B39=10,1,0))</f>
        <v/>
      </c>
      <c r="S40">
        <f>MAX(S39,IF($B39=11,1,0))</f>
        <v/>
      </c>
      <c r="T40">
        <f>MAX(T39,IF($B39=12,1,0))</f>
        <v/>
      </c>
      <c r="U40">
        <f>MAX(U39,IF($B39=13,1,0))</f>
        <v/>
      </c>
      <c r="V40">
        <f>MAX(V39,IF($B39=14,1,0))</f>
        <v/>
      </c>
      <c r="W40">
        <f>MAX(W39,IF($B39=15,1,0))</f>
        <v/>
      </c>
      <c r="X40">
        <f>MAX(X39,IF($B39=16,1,0))</f>
        <v/>
      </c>
      <c r="Y40">
        <f>MAX(Y39,IF($B39=17,1,0))</f>
        <v/>
      </c>
      <c r="Z40">
        <f>MAX(Z39,IF($B39=18,1,0))</f>
        <v/>
      </c>
      <c r="AA40">
        <f>MAX(AA39,IF($B39=19,1,0))</f>
        <v/>
      </c>
      <c r="AB40">
        <f>MAX(AB39,IF($B39=20,1,0))</f>
        <v/>
      </c>
      <c r="AC40">
        <f>MAX(AC39,IF($B39=21,1,0))</f>
        <v/>
      </c>
      <c r="AD40">
        <f>MAX(AD39,IF($B39=22,1,0))</f>
        <v/>
      </c>
      <c r="AE40">
        <f>MAX(AE39,IF($B39=23,1,0))</f>
        <v/>
      </c>
      <c r="AF40">
        <f>MAX(AF39,IF($B39=24,1,0))</f>
        <v/>
      </c>
      <c r="AG40">
        <f>MAX(AG39,IF($B39=25,1,0))</f>
        <v/>
      </c>
      <c r="AH40">
        <f>MAX(AH39,IF($B39=26,1,0))</f>
        <v/>
      </c>
      <c r="AI40">
        <f>MAX(AI39,IF($B39=27,1,0))</f>
        <v/>
      </c>
      <c r="AJ40">
        <f>MAX(AJ39,IF($B39=28,1,0))</f>
        <v/>
      </c>
      <c r="AK40">
        <f>MAX(AK39,IF($B39=29,1,0))</f>
        <v/>
      </c>
      <c r="AL40">
        <f>MAX(AL39,IF($B39=30,1,0))</f>
        <v/>
      </c>
      <c r="AM40">
        <f>MAX(AM39,IF($B39=31,1,0))</f>
        <v/>
      </c>
      <c r="AN40">
        <f>MAX(AN39,IF($B39=32,1,0))</f>
        <v/>
      </c>
      <c r="AO40">
        <f>MAX(AO39,IF($B39=33,1,0))</f>
        <v/>
      </c>
      <c r="AP40">
        <f>MAX(AP39,IF($B39=34,1,0))</f>
        <v/>
      </c>
      <c r="AQ40">
        <f>MAX(AQ39,IF($B39=35,1,0))</f>
        <v/>
      </c>
      <c r="AR40">
        <f>MAX(AR39,IF($B39=36,1,0))</f>
        <v/>
      </c>
      <c r="AS40">
        <f>MAX(AS39,IF($B39=37,1,0))</f>
        <v/>
      </c>
      <c r="AT40">
        <f>MAX(AT39,IF($B39=38,1,0))</f>
        <v/>
      </c>
      <c r="AU40">
        <f>MAX(AU39,IF($B39=39,1,0))</f>
        <v/>
      </c>
      <c r="AV40">
        <f>MAX(AV39,IF($B39=40,1,0))</f>
        <v/>
      </c>
      <c r="AW40">
        <f>MAX(AW39,IF($B39=41,1,0))</f>
        <v/>
      </c>
      <c r="AX40">
        <f>MAX(AX39,IF($B39=42,1,0))</f>
        <v/>
      </c>
      <c r="AY40">
        <f>MAX(AY39,IF($B39=43,1,0))</f>
        <v/>
      </c>
      <c r="AZ40">
        <f>MAX(AZ39,IF($B39=44,1,0))</f>
        <v/>
      </c>
      <c r="BA40">
        <f>MAX(BA39,IF($B39=45,1,0))</f>
        <v/>
      </c>
      <c r="BC40">
        <f>IF(I40=1,1000000,IF('計算A'!$IQ$10=2,SUMPRODUCT('計算A'!$D$60:$II$60,$CW40:$MB40,$MD40:$VI40),SUMPRODUCT('計算A'!$D$60:$II$60,$CW40:$MB40))*1000+1)</f>
        <v/>
      </c>
      <c r="BD40">
        <f>IF(J40=1,1000000,IF('計算A'!$IQ$11=2,SUMPRODUCT('計算A'!$D$61:$II$61,$CW40:$MB40,$MD40:$VI40),SUMPRODUCT('計算A'!$D$61:$II$61,$CW40:$MB40))*1000+2)</f>
        <v/>
      </c>
      <c r="BE40">
        <f>IF(K40=1,1000000,IF('計算A'!$IQ$12=2,SUMPRODUCT('計算A'!$D$62:$II$62,$CW40:$MB40,$MD40:$VI40),SUMPRODUCT('計算A'!$D$62:$II$62,$CW40:$MB40))*1000+3)</f>
        <v/>
      </c>
      <c r="BF40">
        <f>IF(L40=1,1000000,IF('計算A'!$IQ$13=2,SUMPRODUCT('計算A'!$D$63:$II$63,$CW40:$MB40,$MD40:$VI40),SUMPRODUCT('計算A'!$D$63:$II$63,$CW40:$MB40))*1000+4)</f>
        <v/>
      </c>
      <c r="BG40">
        <f>IF(M40=1,1000000,IF('計算A'!$IQ$14=2,SUMPRODUCT('計算A'!$D$64:$II$64,$CW40:$MB40,$MD40:$VI40),SUMPRODUCT('計算A'!$D$64:$II$64,$CW40:$MB40))*1000+5)</f>
        <v/>
      </c>
      <c r="BH40">
        <f>IF(N40=1,1000000,IF('計算A'!$IQ$15=2,SUMPRODUCT('計算A'!$D$65:$II$65,$CW40:$MB40,$MD40:$VI40),SUMPRODUCT('計算A'!$D$65:$II$65,$CW40:$MB40))*1000+6)</f>
        <v/>
      </c>
      <c r="BI40">
        <f>IF(O40=1,1000000,IF('計算A'!$IQ$16=2,SUMPRODUCT('計算A'!$D$66:$II$66,$CW40:$MB40,$MD40:$VI40),SUMPRODUCT('計算A'!$D$66:$II$66,$CW40:$MB40))*1000+7)</f>
        <v/>
      </c>
      <c r="BJ40">
        <f>IF(P40=1,1000000,IF('計算A'!$IQ$17=2,SUMPRODUCT('計算A'!$D$67:$II$67,$CW40:$MB40,$MD40:$VI40),SUMPRODUCT('計算A'!$D$67:$II$67,$CW40:$MB40))*1000+8)</f>
        <v/>
      </c>
      <c r="BK40">
        <f>IF(Q40=1,1000000,IF('計算A'!$IQ$18=2,SUMPRODUCT('計算A'!$D$68:$II$68,$CW40:$MB40,$MD40:$VI40),SUMPRODUCT('計算A'!$D$68:$II$68,$CW40:$MB40))*1000+9)</f>
        <v/>
      </c>
      <c r="BL40">
        <f>IF(R40=1,1000000,IF('計算A'!$IQ$19=2,SUMPRODUCT('計算A'!$D$69:$II$69,$CW40:$MB40,$MD40:$VI40),SUMPRODUCT('計算A'!$D$69:$II$69,$CW40:$MB40))*1000+10)</f>
        <v/>
      </c>
      <c r="BM40">
        <f>IF(S40=1,1000000,IF('計算A'!$IQ$20=2,SUMPRODUCT('計算A'!$D$70:$II$70,$CW40:$MB40,$MD40:$VI40),SUMPRODUCT('計算A'!$D$70:$II$70,$CW40:$MB40))*1000+11)</f>
        <v/>
      </c>
      <c r="BN40">
        <f>IF(T40=1,1000000,IF('計算A'!$IQ$21=2,SUMPRODUCT('計算A'!$D$71:$II$71,$CW40:$MB40,$MD40:$VI40),SUMPRODUCT('計算A'!$D$71:$II$71,$CW40:$MB40))*1000+12)</f>
        <v/>
      </c>
      <c r="BO40">
        <f>IF(U40=1,1000000,IF('計算A'!$IQ$22=2,SUMPRODUCT('計算A'!$D$72:$II$72,$CW40:$MB40,$MD40:$VI40),SUMPRODUCT('計算A'!$D$72:$II$72,$CW40:$MB40))*1000+13)</f>
        <v/>
      </c>
      <c r="BP40">
        <f>IF(V40=1,1000000,IF('計算A'!$IQ$23=2,SUMPRODUCT('計算A'!$D$73:$II$73,$CW40:$MB40,$MD40:$VI40),SUMPRODUCT('計算A'!$D$73:$II$73,$CW40:$MB40))*1000+14)</f>
        <v/>
      </c>
      <c r="BQ40">
        <f>IF(W40=1,1000000,IF('計算A'!$IQ$24=2,SUMPRODUCT('計算A'!$D$74:$II$74,$CW40:$MB40,$MD40:$VI40),SUMPRODUCT('計算A'!$D$74:$II$74,$CW40:$MB40))*1000+15)</f>
        <v/>
      </c>
      <c r="BR40">
        <f>IF(X40=1,1000000,IF('計算A'!$IQ$25=2,SUMPRODUCT('計算A'!$D$75:$II$75,$CW40:$MB40,$MD40:$VI40),SUMPRODUCT('計算A'!$D$75:$II$75,$CW40:$MB40))*1000+16)</f>
        <v/>
      </c>
      <c r="BS40">
        <f>IF(Y40=1,1000000,IF('計算A'!$IQ$26=2,SUMPRODUCT('計算A'!$D$76:$II$76,$CW40:$MB40,$MD40:$VI40),SUMPRODUCT('計算A'!$D$76:$II$76,$CW40:$MB40))*1000+17)</f>
        <v/>
      </c>
      <c r="BT40">
        <f>IF(Z40=1,1000000,IF('計算A'!$IQ$27=2,SUMPRODUCT('計算A'!$D$77:$II$77,$CW40:$MB40,$MD40:$VI40),SUMPRODUCT('計算A'!$D$77:$II$77,$CW40:$MB40))*1000+18)</f>
        <v/>
      </c>
      <c r="BU40">
        <f>IF(AA40=1,1000000,IF('計算A'!$IQ$28=2,SUMPRODUCT('計算A'!$D$78:$II$78,$CW40:$MB40,$MD40:$VI40),SUMPRODUCT('計算A'!$D$78:$II$78,$CW40:$MB40))*1000+19)</f>
        <v/>
      </c>
      <c r="BV40">
        <f>IF(AB40=1,1000000,IF('計算A'!$IQ$29=2,SUMPRODUCT('計算A'!$D$79:$II$79,$CW40:$MB40,$MD40:$VI40),SUMPRODUCT('計算A'!$D$79:$II$79,$CW40:$MB40))*1000+20)</f>
        <v/>
      </c>
      <c r="BW40">
        <f>IF(AC40=1,1000000,IF('計算A'!$IQ$30=2,SUMPRODUCT('計算A'!$D$80:$II$80,$CW40:$MB40,$MD40:$VI40),SUMPRODUCT('計算A'!$D$80:$II$80,$CW40:$MB40))*1000+21)</f>
        <v/>
      </c>
      <c r="BX40">
        <f>IF(AD40=1,1000000,IF('計算A'!$IQ$31=2,SUMPRODUCT('計算A'!$D$81:$II$81,$CW40:$MB40,$MD40:$VI40),SUMPRODUCT('計算A'!$D$81:$II$81,$CW40:$MB40))*1000+22)</f>
        <v/>
      </c>
      <c r="BY40">
        <f>IF(AE40=1,1000000,IF('計算A'!$IQ$32=2,SUMPRODUCT('計算A'!$D$82:$II$82,$CW40:$MB40,$MD40:$VI40),SUMPRODUCT('計算A'!$D$82:$II$82,$CW40:$MB40))*1000+23)</f>
        <v/>
      </c>
      <c r="BZ40">
        <f>IF(AF40=1,1000000,IF('計算A'!$IQ$33=2,SUMPRODUCT('計算A'!$D$83:$II$83,$CW40:$MB40,$MD40:$VI40),SUMPRODUCT('計算A'!$D$83:$II$83,$CW40:$MB40))*1000+24)</f>
        <v/>
      </c>
      <c r="CA40">
        <f>IF(AG40=1,1000000,IF('計算A'!$IQ$34=2,SUMPRODUCT('計算A'!$D$84:$II$84,$CW40:$MB40,$MD40:$VI40),SUMPRODUCT('計算A'!$D$84:$II$84,$CW40:$MB40))*1000+25)</f>
        <v/>
      </c>
      <c r="CB40">
        <f>IF(AH40=1,1000000,IF('計算A'!$IQ$35=2,SUMPRODUCT('計算A'!$D$85:$II$85,$CW40:$MB40,$MD40:$VI40),SUMPRODUCT('計算A'!$D$85:$II$85,$CW40:$MB40))*1000+26)</f>
        <v/>
      </c>
      <c r="CC40">
        <f>IF(AI40=1,1000000,IF('計算A'!$IQ$36=2,SUMPRODUCT('計算A'!$D$86:$II$86,$CW40:$MB40,$MD40:$VI40),SUMPRODUCT('計算A'!$D$86:$II$86,$CW40:$MB40))*1000+27)</f>
        <v/>
      </c>
      <c r="CD40">
        <f>IF(AJ40=1,1000000,IF('計算A'!$IQ$37=2,SUMPRODUCT('計算A'!$D$87:$II$87,$CW40:$MB40,$MD40:$VI40),SUMPRODUCT('計算A'!$D$87:$II$87,$CW40:$MB40))*1000+28)</f>
        <v/>
      </c>
      <c r="CE40">
        <f>IF(AK40=1,1000000,IF('計算A'!$IQ$38=2,SUMPRODUCT('計算A'!$D$88:$II$88,$CW40:$MB40,$MD40:$VI40),SUMPRODUCT('計算A'!$D$88:$II$88,$CW40:$MB40))*1000+29)</f>
        <v/>
      </c>
      <c r="CF40">
        <f>IF(AL40=1,1000000,IF('計算A'!$IQ$39=2,SUMPRODUCT('計算A'!$D$89:$II$89,$CW40:$MB40,$MD40:$VI40),SUMPRODUCT('計算A'!$D$89:$II$89,$CW40:$MB40))*1000+30)</f>
        <v/>
      </c>
      <c r="CG40">
        <f>IF(AM40=1,1000000,IF('計算A'!$IQ$40=2,SUMPRODUCT('計算A'!$D$90:$II$90,$CW40:$MB40,$MD40:$VI40),SUMPRODUCT('計算A'!$D$90:$II$90,$CW40:$MB40))*1000+31)</f>
        <v/>
      </c>
      <c r="CH40">
        <f>IF(AN40=1,1000000,IF('計算A'!$IQ$41=2,SUMPRODUCT('計算A'!$D$91:$II$91,$CW40:$MB40,$MD40:$VI40),SUMPRODUCT('計算A'!$D$91:$II$91,$CW40:$MB40))*1000+32)</f>
        <v/>
      </c>
      <c r="CI40">
        <f>IF(AO40=1,1000000,IF('計算A'!$IQ$42=2,SUMPRODUCT('計算A'!$D$92:$II$92,$CW40:$MB40,$MD40:$VI40),SUMPRODUCT('計算A'!$D$92:$II$92,$CW40:$MB40))*1000+33)</f>
        <v/>
      </c>
      <c r="CJ40">
        <f>IF(AP40=1,1000000,IF('計算A'!$IQ$43=2,SUMPRODUCT('計算A'!$D$93:$II$93,$CW40:$MB40,$MD40:$VI40),SUMPRODUCT('計算A'!$D$93:$II$93,$CW40:$MB40))*1000+34)</f>
        <v/>
      </c>
      <c r="CK40">
        <f>IF(AQ40=1,1000000,IF('計算A'!$IQ$44=2,SUMPRODUCT('計算A'!$D$94:$II$94,$CW40:$MB40,$MD40:$VI40),SUMPRODUCT('計算A'!$D$94:$II$94,$CW40:$MB40))*1000+35)</f>
        <v/>
      </c>
      <c r="CL40">
        <f>IF(AR40=1,1000000,IF('計算A'!$IQ$45=2,SUMPRODUCT('計算A'!$D$95:$II$95,$CW40:$MB40,$MD40:$VI40),SUMPRODUCT('計算A'!$D$95:$II$95,$CW40:$MB40))*1000+36)</f>
        <v/>
      </c>
      <c r="CM40">
        <f>IF(AS40=1,1000000,IF('計算A'!$IQ$46=2,SUMPRODUCT('計算A'!$D$96:$II$96,$CW40:$MB40,$MD40:$VI40),SUMPRODUCT('計算A'!$D$96:$II$96,$CW40:$MB40))*1000+37)</f>
        <v/>
      </c>
      <c r="CN40">
        <f>IF(AT40=1,1000000,IF('計算A'!$IQ$47=2,SUMPRODUCT('計算A'!$D$97:$II$97,$CW40:$MB40,$MD40:$VI40),SUMPRODUCT('計算A'!$D$97:$II$97,$CW40:$MB40))*1000+38)</f>
        <v/>
      </c>
      <c r="CO40">
        <f>IF(AU40=1,1000000,IF('計算A'!$IQ$48=2,SUMPRODUCT('計算A'!$D$98:$II$98,$CW40:$MB40,$MD40:$VI40),SUMPRODUCT('計算A'!$D$98:$II$98,$CW40:$MB40))*1000+39)</f>
        <v/>
      </c>
      <c r="CP40">
        <f>IF(AV40=1,1000000,IF('計算A'!$IQ$49=2,SUMPRODUCT('計算A'!$D$99:$II$99,$CW40:$MB40,$MD40:$VI40),SUMPRODUCT('計算A'!$D$99:$II$99,$CW40:$MB40))*1000+40)</f>
        <v/>
      </c>
      <c r="CQ40">
        <f>IF(AW40=1,1000000,IF('計算A'!$IQ$50=2,SUMPRODUCT('計算A'!$D$100:$II$100,$CW40:$MB40,$MD40:$VI40),SUMPRODUCT('計算A'!$D$100:$II$100,$CW40:$MB40))*1000+41)</f>
        <v/>
      </c>
      <c r="CR40">
        <f>IF(AX40=1,1000000,IF('計算A'!$IQ$51=2,SUMPRODUCT('計算A'!$D$101:$II$101,$CW40:$MB40,$MD40:$VI40),SUMPRODUCT('計算A'!$D$101:$II$101,$CW40:$MB40))*1000+42)</f>
        <v/>
      </c>
      <c r="CS40">
        <f>IF(AY40=1,1000000,IF('計算A'!$IQ$52=2,SUMPRODUCT('計算A'!$D$102:$II$102,$CW40:$MB40,$MD40:$VI40),SUMPRODUCT('計算A'!$D$102:$II$102,$CW40:$MB40))*1000+43)</f>
        <v/>
      </c>
      <c r="CT40">
        <f>IF(AZ40=1,1000000,IF('計算A'!$IQ$53=2,SUMPRODUCT('計算A'!$D$103:$II$103,$CW40:$MB40,$MD40:$VI40),SUMPRODUCT('計算A'!$D$103:$II$103,$CW40:$MB40))*1000+44)</f>
        <v/>
      </c>
      <c r="CU40">
        <f>IF(BA40=1,1000000,IF('計算A'!$IQ$54=2,SUMPRODUCT('計算A'!$D$104:$II$104,$CW40:$MB40,$MD40:$VI40),SUMPRODUCT('計算A'!$D$104:$II$104,$CW40:$MB40))*1000+45)</f>
        <v/>
      </c>
      <c r="CW40">
        <f>CW39*IF(OR($C39=1,$G39=1),0,1)</f>
        <v/>
      </c>
      <c r="CX40">
        <f>CX39*IF(OR($C39=2,$G39=2),0,1)</f>
        <v/>
      </c>
      <c r="CY40">
        <f>CY39*IF(OR($C39=3,$G39=3),0,1)</f>
        <v/>
      </c>
      <c r="CZ40">
        <f>CZ39*IF(OR($C39=4,$G39=4),0,1)</f>
        <v/>
      </c>
      <c r="DA40">
        <f>DA39*IF(OR($C39=5,$G39=5),0,1)</f>
        <v/>
      </c>
      <c r="DB40">
        <f>DB39*IF(OR($C39=6,$G39=6),0,1)</f>
        <v/>
      </c>
      <c r="DC40">
        <f>DC39*IF(OR($C39=7,$G39=7),0,1)</f>
        <v/>
      </c>
      <c r="DD40">
        <f>DD39*IF(OR($C39=8,$G39=8),0,1)</f>
        <v/>
      </c>
      <c r="DE40">
        <f>DE39*IF(OR($C39=9,$G39=9),0,1)</f>
        <v/>
      </c>
      <c r="DF40">
        <f>DF39*IF(OR($C39=10,$G39=10),0,1)</f>
        <v/>
      </c>
      <c r="DG40">
        <f>DG39*IF(OR($C39=11,$G39=11),0,1)</f>
        <v/>
      </c>
      <c r="DH40">
        <f>DH39*IF(OR($C39=12,$G39=12),0,1)</f>
        <v/>
      </c>
      <c r="DI40">
        <f>DI39*IF(OR($C39=13,$G39=13),0,1)</f>
        <v/>
      </c>
      <c r="DJ40">
        <f>DJ39*IF(OR($C39=14,$G39=14),0,1)</f>
        <v/>
      </c>
      <c r="DK40">
        <f>DK39*IF(OR($C39=15,$G39=15),0,1)</f>
        <v/>
      </c>
      <c r="DL40">
        <f>DL39*IF(OR($C39=16,$G39=16),0,1)</f>
        <v/>
      </c>
      <c r="DM40">
        <f>DM39*IF(OR($C39=17,$G39=17),0,1)</f>
        <v/>
      </c>
      <c r="DN40">
        <f>DN39*IF(OR($C39=18,$G39=18),0,1)</f>
        <v/>
      </c>
      <c r="DO40">
        <f>DO39*IF(OR($C39=19,$G39=19),0,1)</f>
        <v/>
      </c>
      <c r="DP40">
        <f>DP39*IF(OR($C39=20,$G39=20),0,1)</f>
        <v/>
      </c>
      <c r="DQ40">
        <f>DQ39*IF(OR($C39=21,$G39=21),0,1)</f>
        <v/>
      </c>
      <c r="DR40">
        <f>DR39*IF(OR($C39=22,$G39=22),0,1)</f>
        <v/>
      </c>
      <c r="DS40">
        <f>DS39*IF(OR($C39=23,$G39=23),0,1)</f>
        <v/>
      </c>
      <c r="DT40">
        <f>DT39*IF(OR($C39=24,$G39=24),0,1)</f>
        <v/>
      </c>
      <c r="DU40">
        <f>DU39*IF(OR($C39=25,$G39=25),0,1)</f>
        <v/>
      </c>
      <c r="DV40">
        <f>DV39*IF(OR($C39=26,$G39=26),0,1)</f>
        <v/>
      </c>
      <c r="DW40">
        <f>DW39*IF(OR($C39=27,$G39=27),0,1)</f>
        <v/>
      </c>
      <c r="DX40">
        <f>DX39*IF(OR($C39=28,$G39=28),0,1)</f>
        <v/>
      </c>
      <c r="DY40">
        <f>DY39*IF(OR($C39=29,$G39=29),0,1)</f>
        <v/>
      </c>
      <c r="DZ40">
        <f>DZ39*IF(OR($C39=30,$G39=30),0,1)</f>
        <v/>
      </c>
      <c r="EA40">
        <f>EA39*IF(OR($C39=31,$G39=31),0,1)</f>
        <v/>
      </c>
      <c r="EB40">
        <f>EB39*IF(OR($C39=32,$G39=32),0,1)</f>
        <v/>
      </c>
      <c r="EC40">
        <f>EC39*IF(OR($C39=33,$G39=33),0,1)</f>
        <v/>
      </c>
      <c r="ED40">
        <f>ED39*IF(OR($C39=34,$G39=34),0,1)</f>
        <v/>
      </c>
      <c r="EE40">
        <f>EE39*IF(OR($C39=35,$G39=35),0,1)</f>
        <v/>
      </c>
      <c r="EF40">
        <f>EF39*IF(OR($C39=36,$G39=36),0,1)</f>
        <v/>
      </c>
      <c r="EG40">
        <f>EG39*IF(OR($C39=37,$G39=37),0,1)</f>
        <v/>
      </c>
      <c r="EH40">
        <f>EH39*IF(OR($C39=38,$G39=38),0,1)</f>
        <v/>
      </c>
      <c r="EI40">
        <f>EI39*IF(OR($C39=39,$G39=39),0,1)</f>
        <v/>
      </c>
      <c r="EJ40">
        <f>EJ39*IF(OR($C39=40,$G39=40),0,1)</f>
        <v/>
      </c>
      <c r="EK40">
        <f>EK39*IF(OR($C39=41,$G39=41),0,1)</f>
        <v/>
      </c>
      <c r="EL40">
        <f>EL39*IF(OR($C39=42,$G39=42),0,1)</f>
        <v/>
      </c>
      <c r="EM40">
        <f>EM39*IF(OR($C39=43,$G39=43),0,1)</f>
        <v/>
      </c>
      <c r="EN40">
        <f>EN39*IF(OR($C39=44,$G39=44),0,1)</f>
        <v/>
      </c>
      <c r="EO40">
        <f>EO39*IF(OR($C39=45,$G39=45),0,1)</f>
        <v/>
      </c>
      <c r="EP40">
        <f>EP39*IF(OR($C39=46,$G39=46),0,1)</f>
        <v/>
      </c>
      <c r="EQ40">
        <f>EQ39*IF(OR($C39=47,$G39=47),0,1)</f>
        <v/>
      </c>
      <c r="ER40">
        <f>ER39*IF(OR($C39=48,$G39=48),0,1)</f>
        <v/>
      </c>
      <c r="ES40">
        <f>ES39*IF(OR($C39=49,$G39=49),0,1)</f>
        <v/>
      </c>
      <c r="ET40">
        <f>ET39*IF(OR($C39=50,$G39=50),0,1)</f>
        <v/>
      </c>
      <c r="EU40">
        <f>EU39*IF(OR($C39=51,$G39=51),0,1)</f>
        <v/>
      </c>
      <c r="EV40">
        <f>EV39*IF(OR($C39=52,$G39=52),0,1)</f>
        <v/>
      </c>
      <c r="EW40">
        <f>EW39*IF(OR($C39=53,$G39=53),0,1)</f>
        <v/>
      </c>
      <c r="EX40">
        <f>EX39*IF(OR($C39=54,$G39=54),0,1)</f>
        <v/>
      </c>
      <c r="EY40">
        <f>EY39*IF(OR($C39=55,$G39=55),0,1)</f>
        <v/>
      </c>
      <c r="EZ40">
        <f>EZ39*IF(OR($C39=56,$G39=56),0,1)</f>
        <v/>
      </c>
      <c r="FA40">
        <f>FA39*IF(OR($C39=57,$G39=57),0,1)</f>
        <v/>
      </c>
      <c r="FB40">
        <f>FB39*IF(OR($C39=58,$G39=58),0,1)</f>
        <v/>
      </c>
      <c r="FC40">
        <f>FC39*IF(OR($C39=59,$G39=59),0,1)</f>
        <v/>
      </c>
      <c r="FD40">
        <f>FD39*IF(OR($C39=60,$G39=60),0,1)</f>
        <v/>
      </c>
      <c r="FE40">
        <f>FE39*IF(OR($C39=61,$G39=61),0,1)</f>
        <v/>
      </c>
      <c r="FF40">
        <f>FF39*IF(OR($C39=62,$G39=62),0,1)</f>
        <v/>
      </c>
      <c r="FG40">
        <f>FG39*IF(OR($C39=63,$G39=63),0,1)</f>
        <v/>
      </c>
      <c r="FH40">
        <f>FH39*IF(OR($C39=64,$G39=64),0,1)</f>
        <v/>
      </c>
      <c r="FI40">
        <f>FI39*IF(OR($C39=65,$G39=65),0,1)</f>
        <v/>
      </c>
      <c r="FJ40">
        <f>FJ39*IF(OR($C39=66,$G39=66),0,1)</f>
        <v/>
      </c>
      <c r="FK40">
        <f>FK39*IF(OR($C39=67,$G39=67),0,1)</f>
        <v/>
      </c>
      <c r="FL40">
        <f>FL39*IF(OR($C39=68,$G39=68),0,1)</f>
        <v/>
      </c>
      <c r="FM40">
        <f>FM39*IF(OR($C39=69,$G39=69),0,1)</f>
        <v/>
      </c>
      <c r="FN40">
        <f>FN39*IF(OR($C39=70,$G39=70),0,1)</f>
        <v/>
      </c>
      <c r="FO40">
        <f>FO39*IF(OR($C39=71,$G39=71),0,1)</f>
        <v/>
      </c>
      <c r="FP40">
        <f>FP39*IF(OR($C39=72,$G39=72),0,1)</f>
        <v/>
      </c>
      <c r="FQ40">
        <f>FQ39*IF(OR($C39=73,$G39=73),0,1)</f>
        <v/>
      </c>
      <c r="FR40">
        <f>FR39*IF(OR($C39=74,$G39=74),0,1)</f>
        <v/>
      </c>
      <c r="FS40">
        <f>FS39*IF(OR($C39=75,$G39=75),0,1)</f>
        <v/>
      </c>
      <c r="FT40">
        <f>FT39*IF(OR($C39=76,$G39=76),0,1)</f>
        <v/>
      </c>
      <c r="FU40">
        <f>FU39*IF(OR($C39=77,$G39=77),0,1)</f>
        <v/>
      </c>
      <c r="FV40">
        <f>FV39*IF(OR($C39=78,$G39=78),0,1)</f>
        <v/>
      </c>
      <c r="FW40">
        <f>FW39*IF(OR($C39=79,$G39=79),0,1)</f>
        <v/>
      </c>
      <c r="FX40">
        <f>FX39*IF(OR($C39=80,$G39=80),0,1)</f>
        <v/>
      </c>
      <c r="FY40">
        <f>FY39*IF(OR($C39=81,$G39=81),0,1)</f>
        <v/>
      </c>
      <c r="FZ40">
        <f>FZ39*IF(OR($C39=82,$G39=82),0,1)</f>
        <v/>
      </c>
      <c r="GA40">
        <f>GA39*IF(OR($C39=83,$G39=83),0,1)</f>
        <v/>
      </c>
      <c r="GB40">
        <f>GB39*IF(OR($C39=84,$G39=84),0,1)</f>
        <v/>
      </c>
      <c r="GC40">
        <f>GC39*IF(OR($C39=85,$G39=85),0,1)</f>
        <v/>
      </c>
      <c r="GD40">
        <f>GD39*IF(OR($C39=86,$G39=86),0,1)</f>
        <v/>
      </c>
      <c r="GE40">
        <f>GE39*IF(OR($C39=87,$G39=87),0,1)</f>
        <v/>
      </c>
      <c r="GF40">
        <f>GF39*IF(OR($C39=88,$G39=88),0,1)</f>
        <v/>
      </c>
      <c r="GG40">
        <f>GG39*IF(OR($C39=89,$G39=89),0,1)</f>
        <v/>
      </c>
      <c r="GH40">
        <f>GH39*IF(OR($C39=90,$G39=90),0,1)</f>
        <v/>
      </c>
      <c r="GI40">
        <f>GI39*IF(OR($C39=91,$G39=91),0,1)</f>
        <v/>
      </c>
      <c r="GJ40">
        <f>GJ39*IF(OR($C39=92,$G39=92),0,1)</f>
        <v/>
      </c>
      <c r="GK40">
        <f>GK39*IF(OR($C39=93,$G39=93),0,1)</f>
        <v/>
      </c>
      <c r="GL40">
        <f>GL39*IF(OR($C39=94,$G39=94),0,1)</f>
        <v/>
      </c>
      <c r="GM40">
        <f>GM39*IF(OR($C39=95,$G39=95),0,1)</f>
        <v/>
      </c>
      <c r="GN40">
        <f>GN39*IF(OR($C39=96,$G39=96),0,1)</f>
        <v/>
      </c>
      <c r="GO40">
        <f>GO39*IF(OR($C39=97,$G39=97),0,1)</f>
        <v/>
      </c>
      <c r="GP40">
        <f>GP39*IF(OR($C39=98,$G39=98),0,1)</f>
        <v/>
      </c>
      <c r="GQ40">
        <f>GQ39*IF(OR($C39=99,$G39=99),0,1)</f>
        <v/>
      </c>
      <c r="GR40">
        <f>GR39*IF(OR($C39=100,$G39=100),0,1)</f>
        <v/>
      </c>
      <c r="GS40">
        <f>GS39*IF(OR($C39=101,$G39=101),0,1)</f>
        <v/>
      </c>
      <c r="GT40">
        <f>GT39*IF(OR($C39=102,$G39=102),0,1)</f>
        <v/>
      </c>
      <c r="GU40">
        <f>GU39*IF(OR($C39=103,$G39=103),0,1)</f>
        <v/>
      </c>
      <c r="GV40">
        <f>GV39*IF(OR($C39=104,$G39=104),0,1)</f>
        <v/>
      </c>
      <c r="GW40">
        <f>GW39*IF(OR($C39=105,$G39=105),0,1)</f>
        <v/>
      </c>
      <c r="GX40">
        <f>GX39*IF(OR($C39=106,$G39=106),0,1)</f>
        <v/>
      </c>
      <c r="GY40">
        <f>GY39*IF(OR($C39=107,$G39=107),0,1)</f>
        <v/>
      </c>
      <c r="GZ40">
        <f>GZ39*IF(OR($C39=108,$G39=108),0,1)</f>
        <v/>
      </c>
      <c r="HA40">
        <f>HA39*IF(OR($C39=109,$G39=109),0,1)</f>
        <v/>
      </c>
      <c r="HB40">
        <f>HB39*IF(OR($C39=110,$G39=110),0,1)</f>
        <v/>
      </c>
      <c r="HC40">
        <f>HC39*IF(OR($C39=111,$G39=111),0,1)</f>
        <v/>
      </c>
      <c r="HD40">
        <f>HD39*IF(OR($C39=112,$G39=112),0,1)</f>
        <v/>
      </c>
      <c r="HE40">
        <f>HE39*IF(OR($C39=113,$G39=113),0,1)</f>
        <v/>
      </c>
      <c r="HF40">
        <f>HF39*IF(OR($C39=114,$G39=114),0,1)</f>
        <v/>
      </c>
      <c r="HG40">
        <f>HG39*IF(OR($C39=115,$G39=115),0,1)</f>
        <v/>
      </c>
      <c r="HH40">
        <f>HH39*IF(OR($C39=116,$G39=116),0,1)</f>
        <v/>
      </c>
      <c r="HI40">
        <f>HI39*IF(OR($C39=117,$G39=117),0,1)</f>
        <v/>
      </c>
      <c r="HJ40">
        <f>HJ39*IF(OR($C39=118,$G39=118),0,1)</f>
        <v/>
      </c>
      <c r="HK40">
        <f>HK39*IF(OR($C39=119,$G39=119),0,1)</f>
        <v/>
      </c>
      <c r="HL40">
        <f>HL39*IF(OR($C39=120,$G39=120),0,1)</f>
        <v/>
      </c>
      <c r="HM40">
        <f>HM39*IF(OR($C39=121,$G39=121),0,1)</f>
        <v/>
      </c>
      <c r="HN40">
        <f>HN39*IF(OR($C39=122,$G39=122),0,1)</f>
        <v/>
      </c>
      <c r="HO40">
        <f>HO39*IF(OR($C39=123,$G39=123),0,1)</f>
        <v/>
      </c>
      <c r="HP40">
        <f>HP39*IF(OR($C39=124,$G39=124),0,1)</f>
        <v/>
      </c>
      <c r="HQ40">
        <f>HQ39*IF(OR($C39=125,$G39=125),0,1)</f>
        <v/>
      </c>
      <c r="HR40">
        <f>HR39*IF(OR($C39=126,$G39=126),0,1)</f>
        <v/>
      </c>
      <c r="HS40">
        <f>HS39*IF(OR($C39=127,$G39=127),0,1)</f>
        <v/>
      </c>
      <c r="HT40">
        <f>HT39*IF(OR($C39=128,$G39=128),0,1)</f>
        <v/>
      </c>
      <c r="HU40">
        <f>HU39*IF(OR($C39=129,$G39=129),0,1)</f>
        <v/>
      </c>
      <c r="HV40">
        <f>HV39*IF(OR($C39=130,$G39=130),0,1)</f>
        <v/>
      </c>
      <c r="HW40">
        <f>HW39*IF(OR($C39=131,$G39=131),0,1)</f>
        <v/>
      </c>
      <c r="HX40">
        <f>HX39*IF(OR($C39=132,$G39=132),0,1)</f>
        <v/>
      </c>
      <c r="HY40">
        <f>HY39*IF(OR($C39=133,$G39=133),0,1)</f>
        <v/>
      </c>
      <c r="HZ40">
        <f>HZ39*IF(OR($C39=134,$G39=134),0,1)</f>
        <v/>
      </c>
      <c r="IA40">
        <f>IA39*IF(OR($C39=135,$G39=135),0,1)</f>
        <v/>
      </c>
      <c r="IB40">
        <f>IB39*IF(OR($C39=136,$G39=136),0,1)</f>
        <v/>
      </c>
      <c r="IC40">
        <f>IC39*IF(OR($C39=137,$G39=137),0,1)</f>
        <v/>
      </c>
      <c r="ID40">
        <f>ID39*IF(OR($C39=138,$G39=138),0,1)</f>
        <v/>
      </c>
      <c r="IE40">
        <f>IE39*IF(OR($C39=139,$G39=139),0,1)</f>
        <v/>
      </c>
      <c r="IF40">
        <f>IF39*IF(OR($C39=140,$G39=140),0,1)</f>
        <v/>
      </c>
      <c r="IG40">
        <f>IG39*IF(OR($C39=141,$G39=141),0,1)</f>
        <v/>
      </c>
      <c r="IH40">
        <f>IH39*IF(OR($C39=142,$G39=142),0,1)</f>
        <v/>
      </c>
      <c r="II40">
        <f>II39*IF(OR($C39=143,$G39=143),0,1)</f>
        <v/>
      </c>
      <c r="IJ40">
        <f>IJ39*IF(OR($C39=144,$G39=144),0,1)</f>
        <v/>
      </c>
      <c r="IK40">
        <f>IK39*IF(OR($C39=145,$G39=145),0,1)</f>
        <v/>
      </c>
      <c r="IL40">
        <f>IL39*IF(OR($C39=146,$G39=146),0,1)</f>
        <v/>
      </c>
      <c r="IM40">
        <f>IM39*IF(OR($C39=147,$G39=147),0,1)</f>
        <v/>
      </c>
      <c r="IN40">
        <f>IN39*IF(OR($C39=148,$G39=148),0,1)</f>
        <v/>
      </c>
      <c r="IO40">
        <f>IO39*IF(OR($C39=149,$G39=149),0,1)</f>
        <v/>
      </c>
      <c r="IP40">
        <f>IP39*IF(OR($C39=150,$G39=150),0,1)</f>
        <v/>
      </c>
      <c r="IQ40">
        <f>IQ39*IF(OR($C39=151,$G39=151),0,1)</f>
        <v/>
      </c>
      <c r="IR40">
        <f>IR39*IF(OR($C39=152,$G39=152),0,1)</f>
        <v/>
      </c>
      <c r="IS40">
        <f>IS39*IF(OR($C39=153,$G39=153),0,1)</f>
        <v/>
      </c>
      <c r="IT40">
        <f>IT39*IF(OR($C39=154,$G39=154),0,1)</f>
        <v/>
      </c>
      <c r="IU40">
        <f>IU39*IF(OR($C39=155,$G39=155),0,1)</f>
        <v/>
      </c>
      <c r="IV40">
        <f>IV39*IF(OR($C39=156,$G39=156),0,1)</f>
        <v/>
      </c>
      <c r="IW40">
        <f>IW39*IF(OR($C39=157,$G39=157),0,1)</f>
        <v/>
      </c>
      <c r="IX40">
        <f>IX39*IF(OR($C39=158,$G39=158),0,1)</f>
        <v/>
      </c>
      <c r="IY40">
        <f>IY39*IF(OR($C39=159,$G39=159),0,1)</f>
        <v/>
      </c>
      <c r="IZ40">
        <f>IZ39*IF(OR($C39=160,$G39=160),0,1)</f>
        <v/>
      </c>
      <c r="JA40">
        <f>JA39*IF(OR($C39=161,$G39=161),0,1)</f>
        <v/>
      </c>
      <c r="JB40">
        <f>JB39*IF(OR($C39=162,$G39=162),0,1)</f>
        <v/>
      </c>
      <c r="JC40">
        <f>JC39*IF(OR($C39=163,$G39=163),0,1)</f>
        <v/>
      </c>
      <c r="JD40">
        <f>JD39*IF(OR($C39=164,$G39=164),0,1)</f>
        <v/>
      </c>
      <c r="JE40">
        <f>JE39*IF(OR($C39=165,$G39=165),0,1)</f>
        <v/>
      </c>
      <c r="JF40">
        <f>JF39*IF(OR($C39=166,$G39=166),0,1)</f>
        <v/>
      </c>
      <c r="JG40">
        <f>JG39*IF(OR($C39=167,$G39=167),0,1)</f>
        <v/>
      </c>
      <c r="JH40">
        <f>JH39*IF(OR($C39=168,$G39=168),0,1)</f>
        <v/>
      </c>
      <c r="JI40">
        <f>JI39*IF(OR($C39=169,$G39=169),0,1)</f>
        <v/>
      </c>
      <c r="JJ40">
        <f>JJ39*IF(OR($C39=170,$G39=170),0,1)</f>
        <v/>
      </c>
      <c r="JK40">
        <f>JK39*IF(OR($C39=171,$G39=171),0,1)</f>
        <v/>
      </c>
      <c r="JL40">
        <f>JL39*IF(OR($C39=172,$G39=172),0,1)</f>
        <v/>
      </c>
      <c r="JM40">
        <f>JM39*IF(OR($C39=173,$G39=173),0,1)</f>
        <v/>
      </c>
      <c r="JN40">
        <f>JN39*IF(OR($C39=174,$G39=174),0,1)</f>
        <v/>
      </c>
      <c r="JO40">
        <f>JO39*IF(OR($C39=175,$G39=175),0,1)</f>
        <v/>
      </c>
      <c r="JP40">
        <f>JP39*IF(OR($C39=176,$G39=176),0,1)</f>
        <v/>
      </c>
      <c r="JQ40">
        <f>JQ39*IF(OR($C39=177,$G39=177),0,1)</f>
        <v/>
      </c>
      <c r="JR40">
        <f>JR39*IF(OR($C39=178,$G39=178),0,1)</f>
        <v/>
      </c>
      <c r="JS40">
        <f>JS39*IF(OR($C39=179,$G39=179),0,1)</f>
        <v/>
      </c>
      <c r="JT40">
        <f>JT39*IF(OR($C39=180,$G39=180),0,1)</f>
        <v/>
      </c>
      <c r="JU40">
        <f>JU39*IF(OR($C39=181,$G39=181),0,1)</f>
        <v/>
      </c>
      <c r="JV40">
        <f>JV39*IF(OR($C39=182,$G39=182),0,1)</f>
        <v/>
      </c>
      <c r="JW40">
        <f>JW39*IF(OR($C39=183,$G39=183),0,1)</f>
        <v/>
      </c>
      <c r="JX40">
        <f>JX39*IF(OR($C39=184,$G39=184),0,1)</f>
        <v/>
      </c>
      <c r="JY40">
        <f>JY39*IF(OR($C39=185,$G39=185),0,1)</f>
        <v/>
      </c>
      <c r="JZ40">
        <f>JZ39*IF(OR($C39=186,$G39=186),0,1)</f>
        <v/>
      </c>
      <c r="KA40">
        <f>KA39*IF(OR($C39=187,$G39=187),0,1)</f>
        <v/>
      </c>
      <c r="KB40">
        <f>KB39*IF(OR($C39=188,$G39=188),0,1)</f>
        <v/>
      </c>
      <c r="KC40">
        <f>KC39*IF(OR($C39=189,$G39=189),0,1)</f>
        <v/>
      </c>
      <c r="KD40">
        <f>KD39*IF(OR($C39=190,$G39=190),0,1)</f>
        <v/>
      </c>
      <c r="KE40">
        <f>KE39*IF(OR($C39=191,$G39=191),0,1)</f>
        <v/>
      </c>
      <c r="KF40">
        <f>KF39*IF(OR($C39=192,$G39=192),0,1)</f>
        <v/>
      </c>
      <c r="KG40">
        <f>KG39*IF(OR($C39=193,$G39=193),0,1)</f>
        <v/>
      </c>
      <c r="KH40">
        <f>KH39*IF(OR($C39=194,$G39=194),0,1)</f>
        <v/>
      </c>
      <c r="KI40">
        <f>KI39*IF(OR($C39=195,$G39=195),0,1)</f>
        <v/>
      </c>
      <c r="KJ40">
        <f>KJ39*IF(OR($C39=196,$G39=196),0,1)</f>
        <v/>
      </c>
      <c r="KK40">
        <f>KK39*IF(OR($C39=197,$G39=197),0,1)</f>
        <v/>
      </c>
      <c r="KL40">
        <f>KL39*IF(OR($C39=198,$G39=198),0,1)</f>
        <v/>
      </c>
      <c r="KM40">
        <f>KM39*IF(OR($C39=199,$G39=199),0,1)</f>
        <v/>
      </c>
      <c r="KN40">
        <f>KN39*IF(OR($C39=200,$G39=200),0,1)</f>
        <v/>
      </c>
      <c r="KO40">
        <f>KO39*IF(OR($C39=201,$G39=201),0,1)</f>
        <v/>
      </c>
      <c r="KP40">
        <f>KP39*IF(OR($C39=202,$G39=202),0,1)</f>
        <v/>
      </c>
      <c r="KQ40">
        <f>KQ39*IF(OR($C39=203,$G39=203),0,1)</f>
        <v/>
      </c>
      <c r="KR40">
        <f>KR39*IF(OR($C39=204,$G39=204),0,1)</f>
        <v/>
      </c>
      <c r="KS40">
        <f>KS39*IF(OR($C39=205,$G39=205),0,1)</f>
        <v/>
      </c>
      <c r="KT40">
        <f>KT39*IF(OR($C39=206,$G39=206),0,1)</f>
        <v/>
      </c>
      <c r="KU40">
        <f>KU39*IF(OR($C39=207,$G39=207),0,1)</f>
        <v/>
      </c>
      <c r="KV40">
        <f>KV39*IF(OR($C39=208,$G39=208),0,1)</f>
        <v/>
      </c>
      <c r="KW40">
        <f>KW39*IF(OR($C39=209,$G39=209),0,1)</f>
        <v/>
      </c>
      <c r="KX40">
        <f>KX39*IF(OR($C39=210,$G39=210),0,1)</f>
        <v/>
      </c>
      <c r="KY40">
        <f>KY39*IF(OR($C39=211,$G39=211),0,1)</f>
        <v/>
      </c>
      <c r="KZ40">
        <f>KZ39*IF(OR($C39=212,$G39=212),0,1)</f>
        <v/>
      </c>
      <c r="LA40">
        <f>LA39*IF(OR($C39=213,$G39=213),0,1)</f>
        <v/>
      </c>
      <c r="LB40">
        <f>LB39*IF(OR($C39=214,$G39=214),0,1)</f>
        <v/>
      </c>
      <c r="LC40">
        <f>LC39*IF(OR($C39=215,$G39=215),0,1)</f>
        <v/>
      </c>
      <c r="LD40">
        <f>LD39*IF(OR($C39=216,$G39=216),0,1)</f>
        <v/>
      </c>
      <c r="LE40">
        <f>LE39*IF(OR($C39=217,$G39=217),0,1)</f>
        <v/>
      </c>
      <c r="LF40">
        <f>LF39*IF(OR($C39=218,$G39=218),0,1)</f>
        <v/>
      </c>
      <c r="LG40">
        <f>LG39*IF(OR($C39=219,$G39=219),0,1)</f>
        <v/>
      </c>
      <c r="LH40">
        <f>LH39*IF(OR($C39=220,$G39=220),0,1)</f>
        <v/>
      </c>
      <c r="LI40">
        <f>LI39*IF(OR($C39=221,$G39=221),0,1)</f>
        <v/>
      </c>
      <c r="LJ40">
        <f>LJ39*IF(OR($C39=222,$G39=222),0,1)</f>
        <v/>
      </c>
      <c r="LK40">
        <f>LK39*IF(OR($C39=223,$G39=223),0,1)</f>
        <v/>
      </c>
      <c r="LL40">
        <f>LL39*IF(OR($C39=224,$G39=224),0,1)</f>
        <v/>
      </c>
      <c r="LM40">
        <f>LM39*IF(OR($C39=225,$G39=225),0,1)</f>
        <v/>
      </c>
      <c r="LN40">
        <f>LN39*IF(OR($C39=226,$G39=226),0,1)</f>
        <v/>
      </c>
      <c r="LO40">
        <f>LO39*IF(OR($C39=227,$G39=227),0,1)</f>
        <v/>
      </c>
      <c r="LP40">
        <f>LP39*IF(OR($C39=228,$G39=228),0,1)</f>
        <v/>
      </c>
      <c r="LQ40">
        <f>LQ39*IF(OR($C39=229,$G39=229),0,1)</f>
        <v/>
      </c>
      <c r="LR40">
        <f>LR39*IF(OR($C39=230,$G39=230),0,1)</f>
        <v/>
      </c>
      <c r="LS40">
        <f>LS39*IF(OR($C39=231,$G39=231),0,1)</f>
        <v/>
      </c>
      <c r="LT40">
        <f>LT39*IF(OR($C39=232,$G39=232),0,1)</f>
        <v/>
      </c>
      <c r="LU40">
        <f>LU39*IF(OR($C39=233,$G39=233),0,1)</f>
        <v/>
      </c>
      <c r="LV40">
        <f>LV39*IF(OR($C39=234,$G39=234),0,1)</f>
        <v/>
      </c>
      <c r="LW40">
        <f>LW39*IF(OR($C39=235,$G39=235),0,1)</f>
        <v/>
      </c>
      <c r="LX40">
        <f>LX39*IF(OR($C39=236,$G39=236),0,1)</f>
        <v/>
      </c>
      <c r="LY40">
        <f>LY39*IF(OR($C39=237,$G39=237),0,1)</f>
        <v/>
      </c>
      <c r="LZ40">
        <f>LZ39*IF(OR($C39=238,$G39=238),0,1)</f>
        <v/>
      </c>
      <c r="MA40">
        <f>MA39*IF(OR($C39=239,$G39=239),0,1)</f>
        <v/>
      </c>
      <c r="MB40">
        <f>MB39*IF(OR($C39=240,$G39=240),0,1)</f>
        <v/>
      </c>
      <c r="MD40">
        <f>IF('計算A'!D$106=1,CX40,1)</f>
        <v/>
      </c>
      <c r="ME40">
        <f>IF('計算A'!E$106=1,CY40,1)</f>
        <v/>
      </c>
      <c r="MF40">
        <f>IF('計算A'!F$106=1,CZ40,1)</f>
        <v/>
      </c>
      <c r="MG40">
        <f>IF('計算A'!G$106=1,DA40,1)</f>
        <v/>
      </c>
      <c r="MH40">
        <f>IF('計算A'!H$106=1,DB40,1)</f>
        <v/>
      </c>
      <c r="MI40">
        <f>IF('計算A'!I$106=1,DC40,1)</f>
        <v/>
      </c>
      <c r="MJ40">
        <f>IF('計算A'!J$106=1,DD40,1)</f>
        <v/>
      </c>
      <c r="MK40">
        <f>IF('計算A'!K$106=1,DE40,1)</f>
        <v/>
      </c>
      <c r="ML40">
        <f>IF('計算A'!L$106=1,DF40,1)</f>
        <v/>
      </c>
      <c r="MM40">
        <f>IF('計算A'!M$106=1,DG40,1)</f>
        <v/>
      </c>
      <c r="MN40">
        <f>IF('計算A'!N$106=1,DH40,1)</f>
        <v/>
      </c>
      <c r="MO40">
        <f>IF('計算A'!O$106=1,DI40,1)</f>
        <v/>
      </c>
      <c r="MP40">
        <f>IF('計算A'!P$106=1,DJ40,1)</f>
        <v/>
      </c>
      <c r="MQ40">
        <f>IF('計算A'!Q$106=1,DK40,1)</f>
        <v/>
      </c>
      <c r="MR40">
        <f>IF('計算A'!R$106=1,DL40,1)</f>
        <v/>
      </c>
      <c r="MS40">
        <f>IF('計算A'!S$106=1,DM40,1)</f>
        <v/>
      </c>
      <c r="MT40">
        <f>IF('計算A'!T$106=1,DN40,1)</f>
        <v/>
      </c>
      <c r="MU40">
        <f>IF('計算A'!U$106=1,DO40,1)</f>
        <v/>
      </c>
      <c r="MV40">
        <f>IF('計算A'!V$106=1,DP40,1)</f>
        <v/>
      </c>
      <c r="MW40">
        <f>IF('計算A'!W$106=1,DQ40,1)</f>
        <v/>
      </c>
      <c r="MX40">
        <f>IF('計算A'!X$106=1,DR40,1)</f>
        <v/>
      </c>
      <c r="MY40">
        <f>IF('計算A'!Y$106=1,DS40,1)</f>
        <v/>
      </c>
      <c r="MZ40">
        <f>IF('計算A'!Z$106=1,DT40,1)</f>
        <v/>
      </c>
      <c r="NA40">
        <f>IF('計算A'!AA$106=1,DU40,1)</f>
        <v/>
      </c>
      <c r="NB40">
        <f>IF('計算A'!AB$106=1,DV40,1)</f>
        <v/>
      </c>
      <c r="NC40">
        <f>IF('計算A'!AC$106=1,DW40,1)</f>
        <v/>
      </c>
      <c r="ND40">
        <f>IF('計算A'!AD$106=1,DX40,1)</f>
        <v/>
      </c>
      <c r="NE40">
        <f>IF('計算A'!AE$106=1,DY40,1)</f>
        <v/>
      </c>
      <c r="NF40">
        <f>IF('計算A'!AF$106=1,DZ40,1)</f>
        <v/>
      </c>
      <c r="NG40">
        <f>IF('計算A'!AG$106=1,EA40,1)</f>
        <v/>
      </c>
      <c r="NH40">
        <f>IF('計算A'!AH$106=1,EB40,1)</f>
        <v/>
      </c>
      <c r="NI40">
        <f>IF('計算A'!AI$106=1,EC40,1)</f>
        <v/>
      </c>
      <c r="NJ40">
        <f>IF('計算A'!AJ$106=1,ED40,1)</f>
        <v/>
      </c>
      <c r="NK40">
        <f>IF('計算A'!AK$106=1,EE40,1)</f>
        <v/>
      </c>
      <c r="NL40">
        <f>IF('計算A'!AL$106=1,EF40,1)</f>
        <v/>
      </c>
      <c r="NM40">
        <f>IF('計算A'!AM$106=1,EG40,1)</f>
        <v/>
      </c>
      <c r="NN40">
        <f>IF('計算A'!AN$106=1,EH40,1)</f>
        <v/>
      </c>
      <c r="NO40">
        <f>IF('計算A'!AO$106=1,EI40,1)</f>
        <v/>
      </c>
      <c r="NP40">
        <f>IF('計算A'!AP$106=1,EJ40,1)</f>
        <v/>
      </c>
      <c r="NQ40">
        <f>IF('計算A'!AQ$106=1,EK40,1)</f>
        <v/>
      </c>
      <c r="NR40">
        <f>IF('計算A'!AR$106=1,EL40,1)</f>
        <v/>
      </c>
      <c r="NS40">
        <f>IF('計算A'!AS$106=1,EM40,1)</f>
        <v/>
      </c>
      <c r="NT40">
        <f>IF('計算A'!AT$106=1,EN40,1)</f>
        <v/>
      </c>
      <c r="NU40">
        <f>IF('計算A'!AU$106=1,EO40,1)</f>
        <v/>
      </c>
      <c r="NV40">
        <f>IF('計算A'!AV$106=1,EP40,1)</f>
        <v/>
      </c>
      <c r="NW40">
        <f>IF('計算A'!AW$106=1,EQ40,1)</f>
        <v/>
      </c>
      <c r="NX40">
        <f>IF('計算A'!AX$106=1,ER40,1)</f>
        <v/>
      </c>
      <c r="NY40">
        <f>IF('計算A'!AY$106=1,ES40,1)</f>
        <v/>
      </c>
      <c r="NZ40">
        <f>IF('計算A'!AZ$106=1,ET40,1)</f>
        <v/>
      </c>
      <c r="OA40">
        <f>IF('計算A'!BA$106=1,EU40,1)</f>
        <v/>
      </c>
      <c r="OB40">
        <f>IF('計算A'!BB$106=1,EV40,1)</f>
        <v/>
      </c>
      <c r="OC40">
        <f>IF('計算A'!BC$106=1,EW40,1)</f>
        <v/>
      </c>
      <c r="OD40">
        <f>IF('計算A'!BD$106=1,EX40,1)</f>
        <v/>
      </c>
      <c r="OE40">
        <f>IF('計算A'!BE$106=1,EY40,1)</f>
        <v/>
      </c>
      <c r="OF40">
        <f>IF('計算A'!BF$106=1,EZ40,1)</f>
        <v/>
      </c>
      <c r="OG40">
        <f>IF('計算A'!BG$106=1,FA40,1)</f>
        <v/>
      </c>
      <c r="OH40">
        <f>IF('計算A'!BH$106=1,FB40,1)</f>
        <v/>
      </c>
      <c r="OI40">
        <f>IF('計算A'!BI$106=1,FC40,1)</f>
        <v/>
      </c>
      <c r="OJ40">
        <f>IF('計算A'!BJ$106=1,FD40,1)</f>
        <v/>
      </c>
      <c r="OK40">
        <f>IF('計算A'!BK$106=1,FE40,1)</f>
        <v/>
      </c>
      <c r="OL40">
        <f>IF('計算A'!BL$106=1,FF40,1)</f>
        <v/>
      </c>
      <c r="OM40">
        <f>IF('計算A'!BM$106=1,FG40,1)</f>
        <v/>
      </c>
      <c r="ON40">
        <f>IF('計算A'!BN$106=1,FH40,1)</f>
        <v/>
      </c>
      <c r="OO40">
        <f>IF('計算A'!BO$106=1,FI40,1)</f>
        <v/>
      </c>
      <c r="OP40">
        <f>IF('計算A'!BP$106=1,FJ40,1)</f>
        <v/>
      </c>
      <c r="OQ40">
        <f>IF('計算A'!BQ$106=1,FK40,1)</f>
        <v/>
      </c>
      <c r="OR40">
        <f>IF('計算A'!BR$106=1,FL40,1)</f>
        <v/>
      </c>
      <c r="OS40">
        <f>IF('計算A'!BS$106=1,FM40,1)</f>
        <v/>
      </c>
      <c r="OT40">
        <f>IF('計算A'!BT$106=1,FN40,1)</f>
        <v/>
      </c>
      <c r="OU40">
        <f>IF('計算A'!BU$106=1,FO40,1)</f>
        <v/>
      </c>
      <c r="OV40">
        <f>IF('計算A'!BV$106=1,FP40,1)</f>
        <v/>
      </c>
      <c r="OW40">
        <f>IF('計算A'!BW$106=1,FQ40,1)</f>
        <v/>
      </c>
      <c r="OX40">
        <f>IF('計算A'!BX$106=1,FR40,1)</f>
        <v/>
      </c>
      <c r="OY40">
        <f>IF('計算A'!BY$106=1,FS40,1)</f>
        <v/>
      </c>
      <c r="OZ40">
        <f>IF('計算A'!BZ$106=1,FT40,1)</f>
        <v/>
      </c>
      <c r="PA40">
        <f>IF('計算A'!CA$106=1,FU40,1)</f>
        <v/>
      </c>
      <c r="PB40">
        <f>IF('計算A'!CB$106=1,FV40,1)</f>
        <v/>
      </c>
      <c r="PC40">
        <f>IF('計算A'!CC$106=1,FW40,1)</f>
        <v/>
      </c>
      <c r="PD40">
        <f>IF('計算A'!CD$106=1,FX40,1)</f>
        <v/>
      </c>
      <c r="PE40">
        <f>IF('計算A'!CE$106=1,FY40,1)</f>
        <v/>
      </c>
      <c r="PF40">
        <f>IF('計算A'!CF$106=1,FZ40,1)</f>
        <v/>
      </c>
      <c r="PG40">
        <f>IF('計算A'!CG$106=1,GA40,1)</f>
        <v/>
      </c>
      <c r="PH40">
        <f>IF('計算A'!CH$106=1,GB40,1)</f>
        <v/>
      </c>
      <c r="PI40">
        <f>IF('計算A'!CI$106=1,GC40,1)</f>
        <v/>
      </c>
      <c r="PJ40">
        <f>IF('計算A'!CJ$106=1,GD40,1)</f>
        <v/>
      </c>
      <c r="PK40">
        <f>IF('計算A'!CK$106=1,GE40,1)</f>
        <v/>
      </c>
      <c r="PL40">
        <f>IF('計算A'!CL$106=1,GF40,1)</f>
        <v/>
      </c>
      <c r="PM40">
        <f>IF('計算A'!CM$106=1,GG40,1)</f>
        <v/>
      </c>
      <c r="PN40">
        <f>IF('計算A'!CN$106=1,GH40,1)</f>
        <v/>
      </c>
      <c r="PO40">
        <f>IF('計算A'!CO$106=1,GI40,1)</f>
        <v/>
      </c>
      <c r="PP40">
        <f>IF('計算A'!CP$106=1,GJ40,1)</f>
        <v/>
      </c>
      <c r="PQ40">
        <f>IF('計算A'!CQ$106=1,GK40,1)</f>
        <v/>
      </c>
      <c r="PR40">
        <f>IF('計算A'!CR$106=1,GL40,1)</f>
        <v/>
      </c>
      <c r="PS40">
        <f>IF('計算A'!CS$106=1,GM40,1)</f>
        <v/>
      </c>
      <c r="PT40">
        <f>IF('計算A'!CT$106=1,GN40,1)</f>
        <v/>
      </c>
      <c r="PU40">
        <f>IF('計算A'!CU$106=1,GO40,1)</f>
        <v/>
      </c>
      <c r="PV40">
        <f>IF('計算A'!CV$106=1,GP40,1)</f>
        <v/>
      </c>
      <c r="PW40">
        <f>IF('計算A'!CW$106=1,GQ40,1)</f>
        <v/>
      </c>
      <c r="PX40">
        <f>IF('計算A'!CX$106=1,GR40,1)</f>
        <v/>
      </c>
      <c r="PY40">
        <f>IF('計算A'!CY$106=1,GS40,1)</f>
        <v/>
      </c>
      <c r="PZ40">
        <f>IF('計算A'!CZ$106=1,GT40,1)</f>
        <v/>
      </c>
      <c r="QA40">
        <f>IF('計算A'!DA$106=1,GU40,1)</f>
        <v/>
      </c>
      <c r="QB40">
        <f>IF('計算A'!DB$106=1,GV40,1)</f>
        <v/>
      </c>
      <c r="QC40">
        <f>IF('計算A'!DC$106=1,GW40,1)</f>
        <v/>
      </c>
      <c r="QD40">
        <f>IF('計算A'!DD$106=1,GX40,1)</f>
        <v/>
      </c>
      <c r="QE40">
        <f>IF('計算A'!DE$106=1,GY40,1)</f>
        <v/>
      </c>
      <c r="QF40">
        <f>IF('計算A'!DF$106=1,GZ40,1)</f>
        <v/>
      </c>
      <c r="QG40">
        <f>IF('計算A'!DG$106=1,HA40,1)</f>
        <v/>
      </c>
      <c r="QH40">
        <f>IF('計算A'!DH$106=1,HB40,1)</f>
        <v/>
      </c>
      <c r="QI40">
        <f>IF('計算A'!DI$106=1,HC40,1)</f>
        <v/>
      </c>
      <c r="QJ40">
        <f>IF('計算A'!DJ$106=1,HD40,1)</f>
        <v/>
      </c>
      <c r="QK40">
        <f>IF('計算A'!DK$106=1,HE40,1)</f>
        <v/>
      </c>
      <c r="QL40">
        <f>IF('計算A'!DL$106=1,HF40,1)</f>
        <v/>
      </c>
      <c r="QM40">
        <f>IF('計算A'!DM$106=1,HG40,1)</f>
        <v/>
      </c>
      <c r="QN40">
        <f>IF('計算A'!DN$106=1,HH40,1)</f>
        <v/>
      </c>
      <c r="QO40">
        <f>IF('計算A'!DO$106=1,HI40,1)</f>
        <v/>
      </c>
      <c r="QP40">
        <f>IF('計算A'!DP$106=1,HJ40,1)</f>
        <v/>
      </c>
      <c r="QQ40">
        <f>IF('計算A'!DQ$106=1,HK40,1)</f>
        <v/>
      </c>
      <c r="QR40">
        <f>IF('計算A'!DR$106=1,HL40,1)</f>
        <v/>
      </c>
      <c r="QS40">
        <f>IF('計算A'!DS$106=1,HM40,1)</f>
        <v/>
      </c>
      <c r="QT40">
        <f>IF('計算A'!DT$106=1,HN40,1)</f>
        <v/>
      </c>
      <c r="QU40">
        <f>IF('計算A'!DU$106=1,HO40,1)</f>
        <v/>
      </c>
      <c r="QV40">
        <f>IF('計算A'!DV$106=1,HP40,1)</f>
        <v/>
      </c>
      <c r="QW40">
        <f>IF('計算A'!DW$106=1,HQ40,1)</f>
        <v/>
      </c>
      <c r="QX40">
        <f>IF('計算A'!DX$106=1,HR40,1)</f>
        <v/>
      </c>
      <c r="QY40">
        <f>IF('計算A'!DY$106=1,HS40,1)</f>
        <v/>
      </c>
      <c r="QZ40">
        <f>IF('計算A'!DZ$106=1,HT40,1)</f>
        <v/>
      </c>
      <c r="RA40">
        <f>IF('計算A'!EA$106=1,HU40,1)</f>
        <v/>
      </c>
      <c r="RB40">
        <f>IF('計算A'!EB$106=1,HV40,1)</f>
        <v/>
      </c>
      <c r="RC40">
        <f>IF('計算A'!EC$106=1,HW40,1)</f>
        <v/>
      </c>
      <c r="RD40">
        <f>IF('計算A'!ED$106=1,HX40,1)</f>
        <v/>
      </c>
      <c r="RE40">
        <f>IF('計算A'!EE$106=1,HY40,1)</f>
        <v/>
      </c>
      <c r="RF40">
        <f>IF('計算A'!EF$106=1,HZ40,1)</f>
        <v/>
      </c>
      <c r="RG40">
        <f>IF('計算A'!EG$106=1,IA40,1)</f>
        <v/>
      </c>
      <c r="RH40">
        <f>IF('計算A'!EH$106=1,IB40,1)</f>
        <v/>
      </c>
      <c r="RI40">
        <f>IF('計算A'!EI$106=1,IC40,1)</f>
        <v/>
      </c>
      <c r="RJ40">
        <f>IF('計算A'!EJ$106=1,ID40,1)</f>
        <v/>
      </c>
      <c r="RK40">
        <f>IF('計算A'!EK$106=1,IE40,1)</f>
        <v/>
      </c>
      <c r="RL40">
        <f>IF('計算A'!EL$106=1,IF40,1)</f>
        <v/>
      </c>
      <c r="RM40">
        <f>IF('計算A'!EM$106=1,IG40,1)</f>
        <v/>
      </c>
      <c r="RN40">
        <f>IF('計算A'!EN$106=1,IH40,1)</f>
        <v/>
      </c>
      <c r="RO40">
        <f>IF('計算A'!EO$106=1,II40,1)</f>
        <v/>
      </c>
      <c r="RP40">
        <f>IF('計算A'!EP$106=1,IJ40,1)</f>
        <v/>
      </c>
      <c r="RQ40">
        <f>IF('計算A'!EQ$106=1,IK40,1)</f>
        <v/>
      </c>
      <c r="RR40">
        <f>IF('計算A'!ER$106=1,IL40,1)</f>
        <v/>
      </c>
      <c r="RS40">
        <f>IF('計算A'!ES$106=1,IM40,1)</f>
        <v/>
      </c>
      <c r="RT40">
        <f>IF('計算A'!ET$106=1,IN40,1)</f>
        <v/>
      </c>
      <c r="RU40">
        <f>IF('計算A'!EU$106=1,IO40,1)</f>
        <v/>
      </c>
      <c r="RV40">
        <f>IF('計算A'!EV$106=1,IP40,1)</f>
        <v/>
      </c>
      <c r="RW40">
        <f>IF('計算A'!EW$106=1,IQ40,1)</f>
        <v/>
      </c>
      <c r="RX40">
        <f>IF('計算A'!EX$106=1,IR40,1)</f>
        <v/>
      </c>
      <c r="RY40">
        <f>IF('計算A'!EY$106=1,IS40,1)</f>
        <v/>
      </c>
      <c r="RZ40">
        <f>IF('計算A'!EZ$106=1,IT40,1)</f>
        <v/>
      </c>
      <c r="SA40">
        <f>IF('計算A'!FA$106=1,IU40,1)</f>
        <v/>
      </c>
      <c r="SB40">
        <f>IF('計算A'!FB$106=1,IV40,1)</f>
        <v/>
      </c>
      <c r="SC40">
        <f>IF('計算A'!FC$106=1,IW40,1)</f>
        <v/>
      </c>
      <c r="SD40">
        <f>IF('計算A'!FD$106=1,IX40,1)</f>
        <v/>
      </c>
      <c r="SE40">
        <f>IF('計算A'!FE$106=1,IY40,1)</f>
        <v/>
      </c>
      <c r="SF40">
        <f>IF('計算A'!FF$106=1,IZ40,1)</f>
        <v/>
      </c>
      <c r="SG40">
        <f>IF('計算A'!FG$106=1,JA40,1)</f>
        <v/>
      </c>
      <c r="SH40">
        <f>IF('計算A'!FH$106=1,JB40,1)</f>
        <v/>
      </c>
      <c r="SI40">
        <f>IF('計算A'!FI$106=1,JC40,1)</f>
        <v/>
      </c>
      <c r="SJ40">
        <f>IF('計算A'!FJ$106=1,JD40,1)</f>
        <v/>
      </c>
      <c r="SK40">
        <f>IF('計算A'!FK$106=1,JE40,1)</f>
        <v/>
      </c>
      <c r="SL40">
        <f>IF('計算A'!FL$106=1,JF40,1)</f>
        <v/>
      </c>
      <c r="SM40">
        <f>IF('計算A'!FM$106=1,JG40,1)</f>
        <v/>
      </c>
      <c r="SN40">
        <f>IF('計算A'!FN$106=1,JH40,1)</f>
        <v/>
      </c>
      <c r="SO40">
        <f>IF('計算A'!FO$106=1,JI40,1)</f>
        <v/>
      </c>
      <c r="SP40">
        <f>IF('計算A'!FP$106=1,JJ40,1)</f>
        <v/>
      </c>
      <c r="SQ40">
        <f>IF('計算A'!FQ$106=1,JK40,1)</f>
        <v/>
      </c>
      <c r="SR40">
        <f>IF('計算A'!FR$106=1,JL40,1)</f>
        <v/>
      </c>
      <c r="SS40">
        <f>IF('計算A'!FS$106=1,JM40,1)</f>
        <v/>
      </c>
      <c r="ST40">
        <f>IF('計算A'!FT$106=1,JN40,1)</f>
        <v/>
      </c>
      <c r="SU40">
        <f>IF('計算A'!FU$106=1,JO40,1)</f>
        <v/>
      </c>
      <c r="SV40">
        <f>IF('計算A'!FV$106=1,JP40,1)</f>
        <v/>
      </c>
      <c r="SW40">
        <f>IF('計算A'!FW$106=1,JQ40,1)</f>
        <v/>
      </c>
      <c r="SX40">
        <f>IF('計算A'!FX$106=1,JR40,1)</f>
        <v/>
      </c>
      <c r="SY40">
        <f>IF('計算A'!FY$106=1,JS40,1)</f>
        <v/>
      </c>
      <c r="SZ40">
        <f>IF('計算A'!FZ$106=1,JT40,1)</f>
        <v/>
      </c>
      <c r="TA40">
        <f>IF('計算A'!GA$106=1,JU40,1)</f>
        <v/>
      </c>
      <c r="TB40">
        <f>IF('計算A'!GB$106=1,JV40,1)</f>
        <v/>
      </c>
      <c r="TC40">
        <f>IF('計算A'!GC$106=1,JW40,1)</f>
        <v/>
      </c>
      <c r="TD40">
        <f>IF('計算A'!GD$106=1,JX40,1)</f>
        <v/>
      </c>
      <c r="TE40">
        <f>IF('計算A'!GE$106=1,JY40,1)</f>
        <v/>
      </c>
      <c r="TF40">
        <f>IF('計算A'!GF$106=1,JZ40,1)</f>
        <v/>
      </c>
      <c r="TG40">
        <f>IF('計算A'!GG$106=1,KA40,1)</f>
        <v/>
      </c>
      <c r="TH40">
        <f>IF('計算A'!GH$106=1,KB40,1)</f>
        <v/>
      </c>
      <c r="TI40">
        <f>IF('計算A'!GI$106=1,KC40,1)</f>
        <v/>
      </c>
      <c r="TJ40">
        <f>IF('計算A'!GJ$106=1,KD40,1)</f>
        <v/>
      </c>
      <c r="TK40">
        <f>IF('計算A'!GK$106=1,KE40,1)</f>
        <v/>
      </c>
      <c r="TL40">
        <f>IF('計算A'!GL$106=1,KF40,1)</f>
        <v/>
      </c>
      <c r="TM40">
        <f>IF('計算A'!GM$106=1,KG40,1)</f>
        <v/>
      </c>
      <c r="TN40">
        <f>IF('計算A'!GN$106=1,KH40,1)</f>
        <v/>
      </c>
      <c r="TO40">
        <f>IF('計算A'!GO$106=1,KI40,1)</f>
        <v/>
      </c>
      <c r="TP40">
        <f>IF('計算A'!GP$106=1,KJ40,1)</f>
        <v/>
      </c>
      <c r="TQ40">
        <f>IF('計算A'!GQ$106=1,KK40,1)</f>
        <v/>
      </c>
      <c r="TR40">
        <f>IF('計算A'!GR$106=1,KL40,1)</f>
        <v/>
      </c>
      <c r="TS40">
        <f>IF('計算A'!GS$106=1,KM40,1)</f>
        <v/>
      </c>
      <c r="TT40">
        <f>IF('計算A'!GT$106=1,KN40,1)</f>
        <v/>
      </c>
      <c r="TU40">
        <f>IF('計算A'!GU$106=1,KO40,1)</f>
        <v/>
      </c>
      <c r="TV40">
        <f>IF('計算A'!GV$106=1,KP40,1)</f>
        <v/>
      </c>
      <c r="TW40">
        <f>IF('計算A'!GW$106=1,KQ40,1)</f>
        <v/>
      </c>
      <c r="TX40">
        <f>IF('計算A'!GX$106=1,KR40,1)</f>
        <v/>
      </c>
      <c r="TY40">
        <f>IF('計算A'!GY$106=1,KS40,1)</f>
        <v/>
      </c>
      <c r="TZ40">
        <f>IF('計算A'!GZ$106=1,KT40,1)</f>
        <v/>
      </c>
      <c r="UA40">
        <f>IF('計算A'!HA$106=1,KU40,1)</f>
        <v/>
      </c>
      <c r="UB40">
        <f>IF('計算A'!HB$106=1,KV40,1)</f>
        <v/>
      </c>
      <c r="UC40">
        <f>IF('計算A'!HC$106=1,KW40,1)</f>
        <v/>
      </c>
      <c r="UD40">
        <f>IF('計算A'!HD$106=1,KX40,1)</f>
        <v/>
      </c>
      <c r="UE40">
        <f>IF('計算A'!HE$106=1,KY40,1)</f>
        <v/>
      </c>
      <c r="UF40">
        <f>IF('計算A'!HF$106=1,KZ40,1)</f>
        <v/>
      </c>
      <c r="UG40">
        <f>IF('計算A'!HG$106=1,LA40,1)</f>
        <v/>
      </c>
      <c r="UH40">
        <f>IF('計算A'!HH$106=1,LB40,1)</f>
        <v/>
      </c>
      <c r="UI40">
        <f>IF('計算A'!HI$106=1,LC40,1)</f>
        <v/>
      </c>
      <c r="UJ40">
        <f>IF('計算A'!HJ$106=1,LD40,1)</f>
        <v/>
      </c>
      <c r="UK40">
        <f>IF('計算A'!HK$106=1,LE40,1)</f>
        <v/>
      </c>
      <c r="UL40">
        <f>IF('計算A'!HL$106=1,LF40,1)</f>
        <v/>
      </c>
      <c r="UM40">
        <f>IF('計算A'!HM$106=1,LG40,1)</f>
        <v/>
      </c>
      <c r="UN40">
        <f>IF('計算A'!HN$106=1,LH40,1)</f>
        <v/>
      </c>
      <c r="UO40">
        <f>IF('計算A'!HO$106=1,LI40,1)</f>
        <v/>
      </c>
      <c r="UP40">
        <f>IF('計算A'!HP$106=1,LJ40,1)</f>
        <v/>
      </c>
      <c r="UQ40">
        <f>IF('計算A'!HQ$106=1,LK40,1)</f>
        <v/>
      </c>
      <c r="UR40">
        <f>IF('計算A'!HR$106=1,LL40,1)</f>
        <v/>
      </c>
      <c r="US40">
        <f>IF('計算A'!HS$106=1,LM40,1)</f>
        <v/>
      </c>
      <c r="UT40">
        <f>IF('計算A'!HT$106=1,LN40,1)</f>
        <v/>
      </c>
      <c r="UU40">
        <f>IF('計算A'!HU$106=1,LO40,1)</f>
        <v/>
      </c>
      <c r="UV40">
        <f>IF('計算A'!HV$106=1,LP40,1)</f>
        <v/>
      </c>
      <c r="UW40">
        <f>IF('計算A'!HW$106=1,LQ40,1)</f>
        <v/>
      </c>
      <c r="UX40">
        <f>IF('計算A'!HX$106=1,LR40,1)</f>
        <v/>
      </c>
      <c r="UY40">
        <f>IF('計算A'!HY$106=1,LS40,1)</f>
        <v/>
      </c>
      <c r="UZ40">
        <f>IF('計算A'!HZ$106=1,LT40,1)</f>
        <v/>
      </c>
      <c r="VA40">
        <f>IF('計算A'!IA$106=1,LU40,1)</f>
        <v/>
      </c>
      <c r="VB40">
        <f>IF('計算A'!IB$106=1,LV40,1)</f>
        <v/>
      </c>
      <c r="VC40">
        <f>IF('計算A'!IC$106=1,LW40,1)</f>
        <v/>
      </c>
      <c r="VD40">
        <f>IF('計算A'!ID$106=1,LX40,1)</f>
        <v/>
      </c>
      <c r="VE40">
        <f>IF('計算A'!IE$106=1,LY40,1)</f>
        <v/>
      </c>
      <c r="VF40">
        <f>IF('計算A'!IF$106=1,LZ40,1)</f>
        <v/>
      </c>
      <c r="VG40">
        <f>IF('計算A'!IG$106=1,MA40,1)</f>
        <v/>
      </c>
      <c r="VH40">
        <f>IF('計算A'!IH$106=1,MB40,1)</f>
        <v/>
      </c>
      <c r="VI40" t="n">
        <v>1</v>
      </c>
      <c r="VK40">
        <f>IF($B40=0,1000000,IF(INDEX('計算A'!$D$60:$II$104,$B40,1)*CW40=1,IF(AND($E40=2,MD40=0),1000000,INDEX('計算A'!D$110:D$114,$F40+1)+IF(AND($E40=1,MD40=0),1000,0)),1000000))</f>
        <v/>
      </c>
      <c r="VL40">
        <f>IF($B40=0,1000000,IF(INDEX('計算A'!$D$60:$II$104,$B40,2)*CX40=1,IF(AND($E40=2,ME40=0),1000000,INDEX('計算A'!E$110:E$114,$F40+1)+IF(AND($E40=1,ME40=0),1000,0)),1000000))</f>
        <v/>
      </c>
      <c r="VM40">
        <f>IF($B40=0,1000000,IF(INDEX('計算A'!$D$60:$II$104,$B40,3)*CY40=1,IF(AND($E40=2,MF40=0),1000000,INDEX('計算A'!F$110:F$114,$F40+1)+IF(AND($E40=1,MF40=0),1000,0)),1000000))</f>
        <v/>
      </c>
      <c r="VN40">
        <f>IF($B40=0,1000000,IF(INDEX('計算A'!$D$60:$II$104,$B40,4)*CZ40=1,IF(AND($E40=2,MG40=0),1000000,INDEX('計算A'!G$110:G$114,$F40+1)+IF(AND($E40=1,MG40=0),1000,0)),1000000))</f>
        <v/>
      </c>
      <c r="VO40">
        <f>IF($B40=0,1000000,IF(INDEX('計算A'!$D$60:$II$104,$B40,5)*DA40=1,IF(AND($E40=2,MH40=0),1000000,INDEX('計算A'!H$110:H$114,$F40+1)+IF(AND($E40=1,MH40=0),1000,0)),1000000))</f>
        <v/>
      </c>
      <c r="VP40">
        <f>IF($B40=0,1000000,IF(INDEX('計算A'!$D$60:$II$104,$B40,6)*DB40=1,IF(AND($E40=2,MI40=0),1000000,INDEX('計算A'!I$110:I$114,$F40+1)+IF(AND($E40=1,MI40=0),1000,0)),1000000))</f>
        <v/>
      </c>
      <c r="VQ40">
        <f>IF($B40=0,1000000,IF(INDEX('計算A'!$D$60:$II$104,$B40,7)*DC40=1,IF(AND($E40=2,MJ40=0),1000000,INDEX('計算A'!J$110:J$114,$F40+1)+IF(AND($E40=1,MJ40=0),1000,0)),1000000))</f>
        <v/>
      </c>
      <c r="VR40">
        <f>IF($B40=0,1000000,IF(INDEX('計算A'!$D$60:$II$104,$B40,8)*DD40=1,IF(AND($E40=2,MK40=0),1000000,INDEX('計算A'!K$110:K$114,$F40+1)+IF(AND($E40=1,MK40=0),1000,0)),1000000))</f>
        <v/>
      </c>
      <c r="VS40">
        <f>IF($B40=0,1000000,IF(INDEX('計算A'!$D$60:$II$104,$B40,9)*DE40=1,IF(AND($E40=2,ML40=0),1000000,INDEX('計算A'!L$110:L$114,$F40+1)+IF(AND($E40=1,ML40=0),1000,0)),1000000))</f>
        <v/>
      </c>
      <c r="VT40">
        <f>IF($B40=0,1000000,IF(INDEX('計算A'!$D$60:$II$104,$B40,10)*DF40=1,IF(AND($E40=2,MM40=0),1000000,INDEX('計算A'!M$110:M$114,$F40+1)+IF(AND($E40=1,MM40=0),1000,0)),1000000))</f>
        <v/>
      </c>
      <c r="VU40">
        <f>IF($B40=0,1000000,IF(INDEX('計算A'!$D$60:$II$104,$B40,11)*DG40=1,IF(AND($E40=2,MN40=0),1000000,INDEX('計算A'!N$110:N$114,$F40+1)+IF(AND($E40=1,MN40=0),1000,0)),1000000))</f>
        <v/>
      </c>
      <c r="VV40">
        <f>IF($B40=0,1000000,IF(INDEX('計算A'!$D$60:$II$104,$B40,12)*DH40=1,IF(AND($E40=2,MO40=0),1000000,INDEX('計算A'!O$110:O$114,$F40+1)+IF(AND($E40=1,MO40=0),1000,0)),1000000))</f>
        <v/>
      </c>
      <c r="VW40">
        <f>IF($B40=0,1000000,IF(INDEX('計算A'!$D$60:$II$104,$B40,13)*DI40=1,IF(AND($E40=2,MP40=0),1000000,INDEX('計算A'!P$110:P$114,$F40+1)+IF(AND($E40=1,MP40=0),1000,0)),1000000))</f>
        <v/>
      </c>
      <c r="VX40">
        <f>IF($B40=0,1000000,IF(INDEX('計算A'!$D$60:$II$104,$B40,14)*DJ40=1,IF(AND($E40=2,MQ40=0),1000000,INDEX('計算A'!Q$110:Q$114,$F40+1)+IF(AND($E40=1,MQ40=0),1000,0)),1000000))</f>
        <v/>
      </c>
      <c r="VY40">
        <f>IF($B40=0,1000000,IF(INDEX('計算A'!$D$60:$II$104,$B40,15)*DK40=1,IF(AND($E40=2,MR40=0),1000000,INDEX('計算A'!R$110:R$114,$F40+1)+IF(AND($E40=1,MR40=0),1000,0)),1000000))</f>
        <v/>
      </c>
      <c r="VZ40">
        <f>IF($B40=0,1000000,IF(INDEX('計算A'!$D$60:$II$104,$B40,16)*DL40=1,IF(AND($E40=2,MS40=0),1000000,INDEX('計算A'!S$110:S$114,$F40+1)+IF(AND($E40=1,MS40=0),1000,0)),1000000))</f>
        <v/>
      </c>
      <c r="WA40">
        <f>IF($B40=0,1000000,IF(INDEX('計算A'!$D$60:$II$104,$B40,17)*DM40=1,IF(AND($E40=2,MT40=0),1000000,INDEX('計算A'!T$110:T$114,$F40+1)+IF(AND($E40=1,MT40=0),1000,0)),1000000))</f>
        <v/>
      </c>
      <c r="WB40">
        <f>IF($B40=0,1000000,IF(INDEX('計算A'!$D$60:$II$104,$B40,18)*DN40=1,IF(AND($E40=2,MU40=0),1000000,INDEX('計算A'!U$110:U$114,$F40+1)+IF(AND($E40=1,MU40=0),1000,0)),1000000))</f>
        <v/>
      </c>
      <c r="WC40">
        <f>IF($B40=0,1000000,IF(INDEX('計算A'!$D$60:$II$104,$B40,19)*DO40=1,IF(AND($E40=2,MV40=0),1000000,INDEX('計算A'!V$110:V$114,$F40+1)+IF(AND($E40=1,MV40=0),1000,0)),1000000))</f>
        <v/>
      </c>
      <c r="WD40">
        <f>IF($B40=0,1000000,IF(INDEX('計算A'!$D$60:$II$104,$B40,20)*DP40=1,IF(AND($E40=2,MW40=0),1000000,INDEX('計算A'!W$110:W$114,$F40+1)+IF(AND($E40=1,MW40=0),1000,0)),1000000))</f>
        <v/>
      </c>
      <c r="WE40">
        <f>IF($B40=0,1000000,IF(INDEX('計算A'!$D$60:$II$104,$B40,21)*DQ40=1,IF(AND($E40=2,MX40=0),1000000,INDEX('計算A'!X$110:X$114,$F40+1)+IF(AND($E40=1,MX40=0),1000,0)),1000000))</f>
        <v/>
      </c>
      <c r="WF40">
        <f>IF($B40=0,1000000,IF(INDEX('計算A'!$D$60:$II$104,$B40,22)*DR40=1,IF(AND($E40=2,MY40=0),1000000,INDEX('計算A'!Y$110:Y$114,$F40+1)+IF(AND($E40=1,MY40=0),1000,0)),1000000))</f>
        <v/>
      </c>
      <c r="WG40">
        <f>IF($B40=0,1000000,IF(INDEX('計算A'!$D$60:$II$104,$B40,23)*DS40=1,IF(AND($E40=2,MZ40=0),1000000,INDEX('計算A'!Z$110:Z$114,$F40+1)+IF(AND($E40=1,MZ40=0),1000,0)),1000000))</f>
        <v/>
      </c>
      <c r="WH40">
        <f>IF($B40=0,1000000,IF(INDEX('計算A'!$D$60:$II$104,$B40,24)*DT40=1,IF(AND($E40=2,NA40=0),1000000,INDEX('計算A'!AA$110:AA$114,$F40+1)+IF(AND($E40=1,NA40=0),1000,0)),1000000))</f>
        <v/>
      </c>
      <c r="WI40">
        <f>IF($B40=0,1000000,IF(INDEX('計算A'!$D$60:$II$104,$B40,25)*DU40=1,IF(AND($E40=2,NB40=0),1000000,INDEX('計算A'!AB$110:AB$114,$F40+1)+IF(AND($E40=1,NB40=0),1000,0)),1000000))</f>
        <v/>
      </c>
      <c r="WJ40">
        <f>IF($B40=0,1000000,IF(INDEX('計算A'!$D$60:$II$104,$B40,26)*DV40=1,IF(AND($E40=2,NC40=0),1000000,INDEX('計算A'!AC$110:AC$114,$F40+1)+IF(AND($E40=1,NC40=0),1000,0)),1000000))</f>
        <v/>
      </c>
      <c r="WK40">
        <f>IF($B40=0,1000000,IF(INDEX('計算A'!$D$60:$II$104,$B40,27)*DW40=1,IF(AND($E40=2,ND40=0),1000000,INDEX('計算A'!AD$110:AD$114,$F40+1)+IF(AND($E40=1,ND40=0),1000,0)),1000000))</f>
        <v/>
      </c>
      <c r="WL40">
        <f>IF($B40=0,1000000,IF(INDEX('計算A'!$D$60:$II$104,$B40,28)*DX40=1,IF(AND($E40=2,NE40=0),1000000,INDEX('計算A'!AE$110:AE$114,$F40+1)+IF(AND($E40=1,NE40=0),1000,0)),1000000))</f>
        <v/>
      </c>
      <c r="WM40">
        <f>IF($B40=0,1000000,IF(INDEX('計算A'!$D$60:$II$104,$B40,29)*DY40=1,IF(AND($E40=2,NF40=0),1000000,INDEX('計算A'!AF$110:AF$114,$F40+1)+IF(AND($E40=1,NF40=0),1000,0)),1000000))</f>
        <v/>
      </c>
      <c r="WN40">
        <f>IF($B40=0,1000000,IF(INDEX('計算A'!$D$60:$II$104,$B40,30)*DZ40=1,IF(AND($E40=2,NG40=0),1000000,INDEX('計算A'!AG$110:AG$114,$F40+1)+IF(AND($E40=1,NG40=0),1000,0)),1000000))</f>
        <v/>
      </c>
      <c r="WO40">
        <f>IF($B40=0,1000000,IF(INDEX('計算A'!$D$60:$II$104,$B40,31)*EA40=1,IF(AND($E40=2,NH40=0),1000000,INDEX('計算A'!AH$110:AH$114,$F40+1)+IF(AND($E40=1,NH40=0),1000,0)),1000000))</f>
        <v/>
      </c>
      <c r="WP40">
        <f>IF($B40=0,1000000,IF(INDEX('計算A'!$D$60:$II$104,$B40,32)*EB40=1,IF(AND($E40=2,NI40=0),1000000,INDEX('計算A'!AI$110:AI$114,$F40+1)+IF(AND($E40=1,NI40=0),1000,0)),1000000))</f>
        <v/>
      </c>
      <c r="WQ40">
        <f>IF($B40=0,1000000,IF(INDEX('計算A'!$D$60:$II$104,$B40,33)*EC40=1,IF(AND($E40=2,NJ40=0),1000000,INDEX('計算A'!AJ$110:AJ$114,$F40+1)+IF(AND($E40=1,NJ40=0),1000,0)),1000000))</f>
        <v/>
      </c>
      <c r="WR40">
        <f>IF($B40=0,1000000,IF(INDEX('計算A'!$D$60:$II$104,$B40,34)*ED40=1,IF(AND($E40=2,NK40=0),1000000,INDEX('計算A'!AK$110:AK$114,$F40+1)+IF(AND($E40=1,NK40=0),1000,0)),1000000))</f>
        <v/>
      </c>
      <c r="WS40">
        <f>IF($B40=0,1000000,IF(INDEX('計算A'!$D$60:$II$104,$B40,35)*EE40=1,IF(AND($E40=2,NL40=0),1000000,INDEX('計算A'!AL$110:AL$114,$F40+1)+IF(AND($E40=1,NL40=0),1000,0)),1000000))</f>
        <v/>
      </c>
      <c r="WT40">
        <f>IF($B40=0,1000000,IF(INDEX('計算A'!$D$60:$II$104,$B40,36)*EF40=1,IF(AND($E40=2,NM40=0),1000000,INDEX('計算A'!AM$110:AM$114,$F40+1)+IF(AND($E40=1,NM40=0),1000,0)),1000000))</f>
        <v/>
      </c>
      <c r="WU40">
        <f>IF($B40=0,1000000,IF(INDEX('計算A'!$D$60:$II$104,$B40,37)*EG40=1,IF(AND($E40=2,NN40=0),1000000,INDEX('計算A'!AN$110:AN$114,$F40+1)+IF(AND($E40=1,NN40=0),1000,0)),1000000))</f>
        <v/>
      </c>
      <c r="WV40">
        <f>IF($B40=0,1000000,IF(INDEX('計算A'!$D$60:$II$104,$B40,38)*EH40=1,IF(AND($E40=2,NO40=0),1000000,INDEX('計算A'!AO$110:AO$114,$F40+1)+IF(AND($E40=1,NO40=0),1000,0)),1000000))</f>
        <v/>
      </c>
      <c r="WW40">
        <f>IF($B40=0,1000000,IF(INDEX('計算A'!$D$60:$II$104,$B40,39)*EI40=1,IF(AND($E40=2,NP40=0),1000000,INDEX('計算A'!AP$110:AP$114,$F40+1)+IF(AND($E40=1,NP40=0),1000,0)),1000000))</f>
        <v/>
      </c>
      <c r="WX40">
        <f>IF($B40=0,1000000,IF(INDEX('計算A'!$D$60:$II$104,$B40,40)*EJ40=1,IF(AND($E40=2,NQ40=0),1000000,INDEX('計算A'!AQ$110:AQ$114,$F40+1)+IF(AND($E40=1,NQ40=0),1000,0)),1000000))</f>
        <v/>
      </c>
      <c r="WY40">
        <f>IF($B40=0,1000000,IF(INDEX('計算A'!$D$60:$II$104,$B40,41)*EK40=1,IF(AND($E40=2,NR40=0),1000000,INDEX('計算A'!AR$110:AR$114,$F40+1)+IF(AND($E40=1,NR40=0),1000,0)),1000000))</f>
        <v/>
      </c>
      <c r="WZ40">
        <f>IF($B40=0,1000000,IF(INDEX('計算A'!$D$60:$II$104,$B40,42)*EL40=1,IF(AND($E40=2,NS40=0),1000000,INDEX('計算A'!AS$110:AS$114,$F40+1)+IF(AND($E40=1,NS40=0),1000,0)),1000000))</f>
        <v/>
      </c>
      <c r="XA40">
        <f>IF($B40=0,1000000,IF(INDEX('計算A'!$D$60:$II$104,$B40,43)*EM40=1,IF(AND($E40=2,NT40=0),1000000,INDEX('計算A'!AT$110:AT$114,$F40+1)+IF(AND($E40=1,NT40=0),1000,0)),1000000))</f>
        <v/>
      </c>
      <c r="XB40">
        <f>IF($B40=0,1000000,IF(INDEX('計算A'!$D$60:$II$104,$B40,44)*EN40=1,IF(AND($E40=2,NU40=0),1000000,INDEX('計算A'!AU$110:AU$114,$F40+1)+IF(AND($E40=1,NU40=0),1000,0)),1000000))</f>
        <v/>
      </c>
      <c r="XC40">
        <f>IF($B40=0,1000000,IF(INDEX('計算A'!$D$60:$II$104,$B40,45)*EO40=1,IF(AND($E40=2,NV40=0),1000000,INDEX('計算A'!AV$110:AV$114,$F40+1)+IF(AND($E40=1,NV40=0),1000,0)),1000000))</f>
        <v/>
      </c>
      <c r="XD40">
        <f>IF($B40=0,1000000,IF(INDEX('計算A'!$D$60:$II$104,$B40,46)*EP40=1,IF(AND($E40=2,NW40=0),1000000,INDEX('計算A'!AW$110:AW$114,$F40+1)+IF(AND($E40=1,NW40=0),1000,0)),1000000))</f>
        <v/>
      </c>
      <c r="XE40">
        <f>IF($B40=0,1000000,IF(INDEX('計算A'!$D$60:$II$104,$B40,47)*EQ40=1,IF(AND($E40=2,NX40=0),1000000,INDEX('計算A'!AX$110:AX$114,$F40+1)+IF(AND($E40=1,NX40=0),1000,0)),1000000))</f>
        <v/>
      </c>
      <c r="XF40">
        <f>IF($B40=0,1000000,IF(INDEX('計算A'!$D$60:$II$104,$B40,48)*ER40=1,IF(AND($E40=2,NY40=0),1000000,INDEX('計算A'!AY$110:AY$114,$F40+1)+IF(AND($E40=1,NY40=0),1000,0)),1000000))</f>
        <v/>
      </c>
      <c r="XG40">
        <f>IF($B40=0,1000000,IF(INDEX('計算A'!$D$60:$II$104,$B40,49)*ES40=1,IF(AND($E40=2,NZ40=0),1000000,INDEX('計算A'!AZ$110:AZ$114,$F40+1)+IF(AND($E40=1,NZ40=0),1000,0)),1000000))</f>
        <v/>
      </c>
      <c r="XH40">
        <f>IF($B40=0,1000000,IF(INDEX('計算A'!$D$60:$II$104,$B40,50)*ET40=1,IF(AND($E40=2,OA40=0),1000000,INDEX('計算A'!BA$110:BA$114,$F40+1)+IF(AND($E40=1,OA40=0),1000,0)),1000000))</f>
        <v/>
      </c>
      <c r="XI40">
        <f>IF($B40=0,1000000,IF(INDEX('計算A'!$D$60:$II$104,$B40,51)*EU40=1,IF(AND($E40=2,OB40=0),1000000,INDEX('計算A'!BB$110:BB$114,$F40+1)+IF(AND($E40=1,OB40=0),1000,0)),1000000))</f>
        <v/>
      </c>
      <c r="XJ40">
        <f>IF($B40=0,1000000,IF(INDEX('計算A'!$D$60:$II$104,$B40,52)*EV40=1,IF(AND($E40=2,OC40=0),1000000,INDEX('計算A'!BC$110:BC$114,$F40+1)+IF(AND($E40=1,OC40=0),1000,0)),1000000))</f>
        <v/>
      </c>
      <c r="XK40">
        <f>IF($B40=0,1000000,IF(INDEX('計算A'!$D$60:$II$104,$B40,53)*EW40=1,IF(AND($E40=2,OD40=0),1000000,INDEX('計算A'!BD$110:BD$114,$F40+1)+IF(AND($E40=1,OD40=0),1000,0)),1000000))</f>
        <v/>
      </c>
      <c r="XL40">
        <f>IF($B40=0,1000000,IF(INDEX('計算A'!$D$60:$II$104,$B40,54)*EX40=1,IF(AND($E40=2,OE40=0),1000000,INDEX('計算A'!BE$110:BE$114,$F40+1)+IF(AND($E40=1,OE40=0),1000,0)),1000000))</f>
        <v/>
      </c>
      <c r="XM40">
        <f>IF($B40=0,1000000,IF(INDEX('計算A'!$D$60:$II$104,$B40,55)*EY40=1,IF(AND($E40=2,OF40=0),1000000,INDEX('計算A'!BF$110:BF$114,$F40+1)+IF(AND($E40=1,OF40=0),1000,0)),1000000))</f>
        <v/>
      </c>
      <c r="XN40">
        <f>IF($B40=0,1000000,IF(INDEX('計算A'!$D$60:$II$104,$B40,56)*EZ40=1,IF(AND($E40=2,OG40=0),1000000,INDEX('計算A'!BG$110:BG$114,$F40+1)+IF(AND($E40=1,OG40=0),1000,0)),1000000))</f>
        <v/>
      </c>
      <c r="XO40">
        <f>IF($B40=0,1000000,IF(INDEX('計算A'!$D$60:$II$104,$B40,57)*FA40=1,IF(AND($E40=2,OH40=0),1000000,INDEX('計算A'!BH$110:BH$114,$F40+1)+IF(AND($E40=1,OH40=0),1000,0)),1000000))</f>
        <v/>
      </c>
      <c r="XP40">
        <f>IF($B40=0,1000000,IF(INDEX('計算A'!$D$60:$II$104,$B40,58)*FB40=1,IF(AND($E40=2,OI40=0),1000000,INDEX('計算A'!BI$110:BI$114,$F40+1)+IF(AND($E40=1,OI40=0),1000,0)),1000000))</f>
        <v/>
      </c>
      <c r="XQ40">
        <f>IF($B40=0,1000000,IF(INDEX('計算A'!$D$60:$II$104,$B40,59)*FC40=1,IF(AND($E40=2,OJ40=0),1000000,INDEX('計算A'!BJ$110:BJ$114,$F40+1)+IF(AND($E40=1,OJ40=0),1000,0)),1000000))</f>
        <v/>
      </c>
      <c r="XR40">
        <f>IF($B40=0,1000000,IF(INDEX('計算A'!$D$60:$II$104,$B40,60)*FD40=1,IF(AND($E40=2,OK40=0),1000000,INDEX('計算A'!BK$110:BK$114,$F40+1)+IF(AND($E40=1,OK40=0),1000,0)),1000000))</f>
        <v/>
      </c>
      <c r="XS40">
        <f>IF($B40=0,1000000,IF(INDEX('計算A'!$D$60:$II$104,$B40,61)*FE40=1,IF(AND($E40=2,OL40=0),1000000,INDEX('計算A'!BL$110:BL$114,$F40+1)+IF(AND($E40=1,OL40=0),1000,0)),1000000))</f>
        <v/>
      </c>
      <c r="XT40">
        <f>IF($B40=0,1000000,IF(INDEX('計算A'!$D$60:$II$104,$B40,62)*FF40=1,IF(AND($E40=2,OM40=0),1000000,INDEX('計算A'!BM$110:BM$114,$F40+1)+IF(AND($E40=1,OM40=0),1000,0)),1000000))</f>
        <v/>
      </c>
      <c r="XU40">
        <f>IF($B40=0,1000000,IF(INDEX('計算A'!$D$60:$II$104,$B40,63)*FG40=1,IF(AND($E40=2,ON40=0),1000000,INDEX('計算A'!BN$110:BN$114,$F40+1)+IF(AND($E40=1,ON40=0),1000,0)),1000000))</f>
        <v/>
      </c>
      <c r="XV40">
        <f>IF($B40=0,1000000,IF(INDEX('計算A'!$D$60:$II$104,$B40,64)*FH40=1,IF(AND($E40=2,OO40=0),1000000,INDEX('計算A'!BO$110:BO$114,$F40+1)+IF(AND($E40=1,OO40=0),1000,0)),1000000))</f>
        <v/>
      </c>
      <c r="XW40">
        <f>IF($B40=0,1000000,IF(INDEX('計算A'!$D$60:$II$104,$B40,65)*FI40=1,IF(AND($E40=2,OP40=0),1000000,INDEX('計算A'!BP$110:BP$114,$F40+1)+IF(AND($E40=1,OP40=0),1000,0)),1000000))</f>
        <v/>
      </c>
      <c r="XX40">
        <f>IF($B40=0,1000000,IF(INDEX('計算A'!$D$60:$II$104,$B40,66)*FJ40=1,IF(AND($E40=2,OQ40=0),1000000,INDEX('計算A'!BQ$110:BQ$114,$F40+1)+IF(AND($E40=1,OQ40=0),1000,0)),1000000))</f>
        <v/>
      </c>
      <c r="XY40">
        <f>IF($B40=0,1000000,IF(INDEX('計算A'!$D$60:$II$104,$B40,67)*FK40=1,IF(AND($E40=2,OR40=0),1000000,INDEX('計算A'!BR$110:BR$114,$F40+1)+IF(AND($E40=1,OR40=0),1000,0)),1000000))</f>
        <v/>
      </c>
      <c r="XZ40">
        <f>IF($B40=0,1000000,IF(INDEX('計算A'!$D$60:$II$104,$B40,68)*FL40=1,IF(AND($E40=2,OS40=0),1000000,INDEX('計算A'!BS$110:BS$114,$F40+1)+IF(AND($E40=1,OS40=0),1000,0)),1000000))</f>
        <v/>
      </c>
      <c r="YA40">
        <f>IF($B40=0,1000000,IF(INDEX('計算A'!$D$60:$II$104,$B40,69)*FM40=1,IF(AND($E40=2,OT40=0),1000000,INDEX('計算A'!BT$110:BT$114,$F40+1)+IF(AND($E40=1,OT40=0),1000,0)),1000000))</f>
        <v/>
      </c>
      <c r="YB40">
        <f>IF($B40=0,1000000,IF(INDEX('計算A'!$D$60:$II$104,$B40,70)*FN40=1,IF(AND($E40=2,OU40=0),1000000,INDEX('計算A'!BU$110:BU$114,$F40+1)+IF(AND($E40=1,OU40=0),1000,0)),1000000))</f>
        <v/>
      </c>
      <c r="YC40">
        <f>IF($B40=0,1000000,IF(INDEX('計算A'!$D$60:$II$104,$B40,71)*FO40=1,IF(AND($E40=2,OV40=0),1000000,INDEX('計算A'!BV$110:BV$114,$F40+1)+IF(AND($E40=1,OV40=0),1000,0)),1000000))</f>
        <v/>
      </c>
      <c r="YD40">
        <f>IF($B40=0,1000000,IF(INDEX('計算A'!$D$60:$II$104,$B40,72)*FP40=1,IF(AND($E40=2,OW40=0),1000000,INDEX('計算A'!BW$110:BW$114,$F40+1)+IF(AND($E40=1,OW40=0),1000,0)),1000000))</f>
        <v/>
      </c>
      <c r="YE40">
        <f>IF($B40=0,1000000,IF(INDEX('計算A'!$D$60:$II$104,$B40,73)*FQ40=1,IF(AND($E40=2,OX40=0),1000000,INDEX('計算A'!BX$110:BX$114,$F40+1)+IF(AND($E40=1,OX40=0),1000,0)),1000000))</f>
        <v/>
      </c>
      <c r="YF40">
        <f>IF($B40=0,1000000,IF(INDEX('計算A'!$D$60:$II$104,$B40,74)*FR40=1,IF(AND($E40=2,OY40=0),1000000,INDEX('計算A'!BY$110:BY$114,$F40+1)+IF(AND($E40=1,OY40=0),1000,0)),1000000))</f>
        <v/>
      </c>
      <c r="YG40">
        <f>IF($B40=0,1000000,IF(INDEX('計算A'!$D$60:$II$104,$B40,75)*FS40=1,IF(AND($E40=2,OZ40=0),1000000,INDEX('計算A'!BZ$110:BZ$114,$F40+1)+IF(AND($E40=1,OZ40=0),1000,0)),1000000))</f>
        <v/>
      </c>
      <c r="YH40">
        <f>IF($B40=0,1000000,IF(INDEX('計算A'!$D$60:$II$104,$B40,76)*FT40=1,IF(AND($E40=2,PA40=0),1000000,INDEX('計算A'!CA$110:CA$114,$F40+1)+IF(AND($E40=1,PA40=0),1000,0)),1000000))</f>
        <v/>
      </c>
      <c r="YI40">
        <f>IF($B40=0,1000000,IF(INDEX('計算A'!$D$60:$II$104,$B40,77)*FU40=1,IF(AND($E40=2,PB40=0),1000000,INDEX('計算A'!CB$110:CB$114,$F40+1)+IF(AND($E40=1,PB40=0),1000,0)),1000000))</f>
        <v/>
      </c>
      <c r="YJ40">
        <f>IF($B40=0,1000000,IF(INDEX('計算A'!$D$60:$II$104,$B40,78)*FV40=1,IF(AND($E40=2,PC40=0),1000000,INDEX('計算A'!CC$110:CC$114,$F40+1)+IF(AND($E40=1,PC40=0),1000,0)),1000000))</f>
        <v/>
      </c>
      <c r="YK40">
        <f>IF($B40=0,1000000,IF(INDEX('計算A'!$D$60:$II$104,$B40,79)*FW40=1,IF(AND($E40=2,PD40=0),1000000,INDEX('計算A'!CD$110:CD$114,$F40+1)+IF(AND($E40=1,PD40=0),1000,0)),1000000))</f>
        <v/>
      </c>
      <c r="YL40">
        <f>IF($B40=0,1000000,IF(INDEX('計算A'!$D$60:$II$104,$B40,80)*FX40=1,IF(AND($E40=2,PE40=0),1000000,INDEX('計算A'!CE$110:CE$114,$F40+1)+IF(AND($E40=1,PE40=0),1000,0)),1000000))</f>
        <v/>
      </c>
      <c r="YM40">
        <f>IF($B40=0,1000000,IF(INDEX('計算A'!$D$60:$II$104,$B40,81)*FY40=1,IF(AND($E40=2,PF40=0),1000000,INDEX('計算A'!CF$110:CF$114,$F40+1)+IF(AND($E40=1,PF40=0),1000,0)),1000000))</f>
        <v/>
      </c>
      <c r="YN40">
        <f>IF($B40=0,1000000,IF(INDEX('計算A'!$D$60:$II$104,$B40,82)*FZ40=1,IF(AND($E40=2,PG40=0),1000000,INDEX('計算A'!CG$110:CG$114,$F40+1)+IF(AND($E40=1,PG40=0),1000,0)),1000000))</f>
        <v/>
      </c>
      <c r="YO40">
        <f>IF($B40=0,1000000,IF(INDEX('計算A'!$D$60:$II$104,$B40,83)*GA40=1,IF(AND($E40=2,PH40=0),1000000,INDEX('計算A'!CH$110:CH$114,$F40+1)+IF(AND($E40=1,PH40=0),1000,0)),1000000))</f>
        <v/>
      </c>
      <c r="YP40">
        <f>IF($B40=0,1000000,IF(INDEX('計算A'!$D$60:$II$104,$B40,84)*GB40=1,IF(AND($E40=2,PI40=0),1000000,INDEX('計算A'!CI$110:CI$114,$F40+1)+IF(AND($E40=1,PI40=0),1000,0)),1000000))</f>
        <v/>
      </c>
      <c r="YQ40">
        <f>IF($B40=0,1000000,IF(INDEX('計算A'!$D$60:$II$104,$B40,85)*GC40=1,IF(AND($E40=2,PJ40=0),1000000,INDEX('計算A'!CJ$110:CJ$114,$F40+1)+IF(AND($E40=1,PJ40=0),1000,0)),1000000))</f>
        <v/>
      </c>
      <c r="YR40">
        <f>IF($B40=0,1000000,IF(INDEX('計算A'!$D$60:$II$104,$B40,86)*GD40=1,IF(AND($E40=2,PK40=0),1000000,INDEX('計算A'!CK$110:CK$114,$F40+1)+IF(AND($E40=1,PK40=0),1000,0)),1000000))</f>
        <v/>
      </c>
      <c r="YS40">
        <f>IF($B40=0,1000000,IF(INDEX('計算A'!$D$60:$II$104,$B40,87)*GE40=1,IF(AND($E40=2,PL40=0),1000000,INDEX('計算A'!CL$110:CL$114,$F40+1)+IF(AND($E40=1,PL40=0),1000,0)),1000000))</f>
        <v/>
      </c>
      <c r="YT40">
        <f>IF($B40=0,1000000,IF(INDEX('計算A'!$D$60:$II$104,$B40,88)*GF40=1,IF(AND($E40=2,PM40=0),1000000,INDEX('計算A'!CM$110:CM$114,$F40+1)+IF(AND($E40=1,PM40=0),1000,0)),1000000))</f>
        <v/>
      </c>
      <c r="YU40">
        <f>IF($B40=0,1000000,IF(INDEX('計算A'!$D$60:$II$104,$B40,89)*GG40=1,IF(AND($E40=2,PN40=0),1000000,INDEX('計算A'!CN$110:CN$114,$F40+1)+IF(AND($E40=1,PN40=0),1000,0)),1000000))</f>
        <v/>
      </c>
      <c r="YV40">
        <f>IF($B40=0,1000000,IF(INDEX('計算A'!$D$60:$II$104,$B40,90)*GH40=1,IF(AND($E40=2,PO40=0),1000000,INDEX('計算A'!CO$110:CO$114,$F40+1)+IF(AND($E40=1,PO40=0),1000,0)),1000000))</f>
        <v/>
      </c>
      <c r="YW40">
        <f>IF($B40=0,1000000,IF(INDEX('計算A'!$D$60:$II$104,$B40,91)*GI40=1,IF(AND($E40=2,PP40=0),1000000,INDEX('計算A'!CP$110:CP$114,$F40+1)+IF(AND($E40=1,PP40=0),1000,0)),1000000))</f>
        <v/>
      </c>
      <c r="YX40">
        <f>IF($B40=0,1000000,IF(INDEX('計算A'!$D$60:$II$104,$B40,92)*GJ40=1,IF(AND($E40=2,PQ40=0),1000000,INDEX('計算A'!CQ$110:CQ$114,$F40+1)+IF(AND($E40=1,PQ40=0),1000,0)),1000000))</f>
        <v/>
      </c>
      <c r="YY40">
        <f>IF($B40=0,1000000,IF(INDEX('計算A'!$D$60:$II$104,$B40,93)*GK40=1,IF(AND($E40=2,PR40=0),1000000,INDEX('計算A'!CR$110:CR$114,$F40+1)+IF(AND($E40=1,PR40=0),1000,0)),1000000))</f>
        <v/>
      </c>
      <c r="YZ40">
        <f>IF($B40=0,1000000,IF(INDEX('計算A'!$D$60:$II$104,$B40,94)*GL40=1,IF(AND($E40=2,PS40=0),1000000,INDEX('計算A'!CS$110:CS$114,$F40+1)+IF(AND($E40=1,PS40=0),1000,0)),1000000))</f>
        <v/>
      </c>
      <c r="ZA40">
        <f>IF($B40=0,1000000,IF(INDEX('計算A'!$D$60:$II$104,$B40,95)*GM40=1,IF(AND($E40=2,PT40=0),1000000,INDEX('計算A'!CT$110:CT$114,$F40+1)+IF(AND($E40=1,PT40=0),1000,0)),1000000))</f>
        <v/>
      </c>
      <c r="ZB40">
        <f>IF($B40=0,1000000,IF(INDEX('計算A'!$D$60:$II$104,$B40,96)*GN40=1,IF(AND($E40=2,PU40=0),1000000,INDEX('計算A'!CU$110:CU$114,$F40+1)+IF(AND($E40=1,PU40=0),1000,0)),1000000))</f>
        <v/>
      </c>
      <c r="ZC40">
        <f>IF($B40=0,1000000,IF(INDEX('計算A'!$D$60:$II$104,$B40,97)*GO40=1,IF(AND($E40=2,PV40=0),1000000,INDEX('計算A'!CV$110:CV$114,$F40+1)+IF(AND($E40=1,PV40=0),1000,0)),1000000))</f>
        <v/>
      </c>
      <c r="ZD40">
        <f>IF($B40=0,1000000,IF(INDEX('計算A'!$D$60:$II$104,$B40,98)*GP40=1,IF(AND($E40=2,PW40=0),1000000,INDEX('計算A'!CW$110:CW$114,$F40+1)+IF(AND($E40=1,PW40=0),1000,0)),1000000))</f>
        <v/>
      </c>
      <c r="ZE40">
        <f>IF($B40=0,1000000,IF(INDEX('計算A'!$D$60:$II$104,$B40,99)*GQ40=1,IF(AND($E40=2,PX40=0),1000000,INDEX('計算A'!CX$110:CX$114,$F40+1)+IF(AND($E40=1,PX40=0),1000,0)),1000000))</f>
        <v/>
      </c>
      <c r="ZF40">
        <f>IF($B40=0,1000000,IF(INDEX('計算A'!$D$60:$II$104,$B40,100)*GR40=1,IF(AND($E40=2,PY40=0),1000000,INDEX('計算A'!CY$110:CY$114,$F40+1)+IF(AND($E40=1,PY40=0),1000,0)),1000000))</f>
        <v/>
      </c>
      <c r="ZG40">
        <f>IF($B40=0,1000000,IF(INDEX('計算A'!$D$60:$II$104,$B40,101)*GS40=1,IF(AND($E40=2,PZ40=0),1000000,INDEX('計算A'!CZ$110:CZ$114,$F40+1)+IF(AND($E40=1,PZ40=0),1000,0)),1000000))</f>
        <v/>
      </c>
      <c r="ZH40">
        <f>IF($B40=0,1000000,IF(INDEX('計算A'!$D$60:$II$104,$B40,102)*GT40=1,IF(AND($E40=2,QA40=0),1000000,INDEX('計算A'!DA$110:DA$114,$F40+1)+IF(AND($E40=1,QA40=0),1000,0)),1000000))</f>
        <v/>
      </c>
      <c r="ZI40">
        <f>IF($B40=0,1000000,IF(INDEX('計算A'!$D$60:$II$104,$B40,103)*GU40=1,IF(AND($E40=2,QB40=0),1000000,INDEX('計算A'!DB$110:DB$114,$F40+1)+IF(AND($E40=1,QB40=0),1000,0)),1000000))</f>
        <v/>
      </c>
      <c r="ZJ40">
        <f>IF($B40=0,1000000,IF(INDEX('計算A'!$D$60:$II$104,$B40,104)*GV40=1,IF(AND($E40=2,QC40=0),1000000,INDEX('計算A'!DC$110:DC$114,$F40+1)+IF(AND($E40=1,QC40=0),1000,0)),1000000))</f>
        <v/>
      </c>
      <c r="ZK40">
        <f>IF($B40=0,1000000,IF(INDEX('計算A'!$D$60:$II$104,$B40,105)*GW40=1,IF(AND($E40=2,QD40=0),1000000,INDEX('計算A'!DD$110:DD$114,$F40+1)+IF(AND($E40=1,QD40=0),1000,0)),1000000))</f>
        <v/>
      </c>
      <c r="ZL40">
        <f>IF($B40=0,1000000,IF(INDEX('計算A'!$D$60:$II$104,$B40,106)*GX40=1,IF(AND($E40=2,QE40=0),1000000,INDEX('計算A'!DE$110:DE$114,$F40+1)+IF(AND($E40=1,QE40=0),1000,0)),1000000))</f>
        <v/>
      </c>
      <c r="ZM40">
        <f>IF($B40=0,1000000,IF(INDEX('計算A'!$D$60:$II$104,$B40,107)*GY40=1,IF(AND($E40=2,QF40=0),1000000,INDEX('計算A'!DF$110:DF$114,$F40+1)+IF(AND($E40=1,QF40=0),1000,0)),1000000))</f>
        <v/>
      </c>
      <c r="ZN40">
        <f>IF($B40=0,1000000,IF(INDEX('計算A'!$D$60:$II$104,$B40,108)*GZ40=1,IF(AND($E40=2,QG40=0),1000000,INDEX('計算A'!DG$110:DG$114,$F40+1)+IF(AND($E40=1,QG40=0),1000,0)),1000000))</f>
        <v/>
      </c>
      <c r="ZO40">
        <f>IF($B40=0,1000000,IF(INDEX('計算A'!$D$60:$II$104,$B40,109)*HA40=1,IF(AND($E40=2,QH40=0),1000000,INDEX('計算A'!DH$110:DH$114,$F40+1)+IF(AND($E40=1,QH40=0),1000,0)),1000000))</f>
        <v/>
      </c>
      <c r="ZP40">
        <f>IF($B40=0,1000000,IF(INDEX('計算A'!$D$60:$II$104,$B40,110)*HB40=1,IF(AND($E40=2,QI40=0),1000000,INDEX('計算A'!DI$110:DI$114,$F40+1)+IF(AND($E40=1,QI40=0),1000,0)),1000000))</f>
        <v/>
      </c>
      <c r="ZQ40">
        <f>IF($B40=0,1000000,IF(INDEX('計算A'!$D$60:$II$104,$B40,111)*HC40=1,IF(AND($E40=2,QJ40=0),1000000,INDEX('計算A'!DJ$110:DJ$114,$F40+1)+IF(AND($E40=1,QJ40=0),1000,0)),1000000))</f>
        <v/>
      </c>
      <c r="ZR40">
        <f>IF($B40=0,1000000,IF(INDEX('計算A'!$D$60:$II$104,$B40,112)*HD40=1,IF(AND($E40=2,QK40=0),1000000,INDEX('計算A'!DK$110:DK$114,$F40+1)+IF(AND($E40=1,QK40=0),1000,0)),1000000))</f>
        <v/>
      </c>
      <c r="ZS40">
        <f>IF($B40=0,1000000,IF(INDEX('計算A'!$D$60:$II$104,$B40,113)*HE40=1,IF(AND($E40=2,QL40=0),1000000,INDEX('計算A'!DL$110:DL$114,$F40+1)+IF(AND($E40=1,QL40=0),1000,0)),1000000))</f>
        <v/>
      </c>
      <c r="ZT40">
        <f>IF($B40=0,1000000,IF(INDEX('計算A'!$D$60:$II$104,$B40,114)*HF40=1,IF(AND($E40=2,QM40=0),1000000,INDEX('計算A'!DM$110:DM$114,$F40+1)+IF(AND($E40=1,QM40=0),1000,0)),1000000))</f>
        <v/>
      </c>
      <c r="ZU40">
        <f>IF($B40=0,1000000,IF(INDEX('計算A'!$D$60:$II$104,$B40,115)*HG40=1,IF(AND($E40=2,QN40=0),1000000,INDEX('計算A'!DN$110:DN$114,$F40+1)+IF(AND($E40=1,QN40=0),1000,0)),1000000))</f>
        <v/>
      </c>
      <c r="ZV40">
        <f>IF($B40=0,1000000,IF(INDEX('計算A'!$D$60:$II$104,$B40,116)*HH40=1,IF(AND($E40=2,QO40=0),1000000,INDEX('計算A'!DO$110:DO$114,$F40+1)+IF(AND($E40=1,QO40=0),1000,0)),1000000))</f>
        <v/>
      </c>
      <c r="ZW40">
        <f>IF($B40=0,1000000,IF(INDEX('計算A'!$D$60:$II$104,$B40,117)*HI40=1,IF(AND($E40=2,QP40=0),1000000,INDEX('計算A'!DP$110:DP$114,$F40+1)+IF(AND($E40=1,QP40=0),1000,0)),1000000))</f>
        <v/>
      </c>
      <c r="ZX40">
        <f>IF($B40=0,1000000,IF(INDEX('計算A'!$D$60:$II$104,$B40,118)*HJ40=1,IF(AND($E40=2,QQ40=0),1000000,INDEX('計算A'!DQ$110:DQ$114,$F40+1)+IF(AND($E40=1,QQ40=0),1000,0)),1000000))</f>
        <v/>
      </c>
      <c r="ZY40">
        <f>IF($B40=0,1000000,IF(INDEX('計算A'!$D$60:$II$104,$B40,119)*HK40=1,IF(AND($E40=2,QR40=0),1000000,INDEX('計算A'!DR$110:DR$114,$F40+1)+IF(AND($E40=1,QR40=0),1000,0)),1000000))</f>
        <v/>
      </c>
      <c r="ZZ40">
        <f>IF($B40=0,1000000,IF(INDEX('計算A'!$D$60:$II$104,$B40,120)*HL40=1,IF(AND($E40=2,QS40=0),1000000,INDEX('計算A'!DS$110:DS$114,$F40+1)+IF(AND($E40=1,QS40=0),1000,0)),1000000))</f>
        <v/>
      </c>
      <c r="AAA40">
        <f>IF($B40=0,1000000,IF(INDEX('計算A'!$D$60:$II$104,$B40,121)*HM40=1,IF(AND($E40=2,QT40=0),1000000,INDEX('計算A'!DT$110:DT$114,$F40+1)+IF(AND($E40=1,QT40=0),1000,0)),1000000))</f>
        <v/>
      </c>
      <c r="AAB40">
        <f>IF($B40=0,1000000,IF(INDEX('計算A'!$D$60:$II$104,$B40,122)*HN40=1,IF(AND($E40=2,QU40=0),1000000,INDEX('計算A'!DU$110:DU$114,$F40+1)+IF(AND($E40=1,QU40=0),1000,0)),1000000))</f>
        <v/>
      </c>
      <c r="AAC40">
        <f>IF($B40=0,1000000,IF(INDEX('計算A'!$D$60:$II$104,$B40,123)*HO40=1,IF(AND($E40=2,QV40=0),1000000,INDEX('計算A'!DV$110:DV$114,$F40+1)+IF(AND($E40=1,QV40=0),1000,0)),1000000))</f>
        <v/>
      </c>
      <c r="AAD40">
        <f>IF($B40=0,1000000,IF(INDEX('計算A'!$D$60:$II$104,$B40,124)*HP40=1,IF(AND($E40=2,QW40=0),1000000,INDEX('計算A'!DW$110:DW$114,$F40+1)+IF(AND($E40=1,QW40=0),1000,0)),1000000))</f>
        <v/>
      </c>
      <c r="AAE40">
        <f>IF($B40=0,1000000,IF(INDEX('計算A'!$D$60:$II$104,$B40,125)*HQ40=1,IF(AND($E40=2,QX40=0),1000000,INDEX('計算A'!DX$110:DX$114,$F40+1)+IF(AND($E40=1,QX40=0),1000,0)),1000000))</f>
        <v/>
      </c>
      <c r="AAF40">
        <f>IF($B40=0,1000000,IF(INDEX('計算A'!$D$60:$II$104,$B40,126)*HR40=1,IF(AND($E40=2,QY40=0),1000000,INDEX('計算A'!DY$110:DY$114,$F40+1)+IF(AND($E40=1,QY40=0),1000,0)),1000000))</f>
        <v/>
      </c>
      <c r="AAG40">
        <f>IF($B40=0,1000000,IF(INDEX('計算A'!$D$60:$II$104,$B40,127)*HS40=1,IF(AND($E40=2,QZ40=0),1000000,INDEX('計算A'!DZ$110:DZ$114,$F40+1)+IF(AND($E40=1,QZ40=0),1000,0)),1000000))</f>
        <v/>
      </c>
      <c r="AAH40">
        <f>IF($B40=0,1000000,IF(INDEX('計算A'!$D$60:$II$104,$B40,128)*HT40=1,IF(AND($E40=2,RA40=0),1000000,INDEX('計算A'!EA$110:EA$114,$F40+1)+IF(AND($E40=1,RA40=0),1000,0)),1000000))</f>
        <v/>
      </c>
      <c r="AAI40">
        <f>IF($B40=0,1000000,IF(INDEX('計算A'!$D$60:$II$104,$B40,129)*HU40=1,IF(AND($E40=2,RB40=0),1000000,INDEX('計算A'!EB$110:EB$114,$F40+1)+IF(AND($E40=1,RB40=0),1000,0)),1000000))</f>
        <v/>
      </c>
      <c r="AAJ40">
        <f>IF($B40=0,1000000,IF(INDEX('計算A'!$D$60:$II$104,$B40,130)*HV40=1,IF(AND($E40=2,RC40=0),1000000,INDEX('計算A'!EC$110:EC$114,$F40+1)+IF(AND($E40=1,RC40=0),1000,0)),1000000))</f>
        <v/>
      </c>
      <c r="AAK40">
        <f>IF($B40=0,1000000,IF(INDEX('計算A'!$D$60:$II$104,$B40,131)*HW40=1,IF(AND($E40=2,RD40=0),1000000,INDEX('計算A'!ED$110:ED$114,$F40+1)+IF(AND($E40=1,RD40=0),1000,0)),1000000))</f>
        <v/>
      </c>
      <c r="AAL40">
        <f>IF($B40=0,1000000,IF(INDEX('計算A'!$D$60:$II$104,$B40,132)*HX40=1,IF(AND($E40=2,RE40=0),1000000,INDEX('計算A'!EE$110:EE$114,$F40+1)+IF(AND($E40=1,RE40=0),1000,0)),1000000))</f>
        <v/>
      </c>
      <c r="AAM40">
        <f>IF($B40=0,1000000,IF(INDEX('計算A'!$D$60:$II$104,$B40,133)*HY40=1,IF(AND($E40=2,RF40=0),1000000,INDEX('計算A'!EF$110:EF$114,$F40+1)+IF(AND($E40=1,RF40=0),1000,0)),1000000))</f>
        <v/>
      </c>
      <c r="AAN40">
        <f>IF($B40=0,1000000,IF(INDEX('計算A'!$D$60:$II$104,$B40,134)*HZ40=1,IF(AND($E40=2,RG40=0),1000000,INDEX('計算A'!EG$110:EG$114,$F40+1)+IF(AND($E40=1,RG40=0),1000,0)),1000000))</f>
        <v/>
      </c>
      <c r="AAO40">
        <f>IF($B40=0,1000000,IF(INDEX('計算A'!$D$60:$II$104,$B40,135)*IA40=1,IF(AND($E40=2,RH40=0),1000000,INDEX('計算A'!EH$110:EH$114,$F40+1)+IF(AND($E40=1,RH40=0),1000,0)),1000000))</f>
        <v/>
      </c>
      <c r="AAP40">
        <f>IF($B40=0,1000000,IF(INDEX('計算A'!$D$60:$II$104,$B40,136)*IB40=1,IF(AND($E40=2,RI40=0),1000000,INDEX('計算A'!EI$110:EI$114,$F40+1)+IF(AND($E40=1,RI40=0),1000,0)),1000000))</f>
        <v/>
      </c>
      <c r="AAQ40">
        <f>IF($B40=0,1000000,IF(INDEX('計算A'!$D$60:$II$104,$B40,137)*IC40=1,IF(AND($E40=2,RJ40=0),1000000,INDEX('計算A'!EJ$110:EJ$114,$F40+1)+IF(AND($E40=1,RJ40=0),1000,0)),1000000))</f>
        <v/>
      </c>
      <c r="AAR40">
        <f>IF($B40=0,1000000,IF(INDEX('計算A'!$D$60:$II$104,$B40,138)*ID40=1,IF(AND($E40=2,RK40=0),1000000,INDEX('計算A'!EK$110:EK$114,$F40+1)+IF(AND($E40=1,RK40=0),1000,0)),1000000))</f>
        <v/>
      </c>
      <c r="AAS40">
        <f>IF($B40=0,1000000,IF(INDEX('計算A'!$D$60:$II$104,$B40,139)*IE40=1,IF(AND($E40=2,RL40=0),1000000,INDEX('計算A'!EL$110:EL$114,$F40+1)+IF(AND($E40=1,RL40=0),1000,0)),1000000))</f>
        <v/>
      </c>
      <c r="AAT40">
        <f>IF($B40=0,1000000,IF(INDEX('計算A'!$D$60:$II$104,$B40,140)*IF40=1,IF(AND($E40=2,RM40=0),1000000,INDEX('計算A'!EM$110:EM$114,$F40+1)+IF(AND($E40=1,RM40=0),1000,0)),1000000))</f>
        <v/>
      </c>
      <c r="AAU40">
        <f>IF($B40=0,1000000,IF(INDEX('計算A'!$D$60:$II$104,$B40,141)*IG40=1,IF(AND($E40=2,RN40=0),1000000,INDEX('計算A'!EN$110:EN$114,$F40+1)+IF(AND($E40=1,RN40=0),1000,0)),1000000))</f>
        <v/>
      </c>
      <c r="AAV40">
        <f>IF($B40=0,1000000,IF(INDEX('計算A'!$D$60:$II$104,$B40,142)*IH40=1,IF(AND($E40=2,RO40=0),1000000,INDEX('計算A'!EO$110:EO$114,$F40+1)+IF(AND($E40=1,RO40=0),1000,0)),1000000))</f>
        <v/>
      </c>
      <c r="AAW40">
        <f>IF($B40=0,1000000,IF(INDEX('計算A'!$D$60:$II$104,$B40,143)*II40=1,IF(AND($E40=2,RP40=0),1000000,INDEX('計算A'!EP$110:EP$114,$F40+1)+IF(AND($E40=1,RP40=0),1000,0)),1000000))</f>
        <v/>
      </c>
      <c r="AAX40">
        <f>IF($B40=0,1000000,IF(INDEX('計算A'!$D$60:$II$104,$B40,144)*IJ40=1,IF(AND($E40=2,RQ40=0),1000000,INDEX('計算A'!EQ$110:EQ$114,$F40+1)+IF(AND($E40=1,RQ40=0),1000,0)),1000000))</f>
        <v/>
      </c>
      <c r="AAY40">
        <f>IF($B40=0,1000000,IF(INDEX('計算A'!$D$60:$II$104,$B40,145)*IK40=1,IF(AND($E40=2,RR40=0),1000000,INDEX('計算A'!ER$110:ER$114,$F40+1)+IF(AND($E40=1,RR40=0),1000,0)),1000000))</f>
        <v/>
      </c>
      <c r="AAZ40">
        <f>IF($B40=0,1000000,IF(INDEX('計算A'!$D$60:$II$104,$B40,146)*IL40=1,IF(AND($E40=2,RS40=0),1000000,INDEX('計算A'!ES$110:ES$114,$F40+1)+IF(AND($E40=1,RS40=0),1000,0)),1000000))</f>
        <v/>
      </c>
      <c r="ABA40">
        <f>IF($B40=0,1000000,IF(INDEX('計算A'!$D$60:$II$104,$B40,147)*IM40=1,IF(AND($E40=2,RT40=0),1000000,INDEX('計算A'!ET$110:ET$114,$F40+1)+IF(AND($E40=1,RT40=0),1000,0)),1000000))</f>
        <v/>
      </c>
      <c r="ABB40">
        <f>IF($B40=0,1000000,IF(INDEX('計算A'!$D$60:$II$104,$B40,148)*IN40=1,IF(AND($E40=2,RU40=0),1000000,INDEX('計算A'!EU$110:EU$114,$F40+1)+IF(AND($E40=1,RU40=0),1000,0)),1000000))</f>
        <v/>
      </c>
      <c r="ABC40">
        <f>IF($B40=0,1000000,IF(INDEX('計算A'!$D$60:$II$104,$B40,149)*IO40=1,IF(AND($E40=2,RV40=0),1000000,INDEX('計算A'!EV$110:EV$114,$F40+1)+IF(AND($E40=1,RV40=0),1000,0)),1000000))</f>
        <v/>
      </c>
      <c r="ABD40">
        <f>IF($B40=0,1000000,IF(INDEX('計算A'!$D$60:$II$104,$B40,150)*IP40=1,IF(AND($E40=2,RW40=0),1000000,INDEX('計算A'!EW$110:EW$114,$F40+1)+IF(AND($E40=1,RW40=0),1000,0)),1000000))</f>
        <v/>
      </c>
      <c r="ABE40">
        <f>IF($B40=0,1000000,IF(INDEX('計算A'!$D$60:$II$104,$B40,151)*IQ40=1,IF(AND($E40=2,RX40=0),1000000,INDEX('計算A'!EX$110:EX$114,$F40+1)+IF(AND($E40=1,RX40=0),1000,0)),1000000))</f>
        <v/>
      </c>
      <c r="ABF40">
        <f>IF($B40=0,1000000,IF(INDEX('計算A'!$D$60:$II$104,$B40,152)*IR40=1,IF(AND($E40=2,RY40=0),1000000,INDEX('計算A'!EY$110:EY$114,$F40+1)+IF(AND($E40=1,RY40=0),1000,0)),1000000))</f>
        <v/>
      </c>
      <c r="ABG40">
        <f>IF($B40=0,1000000,IF(INDEX('計算A'!$D$60:$II$104,$B40,153)*IS40=1,IF(AND($E40=2,RZ40=0),1000000,INDEX('計算A'!EZ$110:EZ$114,$F40+1)+IF(AND($E40=1,RZ40=0),1000,0)),1000000))</f>
        <v/>
      </c>
      <c r="ABH40">
        <f>IF($B40=0,1000000,IF(INDEX('計算A'!$D$60:$II$104,$B40,154)*IT40=1,IF(AND($E40=2,SA40=0),1000000,INDEX('計算A'!FA$110:FA$114,$F40+1)+IF(AND($E40=1,SA40=0),1000,0)),1000000))</f>
        <v/>
      </c>
      <c r="ABI40">
        <f>IF($B40=0,1000000,IF(INDEX('計算A'!$D$60:$II$104,$B40,155)*IU40=1,IF(AND($E40=2,SB40=0),1000000,INDEX('計算A'!FB$110:FB$114,$F40+1)+IF(AND($E40=1,SB40=0),1000,0)),1000000))</f>
        <v/>
      </c>
      <c r="ABJ40">
        <f>IF($B40=0,1000000,IF(INDEX('計算A'!$D$60:$II$104,$B40,156)*IV40=1,IF(AND($E40=2,SC40=0),1000000,INDEX('計算A'!FC$110:FC$114,$F40+1)+IF(AND($E40=1,SC40=0),1000,0)),1000000))</f>
        <v/>
      </c>
      <c r="ABK40">
        <f>IF($B40=0,1000000,IF(INDEX('計算A'!$D$60:$II$104,$B40,157)*IW40=1,IF(AND($E40=2,SD40=0),1000000,INDEX('計算A'!FD$110:FD$114,$F40+1)+IF(AND($E40=1,SD40=0),1000,0)),1000000))</f>
        <v/>
      </c>
      <c r="ABL40">
        <f>IF($B40=0,1000000,IF(INDEX('計算A'!$D$60:$II$104,$B40,158)*IX40=1,IF(AND($E40=2,SE40=0),1000000,INDEX('計算A'!FE$110:FE$114,$F40+1)+IF(AND($E40=1,SE40=0),1000,0)),1000000))</f>
        <v/>
      </c>
      <c r="ABM40">
        <f>IF($B40=0,1000000,IF(INDEX('計算A'!$D$60:$II$104,$B40,159)*IY40=1,IF(AND($E40=2,SF40=0),1000000,INDEX('計算A'!FF$110:FF$114,$F40+1)+IF(AND($E40=1,SF40=0),1000,0)),1000000))</f>
        <v/>
      </c>
      <c r="ABN40">
        <f>IF($B40=0,1000000,IF(INDEX('計算A'!$D$60:$II$104,$B40,160)*IZ40=1,IF(AND($E40=2,SG40=0),1000000,INDEX('計算A'!FG$110:FG$114,$F40+1)+IF(AND($E40=1,SG40=0),1000,0)),1000000))</f>
        <v/>
      </c>
      <c r="ABO40">
        <f>IF($B40=0,1000000,IF(INDEX('計算A'!$D$60:$II$104,$B40,161)*JA40=1,IF(AND($E40=2,SH40=0),1000000,INDEX('計算A'!FH$110:FH$114,$F40+1)+IF(AND($E40=1,SH40=0),1000,0)),1000000))</f>
        <v/>
      </c>
      <c r="ABP40">
        <f>IF($B40=0,1000000,IF(INDEX('計算A'!$D$60:$II$104,$B40,162)*JB40=1,IF(AND($E40=2,SI40=0),1000000,INDEX('計算A'!FI$110:FI$114,$F40+1)+IF(AND($E40=1,SI40=0),1000,0)),1000000))</f>
        <v/>
      </c>
      <c r="ABQ40">
        <f>IF($B40=0,1000000,IF(INDEX('計算A'!$D$60:$II$104,$B40,163)*JC40=1,IF(AND($E40=2,SJ40=0),1000000,INDEX('計算A'!FJ$110:FJ$114,$F40+1)+IF(AND($E40=1,SJ40=0),1000,0)),1000000))</f>
        <v/>
      </c>
      <c r="ABR40">
        <f>IF($B40=0,1000000,IF(INDEX('計算A'!$D$60:$II$104,$B40,164)*JD40=1,IF(AND($E40=2,SK40=0),1000000,INDEX('計算A'!FK$110:FK$114,$F40+1)+IF(AND($E40=1,SK40=0),1000,0)),1000000))</f>
        <v/>
      </c>
      <c r="ABS40">
        <f>IF($B40=0,1000000,IF(INDEX('計算A'!$D$60:$II$104,$B40,165)*JE40=1,IF(AND($E40=2,SL40=0),1000000,INDEX('計算A'!FL$110:FL$114,$F40+1)+IF(AND($E40=1,SL40=0),1000,0)),1000000))</f>
        <v/>
      </c>
      <c r="ABT40">
        <f>IF($B40=0,1000000,IF(INDEX('計算A'!$D$60:$II$104,$B40,166)*JF40=1,IF(AND($E40=2,SM40=0),1000000,INDEX('計算A'!FM$110:FM$114,$F40+1)+IF(AND($E40=1,SM40=0),1000,0)),1000000))</f>
        <v/>
      </c>
      <c r="ABU40">
        <f>IF($B40=0,1000000,IF(INDEX('計算A'!$D$60:$II$104,$B40,167)*JG40=1,IF(AND($E40=2,SN40=0),1000000,INDEX('計算A'!FN$110:FN$114,$F40+1)+IF(AND($E40=1,SN40=0),1000,0)),1000000))</f>
        <v/>
      </c>
      <c r="ABV40">
        <f>IF($B40=0,1000000,IF(INDEX('計算A'!$D$60:$II$104,$B40,168)*JH40=1,IF(AND($E40=2,SO40=0),1000000,INDEX('計算A'!FO$110:FO$114,$F40+1)+IF(AND($E40=1,SO40=0),1000,0)),1000000))</f>
        <v/>
      </c>
      <c r="ABW40">
        <f>IF($B40=0,1000000,IF(INDEX('計算A'!$D$60:$II$104,$B40,169)*JI40=1,IF(AND($E40=2,SP40=0),1000000,INDEX('計算A'!FP$110:FP$114,$F40+1)+IF(AND($E40=1,SP40=0),1000,0)),1000000))</f>
        <v/>
      </c>
      <c r="ABX40">
        <f>IF($B40=0,1000000,IF(INDEX('計算A'!$D$60:$II$104,$B40,170)*JJ40=1,IF(AND($E40=2,SQ40=0),1000000,INDEX('計算A'!FQ$110:FQ$114,$F40+1)+IF(AND($E40=1,SQ40=0),1000,0)),1000000))</f>
        <v/>
      </c>
      <c r="ABY40">
        <f>IF($B40=0,1000000,IF(INDEX('計算A'!$D$60:$II$104,$B40,171)*JK40=1,IF(AND($E40=2,SR40=0),1000000,INDEX('計算A'!FR$110:FR$114,$F40+1)+IF(AND($E40=1,SR40=0),1000,0)),1000000))</f>
        <v/>
      </c>
      <c r="ABZ40">
        <f>IF($B40=0,1000000,IF(INDEX('計算A'!$D$60:$II$104,$B40,172)*JL40=1,IF(AND($E40=2,SS40=0),1000000,INDEX('計算A'!FS$110:FS$114,$F40+1)+IF(AND($E40=1,SS40=0),1000,0)),1000000))</f>
        <v/>
      </c>
      <c r="ACA40">
        <f>IF($B40=0,1000000,IF(INDEX('計算A'!$D$60:$II$104,$B40,173)*JM40=1,IF(AND($E40=2,ST40=0),1000000,INDEX('計算A'!FT$110:FT$114,$F40+1)+IF(AND($E40=1,ST40=0),1000,0)),1000000))</f>
        <v/>
      </c>
      <c r="ACB40">
        <f>IF($B40=0,1000000,IF(INDEX('計算A'!$D$60:$II$104,$B40,174)*JN40=1,IF(AND($E40=2,SU40=0),1000000,INDEX('計算A'!FU$110:FU$114,$F40+1)+IF(AND($E40=1,SU40=0),1000,0)),1000000))</f>
        <v/>
      </c>
      <c r="ACC40">
        <f>IF($B40=0,1000000,IF(INDEX('計算A'!$D$60:$II$104,$B40,175)*JO40=1,IF(AND($E40=2,SV40=0),1000000,INDEX('計算A'!FV$110:FV$114,$F40+1)+IF(AND($E40=1,SV40=0),1000,0)),1000000))</f>
        <v/>
      </c>
      <c r="ACD40">
        <f>IF($B40=0,1000000,IF(INDEX('計算A'!$D$60:$II$104,$B40,176)*JP40=1,IF(AND($E40=2,SW40=0),1000000,INDEX('計算A'!FW$110:FW$114,$F40+1)+IF(AND($E40=1,SW40=0),1000,0)),1000000))</f>
        <v/>
      </c>
      <c r="ACE40">
        <f>IF($B40=0,1000000,IF(INDEX('計算A'!$D$60:$II$104,$B40,177)*JQ40=1,IF(AND($E40=2,SX40=0),1000000,INDEX('計算A'!FX$110:FX$114,$F40+1)+IF(AND($E40=1,SX40=0),1000,0)),1000000))</f>
        <v/>
      </c>
      <c r="ACF40">
        <f>IF($B40=0,1000000,IF(INDEX('計算A'!$D$60:$II$104,$B40,178)*JR40=1,IF(AND($E40=2,SY40=0),1000000,INDEX('計算A'!FY$110:FY$114,$F40+1)+IF(AND($E40=1,SY40=0),1000,0)),1000000))</f>
        <v/>
      </c>
      <c r="ACG40">
        <f>IF($B40=0,1000000,IF(INDEX('計算A'!$D$60:$II$104,$B40,179)*JS40=1,IF(AND($E40=2,SZ40=0),1000000,INDEX('計算A'!FZ$110:FZ$114,$F40+1)+IF(AND($E40=1,SZ40=0),1000,0)),1000000))</f>
        <v/>
      </c>
      <c r="ACH40">
        <f>IF($B40=0,1000000,IF(INDEX('計算A'!$D$60:$II$104,$B40,180)*JT40=1,IF(AND($E40=2,TA40=0),1000000,INDEX('計算A'!GA$110:GA$114,$F40+1)+IF(AND($E40=1,TA40=0),1000,0)),1000000))</f>
        <v/>
      </c>
      <c r="ACI40">
        <f>IF($B40=0,1000000,IF(INDEX('計算A'!$D$60:$II$104,$B40,181)*JU40=1,IF(AND($E40=2,TB40=0),1000000,INDEX('計算A'!GB$110:GB$114,$F40+1)+IF(AND($E40=1,TB40=0),1000,0)),1000000))</f>
        <v/>
      </c>
      <c r="ACJ40">
        <f>IF($B40=0,1000000,IF(INDEX('計算A'!$D$60:$II$104,$B40,182)*JV40=1,IF(AND($E40=2,TC40=0),1000000,INDEX('計算A'!GC$110:GC$114,$F40+1)+IF(AND($E40=1,TC40=0),1000,0)),1000000))</f>
        <v/>
      </c>
      <c r="ACK40">
        <f>IF($B40=0,1000000,IF(INDEX('計算A'!$D$60:$II$104,$B40,183)*JW40=1,IF(AND($E40=2,TD40=0),1000000,INDEX('計算A'!GD$110:GD$114,$F40+1)+IF(AND($E40=1,TD40=0),1000,0)),1000000))</f>
        <v/>
      </c>
      <c r="ACL40">
        <f>IF($B40=0,1000000,IF(INDEX('計算A'!$D$60:$II$104,$B40,184)*JX40=1,IF(AND($E40=2,TE40=0),1000000,INDEX('計算A'!GE$110:GE$114,$F40+1)+IF(AND($E40=1,TE40=0),1000,0)),1000000))</f>
        <v/>
      </c>
      <c r="ACM40">
        <f>IF($B40=0,1000000,IF(INDEX('計算A'!$D$60:$II$104,$B40,185)*JY40=1,IF(AND($E40=2,TF40=0),1000000,INDEX('計算A'!GF$110:GF$114,$F40+1)+IF(AND($E40=1,TF40=0),1000,0)),1000000))</f>
        <v/>
      </c>
      <c r="ACN40">
        <f>IF($B40=0,1000000,IF(INDEX('計算A'!$D$60:$II$104,$B40,186)*JZ40=1,IF(AND($E40=2,TG40=0),1000000,INDEX('計算A'!GG$110:GG$114,$F40+1)+IF(AND($E40=1,TG40=0),1000,0)),1000000))</f>
        <v/>
      </c>
      <c r="ACO40">
        <f>IF($B40=0,1000000,IF(INDEX('計算A'!$D$60:$II$104,$B40,187)*KA40=1,IF(AND($E40=2,TH40=0),1000000,INDEX('計算A'!GH$110:GH$114,$F40+1)+IF(AND($E40=1,TH40=0),1000,0)),1000000))</f>
        <v/>
      </c>
      <c r="ACP40">
        <f>IF($B40=0,1000000,IF(INDEX('計算A'!$D$60:$II$104,$B40,188)*KB40=1,IF(AND($E40=2,TI40=0),1000000,INDEX('計算A'!GI$110:GI$114,$F40+1)+IF(AND($E40=1,TI40=0),1000,0)),1000000))</f>
        <v/>
      </c>
      <c r="ACQ40">
        <f>IF($B40=0,1000000,IF(INDEX('計算A'!$D$60:$II$104,$B40,189)*KC40=1,IF(AND($E40=2,TJ40=0),1000000,INDEX('計算A'!GJ$110:GJ$114,$F40+1)+IF(AND($E40=1,TJ40=0),1000,0)),1000000))</f>
        <v/>
      </c>
      <c r="ACR40">
        <f>IF($B40=0,1000000,IF(INDEX('計算A'!$D$60:$II$104,$B40,190)*KD40=1,IF(AND($E40=2,TK40=0),1000000,INDEX('計算A'!GK$110:GK$114,$F40+1)+IF(AND($E40=1,TK40=0),1000,0)),1000000))</f>
        <v/>
      </c>
      <c r="ACS40">
        <f>IF($B40=0,1000000,IF(INDEX('計算A'!$D$60:$II$104,$B40,191)*KE40=1,IF(AND($E40=2,TL40=0),1000000,INDEX('計算A'!GL$110:GL$114,$F40+1)+IF(AND($E40=1,TL40=0),1000,0)),1000000))</f>
        <v/>
      </c>
      <c r="ACT40">
        <f>IF($B40=0,1000000,IF(INDEX('計算A'!$D$60:$II$104,$B40,192)*KF40=1,IF(AND($E40=2,TM40=0),1000000,INDEX('計算A'!GM$110:GM$114,$F40+1)+IF(AND($E40=1,TM40=0),1000,0)),1000000))</f>
        <v/>
      </c>
      <c r="ACU40">
        <f>IF($B40=0,1000000,IF(INDEX('計算A'!$D$60:$II$104,$B40,193)*KG40=1,IF(AND($E40=2,TN40=0),1000000,INDEX('計算A'!GN$110:GN$114,$F40+1)+IF(AND($E40=1,TN40=0),1000,0)),1000000))</f>
        <v/>
      </c>
      <c r="ACV40">
        <f>IF($B40=0,1000000,IF(INDEX('計算A'!$D$60:$II$104,$B40,194)*KH40=1,IF(AND($E40=2,TO40=0),1000000,INDEX('計算A'!GO$110:GO$114,$F40+1)+IF(AND($E40=1,TO40=0),1000,0)),1000000))</f>
        <v/>
      </c>
      <c r="ACW40">
        <f>IF($B40=0,1000000,IF(INDEX('計算A'!$D$60:$II$104,$B40,195)*KI40=1,IF(AND($E40=2,TP40=0),1000000,INDEX('計算A'!GP$110:GP$114,$F40+1)+IF(AND($E40=1,TP40=0),1000,0)),1000000))</f>
        <v/>
      </c>
      <c r="ACX40">
        <f>IF($B40=0,1000000,IF(INDEX('計算A'!$D$60:$II$104,$B40,196)*KJ40=1,IF(AND($E40=2,TQ40=0),1000000,INDEX('計算A'!GQ$110:GQ$114,$F40+1)+IF(AND($E40=1,TQ40=0),1000,0)),1000000))</f>
        <v/>
      </c>
      <c r="ACY40">
        <f>IF($B40=0,1000000,IF(INDEX('計算A'!$D$60:$II$104,$B40,197)*KK40=1,IF(AND($E40=2,TR40=0),1000000,INDEX('計算A'!GR$110:GR$114,$F40+1)+IF(AND($E40=1,TR40=0),1000,0)),1000000))</f>
        <v/>
      </c>
      <c r="ACZ40">
        <f>IF($B40=0,1000000,IF(INDEX('計算A'!$D$60:$II$104,$B40,198)*KL40=1,IF(AND($E40=2,TS40=0),1000000,INDEX('計算A'!GS$110:GS$114,$F40+1)+IF(AND($E40=1,TS40=0),1000,0)),1000000))</f>
        <v/>
      </c>
      <c r="ADA40">
        <f>IF($B40=0,1000000,IF(INDEX('計算A'!$D$60:$II$104,$B40,199)*KM40=1,IF(AND($E40=2,TT40=0),1000000,INDEX('計算A'!GT$110:GT$114,$F40+1)+IF(AND($E40=1,TT40=0),1000,0)),1000000))</f>
        <v/>
      </c>
      <c r="ADB40">
        <f>IF($B40=0,1000000,IF(INDEX('計算A'!$D$60:$II$104,$B40,200)*KN40=1,IF(AND($E40=2,TU40=0),1000000,INDEX('計算A'!GU$110:GU$114,$F40+1)+IF(AND($E40=1,TU40=0),1000,0)),1000000))</f>
        <v/>
      </c>
      <c r="ADC40">
        <f>IF($B40=0,1000000,IF(INDEX('計算A'!$D$60:$II$104,$B40,201)*KO40=1,IF(AND($E40=2,TV40=0),1000000,INDEX('計算A'!GV$110:GV$114,$F40+1)+IF(AND($E40=1,TV40=0),1000,0)),1000000))</f>
        <v/>
      </c>
      <c r="ADD40">
        <f>IF($B40=0,1000000,IF(INDEX('計算A'!$D$60:$II$104,$B40,202)*KP40=1,IF(AND($E40=2,TW40=0),1000000,INDEX('計算A'!GW$110:GW$114,$F40+1)+IF(AND($E40=1,TW40=0),1000,0)),1000000))</f>
        <v/>
      </c>
      <c r="ADE40">
        <f>IF($B40=0,1000000,IF(INDEX('計算A'!$D$60:$II$104,$B40,203)*KQ40=1,IF(AND($E40=2,TX40=0),1000000,INDEX('計算A'!GX$110:GX$114,$F40+1)+IF(AND($E40=1,TX40=0),1000,0)),1000000))</f>
        <v/>
      </c>
      <c r="ADF40">
        <f>IF($B40=0,1000000,IF(INDEX('計算A'!$D$60:$II$104,$B40,204)*KR40=1,IF(AND($E40=2,TY40=0),1000000,INDEX('計算A'!GY$110:GY$114,$F40+1)+IF(AND($E40=1,TY40=0),1000,0)),1000000))</f>
        <v/>
      </c>
      <c r="ADG40">
        <f>IF($B40=0,1000000,IF(INDEX('計算A'!$D$60:$II$104,$B40,205)*KS40=1,IF(AND($E40=2,TZ40=0),1000000,INDEX('計算A'!GZ$110:GZ$114,$F40+1)+IF(AND($E40=1,TZ40=0),1000,0)),1000000))</f>
        <v/>
      </c>
      <c r="ADH40">
        <f>IF($B40=0,1000000,IF(INDEX('計算A'!$D$60:$II$104,$B40,206)*KT40=1,IF(AND($E40=2,UA40=0),1000000,INDEX('計算A'!HA$110:HA$114,$F40+1)+IF(AND($E40=1,UA40=0),1000,0)),1000000))</f>
        <v/>
      </c>
      <c r="ADI40">
        <f>IF($B40=0,1000000,IF(INDEX('計算A'!$D$60:$II$104,$B40,207)*KU40=1,IF(AND($E40=2,UB40=0),1000000,INDEX('計算A'!HB$110:HB$114,$F40+1)+IF(AND($E40=1,UB40=0),1000,0)),1000000))</f>
        <v/>
      </c>
      <c r="ADJ40">
        <f>IF($B40=0,1000000,IF(INDEX('計算A'!$D$60:$II$104,$B40,208)*KV40=1,IF(AND($E40=2,UC40=0),1000000,INDEX('計算A'!HC$110:HC$114,$F40+1)+IF(AND($E40=1,UC40=0),1000,0)),1000000))</f>
        <v/>
      </c>
      <c r="ADK40">
        <f>IF($B40=0,1000000,IF(INDEX('計算A'!$D$60:$II$104,$B40,209)*KW40=1,IF(AND($E40=2,UD40=0),1000000,INDEX('計算A'!HD$110:HD$114,$F40+1)+IF(AND($E40=1,UD40=0),1000,0)),1000000))</f>
        <v/>
      </c>
      <c r="ADL40">
        <f>IF($B40=0,1000000,IF(INDEX('計算A'!$D$60:$II$104,$B40,210)*KX40=1,IF(AND($E40=2,UE40=0),1000000,INDEX('計算A'!HE$110:HE$114,$F40+1)+IF(AND($E40=1,UE40=0),1000,0)),1000000))</f>
        <v/>
      </c>
      <c r="ADM40">
        <f>IF($B40=0,1000000,IF(INDEX('計算A'!$D$60:$II$104,$B40,211)*KY40=1,IF(AND($E40=2,UF40=0),1000000,INDEX('計算A'!HF$110:HF$114,$F40+1)+IF(AND($E40=1,UF40=0),1000,0)),1000000))</f>
        <v/>
      </c>
      <c r="ADN40">
        <f>IF($B40=0,1000000,IF(INDEX('計算A'!$D$60:$II$104,$B40,212)*KZ40=1,IF(AND($E40=2,UG40=0),1000000,INDEX('計算A'!HG$110:HG$114,$F40+1)+IF(AND($E40=1,UG40=0),1000,0)),1000000))</f>
        <v/>
      </c>
      <c r="ADO40">
        <f>IF($B40=0,1000000,IF(INDEX('計算A'!$D$60:$II$104,$B40,213)*LA40=1,IF(AND($E40=2,UH40=0),1000000,INDEX('計算A'!HH$110:HH$114,$F40+1)+IF(AND($E40=1,UH40=0),1000,0)),1000000))</f>
        <v/>
      </c>
      <c r="ADP40">
        <f>IF($B40=0,1000000,IF(INDEX('計算A'!$D$60:$II$104,$B40,214)*LB40=1,IF(AND($E40=2,UI40=0),1000000,INDEX('計算A'!HI$110:HI$114,$F40+1)+IF(AND($E40=1,UI40=0),1000,0)),1000000))</f>
        <v/>
      </c>
      <c r="ADQ40">
        <f>IF($B40=0,1000000,IF(INDEX('計算A'!$D$60:$II$104,$B40,215)*LC40=1,IF(AND($E40=2,UJ40=0),1000000,INDEX('計算A'!HJ$110:HJ$114,$F40+1)+IF(AND($E40=1,UJ40=0),1000,0)),1000000))</f>
        <v/>
      </c>
      <c r="ADR40">
        <f>IF($B40=0,1000000,IF(INDEX('計算A'!$D$60:$II$104,$B40,216)*LD40=1,IF(AND($E40=2,UK40=0),1000000,INDEX('計算A'!HK$110:HK$114,$F40+1)+IF(AND($E40=1,UK40=0),1000,0)),1000000))</f>
        <v/>
      </c>
      <c r="ADS40">
        <f>IF($B40=0,1000000,IF(INDEX('計算A'!$D$60:$II$104,$B40,217)*LE40=1,IF(AND($E40=2,UL40=0),1000000,INDEX('計算A'!HL$110:HL$114,$F40+1)+IF(AND($E40=1,UL40=0),1000,0)),1000000))</f>
        <v/>
      </c>
      <c r="ADT40">
        <f>IF($B40=0,1000000,IF(INDEX('計算A'!$D$60:$II$104,$B40,218)*LF40=1,IF(AND($E40=2,UM40=0),1000000,INDEX('計算A'!HM$110:HM$114,$F40+1)+IF(AND($E40=1,UM40=0),1000,0)),1000000))</f>
        <v/>
      </c>
      <c r="ADU40">
        <f>IF($B40=0,1000000,IF(INDEX('計算A'!$D$60:$II$104,$B40,219)*LG40=1,IF(AND($E40=2,UN40=0),1000000,INDEX('計算A'!HN$110:HN$114,$F40+1)+IF(AND($E40=1,UN40=0),1000,0)),1000000))</f>
        <v/>
      </c>
      <c r="ADV40">
        <f>IF($B40=0,1000000,IF(INDEX('計算A'!$D$60:$II$104,$B40,220)*LH40=1,IF(AND($E40=2,UO40=0),1000000,INDEX('計算A'!HO$110:HO$114,$F40+1)+IF(AND($E40=1,UO40=0),1000,0)),1000000))</f>
        <v/>
      </c>
      <c r="ADW40">
        <f>IF($B40=0,1000000,IF(INDEX('計算A'!$D$60:$II$104,$B40,221)*LI40=1,IF(AND($E40=2,UP40=0),1000000,INDEX('計算A'!HP$110:HP$114,$F40+1)+IF(AND($E40=1,UP40=0),1000,0)),1000000))</f>
        <v/>
      </c>
      <c r="ADX40">
        <f>IF($B40=0,1000000,IF(INDEX('計算A'!$D$60:$II$104,$B40,222)*LJ40=1,IF(AND($E40=2,UQ40=0),1000000,INDEX('計算A'!HQ$110:HQ$114,$F40+1)+IF(AND($E40=1,UQ40=0),1000,0)),1000000))</f>
        <v/>
      </c>
      <c r="ADY40">
        <f>IF($B40=0,1000000,IF(INDEX('計算A'!$D$60:$II$104,$B40,223)*LK40=1,IF(AND($E40=2,UR40=0),1000000,INDEX('計算A'!HR$110:HR$114,$F40+1)+IF(AND($E40=1,UR40=0),1000,0)),1000000))</f>
        <v/>
      </c>
      <c r="ADZ40">
        <f>IF($B40=0,1000000,IF(INDEX('計算A'!$D$60:$II$104,$B40,224)*LL40=1,IF(AND($E40=2,US40=0),1000000,INDEX('計算A'!HS$110:HS$114,$F40+1)+IF(AND($E40=1,US40=0),1000,0)),1000000))</f>
        <v/>
      </c>
      <c r="AEA40">
        <f>IF($B40=0,1000000,IF(INDEX('計算A'!$D$60:$II$104,$B40,225)*LM40=1,IF(AND($E40=2,UT40=0),1000000,INDEX('計算A'!HT$110:HT$114,$F40+1)+IF(AND($E40=1,UT40=0),1000,0)),1000000))</f>
        <v/>
      </c>
      <c r="AEB40">
        <f>IF($B40=0,1000000,IF(INDEX('計算A'!$D$60:$II$104,$B40,226)*LN40=1,IF(AND($E40=2,UU40=0),1000000,INDEX('計算A'!HU$110:HU$114,$F40+1)+IF(AND($E40=1,UU40=0),1000,0)),1000000))</f>
        <v/>
      </c>
      <c r="AEC40">
        <f>IF($B40=0,1000000,IF(INDEX('計算A'!$D$60:$II$104,$B40,227)*LO40=1,IF(AND($E40=2,UV40=0),1000000,INDEX('計算A'!HV$110:HV$114,$F40+1)+IF(AND($E40=1,UV40=0),1000,0)),1000000))</f>
        <v/>
      </c>
      <c r="AED40">
        <f>IF($B40=0,1000000,IF(INDEX('計算A'!$D$60:$II$104,$B40,228)*LP40=1,IF(AND($E40=2,UW40=0),1000000,INDEX('計算A'!HW$110:HW$114,$F40+1)+IF(AND($E40=1,UW40=0),1000,0)),1000000))</f>
        <v/>
      </c>
      <c r="AEE40">
        <f>IF($B40=0,1000000,IF(INDEX('計算A'!$D$60:$II$104,$B40,229)*LQ40=1,IF(AND($E40=2,UX40=0),1000000,INDEX('計算A'!HX$110:HX$114,$F40+1)+IF(AND($E40=1,UX40=0),1000,0)),1000000))</f>
        <v/>
      </c>
      <c r="AEF40">
        <f>IF($B40=0,1000000,IF(INDEX('計算A'!$D$60:$II$104,$B40,230)*LR40=1,IF(AND($E40=2,UY40=0),1000000,INDEX('計算A'!HY$110:HY$114,$F40+1)+IF(AND($E40=1,UY40=0),1000,0)),1000000))</f>
        <v/>
      </c>
      <c r="AEG40">
        <f>IF($B40=0,1000000,IF(INDEX('計算A'!$D$60:$II$104,$B40,231)*LS40=1,IF(AND($E40=2,UZ40=0),1000000,INDEX('計算A'!HZ$110:HZ$114,$F40+1)+IF(AND($E40=1,UZ40=0),1000,0)),1000000))</f>
        <v/>
      </c>
      <c r="AEH40">
        <f>IF($B40=0,1000000,IF(INDEX('計算A'!$D$60:$II$104,$B40,232)*LT40=1,IF(AND($E40=2,VA40=0),1000000,INDEX('計算A'!IA$110:IA$114,$F40+1)+IF(AND($E40=1,VA40=0),1000,0)),1000000))</f>
        <v/>
      </c>
      <c r="AEI40">
        <f>IF($B40=0,1000000,IF(INDEX('計算A'!$D$60:$II$104,$B40,233)*LU40=1,IF(AND($E40=2,VB40=0),1000000,INDEX('計算A'!IB$110:IB$114,$F40+1)+IF(AND($E40=1,VB40=0),1000,0)),1000000))</f>
        <v/>
      </c>
      <c r="AEJ40">
        <f>IF($B40=0,1000000,IF(INDEX('計算A'!$D$60:$II$104,$B40,234)*LV40=1,IF(AND($E40=2,VC40=0),1000000,INDEX('計算A'!IC$110:IC$114,$F40+1)+IF(AND($E40=1,VC40=0),1000,0)),1000000))</f>
        <v/>
      </c>
      <c r="AEK40">
        <f>IF($B40=0,1000000,IF(INDEX('計算A'!$D$60:$II$104,$B40,235)*LW40=1,IF(AND($E40=2,VD40=0),1000000,INDEX('計算A'!ID$110:ID$114,$F40+1)+IF(AND($E40=1,VD40=0),1000,0)),1000000))</f>
        <v/>
      </c>
      <c r="AEL40">
        <f>IF($B40=0,1000000,IF(INDEX('計算A'!$D$60:$II$104,$B40,236)*LX40=1,IF(AND($E40=2,VE40=0),1000000,INDEX('計算A'!IE$110:IE$114,$F40+1)+IF(AND($E40=1,VE40=0),1000,0)),1000000))</f>
        <v/>
      </c>
      <c r="AEM40">
        <f>IF($B40=0,1000000,IF(INDEX('計算A'!$D$60:$II$104,$B40,237)*LY40=1,IF(AND($E40=2,VF40=0),1000000,INDEX('計算A'!IF$110:IF$114,$F40+1)+IF(AND($E40=1,VF40=0),1000,0)),1000000))</f>
        <v/>
      </c>
      <c r="AEN40">
        <f>IF($B40=0,1000000,IF(INDEX('計算A'!$D$60:$II$104,$B40,238)*LZ40=1,IF(AND($E40=2,VG40=0),1000000,INDEX('計算A'!IG$110:IG$114,$F40+1)+IF(AND($E40=1,VG40=0),1000,0)),1000000))</f>
        <v/>
      </c>
      <c r="AEO40">
        <f>IF($B40=0,1000000,IF(INDEX('計算A'!$D$60:$II$104,$B40,239)*MA40=1,IF(AND($E40=2,VH40=0),1000000,INDEX('計算A'!IH$110:IH$114,$F40+1)+IF(AND($E40=1,VH40=0),1000,0)),1000000))</f>
        <v/>
      </c>
      <c r="AEP40">
        <f>IF($B40=0,1000000,IF(INDEX('計算A'!$D$60:$II$104,$B40,240)*MB40=1,IF(AND($E40=2,VI40=0),1000000,INDEX('計算A'!II$110:II$114,$F40+1)+IF(AND($E40=1,VI40=0),1000,0)),1000000))</f>
        <v/>
      </c>
    </row>
    <row r="41">
      <c r="A41" t="n">
        <v>39</v>
      </c>
      <c r="B41">
        <f>IF(MIN(BC41:CU41)&gt;=1000000,0,MATCH(MIN(BC41:CU41),BC41:CU41,0))</f>
        <v/>
      </c>
      <c r="C41">
        <f>IF(MIN(VK41:AEP41)&gt;=1000000,0,MATCH(MIN(VK41:AEP41),VK41:AEP41,0))</f>
        <v/>
      </c>
      <c r="D41">
        <f>IF(C41&gt;0,INDEX('計算A'!$D$5:$II$5,C41),0)</f>
        <v/>
      </c>
      <c r="E41">
        <f>IF(B41=0,0,INDEX('計算A'!$IQ$10:$IQ$54,B41))</f>
        <v/>
      </c>
      <c r="F41">
        <f>IF(B41=0,0,INDEX('計算A'!$IP$10:$IP$54,B41))</f>
        <v/>
      </c>
      <c r="G41">
        <f>IF(AND(C41&gt;0,E41&gt;0),IF(AND(INDEX('計算A'!$D$106:$II$106,C41)=1,INDEX($MD41:$VI41,C41)=1),C41+1,0),0)</f>
        <v/>
      </c>
      <c r="I41">
        <f>MAX(I40,IF($B40=1,1,0))</f>
        <v/>
      </c>
      <c r="J41">
        <f>MAX(J40,IF($B40=2,1,0))</f>
        <v/>
      </c>
      <c r="K41">
        <f>MAX(K40,IF($B40=3,1,0))</f>
        <v/>
      </c>
      <c r="L41">
        <f>MAX(L40,IF($B40=4,1,0))</f>
        <v/>
      </c>
      <c r="M41">
        <f>MAX(M40,IF($B40=5,1,0))</f>
        <v/>
      </c>
      <c r="N41">
        <f>MAX(N40,IF($B40=6,1,0))</f>
        <v/>
      </c>
      <c r="O41">
        <f>MAX(O40,IF($B40=7,1,0))</f>
        <v/>
      </c>
      <c r="P41">
        <f>MAX(P40,IF($B40=8,1,0))</f>
        <v/>
      </c>
      <c r="Q41">
        <f>MAX(Q40,IF($B40=9,1,0))</f>
        <v/>
      </c>
      <c r="R41">
        <f>MAX(R40,IF($B40=10,1,0))</f>
        <v/>
      </c>
      <c r="S41">
        <f>MAX(S40,IF($B40=11,1,0))</f>
        <v/>
      </c>
      <c r="T41">
        <f>MAX(T40,IF($B40=12,1,0))</f>
        <v/>
      </c>
      <c r="U41">
        <f>MAX(U40,IF($B40=13,1,0))</f>
        <v/>
      </c>
      <c r="V41">
        <f>MAX(V40,IF($B40=14,1,0))</f>
        <v/>
      </c>
      <c r="W41">
        <f>MAX(W40,IF($B40=15,1,0))</f>
        <v/>
      </c>
      <c r="X41">
        <f>MAX(X40,IF($B40=16,1,0))</f>
        <v/>
      </c>
      <c r="Y41">
        <f>MAX(Y40,IF($B40=17,1,0))</f>
        <v/>
      </c>
      <c r="Z41">
        <f>MAX(Z40,IF($B40=18,1,0))</f>
        <v/>
      </c>
      <c r="AA41">
        <f>MAX(AA40,IF($B40=19,1,0))</f>
        <v/>
      </c>
      <c r="AB41">
        <f>MAX(AB40,IF($B40=20,1,0))</f>
        <v/>
      </c>
      <c r="AC41">
        <f>MAX(AC40,IF($B40=21,1,0))</f>
        <v/>
      </c>
      <c r="AD41">
        <f>MAX(AD40,IF($B40=22,1,0))</f>
        <v/>
      </c>
      <c r="AE41">
        <f>MAX(AE40,IF($B40=23,1,0))</f>
        <v/>
      </c>
      <c r="AF41">
        <f>MAX(AF40,IF($B40=24,1,0))</f>
        <v/>
      </c>
      <c r="AG41">
        <f>MAX(AG40,IF($B40=25,1,0))</f>
        <v/>
      </c>
      <c r="AH41">
        <f>MAX(AH40,IF($B40=26,1,0))</f>
        <v/>
      </c>
      <c r="AI41">
        <f>MAX(AI40,IF($B40=27,1,0))</f>
        <v/>
      </c>
      <c r="AJ41">
        <f>MAX(AJ40,IF($B40=28,1,0))</f>
        <v/>
      </c>
      <c r="AK41">
        <f>MAX(AK40,IF($B40=29,1,0))</f>
        <v/>
      </c>
      <c r="AL41">
        <f>MAX(AL40,IF($B40=30,1,0))</f>
        <v/>
      </c>
      <c r="AM41">
        <f>MAX(AM40,IF($B40=31,1,0))</f>
        <v/>
      </c>
      <c r="AN41">
        <f>MAX(AN40,IF($B40=32,1,0))</f>
        <v/>
      </c>
      <c r="AO41">
        <f>MAX(AO40,IF($B40=33,1,0))</f>
        <v/>
      </c>
      <c r="AP41">
        <f>MAX(AP40,IF($B40=34,1,0))</f>
        <v/>
      </c>
      <c r="AQ41">
        <f>MAX(AQ40,IF($B40=35,1,0))</f>
        <v/>
      </c>
      <c r="AR41">
        <f>MAX(AR40,IF($B40=36,1,0))</f>
        <v/>
      </c>
      <c r="AS41">
        <f>MAX(AS40,IF($B40=37,1,0))</f>
        <v/>
      </c>
      <c r="AT41">
        <f>MAX(AT40,IF($B40=38,1,0))</f>
        <v/>
      </c>
      <c r="AU41">
        <f>MAX(AU40,IF($B40=39,1,0))</f>
        <v/>
      </c>
      <c r="AV41">
        <f>MAX(AV40,IF($B40=40,1,0))</f>
        <v/>
      </c>
      <c r="AW41">
        <f>MAX(AW40,IF($B40=41,1,0))</f>
        <v/>
      </c>
      <c r="AX41">
        <f>MAX(AX40,IF($B40=42,1,0))</f>
        <v/>
      </c>
      <c r="AY41">
        <f>MAX(AY40,IF($B40=43,1,0))</f>
        <v/>
      </c>
      <c r="AZ41">
        <f>MAX(AZ40,IF($B40=44,1,0))</f>
        <v/>
      </c>
      <c r="BA41">
        <f>MAX(BA40,IF($B40=45,1,0))</f>
        <v/>
      </c>
      <c r="BC41">
        <f>IF(I41=1,1000000,IF('計算A'!$IQ$10=2,SUMPRODUCT('計算A'!$D$60:$II$60,$CW41:$MB41,$MD41:$VI41),SUMPRODUCT('計算A'!$D$60:$II$60,$CW41:$MB41))*1000+1)</f>
        <v/>
      </c>
      <c r="BD41">
        <f>IF(J41=1,1000000,IF('計算A'!$IQ$11=2,SUMPRODUCT('計算A'!$D$61:$II$61,$CW41:$MB41,$MD41:$VI41),SUMPRODUCT('計算A'!$D$61:$II$61,$CW41:$MB41))*1000+2)</f>
        <v/>
      </c>
      <c r="BE41">
        <f>IF(K41=1,1000000,IF('計算A'!$IQ$12=2,SUMPRODUCT('計算A'!$D$62:$II$62,$CW41:$MB41,$MD41:$VI41),SUMPRODUCT('計算A'!$D$62:$II$62,$CW41:$MB41))*1000+3)</f>
        <v/>
      </c>
      <c r="BF41">
        <f>IF(L41=1,1000000,IF('計算A'!$IQ$13=2,SUMPRODUCT('計算A'!$D$63:$II$63,$CW41:$MB41,$MD41:$VI41),SUMPRODUCT('計算A'!$D$63:$II$63,$CW41:$MB41))*1000+4)</f>
        <v/>
      </c>
      <c r="BG41">
        <f>IF(M41=1,1000000,IF('計算A'!$IQ$14=2,SUMPRODUCT('計算A'!$D$64:$II$64,$CW41:$MB41,$MD41:$VI41),SUMPRODUCT('計算A'!$D$64:$II$64,$CW41:$MB41))*1000+5)</f>
        <v/>
      </c>
      <c r="BH41">
        <f>IF(N41=1,1000000,IF('計算A'!$IQ$15=2,SUMPRODUCT('計算A'!$D$65:$II$65,$CW41:$MB41,$MD41:$VI41),SUMPRODUCT('計算A'!$D$65:$II$65,$CW41:$MB41))*1000+6)</f>
        <v/>
      </c>
      <c r="BI41">
        <f>IF(O41=1,1000000,IF('計算A'!$IQ$16=2,SUMPRODUCT('計算A'!$D$66:$II$66,$CW41:$MB41,$MD41:$VI41),SUMPRODUCT('計算A'!$D$66:$II$66,$CW41:$MB41))*1000+7)</f>
        <v/>
      </c>
      <c r="BJ41">
        <f>IF(P41=1,1000000,IF('計算A'!$IQ$17=2,SUMPRODUCT('計算A'!$D$67:$II$67,$CW41:$MB41,$MD41:$VI41),SUMPRODUCT('計算A'!$D$67:$II$67,$CW41:$MB41))*1000+8)</f>
        <v/>
      </c>
      <c r="BK41">
        <f>IF(Q41=1,1000000,IF('計算A'!$IQ$18=2,SUMPRODUCT('計算A'!$D$68:$II$68,$CW41:$MB41,$MD41:$VI41),SUMPRODUCT('計算A'!$D$68:$II$68,$CW41:$MB41))*1000+9)</f>
        <v/>
      </c>
      <c r="BL41">
        <f>IF(R41=1,1000000,IF('計算A'!$IQ$19=2,SUMPRODUCT('計算A'!$D$69:$II$69,$CW41:$MB41,$MD41:$VI41),SUMPRODUCT('計算A'!$D$69:$II$69,$CW41:$MB41))*1000+10)</f>
        <v/>
      </c>
      <c r="BM41">
        <f>IF(S41=1,1000000,IF('計算A'!$IQ$20=2,SUMPRODUCT('計算A'!$D$70:$II$70,$CW41:$MB41,$MD41:$VI41),SUMPRODUCT('計算A'!$D$70:$II$70,$CW41:$MB41))*1000+11)</f>
        <v/>
      </c>
      <c r="BN41">
        <f>IF(T41=1,1000000,IF('計算A'!$IQ$21=2,SUMPRODUCT('計算A'!$D$71:$II$71,$CW41:$MB41,$MD41:$VI41),SUMPRODUCT('計算A'!$D$71:$II$71,$CW41:$MB41))*1000+12)</f>
        <v/>
      </c>
      <c r="BO41">
        <f>IF(U41=1,1000000,IF('計算A'!$IQ$22=2,SUMPRODUCT('計算A'!$D$72:$II$72,$CW41:$MB41,$MD41:$VI41),SUMPRODUCT('計算A'!$D$72:$II$72,$CW41:$MB41))*1000+13)</f>
        <v/>
      </c>
      <c r="BP41">
        <f>IF(V41=1,1000000,IF('計算A'!$IQ$23=2,SUMPRODUCT('計算A'!$D$73:$II$73,$CW41:$MB41,$MD41:$VI41),SUMPRODUCT('計算A'!$D$73:$II$73,$CW41:$MB41))*1000+14)</f>
        <v/>
      </c>
      <c r="BQ41">
        <f>IF(W41=1,1000000,IF('計算A'!$IQ$24=2,SUMPRODUCT('計算A'!$D$74:$II$74,$CW41:$MB41,$MD41:$VI41),SUMPRODUCT('計算A'!$D$74:$II$74,$CW41:$MB41))*1000+15)</f>
        <v/>
      </c>
      <c r="BR41">
        <f>IF(X41=1,1000000,IF('計算A'!$IQ$25=2,SUMPRODUCT('計算A'!$D$75:$II$75,$CW41:$MB41,$MD41:$VI41),SUMPRODUCT('計算A'!$D$75:$II$75,$CW41:$MB41))*1000+16)</f>
        <v/>
      </c>
      <c r="BS41">
        <f>IF(Y41=1,1000000,IF('計算A'!$IQ$26=2,SUMPRODUCT('計算A'!$D$76:$II$76,$CW41:$MB41,$MD41:$VI41),SUMPRODUCT('計算A'!$D$76:$II$76,$CW41:$MB41))*1000+17)</f>
        <v/>
      </c>
      <c r="BT41">
        <f>IF(Z41=1,1000000,IF('計算A'!$IQ$27=2,SUMPRODUCT('計算A'!$D$77:$II$77,$CW41:$MB41,$MD41:$VI41),SUMPRODUCT('計算A'!$D$77:$II$77,$CW41:$MB41))*1000+18)</f>
        <v/>
      </c>
      <c r="BU41">
        <f>IF(AA41=1,1000000,IF('計算A'!$IQ$28=2,SUMPRODUCT('計算A'!$D$78:$II$78,$CW41:$MB41,$MD41:$VI41),SUMPRODUCT('計算A'!$D$78:$II$78,$CW41:$MB41))*1000+19)</f>
        <v/>
      </c>
      <c r="BV41">
        <f>IF(AB41=1,1000000,IF('計算A'!$IQ$29=2,SUMPRODUCT('計算A'!$D$79:$II$79,$CW41:$MB41,$MD41:$VI41),SUMPRODUCT('計算A'!$D$79:$II$79,$CW41:$MB41))*1000+20)</f>
        <v/>
      </c>
      <c r="BW41">
        <f>IF(AC41=1,1000000,IF('計算A'!$IQ$30=2,SUMPRODUCT('計算A'!$D$80:$II$80,$CW41:$MB41,$MD41:$VI41),SUMPRODUCT('計算A'!$D$80:$II$80,$CW41:$MB41))*1000+21)</f>
        <v/>
      </c>
      <c r="BX41">
        <f>IF(AD41=1,1000000,IF('計算A'!$IQ$31=2,SUMPRODUCT('計算A'!$D$81:$II$81,$CW41:$MB41,$MD41:$VI41),SUMPRODUCT('計算A'!$D$81:$II$81,$CW41:$MB41))*1000+22)</f>
        <v/>
      </c>
      <c r="BY41">
        <f>IF(AE41=1,1000000,IF('計算A'!$IQ$32=2,SUMPRODUCT('計算A'!$D$82:$II$82,$CW41:$MB41,$MD41:$VI41),SUMPRODUCT('計算A'!$D$82:$II$82,$CW41:$MB41))*1000+23)</f>
        <v/>
      </c>
      <c r="BZ41">
        <f>IF(AF41=1,1000000,IF('計算A'!$IQ$33=2,SUMPRODUCT('計算A'!$D$83:$II$83,$CW41:$MB41,$MD41:$VI41),SUMPRODUCT('計算A'!$D$83:$II$83,$CW41:$MB41))*1000+24)</f>
        <v/>
      </c>
      <c r="CA41">
        <f>IF(AG41=1,1000000,IF('計算A'!$IQ$34=2,SUMPRODUCT('計算A'!$D$84:$II$84,$CW41:$MB41,$MD41:$VI41),SUMPRODUCT('計算A'!$D$84:$II$84,$CW41:$MB41))*1000+25)</f>
        <v/>
      </c>
      <c r="CB41">
        <f>IF(AH41=1,1000000,IF('計算A'!$IQ$35=2,SUMPRODUCT('計算A'!$D$85:$II$85,$CW41:$MB41,$MD41:$VI41),SUMPRODUCT('計算A'!$D$85:$II$85,$CW41:$MB41))*1000+26)</f>
        <v/>
      </c>
      <c r="CC41">
        <f>IF(AI41=1,1000000,IF('計算A'!$IQ$36=2,SUMPRODUCT('計算A'!$D$86:$II$86,$CW41:$MB41,$MD41:$VI41),SUMPRODUCT('計算A'!$D$86:$II$86,$CW41:$MB41))*1000+27)</f>
        <v/>
      </c>
      <c r="CD41">
        <f>IF(AJ41=1,1000000,IF('計算A'!$IQ$37=2,SUMPRODUCT('計算A'!$D$87:$II$87,$CW41:$MB41,$MD41:$VI41),SUMPRODUCT('計算A'!$D$87:$II$87,$CW41:$MB41))*1000+28)</f>
        <v/>
      </c>
      <c r="CE41">
        <f>IF(AK41=1,1000000,IF('計算A'!$IQ$38=2,SUMPRODUCT('計算A'!$D$88:$II$88,$CW41:$MB41,$MD41:$VI41),SUMPRODUCT('計算A'!$D$88:$II$88,$CW41:$MB41))*1000+29)</f>
        <v/>
      </c>
      <c r="CF41">
        <f>IF(AL41=1,1000000,IF('計算A'!$IQ$39=2,SUMPRODUCT('計算A'!$D$89:$II$89,$CW41:$MB41,$MD41:$VI41),SUMPRODUCT('計算A'!$D$89:$II$89,$CW41:$MB41))*1000+30)</f>
        <v/>
      </c>
      <c r="CG41">
        <f>IF(AM41=1,1000000,IF('計算A'!$IQ$40=2,SUMPRODUCT('計算A'!$D$90:$II$90,$CW41:$MB41,$MD41:$VI41),SUMPRODUCT('計算A'!$D$90:$II$90,$CW41:$MB41))*1000+31)</f>
        <v/>
      </c>
      <c r="CH41">
        <f>IF(AN41=1,1000000,IF('計算A'!$IQ$41=2,SUMPRODUCT('計算A'!$D$91:$II$91,$CW41:$MB41,$MD41:$VI41),SUMPRODUCT('計算A'!$D$91:$II$91,$CW41:$MB41))*1000+32)</f>
        <v/>
      </c>
      <c r="CI41">
        <f>IF(AO41=1,1000000,IF('計算A'!$IQ$42=2,SUMPRODUCT('計算A'!$D$92:$II$92,$CW41:$MB41,$MD41:$VI41),SUMPRODUCT('計算A'!$D$92:$II$92,$CW41:$MB41))*1000+33)</f>
        <v/>
      </c>
      <c r="CJ41">
        <f>IF(AP41=1,1000000,IF('計算A'!$IQ$43=2,SUMPRODUCT('計算A'!$D$93:$II$93,$CW41:$MB41,$MD41:$VI41),SUMPRODUCT('計算A'!$D$93:$II$93,$CW41:$MB41))*1000+34)</f>
        <v/>
      </c>
      <c r="CK41">
        <f>IF(AQ41=1,1000000,IF('計算A'!$IQ$44=2,SUMPRODUCT('計算A'!$D$94:$II$94,$CW41:$MB41,$MD41:$VI41),SUMPRODUCT('計算A'!$D$94:$II$94,$CW41:$MB41))*1000+35)</f>
        <v/>
      </c>
      <c r="CL41">
        <f>IF(AR41=1,1000000,IF('計算A'!$IQ$45=2,SUMPRODUCT('計算A'!$D$95:$II$95,$CW41:$MB41,$MD41:$VI41),SUMPRODUCT('計算A'!$D$95:$II$95,$CW41:$MB41))*1000+36)</f>
        <v/>
      </c>
      <c r="CM41">
        <f>IF(AS41=1,1000000,IF('計算A'!$IQ$46=2,SUMPRODUCT('計算A'!$D$96:$II$96,$CW41:$MB41,$MD41:$VI41),SUMPRODUCT('計算A'!$D$96:$II$96,$CW41:$MB41))*1000+37)</f>
        <v/>
      </c>
      <c r="CN41">
        <f>IF(AT41=1,1000000,IF('計算A'!$IQ$47=2,SUMPRODUCT('計算A'!$D$97:$II$97,$CW41:$MB41,$MD41:$VI41),SUMPRODUCT('計算A'!$D$97:$II$97,$CW41:$MB41))*1000+38)</f>
        <v/>
      </c>
      <c r="CO41">
        <f>IF(AU41=1,1000000,IF('計算A'!$IQ$48=2,SUMPRODUCT('計算A'!$D$98:$II$98,$CW41:$MB41,$MD41:$VI41),SUMPRODUCT('計算A'!$D$98:$II$98,$CW41:$MB41))*1000+39)</f>
        <v/>
      </c>
      <c r="CP41">
        <f>IF(AV41=1,1000000,IF('計算A'!$IQ$49=2,SUMPRODUCT('計算A'!$D$99:$II$99,$CW41:$MB41,$MD41:$VI41),SUMPRODUCT('計算A'!$D$99:$II$99,$CW41:$MB41))*1000+40)</f>
        <v/>
      </c>
      <c r="CQ41">
        <f>IF(AW41=1,1000000,IF('計算A'!$IQ$50=2,SUMPRODUCT('計算A'!$D$100:$II$100,$CW41:$MB41,$MD41:$VI41),SUMPRODUCT('計算A'!$D$100:$II$100,$CW41:$MB41))*1000+41)</f>
        <v/>
      </c>
      <c r="CR41">
        <f>IF(AX41=1,1000000,IF('計算A'!$IQ$51=2,SUMPRODUCT('計算A'!$D$101:$II$101,$CW41:$MB41,$MD41:$VI41),SUMPRODUCT('計算A'!$D$101:$II$101,$CW41:$MB41))*1000+42)</f>
        <v/>
      </c>
      <c r="CS41">
        <f>IF(AY41=1,1000000,IF('計算A'!$IQ$52=2,SUMPRODUCT('計算A'!$D$102:$II$102,$CW41:$MB41,$MD41:$VI41),SUMPRODUCT('計算A'!$D$102:$II$102,$CW41:$MB41))*1000+43)</f>
        <v/>
      </c>
      <c r="CT41">
        <f>IF(AZ41=1,1000000,IF('計算A'!$IQ$53=2,SUMPRODUCT('計算A'!$D$103:$II$103,$CW41:$MB41,$MD41:$VI41),SUMPRODUCT('計算A'!$D$103:$II$103,$CW41:$MB41))*1000+44)</f>
        <v/>
      </c>
      <c r="CU41">
        <f>IF(BA41=1,1000000,IF('計算A'!$IQ$54=2,SUMPRODUCT('計算A'!$D$104:$II$104,$CW41:$MB41,$MD41:$VI41),SUMPRODUCT('計算A'!$D$104:$II$104,$CW41:$MB41))*1000+45)</f>
        <v/>
      </c>
      <c r="CW41">
        <f>CW40*IF(OR($C40=1,$G40=1),0,1)</f>
        <v/>
      </c>
      <c r="CX41">
        <f>CX40*IF(OR($C40=2,$G40=2),0,1)</f>
        <v/>
      </c>
      <c r="CY41">
        <f>CY40*IF(OR($C40=3,$G40=3),0,1)</f>
        <v/>
      </c>
      <c r="CZ41">
        <f>CZ40*IF(OR($C40=4,$G40=4),0,1)</f>
        <v/>
      </c>
      <c r="DA41">
        <f>DA40*IF(OR($C40=5,$G40=5),0,1)</f>
        <v/>
      </c>
      <c r="DB41">
        <f>DB40*IF(OR($C40=6,$G40=6),0,1)</f>
        <v/>
      </c>
      <c r="DC41">
        <f>DC40*IF(OR($C40=7,$G40=7),0,1)</f>
        <v/>
      </c>
      <c r="DD41">
        <f>DD40*IF(OR($C40=8,$G40=8),0,1)</f>
        <v/>
      </c>
      <c r="DE41">
        <f>DE40*IF(OR($C40=9,$G40=9),0,1)</f>
        <v/>
      </c>
      <c r="DF41">
        <f>DF40*IF(OR($C40=10,$G40=10),0,1)</f>
        <v/>
      </c>
      <c r="DG41">
        <f>DG40*IF(OR($C40=11,$G40=11),0,1)</f>
        <v/>
      </c>
      <c r="DH41">
        <f>DH40*IF(OR($C40=12,$G40=12),0,1)</f>
        <v/>
      </c>
      <c r="DI41">
        <f>DI40*IF(OR($C40=13,$G40=13),0,1)</f>
        <v/>
      </c>
      <c r="DJ41">
        <f>DJ40*IF(OR($C40=14,$G40=14),0,1)</f>
        <v/>
      </c>
      <c r="DK41">
        <f>DK40*IF(OR($C40=15,$G40=15),0,1)</f>
        <v/>
      </c>
      <c r="DL41">
        <f>DL40*IF(OR($C40=16,$G40=16),0,1)</f>
        <v/>
      </c>
      <c r="DM41">
        <f>DM40*IF(OR($C40=17,$G40=17),0,1)</f>
        <v/>
      </c>
      <c r="DN41">
        <f>DN40*IF(OR($C40=18,$G40=18),0,1)</f>
        <v/>
      </c>
      <c r="DO41">
        <f>DO40*IF(OR($C40=19,$G40=19),0,1)</f>
        <v/>
      </c>
      <c r="DP41">
        <f>DP40*IF(OR($C40=20,$G40=20),0,1)</f>
        <v/>
      </c>
      <c r="DQ41">
        <f>DQ40*IF(OR($C40=21,$G40=21),0,1)</f>
        <v/>
      </c>
      <c r="DR41">
        <f>DR40*IF(OR($C40=22,$G40=22),0,1)</f>
        <v/>
      </c>
      <c r="DS41">
        <f>DS40*IF(OR($C40=23,$G40=23),0,1)</f>
        <v/>
      </c>
      <c r="DT41">
        <f>DT40*IF(OR($C40=24,$G40=24),0,1)</f>
        <v/>
      </c>
      <c r="DU41">
        <f>DU40*IF(OR($C40=25,$G40=25),0,1)</f>
        <v/>
      </c>
      <c r="DV41">
        <f>DV40*IF(OR($C40=26,$G40=26),0,1)</f>
        <v/>
      </c>
      <c r="DW41">
        <f>DW40*IF(OR($C40=27,$G40=27),0,1)</f>
        <v/>
      </c>
      <c r="DX41">
        <f>DX40*IF(OR($C40=28,$G40=28),0,1)</f>
        <v/>
      </c>
      <c r="DY41">
        <f>DY40*IF(OR($C40=29,$G40=29),0,1)</f>
        <v/>
      </c>
      <c r="DZ41">
        <f>DZ40*IF(OR($C40=30,$G40=30),0,1)</f>
        <v/>
      </c>
      <c r="EA41">
        <f>EA40*IF(OR($C40=31,$G40=31),0,1)</f>
        <v/>
      </c>
      <c r="EB41">
        <f>EB40*IF(OR($C40=32,$G40=32),0,1)</f>
        <v/>
      </c>
      <c r="EC41">
        <f>EC40*IF(OR($C40=33,$G40=33),0,1)</f>
        <v/>
      </c>
      <c r="ED41">
        <f>ED40*IF(OR($C40=34,$G40=34),0,1)</f>
        <v/>
      </c>
      <c r="EE41">
        <f>EE40*IF(OR($C40=35,$G40=35),0,1)</f>
        <v/>
      </c>
      <c r="EF41">
        <f>EF40*IF(OR($C40=36,$G40=36),0,1)</f>
        <v/>
      </c>
      <c r="EG41">
        <f>EG40*IF(OR($C40=37,$G40=37),0,1)</f>
        <v/>
      </c>
      <c r="EH41">
        <f>EH40*IF(OR($C40=38,$G40=38),0,1)</f>
        <v/>
      </c>
      <c r="EI41">
        <f>EI40*IF(OR($C40=39,$G40=39),0,1)</f>
        <v/>
      </c>
      <c r="EJ41">
        <f>EJ40*IF(OR($C40=40,$G40=40),0,1)</f>
        <v/>
      </c>
      <c r="EK41">
        <f>EK40*IF(OR($C40=41,$G40=41),0,1)</f>
        <v/>
      </c>
      <c r="EL41">
        <f>EL40*IF(OR($C40=42,$G40=42),0,1)</f>
        <v/>
      </c>
      <c r="EM41">
        <f>EM40*IF(OR($C40=43,$G40=43),0,1)</f>
        <v/>
      </c>
      <c r="EN41">
        <f>EN40*IF(OR($C40=44,$G40=44),0,1)</f>
        <v/>
      </c>
      <c r="EO41">
        <f>EO40*IF(OR($C40=45,$G40=45),0,1)</f>
        <v/>
      </c>
      <c r="EP41">
        <f>EP40*IF(OR($C40=46,$G40=46),0,1)</f>
        <v/>
      </c>
      <c r="EQ41">
        <f>EQ40*IF(OR($C40=47,$G40=47),0,1)</f>
        <v/>
      </c>
      <c r="ER41">
        <f>ER40*IF(OR($C40=48,$G40=48),0,1)</f>
        <v/>
      </c>
      <c r="ES41">
        <f>ES40*IF(OR($C40=49,$G40=49),0,1)</f>
        <v/>
      </c>
      <c r="ET41">
        <f>ET40*IF(OR($C40=50,$G40=50),0,1)</f>
        <v/>
      </c>
      <c r="EU41">
        <f>EU40*IF(OR($C40=51,$G40=51),0,1)</f>
        <v/>
      </c>
      <c r="EV41">
        <f>EV40*IF(OR($C40=52,$G40=52),0,1)</f>
        <v/>
      </c>
      <c r="EW41">
        <f>EW40*IF(OR($C40=53,$G40=53),0,1)</f>
        <v/>
      </c>
      <c r="EX41">
        <f>EX40*IF(OR($C40=54,$G40=54),0,1)</f>
        <v/>
      </c>
      <c r="EY41">
        <f>EY40*IF(OR($C40=55,$G40=55),0,1)</f>
        <v/>
      </c>
      <c r="EZ41">
        <f>EZ40*IF(OR($C40=56,$G40=56),0,1)</f>
        <v/>
      </c>
      <c r="FA41">
        <f>FA40*IF(OR($C40=57,$G40=57),0,1)</f>
        <v/>
      </c>
      <c r="FB41">
        <f>FB40*IF(OR($C40=58,$G40=58),0,1)</f>
        <v/>
      </c>
      <c r="FC41">
        <f>FC40*IF(OR($C40=59,$G40=59),0,1)</f>
        <v/>
      </c>
      <c r="FD41">
        <f>FD40*IF(OR($C40=60,$G40=60),0,1)</f>
        <v/>
      </c>
      <c r="FE41">
        <f>FE40*IF(OR($C40=61,$G40=61),0,1)</f>
        <v/>
      </c>
      <c r="FF41">
        <f>FF40*IF(OR($C40=62,$G40=62),0,1)</f>
        <v/>
      </c>
      <c r="FG41">
        <f>FG40*IF(OR($C40=63,$G40=63),0,1)</f>
        <v/>
      </c>
      <c r="FH41">
        <f>FH40*IF(OR($C40=64,$G40=64),0,1)</f>
        <v/>
      </c>
      <c r="FI41">
        <f>FI40*IF(OR($C40=65,$G40=65),0,1)</f>
        <v/>
      </c>
      <c r="FJ41">
        <f>FJ40*IF(OR($C40=66,$G40=66),0,1)</f>
        <v/>
      </c>
      <c r="FK41">
        <f>FK40*IF(OR($C40=67,$G40=67),0,1)</f>
        <v/>
      </c>
      <c r="FL41">
        <f>FL40*IF(OR($C40=68,$G40=68),0,1)</f>
        <v/>
      </c>
      <c r="FM41">
        <f>FM40*IF(OR($C40=69,$G40=69),0,1)</f>
        <v/>
      </c>
      <c r="FN41">
        <f>FN40*IF(OR($C40=70,$G40=70),0,1)</f>
        <v/>
      </c>
      <c r="FO41">
        <f>FO40*IF(OR($C40=71,$G40=71),0,1)</f>
        <v/>
      </c>
      <c r="FP41">
        <f>FP40*IF(OR($C40=72,$G40=72),0,1)</f>
        <v/>
      </c>
      <c r="FQ41">
        <f>FQ40*IF(OR($C40=73,$G40=73),0,1)</f>
        <v/>
      </c>
      <c r="FR41">
        <f>FR40*IF(OR($C40=74,$G40=74),0,1)</f>
        <v/>
      </c>
      <c r="FS41">
        <f>FS40*IF(OR($C40=75,$G40=75),0,1)</f>
        <v/>
      </c>
      <c r="FT41">
        <f>FT40*IF(OR($C40=76,$G40=76),0,1)</f>
        <v/>
      </c>
      <c r="FU41">
        <f>FU40*IF(OR($C40=77,$G40=77),0,1)</f>
        <v/>
      </c>
      <c r="FV41">
        <f>FV40*IF(OR($C40=78,$G40=78),0,1)</f>
        <v/>
      </c>
      <c r="FW41">
        <f>FW40*IF(OR($C40=79,$G40=79),0,1)</f>
        <v/>
      </c>
      <c r="FX41">
        <f>FX40*IF(OR($C40=80,$G40=80),0,1)</f>
        <v/>
      </c>
      <c r="FY41">
        <f>FY40*IF(OR($C40=81,$G40=81),0,1)</f>
        <v/>
      </c>
      <c r="FZ41">
        <f>FZ40*IF(OR($C40=82,$G40=82),0,1)</f>
        <v/>
      </c>
      <c r="GA41">
        <f>GA40*IF(OR($C40=83,$G40=83),0,1)</f>
        <v/>
      </c>
      <c r="GB41">
        <f>GB40*IF(OR($C40=84,$G40=84),0,1)</f>
        <v/>
      </c>
      <c r="GC41">
        <f>GC40*IF(OR($C40=85,$G40=85),0,1)</f>
        <v/>
      </c>
      <c r="GD41">
        <f>GD40*IF(OR($C40=86,$G40=86),0,1)</f>
        <v/>
      </c>
      <c r="GE41">
        <f>GE40*IF(OR($C40=87,$G40=87),0,1)</f>
        <v/>
      </c>
      <c r="GF41">
        <f>GF40*IF(OR($C40=88,$G40=88),0,1)</f>
        <v/>
      </c>
      <c r="GG41">
        <f>GG40*IF(OR($C40=89,$G40=89),0,1)</f>
        <v/>
      </c>
      <c r="GH41">
        <f>GH40*IF(OR($C40=90,$G40=90),0,1)</f>
        <v/>
      </c>
      <c r="GI41">
        <f>GI40*IF(OR($C40=91,$G40=91),0,1)</f>
        <v/>
      </c>
      <c r="GJ41">
        <f>GJ40*IF(OR($C40=92,$G40=92),0,1)</f>
        <v/>
      </c>
      <c r="GK41">
        <f>GK40*IF(OR($C40=93,$G40=93),0,1)</f>
        <v/>
      </c>
      <c r="GL41">
        <f>GL40*IF(OR($C40=94,$G40=94),0,1)</f>
        <v/>
      </c>
      <c r="GM41">
        <f>GM40*IF(OR($C40=95,$G40=95),0,1)</f>
        <v/>
      </c>
      <c r="GN41">
        <f>GN40*IF(OR($C40=96,$G40=96),0,1)</f>
        <v/>
      </c>
      <c r="GO41">
        <f>GO40*IF(OR($C40=97,$G40=97),0,1)</f>
        <v/>
      </c>
      <c r="GP41">
        <f>GP40*IF(OR($C40=98,$G40=98),0,1)</f>
        <v/>
      </c>
      <c r="GQ41">
        <f>GQ40*IF(OR($C40=99,$G40=99),0,1)</f>
        <v/>
      </c>
      <c r="GR41">
        <f>GR40*IF(OR($C40=100,$G40=100),0,1)</f>
        <v/>
      </c>
      <c r="GS41">
        <f>GS40*IF(OR($C40=101,$G40=101),0,1)</f>
        <v/>
      </c>
      <c r="GT41">
        <f>GT40*IF(OR($C40=102,$G40=102),0,1)</f>
        <v/>
      </c>
      <c r="GU41">
        <f>GU40*IF(OR($C40=103,$G40=103),0,1)</f>
        <v/>
      </c>
      <c r="GV41">
        <f>GV40*IF(OR($C40=104,$G40=104),0,1)</f>
        <v/>
      </c>
      <c r="GW41">
        <f>GW40*IF(OR($C40=105,$G40=105),0,1)</f>
        <v/>
      </c>
      <c r="GX41">
        <f>GX40*IF(OR($C40=106,$G40=106),0,1)</f>
        <v/>
      </c>
      <c r="GY41">
        <f>GY40*IF(OR($C40=107,$G40=107),0,1)</f>
        <v/>
      </c>
      <c r="GZ41">
        <f>GZ40*IF(OR($C40=108,$G40=108),0,1)</f>
        <v/>
      </c>
      <c r="HA41">
        <f>HA40*IF(OR($C40=109,$G40=109),0,1)</f>
        <v/>
      </c>
      <c r="HB41">
        <f>HB40*IF(OR($C40=110,$G40=110),0,1)</f>
        <v/>
      </c>
      <c r="HC41">
        <f>HC40*IF(OR($C40=111,$G40=111),0,1)</f>
        <v/>
      </c>
      <c r="HD41">
        <f>HD40*IF(OR($C40=112,$G40=112),0,1)</f>
        <v/>
      </c>
      <c r="HE41">
        <f>HE40*IF(OR($C40=113,$G40=113),0,1)</f>
        <v/>
      </c>
      <c r="HF41">
        <f>HF40*IF(OR($C40=114,$G40=114),0,1)</f>
        <v/>
      </c>
      <c r="HG41">
        <f>HG40*IF(OR($C40=115,$G40=115),0,1)</f>
        <v/>
      </c>
      <c r="HH41">
        <f>HH40*IF(OR($C40=116,$G40=116),0,1)</f>
        <v/>
      </c>
      <c r="HI41">
        <f>HI40*IF(OR($C40=117,$G40=117),0,1)</f>
        <v/>
      </c>
      <c r="HJ41">
        <f>HJ40*IF(OR($C40=118,$G40=118),0,1)</f>
        <v/>
      </c>
      <c r="HK41">
        <f>HK40*IF(OR($C40=119,$G40=119),0,1)</f>
        <v/>
      </c>
      <c r="HL41">
        <f>HL40*IF(OR($C40=120,$G40=120),0,1)</f>
        <v/>
      </c>
      <c r="HM41">
        <f>HM40*IF(OR($C40=121,$G40=121),0,1)</f>
        <v/>
      </c>
      <c r="HN41">
        <f>HN40*IF(OR($C40=122,$G40=122),0,1)</f>
        <v/>
      </c>
      <c r="HO41">
        <f>HO40*IF(OR($C40=123,$G40=123),0,1)</f>
        <v/>
      </c>
      <c r="HP41">
        <f>HP40*IF(OR($C40=124,$G40=124),0,1)</f>
        <v/>
      </c>
      <c r="HQ41">
        <f>HQ40*IF(OR($C40=125,$G40=125),0,1)</f>
        <v/>
      </c>
      <c r="HR41">
        <f>HR40*IF(OR($C40=126,$G40=126),0,1)</f>
        <v/>
      </c>
      <c r="HS41">
        <f>HS40*IF(OR($C40=127,$G40=127),0,1)</f>
        <v/>
      </c>
      <c r="HT41">
        <f>HT40*IF(OR($C40=128,$G40=128),0,1)</f>
        <v/>
      </c>
      <c r="HU41">
        <f>HU40*IF(OR($C40=129,$G40=129),0,1)</f>
        <v/>
      </c>
      <c r="HV41">
        <f>HV40*IF(OR($C40=130,$G40=130),0,1)</f>
        <v/>
      </c>
      <c r="HW41">
        <f>HW40*IF(OR($C40=131,$G40=131),0,1)</f>
        <v/>
      </c>
      <c r="HX41">
        <f>HX40*IF(OR($C40=132,$G40=132),0,1)</f>
        <v/>
      </c>
      <c r="HY41">
        <f>HY40*IF(OR($C40=133,$G40=133),0,1)</f>
        <v/>
      </c>
      <c r="HZ41">
        <f>HZ40*IF(OR($C40=134,$G40=134),0,1)</f>
        <v/>
      </c>
      <c r="IA41">
        <f>IA40*IF(OR($C40=135,$G40=135),0,1)</f>
        <v/>
      </c>
      <c r="IB41">
        <f>IB40*IF(OR($C40=136,$G40=136),0,1)</f>
        <v/>
      </c>
      <c r="IC41">
        <f>IC40*IF(OR($C40=137,$G40=137),0,1)</f>
        <v/>
      </c>
      <c r="ID41">
        <f>ID40*IF(OR($C40=138,$G40=138),0,1)</f>
        <v/>
      </c>
      <c r="IE41">
        <f>IE40*IF(OR($C40=139,$G40=139),0,1)</f>
        <v/>
      </c>
      <c r="IF41">
        <f>IF40*IF(OR($C40=140,$G40=140),0,1)</f>
        <v/>
      </c>
      <c r="IG41">
        <f>IG40*IF(OR($C40=141,$G40=141),0,1)</f>
        <v/>
      </c>
      <c r="IH41">
        <f>IH40*IF(OR($C40=142,$G40=142),0,1)</f>
        <v/>
      </c>
      <c r="II41">
        <f>II40*IF(OR($C40=143,$G40=143),0,1)</f>
        <v/>
      </c>
      <c r="IJ41">
        <f>IJ40*IF(OR($C40=144,$G40=144),0,1)</f>
        <v/>
      </c>
      <c r="IK41">
        <f>IK40*IF(OR($C40=145,$G40=145),0,1)</f>
        <v/>
      </c>
      <c r="IL41">
        <f>IL40*IF(OR($C40=146,$G40=146),0,1)</f>
        <v/>
      </c>
      <c r="IM41">
        <f>IM40*IF(OR($C40=147,$G40=147),0,1)</f>
        <v/>
      </c>
      <c r="IN41">
        <f>IN40*IF(OR($C40=148,$G40=148),0,1)</f>
        <v/>
      </c>
      <c r="IO41">
        <f>IO40*IF(OR($C40=149,$G40=149),0,1)</f>
        <v/>
      </c>
      <c r="IP41">
        <f>IP40*IF(OR($C40=150,$G40=150),0,1)</f>
        <v/>
      </c>
      <c r="IQ41">
        <f>IQ40*IF(OR($C40=151,$G40=151),0,1)</f>
        <v/>
      </c>
      <c r="IR41">
        <f>IR40*IF(OR($C40=152,$G40=152),0,1)</f>
        <v/>
      </c>
      <c r="IS41">
        <f>IS40*IF(OR($C40=153,$G40=153),0,1)</f>
        <v/>
      </c>
      <c r="IT41">
        <f>IT40*IF(OR($C40=154,$G40=154),0,1)</f>
        <v/>
      </c>
      <c r="IU41">
        <f>IU40*IF(OR($C40=155,$G40=155),0,1)</f>
        <v/>
      </c>
      <c r="IV41">
        <f>IV40*IF(OR($C40=156,$G40=156),0,1)</f>
        <v/>
      </c>
      <c r="IW41">
        <f>IW40*IF(OR($C40=157,$G40=157),0,1)</f>
        <v/>
      </c>
      <c r="IX41">
        <f>IX40*IF(OR($C40=158,$G40=158),0,1)</f>
        <v/>
      </c>
      <c r="IY41">
        <f>IY40*IF(OR($C40=159,$G40=159),0,1)</f>
        <v/>
      </c>
      <c r="IZ41">
        <f>IZ40*IF(OR($C40=160,$G40=160),0,1)</f>
        <v/>
      </c>
      <c r="JA41">
        <f>JA40*IF(OR($C40=161,$G40=161),0,1)</f>
        <v/>
      </c>
      <c r="JB41">
        <f>JB40*IF(OR($C40=162,$G40=162),0,1)</f>
        <v/>
      </c>
      <c r="JC41">
        <f>JC40*IF(OR($C40=163,$G40=163),0,1)</f>
        <v/>
      </c>
      <c r="JD41">
        <f>JD40*IF(OR($C40=164,$G40=164),0,1)</f>
        <v/>
      </c>
      <c r="JE41">
        <f>JE40*IF(OR($C40=165,$G40=165),0,1)</f>
        <v/>
      </c>
      <c r="JF41">
        <f>JF40*IF(OR($C40=166,$G40=166),0,1)</f>
        <v/>
      </c>
      <c r="JG41">
        <f>JG40*IF(OR($C40=167,$G40=167),0,1)</f>
        <v/>
      </c>
      <c r="JH41">
        <f>JH40*IF(OR($C40=168,$G40=168),0,1)</f>
        <v/>
      </c>
      <c r="JI41">
        <f>JI40*IF(OR($C40=169,$G40=169),0,1)</f>
        <v/>
      </c>
      <c r="JJ41">
        <f>JJ40*IF(OR($C40=170,$G40=170),0,1)</f>
        <v/>
      </c>
      <c r="JK41">
        <f>JK40*IF(OR($C40=171,$G40=171),0,1)</f>
        <v/>
      </c>
      <c r="JL41">
        <f>JL40*IF(OR($C40=172,$G40=172),0,1)</f>
        <v/>
      </c>
      <c r="JM41">
        <f>JM40*IF(OR($C40=173,$G40=173),0,1)</f>
        <v/>
      </c>
      <c r="JN41">
        <f>JN40*IF(OR($C40=174,$G40=174),0,1)</f>
        <v/>
      </c>
      <c r="JO41">
        <f>JO40*IF(OR($C40=175,$G40=175),0,1)</f>
        <v/>
      </c>
      <c r="JP41">
        <f>JP40*IF(OR($C40=176,$G40=176),0,1)</f>
        <v/>
      </c>
      <c r="JQ41">
        <f>JQ40*IF(OR($C40=177,$G40=177),0,1)</f>
        <v/>
      </c>
      <c r="JR41">
        <f>JR40*IF(OR($C40=178,$G40=178),0,1)</f>
        <v/>
      </c>
      <c r="JS41">
        <f>JS40*IF(OR($C40=179,$G40=179),0,1)</f>
        <v/>
      </c>
      <c r="JT41">
        <f>JT40*IF(OR($C40=180,$G40=180),0,1)</f>
        <v/>
      </c>
      <c r="JU41">
        <f>JU40*IF(OR($C40=181,$G40=181),0,1)</f>
        <v/>
      </c>
      <c r="JV41">
        <f>JV40*IF(OR($C40=182,$G40=182),0,1)</f>
        <v/>
      </c>
      <c r="JW41">
        <f>JW40*IF(OR($C40=183,$G40=183),0,1)</f>
        <v/>
      </c>
      <c r="JX41">
        <f>JX40*IF(OR($C40=184,$G40=184),0,1)</f>
        <v/>
      </c>
      <c r="JY41">
        <f>JY40*IF(OR($C40=185,$G40=185),0,1)</f>
        <v/>
      </c>
      <c r="JZ41">
        <f>JZ40*IF(OR($C40=186,$G40=186),0,1)</f>
        <v/>
      </c>
      <c r="KA41">
        <f>KA40*IF(OR($C40=187,$G40=187),0,1)</f>
        <v/>
      </c>
      <c r="KB41">
        <f>KB40*IF(OR($C40=188,$G40=188),0,1)</f>
        <v/>
      </c>
      <c r="KC41">
        <f>KC40*IF(OR($C40=189,$G40=189),0,1)</f>
        <v/>
      </c>
      <c r="KD41">
        <f>KD40*IF(OR($C40=190,$G40=190),0,1)</f>
        <v/>
      </c>
      <c r="KE41">
        <f>KE40*IF(OR($C40=191,$G40=191),0,1)</f>
        <v/>
      </c>
      <c r="KF41">
        <f>KF40*IF(OR($C40=192,$G40=192),0,1)</f>
        <v/>
      </c>
      <c r="KG41">
        <f>KG40*IF(OR($C40=193,$G40=193),0,1)</f>
        <v/>
      </c>
      <c r="KH41">
        <f>KH40*IF(OR($C40=194,$G40=194),0,1)</f>
        <v/>
      </c>
      <c r="KI41">
        <f>KI40*IF(OR($C40=195,$G40=195),0,1)</f>
        <v/>
      </c>
      <c r="KJ41">
        <f>KJ40*IF(OR($C40=196,$G40=196),0,1)</f>
        <v/>
      </c>
      <c r="KK41">
        <f>KK40*IF(OR($C40=197,$G40=197),0,1)</f>
        <v/>
      </c>
      <c r="KL41">
        <f>KL40*IF(OR($C40=198,$G40=198),0,1)</f>
        <v/>
      </c>
      <c r="KM41">
        <f>KM40*IF(OR($C40=199,$G40=199),0,1)</f>
        <v/>
      </c>
      <c r="KN41">
        <f>KN40*IF(OR($C40=200,$G40=200),0,1)</f>
        <v/>
      </c>
      <c r="KO41">
        <f>KO40*IF(OR($C40=201,$G40=201),0,1)</f>
        <v/>
      </c>
      <c r="KP41">
        <f>KP40*IF(OR($C40=202,$G40=202),0,1)</f>
        <v/>
      </c>
      <c r="KQ41">
        <f>KQ40*IF(OR($C40=203,$G40=203),0,1)</f>
        <v/>
      </c>
      <c r="KR41">
        <f>KR40*IF(OR($C40=204,$G40=204),0,1)</f>
        <v/>
      </c>
      <c r="KS41">
        <f>KS40*IF(OR($C40=205,$G40=205),0,1)</f>
        <v/>
      </c>
      <c r="KT41">
        <f>KT40*IF(OR($C40=206,$G40=206),0,1)</f>
        <v/>
      </c>
      <c r="KU41">
        <f>KU40*IF(OR($C40=207,$G40=207),0,1)</f>
        <v/>
      </c>
      <c r="KV41">
        <f>KV40*IF(OR($C40=208,$G40=208),0,1)</f>
        <v/>
      </c>
      <c r="KW41">
        <f>KW40*IF(OR($C40=209,$G40=209),0,1)</f>
        <v/>
      </c>
      <c r="KX41">
        <f>KX40*IF(OR($C40=210,$G40=210),0,1)</f>
        <v/>
      </c>
      <c r="KY41">
        <f>KY40*IF(OR($C40=211,$G40=211),0,1)</f>
        <v/>
      </c>
      <c r="KZ41">
        <f>KZ40*IF(OR($C40=212,$G40=212),0,1)</f>
        <v/>
      </c>
      <c r="LA41">
        <f>LA40*IF(OR($C40=213,$G40=213),0,1)</f>
        <v/>
      </c>
      <c r="LB41">
        <f>LB40*IF(OR($C40=214,$G40=214),0,1)</f>
        <v/>
      </c>
      <c r="LC41">
        <f>LC40*IF(OR($C40=215,$G40=215),0,1)</f>
        <v/>
      </c>
      <c r="LD41">
        <f>LD40*IF(OR($C40=216,$G40=216),0,1)</f>
        <v/>
      </c>
      <c r="LE41">
        <f>LE40*IF(OR($C40=217,$G40=217),0,1)</f>
        <v/>
      </c>
      <c r="LF41">
        <f>LF40*IF(OR($C40=218,$G40=218),0,1)</f>
        <v/>
      </c>
      <c r="LG41">
        <f>LG40*IF(OR($C40=219,$G40=219),0,1)</f>
        <v/>
      </c>
      <c r="LH41">
        <f>LH40*IF(OR($C40=220,$G40=220),0,1)</f>
        <v/>
      </c>
      <c r="LI41">
        <f>LI40*IF(OR($C40=221,$G40=221),0,1)</f>
        <v/>
      </c>
      <c r="LJ41">
        <f>LJ40*IF(OR($C40=222,$G40=222),0,1)</f>
        <v/>
      </c>
      <c r="LK41">
        <f>LK40*IF(OR($C40=223,$G40=223),0,1)</f>
        <v/>
      </c>
      <c r="LL41">
        <f>LL40*IF(OR($C40=224,$G40=224),0,1)</f>
        <v/>
      </c>
      <c r="LM41">
        <f>LM40*IF(OR($C40=225,$G40=225),0,1)</f>
        <v/>
      </c>
      <c r="LN41">
        <f>LN40*IF(OR($C40=226,$G40=226),0,1)</f>
        <v/>
      </c>
      <c r="LO41">
        <f>LO40*IF(OR($C40=227,$G40=227),0,1)</f>
        <v/>
      </c>
      <c r="LP41">
        <f>LP40*IF(OR($C40=228,$G40=228),0,1)</f>
        <v/>
      </c>
      <c r="LQ41">
        <f>LQ40*IF(OR($C40=229,$G40=229),0,1)</f>
        <v/>
      </c>
      <c r="LR41">
        <f>LR40*IF(OR($C40=230,$G40=230),0,1)</f>
        <v/>
      </c>
      <c r="LS41">
        <f>LS40*IF(OR($C40=231,$G40=231),0,1)</f>
        <v/>
      </c>
      <c r="LT41">
        <f>LT40*IF(OR($C40=232,$G40=232),0,1)</f>
        <v/>
      </c>
      <c r="LU41">
        <f>LU40*IF(OR($C40=233,$G40=233),0,1)</f>
        <v/>
      </c>
      <c r="LV41">
        <f>LV40*IF(OR($C40=234,$G40=234),0,1)</f>
        <v/>
      </c>
      <c r="LW41">
        <f>LW40*IF(OR($C40=235,$G40=235),0,1)</f>
        <v/>
      </c>
      <c r="LX41">
        <f>LX40*IF(OR($C40=236,$G40=236),0,1)</f>
        <v/>
      </c>
      <c r="LY41">
        <f>LY40*IF(OR($C40=237,$G40=237),0,1)</f>
        <v/>
      </c>
      <c r="LZ41">
        <f>LZ40*IF(OR($C40=238,$G40=238),0,1)</f>
        <v/>
      </c>
      <c r="MA41">
        <f>MA40*IF(OR($C40=239,$G40=239),0,1)</f>
        <v/>
      </c>
      <c r="MB41">
        <f>MB40*IF(OR($C40=240,$G40=240),0,1)</f>
        <v/>
      </c>
      <c r="MD41">
        <f>IF('計算A'!D$106=1,CX41,1)</f>
        <v/>
      </c>
      <c r="ME41">
        <f>IF('計算A'!E$106=1,CY41,1)</f>
        <v/>
      </c>
      <c r="MF41">
        <f>IF('計算A'!F$106=1,CZ41,1)</f>
        <v/>
      </c>
      <c r="MG41">
        <f>IF('計算A'!G$106=1,DA41,1)</f>
        <v/>
      </c>
      <c r="MH41">
        <f>IF('計算A'!H$106=1,DB41,1)</f>
        <v/>
      </c>
      <c r="MI41">
        <f>IF('計算A'!I$106=1,DC41,1)</f>
        <v/>
      </c>
      <c r="MJ41">
        <f>IF('計算A'!J$106=1,DD41,1)</f>
        <v/>
      </c>
      <c r="MK41">
        <f>IF('計算A'!K$106=1,DE41,1)</f>
        <v/>
      </c>
      <c r="ML41">
        <f>IF('計算A'!L$106=1,DF41,1)</f>
        <v/>
      </c>
      <c r="MM41">
        <f>IF('計算A'!M$106=1,DG41,1)</f>
        <v/>
      </c>
      <c r="MN41">
        <f>IF('計算A'!N$106=1,DH41,1)</f>
        <v/>
      </c>
      <c r="MO41">
        <f>IF('計算A'!O$106=1,DI41,1)</f>
        <v/>
      </c>
      <c r="MP41">
        <f>IF('計算A'!P$106=1,DJ41,1)</f>
        <v/>
      </c>
      <c r="MQ41">
        <f>IF('計算A'!Q$106=1,DK41,1)</f>
        <v/>
      </c>
      <c r="MR41">
        <f>IF('計算A'!R$106=1,DL41,1)</f>
        <v/>
      </c>
      <c r="MS41">
        <f>IF('計算A'!S$106=1,DM41,1)</f>
        <v/>
      </c>
      <c r="MT41">
        <f>IF('計算A'!T$106=1,DN41,1)</f>
        <v/>
      </c>
      <c r="MU41">
        <f>IF('計算A'!U$106=1,DO41,1)</f>
        <v/>
      </c>
      <c r="MV41">
        <f>IF('計算A'!V$106=1,DP41,1)</f>
        <v/>
      </c>
      <c r="MW41">
        <f>IF('計算A'!W$106=1,DQ41,1)</f>
        <v/>
      </c>
      <c r="MX41">
        <f>IF('計算A'!X$106=1,DR41,1)</f>
        <v/>
      </c>
      <c r="MY41">
        <f>IF('計算A'!Y$106=1,DS41,1)</f>
        <v/>
      </c>
      <c r="MZ41">
        <f>IF('計算A'!Z$106=1,DT41,1)</f>
        <v/>
      </c>
      <c r="NA41">
        <f>IF('計算A'!AA$106=1,DU41,1)</f>
        <v/>
      </c>
      <c r="NB41">
        <f>IF('計算A'!AB$106=1,DV41,1)</f>
        <v/>
      </c>
      <c r="NC41">
        <f>IF('計算A'!AC$106=1,DW41,1)</f>
        <v/>
      </c>
      <c r="ND41">
        <f>IF('計算A'!AD$106=1,DX41,1)</f>
        <v/>
      </c>
      <c r="NE41">
        <f>IF('計算A'!AE$106=1,DY41,1)</f>
        <v/>
      </c>
      <c r="NF41">
        <f>IF('計算A'!AF$106=1,DZ41,1)</f>
        <v/>
      </c>
      <c r="NG41">
        <f>IF('計算A'!AG$106=1,EA41,1)</f>
        <v/>
      </c>
      <c r="NH41">
        <f>IF('計算A'!AH$106=1,EB41,1)</f>
        <v/>
      </c>
      <c r="NI41">
        <f>IF('計算A'!AI$106=1,EC41,1)</f>
        <v/>
      </c>
      <c r="NJ41">
        <f>IF('計算A'!AJ$106=1,ED41,1)</f>
        <v/>
      </c>
      <c r="NK41">
        <f>IF('計算A'!AK$106=1,EE41,1)</f>
        <v/>
      </c>
      <c r="NL41">
        <f>IF('計算A'!AL$106=1,EF41,1)</f>
        <v/>
      </c>
      <c r="NM41">
        <f>IF('計算A'!AM$106=1,EG41,1)</f>
        <v/>
      </c>
      <c r="NN41">
        <f>IF('計算A'!AN$106=1,EH41,1)</f>
        <v/>
      </c>
      <c r="NO41">
        <f>IF('計算A'!AO$106=1,EI41,1)</f>
        <v/>
      </c>
      <c r="NP41">
        <f>IF('計算A'!AP$106=1,EJ41,1)</f>
        <v/>
      </c>
      <c r="NQ41">
        <f>IF('計算A'!AQ$106=1,EK41,1)</f>
        <v/>
      </c>
      <c r="NR41">
        <f>IF('計算A'!AR$106=1,EL41,1)</f>
        <v/>
      </c>
      <c r="NS41">
        <f>IF('計算A'!AS$106=1,EM41,1)</f>
        <v/>
      </c>
      <c r="NT41">
        <f>IF('計算A'!AT$106=1,EN41,1)</f>
        <v/>
      </c>
      <c r="NU41">
        <f>IF('計算A'!AU$106=1,EO41,1)</f>
        <v/>
      </c>
      <c r="NV41">
        <f>IF('計算A'!AV$106=1,EP41,1)</f>
        <v/>
      </c>
      <c r="NW41">
        <f>IF('計算A'!AW$106=1,EQ41,1)</f>
        <v/>
      </c>
      <c r="NX41">
        <f>IF('計算A'!AX$106=1,ER41,1)</f>
        <v/>
      </c>
      <c r="NY41">
        <f>IF('計算A'!AY$106=1,ES41,1)</f>
        <v/>
      </c>
      <c r="NZ41">
        <f>IF('計算A'!AZ$106=1,ET41,1)</f>
        <v/>
      </c>
      <c r="OA41">
        <f>IF('計算A'!BA$106=1,EU41,1)</f>
        <v/>
      </c>
      <c r="OB41">
        <f>IF('計算A'!BB$106=1,EV41,1)</f>
        <v/>
      </c>
      <c r="OC41">
        <f>IF('計算A'!BC$106=1,EW41,1)</f>
        <v/>
      </c>
      <c r="OD41">
        <f>IF('計算A'!BD$106=1,EX41,1)</f>
        <v/>
      </c>
      <c r="OE41">
        <f>IF('計算A'!BE$106=1,EY41,1)</f>
        <v/>
      </c>
      <c r="OF41">
        <f>IF('計算A'!BF$106=1,EZ41,1)</f>
        <v/>
      </c>
      <c r="OG41">
        <f>IF('計算A'!BG$106=1,FA41,1)</f>
        <v/>
      </c>
      <c r="OH41">
        <f>IF('計算A'!BH$106=1,FB41,1)</f>
        <v/>
      </c>
      <c r="OI41">
        <f>IF('計算A'!BI$106=1,FC41,1)</f>
        <v/>
      </c>
      <c r="OJ41">
        <f>IF('計算A'!BJ$106=1,FD41,1)</f>
        <v/>
      </c>
      <c r="OK41">
        <f>IF('計算A'!BK$106=1,FE41,1)</f>
        <v/>
      </c>
      <c r="OL41">
        <f>IF('計算A'!BL$106=1,FF41,1)</f>
        <v/>
      </c>
      <c r="OM41">
        <f>IF('計算A'!BM$106=1,FG41,1)</f>
        <v/>
      </c>
      <c r="ON41">
        <f>IF('計算A'!BN$106=1,FH41,1)</f>
        <v/>
      </c>
      <c r="OO41">
        <f>IF('計算A'!BO$106=1,FI41,1)</f>
        <v/>
      </c>
      <c r="OP41">
        <f>IF('計算A'!BP$106=1,FJ41,1)</f>
        <v/>
      </c>
      <c r="OQ41">
        <f>IF('計算A'!BQ$106=1,FK41,1)</f>
        <v/>
      </c>
      <c r="OR41">
        <f>IF('計算A'!BR$106=1,FL41,1)</f>
        <v/>
      </c>
      <c r="OS41">
        <f>IF('計算A'!BS$106=1,FM41,1)</f>
        <v/>
      </c>
      <c r="OT41">
        <f>IF('計算A'!BT$106=1,FN41,1)</f>
        <v/>
      </c>
      <c r="OU41">
        <f>IF('計算A'!BU$106=1,FO41,1)</f>
        <v/>
      </c>
      <c r="OV41">
        <f>IF('計算A'!BV$106=1,FP41,1)</f>
        <v/>
      </c>
      <c r="OW41">
        <f>IF('計算A'!BW$106=1,FQ41,1)</f>
        <v/>
      </c>
      <c r="OX41">
        <f>IF('計算A'!BX$106=1,FR41,1)</f>
        <v/>
      </c>
      <c r="OY41">
        <f>IF('計算A'!BY$106=1,FS41,1)</f>
        <v/>
      </c>
      <c r="OZ41">
        <f>IF('計算A'!BZ$106=1,FT41,1)</f>
        <v/>
      </c>
      <c r="PA41">
        <f>IF('計算A'!CA$106=1,FU41,1)</f>
        <v/>
      </c>
      <c r="PB41">
        <f>IF('計算A'!CB$106=1,FV41,1)</f>
        <v/>
      </c>
      <c r="PC41">
        <f>IF('計算A'!CC$106=1,FW41,1)</f>
        <v/>
      </c>
      <c r="PD41">
        <f>IF('計算A'!CD$106=1,FX41,1)</f>
        <v/>
      </c>
      <c r="PE41">
        <f>IF('計算A'!CE$106=1,FY41,1)</f>
        <v/>
      </c>
      <c r="PF41">
        <f>IF('計算A'!CF$106=1,FZ41,1)</f>
        <v/>
      </c>
      <c r="PG41">
        <f>IF('計算A'!CG$106=1,GA41,1)</f>
        <v/>
      </c>
      <c r="PH41">
        <f>IF('計算A'!CH$106=1,GB41,1)</f>
        <v/>
      </c>
      <c r="PI41">
        <f>IF('計算A'!CI$106=1,GC41,1)</f>
        <v/>
      </c>
      <c r="PJ41">
        <f>IF('計算A'!CJ$106=1,GD41,1)</f>
        <v/>
      </c>
      <c r="PK41">
        <f>IF('計算A'!CK$106=1,GE41,1)</f>
        <v/>
      </c>
      <c r="PL41">
        <f>IF('計算A'!CL$106=1,GF41,1)</f>
        <v/>
      </c>
      <c r="PM41">
        <f>IF('計算A'!CM$106=1,GG41,1)</f>
        <v/>
      </c>
      <c r="PN41">
        <f>IF('計算A'!CN$106=1,GH41,1)</f>
        <v/>
      </c>
      <c r="PO41">
        <f>IF('計算A'!CO$106=1,GI41,1)</f>
        <v/>
      </c>
      <c r="PP41">
        <f>IF('計算A'!CP$106=1,GJ41,1)</f>
        <v/>
      </c>
      <c r="PQ41">
        <f>IF('計算A'!CQ$106=1,GK41,1)</f>
        <v/>
      </c>
      <c r="PR41">
        <f>IF('計算A'!CR$106=1,GL41,1)</f>
        <v/>
      </c>
      <c r="PS41">
        <f>IF('計算A'!CS$106=1,GM41,1)</f>
        <v/>
      </c>
      <c r="PT41">
        <f>IF('計算A'!CT$106=1,GN41,1)</f>
        <v/>
      </c>
      <c r="PU41">
        <f>IF('計算A'!CU$106=1,GO41,1)</f>
        <v/>
      </c>
      <c r="PV41">
        <f>IF('計算A'!CV$106=1,GP41,1)</f>
        <v/>
      </c>
      <c r="PW41">
        <f>IF('計算A'!CW$106=1,GQ41,1)</f>
        <v/>
      </c>
      <c r="PX41">
        <f>IF('計算A'!CX$106=1,GR41,1)</f>
        <v/>
      </c>
      <c r="PY41">
        <f>IF('計算A'!CY$106=1,GS41,1)</f>
        <v/>
      </c>
      <c r="PZ41">
        <f>IF('計算A'!CZ$106=1,GT41,1)</f>
        <v/>
      </c>
      <c r="QA41">
        <f>IF('計算A'!DA$106=1,GU41,1)</f>
        <v/>
      </c>
      <c r="QB41">
        <f>IF('計算A'!DB$106=1,GV41,1)</f>
        <v/>
      </c>
      <c r="QC41">
        <f>IF('計算A'!DC$106=1,GW41,1)</f>
        <v/>
      </c>
      <c r="QD41">
        <f>IF('計算A'!DD$106=1,GX41,1)</f>
        <v/>
      </c>
      <c r="QE41">
        <f>IF('計算A'!DE$106=1,GY41,1)</f>
        <v/>
      </c>
      <c r="QF41">
        <f>IF('計算A'!DF$106=1,GZ41,1)</f>
        <v/>
      </c>
      <c r="QG41">
        <f>IF('計算A'!DG$106=1,HA41,1)</f>
        <v/>
      </c>
      <c r="QH41">
        <f>IF('計算A'!DH$106=1,HB41,1)</f>
        <v/>
      </c>
      <c r="QI41">
        <f>IF('計算A'!DI$106=1,HC41,1)</f>
        <v/>
      </c>
      <c r="QJ41">
        <f>IF('計算A'!DJ$106=1,HD41,1)</f>
        <v/>
      </c>
      <c r="QK41">
        <f>IF('計算A'!DK$106=1,HE41,1)</f>
        <v/>
      </c>
      <c r="QL41">
        <f>IF('計算A'!DL$106=1,HF41,1)</f>
        <v/>
      </c>
      <c r="QM41">
        <f>IF('計算A'!DM$106=1,HG41,1)</f>
        <v/>
      </c>
      <c r="QN41">
        <f>IF('計算A'!DN$106=1,HH41,1)</f>
        <v/>
      </c>
      <c r="QO41">
        <f>IF('計算A'!DO$106=1,HI41,1)</f>
        <v/>
      </c>
      <c r="QP41">
        <f>IF('計算A'!DP$106=1,HJ41,1)</f>
        <v/>
      </c>
      <c r="QQ41">
        <f>IF('計算A'!DQ$106=1,HK41,1)</f>
        <v/>
      </c>
      <c r="QR41">
        <f>IF('計算A'!DR$106=1,HL41,1)</f>
        <v/>
      </c>
      <c r="QS41">
        <f>IF('計算A'!DS$106=1,HM41,1)</f>
        <v/>
      </c>
      <c r="QT41">
        <f>IF('計算A'!DT$106=1,HN41,1)</f>
        <v/>
      </c>
      <c r="QU41">
        <f>IF('計算A'!DU$106=1,HO41,1)</f>
        <v/>
      </c>
      <c r="QV41">
        <f>IF('計算A'!DV$106=1,HP41,1)</f>
        <v/>
      </c>
      <c r="QW41">
        <f>IF('計算A'!DW$106=1,HQ41,1)</f>
        <v/>
      </c>
      <c r="QX41">
        <f>IF('計算A'!DX$106=1,HR41,1)</f>
        <v/>
      </c>
      <c r="QY41">
        <f>IF('計算A'!DY$106=1,HS41,1)</f>
        <v/>
      </c>
      <c r="QZ41">
        <f>IF('計算A'!DZ$106=1,HT41,1)</f>
        <v/>
      </c>
      <c r="RA41">
        <f>IF('計算A'!EA$106=1,HU41,1)</f>
        <v/>
      </c>
      <c r="RB41">
        <f>IF('計算A'!EB$106=1,HV41,1)</f>
        <v/>
      </c>
      <c r="RC41">
        <f>IF('計算A'!EC$106=1,HW41,1)</f>
        <v/>
      </c>
      <c r="RD41">
        <f>IF('計算A'!ED$106=1,HX41,1)</f>
        <v/>
      </c>
      <c r="RE41">
        <f>IF('計算A'!EE$106=1,HY41,1)</f>
        <v/>
      </c>
      <c r="RF41">
        <f>IF('計算A'!EF$106=1,HZ41,1)</f>
        <v/>
      </c>
      <c r="RG41">
        <f>IF('計算A'!EG$106=1,IA41,1)</f>
        <v/>
      </c>
      <c r="RH41">
        <f>IF('計算A'!EH$106=1,IB41,1)</f>
        <v/>
      </c>
      <c r="RI41">
        <f>IF('計算A'!EI$106=1,IC41,1)</f>
        <v/>
      </c>
      <c r="RJ41">
        <f>IF('計算A'!EJ$106=1,ID41,1)</f>
        <v/>
      </c>
      <c r="RK41">
        <f>IF('計算A'!EK$106=1,IE41,1)</f>
        <v/>
      </c>
      <c r="RL41">
        <f>IF('計算A'!EL$106=1,IF41,1)</f>
        <v/>
      </c>
      <c r="RM41">
        <f>IF('計算A'!EM$106=1,IG41,1)</f>
        <v/>
      </c>
      <c r="RN41">
        <f>IF('計算A'!EN$106=1,IH41,1)</f>
        <v/>
      </c>
      <c r="RO41">
        <f>IF('計算A'!EO$106=1,II41,1)</f>
        <v/>
      </c>
      <c r="RP41">
        <f>IF('計算A'!EP$106=1,IJ41,1)</f>
        <v/>
      </c>
      <c r="RQ41">
        <f>IF('計算A'!EQ$106=1,IK41,1)</f>
        <v/>
      </c>
      <c r="RR41">
        <f>IF('計算A'!ER$106=1,IL41,1)</f>
        <v/>
      </c>
      <c r="RS41">
        <f>IF('計算A'!ES$106=1,IM41,1)</f>
        <v/>
      </c>
      <c r="RT41">
        <f>IF('計算A'!ET$106=1,IN41,1)</f>
        <v/>
      </c>
      <c r="RU41">
        <f>IF('計算A'!EU$106=1,IO41,1)</f>
        <v/>
      </c>
      <c r="RV41">
        <f>IF('計算A'!EV$106=1,IP41,1)</f>
        <v/>
      </c>
      <c r="RW41">
        <f>IF('計算A'!EW$106=1,IQ41,1)</f>
        <v/>
      </c>
      <c r="RX41">
        <f>IF('計算A'!EX$106=1,IR41,1)</f>
        <v/>
      </c>
      <c r="RY41">
        <f>IF('計算A'!EY$106=1,IS41,1)</f>
        <v/>
      </c>
      <c r="RZ41">
        <f>IF('計算A'!EZ$106=1,IT41,1)</f>
        <v/>
      </c>
      <c r="SA41">
        <f>IF('計算A'!FA$106=1,IU41,1)</f>
        <v/>
      </c>
      <c r="SB41">
        <f>IF('計算A'!FB$106=1,IV41,1)</f>
        <v/>
      </c>
      <c r="SC41">
        <f>IF('計算A'!FC$106=1,IW41,1)</f>
        <v/>
      </c>
      <c r="SD41">
        <f>IF('計算A'!FD$106=1,IX41,1)</f>
        <v/>
      </c>
      <c r="SE41">
        <f>IF('計算A'!FE$106=1,IY41,1)</f>
        <v/>
      </c>
      <c r="SF41">
        <f>IF('計算A'!FF$106=1,IZ41,1)</f>
        <v/>
      </c>
      <c r="SG41">
        <f>IF('計算A'!FG$106=1,JA41,1)</f>
        <v/>
      </c>
      <c r="SH41">
        <f>IF('計算A'!FH$106=1,JB41,1)</f>
        <v/>
      </c>
      <c r="SI41">
        <f>IF('計算A'!FI$106=1,JC41,1)</f>
        <v/>
      </c>
      <c r="SJ41">
        <f>IF('計算A'!FJ$106=1,JD41,1)</f>
        <v/>
      </c>
      <c r="SK41">
        <f>IF('計算A'!FK$106=1,JE41,1)</f>
        <v/>
      </c>
      <c r="SL41">
        <f>IF('計算A'!FL$106=1,JF41,1)</f>
        <v/>
      </c>
      <c r="SM41">
        <f>IF('計算A'!FM$106=1,JG41,1)</f>
        <v/>
      </c>
      <c r="SN41">
        <f>IF('計算A'!FN$106=1,JH41,1)</f>
        <v/>
      </c>
      <c r="SO41">
        <f>IF('計算A'!FO$106=1,JI41,1)</f>
        <v/>
      </c>
      <c r="SP41">
        <f>IF('計算A'!FP$106=1,JJ41,1)</f>
        <v/>
      </c>
      <c r="SQ41">
        <f>IF('計算A'!FQ$106=1,JK41,1)</f>
        <v/>
      </c>
      <c r="SR41">
        <f>IF('計算A'!FR$106=1,JL41,1)</f>
        <v/>
      </c>
      <c r="SS41">
        <f>IF('計算A'!FS$106=1,JM41,1)</f>
        <v/>
      </c>
      <c r="ST41">
        <f>IF('計算A'!FT$106=1,JN41,1)</f>
        <v/>
      </c>
      <c r="SU41">
        <f>IF('計算A'!FU$106=1,JO41,1)</f>
        <v/>
      </c>
      <c r="SV41">
        <f>IF('計算A'!FV$106=1,JP41,1)</f>
        <v/>
      </c>
      <c r="SW41">
        <f>IF('計算A'!FW$106=1,JQ41,1)</f>
        <v/>
      </c>
      <c r="SX41">
        <f>IF('計算A'!FX$106=1,JR41,1)</f>
        <v/>
      </c>
      <c r="SY41">
        <f>IF('計算A'!FY$106=1,JS41,1)</f>
        <v/>
      </c>
      <c r="SZ41">
        <f>IF('計算A'!FZ$106=1,JT41,1)</f>
        <v/>
      </c>
      <c r="TA41">
        <f>IF('計算A'!GA$106=1,JU41,1)</f>
        <v/>
      </c>
      <c r="TB41">
        <f>IF('計算A'!GB$106=1,JV41,1)</f>
        <v/>
      </c>
      <c r="TC41">
        <f>IF('計算A'!GC$106=1,JW41,1)</f>
        <v/>
      </c>
      <c r="TD41">
        <f>IF('計算A'!GD$106=1,JX41,1)</f>
        <v/>
      </c>
      <c r="TE41">
        <f>IF('計算A'!GE$106=1,JY41,1)</f>
        <v/>
      </c>
      <c r="TF41">
        <f>IF('計算A'!GF$106=1,JZ41,1)</f>
        <v/>
      </c>
      <c r="TG41">
        <f>IF('計算A'!GG$106=1,KA41,1)</f>
        <v/>
      </c>
      <c r="TH41">
        <f>IF('計算A'!GH$106=1,KB41,1)</f>
        <v/>
      </c>
      <c r="TI41">
        <f>IF('計算A'!GI$106=1,KC41,1)</f>
        <v/>
      </c>
      <c r="TJ41">
        <f>IF('計算A'!GJ$106=1,KD41,1)</f>
        <v/>
      </c>
      <c r="TK41">
        <f>IF('計算A'!GK$106=1,KE41,1)</f>
        <v/>
      </c>
      <c r="TL41">
        <f>IF('計算A'!GL$106=1,KF41,1)</f>
        <v/>
      </c>
      <c r="TM41">
        <f>IF('計算A'!GM$106=1,KG41,1)</f>
        <v/>
      </c>
      <c r="TN41">
        <f>IF('計算A'!GN$106=1,KH41,1)</f>
        <v/>
      </c>
      <c r="TO41">
        <f>IF('計算A'!GO$106=1,KI41,1)</f>
        <v/>
      </c>
      <c r="TP41">
        <f>IF('計算A'!GP$106=1,KJ41,1)</f>
        <v/>
      </c>
      <c r="TQ41">
        <f>IF('計算A'!GQ$106=1,KK41,1)</f>
        <v/>
      </c>
      <c r="TR41">
        <f>IF('計算A'!GR$106=1,KL41,1)</f>
        <v/>
      </c>
      <c r="TS41">
        <f>IF('計算A'!GS$106=1,KM41,1)</f>
        <v/>
      </c>
      <c r="TT41">
        <f>IF('計算A'!GT$106=1,KN41,1)</f>
        <v/>
      </c>
      <c r="TU41">
        <f>IF('計算A'!GU$106=1,KO41,1)</f>
        <v/>
      </c>
      <c r="TV41">
        <f>IF('計算A'!GV$106=1,KP41,1)</f>
        <v/>
      </c>
      <c r="TW41">
        <f>IF('計算A'!GW$106=1,KQ41,1)</f>
        <v/>
      </c>
      <c r="TX41">
        <f>IF('計算A'!GX$106=1,KR41,1)</f>
        <v/>
      </c>
      <c r="TY41">
        <f>IF('計算A'!GY$106=1,KS41,1)</f>
        <v/>
      </c>
      <c r="TZ41">
        <f>IF('計算A'!GZ$106=1,KT41,1)</f>
        <v/>
      </c>
      <c r="UA41">
        <f>IF('計算A'!HA$106=1,KU41,1)</f>
        <v/>
      </c>
      <c r="UB41">
        <f>IF('計算A'!HB$106=1,KV41,1)</f>
        <v/>
      </c>
      <c r="UC41">
        <f>IF('計算A'!HC$106=1,KW41,1)</f>
        <v/>
      </c>
      <c r="UD41">
        <f>IF('計算A'!HD$106=1,KX41,1)</f>
        <v/>
      </c>
      <c r="UE41">
        <f>IF('計算A'!HE$106=1,KY41,1)</f>
        <v/>
      </c>
      <c r="UF41">
        <f>IF('計算A'!HF$106=1,KZ41,1)</f>
        <v/>
      </c>
      <c r="UG41">
        <f>IF('計算A'!HG$106=1,LA41,1)</f>
        <v/>
      </c>
      <c r="UH41">
        <f>IF('計算A'!HH$106=1,LB41,1)</f>
        <v/>
      </c>
      <c r="UI41">
        <f>IF('計算A'!HI$106=1,LC41,1)</f>
        <v/>
      </c>
      <c r="UJ41">
        <f>IF('計算A'!HJ$106=1,LD41,1)</f>
        <v/>
      </c>
      <c r="UK41">
        <f>IF('計算A'!HK$106=1,LE41,1)</f>
        <v/>
      </c>
      <c r="UL41">
        <f>IF('計算A'!HL$106=1,LF41,1)</f>
        <v/>
      </c>
      <c r="UM41">
        <f>IF('計算A'!HM$106=1,LG41,1)</f>
        <v/>
      </c>
      <c r="UN41">
        <f>IF('計算A'!HN$106=1,LH41,1)</f>
        <v/>
      </c>
      <c r="UO41">
        <f>IF('計算A'!HO$106=1,LI41,1)</f>
        <v/>
      </c>
      <c r="UP41">
        <f>IF('計算A'!HP$106=1,LJ41,1)</f>
        <v/>
      </c>
      <c r="UQ41">
        <f>IF('計算A'!HQ$106=1,LK41,1)</f>
        <v/>
      </c>
      <c r="UR41">
        <f>IF('計算A'!HR$106=1,LL41,1)</f>
        <v/>
      </c>
      <c r="US41">
        <f>IF('計算A'!HS$106=1,LM41,1)</f>
        <v/>
      </c>
      <c r="UT41">
        <f>IF('計算A'!HT$106=1,LN41,1)</f>
        <v/>
      </c>
      <c r="UU41">
        <f>IF('計算A'!HU$106=1,LO41,1)</f>
        <v/>
      </c>
      <c r="UV41">
        <f>IF('計算A'!HV$106=1,LP41,1)</f>
        <v/>
      </c>
      <c r="UW41">
        <f>IF('計算A'!HW$106=1,LQ41,1)</f>
        <v/>
      </c>
      <c r="UX41">
        <f>IF('計算A'!HX$106=1,LR41,1)</f>
        <v/>
      </c>
      <c r="UY41">
        <f>IF('計算A'!HY$106=1,LS41,1)</f>
        <v/>
      </c>
      <c r="UZ41">
        <f>IF('計算A'!HZ$106=1,LT41,1)</f>
        <v/>
      </c>
      <c r="VA41">
        <f>IF('計算A'!IA$106=1,LU41,1)</f>
        <v/>
      </c>
      <c r="VB41">
        <f>IF('計算A'!IB$106=1,LV41,1)</f>
        <v/>
      </c>
      <c r="VC41">
        <f>IF('計算A'!IC$106=1,LW41,1)</f>
        <v/>
      </c>
      <c r="VD41">
        <f>IF('計算A'!ID$106=1,LX41,1)</f>
        <v/>
      </c>
      <c r="VE41">
        <f>IF('計算A'!IE$106=1,LY41,1)</f>
        <v/>
      </c>
      <c r="VF41">
        <f>IF('計算A'!IF$106=1,LZ41,1)</f>
        <v/>
      </c>
      <c r="VG41">
        <f>IF('計算A'!IG$106=1,MA41,1)</f>
        <v/>
      </c>
      <c r="VH41">
        <f>IF('計算A'!IH$106=1,MB41,1)</f>
        <v/>
      </c>
      <c r="VI41" t="n">
        <v>1</v>
      </c>
      <c r="VK41">
        <f>IF($B41=0,1000000,IF(INDEX('計算A'!$D$60:$II$104,$B41,1)*CW41=1,IF(AND($E41=2,MD41=0),1000000,INDEX('計算A'!D$110:D$114,$F41+1)+IF(AND($E41=1,MD41=0),1000,0)),1000000))</f>
        <v/>
      </c>
      <c r="VL41">
        <f>IF($B41=0,1000000,IF(INDEX('計算A'!$D$60:$II$104,$B41,2)*CX41=1,IF(AND($E41=2,ME41=0),1000000,INDEX('計算A'!E$110:E$114,$F41+1)+IF(AND($E41=1,ME41=0),1000,0)),1000000))</f>
        <v/>
      </c>
      <c r="VM41">
        <f>IF($B41=0,1000000,IF(INDEX('計算A'!$D$60:$II$104,$B41,3)*CY41=1,IF(AND($E41=2,MF41=0),1000000,INDEX('計算A'!F$110:F$114,$F41+1)+IF(AND($E41=1,MF41=0),1000,0)),1000000))</f>
        <v/>
      </c>
      <c r="VN41">
        <f>IF($B41=0,1000000,IF(INDEX('計算A'!$D$60:$II$104,$B41,4)*CZ41=1,IF(AND($E41=2,MG41=0),1000000,INDEX('計算A'!G$110:G$114,$F41+1)+IF(AND($E41=1,MG41=0),1000,0)),1000000))</f>
        <v/>
      </c>
      <c r="VO41">
        <f>IF($B41=0,1000000,IF(INDEX('計算A'!$D$60:$II$104,$B41,5)*DA41=1,IF(AND($E41=2,MH41=0),1000000,INDEX('計算A'!H$110:H$114,$F41+1)+IF(AND($E41=1,MH41=0),1000,0)),1000000))</f>
        <v/>
      </c>
      <c r="VP41">
        <f>IF($B41=0,1000000,IF(INDEX('計算A'!$D$60:$II$104,$B41,6)*DB41=1,IF(AND($E41=2,MI41=0),1000000,INDEX('計算A'!I$110:I$114,$F41+1)+IF(AND($E41=1,MI41=0),1000,0)),1000000))</f>
        <v/>
      </c>
      <c r="VQ41">
        <f>IF($B41=0,1000000,IF(INDEX('計算A'!$D$60:$II$104,$B41,7)*DC41=1,IF(AND($E41=2,MJ41=0),1000000,INDEX('計算A'!J$110:J$114,$F41+1)+IF(AND($E41=1,MJ41=0),1000,0)),1000000))</f>
        <v/>
      </c>
      <c r="VR41">
        <f>IF($B41=0,1000000,IF(INDEX('計算A'!$D$60:$II$104,$B41,8)*DD41=1,IF(AND($E41=2,MK41=0),1000000,INDEX('計算A'!K$110:K$114,$F41+1)+IF(AND($E41=1,MK41=0),1000,0)),1000000))</f>
        <v/>
      </c>
      <c r="VS41">
        <f>IF($B41=0,1000000,IF(INDEX('計算A'!$D$60:$II$104,$B41,9)*DE41=1,IF(AND($E41=2,ML41=0),1000000,INDEX('計算A'!L$110:L$114,$F41+1)+IF(AND($E41=1,ML41=0),1000,0)),1000000))</f>
        <v/>
      </c>
      <c r="VT41">
        <f>IF($B41=0,1000000,IF(INDEX('計算A'!$D$60:$II$104,$B41,10)*DF41=1,IF(AND($E41=2,MM41=0),1000000,INDEX('計算A'!M$110:M$114,$F41+1)+IF(AND($E41=1,MM41=0),1000,0)),1000000))</f>
        <v/>
      </c>
      <c r="VU41">
        <f>IF($B41=0,1000000,IF(INDEX('計算A'!$D$60:$II$104,$B41,11)*DG41=1,IF(AND($E41=2,MN41=0),1000000,INDEX('計算A'!N$110:N$114,$F41+1)+IF(AND($E41=1,MN41=0),1000,0)),1000000))</f>
        <v/>
      </c>
      <c r="VV41">
        <f>IF($B41=0,1000000,IF(INDEX('計算A'!$D$60:$II$104,$B41,12)*DH41=1,IF(AND($E41=2,MO41=0),1000000,INDEX('計算A'!O$110:O$114,$F41+1)+IF(AND($E41=1,MO41=0),1000,0)),1000000))</f>
        <v/>
      </c>
      <c r="VW41">
        <f>IF($B41=0,1000000,IF(INDEX('計算A'!$D$60:$II$104,$B41,13)*DI41=1,IF(AND($E41=2,MP41=0),1000000,INDEX('計算A'!P$110:P$114,$F41+1)+IF(AND($E41=1,MP41=0),1000,0)),1000000))</f>
        <v/>
      </c>
      <c r="VX41">
        <f>IF($B41=0,1000000,IF(INDEX('計算A'!$D$60:$II$104,$B41,14)*DJ41=1,IF(AND($E41=2,MQ41=0),1000000,INDEX('計算A'!Q$110:Q$114,$F41+1)+IF(AND($E41=1,MQ41=0),1000,0)),1000000))</f>
        <v/>
      </c>
      <c r="VY41">
        <f>IF($B41=0,1000000,IF(INDEX('計算A'!$D$60:$II$104,$B41,15)*DK41=1,IF(AND($E41=2,MR41=0),1000000,INDEX('計算A'!R$110:R$114,$F41+1)+IF(AND($E41=1,MR41=0),1000,0)),1000000))</f>
        <v/>
      </c>
      <c r="VZ41">
        <f>IF($B41=0,1000000,IF(INDEX('計算A'!$D$60:$II$104,$B41,16)*DL41=1,IF(AND($E41=2,MS41=0),1000000,INDEX('計算A'!S$110:S$114,$F41+1)+IF(AND($E41=1,MS41=0),1000,0)),1000000))</f>
        <v/>
      </c>
      <c r="WA41">
        <f>IF($B41=0,1000000,IF(INDEX('計算A'!$D$60:$II$104,$B41,17)*DM41=1,IF(AND($E41=2,MT41=0),1000000,INDEX('計算A'!T$110:T$114,$F41+1)+IF(AND($E41=1,MT41=0),1000,0)),1000000))</f>
        <v/>
      </c>
      <c r="WB41">
        <f>IF($B41=0,1000000,IF(INDEX('計算A'!$D$60:$II$104,$B41,18)*DN41=1,IF(AND($E41=2,MU41=0),1000000,INDEX('計算A'!U$110:U$114,$F41+1)+IF(AND($E41=1,MU41=0),1000,0)),1000000))</f>
        <v/>
      </c>
      <c r="WC41">
        <f>IF($B41=0,1000000,IF(INDEX('計算A'!$D$60:$II$104,$B41,19)*DO41=1,IF(AND($E41=2,MV41=0),1000000,INDEX('計算A'!V$110:V$114,$F41+1)+IF(AND($E41=1,MV41=0),1000,0)),1000000))</f>
        <v/>
      </c>
      <c r="WD41">
        <f>IF($B41=0,1000000,IF(INDEX('計算A'!$D$60:$II$104,$B41,20)*DP41=1,IF(AND($E41=2,MW41=0),1000000,INDEX('計算A'!W$110:W$114,$F41+1)+IF(AND($E41=1,MW41=0),1000,0)),1000000))</f>
        <v/>
      </c>
      <c r="WE41">
        <f>IF($B41=0,1000000,IF(INDEX('計算A'!$D$60:$II$104,$B41,21)*DQ41=1,IF(AND($E41=2,MX41=0),1000000,INDEX('計算A'!X$110:X$114,$F41+1)+IF(AND($E41=1,MX41=0),1000,0)),1000000))</f>
        <v/>
      </c>
      <c r="WF41">
        <f>IF($B41=0,1000000,IF(INDEX('計算A'!$D$60:$II$104,$B41,22)*DR41=1,IF(AND($E41=2,MY41=0),1000000,INDEX('計算A'!Y$110:Y$114,$F41+1)+IF(AND($E41=1,MY41=0),1000,0)),1000000))</f>
        <v/>
      </c>
      <c r="WG41">
        <f>IF($B41=0,1000000,IF(INDEX('計算A'!$D$60:$II$104,$B41,23)*DS41=1,IF(AND($E41=2,MZ41=0),1000000,INDEX('計算A'!Z$110:Z$114,$F41+1)+IF(AND($E41=1,MZ41=0),1000,0)),1000000))</f>
        <v/>
      </c>
      <c r="WH41">
        <f>IF($B41=0,1000000,IF(INDEX('計算A'!$D$60:$II$104,$B41,24)*DT41=1,IF(AND($E41=2,NA41=0),1000000,INDEX('計算A'!AA$110:AA$114,$F41+1)+IF(AND($E41=1,NA41=0),1000,0)),1000000))</f>
        <v/>
      </c>
      <c r="WI41">
        <f>IF($B41=0,1000000,IF(INDEX('計算A'!$D$60:$II$104,$B41,25)*DU41=1,IF(AND($E41=2,NB41=0),1000000,INDEX('計算A'!AB$110:AB$114,$F41+1)+IF(AND($E41=1,NB41=0),1000,0)),1000000))</f>
        <v/>
      </c>
      <c r="WJ41">
        <f>IF($B41=0,1000000,IF(INDEX('計算A'!$D$60:$II$104,$B41,26)*DV41=1,IF(AND($E41=2,NC41=0),1000000,INDEX('計算A'!AC$110:AC$114,$F41+1)+IF(AND($E41=1,NC41=0),1000,0)),1000000))</f>
        <v/>
      </c>
      <c r="WK41">
        <f>IF($B41=0,1000000,IF(INDEX('計算A'!$D$60:$II$104,$B41,27)*DW41=1,IF(AND($E41=2,ND41=0),1000000,INDEX('計算A'!AD$110:AD$114,$F41+1)+IF(AND($E41=1,ND41=0),1000,0)),1000000))</f>
        <v/>
      </c>
      <c r="WL41">
        <f>IF($B41=0,1000000,IF(INDEX('計算A'!$D$60:$II$104,$B41,28)*DX41=1,IF(AND($E41=2,NE41=0),1000000,INDEX('計算A'!AE$110:AE$114,$F41+1)+IF(AND($E41=1,NE41=0),1000,0)),1000000))</f>
        <v/>
      </c>
      <c r="WM41">
        <f>IF($B41=0,1000000,IF(INDEX('計算A'!$D$60:$II$104,$B41,29)*DY41=1,IF(AND($E41=2,NF41=0),1000000,INDEX('計算A'!AF$110:AF$114,$F41+1)+IF(AND($E41=1,NF41=0),1000,0)),1000000))</f>
        <v/>
      </c>
      <c r="WN41">
        <f>IF($B41=0,1000000,IF(INDEX('計算A'!$D$60:$II$104,$B41,30)*DZ41=1,IF(AND($E41=2,NG41=0),1000000,INDEX('計算A'!AG$110:AG$114,$F41+1)+IF(AND($E41=1,NG41=0),1000,0)),1000000))</f>
        <v/>
      </c>
      <c r="WO41">
        <f>IF($B41=0,1000000,IF(INDEX('計算A'!$D$60:$II$104,$B41,31)*EA41=1,IF(AND($E41=2,NH41=0),1000000,INDEX('計算A'!AH$110:AH$114,$F41+1)+IF(AND($E41=1,NH41=0),1000,0)),1000000))</f>
        <v/>
      </c>
      <c r="WP41">
        <f>IF($B41=0,1000000,IF(INDEX('計算A'!$D$60:$II$104,$B41,32)*EB41=1,IF(AND($E41=2,NI41=0),1000000,INDEX('計算A'!AI$110:AI$114,$F41+1)+IF(AND($E41=1,NI41=0),1000,0)),1000000))</f>
        <v/>
      </c>
      <c r="WQ41">
        <f>IF($B41=0,1000000,IF(INDEX('計算A'!$D$60:$II$104,$B41,33)*EC41=1,IF(AND($E41=2,NJ41=0),1000000,INDEX('計算A'!AJ$110:AJ$114,$F41+1)+IF(AND($E41=1,NJ41=0),1000,0)),1000000))</f>
        <v/>
      </c>
      <c r="WR41">
        <f>IF($B41=0,1000000,IF(INDEX('計算A'!$D$60:$II$104,$B41,34)*ED41=1,IF(AND($E41=2,NK41=0),1000000,INDEX('計算A'!AK$110:AK$114,$F41+1)+IF(AND($E41=1,NK41=0),1000,0)),1000000))</f>
        <v/>
      </c>
      <c r="WS41">
        <f>IF($B41=0,1000000,IF(INDEX('計算A'!$D$60:$II$104,$B41,35)*EE41=1,IF(AND($E41=2,NL41=0),1000000,INDEX('計算A'!AL$110:AL$114,$F41+1)+IF(AND($E41=1,NL41=0),1000,0)),1000000))</f>
        <v/>
      </c>
      <c r="WT41">
        <f>IF($B41=0,1000000,IF(INDEX('計算A'!$D$60:$II$104,$B41,36)*EF41=1,IF(AND($E41=2,NM41=0),1000000,INDEX('計算A'!AM$110:AM$114,$F41+1)+IF(AND($E41=1,NM41=0),1000,0)),1000000))</f>
        <v/>
      </c>
      <c r="WU41">
        <f>IF($B41=0,1000000,IF(INDEX('計算A'!$D$60:$II$104,$B41,37)*EG41=1,IF(AND($E41=2,NN41=0),1000000,INDEX('計算A'!AN$110:AN$114,$F41+1)+IF(AND($E41=1,NN41=0),1000,0)),1000000))</f>
        <v/>
      </c>
      <c r="WV41">
        <f>IF($B41=0,1000000,IF(INDEX('計算A'!$D$60:$II$104,$B41,38)*EH41=1,IF(AND($E41=2,NO41=0),1000000,INDEX('計算A'!AO$110:AO$114,$F41+1)+IF(AND($E41=1,NO41=0),1000,0)),1000000))</f>
        <v/>
      </c>
      <c r="WW41">
        <f>IF($B41=0,1000000,IF(INDEX('計算A'!$D$60:$II$104,$B41,39)*EI41=1,IF(AND($E41=2,NP41=0),1000000,INDEX('計算A'!AP$110:AP$114,$F41+1)+IF(AND($E41=1,NP41=0),1000,0)),1000000))</f>
        <v/>
      </c>
      <c r="WX41">
        <f>IF($B41=0,1000000,IF(INDEX('計算A'!$D$60:$II$104,$B41,40)*EJ41=1,IF(AND($E41=2,NQ41=0),1000000,INDEX('計算A'!AQ$110:AQ$114,$F41+1)+IF(AND($E41=1,NQ41=0),1000,0)),1000000))</f>
        <v/>
      </c>
      <c r="WY41">
        <f>IF($B41=0,1000000,IF(INDEX('計算A'!$D$60:$II$104,$B41,41)*EK41=1,IF(AND($E41=2,NR41=0),1000000,INDEX('計算A'!AR$110:AR$114,$F41+1)+IF(AND($E41=1,NR41=0),1000,0)),1000000))</f>
        <v/>
      </c>
      <c r="WZ41">
        <f>IF($B41=0,1000000,IF(INDEX('計算A'!$D$60:$II$104,$B41,42)*EL41=1,IF(AND($E41=2,NS41=0),1000000,INDEX('計算A'!AS$110:AS$114,$F41+1)+IF(AND($E41=1,NS41=0),1000,0)),1000000))</f>
        <v/>
      </c>
      <c r="XA41">
        <f>IF($B41=0,1000000,IF(INDEX('計算A'!$D$60:$II$104,$B41,43)*EM41=1,IF(AND($E41=2,NT41=0),1000000,INDEX('計算A'!AT$110:AT$114,$F41+1)+IF(AND($E41=1,NT41=0),1000,0)),1000000))</f>
        <v/>
      </c>
      <c r="XB41">
        <f>IF($B41=0,1000000,IF(INDEX('計算A'!$D$60:$II$104,$B41,44)*EN41=1,IF(AND($E41=2,NU41=0),1000000,INDEX('計算A'!AU$110:AU$114,$F41+1)+IF(AND($E41=1,NU41=0),1000,0)),1000000))</f>
        <v/>
      </c>
      <c r="XC41">
        <f>IF($B41=0,1000000,IF(INDEX('計算A'!$D$60:$II$104,$B41,45)*EO41=1,IF(AND($E41=2,NV41=0),1000000,INDEX('計算A'!AV$110:AV$114,$F41+1)+IF(AND($E41=1,NV41=0),1000,0)),1000000))</f>
        <v/>
      </c>
      <c r="XD41">
        <f>IF($B41=0,1000000,IF(INDEX('計算A'!$D$60:$II$104,$B41,46)*EP41=1,IF(AND($E41=2,NW41=0),1000000,INDEX('計算A'!AW$110:AW$114,$F41+1)+IF(AND($E41=1,NW41=0),1000,0)),1000000))</f>
        <v/>
      </c>
      <c r="XE41">
        <f>IF($B41=0,1000000,IF(INDEX('計算A'!$D$60:$II$104,$B41,47)*EQ41=1,IF(AND($E41=2,NX41=0),1000000,INDEX('計算A'!AX$110:AX$114,$F41+1)+IF(AND($E41=1,NX41=0),1000,0)),1000000))</f>
        <v/>
      </c>
      <c r="XF41">
        <f>IF($B41=0,1000000,IF(INDEX('計算A'!$D$60:$II$104,$B41,48)*ER41=1,IF(AND($E41=2,NY41=0),1000000,INDEX('計算A'!AY$110:AY$114,$F41+1)+IF(AND($E41=1,NY41=0),1000,0)),1000000))</f>
        <v/>
      </c>
      <c r="XG41">
        <f>IF($B41=0,1000000,IF(INDEX('計算A'!$D$60:$II$104,$B41,49)*ES41=1,IF(AND($E41=2,NZ41=0),1000000,INDEX('計算A'!AZ$110:AZ$114,$F41+1)+IF(AND($E41=1,NZ41=0),1000,0)),1000000))</f>
        <v/>
      </c>
      <c r="XH41">
        <f>IF($B41=0,1000000,IF(INDEX('計算A'!$D$60:$II$104,$B41,50)*ET41=1,IF(AND($E41=2,OA41=0),1000000,INDEX('計算A'!BA$110:BA$114,$F41+1)+IF(AND($E41=1,OA41=0),1000,0)),1000000))</f>
        <v/>
      </c>
      <c r="XI41">
        <f>IF($B41=0,1000000,IF(INDEX('計算A'!$D$60:$II$104,$B41,51)*EU41=1,IF(AND($E41=2,OB41=0),1000000,INDEX('計算A'!BB$110:BB$114,$F41+1)+IF(AND($E41=1,OB41=0),1000,0)),1000000))</f>
        <v/>
      </c>
      <c r="XJ41">
        <f>IF($B41=0,1000000,IF(INDEX('計算A'!$D$60:$II$104,$B41,52)*EV41=1,IF(AND($E41=2,OC41=0),1000000,INDEX('計算A'!BC$110:BC$114,$F41+1)+IF(AND($E41=1,OC41=0),1000,0)),1000000))</f>
        <v/>
      </c>
      <c r="XK41">
        <f>IF($B41=0,1000000,IF(INDEX('計算A'!$D$60:$II$104,$B41,53)*EW41=1,IF(AND($E41=2,OD41=0),1000000,INDEX('計算A'!BD$110:BD$114,$F41+1)+IF(AND($E41=1,OD41=0),1000,0)),1000000))</f>
        <v/>
      </c>
      <c r="XL41">
        <f>IF($B41=0,1000000,IF(INDEX('計算A'!$D$60:$II$104,$B41,54)*EX41=1,IF(AND($E41=2,OE41=0),1000000,INDEX('計算A'!BE$110:BE$114,$F41+1)+IF(AND($E41=1,OE41=0),1000,0)),1000000))</f>
        <v/>
      </c>
      <c r="XM41">
        <f>IF($B41=0,1000000,IF(INDEX('計算A'!$D$60:$II$104,$B41,55)*EY41=1,IF(AND($E41=2,OF41=0),1000000,INDEX('計算A'!BF$110:BF$114,$F41+1)+IF(AND($E41=1,OF41=0),1000,0)),1000000))</f>
        <v/>
      </c>
      <c r="XN41">
        <f>IF($B41=0,1000000,IF(INDEX('計算A'!$D$60:$II$104,$B41,56)*EZ41=1,IF(AND($E41=2,OG41=0),1000000,INDEX('計算A'!BG$110:BG$114,$F41+1)+IF(AND($E41=1,OG41=0),1000,0)),1000000))</f>
        <v/>
      </c>
      <c r="XO41">
        <f>IF($B41=0,1000000,IF(INDEX('計算A'!$D$60:$II$104,$B41,57)*FA41=1,IF(AND($E41=2,OH41=0),1000000,INDEX('計算A'!BH$110:BH$114,$F41+1)+IF(AND($E41=1,OH41=0),1000,0)),1000000))</f>
        <v/>
      </c>
      <c r="XP41">
        <f>IF($B41=0,1000000,IF(INDEX('計算A'!$D$60:$II$104,$B41,58)*FB41=1,IF(AND($E41=2,OI41=0),1000000,INDEX('計算A'!BI$110:BI$114,$F41+1)+IF(AND($E41=1,OI41=0),1000,0)),1000000))</f>
        <v/>
      </c>
      <c r="XQ41">
        <f>IF($B41=0,1000000,IF(INDEX('計算A'!$D$60:$II$104,$B41,59)*FC41=1,IF(AND($E41=2,OJ41=0),1000000,INDEX('計算A'!BJ$110:BJ$114,$F41+1)+IF(AND($E41=1,OJ41=0),1000,0)),1000000))</f>
        <v/>
      </c>
      <c r="XR41">
        <f>IF($B41=0,1000000,IF(INDEX('計算A'!$D$60:$II$104,$B41,60)*FD41=1,IF(AND($E41=2,OK41=0),1000000,INDEX('計算A'!BK$110:BK$114,$F41+1)+IF(AND($E41=1,OK41=0),1000,0)),1000000))</f>
        <v/>
      </c>
      <c r="XS41">
        <f>IF($B41=0,1000000,IF(INDEX('計算A'!$D$60:$II$104,$B41,61)*FE41=1,IF(AND($E41=2,OL41=0),1000000,INDEX('計算A'!BL$110:BL$114,$F41+1)+IF(AND($E41=1,OL41=0),1000,0)),1000000))</f>
        <v/>
      </c>
      <c r="XT41">
        <f>IF($B41=0,1000000,IF(INDEX('計算A'!$D$60:$II$104,$B41,62)*FF41=1,IF(AND($E41=2,OM41=0),1000000,INDEX('計算A'!BM$110:BM$114,$F41+1)+IF(AND($E41=1,OM41=0),1000,0)),1000000))</f>
        <v/>
      </c>
      <c r="XU41">
        <f>IF($B41=0,1000000,IF(INDEX('計算A'!$D$60:$II$104,$B41,63)*FG41=1,IF(AND($E41=2,ON41=0),1000000,INDEX('計算A'!BN$110:BN$114,$F41+1)+IF(AND($E41=1,ON41=0),1000,0)),1000000))</f>
        <v/>
      </c>
      <c r="XV41">
        <f>IF($B41=0,1000000,IF(INDEX('計算A'!$D$60:$II$104,$B41,64)*FH41=1,IF(AND($E41=2,OO41=0),1000000,INDEX('計算A'!BO$110:BO$114,$F41+1)+IF(AND($E41=1,OO41=0),1000,0)),1000000))</f>
        <v/>
      </c>
      <c r="XW41">
        <f>IF($B41=0,1000000,IF(INDEX('計算A'!$D$60:$II$104,$B41,65)*FI41=1,IF(AND($E41=2,OP41=0),1000000,INDEX('計算A'!BP$110:BP$114,$F41+1)+IF(AND($E41=1,OP41=0),1000,0)),1000000))</f>
        <v/>
      </c>
      <c r="XX41">
        <f>IF($B41=0,1000000,IF(INDEX('計算A'!$D$60:$II$104,$B41,66)*FJ41=1,IF(AND($E41=2,OQ41=0),1000000,INDEX('計算A'!BQ$110:BQ$114,$F41+1)+IF(AND($E41=1,OQ41=0),1000,0)),1000000))</f>
        <v/>
      </c>
      <c r="XY41">
        <f>IF($B41=0,1000000,IF(INDEX('計算A'!$D$60:$II$104,$B41,67)*FK41=1,IF(AND($E41=2,OR41=0),1000000,INDEX('計算A'!BR$110:BR$114,$F41+1)+IF(AND($E41=1,OR41=0),1000,0)),1000000))</f>
        <v/>
      </c>
      <c r="XZ41">
        <f>IF($B41=0,1000000,IF(INDEX('計算A'!$D$60:$II$104,$B41,68)*FL41=1,IF(AND($E41=2,OS41=0),1000000,INDEX('計算A'!BS$110:BS$114,$F41+1)+IF(AND($E41=1,OS41=0),1000,0)),1000000))</f>
        <v/>
      </c>
      <c r="YA41">
        <f>IF($B41=0,1000000,IF(INDEX('計算A'!$D$60:$II$104,$B41,69)*FM41=1,IF(AND($E41=2,OT41=0),1000000,INDEX('計算A'!BT$110:BT$114,$F41+1)+IF(AND($E41=1,OT41=0),1000,0)),1000000))</f>
        <v/>
      </c>
      <c r="YB41">
        <f>IF($B41=0,1000000,IF(INDEX('計算A'!$D$60:$II$104,$B41,70)*FN41=1,IF(AND($E41=2,OU41=0),1000000,INDEX('計算A'!BU$110:BU$114,$F41+1)+IF(AND($E41=1,OU41=0),1000,0)),1000000))</f>
        <v/>
      </c>
      <c r="YC41">
        <f>IF($B41=0,1000000,IF(INDEX('計算A'!$D$60:$II$104,$B41,71)*FO41=1,IF(AND($E41=2,OV41=0),1000000,INDEX('計算A'!BV$110:BV$114,$F41+1)+IF(AND($E41=1,OV41=0),1000,0)),1000000))</f>
        <v/>
      </c>
      <c r="YD41">
        <f>IF($B41=0,1000000,IF(INDEX('計算A'!$D$60:$II$104,$B41,72)*FP41=1,IF(AND($E41=2,OW41=0),1000000,INDEX('計算A'!BW$110:BW$114,$F41+1)+IF(AND($E41=1,OW41=0),1000,0)),1000000))</f>
        <v/>
      </c>
      <c r="YE41">
        <f>IF($B41=0,1000000,IF(INDEX('計算A'!$D$60:$II$104,$B41,73)*FQ41=1,IF(AND($E41=2,OX41=0),1000000,INDEX('計算A'!BX$110:BX$114,$F41+1)+IF(AND($E41=1,OX41=0),1000,0)),1000000))</f>
        <v/>
      </c>
      <c r="YF41">
        <f>IF($B41=0,1000000,IF(INDEX('計算A'!$D$60:$II$104,$B41,74)*FR41=1,IF(AND($E41=2,OY41=0),1000000,INDEX('計算A'!BY$110:BY$114,$F41+1)+IF(AND($E41=1,OY41=0),1000,0)),1000000))</f>
        <v/>
      </c>
      <c r="YG41">
        <f>IF($B41=0,1000000,IF(INDEX('計算A'!$D$60:$II$104,$B41,75)*FS41=1,IF(AND($E41=2,OZ41=0),1000000,INDEX('計算A'!BZ$110:BZ$114,$F41+1)+IF(AND($E41=1,OZ41=0),1000,0)),1000000))</f>
        <v/>
      </c>
      <c r="YH41">
        <f>IF($B41=0,1000000,IF(INDEX('計算A'!$D$60:$II$104,$B41,76)*FT41=1,IF(AND($E41=2,PA41=0),1000000,INDEX('計算A'!CA$110:CA$114,$F41+1)+IF(AND($E41=1,PA41=0),1000,0)),1000000))</f>
        <v/>
      </c>
      <c r="YI41">
        <f>IF($B41=0,1000000,IF(INDEX('計算A'!$D$60:$II$104,$B41,77)*FU41=1,IF(AND($E41=2,PB41=0),1000000,INDEX('計算A'!CB$110:CB$114,$F41+1)+IF(AND($E41=1,PB41=0),1000,0)),1000000))</f>
        <v/>
      </c>
      <c r="YJ41">
        <f>IF($B41=0,1000000,IF(INDEX('計算A'!$D$60:$II$104,$B41,78)*FV41=1,IF(AND($E41=2,PC41=0),1000000,INDEX('計算A'!CC$110:CC$114,$F41+1)+IF(AND($E41=1,PC41=0),1000,0)),1000000))</f>
        <v/>
      </c>
      <c r="YK41">
        <f>IF($B41=0,1000000,IF(INDEX('計算A'!$D$60:$II$104,$B41,79)*FW41=1,IF(AND($E41=2,PD41=0),1000000,INDEX('計算A'!CD$110:CD$114,$F41+1)+IF(AND($E41=1,PD41=0),1000,0)),1000000))</f>
        <v/>
      </c>
      <c r="YL41">
        <f>IF($B41=0,1000000,IF(INDEX('計算A'!$D$60:$II$104,$B41,80)*FX41=1,IF(AND($E41=2,PE41=0),1000000,INDEX('計算A'!CE$110:CE$114,$F41+1)+IF(AND($E41=1,PE41=0),1000,0)),1000000))</f>
        <v/>
      </c>
      <c r="YM41">
        <f>IF($B41=0,1000000,IF(INDEX('計算A'!$D$60:$II$104,$B41,81)*FY41=1,IF(AND($E41=2,PF41=0),1000000,INDEX('計算A'!CF$110:CF$114,$F41+1)+IF(AND($E41=1,PF41=0),1000,0)),1000000))</f>
        <v/>
      </c>
      <c r="YN41">
        <f>IF($B41=0,1000000,IF(INDEX('計算A'!$D$60:$II$104,$B41,82)*FZ41=1,IF(AND($E41=2,PG41=0),1000000,INDEX('計算A'!CG$110:CG$114,$F41+1)+IF(AND($E41=1,PG41=0),1000,0)),1000000))</f>
        <v/>
      </c>
      <c r="YO41">
        <f>IF($B41=0,1000000,IF(INDEX('計算A'!$D$60:$II$104,$B41,83)*GA41=1,IF(AND($E41=2,PH41=0),1000000,INDEX('計算A'!CH$110:CH$114,$F41+1)+IF(AND($E41=1,PH41=0),1000,0)),1000000))</f>
        <v/>
      </c>
      <c r="YP41">
        <f>IF($B41=0,1000000,IF(INDEX('計算A'!$D$60:$II$104,$B41,84)*GB41=1,IF(AND($E41=2,PI41=0),1000000,INDEX('計算A'!CI$110:CI$114,$F41+1)+IF(AND($E41=1,PI41=0),1000,0)),1000000))</f>
        <v/>
      </c>
      <c r="YQ41">
        <f>IF($B41=0,1000000,IF(INDEX('計算A'!$D$60:$II$104,$B41,85)*GC41=1,IF(AND($E41=2,PJ41=0),1000000,INDEX('計算A'!CJ$110:CJ$114,$F41+1)+IF(AND($E41=1,PJ41=0),1000,0)),1000000))</f>
        <v/>
      </c>
      <c r="YR41">
        <f>IF($B41=0,1000000,IF(INDEX('計算A'!$D$60:$II$104,$B41,86)*GD41=1,IF(AND($E41=2,PK41=0),1000000,INDEX('計算A'!CK$110:CK$114,$F41+1)+IF(AND($E41=1,PK41=0),1000,0)),1000000))</f>
        <v/>
      </c>
      <c r="YS41">
        <f>IF($B41=0,1000000,IF(INDEX('計算A'!$D$60:$II$104,$B41,87)*GE41=1,IF(AND($E41=2,PL41=0),1000000,INDEX('計算A'!CL$110:CL$114,$F41+1)+IF(AND($E41=1,PL41=0),1000,0)),1000000))</f>
        <v/>
      </c>
      <c r="YT41">
        <f>IF($B41=0,1000000,IF(INDEX('計算A'!$D$60:$II$104,$B41,88)*GF41=1,IF(AND($E41=2,PM41=0),1000000,INDEX('計算A'!CM$110:CM$114,$F41+1)+IF(AND($E41=1,PM41=0),1000,0)),1000000))</f>
        <v/>
      </c>
      <c r="YU41">
        <f>IF($B41=0,1000000,IF(INDEX('計算A'!$D$60:$II$104,$B41,89)*GG41=1,IF(AND($E41=2,PN41=0),1000000,INDEX('計算A'!CN$110:CN$114,$F41+1)+IF(AND($E41=1,PN41=0),1000,0)),1000000))</f>
        <v/>
      </c>
      <c r="YV41">
        <f>IF($B41=0,1000000,IF(INDEX('計算A'!$D$60:$II$104,$B41,90)*GH41=1,IF(AND($E41=2,PO41=0),1000000,INDEX('計算A'!CO$110:CO$114,$F41+1)+IF(AND($E41=1,PO41=0),1000,0)),1000000))</f>
        <v/>
      </c>
      <c r="YW41">
        <f>IF($B41=0,1000000,IF(INDEX('計算A'!$D$60:$II$104,$B41,91)*GI41=1,IF(AND($E41=2,PP41=0),1000000,INDEX('計算A'!CP$110:CP$114,$F41+1)+IF(AND($E41=1,PP41=0),1000,0)),1000000))</f>
        <v/>
      </c>
      <c r="YX41">
        <f>IF($B41=0,1000000,IF(INDEX('計算A'!$D$60:$II$104,$B41,92)*GJ41=1,IF(AND($E41=2,PQ41=0),1000000,INDEX('計算A'!CQ$110:CQ$114,$F41+1)+IF(AND($E41=1,PQ41=0),1000,0)),1000000))</f>
        <v/>
      </c>
      <c r="YY41">
        <f>IF($B41=0,1000000,IF(INDEX('計算A'!$D$60:$II$104,$B41,93)*GK41=1,IF(AND($E41=2,PR41=0),1000000,INDEX('計算A'!CR$110:CR$114,$F41+1)+IF(AND($E41=1,PR41=0),1000,0)),1000000))</f>
        <v/>
      </c>
      <c r="YZ41">
        <f>IF($B41=0,1000000,IF(INDEX('計算A'!$D$60:$II$104,$B41,94)*GL41=1,IF(AND($E41=2,PS41=0),1000000,INDEX('計算A'!CS$110:CS$114,$F41+1)+IF(AND($E41=1,PS41=0),1000,0)),1000000))</f>
        <v/>
      </c>
      <c r="ZA41">
        <f>IF($B41=0,1000000,IF(INDEX('計算A'!$D$60:$II$104,$B41,95)*GM41=1,IF(AND($E41=2,PT41=0),1000000,INDEX('計算A'!CT$110:CT$114,$F41+1)+IF(AND($E41=1,PT41=0),1000,0)),1000000))</f>
        <v/>
      </c>
      <c r="ZB41">
        <f>IF($B41=0,1000000,IF(INDEX('計算A'!$D$60:$II$104,$B41,96)*GN41=1,IF(AND($E41=2,PU41=0),1000000,INDEX('計算A'!CU$110:CU$114,$F41+1)+IF(AND($E41=1,PU41=0),1000,0)),1000000))</f>
        <v/>
      </c>
      <c r="ZC41">
        <f>IF($B41=0,1000000,IF(INDEX('計算A'!$D$60:$II$104,$B41,97)*GO41=1,IF(AND($E41=2,PV41=0),1000000,INDEX('計算A'!CV$110:CV$114,$F41+1)+IF(AND($E41=1,PV41=0),1000,0)),1000000))</f>
        <v/>
      </c>
      <c r="ZD41">
        <f>IF($B41=0,1000000,IF(INDEX('計算A'!$D$60:$II$104,$B41,98)*GP41=1,IF(AND($E41=2,PW41=0),1000000,INDEX('計算A'!CW$110:CW$114,$F41+1)+IF(AND($E41=1,PW41=0),1000,0)),1000000))</f>
        <v/>
      </c>
      <c r="ZE41">
        <f>IF($B41=0,1000000,IF(INDEX('計算A'!$D$60:$II$104,$B41,99)*GQ41=1,IF(AND($E41=2,PX41=0),1000000,INDEX('計算A'!CX$110:CX$114,$F41+1)+IF(AND($E41=1,PX41=0),1000,0)),1000000))</f>
        <v/>
      </c>
      <c r="ZF41">
        <f>IF($B41=0,1000000,IF(INDEX('計算A'!$D$60:$II$104,$B41,100)*GR41=1,IF(AND($E41=2,PY41=0),1000000,INDEX('計算A'!CY$110:CY$114,$F41+1)+IF(AND($E41=1,PY41=0),1000,0)),1000000))</f>
        <v/>
      </c>
      <c r="ZG41">
        <f>IF($B41=0,1000000,IF(INDEX('計算A'!$D$60:$II$104,$B41,101)*GS41=1,IF(AND($E41=2,PZ41=0),1000000,INDEX('計算A'!CZ$110:CZ$114,$F41+1)+IF(AND($E41=1,PZ41=0),1000,0)),1000000))</f>
        <v/>
      </c>
      <c r="ZH41">
        <f>IF($B41=0,1000000,IF(INDEX('計算A'!$D$60:$II$104,$B41,102)*GT41=1,IF(AND($E41=2,QA41=0),1000000,INDEX('計算A'!DA$110:DA$114,$F41+1)+IF(AND($E41=1,QA41=0),1000,0)),1000000))</f>
        <v/>
      </c>
      <c r="ZI41">
        <f>IF($B41=0,1000000,IF(INDEX('計算A'!$D$60:$II$104,$B41,103)*GU41=1,IF(AND($E41=2,QB41=0),1000000,INDEX('計算A'!DB$110:DB$114,$F41+1)+IF(AND($E41=1,QB41=0),1000,0)),1000000))</f>
        <v/>
      </c>
      <c r="ZJ41">
        <f>IF($B41=0,1000000,IF(INDEX('計算A'!$D$60:$II$104,$B41,104)*GV41=1,IF(AND($E41=2,QC41=0),1000000,INDEX('計算A'!DC$110:DC$114,$F41+1)+IF(AND($E41=1,QC41=0),1000,0)),1000000))</f>
        <v/>
      </c>
      <c r="ZK41">
        <f>IF($B41=0,1000000,IF(INDEX('計算A'!$D$60:$II$104,$B41,105)*GW41=1,IF(AND($E41=2,QD41=0),1000000,INDEX('計算A'!DD$110:DD$114,$F41+1)+IF(AND($E41=1,QD41=0),1000,0)),1000000))</f>
        <v/>
      </c>
      <c r="ZL41">
        <f>IF($B41=0,1000000,IF(INDEX('計算A'!$D$60:$II$104,$B41,106)*GX41=1,IF(AND($E41=2,QE41=0),1000000,INDEX('計算A'!DE$110:DE$114,$F41+1)+IF(AND($E41=1,QE41=0),1000,0)),1000000))</f>
        <v/>
      </c>
      <c r="ZM41">
        <f>IF($B41=0,1000000,IF(INDEX('計算A'!$D$60:$II$104,$B41,107)*GY41=1,IF(AND($E41=2,QF41=0),1000000,INDEX('計算A'!DF$110:DF$114,$F41+1)+IF(AND($E41=1,QF41=0),1000,0)),1000000))</f>
        <v/>
      </c>
      <c r="ZN41">
        <f>IF($B41=0,1000000,IF(INDEX('計算A'!$D$60:$II$104,$B41,108)*GZ41=1,IF(AND($E41=2,QG41=0),1000000,INDEX('計算A'!DG$110:DG$114,$F41+1)+IF(AND($E41=1,QG41=0),1000,0)),1000000))</f>
        <v/>
      </c>
      <c r="ZO41">
        <f>IF($B41=0,1000000,IF(INDEX('計算A'!$D$60:$II$104,$B41,109)*HA41=1,IF(AND($E41=2,QH41=0),1000000,INDEX('計算A'!DH$110:DH$114,$F41+1)+IF(AND($E41=1,QH41=0),1000,0)),1000000))</f>
        <v/>
      </c>
      <c r="ZP41">
        <f>IF($B41=0,1000000,IF(INDEX('計算A'!$D$60:$II$104,$B41,110)*HB41=1,IF(AND($E41=2,QI41=0),1000000,INDEX('計算A'!DI$110:DI$114,$F41+1)+IF(AND($E41=1,QI41=0),1000,0)),1000000))</f>
        <v/>
      </c>
      <c r="ZQ41">
        <f>IF($B41=0,1000000,IF(INDEX('計算A'!$D$60:$II$104,$B41,111)*HC41=1,IF(AND($E41=2,QJ41=0),1000000,INDEX('計算A'!DJ$110:DJ$114,$F41+1)+IF(AND($E41=1,QJ41=0),1000,0)),1000000))</f>
        <v/>
      </c>
      <c r="ZR41">
        <f>IF($B41=0,1000000,IF(INDEX('計算A'!$D$60:$II$104,$B41,112)*HD41=1,IF(AND($E41=2,QK41=0),1000000,INDEX('計算A'!DK$110:DK$114,$F41+1)+IF(AND($E41=1,QK41=0),1000,0)),1000000))</f>
        <v/>
      </c>
      <c r="ZS41">
        <f>IF($B41=0,1000000,IF(INDEX('計算A'!$D$60:$II$104,$B41,113)*HE41=1,IF(AND($E41=2,QL41=0),1000000,INDEX('計算A'!DL$110:DL$114,$F41+1)+IF(AND($E41=1,QL41=0),1000,0)),1000000))</f>
        <v/>
      </c>
      <c r="ZT41">
        <f>IF($B41=0,1000000,IF(INDEX('計算A'!$D$60:$II$104,$B41,114)*HF41=1,IF(AND($E41=2,QM41=0),1000000,INDEX('計算A'!DM$110:DM$114,$F41+1)+IF(AND($E41=1,QM41=0),1000,0)),1000000))</f>
        <v/>
      </c>
      <c r="ZU41">
        <f>IF($B41=0,1000000,IF(INDEX('計算A'!$D$60:$II$104,$B41,115)*HG41=1,IF(AND($E41=2,QN41=0),1000000,INDEX('計算A'!DN$110:DN$114,$F41+1)+IF(AND($E41=1,QN41=0),1000,0)),1000000))</f>
        <v/>
      </c>
      <c r="ZV41">
        <f>IF($B41=0,1000000,IF(INDEX('計算A'!$D$60:$II$104,$B41,116)*HH41=1,IF(AND($E41=2,QO41=0),1000000,INDEX('計算A'!DO$110:DO$114,$F41+1)+IF(AND($E41=1,QO41=0),1000,0)),1000000))</f>
        <v/>
      </c>
      <c r="ZW41">
        <f>IF($B41=0,1000000,IF(INDEX('計算A'!$D$60:$II$104,$B41,117)*HI41=1,IF(AND($E41=2,QP41=0),1000000,INDEX('計算A'!DP$110:DP$114,$F41+1)+IF(AND($E41=1,QP41=0),1000,0)),1000000))</f>
        <v/>
      </c>
      <c r="ZX41">
        <f>IF($B41=0,1000000,IF(INDEX('計算A'!$D$60:$II$104,$B41,118)*HJ41=1,IF(AND($E41=2,QQ41=0),1000000,INDEX('計算A'!DQ$110:DQ$114,$F41+1)+IF(AND($E41=1,QQ41=0),1000,0)),1000000))</f>
        <v/>
      </c>
      <c r="ZY41">
        <f>IF($B41=0,1000000,IF(INDEX('計算A'!$D$60:$II$104,$B41,119)*HK41=1,IF(AND($E41=2,QR41=0),1000000,INDEX('計算A'!DR$110:DR$114,$F41+1)+IF(AND($E41=1,QR41=0),1000,0)),1000000))</f>
        <v/>
      </c>
      <c r="ZZ41">
        <f>IF($B41=0,1000000,IF(INDEX('計算A'!$D$60:$II$104,$B41,120)*HL41=1,IF(AND($E41=2,QS41=0),1000000,INDEX('計算A'!DS$110:DS$114,$F41+1)+IF(AND($E41=1,QS41=0),1000,0)),1000000))</f>
        <v/>
      </c>
      <c r="AAA41">
        <f>IF($B41=0,1000000,IF(INDEX('計算A'!$D$60:$II$104,$B41,121)*HM41=1,IF(AND($E41=2,QT41=0),1000000,INDEX('計算A'!DT$110:DT$114,$F41+1)+IF(AND($E41=1,QT41=0),1000,0)),1000000))</f>
        <v/>
      </c>
      <c r="AAB41">
        <f>IF($B41=0,1000000,IF(INDEX('計算A'!$D$60:$II$104,$B41,122)*HN41=1,IF(AND($E41=2,QU41=0),1000000,INDEX('計算A'!DU$110:DU$114,$F41+1)+IF(AND($E41=1,QU41=0),1000,0)),1000000))</f>
        <v/>
      </c>
      <c r="AAC41">
        <f>IF($B41=0,1000000,IF(INDEX('計算A'!$D$60:$II$104,$B41,123)*HO41=1,IF(AND($E41=2,QV41=0),1000000,INDEX('計算A'!DV$110:DV$114,$F41+1)+IF(AND($E41=1,QV41=0),1000,0)),1000000))</f>
        <v/>
      </c>
      <c r="AAD41">
        <f>IF($B41=0,1000000,IF(INDEX('計算A'!$D$60:$II$104,$B41,124)*HP41=1,IF(AND($E41=2,QW41=0),1000000,INDEX('計算A'!DW$110:DW$114,$F41+1)+IF(AND($E41=1,QW41=0),1000,0)),1000000))</f>
        <v/>
      </c>
      <c r="AAE41">
        <f>IF($B41=0,1000000,IF(INDEX('計算A'!$D$60:$II$104,$B41,125)*HQ41=1,IF(AND($E41=2,QX41=0),1000000,INDEX('計算A'!DX$110:DX$114,$F41+1)+IF(AND($E41=1,QX41=0),1000,0)),1000000))</f>
        <v/>
      </c>
      <c r="AAF41">
        <f>IF($B41=0,1000000,IF(INDEX('計算A'!$D$60:$II$104,$B41,126)*HR41=1,IF(AND($E41=2,QY41=0),1000000,INDEX('計算A'!DY$110:DY$114,$F41+1)+IF(AND($E41=1,QY41=0),1000,0)),1000000))</f>
        <v/>
      </c>
      <c r="AAG41">
        <f>IF($B41=0,1000000,IF(INDEX('計算A'!$D$60:$II$104,$B41,127)*HS41=1,IF(AND($E41=2,QZ41=0),1000000,INDEX('計算A'!DZ$110:DZ$114,$F41+1)+IF(AND($E41=1,QZ41=0),1000,0)),1000000))</f>
        <v/>
      </c>
      <c r="AAH41">
        <f>IF($B41=0,1000000,IF(INDEX('計算A'!$D$60:$II$104,$B41,128)*HT41=1,IF(AND($E41=2,RA41=0),1000000,INDEX('計算A'!EA$110:EA$114,$F41+1)+IF(AND($E41=1,RA41=0),1000,0)),1000000))</f>
        <v/>
      </c>
      <c r="AAI41">
        <f>IF($B41=0,1000000,IF(INDEX('計算A'!$D$60:$II$104,$B41,129)*HU41=1,IF(AND($E41=2,RB41=0),1000000,INDEX('計算A'!EB$110:EB$114,$F41+1)+IF(AND($E41=1,RB41=0),1000,0)),1000000))</f>
        <v/>
      </c>
      <c r="AAJ41">
        <f>IF($B41=0,1000000,IF(INDEX('計算A'!$D$60:$II$104,$B41,130)*HV41=1,IF(AND($E41=2,RC41=0),1000000,INDEX('計算A'!EC$110:EC$114,$F41+1)+IF(AND($E41=1,RC41=0),1000,0)),1000000))</f>
        <v/>
      </c>
      <c r="AAK41">
        <f>IF($B41=0,1000000,IF(INDEX('計算A'!$D$60:$II$104,$B41,131)*HW41=1,IF(AND($E41=2,RD41=0),1000000,INDEX('計算A'!ED$110:ED$114,$F41+1)+IF(AND($E41=1,RD41=0),1000,0)),1000000))</f>
        <v/>
      </c>
      <c r="AAL41">
        <f>IF($B41=0,1000000,IF(INDEX('計算A'!$D$60:$II$104,$B41,132)*HX41=1,IF(AND($E41=2,RE41=0),1000000,INDEX('計算A'!EE$110:EE$114,$F41+1)+IF(AND($E41=1,RE41=0),1000,0)),1000000))</f>
        <v/>
      </c>
      <c r="AAM41">
        <f>IF($B41=0,1000000,IF(INDEX('計算A'!$D$60:$II$104,$B41,133)*HY41=1,IF(AND($E41=2,RF41=0),1000000,INDEX('計算A'!EF$110:EF$114,$F41+1)+IF(AND($E41=1,RF41=0),1000,0)),1000000))</f>
        <v/>
      </c>
      <c r="AAN41">
        <f>IF($B41=0,1000000,IF(INDEX('計算A'!$D$60:$II$104,$B41,134)*HZ41=1,IF(AND($E41=2,RG41=0),1000000,INDEX('計算A'!EG$110:EG$114,$F41+1)+IF(AND($E41=1,RG41=0),1000,0)),1000000))</f>
        <v/>
      </c>
      <c r="AAO41">
        <f>IF($B41=0,1000000,IF(INDEX('計算A'!$D$60:$II$104,$B41,135)*IA41=1,IF(AND($E41=2,RH41=0),1000000,INDEX('計算A'!EH$110:EH$114,$F41+1)+IF(AND($E41=1,RH41=0),1000,0)),1000000))</f>
        <v/>
      </c>
      <c r="AAP41">
        <f>IF($B41=0,1000000,IF(INDEX('計算A'!$D$60:$II$104,$B41,136)*IB41=1,IF(AND($E41=2,RI41=0),1000000,INDEX('計算A'!EI$110:EI$114,$F41+1)+IF(AND($E41=1,RI41=0),1000,0)),1000000))</f>
        <v/>
      </c>
      <c r="AAQ41">
        <f>IF($B41=0,1000000,IF(INDEX('計算A'!$D$60:$II$104,$B41,137)*IC41=1,IF(AND($E41=2,RJ41=0),1000000,INDEX('計算A'!EJ$110:EJ$114,$F41+1)+IF(AND($E41=1,RJ41=0),1000,0)),1000000))</f>
        <v/>
      </c>
      <c r="AAR41">
        <f>IF($B41=0,1000000,IF(INDEX('計算A'!$D$60:$II$104,$B41,138)*ID41=1,IF(AND($E41=2,RK41=0),1000000,INDEX('計算A'!EK$110:EK$114,$F41+1)+IF(AND($E41=1,RK41=0),1000,0)),1000000))</f>
        <v/>
      </c>
      <c r="AAS41">
        <f>IF($B41=0,1000000,IF(INDEX('計算A'!$D$60:$II$104,$B41,139)*IE41=1,IF(AND($E41=2,RL41=0),1000000,INDEX('計算A'!EL$110:EL$114,$F41+1)+IF(AND($E41=1,RL41=0),1000,0)),1000000))</f>
        <v/>
      </c>
      <c r="AAT41">
        <f>IF($B41=0,1000000,IF(INDEX('計算A'!$D$60:$II$104,$B41,140)*IF41=1,IF(AND($E41=2,RM41=0),1000000,INDEX('計算A'!EM$110:EM$114,$F41+1)+IF(AND($E41=1,RM41=0),1000,0)),1000000))</f>
        <v/>
      </c>
      <c r="AAU41">
        <f>IF($B41=0,1000000,IF(INDEX('計算A'!$D$60:$II$104,$B41,141)*IG41=1,IF(AND($E41=2,RN41=0),1000000,INDEX('計算A'!EN$110:EN$114,$F41+1)+IF(AND($E41=1,RN41=0),1000,0)),1000000))</f>
        <v/>
      </c>
      <c r="AAV41">
        <f>IF($B41=0,1000000,IF(INDEX('計算A'!$D$60:$II$104,$B41,142)*IH41=1,IF(AND($E41=2,RO41=0),1000000,INDEX('計算A'!EO$110:EO$114,$F41+1)+IF(AND($E41=1,RO41=0),1000,0)),1000000))</f>
        <v/>
      </c>
      <c r="AAW41">
        <f>IF($B41=0,1000000,IF(INDEX('計算A'!$D$60:$II$104,$B41,143)*II41=1,IF(AND($E41=2,RP41=0),1000000,INDEX('計算A'!EP$110:EP$114,$F41+1)+IF(AND($E41=1,RP41=0),1000,0)),1000000))</f>
        <v/>
      </c>
      <c r="AAX41">
        <f>IF($B41=0,1000000,IF(INDEX('計算A'!$D$60:$II$104,$B41,144)*IJ41=1,IF(AND($E41=2,RQ41=0),1000000,INDEX('計算A'!EQ$110:EQ$114,$F41+1)+IF(AND($E41=1,RQ41=0),1000,0)),1000000))</f>
        <v/>
      </c>
      <c r="AAY41">
        <f>IF($B41=0,1000000,IF(INDEX('計算A'!$D$60:$II$104,$B41,145)*IK41=1,IF(AND($E41=2,RR41=0),1000000,INDEX('計算A'!ER$110:ER$114,$F41+1)+IF(AND($E41=1,RR41=0),1000,0)),1000000))</f>
        <v/>
      </c>
      <c r="AAZ41">
        <f>IF($B41=0,1000000,IF(INDEX('計算A'!$D$60:$II$104,$B41,146)*IL41=1,IF(AND($E41=2,RS41=0),1000000,INDEX('計算A'!ES$110:ES$114,$F41+1)+IF(AND($E41=1,RS41=0),1000,0)),1000000))</f>
        <v/>
      </c>
      <c r="ABA41">
        <f>IF($B41=0,1000000,IF(INDEX('計算A'!$D$60:$II$104,$B41,147)*IM41=1,IF(AND($E41=2,RT41=0),1000000,INDEX('計算A'!ET$110:ET$114,$F41+1)+IF(AND($E41=1,RT41=0),1000,0)),1000000))</f>
        <v/>
      </c>
      <c r="ABB41">
        <f>IF($B41=0,1000000,IF(INDEX('計算A'!$D$60:$II$104,$B41,148)*IN41=1,IF(AND($E41=2,RU41=0),1000000,INDEX('計算A'!EU$110:EU$114,$F41+1)+IF(AND($E41=1,RU41=0),1000,0)),1000000))</f>
        <v/>
      </c>
      <c r="ABC41">
        <f>IF($B41=0,1000000,IF(INDEX('計算A'!$D$60:$II$104,$B41,149)*IO41=1,IF(AND($E41=2,RV41=0),1000000,INDEX('計算A'!EV$110:EV$114,$F41+1)+IF(AND($E41=1,RV41=0),1000,0)),1000000))</f>
        <v/>
      </c>
      <c r="ABD41">
        <f>IF($B41=0,1000000,IF(INDEX('計算A'!$D$60:$II$104,$B41,150)*IP41=1,IF(AND($E41=2,RW41=0),1000000,INDEX('計算A'!EW$110:EW$114,$F41+1)+IF(AND($E41=1,RW41=0),1000,0)),1000000))</f>
        <v/>
      </c>
      <c r="ABE41">
        <f>IF($B41=0,1000000,IF(INDEX('計算A'!$D$60:$II$104,$B41,151)*IQ41=1,IF(AND($E41=2,RX41=0),1000000,INDEX('計算A'!EX$110:EX$114,$F41+1)+IF(AND($E41=1,RX41=0),1000,0)),1000000))</f>
        <v/>
      </c>
      <c r="ABF41">
        <f>IF($B41=0,1000000,IF(INDEX('計算A'!$D$60:$II$104,$B41,152)*IR41=1,IF(AND($E41=2,RY41=0),1000000,INDEX('計算A'!EY$110:EY$114,$F41+1)+IF(AND($E41=1,RY41=0),1000,0)),1000000))</f>
        <v/>
      </c>
      <c r="ABG41">
        <f>IF($B41=0,1000000,IF(INDEX('計算A'!$D$60:$II$104,$B41,153)*IS41=1,IF(AND($E41=2,RZ41=0),1000000,INDEX('計算A'!EZ$110:EZ$114,$F41+1)+IF(AND($E41=1,RZ41=0),1000,0)),1000000))</f>
        <v/>
      </c>
      <c r="ABH41">
        <f>IF($B41=0,1000000,IF(INDEX('計算A'!$D$60:$II$104,$B41,154)*IT41=1,IF(AND($E41=2,SA41=0),1000000,INDEX('計算A'!FA$110:FA$114,$F41+1)+IF(AND($E41=1,SA41=0),1000,0)),1000000))</f>
        <v/>
      </c>
      <c r="ABI41">
        <f>IF($B41=0,1000000,IF(INDEX('計算A'!$D$60:$II$104,$B41,155)*IU41=1,IF(AND($E41=2,SB41=0),1000000,INDEX('計算A'!FB$110:FB$114,$F41+1)+IF(AND($E41=1,SB41=0),1000,0)),1000000))</f>
        <v/>
      </c>
      <c r="ABJ41">
        <f>IF($B41=0,1000000,IF(INDEX('計算A'!$D$60:$II$104,$B41,156)*IV41=1,IF(AND($E41=2,SC41=0),1000000,INDEX('計算A'!FC$110:FC$114,$F41+1)+IF(AND($E41=1,SC41=0),1000,0)),1000000))</f>
        <v/>
      </c>
      <c r="ABK41">
        <f>IF($B41=0,1000000,IF(INDEX('計算A'!$D$60:$II$104,$B41,157)*IW41=1,IF(AND($E41=2,SD41=0),1000000,INDEX('計算A'!FD$110:FD$114,$F41+1)+IF(AND($E41=1,SD41=0),1000,0)),1000000))</f>
        <v/>
      </c>
      <c r="ABL41">
        <f>IF($B41=0,1000000,IF(INDEX('計算A'!$D$60:$II$104,$B41,158)*IX41=1,IF(AND($E41=2,SE41=0),1000000,INDEX('計算A'!FE$110:FE$114,$F41+1)+IF(AND($E41=1,SE41=0),1000,0)),1000000))</f>
        <v/>
      </c>
      <c r="ABM41">
        <f>IF($B41=0,1000000,IF(INDEX('計算A'!$D$60:$II$104,$B41,159)*IY41=1,IF(AND($E41=2,SF41=0),1000000,INDEX('計算A'!FF$110:FF$114,$F41+1)+IF(AND($E41=1,SF41=0),1000,0)),1000000))</f>
        <v/>
      </c>
      <c r="ABN41">
        <f>IF($B41=0,1000000,IF(INDEX('計算A'!$D$60:$II$104,$B41,160)*IZ41=1,IF(AND($E41=2,SG41=0),1000000,INDEX('計算A'!FG$110:FG$114,$F41+1)+IF(AND($E41=1,SG41=0),1000,0)),1000000))</f>
        <v/>
      </c>
      <c r="ABO41">
        <f>IF($B41=0,1000000,IF(INDEX('計算A'!$D$60:$II$104,$B41,161)*JA41=1,IF(AND($E41=2,SH41=0),1000000,INDEX('計算A'!FH$110:FH$114,$F41+1)+IF(AND($E41=1,SH41=0),1000,0)),1000000))</f>
        <v/>
      </c>
      <c r="ABP41">
        <f>IF($B41=0,1000000,IF(INDEX('計算A'!$D$60:$II$104,$B41,162)*JB41=1,IF(AND($E41=2,SI41=0),1000000,INDEX('計算A'!FI$110:FI$114,$F41+1)+IF(AND($E41=1,SI41=0),1000,0)),1000000))</f>
        <v/>
      </c>
      <c r="ABQ41">
        <f>IF($B41=0,1000000,IF(INDEX('計算A'!$D$60:$II$104,$B41,163)*JC41=1,IF(AND($E41=2,SJ41=0),1000000,INDEX('計算A'!FJ$110:FJ$114,$F41+1)+IF(AND($E41=1,SJ41=0),1000,0)),1000000))</f>
        <v/>
      </c>
      <c r="ABR41">
        <f>IF($B41=0,1000000,IF(INDEX('計算A'!$D$60:$II$104,$B41,164)*JD41=1,IF(AND($E41=2,SK41=0),1000000,INDEX('計算A'!FK$110:FK$114,$F41+1)+IF(AND($E41=1,SK41=0),1000,0)),1000000))</f>
        <v/>
      </c>
      <c r="ABS41">
        <f>IF($B41=0,1000000,IF(INDEX('計算A'!$D$60:$II$104,$B41,165)*JE41=1,IF(AND($E41=2,SL41=0),1000000,INDEX('計算A'!FL$110:FL$114,$F41+1)+IF(AND($E41=1,SL41=0),1000,0)),1000000))</f>
        <v/>
      </c>
      <c r="ABT41">
        <f>IF($B41=0,1000000,IF(INDEX('計算A'!$D$60:$II$104,$B41,166)*JF41=1,IF(AND($E41=2,SM41=0),1000000,INDEX('計算A'!FM$110:FM$114,$F41+1)+IF(AND($E41=1,SM41=0),1000,0)),1000000))</f>
        <v/>
      </c>
      <c r="ABU41">
        <f>IF($B41=0,1000000,IF(INDEX('計算A'!$D$60:$II$104,$B41,167)*JG41=1,IF(AND($E41=2,SN41=0),1000000,INDEX('計算A'!FN$110:FN$114,$F41+1)+IF(AND($E41=1,SN41=0),1000,0)),1000000))</f>
        <v/>
      </c>
      <c r="ABV41">
        <f>IF($B41=0,1000000,IF(INDEX('計算A'!$D$60:$II$104,$B41,168)*JH41=1,IF(AND($E41=2,SO41=0),1000000,INDEX('計算A'!FO$110:FO$114,$F41+1)+IF(AND($E41=1,SO41=0),1000,0)),1000000))</f>
        <v/>
      </c>
      <c r="ABW41">
        <f>IF($B41=0,1000000,IF(INDEX('計算A'!$D$60:$II$104,$B41,169)*JI41=1,IF(AND($E41=2,SP41=0),1000000,INDEX('計算A'!FP$110:FP$114,$F41+1)+IF(AND($E41=1,SP41=0),1000,0)),1000000))</f>
        <v/>
      </c>
      <c r="ABX41">
        <f>IF($B41=0,1000000,IF(INDEX('計算A'!$D$60:$II$104,$B41,170)*JJ41=1,IF(AND($E41=2,SQ41=0),1000000,INDEX('計算A'!FQ$110:FQ$114,$F41+1)+IF(AND($E41=1,SQ41=0),1000,0)),1000000))</f>
        <v/>
      </c>
      <c r="ABY41">
        <f>IF($B41=0,1000000,IF(INDEX('計算A'!$D$60:$II$104,$B41,171)*JK41=1,IF(AND($E41=2,SR41=0),1000000,INDEX('計算A'!FR$110:FR$114,$F41+1)+IF(AND($E41=1,SR41=0),1000,0)),1000000))</f>
        <v/>
      </c>
      <c r="ABZ41">
        <f>IF($B41=0,1000000,IF(INDEX('計算A'!$D$60:$II$104,$B41,172)*JL41=1,IF(AND($E41=2,SS41=0),1000000,INDEX('計算A'!FS$110:FS$114,$F41+1)+IF(AND($E41=1,SS41=0),1000,0)),1000000))</f>
        <v/>
      </c>
      <c r="ACA41">
        <f>IF($B41=0,1000000,IF(INDEX('計算A'!$D$60:$II$104,$B41,173)*JM41=1,IF(AND($E41=2,ST41=0),1000000,INDEX('計算A'!FT$110:FT$114,$F41+1)+IF(AND($E41=1,ST41=0),1000,0)),1000000))</f>
        <v/>
      </c>
      <c r="ACB41">
        <f>IF($B41=0,1000000,IF(INDEX('計算A'!$D$60:$II$104,$B41,174)*JN41=1,IF(AND($E41=2,SU41=0),1000000,INDEX('計算A'!FU$110:FU$114,$F41+1)+IF(AND($E41=1,SU41=0),1000,0)),1000000))</f>
        <v/>
      </c>
      <c r="ACC41">
        <f>IF($B41=0,1000000,IF(INDEX('計算A'!$D$60:$II$104,$B41,175)*JO41=1,IF(AND($E41=2,SV41=0),1000000,INDEX('計算A'!FV$110:FV$114,$F41+1)+IF(AND($E41=1,SV41=0),1000,0)),1000000))</f>
        <v/>
      </c>
      <c r="ACD41">
        <f>IF($B41=0,1000000,IF(INDEX('計算A'!$D$60:$II$104,$B41,176)*JP41=1,IF(AND($E41=2,SW41=0),1000000,INDEX('計算A'!FW$110:FW$114,$F41+1)+IF(AND($E41=1,SW41=0),1000,0)),1000000))</f>
        <v/>
      </c>
      <c r="ACE41">
        <f>IF($B41=0,1000000,IF(INDEX('計算A'!$D$60:$II$104,$B41,177)*JQ41=1,IF(AND($E41=2,SX41=0),1000000,INDEX('計算A'!FX$110:FX$114,$F41+1)+IF(AND($E41=1,SX41=0),1000,0)),1000000))</f>
        <v/>
      </c>
      <c r="ACF41">
        <f>IF($B41=0,1000000,IF(INDEX('計算A'!$D$60:$II$104,$B41,178)*JR41=1,IF(AND($E41=2,SY41=0),1000000,INDEX('計算A'!FY$110:FY$114,$F41+1)+IF(AND($E41=1,SY41=0),1000,0)),1000000))</f>
        <v/>
      </c>
      <c r="ACG41">
        <f>IF($B41=0,1000000,IF(INDEX('計算A'!$D$60:$II$104,$B41,179)*JS41=1,IF(AND($E41=2,SZ41=0),1000000,INDEX('計算A'!FZ$110:FZ$114,$F41+1)+IF(AND($E41=1,SZ41=0),1000,0)),1000000))</f>
        <v/>
      </c>
      <c r="ACH41">
        <f>IF($B41=0,1000000,IF(INDEX('計算A'!$D$60:$II$104,$B41,180)*JT41=1,IF(AND($E41=2,TA41=0),1000000,INDEX('計算A'!GA$110:GA$114,$F41+1)+IF(AND($E41=1,TA41=0),1000,0)),1000000))</f>
        <v/>
      </c>
      <c r="ACI41">
        <f>IF($B41=0,1000000,IF(INDEX('計算A'!$D$60:$II$104,$B41,181)*JU41=1,IF(AND($E41=2,TB41=0),1000000,INDEX('計算A'!GB$110:GB$114,$F41+1)+IF(AND($E41=1,TB41=0),1000,0)),1000000))</f>
        <v/>
      </c>
      <c r="ACJ41">
        <f>IF($B41=0,1000000,IF(INDEX('計算A'!$D$60:$II$104,$B41,182)*JV41=1,IF(AND($E41=2,TC41=0),1000000,INDEX('計算A'!GC$110:GC$114,$F41+1)+IF(AND($E41=1,TC41=0),1000,0)),1000000))</f>
        <v/>
      </c>
      <c r="ACK41">
        <f>IF($B41=0,1000000,IF(INDEX('計算A'!$D$60:$II$104,$B41,183)*JW41=1,IF(AND($E41=2,TD41=0),1000000,INDEX('計算A'!GD$110:GD$114,$F41+1)+IF(AND($E41=1,TD41=0),1000,0)),1000000))</f>
        <v/>
      </c>
      <c r="ACL41">
        <f>IF($B41=0,1000000,IF(INDEX('計算A'!$D$60:$II$104,$B41,184)*JX41=1,IF(AND($E41=2,TE41=0),1000000,INDEX('計算A'!GE$110:GE$114,$F41+1)+IF(AND($E41=1,TE41=0),1000,0)),1000000))</f>
        <v/>
      </c>
      <c r="ACM41">
        <f>IF($B41=0,1000000,IF(INDEX('計算A'!$D$60:$II$104,$B41,185)*JY41=1,IF(AND($E41=2,TF41=0),1000000,INDEX('計算A'!GF$110:GF$114,$F41+1)+IF(AND($E41=1,TF41=0),1000,0)),1000000))</f>
        <v/>
      </c>
      <c r="ACN41">
        <f>IF($B41=0,1000000,IF(INDEX('計算A'!$D$60:$II$104,$B41,186)*JZ41=1,IF(AND($E41=2,TG41=0),1000000,INDEX('計算A'!GG$110:GG$114,$F41+1)+IF(AND($E41=1,TG41=0),1000,0)),1000000))</f>
        <v/>
      </c>
      <c r="ACO41">
        <f>IF($B41=0,1000000,IF(INDEX('計算A'!$D$60:$II$104,$B41,187)*KA41=1,IF(AND($E41=2,TH41=0),1000000,INDEX('計算A'!GH$110:GH$114,$F41+1)+IF(AND($E41=1,TH41=0),1000,0)),1000000))</f>
        <v/>
      </c>
      <c r="ACP41">
        <f>IF($B41=0,1000000,IF(INDEX('計算A'!$D$60:$II$104,$B41,188)*KB41=1,IF(AND($E41=2,TI41=0),1000000,INDEX('計算A'!GI$110:GI$114,$F41+1)+IF(AND($E41=1,TI41=0),1000,0)),1000000))</f>
        <v/>
      </c>
      <c r="ACQ41">
        <f>IF($B41=0,1000000,IF(INDEX('計算A'!$D$60:$II$104,$B41,189)*KC41=1,IF(AND($E41=2,TJ41=0),1000000,INDEX('計算A'!GJ$110:GJ$114,$F41+1)+IF(AND($E41=1,TJ41=0),1000,0)),1000000))</f>
        <v/>
      </c>
      <c r="ACR41">
        <f>IF($B41=0,1000000,IF(INDEX('計算A'!$D$60:$II$104,$B41,190)*KD41=1,IF(AND($E41=2,TK41=0),1000000,INDEX('計算A'!GK$110:GK$114,$F41+1)+IF(AND($E41=1,TK41=0),1000,0)),1000000))</f>
        <v/>
      </c>
      <c r="ACS41">
        <f>IF($B41=0,1000000,IF(INDEX('計算A'!$D$60:$II$104,$B41,191)*KE41=1,IF(AND($E41=2,TL41=0),1000000,INDEX('計算A'!GL$110:GL$114,$F41+1)+IF(AND($E41=1,TL41=0),1000,0)),1000000))</f>
        <v/>
      </c>
      <c r="ACT41">
        <f>IF($B41=0,1000000,IF(INDEX('計算A'!$D$60:$II$104,$B41,192)*KF41=1,IF(AND($E41=2,TM41=0),1000000,INDEX('計算A'!GM$110:GM$114,$F41+1)+IF(AND($E41=1,TM41=0),1000,0)),1000000))</f>
        <v/>
      </c>
      <c r="ACU41">
        <f>IF($B41=0,1000000,IF(INDEX('計算A'!$D$60:$II$104,$B41,193)*KG41=1,IF(AND($E41=2,TN41=0),1000000,INDEX('計算A'!GN$110:GN$114,$F41+1)+IF(AND($E41=1,TN41=0),1000,0)),1000000))</f>
        <v/>
      </c>
      <c r="ACV41">
        <f>IF($B41=0,1000000,IF(INDEX('計算A'!$D$60:$II$104,$B41,194)*KH41=1,IF(AND($E41=2,TO41=0),1000000,INDEX('計算A'!GO$110:GO$114,$F41+1)+IF(AND($E41=1,TO41=0),1000,0)),1000000))</f>
        <v/>
      </c>
      <c r="ACW41">
        <f>IF($B41=0,1000000,IF(INDEX('計算A'!$D$60:$II$104,$B41,195)*KI41=1,IF(AND($E41=2,TP41=0),1000000,INDEX('計算A'!GP$110:GP$114,$F41+1)+IF(AND($E41=1,TP41=0),1000,0)),1000000))</f>
        <v/>
      </c>
      <c r="ACX41">
        <f>IF($B41=0,1000000,IF(INDEX('計算A'!$D$60:$II$104,$B41,196)*KJ41=1,IF(AND($E41=2,TQ41=0),1000000,INDEX('計算A'!GQ$110:GQ$114,$F41+1)+IF(AND($E41=1,TQ41=0),1000,0)),1000000))</f>
        <v/>
      </c>
      <c r="ACY41">
        <f>IF($B41=0,1000000,IF(INDEX('計算A'!$D$60:$II$104,$B41,197)*KK41=1,IF(AND($E41=2,TR41=0),1000000,INDEX('計算A'!GR$110:GR$114,$F41+1)+IF(AND($E41=1,TR41=0),1000,0)),1000000))</f>
        <v/>
      </c>
      <c r="ACZ41">
        <f>IF($B41=0,1000000,IF(INDEX('計算A'!$D$60:$II$104,$B41,198)*KL41=1,IF(AND($E41=2,TS41=0),1000000,INDEX('計算A'!GS$110:GS$114,$F41+1)+IF(AND($E41=1,TS41=0),1000,0)),1000000))</f>
        <v/>
      </c>
      <c r="ADA41">
        <f>IF($B41=0,1000000,IF(INDEX('計算A'!$D$60:$II$104,$B41,199)*KM41=1,IF(AND($E41=2,TT41=0),1000000,INDEX('計算A'!GT$110:GT$114,$F41+1)+IF(AND($E41=1,TT41=0),1000,0)),1000000))</f>
        <v/>
      </c>
      <c r="ADB41">
        <f>IF($B41=0,1000000,IF(INDEX('計算A'!$D$60:$II$104,$B41,200)*KN41=1,IF(AND($E41=2,TU41=0),1000000,INDEX('計算A'!GU$110:GU$114,$F41+1)+IF(AND($E41=1,TU41=0),1000,0)),1000000))</f>
        <v/>
      </c>
      <c r="ADC41">
        <f>IF($B41=0,1000000,IF(INDEX('計算A'!$D$60:$II$104,$B41,201)*KO41=1,IF(AND($E41=2,TV41=0),1000000,INDEX('計算A'!GV$110:GV$114,$F41+1)+IF(AND($E41=1,TV41=0),1000,0)),1000000))</f>
        <v/>
      </c>
      <c r="ADD41">
        <f>IF($B41=0,1000000,IF(INDEX('計算A'!$D$60:$II$104,$B41,202)*KP41=1,IF(AND($E41=2,TW41=0),1000000,INDEX('計算A'!GW$110:GW$114,$F41+1)+IF(AND($E41=1,TW41=0),1000,0)),1000000))</f>
        <v/>
      </c>
      <c r="ADE41">
        <f>IF($B41=0,1000000,IF(INDEX('計算A'!$D$60:$II$104,$B41,203)*KQ41=1,IF(AND($E41=2,TX41=0),1000000,INDEX('計算A'!GX$110:GX$114,$F41+1)+IF(AND($E41=1,TX41=0),1000,0)),1000000))</f>
        <v/>
      </c>
      <c r="ADF41">
        <f>IF($B41=0,1000000,IF(INDEX('計算A'!$D$60:$II$104,$B41,204)*KR41=1,IF(AND($E41=2,TY41=0),1000000,INDEX('計算A'!GY$110:GY$114,$F41+1)+IF(AND($E41=1,TY41=0),1000,0)),1000000))</f>
        <v/>
      </c>
      <c r="ADG41">
        <f>IF($B41=0,1000000,IF(INDEX('計算A'!$D$60:$II$104,$B41,205)*KS41=1,IF(AND($E41=2,TZ41=0),1000000,INDEX('計算A'!GZ$110:GZ$114,$F41+1)+IF(AND($E41=1,TZ41=0),1000,0)),1000000))</f>
        <v/>
      </c>
      <c r="ADH41">
        <f>IF($B41=0,1000000,IF(INDEX('計算A'!$D$60:$II$104,$B41,206)*KT41=1,IF(AND($E41=2,UA41=0),1000000,INDEX('計算A'!HA$110:HA$114,$F41+1)+IF(AND($E41=1,UA41=0),1000,0)),1000000))</f>
        <v/>
      </c>
      <c r="ADI41">
        <f>IF($B41=0,1000000,IF(INDEX('計算A'!$D$60:$II$104,$B41,207)*KU41=1,IF(AND($E41=2,UB41=0),1000000,INDEX('計算A'!HB$110:HB$114,$F41+1)+IF(AND($E41=1,UB41=0),1000,0)),1000000))</f>
        <v/>
      </c>
      <c r="ADJ41">
        <f>IF($B41=0,1000000,IF(INDEX('計算A'!$D$60:$II$104,$B41,208)*KV41=1,IF(AND($E41=2,UC41=0),1000000,INDEX('計算A'!HC$110:HC$114,$F41+1)+IF(AND($E41=1,UC41=0),1000,0)),1000000))</f>
        <v/>
      </c>
      <c r="ADK41">
        <f>IF($B41=0,1000000,IF(INDEX('計算A'!$D$60:$II$104,$B41,209)*KW41=1,IF(AND($E41=2,UD41=0),1000000,INDEX('計算A'!HD$110:HD$114,$F41+1)+IF(AND($E41=1,UD41=0),1000,0)),1000000))</f>
        <v/>
      </c>
      <c r="ADL41">
        <f>IF($B41=0,1000000,IF(INDEX('計算A'!$D$60:$II$104,$B41,210)*KX41=1,IF(AND($E41=2,UE41=0),1000000,INDEX('計算A'!HE$110:HE$114,$F41+1)+IF(AND($E41=1,UE41=0),1000,0)),1000000))</f>
        <v/>
      </c>
      <c r="ADM41">
        <f>IF($B41=0,1000000,IF(INDEX('計算A'!$D$60:$II$104,$B41,211)*KY41=1,IF(AND($E41=2,UF41=0),1000000,INDEX('計算A'!HF$110:HF$114,$F41+1)+IF(AND($E41=1,UF41=0),1000,0)),1000000))</f>
        <v/>
      </c>
      <c r="ADN41">
        <f>IF($B41=0,1000000,IF(INDEX('計算A'!$D$60:$II$104,$B41,212)*KZ41=1,IF(AND($E41=2,UG41=0),1000000,INDEX('計算A'!HG$110:HG$114,$F41+1)+IF(AND($E41=1,UG41=0),1000,0)),1000000))</f>
        <v/>
      </c>
      <c r="ADO41">
        <f>IF($B41=0,1000000,IF(INDEX('計算A'!$D$60:$II$104,$B41,213)*LA41=1,IF(AND($E41=2,UH41=0),1000000,INDEX('計算A'!HH$110:HH$114,$F41+1)+IF(AND($E41=1,UH41=0),1000,0)),1000000))</f>
        <v/>
      </c>
      <c r="ADP41">
        <f>IF($B41=0,1000000,IF(INDEX('計算A'!$D$60:$II$104,$B41,214)*LB41=1,IF(AND($E41=2,UI41=0),1000000,INDEX('計算A'!HI$110:HI$114,$F41+1)+IF(AND($E41=1,UI41=0),1000,0)),1000000))</f>
        <v/>
      </c>
      <c r="ADQ41">
        <f>IF($B41=0,1000000,IF(INDEX('計算A'!$D$60:$II$104,$B41,215)*LC41=1,IF(AND($E41=2,UJ41=0),1000000,INDEX('計算A'!HJ$110:HJ$114,$F41+1)+IF(AND($E41=1,UJ41=0),1000,0)),1000000))</f>
        <v/>
      </c>
      <c r="ADR41">
        <f>IF($B41=0,1000000,IF(INDEX('計算A'!$D$60:$II$104,$B41,216)*LD41=1,IF(AND($E41=2,UK41=0),1000000,INDEX('計算A'!HK$110:HK$114,$F41+1)+IF(AND($E41=1,UK41=0),1000,0)),1000000))</f>
        <v/>
      </c>
      <c r="ADS41">
        <f>IF($B41=0,1000000,IF(INDEX('計算A'!$D$60:$II$104,$B41,217)*LE41=1,IF(AND($E41=2,UL41=0),1000000,INDEX('計算A'!HL$110:HL$114,$F41+1)+IF(AND($E41=1,UL41=0),1000,0)),1000000))</f>
        <v/>
      </c>
      <c r="ADT41">
        <f>IF($B41=0,1000000,IF(INDEX('計算A'!$D$60:$II$104,$B41,218)*LF41=1,IF(AND($E41=2,UM41=0),1000000,INDEX('計算A'!HM$110:HM$114,$F41+1)+IF(AND($E41=1,UM41=0),1000,0)),1000000))</f>
        <v/>
      </c>
      <c r="ADU41">
        <f>IF($B41=0,1000000,IF(INDEX('計算A'!$D$60:$II$104,$B41,219)*LG41=1,IF(AND($E41=2,UN41=0),1000000,INDEX('計算A'!HN$110:HN$114,$F41+1)+IF(AND($E41=1,UN41=0),1000,0)),1000000))</f>
        <v/>
      </c>
      <c r="ADV41">
        <f>IF($B41=0,1000000,IF(INDEX('計算A'!$D$60:$II$104,$B41,220)*LH41=1,IF(AND($E41=2,UO41=0),1000000,INDEX('計算A'!HO$110:HO$114,$F41+1)+IF(AND($E41=1,UO41=0),1000,0)),1000000))</f>
        <v/>
      </c>
      <c r="ADW41">
        <f>IF($B41=0,1000000,IF(INDEX('計算A'!$D$60:$II$104,$B41,221)*LI41=1,IF(AND($E41=2,UP41=0),1000000,INDEX('計算A'!HP$110:HP$114,$F41+1)+IF(AND($E41=1,UP41=0),1000,0)),1000000))</f>
        <v/>
      </c>
      <c r="ADX41">
        <f>IF($B41=0,1000000,IF(INDEX('計算A'!$D$60:$II$104,$B41,222)*LJ41=1,IF(AND($E41=2,UQ41=0),1000000,INDEX('計算A'!HQ$110:HQ$114,$F41+1)+IF(AND($E41=1,UQ41=0),1000,0)),1000000))</f>
        <v/>
      </c>
      <c r="ADY41">
        <f>IF($B41=0,1000000,IF(INDEX('計算A'!$D$60:$II$104,$B41,223)*LK41=1,IF(AND($E41=2,UR41=0),1000000,INDEX('計算A'!HR$110:HR$114,$F41+1)+IF(AND($E41=1,UR41=0),1000,0)),1000000))</f>
        <v/>
      </c>
      <c r="ADZ41">
        <f>IF($B41=0,1000000,IF(INDEX('計算A'!$D$60:$II$104,$B41,224)*LL41=1,IF(AND($E41=2,US41=0),1000000,INDEX('計算A'!HS$110:HS$114,$F41+1)+IF(AND($E41=1,US41=0),1000,0)),1000000))</f>
        <v/>
      </c>
      <c r="AEA41">
        <f>IF($B41=0,1000000,IF(INDEX('計算A'!$D$60:$II$104,$B41,225)*LM41=1,IF(AND($E41=2,UT41=0),1000000,INDEX('計算A'!HT$110:HT$114,$F41+1)+IF(AND($E41=1,UT41=0),1000,0)),1000000))</f>
        <v/>
      </c>
      <c r="AEB41">
        <f>IF($B41=0,1000000,IF(INDEX('計算A'!$D$60:$II$104,$B41,226)*LN41=1,IF(AND($E41=2,UU41=0),1000000,INDEX('計算A'!HU$110:HU$114,$F41+1)+IF(AND($E41=1,UU41=0),1000,0)),1000000))</f>
        <v/>
      </c>
      <c r="AEC41">
        <f>IF($B41=0,1000000,IF(INDEX('計算A'!$D$60:$II$104,$B41,227)*LO41=1,IF(AND($E41=2,UV41=0),1000000,INDEX('計算A'!HV$110:HV$114,$F41+1)+IF(AND($E41=1,UV41=0),1000,0)),1000000))</f>
        <v/>
      </c>
      <c r="AED41">
        <f>IF($B41=0,1000000,IF(INDEX('計算A'!$D$60:$II$104,$B41,228)*LP41=1,IF(AND($E41=2,UW41=0),1000000,INDEX('計算A'!HW$110:HW$114,$F41+1)+IF(AND($E41=1,UW41=0),1000,0)),1000000))</f>
        <v/>
      </c>
      <c r="AEE41">
        <f>IF($B41=0,1000000,IF(INDEX('計算A'!$D$60:$II$104,$B41,229)*LQ41=1,IF(AND($E41=2,UX41=0),1000000,INDEX('計算A'!HX$110:HX$114,$F41+1)+IF(AND($E41=1,UX41=0),1000,0)),1000000))</f>
        <v/>
      </c>
      <c r="AEF41">
        <f>IF($B41=0,1000000,IF(INDEX('計算A'!$D$60:$II$104,$B41,230)*LR41=1,IF(AND($E41=2,UY41=0),1000000,INDEX('計算A'!HY$110:HY$114,$F41+1)+IF(AND($E41=1,UY41=0),1000,0)),1000000))</f>
        <v/>
      </c>
      <c r="AEG41">
        <f>IF($B41=0,1000000,IF(INDEX('計算A'!$D$60:$II$104,$B41,231)*LS41=1,IF(AND($E41=2,UZ41=0),1000000,INDEX('計算A'!HZ$110:HZ$114,$F41+1)+IF(AND($E41=1,UZ41=0),1000,0)),1000000))</f>
        <v/>
      </c>
      <c r="AEH41">
        <f>IF($B41=0,1000000,IF(INDEX('計算A'!$D$60:$II$104,$B41,232)*LT41=1,IF(AND($E41=2,VA41=0),1000000,INDEX('計算A'!IA$110:IA$114,$F41+1)+IF(AND($E41=1,VA41=0),1000,0)),1000000))</f>
        <v/>
      </c>
      <c r="AEI41">
        <f>IF($B41=0,1000000,IF(INDEX('計算A'!$D$60:$II$104,$B41,233)*LU41=1,IF(AND($E41=2,VB41=0),1000000,INDEX('計算A'!IB$110:IB$114,$F41+1)+IF(AND($E41=1,VB41=0),1000,0)),1000000))</f>
        <v/>
      </c>
      <c r="AEJ41">
        <f>IF($B41=0,1000000,IF(INDEX('計算A'!$D$60:$II$104,$B41,234)*LV41=1,IF(AND($E41=2,VC41=0),1000000,INDEX('計算A'!IC$110:IC$114,$F41+1)+IF(AND($E41=1,VC41=0),1000,0)),1000000))</f>
        <v/>
      </c>
      <c r="AEK41">
        <f>IF($B41=0,1000000,IF(INDEX('計算A'!$D$60:$II$104,$B41,235)*LW41=1,IF(AND($E41=2,VD41=0),1000000,INDEX('計算A'!ID$110:ID$114,$F41+1)+IF(AND($E41=1,VD41=0),1000,0)),1000000))</f>
        <v/>
      </c>
      <c r="AEL41">
        <f>IF($B41=0,1000000,IF(INDEX('計算A'!$D$60:$II$104,$B41,236)*LX41=1,IF(AND($E41=2,VE41=0),1000000,INDEX('計算A'!IE$110:IE$114,$F41+1)+IF(AND($E41=1,VE41=0),1000,0)),1000000))</f>
        <v/>
      </c>
      <c r="AEM41">
        <f>IF($B41=0,1000000,IF(INDEX('計算A'!$D$60:$II$104,$B41,237)*LY41=1,IF(AND($E41=2,VF41=0),1000000,INDEX('計算A'!IF$110:IF$114,$F41+1)+IF(AND($E41=1,VF41=0),1000,0)),1000000))</f>
        <v/>
      </c>
      <c r="AEN41">
        <f>IF($B41=0,1000000,IF(INDEX('計算A'!$D$60:$II$104,$B41,238)*LZ41=1,IF(AND($E41=2,VG41=0),1000000,INDEX('計算A'!IG$110:IG$114,$F41+1)+IF(AND($E41=1,VG41=0),1000,0)),1000000))</f>
        <v/>
      </c>
      <c r="AEO41">
        <f>IF($B41=0,1000000,IF(INDEX('計算A'!$D$60:$II$104,$B41,239)*MA41=1,IF(AND($E41=2,VH41=0),1000000,INDEX('計算A'!IH$110:IH$114,$F41+1)+IF(AND($E41=1,VH41=0),1000,0)),1000000))</f>
        <v/>
      </c>
      <c r="AEP41">
        <f>IF($B41=0,1000000,IF(INDEX('計算A'!$D$60:$II$104,$B41,240)*MB41=1,IF(AND($E41=2,VI41=0),1000000,INDEX('計算A'!II$110:II$114,$F41+1)+IF(AND($E41=1,VI41=0),1000,0)),1000000))</f>
        <v/>
      </c>
    </row>
    <row r="42">
      <c r="A42" t="n">
        <v>40</v>
      </c>
      <c r="B42">
        <f>IF(MIN(BC42:CU42)&gt;=1000000,0,MATCH(MIN(BC42:CU42),BC42:CU42,0))</f>
        <v/>
      </c>
      <c r="C42">
        <f>IF(MIN(VK42:AEP42)&gt;=1000000,0,MATCH(MIN(VK42:AEP42),VK42:AEP42,0))</f>
        <v/>
      </c>
      <c r="D42">
        <f>IF(C42&gt;0,INDEX('計算A'!$D$5:$II$5,C42),0)</f>
        <v/>
      </c>
      <c r="E42">
        <f>IF(B42=0,0,INDEX('計算A'!$IQ$10:$IQ$54,B42))</f>
        <v/>
      </c>
      <c r="F42">
        <f>IF(B42=0,0,INDEX('計算A'!$IP$10:$IP$54,B42))</f>
        <v/>
      </c>
      <c r="G42">
        <f>IF(AND(C42&gt;0,E42&gt;0),IF(AND(INDEX('計算A'!$D$106:$II$106,C42)=1,INDEX($MD42:$VI42,C42)=1),C42+1,0),0)</f>
        <v/>
      </c>
      <c r="I42">
        <f>MAX(I41,IF($B41=1,1,0))</f>
        <v/>
      </c>
      <c r="J42">
        <f>MAX(J41,IF($B41=2,1,0))</f>
        <v/>
      </c>
      <c r="K42">
        <f>MAX(K41,IF($B41=3,1,0))</f>
        <v/>
      </c>
      <c r="L42">
        <f>MAX(L41,IF($B41=4,1,0))</f>
        <v/>
      </c>
      <c r="M42">
        <f>MAX(M41,IF($B41=5,1,0))</f>
        <v/>
      </c>
      <c r="N42">
        <f>MAX(N41,IF($B41=6,1,0))</f>
        <v/>
      </c>
      <c r="O42">
        <f>MAX(O41,IF($B41=7,1,0))</f>
        <v/>
      </c>
      <c r="P42">
        <f>MAX(P41,IF($B41=8,1,0))</f>
        <v/>
      </c>
      <c r="Q42">
        <f>MAX(Q41,IF($B41=9,1,0))</f>
        <v/>
      </c>
      <c r="R42">
        <f>MAX(R41,IF($B41=10,1,0))</f>
        <v/>
      </c>
      <c r="S42">
        <f>MAX(S41,IF($B41=11,1,0))</f>
        <v/>
      </c>
      <c r="T42">
        <f>MAX(T41,IF($B41=12,1,0))</f>
        <v/>
      </c>
      <c r="U42">
        <f>MAX(U41,IF($B41=13,1,0))</f>
        <v/>
      </c>
      <c r="V42">
        <f>MAX(V41,IF($B41=14,1,0))</f>
        <v/>
      </c>
      <c r="W42">
        <f>MAX(W41,IF($B41=15,1,0))</f>
        <v/>
      </c>
      <c r="X42">
        <f>MAX(X41,IF($B41=16,1,0))</f>
        <v/>
      </c>
      <c r="Y42">
        <f>MAX(Y41,IF($B41=17,1,0))</f>
        <v/>
      </c>
      <c r="Z42">
        <f>MAX(Z41,IF($B41=18,1,0))</f>
        <v/>
      </c>
      <c r="AA42">
        <f>MAX(AA41,IF($B41=19,1,0))</f>
        <v/>
      </c>
      <c r="AB42">
        <f>MAX(AB41,IF($B41=20,1,0))</f>
        <v/>
      </c>
      <c r="AC42">
        <f>MAX(AC41,IF($B41=21,1,0))</f>
        <v/>
      </c>
      <c r="AD42">
        <f>MAX(AD41,IF($B41=22,1,0))</f>
        <v/>
      </c>
      <c r="AE42">
        <f>MAX(AE41,IF($B41=23,1,0))</f>
        <v/>
      </c>
      <c r="AF42">
        <f>MAX(AF41,IF($B41=24,1,0))</f>
        <v/>
      </c>
      <c r="AG42">
        <f>MAX(AG41,IF($B41=25,1,0))</f>
        <v/>
      </c>
      <c r="AH42">
        <f>MAX(AH41,IF($B41=26,1,0))</f>
        <v/>
      </c>
      <c r="AI42">
        <f>MAX(AI41,IF($B41=27,1,0))</f>
        <v/>
      </c>
      <c r="AJ42">
        <f>MAX(AJ41,IF($B41=28,1,0))</f>
        <v/>
      </c>
      <c r="AK42">
        <f>MAX(AK41,IF($B41=29,1,0))</f>
        <v/>
      </c>
      <c r="AL42">
        <f>MAX(AL41,IF($B41=30,1,0))</f>
        <v/>
      </c>
      <c r="AM42">
        <f>MAX(AM41,IF($B41=31,1,0))</f>
        <v/>
      </c>
      <c r="AN42">
        <f>MAX(AN41,IF($B41=32,1,0))</f>
        <v/>
      </c>
      <c r="AO42">
        <f>MAX(AO41,IF($B41=33,1,0))</f>
        <v/>
      </c>
      <c r="AP42">
        <f>MAX(AP41,IF($B41=34,1,0))</f>
        <v/>
      </c>
      <c r="AQ42">
        <f>MAX(AQ41,IF($B41=35,1,0))</f>
        <v/>
      </c>
      <c r="AR42">
        <f>MAX(AR41,IF($B41=36,1,0))</f>
        <v/>
      </c>
      <c r="AS42">
        <f>MAX(AS41,IF($B41=37,1,0))</f>
        <v/>
      </c>
      <c r="AT42">
        <f>MAX(AT41,IF($B41=38,1,0))</f>
        <v/>
      </c>
      <c r="AU42">
        <f>MAX(AU41,IF($B41=39,1,0))</f>
        <v/>
      </c>
      <c r="AV42">
        <f>MAX(AV41,IF($B41=40,1,0))</f>
        <v/>
      </c>
      <c r="AW42">
        <f>MAX(AW41,IF($B41=41,1,0))</f>
        <v/>
      </c>
      <c r="AX42">
        <f>MAX(AX41,IF($B41=42,1,0))</f>
        <v/>
      </c>
      <c r="AY42">
        <f>MAX(AY41,IF($B41=43,1,0))</f>
        <v/>
      </c>
      <c r="AZ42">
        <f>MAX(AZ41,IF($B41=44,1,0))</f>
        <v/>
      </c>
      <c r="BA42">
        <f>MAX(BA41,IF($B41=45,1,0))</f>
        <v/>
      </c>
      <c r="BC42">
        <f>IF(I42=1,1000000,IF('計算A'!$IQ$10=2,SUMPRODUCT('計算A'!$D$60:$II$60,$CW42:$MB42,$MD42:$VI42),SUMPRODUCT('計算A'!$D$60:$II$60,$CW42:$MB42))*1000+1)</f>
        <v/>
      </c>
      <c r="BD42">
        <f>IF(J42=1,1000000,IF('計算A'!$IQ$11=2,SUMPRODUCT('計算A'!$D$61:$II$61,$CW42:$MB42,$MD42:$VI42),SUMPRODUCT('計算A'!$D$61:$II$61,$CW42:$MB42))*1000+2)</f>
        <v/>
      </c>
      <c r="BE42">
        <f>IF(K42=1,1000000,IF('計算A'!$IQ$12=2,SUMPRODUCT('計算A'!$D$62:$II$62,$CW42:$MB42,$MD42:$VI42),SUMPRODUCT('計算A'!$D$62:$II$62,$CW42:$MB42))*1000+3)</f>
        <v/>
      </c>
      <c r="BF42">
        <f>IF(L42=1,1000000,IF('計算A'!$IQ$13=2,SUMPRODUCT('計算A'!$D$63:$II$63,$CW42:$MB42,$MD42:$VI42),SUMPRODUCT('計算A'!$D$63:$II$63,$CW42:$MB42))*1000+4)</f>
        <v/>
      </c>
      <c r="BG42">
        <f>IF(M42=1,1000000,IF('計算A'!$IQ$14=2,SUMPRODUCT('計算A'!$D$64:$II$64,$CW42:$MB42,$MD42:$VI42),SUMPRODUCT('計算A'!$D$64:$II$64,$CW42:$MB42))*1000+5)</f>
        <v/>
      </c>
      <c r="BH42">
        <f>IF(N42=1,1000000,IF('計算A'!$IQ$15=2,SUMPRODUCT('計算A'!$D$65:$II$65,$CW42:$MB42,$MD42:$VI42),SUMPRODUCT('計算A'!$D$65:$II$65,$CW42:$MB42))*1000+6)</f>
        <v/>
      </c>
      <c r="BI42">
        <f>IF(O42=1,1000000,IF('計算A'!$IQ$16=2,SUMPRODUCT('計算A'!$D$66:$II$66,$CW42:$MB42,$MD42:$VI42),SUMPRODUCT('計算A'!$D$66:$II$66,$CW42:$MB42))*1000+7)</f>
        <v/>
      </c>
      <c r="BJ42">
        <f>IF(P42=1,1000000,IF('計算A'!$IQ$17=2,SUMPRODUCT('計算A'!$D$67:$II$67,$CW42:$MB42,$MD42:$VI42),SUMPRODUCT('計算A'!$D$67:$II$67,$CW42:$MB42))*1000+8)</f>
        <v/>
      </c>
      <c r="BK42">
        <f>IF(Q42=1,1000000,IF('計算A'!$IQ$18=2,SUMPRODUCT('計算A'!$D$68:$II$68,$CW42:$MB42,$MD42:$VI42),SUMPRODUCT('計算A'!$D$68:$II$68,$CW42:$MB42))*1000+9)</f>
        <v/>
      </c>
      <c r="BL42">
        <f>IF(R42=1,1000000,IF('計算A'!$IQ$19=2,SUMPRODUCT('計算A'!$D$69:$II$69,$CW42:$MB42,$MD42:$VI42),SUMPRODUCT('計算A'!$D$69:$II$69,$CW42:$MB42))*1000+10)</f>
        <v/>
      </c>
      <c r="BM42">
        <f>IF(S42=1,1000000,IF('計算A'!$IQ$20=2,SUMPRODUCT('計算A'!$D$70:$II$70,$CW42:$MB42,$MD42:$VI42),SUMPRODUCT('計算A'!$D$70:$II$70,$CW42:$MB42))*1000+11)</f>
        <v/>
      </c>
      <c r="BN42">
        <f>IF(T42=1,1000000,IF('計算A'!$IQ$21=2,SUMPRODUCT('計算A'!$D$71:$II$71,$CW42:$MB42,$MD42:$VI42),SUMPRODUCT('計算A'!$D$71:$II$71,$CW42:$MB42))*1000+12)</f>
        <v/>
      </c>
      <c r="BO42">
        <f>IF(U42=1,1000000,IF('計算A'!$IQ$22=2,SUMPRODUCT('計算A'!$D$72:$II$72,$CW42:$MB42,$MD42:$VI42),SUMPRODUCT('計算A'!$D$72:$II$72,$CW42:$MB42))*1000+13)</f>
        <v/>
      </c>
      <c r="BP42">
        <f>IF(V42=1,1000000,IF('計算A'!$IQ$23=2,SUMPRODUCT('計算A'!$D$73:$II$73,$CW42:$MB42,$MD42:$VI42),SUMPRODUCT('計算A'!$D$73:$II$73,$CW42:$MB42))*1000+14)</f>
        <v/>
      </c>
      <c r="BQ42">
        <f>IF(W42=1,1000000,IF('計算A'!$IQ$24=2,SUMPRODUCT('計算A'!$D$74:$II$74,$CW42:$MB42,$MD42:$VI42),SUMPRODUCT('計算A'!$D$74:$II$74,$CW42:$MB42))*1000+15)</f>
        <v/>
      </c>
      <c r="BR42">
        <f>IF(X42=1,1000000,IF('計算A'!$IQ$25=2,SUMPRODUCT('計算A'!$D$75:$II$75,$CW42:$MB42,$MD42:$VI42),SUMPRODUCT('計算A'!$D$75:$II$75,$CW42:$MB42))*1000+16)</f>
        <v/>
      </c>
      <c r="BS42">
        <f>IF(Y42=1,1000000,IF('計算A'!$IQ$26=2,SUMPRODUCT('計算A'!$D$76:$II$76,$CW42:$MB42,$MD42:$VI42),SUMPRODUCT('計算A'!$D$76:$II$76,$CW42:$MB42))*1000+17)</f>
        <v/>
      </c>
      <c r="BT42">
        <f>IF(Z42=1,1000000,IF('計算A'!$IQ$27=2,SUMPRODUCT('計算A'!$D$77:$II$77,$CW42:$MB42,$MD42:$VI42),SUMPRODUCT('計算A'!$D$77:$II$77,$CW42:$MB42))*1000+18)</f>
        <v/>
      </c>
      <c r="BU42">
        <f>IF(AA42=1,1000000,IF('計算A'!$IQ$28=2,SUMPRODUCT('計算A'!$D$78:$II$78,$CW42:$MB42,$MD42:$VI42),SUMPRODUCT('計算A'!$D$78:$II$78,$CW42:$MB42))*1000+19)</f>
        <v/>
      </c>
      <c r="BV42">
        <f>IF(AB42=1,1000000,IF('計算A'!$IQ$29=2,SUMPRODUCT('計算A'!$D$79:$II$79,$CW42:$MB42,$MD42:$VI42),SUMPRODUCT('計算A'!$D$79:$II$79,$CW42:$MB42))*1000+20)</f>
        <v/>
      </c>
      <c r="BW42">
        <f>IF(AC42=1,1000000,IF('計算A'!$IQ$30=2,SUMPRODUCT('計算A'!$D$80:$II$80,$CW42:$MB42,$MD42:$VI42),SUMPRODUCT('計算A'!$D$80:$II$80,$CW42:$MB42))*1000+21)</f>
        <v/>
      </c>
      <c r="BX42">
        <f>IF(AD42=1,1000000,IF('計算A'!$IQ$31=2,SUMPRODUCT('計算A'!$D$81:$II$81,$CW42:$MB42,$MD42:$VI42),SUMPRODUCT('計算A'!$D$81:$II$81,$CW42:$MB42))*1000+22)</f>
        <v/>
      </c>
      <c r="BY42">
        <f>IF(AE42=1,1000000,IF('計算A'!$IQ$32=2,SUMPRODUCT('計算A'!$D$82:$II$82,$CW42:$MB42,$MD42:$VI42),SUMPRODUCT('計算A'!$D$82:$II$82,$CW42:$MB42))*1000+23)</f>
        <v/>
      </c>
      <c r="BZ42">
        <f>IF(AF42=1,1000000,IF('計算A'!$IQ$33=2,SUMPRODUCT('計算A'!$D$83:$II$83,$CW42:$MB42,$MD42:$VI42),SUMPRODUCT('計算A'!$D$83:$II$83,$CW42:$MB42))*1000+24)</f>
        <v/>
      </c>
      <c r="CA42">
        <f>IF(AG42=1,1000000,IF('計算A'!$IQ$34=2,SUMPRODUCT('計算A'!$D$84:$II$84,$CW42:$MB42,$MD42:$VI42),SUMPRODUCT('計算A'!$D$84:$II$84,$CW42:$MB42))*1000+25)</f>
        <v/>
      </c>
      <c r="CB42">
        <f>IF(AH42=1,1000000,IF('計算A'!$IQ$35=2,SUMPRODUCT('計算A'!$D$85:$II$85,$CW42:$MB42,$MD42:$VI42),SUMPRODUCT('計算A'!$D$85:$II$85,$CW42:$MB42))*1000+26)</f>
        <v/>
      </c>
      <c r="CC42">
        <f>IF(AI42=1,1000000,IF('計算A'!$IQ$36=2,SUMPRODUCT('計算A'!$D$86:$II$86,$CW42:$MB42,$MD42:$VI42),SUMPRODUCT('計算A'!$D$86:$II$86,$CW42:$MB42))*1000+27)</f>
        <v/>
      </c>
      <c r="CD42">
        <f>IF(AJ42=1,1000000,IF('計算A'!$IQ$37=2,SUMPRODUCT('計算A'!$D$87:$II$87,$CW42:$MB42,$MD42:$VI42),SUMPRODUCT('計算A'!$D$87:$II$87,$CW42:$MB42))*1000+28)</f>
        <v/>
      </c>
      <c r="CE42">
        <f>IF(AK42=1,1000000,IF('計算A'!$IQ$38=2,SUMPRODUCT('計算A'!$D$88:$II$88,$CW42:$MB42,$MD42:$VI42),SUMPRODUCT('計算A'!$D$88:$II$88,$CW42:$MB42))*1000+29)</f>
        <v/>
      </c>
      <c r="CF42">
        <f>IF(AL42=1,1000000,IF('計算A'!$IQ$39=2,SUMPRODUCT('計算A'!$D$89:$II$89,$CW42:$MB42,$MD42:$VI42),SUMPRODUCT('計算A'!$D$89:$II$89,$CW42:$MB42))*1000+30)</f>
        <v/>
      </c>
      <c r="CG42">
        <f>IF(AM42=1,1000000,IF('計算A'!$IQ$40=2,SUMPRODUCT('計算A'!$D$90:$II$90,$CW42:$MB42,$MD42:$VI42),SUMPRODUCT('計算A'!$D$90:$II$90,$CW42:$MB42))*1000+31)</f>
        <v/>
      </c>
      <c r="CH42">
        <f>IF(AN42=1,1000000,IF('計算A'!$IQ$41=2,SUMPRODUCT('計算A'!$D$91:$II$91,$CW42:$MB42,$MD42:$VI42),SUMPRODUCT('計算A'!$D$91:$II$91,$CW42:$MB42))*1000+32)</f>
        <v/>
      </c>
      <c r="CI42">
        <f>IF(AO42=1,1000000,IF('計算A'!$IQ$42=2,SUMPRODUCT('計算A'!$D$92:$II$92,$CW42:$MB42,$MD42:$VI42),SUMPRODUCT('計算A'!$D$92:$II$92,$CW42:$MB42))*1000+33)</f>
        <v/>
      </c>
      <c r="CJ42">
        <f>IF(AP42=1,1000000,IF('計算A'!$IQ$43=2,SUMPRODUCT('計算A'!$D$93:$II$93,$CW42:$MB42,$MD42:$VI42),SUMPRODUCT('計算A'!$D$93:$II$93,$CW42:$MB42))*1000+34)</f>
        <v/>
      </c>
      <c r="CK42">
        <f>IF(AQ42=1,1000000,IF('計算A'!$IQ$44=2,SUMPRODUCT('計算A'!$D$94:$II$94,$CW42:$MB42,$MD42:$VI42),SUMPRODUCT('計算A'!$D$94:$II$94,$CW42:$MB42))*1000+35)</f>
        <v/>
      </c>
      <c r="CL42">
        <f>IF(AR42=1,1000000,IF('計算A'!$IQ$45=2,SUMPRODUCT('計算A'!$D$95:$II$95,$CW42:$MB42,$MD42:$VI42),SUMPRODUCT('計算A'!$D$95:$II$95,$CW42:$MB42))*1000+36)</f>
        <v/>
      </c>
      <c r="CM42">
        <f>IF(AS42=1,1000000,IF('計算A'!$IQ$46=2,SUMPRODUCT('計算A'!$D$96:$II$96,$CW42:$MB42,$MD42:$VI42),SUMPRODUCT('計算A'!$D$96:$II$96,$CW42:$MB42))*1000+37)</f>
        <v/>
      </c>
      <c r="CN42">
        <f>IF(AT42=1,1000000,IF('計算A'!$IQ$47=2,SUMPRODUCT('計算A'!$D$97:$II$97,$CW42:$MB42,$MD42:$VI42),SUMPRODUCT('計算A'!$D$97:$II$97,$CW42:$MB42))*1000+38)</f>
        <v/>
      </c>
      <c r="CO42">
        <f>IF(AU42=1,1000000,IF('計算A'!$IQ$48=2,SUMPRODUCT('計算A'!$D$98:$II$98,$CW42:$MB42,$MD42:$VI42),SUMPRODUCT('計算A'!$D$98:$II$98,$CW42:$MB42))*1000+39)</f>
        <v/>
      </c>
      <c r="CP42">
        <f>IF(AV42=1,1000000,IF('計算A'!$IQ$49=2,SUMPRODUCT('計算A'!$D$99:$II$99,$CW42:$MB42,$MD42:$VI42),SUMPRODUCT('計算A'!$D$99:$II$99,$CW42:$MB42))*1000+40)</f>
        <v/>
      </c>
      <c r="CQ42">
        <f>IF(AW42=1,1000000,IF('計算A'!$IQ$50=2,SUMPRODUCT('計算A'!$D$100:$II$100,$CW42:$MB42,$MD42:$VI42),SUMPRODUCT('計算A'!$D$100:$II$100,$CW42:$MB42))*1000+41)</f>
        <v/>
      </c>
      <c r="CR42">
        <f>IF(AX42=1,1000000,IF('計算A'!$IQ$51=2,SUMPRODUCT('計算A'!$D$101:$II$101,$CW42:$MB42,$MD42:$VI42),SUMPRODUCT('計算A'!$D$101:$II$101,$CW42:$MB42))*1000+42)</f>
        <v/>
      </c>
      <c r="CS42">
        <f>IF(AY42=1,1000000,IF('計算A'!$IQ$52=2,SUMPRODUCT('計算A'!$D$102:$II$102,$CW42:$MB42,$MD42:$VI42),SUMPRODUCT('計算A'!$D$102:$II$102,$CW42:$MB42))*1000+43)</f>
        <v/>
      </c>
      <c r="CT42">
        <f>IF(AZ42=1,1000000,IF('計算A'!$IQ$53=2,SUMPRODUCT('計算A'!$D$103:$II$103,$CW42:$MB42,$MD42:$VI42),SUMPRODUCT('計算A'!$D$103:$II$103,$CW42:$MB42))*1000+44)</f>
        <v/>
      </c>
      <c r="CU42">
        <f>IF(BA42=1,1000000,IF('計算A'!$IQ$54=2,SUMPRODUCT('計算A'!$D$104:$II$104,$CW42:$MB42,$MD42:$VI42),SUMPRODUCT('計算A'!$D$104:$II$104,$CW42:$MB42))*1000+45)</f>
        <v/>
      </c>
      <c r="CW42">
        <f>CW41*IF(OR($C41=1,$G41=1),0,1)</f>
        <v/>
      </c>
      <c r="CX42">
        <f>CX41*IF(OR($C41=2,$G41=2),0,1)</f>
        <v/>
      </c>
      <c r="CY42">
        <f>CY41*IF(OR($C41=3,$G41=3),0,1)</f>
        <v/>
      </c>
      <c r="CZ42">
        <f>CZ41*IF(OR($C41=4,$G41=4),0,1)</f>
        <v/>
      </c>
      <c r="DA42">
        <f>DA41*IF(OR($C41=5,$G41=5),0,1)</f>
        <v/>
      </c>
      <c r="DB42">
        <f>DB41*IF(OR($C41=6,$G41=6),0,1)</f>
        <v/>
      </c>
      <c r="DC42">
        <f>DC41*IF(OR($C41=7,$G41=7),0,1)</f>
        <v/>
      </c>
      <c r="DD42">
        <f>DD41*IF(OR($C41=8,$G41=8),0,1)</f>
        <v/>
      </c>
      <c r="DE42">
        <f>DE41*IF(OR($C41=9,$G41=9),0,1)</f>
        <v/>
      </c>
      <c r="DF42">
        <f>DF41*IF(OR($C41=10,$G41=10),0,1)</f>
        <v/>
      </c>
      <c r="DG42">
        <f>DG41*IF(OR($C41=11,$G41=11),0,1)</f>
        <v/>
      </c>
      <c r="DH42">
        <f>DH41*IF(OR($C41=12,$G41=12),0,1)</f>
        <v/>
      </c>
      <c r="DI42">
        <f>DI41*IF(OR($C41=13,$G41=13),0,1)</f>
        <v/>
      </c>
      <c r="DJ42">
        <f>DJ41*IF(OR($C41=14,$G41=14),0,1)</f>
        <v/>
      </c>
      <c r="DK42">
        <f>DK41*IF(OR($C41=15,$G41=15),0,1)</f>
        <v/>
      </c>
      <c r="DL42">
        <f>DL41*IF(OR($C41=16,$G41=16),0,1)</f>
        <v/>
      </c>
      <c r="DM42">
        <f>DM41*IF(OR($C41=17,$G41=17),0,1)</f>
        <v/>
      </c>
      <c r="DN42">
        <f>DN41*IF(OR($C41=18,$G41=18),0,1)</f>
        <v/>
      </c>
      <c r="DO42">
        <f>DO41*IF(OR($C41=19,$G41=19),0,1)</f>
        <v/>
      </c>
      <c r="DP42">
        <f>DP41*IF(OR($C41=20,$G41=20),0,1)</f>
        <v/>
      </c>
      <c r="DQ42">
        <f>DQ41*IF(OR($C41=21,$G41=21),0,1)</f>
        <v/>
      </c>
      <c r="DR42">
        <f>DR41*IF(OR($C41=22,$G41=22),0,1)</f>
        <v/>
      </c>
      <c r="DS42">
        <f>DS41*IF(OR($C41=23,$G41=23),0,1)</f>
        <v/>
      </c>
      <c r="DT42">
        <f>DT41*IF(OR($C41=24,$G41=24),0,1)</f>
        <v/>
      </c>
      <c r="DU42">
        <f>DU41*IF(OR($C41=25,$G41=25),0,1)</f>
        <v/>
      </c>
      <c r="DV42">
        <f>DV41*IF(OR($C41=26,$G41=26),0,1)</f>
        <v/>
      </c>
      <c r="DW42">
        <f>DW41*IF(OR($C41=27,$G41=27),0,1)</f>
        <v/>
      </c>
      <c r="DX42">
        <f>DX41*IF(OR($C41=28,$G41=28),0,1)</f>
        <v/>
      </c>
      <c r="DY42">
        <f>DY41*IF(OR($C41=29,$G41=29),0,1)</f>
        <v/>
      </c>
      <c r="DZ42">
        <f>DZ41*IF(OR($C41=30,$G41=30),0,1)</f>
        <v/>
      </c>
      <c r="EA42">
        <f>EA41*IF(OR($C41=31,$G41=31),0,1)</f>
        <v/>
      </c>
      <c r="EB42">
        <f>EB41*IF(OR($C41=32,$G41=32),0,1)</f>
        <v/>
      </c>
      <c r="EC42">
        <f>EC41*IF(OR($C41=33,$G41=33),0,1)</f>
        <v/>
      </c>
      <c r="ED42">
        <f>ED41*IF(OR($C41=34,$G41=34),0,1)</f>
        <v/>
      </c>
      <c r="EE42">
        <f>EE41*IF(OR($C41=35,$G41=35),0,1)</f>
        <v/>
      </c>
      <c r="EF42">
        <f>EF41*IF(OR($C41=36,$G41=36),0,1)</f>
        <v/>
      </c>
      <c r="EG42">
        <f>EG41*IF(OR($C41=37,$G41=37),0,1)</f>
        <v/>
      </c>
      <c r="EH42">
        <f>EH41*IF(OR($C41=38,$G41=38),0,1)</f>
        <v/>
      </c>
      <c r="EI42">
        <f>EI41*IF(OR($C41=39,$G41=39),0,1)</f>
        <v/>
      </c>
      <c r="EJ42">
        <f>EJ41*IF(OR($C41=40,$G41=40),0,1)</f>
        <v/>
      </c>
      <c r="EK42">
        <f>EK41*IF(OR($C41=41,$G41=41),0,1)</f>
        <v/>
      </c>
      <c r="EL42">
        <f>EL41*IF(OR($C41=42,$G41=42),0,1)</f>
        <v/>
      </c>
      <c r="EM42">
        <f>EM41*IF(OR($C41=43,$G41=43),0,1)</f>
        <v/>
      </c>
      <c r="EN42">
        <f>EN41*IF(OR($C41=44,$G41=44),0,1)</f>
        <v/>
      </c>
      <c r="EO42">
        <f>EO41*IF(OR($C41=45,$G41=45),0,1)</f>
        <v/>
      </c>
      <c r="EP42">
        <f>EP41*IF(OR($C41=46,$G41=46),0,1)</f>
        <v/>
      </c>
      <c r="EQ42">
        <f>EQ41*IF(OR($C41=47,$G41=47),0,1)</f>
        <v/>
      </c>
      <c r="ER42">
        <f>ER41*IF(OR($C41=48,$G41=48),0,1)</f>
        <v/>
      </c>
      <c r="ES42">
        <f>ES41*IF(OR($C41=49,$G41=49),0,1)</f>
        <v/>
      </c>
      <c r="ET42">
        <f>ET41*IF(OR($C41=50,$G41=50),0,1)</f>
        <v/>
      </c>
      <c r="EU42">
        <f>EU41*IF(OR($C41=51,$G41=51),0,1)</f>
        <v/>
      </c>
      <c r="EV42">
        <f>EV41*IF(OR($C41=52,$G41=52),0,1)</f>
        <v/>
      </c>
      <c r="EW42">
        <f>EW41*IF(OR($C41=53,$G41=53),0,1)</f>
        <v/>
      </c>
      <c r="EX42">
        <f>EX41*IF(OR($C41=54,$G41=54),0,1)</f>
        <v/>
      </c>
      <c r="EY42">
        <f>EY41*IF(OR($C41=55,$G41=55),0,1)</f>
        <v/>
      </c>
      <c r="EZ42">
        <f>EZ41*IF(OR($C41=56,$G41=56),0,1)</f>
        <v/>
      </c>
      <c r="FA42">
        <f>FA41*IF(OR($C41=57,$G41=57),0,1)</f>
        <v/>
      </c>
      <c r="FB42">
        <f>FB41*IF(OR($C41=58,$G41=58),0,1)</f>
        <v/>
      </c>
      <c r="FC42">
        <f>FC41*IF(OR($C41=59,$G41=59),0,1)</f>
        <v/>
      </c>
      <c r="FD42">
        <f>FD41*IF(OR($C41=60,$G41=60),0,1)</f>
        <v/>
      </c>
      <c r="FE42">
        <f>FE41*IF(OR($C41=61,$G41=61),0,1)</f>
        <v/>
      </c>
      <c r="FF42">
        <f>FF41*IF(OR($C41=62,$G41=62),0,1)</f>
        <v/>
      </c>
      <c r="FG42">
        <f>FG41*IF(OR($C41=63,$G41=63),0,1)</f>
        <v/>
      </c>
      <c r="FH42">
        <f>FH41*IF(OR($C41=64,$G41=64),0,1)</f>
        <v/>
      </c>
      <c r="FI42">
        <f>FI41*IF(OR($C41=65,$G41=65),0,1)</f>
        <v/>
      </c>
      <c r="FJ42">
        <f>FJ41*IF(OR($C41=66,$G41=66),0,1)</f>
        <v/>
      </c>
      <c r="FK42">
        <f>FK41*IF(OR($C41=67,$G41=67),0,1)</f>
        <v/>
      </c>
      <c r="FL42">
        <f>FL41*IF(OR($C41=68,$G41=68),0,1)</f>
        <v/>
      </c>
      <c r="FM42">
        <f>FM41*IF(OR($C41=69,$G41=69),0,1)</f>
        <v/>
      </c>
      <c r="FN42">
        <f>FN41*IF(OR($C41=70,$G41=70),0,1)</f>
        <v/>
      </c>
      <c r="FO42">
        <f>FO41*IF(OR($C41=71,$G41=71),0,1)</f>
        <v/>
      </c>
      <c r="FP42">
        <f>FP41*IF(OR($C41=72,$G41=72),0,1)</f>
        <v/>
      </c>
      <c r="FQ42">
        <f>FQ41*IF(OR($C41=73,$G41=73),0,1)</f>
        <v/>
      </c>
      <c r="FR42">
        <f>FR41*IF(OR($C41=74,$G41=74),0,1)</f>
        <v/>
      </c>
      <c r="FS42">
        <f>FS41*IF(OR($C41=75,$G41=75),0,1)</f>
        <v/>
      </c>
      <c r="FT42">
        <f>FT41*IF(OR($C41=76,$G41=76),0,1)</f>
        <v/>
      </c>
      <c r="FU42">
        <f>FU41*IF(OR($C41=77,$G41=77),0,1)</f>
        <v/>
      </c>
      <c r="FV42">
        <f>FV41*IF(OR($C41=78,$G41=78),0,1)</f>
        <v/>
      </c>
      <c r="FW42">
        <f>FW41*IF(OR($C41=79,$G41=79),0,1)</f>
        <v/>
      </c>
      <c r="FX42">
        <f>FX41*IF(OR($C41=80,$G41=80),0,1)</f>
        <v/>
      </c>
      <c r="FY42">
        <f>FY41*IF(OR($C41=81,$G41=81),0,1)</f>
        <v/>
      </c>
      <c r="FZ42">
        <f>FZ41*IF(OR($C41=82,$G41=82),0,1)</f>
        <v/>
      </c>
      <c r="GA42">
        <f>GA41*IF(OR($C41=83,$G41=83),0,1)</f>
        <v/>
      </c>
      <c r="GB42">
        <f>GB41*IF(OR($C41=84,$G41=84),0,1)</f>
        <v/>
      </c>
      <c r="GC42">
        <f>GC41*IF(OR($C41=85,$G41=85),0,1)</f>
        <v/>
      </c>
      <c r="GD42">
        <f>GD41*IF(OR($C41=86,$G41=86),0,1)</f>
        <v/>
      </c>
      <c r="GE42">
        <f>GE41*IF(OR($C41=87,$G41=87),0,1)</f>
        <v/>
      </c>
      <c r="GF42">
        <f>GF41*IF(OR($C41=88,$G41=88),0,1)</f>
        <v/>
      </c>
      <c r="GG42">
        <f>GG41*IF(OR($C41=89,$G41=89),0,1)</f>
        <v/>
      </c>
      <c r="GH42">
        <f>GH41*IF(OR($C41=90,$G41=90),0,1)</f>
        <v/>
      </c>
      <c r="GI42">
        <f>GI41*IF(OR($C41=91,$G41=91),0,1)</f>
        <v/>
      </c>
      <c r="GJ42">
        <f>GJ41*IF(OR($C41=92,$G41=92),0,1)</f>
        <v/>
      </c>
      <c r="GK42">
        <f>GK41*IF(OR($C41=93,$G41=93),0,1)</f>
        <v/>
      </c>
      <c r="GL42">
        <f>GL41*IF(OR($C41=94,$G41=94),0,1)</f>
        <v/>
      </c>
      <c r="GM42">
        <f>GM41*IF(OR($C41=95,$G41=95),0,1)</f>
        <v/>
      </c>
      <c r="GN42">
        <f>GN41*IF(OR($C41=96,$G41=96),0,1)</f>
        <v/>
      </c>
      <c r="GO42">
        <f>GO41*IF(OR($C41=97,$G41=97),0,1)</f>
        <v/>
      </c>
      <c r="GP42">
        <f>GP41*IF(OR($C41=98,$G41=98),0,1)</f>
        <v/>
      </c>
      <c r="GQ42">
        <f>GQ41*IF(OR($C41=99,$G41=99),0,1)</f>
        <v/>
      </c>
      <c r="GR42">
        <f>GR41*IF(OR($C41=100,$G41=100),0,1)</f>
        <v/>
      </c>
      <c r="GS42">
        <f>GS41*IF(OR($C41=101,$G41=101),0,1)</f>
        <v/>
      </c>
      <c r="GT42">
        <f>GT41*IF(OR($C41=102,$G41=102),0,1)</f>
        <v/>
      </c>
      <c r="GU42">
        <f>GU41*IF(OR($C41=103,$G41=103),0,1)</f>
        <v/>
      </c>
      <c r="GV42">
        <f>GV41*IF(OR($C41=104,$G41=104),0,1)</f>
        <v/>
      </c>
      <c r="GW42">
        <f>GW41*IF(OR($C41=105,$G41=105),0,1)</f>
        <v/>
      </c>
      <c r="GX42">
        <f>GX41*IF(OR($C41=106,$G41=106),0,1)</f>
        <v/>
      </c>
      <c r="GY42">
        <f>GY41*IF(OR($C41=107,$G41=107),0,1)</f>
        <v/>
      </c>
      <c r="GZ42">
        <f>GZ41*IF(OR($C41=108,$G41=108),0,1)</f>
        <v/>
      </c>
      <c r="HA42">
        <f>HA41*IF(OR($C41=109,$G41=109),0,1)</f>
        <v/>
      </c>
      <c r="HB42">
        <f>HB41*IF(OR($C41=110,$G41=110),0,1)</f>
        <v/>
      </c>
      <c r="HC42">
        <f>HC41*IF(OR($C41=111,$G41=111),0,1)</f>
        <v/>
      </c>
      <c r="HD42">
        <f>HD41*IF(OR($C41=112,$G41=112),0,1)</f>
        <v/>
      </c>
      <c r="HE42">
        <f>HE41*IF(OR($C41=113,$G41=113),0,1)</f>
        <v/>
      </c>
      <c r="HF42">
        <f>HF41*IF(OR($C41=114,$G41=114),0,1)</f>
        <v/>
      </c>
      <c r="HG42">
        <f>HG41*IF(OR($C41=115,$G41=115),0,1)</f>
        <v/>
      </c>
      <c r="HH42">
        <f>HH41*IF(OR($C41=116,$G41=116),0,1)</f>
        <v/>
      </c>
      <c r="HI42">
        <f>HI41*IF(OR($C41=117,$G41=117),0,1)</f>
        <v/>
      </c>
      <c r="HJ42">
        <f>HJ41*IF(OR($C41=118,$G41=118),0,1)</f>
        <v/>
      </c>
      <c r="HK42">
        <f>HK41*IF(OR($C41=119,$G41=119),0,1)</f>
        <v/>
      </c>
      <c r="HL42">
        <f>HL41*IF(OR($C41=120,$G41=120),0,1)</f>
        <v/>
      </c>
      <c r="HM42">
        <f>HM41*IF(OR($C41=121,$G41=121),0,1)</f>
        <v/>
      </c>
      <c r="HN42">
        <f>HN41*IF(OR($C41=122,$G41=122),0,1)</f>
        <v/>
      </c>
      <c r="HO42">
        <f>HO41*IF(OR($C41=123,$G41=123),0,1)</f>
        <v/>
      </c>
      <c r="HP42">
        <f>HP41*IF(OR($C41=124,$G41=124),0,1)</f>
        <v/>
      </c>
      <c r="HQ42">
        <f>HQ41*IF(OR($C41=125,$G41=125),0,1)</f>
        <v/>
      </c>
      <c r="HR42">
        <f>HR41*IF(OR($C41=126,$G41=126),0,1)</f>
        <v/>
      </c>
      <c r="HS42">
        <f>HS41*IF(OR($C41=127,$G41=127),0,1)</f>
        <v/>
      </c>
      <c r="HT42">
        <f>HT41*IF(OR($C41=128,$G41=128),0,1)</f>
        <v/>
      </c>
      <c r="HU42">
        <f>HU41*IF(OR($C41=129,$G41=129),0,1)</f>
        <v/>
      </c>
      <c r="HV42">
        <f>HV41*IF(OR($C41=130,$G41=130),0,1)</f>
        <v/>
      </c>
      <c r="HW42">
        <f>HW41*IF(OR($C41=131,$G41=131),0,1)</f>
        <v/>
      </c>
      <c r="HX42">
        <f>HX41*IF(OR($C41=132,$G41=132),0,1)</f>
        <v/>
      </c>
      <c r="HY42">
        <f>HY41*IF(OR($C41=133,$G41=133),0,1)</f>
        <v/>
      </c>
      <c r="HZ42">
        <f>HZ41*IF(OR($C41=134,$G41=134),0,1)</f>
        <v/>
      </c>
      <c r="IA42">
        <f>IA41*IF(OR($C41=135,$G41=135),0,1)</f>
        <v/>
      </c>
      <c r="IB42">
        <f>IB41*IF(OR($C41=136,$G41=136),0,1)</f>
        <v/>
      </c>
      <c r="IC42">
        <f>IC41*IF(OR($C41=137,$G41=137),0,1)</f>
        <v/>
      </c>
      <c r="ID42">
        <f>ID41*IF(OR($C41=138,$G41=138),0,1)</f>
        <v/>
      </c>
      <c r="IE42">
        <f>IE41*IF(OR($C41=139,$G41=139),0,1)</f>
        <v/>
      </c>
      <c r="IF42">
        <f>IF41*IF(OR($C41=140,$G41=140),0,1)</f>
        <v/>
      </c>
      <c r="IG42">
        <f>IG41*IF(OR($C41=141,$G41=141),0,1)</f>
        <v/>
      </c>
      <c r="IH42">
        <f>IH41*IF(OR($C41=142,$G41=142),0,1)</f>
        <v/>
      </c>
      <c r="II42">
        <f>II41*IF(OR($C41=143,$G41=143),0,1)</f>
        <v/>
      </c>
      <c r="IJ42">
        <f>IJ41*IF(OR($C41=144,$G41=144),0,1)</f>
        <v/>
      </c>
      <c r="IK42">
        <f>IK41*IF(OR($C41=145,$G41=145),0,1)</f>
        <v/>
      </c>
      <c r="IL42">
        <f>IL41*IF(OR($C41=146,$G41=146),0,1)</f>
        <v/>
      </c>
      <c r="IM42">
        <f>IM41*IF(OR($C41=147,$G41=147),0,1)</f>
        <v/>
      </c>
      <c r="IN42">
        <f>IN41*IF(OR($C41=148,$G41=148),0,1)</f>
        <v/>
      </c>
      <c r="IO42">
        <f>IO41*IF(OR($C41=149,$G41=149),0,1)</f>
        <v/>
      </c>
      <c r="IP42">
        <f>IP41*IF(OR($C41=150,$G41=150),0,1)</f>
        <v/>
      </c>
      <c r="IQ42">
        <f>IQ41*IF(OR($C41=151,$G41=151),0,1)</f>
        <v/>
      </c>
      <c r="IR42">
        <f>IR41*IF(OR($C41=152,$G41=152),0,1)</f>
        <v/>
      </c>
      <c r="IS42">
        <f>IS41*IF(OR($C41=153,$G41=153),0,1)</f>
        <v/>
      </c>
      <c r="IT42">
        <f>IT41*IF(OR($C41=154,$G41=154),0,1)</f>
        <v/>
      </c>
      <c r="IU42">
        <f>IU41*IF(OR($C41=155,$G41=155),0,1)</f>
        <v/>
      </c>
      <c r="IV42">
        <f>IV41*IF(OR($C41=156,$G41=156),0,1)</f>
        <v/>
      </c>
      <c r="IW42">
        <f>IW41*IF(OR($C41=157,$G41=157),0,1)</f>
        <v/>
      </c>
      <c r="IX42">
        <f>IX41*IF(OR($C41=158,$G41=158),0,1)</f>
        <v/>
      </c>
      <c r="IY42">
        <f>IY41*IF(OR($C41=159,$G41=159),0,1)</f>
        <v/>
      </c>
      <c r="IZ42">
        <f>IZ41*IF(OR($C41=160,$G41=160),0,1)</f>
        <v/>
      </c>
      <c r="JA42">
        <f>JA41*IF(OR($C41=161,$G41=161),0,1)</f>
        <v/>
      </c>
      <c r="JB42">
        <f>JB41*IF(OR($C41=162,$G41=162),0,1)</f>
        <v/>
      </c>
      <c r="JC42">
        <f>JC41*IF(OR($C41=163,$G41=163),0,1)</f>
        <v/>
      </c>
      <c r="JD42">
        <f>JD41*IF(OR($C41=164,$G41=164),0,1)</f>
        <v/>
      </c>
      <c r="JE42">
        <f>JE41*IF(OR($C41=165,$G41=165),0,1)</f>
        <v/>
      </c>
      <c r="JF42">
        <f>JF41*IF(OR($C41=166,$G41=166),0,1)</f>
        <v/>
      </c>
      <c r="JG42">
        <f>JG41*IF(OR($C41=167,$G41=167),0,1)</f>
        <v/>
      </c>
      <c r="JH42">
        <f>JH41*IF(OR($C41=168,$G41=168),0,1)</f>
        <v/>
      </c>
      <c r="JI42">
        <f>JI41*IF(OR($C41=169,$G41=169),0,1)</f>
        <v/>
      </c>
      <c r="JJ42">
        <f>JJ41*IF(OR($C41=170,$G41=170),0,1)</f>
        <v/>
      </c>
      <c r="JK42">
        <f>JK41*IF(OR($C41=171,$G41=171),0,1)</f>
        <v/>
      </c>
      <c r="JL42">
        <f>JL41*IF(OR($C41=172,$G41=172),0,1)</f>
        <v/>
      </c>
      <c r="JM42">
        <f>JM41*IF(OR($C41=173,$G41=173),0,1)</f>
        <v/>
      </c>
      <c r="JN42">
        <f>JN41*IF(OR($C41=174,$G41=174),0,1)</f>
        <v/>
      </c>
      <c r="JO42">
        <f>JO41*IF(OR($C41=175,$G41=175),0,1)</f>
        <v/>
      </c>
      <c r="JP42">
        <f>JP41*IF(OR($C41=176,$G41=176),0,1)</f>
        <v/>
      </c>
      <c r="JQ42">
        <f>JQ41*IF(OR($C41=177,$G41=177),0,1)</f>
        <v/>
      </c>
      <c r="JR42">
        <f>JR41*IF(OR($C41=178,$G41=178),0,1)</f>
        <v/>
      </c>
      <c r="JS42">
        <f>JS41*IF(OR($C41=179,$G41=179),0,1)</f>
        <v/>
      </c>
      <c r="JT42">
        <f>JT41*IF(OR($C41=180,$G41=180),0,1)</f>
        <v/>
      </c>
      <c r="JU42">
        <f>JU41*IF(OR($C41=181,$G41=181),0,1)</f>
        <v/>
      </c>
      <c r="JV42">
        <f>JV41*IF(OR($C41=182,$G41=182),0,1)</f>
        <v/>
      </c>
      <c r="JW42">
        <f>JW41*IF(OR($C41=183,$G41=183),0,1)</f>
        <v/>
      </c>
      <c r="JX42">
        <f>JX41*IF(OR($C41=184,$G41=184),0,1)</f>
        <v/>
      </c>
      <c r="JY42">
        <f>JY41*IF(OR($C41=185,$G41=185),0,1)</f>
        <v/>
      </c>
      <c r="JZ42">
        <f>JZ41*IF(OR($C41=186,$G41=186),0,1)</f>
        <v/>
      </c>
      <c r="KA42">
        <f>KA41*IF(OR($C41=187,$G41=187),0,1)</f>
        <v/>
      </c>
      <c r="KB42">
        <f>KB41*IF(OR($C41=188,$G41=188),0,1)</f>
        <v/>
      </c>
      <c r="KC42">
        <f>KC41*IF(OR($C41=189,$G41=189),0,1)</f>
        <v/>
      </c>
      <c r="KD42">
        <f>KD41*IF(OR($C41=190,$G41=190),0,1)</f>
        <v/>
      </c>
      <c r="KE42">
        <f>KE41*IF(OR($C41=191,$G41=191),0,1)</f>
        <v/>
      </c>
      <c r="KF42">
        <f>KF41*IF(OR($C41=192,$G41=192),0,1)</f>
        <v/>
      </c>
      <c r="KG42">
        <f>KG41*IF(OR($C41=193,$G41=193),0,1)</f>
        <v/>
      </c>
      <c r="KH42">
        <f>KH41*IF(OR($C41=194,$G41=194),0,1)</f>
        <v/>
      </c>
      <c r="KI42">
        <f>KI41*IF(OR($C41=195,$G41=195),0,1)</f>
        <v/>
      </c>
      <c r="KJ42">
        <f>KJ41*IF(OR($C41=196,$G41=196),0,1)</f>
        <v/>
      </c>
      <c r="KK42">
        <f>KK41*IF(OR($C41=197,$G41=197),0,1)</f>
        <v/>
      </c>
      <c r="KL42">
        <f>KL41*IF(OR($C41=198,$G41=198),0,1)</f>
        <v/>
      </c>
      <c r="KM42">
        <f>KM41*IF(OR($C41=199,$G41=199),0,1)</f>
        <v/>
      </c>
      <c r="KN42">
        <f>KN41*IF(OR($C41=200,$G41=200),0,1)</f>
        <v/>
      </c>
      <c r="KO42">
        <f>KO41*IF(OR($C41=201,$G41=201),0,1)</f>
        <v/>
      </c>
      <c r="KP42">
        <f>KP41*IF(OR($C41=202,$G41=202),0,1)</f>
        <v/>
      </c>
      <c r="KQ42">
        <f>KQ41*IF(OR($C41=203,$G41=203),0,1)</f>
        <v/>
      </c>
      <c r="KR42">
        <f>KR41*IF(OR($C41=204,$G41=204),0,1)</f>
        <v/>
      </c>
      <c r="KS42">
        <f>KS41*IF(OR($C41=205,$G41=205),0,1)</f>
        <v/>
      </c>
      <c r="KT42">
        <f>KT41*IF(OR($C41=206,$G41=206),0,1)</f>
        <v/>
      </c>
      <c r="KU42">
        <f>KU41*IF(OR($C41=207,$G41=207),0,1)</f>
        <v/>
      </c>
      <c r="KV42">
        <f>KV41*IF(OR($C41=208,$G41=208),0,1)</f>
        <v/>
      </c>
      <c r="KW42">
        <f>KW41*IF(OR($C41=209,$G41=209),0,1)</f>
        <v/>
      </c>
      <c r="KX42">
        <f>KX41*IF(OR($C41=210,$G41=210),0,1)</f>
        <v/>
      </c>
      <c r="KY42">
        <f>KY41*IF(OR($C41=211,$G41=211),0,1)</f>
        <v/>
      </c>
      <c r="KZ42">
        <f>KZ41*IF(OR($C41=212,$G41=212),0,1)</f>
        <v/>
      </c>
      <c r="LA42">
        <f>LA41*IF(OR($C41=213,$G41=213),0,1)</f>
        <v/>
      </c>
      <c r="LB42">
        <f>LB41*IF(OR($C41=214,$G41=214),0,1)</f>
        <v/>
      </c>
      <c r="LC42">
        <f>LC41*IF(OR($C41=215,$G41=215),0,1)</f>
        <v/>
      </c>
      <c r="LD42">
        <f>LD41*IF(OR($C41=216,$G41=216),0,1)</f>
        <v/>
      </c>
      <c r="LE42">
        <f>LE41*IF(OR($C41=217,$G41=217),0,1)</f>
        <v/>
      </c>
      <c r="LF42">
        <f>LF41*IF(OR($C41=218,$G41=218),0,1)</f>
        <v/>
      </c>
      <c r="LG42">
        <f>LG41*IF(OR($C41=219,$G41=219),0,1)</f>
        <v/>
      </c>
      <c r="LH42">
        <f>LH41*IF(OR($C41=220,$G41=220),0,1)</f>
        <v/>
      </c>
      <c r="LI42">
        <f>LI41*IF(OR($C41=221,$G41=221),0,1)</f>
        <v/>
      </c>
      <c r="LJ42">
        <f>LJ41*IF(OR($C41=222,$G41=222),0,1)</f>
        <v/>
      </c>
      <c r="LK42">
        <f>LK41*IF(OR($C41=223,$G41=223),0,1)</f>
        <v/>
      </c>
      <c r="LL42">
        <f>LL41*IF(OR($C41=224,$G41=224),0,1)</f>
        <v/>
      </c>
      <c r="LM42">
        <f>LM41*IF(OR($C41=225,$G41=225),0,1)</f>
        <v/>
      </c>
      <c r="LN42">
        <f>LN41*IF(OR($C41=226,$G41=226),0,1)</f>
        <v/>
      </c>
      <c r="LO42">
        <f>LO41*IF(OR($C41=227,$G41=227),0,1)</f>
        <v/>
      </c>
      <c r="LP42">
        <f>LP41*IF(OR($C41=228,$G41=228),0,1)</f>
        <v/>
      </c>
      <c r="LQ42">
        <f>LQ41*IF(OR($C41=229,$G41=229),0,1)</f>
        <v/>
      </c>
      <c r="LR42">
        <f>LR41*IF(OR($C41=230,$G41=230),0,1)</f>
        <v/>
      </c>
      <c r="LS42">
        <f>LS41*IF(OR($C41=231,$G41=231),0,1)</f>
        <v/>
      </c>
      <c r="LT42">
        <f>LT41*IF(OR($C41=232,$G41=232),0,1)</f>
        <v/>
      </c>
      <c r="LU42">
        <f>LU41*IF(OR($C41=233,$G41=233),0,1)</f>
        <v/>
      </c>
      <c r="LV42">
        <f>LV41*IF(OR($C41=234,$G41=234),0,1)</f>
        <v/>
      </c>
      <c r="LW42">
        <f>LW41*IF(OR($C41=235,$G41=235),0,1)</f>
        <v/>
      </c>
      <c r="LX42">
        <f>LX41*IF(OR($C41=236,$G41=236),0,1)</f>
        <v/>
      </c>
      <c r="LY42">
        <f>LY41*IF(OR($C41=237,$G41=237),0,1)</f>
        <v/>
      </c>
      <c r="LZ42">
        <f>LZ41*IF(OR($C41=238,$G41=238),0,1)</f>
        <v/>
      </c>
      <c r="MA42">
        <f>MA41*IF(OR($C41=239,$G41=239),0,1)</f>
        <v/>
      </c>
      <c r="MB42">
        <f>MB41*IF(OR($C41=240,$G41=240),0,1)</f>
        <v/>
      </c>
      <c r="MD42">
        <f>IF('計算A'!D$106=1,CX42,1)</f>
        <v/>
      </c>
      <c r="ME42">
        <f>IF('計算A'!E$106=1,CY42,1)</f>
        <v/>
      </c>
      <c r="MF42">
        <f>IF('計算A'!F$106=1,CZ42,1)</f>
        <v/>
      </c>
      <c r="MG42">
        <f>IF('計算A'!G$106=1,DA42,1)</f>
        <v/>
      </c>
      <c r="MH42">
        <f>IF('計算A'!H$106=1,DB42,1)</f>
        <v/>
      </c>
      <c r="MI42">
        <f>IF('計算A'!I$106=1,DC42,1)</f>
        <v/>
      </c>
      <c r="MJ42">
        <f>IF('計算A'!J$106=1,DD42,1)</f>
        <v/>
      </c>
      <c r="MK42">
        <f>IF('計算A'!K$106=1,DE42,1)</f>
        <v/>
      </c>
      <c r="ML42">
        <f>IF('計算A'!L$106=1,DF42,1)</f>
        <v/>
      </c>
      <c r="MM42">
        <f>IF('計算A'!M$106=1,DG42,1)</f>
        <v/>
      </c>
      <c r="MN42">
        <f>IF('計算A'!N$106=1,DH42,1)</f>
        <v/>
      </c>
      <c r="MO42">
        <f>IF('計算A'!O$106=1,DI42,1)</f>
        <v/>
      </c>
      <c r="MP42">
        <f>IF('計算A'!P$106=1,DJ42,1)</f>
        <v/>
      </c>
      <c r="MQ42">
        <f>IF('計算A'!Q$106=1,DK42,1)</f>
        <v/>
      </c>
      <c r="MR42">
        <f>IF('計算A'!R$106=1,DL42,1)</f>
        <v/>
      </c>
      <c r="MS42">
        <f>IF('計算A'!S$106=1,DM42,1)</f>
        <v/>
      </c>
      <c r="MT42">
        <f>IF('計算A'!T$106=1,DN42,1)</f>
        <v/>
      </c>
      <c r="MU42">
        <f>IF('計算A'!U$106=1,DO42,1)</f>
        <v/>
      </c>
      <c r="MV42">
        <f>IF('計算A'!V$106=1,DP42,1)</f>
        <v/>
      </c>
      <c r="MW42">
        <f>IF('計算A'!W$106=1,DQ42,1)</f>
        <v/>
      </c>
      <c r="MX42">
        <f>IF('計算A'!X$106=1,DR42,1)</f>
        <v/>
      </c>
      <c r="MY42">
        <f>IF('計算A'!Y$106=1,DS42,1)</f>
        <v/>
      </c>
      <c r="MZ42">
        <f>IF('計算A'!Z$106=1,DT42,1)</f>
        <v/>
      </c>
      <c r="NA42">
        <f>IF('計算A'!AA$106=1,DU42,1)</f>
        <v/>
      </c>
      <c r="NB42">
        <f>IF('計算A'!AB$106=1,DV42,1)</f>
        <v/>
      </c>
      <c r="NC42">
        <f>IF('計算A'!AC$106=1,DW42,1)</f>
        <v/>
      </c>
      <c r="ND42">
        <f>IF('計算A'!AD$106=1,DX42,1)</f>
        <v/>
      </c>
      <c r="NE42">
        <f>IF('計算A'!AE$106=1,DY42,1)</f>
        <v/>
      </c>
      <c r="NF42">
        <f>IF('計算A'!AF$106=1,DZ42,1)</f>
        <v/>
      </c>
      <c r="NG42">
        <f>IF('計算A'!AG$106=1,EA42,1)</f>
        <v/>
      </c>
      <c r="NH42">
        <f>IF('計算A'!AH$106=1,EB42,1)</f>
        <v/>
      </c>
      <c r="NI42">
        <f>IF('計算A'!AI$106=1,EC42,1)</f>
        <v/>
      </c>
      <c r="NJ42">
        <f>IF('計算A'!AJ$106=1,ED42,1)</f>
        <v/>
      </c>
      <c r="NK42">
        <f>IF('計算A'!AK$106=1,EE42,1)</f>
        <v/>
      </c>
      <c r="NL42">
        <f>IF('計算A'!AL$106=1,EF42,1)</f>
        <v/>
      </c>
      <c r="NM42">
        <f>IF('計算A'!AM$106=1,EG42,1)</f>
        <v/>
      </c>
      <c r="NN42">
        <f>IF('計算A'!AN$106=1,EH42,1)</f>
        <v/>
      </c>
      <c r="NO42">
        <f>IF('計算A'!AO$106=1,EI42,1)</f>
        <v/>
      </c>
      <c r="NP42">
        <f>IF('計算A'!AP$106=1,EJ42,1)</f>
        <v/>
      </c>
      <c r="NQ42">
        <f>IF('計算A'!AQ$106=1,EK42,1)</f>
        <v/>
      </c>
      <c r="NR42">
        <f>IF('計算A'!AR$106=1,EL42,1)</f>
        <v/>
      </c>
      <c r="NS42">
        <f>IF('計算A'!AS$106=1,EM42,1)</f>
        <v/>
      </c>
      <c r="NT42">
        <f>IF('計算A'!AT$106=1,EN42,1)</f>
        <v/>
      </c>
      <c r="NU42">
        <f>IF('計算A'!AU$106=1,EO42,1)</f>
        <v/>
      </c>
      <c r="NV42">
        <f>IF('計算A'!AV$106=1,EP42,1)</f>
        <v/>
      </c>
      <c r="NW42">
        <f>IF('計算A'!AW$106=1,EQ42,1)</f>
        <v/>
      </c>
      <c r="NX42">
        <f>IF('計算A'!AX$106=1,ER42,1)</f>
        <v/>
      </c>
      <c r="NY42">
        <f>IF('計算A'!AY$106=1,ES42,1)</f>
        <v/>
      </c>
      <c r="NZ42">
        <f>IF('計算A'!AZ$106=1,ET42,1)</f>
        <v/>
      </c>
      <c r="OA42">
        <f>IF('計算A'!BA$106=1,EU42,1)</f>
        <v/>
      </c>
      <c r="OB42">
        <f>IF('計算A'!BB$106=1,EV42,1)</f>
        <v/>
      </c>
      <c r="OC42">
        <f>IF('計算A'!BC$106=1,EW42,1)</f>
        <v/>
      </c>
      <c r="OD42">
        <f>IF('計算A'!BD$106=1,EX42,1)</f>
        <v/>
      </c>
      <c r="OE42">
        <f>IF('計算A'!BE$106=1,EY42,1)</f>
        <v/>
      </c>
      <c r="OF42">
        <f>IF('計算A'!BF$106=1,EZ42,1)</f>
        <v/>
      </c>
      <c r="OG42">
        <f>IF('計算A'!BG$106=1,FA42,1)</f>
        <v/>
      </c>
      <c r="OH42">
        <f>IF('計算A'!BH$106=1,FB42,1)</f>
        <v/>
      </c>
      <c r="OI42">
        <f>IF('計算A'!BI$106=1,FC42,1)</f>
        <v/>
      </c>
      <c r="OJ42">
        <f>IF('計算A'!BJ$106=1,FD42,1)</f>
        <v/>
      </c>
      <c r="OK42">
        <f>IF('計算A'!BK$106=1,FE42,1)</f>
        <v/>
      </c>
      <c r="OL42">
        <f>IF('計算A'!BL$106=1,FF42,1)</f>
        <v/>
      </c>
      <c r="OM42">
        <f>IF('計算A'!BM$106=1,FG42,1)</f>
        <v/>
      </c>
      <c r="ON42">
        <f>IF('計算A'!BN$106=1,FH42,1)</f>
        <v/>
      </c>
      <c r="OO42">
        <f>IF('計算A'!BO$106=1,FI42,1)</f>
        <v/>
      </c>
      <c r="OP42">
        <f>IF('計算A'!BP$106=1,FJ42,1)</f>
        <v/>
      </c>
      <c r="OQ42">
        <f>IF('計算A'!BQ$106=1,FK42,1)</f>
        <v/>
      </c>
      <c r="OR42">
        <f>IF('計算A'!BR$106=1,FL42,1)</f>
        <v/>
      </c>
      <c r="OS42">
        <f>IF('計算A'!BS$106=1,FM42,1)</f>
        <v/>
      </c>
      <c r="OT42">
        <f>IF('計算A'!BT$106=1,FN42,1)</f>
        <v/>
      </c>
      <c r="OU42">
        <f>IF('計算A'!BU$106=1,FO42,1)</f>
        <v/>
      </c>
      <c r="OV42">
        <f>IF('計算A'!BV$106=1,FP42,1)</f>
        <v/>
      </c>
      <c r="OW42">
        <f>IF('計算A'!BW$106=1,FQ42,1)</f>
        <v/>
      </c>
      <c r="OX42">
        <f>IF('計算A'!BX$106=1,FR42,1)</f>
        <v/>
      </c>
      <c r="OY42">
        <f>IF('計算A'!BY$106=1,FS42,1)</f>
        <v/>
      </c>
      <c r="OZ42">
        <f>IF('計算A'!BZ$106=1,FT42,1)</f>
        <v/>
      </c>
      <c r="PA42">
        <f>IF('計算A'!CA$106=1,FU42,1)</f>
        <v/>
      </c>
      <c r="PB42">
        <f>IF('計算A'!CB$106=1,FV42,1)</f>
        <v/>
      </c>
      <c r="PC42">
        <f>IF('計算A'!CC$106=1,FW42,1)</f>
        <v/>
      </c>
      <c r="PD42">
        <f>IF('計算A'!CD$106=1,FX42,1)</f>
        <v/>
      </c>
      <c r="PE42">
        <f>IF('計算A'!CE$106=1,FY42,1)</f>
        <v/>
      </c>
      <c r="PF42">
        <f>IF('計算A'!CF$106=1,FZ42,1)</f>
        <v/>
      </c>
      <c r="PG42">
        <f>IF('計算A'!CG$106=1,GA42,1)</f>
        <v/>
      </c>
      <c r="PH42">
        <f>IF('計算A'!CH$106=1,GB42,1)</f>
        <v/>
      </c>
      <c r="PI42">
        <f>IF('計算A'!CI$106=1,GC42,1)</f>
        <v/>
      </c>
      <c r="PJ42">
        <f>IF('計算A'!CJ$106=1,GD42,1)</f>
        <v/>
      </c>
      <c r="PK42">
        <f>IF('計算A'!CK$106=1,GE42,1)</f>
        <v/>
      </c>
      <c r="PL42">
        <f>IF('計算A'!CL$106=1,GF42,1)</f>
        <v/>
      </c>
      <c r="PM42">
        <f>IF('計算A'!CM$106=1,GG42,1)</f>
        <v/>
      </c>
      <c r="PN42">
        <f>IF('計算A'!CN$106=1,GH42,1)</f>
        <v/>
      </c>
      <c r="PO42">
        <f>IF('計算A'!CO$106=1,GI42,1)</f>
        <v/>
      </c>
      <c r="PP42">
        <f>IF('計算A'!CP$106=1,GJ42,1)</f>
        <v/>
      </c>
      <c r="PQ42">
        <f>IF('計算A'!CQ$106=1,GK42,1)</f>
        <v/>
      </c>
      <c r="PR42">
        <f>IF('計算A'!CR$106=1,GL42,1)</f>
        <v/>
      </c>
      <c r="PS42">
        <f>IF('計算A'!CS$106=1,GM42,1)</f>
        <v/>
      </c>
      <c r="PT42">
        <f>IF('計算A'!CT$106=1,GN42,1)</f>
        <v/>
      </c>
      <c r="PU42">
        <f>IF('計算A'!CU$106=1,GO42,1)</f>
        <v/>
      </c>
      <c r="PV42">
        <f>IF('計算A'!CV$106=1,GP42,1)</f>
        <v/>
      </c>
      <c r="PW42">
        <f>IF('計算A'!CW$106=1,GQ42,1)</f>
        <v/>
      </c>
      <c r="PX42">
        <f>IF('計算A'!CX$106=1,GR42,1)</f>
        <v/>
      </c>
      <c r="PY42">
        <f>IF('計算A'!CY$106=1,GS42,1)</f>
        <v/>
      </c>
      <c r="PZ42">
        <f>IF('計算A'!CZ$106=1,GT42,1)</f>
        <v/>
      </c>
      <c r="QA42">
        <f>IF('計算A'!DA$106=1,GU42,1)</f>
        <v/>
      </c>
      <c r="QB42">
        <f>IF('計算A'!DB$106=1,GV42,1)</f>
        <v/>
      </c>
      <c r="QC42">
        <f>IF('計算A'!DC$106=1,GW42,1)</f>
        <v/>
      </c>
      <c r="QD42">
        <f>IF('計算A'!DD$106=1,GX42,1)</f>
        <v/>
      </c>
      <c r="QE42">
        <f>IF('計算A'!DE$106=1,GY42,1)</f>
        <v/>
      </c>
      <c r="QF42">
        <f>IF('計算A'!DF$106=1,GZ42,1)</f>
        <v/>
      </c>
      <c r="QG42">
        <f>IF('計算A'!DG$106=1,HA42,1)</f>
        <v/>
      </c>
      <c r="QH42">
        <f>IF('計算A'!DH$106=1,HB42,1)</f>
        <v/>
      </c>
      <c r="QI42">
        <f>IF('計算A'!DI$106=1,HC42,1)</f>
        <v/>
      </c>
      <c r="QJ42">
        <f>IF('計算A'!DJ$106=1,HD42,1)</f>
        <v/>
      </c>
      <c r="QK42">
        <f>IF('計算A'!DK$106=1,HE42,1)</f>
        <v/>
      </c>
      <c r="QL42">
        <f>IF('計算A'!DL$106=1,HF42,1)</f>
        <v/>
      </c>
      <c r="QM42">
        <f>IF('計算A'!DM$106=1,HG42,1)</f>
        <v/>
      </c>
      <c r="QN42">
        <f>IF('計算A'!DN$106=1,HH42,1)</f>
        <v/>
      </c>
      <c r="QO42">
        <f>IF('計算A'!DO$106=1,HI42,1)</f>
        <v/>
      </c>
      <c r="QP42">
        <f>IF('計算A'!DP$106=1,HJ42,1)</f>
        <v/>
      </c>
      <c r="QQ42">
        <f>IF('計算A'!DQ$106=1,HK42,1)</f>
        <v/>
      </c>
      <c r="QR42">
        <f>IF('計算A'!DR$106=1,HL42,1)</f>
        <v/>
      </c>
      <c r="QS42">
        <f>IF('計算A'!DS$106=1,HM42,1)</f>
        <v/>
      </c>
      <c r="QT42">
        <f>IF('計算A'!DT$106=1,HN42,1)</f>
        <v/>
      </c>
      <c r="QU42">
        <f>IF('計算A'!DU$106=1,HO42,1)</f>
        <v/>
      </c>
      <c r="QV42">
        <f>IF('計算A'!DV$106=1,HP42,1)</f>
        <v/>
      </c>
      <c r="QW42">
        <f>IF('計算A'!DW$106=1,HQ42,1)</f>
        <v/>
      </c>
      <c r="QX42">
        <f>IF('計算A'!DX$106=1,HR42,1)</f>
        <v/>
      </c>
      <c r="QY42">
        <f>IF('計算A'!DY$106=1,HS42,1)</f>
        <v/>
      </c>
      <c r="QZ42">
        <f>IF('計算A'!DZ$106=1,HT42,1)</f>
        <v/>
      </c>
      <c r="RA42">
        <f>IF('計算A'!EA$106=1,HU42,1)</f>
        <v/>
      </c>
      <c r="RB42">
        <f>IF('計算A'!EB$106=1,HV42,1)</f>
        <v/>
      </c>
      <c r="RC42">
        <f>IF('計算A'!EC$106=1,HW42,1)</f>
        <v/>
      </c>
      <c r="RD42">
        <f>IF('計算A'!ED$106=1,HX42,1)</f>
        <v/>
      </c>
      <c r="RE42">
        <f>IF('計算A'!EE$106=1,HY42,1)</f>
        <v/>
      </c>
      <c r="RF42">
        <f>IF('計算A'!EF$106=1,HZ42,1)</f>
        <v/>
      </c>
      <c r="RG42">
        <f>IF('計算A'!EG$106=1,IA42,1)</f>
        <v/>
      </c>
      <c r="RH42">
        <f>IF('計算A'!EH$106=1,IB42,1)</f>
        <v/>
      </c>
      <c r="RI42">
        <f>IF('計算A'!EI$106=1,IC42,1)</f>
        <v/>
      </c>
      <c r="RJ42">
        <f>IF('計算A'!EJ$106=1,ID42,1)</f>
        <v/>
      </c>
      <c r="RK42">
        <f>IF('計算A'!EK$106=1,IE42,1)</f>
        <v/>
      </c>
      <c r="RL42">
        <f>IF('計算A'!EL$106=1,IF42,1)</f>
        <v/>
      </c>
      <c r="RM42">
        <f>IF('計算A'!EM$106=1,IG42,1)</f>
        <v/>
      </c>
      <c r="RN42">
        <f>IF('計算A'!EN$106=1,IH42,1)</f>
        <v/>
      </c>
      <c r="RO42">
        <f>IF('計算A'!EO$106=1,II42,1)</f>
        <v/>
      </c>
      <c r="RP42">
        <f>IF('計算A'!EP$106=1,IJ42,1)</f>
        <v/>
      </c>
      <c r="RQ42">
        <f>IF('計算A'!EQ$106=1,IK42,1)</f>
        <v/>
      </c>
      <c r="RR42">
        <f>IF('計算A'!ER$106=1,IL42,1)</f>
        <v/>
      </c>
      <c r="RS42">
        <f>IF('計算A'!ES$106=1,IM42,1)</f>
        <v/>
      </c>
      <c r="RT42">
        <f>IF('計算A'!ET$106=1,IN42,1)</f>
        <v/>
      </c>
      <c r="RU42">
        <f>IF('計算A'!EU$106=1,IO42,1)</f>
        <v/>
      </c>
      <c r="RV42">
        <f>IF('計算A'!EV$106=1,IP42,1)</f>
        <v/>
      </c>
      <c r="RW42">
        <f>IF('計算A'!EW$106=1,IQ42,1)</f>
        <v/>
      </c>
      <c r="RX42">
        <f>IF('計算A'!EX$106=1,IR42,1)</f>
        <v/>
      </c>
      <c r="RY42">
        <f>IF('計算A'!EY$106=1,IS42,1)</f>
        <v/>
      </c>
      <c r="RZ42">
        <f>IF('計算A'!EZ$106=1,IT42,1)</f>
        <v/>
      </c>
      <c r="SA42">
        <f>IF('計算A'!FA$106=1,IU42,1)</f>
        <v/>
      </c>
      <c r="SB42">
        <f>IF('計算A'!FB$106=1,IV42,1)</f>
        <v/>
      </c>
      <c r="SC42">
        <f>IF('計算A'!FC$106=1,IW42,1)</f>
        <v/>
      </c>
      <c r="SD42">
        <f>IF('計算A'!FD$106=1,IX42,1)</f>
        <v/>
      </c>
      <c r="SE42">
        <f>IF('計算A'!FE$106=1,IY42,1)</f>
        <v/>
      </c>
      <c r="SF42">
        <f>IF('計算A'!FF$106=1,IZ42,1)</f>
        <v/>
      </c>
      <c r="SG42">
        <f>IF('計算A'!FG$106=1,JA42,1)</f>
        <v/>
      </c>
      <c r="SH42">
        <f>IF('計算A'!FH$106=1,JB42,1)</f>
        <v/>
      </c>
      <c r="SI42">
        <f>IF('計算A'!FI$106=1,JC42,1)</f>
        <v/>
      </c>
      <c r="SJ42">
        <f>IF('計算A'!FJ$106=1,JD42,1)</f>
        <v/>
      </c>
      <c r="SK42">
        <f>IF('計算A'!FK$106=1,JE42,1)</f>
        <v/>
      </c>
      <c r="SL42">
        <f>IF('計算A'!FL$106=1,JF42,1)</f>
        <v/>
      </c>
      <c r="SM42">
        <f>IF('計算A'!FM$106=1,JG42,1)</f>
        <v/>
      </c>
      <c r="SN42">
        <f>IF('計算A'!FN$106=1,JH42,1)</f>
        <v/>
      </c>
      <c r="SO42">
        <f>IF('計算A'!FO$106=1,JI42,1)</f>
        <v/>
      </c>
      <c r="SP42">
        <f>IF('計算A'!FP$106=1,JJ42,1)</f>
        <v/>
      </c>
      <c r="SQ42">
        <f>IF('計算A'!FQ$106=1,JK42,1)</f>
        <v/>
      </c>
      <c r="SR42">
        <f>IF('計算A'!FR$106=1,JL42,1)</f>
        <v/>
      </c>
      <c r="SS42">
        <f>IF('計算A'!FS$106=1,JM42,1)</f>
        <v/>
      </c>
      <c r="ST42">
        <f>IF('計算A'!FT$106=1,JN42,1)</f>
        <v/>
      </c>
      <c r="SU42">
        <f>IF('計算A'!FU$106=1,JO42,1)</f>
        <v/>
      </c>
      <c r="SV42">
        <f>IF('計算A'!FV$106=1,JP42,1)</f>
        <v/>
      </c>
      <c r="SW42">
        <f>IF('計算A'!FW$106=1,JQ42,1)</f>
        <v/>
      </c>
      <c r="SX42">
        <f>IF('計算A'!FX$106=1,JR42,1)</f>
        <v/>
      </c>
      <c r="SY42">
        <f>IF('計算A'!FY$106=1,JS42,1)</f>
        <v/>
      </c>
      <c r="SZ42">
        <f>IF('計算A'!FZ$106=1,JT42,1)</f>
        <v/>
      </c>
      <c r="TA42">
        <f>IF('計算A'!GA$106=1,JU42,1)</f>
        <v/>
      </c>
      <c r="TB42">
        <f>IF('計算A'!GB$106=1,JV42,1)</f>
        <v/>
      </c>
      <c r="TC42">
        <f>IF('計算A'!GC$106=1,JW42,1)</f>
        <v/>
      </c>
      <c r="TD42">
        <f>IF('計算A'!GD$106=1,JX42,1)</f>
        <v/>
      </c>
      <c r="TE42">
        <f>IF('計算A'!GE$106=1,JY42,1)</f>
        <v/>
      </c>
      <c r="TF42">
        <f>IF('計算A'!GF$106=1,JZ42,1)</f>
        <v/>
      </c>
      <c r="TG42">
        <f>IF('計算A'!GG$106=1,KA42,1)</f>
        <v/>
      </c>
      <c r="TH42">
        <f>IF('計算A'!GH$106=1,KB42,1)</f>
        <v/>
      </c>
      <c r="TI42">
        <f>IF('計算A'!GI$106=1,KC42,1)</f>
        <v/>
      </c>
      <c r="TJ42">
        <f>IF('計算A'!GJ$106=1,KD42,1)</f>
        <v/>
      </c>
      <c r="TK42">
        <f>IF('計算A'!GK$106=1,KE42,1)</f>
        <v/>
      </c>
      <c r="TL42">
        <f>IF('計算A'!GL$106=1,KF42,1)</f>
        <v/>
      </c>
      <c r="TM42">
        <f>IF('計算A'!GM$106=1,KG42,1)</f>
        <v/>
      </c>
      <c r="TN42">
        <f>IF('計算A'!GN$106=1,KH42,1)</f>
        <v/>
      </c>
      <c r="TO42">
        <f>IF('計算A'!GO$106=1,KI42,1)</f>
        <v/>
      </c>
      <c r="TP42">
        <f>IF('計算A'!GP$106=1,KJ42,1)</f>
        <v/>
      </c>
      <c r="TQ42">
        <f>IF('計算A'!GQ$106=1,KK42,1)</f>
        <v/>
      </c>
      <c r="TR42">
        <f>IF('計算A'!GR$106=1,KL42,1)</f>
        <v/>
      </c>
      <c r="TS42">
        <f>IF('計算A'!GS$106=1,KM42,1)</f>
        <v/>
      </c>
      <c r="TT42">
        <f>IF('計算A'!GT$106=1,KN42,1)</f>
        <v/>
      </c>
      <c r="TU42">
        <f>IF('計算A'!GU$106=1,KO42,1)</f>
        <v/>
      </c>
      <c r="TV42">
        <f>IF('計算A'!GV$106=1,KP42,1)</f>
        <v/>
      </c>
      <c r="TW42">
        <f>IF('計算A'!GW$106=1,KQ42,1)</f>
        <v/>
      </c>
      <c r="TX42">
        <f>IF('計算A'!GX$106=1,KR42,1)</f>
        <v/>
      </c>
      <c r="TY42">
        <f>IF('計算A'!GY$106=1,KS42,1)</f>
        <v/>
      </c>
      <c r="TZ42">
        <f>IF('計算A'!GZ$106=1,KT42,1)</f>
        <v/>
      </c>
      <c r="UA42">
        <f>IF('計算A'!HA$106=1,KU42,1)</f>
        <v/>
      </c>
      <c r="UB42">
        <f>IF('計算A'!HB$106=1,KV42,1)</f>
        <v/>
      </c>
      <c r="UC42">
        <f>IF('計算A'!HC$106=1,KW42,1)</f>
        <v/>
      </c>
      <c r="UD42">
        <f>IF('計算A'!HD$106=1,KX42,1)</f>
        <v/>
      </c>
      <c r="UE42">
        <f>IF('計算A'!HE$106=1,KY42,1)</f>
        <v/>
      </c>
      <c r="UF42">
        <f>IF('計算A'!HF$106=1,KZ42,1)</f>
        <v/>
      </c>
      <c r="UG42">
        <f>IF('計算A'!HG$106=1,LA42,1)</f>
        <v/>
      </c>
      <c r="UH42">
        <f>IF('計算A'!HH$106=1,LB42,1)</f>
        <v/>
      </c>
      <c r="UI42">
        <f>IF('計算A'!HI$106=1,LC42,1)</f>
        <v/>
      </c>
      <c r="UJ42">
        <f>IF('計算A'!HJ$106=1,LD42,1)</f>
        <v/>
      </c>
      <c r="UK42">
        <f>IF('計算A'!HK$106=1,LE42,1)</f>
        <v/>
      </c>
      <c r="UL42">
        <f>IF('計算A'!HL$106=1,LF42,1)</f>
        <v/>
      </c>
      <c r="UM42">
        <f>IF('計算A'!HM$106=1,LG42,1)</f>
        <v/>
      </c>
      <c r="UN42">
        <f>IF('計算A'!HN$106=1,LH42,1)</f>
        <v/>
      </c>
      <c r="UO42">
        <f>IF('計算A'!HO$106=1,LI42,1)</f>
        <v/>
      </c>
      <c r="UP42">
        <f>IF('計算A'!HP$106=1,LJ42,1)</f>
        <v/>
      </c>
      <c r="UQ42">
        <f>IF('計算A'!HQ$106=1,LK42,1)</f>
        <v/>
      </c>
      <c r="UR42">
        <f>IF('計算A'!HR$106=1,LL42,1)</f>
        <v/>
      </c>
      <c r="US42">
        <f>IF('計算A'!HS$106=1,LM42,1)</f>
        <v/>
      </c>
      <c r="UT42">
        <f>IF('計算A'!HT$106=1,LN42,1)</f>
        <v/>
      </c>
      <c r="UU42">
        <f>IF('計算A'!HU$106=1,LO42,1)</f>
        <v/>
      </c>
      <c r="UV42">
        <f>IF('計算A'!HV$106=1,LP42,1)</f>
        <v/>
      </c>
      <c r="UW42">
        <f>IF('計算A'!HW$106=1,LQ42,1)</f>
        <v/>
      </c>
      <c r="UX42">
        <f>IF('計算A'!HX$106=1,LR42,1)</f>
        <v/>
      </c>
      <c r="UY42">
        <f>IF('計算A'!HY$106=1,LS42,1)</f>
        <v/>
      </c>
      <c r="UZ42">
        <f>IF('計算A'!HZ$106=1,LT42,1)</f>
        <v/>
      </c>
      <c r="VA42">
        <f>IF('計算A'!IA$106=1,LU42,1)</f>
        <v/>
      </c>
      <c r="VB42">
        <f>IF('計算A'!IB$106=1,LV42,1)</f>
        <v/>
      </c>
      <c r="VC42">
        <f>IF('計算A'!IC$106=1,LW42,1)</f>
        <v/>
      </c>
      <c r="VD42">
        <f>IF('計算A'!ID$106=1,LX42,1)</f>
        <v/>
      </c>
      <c r="VE42">
        <f>IF('計算A'!IE$106=1,LY42,1)</f>
        <v/>
      </c>
      <c r="VF42">
        <f>IF('計算A'!IF$106=1,LZ42,1)</f>
        <v/>
      </c>
      <c r="VG42">
        <f>IF('計算A'!IG$106=1,MA42,1)</f>
        <v/>
      </c>
      <c r="VH42">
        <f>IF('計算A'!IH$106=1,MB42,1)</f>
        <v/>
      </c>
      <c r="VI42" t="n">
        <v>1</v>
      </c>
      <c r="VK42">
        <f>IF($B42=0,1000000,IF(INDEX('計算A'!$D$60:$II$104,$B42,1)*CW42=1,IF(AND($E42=2,MD42=0),1000000,INDEX('計算A'!D$110:D$114,$F42+1)+IF(AND($E42=1,MD42=0),1000,0)),1000000))</f>
        <v/>
      </c>
      <c r="VL42">
        <f>IF($B42=0,1000000,IF(INDEX('計算A'!$D$60:$II$104,$B42,2)*CX42=1,IF(AND($E42=2,ME42=0),1000000,INDEX('計算A'!E$110:E$114,$F42+1)+IF(AND($E42=1,ME42=0),1000,0)),1000000))</f>
        <v/>
      </c>
      <c r="VM42">
        <f>IF($B42=0,1000000,IF(INDEX('計算A'!$D$60:$II$104,$B42,3)*CY42=1,IF(AND($E42=2,MF42=0),1000000,INDEX('計算A'!F$110:F$114,$F42+1)+IF(AND($E42=1,MF42=0),1000,0)),1000000))</f>
        <v/>
      </c>
      <c r="VN42">
        <f>IF($B42=0,1000000,IF(INDEX('計算A'!$D$60:$II$104,$B42,4)*CZ42=1,IF(AND($E42=2,MG42=0),1000000,INDEX('計算A'!G$110:G$114,$F42+1)+IF(AND($E42=1,MG42=0),1000,0)),1000000))</f>
        <v/>
      </c>
      <c r="VO42">
        <f>IF($B42=0,1000000,IF(INDEX('計算A'!$D$60:$II$104,$B42,5)*DA42=1,IF(AND($E42=2,MH42=0),1000000,INDEX('計算A'!H$110:H$114,$F42+1)+IF(AND($E42=1,MH42=0),1000,0)),1000000))</f>
        <v/>
      </c>
      <c r="VP42">
        <f>IF($B42=0,1000000,IF(INDEX('計算A'!$D$60:$II$104,$B42,6)*DB42=1,IF(AND($E42=2,MI42=0),1000000,INDEX('計算A'!I$110:I$114,$F42+1)+IF(AND($E42=1,MI42=0),1000,0)),1000000))</f>
        <v/>
      </c>
      <c r="VQ42">
        <f>IF($B42=0,1000000,IF(INDEX('計算A'!$D$60:$II$104,$B42,7)*DC42=1,IF(AND($E42=2,MJ42=0),1000000,INDEX('計算A'!J$110:J$114,$F42+1)+IF(AND($E42=1,MJ42=0),1000,0)),1000000))</f>
        <v/>
      </c>
      <c r="VR42">
        <f>IF($B42=0,1000000,IF(INDEX('計算A'!$D$60:$II$104,$B42,8)*DD42=1,IF(AND($E42=2,MK42=0),1000000,INDEX('計算A'!K$110:K$114,$F42+1)+IF(AND($E42=1,MK42=0),1000,0)),1000000))</f>
        <v/>
      </c>
      <c r="VS42">
        <f>IF($B42=0,1000000,IF(INDEX('計算A'!$D$60:$II$104,$B42,9)*DE42=1,IF(AND($E42=2,ML42=0),1000000,INDEX('計算A'!L$110:L$114,$F42+1)+IF(AND($E42=1,ML42=0),1000,0)),1000000))</f>
        <v/>
      </c>
      <c r="VT42">
        <f>IF($B42=0,1000000,IF(INDEX('計算A'!$D$60:$II$104,$B42,10)*DF42=1,IF(AND($E42=2,MM42=0),1000000,INDEX('計算A'!M$110:M$114,$F42+1)+IF(AND($E42=1,MM42=0),1000,0)),1000000))</f>
        <v/>
      </c>
      <c r="VU42">
        <f>IF($B42=0,1000000,IF(INDEX('計算A'!$D$60:$II$104,$B42,11)*DG42=1,IF(AND($E42=2,MN42=0),1000000,INDEX('計算A'!N$110:N$114,$F42+1)+IF(AND($E42=1,MN42=0),1000,0)),1000000))</f>
        <v/>
      </c>
      <c r="VV42">
        <f>IF($B42=0,1000000,IF(INDEX('計算A'!$D$60:$II$104,$B42,12)*DH42=1,IF(AND($E42=2,MO42=0),1000000,INDEX('計算A'!O$110:O$114,$F42+1)+IF(AND($E42=1,MO42=0),1000,0)),1000000))</f>
        <v/>
      </c>
      <c r="VW42">
        <f>IF($B42=0,1000000,IF(INDEX('計算A'!$D$60:$II$104,$B42,13)*DI42=1,IF(AND($E42=2,MP42=0),1000000,INDEX('計算A'!P$110:P$114,$F42+1)+IF(AND($E42=1,MP42=0),1000,0)),1000000))</f>
        <v/>
      </c>
      <c r="VX42">
        <f>IF($B42=0,1000000,IF(INDEX('計算A'!$D$60:$II$104,$B42,14)*DJ42=1,IF(AND($E42=2,MQ42=0),1000000,INDEX('計算A'!Q$110:Q$114,$F42+1)+IF(AND($E42=1,MQ42=0),1000,0)),1000000))</f>
        <v/>
      </c>
      <c r="VY42">
        <f>IF($B42=0,1000000,IF(INDEX('計算A'!$D$60:$II$104,$B42,15)*DK42=1,IF(AND($E42=2,MR42=0),1000000,INDEX('計算A'!R$110:R$114,$F42+1)+IF(AND($E42=1,MR42=0),1000,0)),1000000))</f>
        <v/>
      </c>
      <c r="VZ42">
        <f>IF($B42=0,1000000,IF(INDEX('計算A'!$D$60:$II$104,$B42,16)*DL42=1,IF(AND($E42=2,MS42=0),1000000,INDEX('計算A'!S$110:S$114,$F42+1)+IF(AND($E42=1,MS42=0),1000,0)),1000000))</f>
        <v/>
      </c>
      <c r="WA42">
        <f>IF($B42=0,1000000,IF(INDEX('計算A'!$D$60:$II$104,$B42,17)*DM42=1,IF(AND($E42=2,MT42=0),1000000,INDEX('計算A'!T$110:T$114,$F42+1)+IF(AND($E42=1,MT42=0),1000,0)),1000000))</f>
        <v/>
      </c>
      <c r="WB42">
        <f>IF($B42=0,1000000,IF(INDEX('計算A'!$D$60:$II$104,$B42,18)*DN42=1,IF(AND($E42=2,MU42=0),1000000,INDEX('計算A'!U$110:U$114,$F42+1)+IF(AND($E42=1,MU42=0),1000,0)),1000000))</f>
        <v/>
      </c>
      <c r="WC42">
        <f>IF($B42=0,1000000,IF(INDEX('計算A'!$D$60:$II$104,$B42,19)*DO42=1,IF(AND($E42=2,MV42=0),1000000,INDEX('計算A'!V$110:V$114,$F42+1)+IF(AND($E42=1,MV42=0),1000,0)),1000000))</f>
        <v/>
      </c>
      <c r="WD42">
        <f>IF($B42=0,1000000,IF(INDEX('計算A'!$D$60:$II$104,$B42,20)*DP42=1,IF(AND($E42=2,MW42=0),1000000,INDEX('計算A'!W$110:W$114,$F42+1)+IF(AND($E42=1,MW42=0),1000,0)),1000000))</f>
        <v/>
      </c>
      <c r="WE42">
        <f>IF($B42=0,1000000,IF(INDEX('計算A'!$D$60:$II$104,$B42,21)*DQ42=1,IF(AND($E42=2,MX42=0),1000000,INDEX('計算A'!X$110:X$114,$F42+1)+IF(AND($E42=1,MX42=0),1000,0)),1000000))</f>
        <v/>
      </c>
      <c r="WF42">
        <f>IF($B42=0,1000000,IF(INDEX('計算A'!$D$60:$II$104,$B42,22)*DR42=1,IF(AND($E42=2,MY42=0),1000000,INDEX('計算A'!Y$110:Y$114,$F42+1)+IF(AND($E42=1,MY42=0),1000,0)),1000000))</f>
        <v/>
      </c>
      <c r="WG42">
        <f>IF($B42=0,1000000,IF(INDEX('計算A'!$D$60:$II$104,$B42,23)*DS42=1,IF(AND($E42=2,MZ42=0),1000000,INDEX('計算A'!Z$110:Z$114,$F42+1)+IF(AND($E42=1,MZ42=0),1000,0)),1000000))</f>
        <v/>
      </c>
      <c r="WH42">
        <f>IF($B42=0,1000000,IF(INDEX('計算A'!$D$60:$II$104,$B42,24)*DT42=1,IF(AND($E42=2,NA42=0),1000000,INDEX('計算A'!AA$110:AA$114,$F42+1)+IF(AND($E42=1,NA42=0),1000,0)),1000000))</f>
        <v/>
      </c>
      <c r="WI42">
        <f>IF($B42=0,1000000,IF(INDEX('計算A'!$D$60:$II$104,$B42,25)*DU42=1,IF(AND($E42=2,NB42=0),1000000,INDEX('計算A'!AB$110:AB$114,$F42+1)+IF(AND($E42=1,NB42=0),1000,0)),1000000))</f>
        <v/>
      </c>
      <c r="WJ42">
        <f>IF($B42=0,1000000,IF(INDEX('計算A'!$D$60:$II$104,$B42,26)*DV42=1,IF(AND($E42=2,NC42=0),1000000,INDEX('計算A'!AC$110:AC$114,$F42+1)+IF(AND($E42=1,NC42=0),1000,0)),1000000))</f>
        <v/>
      </c>
      <c r="WK42">
        <f>IF($B42=0,1000000,IF(INDEX('計算A'!$D$60:$II$104,$B42,27)*DW42=1,IF(AND($E42=2,ND42=0),1000000,INDEX('計算A'!AD$110:AD$114,$F42+1)+IF(AND($E42=1,ND42=0),1000,0)),1000000))</f>
        <v/>
      </c>
      <c r="WL42">
        <f>IF($B42=0,1000000,IF(INDEX('計算A'!$D$60:$II$104,$B42,28)*DX42=1,IF(AND($E42=2,NE42=0),1000000,INDEX('計算A'!AE$110:AE$114,$F42+1)+IF(AND($E42=1,NE42=0),1000,0)),1000000))</f>
        <v/>
      </c>
      <c r="WM42">
        <f>IF($B42=0,1000000,IF(INDEX('計算A'!$D$60:$II$104,$B42,29)*DY42=1,IF(AND($E42=2,NF42=0),1000000,INDEX('計算A'!AF$110:AF$114,$F42+1)+IF(AND($E42=1,NF42=0),1000,0)),1000000))</f>
        <v/>
      </c>
      <c r="WN42">
        <f>IF($B42=0,1000000,IF(INDEX('計算A'!$D$60:$II$104,$B42,30)*DZ42=1,IF(AND($E42=2,NG42=0),1000000,INDEX('計算A'!AG$110:AG$114,$F42+1)+IF(AND($E42=1,NG42=0),1000,0)),1000000))</f>
        <v/>
      </c>
      <c r="WO42">
        <f>IF($B42=0,1000000,IF(INDEX('計算A'!$D$60:$II$104,$B42,31)*EA42=1,IF(AND($E42=2,NH42=0),1000000,INDEX('計算A'!AH$110:AH$114,$F42+1)+IF(AND($E42=1,NH42=0),1000,0)),1000000))</f>
        <v/>
      </c>
      <c r="WP42">
        <f>IF($B42=0,1000000,IF(INDEX('計算A'!$D$60:$II$104,$B42,32)*EB42=1,IF(AND($E42=2,NI42=0),1000000,INDEX('計算A'!AI$110:AI$114,$F42+1)+IF(AND($E42=1,NI42=0),1000,0)),1000000))</f>
        <v/>
      </c>
      <c r="WQ42">
        <f>IF($B42=0,1000000,IF(INDEX('計算A'!$D$60:$II$104,$B42,33)*EC42=1,IF(AND($E42=2,NJ42=0),1000000,INDEX('計算A'!AJ$110:AJ$114,$F42+1)+IF(AND($E42=1,NJ42=0),1000,0)),1000000))</f>
        <v/>
      </c>
      <c r="WR42">
        <f>IF($B42=0,1000000,IF(INDEX('計算A'!$D$60:$II$104,$B42,34)*ED42=1,IF(AND($E42=2,NK42=0),1000000,INDEX('計算A'!AK$110:AK$114,$F42+1)+IF(AND($E42=1,NK42=0),1000,0)),1000000))</f>
        <v/>
      </c>
      <c r="WS42">
        <f>IF($B42=0,1000000,IF(INDEX('計算A'!$D$60:$II$104,$B42,35)*EE42=1,IF(AND($E42=2,NL42=0),1000000,INDEX('計算A'!AL$110:AL$114,$F42+1)+IF(AND($E42=1,NL42=0),1000,0)),1000000))</f>
        <v/>
      </c>
      <c r="WT42">
        <f>IF($B42=0,1000000,IF(INDEX('計算A'!$D$60:$II$104,$B42,36)*EF42=1,IF(AND($E42=2,NM42=0),1000000,INDEX('計算A'!AM$110:AM$114,$F42+1)+IF(AND($E42=1,NM42=0),1000,0)),1000000))</f>
        <v/>
      </c>
      <c r="WU42">
        <f>IF($B42=0,1000000,IF(INDEX('計算A'!$D$60:$II$104,$B42,37)*EG42=1,IF(AND($E42=2,NN42=0),1000000,INDEX('計算A'!AN$110:AN$114,$F42+1)+IF(AND($E42=1,NN42=0),1000,0)),1000000))</f>
        <v/>
      </c>
      <c r="WV42">
        <f>IF($B42=0,1000000,IF(INDEX('計算A'!$D$60:$II$104,$B42,38)*EH42=1,IF(AND($E42=2,NO42=0),1000000,INDEX('計算A'!AO$110:AO$114,$F42+1)+IF(AND($E42=1,NO42=0),1000,0)),1000000))</f>
        <v/>
      </c>
      <c r="WW42">
        <f>IF($B42=0,1000000,IF(INDEX('計算A'!$D$60:$II$104,$B42,39)*EI42=1,IF(AND($E42=2,NP42=0),1000000,INDEX('計算A'!AP$110:AP$114,$F42+1)+IF(AND($E42=1,NP42=0),1000,0)),1000000))</f>
        <v/>
      </c>
      <c r="WX42">
        <f>IF($B42=0,1000000,IF(INDEX('計算A'!$D$60:$II$104,$B42,40)*EJ42=1,IF(AND($E42=2,NQ42=0),1000000,INDEX('計算A'!AQ$110:AQ$114,$F42+1)+IF(AND($E42=1,NQ42=0),1000,0)),1000000))</f>
        <v/>
      </c>
      <c r="WY42">
        <f>IF($B42=0,1000000,IF(INDEX('計算A'!$D$60:$II$104,$B42,41)*EK42=1,IF(AND($E42=2,NR42=0),1000000,INDEX('計算A'!AR$110:AR$114,$F42+1)+IF(AND($E42=1,NR42=0),1000,0)),1000000))</f>
        <v/>
      </c>
      <c r="WZ42">
        <f>IF($B42=0,1000000,IF(INDEX('計算A'!$D$60:$II$104,$B42,42)*EL42=1,IF(AND($E42=2,NS42=0),1000000,INDEX('計算A'!AS$110:AS$114,$F42+1)+IF(AND($E42=1,NS42=0),1000,0)),1000000))</f>
        <v/>
      </c>
      <c r="XA42">
        <f>IF($B42=0,1000000,IF(INDEX('計算A'!$D$60:$II$104,$B42,43)*EM42=1,IF(AND($E42=2,NT42=0),1000000,INDEX('計算A'!AT$110:AT$114,$F42+1)+IF(AND($E42=1,NT42=0),1000,0)),1000000))</f>
        <v/>
      </c>
      <c r="XB42">
        <f>IF($B42=0,1000000,IF(INDEX('計算A'!$D$60:$II$104,$B42,44)*EN42=1,IF(AND($E42=2,NU42=0),1000000,INDEX('計算A'!AU$110:AU$114,$F42+1)+IF(AND($E42=1,NU42=0),1000,0)),1000000))</f>
        <v/>
      </c>
      <c r="XC42">
        <f>IF($B42=0,1000000,IF(INDEX('計算A'!$D$60:$II$104,$B42,45)*EO42=1,IF(AND($E42=2,NV42=0),1000000,INDEX('計算A'!AV$110:AV$114,$F42+1)+IF(AND($E42=1,NV42=0),1000,0)),1000000))</f>
        <v/>
      </c>
      <c r="XD42">
        <f>IF($B42=0,1000000,IF(INDEX('計算A'!$D$60:$II$104,$B42,46)*EP42=1,IF(AND($E42=2,NW42=0),1000000,INDEX('計算A'!AW$110:AW$114,$F42+1)+IF(AND($E42=1,NW42=0),1000,0)),1000000))</f>
        <v/>
      </c>
      <c r="XE42">
        <f>IF($B42=0,1000000,IF(INDEX('計算A'!$D$60:$II$104,$B42,47)*EQ42=1,IF(AND($E42=2,NX42=0),1000000,INDEX('計算A'!AX$110:AX$114,$F42+1)+IF(AND($E42=1,NX42=0),1000,0)),1000000))</f>
        <v/>
      </c>
      <c r="XF42">
        <f>IF($B42=0,1000000,IF(INDEX('計算A'!$D$60:$II$104,$B42,48)*ER42=1,IF(AND($E42=2,NY42=0),1000000,INDEX('計算A'!AY$110:AY$114,$F42+1)+IF(AND($E42=1,NY42=0),1000,0)),1000000))</f>
        <v/>
      </c>
      <c r="XG42">
        <f>IF($B42=0,1000000,IF(INDEX('計算A'!$D$60:$II$104,$B42,49)*ES42=1,IF(AND($E42=2,NZ42=0),1000000,INDEX('計算A'!AZ$110:AZ$114,$F42+1)+IF(AND($E42=1,NZ42=0),1000,0)),1000000))</f>
        <v/>
      </c>
      <c r="XH42">
        <f>IF($B42=0,1000000,IF(INDEX('計算A'!$D$60:$II$104,$B42,50)*ET42=1,IF(AND($E42=2,OA42=0),1000000,INDEX('計算A'!BA$110:BA$114,$F42+1)+IF(AND($E42=1,OA42=0),1000,0)),1000000))</f>
        <v/>
      </c>
      <c r="XI42">
        <f>IF($B42=0,1000000,IF(INDEX('計算A'!$D$60:$II$104,$B42,51)*EU42=1,IF(AND($E42=2,OB42=0),1000000,INDEX('計算A'!BB$110:BB$114,$F42+1)+IF(AND($E42=1,OB42=0),1000,0)),1000000))</f>
        <v/>
      </c>
      <c r="XJ42">
        <f>IF($B42=0,1000000,IF(INDEX('計算A'!$D$60:$II$104,$B42,52)*EV42=1,IF(AND($E42=2,OC42=0),1000000,INDEX('計算A'!BC$110:BC$114,$F42+1)+IF(AND($E42=1,OC42=0),1000,0)),1000000))</f>
        <v/>
      </c>
      <c r="XK42">
        <f>IF($B42=0,1000000,IF(INDEX('計算A'!$D$60:$II$104,$B42,53)*EW42=1,IF(AND($E42=2,OD42=0),1000000,INDEX('計算A'!BD$110:BD$114,$F42+1)+IF(AND($E42=1,OD42=0),1000,0)),1000000))</f>
        <v/>
      </c>
      <c r="XL42">
        <f>IF($B42=0,1000000,IF(INDEX('計算A'!$D$60:$II$104,$B42,54)*EX42=1,IF(AND($E42=2,OE42=0),1000000,INDEX('計算A'!BE$110:BE$114,$F42+1)+IF(AND($E42=1,OE42=0),1000,0)),1000000))</f>
        <v/>
      </c>
      <c r="XM42">
        <f>IF($B42=0,1000000,IF(INDEX('計算A'!$D$60:$II$104,$B42,55)*EY42=1,IF(AND($E42=2,OF42=0),1000000,INDEX('計算A'!BF$110:BF$114,$F42+1)+IF(AND($E42=1,OF42=0),1000,0)),1000000))</f>
        <v/>
      </c>
      <c r="XN42">
        <f>IF($B42=0,1000000,IF(INDEX('計算A'!$D$60:$II$104,$B42,56)*EZ42=1,IF(AND($E42=2,OG42=0),1000000,INDEX('計算A'!BG$110:BG$114,$F42+1)+IF(AND($E42=1,OG42=0),1000,0)),1000000))</f>
        <v/>
      </c>
      <c r="XO42">
        <f>IF($B42=0,1000000,IF(INDEX('計算A'!$D$60:$II$104,$B42,57)*FA42=1,IF(AND($E42=2,OH42=0),1000000,INDEX('計算A'!BH$110:BH$114,$F42+1)+IF(AND($E42=1,OH42=0),1000,0)),1000000))</f>
        <v/>
      </c>
      <c r="XP42">
        <f>IF($B42=0,1000000,IF(INDEX('計算A'!$D$60:$II$104,$B42,58)*FB42=1,IF(AND($E42=2,OI42=0),1000000,INDEX('計算A'!BI$110:BI$114,$F42+1)+IF(AND($E42=1,OI42=0),1000,0)),1000000))</f>
        <v/>
      </c>
      <c r="XQ42">
        <f>IF($B42=0,1000000,IF(INDEX('計算A'!$D$60:$II$104,$B42,59)*FC42=1,IF(AND($E42=2,OJ42=0),1000000,INDEX('計算A'!BJ$110:BJ$114,$F42+1)+IF(AND($E42=1,OJ42=0),1000,0)),1000000))</f>
        <v/>
      </c>
      <c r="XR42">
        <f>IF($B42=0,1000000,IF(INDEX('計算A'!$D$60:$II$104,$B42,60)*FD42=1,IF(AND($E42=2,OK42=0),1000000,INDEX('計算A'!BK$110:BK$114,$F42+1)+IF(AND($E42=1,OK42=0),1000,0)),1000000))</f>
        <v/>
      </c>
      <c r="XS42">
        <f>IF($B42=0,1000000,IF(INDEX('計算A'!$D$60:$II$104,$B42,61)*FE42=1,IF(AND($E42=2,OL42=0),1000000,INDEX('計算A'!BL$110:BL$114,$F42+1)+IF(AND($E42=1,OL42=0),1000,0)),1000000))</f>
        <v/>
      </c>
      <c r="XT42">
        <f>IF($B42=0,1000000,IF(INDEX('計算A'!$D$60:$II$104,$B42,62)*FF42=1,IF(AND($E42=2,OM42=0),1000000,INDEX('計算A'!BM$110:BM$114,$F42+1)+IF(AND($E42=1,OM42=0),1000,0)),1000000))</f>
        <v/>
      </c>
      <c r="XU42">
        <f>IF($B42=0,1000000,IF(INDEX('計算A'!$D$60:$II$104,$B42,63)*FG42=1,IF(AND($E42=2,ON42=0),1000000,INDEX('計算A'!BN$110:BN$114,$F42+1)+IF(AND($E42=1,ON42=0),1000,0)),1000000))</f>
        <v/>
      </c>
      <c r="XV42">
        <f>IF($B42=0,1000000,IF(INDEX('計算A'!$D$60:$II$104,$B42,64)*FH42=1,IF(AND($E42=2,OO42=0),1000000,INDEX('計算A'!BO$110:BO$114,$F42+1)+IF(AND($E42=1,OO42=0),1000,0)),1000000))</f>
        <v/>
      </c>
      <c r="XW42">
        <f>IF($B42=0,1000000,IF(INDEX('計算A'!$D$60:$II$104,$B42,65)*FI42=1,IF(AND($E42=2,OP42=0),1000000,INDEX('計算A'!BP$110:BP$114,$F42+1)+IF(AND($E42=1,OP42=0),1000,0)),1000000))</f>
        <v/>
      </c>
      <c r="XX42">
        <f>IF($B42=0,1000000,IF(INDEX('計算A'!$D$60:$II$104,$B42,66)*FJ42=1,IF(AND($E42=2,OQ42=0),1000000,INDEX('計算A'!BQ$110:BQ$114,$F42+1)+IF(AND($E42=1,OQ42=0),1000,0)),1000000))</f>
        <v/>
      </c>
      <c r="XY42">
        <f>IF($B42=0,1000000,IF(INDEX('計算A'!$D$60:$II$104,$B42,67)*FK42=1,IF(AND($E42=2,OR42=0),1000000,INDEX('計算A'!BR$110:BR$114,$F42+1)+IF(AND($E42=1,OR42=0),1000,0)),1000000))</f>
        <v/>
      </c>
      <c r="XZ42">
        <f>IF($B42=0,1000000,IF(INDEX('計算A'!$D$60:$II$104,$B42,68)*FL42=1,IF(AND($E42=2,OS42=0),1000000,INDEX('計算A'!BS$110:BS$114,$F42+1)+IF(AND($E42=1,OS42=0),1000,0)),1000000))</f>
        <v/>
      </c>
      <c r="YA42">
        <f>IF($B42=0,1000000,IF(INDEX('計算A'!$D$60:$II$104,$B42,69)*FM42=1,IF(AND($E42=2,OT42=0),1000000,INDEX('計算A'!BT$110:BT$114,$F42+1)+IF(AND($E42=1,OT42=0),1000,0)),1000000))</f>
        <v/>
      </c>
      <c r="YB42">
        <f>IF($B42=0,1000000,IF(INDEX('計算A'!$D$60:$II$104,$B42,70)*FN42=1,IF(AND($E42=2,OU42=0),1000000,INDEX('計算A'!BU$110:BU$114,$F42+1)+IF(AND($E42=1,OU42=0),1000,0)),1000000))</f>
        <v/>
      </c>
      <c r="YC42">
        <f>IF($B42=0,1000000,IF(INDEX('計算A'!$D$60:$II$104,$B42,71)*FO42=1,IF(AND($E42=2,OV42=0),1000000,INDEX('計算A'!BV$110:BV$114,$F42+1)+IF(AND($E42=1,OV42=0),1000,0)),1000000))</f>
        <v/>
      </c>
      <c r="YD42">
        <f>IF($B42=0,1000000,IF(INDEX('計算A'!$D$60:$II$104,$B42,72)*FP42=1,IF(AND($E42=2,OW42=0),1000000,INDEX('計算A'!BW$110:BW$114,$F42+1)+IF(AND($E42=1,OW42=0),1000,0)),1000000))</f>
        <v/>
      </c>
      <c r="YE42">
        <f>IF($B42=0,1000000,IF(INDEX('計算A'!$D$60:$II$104,$B42,73)*FQ42=1,IF(AND($E42=2,OX42=0),1000000,INDEX('計算A'!BX$110:BX$114,$F42+1)+IF(AND($E42=1,OX42=0),1000,0)),1000000))</f>
        <v/>
      </c>
      <c r="YF42">
        <f>IF($B42=0,1000000,IF(INDEX('計算A'!$D$60:$II$104,$B42,74)*FR42=1,IF(AND($E42=2,OY42=0),1000000,INDEX('計算A'!BY$110:BY$114,$F42+1)+IF(AND($E42=1,OY42=0),1000,0)),1000000))</f>
        <v/>
      </c>
      <c r="YG42">
        <f>IF($B42=0,1000000,IF(INDEX('計算A'!$D$60:$II$104,$B42,75)*FS42=1,IF(AND($E42=2,OZ42=0),1000000,INDEX('計算A'!BZ$110:BZ$114,$F42+1)+IF(AND($E42=1,OZ42=0),1000,0)),1000000))</f>
        <v/>
      </c>
      <c r="YH42">
        <f>IF($B42=0,1000000,IF(INDEX('計算A'!$D$60:$II$104,$B42,76)*FT42=1,IF(AND($E42=2,PA42=0),1000000,INDEX('計算A'!CA$110:CA$114,$F42+1)+IF(AND($E42=1,PA42=0),1000,0)),1000000))</f>
        <v/>
      </c>
      <c r="YI42">
        <f>IF($B42=0,1000000,IF(INDEX('計算A'!$D$60:$II$104,$B42,77)*FU42=1,IF(AND($E42=2,PB42=0),1000000,INDEX('計算A'!CB$110:CB$114,$F42+1)+IF(AND($E42=1,PB42=0),1000,0)),1000000))</f>
        <v/>
      </c>
      <c r="YJ42">
        <f>IF($B42=0,1000000,IF(INDEX('計算A'!$D$60:$II$104,$B42,78)*FV42=1,IF(AND($E42=2,PC42=0),1000000,INDEX('計算A'!CC$110:CC$114,$F42+1)+IF(AND($E42=1,PC42=0),1000,0)),1000000))</f>
        <v/>
      </c>
      <c r="YK42">
        <f>IF($B42=0,1000000,IF(INDEX('計算A'!$D$60:$II$104,$B42,79)*FW42=1,IF(AND($E42=2,PD42=0),1000000,INDEX('計算A'!CD$110:CD$114,$F42+1)+IF(AND($E42=1,PD42=0),1000,0)),1000000))</f>
        <v/>
      </c>
      <c r="YL42">
        <f>IF($B42=0,1000000,IF(INDEX('計算A'!$D$60:$II$104,$B42,80)*FX42=1,IF(AND($E42=2,PE42=0),1000000,INDEX('計算A'!CE$110:CE$114,$F42+1)+IF(AND($E42=1,PE42=0),1000,0)),1000000))</f>
        <v/>
      </c>
      <c r="YM42">
        <f>IF($B42=0,1000000,IF(INDEX('計算A'!$D$60:$II$104,$B42,81)*FY42=1,IF(AND($E42=2,PF42=0),1000000,INDEX('計算A'!CF$110:CF$114,$F42+1)+IF(AND($E42=1,PF42=0),1000,0)),1000000))</f>
        <v/>
      </c>
      <c r="YN42">
        <f>IF($B42=0,1000000,IF(INDEX('計算A'!$D$60:$II$104,$B42,82)*FZ42=1,IF(AND($E42=2,PG42=0),1000000,INDEX('計算A'!CG$110:CG$114,$F42+1)+IF(AND($E42=1,PG42=0),1000,0)),1000000))</f>
        <v/>
      </c>
      <c r="YO42">
        <f>IF($B42=0,1000000,IF(INDEX('計算A'!$D$60:$II$104,$B42,83)*GA42=1,IF(AND($E42=2,PH42=0),1000000,INDEX('計算A'!CH$110:CH$114,$F42+1)+IF(AND($E42=1,PH42=0),1000,0)),1000000))</f>
        <v/>
      </c>
      <c r="YP42">
        <f>IF($B42=0,1000000,IF(INDEX('計算A'!$D$60:$II$104,$B42,84)*GB42=1,IF(AND($E42=2,PI42=0),1000000,INDEX('計算A'!CI$110:CI$114,$F42+1)+IF(AND($E42=1,PI42=0),1000,0)),1000000))</f>
        <v/>
      </c>
      <c r="YQ42">
        <f>IF($B42=0,1000000,IF(INDEX('計算A'!$D$60:$II$104,$B42,85)*GC42=1,IF(AND($E42=2,PJ42=0),1000000,INDEX('計算A'!CJ$110:CJ$114,$F42+1)+IF(AND($E42=1,PJ42=0),1000,0)),1000000))</f>
        <v/>
      </c>
      <c r="YR42">
        <f>IF($B42=0,1000000,IF(INDEX('計算A'!$D$60:$II$104,$B42,86)*GD42=1,IF(AND($E42=2,PK42=0),1000000,INDEX('計算A'!CK$110:CK$114,$F42+1)+IF(AND($E42=1,PK42=0),1000,0)),1000000))</f>
        <v/>
      </c>
      <c r="YS42">
        <f>IF($B42=0,1000000,IF(INDEX('計算A'!$D$60:$II$104,$B42,87)*GE42=1,IF(AND($E42=2,PL42=0),1000000,INDEX('計算A'!CL$110:CL$114,$F42+1)+IF(AND($E42=1,PL42=0),1000,0)),1000000))</f>
        <v/>
      </c>
      <c r="YT42">
        <f>IF($B42=0,1000000,IF(INDEX('計算A'!$D$60:$II$104,$B42,88)*GF42=1,IF(AND($E42=2,PM42=0),1000000,INDEX('計算A'!CM$110:CM$114,$F42+1)+IF(AND($E42=1,PM42=0),1000,0)),1000000))</f>
        <v/>
      </c>
      <c r="YU42">
        <f>IF($B42=0,1000000,IF(INDEX('計算A'!$D$60:$II$104,$B42,89)*GG42=1,IF(AND($E42=2,PN42=0),1000000,INDEX('計算A'!CN$110:CN$114,$F42+1)+IF(AND($E42=1,PN42=0),1000,0)),1000000))</f>
        <v/>
      </c>
      <c r="YV42">
        <f>IF($B42=0,1000000,IF(INDEX('計算A'!$D$60:$II$104,$B42,90)*GH42=1,IF(AND($E42=2,PO42=0),1000000,INDEX('計算A'!CO$110:CO$114,$F42+1)+IF(AND($E42=1,PO42=0),1000,0)),1000000))</f>
        <v/>
      </c>
      <c r="YW42">
        <f>IF($B42=0,1000000,IF(INDEX('計算A'!$D$60:$II$104,$B42,91)*GI42=1,IF(AND($E42=2,PP42=0),1000000,INDEX('計算A'!CP$110:CP$114,$F42+1)+IF(AND($E42=1,PP42=0),1000,0)),1000000))</f>
        <v/>
      </c>
      <c r="YX42">
        <f>IF($B42=0,1000000,IF(INDEX('計算A'!$D$60:$II$104,$B42,92)*GJ42=1,IF(AND($E42=2,PQ42=0),1000000,INDEX('計算A'!CQ$110:CQ$114,$F42+1)+IF(AND($E42=1,PQ42=0),1000,0)),1000000))</f>
        <v/>
      </c>
      <c r="YY42">
        <f>IF($B42=0,1000000,IF(INDEX('計算A'!$D$60:$II$104,$B42,93)*GK42=1,IF(AND($E42=2,PR42=0),1000000,INDEX('計算A'!CR$110:CR$114,$F42+1)+IF(AND($E42=1,PR42=0),1000,0)),1000000))</f>
        <v/>
      </c>
      <c r="YZ42">
        <f>IF($B42=0,1000000,IF(INDEX('計算A'!$D$60:$II$104,$B42,94)*GL42=1,IF(AND($E42=2,PS42=0),1000000,INDEX('計算A'!CS$110:CS$114,$F42+1)+IF(AND($E42=1,PS42=0),1000,0)),1000000))</f>
        <v/>
      </c>
      <c r="ZA42">
        <f>IF($B42=0,1000000,IF(INDEX('計算A'!$D$60:$II$104,$B42,95)*GM42=1,IF(AND($E42=2,PT42=0),1000000,INDEX('計算A'!CT$110:CT$114,$F42+1)+IF(AND($E42=1,PT42=0),1000,0)),1000000))</f>
        <v/>
      </c>
      <c r="ZB42">
        <f>IF($B42=0,1000000,IF(INDEX('計算A'!$D$60:$II$104,$B42,96)*GN42=1,IF(AND($E42=2,PU42=0),1000000,INDEX('計算A'!CU$110:CU$114,$F42+1)+IF(AND($E42=1,PU42=0),1000,0)),1000000))</f>
        <v/>
      </c>
      <c r="ZC42">
        <f>IF($B42=0,1000000,IF(INDEX('計算A'!$D$60:$II$104,$B42,97)*GO42=1,IF(AND($E42=2,PV42=0),1000000,INDEX('計算A'!CV$110:CV$114,$F42+1)+IF(AND($E42=1,PV42=0),1000,0)),1000000))</f>
        <v/>
      </c>
      <c r="ZD42">
        <f>IF($B42=0,1000000,IF(INDEX('計算A'!$D$60:$II$104,$B42,98)*GP42=1,IF(AND($E42=2,PW42=0),1000000,INDEX('計算A'!CW$110:CW$114,$F42+1)+IF(AND($E42=1,PW42=0),1000,0)),1000000))</f>
        <v/>
      </c>
      <c r="ZE42">
        <f>IF($B42=0,1000000,IF(INDEX('計算A'!$D$60:$II$104,$B42,99)*GQ42=1,IF(AND($E42=2,PX42=0),1000000,INDEX('計算A'!CX$110:CX$114,$F42+1)+IF(AND($E42=1,PX42=0),1000,0)),1000000))</f>
        <v/>
      </c>
      <c r="ZF42">
        <f>IF($B42=0,1000000,IF(INDEX('計算A'!$D$60:$II$104,$B42,100)*GR42=1,IF(AND($E42=2,PY42=0),1000000,INDEX('計算A'!CY$110:CY$114,$F42+1)+IF(AND($E42=1,PY42=0),1000,0)),1000000))</f>
        <v/>
      </c>
      <c r="ZG42">
        <f>IF($B42=0,1000000,IF(INDEX('計算A'!$D$60:$II$104,$B42,101)*GS42=1,IF(AND($E42=2,PZ42=0),1000000,INDEX('計算A'!CZ$110:CZ$114,$F42+1)+IF(AND($E42=1,PZ42=0),1000,0)),1000000))</f>
        <v/>
      </c>
      <c r="ZH42">
        <f>IF($B42=0,1000000,IF(INDEX('計算A'!$D$60:$II$104,$B42,102)*GT42=1,IF(AND($E42=2,QA42=0),1000000,INDEX('計算A'!DA$110:DA$114,$F42+1)+IF(AND($E42=1,QA42=0),1000,0)),1000000))</f>
        <v/>
      </c>
      <c r="ZI42">
        <f>IF($B42=0,1000000,IF(INDEX('計算A'!$D$60:$II$104,$B42,103)*GU42=1,IF(AND($E42=2,QB42=0),1000000,INDEX('計算A'!DB$110:DB$114,$F42+1)+IF(AND($E42=1,QB42=0),1000,0)),1000000))</f>
        <v/>
      </c>
      <c r="ZJ42">
        <f>IF($B42=0,1000000,IF(INDEX('計算A'!$D$60:$II$104,$B42,104)*GV42=1,IF(AND($E42=2,QC42=0),1000000,INDEX('計算A'!DC$110:DC$114,$F42+1)+IF(AND($E42=1,QC42=0),1000,0)),1000000))</f>
        <v/>
      </c>
      <c r="ZK42">
        <f>IF($B42=0,1000000,IF(INDEX('計算A'!$D$60:$II$104,$B42,105)*GW42=1,IF(AND($E42=2,QD42=0),1000000,INDEX('計算A'!DD$110:DD$114,$F42+1)+IF(AND($E42=1,QD42=0),1000,0)),1000000))</f>
        <v/>
      </c>
      <c r="ZL42">
        <f>IF($B42=0,1000000,IF(INDEX('計算A'!$D$60:$II$104,$B42,106)*GX42=1,IF(AND($E42=2,QE42=0),1000000,INDEX('計算A'!DE$110:DE$114,$F42+1)+IF(AND($E42=1,QE42=0),1000,0)),1000000))</f>
        <v/>
      </c>
      <c r="ZM42">
        <f>IF($B42=0,1000000,IF(INDEX('計算A'!$D$60:$II$104,$B42,107)*GY42=1,IF(AND($E42=2,QF42=0),1000000,INDEX('計算A'!DF$110:DF$114,$F42+1)+IF(AND($E42=1,QF42=0),1000,0)),1000000))</f>
        <v/>
      </c>
      <c r="ZN42">
        <f>IF($B42=0,1000000,IF(INDEX('計算A'!$D$60:$II$104,$B42,108)*GZ42=1,IF(AND($E42=2,QG42=0),1000000,INDEX('計算A'!DG$110:DG$114,$F42+1)+IF(AND($E42=1,QG42=0),1000,0)),1000000))</f>
        <v/>
      </c>
      <c r="ZO42">
        <f>IF($B42=0,1000000,IF(INDEX('計算A'!$D$60:$II$104,$B42,109)*HA42=1,IF(AND($E42=2,QH42=0),1000000,INDEX('計算A'!DH$110:DH$114,$F42+1)+IF(AND($E42=1,QH42=0),1000,0)),1000000))</f>
        <v/>
      </c>
      <c r="ZP42">
        <f>IF($B42=0,1000000,IF(INDEX('計算A'!$D$60:$II$104,$B42,110)*HB42=1,IF(AND($E42=2,QI42=0),1000000,INDEX('計算A'!DI$110:DI$114,$F42+1)+IF(AND($E42=1,QI42=0),1000,0)),1000000))</f>
        <v/>
      </c>
      <c r="ZQ42">
        <f>IF($B42=0,1000000,IF(INDEX('計算A'!$D$60:$II$104,$B42,111)*HC42=1,IF(AND($E42=2,QJ42=0),1000000,INDEX('計算A'!DJ$110:DJ$114,$F42+1)+IF(AND($E42=1,QJ42=0),1000,0)),1000000))</f>
        <v/>
      </c>
      <c r="ZR42">
        <f>IF($B42=0,1000000,IF(INDEX('計算A'!$D$60:$II$104,$B42,112)*HD42=1,IF(AND($E42=2,QK42=0),1000000,INDEX('計算A'!DK$110:DK$114,$F42+1)+IF(AND($E42=1,QK42=0),1000,0)),1000000))</f>
        <v/>
      </c>
      <c r="ZS42">
        <f>IF($B42=0,1000000,IF(INDEX('計算A'!$D$60:$II$104,$B42,113)*HE42=1,IF(AND($E42=2,QL42=0),1000000,INDEX('計算A'!DL$110:DL$114,$F42+1)+IF(AND($E42=1,QL42=0),1000,0)),1000000))</f>
        <v/>
      </c>
      <c r="ZT42">
        <f>IF($B42=0,1000000,IF(INDEX('計算A'!$D$60:$II$104,$B42,114)*HF42=1,IF(AND($E42=2,QM42=0),1000000,INDEX('計算A'!DM$110:DM$114,$F42+1)+IF(AND($E42=1,QM42=0),1000,0)),1000000))</f>
        <v/>
      </c>
      <c r="ZU42">
        <f>IF($B42=0,1000000,IF(INDEX('計算A'!$D$60:$II$104,$B42,115)*HG42=1,IF(AND($E42=2,QN42=0),1000000,INDEX('計算A'!DN$110:DN$114,$F42+1)+IF(AND($E42=1,QN42=0),1000,0)),1000000))</f>
        <v/>
      </c>
      <c r="ZV42">
        <f>IF($B42=0,1000000,IF(INDEX('計算A'!$D$60:$II$104,$B42,116)*HH42=1,IF(AND($E42=2,QO42=0),1000000,INDEX('計算A'!DO$110:DO$114,$F42+1)+IF(AND($E42=1,QO42=0),1000,0)),1000000))</f>
        <v/>
      </c>
      <c r="ZW42">
        <f>IF($B42=0,1000000,IF(INDEX('計算A'!$D$60:$II$104,$B42,117)*HI42=1,IF(AND($E42=2,QP42=0),1000000,INDEX('計算A'!DP$110:DP$114,$F42+1)+IF(AND($E42=1,QP42=0),1000,0)),1000000))</f>
        <v/>
      </c>
      <c r="ZX42">
        <f>IF($B42=0,1000000,IF(INDEX('計算A'!$D$60:$II$104,$B42,118)*HJ42=1,IF(AND($E42=2,QQ42=0),1000000,INDEX('計算A'!DQ$110:DQ$114,$F42+1)+IF(AND($E42=1,QQ42=0),1000,0)),1000000))</f>
        <v/>
      </c>
      <c r="ZY42">
        <f>IF($B42=0,1000000,IF(INDEX('計算A'!$D$60:$II$104,$B42,119)*HK42=1,IF(AND($E42=2,QR42=0),1000000,INDEX('計算A'!DR$110:DR$114,$F42+1)+IF(AND($E42=1,QR42=0),1000,0)),1000000))</f>
        <v/>
      </c>
      <c r="ZZ42">
        <f>IF($B42=0,1000000,IF(INDEX('計算A'!$D$60:$II$104,$B42,120)*HL42=1,IF(AND($E42=2,QS42=0),1000000,INDEX('計算A'!DS$110:DS$114,$F42+1)+IF(AND($E42=1,QS42=0),1000,0)),1000000))</f>
        <v/>
      </c>
      <c r="AAA42">
        <f>IF($B42=0,1000000,IF(INDEX('計算A'!$D$60:$II$104,$B42,121)*HM42=1,IF(AND($E42=2,QT42=0),1000000,INDEX('計算A'!DT$110:DT$114,$F42+1)+IF(AND($E42=1,QT42=0),1000,0)),1000000))</f>
        <v/>
      </c>
      <c r="AAB42">
        <f>IF($B42=0,1000000,IF(INDEX('計算A'!$D$60:$II$104,$B42,122)*HN42=1,IF(AND($E42=2,QU42=0),1000000,INDEX('計算A'!DU$110:DU$114,$F42+1)+IF(AND($E42=1,QU42=0),1000,0)),1000000))</f>
        <v/>
      </c>
      <c r="AAC42">
        <f>IF($B42=0,1000000,IF(INDEX('計算A'!$D$60:$II$104,$B42,123)*HO42=1,IF(AND($E42=2,QV42=0),1000000,INDEX('計算A'!DV$110:DV$114,$F42+1)+IF(AND($E42=1,QV42=0),1000,0)),1000000))</f>
        <v/>
      </c>
      <c r="AAD42">
        <f>IF($B42=0,1000000,IF(INDEX('計算A'!$D$60:$II$104,$B42,124)*HP42=1,IF(AND($E42=2,QW42=0),1000000,INDEX('計算A'!DW$110:DW$114,$F42+1)+IF(AND($E42=1,QW42=0),1000,0)),1000000))</f>
        <v/>
      </c>
      <c r="AAE42">
        <f>IF($B42=0,1000000,IF(INDEX('計算A'!$D$60:$II$104,$B42,125)*HQ42=1,IF(AND($E42=2,QX42=0),1000000,INDEX('計算A'!DX$110:DX$114,$F42+1)+IF(AND($E42=1,QX42=0),1000,0)),1000000))</f>
        <v/>
      </c>
      <c r="AAF42">
        <f>IF($B42=0,1000000,IF(INDEX('計算A'!$D$60:$II$104,$B42,126)*HR42=1,IF(AND($E42=2,QY42=0),1000000,INDEX('計算A'!DY$110:DY$114,$F42+1)+IF(AND($E42=1,QY42=0),1000,0)),1000000))</f>
        <v/>
      </c>
      <c r="AAG42">
        <f>IF($B42=0,1000000,IF(INDEX('計算A'!$D$60:$II$104,$B42,127)*HS42=1,IF(AND($E42=2,QZ42=0),1000000,INDEX('計算A'!DZ$110:DZ$114,$F42+1)+IF(AND($E42=1,QZ42=0),1000,0)),1000000))</f>
        <v/>
      </c>
      <c r="AAH42">
        <f>IF($B42=0,1000000,IF(INDEX('計算A'!$D$60:$II$104,$B42,128)*HT42=1,IF(AND($E42=2,RA42=0),1000000,INDEX('計算A'!EA$110:EA$114,$F42+1)+IF(AND($E42=1,RA42=0),1000,0)),1000000))</f>
        <v/>
      </c>
      <c r="AAI42">
        <f>IF($B42=0,1000000,IF(INDEX('計算A'!$D$60:$II$104,$B42,129)*HU42=1,IF(AND($E42=2,RB42=0),1000000,INDEX('計算A'!EB$110:EB$114,$F42+1)+IF(AND($E42=1,RB42=0),1000,0)),1000000))</f>
        <v/>
      </c>
      <c r="AAJ42">
        <f>IF($B42=0,1000000,IF(INDEX('計算A'!$D$60:$II$104,$B42,130)*HV42=1,IF(AND($E42=2,RC42=0),1000000,INDEX('計算A'!EC$110:EC$114,$F42+1)+IF(AND($E42=1,RC42=0),1000,0)),1000000))</f>
        <v/>
      </c>
      <c r="AAK42">
        <f>IF($B42=0,1000000,IF(INDEX('計算A'!$D$60:$II$104,$B42,131)*HW42=1,IF(AND($E42=2,RD42=0),1000000,INDEX('計算A'!ED$110:ED$114,$F42+1)+IF(AND($E42=1,RD42=0),1000,0)),1000000))</f>
        <v/>
      </c>
      <c r="AAL42">
        <f>IF($B42=0,1000000,IF(INDEX('計算A'!$D$60:$II$104,$B42,132)*HX42=1,IF(AND($E42=2,RE42=0),1000000,INDEX('計算A'!EE$110:EE$114,$F42+1)+IF(AND($E42=1,RE42=0),1000,0)),1000000))</f>
        <v/>
      </c>
      <c r="AAM42">
        <f>IF($B42=0,1000000,IF(INDEX('計算A'!$D$60:$II$104,$B42,133)*HY42=1,IF(AND($E42=2,RF42=0),1000000,INDEX('計算A'!EF$110:EF$114,$F42+1)+IF(AND($E42=1,RF42=0),1000,0)),1000000))</f>
        <v/>
      </c>
      <c r="AAN42">
        <f>IF($B42=0,1000000,IF(INDEX('計算A'!$D$60:$II$104,$B42,134)*HZ42=1,IF(AND($E42=2,RG42=0),1000000,INDEX('計算A'!EG$110:EG$114,$F42+1)+IF(AND($E42=1,RG42=0),1000,0)),1000000))</f>
        <v/>
      </c>
      <c r="AAO42">
        <f>IF($B42=0,1000000,IF(INDEX('計算A'!$D$60:$II$104,$B42,135)*IA42=1,IF(AND($E42=2,RH42=0),1000000,INDEX('計算A'!EH$110:EH$114,$F42+1)+IF(AND($E42=1,RH42=0),1000,0)),1000000))</f>
        <v/>
      </c>
      <c r="AAP42">
        <f>IF($B42=0,1000000,IF(INDEX('計算A'!$D$60:$II$104,$B42,136)*IB42=1,IF(AND($E42=2,RI42=0),1000000,INDEX('計算A'!EI$110:EI$114,$F42+1)+IF(AND($E42=1,RI42=0),1000,0)),1000000))</f>
        <v/>
      </c>
      <c r="AAQ42">
        <f>IF($B42=0,1000000,IF(INDEX('計算A'!$D$60:$II$104,$B42,137)*IC42=1,IF(AND($E42=2,RJ42=0),1000000,INDEX('計算A'!EJ$110:EJ$114,$F42+1)+IF(AND($E42=1,RJ42=0),1000,0)),1000000))</f>
        <v/>
      </c>
      <c r="AAR42">
        <f>IF($B42=0,1000000,IF(INDEX('計算A'!$D$60:$II$104,$B42,138)*ID42=1,IF(AND($E42=2,RK42=0),1000000,INDEX('計算A'!EK$110:EK$114,$F42+1)+IF(AND($E42=1,RK42=0),1000,0)),1000000))</f>
        <v/>
      </c>
      <c r="AAS42">
        <f>IF($B42=0,1000000,IF(INDEX('計算A'!$D$60:$II$104,$B42,139)*IE42=1,IF(AND($E42=2,RL42=0),1000000,INDEX('計算A'!EL$110:EL$114,$F42+1)+IF(AND($E42=1,RL42=0),1000,0)),1000000))</f>
        <v/>
      </c>
      <c r="AAT42">
        <f>IF($B42=0,1000000,IF(INDEX('計算A'!$D$60:$II$104,$B42,140)*IF42=1,IF(AND($E42=2,RM42=0),1000000,INDEX('計算A'!EM$110:EM$114,$F42+1)+IF(AND($E42=1,RM42=0),1000,0)),1000000))</f>
        <v/>
      </c>
      <c r="AAU42">
        <f>IF($B42=0,1000000,IF(INDEX('計算A'!$D$60:$II$104,$B42,141)*IG42=1,IF(AND($E42=2,RN42=0),1000000,INDEX('計算A'!EN$110:EN$114,$F42+1)+IF(AND($E42=1,RN42=0),1000,0)),1000000))</f>
        <v/>
      </c>
      <c r="AAV42">
        <f>IF($B42=0,1000000,IF(INDEX('計算A'!$D$60:$II$104,$B42,142)*IH42=1,IF(AND($E42=2,RO42=0),1000000,INDEX('計算A'!EO$110:EO$114,$F42+1)+IF(AND($E42=1,RO42=0),1000,0)),1000000))</f>
        <v/>
      </c>
      <c r="AAW42">
        <f>IF($B42=0,1000000,IF(INDEX('計算A'!$D$60:$II$104,$B42,143)*II42=1,IF(AND($E42=2,RP42=0),1000000,INDEX('計算A'!EP$110:EP$114,$F42+1)+IF(AND($E42=1,RP42=0),1000,0)),1000000))</f>
        <v/>
      </c>
      <c r="AAX42">
        <f>IF($B42=0,1000000,IF(INDEX('計算A'!$D$60:$II$104,$B42,144)*IJ42=1,IF(AND($E42=2,RQ42=0),1000000,INDEX('計算A'!EQ$110:EQ$114,$F42+1)+IF(AND($E42=1,RQ42=0),1000,0)),1000000))</f>
        <v/>
      </c>
      <c r="AAY42">
        <f>IF($B42=0,1000000,IF(INDEX('計算A'!$D$60:$II$104,$B42,145)*IK42=1,IF(AND($E42=2,RR42=0),1000000,INDEX('計算A'!ER$110:ER$114,$F42+1)+IF(AND($E42=1,RR42=0),1000,0)),1000000))</f>
        <v/>
      </c>
      <c r="AAZ42">
        <f>IF($B42=0,1000000,IF(INDEX('計算A'!$D$60:$II$104,$B42,146)*IL42=1,IF(AND($E42=2,RS42=0),1000000,INDEX('計算A'!ES$110:ES$114,$F42+1)+IF(AND($E42=1,RS42=0),1000,0)),1000000))</f>
        <v/>
      </c>
      <c r="ABA42">
        <f>IF($B42=0,1000000,IF(INDEX('計算A'!$D$60:$II$104,$B42,147)*IM42=1,IF(AND($E42=2,RT42=0),1000000,INDEX('計算A'!ET$110:ET$114,$F42+1)+IF(AND($E42=1,RT42=0),1000,0)),1000000))</f>
        <v/>
      </c>
      <c r="ABB42">
        <f>IF($B42=0,1000000,IF(INDEX('計算A'!$D$60:$II$104,$B42,148)*IN42=1,IF(AND($E42=2,RU42=0),1000000,INDEX('計算A'!EU$110:EU$114,$F42+1)+IF(AND($E42=1,RU42=0),1000,0)),1000000))</f>
        <v/>
      </c>
      <c r="ABC42">
        <f>IF($B42=0,1000000,IF(INDEX('計算A'!$D$60:$II$104,$B42,149)*IO42=1,IF(AND($E42=2,RV42=0),1000000,INDEX('計算A'!EV$110:EV$114,$F42+1)+IF(AND($E42=1,RV42=0),1000,0)),1000000))</f>
        <v/>
      </c>
      <c r="ABD42">
        <f>IF($B42=0,1000000,IF(INDEX('計算A'!$D$60:$II$104,$B42,150)*IP42=1,IF(AND($E42=2,RW42=0),1000000,INDEX('計算A'!EW$110:EW$114,$F42+1)+IF(AND($E42=1,RW42=0),1000,0)),1000000))</f>
        <v/>
      </c>
      <c r="ABE42">
        <f>IF($B42=0,1000000,IF(INDEX('計算A'!$D$60:$II$104,$B42,151)*IQ42=1,IF(AND($E42=2,RX42=0),1000000,INDEX('計算A'!EX$110:EX$114,$F42+1)+IF(AND($E42=1,RX42=0),1000,0)),1000000))</f>
        <v/>
      </c>
      <c r="ABF42">
        <f>IF($B42=0,1000000,IF(INDEX('計算A'!$D$60:$II$104,$B42,152)*IR42=1,IF(AND($E42=2,RY42=0),1000000,INDEX('計算A'!EY$110:EY$114,$F42+1)+IF(AND($E42=1,RY42=0),1000,0)),1000000))</f>
        <v/>
      </c>
      <c r="ABG42">
        <f>IF($B42=0,1000000,IF(INDEX('計算A'!$D$60:$II$104,$B42,153)*IS42=1,IF(AND($E42=2,RZ42=0),1000000,INDEX('計算A'!EZ$110:EZ$114,$F42+1)+IF(AND($E42=1,RZ42=0),1000,0)),1000000))</f>
        <v/>
      </c>
      <c r="ABH42">
        <f>IF($B42=0,1000000,IF(INDEX('計算A'!$D$60:$II$104,$B42,154)*IT42=1,IF(AND($E42=2,SA42=0),1000000,INDEX('計算A'!FA$110:FA$114,$F42+1)+IF(AND($E42=1,SA42=0),1000,0)),1000000))</f>
        <v/>
      </c>
      <c r="ABI42">
        <f>IF($B42=0,1000000,IF(INDEX('計算A'!$D$60:$II$104,$B42,155)*IU42=1,IF(AND($E42=2,SB42=0),1000000,INDEX('計算A'!FB$110:FB$114,$F42+1)+IF(AND($E42=1,SB42=0),1000,0)),1000000))</f>
        <v/>
      </c>
      <c r="ABJ42">
        <f>IF($B42=0,1000000,IF(INDEX('計算A'!$D$60:$II$104,$B42,156)*IV42=1,IF(AND($E42=2,SC42=0),1000000,INDEX('計算A'!FC$110:FC$114,$F42+1)+IF(AND($E42=1,SC42=0),1000,0)),1000000))</f>
        <v/>
      </c>
      <c r="ABK42">
        <f>IF($B42=0,1000000,IF(INDEX('計算A'!$D$60:$II$104,$B42,157)*IW42=1,IF(AND($E42=2,SD42=0),1000000,INDEX('計算A'!FD$110:FD$114,$F42+1)+IF(AND($E42=1,SD42=0),1000,0)),1000000))</f>
        <v/>
      </c>
      <c r="ABL42">
        <f>IF($B42=0,1000000,IF(INDEX('計算A'!$D$60:$II$104,$B42,158)*IX42=1,IF(AND($E42=2,SE42=0),1000000,INDEX('計算A'!FE$110:FE$114,$F42+1)+IF(AND($E42=1,SE42=0),1000,0)),1000000))</f>
        <v/>
      </c>
      <c r="ABM42">
        <f>IF($B42=0,1000000,IF(INDEX('計算A'!$D$60:$II$104,$B42,159)*IY42=1,IF(AND($E42=2,SF42=0),1000000,INDEX('計算A'!FF$110:FF$114,$F42+1)+IF(AND($E42=1,SF42=0),1000,0)),1000000))</f>
        <v/>
      </c>
      <c r="ABN42">
        <f>IF($B42=0,1000000,IF(INDEX('計算A'!$D$60:$II$104,$B42,160)*IZ42=1,IF(AND($E42=2,SG42=0),1000000,INDEX('計算A'!FG$110:FG$114,$F42+1)+IF(AND($E42=1,SG42=0),1000,0)),1000000))</f>
        <v/>
      </c>
      <c r="ABO42">
        <f>IF($B42=0,1000000,IF(INDEX('計算A'!$D$60:$II$104,$B42,161)*JA42=1,IF(AND($E42=2,SH42=0),1000000,INDEX('計算A'!FH$110:FH$114,$F42+1)+IF(AND($E42=1,SH42=0),1000,0)),1000000))</f>
        <v/>
      </c>
      <c r="ABP42">
        <f>IF($B42=0,1000000,IF(INDEX('計算A'!$D$60:$II$104,$B42,162)*JB42=1,IF(AND($E42=2,SI42=0),1000000,INDEX('計算A'!FI$110:FI$114,$F42+1)+IF(AND($E42=1,SI42=0),1000,0)),1000000))</f>
        <v/>
      </c>
      <c r="ABQ42">
        <f>IF($B42=0,1000000,IF(INDEX('計算A'!$D$60:$II$104,$B42,163)*JC42=1,IF(AND($E42=2,SJ42=0),1000000,INDEX('計算A'!FJ$110:FJ$114,$F42+1)+IF(AND($E42=1,SJ42=0),1000,0)),1000000))</f>
        <v/>
      </c>
      <c r="ABR42">
        <f>IF($B42=0,1000000,IF(INDEX('計算A'!$D$60:$II$104,$B42,164)*JD42=1,IF(AND($E42=2,SK42=0),1000000,INDEX('計算A'!FK$110:FK$114,$F42+1)+IF(AND($E42=1,SK42=0),1000,0)),1000000))</f>
        <v/>
      </c>
      <c r="ABS42">
        <f>IF($B42=0,1000000,IF(INDEX('計算A'!$D$60:$II$104,$B42,165)*JE42=1,IF(AND($E42=2,SL42=0),1000000,INDEX('計算A'!FL$110:FL$114,$F42+1)+IF(AND($E42=1,SL42=0),1000,0)),1000000))</f>
        <v/>
      </c>
      <c r="ABT42">
        <f>IF($B42=0,1000000,IF(INDEX('計算A'!$D$60:$II$104,$B42,166)*JF42=1,IF(AND($E42=2,SM42=0),1000000,INDEX('計算A'!FM$110:FM$114,$F42+1)+IF(AND($E42=1,SM42=0),1000,0)),1000000))</f>
        <v/>
      </c>
      <c r="ABU42">
        <f>IF($B42=0,1000000,IF(INDEX('計算A'!$D$60:$II$104,$B42,167)*JG42=1,IF(AND($E42=2,SN42=0),1000000,INDEX('計算A'!FN$110:FN$114,$F42+1)+IF(AND($E42=1,SN42=0),1000,0)),1000000))</f>
        <v/>
      </c>
      <c r="ABV42">
        <f>IF($B42=0,1000000,IF(INDEX('計算A'!$D$60:$II$104,$B42,168)*JH42=1,IF(AND($E42=2,SO42=0),1000000,INDEX('計算A'!FO$110:FO$114,$F42+1)+IF(AND($E42=1,SO42=0),1000,0)),1000000))</f>
        <v/>
      </c>
      <c r="ABW42">
        <f>IF($B42=0,1000000,IF(INDEX('計算A'!$D$60:$II$104,$B42,169)*JI42=1,IF(AND($E42=2,SP42=0),1000000,INDEX('計算A'!FP$110:FP$114,$F42+1)+IF(AND($E42=1,SP42=0),1000,0)),1000000))</f>
        <v/>
      </c>
      <c r="ABX42">
        <f>IF($B42=0,1000000,IF(INDEX('計算A'!$D$60:$II$104,$B42,170)*JJ42=1,IF(AND($E42=2,SQ42=0),1000000,INDEX('計算A'!FQ$110:FQ$114,$F42+1)+IF(AND($E42=1,SQ42=0),1000,0)),1000000))</f>
        <v/>
      </c>
      <c r="ABY42">
        <f>IF($B42=0,1000000,IF(INDEX('計算A'!$D$60:$II$104,$B42,171)*JK42=1,IF(AND($E42=2,SR42=0),1000000,INDEX('計算A'!FR$110:FR$114,$F42+1)+IF(AND($E42=1,SR42=0),1000,0)),1000000))</f>
        <v/>
      </c>
      <c r="ABZ42">
        <f>IF($B42=0,1000000,IF(INDEX('計算A'!$D$60:$II$104,$B42,172)*JL42=1,IF(AND($E42=2,SS42=0),1000000,INDEX('計算A'!FS$110:FS$114,$F42+1)+IF(AND($E42=1,SS42=0),1000,0)),1000000))</f>
        <v/>
      </c>
      <c r="ACA42">
        <f>IF($B42=0,1000000,IF(INDEX('計算A'!$D$60:$II$104,$B42,173)*JM42=1,IF(AND($E42=2,ST42=0),1000000,INDEX('計算A'!FT$110:FT$114,$F42+1)+IF(AND($E42=1,ST42=0),1000,0)),1000000))</f>
        <v/>
      </c>
      <c r="ACB42">
        <f>IF($B42=0,1000000,IF(INDEX('計算A'!$D$60:$II$104,$B42,174)*JN42=1,IF(AND($E42=2,SU42=0),1000000,INDEX('計算A'!FU$110:FU$114,$F42+1)+IF(AND($E42=1,SU42=0),1000,0)),1000000))</f>
        <v/>
      </c>
      <c r="ACC42">
        <f>IF($B42=0,1000000,IF(INDEX('計算A'!$D$60:$II$104,$B42,175)*JO42=1,IF(AND($E42=2,SV42=0),1000000,INDEX('計算A'!FV$110:FV$114,$F42+1)+IF(AND($E42=1,SV42=0),1000,0)),1000000))</f>
        <v/>
      </c>
      <c r="ACD42">
        <f>IF($B42=0,1000000,IF(INDEX('計算A'!$D$60:$II$104,$B42,176)*JP42=1,IF(AND($E42=2,SW42=0),1000000,INDEX('計算A'!FW$110:FW$114,$F42+1)+IF(AND($E42=1,SW42=0),1000,0)),1000000))</f>
        <v/>
      </c>
      <c r="ACE42">
        <f>IF($B42=0,1000000,IF(INDEX('計算A'!$D$60:$II$104,$B42,177)*JQ42=1,IF(AND($E42=2,SX42=0),1000000,INDEX('計算A'!FX$110:FX$114,$F42+1)+IF(AND($E42=1,SX42=0),1000,0)),1000000))</f>
        <v/>
      </c>
      <c r="ACF42">
        <f>IF($B42=0,1000000,IF(INDEX('計算A'!$D$60:$II$104,$B42,178)*JR42=1,IF(AND($E42=2,SY42=0),1000000,INDEX('計算A'!FY$110:FY$114,$F42+1)+IF(AND($E42=1,SY42=0),1000,0)),1000000))</f>
        <v/>
      </c>
      <c r="ACG42">
        <f>IF($B42=0,1000000,IF(INDEX('計算A'!$D$60:$II$104,$B42,179)*JS42=1,IF(AND($E42=2,SZ42=0),1000000,INDEX('計算A'!FZ$110:FZ$114,$F42+1)+IF(AND($E42=1,SZ42=0),1000,0)),1000000))</f>
        <v/>
      </c>
      <c r="ACH42">
        <f>IF($B42=0,1000000,IF(INDEX('計算A'!$D$60:$II$104,$B42,180)*JT42=1,IF(AND($E42=2,TA42=0),1000000,INDEX('計算A'!GA$110:GA$114,$F42+1)+IF(AND($E42=1,TA42=0),1000,0)),1000000))</f>
        <v/>
      </c>
      <c r="ACI42">
        <f>IF($B42=0,1000000,IF(INDEX('計算A'!$D$60:$II$104,$B42,181)*JU42=1,IF(AND($E42=2,TB42=0),1000000,INDEX('計算A'!GB$110:GB$114,$F42+1)+IF(AND($E42=1,TB42=0),1000,0)),1000000))</f>
        <v/>
      </c>
      <c r="ACJ42">
        <f>IF($B42=0,1000000,IF(INDEX('計算A'!$D$60:$II$104,$B42,182)*JV42=1,IF(AND($E42=2,TC42=0),1000000,INDEX('計算A'!GC$110:GC$114,$F42+1)+IF(AND($E42=1,TC42=0),1000,0)),1000000))</f>
        <v/>
      </c>
      <c r="ACK42">
        <f>IF($B42=0,1000000,IF(INDEX('計算A'!$D$60:$II$104,$B42,183)*JW42=1,IF(AND($E42=2,TD42=0),1000000,INDEX('計算A'!GD$110:GD$114,$F42+1)+IF(AND($E42=1,TD42=0),1000,0)),1000000))</f>
        <v/>
      </c>
      <c r="ACL42">
        <f>IF($B42=0,1000000,IF(INDEX('計算A'!$D$60:$II$104,$B42,184)*JX42=1,IF(AND($E42=2,TE42=0),1000000,INDEX('計算A'!GE$110:GE$114,$F42+1)+IF(AND($E42=1,TE42=0),1000,0)),1000000))</f>
        <v/>
      </c>
      <c r="ACM42">
        <f>IF($B42=0,1000000,IF(INDEX('計算A'!$D$60:$II$104,$B42,185)*JY42=1,IF(AND($E42=2,TF42=0),1000000,INDEX('計算A'!GF$110:GF$114,$F42+1)+IF(AND($E42=1,TF42=0),1000,0)),1000000))</f>
        <v/>
      </c>
      <c r="ACN42">
        <f>IF($B42=0,1000000,IF(INDEX('計算A'!$D$60:$II$104,$B42,186)*JZ42=1,IF(AND($E42=2,TG42=0),1000000,INDEX('計算A'!GG$110:GG$114,$F42+1)+IF(AND($E42=1,TG42=0),1000,0)),1000000))</f>
        <v/>
      </c>
      <c r="ACO42">
        <f>IF($B42=0,1000000,IF(INDEX('計算A'!$D$60:$II$104,$B42,187)*KA42=1,IF(AND($E42=2,TH42=0),1000000,INDEX('計算A'!GH$110:GH$114,$F42+1)+IF(AND($E42=1,TH42=0),1000,0)),1000000))</f>
        <v/>
      </c>
      <c r="ACP42">
        <f>IF($B42=0,1000000,IF(INDEX('計算A'!$D$60:$II$104,$B42,188)*KB42=1,IF(AND($E42=2,TI42=0),1000000,INDEX('計算A'!GI$110:GI$114,$F42+1)+IF(AND($E42=1,TI42=0),1000,0)),1000000))</f>
        <v/>
      </c>
      <c r="ACQ42">
        <f>IF($B42=0,1000000,IF(INDEX('計算A'!$D$60:$II$104,$B42,189)*KC42=1,IF(AND($E42=2,TJ42=0),1000000,INDEX('計算A'!GJ$110:GJ$114,$F42+1)+IF(AND($E42=1,TJ42=0),1000,0)),1000000))</f>
        <v/>
      </c>
      <c r="ACR42">
        <f>IF($B42=0,1000000,IF(INDEX('計算A'!$D$60:$II$104,$B42,190)*KD42=1,IF(AND($E42=2,TK42=0),1000000,INDEX('計算A'!GK$110:GK$114,$F42+1)+IF(AND($E42=1,TK42=0),1000,0)),1000000))</f>
        <v/>
      </c>
      <c r="ACS42">
        <f>IF($B42=0,1000000,IF(INDEX('計算A'!$D$60:$II$104,$B42,191)*KE42=1,IF(AND($E42=2,TL42=0),1000000,INDEX('計算A'!GL$110:GL$114,$F42+1)+IF(AND($E42=1,TL42=0),1000,0)),1000000))</f>
        <v/>
      </c>
      <c r="ACT42">
        <f>IF($B42=0,1000000,IF(INDEX('計算A'!$D$60:$II$104,$B42,192)*KF42=1,IF(AND($E42=2,TM42=0),1000000,INDEX('計算A'!GM$110:GM$114,$F42+1)+IF(AND($E42=1,TM42=0),1000,0)),1000000))</f>
        <v/>
      </c>
      <c r="ACU42">
        <f>IF($B42=0,1000000,IF(INDEX('計算A'!$D$60:$II$104,$B42,193)*KG42=1,IF(AND($E42=2,TN42=0),1000000,INDEX('計算A'!GN$110:GN$114,$F42+1)+IF(AND($E42=1,TN42=0),1000,0)),1000000))</f>
        <v/>
      </c>
      <c r="ACV42">
        <f>IF($B42=0,1000000,IF(INDEX('計算A'!$D$60:$II$104,$B42,194)*KH42=1,IF(AND($E42=2,TO42=0),1000000,INDEX('計算A'!GO$110:GO$114,$F42+1)+IF(AND($E42=1,TO42=0),1000,0)),1000000))</f>
        <v/>
      </c>
      <c r="ACW42">
        <f>IF($B42=0,1000000,IF(INDEX('計算A'!$D$60:$II$104,$B42,195)*KI42=1,IF(AND($E42=2,TP42=0),1000000,INDEX('計算A'!GP$110:GP$114,$F42+1)+IF(AND($E42=1,TP42=0),1000,0)),1000000))</f>
        <v/>
      </c>
      <c r="ACX42">
        <f>IF($B42=0,1000000,IF(INDEX('計算A'!$D$60:$II$104,$B42,196)*KJ42=1,IF(AND($E42=2,TQ42=0),1000000,INDEX('計算A'!GQ$110:GQ$114,$F42+1)+IF(AND($E42=1,TQ42=0),1000,0)),1000000))</f>
        <v/>
      </c>
      <c r="ACY42">
        <f>IF($B42=0,1000000,IF(INDEX('計算A'!$D$60:$II$104,$B42,197)*KK42=1,IF(AND($E42=2,TR42=0),1000000,INDEX('計算A'!GR$110:GR$114,$F42+1)+IF(AND($E42=1,TR42=0),1000,0)),1000000))</f>
        <v/>
      </c>
      <c r="ACZ42">
        <f>IF($B42=0,1000000,IF(INDEX('計算A'!$D$60:$II$104,$B42,198)*KL42=1,IF(AND($E42=2,TS42=0),1000000,INDEX('計算A'!GS$110:GS$114,$F42+1)+IF(AND($E42=1,TS42=0),1000,0)),1000000))</f>
        <v/>
      </c>
      <c r="ADA42">
        <f>IF($B42=0,1000000,IF(INDEX('計算A'!$D$60:$II$104,$B42,199)*KM42=1,IF(AND($E42=2,TT42=0),1000000,INDEX('計算A'!GT$110:GT$114,$F42+1)+IF(AND($E42=1,TT42=0),1000,0)),1000000))</f>
        <v/>
      </c>
      <c r="ADB42">
        <f>IF($B42=0,1000000,IF(INDEX('計算A'!$D$60:$II$104,$B42,200)*KN42=1,IF(AND($E42=2,TU42=0),1000000,INDEX('計算A'!GU$110:GU$114,$F42+1)+IF(AND($E42=1,TU42=0),1000,0)),1000000))</f>
        <v/>
      </c>
      <c r="ADC42">
        <f>IF($B42=0,1000000,IF(INDEX('計算A'!$D$60:$II$104,$B42,201)*KO42=1,IF(AND($E42=2,TV42=0),1000000,INDEX('計算A'!GV$110:GV$114,$F42+1)+IF(AND($E42=1,TV42=0),1000,0)),1000000))</f>
        <v/>
      </c>
      <c r="ADD42">
        <f>IF($B42=0,1000000,IF(INDEX('計算A'!$D$60:$II$104,$B42,202)*KP42=1,IF(AND($E42=2,TW42=0),1000000,INDEX('計算A'!GW$110:GW$114,$F42+1)+IF(AND($E42=1,TW42=0),1000,0)),1000000))</f>
        <v/>
      </c>
      <c r="ADE42">
        <f>IF($B42=0,1000000,IF(INDEX('計算A'!$D$60:$II$104,$B42,203)*KQ42=1,IF(AND($E42=2,TX42=0),1000000,INDEX('計算A'!GX$110:GX$114,$F42+1)+IF(AND($E42=1,TX42=0),1000,0)),1000000))</f>
        <v/>
      </c>
      <c r="ADF42">
        <f>IF($B42=0,1000000,IF(INDEX('計算A'!$D$60:$II$104,$B42,204)*KR42=1,IF(AND($E42=2,TY42=0),1000000,INDEX('計算A'!GY$110:GY$114,$F42+1)+IF(AND($E42=1,TY42=0),1000,0)),1000000))</f>
        <v/>
      </c>
      <c r="ADG42">
        <f>IF($B42=0,1000000,IF(INDEX('計算A'!$D$60:$II$104,$B42,205)*KS42=1,IF(AND($E42=2,TZ42=0),1000000,INDEX('計算A'!GZ$110:GZ$114,$F42+1)+IF(AND($E42=1,TZ42=0),1000,0)),1000000))</f>
        <v/>
      </c>
      <c r="ADH42">
        <f>IF($B42=0,1000000,IF(INDEX('計算A'!$D$60:$II$104,$B42,206)*KT42=1,IF(AND($E42=2,UA42=0),1000000,INDEX('計算A'!HA$110:HA$114,$F42+1)+IF(AND($E42=1,UA42=0),1000,0)),1000000))</f>
        <v/>
      </c>
      <c r="ADI42">
        <f>IF($B42=0,1000000,IF(INDEX('計算A'!$D$60:$II$104,$B42,207)*KU42=1,IF(AND($E42=2,UB42=0),1000000,INDEX('計算A'!HB$110:HB$114,$F42+1)+IF(AND($E42=1,UB42=0),1000,0)),1000000))</f>
        <v/>
      </c>
      <c r="ADJ42">
        <f>IF($B42=0,1000000,IF(INDEX('計算A'!$D$60:$II$104,$B42,208)*KV42=1,IF(AND($E42=2,UC42=0),1000000,INDEX('計算A'!HC$110:HC$114,$F42+1)+IF(AND($E42=1,UC42=0),1000,0)),1000000))</f>
        <v/>
      </c>
      <c r="ADK42">
        <f>IF($B42=0,1000000,IF(INDEX('計算A'!$D$60:$II$104,$B42,209)*KW42=1,IF(AND($E42=2,UD42=0),1000000,INDEX('計算A'!HD$110:HD$114,$F42+1)+IF(AND($E42=1,UD42=0),1000,0)),1000000))</f>
        <v/>
      </c>
      <c r="ADL42">
        <f>IF($B42=0,1000000,IF(INDEX('計算A'!$D$60:$II$104,$B42,210)*KX42=1,IF(AND($E42=2,UE42=0),1000000,INDEX('計算A'!HE$110:HE$114,$F42+1)+IF(AND($E42=1,UE42=0),1000,0)),1000000))</f>
        <v/>
      </c>
      <c r="ADM42">
        <f>IF($B42=0,1000000,IF(INDEX('計算A'!$D$60:$II$104,$B42,211)*KY42=1,IF(AND($E42=2,UF42=0),1000000,INDEX('計算A'!HF$110:HF$114,$F42+1)+IF(AND($E42=1,UF42=0),1000,0)),1000000))</f>
        <v/>
      </c>
      <c r="ADN42">
        <f>IF($B42=0,1000000,IF(INDEX('計算A'!$D$60:$II$104,$B42,212)*KZ42=1,IF(AND($E42=2,UG42=0),1000000,INDEX('計算A'!HG$110:HG$114,$F42+1)+IF(AND($E42=1,UG42=0),1000,0)),1000000))</f>
        <v/>
      </c>
      <c r="ADO42">
        <f>IF($B42=0,1000000,IF(INDEX('計算A'!$D$60:$II$104,$B42,213)*LA42=1,IF(AND($E42=2,UH42=0),1000000,INDEX('計算A'!HH$110:HH$114,$F42+1)+IF(AND($E42=1,UH42=0),1000,0)),1000000))</f>
        <v/>
      </c>
      <c r="ADP42">
        <f>IF($B42=0,1000000,IF(INDEX('計算A'!$D$60:$II$104,$B42,214)*LB42=1,IF(AND($E42=2,UI42=0),1000000,INDEX('計算A'!HI$110:HI$114,$F42+1)+IF(AND($E42=1,UI42=0),1000,0)),1000000))</f>
        <v/>
      </c>
      <c r="ADQ42">
        <f>IF($B42=0,1000000,IF(INDEX('計算A'!$D$60:$II$104,$B42,215)*LC42=1,IF(AND($E42=2,UJ42=0),1000000,INDEX('計算A'!HJ$110:HJ$114,$F42+1)+IF(AND($E42=1,UJ42=0),1000,0)),1000000))</f>
        <v/>
      </c>
      <c r="ADR42">
        <f>IF($B42=0,1000000,IF(INDEX('計算A'!$D$60:$II$104,$B42,216)*LD42=1,IF(AND($E42=2,UK42=0),1000000,INDEX('計算A'!HK$110:HK$114,$F42+1)+IF(AND($E42=1,UK42=0),1000,0)),1000000))</f>
        <v/>
      </c>
      <c r="ADS42">
        <f>IF($B42=0,1000000,IF(INDEX('計算A'!$D$60:$II$104,$B42,217)*LE42=1,IF(AND($E42=2,UL42=0),1000000,INDEX('計算A'!HL$110:HL$114,$F42+1)+IF(AND($E42=1,UL42=0),1000,0)),1000000))</f>
        <v/>
      </c>
      <c r="ADT42">
        <f>IF($B42=0,1000000,IF(INDEX('計算A'!$D$60:$II$104,$B42,218)*LF42=1,IF(AND($E42=2,UM42=0),1000000,INDEX('計算A'!HM$110:HM$114,$F42+1)+IF(AND($E42=1,UM42=0),1000,0)),1000000))</f>
        <v/>
      </c>
      <c r="ADU42">
        <f>IF($B42=0,1000000,IF(INDEX('計算A'!$D$60:$II$104,$B42,219)*LG42=1,IF(AND($E42=2,UN42=0),1000000,INDEX('計算A'!HN$110:HN$114,$F42+1)+IF(AND($E42=1,UN42=0),1000,0)),1000000))</f>
        <v/>
      </c>
      <c r="ADV42">
        <f>IF($B42=0,1000000,IF(INDEX('計算A'!$D$60:$II$104,$B42,220)*LH42=1,IF(AND($E42=2,UO42=0),1000000,INDEX('計算A'!HO$110:HO$114,$F42+1)+IF(AND($E42=1,UO42=0),1000,0)),1000000))</f>
        <v/>
      </c>
      <c r="ADW42">
        <f>IF($B42=0,1000000,IF(INDEX('計算A'!$D$60:$II$104,$B42,221)*LI42=1,IF(AND($E42=2,UP42=0),1000000,INDEX('計算A'!HP$110:HP$114,$F42+1)+IF(AND($E42=1,UP42=0),1000,0)),1000000))</f>
        <v/>
      </c>
      <c r="ADX42">
        <f>IF($B42=0,1000000,IF(INDEX('計算A'!$D$60:$II$104,$B42,222)*LJ42=1,IF(AND($E42=2,UQ42=0),1000000,INDEX('計算A'!HQ$110:HQ$114,$F42+1)+IF(AND($E42=1,UQ42=0),1000,0)),1000000))</f>
        <v/>
      </c>
      <c r="ADY42">
        <f>IF($B42=0,1000000,IF(INDEX('計算A'!$D$60:$II$104,$B42,223)*LK42=1,IF(AND($E42=2,UR42=0),1000000,INDEX('計算A'!HR$110:HR$114,$F42+1)+IF(AND($E42=1,UR42=0),1000,0)),1000000))</f>
        <v/>
      </c>
      <c r="ADZ42">
        <f>IF($B42=0,1000000,IF(INDEX('計算A'!$D$60:$II$104,$B42,224)*LL42=1,IF(AND($E42=2,US42=0),1000000,INDEX('計算A'!HS$110:HS$114,$F42+1)+IF(AND($E42=1,US42=0),1000,0)),1000000))</f>
        <v/>
      </c>
      <c r="AEA42">
        <f>IF($B42=0,1000000,IF(INDEX('計算A'!$D$60:$II$104,$B42,225)*LM42=1,IF(AND($E42=2,UT42=0),1000000,INDEX('計算A'!HT$110:HT$114,$F42+1)+IF(AND($E42=1,UT42=0),1000,0)),1000000))</f>
        <v/>
      </c>
      <c r="AEB42">
        <f>IF($B42=0,1000000,IF(INDEX('計算A'!$D$60:$II$104,$B42,226)*LN42=1,IF(AND($E42=2,UU42=0),1000000,INDEX('計算A'!HU$110:HU$114,$F42+1)+IF(AND($E42=1,UU42=0),1000,0)),1000000))</f>
        <v/>
      </c>
      <c r="AEC42">
        <f>IF($B42=0,1000000,IF(INDEX('計算A'!$D$60:$II$104,$B42,227)*LO42=1,IF(AND($E42=2,UV42=0),1000000,INDEX('計算A'!HV$110:HV$114,$F42+1)+IF(AND($E42=1,UV42=0),1000,0)),1000000))</f>
        <v/>
      </c>
      <c r="AED42">
        <f>IF($B42=0,1000000,IF(INDEX('計算A'!$D$60:$II$104,$B42,228)*LP42=1,IF(AND($E42=2,UW42=0),1000000,INDEX('計算A'!HW$110:HW$114,$F42+1)+IF(AND($E42=1,UW42=0),1000,0)),1000000))</f>
        <v/>
      </c>
      <c r="AEE42">
        <f>IF($B42=0,1000000,IF(INDEX('計算A'!$D$60:$II$104,$B42,229)*LQ42=1,IF(AND($E42=2,UX42=0),1000000,INDEX('計算A'!HX$110:HX$114,$F42+1)+IF(AND($E42=1,UX42=0),1000,0)),1000000))</f>
        <v/>
      </c>
      <c r="AEF42">
        <f>IF($B42=0,1000000,IF(INDEX('計算A'!$D$60:$II$104,$B42,230)*LR42=1,IF(AND($E42=2,UY42=0),1000000,INDEX('計算A'!HY$110:HY$114,$F42+1)+IF(AND($E42=1,UY42=0),1000,0)),1000000))</f>
        <v/>
      </c>
      <c r="AEG42">
        <f>IF($B42=0,1000000,IF(INDEX('計算A'!$D$60:$II$104,$B42,231)*LS42=1,IF(AND($E42=2,UZ42=0),1000000,INDEX('計算A'!HZ$110:HZ$114,$F42+1)+IF(AND($E42=1,UZ42=0),1000,0)),1000000))</f>
        <v/>
      </c>
      <c r="AEH42">
        <f>IF($B42=0,1000000,IF(INDEX('計算A'!$D$60:$II$104,$B42,232)*LT42=1,IF(AND($E42=2,VA42=0),1000000,INDEX('計算A'!IA$110:IA$114,$F42+1)+IF(AND($E42=1,VA42=0),1000,0)),1000000))</f>
        <v/>
      </c>
      <c r="AEI42">
        <f>IF($B42=0,1000000,IF(INDEX('計算A'!$D$60:$II$104,$B42,233)*LU42=1,IF(AND($E42=2,VB42=0),1000000,INDEX('計算A'!IB$110:IB$114,$F42+1)+IF(AND($E42=1,VB42=0),1000,0)),1000000))</f>
        <v/>
      </c>
      <c r="AEJ42">
        <f>IF($B42=0,1000000,IF(INDEX('計算A'!$D$60:$II$104,$B42,234)*LV42=1,IF(AND($E42=2,VC42=0),1000000,INDEX('計算A'!IC$110:IC$114,$F42+1)+IF(AND($E42=1,VC42=0),1000,0)),1000000))</f>
        <v/>
      </c>
      <c r="AEK42">
        <f>IF($B42=0,1000000,IF(INDEX('計算A'!$D$60:$II$104,$B42,235)*LW42=1,IF(AND($E42=2,VD42=0),1000000,INDEX('計算A'!ID$110:ID$114,$F42+1)+IF(AND($E42=1,VD42=0),1000,0)),1000000))</f>
        <v/>
      </c>
      <c r="AEL42">
        <f>IF($B42=0,1000000,IF(INDEX('計算A'!$D$60:$II$104,$B42,236)*LX42=1,IF(AND($E42=2,VE42=0),1000000,INDEX('計算A'!IE$110:IE$114,$F42+1)+IF(AND($E42=1,VE42=0),1000,0)),1000000))</f>
        <v/>
      </c>
      <c r="AEM42">
        <f>IF($B42=0,1000000,IF(INDEX('計算A'!$D$60:$II$104,$B42,237)*LY42=1,IF(AND($E42=2,VF42=0),1000000,INDEX('計算A'!IF$110:IF$114,$F42+1)+IF(AND($E42=1,VF42=0),1000,0)),1000000))</f>
        <v/>
      </c>
      <c r="AEN42">
        <f>IF($B42=0,1000000,IF(INDEX('計算A'!$D$60:$II$104,$B42,238)*LZ42=1,IF(AND($E42=2,VG42=0),1000000,INDEX('計算A'!IG$110:IG$114,$F42+1)+IF(AND($E42=1,VG42=0),1000,0)),1000000))</f>
        <v/>
      </c>
      <c r="AEO42">
        <f>IF($B42=0,1000000,IF(INDEX('計算A'!$D$60:$II$104,$B42,239)*MA42=1,IF(AND($E42=2,VH42=0),1000000,INDEX('計算A'!IH$110:IH$114,$F42+1)+IF(AND($E42=1,VH42=0),1000,0)),1000000))</f>
        <v/>
      </c>
      <c r="AEP42">
        <f>IF($B42=0,1000000,IF(INDEX('計算A'!$D$60:$II$104,$B42,240)*MB42=1,IF(AND($E42=2,VI42=0),1000000,INDEX('計算A'!II$110:II$114,$F42+1)+IF(AND($E42=1,VI42=0),1000,0)),1000000))</f>
        <v/>
      </c>
    </row>
    <row r="43">
      <c r="A43" t="n">
        <v>41</v>
      </c>
      <c r="B43">
        <f>IF(MIN(BC43:CU43)&gt;=1000000,0,MATCH(MIN(BC43:CU43),BC43:CU43,0))</f>
        <v/>
      </c>
      <c r="C43">
        <f>IF(MIN(VK43:AEP43)&gt;=1000000,0,MATCH(MIN(VK43:AEP43),VK43:AEP43,0))</f>
        <v/>
      </c>
      <c r="D43">
        <f>IF(C43&gt;0,INDEX('計算A'!$D$5:$II$5,C43),0)</f>
        <v/>
      </c>
      <c r="E43">
        <f>IF(B43=0,0,INDEX('計算A'!$IQ$10:$IQ$54,B43))</f>
        <v/>
      </c>
      <c r="F43">
        <f>IF(B43=0,0,INDEX('計算A'!$IP$10:$IP$54,B43))</f>
        <v/>
      </c>
      <c r="G43">
        <f>IF(AND(C43&gt;0,E43&gt;0),IF(AND(INDEX('計算A'!$D$106:$II$106,C43)=1,INDEX($MD43:$VI43,C43)=1),C43+1,0),0)</f>
        <v/>
      </c>
      <c r="I43">
        <f>MAX(I42,IF($B42=1,1,0))</f>
        <v/>
      </c>
      <c r="J43">
        <f>MAX(J42,IF($B42=2,1,0))</f>
        <v/>
      </c>
      <c r="K43">
        <f>MAX(K42,IF($B42=3,1,0))</f>
        <v/>
      </c>
      <c r="L43">
        <f>MAX(L42,IF($B42=4,1,0))</f>
        <v/>
      </c>
      <c r="M43">
        <f>MAX(M42,IF($B42=5,1,0))</f>
        <v/>
      </c>
      <c r="N43">
        <f>MAX(N42,IF($B42=6,1,0))</f>
        <v/>
      </c>
      <c r="O43">
        <f>MAX(O42,IF($B42=7,1,0))</f>
        <v/>
      </c>
      <c r="P43">
        <f>MAX(P42,IF($B42=8,1,0))</f>
        <v/>
      </c>
      <c r="Q43">
        <f>MAX(Q42,IF($B42=9,1,0))</f>
        <v/>
      </c>
      <c r="R43">
        <f>MAX(R42,IF($B42=10,1,0))</f>
        <v/>
      </c>
      <c r="S43">
        <f>MAX(S42,IF($B42=11,1,0))</f>
        <v/>
      </c>
      <c r="T43">
        <f>MAX(T42,IF($B42=12,1,0))</f>
        <v/>
      </c>
      <c r="U43">
        <f>MAX(U42,IF($B42=13,1,0))</f>
        <v/>
      </c>
      <c r="V43">
        <f>MAX(V42,IF($B42=14,1,0))</f>
        <v/>
      </c>
      <c r="W43">
        <f>MAX(W42,IF($B42=15,1,0))</f>
        <v/>
      </c>
      <c r="X43">
        <f>MAX(X42,IF($B42=16,1,0))</f>
        <v/>
      </c>
      <c r="Y43">
        <f>MAX(Y42,IF($B42=17,1,0))</f>
        <v/>
      </c>
      <c r="Z43">
        <f>MAX(Z42,IF($B42=18,1,0))</f>
        <v/>
      </c>
      <c r="AA43">
        <f>MAX(AA42,IF($B42=19,1,0))</f>
        <v/>
      </c>
      <c r="AB43">
        <f>MAX(AB42,IF($B42=20,1,0))</f>
        <v/>
      </c>
      <c r="AC43">
        <f>MAX(AC42,IF($B42=21,1,0))</f>
        <v/>
      </c>
      <c r="AD43">
        <f>MAX(AD42,IF($B42=22,1,0))</f>
        <v/>
      </c>
      <c r="AE43">
        <f>MAX(AE42,IF($B42=23,1,0))</f>
        <v/>
      </c>
      <c r="AF43">
        <f>MAX(AF42,IF($B42=24,1,0))</f>
        <v/>
      </c>
      <c r="AG43">
        <f>MAX(AG42,IF($B42=25,1,0))</f>
        <v/>
      </c>
      <c r="AH43">
        <f>MAX(AH42,IF($B42=26,1,0))</f>
        <v/>
      </c>
      <c r="AI43">
        <f>MAX(AI42,IF($B42=27,1,0))</f>
        <v/>
      </c>
      <c r="AJ43">
        <f>MAX(AJ42,IF($B42=28,1,0))</f>
        <v/>
      </c>
      <c r="AK43">
        <f>MAX(AK42,IF($B42=29,1,0))</f>
        <v/>
      </c>
      <c r="AL43">
        <f>MAX(AL42,IF($B42=30,1,0))</f>
        <v/>
      </c>
      <c r="AM43">
        <f>MAX(AM42,IF($B42=31,1,0))</f>
        <v/>
      </c>
      <c r="AN43">
        <f>MAX(AN42,IF($B42=32,1,0))</f>
        <v/>
      </c>
      <c r="AO43">
        <f>MAX(AO42,IF($B42=33,1,0))</f>
        <v/>
      </c>
      <c r="AP43">
        <f>MAX(AP42,IF($B42=34,1,0))</f>
        <v/>
      </c>
      <c r="AQ43">
        <f>MAX(AQ42,IF($B42=35,1,0))</f>
        <v/>
      </c>
      <c r="AR43">
        <f>MAX(AR42,IF($B42=36,1,0))</f>
        <v/>
      </c>
      <c r="AS43">
        <f>MAX(AS42,IF($B42=37,1,0))</f>
        <v/>
      </c>
      <c r="AT43">
        <f>MAX(AT42,IF($B42=38,1,0))</f>
        <v/>
      </c>
      <c r="AU43">
        <f>MAX(AU42,IF($B42=39,1,0))</f>
        <v/>
      </c>
      <c r="AV43">
        <f>MAX(AV42,IF($B42=40,1,0))</f>
        <v/>
      </c>
      <c r="AW43">
        <f>MAX(AW42,IF($B42=41,1,0))</f>
        <v/>
      </c>
      <c r="AX43">
        <f>MAX(AX42,IF($B42=42,1,0))</f>
        <v/>
      </c>
      <c r="AY43">
        <f>MAX(AY42,IF($B42=43,1,0))</f>
        <v/>
      </c>
      <c r="AZ43">
        <f>MAX(AZ42,IF($B42=44,1,0))</f>
        <v/>
      </c>
      <c r="BA43">
        <f>MAX(BA42,IF($B42=45,1,0))</f>
        <v/>
      </c>
      <c r="BC43">
        <f>IF(I43=1,1000000,IF('計算A'!$IQ$10=2,SUMPRODUCT('計算A'!$D$60:$II$60,$CW43:$MB43,$MD43:$VI43),SUMPRODUCT('計算A'!$D$60:$II$60,$CW43:$MB43))*1000+1)</f>
        <v/>
      </c>
      <c r="BD43">
        <f>IF(J43=1,1000000,IF('計算A'!$IQ$11=2,SUMPRODUCT('計算A'!$D$61:$II$61,$CW43:$MB43,$MD43:$VI43),SUMPRODUCT('計算A'!$D$61:$II$61,$CW43:$MB43))*1000+2)</f>
        <v/>
      </c>
      <c r="BE43">
        <f>IF(K43=1,1000000,IF('計算A'!$IQ$12=2,SUMPRODUCT('計算A'!$D$62:$II$62,$CW43:$MB43,$MD43:$VI43),SUMPRODUCT('計算A'!$D$62:$II$62,$CW43:$MB43))*1000+3)</f>
        <v/>
      </c>
      <c r="BF43">
        <f>IF(L43=1,1000000,IF('計算A'!$IQ$13=2,SUMPRODUCT('計算A'!$D$63:$II$63,$CW43:$MB43,$MD43:$VI43),SUMPRODUCT('計算A'!$D$63:$II$63,$CW43:$MB43))*1000+4)</f>
        <v/>
      </c>
      <c r="BG43">
        <f>IF(M43=1,1000000,IF('計算A'!$IQ$14=2,SUMPRODUCT('計算A'!$D$64:$II$64,$CW43:$MB43,$MD43:$VI43),SUMPRODUCT('計算A'!$D$64:$II$64,$CW43:$MB43))*1000+5)</f>
        <v/>
      </c>
      <c r="BH43">
        <f>IF(N43=1,1000000,IF('計算A'!$IQ$15=2,SUMPRODUCT('計算A'!$D$65:$II$65,$CW43:$MB43,$MD43:$VI43),SUMPRODUCT('計算A'!$D$65:$II$65,$CW43:$MB43))*1000+6)</f>
        <v/>
      </c>
      <c r="BI43">
        <f>IF(O43=1,1000000,IF('計算A'!$IQ$16=2,SUMPRODUCT('計算A'!$D$66:$II$66,$CW43:$MB43,$MD43:$VI43),SUMPRODUCT('計算A'!$D$66:$II$66,$CW43:$MB43))*1000+7)</f>
        <v/>
      </c>
      <c r="BJ43">
        <f>IF(P43=1,1000000,IF('計算A'!$IQ$17=2,SUMPRODUCT('計算A'!$D$67:$II$67,$CW43:$MB43,$MD43:$VI43),SUMPRODUCT('計算A'!$D$67:$II$67,$CW43:$MB43))*1000+8)</f>
        <v/>
      </c>
      <c r="BK43">
        <f>IF(Q43=1,1000000,IF('計算A'!$IQ$18=2,SUMPRODUCT('計算A'!$D$68:$II$68,$CW43:$MB43,$MD43:$VI43),SUMPRODUCT('計算A'!$D$68:$II$68,$CW43:$MB43))*1000+9)</f>
        <v/>
      </c>
      <c r="BL43">
        <f>IF(R43=1,1000000,IF('計算A'!$IQ$19=2,SUMPRODUCT('計算A'!$D$69:$II$69,$CW43:$MB43,$MD43:$VI43),SUMPRODUCT('計算A'!$D$69:$II$69,$CW43:$MB43))*1000+10)</f>
        <v/>
      </c>
      <c r="BM43">
        <f>IF(S43=1,1000000,IF('計算A'!$IQ$20=2,SUMPRODUCT('計算A'!$D$70:$II$70,$CW43:$MB43,$MD43:$VI43),SUMPRODUCT('計算A'!$D$70:$II$70,$CW43:$MB43))*1000+11)</f>
        <v/>
      </c>
      <c r="BN43">
        <f>IF(T43=1,1000000,IF('計算A'!$IQ$21=2,SUMPRODUCT('計算A'!$D$71:$II$71,$CW43:$MB43,$MD43:$VI43),SUMPRODUCT('計算A'!$D$71:$II$71,$CW43:$MB43))*1000+12)</f>
        <v/>
      </c>
      <c r="BO43">
        <f>IF(U43=1,1000000,IF('計算A'!$IQ$22=2,SUMPRODUCT('計算A'!$D$72:$II$72,$CW43:$MB43,$MD43:$VI43),SUMPRODUCT('計算A'!$D$72:$II$72,$CW43:$MB43))*1000+13)</f>
        <v/>
      </c>
      <c r="BP43">
        <f>IF(V43=1,1000000,IF('計算A'!$IQ$23=2,SUMPRODUCT('計算A'!$D$73:$II$73,$CW43:$MB43,$MD43:$VI43),SUMPRODUCT('計算A'!$D$73:$II$73,$CW43:$MB43))*1000+14)</f>
        <v/>
      </c>
      <c r="BQ43">
        <f>IF(W43=1,1000000,IF('計算A'!$IQ$24=2,SUMPRODUCT('計算A'!$D$74:$II$74,$CW43:$MB43,$MD43:$VI43),SUMPRODUCT('計算A'!$D$74:$II$74,$CW43:$MB43))*1000+15)</f>
        <v/>
      </c>
      <c r="BR43">
        <f>IF(X43=1,1000000,IF('計算A'!$IQ$25=2,SUMPRODUCT('計算A'!$D$75:$II$75,$CW43:$MB43,$MD43:$VI43),SUMPRODUCT('計算A'!$D$75:$II$75,$CW43:$MB43))*1000+16)</f>
        <v/>
      </c>
      <c r="BS43">
        <f>IF(Y43=1,1000000,IF('計算A'!$IQ$26=2,SUMPRODUCT('計算A'!$D$76:$II$76,$CW43:$MB43,$MD43:$VI43),SUMPRODUCT('計算A'!$D$76:$II$76,$CW43:$MB43))*1000+17)</f>
        <v/>
      </c>
      <c r="BT43">
        <f>IF(Z43=1,1000000,IF('計算A'!$IQ$27=2,SUMPRODUCT('計算A'!$D$77:$II$77,$CW43:$MB43,$MD43:$VI43),SUMPRODUCT('計算A'!$D$77:$II$77,$CW43:$MB43))*1000+18)</f>
        <v/>
      </c>
      <c r="BU43">
        <f>IF(AA43=1,1000000,IF('計算A'!$IQ$28=2,SUMPRODUCT('計算A'!$D$78:$II$78,$CW43:$MB43,$MD43:$VI43),SUMPRODUCT('計算A'!$D$78:$II$78,$CW43:$MB43))*1000+19)</f>
        <v/>
      </c>
      <c r="BV43">
        <f>IF(AB43=1,1000000,IF('計算A'!$IQ$29=2,SUMPRODUCT('計算A'!$D$79:$II$79,$CW43:$MB43,$MD43:$VI43),SUMPRODUCT('計算A'!$D$79:$II$79,$CW43:$MB43))*1000+20)</f>
        <v/>
      </c>
      <c r="BW43">
        <f>IF(AC43=1,1000000,IF('計算A'!$IQ$30=2,SUMPRODUCT('計算A'!$D$80:$II$80,$CW43:$MB43,$MD43:$VI43),SUMPRODUCT('計算A'!$D$80:$II$80,$CW43:$MB43))*1000+21)</f>
        <v/>
      </c>
      <c r="BX43">
        <f>IF(AD43=1,1000000,IF('計算A'!$IQ$31=2,SUMPRODUCT('計算A'!$D$81:$II$81,$CW43:$MB43,$MD43:$VI43),SUMPRODUCT('計算A'!$D$81:$II$81,$CW43:$MB43))*1000+22)</f>
        <v/>
      </c>
      <c r="BY43">
        <f>IF(AE43=1,1000000,IF('計算A'!$IQ$32=2,SUMPRODUCT('計算A'!$D$82:$II$82,$CW43:$MB43,$MD43:$VI43),SUMPRODUCT('計算A'!$D$82:$II$82,$CW43:$MB43))*1000+23)</f>
        <v/>
      </c>
      <c r="BZ43">
        <f>IF(AF43=1,1000000,IF('計算A'!$IQ$33=2,SUMPRODUCT('計算A'!$D$83:$II$83,$CW43:$MB43,$MD43:$VI43),SUMPRODUCT('計算A'!$D$83:$II$83,$CW43:$MB43))*1000+24)</f>
        <v/>
      </c>
      <c r="CA43">
        <f>IF(AG43=1,1000000,IF('計算A'!$IQ$34=2,SUMPRODUCT('計算A'!$D$84:$II$84,$CW43:$MB43,$MD43:$VI43),SUMPRODUCT('計算A'!$D$84:$II$84,$CW43:$MB43))*1000+25)</f>
        <v/>
      </c>
      <c r="CB43">
        <f>IF(AH43=1,1000000,IF('計算A'!$IQ$35=2,SUMPRODUCT('計算A'!$D$85:$II$85,$CW43:$MB43,$MD43:$VI43),SUMPRODUCT('計算A'!$D$85:$II$85,$CW43:$MB43))*1000+26)</f>
        <v/>
      </c>
      <c r="CC43">
        <f>IF(AI43=1,1000000,IF('計算A'!$IQ$36=2,SUMPRODUCT('計算A'!$D$86:$II$86,$CW43:$MB43,$MD43:$VI43),SUMPRODUCT('計算A'!$D$86:$II$86,$CW43:$MB43))*1000+27)</f>
        <v/>
      </c>
      <c r="CD43">
        <f>IF(AJ43=1,1000000,IF('計算A'!$IQ$37=2,SUMPRODUCT('計算A'!$D$87:$II$87,$CW43:$MB43,$MD43:$VI43),SUMPRODUCT('計算A'!$D$87:$II$87,$CW43:$MB43))*1000+28)</f>
        <v/>
      </c>
      <c r="CE43">
        <f>IF(AK43=1,1000000,IF('計算A'!$IQ$38=2,SUMPRODUCT('計算A'!$D$88:$II$88,$CW43:$MB43,$MD43:$VI43),SUMPRODUCT('計算A'!$D$88:$II$88,$CW43:$MB43))*1000+29)</f>
        <v/>
      </c>
      <c r="CF43">
        <f>IF(AL43=1,1000000,IF('計算A'!$IQ$39=2,SUMPRODUCT('計算A'!$D$89:$II$89,$CW43:$MB43,$MD43:$VI43),SUMPRODUCT('計算A'!$D$89:$II$89,$CW43:$MB43))*1000+30)</f>
        <v/>
      </c>
      <c r="CG43">
        <f>IF(AM43=1,1000000,IF('計算A'!$IQ$40=2,SUMPRODUCT('計算A'!$D$90:$II$90,$CW43:$MB43,$MD43:$VI43),SUMPRODUCT('計算A'!$D$90:$II$90,$CW43:$MB43))*1000+31)</f>
        <v/>
      </c>
      <c r="CH43">
        <f>IF(AN43=1,1000000,IF('計算A'!$IQ$41=2,SUMPRODUCT('計算A'!$D$91:$II$91,$CW43:$MB43,$MD43:$VI43),SUMPRODUCT('計算A'!$D$91:$II$91,$CW43:$MB43))*1000+32)</f>
        <v/>
      </c>
      <c r="CI43">
        <f>IF(AO43=1,1000000,IF('計算A'!$IQ$42=2,SUMPRODUCT('計算A'!$D$92:$II$92,$CW43:$MB43,$MD43:$VI43),SUMPRODUCT('計算A'!$D$92:$II$92,$CW43:$MB43))*1000+33)</f>
        <v/>
      </c>
      <c r="CJ43">
        <f>IF(AP43=1,1000000,IF('計算A'!$IQ$43=2,SUMPRODUCT('計算A'!$D$93:$II$93,$CW43:$MB43,$MD43:$VI43),SUMPRODUCT('計算A'!$D$93:$II$93,$CW43:$MB43))*1000+34)</f>
        <v/>
      </c>
      <c r="CK43">
        <f>IF(AQ43=1,1000000,IF('計算A'!$IQ$44=2,SUMPRODUCT('計算A'!$D$94:$II$94,$CW43:$MB43,$MD43:$VI43),SUMPRODUCT('計算A'!$D$94:$II$94,$CW43:$MB43))*1000+35)</f>
        <v/>
      </c>
      <c r="CL43">
        <f>IF(AR43=1,1000000,IF('計算A'!$IQ$45=2,SUMPRODUCT('計算A'!$D$95:$II$95,$CW43:$MB43,$MD43:$VI43),SUMPRODUCT('計算A'!$D$95:$II$95,$CW43:$MB43))*1000+36)</f>
        <v/>
      </c>
      <c r="CM43">
        <f>IF(AS43=1,1000000,IF('計算A'!$IQ$46=2,SUMPRODUCT('計算A'!$D$96:$II$96,$CW43:$MB43,$MD43:$VI43),SUMPRODUCT('計算A'!$D$96:$II$96,$CW43:$MB43))*1000+37)</f>
        <v/>
      </c>
      <c r="CN43">
        <f>IF(AT43=1,1000000,IF('計算A'!$IQ$47=2,SUMPRODUCT('計算A'!$D$97:$II$97,$CW43:$MB43,$MD43:$VI43),SUMPRODUCT('計算A'!$D$97:$II$97,$CW43:$MB43))*1000+38)</f>
        <v/>
      </c>
      <c r="CO43">
        <f>IF(AU43=1,1000000,IF('計算A'!$IQ$48=2,SUMPRODUCT('計算A'!$D$98:$II$98,$CW43:$MB43,$MD43:$VI43),SUMPRODUCT('計算A'!$D$98:$II$98,$CW43:$MB43))*1000+39)</f>
        <v/>
      </c>
      <c r="CP43">
        <f>IF(AV43=1,1000000,IF('計算A'!$IQ$49=2,SUMPRODUCT('計算A'!$D$99:$II$99,$CW43:$MB43,$MD43:$VI43),SUMPRODUCT('計算A'!$D$99:$II$99,$CW43:$MB43))*1000+40)</f>
        <v/>
      </c>
      <c r="CQ43">
        <f>IF(AW43=1,1000000,IF('計算A'!$IQ$50=2,SUMPRODUCT('計算A'!$D$100:$II$100,$CW43:$MB43,$MD43:$VI43),SUMPRODUCT('計算A'!$D$100:$II$100,$CW43:$MB43))*1000+41)</f>
        <v/>
      </c>
      <c r="CR43">
        <f>IF(AX43=1,1000000,IF('計算A'!$IQ$51=2,SUMPRODUCT('計算A'!$D$101:$II$101,$CW43:$MB43,$MD43:$VI43),SUMPRODUCT('計算A'!$D$101:$II$101,$CW43:$MB43))*1000+42)</f>
        <v/>
      </c>
      <c r="CS43">
        <f>IF(AY43=1,1000000,IF('計算A'!$IQ$52=2,SUMPRODUCT('計算A'!$D$102:$II$102,$CW43:$MB43,$MD43:$VI43),SUMPRODUCT('計算A'!$D$102:$II$102,$CW43:$MB43))*1000+43)</f>
        <v/>
      </c>
      <c r="CT43">
        <f>IF(AZ43=1,1000000,IF('計算A'!$IQ$53=2,SUMPRODUCT('計算A'!$D$103:$II$103,$CW43:$MB43,$MD43:$VI43),SUMPRODUCT('計算A'!$D$103:$II$103,$CW43:$MB43))*1000+44)</f>
        <v/>
      </c>
      <c r="CU43">
        <f>IF(BA43=1,1000000,IF('計算A'!$IQ$54=2,SUMPRODUCT('計算A'!$D$104:$II$104,$CW43:$MB43,$MD43:$VI43),SUMPRODUCT('計算A'!$D$104:$II$104,$CW43:$MB43))*1000+45)</f>
        <v/>
      </c>
      <c r="CW43">
        <f>CW42*IF(OR($C42=1,$G42=1),0,1)</f>
        <v/>
      </c>
      <c r="CX43">
        <f>CX42*IF(OR($C42=2,$G42=2),0,1)</f>
        <v/>
      </c>
      <c r="CY43">
        <f>CY42*IF(OR($C42=3,$G42=3),0,1)</f>
        <v/>
      </c>
      <c r="CZ43">
        <f>CZ42*IF(OR($C42=4,$G42=4),0,1)</f>
        <v/>
      </c>
      <c r="DA43">
        <f>DA42*IF(OR($C42=5,$G42=5),0,1)</f>
        <v/>
      </c>
      <c r="DB43">
        <f>DB42*IF(OR($C42=6,$G42=6),0,1)</f>
        <v/>
      </c>
      <c r="DC43">
        <f>DC42*IF(OR($C42=7,$G42=7),0,1)</f>
        <v/>
      </c>
      <c r="DD43">
        <f>DD42*IF(OR($C42=8,$G42=8),0,1)</f>
        <v/>
      </c>
      <c r="DE43">
        <f>DE42*IF(OR($C42=9,$G42=9),0,1)</f>
        <v/>
      </c>
      <c r="DF43">
        <f>DF42*IF(OR($C42=10,$G42=10),0,1)</f>
        <v/>
      </c>
      <c r="DG43">
        <f>DG42*IF(OR($C42=11,$G42=11),0,1)</f>
        <v/>
      </c>
      <c r="DH43">
        <f>DH42*IF(OR($C42=12,$G42=12),0,1)</f>
        <v/>
      </c>
      <c r="DI43">
        <f>DI42*IF(OR($C42=13,$G42=13),0,1)</f>
        <v/>
      </c>
      <c r="DJ43">
        <f>DJ42*IF(OR($C42=14,$G42=14),0,1)</f>
        <v/>
      </c>
      <c r="DK43">
        <f>DK42*IF(OR($C42=15,$G42=15),0,1)</f>
        <v/>
      </c>
      <c r="DL43">
        <f>DL42*IF(OR($C42=16,$G42=16),0,1)</f>
        <v/>
      </c>
      <c r="DM43">
        <f>DM42*IF(OR($C42=17,$G42=17),0,1)</f>
        <v/>
      </c>
      <c r="DN43">
        <f>DN42*IF(OR($C42=18,$G42=18),0,1)</f>
        <v/>
      </c>
      <c r="DO43">
        <f>DO42*IF(OR($C42=19,$G42=19),0,1)</f>
        <v/>
      </c>
      <c r="DP43">
        <f>DP42*IF(OR($C42=20,$G42=20),0,1)</f>
        <v/>
      </c>
      <c r="DQ43">
        <f>DQ42*IF(OR($C42=21,$G42=21),0,1)</f>
        <v/>
      </c>
      <c r="DR43">
        <f>DR42*IF(OR($C42=22,$G42=22),0,1)</f>
        <v/>
      </c>
      <c r="DS43">
        <f>DS42*IF(OR($C42=23,$G42=23),0,1)</f>
        <v/>
      </c>
      <c r="DT43">
        <f>DT42*IF(OR($C42=24,$G42=24),0,1)</f>
        <v/>
      </c>
      <c r="DU43">
        <f>DU42*IF(OR($C42=25,$G42=25),0,1)</f>
        <v/>
      </c>
      <c r="DV43">
        <f>DV42*IF(OR($C42=26,$G42=26),0,1)</f>
        <v/>
      </c>
      <c r="DW43">
        <f>DW42*IF(OR($C42=27,$G42=27),0,1)</f>
        <v/>
      </c>
      <c r="DX43">
        <f>DX42*IF(OR($C42=28,$G42=28),0,1)</f>
        <v/>
      </c>
      <c r="DY43">
        <f>DY42*IF(OR($C42=29,$G42=29),0,1)</f>
        <v/>
      </c>
      <c r="DZ43">
        <f>DZ42*IF(OR($C42=30,$G42=30),0,1)</f>
        <v/>
      </c>
      <c r="EA43">
        <f>EA42*IF(OR($C42=31,$G42=31),0,1)</f>
        <v/>
      </c>
      <c r="EB43">
        <f>EB42*IF(OR($C42=32,$G42=32),0,1)</f>
        <v/>
      </c>
      <c r="EC43">
        <f>EC42*IF(OR($C42=33,$G42=33),0,1)</f>
        <v/>
      </c>
      <c r="ED43">
        <f>ED42*IF(OR($C42=34,$G42=34),0,1)</f>
        <v/>
      </c>
      <c r="EE43">
        <f>EE42*IF(OR($C42=35,$G42=35),0,1)</f>
        <v/>
      </c>
      <c r="EF43">
        <f>EF42*IF(OR($C42=36,$G42=36),0,1)</f>
        <v/>
      </c>
      <c r="EG43">
        <f>EG42*IF(OR($C42=37,$G42=37),0,1)</f>
        <v/>
      </c>
      <c r="EH43">
        <f>EH42*IF(OR($C42=38,$G42=38),0,1)</f>
        <v/>
      </c>
      <c r="EI43">
        <f>EI42*IF(OR($C42=39,$G42=39),0,1)</f>
        <v/>
      </c>
      <c r="EJ43">
        <f>EJ42*IF(OR($C42=40,$G42=40),0,1)</f>
        <v/>
      </c>
      <c r="EK43">
        <f>EK42*IF(OR($C42=41,$G42=41),0,1)</f>
        <v/>
      </c>
      <c r="EL43">
        <f>EL42*IF(OR($C42=42,$G42=42),0,1)</f>
        <v/>
      </c>
      <c r="EM43">
        <f>EM42*IF(OR($C42=43,$G42=43),0,1)</f>
        <v/>
      </c>
      <c r="EN43">
        <f>EN42*IF(OR($C42=44,$G42=44),0,1)</f>
        <v/>
      </c>
      <c r="EO43">
        <f>EO42*IF(OR($C42=45,$G42=45),0,1)</f>
        <v/>
      </c>
      <c r="EP43">
        <f>EP42*IF(OR($C42=46,$G42=46),0,1)</f>
        <v/>
      </c>
      <c r="EQ43">
        <f>EQ42*IF(OR($C42=47,$G42=47),0,1)</f>
        <v/>
      </c>
      <c r="ER43">
        <f>ER42*IF(OR($C42=48,$G42=48),0,1)</f>
        <v/>
      </c>
      <c r="ES43">
        <f>ES42*IF(OR($C42=49,$G42=49),0,1)</f>
        <v/>
      </c>
      <c r="ET43">
        <f>ET42*IF(OR($C42=50,$G42=50),0,1)</f>
        <v/>
      </c>
      <c r="EU43">
        <f>EU42*IF(OR($C42=51,$G42=51),0,1)</f>
        <v/>
      </c>
      <c r="EV43">
        <f>EV42*IF(OR($C42=52,$G42=52),0,1)</f>
        <v/>
      </c>
      <c r="EW43">
        <f>EW42*IF(OR($C42=53,$G42=53),0,1)</f>
        <v/>
      </c>
      <c r="EX43">
        <f>EX42*IF(OR($C42=54,$G42=54),0,1)</f>
        <v/>
      </c>
      <c r="EY43">
        <f>EY42*IF(OR($C42=55,$G42=55),0,1)</f>
        <v/>
      </c>
      <c r="EZ43">
        <f>EZ42*IF(OR($C42=56,$G42=56),0,1)</f>
        <v/>
      </c>
      <c r="FA43">
        <f>FA42*IF(OR($C42=57,$G42=57),0,1)</f>
        <v/>
      </c>
      <c r="FB43">
        <f>FB42*IF(OR($C42=58,$G42=58),0,1)</f>
        <v/>
      </c>
      <c r="FC43">
        <f>FC42*IF(OR($C42=59,$G42=59),0,1)</f>
        <v/>
      </c>
      <c r="FD43">
        <f>FD42*IF(OR($C42=60,$G42=60),0,1)</f>
        <v/>
      </c>
      <c r="FE43">
        <f>FE42*IF(OR($C42=61,$G42=61),0,1)</f>
        <v/>
      </c>
      <c r="FF43">
        <f>FF42*IF(OR($C42=62,$G42=62),0,1)</f>
        <v/>
      </c>
      <c r="FG43">
        <f>FG42*IF(OR($C42=63,$G42=63),0,1)</f>
        <v/>
      </c>
      <c r="FH43">
        <f>FH42*IF(OR($C42=64,$G42=64),0,1)</f>
        <v/>
      </c>
      <c r="FI43">
        <f>FI42*IF(OR($C42=65,$G42=65),0,1)</f>
        <v/>
      </c>
      <c r="FJ43">
        <f>FJ42*IF(OR($C42=66,$G42=66),0,1)</f>
        <v/>
      </c>
      <c r="FK43">
        <f>FK42*IF(OR($C42=67,$G42=67),0,1)</f>
        <v/>
      </c>
      <c r="FL43">
        <f>FL42*IF(OR($C42=68,$G42=68),0,1)</f>
        <v/>
      </c>
      <c r="FM43">
        <f>FM42*IF(OR($C42=69,$G42=69),0,1)</f>
        <v/>
      </c>
      <c r="FN43">
        <f>FN42*IF(OR($C42=70,$G42=70),0,1)</f>
        <v/>
      </c>
      <c r="FO43">
        <f>FO42*IF(OR($C42=71,$G42=71),0,1)</f>
        <v/>
      </c>
      <c r="FP43">
        <f>FP42*IF(OR($C42=72,$G42=72),0,1)</f>
        <v/>
      </c>
      <c r="FQ43">
        <f>FQ42*IF(OR($C42=73,$G42=73),0,1)</f>
        <v/>
      </c>
      <c r="FR43">
        <f>FR42*IF(OR($C42=74,$G42=74),0,1)</f>
        <v/>
      </c>
      <c r="FS43">
        <f>FS42*IF(OR($C42=75,$G42=75),0,1)</f>
        <v/>
      </c>
      <c r="FT43">
        <f>FT42*IF(OR($C42=76,$G42=76),0,1)</f>
        <v/>
      </c>
      <c r="FU43">
        <f>FU42*IF(OR($C42=77,$G42=77),0,1)</f>
        <v/>
      </c>
      <c r="FV43">
        <f>FV42*IF(OR($C42=78,$G42=78),0,1)</f>
        <v/>
      </c>
      <c r="FW43">
        <f>FW42*IF(OR($C42=79,$G42=79),0,1)</f>
        <v/>
      </c>
      <c r="FX43">
        <f>FX42*IF(OR($C42=80,$G42=80),0,1)</f>
        <v/>
      </c>
      <c r="FY43">
        <f>FY42*IF(OR($C42=81,$G42=81),0,1)</f>
        <v/>
      </c>
      <c r="FZ43">
        <f>FZ42*IF(OR($C42=82,$G42=82),0,1)</f>
        <v/>
      </c>
      <c r="GA43">
        <f>GA42*IF(OR($C42=83,$G42=83),0,1)</f>
        <v/>
      </c>
      <c r="GB43">
        <f>GB42*IF(OR($C42=84,$G42=84),0,1)</f>
        <v/>
      </c>
      <c r="GC43">
        <f>GC42*IF(OR($C42=85,$G42=85),0,1)</f>
        <v/>
      </c>
      <c r="GD43">
        <f>GD42*IF(OR($C42=86,$G42=86),0,1)</f>
        <v/>
      </c>
      <c r="GE43">
        <f>GE42*IF(OR($C42=87,$G42=87),0,1)</f>
        <v/>
      </c>
      <c r="GF43">
        <f>GF42*IF(OR($C42=88,$G42=88),0,1)</f>
        <v/>
      </c>
      <c r="GG43">
        <f>GG42*IF(OR($C42=89,$G42=89),0,1)</f>
        <v/>
      </c>
      <c r="GH43">
        <f>GH42*IF(OR($C42=90,$G42=90),0,1)</f>
        <v/>
      </c>
      <c r="GI43">
        <f>GI42*IF(OR($C42=91,$G42=91),0,1)</f>
        <v/>
      </c>
      <c r="GJ43">
        <f>GJ42*IF(OR($C42=92,$G42=92),0,1)</f>
        <v/>
      </c>
      <c r="GK43">
        <f>GK42*IF(OR($C42=93,$G42=93),0,1)</f>
        <v/>
      </c>
      <c r="GL43">
        <f>GL42*IF(OR($C42=94,$G42=94),0,1)</f>
        <v/>
      </c>
      <c r="GM43">
        <f>GM42*IF(OR($C42=95,$G42=95),0,1)</f>
        <v/>
      </c>
      <c r="GN43">
        <f>GN42*IF(OR($C42=96,$G42=96),0,1)</f>
        <v/>
      </c>
      <c r="GO43">
        <f>GO42*IF(OR($C42=97,$G42=97),0,1)</f>
        <v/>
      </c>
      <c r="GP43">
        <f>GP42*IF(OR($C42=98,$G42=98),0,1)</f>
        <v/>
      </c>
      <c r="GQ43">
        <f>GQ42*IF(OR($C42=99,$G42=99),0,1)</f>
        <v/>
      </c>
      <c r="GR43">
        <f>GR42*IF(OR($C42=100,$G42=100),0,1)</f>
        <v/>
      </c>
      <c r="GS43">
        <f>GS42*IF(OR($C42=101,$G42=101),0,1)</f>
        <v/>
      </c>
      <c r="GT43">
        <f>GT42*IF(OR($C42=102,$G42=102),0,1)</f>
        <v/>
      </c>
      <c r="GU43">
        <f>GU42*IF(OR($C42=103,$G42=103),0,1)</f>
        <v/>
      </c>
      <c r="GV43">
        <f>GV42*IF(OR($C42=104,$G42=104),0,1)</f>
        <v/>
      </c>
      <c r="GW43">
        <f>GW42*IF(OR($C42=105,$G42=105),0,1)</f>
        <v/>
      </c>
      <c r="GX43">
        <f>GX42*IF(OR($C42=106,$G42=106),0,1)</f>
        <v/>
      </c>
      <c r="GY43">
        <f>GY42*IF(OR($C42=107,$G42=107),0,1)</f>
        <v/>
      </c>
      <c r="GZ43">
        <f>GZ42*IF(OR($C42=108,$G42=108),0,1)</f>
        <v/>
      </c>
      <c r="HA43">
        <f>HA42*IF(OR($C42=109,$G42=109),0,1)</f>
        <v/>
      </c>
      <c r="HB43">
        <f>HB42*IF(OR($C42=110,$G42=110),0,1)</f>
        <v/>
      </c>
      <c r="HC43">
        <f>HC42*IF(OR($C42=111,$G42=111),0,1)</f>
        <v/>
      </c>
      <c r="HD43">
        <f>HD42*IF(OR($C42=112,$G42=112),0,1)</f>
        <v/>
      </c>
      <c r="HE43">
        <f>HE42*IF(OR($C42=113,$G42=113),0,1)</f>
        <v/>
      </c>
      <c r="HF43">
        <f>HF42*IF(OR($C42=114,$G42=114),0,1)</f>
        <v/>
      </c>
      <c r="HG43">
        <f>HG42*IF(OR($C42=115,$G42=115),0,1)</f>
        <v/>
      </c>
      <c r="HH43">
        <f>HH42*IF(OR($C42=116,$G42=116),0,1)</f>
        <v/>
      </c>
      <c r="HI43">
        <f>HI42*IF(OR($C42=117,$G42=117),0,1)</f>
        <v/>
      </c>
      <c r="HJ43">
        <f>HJ42*IF(OR($C42=118,$G42=118),0,1)</f>
        <v/>
      </c>
      <c r="HK43">
        <f>HK42*IF(OR($C42=119,$G42=119),0,1)</f>
        <v/>
      </c>
      <c r="HL43">
        <f>HL42*IF(OR($C42=120,$G42=120),0,1)</f>
        <v/>
      </c>
      <c r="HM43">
        <f>HM42*IF(OR($C42=121,$G42=121),0,1)</f>
        <v/>
      </c>
      <c r="HN43">
        <f>HN42*IF(OR($C42=122,$G42=122),0,1)</f>
        <v/>
      </c>
      <c r="HO43">
        <f>HO42*IF(OR($C42=123,$G42=123),0,1)</f>
        <v/>
      </c>
      <c r="HP43">
        <f>HP42*IF(OR($C42=124,$G42=124),0,1)</f>
        <v/>
      </c>
      <c r="HQ43">
        <f>HQ42*IF(OR($C42=125,$G42=125),0,1)</f>
        <v/>
      </c>
      <c r="HR43">
        <f>HR42*IF(OR($C42=126,$G42=126),0,1)</f>
        <v/>
      </c>
      <c r="HS43">
        <f>HS42*IF(OR($C42=127,$G42=127),0,1)</f>
        <v/>
      </c>
      <c r="HT43">
        <f>HT42*IF(OR($C42=128,$G42=128),0,1)</f>
        <v/>
      </c>
      <c r="HU43">
        <f>HU42*IF(OR($C42=129,$G42=129),0,1)</f>
        <v/>
      </c>
      <c r="HV43">
        <f>HV42*IF(OR($C42=130,$G42=130),0,1)</f>
        <v/>
      </c>
      <c r="HW43">
        <f>HW42*IF(OR($C42=131,$G42=131),0,1)</f>
        <v/>
      </c>
      <c r="HX43">
        <f>HX42*IF(OR($C42=132,$G42=132),0,1)</f>
        <v/>
      </c>
      <c r="HY43">
        <f>HY42*IF(OR($C42=133,$G42=133),0,1)</f>
        <v/>
      </c>
      <c r="HZ43">
        <f>HZ42*IF(OR($C42=134,$G42=134),0,1)</f>
        <v/>
      </c>
      <c r="IA43">
        <f>IA42*IF(OR($C42=135,$G42=135),0,1)</f>
        <v/>
      </c>
      <c r="IB43">
        <f>IB42*IF(OR($C42=136,$G42=136),0,1)</f>
        <v/>
      </c>
      <c r="IC43">
        <f>IC42*IF(OR($C42=137,$G42=137),0,1)</f>
        <v/>
      </c>
      <c r="ID43">
        <f>ID42*IF(OR($C42=138,$G42=138),0,1)</f>
        <v/>
      </c>
      <c r="IE43">
        <f>IE42*IF(OR($C42=139,$G42=139),0,1)</f>
        <v/>
      </c>
      <c r="IF43">
        <f>IF42*IF(OR($C42=140,$G42=140),0,1)</f>
        <v/>
      </c>
      <c r="IG43">
        <f>IG42*IF(OR($C42=141,$G42=141),0,1)</f>
        <v/>
      </c>
      <c r="IH43">
        <f>IH42*IF(OR($C42=142,$G42=142),0,1)</f>
        <v/>
      </c>
      <c r="II43">
        <f>II42*IF(OR($C42=143,$G42=143),0,1)</f>
        <v/>
      </c>
      <c r="IJ43">
        <f>IJ42*IF(OR($C42=144,$G42=144),0,1)</f>
        <v/>
      </c>
      <c r="IK43">
        <f>IK42*IF(OR($C42=145,$G42=145),0,1)</f>
        <v/>
      </c>
      <c r="IL43">
        <f>IL42*IF(OR($C42=146,$G42=146),0,1)</f>
        <v/>
      </c>
      <c r="IM43">
        <f>IM42*IF(OR($C42=147,$G42=147),0,1)</f>
        <v/>
      </c>
      <c r="IN43">
        <f>IN42*IF(OR($C42=148,$G42=148),0,1)</f>
        <v/>
      </c>
      <c r="IO43">
        <f>IO42*IF(OR($C42=149,$G42=149),0,1)</f>
        <v/>
      </c>
      <c r="IP43">
        <f>IP42*IF(OR($C42=150,$G42=150),0,1)</f>
        <v/>
      </c>
      <c r="IQ43">
        <f>IQ42*IF(OR($C42=151,$G42=151),0,1)</f>
        <v/>
      </c>
      <c r="IR43">
        <f>IR42*IF(OR($C42=152,$G42=152),0,1)</f>
        <v/>
      </c>
      <c r="IS43">
        <f>IS42*IF(OR($C42=153,$G42=153),0,1)</f>
        <v/>
      </c>
      <c r="IT43">
        <f>IT42*IF(OR($C42=154,$G42=154),0,1)</f>
        <v/>
      </c>
      <c r="IU43">
        <f>IU42*IF(OR($C42=155,$G42=155),0,1)</f>
        <v/>
      </c>
      <c r="IV43">
        <f>IV42*IF(OR($C42=156,$G42=156),0,1)</f>
        <v/>
      </c>
      <c r="IW43">
        <f>IW42*IF(OR($C42=157,$G42=157),0,1)</f>
        <v/>
      </c>
      <c r="IX43">
        <f>IX42*IF(OR($C42=158,$G42=158),0,1)</f>
        <v/>
      </c>
      <c r="IY43">
        <f>IY42*IF(OR($C42=159,$G42=159),0,1)</f>
        <v/>
      </c>
      <c r="IZ43">
        <f>IZ42*IF(OR($C42=160,$G42=160),0,1)</f>
        <v/>
      </c>
      <c r="JA43">
        <f>JA42*IF(OR($C42=161,$G42=161),0,1)</f>
        <v/>
      </c>
      <c r="JB43">
        <f>JB42*IF(OR($C42=162,$G42=162),0,1)</f>
        <v/>
      </c>
      <c r="JC43">
        <f>JC42*IF(OR($C42=163,$G42=163),0,1)</f>
        <v/>
      </c>
      <c r="JD43">
        <f>JD42*IF(OR($C42=164,$G42=164),0,1)</f>
        <v/>
      </c>
      <c r="JE43">
        <f>JE42*IF(OR($C42=165,$G42=165),0,1)</f>
        <v/>
      </c>
      <c r="JF43">
        <f>JF42*IF(OR($C42=166,$G42=166),0,1)</f>
        <v/>
      </c>
      <c r="JG43">
        <f>JG42*IF(OR($C42=167,$G42=167),0,1)</f>
        <v/>
      </c>
      <c r="JH43">
        <f>JH42*IF(OR($C42=168,$G42=168),0,1)</f>
        <v/>
      </c>
      <c r="JI43">
        <f>JI42*IF(OR($C42=169,$G42=169),0,1)</f>
        <v/>
      </c>
      <c r="JJ43">
        <f>JJ42*IF(OR($C42=170,$G42=170),0,1)</f>
        <v/>
      </c>
      <c r="JK43">
        <f>JK42*IF(OR($C42=171,$G42=171),0,1)</f>
        <v/>
      </c>
      <c r="JL43">
        <f>JL42*IF(OR($C42=172,$G42=172),0,1)</f>
        <v/>
      </c>
      <c r="JM43">
        <f>JM42*IF(OR($C42=173,$G42=173),0,1)</f>
        <v/>
      </c>
      <c r="JN43">
        <f>JN42*IF(OR($C42=174,$G42=174),0,1)</f>
        <v/>
      </c>
      <c r="JO43">
        <f>JO42*IF(OR($C42=175,$G42=175),0,1)</f>
        <v/>
      </c>
      <c r="JP43">
        <f>JP42*IF(OR($C42=176,$G42=176),0,1)</f>
        <v/>
      </c>
      <c r="JQ43">
        <f>JQ42*IF(OR($C42=177,$G42=177),0,1)</f>
        <v/>
      </c>
      <c r="JR43">
        <f>JR42*IF(OR($C42=178,$G42=178),0,1)</f>
        <v/>
      </c>
      <c r="JS43">
        <f>JS42*IF(OR($C42=179,$G42=179),0,1)</f>
        <v/>
      </c>
      <c r="JT43">
        <f>JT42*IF(OR($C42=180,$G42=180),0,1)</f>
        <v/>
      </c>
      <c r="JU43">
        <f>JU42*IF(OR($C42=181,$G42=181),0,1)</f>
        <v/>
      </c>
      <c r="JV43">
        <f>JV42*IF(OR($C42=182,$G42=182),0,1)</f>
        <v/>
      </c>
      <c r="JW43">
        <f>JW42*IF(OR($C42=183,$G42=183),0,1)</f>
        <v/>
      </c>
      <c r="JX43">
        <f>JX42*IF(OR($C42=184,$G42=184),0,1)</f>
        <v/>
      </c>
      <c r="JY43">
        <f>JY42*IF(OR($C42=185,$G42=185),0,1)</f>
        <v/>
      </c>
      <c r="JZ43">
        <f>JZ42*IF(OR($C42=186,$G42=186),0,1)</f>
        <v/>
      </c>
      <c r="KA43">
        <f>KA42*IF(OR($C42=187,$G42=187),0,1)</f>
        <v/>
      </c>
      <c r="KB43">
        <f>KB42*IF(OR($C42=188,$G42=188),0,1)</f>
        <v/>
      </c>
      <c r="KC43">
        <f>KC42*IF(OR($C42=189,$G42=189),0,1)</f>
        <v/>
      </c>
      <c r="KD43">
        <f>KD42*IF(OR($C42=190,$G42=190),0,1)</f>
        <v/>
      </c>
      <c r="KE43">
        <f>KE42*IF(OR($C42=191,$G42=191),0,1)</f>
        <v/>
      </c>
      <c r="KF43">
        <f>KF42*IF(OR($C42=192,$G42=192),0,1)</f>
        <v/>
      </c>
      <c r="KG43">
        <f>KG42*IF(OR($C42=193,$G42=193),0,1)</f>
        <v/>
      </c>
      <c r="KH43">
        <f>KH42*IF(OR($C42=194,$G42=194),0,1)</f>
        <v/>
      </c>
      <c r="KI43">
        <f>KI42*IF(OR($C42=195,$G42=195),0,1)</f>
        <v/>
      </c>
      <c r="KJ43">
        <f>KJ42*IF(OR($C42=196,$G42=196),0,1)</f>
        <v/>
      </c>
      <c r="KK43">
        <f>KK42*IF(OR($C42=197,$G42=197),0,1)</f>
        <v/>
      </c>
      <c r="KL43">
        <f>KL42*IF(OR($C42=198,$G42=198),0,1)</f>
        <v/>
      </c>
      <c r="KM43">
        <f>KM42*IF(OR($C42=199,$G42=199),0,1)</f>
        <v/>
      </c>
      <c r="KN43">
        <f>KN42*IF(OR($C42=200,$G42=200),0,1)</f>
        <v/>
      </c>
      <c r="KO43">
        <f>KO42*IF(OR($C42=201,$G42=201),0,1)</f>
        <v/>
      </c>
      <c r="KP43">
        <f>KP42*IF(OR($C42=202,$G42=202),0,1)</f>
        <v/>
      </c>
      <c r="KQ43">
        <f>KQ42*IF(OR($C42=203,$G42=203),0,1)</f>
        <v/>
      </c>
      <c r="KR43">
        <f>KR42*IF(OR($C42=204,$G42=204),0,1)</f>
        <v/>
      </c>
      <c r="KS43">
        <f>KS42*IF(OR($C42=205,$G42=205),0,1)</f>
        <v/>
      </c>
      <c r="KT43">
        <f>KT42*IF(OR($C42=206,$G42=206),0,1)</f>
        <v/>
      </c>
      <c r="KU43">
        <f>KU42*IF(OR($C42=207,$G42=207),0,1)</f>
        <v/>
      </c>
      <c r="KV43">
        <f>KV42*IF(OR($C42=208,$G42=208),0,1)</f>
        <v/>
      </c>
      <c r="KW43">
        <f>KW42*IF(OR($C42=209,$G42=209),0,1)</f>
        <v/>
      </c>
      <c r="KX43">
        <f>KX42*IF(OR($C42=210,$G42=210),0,1)</f>
        <v/>
      </c>
      <c r="KY43">
        <f>KY42*IF(OR($C42=211,$G42=211),0,1)</f>
        <v/>
      </c>
      <c r="KZ43">
        <f>KZ42*IF(OR($C42=212,$G42=212),0,1)</f>
        <v/>
      </c>
      <c r="LA43">
        <f>LA42*IF(OR($C42=213,$G42=213),0,1)</f>
        <v/>
      </c>
      <c r="LB43">
        <f>LB42*IF(OR($C42=214,$G42=214),0,1)</f>
        <v/>
      </c>
      <c r="LC43">
        <f>LC42*IF(OR($C42=215,$G42=215),0,1)</f>
        <v/>
      </c>
      <c r="LD43">
        <f>LD42*IF(OR($C42=216,$G42=216),0,1)</f>
        <v/>
      </c>
      <c r="LE43">
        <f>LE42*IF(OR($C42=217,$G42=217),0,1)</f>
        <v/>
      </c>
      <c r="LF43">
        <f>LF42*IF(OR($C42=218,$G42=218),0,1)</f>
        <v/>
      </c>
      <c r="LG43">
        <f>LG42*IF(OR($C42=219,$G42=219),0,1)</f>
        <v/>
      </c>
      <c r="LH43">
        <f>LH42*IF(OR($C42=220,$G42=220),0,1)</f>
        <v/>
      </c>
      <c r="LI43">
        <f>LI42*IF(OR($C42=221,$G42=221),0,1)</f>
        <v/>
      </c>
      <c r="LJ43">
        <f>LJ42*IF(OR($C42=222,$G42=222),0,1)</f>
        <v/>
      </c>
      <c r="LK43">
        <f>LK42*IF(OR($C42=223,$G42=223),0,1)</f>
        <v/>
      </c>
      <c r="LL43">
        <f>LL42*IF(OR($C42=224,$G42=224),0,1)</f>
        <v/>
      </c>
      <c r="LM43">
        <f>LM42*IF(OR($C42=225,$G42=225),0,1)</f>
        <v/>
      </c>
      <c r="LN43">
        <f>LN42*IF(OR($C42=226,$G42=226),0,1)</f>
        <v/>
      </c>
      <c r="LO43">
        <f>LO42*IF(OR($C42=227,$G42=227),0,1)</f>
        <v/>
      </c>
      <c r="LP43">
        <f>LP42*IF(OR($C42=228,$G42=228),0,1)</f>
        <v/>
      </c>
      <c r="LQ43">
        <f>LQ42*IF(OR($C42=229,$G42=229),0,1)</f>
        <v/>
      </c>
      <c r="LR43">
        <f>LR42*IF(OR($C42=230,$G42=230),0,1)</f>
        <v/>
      </c>
      <c r="LS43">
        <f>LS42*IF(OR($C42=231,$G42=231),0,1)</f>
        <v/>
      </c>
      <c r="LT43">
        <f>LT42*IF(OR($C42=232,$G42=232),0,1)</f>
        <v/>
      </c>
      <c r="LU43">
        <f>LU42*IF(OR($C42=233,$G42=233),0,1)</f>
        <v/>
      </c>
      <c r="LV43">
        <f>LV42*IF(OR($C42=234,$G42=234),0,1)</f>
        <v/>
      </c>
      <c r="LW43">
        <f>LW42*IF(OR($C42=235,$G42=235),0,1)</f>
        <v/>
      </c>
      <c r="LX43">
        <f>LX42*IF(OR($C42=236,$G42=236),0,1)</f>
        <v/>
      </c>
      <c r="LY43">
        <f>LY42*IF(OR($C42=237,$G42=237),0,1)</f>
        <v/>
      </c>
      <c r="LZ43">
        <f>LZ42*IF(OR($C42=238,$G42=238),0,1)</f>
        <v/>
      </c>
      <c r="MA43">
        <f>MA42*IF(OR($C42=239,$G42=239),0,1)</f>
        <v/>
      </c>
      <c r="MB43">
        <f>MB42*IF(OR($C42=240,$G42=240),0,1)</f>
        <v/>
      </c>
      <c r="MD43">
        <f>IF('計算A'!D$106=1,CX43,1)</f>
        <v/>
      </c>
      <c r="ME43">
        <f>IF('計算A'!E$106=1,CY43,1)</f>
        <v/>
      </c>
      <c r="MF43">
        <f>IF('計算A'!F$106=1,CZ43,1)</f>
        <v/>
      </c>
      <c r="MG43">
        <f>IF('計算A'!G$106=1,DA43,1)</f>
        <v/>
      </c>
      <c r="MH43">
        <f>IF('計算A'!H$106=1,DB43,1)</f>
        <v/>
      </c>
      <c r="MI43">
        <f>IF('計算A'!I$106=1,DC43,1)</f>
        <v/>
      </c>
      <c r="MJ43">
        <f>IF('計算A'!J$106=1,DD43,1)</f>
        <v/>
      </c>
      <c r="MK43">
        <f>IF('計算A'!K$106=1,DE43,1)</f>
        <v/>
      </c>
      <c r="ML43">
        <f>IF('計算A'!L$106=1,DF43,1)</f>
        <v/>
      </c>
      <c r="MM43">
        <f>IF('計算A'!M$106=1,DG43,1)</f>
        <v/>
      </c>
      <c r="MN43">
        <f>IF('計算A'!N$106=1,DH43,1)</f>
        <v/>
      </c>
      <c r="MO43">
        <f>IF('計算A'!O$106=1,DI43,1)</f>
        <v/>
      </c>
      <c r="MP43">
        <f>IF('計算A'!P$106=1,DJ43,1)</f>
        <v/>
      </c>
      <c r="MQ43">
        <f>IF('計算A'!Q$106=1,DK43,1)</f>
        <v/>
      </c>
      <c r="MR43">
        <f>IF('計算A'!R$106=1,DL43,1)</f>
        <v/>
      </c>
      <c r="MS43">
        <f>IF('計算A'!S$106=1,DM43,1)</f>
        <v/>
      </c>
      <c r="MT43">
        <f>IF('計算A'!T$106=1,DN43,1)</f>
        <v/>
      </c>
      <c r="MU43">
        <f>IF('計算A'!U$106=1,DO43,1)</f>
        <v/>
      </c>
      <c r="MV43">
        <f>IF('計算A'!V$106=1,DP43,1)</f>
        <v/>
      </c>
      <c r="MW43">
        <f>IF('計算A'!W$106=1,DQ43,1)</f>
        <v/>
      </c>
      <c r="MX43">
        <f>IF('計算A'!X$106=1,DR43,1)</f>
        <v/>
      </c>
      <c r="MY43">
        <f>IF('計算A'!Y$106=1,DS43,1)</f>
        <v/>
      </c>
      <c r="MZ43">
        <f>IF('計算A'!Z$106=1,DT43,1)</f>
        <v/>
      </c>
      <c r="NA43">
        <f>IF('計算A'!AA$106=1,DU43,1)</f>
        <v/>
      </c>
      <c r="NB43">
        <f>IF('計算A'!AB$106=1,DV43,1)</f>
        <v/>
      </c>
      <c r="NC43">
        <f>IF('計算A'!AC$106=1,DW43,1)</f>
        <v/>
      </c>
      <c r="ND43">
        <f>IF('計算A'!AD$106=1,DX43,1)</f>
        <v/>
      </c>
      <c r="NE43">
        <f>IF('計算A'!AE$106=1,DY43,1)</f>
        <v/>
      </c>
      <c r="NF43">
        <f>IF('計算A'!AF$106=1,DZ43,1)</f>
        <v/>
      </c>
      <c r="NG43">
        <f>IF('計算A'!AG$106=1,EA43,1)</f>
        <v/>
      </c>
      <c r="NH43">
        <f>IF('計算A'!AH$106=1,EB43,1)</f>
        <v/>
      </c>
      <c r="NI43">
        <f>IF('計算A'!AI$106=1,EC43,1)</f>
        <v/>
      </c>
      <c r="NJ43">
        <f>IF('計算A'!AJ$106=1,ED43,1)</f>
        <v/>
      </c>
      <c r="NK43">
        <f>IF('計算A'!AK$106=1,EE43,1)</f>
        <v/>
      </c>
      <c r="NL43">
        <f>IF('計算A'!AL$106=1,EF43,1)</f>
        <v/>
      </c>
      <c r="NM43">
        <f>IF('計算A'!AM$106=1,EG43,1)</f>
        <v/>
      </c>
      <c r="NN43">
        <f>IF('計算A'!AN$106=1,EH43,1)</f>
        <v/>
      </c>
      <c r="NO43">
        <f>IF('計算A'!AO$106=1,EI43,1)</f>
        <v/>
      </c>
      <c r="NP43">
        <f>IF('計算A'!AP$106=1,EJ43,1)</f>
        <v/>
      </c>
      <c r="NQ43">
        <f>IF('計算A'!AQ$106=1,EK43,1)</f>
        <v/>
      </c>
      <c r="NR43">
        <f>IF('計算A'!AR$106=1,EL43,1)</f>
        <v/>
      </c>
      <c r="NS43">
        <f>IF('計算A'!AS$106=1,EM43,1)</f>
        <v/>
      </c>
      <c r="NT43">
        <f>IF('計算A'!AT$106=1,EN43,1)</f>
        <v/>
      </c>
      <c r="NU43">
        <f>IF('計算A'!AU$106=1,EO43,1)</f>
        <v/>
      </c>
      <c r="NV43">
        <f>IF('計算A'!AV$106=1,EP43,1)</f>
        <v/>
      </c>
      <c r="NW43">
        <f>IF('計算A'!AW$106=1,EQ43,1)</f>
        <v/>
      </c>
      <c r="NX43">
        <f>IF('計算A'!AX$106=1,ER43,1)</f>
        <v/>
      </c>
      <c r="NY43">
        <f>IF('計算A'!AY$106=1,ES43,1)</f>
        <v/>
      </c>
      <c r="NZ43">
        <f>IF('計算A'!AZ$106=1,ET43,1)</f>
        <v/>
      </c>
      <c r="OA43">
        <f>IF('計算A'!BA$106=1,EU43,1)</f>
        <v/>
      </c>
      <c r="OB43">
        <f>IF('計算A'!BB$106=1,EV43,1)</f>
        <v/>
      </c>
      <c r="OC43">
        <f>IF('計算A'!BC$106=1,EW43,1)</f>
        <v/>
      </c>
      <c r="OD43">
        <f>IF('計算A'!BD$106=1,EX43,1)</f>
        <v/>
      </c>
      <c r="OE43">
        <f>IF('計算A'!BE$106=1,EY43,1)</f>
        <v/>
      </c>
      <c r="OF43">
        <f>IF('計算A'!BF$106=1,EZ43,1)</f>
        <v/>
      </c>
      <c r="OG43">
        <f>IF('計算A'!BG$106=1,FA43,1)</f>
        <v/>
      </c>
      <c r="OH43">
        <f>IF('計算A'!BH$106=1,FB43,1)</f>
        <v/>
      </c>
      <c r="OI43">
        <f>IF('計算A'!BI$106=1,FC43,1)</f>
        <v/>
      </c>
      <c r="OJ43">
        <f>IF('計算A'!BJ$106=1,FD43,1)</f>
        <v/>
      </c>
      <c r="OK43">
        <f>IF('計算A'!BK$106=1,FE43,1)</f>
        <v/>
      </c>
      <c r="OL43">
        <f>IF('計算A'!BL$106=1,FF43,1)</f>
        <v/>
      </c>
      <c r="OM43">
        <f>IF('計算A'!BM$106=1,FG43,1)</f>
        <v/>
      </c>
      <c r="ON43">
        <f>IF('計算A'!BN$106=1,FH43,1)</f>
        <v/>
      </c>
      <c r="OO43">
        <f>IF('計算A'!BO$106=1,FI43,1)</f>
        <v/>
      </c>
      <c r="OP43">
        <f>IF('計算A'!BP$106=1,FJ43,1)</f>
        <v/>
      </c>
      <c r="OQ43">
        <f>IF('計算A'!BQ$106=1,FK43,1)</f>
        <v/>
      </c>
      <c r="OR43">
        <f>IF('計算A'!BR$106=1,FL43,1)</f>
        <v/>
      </c>
      <c r="OS43">
        <f>IF('計算A'!BS$106=1,FM43,1)</f>
        <v/>
      </c>
      <c r="OT43">
        <f>IF('計算A'!BT$106=1,FN43,1)</f>
        <v/>
      </c>
      <c r="OU43">
        <f>IF('計算A'!BU$106=1,FO43,1)</f>
        <v/>
      </c>
      <c r="OV43">
        <f>IF('計算A'!BV$106=1,FP43,1)</f>
        <v/>
      </c>
      <c r="OW43">
        <f>IF('計算A'!BW$106=1,FQ43,1)</f>
        <v/>
      </c>
      <c r="OX43">
        <f>IF('計算A'!BX$106=1,FR43,1)</f>
        <v/>
      </c>
      <c r="OY43">
        <f>IF('計算A'!BY$106=1,FS43,1)</f>
        <v/>
      </c>
      <c r="OZ43">
        <f>IF('計算A'!BZ$106=1,FT43,1)</f>
        <v/>
      </c>
      <c r="PA43">
        <f>IF('計算A'!CA$106=1,FU43,1)</f>
        <v/>
      </c>
      <c r="PB43">
        <f>IF('計算A'!CB$106=1,FV43,1)</f>
        <v/>
      </c>
      <c r="PC43">
        <f>IF('計算A'!CC$106=1,FW43,1)</f>
        <v/>
      </c>
      <c r="PD43">
        <f>IF('計算A'!CD$106=1,FX43,1)</f>
        <v/>
      </c>
      <c r="PE43">
        <f>IF('計算A'!CE$106=1,FY43,1)</f>
        <v/>
      </c>
      <c r="PF43">
        <f>IF('計算A'!CF$106=1,FZ43,1)</f>
        <v/>
      </c>
      <c r="PG43">
        <f>IF('計算A'!CG$106=1,GA43,1)</f>
        <v/>
      </c>
      <c r="PH43">
        <f>IF('計算A'!CH$106=1,GB43,1)</f>
        <v/>
      </c>
      <c r="PI43">
        <f>IF('計算A'!CI$106=1,GC43,1)</f>
        <v/>
      </c>
      <c r="PJ43">
        <f>IF('計算A'!CJ$106=1,GD43,1)</f>
        <v/>
      </c>
      <c r="PK43">
        <f>IF('計算A'!CK$106=1,GE43,1)</f>
        <v/>
      </c>
      <c r="PL43">
        <f>IF('計算A'!CL$106=1,GF43,1)</f>
        <v/>
      </c>
      <c r="PM43">
        <f>IF('計算A'!CM$106=1,GG43,1)</f>
        <v/>
      </c>
      <c r="PN43">
        <f>IF('計算A'!CN$106=1,GH43,1)</f>
        <v/>
      </c>
      <c r="PO43">
        <f>IF('計算A'!CO$106=1,GI43,1)</f>
        <v/>
      </c>
      <c r="PP43">
        <f>IF('計算A'!CP$106=1,GJ43,1)</f>
        <v/>
      </c>
      <c r="PQ43">
        <f>IF('計算A'!CQ$106=1,GK43,1)</f>
        <v/>
      </c>
      <c r="PR43">
        <f>IF('計算A'!CR$106=1,GL43,1)</f>
        <v/>
      </c>
      <c r="PS43">
        <f>IF('計算A'!CS$106=1,GM43,1)</f>
        <v/>
      </c>
      <c r="PT43">
        <f>IF('計算A'!CT$106=1,GN43,1)</f>
        <v/>
      </c>
      <c r="PU43">
        <f>IF('計算A'!CU$106=1,GO43,1)</f>
        <v/>
      </c>
      <c r="PV43">
        <f>IF('計算A'!CV$106=1,GP43,1)</f>
        <v/>
      </c>
      <c r="PW43">
        <f>IF('計算A'!CW$106=1,GQ43,1)</f>
        <v/>
      </c>
      <c r="PX43">
        <f>IF('計算A'!CX$106=1,GR43,1)</f>
        <v/>
      </c>
      <c r="PY43">
        <f>IF('計算A'!CY$106=1,GS43,1)</f>
        <v/>
      </c>
      <c r="PZ43">
        <f>IF('計算A'!CZ$106=1,GT43,1)</f>
        <v/>
      </c>
      <c r="QA43">
        <f>IF('計算A'!DA$106=1,GU43,1)</f>
        <v/>
      </c>
      <c r="QB43">
        <f>IF('計算A'!DB$106=1,GV43,1)</f>
        <v/>
      </c>
      <c r="QC43">
        <f>IF('計算A'!DC$106=1,GW43,1)</f>
        <v/>
      </c>
      <c r="QD43">
        <f>IF('計算A'!DD$106=1,GX43,1)</f>
        <v/>
      </c>
      <c r="QE43">
        <f>IF('計算A'!DE$106=1,GY43,1)</f>
        <v/>
      </c>
      <c r="QF43">
        <f>IF('計算A'!DF$106=1,GZ43,1)</f>
        <v/>
      </c>
      <c r="QG43">
        <f>IF('計算A'!DG$106=1,HA43,1)</f>
        <v/>
      </c>
      <c r="QH43">
        <f>IF('計算A'!DH$106=1,HB43,1)</f>
        <v/>
      </c>
      <c r="QI43">
        <f>IF('計算A'!DI$106=1,HC43,1)</f>
        <v/>
      </c>
      <c r="QJ43">
        <f>IF('計算A'!DJ$106=1,HD43,1)</f>
        <v/>
      </c>
      <c r="QK43">
        <f>IF('計算A'!DK$106=1,HE43,1)</f>
        <v/>
      </c>
      <c r="QL43">
        <f>IF('計算A'!DL$106=1,HF43,1)</f>
        <v/>
      </c>
      <c r="QM43">
        <f>IF('計算A'!DM$106=1,HG43,1)</f>
        <v/>
      </c>
      <c r="QN43">
        <f>IF('計算A'!DN$106=1,HH43,1)</f>
        <v/>
      </c>
      <c r="QO43">
        <f>IF('計算A'!DO$106=1,HI43,1)</f>
        <v/>
      </c>
      <c r="QP43">
        <f>IF('計算A'!DP$106=1,HJ43,1)</f>
        <v/>
      </c>
      <c r="QQ43">
        <f>IF('計算A'!DQ$106=1,HK43,1)</f>
        <v/>
      </c>
      <c r="QR43">
        <f>IF('計算A'!DR$106=1,HL43,1)</f>
        <v/>
      </c>
      <c r="QS43">
        <f>IF('計算A'!DS$106=1,HM43,1)</f>
        <v/>
      </c>
      <c r="QT43">
        <f>IF('計算A'!DT$106=1,HN43,1)</f>
        <v/>
      </c>
      <c r="QU43">
        <f>IF('計算A'!DU$106=1,HO43,1)</f>
        <v/>
      </c>
      <c r="QV43">
        <f>IF('計算A'!DV$106=1,HP43,1)</f>
        <v/>
      </c>
      <c r="QW43">
        <f>IF('計算A'!DW$106=1,HQ43,1)</f>
        <v/>
      </c>
      <c r="QX43">
        <f>IF('計算A'!DX$106=1,HR43,1)</f>
        <v/>
      </c>
      <c r="QY43">
        <f>IF('計算A'!DY$106=1,HS43,1)</f>
        <v/>
      </c>
      <c r="QZ43">
        <f>IF('計算A'!DZ$106=1,HT43,1)</f>
        <v/>
      </c>
      <c r="RA43">
        <f>IF('計算A'!EA$106=1,HU43,1)</f>
        <v/>
      </c>
      <c r="RB43">
        <f>IF('計算A'!EB$106=1,HV43,1)</f>
        <v/>
      </c>
      <c r="RC43">
        <f>IF('計算A'!EC$106=1,HW43,1)</f>
        <v/>
      </c>
      <c r="RD43">
        <f>IF('計算A'!ED$106=1,HX43,1)</f>
        <v/>
      </c>
      <c r="RE43">
        <f>IF('計算A'!EE$106=1,HY43,1)</f>
        <v/>
      </c>
      <c r="RF43">
        <f>IF('計算A'!EF$106=1,HZ43,1)</f>
        <v/>
      </c>
      <c r="RG43">
        <f>IF('計算A'!EG$106=1,IA43,1)</f>
        <v/>
      </c>
      <c r="RH43">
        <f>IF('計算A'!EH$106=1,IB43,1)</f>
        <v/>
      </c>
      <c r="RI43">
        <f>IF('計算A'!EI$106=1,IC43,1)</f>
        <v/>
      </c>
      <c r="RJ43">
        <f>IF('計算A'!EJ$106=1,ID43,1)</f>
        <v/>
      </c>
      <c r="RK43">
        <f>IF('計算A'!EK$106=1,IE43,1)</f>
        <v/>
      </c>
      <c r="RL43">
        <f>IF('計算A'!EL$106=1,IF43,1)</f>
        <v/>
      </c>
      <c r="RM43">
        <f>IF('計算A'!EM$106=1,IG43,1)</f>
        <v/>
      </c>
      <c r="RN43">
        <f>IF('計算A'!EN$106=1,IH43,1)</f>
        <v/>
      </c>
      <c r="RO43">
        <f>IF('計算A'!EO$106=1,II43,1)</f>
        <v/>
      </c>
      <c r="RP43">
        <f>IF('計算A'!EP$106=1,IJ43,1)</f>
        <v/>
      </c>
      <c r="RQ43">
        <f>IF('計算A'!EQ$106=1,IK43,1)</f>
        <v/>
      </c>
      <c r="RR43">
        <f>IF('計算A'!ER$106=1,IL43,1)</f>
        <v/>
      </c>
      <c r="RS43">
        <f>IF('計算A'!ES$106=1,IM43,1)</f>
        <v/>
      </c>
      <c r="RT43">
        <f>IF('計算A'!ET$106=1,IN43,1)</f>
        <v/>
      </c>
      <c r="RU43">
        <f>IF('計算A'!EU$106=1,IO43,1)</f>
        <v/>
      </c>
      <c r="RV43">
        <f>IF('計算A'!EV$106=1,IP43,1)</f>
        <v/>
      </c>
      <c r="RW43">
        <f>IF('計算A'!EW$106=1,IQ43,1)</f>
        <v/>
      </c>
      <c r="RX43">
        <f>IF('計算A'!EX$106=1,IR43,1)</f>
        <v/>
      </c>
      <c r="RY43">
        <f>IF('計算A'!EY$106=1,IS43,1)</f>
        <v/>
      </c>
      <c r="RZ43">
        <f>IF('計算A'!EZ$106=1,IT43,1)</f>
        <v/>
      </c>
      <c r="SA43">
        <f>IF('計算A'!FA$106=1,IU43,1)</f>
        <v/>
      </c>
      <c r="SB43">
        <f>IF('計算A'!FB$106=1,IV43,1)</f>
        <v/>
      </c>
      <c r="SC43">
        <f>IF('計算A'!FC$106=1,IW43,1)</f>
        <v/>
      </c>
      <c r="SD43">
        <f>IF('計算A'!FD$106=1,IX43,1)</f>
        <v/>
      </c>
      <c r="SE43">
        <f>IF('計算A'!FE$106=1,IY43,1)</f>
        <v/>
      </c>
      <c r="SF43">
        <f>IF('計算A'!FF$106=1,IZ43,1)</f>
        <v/>
      </c>
      <c r="SG43">
        <f>IF('計算A'!FG$106=1,JA43,1)</f>
        <v/>
      </c>
      <c r="SH43">
        <f>IF('計算A'!FH$106=1,JB43,1)</f>
        <v/>
      </c>
      <c r="SI43">
        <f>IF('計算A'!FI$106=1,JC43,1)</f>
        <v/>
      </c>
      <c r="SJ43">
        <f>IF('計算A'!FJ$106=1,JD43,1)</f>
        <v/>
      </c>
      <c r="SK43">
        <f>IF('計算A'!FK$106=1,JE43,1)</f>
        <v/>
      </c>
      <c r="SL43">
        <f>IF('計算A'!FL$106=1,JF43,1)</f>
        <v/>
      </c>
      <c r="SM43">
        <f>IF('計算A'!FM$106=1,JG43,1)</f>
        <v/>
      </c>
      <c r="SN43">
        <f>IF('計算A'!FN$106=1,JH43,1)</f>
        <v/>
      </c>
      <c r="SO43">
        <f>IF('計算A'!FO$106=1,JI43,1)</f>
        <v/>
      </c>
      <c r="SP43">
        <f>IF('計算A'!FP$106=1,JJ43,1)</f>
        <v/>
      </c>
      <c r="SQ43">
        <f>IF('計算A'!FQ$106=1,JK43,1)</f>
        <v/>
      </c>
      <c r="SR43">
        <f>IF('計算A'!FR$106=1,JL43,1)</f>
        <v/>
      </c>
      <c r="SS43">
        <f>IF('計算A'!FS$106=1,JM43,1)</f>
        <v/>
      </c>
      <c r="ST43">
        <f>IF('計算A'!FT$106=1,JN43,1)</f>
        <v/>
      </c>
      <c r="SU43">
        <f>IF('計算A'!FU$106=1,JO43,1)</f>
        <v/>
      </c>
      <c r="SV43">
        <f>IF('計算A'!FV$106=1,JP43,1)</f>
        <v/>
      </c>
      <c r="SW43">
        <f>IF('計算A'!FW$106=1,JQ43,1)</f>
        <v/>
      </c>
      <c r="SX43">
        <f>IF('計算A'!FX$106=1,JR43,1)</f>
        <v/>
      </c>
      <c r="SY43">
        <f>IF('計算A'!FY$106=1,JS43,1)</f>
        <v/>
      </c>
      <c r="SZ43">
        <f>IF('計算A'!FZ$106=1,JT43,1)</f>
        <v/>
      </c>
      <c r="TA43">
        <f>IF('計算A'!GA$106=1,JU43,1)</f>
        <v/>
      </c>
      <c r="TB43">
        <f>IF('計算A'!GB$106=1,JV43,1)</f>
        <v/>
      </c>
      <c r="TC43">
        <f>IF('計算A'!GC$106=1,JW43,1)</f>
        <v/>
      </c>
      <c r="TD43">
        <f>IF('計算A'!GD$106=1,JX43,1)</f>
        <v/>
      </c>
      <c r="TE43">
        <f>IF('計算A'!GE$106=1,JY43,1)</f>
        <v/>
      </c>
      <c r="TF43">
        <f>IF('計算A'!GF$106=1,JZ43,1)</f>
        <v/>
      </c>
      <c r="TG43">
        <f>IF('計算A'!GG$106=1,KA43,1)</f>
        <v/>
      </c>
      <c r="TH43">
        <f>IF('計算A'!GH$106=1,KB43,1)</f>
        <v/>
      </c>
      <c r="TI43">
        <f>IF('計算A'!GI$106=1,KC43,1)</f>
        <v/>
      </c>
      <c r="TJ43">
        <f>IF('計算A'!GJ$106=1,KD43,1)</f>
        <v/>
      </c>
      <c r="TK43">
        <f>IF('計算A'!GK$106=1,KE43,1)</f>
        <v/>
      </c>
      <c r="TL43">
        <f>IF('計算A'!GL$106=1,KF43,1)</f>
        <v/>
      </c>
      <c r="TM43">
        <f>IF('計算A'!GM$106=1,KG43,1)</f>
        <v/>
      </c>
      <c r="TN43">
        <f>IF('計算A'!GN$106=1,KH43,1)</f>
        <v/>
      </c>
      <c r="TO43">
        <f>IF('計算A'!GO$106=1,KI43,1)</f>
        <v/>
      </c>
      <c r="TP43">
        <f>IF('計算A'!GP$106=1,KJ43,1)</f>
        <v/>
      </c>
      <c r="TQ43">
        <f>IF('計算A'!GQ$106=1,KK43,1)</f>
        <v/>
      </c>
      <c r="TR43">
        <f>IF('計算A'!GR$106=1,KL43,1)</f>
        <v/>
      </c>
      <c r="TS43">
        <f>IF('計算A'!GS$106=1,KM43,1)</f>
        <v/>
      </c>
      <c r="TT43">
        <f>IF('計算A'!GT$106=1,KN43,1)</f>
        <v/>
      </c>
      <c r="TU43">
        <f>IF('計算A'!GU$106=1,KO43,1)</f>
        <v/>
      </c>
      <c r="TV43">
        <f>IF('計算A'!GV$106=1,KP43,1)</f>
        <v/>
      </c>
      <c r="TW43">
        <f>IF('計算A'!GW$106=1,KQ43,1)</f>
        <v/>
      </c>
      <c r="TX43">
        <f>IF('計算A'!GX$106=1,KR43,1)</f>
        <v/>
      </c>
      <c r="TY43">
        <f>IF('計算A'!GY$106=1,KS43,1)</f>
        <v/>
      </c>
      <c r="TZ43">
        <f>IF('計算A'!GZ$106=1,KT43,1)</f>
        <v/>
      </c>
      <c r="UA43">
        <f>IF('計算A'!HA$106=1,KU43,1)</f>
        <v/>
      </c>
      <c r="UB43">
        <f>IF('計算A'!HB$106=1,KV43,1)</f>
        <v/>
      </c>
      <c r="UC43">
        <f>IF('計算A'!HC$106=1,KW43,1)</f>
        <v/>
      </c>
      <c r="UD43">
        <f>IF('計算A'!HD$106=1,KX43,1)</f>
        <v/>
      </c>
      <c r="UE43">
        <f>IF('計算A'!HE$106=1,KY43,1)</f>
        <v/>
      </c>
      <c r="UF43">
        <f>IF('計算A'!HF$106=1,KZ43,1)</f>
        <v/>
      </c>
      <c r="UG43">
        <f>IF('計算A'!HG$106=1,LA43,1)</f>
        <v/>
      </c>
      <c r="UH43">
        <f>IF('計算A'!HH$106=1,LB43,1)</f>
        <v/>
      </c>
      <c r="UI43">
        <f>IF('計算A'!HI$106=1,LC43,1)</f>
        <v/>
      </c>
      <c r="UJ43">
        <f>IF('計算A'!HJ$106=1,LD43,1)</f>
        <v/>
      </c>
      <c r="UK43">
        <f>IF('計算A'!HK$106=1,LE43,1)</f>
        <v/>
      </c>
      <c r="UL43">
        <f>IF('計算A'!HL$106=1,LF43,1)</f>
        <v/>
      </c>
      <c r="UM43">
        <f>IF('計算A'!HM$106=1,LG43,1)</f>
        <v/>
      </c>
      <c r="UN43">
        <f>IF('計算A'!HN$106=1,LH43,1)</f>
        <v/>
      </c>
      <c r="UO43">
        <f>IF('計算A'!HO$106=1,LI43,1)</f>
        <v/>
      </c>
      <c r="UP43">
        <f>IF('計算A'!HP$106=1,LJ43,1)</f>
        <v/>
      </c>
      <c r="UQ43">
        <f>IF('計算A'!HQ$106=1,LK43,1)</f>
        <v/>
      </c>
      <c r="UR43">
        <f>IF('計算A'!HR$106=1,LL43,1)</f>
        <v/>
      </c>
      <c r="US43">
        <f>IF('計算A'!HS$106=1,LM43,1)</f>
        <v/>
      </c>
      <c r="UT43">
        <f>IF('計算A'!HT$106=1,LN43,1)</f>
        <v/>
      </c>
      <c r="UU43">
        <f>IF('計算A'!HU$106=1,LO43,1)</f>
        <v/>
      </c>
      <c r="UV43">
        <f>IF('計算A'!HV$106=1,LP43,1)</f>
        <v/>
      </c>
      <c r="UW43">
        <f>IF('計算A'!HW$106=1,LQ43,1)</f>
        <v/>
      </c>
      <c r="UX43">
        <f>IF('計算A'!HX$106=1,LR43,1)</f>
        <v/>
      </c>
      <c r="UY43">
        <f>IF('計算A'!HY$106=1,LS43,1)</f>
        <v/>
      </c>
      <c r="UZ43">
        <f>IF('計算A'!HZ$106=1,LT43,1)</f>
        <v/>
      </c>
      <c r="VA43">
        <f>IF('計算A'!IA$106=1,LU43,1)</f>
        <v/>
      </c>
      <c r="VB43">
        <f>IF('計算A'!IB$106=1,LV43,1)</f>
        <v/>
      </c>
      <c r="VC43">
        <f>IF('計算A'!IC$106=1,LW43,1)</f>
        <v/>
      </c>
      <c r="VD43">
        <f>IF('計算A'!ID$106=1,LX43,1)</f>
        <v/>
      </c>
      <c r="VE43">
        <f>IF('計算A'!IE$106=1,LY43,1)</f>
        <v/>
      </c>
      <c r="VF43">
        <f>IF('計算A'!IF$106=1,LZ43,1)</f>
        <v/>
      </c>
      <c r="VG43">
        <f>IF('計算A'!IG$106=1,MA43,1)</f>
        <v/>
      </c>
      <c r="VH43">
        <f>IF('計算A'!IH$106=1,MB43,1)</f>
        <v/>
      </c>
      <c r="VI43" t="n">
        <v>1</v>
      </c>
      <c r="VK43">
        <f>IF($B43=0,1000000,IF(INDEX('計算A'!$D$60:$II$104,$B43,1)*CW43=1,IF(AND($E43=2,MD43=0),1000000,INDEX('計算A'!D$110:D$114,$F43+1)+IF(AND($E43=1,MD43=0),1000,0)),1000000))</f>
        <v/>
      </c>
      <c r="VL43">
        <f>IF($B43=0,1000000,IF(INDEX('計算A'!$D$60:$II$104,$B43,2)*CX43=1,IF(AND($E43=2,ME43=0),1000000,INDEX('計算A'!E$110:E$114,$F43+1)+IF(AND($E43=1,ME43=0),1000,0)),1000000))</f>
        <v/>
      </c>
      <c r="VM43">
        <f>IF($B43=0,1000000,IF(INDEX('計算A'!$D$60:$II$104,$B43,3)*CY43=1,IF(AND($E43=2,MF43=0),1000000,INDEX('計算A'!F$110:F$114,$F43+1)+IF(AND($E43=1,MF43=0),1000,0)),1000000))</f>
        <v/>
      </c>
      <c r="VN43">
        <f>IF($B43=0,1000000,IF(INDEX('計算A'!$D$60:$II$104,$B43,4)*CZ43=1,IF(AND($E43=2,MG43=0),1000000,INDEX('計算A'!G$110:G$114,$F43+1)+IF(AND($E43=1,MG43=0),1000,0)),1000000))</f>
        <v/>
      </c>
      <c r="VO43">
        <f>IF($B43=0,1000000,IF(INDEX('計算A'!$D$60:$II$104,$B43,5)*DA43=1,IF(AND($E43=2,MH43=0),1000000,INDEX('計算A'!H$110:H$114,$F43+1)+IF(AND($E43=1,MH43=0),1000,0)),1000000))</f>
        <v/>
      </c>
      <c r="VP43">
        <f>IF($B43=0,1000000,IF(INDEX('計算A'!$D$60:$II$104,$B43,6)*DB43=1,IF(AND($E43=2,MI43=0),1000000,INDEX('計算A'!I$110:I$114,$F43+1)+IF(AND($E43=1,MI43=0),1000,0)),1000000))</f>
        <v/>
      </c>
      <c r="VQ43">
        <f>IF($B43=0,1000000,IF(INDEX('計算A'!$D$60:$II$104,$B43,7)*DC43=1,IF(AND($E43=2,MJ43=0),1000000,INDEX('計算A'!J$110:J$114,$F43+1)+IF(AND($E43=1,MJ43=0),1000,0)),1000000))</f>
        <v/>
      </c>
      <c r="VR43">
        <f>IF($B43=0,1000000,IF(INDEX('計算A'!$D$60:$II$104,$B43,8)*DD43=1,IF(AND($E43=2,MK43=0),1000000,INDEX('計算A'!K$110:K$114,$F43+1)+IF(AND($E43=1,MK43=0),1000,0)),1000000))</f>
        <v/>
      </c>
      <c r="VS43">
        <f>IF($B43=0,1000000,IF(INDEX('計算A'!$D$60:$II$104,$B43,9)*DE43=1,IF(AND($E43=2,ML43=0),1000000,INDEX('計算A'!L$110:L$114,$F43+1)+IF(AND($E43=1,ML43=0),1000,0)),1000000))</f>
        <v/>
      </c>
      <c r="VT43">
        <f>IF($B43=0,1000000,IF(INDEX('計算A'!$D$60:$II$104,$B43,10)*DF43=1,IF(AND($E43=2,MM43=0),1000000,INDEX('計算A'!M$110:M$114,$F43+1)+IF(AND($E43=1,MM43=0),1000,0)),1000000))</f>
        <v/>
      </c>
      <c r="VU43">
        <f>IF($B43=0,1000000,IF(INDEX('計算A'!$D$60:$II$104,$B43,11)*DG43=1,IF(AND($E43=2,MN43=0),1000000,INDEX('計算A'!N$110:N$114,$F43+1)+IF(AND($E43=1,MN43=0),1000,0)),1000000))</f>
        <v/>
      </c>
      <c r="VV43">
        <f>IF($B43=0,1000000,IF(INDEX('計算A'!$D$60:$II$104,$B43,12)*DH43=1,IF(AND($E43=2,MO43=0),1000000,INDEX('計算A'!O$110:O$114,$F43+1)+IF(AND($E43=1,MO43=0),1000,0)),1000000))</f>
        <v/>
      </c>
      <c r="VW43">
        <f>IF($B43=0,1000000,IF(INDEX('計算A'!$D$60:$II$104,$B43,13)*DI43=1,IF(AND($E43=2,MP43=0),1000000,INDEX('計算A'!P$110:P$114,$F43+1)+IF(AND($E43=1,MP43=0),1000,0)),1000000))</f>
        <v/>
      </c>
      <c r="VX43">
        <f>IF($B43=0,1000000,IF(INDEX('計算A'!$D$60:$II$104,$B43,14)*DJ43=1,IF(AND($E43=2,MQ43=0),1000000,INDEX('計算A'!Q$110:Q$114,$F43+1)+IF(AND($E43=1,MQ43=0),1000,0)),1000000))</f>
        <v/>
      </c>
      <c r="VY43">
        <f>IF($B43=0,1000000,IF(INDEX('計算A'!$D$60:$II$104,$B43,15)*DK43=1,IF(AND($E43=2,MR43=0),1000000,INDEX('計算A'!R$110:R$114,$F43+1)+IF(AND($E43=1,MR43=0),1000,0)),1000000))</f>
        <v/>
      </c>
      <c r="VZ43">
        <f>IF($B43=0,1000000,IF(INDEX('計算A'!$D$60:$II$104,$B43,16)*DL43=1,IF(AND($E43=2,MS43=0),1000000,INDEX('計算A'!S$110:S$114,$F43+1)+IF(AND($E43=1,MS43=0),1000,0)),1000000))</f>
        <v/>
      </c>
      <c r="WA43">
        <f>IF($B43=0,1000000,IF(INDEX('計算A'!$D$60:$II$104,$B43,17)*DM43=1,IF(AND($E43=2,MT43=0),1000000,INDEX('計算A'!T$110:T$114,$F43+1)+IF(AND($E43=1,MT43=0),1000,0)),1000000))</f>
        <v/>
      </c>
      <c r="WB43">
        <f>IF($B43=0,1000000,IF(INDEX('計算A'!$D$60:$II$104,$B43,18)*DN43=1,IF(AND($E43=2,MU43=0),1000000,INDEX('計算A'!U$110:U$114,$F43+1)+IF(AND($E43=1,MU43=0),1000,0)),1000000))</f>
        <v/>
      </c>
      <c r="WC43">
        <f>IF($B43=0,1000000,IF(INDEX('計算A'!$D$60:$II$104,$B43,19)*DO43=1,IF(AND($E43=2,MV43=0),1000000,INDEX('計算A'!V$110:V$114,$F43+1)+IF(AND($E43=1,MV43=0),1000,0)),1000000))</f>
        <v/>
      </c>
      <c r="WD43">
        <f>IF($B43=0,1000000,IF(INDEX('計算A'!$D$60:$II$104,$B43,20)*DP43=1,IF(AND($E43=2,MW43=0),1000000,INDEX('計算A'!W$110:W$114,$F43+1)+IF(AND($E43=1,MW43=0),1000,0)),1000000))</f>
        <v/>
      </c>
      <c r="WE43">
        <f>IF($B43=0,1000000,IF(INDEX('計算A'!$D$60:$II$104,$B43,21)*DQ43=1,IF(AND($E43=2,MX43=0),1000000,INDEX('計算A'!X$110:X$114,$F43+1)+IF(AND($E43=1,MX43=0),1000,0)),1000000))</f>
        <v/>
      </c>
      <c r="WF43">
        <f>IF($B43=0,1000000,IF(INDEX('計算A'!$D$60:$II$104,$B43,22)*DR43=1,IF(AND($E43=2,MY43=0),1000000,INDEX('計算A'!Y$110:Y$114,$F43+1)+IF(AND($E43=1,MY43=0),1000,0)),1000000))</f>
        <v/>
      </c>
      <c r="WG43">
        <f>IF($B43=0,1000000,IF(INDEX('計算A'!$D$60:$II$104,$B43,23)*DS43=1,IF(AND($E43=2,MZ43=0),1000000,INDEX('計算A'!Z$110:Z$114,$F43+1)+IF(AND($E43=1,MZ43=0),1000,0)),1000000))</f>
        <v/>
      </c>
      <c r="WH43">
        <f>IF($B43=0,1000000,IF(INDEX('計算A'!$D$60:$II$104,$B43,24)*DT43=1,IF(AND($E43=2,NA43=0),1000000,INDEX('計算A'!AA$110:AA$114,$F43+1)+IF(AND($E43=1,NA43=0),1000,0)),1000000))</f>
        <v/>
      </c>
      <c r="WI43">
        <f>IF($B43=0,1000000,IF(INDEX('計算A'!$D$60:$II$104,$B43,25)*DU43=1,IF(AND($E43=2,NB43=0),1000000,INDEX('計算A'!AB$110:AB$114,$F43+1)+IF(AND($E43=1,NB43=0),1000,0)),1000000))</f>
        <v/>
      </c>
      <c r="WJ43">
        <f>IF($B43=0,1000000,IF(INDEX('計算A'!$D$60:$II$104,$B43,26)*DV43=1,IF(AND($E43=2,NC43=0),1000000,INDEX('計算A'!AC$110:AC$114,$F43+1)+IF(AND($E43=1,NC43=0),1000,0)),1000000))</f>
        <v/>
      </c>
      <c r="WK43">
        <f>IF($B43=0,1000000,IF(INDEX('計算A'!$D$60:$II$104,$B43,27)*DW43=1,IF(AND($E43=2,ND43=0),1000000,INDEX('計算A'!AD$110:AD$114,$F43+1)+IF(AND($E43=1,ND43=0),1000,0)),1000000))</f>
        <v/>
      </c>
      <c r="WL43">
        <f>IF($B43=0,1000000,IF(INDEX('計算A'!$D$60:$II$104,$B43,28)*DX43=1,IF(AND($E43=2,NE43=0),1000000,INDEX('計算A'!AE$110:AE$114,$F43+1)+IF(AND($E43=1,NE43=0),1000,0)),1000000))</f>
        <v/>
      </c>
      <c r="WM43">
        <f>IF($B43=0,1000000,IF(INDEX('計算A'!$D$60:$II$104,$B43,29)*DY43=1,IF(AND($E43=2,NF43=0),1000000,INDEX('計算A'!AF$110:AF$114,$F43+1)+IF(AND($E43=1,NF43=0),1000,0)),1000000))</f>
        <v/>
      </c>
      <c r="WN43">
        <f>IF($B43=0,1000000,IF(INDEX('計算A'!$D$60:$II$104,$B43,30)*DZ43=1,IF(AND($E43=2,NG43=0),1000000,INDEX('計算A'!AG$110:AG$114,$F43+1)+IF(AND($E43=1,NG43=0),1000,0)),1000000))</f>
        <v/>
      </c>
      <c r="WO43">
        <f>IF($B43=0,1000000,IF(INDEX('計算A'!$D$60:$II$104,$B43,31)*EA43=1,IF(AND($E43=2,NH43=0),1000000,INDEX('計算A'!AH$110:AH$114,$F43+1)+IF(AND($E43=1,NH43=0),1000,0)),1000000))</f>
        <v/>
      </c>
      <c r="WP43">
        <f>IF($B43=0,1000000,IF(INDEX('計算A'!$D$60:$II$104,$B43,32)*EB43=1,IF(AND($E43=2,NI43=0),1000000,INDEX('計算A'!AI$110:AI$114,$F43+1)+IF(AND($E43=1,NI43=0),1000,0)),1000000))</f>
        <v/>
      </c>
      <c r="WQ43">
        <f>IF($B43=0,1000000,IF(INDEX('計算A'!$D$60:$II$104,$B43,33)*EC43=1,IF(AND($E43=2,NJ43=0),1000000,INDEX('計算A'!AJ$110:AJ$114,$F43+1)+IF(AND($E43=1,NJ43=0),1000,0)),1000000))</f>
        <v/>
      </c>
      <c r="WR43">
        <f>IF($B43=0,1000000,IF(INDEX('計算A'!$D$60:$II$104,$B43,34)*ED43=1,IF(AND($E43=2,NK43=0),1000000,INDEX('計算A'!AK$110:AK$114,$F43+1)+IF(AND($E43=1,NK43=0),1000,0)),1000000))</f>
        <v/>
      </c>
      <c r="WS43">
        <f>IF($B43=0,1000000,IF(INDEX('計算A'!$D$60:$II$104,$B43,35)*EE43=1,IF(AND($E43=2,NL43=0),1000000,INDEX('計算A'!AL$110:AL$114,$F43+1)+IF(AND($E43=1,NL43=0),1000,0)),1000000))</f>
        <v/>
      </c>
      <c r="WT43">
        <f>IF($B43=0,1000000,IF(INDEX('計算A'!$D$60:$II$104,$B43,36)*EF43=1,IF(AND($E43=2,NM43=0),1000000,INDEX('計算A'!AM$110:AM$114,$F43+1)+IF(AND($E43=1,NM43=0),1000,0)),1000000))</f>
        <v/>
      </c>
      <c r="WU43">
        <f>IF($B43=0,1000000,IF(INDEX('計算A'!$D$60:$II$104,$B43,37)*EG43=1,IF(AND($E43=2,NN43=0),1000000,INDEX('計算A'!AN$110:AN$114,$F43+1)+IF(AND($E43=1,NN43=0),1000,0)),1000000))</f>
        <v/>
      </c>
      <c r="WV43">
        <f>IF($B43=0,1000000,IF(INDEX('計算A'!$D$60:$II$104,$B43,38)*EH43=1,IF(AND($E43=2,NO43=0),1000000,INDEX('計算A'!AO$110:AO$114,$F43+1)+IF(AND($E43=1,NO43=0),1000,0)),1000000))</f>
        <v/>
      </c>
      <c r="WW43">
        <f>IF($B43=0,1000000,IF(INDEX('計算A'!$D$60:$II$104,$B43,39)*EI43=1,IF(AND($E43=2,NP43=0),1000000,INDEX('計算A'!AP$110:AP$114,$F43+1)+IF(AND($E43=1,NP43=0),1000,0)),1000000))</f>
        <v/>
      </c>
      <c r="WX43">
        <f>IF($B43=0,1000000,IF(INDEX('計算A'!$D$60:$II$104,$B43,40)*EJ43=1,IF(AND($E43=2,NQ43=0),1000000,INDEX('計算A'!AQ$110:AQ$114,$F43+1)+IF(AND($E43=1,NQ43=0),1000,0)),1000000))</f>
        <v/>
      </c>
      <c r="WY43">
        <f>IF($B43=0,1000000,IF(INDEX('計算A'!$D$60:$II$104,$B43,41)*EK43=1,IF(AND($E43=2,NR43=0),1000000,INDEX('計算A'!AR$110:AR$114,$F43+1)+IF(AND($E43=1,NR43=0),1000,0)),1000000))</f>
        <v/>
      </c>
      <c r="WZ43">
        <f>IF($B43=0,1000000,IF(INDEX('計算A'!$D$60:$II$104,$B43,42)*EL43=1,IF(AND($E43=2,NS43=0),1000000,INDEX('計算A'!AS$110:AS$114,$F43+1)+IF(AND($E43=1,NS43=0),1000,0)),1000000))</f>
        <v/>
      </c>
      <c r="XA43">
        <f>IF($B43=0,1000000,IF(INDEX('計算A'!$D$60:$II$104,$B43,43)*EM43=1,IF(AND($E43=2,NT43=0),1000000,INDEX('計算A'!AT$110:AT$114,$F43+1)+IF(AND($E43=1,NT43=0),1000,0)),1000000))</f>
        <v/>
      </c>
      <c r="XB43">
        <f>IF($B43=0,1000000,IF(INDEX('計算A'!$D$60:$II$104,$B43,44)*EN43=1,IF(AND($E43=2,NU43=0),1000000,INDEX('計算A'!AU$110:AU$114,$F43+1)+IF(AND($E43=1,NU43=0),1000,0)),1000000))</f>
        <v/>
      </c>
      <c r="XC43">
        <f>IF($B43=0,1000000,IF(INDEX('計算A'!$D$60:$II$104,$B43,45)*EO43=1,IF(AND($E43=2,NV43=0),1000000,INDEX('計算A'!AV$110:AV$114,$F43+1)+IF(AND($E43=1,NV43=0),1000,0)),1000000))</f>
        <v/>
      </c>
      <c r="XD43">
        <f>IF($B43=0,1000000,IF(INDEX('計算A'!$D$60:$II$104,$B43,46)*EP43=1,IF(AND($E43=2,NW43=0),1000000,INDEX('計算A'!AW$110:AW$114,$F43+1)+IF(AND($E43=1,NW43=0),1000,0)),1000000))</f>
        <v/>
      </c>
      <c r="XE43">
        <f>IF($B43=0,1000000,IF(INDEX('計算A'!$D$60:$II$104,$B43,47)*EQ43=1,IF(AND($E43=2,NX43=0),1000000,INDEX('計算A'!AX$110:AX$114,$F43+1)+IF(AND($E43=1,NX43=0),1000,0)),1000000))</f>
        <v/>
      </c>
      <c r="XF43">
        <f>IF($B43=0,1000000,IF(INDEX('計算A'!$D$60:$II$104,$B43,48)*ER43=1,IF(AND($E43=2,NY43=0),1000000,INDEX('計算A'!AY$110:AY$114,$F43+1)+IF(AND($E43=1,NY43=0),1000,0)),1000000))</f>
        <v/>
      </c>
      <c r="XG43">
        <f>IF($B43=0,1000000,IF(INDEX('計算A'!$D$60:$II$104,$B43,49)*ES43=1,IF(AND($E43=2,NZ43=0),1000000,INDEX('計算A'!AZ$110:AZ$114,$F43+1)+IF(AND($E43=1,NZ43=0),1000,0)),1000000))</f>
        <v/>
      </c>
      <c r="XH43">
        <f>IF($B43=0,1000000,IF(INDEX('計算A'!$D$60:$II$104,$B43,50)*ET43=1,IF(AND($E43=2,OA43=0),1000000,INDEX('計算A'!BA$110:BA$114,$F43+1)+IF(AND($E43=1,OA43=0),1000,0)),1000000))</f>
        <v/>
      </c>
      <c r="XI43">
        <f>IF($B43=0,1000000,IF(INDEX('計算A'!$D$60:$II$104,$B43,51)*EU43=1,IF(AND($E43=2,OB43=0),1000000,INDEX('計算A'!BB$110:BB$114,$F43+1)+IF(AND($E43=1,OB43=0),1000,0)),1000000))</f>
        <v/>
      </c>
      <c r="XJ43">
        <f>IF($B43=0,1000000,IF(INDEX('計算A'!$D$60:$II$104,$B43,52)*EV43=1,IF(AND($E43=2,OC43=0),1000000,INDEX('計算A'!BC$110:BC$114,$F43+1)+IF(AND($E43=1,OC43=0),1000,0)),1000000))</f>
        <v/>
      </c>
      <c r="XK43">
        <f>IF($B43=0,1000000,IF(INDEX('計算A'!$D$60:$II$104,$B43,53)*EW43=1,IF(AND($E43=2,OD43=0),1000000,INDEX('計算A'!BD$110:BD$114,$F43+1)+IF(AND($E43=1,OD43=0),1000,0)),1000000))</f>
        <v/>
      </c>
      <c r="XL43">
        <f>IF($B43=0,1000000,IF(INDEX('計算A'!$D$60:$II$104,$B43,54)*EX43=1,IF(AND($E43=2,OE43=0),1000000,INDEX('計算A'!BE$110:BE$114,$F43+1)+IF(AND($E43=1,OE43=0),1000,0)),1000000))</f>
        <v/>
      </c>
      <c r="XM43">
        <f>IF($B43=0,1000000,IF(INDEX('計算A'!$D$60:$II$104,$B43,55)*EY43=1,IF(AND($E43=2,OF43=0),1000000,INDEX('計算A'!BF$110:BF$114,$F43+1)+IF(AND($E43=1,OF43=0),1000,0)),1000000))</f>
        <v/>
      </c>
      <c r="XN43">
        <f>IF($B43=0,1000000,IF(INDEX('計算A'!$D$60:$II$104,$B43,56)*EZ43=1,IF(AND($E43=2,OG43=0),1000000,INDEX('計算A'!BG$110:BG$114,$F43+1)+IF(AND($E43=1,OG43=0),1000,0)),1000000))</f>
        <v/>
      </c>
      <c r="XO43">
        <f>IF($B43=0,1000000,IF(INDEX('計算A'!$D$60:$II$104,$B43,57)*FA43=1,IF(AND($E43=2,OH43=0),1000000,INDEX('計算A'!BH$110:BH$114,$F43+1)+IF(AND($E43=1,OH43=0),1000,0)),1000000))</f>
        <v/>
      </c>
      <c r="XP43">
        <f>IF($B43=0,1000000,IF(INDEX('計算A'!$D$60:$II$104,$B43,58)*FB43=1,IF(AND($E43=2,OI43=0),1000000,INDEX('計算A'!BI$110:BI$114,$F43+1)+IF(AND($E43=1,OI43=0),1000,0)),1000000))</f>
        <v/>
      </c>
      <c r="XQ43">
        <f>IF($B43=0,1000000,IF(INDEX('計算A'!$D$60:$II$104,$B43,59)*FC43=1,IF(AND($E43=2,OJ43=0),1000000,INDEX('計算A'!BJ$110:BJ$114,$F43+1)+IF(AND($E43=1,OJ43=0),1000,0)),1000000))</f>
        <v/>
      </c>
      <c r="XR43">
        <f>IF($B43=0,1000000,IF(INDEX('計算A'!$D$60:$II$104,$B43,60)*FD43=1,IF(AND($E43=2,OK43=0),1000000,INDEX('計算A'!BK$110:BK$114,$F43+1)+IF(AND($E43=1,OK43=0),1000,0)),1000000))</f>
        <v/>
      </c>
      <c r="XS43">
        <f>IF($B43=0,1000000,IF(INDEX('計算A'!$D$60:$II$104,$B43,61)*FE43=1,IF(AND($E43=2,OL43=0),1000000,INDEX('計算A'!BL$110:BL$114,$F43+1)+IF(AND($E43=1,OL43=0),1000,0)),1000000))</f>
        <v/>
      </c>
      <c r="XT43">
        <f>IF($B43=0,1000000,IF(INDEX('計算A'!$D$60:$II$104,$B43,62)*FF43=1,IF(AND($E43=2,OM43=0),1000000,INDEX('計算A'!BM$110:BM$114,$F43+1)+IF(AND($E43=1,OM43=0),1000,0)),1000000))</f>
        <v/>
      </c>
      <c r="XU43">
        <f>IF($B43=0,1000000,IF(INDEX('計算A'!$D$60:$II$104,$B43,63)*FG43=1,IF(AND($E43=2,ON43=0),1000000,INDEX('計算A'!BN$110:BN$114,$F43+1)+IF(AND($E43=1,ON43=0),1000,0)),1000000))</f>
        <v/>
      </c>
      <c r="XV43">
        <f>IF($B43=0,1000000,IF(INDEX('計算A'!$D$60:$II$104,$B43,64)*FH43=1,IF(AND($E43=2,OO43=0),1000000,INDEX('計算A'!BO$110:BO$114,$F43+1)+IF(AND($E43=1,OO43=0),1000,0)),1000000))</f>
        <v/>
      </c>
      <c r="XW43">
        <f>IF($B43=0,1000000,IF(INDEX('計算A'!$D$60:$II$104,$B43,65)*FI43=1,IF(AND($E43=2,OP43=0),1000000,INDEX('計算A'!BP$110:BP$114,$F43+1)+IF(AND($E43=1,OP43=0),1000,0)),1000000))</f>
        <v/>
      </c>
      <c r="XX43">
        <f>IF($B43=0,1000000,IF(INDEX('計算A'!$D$60:$II$104,$B43,66)*FJ43=1,IF(AND($E43=2,OQ43=0),1000000,INDEX('計算A'!BQ$110:BQ$114,$F43+1)+IF(AND($E43=1,OQ43=0),1000,0)),1000000))</f>
        <v/>
      </c>
      <c r="XY43">
        <f>IF($B43=0,1000000,IF(INDEX('計算A'!$D$60:$II$104,$B43,67)*FK43=1,IF(AND($E43=2,OR43=0),1000000,INDEX('計算A'!BR$110:BR$114,$F43+1)+IF(AND($E43=1,OR43=0),1000,0)),1000000))</f>
        <v/>
      </c>
      <c r="XZ43">
        <f>IF($B43=0,1000000,IF(INDEX('計算A'!$D$60:$II$104,$B43,68)*FL43=1,IF(AND($E43=2,OS43=0),1000000,INDEX('計算A'!BS$110:BS$114,$F43+1)+IF(AND($E43=1,OS43=0),1000,0)),1000000))</f>
        <v/>
      </c>
      <c r="YA43">
        <f>IF($B43=0,1000000,IF(INDEX('計算A'!$D$60:$II$104,$B43,69)*FM43=1,IF(AND($E43=2,OT43=0),1000000,INDEX('計算A'!BT$110:BT$114,$F43+1)+IF(AND($E43=1,OT43=0),1000,0)),1000000))</f>
        <v/>
      </c>
      <c r="YB43">
        <f>IF($B43=0,1000000,IF(INDEX('計算A'!$D$60:$II$104,$B43,70)*FN43=1,IF(AND($E43=2,OU43=0),1000000,INDEX('計算A'!BU$110:BU$114,$F43+1)+IF(AND($E43=1,OU43=0),1000,0)),1000000))</f>
        <v/>
      </c>
      <c r="YC43">
        <f>IF($B43=0,1000000,IF(INDEX('計算A'!$D$60:$II$104,$B43,71)*FO43=1,IF(AND($E43=2,OV43=0),1000000,INDEX('計算A'!BV$110:BV$114,$F43+1)+IF(AND($E43=1,OV43=0),1000,0)),1000000))</f>
        <v/>
      </c>
      <c r="YD43">
        <f>IF($B43=0,1000000,IF(INDEX('計算A'!$D$60:$II$104,$B43,72)*FP43=1,IF(AND($E43=2,OW43=0),1000000,INDEX('計算A'!BW$110:BW$114,$F43+1)+IF(AND($E43=1,OW43=0),1000,0)),1000000))</f>
        <v/>
      </c>
      <c r="YE43">
        <f>IF($B43=0,1000000,IF(INDEX('計算A'!$D$60:$II$104,$B43,73)*FQ43=1,IF(AND($E43=2,OX43=0),1000000,INDEX('計算A'!BX$110:BX$114,$F43+1)+IF(AND($E43=1,OX43=0),1000,0)),1000000))</f>
        <v/>
      </c>
      <c r="YF43">
        <f>IF($B43=0,1000000,IF(INDEX('計算A'!$D$60:$II$104,$B43,74)*FR43=1,IF(AND($E43=2,OY43=0),1000000,INDEX('計算A'!BY$110:BY$114,$F43+1)+IF(AND($E43=1,OY43=0),1000,0)),1000000))</f>
        <v/>
      </c>
      <c r="YG43">
        <f>IF($B43=0,1000000,IF(INDEX('計算A'!$D$60:$II$104,$B43,75)*FS43=1,IF(AND($E43=2,OZ43=0),1000000,INDEX('計算A'!BZ$110:BZ$114,$F43+1)+IF(AND($E43=1,OZ43=0),1000,0)),1000000))</f>
        <v/>
      </c>
      <c r="YH43">
        <f>IF($B43=0,1000000,IF(INDEX('計算A'!$D$60:$II$104,$B43,76)*FT43=1,IF(AND($E43=2,PA43=0),1000000,INDEX('計算A'!CA$110:CA$114,$F43+1)+IF(AND($E43=1,PA43=0),1000,0)),1000000))</f>
        <v/>
      </c>
      <c r="YI43">
        <f>IF($B43=0,1000000,IF(INDEX('計算A'!$D$60:$II$104,$B43,77)*FU43=1,IF(AND($E43=2,PB43=0),1000000,INDEX('計算A'!CB$110:CB$114,$F43+1)+IF(AND($E43=1,PB43=0),1000,0)),1000000))</f>
        <v/>
      </c>
      <c r="YJ43">
        <f>IF($B43=0,1000000,IF(INDEX('計算A'!$D$60:$II$104,$B43,78)*FV43=1,IF(AND($E43=2,PC43=0),1000000,INDEX('計算A'!CC$110:CC$114,$F43+1)+IF(AND($E43=1,PC43=0),1000,0)),1000000))</f>
        <v/>
      </c>
      <c r="YK43">
        <f>IF($B43=0,1000000,IF(INDEX('計算A'!$D$60:$II$104,$B43,79)*FW43=1,IF(AND($E43=2,PD43=0),1000000,INDEX('計算A'!CD$110:CD$114,$F43+1)+IF(AND($E43=1,PD43=0),1000,0)),1000000))</f>
        <v/>
      </c>
      <c r="YL43">
        <f>IF($B43=0,1000000,IF(INDEX('計算A'!$D$60:$II$104,$B43,80)*FX43=1,IF(AND($E43=2,PE43=0),1000000,INDEX('計算A'!CE$110:CE$114,$F43+1)+IF(AND($E43=1,PE43=0),1000,0)),1000000))</f>
        <v/>
      </c>
      <c r="YM43">
        <f>IF($B43=0,1000000,IF(INDEX('計算A'!$D$60:$II$104,$B43,81)*FY43=1,IF(AND($E43=2,PF43=0),1000000,INDEX('計算A'!CF$110:CF$114,$F43+1)+IF(AND($E43=1,PF43=0),1000,0)),1000000))</f>
        <v/>
      </c>
      <c r="YN43">
        <f>IF($B43=0,1000000,IF(INDEX('計算A'!$D$60:$II$104,$B43,82)*FZ43=1,IF(AND($E43=2,PG43=0),1000000,INDEX('計算A'!CG$110:CG$114,$F43+1)+IF(AND($E43=1,PG43=0),1000,0)),1000000))</f>
        <v/>
      </c>
      <c r="YO43">
        <f>IF($B43=0,1000000,IF(INDEX('計算A'!$D$60:$II$104,$B43,83)*GA43=1,IF(AND($E43=2,PH43=0),1000000,INDEX('計算A'!CH$110:CH$114,$F43+1)+IF(AND($E43=1,PH43=0),1000,0)),1000000))</f>
        <v/>
      </c>
      <c r="YP43">
        <f>IF($B43=0,1000000,IF(INDEX('計算A'!$D$60:$II$104,$B43,84)*GB43=1,IF(AND($E43=2,PI43=0),1000000,INDEX('計算A'!CI$110:CI$114,$F43+1)+IF(AND($E43=1,PI43=0),1000,0)),1000000))</f>
        <v/>
      </c>
      <c r="YQ43">
        <f>IF($B43=0,1000000,IF(INDEX('計算A'!$D$60:$II$104,$B43,85)*GC43=1,IF(AND($E43=2,PJ43=0),1000000,INDEX('計算A'!CJ$110:CJ$114,$F43+1)+IF(AND($E43=1,PJ43=0),1000,0)),1000000))</f>
        <v/>
      </c>
      <c r="YR43">
        <f>IF($B43=0,1000000,IF(INDEX('計算A'!$D$60:$II$104,$B43,86)*GD43=1,IF(AND($E43=2,PK43=0),1000000,INDEX('計算A'!CK$110:CK$114,$F43+1)+IF(AND($E43=1,PK43=0),1000,0)),1000000))</f>
        <v/>
      </c>
      <c r="YS43">
        <f>IF($B43=0,1000000,IF(INDEX('計算A'!$D$60:$II$104,$B43,87)*GE43=1,IF(AND($E43=2,PL43=0),1000000,INDEX('計算A'!CL$110:CL$114,$F43+1)+IF(AND($E43=1,PL43=0),1000,0)),1000000))</f>
        <v/>
      </c>
      <c r="YT43">
        <f>IF($B43=0,1000000,IF(INDEX('計算A'!$D$60:$II$104,$B43,88)*GF43=1,IF(AND($E43=2,PM43=0),1000000,INDEX('計算A'!CM$110:CM$114,$F43+1)+IF(AND($E43=1,PM43=0),1000,0)),1000000))</f>
        <v/>
      </c>
      <c r="YU43">
        <f>IF($B43=0,1000000,IF(INDEX('計算A'!$D$60:$II$104,$B43,89)*GG43=1,IF(AND($E43=2,PN43=0),1000000,INDEX('計算A'!CN$110:CN$114,$F43+1)+IF(AND($E43=1,PN43=0),1000,0)),1000000))</f>
        <v/>
      </c>
      <c r="YV43">
        <f>IF($B43=0,1000000,IF(INDEX('計算A'!$D$60:$II$104,$B43,90)*GH43=1,IF(AND($E43=2,PO43=0),1000000,INDEX('計算A'!CO$110:CO$114,$F43+1)+IF(AND($E43=1,PO43=0),1000,0)),1000000))</f>
        <v/>
      </c>
      <c r="YW43">
        <f>IF($B43=0,1000000,IF(INDEX('計算A'!$D$60:$II$104,$B43,91)*GI43=1,IF(AND($E43=2,PP43=0),1000000,INDEX('計算A'!CP$110:CP$114,$F43+1)+IF(AND($E43=1,PP43=0),1000,0)),1000000))</f>
        <v/>
      </c>
      <c r="YX43">
        <f>IF($B43=0,1000000,IF(INDEX('計算A'!$D$60:$II$104,$B43,92)*GJ43=1,IF(AND($E43=2,PQ43=0),1000000,INDEX('計算A'!CQ$110:CQ$114,$F43+1)+IF(AND($E43=1,PQ43=0),1000,0)),1000000))</f>
        <v/>
      </c>
      <c r="YY43">
        <f>IF($B43=0,1000000,IF(INDEX('計算A'!$D$60:$II$104,$B43,93)*GK43=1,IF(AND($E43=2,PR43=0),1000000,INDEX('計算A'!CR$110:CR$114,$F43+1)+IF(AND($E43=1,PR43=0),1000,0)),1000000))</f>
        <v/>
      </c>
      <c r="YZ43">
        <f>IF($B43=0,1000000,IF(INDEX('計算A'!$D$60:$II$104,$B43,94)*GL43=1,IF(AND($E43=2,PS43=0),1000000,INDEX('計算A'!CS$110:CS$114,$F43+1)+IF(AND($E43=1,PS43=0),1000,0)),1000000))</f>
        <v/>
      </c>
      <c r="ZA43">
        <f>IF($B43=0,1000000,IF(INDEX('計算A'!$D$60:$II$104,$B43,95)*GM43=1,IF(AND($E43=2,PT43=0),1000000,INDEX('計算A'!CT$110:CT$114,$F43+1)+IF(AND($E43=1,PT43=0),1000,0)),1000000))</f>
        <v/>
      </c>
      <c r="ZB43">
        <f>IF($B43=0,1000000,IF(INDEX('計算A'!$D$60:$II$104,$B43,96)*GN43=1,IF(AND($E43=2,PU43=0),1000000,INDEX('計算A'!CU$110:CU$114,$F43+1)+IF(AND($E43=1,PU43=0),1000,0)),1000000))</f>
        <v/>
      </c>
      <c r="ZC43">
        <f>IF($B43=0,1000000,IF(INDEX('計算A'!$D$60:$II$104,$B43,97)*GO43=1,IF(AND($E43=2,PV43=0),1000000,INDEX('計算A'!CV$110:CV$114,$F43+1)+IF(AND($E43=1,PV43=0),1000,0)),1000000))</f>
        <v/>
      </c>
      <c r="ZD43">
        <f>IF($B43=0,1000000,IF(INDEX('計算A'!$D$60:$II$104,$B43,98)*GP43=1,IF(AND($E43=2,PW43=0),1000000,INDEX('計算A'!CW$110:CW$114,$F43+1)+IF(AND($E43=1,PW43=0),1000,0)),1000000))</f>
        <v/>
      </c>
      <c r="ZE43">
        <f>IF($B43=0,1000000,IF(INDEX('計算A'!$D$60:$II$104,$B43,99)*GQ43=1,IF(AND($E43=2,PX43=0),1000000,INDEX('計算A'!CX$110:CX$114,$F43+1)+IF(AND($E43=1,PX43=0),1000,0)),1000000))</f>
        <v/>
      </c>
      <c r="ZF43">
        <f>IF($B43=0,1000000,IF(INDEX('計算A'!$D$60:$II$104,$B43,100)*GR43=1,IF(AND($E43=2,PY43=0),1000000,INDEX('計算A'!CY$110:CY$114,$F43+1)+IF(AND($E43=1,PY43=0),1000,0)),1000000))</f>
        <v/>
      </c>
      <c r="ZG43">
        <f>IF($B43=0,1000000,IF(INDEX('計算A'!$D$60:$II$104,$B43,101)*GS43=1,IF(AND($E43=2,PZ43=0),1000000,INDEX('計算A'!CZ$110:CZ$114,$F43+1)+IF(AND($E43=1,PZ43=0),1000,0)),1000000))</f>
        <v/>
      </c>
      <c r="ZH43">
        <f>IF($B43=0,1000000,IF(INDEX('計算A'!$D$60:$II$104,$B43,102)*GT43=1,IF(AND($E43=2,QA43=0),1000000,INDEX('計算A'!DA$110:DA$114,$F43+1)+IF(AND($E43=1,QA43=0),1000,0)),1000000))</f>
        <v/>
      </c>
      <c r="ZI43">
        <f>IF($B43=0,1000000,IF(INDEX('計算A'!$D$60:$II$104,$B43,103)*GU43=1,IF(AND($E43=2,QB43=0),1000000,INDEX('計算A'!DB$110:DB$114,$F43+1)+IF(AND($E43=1,QB43=0),1000,0)),1000000))</f>
        <v/>
      </c>
      <c r="ZJ43">
        <f>IF($B43=0,1000000,IF(INDEX('計算A'!$D$60:$II$104,$B43,104)*GV43=1,IF(AND($E43=2,QC43=0),1000000,INDEX('計算A'!DC$110:DC$114,$F43+1)+IF(AND($E43=1,QC43=0),1000,0)),1000000))</f>
        <v/>
      </c>
      <c r="ZK43">
        <f>IF($B43=0,1000000,IF(INDEX('計算A'!$D$60:$II$104,$B43,105)*GW43=1,IF(AND($E43=2,QD43=0),1000000,INDEX('計算A'!DD$110:DD$114,$F43+1)+IF(AND($E43=1,QD43=0),1000,0)),1000000))</f>
        <v/>
      </c>
      <c r="ZL43">
        <f>IF($B43=0,1000000,IF(INDEX('計算A'!$D$60:$II$104,$B43,106)*GX43=1,IF(AND($E43=2,QE43=0),1000000,INDEX('計算A'!DE$110:DE$114,$F43+1)+IF(AND($E43=1,QE43=0),1000,0)),1000000))</f>
        <v/>
      </c>
      <c r="ZM43">
        <f>IF($B43=0,1000000,IF(INDEX('計算A'!$D$60:$II$104,$B43,107)*GY43=1,IF(AND($E43=2,QF43=0),1000000,INDEX('計算A'!DF$110:DF$114,$F43+1)+IF(AND($E43=1,QF43=0),1000,0)),1000000))</f>
        <v/>
      </c>
      <c r="ZN43">
        <f>IF($B43=0,1000000,IF(INDEX('計算A'!$D$60:$II$104,$B43,108)*GZ43=1,IF(AND($E43=2,QG43=0),1000000,INDEX('計算A'!DG$110:DG$114,$F43+1)+IF(AND($E43=1,QG43=0),1000,0)),1000000))</f>
        <v/>
      </c>
      <c r="ZO43">
        <f>IF($B43=0,1000000,IF(INDEX('計算A'!$D$60:$II$104,$B43,109)*HA43=1,IF(AND($E43=2,QH43=0),1000000,INDEX('計算A'!DH$110:DH$114,$F43+1)+IF(AND($E43=1,QH43=0),1000,0)),1000000))</f>
        <v/>
      </c>
      <c r="ZP43">
        <f>IF($B43=0,1000000,IF(INDEX('計算A'!$D$60:$II$104,$B43,110)*HB43=1,IF(AND($E43=2,QI43=0),1000000,INDEX('計算A'!DI$110:DI$114,$F43+1)+IF(AND($E43=1,QI43=0),1000,0)),1000000))</f>
        <v/>
      </c>
      <c r="ZQ43">
        <f>IF($B43=0,1000000,IF(INDEX('計算A'!$D$60:$II$104,$B43,111)*HC43=1,IF(AND($E43=2,QJ43=0),1000000,INDEX('計算A'!DJ$110:DJ$114,$F43+1)+IF(AND($E43=1,QJ43=0),1000,0)),1000000))</f>
        <v/>
      </c>
      <c r="ZR43">
        <f>IF($B43=0,1000000,IF(INDEX('計算A'!$D$60:$II$104,$B43,112)*HD43=1,IF(AND($E43=2,QK43=0),1000000,INDEX('計算A'!DK$110:DK$114,$F43+1)+IF(AND($E43=1,QK43=0),1000,0)),1000000))</f>
        <v/>
      </c>
      <c r="ZS43">
        <f>IF($B43=0,1000000,IF(INDEX('計算A'!$D$60:$II$104,$B43,113)*HE43=1,IF(AND($E43=2,QL43=0),1000000,INDEX('計算A'!DL$110:DL$114,$F43+1)+IF(AND($E43=1,QL43=0),1000,0)),1000000))</f>
        <v/>
      </c>
      <c r="ZT43">
        <f>IF($B43=0,1000000,IF(INDEX('計算A'!$D$60:$II$104,$B43,114)*HF43=1,IF(AND($E43=2,QM43=0),1000000,INDEX('計算A'!DM$110:DM$114,$F43+1)+IF(AND($E43=1,QM43=0),1000,0)),1000000))</f>
        <v/>
      </c>
      <c r="ZU43">
        <f>IF($B43=0,1000000,IF(INDEX('計算A'!$D$60:$II$104,$B43,115)*HG43=1,IF(AND($E43=2,QN43=0),1000000,INDEX('計算A'!DN$110:DN$114,$F43+1)+IF(AND($E43=1,QN43=0),1000,0)),1000000))</f>
        <v/>
      </c>
      <c r="ZV43">
        <f>IF($B43=0,1000000,IF(INDEX('計算A'!$D$60:$II$104,$B43,116)*HH43=1,IF(AND($E43=2,QO43=0),1000000,INDEX('計算A'!DO$110:DO$114,$F43+1)+IF(AND($E43=1,QO43=0),1000,0)),1000000))</f>
        <v/>
      </c>
      <c r="ZW43">
        <f>IF($B43=0,1000000,IF(INDEX('計算A'!$D$60:$II$104,$B43,117)*HI43=1,IF(AND($E43=2,QP43=0),1000000,INDEX('計算A'!DP$110:DP$114,$F43+1)+IF(AND($E43=1,QP43=0),1000,0)),1000000))</f>
        <v/>
      </c>
      <c r="ZX43">
        <f>IF($B43=0,1000000,IF(INDEX('計算A'!$D$60:$II$104,$B43,118)*HJ43=1,IF(AND($E43=2,QQ43=0),1000000,INDEX('計算A'!DQ$110:DQ$114,$F43+1)+IF(AND($E43=1,QQ43=0),1000,0)),1000000))</f>
        <v/>
      </c>
      <c r="ZY43">
        <f>IF($B43=0,1000000,IF(INDEX('計算A'!$D$60:$II$104,$B43,119)*HK43=1,IF(AND($E43=2,QR43=0),1000000,INDEX('計算A'!DR$110:DR$114,$F43+1)+IF(AND($E43=1,QR43=0),1000,0)),1000000))</f>
        <v/>
      </c>
      <c r="ZZ43">
        <f>IF($B43=0,1000000,IF(INDEX('計算A'!$D$60:$II$104,$B43,120)*HL43=1,IF(AND($E43=2,QS43=0),1000000,INDEX('計算A'!DS$110:DS$114,$F43+1)+IF(AND($E43=1,QS43=0),1000,0)),1000000))</f>
        <v/>
      </c>
      <c r="AAA43">
        <f>IF($B43=0,1000000,IF(INDEX('計算A'!$D$60:$II$104,$B43,121)*HM43=1,IF(AND($E43=2,QT43=0),1000000,INDEX('計算A'!DT$110:DT$114,$F43+1)+IF(AND($E43=1,QT43=0),1000,0)),1000000))</f>
        <v/>
      </c>
      <c r="AAB43">
        <f>IF($B43=0,1000000,IF(INDEX('計算A'!$D$60:$II$104,$B43,122)*HN43=1,IF(AND($E43=2,QU43=0),1000000,INDEX('計算A'!DU$110:DU$114,$F43+1)+IF(AND($E43=1,QU43=0),1000,0)),1000000))</f>
        <v/>
      </c>
      <c r="AAC43">
        <f>IF($B43=0,1000000,IF(INDEX('計算A'!$D$60:$II$104,$B43,123)*HO43=1,IF(AND($E43=2,QV43=0),1000000,INDEX('計算A'!DV$110:DV$114,$F43+1)+IF(AND($E43=1,QV43=0),1000,0)),1000000))</f>
        <v/>
      </c>
      <c r="AAD43">
        <f>IF($B43=0,1000000,IF(INDEX('計算A'!$D$60:$II$104,$B43,124)*HP43=1,IF(AND($E43=2,QW43=0),1000000,INDEX('計算A'!DW$110:DW$114,$F43+1)+IF(AND($E43=1,QW43=0),1000,0)),1000000))</f>
        <v/>
      </c>
      <c r="AAE43">
        <f>IF($B43=0,1000000,IF(INDEX('計算A'!$D$60:$II$104,$B43,125)*HQ43=1,IF(AND($E43=2,QX43=0),1000000,INDEX('計算A'!DX$110:DX$114,$F43+1)+IF(AND($E43=1,QX43=0),1000,0)),1000000))</f>
        <v/>
      </c>
      <c r="AAF43">
        <f>IF($B43=0,1000000,IF(INDEX('計算A'!$D$60:$II$104,$B43,126)*HR43=1,IF(AND($E43=2,QY43=0),1000000,INDEX('計算A'!DY$110:DY$114,$F43+1)+IF(AND($E43=1,QY43=0),1000,0)),1000000))</f>
        <v/>
      </c>
      <c r="AAG43">
        <f>IF($B43=0,1000000,IF(INDEX('計算A'!$D$60:$II$104,$B43,127)*HS43=1,IF(AND($E43=2,QZ43=0),1000000,INDEX('計算A'!DZ$110:DZ$114,$F43+1)+IF(AND($E43=1,QZ43=0),1000,0)),1000000))</f>
        <v/>
      </c>
      <c r="AAH43">
        <f>IF($B43=0,1000000,IF(INDEX('計算A'!$D$60:$II$104,$B43,128)*HT43=1,IF(AND($E43=2,RA43=0),1000000,INDEX('計算A'!EA$110:EA$114,$F43+1)+IF(AND($E43=1,RA43=0),1000,0)),1000000))</f>
        <v/>
      </c>
      <c r="AAI43">
        <f>IF($B43=0,1000000,IF(INDEX('計算A'!$D$60:$II$104,$B43,129)*HU43=1,IF(AND($E43=2,RB43=0),1000000,INDEX('計算A'!EB$110:EB$114,$F43+1)+IF(AND($E43=1,RB43=0),1000,0)),1000000))</f>
        <v/>
      </c>
      <c r="AAJ43">
        <f>IF($B43=0,1000000,IF(INDEX('計算A'!$D$60:$II$104,$B43,130)*HV43=1,IF(AND($E43=2,RC43=0),1000000,INDEX('計算A'!EC$110:EC$114,$F43+1)+IF(AND($E43=1,RC43=0),1000,0)),1000000))</f>
        <v/>
      </c>
      <c r="AAK43">
        <f>IF($B43=0,1000000,IF(INDEX('計算A'!$D$60:$II$104,$B43,131)*HW43=1,IF(AND($E43=2,RD43=0),1000000,INDEX('計算A'!ED$110:ED$114,$F43+1)+IF(AND($E43=1,RD43=0),1000,0)),1000000))</f>
        <v/>
      </c>
      <c r="AAL43">
        <f>IF($B43=0,1000000,IF(INDEX('計算A'!$D$60:$II$104,$B43,132)*HX43=1,IF(AND($E43=2,RE43=0),1000000,INDEX('計算A'!EE$110:EE$114,$F43+1)+IF(AND($E43=1,RE43=0),1000,0)),1000000))</f>
        <v/>
      </c>
      <c r="AAM43">
        <f>IF($B43=0,1000000,IF(INDEX('計算A'!$D$60:$II$104,$B43,133)*HY43=1,IF(AND($E43=2,RF43=0),1000000,INDEX('計算A'!EF$110:EF$114,$F43+1)+IF(AND($E43=1,RF43=0),1000,0)),1000000))</f>
        <v/>
      </c>
      <c r="AAN43">
        <f>IF($B43=0,1000000,IF(INDEX('計算A'!$D$60:$II$104,$B43,134)*HZ43=1,IF(AND($E43=2,RG43=0),1000000,INDEX('計算A'!EG$110:EG$114,$F43+1)+IF(AND($E43=1,RG43=0),1000,0)),1000000))</f>
        <v/>
      </c>
      <c r="AAO43">
        <f>IF($B43=0,1000000,IF(INDEX('計算A'!$D$60:$II$104,$B43,135)*IA43=1,IF(AND($E43=2,RH43=0),1000000,INDEX('計算A'!EH$110:EH$114,$F43+1)+IF(AND($E43=1,RH43=0),1000,0)),1000000))</f>
        <v/>
      </c>
      <c r="AAP43">
        <f>IF($B43=0,1000000,IF(INDEX('計算A'!$D$60:$II$104,$B43,136)*IB43=1,IF(AND($E43=2,RI43=0),1000000,INDEX('計算A'!EI$110:EI$114,$F43+1)+IF(AND($E43=1,RI43=0),1000,0)),1000000))</f>
        <v/>
      </c>
      <c r="AAQ43">
        <f>IF($B43=0,1000000,IF(INDEX('計算A'!$D$60:$II$104,$B43,137)*IC43=1,IF(AND($E43=2,RJ43=0),1000000,INDEX('計算A'!EJ$110:EJ$114,$F43+1)+IF(AND($E43=1,RJ43=0),1000,0)),1000000))</f>
        <v/>
      </c>
      <c r="AAR43">
        <f>IF($B43=0,1000000,IF(INDEX('計算A'!$D$60:$II$104,$B43,138)*ID43=1,IF(AND($E43=2,RK43=0),1000000,INDEX('計算A'!EK$110:EK$114,$F43+1)+IF(AND($E43=1,RK43=0),1000,0)),1000000))</f>
        <v/>
      </c>
      <c r="AAS43">
        <f>IF($B43=0,1000000,IF(INDEX('計算A'!$D$60:$II$104,$B43,139)*IE43=1,IF(AND($E43=2,RL43=0),1000000,INDEX('計算A'!EL$110:EL$114,$F43+1)+IF(AND($E43=1,RL43=0),1000,0)),1000000))</f>
        <v/>
      </c>
      <c r="AAT43">
        <f>IF($B43=0,1000000,IF(INDEX('計算A'!$D$60:$II$104,$B43,140)*IF43=1,IF(AND($E43=2,RM43=0),1000000,INDEX('計算A'!EM$110:EM$114,$F43+1)+IF(AND($E43=1,RM43=0),1000,0)),1000000))</f>
        <v/>
      </c>
      <c r="AAU43">
        <f>IF($B43=0,1000000,IF(INDEX('計算A'!$D$60:$II$104,$B43,141)*IG43=1,IF(AND($E43=2,RN43=0),1000000,INDEX('計算A'!EN$110:EN$114,$F43+1)+IF(AND($E43=1,RN43=0),1000,0)),1000000))</f>
        <v/>
      </c>
      <c r="AAV43">
        <f>IF($B43=0,1000000,IF(INDEX('計算A'!$D$60:$II$104,$B43,142)*IH43=1,IF(AND($E43=2,RO43=0),1000000,INDEX('計算A'!EO$110:EO$114,$F43+1)+IF(AND($E43=1,RO43=0),1000,0)),1000000))</f>
        <v/>
      </c>
      <c r="AAW43">
        <f>IF($B43=0,1000000,IF(INDEX('計算A'!$D$60:$II$104,$B43,143)*II43=1,IF(AND($E43=2,RP43=0),1000000,INDEX('計算A'!EP$110:EP$114,$F43+1)+IF(AND($E43=1,RP43=0),1000,0)),1000000))</f>
        <v/>
      </c>
      <c r="AAX43">
        <f>IF($B43=0,1000000,IF(INDEX('計算A'!$D$60:$II$104,$B43,144)*IJ43=1,IF(AND($E43=2,RQ43=0),1000000,INDEX('計算A'!EQ$110:EQ$114,$F43+1)+IF(AND($E43=1,RQ43=0),1000,0)),1000000))</f>
        <v/>
      </c>
      <c r="AAY43">
        <f>IF($B43=0,1000000,IF(INDEX('計算A'!$D$60:$II$104,$B43,145)*IK43=1,IF(AND($E43=2,RR43=0),1000000,INDEX('計算A'!ER$110:ER$114,$F43+1)+IF(AND($E43=1,RR43=0),1000,0)),1000000))</f>
        <v/>
      </c>
      <c r="AAZ43">
        <f>IF($B43=0,1000000,IF(INDEX('計算A'!$D$60:$II$104,$B43,146)*IL43=1,IF(AND($E43=2,RS43=0),1000000,INDEX('計算A'!ES$110:ES$114,$F43+1)+IF(AND($E43=1,RS43=0),1000,0)),1000000))</f>
        <v/>
      </c>
      <c r="ABA43">
        <f>IF($B43=0,1000000,IF(INDEX('計算A'!$D$60:$II$104,$B43,147)*IM43=1,IF(AND($E43=2,RT43=0),1000000,INDEX('計算A'!ET$110:ET$114,$F43+1)+IF(AND($E43=1,RT43=0),1000,0)),1000000))</f>
        <v/>
      </c>
      <c r="ABB43">
        <f>IF($B43=0,1000000,IF(INDEX('計算A'!$D$60:$II$104,$B43,148)*IN43=1,IF(AND($E43=2,RU43=0),1000000,INDEX('計算A'!EU$110:EU$114,$F43+1)+IF(AND($E43=1,RU43=0),1000,0)),1000000))</f>
        <v/>
      </c>
      <c r="ABC43">
        <f>IF($B43=0,1000000,IF(INDEX('計算A'!$D$60:$II$104,$B43,149)*IO43=1,IF(AND($E43=2,RV43=0),1000000,INDEX('計算A'!EV$110:EV$114,$F43+1)+IF(AND($E43=1,RV43=0),1000,0)),1000000))</f>
        <v/>
      </c>
      <c r="ABD43">
        <f>IF($B43=0,1000000,IF(INDEX('計算A'!$D$60:$II$104,$B43,150)*IP43=1,IF(AND($E43=2,RW43=0),1000000,INDEX('計算A'!EW$110:EW$114,$F43+1)+IF(AND($E43=1,RW43=0),1000,0)),1000000))</f>
        <v/>
      </c>
      <c r="ABE43">
        <f>IF($B43=0,1000000,IF(INDEX('計算A'!$D$60:$II$104,$B43,151)*IQ43=1,IF(AND($E43=2,RX43=0),1000000,INDEX('計算A'!EX$110:EX$114,$F43+1)+IF(AND($E43=1,RX43=0),1000,0)),1000000))</f>
        <v/>
      </c>
      <c r="ABF43">
        <f>IF($B43=0,1000000,IF(INDEX('計算A'!$D$60:$II$104,$B43,152)*IR43=1,IF(AND($E43=2,RY43=0),1000000,INDEX('計算A'!EY$110:EY$114,$F43+1)+IF(AND($E43=1,RY43=0),1000,0)),1000000))</f>
        <v/>
      </c>
      <c r="ABG43">
        <f>IF($B43=0,1000000,IF(INDEX('計算A'!$D$60:$II$104,$B43,153)*IS43=1,IF(AND($E43=2,RZ43=0),1000000,INDEX('計算A'!EZ$110:EZ$114,$F43+1)+IF(AND($E43=1,RZ43=0),1000,0)),1000000))</f>
        <v/>
      </c>
      <c r="ABH43">
        <f>IF($B43=0,1000000,IF(INDEX('計算A'!$D$60:$II$104,$B43,154)*IT43=1,IF(AND($E43=2,SA43=0),1000000,INDEX('計算A'!FA$110:FA$114,$F43+1)+IF(AND($E43=1,SA43=0),1000,0)),1000000))</f>
        <v/>
      </c>
      <c r="ABI43">
        <f>IF($B43=0,1000000,IF(INDEX('計算A'!$D$60:$II$104,$B43,155)*IU43=1,IF(AND($E43=2,SB43=0),1000000,INDEX('計算A'!FB$110:FB$114,$F43+1)+IF(AND($E43=1,SB43=0),1000,0)),1000000))</f>
        <v/>
      </c>
      <c r="ABJ43">
        <f>IF($B43=0,1000000,IF(INDEX('計算A'!$D$60:$II$104,$B43,156)*IV43=1,IF(AND($E43=2,SC43=0),1000000,INDEX('計算A'!FC$110:FC$114,$F43+1)+IF(AND($E43=1,SC43=0),1000,0)),1000000))</f>
        <v/>
      </c>
      <c r="ABK43">
        <f>IF($B43=0,1000000,IF(INDEX('計算A'!$D$60:$II$104,$B43,157)*IW43=1,IF(AND($E43=2,SD43=0),1000000,INDEX('計算A'!FD$110:FD$114,$F43+1)+IF(AND($E43=1,SD43=0),1000,0)),1000000))</f>
        <v/>
      </c>
      <c r="ABL43">
        <f>IF($B43=0,1000000,IF(INDEX('計算A'!$D$60:$II$104,$B43,158)*IX43=1,IF(AND($E43=2,SE43=0),1000000,INDEX('計算A'!FE$110:FE$114,$F43+1)+IF(AND($E43=1,SE43=0),1000,0)),1000000))</f>
        <v/>
      </c>
      <c r="ABM43">
        <f>IF($B43=0,1000000,IF(INDEX('計算A'!$D$60:$II$104,$B43,159)*IY43=1,IF(AND($E43=2,SF43=0),1000000,INDEX('計算A'!FF$110:FF$114,$F43+1)+IF(AND($E43=1,SF43=0),1000,0)),1000000))</f>
        <v/>
      </c>
      <c r="ABN43">
        <f>IF($B43=0,1000000,IF(INDEX('計算A'!$D$60:$II$104,$B43,160)*IZ43=1,IF(AND($E43=2,SG43=0),1000000,INDEX('計算A'!FG$110:FG$114,$F43+1)+IF(AND($E43=1,SG43=0),1000,0)),1000000))</f>
        <v/>
      </c>
      <c r="ABO43">
        <f>IF($B43=0,1000000,IF(INDEX('計算A'!$D$60:$II$104,$B43,161)*JA43=1,IF(AND($E43=2,SH43=0),1000000,INDEX('計算A'!FH$110:FH$114,$F43+1)+IF(AND($E43=1,SH43=0),1000,0)),1000000))</f>
        <v/>
      </c>
      <c r="ABP43">
        <f>IF($B43=0,1000000,IF(INDEX('計算A'!$D$60:$II$104,$B43,162)*JB43=1,IF(AND($E43=2,SI43=0),1000000,INDEX('計算A'!FI$110:FI$114,$F43+1)+IF(AND($E43=1,SI43=0),1000,0)),1000000))</f>
        <v/>
      </c>
      <c r="ABQ43">
        <f>IF($B43=0,1000000,IF(INDEX('計算A'!$D$60:$II$104,$B43,163)*JC43=1,IF(AND($E43=2,SJ43=0),1000000,INDEX('計算A'!FJ$110:FJ$114,$F43+1)+IF(AND($E43=1,SJ43=0),1000,0)),1000000))</f>
        <v/>
      </c>
      <c r="ABR43">
        <f>IF($B43=0,1000000,IF(INDEX('計算A'!$D$60:$II$104,$B43,164)*JD43=1,IF(AND($E43=2,SK43=0),1000000,INDEX('計算A'!FK$110:FK$114,$F43+1)+IF(AND($E43=1,SK43=0),1000,0)),1000000))</f>
        <v/>
      </c>
      <c r="ABS43">
        <f>IF($B43=0,1000000,IF(INDEX('計算A'!$D$60:$II$104,$B43,165)*JE43=1,IF(AND($E43=2,SL43=0),1000000,INDEX('計算A'!FL$110:FL$114,$F43+1)+IF(AND($E43=1,SL43=0),1000,0)),1000000))</f>
        <v/>
      </c>
      <c r="ABT43">
        <f>IF($B43=0,1000000,IF(INDEX('計算A'!$D$60:$II$104,$B43,166)*JF43=1,IF(AND($E43=2,SM43=0),1000000,INDEX('計算A'!FM$110:FM$114,$F43+1)+IF(AND($E43=1,SM43=0),1000,0)),1000000))</f>
        <v/>
      </c>
      <c r="ABU43">
        <f>IF($B43=0,1000000,IF(INDEX('計算A'!$D$60:$II$104,$B43,167)*JG43=1,IF(AND($E43=2,SN43=0),1000000,INDEX('計算A'!FN$110:FN$114,$F43+1)+IF(AND($E43=1,SN43=0),1000,0)),1000000))</f>
        <v/>
      </c>
      <c r="ABV43">
        <f>IF($B43=0,1000000,IF(INDEX('計算A'!$D$60:$II$104,$B43,168)*JH43=1,IF(AND($E43=2,SO43=0),1000000,INDEX('計算A'!FO$110:FO$114,$F43+1)+IF(AND($E43=1,SO43=0),1000,0)),1000000))</f>
        <v/>
      </c>
      <c r="ABW43">
        <f>IF($B43=0,1000000,IF(INDEX('計算A'!$D$60:$II$104,$B43,169)*JI43=1,IF(AND($E43=2,SP43=0),1000000,INDEX('計算A'!FP$110:FP$114,$F43+1)+IF(AND($E43=1,SP43=0),1000,0)),1000000))</f>
        <v/>
      </c>
      <c r="ABX43">
        <f>IF($B43=0,1000000,IF(INDEX('計算A'!$D$60:$II$104,$B43,170)*JJ43=1,IF(AND($E43=2,SQ43=0),1000000,INDEX('計算A'!FQ$110:FQ$114,$F43+1)+IF(AND($E43=1,SQ43=0),1000,0)),1000000))</f>
        <v/>
      </c>
      <c r="ABY43">
        <f>IF($B43=0,1000000,IF(INDEX('計算A'!$D$60:$II$104,$B43,171)*JK43=1,IF(AND($E43=2,SR43=0),1000000,INDEX('計算A'!FR$110:FR$114,$F43+1)+IF(AND($E43=1,SR43=0),1000,0)),1000000))</f>
        <v/>
      </c>
      <c r="ABZ43">
        <f>IF($B43=0,1000000,IF(INDEX('計算A'!$D$60:$II$104,$B43,172)*JL43=1,IF(AND($E43=2,SS43=0),1000000,INDEX('計算A'!FS$110:FS$114,$F43+1)+IF(AND($E43=1,SS43=0),1000,0)),1000000))</f>
        <v/>
      </c>
      <c r="ACA43">
        <f>IF($B43=0,1000000,IF(INDEX('計算A'!$D$60:$II$104,$B43,173)*JM43=1,IF(AND($E43=2,ST43=0),1000000,INDEX('計算A'!FT$110:FT$114,$F43+1)+IF(AND($E43=1,ST43=0),1000,0)),1000000))</f>
        <v/>
      </c>
      <c r="ACB43">
        <f>IF($B43=0,1000000,IF(INDEX('計算A'!$D$60:$II$104,$B43,174)*JN43=1,IF(AND($E43=2,SU43=0),1000000,INDEX('計算A'!FU$110:FU$114,$F43+1)+IF(AND($E43=1,SU43=0),1000,0)),1000000))</f>
        <v/>
      </c>
      <c r="ACC43">
        <f>IF($B43=0,1000000,IF(INDEX('計算A'!$D$60:$II$104,$B43,175)*JO43=1,IF(AND($E43=2,SV43=0),1000000,INDEX('計算A'!FV$110:FV$114,$F43+1)+IF(AND($E43=1,SV43=0),1000,0)),1000000))</f>
        <v/>
      </c>
      <c r="ACD43">
        <f>IF($B43=0,1000000,IF(INDEX('計算A'!$D$60:$II$104,$B43,176)*JP43=1,IF(AND($E43=2,SW43=0),1000000,INDEX('計算A'!FW$110:FW$114,$F43+1)+IF(AND($E43=1,SW43=0),1000,0)),1000000))</f>
        <v/>
      </c>
      <c r="ACE43">
        <f>IF($B43=0,1000000,IF(INDEX('計算A'!$D$60:$II$104,$B43,177)*JQ43=1,IF(AND($E43=2,SX43=0),1000000,INDEX('計算A'!FX$110:FX$114,$F43+1)+IF(AND($E43=1,SX43=0),1000,0)),1000000))</f>
        <v/>
      </c>
      <c r="ACF43">
        <f>IF($B43=0,1000000,IF(INDEX('計算A'!$D$60:$II$104,$B43,178)*JR43=1,IF(AND($E43=2,SY43=0),1000000,INDEX('計算A'!FY$110:FY$114,$F43+1)+IF(AND($E43=1,SY43=0),1000,0)),1000000))</f>
        <v/>
      </c>
      <c r="ACG43">
        <f>IF($B43=0,1000000,IF(INDEX('計算A'!$D$60:$II$104,$B43,179)*JS43=1,IF(AND($E43=2,SZ43=0),1000000,INDEX('計算A'!FZ$110:FZ$114,$F43+1)+IF(AND($E43=1,SZ43=0),1000,0)),1000000))</f>
        <v/>
      </c>
      <c r="ACH43">
        <f>IF($B43=0,1000000,IF(INDEX('計算A'!$D$60:$II$104,$B43,180)*JT43=1,IF(AND($E43=2,TA43=0),1000000,INDEX('計算A'!GA$110:GA$114,$F43+1)+IF(AND($E43=1,TA43=0),1000,0)),1000000))</f>
        <v/>
      </c>
      <c r="ACI43">
        <f>IF($B43=0,1000000,IF(INDEX('計算A'!$D$60:$II$104,$B43,181)*JU43=1,IF(AND($E43=2,TB43=0),1000000,INDEX('計算A'!GB$110:GB$114,$F43+1)+IF(AND($E43=1,TB43=0),1000,0)),1000000))</f>
        <v/>
      </c>
      <c r="ACJ43">
        <f>IF($B43=0,1000000,IF(INDEX('計算A'!$D$60:$II$104,$B43,182)*JV43=1,IF(AND($E43=2,TC43=0),1000000,INDEX('計算A'!GC$110:GC$114,$F43+1)+IF(AND($E43=1,TC43=0),1000,0)),1000000))</f>
        <v/>
      </c>
      <c r="ACK43">
        <f>IF($B43=0,1000000,IF(INDEX('計算A'!$D$60:$II$104,$B43,183)*JW43=1,IF(AND($E43=2,TD43=0),1000000,INDEX('計算A'!GD$110:GD$114,$F43+1)+IF(AND($E43=1,TD43=0),1000,0)),1000000))</f>
        <v/>
      </c>
      <c r="ACL43">
        <f>IF($B43=0,1000000,IF(INDEX('計算A'!$D$60:$II$104,$B43,184)*JX43=1,IF(AND($E43=2,TE43=0),1000000,INDEX('計算A'!GE$110:GE$114,$F43+1)+IF(AND($E43=1,TE43=0),1000,0)),1000000))</f>
        <v/>
      </c>
      <c r="ACM43">
        <f>IF($B43=0,1000000,IF(INDEX('計算A'!$D$60:$II$104,$B43,185)*JY43=1,IF(AND($E43=2,TF43=0),1000000,INDEX('計算A'!GF$110:GF$114,$F43+1)+IF(AND($E43=1,TF43=0),1000,0)),1000000))</f>
        <v/>
      </c>
      <c r="ACN43">
        <f>IF($B43=0,1000000,IF(INDEX('計算A'!$D$60:$II$104,$B43,186)*JZ43=1,IF(AND($E43=2,TG43=0),1000000,INDEX('計算A'!GG$110:GG$114,$F43+1)+IF(AND($E43=1,TG43=0),1000,0)),1000000))</f>
        <v/>
      </c>
      <c r="ACO43">
        <f>IF($B43=0,1000000,IF(INDEX('計算A'!$D$60:$II$104,$B43,187)*KA43=1,IF(AND($E43=2,TH43=0),1000000,INDEX('計算A'!GH$110:GH$114,$F43+1)+IF(AND($E43=1,TH43=0),1000,0)),1000000))</f>
        <v/>
      </c>
      <c r="ACP43">
        <f>IF($B43=0,1000000,IF(INDEX('計算A'!$D$60:$II$104,$B43,188)*KB43=1,IF(AND($E43=2,TI43=0),1000000,INDEX('計算A'!GI$110:GI$114,$F43+1)+IF(AND($E43=1,TI43=0),1000,0)),1000000))</f>
        <v/>
      </c>
      <c r="ACQ43">
        <f>IF($B43=0,1000000,IF(INDEX('計算A'!$D$60:$II$104,$B43,189)*KC43=1,IF(AND($E43=2,TJ43=0),1000000,INDEX('計算A'!GJ$110:GJ$114,$F43+1)+IF(AND($E43=1,TJ43=0),1000,0)),1000000))</f>
        <v/>
      </c>
      <c r="ACR43">
        <f>IF($B43=0,1000000,IF(INDEX('計算A'!$D$60:$II$104,$B43,190)*KD43=1,IF(AND($E43=2,TK43=0),1000000,INDEX('計算A'!GK$110:GK$114,$F43+1)+IF(AND($E43=1,TK43=0),1000,0)),1000000))</f>
        <v/>
      </c>
      <c r="ACS43">
        <f>IF($B43=0,1000000,IF(INDEX('計算A'!$D$60:$II$104,$B43,191)*KE43=1,IF(AND($E43=2,TL43=0),1000000,INDEX('計算A'!GL$110:GL$114,$F43+1)+IF(AND($E43=1,TL43=0),1000,0)),1000000))</f>
        <v/>
      </c>
      <c r="ACT43">
        <f>IF($B43=0,1000000,IF(INDEX('計算A'!$D$60:$II$104,$B43,192)*KF43=1,IF(AND($E43=2,TM43=0),1000000,INDEX('計算A'!GM$110:GM$114,$F43+1)+IF(AND($E43=1,TM43=0),1000,0)),1000000))</f>
        <v/>
      </c>
      <c r="ACU43">
        <f>IF($B43=0,1000000,IF(INDEX('計算A'!$D$60:$II$104,$B43,193)*KG43=1,IF(AND($E43=2,TN43=0),1000000,INDEX('計算A'!GN$110:GN$114,$F43+1)+IF(AND($E43=1,TN43=0),1000,0)),1000000))</f>
        <v/>
      </c>
      <c r="ACV43">
        <f>IF($B43=0,1000000,IF(INDEX('計算A'!$D$60:$II$104,$B43,194)*KH43=1,IF(AND($E43=2,TO43=0),1000000,INDEX('計算A'!GO$110:GO$114,$F43+1)+IF(AND($E43=1,TO43=0),1000,0)),1000000))</f>
        <v/>
      </c>
      <c r="ACW43">
        <f>IF($B43=0,1000000,IF(INDEX('計算A'!$D$60:$II$104,$B43,195)*KI43=1,IF(AND($E43=2,TP43=0),1000000,INDEX('計算A'!GP$110:GP$114,$F43+1)+IF(AND($E43=1,TP43=0),1000,0)),1000000))</f>
        <v/>
      </c>
      <c r="ACX43">
        <f>IF($B43=0,1000000,IF(INDEX('計算A'!$D$60:$II$104,$B43,196)*KJ43=1,IF(AND($E43=2,TQ43=0),1000000,INDEX('計算A'!GQ$110:GQ$114,$F43+1)+IF(AND($E43=1,TQ43=0),1000,0)),1000000))</f>
        <v/>
      </c>
      <c r="ACY43">
        <f>IF($B43=0,1000000,IF(INDEX('計算A'!$D$60:$II$104,$B43,197)*KK43=1,IF(AND($E43=2,TR43=0),1000000,INDEX('計算A'!GR$110:GR$114,$F43+1)+IF(AND($E43=1,TR43=0),1000,0)),1000000))</f>
        <v/>
      </c>
      <c r="ACZ43">
        <f>IF($B43=0,1000000,IF(INDEX('計算A'!$D$60:$II$104,$B43,198)*KL43=1,IF(AND($E43=2,TS43=0),1000000,INDEX('計算A'!GS$110:GS$114,$F43+1)+IF(AND($E43=1,TS43=0),1000,0)),1000000))</f>
        <v/>
      </c>
      <c r="ADA43">
        <f>IF($B43=0,1000000,IF(INDEX('計算A'!$D$60:$II$104,$B43,199)*KM43=1,IF(AND($E43=2,TT43=0),1000000,INDEX('計算A'!GT$110:GT$114,$F43+1)+IF(AND($E43=1,TT43=0),1000,0)),1000000))</f>
        <v/>
      </c>
      <c r="ADB43">
        <f>IF($B43=0,1000000,IF(INDEX('計算A'!$D$60:$II$104,$B43,200)*KN43=1,IF(AND($E43=2,TU43=0),1000000,INDEX('計算A'!GU$110:GU$114,$F43+1)+IF(AND($E43=1,TU43=0),1000,0)),1000000))</f>
        <v/>
      </c>
      <c r="ADC43">
        <f>IF($B43=0,1000000,IF(INDEX('計算A'!$D$60:$II$104,$B43,201)*KO43=1,IF(AND($E43=2,TV43=0),1000000,INDEX('計算A'!GV$110:GV$114,$F43+1)+IF(AND($E43=1,TV43=0),1000,0)),1000000))</f>
        <v/>
      </c>
      <c r="ADD43">
        <f>IF($B43=0,1000000,IF(INDEX('計算A'!$D$60:$II$104,$B43,202)*KP43=1,IF(AND($E43=2,TW43=0),1000000,INDEX('計算A'!GW$110:GW$114,$F43+1)+IF(AND($E43=1,TW43=0),1000,0)),1000000))</f>
        <v/>
      </c>
      <c r="ADE43">
        <f>IF($B43=0,1000000,IF(INDEX('計算A'!$D$60:$II$104,$B43,203)*KQ43=1,IF(AND($E43=2,TX43=0),1000000,INDEX('計算A'!GX$110:GX$114,$F43+1)+IF(AND($E43=1,TX43=0),1000,0)),1000000))</f>
        <v/>
      </c>
      <c r="ADF43">
        <f>IF($B43=0,1000000,IF(INDEX('計算A'!$D$60:$II$104,$B43,204)*KR43=1,IF(AND($E43=2,TY43=0),1000000,INDEX('計算A'!GY$110:GY$114,$F43+1)+IF(AND($E43=1,TY43=0),1000,0)),1000000))</f>
        <v/>
      </c>
      <c r="ADG43">
        <f>IF($B43=0,1000000,IF(INDEX('計算A'!$D$60:$II$104,$B43,205)*KS43=1,IF(AND($E43=2,TZ43=0),1000000,INDEX('計算A'!GZ$110:GZ$114,$F43+1)+IF(AND($E43=1,TZ43=0),1000,0)),1000000))</f>
        <v/>
      </c>
      <c r="ADH43">
        <f>IF($B43=0,1000000,IF(INDEX('計算A'!$D$60:$II$104,$B43,206)*KT43=1,IF(AND($E43=2,UA43=0),1000000,INDEX('計算A'!HA$110:HA$114,$F43+1)+IF(AND($E43=1,UA43=0),1000,0)),1000000))</f>
        <v/>
      </c>
      <c r="ADI43">
        <f>IF($B43=0,1000000,IF(INDEX('計算A'!$D$60:$II$104,$B43,207)*KU43=1,IF(AND($E43=2,UB43=0),1000000,INDEX('計算A'!HB$110:HB$114,$F43+1)+IF(AND($E43=1,UB43=0),1000,0)),1000000))</f>
        <v/>
      </c>
      <c r="ADJ43">
        <f>IF($B43=0,1000000,IF(INDEX('計算A'!$D$60:$II$104,$B43,208)*KV43=1,IF(AND($E43=2,UC43=0),1000000,INDEX('計算A'!HC$110:HC$114,$F43+1)+IF(AND($E43=1,UC43=0),1000,0)),1000000))</f>
        <v/>
      </c>
      <c r="ADK43">
        <f>IF($B43=0,1000000,IF(INDEX('計算A'!$D$60:$II$104,$B43,209)*KW43=1,IF(AND($E43=2,UD43=0),1000000,INDEX('計算A'!HD$110:HD$114,$F43+1)+IF(AND($E43=1,UD43=0),1000,0)),1000000))</f>
        <v/>
      </c>
      <c r="ADL43">
        <f>IF($B43=0,1000000,IF(INDEX('計算A'!$D$60:$II$104,$B43,210)*KX43=1,IF(AND($E43=2,UE43=0),1000000,INDEX('計算A'!HE$110:HE$114,$F43+1)+IF(AND($E43=1,UE43=0),1000,0)),1000000))</f>
        <v/>
      </c>
      <c r="ADM43">
        <f>IF($B43=0,1000000,IF(INDEX('計算A'!$D$60:$II$104,$B43,211)*KY43=1,IF(AND($E43=2,UF43=0),1000000,INDEX('計算A'!HF$110:HF$114,$F43+1)+IF(AND($E43=1,UF43=0),1000,0)),1000000))</f>
        <v/>
      </c>
      <c r="ADN43">
        <f>IF($B43=0,1000000,IF(INDEX('計算A'!$D$60:$II$104,$B43,212)*KZ43=1,IF(AND($E43=2,UG43=0),1000000,INDEX('計算A'!HG$110:HG$114,$F43+1)+IF(AND($E43=1,UG43=0),1000,0)),1000000))</f>
        <v/>
      </c>
      <c r="ADO43">
        <f>IF($B43=0,1000000,IF(INDEX('計算A'!$D$60:$II$104,$B43,213)*LA43=1,IF(AND($E43=2,UH43=0),1000000,INDEX('計算A'!HH$110:HH$114,$F43+1)+IF(AND($E43=1,UH43=0),1000,0)),1000000))</f>
        <v/>
      </c>
      <c r="ADP43">
        <f>IF($B43=0,1000000,IF(INDEX('計算A'!$D$60:$II$104,$B43,214)*LB43=1,IF(AND($E43=2,UI43=0),1000000,INDEX('計算A'!HI$110:HI$114,$F43+1)+IF(AND($E43=1,UI43=0),1000,0)),1000000))</f>
        <v/>
      </c>
      <c r="ADQ43">
        <f>IF($B43=0,1000000,IF(INDEX('計算A'!$D$60:$II$104,$B43,215)*LC43=1,IF(AND($E43=2,UJ43=0),1000000,INDEX('計算A'!HJ$110:HJ$114,$F43+1)+IF(AND($E43=1,UJ43=0),1000,0)),1000000))</f>
        <v/>
      </c>
      <c r="ADR43">
        <f>IF($B43=0,1000000,IF(INDEX('計算A'!$D$60:$II$104,$B43,216)*LD43=1,IF(AND($E43=2,UK43=0),1000000,INDEX('計算A'!HK$110:HK$114,$F43+1)+IF(AND($E43=1,UK43=0),1000,0)),1000000))</f>
        <v/>
      </c>
      <c r="ADS43">
        <f>IF($B43=0,1000000,IF(INDEX('計算A'!$D$60:$II$104,$B43,217)*LE43=1,IF(AND($E43=2,UL43=0),1000000,INDEX('計算A'!HL$110:HL$114,$F43+1)+IF(AND($E43=1,UL43=0),1000,0)),1000000))</f>
        <v/>
      </c>
      <c r="ADT43">
        <f>IF($B43=0,1000000,IF(INDEX('計算A'!$D$60:$II$104,$B43,218)*LF43=1,IF(AND($E43=2,UM43=0),1000000,INDEX('計算A'!HM$110:HM$114,$F43+1)+IF(AND($E43=1,UM43=0),1000,0)),1000000))</f>
        <v/>
      </c>
      <c r="ADU43">
        <f>IF($B43=0,1000000,IF(INDEX('計算A'!$D$60:$II$104,$B43,219)*LG43=1,IF(AND($E43=2,UN43=0),1000000,INDEX('計算A'!HN$110:HN$114,$F43+1)+IF(AND($E43=1,UN43=0),1000,0)),1000000))</f>
        <v/>
      </c>
      <c r="ADV43">
        <f>IF($B43=0,1000000,IF(INDEX('計算A'!$D$60:$II$104,$B43,220)*LH43=1,IF(AND($E43=2,UO43=0),1000000,INDEX('計算A'!HO$110:HO$114,$F43+1)+IF(AND($E43=1,UO43=0),1000,0)),1000000))</f>
        <v/>
      </c>
      <c r="ADW43">
        <f>IF($B43=0,1000000,IF(INDEX('計算A'!$D$60:$II$104,$B43,221)*LI43=1,IF(AND($E43=2,UP43=0),1000000,INDEX('計算A'!HP$110:HP$114,$F43+1)+IF(AND($E43=1,UP43=0),1000,0)),1000000))</f>
        <v/>
      </c>
      <c r="ADX43">
        <f>IF($B43=0,1000000,IF(INDEX('計算A'!$D$60:$II$104,$B43,222)*LJ43=1,IF(AND($E43=2,UQ43=0),1000000,INDEX('計算A'!HQ$110:HQ$114,$F43+1)+IF(AND($E43=1,UQ43=0),1000,0)),1000000))</f>
        <v/>
      </c>
      <c r="ADY43">
        <f>IF($B43=0,1000000,IF(INDEX('計算A'!$D$60:$II$104,$B43,223)*LK43=1,IF(AND($E43=2,UR43=0),1000000,INDEX('計算A'!HR$110:HR$114,$F43+1)+IF(AND($E43=1,UR43=0),1000,0)),1000000))</f>
        <v/>
      </c>
      <c r="ADZ43">
        <f>IF($B43=0,1000000,IF(INDEX('計算A'!$D$60:$II$104,$B43,224)*LL43=1,IF(AND($E43=2,US43=0),1000000,INDEX('計算A'!HS$110:HS$114,$F43+1)+IF(AND($E43=1,US43=0),1000,0)),1000000))</f>
        <v/>
      </c>
      <c r="AEA43">
        <f>IF($B43=0,1000000,IF(INDEX('計算A'!$D$60:$II$104,$B43,225)*LM43=1,IF(AND($E43=2,UT43=0),1000000,INDEX('計算A'!HT$110:HT$114,$F43+1)+IF(AND($E43=1,UT43=0),1000,0)),1000000))</f>
        <v/>
      </c>
      <c r="AEB43">
        <f>IF($B43=0,1000000,IF(INDEX('計算A'!$D$60:$II$104,$B43,226)*LN43=1,IF(AND($E43=2,UU43=0),1000000,INDEX('計算A'!HU$110:HU$114,$F43+1)+IF(AND($E43=1,UU43=0),1000,0)),1000000))</f>
        <v/>
      </c>
      <c r="AEC43">
        <f>IF($B43=0,1000000,IF(INDEX('計算A'!$D$60:$II$104,$B43,227)*LO43=1,IF(AND($E43=2,UV43=0),1000000,INDEX('計算A'!HV$110:HV$114,$F43+1)+IF(AND($E43=1,UV43=0),1000,0)),1000000))</f>
        <v/>
      </c>
      <c r="AED43">
        <f>IF($B43=0,1000000,IF(INDEX('計算A'!$D$60:$II$104,$B43,228)*LP43=1,IF(AND($E43=2,UW43=0),1000000,INDEX('計算A'!HW$110:HW$114,$F43+1)+IF(AND($E43=1,UW43=0),1000,0)),1000000))</f>
        <v/>
      </c>
      <c r="AEE43">
        <f>IF($B43=0,1000000,IF(INDEX('計算A'!$D$60:$II$104,$B43,229)*LQ43=1,IF(AND($E43=2,UX43=0),1000000,INDEX('計算A'!HX$110:HX$114,$F43+1)+IF(AND($E43=1,UX43=0),1000,0)),1000000))</f>
        <v/>
      </c>
      <c r="AEF43">
        <f>IF($B43=0,1000000,IF(INDEX('計算A'!$D$60:$II$104,$B43,230)*LR43=1,IF(AND($E43=2,UY43=0),1000000,INDEX('計算A'!HY$110:HY$114,$F43+1)+IF(AND($E43=1,UY43=0),1000,0)),1000000))</f>
        <v/>
      </c>
      <c r="AEG43">
        <f>IF($B43=0,1000000,IF(INDEX('計算A'!$D$60:$II$104,$B43,231)*LS43=1,IF(AND($E43=2,UZ43=0),1000000,INDEX('計算A'!HZ$110:HZ$114,$F43+1)+IF(AND($E43=1,UZ43=0),1000,0)),1000000))</f>
        <v/>
      </c>
      <c r="AEH43">
        <f>IF($B43=0,1000000,IF(INDEX('計算A'!$D$60:$II$104,$B43,232)*LT43=1,IF(AND($E43=2,VA43=0),1000000,INDEX('計算A'!IA$110:IA$114,$F43+1)+IF(AND($E43=1,VA43=0),1000,0)),1000000))</f>
        <v/>
      </c>
      <c r="AEI43">
        <f>IF($B43=0,1000000,IF(INDEX('計算A'!$D$60:$II$104,$B43,233)*LU43=1,IF(AND($E43=2,VB43=0),1000000,INDEX('計算A'!IB$110:IB$114,$F43+1)+IF(AND($E43=1,VB43=0),1000,0)),1000000))</f>
        <v/>
      </c>
      <c r="AEJ43">
        <f>IF($B43=0,1000000,IF(INDEX('計算A'!$D$60:$II$104,$B43,234)*LV43=1,IF(AND($E43=2,VC43=0),1000000,INDEX('計算A'!IC$110:IC$114,$F43+1)+IF(AND($E43=1,VC43=0),1000,0)),1000000))</f>
        <v/>
      </c>
      <c r="AEK43">
        <f>IF($B43=0,1000000,IF(INDEX('計算A'!$D$60:$II$104,$B43,235)*LW43=1,IF(AND($E43=2,VD43=0),1000000,INDEX('計算A'!ID$110:ID$114,$F43+1)+IF(AND($E43=1,VD43=0),1000,0)),1000000))</f>
        <v/>
      </c>
      <c r="AEL43">
        <f>IF($B43=0,1000000,IF(INDEX('計算A'!$D$60:$II$104,$B43,236)*LX43=1,IF(AND($E43=2,VE43=0),1000000,INDEX('計算A'!IE$110:IE$114,$F43+1)+IF(AND($E43=1,VE43=0),1000,0)),1000000))</f>
        <v/>
      </c>
      <c r="AEM43">
        <f>IF($B43=0,1000000,IF(INDEX('計算A'!$D$60:$II$104,$B43,237)*LY43=1,IF(AND($E43=2,VF43=0),1000000,INDEX('計算A'!IF$110:IF$114,$F43+1)+IF(AND($E43=1,VF43=0),1000,0)),1000000))</f>
        <v/>
      </c>
      <c r="AEN43">
        <f>IF($B43=0,1000000,IF(INDEX('計算A'!$D$60:$II$104,$B43,238)*LZ43=1,IF(AND($E43=2,VG43=0),1000000,INDEX('計算A'!IG$110:IG$114,$F43+1)+IF(AND($E43=1,VG43=0),1000,0)),1000000))</f>
        <v/>
      </c>
      <c r="AEO43">
        <f>IF($B43=0,1000000,IF(INDEX('計算A'!$D$60:$II$104,$B43,239)*MA43=1,IF(AND($E43=2,VH43=0),1000000,INDEX('計算A'!IH$110:IH$114,$F43+1)+IF(AND($E43=1,VH43=0),1000,0)),1000000))</f>
        <v/>
      </c>
      <c r="AEP43">
        <f>IF($B43=0,1000000,IF(INDEX('計算A'!$D$60:$II$104,$B43,240)*MB43=1,IF(AND($E43=2,VI43=0),1000000,INDEX('計算A'!II$110:II$114,$F43+1)+IF(AND($E43=1,VI43=0),1000,0)),1000000))</f>
        <v/>
      </c>
    </row>
    <row r="44">
      <c r="A44" t="n">
        <v>42</v>
      </c>
      <c r="B44">
        <f>IF(MIN(BC44:CU44)&gt;=1000000,0,MATCH(MIN(BC44:CU44),BC44:CU44,0))</f>
        <v/>
      </c>
      <c r="C44">
        <f>IF(MIN(VK44:AEP44)&gt;=1000000,0,MATCH(MIN(VK44:AEP44),VK44:AEP44,0))</f>
        <v/>
      </c>
      <c r="D44">
        <f>IF(C44&gt;0,INDEX('計算A'!$D$5:$II$5,C44),0)</f>
        <v/>
      </c>
      <c r="E44">
        <f>IF(B44=0,0,INDEX('計算A'!$IQ$10:$IQ$54,B44))</f>
        <v/>
      </c>
      <c r="F44">
        <f>IF(B44=0,0,INDEX('計算A'!$IP$10:$IP$54,B44))</f>
        <v/>
      </c>
      <c r="G44">
        <f>IF(AND(C44&gt;0,E44&gt;0),IF(AND(INDEX('計算A'!$D$106:$II$106,C44)=1,INDEX($MD44:$VI44,C44)=1),C44+1,0),0)</f>
        <v/>
      </c>
      <c r="I44">
        <f>MAX(I43,IF($B43=1,1,0))</f>
        <v/>
      </c>
      <c r="J44">
        <f>MAX(J43,IF($B43=2,1,0))</f>
        <v/>
      </c>
      <c r="K44">
        <f>MAX(K43,IF($B43=3,1,0))</f>
        <v/>
      </c>
      <c r="L44">
        <f>MAX(L43,IF($B43=4,1,0))</f>
        <v/>
      </c>
      <c r="M44">
        <f>MAX(M43,IF($B43=5,1,0))</f>
        <v/>
      </c>
      <c r="N44">
        <f>MAX(N43,IF($B43=6,1,0))</f>
        <v/>
      </c>
      <c r="O44">
        <f>MAX(O43,IF($B43=7,1,0))</f>
        <v/>
      </c>
      <c r="P44">
        <f>MAX(P43,IF($B43=8,1,0))</f>
        <v/>
      </c>
      <c r="Q44">
        <f>MAX(Q43,IF($B43=9,1,0))</f>
        <v/>
      </c>
      <c r="R44">
        <f>MAX(R43,IF($B43=10,1,0))</f>
        <v/>
      </c>
      <c r="S44">
        <f>MAX(S43,IF($B43=11,1,0))</f>
        <v/>
      </c>
      <c r="T44">
        <f>MAX(T43,IF($B43=12,1,0))</f>
        <v/>
      </c>
      <c r="U44">
        <f>MAX(U43,IF($B43=13,1,0))</f>
        <v/>
      </c>
      <c r="V44">
        <f>MAX(V43,IF($B43=14,1,0))</f>
        <v/>
      </c>
      <c r="W44">
        <f>MAX(W43,IF($B43=15,1,0))</f>
        <v/>
      </c>
      <c r="X44">
        <f>MAX(X43,IF($B43=16,1,0))</f>
        <v/>
      </c>
      <c r="Y44">
        <f>MAX(Y43,IF($B43=17,1,0))</f>
        <v/>
      </c>
      <c r="Z44">
        <f>MAX(Z43,IF($B43=18,1,0))</f>
        <v/>
      </c>
      <c r="AA44">
        <f>MAX(AA43,IF($B43=19,1,0))</f>
        <v/>
      </c>
      <c r="AB44">
        <f>MAX(AB43,IF($B43=20,1,0))</f>
        <v/>
      </c>
      <c r="AC44">
        <f>MAX(AC43,IF($B43=21,1,0))</f>
        <v/>
      </c>
      <c r="AD44">
        <f>MAX(AD43,IF($B43=22,1,0))</f>
        <v/>
      </c>
      <c r="AE44">
        <f>MAX(AE43,IF($B43=23,1,0))</f>
        <v/>
      </c>
      <c r="AF44">
        <f>MAX(AF43,IF($B43=24,1,0))</f>
        <v/>
      </c>
      <c r="AG44">
        <f>MAX(AG43,IF($B43=25,1,0))</f>
        <v/>
      </c>
      <c r="AH44">
        <f>MAX(AH43,IF($B43=26,1,0))</f>
        <v/>
      </c>
      <c r="AI44">
        <f>MAX(AI43,IF($B43=27,1,0))</f>
        <v/>
      </c>
      <c r="AJ44">
        <f>MAX(AJ43,IF($B43=28,1,0))</f>
        <v/>
      </c>
      <c r="AK44">
        <f>MAX(AK43,IF($B43=29,1,0))</f>
        <v/>
      </c>
      <c r="AL44">
        <f>MAX(AL43,IF($B43=30,1,0))</f>
        <v/>
      </c>
      <c r="AM44">
        <f>MAX(AM43,IF($B43=31,1,0))</f>
        <v/>
      </c>
      <c r="AN44">
        <f>MAX(AN43,IF($B43=32,1,0))</f>
        <v/>
      </c>
      <c r="AO44">
        <f>MAX(AO43,IF($B43=33,1,0))</f>
        <v/>
      </c>
      <c r="AP44">
        <f>MAX(AP43,IF($B43=34,1,0))</f>
        <v/>
      </c>
      <c r="AQ44">
        <f>MAX(AQ43,IF($B43=35,1,0))</f>
        <v/>
      </c>
      <c r="AR44">
        <f>MAX(AR43,IF($B43=36,1,0))</f>
        <v/>
      </c>
      <c r="AS44">
        <f>MAX(AS43,IF($B43=37,1,0))</f>
        <v/>
      </c>
      <c r="AT44">
        <f>MAX(AT43,IF($B43=38,1,0))</f>
        <v/>
      </c>
      <c r="AU44">
        <f>MAX(AU43,IF($B43=39,1,0))</f>
        <v/>
      </c>
      <c r="AV44">
        <f>MAX(AV43,IF($B43=40,1,0))</f>
        <v/>
      </c>
      <c r="AW44">
        <f>MAX(AW43,IF($B43=41,1,0))</f>
        <v/>
      </c>
      <c r="AX44">
        <f>MAX(AX43,IF($B43=42,1,0))</f>
        <v/>
      </c>
      <c r="AY44">
        <f>MAX(AY43,IF($B43=43,1,0))</f>
        <v/>
      </c>
      <c r="AZ44">
        <f>MAX(AZ43,IF($B43=44,1,0))</f>
        <v/>
      </c>
      <c r="BA44">
        <f>MAX(BA43,IF($B43=45,1,0))</f>
        <v/>
      </c>
      <c r="BC44">
        <f>IF(I44=1,1000000,IF('計算A'!$IQ$10=2,SUMPRODUCT('計算A'!$D$60:$II$60,$CW44:$MB44,$MD44:$VI44),SUMPRODUCT('計算A'!$D$60:$II$60,$CW44:$MB44))*1000+1)</f>
        <v/>
      </c>
      <c r="BD44">
        <f>IF(J44=1,1000000,IF('計算A'!$IQ$11=2,SUMPRODUCT('計算A'!$D$61:$II$61,$CW44:$MB44,$MD44:$VI44),SUMPRODUCT('計算A'!$D$61:$II$61,$CW44:$MB44))*1000+2)</f>
        <v/>
      </c>
      <c r="BE44">
        <f>IF(K44=1,1000000,IF('計算A'!$IQ$12=2,SUMPRODUCT('計算A'!$D$62:$II$62,$CW44:$MB44,$MD44:$VI44),SUMPRODUCT('計算A'!$D$62:$II$62,$CW44:$MB44))*1000+3)</f>
        <v/>
      </c>
      <c r="BF44">
        <f>IF(L44=1,1000000,IF('計算A'!$IQ$13=2,SUMPRODUCT('計算A'!$D$63:$II$63,$CW44:$MB44,$MD44:$VI44),SUMPRODUCT('計算A'!$D$63:$II$63,$CW44:$MB44))*1000+4)</f>
        <v/>
      </c>
      <c r="BG44">
        <f>IF(M44=1,1000000,IF('計算A'!$IQ$14=2,SUMPRODUCT('計算A'!$D$64:$II$64,$CW44:$MB44,$MD44:$VI44),SUMPRODUCT('計算A'!$D$64:$II$64,$CW44:$MB44))*1000+5)</f>
        <v/>
      </c>
      <c r="BH44">
        <f>IF(N44=1,1000000,IF('計算A'!$IQ$15=2,SUMPRODUCT('計算A'!$D$65:$II$65,$CW44:$MB44,$MD44:$VI44),SUMPRODUCT('計算A'!$D$65:$II$65,$CW44:$MB44))*1000+6)</f>
        <v/>
      </c>
      <c r="BI44">
        <f>IF(O44=1,1000000,IF('計算A'!$IQ$16=2,SUMPRODUCT('計算A'!$D$66:$II$66,$CW44:$MB44,$MD44:$VI44),SUMPRODUCT('計算A'!$D$66:$II$66,$CW44:$MB44))*1000+7)</f>
        <v/>
      </c>
      <c r="BJ44">
        <f>IF(P44=1,1000000,IF('計算A'!$IQ$17=2,SUMPRODUCT('計算A'!$D$67:$II$67,$CW44:$MB44,$MD44:$VI44),SUMPRODUCT('計算A'!$D$67:$II$67,$CW44:$MB44))*1000+8)</f>
        <v/>
      </c>
      <c r="BK44">
        <f>IF(Q44=1,1000000,IF('計算A'!$IQ$18=2,SUMPRODUCT('計算A'!$D$68:$II$68,$CW44:$MB44,$MD44:$VI44),SUMPRODUCT('計算A'!$D$68:$II$68,$CW44:$MB44))*1000+9)</f>
        <v/>
      </c>
      <c r="BL44">
        <f>IF(R44=1,1000000,IF('計算A'!$IQ$19=2,SUMPRODUCT('計算A'!$D$69:$II$69,$CW44:$MB44,$MD44:$VI44),SUMPRODUCT('計算A'!$D$69:$II$69,$CW44:$MB44))*1000+10)</f>
        <v/>
      </c>
      <c r="BM44">
        <f>IF(S44=1,1000000,IF('計算A'!$IQ$20=2,SUMPRODUCT('計算A'!$D$70:$II$70,$CW44:$MB44,$MD44:$VI44),SUMPRODUCT('計算A'!$D$70:$II$70,$CW44:$MB44))*1000+11)</f>
        <v/>
      </c>
      <c r="BN44">
        <f>IF(T44=1,1000000,IF('計算A'!$IQ$21=2,SUMPRODUCT('計算A'!$D$71:$II$71,$CW44:$MB44,$MD44:$VI44),SUMPRODUCT('計算A'!$D$71:$II$71,$CW44:$MB44))*1000+12)</f>
        <v/>
      </c>
      <c r="BO44">
        <f>IF(U44=1,1000000,IF('計算A'!$IQ$22=2,SUMPRODUCT('計算A'!$D$72:$II$72,$CW44:$MB44,$MD44:$VI44),SUMPRODUCT('計算A'!$D$72:$II$72,$CW44:$MB44))*1000+13)</f>
        <v/>
      </c>
      <c r="BP44">
        <f>IF(V44=1,1000000,IF('計算A'!$IQ$23=2,SUMPRODUCT('計算A'!$D$73:$II$73,$CW44:$MB44,$MD44:$VI44),SUMPRODUCT('計算A'!$D$73:$II$73,$CW44:$MB44))*1000+14)</f>
        <v/>
      </c>
      <c r="BQ44">
        <f>IF(W44=1,1000000,IF('計算A'!$IQ$24=2,SUMPRODUCT('計算A'!$D$74:$II$74,$CW44:$MB44,$MD44:$VI44),SUMPRODUCT('計算A'!$D$74:$II$74,$CW44:$MB44))*1000+15)</f>
        <v/>
      </c>
      <c r="BR44">
        <f>IF(X44=1,1000000,IF('計算A'!$IQ$25=2,SUMPRODUCT('計算A'!$D$75:$II$75,$CW44:$MB44,$MD44:$VI44),SUMPRODUCT('計算A'!$D$75:$II$75,$CW44:$MB44))*1000+16)</f>
        <v/>
      </c>
      <c r="BS44">
        <f>IF(Y44=1,1000000,IF('計算A'!$IQ$26=2,SUMPRODUCT('計算A'!$D$76:$II$76,$CW44:$MB44,$MD44:$VI44),SUMPRODUCT('計算A'!$D$76:$II$76,$CW44:$MB44))*1000+17)</f>
        <v/>
      </c>
      <c r="BT44">
        <f>IF(Z44=1,1000000,IF('計算A'!$IQ$27=2,SUMPRODUCT('計算A'!$D$77:$II$77,$CW44:$MB44,$MD44:$VI44),SUMPRODUCT('計算A'!$D$77:$II$77,$CW44:$MB44))*1000+18)</f>
        <v/>
      </c>
      <c r="BU44">
        <f>IF(AA44=1,1000000,IF('計算A'!$IQ$28=2,SUMPRODUCT('計算A'!$D$78:$II$78,$CW44:$MB44,$MD44:$VI44),SUMPRODUCT('計算A'!$D$78:$II$78,$CW44:$MB44))*1000+19)</f>
        <v/>
      </c>
      <c r="BV44">
        <f>IF(AB44=1,1000000,IF('計算A'!$IQ$29=2,SUMPRODUCT('計算A'!$D$79:$II$79,$CW44:$MB44,$MD44:$VI44),SUMPRODUCT('計算A'!$D$79:$II$79,$CW44:$MB44))*1000+20)</f>
        <v/>
      </c>
      <c r="BW44">
        <f>IF(AC44=1,1000000,IF('計算A'!$IQ$30=2,SUMPRODUCT('計算A'!$D$80:$II$80,$CW44:$MB44,$MD44:$VI44),SUMPRODUCT('計算A'!$D$80:$II$80,$CW44:$MB44))*1000+21)</f>
        <v/>
      </c>
      <c r="BX44">
        <f>IF(AD44=1,1000000,IF('計算A'!$IQ$31=2,SUMPRODUCT('計算A'!$D$81:$II$81,$CW44:$MB44,$MD44:$VI44),SUMPRODUCT('計算A'!$D$81:$II$81,$CW44:$MB44))*1000+22)</f>
        <v/>
      </c>
      <c r="BY44">
        <f>IF(AE44=1,1000000,IF('計算A'!$IQ$32=2,SUMPRODUCT('計算A'!$D$82:$II$82,$CW44:$MB44,$MD44:$VI44),SUMPRODUCT('計算A'!$D$82:$II$82,$CW44:$MB44))*1000+23)</f>
        <v/>
      </c>
      <c r="BZ44">
        <f>IF(AF44=1,1000000,IF('計算A'!$IQ$33=2,SUMPRODUCT('計算A'!$D$83:$II$83,$CW44:$MB44,$MD44:$VI44),SUMPRODUCT('計算A'!$D$83:$II$83,$CW44:$MB44))*1000+24)</f>
        <v/>
      </c>
      <c r="CA44">
        <f>IF(AG44=1,1000000,IF('計算A'!$IQ$34=2,SUMPRODUCT('計算A'!$D$84:$II$84,$CW44:$MB44,$MD44:$VI44),SUMPRODUCT('計算A'!$D$84:$II$84,$CW44:$MB44))*1000+25)</f>
        <v/>
      </c>
      <c r="CB44">
        <f>IF(AH44=1,1000000,IF('計算A'!$IQ$35=2,SUMPRODUCT('計算A'!$D$85:$II$85,$CW44:$MB44,$MD44:$VI44),SUMPRODUCT('計算A'!$D$85:$II$85,$CW44:$MB44))*1000+26)</f>
        <v/>
      </c>
      <c r="CC44">
        <f>IF(AI44=1,1000000,IF('計算A'!$IQ$36=2,SUMPRODUCT('計算A'!$D$86:$II$86,$CW44:$MB44,$MD44:$VI44),SUMPRODUCT('計算A'!$D$86:$II$86,$CW44:$MB44))*1000+27)</f>
        <v/>
      </c>
      <c r="CD44">
        <f>IF(AJ44=1,1000000,IF('計算A'!$IQ$37=2,SUMPRODUCT('計算A'!$D$87:$II$87,$CW44:$MB44,$MD44:$VI44),SUMPRODUCT('計算A'!$D$87:$II$87,$CW44:$MB44))*1000+28)</f>
        <v/>
      </c>
      <c r="CE44">
        <f>IF(AK44=1,1000000,IF('計算A'!$IQ$38=2,SUMPRODUCT('計算A'!$D$88:$II$88,$CW44:$MB44,$MD44:$VI44),SUMPRODUCT('計算A'!$D$88:$II$88,$CW44:$MB44))*1000+29)</f>
        <v/>
      </c>
      <c r="CF44">
        <f>IF(AL44=1,1000000,IF('計算A'!$IQ$39=2,SUMPRODUCT('計算A'!$D$89:$II$89,$CW44:$MB44,$MD44:$VI44),SUMPRODUCT('計算A'!$D$89:$II$89,$CW44:$MB44))*1000+30)</f>
        <v/>
      </c>
      <c r="CG44">
        <f>IF(AM44=1,1000000,IF('計算A'!$IQ$40=2,SUMPRODUCT('計算A'!$D$90:$II$90,$CW44:$MB44,$MD44:$VI44),SUMPRODUCT('計算A'!$D$90:$II$90,$CW44:$MB44))*1000+31)</f>
        <v/>
      </c>
      <c r="CH44">
        <f>IF(AN44=1,1000000,IF('計算A'!$IQ$41=2,SUMPRODUCT('計算A'!$D$91:$II$91,$CW44:$MB44,$MD44:$VI44),SUMPRODUCT('計算A'!$D$91:$II$91,$CW44:$MB44))*1000+32)</f>
        <v/>
      </c>
      <c r="CI44">
        <f>IF(AO44=1,1000000,IF('計算A'!$IQ$42=2,SUMPRODUCT('計算A'!$D$92:$II$92,$CW44:$MB44,$MD44:$VI44),SUMPRODUCT('計算A'!$D$92:$II$92,$CW44:$MB44))*1000+33)</f>
        <v/>
      </c>
      <c r="CJ44">
        <f>IF(AP44=1,1000000,IF('計算A'!$IQ$43=2,SUMPRODUCT('計算A'!$D$93:$II$93,$CW44:$MB44,$MD44:$VI44),SUMPRODUCT('計算A'!$D$93:$II$93,$CW44:$MB44))*1000+34)</f>
        <v/>
      </c>
      <c r="CK44">
        <f>IF(AQ44=1,1000000,IF('計算A'!$IQ$44=2,SUMPRODUCT('計算A'!$D$94:$II$94,$CW44:$MB44,$MD44:$VI44),SUMPRODUCT('計算A'!$D$94:$II$94,$CW44:$MB44))*1000+35)</f>
        <v/>
      </c>
      <c r="CL44">
        <f>IF(AR44=1,1000000,IF('計算A'!$IQ$45=2,SUMPRODUCT('計算A'!$D$95:$II$95,$CW44:$MB44,$MD44:$VI44),SUMPRODUCT('計算A'!$D$95:$II$95,$CW44:$MB44))*1000+36)</f>
        <v/>
      </c>
      <c r="CM44">
        <f>IF(AS44=1,1000000,IF('計算A'!$IQ$46=2,SUMPRODUCT('計算A'!$D$96:$II$96,$CW44:$MB44,$MD44:$VI44),SUMPRODUCT('計算A'!$D$96:$II$96,$CW44:$MB44))*1000+37)</f>
        <v/>
      </c>
      <c r="CN44">
        <f>IF(AT44=1,1000000,IF('計算A'!$IQ$47=2,SUMPRODUCT('計算A'!$D$97:$II$97,$CW44:$MB44,$MD44:$VI44),SUMPRODUCT('計算A'!$D$97:$II$97,$CW44:$MB44))*1000+38)</f>
        <v/>
      </c>
      <c r="CO44">
        <f>IF(AU44=1,1000000,IF('計算A'!$IQ$48=2,SUMPRODUCT('計算A'!$D$98:$II$98,$CW44:$MB44,$MD44:$VI44),SUMPRODUCT('計算A'!$D$98:$II$98,$CW44:$MB44))*1000+39)</f>
        <v/>
      </c>
      <c r="CP44">
        <f>IF(AV44=1,1000000,IF('計算A'!$IQ$49=2,SUMPRODUCT('計算A'!$D$99:$II$99,$CW44:$MB44,$MD44:$VI44),SUMPRODUCT('計算A'!$D$99:$II$99,$CW44:$MB44))*1000+40)</f>
        <v/>
      </c>
      <c r="CQ44">
        <f>IF(AW44=1,1000000,IF('計算A'!$IQ$50=2,SUMPRODUCT('計算A'!$D$100:$II$100,$CW44:$MB44,$MD44:$VI44),SUMPRODUCT('計算A'!$D$100:$II$100,$CW44:$MB44))*1000+41)</f>
        <v/>
      </c>
      <c r="CR44">
        <f>IF(AX44=1,1000000,IF('計算A'!$IQ$51=2,SUMPRODUCT('計算A'!$D$101:$II$101,$CW44:$MB44,$MD44:$VI44),SUMPRODUCT('計算A'!$D$101:$II$101,$CW44:$MB44))*1000+42)</f>
        <v/>
      </c>
      <c r="CS44">
        <f>IF(AY44=1,1000000,IF('計算A'!$IQ$52=2,SUMPRODUCT('計算A'!$D$102:$II$102,$CW44:$MB44,$MD44:$VI44),SUMPRODUCT('計算A'!$D$102:$II$102,$CW44:$MB44))*1000+43)</f>
        <v/>
      </c>
      <c r="CT44">
        <f>IF(AZ44=1,1000000,IF('計算A'!$IQ$53=2,SUMPRODUCT('計算A'!$D$103:$II$103,$CW44:$MB44,$MD44:$VI44),SUMPRODUCT('計算A'!$D$103:$II$103,$CW44:$MB44))*1000+44)</f>
        <v/>
      </c>
      <c r="CU44">
        <f>IF(BA44=1,1000000,IF('計算A'!$IQ$54=2,SUMPRODUCT('計算A'!$D$104:$II$104,$CW44:$MB44,$MD44:$VI44),SUMPRODUCT('計算A'!$D$104:$II$104,$CW44:$MB44))*1000+45)</f>
        <v/>
      </c>
      <c r="CW44">
        <f>CW43*IF(OR($C43=1,$G43=1),0,1)</f>
        <v/>
      </c>
      <c r="CX44">
        <f>CX43*IF(OR($C43=2,$G43=2),0,1)</f>
        <v/>
      </c>
      <c r="CY44">
        <f>CY43*IF(OR($C43=3,$G43=3),0,1)</f>
        <v/>
      </c>
      <c r="CZ44">
        <f>CZ43*IF(OR($C43=4,$G43=4),0,1)</f>
        <v/>
      </c>
      <c r="DA44">
        <f>DA43*IF(OR($C43=5,$G43=5),0,1)</f>
        <v/>
      </c>
      <c r="DB44">
        <f>DB43*IF(OR($C43=6,$G43=6),0,1)</f>
        <v/>
      </c>
      <c r="DC44">
        <f>DC43*IF(OR($C43=7,$G43=7),0,1)</f>
        <v/>
      </c>
      <c r="DD44">
        <f>DD43*IF(OR($C43=8,$G43=8),0,1)</f>
        <v/>
      </c>
      <c r="DE44">
        <f>DE43*IF(OR($C43=9,$G43=9),0,1)</f>
        <v/>
      </c>
      <c r="DF44">
        <f>DF43*IF(OR($C43=10,$G43=10),0,1)</f>
        <v/>
      </c>
      <c r="DG44">
        <f>DG43*IF(OR($C43=11,$G43=11),0,1)</f>
        <v/>
      </c>
      <c r="DH44">
        <f>DH43*IF(OR($C43=12,$G43=12),0,1)</f>
        <v/>
      </c>
      <c r="DI44">
        <f>DI43*IF(OR($C43=13,$G43=13),0,1)</f>
        <v/>
      </c>
      <c r="DJ44">
        <f>DJ43*IF(OR($C43=14,$G43=14),0,1)</f>
        <v/>
      </c>
      <c r="DK44">
        <f>DK43*IF(OR($C43=15,$G43=15),0,1)</f>
        <v/>
      </c>
      <c r="DL44">
        <f>DL43*IF(OR($C43=16,$G43=16),0,1)</f>
        <v/>
      </c>
      <c r="DM44">
        <f>DM43*IF(OR($C43=17,$G43=17),0,1)</f>
        <v/>
      </c>
      <c r="DN44">
        <f>DN43*IF(OR($C43=18,$G43=18),0,1)</f>
        <v/>
      </c>
      <c r="DO44">
        <f>DO43*IF(OR($C43=19,$G43=19),0,1)</f>
        <v/>
      </c>
      <c r="DP44">
        <f>DP43*IF(OR($C43=20,$G43=20),0,1)</f>
        <v/>
      </c>
      <c r="DQ44">
        <f>DQ43*IF(OR($C43=21,$G43=21),0,1)</f>
        <v/>
      </c>
      <c r="DR44">
        <f>DR43*IF(OR($C43=22,$G43=22),0,1)</f>
        <v/>
      </c>
      <c r="DS44">
        <f>DS43*IF(OR($C43=23,$G43=23),0,1)</f>
        <v/>
      </c>
      <c r="DT44">
        <f>DT43*IF(OR($C43=24,$G43=24),0,1)</f>
        <v/>
      </c>
      <c r="DU44">
        <f>DU43*IF(OR($C43=25,$G43=25),0,1)</f>
        <v/>
      </c>
      <c r="DV44">
        <f>DV43*IF(OR($C43=26,$G43=26),0,1)</f>
        <v/>
      </c>
      <c r="DW44">
        <f>DW43*IF(OR($C43=27,$G43=27),0,1)</f>
        <v/>
      </c>
      <c r="DX44">
        <f>DX43*IF(OR($C43=28,$G43=28),0,1)</f>
        <v/>
      </c>
      <c r="DY44">
        <f>DY43*IF(OR($C43=29,$G43=29),0,1)</f>
        <v/>
      </c>
      <c r="DZ44">
        <f>DZ43*IF(OR($C43=30,$G43=30),0,1)</f>
        <v/>
      </c>
      <c r="EA44">
        <f>EA43*IF(OR($C43=31,$G43=31),0,1)</f>
        <v/>
      </c>
      <c r="EB44">
        <f>EB43*IF(OR($C43=32,$G43=32),0,1)</f>
        <v/>
      </c>
      <c r="EC44">
        <f>EC43*IF(OR($C43=33,$G43=33),0,1)</f>
        <v/>
      </c>
      <c r="ED44">
        <f>ED43*IF(OR($C43=34,$G43=34),0,1)</f>
        <v/>
      </c>
      <c r="EE44">
        <f>EE43*IF(OR($C43=35,$G43=35),0,1)</f>
        <v/>
      </c>
      <c r="EF44">
        <f>EF43*IF(OR($C43=36,$G43=36),0,1)</f>
        <v/>
      </c>
      <c r="EG44">
        <f>EG43*IF(OR($C43=37,$G43=37),0,1)</f>
        <v/>
      </c>
      <c r="EH44">
        <f>EH43*IF(OR($C43=38,$G43=38),0,1)</f>
        <v/>
      </c>
      <c r="EI44">
        <f>EI43*IF(OR($C43=39,$G43=39),0,1)</f>
        <v/>
      </c>
      <c r="EJ44">
        <f>EJ43*IF(OR($C43=40,$G43=40),0,1)</f>
        <v/>
      </c>
      <c r="EK44">
        <f>EK43*IF(OR($C43=41,$G43=41),0,1)</f>
        <v/>
      </c>
      <c r="EL44">
        <f>EL43*IF(OR($C43=42,$G43=42),0,1)</f>
        <v/>
      </c>
      <c r="EM44">
        <f>EM43*IF(OR($C43=43,$G43=43),0,1)</f>
        <v/>
      </c>
      <c r="EN44">
        <f>EN43*IF(OR($C43=44,$G43=44),0,1)</f>
        <v/>
      </c>
      <c r="EO44">
        <f>EO43*IF(OR($C43=45,$G43=45),0,1)</f>
        <v/>
      </c>
      <c r="EP44">
        <f>EP43*IF(OR($C43=46,$G43=46),0,1)</f>
        <v/>
      </c>
      <c r="EQ44">
        <f>EQ43*IF(OR($C43=47,$G43=47),0,1)</f>
        <v/>
      </c>
      <c r="ER44">
        <f>ER43*IF(OR($C43=48,$G43=48),0,1)</f>
        <v/>
      </c>
      <c r="ES44">
        <f>ES43*IF(OR($C43=49,$G43=49),0,1)</f>
        <v/>
      </c>
      <c r="ET44">
        <f>ET43*IF(OR($C43=50,$G43=50),0,1)</f>
        <v/>
      </c>
      <c r="EU44">
        <f>EU43*IF(OR($C43=51,$G43=51),0,1)</f>
        <v/>
      </c>
      <c r="EV44">
        <f>EV43*IF(OR($C43=52,$G43=52),0,1)</f>
        <v/>
      </c>
      <c r="EW44">
        <f>EW43*IF(OR($C43=53,$G43=53),0,1)</f>
        <v/>
      </c>
      <c r="EX44">
        <f>EX43*IF(OR($C43=54,$G43=54),0,1)</f>
        <v/>
      </c>
      <c r="EY44">
        <f>EY43*IF(OR($C43=55,$G43=55),0,1)</f>
        <v/>
      </c>
      <c r="EZ44">
        <f>EZ43*IF(OR($C43=56,$G43=56),0,1)</f>
        <v/>
      </c>
      <c r="FA44">
        <f>FA43*IF(OR($C43=57,$G43=57),0,1)</f>
        <v/>
      </c>
      <c r="FB44">
        <f>FB43*IF(OR($C43=58,$G43=58),0,1)</f>
        <v/>
      </c>
      <c r="FC44">
        <f>FC43*IF(OR($C43=59,$G43=59),0,1)</f>
        <v/>
      </c>
      <c r="FD44">
        <f>FD43*IF(OR($C43=60,$G43=60),0,1)</f>
        <v/>
      </c>
      <c r="FE44">
        <f>FE43*IF(OR($C43=61,$G43=61),0,1)</f>
        <v/>
      </c>
      <c r="FF44">
        <f>FF43*IF(OR($C43=62,$G43=62),0,1)</f>
        <v/>
      </c>
      <c r="FG44">
        <f>FG43*IF(OR($C43=63,$G43=63),0,1)</f>
        <v/>
      </c>
      <c r="FH44">
        <f>FH43*IF(OR($C43=64,$G43=64),0,1)</f>
        <v/>
      </c>
      <c r="FI44">
        <f>FI43*IF(OR($C43=65,$G43=65),0,1)</f>
        <v/>
      </c>
      <c r="FJ44">
        <f>FJ43*IF(OR($C43=66,$G43=66),0,1)</f>
        <v/>
      </c>
      <c r="FK44">
        <f>FK43*IF(OR($C43=67,$G43=67),0,1)</f>
        <v/>
      </c>
      <c r="FL44">
        <f>FL43*IF(OR($C43=68,$G43=68),0,1)</f>
        <v/>
      </c>
      <c r="FM44">
        <f>FM43*IF(OR($C43=69,$G43=69),0,1)</f>
        <v/>
      </c>
      <c r="FN44">
        <f>FN43*IF(OR($C43=70,$G43=70),0,1)</f>
        <v/>
      </c>
      <c r="FO44">
        <f>FO43*IF(OR($C43=71,$G43=71),0,1)</f>
        <v/>
      </c>
      <c r="FP44">
        <f>FP43*IF(OR($C43=72,$G43=72),0,1)</f>
        <v/>
      </c>
      <c r="FQ44">
        <f>FQ43*IF(OR($C43=73,$G43=73),0,1)</f>
        <v/>
      </c>
      <c r="FR44">
        <f>FR43*IF(OR($C43=74,$G43=74),0,1)</f>
        <v/>
      </c>
      <c r="FS44">
        <f>FS43*IF(OR($C43=75,$G43=75),0,1)</f>
        <v/>
      </c>
      <c r="FT44">
        <f>FT43*IF(OR($C43=76,$G43=76),0,1)</f>
        <v/>
      </c>
      <c r="FU44">
        <f>FU43*IF(OR($C43=77,$G43=77),0,1)</f>
        <v/>
      </c>
      <c r="FV44">
        <f>FV43*IF(OR($C43=78,$G43=78),0,1)</f>
        <v/>
      </c>
      <c r="FW44">
        <f>FW43*IF(OR($C43=79,$G43=79),0,1)</f>
        <v/>
      </c>
      <c r="FX44">
        <f>FX43*IF(OR($C43=80,$G43=80),0,1)</f>
        <v/>
      </c>
      <c r="FY44">
        <f>FY43*IF(OR($C43=81,$G43=81),0,1)</f>
        <v/>
      </c>
      <c r="FZ44">
        <f>FZ43*IF(OR($C43=82,$G43=82),0,1)</f>
        <v/>
      </c>
      <c r="GA44">
        <f>GA43*IF(OR($C43=83,$G43=83),0,1)</f>
        <v/>
      </c>
      <c r="GB44">
        <f>GB43*IF(OR($C43=84,$G43=84),0,1)</f>
        <v/>
      </c>
      <c r="GC44">
        <f>GC43*IF(OR($C43=85,$G43=85),0,1)</f>
        <v/>
      </c>
      <c r="GD44">
        <f>GD43*IF(OR($C43=86,$G43=86),0,1)</f>
        <v/>
      </c>
      <c r="GE44">
        <f>GE43*IF(OR($C43=87,$G43=87),0,1)</f>
        <v/>
      </c>
      <c r="GF44">
        <f>GF43*IF(OR($C43=88,$G43=88),0,1)</f>
        <v/>
      </c>
      <c r="GG44">
        <f>GG43*IF(OR($C43=89,$G43=89),0,1)</f>
        <v/>
      </c>
      <c r="GH44">
        <f>GH43*IF(OR($C43=90,$G43=90),0,1)</f>
        <v/>
      </c>
      <c r="GI44">
        <f>GI43*IF(OR($C43=91,$G43=91),0,1)</f>
        <v/>
      </c>
      <c r="GJ44">
        <f>GJ43*IF(OR($C43=92,$G43=92),0,1)</f>
        <v/>
      </c>
      <c r="GK44">
        <f>GK43*IF(OR($C43=93,$G43=93),0,1)</f>
        <v/>
      </c>
      <c r="GL44">
        <f>GL43*IF(OR($C43=94,$G43=94),0,1)</f>
        <v/>
      </c>
      <c r="GM44">
        <f>GM43*IF(OR($C43=95,$G43=95),0,1)</f>
        <v/>
      </c>
      <c r="GN44">
        <f>GN43*IF(OR($C43=96,$G43=96),0,1)</f>
        <v/>
      </c>
      <c r="GO44">
        <f>GO43*IF(OR($C43=97,$G43=97),0,1)</f>
        <v/>
      </c>
      <c r="GP44">
        <f>GP43*IF(OR($C43=98,$G43=98),0,1)</f>
        <v/>
      </c>
      <c r="GQ44">
        <f>GQ43*IF(OR($C43=99,$G43=99),0,1)</f>
        <v/>
      </c>
      <c r="GR44">
        <f>GR43*IF(OR($C43=100,$G43=100),0,1)</f>
        <v/>
      </c>
      <c r="GS44">
        <f>GS43*IF(OR($C43=101,$G43=101),0,1)</f>
        <v/>
      </c>
      <c r="GT44">
        <f>GT43*IF(OR($C43=102,$G43=102),0,1)</f>
        <v/>
      </c>
      <c r="GU44">
        <f>GU43*IF(OR($C43=103,$G43=103),0,1)</f>
        <v/>
      </c>
      <c r="GV44">
        <f>GV43*IF(OR($C43=104,$G43=104),0,1)</f>
        <v/>
      </c>
      <c r="GW44">
        <f>GW43*IF(OR($C43=105,$G43=105),0,1)</f>
        <v/>
      </c>
      <c r="GX44">
        <f>GX43*IF(OR($C43=106,$G43=106),0,1)</f>
        <v/>
      </c>
      <c r="GY44">
        <f>GY43*IF(OR($C43=107,$G43=107),0,1)</f>
        <v/>
      </c>
      <c r="GZ44">
        <f>GZ43*IF(OR($C43=108,$G43=108),0,1)</f>
        <v/>
      </c>
      <c r="HA44">
        <f>HA43*IF(OR($C43=109,$G43=109),0,1)</f>
        <v/>
      </c>
      <c r="HB44">
        <f>HB43*IF(OR($C43=110,$G43=110),0,1)</f>
        <v/>
      </c>
      <c r="HC44">
        <f>HC43*IF(OR($C43=111,$G43=111),0,1)</f>
        <v/>
      </c>
      <c r="HD44">
        <f>HD43*IF(OR($C43=112,$G43=112),0,1)</f>
        <v/>
      </c>
      <c r="HE44">
        <f>HE43*IF(OR($C43=113,$G43=113),0,1)</f>
        <v/>
      </c>
      <c r="HF44">
        <f>HF43*IF(OR($C43=114,$G43=114),0,1)</f>
        <v/>
      </c>
      <c r="HG44">
        <f>HG43*IF(OR($C43=115,$G43=115),0,1)</f>
        <v/>
      </c>
      <c r="HH44">
        <f>HH43*IF(OR($C43=116,$G43=116),0,1)</f>
        <v/>
      </c>
      <c r="HI44">
        <f>HI43*IF(OR($C43=117,$G43=117),0,1)</f>
        <v/>
      </c>
      <c r="HJ44">
        <f>HJ43*IF(OR($C43=118,$G43=118),0,1)</f>
        <v/>
      </c>
      <c r="HK44">
        <f>HK43*IF(OR($C43=119,$G43=119),0,1)</f>
        <v/>
      </c>
      <c r="HL44">
        <f>HL43*IF(OR($C43=120,$G43=120),0,1)</f>
        <v/>
      </c>
      <c r="HM44">
        <f>HM43*IF(OR($C43=121,$G43=121),0,1)</f>
        <v/>
      </c>
      <c r="HN44">
        <f>HN43*IF(OR($C43=122,$G43=122),0,1)</f>
        <v/>
      </c>
      <c r="HO44">
        <f>HO43*IF(OR($C43=123,$G43=123),0,1)</f>
        <v/>
      </c>
      <c r="HP44">
        <f>HP43*IF(OR($C43=124,$G43=124),0,1)</f>
        <v/>
      </c>
      <c r="HQ44">
        <f>HQ43*IF(OR($C43=125,$G43=125),0,1)</f>
        <v/>
      </c>
      <c r="HR44">
        <f>HR43*IF(OR($C43=126,$G43=126),0,1)</f>
        <v/>
      </c>
      <c r="HS44">
        <f>HS43*IF(OR($C43=127,$G43=127),0,1)</f>
        <v/>
      </c>
      <c r="HT44">
        <f>HT43*IF(OR($C43=128,$G43=128),0,1)</f>
        <v/>
      </c>
      <c r="HU44">
        <f>HU43*IF(OR($C43=129,$G43=129),0,1)</f>
        <v/>
      </c>
      <c r="HV44">
        <f>HV43*IF(OR($C43=130,$G43=130),0,1)</f>
        <v/>
      </c>
      <c r="HW44">
        <f>HW43*IF(OR($C43=131,$G43=131),0,1)</f>
        <v/>
      </c>
      <c r="HX44">
        <f>HX43*IF(OR($C43=132,$G43=132),0,1)</f>
        <v/>
      </c>
      <c r="HY44">
        <f>HY43*IF(OR($C43=133,$G43=133),0,1)</f>
        <v/>
      </c>
      <c r="HZ44">
        <f>HZ43*IF(OR($C43=134,$G43=134),0,1)</f>
        <v/>
      </c>
      <c r="IA44">
        <f>IA43*IF(OR($C43=135,$G43=135),0,1)</f>
        <v/>
      </c>
      <c r="IB44">
        <f>IB43*IF(OR($C43=136,$G43=136),0,1)</f>
        <v/>
      </c>
      <c r="IC44">
        <f>IC43*IF(OR($C43=137,$G43=137),0,1)</f>
        <v/>
      </c>
      <c r="ID44">
        <f>ID43*IF(OR($C43=138,$G43=138),0,1)</f>
        <v/>
      </c>
      <c r="IE44">
        <f>IE43*IF(OR($C43=139,$G43=139),0,1)</f>
        <v/>
      </c>
      <c r="IF44">
        <f>IF43*IF(OR($C43=140,$G43=140),0,1)</f>
        <v/>
      </c>
      <c r="IG44">
        <f>IG43*IF(OR($C43=141,$G43=141),0,1)</f>
        <v/>
      </c>
      <c r="IH44">
        <f>IH43*IF(OR($C43=142,$G43=142),0,1)</f>
        <v/>
      </c>
      <c r="II44">
        <f>II43*IF(OR($C43=143,$G43=143),0,1)</f>
        <v/>
      </c>
      <c r="IJ44">
        <f>IJ43*IF(OR($C43=144,$G43=144),0,1)</f>
        <v/>
      </c>
      <c r="IK44">
        <f>IK43*IF(OR($C43=145,$G43=145),0,1)</f>
        <v/>
      </c>
      <c r="IL44">
        <f>IL43*IF(OR($C43=146,$G43=146),0,1)</f>
        <v/>
      </c>
      <c r="IM44">
        <f>IM43*IF(OR($C43=147,$G43=147),0,1)</f>
        <v/>
      </c>
      <c r="IN44">
        <f>IN43*IF(OR($C43=148,$G43=148),0,1)</f>
        <v/>
      </c>
      <c r="IO44">
        <f>IO43*IF(OR($C43=149,$G43=149),0,1)</f>
        <v/>
      </c>
      <c r="IP44">
        <f>IP43*IF(OR($C43=150,$G43=150),0,1)</f>
        <v/>
      </c>
      <c r="IQ44">
        <f>IQ43*IF(OR($C43=151,$G43=151),0,1)</f>
        <v/>
      </c>
      <c r="IR44">
        <f>IR43*IF(OR($C43=152,$G43=152),0,1)</f>
        <v/>
      </c>
      <c r="IS44">
        <f>IS43*IF(OR($C43=153,$G43=153),0,1)</f>
        <v/>
      </c>
      <c r="IT44">
        <f>IT43*IF(OR($C43=154,$G43=154),0,1)</f>
        <v/>
      </c>
      <c r="IU44">
        <f>IU43*IF(OR($C43=155,$G43=155),0,1)</f>
        <v/>
      </c>
      <c r="IV44">
        <f>IV43*IF(OR($C43=156,$G43=156),0,1)</f>
        <v/>
      </c>
      <c r="IW44">
        <f>IW43*IF(OR($C43=157,$G43=157),0,1)</f>
        <v/>
      </c>
      <c r="IX44">
        <f>IX43*IF(OR($C43=158,$G43=158),0,1)</f>
        <v/>
      </c>
      <c r="IY44">
        <f>IY43*IF(OR($C43=159,$G43=159),0,1)</f>
        <v/>
      </c>
      <c r="IZ44">
        <f>IZ43*IF(OR($C43=160,$G43=160),0,1)</f>
        <v/>
      </c>
      <c r="JA44">
        <f>JA43*IF(OR($C43=161,$G43=161),0,1)</f>
        <v/>
      </c>
      <c r="JB44">
        <f>JB43*IF(OR($C43=162,$G43=162),0,1)</f>
        <v/>
      </c>
      <c r="JC44">
        <f>JC43*IF(OR($C43=163,$G43=163),0,1)</f>
        <v/>
      </c>
      <c r="JD44">
        <f>JD43*IF(OR($C43=164,$G43=164),0,1)</f>
        <v/>
      </c>
      <c r="JE44">
        <f>JE43*IF(OR($C43=165,$G43=165),0,1)</f>
        <v/>
      </c>
      <c r="JF44">
        <f>JF43*IF(OR($C43=166,$G43=166),0,1)</f>
        <v/>
      </c>
      <c r="JG44">
        <f>JG43*IF(OR($C43=167,$G43=167),0,1)</f>
        <v/>
      </c>
      <c r="JH44">
        <f>JH43*IF(OR($C43=168,$G43=168),0,1)</f>
        <v/>
      </c>
      <c r="JI44">
        <f>JI43*IF(OR($C43=169,$G43=169),0,1)</f>
        <v/>
      </c>
      <c r="JJ44">
        <f>JJ43*IF(OR($C43=170,$G43=170),0,1)</f>
        <v/>
      </c>
      <c r="JK44">
        <f>JK43*IF(OR($C43=171,$G43=171),0,1)</f>
        <v/>
      </c>
      <c r="JL44">
        <f>JL43*IF(OR($C43=172,$G43=172),0,1)</f>
        <v/>
      </c>
      <c r="JM44">
        <f>JM43*IF(OR($C43=173,$G43=173),0,1)</f>
        <v/>
      </c>
      <c r="JN44">
        <f>JN43*IF(OR($C43=174,$G43=174),0,1)</f>
        <v/>
      </c>
      <c r="JO44">
        <f>JO43*IF(OR($C43=175,$G43=175),0,1)</f>
        <v/>
      </c>
      <c r="JP44">
        <f>JP43*IF(OR($C43=176,$G43=176),0,1)</f>
        <v/>
      </c>
      <c r="JQ44">
        <f>JQ43*IF(OR($C43=177,$G43=177),0,1)</f>
        <v/>
      </c>
      <c r="JR44">
        <f>JR43*IF(OR($C43=178,$G43=178),0,1)</f>
        <v/>
      </c>
      <c r="JS44">
        <f>JS43*IF(OR($C43=179,$G43=179),0,1)</f>
        <v/>
      </c>
      <c r="JT44">
        <f>JT43*IF(OR($C43=180,$G43=180),0,1)</f>
        <v/>
      </c>
      <c r="JU44">
        <f>JU43*IF(OR($C43=181,$G43=181),0,1)</f>
        <v/>
      </c>
      <c r="JV44">
        <f>JV43*IF(OR($C43=182,$G43=182),0,1)</f>
        <v/>
      </c>
      <c r="JW44">
        <f>JW43*IF(OR($C43=183,$G43=183),0,1)</f>
        <v/>
      </c>
      <c r="JX44">
        <f>JX43*IF(OR($C43=184,$G43=184),0,1)</f>
        <v/>
      </c>
      <c r="JY44">
        <f>JY43*IF(OR($C43=185,$G43=185),0,1)</f>
        <v/>
      </c>
      <c r="JZ44">
        <f>JZ43*IF(OR($C43=186,$G43=186),0,1)</f>
        <v/>
      </c>
      <c r="KA44">
        <f>KA43*IF(OR($C43=187,$G43=187),0,1)</f>
        <v/>
      </c>
      <c r="KB44">
        <f>KB43*IF(OR($C43=188,$G43=188),0,1)</f>
        <v/>
      </c>
      <c r="KC44">
        <f>KC43*IF(OR($C43=189,$G43=189),0,1)</f>
        <v/>
      </c>
      <c r="KD44">
        <f>KD43*IF(OR($C43=190,$G43=190),0,1)</f>
        <v/>
      </c>
      <c r="KE44">
        <f>KE43*IF(OR($C43=191,$G43=191),0,1)</f>
        <v/>
      </c>
      <c r="KF44">
        <f>KF43*IF(OR($C43=192,$G43=192),0,1)</f>
        <v/>
      </c>
      <c r="KG44">
        <f>KG43*IF(OR($C43=193,$G43=193),0,1)</f>
        <v/>
      </c>
      <c r="KH44">
        <f>KH43*IF(OR($C43=194,$G43=194),0,1)</f>
        <v/>
      </c>
      <c r="KI44">
        <f>KI43*IF(OR($C43=195,$G43=195),0,1)</f>
        <v/>
      </c>
      <c r="KJ44">
        <f>KJ43*IF(OR($C43=196,$G43=196),0,1)</f>
        <v/>
      </c>
      <c r="KK44">
        <f>KK43*IF(OR($C43=197,$G43=197),0,1)</f>
        <v/>
      </c>
      <c r="KL44">
        <f>KL43*IF(OR($C43=198,$G43=198),0,1)</f>
        <v/>
      </c>
      <c r="KM44">
        <f>KM43*IF(OR($C43=199,$G43=199),0,1)</f>
        <v/>
      </c>
      <c r="KN44">
        <f>KN43*IF(OR($C43=200,$G43=200),0,1)</f>
        <v/>
      </c>
      <c r="KO44">
        <f>KO43*IF(OR($C43=201,$G43=201),0,1)</f>
        <v/>
      </c>
      <c r="KP44">
        <f>KP43*IF(OR($C43=202,$G43=202),0,1)</f>
        <v/>
      </c>
      <c r="KQ44">
        <f>KQ43*IF(OR($C43=203,$G43=203),0,1)</f>
        <v/>
      </c>
      <c r="KR44">
        <f>KR43*IF(OR($C43=204,$G43=204),0,1)</f>
        <v/>
      </c>
      <c r="KS44">
        <f>KS43*IF(OR($C43=205,$G43=205),0,1)</f>
        <v/>
      </c>
      <c r="KT44">
        <f>KT43*IF(OR($C43=206,$G43=206),0,1)</f>
        <v/>
      </c>
      <c r="KU44">
        <f>KU43*IF(OR($C43=207,$G43=207),0,1)</f>
        <v/>
      </c>
      <c r="KV44">
        <f>KV43*IF(OR($C43=208,$G43=208),0,1)</f>
        <v/>
      </c>
      <c r="KW44">
        <f>KW43*IF(OR($C43=209,$G43=209),0,1)</f>
        <v/>
      </c>
      <c r="KX44">
        <f>KX43*IF(OR($C43=210,$G43=210),0,1)</f>
        <v/>
      </c>
      <c r="KY44">
        <f>KY43*IF(OR($C43=211,$G43=211),0,1)</f>
        <v/>
      </c>
      <c r="KZ44">
        <f>KZ43*IF(OR($C43=212,$G43=212),0,1)</f>
        <v/>
      </c>
      <c r="LA44">
        <f>LA43*IF(OR($C43=213,$G43=213),0,1)</f>
        <v/>
      </c>
      <c r="LB44">
        <f>LB43*IF(OR($C43=214,$G43=214),0,1)</f>
        <v/>
      </c>
      <c r="LC44">
        <f>LC43*IF(OR($C43=215,$G43=215),0,1)</f>
        <v/>
      </c>
      <c r="LD44">
        <f>LD43*IF(OR($C43=216,$G43=216),0,1)</f>
        <v/>
      </c>
      <c r="LE44">
        <f>LE43*IF(OR($C43=217,$G43=217),0,1)</f>
        <v/>
      </c>
      <c r="LF44">
        <f>LF43*IF(OR($C43=218,$G43=218),0,1)</f>
        <v/>
      </c>
      <c r="LG44">
        <f>LG43*IF(OR($C43=219,$G43=219),0,1)</f>
        <v/>
      </c>
      <c r="LH44">
        <f>LH43*IF(OR($C43=220,$G43=220),0,1)</f>
        <v/>
      </c>
      <c r="LI44">
        <f>LI43*IF(OR($C43=221,$G43=221),0,1)</f>
        <v/>
      </c>
      <c r="LJ44">
        <f>LJ43*IF(OR($C43=222,$G43=222),0,1)</f>
        <v/>
      </c>
      <c r="LK44">
        <f>LK43*IF(OR($C43=223,$G43=223),0,1)</f>
        <v/>
      </c>
      <c r="LL44">
        <f>LL43*IF(OR($C43=224,$G43=224),0,1)</f>
        <v/>
      </c>
      <c r="LM44">
        <f>LM43*IF(OR($C43=225,$G43=225),0,1)</f>
        <v/>
      </c>
      <c r="LN44">
        <f>LN43*IF(OR($C43=226,$G43=226),0,1)</f>
        <v/>
      </c>
      <c r="LO44">
        <f>LO43*IF(OR($C43=227,$G43=227),0,1)</f>
        <v/>
      </c>
      <c r="LP44">
        <f>LP43*IF(OR($C43=228,$G43=228),0,1)</f>
        <v/>
      </c>
      <c r="LQ44">
        <f>LQ43*IF(OR($C43=229,$G43=229),0,1)</f>
        <v/>
      </c>
      <c r="LR44">
        <f>LR43*IF(OR($C43=230,$G43=230),0,1)</f>
        <v/>
      </c>
      <c r="LS44">
        <f>LS43*IF(OR($C43=231,$G43=231),0,1)</f>
        <v/>
      </c>
      <c r="LT44">
        <f>LT43*IF(OR($C43=232,$G43=232),0,1)</f>
        <v/>
      </c>
      <c r="LU44">
        <f>LU43*IF(OR($C43=233,$G43=233),0,1)</f>
        <v/>
      </c>
      <c r="LV44">
        <f>LV43*IF(OR($C43=234,$G43=234),0,1)</f>
        <v/>
      </c>
      <c r="LW44">
        <f>LW43*IF(OR($C43=235,$G43=235),0,1)</f>
        <v/>
      </c>
      <c r="LX44">
        <f>LX43*IF(OR($C43=236,$G43=236),0,1)</f>
        <v/>
      </c>
      <c r="LY44">
        <f>LY43*IF(OR($C43=237,$G43=237),0,1)</f>
        <v/>
      </c>
      <c r="LZ44">
        <f>LZ43*IF(OR($C43=238,$G43=238),0,1)</f>
        <v/>
      </c>
      <c r="MA44">
        <f>MA43*IF(OR($C43=239,$G43=239),0,1)</f>
        <v/>
      </c>
      <c r="MB44">
        <f>MB43*IF(OR($C43=240,$G43=240),0,1)</f>
        <v/>
      </c>
      <c r="MD44">
        <f>IF('計算A'!D$106=1,CX44,1)</f>
        <v/>
      </c>
      <c r="ME44">
        <f>IF('計算A'!E$106=1,CY44,1)</f>
        <v/>
      </c>
      <c r="MF44">
        <f>IF('計算A'!F$106=1,CZ44,1)</f>
        <v/>
      </c>
      <c r="MG44">
        <f>IF('計算A'!G$106=1,DA44,1)</f>
        <v/>
      </c>
      <c r="MH44">
        <f>IF('計算A'!H$106=1,DB44,1)</f>
        <v/>
      </c>
      <c r="MI44">
        <f>IF('計算A'!I$106=1,DC44,1)</f>
        <v/>
      </c>
      <c r="MJ44">
        <f>IF('計算A'!J$106=1,DD44,1)</f>
        <v/>
      </c>
      <c r="MK44">
        <f>IF('計算A'!K$106=1,DE44,1)</f>
        <v/>
      </c>
      <c r="ML44">
        <f>IF('計算A'!L$106=1,DF44,1)</f>
        <v/>
      </c>
      <c r="MM44">
        <f>IF('計算A'!M$106=1,DG44,1)</f>
        <v/>
      </c>
      <c r="MN44">
        <f>IF('計算A'!N$106=1,DH44,1)</f>
        <v/>
      </c>
      <c r="MO44">
        <f>IF('計算A'!O$106=1,DI44,1)</f>
        <v/>
      </c>
      <c r="MP44">
        <f>IF('計算A'!P$106=1,DJ44,1)</f>
        <v/>
      </c>
      <c r="MQ44">
        <f>IF('計算A'!Q$106=1,DK44,1)</f>
        <v/>
      </c>
      <c r="MR44">
        <f>IF('計算A'!R$106=1,DL44,1)</f>
        <v/>
      </c>
      <c r="MS44">
        <f>IF('計算A'!S$106=1,DM44,1)</f>
        <v/>
      </c>
      <c r="MT44">
        <f>IF('計算A'!T$106=1,DN44,1)</f>
        <v/>
      </c>
      <c r="MU44">
        <f>IF('計算A'!U$106=1,DO44,1)</f>
        <v/>
      </c>
      <c r="MV44">
        <f>IF('計算A'!V$106=1,DP44,1)</f>
        <v/>
      </c>
      <c r="MW44">
        <f>IF('計算A'!W$106=1,DQ44,1)</f>
        <v/>
      </c>
      <c r="MX44">
        <f>IF('計算A'!X$106=1,DR44,1)</f>
        <v/>
      </c>
      <c r="MY44">
        <f>IF('計算A'!Y$106=1,DS44,1)</f>
        <v/>
      </c>
      <c r="MZ44">
        <f>IF('計算A'!Z$106=1,DT44,1)</f>
        <v/>
      </c>
      <c r="NA44">
        <f>IF('計算A'!AA$106=1,DU44,1)</f>
        <v/>
      </c>
      <c r="NB44">
        <f>IF('計算A'!AB$106=1,DV44,1)</f>
        <v/>
      </c>
      <c r="NC44">
        <f>IF('計算A'!AC$106=1,DW44,1)</f>
        <v/>
      </c>
      <c r="ND44">
        <f>IF('計算A'!AD$106=1,DX44,1)</f>
        <v/>
      </c>
      <c r="NE44">
        <f>IF('計算A'!AE$106=1,DY44,1)</f>
        <v/>
      </c>
      <c r="NF44">
        <f>IF('計算A'!AF$106=1,DZ44,1)</f>
        <v/>
      </c>
      <c r="NG44">
        <f>IF('計算A'!AG$106=1,EA44,1)</f>
        <v/>
      </c>
      <c r="NH44">
        <f>IF('計算A'!AH$106=1,EB44,1)</f>
        <v/>
      </c>
      <c r="NI44">
        <f>IF('計算A'!AI$106=1,EC44,1)</f>
        <v/>
      </c>
      <c r="NJ44">
        <f>IF('計算A'!AJ$106=1,ED44,1)</f>
        <v/>
      </c>
      <c r="NK44">
        <f>IF('計算A'!AK$106=1,EE44,1)</f>
        <v/>
      </c>
      <c r="NL44">
        <f>IF('計算A'!AL$106=1,EF44,1)</f>
        <v/>
      </c>
      <c r="NM44">
        <f>IF('計算A'!AM$106=1,EG44,1)</f>
        <v/>
      </c>
      <c r="NN44">
        <f>IF('計算A'!AN$106=1,EH44,1)</f>
        <v/>
      </c>
      <c r="NO44">
        <f>IF('計算A'!AO$106=1,EI44,1)</f>
        <v/>
      </c>
      <c r="NP44">
        <f>IF('計算A'!AP$106=1,EJ44,1)</f>
        <v/>
      </c>
      <c r="NQ44">
        <f>IF('計算A'!AQ$106=1,EK44,1)</f>
        <v/>
      </c>
      <c r="NR44">
        <f>IF('計算A'!AR$106=1,EL44,1)</f>
        <v/>
      </c>
      <c r="NS44">
        <f>IF('計算A'!AS$106=1,EM44,1)</f>
        <v/>
      </c>
      <c r="NT44">
        <f>IF('計算A'!AT$106=1,EN44,1)</f>
        <v/>
      </c>
      <c r="NU44">
        <f>IF('計算A'!AU$106=1,EO44,1)</f>
        <v/>
      </c>
      <c r="NV44">
        <f>IF('計算A'!AV$106=1,EP44,1)</f>
        <v/>
      </c>
      <c r="NW44">
        <f>IF('計算A'!AW$106=1,EQ44,1)</f>
        <v/>
      </c>
      <c r="NX44">
        <f>IF('計算A'!AX$106=1,ER44,1)</f>
        <v/>
      </c>
      <c r="NY44">
        <f>IF('計算A'!AY$106=1,ES44,1)</f>
        <v/>
      </c>
      <c r="NZ44">
        <f>IF('計算A'!AZ$106=1,ET44,1)</f>
        <v/>
      </c>
      <c r="OA44">
        <f>IF('計算A'!BA$106=1,EU44,1)</f>
        <v/>
      </c>
      <c r="OB44">
        <f>IF('計算A'!BB$106=1,EV44,1)</f>
        <v/>
      </c>
      <c r="OC44">
        <f>IF('計算A'!BC$106=1,EW44,1)</f>
        <v/>
      </c>
      <c r="OD44">
        <f>IF('計算A'!BD$106=1,EX44,1)</f>
        <v/>
      </c>
      <c r="OE44">
        <f>IF('計算A'!BE$106=1,EY44,1)</f>
        <v/>
      </c>
      <c r="OF44">
        <f>IF('計算A'!BF$106=1,EZ44,1)</f>
        <v/>
      </c>
      <c r="OG44">
        <f>IF('計算A'!BG$106=1,FA44,1)</f>
        <v/>
      </c>
      <c r="OH44">
        <f>IF('計算A'!BH$106=1,FB44,1)</f>
        <v/>
      </c>
      <c r="OI44">
        <f>IF('計算A'!BI$106=1,FC44,1)</f>
        <v/>
      </c>
      <c r="OJ44">
        <f>IF('計算A'!BJ$106=1,FD44,1)</f>
        <v/>
      </c>
      <c r="OK44">
        <f>IF('計算A'!BK$106=1,FE44,1)</f>
        <v/>
      </c>
      <c r="OL44">
        <f>IF('計算A'!BL$106=1,FF44,1)</f>
        <v/>
      </c>
      <c r="OM44">
        <f>IF('計算A'!BM$106=1,FG44,1)</f>
        <v/>
      </c>
      <c r="ON44">
        <f>IF('計算A'!BN$106=1,FH44,1)</f>
        <v/>
      </c>
      <c r="OO44">
        <f>IF('計算A'!BO$106=1,FI44,1)</f>
        <v/>
      </c>
      <c r="OP44">
        <f>IF('計算A'!BP$106=1,FJ44,1)</f>
        <v/>
      </c>
      <c r="OQ44">
        <f>IF('計算A'!BQ$106=1,FK44,1)</f>
        <v/>
      </c>
      <c r="OR44">
        <f>IF('計算A'!BR$106=1,FL44,1)</f>
        <v/>
      </c>
      <c r="OS44">
        <f>IF('計算A'!BS$106=1,FM44,1)</f>
        <v/>
      </c>
      <c r="OT44">
        <f>IF('計算A'!BT$106=1,FN44,1)</f>
        <v/>
      </c>
      <c r="OU44">
        <f>IF('計算A'!BU$106=1,FO44,1)</f>
        <v/>
      </c>
      <c r="OV44">
        <f>IF('計算A'!BV$106=1,FP44,1)</f>
        <v/>
      </c>
      <c r="OW44">
        <f>IF('計算A'!BW$106=1,FQ44,1)</f>
        <v/>
      </c>
      <c r="OX44">
        <f>IF('計算A'!BX$106=1,FR44,1)</f>
        <v/>
      </c>
      <c r="OY44">
        <f>IF('計算A'!BY$106=1,FS44,1)</f>
        <v/>
      </c>
      <c r="OZ44">
        <f>IF('計算A'!BZ$106=1,FT44,1)</f>
        <v/>
      </c>
      <c r="PA44">
        <f>IF('計算A'!CA$106=1,FU44,1)</f>
        <v/>
      </c>
      <c r="PB44">
        <f>IF('計算A'!CB$106=1,FV44,1)</f>
        <v/>
      </c>
      <c r="PC44">
        <f>IF('計算A'!CC$106=1,FW44,1)</f>
        <v/>
      </c>
      <c r="PD44">
        <f>IF('計算A'!CD$106=1,FX44,1)</f>
        <v/>
      </c>
      <c r="PE44">
        <f>IF('計算A'!CE$106=1,FY44,1)</f>
        <v/>
      </c>
      <c r="PF44">
        <f>IF('計算A'!CF$106=1,FZ44,1)</f>
        <v/>
      </c>
      <c r="PG44">
        <f>IF('計算A'!CG$106=1,GA44,1)</f>
        <v/>
      </c>
      <c r="PH44">
        <f>IF('計算A'!CH$106=1,GB44,1)</f>
        <v/>
      </c>
      <c r="PI44">
        <f>IF('計算A'!CI$106=1,GC44,1)</f>
        <v/>
      </c>
      <c r="PJ44">
        <f>IF('計算A'!CJ$106=1,GD44,1)</f>
        <v/>
      </c>
      <c r="PK44">
        <f>IF('計算A'!CK$106=1,GE44,1)</f>
        <v/>
      </c>
      <c r="PL44">
        <f>IF('計算A'!CL$106=1,GF44,1)</f>
        <v/>
      </c>
      <c r="PM44">
        <f>IF('計算A'!CM$106=1,GG44,1)</f>
        <v/>
      </c>
      <c r="PN44">
        <f>IF('計算A'!CN$106=1,GH44,1)</f>
        <v/>
      </c>
      <c r="PO44">
        <f>IF('計算A'!CO$106=1,GI44,1)</f>
        <v/>
      </c>
      <c r="PP44">
        <f>IF('計算A'!CP$106=1,GJ44,1)</f>
        <v/>
      </c>
      <c r="PQ44">
        <f>IF('計算A'!CQ$106=1,GK44,1)</f>
        <v/>
      </c>
      <c r="PR44">
        <f>IF('計算A'!CR$106=1,GL44,1)</f>
        <v/>
      </c>
      <c r="PS44">
        <f>IF('計算A'!CS$106=1,GM44,1)</f>
        <v/>
      </c>
      <c r="PT44">
        <f>IF('計算A'!CT$106=1,GN44,1)</f>
        <v/>
      </c>
      <c r="PU44">
        <f>IF('計算A'!CU$106=1,GO44,1)</f>
        <v/>
      </c>
      <c r="PV44">
        <f>IF('計算A'!CV$106=1,GP44,1)</f>
        <v/>
      </c>
      <c r="PW44">
        <f>IF('計算A'!CW$106=1,GQ44,1)</f>
        <v/>
      </c>
      <c r="PX44">
        <f>IF('計算A'!CX$106=1,GR44,1)</f>
        <v/>
      </c>
      <c r="PY44">
        <f>IF('計算A'!CY$106=1,GS44,1)</f>
        <v/>
      </c>
      <c r="PZ44">
        <f>IF('計算A'!CZ$106=1,GT44,1)</f>
        <v/>
      </c>
      <c r="QA44">
        <f>IF('計算A'!DA$106=1,GU44,1)</f>
        <v/>
      </c>
      <c r="QB44">
        <f>IF('計算A'!DB$106=1,GV44,1)</f>
        <v/>
      </c>
      <c r="QC44">
        <f>IF('計算A'!DC$106=1,GW44,1)</f>
        <v/>
      </c>
      <c r="QD44">
        <f>IF('計算A'!DD$106=1,GX44,1)</f>
        <v/>
      </c>
      <c r="QE44">
        <f>IF('計算A'!DE$106=1,GY44,1)</f>
        <v/>
      </c>
      <c r="QF44">
        <f>IF('計算A'!DF$106=1,GZ44,1)</f>
        <v/>
      </c>
      <c r="QG44">
        <f>IF('計算A'!DG$106=1,HA44,1)</f>
        <v/>
      </c>
      <c r="QH44">
        <f>IF('計算A'!DH$106=1,HB44,1)</f>
        <v/>
      </c>
      <c r="QI44">
        <f>IF('計算A'!DI$106=1,HC44,1)</f>
        <v/>
      </c>
      <c r="QJ44">
        <f>IF('計算A'!DJ$106=1,HD44,1)</f>
        <v/>
      </c>
      <c r="QK44">
        <f>IF('計算A'!DK$106=1,HE44,1)</f>
        <v/>
      </c>
      <c r="QL44">
        <f>IF('計算A'!DL$106=1,HF44,1)</f>
        <v/>
      </c>
      <c r="QM44">
        <f>IF('計算A'!DM$106=1,HG44,1)</f>
        <v/>
      </c>
      <c r="QN44">
        <f>IF('計算A'!DN$106=1,HH44,1)</f>
        <v/>
      </c>
      <c r="QO44">
        <f>IF('計算A'!DO$106=1,HI44,1)</f>
        <v/>
      </c>
      <c r="QP44">
        <f>IF('計算A'!DP$106=1,HJ44,1)</f>
        <v/>
      </c>
      <c r="QQ44">
        <f>IF('計算A'!DQ$106=1,HK44,1)</f>
        <v/>
      </c>
      <c r="QR44">
        <f>IF('計算A'!DR$106=1,HL44,1)</f>
        <v/>
      </c>
      <c r="QS44">
        <f>IF('計算A'!DS$106=1,HM44,1)</f>
        <v/>
      </c>
      <c r="QT44">
        <f>IF('計算A'!DT$106=1,HN44,1)</f>
        <v/>
      </c>
      <c r="QU44">
        <f>IF('計算A'!DU$106=1,HO44,1)</f>
        <v/>
      </c>
      <c r="QV44">
        <f>IF('計算A'!DV$106=1,HP44,1)</f>
        <v/>
      </c>
      <c r="QW44">
        <f>IF('計算A'!DW$106=1,HQ44,1)</f>
        <v/>
      </c>
      <c r="QX44">
        <f>IF('計算A'!DX$106=1,HR44,1)</f>
        <v/>
      </c>
      <c r="QY44">
        <f>IF('計算A'!DY$106=1,HS44,1)</f>
        <v/>
      </c>
      <c r="QZ44">
        <f>IF('計算A'!DZ$106=1,HT44,1)</f>
        <v/>
      </c>
      <c r="RA44">
        <f>IF('計算A'!EA$106=1,HU44,1)</f>
        <v/>
      </c>
      <c r="RB44">
        <f>IF('計算A'!EB$106=1,HV44,1)</f>
        <v/>
      </c>
      <c r="RC44">
        <f>IF('計算A'!EC$106=1,HW44,1)</f>
        <v/>
      </c>
      <c r="RD44">
        <f>IF('計算A'!ED$106=1,HX44,1)</f>
        <v/>
      </c>
      <c r="RE44">
        <f>IF('計算A'!EE$106=1,HY44,1)</f>
        <v/>
      </c>
      <c r="RF44">
        <f>IF('計算A'!EF$106=1,HZ44,1)</f>
        <v/>
      </c>
      <c r="RG44">
        <f>IF('計算A'!EG$106=1,IA44,1)</f>
        <v/>
      </c>
      <c r="RH44">
        <f>IF('計算A'!EH$106=1,IB44,1)</f>
        <v/>
      </c>
      <c r="RI44">
        <f>IF('計算A'!EI$106=1,IC44,1)</f>
        <v/>
      </c>
      <c r="RJ44">
        <f>IF('計算A'!EJ$106=1,ID44,1)</f>
        <v/>
      </c>
      <c r="RK44">
        <f>IF('計算A'!EK$106=1,IE44,1)</f>
        <v/>
      </c>
      <c r="RL44">
        <f>IF('計算A'!EL$106=1,IF44,1)</f>
        <v/>
      </c>
      <c r="RM44">
        <f>IF('計算A'!EM$106=1,IG44,1)</f>
        <v/>
      </c>
      <c r="RN44">
        <f>IF('計算A'!EN$106=1,IH44,1)</f>
        <v/>
      </c>
      <c r="RO44">
        <f>IF('計算A'!EO$106=1,II44,1)</f>
        <v/>
      </c>
      <c r="RP44">
        <f>IF('計算A'!EP$106=1,IJ44,1)</f>
        <v/>
      </c>
      <c r="RQ44">
        <f>IF('計算A'!EQ$106=1,IK44,1)</f>
        <v/>
      </c>
      <c r="RR44">
        <f>IF('計算A'!ER$106=1,IL44,1)</f>
        <v/>
      </c>
      <c r="RS44">
        <f>IF('計算A'!ES$106=1,IM44,1)</f>
        <v/>
      </c>
      <c r="RT44">
        <f>IF('計算A'!ET$106=1,IN44,1)</f>
        <v/>
      </c>
      <c r="RU44">
        <f>IF('計算A'!EU$106=1,IO44,1)</f>
        <v/>
      </c>
      <c r="RV44">
        <f>IF('計算A'!EV$106=1,IP44,1)</f>
        <v/>
      </c>
      <c r="RW44">
        <f>IF('計算A'!EW$106=1,IQ44,1)</f>
        <v/>
      </c>
      <c r="RX44">
        <f>IF('計算A'!EX$106=1,IR44,1)</f>
        <v/>
      </c>
      <c r="RY44">
        <f>IF('計算A'!EY$106=1,IS44,1)</f>
        <v/>
      </c>
      <c r="RZ44">
        <f>IF('計算A'!EZ$106=1,IT44,1)</f>
        <v/>
      </c>
      <c r="SA44">
        <f>IF('計算A'!FA$106=1,IU44,1)</f>
        <v/>
      </c>
      <c r="SB44">
        <f>IF('計算A'!FB$106=1,IV44,1)</f>
        <v/>
      </c>
      <c r="SC44">
        <f>IF('計算A'!FC$106=1,IW44,1)</f>
        <v/>
      </c>
      <c r="SD44">
        <f>IF('計算A'!FD$106=1,IX44,1)</f>
        <v/>
      </c>
      <c r="SE44">
        <f>IF('計算A'!FE$106=1,IY44,1)</f>
        <v/>
      </c>
      <c r="SF44">
        <f>IF('計算A'!FF$106=1,IZ44,1)</f>
        <v/>
      </c>
      <c r="SG44">
        <f>IF('計算A'!FG$106=1,JA44,1)</f>
        <v/>
      </c>
      <c r="SH44">
        <f>IF('計算A'!FH$106=1,JB44,1)</f>
        <v/>
      </c>
      <c r="SI44">
        <f>IF('計算A'!FI$106=1,JC44,1)</f>
        <v/>
      </c>
      <c r="SJ44">
        <f>IF('計算A'!FJ$106=1,JD44,1)</f>
        <v/>
      </c>
      <c r="SK44">
        <f>IF('計算A'!FK$106=1,JE44,1)</f>
        <v/>
      </c>
      <c r="SL44">
        <f>IF('計算A'!FL$106=1,JF44,1)</f>
        <v/>
      </c>
      <c r="SM44">
        <f>IF('計算A'!FM$106=1,JG44,1)</f>
        <v/>
      </c>
      <c r="SN44">
        <f>IF('計算A'!FN$106=1,JH44,1)</f>
        <v/>
      </c>
      <c r="SO44">
        <f>IF('計算A'!FO$106=1,JI44,1)</f>
        <v/>
      </c>
      <c r="SP44">
        <f>IF('計算A'!FP$106=1,JJ44,1)</f>
        <v/>
      </c>
      <c r="SQ44">
        <f>IF('計算A'!FQ$106=1,JK44,1)</f>
        <v/>
      </c>
      <c r="SR44">
        <f>IF('計算A'!FR$106=1,JL44,1)</f>
        <v/>
      </c>
      <c r="SS44">
        <f>IF('計算A'!FS$106=1,JM44,1)</f>
        <v/>
      </c>
      <c r="ST44">
        <f>IF('計算A'!FT$106=1,JN44,1)</f>
        <v/>
      </c>
      <c r="SU44">
        <f>IF('計算A'!FU$106=1,JO44,1)</f>
        <v/>
      </c>
      <c r="SV44">
        <f>IF('計算A'!FV$106=1,JP44,1)</f>
        <v/>
      </c>
      <c r="SW44">
        <f>IF('計算A'!FW$106=1,JQ44,1)</f>
        <v/>
      </c>
      <c r="SX44">
        <f>IF('計算A'!FX$106=1,JR44,1)</f>
        <v/>
      </c>
      <c r="SY44">
        <f>IF('計算A'!FY$106=1,JS44,1)</f>
        <v/>
      </c>
      <c r="SZ44">
        <f>IF('計算A'!FZ$106=1,JT44,1)</f>
        <v/>
      </c>
      <c r="TA44">
        <f>IF('計算A'!GA$106=1,JU44,1)</f>
        <v/>
      </c>
      <c r="TB44">
        <f>IF('計算A'!GB$106=1,JV44,1)</f>
        <v/>
      </c>
      <c r="TC44">
        <f>IF('計算A'!GC$106=1,JW44,1)</f>
        <v/>
      </c>
      <c r="TD44">
        <f>IF('計算A'!GD$106=1,JX44,1)</f>
        <v/>
      </c>
      <c r="TE44">
        <f>IF('計算A'!GE$106=1,JY44,1)</f>
        <v/>
      </c>
      <c r="TF44">
        <f>IF('計算A'!GF$106=1,JZ44,1)</f>
        <v/>
      </c>
      <c r="TG44">
        <f>IF('計算A'!GG$106=1,KA44,1)</f>
        <v/>
      </c>
      <c r="TH44">
        <f>IF('計算A'!GH$106=1,KB44,1)</f>
        <v/>
      </c>
      <c r="TI44">
        <f>IF('計算A'!GI$106=1,KC44,1)</f>
        <v/>
      </c>
      <c r="TJ44">
        <f>IF('計算A'!GJ$106=1,KD44,1)</f>
        <v/>
      </c>
      <c r="TK44">
        <f>IF('計算A'!GK$106=1,KE44,1)</f>
        <v/>
      </c>
      <c r="TL44">
        <f>IF('計算A'!GL$106=1,KF44,1)</f>
        <v/>
      </c>
      <c r="TM44">
        <f>IF('計算A'!GM$106=1,KG44,1)</f>
        <v/>
      </c>
      <c r="TN44">
        <f>IF('計算A'!GN$106=1,KH44,1)</f>
        <v/>
      </c>
      <c r="TO44">
        <f>IF('計算A'!GO$106=1,KI44,1)</f>
        <v/>
      </c>
      <c r="TP44">
        <f>IF('計算A'!GP$106=1,KJ44,1)</f>
        <v/>
      </c>
      <c r="TQ44">
        <f>IF('計算A'!GQ$106=1,KK44,1)</f>
        <v/>
      </c>
      <c r="TR44">
        <f>IF('計算A'!GR$106=1,KL44,1)</f>
        <v/>
      </c>
      <c r="TS44">
        <f>IF('計算A'!GS$106=1,KM44,1)</f>
        <v/>
      </c>
      <c r="TT44">
        <f>IF('計算A'!GT$106=1,KN44,1)</f>
        <v/>
      </c>
      <c r="TU44">
        <f>IF('計算A'!GU$106=1,KO44,1)</f>
        <v/>
      </c>
      <c r="TV44">
        <f>IF('計算A'!GV$106=1,KP44,1)</f>
        <v/>
      </c>
      <c r="TW44">
        <f>IF('計算A'!GW$106=1,KQ44,1)</f>
        <v/>
      </c>
      <c r="TX44">
        <f>IF('計算A'!GX$106=1,KR44,1)</f>
        <v/>
      </c>
      <c r="TY44">
        <f>IF('計算A'!GY$106=1,KS44,1)</f>
        <v/>
      </c>
      <c r="TZ44">
        <f>IF('計算A'!GZ$106=1,KT44,1)</f>
        <v/>
      </c>
      <c r="UA44">
        <f>IF('計算A'!HA$106=1,KU44,1)</f>
        <v/>
      </c>
      <c r="UB44">
        <f>IF('計算A'!HB$106=1,KV44,1)</f>
        <v/>
      </c>
      <c r="UC44">
        <f>IF('計算A'!HC$106=1,KW44,1)</f>
        <v/>
      </c>
      <c r="UD44">
        <f>IF('計算A'!HD$106=1,KX44,1)</f>
        <v/>
      </c>
      <c r="UE44">
        <f>IF('計算A'!HE$106=1,KY44,1)</f>
        <v/>
      </c>
      <c r="UF44">
        <f>IF('計算A'!HF$106=1,KZ44,1)</f>
        <v/>
      </c>
      <c r="UG44">
        <f>IF('計算A'!HG$106=1,LA44,1)</f>
        <v/>
      </c>
      <c r="UH44">
        <f>IF('計算A'!HH$106=1,LB44,1)</f>
        <v/>
      </c>
      <c r="UI44">
        <f>IF('計算A'!HI$106=1,LC44,1)</f>
        <v/>
      </c>
      <c r="UJ44">
        <f>IF('計算A'!HJ$106=1,LD44,1)</f>
        <v/>
      </c>
      <c r="UK44">
        <f>IF('計算A'!HK$106=1,LE44,1)</f>
        <v/>
      </c>
      <c r="UL44">
        <f>IF('計算A'!HL$106=1,LF44,1)</f>
        <v/>
      </c>
      <c r="UM44">
        <f>IF('計算A'!HM$106=1,LG44,1)</f>
        <v/>
      </c>
      <c r="UN44">
        <f>IF('計算A'!HN$106=1,LH44,1)</f>
        <v/>
      </c>
      <c r="UO44">
        <f>IF('計算A'!HO$106=1,LI44,1)</f>
        <v/>
      </c>
      <c r="UP44">
        <f>IF('計算A'!HP$106=1,LJ44,1)</f>
        <v/>
      </c>
      <c r="UQ44">
        <f>IF('計算A'!HQ$106=1,LK44,1)</f>
        <v/>
      </c>
      <c r="UR44">
        <f>IF('計算A'!HR$106=1,LL44,1)</f>
        <v/>
      </c>
      <c r="US44">
        <f>IF('計算A'!HS$106=1,LM44,1)</f>
        <v/>
      </c>
      <c r="UT44">
        <f>IF('計算A'!HT$106=1,LN44,1)</f>
        <v/>
      </c>
      <c r="UU44">
        <f>IF('計算A'!HU$106=1,LO44,1)</f>
        <v/>
      </c>
      <c r="UV44">
        <f>IF('計算A'!HV$106=1,LP44,1)</f>
        <v/>
      </c>
      <c r="UW44">
        <f>IF('計算A'!HW$106=1,LQ44,1)</f>
        <v/>
      </c>
      <c r="UX44">
        <f>IF('計算A'!HX$106=1,LR44,1)</f>
        <v/>
      </c>
      <c r="UY44">
        <f>IF('計算A'!HY$106=1,LS44,1)</f>
        <v/>
      </c>
      <c r="UZ44">
        <f>IF('計算A'!HZ$106=1,LT44,1)</f>
        <v/>
      </c>
      <c r="VA44">
        <f>IF('計算A'!IA$106=1,LU44,1)</f>
        <v/>
      </c>
      <c r="VB44">
        <f>IF('計算A'!IB$106=1,LV44,1)</f>
        <v/>
      </c>
      <c r="VC44">
        <f>IF('計算A'!IC$106=1,LW44,1)</f>
        <v/>
      </c>
      <c r="VD44">
        <f>IF('計算A'!ID$106=1,LX44,1)</f>
        <v/>
      </c>
      <c r="VE44">
        <f>IF('計算A'!IE$106=1,LY44,1)</f>
        <v/>
      </c>
      <c r="VF44">
        <f>IF('計算A'!IF$106=1,LZ44,1)</f>
        <v/>
      </c>
      <c r="VG44">
        <f>IF('計算A'!IG$106=1,MA44,1)</f>
        <v/>
      </c>
      <c r="VH44">
        <f>IF('計算A'!IH$106=1,MB44,1)</f>
        <v/>
      </c>
      <c r="VI44" t="n">
        <v>1</v>
      </c>
      <c r="VK44">
        <f>IF($B44=0,1000000,IF(INDEX('計算A'!$D$60:$II$104,$B44,1)*CW44=1,IF(AND($E44=2,MD44=0),1000000,INDEX('計算A'!D$110:D$114,$F44+1)+IF(AND($E44=1,MD44=0),1000,0)),1000000))</f>
        <v/>
      </c>
      <c r="VL44">
        <f>IF($B44=0,1000000,IF(INDEX('計算A'!$D$60:$II$104,$B44,2)*CX44=1,IF(AND($E44=2,ME44=0),1000000,INDEX('計算A'!E$110:E$114,$F44+1)+IF(AND($E44=1,ME44=0),1000,0)),1000000))</f>
        <v/>
      </c>
      <c r="VM44">
        <f>IF($B44=0,1000000,IF(INDEX('計算A'!$D$60:$II$104,$B44,3)*CY44=1,IF(AND($E44=2,MF44=0),1000000,INDEX('計算A'!F$110:F$114,$F44+1)+IF(AND($E44=1,MF44=0),1000,0)),1000000))</f>
        <v/>
      </c>
      <c r="VN44">
        <f>IF($B44=0,1000000,IF(INDEX('計算A'!$D$60:$II$104,$B44,4)*CZ44=1,IF(AND($E44=2,MG44=0),1000000,INDEX('計算A'!G$110:G$114,$F44+1)+IF(AND($E44=1,MG44=0),1000,0)),1000000))</f>
        <v/>
      </c>
      <c r="VO44">
        <f>IF($B44=0,1000000,IF(INDEX('計算A'!$D$60:$II$104,$B44,5)*DA44=1,IF(AND($E44=2,MH44=0),1000000,INDEX('計算A'!H$110:H$114,$F44+1)+IF(AND($E44=1,MH44=0),1000,0)),1000000))</f>
        <v/>
      </c>
      <c r="VP44">
        <f>IF($B44=0,1000000,IF(INDEX('計算A'!$D$60:$II$104,$B44,6)*DB44=1,IF(AND($E44=2,MI44=0),1000000,INDEX('計算A'!I$110:I$114,$F44+1)+IF(AND($E44=1,MI44=0),1000,0)),1000000))</f>
        <v/>
      </c>
      <c r="VQ44">
        <f>IF($B44=0,1000000,IF(INDEX('計算A'!$D$60:$II$104,$B44,7)*DC44=1,IF(AND($E44=2,MJ44=0),1000000,INDEX('計算A'!J$110:J$114,$F44+1)+IF(AND($E44=1,MJ44=0),1000,0)),1000000))</f>
        <v/>
      </c>
      <c r="VR44">
        <f>IF($B44=0,1000000,IF(INDEX('計算A'!$D$60:$II$104,$B44,8)*DD44=1,IF(AND($E44=2,MK44=0),1000000,INDEX('計算A'!K$110:K$114,$F44+1)+IF(AND($E44=1,MK44=0),1000,0)),1000000))</f>
        <v/>
      </c>
      <c r="VS44">
        <f>IF($B44=0,1000000,IF(INDEX('計算A'!$D$60:$II$104,$B44,9)*DE44=1,IF(AND($E44=2,ML44=0),1000000,INDEX('計算A'!L$110:L$114,$F44+1)+IF(AND($E44=1,ML44=0),1000,0)),1000000))</f>
        <v/>
      </c>
      <c r="VT44">
        <f>IF($B44=0,1000000,IF(INDEX('計算A'!$D$60:$II$104,$B44,10)*DF44=1,IF(AND($E44=2,MM44=0),1000000,INDEX('計算A'!M$110:M$114,$F44+1)+IF(AND($E44=1,MM44=0),1000,0)),1000000))</f>
        <v/>
      </c>
      <c r="VU44">
        <f>IF($B44=0,1000000,IF(INDEX('計算A'!$D$60:$II$104,$B44,11)*DG44=1,IF(AND($E44=2,MN44=0),1000000,INDEX('計算A'!N$110:N$114,$F44+1)+IF(AND($E44=1,MN44=0),1000,0)),1000000))</f>
        <v/>
      </c>
      <c r="VV44">
        <f>IF($B44=0,1000000,IF(INDEX('計算A'!$D$60:$II$104,$B44,12)*DH44=1,IF(AND($E44=2,MO44=0),1000000,INDEX('計算A'!O$110:O$114,$F44+1)+IF(AND($E44=1,MO44=0),1000,0)),1000000))</f>
        <v/>
      </c>
      <c r="VW44">
        <f>IF($B44=0,1000000,IF(INDEX('計算A'!$D$60:$II$104,$B44,13)*DI44=1,IF(AND($E44=2,MP44=0),1000000,INDEX('計算A'!P$110:P$114,$F44+1)+IF(AND($E44=1,MP44=0),1000,0)),1000000))</f>
        <v/>
      </c>
      <c r="VX44">
        <f>IF($B44=0,1000000,IF(INDEX('計算A'!$D$60:$II$104,$B44,14)*DJ44=1,IF(AND($E44=2,MQ44=0),1000000,INDEX('計算A'!Q$110:Q$114,$F44+1)+IF(AND($E44=1,MQ44=0),1000,0)),1000000))</f>
        <v/>
      </c>
      <c r="VY44">
        <f>IF($B44=0,1000000,IF(INDEX('計算A'!$D$60:$II$104,$B44,15)*DK44=1,IF(AND($E44=2,MR44=0),1000000,INDEX('計算A'!R$110:R$114,$F44+1)+IF(AND($E44=1,MR44=0),1000,0)),1000000))</f>
        <v/>
      </c>
      <c r="VZ44">
        <f>IF($B44=0,1000000,IF(INDEX('計算A'!$D$60:$II$104,$B44,16)*DL44=1,IF(AND($E44=2,MS44=0),1000000,INDEX('計算A'!S$110:S$114,$F44+1)+IF(AND($E44=1,MS44=0),1000,0)),1000000))</f>
        <v/>
      </c>
      <c r="WA44">
        <f>IF($B44=0,1000000,IF(INDEX('計算A'!$D$60:$II$104,$B44,17)*DM44=1,IF(AND($E44=2,MT44=0),1000000,INDEX('計算A'!T$110:T$114,$F44+1)+IF(AND($E44=1,MT44=0),1000,0)),1000000))</f>
        <v/>
      </c>
      <c r="WB44">
        <f>IF($B44=0,1000000,IF(INDEX('計算A'!$D$60:$II$104,$B44,18)*DN44=1,IF(AND($E44=2,MU44=0),1000000,INDEX('計算A'!U$110:U$114,$F44+1)+IF(AND($E44=1,MU44=0),1000,0)),1000000))</f>
        <v/>
      </c>
      <c r="WC44">
        <f>IF($B44=0,1000000,IF(INDEX('計算A'!$D$60:$II$104,$B44,19)*DO44=1,IF(AND($E44=2,MV44=0),1000000,INDEX('計算A'!V$110:V$114,$F44+1)+IF(AND($E44=1,MV44=0),1000,0)),1000000))</f>
        <v/>
      </c>
      <c r="WD44">
        <f>IF($B44=0,1000000,IF(INDEX('計算A'!$D$60:$II$104,$B44,20)*DP44=1,IF(AND($E44=2,MW44=0),1000000,INDEX('計算A'!W$110:W$114,$F44+1)+IF(AND($E44=1,MW44=0),1000,0)),1000000))</f>
        <v/>
      </c>
      <c r="WE44">
        <f>IF($B44=0,1000000,IF(INDEX('計算A'!$D$60:$II$104,$B44,21)*DQ44=1,IF(AND($E44=2,MX44=0),1000000,INDEX('計算A'!X$110:X$114,$F44+1)+IF(AND($E44=1,MX44=0),1000,0)),1000000))</f>
        <v/>
      </c>
      <c r="WF44">
        <f>IF($B44=0,1000000,IF(INDEX('計算A'!$D$60:$II$104,$B44,22)*DR44=1,IF(AND($E44=2,MY44=0),1000000,INDEX('計算A'!Y$110:Y$114,$F44+1)+IF(AND($E44=1,MY44=0),1000,0)),1000000))</f>
        <v/>
      </c>
      <c r="WG44">
        <f>IF($B44=0,1000000,IF(INDEX('計算A'!$D$60:$II$104,$B44,23)*DS44=1,IF(AND($E44=2,MZ44=0),1000000,INDEX('計算A'!Z$110:Z$114,$F44+1)+IF(AND($E44=1,MZ44=0),1000,0)),1000000))</f>
        <v/>
      </c>
      <c r="WH44">
        <f>IF($B44=0,1000000,IF(INDEX('計算A'!$D$60:$II$104,$B44,24)*DT44=1,IF(AND($E44=2,NA44=0),1000000,INDEX('計算A'!AA$110:AA$114,$F44+1)+IF(AND($E44=1,NA44=0),1000,0)),1000000))</f>
        <v/>
      </c>
      <c r="WI44">
        <f>IF($B44=0,1000000,IF(INDEX('計算A'!$D$60:$II$104,$B44,25)*DU44=1,IF(AND($E44=2,NB44=0),1000000,INDEX('計算A'!AB$110:AB$114,$F44+1)+IF(AND($E44=1,NB44=0),1000,0)),1000000))</f>
        <v/>
      </c>
      <c r="WJ44">
        <f>IF($B44=0,1000000,IF(INDEX('計算A'!$D$60:$II$104,$B44,26)*DV44=1,IF(AND($E44=2,NC44=0),1000000,INDEX('計算A'!AC$110:AC$114,$F44+1)+IF(AND($E44=1,NC44=0),1000,0)),1000000))</f>
        <v/>
      </c>
      <c r="WK44">
        <f>IF($B44=0,1000000,IF(INDEX('計算A'!$D$60:$II$104,$B44,27)*DW44=1,IF(AND($E44=2,ND44=0),1000000,INDEX('計算A'!AD$110:AD$114,$F44+1)+IF(AND($E44=1,ND44=0),1000,0)),1000000))</f>
        <v/>
      </c>
      <c r="WL44">
        <f>IF($B44=0,1000000,IF(INDEX('計算A'!$D$60:$II$104,$B44,28)*DX44=1,IF(AND($E44=2,NE44=0),1000000,INDEX('計算A'!AE$110:AE$114,$F44+1)+IF(AND($E44=1,NE44=0),1000,0)),1000000))</f>
        <v/>
      </c>
      <c r="WM44">
        <f>IF($B44=0,1000000,IF(INDEX('計算A'!$D$60:$II$104,$B44,29)*DY44=1,IF(AND($E44=2,NF44=0),1000000,INDEX('計算A'!AF$110:AF$114,$F44+1)+IF(AND($E44=1,NF44=0),1000,0)),1000000))</f>
        <v/>
      </c>
      <c r="WN44">
        <f>IF($B44=0,1000000,IF(INDEX('計算A'!$D$60:$II$104,$B44,30)*DZ44=1,IF(AND($E44=2,NG44=0),1000000,INDEX('計算A'!AG$110:AG$114,$F44+1)+IF(AND($E44=1,NG44=0),1000,0)),1000000))</f>
        <v/>
      </c>
      <c r="WO44">
        <f>IF($B44=0,1000000,IF(INDEX('計算A'!$D$60:$II$104,$B44,31)*EA44=1,IF(AND($E44=2,NH44=0),1000000,INDEX('計算A'!AH$110:AH$114,$F44+1)+IF(AND($E44=1,NH44=0),1000,0)),1000000))</f>
        <v/>
      </c>
      <c r="WP44">
        <f>IF($B44=0,1000000,IF(INDEX('計算A'!$D$60:$II$104,$B44,32)*EB44=1,IF(AND($E44=2,NI44=0),1000000,INDEX('計算A'!AI$110:AI$114,$F44+1)+IF(AND($E44=1,NI44=0),1000,0)),1000000))</f>
        <v/>
      </c>
      <c r="WQ44">
        <f>IF($B44=0,1000000,IF(INDEX('計算A'!$D$60:$II$104,$B44,33)*EC44=1,IF(AND($E44=2,NJ44=0),1000000,INDEX('計算A'!AJ$110:AJ$114,$F44+1)+IF(AND($E44=1,NJ44=0),1000,0)),1000000))</f>
        <v/>
      </c>
      <c r="WR44">
        <f>IF($B44=0,1000000,IF(INDEX('計算A'!$D$60:$II$104,$B44,34)*ED44=1,IF(AND($E44=2,NK44=0),1000000,INDEX('計算A'!AK$110:AK$114,$F44+1)+IF(AND($E44=1,NK44=0),1000,0)),1000000))</f>
        <v/>
      </c>
      <c r="WS44">
        <f>IF($B44=0,1000000,IF(INDEX('計算A'!$D$60:$II$104,$B44,35)*EE44=1,IF(AND($E44=2,NL44=0),1000000,INDEX('計算A'!AL$110:AL$114,$F44+1)+IF(AND($E44=1,NL44=0),1000,0)),1000000))</f>
        <v/>
      </c>
      <c r="WT44">
        <f>IF($B44=0,1000000,IF(INDEX('計算A'!$D$60:$II$104,$B44,36)*EF44=1,IF(AND($E44=2,NM44=0),1000000,INDEX('計算A'!AM$110:AM$114,$F44+1)+IF(AND($E44=1,NM44=0),1000,0)),1000000))</f>
        <v/>
      </c>
      <c r="WU44">
        <f>IF($B44=0,1000000,IF(INDEX('計算A'!$D$60:$II$104,$B44,37)*EG44=1,IF(AND($E44=2,NN44=0),1000000,INDEX('計算A'!AN$110:AN$114,$F44+1)+IF(AND($E44=1,NN44=0),1000,0)),1000000))</f>
        <v/>
      </c>
      <c r="WV44">
        <f>IF($B44=0,1000000,IF(INDEX('計算A'!$D$60:$II$104,$B44,38)*EH44=1,IF(AND($E44=2,NO44=0),1000000,INDEX('計算A'!AO$110:AO$114,$F44+1)+IF(AND($E44=1,NO44=0),1000,0)),1000000))</f>
        <v/>
      </c>
      <c r="WW44">
        <f>IF($B44=0,1000000,IF(INDEX('計算A'!$D$60:$II$104,$B44,39)*EI44=1,IF(AND($E44=2,NP44=0),1000000,INDEX('計算A'!AP$110:AP$114,$F44+1)+IF(AND($E44=1,NP44=0),1000,0)),1000000))</f>
        <v/>
      </c>
      <c r="WX44">
        <f>IF($B44=0,1000000,IF(INDEX('計算A'!$D$60:$II$104,$B44,40)*EJ44=1,IF(AND($E44=2,NQ44=0),1000000,INDEX('計算A'!AQ$110:AQ$114,$F44+1)+IF(AND($E44=1,NQ44=0),1000,0)),1000000))</f>
        <v/>
      </c>
      <c r="WY44">
        <f>IF($B44=0,1000000,IF(INDEX('計算A'!$D$60:$II$104,$B44,41)*EK44=1,IF(AND($E44=2,NR44=0),1000000,INDEX('計算A'!AR$110:AR$114,$F44+1)+IF(AND($E44=1,NR44=0),1000,0)),1000000))</f>
        <v/>
      </c>
      <c r="WZ44">
        <f>IF($B44=0,1000000,IF(INDEX('計算A'!$D$60:$II$104,$B44,42)*EL44=1,IF(AND($E44=2,NS44=0),1000000,INDEX('計算A'!AS$110:AS$114,$F44+1)+IF(AND($E44=1,NS44=0),1000,0)),1000000))</f>
        <v/>
      </c>
      <c r="XA44">
        <f>IF($B44=0,1000000,IF(INDEX('計算A'!$D$60:$II$104,$B44,43)*EM44=1,IF(AND($E44=2,NT44=0),1000000,INDEX('計算A'!AT$110:AT$114,$F44+1)+IF(AND($E44=1,NT44=0),1000,0)),1000000))</f>
        <v/>
      </c>
      <c r="XB44">
        <f>IF($B44=0,1000000,IF(INDEX('計算A'!$D$60:$II$104,$B44,44)*EN44=1,IF(AND($E44=2,NU44=0),1000000,INDEX('計算A'!AU$110:AU$114,$F44+1)+IF(AND($E44=1,NU44=0),1000,0)),1000000))</f>
        <v/>
      </c>
      <c r="XC44">
        <f>IF($B44=0,1000000,IF(INDEX('計算A'!$D$60:$II$104,$B44,45)*EO44=1,IF(AND($E44=2,NV44=0),1000000,INDEX('計算A'!AV$110:AV$114,$F44+1)+IF(AND($E44=1,NV44=0),1000,0)),1000000))</f>
        <v/>
      </c>
      <c r="XD44">
        <f>IF($B44=0,1000000,IF(INDEX('計算A'!$D$60:$II$104,$B44,46)*EP44=1,IF(AND($E44=2,NW44=0),1000000,INDEX('計算A'!AW$110:AW$114,$F44+1)+IF(AND($E44=1,NW44=0),1000,0)),1000000))</f>
        <v/>
      </c>
      <c r="XE44">
        <f>IF($B44=0,1000000,IF(INDEX('計算A'!$D$60:$II$104,$B44,47)*EQ44=1,IF(AND($E44=2,NX44=0),1000000,INDEX('計算A'!AX$110:AX$114,$F44+1)+IF(AND($E44=1,NX44=0),1000,0)),1000000))</f>
        <v/>
      </c>
      <c r="XF44">
        <f>IF($B44=0,1000000,IF(INDEX('計算A'!$D$60:$II$104,$B44,48)*ER44=1,IF(AND($E44=2,NY44=0),1000000,INDEX('計算A'!AY$110:AY$114,$F44+1)+IF(AND($E44=1,NY44=0),1000,0)),1000000))</f>
        <v/>
      </c>
      <c r="XG44">
        <f>IF($B44=0,1000000,IF(INDEX('計算A'!$D$60:$II$104,$B44,49)*ES44=1,IF(AND($E44=2,NZ44=0),1000000,INDEX('計算A'!AZ$110:AZ$114,$F44+1)+IF(AND($E44=1,NZ44=0),1000,0)),1000000))</f>
        <v/>
      </c>
      <c r="XH44">
        <f>IF($B44=0,1000000,IF(INDEX('計算A'!$D$60:$II$104,$B44,50)*ET44=1,IF(AND($E44=2,OA44=0),1000000,INDEX('計算A'!BA$110:BA$114,$F44+1)+IF(AND($E44=1,OA44=0),1000,0)),1000000))</f>
        <v/>
      </c>
      <c r="XI44">
        <f>IF($B44=0,1000000,IF(INDEX('計算A'!$D$60:$II$104,$B44,51)*EU44=1,IF(AND($E44=2,OB44=0),1000000,INDEX('計算A'!BB$110:BB$114,$F44+1)+IF(AND($E44=1,OB44=0),1000,0)),1000000))</f>
        <v/>
      </c>
      <c r="XJ44">
        <f>IF($B44=0,1000000,IF(INDEX('計算A'!$D$60:$II$104,$B44,52)*EV44=1,IF(AND($E44=2,OC44=0),1000000,INDEX('計算A'!BC$110:BC$114,$F44+1)+IF(AND($E44=1,OC44=0),1000,0)),1000000))</f>
        <v/>
      </c>
      <c r="XK44">
        <f>IF($B44=0,1000000,IF(INDEX('計算A'!$D$60:$II$104,$B44,53)*EW44=1,IF(AND($E44=2,OD44=0),1000000,INDEX('計算A'!BD$110:BD$114,$F44+1)+IF(AND($E44=1,OD44=0),1000,0)),1000000))</f>
        <v/>
      </c>
      <c r="XL44">
        <f>IF($B44=0,1000000,IF(INDEX('計算A'!$D$60:$II$104,$B44,54)*EX44=1,IF(AND($E44=2,OE44=0),1000000,INDEX('計算A'!BE$110:BE$114,$F44+1)+IF(AND($E44=1,OE44=0),1000,0)),1000000))</f>
        <v/>
      </c>
      <c r="XM44">
        <f>IF($B44=0,1000000,IF(INDEX('計算A'!$D$60:$II$104,$B44,55)*EY44=1,IF(AND($E44=2,OF44=0),1000000,INDEX('計算A'!BF$110:BF$114,$F44+1)+IF(AND($E44=1,OF44=0),1000,0)),1000000))</f>
        <v/>
      </c>
      <c r="XN44">
        <f>IF($B44=0,1000000,IF(INDEX('計算A'!$D$60:$II$104,$B44,56)*EZ44=1,IF(AND($E44=2,OG44=0),1000000,INDEX('計算A'!BG$110:BG$114,$F44+1)+IF(AND($E44=1,OG44=0),1000,0)),1000000))</f>
        <v/>
      </c>
      <c r="XO44">
        <f>IF($B44=0,1000000,IF(INDEX('計算A'!$D$60:$II$104,$B44,57)*FA44=1,IF(AND($E44=2,OH44=0),1000000,INDEX('計算A'!BH$110:BH$114,$F44+1)+IF(AND($E44=1,OH44=0),1000,0)),1000000))</f>
        <v/>
      </c>
      <c r="XP44">
        <f>IF($B44=0,1000000,IF(INDEX('計算A'!$D$60:$II$104,$B44,58)*FB44=1,IF(AND($E44=2,OI44=0),1000000,INDEX('計算A'!BI$110:BI$114,$F44+1)+IF(AND($E44=1,OI44=0),1000,0)),1000000))</f>
        <v/>
      </c>
      <c r="XQ44">
        <f>IF($B44=0,1000000,IF(INDEX('計算A'!$D$60:$II$104,$B44,59)*FC44=1,IF(AND($E44=2,OJ44=0),1000000,INDEX('計算A'!BJ$110:BJ$114,$F44+1)+IF(AND($E44=1,OJ44=0),1000,0)),1000000))</f>
        <v/>
      </c>
      <c r="XR44">
        <f>IF($B44=0,1000000,IF(INDEX('計算A'!$D$60:$II$104,$B44,60)*FD44=1,IF(AND($E44=2,OK44=0),1000000,INDEX('計算A'!BK$110:BK$114,$F44+1)+IF(AND($E44=1,OK44=0),1000,0)),1000000))</f>
        <v/>
      </c>
      <c r="XS44">
        <f>IF($B44=0,1000000,IF(INDEX('計算A'!$D$60:$II$104,$B44,61)*FE44=1,IF(AND($E44=2,OL44=0),1000000,INDEX('計算A'!BL$110:BL$114,$F44+1)+IF(AND($E44=1,OL44=0),1000,0)),1000000))</f>
        <v/>
      </c>
      <c r="XT44">
        <f>IF($B44=0,1000000,IF(INDEX('計算A'!$D$60:$II$104,$B44,62)*FF44=1,IF(AND($E44=2,OM44=0),1000000,INDEX('計算A'!BM$110:BM$114,$F44+1)+IF(AND($E44=1,OM44=0),1000,0)),1000000))</f>
        <v/>
      </c>
      <c r="XU44">
        <f>IF($B44=0,1000000,IF(INDEX('計算A'!$D$60:$II$104,$B44,63)*FG44=1,IF(AND($E44=2,ON44=0),1000000,INDEX('計算A'!BN$110:BN$114,$F44+1)+IF(AND($E44=1,ON44=0),1000,0)),1000000))</f>
        <v/>
      </c>
      <c r="XV44">
        <f>IF($B44=0,1000000,IF(INDEX('計算A'!$D$60:$II$104,$B44,64)*FH44=1,IF(AND($E44=2,OO44=0),1000000,INDEX('計算A'!BO$110:BO$114,$F44+1)+IF(AND($E44=1,OO44=0),1000,0)),1000000))</f>
        <v/>
      </c>
      <c r="XW44">
        <f>IF($B44=0,1000000,IF(INDEX('計算A'!$D$60:$II$104,$B44,65)*FI44=1,IF(AND($E44=2,OP44=0),1000000,INDEX('計算A'!BP$110:BP$114,$F44+1)+IF(AND($E44=1,OP44=0),1000,0)),1000000))</f>
        <v/>
      </c>
      <c r="XX44">
        <f>IF($B44=0,1000000,IF(INDEX('計算A'!$D$60:$II$104,$B44,66)*FJ44=1,IF(AND($E44=2,OQ44=0),1000000,INDEX('計算A'!BQ$110:BQ$114,$F44+1)+IF(AND($E44=1,OQ44=0),1000,0)),1000000))</f>
        <v/>
      </c>
      <c r="XY44">
        <f>IF($B44=0,1000000,IF(INDEX('計算A'!$D$60:$II$104,$B44,67)*FK44=1,IF(AND($E44=2,OR44=0),1000000,INDEX('計算A'!BR$110:BR$114,$F44+1)+IF(AND($E44=1,OR44=0),1000,0)),1000000))</f>
        <v/>
      </c>
      <c r="XZ44">
        <f>IF($B44=0,1000000,IF(INDEX('計算A'!$D$60:$II$104,$B44,68)*FL44=1,IF(AND($E44=2,OS44=0),1000000,INDEX('計算A'!BS$110:BS$114,$F44+1)+IF(AND($E44=1,OS44=0),1000,0)),1000000))</f>
        <v/>
      </c>
      <c r="YA44">
        <f>IF($B44=0,1000000,IF(INDEX('計算A'!$D$60:$II$104,$B44,69)*FM44=1,IF(AND($E44=2,OT44=0),1000000,INDEX('計算A'!BT$110:BT$114,$F44+1)+IF(AND($E44=1,OT44=0),1000,0)),1000000))</f>
        <v/>
      </c>
      <c r="YB44">
        <f>IF($B44=0,1000000,IF(INDEX('計算A'!$D$60:$II$104,$B44,70)*FN44=1,IF(AND($E44=2,OU44=0),1000000,INDEX('計算A'!BU$110:BU$114,$F44+1)+IF(AND($E44=1,OU44=0),1000,0)),1000000))</f>
        <v/>
      </c>
      <c r="YC44">
        <f>IF($B44=0,1000000,IF(INDEX('計算A'!$D$60:$II$104,$B44,71)*FO44=1,IF(AND($E44=2,OV44=0),1000000,INDEX('計算A'!BV$110:BV$114,$F44+1)+IF(AND($E44=1,OV44=0),1000,0)),1000000))</f>
        <v/>
      </c>
      <c r="YD44">
        <f>IF($B44=0,1000000,IF(INDEX('計算A'!$D$60:$II$104,$B44,72)*FP44=1,IF(AND($E44=2,OW44=0),1000000,INDEX('計算A'!BW$110:BW$114,$F44+1)+IF(AND($E44=1,OW44=0),1000,0)),1000000))</f>
        <v/>
      </c>
      <c r="YE44">
        <f>IF($B44=0,1000000,IF(INDEX('計算A'!$D$60:$II$104,$B44,73)*FQ44=1,IF(AND($E44=2,OX44=0),1000000,INDEX('計算A'!BX$110:BX$114,$F44+1)+IF(AND($E44=1,OX44=0),1000,0)),1000000))</f>
        <v/>
      </c>
      <c r="YF44">
        <f>IF($B44=0,1000000,IF(INDEX('計算A'!$D$60:$II$104,$B44,74)*FR44=1,IF(AND($E44=2,OY44=0),1000000,INDEX('計算A'!BY$110:BY$114,$F44+1)+IF(AND($E44=1,OY44=0),1000,0)),1000000))</f>
        <v/>
      </c>
      <c r="YG44">
        <f>IF($B44=0,1000000,IF(INDEX('計算A'!$D$60:$II$104,$B44,75)*FS44=1,IF(AND($E44=2,OZ44=0),1000000,INDEX('計算A'!BZ$110:BZ$114,$F44+1)+IF(AND($E44=1,OZ44=0),1000,0)),1000000))</f>
        <v/>
      </c>
      <c r="YH44">
        <f>IF($B44=0,1000000,IF(INDEX('計算A'!$D$60:$II$104,$B44,76)*FT44=1,IF(AND($E44=2,PA44=0),1000000,INDEX('計算A'!CA$110:CA$114,$F44+1)+IF(AND($E44=1,PA44=0),1000,0)),1000000))</f>
        <v/>
      </c>
      <c r="YI44">
        <f>IF($B44=0,1000000,IF(INDEX('計算A'!$D$60:$II$104,$B44,77)*FU44=1,IF(AND($E44=2,PB44=0),1000000,INDEX('計算A'!CB$110:CB$114,$F44+1)+IF(AND($E44=1,PB44=0),1000,0)),1000000))</f>
        <v/>
      </c>
      <c r="YJ44">
        <f>IF($B44=0,1000000,IF(INDEX('計算A'!$D$60:$II$104,$B44,78)*FV44=1,IF(AND($E44=2,PC44=0),1000000,INDEX('計算A'!CC$110:CC$114,$F44+1)+IF(AND($E44=1,PC44=0),1000,0)),1000000))</f>
        <v/>
      </c>
      <c r="YK44">
        <f>IF($B44=0,1000000,IF(INDEX('計算A'!$D$60:$II$104,$B44,79)*FW44=1,IF(AND($E44=2,PD44=0),1000000,INDEX('計算A'!CD$110:CD$114,$F44+1)+IF(AND($E44=1,PD44=0),1000,0)),1000000))</f>
        <v/>
      </c>
      <c r="YL44">
        <f>IF($B44=0,1000000,IF(INDEX('計算A'!$D$60:$II$104,$B44,80)*FX44=1,IF(AND($E44=2,PE44=0),1000000,INDEX('計算A'!CE$110:CE$114,$F44+1)+IF(AND($E44=1,PE44=0),1000,0)),1000000))</f>
        <v/>
      </c>
      <c r="YM44">
        <f>IF($B44=0,1000000,IF(INDEX('計算A'!$D$60:$II$104,$B44,81)*FY44=1,IF(AND($E44=2,PF44=0),1000000,INDEX('計算A'!CF$110:CF$114,$F44+1)+IF(AND($E44=1,PF44=0),1000,0)),1000000))</f>
        <v/>
      </c>
      <c r="YN44">
        <f>IF($B44=0,1000000,IF(INDEX('計算A'!$D$60:$II$104,$B44,82)*FZ44=1,IF(AND($E44=2,PG44=0),1000000,INDEX('計算A'!CG$110:CG$114,$F44+1)+IF(AND($E44=1,PG44=0),1000,0)),1000000))</f>
        <v/>
      </c>
      <c r="YO44">
        <f>IF($B44=0,1000000,IF(INDEX('計算A'!$D$60:$II$104,$B44,83)*GA44=1,IF(AND($E44=2,PH44=0),1000000,INDEX('計算A'!CH$110:CH$114,$F44+1)+IF(AND($E44=1,PH44=0),1000,0)),1000000))</f>
        <v/>
      </c>
      <c r="YP44">
        <f>IF($B44=0,1000000,IF(INDEX('計算A'!$D$60:$II$104,$B44,84)*GB44=1,IF(AND($E44=2,PI44=0),1000000,INDEX('計算A'!CI$110:CI$114,$F44+1)+IF(AND($E44=1,PI44=0),1000,0)),1000000))</f>
        <v/>
      </c>
      <c r="YQ44">
        <f>IF($B44=0,1000000,IF(INDEX('計算A'!$D$60:$II$104,$B44,85)*GC44=1,IF(AND($E44=2,PJ44=0),1000000,INDEX('計算A'!CJ$110:CJ$114,$F44+1)+IF(AND($E44=1,PJ44=0),1000,0)),1000000))</f>
        <v/>
      </c>
      <c r="YR44">
        <f>IF($B44=0,1000000,IF(INDEX('計算A'!$D$60:$II$104,$B44,86)*GD44=1,IF(AND($E44=2,PK44=0),1000000,INDEX('計算A'!CK$110:CK$114,$F44+1)+IF(AND($E44=1,PK44=0),1000,0)),1000000))</f>
        <v/>
      </c>
      <c r="YS44">
        <f>IF($B44=0,1000000,IF(INDEX('計算A'!$D$60:$II$104,$B44,87)*GE44=1,IF(AND($E44=2,PL44=0),1000000,INDEX('計算A'!CL$110:CL$114,$F44+1)+IF(AND($E44=1,PL44=0),1000,0)),1000000))</f>
        <v/>
      </c>
      <c r="YT44">
        <f>IF($B44=0,1000000,IF(INDEX('計算A'!$D$60:$II$104,$B44,88)*GF44=1,IF(AND($E44=2,PM44=0),1000000,INDEX('計算A'!CM$110:CM$114,$F44+1)+IF(AND($E44=1,PM44=0),1000,0)),1000000))</f>
        <v/>
      </c>
      <c r="YU44">
        <f>IF($B44=0,1000000,IF(INDEX('計算A'!$D$60:$II$104,$B44,89)*GG44=1,IF(AND($E44=2,PN44=0),1000000,INDEX('計算A'!CN$110:CN$114,$F44+1)+IF(AND($E44=1,PN44=0),1000,0)),1000000))</f>
        <v/>
      </c>
      <c r="YV44">
        <f>IF($B44=0,1000000,IF(INDEX('計算A'!$D$60:$II$104,$B44,90)*GH44=1,IF(AND($E44=2,PO44=0),1000000,INDEX('計算A'!CO$110:CO$114,$F44+1)+IF(AND($E44=1,PO44=0),1000,0)),1000000))</f>
        <v/>
      </c>
      <c r="YW44">
        <f>IF($B44=0,1000000,IF(INDEX('計算A'!$D$60:$II$104,$B44,91)*GI44=1,IF(AND($E44=2,PP44=0),1000000,INDEX('計算A'!CP$110:CP$114,$F44+1)+IF(AND($E44=1,PP44=0),1000,0)),1000000))</f>
        <v/>
      </c>
      <c r="YX44">
        <f>IF($B44=0,1000000,IF(INDEX('計算A'!$D$60:$II$104,$B44,92)*GJ44=1,IF(AND($E44=2,PQ44=0),1000000,INDEX('計算A'!CQ$110:CQ$114,$F44+1)+IF(AND($E44=1,PQ44=0),1000,0)),1000000))</f>
        <v/>
      </c>
      <c r="YY44">
        <f>IF($B44=0,1000000,IF(INDEX('計算A'!$D$60:$II$104,$B44,93)*GK44=1,IF(AND($E44=2,PR44=0),1000000,INDEX('計算A'!CR$110:CR$114,$F44+1)+IF(AND($E44=1,PR44=0),1000,0)),1000000))</f>
        <v/>
      </c>
      <c r="YZ44">
        <f>IF($B44=0,1000000,IF(INDEX('計算A'!$D$60:$II$104,$B44,94)*GL44=1,IF(AND($E44=2,PS44=0),1000000,INDEX('計算A'!CS$110:CS$114,$F44+1)+IF(AND($E44=1,PS44=0),1000,0)),1000000))</f>
        <v/>
      </c>
      <c r="ZA44">
        <f>IF($B44=0,1000000,IF(INDEX('計算A'!$D$60:$II$104,$B44,95)*GM44=1,IF(AND($E44=2,PT44=0),1000000,INDEX('計算A'!CT$110:CT$114,$F44+1)+IF(AND($E44=1,PT44=0),1000,0)),1000000))</f>
        <v/>
      </c>
      <c r="ZB44">
        <f>IF($B44=0,1000000,IF(INDEX('計算A'!$D$60:$II$104,$B44,96)*GN44=1,IF(AND($E44=2,PU44=0),1000000,INDEX('計算A'!CU$110:CU$114,$F44+1)+IF(AND($E44=1,PU44=0),1000,0)),1000000))</f>
        <v/>
      </c>
      <c r="ZC44">
        <f>IF($B44=0,1000000,IF(INDEX('計算A'!$D$60:$II$104,$B44,97)*GO44=1,IF(AND($E44=2,PV44=0),1000000,INDEX('計算A'!CV$110:CV$114,$F44+1)+IF(AND($E44=1,PV44=0),1000,0)),1000000))</f>
        <v/>
      </c>
      <c r="ZD44">
        <f>IF($B44=0,1000000,IF(INDEX('計算A'!$D$60:$II$104,$B44,98)*GP44=1,IF(AND($E44=2,PW44=0),1000000,INDEX('計算A'!CW$110:CW$114,$F44+1)+IF(AND($E44=1,PW44=0),1000,0)),1000000))</f>
        <v/>
      </c>
      <c r="ZE44">
        <f>IF($B44=0,1000000,IF(INDEX('計算A'!$D$60:$II$104,$B44,99)*GQ44=1,IF(AND($E44=2,PX44=0),1000000,INDEX('計算A'!CX$110:CX$114,$F44+1)+IF(AND($E44=1,PX44=0),1000,0)),1000000))</f>
        <v/>
      </c>
      <c r="ZF44">
        <f>IF($B44=0,1000000,IF(INDEX('計算A'!$D$60:$II$104,$B44,100)*GR44=1,IF(AND($E44=2,PY44=0),1000000,INDEX('計算A'!CY$110:CY$114,$F44+1)+IF(AND($E44=1,PY44=0),1000,0)),1000000))</f>
        <v/>
      </c>
      <c r="ZG44">
        <f>IF($B44=0,1000000,IF(INDEX('計算A'!$D$60:$II$104,$B44,101)*GS44=1,IF(AND($E44=2,PZ44=0),1000000,INDEX('計算A'!CZ$110:CZ$114,$F44+1)+IF(AND($E44=1,PZ44=0),1000,0)),1000000))</f>
        <v/>
      </c>
      <c r="ZH44">
        <f>IF($B44=0,1000000,IF(INDEX('計算A'!$D$60:$II$104,$B44,102)*GT44=1,IF(AND($E44=2,QA44=0),1000000,INDEX('計算A'!DA$110:DA$114,$F44+1)+IF(AND($E44=1,QA44=0),1000,0)),1000000))</f>
        <v/>
      </c>
      <c r="ZI44">
        <f>IF($B44=0,1000000,IF(INDEX('計算A'!$D$60:$II$104,$B44,103)*GU44=1,IF(AND($E44=2,QB44=0),1000000,INDEX('計算A'!DB$110:DB$114,$F44+1)+IF(AND($E44=1,QB44=0),1000,0)),1000000))</f>
        <v/>
      </c>
      <c r="ZJ44">
        <f>IF($B44=0,1000000,IF(INDEX('計算A'!$D$60:$II$104,$B44,104)*GV44=1,IF(AND($E44=2,QC44=0),1000000,INDEX('計算A'!DC$110:DC$114,$F44+1)+IF(AND($E44=1,QC44=0),1000,0)),1000000))</f>
        <v/>
      </c>
      <c r="ZK44">
        <f>IF($B44=0,1000000,IF(INDEX('計算A'!$D$60:$II$104,$B44,105)*GW44=1,IF(AND($E44=2,QD44=0),1000000,INDEX('計算A'!DD$110:DD$114,$F44+1)+IF(AND($E44=1,QD44=0),1000,0)),1000000))</f>
        <v/>
      </c>
      <c r="ZL44">
        <f>IF($B44=0,1000000,IF(INDEX('計算A'!$D$60:$II$104,$B44,106)*GX44=1,IF(AND($E44=2,QE44=0),1000000,INDEX('計算A'!DE$110:DE$114,$F44+1)+IF(AND($E44=1,QE44=0),1000,0)),1000000))</f>
        <v/>
      </c>
      <c r="ZM44">
        <f>IF($B44=0,1000000,IF(INDEX('計算A'!$D$60:$II$104,$B44,107)*GY44=1,IF(AND($E44=2,QF44=0),1000000,INDEX('計算A'!DF$110:DF$114,$F44+1)+IF(AND($E44=1,QF44=0),1000,0)),1000000))</f>
        <v/>
      </c>
      <c r="ZN44">
        <f>IF($B44=0,1000000,IF(INDEX('計算A'!$D$60:$II$104,$B44,108)*GZ44=1,IF(AND($E44=2,QG44=0),1000000,INDEX('計算A'!DG$110:DG$114,$F44+1)+IF(AND($E44=1,QG44=0),1000,0)),1000000))</f>
        <v/>
      </c>
      <c r="ZO44">
        <f>IF($B44=0,1000000,IF(INDEX('計算A'!$D$60:$II$104,$B44,109)*HA44=1,IF(AND($E44=2,QH44=0),1000000,INDEX('計算A'!DH$110:DH$114,$F44+1)+IF(AND($E44=1,QH44=0),1000,0)),1000000))</f>
        <v/>
      </c>
      <c r="ZP44">
        <f>IF($B44=0,1000000,IF(INDEX('計算A'!$D$60:$II$104,$B44,110)*HB44=1,IF(AND($E44=2,QI44=0),1000000,INDEX('計算A'!DI$110:DI$114,$F44+1)+IF(AND($E44=1,QI44=0),1000,0)),1000000))</f>
        <v/>
      </c>
      <c r="ZQ44">
        <f>IF($B44=0,1000000,IF(INDEX('計算A'!$D$60:$II$104,$B44,111)*HC44=1,IF(AND($E44=2,QJ44=0),1000000,INDEX('計算A'!DJ$110:DJ$114,$F44+1)+IF(AND($E44=1,QJ44=0),1000,0)),1000000))</f>
        <v/>
      </c>
      <c r="ZR44">
        <f>IF($B44=0,1000000,IF(INDEX('計算A'!$D$60:$II$104,$B44,112)*HD44=1,IF(AND($E44=2,QK44=0),1000000,INDEX('計算A'!DK$110:DK$114,$F44+1)+IF(AND($E44=1,QK44=0),1000,0)),1000000))</f>
        <v/>
      </c>
      <c r="ZS44">
        <f>IF($B44=0,1000000,IF(INDEX('計算A'!$D$60:$II$104,$B44,113)*HE44=1,IF(AND($E44=2,QL44=0),1000000,INDEX('計算A'!DL$110:DL$114,$F44+1)+IF(AND($E44=1,QL44=0),1000,0)),1000000))</f>
        <v/>
      </c>
      <c r="ZT44">
        <f>IF($B44=0,1000000,IF(INDEX('計算A'!$D$60:$II$104,$B44,114)*HF44=1,IF(AND($E44=2,QM44=0),1000000,INDEX('計算A'!DM$110:DM$114,$F44+1)+IF(AND($E44=1,QM44=0),1000,0)),1000000))</f>
        <v/>
      </c>
      <c r="ZU44">
        <f>IF($B44=0,1000000,IF(INDEX('計算A'!$D$60:$II$104,$B44,115)*HG44=1,IF(AND($E44=2,QN44=0),1000000,INDEX('計算A'!DN$110:DN$114,$F44+1)+IF(AND($E44=1,QN44=0),1000,0)),1000000))</f>
        <v/>
      </c>
      <c r="ZV44">
        <f>IF($B44=0,1000000,IF(INDEX('計算A'!$D$60:$II$104,$B44,116)*HH44=1,IF(AND($E44=2,QO44=0),1000000,INDEX('計算A'!DO$110:DO$114,$F44+1)+IF(AND($E44=1,QO44=0),1000,0)),1000000))</f>
        <v/>
      </c>
      <c r="ZW44">
        <f>IF($B44=0,1000000,IF(INDEX('計算A'!$D$60:$II$104,$B44,117)*HI44=1,IF(AND($E44=2,QP44=0),1000000,INDEX('計算A'!DP$110:DP$114,$F44+1)+IF(AND($E44=1,QP44=0),1000,0)),1000000))</f>
        <v/>
      </c>
      <c r="ZX44">
        <f>IF($B44=0,1000000,IF(INDEX('計算A'!$D$60:$II$104,$B44,118)*HJ44=1,IF(AND($E44=2,QQ44=0),1000000,INDEX('計算A'!DQ$110:DQ$114,$F44+1)+IF(AND($E44=1,QQ44=0),1000,0)),1000000))</f>
        <v/>
      </c>
      <c r="ZY44">
        <f>IF($B44=0,1000000,IF(INDEX('計算A'!$D$60:$II$104,$B44,119)*HK44=1,IF(AND($E44=2,QR44=0),1000000,INDEX('計算A'!DR$110:DR$114,$F44+1)+IF(AND($E44=1,QR44=0),1000,0)),1000000))</f>
        <v/>
      </c>
      <c r="ZZ44">
        <f>IF($B44=0,1000000,IF(INDEX('計算A'!$D$60:$II$104,$B44,120)*HL44=1,IF(AND($E44=2,QS44=0),1000000,INDEX('計算A'!DS$110:DS$114,$F44+1)+IF(AND($E44=1,QS44=0),1000,0)),1000000))</f>
        <v/>
      </c>
      <c r="AAA44">
        <f>IF($B44=0,1000000,IF(INDEX('計算A'!$D$60:$II$104,$B44,121)*HM44=1,IF(AND($E44=2,QT44=0),1000000,INDEX('計算A'!DT$110:DT$114,$F44+1)+IF(AND($E44=1,QT44=0),1000,0)),1000000))</f>
        <v/>
      </c>
      <c r="AAB44">
        <f>IF($B44=0,1000000,IF(INDEX('計算A'!$D$60:$II$104,$B44,122)*HN44=1,IF(AND($E44=2,QU44=0),1000000,INDEX('計算A'!DU$110:DU$114,$F44+1)+IF(AND($E44=1,QU44=0),1000,0)),1000000))</f>
        <v/>
      </c>
      <c r="AAC44">
        <f>IF($B44=0,1000000,IF(INDEX('計算A'!$D$60:$II$104,$B44,123)*HO44=1,IF(AND($E44=2,QV44=0),1000000,INDEX('計算A'!DV$110:DV$114,$F44+1)+IF(AND($E44=1,QV44=0),1000,0)),1000000))</f>
        <v/>
      </c>
      <c r="AAD44">
        <f>IF($B44=0,1000000,IF(INDEX('計算A'!$D$60:$II$104,$B44,124)*HP44=1,IF(AND($E44=2,QW44=0),1000000,INDEX('計算A'!DW$110:DW$114,$F44+1)+IF(AND($E44=1,QW44=0),1000,0)),1000000))</f>
        <v/>
      </c>
      <c r="AAE44">
        <f>IF($B44=0,1000000,IF(INDEX('計算A'!$D$60:$II$104,$B44,125)*HQ44=1,IF(AND($E44=2,QX44=0),1000000,INDEX('計算A'!DX$110:DX$114,$F44+1)+IF(AND($E44=1,QX44=0),1000,0)),1000000))</f>
        <v/>
      </c>
      <c r="AAF44">
        <f>IF($B44=0,1000000,IF(INDEX('計算A'!$D$60:$II$104,$B44,126)*HR44=1,IF(AND($E44=2,QY44=0),1000000,INDEX('計算A'!DY$110:DY$114,$F44+1)+IF(AND($E44=1,QY44=0),1000,0)),1000000))</f>
        <v/>
      </c>
      <c r="AAG44">
        <f>IF($B44=0,1000000,IF(INDEX('計算A'!$D$60:$II$104,$B44,127)*HS44=1,IF(AND($E44=2,QZ44=0),1000000,INDEX('計算A'!DZ$110:DZ$114,$F44+1)+IF(AND($E44=1,QZ44=0),1000,0)),1000000))</f>
        <v/>
      </c>
      <c r="AAH44">
        <f>IF($B44=0,1000000,IF(INDEX('計算A'!$D$60:$II$104,$B44,128)*HT44=1,IF(AND($E44=2,RA44=0),1000000,INDEX('計算A'!EA$110:EA$114,$F44+1)+IF(AND($E44=1,RA44=0),1000,0)),1000000))</f>
        <v/>
      </c>
      <c r="AAI44">
        <f>IF($B44=0,1000000,IF(INDEX('計算A'!$D$60:$II$104,$B44,129)*HU44=1,IF(AND($E44=2,RB44=0),1000000,INDEX('計算A'!EB$110:EB$114,$F44+1)+IF(AND($E44=1,RB44=0),1000,0)),1000000))</f>
        <v/>
      </c>
      <c r="AAJ44">
        <f>IF($B44=0,1000000,IF(INDEX('計算A'!$D$60:$II$104,$B44,130)*HV44=1,IF(AND($E44=2,RC44=0),1000000,INDEX('計算A'!EC$110:EC$114,$F44+1)+IF(AND($E44=1,RC44=0),1000,0)),1000000))</f>
        <v/>
      </c>
      <c r="AAK44">
        <f>IF($B44=0,1000000,IF(INDEX('計算A'!$D$60:$II$104,$B44,131)*HW44=1,IF(AND($E44=2,RD44=0),1000000,INDEX('計算A'!ED$110:ED$114,$F44+1)+IF(AND($E44=1,RD44=0),1000,0)),1000000))</f>
        <v/>
      </c>
      <c r="AAL44">
        <f>IF($B44=0,1000000,IF(INDEX('計算A'!$D$60:$II$104,$B44,132)*HX44=1,IF(AND($E44=2,RE44=0),1000000,INDEX('計算A'!EE$110:EE$114,$F44+1)+IF(AND($E44=1,RE44=0),1000,0)),1000000))</f>
        <v/>
      </c>
      <c r="AAM44">
        <f>IF($B44=0,1000000,IF(INDEX('計算A'!$D$60:$II$104,$B44,133)*HY44=1,IF(AND($E44=2,RF44=0),1000000,INDEX('計算A'!EF$110:EF$114,$F44+1)+IF(AND($E44=1,RF44=0),1000,0)),1000000))</f>
        <v/>
      </c>
      <c r="AAN44">
        <f>IF($B44=0,1000000,IF(INDEX('計算A'!$D$60:$II$104,$B44,134)*HZ44=1,IF(AND($E44=2,RG44=0),1000000,INDEX('計算A'!EG$110:EG$114,$F44+1)+IF(AND($E44=1,RG44=0),1000,0)),1000000))</f>
        <v/>
      </c>
      <c r="AAO44">
        <f>IF($B44=0,1000000,IF(INDEX('計算A'!$D$60:$II$104,$B44,135)*IA44=1,IF(AND($E44=2,RH44=0),1000000,INDEX('計算A'!EH$110:EH$114,$F44+1)+IF(AND($E44=1,RH44=0),1000,0)),1000000))</f>
        <v/>
      </c>
      <c r="AAP44">
        <f>IF($B44=0,1000000,IF(INDEX('計算A'!$D$60:$II$104,$B44,136)*IB44=1,IF(AND($E44=2,RI44=0),1000000,INDEX('計算A'!EI$110:EI$114,$F44+1)+IF(AND($E44=1,RI44=0),1000,0)),1000000))</f>
        <v/>
      </c>
      <c r="AAQ44">
        <f>IF($B44=0,1000000,IF(INDEX('計算A'!$D$60:$II$104,$B44,137)*IC44=1,IF(AND($E44=2,RJ44=0),1000000,INDEX('計算A'!EJ$110:EJ$114,$F44+1)+IF(AND($E44=1,RJ44=0),1000,0)),1000000))</f>
        <v/>
      </c>
      <c r="AAR44">
        <f>IF($B44=0,1000000,IF(INDEX('計算A'!$D$60:$II$104,$B44,138)*ID44=1,IF(AND($E44=2,RK44=0),1000000,INDEX('計算A'!EK$110:EK$114,$F44+1)+IF(AND($E44=1,RK44=0),1000,0)),1000000))</f>
        <v/>
      </c>
      <c r="AAS44">
        <f>IF($B44=0,1000000,IF(INDEX('計算A'!$D$60:$II$104,$B44,139)*IE44=1,IF(AND($E44=2,RL44=0),1000000,INDEX('計算A'!EL$110:EL$114,$F44+1)+IF(AND($E44=1,RL44=0),1000,0)),1000000))</f>
        <v/>
      </c>
      <c r="AAT44">
        <f>IF($B44=0,1000000,IF(INDEX('計算A'!$D$60:$II$104,$B44,140)*IF44=1,IF(AND($E44=2,RM44=0),1000000,INDEX('計算A'!EM$110:EM$114,$F44+1)+IF(AND($E44=1,RM44=0),1000,0)),1000000))</f>
        <v/>
      </c>
      <c r="AAU44">
        <f>IF($B44=0,1000000,IF(INDEX('計算A'!$D$60:$II$104,$B44,141)*IG44=1,IF(AND($E44=2,RN44=0),1000000,INDEX('計算A'!EN$110:EN$114,$F44+1)+IF(AND($E44=1,RN44=0),1000,0)),1000000))</f>
        <v/>
      </c>
      <c r="AAV44">
        <f>IF($B44=0,1000000,IF(INDEX('計算A'!$D$60:$II$104,$B44,142)*IH44=1,IF(AND($E44=2,RO44=0),1000000,INDEX('計算A'!EO$110:EO$114,$F44+1)+IF(AND($E44=1,RO44=0),1000,0)),1000000))</f>
        <v/>
      </c>
      <c r="AAW44">
        <f>IF($B44=0,1000000,IF(INDEX('計算A'!$D$60:$II$104,$B44,143)*II44=1,IF(AND($E44=2,RP44=0),1000000,INDEX('計算A'!EP$110:EP$114,$F44+1)+IF(AND($E44=1,RP44=0),1000,0)),1000000))</f>
        <v/>
      </c>
      <c r="AAX44">
        <f>IF($B44=0,1000000,IF(INDEX('計算A'!$D$60:$II$104,$B44,144)*IJ44=1,IF(AND($E44=2,RQ44=0),1000000,INDEX('計算A'!EQ$110:EQ$114,$F44+1)+IF(AND($E44=1,RQ44=0),1000,0)),1000000))</f>
        <v/>
      </c>
      <c r="AAY44">
        <f>IF($B44=0,1000000,IF(INDEX('計算A'!$D$60:$II$104,$B44,145)*IK44=1,IF(AND($E44=2,RR44=0),1000000,INDEX('計算A'!ER$110:ER$114,$F44+1)+IF(AND($E44=1,RR44=0),1000,0)),1000000))</f>
        <v/>
      </c>
      <c r="AAZ44">
        <f>IF($B44=0,1000000,IF(INDEX('計算A'!$D$60:$II$104,$B44,146)*IL44=1,IF(AND($E44=2,RS44=0),1000000,INDEX('計算A'!ES$110:ES$114,$F44+1)+IF(AND($E44=1,RS44=0),1000,0)),1000000))</f>
        <v/>
      </c>
      <c r="ABA44">
        <f>IF($B44=0,1000000,IF(INDEX('計算A'!$D$60:$II$104,$B44,147)*IM44=1,IF(AND($E44=2,RT44=0),1000000,INDEX('計算A'!ET$110:ET$114,$F44+1)+IF(AND($E44=1,RT44=0),1000,0)),1000000))</f>
        <v/>
      </c>
      <c r="ABB44">
        <f>IF($B44=0,1000000,IF(INDEX('計算A'!$D$60:$II$104,$B44,148)*IN44=1,IF(AND($E44=2,RU44=0),1000000,INDEX('計算A'!EU$110:EU$114,$F44+1)+IF(AND($E44=1,RU44=0),1000,0)),1000000))</f>
        <v/>
      </c>
      <c r="ABC44">
        <f>IF($B44=0,1000000,IF(INDEX('計算A'!$D$60:$II$104,$B44,149)*IO44=1,IF(AND($E44=2,RV44=0),1000000,INDEX('計算A'!EV$110:EV$114,$F44+1)+IF(AND($E44=1,RV44=0),1000,0)),1000000))</f>
        <v/>
      </c>
      <c r="ABD44">
        <f>IF($B44=0,1000000,IF(INDEX('計算A'!$D$60:$II$104,$B44,150)*IP44=1,IF(AND($E44=2,RW44=0),1000000,INDEX('計算A'!EW$110:EW$114,$F44+1)+IF(AND($E44=1,RW44=0),1000,0)),1000000))</f>
        <v/>
      </c>
      <c r="ABE44">
        <f>IF($B44=0,1000000,IF(INDEX('計算A'!$D$60:$II$104,$B44,151)*IQ44=1,IF(AND($E44=2,RX44=0),1000000,INDEX('計算A'!EX$110:EX$114,$F44+1)+IF(AND($E44=1,RX44=0),1000,0)),1000000))</f>
        <v/>
      </c>
      <c r="ABF44">
        <f>IF($B44=0,1000000,IF(INDEX('計算A'!$D$60:$II$104,$B44,152)*IR44=1,IF(AND($E44=2,RY44=0),1000000,INDEX('計算A'!EY$110:EY$114,$F44+1)+IF(AND($E44=1,RY44=0),1000,0)),1000000))</f>
        <v/>
      </c>
      <c r="ABG44">
        <f>IF($B44=0,1000000,IF(INDEX('計算A'!$D$60:$II$104,$B44,153)*IS44=1,IF(AND($E44=2,RZ44=0),1000000,INDEX('計算A'!EZ$110:EZ$114,$F44+1)+IF(AND($E44=1,RZ44=0),1000,0)),1000000))</f>
        <v/>
      </c>
      <c r="ABH44">
        <f>IF($B44=0,1000000,IF(INDEX('計算A'!$D$60:$II$104,$B44,154)*IT44=1,IF(AND($E44=2,SA44=0),1000000,INDEX('計算A'!FA$110:FA$114,$F44+1)+IF(AND($E44=1,SA44=0),1000,0)),1000000))</f>
        <v/>
      </c>
      <c r="ABI44">
        <f>IF($B44=0,1000000,IF(INDEX('計算A'!$D$60:$II$104,$B44,155)*IU44=1,IF(AND($E44=2,SB44=0),1000000,INDEX('計算A'!FB$110:FB$114,$F44+1)+IF(AND($E44=1,SB44=0),1000,0)),1000000))</f>
        <v/>
      </c>
      <c r="ABJ44">
        <f>IF($B44=0,1000000,IF(INDEX('計算A'!$D$60:$II$104,$B44,156)*IV44=1,IF(AND($E44=2,SC44=0),1000000,INDEX('計算A'!FC$110:FC$114,$F44+1)+IF(AND($E44=1,SC44=0),1000,0)),1000000))</f>
        <v/>
      </c>
      <c r="ABK44">
        <f>IF($B44=0,1000000,IF(INDEX('計算A'!$D$60:$II$104,$B44,157)*IW44=1,IF(AND($E44=2,SD44=0),1000000,INDEX('計算A'!FD$110:FD$114,$F44+1)+IF(AND($E44=1,SD44=0),1000,0)),1000000))</f>
        <v/>
      </c>
      <c r="ABL44">
        <f>IF($B44=0,1000000,IF(INDEX('計算A'!$D$60:$II$104,$B44,158)*IX44=1,IF(AND($E44=2,SE44=0),1000000,INDEX('計算A'!FE$110:FE$114,$F44+1)+IF(AND($E44=1,SE44=0),1000,0)),1000000))</f>
        <v/>
      </c>
      <c r="ABM44">
        <f>IF($B44=0,1000000,IF(INDEX('計算A'!$D$60:$II$104,$B44,159)*IY44=1,IF(AND($E44=2,SF44=0),1000000,INDEX('計算A'!FF$110:FF$114,$F44+1)+IF(AND($E44=1,SF44=0),1000,0)),1000000))</f>
        <v/>
      </c>
      <c r="ABN44">
        <f>IF($B44=0,1000000,IF(INDEX('計算A'!$D$60:$II$104,$B44,160)*IZ44=1,IF(AND($E44=2,SG44=0),1000000,INDEX('計算A'!FG$110:FG$114,$F44+1)+IF(AND($E44=1,SG44=0),1000,0)),1000000))</f>
        <v/>
      </c>
      <c r="ABO44">
        <f>IF($B44=0,1000000,IF(INDEX('計算A'!$D$60:$II$104,$B44,161)*JA44=1,IF(AND($E44=2,SH44=0),1000000,INDEX('計算A'!FH$110:FH$114,$F44+1)+IF(AND($E44=1,SH44=0),1000,0)),1000000))</f>
        <v/>
      </c>
      <c r="ABP44">
        <f>IF($B44=0,1000000,IF(INDEX('計算A'!$D$60:$II$104,$B44,162)*JB44=1,IF(AND($E44=2,SI44=0),1000000,INDEX('計算A'!FI$110:FI$114,$F44+1)+IF(AND($E44=1,SI44=0),1000,0)),1000000))</f>
        <v/>
      </c>
      <c r="ABQ44">
        <f>IF($B44=0,1000000,IF(INDEX('計算A'!$D$60:$II$104,$B44,163)*JC44=1,IF(AND($E44=2,SJ44=0),1000000,INDEX('計算A'!FJ$110:FJ$114,$F44+1)+IF(AND($E44=1,SJ44=0),1000,0)),1000000))</f>
        <v/>
      </c>
      <c r="ABR44">
        <f>IF($B44=0,1000000,IF(INDEX('計算A'!$D$60:$II$104,$B44,164)*JD44=1,IF(AND($E44=2,SK44=0),1000000,INDEX('計算A'!FK$110:FK$114,$F44+1)+IF(AND($E44=1,SK44=0),1000,0)),1000000))</f>
        <v/>
      </c>
      <c r="ABS44">
        <f>IF($B44=0,1000000,IF(INDEX('計算A'!$D$60:$II$104,$B44,165)*JE44=1,IF(AND($E44=2,SL44=0),1000000,INDEX('計算A'!FL$110:FL$114,$F44+1)+IF(AND($E44=1,SL44=0),1000,0)),1000000))</f>
        <v/>
      </c>
      <c r="ABT44">
        <f>IF($B44=0,1000000,IF(INDEX('計算A'!$D$60:$II$104,$B44,166)*JF44=1,IF(AND($E44=2,SM44=0),1000000,INDEX('計算A'!FM$110:FM$114,$F44+1)+IF(AND($E44=1,SM44=0),1000,0)),1000000))</f>
        <v/>
      </c>
      <c r="ABU44">
        <f>IF($B44=0,1000000,IF(INDEX('計算A'!$D$60:$II$104,$B44,167)*JG44=1,IF(AND($E44=2,SN44=0),1000000,INDEX('計算A'!FN$110:FN$114,$F44+1)+IF(AND($E44=1,SN44=0),1000,0)),1000000))</f>
        <v/>
      </c>
      <c r="ABV44">
        <f>IF($B44=0,1000000,IF(INDEX('計算A'!$D$60:$II$104,$B44,168)*JH44=1,IF(AND($E44=2,SO44=0),1000000,INDEX('計算A'!FO$110:FO$114,$F44+1)+IF(AND($E44=1,SO44=0),1000,0)),1000000))</f>
        <v/>
      </c>
      <c r="ABW44">
        <f>IF($B44=0,1000000,IF(INDEX('計算A'!$D$60:$II$104,$B44,169)*JI44=1,IF(AND($E44=2,SP44=0),1000000,INDEX('計算A'!FP$110:FP$114,$F44+1)+IF(AND($E44=1,SP44=0),1000,0)),1000000))</f>
        <v/>
      </c>
      <c r="ABX44">
        <f>IF($B44=0,1000000,IF(INDEX('計算A'!$D$60:$II$104,$B44,170)*JJ44=1,IF(AND($E44=2,SQ44=0),1000000,INDEX('計算A'!FQ$110:FQ$114,$F44+1)+IF(AND($E44=1,SQ44=0),1000,0)),1000000))</f>
        <v/>
      </c>
      <c r="ABY44">
        <f>IF($B44=0,1000000,IF(INDEX('計算A'!$D$60:$II$104,$B44,171)*JK44=1,IF(AND($E44=2,SR44=0),1000000,INDEX('計算A'!FR$110:FR$114,$F44+1)+IF(AND($E44=1,SR44=0),1000,0)),1000000))</f>
        <v/>
      </c>
      <c r="ABZ44">
        <f>IF($B44=0,1000000,IF(INDEX('計算A'!$D$60:$II$104,$B44,172)*JL44=1,IF(AND($E44=2,SS44=0),1000000,INDEX('計算A'!FS$110:FS$114,$F44+1)+IF(AND($E44=1,SS44=0),1000,0)),1000000))</f>
        <v/>
      </c>
      <c r="ACA44">
        <f>IF($B44=0,1000000,IF(INDEX('計算A'!$D$60:$II$104,$B44,173)*JM44=1,IF(AND($E44=2,ST44=0),1000000,INDEX('計算A'!FT$110:FT$114,$F44+1)+IF(AND($E44=1,ST44=0),1000,0)),1000000))</f>
        <v/>
      </c>
      <c r="ACB44">
        <f>IF($B44=0,1000000,IF(INDEX('計算A'!$D$60:$II$104,$B44,174)*JN44=1,IF(AND($E44=2,SU44=0),1000000,INDEX('計算A'!FU$110:FU$114,$F44+1)+IF(AND($E44=1,SU44=0),1000,0)),1000000))</f>
        <v/>
      </c>
      <c r="ACC44">
        <f>IF($B44=0,1000000,IF(INDEX('計算A'!$D$60:$II$104,$B44,175)*JO44=1,IF(AND($E44=2,SV44=0),1000000,INDEX('計算A'!FV$110:FV$114,$F44+1)+IF(AND($E44=1,SV44=0),1000,0)),1000000))</f>
        <v/>
      </c>
      <c r="ACD44">
        <f>IF($B44=0,1000000,IF(INDEX('計算A'!$D$60:$II$104,$B44,176)*JP44=1,IF(AND($E44=2,SW44=0),1000000,INDEX('計算A'!FW$110:FW$114,$F44+1)+IF(AND($E44=1,SW44=0),1000,0)),1000000))</f>
        <v/>
      </c>
      <c r="ACE44">
        <f>IF($B44=0,1000000,IF(INDEX('計算A'!$D$60:$II$104,$B44,177)*JQ44=1,IF(AND($E44=2,SX44=0),1000000,INDEX('計算A'!FX$110:FX$114,$F44+1)+IF(AND($E44=1,SX44=0),1000,0)),1000000))</f>
        <v/>
      </c>
      <c r="ACF44">
        <f>IF($B44=0,1000000,IF(INDEX('計算A'!$D$60:$II$104,$B44,178)*JR44=1,IF(AND($E44=2,SY44=0),1000000,INDEX('計算A'!FY$110:FY$114,$F44+1)+IF(AND($E44=1,SY44=0),1000,0)),1000000))</f>
        <v/>
      </c>
      <c r="ACG44">
        <f>IF($B44=0,1000000,IF(INDEX('計算A'!$D$60:$II$104,$B44,179)*JS44=1,IF(AND($E44=2,SZ44=0),1000000,INDEX('計算A'!FZ$110:FZ$114,$F44+1)+IF(AND($E44=1,SZ44=0),1000,0)),1000000))</f>
        <v/>
      </c>
      <c r="ACH44">
        <f>IF($B44=0,1000000,IF(INDEX('計算A'!$D$60:$II$104,$B44,180)*JT44=1,IF(AND($E44=2,TA44=0),1000000,INDEX('計算A'!GA$110:GA$114,$F44+1)+IF(AND($E44=1,TA44=0),1000,0)),1000000))</f>
        <v/>
      </c>
      <c r="ACI44">
        <f>IF($B44=0,1000000,IF(INDEX('計算A'!$D$60:$II$104,$B44,181)*JU44=1,IF(AND($E44=2,TB44=0),1000000,INDEX('計算A'!GB$110:GB$114,$F44+1)+IF(AND($E44=1,TB44=0),1000,0)),1000000))</f>
        <v/>
      </c>
      <c r="ACJ44">
        <f>IF($B44=0,1000000,IF(INDEX('計算A'!$D$60:$II$104,$B44,182)*JV44=1,IF(AND($E44=2,TC44=0),1000000,INDEX('計算A'!GC$110:GC$114,$F44+1)+IF(AND($E44=1,TC44=0),1000,0)),1000000))</f>
        <v/>
      </c>
      <c r="ACK44">
        <f>IF($B44=0,1000000,IF(INDEX('計算A'!$D$60:$II$104,$B44,183)*JW44=1,IF(AND($E44=2,TD44=0),1000000,INDEX('計算A'!GD$110:GD$114,$F44+1)+IF(AND($E44=1,TD44=0),1000,0)),1000000))</f>
        <v/>
      </c>
      <c r="ACL44">
        <f>IF($B44=0,1000000,IF(INDEX('計算A'!$D$60:$II$104,$B44,184)*JX44=1,IF(AND($E44=2,TE44=0),1000000,INDEX('計算A'!GE$110:GE$114,$F44+1)+IF(AND($E44=1,TE44=0),1000,0)),1000000))</f>
        <v/>
      </c>
      <c r="ACM44">
        <f>IF($B44=0,1000000,IF(INDEX('計算A'!$D$60:$II$104,$B44,185)*JY44=1,IF(AND($E44=2,TF44=0),1000000,INDEX('計算A'!GF$110:GF$114,$F44+1)+IF(AND($E44=1,TF44=0),1000,0)),1000000))</f>
        <v/>
      </c>
      <c r="ACN44">
        <f>IF($B44=0,1000000,IF(INDEX('計算A'!$D$60:$II$104,$B44,186)*JZ44=1,IF(AND($E44=2,TG44=0),1000000,INDEX('計算A'!GG$110:GG$114,$F44+1)+IF(AND($E44=1,TG44=0),1000,0)),1000000))</f>
        <v/>
      </c>
      <c r="ACO44">
        <f>IF($B44=0,1000000,IF(INDEX('計算A'!$D$60:$II$104,$B44,187)*KA44=1,IF(AND($E44=2,TH44=0),1000000,INDEX('計算A'!GH$110:GH$114,$F44+1)+IF(AND($E44=1,TH44=0),1000,0)),1000000))</f>
        <v/>
      </c>
      <c r="ACP44">
        <f>IF($B44=0,1000000,IF(INDEX('計算A'!$D$60:$II$104,$B44,188)*KB44=1,IF(AND($E44=2,TI44=0),1000000,INDEX('計算A'!GI$110:GI$114,$F44+1)+IF(AND($E44=1,TI44=0),1000,0)),1000000))</f>
        <v/>
      </c>
      <c r="ACQ44">
        <f>IF($B44=0,1000000,IF(INDEX('計算A'!$D$60:$II$104,$B44,189)*KC44=1,IF(AND($E44=2,TJ44=0),1000000,INDEX('計算A'!GJ$110:GJ$114,$F44+1)+IF(AND($E44=1,TJ44=0),1000,0)),1000000))</f>
        <v/>
      </c>
      <c r="ACR44">
        <f>IF($B44=0,1000000,IF(INDEX('計算A'!$D$60:$II$104,$B44,190)*KD44=1,IF(AND($E44=2,TK44=0),1000000,INDEX('計算A'!GK$110:GK$114,$F44+1)+IF(AND($E44=1,TK44=0),1000,0)),1000000))</f>
        <v/>
      </c>
      <c r="ACS44">
        <f>IF($B44=0,1000000,IF(INDEX('計算A'!$D$60:$II$104,$B44,191)*KE44=1,IF(AND($E44=2,TL44=0),1000000,INDEX('計算A'!GL$110:GL$114,$F44+1)+IF(AND($E44=1,TL44=0),1000,0)),1000000))</f>
        <v/>
      </c>
      <c r="ACT44">
        <f>IF($B44=0,1000000,IF(INDEX('計算A'!$D$60:$II$104,$B44,192)*KF44=1,IF(AND($E44=2,TM44=0),1000000,INDEX('計算A'!GM$110:GM$114,$F44+1)+IF(AND($E44=1,TM44=0),1000,0)),1000000))</f>
        <v/>
      </c>
      <c r="ACU44">
        <f>IF($B44=0,1000000,IF(INDEX('計算A'!$D$60:$II$104,$B44,193)*KG44=1,IF(AND($E44=2,TN44=0),1000000,INDEX('計算A'!GN$110:GN$114,$F44+1)+IF(AND($E44=1,TN44=0),1000,0)),1000000))</f>
        <v/>
      </c>
      <c r="ACV44">
        <f>IF($B44=0,1000000,IF(INDEX('計算A'!$D$60:$II$104,$B44,194)*KH44=1,IF(AND($E44=2,TO44=0),1000000,INDEX('計算A'!GO$110:GO$114,$F44+1)+IF(AND($E44=1,TO44=0),1000,0)),1000000))</f>
        <v/>
      </c>
      <c r="ACW44">
        <f>IF($B44=0,1000000,IF(INDEX('計算A'!$D$60:$II$104,$B44,195)*KI44=1,IF(AND($E44=2,TP44=0),1000000,INDEX('計算A'!GP$110:GP$114,$F44+1)+IF(AND($E44=1,TP44=0),1000,0)),1000000))</f>
        <v/>
      </c>
      <c r="ACX44">
        <f>IF($B44=0,1000000,IF(INDEX('計算A'!$D$60:$II$104,$B44,196)*KJ44=1,IF(AND($E44=2,TQ44=0),1000000,INDEX('計算A'!GQ$110:GQ$114,$F44+1)+IF(AND($E44=1,TQ44=0),1000,0)),1000000))</f>
        <v/>
      </c>
      <c r="ACY44">
        <f>IF($B44=0,1000000,IF(INDEX('計算A'!$D$60:$II$104,$B44,197)*KK44=1,IF(AND($E44=2,TR44=0),1000000,INDEX('計算A'!GR$110:GR$114,$F44+1)+IF(AND($E44=1,TR44=0),1000,0)),1000000))</f>
        <v/>
      </c>
      <c r="ACZ44">
        <f>IF($B44=0,1000000,IF(INDEX('計算A'!$D$60:$II$104,$B44,198)*KL44=1,IF(AND($E44=2,TS44=0),1000000,INDEX('計算A'!GS$110:GS$114,$F44+1)+IF(AND($E44=1,TS44=0),1000,0)),1000000))</f>
        <v/>
      </c>
      <c r="ADA44">
        <f>IF($B44=0,1000000,IF(INDEX('計算A'!$D$60:$II$104,$B44,199)*KM44=1,IF(AND($E44=2,TT44=0),1000000,INDEX('計算A'!GT$110:GT$114,$F44+1)+IF(AND($E44=1,TT44=0),1000,0)),1000000))</f>
        <v/>
      </c>
      <c r="ADB44">
        <f>IF($B44=0,1000000,IF(INDEX('計算A'!$D$60:$II$104,$B44,200)*KN44=1,IF(AND($E44=2,TU44=0),1000000,INDEX('計算A'!GU$110:GU$114,$F44+1)+IF(AND($E44=1,TU44=0),1000,0)),1000000))</f>
        <v/>
      </c>
      <c r="ADC44">
        <f>IF($B44=0,1000000,IF(INDEX('計算A'!$D$60:$II$104,$B44,201)*KO44=1,IF(AND($E44=2,TV44=0),1000000,INDEX('計算A'!GV$110:GV$114,$F44+1)+IF(AND($E44=1,TV44=0),1000,0)),1000000))</f>
        <v/>
      </c>
      <c r="ADD44">
        <f>IF($B44=0,1000000,IF(INDEX('計算A'!$D$60:$II$104,$B44,202)*KP44=1,IF(AND($E44=2,TW44=0),1000000,INDEX('計算A'!GW$110:GW$114,$F44+1)+IF(AND($E44=1,TW44=0),1000,0)),1000000))</f>
        <v/>
      </c>
      <c r="ADE44">
        <f>IF($B44=0,1000000,IF(INDEX('計算A'!$D$60:$II$104,$B44,203)*KQ44=1,IF(AND($E44=2,TX44=0),1000000,INDEX('計算A'!GX$110:GX$114,$F44+1)+IF(AND($E44=1,TX44=0),1000,0)),1000000))</f>
        <v/>
      </c>
      <c r="ADF44">
        <f>IF($B44=0,1000000,IF(INDEX('計算A'!$D$60:$II$104,$B44,204)*KR44=1,IF(AND($E44=2,TY44=0),1000000,INDEX('計算A'!GY$110:GY$114,$F44+1)+IF(AND($E44=1,TY44=0),1000,0)),1000000))</f>
        <v/>
      </c>
      <c r="ADG44">
        <f>IF($B44=0,1000000,IF(INDEX('計算A'!$D$60:$II$104,$B44,205)*KS44=1,IF(AND($E44=2,TZ44=0),1000000,INDEX('計算A'!GZ$110:GZ$114,$F44+1)+IF(AND($E44=1,TZ44=0),1000,0)),1000000))</f>
        <v/>
      </c>
      <c r="ADH44">
        <f>IF($B44=0,1000000,IF(INDEX('計算A'!$D$60:$II$104,$B44,206)*KT44=1,IF(AND($E44=2,UA44=0),1000000,INDEX('計算A'!HA$110:HA$114,$F44+1)+IF(AND($E44=1,UA44=0),1000,0)),1000000))</f>
        <v/>
      </c>
      <c r="ADI44">
        <f>IF($B44=0,1000000,IF(INDEX('計算A'!$D$60:$II$104,$B44,207)*KU44=1,IF(AND($E44=2,UB44=0),1000000,INDEX('計算A'!HB$110:HB$114,$F44+1)+IF(AND($E44=1,UB44=0),1000,0)),1000000))</f>
        <v/>
      </c>
      <c r="ADJ44">
        <f>IF($B44=0,1000000,IF(INDEX('計算A'!$D$60:$II$104,$B44,208)*KV44=1,IF(AND($E44=2,UC44=0),1000000,INDEX('計算A'!HC$110:HC$114,$F44+1)+IF(AND($E44=1,UC44=0),1000,0)),1000000))</f>
        <v/>
      </c>
      <c r="ADK44">
        <f>IF($B44=0,1000000,IF(INDEX('計算A'!$D$60:$II$104,$B44,209)*KW44=1,IF(AND($E44=2,UD44=0),1000000,INDEX('計算A'!HD$110:HD$114,$F44+1)+IF(AND($E44=1,UD44=0),1000,0)),1000000))</f>
        <v/>
      </c>
      <c r="ADL44">
        <f>IF($B44=0,1000000,IF(INDEX('計算A'!$D$60:$II$104,$B44,210)*KX44=1,IF(AND($E44=2,UE44=0),1000000,INDEX('計算A'!HE$110:HE$114,$F44+1)+IF(AND($E44=1,UE44=0),1000,0)),1000000))</f>
        <v/>
      </c>
      <c r="ADM44">
        <f>IF($B44=0,1000000,IF(INDEX('計算A'!$D$60:$II$104,$B44,211)*KY44=1,IF(AND($E44=2,UF44=0),1000000,INDEX('計算A'!HF$110:HF$114,$F44+1)+IF(AND($E44=1,UF44=0),1000,0)),1000000))</f>
        <v/>
      </c>
      <c r="ADN44">
        <f>IF($B44=0,1000000,IF(INDEX('計算A'!$D$60:$II$104,$B44,212)*KZ44=1,IF(AND($E44=2,UG44=0),1000000,INDEX('計算A'!HG$110:HG$114,$F44+1)+IF(AND($E44=1,UG44=0),1000,0)),1000000))</f>
        <v/>
      </c>
      <c r="ADO44">
        <f>IF($B44=0,1000000,IF(INDEX('計算A'!$D$60:$II$104,$B44,213)*LA44=1,IF(AND($E44=2,UH44=0),1000000,INDEX('計算A'!HH$110:HH$114,$F44+1)+IF(AND($E44=1,UH44=0),1000,0)),1000000))</f>
        <v/>
      </c>
      <c r="ADP44">
        <f>IF($B44=0,1000000,IF(INDEX('計算A'!$D$60:$II$104,$B44,214)*LB44=1,IF(AND($E44=2,UI44=0),1000000,INDEX('計算A'!HI$110:HI$114,$F44+1)+IF(AND($E44=1,UI44=0),1000,0)),1000000))</f>
        <v/>
      </c>
      <c r="ADQ44">
        <f>IF($B44=0,1000000,IF(INDEX('計算A'!$D$60:$II$104,$B44,215)*LC44=1,IF(AND($E44=2,UJ44=0),1000000,INDEX('計算A'!HJ$110:HJ$114,$F44+1)+IF(AND($E44=1,UJ44=0),1000,0)),1000000))</f>
        <v/>
      </c>
      <c r="ADR44">
        <f>IF($B44=0,1000000,IF(INDEX('計算A'!$D$60:$II$104,$B44,216)*LD44=1,IF(AND($E44=2,UK44=0),1000000,INDEX('計算A'!HK$110:HK$114,$F44+1)+IF(AND($E44=1,UK44=0),1000,0)),1000000))</f>
        <v/>
      </c>
      <c r="ADS44">
        <f>IF($B44=0,1000000,IF(INDEX('計算A'!$D$60:$II$104,$B44,217)*LE44=1,IF(AND($E44=2,UL44=0),1000000,INDEX('計算A'!HL$110:HL$114,$F44+1)+IF(AND($E44=1,UL44=0),1000,0)),1000000))</f>
        <v/>
      </c>
      <c r="ADT44">
        <f>IF($B44=0,1000000,IF(INDEX('計算A'!$D$60:$II$104,$B44,218)*LF44=1,IF(AND($E44=2,UM44=0),1000000,INDEX('計算A'!HM$110:HM$114,$F44+1)+IF(AND($E44=1,UM44=0),1000,0)),1000000))</f>
        <v/>
      </c>
      <c r="ADU44">
        <f>IF($B44=0,1000000,IF(INDEX('計算A'!$D$60:$II$104,$B44,219)*LG44=1,IF(AND($E44=2,UN44=0),1000000,INDEX('計算A'!HN$110:HN$114,$F44+1)+IF(AND($E44=1,UN44=0),1000,0)),1000000))</f>
        <v/>
      </c>
      <c r="ADV44">
        <f>IF($B44=0,1000000,IF(INDEX('計算A'!$D$60:$II$104,$B44,220)*LH44=1,IF(AND($E44=2,UO44=0),1000000,INDEX('計算A'!HO$110:HO$114,$F44+1)+IF(AND($E44=1,UO44=0),1000,0)),1000000))</f>
        <v/>
      </c>
      <c r="ADW44">
        <f>IF($B44=0,1000000,IF(INDEX('計算A'!$D$60:$II$104,$B44,221)*LI44=1,IF(AND($E44=2,UP44=0),1000000,INDEX('計算A'!HP$110:HP$114,$F44+1)+IF(AND($E44=1,UP44=0),1000,0)),1000000))</f>
        <v/>
      </c>
      <c r="ADX44">
        <f>IF($B44=0,1000000,IF(INDEX('計算A'!$D$60:$II$104,$B44,222)*LJ44=1,IF(AND($E44=2,UQ44=0),1000000,INDEX('計算A'!HQ$110:HQ$114,$F44+1)+IF(AND($E44=1,UQ44=0),1000,0)),1000000))</f>
        <v/>
      </c>
      <c r="ADY44">
        <f>IF($B44=0,1000000,IF(INDEX('計算A'!$D$60:$II$104,$B44,223)*LK44=1,IF(AND($E44=2,UR44=0),1000000,INDEX('計算A'!HR$110:HR$114,$F44+1)+IF(AND($E44=1,UR44=0),1000,0)),1000000))</f>
        <v/>
      </c>
      <c r="ADZ44">
        <f>IF($B44=0,1000000,IF(INDEX('計算A'!$D$60:$II$104,$B44,224)*LL44=1,IF(AND($E44=2,US44=0),1000000,INDEX('計算A'!HS$110:HS$114,$F44+1)+IF(AND($E44=1,US44=0),1000,0)),1000000))</f>
        <v/>
      </c>
      <c r="AEA44">
        <f>IF($B44=0,1000000,IF(INDEX('計算A'!$D$60:$II$104,$B44,225)*LM44=1,IF(AND($E44=2,UT44=0),1000000,INDEX('計算A'!HT$110:HT$114,$F44+1)+IF(AND($E44=1,UT44=0),1000,0)),1000000))</f>
        <v/>
      </c>
      <c r="AEB44">
        <f>IF($B44=0,1000000,IF(INDEX('計算A'!$D$60:$II$104,$B44,226)*LN44=1,IF(AND($E44=2,UU44=0),1000000,INDEX('計算A'!HU$110:HU$114,$F44+1)+IF(AND($E44=1,UU44=0),1000,0)),1000000))</f>
        <v/>
      </c>
      <c r="AEC44">
        <f>IF($B44=0,1000000,IF(INDEX('計算A'!$D$60:$II$104,$B44,227)*LO44=1,IF(AND($E44=2,UV44=0),1000000,INDEX('計算A'!HV$110:HV$114,$F44+1)+IF(AND($E44=1,UV44=0),1000,0)),1000000))</f>
        <v/>
      </c>
      <c r="AED44">
        <f>IF($B44=0,1000000,IF(INDEX('計算A'!$D$60:$II$104,$B44,228)*LP44=1,IF(AND($E44=2,UW44=0),1000000,INDEX('計算A'!HW$110:HW$114,$F44+1)+IF(AND($E44=1,UW44=0),1000,0)),1000000))</f>
        <v/>
      </c>
      <c r="AEE44">
        <f>IF($B44=0,1000000,IF(INDEX('計算A'!$D$60:$II$104,$B44,229)*LQ44=1,IF(AND($E44=2,UX44=0),1000000,INDEX('計算A'!HX$110:HX$114,$F44+1)+IF(AND($E44=1,UX44=0),1000,0)),1000000))</f>
        <v/>
      </c>
      <c r="AEF44">
        <f>IF($B44=0,1000000,IF(INDEX('計算A'!$D$60:$II$104,$B44,230)*LR44=1,IF(AND($E44=2,UY44=0),1000000,INDEX('計算A'!HY$110:HY$114,$F44+1)+IF(AND($E44=1,UY44=0),1000,0)),1000000))</f>
        <v/>
      </c>
      <c r="AEG44">
        <f>IF($B44=0,1000000,IF(INDEX('計算A'!$D$60:$II$104,$B44,231)*LS44=1,IF(AND($E44=2,UZ44=0),1000000,INDEX('計算A'!HZ$110:HZ$114,$F44+1)+IF(AND($E44=1,UZ44=0),1000,0)),1000000))</f>
        <v/>
      </c>
      <c r="AEH44">
        <f>IF($B44=0,1000000,IF(INDEX('計算A'!$D$60:$II$104,$B44,232)*LT44=1,IF(AND($E44=2,VA44=0),1000000,INDEX('計算A'!IA$110:IA$114,$F44+1)+IF(AND($E44=1,VA44=0),1000,0)),1000000))</f>
        <v/>
      </c>
      <c r="AEI44">
        <f>IF($B44=0,1000000,IF(INDEX('計算A'!$D$60:$II$104,$B44,233)*LU44=1,IF(AND($E44=2,VB44=0),1000000,INDEX('計算A'!IB$110:IB$114,$F44+1)+IF(AND($E44=1,VB44=0),1000,0)),1000000))</f>
        <v/>
      </c>
      <c r="AEJ44">
        <f>IF($B44=0,1000000,IF(INDEX('計算A'!$D$60:$II$104,$B44,234)*LV44=1,IF(AND($E44=2,VC44=0),1000000,INDEX('計算A'!IC$110:IC$114,$F44+1)+IF(AND($E44=1,VC44=0),1000,0)),1000000))</f>
        <v/>
      </c>
      <c r="AEK44">
        <f>IF($B44=0,1000000,IF(INDEX('計算A'!$D$60:$II$104,$B44,235)*LW44=1,IF(AND($E44=2,VD44=0),1000000,INDEX('計算A'!ID$110:ID$114,$F44+1)+IF(AND($E44=1,VD44=0),1000,0)),1000000))</f>
        <v/>
      </c>
      <c r="AEL44">
        <f>IF($B44=0,1000000,IF(INDEX('計算A'!$D$60:$II$104,$B44,236)*LX44=1,IF(AND($E44=2,VE44=0),1000000,INDEX('計算A'!IE$110:IE$114,$F44+1)+IF(AND($E44=1,VE44=0),1000,0)),1000000))</f>
        <v/>
      </c>
      <c r="AEM44">
        <f>IF($B44=0,1000000,IF(INDEX('計算A'!$D$60:$II$104,$B44,237)*LY44=1,IF(AND($E44=2,VF44=0),1000000,INDEX('計算A'!IF$110:IF$114,$F44+1)+IF(AND($E44=1,VF44=0),1000,0)),1000000))</f>
        <v/>
      </c>
      <c r="AEN44">
        <f>IF($B44=0,1000000,IF(INDEX('計算A'!$D$60:$II$104,$B44,238)*LZ44=1,IF(AND($E44=2,VG44=0),1000000,INDEX('計算A'!IG$110:IG$114,$F44+1)+IF(AND($E44=1,VG44=0),1000,0)),1000000))</f>
        <v/>
      </c>
      <c r="AEO44">
        <f>IF($B44=0,1000000,IF(INDEX('計算A'!$D$60:$II$104,$B44,239)*MA44=1,IF(AND($E44=2,VH44=0),1000000,INDEX('計算A'!IH$110:IH$114,$F44+1)+IF(AND($E44=1,VH44=0),1000,0)),1000000))</f>
        <v/>
      </c>
      <c r="AEP44">
        <f>IF($B44=0,1000000,IF(INDEX('計算A'!$D$60:$II$104,$B44,240)*MB44=1,IF(AND($E44=2,VI44=0),1000000,INDEX('計算A'!II$110:II$114,$F44+1)+IF(AND($E44=1,VI44=0),1000,0)),1000000))</f>
        <v/>
      </c>
    </row>
    <row r="45">
      <c r="A45" t="n">
        <v>43</v>
      </c>
      <c r="B45">
        <f>IF(MIN(BC45:CU45)&gt;=1000000,0,MATCH(MIN(BC45:CU45),BC45:CU45,0))</f>
        <v/>
      </c>
      <c r="C45">
        <f>IF(MIN(VK45:AEP45)&gt;=1000000,0,MATCH(MIN(VK45:AEP45),VK45:AEP45,0))</f>
        <v/>
      </c>
      <c r="D45">
        <f>IF(C45&gt;0,INDEX('計算A'!$D$5:$II$5,C45),0)</f>
        <v/>
      </c>
      <c r="E45">
        <f>IF(B45=0,0,INDEX('計算A'!$IQ$10:$IQ$54,B45))</f>
        <v/>
      </c>
      <c r="F45">
        <f>IF(B45=0,0,INDEX('計算A'!$IP$10:$IP$54,B45))</f>
        <v/>
      </c>
      <c r="G45">
        <f>IF(AND(C45&gt;0,E45&gt;0),IF(AND(INDEX('計算A'!$D$106:$II$106,C45)=1,INDEX($MD45:$VI45,C45)=1),C45+1,0),0)</f>
        <v/>
      </c>
      <c r="I45">
        <f>MAX(I44,IF($B44=1,1,0))</f>
        <v/>
      </c>
      <c r="J45">
        <f>MAX(J44,IF($B44=2,1,0))</f>
        <v/>
      </c>
      <c r="K45">
        <f>MAX(K44,IF($B44=3,1,0))</f>
        <v/>
      </c>
      <c r="L45">
        <f>MAX(L44,IF($B44=4,1,0))</f>
        <v/>
      </c>
      <c r="M45">
        <f>MAX(M44,IF($B44=5,1,0))</f>
        <v/>
      </c>
      <c r="N45">
        <f>MAX(N44,IF($B44=6,1,0))</f>
        <v/>
      </c>
      <c r="O45">
        <f>MAX(O44,IF($B44=7,1,0))</f>
        <v/>
      </c>
      <c r="P45">
        <f>MAX(P44,IF($B44=8,1,0))</f>
        <v/>
      </c>
      <c r="Q45">
        <f>MAX(Q44,IF($B44=9,1,0))</f>
        <v/>
      </c>
      <c r="R45">
        <f>MAX(R44,IF($B44=10,1,0))</f>
        <v/>
      </c>
      <c r="S45">
        <f>MAX(S44,IF($B44=11,1,0))</f>
        <v/>
      </c>
      <c r="T45">
        <f>MAX(T44,IF($B44=12,1,0))</f>
        <v/>
      </c>
      <c r="U45">
        <f>MAX(U44,IF($B44=13,1,0))</f>
        <v/>
      </c>
      <c r="V45">
        <f>MAX(V44,IF($B44=14,1,0))</f>
        <v/>
      </c>
      <c r="W45">
        <f>MAX(W44,IF($B44=15,1,0))</f>
        <v/>
      </c>
      <c r="X45">
        <f>MAX(X44,IF($B44=16,1,0))</f>
        <v/>
      </c>
      <c r="Y45">
        <f>MAX(Y44,IF($B44=17,1,0))</f>
        <v/>
      </c>
      <c r="Z45">
        <f>MAX(Z44,IF($B44=18,1,0))</f>
        <v/>
      </c>
      <c r="AA45">
        <f>MAX(AA44,IF($B44=19,1,0))</f>
        <v/>
      </c>
      <c r="AB45">
        <f>MAX(AB44,IF($B44=20,1,0))</f>
        <v/>
      </c>
      <c r="AC45">
        <f>MAX(AC44,IF($B44=21,1,0))</f>
        <v/>
      </c>
      <c r="AD45">
        <f>MAX(AD44,IF($B44=22,1,0))</f>
        <v/>
      </c>
      <c r="AE45">
        <f>MAX(AE44,IF($B44=23,1,0))</f>
        <v/>
      </c>
      <c r="AF45">
        <f>MAX(AF44,IF($B44=24,1,0))</f>
        <v/>
      </c>
      <c r="AG45">
        <f>MAX(AG44,IF($B44=25,1,0))</f>
        <v/>
      </c>
      <c r="AH45">
        <f>MAX(AH44,IF($B44=26,1,0))</f>
        <v/>
      </c>
      <c r="AI45">
        <f>MAX(AI44,IF($B44=27,1,0))</f>
        <v/>
      </c>
      <c r="AJ45">
        <f>MAX(AJ44,IF($B44=28,1,0))</f>
        <v/>
      </c>
      <c r="AK45">
        <f>MAX(AK44,IF($B44=29,1,0))</f>
        <v/>
      </c>
      <c r="AL45">
        <f>MAX(AL44,IF($B44=30,1,0))</f>
        <v/>
      </c>
      <c r="AM45">
        <f>MAX(AM44,IF($B44=31,1,0))</f>
        <v/>
      </c>
      <c r="AN45">
        <f>MAX(AN44,IF($B44=32,1,0))</f>
        <v/>
      </c>
      <c r="AO45">
        <f>MAX(AO44,IF($B44=33,1,0))</f>
        <v/>
      </c>
      <c r="AP45">
        <f>MAX(AP44,IF($B44=34,1,0))</f>
        <v/>
      </c>
      <c r="AQ45">
        <f>MAX(AQ44,IF($B44=35,1,0))</f>
        <v/>
      </c>
      <c r="AR45">
        <f>MAX(AR44,IF($B44=36,1,0))</f>
        <v/>
      </c>
      <c r="AS45">
        <f>MAX(AS44,IF($B44=37,1,0))</f>
        <v/>
      </c>
      <c r="AT45">
        <f>MAX(AT44,IF($B44=38,1,0))</f>
        <v/>
      </c>
      <c r="AU45">
        <f>MAX(AU44,IF($B44=39,1,0))</f>
        <v/>
      </c>
      <c r="AV45">
        <f>MAX(AV44,IF($B44=40,1,0))</f>
        <v/>
      </c>
      <c r="AW45">
        <f>MAX(AW44,IF($B44=41,1,0))</f>
        <v/>
      </c>
      <c r="AX45">
        <f>MAX(AX44,IF($B44=42,1,0))</f>
        <v/>
      </c>
      <c r="AY45">
        <f>MAX(AY44,IF($B44=43,1,0))</f>
        <v/>
      </c>
      <c r="AZ45">
        <f>MAX(AZ44,IF($B44=44,1,0))</f>
        <v/>
      </c>
      <c r="BA45">
        <f>MAX(BA44,IF($B44=45,1,0))</f>
        <v/>
      </c>
      <c r="BC45">
        <f>IF(I45=1,1000000,IF('計算A'!$IQ$10=2,SUMPRODUCT('計算A'!$D$60:$II$60,$CW45:$MB45,$MD45:$VI45),SUMPRODUCT('計算A'!$D$60:$II$60,$CW45:$MB45))*1000+1)</f>
        <v/>
      </c>
      <c r="BD45">
        <f>IF(J45=1,1000000,IF('計算A'!$IQ$11=2,SUMPRODUCT('計算A'!$D$61:$II$61,$CW45:$MB45,$MD45:$VI45),SUMPRODUCT('計算A'!$D$61:$II$61,$CW45:$MB45))*1000+2)</f>
        <v/>
      </c>
      <c r="BE45">
        <f>IF(K45=1,1000000,IF('計算A'!$IQ$12=2,SUMPRODUCT('計算A'!$D$62:$II$62,$CW45:$MB45,$MD45:$VI45),SUMPRODUCT('計算A'!$D$62:$II$62,$CW45:$MB45))*1000+3)</f>
        <v/>
      </c>
      <c r="BF45">
        <f>IF(L45=1,1000000,IF('計算A'!$IQ$13=2,SUMPRODUCT('計算A'!$D$63:$II$63,$CW45:$MB45,$MD45:$VI45),SUMPRODUCT('計算A'!$D$63:$II$63,$CW45:$MB45))*1000+4)</f>
        <v/>
      </c>
      <c r="BG45">
        <f>IF(M45=1,1000000,IF('計算A'!$IQ$14=2,SUMPRODUCT('計算A'!$D$64:$II$64,$CW45:$MB45,$MD45:$VI45),SUMPRODUCT('計算A'!$D$64:$II$64,$CW45:$MB45))*1000+5)</f>
        <v/>
      </c>
      <c r="BH45">
        <f>IF(N45=1,1000000,IF('計算A'!$IQ$15=2,SUMPRODUCT('計算A'!$D$65:$II$65,$CW45:$MB45,$MD45:$VI45),SUMPRODUCT('計算A'!$D$65:$II$65,$CW45:$MB45))*1000+6)</f>
        <v/>
      </c>
      <c r="BI45">
        <f>IF(O45=1,1000000,IF('計算A'!$IQ$16=2,SUMPRODUCT('計算A'!$D$66:$II$66,$CW45:$MB45,$MD45:$VI45),SUMPRODUCT('計算A'!$D$66:$II$66,$CW45:$MB45))*1000+7)</f>
        <v/>
      </c>
      <c r="BJ45">
        <f>IF(P45=1,1000000,IF('計算A'!$IQ$17=2,SUMPRODUCT('計算A'!$D$67:$II$67,$CW45:$MB45,$MD45:$VI45),SUMPRODUCT('計算A'!$D$67:$II$67,$CW45:$MB45))*1000+8)</f>
        <v/>
      </c>
      <c r="BK45">
        <f>IF(Q45=1,1000000,IF('計算A'!$IQ$18=2,SUMPRODUCT('計算A'!$D$68:$II$68,$CW45:$MB45,$MD45:$VI45),SUMPRODUCT('計算A'!$D$68:$II$68,$CW45:$MB45))*1000+9)</f>
        <v/>
      </c>
      <c r="BL45">
        <f>IF(R45=1,1000000,IF('計算A'!$IQ$19=2,SUMPRODUCT('計算A'!$D$69:$II$69,$CW45:$MB45,$MD45:$VI45),SUMPRODUCT('計算A'!$D$69:$II$69,$CW45:$MB45))*1000+10)</f>
        <v/>
      </c>
      <c r="BM45">
        <f>IF(S45=1,1000000,IF('計算A'!$IQ$20=2,SUMPRODUCT('計算A'!$D$70:$II$70,$CW45:$MB45,$MD45:$VI45),SUMPRODUCT('計算A'!$D$70:$II$70,$CW45:$MB45))*1000+11)</f>
        <v/>
      </c>
      <c r="BN45">
        <f>IF(T45=1,1000000,IF('計算A'!$IQ$21=2,SUMPRODUCT('計算A'!$D$71:$II$71,$CW45:$MB45,$MD45:$VI45),SUMPRODUCT('計算A'!$D$71:$II$71,$CW45:$MB45))*1000+12)</f>
        <v/>
      </c>
      <c r="BO45">
        <f>IF(U45=1,1000000,IF('計算A'!$IQ$22=2,SUMPRODUCT('計算A'!$D$72:$II$72,$CW45:$MB45,$MD45:$VI45),SUMPRODUCT('計算A'!$D$72:$II$72,$CW45:$MB45))*1000+13)</f>
        <v/>
      </c>
      <c r="BP45">
        <f>IF(V45=1,1000000,IF('計算A'!$IQ$23=2,SUMPRODUCT('計算A'!$D$73:$II$73,$CW45:$MB45,$MD45:$VI45),SUMPRODUCT('計算A'!$D$73:$II$73,$CW45:$MB45))*1000+14)</f>
        <v/>
      </c>
      <c r="BQ45">
        <f>IF(W45=1,1000000,IF('計算A'!$IQ$24=2,SUMPRODUCT('計算A'!$D$74:$II$74,$CW45:$MB45,$MD45:$VI45),SUMPRODUCT('計算A'!$D$74:$II$74,$CW45:$MB45))*1000+15)</f>
        <v/>
      </c>
      <c r="BR45">
        <f>IF(X45=1,1000000,IF('計算A'!$IQ$25=2,SUMPRODUCT('計算A'!$D$75:$II$75,$CW45:$MB45,$MD45:$VI45),SUMPRODUCT('計算A'!$D$75:$II$75,$CW45:$MB45))*1000+16)</f>
        <v/>
      </c>
      <c r="BS45">
        <f>IF(Y45=1,1000000,IF('計算A'!$IQ$26=2,SUMPRODUCT('計算A'!$D$76:$II$76,$CW45:$MB45,$MD45:$VI45),SUMPRODUCT('計算A'!$D$76:$II$76,$CW45:$MB45))*1000+17)</f>
        <v/>
      </c>
      <c r="BT45">
        <f>IF(Z45=1,1000000,IF('計算A'!$IQ$27=2,SUMPRODUCT('計算A'!$D$77:$II$77,$CW45:$MB45,$MD45:$VI45),SUMPRODUCT('計算A'!$D$77:$II$77,$CW45:$MB45))*1000+18)</f>
        <v/>
      </c>
      <c r="BU45">
        <f>IF(AA45=1,1000000,IF('計算A'!$IQ$28=2,SUMPRODUCT('計算A'!$D$78:$II$78,$CW45:$MB45,$MD45:$VI45),SUMPRODUCT('計算A'!$D$78:$II$78,$CW45:$MB45))*1000+19)</f>
        <v/>
      </c>
      <c r="BV45">
        <f>IF(AB45=1,1000000,IF('計算A'!$IQ$29=2,SUMPRODUCT('計算A'!$D$79:$II$79,$CW45:$MB45,$MD45:$VI45),SUMPRODUCT('計算A'!$D$79:$II$79,$CW45:$MB45))*1000+20)</f>
        <v/>
      </c>
      <c r="BW45">
        <f>IF(AC45=1,1000000,IF('計算A'!$IQ$30=2,SUMPRODUCT('計算A'!$D$80:$II$80,$CW45:$MB45,$MD45:$VI45),SUMPRODUCT('計算A'!$D$80:$II$80,$CW45:$MB45))*1000+21)</f>
        <v/>
      </c>
      <c r="BX45">
        <f>IF(AD45=1,1000000,IF('計算A'!$IQ$31=2,SUMPRODUCT('計算A'!$D$81:$II$81,$CW45:$MB45,$MD45:$VI45),SUMPRODUCT('計算A'!$D$81:$II$81,$CW45:$MB45))*1000+22)</f>
        <v/>
      </c>
      <c r="BY45">
        <f>IF(AE45=1,1000000,IF('計算A'!$IQ$32=2,SUMPRODUCT('計算A'!$D$82:$II$82,$CW45:$MB45,$MD45:$VI45),SUMPRODUCT('計算A'!$D$82:$II$82,$CW45:$MB45))*1000+23)</f>
        <v/>
      </c>
      <c r="BZ45">
        <f>IF(AF45=1,1000000,IF('計算A'!$IQ$33=2,SUMPRODUCT('計算A'!$D$83:$II$83,$CW45:$MB45,$MD45:$VI45),SUMPRODUCT('計算A'!$D$83:$II$83,$CW45:$MB45))*1000+24)</f>
        <v/>
      </c>
      <c r="CA45">
        <f>IF(AG45=1,1000000,IF('計算A'!$IQ$34=2,SUMPRODUCT('計算A'!$D$84:$II$84,$CW45:$MB45,$MD45:$VI45),SUMPRODUCT('計算A'!$D$84:$II$84,$CW45:$MB45))*1000+25)</f>
        <v/>
      </c>
      <c r="CB45">
        <f>IF(AH45=1,1000000,IF('計算A'!$IQ$35=2,SUMPRODUCT('計算A'!$D$85:$II$85,$CW45:$MB45,$MD45:$VI45),SUMPRODUCT('計算A'!$D$85:$II$85,$CW45:$MB45))*1000+26)</f>
        <v/>
      </c>
      <c r="CC45">
        <f>IF(AI45=1,1000000,IF('計算A'!$IQ$36=2,SUMPRODUCT('計算A'!$D$86:$II$86,$CW45:$MB45,$MD45:$VI45),SUMPRODUCT('計算A'!$D$86:$II$86,$CW45:$MB45))*1000+27)</f>
        <v/>
      </c>
      <c r="CD45">
        <f>IF(AJ45=1,1000000,IF('計算A'!$IQ$37=2,SUMPRODUCT('計算A'!$D$87:$II$87,$CW45:$MB45,$MD45:$VI45),SUMPRODUCT('計算A'!$D$87:$II$87,$CW45:$MB45))*1000+28)</f>
        <v/>
      </c>
      <c r="CE45">
        <f>IF(AK45=1,1000000,IF('計算A'!$IQ$38=2,SUMPRODUCT('計算A'!$D$88:$II$88,$CW45:$MB45,$MD45:$VI45),SUMPRODUCT('計算A'!$D$88:$II$88,$CW45:$MB45))*1000+29)</f>
        <v/>
      </c>
      <c r="CF45">
        <f>IF(AL45=1,1000000,IF('計算A'!$IQ$39=2,SUMPRODUCT('計算A'!$D$89:$II$89,$CW45:$MB45,$MD45:$VI45),SUMPRODUCT('計算A'!$D$89:$II$89,$CW45:$MB45))*1000+30)</f>
        <v/>
      </c>
      <c r="CG45">
        <f>IF(AM45=1,1000000,IF('計算A'!$IQ$40=2,SUMPRODUCT('計算A'!$D$90:$II$90,$CW45:$MB45,$MD45:$VI45),SUMPRODUCT('計算A'!$D$90:$II$90,$CW45:$MB45))*1000+31)</f>
        <v/>
      </c>
      <c r="CH45">
        <f>IF(AN45=1,1000000,IF('計算A'!$IQ$41=2,SUMPRODUCT('計算A'!$D$91:$II$91,$CW45:$MB45,$MD45:$VI45),SUMPRODUCT('計算A'!$D$91:$II$91,$CW45:$MB45))*1000+32)</f>
        <v/>
      </c>
      <c r="CI45">
        <f>IF(AO45=1,1000000,IF('計算A'!$IQ$42=2,SUMPRODUCT('計算A'!$D$92:$II$92,$CW45:$MB45,$MD45:$VI45),SUMPRODUCT('計算A'!$D$92:$II$92,$CW45:$MB45))*1000+33)</f>
        <v/>
      </c>
      <c r="CJ45">
        <f>IF(AP45=1,1000000,IF('計算A'!$IQ$43=2,SUMPRODUCT('計算A'!$D$93:$II$93,$CW45:$MB45,$MD45:$VI45),SUMPRODUCT('計算A'!$D$93:$II$93,$CW45:$MB45))*1000+34)</f>
        <v/>
      </c>
      <c r="CK45">
        <f>IF(AQ45=1,1000000,IF('計算A'!$IQ$44=2,SUMPRODUCT('計算A'!$D$94:$II$94,$CW45:$MB45,$MD45:$VI45),SUMPRODUCT('計算A'!$D$94:$II$94,$CW45:$MB45))*1000+35)</f>
        <v/>
      </c>
      <c r="CL45">
        <f>IF(AR45=1,1000000,IF('計算A'!$IQ$45=2,SUMPRODUCT('計算A'!$D$95:$II$95,$CW45:$MB45,$MD45:$VI45),SUMPRODUCT('計算A'!$D$95:$II$95,$CW45:$MB45))*1000+36)</f>
        <v/>
      </c>
      <c r="CM45">
        <f>IF(AS45=1,1000000,IF('計算A'!$IQ$46=2,SUMPRODUCT('計算A'!$D$96:$II$96,$CW45:$MB45,$MD45:$VI45),SUMPRODUCT('計算A'!$D$96:$II$96,$CW45:$MB45))*1000+37)</f>
        <v/>
      </c>
      <c r="CN45">
        <f>IF(AT45=1,1000000,IF('計算A'!$IQ$47=2,SUMPRODUCT('計算A'!$D$97:$II$97,$CW45:$MB45,$MD45:$VI45),SUMPRODUCT('計算A'!$D$97:$II$97,$CW45:$MB45))*1000+38)</f>
        <v/>
      </c>
      <c r="CO45">
        <f>IF(AU45=1,1000000,IF('計算A'!$IQ$48=2,SUMPRODUCT('計算A'!$D$98:$II$98,$CW45:$MB45,$MD45:$VI45),SUMPRODUCT('計算A'!$D$98:$II$98,$CW45:$MB45))*1000+39)</f>
        <v/>
      </c>
      <c r="CP45">
        <f>IF(AV45=1,1000000,IF('計算A'!$IQ$49=2,SUMPRODUCT('計算A'!$D$99:$II$99,$CW45:$MB45,$MD45:$VI45),SUMPRODUCT('計算A'!$D$99:$II$99,$CW45:$MB45))*1000+40)</f>
        <v/>
      </c>
      <c r="CQ45">
        <f>IF(AW45=1,1000000,IF('計算A'!$IQ$50=2,SUMPRODUCT('計算A'!$D$100:$II$100,$CW45:$MB45,$MD45:$VI45),SUMPRODUCT('計算A'!$D$100:$II$100,$CW45:$MB45))*1000+41)</f>
        <v/>
      </c>
      <c r="CR45">
        <f>IF(AX45=1,1000000,IF('計算A'!$IQ$51=2,SUMPRODUCT('計算A'!$D$101:$II$101,$CW45:$MB45,$MD45:$VI45),SUMPRODUCT('計算A'!$D$101:$II$101,$CW45:$MB45))*1000+42)</f>
        <v/>
      </c>
      <c r="CS45">
        <f>IF(AY45=1,1000000,IF('計算A'!$IQ$52=2,SUMPRODUCT('計算A'!$D$102:$II$102,$CW45:$MB45,$MD45:$VI45),SUMPRODUCT('計算A'!$D$102:$II$102,$CW45:$MB45))*1000+43)</f>
        <v/>
      </c>
      <c r="CT45">
        <f>IF(AZ45=1,1000000,IF('計算A'!$IQ$53=2,SUMPRODUCT('計算A'!$D$103:$II$103,$CW45:$MB45,$MD45:$VI45),SUMPRODUCT('計算A'!$D$103:$II$103,$CW45:$MB45))*1000+44)</f>
        <v/>
      </c>
      <c r="CU45">
        <f>IF(BA45=1,1000000,IF('計算A'!$IQ$54=2,SUMPRODUCT('計算A'!$D$104:$II$104,$CW45:$MB45,$MD45:$VI45),SUMPRODUCT('計算A'!$D$104:$II$104,$CW45:$MB45))*1000+45)</f>
        <v/>
      </c>
      <c r="CW45">
        <f>CW44*IF(OR($C44=1,$G44=1),0,1)</f>
        <v/>
      </c>
      <c r="CX45">
        <f>CX44*IF(OR($C44=2,$G44=2),0,1)</f>
        <v/>
      </c>
      <c r="CY45">
        <f>CY44*IF(OR($C44=3,$G44=3),0,1)</f>
        <v/>
      </c>
      <c r="CZ45">
        <f>CZ44*IF(OR($C44=4,$G44=4),0,1)</f>
        <v/>
      </c>
      <c r="DA45">
        <f>DA44*IF(OR($C44=5,$G44=5),0,1)</f>
        <v/>
      </c>
      <c r="DB45">
        <f>DB44*IF(OR($C44=6,$G44=6),0,1)</f>
        <v/>
      </c>
      <c r="DC45">
        <f>DC44*IF(OR($C44=7,$G44=7),0,1)</f>
        <v/>
      </c>
      <c r="DD45">
        <f>DD44*IF(OR($C44=8,$G44=8),0,1)</f>
        <v/>
      </c>
      <c r="DE45">
        <f>DE44*IF(OR($C44=9,$G44=9),0,1)</f>
        <v/>
      </c>
      <c r="DF45">
        <f>DF44*IF(OR($C44=10,$G44=10),0,1)</f>
        <v/>
      </c>
      <c r="DG45">
        <f>DG44*IF(OR($C44=11,$G44=11),0,1)</f>
        <v/>
      </c>
      <c r="DH45">
        <f>DH44*IF(OR($C44=12,$G44=12),0,1)</f>
        <v/>
      </c>
      <c r="DI45">
        <f>DI44*IF(OR($C44=13,$G44=13),0,1)</f>
        <v/>
      </c>
      <c r="DJ45">
        <f>DJ44*IF(OR($C44=14,$G44=14),0,1)</f>
        <v/>
      </c>
      <c r="DK45">
        <f>DK44*IF(OR($C44=15,$G44=15),0,1)</f>
        <v/>
      </c>
      <c r="DL45">
        <f>DL44*IF(OR($C44=16,$G44=16),0,1)</f>
        <v/>
      </c>
      <c r="DM45">
        <f>DM44*IF(OR($C44=17,$G44=17),0,1)</f>
        <v/>
      </c>
      <c r="DN45">
        <f>DN44*IF(OR($C44=18,$G44=18),0,1)</f>
        <v/>
      </c>
      <c r="DO45">
        <f>DO44*IF(OR($C44=19,$G44=19),0,1)</f>
        <v/>
      </c>
      <c r="DP45">
        <f>DP44*IF(OR($C44=20,$G44=20),0,1)</f>
        <v/>
      </c>
      <c r="DQ45">
        <f>DQ44*IF(OR($C44=21,$G44=21),0,1)</f>
        <v/>
      </c>
      <c r="DR45">
        <f>DR44*IF(OR($C44=22,$G44=22),0,1)</f>
        <v/>
      </c>
      <c r="DS45">
        <f>DS44*IF(OR($C44=23,$G44=23),0,1)</f>
        <v/>
      </c>
      <c r="DT45">
        <f>DT44*IF(OR($C44=24,$G44=24),0,1)</f>
        <v/>
      </c>
      <c r="DU45">
        <f>DU44*IF(OR($C44=25,$G44=25),0,1)</f>
        <v/>
      </c>
      <c r="DV45">
        <f>DV44*IF(OR($C44=26,$G44=26),0,1)</f>
        <v/>
      </c>
      <c r="DW45">
        <f>DW44*IF(OR($C44=27,$G44=27),0,1)</f>
        <v/>
      </c>
      <c r="DX45">
        <f>DX44*IF(OR($C44=28,$G44=28),0,1)</f>
        <v/>
      </c>
      <c r="DY45">
        <f>DY44*IF(OR($C44=29,$G44=29),0,1)</f>
        <v/>
      </c>
      <c r="DZ45">
        <f>DZ44*IF(OR($C44=30,$G44=30),0,1)</f>
        <v/>
      </c>
      <c r="EA45">
        <f>EA44*IF(OR($C44=31,$G44=31),0,1)</f>
        <v/>
      </c>
      <c r="EB45">
        <f>EB44*IF(OR($C44=32,$G44=32),0,1)</f>
        <v/>
      </c>
      <c r="EC45">
        <f>EC44*IF(OR($C44=33,$G44=33),0,1)</f>
        <v/>
      </c>
      <c r="ED45">
        <f>ED44*IF(OR($C44=34,$G44=34),0,1)</f>
        <v/>
      </c>
      <c r="EE45">
        <f>EE44*IF(OR($C44=35,$G44=35),0,1)</f>
        <v/>
      </c>
      <c r="EF45">
        <f>EF44*IF(OR($C44=36,$G44=36),0,1)</f>
        <v/>
      </c>
      <c r="EG45">
        <f>EG44*IF(OR($C44=37,$G44=37),0,1)</f>
        <v/>
      </c>
      <c r="EH45">
        <f>EH44*IF(OR($C44=38,$G44=38),0,1)</f>
        <v/>
      </c>
      <c r="EI45">
        <f>EI44*IF(OR($C44=39,$G44=39),0,1)</f>
        <v/>
      </c>
      <c r="EJ45">
        <f>EJ44*IF(OR($C44=40,$G44=40),0,1)</f>
        <v/>
      </c>
      <c r="EK45">
        <f>EK44*IF(OR($C44=41,$G44=41),0,1)</f>
        <v/>
      </c>
      <c r="EL45">
        <f>EL44*IF(OR($C44=42,$G44=42),0,1)</f>
        <v/>
      </c>
      <c r="EM45">
        <f>EM44*IF(OR($C44=43,$G44=43),0,1)</f>
        <v/>
      </c>
      <c r="EN45">
        <f>EN44*IF(OR($C44=44,$G44=44),0,1)</f>
        <v/>
      </c>
      <c r="EO45">
        <f>EO44*IF(OR($C44=45,$G44=45),0,1)</f>
        <v/>
      </c>
      <c r="EP45">
        <f>EP44*IF(OR($C44=46,$G44=46),0,1)</f>
        <v/>
      </c>
      <c r="EQ45">
        <f>EQ44*IF(OR($C44=47,$G44=47),0,1)</f>
        <v/>
      </c>
      <c r="ER45">
        <f>ER44*IF(OR($C44=48,$G44=48),0,1)</f>
        <v/>
      </c>
      <c r="ES45">
        <f>ES44*IF(OR($C44=49,$G44=49),0,1)</f>
        <v/>
      </c>
      <c r="ET45">
        <f>ET44*IF(OR($C44=50,$G44=50),0,1)</f>
        <v/>
      </c>
      <c r="EU45">
        <f>EU44*IF(OR($C44=51,$G44=51),0,1)</f>
        <v/>
      </c>
      <c r="EV45">
        <f>EV44*IF(OR($C44=52,$G44=52),0,1)</f>
        <v/>
      </c>
      <c r="EW45">
        <f>EW44*IF(OR($C44=53,$G44=53),0,1)</f>
        <v/>
      </c>
      <c r="EX45">
        <f>EX44*IF(OR($C44=54,$G44=54),0,1)</f>
        <v/>
      </c>
      <c r="EY45">
        <f>EY44*IF(OR($C44=55,$G44=55),0,1)</f>
        <v/>
      </c>
      <c r="EZ45">
        <f>EZ44*IF(OR($C44=56,$G44=56),0,1)</f>
        <v/>
      </c>
      <c r="FA45">
        <f>FA44*IF(OR($C44=57,$G44=57),0,1)</f>
        <v/>
      </c>
      <c r="FB45">
        <f>FB44*IF(OR($C44=58,$G44=58),0,1)</f>
        <v/>
      </c>
      <c r="FC45">
        <f>FC44*IF(OR($C44=59,$G44=59),0,1)</f>
        <v/>
      </c>
      <c r="FD45">
        <f>FD44*IF(OR($C44=60,$G44=60),0,1)</f>
        <v/>
      </c>
      <c r="FE45">
        <f>FE44*IF(OR($C44=61,$G44=61),0,1)</f>
        <v/>
      </c>
      <c r="FF45">
        <f>FF44*IF(OR($C44=62,$G44=62),0,1)</f>
        <v/>
      </c>
      <c r="FG45">
        <f>FG44*IF(OR($C44=63,$G44=63),0,1)</f>
        <v/>
      </c>
      <c r="FH45">
        <f>FH44*IF(OR($C44=64,$G44=64),0,1)</f>
        <v/>
      </c>
      <c r="FI45">
        <f>FI44*IF(OR($C44=65,$G44=65),0,1)</f>
        <v/>
      </c>
      <c r="FJ45">
        <f>FJ44*IF(OR($C44=66,$G44=66),0,1)</f>
        <v/>
      </c>
      <c r="FK45">
        <f>FK44*IF(OR($C44=67,$G44=67),0,1)</f>
        <v/>
      </c>
      <c r="FL45">
        <f>FL44*IF(OR($C44=68,$G44=68),0,1)</f>
        <v/>
      </c>
      <c r="FM45">
        <f>FM44*IF(OR($C44=69,$G44=69),0,1)</f>
        <v/>
      </c>
      <c r="FN45">
        <f>FN44*IF(OR($C44=70,$G44=70),0,1)</f>
        <v/>
      </c>
      <c r="FO45">
        <f>FO44*IF(OR($C44=71,$G44=71),0,1)</f>
        <v/>
      </c>
      <c r="FP45">
        <f>FP44*IF(OR($C44=72,$G44=72),0,1)</f>
        <v/>
      </c>
      <c r="FQ45">
        <f>FQ44*IF(OR($C44=73,$G44=73),0,1)</f>
        <v/>
      </c>
      <c r="FR45">
        <f>FR44*IF(OR($C44=74,$G44=74),0,1)</f>
        <v/>
      </c>
      <c r="FS45">
        <f>FS44*IF(OR($C44=75,$G44=75),0,1)</f>
        <v/>
      </c>
      <c r="FT45">
        <f>FT44*IF(OR($C44=76,$G44=76),0,1)</f>
        <v/>
      </c>
      <c r="FU45">
        <f>FU44*IF(OR($C44=77,$G44=77),0,1)</f>
        <v/>
      </c>
      <c r="FV45">
        <f>FV44*IF(OR($C44=78,$G44=78),0,1)</f>
        <v/>
      </c>
      <c r="FW45">
        <f>FW44*IF(OR($C44=79,$G44=79),0,1)</f>
        <v/>
      </c>
      <c r="FX45">
        <f>FX44*IF(OR($C44=80,$G44=80),0,1)</f>
        <v/>
      </c>
      <c r="FY45">
        <f>FY44*IF(OR($C44=81,$G44=81),0,1)</f>
        <v/>
      </c>
      <c r="FZ45">
        <f>FZ44*IF(OR($C44=82,$G44=82),0,1)</f>
        <v/>
      </c>
      <c r="GA45">
        <f>GA44*IF(OR($C44=83,$G44=83),0,1)</f>
        <v/>
      </c>
      <c r="GB45">
        <f>GB44*IF(OR($C44=84,$G44=84),0,1)</f>
        <v/>
      </c>
      <c r="GC45">
        <f>GC44*IF(OR($C44=85,$G44=85),0,1)</f>
        <v/>
      </c>
      <c r="GD45">
        <f>GD44*IF(OR($C44=86,$G44=86),0,1)</f>
        <v/>
      </c>
      <c r="GE45">
        <f>GE44*IF(OR($C44=87,$G44=87),0,1)</f>
        <v/>
      </c>
      <c r="GF45">
        <f>GF44*IF(OR($C44=88,$G44=88),0,1)</f>
        <v/>
      </c>
      <c r="GG45">
        <f>GG44*IF(OR($C44=89,$G44=89),0,1)</f>
        <v/>
      </c>
      <c r="GH45">
        <f>GH44*IF(OR($C44=90,$G44=90),0,1)</f>
        <v/>
      </c>
      <c r="GI45">
        <f>GI44*IF(OR($C44=91,$G44=91),0,1)</f>
        <v/>
      </c>
      <c r="GJ45">
        <f>GJ44*IF(OR($C44=92,$G44=92),0,1)</f>
        <v/>
      </c>
      <c r="GK45">
        <f>GK44*IF(OR($C44=93,$G44=93),0,1)</f>
        <v/>
      </c>
      <c r="GL45">
        <f>GL44*IF(OR($C44=94,$G44=94),0,1)</f>
        <v/>
      </c>
      <c r="GM45">
        <f>GM44*IF(OR($C44=95,$G44=95),0,1)</f>
        <v/>
      </c>
      <c r="GN45">
        <f>GN44*IF(OR($C44=96,$G44=96),0,1)</f>
        <v/>
      </c>
      <c r="GO45">
        <f>GO44*IF(OR($C44=97,$G44=97),0,1)</f>
        <v/>
      </c>
      <c r="GP45">
        <f>GP44*IF(OR($C44=98,$G44=98),0,1)</f>
        <v/>
      </c>
      <c r="GQ45">
        <f>GQ44*IF(OR($C44=99,$G44=99),0,1)</f>
        <v/>
      </c>
      <c r="GR45">
        <f>GR44*IF(OR($C44=100,$G44=100),0,1)</f>
        <v/>
      </c>
      <c r="GS45">
        <f>GS44*IF(OR($C44=101,$G44=101),0,1)</f>
        <v/>
      </c>
      <c r="GT45">
        <f>GT44*IF(OR($C44=102,$G44=102),0,1)</f>
        <v/>
      </c>
      <c r="GU45">
        <f>GU44*IF(OR($C44=103,$G44=103),0,1)</f>
        <v/>
      </c>
      <c r="GV45">
        <f>GV44*IF(OR($C44=104,$G44=104),0,1)</f>
        <v/>
      </c>
      <c r="GW45">
        <f>GW44*IF(OR($C44=105,$G44=105),0,1)</f>
        <v/>
      </c>
      <c r="GX45">
        <f>GX44*IF(OR($C44=106,$G44=106),0,1)</f>
        <v/>
      </c>
      <c r="GY45">
        <f>GY44*IF(OR($C44=107,$G44=107),0,1)</f>
        <v/>
      </c>
      <c r="GZ45">
        <f>GZ44*IF(OR($C44=108,$G44=108),0,1)</f>
        <v/>
      </c>
      <c r="HA45">
        <f>HA44*IF(OR($C44=109,$G44=109),0,1)</f>
        <v/>
      </c>
      <c r="HB45">
        <f>HB44*IF(OR($C44=110,$G44=110),0,1)</f>
        <v/>
      </c>
      <c r="HC45">
        <f>HC44*IF(OR($C44=111,$G44=111),0,1)</f>
        <v/>
      </c>
      <c r="HD45">
        <f>HD44*IF(OR($C44=112,$G44=112),0,1)</f>
        <v/>
      </c>
      <c r="HE45">
        <f>HE44*IF(OR($C44=113,$G44=113),0,1)</f>
        <v/>
      </c>
      <c r="HF45">
        <f>HF44*IF(OR($C44=114,$G44=114),0,1)</f>
        <v/>
      </c>
      <c r="HG45">
        <f>HG44*IF(OR($C44=115,$G44=115),0,1)</f>
        <v/>
      </c>
      <c r="HH45">
        <f>HH44*IF(OR($C44=116,$G44=116),0,1)</f>
        <v/>
      </c>
      <c r="HI45">
        <f>HI44*IF(OR($C44=117,$G44=117),0,1)</f>
        <v/>
      </c>
      <c r="HJ45">
        <f>HJ44*IF(OR($C44=118,$G44=118),0,1)</f>
        <v/>
      </c>
      <c r="HK45">
        <f>HK44*IF(OR($C44=119,$G44=119),0,1)</f>
        <v/>
      </c>
      <c r="HL45">
        <f>HL44*IF(OR($C44=120,$G44=120),0,1)</f>
        <v/>
      </c>
      <c r="HM45">
        <f>HM44*IF(OR($C44=121,$G44=121),0,1)</f>
        <v/>
      </c>
      <c r="HN45">
        <f>HN44*IF(OR($C44=122,$G44=122),0,1)</f>
        <v/>
      </c>
      <c r="HO45">
        <f>HO44*IF(OR($C44=123,$G44=123),0,1)</f>
        <v/>
      </c>
      <c r="HP45">
        <f>HP44*IF(OR($C44=124,$G44=124),0,1)</f>
        <v/>
      </c>
      <c r="HQ45">
        <f>HQ44*IF(OR($C44=125,$G44=125),0,1)</f>
        <v/>
      </c>
      <c r="HR45">
        <f>HR44*IF(OR($C44=126,$G44=126),0,1)</f>
        <v/>
      </c>
      <c r="HS45">
        <f>HS44*IF(OR($C44=127,$G44=127),0,1)</f>
        <v/>
      </c>
      <c r="HT45">
        <f>HT44*IF(OR($C44=128,$G44=128),0,1)</f>
        <v/>
      </c>
      <c r="HU45">
        <f>HU44*IF(OR($C44=129,$G44=129),0,1)</f>
        <v/>
      </c>
      <c r="HV45">
        <f>HV44*IF(OR($C44=130,$G44=130),0,1)</f>
        <v/>
      </c>
      <c r="HW45">
        <f>HW44*IF(OR($C44=131,$G44=131),0,1)</f>
        <v/>
      </c>
      <c r="HX45">
        <f>HX44*IF(OR($C44=132,$G44=132),0,1)</f>
        <v/>
      </c>
      <c r="HY45">
        <f>HY44*IF(OR($C44=133,$G44=133),0,1)</f>
        <v/>
      </c>
      <c r="HZ45">
        <f>HZ44*IF(OR($C44=134,$G44=134),0,1)</f>
        <v/>
      </c>
      <c r="IA45">
        <f>IA44*IF(OR($C44=135,$G44=135),0,1)</f>
        <v/>
      </c>
      <c r="IB45">
        <f>IB44*IF(OR($C44=136,$G44=136),0,1)</f>
        <v/>
      </c>
      <c r="IC45">
        <f>IC44*IF(OR($C44=137,$G44=137),0,1)</f>
        <v/>
      </c>
      <c r="ID45">
        <f>ID44*IF(OR($C44=138,$G44=138),0,1)</f>
        <v/>
      </c>
      <c r="IE45">
        <f>IE44*IF(OR($C44=139,$G44=139),0,1)</f>
        <v/>
      </c>
      <c r="IF45">
        <f>IF44*IF(OR($C44=140,$G44=140),0,1)</f>
        <v/>
      </c>
      <c r="IG45">
        <f>IG44*IF(OR($C44=141,$G44=141),0,1)</f>
        <v/>
      </c>
      <c r="IH45">
        <f>IH44*IF(OR($C44=142,$G44=142),0,1)</f>
        <v/>
      </c>
      <c r="II45">
        <f>II44*IF(OR($C44=143,$G44=143),0,1)</f>
        <v/>
      </c>
      <c r="IJ45">
        <f>IJ44*IF(OR($C44=144,$G44=144),0,1)</f>
        <v/>
      </c>
      <c r="IK45">
        <f>IK44*IF(OR($C44=145,$G44=145),0,1)</f>
        <v/>
      </c>
      <c r="IL45">
        <f>IL44*IF(OR($C44=146,$G44=146),0,1)</f>
        <v/>
      </c>
      <c r="IM45">
        <f>IM44*IF(OR($C44=147,$G44=147),0,1)</f>
        <v/>
      </c>
      <c r="IN45">
        <f>IN44*IF(OR($C44=148,$G44=148),0,1)</f>
        <v/>
      </c>
      <c r="IO45">
        <f>IO44*IF(OR($C44=149,$G44=149),0,1)</f>
        <v/>
      </c>
      <c r="IP45">
        <f>IP44*IF(OR($C44=150,$G44=150),0,1)</f>
        <v/>
      </c>
      <c r="IQ45">
        <f>IQ44*IF(OR($C44=151,$G44=151),0,1)</f>
        <v/>
      </c>
      <c r="IR45">
        <f>IR44*IF(OR($C44=152,$G44=152),0,1)</f>
        <v/>
      </c>
      <c r="IS45">
        <f>IS44*IF(OR($C44=153,$G44=153),0,1)</f>
        <v/>
      </c>
      <c r="IT45">
        <f>IT44*IF(OR($C44=154,$G44=154),0,1)</f>
        <v/>
      </c>
      <c r="IU45">
        <f>IU44*IF(OR($C44=155,$G44=155),0,1)</f>
        <v/>
      </c>
      <c r="IV45">
        <f>IV44*IF(OR($C44=156,$G44=156),0,1)</f>
        <v/>
      </c>
      <c r="IW45">
        <f>IW44*IF(OR($C44=157,$G44=157),0,1)</f>
        <v/>
      </c>
      <c r="IX45">
        <f>IX44*IF(OR($C44=158,$G44=158),0,1)</f>
        <v/>
      </c>
      <c r="IY45">
        <f>IY44*IF(OR($C44=159,$G44=159),0,1)</f>
        <v/>
      </c>
      <c r="IZ45">
        <f>IZ44*IF(OR($C44=160,$G44=160),0,1)</f>
        <v/>
      </c>
      <c r="JA45">
        <f>JA44*IF(OR($C44=161,$G44=161),0,1)</f>
        <v/>
      </c>
      <c r="JB45">
        <f>JB44*IF(OR($C44=162,$G44=162),0,1)</f>
        <v/>
      </c>
      <c r="JC45">
        <f>JC44*IF(OR($C44=163,$G44=163),0,1)</f>
        <v/>
      </c>
      <c r="JD45">
        <f>JD44*IF(OR($C44=164,$G44=164),0,1)</f>
        <v/>
      </c>
      <c r="JE45">
        <f>JE44*IF(OR($C44=165,$G44=165),0,1)</f>
        <v/>
      </c>
      <c r="JF45">
        <f>JF44*IF(OR($C44=166,$G44=166),0,1)</f>
        <v/>
      </c>
      <c r="JG45">
        <f>JG44*IF(OR($C44=167,$G44=167),0,1)</f>
        <v/>
      </c>
      <c r="JH45">
        <f>JH44*IF(OR($C44=168,$G44=168),0,1)</f>
        <v/>
      </c>
      <c r="JI45">
        <f>JI44*IF(OR($C44=169,$G44=169),0,1)</f>
        <v/>
      </c>
      <c r="JJ45">
        <f>JJ44*IF(OR($C44=170,$G44=170),0,1)</f>
        <v/>
      </c>
      <c r="JK45">
        <f>JK44*IF(OR($C44=171,$G44=171),0,1)</f>
        <v/>
      </c>
      <c r="JL45">
        <f>JL44*IF(OR($C44=172,$G44=172),0,1)</f>
        <v/>
      </c>
      <c r="JM45">
        <f>JM44*IF(OR($C44=173,$G44=173),0,1)</f>
        <v/>
      </c>
      <c r="JN45">
        <f>JN44*IF(OR($C44=174,$G44=174),0,1)</f>
        <v/>
      </c>
      <c r="JO45">
        <f>JO44*IF(OR($C44=175,$G44=175),0,1)</f>
        <v/>
      </c>
      <c r="JP45">
        <f>JP44*IF(OR($C44=176,$G44=176),0,1)</f>
        <v/>
      </c>
      <c r="JQ45">
        <f>JQ44*IF(OR($C44=177,$G44=177),0,1)</f>
        <v/>
      </c>
      <c r="JR45">
        <f>JR44*IF(OR($C44=178,$G44=178),0,1)</f>
        <v/>
      </c>
      <c r="JS45">
        <f>JS44*IF(OR($C44=179,$G44=179),0,1)</f>
        <v/>
      </c>
      <c r="JT45">
        <f>JT44*IF(OR($C44=180,$G44=180),0,1)</f>
        <v/>
      </c>
      <c r="JU45">
        <f>JU44*IF(OR($C44=181,$G44=181),0,1)</f>
        <v/>
      </c>
      <c r="JV45">
        <f>JV44*IF(OR($C44=182,$G44=182),0,1)</f>
        <v/>
      </c>
      <c r="JW45">
        <f>JW44*IF(OR($C44=183,$G44=183),0,1)</f>
        <v/>
      </c>
      <c r="JX45">
        <f>JX44*IF(OR($C44=184,$G44=184),0,1)</f>
        <v/>
      </c>
      <c r="JY45">
        <f>JY44*IF(OR($C44=185,$G44=185),0,1)</f>
        <v/>
      </c>
      <c r="JZ45">
        <f>JZ44*IF(OR($C44=186,$G44=186),0,1)</f>
        <v/>
      </c>
      <c r="KA45">
        <f>KA44*IF(OR($C44=187,$G44=187),0,1)</f>
        <v/>
      </c>
      <c r="KB45">
        <f>KB44*IF(OR($C44=188,$G44=188),0,1)</f>
        <v/>
      </c>
      <c r="KC45">
        <f>KC44*IF(OR($C44=189,$G44=189),0,1)</f>
        <v/>
      </c>
      <c r="KD45">
        <f>KD44*IF(OR($C44=190,$G44=190),0,1)</f>
        <v/>
      </c>
      <c r="KE45">
        <f>KE44*IF(OR($C44=191,$G44=191),0,1)</f>
        <v/>
      </c>
      <c r="KF45">
        <f>KF44*IF(OR($C44=192,$G44=192),0,1)</f>
        <v/>
      </c>
      <c r="KG45">
        <f>KG44*IF(OR($C44=193,$G44=193),0,1)</f>
        <v/>
      </c>
      <c r="KH45">
        <f>KH44*IF(OR($C44=194,$G44=194),0,1)</f>
        <v/>
      </c>
      <c r="KI45">
        <f>KI44*IF(OR($C44=195,$G44=195),0,1)</f>
        <v/>
      </c>
      <c r="KJ45">
        <f>KJ44*IF(OR($C44=196,$G44=196),0,1)</f>
        <v/>
      </c>
      <c r="KK45">
        <f>KK44*IF(OR($C44=197,$G44=197),0,1)</f>
        <v/>
      </c>
      <c r="KL45">
        <f>KL44*IF(OR($C44=198,$G44=198),0,1)</f>
        <v/>
      </c>
      <c r="KM45">
        <f>KM44*IF(OR($C44=199,$G44=199),0,1)</f>
        <v/>
      </c>
      <c r="KN45">
        <f>KN44*IF(OR($C44=200,$G44=200),0,1)</f>
        <v/>
      </c>
      <c r="KO45">
        <f>KO44*IF(OR($C44=201,$G44=201),0,1)</f>
        <v/>
      </c>
      <c r="KP45">
        <f>KP44*IF(OR($C44=202,$G44=202),0,1)</f>
        <v/>
      </c>
      <c r="KQ45">
        <f>KQ44*IF(OR($C44=203,$G44=203),0,1)</f>
        <v/>
      </c>
      <c r="KR45">
        <f>KR44*IF(OR($C44=204,$G44=204),0,1)</f>
        <v/>
      </c>
      <c r="KS45">
        <f>KS44*IF(OR($C44=205,$G44=205),0,1)</f>
        <v/>
      </c>
      <c r="KT45">
        <f>KT44*IF(OR($C44=206,$G44=206),0,1)</f>
        <v/>
      </c>
      <c r="KU45">
        <f>KU44*IF(OR($C44=207,$G44=207),0,1)</f>
        <v/>
      </c>
      <c r="KV45">
        <f>KV44*IF(OR($C44=208,$G44=208),0,1)</f>
        <v/>
      </c>
      <c r="KW45">
        <f>KW44*IF(OR($C44=209,$G44=209),0,1)</f>
        <v/>
      </c>
      <c r="KX45">
        <f>KX44*IF(OR($C44=210,$G44=210),0,1)</f>
        <v/>
      </c>
      <c r="KY45">
        <f>KY44*IF(OR($C44=211,$G44=211),0,1)</f>
        <v/>
      </c>
      <c r="KZ45">
        <f>KZ44*IF(OR($C44=212,$G44=212),0,1)</f>
        <v/>
      </c>
      <c r="LA45">
        <f>LA44*IF(OR($C44=213,$G44=213),0,1)</f>
        <v/>
      </c>
      <c r="LB45">
        <f>LB44*IF(OR($C44=214,$G44=214),0,1)</f>
        <v/>
      </c>
      <c r="LC45">
        <f>LC44*IF(OR($C44=215,$G44=215),0,1)</f>
        <v/>
      </c>
      <c r="LD45">
        <f>LD44*IF(OR($C44=216,$G44=216),0,1)</f>
        <v/>
      </c>
      <c r="LE45">
        <f>LE44*IF(OR($C44=217,$G44=217),0,1)</f>
        <v/>
      </c>
      <c r="LF45">
        <f>LF44*IF(OR($C44=218,$G44=218),0,1)</f>
        <v/>
      </c>
      <c r="LG45">
        <f>LG44*IF(OR($C44=219,$G44=219),0,1)</f>
        <v/>
      </c>
      <c r="LH45">
        <f>LH44*IF(OR($C44=220,$G44=220),0,1)</f>
        <v/>
      </c>
      <c r="LI45">
        <f>LI44*IF(OR($C44=221,$G44=221),0,1)</f>
        <v/>
      </c>
      <c r="LJ45">
        <f>LJ44*IF(OR($C44=222,$G44=222),0,1)</f>
        <v/>
      </c>
      <c r="LK45">
        <f>LK44*IF(OR($C44=223,$G44=223),0,1)</f>
        <v/>
      </c>
      <c r="LL45">
        <f>LL44*IF(OR($C44=224,$G44=224),0,1)</f>
        <v/>
      </c>
      <c r="LM45">
        <f>LM44*IF(OR($C44=225,$G44=225),0,1)</f>
        <v/>
      </c>
      <c r="LN45">
        <f>LN44*IF(OR($C44=226,$G44=226),0,1)</f>
        <v/>
      </c>
      <c r="LO45">
        <f>LO44*IF(OR($C44=227,$G44=227),0,1)</f>
        <v/>
      </c>
      <c r="LP45">
        <f>LP44*IF(OR($C44=228,$G44=228),0,1)</f>
        <v/>
      </c>
      <c r="LQ45">
        <f>LQ44*IF(OR($C44=229,$G44=229),0,1)</f>
        <v/>
      </c>
      <c r="LR45">
        <f>LR44*IF(OR($C44=230,$G44=230),0,1)</f>
        <v/>
      </c>
      <c r="LS45">
        <f>LS44*IF(OR($C44=231,$G44=231),0,1)</f>
        <v/>
      </c>
      <c r="LT45">
        <f>LT44*IF(OR($C44=232,$G44=232),0,1)</f>
        <v/>
      </c>
      <c r="LU45">
        <f>LU44*IF(OR($C44=233,$G44=233),0,1)</f>
        <v/>
      </c>
      <c r="LV45">
        <f>LV44*IF(OR($C44=234,$G44=234),0,1)</f>
        <v/>
      </c>
      <c r="LW45">
        <f>LW44*IF(OR($C44=235,$G44=235),0,1)</f>
        <v/>
      </c>
      <c r="LX45">
        <f>LX44*IF(OR($C44=236,$G44=236),0,1)</f>
        <v/>
      </c>
      <c r="LY45">
        <f>LY44*IF(OR($C44=237,$G44=237),0,1)</f>
        <v/>
      </c>
      <c r="LZ45">
        <f>LZ44*IF(OR($C44=238,$G44=238),0,1)</f>
        <v/>
      </c>
      <c r="MA45">
        <f>MA44*IF(OR($C44=239,$G44=239),0,1)</f>
        <v/>
      </c>
      <c r="MB45">
        <f>MB44*IF(OR($C44=240,$G44=240),0,1)</f>
        <v/>
      </c>
      <c r="MD45">
        <f>IF('計算A'!D$106=1,CX45,1)</f>
        <v/>
      </c>
      <c r="ME45">
        <f>IF('計算A'!E$106=1,CY45,1)</f>
        <v/>
      </c>
      <c r="MF45">
        <f>IF('計算A'!F$106=1,CZ45,1)</f>
        <v/>
      </c>
      <c r="MG45">
        <f>IF('計算A'!G$106=1,DA45,1)</f>
        <v/>
      </c>
      <c r="MH45">
        <f>IF('計算A'!H$106=1,DB45,1)</f>
        <v/>
      </c>
      <c r="MI45">
        <f>IF('計算A'!I$106=1,DC45,1)</f>
        <v/>
      </c>
      <c r="MJ45">
        <f>IF('計算A'!J$106=1,DD45,1)</f>
        <v/>
      </c>
      <c r="MK45">
        <f>IF('計算A'!K$106=1,DE45,1)</f>
        <v/>
      </c>
      <c r="ML45">
        <f>IF('計算A'!L$106=1,DF45,1)</f>
        <v/>
      </c>
      <c r="MM45">
        <f>IF('計算A'!M$106=1,DG45,1)</f>
        <v/>
      </c>
      <c r="MN45">
        <f>IF('計算A'!N$106=1,DH45,1)</f>
        <v/>
      </c>
      <c r="MO45">
        <f>IF('計算A'!O$106=1,DI45,1)</f>
        <v/>
      </c>
      <c r="MP45">
        <f>IF('計算A'!P$106=1,DJ45,1)</f>
        <v/>
      </c>
      <c r="MQ45">
        <f>IF('計算A'!Q$106=1,DK45,1)</f>
        <v/>
      </c>
      <c r="MR45">
        <f>IF('計算A'!R$106=1,DL45,1)</f>
        <v/>
      </c>
      <c r="MS45">
        <f>IF('計算A'!S$106=1,DM45,1)</f>
        <v/>
      </c>
      <c r="MT45">
        <f>IF('計算A'!T$106=1,DN45,1)</f>
        <v/>
      </c>
      <c r="MU45">
        <f>IF('計算A'!U$106=1,DO45,1)</f>
        <v/>
      </c>
      <c r="MV45">
        <f>IF('計算A'!V$106=1,DP45,1)</f>
        <v/>
      </c>
      <c r="MW45">
        <f>IF('計算A'!W$106=1,DQ45,1)</f>
        <v/>
      </c>
      <c r="MX45">
        <f>IF('計算A'!X$106=1,DR45,1)</f>
        <v/>
      </c>
      <c r="MY45">
        <f>IF('計算A'!Y$106=1,DS45,1)</f>
        <v/>
      </c>
      <c r="MZ45">
        <f>IF('計算A'!Z$106=1,DT45,1)</f>
        <v/>
      </c>
      <c r="NA45">
        <f>IF('計算A'!AA$106=1,DU45,1)</f>
        <v/>
      </c>
      <c r="NB45">
        <f>IF('計算A'!AB$106=1,DV45,1)</f>
        <v/>
      </c>
      <c r="NC45">
        <f>IF('計算A'!AC$106=1,DW45,1)</f>
        <v/>
      </c>
      <c r="ND45">
        <f>IF('計算A'!AD$106=1,DX45,1)</f>
        <v/>
      </c>
      <c r="NE45">
        <f>IF('計算A'!AE$106=1,DY45,1)</f>
        <v/>
      </c>
      <c r="NF45">
        <f>IF('計算A'!AF$106=1,DZ45,1)</f>
        <v/>
      </c>
      <c r="NG45">
        <f>IF('計算A'!AG$106=1,EA45,1)</f>
        <v/>
      </c>
      <c r="NH45">
        <f>IF('計算A'!AH$106=1,EB45,1)</f>
        <v/>
      </c>
      <c r="NI45">
        <f>IF('計算A'!AI$106=1,EC45,1)</f>
        <v/>
      </c>
      <c r="NJ45">
        <f>IF('計算A'!AJ$106=1,ED45,1)</f>
        <v/>
      </c>
      <c r="NK45">
        <f>IF('計算A'!AK$106=1,EE45,1)</f>
        <v/>
      </c>
      <c r="NL45">
        <f>IF('計算A'!AL$106=1,EF45,1)</f>
        <v/>
      </c>
      <c r="NM45">
        <f>IF('計算A'!AM$106=1,EG45,1)</f>
        <v/>
      </c>
      <c r="NN45">
        <f>IF('計算A'!AN$106=1,EH45,1)</f>
        <v/>
      </c>
      <c r="NO45">
        <f>IF('計算A'!AO$106=1,EI45,1)</f>
        <v/>
      </c>
      <c r="NP45">
        <f>IF('計算A'!AP$106=1,EJ45,1)</f>
        <v/>
      </c>
      <c r="NQ45">
        <f>IF('計算A'!AQ$106=1,EK45,1)</f>
        <v/>
      </c>
      <c r="NR45">
        <f>IF('計算A'!AR$106=1,EL45,1)</f>
        <v/>
      </c>
      <c r="NS45">
        <f>IF('計算A'!AS$106=1,EM45,1)</f>
        <v/>
      </c>
      <c r="NT45">
        <f>IF('計算A'!AT$106=1,EN45,1)</f>
        <v/>
      </c>
      <c r="NU45">
        <f>IF('計算A'!AU$106=1,EO45,1)</f>
        <v/>
      </c>
      <c r="NV45">
        <f>IF('計算A'!AV$106=1,EP45,1)</f>
        <v/>
      </c>
      <c r="NW45">
        <f>IF('計算A'!AW$106=1,EQ45,1)</f>
        <v/>
      </c>
      <c r="NX45">
        <f>IF('計算A'!AX$106=1,ER45,1)</f>
        <v/>
      </c>
      <c r="NY45">
        <f>IF('計算A'!AY$106=1,ES45,1)</f>
        <v/>
      </c>
      <c r="NZ45">
        <f>IF('計算A'!AZ$106=1,ET45,1)</f>
        <v/>
      </c>
      <c r="OA45">
        <f>IF('計算A'!BA$106=1,EU45,1)</f>
        <v/>
      </c>
      <c r="OB45">
        <f>IF('計算A'!BB$106=1,EV45,1)</f>
        <v/>
      </c>
      <c r="OC45">
        <f>IF('計算A'!BC$106=1,EW45,1)</f>
        <v/>
      </c>
      <c r="OD45">
        <f>IF('計算A'!BD$106=1,EX45,1)</f>
        <v/>
      </c>
      <c r="OE45">
        <f>IF('計算A'!BE$106=1,EY45,1)</f>
        <v/>
      </c>
      <c r="OF45">
        <f>IF('計算A'!BF$106=1,EZ45,1)</f>
        <v/>
      </c>
      <c r="OG45">
        <f>IF('計算A'!BG$106=1,FA45,1)</f>
        <v/>
      </c>
      <c r="OH45">
        <f>IF('計算A'!BH$106=1,FB45,1)</f>
        <v/>
      </c>
      <c r="OI45">
        <f>IF('計算A'!BI$106=1,FC45,1)</f>
        <v/>
      </c>
      <c r="OJ45">
        <f>IF('計算A'!BJ$106=1,FD45,1)</f>
        <v/>
      </c>
      <c r="OK45">
        <f>IF('計算A'!BK$106=1,FE45,1)</f>
        <v/>
      </c>
      <c r="OL45">
        <f>IF('計算A'!BL$106=1,FF45,1)</f>
        <v/>
      </c>
      <c r="OM45">
        <f>IF('計算A'!BM$106=1,FG45,1)</f>
        <v/>
      </c>
      <c r="ON45">
        <f>IF('計算A'!BN$106=1,FH45,1)</f>
        <v/>
      </c>
      <c r="OO45">
        <f>IF('計算A'!BO$106=1,FI45,1)</f>
        <v/>
      </c>
      <c r="OP45">
        <f>IF('計算A'!BP$106=1,FJ45,1)</f>
        <v/>
      </c>
      <c r="OQ45">
        <f>IF('計算A'!BQ$106=1,FK45,1)</f>
        <v/>
      </c>
      <c r="OR45">
        <f>IF('計算A'!BR$106=1,FL45,1)</f>
        <v/>
      </c>
      <c r="OS45">
        <f>IF('計算A'!BS$106=1,FM45,1)</f>
        <v/>
      </c>
      <c r="OT45">
        <f>IF('計算A'!BT$106=1,FN45,1)</f>
        <v/>
      </c>
      <c r="OU45">
        <f>IF('計算A'!BU$106=1,FO45,1)</f>
        <v/>
      </c>
      <c r="OV45">
        <f>IF('計算A'!BV$106=1,FP45,1)</f>
        <v/>
      </c>
      <c r="OW45">
        <f>IF('計算A'!BW$106=1,FQ45,1)</f>
        <v/>
      </c>
      <c r="OX45">
        <f>IF('計算A'!BX$106=1,FR45,1)</f>
        <v/>
      </c>
      <c r="OY45">
        <f>IF('計算A'!BY$106=1,FS45,1)</f>
        <v/>
      </c>
      <c r="OZ45">
        <f>IF('計算A'!BZ$106=1,FT45,1)</f>
        <v/>
      </c>
      <c r="PA45">
        <f>IF('計算A'!CA$106=1,FU45,1)</f>
        <v/>
      </c>
      <c r="PB45">
        <f>IF('計算A'!CB$106=1,FV45,1)</f>
        <v/>
      </c>
      <c r="PC45">
        <f>IF('計算A'!CC$106=1,FW45,1)</f>
        <v/>
      </c>
      <c r="PD45">
        <f>IF('計算A'!CD$106=1,FX45,1)</f>
        <v/>
      </c>
      <c r="PE45">
        <f>IF('計算A'!CE$106=1,FY45,1)</f>
        <v/>
      </c>
      <c r="PF45">
        <f>IF('計算A'!CF$106=1,FZ45,1)</f>
        <v/>
      </c>
      <c r="PG45">
        <f>IF('計算A'!CG$106=1,GA45,1)</f>
        <v/>
      </c>
      <c r="PH45">
        <f>IF('計算A'!CH$106=1,GB45,1)</f>
        <v/>
      </c>
      <c r="PI45">
        <f>IF('計算A'!CI$106=1,GC45,1)</f>
        <v/>
      </c>
      <c r="PJ45">
        <f>IF('計算A'!CJ$106=1,GD45,1)</f>
        <v/>
      </c>
      <c r="PK45">
        <f>IF('計算A'!CK$106=1,GE45,1)</f>
        <v/>
      </c>
      <c r="PL45">
        <f>IF('計算A'!CL$106=1,GF45,1)</f>
        <v/>
      </c>
      <c r="PM45">
        <f>IF('計算A'!CM$106=1,GG45,1)</f>
        <v/>
      </c>
      <c r="PN45">
        <f>IF('計算A'!CN$106=1,GH45,1)</f>
        <v/>
      </c>
      <c r="PO45">
        <f>IF('計算A'!CO$106=1,GI45,1)</f>
        <v/>
      </c>
      <c r="PP45">
        <f>IF('計算A'!CP$106=1,GJ45,1)</f>
        <v/>
      </c>
      <c r="PQ45">
        <f>IF('計算A'!CQ$106=1,GK45,1)</f>
        <v/>
      </c>
      <c r="PR45">
        <f>IF('計算A'!CR$106=1,GL45,1)</f>
        <v/>
      </c>
      <c r="PS45">
        <f>IF('計算A'!CS$106=1,GM45,1)</f>
        <v/>
      </c>
      <c r="PT45">
        <f>IF('計算A'!CT$106=1,GN45,1)</f>
        <v/>
      </c>
      <c r="PU45">
        <f>IF('計算A'!CU$106=1,GO45,1)</f>
        <v/>
      </c>
      <c r="PV45">
        <f>IF('計算A'!CV$106=1,GP45,1)</f>
        <v/>
      </c>
      <c r="PW45">
        <f>IF('計算A'!CW$106=1,GQ45,1)</f>
        <v/>
      </c>
      <c r="PX45">
        <f>IF('計算A'!CX$106=1,GR45,1)</f>
        <v/>
      </c>
      <c r="PY45">
        <f>IF('計算A'!CY$106=1,GS45,1)</f>
        <v/>
      </c>
      <c r="PZ45">
        <f>IF('計算A'!CZ$106=1,GT45,1)</f>
        <v/>
      </c>
      <c r="QA45">
        <f>IF('計算A'!DA$106=1,GU45,1)</f>
        <v/>
      </c>
      <c r="QB45">
        <f>IF('計算A'!DB$106=1,GV45,1)</f>
        <v/>
      </c>
      <c r="QC45">
        <f>IF('計算A'!DC$106=1,GW45,1)</f>
        <v/>
      </c>
      <c r="QD45">
        <f>IF('計算A'!DD$106=1,GX45,1)</f>
        <v/>
      </c>
      <c r="QE45">
        <f>IF('計算A'!DE$106=1,GY45,1)</f>
        <v/>
      </c>
      <c r="QF45">
        <f>IF('計算A'!DF$106=1,GZ45,1)</f>
        <v/>
      </c>
      <c r="QG45">
        <f>IF('計算A'!DG$106=1,HA45,1)</f>
        <v/>
      </c>
      <c r="QH45">
        <f>IF('計算A'!DH$106=1,HB45,1)</f>
        <v/>
      </c>
      <c r="QI45">
        <f>IF('計算A'!DI$106=1,HC45,1)</f>
        <v/>
      </c>
      <c r="QJ45">
        <f>IF('計算A'!DJ$106=1,HD45,1)</f>
        <v/>
      </c>
      <c r="QK45">
        <f>IF('計算A'!DK$106=1,HE45,1)</f>
        <v/>
      </c>
      <c r="QL45">
        <f>IF('計算A'!DL$106=1,HF45,1)</f>
        <v/>
      </c>
      <c r="QM45">
        <f>IF('計算A'!DM$106=1,HG45,1)</f>
        <v/>
      </c>
      <c r="QN45">
        <f>IF('計算A'!DN$106=1,HH45,1)</f>
        <v/>
      </c>
      <c r="QO45">
        <f>IF('計算A'!DO$106=1,HI45,1)</f>
        <v/>
      </c>
      <c r="QP45">
        <f>IF('計算A'!DP$106=1,HJ45,1)</f>
        <v/>
      </c>
      <c r="QQ45">
        <f>IF('計算A'!DQ$106=1,HK45,1)</f>
        <v/>
      </c>
      <c r="QR45">
        <f>IF('計算A'!DR$106=1,HL45,1)</f>
        <v/>
      </c>
      <c r="QS45">
        <f>IF('計算A'!DS$106=1,HM45,1)</f>
        <v/>
      </c>
      <c r="QT45">
        <f>IF('計算A'!DT$106=1,HN45,1)</f>
        <v/>
      </c>
      <c r="QU45">
        <f>IF('計算A'!DU$106=1,HO45,1)</f>
        <v/>
      </c>
      <c r="QV45">
        <f>IF('計算A'!DV$106=1,HP45,1)</f>
        <v/>
      </c>
      <c r="QW45">
        <f>IF('計算A'!DW$106=1,HQ45,1)</f>
        <v/>
      </c>
      <c r="QX45">
        <f>IF('計算A'!DX$106=1,HR45,1)</f>
        <v/>
      </c>
      <c r="QY45">
        <f>IF('計算A'!DY$106=1,HS45,1)</f>
        <v/>
      </c>
      <c r="QZ45">
        <f>IF('計算A'!DZ$106=1,HT45,1)</f>
        <v/>
      </c>
      <c r="RA45">
        <f>IF('計算A'!EA$106=1,HU45,1)</f>
        <v/>
      </c>
      <c r="RB45">
        <f>IF('計算A'!EB$106=1,HV45,1)</f>
        <v/>
      </c>
      <c r="RC45">
        <f>IF('計算A'!EC$106=1,HW45,1)</f>
        <v/>
      </c>
      <c r="RD45">
        <f>IF('計算A'!ED$106=1,HX45,1)</f>
        <v/>
      </c>
      <c r="RE45">
        <f>IF('計算A'!EE$106=1,HY45,1)</f>
        <v/>
      </c>
      <c r="RF45">
        <f>IF('計算A'!EF$106=1,HZ45,1)</f>
        <v/>
      </c>
      <c r="RG45">
        <f>IF('計算A'!EG$106=1,IA45,1)</f>
        <v/>
      </c>
      <c r="RH45">
        <f>IF('計算A'!EH$106=1,IB45,1)</f>
        <v/>
      </c>
      <c r="RI45">
        <f>IF('計算A'!EI$106=1,IC45,1)</f>
        <v/>
      </c>
      <c r="RJ45">
        <f>IF('計算A'!EJ$106=1,ID45,1)</f>
        <v/>
      </c>
      <c r="RK45">
        <f>IF('計算A'!EK$106=1,IE45,1)</f>
        <v/>
      </c>
      <c r="RL45">
        <f>IF('計算A'!EL$106=1,IF45,1)</f>
        <v/>
      </c>
      <c r="RM45">
        <f>IF('計算A'!EM$106=1,IG45,1)</f>
        <v/>
      </c>
      <c r="RN45">
        <f>IF('計算A'!EN$106=1,IH45,1)</f>
        <v/>
      </c>
      <c r="RO45">
        <f>IF('計算A'!EO$106=1,II45,1)</f>
        <v/>
      </c>
      <c r="RP45">
        <f>IF('計算A'!EP$106=1,IJ45,1)</f>
        <v/>
      </c>
      <c r="RQ45">
        <f>IF('計算A'!EQ$106=1,IK45,1)</f>
        <v/>
      </c>
      <c r="RR45">
        <f>IF('計算A'!ER$106=1,IL45,1)</f>
        <v/>
      </c>
      <c r="RS45">
        <f>IF('計算A'!ES$106=1,IM45,1)</f>
        <v/>
      </c>
      <c r="RT45">
        <f>IF('計算A'!ET$106=1,IN45,1)</f>
        <v/>
      </c>
      <c r="RU45">
        <f>IF('計算A'!EU$106=1,IO45,1)</f>
        <v/>
      </c>
      <c r="RV45">
        <f>IF('計算A'!EV$106=1,IP45,1)</f>
        <v/>
      </c>
      <c r="RW45">
        <f>IF('計算A'!EW$106=1,IQ45,1)</f>
        <v/>
      </c>
      <c r="RX45">
        <f>IF('計算A'!EX$106=1,IR45,1)</f>
        <v/>
      </c>
      <c r="RY45">
        <f>IF('計算A'!EY$106=1,IS45,1)</f>
        <v/>
      </c>
      <c r="RZ45">
        <f>IF('計算A'!EZ$106=1,IT45,1)</f>
        <v/>
      </c>
      <c r="SA45">
        <f>IF('計算A'!FA$106=1,IU45,1)</f>
        <v/>
      </c>
      <c r="SB45">
        <f>IF('計算A'!FB$106=1,IV45,1)</f>
        <v/>
      </c>
      <c r="SC45">
        <f>IF('計算A'!FC$106=1,IW45,1)</f>
        <v/>
      </c>
      <c r="SD45">
        <f>IF('計算A'!FD$106=1,IX45,1)</f>
        <v/>
      </c>
      <c r="SE45">
        <f>IF('計算A'!FE$106=1,IY45,1)</f>
        <v/>
      </c>
      <c r="SF45">
        <f>IF('計算A'!FF$106=1,IZ45,1)</f>
        <v/>
      </c>
      <c r="SG45">
        <f>IF('計算A'!FG$106=1,JA45,1)</f>
        <v/>
      </c>
      <c r="SH45">
        <f>IF('計算A'!FH$106=1,JB45,1)</f>
        <v/>
      </c>
      <c r="SI45">
        <f>IF('計算A'!FI$106=1,JC45,1)</f>
        <v/>
      </c>
      <c r="SJ45">
        <f>IF('計算A'!FJ$106=1,JD45,1)</f>
        <v/>
      </c>
      <c r="SK45">
        <f>IF('計算A'!FK$106=1,JE45,1)</f>
        <v/>
      </c>
      <c r="SL45">
        <f>IF('計算A'!FL$106=1,JF45,1)</f>
        <v/>
      </c>
      <c r="SM45">
        <f>IF('計算A'!FM$106=1,JG45,1)</f>
        <v/>
      </c>
      <c r="SN45">
        <f>IF('計算A'!FN$106=1,JH45,1)</f>
        <v/>
      </c>
      <c r="SO45">
        <f>IF('計算A'!FO$106=1,JI45,1)</f>
        <v/>
      </c>
      <c r="SP45">
        <f>IF('計算A'!FP$106=1,JJ45,1)</f>
        <v/>
      </c>
      <c r="SQ45">
        <f>IF('計算A'!FQ$106=1,JK45,1)</f>
        <v/>
      </c>
      <c r="SR45">
        <f>IF('計算A'!FR$106=1,JL45,1)</f>
        <v/>
      </c>
      <c r="SS45">
        <f>IF('計算A'!FS$106=1,JM45,1)</f>
        <v/>
      </c>
      <c r="ST45">
        <f>IF('計算A'!FT$106=1,JN45,1)</f>
        <v/>
      </c>
      <c r="SU45">
        <f>IF('計算A'!FU$106=1,JO45,1)</f>
        <v/>
      </c>
      <c r="SV45">
        <f>IF('計算A'!FV$106=1,JP45,1)</f>
        <v/>
      </c>
      <c r="SW45">
        <f>IF('計算A'!FW$106=1,JQ45,1)</f>
        <v/>
      </c>
      <c r="SX45">
        <f>IF('計算A'!FX$106=1,JR45,1)</f>
        <v/>
      </c>
      <c r="SY45">
        <f>IF('計算A'!FY$106=1,JS45,1)</f>
        <v/>
      </c>
      <c r="SZ45">
        <f>IF('計算A'!FZ$106=1,JT45,1)</f>
        <v/>
      </c>
      <c r="TA45">
        <f>IF('計算A'!GA$106=1,JU45,1)</f>
        <v/>
      </c>
      <c r="TB45">
        <f>IF('計算A'!GB$106=1,JV45,1)</f>
        <v/>
      </c>
      <c r="TC45">
        <f>IF('計算A'!GC$106=1,JW45,1)</f>
        <v/>
      </c>
      <c r="TD45">
        <f>IF('計算A'!GD$106=1,JX45,1)</f>
        <v/>
      </c>
      <c r="TE45">
        <f>IF('計算A'!GE$106=1,JY45,1)</f>
        <v/>
      </c>
      <c r="TF45">
        <f>IF('計算A'!GF$106=1,JZ45,1)</f>
        <v/>
      </c>
      <c r="TG45">
        <f>IF('計算A'!GG$106=1,KA45,1)</f>
        <v/>
      </c>
      <c r="TH45">
        <f>IF('計算A'!GH$106=1,KB45,1)</f>
        <v/>
      </c>
      <c r="TI45">
        <f>IF('計算A'!GI$106=1,KC45,1)</f>
        <v/>
      </c>
      <c r="TJ45">
        <f>IF('計算A'!GJ$106=1,KD45,1)</f>
        <v/>
      </c>
      <c r="TK45">
        <f>IF('計算A'!GK$106=1,KE45,1)</f>
        <v/>
      </c>
      <c r="TL45">
        <f>IF('計算A'!GL$106=1,KF45,1)</f>
        <v/>
      </c>
      <c r="TM45">
        <f>IF('計算A'!GM$106=1,KG45,1)</f>
        <v/>
      </c>
      <c r="TN45">
        <f>IF('計算A'!GN$106=1,KH45,1)</f>
        <v/>
      </c>
      <c r="TO45">
        <f>IF('計算A'!GO$106=1,KI45,1)</f>
        <v/>
      </c>
      <c r="TP45">
        <f>IF('計算A'!GP$106=1,KJ45,1)</f>
        <v/>
      </c>
      <c r="TQ45">
        <f>IF('計算A'!GQ$106=1,KK45,1)</f>
        <v/>
      </c>
      <c r="TR45">
        <f>IF('計算A'!GR$106=1,KL45,1)</f>
        <v/>
      </c>
      <c r="TS45">
        <f>IF('計算A'!GS$106=1,KM45,1)</f>
        <v/>
      </c>
      <c r="TT45">
        <f>IF('計算A'!GT$106=1,KN45,1)</f>
        <v/>
      </c>
      <c r="TU45">
        <f>IF('計算A'!GU$106=1,KO45,1)</f>
        <v/>
      </c>
      <c r="TV45">
        <f>IF('計算A'!GV$106=1,KP45,1)</f>
        <v/>
      </c>
      <c r="TW45">
        <f>IF('計算A'!GW$106=1,KQ45,1)</f>
        <v/>
      </c>
      <c r="TX45">
        <f>IF('計算A'!GX$106=1,KR45,1)</f>
        <v/>
      </c>
      <c r="TY45">
        <f>IF('計算A'!GY$106=1,KS45,1)</f>
        <v/>
      </c>
      <c r="TZ45">
        <f>IF('計算A'!GZ$106=1,KT45,1)</f>
        <v/>
      </c>
      <c r="UA45">
        <f>IF('計算A'!HA$106=1,KU45,1)</f>
        <v/>
      </c>
      <c r="UB45">
        <f>IF('計算A'!HB$106=1,KV45,1)</f>
        <v/>
      </c>
      <c r="UC45">
        <f>IF('計算A'!HC$106=1,KW45,1)</f>
        <v/>
      </c>
      <c r="UD45">
        <f>IF('計算A'!HD$106=1,KX45,1)</f>
        <v/>
      </c>
      <c r="UE45">
        <f>IF('計算A'!HE$106=1,KY45,1)</f>
        <v/>
      </c>
      <c r="UF45">
        <f>IF('計算A'!HF$106=1,KZ45,1)</f>
        <v/>
      </c>
      <c r="UG45">
        <f>IF('計算A'!HG$106=1,LA45,1)</f>
        <v/>
      </c>
      <c r="UH45">
        <f>IF('計算A'!HH$106=1,LB45,1)</f>
        <v/>
      </c>
      <c r="UI45">
        <f>IF('計算A'!HI$106=1,LC45,1)</f>
        <v/>
      </c>
      <c r="UJ45">
        <f>IF('計算A'!HJ$106=1,LD45,1)</f>
        <v/>
      </c>
      <c r="UK45">
        <f>IF('計算A'!HK$106=1,LE45,1)</f>
        <v/>
      </c>
      <c r="UL45">
        <f>IF('計算A'!HL$106=1,LF45,1)</f>
        <v/>
      </c>
      <c r="UM45">
        <f>IF('計算A'!HM$106=1,LG45,1)</f>
        <v/>
      </c>
      <c r="UN45">
        <f>IF('計算A'!HN$106=1,LH45,1)</f>
        <v/>
      </c>
      <c r="UO45">
        <f>IF('計算A'!HO$106=1,LI45,1)</f>
        <v/>
      </c>
      <c r="UP45">
        <f>IF('計算A'!HP$106=1,LJ45,1)</f>
        <v/>
      </c>
      <c r="UQ45">
        <f>IF('計算A'!HQ$106=1,LK45,1)</f>
        <v/>
      </c>
      <c r="UR45">
        <f>IF('計算A'!HR$106=1,LL45,1)</f>
        <v/>
      </c>
      <c r="US45">
        <f>IF('計算A'!HS$106=1,LM45,1)</f>
        <v/>
      </c>
      <c r="UT45">
        <f>IF('計算A'!HT$106=1,LN45,1)</f>
        <v/>
      </c>
      <c r="UU45">
        <f>IF('計算A'!HU$106=1,LO45,1)</f>
        <v/>
      </c>
      <c r="UV45">
        <f>IF('計算A'!HV$106=1,LP45,1)</f>
        <v/>
      </c>
      <c r="UW45">
        <f>IF('計算A'!HW$106=1,LQ45,1)</f>
        <v/>
      </c>
      <c r="UX45">
        <f>IF('計算A'!HX$106=1,LR45,1)</f>
        <v/>
      </c>
      <c r="UY45">
        <f>IF('計算A'!HY$106=1,LS45,1)</f>
        <v/>
      </c>
      <c r="UZ45">
        <f>IF('計算A'!HZ$106=1,LT45,1)</f>
        <v/>
      </c>
      <c r="VA45">
        <f>IF('計算A'!IA$106=1,LU45,1)</f>
        <v/>
      </c>
      <c r="VB45">
        <f>IF('計算A'!IB$106=1,LV45,1)</f>
        <v/>
      </c>
      <c r="VC45">
        <f>IF('計算A'!IC$106=1,LW45,1)</f>
        <v/>
      </c>
      <c r="VD45">
        <f>IF('計算A'!ID$106=1,LX45,1)</f>
        <v/>
      </c>
      <c r="VE45">
        <f>IF('計算A'!IE$106=1,LY45,1)</f>
        <v/>
      </c>
      <c r="VF45">
        <f>IF('計算A'!IF$106=1,LZ45,1)</f>
        <v/>
      </c>
      <c r="VG45">
        <f>IF('計算A'!IG$106=1,MA45,1)</f>
        <v/>
      </c>
      <c r="VH45">
        <f>IF('計算A'!IH$106=1,MB45,1)</f>
        <v/>
      </c>
      <c r="VI45" t="n">
        <v>1</v>
      </c>
      <c r="VK45">
        <f>IF($B45=0,1000000,IF(INDEX('計算A'!$D$60:$II$104,$B45,1)*CW45=1,IF(AND($E45=2,MD45=0),1000000,INDEX('計算A'!D$110:D$114,$F45+1)+IF(AND($E45=1,MD45=0),1000,0)),1000000))</f>
        <v/>
      </c>
      <c r="VL45">
        <f>IF($B45=0,1000000,IF(INDEX('計算A'!$D$60:$II$104,$B45,2)*CX45=1,IF(AND($E45=2,ME45=0),1000000,INDEX('計算A'!E$110:E$114,$F45+1)+IF(AND($E45=1,ME45=0),1000,0)),1000000))</f>
        <v/>
      </c>
      <c r="VM45">
        <f>IF($B45=0,1000000,IF(INDEX('計算A'!$D$60:$II$104,$B45,3)*CY45=1,IF(AND($E45=2,MF45=0),1000000,INDEX('計算A'!F$110:F$114,$F45+1)+IF(AND($E45=1,MF45=0),1000,0)),1000000))</f>
        <v/>
      </c>
      <c r="VN45">
        <f>IF($B45=0,1000000,IF(INDEX('計算A'!$D$60:$II$104,$B45,4)*CZ45=1,IF(AND($E45=2,MG45=0),1000000,INDEX('計算A'!G$110:G$114,$F45+1)+IF(AND($E45=1,MG45=0),1000,0)),1000000))</f>
        <v/>
      </c>
      <c r="VO45">
        <f>IF($B45=0,1000000,IF(INDEX('計算A'!$D$60:$II$104,$B45,5)*DA45=1,IF(AND($E45=2,MH45=0),1000000,INDEX('計算A'!H$110:H$114,$F45+1)+IF(AND($E45=1,MH45=0),1000,0)),1000000))</f>
        <v/>
      </c>
      <c r="VP45">
        <f>IF($B45=0,1000000,IF(INDEX('計算A'!$D$60:$II$104,$B45,6)*DB45=1,IF(AND($E45=2,MI45=0),1000000,INDEX('計算A'!I$110:I$114,$F45+1)+IF(AND($E45=1,MI45=0),1000,0)),1000000))</f>
        <v/>
      </c>
      <c r="VQ45">
        <f>IF($B45=0,1000000,IF(INDEX('計算A'!$D$60:$II$104,$B45,7)*DC45=1,IF(AND($E45=2,MJ45=0),1000000,INDEX('計算A'!J$110:J$114,$F45+1)+IF(AND($E45=1,MJ45=0),1000,0)),1000000))</f>
        <v/>
      </c>
      <c r="VR45">
        <f>IF($B45=0,1000000,IF(INDEX('計算A'!$D$60:$II$104,$B45,8)*DD45=1,IF(AND($E45=2,MK45=0),1000000,INDEX('計算A'!K$110:K$114,$F45+1)+IF(AND($E45=1,MK45=0),1000,0)),1000000))</f>
        <v/>
      </c>
      <c r="VS45">
        <f>IF($B45=0,1000000,IF(INDEX('計算A'!$D$60:$II$104,$B45,9)*DE45=1,IF(AND($E45=2,ML45=0),1000000,INDEX('計算A'!L$110:L$114,$F45+1)+IF(AND($E45=1,ML45=0),1000,0)),1000000))</f>
        <v/>
      </c>
      <c r="VT45">
        <f>IF($B45=0,1000000,IF(INDEX('計算A'!$D$60:$II$104,$B45,10)*DF45=1,IF(AND($E45=2,MM45=0),1000000,INDEX('計算A'!M$110:M$114,$F45+1)+IF(AND($E45=1,MM45=0),1000,0)),1000000))</f>
        <v/>
      </c>
      <c r="VU45">
        <f>IF($B45=0,1000000,IF(INDEX('計算A'!$D$60:$II$104,$B45,11)*DG45=1,IF(AND($E45=2,MN45=0),1000000,INDEX('計算A'!N$110:N$114,$F45+1)+IF(AND($E45=1,MN45=0),1000,0)),1000000))</f>
        <v/>
      </c>
      <c r="VV45">
        <f>IF($B45=0,1000000,IF(INDEX('計算A'!$D$60:$II$104,$B45,12)*DH45=1,IF(AND($E45=2,MO45=0),1000000,INDEX('計算A'!O$110:O$114,$F45+1)+IF(AND($E45=1,MO45=0),1000,0)),1000000))</f>
        <v/>
      </c>
      <c r="VW45">
        <f>IF($B45=0,1000000,IF(INDEX('計算A'!$D$60:$II$104,$B45,13)*DI45=1,IF(AND($E45=2,MP45=0),1000000,INDEX('計算A'!P$110:P$114,$F45+1)+IF(AND($E45=1,MP45=0),1000,0)),1000000))</f>
        <v/>
      </c>
      <c r="VX45">
        <f>IF($B45=0,1000000,IF(INDEX('計算A'!$D$60:$II$104,$B45,14)*DJ45=1,IF(AND($E45=2,MQ45=0),1000000,INDEX('計算A'!Q$110:Q$114,$F45+1)+IF(AND($E45=1,MQ45=0),1000,0)),1000000))</f>
        <v/>
      </c>
      <c r="VY45">
        <f>IF($B45=0,1000000,IF(INDEX('計算A'!$D$60:$II$104,$B45,15)*DK45=1,IF(AND($E45=2,MR45=0),1000000,INDEX('計算A'!R$110:R$114,$F45+1)+IF(AND($E45=1,MR45=0),1000,0)),1000000))</f>
        <v/>
      </c>
      <c r="VZ45">
        <f>IF($B45=0,1000000,IF(INDEX('計算A'!$D$60:$II$104,$B45,16)*DL45=1,IF(AND($E45=2,MS45=0),1000000,INDEX('計算A'!S$110:S$114,$F45+1)+IF(AND($E45=1,MS45=0),1000,0)),1000000))</f>
        <v/>
      </c>
      <c r="WA45">
        <f>IF($B45=0,1000000,IF(INDEX('計算A'!$D$60:$II$104,$B45,17)*DM45=1,IF(AND($E45=2,MT45=0),1000000,INDEX('計算A'!T$110:T$114,$F45+1)+IF(AND($E45=1,MT45=0),1000,0)),1000000))</f>
        <v/>
      </c>
      <c r="WB45">
        <f>IF($B45=0,1000000,IF(INDEX('計算A'!$D$60:$II$104,$B45,18)*DN45=1,IF(AND($E45=2,MU45=0),1000000,INDEX('計算A'!U$110:U$114,$F45+1)+IF(AND($E45=1,MU45=0),1000,0)),1000000))</f>
        <v/>
      </c>
      <c r="WC45">
        <f>IF($B45=0,1000000,IF(INDEX('計算A'!$D$60:$II$104,$B45,19)*DO45=1,IF(AND($E45=2,MV45=0),1000000,INDEX('計算A'!V$110:V$114,$F45+1)+IF(AND($E45=1,MV45=0),1000,0)),1000000))</f>
        <v/>
      </c>
      <c r="WD45">
        <f>IF($B45=0,1000000,IF(INDEX('計算A'!$D$60:$II$104,$B45,20)*DP45=1,IF(AND($E45=2,MW45=0),1000000,INDEX('計算A'!W$110:W$114,$F45+1)+IF(AND($E45=1,MW45=0),1000,0)),1000000))</f>
        <v/>
      </c>
      <c r="WE45">
        <f>IF($B45=0,1000000,IF(INDEX('計算A'!$D$60:$II$104,$B45,21)*DQ45=1,IF(AND($E45=2,MX45=0),1000000,INDEX('計算A'!X$110:X$114,$F45+1)+IF(AND($E45=1,MX45=0),1000,0)),1000000))</f>
        <v/>
      </c>
      <c r="WF45">
        <f>IF($B45=0,1000000,IF(INDEX('計算A'!$D$60:$II$104,$B45,22)*DR45=1,IF(AND($E45=2,MY45=0),1000000,INDEX('計算A'!Y$110:Y$114,$F45+1)+IF(AND($E45=1,MY45=0),1000,0)),1000000))</f>
        <v/>
      </c>
      <c r="WG45">
        <f>IF($B45=0,1000000,IF(INDEX('計算A'!$D$60:$II$104,$B45,23)*DS45=1,IF(AND($E45=2,MZ45=0),1000000,INDEX('計算A'!Z$110:Z$114,$F45+1)+IF(AND($E45=1,MZ45=0),1000,0)),1000000))</f>
        <v/>
      </c>
      <c r="WH45">
        <f>IF($B45=0,1000000,IF(INDEX('計算A'!$D$60:$II$104,$B45,24)*DT45=1,IF(AND($E45=2,NA45=0),1000000,INDEX('計算A'!AA$110:AA$114,$F45+1)+IF(AND($E45=1,NA45=0),1000,0)),1000000))</f>
        <v/>
      </c>
      <c r="WI45">
        <f>IF($B45=0,1000000,IF(INDEX('計算A'!$D$60:$II$104,$B45,25)*DU45=1,IF(AND($E45=2,NB45=0),1000000,INDEX('計算A'!AB$110:AB$114,$F45+1)+IF(AND($E45=1,NB45=0),1000,0)),1000000))</f>
        <v/>
      </c>
      <c r="WJ45">
        <f>IF($B45=0,1000000,IF(INDEX('計算A'!$D$60:$II$104,$B45,26)*DV45=1,IF(AND($E45=2,NC45=0),1000000,INDEX('計算A'!AC$110:AC$114,$F45+1)+IF(AND($E45=1,NC45=0),1000,0)),1000000))</f>
        <v/>
      </c>
      <c r="WK45">
        <f>IF($B45=0,1000000,IF(INDEX('計算A'!$D$60:$II$104,$B45,27)*DW45=1,IF(AND($E45=2,ND45=0),1000000,INDEX('計算A'!AD$110:AD$114,$F45+1)+IF(AND($E45=1,ND45=0),1000,0)),1000000))</f>
        <v/>
      </c>
      <c r="WL45">
        <f>IF($B45=0,1000000,IF(INDEX('計算A'!$D$60:$II$104,$B45,28)*DX45=1,IF(AND($E45=2,NE45=0),1000000,INDEX('計算A'!AE$110:AE$114,$F45+1)+IF(AND($E45=1,NE45=0),1000,0)),1000000))</f>
        <v/>
      </c>
      <c r="WM45">
        <f>IF($B45=0,1000000,IF(INDEX('計算A'!$D$60:$II$104,$B45,29)*DY45=1,IF(AND($E45=2,NF45=0),1000000,INDEX('計算A'!AF$110:AF$114,$F45+1)+IF(AND($E45=1,NF45=0),1000,0)),1000000))</f>
        <v/>
      </c>
      <c r="WN45">
        <f>IF($B45=0,1000000,IF(INDEX('計算A'!$D$60:$II$104,$B45,30)*DZ45=1,IF(AND($E45=2,NG45=0),1000000,INDEX('計算A'!AG$110:AG$114,$F45+1)+IF(AND($E45=1,NG45=0),1000,0)),1000000))</f>
        <v/>
      </c>
      <c r="WO45">
        <f>IF($B45=0,1000000,IF(INDEX('計算A'!$D$60:$II$104,$B45,31)*EA45=1,IF(AND($E45=2,NH45=0),1000000,INDEX('計算A'!AH$110:AH$114,$F45+1)+IF(AND($E45=1,NH45=0),1000,0)),1000000))</f>
        <v/>
      </c>
      <c r="WP45">
        <f>IF($B45=0,1000000,IF(INDEX('計算A'!$D$60:$II$104,$B45,32)*EB45=1,IF(AND($E45=2,NI45=0),1000000,INDEX('計算A'!AI$110:AI$114,$F45+1)+IF(AND($E45=1,NI45=0),1000,0)),1000000))</f>
        <v/>
      </c>
      <c r="WQ45">
        <f>IF($B45=0,1000000,IF(INDEX('計算A'!$D$60:$II$104,$B45,33)*EC45=1,IF(AND($E45=2,NJ45=0),1000000,INDEX('計算A'!AJ$110:AJ$114,$F45+1)+IF(AND($E45=1,NJ45=0),1000,0)),1000000))</f>
        <v/>
      </c>
      <c r="WR45">
        <f>IF($B45=0,1000000,IF(INDEX('計算A'!$D$60:$II$104,$B45,34)*ED45=1,IF(AND($E45=2,NK45=0),1000000,INDEX('計算A'!AK$110:AK$114,$F45+1)+IF(AND($E45=1,NK45=0),1000,0)),1000000))</f>
        <v/>
      </c>
      <c r="WS45">
        <f>IF($B45=0,1000000,IF(INDEX('計算A'!$D$60:$II$104,$B45,35)*EE45=1,IF(AND($E45=2,NL45=0),1000000,INDEX('計算A'!AL$110:AL$114,$F45+1)+IF(AND($E45=1,NL45=0),1000,0)),1000000))</f>
        <v/>
      </c>
      <c r="WT45">
        <f>IF($B45=0,1000000,IF(INDEX('計算A'!$D$60:$II$104,$B45,36)*EF45=1,IF(AND($E45=2,NM45=0),1000000,INDEX('計算A'!AM$110:AM$114,$F45+1)+IF(AND($E45=1,NM45=0),1000,0)),1000000))</f>
        <v/>
      </c>
      <c r="WU45">
        <f>IF($B45=0,1000000,IF(INDEX('計算A'!$D$60:$II$104,$B45,37)*EG45=1,IF(AND($E45=2,NN45=0),1000000,INDEX('計算A'!AN$110:AN$114,$F45+1)+IF(AND($E45=1,NN45=0),1000,0)),1000000))</f>
        <v/>
      </c>
      <c r="WV45">
        <f>IF($B45=0,1000000,IF(INDEX('計算A'!$D$60:$II$104,$B45,38)*EH45=1,IF(AND($E45=2,NO45=0),1000000,INDEX('計算A'!AO$110:AO$114,$F45+1)+IF(AND($E45=1,NO45=0),1000,0)),1000000))</f>
        <v/>
      </c>
      <c r="WW45">
        <f>IF($B45=0,1000000,IF(INDEX('計算A'!$D$60:$II$104,$B45,39)*EI45=1,IF(AND($E45=2,NP45=0),1000000,INDEX('計算A'!AP$110:AP$114,$F45+1)+IF(AND($E45=1,NP45=0),1000,0)),1000000))</f>
        <v/>
      </c>
      <c r="WX45">
        <f>IF($B45=0,1000000,IF(INDEX('計算A'!$D$60:$II$104,$B45,40)*EJ45=1,IF(AND($E45=2,NQ45=0),1000000,INDEX('計算A'!AQ$110:AQ$114,$F45+1)+IF(AND($E45=1,NQ45=0),1000,0)),1000000))</f>
        <v/>
      </c>
      <c r="WY45">
        <f>IF($B45=0,1000000,IF(INDEX('計算A'!$D$60:$II$104,$B45,41)*EK45=1,IF(AND($E45=2,NR45=0),1000000,INDEX('計算A'!AR$110:AR$114,$F45+1)+IF(AND($E45=1,NR45=0),1000,0)),1000000))</f>
        <v/>
      </c>
      <c r="WZ45">
        <f>IF($B45=0,1000000,IF(INDEX('計算A'!$D$60:$II$104,$B45,42)*EL45=1,IF(AND($E45=2,NS45=0),1000000,INDEX('計算A'!AS$110:AS$114,$F45+1)+IF(AND($E45=1,NS45=0),1000,0)),1000000))</f>
        <v/>
      </c>
      <c r="XA45">
        <f>IF($B45=0,1000000,IF(INDEX('計算A'!$D$60:$II$104,$B45,43)*EM45=1,IF(AND($E45=2,NT45=0),1000000,INDEX('計算A'!AT$110:AT$114,$F45+1)+IF(AND($E45=1,NT45=0),1000,0)),1000000))</f>
        <v/>
      </c>
      <c r="XB45">
        <f>IF($B45=0,1000000,IF(INDEX('計算A'!$D$60:$II$104,$B45,44)*EN45=1,IF(AND($E45=2,NU45=0),1000000,INDEX('計算A'!AU$110:AU$114,$F45+1)+IF(AND($E45=1,NU45=0),1000,0)),1000000))</f>
        <v/>
      </c>
      <c r="XC45">
        <f>IF($B45=0,1000000,IF(INDEX('計算A'!$D$60:$II$104,$B45,45)*EO45=1,IF(AND($E45=2,NV45=0),1000000,INDEX('計算A'!AV$110:AV$114,$F45+1)+IF(AND($E45=1,NV45=0),1000,0)),1000000))</f>
        <v/>
      </c>
      <c r="XD45">
        <f>IF($B45=0,1000000,IF(INDEX('計算A'!$D$60:$II$104,$B45,46)*EP45=1,IF(AND($E45=2,NW45=0),1000000,INDEX('計算A'!AW$110:AW$114,$F45+1)+IF(AND($E45=1,NW45=0),1000,0)),1000000))</f>
        <v/>
      </c>
      <c r="XE45">
        <f>IF($B45=0,1000000,IF(INDEX('計算A'!$D$60:$II$104,$B45,47)*EQ45=1,IF(AND($E45=2,NX45=0),1000000,INDEX('計算A'!AX$110:AX$114,$F45+1)+IF(AND($E45=1,NX45=0),1000,0)),1000000))</f>
        <v/>
      </c>
      <c r="XF45">
        <f>IF($B45=0,1000000,IF(INDEX('計算A'!$D$60:$II$104,$B45,48)*ER45=1,IF(AND($E45=2,NY45=0),1000000,INDEX('計算A'!AY$110:AY$114,$F45+1)+IF(AND($E45=1,NY45=0),1000,0)),1000000))</f>
        <v/>
      </c>
      <c r="XG45">
        <f>IF($B45=0,1000000,IF(INDEX('計算A'!$D$60:$II$104,$B45,49)*ES45=1,IF(AND($E45=2,NZ45=0),1000000,INDEX('計算A'!AZ$110:AZ$114,$F45+1)+IF(AND($E45=1,NZ45=0),1000,0)),1000000))</f>
        <v/>
      </c>
      <c r="XH45">
        <f>IF($B45=0,1000000,IF(INDEX('計算A'!$D$60:$II$104,$B45,50)*ET45=1,IF(AND($E45=2,OA45=0),1000000,INDEX('計算A'!BA$110:BA$114,$F45+1)+IF(AND($E45=1,OA45=0),1000,0)),1000000))</f>
        <v/>
      </c>
      <c r="XI45">
        <f>IF($B45=0,1000000,IF(INDEX('計算A'!$D$60:$II$104,$B45,51)*EU45=1,IF(AND($E45=2,OB45=0),1000000,INDEX('計算A'!BB$110:BB$114,$F45+1)+IF(AND($E45=1,OB45=0),1000,0)),1000000))</f>
        <v/>
      </c>
      <c r="XJ45">
        <f>IF($B45=0,1000000,IF(INDEX('計算A'!$D$60:$II$104,$B45,52)*EV45=1,IF(AND($E45=2,OC45=0),1000000,INDEX('計算A'!BC$110:BC$114,$F45+1)+IF(AND($E45=1,OC45=0),1000,0)),1000000))</f>
        <v/>
      </c>
      <c r="XK45">
        <f>IF($B45=0,1000000,IF(INDEX('計算A'!$D$60:$II$104,$B45,53)*EW45=1,IF(AND($E45=2,OD45=0),1000000,INDEX('計算A'!BD$110:BD$114,$F45+1)+IF(AND($E45=1,OD45=0),1000,0)),1000000))</f>
        <v/>
      </c>
      <c r="XL45">
        <f>IF($B45=0,1000000,IF(INDEX('計算A'!$D$60:$II$104,$B45,54)*EX45=1,IF(AND($E45=2,OE45=0),1000000,INDEX('計算A'!BE$110:BE$114,$F45+1)+IF(AND($E45=1,OE45=0),1000,0)),1000000))</f>
        <v/>
      </c>
      <c r="XM45">
        <f>IF($B45=0,1000000,IF(INDEX('計算A'!$D$60:$II$104,$B45,55)*EY45=1,IF(AND($E45=2,OF45=0),1000000,INDEX('計算A'!BF$110:BF$114,$F45+1)+IF(AND($E45=1,OF45=0),1000,0)),1000000))</f>
        <v/>
      </c>
      <c r="XN45">
        <f>IF($B45=0,1000000,IF(INDEX('計算A'!$D$60:$II$104,$B45,56)*EZ45=1,IF(AND($E45=2,OG45=0),1000000,INDEX('計算A'!BG$110:BG$114,$F45+1)+IF(AND($E45=1,OG45=0),1000,0)),1000000))</f>
        <v/>
      </c>
      <c r="XO45">
        <f>IF($B45=0,1000000,IF(INDEX('計算A'!$D$60:$II$104,$B45,57)*FA45=1,IF(AND($E45=2,OH45=0),1000000,INDEX('計算A'!BH$110:BH$114,$F45+1)+IF(AND($E45=1,OH45=0),1000,0)),1000000))</f>
        <v/>
      </c>
      <c r="XP45">
        <f>IF($B45=0,1000000,IF(INDEX('計算A'!$D$60:$II$104,$B45,58)*FB45=1,IF(AND($E45=2,OI45=0),1000000,INDEX('計算A'!BI$110:BI$114,$F45+1)+IF(AND($E45=1,OI45=0),1000,0)),1000000))</f>
        <v/>
      </c>
      <c r="XQ45">
        <f>IF($B45=0,1000000,IF(INDEX('計算A'!$D$60:$II$104,$B45,59)*FC45=1,IF(AND($E45=2,OJ45=0),1000000,INDEX('計算A'!BJ$110:BJ$114,$F45+1)+IF(AND($E45=1,OJ45=0),1000,0)),1000000))</f>
        <v/>
      </c>
      <c r="XR45">
        <f>IF($B45=0,1000000,IF(INDEX('計算A'!$D$60:$II$104,$B45,60)*FD45=1,IF(AND($E45=2,OK45=0),1000000,INDEX('計算A'!BK$110:BK$114,$F45+1)+IF(AND($E45=1,OK45=0),1000,0)),1000000))</f>
        <v/>
      </c>
      <c r="XS45">
        <f>IF($B45=0,1000000,IF(INDEX('計算A'!$D$60:$II$104,$B45,61)*FE45=1,IF(AND($E45=2,OL45=0),1000000,INDEX('計算A'!BL$110:BL$114,$F45+1)+IF(AND($E45=1,OL45=0),1000,0)),1000000))</f>
        <v/>
      </c>
      <c r="XT45">
        <f>IF($B45=0,1000000,IF(INDEX('計算A'!$D$60:$II$104,$B45,62)*FF45=1,IF(AND($E45=2,OM45=0),1000000,INDEX('計算A'!BM$110:BM$114,$F45+1)+IF(AND($E45=1,OM45=0),1000,0)),1000000))</f>
        <v/>
      </c>
      <c r="XU45">
        <f>IF($B45=0,1000000,IF(INDEX('計算A'!$D$60:$II$104,$B45,63)*FG45=1,IF(AND($E45=2,ON45=0),1000000,INDEX('計算A'!BN$110:BN$114,$F45+1)+IF(AND($E45=1,ON45=0),1000,0)),1000000))</f>
        <v/>
      </c>
      <c r="XV45">
        <f>IF($B45=0,1000000,IF(INDEX('計算A'!$D$60:$II$104,$B45,64)*FH45=1,IF(AND($E45=2,OO45=0),1000000,INDEX('計算A'!BO$110:BO$114,$F45+1)+IF(AND($E45=1,OO45=0),1000,0)),1000000))</f>
        <v/>
      </c>
      <c r="XW45">
        <f>IF($B45=0,1000000,IF(INDEX('計算A'!$D$60:$II$104,$B45,65)*FI45=1,IF(AND($E45=2,OP45=0),1000000,INDEX('計算A'!BP$110:BP$114,$F45+1)+IF(AND($E45=1,OP45=0),1000,0)),1000000))</f>
        <v/>
      </c>
      <c r="XX45">
        <f>IF($B45=0,1000000,IF(INDEX('計算A'!$D$60:$II$104,$B45,66)*FJ45=1,IF(AND($E45=2,OQ45=0),1000000,INDEX('計算A'!BQ$110:BQ$114,$F45+1)+IF(AND($E45=1,OQ45=0),1000,0)),1000000))</f>
        <v/>
      </c>
      <c r="XY45">
        <f>IF($B45=0,1000000,IF(INDEX('計算A'!$D$60:$II$104,$B45,67)*FK45=1,IF(AND($E45=2,OR45=0),1000000,INDEX('計算A'!BR$110:BR$114,$F45+1)+IF(AND($E45=1,OR45=0),1000,0)),1000000))</f>
        <v/>
      </c>
      <c r="XZ45">
        <f>IF($B45=0,1000000,IF(INDEX('計算A'!$D$60:$II$104,$B45,68)*FL45=1,IF(AND($E45=2,OS45=0),1000000,INDEX('計算A'!BS$110:BS$114,$F45+1)+IF(AND($E45=1,OS45=0),1000,0)),1000000))</f>
        <v/>
      </c>
      <c r="YA45">
        <f>IF($B45=0,1000000,IF(INDEX('計算A'!$D$60:$II$104,$B45,69)*FM45=1,IF(AND($E45=2,OT45=0),1000000,INDEX('計算A'!BT$110:BT$114,$F45+1)+IF(AND($E45=1,OT45=0),1000,0)),1000000))</f>
        <v/>
      </c>
      <c r="YB45">
        <f>IF($B45=0,1000000,IF(INDEX('計算A'!$D$60:$II$104,$B45,70)*FN45=1,IF(AND($E45=2,OU45=0),1000000,INDEX('計算A'!BU$110:BU$114,$F45+1)+IF(AND($E45=1,OU45=0),1000,0)),1000000))</f>
        <v/>
      </c>
      <c r="YC45">
        <f>IF($B45=0,1000000,IF(INDEX('計算A'!$D$60:$II$104,$B45,71)*FO45=1,IF(AND($E45=2,OV45=0),1000000,INDEX('計算A'!BV$110:BV$114,$F45+1)+IF(AND($E45=1,OV45=0),1000,0)),1000000))</f>
        <v/>
      </c>
      <c r="YD45">
        <f>IF($B45=0,1000000,IF(INDEX('計算A'!$D$60:$II$104,$B45,72)*FP45=1,IF(AND($E45=2,OW45=0),1000000,INDEX('計算A'!BW$110:BW$114,$F45+1)+IF(AND($E45=1,OW45=0),1000,0)),1000000))</f>
        <v/>
      </c>
      <c r="YE45">
        <f>IF($B45=0,1000000,IF(INDEX('計算A'!$D$60:$II$104,$B45,73)*FQ45=1,IF(AND($E45=2,OX45=0),1000000,INDEX('計算A'!BX$110:BX$114,$F45+1)+IF(AND($E45=1,OX45=0),1000,0)),1000000))</f>
        <v/>
      </c>
      <c r="YF45">
        <f>IF($B45=0,1000000,IF(INDEX('計算A'!$D$60:$II$104,$B45,74)*FR45=1,IF(AND($E45=2,OY45=0),1000000,INDEX('計算A'!BY$110:BY$114,$F45+1)+IF(AND($E45=1,OY45=0),1000,0)),1000000))</f>
        <v/>
      </c>
      <c r="YG45">
        <f>IF($B45=0,1000000,IF(INDEX('計算A'!$D$60:$II$104,$B45,75)*FS45=1,IF(AND($E45=2,OZ45=0),1000000,INDEX('計算A'!BZ$110:BZ$114,$F45+1)+IF(AND($E45=1,OZ45=0),1000,0)),1000000))</f>
        <v/>
      </c>
      <c r="YH45">
        <f>IF($B45=0,1000000,IF(INDEX('計算A'!$D$60:$II$104,$B45,76)*FT45=1,IF(AND($E45=2,PA45=0),1000000,INDEX('計算A'!CA$110:CA$114,$F45+1)+IF(AND($E45=1,PA45=0),1000,0)),1000000))</f>
        <v/>
      </c>
      <c r="YI45">
        <f>IF($B45=0,1000000,IF(INDEX('計算A'!$D$60:$II$104,$B45,77)*FU45=1,IF(AND($E45=2,PB45=0),1000000,INDEX('計算A'!CB$110:CB$114,$F45+1)+IF(AND($E45=1,PB45=0),1000,0)),1000000))</f>
        <v/>
      </c>
      <c r="YJ45">
        <f>IF($B45=0,1000000,IF(INDEX('計算A'!$D$60:$II$104,$B45,78)*FV45=1,IF(AND($E45=2,PC45=0),1000000,INDEX('計算A'!CC$110:CC$114,$F45+1)+IF(AND($E45=1,PC45=0),1000,0)),1000000))</f>
        <v/>
      </c>
      <c r="YK45">
        <f>IF($B45=0,1000000,IF(INDEX('計算A'!$D$60:$II$104,$B45,79)*FW45=1,IF(AND($E45=2,PD45=0),1000000,INDEX('計算A'!CD$110:CD$114,$F45+1)+IF(AND($E45=1,PD45=0),1000,0)),1000000))</f>
        <v/>
      </c>
      <c r="YL45">
        <f>IF($B45=0,1000000,IF(INDEX('計算A'!$D$60:$II$104,$B45,80)*FX45=1,IF(AND($E45=2,PE45=0),1000000,INDEX('計算A'!CE$110:CE$114,$F45+1)+IF(AND($E45=1,PE45=0),1000,0)),1000000))</f>
        <v/>
      </c>
      <c r="YM45">
        <f>IF($B45=0,1000000,IF(INDEX('計算A'!$D$60:$II$104,$B45,81)*FY45=1,IF(AND($E45=2,PF45=0),1000000,INDEX('計算A'!CF$110:CF$114,$F45+1)+IF(AND($E45=1,PF45=0),1000,0)),1000000))</f>
        <v/>
      </c>
      <c r="YN45">
        <f>IF($B45=0,1000000,IF(INDEX('計算A'!$D$60:$II$104,$B45,82)*FZ45=1,IF(AND($E45=2,PG45=0),1000000,INDEX('計算A'!CG$110:CG$114,$F45+1)+IF(AND($E45=1,PG45=0),1000,0)),1000000))</f>
        <v/>
      </c>
      <c r="YO45">
        <f>IF($B45=0,1000000,IF(INDEX('計算A'!$D$60:$II$104,$B45,83)*GA45=1,IF(AND($E45=2,PH45=0),1000000,INDEX('計算A'!CH$110:CH$114,$F45+1)+IF(AND($E45=1,PH45=0),1000,0)),1000000))</f>
        <v/>
      </c>
      <c r="YP45">
        <f>IF($B45=0,1000000,IF(INDEX('計算A'!$D$60:$II$104,$B45,84)*GB45=1,IF(AND($E45=2,PI45=0),1000000,INDEX('計算A'!CI$110:CI$114,$F45+1)+IF(AND($E45=1,PI45=0),1000,0)),1000000))</f>
        <v/>
      </c>
      <c r="YQ45">
        <f>IF($B45=0,1000000,IF(INDEX('計算A'!$D$60:$II$104,$B45,85)*GC45=1,IF(AND($E45=2,PJ45=0),1000000,INDEX('計算A'!CJ$110:CJ$114,$F45+1)+IF(AND($E45=1,PJ45=0),1000,0)),1000000))</f>
        <v/>
      </c>
      <c r="YR45">
        <f>IF($B45=0,1000000,IF(INDEX('計算A'!$D$60:$II$104,$B45,86)*GD45=1,IF(AND($E45=2,PK45=0),1000000,INDEX('計算A'!CK$110:CK$114,$F45+1)+IF(AND($E45=1,PK45=0),1000,0)),1000000))</f>
        <v/>
      </c>
      <c r="YS45">
        <f>IF($B45=0,1000000,IF(INDEX('計算A'!$D$60:$II$104,$B45,87)*GE45=1,IF(AND($E45=2,PL45=0),1000000,INDEX('計算A'!CL$110:CL$114,$F45+1)+IF(AND($E45=1,PL45=0),1000,0)),1000000))</f>
        <v/>
      </c>
      <c r="YT45">
        <f>IF($B45=0,1000000,IF(INDEX('計算A'!$D$60:$II$104,$B45,88)*GF45=1,IF(AND($E45=2,PM45=0),1000000,INDEX('計算A'!CM$110:CM$114,$F45+1)+IF(AND($E45=1,PM45=0),1000,0)),1000000))</f>
        <v/>
      </c>
      <c r="YU45">
        <f>IF($B45=0,1000000,IF(INDEX('計算A'!$D$60:$II$104,$B45,89)*GG45=1,IF(AND($E45=2,PN45=0),1000000,INDEX('計算A'!CN$110:CN$114,$F45+1)+IF(AND($E45=1,PN45=0),1000,0)),1000000))</f>
        <v/>
      </c>
      <c r="YV45">
        <f>IF($B45=0,1000000,IF(INDEX('計算A'!$D$60:$II$104,$B45,90)*GH45=1,IF(AND($E45=2,PO45=0),1000000,INDEX('計算A'!CO$110:CO$114,$F45+1)+IF(AND($E45=1,PO45=0),1000,0)),1000000))</f>
        <v/>
      </c>
      <c r="YW45">
        <f>IF($B45=0,1000000,IF(INDEX('計算A'!$D$60:$II$104,$B45,91)*GI45=1,IF(AND($E45=2,PP45=0),1000000,INDEX('計算A'!CP$110:CP$114,$F45+1)+IF(AND($E45=1,PP45=0),1000,0)),1000000))</f>
        <v/>
      </c>
      <c r="YX45">
        <f>IF($B45=0,1000000,IF(INDEX('計算A'!$D$60:$II$104,$B45,92)*GJ45=1,IF(AND($E45=2,PQ45=0),1000000,INDEX('計算A'!CQ$110:CQ$114,$F45+1)+IF(AND($E45=1,PQ45=0),1000,0)),1000000))</f>
        <v/>
      </c>
      <c r="YY45">
        <f>IF($B45=0,1000000,IF(INDEX('計算A'!$D$60:$II$104,$B45,93)*GK45=1,IF(AND($E45=2,PR45=0),1000000,INDEX('計算A'!CR$110:CR$114,$F45+1)+IF(AND($E45=1,PR45=0),1000,0)),1000000))</f>
        <v/>
      </c>
      <c r="YZ45">
        <f>IF($B45=0,1000000,IF(INDEX('計算A'!$D$60:$II$104,$B45,94)*GL45=1,IF(AND($E45=2,PS45=0),1000000,INDEX('計算A'!CS$110:CS$114,$F45+1)+IF(AND($E45=1,PS45=0),1000,0)),1000000))</f>
        <v/>
      </c>
      <c r="ZA45">
        <f>IF($B45=0,1000000,IF(INDEX('計算A'!$D$60:$II$104,$B45,95)*GM45=1,IF(AND($E45=2,PT45=0),1000000,INDEX('計算A'!CT$110:CT$114,$F45+1)+IF(AND($E45=1,PT45=0),1000,0)),1000000))</f>
        <v/>
      </c>
      <c r="ZB45">
        <f>IF($B45=0,1000000,IF(INDEX('計算A'!$D$60:$II$104,$B45,96)*GN45=1,IF(AND($E45=2,PU45=0),1000000,INDEX('計算A'!CU$110:CU$114,$F45+1)+IF(AND($E45=1,PU45=0),1000,0)),1000000))</f>
        <v/>
      </c>
      <c r="ZC45">
        <f>IF($B45=0,1000000,IF(INDEX('計算A'!$D$60:$II$104,$B45,97)*GO45=1,IF(AND($E45=2,PV45=0),1000000,INDEX('計算A'!CV$110:CV$114,$F45+1)+IF(AND($E45=1,PV45=0),1000,0)),1000000))</f>
        <v/>
      </c>
      <c r="ZD45">
        <f>IF($B45=0,1000000,IF(INDEX('計算A'!$D$60:$II$104,$B45,98)*GP45=1,IF(AND($E45=2,PW45=0),1000000,INDEX('計算A'!CW$110:CW$114,$F45+1)+IF(AND($E45=1,PW45=0),1000,0)),1000000))</f>
        <v/>
      </c>
      <c r="ZE45">
        <f>IF($B45=0,1000000,IF(INDEX('計算A'!$D$60:$II$104,$B45,99)*GQ45=1,IF(AND($E45=2,PX45=0),1000000,INDEX('計算A'!CX$110:CX$114,$F45+1)+IF(AND($E45=1,PX45=0),1000,0)),1000000))</f>
        <v/>
      </c>
      <c r="ZF45">
        <f>IF($B45=0,1000000,IF(INDEX('計算A'!$D$60:$II$104,$B45,100)*GR45=1,IF(AND($E45=2,PY45=0),1000000,INDEX('計算A'!CY$110:CY$114,$F45+1)+IF(AND($E45=1,PY45=0),1000,0)),1000000))</f>
        <v/>
      </c>
      <c r="ZG45">
        <f>IF($B45=0,1000000,IF(INDEX('計算A'!$D$60:$II$104,$B45,101)*GS45=1,IF(AND($E45=2,PZ45=0),1000000,INDEX('計算A'!CZ$110:CZ$114,$F45+1)+IF(AND($E45=1,PZ45=0),1000,0)),1000000))</f>
        <v/>
      </c>
      <c r="ZH45">
        <f>IF($B45=0,1000000,IF(INDEX('計算A'!$D$60:$II$104,$B45,102)*GT45=1,IF(AND($E45=2,QA45=0),1000000,INDEX('計算A'!DA$110:DA$114,$F45+1)+IF(AND($E45=1,QA45=0),1000,0)),1000000))</f>
        <v/>
      </c>
      <c r="ZI45">
        <f>IF($B45=0,1000000,IF(INDEX('計算A'!$D$60:$II$104,$B45,103)*GU45=1,IF(AND($E45=2,QB45=0),1000000,INDEX('計算A'!DB$110:DB$114,$F45+1)+IF(AND($E45=1,QB45=0),1000,0)),1000000))</f>
        <v/>
      </c>
      <c r="ZJ45">
        <f>IF($B45=0,1000000,IF(INDEX('計算A'!$D$60:$II$104,$B45,104)*GV45=1,IF(AND($E45=2,QC45=0),1000000,INDEX('計算A'!DC$110:DC$114,$F45+1)+IF(AND($E45=1,QC45=0),1000,0)),1000000))</f>
        <v/>
      </c>
      <c r="ZK45">
        <f>IF($B45=0,1000000,IF(INDEX('計算A'!$D$60:$II$104,$B45,105)*GW45=1,IF(AND($E45=2,QD45=0),1000000,INDEX('計算A'!DD$110:DD$114,$F45+1)+IF(AND($E45=1,QD45=0),1000,0)),1000000))</f>
        <v/>
      </c>
      <c r="ZL45">
        <f>IF($B45=0,1000000,IF(INDEX('計算A'!$D$60:$II$104,$B45,106)*GX45=1,IF(AND($E45=2,QE45=0),1000000,INDEX('計算A'!DE$110:DE$114,$F45+1)+IF(AND($E45=1,QE45=0),1000,0)),1000000))</f>
        <v/>
      </c>
      <c r="ZM45">
        <f>IF($B45=0,1000000,IF(INDEX('計算A'!$D$60:$II$104,$B45,107)*GY45=1,IF(AND($E45=2,QF45=0),1000000,INDEX('計算A'!DF$110:DF$114,$F45+1)+IF(AND($E45=1,QF45=0),1000,0)),1000000))</f>
        <v/>
      </c>
      <c r="ZN45">
        <f>IF($B45=0,1000000,IF(INDEX('計算A'!$D$60:$II$104,$B45,108)*GZ45=1,IF(AND($E45=2,QG45=0),1000000,INDEX('計算A'!DG$110:DG$114,$F45+1)+IF(AND($E45=1,QG45=0),1000,0)),1000000))</f>
        <v/>
      </c>
      <c r="ZO45">
        <f>IF($B45=0,1000000,IF(INDEX('計算A'!$D$60:$II$104,$B45,109)*HA45=1,IF(AND($E45=2,QH45=0),1000000,INDEX('計算A'!DH$110:DH$114,$F45+1)+IF(AND($E45=1,QH45=0),1000,0)),1000000))</f>
        <v/>
      </c>
      <c r="ZP45">
        <f>IF($B45=0,1000000,IF(INDEX('計算A'!$D$60:$II$104,$B45,110)*HB45=1,IF(AND($E45=2,QI45=0),1000000,INDEX('計算A'!DI$110:DI$114,$F45+1)+IF(AND($E45=1,QI45=0),1000,0)),1000000))</f>
        <v/>
      </c>
      <c r="ZQ45">
        <f>IF($B45=0,1000000,IF(INDEX('計算A'!$D$60:$II$104,$B45,111)*HC45=1,IF(AND($E45=2,QJ45=0),1000000,INDEX('計算A'!DJ$110:DJ$114,$F45+1)+IF(AND($E45=1,QJ45=0),1000,0)),1000000))</f>
        <v/>
      </c>
      <c r="ZR45">
        <f>IF($B45=0,1000000,IF(INDEX('計算A'!$D$60:$II$104,$B45,112)*HD45=1,IF(AND($E45=2,QK45=0),1000000,INDEX('計算A'!DK$110:DK$114,$F45+1)+IF(AND($E45=1,QK45=0),1000,0)),1000000))</f>
        <v/>
      </c>
      <c r="ZS45">
        <f>IF($B45=0,1000000,IF(INDEX('計算A'!$D$60:$II$104,$B45,113)*HE45=1,IF(AND($E45=2,QL45=0),1000000,INDEX('計算A'!DL$110:DL$114,$F45+1)+IF(AND($E45=1,QL45=0),1000,0)),1000000))</f>
        <v/>
      </c>
      <c r="ZT45">
        <f>IF($B45=0,1000000,IF(INDEX('計算A'!$D$60:$II$104,$B45,114)*HF45=1,IF(AND($E45=2,QM45=0),1000000,INDEX('計算A'!DM$110:DM$114,$F45+1)+IF(AND($E45=1,QM45=0),1000,0)),1000000))</f>
        <v/>
      </c>
      <c r="ZU45">
        <f>IF($B45=0,1000000,IF(INDEX('計算A'!$D$60:$II$104,$B45,115)*HG45=1,IF(AND($E45=2,QN45=0),1000000,INDEX('計算A'!DN$110:DN$114,$F45+1)+IF(AND($E45=1,QN45=0),1000,0)),1000000))</f>
        <v/>
      </c>
      <c r="ZV45">
        <f>IF($B45=0,1000000,IF(INDEX('計算A'!$D$60:$II$104,$B45,116)*HH45=1,IF(AND($E45=2,QO45=0),1000000,INDEX('計算A'!DO$110:DO$114,$F45+1)+IF(AND($E45=1,QO45=0),1000,0)),1000000))</f>
        <v/>
      </c>
      <c r="ZW45">
        <f>IF($B45=0,1000000,IF(INDEX('計算A'!$D$60:$II$104,$B45,117)*HI45=1,IF(AND($E45=2,QP45=0),1000000,INDEX('計算A'!DP$110:DP$114,$F45+1)+IF(AND($E45=1,QP45=0),1000,0)),1000000))</f>
        <v/>
      </c>
      <c r="ZX45">
        <f>IF($B45=0,1000000,IF(INDEX('計算A'!$D$60:$II$104,$B45,118)*HJ45=1,IF(AND($E45=2,QQ45=0),1000000,INDEX('計算A'!DQ$110:DQ$114,$F45+1)+IF(AND($E45=1,QQ45=0),1000,0)),1000000))</f>
        <v/>
      </c>
      <c r="ZY45">
        <f>IF($B45=0,1000000,IF(INDEX('計算A'!$D$60:$II$104,$B45,119)*HK45=1,IF(AND($E45=2,QR45=0),1000000,INDEX('計算A'!DR$110:DR$114,$F45+1)+IF(AND($E45=1,QR45=0),1000,0)),1000000))</f>
        <v/>
      </c>
      <c r="ZZ45">
        <f>IF($B45=0,1000000,IF(INDEX('計算A'!$D$60:$II$104,$B45,120)*HL45=1,IF(AND($E45=2,QS45=0),1000000,INDEX('計算A'!DS$110:DS$114,$F45+1)+IF(AND($E45=1,QS45=0),1000,0)),1000000))</f>
        <v/>
      </c>
      <c r="AAA45">
        <f>IF($B45=0,1000000,IF(INDEX('計算A'!$D$60:$II$104,$B45,121)*HM45=1,IF(AND($E45=2,QT45=0),1000000,INDEX('計算A'!DT$110:DT$114,$F45+1)+IF(AND($E45=1,QT45=0),1000,0)),1000000))</f>
        <v/>
      </c>
      <c r="AAB45">
        <f>IF($B45=0,1000000,IF(INDEX('計算A'!$D$60:$II$104,$B45,122)*HN45=1,IF(AND($E45=2,QU45=0),1000000,INDEX('計算A'!DU$110:DU$114,$F45+1)+IF(AND($E45=1,QU45=0),1000,0)),1000000))</f>
        <v/>
      </c>
      <c r="AAC45">
        <f>IF($B45=0,1000000,IF(INDEX('計算A'!$D$60:$II$104,$B45,123)*HO45=1,IF(AND($E45=2,QV45=0),1000000,INDEX('計算A'!DV$110:DV$114,$F45+1)+IF(AND($E45=1,QV45=0),1000,0)),1000000))</f>
        <v/>
      </c>
      <c r="AAD45">
        <f>IF($B45=0,1000000,IF(INDEX('計算A'!$D$60:$II$104,$B45,124)*HP45=1,IF(AND($E45=2,QW45=0),1000000,INDEX('計算A'!DW$110:DW$114,$F45+1)+IF(AND($E45=1,QW45=0),1000,0)),1000000))</f>
        <v/>
      </c>
      <c r="AAE45">
        <f>IF($B45=0,1000000,IF(INDEX('計算A'!$D$60:$II$104,$B45,125)*HQ45=1,IF(AND($E45=2,QX45=0),1000000,INDEX('計算A'!DX$110:DX$114,$F45+1)+IF(AND($E45=1,QX45=0),1000,0)),1000000))</f>
        <v/>
      </c>
      <c r="AAF45">
        <f>IF($B45=0,1000000,IF(INDEX('計算A'!$D$60:$II$104,$B45,126)*HR45=1,IF(AND($E45=2,QY45=0),1000000,INDEX('計算A'!DY$110:DY$114,$F45+1)+IF(AND($E45=1,QY45=0),1000,0)),1000000))</f>
        <v/>
      </c>
      <c r="AAG45">
        <f>IF($B45=0,1000000,IF(INDEX('計算A'!$D$60:$II$104,$B45,127)*HS45=1,IF(AND($E45=2,QZ45=0),1000000,INDEX('計算A'!DZ$110:DZ$114,$F45+1)+IF(AND($E45=1,QZ45=0),1000,0)),1000000))</f>
        <v/>
      </c>
      <c r="AAH45">
        <f>IF($B45=0,1000000,IF(INDEX('計算A'!$D$60:$II$104,$B45,128)*HT45=1,IF(AND($E45=2,RA45=0),1000000,INDEX('計算A'!EA$110:EA$114,$F45+1)+IF(AND($E45=1,RA45=0),1000,0)),1000000))</f>
        <v/>
      </c>
      <c r="AAI45">
        <f>IF($B45=0,1000000,IF(INDEX('計算A'!$D$60:$II$104,$B45,129)*HU45=1,IF(AND($E45=2,RB45=0),1000000,INDEX('計算A'!EB$110:EB$114,$F45+1)+IF(AND($E45=1,RB45=0),1000,0)),1000000))</f>
        <v/>
      </c>
      <c r="AAJ45">
        <f>IF($B45=0,1000000,IF(INDEX('計算A'!$D$60:$II$104,$B45,130)*HV45=1,IF(AND($E45=2,RC45=0),1000000,INDEX('計算A'!EC$110:EC$114,$F45+1)+IF(AND($E45=1,RC45=0),1000,0)),1000000))</f>
        <v/>
      </c>
      <c r="AAK45">
        <f>IF($B45=0,1000000,IF(INDEX('計算A'!$D$60:$II$104,$B45,131)*HW45=1,IF(AND($E45=2,RD45=0),1000000,INDEX('計算A'!ED$110:ED$114,$F45+1)+IF(AND($E45=1,RD45=0),1000,0)),1000000))</f>
        <v/>
      </c>
      <c r="AAL45">
        <f>IF($B45=0,1000000,IF(INDEX('計算A'!$D$60:$II$104,$B45,132)*HX45=1,IF(AND($E45=2,RE45=0),1000000,INDEX('計算A'!EE$110:EE$114,$F45+1)+IF(AND($E45=1,RE45=0),1000,0)),1000000))</f>
        <v/>
      </c>
      <c r="AAM45">
        <f>IF($B45=0,1000000,IF(INDEX('計算A'!$D$60:$II$104,$B45,133)*HY45=1,IF(AND($E45=2,RF45=0),1000000,INDEX('計算A'!EF$110:EF$114,$F45+1)+IF(AND($E45=1,RF45=0),1000,0)),1000000))</f>
        <v/>
      </c>
      <c r="AAN45">
        <f>IF($B45=0,1000000,IF(INDEX('計算A'!$D$60:$II$104,$B45,134)*HZ45=1,IF(AND($E45=2,RG45=0),1000000,INDEX('計算A'!EG$110:EG$114,$F45+1)+IF(AND($E45=1,RG45=0),1000,0)),1000000))</f>
        <v/>
      </c>
      <c r="AAO45">
        <f>IF($B45=0,1000000,IF(INDEX('計算A'!$D$60:$II$104,$B45,135)*IA45=1,IF(AND($E45=2,RH45=0),1000000,INDEX('計算A'!EH$110:EH$114,$F45+1)+IF(AND($E45=1,RH45=0),1000,0)),1000000))</f>
        <v/>
      </c>
      <c r="AAP45">
        <f>IF($B45=0,1000000,IF(INDEX('計算A'!$D$60:$II$104,$B45,136)*IB45=1,IF(AND($E45=2,RI45=0),1000000,INDEX('計算A'!EI$110:EI$114,$F45+1)+IF(AND($E45=1,RI45=0),1000,0)),1000000))</f>
        <v/>
      </c>
      <c r="AAQ45">
        <f>IF($B45=0,1000000,IF(INDEX('計算A'!$D$60:$II$104,$B45,137)*IC45=1,IF(AND($E45=2,RJ45=0),1000000,INDEX('計算A'!EJ$110:EJ$114,$F45+1)+IF(AND($E45=1,RJ45=0),1000,0)),1000000))</f>
        <v/>
      </c>
      <c r="AAR45">
        <f>IF($B45=0,1000000,IF(INDEX('計算A'!$D$60:$II$104,$B45,138)*ID45=1,IF(AND($E45=2,RK45=0),1000000,INDEX('計算A'!EK$110:EK$114,$F45+1)+IF(AND($E45=1,RK45=0),1000,0)),1000000))</f>
        <v/>
      </c>
      <c r="AAS45">
        <f>IF($B45=0,1000000,IF(INDEX('計算A'!$D$60:$II$104,$B45,139)*IE45=1,IF(AND($E45=2,RL45=0),1000000,INDEX('計算A'!EL$110:EL$114,$F45+1)+IF(AND($E45=1,RL45=0),1000,0)),1000000))</f>
        <v/>
      </c>
      <c r="AAT45">
        <f>IF($B45=0,1000000,IF(INDEX('計算A'!$D$60:$II$104,$B45,140)*IF45=1,IF(AND($E45=2,RM45=0),1000000,INDEX('計算A'!EM$110:EM$114,$F45+1)+IF(AND($E45=1,RM45=0),1000,0)),1000000))</f>
        <v/>
      </c>
      <c r="AAU45">
        <f>IF($B45=0,1000000,IF(INDEX('計算A'!$D$60:$II$104,$B45,141)*IG45=1,IF(AND($E45=2,RN45=0),1000000,INDEX('計算A'!EN$110:EN$114,$F45+1)+IF(AND($E45=1,RN45=0),1000,0)),1000000))</f>
        <v/>
      </c>
      <c r="AAV45">
        <f>IF($B45=0,1000000,IF(INDEX('計算A'!$D$60:$II$104,$B45,142)*IH45=1,IF(AND($E45=2,RO45=0),1000000,INDEX('計算A'!EO$110:EO$114,$F45+1)+IF(AND($E45=1,RO45=0),1000,0)),1000000))</f>
        <v/>
      </c>
      <c r="AAW45">
        <f>IF($B45=0,1000000,IF(INDEX('計算A'!$D$60:$II$104,$B45,143)*II45=1,IF(AND($E45=2,RP45=0),1000000,INDEX('計算A'!EP$110:EP$114,$F45+1)+IF(AND($E45=1,RP45=0),1000,0)),1000000))</f>
        <v/>
      </c>
      <c r="AAX45">
        <f>IF($B45=0,1000000,IF(INDEX('計算A'!$D$60:$II$104,$B45,144)*IJ45=1,IF(AND($E45=2,RQ45=0),1000000,INDEX('計算A'!EQ$110:EQ$114,$F45+1)+IF(AND($E45=1,RQ45=0),1000,0)),1000000))</f>
        <v/>
      </c>
      <c r="AAY45">
        <f>IF($B45=0,1000000,IF(INDEX('計算A'!$D$60:$II$104,$B45,145)*IK45=1,IF(AND($E45=2,RR45=0),1000000,INDEX('計算A'!ER$110:ER$114,$F45+1)+IF(AND($E45=1,RR45=0),1000,0)),1000000))</f>
        <v/>
      </c>
      <c r="AAZ45">
        <f>IF($B45=0,1000000,IF(INDEX('計算A'!$D$60:$II$104,$B45,146)*IL45=1,IF(AND($E45=2,RS45=0),1000000,INDEX('計算A'!ES$110:ES$114,$F45+1)+IF(AND($E45=1,RS45=0),1000,0)),1000000))</f>
        <v/>
      </c>
      <c r="ABA45">
        <f>IF($B45=0,1000000,IF(INDEX('計算A'!$D$60:$II$104,$B45,147)*IM45=1,IF(AND($E45=2,RT45=0),1000000,INDEX('計算A'!ET$110:ET$114,$F45+1)+IF(AND($E45=1,RT45=0),1000,0)),1000000))</f>
        <v/>
      </c>
      <c r="ABB45">
        <f>IF($B45=0,1000000,IF(INDEX('計算A'!$D$60:$II$104,$B45,148)*IN45=1,IF(AND($E45=2,RU45=0),1000000,INDEX('計算A'!EU$110:EU$114,$F45+1)+IF(AND($E45=1,RU45=0),1000,0)),1000000))</f>
        <v/>
      </c>
      <c r="ABC45">
        <f>IF($B45=0,1000000,IF(INDEX('計算A'!$D$60:$II$104,$B45,149)*IO45=1,IF(AND($E45=2,RV45=0),1000000,INDEX('計算A'!EV$110:EV$114,$F45+1)+IF(AND($E45=1,RV45=0),1000,0)),1000000))</f>
        <v/>
      </c>
      <c r="ABD45">
        <f>IF($B45=0,1000000,IF(INDEX('計算A'!$D$60:$II$104,$B45,150)*IP45=1,IF(AND($E45=2,RW45=0),1000000,INDEX('計算A'!EW$110:EW$114,$F45+1)+IF(AND($E45=1,RW45=0),1000,0)),1000000))</f>
        <v/>
      </c>
      <c r="ABE45">
        <f>IF($B45=0,1000000,IF(INDEX('計算A'!$D$60:$II$104,$B45,151)*IQ45=1,IF(AND($E45=2,RX45=0),1000000,INDEX('計算A'!EX$110:EX$114,$F45+1)+IF(AND($E45=1,RX45=0),1000,0)),1000000))</f>
        <v/>
      </c>
      <c r="ABF45">
        <f>IF($B45=0,1000000,IF(INDEX('計算A'!$D$60:$II$104,$B45,152)*IR45=1,IF(AND($E45=2,RY45=0),1000000,INDEX('計算A'!EY$110:EY$114,$F45+1)+IF(AND($E45=1,RY45=0),1000,0)),1000000))</f>
        <v/>
      </c>
      <c r="ABG45">
        <f>IF($B45=0,1000000,IF(INDEX('計算A'!$D$60:$II$104,$B45,153)*IS45=1,IF(AND($E45=2,RZ45=0),1000000,INDEX('計算A'!EZ$110:EZ$114,$F45+1)+IF(AND($E45=1,RZ45=0),1000,0)),1000000))</f>
        <v/>
      </c>
      <c r="ABH45">
        <f>IF($B45=0,1000000,IF(INDEX('計算A'!$D$60:$II$104,$B45,154)*IT45=1,IF(AND($E45=2,SA45=0),1000000,INDEX('計算A'!FA$110:FA$114,$F45+1)+IF(AND($E45=1,SA45=0),1000,0)),1000000))</f>
        <v/>
      </c>
      <c r="ABI45">
        <f>IF($B45=0,1000000,IF(INDEX('計算A'!$D$60:$II$104,$B45,155)*IU45=1,IF(AND($E45=2,SB45=0),1000000,INDEX('計算A'!FB$110:FB$114,$F45+1)+IF(AND($E45=1,SB45=0),1000,0)),1000000))</f>
        <v/>
      </c>
      <c r="ABJ45">
        <f>IF($B45=0,1000000,IF(INDEX('計算A'!$D$60:$II$104,$B45,156)*IV45=1,IF(AND($E45=2,SC45=0),1000000,INDEX('計算A'!FC$110:FC$114,$F45+1)+IF(AND($E45=1,SC45=0),1000,0)),1000000))</f>
        <v/>
      </c>
      <c r="ABK45">
        <f>IF($B45=0,1000000,IF(INDEX('計算A'!$D$60:$II$104,$B45,157)*IW45=1,IF(AND($E45=2,SD45=0),1000000,INDEX('計算A'!FD$110:FD$114,$F45+1)+IF(AND($E45=1,SD45=0),1000,0)),1000000))</f>
        <v/>
      </c>
      <c r="ABL45">
        <f>IF($B45=0,1000000,IF(INDEX('計算A'!$D$60:$II$104,$B45,158)*IX45=1,IF(AND($E45=2,SE45=0),1000000,INDEX('計算A'!FE$110:FE$114,$F45+1)+IF(AND($E45=1,SE45=0),1000,0)),1000000))</f>
        <v/>
      </c>
      <c r="ABM45">
        <f>IF($B45=0,1000000,IF(INDEX('計算A'!$D$60:$II$104,$B45,159)*IY45=1,IF(AND($E45=2,SF45=0),1000000,INDEX('計算A'!FF$110:FF$114,$F45+1)+IF(AND($E45=1,SF45=0),1000,0)),1000000))</f>
        <v/>
      </c>
      <c r="ABN45">
        <f>IF($B45=0,1000000,IF(INDEX('計算A'!$D$60:$II$104,$B45,160)*IZ45=1,IF(AND($E45=2,SG45=0),1000000,INDEX('計算A'!FG$110:FG$114,$F45+1)+IF(AND($E45=1,SG45=0),1000,0)),1000000))</f>
        <v/>
      </c>
      <c r="ABO45">
        <f>IF($B45=0,1000000,IF(INDEX('計算A'!$D$60:$II$104,$B45,161)*JA45=1,IF(AND($E45=2,SH45=0),1000000,INDEX('計算A'!FH$110:FH$114,$F45+1)+IF(AND($E45=1,SH45=0),1000,0)),1000000))</f>
        <v/>
      </c>
      <c r="ABP45">
        <f>IF($B45=0,1000000,IF(INDEX('計算A'!$D$60:$II$104,$B45,162)*JB45=1,IF(AND($E45=2,SI45=0),1000000,INDEX('計算A'!FI$110:FI$114,$F45+1)+IF(AND($E45=1,SI45=0),1000,0)),1000000))</f>
        <v/>
      </c>
      <c r="ABQ45">
        <f>IF($B45=0,1000000,IF(INDEX('計算A'!$D$60:$II$104,$B45,163)*JC45=1,IF(AND($E45=2,SJ45=0),1000000,INDEX('計算A'!FJ$110:FJ$114,$F45+1)+IF(AND($E45=1,SJ45=0),1000,0)),1000000))</f>
        <v/>
      </c>
      <c r="ABR45">
        <f>IF($B45=0,1000000,IF(INDEX('計算A'!$D$60:$II$104,$B45,164)*JD45=1,IF(AND($E45=2,SK45=0),1000000,INDEX('計算A'!FK$110:FK$114,$F45+1)+IF(AND($E45=1,SK45=0),1000,0)),1000000))</f>
        <v/>
      </c>
      <c r="ABS45">
        <f>IF($B45=0,1000000,IF(INDEX('計算A'!$D$60:$II$104,$B45,165)*JE45=1,IF(AND($E45=2,SL45=0),1000000,INDEX('計算A'!FL$110:FL$114,$F45+1)+IF(AND($E45=1,SL45=0),1000,0)),1000000))</f>
        <v/>
      </c>
      <c r="ABT45">
        <f>IF($B45=0,1000000,IF(INDEX('計算A'!$D$60:$II$104,$B45,166)*JF45=1,IF(AND($E45=2,SM45=0),1000000,INDEX('計算A'!FM$110:FM$114,$F45+1)+IF(AND($E45=1,SM45=0),1000,0)),1000000))</f>
        <v/>
      </c>
      <c r="ABU45">
        <f>IF($B45=0,1000000,IF(INDEX('計算A'!$D$60:$II$104,$B45,167)*JG45=1,IF(AND($E45=2,SN45=0),1000000,INDEX('計算A'!FN$110:FN$114,$F45+1)+IF(AND($E45=1,SN45=0),1000,0)),1000000))</f>
        <v/>
      </c>
      <c r="ABV45">
        <f>IF($B45=0,1000000,IF(INDEX('計算A'!$D$60:$II$104,$B45,168)*JH45=1,IF(AND($E45=2,SO45=0),1000000,INDEX('計算A'!FO$110:FO$114,$F45+1)+IF(AND($E45=1,SO45=0),1000,0)),1000000))</f>
        <v/>
      </c>
      <c r="ABW45">
        <f>IF($B45=0,1000000,IF(INDEX('計算A'!$D$60:$II$104,$B45,169)*JI45=1,IF(AND($E45=2,SP45=0),1000000,INDEX('計算A'!FP$110:FP$114,$F45+1)+IF(AND($E45=1,SP45=0),1000,0)),1000000))</f>
        <v/>
      </c>
      <c r="ABX45">
        <f>IF($B45=0,1000000,IF(INDEX('計算A'!$D$60:$II$104,$B45,170)*JJ45=1,IF(AND($E45=2,SQ45=0),1000000,INDEX('計算A'!FQ$110:FQ$114,$F45+1)+IF(AND($E45=1,SQ45=0),1000,0)),1000000))</f>
        <v/>
      </c>
      <c r="ABY45">
        <f>IF($B45=0,1000000,IF(INDEX('計算A'!$D$60:$II$104,$B45,171)*JK45=1,IF(AND($E45=2,SR45=0),1000000,INDEX('計算A'!FR$110:FR$114,$F45+1)+IF(AND($E45=1,SR45=0),1000,0)),1000000))</f>
        <v/>
      </c>
      <c r="ABZ45">
        <f>IF($B45=0,1000000,IF(INDEX('計算A'!$D$60:$II$104,$B45,172)*JL45=1,IF(AND($E45=2,SS45=0),1000000,INDEX('計算A'!FS$110:FS$114,$F45+1)+IF(AND($E45=1,SS45=0),1000,0)),1000000))</f>
        <v/>
      </c>
      <c r="ACA45">
        <f>IF($B45=0,1000000,IF(INDEX('計算A'!$D$60:$II$104,$B45,173)*JM45=1,IF(AND($E45=2,ST45=0),1000000,INDEX('計算A'!FT$110:FT$114,$F45+1)+IF(AND($E45=1,ST45=0),1000,0)),1000000))</f>
        <v/>
      </c>
      <c r="ACB45">
        <f>IF($B45=0,1000000,IF(INDEX('計算A'!$D$60:$II$104,$B45,174)*JN45=1,IF(AND($E45=2,SU45=0),1000000,INDEX('計算A'!FU$110:FU$114,$F45+1)+IF(AND($E45=1,SU45=0),1000,0)),1000000))</f>
        <v/>
      </c>
      <c r="ACC45">
        <f>IF($B45=0,1000000,IF(INDEX('計算A'!$D$60:$II$104,$B45,175)*JO45=1,IF(AND($E45=2,SV45=0),1000000,INDEX('計算A'!FV$110:FV$114,$F45+1)+IF(AND($E45=1,SV45=0),1000,0)),1000000))</f>
        <v/>
      </c>
      <c r="ACD45">
        <f>IF($B45=0,1000000,IF(INDEX('計算A'!$D$60:$II$104,$B45,176)*JP45=1,IF(AND($E45=2,SW45=0),1000000,INDEX('計算A'!FW$110:FW$114,$F45+1)+IF(AND($E45=1,SW45=0),1000,0)),1000000))</f>
        <v/>
      </c>
      <c r="ACE45">
        <f>IF($B45=0,1000000,IF(INDEX('計算A'!$D$60:$II$104,$B45,177)*JQ45=1,IF(AND($E45=2,SX45=0),1000000,INDEX('計算A'!FX$110:FX$114,$F45+1)+IF(AND($E45=1,SX45=0),1000,0)),1000000))</f>
        <v/>
      </c>
      <c r="ACF45">
        <f>IF($B45=0,1000000,IF(INDEX('計算A'!$D$60:$II$104,$B45,178)*JR45=1,IF(AND($E45=2,SY45=0),1000000,INDEX('計算A'!FY$110:FY$114,$F45+1)+IF(AND($E45=1,SY45=0),1000,0)),1000000))</f>
        <v/>
      </c>
      <c r="ACG45">
        <f>IF($B45=0,1000000,IF(INDEX('計算A'!$D$60:$II$104,$B45,179)*JS45=1,IF(AND($E45=2,SZ45=0),1000000,INDEX('計算A'!FZ$110:FZ$114,$F45+1)+IF(AND($E45=1,SZ45=0),1000,0)),1000000))</f>
        <v/>
      </c>
      <c r="ACH45">
        <f>IF($B45=0,1000000,IF(INDEX('計算A'!$D$60:$II$104,$B45,180)*JT45=1,IF(AND($E45=2,TA45=0),1000000,INDEX('計算A'!GA$110:GA$114,$F45+1)+IF(AND($E45=1,TA45=0),1000,0)),1000000))</f>
        <v/>
      </c>
      <c r="ACI45">
        <f>IF($B45=0,1000000,IF(INDEX('計算A'!$D$60:$II$104,$B45,181)*JU45=1,IF(AND($E45=2,TB45=0),1000000,INDEX('計算A'!GB$110:GB$114,$F45+1)+IF(AND($E45=1,TB45=0),1000,0)),1000000))</f>
        <v/>
      </c>
      <c r="ACJ45">
        <f>IF($B45=0,1000000,IF(INDEX('計算A'!$D$60:$II$104,$B45,182)*JV45=1,IF(AND($E45=2,TC45=0),1000000,INDEX('計算A'!GC$110:GC$114,$F45+1)+IF(AND($E45=1,TC45=0),1000,0)),1000000))</f>
        <v/>
      </c>
      <c r="ACK45">
        <f>IF($B45=0,1000000,IF(INDEX('計算A'!$D$60:$II$104,$B45,183)*JW45=1,IF(AND($E45=2,TD45=0),1000000,INDEX('計算A'!GD$110:GD$114,$F45+1)+IF(AND($E45=1,TD45=0),1000,0)),1000000))</f>
        <v/>
      </c>
      <c r="ACL45">
        <f>IF($B45=0,1000000,IF(INDEX('計算A'!$D$60:$II$104,$B45,184)*JX45=1,IF(AND($E45=2,TE45=0),1000000,INDEX('計算A'!GE$110:GE$114,$F45+1)+IF(AND($E45=1,TE45=0),1000,0)),1000000))</f>
        <v/>
      </c>
      <c r="ACM45">
        <f>IF($B45=0,1000000,IF(INDEX('計算A'!$D$60:$II$104,$B45,185)*JY45=1,IF(AND($E45=2,TF45=0),1000000,INDEX('計算A'!GF$110:GF$114,$F45+1)+IF(AND($E45=1,TF45=0),1000,0)),1000000))</f>
        <v/>
      </c>
      <c r="ACN45">
        <f>IF($B45=0,1000000,IF(INDEX('計算A'!$D$60:$II$104,$B45,186)*JZ45=1,IF(AND($E45=2,TG45=0),1000000,INDEX('計算A'!GG$110:GG$114,$F45+1)+IF(AND($E45=1,TG45=0),1000,0)),1000000))</f>
        <v/>
      </c>
      <c r="ACO45">
        <f>IF($B45=0,1000000,IF(INDEX('計算A'!$D$60:$II$104,$B45,187)*KA45=1,IF(AND($E45=2,TH45=0),1000000,INDEX('計算A'!GH$110:GH$114,$F45+1)+IF(AND($E45=1,TH45=0),1000,0)),1000000))</f>
        <v/>
      </c>
      <c r="ACP45">
        <f>IF($B45=0,1000000,IF(INDEX('計算A'!$D$60:$II$104,$B45,188)*KB45=1,IF(AND($E45=2,TI45=0),1000000,INDEX('計算A'!GI$110:GI$114,$F45+1)+IF(AND($E45=1,TI45=0),1000,0)),1000000))</f>
        <v/>
      </c>
      <c r="ACQ45">
        <f>IF($B45=0,1000000,IF(INDEX('計算A'!$D$60:$II$104,$B45,189)*KC45=1,IF(AND($E45=2,TJ45=0),1000000,INDEX('計算A'!GJ$110:GJ$114,$F45+1)+IF(AND($E45=1,TJ45=0),1000,0)),1000000))</f>
        <v/>
      </c>
      <c r="ACR45">
        <f>IF($B45=0,1000000,IF(INDEX('計算A'!$D$60:$II$104,$B45,190)*KD45=1,IF(AND($E45=2,TK45=0),1000000,INDEX('計算A'!GK$110:GK$114,$F45+1)+IF(AND($E45=1,TK45=0),1000,0)),1000000))</f>
        <v/>
      </c>
      <c r="ACS45">
        <f>IF($B45=0,1000000,IF(INDEX('計算A'!$D$60:$II$104,$B45,191)*KE45=1,IF(AND($E45=2,TL45=0),1000000,INDEX('計算A'!GL$110:GL$114,$F45+1)+IF(AND($E45=1,TL45=0),1000,0)),1000000))</f>
        <v/>
      </c>
      <c r="ACT45">
        <f>IF($B45=0,1000000,IF(INDEX('計算A'!$D$60:$II$104,$B45,192)*KF45=1,IF(AND($E45=2,TM45=0),1000000,INDEX('計算A'!GM$110:GM$114,$F45+1)+IF(AND($E45=1,TM45=0),1000,0)),1000000))</f>
        <v/>
      </c>
      <c r="ACU45">
        <f>IF($B45=0,1000000,IF(INDEX('計算A'!$D$60:$II$104,$B45,193)*KG45=1,IF(AND($E45=2,TN45=0),1000000,INDEX('計算A'!GN$110:GN$114,$F45+1)+IF(AND($E45=1,TN45=0),1000,0)),1000000))</f>
        <v/>
      </c>
      <c r="ACV45">
        <f>IF($B45=0,1000000,IF(INDEX('計算A'!$D$60:$II$104,$B45,194)*KH45=1,IF(AND($E45=2,TO45=0),1000000,INDEX('計算A'!GO$110:GO$114,$F45+1)+IF(AND($E45=1,TO45=0),1000,0)),1000000))</f>
        <v/>
      </c>
      <c r="ACW45">
        <f>IF($B45=0,1000000,IF(INDEX('計算A'!$D$60:$II$104,$B45,195)*KI45=1,IF(AND($E45=2,TP45=0),1000000,INDEX('計算A'!GP$110:GP$114,$F45+1)+IF(AND($E45=1,TP45=0),1000,0)),1000000))</f>
        <v/>
      </c>
      <c r="ACX45">
        <f>IF($B45=0,1000000,IF(INDEX('計算A'!$D$60:$II$104,$B45,196)*KJ45=1,IF(AND($E45=2,TQ45=0),1000000,INDEX('計算A'!GQ$110:GQ$114,$F45+1)+IF(AND($E45=1,TQ45=0),1000,0)),1000000))</f>
        <v/>
      </c>
      <c r="ACY45">
        <f>IF($B45=0,1000000,IF(INDEX('計算A'!$D$60:$II$104,$B45,197)*KK45=1,IF(AND($E45=2,TR45=0),1000000,INDEX('計算A'!GR$110:GR$114,$F45+1)+IF(AND($E45=1,TR45=0),1000,0)),1000000))</f>
        <v/>
      </c>
      <c r="ACZ45">
        <f>IF($B45=0,1000000,IF(INDEX('計算A'!$D$60:$II$104,$B45,198)*KL45=1,IF(AND($E45=2,TS45=0),1000000,INDEX('計算A'!GS$110:GS$114,$F45+1)+IF(AND($E45=1,TS45=0),1000,0)),1000000))</f>
        <v/>
      </c>
      <c r="ADA45">
        <f>IF($B45=0,1000000,IF(INDEX('計算A'!$D$60:$II$104,$B45,199)*KM45=1,IF(AND($E45=2,TT45=0),1000000,INDEX('計算A'!GT$110:GT$114,$F45+1)+IF(AND($E45=1,TT45=0),1000,0)),1000000))</f>
        <v/>
      </c>
      <c r="ADB45">
        <f>IF($B45=0,1000000,IF(INDEX('計算A'!$D$60:$II$104,$B45,200)*KN45=1,IF(AND($E45=2,TU45=0),1000000,INDEX('計算A'!GU$110:GU$114,$F45+1)+IF(AND($E45=1,TU45=0),1000,0)),1000000))</f>
        <v/>
      </c>
      <c r="ADC45">
        <f>IF($B45=0,1000000,IF(INDEX('計算A'!$D$60:$II$104,$B45,201)*KO45=1,IF(AND($E45=2,TV45=0),1000000,INDEX('計算A'!GV$110:GV$114,$F45+1)+IF(AND($E45=1,TV45=0),1000,0)),1000000))</f>
        <v/>
      </c>
      <c r="ADD45">
        <f>IF($B45=0,1000000,IF(INDEX('計算A'!$D$60:$II$104,$B45,202)*KP45=1,IF(AND($E45=2,TW45=0),1000000,INDEX('計算A'!GW$110:GW$114,$F45+1)+IF(AND($E45=1,TW45=0),1000,0)),1000000))</f>
        <v/>
      </c>
      <c r="ADE45">
        <f>IF($B45=0,1000000,IF(INDEX('計算A'!$D$60:$II$104,$B45,203)*KQ45=1,IF(AND($E45=2,TX45=0),1000000,INDEX('計算A'!GX$110:GX$114,$F45+1)+IF(AND($E45=1,TX45=0),1000,0)),1000000))</f>
        <v/>
      </c>
      <c r="ADF45">
        <f>IF($B45=0,1000000,IF(INDEX('計算A'!$D$60:$II$104,$B45,204)*KR45=1,IF(AND($E45=2,TY45=0),1000000,INDEX('計算A'!GY$110:GY$114,$F45+1)+IF(AND($E45=1,TY45=0),1000,0)),1000000))</f>
        <v/>
      </c>
      <c r="ADG45">
        <f>IF($B45=0,1000000,IF(INDEX('計算A'!$D$60:$II$104,$B45,205)*KS45=1,IF(AND($E45=2,TZ45=0),1000000,INDEX('計算A'!GZ$110:GZ$114,$F45+1)+IF(AND($E45=1,TZ45=0),1000,0)),1000000))</f>
        <v/>
      </c>
      <c r="ADH45">
        <f>IF($B45=0,1000000,IF(INDEX('計算A'!$D$60:$II$104,$B45,206)*KT45=1,IF(AND($E45=2,UA45=0),1000000,INDEX('計算A'!HA$110:HA$114,$F45+1)+IF(AND($E45=1,UA45=0),1000,0)),1000000))</f>
        <v/>
      </c>
      <c r="ADI45">
        <f>IF($B45=0,1000000,IF(INDEX('計算A'!$D$60:$II$104,$B45,207)*KU45=1,IF(AND($E45=2,UB45=0),1000000,INDEX('計算A'!HB$110:HB$114,$F45+1)+IF(AND($E45=1,UB45=0),1000,0)),1000000))</f>
        <v/>
      </c>
      <c r="ADJ45">
        <f>IF($B45=0,1000000,IF(INDEX('計算A'!$D$60:$II$104,$B45,208)*KV45=1,IF(AND($E45=2,UC45=0),1000000,INDEX('計算A'!HC$110:HC$114,$F45+1)+IF(AND($E45=1,UC45=0),1000,0)),1000000))</f>
        <v/>
      </c>
      <c r="ADK45">
        <f>IF($B45=0,1000000,IF(INDEX('計算A'!$D$60:$II$104,$B45,209)*KW45=1,IF(AND($E45=2,UD45=0),1000000,INDEX('計算A'!HD$110:HD$114,$F45+1)+IF(AND($E45=1,UD45=0),1000,0)),1000000))</f>
        <v/>
      </c>
      <c r="ADL45">
        <f>IF($B45=0,1000000,IF(INDEX('計算A'!$D$60:$II$104,$B45,210)*KX45=1,IF(AND($E45=2,UE45=0),1000000,INDEX('計算A'!HE$110:HE$114,$F45+1)+IF(AND($E45=1,UE45=0),1000,0)),1000000))</f>
        <v/>
      </c>
      <c r="ADM45">
        <f>IF($B45=0,1000000,IF(INDEX('計算A'!$D$60:$II$104,$B45,211)*KY45=1,IF(AND($E45=2,UF45=0),1000000,INDEX('計算A'!HF$110:HF$114,$F45+1)+IF(AND($E45=1,UF45=0),1000,0)),1000000))</f>
        <v/>
      </c>
      <c r="ADN45">
        <f>IF($B45=0,1000000,IF(INDEX('計算A'!$D$60:$II$104,$B45,212)*KZ45=1,IF(AND($E45=2,UG45=0),1000000,INDEX('計算A'!HG$110:HG$114,$F45+1)+IF(AND($E45=1,UG45=0),1000,0)),1000000))</f>
        <v/>
      </c>
      <c r="ADO45">
        <f>IF($B45=0,1000000,IF(INDEX('計算A'!$D$60:$II$104,$B45,213)*LA45=1,IF(AND($E45=2,UH45=0),1000000,INDEX('計算A'!HH$110:HH$114,$F45+1)+IF(AND($E45=1,UH45=0),1000,0)),1000000))</f>
        <v/>
      </c>
      <c r="ADP45">
        <f>IF($B45=0,1000000,IF(INDEX('計算A'!$D$60:$II$104,$B45,214)*LB45=1,IF(AND($E45=2,UI45=0),1000000,INDEX('計算A'!HI$110:HI$114,$F45+1)+IF(AND($E45=1,UI45=0),1000,0)),1000000))</f>
        <v/>
      </c>
      <c r="ADQ45">
        <f>IF($B45=0,1000000,IF(INDEX('計算A'!$D$60:$II$104,$B45,215)*LC45=1,IF(AND($E45=2,UJ45=0),1000000,INDEX('計算A'!HJ$110:HJ$114,$F45+1)+IF(AND($E45=1,UJ45=0),1000,0)),1000000))</f>
        <v/>
      </c>
      <c r="ADR45">
        <f>IF($B45=0,1000000,IF(INDEX('計算A'!$D$60:$II$104,$B45,216)*LD45=1,IF(AND($E45=2,UK45=0),1000000,INDEX('計算A'!HK$110:HK$114,$F45+1)+IF(AND($E45=1,UK45=0),1000,0)),1000000))</f>
        <v/>
      </c>
      <c r="ADS45">
        <f>IF($B45=0,1000000,IF(INDEX('計算A'!$D$60:$II$104,$B45,217)*LE45=1,IF(AND($E45=2,UL45=0),1000000,INDEX('計算A'!HL$110:HL$114,$F45+1)+IF(AND($E45=1,UL45=0),1000,0)),1000000))</f>
        <v/>
      </c>
      <c r="ADT45">
        <f>IF($B45=0,1000000,IF(INDEX('計算A'!$D$60:$II$104,$B45,218)*LF45=1,IF(AND($E45=2,UM45=0),1000000,INDEX('計算A'!HM$110:HM$114,$F45+1)+IF(AND($E45=1,UM45=0),1000,0)),1000000))</f>
        <v/>
      </c>
      <c r="ADU45">
        <f>IF($B45=0,1000000,IF(INDEX('計算A'!$D$60:$II$104,$B45,219)*LG45=1,IF(AND($E45=2,UN45=0),1000000,INDEX('計算A'!HN$110:HN$114,$F45+1)+IF(AND($E45=1,UN45=0),1000,0)),1000000))</f>
        <v/>
      </c>
      <c r="ADV45">
        <f>IF($B45=0,1000000,IF(INDEX('計算A'!$D$60:$II$104,$B45,220)*LH45=1,IF(AND($E45=2,UO45=0),1000000,INDEX('計算A'!HO$110:HO$114,$F45+1)+IF(AND($E45=1,UO45=0),1000,0)),1000000))</f>
        <v/>
      </c>
      <c r="ADW45">
        <f>IF($B45=0,1000000,IF(INDEX('計算A'!$D$60:$II$104,$B45,221)*LI45=1,IF(AND($E45=2,UP45=0),1000000,INDEX('計算A'!HP$110:HP$114,$F45+1)+IF(AND($E45=1,UP45=0),1000,0)),1000000))</f>
        <v/>
      </c>
      <c r="ADX45">
        <f>IF($B45=0,1000000,IF(INDEX('計算A'!$D$60:$II$104,$B45,222)*LJ45=1,IF(AND($E45=2,UQ45=0),1000000,INDEX('計算A'!HQ$110:HQ$114,$F45+1)+IF(AND($E45=1,UQ45=0),1000,0)),1000000))</f>
        <v/>
      </c>
      <c r="ADY45">
        <f>IF($B45=0,1000000,IF(INDEX('計算A'!$D$60:$II$104,$B45,223)*LK45=1,IF(AND($E45=2,UR45=0),1000000,INDEX('計算A'!HR$110:HR$114,$F45+1)+IF(AND($E45=1,UR45=0),1000,0)),1000000))</f>
        <v/>
      </c>
      <c r="ADZ45">
        <f>IF($B45=0,1000000,IF(INDEX('計算A'!$D$60:$II$104,$B45,224)*LL45=1,IF(AND($E45=2,US45=0),1000000,INDEX('計算A'!HS$110:HS$114,$F45+1)+IF(AND($E45=1,US45=0),1000,0)),1000000))</f>
        <v/>
      </c>
      <c r="AEA45">
        <f>IF($B45=0,1000000,IF(INDEX('計算A'!$D$60:$II$104,$B45,225)*LM45=1,IF(AND($E45=2,UT45=0),1000000,INDEX('計算A'!HT$110:HT$114,$F45+1)+IF(AND($E45=1,UT45=0),1000,0)),1000000))</f>
        <v/>
      </c>
      <c r="AEB45">
        <f>IF($B45=0,1000000,IF(INDEX('計算A'!$D$60:$II$104,$B45,226)*LN45=1,IF(AND($E45=2,UU45=0),1000000,INDEX('計算A'!HU$110:HU$114,$F45+1)+IF(AND($E45=1,UU45=0),1000,0)),1000000))</f>
        <v/>
      </c>
      <c r="AEC45">
        <f>IF($B45=0,1000000,IF(INDEX('計算A'!$D$60:$II$104,$B45,227)*LO45=1,IF(AND($E45=2,UV45=0),1000000,INDEX('計算A'!HV$110:HV$114,$F45+1)+IF(AND($E45=1,UV45=0),1000,0)),1000000))</f>
        <v/>
      </c>
      <c r="AED45">
        <f>IF($B45=0,1000000,IF(INDEX('計算A'!$D$60:$II$104,$B45,228)*LP45=1,IF(AND($E45=2,UW45=0),1000000,INDEX('計算A'!HW$110:HW$114,$F45+1)+IF(AND($E45=1,UW45=0),1000,0)),1000000))</f>
        <v/>
      </c>
      <c r="AEE45">
        <f>IF($B45=0,1000000,IF(INDEX('計算A'!$D$60:$II$104,$B45,229)*LQ45=1,IF(AND($E45=2,UX45=0),1000000,INDEX('計算A'!HX$110:HX$114,$F45+1)+IF(AND($E45=1,UX45=0),1000,0)),1000000))</f>
        <v/>
      </c>
      <c r="AEF45">
        <f>IF($B45=0,1000000,IF(INDEX('計算A'!$D$60:$II$104,$B45,230)*LR45=1,IF(AND($E45=2,UY45=0),1000000,INDEX('計算A'!HY$110:HY$114,$F45+1)+IF(AND($E45=1,UY45=0),1000,0)),1000000))</f>
        <v/>
      </c>
      <c r="AEG45">
        <f>IF($B45=0,1000000,IF(INDEX('計算A'!$D$60:$II$104,$B45,231)*LS45=1,IF(AND($E45=2,UZ45=0),1000000,INDEX('計算A'!HZ$110:HZ$114,$F45+1)+IF(AND($E45=1,UZ45=0),1000,0)),1000000))</f>
        <v/>
      </c>
      <c r="AEH45">
        <f>IF($B45=0,1000000,IF(INDEX('計算A'!$D$60:$II$104,$B45,232)*LT45=1,IF(AND($E45=2,VA45=0),1000000,INDEX('計算A'!IA$110:IA$114,$F45+1)+IF(AND($E45=1,VA45=0),1000,0)),1000000))</f>
        <v/>
      </c>
      <c r="AEI45">
        <f>IF($B45=0,1000000,IF(INDEX('計算A'!$D$60:$II$104,$B45,233)*LU45=1,IF(AND($E45=2,VB45=0),1000000,INDEX('計算A'!IB$110:IB$114,$F45+1)+IF(AND($E45=1,VB45=0),1000,0)),1000000))</f>
        <v/>
      </c>
      <c r="AEJ45">
        <f>IF($B45=0,1000000,IF(INDEX('計算A'!$D$60:$II$104,$B45,234)*LV45=1,IF(AND($E45=2,VC45=0),1000000,INDEX('計算A'!IC$110:IC$114,$F45+1)+IF(AND($E45=1,VC45=0),1000,0)),1000000))</f>
        <v/>
      </c>
      <c r="AEK45">
        <f>IF($B45=0,1000000,IF(INDEX('計算A'!$D$60:$II$104,$B45,235)*LW45=1,IF(AND($E45=2,VD45=0),1000000,INDEX('計算A'!ID$110:ID$114,$F45+1)+IF(AND($E45=1,VD45=0),1000,0)),1000000))</f>
        <v/>
      </c>
      <c r="AEL45">
        <f>IF($B45=0,1000000,IF(INDEX('計算A'!$D$60:$II$104,$B45,236)*LX45=1,IF(AND($E45=2,VE45=0),1000000,INDEX('計算A'!IE$110:IE$114,$F45+1)+IF(AND($E45=1,VE45=0),1000,0)),1000000))</f>
        <v/>
      </c>
      <c r="AEM45">
        <f>IF($B45=0,1000000,IF(INDEX('計算A'!$D$60:$II$104,$B45,237)*LY45=1,IF(AND($E45=2,VF45=0),1000000,INDEX('計算A'!IF$110:IF$114,$F45+1)+IF(AND($E45=1,VF45=0),1000,0)),1000000))</f>
        <v/>
      </c>
      <c r="AEN45">
        <f>IF($B45=0,1000000,IF(INDEX('計算A'!$D$60:$II$104,$B45,238)*LZ45=1,IF(AND($E45=2,VG45=0),1000000,INDEX('計算A'!IG$110:IG$114,$F45+1)+IF(AND($E45=1,VG45=0),1000,0)),1000000))</f>
        <v/>
      </c>
      <c r="AEO45">
        <f>IF($B45=0,1000000,IF(INDEX('計算A'!$D$60:$II$104,$B45,239)*MA45=1,IF(AND($E45=2,VH45=0),1000000,INDEX('計算A'!IH$110:IH$114,$F45+1)+IF(AND($E45=1,VH45=0),1000,0)),1000000))</f>
        <v/>
      </c>
      <c r="AEP45">
        <f>IF($B45=0,1000000,IF(INDEX('計算A'!$D$60:$II$104,$B45,240)*MB45=1,IF(AND($E45=2,VI45=0),1000000,INDEX('計算A'!II$110:II$114,$F45+1)+IF(AND($E45=1,VI45=0),1000,0)),1000000))</f>
        <v/>
      </c>
    </row>
    <row r="46">
      <c r="A46" t="n">
        <v>44</v>
      </c>
      <c r="B46">
        <f>IF(MIN(BC46:CU46)&gt;=1000000,0,MATCH(MIN(BC46:CU46),BC46:CU46,0))</f>
        <v/>
      </c>
      <c r="C46">
        <f>IF(MIN(VK46:AEP46)&gt;=1000000,0,MATCH(MIN(VK46:AEP46),VK46:AEP46,0))</f>
        <v/>
      </c>
      <c r="D46">
        <f>IF(C46&gt;0,INDEX('計算A'!$D$5:$II$5,C46),0)</f>
        <v/>
      </c>
      <c r="E46">
        <f>IF(B46=0,0,INDEX('計算A'!$IQ$10:$IQ$54,B46))</f>
        <v/>
      </c>
      <c r="F46">
        <f>IF(B46=0,0,INDEX('計算A'!$IP$10:$IP$54,B46))</f>
        <v/>
      </c>
      <c r="G46">
        <f>IF(AND(C46&gt;0,E46&gt;0),IF(AND(INDEX('計算A'!$D$106:$II$106,C46)=1,INDEX($MD46:$VI46,C46)=1),C46+1,0),0)</f>
        <v/>
      </c>
      <c r="I46">
        <f>MAX(I45,IF($B45=1,1,0))</f>
        <v/>
      </c>
      <c r="J46">
        <f>MAX(J45,IF($B45=2,1,0))</f>
        <v/>
      </c>
      <c r="K46">
        <f>MAX(K45,IF($B45=3,1,0))</f>
        <v/>
      </c>
      <c r="L46">
        <f>MAX(L45,IF($B45=4,1,0))</f>
        <v/>
      </c>
      <c r="M46">
        <f>MAX(M45,IF($B45=5,1,0))</f>
        <v/>
      </c>
      <c r="N46">
        <f>MAX(N45,IF($B45=6,1,0))</f>
        <v/>
      </c>
      <c r="O46">
        <f>MAX(O45,IF($B45=7,1,0))</f>
        <v/>
      </c>
      <c r="P46">
        <f>MAX(P45,IF($B45=8,1,0))</f>
        <v/>
      </c>
      <c r="Q46">
        <f>MAX(Q45,IF($B45=9,1,0))</f>
        <v/>
      </c>
      <c r="R46">
        <f>MAX(R45,IF($B45=10,1,0))</f>
        <v/>
      </c>
      <c r="S46">
        <f>MAX(S45,IF($B45=11,1,0))</f>
        <v/>
      </c>
      <c r="T46">
        <f>MAX(T45,IF($B45=12,1,0))</f>
        <v/>
      </c>
      <c r="U46">
        <f>MAX(U45,IF($B45=13,1,0))</f>
        <v/>
      </c>
      <c r="V46">
        <f>MAX(V45,IF($B45=14,1,0))</f>
        <v/>
      </c>
      <c r="W46">
        <f>MAX(W45,IF($B45=15,1,0))</f>
        <v/>
      </c>
      <c r="X46">
        <f>MAX(X45,IF($B45=16,1,0))</f>
        <v/>
      </c>
      <c r="Y46">
        <f>MAX(Y45,IF($B45=17,1,0))</f>
        <v/>
      </c>
      <c r="Z46">
        <f>MAX(Z45,IF($B45=18,1,0))</f>
        <v/>
      </c>
      <c r="AA46">
        <f>MAX(AA45,IF($B45=19,1,0))</f>
        <v/>
      </c>
      <c r="AB46">
        <f>MAX(AB45,IF($B45=20,1,0))</f>
        <v/>
      </c>
      <c r="AC46">
        <f>MAX(AC45,IF($B45=21,1,0))</f>
        <v/>
      </c>
      <c r="AD46">
        <f>MAX(AD45,IF($B45=22,1,0))</f>
        <v/>
      </c>
      <c r="AE46">
        <f>MAX(AE45,IF($B45=23,1,0))</f>
        <v/>
      </c>
      <c r="AF46">
        <f>MAX(AF45,IF($B45=24,1,0))</f>
        <v/>
      </c>
      <c r="AG46">
        <f>MAX(AG45,IF($B45=25,1,0))</f>
        <v/>
      </c>
      <c r="AH46">
        <f>MAX(AH45,IF($B45=26,1,0))</f>
        <v/>
      </c>
      <c r="AI46">
        <f>MAX(AI45,IF($B45=27,1,0))</f>
        <v/>
      </c>
      <c r="AJ46">
        <f>MAX(AJ45,IF($B45=28,1,0))</f>
        <v/>
      </c>
      <c r="AK46">
        <f>MAX(AK45,IF($B45=29,1,0))</f>
        <v/>
      </c>
      <c r="AL46">
        <f>MAX(AL45,IF($B45=30,1,0))</f>
        <v/>
      </c>
      <c r="AM46">
        <f>MAX(AM45,IF($B45=31,1,0))</f>
        <v/>
      </c>
      <c r="AN46">
        <f>MAX(AN45,IF($B45=32,1,0))</f>
        <v/>
      </c>
      <c r="AO46">
        <f>MAX(AO45,IF($B45=33,1,0))</f>
        <v/>
      </c>
      <c r="AP46">
        <f>MAX(AP45,IF($B45=34,1,0))</f>
        <v/>
      </c>
      <c r="AQ46">
        <f>MAX(AQ45,IF($B45=35,1,0))</f>
        <v/>
      </c>
      <c r="AR46">
        <f>MAX(AR45,IF($B45=36,1,0))</f>
        <v/>
      </c>
      <c r="AS46">
        <f>MAX(AS45,IF($B45=37,1,0))</f>
        <v/>
      </c>
      <c r="AT46">
        <f>MAX(AT45,IF($B45=38,1,0))</f>
        <v/>
      </c>
      <c r="AU46">
        <f>MAX(AU45,IF($B45=39,1,0))</f>
        <v/>
      </c>
      <c r="AV46">
        <f>MAX(AV45,IF($B45=40,1,0))</f>
        <v/>
      </c>
      <c r="AW46">
        <f>MAX(AW45,IF($B45=41,1,0))</f>
        <v/>
      </c>
      <c r="AX46">
        <f>MAX(AX45,IF($B45=42,1,0))</f>
        <v/>
      </c>
      <c r="AY46">
        <f>MAX(AY45,IF($B45=43,1,0))</f>
        <v/>
      </c>
      <c r="AZ46">
        <f>MAX(AZ45,IF($B45=44,1,0))</f>
        <v/>
      </c>
      <c r="BA46">
        <f>MAX(BA45,IF($B45=45,1,0))</f>
        <v/>
      </c>
      <c r="BC46">
        <f>IF(I46=1,1000000,IF('計算A'!$IQ$10=2,SUMPRODUCT('計算A'!$D$60:$II$60,$CW46:$MB46,$MD46:$VI46),SUMPRODUCT('計算A'!$D$60:$II$60,$CW46:$MB46))*1000+1)</f>
        <v/>
      </c>
      <c r="BD46">
        <f>IF(J46=1,1000000,IF('計算A'!$IQ$11=2,SUMPRODUCT('計算A'!$D$61:$II$61,$CW46:$MB46,$MD46:$VI46),SUMPRODUCT('計算A'!$D$61:$II$61,$CW46:$MB46))*1000+2)</f>
        <v/>
      </c>
      <c r="BE46">
        <f>IF(K46=1,1000000,IF('計算A'!$IQ$12=2,SUMPRODUCT('計算A'!$D$62:$II$62,$CW46:$MB46,$MD46:$VI46),SUMPRODUCT('計算A'!$D$62:$II$62,$CW46:$MB46))*1000+3)</f>
        <v/>
      </c>
      <c r="BF46">
        <f>IF(L46=1,1000000,IF('計算A'!$IQ$13=2,SUMPRODUCT('計算A'!$D$63:$II$63,$CW46:$MB46,$MD46:$VI46),SUMPRODUCT('計算A'!$D$63:$II$63,$CW46:$MB46))*1000+4)</f>
        <v/>
      </c>
      <c r="BG46">
        <f>IF(M46=1,1000000,IF('計算A'!$IQ$14=2,SUMPRODUCT('計算A'!$D$64:$II$64,$CW46:$MB46,$MD46:$VI46),SUMPRODUCT('計算A'!$D$64:$II$64,$CW46:$MB46))*1000+5)</f>
        <v/>
      </c>
      <c r="BH46">
        <f>IF(N46=1,1000000,IF('計算A'!$IQ$15=2,SUMPRODUCT('計算A'!$D$65:$II$65,$CW46:$MB46,$MD46:$VI46),SUMPRODUCT('計算A'!$D$65:$II$65,$CW46:$MB46))*1000+6)</f>
        <v/>
      </c>
      <c r="BI46">
        <f>IF(O46=1,1000000,IF('計算A'!$IQ$16=2,SUMPRODUCT('計算A'!$D$66:$II$66,$CW46:$MB46,$MD46:$VI46),SUMPRODUCT('計算A'!$D$66:$II$66,$CW46:$MB46))*1000+7)</f>
        <v/>
      </c>
      <c r="BJ46">
        <f>IF(P46=1,1000000,IF('計算A'!$IQ$17=2,SUMPRODUCT('計算A'!$D$67:$II$67,$CW46:$MB46,$MD46:$VI46),SUMPRODUCT('計算A'!$D$67:$II$67,$CW46:$MB46))*1000+8)</f>
        <v/>
      </c>
      <c r="BK46">
        <f>IF(Q46=1,1000000,IF('計算A'!$IQ$18=2,SUMPRODUCT('計算A'!$D$68:$II$68,$CW46:$MB46,$MD46:$VI46),SUMPRODUCT('計算A'!$D$68:$II$68,$CW46:$MB46))*1000+9)</f>
        <v/>
      </c>
      <c r="BL46">
        <f>IF(R46=1,1000000,IF('計算A'!$IQ$19=2,SUMPRODUCT('計算A'!$D$69:$II$69,$CW46:$MB46,$MD46:$VI46),SUMPRODUCT('計算A'!$D$69:$II$69,$CW46:$MB46))*1000+10)</f>
        <v/>
      </c>
      <c r="BM46">
        <f>IF(S46=1,1000000,IF('計算A'!$IQ$20=2,SUMPRODUCT('計算A'!$D$70:$II$70,$CW46:$MB46,$MD46:$VI46),SUMPRODUCT('計算A'!$D$70:$II$70,$CW46:$MB46))*1000+11)</f>
        <v/>
      </c>
      <c r="BN46">
        <f>IF(T46=1,1000000,IF('計算A'!$IQ$21=2,SUMPRODUCT('計算A'!$D$71:$II$71,$CW46:$MB46,$MD46:$VI46),SUMPRODUCT('計算A'!$D$71:$II$71,$CW46:$MB46))*1000+12)</f>
        <v/>
      </c>
      <c r="BO46">
        <f>IF(U46=1,1000000,IF('計算A'!$IQ$22=2,SUMPRODUCT('計算A'!$D$72:$II$72,$CW46:$MB46,$MD46:$VI46),SUMPRODUCT('計算A'!$D$72:$II$72,$CW46:$MB46))*1000+13)</f>
        <v/>
      </c>
      <c r="BP46">
        <f>IF(V46=1,1000000,IF('計算A'!$IQ$23=2,SUMPRODUCT('計算A'!$D$73:$II$73,$CW46:$MB46,$MD46:$VI46),SUMPRODUCT('計算A'!$D$73:$II$73,$CW46:$MB46))*1000+14)</f>
        <v/>
      </c>
      <c r="BQ46">
        <f>IF(W46=1,1000000,IF('計算A'!$IQ$24=2,SUMPRODUCT('計算A'!$D$74:$II$74,$CW46:$MB46,$MD46:$VI46),SUMPRODUCT('計算A'!$D$74:$II$74,$CW46:$MB46))*1000+15)</f>
        <v/>
      </c>
      <c r="BR46">
        <f>IF(X46=1,1000000,IF('計算A'!$IQ$25=2,SUMPRODUCT('計算A'!$D$75:$II$75,$CW46:$MB46,$MD46:$VI46),SUMPRODUCT('計算A'!$D$75:$II$75,$CW46:$MB46))*1000+16)</f>
        <v/>
      </c>
      <c r="BS46">
        <f>IF(Y46=1,1000000,IF('計算A'!$IQ$26=2,SUMPRODUCT('計算A'!$D$76:$II$76,$CW46:$MB46,$MD46:$VI46),SUMPRODUCT('計算A'!$D$76:$II$76,$CW46:$MB46))*1000+17)</f>
        <v/>
      </c>
      <c r="BT46">
        <f>IF(Z46=1,1000000,IF('計算A'!$IQ$27=2,SUMPRODUCT('計算A'!$D$77:$II$77,$CW46:$MB46,$MD46:$VI46),SUMPRODUCT('計算A'!$D$77:$II$77,$CW46:$MB46))*1000+18)</f>
        <v/>
      </c>
      <c r="BU46">
        <f>IF(AA46=1,1000000,IF('計算A'!$IQ$28=2,SUMPRODUCT('計算A'!$D$78:$II$78,$CW46:$MB46,$MD46:$VI46),SUMPRODUCT('計算A'!$D$78:$II$78,$CW46:$MB46))*1000+19)</f>
        <v/>
      </c>
      <c r="BV46">
        <f>IF(AB46=1,1000000,IF('計算A'!$IQ$29=2,SUMPRODUCT('計算A'!$D$79:$II$79,$CW46:$MB46,$MD46:$VI46),SUMPRODUCT('計算A'!$D$79:$II$79,$CW46:$MB46))*1000+20)</f>
        <v/>
      </c>
      <c r="BW46">
        <f>IF(AC46=1,1000000,IF('計算A'!$IQ$30=2,SUMPRODUCT('計算A'!$D$80:$II$80,$CW46:$MB46,$MD46:$VI46),SUMPRODUCT('計算A'!$D$80:$II$80,$CW46:$MB46))*1000+21)</f>
        <v/>
      </c>
      <c r="BX46">
        <f>IF(AD46=1,1000000,IF('計算A'!$IQ$31=2,SUMPRODUCT('計算A'!$D$81:$II$81,$CW46:$MB46,$MD46:$VI46),SUMPRODUCT('計算A'!$D$81:$II$81,$CW46:$MB46))*1000+22)</f>
        <v/>
      </c>
      <c r="BY46">
        <f>IF(AE46=1,1000000,IF('計算A'!$IQ$32=2,SUMPRODUCT('計算A'!$D$82:$II$82,$CW46:$MB46,$MD46:$VI46),SUMPRODUCT('計算A'!$D$82:$II$82,$CW46:$MB46))*1000+23)</f>
        <v/>
      </c>
      <c r="BZ46">
        <f>IF(AF46=1,1000000,IF('計算A'!$IQ$33=2,SUMPRODUCT('計算A'!$D$83:$II$83,$CW46:$MB46,$MD46:$VI46),SUMPRODUCT('計算A'!$D$83:$II$83,$CW46:$MB46))*1000+24)</f>
        <v/>
      </c>
      <c r="CA46">
        <f>IF(AG46=1,1000000,IF('計算A'!$IQ$34=2,SUMPRODUCT('計算A'!$D$84:$II$84,$CW46:$MB46,$MD46:$VI46),SUMPRODUCT('計算A'!$D$84:$II$84,$CW46:$MB46))*1000+25)</f>
        <v/>
      </c>
      <c r="CB46">
        <f>IF(AH46=1,1000000,IF('計算A'!$IQ$35=2,SUMPRODUCT('計算A'!$D$85:$II$85,$CW46:$MB46,$MD46:$VI46),SUMPRODUCT('計算A'!$D$85:$II$85,$CW46:$MB46))*1000+26)</f>
        <v/>
      </c>
      <c r="CC46">
        <f>IF(AI46=1,1000000,IF('計算A'!$IQ$36=2,SUMPRODUCT('計算A'!$D$86:$II$86,$CW46:$MB46,$MD46:$VI46),SUMPRODUCT('計算A'!$D$86:$II$86,$CW46:$MB46))*1000+27)</f>
        <v/>
      </c>
      <c r="CD46">
        <f>IF(AJ46=1,1000000,IF('計算A'!$IQ$37=2,SUMPRODUCT('計算A'!$D$87:$II$87,$CW46:$MB46,$MD46:$VI46),SUMPRODUCT('計算A'!$D$87:$II$87,$CW46:$MB46))*1000+28)</f>
        <v/>
      </c>
      <c r="CE46">
        <f>IF(AK46=1,1000000,IF('計算A'!$IQ$38=2,SUMPRODUCT('計算A'!$D$88:$II$88,$CW46:$MB46,$MD46:$VI46),SUMPRODUCT('計算A'!$D$88:$II$88,$CW46:$MB46))*1000+29)</f>
        <v/>
      </c>
      <c r="CF46">
        <f>IF(AL46=1,1000000,IF('計算A'!$IQ$39=2,SUMPRODUCT('計算A'!$D$89:$II$89,$CW46:$MB46,$MD46:$VI46),SUMPRODUCT('計算A'!$D$89:$II$89,$CW46:$MB46))*1000+30)</f>
        <v/>
      </c>
      <c r="CG46">
        <f>IF(AM46=1,1000000,IF('計算A'!$IQ$40=2,SUMPRODUCT('計算A'!$D$90:$II$90,$CW46:$MB46,$MD46:$VI46),SUMPRODUCT('計算A'!$D$90:$II$90,$CW46:$MB46))*1000+31)</f>
        <v/>
      </c>
      <c r="CH46">
        <f>IF(AN46=1,1000000,IF('計算A'!$IQ$41=2,SUMPRODUCT('計算A'!$D$91:$II$91,$CW46:$MB46,$MD46:$VI46),SUMPRODUCT('計算A'!$D$91:$II$91,$CW46:$MB46))*1000+32)</f>
        <v/>
      </c>
      <c r="CI46">
        <f>IF(AO46=1,1000000,IF('計算A'!$IQ$42=2,SUMPRODUCT('計算A'!$D$92:$II$92,$CW46:$MB46,$MD46:$VI46),SUMPRODUCT('計算A'!$D$92:$II$92,$CW46:$MB46))*1000+33)</f>
        <v/>
      </c>
      <c r="CJ46">
        <f>IF(AP46=1,1000000,IF('計算A'!$IQ$43=2,SUMPRODUCT('計算A'!$D$93:$II$93,$CW46:$MB46,$MD46:$VI46),SUMPRODUCT('計算A'!$D$93:$II$93,$CW46:$MB46))*1000+34)</f>
        <v/>
      </c>
      <c r="CK46">
        <f>IF(AQ46=1,1000000,IF('計算A'!$IQ$44=2,SUMPRODUCT('計算A'!$D$94:$II$94,$CW46:$MB46,$MD46:$VI46),SUMPRODUCT('計算A'!$D$94:$II$94,$CW46:$MB46))*1000+35)</f>
        <v/>
      </c>
      <c r="CL46">
        <f>IF(AR46=1,1000000,IF('計算A'!$IQ$45=2,SUMPRODUCT('計算A'!$D$95:$II$95,$CW46:$MB46,$MD46:$VI46),SUMPRODUCT('計算A'!$D$95:$II$95,$CW46:$MB46))*1000+36)</f>
        <v/>
      </c>
      <c r="CM46">
        <f>IF(AS46=1,1000000,IF('計算A'!$IQ$46=2,SUMPRODUCT('計算A'!$D$96:$II$96,$CW46:$MB46,$MD46:$VI46),SUMPRODUCT('計算A'!$D$96:$II$96,$CW46:$MB46))*1000+37)</f>
        <v/>
      </c>
      <c r="CN46">
        <f>IF(AT46=1,1000000,IF('計算A'!$IQ$47=2,SUMPRODUCT('計算A'!$D$97:$II$97,$CW46:$MB46,$MD46:$VI46),SUMPRODUCT('計算A'!$D$97:$II$97,$CW46:$MB46))*1000+38)</f>
        <v/>
      </c>
      <c r="CO46">
        <f>IF(AU46=1,1000000,IF('計算A'!$IQ$48=2,SUMPRODUCT('計算A'!$D$98:$II$98,$CW46:$MB46,$MD46:$VI46),SUMPRODUCT('計算A'!$D$98:$II$98,$CW46:$MB46))*1000+39)</f>
        <v/>
      </c>
      <c r="CP46">
        <f>IF(AV46=1,1000000,IF('計算A'!$IQ$49=2,SUMPRODUCT('計算A'!$D$99:$II$99,$CW46:$MB46,$MD46:$VI46),SUMPRODUCT('計算A'!$D$99:$II$99,$CW46:$MB46))*1000+40)</f>
        <v/>
      </c>
      <c r="CQ46">
        <f>IF(AW46=1,1000000,IF('計算A'!$IQ$50=2,SUMPRODUCT('計算A'!$D$100:$II$100,$CW46:$MB46,$MD46:$VI46),SUMPRODUCT('計算A'!$D$100:$II$100,$CW46:$MB46))*1000+41)</f>
        <v/>
      </c>
      <c r="CR46">
        <f>IF(AX46=1,1000000,IF('計算A'!$IQ$51=2,SUMPRODUCT('計算A'!$D$101:$II$101,$CW46:$MB46,$MD46:$VI46),SUMPRODUCT('計算A'!$D$101:$II$101,$CW46:$MB46))*1000+42)</f>
        <v/>
      </c>
      <c r="CS46">
        <f>IF(AY46=1,1000000,IF('計算A'!$IQ$52=2,SUMPRODUCT('計算A'!$D$102:$II$102,$CW46:$MB46,$MD46:$VI46),SUMPRODUCT('計算A'!$D$102:$II$102,$CW46:$MB46))*1000+43)</f>
        <v/>
      </c>
      <c r="CT46">
        <f>IF(AZ46=1,1000000,IF('計算A'!$IQ$53=2,SUMPRODUCT('計算A'!$D$103:$II$103,$CW46:$MB46,$MD46:$VI46),SUMPRODUCT('計算A'!$D$103:$II$103,$CW46:$MB46))*1000+44)</f>
        <v/>
      </c>
      <c r="CU46">
        <f>IF(BA46=1,1000000,IF('計算A'!$IQ$54=2,SUMPRODUCT('計算A'!$D$104:$II$104,$CW46:$MB46,$MD46:$VI46),SUMPRODUCT('計算A'!$D$104:$II$104,$CW46:$MB46))*1000+45)</f>
        <v/>
      </c>
      <c r="CW46">
        <f>CW45*IF(OR($C45=1,$G45=1),0,1)</f>
        <v/>
      </c>
      <c r="CX46">
        <f>CX45*IF(OR($C45=2,$G45=2),0,1)</f>
        <v/>
      </c>
      <c r="CY46">
        <f>CY45*IF(OR($C45=3,$G45=3),0,1)</f>
        <v/>
      </c>
      <c r="CZ46">
        <f>CZ45*IF(OR($C45=4,$G45=4),0,1)</f>
        <v/>
      </c>
      <c r="DA46">
        <f>DA45*IF(OR($C45=5,$G45=5),0,1)</f>
        <v/>
      </c>
      <c r="DB46">
        <f>DB45*IF(OR($C45=6,$G45=6),0,1)</f>
        <v/>
      </c>
      <c r="DC46">
        <f>DC45*IF(OR($C45=7,$G45=7),0,1)</f>
        <v/>
      </c>
      <c r="DD46">
        <f>DD45*IF(OR($C45=8,$G45=8),0,1)</f>
        <v/>
      </c>
      <c r="DE46">
        <f>DE45*IF(OR($C45=9,$G45=9),0,1)</f>
        <v/>
      </c>
      <c r="DF46">
        <f>DF45*IF(OR($C45=10,$G45=10),0,1)</f>
        <v/>
      </c>
      <c r="DG46">
        <f>DG45*IF(OR($C45=11,$G45=11),0,1)</f>
        <v/>
      </c>
      <c r="DH46">
        <f>DH45*IF(OR($C45=12,$G45=12),0,1)</f>
        <v/>
      </c>
      <c r="DI46">
        <f>DI45*IF(OR($C45=13,$G45=13),0,1)</f>
        <v/>
      </c>
      <c r="DJ46">
        <f>DJ45*IF(OR($C45=14,$G45=14),0,1)</f>
        <v/>
      </c>
      <c r="DK46">
        <f>DK45*IF(OR($C45=15,$G45=15),0,1)</f>
        <v/>
      </c>
      <c r="DL46">
        <f>DL45*IF(OR($C45=16,$G45=16),0,1)</f>
        <v/>
      </c>
      <c r="DM46">
        <f>DM45*IF(OR($C45=17,$G45=17),0,1)</f>
        <v/>
      </c>
      <c r="DN46">
        <f>DN45*IF(OR($C45=18,$G45=18),0,1)</f>
        <v/>
      </c>
      <c r="DO46">
        <f>DO45*IF(OR($C45=19,$G45=19),0,1)</f>
        <v/>
      </c>
      <c r="DP46">
        <f>DP45*IF(OR($C45=20,$G45=20),0,1)</f>
        <v/>
      </c>
      <c r="DQ46">
        <f>DQ45*IF(OR($C45=21,$G45=21),0,1)</f>
        <v/>
      </c>
      <c r="DR46">
        <f>DR45*IF(OR($C45=22,$G45=22),0,1)</f>
        <v/>
      </c>
      <c r="DS46">
        <f>DS45*IF(OR($C45=23,$G45=23),0,1)</f>
        <v/>
      </c>
      <c r="DT46">
        <f>DT45*IF(OR($C45=24,$G45=24),0,1)</f>
        <v/>
      </c>
      <c r="DU46">
        <f>DU45*IF(OR($C45=25,$G45=25),0,1)</f>
        <v/>
      </c>
      <c r="DV46">
        <f>DV45*IF(OR($C45=26,$G45=26),0,1)</f>
        <v/>
      </c>
      <c r="DW46">
        <f>DW45*IF(OR($C45=27,$G45=27),0,1)</f>
        <v/>
      </c>
      <c r="DX46">
        <f>DX45*IF(OR($C45=28,$G45=28),0,1)</f>
        <v/>
      </c>
      <c r="DY46">
        <f>DY45*IF(OR($C45=29,$G45=29),0,1)</f>
        <v/>
      </c>
      <c r="DZ46">
        <f>DZ45*IF(OR($C45=30,$G45=30),0,1)</f>
        <v/>
      </c>
      <c r="EA46">
        <f>EA45*IF(OR($C45=31,$G45=31),0,1)</f>
        <v/>
      </c>
      <c r="EB46">
        <f>EB45*IF(OR($C45=32,$G45=32),0,1)</f>
        <v/>
      </c>
      <c r="EC46">
        <f>EC45*IF(OR($C45=33,$G45=33),0,1)</f>
        <v/>
      </c>
      <c r="ED46">
        <f>ED45*IF(OR($C45=34,$G45=34),0,1)</f>
        <v/>
      </c>
      <c r="EE46">
        <f>EE45*IF(OR($C45=35,$G45=35),0,1)</f>
        <v/>
      </c>
      <c r="EF46">
        <f>EF45*IF(OR($C45=36,$G45=36),0,1)</f>
        <v/>
      </c>
      <c r="EG46">
        <f>EG45*IF(OR($C45=37,$G45=37),0,1)</f>
        <v/>
      </c>
      <c r="EH46">
        <f>EH45*IF(OR($C45=38,$G45=38),0,1)</f>
        <v/>
      </c>
      <c r="EI46">
        <f>EI45*IF(OR($C45=39,$G45=39),0,1)</f>
        <v/>
      </c>
      <c r="EJ46">
        <f>EJ45*IF(OR($C45=40,$G45=40),0,1)</f>
        <v/>
      </c>
      <c r="EK46">
        <f>EK45*IF(OR($C45=41,$G45=41),0,1)</f>
        <v/>
      </c>
      <c r="EL46">
        <f>EL45*IF(OR($C45=42,$G45=42),0,1)</f>
        <v/>
      </c>
      <c r="EM46">
        <f>EM45*IF(OR($C45=43,$G45=43),0,1)</f>
        <v/>
      </c>
      <c r="EN46">
        <f>EN45*IF(OR($C45=44,$G45=44),0,1)</f>
        <v/>
      </c>
      <c r="EO46">
        <f>EO45*IF(OR($C45=45,$G45=45),0,1)</f>
        <v/>
      </c>
      <c r="EP46">
        <f>EP45*IF(OR($C45=46,$G45=46),0,1)</f>
        <v/>
      </c>
      <c r="EQ46">
        <f>EQ45*IF(OR($C45=47,$G45=47),0,1)</f>
        <v/>
      </c>
      <c r="ER46">
        <f>ER45*IF(OR($C45=48,$G45=48),0,1)</f>
        <v/>
      </c>
      <c r="ES46">
        <f>ES45*IF(OR($C45=49,$G45=49),0,1)</f>
        <v/>
      </c>
      <c r="ET46">
        <f>ET45*IF(OR($C45=50,$G45=50),0,1)</f>
        <v/>
      </c>
      <c r="EU46">
        <f>EU45*IF(OR($C45=51,$G45=51),0,1)</f>
        <v/>
      </c>
      <c r="EV46">
        <f>EV45*IF(OR($C45=52,$G45=52),0,1)</f>
        <v/>
      </c>
      <c r="EW46">
        <f>EW45*IF(OR($C45=53,$G45=53),0,1)</f>
        <v/>
      </c>
      <c r="EX46">
        <f>EX45*IF(OR($C45=54,$G45=54),0,1)</f>
        <v/>
      </c>
      <c r="EY46">
        <f>EY45*IF(OR($C45=55,$G45=55),0,1)</f>
        <v/>
      </c>
      <c r="EZ46">
        <f>EZ45*IF(OR($C45=56,$G45=56),0,1)</f>
        <v/>
      </c>
      <c r="FA46">
        <f>FA45*IF(OR($C45=57,$G45=57),0,1)</f>
        <v/>
      </c>
      <c r="FB46">
        <f>FB45*IF(OR($C45=58,$G45=58),0,1)</f>
        <v/>
      </c>
      <c r="FC46">
        <f>FC45*IF(OR($C45=59,$G45=59),0,1)</f>
        <v/>
      </c>
      <c r="FD46">
        <f>FD45*IF(OR($C45=60,$G45=60),0,1)</f>
        <v/>
      </c>
      <c r="FE46">
        <f>FE45*IF(OR($C45=61,$G45=61),0,1)</f>
        <v/>
      </c>
      <c r="FF46">
        <f>FF45*IF(OR($C45=62,$G45=62),0,1)</f>
        <v/>
      </c>
      <c r="FG46">
        <f>FG45*IF(OR($C45=63,$G45=63),0,1)</f>
        <v/>
      </c>
      <c r="FH46">
        <f>FH45*IF(OR($C45=64,$G45=64),0,1)</f>
        <v/>
      </c>
      <c r="FI46">
        <f>FI45*IF(OR($C45=65,$G45=65),0,1)</f>
        <v/>
      </c>
      <c r="FJ46">
        <f>FJ45*IF(OR($C45=66,$G45=66),0,1)</f>
        <v/>
      </c>
      <c r="FK46">
        <f>FK45*IF(OR($C45=67,$G45=67),0,1)</f>
        <v/>
      </c>
      <c r="FL46">
        <f>FL45*IF(OR($C45=68,$G45=68),0,1)</f>
        <v/>
      </c>
      <c r="FM46">
        <f>FM45*IF(OR($C45=69,$G45=69),0,1)</f>
        <v/>
      </c>
      <c r="FN46">
        <f>FN45*IF(OR($C45=70,$G45=70),0,1)</f>
        <v/>
      </c>
      <c r="FO46">
        <f>FO45*IF(OR($C45=71,$G45=71),0,1)</f>
        <v/>
      </c>
      <c r="FP46">
        <f>FP45*IF(OR($C45=72,$G45=72),0,1)</f>
        <v/>
      </c>
      <c r="FQ46">
        <f>FQ45*IF(OR($C45=73,$G45=73),0,1)</f>
        <v/>
      </c>
      <c r="FR46">
        <f>FR45*IF(OR($C45=74,$G45=74),0,1)</f>
        <v/>
      </c>
      <c r="FS46">
        <f>FS45*IF(OR($C45=75,$G45=75),0,1)</f>
        <v/>
      </c>
      <c r="FT46">
        <f>FT45*IF(OR($C45=76,$G45=76),0,1)</f>
        <v/>
      </c>
      <c r="FU46">
        <f>FU45*IF(OR($C45=77,$G45=77),0,1)</f>
        <v/>
      </c>
      <c r="FV46">
        <f>FV45*IF(OR($C45=78,$G45=78),0,1)</f>
        <v/>
      </c>
      <c r="FW46">
        <f>FW45*IF(OR($C45=79,$G45=79),0,1)</f>
        <v/>
      </c>
      <c r="FX46">
        <f>FX45*IF(OR($C45=80,$G45=80),0,1)</f>
        <v/>
      </c>
      <c r="FY46">
        <f>FY45*IF(OR($C45=81,$G45=81),0,1)</f>
        <v/>
      </c>
      <c r="FZ46">
        <f>FZ45*IF(OR($C45=82,$G45=82),0,1)</f>
        <v/>
      </c>
      <c r="GA46">
        <f>GA45*IF(OR($C45=83,$G45=83),0,1)</f>
        <v/>
      </c>
      <c r="GB46">
        <f>GB45*IF(OR($C45=84,$G45=84),0,1)</f>
        <v/>
      </c>
      <c r="GC46">
        <f>GC45*IF(OR($C45=85,$G45=85),0,1)</f>
        <v/>
      </c>
      <c r="GD46">
        <f>GD45*IF(OR($C45=86,$G45=86),0,1)</f>
        <v/>
      </c>
      <c r="GE46">
        <f>GE45*IF(OR($C45=87,$G45=87),0,1)</f>
        <v/>
      </c>
      <c r="GF46">
        <f>GF45*IF(OR($C45=88,$G45=88),0,1)</f>
        <v/>
      </c>
      <c r="GG46">
        <f>GG45*IF(OR($C45=89,$G45=89),0,1)</f>
        <v/>
      </c>
      <c r="GH46">
        <f>GH45*IF(OR($C45=90,$G45=90),0,1)</f>
        <v/>
      </c>
      <c r="GI46">
        <f>GI45*IF(OR($C45=91,$G45=91),0,1)</f>
        <v/>
      </c>
      <c r="GJ46">
        <f>GJ45*IF(OR($C45=92,$G45=92),0,1)</f>
        <v/>
      </c>
      <c r="GK46">
        <f>GK45*IF(OR($C45=93,$G45=93),0,1)</f>
        <v/>
      </c>
      <c r="GL46">
        <f>GL45*IF(OR($C45=94,$G45=94),0,1)</f>
        <v/>
      </c>
      <c r="GM46">
        <f>GM45*IF(OR($C45=95,$G45=95),0,1)</f>
        <v/>
      </c>
      <c r="GN46">
        <f>GN45*IF(OR($C45=96,$G45=96),0,1)</f>
        <v/>
      </c>
      <c r="GO46">
        <f>GO45*IF(OR($C45=97,$G45=97),0,1)</f>
        <v/>
      </c>
      <c r="GP46">
        <f>GP45*IF(OR($C45=98,$G45=98),0,1)</f>
        <v/>
      </c>
      <c r="GQ46">
        <f>GQ45*IF(OR($C45=99,$G45=99),0,1)</f>
        <v/>
      </c>
      <c r="GR46">
        <f>GR45*IF(OR($C45=100,$G45=100),0,1)</f>
        <v/>
      </c>
      <c r="GS46">
        <f>GS45*IF(OR($C45=101,$G45=101),0,1)</f>
        <v/>
      </c>
      <c r="GT46">
        <f>GT45*IF(OR($C45=102,$G45=102),0,1)</f>
        <v/>
      </c>
      <c r="GU46">
        <f>GU45*IF(OR($C45=103,$G45=103),0,1)</f>
        <v/>
      </c>
      <c r="GV46">
        <f>GV45*IF(OR($C45=104,$G45=104),0,1)</f>
        <v/>
      </c>
      <c r="GW46">
        <f>GW45*IF(OR($C45=105,$G45=105),0,1)</f>
        <v/>
      </c>
      <c r="GX46">
        <f>GX45*IF(OR($C45=106,$G45=106),0,1)</f>
        <v/>
      </c>
      <c r="GY46">
        <f>GY45*IF(OR($C45=107,$G45=107),0,1)</f>
        <v/>
      </c>
      <c r="GZ46">
        <f>GZ45*IF(OR($C45=108,$G45=108),0,1)</f>
        <v/>
      </c>
      <c r="HA46">
        <f>HA45*IF(OR($C45=109,$G45=109),0,1)</f>
        <v/>
      </c>
      <c r="HB46">
        <f>HB45*IF(OR($C45=110,$G45=110),0,1)</f>
        <v/>
      </c>
      <c r="HC46">
        <f>HC45*IF(OR($C45=111,$G45=111),0,1)</f>
        <v/>
      </c>
      <c r="HD46">
        <f>HD45*IF(OR($C45=112,$G45=112),0,1)</f>
        <v/>
      </c>
      <c r="HE46">
        <f>HE45*IF(OR($C45=113,$G45=113),0,1)</f>
        <v/>
      </c>
      <c r="HF46">
        <f>HF45*IF(OR($C45=114,$G45=114),0,1)</f>
        <v/>
      </c>
      <c r="HG46">
        <f>HG45*IF(OR($C45=115,$G45=115),0,1)</f>
        <v/>
      </c>
      <c r="HH46">
        <f>HH45*IF(OR($C45=116,$G45=116),0,1)</f>
        <v/>
      </c>
      <c r="HI46">
        <f>HI45*IF(OR($C45=117,$G45=117),0,1)</f>
        <v/>
      </c>
      <c r="HJ46">
        <f>HJ45*IF(OR($C45=118,$G45=118),0,1)</f>
        <v/>
      </c>
      <c r="HK46">
        <f>HK45*IF(OR($C45=119,$G45=119),0,1)</f>
        <v/>
      </c>
      <c r="HL46">
        <f>HL45*IF(OR($C45=120,$G45=120),0,1)</f>
        <v/>
      </c>
      <c r="HM46">
        <f>HM45*IF(OR($C45=121,$G45=121),0,1)</f>
        <v/>
      </c>
      <c r="HN46">
        <f>HN45*IF(OR($C45=122,$G45=122),0,1)</f>
        <v/>
      </c>
      <c r="HO46">
        <f>HO45*IF(OR($C45=123,$G45=123),0,1)</f>
        <v/>
      </c>
      <c r="HP46">
        <f>HP45*IF(OR($C45=124,$G45=124),0,1)</f>
        <v/>
      </c>
      <c r="HQ46">
        <f>HQ45*IF(OR($C45=125,$G45=125),0,1)</f>
        <v/>
      </c>
      <c r="HR46">
        <f>HR45*IF(OR($C45=126,$G45=126),0,1)</f>
        <v/>
      </c>
      <c r="HS46">
        <f>HS45*IF(OR($C45=127,$G45=127),0,1)</f>
        <v/>
      </c>
      <c r="HT46">
        <f>HT45*IF(OR($C45=128,$G45=128),0,1)</f>
        <v/>
      </c>
      <c r="HU46">
        <f>HU45*IF(OR($C45=129,$G45=129),0,1)</f>
        <v/>
      </c>
      <c r="HV46">
        <f>HV45*IF(OR($C45=130,$G45=130),0,1)</f>
        <v/>
      </c>
      <c r="HW46">
        <f>HW45*IF(OR($C45=131,$G45=131),0,1)</f>
        <v/>
      </c>
      <c r="HX46">
        <f>HX45*IF(OR($C45=132,$G45=132),0,1)</f>
        <v/>
      </c>
      <c r="HY46">
        <f>HY45*IF(OR($C45=133,$G45=133),0,1)</f>
        <v/>
      </c>
      <c r="HZ46">
        <f>HZ45*IF(OR($C45=134,$G45=134),0,1)</f>
        <v/>
      </c>
      <c r="IA46">
        <f>IA45*IF(OR($C45=135,$G45=135),0,1)</f>
        <v/>
      </c>
      <c r="IB46">
        <f>IB45*IF(OR($C45=136,$G45=136),0,1)</f>
        <v/>
      </c>
      <c r="IC46">
        <f>IC45*IF(OR($C45=137,$G45=137),0,1)</f>
        <v/>
      </c>
      <c r="ID46">
        <f>ID45*IF(OR($C45=138,$G45=138),0,1)</f>
        <v/>
      </c>
      <c r="IE46">
        <f>IE45*IF(OR($C45=139,$G45=139),0,1)</f>
        <v/>
      </c>
      <c r="IF46">
        <f>IF45*IF(OR($C45=140,$G45=140),0,1)</f>
        <v/>
      </c>
      <c r="IG46">
        <f>IG45*IF(OR($C45=141,$G45=141),0,1)</f>
        <v/>
      </c>
      <c r="IH46">
        <f>IH45*IF(OR($C45=142,$G45=142),0,1)</f>
        <v/>
      </c>
      <c r="II46">
        <f>II45*IF(OR($C45=143,$G45=143),0,1)</f>
        <v/>
      </c>
      <c r="IJ46">
        <f>IJ45*IF(OR($C45=144,$G45=144),0,1)</f>
        <v/>
      </c>
      <c r="IK46">
        <f>IK45*IF(OR($C45=145,$G45=145),0,1)</f>
        <v/>
      </c>
      <c r="IL46">
        <f>IL45*IF(OR($C45=146,$G45=146),0,1)</f>
        <v/>
      </c>
      <c r="IM46">
        <f>IM45*IF(OR($C45=147,$G45=147),0,1)</f>
        <v/>
      </c>
      <c r="IN46">
        <f>IN45*IF(OR($C45=148,$G45=148),0,1)</f>
        <v/>
      </c>
      <c r="IO46">
        <f>IO45*IF(OR($C45=149,$G45=149),0,1)</f>
        <v/>
      </c>
      <c r="IP46">
        <f>IP45*IF(OR($C45=150,$G45=150),0,1)</f>
        <v/>
      </c>
      <c r="IQ46">
        <f>IQ45*IF(OR($C45=151,$G45=151),0,1)</f>
        <v/>
      </c>
      <c r="IR46">
        <f>IR45*IF(OR($C45=152,$G45=152),0,1)</f>
        <v/>
      </c>
      <c r="IS46">
        <f>IS45*IF(OR($C45=153,$G45=153),0,1)</f>
        <v/>
      </c>
      <c r="IT46">
        <f>IT45*IF(OR($C45=154,$G45=154),0,1)</f>
        <v/>
      </c>
      <c r="IU46">
        <f>IU45*IF(OR($C45=155,$G45=155),0,1)</f>
        <v/>
      </c>
      <c r="IV46">
        <f>IV45*IF(OR($C45=156,$G45=156),0,1)</f>
        <v/>
      </c>
      <c r="IW46">
        <f>IW45*IF(OR($C45=157,$G45=157),0,1)</f>
        <v/>
      </c>
      <c r="IX46">
        <f>IX45*IF(OR($C45=158,$G45=158),0,1)</f>
        <v/>
      </c>
      <c r="IY46">
        <f>IY45*IF(OR($C45=159,$G45=159),0,1)</f>
        <v/>
      </c>
      <c r="IZ46">
        <f>IZ45*IF(OR($C45=160,$G45=160),0,1)</f>
        <v/>
      </c>
      <c r="JA46">
        <f>JA45*IF(OR($C45=161,$G45=161),0,1)</f>
        <v/>
      </c>
      <c r="JB46">
        <f>JB45*IF(OR($C45=162,$G45=162),0,1)</f>
        <v/>
      </c>
      <c r="JC46">
        <f>JC45*IF(OR($C45=163,$G45=163),0,1)</f>
        <v/>
      </c>
      <c r="JD46">
        <f>JD45*IF(OR($C45=164,$G45=164),0,1)</f>
        <v/>
      </c>
      <c r="JE46">
        <f>JE45*IF(OR($C45=165,$G45=165),0,1)</f>
        <v/>
      </c>
      <c r="JF46">
        <f>JF45*IF(OR($C45=166,$G45=166),0,1)</f>
        <v/>
      </c>
      <c r="JG46">
        <f>JG45*IF(OR($C45=167,$G45=167),0,1)</f>
        <v/>
      </c>
      <c r="JH46">
        <f>JH45*IF(OR($C45=168,$G45=168),0,1)</f>
        <v/>
      </c>
      <c r="JI46">
        <f>JI45*IF(OR($C45=169,$G45=169),0,1)</f>
        <v/>
      </c>
      <c r="JJ46">
        <f>JJ45*IF(OR($C45=170,$G45=170),0,1)</f>
        <v/>
      </c>
      <c r="JK46">
        <f>JK45*IF(OR($C45=171,$G45=171),0,1)</f>
        <v/>
      </c>
      <c r="JL46">
        <f>JL45*IF(OR($C45=172,$G45=172),0,1)</f>
        <v/>
      </c>
      <c r="JM46">
        <f>JM45*IF(OR($C45=173,$G45=173),0,1)</f>
        <v/>
      </c>
      <c r="JN46">
        <f>JN45*IF(OR($C45=174,$G45=174),0,1)</f>
        <v/>
      </c>
      <c r="JO46">
        <f>JO45*IF(OR($C45=175,$G45=175),0,1)</f>
        <v/>
      </c>
      <c r="JP46">
        <f>JP45*IF(OR($C45=176,$G45=176),0,1)</f>
        <v/>
      </c>
      <c r="JQ46">
        <f>JQ45*IF(OR($C45=177,$G45=177),0,1)</f>
        <v/>
      </c>
      <c r="JR46">
        <f>JR45*IF(OR($C45=178,$G45=178),0,1)</f>
        <v/>
      </c>
      <c r="JS46">
        <f>JS45*IF(OR($C45=179,$G45=179),0,1)</f>
        <v/>
      </c>
      <c r="JT46">
        <f>JT45*IF(OR($C45=180,$G45=180),0,1)</f>
        <v/>
      </c>
      <c r="JU46">
        <f>JU45*IF(OR($C45=181,$G45=181),0,1)</f>
        <v/>
      </c>
      <c r="JV46">
        <f>JV45*IF(OR($C45=182,$G45=182),0,1)</f>
        <v/>
      </c>
      <c r="JW46">
        <f>JW45*IF(OR($C45=183,$G45=183),0,1)</f>
        <v/>
      </c>
      <c r="JX46">
        <f>JX45*IF(OR($C45=184,$G45=184),0,1)</f>
        <v/>
      </c>
      <c r="JY46">
        <f>JY45*IF(OR($C45=185,$G45=185),0,1)</f>
        <v/>
      </c>
      <c r="JZ46">
        <f>JZ45*IF(OR($C45=186,$G45=186),0,1)</f>
        <v/>
      </c>
      <c r="KA46">
        <f>KA45*IF(OR($C45=187,$G45=187),0,1)</f>
        <v/>
      </c>
      <c r="KB46">
        <f>KB45*IF(OR($C45=188,$G45=188),0,1)</f>
        <v/>
      </c>
      <c r="KC46">
        <f>KC45*IF(OR($C45=189,$G45=189),0,1)</f>
        <v/>
      </c>
      <c r="KD46">
        <f>KD45*IF(OR($C45=190,$G45=190),0,1)</f>
        <v/>
      </c>
      <c r="KE46">
        <f>KE45*IF(OR($C45=191,$G45=191),0,1)</f>
        <v/>
      </c>
      <c r="KF46">
        <f>KF45*IF(OR($C45=192,$G45=192),0,1)</f>
        <v/>
      </c>
      <c r="KG46">
        <f>KG45*IF(OR($C45=193,$G45=193),0,1)</f>
        <v/>
      </c>
      <c r="KH46">
        <f>KH45*IF(OR($C45=194,$G45=194),0,1)</f>
        <v/>
      </c>
      <c r="KI46">
        <f>KI45*IF(OR($C45=195,$G45=195),0,1)</f>
        <v/>
      </c>
      <c r="KJ46">
        <f>KJ45*IF(OR($C45=196,$G45=196),0,1)</f>
        <v/>
      </c>
      <c r="KK46">
        <f>KK45*IF(OR($C45=197,$G45=197),0,1)</f>
        <v/>
      </c>
      <c r="KL46">
        <f>KL45*IF(OR($C45=198,$G45=198),0,1)</f>
        <v/>
      </c>
      <c r="KM46">
        <f>KM45*IF(OR($C45=199,$G45=199),0,1)</f>
        <v/>
      </c>
      <c r="KN46">
        <f>KN45*IF(OR($C45=200,$G45=200),0,1)</f>
        <v/>
      </c>
      <c r="KO46">
        <f>KO45*IF(OR($C45=201,$G45=201),0,1)</f>
        <v/>
      </c>
      <c r="KP46">
        <f>KP45*IF(OR($C45=202,$G45=202),0,1)</f>
        <v/>
      </c>
      <c r="KQ46">
        <f>KQ45*IF(OR($C45=203,$G45=203),0,1)</f>
        <v/>
      </c>
      <c r="KR46">
        <f>KR45*IF(OR($C45=204,$G45=204),0,1)</f>
        <v/>
      </c>
      <c r="KS46">
        <f>KS45*IF(OR($C45=205,$G45=205),0,1)</f>
        <v/>
      </c>
      <c r="KT46">
        <f>KT45*IF(OR($C45=206,$G45=206),0,1)</f>
        <v/>
      </c>
      <c r="KU46">
        <f>KU45*IF(OR($C45=207,$G45=207),0,1)</f>
        <v/>
      </c>
      <c r="KV46">
        <f>KV45*IF(OR($C45=208,$G45=208),0,1)</f>
        <v/>
      </c>
      <c r="KW46">
        <f>KW45*IF(OR($C45=209,$G45=209),0,1)</f>
        <v/>
      </c>
      <c r="KX46">
        <f>KX45*IF(OR($C45=210,$G45=210),0,1)</f>
        <v/>
      </c>
      <c r="KY46">
        <f>KY45*IF(OR($C45=211,$G45=211),0,1)</f>
        <v/>
      </c>
      <c r="KZ46">
        <f>KZ45*IF(OR($C45=212,$G45=212),0,1)</f>
        <v/>
      </c>
      <c r="LA46">
        <f>LA45*IF(OR($C45=213,$G45=213),0,1)</f>
        <v/>
      </c>
      <c r="LB46">
        <f>LB45*IF(OR($C45=214,$G45=214),0,1)</f>
        <v/>
      </c>
      <c r="LC46">
        <f>LC45*IF(OR($C45=215,$G45=215),0,1)</f>
        <v/>
      </c>
      <c r="LD46">
        <f>LD45*IF(OR($C45=216,$G45=216),0,1)</f>
        <v/>
      </c>
      <c r="LE46">
        <f>LE45*IF(OR($C45=217,$G45=217),0,1)</f>
        <v/>
      </c>
      <c r="LF46">
        <f>LF45*IF(OR($C45=218,$G45=218),0,1)</f>
        <v/>
      </c>
      <c r="LG46">
        <f>LG45*IF(OR($C45=219,$G45=219),0,1)</f>
        <v/>
      </c>
      <c r="LH46">
        <f>LH45*IF(OR($C45=220,$G45=220),0,1)</f>
        <v/>
      </c>
      <c r="LI46">
        <f>LI45*IF(OR($C45=221,$G45=221),0,1)</f>
        <v/>
      </c>
      <c r="LJ46">
        <f>LJ45*IF(OR($C45=222,$G45=222),0,1)</f>
        <v/>
      </c>
      <c r="LK46">
        <f>LK45*IF(OR($C45=223,$G45=223),0,1)</f>
        <v/>
      </c>
      <c r="LL46">
        <f>LL45*IF(OR($C45=224,$G45=224),0,1)</f>
        <v/>
      </c>
      <c r="LM46">
        <f>LM45*IF(OR($C45=225,$G45=225),0,1)</f>
        <v/>
      </c>
      <c r="LN46">
        <f>LN45*IF(OR($C45=226,$G45=226),0,1)</f>
        <v/>
      </c>
      <c r="LO46">
        <f>LO45*IF(OR($C45=227,$G45=227),0,1)</f>
        <v/>
      </c>
      <c r="LP46">
        <f>LP45*IF(OR($C45=228,$G45=228),0,1)</f>
        <v/>
      </c>
      <c r="LQ46">
        <f>LQ45*IF(OR($C45=229,$G45=229),0,1)</f>
        <v/>
      </c>
      <c r="LR46">
        <f>LR45*IF(OR($C45=230,$G45=230),0,1)</f>
        <v/>
      </c>
      <c r="LS46">
        <f>LS45*IF(OR($C45=231,$G45=231),0,1)</f>
        <v/>
      </c>
      <c r="LT46">
        <f>LT45*IF(OR($C45=232,$G45=232),0,1)</f>
        <v/>
      </c>
      <c r="LU46">
        <f>LU45*IF(OR($C45=233,$G45=233),0,1)</f>
        <v/>
      </c>
      <c r="LV46">
        <f>LV45*IF(OR($C45=234,$G45=234),0,1)</f>
        <v/>
      </c>
      <c r="LW46">
        <f>LW45*IF(OR($C45=235,$G45=235),0,1)</f>
        <v/>
      </c>
      <c r="LX46">
        <f>LX45*IF(OR($C45=236,$G45=236),0,1)</f>
        <v/>
      </c>
      <c r="LY46">
        <f>LY45*IF(OR($C45=237,$G45=237),0,1)</f>
        <v/>
      </c>
      <c r="LZ46">
        <f>LZ45*IF(OR($C45=238,$G45=238),0,1)</f>
        <v/>
      </c>
      <c r="MA46">
        <f>MA45*IF(OR($C45=239,$G45=239),0,1)</f>
        <v/>
      </c>
      <c r="MB46">
        <f>MB45*IF(OR($C45=240,$G45=240),0,1)</f>
        <v/>
      </c>
      <c r="MD46">
        <f>IF('計算A'!D$106=1,CX46,1)</f>
        <v/>
      </c>
      <c r="ME46">
        <f>IF('計算A'!E$106=1,CY46,1)</f>
        <v/>
      </c>
      <c r="MF46">
        <f>IF('計算A'!F$106=1,CZ46,1)</f>
        <v/>
      </c>
      <c r="MG46">
        <f>IF('計算A'!G$106=1,DA46,1)</f>
        <v/>
      </c>
      <c r="MH46">
        <f>IF('計算A'!H$106=1,DB46,1)</f>
        <v/>
      </c>
      <c r="MI46">
        <f>IF('計算A'!I$106=1,DC46,1)</f>
        <v/>
      </c>
      <c r="MJ46">
        <f>IF('計算A'!J$106=1,DD46,1)</f>
        <v/>
      </c>
      <c r="MK46">
        <f>IF('計算A'!K$106=1,DE46,1)</f>
        <v/>
      </c>
      <c r="ML46">
        <f>IF('計算A'!L$106=1,DF46,1)</f>
        <v/>
      </c>
      <c r="MM46">
        <f>IF('計算A'!M$106=1,DG46,1)</f>
        <v/>
      </c>
      <c r="MN46">
        <f>IF('計算A'!N$106=1,DH46,1)</f>
        <v/>
      </c>
      <c r="MO46">
        <f>IF('計算A'!O$106=1,DI46,1)</f>
        <v/>
      </c>
      <c r="MP46">
        <f>IF('計算A'!P$106=1,DJ46,1)</f>
        <v/>
      </c>
      <c r="MQ46">
        <f>IF('計算A'!Q$106=1,DK46,1)</f>
        <v/>
      </c>
      <c r="MR46">
        <f>IF('計算A'!R$106=1,DL46,1)</f>
        <v/>
      </c>
      <c r="MS46">
        <f>IF('計算A'!S$106=1,DM46,1)</f>
        <v/>
      </c>
      <c r="MT46">
        <f>IF('計算A'!T$106=1,DN46,1)</f>
        <v/>
      </c>
      <c r="MU46">
        <f>IF('計算A'!U$106=1,DO46,1)</f>
        <v/>
      </c>
      <c r="MV46">
        <f>IF('計算A'!V$106=1,DP46,1)</f>
        <v/>
      </c>
      <c r="MW46">
        <f>IF('計算A'!W$106=1,DQ46,1)</f>
        <v/>
      </c>
      <c r="MX46">
        <f>IF('計算A'!X$106=1,DR46,1)</f>
        <v/>
      </c>
      <c r="MY46">
        <f>IF('計算A'!Y$106=1,DS46,1)</f>
        <v/>
      </c>
      <c r="MZ46">
        <f>IF('計算A'!Z$106=1,DT46,1)</f>
        <v/>
      </c>
      <c r="NA46">
        <f>IF('計算A'!AA$106=1,DU46,1)</f>
        <v/>
      </c>
      <c r="NB46">
        <f>IF('計算A'!AB$106=1,DV46,1)</f>
        <v/>
      </c>
      <c r="NC46">
        <f>IF('計算A'!AC$106=1,DW46,1)</f>
        <v/>
      </c>
      <c r="ND46">
        <f>IF('計算A'!AD$106=1,DX46,1)</f>
        <v/>
      </c>
      <c r="NE46">
        <f>IF('計算A'!AE$106=1,DY46,1)</f>
        <v/>
      </c>
      <c r="NF46">
        <f>IF('計算A'!AF$106=1,DZ46,1)</f>
        <v/>
      </c>
      <c r="NG46">
        <f>IF('計算A'!AG$106=1,EA46,1)</f>
        <v/>
      </c>
      <c r="NH46">
        <f>IF('計算A'!AH$106=1,EB46,1)</f>
        <v/>
      </c>
      <c r="NI46">
        <f>IF('計算A'!AI$106=1,EC46,1)</f>
        <v/>
      </c>
      <c r="NJ46">
        <f>IF('計算A'!AJ$106=1,ED46,1)</f>
        <v/>
      </c>
      <c r="NK46">
        <f>IF('計算A'!AK$106=1,EE46,1)</f>
        <v/>
      </c>
      <c r="NL46">
        <f>IF('計算A'!AL$106=1,EF46,1)</f>
        <v/>
      </c>
      <c r="NM46">
        <f>IF('計算A'!AM$106=1,EG46,1)</f>
        <v/>
      </c>
      <c r="NN46">
        <f>IF('計算A'!AN$106=1,EH46,1)</f>
        <v/>
      </c>
      <c r="NO46">
        <f>IF('計算A'!AO$106=1,EI46,1)</f>
        <v/>
      </c>
      <c r="NP46">
        <f>IF('計算A'!AP$106=1,EJ46,1)</f>
        <v/>
      </c>
      <c r="NQ46">
        <f>IF('計算A'!AQ$106=1,EK46,1)</f>
        <v/>
      </c>
      <c r="NR46">
        <f>IF('計算A'!AR$106=1,EL46,1)</f>
        <v/>
      </c>
      <c r="NS46">
        <f>IF('計算A'!AS$106=1,EM46,1)</f>
        <v/>
      </c>
      <c r="NT46">
        <f>IF('計算A'!AT$106=1,EN46,1)</f>
        <v/>
      </c>
      <c r="NU46">
        <f>IF('計算A'!AU$106=1,EO46,1)</f>
        <v/>
      </c>
      <c r="NV46">
        <f>IF('計算A'!AV$106=1,EP46,1)</f>
        <v/>
      </c>
      <c r="NW46">
        <f>IF('計算A'!AW$106=1,EQ46,1)</f>
        <v/>
      </c>
      <c r="NX46">
        <f>IF('計算A'!AX$106=1,ER46,1)</f>
        <v/>
      </c>
      <c r="NY46">
        <f>IF('計算A'!AY$106=1,ES46,1)</f>
        <v/>
      </c>
      <c r="NZ46">
        <f>IF('計算A'!AZ$106=1,ET46,1)</f>
        <v/>
      </c>
      <c r="OA46">
        <f>IF('計算A'!BA$106=1,EU46,1)</f>
        <v/>
      </c>
      <c r="OB46">
        <f>IF('計算A'!BB$106=1,EV46,1)</f>
        <v/>
      </c>
      <c r="OC46">
        <f>IF('計算A'!BC$106=1,EW46,1)</f>
        <v/>
      </c>
      <c r="OD46">
        <f>IF('計算A'!BD$106=1,EX46,1)</f>
        <v/>
      </c>
      <c r="OE46">
        <f>IF('計算A'!BE$106=1,EY46,1)</f>
        <v/>
      </c>
      <c r="OF46">
        <f>IF('計算A'!BF$106=1,EZ46,1)</f>
        <v/>
      </c>
      <c r="OG46">
        <f>IF('計算A'!BG$106=1,FA46,1)</f>
        <v/>
      </c>
      <c r="OH46">
        <f>IF('計算A'!BH$106=1,FB46,1)</f>
        <v/>
      </c>
      <c r="OI46">
        <f>IF('計算A'!BI$106=1,FC46,1)</f>
        <v/>
      </c>
      <c r="OJ46">
        <f>IF('計算A'!BJ$106=1,FD46,1)</f>
        <v/>
      </c>
      <c r="OK46">
        <f>IF('計算A'!BK$106=1,FE46,1)</f>
        <v/>
      </c>
      <c r="OL46">
        <f>IF('計算A'!BL$106=1,FF46,1)</f>
        <v/>
      </c>
      <c r="OM46">
        <f>IF('計算A'!BM$106=1,FG46,1)</f>
        <v/>
      </c>
      <c r="ON46">
        <f>IF('計算A'!BN$106=1,FH46,1)</f>
        <v/>
      </c>
      <c r="OO46">
        <f>IF('計算A'!BO$106=1,FI46,1)</f>
        <v/>
      </c>
      <c r="OP46">
        <f>IF('計算A'!BP$106=1,FJ46,1)</f>
        <v/>
      </c>
      <c r="OQ46">
        <f>IF('計算A'!BQ$106=1,FK46,1)</f>
        <v/>
      </c>
      <c r="OR46">
        <f>IF('計算A'!BR$106=1,FL46,1)</f>
        <v/>
      </c>
      <c r="OS46">
        <f>IF('計算A'!BS$106=1,FM46,1)</f>
        <v/>
      </c>
      <c r="OT46">
        <f>IF('計算A'!BT$106=1,FN46,1)</f>
        <v/>
      </c>
      <c r="OU46">
        <f>IF('計算A'!BU$106=1,FO46,1)</f>
        <v/>
      </c>
      <c r="OV46">
        <f>IF('計算A'!BV$106=1,FP46,1)</f>
        <v/>
      </c>
      <c r="OW46">
        <f>IF('計算A'!BW$106=1,FQ46,1)</f>
        <v/>
      </c>
      <c r="OX46">
        <f>IF('計算A'!BX$106=1,FR46,1)</f>
        <v/>
      </c>
      <c r="OY46">
        <f>IF('計算A'!BY$106=1,FS46,1)</f>
        <v/>
      </c>
      <c r="OZ46">
        <f>IF('計算A'!BZ$106=1,FT46,1)</f>
        <v/>
      </c>
      <c r="PA46">
        <f>IF('計算A'!CA$106=1,FU46,1)</f>
        <v/>
      </c>
      <c r="PB46">
        <f>IF('計算A'!CB$106=1,FV46,1)</f>
        <v/>
      </c>
      <c r="PC46">
        <f>IF('計算A'!CC$106=1,FW46,1)</f>
        <v/>
      </c>
      <c r="PD46">
        <f>IF('計算A'!CD$106=1,FX46,1)</f>
        <v/>
      </c>
      <c r="PE46">
        <f>IF('計算A'!CE$106=1,FY46,1)</f>
        <v/>
      </c>
      <c r="PF46">
        <f>IF('計算A'!CF$106=1,FZ46,1)</f>
        <v/>
      </c>
      <c r="PG46">
        <f>IF('計算A'!CG$106=1,GA46,1)</f>
        <v/>
      </c>
      <c r="PH46">
        <f>IF('計算A'!CH$106=1,GB46,1)</f>
        <v/>
      </c>
      <c r="PI46">
        <f>IF('計算A'!CI$106=1,GC46,1)</f>
        <v/>
      </c>
      <c r="PJ46">
        <f>IF('計算A'!CJ$106=1,GD46,1)</f>
        <v/>
      </c>
      <c r="PK46">
        <f>IF('計算A'!CK$106=1,GE46,1)</f>
        <v/>
      </c>
      <c r="PL46">
        <f>IF('計算A'!CL$106=1,GF46,1)</f>
        <v/>
      </c>
      <c r="PM46">
        <f>IF('計算A'!CM$106=1,GG46,1)</f>
        <v/>
      </c>
      <c r="PN46">
        <f>IF('計算A'!CN$106=1,GH46,1)</f>
        <v/>
      </c>
      <c r="PO46">
        <f>IF('計算A'!CO$106=1,GI46,1)</f>
        <v/>
      </c>
      <c r="PP46">
        <f>IF('計算A'!CP$106=1,GJ46,1)</f>
        <v/>
      </c>
      <c r="PQ46">
        <f>IF('計算A'!CQ$106=1,GK46,1)</f>
        <v/>
      </c>
      <c r="PR46">
        <f>IF('計算A'!CR$106=1,GL46,1)</f>
        <v/>
      </c>
      <c r="PS46">
        <f>IF('計算A'!CS$106=1,GM46,1)</f>
        <v/>
      </c>
      <c r="PT46">
        <f>IF('計算A'!CT$106=1,GN46,1)</f>
        <v/>
      </c>
      <c r="PU46">
        <f>IF('計算A'!CU$106=1,GO46,1)</f>
        <v/>
      </c>
      <c r="PV46">
        <f>IF('計算A'!CV$106=1,GP46,1)</f>
        <v/>
      </c>
      <c r="PW46">
        <f>IF('計算A'!CW$106=1,GQ46,1)</f>
        <v/>
      </c>
      <c r="PX46">
        <f>IF('計算A'!CX$106=1,GR46,1)</f>
        <v/>
      </c>
      <c r="PY46">
        <f>IF('計算A'!CY$106=1,GS46,1)</f>
        <v/>
      </c>
      <c r="PZ46">
        <f>IF('計算A'!CZ$106=1,GT46,1)</f>
        <v/>
      </c>
      <c r="QA46">
        <f>IF('計算A'!DA$106=1,GU46,1)</f>
        <v/>
      </c>
      <c r="QB46">
        <f>IF('計算A'!DB$106=1,GV46,1)</f>
        <v/>
      </c>
      <c r="QC46">
        <f>IF('計算A'!DC$106=1,GW46,1)</f>
        <v/>
      </c>
      <c r="QD46">
        <f>IF('計算A'!DD$106=1,GX46,1)</f>
        <v/>
      </c>
      <c r="QE46">
        <f>IF('計算A'!DE$106=1,GY46,1)</f>
        <v/>
      </c>
      <c r="QF46">
        <f>IF('計算A'!DF$106=1,GZ46,1)</f>
        <v/>
      </c>
      <c r="QG46">
        <f>IF('計算A'!DG$106=1,HA46,1)</f>
        <v/>
      </c>
      <c r="QH46">
        <f>IF('計算A'!DH$106=1,HB46,1)</f>
        <v/>
      </c>
      <c r="QI46">
        <f>IF('計算A'!DI$106=1,HC46,1)</f>
        <v/>
      </c>
      <c r="QJ46">
        <f>IF('計算A'!DJ$106=1,HD46,1)</f>
        <v/>
      </c>
      <c r="QK46">
        <f>IF('計算A'!DK$106=1,HE46,1)</f>
        <v/>
      </c>
      <c r="QL46">
        <f>IF('計算A'!DL$106=1,HF46,1)</f>
        <v/>
      </c>
      <c r="QM46">
        <f>IF('計算A'!DM$106=1,HG46,1)</f>
        <v/>
      </c>
      <c r="QN46">
        <f>IF('計算A'!DN$106=1,HH46,1)</f>
        <v/>
      </c>
      <c r="QO46">
        <f>IF('計算A'!DO$106=1,HI46,1)</f>
        <v/>
      </c>
      <c r="QP46">
        <f>IF('計算A'!DP$106=1,HJ46,1)</f>
        <v/>
      </c>
      <c r="QQ46">
        <f>IF('計算A'!DQ$106=1,HK46,1)</f>
        <v/>
      </c>
      <c r="QR46">
        <f>IF('計算A'!DR$106=1,HL46,1)</f>
        <v/>
      </c>
      <c r="QS46">
        <f>IF('計算A'!DS$106=1,HM46,1)</f>
        <v/>
      </c>
      <c r="QT46">
        <f>IF('計算A'!DT$106=1,HN46,1)</f>
        <v/>
      </c>
      <c r="QU46">
        <f>IF('計算A'!DU$106=1,HO46,1)</f>
        <v/>
      </c>
      <c r="QV46">
        <f>IF('計算A'!DV$106=1,HP46,1)</f>
        <v/>
      </c>
      <c r="QW46">
        <f>IF('計算A'!DW$106=1,HQ46,1)</f>
        <v/>
      </c>
      <c r="QX46">
        <f>IF('計算A'!DX$106=1,HR46,1)</f>
        <v/>
      </c>
      <c r="QY46">
        <f>IF('計算A'!DY$106=1,HS46,1)</f>
        <v/>
      </c>
      <c r="QZ46">
        <f>IF('計算A'!DZ$106=1,HT46,1)</f>
        <v/>
      </c>
      <c r="RA46">
        <f>IF('計算A'!EA$106=1,HU46,1)</f>
        <v/>
      </c>
      <c r="RB46">
        <f>IF('計算A'!EB$106=1,HV46,1)</f>
        <v/>
      </c>
      <c r="RC46">
        <f>IF('計算A'!EC$106=1,HW46,1)</f>
        <v/>
      </c>
      <c r="RD46">
        <f>IF('計算A'!ED$106=1,HX46,1)</f>
        <v/>
      </c>
      <c r="RE46">
        <f>IF('計算A'!EE$106=1,HY46,1)</f>
        <v/>
      </c>
      <c r="RF46">
        <f>IF('計算A'!EF$106=1,HZ46,1)</f>
        <v/>
      </c>
      <c r="RG46">
        <f>IF('計算A'!EG$106=1,IA46,1)</f>
        <v/>
      </c>
      <c r="RH46">
        <f>IF('計算A'!EH$106=1,IB46,1)</f>
        <v/>
      </c>
      <c r="RI46">
        <f>IF('計算A'!EI$106=1,IC46,1)</f>
        <v/>
      </c>
      <c r="RJ46">
        <f>IF('計算A'!EJ$106=1,ID46,1)</f>
        <v/>
      </c>
      <c r="RK46">
        <f>IF('計算A'!EK$106=1,IE46,1)</f>
        <v/>
      </c>
      <c r="RL46">
        <f>IF('計算A'!EL$106=1,IF46,1)</f>
        <v/>
      </c>
      <c r="RM46">
        <f>IF('計算A'!EM$106=1,IG46,1)</f>
        <v/>
      </c>
      <c r="RN46">
        <f>IF('計算A'!EN$106=1,IH46,1)</f>
        <v/>
      </c>
      <c r="RO46">
        <f>IF('計算A'!EO$106=1,II46,1)</f>
        <v/>
      </c>
      <c r="RP46">
        <f>IF('計算A'!EP$106=1,IJ46,1)</f>
        <v/>
      </c>
      <c r="RQ46">
        <f>IF('計算A'!EQ$106=1,IK46,1)</f>
        <v/>
      </c>
      <c r="RR46">
        <f>IF('計算A'!ER$106=1,IL46,1)</f>
        <v/>
      </c>
      <c r="RS46">
        <f>IF('計算A'!ES$106=1,IM46,1)</f>
        <v/>
      </c>
      <c r="RT46">
        <f>IF('計算A'!ET$106=1,IN46,1)</f>
        <v/>
      </c>
      <c r="RU46">
        <f>IF('計算A'!EU$106=1,IO46,1)</f>
        <v/>
      </c>
      <c r="RV46">
        <f>IF('計算A'!EV$106=1,IP46,1)</f>
        <v/>
      </c>
      <c r="RW46">
        <f>IF('計算A'!EW$106=1,IQ46,1)</f>
        <v/>
      </c>
      <c r="RX46">
        <f>IF('計算A'!EX$106=1,IR46,1)</f>
        <v/>
      </c>
      <c r="RY46">
        <f>IF('計算A'!EY$106=1,IS46,1)</f>
        <v/>
      </c>
      <c r="RZ46">
        <f>IF('計算A'!EZ$106=1,IT46,1)</f>
        <v/>
      </c>
      <c r="SA46">
        <f>IF('計算A'!FA$106=1,IU46,1)</f>
        <v/>
      </c>
      <c r="SB46">
        <f>IF('計算A'!FB$106=1,IV46,1)</f>
        <v/>
      </c>
      <c r="SC46">
        <f>IF('計算A'!FC$106=1,IW46,1)</f>
        <v/>
      </c>
      <c r="SD46">
        <f>IF('計算A'!FD$106=1,IX46,1)</f>
        <v/>
      </c>
      <c r="SE46">
        <f>IF('計算A'!FE$106=1,IY46,1)</f>
        <v/>
      </c>
      <c r="SF46">
        <f>IF('計算A'!FF$106=1,IZ46,1)</f>
        <v/>
      </c>
      <c r="SG46">
        <f>IF('計算A'!FG$106=1,JA46,1)</f>
        <v/>
      </c>
      <c r="SH46">
        <f>IF('計算A'!FH$106=1,JB46,1)</f>
        <v/>
      </c>
      <c r="SI46">
        <f>IF('計算A'!FI$106=1,JC46,1)</f>
        <v/>
      </c>
      <c r="SJ46">
        <f>IF('計算A'!FJ$106=1,JD46,1)</f>
        <v/>
      </c>
      <c r="SK46">
        <f>IF('計算A'!FK$106=1,JE46,1)</f>
        <v/>
      </c>
      <c r="SL46">
        <f>IF('計算A'!FL$106=1,JF46,1)</f>
        <v/>
      </c>
      <c r="SM46">
        <f>IF('計算A'!FM$106=1,JG46,1)</f>
        <v/>
      </c>
      <c r="SN46">
        <f>IF('計算A'!FN$106=1,JH46,1)</f>
        <v/>
      </c>
      <c r="SO46">
        <f>IF('計算A'!FO$106=1,JI46,1)</f>
        <v/>
      </c>
      <c r="SP46">
        <f>IF('計算A'!FP$106=1,JJ46,1)</f>
        <v/>
      </c>
      <c r="SQ46">
        <f>IF('計算A'!FQ$106=1,JK46,1)</f>
        <v/>
      </c>
      <c r="SR46">
        <f>IF('計算A'!FR$106=1,JL46,1)</f>
        <v/>
      </c>
      <c r="SS46">
        <f>IF('計算A'!FS$106=1,JM46,1)</f>
        <v/>
      </c>
      <c r="ST46">
        <f>IF('計算A'!FT$106=1,JN46,1)</f>
        <v/>
      </c>
      <c r="SU46">
        <f>IF('計算A'!FU$106=1,JO46,1)</f>
        <v/>
      </c>
      <c r="SV46">
        <f>IF('計算A'!FV$106=1,JP46,1)</f>
        <v/>
      </c>
      <c r="SW46">
        <f>IF('計算A'!FW$106=1,JQ46,1)</f>
        <v/>
      </c>
      <c r="SX46">
        <f>IF('計算A'!FX$106=1,JR46,1)</f>
        <v/>
      </c>
      <c r="SY46">
        <f>IF('計算A'!FY$106=1,JS46,1)</f>
        <v/>
      </c>
      <c r="SZ46">
        <f>IF('計算A'!FZ$106=1,JT46,1)</f>
        <v/>
      </c>
      <c r="TA46">
        <f>IF('計算A'!GA$106=1,JU46,1)</f>
        <v/>
      </c>
      <c r="TB46">
        <f>IF('計算A'!GB$106=1,JV46,1)</f>
        <v/>
      </c>
      <c r="TC46">
        <f>IF('計算A'!GC$106=1,JW46,1)</f>
        <v/>
      </c>
      <c r="TD46">
        <f>IF('計算A'!GD$106=1,JX46,1)</f>
        <v/>
      </c>
      <c r="TE46">
        <f>IF('計算A'!GE$106=1,JY46,1)</f>
        <v/>
      </c>
      <c r="TF46">
        <f>IF('計算A'!GF$106=1,JZ46,1)</f>
        <v/>
      </c>
      <c r="TG46">
        <f>IF('計算A'!GG$106=1,KA46,1)</f>
        <v/>
      </c>
      <c r="TH46">
        <f>IF('計算A'!GH$106=1,KB46,1)</f>
        <v/>
      </c>
      <c r="TI46">
        <f>IF('計算A'!GI$106=1,KC46,1)</f>
        <v/>
      </c>
      <c r="TJ46">
        <f>IF('計算A'!GJ$106=1,KD46,1)</f>
        <v/>
      </c>
      <c r="TK46">
        <f>IF('計算A'!GK$106=1,KE46,1)</f>
        <v/>
      </c>
      <c r="TL46">
        <f>IF('計算A'!GL$106=1,KF46,1)</f>
        <v/>
      </c>
      <c r="TM46">
        <f>IF('計算A'!GM$106=1,KG46,1)</f>
        <v/>
      </c>
      <c r="TN46">
        <f>IF('計算A'!GN$106=1,KH46,1)</f>
        <v/>
      </c>
      <c r="TO46">
        <f>IF('計算A'!GO$106=1,KI46,1)</f>
        <v/>
      </c>
      <c r="TP46">
        <f>IF('計算A'!GP$106=1,KJ46,1)</f>
        <v/>
      </c>
      <c r="TQ46">
        <f>IF('計算A'!GQ$106=1,KK46,1)</f>
        <v/>
      </c>
      <c r="TR46">
        <f>IF('計算A'!GR$106=1,KL46,1)</f>
        <v/>
      </c>
      <c r="TS46">
        <f>IF('計算A'!GS$106=1,KM46,1)</f>
        <v/>
      </c>
      <c r="TT46">
        <f>IF('計算A'!GT$106=1,KN46,1)</f>
        <v/>
      </c>
      <c r="TU46">
        <f>IF('計算A'!GU$106=1,KO46,1)</f>
        <v/>
      </c>
      <c r="TV46">
        <f>IF('計算A'!GV$106=1,KP46,1)</f>
        <v/>
      </c>
      <c r="TW46">
        <f>IF('計算A'!GW$106=1,KQ46,1)</f>
        <v/>
      </c>
      <c r="TX46">
        <f>IF('計算A'!GX$106=1,KR46,1)</f>
        <v/>
      </c>
      <c r="TY46">
        <f>IF('計算A'!GY$106=1,KS46,1)</f>
        <v/>
      </c>
      <c r="TZ46">
        <f>IF('計算A'!GZ$106=1,KT46,1)</f>
        <v/>
      </c>
      <c r="UA46">
        <f>IF('計算A'!HA$106=1,KU46,1)</f>
        <v/>
      </c>
      <c r="UB46">
        <f>IF('計算A'!HB$106=1,KV46,1)</f>
        <v/>
      </c>
      <c r="UC46">
        <f>IF('計算A'!HC$106=1,KW46,1)</f>
        <v/>
      </c>
      <c r="UD46">
        <f>IF('計算A'!HD$106=1,KX46,1)</f>
        <v/>
      </c>
      <c r="UE46">
        <f>IF('計算A'!HE$106=1,KY46,1)</f>
        <v/>
      </c>
      <c r="UF46">
        <f>IF('計算A'!HF$106=1,KZ46,1)</f>
        <v/>
      </c>
      <c r="UG46">
        <f>IF('計算A'!HG$106=1,LA46,1)</f>
        <v/>
      </c>
      <c r="UH46">
        <f>IF('計算A'!HH$106=1,LB46,1)</f>
        <v/>
      </c>
      <c r="UI46">
        <f>IF('計算A'!HI$106=1,LC46,1)</f>
        <v/>
      </c>
      <c r="UJ46">
        <f>IF('計算A'!HJ$106=1,LD46,1)</f>
        <v/>
      </c>
      <c r="UK46">
        <f>IF('計算A'!HK$106=1,LE46,1)</f>
        <v/>
      </c>
      <c r="UL46">
        <f>IF('計算A'!HL$106=1,LF46,1)</f>
        <v/>
      </c>
      <c r="UM46">
        <f>IF('計算A'!HM$106=1,LG46,1)</f>
        <v/>
      </c>
      <c r="UN46">
        <f>IF('計算A'!HN$106=1,LH46,1)</f>
        <v/>
      </c>
      <c r="UO46">
        <f>IF('計算A'!HO$106=1,LI46,1)</f>
        <v/>
      </c>
      <c r="UP46">
        <f>IF('計算A'!HP$106=1,LJ46,1)</f>
        <v/>
      </c>
      <c r="UQ46">
        <f>IF('計算A'!HQ$106=1,LK46,1)</f>
        <v/>
      </c>
      <c r="UR46">
        <f>IF('計算A'!HR$106=1,LL46,1)</f>
        <v/>
      </c>
      <c r="US46">
        <f>IF('計算A'!HS$106=1,LM46,1)</f>
        <v/>
      </c>
      <c r="UT46">
        <f>IF('計算A'!HT$106=1,LN46,1)</f>
        <v/>
      </c>
      <c r="UU46">
        <f>IF('計算A'!HU$106=1,LO46,1)</f>
        <v/>
      </c>
      <c r="UV46">
        <f>IF('計算A'!HV$106=1,LP46,1)</f>
        <v/>
      </c>
      <c r="UW46">
        <f>IF('計算A'!HW$106=1,LQ46,1)</f>
        <v/>
      </c>
      <c r="UX46">
        <f>IF('計算A'!HX$106=1,LR46,1)</f>
        <v/>
      </c>
      <c r="UY46">
        <f>IF('計算A'!HY$106=1,LS46,1)</f>
        <v/>
      </c>
      <c r="UZ46">
        <f>IF('計算A'!HZ$106=1,LT46,1)</f>
        <v/>
      </c>
      <c r="VA46">
        <f>IF('計算A'!IA$106=1,LU46,1)</f>
        <v/>
      </c>
      <c r="VB46">
        <f>IF('計算A'!IB$106=1,LV46,1)</f>
        <v/>
      </c>
      <c r="VC46">
        <f>IF('計算A'!IC$106=1,LW46,1)</f>
        <v/>
      </c>
      <c r="VD46">
        <f>IF('計算A'!ID$106=1,LX46,1)</f>
        <v/>
      </c>
      <c r="VE46">
        <f>IF('計算A'!IE$106=1,LY46,1)</f>
        <v/>
      </c>
      <c r="VF46">
        <f>IF('計算A'!IF$106=1,LZ46,1)</f>
        <v/>
      </c>
      <c r="VG46">
        <f>IF('計算A'!IG$106=1,MA46,1)</f>
        <v/>
      </c>
      <c r="VH46">
        <f>IF('計算A'!IH$106=1,MB46,1)</f>
        <v/>
      </c>
      <c r="VI46" t="n">
        <v>1</v>
      </c>
      <c r="VK46">
        <f>IF($B46=0,1000000,IF(INDEX('計算A'!$D$60:$II$104,$B46,1)*CW46=1,IF(AND($E46=2,MD46=0),1000000,INDEX('計算A'!D$110:D$114,$F46+1)+IF(AND($E46=1,MD46=0),1000,0)),1000000))</f>
        <v/>
      </c>
      <c r="VL46">
        <f>IF($B46=0,1000000,IF(INDEX('計算A'!$D$60:$II$104,$B46,2)*CX46=1,IF(AND($E46=2,ME46=0),1000000,INDEX('計算A'!E$110:E$114,$F46+1)+IF(AND($E46=1,ME46=0),1000,0)),1000000))</f>
        <v/>
      </c>
      <c r="VM46">
        <f>IF($B46=0,1000000,IF(INDEX('計算A'!$D$60:$II$104,$B46,3)*CY46=1,IF(AND($E46=2,MF46=0),1000000,INDEX('計算A'!F$110:F$114,$F46+1)+IF(AND($E46=1,MF46=0),1000,0)),1000000))</f>
        <v/>
      </c>
      <c r="VN46">
        <f>IF($B46=0,1000000,IF(INDEX('計算A'!$D$60:$II$104,$B46,4)*CZ46=1,IF(AND($E46=2,MG46=0),1000000,INDEX('計算A'!G$110:G$114,$F46+1)+IF(AND($E46=1,MG46=0),1000,0)),1000000))</f>
        <v/>
      </c>
      <c r="VO46">
        <f>IF($B46=0,1000000,IF(INDEX('計算A'!$D$60:$II$104,$B46,5)*DA46=1,IF(AND($E46=2,MH46=0),1000000,INDEX('計算A'!H$110:H$114,$F46+1)+IF(AND($E46=1,MH46=0),1000,0)),1000000))</f>
        <v/>
      </c>
      <c r="VP46">
        <f>IF($B46=0,1000000,IF(INDEX('計算A'!$D$60:$II$104,$B46,6)*DB46=1,IF(AND($E46=2,MI46=0),1000000,INDEX('計算A'!I$110:I$114,$F46+1)+IF(AND($E46=1,MI46=0),1000,0)),1000000))</f>
        <v/>
      </c>
      <c r="VQ46">
        <f>IF($B46=0,1000000,IF(INDEX('計算A'!$D$60:$II$104,$B46,7)*DC46=1,IF(AND($E46=2,MJ46=0),1000000,INDEX('計算A'!J$110:J$114,$F46+1)+IF(AND($E46=1,MJ46=0),1000,0)),1000000))</f>
        <v/>
      </c>
      <c r="VR46">
        <f>IF($B46=0,1000000,IF(INDEX('計算A'!$D$60:$II$104,$B46,8)*DD46=1,IF(AND($E46=2,MK46=0),1000000,INDEX('計算A'!K$110:K$114,$F46+1)+IF(AND($E46=1,MK46=0),1000,0)),1000000))</f>
        <v/>
      </c>
      <c r="VS46">
        <f>IF($B46=0,1000000,IF(INDEX('計算A'!$D$60:$II$104,$B46,9)*DE46=1,IF(AND($E46=2,ML46=0),1000000,INDEX('計算A'!L$110:L$114,$F46+1)+IF(AND($E46=1,ML46=0),1000,0)),1000000))</f>
        <v/>
      </c>
      <c r="VT46">
        <f>IF($B46=0,1000000,IF(INDEX('計算A'!$D$60:$II$104,$B46,10)*DF46=1,IF(AND($E46=2,MM46=0),1000000,INDEX('計算A'!M$110:M$114,$F46+1)+IF(AND($E46=1,MM46=0),1000,0)),1000000))</f>
        <v/>
      </c>
      <c r="VU46">
        <f>IF($B46=0,1000000,IF(INDEX('計算A'!$D$60:$II$104,$B46,11)*DG46=1,IF(AND($E46=2,MN46=0),1000000,INDEX('計算A'!N$110:N$114,$F46+1)+IF(AND($E46=1,MN46=0),1000,0)),1000000))</f>
        <v/>
      </c>
      <c r="VV46">
        <f>IF($B46=0,1000000,IF(INDEX('計算A'!$D$60:$II$104,$B46,12)*DH46=1,IF(AND($E46=2,MO46=0),1000000,INDEX('計算A'!O$110:O$114,$F46+1)+IF(AND($E46=1,MO46=0),1000,0)),1000000))</f>
        <v/>
      </c>
      <c r="VW46">
        <f>IF($B46=0,1000000,IF(INDEX('計算A'!$D$60:$II$104,$B46,13)*DI46=1,IF(AND($E46=2,MP46=0),1000000,INDEX('計算A'!P$110:P$114,$F46+1)+IF(AND($E46=1,MP46=0),1000,0)),1000000))</f>
        <v/>
      </c>
      <c r="VX46">
        <f>IF($B46=0,1000000,IF(INDEX('計算A'!$D$60:$II$104,$B46,14)*DJ46=1,IF(AND($E46=2,MQ46=0),1000000,INDEX('計算A'!Q$110:Q$114,$F46+1)+IF(AND($E46=1,MQ46=0),1000,0)),1000000))</f>
        <v/>
      </c>
      <c r="VY46">
        <f>IF($B46=0,1000000,IF(INDEX('計算A'!$D$60:$II$104,$B46,15)*DK46=1,IF(AND($E46=2,MR46=0),1000000,INDEX('計算A'!R$110:R$114,$F46+1)+IF(AND($E46=1,MR46=0),1000,0)),1000000))</f>
        <v/>
      </c>
      <c r="VZ46">
        <f>IF($B46=0,1000000,IF(INDEX('計算A'!$D$60:$II$104,$B46,16)*DL46=1,IF(AND($E46=2,MS46=0),1000000,INDEX('計算A'!S$110:S$114,$F46+1)+IF(AND($E46=1,MS46=0),1000,0)),1000000))</f>
        <v/>
      </c>
      <c r="WA46">
        <f>IF($B46=0,1000000,IF(INDEX('計算A'!$D$60:$II$104,$B46,17)*DM46=1,IF(AND($E46=2,MT46=0),1000000,INDEX('計算A'!T$110:T$114,$F46+1)+IF(AND($E46=1,MT46=0),1000,0)),1000000))</f>
        <v/>
      </c>
      <c r="WB46">
        <f>IF($B46=0,1000000,IF(INDEX('計算A'!$D$60:$II$104,$B46,18)*DN46=1,IF(AND($E46=2,MU46=0),1000000,INDEX('計算A'!U$110:U$114,$F46+1)+IF(AND($E46=1,MU46=0),1000,0)),1000000))</f>
        <v/>
      </c>
      <c r="WC46">
        <f>IF($B46=0,1000000,IF(INDEX('計算A'!$D$60:$II$104,$B46,19)*DO46=1,IF(AND($E46=2,MV46=0),1000000,INDEX('計算A'!V$110:V$114,$F46+1)+IF(AND($E46=1,MV46=0),1000,0)),1000000))</f>
        <v/>
      </c>
      <c r="WD46">
        <f>IF($B46=0,1000000,IF(INDEX('計算A'!$D$60:$II$104,$B46,20)*DP46=1,IF(AND($E46=2,MW46=0),1000000,INDEX('計算A'!W$110:W$114,$F46+1)+IF(AND($E46=1,MW46=0),1000,0)),1000000))</f>
        <v/>
      </c>
      <c r="WE46">
        <f>IF($B46=0,1000000,IF(INDEX('計算A'!$D$60:$II$104,$B46,21)*DQ46=1,IF(AND($E46=2,MX46=0),1000000,INDEX('計算A'!X$110:X$114,$F46+1)+IF(AND($E46=1,MX46=0),1000,0)),1000000))</f>
        <v/>
      </c>
      <c r="WF46">
        <f>IF($B46=0,1000000,IF(INDEX('計算A'!$D$60:$II$104,$B46,22)*DR46=1,IF(AND($E46=2,MY46=0),1000000,INDEX('計算A'!Y$110:Y$114,$F46+1)+IF(AND($E46=1,MY46=0),1000,0)),1000000))</f>
        <v/>
      </c>
      <c r="WG46">
        <f>IF($B46=0,1000000,IF(INDEX('計算A'!$D$60:$II$104,$B46,23)*DS46=1,IF(AND($E46=2,MZ46=0),1000000,INDEX('計算A'!Z$110:Z$114,$F46+1)+IF(AND($E46=1,MZ46=0),1000,0)),1000000))</f>
        <v/>
      </c>
      <c r="WH46">
        <f>IF($B46=0,1000000,IF(INDEX('計算A'!$D$60:$II$104,$B46,24)*DT46=1,IF(AND($E46=2,NA46=0),1000000,INDEX('計算A'!AA$110:AA$114,$F46+1)+IF(AND($E46=1,NA46=0),1000,0)),1000000))</f>
        <v/>
      </c>
      <c r="WI46">
        <f>IF($B46=0,1000000,IF(INDEX('計算A'!$D$60:$II$104,$B46,25)*DU46=1,IF(AND($E46=2,NB46=0),1000000,INDEX('計算A'!AB$110:AB$114,$F46+1)+IF(AND($E46=1,NB46=0),1000,0)),1000000))</f>
        <v/>
      </c>
      <c r="WJ46">
        <f>IF($B46=0,1000000,IF(INDEX('計算A'!$D$60:$II$104,$B46,26)*DV46=1,IF(AND($E46=2,NC46=0),1000000,INDEX('計算A'!AC$110:AC$114,$F46+1)+IF(AND($E46=1,NC46=0),1000,0)),1000000))</f>
        <v/>
      </c>
      <c r="WK46">
        <f>IF($B46=0,1000000,IF(INDEX('計算A'!$D$60:$II$104,$B46,27)*DW46=1,IF(AND($E46=2,ND46=0),1000000,INDEX('計算A'!AD$110:AD$114,$F46+1)+IF(AND($E46=1,ND46=0),1000,0)),1000000))</f>
        <v/>
      </c>
      <c r="WL46">
        <f>IF($B46=0,1000000,IF(INDEX('計算A'!$D$60:$II$104,$B46,28)*DX46=1,IF(AND($E46=2,NE46=0),1000000,INDEX('計算A'!AE$110:AE$114,$F46+1)+IF(AND($E46=1,NE46=0),1000,0)),1000000))</f>
        <v/>
      </c>
      <c r="WM46">
        <f>IF($B46=0,1000000,IF(INDEX('計算A'!$D$60:$II$104,$B46,29)*DY46=1,IF(AND($E46=2,NF46=0),1000000,INDEX('計算A'!AF$110:AF$114,$F46+1)+IF(AND($E46=1,NF46=0),1000,0)),1000000))</f>
        <v/>
      </c>
      <c r="WN46">
        <f>IF($B46=0,1000000,IF(INDEX('計算A'!$D$60:$II$104,$B46,30)*DZ46=1,IF(AND($E46=2,NG46=0),1000000,INDEX('計算A'!AG$110:AG$114,$F46+1)+IF(AND($E46=1,NG46=0),1000,0)),1000000))</f>
        <v/>
      </c>
      <c r="WO46">
        <f>IF($B46=0,1000000,IF(INDEX('計算A'!$D$60:$II$104,$B46,31)*EA46=1,IF(AND($E46=2,NH46=0),1000000,INDEX('計算A'!AH$110:AH$114,$F46+1)+IF(AND($E46=1,NH46=0),1000,0)),1000000))</f>
        <v/>
      </c>
      <c r="WP46">
        <f>IF($B46=0,1000000,IF(INDEX('計算A'!$D$60:$II$104,$B46,32)*EB46=1,IF(AND($E46=2,NI46=0),1000000,INDEX('計算A'!AI$110:AI$114,$F46+1)+IF(AND($E46=1,NI46=0),1000,0)),1000000))</f>
        <v/>
      </c>
      <c r="WQ46">
        <f>IF($B46=0,1000000,IF(INDEX('計算A'!$D$60:$II$104,$B46,33)*EC46=1,IF(AND($E46=2,NJ46=0),1000000,INDEX('計算A'!AJ$110:AJ$114,$F46+1)+IF(AND($E46=1,NJ46=0),1000,0)),1000000))</f>
        <v/>
      </c>
      <c r="WR46">
        <f>IF($B46=0,1000000,IF(INDEX('計算A'!$D$60:$II$104,$B46,34)*ED46=1,IF(AND($E46=2,NK46=0),1000000,INDEX('計算A'!AK$110:AK$114,$F46+1)+IF(AND($E46=1,NK46=0),1000,0)),1000000))</f>
        <v/>
      </c>
      <c r="WS46">
        <f>IF($B46=0,1000000,IF(INDEX('計算A'!$D$60:$II$104,$B46,35)*EE46=1,IF(AND($E46=2,NL46=0),1000000,INDEX('計算A'!AL$110:AL$114,$F46+1)+IF(AND($E46=1,NL46=0),1000,0)),1000000))</f>
        <v/>
      </c>
      <c r="WT46">
        <f>IF($B46=0,1000000,IF(INDEX('計算A'!$D$60:$II$104,$B46,36)*EF46=1,IF(AND($E46=2,NM46=0),1000000,INDEX('計算A'!AM$110:AM$114,$F46+1)+IF(AND($E46=1,NM46=0),1000,0)),1000000))</f>
        <v/>
      </c>
      <c r="WU46">
        <f>IF($B46=0,1000000,IF(INDEX('計算A'!$D$60:$II$104,$B46,37)*EG46=1,IF(AND($E46=2,NN46=0),1000000,INDEX('計算A'!AN$110:AN$114,$F46+1)+IF(AND($E46=1,NN46=0),1000,0)),1000000))</f>
        <v/>
      </c>
      <c r="WV46">
        <f>IF($B46=0,1000000,IF(INDEX('計算A'!$D$60:$II$104,$B46,38)*EH46=1,IF(AND($E46=2,NO46=0),1000000,INDEX('計算A'!AO$110:AO$114,$F46+1)+IF(AND($E46=1,NO46=0),1000,0)),1000000))</f>
        <v/>
      </c>
      <c r="WW46">
        <f>IF($B46=0,1000000,IF(INDEX('計算A'!$D$60:$II$104,$B46,39)*EI46=1,IF(AND($E46=2,NP46=0),1000000,INDEX('計算A'!AP$110:AP$114,$F46+1)+IF(AND($E46=1,NP46=0),1000,0)),1000000))</f>
        <v/>
      </c>
      <c r="WX46">
        <f>IF($B46=0,1000000,IF(INDEX('計算A'!$D$60:$II$104,$B46,40)*EJ46=1,IF(AND($E46=2,NQ46=0),1000000,INDEX('計算A'!AQ$110:AQ$114,$F46+1)+IF(AND($E46=1,NQ46=0),1000,0)),1000000))</f>
        <v/>
      </c>
      <c r="WY46">
        <f>IF($B46=0,1000000,IF(INDEX('計算A'!$D$60:$II$104,$B46,41)*EK46=1,IF(AND($E46=2,NR46=0),1000000,INDEX('計算A'!AR$110:AR$114,$F46+1)+IF(AND($E46=1,NR46=0),1000,0)),1000000))</f>
        <v/>
      </c>
      <c r="WZ46">
        <f>IF($B46=0,1000000,IF(INDEX('計算A'!$D$60:$II$104,$B46,42)*EL46=1,IF(AND($E46=2,NS46=0),1000000,INDEX('計算A'!AS$110:AS$114,$F46+1)+IF(AND($E46=1,NS46=0),1000,0)),1000000))</f>
        <v/>
      </c>
      <c r="XA46">
        <f>IF($B46=0,1000000,IF(INDEX('計算A'!$D$60:$II$104,$B46,43)*EM46=1,IF(AND($E46=2,NT46=0),1000000,INDEX('計算A'!AT$110:AT$114,$F46+1)+IF(AND($E46=1,NT46=0),1000,0)),1000000))</f>
        <v/>
      </c>
      <c r="XB46">
        <f>IF($B46=0,1000000,IF(INDEX('計算A'!$D$60:$II$104,$B46,44)*EN46=1,IF(AND($E46=2,NU46=0),1000000,INDEX('計算A'!AU$110:AU$114,$F46+1)+IF(AND($E46=1,NU46=0),1000,0)),1000000))</f>
        <v/>
      </c>
      <c r="XC46">
        <f>IF($B46=0,1000000,IF(INDEX('計算A'!$D$60:$II$104,$B46,45)*EO46=1,IF(AND($E46=2,NV46=0),1000000,INDEX('計算A'!AV$110:AV$114,$F46+1)+IF(AND($E46=1,NV46=0),1000,0)),1000000))</f>
        <v/>
      </c>
      <c r="XD46">
        <f>IF($B46=0,1000000,IF(INDEX('計算A'!$D$60:$II$104,$B46,46)*EP46=1,IF(AND($E46=2,NW46=0),1000000,INDEX('計算A'!AW$110:AW$114,$F46+1)+IF(AND($E46=1,NW46=0),1000,0)),1000000))</f>
        <v/>
      </c>
      <c r="XE46">
        <f>IF($B46=0,1000000,IF(INDEX('計算A'!$D$60:$II$104,$B46,47)*EQ46=1,IF(AND($E46=2,NX46=0),1000000,INDEX('計算A'!AX$110:AX$114,$F46+1)+IF(AND($E46=1,NX46=0),1000,0)),1000000))</f>
        <v/>
      </c>
      <c r="XF46">
        <f>IF($B46=0,1000000,IF(INDEX('計算A'!$D$60:$II$104,$B46,48)*ER46=1,IF(AND($E46=2,NY46=0),1000000,INDEX('計算A'!AY$110:AY$114,$F46+1)+IF(AND($E46=1,NY46=0),1000,0)),1000000))</f>
        <v/>
      </c>
      <c r="XG46">
        <f>IF($B46=0,1000000,IF(INDEX('計算A'!$D$60:$II$104,$B46,49)*ES46=1,IF(AND($E46=2,NZ46=0),1000000,INDEX('計算A'!AZ$110:AZ$114,$F46+1)+IF(AND($E46=1,NZ46=0),1000,0)),1000000))</f>
        <v/>
      </c>
      <c r="XH46">
        <f>IF($B46=0,1000000,IF(INDEX('計算A'!$D$60:$II$104,$B46,50)*ET46=1,IF(AND($E46=2,OA46=0),1000000,INDEX('計算A'!BA$110:BA$114,$F46+1)+IF(AND($E46=1,OA46=0),1000,0)),1000000))</f>
        <v/>
      </c>
      <c r="XI46">
        <f>IF($B46=0,1000000,IF(INDEX('計算A'!$D$60:$II$104,$B46,51)*EU46=1,IF(AND($E46=2,OB46=0),1000000,INDEX('計算A'!BB$110:BB$114,$F46+1)+IF(AND($E46=1,OB46=0),1000,0)),1000000))</f>
        <v/>
      </c>
      <c r="XJ46">
        <f>IF($B46=0,1000000,IF(INDEX('計算A'!$D$60:$II$104,$B46,52)*EV46=1,IF(AND($E46=2,OC46=0),1000000,INDEX('計算A'!BC$110:BC$114,$F46+1)+IF(AND($E46=1,OC46=0),1000,0)),1000000))</f>
        <v/>
      </c>
      <c r="XK46">
        <f>IF($B46=0,1000000,IF(INDEX('計算A'!$D$60:$II$104,$B46,53)*EW46=1,IF(AND($E46=2,OD46=0),1000000,INDEX('計算A'!BD$110:BD$114,$F46+1)+IF(AND($E46=1,OD46=0),1000,0)),1000000))</f>
        <v/>
      </c>
      <c r="XL46">
        <f>IF($B46=0,1000000,IF(INDEX('計算A'!$D$60:$II$104,$B46,54)*EX46=1,IF(AND($E46=2,OE46=0),1000000,INDEX('計算A'!BE$110:BE$114,$F46+1)+IF(AND($E46=1,OE46=0),1000,0)),1000000))</f>
        <v/>
      </c>
      <c r="XM46">
        <f>IF($B46=0,1000000,IF(INDEX('計算A'!$D$60:$II$104,$B46,55)*EY46=1,IF(AND($E46=2,OF46=0),1000000,INDEX('計算A'!BF$110:BF$114,$F46+1)+IF(AND($E46=1,OF46=0),1000,0)),1000000))</f>
        <v/>
      </c>
      <c r="XN46">
        <f>IF($B46=0,1000000,IF(INDEX('計算A'!$D$60:$II$104,$B46,56)*EZ46=1,IF(AND($E46=2,OG46=0),1000000,INDEX('計算A'!BG$110:BG$114,$F46+1)+IF(AND($E46=1,OG46=0),1000,0)),1000000))</f>
        <v/>
      </c>
      <c r="XO46">
        <f>IF($B46=0,1000000,IF(INDEX('計算A'!$D$60:$II$104,$B46,57)*FA46=1,IF(AND($E46=2,OH46=0),1000000,INDEX('計算A'!BH$110:BH$114,$F46+1)+IF(AND($E46=1,OH46=0),1000,0)),1000000))</f>
        <v/>
      </c>
      <c r="XP46">
        <f>IF($B46=0,1000000,IF(INDEX('計算A'!$D$60:$II$104,$B46,58)*FB46=1,IF(AND($E46=2,OI46=0),1000000,INDEX('計算A'!BI$110:BI$114,$F46+1)+IF(AND($E46=1,OI46=0),1000,0)),1000000))</f>
        <v/>
      </c>
      <c r="XQ46">
        <f>IF($B46=0,1000000,IF(INDEX('計算A'!$D$60:$II$104,$B46,59)*FC46=1,IF(AND($E46=2,OJ46=0),1000000,INDEX('計算A'!BJ$110:BJ$114,$F46+1)+IF(AND($E46=1,OJ46=0),1000,0)),1000000))</f>
        <v/>
      </c>
      <c r="XR46">
        <f>IF($B46=0,1000000,IF(INDEX('計算A'!$D$60:$II$104,$B46,60)*FD46=1,IF(AND($E46=2,OK46=0),1000000,INDEX('計算A'!BK$110:BK$114,$F46+1)+IF(AND($E46=1,OK46=0),1000,0)),1000000))</f>
        <v/>
      </c>
      <c r="XS46">
        <f>IF($B46=0,1000000,IF(INDEX('計算A'!$D$60:$II$104,$B46,61)*FE46=1,IF(AND($E46=2,OL46=0),1000000,INDEX('計算A'!BL$110:BL$114,$F46+1)+IF(AND($E46=1,OL46=0),1000,0)),1000000))</f>
        <v/>
      </c>
      <c r="XT46">
        <f>IF($B46=0,1000000,IF(INDEX('計算A'!$D$60:$II$104,$B46,62)*FF46=1,IF(AND($E46=2,OM46=0),1000000,INDEX('計算A'!BM$110:BM$114,$F46+1)+IF(AND($E46=1,OM46=0),1000,0)),1000000))</f>
        <v/>
      </c>
      <c r="XU46">
        <f>IF($B46=0,1000000,IF(INDEX('計算A'!$D$60:$II$104,$B46,63)*FG46=1,IF(AND($E46=2,ON46=0),1000000,INDEX('計算A'!BN$110:BN$114,$F46+1)+IF(AND($E46=1,ON46=0),1000,0)),1000000))</f>
        <v/>
      </c>
      <c r="XV46">
        <f>IF($B46=0,1000000,IF(INDEX('計算A'!$D$60:$II$104,$B46,64)*FH46=1,IF(AND($E46=2,OO46=0),1000000,INDEX('計算A'!BO$110:BO$114,$F46+1)+IF(AND($E46=1,OO46=0),1000,0)),1000000))</f>
        <v/>
      </c>
      <c r="XW46">
        <f>IF($B46=0,1000000,IF(INDEX('計算A'!$D$60:$II$104,$B46,65)*FI46=1,IF(AND($E46=2,OP46=0),1000000,INDEX('計算A'!BP$110:BP$114,$F46+1)+IF(AND($E46=1,OP46=0),1000,0)),1000000))</f>
        <v/>
      </c>
      <c r="XX46">
        <f>IF($B46=0,1000000,IF(INDEX('計算A'!$D$60:$II$104,$B46,66)*FJ46=1,IF(AND($E46=2,OQ46=0),1000000,INDEX('計算A'!BQ$110:BQ$114,$F46+1)+IF(AND($E46=1,OQ46=0),1000,0)),1000000))</f>
        <v/>
      </c>
      <c r="XY46">
        <f>IF($B46=0,1000000,IF(INDEX('計算A'!$D$60:$II$104,$B46,67)*FK46=1,IF(AND($E46=2,OR46=0),1000000,INDEX('計算A'!BR$110:BR$114,$F46+1)+IF(AND($E46=1,OR46=0),1000,0)),1000000))</f>
        <v/>
      </c>
      <c r="XZ46">
        <f>IF($B46=0,1000000,IF(INDEX('計算A'!$D$60:$II$104,$B46,68)*FL46=1,IF(AND($E46=2,OS46=0),1000000,INDEX('計算A'!BS$110:BS$114,$F46+1)+IF(AND($E46=1,OS46=0),1000,0)),1000000))</f>
        <v/>
      </c>
      <c r="YA46">
        <f>IF($B46=0,1000000,IF(INDEX('計算A'!$D$60:$II$104,$B46,69)*FM46=1,IF(AND($E46=2,OT46=0),1000000,INDEX('計算A'!BT$110:BT$114,$F46+1)+IF(AND($E46=1,OT46=0),1000,0)),1000000))</f>
        <v/>
      </c>
      <c r="YB46">
        <f>IF($B46=0,1000000,IF(INDEX('計算A'!$D$60:$II$104,$B46,70)*FN46=1,IF(AND($E46=2,OU46=0),1000000,INDEX('計算A'!BU$110:BU$114,$F46+1)+IF(AND($E46=1,OU46=0),1000,0)),1000000))</f>
        <v/>
      </c>
      <c r="YC46">
        <f>IF($B46=0,1000000,IF(INDEX('計算A'!$D$60:$II$104,$B46,71)*FO46=1,IF(AND($E46=2,OV46=0),1000000,INDEX('計算A'!BV$110:BV$114,$F46+1)+IF(AND($E46=1,OV46=0),1000,0)),1000000))</f>
        <v/>
      </c>
      <c r="YD46">
        <f>IF($B46=0,1000000,IF(INDEX('計算A'!$D$60:$II$104,$B46,72)*FP46=1,IF(AND($E46=2,OW46=0),1000000,INDEX('計算A'!BW$110:BW$114,$F46+1)+IF(AND($E46=1,OW46=0),1000,0)),1000000))</f>
        <v/>
      </c>
      <c r="YE46">
        <f>IF($B46=0,1000000,IF(INDEX('計算A'!$D$60:$II$104,$B46,73)*FQ46=1,IF(AND($E46=2,OX46=0),1000000,INDEX('計算A'!BX$110:BX$114,$F46+1)+IF(AND($E46=1,OX46=0),1000,0)),1000000))</f>
        <v/>
      </c>
      <c r="YF46">
        <f>IF($B46=0,1000000,IF(INDEX('計算A'!$D$60:$II$104,$B46,74)*FR46=1,IF(AND($E46=2,OY46=0),1000000,INDEX('計算A'!BY$110:BY$114,$F46+1)+IF(AND($E46=1,OY46=0),1000,0)),1000000))</f>
        <v/>
      </c>
      <c r="YG46">
        <f>IF($B46=0,1000000,IF(INDEX('計算A'!$D$60:$II$104,$B46,75)*FS46=1,IF(AND($E46=2,OZ46=0),1000000,INDEX('計算A'!BZ$110:BZ$114,$F46+1)+IF(AND($E46=1,OZ46=0),1000,0)),1000000))</f>
        <v/>
      </c>
      <c r="YH46">
        <f>IF($B46=0,1000000,IF(INDEX('計算A'!$D$60:$II$104,$B46,76)*FT46=1,IF(AND($E46=2,PA46=0),1000000,INDEX('計算A'!CA$110:CA$114,$F46+1)+IF(AND($E46=1,PA46=0),1000,0)),1000000))</f>
        <v/>
      </c>
      <c r="YI46">
        <f>IF($B46=0,1000000,IF(INDEX('計算A'!$D$60:$II$104,$B46,77)*FU46=1,IF(AND($E46=2,PB46=0),1000000,INDEX('計算A'!CB$110:CB$114,$F46+1)+IF(AND($E46=1,PB46=0),1000,0)),1000000))</f>
        <v/>
      </c>
      <c r="YJ46">
        <f>IF($B46=0,1000000,IF(INDEX('計算A'!$D$60:$II$104,$B46,78)*FV46=1,IF(AND($E46=2,PC46=0),1000000,INDEX('計算A'!CC$110:CC$114,$F46+1)+IF(AND($E46=1,PC46=0),1000,0)),1000000))</f>
        <v/>
      </c>
      <c r="YK46">
        <f>IF($B46=0,1000000,IF(INDEX('計算A'!$D$60:$II$104,$B46,79)*FW46=1,IF(AND($E46=2,PD46=0),1000000,INDEX('計算A'!CD$110:CD$114,$F46+1)+IF(AND($E46=1,PD46=0),1000,0)),1000000))</f>
        <v/>
      </c>
      <c r="YL46">
        <f>IF($B46=0,1000000,IF(INDEX('計算A'!$D$60:$II$104,$B46,80)*FX46=1,IF(AND($E46=2,PE46=0),1000000,INDEX('計算A'!CE$110:CE$114,$F46+1)+IF(AND($E46=1,PE46=0),1000,0)),1000000))</f>
        <v/>
      </c>
      <c r="YM46">
        <f>IF($B46=0,1000000,IF(INDEX('計算A'!$D$60:$II$104,$B46,81)*FY46=1,IF(AND($E46=2,PF46=0),1000000,INDEX('計算A'!CF$110:CF$114,$F46+1)+IF(AND($E46=1,PF46=0),1000,0)),1000000))</f>
        <v/>
      </c>
      <c r="YN46">
        <f>IF($B46=0,1000000,IF(INDEX('計算A'!$D$60:$II$104,$B46,82)*FZ46=1,IF(AND($E46=2,PG46=0),1000000,INDEX('計算A'!CG$110:CG$114,$F46+1)+IF(AND($E46=1,PG46=0),1000,0)),1000000))</f>
        <v/>
      </c>
      <c r="YO46">
        <f>IF($B46=0,1000000,IF(INDEX('計算A'!$D$60:$II$104,$B46,83)*GA46=1,IF(AND($E46=2,PH46=0),1000000,INDEX('計算A'!CH$110:CH$114,$F46+1)+IF(AND($E46=1,PH46=0),1000,0)),1000000))</f>
        <v/>
      </c>
      <c r="YP46">
        <f>IF($B46=0,1000000,IF(INDEX('計算A'!$D$60:$II$104,$B46,84)*GB46=1,IF(AND($E46=2,PI46=0),1000000,INDEX('計算A'!CI$110:CI$114,$F46+1)+IF(AND($E46=1,PI46=0),1000,0)),1000000))</f>
        <v/>
      </c>
      <c r="YQ46">
        <f>IF($B46=0,1000000,IF(INDEX('計算A'!$D$60:$II$104,$B46,85)*GC46=1,IF(AND($E46=2,PJ46=0),1000000,INDEX('計算A'!CJ$110:CJ$114,$F46+1)+IF(AND($E46=1,PJ46=0),1000,0)),1000000))</f>
        <v/>
      </c>
      <c r="YR46">
        <f>IF($B46=0,1000000,IF(INDEX('計算A'!$D$60:$II$104,$B46,86)*GD46=1,IF(AND($E46=2,PK46=0),1000000,INDEX('計算A'!CK$110:CK$114,$F46+1)+IF(AND($E46=1,PK46=0),1000,0)),1000000))</f>
        <v/>
      </c>
      <c r="YS46">
        <f>IF($B46=0,1000000,IF(INDEX('計算A'!$D$60:$II$104,$B46,87)*GE46=1,IF(AND($E46=2,PL46=0),1000000,INDEX('計算A'!CL$110:CL$114,$F46+1)+IF(AND($E46=1,PL46=0),1000,0)),1000000))</f>
        <v/>
      </c>
      <c r="YT46">
        <f>IF($B46=0,1000000,IF(INDEX('計算A'!$D$60:$II$104,$B46,88)*GF46=1,IF(AND($E46=2,PM46=0),1000000,INDEX('計算A'!CM$110:CM$114,$F46+1)+IF(AND($E46=1,PM46=0),1000,0)),1000000))</f>
        <v/>
      </c>
      <c r="YU46">
        <f>IF($B46=0,1000000,IF(INDEX('計算A'!$D$60:$II$104,$B46,89)*GG46=1,IF(AND($E46=2,PN46=0),1000000,INDEX('計算A'!CN$110:CN$114,$F46+1)+IF(AND($E46=1,PN46=0),1000,0)),1000000))</f>
        <v/>
      </c>
      <c r="YV46">
        <f>IF($B46=0,1000000,IF(INDEX('計算A'!$D$60:$II$104,$B46,90)*GH46=1,IF(AND($E46=2,PO46=0),1000000,INDEX('計算A'!CO$110:CO$114,$F46+1)+IF(AND($E46=1,PO46=0),1000,0)),1000000))</f>
        <v/>
      </c>
      <c r="YW46">
        <f>IF($B46=0,1000000,IF(INDEX('計算A'!$D$60:$II$104,$B46,91)*GI46=1,IF(AND($E46=2,PP46=0),1000000,INDEX('計算A'!CP$110:CP$114,$F46+1)+IF(AND($E46=1,PP46=0),1000,0)),1000000))</f>
        <v/>
      </c>
      <c r="YX46">
        <f>IF($B46=0,1000000,IF(INDEX('計算A'!$D$60:$II$104,$B46,92)*GJ46=1,IF(AND($E46=2,PQ46=0),1000000,INDEX('計算A'!CQ$110:CQ$114,$F46+1)+IF(AND($E46=1,PQ46=0),1000,0)),1000000))</f>
        <v/>
      </c>
      <c r="YY46">
        <f>IF($B46=0,1000000,IF(INDEX('計算A'!$D$60:$II$104,$B46,93)*GK46=1,IF(AND($E46=2,PR46=0),1000000,INDEX('計算A'!CR$110:CR$114,$F46+1)+IF(AND($E46=1,PR46=0),1000,0)),1000000))</f>
        <v/>
      </c>
      <c r="YZ46">
        <f>IF($B46=0,1000000,IF(INDEX('計算A'!$D$60:$II$104,$B46,94)*GL46=1,IF(AND($E46=2,PS46=0),1000000,INDEX('計算A'!CS$110:CS$114,$F46+1)+IF(AND($E46=1,PS46=0),1000,0)),1000000))</f>
        <v/>
      </c>
      <c r="ZA46">
        <f>IF($B46=0,1000000,IF(INDEX('計算A'!$D$60:$II$104,$B46,95)*GM46=1,IF(AND($E46=2,PT46=0),1000000,INDEX('計算A'!CT$110:CT$114,$F46+1)+IF(AND($E46=1,PT46=0),1000,0)),1000000))</f>
        <v/>
      </c>
      <c r="ZB46">
        <f>IF($B46=0,1000000,IF(INDEX('計算A'!$D$60:$II$104,$B46,96)*GN46=1,IF(AND($E46=2,PU46=0),1000000,INDEX('計算A'!CU$110:CU$114,$F46+1)+IF(AND($E46=1,PU46=0),1000,0)),1000000))</f>
        <v/>
      </c>
      <c r="ZC46">
        <f>IF($B46=0,1000000,IF(INDEX('計算A'!$D$60:$II$104,$B46,97)*GO46=1,IF(AND($E46=2,PV46=0),1000000,INDEX('計算A'!CV$110:CV$114,$F46+1)+IF(AND($E46=1,PV46=0),1000,0)),1000000))</f>
        <v/>
      </c>
      <c r="ZD46">
        <f>IF($B46=0,1000000,IF(INDEX('計算A'!$D$60:$II$104,$B46,98)*GP46=1,IF(AND($E46=2,PW46=0),1000000,INDEX('計算A'!CW$110:CW$114,$F46+1)+IF(AND($E46=1,PW46=0),1000,0)),1000000))</f>
        <v/>
      </c>
      <c r="ZE46">
        <f>IF($B46=0,1000000,IF(INDEX('計算A'!$D$60:$II$104,$B46,99)*GQ46=1,IF(AND($E46=2,PX46=0),1000000,INDEX('計算A'!CX$110:CX$114,$F46+1)+IF(AND($E46=1,PX46=0),1000,0)),1000000))</f>
        <v/>
      </c>
      <c r="ZF46">
        <f>IF($B46=0,1000000,IF(INDEX('計算A'!$D$60:$II$104,$B46,100)*GR46=1,IF(AND($E46=2,PY46=0),1000000,INDEX('計算A'!CY$110:CY$114,$F46+1)+IF(AND($E46=1,PY46=0),1000,0)),1000000))</f>
        <v/>
      </c>
      <c r="ZG46">
        <f>IF($B46=0,1000000,IF(INDEX('計算A'!$D$60:$II$104,$B46,101)*GS46=1,IF(AND($E46=2,PZ46=0),1000000,INDEX('計算A'!CZ$110:CZ$114,$F46+1)+IF(AND($E46=1,PZ46=0),1000,0)),1000000))</f>
        <v/>
      </c>
      <c r="ZH46">
        <f>IF($B46=0,1000000,IF(INDEX('計算A'!$D$60:$II$104,$B46,102)*GT46=1,IF(AND($E46=2,QA46=0),1000000,INDEX('計算A'!DA$110:DA$114,$F46+1)+IF(AND($E46=1,QA46=0),1000,0)),1000000))</f>
        <v/>
      </c>
      <c r="ZI46">
        <f>IF($B46=0,1000000,IF(INDEX('計算A'!$D$60:$II$104,$B46,103)*GU46=1,IF(AND($E46=2,QB46=0),1000000,INDEX('計算A'!DB$110:DB$114,$F46+1)+IF(AND($E46=1,QB46=0),1000,0)),1000000))</f>
        <v/>
      </c>
      <c r="ZJ46">
        <f>IF($B46=0,1000000,IF(INDEX('計算A'!$D$60:$II$104,$B46,104)*GV46=1,IF(AND($E46=2,QC46=0),1000000,INDEX('計算A'!DC$110:DC$114,$F46+1)+IF(AND($E46=1,QC46=0),1000,0)),1000000))</f>
        <v/>
      </c>
      <c r="ZK46">
        <f>IF($B46=0,1000000,IF(INDEX('計算A'!$D$60:$II$104,$B46,105)*GW46=1,IF(AND($E46=2,QD46=0),1000000,INDEX('計算A'!DD$110:DD$114,$F46+1)+IF(AND($E46=1,QD46=0),1000,0)),1000000))</f>
        <v/>
      </c>
      <c r="ZL46">
        <f>IF($B46=0,1000000,IF(INDEX('計算A'!$D$60:$II$104,$B46,106)*GX46=1,IF(AND($E46=2,QE46=0),1000000,INDEX('計算A'!DE$110:DE$114,$F46+1)+IF(AND($E46=1,QE46=0),1000,0)),1000000))</f>
        <v/>
      </c>
      <c r="ZM46">
        <f>IF($B46=0,1000000,IF(INDEX('計算A'!$D$60:$II$104,$B46,107)*GY46=1,IF(AND($E46=2,QF46=0),1000000,INDEX('計算A'!DF$110:DF$114,$F46+1)+IF(AND($E46=1,QF46=0),1000,0)),1000000))</f>
        <v/>
      </c>
      <c r="ZN46">
        <f>IF($B46=0,1000000,IF(INDEX('計算A'!$D$60:$II$104,$B46,108)*GZ46=1,IF(AND($E46=2,QG46=0),1000000,INDEX('計算A'!DG$110:DG$114,$F46+1)+IF(AND($E46=1,QG46=0),1000,0)),1000000))</f>
        <v/>
      </c>
      <c r="ZO46">
        <f>IF($B46=0,1000000,IF(INDEX('計算A'!$D$60:$II$104,$B46,109)*HA46=1,IF(AND($E46=2,QH46=0),1000000,INDEX('計算A'!DH$110:DH$114,$F46+1)+IF(AND($E46=1,QH46=0),1000,0)),1000000))</f>
        <v/>
      </c>
      <c r="ZP46">
        <f>IF($B46=0,1000000,IF(INDEX('計算A'!$D$60:$II$104,$B46,110)*HB46=1,IF(AND($E46=2,QI46=0),1000000,INDEX('計算A'!DI$110:DI$114,$F46+1)+IF(AND($E46=1,QI46=0),1000,0)),1000000))</f>
        <v/>
      </c>
      <c r="ZQ46">
        <f>IF($B46=0,1000000,IF(INDEX('計算A'!$D$60:$II$104,$B46,111)*HC46=1,IF(AND($E46=2,QJ46=0),1000000,INDEX('計算A'!DJ$110:DJ$114,$F46+1)+IF(AND($E46=1,QJ46=0),1000,0)),1000000))</f>
        <v/>
      </c>
      <c r="ZR46">
        <f>IF($B46=0,1000000,IF(INDEX('計算A'!$D$60:$II$104,$B46,112)*HD46=1,IF(AND($E46=2,QK46=0),1000000,INDEX('計算A'!DK$110:DK$114,$F46+1)+IF(AND($E46=1,QK46=0),1000,0)),1000000))</f>
        <v/>
      </c>
      <c r="ZS46">
        <f>IF($B46=0,1000000,IF(INDEX('計算A'!$D$60:$II$104,$B46,113)*HE46=1,IF(AND($E46=2,QL46=0),1000000,INDEX('計算A'!DL$110:DL$114,$F46+1)+IF(AND($E46=1,QL46=0),1000,0)),1000000))</f>
        <v/>
      </c>
      <c r="ZT46">
        <f>IF($B46=0,1000000,IF(INDEX('計算A'!$D$60:$II$104,$B46,114)*HF46=1,IF(AND($E46=2,QM46=0),1000000,INDEX('計算A'!DM$110:DM$114,$F46+1)+IF(AND($E46=1,QM46=0),1000,0)),1000000))</f>
        <v/>
      </c>
      <c r="ZU46">
        <f>IF($B46=0,1000000,IF(INDEX('計算A'!$D$60:$II$104,$B46,115)*HG46=1,IF(AND($E46=2,QN46=0),1000000,INDEX('計算A'!DN$110:DN$114,$F46+1)+IF(AND($E46=1,QN46=0),1000,0)),1000000))</f>
        <v/>
      </c>
      <c r="ZV46">
        <f>IF($B46=0,1000000,IF(INDEX('計算A'!$D$60:$II$104,$B46,116)*HH46=1,IF(AND($E46=2,QO46=0),1000000,INDEX('計算A'!DO$110:DO$114,$F46+1)+IF(AND($E46=1,QO46=0),1000,0)),1000000))</f>
        <v/>
      </c>
      <c r="ZW46">
        <f>IF($B46=0,1000000,IF(INDEX('計算A'!$D$60:$II$104,$B46,117)*HI46=1,IF(AND($E46=2,QP46=0),1000000,INDEX('計算A'!DP$110:DP$114,$F46+1)+IF(AND($E46=1,QP46=0),1000,0)),1000000))</f>
        <v/>
      </c>
      <c r="ZX46">
        <f>IF($B46=0,1000000,IF(INDEX('計算A'!$D$60:$II$104,$B46,118)*HJ46=1,IF(AND($E46=2,QQ46=0),1000000,INDEX('計算A'!DQ$110:DQ$114,$F46+1)+IF(AND($E46=1,QQ46=0),1000,0)),1000000))</f>
        <v/>
      </c>
      <c r="ZY46">
        <f>IF($B46=0,1000000,IF(INDEX('計算A'!$D$60:$II$104,$B46,119)*HK46=1,IF(AND($E46=2,QR46=0),1000000,INDEX('計算A'!DR$110:DR$114,$F46+1)+IF(AND($E46=1,QR46=0),1000,0)),1000000))</f>
        <v/>
      </c>
      <c r="ZZ46">
        <f>IF($B46=0,1000000,IF(INDEX('計算A'!$D$60:$II$104,$B46,120)*HL46=1,IF(AND($E46=2,QS46=0),1000000,INDEX('計算A'!DS$110:DS$114,$F46+1)+IF(AND($E46=1,QS46=0),1000,0)),1000000))</f>
        <v/>
      </c>
      <c r="AAA46">
        <f>IF($B46=0,1000000,IF(INDEX('計算A'!$D$60:$II$104,$B46,121)*HM46=1,IF(AND($E46=2,QT46=0),1000000,INDEX('計算A'!DT$110:DT$114,$F46+1)+IF(AND($E46=1,QT46=0),1000,0)),1000000))</f>
        <v/>
      </c>
      <c r="AAB46">
        <f>IF($B46=0,1000000,IF(INDEX('計算A'!$D$60:$II$104,$B46,122)*HN46=1,IF(AND($E46=2,QU46=0),1000000,INDEX('計算A'!DU$110:DU$114,$F46+1)+IF(AND($E46=1,QU46=0),1000,0)),1000000))</f>
        <v/>
      </c>
      <c r="AAC46">
        <f>IF($B46=0,1000000,IF(INDEX('計算A'!$D$60:$II$104,$B46,123)*HO46=1,IF(AND($E46=2,QV46=0),1000000,INDEX('計算A'!DV$110:DV$114,$F46+1)+IF(AND($E46=1,QV46=0),1000,0)),1000000))</f>
        <v/>
      </c>
      <c r="AAD46">
        <f>IF($B46=0,1000000,IF(INDEX('計算A'!$D$60:$II$104,$B46,124)*HP46=1,IF(AND($E46=2,QW46=0),1000000,INDEX('計算A'!DW$110:DW$114,$F46+1)+IF(AND($E46=1,QW46=0),1000,0)),1000000))</f>
        <v/>
      </c>
      <c r="AAE46">
        <f>IF($B46=0,1000000,IF(INDEX('計算A'!$D$60:$II$104,$B46,125)*HQ46=1,IF(AND($E46=2,QX46=0),1000000,INDEX('計算A'!DX$110:DX$114,$F46+1)+IF(AND($E46=1,QX46=0),1000,0)),1000000))</f>
        <v/>
      </c>
      <c r="AAF46">
        <f>IF($B46=0,1000000,IF(INDEX('計算A'!$D$60:$II$104,$B46,126)*HR46=1,IF(AND($E46=2,QY46=0),1000000,INDEX('計算A'!DY$110:DY$114,$F46+1)+IF(AND($E46=1,QY46=0),1000,0)),1000000))</f>
        <v/>
      </c>
      <c r="AAG46">
        <f>IF($B46=0,1000000,IF(INDEX('計算A'!$D$60:$II$104,$B46,127)*HS46=1,IF(AND($E46=2,QZ46=0),1000000,INDEX('計算A'!DZ$110:DZ$114,$F46+1)+IF(AND($E46=1,QZ46=0),1000,0)),1000000))</f>
        <v/>
      </c>
      <c r="AAH46">
        <f>IF($B46=0,1000000,IF(INDEX('計算A'!$D$60:$II$104,$B46,128)*HT46=1,IF(AND($E46=2,RA46=0),1000000,INDEX('計算A'!EA$110:EA$114,$F46+1)+IF(AND($E46=1,RA46=0),1000,0)),1000000))</f>
        <v/>
      </c>
      <c r="AAI46">
        <f>IF($B46=0,1000000,IF(INDEX('計算A'!$D$60:$II$104,$B46,129)*HU46=1,IF(AND($E46=2,RB46=0),1000000,INDEX('計算A'!EB$110:EB$114,$F46+1)+IF(AND($E46=1,RB46=0),1000,0)),1000000))</f>
        <v/>
      </c>
      <c r="AAJ46">
        <f>IF($B46=0,1000000,IF(INDEX('計算A'!$D$60:$II$104,$B46,130)*HV46=1,IF(AND($E46=2,RC46=0),1000000,INDEX('計算A'!EC$110:EC$114,$F46+1)+IF(AND($E46=1,RC46=0),1000,0)),1000000))</f>
        <v/>
      </c>
      <c r="AAK46">
        <f>IF($B46=0,1000000,IF(INDEX('計算A'!$D$60:$II$104,$B46,131)*HW46=1,IF(AND($E46=2,RD46=0),1000000,INDEX('計算A'!ED$110:ED$114,$F46+1)+IF(AND($E46=1,RD46=0),1000,0)),1000000))</f>
        <v/>
      </c>
      <c r="AAL46">
        <f>IF($B46=0,1000000,IF(INDEX('計算A'!$D$60:$II$104,$B46,132)*HX46=1,IF(AND($E46=2,RE46=0),1000000,INDEX('計算A'!EE$110:EE$114,$F46+1)+IF(AND($E46=1,RE46=0),1000,0)),1000000))</f>
        <v/>
      </c>
      <c r="AAM46">
        <f>IF($B46=0,1000000,IF(INDEX('計算A'!$D$60:$II$104,$B46,133)*HY46=1,IF(AND($E46=2,RF46=0),1000000,INDEX('計算A'!EF$110:EF$114,$F46+1)+IF(AND($E46=1,RF46=0),1000,0)),1000000))</f>
        <v/>
      </c>
      <c r="AAN46">
        <f>IF($B46=0,1000000,IF(INDEX('計算A'!$D$60:$II$104,$B46,134)*HZ46=1,IF(AND($E46=2,RG46=0),1000000,INDEX('計算A'!EG$110:EG$114,$F46+1)+IF(AND($E46=1,RG46=0),1000,0)),1000000))</f>
        <v/>
      </c>
      <c r="AAO46">
        <f>IF($B46=0,1000000,IF(INDEX('計算A'!$D$60:$II$104,$B46,135)*IA46=1,IF(AND($E46=2,RH46=0),1000000,INDEX('計算A'!EH$110:EH$114,$F46+1)+IF(AND($E46=1,RH46=0),1000,0)),1000000))</f>
        <v/>
      </c>
      <c r="AAP46">
        <f>IF($B46=0,1000000,IF(INDEX('計算A'!$D$60:$II$104,$B46,136)*IB46=1,IF(AND($E46=2,RI46=0),1000000,INDEX('計算A'!EI$110:EI$114,$F46+1)+IF(AND($E46=1,RI46=0),1000,0)),1000000))</f>
        <v/>
      </c>
      <c r="AAQ46">
        <f>IF($B46=0,1000000,IF(INDEX('計算A'!$D$60:$II$104,$B46,137)*IC46=1,IF(AND($E46=2,RJ46=0),1000000,INDEX('計算A'!EJ$110:EJ$114,$F46+1)+IF(AND($E46=1,RJ46=0),1000,0)),1000000))</f>
        <v/>
      </c>
      <c r="AAR46">
        <f>IF($B46=0,1000000,IF(INDEX('計算A'!$D$60:$II$104,$B46,138)*ID46=1,IF(AND($E46=2,RK46=0),1000000,INDEX('計算A'!EK$110:EK$114,$F46+1)+IF(AND($E46=1,RK46=0),1000,0)),1000000))</f>
        <v/>
      </c>
      <c r="AAS46">
        <f>IF($B46=0,1000000,IF(INDEX('計算A'!$D$60:$II$104,$B46,139)*IE46=1,IF(AND($E46=2,RL46=0),1000000,INDEX('計算A'!EL$110:EL$114,$F46+1)+IF(AND($E46=1,RL46=0),1000,0)),1000000))</f>
        <v/>
      </c>
      <c r="AAT46">
        <f>IF($B46=0,1000000,IF(INDEX('計算A'!$D$60:$II$104,$B46,140)*IF46=1,IF(AND($E46=2,RM46=0),1000000,INDEX('計算A'!EM$110:EM$114,$F46+1)+IF(AND($E46=1,RM46=0),1000,0)),1000000))</f>
        <v/>
      </c>
      <c r="AAU46">
        <f>IF($B46=0,1000000,IF(INDEX('計算A'!$D$60:$II$104,$B46,141)*IG46=1,IF(AND($E46=2,RN46=0),1000000,INDEX('計算A'!EN$110:EN$114,$F46+1)+IF(AND($E46=1,RN46=0),1000,0)),1000000))</f>
        <v/>
      </c>
      <c r="AAV46">
        <f>IF($B46=0,1000000,IF(INDEX('計算A'!$D$60:$II$104,$B46,142)*IH46=1,IF(AND($E46=2,RO46=0),1000000,INDEX('計算A'!EO$110:EO$114,$F46+1)+IF(AND($E46=1,RO46=0),1000,0)),1000000))</f>
        <v/>
      </c>
      <c r="AAW46">
        <f>IF($B46=0,1000000,IF(INDEX('計算A'!$D$60:$II$104,$B46,143)*II46=1,IF(AND($E46=2,RP46=0),1000000,INDEX('計算A'!EP$110:EP$114,$F46+1)+IF(AND($E46=1,RP46=0),1000,0)),1000000))</f>
        <v/>
      </c>
      <c r="AAX46">
        <f>IF($B46=0,1000000,IF(INDEX('計算A'!$D$60:$II$104,$B46,144)*IJ46=1,IF(AND($E46=2,RQ46=0),1000000,INDEX('計算A'!EQ$110:EQ$114,$F46+1)+IF(AND($E46=1,RQ46=0),1000,0)),1000000))</f>
        <v/>
      </c>
      <c r="AAY46">
        <f>IF($B46=0,1000000,IF(INDEX('計算A'!$D$60:$II$104,$B46,145)*IK46=1,IF(AND($E46=2,RR46=0),1000000,INDEX('計算A'!ER$110:ER$114,$F46+1)+IF(AND($E46=1,RR46=0),1000,0)),1000000))</f>
        <v/>
      </c>
      <c r="AAZ46">
        <f>IF($B46=0,1000000,IF(INDEX('計算A'!$D$60:$II$104,$B46,146)*IL46=1,IF(AND($E46=2,RS46=0),1000000,INDEX('計算A'!ES$110:ES$114,$F46+1)+IF(AND($E46=1,RS46=0),1000,0)),1000000))</f>
        <v/>
      </c>
      <c r="ABA46">
        <f>IF($B46=0,1000000,IF(INDEX('計算A'!$D$60:$II$104,$B46,147)*IM46=1,IF(AND($E46=2,RT46=0),1000000,INDEX('計算A'!ET$110:ET$114,$F46+1)+IF(AND($E46=1,RT46=0),1000,0)),1000000))</f>
        <v/>
      </c>
      <c r="ABB46">
        <f>IF($B46=0,1000000,IF(INDEX('計算A'!$D$60:$II$104,$B46,148)*IN46=1,IF(AND($E46=2,RU46=0),1000000,INDEX('計算A'!EU$110:EU$114,$F46+1)+IF(AND($E46=1,RU46=0),1000,0)),1000000))</f>
        <v/>
      </c>
      <c r="ABC46">
        <f>IF($B46=0,1000000,IF(INDEX('計算A'!$D$60:$II$104,$B46,149)*IO46=1,IF(AND($E46=2,RV46=0),1000000,INDEX('計算A'!EV$110:EV$114,$F46+1)+IF(AND($E46=1,RV46=0),1000,0)),1000000))</f>
        <v/>
      </c>
      <c r="ABD46">
        <f>IF($B46=0,1000000,IF(INDEX('計算A'!$D$60:$II$104,$B46,150)*IP46=1,IF(AND($E46=2,RW46=0),1000000,INDEX('計算A'!EW$110:EW$114,$F46+1)+IF(AND($E46=1,RW46=0),1000,0)),1000000))</f>
        <v/>
      </c>
      <c r="ABE46">
        <f>IF($B46=0,1000000,IF(INDEX('計算A'!$D$60:$II$104,$B46,151)*IQ46=1,IF(AND($E46=2,RX46=0),1000000,INDEX('計算A'!EX$110:EX$114,$F46+1)+IF(AND($E46=1,RX46=0),1000,0)),1000000))</f>
        <v/>
      </c>
      <c r="ABF46">
        <f>IF($B46=0,1000000,IF(INDEX('計算A'!$D$60:$II$104,$B46,152)*IR46=1,IF(AND($E46=2,RY46=0),1000000,INDEX('計算A'!EY$110:EY$114,$F46+1)+IF(AND($E46=1,RY46=0),1000,0)),1000000))</f>
        <v/>
      </c>
      <c r="ABG46">
        <f>IF($B46=0,1000000,IF(INDEX('計算A'!$D$60:$II$104,$B46,153)*IS46=1,IF(AND($E46=2,RZ46=0),1000000,INDEX('計算A'!EZ$110:EZ$114,$F46+1)+IF(AND($E46=1,RZ46=0),1000,0)),1000000))</f>
        <v/>
      </c>
      <c r="ABH46">
        <f>IF($B46=0,1000000,IF(INDEX('計算A'!$D$60:$II$104,$B46,154)*IT46=1,IF(AND($E46=2,SA46=0),1000000,INDEX('計算A'!FA$110:FA$114,$F46+1)+IF(AND($E46=1,SA46=0),1000,0)),1000000))</f>
        <v/>
      </c>
      <c r="ABI46">
        <f>IF($B46=0,1000000,IF(INDEX('計算A'!$D$60:$II$104,$B46,155)*IU46=1,IF(AND($E46=2,SB46=0),1000000,INDEX('計算A'!FB$110:FB$114,$F46+1)+IF(AND($E46=1,SB46=0),1000,0)),1000000))</f>
        <v/>
      </c>
      <c r="ABJ46">
        <f>IF($B46=0,1000000,IF(INDEX('計算A'!$D$60:$II$104,$B46,156)*IV46=1,IF(AND($E46=2,SC46=0),1000000,INDEX('計算A'!FC$110:FC$114,$F46+1)+IF(AND($E46=1,SC46=0),1000,0)),1000000))</f>
        <v/>
      </c>
      <c r="ABK46">
        <f>IF($B46=0,1000000,IF(INDEX('計算A'!$D$60:$II$104,$B46,157)*IW46=1,IF(AND($E46=2,SD46=0),1000000,INDEX('計算A'!FD$110:FD$114,$F46+1)+IF(AND($E46=1,SD46=0),1000,0)),1000000))</f>
        <v/>
      </c>
      <c r="ABL46">
        <f>IF($B46=0,1000000,IF(INDEX('計算A'!$D$60:$II$104,$B46,158)*IX46=1,IF(AND($E46=2,SE46=0),1000000,INDEX('計算A'!FE$110:FE$114,$F46+1)+IF(AND($E46=1,SE46=0),1000,0)),1000000))</f>
        <v/>
      </c>
      <c r="ABM46">
        <f>IF($B46=0,1000000,IF(INDEX('計算A'!$D$60:$II$104,$B46,159)*IY46=1,IF(AND($E46=2,SF46=0),1000000,INDEX('計算A'!FF$110:FF$114,$F46+1)+IF(AND($E46=1,SF46=0),1000,0)),1000000))</f>
        <v/>
      </c>
      <c r="ABN46">
        <f>IF($B46=0,1000000,IF(INDEX('計算A'!$D$60:$II$104,$B46,160)*IZ46=1,IF(AND($E46=2,SG46=0),1000000,INDEX('計算A'!FG$110:FG$114,$F46+1)+IF(AND($E46=1,SG46=0),1000,0)),1000000))</f>
        <v/>
      </c>
      <c r="ABO46">
        <f>IF($B46=0,1000000,IF(INDEX('計算A'!$D$60:$II$104,$B46,161)*JA46=1,IF(AND($E46=2,SH46=0),1000000,INDEX('計算A'!FH$110:FH$114,$F46+1)+IF(AND($E46=1,SH46=0),1000,0)),1000000))</f>
        <v/>
      </c>
      <c r="ABP46">
        <f>IF($B46=0,1000000,IF(INDEX('計算A'!$D$60:$II$104,$B46,162)*JB46=1,IF(AND($E46=2,SI46=0),1000000,INDEX('計算A'!FI$110:FI$114,$F46+1)+IF(AND($E46=1,SI46=0),1000,0)),1000000))</f>
        <v/>
      </c>
      <c r="ABQ46">
        <f>IF($B46=0,1000000,IF(INDEX('計算A'!$D$60:$II$104,$B46,163)*JC46=1,IF(AND($E46=2,SJ46=0),1000000,INDEX('計算A'!FJ$110:FJ$114,$F46+1)+IF(AND($E46=1,SJ46=0),1000,0)),1000000))</f>
        <v/>
      </c>
      <c r="ABR46">
        <f>IF($B46=0,1000000,IF(INDEX('計算A'!$D$60:$II$104,$B46,164)*JD46=1,IF(AND($E46=2,SK46=0),1000000,INDEX('計算A'!FK$110:FK$114,$F46+1)+IF(AND($E46=1,SK46=0),1000,0)),1000000))</f>
        <v/>
      </c>
      <c r="ABS46">
        <f>IF($B46=0,1000000,IF(INDEX('計算A'!$D$60:$II$104,$B46,165)*JE46=1,IF(AND($E46=2,SL46=0),1000000,INDEX('計算A'!FL$110:FL$114,$F46+1)+IF(AND($E46=1,SL46=0),1000,0)),1000000))</f>
        <v/>
      </c>
      <c r="ABT46">
        <f>IF($B46=0,1000000,IF(INDEX('計算A'!$D$60:$II$104,$B46,166)*JF46=1,IF(AND($E46=2,SM46=0),1000000,INDEX('計算A'!FM$110:FM$114,$F46+1)+IF(AND($E46=1,SM46=0),1000,0)),1000000))</f>
        <v/>
      </c>
      <c r="ABU46">
        <f>IF($B46=0,1000000,IF(INDEX('計算A'!$D$60:$II$104,$B46,167)*JG46=1,IF(AND($E46=2,SN46=0),1000000,INDEX('計算A'!FN$110:FN$114,$F46+1)+IF(AND($E46=1,SN46=0),1000,0)),1000000))</f>
        <v/>
      </c>
      <c r="ABV46">
        <f>IF($B46=0,1000000,IF(INDEX('計算A'!$D$60:$II$104,$B46,168)*JH46=1,IF(AND($E46=2,SO46=0),1000000,INDEX('計算A'!FO$110:FO$114,$F46+1)+IF(AND($E46=1,SO46=0),1000,0)),1000000))</f>
        <v/>
      </c>
      <c r="ABW46">
        <f>IF($B46=0,1000000,IF(INDEX('計算A'!$D$60:$II$104,$B46,169)*JI46=1,IF(AND($E46=2,SP46=0),1000000,INDEX('計算A'!FP$110:FP$114,$F46+1)+IF(AND($E46=1,SP46=0),1000,0)),1000000))</f>
        <v/>
      </c>
      <c r="ABX46">
        <f>IF($B46=0,1000000,IF(INDEX('計算A'!$D$60:$II$104,$B46,170)*JJ46=1,IF(AND($E46=2,SQ46=0),1000000,INDEX('計算A'!FQ$110:FQ$114,$F46+1)+IF(AND($E46=1,SQ46=0),1000,0)),1000000))</f>
        <v/>
      </c>
      <c r="ABY46">
        <f>IF($B46=0,1000000,IF(INDEX('計算A'!$D$60:$II$104,$B46,171)*JK46=1,IF(AND($E46=2,SR46=0),1000000,INDEX('計算A'!FR$110:FR$114,$F46+1)+IF(AND($E46=1,SR46=0),1000,0)),1000000))</f>
        <v/>
      </c>
      <c r="ABZ46">
        <f>IF($B46=0,1000000,IF(INDEX('計算A'!$D$60:$II$104,$B46,172)*JL46=1,IF(AND($E46=2,SS46=0),1000000,INDEX('計算A'!FS$110:FS$114,$F46+1)+IF(AND($E46=1,SS46=0),1000,0)),1000000))</f>
        <v/>
      </c>
      <c r="ACA46">
        <f>IF($B46=0,1000000,IF(INDEX('計算A'!$D$60:$II$104,$B46,173)*JM46=1,IF(AND($E46=2,ST46=0),1000000,INDEX('計算A'!FT$110:FT$114,$F46+1)+IF(AND($E46=1,ST46=0),1000,0)),1000000))</f>
        <v/>
      </c>
      <c r="ACB46">
        <f>IF($B46=0,1000000,IF(INDEX('計算A'!$D$60:$II$104,$B46,174)*JN46=1,IF(AND($E46=2,SU46=0),1000000,INDEX('計算A'!FU$110:FU$114,$F46+1)+IF(AND($E46=1,SU46=0),1000,0)),1000000))</f>
        <v/>
      </c>
      <c r="ACC46">
        <f>IF($B46=0,1000000,IF(INDEX('計算A'!$D$60:$II$104,$B46,175)*JO46=1,IF(AND($E46=2,SV46=0),1000000,INDEX('計算A'!FV$110:FV$114,$F46+1)+IF(AND($E46=1,SV46=0),1000,0)),1000000))</f>
        <v/>
      </c>
      <c r="ACD46">
        <f>IF($B46=0,1000000,IF(INDEX('計算A'!$D$60:$II$104,$B46,176)*JP46=1,IF(AND($E46=2,SW46=0),1000000,INDEX('計算A'!FW$110:FW$114,$F46+1)+IF(AND($E46=1,SW46=0),1000,0)),1000000))</f>
        <v/>
      </c>
      <c r="ACE46">
        <f>IF($B46=0,1000000,IF(INDEX('計算A'!$D$60:$II$104,$B46,177)*JQ46=1,IF(AND($E46=2,SX46=0),1000000,INDEX('計算A'!FX$110:FX$114,$F46+1)+IF(AND($E46=1,SX46=0),1000,0)),1000000))</f>
        <v/>
      </c>
      <c r="ACF46">
        <f>IF($B46=0,1000000,IF(INDEX('計算A'!$D$60:$II$104,$B46,178)*JR46=1,IF(AND($E46=2,SY46=0),1000000,INDEX('計算A'!FY$110:FY$114,$F46+1)+IF(AND($E46=1,SY46=0),1000,0)),1000000))</f>
        <v/>
      </c>
      <c r="ACG46">
        <f>IF($B46=0,1000000,IF(INDEX('計算A'!$D$60:$II$104,$B46,179)*JS46=1,IF(AND($E46=2,SZ46=0),1000000,INDEX('計算A'!FZ$110:FZ$114,$F46+1)+IF(AND($E46=1,SZ46=0),1000,0)),1000000))</f>
        <v/>
      </c>
      <c r="ACH46">
        <f>IF($B46=0,1000000,IF(INDEX('計算A'!$D$60:$II$104,$B46,180)*JT46=1,IF(AND($E46=2,TA46=0),1000000,INDEX('計算A'!GA$110:GA$114,$F46+1)+IF(AND($E46=1,TA46=0),1000,0)),1000000))</f>
        <v/>
      </c>
      <c r="ACI46">
        <f>IF($B46=0,1000000,IF(INDEX('計算A'!$D$60:$II$104,$B46,181)*JU46=1,IF(AND($E46=2,TB46=0),1000000,INDEX('計算A'!GB$110:GB$114,$F46+1)+IF(AND($E46=1,TB46=0),1000,0)),1000000))</f>
        <v/>
      </c>
      <c r="ACJ46">
        <f>IF($B46=0,1000000,IF(INDEX('計算A'!$D$60:$II$104,$B46,182)*JV46=1,IF(AND($E46=2,TC46=0),1000000,INDEX('計算A'!GC$110:GC$114,$F46+1)+IF(AND($E46=1,TC46=0),1000,0)),1000000))</f>
        <v/>
      </c>
      <c r="ACK46">
        <f>IF($B46=0,1000000,IF(INDEX('計算A'!$D$60:$II$104,$B46,183)*JW46=1,IF(AND($E46=2,TD46=0),1000000,INDEX('計算A'!GD$110:GD$114,$F46+1)+IF(AND($E46=1,TD46=0),1000,0)),1000000))</f>
        <v/>
      </c>
      <c r="ACL46">
        <f>IF($B46=0,1000000,IF(INDEX('計算A'!$D$60:$II$104,$B46,184)*JX46=1,IF(AND($E46=2,TE46=0),1000000,INDEX('計算A'!GE$110:GE$114,$F46+1)+IF(AND($E46=1,TE46=0),1000,0)),1000000))</f>
        <v/>
      </c>
      <c r="ACM46">
        <f>IF($B46=0,1000000,IF(INDEX('計算A'!$D$60:$II$104,$B46,185)*JY46=1,IF(AND($E46=2,TF46=0),1000000,INDEX('計算A'!GF$110:GF$114,$F46+1)+IF(AND($E46=1,TF46=0),1000,0)),1000000))</f>
        <v/>
      </c>
      <c r="ACN46">
        <f>IF($B46=0,1000000,IF(INDEX('計算A'!$D$60:$II$104,$B46,186)*JZ46=1,IF(AND($E46=2,TG46=0),1000000,INDEX('計算A'!GG$110:GG$114,$F46+1)+IF(AND($E46=1,TG46=0),1000,0)),1000000))</f>
        <v/>
      </c>
      <c r="ACO46">
        <f>IF($B46=0,1000000,IF(INDEX('計算A'!$D$60:$II$104,$B46,187)*KA46=1,IF(AND($E46=2,TH46=0),1000000,INDEX('計算A'!GH$110:GH$114,$F46+1)+IF(AND($E46=1,TH46=0),1000,0)),1000000))</f>
        <v/>
      </c>
      <c r="ACP46">
        <f>IF($B46=0,1000000,IF(INDEX('計算A'!$D$60:$II$104,$B46,188)*KB46=1,IF(AND($E46=2,TI46=0),1000000,INDEX('計算A'!GI$110:GI$114,$F46+1)+IF(AND($E46=1,TI46=0),1000,0)),1000000))</f>
        <v/>
      </c>
      <c r="ACQ46">
        <f>IF($B46=0,1000000,IF(INDEX('計算A'!$D$60:$II$104,$B46,189)*KC46=1,IF(AND($E46=2,TJ46=0),1000000,INDEX('計算A'!GJ$110:GJ$114,$F46+1)+IF(AND($E46=1,TJ46=0),1000,0)),1000000))</f>
        <v/>
      </c>
      <c r="ACR46">
        <f>IF($B46=0,1000000,IF(INDEX('計算A'!$D$60:$II$104,$B46,190)*KD46=1,IF(AND($E46=2,TK46=0),1000000,INDEX('計算A'!GK$110:GK$114,$F46+1)+IF(AND($E46=1,TK46=0),1000,0)),1000000))</f>
        <v/>
      </c>
      <c r="ACS46">
        <f>IF($B46=0,1000000,IF(INDEX('計算A'!$D$60:$II$104,$B46,191)*KE46=1,IF(AND($E46=2,TL46=0),1000000,INDEX('計算A'!GL$110:GL$114,$F46+1)+IF(AND($E46=1,TL46=0),1000,0)),1000000))</f>
        <v/>
      </c>
      <c r="ACT46">
        <f>IF($B46=0,1000000,IF(INDEX('計算A'!$D$60:$II$104,$B46,192)*KF46=1,IF(AND($E46=2,TM46=0),1000000,INDEX('計算A'!GM$110:GM$114,$F46+1)+IF(AND($E46=1,TM46=0),1000,0)),1000000))</f>
        <v/>
      </c>
      <c r="ACU46">
        <f>IF($B46=0,1000000,IF(INDEX('計算A'!$D$60:$II$104,$B46,193)*KG46=1,IF(AND($E46=2,TN46=0),1000000,INDEX('計算A'!GN$110:GN$114,$F46+1)+IF(AND($E46=1,TN46=0),1000,0)),1000000))</f>
        <v/>
      </c>
      <c r="ACV46">
        <f>IF($B46=0,1000000,IF(INDEX('計算A'!$D$60:$II$104,$B46,194)*KH46=1,IF(AND($E46=2,TO46=0),1000000,INDEX('計算A'!GO$110:GO$114,$F46+1)+IF(AND($E46=1,TO46=0),1000,0)),1000000))</f>
        <v/>
      </c>
      <c r="ACW46">
        <f>IF($B46=0,1000000,IF(INDEX('計算A'!$D$60:$II$104,$B46,195)*KI46=1,IF(AND($E46=2,TP46=0),1000000,INDEX('計算A'!GP$110:GP$114,$F46+1)+IF(AND($E46=1,TP46=0),1000,0)),1000000))</f>
        <v/>
      </c>
      <c r="ACX46">
        <f>IF($B46=0,1000000,IF(INDEX('計算A'!$D$60:$II$104,$B46,196)*KJ46=1,IF(AND($E46=2,TQ46=0),1000000,INDEX('計算A'!GQ$110:GQ$114,$F46+1)+IF(AND($E46=1,TQ46=0),1000,0)),1000000))</f>
        <v/>
      </c>
      <c r="ACY46">
        <f>IF($B46=0,1000000,IF(INDEX('計算A'!$D$60:$II$104,$B46,197)*KK46=1,IF(AND($E46=2,TR46=0),1000000,INDEX('計算A'!GR$110:GR$114,$F46+1)+IF(AND($E46=1,TR46=0),1000,0)),1000000))</f>
        <v/>
      </c>
      <c r="ACZ46">
        <f>IF($B46=0,1000000,IF(INDEX('計算A'!$D$60:$II$104,$B46,198)*KL46=1,IF(AND($E46=2,TS46=0),1000000,INDEX('計算A'!GS$110:GS$114,$F46+1)+IF(AND($E46=1,TS46=0),1000,0)),1000000))</f>
        <v/>
      </c>
      <c r="ADA46">
        <f>IF($B46=0,1000000,IF(INDEX('計算A'!$D$60:$II$104,$B46,199)*KM46=1,IF(AND($E46=2,TT46=0),1000000,INDEX('計算A'!GT$110:GT$114,$F46+1)+IF(AND($E46=1,TT46=0),1000,0)),1000000))</f>
        <v/>
      </c>
      <c r="ADB46">
        <f>IF($B46=0,1000000,IF(INDEX('計算A'!$D$60:$II$104,$B46,200)*KN46=1,IF(AND($E46=2,TU46=0),1000000,INDEX('計算A'!GU$110:GU$114,$F46+1)+IF(AND($E46=1,TU46=0),1000,0)),1000000))</f>
        <v/>
      </c>
      <c r="ADC46">
        <f>IF($B46=0,1000000,IF(INDEX('計算A'!$D$60:$II$104,$B46,201)*KO46=1,IF(AND($E46=2,TV46=0),1000000,INDEX('計算A'!GV$110:GV$114,$F46+1)+IF(AND($E46=1,TV46=0),1000,0)),1000000))</f>
        <v/>
      </c>
      <c r="ADD46">
        <f>IF($B46=0,1000000,IF(INDEX('計算A'!$D$60:$II$104,$B46,202)*KP46=1,IF(AND($E46=2,TW46=0),1000000,INDEX('計算A'!GW$110:GW$114,$F46+1)+IF(AND($E46=1,TW46=0),1000,0)),1000000))</f>
        <v/>
      </c>
      <c r="ADE46">
        <f>IF($B46=0,1000000,IF(INDEX('計算A'!$D$60:$II$104,$B46,203)*KQ46=1,IF(AND($E46=2,TX46=0),1000000,INDEX('計算A'!GX$110:GX$114,$F46+1)+IF(AND($E46=1,TX46=0),1000,0)),1000000))</f>
        <v/>
      </c>
      <c r="ADF46">
        <f>IF($B46=0,1000000,IF(INDEX('計算A'!$D$60:$II$104,$B46,204)*KR46=1,IF(AND($E46=2,TY46=0),1000000,INDEX('計算A'!GY$110:GY$114,$F46+1)+IF(AND($E46=1,TY46=0),1000,0)),1000000))</f>
        <v/>
      </c>
      <c r="ADG46">
        <f>IF($B46=0,1000000,IF(INDEX('計算A'!$D$60:$II$104,$B46,205)*KS46=1,IF(AND($E46=2,TZ46=0),1000000,INDEX('計算A'!GZ$110:GZ$114,$F46+1)+IF(AND($E46=1,TZ46=0),1000,0)),1000000))</f>
        <v/>
      </c>
      <c r="ADH46">
        <f>IF($B46=0,1000000,IF(INDEX('計算A'!$D$60:$II$104,$B46,206)*KT46=1,IF(AND($E46=2,UA46=0),1000000,INDEX('計算A'!HA$110:HA$114,$F46+1)+IF(AND($E46=1,UA46=0),1000,0)),1000000))</f>
        <v/>
      </c>
      <c r="ADI46">
        <f>IF($B46=0,1000000,IF(INDEX('計算A'!$D$60:$II$104,$B46,207)*KU46=1,IF(AND($E46=2,UB46=0),1000000,INDEX('計算A'!HB$110:HB$114,$F46+1)+IF(AND($E46=1,UB46=0),1000,0)),1000000))</f>
        <v/>
      </c>
      <c r="ADJ46">
        <f>IF($B46=0,1000000,IF(INDEX('計算A'!$D$60:$II$104,$B46,208)*KV46=1,IF(AND($E46=2,UC46=0),1000000,INDEX('計算A'!HC$110:HC$114,$F46+1)+IF(AND($E46=1,UC46=0),1000,0)),1000000))</f>
        <v/>
      </c>
      <c r="ADK46">
        <f>IF($B46=0,1000000,IF(INDEX('計算A'!$D$60:$II$104,$B46,209)*KW46=1,IF(AND($E46=2,UD46=0),1000000,INDEX('計算A'!HD$110:HD$114,$F46+1)+IF(AND($E46=1,UD46=0),1000,0)),1000000))</f>
        <v/>
      </c>
      <c r="ADL46">
        <f>IF($B46=0,1000000,IF(INDEX('計算A'!$D$60:$II$104,$B46,210)*KX46=1,IF(AND($E46=2,UE46=0),1000000,INDEX('計算A'!HE$110:HE$114,$F46+1)+IF(AND($E46=1,UE46=0),1000,0)),1000000))</f>
        <v/>
      </c>
      <c r="ADM46">
        <f>IF($B46=0,1000000,IF(INDEX('計算A'!$D$60:$II$104,$B46,211)*KY46=1,IF(AND($E46=2,UF46=0),1000000,INDEX('計算A'!HF$110:HF$114,$F46+1)+IF(AND($E46=1,UF46=0),1000,0)),1000000))</f>
        <v/>
      </c>
      <c r="ADN46">
        <f>IF($B46=0,1000000,IF(INDEX('計算A'!$D$60:$II$104,$B46,212)*KZ46=1,IF(AND($E46=2,UG46=0),1000000,INDEX('計算A'!HG$110:HG$114,$F46+1)+IF(AND($E46=1,UG46=0),1000,0)),1000000))</f>
        <v/>
      </c>
      <c r="ADO46">
        <f>IF($B46=0,1000000,IF(INDEX('計算A'!$D$60:$II$104,$B46,213)*LA46=1,IF(AND($E46=2,UH46=0),1000000,INDEX('計算A'!HH$110:HH$114,$F46+1)+IF(AND($E46=1,UH46=0),1000,0)),1000000))</f>
        <v/>
      </c>
      <c r="ADP46">
        <f>IF($B46=0,1000000,IF(INDEX('計算A'!$D$60:$II$104,$B46,214)*LB46=1,IF(AND($E46=2,UI46=0),1000000,INDEX('計算A'!HI$110:HI$114,$F46+1)+IF(AND($E46=1,UI46=0),1000,0)),1000000))</f>
        <v/>
      </c>
      <c r="ADQ46">
        <f>IF($B46=0,1000000,IF(INDEX('計算A'!$D$60:$II$104,$B46,215)*LC46=1,IF(AND($E46=2,UJ46=0),1000000,INDEX('計算A'!HJ$110:HJ$114,$F46+1)+IF(AND($E46=1,UJ46=0),1000,0)),1000000))</f>
        <v/>
      </c>
      <c r="ADR46">
        <f>IF($B46=0,1000000,IF(INDEX('計算A'!$D$60:$II$104,$B46,216)*LD46=1,IF(AND($E46=2,UK46=0),1000000,INDEX('計算A'!HK$110:HK$114,$F46+1)+IF(AND($E46=1,UK46=0),1000,0)),1000000))</f>
        <v/>
      </c>
      <c r="ADS46">
        <f>IF($B46=0,1000000,IF(INDEX('計算A'!$D$60:$II$104,$B46,217)*LE46=1,IF(AND($E46=2,UL46=0),1000000,INDEX('計算A'!HL$110:HL$114,$F46+1)+IF(AND($E46=1,UL46=0),1000,0)),1000000))</f>
        <v/>
      </c>
      <c r="ADT46">
        <f>IF($B46=0,1000000,IF(INDEX('計算A'!$D$60:$II$104,$B46,218)*LF46=1,IF(AND($E46=2,UM46=0),1000000,INDEX('計算A'!HM$110:HM$114,$F46+1)+IF(AND($E46=1,UM46=0),1000,0)),1000000))</f>
        <v/>
      </c>
      <c r="ADU46">
        <f>IF($B46=0,1000000,IF(INDEX('計算A'!$D$60:$II$104,$B46,219)*LG46=1,IF(AND($E46=2,UN46=0),1000000,INDEX('計算A'!HN$110:HN$114,$F46+1)+IF(AND($E46=1,UN46=0),1000,0)),1000000))</f>
        <v/>
      </c>
      <c r="ADV46">
        <f>IF($B46=0,1000000,IF(INDEX('計算A'!$D$60:$II$104,$B46,220)*LH46=1,IF(AND($E46=2,UO46=0),1000000,INDEX('計算A'!HO$110:HO$114,$F46+1)+IF(AND($E46=1,UO46=0),1000,0)),1000000))</f>
        <v/>
      </c>
      <c r="ADW46">
        <f>IF($B46=0,1000000,IF(INDEX('計算A'!$D$60:$II$104,$B46,221)*LI46=1,IF(AND($E46=2,UP46=0),1000000,INDEX('計算A'!HP$110:HP$114,$F46+1)+IF(AND($E46=1,UP46=0),1000,0)),1000000))</f>
        <v/>
      </c>
      <c r="ADX46">
        <f>IF($B46=0,1000000,IF(INDEX('計算A'!$D$60:$II$104,$B46,222)*LJ46=1,IF(AND($E46=2,UQ46=0),1000000,INDEX('計算A'!HQ$110:HQ$114,$F46+1)+IF(AND($E46=1,UQ46=0),1000,0)),1000000))</f>
        <v/>
      </c>
      <c r="ADY46">
        <f>IF($B46=0,1000000,IF(INDEX('計算A'!$D$60:$II$104,$B46,223)*LK46=1,IF(AND($E46=2,UR46=0),1000000,INDEX('計算A'!HR$110:HR$114,$F46+1)+IF(AND($E46=1,UR46=0),1000,0)),1000000))</f>
        <v/>
      </c>
      <c r="ADZ46">
        <f>IF($B46=0,1000000,IF(INDEX('計算A'!$D$60:$II$104,$B46,224)*LL46=1,IF(AND($E46=2,US46=0),1000000,INDEX('計算A'!HS$110:HS$114,$F46+1)+IF(AND($E46=1,US46=0),1000,0)),1000000))</f>
        <v/>
      </c>
      <c r="AEA46">
        <f>IF($B46=0,1000000,IF(INDEX('計算A'!$D$60:$II$104,$B46,225)*LM46=1,IF(AND($E46=2,UT46=0),1000000,INDEX('計算A'!HT$110:HT$114,$F46+1)+IF(AND($E46=1,UT46=0),1000,0)),1000000))</f>
        <v/>
      </c>
      <c r="AEB46">
        <f>IF($B46=0,1000000,IF(INDEX('計算A'!$D$60:$II$104,$B46,226)*LN46=1,IF(AND($E46=2,UU46=0),1000000,INDEX('計算A'!HU$110:HU$114,$F46+1)+IF(AND($E46=1,UU46=0),1000,0)),1000000))</f>
        <v/>
      </c>
      <c r="AEC46">
        <f>IF($B46=0,1000000,IF(INDEX('計算A'!$D$60:$II$104,$B46,227)*LO46=1,IF(AND($E46=2,UV46=0),1000000,INDEX('計算A'!HV$110:HV$114,$F46+1)+IF(AND($E46=1,UV46=0),1000,0)),1000000))</f>
        <v/>
      </c>
      <c r="AED46">
        <f>IF($B46=0,1000000,IF(INDEX('計算A'!$D$60:$II$104,$B46,228)*LP46=1,IF(AND($E46=2,UW46=0),1000000,INDEX('計算A'!HW$110:HW$114,$F46+1)+IF(AND($E46=1,UW46=0),1000,0)),1000000))</f>
        <v/>
      </c>
      <c r="AEE46">
        <f>IF($B46=0,1000000,IF(INDEX('計算A'!$D$60:$II$104,$B46,229)*LQ46=1,IF(AND($E46=2,UX46=0),1000000,INDEX('計算A'!HX$110:HX$114,$F46+1)+IF(AND($E46=1,UX46=0),1000,0)),1000000))</f>
        <v/>
      </c>
      <c r="AEF46">
        <f>IF($B46=0,1000000,IF(INDEX('計算A'!$D$60:$II$104,$B46,230)*LR46=1,IF(AND($E46=2,UY46=0),1000000,INDEX('計算A'!HY$110:HY$114,$F46+1)+IF(AND($E46=1,UY46=0),1000,0)),1000000))</f>
        <v/>
      </c>
      <c r="AEG46">
        <f>IF($B46=0,1000000,IF(INDEX('計算A'!$D$60:$II$104,$B46,231)*LS46=1,IF(AND($E46=2,UZ46=0),1000000,INDEX('計算A'!HZ$110:HZ$114,$F46+1)+IF(AND($E46=1,UZ46=0),1000,0)),1000000))</f>
        <v/>
      </c>
      <c r="AEH46">
        <f>IF($B46=0,1000000,IF(INDEX('計算A'!$D$60:$II$104,$B46,232)*LT46=1,IF(AND($E46=2,VA46=0),1000000,INDEX('計算A'!IA$110:IA$114,$F46+1)+IF(AND($E46=1,VA46=0),1000,0)),1000000))</f>
        <v/>
      </c>
      <c r="AEI46">
        <f>IF($B46=0,1000000,IF(INDEX('計算A'!$D$60:$II$104,$B46,233)*LU46=1,IF(AND($E46=2,VB46=0),1000000,INDEX('計算A'!IB$110:IB$114,$F46+1)+IF(AND($E46=1,VB46=0),1000,0)),1000000))</f>
        <v/>
      </c>
      <c r="AEJ46">
        <f>IF($B46=0,1000000,IF(INDEX('計算A'!$D$60:$II$104,$B46,234)*LV46=1,IF(AND($E46=2,VC46=0),1000000,INDEX('計算A'!IC$110:IC$114,$F46+1)+IF(AND($E46=1,VC46=0),1000,0)),1000000))</f>
        <v/>
      </c>
      <c r="AEK46">
        <f>IF($B46=0,1000000,IF(INDEX('計算A'!$D$60:$II$104,$B46,235)*LW46=1,IF(AND($E46=2,VD46=0),1000000,INDEX('計算A'!ID$110:ID$114,$F46+1)+IF(AND($E46=1,VD46=0),1000,0)),1000000))</f>
        <v/>
      </c>
      <c r="AEL46">
        <f>IF($B46=0,1000000,IF(INDEX('計算A'!$D$60:$II$104,$B46,236)*LX46=1,IF(AND($E46=2,VE46=0),1000000,INDEX('計算A'!IE$110:IE$114,$F46+1)+IF(AND($E46=1,VE46=0),1000,0)),1000000))</f>
        <v/>
      </c>
      <c r="AEM46">
        <f>IF($B46=0,1000000,IF(INDEX('計算A'!$D$60:$II$104,$B46,237)*LY46=1,IF(AND($E46=2,VF46=0),1000000,INDEX('計算A'!IF$110:IF$114,$F46+1)+IF(AND($E46=1,VF46=0),1000,0)),1000000))</f>
        <v/>
      </c>
      <c r="AEN46">
        <f>IF($B46=0,1000000,IF(INDEX('計算A'!$D$60:$II$104,$B46,238)*LZ46=1,IF(AND($E46=2,VG46=0),1000000,INDEX('計算A'!IG$110:IG$114,$F46+1)+IF(AND($E46=1,VG46=0),1000,0)),1000000))</f>
        <v/>
      </c>
      <c r="AEO46">
        <f>IF($B46=0,1000000,IF(INDEX('計算A'!$D$60:$II$104,$B46,239)*MA46=1,IF(AND($E46=2,VH46=0),1000000,INDEX('計算A'!IH$110:IH$114,$F46+1)+IF(AND($E46=1,VH46=0),1000,0)),1000000))</f>
        <v/>
      </c>
      <c r="AEP46">
        <f>IF($B46=0,1000000,IF(INDEX('計算A'!$D$60:$II$104,$B46,240)*MB46=1,IF(AND($E46=2,VI46=0),1000000,INDEX('計算A'!II$110:II$114,$F46+1)+IF(AND($E46=1,VI46=0),1000,0)),1000000))</f>
        <v/>
      </c>
    </row>
    <row r="47">
      <c r="A47" t="n">
        <v>45</v>
      </c>
      <c r="B47">
        <f>IF(MIN(BC47:CU47)&gt;=1000000,0,MATCH(MIN(BC47:CU47),BC47:CU47,0))</f>
        <v/>
      </c>
      <c r="C47">
        <f>IF(MIN(VK47:AEP47)&gt;=1000000,0,MATCH(MIN(VK47:AEP47),VK47:AEP47,0))</f>
        <v/>
      </c>
      <c r="D47">
        <f>IF(C47&gt;0,INDEX('計算A'!$D$5:$II$5,C47),0)</f>
        <v/>
      </c>
      <c r="E47">
        <f>IF(B47=0,0,INDEX('計算A'!$IQ$10:$IQ$54,B47))</f>
        <v/>
      </c>
      <c r="F47">
        <f>IF(B47=0,0,INDEX('計算A'!$IP$10:$IP$54,B47))</f>
        <v/>
      </c>
      <c r="G47">
        <f>IF(AND(C47&gt;0,E47&gt;0),IF(AND(INDEX('計算A'!$D$106:$II$106,C47)=1,INDEX($MD47:$VI47,C47)=1),C47+1,0),0)</f>
        <v/>
      </c>
      <c r="I47">
        <f>MAX(I46,IF($B46=1,1,0))</f>
        <v/>
      </c>
      <c r="J47">
        <f>MAX(J46,IF($B46=2,1,0))</f>
        <v/>
      </c>
      <c r="K47">
        <f>MAX(K46,IF($B46=3,1,0))</f>
        <v/>
      </c>
      <c r="L47">
        <f>MAX(L46,IF($B46=4,1,0))</f>
        <v/>
      </c>
      <c r="M47">
        <f>MAX(M46,IF($B46=5,1,0))</f>
        <v/>
      </c>
      <c r="N47">
        <f>MAX(N46,IF($B46=6,1,0))</f>
        <v/>
      </c>
      <c r="O47">
        <f>MAX(O46,IF($B46=7,1,0))</f>
        <v/>
      </c>
      <c r="P47">
        <f>MAX(P46,IF($B46=8,1,0))</f>
        <v/>
      </c>
      <c r="Q47">
        <f>MAX(Q46,IF($B46=9,1,0))</f>
        <v/>
      </c>
      <c r="R47">
        <f>MAX(R46,IF($B46=10,1,0))</f>
        <v/>
      </c>
      <c r="S47">
        <f>MAX(S46,IF($B46=11,1,0))</f>
        <v/>
      </c>
      <c r="T47">
        <f>MAX(T46,IF($B46=12,1,0))</f>
        <v/>
      </c>
      <c r="U47">
        <f>MAX(U46,IF($B46=13,1,0))</f>
        <v/>
      </c>
      <c r="V47">
        <f>MAX(V46,IF($B46=14,1,0))</f>
        <v/>
      </c>
      <c r="W47">
        <f>MAX(W46,IF($B46=15,1,0))</f>
        <v/>
      </c>
      <c r="X47">
        <f>MAX(X46,IF($B46=16,1,0))</f>
        <v/>
      </c>
      <c r="Y47">
        <f>MAX(Y46,IF($B46=17,1,0))</f>
        <v/>
      </c>
      <c r="Z47">
        <f>MAX(Z46,IF($B46=18,1,0))</f>
        <v/>
      </c>
      <c r="AA47">
        <f>MAX(AA46,IF($B46=19,1,0))</f>
        <v/>
      </c>
      <c r="AB47">
        <f>MAX(AB46,IF($B46=20,1,0))</f>
        <v/>
      </c>
      <c r="AC47">
        <f>MAX(AC46,IF($B46=21,1,0))</f>
        <v/>
      </c>
      <c r="AD47">
        <f>MAX(AD46,IF($B46=22,1,0))</f>
        <v/>
      </c>
      <c r="AE47">
        <f>MAX(AE46,IF($B46=23,1,0))</f>
        <v/>
      </c>
      <c r="AF47">
        <f>MAX(AF46,IF($B46=24,1,0))</f>
        <v/>
      </c>
      <c r="AG47">
        <f>MAX(AG46,IF($B46=25,1,0))</f>
        <v/>
      </c>
      <c r="AH47">
        <f>MAX(AH46,IF($B46=26,1,0))</f>
        <v/>
      </c>
      <c r="AI47">
        <f>MAX(AI46,IF($B46=27,1,0))</f>
        <v/>
      </c>
      <c r="AJ47">
        <f>MAX(AJ46,IF($B46=28,1,0))</f>
        <v/>
      </c>
      <c r="AK47">
        <f>MAX(AK46,IF($B46=29,1,0))</f>
        <v/>
      </c>
      <c r="AL47">
        <f>MAX(AL46,IF($B46=30,1,0))</f>
        <v/>
      </c>
      <c r="AM47">
        <f>MAX(AM46,IF($B46=31,1,0))</f>
        <v/>
      </c>
      <c r="AN47">
        <f>MAX(AN46,IF($B46=32,1,0))</f>
        <v/>
      </c>
      <c r="AO47">
        <f>MAX(AO46,IF($B46=33,1,0))</f>
        <v/>
      </c>
      <c r="AP47">
        <f>MAX(AP46,IF($B46=34,1,0))</f>
        <v/>
      </c>
      <c r="AQ47">
        <f>MAX(AQ46,IF($B46=35,1,0))</f>
        <v/>
      </c>
      <c r="AR47">
        <f>MAX(AR46,IF($B46=36,1,0))</f>
        <v/>
      </c>
      <c r="AS47">
        <f>MAX(AS46,IF($B46=37,1,0))</f>
        <v/>
      </c>
      <c r="AT47">
        <f>MAX(AT46,IF($B46=38,1,0))</f>
        <v/>
      </c>
      <c r="AU47">
        <f>MAX(AU46,IF($B46=39,1,0))</f>
        <v/>
      </c>
      <c r="AV47">
        <f>MAX(AV46,IF($B46=40,1,0))</f>
        <v/>
      </c>
      <c r="AW47">
        <f>MAX(AW46,IF($B46=41,1,0))</f>
        <v/>
      </c>
      <c r="AX47">
        <f>MAX(AX46,IF($B46=42,1,0))</f>
        <v/>
      </c>
      <c r="AY47">
        <f>MAX(AY46,IF($B46=43,1,0))</f>
        <v/>
      </c>
      <c r="AZ47">
        <f>MAX(AZ46,IF($B46=44,1,0))</f>
        <v/>
      </c>
      <c r="BA47">
        <f>MAX(BA46,IF($B46=45,1,0))</f>
        <v/>
      </c>
      <c r="BC47">
        <f>IF(I47=1,1000000,IF('計算A'!$IQ$10=2,SUMPRODUCT('計算A'!$D$60:$II$60,$CW47:$MB47,$MD47:$VI47),SUMPRODUCT('計算A'!$D$60:$II$60,$CW47:$MB47))*1000+1)</f>
        <v/>
      </c>
      <c r="BD47">
        <f>IF(J47=1,1000000,IF('計算A'!$IQ$11=2,SUMPRODUCT('計算A'!$D$61:$II$61,$CW47:$MB47,$MD47:$VI47),SUMPRODUCT('計算A'!$D$61:$II$61,$CW47:$MB47))*1000+2)</f>
        <v/>
      </c>
      <c r="BE47">
        <f>IF(K47=1,1000000,IF('計算A'!$IQ$12=2,SUMPRODUCT('計算A'!$D$62:$II$62,$CW47:$MB47,$MD47:$VI47),SUMPRODUCT('計算A'!$D$62:$II$62,$CW47:$MB47))*1000+3)</f>
        <v/>
      </c>
      <c r="BF47">
        <f>IF(L47=1,1000000,IF('計算A'!$IQ$13=2,SUMPRODUCT('計算A'!$D$63:$II$63,$CW47:$MB47,$MD47:$VI47),SUMPRODUCT('計算A'!$D$63:$II$63,$CW47:$MB47))*1000+4)</f>
        <v/>
      </c>
      <c r="BG47">
        <f>IF(M47=1,1000000,IF('計算A'!$IQ$14=2,SUMPRODUCT('計算A'!$D$64:$II$64,$CW47:$MB47,$MD47:$VI47),SUMPRODUCT('計算A'!$D$64:$II$64,$CW47:$MB47))*1000+5)</f>
        <v/>
      </c>
      <c r="BH47">
        <f>IF(N47=1,1000000,IF('計算A'!$IQ$15=2,SUMPRODUCT('計算A'!$D$65:$II$65,$CW47:$MB47,$MD47:$VI47),SUMPRODUCT('計算A'!$D$65:$II$65,$CW47:$MB47))*1000+6)</f>
        <v/>
      </c>
      <c r="BI47">
        <f>IF(O47=1,1000000,IF('計算A'!$IQ$16=2,SUMPRODUCT('計算A'!$D$66:$II$66,$CW47:$MB47,$MD47:$VI47),SUMPRODUCT('計算A'!$D$66:$II$66,$CW47:$MB47))*1000+7)</f>
        <v/>
      </c>
      <c r="BJ47">
        <f>IF(P47=1,1000000,IF('計算A'!$IQ$17=2,SUMPRODUCT('計算A'!$D$67:$II$67,$CW47:$MB47,$MD47:$VI47),SUMPRODUCT('計算A'!$D$67:$II$67,$CW47:$MB47))*1000+8)</f>
        <v/>
      </c>
      <c r="BK47">
        <f>IF(Q47=1,1000000,IF('計算A'!$IQ$18=2,SUMPRODUCT('計算A'!$D$68:$II$68,$CW47:$MB47,$MD47:$VI47),SUMPRODUCT('計算A'!$D$68:$II$68,$CW47:$MB47))*1000+9)</f>
        <v/>
      </c>
      <c r="BL47">
        <f>IF(R47=1,1000000,IF('計算A'!$IQ$19=2,SUMPRODUCT('計算A'!$D$69:$II$69,$CW47:$MB47,$MD47:$VI47),SUMPRODUCT('計算A'!$D$69:$II$69,$CW47:$MB47))*1000+10)</f>
        <v/>
      </c>
      <c r="BM47">
        <f>IF(S47=1,1000000,IF('計算A'!$IQ$20=2,SUMPRODUCT('計算A'!$D$70:$II$70,$CW47:$MB47,$MD47:$VI47),SUMPRODUCT('計算A'!$D$70:$II$70,$CW47:$MB47))*1000+11)</f>
        <v/>
      </c>
      <c r="BN47">
        <f>IF(T47=1,1000000,IF('計算A'!$IQ$21=2,SUMPRODUCT('計算A'!$D$71:$II$71,$CW47:$MB47,$MD47:$VI47),SUMPRODUCT('計算A'!$D$71:$II$71,$CW47:$MB47))*1000+12)</f>
        <v/>
      </c>
      <c r="BO47">
        <f>IF(U47=1,1000000,IF('計算A'!$IQ$22=2,SUMPRODUCT('計算A'!$D$72:$II$72,$CW47:$MB47,$MD47:$VI47),SUMPRODUCT('計算A'!$D$72:$II$72,$CW47:$MB47))*1000+13)</f>
        <v/>
      </c>
      <c r="BP47">
        <f>IF(V47=1,1000000,IF('計算A'!$IQ$23=2,SUMPRODUCT('計算A'!$D$73:$II$73,$CW47:$MB47,$MD47:$VI47),SUMPRODUCT('計算A'!$D$73:$II$73,$CW47:$MB47))*1000+14)</f>
        <v/>
      </c>
      <c r="BQ47">
        <f>IF(W47=1,1000000,IF('計算A'!$IQ$24=2,SUMPRODUCT('計算A'!$D$74:$II$74,$CW47:$MB47,$MD47:$VI47),SUMPRODUCT('計算A'!$D$74:$II$74,$CW47:$MB47))*1000+15)</f>
        <v/>
      </c>
      <c r="BR47">
        <f>IF(X47=1,1000000,IF('計算A'!$IQ$25=2,SUMPRODUCT('計算A'!$D$75:$II$75,$CW47:$MB47,$MD47:$VI47),SUMPRODUCT('計算A'!$D$75:$II$75,$CW47:$MB47))*1000+16)</f>
        <v/>
      </c>
      <c r="BS47">
        <f>IF(Y47=1,1000000,IF('計算A'!$IQ$26=2,SUMPRODUCT('計算A'!$D$76:$II$76,$CW47:$MB47,$MD47:$VI47),SUMPRODUCT('計算A'!$D$76:$II$76,$CW47:$MB47))*1000+17)</f>
        <v/>
      </c>
      <c r="BT47">
        <f>IF(Z47=1,1000000,IF('計算A'!$IQ$27=2,SUMPRODUCT('計算A'!$D$77:$II$77,$CW47:$MB47,$MD47:$VI47),SUMPRODUCT('計算A'!$D$77:$II$77,$CW47:$MB47))*1000+18)</f>
        <v/>
      </c>
      <c r="BU47">
        <f>IF(AA47=1,1000000,IF('計算A'!$IQ$28=2,SUMPRODUCT('計算A'!$D$78:$II$78,$CW47:$MB47,$MD47:$VI47),SUMPRODUCT('計算A'!$D$78:$II$78,$CW47:$MB47))*1000+19)</f>
        <v/>
      </c>
      <c r="BV47">
        <f>IF(AB47=1,1000000,IF('計算A'!$IQ$29=2,SUMPRODUCT('計算A'!$D$79:$II$79,$CW47:$MB47,$MD47:$VI47),SUMPRODUCT('計算A'!$D$79:$II$79,$CW47:$MB47))*1000+20)</f>
        <v/>
      </c>
      <c r="BW47">
        <f>IF(AC47=1,1000000,IF('計算A'!$IQ$30=2,SUMPRODUCT('計算A'!$D$80:$II$80,$CW47:$MB47,$MD47:$VI47),SUMPRODUCT('計算A'!$D$80:$II$80,$CW47:$MB47))*1000+21)</f>
        <v/>
      </c>
      <c r="BX47">
        <f>IF(AD47=1,1000000,IF('計算A'!$IQ$31=2,SUMPRODUCT('計算A'!$D$81:$II$81,$CW47:$MB47,$MD47:$VI47),SUMPRODUCT('計算A'!$D$81:$II$81,$CW47:$MB47))*1000+22)</f>
        <v/>
      </c>
      <c r="BY47">
        <f>IF(AE47=1,1000000,IF('計算A'!$IQ$32=2,SUMPRODUCT('計算A'!$D$82:$II$82,$CW47:$MB47,$MD47:$VI47),SUMPRODUCT('計算A'!$D$82:$II$82,$CW47:$MB47))*1000+23)</f>
        <v/>
      </c>
      <c r="BZ47">
        <f>IF(AF47=1,1000000,IF('計算A'!$IQ$33=2,SUMPRODUCT('計算A'!$D$83:$II$83,$CW47:$MB47,$MD47:$VI47),SUMPRODUCT('計算A'!$D$83:$II$83,$CW47:$MB47))*1000+24)</f>
        <v/>
      </c>
      <c r="CA47">
        <f>IF(AG47=1,1000000,IF('計算A'!$IQ$34=2,SUMPRODUCT('計算A'!$D$84:$II$84,$CW47:$MB47,$MD47:$VI47),SUMPRODUCT('計算A'!$D$84:$II$84,$CW47:$MB47))*1000+25)</f>
        <v/>
      </c>
      <c r="CB47">
        <f>IF(AH47=1,1000000,IF('計算A'!$IQ$35=2,SUMPRODUCT('計算A'!$D$85:$II$85,$CW47:$MB47,$MD47:$VI47),SUMPRODUCT('計算A'!$D$85:$II$85,$CW47:$MB47))*1000+26)</f>
        <v/>
      </c>
      <c r="CC47">
        <f>IF(AI47=1,1000000,IF('計算A'!$IQ$36=2,SUMPRODUCT('計算A'!$D$86:$II$86,$CW47:$MB47,$MD47:$VI47),SUMPRODUCT('計算A'!$D$86:$II$86,$CW47:$MB47))*1000+27)</f>
        <v/>
      </c>
      <c r="CD47">
        <f>IF(AJ47=1,1000000,IF('計算A'!$IQ$37=2,SUMPRODUCT('計算A'!$D$87:$II$87,$CW47:$MB47,$MD47:$VI47),SUMPRODUCT('計算A'!$D$87:$II$87,$CW47:$MB47))*1000+28)</f>
        <v/>
      </c>
      <c r="CE47">
        <f>IF(AK47=1,1000000,IF('計算A'!$IQ$38=2,SUMPRODUCT('計算A'!$D$88:$II$88,$CW47:$MB47,$MD47:$VI47),SUMPRODUCT('計算A'!$D$88:$II$88,$CW47:$MB47))*1000+29)</f>
        <v/>
      </c>
      <c r="CF47">
        <f>IF(AL47=1,1000000,IF('計算A'!$IQ$39=2,SUMPRODUCT('計算A'!$D$89:$II$89,$CW47:$MB47,$MD47:$VI47),SUMPRODUCT('計算A'!$D$89:$II$89,$CW47:$MB47))*1000+30)</f>
        <v/>
      </c>
      <c r="CG47">
        <f>IF(AM47=1,1000000,IF('計算A'!$IQ$40=2,SUMPRODUCT('計算A'!$D$90:$II$90,$CW47:$MB47,$MD47:$VI47),SUMPRODUCT('計算A'!$D$90:$II$90,$CW47:$MB47))*1000+31)</f>
        <v/>
      </c>
      <c r="CH47">
        <f>IF(AN47=1,1000000,IF('計算A'!$IQ$41=2,SUMPRODUCT('計算A'!$D$91:$II$91,$CW47:$MB47,$MD47:$VI47),SUMPRODUCT('計算A'!$D$91:$II$91,$CW47:$MB47))*1000+32)</f>
        <v/>
      </c>
      <c r="CI47">
        <f>IF(AO47=1,1000000,IF('計算A'!$IQ$42=2,SUMPRODUCT('計算A'!$D$92:$II$92,$CW47:$MB47,$MD47:$VI47),SUMPRODUCT('計算A'!$D$92:$II$92,$CW47:$MB47))*1000+33)</f>
        <v/>
      </c>
      <c r="CJ47">
        <f>IF(AP47=1,1000000,IF('計算A'!$IQ$43=2,SUMPRODUCT('計算A'!$D$93:$II$93,$CW47:$MB47,$MD47:$VI47),SUMPRODUCT('計算A'!$D$93:$II$93,$CW47:$MB47))*1000+34)</f>
        <v/>
      </c>
      <c r="CK47">
        <f>IF(AQ47=1,1000000,IF('計算A'!$IQ$44=2,SUMPRODUCT('計算A'!$D$94:$II$94,$CW47:$MB47,$MD47:$VI47),SUMPRODUCT('計算A'!$D$94:$II$94,$CW47:$MB47))*1000+35)</f>
        <v/>
      </c>
      <c r="CL47">
        <f>IF(AR47=1,1000000,IF('計算A'!$IQ$45=2,SUMPRODUCT('計算A'!$D$95:$II$95,$CW47:$MB47,$MD47:$VI47),SUMPRODUCT('計算A'!$D$95:$II$95,$CW47:$MB47))*1000+36)</f>
        <v/>
      </c>
      <c r="CM47">
        <f>IF(AS47=1,1000000,IF('計算A'!$IQ$46=2,SUMPRODUCT('計算A'!$D$96:$II$96,$CW47:$MB47,$MD47:$VI47),SUMPRODUCT('計算A'!$D$96:$II$96,$CW47:$MB47))*1000+37)</f>
        <v/>
      </c>
      <c r="CN47">
        <f>IF(AT47=1,1000000,IF('計算A'!$IQ$47=2,SUMPRODUCT('計算A'!$D$97:$II$97,$CW47:$MB47,$MD47:$VI47),SUMPRODUCT('計算A'!$D$97:$II$97,$CW47:$MB47))*1000+38)</f>
        <v/>
      </c>
      <c r="CO47">
        <f>IF(AU47=1,1000000,IF('計算A'!$IQ$48=2,SUMPRODUCT('計算A'!$D$98:$II$98,$CW47:$MB47,$MD47:$VI47),SUMPRODUCT('計算A'!$D$98:$II$98,$CW47:$MB47))*1000+39)</f>
        <v/>
      </c>
      <c r="CP47">
        <f>IF(AV47=1,1000000,IF('計算A'!$IQ$49=2,SUMPRODUCT('計算A'!$D$99:$II$99,$CW47:$MB47,$MD47:$VI47),SUMPRODUCT('計算A'!$D$99:$II$99,$CW47:$MB47))*1000+40)</f>
        <v/>
      </c>
      <c r="CQ47">
        <f>IF(AW47=1,1000000,IF('計算A'!$IQ$50=2,SUMPRODUCT('計算A'!$D$100:$II$100,$CW47:$MB47,$MD47:$VI47),SUMPRODUCT('計算A'!$D$100:$II$100,$CW47:$MB47))*1000+41)</f>
        <v/>
      </c>
      <c r="CR47">
        <f>IF(AX47=1,1000000,IF('計算A'!$IQ$51=2,SUMPRODUCT('計算A'!$D$101:$II$101,$CW47:$MB47,$MD47:$VI47),SUMPRODUCT('計算A'!$D$101:$II$101,$CW47:$MB47))*1000+42)</f>
        <v/>
      </c>
      <c r="CS47">
        <f>IF(AY47=1,1000000,IF('計算A'!$IQ$52=2,SUMPRODUCT('計算A'!$D$102:$II$102,$CW47:$MB47,$MD47:$VI47),SUMPRODUCT('計算A'!$D$102:$II$102,$CW47:$MB47))*1000+43)</f>
        <v/>
      </c>
      <c r="CT47">
        <f>IF(AZ47=1,1000000,IF('計算A'!$IQ$53=2,SUMPRODUCT('計算A'!$D$103:$II$103,$CW47:$MB47,$MD47:$VI47),SUMPRODUCT('計算A'!$D$103:$II$103,$CW47:$MB47))*1000+44)</f>
        <v/>
      </c>
      <c r="CU47">
        <f>IF(BA47=1,1000000,IF('計算A'!$IQ$54=2,SUMPRODUCT('計算A'!$D$104:$II$104,$CW47:$MB47,$MD47:$VI47),SUMPRODUCT('計算A'!$D$104:$II$104,$CW47:$MB47))*1000+45)</f>
        <v/>
      </c>
      <c r="CW47">
        <f>CW46*IF(OR($C46=1,$G46=1),0,1)</f>
        <v/>
      </c>
      <c r="CX47">
        <f>CX46*IF(OR($C46=2,$G46=2),0,1)</f>
        <v/>
      </c>
      <c r="CY47">
        <f>CY46*IF(OR($C46=3,$G46=3),0,1)</f>
        <v/>
      </c>
      <c r="CZ47">
        <f>CZ46*IF(OR($C46=4,$G46=4),0,1)</f>
        <v/>
      </c>
      <c r="DA47">
        <f>DA46*IF(OR($C46=5,$G46=5),0,1)</f>
        <v/>
      </c>
      <c r="DB47">
        <f>DB46*IF(OR($C46=6,$G46=6),0,1)</f>
        <v/>
      </c>
      <c r="DC47">
        <f>DC46*IF(OR($C46=7,$G46=7),0,1)</f>
        <v/>
      </c>
      <c r="DD47">
        <f>DD46*IF(OR($C46=8,$G46=8),0,1)</f>
        <v/>
      </c>
      <c r="DE47">
        <f>DE46*IF(OR($C46=9,$G46=9),0,1)</f>
        <v/>
      </c>
      <c r="DF47">
        <f>DF46*IF(OR($C46=10,$G46=10),0,1)</f>
        <v/>
      </c>
      <c r="DG47">
        <f>DG46*IF(OR($C46=11,$G46=11),0,1)</f>
        <v/>
      </c>
      <c r="DH47">
        <f>DH46*IF(OR($C46=12,$G46=12),0,1)</f>
        <v/>
      </c>
      <c r="DI47">
        <f>DI46*IF(OR($C46=13,$G46=13),0,1)</f>
        <v/>
      </c>
      <c r="DJ47">
        <f>DJ46*IF(OR($C46=14,$G46=14),0,1)</f>
        <v/>
      </c>
      <c r="DK47">
        <f>DK46*IF(OR($C46=15,$G46=15),0,1)</f>
        <v/>
      </c>
      <c r="DL47">
        <f>DL46*IF(OR($C46=16,$G46=16),0,1)</f>
        <v/>
      </c>
      <c r="DM47">
        <f>DM46*IF(OR($C46=17,$G46=17),0,1)</f>
        <v/>
      </c>
      <c r="DN47">
        <f>DN46*IF(OR($C46=18,$G46=18),0,1)</f>
        <v/>
      </c>
      <c r="DO47">
        <f>DO46*IF(OR($C46=19,$G46=19),0,1)</f>
        <v/>
      </c>
      <c r="DP47">
        <f>DP46*IF(OR($C46=20,$G46=20),0,1)</f>
        <v/>
      </c>
      <c r="DQ47">
        <f>DQ46*IF(OR($C46=21,$G46=21),0,1)</f>
        <v/>
      </c>
      <c r="DR47">
        <f>DR46*IF(OR($C46=22,$G46=22),0,1)</f>
        <v/>
      </c>
      <c r="DS47">
        <f>DS46*IF(OR($C46=23,$G46=23),0,1)</f>
        <v/>
      </c>
      <c r="DT47">
        <f>DT46*IF(OR($C46=24,$G46=24),0,1)</f>
        <v/>
      </c>
      <c r="DU47">
        <f>DU46*IF(OR($C46=25,$G46=25),0,1)</f>
        <v/>
      </c>
      <c r="DV47">
        <f>DV46*IF(OR($C46=26,$G46=26),0,1)</f>
        <v/>
      </c>
      <c r="DW47">
        <f>DW46*IF(OR($C46=27,$G46=27),0,1)</f>
        <v/>
      </c>
      <c r="DX47">
        <f>DX46*IF(OR($C46=28,$G46=28),0,1)</f>
        <v/>
      </c>
      <c r="DY47">
        <f>DY46*IF(OR($C46=29,$G46=29),0,1)</f>
        <v/>
      </c>
      <c r="DZ47">
        <f>DZ46*IF(OR($C46=30,$G46=30),0,1)</f>
        <v/>
      </c>
      <c r="EA47">
        <f>EA46*IF(OR($C46=31,$G46=31),0,1)</f>
        <v/>
      </c>
      <c r="EB47">
        <f>EB46*IF(OR($C46=32,$G46=32),0,1)</f>
        <v/>
      </c>
      <c r="EC47">
        <f>EC46*IF(OR($C46=33,$G46=33),0,1)</f>
        <v/>
      </c>
      <c r="ED47">
        <f>ED46*IF(OR($C46=34,$G46=34),0,1)</f>
        <v/>
      </c>
      <c r="EE47">
        <f>EE46*IF(OR($C46=35,$G46=35),0,1)</f>
        <v/>
      </c>
      <c r="EF47">
        <f>EF46*IF(OR($C46=36,$G46=36),0,1)</f>
        <v/>
      </c>
      <c r="EG47">
        <f>EG46*IF(OR($C46=37,$G46=37),0,1)</f>
        <v/>
      </c>
      <c r="EH47">
        <f>EH46*IF(OR($C46=38,$G46=38),0,1)</f>
        <v/>
      </c>
      <c r="EI47">
        <f>EI46*IF(OR($C46=39,$G46=39),0,1)</f>
        <v/>
      </c>
      <c r="EJ47">
        <f>EJ46*IF(OR($C46=40,$G46=40),0,1)</f>
        <v/>
      </c>
      <c r="EK47">
        <f>EK46*IF(OR($C46=41,$G46=41),0,1)</f>
        <v/>
      </c>
      <c r="EL47">
        <f>EL46*IF(OR($C46=42,$G46=42),0,1)</f>
        <v/>
      </c>
      <c r="EM47">
        <f>EM46*IF(OR($C46=43,$G46=43),0,1)</f>
        <v/>
      </c>
      <c r="EN47">
        <f>EN46*IF(OR($C46=44,$G46=44),0,1)</f>
        <v/>
      </c>
      <c r="EO47">
        <f>EO46*IF(OR($C46=45,$G46=45),0,1)</f>
        <v/>
      </c>
      <c r="EP47">
        <f>EP46*IF(OR($C46=46,$G46=46),0,1)</f>
        <v/>
      </c>
      <c r="EQ47">
        <f>EQ46*IF(OR($C46=47,$G46=47),0,1)</f>
        <v/>
      </c>
      <c r="ER47">
        <f>ER46*IF(OR($C46=48,$G46=48),0,1)</f>
        <v/>
      </c>
      <c r="ES47">
        <f>ES46*IF(OR($C46=49,$G46=49),0,1)</f>
        <v/>
      </c>
      <c r="ET47">
        <f>ET46*IF(OR($C46=50,$G46=50),0,1)</f>
        <v/>
      </c>
      <c r="EU47">
        <f>EU46*IF(OR($C46=51,$G46=51),0,1)</f>
        <v/>
      </c>
      <c r="EV47">
        <f>EV46*IF(OR($C46=52,$G46=52),0,1)</f>
        <v/>
      </c>
      <c r="EW47">
        <f>EW46*IF(OR($C46=53,$G46=53),0,1)</f>
        <v/>
      </c>
      <c r="EX47">
        <f>EX46*IF(OR($C46=54,$G46=54),0,1)</f>
        <v/>
      </c>
      <c r="EY47">
        <f>EY46*IF(OR($C46=55,$G46=55),0,1)</f>
        <v/>
      </c>
      <c r="EZ47">
        <f>EZ46*IF(OR($C46=56,$G46=56),0,1)</f>
        <v/>
      </c>
      <c r="FA47">
        <f>FA46*IF(OR($C46=57,$G46=57),0,1)</f>
        <v/>
      </c>
      <c r="FB47">
        <f>FB46*IF(OR($C46=58,$G46=58),0,1)</f>
        <v/>
      </c>
      <c r="FC47">
        <f>FC46*IF(OR($C46=59,$G46=59),0,1)</f>
        <v/>
      </c>
      <c r="FD47">
        <f>FD46*IF(OR($C46=60,$G46=60),0,1)</f>
        <v/>
      </c>
      <c r="FE47">
        <f>FE46*IF(OR($C46=61,$G46=61),0,1)</f>
        <v/>
      </c>
      <c r="FF47">
        <f>FF46*IF(OR($C46=62,$G46=62),0,1)</f>
        <v/>
      </c>
      <c r="FG47">
        <f>FG46*IF(OR($C46=63,$G46=63),0,1)</f>
        <v/>
      </c>
      <c r="FH47">
        <f>FH46*IF(OR($C46=64,$G46=64),0,1)</f>
        <v/>
      </c>
      <c r="FI47">
        <f>FI46*IF(OR($C46=65,$G46=65),0,1)</f>
        <v/>
      </c>
      <c r="FJ47">
        <f>FJ46*IF(OR($C46=66,$G46=66),0,1)</f>
        <v/>
      </c>
      <c r="FK47">
        <f>FK46*IF(OR($C46=67,$G46=67),0,1)</f>
        <v/>
      </c>
      <c r="FL47">
        <f>FL46*IF(OR($C46=68,$G46=68),0,1)</f>
        <v/>
      </c>
      <c r="FM47">
        <f>FM46*IF(OR($C46=69,$G46=69),0,1)</f>
        <v/>
      </c>
      <c r="FN47">
        <f>FN46*IF(OR($C46=70,$G46=70),0,1)</f>
        <v/>
      </c>
      <c r="FO47">
        <f>FO46*IF(OR($C46=71,$G46=71),0,1)</f>
        <v/>
      </c>
      <c r="FP47">
        <f>FP46*IF(OR($C46=72,$G46=72),0,1)</f>
        <v/>
      </c>
      <c r="FQ47">
        <f>FQ46*IF(OR($C46=73,$G46=73),0,1)</f>
        <v/>
      </c>
      <c r="FR47">
        <f>FR46*IF(OR($C46=74,$G46=74),0,1)</f>
        <v/>
      </c>
      <c r="FS47">
        <f>FS46*IF(OR($C46=75,$G46=75),0,1)</f>
        <v/>
      </c>
      <c r="FT47">
        <f>FT46*IF(OR($C46=76,$G46=76),0,1)</f>
        <v/>
      </c>
      <c r="FU47">
        <f>FU46*IF(OR($C46=77,$G46=77),0,1)</f>
        <v/>
      </c>
      <c r="FV47">
        <f>FV46*IF(OR($C46=78,$G46=78),0,1)</f>
        <v/>
      </c>
      <c r="FW47">
        <f>FW46*IF(OR($C46=79,$G46=79),0,1)</f>
        <v/>
      </c>
      <c r="FX47">
        <f>FX46*IF(OR($C46=80,$G46=80),0,1)</f>
        <v/>
      </c>
      <c r="FY47">
        <f>FY46*IF(OR($C46=81,$G46=81),0,1)</f>
        <v/>
      </c>
      <c r="FZ47">
        <f>FZ46*IF(OR($C46=82,$G46=82),0,1)</f>
        <v/>
      </c>
      <c r="GA47">
        <f>GA46*IF(OR($C46=83,$G46=83),0,1)</f>
        <v/>
      </c>
      <c r="GB47">
        <f>GB46*IF(OR($C46=84,$G46=84),0,1)</f>
        <v/>
      </c>
      <c r="GC47">
        <f>GC46*IF(OR($C46=85,$G46=85),0,1)</f>
        <v/>
      </c>
      <c r="GD47">
        <f>GD46*IF(OR($C46=86,$G46=86),0,1)</f>
        <v/>
      </c>
      <c r="GE47">
        <f>GE46*IF(OR($C46=87,$G46=87),0,1)</f>
        <v/>
      </c>
      <c r="GF47">
        <f>GF46*IF(OR($C46=88,$G46=88),0,1)</f>
        <v/>
      </c>
      <c r="GG47">
        <f>GG46*IF(OR($C46=89,$G46=89),0,1)</f>
        <v/>
      </c>
      <c r="GH47">
        <f>GH46*IF(OR($C46=90,$G46=90),0,1)</f>
        <v/>
      </c>
      <c r="GI47">
        <f>GI46*IF(OR($C46=91,$G46=91),0,1)</f>
        <v/>
      </c>
      <c r="GJ47">
        <f>GJ46*IF(OR($C46=92,$G46=92),0,1)</f>
        <v/>
      </c>
      <c r="GK47">
        <f>GK46*IF(OR($C46=93,$G46=93),0,1)</f>
        <v/>
      </c>
      <c r="GL47">
        <f>GL46*IF(OR($C46=94,$G46=94),0,1)</f>
        <v/>
      </c>
      <c r="GM47">
        <f>GM46*IF(OR($C46=95,$G46=95),0,1)</f>
        <v/>
      </c>
      <c r="GN47">
        <f>GN46*IF(OR($C46=96,$G46=96),0,1)</f>
        <v/>
      </c>
      <c r="GO47">
        <f>GO46*IF(OR($C46=97,$G46=97),0,1)</f>
        <v/>
      </c>
      <c r="GP47">
        <f>GP46*IF(OR($C46=98,$G46=98),0,1)</f>
        <v/>
      </c>
      <c r="GQ47">
        <f>GQ46*IF(OR($C46=99,$G46=99),0,1)</f>
        <v/>
      </c>
      <c r="GR47">
        <f>GR46*IF(OR($C46=100,$G46=100),0,1)</f>
        <v/>
      </c>
      <c r="GS47">
        <f>GS46*IF(OR($C46=101,$G46=101),0,1)</f>
        <v/>
      </c>
      <c r="GT47">
        <f>GT46*IF(OR($C46=102,$G46=102),0,1)</f>
        <v/>
      </c>
      <c r="GU47">
        <f>GU46*IF(OR($C46=103,$G46=103),0,1)</f>
        <v/>
      </c>
      <c r="GV47">
        <f>GV46*IF(OR($C46=104,$G46=104),0,1)</f>
        <v/>
      </c>
      <c r="GW47">
        <f>GW46*IF(OR($C46=105,$G46=105),0,1)</f>
        <v/>
      </c>
      <c r="GX47">
        <f>GX46*IF(OR($C46=106,$G46=106),0,1)</f>
        <v/>
      </c>
      <c r="GY47">
        <f>GY46*IF(OR($C46=107,$G46=107),0,1)</f>
        <v/>
      </c>
      <c r="GZ47">
        <f>GZ46*IF(OR($C46=108,$G46=108),0,1)</f>
        <v/>
      </c>
      <c r="HA47">
        <f>HA46*IF(OR($C46=109,$G46=109),0,1)</f>
        <v/>
      </c>
      <c r="HB47">
        <f>HB46*IF(OR($C46=110,$G46=110),0,1)</f>
        <v/>
      </c>
      <c r="HC47">
        <f>HC46*IF(OR($C46=111,$G46=111),0,1)</f>
        <v/>
      </c>
      <c r="HD47">
        <f>HD46*IF(OR($C46=112,$G46=112),0,1)</f>
        <v/>
      </c>
      <c r="HE47">
        <f>HE46*IF(OR($C46=113,$G46=113),0,1)</f>
        <v/>
      </c>
      <c r="HF47">
        <f>HF46*IF(OR($C46=114,$G46=114),0,1)</f>
        <v/>
      </c>
      <c r="HG47">
        <f>HG46*IF(OR($C46=115,$G46=115),0,1)</f>
        <v/>
      </c>
      <c r="HH47">
        <f>HH46*IF(OR($C46=116,$G46=116),0,1)</f>
        <v/>
      </c>
      <c r="HI47">
        <f>HI46*IF(OR($C46=117,$G46=117),0,1)</f>
        <v/>
      </c>
      <c r="HJ47">
        <f>HJ46*IF(OR($C46=118,$G46=118),0,1)</f>
        <v/>
      </c>
      <c r="HK47">
        <f>HK46*IF(OR($C46=119,$G46=119),0,1)</f>
        <v/>
      </c>
      <c r="HL47">
        <f>HL46*IF(OR($C46=120,$G46=120),0,1)</f>
        <v/>
      </c>
      <c r="HM47">
        <f>HM46*IF(OR($C46=121,$G46=121),0,1)</f>
        <v/>
      </c>
      <c r="HN47">
        <f>HN46*IF(OR($C46=122,$G46=122),0,1)</f>
        <v/>
      </c>
      <c r="HO47">
        <f>HO46*IF(OR($C46=123,$G46=123),0,1)</f>
        <v/>
      </c>
      <c r="HP47">
        <f>HP46*IF(OR($C46=124,$G46=124),0,1)</f>
        <v/>
      </c>
      <c r="HQ47">
        <f>HQ46*IF(OR($C46=125,$G46=125),0,1)</f>
        <v/>
      </c>
      <c r="HR47">
        <f>HR46*IF(OR($C46=126,$G46=126),0,1)</f>
        <v/>
      </c>
      <c r="HS47">
        <f>HS46*IF(OR($C46=127,$G46=127),0,1)</f>
        <v/>
      </c>
      <c r="HT47">
        <f>HT46*IF(OR($C46=128,$G46=128),0,1)</f>
        <v/>
      </c>
      <c r="HU47">
        <f>HU46*IF(OR($C46=129,$G46=129),0,1)</f>
        <v/>
      </c>
      <c r="HV47">
        <f>HV46*IF(OR($C46=130,$G46=130),0,1)</f>
        <v/>
      </c>
      <c r="HW47">
        <f>HW46*IF(OR($C46=131,$G46=131),0,1)</f>
        <v/>
      </c>
      <c r="HX47">
        <f>HX46*IF(OR($C46=132,$G46=132),0,1)</f>
        <v/>
      </c>
      <c r="HY47">
        <f>HY46*IF(OR($C46=133,$G46=133),0,1)</f>
        <v/>
      </c>
      <c r="HZ47">
        <f>HZ46*IF(OR($C46=134,$G46=134),0,1)</f>
        <v/>
      </c>
      <c r="IA47">
        <f>IA46*IF(OR($C46=135,$G46=135),0,1)</f>
        <v/>
      </c>
      <c r="IB47">
        <f>IB46*IF(OR($C46=136,$G46=136),0,1)</f>
        <v/>
      </c>
      <c r="IC47">
        <f>IC46*IF(OR($C46=137,$G46=137),0,1)</f>
        <v/>
      </c>
      <c r="ID47">
        <f>ID46*IF(OR($C46=138,$G46=138),0,1)</f>
        <v/>
      </c>
      <c r="IE47">
        <f>IE46*IF(OR($C46=139,$G46=139),0,1)</f>
        <v/>
      </c>
      <c r="IF47">
        <f>IF46*IF(OR($C46=140,$G46=140),0,1)</f>
        <v/>
      </c>
      <c r="IG47">
        <f>IG46*IF(OR($C46=141,$G46=141),0,1)</f>
        <v/>
      </c>
      <c r="IH47">
        <f>IH46*IF(OR($C46=142,$G46=142),0,1)</f>
        <v/>
      </c>
      <c r="II47">
        <f>II46*IF(OR($C46=143,$G46=143),0,1)</f>
        <v/>
      </c>
      <c r="IJ47">
        <f>IJ46*IF(OR($C46=144,$G46=144),0,1)</f>
        <v/>
      </c>
      <c r="IK47">
        <f>IK46*IF(OR($C46=145,$G46=145),0,1)</f>
        <v/>
      </c>
      <c r="IL47">
        <f>IL46*IF(OR($C46=146,$G46=146),0,1)</f>
        <v/>
      </c>
      <c r="IM47">
        <f>IM46*IF(OR($C46=147,$G46=147),0,1)</f>
        <v/>
      </c>
      <c r="IN47">
        <f>IN46*IF(OR($C46=148,$G46=148),0,1)</f>
        <v/>
      </c>
      <c r="IO47">
        <f>IO46*IF(OR($C46=149,$G46=149),0,1)</f>
        <v/>
      </c>
      <c r="IP47">
        <f>IP46*IF(OR($C46=150,$G46=150),0,1)</f>
        <v/>
      </c>
      <c r="IQ47">
        <f>IQ46*IF(OR($C46=151,$G46=151),0,1)</f>
        <v/>
      </c>
      <c r="IR47">
        <f>IR46*IF(OR($C46=152,$G46=152),0,1)</f>
        <v/>
      </c>
      <c r="IS47">
        <f>IS46*IF(OR($C46=153,$G46=153),0,1)</f>
        <v/>
      </c>
      <c r="IT47">
        <f>IT46*IF(OR($C46=154,$G46=154),0,1)</f>
        <v/>
      </c>
      <c r="IU47">
        <f>IU46*IF(OR($C46=155,$G46=155),0,1)</f>
        <v/>
      </c>
      <c r="IV47">
        <f>IV46*IF(OR($C46=156,$G46=156),0,1)</f>
        <v/>
      </c>
      <c r="IW47">
        <f>IW46*IF(OR($C46=157,$G46=157),0,1)</f>
        <v/>
      </c>
      <c r="IX47">
        <f>IX46*IF(OR($C46=158,$G46=158),0,1)</f>
        <v/>
      </c>
      <c r="IY47">
        <f>IY46*IF(OR($C46=159,$G46=159),0,1)</f>
        <v/>
      </c>
      <c r="IZ47">
        <f>IZ46*IF(OR($C46=160,$G46=160),0,1)</f>
        <v/>
      </c>
      <c r="JA47">
        <f>JA46*IF(OR($C46=161,$G46=161),0,1)</f>
        <v/>
      </c>
      <c r="JB47">
        <f>JB46*IF(OR($C46=162,$G46=162),0,1)</f>
        <v/>
      </c>
      <c r="JC47">
        <f>JC46*IF(OR($C46=163,$G46=163),0,1)</f>
        <v/>
      </c>
      <c r="JD47">
        <f>JD46*IF(OR($C46=164,$G46=164),0,1)</f>
        <v/>
      </c>
      <c r="JE47">
        <f>JE46*IF(OR($C46=165,$G46=165),0,1)</f>
        <v/>
      </c>
      <c r="JF47">
        <f>JF46*IF(OR($C46=166,$G46=166),0,1)</f>
        <v/>
      </c>
      <c r="JG47">
        <f>JG46*IF(OR($C46=167,$G46=167),0,1)</f>
        <v/>
      </c>
      <c r="JH47">
        <f>JH46*IF(OR($C46=168,$G46=168),0,1)</f>
        <v/>
      </c>
      <c r="JI47">
        <f>JI46*IF(OR($C46=169,$G46=169),0,1)</f>
        <v/>
      </c>
      <c r="JJ47">
        <f>JJ46*IF(OR($C46=170,$G46=170),0,1)</f>
        <v/>
      </c>
      <c r="JK47">
        <f>JK46*IF(OR($C46=171,$G46=171),0,1)</f>
        <v/>
      </c>
      <c r="JL47">
        <f>JL46*IF(OR($C46=172,$G46=172),0,1)</f>
        <v/>
      </c>
      <c r="JM47">
        <f>JM46*IF(OR($C46=173,$G46=173),0,1)</f>
        <v/>
      </c>
      <c r="JN47">
        <f>JN46*IF(OR($C46=174,$G46=174),0,1)</f>
        <v/>
      </c>
      <c r="JO47">
        <f>JO46*IF(OR($C46=175,$G46=175),0,1)</f>
        <v/>
      </c>
      <c r="JP47">
        <f>JP46*IF(OR($C46=176,$G46=176),0,1)</f>
        <v/>
      </c>
      <c r="JQ47">
        <f>JQ46*IF(OR($C46=177,$G46=177),0,1)</f>
        <v/>
      </c>
      <c r="JR47">
        <f>JR46*IF(OR($C46=178,$G46=178),0,1)</f>
        <v/>
      </c>
      <c r="JS47">
        <f>JS46*IF(OR($C46=179,$G46=179),0,1)</f>
        <v/>
      </c>
      <c r="JT47">
        <f>JT46*IF(OR($C46=180,$G46=180),0,1)</f>
        <v/>
      </c>
      <c r="JU47">
        <f>JU46*IF(OR($C46=181,$G46=181),0,1)</f>
        <v/>
      </c>
      <c r="JV47">
        <f>JV46*IF(OR($C46=182,$G46=182),0,1)</f>
        <v/>
      </c>
      <c r="JW47">
        <f>JW46*IF(OR($C46=183,$G46=183),0,1)</f>
        <v/>
      </c>
      <c r="JX47">
        <f>JX46*IF(OR($C46=184,$G46=184),0,1)</f>
        <v/>
      </c>
      <c r="JY47">
        <f>JY46*IF(OR($C46=185,$G46=185),0,1)</f>
        <v/>
      </c>
      <c r="JZ47">
        <f>JZ46*IF(OR($C46=186,$G46=186),0,1)</f>
        <v/>
      </c>
      <c r="KA47">
        <f>KA46*IF(OR($C46=187,$G46=187),0,1)</f>
        <v/>
      </c>
      <c r="KB47">
        <f>KB46*IF(OR($C46=188,$G46=188),0,1)</f>
        <v/>
      </c>
      <c r="KC47">
        <f>KC46*IF(OR($C46=189,$G46=189),0,1)</f>
        <v/>
      </c>
      <c r="KD47">
        <f>KD46*IF(OR($C46=190,$G46=190),0,1)</f>
        <v/>
      </c>
      <c r="KE47">
        <f>KE46*IF(OR($C46=191,$G46=191),0,1)</f>
        <v/>
      </c>
      <c r="KF47">
        <f>KF46*IF(OR($C46=192,$G46=192),0,1)</f>
        <v/>
      </c>
      <c r="KG47">
        <f>KG46*IF(OR($C46=193,$G46=193),0,1)</f>
        <v/>
      </c>
      <c r="KH47">
        <f>KH46*IF(OR($C46=194,$G46=194),0,1)</f>
        <v/>
      </c>
      <c r="KI47">
        <f>KI46*IF(OR($C46=195,$G46=195),0,1)</f>
        <v/>
      </c>
      <c r="KJ47">
        <f>KJ46*IF(OR($C46=196,$G46=196),0,1)</f>
        <v/>
      </c>
      <c r="KK47">
        <f>KK46*IF(OR($C46=197,$G46=197),0,1)</f>
        <v/>
      </c>
      <c r="KL47">
        <f>KL46*IF(OR($C46=198,$G46=198),0,1)</f>
        <v/>
      </c>
      <c r="KM47">
        <f>KM46*IF(OR($C46=199,$G46=199),0,1)</f>
        <v/>
      </c>
      <c r="KN47">
        <f>KN46*IF(OR($C46=200,$G46=200),0,1)</f>
        <v/>
      </c>
      <c r="KO47">
        <f>KO46*IF(OR($C46=201,$G46=201),0,1)</f>
        <v/>
      </c>
      <c r="KP47">
        <f>KP46*IF(OR($C46=202,$G46=202),0,1)</f>
        <v/>
      </c>
      <c r="KQ47">
        <f>KQ46*IF(OR($C46=203,$G46=203),0,1)</f>
        <v/>
      </c>
      <c r="KR47">
        <f>KR46*IF(OR($C46=204,$G46=204),0,1)</f>
        <v/>
      </c>
      <c r="KS47">
        <f>KS46*IF(OR($C46=205,$G46=205),0,1)</f>
        <v/>
      </c>
      <c r="KT47">
        <f>KT46*IF(OR($C46=206,$G46=206),0,1)</f>
        <v/>
      </c>
      <c r="KU47">
        <f>KU46*IF(OR($C46=207,$G46=207),0,1)</f>
        <v/>
      </c>
      <c r="KV47">
        <f>KV46*IF(OR($C46=208,$G46=208),0,1)</f>
        <v/>
      </c>
      <c r="KW47">
        <f>KW46*IF(OR($C46=209,$G46=209),0,1)</f>
        <v/>
      </c>
      <c r="KX47">
        <f>KX46*IF(OR($C46=210,$G46=210),0,1)</f>
        <v/>
      </c>
      <c r="KY47">
        <f>KY46*IF(OR($C46=211,$G46=211),0,1)</f>
        <v/>
      </c>
      <c r="KZ47">
        <f>KZ46*IF(OR($C46=212,$G46=212),0,1)</f>
        <v/>
      </c>
      <c r="LA47">
        <f>LA46*IF(OR($C46=213,$G46=213),0,1)</f>
        <v/>
      </c>
      <c r="LB47">
        <f>LB46*IF(OR($C46=214,$G46=214),0,1)</f>
        <v/>
      </c>
      <c r="LC47">
        <f>LC46*IF(OR($C46=215,$G46=215),0,1)</f>
        <v/>
      </c>
      <c r="LD47">
        <f>LD46*IF(OR($C46=216,$G46=216),0,1)</f>
        <v/>
      </c>
      <c r="LE47">
        <f>LE46*IF(OR($C46=217,$G46=217),0,1)</f>
        <v/>
      </c>
      <c r="LF47">
        <f>LF46*IF(OR($C46=218,$G46=218),0,1)</f>
        <v/>
      </c>
      <c r="LG47">
        <f>LG46*IF(OR($C46=219,$G46=219),0,1)</f>
        <v/>
      </c>
      <c r="LH47">
        <f>LH46*IF(OR($C46=220,$G46=220),0,1)</f>
        <v/>
      </c>
      <c r="LI47">
        <f>LI46*IF(OR($C46=221,$G46=221),0,1)</f>
        <v/>
      </c>
      <c r="LJ47">
        <f>LJ46*IF(OR($C46=222,$G46=222),0,1)</f>
        <v/>
      </c>
      <c r="LK47">
        <f>LK46*IF(OR($C46=223,$G46=223),0,1)</f>
        <v/>
      </c>
      <c r="LL47">
        <f>LL46*IF(OR($C46=224,$G46=224),0,1)</f>
        <v/>
      </c>
      <c r="LM47">
        <f>LM46*IF(OR($C46=225,$G46=225),0,1)</f>
        <v/>
      </c>
      <c r="LN47">
        <f>LN46*IF(OR($C46=226,$G46=226),0,1)</f>
        <v/>
      </c>
      <c r="LO47">
        <f>LO46*IF(OR($C46=227,$G46=227),0,1)</f>
        <v/>
      </c>
      <c r="LP47">
        <f>LP46*IF(OR($C46=228,$G46=228),0,1)</f>
        <v/>
      </c>
      <c r="LQ47">
        <f>LQ46*IF(OR($C46=229,$G46=229),0,1)</f>
        <v/>
      </c>
      <c r="LR47">
        <f>LR46*IF(OR($C46=230,$G46=230),0,1)</f>
        <v/>
      </c>
      <c r="LS47">
        <f>LS46*IF(OR($C46=231,$G46=231),0,1)</f>
        <v/>
      </c>
      <c r="LT47">
        <f>LT46*IF(OR($C46=232,$G46=232),0,1)</f>
        <v/>
      </c>
      <c r="LU47">
        <f>LU46*IF(OR($C46=233,$G46=233),0,1)</f>
        <v/>
      </c>
      <c r="LV47">
        <f>LV46*IF(OR($C46=234,$G46=234),0,1)</f>
        <v/>
      </c>
      <c r="LW47">
        <f>LW46*IF(OR($C46=235,$G46=235),0,1)</f>
        <v/>
      </c>
      <c r="LX47">
        <f>LX46*IF(OR($C46=236,$G46=236),0,1)</f>
        <v/>
      </c>
      <c r="LY47">
        <f>LY46*IF(OR($C46=237,$G46=237),0,1)</f>
        <v/>
      </c>
      <c r="LZ47">
        <f>LZ46*IF(OR($C46=238,$G46=238),0,1)</f>
        <v/>
      </c>
      <c r="MA47">
        <f>MA46*IF(OR($C46=239,$G46=239),0,1)</f>
        <v/>
      </c>
      <c r="MB47">
        <f>MB46*IF(OR($C46=240,$G46=240),0,1)</f>
        <v/>
      </c>
      <c r="MD47">
        <f>IF('計算A'!D$106=1,CX47,1)</f>
        <v/>
      </c>
      <c r="ME47">
        <f>IF('計算A'!E$106=1,CY47,1)</f>
        <v/>
      </c>
      <c r="MF47">
        <f>IF('計算A'!F$106=1,CZ47,1)</f>
        <v/>
      </c>
      <c r="MG47">
        <f>IF('計算A'!G$106=1,DA47,1)</f>
        <v/>
      </c>
      <c r="MH47">
        <f>IF('計算A'!H$106=1,DB47,1)</f>
        <v/>
      </c>
      <c r="MI47">
        <f>IF('計算A'!I$106=1,DC47,1)</f>
        <v/>
      </c>
      <c r="MJ47">
        <f>IF('計算A'!J$106=1,DD47,1)</f>
        <v/>
      </c>
      <c r="MK47">
        <f>IF('計算A'!K$106=1,DE47,1)</f>
        <v/>
      </c>
      <c r="ML47">
        <f>IF('計算A'!L$106=1,DF47,1)</f>
        <v/>
      </c>
      <c r="MM47">
        <f>IF('計算A'!M$106=1,DG47,1)</f>
        <v/>
      </c>
      <c r="MN47">
        <f>IF('計算A'!N$106=1,DH47,1)</f>
        <v/>
      </c>
      <c r="MO47">
        <f>IF('計算A'!O$106=1,DI47,1)</f>
        <v/>
      </c>
      <c r="MP47">
        <f>IF('計算A'!P$106=1,DJ47,1)</f>
        <v/>
      </c>
      <c r="MQ47">
        <f>IF('計算A'!Q$106=1,DK47,1)</f>
        <v/>
      </c>
      <c r="MR47">
        <f>IF('計算A'!R$106=1,DL47,1)</f>
        <v/>
      </c>
      <c r="MS47">
        <f>IF('計算A'!S$106=1,DM47,1)</f>
        <v/>
      </c>
      <c r="MT47">
        <f>IF('計算A'!T$106=1,DN47,1)</f>
        <v/>
      </c>
      <c r="MU47">
        <f>IF('計算A'!U$106=1,DO47,1)</f>
        <v/>
      </c>
      <c r="MV47">
        <f>IF('計算A'!V$106=1,DP47,1)</f>
        <v/>
      </c>
      <c r="MW47">
        <f>IF('計算A'!W$106=1,DQ47,1)</f>
        <v/>
      </c>
      <c r="MX47">
        <f>IF('計算A'!X$106=1,DR47,1)</f>
        <v/>
      </c>
      <c r="MY47">
        <f>IF('計算A'!Y$106=1,DS47,1)</f>
        <v/>
      </c>
      <c r="MZ47">
        <f>IF('計算A'!Z$106=1,DT47,1)</f>
        <v/>
      </c>
      <c r="NA47">
        <f>IF('計算A'!AA$106=1,DU47,1)</f>
        <v/>
      </c>
      <c r="NB47">
        <f>IF('計算A'!AB$106=1,DV47,1)</f>
        <v/>
      </c>
      <c r="NC47">
        <f>IF('計算A'!AC$106=1,DW47,1)</f>
        <v/>
      </c>
      <c r="ND47">
        <f>IF('計算A'!AD$106=1,DX47,1)</f>
        <v/>
      </c>
      <c r="NE47">
        <f>IF('計算A'!AE$106=1,DY47,1)</f>
        <v/>
      </c>
      <c r="NF47">
        <f>IF('計算A'!AF$106=1,DZ47,1)</f>
        <v/>
      </c>
      <c r="NG47">
        <f>IF('計算A'!AG$106=1,EA47,1)</f>
        <v/>
      </c>
      <c r="NH47">
        <f>IF('計算A'!AH$106=1,EB47,1)</f>
        <v/>
      </c>
      <c r="NI47">
        <f>IF('計算A'!AI$106=1,EC47,1)</f>
        <v/>
      </c>
      <c r="NJ47">
        <f>IF('計算A'!AJ$106=1,ED47,1)</f>
        <v/>
      </c>
      <c r="NK47">
        <f>IF('計算A'!AK$106=1,EE47,1)</f>
        <v/>
      </c>
      <c r="NL47">
        <f>IF('計算A'!AL$106=1,EF47,1)</f>
        <v/>
      </c>
      <c r="NM47">
        <f>IF('計算A'!AM$106=1,EG47,1)</f>
        <v/>
      </c>
      <c r="NN47">
        <f>IF('計算A'!AN$106=1,EH47,1)</f>
        <v/>
      </c>
      <c r="NO47">
        <f>IF('計算A'!AO$106=1,EI47,1)</f>
        <v/>
      </c>
      <c r="NP47">
        <f>IF('計算A'!AP$106=1,EJ47,1)</f>
        <v/>
      </c>
      <c r="NQ47">
        <f>IF('計算A'!AQ$106=1,EK47,1)</f>
        <v/>
      </c>
      <c r="NR47">
        <f>IF('計算A'!AR$106=1,EL47,1)</f>
        <v/>
      </c>
      <c r="NS47">
        <f>IF('計算A'!AS$106=1,EM47,1)</f>
        <v/>
      </c>
      <c r="NT47">
        <f>IF('計算A'!AT$106=1,EN47,1)</f>
        <v/>
      </c>
      <c r="NU47">
        <f>IF('計算A'!AU$106=1,EO47,1)</f>
        <v/>
      </c>
      <c r="NV47">
        <f>IF('計算A'!AV$106=1,EP47,1)</f>
        <v/>
      </c>
      <c r="NW47">
        <f>IF('計算A'!AW$106=1,EQ47,1)</f>
        <v/>
      </c>
      <c r="NX47">
        <f>IF('計算A'!AX$106=1,ER47,1)</f>
        <v/>
      </c>
      <c r="NY47">
        <f>IF('計算A'!AY$106=1,ES47,1)</f>
        <v/>
      </c>
      <c r="NZ47">
        <f>IF('計算A'!AZ$106=1,ET47,1)</f>
        <v/>
      </c>
      <c r="OA47">
        <f>IF('計算A'!BA$106=1,EU47,1)</f>
        <v/>
      </c>
      <c r="OB47">
        <f>IF('計算A'!BB$106=1,EV47,1)</f>
        <v/>
      </c>
      <c r="OC47">
        <f>IF('計算A'!BC$106=1,EW47,1)</f>
        <v/>
      </c>
      <c r="OD47">
        <f>IF('計算A'!BD$106=1,EX47,1)</f>
        <v/>
      </c>
      <c r="OE47">
        <f>IF('計算A'!BE$106=1,EY47,1)</f>
        <v/>
      </c>
      <c r="OF47">
        <f>IF('計算A'!BF$106=1,EZ47,1)</f>
        <v/>
      </c>
      <c r="OG47">
        <f>IF('計算A'!BG$106=1,FA47,1)</f>
        <v/>
      </c>
      <c r="OH47">
        <f>IF('計算A'!BH$106=1,FB47,1)</f>
        <v/>
      </c>
      <c r="OI47">
        <f>IF('計算A'!BI$106=1,FC47,1)</f>
        <v/>
      </c>
      <c r="OJ47">
        <f>IF('計算A'!BJ$106=1,FD47,1)</f>
        <v/>
      </c>
      <c r="OK47">
        <f>IF('計算A'!BK$106=1,FE47,1)</f>
        <v/>
      </c>
      <c r="OL47">
        <f>IF('計算A'!BL$106=1,FF47,1)</f>
        <v/>
      </c>
      <c r="OM47">
        <f>IF('計算A'!BM$106=1,FG47,1)</f>
        <v/>
      </c>
      <c r="ON47">
        <f>IF('計算A'!BN$106=1,FH47,1)</f>
        <v/>
      </c>
      <c r="OO47">
        <f>IF('計算A'!BO$106=1,FI47,1)</f>
        <v/>
      </c>
      <c r="OP47">
        <f>IF('計算A'!BP$106=1,FJ47,1)</f>
        <v/>
      </c>
      <c r="OQ47">
        <f>IF('計算A'!BQ$106=1,FK47,1)</f>
        <v/>
      </c>
      <c r="OR47">
        <f>IF('計算A'!BR$106=1,FL47,1)</f>
        <v/>
      </c>
      <c r="OS47">
        <f>IF('計算A'!BS$106=1,FM47,1)</f>
        <v/>
      </c>
      <c r="OT47">
        <f>IF('計算A'!BT$106=1,FN47,1)</f>
        <v/>
      </c>
      <c r="OU47">
        <f>IF('計算A'!BU$106=1,FO47,1)</f>
        <v/>
      </c>
      <c r="OV47">
        <f>IF('計算A'!BV$106=1,FP47,1)</f>
        <v/>
      </c>
      <c r="OW47">
        <f>IF('計算A'!BW$106=1,FQ47,1)</f>
        <v/>
      </c>
      <c r="OX47">
        <f>IF('計算A'!BX$106=1,FR47,1)</f>
        <v/>
      </c>
      <c r="OY47">
        <f>IF('計算A'!BY$106=1,FS47,1)</f>
        <v/>
      </c>
      <c r="OZ47">
        <f>IF('計算A'!BZ$106=1,FT47,1)</f>
        <v/>
      </c>
      <c r="PA47">
        <f>IF('計算A'!CA$106=1,FU47,1)</f>
        <v/>
      </c>
      <c r="PB47">
        <f>IF('計算A'!CB$106=1,FV47,1)</f>
        <v/>
      </c>
      <c r="PC47">
        <f>IF('計算A'!CC$106=1,FW47,1)</f>
        <v/>
      </c>
      <c r="PD47">
        <f>IF('計算A'!CD$106=1,FX47,1)</f>
        <v/>
      </c>
      <c r="PE47">
        <f>IF('計算A'!CE$106=1,FY47,1)</f>
        <v/>
      </c>
      <c r="PF47">
        <f>IF('計算A'!CF$106=1,FZ47,1)</f>
        <v/>
      </c>
      <c r="PG47">
        <f>IF('計算A'!CG$106=1,GA47,1)</f>
        <v/>
      </c>
      <c r="PH47">
        <f>IF('計算A'!CH$106=1,GB47,1)</f>
        <v/>
      </c>
      <c r="PI47">
        <f>IF('計算A'!CI$106=1,GC47,1)</f>
        <v/>
      </c>
      <c r="PJ47">
        <f>IF('計算A'!CJ$106=1,GD47,1)</f>
        <v/>
      </c>
      <c r="PK47">
        <f>IF('計算A'!CK$106=1,GE47,1)</f>
        <v/>
      </c>
      <c r="PL47">
        <f>IF('計算A'!CL$106=1,GF47,1)</f>
        <v/>
      </c>
      <c r="PM47">
        <f>IF('計算A'!CM$106=1,GG47,1)</f>
        <v/>
      </c>
      <c r="PN47">
        <f>IF('計算A'!CN$106=1,GH47,1)</f>
        <v/>
      </c>
      <c r="PO47">
        <f>IF('計算A'!CO$106=1,GI47,1)</f>
        <v/>
      </c>
      <c r="PP47">
        <f>IF('計算A'!CP$106=1,GJ47,1)</f>
        <v/>
      </c>
      <c r="PQ47">
        <f>IF('計算A'!CQ$106=1,GK47,1)</f>
        <v/>
      </c>
      <c r="PR47">
        <f>IF('計算A'!CR$106=1,GL47,1)</f>
        <v/>
      </c>
      <c r="PS47">
        <f>IF('計算A'!CS$106=1,GM47,1)</f>
        <v/>
      </c>
      <c r="PT47">
        <f>IF('計算A'!CT$106=1,GN47,1)</f>
        <v/>
      </c>
      <c r="PU47">
        <f>IF('計算A'!CU$106=1,GO47,1)</f>
        <v/>
      </c>
      <c r="PV47">
        <f>IF('計算A'!CV$106=1,GP47,1)</f>
        <v/>
      </c>
      <c r="PW47">
        <f>IF('計算A'!CW$106=1,GQ47,1)</f>
        <v/>
      </c>
      <c r="PX47">
        <f>IF('計算A'!CX$106=1,GR47,1)</f>
        <v/>
      </c>
      <c r="PY47">
        <f>IF('計算A'!CY$106=1,GS47,1)</f>
        <v/>
      </c>
      <c r="PZ47">
        <f>IF('計算A'!CZ$106=1,GT47,1)</f>
        <v/>
      </c>
      <c r="QA47">
        <f>IF('計算A'!DA$106=1,GU47,1)</f>
        <v/>
      </c>
      <c r="QB47">
        <f>IF('計算A'!DB$106=1,GV47,1)</f>
        <v/>
      </c>
      <c r="QC47">
        <f>IF('計算A'!DC$106=1,GW47,1)</f>
        <v/>
      </c>
      <c r="QD47">
        <f>IF('計算A'!DD$106=1,GX47,1)</f>
        <v/>
      </c>
      <c r="QE47">
        <f>IF('計算A'!DE$106=1,GY47,1)</f>
        <v/>
      </c>
      <c r="QF47">
        <f>IF('計算A'!DF$106=1,GZ47,1)</f>
        <v/>
      </c>
      <c r="QG47">
        <f>IF('計算A'!DG$106=1,HA47,1)</f>
        <v/>
      </c>
      <c r="QH47">
        <f>IF('計算A'!DH$106=1,HB47,1)</f>
        <v/>
      </c>
      <c r="QI47">
        <f>IF('計算A'!DI$106=1,HC47,1)</f>
        <v/>
      </c>
      <c r="QJ47">
        <f>IF('計算A'!DJ$106=1,HD47,1)</f>
        <v/>
      </c>
      <c r="QK47">
        <f>IF('計算A'!DK$106=1,HE47,1)</f>
        <v/>
      </c>
      <c r="QL47">
        <f>IF('計算A'!DL$106=1,HF47,1)</f>
        <v/>
      </c>
      <c r="QM47">
        <f>IF('計算A'!DM$106=1,HG47,1)</f>
        <v/>
      </c>
      <c r="QN47">
        <f>IF('計算A'!DN$106=1,HH47,1)</f>
        <v/>
      </c>
      <c r="QO47">
        <f>IF('計算A'!DO$106=1,HI47,1)</f>
        <v/>
      </c>
      <c r="QP47">
        <f>IF('計算A'!DP$106=1,HJ47,1)</f>
        <v/>
      </c>
      <c r="QQ47">
        <f>IF('計算A'!DQ$106=1,HK47,1)</f>
        <v/>
      </c>
      <c r="QR47">
        <f>IF('計算A'!DR$106=1,HL47,1)</f>
        <v/>
      </c>
      <c r="QS47">
        <f>IF('計算A'!DS$106=1,HM47,1)</f>
        <v/>
      </c>
      <c r="QT47">
        <f>IF('計算A'!DT$106=1,HN47,1)</f>
        <v/>
      </c>
      <c r="QU47">
        <f>IF('計算A'!DU$106=1,HO47,1)</f>
        <v/>
      </c>
      <c r="QV47">
        <f>IF('計算A'!DV$106=1,HP47,1)</f>
        <v/>
      </c>
      <c r="QW47">
        <f>IF('計算A'!DW$106=1,HQ47,1)</f>
        <v/>
      </c>
      <c r="QX47">
        <f>IF('計算A'!DX$106=1,HR47,1)</f>
        <v/>
      </c>
      <c r="QY47">
        <f>IF('計算A'!DY$106=1,HS47,1)</f>
        <v/>
      </c>
      <c r="QZ47">
        <f>IF('計算A'!DZ$106=1,HT47,1)</f>
        <v/>
      </c>
      <c r="RA47">
        <f>IF('計算A'!EA$106=1,HU47,1)</f>
        <v/>
      </c>
      <c r="RB47">
        <f>IF('計算A'!EB$106=1,HV47,1)</f>
        <v/>
      </c>
      <c r="RC47">
        <f>IF('計算A'!EC$106=1,HW47,1)</f>
        <v/>
      </c>
      <c r="RD47">
        <f>IF('計算A'!ED$106=1,HX47,1)</f>
        <v/>
      </c>
      <c r="RE47">
        <f>IF('計算A'!EE$106=1,HY47,1)</f>
        <v/>
      </c>
      <c r="RF47">
        <f>IF('計算A'!EF$106=1,HZ47,1)</f>
        <v/>
      </c>
      <c r="RG47">
        <f>IF('計算A'!EG$106=1,IA47,1)</f>
        <v/>
      </c>
      <c r="RH47">
        <f>IF('計算A'!EH$106=1,IB47,1)</f>
        <v/>
      </c>
      <c r="RI47">
        <f>IF('計算A'!EI$106=1,IC47,1)</f>
        <v/>
      </c>
      <c r="RJ47">
        <f>IF('計算A'!EJ$106=1,ID47,1)</f>
        <v/>
      </c>
      <c r="RK47">
        <f>IF('計算A'!EK$106=1,IE47,1)</f>
        <v/>
      </c>
      <c r="RL47">
        <f>IF('計算A'!EL$106=1,IF47,1)</f>
        <v/>
      </c>
      <c r="RM47">
        <f>IF('計算A'!EM$106=1,IG47,1)</f>
        <v/>
      </c>
      <c r="RN47">
        <f>IF('計算A'!EN$106=1,IH47,1)</f>
        <v/>
      </c>
      <c r="RO47">
        <f>IF('計算A'!EO$106=1,II47,1)</f>
        <v/>
      </c>
      <c r="RP47">
        <f>IF('計算A'!EP$106=1,IJ47,1)</f>
        <v/>
      </c>
      <c r="RQ47">
        <f>IF('計算A'!EQ$106=1,IK47,1)</f>
        <v/>
      </c>
      <c r="RR47">
        <f>IF('計算A'!ER$106=1,IL47,1)</f>
        <v/>
      </c>
      <c r="RS47">
        <f>IF('計算A'!ES$106=1,IM47,1)</f>
        <v/>
      </c>
      <c r="RT47">
        <f>IF('計算A'!ET$106=1,IN47,1)</f>
        <v/>
      </c>
      <c r="RU47">
        <f>IF('計算A'!EU$106=1,IO47,1)</f>
        <v/>
      </c>
      <c r="RV47">
        <f>IF('計算A'!EV$106=1,IP47,1)</f>
        <v/>
      </c>
      <c r="RW47">
        <f>IF('計算A'!EW$106=1,IQ47,1)</f>
        <v/>
      </c>
      <c r="RX47">
        <f>IF('計算A'!EX$106=1,IR47,1)</f>
        <v/>
      </c>
      <c r="RY47">
        <f>IF('計算A'!EY$106=1,IS47,1)</f>
        <v/>
      </c>
      <c r="RZ47">
        <f>IF('計算A'!EZ$106=1,IT47,1)</f>
        <v/>
      </c>
      <c r="SA47">
        <f>IF('計算A'!FA$106=1,IU47,1)</f>
        <v/>
      </c>
      <c r="SB47">
        <f>IF('計算A'!FB$106=1,IV47,1)</f>
        <v/>
      </c>
      <c r="SC47">
        <f>IF('計算A'!FC$106=1,IW47,1)</f>
        <v/>
      </c>
      <c r="SD47">
        <f>IF('計算A'!FD$106=1,IX47,1)</f>
        <v/>
      </c>
      <c r="SE47">
        <f>IF('計算A'!FE$106=1,IY47,1)</f>
        <v/>
      </c>
      <c r="SF47">
        <f>IF('計算A'!FF$106=1,IZ47,1)</f>
        <v/>
      </c>
      <c r="SG47">
        <f>IF('計算A'!FG$106=1,JA47,1)</f>
        <v/>
      </c>
      <c r="SH47">
        <f>IF('計算A'!FH$106=1,JB47,1)</f>
        <v/>
      </c>
      <c r="SI47">
        <f>IF('計算A'!FI$106=1,JC47,1)</f>
        <v/>
      </c>
      <c r="SJ47">
        <f>IF('計算A'!FJ$106=1,JD47,1)</f>
        <v/>
      </c>
      <c r="SK47">
        <f>IF('計算A'!FK$106=1,JE47,1)</f>
        <v/>
      </c>
      <c r="SL47">
        <f>IF('計算A'!FL$106=1,JF47,1)</f>
        <v/>
      </c>
      <c r="SM47">
        <f>IF('計算A'!FM$106=1,JG47,1)</f>
        <v/>
      </c>
      <c r="SN47">
        <f>IF('計算A'!FN$106=1,JH47,1)</f>
        <v/>
      </c>
      <c r="SO47">
        <f>IF('計算A'!FO$106=1,JI47,1)</f>
        <v/>
      </c>
      <c r="SP47">
        <f>IF('計算A'!FP$106=1,JJ47,1)</f>
        <v/>
      </c>
      <c r="SQ47">
        <f>IF('計算A'!FQ$106=1,JK47,1)</f>
        <v/>
      </c>
      <c r="SR47">
        <f>IF('計算A'!FR$106=1,JL47,1)</f>
        <v/>
      </c>
      <c r="SS47">
        <f>IF('計算A'!FS$106=1,JM47,1)</f>
        <v/>
      </c>
      <c r="ST47">
        <f>IF('計算A'!FT$106=1,JN47,1)</f>
        <v/>
      </c>
      <c r="SU47">
        <f>IF('計算A'!FU$106=1,JO47,1)</f>
        <v/>
      </c>
      <c r="SV47">
        <f>IF('計算A'!FV$106=1,JP47,1)</f>
        <v/>
      </c>
      <c r="SW47">
        <f>IF('計算A'!FW$106=1,JQ47,1)</f>
        <v/>
      </c>
      <c r="SX47">
        <f>IF('計算A'!FX$106=1,JR47,1)</f>
        <v/>
      </c>
      <c r="SY47">
        <f>IF('計算A'!FY$106=1,JS47,1)</f>
        <v/>
      </c>
      <c r="SZ47">
        <f>IF('計算A'!FZ$106=1,JT47,1)</f>
        <v/>
      </c>
      <c r="TA47">
        <f>IF('計算A'!GA$106=1,JU47,1)</f>
        <v/>
      </c>
      <c r="TB47">
        <f>IF('計算A'!GB$106=1,JV47,1)</f>
        <v/>
      </c>
      <c r="TC47">
        <f>IF('計算A'!GC$106=1,JW47,1)</f>
        <v/>
      </c>
      <c r="TD47">
        <f>IF('計算A'!GD$106=1,JX47,1)</f>
        <v/>
      </c>
      <c r="TE47">
        <f>IF('計算A'!GE$106=1,JY47,1)</f>
        <v/>
      </c>
      <c r="TF47">
        <f>IF('計算A'!GF$106=1,JZ47,1)</f>
        <v/>
      </c>
      <c r="TG47">
        <f>IF('計算A'!GG$106=1,KA47,1)</f>
        <v/>
      </c>
      <c r="TH47">
        <f>IF('計算A'!GH$106=1,KB47,1)</f>
        <v/>
      </c>
      <c r="TI47">
        <f>IF('計算A'!GI$106=1,KC47,1)</f>
        <v/>
      </c>
      <c r="TJ47">
        <f>IF('計算A'!GJ$106=1,KD47,1)</f>
        <v/>
      </c>
      <c r="TK47">
        <f>IF('計算A'!GK$106=1,KE47,1)</f>
        <v/>
      </c>
      <c r="TL47">
        <f>IF('計算A'!GL$106=1,KF47,1)</f>
        <v/>
      </c>
      <c r="TM47">
        <f>IF('計算A'!GM$106=1,KG47,1)</f>
        <v/>
      </c>
      <c r="TN47">
        <f>IF('計算A'!GN$106=1,KH47,1)</f>
        <v/>
      </c>
      <c r="TO47">
        <f>IF('計算A'!GO$106=1,KI47,1)</f>
        <v/>
      </c>
      <c r="TP47">
        <f>IF('計算A'!GP$106=1,KJ47,1)</f>
        <v/>
      </c>
      <c r="TQ47">
        <f>IF('計算A'!GQ$106=1,KK47,1)</f>
        <v/>
      </c>
      <c r="TR47">
        <f>IF('計算A'!GR$106=1,KL47,1)</f>
        <v/>
      </c>
      <c r="TS47">
        <f>IF('計算A'!GS$106=1,KM47,1)</f>
        <v/>
      </c>
      <c r="TT47">
        <f>IF('計算A'!GT$106=1,KN47,1)</f>
        <v/>
      </c>
      <c r="TU47">
        <f>IF('計算A'!GU$106=1,KO47,1)</f>
        <v/>
      </c>
      <c r="TV47">
        <f>IF('計算A'!GV$106=1,KP47,1)</f>
        <v/>
      </c>
      <c r="TW47">
        <f>IF('計算A'!GW$106=1,KQ47,1)</f>
        <v/>
      </c>
      <c r="TX47">
        <f>IF('計算A'!GX$106=1,KR47,1)</f>
        <v/>
      </c>
      <c r="TY47">
        <f>IF('計算A'!GY$106=1,KS47,1)</f>
        <v/>
      </c>
      <c r="TZ47">
        <f>IF('計算A'!GZ$106=1,KT47,1)</f>
        <v/>
      </c>
      <c r="UA47">
        <f>IF('計算A'!HA$106=1,KU47,1)</f>
        <v/>
      </c>
      <c r="UB47">
        <f>IF('計算A'!HB$106=1,KV47,1)</f>
        <v/>
      </c>
      <c r="UC47">
        <f>IF('計算A'!HC$106=1,KW47,1)</f>
        <v/>
      </c>
      <c r="UD47">
        <f>IF('計算A'!HD$106=1,KX47,1)</f>
        <v/>
      </c>
      <c r="UE47">
        <f>IF('計算A'!HE$106=1,KY47,1)</f>
        <v/>
      </c>
      <c r="UF47">
        <f>IF('計算A'!HF$106=1,KZ47,1)</f>
        <v/>
      </c>
      <c r="UG47">
        <f>IF('計算A'!HG$106=1,LA47,1)</f>
        <v/>
      </c>
      <c r="UH47">
        <f>IF('計算A'!HH$106=1,LB47,1)</f>
        <v/>
      </c>
      <c r="UI47">
        <f>IF('計算A'!HI$106=1,LC47,1)</f>
        <v/>
      </c>
      <c r="UJ47">
        <f>IF('計算A'!HJ$106=1,LD47,1)</f>
        <v/>
      </c>
      <c r="UK47">
        <f>IF('計算A'!HK$106=1,LE47,1)</f>
        <v/>
      </c>
      <c r="UL47">
        <f>IF('計算A'!HL$106=1,LF47,1)</f>
        <v/>
      </c>
      <c r="UM47">
        <f>IF('計算A'!HM$106=1,LG47,1)</f>
        <v/>
      </c>
      <c r="UN47">
        <f>IF('計算A'!HN$106=1,LH47,1)</f>
        <v/>
      </c>
      <c r="UO47">
        <f>IF('計算A'!HO$106=1,LI47,1)</f>
        <v/>
      </c>
      <c r="UP47">
        <f>IF('計算A'!HP$106=1,LJ47,1)</f>
        <v/>
      </c>
      <c r="UQ47">
        <f>IF('計算A'!HQ$106=1,LK47,1)</f>
        <v/>
      </c>
      <c r="UR47">
        <f>IF('計算A'!HR$106=1,LL47,1)</f>
        <v/>
      </c>
      <c r="US47">
        <f>IF('計算A'!HS$106=1,LM47,1)</f>
        <v/>
      </c>
      <c r="UT47">
        <f>IF('計算A'!HT$106=1,LN47,1)</f>
        <v/>
      </c>
      <c r="UU47">
        <f>IF('計算A'!HU$106=1,LO47,1)</f>
        <v/>
      </c>
      <c r="UV47">
        <f>IF('計算A'!HV$106=1,LP47,1)</f>
        <v/>
      </c>
      <c r="UW47">
        <f>IF('計算A'!HW$106=1,LQ47,1)</f>
        <v/>
      </c>
      <c r="UX47">
        <f>IF('計算A'!HX$106=1,LR47,1)</f>
        <v/>
      </c>
      <c r="UY47">
        <f>IF('計算A'!HY$106=1,LS47,1)</f>
        <v/>
      </c>
      <c r="UZ47">
        <f>IF('計算A'!HZ$106=1,LT47,1)</f>
        <v/>
      </c>
      <c r="VA47">
        <f>IF('計算A'!IA$106=1,LU47,1)</f>
        <v/>
      </c>
      <c r="VB47">
        <f>IF('計算A'!IB$106=1,LV47,1)</f>
        <v/>
      </c>
      <c r="VC47">
        <f>IF('計算A'!IC$106=1,LW47,1)</f>
        <v/>
      </c>
      <c r="VD47">
        <f>IF('計算A'!ID$106=1,LX47,1)</f>
        <v/>
      </c>
      <c r="VE47">
        <f>IF('計算A'!IE$106=1,LY47,1)</f>
        <v/>
      </c>
      <c r="VF47">
        <f>IF('計算A'!IF$106=1,LZ47,1)</f>
        <v/>
      </c>
      <c r="VG47">
        <f>IF('計算A'!IG$106=1,MA47,1)</f>
        <v/>
      </c>
      <c r="VH47">
        <f>IF('計算A'!IH$106=1,MB47,1)</f>
        <v/>
      </c>
      <c r="VI47" t="n">
        <v>1</v>
      </c>
      <c r="VK47">
        <f>IF($B47=0,1000000,IF(INDEX('計算A'!$D$60:$II$104,$B47,1)*CW47=1,IF(AND($E47=2,MD47=0),1000000,INDEX('計算A'!D$110:D$114,$F47+1)+IF(AND($E47=1,MD47=0),1000,0)),1000000))</f>
        <v/>
      </c>
      <c r="VL47">
        <f>IF($B47=0,1000000,IF(INDEX('計算A'!$D$60:$II$104,$B47,2)*CX47=1,IF(AND($E47=2,ME47=0),1000000,INDEX('計算A'!E$110:E$114,$F47+1)+IF(AND($E47=1,ME47=0),1000,0)),1000000))</f>
        <v/>
      </c>
      <c r="VM47">
        <f>IF($B47=0,1000000,IF(INDEX('計算A'!$D$60:$II$104,$B47,3)*CY47=1,IF(AND($E47=2,MF47=0),1000000,INDEX('計算A'!F$110:F$114,$F47+1)+IF(AND($E47=1,MF47=0),1000,0)),1000000))</f>
        <v/>
      </c>
      <c r="VN47">
        <f>IF($B47=0,1000000,IF(INDEX('計算A'!$D$60:$II$104,$B47,4)*CZ47=1,IF(AND($E47=2,MG47=0),1000000,INDEX('計算A'!G$110:G$114,$F47+1)+IF(AND($E47=1,MG47=0),1000,0)),1000000))</f>
        <v/>
      </c>
      <c r="VO47">
        <f>IF($B47=0,1000000,IF(INDEX('計算A'!$D$60:$II$104,$B47,5)*DA47=1,IF(AND($E47=2,MH47=0),1000000,INDEX('計算A'!H$110:H$114,$F47+1)+IF(AND($E47=1,MH47=0),1000,0)),1000000))</f>
        <v/>
      </c>
      <c r="VP47">
        <f>IF($B47=0,1000000,IF(INDEX('計算A'!$D$60:$II$104,$B47,6)*DB47=1,IF(AND($E47=2,MI47=0),1000000,INDEX('計算A'!I$110:I$114,$F47+1)+IF(AND($E47=1,MI47=0),1000,0)),1000000))</f>
        <v/>
      </c>
      <c r="VQ47">
        <f>IF($B47=0,1000000,IF(INDEX('計算A'!$D$60:$II$104,$B47,7)*DC47=1,IF(AND($E47=2,MJ47=0),1000000,INDEX('計算A'!J$110:J$114,$F47+1)+IF(AND($E47=1,MJ47=0),1000,0)),1000000))</f>
        <v/>
      </c>
      <c r="VR47">
        <f>IF($B47=0,1000000,IF(INDEX('計算A'!$D$60:$II$104,$B47,8)*DD47=1,IF(AND($E47=2,MK47=0),1000000,INDEX('計算A'!K$110:K$114,$F47+1)+IF(AND($E47=1,MK47=0),1000,0)),1000000))</f>
        <v/>
      </c>
      <c r="VS47">
        <f>IF($B47=0,1000000,IF(INDEX('計算A'!$D$60:$II$104,$B47,9)*DE47=1,IF(AND($E47=2,ML47=0),1000000,INDEX('計算A'!L$110:L$114,$F47+1)+IF(AND($E47=1,ML47=0),1000,0)),1000000))</f>
        <v/>
      </c>
      <c r="VT47">
        <f>IF($B47=0,1000000,IF(INDEX('計算A'!$D$60:$II$104,$B47,10)*DF47=1,IF(AND($E47=2,MM47=0),1000000,INDEX('計算A'!M$110:M$114,$F47+1)+IF(AND($E47=1,MM47=0),1000,0)),1000000))</f>
        <v/>
      </c>
      <c r="VU47">
        <f>IF($B47=0,1000000,IF(INDEX('計算A'!$D$60:$II$104,$B47,11)*DG47=1,IF(AND($E47=2,MN47=0),1000000,INDEX('計算A'!N$110:N$114,$F47+1)+IF(AND($E47=1,MN47=0),1000,0)),1000000))</f>
        <v/>
      </c>
      <c r="VV47">
        <f>IF($B47=0,1000000,IF(INDEX('計算A'!$D$60:$II$104,$B47,12)*DH47=1,IF(AND($E47=2,MO47=0),1000000,INDEX('計算A'!O$110:O$114,$F47+1)+IF(AND($E47=1,MO47=0),1000,0)),1000000))</f>
        <v/>
      </c>
      <c r="VW47">
        <f>IF($B47=0,1000000,IF(INDEX('計算A'!$D$60:$II$104,$B47,13)*DI47=1,IF(AND($E47=2,MP47=0),1000000,INDEX('計算A'!P$110:P$114,$F47+1)+IF(AND($E47=1,MP47=0),1000,0)),1000000))</f>
        <v/>
      </c>
      <c r="VX47">
        <f>IF($B47=0,1000000,IF(INDEX('計算A'!$D$60:$II$104,$B47,14)*DJ47=1,IF(AND($E47=2,MQ47=0),1000000,INDEX('計算A'!Q$110:Q$114,$F47+1)+IF(AND($E47=1,MQ47=0),1000,0)),1000000))</f>
        <v/>
      </c>
      <c r="VY47">
        <f>IF($B47=0,1000000,IF(INDEX('計算A'!$D$60:$II$104,$B47,15)*DK47=1,IF(AND($E47=2,MR47=0),1000000,INDEX('計算A'!R$110:R$114,$F47+1)+IF(AND($E47=1,MR47=0),1000,0)),1000000))</f>
        <v/>
      </c>
      <c r="VZ47">
        <f>IF($B47=0,1000000,IF(INDEX('計算A'!$D$60:$II$104,$B47,16)*DL47=1,IF(AND($E47=2,MS47=0),1000000,INDEX('計算A'!S$110:S$114,$F47+1)+IF(AND($E47=1,MS47=0),1000,0)),1000000))</f>
        <v/>
      </c>
      <c r="WA47">
        <f>IF($B47=0,1000000,IF(INDEX('計算A'!$D$60:$II$104,$B47,17)*DM47=1,IF(AND($E47=2,MT47=0),1000000,INDEX('計算A'!T$110:T$114,$F47+1)+IF(AND($E47=1,MT47=0),1000,0)),1000000))</f>
        <v/>
      </c>
      <c r="WB47">
        <f>IF($B47=0,1000000,IF(INDEX('計算A'!$D$60:$II$104,$B47,18)*DN47=1,IF(AND($E47=2,MU47=0),1000000,INDEX('計算A'!U$110:U$114,$F47+1)+IF(AND($E47=1,MU47=0),1000,0)),1000000))</f>
        <v/>
      </c>
      <c r="WC47">
        <f>IF($B47=0,1000000,IF(INDEX('計算A'!$D$60:$II$104,$B47,19)*DO47=1,IF(AND($E47=2,MV47=0),1000000,INDEX('計算A'!V$110:V$114,$F47+1)+IF(AND($E47=1,MV47=0),1000,0)),1000000))</f>
        <v/>
      </c>
      <c r="WD47">
        <f>IF($B47=0,1000000,IF(INDEX('計算A'!$D$60:$II$104,$B47,20)*DP47=1,IF(AND($E47=2,MW47=0),1000000,INDEX('計算A'!W$110:W$114,$F47+1)+IF(AND($E47=1,MW47=0),1000,0)),1000000))</f>
        <v/>
      </c>
      <c r="WE47">
        <f>IF($B47=0,1000000,IF(INDEX('計算A'!$D$60:$II$104,$B47,21)*DQ47=1,IF(AND($E47=2,MX47=0),1000000,INDEX('計算A'!X$110:X$114,$F47+1)+IF(AND($E47=1,MX47=0),1000,0)),1000000))</f>
        <v/>
      </c>
      <c r="WF47">
        <f>IF($B47=0,1000000,IF(INDEX('計算A'!$D$60:$II$104,$B47,22)*DR47=1,IF(AND($E47=2,MY47=0),1000000,INDEX('計算A'!Y$110:Y$114,$F47+1)+IF(AND($E47=1,MY47=0),1000,0)),1000000))</f>
        <v/>
      </c>
      <c r="WG47">
        <f>IF($B47=0,1000000,IF(INDEX('計算A'!$D$60:$II$104,$B47,23)*DS47=1,IF(AND($E47=2,MZ47=0),1000000,INDEX('計算A'!Z$110:Z$114,$F47+1)+IF(AND($E47=1,MZ47=0),1000,0)),1000000))</f>
        <v/>
      </c>
      <c r="WH47">
        <f>IF($B47=0,1000000,IF(INDEX('計算A'!$D$60:$II$104,$B47,24)*DT47=1,IF(AND($E47=2,NA47=0),1000000,INDEX('計算A'!AA$110:AA$114,$F47+1)+IF(AND($E47=1,NA47=0),1000,0)),1000000))</f>
        <v/>
      </c>
      <c r="WI47">
        <f>IF($B47=0,1000000,IF(INDEX('計算A'!$D$60:$II$104,$B47,25)*DU47=1,IF(AND($E47=2,NB47=0),1000000,INDEX('計算A'!AB$110:AB$114,$F47+1)+IF(AND($E47=1,NB47=0),1000,0)),1000000))</f>
        <v/>
      </c>
      <c r="WJ47">
        <f>IF($B47=0,1000000,IF(INDEX('計算A'!$D$60:$II$104,$B47,26)*DV47=1,IF(AND($E47=2,NC47=0),1000000,INDEX('計算A'!AC$110:AC$114,$F47+1)+IF(AND($E47=1,NC47=0),1000,0)),1000000))</f>
        <v/>
      </c>
      <c r="WK47">
        <f>IF($B47=0,1000000,IF(INDEX('計算A'!$D$60:$II$104,$B47,27)*DW47=1,IF(AND($E47=2,ND47=0),1000000,INDEX('計算A'!AD$110:AD$114,$F47+1)+IF(AND($E47=1,ND47=0),1000,0)),1000000))</f>
        <v/>
      </c>
      <c r="WL47">
        <f>IF($B47=0,1000000,IF(INDEX('計算A'!$D$60:$II$104,$B47,28)*DX47=1,IF(AND($E47=2,NE47=0),1000000,INDEX('計算A'!AE$110:AE$114,$F47+1)+IF(AND($E47=1,NE47=0),1000,0)),1000000))</f>
        <v/>
      </c>
      <c r="WM47">
        <f>IF($B47=0,1000000,IF(INDEX('計算A'!$D$60:$II$104,$B47,29)*DY47=1,IF(AND($E47=2,NF47=0),1000000,INDEX('計算A'!AF$110:AF$114,$F47+1)+IF(AND($E47=1,NF47=0),1000,0)),1000000))</f>
        <v/>
      </c>
      <c r="WN47">
        <f>IF($B47=0,1000000,IF(INDEX('計算A'!$D$60:$II$104,$B47,30)*DZ47=1,IF(AND($E47=2,NG47=0),1000000,INDEX('計算A'!AG$110:AG$114,$F47+1)+IF(AND($E47=1,NG47=0),1000,0)),1000000))</f>
        <v/>
      </c>
      <c r="WO47">
        <f>IF($B47=0,1000000,IF(INDEX('計算A'!$D$60:$II$104,$B47,31)*EA47=1,IF(AND($E47=2,NH47=0),1000000,INDEX('計算A'!AH$110:AH$114,$F47+1)+IF(AND($E47=1,NH47=0),1000,0)),1000000))</f>
        <v/>
      </c>
      <c r="WP47">
        <f>IF($B47=0,1000000,IF(INDEX('計算A'!$D$60:$II$104,$B47,32)*EB47=1,IF(AND($E47=2,NI47=0),1000000,INDEX('計算A'!AI$110:AI$114,$F47+1)+IF(AND($E47=1,NI47=0),1000,0)),1000000))</f>
        <v/>
      </c>
      <c r="WQ47">
        <f>IF($B47=0,1000000,IF(INDEX('計算A'!$D$60:$II$104,$B47,33)*EC47=1,IF(AND($E47=2,NJ47=0),1000000,INDEX('計算A'!AJ$110:AJ$114,$F47+1)+IF(AND($E47=1,NJ47=0),1000,0)),1000000))</f>
        <v/>
      </c>
      <c r="WR47">
        <f>IF($B47=0,1000000,IF(INDEX('計算A'!$D$60:$II$104,$B47,34)*ED47=1,IF(AND($E47=2,NK47=0),1000000,INDEX('計算A'!AK$110:AK$114,$F47+1)+IF(AND($E47=1,NK47=0),1000,0)),1000000))</f>
        <v/>
      </c>
      <c r="WS47">
        <f>IF($B47=0,1000000,IF(INDEX('計算A'!$D$60:$II$104,$B47,35)*EE47=1,IF(AND($E47=2,NL47=0),1000000,INDEX('計算A'!AL$110:AL$114,$F47+1)+IF(AND($E47=1,NL47=0),1000,0)),1000000))</f>
        <v/>
      </c>
      <c r="WT47">
        <f>IF($B47=0,1000000,IF(INDEX('計算A'!$D$60:$II$104,$B47,36)*EF47=1,IF(AND($E47=2,NM47=0),1000000,INDEX('計算A'!AM$110:AM$114,$F47+1)+IF(AND($E47=1,NM47=0),1000,0)),1000000))</f>
        <v/>
      </c>
      <c r="WU47">
        <f>IF($B47=0,1000000,IF(INDEX('計算A'!$D$60:$II$104,$B47,37)*EG47=1,IF(AND($E47=2,NN47=0),1000000,INDEX('計算A'!AN$110:AN$114,$F47+1)+IF(AND($E47=1,NN47=0),1000,0)),1000000))</f>
        <v/>
      </c>
      <c r="WV47">
        <f>IF($B47=0,1000000,IF(INDEX('計算A'!$D$60:$II$104,$B47,38)*EH47=1,IF(AND($E47=2,NO47=0),1000000,INDEX('計算A'!AO$110:AO$114,$F47+1)+IF(AND($E47=1,NO47=0),1000,0)),1000000))</f>
        <v/>
      </c>
      <c r="WW47">
        <f>IF($B47=0,1000000,IF(INDEX('計算A'!$D$60:$II$104,$B47,39)*EI47=1,IF(AND($E47=2,NP47=0),1000000,INDEX('計算A'!AP$110:AP$114,$F47+1)+IF(AND($E47=1,NP47=0),1000,0)),1000000))</f>
        <v/>
      </c>
      <c r="WX47">
        <f>IF($B47=0,1000000,IF(INDEX('計算A'!$D$60:$II$104,$B47,40)*EJ47=1,IF(AND($E47=2,NQ47=0),1000000,INDEX('計算A'!AQ$110:AQ$114,$F47+1)+IF(AND($E47=1,NQ47=0),1000,0)),1000000))</f>
        <v/>
      </c>
      <c r="WY47">
        <f>IF($B47=0,1000000,IF(INDEX('計算A'!$D$60:$II$104,$B47,41)*EK47=1,IF(AND($E47=2,NR47=0),1000000,INDEX('計算A'!AR$110:AR$114,$F47+1)+IF(AND($E47=1,NR47=0),1000,0)),1000000))</f>
        <v/>
      </c>
      <c r="WZ47">
        <f>IF($B47=0,1000000,IF(INDEX('計算A'!$D$60:$II$104,$B47,42)*EL47=1,IF(AND($E47=2,NS47=0),1000000,INDEX('計算A'!AS$110:AS$114,$F47+1)+IF(AND($E47=1,NS47=0),1000,0)),1000000))</f>
        <v/>
      </c>
      <c r="XA47">
        <f>IF($B47=0,1000000,IF(INDEX('計算A'!$D$60:$II$104,$B47,43)*EM47=1,IF(AND($E47=2,NT47=0),1000000,INDEX('計算A'!AT$110:AT$114,$F47+1)+IF(AND($E47=1,NT47=0),1000,0)),1000000))</f>
        <v/>
      </c>
      <c r="XB47">
        <f>IF($B47=0,1000000,IF(INDEX('計算A'!$D$60:$II$104,$B47,44)*EN47=1,IF(AND($E47=2,NU47=0),1000000,INDEX('計算A'!AU$110:AU$114,$F47+1)+IF(AND($E47=1,NU47=0),1000,0)),1000000))</f>
        <v/>
      </c>
      <c r="XC47">
        <f>IF($B47=0,1000000,IF(INDEX('計算A'!$D$60:$II$104,$B47,45)*EO47=1,IF(AND($E47=2,NV47=0),1000000,INDEX('計算A'!AV$110:AV$114,$F47+1)+IF(AND($E47=1,NV47=0),1000,0)),1000000))</f>
        <v/>
      </c>
      <c r="XD47">
        <f>IF($B47=0,1000000,IF(INDEX('計算A'!$D$60:$II$104,$B47,46)*EP47=1,IF(AND($E47=2,NW47=0),1000000,INDEX('計算A'!AW$110:AW$114,$F47+1)+IF(AND($E47=1,NW47=0),1000,0)),1000000))</f>
        <v/>
      </c>
      <c r="XE47">
        <f>IF($B47=0,1000000,IF(INDEX('計算A'!$D$60:$II$104,$B47,47)*EQ47=1,IF(AND($E47=2,NX47=0),1000000,INDEX('計算A'!AX$110:AX$114,$F47+1)+IF(AND($E47=1,NX47=0),1000,0)),1000000))</f>
        <v/>
      </c>
      <c r="XF47">
        <f>IF($B47=0,1000000,IF(INDEX('計算A'!$D$60:$II$104,$B47,48)*ER47=1,IF(AND($E47=2,NY47=0),1000000,INDEX('計算A'!AY$110:AY$114,$F47+1)+IF(AND($E47=1,NY47=0),1000,0)),1000000))</f>
        <v/>
      </c>
      <c r="XG47">
        <f>IF($B47=0,1000000,IF(INDEX('計算A'!$D$60:$II$104,$B47,49)*ES47=1,IF(AND($E47=2,NZ47=0),1000000,INDEX('計算A'!AZ$110:AZ$114,$F47+1)+IF(AND($E47=1,NZ47=0),1000,0)),1000000))</f>
        <v/>
      </c>
      <c r="XH47">
        <f>IF($B47=0,1000000,IF(INDEX('計算A'!$D$60:$II$104,$B47,50)*ET47=1,IF(AND($E47=2,OA47=0),1000000,INDEX('計算A'!BA$110:BA$114,$F47+1)+IF(AND($E47=1,OA47=0),1000,0)),1000000))</f>
        <v/>
      </c>
      <c r="XI47">
        <f>IF($B47=0,1000000,IF(INDEX('計算A'!$D$60:$II$104,$B47,51)*EU47=1,IF(AND($E47=2,OB47=0),1000000,INDEX('計算A'!BB$110:BB$114,$F47+1)+IF(AND($E47=1,OB47=0),1000,0)),1000000))</f>
        <v/>
      </c>
      <c r="XJ47">
        <f>IF($B47=0,1000000,IF(INDEX('計算A'!$D$60:$II$104,$B47,52)*EV47=1,IF(AND($E47=2,OC47=0),1000000,INDEX('計算A'!BC$110:BC$114,$F47+1)+IF(AND($E47=1,OC47=0),1000,0)),1000000))</f>
        <v/>
      </c>
      <c r="XK47">
        <f>IF($B47=0,1000000,IF(INDEX('計算A'!$D$60:$II$104,$B47,53)*EW47=1,IF(AND($E47=2,OD47=0),1000000,INDEX('計算A'!BD$110:BD$114,$F47+1)+IF(AND($E47=1,OD47=0),1000,0)),1000000))</f>
        <v/>
      </c>
      <c r="XL47">
        <f>IF($B47=0,1000000,IF(INDEX('計算A'!$D$60:$II$104,$B47,54)*EX47=1,IF(AND($E47=2,OE47=0),1000000,INDEX('計算A'!BE$110:BE$114,$F47+1)+IF(AND($E47=1,OE47=0),1000,0)),1000000))</f>
        <v/>
      </c>
      <c r="XM47">
        <f>IF($B47=0,1000000,IF(INDEX('計算A'!$D$60:$II$104,$B47,55)*EY47=1,IF(AND($E47=2,OF47=0),1000000,INDEX('計算A'!BF$110:BF$114,$F47+1)+IF(AND($E47=1,OF47=0),1000,0)),1000000))</f>
        <v/>
      </c>
      <c r="XN47">
        <f>IF($B47=0,1000000,IF(INDEX('計算A'!$D$60:$II$104,$B47,56)*EZ47=1,IF(AND($E47=2,OG47=0),1000000,INDEX('計算A'!BG$110:BG$114,$F47+1)+IF(AND($E47=1,OG47=0),1000,0)),1000000))</f>
        <v/>
      </c>
      <c r="XO47">
        <f>IF($B47=0,1000000,IF(INDEX('計算A'!$D$60:$II$104,$B47,57)*FA47=1,IF(AND($E47=2,OH47=0),1000000,INDEX('計算A'!BH$110:BH$114,$F47+1)+IF(AND($E47=1,OH47=0),1000,0)),1000000))</f>
        <v/>
      </c>
      <c r="XP47">
        <f>IF($B47=0,1000000,IF(INDEX('計算A'!$D$60:$II$104,$B47,58)*FB47=1,IF(AND($E47=2,OI47=0),1000000,INDEX('計算A'!BI$110:BI$114,$F47+1)+IF(AND($E47=1,OI47=0),1000,0)),1000000))</f>
        <v/>
      </c>
      <c r="XQ47">
        <f>IF($B47=0,1000000,IF(INDEX('計算A'!$D$60:$II$104,$B47,59)*FC47=1,IF(AND($E47=2,OJ47=0),1000000,INDEX('計算A'!BJ$110:BJ$114,$F47+1)+IF(AND($E47=1,OJ47=0),1000,0)),1000000))</f>
        <v/>
      </c>
      <c r="XR47">
        <f>IF($B47=0,1000000,IF(INDEX('計算A'!$D$60:$II$104,$B47,60)*FD47=1,IF(AND($E47=2,OK47=0),1000000,INDEX('計算A'!BK$110:BK$114,$F47+1)+IF(AND($E47=1,OK47=0),1000,0)),1000000))</f>
        <v/>
      </c>
      <c r="XS47">
        <f>IF($B47=0,1000000,IF(INDEX('計算A'!$D$60:$II$104,$B47,61)*FE47=1,IF(AND($E47=2,OL47=0),1000000,INDEX('計算A'!BL$110:BL$114,$F47+1)+IF(AND($E47=1,OL47=0),1000,0)),1000000))</f>
        <v/>
      </c>
      <c r="XT47">
        <f>IF($B47=0,1000000,IF(INDEX('計算A'!$D$60:$II$104,$B47,62)*FF47=1,IF(AND($E47=2,OM47=0),1000000,INDEX('計算A'!BM$110:BM$114,$F47+1)+IF(AND($E47=1,OM47=0),1000,0)),1000000))</f>
        <v/>
      </c>
      <c r="XU47">
        <f>IF($B47=0,1000000,IF(INDEX('計算A'!$D$60:$II$104,$B47,63)*FG47=1,IF(AND($E47=2,ON47=0),1000000,INDEX('計算A'!BN$110:BN$114,$F47+1)+IF(AND($E47=1,ON47=0),1000,0)),1000000))</f>
        <v/>
      </c>
      <c r="XV47">
        <f>IF($B47=0,1000000,IF(INDEX('計算A'!$D$60:$II$104,$B47,64)*FH47=1,IF(AND($E47=2,OO47=0),1000000,INDEX('計算A'!BO$110:BO$114,$F47+1)+IF(AND($E47=1,OO47=0),1000,0)),1000000))</f>
        <v/>
      </c>
      <c r="XW47">
        <f>IF($B47=0,1000000,IF(INDEX('計算A'!$D$60:$II$104,$B47,65)*FI47=1,IF(AND($E47=2,OP47=0),1000000,INDEX('計算A'!BP$110:BP$114,$F47+1)+IF(AND($E47=1,OP47=0),1000,0)),1000000))</f>
        <v/>
      </c>
      <c r="XX47">
        <f>IF($B47=0,1000000,IF(INDEX('計算A'!$D$60:$II$104,$B47,66)*FJ47=1,IF(AND($E47=2,OQ47=0),1000000,INDEX('計算A'!BQ$110:BQ$114,$F47+1)+IF(AND($E47=1,OQ47=0),1000,0)),1000000))</f>
        <v/>
      </c>
      <c r="XY47">
        <f>IF($B47=0,1000000,IF(INDEX('計算A'!$D$60:$II$104,$B47,67)*FK47=1,IF(AND($E47=2,OR47=0),1000000,INDEX('計算A'!BR$110:BR$114,$F47+1)+IF(AND($E47=1,OR47=0),1000,0)),1000000))</f>
        <v/>
      </c>
      <c r="XZ47">
        <f>IF($B47=0,1000000,IF(INDEX('計算A'!$D$60:$II$104,$B47,68)*FL47=1,IF(AND($E47=2,OS47=0),1000000,INDEX('計算A'!BS$110:BS$114,$F47+1)+IF(AND($E47=1,OS47=0),1000,0)),1000000))</f>
        <v/>
      </c>
      <c r="YA47">
        <f>IF($B47=0,1000000,IF(INDEX('計算A'!$D$60:$II$104,$B47,69)*FM47=1,IF(AND($E47=2,OT47=0),1000000,INDEX('計算A'!BT$110:BT$114,$F47+1)+IF(AND($E47=1,OT47=0),1000,0)),1000000))</f>
        <v/>
      </c>
      <c r="YB47">
        <f>IF($B47=0,1000000,IF(INDEX('計算A'!$D$60:$II$104,$B47,70)*FN47=1,IF(AND($E47=2,OU47=0),1000000,INDEX('計算A'!BU$110:BU$114,$F47+1)+IF(AND($E47=1,OU47=0),1000,0)),1000000))</f>
        <v/>
      </c>
      <c r="YC47">
        <f>IF($B47=0,1000000,IF(INDEX('計算A'!$D$60:$II$104,$B47,71)*FO47=1,IF(AND($E47=2,OV47=0),1000000,INDEX('計算A'!BV$110:BV$114,$F47+1)+IF(AND($E47=1,OV47=0),1000,0)),1000000))</f>
        <v/>
      </c>
      <c r="YD47">
        <f>IF($B47=0,1000000,IF(INDEX('計算A'!$D$60:$II$104,$B47,72)*FP47=1,IF(AND($E47=2,OW47=0),1000000,INDEX('計算A'!BW$110:BW$114,$F47+1)+IF(AND($E47=1,OW47=0),1000,0)),1000000))</f>
        <v/>
      </c>
      <c r="YE47">
        <f>IF($B47=0,1000000,IF(INDEX('計算A'!$D$60:$II$104,$B47,73)*FQ47=1,IF(AND($E47=2,OX47=0),1000000,INDEX('計算A'!BX$110:BX$114,$F47+1)+IF(AND($E47=1,OX47=0),1000,0)),1000000))</f>
        <v/>
      </c>
      <c r="YF47">
        <f>IF($B47=0,1000000,IF(INDEX('計算A'!$D$60:$II$104,$B47,74)*FR47=1,IF(AND($E47=2,OY47=0),1000000,INDEX('計算A'!BY$110:BY$114,$F47+1)+IF(AND($E47=1,OY47=0),1000,0)),1000000))</f>
        <v/>
      </c>
      <c r="YG47">
        <f>IF($B47=0,1000000,IF(INDEX('計算A'!$D$60:$II$104,$B47,75)*FS47=1,IF(AND($E47=2,OZ47=0),1000000,INDEX('計算A'!BZ$110:BZ$114,$F47+1)+IF(AND($E47=1,OZ47=0),1000,0)),1000000))</f>
        <v/>
      </c>
      <c r="YH47">
        <f>IF($B47=0,1000000,IF(INDEX('計算A'!$D$60:$II$104,$B47,76)*FT47=1,IF(AND($E47=2,PA47=0),1000000,INDEX('計算A'!CA$110:CA$114,$F47+1)+IF(AND($E47=1,PA47=0),1000,0)),1000000))</f>
        <v/>
      </c>
      <c r="YI47">
        <f>IF($B47=0,1000000,IF(INDEX('計算A'!$D$60:$II$104,$B47,77)*FU47=1,IF(AND($E47=2,PB47=0),1000000,INDEX('計算A'!CB$110:CB$114,$F47+1)+IF(AND($E47=1,PB47=0),1000,0)),1000000))</f>
        <v/>
      </c>
      <c r="YJ47">
        <f>IF($B47=0,1000000,IF(INDEX('計算A'!$D$60:$II$104,$B47,78)*FV47=1,IF(AND($E47=2,PC47=0),1000000,INDEX('計算A'!CC$110:CC$114,$F47+1)+IF(AND($E47=1,PC47=0),1000,0)),1000000))</f>
        <v/>
      </c>
      <c r="YK47">
        <f>IF($B47=0,1000000,IF(INDEX('計算A'!$D$60:$II$104,$B47,79)*FW47=1,IF(AND($E47=2,PD47=0),1000000,INDEX('計算A'!CD$110:CD$114,$F47+1)+IF(AND($E47=1,PD47=0),1000,0)),1000000))</f>
        <v/>
      </c>
      <c r="YL47">
        <f>IF($B47=0,1000000,IF(INDEX('計算A'!$D$60:$II$104,$B47,80)*FX47=1,IF(AND($E47=2,PE47=0),1000000,INDEX('計算A'!CE$110:CE$114,$F47+1)+IF(AND($E47=1,PE47=0),1000,0)),1000000))</f>
        <v/>
      </c>
      <c r="YM47">
        <f>IF($B47=0,1000000,IF(INDEX('計算A'!$D$60:$II$104,$B47,81)*FY47=1,IF(AND($E47=2,PF47=0),1000000,INDEX('計算A'!CF$110:CF$114,$F47+1)+IF(AND($E47=1,PF47=0),1000,0)),1000000))</f>
        <v/>
      </c>
      <c r="YN47">
        <f>IF($B47=0,1000000,IF(INDEX('計算A'!$D$60:$II$104,$B47,82)*FZ47=1,IF(AND($E47=2,PG47=0),1000000,INDEX('計算A'!CG$110:CG$114,$F47+1)+IF(AND($E47=1,PG47=0),1000,0)),1000000))</f>
        <v/>
      </c>
      <c r="YO47">
        <f>IF($B47=0,1000000,IF(INDEX('計算A'!$D$60:$II$104,$B47,83)*GA47=1,IF(AND($E47=2,PH47=0),1000000,INDEX('計算A'!CH$110:CH$114,$F47+1)+IF(AND($E47=1,PH47=0),1000,0)),1000000))</f>
        <v/>
      </c>
      <c r="YP47">
        <f>IF($B47=0,1000000,IF(INDEX('計算A'!$D$60:$II$104,$B47,84)*GB47=1,IF(AND($E47=2,PI47=0),1000000,INDEX('計算A'!CI$110:CI$114,$F47+1)+IF(AND($E47=1,PI47=0),1000,0)),1000000))</f>
        <v/>
      </c>
      <c r="YQ47">
        <f>IF($B47=0,1000000,IF(INDEX('計算A'!$D$60:$II$104,$B47,85)*GC47=1,IF(AND($E47=2,PJ47=0),1000000,INDEX('計算A'!CJ$110:CJ$114,$F47+1)+IF(AND($E47=1,PJ47=0),1000,0)),1000000))</f>
        <v/>
      </c>
      <c r="YR47">
        <f>IF($B47=0,1000000,IF(INDEX('計算A'!$D$60:$II$104,$B47,86)*GD47=1,IF(AND($E47=2,PK47=0),1000000,INDEX('計算A'!CK$110:CK$114,$F47+1)+IF(AND($E47=1,PK47=0),1000,0)),1000000))</f>
        <v/>
      </c>
      <c r="YS47">
        <f>IF($B47=0,1000000,IF(INDEX('計算A'!$D$60:$II$104,$B47,87)*GE47=1,IF(AND($E47=2,PL47=0),1000000,INDEX('計算A'!CL$110:CL$114,$F47+1)+IF(AND($E47=1,PL47=0),1000,0)),1000000))</f>
        <v/>
      </c>
      <c r="YT47">
        <f>IF($B47=0,1000000,IF(INDEX('計算A'!$D$60:$II$104,$B47,88)*GF47=1,IF(AND($E47=2,PM47=0),1000000,INDEX('計算A'!CM$110:CM$114,$F47+1)+IF(AND($E47=1,PM47=0),1000,0)),1000000))</f>
        <v/>
      </c>
      <c r="YU47">
        <f>IF($B47=0,1000000,IF(INDEX('計算A'!$D$60:$II$104,$B47,89)*GG47=1,IF(AND($E47=2,PN47=0),1000000,INDEX('計算A'!CN$110:CN$114,$F47+1)+IF(AND($E47=1,PN47=0),1000,0)),1000000))</f>
        <v/>
      </c>
      <c r="YV47">
        <f>IF($B47=0,1000000,IF(INDEX('計算A'!$D$60:$II$104,$B47,90)*GH47=1,IF(AND($E47=2,PO47=0),1000000,INDEX('計算A'!CO$110:CO$114,$F47+1)+IF(AND($E47=1,PO47=0),1000,0)),1000000))</f>
        <v/>
      </c>
      <c r="YW47">
        <f>IF($B47=0,1000000,IF(INDEX('計算A'!$D$60:$II$104,$B47,91)*GI47=1,IF(AND($E47=2,PP47=0),1000000,INDEX('計算A'!CP$110:CP$114,$F47+1)+IF(AND($E47=1,PP47=0),1000,0)),1000000))</f>
        <v/>
      </c>
      <c r="YX47">
        <f>IF($B47=0,1000000,IF(INDEX('計算A'!$D$60:$II$104,$B47,92)*GJ47=1,IF(AND($E47=2,PQ47=0),1000000,INDEX('計算A'!CQ$110:CQ$114,$F47+1)+IF(AND($E47=1,PQ47=0),1000,0)),1000000))</f>
        <v/>
      </c>
      <c r="YY47">
        <f>IF($B47=0,1000000,IF(INDEX('計算A'!$D$60:$II$104,$B47,93)*GK47=1,IF(AND($E47=2,PR47=0),1000000,INDEX('計算A'!CR$110:CR$114,$F47+1)+IF(AND($E47=1,PR47=0),1000,0)),1000000))</f>
        <v/>
      </c>
      <c r="YZ47">
        <f>IF($B47=0,1000000,IF(INDEX('計算A'!$D$60:$II$104,$B47,94)*GL47=1,IF(AND($E47=2,PS47=0),1000000,INDEX('計算A'!CS$110:CS$114,$F47+1)+IF(AND($E47=1,PS47=0),1000,0)),1000000))</f>
        <v/>
      </c>
      <c r="ZA47">
        <f>IF($B47=0,1000000,IF(INDEX('計算A'!$D$60:$II$104,$B47,95)*GM47=1,IF(AND($E47=2,PT47=0),1000000,INDEX('計算A'!CT$110:CT$114,$F47+1)+IF(AND($E47=1,PT47=0),1000,0)),1000000))</f>
        <v/>
      </c>
      <c r="ZB47">
        <f>IF($B47=0,1000000,IF(INDEX('計算A'!$D$60:$II$104,$B47,96)*GN47=1,IF(AND($E47=2,PU47=0),1000000,INDEX('計算A'!CU$110:CU$114,$F47+1)+IF(AND($E47=1,PU47=0),1000,0)),1000000))</f>
        <v/>
      </c>
      <c r="ZC47">
        <f>IF($B47=0,1000000,IF(INDEX('計算A'!$D$60:$II$104,$B47,97)*GO47=1,IF(AND($E47=2,PV47=0),1000000,INDEX('計算A'!CV$110:CV$114,$F47+1)+IF(AND($E47=1,PV47=0),1000,0)),1000000))</f>
        <v/>
      </c>
      <c r="ZD47">
        <f>IF($B47=0,1000000,IF(INDEX('計算A'!$D$60:$II$104,$B47,98)*GP47=1,IF(AND($E47=2,PW47=0),1000000,INDEX('計算A'!CW$110:CW$114,$F47+1)+IF(AND($E47=1,PW47=0),1000,0)),1000000))</f>
        <v/>
      </c>
      <c r="ZE47">
        <f>IF($B47=0,1000000,IF(INDEX('計算A'!$D$60:$II$104,$B47,99)*GQ47=1,IF(AND($E47=2,PX47=0),1000000,INDEX('計算A'!CX$110:CX$114,$F47+1)+IF(AND($E47=1,PX47=0),1000,0)),1000000))</f>
        <v/>
      </c>
      <c r="ZF47">
        <f>IF($B47=0,1000000,IF(INDEX('計算A'!$D$60:$II$104,$B47,100)*GR47=1,IF(AND($E47=2,PY47=0),1000000,INDEX('計算A'!CY$110:CY$114,$F47+1)+IF(AND($E47=1,PY47=0),1000,0)),1000000))</f>
        <v/>
      </c>
      <c r="ZG47">
        <f>IF($B47=0,1000000,IF(INDEX('計算A'!$D$60:$II$104,$B47,101)*GS47=1,IF(AND($E47=2,PZ47=0),1000000,INDEX('計算A'!CZ$110:CZ$114,$F47+1)+IF(AND($E47=1,PZ47=0),1000,0)),1000000))</f>
        <v/>
      </c>
      <c r="ZH47">
        <f>IF($B47=0,1000000,IF(INDEX('計算A'!$D$60:$II$104,$B47,102)*GT47=1,IF(AND($E47=2,QA47=0),1000000,INDEX('計算A'!DA$110:DA$114,$F47+1)+IF(AND($E47=1,QA47=0),1000,0)),1000000))</f>
        <v/>
      </c>
      <c r="ZI47">
        <f>IF($B47=0,1000000,IF(INDEX('計算A'!$D$60:$II$104,$B47,103)*GU47=1,IF(AND($E47=2,QB47=0),1000000,INDEX('計算A'!DB$110:DB$114,$F47+1)+IF(AND($E47=1,QB47=0),1000,0)),1000000))</f>
        <v/>
      </c>
      <c r="ZJ47">
        <f>IF($B47=0,1000000,IF(INDEX('計算A'!$D$60:$II$104,$B47,104)*GV47=1,IF(AND($E47=2,QC47=0),1000000,INDEX('計算A'!DC$110:DC$114,$F47+1)+IF(AND($E47=1,QC47=0),1000,0)),1000000))</f>
        <v/>
      </c>
      <c r="ZK47">
        <f>IF($B47=0,1000000,IF(INDEX('計算A'!$D$60:$II$104,$B47,105)*GW47=1,IF(AND($E47=2,QD47=0),1000000,INDEX('計算A'!DD$110:DD$114,$F47+1)+IF(AND($E47=1,QD47=0),1000,0)),1000000))</f>
        <v/>
      </c>
      <c r="ZL47">
        <f>IF($B47=0,1000000,IF(INDEX('計算A'!$D$60:$II$104,$B47,106)*GX47=1,IF(AND($E47=2,QE47=0),1000000,INDEX('計算A'!DE$110:DE$114,$F47+1)+IF(AND($E47=1,QE47=0),1000,0)),1000000))</f>
        <v/>
      </c>
      <c r="ZM47">
        <f>IF($B47=0,1000000,IF(INDEX('計算A'!$D$60:$II$104,$B47,107)*GY47=1,IF(AND($E47=2,QF47=0),1000000,INDEX('計算A'!DF$110:DF$114,$F47+1)+IF(AND($E47=1,QF47=0),1000,0)),1000000))</f>
        <v/>
      </c>
      <c r="ZN47">
        <f>IF($B47=0,1000000,IF(INDEX('計算A'!$D$60:$II$104,$B47,108)*GZ47=1,IF(AND($E47=2,QG47=0),1000000,INDEX('計算A'!DG$110:DG$114,$F47+1)+IF(AND($E47=1,QG47=0),1000,0)),1000000))</f>
        <v/>
      </c>
      <c r="ZO47">
        <f>IF($B47=0,1000000,IF(INDEX('計算A'!$D$60:$II$104,$B47,109)*HA47=1,IF(AND($E47=2,QH47=0),1000000,INDEX('計算A'!DH$110:DH$114,$F47+1)+IF(AND($E47=1,QH47=0),1000,0)),1000000))</f>
        <v/>
      </c>
      <c r="ZP47">
        <f>IF($B47=0,1000000,IF(INDEX('計算A'!$D$60:$II$104,$B47,110)*HB47=1,IF(AND($E47=2,QI47=0),1000000,INDEX('計算A'!DI$110:DI$114,$F47+1)+IF(AND($E47=1,QI47=0),1000,0)),1000000))</f>
        <v/>
      </c>
      <c r="ZQ47">
        <f>IF($B47=0,1000000,IF(INDEX('計算A'!$D$60:$II$104,$B47,111)*HC47=1,IF(AND($E47=2,QJ47=0),1000000,INDEX('計算A'!DJ$110:DJ$114,$F47+1)+IF(AND($E47=1,QJ47=0),1000,0)),1000000))</f>
        <v/>
      </c>
      <c r="ZR47">
        <f>IF($B47=0,1000000,IF(INDEX('計算A'!$D$60:$II$104,$B47,112)*HD47=1,IF(AND($E47=2,QK47=0),1000000,INDEX('計算A'!DK$110:DK$114,$F47+1)+IF(AND($E47=1,QK47=0),1000,0)),1000000))</f>
        <v/>
      </c>
      <c r="ZS47">
        <f>IF($B47=0,1000000,IF(INDEX('計算A'!$D$60:$II$104,$B47,113)*HE47=1,IF(AND($E47=2,QL47=0),1000000,INDEX('計算A'!DL$110:DL$114,$F47+1)+IF(AND($E47=1,QL47=0),1000,0)),1000000))</f>
        <v/>
      </c>
      <c r="ZT47">
        <f>IF($B47=0,1000000,IF(INDEX('計算A'!$D$60:$II$104,$B47,114)*HF47=1,IF(AND($E47=2,QM47=0),1000000,INDEX('計算A'!DM$110:DM$114,$F47+1)+IF(AND($E47=1,QM47=0),1000,0)),1000000))</f>
        <v/>
      </c>
      <c r="ZU47">
        <f>IF($B47=0,1000000,IF(INDEX('計算A'!$D$60:$II$104,$B47,115)*HG47=1,IF(AND($E47=2,QN47=0),1000000,INDEX('計算A'!DN$110:DN$114,$F47+1)+IF(AND($E47=1,QN47=0),1000,0)),1000000))</f>
        <v/>
      </c>
      <c r="ZV47">
        <f>IF($B47=0,1000000,IF(INDEX('計算A'!$D$60:$II$104,$B47,116)*HH47=1,IF(AND($E47=2,QO47=0),1000000,INDEX('計算A'!DO$110:DO$114,$F47+1)+IF(AND($E47=1,QO47=0),1000,0)),1000000))</f>
        <v/>
      </c>
      <c r="ZW47">
        <f>IF($B47=0,1000000,IF(INDEX('計算A'!$D$60:$II$104,$B47,117)*HI47=1,IF(AND($E47=2,QP47=0),1000000,INDEX('計算A'!DP$110:DP$114,$F47+1)+IF(AND($E47=1,QP47=0),1000,0)),1000000))</f>
        <v/>
      </c>
      <c r="ZX47">
        <f>IF($B47=0,1000000,IF(INDEX('計算A'!$D$60:$II$104,$B47,118)*HJ47=1,IF(AND($E47=2,QQ47=0),1000000,INDEX('計算A'!DQ$110:DQ$114,$F47+1)+IF(AND($E47=1,QQ47=0),1000,0)),1000000))</f>
        <v/>
      </c>
      <c r="ZY47">
        <f>IF($B47=0,1000000,IF(INDEX('計算A'!$D$60:$II$104,$B47,119)*HK47=1,IF(AND($E47=2,QR47=0),1000000,INDEX('計算A'!DR$110:DR$114,$F47+1)+IF(AND($E47=1,QR47=0),1000,0)),1000000))</f>
        <v/>
      </c>
      <c r="ZZ47">
        <f>IF($B47=0,1000000,IF(INDEX('計算A'!$D$60:$II$104,$B47,120)*HL47=1,IF(AND($E47=2,QS47=0),1000000,INDEX('計算A'!DS$110:DS$114,$F47+1)+IF(AND($E47=1,QS47=0),1000,0)),1000000))</f>
        <v/>
      </c>
      <c r="AAA47">
        <f>IF($B47=0,1000000,IF(INDEX('計算A'!$D$60:$II$104,$B47,121)*HM47=1,IF(AND($E47=2,QT47=0),1000000,INDEX('計算A'!DT$110:DT$114,$F47+1)+IF(AND($E47=1,QT47=0),1000,0)),1000000))</f>
        <v/>
      </c>
      <c r="AAB47">
        <f>IF($B47=0,1000000,IF(INDEX('計算A'!$D$60:$II$104,$B47,122)*HN47=1,IF(AND($E47=2,QU47=0),1000000,INDEX('計算A'!DU$110:DU$114,$F47+1)+IF(AND($E47=1,QU47=0),1000,0)),1000000))</f>
        <v/>
      </c>
      <c r="AAC47">
        <f>IF($B47=0,1000000,IF(INDEX('計算A'!$D$60:$II$104,$B47,123)*HO47=1,IF(AND($E47=2,QV47=0),1000000,INDEX('計算A'!DV$110:DV$114,$F47+1)+IF(AND($E47=1,QV47=0),1000,0)),1000000))</f>
        <v/>
      </c>
      <c r="AAD47">
        <f>IF($B47=0,1000000,IF(INDEX('計算A'!$D$60:$II$104,$B47,124)*HP47=1,IF(AND($E47=2,QW47=0),1000000,INDEX('計算A'!DW$110:DW$114,$F47+1)+IF(AND($E47=1,QW47=0),1000,0)),1000000))</f>
        <v/>
      </c>
      <c r="AAE47">
        <f>IF($B47=0,1000000,IF(INDEX('計算A'!$D$60:$II$104,$B47,125)*HQ47=1,IF(AND($E47=2,QX47=0),1000000,INDEX('計算A'!DX$110:DX$114,$F47+1)+IF(AND($E47=1,QX47=0),1000,0)),1000000))</f>
        <v/>
      </c>
      <c r="AAF47">
        <f>IF($B47=0,1000000,IF(INDEX('計算A'!$D$60:$II$104,$B47,126)*HR47=1,IF(AND($E47=2,QY47=0),1000000,INDEX('計算A'!DY$110:DY$114,$F47+1)+IF(AND($E47=1,QY47=0),1000,0)),1000000))</f>
        <v/>
      </c>
      <c r="AAG47">
        <f>IF($B47=0,1000000,IF(INDEX('計算A'!$D$60:$II$104,$B47,127)*HS47=1,IF(AND($E47=2,QZ47=0),1000000,INDEX('計算A'!DZ$110:DZ$114,$F47+1)+IF(AND($E47=1,QZ47=0),1000,0)),1000000))</f>
        <v/>
      </c>
      <c r="AAH47">
        <f>IF($B47=0,1000000,IF(INDEX('計算A'!$D$60:$II$104,$B47,128)*HT47=1,IF(AND($E47=2,RA47=0),1000000,INDEX('計算A'!EA$110:EA$114,$F47+1)+IF(AND($E47=1,RA47=0),1000,0)),1000000))</f>
        <v/>
      </c>
      <c r="AAI47">
        <f>IF($B47=0,1000000,IF(INDEX('計算A'!$D$60:$II$104,$B47,129)*HU47=1,IF(AND($E47=2,RB47=0),1000000,INDEX('計算A'!EB$110:EB$114,$F47+1)+IF(AND($E47=1,RB47=0),1000,0)),1000000))</f>
        <v/>
      </c>
      <c r="AAJ47">
        <f>IF($B47=0,1000000,IF(INDEX('計算A'!$D$60:$II$104,$B47,130)*HV47=1,IF(AND($E47=2,RC47=0),1000000,INDEX('計算A'!EC$110:EC$114,$F47+1)+IF(AND($E47=1,RC47=0),1000,0)),1000000))</f>
        <v/>
      </c>
      <c r="AAK47">
        <f>IF($B47=0,1000000,IF(INDEX('計算A'!$D$60:$II$104,$B47,131)*HW47=1,IF(AND($E47=2,RD47=0),1000000,INDEX('計算A'!ED$110:ED$114,$F47+1)+IF(AND($E47=1,RD47=0),1000,0)),1000000))</f>
        <v/>
      </c>
      <c r="AAL47">
        <f>IF($B47=0,1000000,IF(INDEX('計算A'!$D$60:$II$104,$B47,132)*HX47=1,IF(AND($E47=2,RE47=0),1000000,INDEX('計算A'!EE$110:EE$114,$F47+1)+IF(AND($E47=1,RE47=0),1000,0)),1000000))</f>
        <v/>
      </c>
      <c r="AAM47">
        <f>IF($B47=0,1000000,IF(INDEX('計算A'!$D$60:$II$104,$B47,133)*HY47=1,IF(AND($E47=2,RF47=0),1000000,INDEX('計算A'!EF$110:EF$114,$F47+1)+IF(AND($E47=1,RF47=0),1000,0)),1000000))</f>
        <v/>
      </c>
      <c r="AAN47">
        <f>IF($B47=0,1000000,IF(INDEX('計算A'!$D$60:$II$104,$B47,134)*HZ47=1,IF(AND($E47=2,RG47=0),1000000,INDEX('計算A'!EG$110:EG$114,$F47+1)+IF(AND($E47=1,RG47=0),1000,0)),1000000))</f>
        <v/>
      </c>
      <c r="AAO47">
        <f>IF($B47=0,1000000,IF(INDEX('計算A'!$D$60:$II$104,$B47,135)*IA47=1,IF(AND($E47=2,RH47=0),1000000,INDEX('計算A'!EH$110:EH$114,$F47+1)+IF(AND($E47=1,RH47=0),1000,0)),1000000))</f>
        <v/>
      </c>
      <c r="AAP47">
        <f>IF($B47=0,1000000,IF(INDEX('計算A'!$D$60:$II$104,$B47,136)*IB47=1,IF(AND($E47=2,RI47=0),1000000,INDEX('計算A'!EI$110:EI$114,$F47+1)+IF(AND($E47=1,RI47=0),1000,0)),1000000))</f>
        <v/>
      </c>
      <c r="AAQ47">
        <f>IF($B47=0,1000000,IF(INDEX('計算A'!$D$60:$II$104,$B47,137)*IC47=1,IF(AND($E47=2,RJ47=0),1000000,INDEX('計算A'!EJ$110:EJ$114,$F47+1)+IF(AND($E47=1,RJ47=0),1000,0)),1000000))</f>
        <v/>
      </c>
      <c r="AAR47">
        <f>IF($B47=0,1000000,IF(INDEX('計算A'!$D$60:$II$104,$B47,138)*ID47=1,IF(AND($E47=2,RK47=0),1000000,INDEX('計算A'!EK$110:EK$114,$F47+1)+IF(AND($E47=1,RK47=0),1000,0)),1000000))</f>
        <v/>
      </c>
      <c r="AAS47">
        <f>IF($B47=0,1000000,IF(INDEX('計算A'!$D$60:$II$104,$B47,139)*IE47=1,IF(AND($E47=2,RL47=0),1000000,INDEX('計算A'!EL$110:EL$114,$F47+1)+IF(AND($E47=1,RL47=0),1000,0)),1000000))</f>
        <v/>
      </c>
      <c r="AAT47">
        <f>IF($B47=0,1000000,IF(INDEX('計算A'!$D$60:$II$104,$B47,140)*IF47=1,IF(AND($E47=2,RM47=0),1000000,INDEX('計算A'!EM$110:EM$114,$F47+1)+IF(AND($E47=1,RM47=0),1000,0)),1000000))</f>
        <v/>
      </c>
      <c r="AAU47">
        <f>IF($B47=0,1000000,IF(INDEX('計算A'!$D$60:$II$104,$B47,141)*IG47=1,IF(AND($E47=2,RN47=0),1000000,INDEX('計算A'!EN$110:EN$114,$F47+1)+IF(AND($E47=1,RN47=0),1000,0)),1000000))</f>
        <v/>
      </c>
      <c r="AAV47">
        <f>IF($B47=0,1000000,IF(INDEX('計算A'!$D$60:$II$104,$B47,142)*IH47=1,IF(AND($E47=2,RO47=0),1000000,INDEX('計算A'!EO$110:EO$114,$F47+1)+IF(AND($E47=1,RO47=0),1000,0)),1000000))</f>
        <v/>
      </c>
      <c r="AAW47">
        <f>IF($B47=0,1000000,IF(INDEX('計算A'!$D$60:$II$104,$B47,143)*II47=1,IF(AND($E47=2,RP47=0),1000000,INDEX('計算A'!EP$110:EP$114,$F47+1)+IF(AND($E47=1,RP47=0),1000,0)),1000000))</f>
        <v/>
      </c>
      <c r="AAX47">
        <f>IF($B47=0,1000000,IF(INDEX('計算A'!$D$60:$II$104,$B47,144)*IJ47=1,IF(AND($E47=2,RQ47=0),1000000,INDEX('計算A'!EQ$110:EQ$114,$F47+1)+IF(AND($E47=1,RQ47=0),1000,0)),1000000))</f>
        <v/>
      </c>
      <c r="AAY47">
        <f>IF($B47=0,1000000,IF(INDEX('計算A'!$D$60:$II$104,$B47,145)*IK47=1,IF(AND($E47=2,RR47=0),1000000,INDEX('計算A'!ER$110:ER$114,$F47+1)+IF(AND($E47=1,RR47=0),1000,0)),1000000))</f>
        <v/>
      </c>
      <c r="AAZ47">
        <f>IF($B47=0,1000000,IF(INDEX('計算A'!$D$60:$II$104,$B47,146)*IL47=1,IF(AND($E47=2,RS47=0),1000000,INDEX('計算A'!ES$110:ES$114,$F47+1)+IF(AND($E47=1,RS47=0),1000,0)),1000000))</f>
        <v/>
      </c>
      <c r="ABA47">
        <f>IF($B47=0,1000000,IF(INDEX('計算A'!$D$60:$II$104,$B47,147)*IM47=1,IF(AND($E47=2,RT47=0),1000000,INDEX('計算A'!ET$110:ET$114,$F47+1)+IF(AND($E47=1,RT47=0),1000,0)),1000000))</f>
        <v/>
      </c>
      <c r="ABB47">
        <f>IF($B47=0,1000000,IF(INDEX('計算A'!$D$60:$II$104,$B47,148)*IN47=1,IF(AND($E47=2,RU47=0),1000000,INDEX('計算A'!EU$110:EU$114,$F47+1)+IF(AND($E47=1,RU47=0),1000,0)),1000000))</f>
        <v/>
      </c>
      <c r="ABC47">
        <f>IF($B47=0,1000000,IF(INDEX('計算A'!$D$60:$II$104,$B47,149)*IO47=1,IF(AND($E47=2,RV47=0),1000000,INDEX('計算A'!EV$110:EV$114,$F47+1)+IF(AND($E47=1,RV47=0),1000,0)),1000000))</f>
        <v/>
      </c>
      <c r="ABD47">
        <f>IF($B47=0,1000000,IF(INDEX('計算A'!$D$60:$II$104,$B47,150)*IP47=1,IF(AND($E47=2,RW47=0),1000000,INDEX('計算A'!EW$110:EW$114,$F47+1)+IF(AND($E47=1,RW47=0),1000,0)),1000000))</f>
        <v/>
      </c>
      <c r="ABE47">
        <f>IF($B47=0,1000000,IF(INDEX('計算A'!$D$60:$II$104,$B47,151)*IQ47=1,IF(AND($E47=2,RX47=0),1000000,INDEX('計算A'!EX$110:EX$114,$F47+1)+IF(AND($E47=1,RX47=0),1000,0)),1000000))</f>
        <v/>
      </c>
      <c r="ABF47">
        <f>IF($B47=0,1000000,IF(INDEX('計算A'!$D$60:$II$104,$B47,152)*IR47=1,IF(AND($E47=2,RY47=0),1000000,INDEX('計算A'!EY$110:EY$114,$F47+1)+IF(AND($E47=1,RY47=0),1000,0)),1000000))</f>
        <v/>
      </c>
      <c r="ABG47">
        <f>IF($B47=0,1000000,IF(INDEX('計算A'!$D$60:$II$104,$B47,153)*IS47=1,IF(AND($E47=2,RZ47=0),1000000,INDEX('計算A'!EZ$110:EZ$114,$F47+1)+IF(AND($E47=1,RZ47=0),1000,0)),1000000))</f>
        <v/>
      </c>
      <c r="ABH47">
        <f>IF($B47=0,1000000,IF(INDEX('計算A'!$D$60:$II$104,$B47,154)*IT47=1,IF(AND($E47=2,SA47=0),1000000,INDEX('計算A'!FA$110:FA$114,$F47+1)+IF(AND($E47=1,SA47=0),1000,0)),1000000))</f>
        <v/>
      </c>
      <c r="ABI47">
        <f>IF($B47=0,1000000,IF(INDEX('計算A'!$D$60:$II$104,$B47,155)*IU47=1,IF(AND($E47=2,SB47=0),1000000,INDEX('計算A'!FB$110:FB$114,$F47+1)+IF(AND($E47=1,SB47=0),1000,0)),1000000))</f>
        <v/>
      </c>
      <c r="ABJ47">
        <f>IF($B47=0,1000000,IF(INDEX('計算A'!$D$60:$II$104,$B47,156)*IV47=1,IF(AND($E47=2,SC47=0),1000000,INDEX('計算A'!FC$110:FC$114,$F47+1)+IF(AND($E47=1,SC47=0),1000,0)),1000000))</f>
        <v/>
      </c>
      <c r="ABK47">
        <f>IF($B47=0,1000000,IF(INDEX('計算A'!$D$60:$II$104,$B47,157)*IW47=1,IF(AND($E47=2,SD47=0),1000000,INDEX('計算A'!FD$110:FD$114,$F47+1)+IF(AND($E47=1,SD47=0),1000,0)),1000000))</f>
        <v/>
      </c>
      <c r="ABL47">
        <f>IF($B47=0,1000000,IF(INDEX('計算A'!$D$60:$II$104,$B47,158)*IX47=1,IF(AND($E47=2,SE47=0),1000000,INDEX('計算A'!FE$110:FE$114,$F47+1)+IF(AND($E47=1,SE47=0),1000,0)),1000000))</f>
        <v/>
      </c>
      <c r="ABM47">
        <f>IF($B47=0,1000000,IF(INDEX('計算A'!$D$60:$II$104,$B47,159)*IY47=1,IF(AND($E47=2,SF47=0),1000000,INDEX('計算A'!FF$110:FF$114,$F47+1)+IF(AND($E47=1,SF47=0),1000,0)),1000000))</f>
        <v/>
      </c>
      <c r="ABN47">
        <f>IF($B47=0,1000000,IF(INDEX('計算A'!$D$60:$II$104,$B47,160)*IZ47=1,IF(AND($E47=2,SG47=0),1000000,INDEX('計算A'!FG$110:FG$114,$F47+1)+IF(AND($E47=1,SG47=0),1000,0)),1000000))</f>
        <v/>
      </c>
      <c r="ABO47">
        <f>IF($B47=0,1000000,IF(INDEX('計算A'!$D$60:$II$104,$B47,161)*JA47=1,IF(AND($E47=2,SH47=0),1000000,INDEX('計算A'!FH$110:FH$114,$F47+1)+IF(AND($E47=1,SH47=0),1000,0)),1000000))</f>
        <v/>
      </c>
      <c r="ABP47">
        <f>IF($B47=0,1000000,IF(INDEX('計算A'!$D$60:$II$104,$B47,162)*JB47=1,IF(AND($E47=2,SI47=0),1000000,INDEX('計算A'!FI$110:FI$114,$F47+1)+IF(AND($E47=1,SI47=0),1000,0)),1000000))</f>
        <v/>
      </c>
      <c r="ABQ47">
        <f>IF($B47=0,1000000,IF(INDEX('計算A'!$D$60:$II$104,$B47,163)*JC47=1,IF(AND($E47=2,SJ47=0),1000000,INDEX('計算A'!FJ$110:FJ$114,$F47+1)+IF(AND($E47=1,SJ47=0),1000,0)),1000000))</f>
        <v/>
      </c>
      <c r="ABR47">
        <f>IF($B47=0,1000000,IF(INDEX('計算A'!$D$60:$II$104,$B47,164)*JD47=1,IF(AND($E47=2,SK47=0),1000000,INDEX('計算A'!FK$110:FK$114,$F47+1)+IF(AND($E47=1,SK47=0),1000,0)),1000000))</f>
        <v/>
      </c>
      <c r="ABS47">
        <f>IF($B47=0,1000000,IF(INDEX('計算A'!$D$60:$II$104,$B47,165)*JE47=1,IF(AND($E47=2,SL47=0),1000000,INDEX('計算A'!FL$110:FL$114,$F47+1)+IF(AND($E47=1,SL47=0),1000,0)),1000000))</f>
        <v/>
      </c>
      <c r="ABT47">
        <f>IF($B47=0,1000000,IF(INDEX('計算A'!$D$60:$II$104,$B47,166)*JF47=1,IF(AND($E47=2,SM47=0),1000000,INDEX('計算A'!FM$110:FM$114,$F47+1)+IF(AND($E47=1,SM47=0),1000,0)),1000000))</f>
        <v/>
      </c>
      <c r="ABU47">
        <f>IF($B47=0,1000000,IF(INDEX('計算A'!$D$60:$II$104,$B47,167)*JG47=1,IF(AND($E47=2,SN47=0),1000000,INDEX('計算A'!FN$110:FN$114,$F47+1)+IF(AND($E47=1,SN47=0),1000,0)),1000000))</f>
        <v/>
      </c>
      <c r="ABV47">
        <f>IF($B47=0,1000000,IF(INDEX('計算A'!$D$60:$II$104,$B47,168)*JH47=1,IF(AND($E47=2,SO47=0),1000000,INDEX('計算A'!FO$110:FO$114,$F47+1)+IF(AND($E47=1,SO47=0),1000,0)),1000000))</f>
        <v/>
      </c>
      <c r="ABW47">
        <f>IF($B47=0,1000000,IF(INDEX('計算A'!$D$60:$II$104,$B47,169)*JI47=1,IF(AND($E47=2,SP47=0),1000000,INDEX('計算A'!FP$110:FP$114,$F47+1)+IF(AND($E47=1,SP47=0),1000,0)),1000000))</f>
        <v/>
      </c>
      <c r="ABX47">
        <f>IF($B47=0,1000000,IF(INDEX('計算A'!$D$60:$II$104,$B47,170)*JJ47=1,IF(AND($E47=2,SQ47=0),1000000,INDEX('計算A'!FQ$110:FQ$114,$F47+1)+IF(AND($E47=1,SQ47=0),1000,0)),1000000))</f>
        <v/>
      </c>
      <c r="ABY47">
        <f>IF($B47=0,1000000,IF(INDEX('計算A'!$D$60:$II$104,$B47,171)*JK47=1,IF(AND($E47=2,SR47=0),1000000,INDEX('計算A'!FR$110:FR$114,$F47+1)+IF(AND($E47=1,SR47=0),1000,0)),1000000))</f>
        <v/>
      </c>
      <c r="ABZ47">
        <f>IF($B47=0,1000000,IF(INDEX('計算A'!$D$60:$II$104,$B47,172)*JL47=1,IF(AND($E47=2,SS47=0),1000000,INDEX('計算A'!FS$110:FS$114,$F47+1)+IF(AND($E47=1,SS47=0),1000,0)),1000000))</f>
        <v/>
      </c>
      <c r="ACA47">
        <f>IF($B47=0,1000000,IF(INDEX('計算A'!$D$60:$II$104,$B47,173)*JM47=1,IF(AND($E47=2,ST47=0),1000000,INDEX('計算A'!FT$110:FT$114,$F47+1)+IF(AND($E47=1,ST47=0),1000,0)),1000000))</f>
        <v/>
      </c>
      <c r="ACB47">
        <f>IF($B47=0,1000000,IF(INDEX('計算A'!$D$60:$II$104,$B47,174)*JN47=1,IF(AND($E47=2,SU47=0),1000000,INDEX('計算A'!FU$110:FU$114,$F47+1)+IF(AND($E47=1,SU47=0),1000,0)),1000000))</f>
        <v/>
      </c>
      <c r="ACC47">
        <f>IF($B47=0,1000000,IF(INDEX('計算A'!$D$60:$II$104,$B47,175)*JO47=1,IF(AND($E47=2,SV47=0),1000000,INDEX('計算A'!FV$110:FV$114,$F47+1)+IF(AND($E47=1,SV47=0),1000,0)),1000000))</f>
        <v/>
      </c>
      <c r="ACD47">
        <f>IF($B47=0,1000000,IF(INDEX('計算A'!$D$60:$II$104,$B47,176)*JP47=1,IF(AND($E47=2,SW47=0),1000000,INDEX('計算A'!FW$110:FW$114,$F47+1)+IF(AND($E47=1,SW47=0),1000,0)),1000000))</f>
        <v/>
      </c>
      <c r="ACE47">
        <f>IF($B47=0,1000000,IF(INDEX('計算A'!$D$60:$II$104,$B47,177)*JQ47=1,IF(AND($E47=2,SX47=0),1000000,INDEX('計算A'!FX$110:FX$114,$F47+1)+IF(AND($E47=1,SX47=0),1000,0)),1000000))</f>
        <v/>
      </c>
      <c r="ACF47">
        <f>IF($B47=0,1000000,IF(INDEX('計算A'!$D$60:$II$104,$B47,178)*JR47=1,IF(AND($E47=2,SY47=0),1000000,INDEX('計算A'!FY$110:FY$114,$F47+1)+IF(AND($E47=1,SY47=0),1000,0)),1000000))</f>
        <v/>
      </c>
      <c r="ACG47">
        <f>IF($B47=0,1000000,IF(INDEX('計算A'!$D$60:$II$104,$B47,179)*JS47=1,IF(AND($E47=2,SZ47=0),1000000,INDEX('計算A'!FZ$110:FZ$114,$F47+1)+IF(AND($E47=1,SZ47=0),1000,0)),1000000))</f>
        <v/>
      </c>
      <c r="ACH47">
        <f>IF($B47=0,1000000,IF(INDEX('計算A'!$D$60:$II$104,$B47,180)*JT47=1,IF(AND($E47=2,TA47=0),1000000,INDEX('計算A'!GA$110:GA$114,$F47+1)+IF(AND($E47=1,TA47=0),1000,0)),1000000))</f>
        <v/>
      </c>
      <c r="ACI47">
        <f>IF($B47=0,1000000,IF(INDEX('計算A'!$D$60:$II$104,$B47,181)*JU47=1,IF(AND($E47=2,TB47=0),1000000,INDEX('計算A'!GB$110:GB$114,$F47+1)+IF(AND($E47=1,TB47=0),1000,0)),1000000))</f>
        <v/>
      </c>
      <c r="ACJ47">
        <f>IF($B47=0,1000000,IF(INDEX('計算A'!$D$60:$II$104,$B47,182)*JV47=1,IF(AND($E47=2,TC47=0),1000000,INDEX('計算A'!GC$110:GC$114,$F47+1)+IF(AND($E47=1,TC47=0),1000,0)),1000000))</f>
        <v/>
      </c>
      <c r="ACK47">
        <f>IF($B47=0,1000000,IF(INDEX('計算A'!$D$60:$II$104,$B47,183)*JW47=1,IF(AND($E47=2,TD47=0),1000000,INDEX('計算A'!GD$110:GD$114,$F47+1)+IF(AND($E47=1,TD47=0),1000,0)),1000000))</f>
        <v/>
      </c>
      <c r="ACL47">
        <f>IF($B47=0,1000000,IF(INDEX('計算A'!$D$60:$II$104,$B47,184)*JX47=1,IF(AND($E47=2,TE47=0),1000000,INDEX('計算A'!GE$110:GE$114,$F47+1)+IF(AND($E47=1,TE47=0),1000,0)),1000000))</f>
        <v/>
      </c>
      <c r="ACM47">
        <f>IF($B47=0,1000000,IF(INDEX('計算A'!$D$60:$II$104,$B47,185)*JY47=1,IF(AND($E47=2,TF47=0),1000000,INDEX('計算A'!GF$110:GF$114,$F47+1)+IF(AND($E47=1,TF47=0),1000,0)),1000000))</f>
        <v/>
      </c>
      <c r="ACN47">
        <f>IF($B47=0,1000000,IF(INDEX('計算A'!$D$60:$II$104,$B47,186)*JZ47=1,IF(AND($E47=2,TG47=0),1000000,INDEX('計算A'!GG$110:GG$114,$F47+1)+IF(AND($E47=1,TG47=0),1000,0)),1000000))</f>
        <v/>
      </c>
      <c r="ACO47">
        <f>IF($B47=0,1000000,IF(INDEX('計算A'!$D$60:$II$104,$B47,187)*KA47=1,IF(AND($E47=2,TH47=0),1000000,INDEX('計算A'!GH$110:GH$114,$F47+1)+IF(AND($E47=1,TH47=0),1000,0)),1000000))</f>
        <v/>
      </c>
      <c r="ACP47">
        <f>IF($B47=0,1000000,IF(INDEX('計算A'!$D$60:$II$104,$B47,188)*KB47=1,IF(AND($E47=2,TI47=0),1000000,INDEX('計算A'!GI$110:GI$114,$F47+1)+IF(AND($E47=1,TI47=0),1000,0)),1000000))</f>
        <v/>
      </c>
      <c r="ACQ47">
        <f>IF($B47=0,1000000,IF(INDEX('計算A'!$D$60:$II$104,$B47,189)*KC47=1,IF(AND($E47=2,TJ47=0),1000000,INDEX('計算A'!GJ$110:GJ$114,$F47+1)+IF(AND($E47=1,TJ47=0),1000,0)),1000000))</f>
        <v/>
      </c>
      <c r="ACR47">
        <f>IF($B47=0,1000000,IF(INDEX('計算A'!$D$60:$II$104,$B47,190)*KD47=1,IF(AND($E47=2,TK47=0),1000000,INDEX('計算A'!GK$110:GK$114,$F47+1)+IF(AND($E47=1,TK47=0),1000,0)),1000000))</f>
        <v/>
      </c>
      <c r="ACS47">
        <f>IF($B47=0,1000000,IF(INDEX('計算A'!$D$60:$II$104,$B47,191)*KE47=1,IF(AND($E47=2,TL47=0),1000000,INDEX('計算A'!GL$110:GL$114,$F47+1)+IF(AND($E47=1,TL47=0),1000,0)),1000000))</f>
        <v/>
      </c>
      <c r="ACT47">
        <f>IF($B47=0,1000000,IF(INDEX('計算A'!$D$60:$II$104,$B47,192)*KF47=1,IF(AND($E47=2,TM47=0),1000000,INDEX('計算A'!GM$110:GM$114,$F47+1)+IF(AND($E47=1,TM47=0),1000,0)),1000000))</f>
        <v/>
      </c>
      <c r="ACU47">
        <f>IF($B47=0,1000000,IF(INDEX('計算A'!$D$60:$II$104,$B47,193)*KG47=1,IF(AND($E47=2,TN47=0),1000000,INDEX('計算A'!GN$110:GN$114,$F47+1)+IF(AND($E47=1,TN47=0),1000,0)),1000000))</f>
        <v/>
      </c>
      <c r="ACV47">
        <f>IF($B47=0,1000000,IF(INDEX('計算A'!$D$60:$II$104,$B47,194)*KH47=1,IF(AND($E47=2,TO47=0),1000000,INDEX('計算A'!GO$110:GO$114,$F47+1)+IF(AND($E47=1,TO47=0),1000,0)),1000000))</f>
        <v/>
      </c>
      <c r="ACW47">
        <f>IF($B47=0,1000000,IF(INDEX('計算A'!$D$60:$II$104,$B47,195)*KI47=1,IF(AND($E47=2,TP47=0),1000000,INDEX('計算A'!GP$110:GP$114,$F47+1)+IF(AND($E47=1,TP47=0),1000,0)),1000000))</f>
        <v/>
      </c>
      <c r="ACX47">
        <f>IF($B47=0,1000000,IF(INDEX('計算A'!$D$60:$II$104,$B47,196)*KJ47=1,IF(AND($E47=2,TQ47=0),1000000,INDEX('計算A'!GQ$110:GQ$114,$F47+1)+IF(AND($E47=1,TQ47=0),1000,0)),1000000))</f>
        <v/>
      </c>
      <c r="ACY47">
        <f>IF($B47=0,1000000,IF(INDEX('計算A'!$D$60:$II$104,$B47,197)*KK47=1,IF(AND($E47=2,TR47=0),1000000,INDEX('計算A'!GR$110:GR$114,$F47+1)+IF(AND($E47=1,TR47=0),1000,0)),1000000))</f>
        <v/>
      </c>
      <c r="ACZ47">
        <f>IF($B47=0,1000000,IF(INDEX('計算A'!$D$60:$II$104,$B47,198)*KL47=1,IF(AND($E47=2,TS47=0),1000000,INDEX('計算A'!GS$110:GS$114,$F47+1)+IF(AND($E47=1,TS47=0),1000,0)),1000000))</f>
        <v/>
      </c>
      <c r="ADA47">
        <f>IF($B47=0,1000000,IF(INDEX('計算A'!$D$60:$II$104,$B47,199)*KM47=1,IF(AND($E47=2,TT47=0),1000000,INDEX('計算A'!GT$110:GT$114,$F47+1)+IF(AND($E47=1,TT47=0),1000,0)),1000000))</f>
        <v/>
      </c>
      <c r="ADB47">
        <f>IF($B47=0,1000000,IF(INDEX('計算A'!$D$60:$II$104,$B47,200)*KN47=1,IF(AND($E47=2,TU47=0),1000000,INDEX('計算A'!GU$110:GU$114,$F47+1)+IF(AND($E47=1,TU47=0),1000,0)),1000000))</f>
        <v/>
      </c>
      <c r="ADC47">
        <f>IF($B47=0,1000000,IF(INDEX('計算A'!$D$60:$II$104,$B47,201)*KO47=1,IF(AND($E47=2,TV47=0),1000000,INDEX('計算A'!GV$110:GV$114,$F47+1)+IF(AND($E47=1,TV47=0),1000,0)),1000000))</f>
        <v/>
      </c>
      <c r="ADD47">
        <f>IF($B47=0,1000000,IF(INDEX('計算A'!$D$60:$II$104,$B47,202)*KP47=1,IF(AND($E47=2,TW47=0),1000000,INDEX('計算A'!GW$110:GW$114,$F47+1)+IF(AND($E47=1,TW47=0),1000,0)),1000000))</f>
        <v/>
      </c>
      <c r="ADE47">
        <f>IF($B47=0,1000000,IF(INDEX('計算A'!$D$60:$II$104,$B47,203)*KQ47=1,IF(AND($E47=2,TX47=0),1000000,INDEX('計算A'!GX$110:GX$114,$F47+1)+IF(AND($E47=1,TX47=0),1000,0)),1000000))</f>
        <v/>
      </c>
      <c r="ADF47">
        <f>IF($B47=0,1000000,IF(INDEX('計算A'!$D$60:$II$104,$B47,204)*KR47=1,IF(AND($E47=2,TY47=0),1000000,INDEX('計算A'!GY$110:GY$114,$F47+1)+IF(AND($E47=1,TY47=0),1000,0)),1000000))</f>
        <v/>
      </c>
      <c r="ADG47">
        <f>IF($B47=0,1000000,IF(INDEX('計算A'!$D$60:$II$104,$B47,205)*KS47=1,IF(AND($E47=2,TZ47=0),1000000,INDEX('計算A'!GZ$110:GZ$114,$F47+1)+IF(AND($E47=1,TZ47=0),1000,0)),1000000))</f>
        <v/>
      </c>
      <c r="ADH47">
        <f>IF($B47=0,1000000,IF(INDEX('計算A'!$D$60:$II$104,$B47,206)*KT47=1,IF(AND($E47=2,UA47=0),1000000,INDEX('計算A'!HA$110:HA$114,$F47+1)+IF(AND($E47=1,UA47=0),1000,0)),1000000))</f>
        <v/>
      </c>
      <c r="ADI47">
        <f>IF($B47=0,1000000,IF(INDEX('計算A'!$D$60:$II$104,$B47,207)*KU47=1,IF(AND($E47=2,UB47=0),1000000,INDEX('計算A'!HB$110:HB$114,$F47+1)+IF(AND($E47=1,UB47=0),1000,0)),1000000))</f>
        <v/>
      </c>
      <c r="ADJ47">
        <f>IF($B47=0,1000000,IF(INDEX('計算A'!$D$60:$II$104,$B47,208)*KV47=1,IF(AND($E47=2,UC47=0),1000000,INDEX('計算A'!HC$110:HC$114,$F47+1)+IF(AND($E47=1,UC47=0),1000,0)),1000000))</f>
        <v/>
      </c>
      <c r="ADK47">
        <f>IF($B47=0,1000000,IF(INDEX('計算A'!$D$60:$II$104,$B47,209)*KW47=1,IF(AND($E47=2,UD47=0),1000000,INDEX('計算A'!HD$110:HD$114,$F47+1)+IF(AND($E47=1,UD47=0),1000,0)),1000000))</f>
        <v/>
      </c>
      <c r="ADL47">
        <f>IF($B47=0,1000000,IF(INDEX('計算A'!$D$60:$II$104,$B47,210)*KX47=1,IF(AND($E47=2,UE47=0),1000000,INDEX('計算A'!HE$110:HE$114,$F47+1)+IF(AND($E47=1,UE47=0),1000,0)),1000000))</f>
        <v/>
      </c>
      <c r="ADM47">
        <f>IF($B47=0,1000000,IF(INDEX('計算A'!$D$60:$II$104,$B47,211)*KY47=1,IF(AND($E47=2,UF47=0),1000000,INDEX('計算A'!HF$110:HF$114,$F47+1)+IF(AND($E47=1,UF47=0),1000,0)),1000000))</f>
        <v/>
      </c>
      <c r="ADN47">
        <f>IF($B47=0,1000000,IF(INDEX('計算A'!$D$60:$II$104,$B47,212)*KZ47=1,IF(AND($E47=2,UG47=0),1000000,INDEX('計算A'!HG$110:HG$114,$F47+1)+IF(AND($E47=1,UG47=0),1000,0)),1000000))</f>
        <v/>
      </c>
      <c r="ADO47">
        <f>IF($B47=0,1000000,IF(INDEX('計算A'!$D$60:$II$104,$B47,213)*LA47=1,IF(AND($E47=2,UH47=0),1000000,INDEX('計算A'!HH$110:HH$114,$F47+1)+IF(AND($E47=1,UH47=0),1000,0)),1000000))</f>
        <v/>
      </c>
      <c r="ADP47">
        <f>IF($B47=0,1000000,IF(INDEX('計算A'!$D$60:$II$104,$B47,214)*LB47=1,IF(AND($E47=2,UI47=0),1000000,INDEX('計算A'!HI$110:HI$114,$F47+1)+IF(AND($E47=1,UI47=0),1000,0)),1000000))</f>
        <v/>
      </c>
      <c r="ADQ47">
        <f>IF($B47=0,1000000,IF(INDEX('計算A'!$D$60:$II$104,$B47,215)*LC47=1,IF(AND($E47=2,UJ47=0),1000000,INDEX('計算A'!HJ$110:HJ$114,$F47+1)+IF(AND($E47=1,UJ47=0),1000,0)),1000000))</f>
        <v/>
      </c>
      <c r="ADR47">
        <f>IF($B47=0,1000000,IF(INDEX('計算A'!$D$60:$II$104,$B47,216)*LD47=1,IF(AND($E47=2,UK47=0),1000000,INDEX('計算A'!HK$110:HK$114,$F47+1)+IF(AND($E47=1,UK47=0),1000,0)),1000000))</f>
        <v/>
      </c>
      <c r="ADS47">
        <f>IF($B47=0,1000000,IF(INDEX('計算A'!$D$60:$II$104,$B47,217)*LE47=1,IF(AND($E47=2,UL47=0),1000000,INDEX('計算A'!HL$110:HL$114,$F47+1)+IF(AND($E47=1,UL47=0),1000,0)),1000000))</f>
        <v/>
      </c>
      <c r="ADT47">
        <f>IF($B47=0,1000000,IF(INDEX('計算A'!$D$60:$II$104,$B47,218)*LF47=1,IF(AND($E47=2,UM47=0),1000000,INDEX('計算A'!HM$110:HM$114,$F47+1)+IF(AND($E47=1,UM47=0),1000,0)),1000000))</f>
        <v/>
      </c>
      <c r="ADU47">
        <f>IF($B47=0,1000000,IF(INDEX('計算A'!$D$60:$II$104,$B47,219)*LG47=1,IF(AND($E47=2,UN47=0),1000000,INDEX('計算A'!HN$110:HN$114,$F47+1)+IF(AND($E47=1,UN47=0),1000,0)),1000000))</f>
        <v/>
      </c>
      <c r="ADV47">
        <f>IF($B47=0,1000000,IF(INDEX('計算A'!$D$60:$II$104,$B47,220)*LH47=1,IF(AND($E47=2,UO47=0),1000000,INDEX('計算A'!HO$110:HO$114,$F47+1)+IF(AND($E47=1,UO47=0),1000,0)),1000000))</f>
        <v/>
      </c>
      <c r="ADW47">
        <f>IF($B47=0,1000000,IF(INDEX('計算A'!$D$60:$II$104,$B47,221)*LI47=1,IF(AND($E47=2,UP47=0),1000000,INDEX('計算A'!HP$110:HP$114,$F47+1)+IF(AND($E47=1,UP47=0),1000,0)),1000000))</f>
        <v/>
      </c>
      <c r="ADX47">
        <f>IF($B47=0,1000000,IF(INDEX('計算A'!$D$60:$II$104,$B47,222)*LJ47=1,IF(AND($E47=2,UQ47=0),1000000,INDEX('計算A'!HQ$110:HQ$114,$F47+1)+IF(AND($E47=1,UQ47=0),1000,0)),1000000))</f>
        <v/>
      </c>
      <c r="ADY47">
        <f>IF($B47=0,1000000,IF(INDEX('計算A'!$D$60:$II$104,$B47,223)*LK47=1,IF(AND($E47=2,UR47=0),1000000,INDEX('計算A'!HR$110:HR$114,$F47+1)+IF(AND($E47=1,UR47=0),1000,0)),1000000))</f>
        <v/>
      </c>
      <c r="ADZ47">
        <f>IF($B47=0,1000000,IF(INDEX('計算A'!$D$60:$II$104,$B47,224)*LL47=1,IF(AND($E47=2,US47=0),1000000,INDEX('計算A'!HS$110:HS$114,$F47+1)+IF(AND($E47=1,US47=0),1000,0)),1000000))</f>
        <v/>
      </c>
      <c r="AEA47">
        <f>IF($B47=0,1000000,IF(INDEX('計算A'!$D$60:$II$104,$B47,225)*LM47=1,IF(AND($E47=2,UT47=0),1000000,INDEX('計算A'!HT$110:HT$114,$F47+1)+IF(AND($E47=1,UT47=0),1000,0)),1000000))</f>
        <v/>
      </c>
      <c r="AEB47">
        <f>IF($B47=0,1000000,IF(INDEX('計算A'!$D$60:$II$104,$B47,226)*LN47=1,IF(AND($E47=2,UU47=0),1000000,INDEX('計算A'!HU$110:HU$114,$F47+1)+IF(AND($E47=1,UU47=0),1000,0)),1000000))</f>
        <v/>
      </c>
      <c r="AEC47">
        <f>IF($B47=0,1000000,IF(INDEX('計算A'!$D$60:$II$104,$B47,227)*LO47=1,IF(AND($E47=2,UV47=0),1000000,INDEX('計算A'!HV$110:HV$114,$F47+1)+IF(AND($E47=1,UV47=0),1000,0)),1000000))</f>
        <v/>
      </c>
      <c r="AED47">
        <f>IF($B47=0,1000000,IF(INDEX('計算A'!$D$60:$II$104,$B47,228)*LP47=1,IF(AND($E47=2,UW47=0),1000000,INDEX('計算A'!HW$110:HW$114,$F47+1)+IF(AND($E47=1,UW47=0),1000,0)),1000000))</f>
        <v/>
      </c>
      <c r="AEE47">
        <f>IF($B47=0,1000000,IF(INDEX('計算A'!$D$60:$II$104,$B47,229)*LQ47=1,IF(AND($E47=2,UX47=0),1000000,INDEX('計算A'!HX$110:HX$114,$F47+1)+IF(AND($E47=1,UX47=0),1000,0)),1000000))</f>
        <v/>
      </c>
      <c r="AEF47">
        <f>IF($B47=0,1000000,IF(INDEX('計算A'!$D$60:$II$104,$B47,230)*LR47=1,IF(AND($E47=2,UY47=0),1000000,INDEX('計算A'!HY$110:HY$114,$F47+1)+IF(AND($E47=1,UY47=0),1000,0)),1000000))</f>
        <v/>
      </c>
      <c r="AEG47">
        <f>IF($B47=0,1000000,IF(INDEX('計算A'!$D$60:$II$104,$B47,231)*LS47=1,IF(AND($E47=2,UZ47=0),1000000,INDEX('計算A'!HZ$110:HZ$114,$F47+1)+IF(AND($E47=1,UZ47=0),1000,0)),1000000))</f>
        <v/>
      </c>
      <c r="AEH47">
        <f>IF($B47=0,1000000,IF(INDEX('計算A'!$D$60:$II$104,$B47,232)*LT47=1,IF(AND($E47=2,VA47=0),1000000,INDEX('計算A'!IA$110:IA$114,$F47+1)+IF(AND($E47=1,VA47=0),1000,0)),1000000))</f>
        <v/>
      </c>
      <c r="AEI47">
        <f>IF($B47=0,1000000,IF(INDEX('計算A'!$D$60:$II$104,$B47,233)*LU47=1,IF(AND($E47=2,VB47=0),1000000,INDEX('計算A'!IB$110:IB$114,$F47+1)+IF(AND($E47=1,VB47=0),1000,0)),1000000))</f>
        <v/>
      </c>
      <c r="AEJ47">
        <f>IF($B47=0,1000000,IF(INDEX('計算A'!$D$60:$II$104,$B47,234)*LV47=1,IF(AND($E47=2,VC47=0),1000000,INDEX('計算A'!IC$110:IC$114,$F47+1)+IF(AND($E47=1,VC47=0),1000,0)),1000000))</f>
        <v/>
      </c>
      <c r="AEK47">
        <f>IF($B47=0,1000000,IF(INDEX('計算A'!$D$60:$II$104,$B47,235)*LW47=1,IF(AND($E47=2,VD47=0),1000000,INDEX('計算A'!ID$110:ID$114,$F47+1)+IF(AND($E47=1,VD47=0),1000,0)),1000000))</f>
        <v/>
      </c>
      <c r="AEL47">
        <f>IF($B47=0,1000000,IF(INDEX('計算A'!$D$60:$II$104,$B47,236)*LX47=1,IF(AND($E47=2,VE47=0),1000000,INDEX('計算A'!IE$110:IE$114,$F47+1)+IF(AND($E47=1,VE47=0),1000,0)),1000000))</f>
        <v/>
      </c>
      <c r="AEM47">
        <f>IF($B47=0,1000000,IF(INDEX('計算A'!$D$60:$II$104,$B47,237)*LY47=1,IF(AND($E47=2,VF47=0),1000000,INDEX('計算A'!IF$110:IF$114,$F47+1)+IF(AND($E47=1,VF47=0),1000,0)),1000000))</f>
        <v/>
      </c>
      <c r="AEN47">
        <f>IF($B47=0,1000000,IF(INDEX('計算A'!$D$60:$II$104,$B47,238)*LZ47=1,IF(AND($E47=2,VG47=0),1000000,INDEX('計算A'!IG$110:IG$114,$F47+1)+IF(AND($E47=1,VG47=0),1000,0)),1000000))</f>
        <v/>
      </c>
      <c r="AEO47">
        <f>IF($B47=0,1000000,IF(INDEX('計算A'!$D$60:$II$104,$B47,239)*MA47=1,IF(AND($E47=2,VH47=0),1000000,INDEX('計算A'!IH$110:IH$114,$F47+1)+IF(AND($E47=1,VH47=0),1000,0)),1000000))</f>
        <v/>
      </c>
      <c r="AEP47">
        <f>IF($B47=0,1000000,IF(INDEX('計算A'!$D$60:$II$104,$B47,240)*MB47=1,IF(AND($E47=2,VI47=0),1000000,INDEX('計算A'!II$110:II$114,$F47+1)+IF(AND($E47=1,VI47=0),1000,0)),1000000))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2026-10-22T05:39:03Z</dcterms:created>
  <dcterms:modified xmlns:dcterms="http://purl.org/dc/terms/" xmlns:xsi="http://www.w3.org/2001/XMLSchema-instance" xsi:type="dcterms:W3CDTF">2026-10-22T05:39:04Z</dcterms:modified>
</cp:coreProperties>
</file>