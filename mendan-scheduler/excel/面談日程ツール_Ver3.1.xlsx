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5">
    <numFmt numFmtId="164" formatCode="0&quot;人&quot;"/>
    <numFmt numFmtId="165" formatCode="yyyy-mm-dd"/>
    <numFmt numFmtId="166" formatCode="m/d"/>
    <numFmt numFmtId="167" formatCode="0&quot;年&quot;"/>
    <numFmt numFmtId="168" formatCode="0&quot;組&quot;"/>
  </numFmts>
  <fonts count="54">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FFFFFF"/>
      <sz val="9"/>
    </font>
    <font>
      <name val="BIZ UDPゴシック"/>
      <color rgb="002D5FA8"/>
      <u val="single"/>
    </font>
    <font>
      <name val="BIZ UDPゴシック"/>
      <b val="1"/>
      <color rgb="001B365D"/>
      <sz val="11"/>
    </font>
    <font>
      <name val="BIZ UDPゴシック"/>
      <b val="1"/>
      <color rgb="00FFFFFF"/>
      <sz val="11"/>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1B365D"/>
      <sz val="14"/>
    </font>
    <font>
      <name val="BIZ UDPゴシック"/>
      <sz val="11"/>
    </font>
    <font>
      <name val="BIZ UDPゴシック"/>
      <b val="1"/>
      <color rgb="009A6A00"/>
      <sz val="10"/>
    </font>
    <font>
      <name val="ＭＳ 明朝"/>
      <sz val="12"/>
    </font>
    <font>
      <name val="ＭＳ ゴシック"/>
      <sz val="24"/>
    </font>
    <font>
      <name val="ＭＳ 明朝"/>
      <sz val="8"/>
    </font>
    <font>
      <name val="ＭＳ 明朝"/>
      <sz val="9"/>
    </font>
    <font>
      <name val="ＭＳ 明朝"/>
      <sz val="11"/>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font>
    <font>
      <name val="BIZ UDPゴシック"/>
      <color rgb="00DDE6F5"/>
      <sz val="10"/>
    </font>
    <font>
      <name val="BIZ UDPゴシック"/>
      <b val="1"/>
      <color rgb="00FFFFFF"/>
      <sz val="10"/>
    </font>
  </fonts>
  <fills count="25">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B7791F"/>
        <bgColor rgb="00B7791F"/>
      </patternFill>
    </fill>
    <fill>
      <patternFill patternType="solid">
        <fgColor rgb="002F6CC4"/>
        <bgColor rgb="002F6CC4"/>
      </patternFill>
    </fill>
    <fill>
      <patternFill patternType="solid">
        <fgColor rgb="007A8699"/>
        <bgColor rgb="007A8699"/>
      </patternFill>
    </fill>
    <fill>
      <patternFill patternType="solid">
        <fgColor rgb="00FFF4D6"/>
        <bgColor rgb="00FFF4D6"/>
      </patternFill>
    </fill>
    <fill>
      <patternFill patternType="solid">
        <fgColor rgb="003C8D3C"/>
        <bgColor rgb="003C8D3C"/>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D9822B"/>
        <bgColor rgb="00D9822B"/>
      </patternFill>
    </fill>
    <fill>
      <patternFill patternType="solid">
        <fgColor rgb="001B365D"/>
        <bgColor rgb="001B365D"/>
      </patternFill>
    </fill>
    <fill>
      <patternFill patternType="solid">
        <fgColor rgb="00FFE9A8"/>
        <bgColor rgb="00FFE9A8"/>
      </patternFill>
    </fill>
  </fills>
  <borders count="30">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1F3F7A"/>
      </left>
      <right style="medium">
        <color rgb="001F3F7A"/>
      </right>
      <top style="medium">
        <color rgb="001F3F7A"/>
      </top>
      <bottom style="medium">
        <color rgb="001F3F7A"/>
      </bottom>
    </border>
    <border>
      <left/>
      <right/>
      <top style="medium">
        <color rgb="001F3F7A"/>
      </top>
      <bottom/>
      <diagonal/>
    </border>
    <border>
      <left/>
      <right style="medium">
        <color rgb="001F3F7A"/>
      </right>
      <top style="medium">
        <color rgb="001F3F7A"/>
      </top>
      <bottom/>
      <diagonal/>
    </border>
    <border>
      <left/>
      <right style="medium">
        <color rgb="001F3F7A"/>
      </right>
      <top style="medium">
        <color rgb="001F3F7A"/>
      </top>
      <bottom style="medium">
        <color rgb="001F3F7A"/>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F3F7A"/>
      </left>
      <right/>
      <top/>
      <bottom/>
      <diagonal/>
    </border>
    <border>
      <left style="medium">
        <color rgb="001F3F7A"/>
      </left>
      <right style="medium">
        <color rgb="001F3F7A"/>
      </right>
      <top/>
      <bottom/>
      <diagonal/>
    </border>
    <border>
      <left style="medium">
        <color rgb="001F3F7A"/>
      </left>
      <right style="medium">
        <color rgb="001F3F7A"/>
      </right>
      <top/>
      <bottom style="medium">
        <color rgb="001F3F7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s>
  <cellStyleXfs count="1">
    <xf numFmtId="0" fontId="0" fillId="0" borderId="0"/>
  </cellStyleXfs>
  <cellXfs count="124">
    <xf numFmtId="0" fontId="0" fillId="0" borderId="0" pivotButton="0" quotePrefix="0" xfId="0"/>
    <xf numFmtId="0" fontId="49" fillId="23" borderId="0" applyAlignment="1" pivotButton="0" quotePrefix="0" xfId="0">
      <alignment vertical="center" indent="1"/>
    </xf>
    <xf numFmtId="0" fontId="0" fillId="23" borderId="0" pivotButton="0" quotePrefix="0" xfId="0"/>
    <xf numFmtId="0" fontId="52" fillId="23"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24" fillId="6" borderId="26" applyAlignment="1" pivotButton="0" quotePrefix="0" xfId="0">
      <alignment horizontal="center" vertical="center" wrapText="1"/>
    </xf>
    <xf numFmtId="0" fontId="23" fillId="24" borderId="26" applyAlignment="1" pivotButton="0" quotePrefix="0" xfId="0">
      <alignment horizontal="center" vertical="center" wrapText="1"/>
    </xf>
    <xf numFmtId="0" fontId="0" fillId="0" borderId="29" pivotButton="0" quotePrefix="0" xfId="0"/>
    <xf numFmtId="0" fontId="19"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4" fillId="0" borderId="0" pivotButton="0" quotePrefix="0" xfId="0"/>
    <xf numFmtId="1" fontId="1" fillId="10" borderId="4" applyAlignment="1" pivotButton="0" quotePrefix="0" xfId="0">
      <alignment horizontal="center" vertical="center" wrapText="1"/>
    </xf>
    <xf numFmtId="0" fontId="13"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7" fillId="0" borderId="0" applyAlignment="1" pivotButton="0" quotePrefix="0" xfId="0">
      <alignment horizontal="right" vertical="center"/>
    </xf>
    <xf numFmtId="0" fontId="18" fillId="12" borderId="0" applyAlignment="1" pivotButton="0" quotePrefix="0" xfId="0">
      <alignment horizontal="center" vertical="center" wrapText="1"/>
    </xf>
    <xf numFmtId="0" fontId="51" fillId="4" borderId="4" applyAlignment="1" pivotButton="0" quotePrefix="0" xfId="0">
      <alignment horizontal="center" vertical="center" wrapText="1"/>
    </xf>
    <xf numFmtId="0" fontId="17" fillId="11" borderId="4" applyAlignment="1" pivotButton="0" quotePrefix="0" xfId="0">
      <alignment horizontal="center" vertical="center" wrapText="1"/>
    </xf>
    <xf numFmtId="0" fontId="1" fillId="11" borderId="0" pivotButton="0" quotePrefix="0" xfId="0"/>
    <xf numFmtId="0" fontId="51" fillId="4" borderId="0" applyAlignment="1" pivotButton="0" quotePrefix="0" xfId="0">
      <alignment horizontal="center" vertical="center" wrapText="1"/>
    </xf>
    <xf numFmtId="166"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6"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5" fillId="11" borderId="0" applyAlignment="1" pivotButton="0" quotePrefix="0" xfId="0">
      <alignment horizontal="center" vertical="center" wrapText="1"/>
    </xf>
    <xf numFmtId="0" fontId="18" fillId="0" borderId="0" applyAlignment="1" pivotButton="0" quotePrefix="0" xfId="0">
      <alignment horizontal="center" vertical="center" wrapText="1"/>
    </xf>
    <xf numFmtId="0" fontId="13" fillId="0" borderId="0" applyAlignment="1" pivotButton="0" quotePrefix="0" xfId="0">
      <alignment vertical="top" wrapText="1"/>
    </xf>
    <xf numFmtId="167" fontId="1" fillId="10" borderId="4" applyAlignment="1" pivotButton="0" quotePrefix="0" xfId="0">
      <alignment horizontal="center" vertical="center"/>
    </xf>
    <xf numFmtId="168" fontId="1" fillId="10" borderId="4" applyAlignment="1" pivotButton="0" quotePrefix="0" xfId="0">
      <alignment horizontal="center" vertical="center"/>
    </xf>
    <xf numFmtId="0" fontId="1" fillId="10" borderId="4" applyAlignment="1" pivotButton="0" quotePrefix="0" xfId="0">
      <alignment horizontal="left" vertical="center"/>
    </xf>
    <xf numFmtId="166" fontId="1" fillId="10" borderId="4" applyAlignment="1" pivotButton="0" quotePrefix="0" xfId="0">
      <alignment horizontal="center" vertical="center"/>
    </xf>
    <xf numFmtId="0" fontId="19"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20" fillId="0" borderId="0" applyAlignment="1" pivotButton="0" quotePrefix="0" xfId="0">
      <alignment vertical="center" wrapText="1"/>
    </xf>
    <xf numFmtId="0" fontId="21" fillId="13" borderId="14" applyAlignment="1" pivotButton="0" quotePrefix="0" xfId="0">
      <alignment horizontal="center" vertical="center" wrapText="1"/>
    </xf>
    <xf numFmtId="0" fontId="53" fillId="13" borderId="4" applyAlignment="1" pivotButton="0" quotePrefix="0" xfId="0">
      <alignment horizontal="center" vertical="center" wrapText="1"/>
    </xf>
    <xf numFmtId="0" fontId="53"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2" fillId="0" borderId="0" applyAlignment="1" pivotButton="0" quotePrefix="0" xfId="0">
      <alignment horizontal="center" vertical="center" wrapText="1"/>
    </xf>
    <xf numFmtId="0" fontId="49" fillId="23" borderId="0" applyAlignment="1" pivotButton="0" quotePrefix="0" xfId="0">
      <alignment vertical="center"/>
    </xf>
    <xf numFmtId="0" fontId="50" fillId="2" borderId="0" applyAlignment="1" pivotButton="0" quotePrefix="0" xfId="0">
      <alignment vertical="center"/>
    </xf>
    <xf numFmtId="0" fontId="23" fillId="0" borderId="0" applyAlignment="1" pivotButton="0" quotePrefix="0" xfId="0">
      <alignment horizontal="right" vertical="center"/>
    </xf>
    <xf numFmtId="0" fontId="9" fillId="10" borderId="4" applyAlignment="1" pivotButton="0" quotePrefix="0" xfId="0">
      <alignment vertical="center"/>
    </xf>
    <xf numFmtId="0" fontId="24" fillId="14" borderId="14" applyAlignment="1" pivotButton="0" quotePrefix="0" xfId="0">
      <alignment horizontal="center" vertical="center" wrapText="1"/>
    </xf>
    <xf numFmtId="0" fontId="0" fillId="0" borderId="17" pivotButton="0" quotePrefix="0" xfId="0"/>
    <xf numFmtId="0" fontId="29" fillId="0" borderId="0" applyAlignment="1" pivotButton="0" quotePrefix="0" xfId="0">
      <alignment horizontal="center" vertical="center"/>
    </xf>
    <xf numFmtId="0" fontId="39"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5" fillId="2" borderId="0" pivotButton="0" quotePrefix="0" xfId="0"/>
    <xf numFmtId="0" fontId="15" fillId="2" borderId="0" applyAlignment="1" pivotButton="0" quotePrefix="0" xfId="0">
      <alignment horizontal="left"/>
    </xf>
    <xf numFmtId="0" fontId="26" fillId="2" borderId="0" applyAlignment="1" pivotButton="0" quotePrefix="0" xfId="0">
      <alignment horizontal="center" vertical="center" wrapText="1"/>
    </xf>
    <xf numFmtId="0" fontId="27" fillId="12" borderId="0" applyAlignment="1" pivotButton="0" quotePrefix="0" xfId="0">
      <alignment horizontal="center" vertical="center" wrapText="1"/>
    </xf>
    <xf numFmtId="0" fontId="28" fillId="0" borderId="0" applyAlignment="1" pivotButton="0" quotePrefix="0" xfId="0">
      <alignment horizontal="center" vertical="center" wrapText="1"/>
    </xf>
    <xf numFmtId="0" fontId="34" fillId="18" borderId="4" applyAlignment="1" pivotButton="0" quotePrefix="0" xfId="0">
      <alignment horizontal="center" vertical="center" wrapText="1"/>
    </xf>
    <xf numFmtId="0" fontId="34" fillId="19" borderId="4" applyAlignment="1" pivotButton="0" quotePrefix="0" xfId="0">
      <alignment horizontal="center" vertical="center" wrapText="1"/>
    </xf>
    <xf numFmtId="0" fontId="34" fillId="20" borderId="4" applyAlignment="1" pivotButton="0" quotePrefix="0" xfId="0">
      <alignment horizontal="center" vertical="center" wrapText="1"/>
    </xf>
    <xf numFmtId="0" fontId="34" fillId="21" borderId="4" applyAlignment="1" pivotButton="0" quotePrefix="0" xfId="0">
      <alignment horizontal="center" vertical="center" wrapText="1"/>
    </xf>
    <xf numFmtId="0" fontId="8" fillId="14" borderId="14" applyAlignment="1" pivotButton="0" quotePrefix="0" xfId="0">
      <alignment horizontal="center" vertical="center" wrapText="1"/>
    </xf>
    <xf numFmtId="0" fontId="8" fillId="17" borderId="14" applyAlignment="1" pivotButton="0" quotePrefix="0" xfId="0">
      <alignment horizontal="center" vertical="center" wrapText="1"/>
    </xf>
    <xf numFmtId="0" fontId="33" fillId="16" borderId="18" applyAlignment="1" pivotButton="0" quotePrefix="0" xfId="0">
      <alignment vertical="center" wrapText="1" indent="1"/>
    </xf>
    <xf numFmtId="0" fontId="0" fillId="0" borderId="21" pivotButton="0" quotePrefix="0" xfId="0"/>
    <xf numFmtId="0" fontId="0" fillId="0" borderId="22" pivotButton="0" quotePrefix="0" xfId="0"/>
    <xf numFmtId="0" fontId="31" fillId="0" borderId="0" pivotButton="0" quotePrefix="0" xfId="0"/>
    <xf numFmtId="0" fontId="15"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8" fillId="15" borderId="14" applyAlignment="1" pivotButton="0" quotePrefix="0" xfId="0">
      <alignment horizontal="center" vertical="center" wrapText="1"/>
    </xf>
    <xf numFmtId="0" fontId="30" fillId="0" borderId="0" applyAlignment="1" pivotButton="0" quotePrefix="0" xfId="0">
      <alignment vertical="center" wrapText="1"/>
    </xf>
    <xf numFmtId="0" fontId="9" fillId="10" borderId="4" pivotButton="0" quotePrefix="0" xfId="0"/>
    <xf numFmtId="0" fontId="15" fillId="0" borderId="0" applyAlignment="1" pivotButton="0" quotePrefix="0" xfId="0">
      <alignment horizontal="left"/>
    </xf>
    <xf numFmtId="0" fontId="6" fillId="0" borderId="0" pivotButton="0" quotePrefix="0" xfId="0"/>
    <xf numFmtId="0" fontId="20" fillId="0" borderId="0" pivotButton="0" quotePrefix="0" xfId="0"/>
    <xf numFmtId="0" fontId="32" fillId="0" borderId="0" applyAlignment="1" pivotButton="0" quotePrefix="0" xfId="0">
      <alignment vertical="top" wrapText="1"/>
    </xf>
    <xf numFmtId="0" fontId="39" fillId="0" borderId="0" applyAlignment="1" pivotButton="0" quotePrefix="0" xfId="0">
      <alignment horizontal="left" vertical="center"/>
    </xf>
    <xf numFmtId="0" fontId="8" fillId="22" borderId="14" applyAlignment="1" pivotButton="0" quotePrefix="0" xfId="0">
      <alignment horizontal="center" vertical="center" wrapText="1"/>
    </xf>
    <xf numFmtId="0" fontId="40" fillId="0" borderId="0" applyAlignment="1" pivotButton="0" quotePrefix="0" xfId="0">
      <alignment vertical="center" wrapText="1" indent="1"/>
    </xf>
    <xf numFmtId="0" fontId="41" fillId="0" borderId="0" applyAlignment="1" pivotButton="0" quotePrefix="0" xfId="0">
      <alignment vertical="center" wrapTex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0" fillId="0" borderId="25" pivotButton="0" quotePrefix="0" xfId="0"/>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cellXfs>
  <cellStyles count="1">
    <cellStyle name="Normal" xfId="0" builtinId="0" hidden="0"/>
  </cellStyles>
  <dxfs count="31">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1"/>
      </font>
      <fill>
        <patternFill patternType="solid">
          <fgColor rgb="00D62828"/>
          <bgColor rgb="00D62828"/>
        </patternFill>
      </fill>
    </dxf>
    <dxf>
      <font>
        <name val="BIZ UDPゴシック"/>
        <b val="1"/>
        <color rgb="007A3D00"/>
        <sz val="11"/>
      </font>
      <fill>
        <patternFill patternType="solid">
          <fgColor rgb="00FFE4C2"/>
          <bgColor rgb="00FFE4C2"/>
        </patternFill>
      </fill>
    </dxf>
    <dxf>
      <font>
        <name val="BIZ UDPゴシック"/>
        <b val="1"/>
        <color rgb="007A3D00"/>
      </font>
      <fill>
        <patternFill patternType="solid">
          <fgColor rgb="00FFE4C2"/>
          <bgColor rgb="00FFE4C2"/>
        </patternFill>
      </fill>
      <border>
        <left style="thin">
          <color rgb="00E07A00"/>
        </left>
        <right style="thin">
          <color rgb="00E07A00"/>
        </right>
        <top style="thin">
          <color rgb="00E07A00"/>
        </top>
        <bottom style="thin">
          <color rgb="00E07A00"/>
        </bottom>
      </border>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7"/>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Ver.3.1</t>
        </is>
      </c>
    </row>
    <row r="2" ht="24" customHeight="1">
      <c r="A2" s="4" t="inlineStr">
        <is>
          <t>×のついた予定表から、個人面談の日程を組むツールです（マクロ版）。黄色のマスが入力する場所、青いマスはボタンです。</t>
        </is>
      </c>
      <c r="B2" s="5" t="n"/>
      <c r="C2" s="5" t="n"/>
      <c r="D2" s="5" t="n"/>
      <c r="E2" s="5" t="n"/>
      <c r="F2" s="5" t="n"/>
      <c r="G2" s="5" t="n"/>
      <c r="H2" s="5" t="n"/>
      <c r="I2" s="5" t="n"/>
      <c r="J2" s="5" t="n"/>
      <c r="K2" s="5" t="n"/>
      <c r="L2" s="5" t="n"/>
      <c r="M2" s="5" t="n"/>
    </row>
    <row r="3"/>
    <row r="4">
      <c r="B4" s="6" t="inlineStr">
        <is>
          <t>いまの状況</t>
        </is>
      </c>
    </row>
    <row r="5" ht="22" customHeight="1">
      <c r="B5" s="7" t="inlineStr">
        <is>
          <t>名簿の人数</t>
        </is>
      </c>
      <c r="C5" s="8" t="n"/>
      <c r="D5" s="7" t="inlineStr">
        <is>
          <t>×入力済み</t>
        </is>
      </c>
      <c r="E5" s="8" t="n"/>
      <c r="F5" s="7" t="inlineStr">
        <is>
          <t>未入力</t>
        </is>
      </c>
      <c r="G5" s="8" t="n"/>
      <c r="H5" s="7" t="inlineStr">
        <is>
          <t>未提出</t>
        </is>
      </c>
      <c r="I5" s="8" t="n"/>
      <c r="J5" s="7" t="inlineStr">
        <is>
          <t>決定済み</t>
        </is>
      </c>
      <c r="K5" s="8" t="n"/>
      <c r="L5" s="7" t="inlineStr">
        <is>
          <t>未決定</t>
        </is>
      </c>
      <c r="M5" s="8" t="n"/>
    </row>
    <row r="6" ht="46" customHeight="1">
      <c r="B6" s="9">
        <f>COUNTIF('名簿'!$B$5:$B$49,"?*")</f>
        <v/>
      </c>
      <c r="C6" s="10" t="n"/>
      <c r="D6" s="9">
        <f>COUNTIF('名簿'!$Q$5:$Q$49,"入力済み")+COUNTIF('名簿'!$Q$5:$Q$49,"×なし")</f>
        <v/>
      </c>
      <c r="E6" s="10" t="n"/>
      <c r="F6" s="9">
        <f>COUNTIF('名簿'!$Q$5:$Q$49,"未入力")</f>
        <v/>
      </c>
      <c r="G6" s="10" t="n"/>
      <c r="H6" s="9">
        <f>COUNTIF('名簿'!$Q$5:$Q$49,"未提出")</f>
        <v/>
      </c>
      <c r="I6" s="10" t="n"/>
      <c r="J6" s="9">
        <f>SUMPRODUCT(('名簿'!$U$5:$U$49&lt;&gt;"")*1)</f>
        <v/>
      </c>
      <c r="K6" s="10" t="n"/>
      <c r="L6" s="9">
        <f>COUNTIF('名簿'!$W$5:$W$49,"未決定")</f>
        <v/>
      </c>
      <c r="M6" s="10" t="n"/>
    </row>
    <row r="7"/>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5" t="n"/>
      <c r="E10" s="15" t="n"/>
      <c r="F10" s="15" t="n"/>
      <c r="G10" s="15" t="n"/>
      <c r="H10" s="15" t="n"/>
      <c r="I10" s="15" t="n"/>
      <c r="J10" s="15" t="n"/>
    </row>
    <row r="11"/>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5" t="n"/>
      <c r="E13" s="15" t="n"/>
      <c r="F13" s="15" t="n"/>
      <c r="G13" s="15" t="n"/>
      <c r="H13" s="15" t="n"/>
      <c r="I13" s="15" t="n"/>
      <c r="J13" s="15" t="n"/>
    </row>
    <row r="14"/>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5" t="n"/>
      <c r="E16" s="15" t="n"/>
      <c r="F16" s="15" t="n"/>
      <c r="G16" s="15" t="n"/>
      <c r="H16" s="15" t="n"/>
      <c r="I16" s="15" t="n"/>
      <c r="J16" s="15" t="n"/>
    </row>
    <row r="17"/>
    <row r="18" ht="24" customHeight="1">
      <c r="B18" s="11" t="n">
        <v>4</v>
      </c>
      <c r="C18" s="12" t="inlineStr">
        <is>
          <t>自動案を見る（A：詰める／B：散らす）</t>
        </is>
      </c>
      <c r="K18" s="13">
        <f>HYPERLINK("#'自動案A'!A1","案A ▶")</f>
        <v/>
      </c>
      <c r="L18" s="16">
        <f>HYPERLINK("#'自動案B'!A1","案B ▶")</f>
        <v/>
      </c>
    </row>
    <row r="19" ht="30" customHeight="1">
      <c r="C19" s="14" t="inlineStr">
        <is>
          <t>［自動案を作る］を押すと、入れられる枠が少ない家庭から順に組んだ案が2つできます。よいほうで［調整・決定へ写す］を押します。</t>
        </is>
      </c>
      <c r="D19" s="15" t="n"/>
      <c r="E19" s="15" t="n"/>
      <c r="F19" s="15" t="n"/>
      <c r="G19" s="15" t="n"/>
      <c r="H19" s="15" t="n"/>
      <c r="I19" s="15" t="n"/>
      <c r="J19" s="15" t="n"/>
    </row>
    <row r="20"/>
    <row r="21" ht="24" customHeight="1">
      <c r="B21" s="11" t="n">
        <v>5</v>
      </c>
      <c r="C21" s="12" t="inlineStr">
        <is>
          <t>調整して決定する</t>
        </is>
      </c>
      <c r="K21" s="13">
        <f>HYPERLINK("#'調整・決定'!A1","開く ▶")</f>
        <v/>
      </c>
    </row>
    <row r="22" ht="30" customHeight="1">
      <c r="C22" s="14" t="inlineStr">
        <is>
          <t>名前をクリックすると入れられる枠に色がつきます。ダブルクリック2回で入れ替え。［ひとつ前に戻す］もあります。</t>
        </is>
      </c>
      <c r="D22" s="15" t="n"/>
      <c r="E22" s="15" t="n"/>
      <c r="F22" s="15" t="n"/>
      <c r="G22" s="15" t="n"/>
      <c r="H22" s="15" t="n"/>
      <c r="I22" s="15" t="n"/>
      <c r="J22" s="15" t="n"/>
    </row>
    <row r="23"/>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5" t="n"/>
      <c r="E25" s="15" t="n"/>
      <c r="F25" s="15" t="n"/>
      <c r="G25" s="15" t="n"/>
      <c r="H25" s="15" t="n"/>
      <c r="I25" s="15" t="n"/>
      <c r="J25" s="15" t="n"/>
    </row>
    <row r="26"/>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5" t="n"/>
      <c r="E28" s="15" t="n"/>
      <c r="F28" s="15" t="n"/>
      <c r="G28" s="15" t="n"/>
      <c r="H28" s="15" t="n"/>
      <c r="I28" s="15" t="n"/>
      <c r="J28" s="15" t="n"/>
    </row>
    <row r="29"/>
    <row r="30"/>
    <row r="31"/>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ht="30" customHeight="1">
      <c r="B45" s="20" t="inlineStr">
        <is>
          <t>・1人ずつ、予定表と同じ形の表があります。上の「児童を選ぶ」で名前を選ぶか、名簿の「×入力へ」をクリックすると、その人の表に移動します。「次の未入力の子へ」で、×がまだの子に進めます。</t>
        </is>
      </c>
    </row>
    <row r="46" ht="30" customHeight="1">
      <c r="B46" s="20" t="inlineStr">
        <is>
          <t>・都合の悪い枠をダブルクリックすると「×」が付き、もう一度ダブルクリックすると消えます（何か文字が入っていれば×として扱います。Delete キーでも消せます）。</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・その日全部：日付の上の「この日全部」の欄、その時間全部：時刻の左の「この時間全部」の欄を、ダブルクリック（またはプルダウンで「×」）（表のマスはピンクになります）。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ht="30" customHeight="1">
      <c r="B51" s="20" t="inlineStr">
        <is>
          <t>・［自動案を作る（A・B両方）］を押すと、自動で組んだ案が2つできます（入れられる枠が少ない家庭から先に決めます。未入力・未提出の家庭は外れます）。集まった分だけで作って大丈夫です。</t>
        </is>
      </c>
    </row>
    <row r="52">
      <c r="B52" s="20" t="inlineStr">
        <is>
          <t>・作ったあとに×・名簿・設定・調整・決定を変えると、表の上が赤くなります。もう一度［自動案を作る］を押してください。</t>
        </is>
      </c>
    </row>
    <row r="53">
      <c r="B53" s="20" t="inlineStr">
        <is>
          <t>・入る枠がない子が出たときは、ほかの子を動かして入れ直します。それでも入らない子は、右の「入る枠がない」に名前が出ます。</t>
        </is>
      </c>
    </row>
    <row r="54">
      <c r="B54" s="20" t="inlineStr">
        <is>
          <t>・自動案A（詰める）：設定の「詰め方」に従って、早い時間や前の日から詰めて組みます。</t>
        </is>
      </c>
    </row>
    <row r="55">
      <c r="B55" s="20" t="inlineStr">
        <is>
          <t>・自動案B（散らす）：日ごとの人数がそろい、面談と面談のあいだがなるべく空くように組みます（希望がある家庭は希望を優先）。</t>
        </is>
      </c>
    </row>
    <row r="56">
      <c r="B56" s="20" t="inlineStr">
        <is>
          <t>・よいほうのシートで［この案を調整・決定へ写す］を押すと、「調整・決定」の表に入ります。</t>
        </is>
      </c>
    </row>
    <row r="57">
      <c r="B57" s="20" t="inlineStr">
        <is>
          <t>・「調整・決定」シートですでに決めた人はそのまま残り、残りの人だけで案が作られます。やり直したいときは調整・決定の表を消します。</t>
        </is>
      </c>
    </row>
    <row r="58">
      <c r="B58" s="19" t="inlineStr">
        <is>
          <t>5. 「調整・決定」シート</t>
        </is>
      </c>
    </row>
    <row r="59">
      <c r="B59" s="20" t="inlineStr">
        <is>
          <t>・各枠のセルで、プルダウンから児童を選びます。</t>
        </is>
      </c>
    </row>
    <row r="60" ht="30" customHeight="1">
      <c r="B60" s="20" t="inlineStr">
        <is>
          <t>・表の名前をクリック（または右の「児童を選ぶ」で選ぶ）と、表の色が変わります：緑＝入れられる空き枠／黄＝入れられる（ほかの人がいる）／ピンク＝×の枠／青＝今いる枠。</t>
        </is>
      </c>
    </row>
    <row r="61" ht="30" customHeight="1">
      <c r="B61" s="20" t="inlineStr">
        <is>
          <t>・入れ替え：1人目の名前をダブルクリック（オレンジの枠になる）→ 入れ替える相手をダブルクリック。空いたマスをダブルクリックすると、そこへ移動します。やめるときは、同じマスをもう一度ダブルクリック。</t>
        </is>
      </c>
    </row>
    <row r="62" ht="30" customHeight="1">
      <c r="B62" s="20" t="inlineStr">
        <is>
          <t>・［ひとつ前に戻す］で、写す・入れ替え・書きかえの前に戻せます（10回まで）。マクロのあとは Ctrl + Z が効かないので、こちらを使ってください。</t>
        </is>
      </c>
    </row>
    <row r="63">
      <c r="B63" s="20" t="inlineStr">
        <is>
          <t>・赤い枠は「×の枠に入れてしまった」、オレンジの枠は「同じ人が2か所に入っている」です。</t>
        </is>
      </c>
    </row>
    <row r="64">
      <c r="B64" s="20" t="inlineStr">
        <is>
          <t>・青い斜線の枠は「前の人の後ろを空ける枠」です。紫の枠は、空けるはずの枠に人が入っています。</t>
        </is>
      </c>
    </row>
    <row r="65">
      <c r="B65" s="20" t="inlineStr">
        <is>
          <t>・下の「候補」の表には、その枠に入れられる、まだ決まっていない児童が表示されます。「1人」の枠は先に決めると楽です。</t>
        </is>
      </c>
    </row>
    <row r="66">
      <c r="B66" s="19" t="inlineStr">
        <is>
          <t>6. 「兄弟確認用」シート</t>
        </is>
      </c>
    </row>
    <row r="67" ht="30" customHeight="1">
      <c r="B67" s="20" t="inlineStr">
        <is>
          <t>・調整・決定で決めた日程が、予定表と同じ形で出ます。兄弟がいる子は色付きで、名前の下に兄弟のクラスが出ます（名簿の「兄弟メモ」にはクラス名だけを書きます。例：2年1組）。</t>
        </is>
      </c>
    </row>
    <row r="68">
      <c r="B68" s="20" t="inlineStr">
        <is>
          <t>・兄弟の担任から面談の日時を聞いたら、名簿の「兄弟の日付」「兄弟の時刻」を選びます。自動案では、できるだけ兄弟のすぐ前かすぐ後に入れます。</t>
        </is>
      </c>
    </row>
    <row r="69">
      <c r="B69" s="20" t="inlineStr">
        <is>
          <t>・表の上の黄色の欄には、「組んでみました。都合が悪ければお知らせください」など、自由に書けます（書いたことも印刷されます）。</t>
        </is>
      </c>
    </row>
    <row r="70" ht="30" customHeight="1">
      <c r="B70" s="20" t="inlineStr">
        <is>
          <t>・保護者へのお手紙は「お手紙（夏）」「お手紙（秋）」シートで印刷できます（宛名・日付・本文などは設定のいちばん下で決めます）。［印刷プレビュー］［PDFで保存］は、1日の枠が13以上なら夏の形、12以下なら秋の形を自動で選びます。</t>
        </is>
      </c>
    </row>
    <row r="71">
      <c r="B71" s="20" t="inlineStr">
        <is>
          <t>・［PDFで保存］は、このファイルと同じ場所に「6年1組_進路面談のお知らせ.pdf」のような名前で保存します。</t>
        </is>
      </c>
    </row>
    <row r="72">
      <c r="B72" s="19" t="inlineStr">
        <is>
          <t>7. 結果</t>
        </is>
      </c>
    </row>
    <row r="73">
      <c r="B73" s="20" t="inlineStr">
        <is>
          <t>・「名簿」シートの右側に、決まった日時・注意（×の枠／2か所／後ろが空いていない／使えない枠／未決定）・自動案が表示されます。</t>
        </is>
      </c>
    </row>
    <row r="74">
      <c r="B74" s="20" t="inlineStr">
        <is>
          <t>・CSVが必要なときは「名簿」シートを開いて［ファイル］→［名前を付けて保存］→ 種類を「CSV UTF-8」にします。</t>
        </is>
      </c>
    </row>
    <row r="75">
      <c r="B75" s="20" t="inlineStr">
        <is>
          <t>・兄弟ありの家庭だけ見たいときは、名簿の「兄弟」の列でフィルターをかけます。兄弟が〇の子がいると、兄弟①〜③の列は自動で開きます。</t>
        </is>
      </c>
    </row>
    <row r="76">
      <c r="B76" s="20" t="inlineStr"/>
    </row>
    <row r="77">
      <c r="B77" s="21" t="inlineStr">
        <is>
          <t>※ 「calcA」「calcB」「calcC」は計算用の隠しシートです。さわらないでください。</t>
        </is>
      </c>
    </row>
  </sheetData>
  <mergeCells count="88">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74:M74"/>
    <mergeCell ref="B68:M68"/>
    <mergeCell ref="C9:J9"/>
    <mergeCell ref="B76:M76"/>
    <mergeCell ref="B45:M45"/>
    <mergeCell ref="B75:M7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B77:M77"/>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2">
        <f>HYPERLINK("#'ホーム'!A1","ホーム")</f>
        <v/>
      </c>
      <c r="F1" s="23">
        <f>HYPERLINK("#'設定'!A1","① 設定")</f>
        <v/>
      </c>
      <c r="G1" s="24" t="n"/>
      <c r="H1" s="22">
        <f>HYPERLINK("#'名簿'!A1","② 名簿")</f>
        <v/>
      </c>
      <c r="I1" s="22">
        <f>HYPERLINK("#'×入力'!A1","③ ×入力")</f>
        <v/>
      </c>
      <c r="J1" s="24" t="n"/>
      <c r="K1" s="22">
        <f>HYPERLINK("#'自動案A'!A1","④ 自動案A")</f>
        <v/>
      </c>
      <c r="L1" s="24" t="n"/>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5" t="inlineStr">
        <is>
          <t>時間帯1</t>
        </is>
      </c>
      <c r="B3" s="26" t="n">
        <v>0.5625</v>
      </c>
      <c r="C3" s="27" t="inlineStr">
        <is>
          <t>〜</t>
        </is>
      </c>
      <c r="D3" s="26" t="n">
        <v>0.6458333333333334</v>
      </c>
      <c r="E3" s="28">
        <f>IF(OR(NOT(ISNUMBER(B3)),NOT(ISNUMBER(D3))),"← 始まりと終わりの時刻を入れてください",IF(D3&lt;B3,"← 終わりは始まりより後の時刻にしてください",""))</f>
        <v/>
      </c>
    </row>
    <row r="4">
      <c r="A4" s="25" t="inlineStr">
        <is>
          <t>時間帯2（なければ空欄）</t>
        </is>
      </c>
      <c r="B4" s="26" t="n"/>
      <c r="C4" s="27" t="inlineStr">
        <is>
          <t>〜</t>
        </is>
      </c>
      <c r="D4" s="26" t="n"/>
      <c r="E4" s="28">
        <f>IF(AND(B4="",D4=""),"",IF(OR(NOT(ISNUMBER(B4)),NOT(ISNUMBER(D4))),"← 始まりと終わりの両方を入れてください",IF(D4&lt;B4,"← 終わりは始まりより後の時刻にしてください",IF(AND(ISNUMBER(D3),B4&lt;=D3),"← 時間帯1より後の時刻にしてください",""))))</f>
        <v/>
      </c>
    </row>
    <row r="5">
      <c r="A5" s="25" t="inlineStr">
        <is>
          <t>1枠の長さ（分）</t>
        </is>
      </c>
      <c r="B5" s="29" t="n">
        <v>15</v>
      </c>
      <c r="E5" s="28">
        <f>IF(AND(ISNUMBER(B5),B5&gt;0),"","← 5〜120の数字を入れてください")</f>
        <v/>
      </c>
    </row>
    <row r="6">
      <c r="A6" s="25" t="inlineStr">
        <is>
          <t>1日の枠の数</t>
        </is>
      </c>
      <c r="B6" s="27">
        <f>MIN(24,calcA!$A$3+calcA!$A$4)</f>
        <v/>
      </c>
      <c r="D6" s="30" t="inlineStr">
        <is>
          <t>（最大24枠）</t>
        </is>
      </c>
      <c r="E6" s="28">
        <f>IF(calcA!$A$3+calcA!$A$4&gt;24,"← 枠が24をこえています。こえた分は使いません","")</f>
        <v/>
      </c>
    </row>
    <row r="7">
      <c r="K7" s="6" t="inlineStr">
        <is>
          <t>先生の都合で使えない枠（出張・会議など）</t>
        </is>
      </c>
    </row>
    <row r="8">
      <c r="A8" s="25" t="inlineStr">
        <is>
          <t>自動案の詰め方</t>
        </is>
      </c>
      <c r="B8" s="31" t="inlineStr">
        <is>
          <t>早い時間から（各日の最後を空ける）</t>
        </is>
      </c>
      <c r="C8" s="32" t="n"/>
      <c r="D8" s="32" t="n"/>
      <c r="E8" s="33" t="n"/>
      <c r="K8" s="30" t="inlineStr">
        <is>
          <t>「×」を選んだ日・時間・枠は、自動案にも調整・決定にも使いません。</t>
        </is>
      </c>
    </row>
    <row r="9">
      <c r="K9" s="34" t="inlineStr">
        <is>
          <t>この日は組まない ▶</t>
        </is>
      </c>
      <c r="M9" s="35" t="n"/>
      <c r="N9" s="35" t="n"/>
      <c r="O9" s="35" t="n"/>
      <c r="P9" s="35" t="n"/>
      <c r="Q9" s="35" t="n"/>
      <c r="R9" s="35" t="n"/>
    </row>
    <row r="10" ht="44" customHeight="1">
      <c r="B10" s="36" t="inlineStr">
        <is>
          <t>日付</t>
        </is>
      </c>
      <c r="C10" s="36" t="inlineStr">
        <is>
          <t>曜日</t>
        </is>
      </c>
      <c r="D10" s="36" t="inlineStr">
        <is>
          <t>なるべく空ける</t>
        </is>
      </c>
      <c r="E10" s="36" t="inlineStr">
        <is>
          <t>表示</t>
        </is>
      </c>
      <c r="G10" s="36" t="inlineStr">
        <is>
          <t>時刻</t>
        </is>
      </c>
      <c r="H10" s="36" t="inlineStr">
        <is>
          <t>休憩（なるべく空ける）</t>
        </is>
      </c>
      <c r="I10" s="36" t="inlineStr">
        <is>
          <t>表示</t>
        </is>
      </c>
      <c r="K10" s="37" t="inlineStr">
        <is>
          <t>この時間は
組まない ▼</t>
        </is>
      </c>
      <c r="L10" s="38" t="inlineStr"/>
      <c r="M10" s="39">
        <f>'設定'!$E$11</f>
        <v/>
      </c>
      <c r="N10" s="39">
        <f>'設定'!$E$12</f>
        <v/>
      </c>
      <c r="O10" s="39">
        <f>'設定'!$E$13</f>
        <v/>
      </c>
      <c r="P10" s="39">
        <f>'設定'!$E$14</f>
        <v/>
      </c>
      <c r="Q10" s="39">
        <f>'設定'!$E$15</f>
        <v/>
      </c>
      <c r="R10" s="39">
        <f>'設定'!$E$16</f>
        <v/>
      </c>
    </row>
    <row r="11">
      <c r="A11" s="27" t="inlineStr">
        <is>
          <t>1日目</t>
        </is>
      </c>
      <c r="B11" s="40" t="n">
        <v>46350</v>
      </c>
      <c r="C11" s="41">
        <f>IF(B11="","",CHOOSE(WEEKDAY(B11),"日","月","火","水","木","金","土"))</f>
        <v/>
      </c>
      <c r="D11" s="42" t="n"/>
      <c r="E11" s="43">
        <f>IF(B11="","",MONTH(B11)&amp;"月"&amp;DAY(B11)&amp;"日（"&amp;C11&amp;"）")</f>
        <v/>
      </c>
      <c r="F11" s="44" t="n">
        <v>1</v>
      </c>
      <c r="G11" s="45">
        <f>IF(F11&lt;=MIN(calcA!$A$3,24),$B$3+(F11-1)*$B$5/1440,IF(F11&lt;=$B$6,$B$4+(F11-calcA!$A$3-1)*$B$5/1440,""))</f>
        <v/>
      </c>
      <c r="H11" s="42" t="n"/>
      <c r="I11" s="41">
        <f>IF(G11="","",TEXT(G11,"h:mm")&amp;"〜")</f>
        <v/>
      </c>
      <c r="K11" s="35" t="n"/>
      <c r="L11" s="46">
        <f>$I$11</f>
        <v/>
      </c>
      <c r="M11" s="47" t="n"/>
      <c r="N11" s="47" t="n"/>
      <c r="O11" s="47" t="n"/>
      <c r="P11" s="47" t="n"/>
      <c r="Q11" s="47" t="n"/>
      <c r="R11" s="47" t="n"/>
    </row>
    <row r="12">
      <c r="A12" s="27" t="inlineStr">
        <is>
          <t>2日目</t>
        </is>
      </c>
      <c r="B12" s="40" t="n">
        <v>46351</v>
      </c>
      <c r="C12" s="41">
        <f>IF(B12="","",CHOOSE(WEEKDAY(B12),"日","月","火","水","木","金","土"))</f>
        <v/>
      </c>
      <c r="D12" s="42" t="n"/>
      <c r="E12" s="43">
        <f>IF(B12="","",MONTH(B12)&amp;"月"&amp;DAY(B12)&amp;"日（"&amp;C12&amp;"）")</f>
        <v/>
      </c>
      <c r="F12" s="44" t="n">
        <v>2</v>
      </c>
      <c r="G12" s="45">
        <f>IF(F12&lt;=MIN(calcA!$A$3,24),$B$3+(F12-1)*$B$5/1440,IF(F12&lt;=$B$6,$B$4+(F12-calcA!$A$3-1)*$B$5/1440,""))</f>
        <v/>
      </c>
      <c r="H12" s="42" t="n"/>
      <c r="I12" s="41">
        <f>IF(G12="","",TEXT(G12,"h:mm")&amp;"〜")</f>
        <v/>
      </c>
      <c r="K12" s="35" t="n"/>
      <c r="L12" s="46">
        <f>$I$12</f>
        <v/>
      </c>
      <c r="M12" s="47" t="n"/>
      <c r="N12" s="47" t="n"/>
      <c r="O12" s="47" t="n"/>
      <c r="P12" s="47" t="n"/>
      <c r="Q12" s="47" t="n"/>
      <c r="R12" s="47" t="n"/>
    </row>
    <row r="13">
      <c r="A13" s="27" t="inlineStr">
        <is>
          <t>3日目</t>
        </is>
      </c>
      <c r="B13" s="40" t="n">
        <v>46352</v>
      </c>
      <c r="C13" s="41">
        <f>IF(B13="","",CHOOSE(WEEKDAY(B13),"日","月","火","水","木","金","土"))</f>
        <v/>
      </c>
      <c r="D13" s="42" t="n"/>
      <c r="E13" s="43">
        <f>IF(B13="","",MONTH(B13)&amp;"月"&amp;DAY(B13)&amp;"日（"&amp;C13&amp;"）")</f>
        <v/>
      </c>
      <c r="F13" s="44" t="n">
        <v>3</v>
      </c>
      <c r="G13" s="45">
        <f>IF(F13&lt;=MIN(calcA!$A$3,24),$B$3+(F13-1)*$B$5/1440,IF(F13&lt;=$B$6,$B$4+(F13-calcA!$A$3-1)*$B$5/1440,""))</f>
        <v/>
      </c>
      <c r="H13" s="42" t="n"/>
      <c r="I13" s="41">
        <f>IF(G13="","",TEXT(G13,"h:mm")&amp;"〜")</f>
        <v/>
      </c>
      <c r="K13" s="35" t="n"/>
      <c r="L13" s="46">
        <f>$I$13</f>
        <v/>
      </c>
      <c r="M13" s="47" t="n"/>
      <c r="N13" s="47" t="n"/>
      <c r="O13" s="47" t="n"/>
      <c r="P13" s="47" t="n"/>
      <c r="Q13" s="47" t="n"/>
      <c r="R13" s="47" t="n"/>
    </row>
    <row r="14">
      <c r="A14" s="27" t="inlineStr">
        <is>
          <t>4日目</t>
        </is>
      </c>
      <c r="B14" s="40" t="n">
        <v>46353</v>
      </c>
      <c r="C14" s="41">
        <f>IF(B14="","",CHOOSE(WEEKDAY(B14),"日","月","火","水","木","金","土"))</f>
        <v/>
      </c>
      <c r="D14" s="42" t="n"/>
      <c r="E14" s="43">
        <f>IF(B14="","",MONTH(B14)&amp;"月"&amp;DAY(B14)&amp;"日（"&amp;C14&amp;"）")</f>
        <v/>
      </c>
      <c r="F14" s="44" t="n">
        <v>4</v>
      </c>
      <c r="G14" s="45">
        <f>IF(F14&lt;=MIN(calcA!$A$3,24),$B$3+(F14-1)*$B$5/1440,IF(F14&lt;=$B$6,$B$4+(F14-calcA!$A$3-1)*$B$5/1440,""))</f>
        <v/>
      </c>
      <c r="H14" s="42" t="n"/>
      <c r="I14" s="41">
        <f>IF(G14="","",TEXT(G14,"h:mm")&amp;"〜")</f>
        <v/>
      </c>
      <c r="K14" s="35" t="n"/>
      <c r="L14" s="46">
        <f>$I$14</f>
        <v/>
      </c>
      <c r="M14" s="47" t="n"/>
      <c r="N14" s="47" t="n"/>
      <c r="O14" s="47" t="n"/>
      <c r="P14" s="47" t="n"/>
      <c r="Q14" s="47" t="n"/>
      <c r="R14" s="47" t="n"/>
    </row>
    <row r="15">
      <c r="A15" s="27" t="inlineStr">
        <is>
          <t>5日目</t>
        </is>
      </c>
      <c r="B15" s="40" t="n">
        <v>46356</v>
      </c>
      <c r="C15" s="41">
        <f>IF(B15="","",CHOOSE(WEEKDAY(B15),"日","月","火","水","木","金","土"))</f>
        <v/>
      </c>
      <c r="D15" s="42" t="n"/>
      <c r="E15" s="43">
        <f>IF(B15="","",MONTH(B15)&amp;"月"&amp;DAY(B15)&amp;"日（"&amp;C15&amp;"）")</f>
        <v/>
      </c>
      <c r="F15" s="44" t="n">
        <v>5</v>
      </c>
      <c r="G15" s="45">
        <f>IF(F15&lt;=MIN(calcA!$A$3,24),$B$3+(F15-1)*$B$5/1440,IF(F15&lt;=$B$6,$B$4+(F15-calcA!$A$3-1)*$B$5/1440,""))</f>
        <v/>
      </c>
      <c r="H15" s="42" t="n"/>
      <c r="I15" s="41">
        <f>IF(G15="","",TEXT(G15,"h:mm")&amp;"〜")</f>
        <v/>
      </c>
      <c r="K15" s="35" t="n"/>
      <c r="L15" s="46">
        <f>$I$15</f>
        <v/>
      </c>
      <c r="M15" s="47" t="n"/>
      <c r="N15" s="47" t="n"/>
      <c r="O15" s="47" t="n"/>
      <c r="P15" s="47" t="n"/>
      <c r="Q15" s="47" t="n"/>
      <c r="R15" s="47" t="n"/>
    </row>
    <row r="16">
      <c r="A16" s="27" t="inlineStr">
        <is>
          <t>6日目</t>
        </is>
      </c>
      <c r="B16" s="40" t="n"/>
      <c r="C16" s="41">
        <f>IF(B16="","",CHOOSE(WEEKDAY(B16),"日","月","火","水","木","金","土"))</f>
        <v/>
      </c>
      <c r="D16" s="42" t="n"/>
      <c r="E16" s="43">
        <f>IF(B16="","",MONTH(B16)&amp;"月"&amp;DAY(B16)&amp;"日（"&amp;C16&amp;"）")</f>
        <v/>
      </c>
      <c r="F16" s="44" t="n">
        <v>6</v>
      </c>
      <c r="G16" s="45">
        <f>IF(F16&lt;=MIN(calcA!$A$3,24),$B$3+(F16-1)*$B$5/1440,IF(F16&lt;=$B$6,$B$4+(F16-calcA!$A$3-1)*$B$5/1440,""))</f>
        <v/>
      </c>
      <c r="H16" s="42" t="n"/>
      <c r="I16" s="41">
        <f>IF(G16="","",TEXT(G16,"h:mm")&amp;"〜")</f>
        <v/>
      </c>
      <c r="K16" s="35" t="n"/>
      <c r="L16" s="46">
        <f>$I$16</f>
        <v/>
      </c>
      <c r="M16" s="47" t="n"/>
      <c r="N16" s="47" t="n"/>
      <c r="O16" s="47" t="n"/>
      <c r="P16" s="47" t="n"/>
      <c r="Q16" s="47" t="n"/>
      <c r="R16" s="47" t="n"/>
    </row>
    <row r="17">
      <c r="F17" s="44" t="n">
        <v>7</v>
      </c>
      <c r="G17" s="45">
        <f>IF(F17&lt;=MIN(calcA!$A$3,24),$B$3+(F17-1)*$B$5/1440,IF(F17&lt;=$B$6,$B$4+(F17-calcA!$A$3-1)*$B$5/1440,""))</f>
        <v/>
      </c>
      <c r="H17" s="42" t="n"/>
      <c r="I17" s="41">
        <f>IF(G17="","",TEXT(G17,"h:mm")&amp;"〜")</f>
        <v/>
      </c>
      <c r="K17" s="35" t="n"/>
      <c r="L17" s="46">
        <f>$I$17</f>
        <v/>
      </c>
      <c r="M17" s="47" t="n"/>
      <c r="N17" s="47" t="n"/>
      <c r="O17" s="47" t="n"/>
      <c r="P17" s="47" t="n"/>
      <c r="Q17" s="47" t="n"/>
      <c r="R17" s="47" t="n"/>
    </row>
    <row r="18">
      <c r="F18" s="44" t="n">
        <v>8</v>
      </c>
      <c r="G18" s="45">
        <f>IF(F18&lt;=MIN(calcA!$A$3,24),$B$3+(F18-1)*$B$5/1440,IF(F18&lt;=$B$6,$B$4+(F18-calcA!$A$3-1)*$B$5/1440,""))</f>
        <v/>
      </c>
      <c r="H18" s="42" t="n"/>
      <c r="I18" s="41">
        <f>IF(G18="","",TEXT(G18,"h:mm")&amp;"〜")</f>
        <v/>
      </c>
      <c r="K18" s="35" t="n"/>
      <c r="L18" s="46">
        <f>$I$18</f>
        <v/>
      </c>
      <c r="M18" s="47" t="n"/>
      <c r="N18" s="47" t="n"/>
      <c r="O18" s="47" t="n"/>
      <c r="P18" s="47" t="n"/>
      <c r="Q18" s="47" t="n"/>
      <c r="R18" s="47" t="n"/>
    </row>
    <row r="19">
      <c r="F19" s="44" t="n">
        <v>9</v>
      </c>
      <c r="G19" s="45">
        <f>IF(F19&lt;=MIN(calcA!$A$3,24),$B$3+(F19-1)*$B$5/1440,IF(F19&lt;=$B$6,$B$4+(F19-calcA!$A$3-1)*$B$5/1440,""))</f>
        <v/>
      </c>
      <c r="H19" s="42" t="n"/>
      <c r="I19" s="41">
        <f>IF(G19="","",TEXT(G19,"h:mm")&amp;"〜")</f>
        <v/>
      </c>
      <c r="K19" s="35" t="n"/>
      <c r="L19" s="46">
        <f>$I$19</f>
        <v/>
      </c>
      <c r="M19" s="47" t="n"/>
      <c r="N19" s="47" t="n"/>
      <c r="O19" s="47" t="n"/>
      <c r="P19" s="47" t="n"/>
      <c r="Q19" s="47" t="n"/>
      <c r="R19" s="47" t="n"/>
    </row>
    <row r="20">
      <c r="F20" s="44" t="n">
        <v>10</v>
      </c>
      <c r="G20" s="45">
        <f>IF(F20&lt;=MIN(calcA!$A$3,24),$B$3+(F20-1)*$B$5/1440,IF(F20&lt;=$B$6,$B$4+(F20-calcA!$A$3-1)*$B$5/1440,""))</f>
        <v/>
      </c>
      <c r="H20" s="42" t="n"/>
      <c r="I20" s="41">
        <f>IF(G20="","",TEXT(G20,"h:mm")&amp;"〜")</f>
        <v/>
      </c>
      <c r="K20" s="35" t="n"/>
      <c r="L20" s="46">
        <f>$I$20</f>
        <v/>
      </c>
      <c r="M20" s="47" t="n"/>
      <c r="N20" s="47" t="n"/>
      <c r="O20" s="47" t="n"/>
      <c r="P20" s="47" t="n"/>
      <c r="Q20" s="47" t="n"/>
      <c r="R20" s="47" t="n"/>
    </row>
    <row r="21">
      <c r="F21" s="44" t="n">
        <v>11</v>
      </c>
      <c r="G21" s="45">
        <f>IF(F21&lt;=MIN(calcA!$A$3,24),$B$3+(F21-1)*$B$5/1440,IF(F21&lt;=$B$6,$B$4+(F21-calcA!$A$3-1)*$B$5/1440,""))</f>
        <v/>
      </c>
      <c r="H21" s="42" t="n"/>
      <c r="I21" s="41">
        <f>IF(G21="","",TEXT(G21,"h:mm")&amp;"〜")</f>
        <v/>
      </c>
      <c r="K21" s="35" t="n"/>
      <c r="L21" s="46">
        <f>$I$21</f>
        <v/>
      </c>
      <c r="M21" s="47" t="n"/>
      <c r="N21" s="47" t="n"/>
      <c r="O21" s="47" t="n"/>
      <c r="P21" s="47" t="n"/>
      <c r="Q21" s="47" t="n"/>
      <c r="R21" s="47" t="n"/>
    </row>
    <row r="22">
      <c r="A22" s="48" t="inlineStr">
        <is>
          <t>※ 日付は上から詰めて入れてください。曜日・表示・時刻は自動で出ます。午前と午後に分けるときは、時間帯2も入れます（昼休みは表に出ません）。</t>
        </is>
      </c>
      <c r="F22" s="44" t="n">
        <v>12</v>
      </c>
      <c r="G22" s="45">
        <f>IF(F22&lt;=MIN(calcA!$A$3,24),$B$3+(F22-1)*$B$5/1440,IF(F22&lt;=$B$6,$B$4+(F22-calcA!$A$3-1)*$B$5/1440,""))</f>
        <v/>
      </c>
      <c r="H22" s="42" t="n"/>
      <c r="I22" s="41">
        <f>IF(G22="","",TEXT(G22,"h:mm")&amp;"〜")</f>
        <v/>
      </c>
      <c r="K22" s="35" t="n"/>
      <c r="L22" s="46">
        <f>$I$22</f>
        <v/>
      </c>
      <c r="M22" s="47" t="n"/>
      <c r="N22" s="47" t="n"/>
      <c r="O22" s="47" t="n"/>
      <c r="P22" s="47" t="n"/>
      <c r="Q22" s="47" t="n"/>
      <c r="R22" s="47" t="n"/>
    </row>
    <row r="23">
      <c r="F23" s="44" t="n">
        <v>13</v>
      </c>
      <c r="G23" s="45">
        <f>IF(F23&lt;=MIN(calcA!$A$3,24),$B$3+(F23-1)*$B$5/1440,IF(F23&lt;=$B$6,$B$4+(F23-calcA!$A$3-1)*$B$5/1440,""))</f>
        <v/>
      </c>
      <c r="H23" s="42" t="n"/>
      <c r="I23" s="41">
        <f>IF(G23="","",TEXT(G23,"h:mm")&amp;"〜")</f>
        <v/>
      </c>
      <c r="K23" s="35" t="n"/>
      <c r="L23" s="46">
        <f>$I$23</f>
        <v/>
      </c>
      <c r="M23" s="47" t="n"/>
      <c r="N23" s="47" t="n"/>
      <c r="O23" s="47" t="n"/>
      <c r="P23" s="47" t="n"/>
      <c r="Q23" s="47" t="n"/>
      <c r="R23" s="47" t="n"/>
    </row>
    <row r="24">
      <c r="F24" s="44" t="n">
        <v>14</v>
      </c>
      <c r="G24" s="45">
        <f>IF(F24&lt;=MIN(calcA!$A$3,24),$B$3+(F24-1)*$B$5/1440,IF(F24&lt;=$B$6,$B$4+(F24-calcA!$A$3-1)*$B$5/1440,""))</f>
        <v/>
      </c>
      <c r="H24" s="42" t="n"/>
      <c r="I24" s="41">
        <f>IF(G24="","",TEXT(G24,"h:mm")&amp;"〜")</f>
        <v/>
      </c>
      <c r="K24" s="35" t="n"/>
      <c r="L24" s="46">
        <f>$I$24</f>
        <v/>
      </c>
      <c r="M24" s="47" t="n"/>
      <c r="N24" s="47" t="n"/>
      <c r="O24" s="47" t="n"/>
      <c r="P24" s="47" t="n"/>
      <c r="Q24" s="47" t="n"/>
      <c r="R24" s="47" t="n"/>
    </row>
    <row r="25">
      <c r="A25" s="48" t="inlineStr">
        <is>
          <t>※「なるべく空ける」「休憩」は、ほかに入る枠がないときだけ使います。必ず使わない枠は、右の「先生の都合で使えない枠」で止めてください。</t>
        </is>
      </c>
      <c r="F25" s="44" t="n">
        <v>15</v>
      </c>
      <c r="G25" s="45">
        <f>IF(F25&lt;=MIN(calcA!$A$3,24),$B$3+(F25-1)*$B$5/1440,IF(F25&lt;=$B$6,$B$4+(F25-calcA!$A$3-1)*$B$5/1440,""))</f>
        <v/>
      </c>
      <c r="H25" s="42" t="n"/>
      <c r="I25" s="41">
        <f>IF(G25="","",TEXT(G25,"h:mm")&amp;"〜")</f>
        <v/>
      </c>
      <c r="K25" s="35" t="n"/>
      <c r="L25" s="46">
        <f>$I$25</f>
        <v/>
      </c>
      <c r="M25" s="47" t="n"/>
      <c r="N25" s="47" t="n"/>
      <c r="O25" s="47" t="n"/>
      <c r="P25" s="47" t="n"/>
      <c r="Q25" s="47" t="n"/>
      <c r="R25" s="47" t="n"/>
    </row>
    <row r="26">
      <c r="F26" s="44" t="n">
        <v>16</v>
      </c>
      <c r="G26" s="45">
        <f>IF(F26&lt;=MIN(calcA!$A$3,24),$B$3+(F26-1)*$B$5/1440,IF(F26&lt;=$B$6,$B$4+(F26-calcA!$A$3-1)*$B$5/1440,""))</f>
        <v/>
      </c>
      <c r="H26" s="42" t="n"/>
      <c r="I26" s="41">
        <f>IF(G26="","",TEXT(G26,"h:mm")&amp;"〜")</f>
        <v/>
      </c>
      <c r="K26" s="35" t="n"/>
      <c r="L26" s="46">
        <f>$I$26</f>
        <v/>
      </c>
      <c r="M26" s="47" t="n"/>
      <c r="N26" s="47" t="n"/>
      <c r="O26" s="47" t="n"/>
      <c r="P26" s="47" t="n"/>
      <c r="Q26" s="47" t="n"/>
      <c r="R26" s="47" t="n"/>
    </row>
    <row r="27">
      <c r="F27" s="44" t="n">
        <v>17</v>
      </c>
      <c r="G27" s="45">
        <f>IF(F27&lt;=MIN(calcA!$A$3,24),$B$3+(F27-1)*$B$5/1440,IF(F27&lt;=$B$6,$B$4+(F27-calcA!$A$3-1)*$B$5/1440,""))</f>
        <v/>
      </c>
      <c r="H27" s="42" t="n"/>
      <c r="I27" s="41">
        <f>IF(G27="","",TEXT(G27,"h:mm")&amp;"〜")</f>
        <v/>
      </c>
      <c r="K27" s="35" t="n"/>
      <c r="L27" s="46">
        <f>$I$27</f>
        <v/>
      </c>
      <c r="M27" s="47" t="n"/>
      <c r="N27" s="47" t="n"/>
      <c r="O27" s="47" t="n"/>
      <c r="P27" s="47" t="n"/>
      <c r="Q27" s="47" t="n"/>
      <c r="R27" s="47" t="n"/>
    </row>
    <row r="28">
      <c r="F28" s="44" t="n">
        <v>18</v>
      </c>
      <c r="G28" s="45">
        <f>IF(F28&lt;=MIN(calcA!$A$3,24),$B$3+(F28-1)*$B$5/1440,IF(F28&lt;=$B$6,$B$4+(F28-calcA!$A$3-1)*$B$5/1440,""))</f>
        <v/>
      </c>
      <c r="H28" s="42" t="n"/>
      <c r="I28" s="41">
        <f>IF(G28="","",TEXT(G28,"h:mm")&amp;"〜")</f>
        <v/>
      </c>
      <c r="K28" s="35" t="n"/>
      <c r="L28" s="46">
        <f>$I$28</f>
        <v/>
      </c>
      <c r="M28" s="47" t="n"/>
      <c r="N28" s="47" t="n"/>
      <c r="O28" s="47" t="n"/>
      <c r="P28" s="47" t="n"/>
      <c r="Q28" s="47" t="n"/>
      <c r="R28" s="47" t="n"/>
    </row>
    <row r="29">
      <c r="F29" s="44" t="n">
        <v>19</v>
      </c>
      <c r="G29" s="45">
        <f>IF(F29&lt;=MIN(calcA!$A$3,24),$B$3+(F29-1)*$B$5/1440,IF(F29&lt;=$B$6,$B$4+(F29-calcA!$A$3-1)*$B$5/1440,""))</f>
        <v/>
      </c>
      <c r="H29" s="42" t="n"/>
      <c r="I29" s="41">
        <f>IF(G29="","",TEXT(G29,"h:mm")&amp;"〜")</f>
        <v/>
      </c>
      <c r="K29" s="35" t="n"/>
      <c r="L29" s="46">
        <f>$I$29</f>
        <v/>
      </c>
      <c r="M29" s="47" t="n"/>
      <c r="N29" s="47" t="n"/>
      <c r="O29" s="47" t="n"/>
      <c r="P29" s="47" t="n"/>
      <c r="Q29" s="47" t="n"/>
      <c r="R29" s="47" t="n"/>
    </row>
    <row r="30">
      <c r="A30" s="6" t="inlineStr">
        <is>
          <t>お手紙（お知らせ）</t>
        </is>
      </c>
      <c r="B30" s="30" t="inlineStr">
        <is>
          <t>「お手紙（夏）」「お手紙（秋）」シートに出ます。</t>
        </is>
      </c>
      <c r="F30" s="44" t="n">
        <v>20</v>
      </c>
      <c r="G30" s="45">
        <f>IF(F30&lt;=MIN(calcA!$A$3,24),$B$3+(F30-1)*$B$5/1440,IF(F30&lt;=$B$6,$B$4+(F30-calcA!$A$3-1)*$B$5/1440,""))</f>
        <v/>
      </c>
      <c r="H30" s="42" t="n"/>
      <c r="I30" s="41">
        <f>IF(G30="","",TEXT(G30,"h:mm")&amp;"〜")</f>
        <v/>
      </c>
      <c r="K30" s="35" t="n"/>
      <c r="L30" s="46">
        <f>$I$30</f>
        <v/>
      </c>
      <c r="M30" s="47" t="n"/>
      <c r="N30" s="47" t="n"/>
      <c r="O30" s="47" t="n"/>
      <c r="P30" s="47" t="n"/>
      <c r="Q30" s="47" t="n"/>
      <c r="R30" s="47" t="n"/>
    </row>
    <row r="31">
      <c r="A31" s="25" t="inlineStr">
        <is>
          <t>学年</t>
        </is>
      </c>
      <c r="B31" s="49" t="n">
        <v>6</v>
      </c>
      <c r="C31" s="30">
        <f>IF(B36="学年に合わせる（6年は進路面談）","→ "&amp;IF(OR(IF(RIGHT(B31,1)="年",LEFT(B31,LEN(B31)-1),B31)&amp;""="6",IF(RIGHT(B31,1)="年",LEFT(B31,LEN(B31)-1),B31)&amp;""="６"),"進路面談","個人面談")&amp;"のお知らせになります","")</f>
        <v/>
      </c>
      <c r="F31" s="44" t="n">
        <v>21</v>
      </c>
      <c r="G31" s="45">
        <f>IF(F31&lt;=MIN(calcA!$A$3,24),$B$3+(F31-1)*$B$5/1440,IF(F31&lt;=$B$6,$B$4+(F31-calcA!$A$3-1)*$B$5/1440,""))</f>
        <v/>
      </c>
      <c r="H31" s="42" t="n"/>
      <c r="I31" s="41">
        <f>IF(G31="","",TEXT(G31,"h:mm")&amp;"〜")</f>
        <v/>
      </c>
      <c r="K31" s="35" t="n"/>
      <c r="L31" s="46">
        <f>$I$31</f>
        <v/>
      </c>
      <c r="M31" s="47" t="n"/>
      <c r="N31" s="47" t="n"/>
      <c r="O31" s="47" t="n"/>
      <c r="P31" s="47" t="n"/>
      <c r="Q31" s="47" t="n"/>
      <c r="R31" s="47" t="n"/>
    </row>
    <row r="32">
      <c r="A32" s="25" t="inlineStr">
        <is>
          <t>組</t>
        </is>
      </c>
      <c r="B32" s="50" t="n">
        <v>1</v>
      </c>
      <c r="C32" s="30" t="inlineStr">
        <is>
          <t>← 数字だけ（例：1）。「組」は自動</t>
        </is>
      </c>
      <c r="F32" s="44" t="n">
        <v>22</v>
      </c>
      <c r="G32" s="45">
        <f>IF(F32&lt;=MIN(calcA!$A$3,24),$B$3+(F32-1)*$B$5/1440,IF(F32&lt;=$B$6,$B$4+(F32-calcA!$A$3-1)*$B$5/1440,""))</f>
        <v/>
      </c>
      <c r="H32" s="42" t="n"/>
      <c r="I32" s="41">
        <f>IF(G32="","",TEXT(G32,"h:mm")&amp;"〜")</f>
        <v/>
      </c>
      <c r="K32" s="35" t="n"/>
      <c r="L32" s="46">
        <f>$I$32</f>
        <v/>
      </c>
      <c r="M32" s="47" t="n"/>
      <c r="N32" s="47" t="n"/>
      <c r="O32" s="47" t="n"/>
      <c r="P32" s="47" t="n"/>
      <c r="Q32" s="47" t="n"/>
      <c r="R32" s="47" t="n"/>
    </row>
    <row r="33">
      <c r="A33" s="25" t="inlineStr">
        <is>
          <t>担任名</t>
        </is>
      </c>
      <c r="B33" s="51" t="n"/>
      <c r="C33" s="32" t="n"/>
      <c r="D33" s="32" t="n"/>
      <c r="E33" s="33" t="n"/>
      <c r="F33" s="44" t="n">
        <v>23</v>
      </c>
      <c r="G33" s="45">
        <f>IF(F33&lt;=MIN(calcA!$A$3,24),$B$3+(F33-1)*$B$5/1440,IF(F33&lt;=$B$6,$B$4+(F33-calcA!$A$3-1)*$B$5/1440,""))</f>
        <v/>
      </c>
      <c r="H33" s="42" t="n"/>
      <c r="I33" s="41">
        <f>IF(G33="","",TEXT(G33,"h:mm")&amp;"〜")</f>
        <v/>
      </c>
      <c r="K33" s="35" t="n"/>
      <c r="L33" s="46">
        <f>$I$33</f>
        <v/>
      </c>
      <c r="M33" s="47" t="n"/>
      <c r="N33" s="47" t="n"/>
      <c r="O33" s="47" t="n"/>
      <c r="P33" s="47" t="n"/>
      <c r="Q33" s="47" t="n"/>
      <c r="R33" s="47" t="n"/>
    </row>
    <row r="34">
      <c r="A34" s="25" t="inlineStr">
        <is>
          <t>学校名</t>
        </is>
      </c>
      <c r="B34" s="51" t="n"/>
      <c r="C34" s="32" t="n"/>
      <c r="D34" s="32" t="n"/>
      <c r="E34" s="33" t="n"/>
      <c r="F34" s="44" t="n">
        <v>24</v>
      </c>
      <c r="G34" s="45">
        <f>IF(F34&lt;=MIN(calcA!$A$3,24),$B$3+(F34-1)*$B$5/1440,IF(F34&lt;=$B$6,$B$4+(F34-calcA!$A$3-1)*$B$5/1440,""))</f>
        <v/>
      </c>
      <c r="H34" s="42" t="n"/>
      <c r="I34" s="41">
        <f>IF(G34="","",TEXT(G34,"h:mm")&amp;"〜")</f>
        <v/>
      </c>
      <c r="K34" s="35" t="n"/>
      <c r="L34" s="46">
        <f>$I$34</f>
        <v/>
      </c>
      <c r="M34" s="47" t="n"/>
      <c r="N34" s="47" t="n"/>
      <c r="O34" s="47" t="n"/>
      <c r="P34" s="47" t="n"/>
      <c r="Q34" s="47" t="n"/>
      <c r="R34" s="47" t="n"/>
    </row>
    <row r="35">
      <c r="A35" s="25" t="inlineStr">
        <is>
          <t>お手紙の日付</t>
        </is>
      </c>
      <c r="B35" s="52" t="n">
        <v>46325</v>
      </c>
    </row>
    <row r="36">
      <c r="A36" s="25" t="inlineStr">
        <is>
          <t>面談の種類</t>
        </is>
      </c>
      <c r="B36" s="51" t="inlineStr">
        <is>
          <t>学年に合わせる（6年は進路面談）</t>
        </is>
      </c>
      <c r="C36" s="32" t="n"/>
      <c r="D36" s="32" t="n"/>
      <c r="E36" s="33" t="n"/>
    </row>
    <row r="37">
      <c r="A37" s="53" t="inlineStr">
        <is>
          <t>秋の本文</t>
        </is>
      </c>
      <c r="B37" s="54"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5" t="n"/>
      <c r="D37" s="55" t="n"/>
      <c r="E37" s="55" t="n"/>
      <c r="F37" s="55" t="n"/>
      <c r="G37" s="55" t="n"/>
      <c r="H37" s="55" t="n"/>
      <c r="I37" s="56" t="n"/>
    </row>
    <row r="38">
      <c r="B38" s="57" t="n"/>
      <c r="I38" s="58" t="n"/>
    </row>
    <row r="39">
      <c r="B39" s="59" t="n"/>
      <c r="C39" s="60" t="n"/>
      <c r="D39" s="60" t="n"/>
      <c r="E39" s="60" t="n"/>
      <c r="F39" s="60" t="n"/>
      <c r="G39" s="60" t="n"/>
      <c r="H39" s="60" t="n"/>
      <c r="I39" s="61" t="n"/>
    </row>
    <row r="40">
      <c r="A40" s="25" t="inlineStr">
        <is>
          <t>秋の注意（表の下・3行）</t>
        </is>
      </c>
      <c r="B40" s="31" t="inlineStr">
        <is>
          <t>〇来校の際には、名札・上履きをお持ちください。</t>
        </is>
      </c>
      <c r="C40" s="32" t="n"/>
      <c r="D40" s="32" t="n"/>
      <c r="E40" s="32" t="n"/>
      <c r="F40" s="32" t="n"/>
      <c r="G40" s="32" t="n"/>
      <c r="H40" s="32" t="n"/>
      <c r="I40" s="33" t="n"/>
    </row>
    <row r="41">
      <c r="B41" s="31" t="n"/>
      <c r="C41" s="32" t="n"/>
      <c r="D41" s="32" t="n"/>
      <c r="E41" s="32" t="n"/>
      <c r="F41" s="32" t="n"/>
      <c r="G41" s="32" t="n"/>
      <c r="H41" s="32" t="n"/>
      <c r="I41" s="33" t="n"/>
    </row>
    <row r="42">
      <c r="B42" s="31" t="n"/>
      <c r="C42" s="32" t="n"/>
      <c r="D42" s="32" t="n"/>
      <c r="E42" s="32" t="n"/>
      <c r="F42" s="32" t="n"/>
      <c r="G42" s="32" t="n"/>
      <c r="H42" s="32" t="n"/>
      <c r="I42" s="33" t="n"/>
    </row>
    <row r="43">
      <c r="A43" s="53" t="inlineStr">
        <is>
          <t>夏の本文</t>
        </is>
      </c>
      <c r="B43" s="54" t="inlineStr">
        <is>
          <t>下記の日程で予定を組ませていただきました。どうぞ、よろしくお願いいたします。</t>
        </is>
      </c>
      <c r="C43" s="55" t="n"/>
      <c r="D43" s="55" t="n"/>
      <c r="E43" s="55" t="n"/>
      <c r="F43" s="55" t="n"/>
      <c r="G43" s="55" t="n"/>
      <c r="H43" s="55" t="n"/>
      <c r="I43" s="56" t="n"/>
    </row>
    <row r="44">
      <c r="B44" s="59" t="n"/>
      <c r="C44" s="60" t="n"/>
      <c r="D44" s="60" t="n"/>
      <c r="E44" s="60" t="n"/>
      <c r="F44" s="60" t="n"/>
      <c r="G44" s="60" t="n"/>
      <c r="H44" s="60" t="n"/>
      <c r="I44" s="61" t="n"/>
    </row>
    <row r="45">
      <c r="A45" s="25" t="inlineStr">
        <is>
          <t>夏の注意（表の上・3行）</t>
        </is>
      </c>
      <c r="B45" s="31" t="inlineStr">
        <is>
          <t>〇来校の際には、名札・上履きをお持ちください。</t>
        </is>
      </c>
      <c r="C45" s="32" t="n"/>
      <c r="D45" s="32" t="n"/>
      <c r="E45" s="32" t="n"/>
      <c r="F45" s="32" t="n"/>
      <c r="G45" s="32" t="n"/>
      <c r="H45" s="32" t="n"/>
      <c r="I45" s="33" t="n"/>
    </row>
    <row r="46">
      <c r="B46" s="31" t="n"/>
      <c r="C46" s="32" t="n"/>
      <c r="D46" s="32" t="n"/>
      <c r="E46" s="32" t="n"/>
      <c r="F46" s="32" t="n"/>
      <c r="G46" s="32" t="n"/>
      <c r="H46" s="32" t="n"/>
      <c r="I46" s="33" t="n"/>
    </row>
    <row r="47">
      <c r="B47" s="31" t="n"/>
      <c r="C47" s="32" t="n"/>
      <c r="D47" s="32" t="n"/>
      <c r="E47" s="32" t="n"/>
      <c r="F47" s="32" t="n"/>
      <c r="G47" s="32" t="n"/>
      <c r="H47" s="32" t="n"/>
      <c r="I47" s="33" t="n"/>
    </row>
    <row r="48">
      <c r="A48" s="30" t="inlineStr">
        <is>
          <t>※ 本文の「【面談】」のところは、「個人面談」か「進路面談」に自動で変わります。</t>
        </is>
      </c>
    </row>
    <row r="49">
      <c r="A49" s="30" t="inlineStr">
        <is>
          <t>※ 本文は、秋は4行（140字）、夏は2行（82字）まで印刷されます。</t>
        </is>
      </c>
    </row>
  </sheetData>
  <mergeCells count="18">
    <mergeCell ref="I1:J1"/>
    <mergeCell ref="B43:I44"/>
    <mergeCell ref="A25:E27"/>
    <mergeCell ref="B8:E8"/>
    <mergeCell ref="B45:I45"/>
    <mergeCell ref="B47:I47"/>
    <mergeCell ref="B46:I46"/>
    <mergeCell ref="K1:L1"/>
    <mergeCell ref="K9:L9"/>
    <mergeCell ref="B42:I42"/>
    <mergeCell ref="B33:E33"/>
    <mergeCell ref="B41:I41"/>
    <mergeCell ref="B34:E34"/>
    <mergeCell ref="A22:E24"/>
    <mergeCell ref="B37:I39"/>
    <mergeCell ref="F1:G1"/>
    <mergeCell ref="B36:E36"/>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1"/>
    <pageSetUpPr/>
  </sheetPr>
  <dimension ref="A1:AE44"/>
  <sheetViews>
    <sheetView showGridLines="0" showRowColHeader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width="15" customWidth="1" min="7" max="7"/>
    <col width="9" customWidth="1" min="8" max="8"/>
    <col width="11" customWidth="1" min="9" max="9"/>
    <col width="15" customWidth="1" min="10" max="10"/>
    <col width="9" customWidth="1" min="11" max="11"/>
    <col width="11" customWidth="1" min="12" max="12"/>
    <col width="15" customWidth="1" min="13" max="13"/>
    <col width="9" customWidth="1" min="14" max="14"/>
    <col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2">
        <f>HYPERLINK("#'ホーム'!A1","ホーム")</f>
        <v/>
      </c>
      <c r="E1" s="2" t="n"/>
      <c r="F1" s="2" t="n"/>
      <c r="G1" s="2" t="n"/>
      <c r="H1" s="2" t="n"/>
      <c r="I1" s="2" t="n"/>
      <c r="J1" s="2" t="n"/>
      <c r="K1" s="2" t="n"/>
      <c r="L1" s="2" t="n"/>
      <c r="M1" s="2" t="n"/>
      <c r="N1" s="2" t="n"/>
      <c r="O1" s="2" t="n"/>
      <c r="P1" s="22">
        <f>HYPERLINK("#'設定'!A1","① 設定")</f>
        <v/>
      </c>
      <c r="Q1" s="23">
        <f>HYPERLINK("#'名簿'!A1","② 名簿")</f>
        <v/>
      </c>
      <c r="R1" s="24" t="n"/>
      <c r="S1" s="22">
        <f>HYPERLINK("#'×入力'!A1","③ ×入力")</f>
        <v/>
      </c>
      <c r="T1" s="24" t="n"/>
      <c r="U1" s="22">
        <f>HYPERLINK("#'自動案A'!A1","④ 自動案A")</f>
        <v/>
      </c>
      <c r="V1" s="2" t="n"/>
      <c r="W1" s="2" t="n"/>
      <c r="X1" s="22">
        <f>HYPERLINK("#'自動案B'!A1","④ 自動案B")</f>
        <v/>
      </c>
      <c r="Y1" s="22">
        <f>HYPERLINK("#'調整・決定'!A1","⑤ 調整・決定")</f>
        <v/>
      </c>
      <c r="Z1" s="22">
        <f>HYPERLINK("#'兄弟確認用'!A1","⑥ 兄弟確認")</f>
        <v/>
      </c>
      <c r="AA1" s="24" t="n"/>
      <c r="AB1" s="22">
        <f>HYPERLINK("#'お手紙（夏）'!A1","⑦ お手紙 夏")</f>
        <v/>
      </c>
      <c r="AC1" s="24" t="n"/>
      <c r="AD1" s="22">
        <f>HYPERLINK("#'お手紙（秋）'!A1","⑧ お手紙 秋")</f>
        <v/>
      </c>
      <c r="AE1" s="24"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40" customHeight="1">
      <c r="A3" s="62" t="inlineStr">
        <is>
          <t>兄弟の欄をダブルクリック（またはプルダウン）で〇 → 兄弟クラスと、兄弟①〜③の日時の欄が出ます。兄弟クラスの書き方は自由（例：2年1組、2-1、兄 5年）。</t>
        </is>
      </c>
      <c r="F3" s="63" t="inlineStr">
        <is>
          <t>兄弟の日時欄
▶ 出す／しまう</t>
        </is>
      </c>
    </row>
    <row r="4" ht="32" customHeight="1">
      <c r="A4" s="64" t="inlineStr">
        <is>
          <t>番号</t>
        </is>
      </c>
      <c r="B4" s="64" t="inlineStr">
        <is>
          <t>名前</t>
        </is>
      </c>
      <c r="C4" s="64" t="inlineStr">
        <is>
          <t>希望</t>
        </is>
      </c>
      <c r="D4" s="64" t="inlineStr">
        <is>
          <t>後ろを空ける</t>
        </is>
      </c>
      <c r="E4" s="64" t="inlineStr">
        <is>
          <t>兄弟</t>
        </is>
      </c>
      <c r="F4" s="64" t="inlineStr">
        <is>
          <t>兄弟クラス</t>
        </is>
      </c>
      <c r="G4" s="64" t="inlineStr">
        <is>
          <t>兄弟①
日付</t>
        </is>
      </c>
      <c r="H4" s="64" t="inlineStr">
        <is>
          <t>兄弟①
時刻</t>
        </is>
      </c>
      <c r="I4" s="64" t="inlineStr">
        <is>
          <t>兄弟①
との順番</t>
        </is>
      </c>
      <c r="J4" s="64" t="inlineStr">
        <is>
          <t>兄弟②
日付</t>
        </is>
      </c>
      <c r="K4" s="64" t="inlineStr">
        <is>
          <t>兄弟②
時刻</t>
        </is>
      </c>
      <c r="L4" s="64" t="inlineStr">
        <is>
          <t>兄弟②
との順番</t>
        </is>
      </c>
      <c r="M4" s="64" t="inlineStr">
        <is>
          <t>兄弟③
日付</t>
        </is>
      </c>
      <c r="N4" s="64" t="inlineStr">
        <is>
          <t>兄弟③
時刻</t>
        </is>
      </c>
      <c r="O4" s="64" t="inlineStr">
        <is>
          <t>兄弟③
との順番</t>
        </is>
      </c>
      <c r="P4" s="65" t="inlineStr">
        <is>
          <t>表示名</t>
        </is>
      </c>
      <c r="Q4" s="65" t="inlineStr">
        <is>
          <t>状況</t>
        </is>
      </c>
      <c r="R4" s="65" t="inlineStr">
        <is>
          <t>×の数</t>
        </is>
      </c>
      <c r="S4" s="65" t="inlineStr">
        <is>
          <t>入れられる空き枠</t>
        </is>
      </c>
      <c r="T4" s="65" t="inlineStr">
        <is>
          <t>決める順</t>
        </is>
      </c>
      <c r="U4" s="65" t="inlineStr">
        <is>
          <t>日付</t>
        </is>
      </c>
      <c r="V4" s="65" t="inlineStr">
        <is>
          <t>時刻</t>
        </is>
      </c>
      <c r="W4" s="65" t="inlineStr">
        <is>
          <t>注意</t>
        </is>
      </c>
      <c r="X4" s="65" t="inlineStr">
        <is>
          <t>自動案A（詰める）</t>
        </is>
      </c>
      <c r="Y4" s="65" t="inlineStr">
        <is>
          <t>自動案B（散らす）</t>
        </is>
      </c>
    </row>
    <row r="5" ht="19" customHeight="1">
      <c r="A5" s="66" t="n"/>
      <c r="B5" s="67" t="n"/>
      <c r="C5" s="66" t="n"/>
      <c r="D5" s="66" t="n"/>
      <c r="E5" s="66" t="n"/>
      <c r="F5" s="67" t="n"/>
      <c r="G5" s="66" t="n"/>
      <c r="H5" s="66" t="n"/>
      <c r="I5" s="66" t="n"/>
      <c r="J5" s="66" t="n"/>
      <c r="K5" s="66" t="n"/>
      <c r="L5" s="66" t="n"/>
      <c r="M5" s="66" t="n"/>
      <c r="N5" s="66" t="n"/>
      <c r="O5" s="66" t="n"/>
      <c r="P5" s="43">
        <f>IF(B5="","",IF(COUNTIF($B$5:$B$49,B5)&gt;1,IF(A5="","",A5&amp;" ")&amp;B5,B5))</f>
        <v/>
      </c>
      <c r="Q5" s="41">
        <f>IF(B5="","",IF('×入力'!F5="未提出","未提出",IF(R5&gt;0,"入力済み",IF('×入力'!F5="×なし（どこでもOK）","×なし","未入力"))))</f>
        <v/>
      </c>
      <c r="R5" s="41">
        <f>IF(B5="","",'calcA'!IN10)</f>
        <v/>
      </c>
      <c r="S5" s="41">
        <f>IF(OR(Q5="入力済み",Q5="×なし"),'calcA'!IM10,"")</f>
        <v/>
      </c>
      <c r="T5" s="41">
        <f>IF('calcA'!C10=1,COUNTIFS('calcA'!$C$10:$C$54,1,'calcA'!$IM$10:$IM$54,"&lt;"&amp;'calcA'!IM10)+1,"")</f>
        <v/>
      </c>
      <c r="U5" s="43">
        <f>IF('calcA'!IO10=0,"",INDEX('設定'!$E$11:$E$16,INDEX('calcA'!$D$2:$EQ$2,'calcA'!IO10)))</f>
        <v/>
      </c>
      <c r="V5" s="41">
        <f>IF('calcA'!IO10=0,"",INDEX('設定'!$I$11:$I$34,INDEX('calcA'!$D$3:$EQ$3,'calcA'!IO10)))</f>
        <v/>
      </c>
      <c r="W5" s="43">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3">
        <f>IF('calcA'!IK10=0,IF('calcA'!IL10=1,"入る枠がありません",""),INDEX('calcA'!$D$8:$EQ$8,'calcA'!IK10))</f>
        <v/>
      </c>
      <c r="Y5" s="43">
        <f>IF('calcA'!IR10=0,IF('calcA'!IS10=1,"入る枠がありません",""),INDEX('calcA'!$D$8:$EQ$8,'calcA'!IR10))</f>
        <v/>
      </c>
      <c r="Z5" s="68">
        <f>HYPERLINK("#'×入力'!B5","×入力へ")</f>
        <v/>
      </c>
    </row>
    <row r="6" ht="19" customHeight="1">
      <c r="A6" s="66" t="n"/>
      <c r="B6" s="67" t="n"/>
      <c r="C6" s="66" t="n"/>
      <c r="D6" s="66" t="n"/>
      <c r="E6" s="66" t="n"/>
      <c r="F6" s="67" t="n"/>
      <c r="G6" s="66" t="n"/>
      <c r="H6" s="66" t="n"/>
      <c r="I6" s="66" t="n"/>
      <c r="J6" s="66" t="n"/>
      <c r="K6" s="66" t="n"/>
      <c r="L6" s="66" t="n"/>
      <c r="M6" s="66" t="n"/>
      <c r="N6" s="66" t="n"/>
      <c r="O6" s="66" t="n"/>
      <c r="P6" s="43">
        <f>IF(B6="","",IF(COUNTIF($B$5:$B$49,B6)&gt;1,IF(A6="","",A6&amp;" ")&amp;B6,B6))</f>
        <v/>
      </c>
      <c r="Q6" s="41">
        <f>IF(B6="","",IF('×入力'!F33="未提出","未提出",IF(R6&gt;0,"入力済み",IF('×入力'!F33="×なし（どこでもOK）","×なし","未入力"))))</f>
        <v/>
      </c>
      <c r="R6" s="41">
        <f>IF(B6="","",'calcA'!IN11)</f>
        <v/>
      </c>
      <c r="S6" s="41">
        <f>IF(OR(Q6="入力済み",Q6="×なし"),'calcA'!IM11,"")</f>
        <v/>
      </c>
      <c r="T6" s="41">
        <f>IF('calcA'!C11=1,COUNTIFS('calcA'!$C$10:$C$54,1,'calcA'!$IM$10:$IM$54,"&lt;"&amp;'calcA'!IM11)+1,"")</f>
        <v/>
      </c>
      <c r="U6" s="43">
        <f>IF('calcA'!IO11=0,"",INDEX('設定'!$E$11:$E$16,INDEX('calcA'!$D$2:$EQ$2,'calcA'!IO11)))</f>
        <v/>
      </c>
      <c r="V6" s="41">
        <f>IF('calcA'!IO11=0,"",INDEX('設定'!$I$11:$I$34,INDEX('calcA'!$D$3:$EQ$3,'calcA'!IO11)))</f>
        <v/>
      </c>
      <c r="W6" s="43">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3">
        <f>IF('calcA'!IK11=0,IF('calcA'!IL11=1,"入る枠がありません",""),INDEX('calcA'!$D$8:$EQ$8,'calcA'!IK11))</f>
        <v/>
      </c>
      <c r="Y6" s="43">
        <f>IF('calcA'!IR11=0,IF('calcA'!IS11=1,"入る枠がありません",""),INDEX('calcA'!$D$8:$EQ$8,'calcA'!IR11))</f>
        <v/>
      </c>
      <c r="Z6" s="68">
        <f>HYPERLINK("#'×入力'!B33","×入力へ")</f>
        <v/>
      </c>
    </row>
    <row r="7" ht="19" customHeight="1">
      <c r="A7" s="66" t="n"/>
      <c r="B7" s="67" t="n"/>
      <c r="C7" s="66" t="n"/>
      <c r="D7" s="66" t="n"/>
      <c r="E7" s="66" t="n"/>
      <c r="F7" s="67" t="n"/>
      <c r="G7" s="66" t="n"/>
      <c r="H7" s="66" t="n"/>
      <c r="I7" s="66" t="n"/>
      <c r="J7" s="66" t="n"/>
      <c r="K7" s="66" t="n"/>
      <c r="L7" s="66" t="n"/>
      <c r="M7" s="66" t="n"/>
      <c r="N7" s="66" t="n"/>
      <c r="O7" s="66" t="n"/>
      <c r="P7" s="43">
        <f>IF(B7="","",IF(COUNTIF($B$5:$B$49,B7)&gt;1,IF(A7="","",A7&amp;" ")&amp;B7,B7))</f>
        <v/>
      </c>
      <c r="Q7" s="41">
        <f>IF(B7="","",IF('×入力'!F61="未提出","未提出",IF(R7&gt;0,"入力済み",IF('×入力'!F61="×なし（どこでもOK）","×なし","未入力"))))</f>
        <v/>
      </c>
      <c r="R7" s="41">
        <f>IF(B7="","",'calcA'!IN12)</f>
        <v/>
      </c>
      <c r="S7" s="41">
        <f>IF(OR(Q7="入力済み",Q7="×なし"),'calcA'!IM12,"")</f>
        <v/>
      </c>
      <c r="T7" s="41">
        <f>IF('calcA'!C12=1,COUNTIFS('calcA'!$C$10:$C$54,1,'calcA'!$IM$10:$IM$54,"&lt;"&amp;'calcA'!IM12)+1,"")</f>
        <v/>
      </c>
      <c r="U7" s="43">
        <f>IF('calcA'!IO12=0,"",INDEX('設定'!$E$11:$E$16,INDEX('calcA'!$D$2:$EQ$2,'calcA'!IO12)))</f>
        <v/>
      </c>
      <c r="V7" s="41">
        <f>IF('calcA'!IO12=0,"",INDEX('設定'!$I$11:$I$34,INDEX('calcA'!$D$3:$EQ$3,'calcA'!IO12)))</f>
        <v/>
      </c>
      <c r="W7" s="43">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3">
        <f>IF('calcA'!IK12=0,IF('calcA'!IL12=1,"入る枠がありません",""),INDEX('calcA'!$D$8:$EQ$8,'calcA'!IK12))</f>
        <v/>
      </c>
      <c r="Y7" s="43">
        <f>IF('calcA'!IR12=0,IF('calcA'!IS12=1,"入る枠がありません",""),INDEX('calcA'!$D$8:$EQ$8,'calcA'!IR12))</f>
        <v/>
      </c>
      <c r="Z7" s="68">
        <f>HYPERLINK("#'×入力'!B61","×入力へ")</f>
        <v/>
      </c>
    </row>
    <row r="8" ht="19" customHeight="1">
      <c r="A8" s="66" t="n"/>
      <c r="B8" s="67" t="n"/>
      <c r="C8" s="66" t="n"/>
      <c r="D8" s="66" t="n"/>
      <c r="E8" s="66" t="n"/>
      <c r="F8" s="67" t="n"/>
      <c r="G8" s="66" t="n"/>
      <c r="H8" s="66" t="n"/>
      <c r="I8" s="66" t="n"/>
      <c r="J8" s="66" t="n"/>
      <c r="K8" s="66" t="n"/>
      <c r="L8" s="66" t="n"/>
      <c r="M8" s="66" t="n"/>
      <c r="N8" s="66" t="n"/>
      <c r="O8" s="66" t="n"/>
      <c r="P8" s="43">
        <f>IF(B8="","",IF(COUNTIF($B$5:$B$49,B8)&gt;1,IF(A8="","",A8&amp;" ")&amp;B8,B8))</f>
        <v/>
      </c>
      <c r="Q8" s="41">
        <f>IF(B8="","",IF('×入力'!F89="未提出","未提出",IF(R8&gt;0,"入力済み",IF('×入力'!F89="×なし（どこでもOK）","×なし","未入力"))))</f>
        <v/>
      </c>
      <c r="R8" s="41">
        <f>IF(B8="","",'calcA'!IN13)</f>
        <v/>
      </c>
      <c r="S8" s="41">
        <f>IF(OR(Q8="入力済み",Q8="×なし"),'calcA'!IM13,"")</f>
        <v/>
      </c>
      <c r="T8" s="41">
        <f>IF('calcA'!C13=1,COUNTIFS('calcA'!$C$10:$C$54,1,'calcA'!$IM$10:$IM$54,"&lt;"&amp;'calcA'!IM13)+1,"")</f>
        <v/>
      </c>
      <c r="U8" s="43">
        <f>IF('calcA'!IO13=0,"",INDEX('設定'!$E$11:$E$16,INDEX('calcA'!$D$2:$EQ$2,'calcA'!IO13)))</f>
        <v/>
      </c>
      <c r="V8" s="41">
        <f>IF('calcA'!IO13=0,"",INDEX('設定'!$I$11:$I$34,INDEX('calcA'!$D$3:$EQ$3,'calcA'!IO13)))</f>
        <v/>
      </c>
      <c r="W8" s="43">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3">
        <f>IF('calcA'!IK13=0,IF('calcA'!IL13=1,"入る枠がありません",""),INDEX('calcA'!$D$8:$EQ$8,'calcA'!IK13))</f>
        <v/>
      </c>
      <c r="Y8" s="43">
        <f>IF('calcA'!IR13=0,IF('calcA'!IS13=1,"入る枠がありません",""),INDEX('calcA'!$D$8:$EQ$8,'calcA'!IR13))</f>
        <v/>
      </c>
      <c r="Z8" s="68">
        <f>HYPERLINK("#'×入力'!B89","×入力へ")</f>
        <v/>
      </c>
    </row>
    <row r="9" ht="19" customHeight="1">
      <c r="A9" s="66" t="n"/>
      <c r="B9" s="67" t="n"/>
      <c r="C9" s="66" t="n"/>
      <c r="D9" s="66" t="n"/>
      <c r="E9" s="66" t="n"/>
      <c r="F9" s="67" t="n"/>
      <c r="G9" s="66" t="n"/>
      <c r="H9" s="66" t="n"/>
      <c r="I9" s="66" t="n"/>
      <c r="J9" s="66" t="n"/>
      <c r="K9" s="66" t="n"/>
      <c r="L9" s="66" t="n"/>
      <c r="M9" s="66" t="n"/>
      <c r="N9" s="66" t="n"/>
      <c r="O9" s="66" t="n"/>
      <c r="P9" s="43">
        <f>IF(B9="","",IF(COUNTIF($B$5:$B$49,B9)&gt;1,IF(A9="","",A9&amp;" ")&amp;B9,B9))</f>
        <v/>
      </c>
      <c r="Q9" s="41">
        <f>IF(B9="","",IF('×入力'!F117="未提出","未提出",IF(R9&gt;0,"入力済み",IF('×入力'!F117="×なし（どこでもOK）","×なし","未入力"))))</f>
        <v/>
      </c>
      <c r="R9" s="41">
        <f>IF(B9="","",'calcA'!IN14)</f>
        <v/>
      </c>
      <c r="S9" s="41">
        <f>IF(OR(Q9="入力済み",Q9="×なし"),'calcA'!IM14,"")</f>
        <v/>
      </c>
      <c r="T9" s="41">
        <f>IF('calcA'!C14=1,COUNTIFS('calcA'!$C$10:$C$54,1,'calcA'!$IM$10:$IM$54,"&lt;"&amp;'calcA'!IM14)+1,"")</f>
        <v/>
      </c>
      <c r="U9" s="43">
        <f>IF('calcA'!IO14=0,"",INDEX('設定'!$E$11:$E$16,INDEX('calcA'!$D$2:$EQ$2,'calcA'!IO14)))</f>
        <v/>
      </c>
      <c r="V9" s="41">
        <f>IF('calcA'!IO14=0,"",INDEX('設定'!$I$11:$I$34,INDEX('calcA'!$D$3:$EQ$3,'calcA'!IO14)))</f>
        <v/>
      </c>
      <c r="W9" s="43">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3">
        <f>IF('calcA'!IK14=0,IF('calcA'!IL14=1,"入る枠がありません",""),INDEX('calcA'!$D$8:$EQ$8,'calcA'!IK14))</f>
        <v/>
      </c>
      <c r="Y9" s="43">
        <f>IF('calcA'!IR14=0,IF('calcA'!IS14=1,"入る枠がありません",""),INDEX('calcA'!$D$8:$EQ$8,'calcA'!IR14))</f>
        <v/>
      </c>
      <c r="Z9" s="68">
        <f>HYPERLINK("#'×入力'!B117","×入力へ")</f>
        <v/>
      </c>
    </row>
    <row r="10" ht="19" customHeight="1">
      <c r="A10" s="66" t="n"/>
      <c r="B10" s="67" t="n"/>
      <c r="C10" s="66" t="n"/>
      <c r="D10" s="66" t="n"/>
      <c r="E10" s="66" t="n"/>
      <c r="F10" s="67" t="n"/>
      <c r="G10" s="66" t="n"/>
      <c r="H10" s="66" t="n"/>
      <c r="I10" s="66" t="n"/>
      <c r="J10" s="66" t="n"/>
      <c r="K10" s="66" t="n"/>
      <c r="L10" s="66" t="n"/>
      <c r="M10" s="66" t="n"/>
      <c r="N10" s="66" t="n"/>
      <c r="O10" s="66" t="n"/>
      <c r="P10" s="43">
        <f>IF(B10="","",IF(COUNTIF($B$5:$B$49,B10)&gt;1,IF(A10="","",A10&amp;" ")&amp;B10,B10))</f>
        <v/>
      </c>
      <c r="Q10" s="41">
        <f>IF(B10="","",IF('×入力'!F145="未提出","未提出",IF(R10&gt;0,"入力済み",IF('×入力'!F145="×なし（どこでもOK）","×なし","未入力"))))</f>
        <v/>
      </c>
      <c r="R10" s="41">
        <f>IF(B10="","",'calcA'!IN15)</f>
        <v/>
      </c>
      <c r="S10" s="41">
        <f>IF(OR(Q10="入力済み",Q10="×なし"),'calcA'!IM15,"")</f>
        <v/>
      </c>
      <c r="T10" s="41">
        <f>IF('calcA'!C15=1,COUNTIFS('calcA'!$C$10:$C$54,1,'calcA'!$IM$10:$IM$54,"&lt;"&amp;'calcA'!IM15)+1,"")</f>
        <v/>
      </c>
      <c r="U10" s="43">
        <f>IF('calcA'!IO15=0,"",INDEX('設定'!$E$11:$E$16,INDEX('calcA'!$D$2:$EQ$2,'calcA'!IO15)))</f>
        <v/>
      </c>
      <c r="V10" s="41">
        <f>IF('calcA'!IO15=0,"",INDEX('設定'!$I$11:$I$34,INDEX('calcA'!$D$3:$EQ$3,'calcA'!IO15)))</f>
        <v/>
      </c>
      <c r="W10" s="43">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3">
        <f>IF('calcA'!IK15=0,IF('calcA'!IL15=1,"入る枠がありません",""),INDEX('calcA'!$D$8:$EQ$8,'calcA'!IK15))</f>
        <v/>
      </c>
      <c r="Y10" s="43">
        <f>IF('calcA'!IR15=0,IF('calcA'!IS15=1,"入る枠がありません",""),INDEX('calcA'!$D$8:$EQ$8,'calcA'!IR15))</f>
        <v/>
      </c>
      <c r="Z10" s="68">
        <f>HYPERLINK("#'×入力'!B145","×入力へ")</f>
        <v/>
      </c>
    </row>
    <row r="11" ht="19" customHeight="1">
      <c r="A11" s="66" t="n"/>
      <c r="B11" s="67" t="n"/>
      <c r="C11" s="66" t="n"/>
      <c r="D11" s="66" t="n"/>
      <c r="E11" s="66" t="n"/>
      <c r="F11" s="67" t="n"/>
      <c r="G11" s="66" t="n"/>
      <c r="H11" s="66" t="n"/>
      <c r="I11" s="66" t="n"/>
      <c r="J11" s="66" t="n"/>
      <c r="K11" s="66" t="n"/>
      <c r="L11" s="66" t="n"/>
      <c r="M11" s="66" t="n"/>
      <c r="N11" s="66" t="n"/>
      <c r="O11" s="66" t="n"/>
      <c r="P11" s="43">
        <f>IF(B11="","",IF(COUNTIF($B$5:$B$49,B11)&gt;1,IF(A11="","",A11&amp;" ")&amp;B11,B11))</f>
        <v/>
      </c>
      <c r="Q11" s="41">
        <f>IF(B11="","",IF('×入力'!F173="未提出","未提出",IF(R11&gt;0,"入力済み",IF('×入力'!F173="×なし（どこでもOK）","×なし","未入力"))))</f>
        <v/>
      </c>
      <c r="R11" s="41">
        <f>IF(B11="","",'calcA'!IN16)</f>
        <v/>
      </c>
      <c r="S11" s="41">
        <f>IF(OR(Q11="入力済み",Q11="×なし"),'calcA'!IM16,"")</f>
        <v/>
      </c>
      <c r="T11" s="41">
        <f>IF('calcA'!C16=1,COUNTIFS('calcA'!$C$10:$C$54,1,'calcA'!$IM$10:$IM$54,"&lt;"&amp;'calcA'!IM16)+1,"")</f>
        <v/>
      </c>
      <c r="U11" s="43">
        <f>IF('calcA'!IO16=0,"",INDEX('設定'!$E$11:$E$16,INDEX('calcA'!$D$2:$EQ$2,'calcA'!IO16)))</f>
        <v/>
      </c>
      <c r="V11" s="41">
        <f>IF('calcA'!IO16=0,"",INDEX('設定'!$I$11:$I$34,INDEX('calcA'!$D$3:$EQ$3,'calcA'!IO16)))</f>
        <v/>
      </c>
      <c r="W11" s="43">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3">
        <f>IF('calcA'!IK16=0,IF('calcA'!IL16=1,"入る枠がありません",""),INDEX('calcA'!$D$8:$EQ$8,'calcA'!IK16))</f>
        <v/>
      </c>
      <c r="Y11" s="43">
        <f>IF('calcA'!IR16=0,IF('calcA'!IS16=1,"入る枠がありません",""),INDEX('calcA'!$D$8:$EQ$8,'calcA'!IR16))</f>
        <v/>
      </c>
      <c r="Z11" s="68">
        <f>HYPERLINK("#'×入力'!B173","×入力へ")</f>
        <v/>
      </c>
    </row>
    <row r="12" ht="19" customHeight="1">
      <c r="A12" s="66" t="n"/>
      <c r="B12" s="67" t="n"/>
      <c r="C12" s="66" t="n"/>
      <c r="D12" s="66" t="n"/>
      <c r="E12" s="66" t="n"/>
      <c r="F12" s="67" t="n"/>
      <c r="G12" s="66" t="n"/>
      <c r="H12" s="66" t="n"/>
      <c r="I12" s="66" t="n"/>
      <c r="J12" s="66" t="n"/>
      <c r="K12" s="66" t="n"/>
      <c r="L12" s="66" t="n"/>
      <c r="M12" s="66" t="n"/>
      <c r="N12" s="66" t="n"/>
      <c r="O12" s="66" t="n"/>
      <c r="P12" s="43">
        <f>IF(B12="","",IF(COUNTIF($B$5:$B$49,B12)&gt;1,IF(A12="","",A12&amp;" ")&amp;B12,B12))</f>
        <v/>
      </c>
      <c r="Q12" s="41">
        <f>IF(B12="","",IF('×入力'!F201="未提出","未提出",IF(R12&gt;0,"入力済み",IF('×入力'!F201="×なし（どこでもOK）","×なし","未入力"))))</f>
        <v/>
      </c>
      <c r="R12" s="41">
        <f>IF(B12="","",'calcA'!IN17)</f>
        <v/>
      </c>
      <c r="S12" s="41">
        <f>IF(OR(Q12="入力済み",Q12="×なし"),'calcA'!IM17,"")</f>
        <v/>
      </c>
      <c r="T12" s="41">
        <f>IF('calcA'!C17=1,COUNTIFS('calcA'!$C$10:$C$54,1,'calcA'!$IM$10:$IM$54,"&lt;"&amp;'calcA'!IM17)+1,"")</f>
        <v/>
      </c>
      <c r="U12" s="43">
        <f>IF('calcA'!IO17=0,"",INDEX('設定'!$E$11:$E$16,INDEX('calcA'!$D$2:$EQ$2,'calcA'!IO17)))</f>
        <v/>
      </c>
      <c r="V12" s="41">
        <f>IF('calcA'!IO17=0,"",INDEX('設定'!$I$11:$I$34,INDEX('calcA'!$D$3:$EQ$3,'calcA'!IO17)))</f>
        <v/>
      </c>
      <c r="W12" s="43">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3">
        <f>IF('calcA'!IK17=0,IF('calcA'!IL17=1,"入る枠がありません",""),INDEX('calcA'!$D$8:$EQ$8,'calcA'!IK17))</f>
        <v/>
      </c>
      <c r="Y12" s="43">
        <f>IF('calcA'!IR17=0,IF('calcA'!IS17=1,"入る枠がありません",""),INDEX('calcA'!$D$8:$EQ$8,'calcA'!IR17))</f>
        <v/>
      </c>
      <c r="Z12" s="68">
        <f>HYPERLINK("#'×入力'!B201","×入力へ")</f>
        <v/>
      </c>
    </row>
    <row r="13" ht="19" customHeight="1">
      <c r="A13" s="66" t="n"/>
      <c r="B13" s="67" t="n"/>
      <c r="C13" s="66" t="n"/>
      <c r="D13" s="66" t="n"/>
      <c r="E13" s="66" t="n"/>
      <c r="F13" s="67" t="n"/>
      <c r="G13" s="66" t="n"/>
      <c r="H13" s="66" t="n"/>
      <c r="I13" s="66" t="n"/>
      <c r="J13" s="66" t="n"/>
      <c r="K13" s="66" t="n"/>
      <c r="L13" s="66" t="n"/>
      <c r="M13" s="66" t="n"/>
      <c r="N13" s="66" t="n"/>
      <c r="O13" s="66" t="n"/>
      <c r="P13" s="43">
        <f>IF(B13="","",IF(COUNTIF($B$5:$B$49,B13)&gt;1,IF(A13="","",A13&amp;" ")&amp;B13,B13))</f>
        <v/>
      </c>
      <c r="Q13" s="41">
        <f>IF(B13="","",IF('×入力'!F229="未提出","未提出",IF(R13&gt;0,"入力済み",IF('×入力'!F229="×なし（どこでもOK）","×なし","未入力"))))</f>
        <v/>
      </c>
      <c r="R13" s="41">
        <f>IF(B13="","",'calcA'!IN18)</f>
        <v/>
      </c>
      <c r="S13" s="41">
        <f>IF(OR(Q13="入力済み",Q13="×なし"),'calcA'!IM18,"")</f>
        <v/>
      </c>
      <c r="T13" s="41">
        <f>IF('calcA'!C18=1,COUNTIFS('calcA'!$C$10:$C$54,1,'calcA'!$IM$10:$IM$54,"&lt;"&amp;'calcA'!IM18)+1,"")</f>
        <v/>
      </c>
      <c r="U13" s="43">
        <f>IF('calcA'!IO18=0,"",INDEX('設定'!$E$11:$E$16,INDEX('calcA'!$D$2:$EQ$2,'calcA'!IO18)))</f>
        <v/>
      </c>
      <c r="V13" s="41">
        <f>IF('calcA'!IO18=0,"",INDEX('設定'!$I$11:$I$34,INDEX('calcA'!$D$3:$EQ$3,'calcA'!IO18)))</f>
        <v/>
      </c>
      <c r="W13" s="43">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3">
        <f>IF('calcA'!IK18=0,IF('calcA'!IL18=1,"入る枠がありません",""),INDEX('calcA'!$D$8:$EQ$8,'calcA'!IK18))</f>
        <v/>
      </c>
      <c r="Y13" s="43">
        <f>IF('calcA'!IR18=0,IF('calcA'!IS18=1,"入る枠がありません",""),INDEX('calcA'!$D$8:$EQ$8,'calcA'!IR18))</f>
        <v/>
      </c>
      <c r="Z13" s="68">
        <f>HYPERLINK("#'×入力'!B229","×入力へ")</f>
        <v/>
      </c>
    </row>
    <row r="14" ht="19" customHeight="1">
      <c r="A14" s="66" t="n"/>
      <c r="B14" s="67" t="n"/>
      <c r="C14" s="66" t="n"/>
      <c r="D14" s="66" t="n"/>
      <c r="E14" s="66" t="n"/>
      <c r="F14" s="67" t="n"/>
      <c r="G14" s="66" t="n"/>
      <c r="H14" s="66" t="n"/>
      <c r="I14" s="66" t="n"/>
      <c r="J14" s="66" t="n"/>
      <c r="K14" s="66" t="n"/>
      <c r="L14" s="66" t="n"/>
      <c r="M14" s="66" t="n"/>
      <c r="N14" s="66" t="n"/>
      <c r="O14" s="66" t="n"/>
      <c r="P14" s="43">
        <f>IF(B14="","",IF(COUNTIF($B$5:$B$49,B14)&gt;1,IF(A14="","",A14&amp;" ")&amp;B14,B14))</f>
        <v/>
      </c>
      <c r="Q14" s="41">
        <f>IF(B14="","",IF('×入力'!F257="未提出","未提出",IF(R14&gt;0,"入力済み",IF('×入力'!F257="×なし（どこでもOK）","×なし","未入力"))))</f>
        <v/>
      </c>
      <c r="R14" s="41">
        <f>IF(B14="","",'calcA'!IN19)</f>
        <v/>
      </c>
      <c r="S14" s="41">
        <f>IF(OR(Q14="入力済み",Q14="×なし"),'calcA'!IM19,"")</f>
        <v/>
      </c>
      <c r="T14" s="41">
        <f>IF('calcA'!C19=1,COUNTIFS('calcA'!$C$10:$C$54,1,'calcA'!$IM$10:$IM$54,"&lt;"&amp;'calcA'!IM19)+1,"")</f>
        <v/>
      </c>
      <c r="U14" s="43">
        <f>IF('calcA'!IO19=0,"",INDEX('設定'!$E$11:$E$16,INDEX('calcA'!$D$2:$EQ$2,'calcA'!IO19)))</f>
        <v/>
      </c>
      <c r="V14" s="41">
        <f>IF('calcA'!IO19=0,"",INDEX('設定'!$I$11:$I$34,INDEX('calcA'!$D$3:$EQ$3,'calcA'!IO19)))</f>
        <v/>
      </c>
      <c r="W14" s="43">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3">
        <f>IF('calcA'!IK19=0,IF('calcA'!IL19=1,"入る枠がありません",""),INDEX('calcA'!$D$8:$EQ$8,'calcA'!IK19))</f>
        <v/>
      </c>
      <c r="Y14" s="43">
        <f>IF('calcA'!IR19=0,IF('calcA'!IS19=1,"入る枠がありません",""),INDEX('calcA'!$D$8:$EQ$8,'calcA'!IR19))</f>
        <v/>
      </c>
      <c r="Z14" s="68">
        <f>HYPERLINK("#'×入力'!B257","×入力へ")</f>
        <v/>
      </c>
    </row>
    <row r="15" ht="19" customHeight="1">
      <c r="A15" s="66" t="n"/>
      <c r="B15" s="67" t="n"/>
      <c r="C15" s="66" t="n"/>
      <c r="D15" s="66" t="n"/>
      <c r="E15" s="66" t="n"/>
      <c r="F15" s="67" t="n"/>
      <c r="G15" s="66" t="n"/>
      <c r="H15" s="66" t="n"/>
      <c r="I15" s="66" t="n"/>
      <c r="J15" s="66" t="n"/>
      <c r="K15" s="66" t="n"/>
      <c r="L15" s="66" t="n"/>
      <c r="M15" s="66" t="n"/>
      <c r="N15" s="66" t="n"/>
      <c r="O15" s="66" t="n"/>
      <c r="P15" s="43">
        <f>IF(B15="","",IF(COUNTIF($B$5:$B$49,B15)&gt;1,IF(A15="","",A15&amp;" ")&amp;B15,B15))</f>
        <v/>
      </c>
      <c r="Q15" s="41">
        <f>IF(B15="","",IF('×入力'!F285="未提出","未提出",IF(R15&gt;0,"入力済み",IF('×入力'!F285="×なし（どこでもOK）","×なし","未入力"))))</f>
        <v/>
      </c>
      <c r="R15" s="41">
        <f>IF(B15="","",'calcA'!IN20)</f>
        <v/>
      </c>
      <c r="S15" s="41">
        <f>IF(OR(Q15="入力済み",Q15="×なし"),'calcA'!IM20,"")</f>
        <v/>
      </c>
      <c r="T15" s="41">
        <f>IF('calcA'!C20=1,COUNTIFS('calcA'!$C$10:$C$54,1,'calcA'!$IM$10:$IM$54,"&lt;"&amp;'calcA'!IM20)+1,"")</f>
        <v/>
      </c>
      <c r="U15" s="43">
        <f>IF('calcA'!IO20=0,"",INDEX('設定'!$E$11:$E$16,INDEX('calcA'!$D$2:$EQ$2,'calcA'!IO20)))</f>
        <v/>
      </c>
      <c r="V15" s="41">
        <f>IF('calcA'!IO20=0,"",INDEX('設定'!$I$11:$I$34,INDEX('calcA'!$D$3:$EQ$3,'calcA'!IO20)))</f>
        <v/>
      </c>
      <c r="W15" s="43">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3">
        <f>IF('calcA'!IK20=0,IF('calcA'!IL20=1,"入る枠がありません",""),INDEX('calcA'!$D$8:$EQ$8,'calcA'!IK20))</f>
        <v/>
      </c>
      <c r="Y15" s="43">
        <f>IF('calcA'!IR20=0,IF('calcA'!IS20=1,"入る枠がありません",""),INDEX('calcA'!$D$8:$EQ$8,'calcA'!IR20))</f>
        <v/>
      </c>
      <c r="Z15" s="68">
        <f>HYPERLINK("#'×入力'!B285","×入力へ")</f>
        <v/>
      </c>
    </row>
    <row r="16" ht="19" customHeight="1">
      <c r="A16" s="66" t="n"/>
      <c r="B16" s="67" t="n"/>
      <c r="C16" s="66" t="n"/>
      <c r="D16" s="66" t="n"/>
      <c r="E16" s="66" t="n"/>
      <c r="F16" s="67" t="n"/>
      <c r="G16" s="66" t="n"/>
      <c r="H16" s="66" t="n"/>
      <c r="I16" s="66" t="n"/>
      <c r="J16" s="66" t="n"/>
      <c r="K16" s="66" t="n"/>
      <c r="L16" s="66" t="n"/>
      <c r="M16" s="66" t="n"/>
      <c r="N16" s="66" t="n"/>
      <c r="O16" s="66" t="n"/>
      <c r="P16" s="43">
        <f>IF(B16="","",IF(COUNTIF($B$5:$B$49,B16)&gt;1,IF(A16="","",A16&amp;" ")&amp;B16,B16))</f>
        <v/>
      </c>
      <c r="Q16" s="41">
        <f>IF(B16="","",IF('×入力'!F313="未提出","未提出",IF(R16&gt;0,"入力済み",IF('×入力'!F313="×なし（どこでもOK）","×なし","未入力"))))</f>
        <v/>
      </c>
      <c r="R16" s="41">
        <f>IF(B16="","",'calcA'!IN21)</f>
        <v/>
      </c>
      <c r="S16" s="41">
        <f>IF(OR(Q16="入力済み",Q16="×なし"),'calcA'!IM21,"")</f>
        <v/>
      </c>
      <c r="T16" s="41">
        <f>IF('calcA'!C21=1,COUNTIFS('calcA'!$C$10:$C$54,1,'calcA'!$IM$10:$IM$54,"&lt;"&amp;'calcA'!IM21)+1,"")</f>
        <v/>
      </c>
      <c r="U16" s="43">
        <f>IF('calcA'!IO21=0,"",INDEX('設定'!$E$11:$E$16,INDEX('calcA'!$D$2:$EQ$2,'calcA'!IO21)))</f>
        <v/>
      </c>
      <c r="V16" s="41">
        <f>IF('calcA'!IO21=0,"",INDEX('設定'!$I$11:$I$34,INDEX('calcA'!$D$3:$EQ$3,'calcA'!IO21)))</f>
        <v/>
      </c>
      <c r="W16" s="43">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3">
        <f>IF('calcA'!IK21=0,IF('calcA'!IL21=1,"入る枠がありません",""),INDEX('calcA'!$D$8:$EQ$8,'calcA'!IK21))</f>
        <v/>
      </c>
      <c r="Y16" s="43">
        <f>IF('calcA'!IR21=0,IF('calcA'!IS21=1,"入る枠がありません",""),INDEX('calcA'!$D$8:$EQ$8,'calcA'!IR21))</f>
        <v/>
      </c>
      <c r="Z16" s="68">
        <f>HYPERLINK("#'×入力'!B313","×入力へ")</f>
        <v/>
      </c>
    </row>
    <row r="17" ht="19" customHeight="1">
      <c r="A17" s="66" t="n"/>
      <c r="B17" s="67" t="n"/>
      <c r="C17" s="66" t="n"/>
      <c r="D17" s="66" t="n"/>
      <c r="E17" s="66" t="n"/>
      <c r="F17" s="67" t="n"/>
      <c r="G17" s="66" t="n"/>
      <c r="H17" s="66" t="n"/>
      <c r="I17" s="66" t="n"/>
      <c r="J17" s="66" t="n"/>
      <c r="K17" s="66" t="n"/>
      <c r="L17" s="66" t="n"/>
      <c r="M17" s="66" t="n"/>
      <c r="N17" s="66" t="n"/>
      <c r="O17" s="66" t="n"/>
      <c r="P17" s="43">
        <f>IF(B17="","",IF(COUNTIF($B$5:$B$49,B17)&gt;1,IF(A17="","",A17&amp;" ")&amp;B17,B17))</f>
        <v/>
      </c>
      <c r="Q17" s="41">
        <f>IF(B17="","",IF('×入力'!F341="未提出","未提出",IF(R17&gt;0,"入力済み",IF('×入力'!F341="×なし（どこでもOK）","×なし","未入力"))))</f>
        <v/>
      </c>
      <c r="R17" s="41">
        <f>IF(B17="","",'calcA'!IN22)</f>
        <v/>
      </c>
      <c r="S17" s="41">
        <f>IF(OR(Q17="入力済み",Q17="×なし"),'calcA'!IM22,"")</f>
        <v/>
      </c>
      <c r="T17" s="41">
        <f>IF('calcA'!C22=1,COUNTIFS('calcA'!$C$10:$C$54,1,'calcA'!$IM$10:$IM$54,"&lt;"&amp;'calcA'!IM22)+1,"")</f>
        <v/>
      </c>
      <c r="U17" s="43">
        <f>IF('calcA'!IO22=0,"",INDEX('設定'!$E$11:$E$16,INDEX('calcA'!$D$2:$EQ$2,'calcA'!IO22)))</f>
        <v/>
      </c>
      <c r="V17" s="41">
        <f>IF('calcA'!IO22=0,"",INDEX('設定'!$I$11:$I$34,INDEX('calcA'!$D$3:$EQ$3,'calcA'!IO22)))</f>
        <v/>
      </c>
      <c r="W17" s="43">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3">
        <f>IF('calcA'!IK22=0,IF('calcA'!IL22=1,"入る枠がありません",""),INDEX('calcA'!$D$8:$EQ$8,'calcA'!IK22))</f>
        <v/>
      </c>
      <c r="Y17" s="43">
        <f>IF('calcA'!IR22=0,IF('calcA'!IS22=1,"入る枠がありません",""),INDEX('calcA'!$D$8:$EQ$8,'calcA'!IR22))</f>
        <v/>
      </c>
      <c r="Z17" s="68">
        <f>HYPERLINK("#'×入力'!B341","×入力へ")</f>
        <v/>
      </c>
    </row>
    <row r="18" ht="19" customHeight="1">
      <c r="A18" s="66" t="n"/>
      <c r="B18" s="67" t="n"/>
      <c r="C18" s="66" t="n"/>
      <c r="D18" s="66" t="n"/>
      <c r="E18" s="66" t="n"/>
      <c r="F18" s="67" t="n"/>
      <c r="G18" s="66" t="n"/>
      <c r="H18" s="66" t="n"/>
      <c r="I18" s="66" t="n"/>
      <c r="J18" s="66" t="n"/>
      <c r="K18" s="66" t="n"/>
      <c r="L18" s="66" t="n"/>
      <c r="M18" s="66" t="n"/>
      <c r="N18" s="66" t="n"/>
      <c r="O18" s="66" t="n"/>
      <c r="P18" s="43">
        <f>IF(B18="","",IF(COUNTIF($B$5:$B$49,B18)&gt;1,IF(A18="","",A18&amp;" ")&amp;B18,B18))</f>
        <v/>
      </c>
      <c r="Q18" s="41">
        <f>IF(B18="","",IF('×入力'!F369="未提出","未提出",IF(R18&gt;0,"入力済み",IF('×入力'!F369="×なし（どこでもOK）","×なし","未入力"))))</f>
        <v/>
      </c>
      <c r="R18" s="41">
        <f>IF(B18="","",'calcA'!IN23)</f>
        <v/>
      </c>
      <c r="S18" s="41">
        <f>IF(OR(Q18="入力済み",Q18="×なし"),'calcA'!IM23,"")</f>
        <v/>
      </c>
      <c r="T18" s="41">
        <f>IF('calcA'!C23=1,COUNTIFS('calcA'!$C$10:$C$54,1,'calcA'!$IM$10:$IM$54,"&lt;"&amp;'calcA'!IM23)+1,"")</f>
        <v/>
      </c>
      <c r="U18" s="43">
        <f>IF('calcA'!IO23=0,"",INDEX('設定'!$E$11:$E$16,INDEX('calcA'!$D$2:$EQ$2,'calcA'!IO23)))</f>
        <v/>
      </c>
      <c r="V18" s="41">
        <f>IF('calcA'!IO23=0,"",INDEX('設定'!$I$11:$I$34,INDEX('calcA'!$D$3:$EQ$3,'calcA'!IO23)))</f>
        <v/>
      </c>
      <c r="W18" s="43">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3">
        <f>IF('calcA'!IK23=0,IF('calcA'!IL23=1,"入る枠がありません",""),INDEX('calcA'!$D$8:$EQ$8,'calcA'!IK23))</f>
        <v/>
      </c>
      <c r="Y18" s="43">
        <f>IF('calcA'!IR23=0,IF('calcA'!IS23=1,"入る枠がありません",""),INDEX('calcA'!$D$8:$EQ$8,'calcA'!IR23))</f>
        <v/>
      </c>
      <c r="Z18" s="68">
        <f>HYPERLINK("#'×入力'!B369","×入力へ")</f>
        <v/>
      </c>
    </row>
    <row r="19" ht="19" customHeight="1">
      <c r="A19" s="66" t="n"/>
      <c r="B19" s="67" t="n"/>
      <c r="C19" s="66" t="n"/>
      <c r="D19" s="66" t="n"/>
      <c r="E19" s="66" t="n"/>
      <c r="F19" s="67" t="n"/>
      <c r="G19" s="66" t="n"/>
      <c r="H19" s="66" t="n"/>
      <c r="I19" s="66" t="n"/>
      <c r="J19" s="66" t="n"/>
      <c r="K19" s="66" t="n"/>
      <c r="L19" s="66" t="n"/>
      <c r="M19" s="66" t="n"/>
      <c r="N19" s="66" t="n"/>
      <c r="O19" s="66" t="n"/>
      <c r="P19" s="43">
        <f>IF(B19="","",IF(COUNTIF($B$5:$B$49,B19)&gt;1,IF(A19="","",A19&amp;" ")&amp;B19,B19))</f>
        <v/>
      </c>
      <c r="Q19" s="41">
        <f>IF(B19="","",IF('×入力'!F397="未提出","未提出",IF(R19&gt;0,"入力済み",IF('×入力'!F397="×なし（どこでもOK）","×なし","未入力"))))</f>
        <v/>
      </c>
      <c r="R19" s="41">
        <f>IF(B19="","",'calcA'!IN24)</f>
        <v/>
      </c>
      <c r="S19" s="41">
        <f>IF(OR(Q19="入力済み",Q19="×なし"),'calcA'!IM24,"")</f>
        <v/>
      </c>
      <c r="T19" s="41">
        <f>IF('calcA'!C24=1,COUNTIFS('calcA'!$C$10:$C$54,1,'calcA'!$IM$10:$IM$54,"&lt;"&amp;'calcA'!IM24)+1,"")</f>
        <v/>
      </c>
      <c r="U19" s="43">
        <f>IF('calcA'!IO24=0,"",INDEX('設定'!$E$11:$E$16,INDEX('calcA'!$D$2:$EQ$2,'calcA'!IO24)))</f>
        <v/>
      </c>
      <c r="V19" s="41">
        <f>IF('calcA'!IO24=0,"",INDEX('設定'!$I$11:$I$34,INDEX('calcA'!$D$3:$EQ$3,'calcA'!IO24)))</f>
        <v/>
      </c>
      <c r="W19" s="43">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3">
        <f>IF('calcA'!IK24=0,IF('calcA'!IL24=1,"入る枠がありません",""),INDEX('calcA'!$D$8:$EQ$8,'calcA'!IK24))</f>
        <v/>
      </c>
      <c r="Y19" s="43">
        <f>IF('calcA'!IR24=0,IF('calcA'!IS24=1,"入る枠がありません",""),INDEX('calcA'!$D$8:$EQ$8,'calcA'!IR24))</f>
        <v/>
      </c>
      <c r="Z19" s="68">
        <f>HYPERLINK("#'×入力'!B397","×入力へ")</f>
        <v/>
      </c>
    </row>
    <row r="20" ht="19" customHeight="1">
      <c r="A20" s="66" t="n"/>
      <c r="B20" s="67" t="n"/>
      <c r="C20" s="66" t="n"/>
      <c r="D20" s="66" t="n"/>
      <c r="E20" s="66" t="n"/>
      <c r="F20" s="67" t="n"/>
      <c r="G20" s="66" t="n"/>
      <c r="H20" s="66" t="n"/>
      <c r="I20" s="66" t="n"/>
      <c r="J20" s="66" t="n"/>
      <c r="K20" s="66" t="n"/>
      <c r="L20" s="66" t="n"/>
      <c r="M20" s="66" t="n"/>
      <c r="N20" s="66" t="n"/>
      <c r="O20" s="66" t="n"/>
      <c r="P20" s="43">
        <f>IF(B20="","",IF(COUNTIF($B$5:$B$49,B20)&gt;1,IF(A20="","",A20&amp;" ")&amp;B20,B20))</f>
        <v/>
      </c>
      <c r="Q20" s="41">
        <f>IF(B20="","",IF('×入力'!F425="未提出","未提出",IF(R20&gt;0,"入力済み",IF('×入力'!F425="×なし（どこでもOK）","×なし","未入力"))))</f>
        <v/>
      </c>
      <c r="R20" s="41">
        <f>IF(B20="","",'calcA'!IN25)</f>
        <v/>
      </c>
      <c r="S20" s="41">
        <f>IF(OR(Q20="入力済み",Q20="×なし"),'calcA'!IM25,"")</f>
        <v/>
      </c>
      <c r="T20" s="41">
        <f>IF('calcA'!C25=1,COUNTIFS('calcA'!$C$10:$C$54,1,'calcA'!$IM$10:$IM$54,"&lt;"&amp;'calcA'!IM25)+1,"")</f>
        <v/>
      </c>
      <c r="U20" s="43">
        <f>IF('calcA'!IO25=0,"",INDEX('設定'!$E$11:$E$16,INDEX('calcA'!$D$2:$EQ$2,'calcA'!IO25)))</f>
        <v/>
      </c>
      <c r="V20" s="41">
        <f>IF('calcA'!IO25=0,"",INDEX('設定'!$I$11:$I$34,INDEX('calcA'!$D$3:$EQ$3,'calcA'!IO25)))</f>
        <v/>
      </c>
      <c r="W20" s="43">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3">
        <f>IF('calcA'!IK25=0,IF('calcA'!IL25=1,"入る枠がありません",""),INDEX('calcA'!$D$8:$EQ$8,'calcA'!IK25))</f>
        <v/>
      </c>
      <c r="Y20" s="43">
        <f>IF('calcA'!IR25=0,IF('calcA'!IS25=1,"入る枠がありません",""),INDEX('calcA'!$D$8:$EQ$8,'calcA'!IR25))</f>
        <v/>
      </c>
      <c r="Z20" s="68">
        <f>HYPERLINK("#'×入力'!B425","×入力へ")</f>
        <v/>
      </c>
    </row>
    <row r="21" ht="19" customHeight="1">
      <c r="A21" s="66" t="n"/>
      <c r="B21" s="67" t="n"/>
      <c r="C21" s="66" t="n"/>
      <c r="D21" s="66" t="n"/>
      <c r="E21" s="66" t="n"/>
      <c r="F21" s="67" t="n"/>
      <c r="G21" s="66" t="n"/>
      <c r="H21" s="66" t="n"/>
      <c r="I21" s="66" t="n"/>
      <c r="J21" s="66" t="n"/>
      <c r="K21" s="66" t="n"/>
      <c r="L21" s="66" t="n"/>
      <c r="M21" s="66" t="n"/>
      <c r="N21" s="66" t="n"/>
      <c r="O21" s="66" t="n"/>
      <c r="P21" s="43">
        <f>IF(B21="","",IF(COUNTIF($B$5:$B$49,B21)&gt;1,IF(A21="","",A21&amp;" ")&amp;B21,B21))</f>
        <v/>
      </c>
      <c r="Q21" s="41">
        <f>IF(B21="","",IF('×入力'!F453="未提出","未提出",IF(R21&gt;0,"入力済み",IF('×入力'!F453="×なし（どこでもOK）","×なし","未入力"))))</f>
        <v/>
      </c>
      <c r="R21" s="41">
        <f>IF(B21="","",'calcA'!IN26)</f>
        <v/>
      </c>
      <c r="S21" s="41">
        <f>IF(OR(Q21="入力済み",Q21="×なし"),'calcA'!IM26,"")</f>
        <v/>
      </c>
      <c r="T21" s="41">
        <f>IF('calcA'!C26=1,COUNTIFS('calcA'!$C$10:$C$54,1,'calcA'!$IM$10:$IM$54,"&lt;"&amp;'calcA'!IM26)+1,"")</f>
        <v/>
      </c>
      <c r="U21" s="43">
        <f>IF('calcA'!IO26=0,"",INDEX('設定'!$E$11:$E$16,INDEX('calcA'!$D$2:$EQ$2,'calcA'!IO26)))</f>
        <v/>
      </c>
      <c r="V21" s="41">
        <f>IF('calcA'!IO26=0,"",INDEX('設定'!$I$11:$I$34,INDEX('calcA'!$D$3:$EQ$3,'calcA'!IO26)))</f>
        <v/>
      </c>
      <c r="W21" s="43">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3">
        <f>IF('calcA'!IK26=0,IF('calcA'!IL26=1,"入る枠がありません",""),INDEX('calcA'!$D$8:$EQ$8,'calcA'!IK26))</f>
        <v/>
      </c>
      <c r="Y21" s="43">
        <f>IF('calcA'!IR26=0,IF('calcA'!IS26=1,"入る枠がありません",""),INDEX('calcA'!$D$8:$EQ$8,'calcA'!IR26))</f>
        <v/>
      </c>
      <c r="Z21" s="68">
        <f>HYPERLINK("#'×入力'!B453","×入力へ")</f>
        <v/>
      </c>
    </row>
    <row r="22" ht="19" customHeight="1">
      <c r="A22" s="66" t="n"/>
      <c r="B22" s="67" t="n"/>
      <c r="C22" s="66" t="n"/>
      <c r="D22" s="66" t="n"/>
      <c r="E22" s="66" t="n"/>
      <c r="F22" s="67" t="n"/>
      <c r="G22" s="66" t="n"/>
      <c r="H22" s="66" t="n"/>
      <c r="I22" s="66" t="n"/>
      <c r="J22" s="66" t="n"/>
      <c r="K22" s="66" t="n"/>
      <c r="L22" s="66" t="n"/>
      <c r="M22" s="66" t="n"/>
      <c r="N22" s="66" t="n"/>
      <c r="O22" s="66" t="n"/>
      <c r="P22" s="43">
        <f>IF(B22="","",IF(COUNTIF($B$5:$B$49,B22)&gt;1,IF(A22="","",A22&amp;" ")&amp;B22,B22))</f>
        <v/>
      </c>
      <c r="Q22" s="41">
        <f>IF(B22="","",IF('×入力'!F481="未提出","未提出",IF(R22&gt;0,"入力済み",IF('×入力'!F481="×なし（どこでもOK）","×なし","未入力"))))</f>
        <v/>
      </c>
      <c r="R22" s="41">
        <f>IF(B22="","",'calcA'!IN27)</f>
        <v/>
      </c>
      <c r="S22" s="41">
        <f>IF(OR(Q22="入力済み",Q22="×なし"),'calcA'!IM27,"")</f>
        <v/>
      </c>
      <c r="T22" s="41">
        <f>IF('calcA'!C27=1,COUNTIFS('calcA'!$C$10:$C$54,1,'calcA'!$IM$10:$IM$54,"&lt;"&amp;'calcA'!IM27)+1,"")</f>
        <v/>
      </c>
      <c r="U22" s="43">
        <f>IF('calcA'!IO27=0,"",INDEX('設定'!$E$11:$E$16,INDEX('calcA'!$D$2:$EQ$2,'calcA'!IO27)))</f>
        <v/>
      </c>
      <c r="V22" s="41">
        <f>IF('calcA'!IO27=0,"",INDEX('設定'!$I$11:$I$34,INDEX('calcA'!$D$3:$EQ$3,'calcA'!IO27)))</f>
        <v/>
      </c>
      <c r="W22" s="43">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3">
        <f>IF('calcA'!IK27=0,IF('calcA'!IL27=1,"入る枠がありません",""),INDEX('calcA'!$D$8:$EQ$8,'calcA'!IK27))</f>
        <v/>
      </c>
      <c r="Y22" s="43">
        <f>IF('calcA'!IR27=0,IF('calcA'!IS27=1,"入る枠がありません",""),INDEX('calcA'!$D$8:$EQ$8,'calcA'!IR27))</f>
        <v/>
      </c>
      <c r="Z22" s="68">
        <f>HYPERLINK("#'×入力'!B481","×入力へ")</f>
        <v/>
      </c>
    </row>
    <row r="23" ht="19" customHeight="1">
      <c r="A23" s="66" t="n"/>
      <c r="B23" s="67" t="n"/>
      <c r="C23" s="66" t="n"/>
      <c r="D23" s="66" t="n"/>
      <c r="E23" s="66" t="n"/>
      <c r="F23" s="67" t="n"/>
      <c r="G23" s="66" t="n"/>
      <c r="H23" s="66" t="n"/>
      <c r="I23" s="66" t="n"/>
      <c r="J23" s="66" t="n"/>
      <c r="K23" s="66" t="n"/>
      <c r="L23" s="66" t="n"/>
      <c r="M23" s="66" t="n"/>
      <c r="N23" s="66" t="n"/>
      <c r="O23" s="66" t="n"/>
      <c r="P23" s="43">
        <f>IF(B23="","",IF(COUNTIF($B$5:$B$49,B23)&gt;1,IF(A23="","",A23&amp;" ")&amp;B23,B23))</f>
        <v/>
      </c>
      <c r="Q23" s="41">
        <f>IF(B23="","",IF('×入力'!F509="未提出","未提出",IF(R23&gt;0,"入力済み",IF('×入力'!F509="×なし（どこでもOK）","×なし","未入力"))))</f>
        <v/>
      </c>
      <c r="R23" s="41">
        <f>IF(B23="","",'calcA'!IN28)</f>
        <v/>
      </c>
      <c r="S23" s="41">
        <f>IF(OR(Q23="入力済み",Q23="×なし"),'calcA'!IM28,"")</f>
        <v/>
      </c>
      <c r="T23" s="41">
        <f>IF('calcA'!C28=1,COUNTIFS('calcA'!$C$10:$C$54,1,'calcA'!$IM$10:$IM$54,"&lt;"&amp;'calcA'!IM28)+1,"")</f>
        <v/>
      </c>
      <c r="U23" s="43">
        <f>IF('calcA'!IO28=0,"",INDEX('設定'!$E$11:$E$16,INDEX('calcA'!$D$2:$EQ$2,'calcA'!IO28)))</f>
        <v/>
      </c>
      <c r="V23" s="41">
        <f>IF('calcA'!IO28=0,"",INDEX('設定'!$I$11:$I$34,INDEX('calcA'!$D$3:$EQ$3,'calcA'!IO28)))</f>
        <v/>
      </c>
      <c r="W23" s="43">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3">
        <f>IF('calcA'!IK28=0,IF('calcA'!IL28=1,"入る枠がありません",""),INDEX('calcA'!$D$8:$EQ$8,'calcA'!IK28))</f>
        <v/>
      </c>
      <c r="Y23" s="43">
        <f>IF('calcA'!IR28=0,IF('calcA'!IS28=1,"入る枠がありません",""),INDEX('calcA'!$D$8:$EQ$8,'calcA'!IR28))</f>
        <v/>
      </c>
      <c r="Z23" s="68">
        <f>HYPERLINK("#'×入力'!B509","×入力へ")</f>
        <v/>
      </c>
    </row>
    <row r="24" ht="19" customHeight="1">
      <c r="A24" s="66" t="n"/>
      <c r="B24" s="67" t="n"/>
      <c r="C24" s="66" t="n"/>
      <c r="D24" s="66" t="n"/>
      <c r="E24" s="66" t="n"/>
      <c r="F24" s="67" t="n"/>
      <c r="G24" s="66" t="n"/>
      <c r="H24" s="66" t="n"/>
      <c r="I24" s="66" t="n"/>
      <c r="J24" s="66" t="n"/>
      <c r="K24" s="66" t="n"/>
      <c r="L24" s="66" t="n"/>
      <c r="M24" s="66" t="n"/>
      <c r="N24" s="66" t="n"/>
      <c r="O24" s="66" t="n"/>
      <c r="P24" s="43">
        <f>IF(B24="","",IF(COUNTIF($B$5:$B$49,B24)&gt;1,IF(A24="","",A24&amp;" ")&amp;B24,B24))</f>
        <v/>
      </c>
      <c r="Q24" s="41">
        <f>IF(B24="","",IF('×入力'!F537="未提出","未提出",IF(R24&gt;0,"入力済み",IF('×入力'!F537="×なし（どこでもOK）","×なし","未入力"))))</f>
        <v/>
      </c>
      <c r="R24" s="41">
        <f>IF(B24="","",'calcA'!IN29)</f>
        <v/>
      </c>
      <c r="S24" s="41">
        <f>IF(OR(Q24="入力済み",Q24="×なし"),'calcA'!IM29,"")</f>
        <v/>
      </c>
      <c r="T24" s="41">
        <f>IF('calcA'!C29=1,COUNTIFS('calcA'!$C$10:$C$54,1,'calcA'!$IM$10:$IM$54,"&lt;"&amp;'calcA'!IM29)+1,"")</f>
        <v/>
      </c>
      <c r="U24" s="43">
        <f>IF('calcA'!IO29=0,"",INDEX('設定'!$E$11:$E$16,INDEX('calcA'!$D$2:$EQ$2,'calcA'!IO29)))</f>
        <v/>
      </c>
      <c r="V24" s="41">
        <f>IF('calcA'!IO29=0,"",INDEX('設定'!$I$11:$I$34,INDEX('calcA'!$D$3:$EQ$3,'calcA'!IO29)))</f>
        <v/>
      </c>
      <c r="W24" s="43">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3">
        <f>IF('calcA'!IK29=0,IF('calcA'!IL29=1,"入る枠がありません",""),INDEX('calcA'!$D$8:$EQ$8,'calcA'!IK29))</f>
        <v/>
      </c>
      <c r="Y24" s="43">
        <f>IF('calcA'!IR29=0,IF('calcA'!IS29=1,"入る枠がありません",""),INDEX('calcA'!$D$8:$EQ$8,'calcA'!IR29))</f>
        <v/>
      </c>
      <c r="Z24" s="68">
        <f>HYPERLINK("#'×入力'!B537","×入力へ")</f>
        <v/>
      </c>
    </row>
    <row r="25" ht="19" customHeight="1">
      <c r="A25" s="66" t="n"/>
      <c r="B25" s="67" t="n"/>
      <c r="C25" s="66" t="n"/>
      <c r="D25" s="66" t="n"/>
      <c r="E25" s="66" t="n"/>
      <c r="F25" s="67" t="n"/>
      <c r="G25" s="66" t="n"/>
      <c r="H25" s="66" t="n"/>
      <c r="I25" s="66" t="n"/>
      <c r="J25" s="66" t="n"/>
      <c r="K25" s="66" t="n"/>
      <c r="L25" s="66" t="n"/>
      <c r="M25" s="66" t="n"/>
      <c r="N25" s="66" t="n"/>
      <c r="O25" s="66" t="n"/>
      <c r="P25" s="43">
        <f>IF(B25="","",IF(COUNTIF($B$5:$B$49,B25)&gt;1,IF(A25="","",A25&amp;" ")&amp;B25,B25))</f>
        <v/>
      </c>
      <c r="Q25" s="41">
        <f>IF(B25="","",IF('×入力'!F565="未提出","未提出",IF(R25&gt;0,"入力済み",IF('×入力'!F565="×なし（どこでもOK）","×なし","未入力"))))</f>
        <v/>
      </c>
      <c r="R25" s="41">
        <f>IF(B25="","",'calcA'!IN30)</f>
        <v/>
      </c>
      <c r="S25" s="41">
        <f>IF(OR(Q25="入力済み",Q25="×なし"),'calcA'!IM30,"")</f>
        <v/>
      </c>
      <c r="T25" s="41">
        <f>IF('calcA'!C30=1,COUNTIFS('calcA'!$C$10:$C$54,1,'calcA'!$IM$10:$IM$54,"&lt;"&amp;'calcA'!IM30)+1,"")</f>
        <v/>
      </c>
      <c r="U25" s="43">
        <f>IF('calcA'!IO30=0,"",INDEX('設定'!$E$11:$E$16,INDEX('calcA'!$D$2:$EQ$2,'calcA'!IO30)))</f>
        <v/>
      </c>
      <c r="V25" s="41">
        <f>IF('calcA'!IO30=0,"",INDEX('設定'!$I$11:$I$34,INDEX('calcA'!$D$3:$EQ$3,'calcA'!IO30)))</f>
        <v/>
      </c>
      <c r="W25" s="43">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3">
        <f>IF('calcA'!IK30=0,IF('calcA'!IL30=1,"入る枠がありません",""),INDEX('calcA'!$D$8:$EQ$8,'calcA'!IK30))</f>
        <v/>
      </c>
      <c r="Y25" s="43">
        <f>IF('calcA'!IR30=0,IF('calcA'!IS30=1,"入る枠がありません",""),INDEX('calcA'!$D$8:$EQ$8,'calcA'!IR30))</f>
        <v/>
      </c>
      <c r="Z25" s="68">
        <f>HYPERLINK("#'×入力'!B565","×入力へ")</f>
        <v/>
      </c>
    </row>
    <row r="26" ht="19" customHeight="1">
      <c r="A26" s="66" t="n"/>
      <c r="B26" s="67" t="n"/>
      <c r="C26" s="66" t="n"/>
      <c r="D26" s="66" t="n"/>
      <c r="E26" s="66" t="n"/>
      <c r="F26" s="67" t="n"/>
      <c r="G26" s="66" t="n"/>
      <c r="H26" s="66" t="n"/>
      <c r="I26" s="66" t="n"/>
      <c r="J26" s="66" t="n"/>
      <c r="K26" s="66" t="n"/>
      <c r="L26" s="66" t="n"/>
      <c r="M26" s="66" t="n"/>
      <c r="N26" s="66" t="n"/>
      <c r="O26" s="66" t="n"/>
      <c r="P26" s="43">
        <f>IF(B26="","",IF(COUNTIF($B$5:$B$49,B26)&gt;1,IF(A26="","",A26&amp;" ")&amp;B26,B26))</f>
        <v/>
      </c>
      <c r="Q26" s="41">
        <f>IF(B26="","",IF('×入力'!F593="未提出","未提出",IF(R26&gt;0,"入力済み",IF('×入力'!F593="×なし（どこでもOK）","×なし","未入力"))))</f>
        <v/>
      </c>
      <c r="R26" s="41">
        <f>IF(B26="","",'calcA'!IN31)</f>
        <v/>
      </c>
      <c r="S26" s="41">
        <f>IF(OR(Q26="入力済み",Q26="×なし"),'calcA'!IM31,"")</f>
        <v/>
      </c>
      <c r="T26" s="41">
        <f>IF('calcA'!C31=1,COUNTIFS('calcA'!$C$10:$C$54,1,'calcA'!$IM$10:$IM$54,"&lt;"&amp;'calcA'!IM31)+1,"")</f>
        <v/>
      </c>
      <c r="U26" s="43">
        <f>IF('calcA'!IO31=0,"",INDEX('設定'!$E$11:$E$16,INDEX('calcA'!$D$2:$EQ$2,'calcA'!IO31)))</f>
        <v/>
      </c>
      <c r="V26" s="41">
        <f>IF('calcA'!IO31=0,"",INDEX('設定'!$I$11:$I$34,INDEX('calcA'!$D$3:$EQ$3,'calcA'!IO31)))</f>
        <v/>
      </c>
      <c r="W26" s="43">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3">
        <f>IF('calcA'!IK31=0,IF('calcA'!IL31=1,"入る枠がありません",""),INDEX('calcA'!$D$8:$EQ$8,'calcA'!IK31))</f>
        <v/>
      </c>
      <c r="Y26" s="43">
        <f>IF('calcA'!IR31=0,IF('calcA'!IS31=1,"入る枠がありません",""),INDEX('calcA'!$D$8:$EQ$8,'calcA'!IR31))</f>
        <v/>
      </c>
      <c r="Z26" s="68">
        <f>HYPERLINK("#'×入力'!B593","×入力へ")</f>
        <v/>
      </c>
    </row>
    <row r="27" ht="19" customHeight="1">
      <c r="A27" s="66" t="n"/>
      <c r="B27" s="67" t="n"/>
      <c r="C27" s="66" t="n"/>
      <c r="D27" s="66" t="n"/>
      <c r="E27" s="66" t="n"/>
      <c r="F27" s="67" t="n"/>
      <c r="G27" s="66" t="n"/>
      <c r="H27" s="66" t="n"/>
      <c r="I27" s="66" t="n"/>
      <c r="J27" s="66" t="n"/>
      <c r="K27" s="66" t="n"/>
      <c r="L27" s="66" t="n"/>
      <c r="M27" s="66" t="n"/>
      <c r="N27" s="66" t="n"/>
      <c r="O27" s="66" t="n"/>
      <c r="P27" s="43">
        <f>IF(B27="","",IF(COUNTIF($B$5:$B$49,B27)&gt;1,IF(A27="","",A27&amp;" ")&amp;B27,B27))</f>
        <v/>
      </c>
      <c r="Q27" s="41">
        <f>IF(B27="","",IF('×入力'!F621="未提出","未提出",IF(R27&gt;0,"入力済み",IF('×入力'!F621="×なし（どこでもOK）","×なし","未入力"))))</f>
        <v/>
      </c>
      <c r="R27" s="41">
        <f>IF(B27="","",'calcA'!IN32)</f>
        <v/>
      </c>
      <c r="S27" s="41">
        <f>IF(OR(Q27="入力済み",Q27="×なし"),'calcA'!IM32,"")</f>
        <v/>
      </c>
      <c r="T27" s="41">
        <f>IF('calcA'!C32=1,COUNTIFS('calcA'!$C$10:$C$54,1,'calcA'!$IM$10:$IM$54,"&lt;"&amp;'calcA'!IM32)+1,"")</f>
        <v/>
      </c>
      <c r="U27" s="43">
        <f>IF('calcA'!IO32=0,"",INDEX('設定'!$E$11:$E$16,INDEX('calcA'!$D$2:$EQ$2,'calcA'!IO32)))</f>
        <v/>
      </c>
      <c r="V27" s="41">
        <f>IF('calcA'!IO32=0,"",INDEX('設定'!$I$11:$I$34,INDEX('calcA'!$D$3:$EQ$3,'calcA'!IO32)))</f>
        <v/>
      </c>
      <c r="W27" s="43">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3">
        <f>IF('calcA'!IK32=0,IF('calcA'!IL32=1,"入る枠がありません",""),INDEX('calcA'!$D$8:$EQ$8,'calcA'!IK32))</f>
        <v/>
      </c>
      <c r="Y27" s="43">
        <f>IF('calcA'!IR32=0,IF('calcA'!IS32=1,"入る枠がありません",""),INDEX('calcA'!$D$8:$EQ$8,'calcA'!IR32))</f>
        <v/>
      </c>
      <c r="Z27" s="68">
        <f>HYPERLINK("#'×入力'!B621","×入力へ")</f>
        <v/>
      </c>
    </row>
    <row r="28" ht="19" customHeight="1">
      <c r="A28" s="66" t="n"/>
      <c r="B28" s="67" t="n"/>
      <c r="C28" s="66" t="n"/>
      <c r="D28" s="66" t="n"/>
      <c r="E28" s="66" t="n"/>
      <c r="F28" s="67" t="n"/>
      <c r="G28" s="66" t="n"/>
      <c r="H28" s="66" t="n"/>
      <c r="I28" s="66" t="n"/>
      <c r="J28" s="66" t="n"/>
      <c r="K28" s="66" t="n"/>
      <c r="L28" s="66" t="n"/>
      <c r="M28" s="66" t="n"/>
      <c r="N28" s="66" t="n"/>
      <c r="O28" s="66" t="n"/>
      <c r="P28" s="43">
        <f>IF(B28="","",IF(COUNTIF($B$5:$B$49,B28)&gt;1,IF(A28="","",A28&amp;" ")&amp;B28,B28))</f>
        <v/>
      </c>
      <c r="Q28" s="41">
        <f>IF(B28="","",IF('×入力'!F649="未提出","未提出",IF(R28&gt;0,"入力済み",IF('×入力'!F649="×なし（どこでもOK）","×なし","未入力"))))</f>
        <v/>
      </c>
      <c r="R28" s="41">
        <f>IF(B28="","",'calcA'!IN33)</f>
        <v/>
      </c>
      <c r="S28" s="41">
        <f>IF(OR(Q28="入力済み",Q28="×なし"),'calcA'!IM33,"")</f>
        <v/>
      </c>
      <c r="T28" s="41">
        <f>IF('calcA'!C33=1,COUNTIFS('calcA'!$C$10:$C$54,1,'calcA'!$IM$10:$IM$54,"&lt;"&amp;'calcA'!IM33)+1,"")</f>
        <v/>
      </c>
      <c r="U28" s="43">
        <f>IF('calcA'!IO33=0,"",INDEX('設定'!$E$11:$E$16,INDEX('calcA'!$D$2:$EQ$2,'calcA'!IO33)))</f>
        <v/>
      </c>
      <c r="V28" s="41">
        <f>IF('calcA'!IO33=0,"",INDEX('設定'!$I$11:$I$34,INDEX('calcA'!$D$3:$EQ$3,'calcA'!IO33)))</f>
        <v/>
      </c>
      <c r="W28" s="43">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3">
        <f>IF('calcA'!IK33=0,IF('calcA'!IL33=1,"入る枠がありません",""),INDEX('calcA'!$D$8:$EQ$8,'calcA'!IK33))</f>
        <v/>
      </c>
      <c r="Y28" s="43">
        <f>IF('calcA'!IR33=0,IF('calcA'!IS33=1,"入る枠がありません",""),INDEX('calcA'!$D$8:$EQ$8,'calcA'!IR33))</f>
        <v/>
      </c>
      <c r="Z28" s="68">
        <f>HYPERLINK("#'×入力'!B649","×入力へ")</f>
        <v/>
      </c>
    </row>
    <row r="29" ht="19" customHeight="1">
      <c r="A29" s="66" t="n"/>
      <c r="B29" s="67" t="n"/>
      <c r="C29" s="66" t="n"/>
      <c r="D29" s="66" t="n"/>
      <c r="E29" s="66" t="n"/>
      <c r="F29" s="67" t="n"/>
      <c r="G29" s="66" t="n"/>
      <c r="H29" s="66" t="n"/>
      <c r="I29" s="66" t="n"/>
      <c r="J29" s="66" t="n"/>
      <c r="K29" s="66" t="n"/>
      <c r="L29" s="66" t="n"/>
      <c r="M29" s="66" t="n"/>
      <c r="N29" s="66" t="n"/>
      <c r="O29" s="66" t="n"/>
      <c r="P29" s="43">
        <f>IF(B29="","",IF(COUNTIF($B$5:$B$49,B29)&gt;1,IF(A29="","",A29&amp;" ")&amp;B29,B29))</f>
        <v/>
      </c>
      <c r="Q29" s="41">
        <f>IF(B29="","",IF('×入力'!F677="未提出","未提出",IF(R29&gt;0,"入力済み",IF('×入力'!F677="×なし（どこでもOK）","×なし","未入力"))))</f>
        <v/>
      </c>
      <c r="R29" s="41">
        <f>IF(B29="","",'calcA'!IN34)</f>
        <v/>
      </c>
      <c r="S29" s="41">
        <f>IF(OR(Q29="入力済み",Q29="×なし"),'calcA'!IM34,"")</f>
        <v/>
      </c>
      <c r="T29" s="41">
        <f>IF('calcA'!C34=1,COUNTIFS('calcA'!$C$10:$C$54,1,'calcA'!$IM$10:$IM$54,"&lt;"&amp;'calcA'!IM34)+1,"")</f>
        <v/>
      </c>
      <c r="U29" s="43">
        <f>IF('calcA'!IO34=0,"",INDEX('設定'!$E$11:$E$16,INDEX('calcA'!$D$2:$EQ$2,'calcA'!IO34)))</f>
        <v/>
      </c>
      <c r="V29" s="41">
        <f>IF('calcA'!IO34=0,"",INDEX('設定'!$I$11:$I$34,INDEX('calcA'!$D$3:$EQ$3,'calcA'!IO34)))</f>
        <v/>
      </c>
      <c r="W29" s="43">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3">
        <f>IF('calcA'!IK34=0,IF('calcA'!IL34=1,"入る枠がありません",""),INDEX('calcA'!$D$8:$EQ$8,'calcA'!IK34))</f>
        <v/>
      </c>
      <c r="Y29" s="43">
        <f>IF('calcA'!IR34=0,IF('calcA'!IS34=1,"入る枠がありません",""),INDEX('calcA'!$D$8:$EQ$8,'calcA'!IR34))</f>
        <v/>
      </c>
      <c r="Z29" s="68">
        <f>HYPERLINK("#'×入力'!B677","×入力へ")</f>
        <v/>
      </c>
    </row>
    <row r="30" ht="19" customHeight="1">
      <c r="A30" s="66" t="n"/>
      <c r="B30" s="67" t="n"/>
      <c r="C30" s="66" t="n"/>
      <c r="D30" s="66" t="n"/>
      <c r="E30" s="66" t="n"/>
      <c r="F30" s="67" t="n"/>
      <c r="G30" s="66" t="n"/>
      <c r="H30" s="66" t="n"/>
      <c r="I30" s="66" t="n"/>
      <c r="J30" s="66" t="n"/>
      <c r="K30" s="66" t="n"/>
      <c r="L30" s="66" t="n"/>
      <c r="M30" s="66" t="n"/>
      <c r="N30" s="66" t="n"/>
      <c r="O30" s="66" t="n"/>
      <c r="P30" s="43">
        <f>IF(B30="","",IF(COUNTIF($B$5:$B$49,B30)&gt;1,IF(A30="","",A30&amp;" ")&amp;B30,B30))</f>
        <v/>
      </c>
      <c r="Q30" s="41">
        <f>IF(B30="","",IF('×入力'!F705="未提出","未提出",IF(R30&gt;0,"入力済み",IF('×入力'!F705="×なし（どこでもOK）","×なし","未入力"))))</f>
        <v/>
      </c>
      <c r="R30" s="41">
        <f>IF(B30="","",'calcA'!IN35)</f>
        <v/>
      </c>
      <c r="S30" s="41">
        <f>IF(OR(Q30="入力済み",Q30="×なし"),'calcA'!IM35,"")</f>
        <v/>
      </c>
      <c r="T30" s="41">
        <f>IF('calcA'!C35=1,COUNTIFS('calcA'!$C$10:$C$54,1,'calcA'!$IM$10:$IM$54,"&lt;"&amp;'calcA'!IM35)+1,"")</f>
        <v/>
      </c>
      <c r="U30" s="43">
        <f>IF('calcA'!IO35=0,"",INDEX('設定'!$E$11:$E$16,INDEX('calcA'!$D$2:$EQ$2,'calcA'!IO35)))</f>
        <v/>
      </c>
      <c r="V30" s="41">
        <f>IF('calcA'!IO35=0,"",INDEX('設定'!$I$11:$I$34,INDEX('calcA'!$D$3:$EQ$3,'calcA'!IO35)))</f>
        <v/>
      </c>
      <c r="W30" s="43">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3">
        <f>IF('calcA'!IK35=0,IF('calcA'!IL35=1,"入る枠がありません",""),INDEX('calcA'!$D$8:$EQ$8,'calcA'!IK35))</f>
        <v/>
      </c>
      <c r="Y30" s="43">
        <f>IF('calcA'!IR35=0,IF('calcA'!IS35=1,"入る枠がありません",""),INDEX('calcA'!$D$8:$EQ$8,'calcA'!IR35))</f>
        <v/>
      </c>
      <c r="Z30" s="68">
        <f>HYPERLINK("#'×入力'!B705","×入力へ")</f>
        <v/>
      </c>
    </row>
    <row r="31" ht="19" customHeight="1">
      <c r="A31" s="66" t="n"/>
      <c r="B31" s="67" t="n"/>
      <c r="C31" s="66" t="n"/>
      <c r="D31" s="66" t="n"/>
      <c r="E31" s="66" t="n"/>
      <c r="F31" s="67" t="n"/>
      <c r="G31" s="66" t="n"/>
      <c r="H31" s="66" t="n"/>
      <c r="I31" s="66" t="n"/>
      <c r="J31" s="66" t="n"/>
      <c r="K31" s="66" t="n"/>
      <c r="L31" s="66" t="n"/>
      <c r="M31" s="66" t="n"/>
      <c r="N31" s="66" t="n"/>
      <c r="O31" s="66" t="n"/>
      <c r="P31" s="43">
        <f>IF(B31="","",IF(COUNTIF($B$5:$B$49,B31)&gt;1,IF(A31="","",A31&amp;" ")&amp;B31,B31))</f>
        <v/>
      </c>
      <c r="Q31" s="41">
        <f>IF(B31="","",IF('×入力'!F733="未提出","未提出",IF(R31&gt;0,"入力済み",IF('×入力'!F733="×なし（どこでもOK）","×なし","未入力"))))</f>
        <v/>
      </c>
      <c r="R31" s="41">
        <f>IF(B31="","",'calcA'!IN36)</f>
        <v/>
      </c>
      <c r="S31" s="41">
        <f>IF(OR(Q31="入力済み",Q31="×なし"),'calcA'!IM36,"")</f>
        <v/>
      </c>
      <c r="T31" s="41">
        <f>IF('calcA'!C36=1,COUNTIFS('calcA'!$C$10:$C$54,1,'calcA'!$IM$10:$IM$54,"&lt;"&amp;'calcA'!IM36)+1,"")</f>
        <v/>
      </c>
      <c r="U31" s="43">
        <f>IF('calcA'!IO36=0,"",INDEX('設定'!$E$11:$E$16,INDEX('calcA'!$D$2:$EQ$2,'calcA'!IO36)))</f>
        <v/>
      </c>
      <c r="V31" s="41">
        <f>IF('calcA'!IO36=0,"",INDEX('設定'!$I$11:$I$34,INDEX('calcA'!$D$3:$EQ$3,'calcA'!IO36)))</f>
        <v/>
      </c>
      <c r="W31" s="43">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3">
        <f>IF('calcA'!IK36=0,IF('calcA'!IL36=1,"入る枠がありません",""),INDEX('calcA'!$D$8:$EQ$8,'calcA'!IK36))</f>
        <v/>
      </c>
      <c r="Y31" s="43">
        <f>IF('calcA'!IR36=0,IF('calcA'!IS36=1,"入る枠がありません",""),INDEX('calcA'!$D$8:$EQ$8,'calcA'!IR36))</f>
        <v/>
      </c>
      <c r="Z31" s="68">
        <f>HYPERLINK("#'×入力'!B733","×入力へ")</f>
        <v/>
      </c>
    </row>
    <row r="32" ht="19" customHeight="1">
      <c r="A32" s="66" t="n"/>
      <c r="B32" s="67" t="n"/>
      <c r="C32" s="66" t="n"/>
      <c r="D32" s="66" t="n"/>
      <c r="E32" s="66" t="n"/>
      <c r="F32" s="67" t="n"/>
      <c r="G32" s="66" t="n"/>
      <c r="H32" s="66" t="n"/>
      <c r="I32" s="66" t="n"/>
      <c r="J32" s="66" t="n"/>
      <c r="K32" s="66" t="n"/>
      <c r="L32" s="66" t="n"/>
      <c r="M32" s="66" t="n"/>
      <c r="N32" s="66" t="n"/>
      <c r="O32" s="66" t="n"/>
      <c r="P32" s="43">
        <f>IF(B32="","",IF(COUNTIF($B$5:$B$49,B32)&gt;1,IF(A32="","",A32&amp;" ")&amp;B32,B32))</f>
        <v/>
      </c>
      <c r="Q32" s="41">
        <f>IF(B32="","",IF('×入力'!F761="未提出","未提出",IF(R32&gt;0,"入力済み",IF('×入力'!F761="×なし（どこでもOK）","×なし","未入力"))))</f>
        <v/>
      </c>
      <c r="R32" s="41">
        <f>IF(B32="","",'calcA'!IN37)</f>
        <v/>
      </c>
      <c r="S32" s="41">
        <f>IF(OR(Q32="入力済み",Q32="×なし"),'calcA'!IM37,"")</f>
        <v/>
      </c>
      <c r="T32" s="41">
        <f>IF('calcA'!C37=1,COUNTIFS('calcA'!$C$10:$C$54,1,'calcA'!$IM$10:$IM$54,"&lt;"&amp;'calcA'!IM37)+1,"")</f>
        <v/>
      </c>
      <c r="U32" s="43">
        <f>IF('calcA'!IO37=0,"",INDEX('設定'!$E$11:$E$16,INDEX('calcA'!$D$2:$EQ$2,'calcA'!IO37)))</f>
        <v/>
      </c>
      <c r="V32" s="41">
        <f>IF('calcA'!IO37=0,"",INDEX('設定'!$I$11:$I$34,INDEX('calcA'!$D$3:$EQ$3,'calcA'!IO37)))</f>
        <v/>
      </c>
      <c r="W32" s="43">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3">
        <f>IF('calcA'!IK37=0,IF('calcA'!IL37=1,"入る枠がありません",""),INDEX('calcA'!$D$8:$EQ$8,'calcA'!IK37))</f>
        <v/>
      </c>
      <c r="Y32" s="43">
        <f>IF('calcA'!IR37=0,IF('calcA'!IS37=1,"入る枠がありません",""),INDEX('calcA'!$D$8:$EQ$8,'calcA'!IR37))</f>
        <v/>
      </c>
      <c r="Z32" s="68">
        <f>HYPERLINK("#'×入力'!B761","×入力へ")</f>
        <v/>
      </c>
    </row>
    <row r="33" ht="19" customHeight="1">
      <c r="A33" s="66" t="n"/>
      <c r="B33" s="67" t="n"/>
      <c r="C33" s="66" t="n"/>
      <c r="D33" s="66" t="n"/>
      <c r="E33" s="66" t="n"/>
      <c r="F33" s="67" t="n"/>
      <c r="G33" s="66" t="n"/>
      <c r="H33" s="66" t="n"/>
      <c r="I33" s="66" t="n"/>
      <c r="J33" s="66" t="n"/>
      <c r="K33" s="66" t="n"/>
      <c r="L33" s="66" t="n"/>
      <c r="M33" s="66" t="n"/>
      <c r="N33" s="66" t="n"/>
      <c r="O33" s="66" t="n"/>
      <c r="P33" s="43">
        <f>IF(B33="","",IF(COUNTIF($B$5:$B$49,B33)&gt;1,IF(A33="","",A33&amp;" ")&amp;B33,B33))</f>
        <v/>
      </c>
      <c r="Q33" s="41">
        <f>IF(B33="","",IF('×入力'!F789="未提出","未提出",IF(R33&gt;0,"入力済み",IF('×入力'!F789="×なし（どこでもOK）","×なし","未入力"))))</f>
        <v/>
      </c>
      <c r="R33" s="41">
        <f>IF(B33="","",'calcA'!IN38)</f>
        <v/>
      </c>
      <c r="S33" s="41">
        <f>IF(OR(Q33="入力済み",Q33="×なし"),'calcA'!IM38,"")</f>
        <v/>
      </c>
      <c r="T33" s="41">
        <f>IF('calcA'!C38=1,COUNTIFS('calcA'!$C$10:$C$54,1,'calcA'!$IM$10:$IM$54,"&lt;"&amp;'calcA'!IM38)+1,"")</f>
        <v/>
      </c>
      <c r="U33" s="43">
        <f>IF('calcA'!IO38=0,"",INDEX('設定'!$E$11:$E$16,INDEX('calcA'!$D$2:$EQ$2,'calcA'!IO38)))</f>
        <v/>
      </c>
      <c r="V33" s="41">
        <f>IF('calcA'!IO38=0,"",INDEX('設定'!$I$11:$I$34,INDEX('calcA'!$D$3:$EQ$3,'calcA'!IO38)))</f>
        <v/>
      </c>
      <c r="W33" s="43">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3">
        <f>IF('calcA'!IK38=0,IF('calcA'!IL38=1,"入る枠がありません",""),INDEX('calcA'!$D$8:$EQ$8,'calcA'!IK38))</f>
        <v/>
      </c>
      <c r="Y33" s="43">
        <f>IF('calcA'!IR38=0,IF('calcA'!IS38=1,"入る枠がありません",""),INDEX('calcA'!$D$8:$EQ$8,'calcA'!IR38))</f>
        <v/>
      </c>
      <c r="Z33" s="68">
        <f>HYPERLINK("#'×入力'!B789","×入力へ")</f>
        <v/>
      </c>
    </row>
    <row r="34" ht="19" customHeight="1">
      <c r="A34" s="66" t="n"/>
      <c r="B34" s="67" t="n"/>
      <c r="C34" s="66" t="n"/>
      <c r="D34" s="66" t="n"/>
      <c r="E34" s="66" t="n"/>
      <c r="F34" s="67" t="n"/>
      <c r="G34" s="66" t="n"/>
      <c r="H34" s="66" t="n"/>
      <c r="I34" s="66" t="n"/>
      <c r="J34" s="66" t="n"/>
      <c r="K34" s="66" t="n"/>
      <c r="L34" s="66" t="n"/>
      <c r="M34" s="66" t="n"/>
      <c r="N34" s="66" t="n"/>
      <c r="O34" s="66" t="n"/>
      <c r="P34" s="43">
        <f>IF(B34="","",IF(COUNTIF($B$5:$B$49,B34)&gt;1,IF(A34="","",A34&amp;" ")&amp;B34,B34))</f>
        <v/>
      </c>
      <c r="Q34" s="41">
        <f>IF(B34="","",IF('×入力'!F817="未提出","未提出",IF(R34&gt;0,"入力済み",IF('×入力'!F817="×なし（どこでもOK）","×なし","未入力"))))</f>
        <v/>
      </c>
      <c r="R34" s="41">
        <f>IF(B34="","",'calcA'!IN39)</f>
        <v/>
      </c>
      <c r="S34" s="41">
        <f>IF(OR(Q34="入力済み",Q34="×なし"),'calcA'!IM39,"")</f>
        <v/>
      </c>
      <c r="T34" s="41">
        <f>IF('calcA'!C39=1,COUNTIFS('calcA'!$C$10:$C$54,1,'calcA'!$IM$10:$IM$54,"&lt;"&amp;'calcA'!IM39)+1,"")</f>
        <v/>
      </c>
      <c r="U34" s="43">
        <f>IF('calcA'!IO39=0,"",INDEX('設定'!$E$11:$E$16,INDEX('calcA'!$D$2:$EQ$2,'calcA'!IO39)))</f>
        <v/>
      </c>
      <c r="V34" s="41">
        <f>IF('calcA'!IO39=0,"",INDEX('設定'!$I$11:$I$34,INDEX('calcA'!$D$3:$EQ$3,'calcA'!IO39)))</f>
        <v/>
      </c>
      <c r="W34" s="43">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3">
        <f>IF('calcA'!IK39=0,IF('calcA'!IL39=1,"入る枠がありません",""),INDEX('calcA'!$D$8:$EQ$8,'calcA'!IK39))</f>
        <v/>
      </c>
      <c r="Y34" s="43">
        <f>IF('calcA'!IR39=0,IF('calcA'!IS39=1,"入る枠がありません",""),INDEX('calcA'!$D$8:$EQ$8,'calcA'!IR39))</f>
        <v/>
      </c>
      <c r="Z34" s="68">
        <f>HYPERLINK("#'×入力'!B817","×入力へ")</f>
        <v/>
      </c>
    </row>
    <row r="35" ht="19" customHeight="1">
      <c r="A35" s="66" t="n"/>
      <c r="B35" s="67" t="n"/>
      <c r="C35" s="66" t="n"/>
      <c r="D35" s="66" t="n"/>
      <c r="E35" s="66" t="n"/>
      <c r="F35" s="67" t="n"/>
      <c r="G35" s="66" t="n"/>
      <c r="H35" s="66" t="n"/>
      <c r="I35" s="66" t="n"/>
      <c r="J35" s="66" t="n"/>
      <c r="K35" s="66" t="n"/>
      <c r="L35" s="66" t="n"/>
      <c r="M35" s="66" t="n"/>
      <c r="N35" s="66" t="n"/>
      <c r="O35" s="66" t="n"/>
      <c r="P35" s="43">
        <f>IF(B35="","",IF(COUNTIF($B$5:$B$49,B35)&gt;1,IF(A35="","",A35&amp;" ")&amp;B35,B35))</f>
        <v/>
      </c>
      <c r="Q35" s="41">
        <f>IF(B35="","",IF('×入力'!F845="未提出","未提出",IF(R35&gt;0,"入力済み",IF('×入力'!F845="×なし（どこでもOK）","×なし","未入力"))))</f>
        <v/>
      </c>
      <c r="R35" s="41">
        <f>IF(B35="","",'calcA'!IN40)</f>
        <v/>
      </c>
      <c r="S35" s="41">
        <f>IF(OR(Q35="入力済み",Q35="×なし"),'calcA'!IM40,"")</f>
        <v/>
      </c>
      <c r="T35" s="41">
        <f>IF('calcA'!C40=1,COUNTIFS('calcA'!$C$10:$C$54,1,'calcA'!$IM$10:$IM$54,"&lt;"&amp;'calcA'!IM40)+1,"")</f>
        <v/>
      </c>
      <c r="U35" s="43">
        <f>IF('calcA'!IO40=0,"",INDEX('設定'!$E$11:$E$16,INDEX('calcA'!$D$2:$EQ$2,'calcA'!IO40)))</f>
        <v/>
      </c>
      <c r="V35" s="41">
        <f>IF('calcA'!IO40=0,"",INDEX('設定'!$I$11:$I$34,INDEX('calcA'!$D$3:$EQ$3,'calcA'!IO40)))</f>
        <v/>
      </c>
      <c r="W35" s="43">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3">
        <f>IF('calcA'!IK40=0,IF('calcA'!IL40=1,"入る枠がありません",""),INDEX('calcA'!$D$8:$EQ$8,'calcA'!IK40))</f>
        <v/>
      </c>
      <c r="Y35" s="43">
        <f>IF('calcA'!IR40=0,IF('calcA'!IS40=1,"入る枠がありません",""),INDEX('calcA'!$D$8:$EQ$8,'calcA'!IR40))</f>
        <v/>
      </c>
      <c r="Z35" s="68">
        <f>HYPERLINK("#'×入力'!B845","×入力へ")</f>
        <v/>
      </c>
    </row>
    <row r="36" ht="19" customHeight="1">
      <c r="A36" s="66" t="n"/>
      <c r="B36" s="67" t="n"/>
      <c r="C36" s="66" t="n"/>
      <c r="D36" s="66" t="n"/>
      <c r="E36" s="66" t="n"/>
      <c r="F36" s="67" t="n"/>
      <c r="G36" s="66" t="n"/>
      <c r="H36" s="66" t="n"/>
      <c r="I36" s="66" t="n"/>
      <c r="J36" s="66" t="n"/>
      <c r="K36" s="66" t="n"/>
      <c r="L36" s="66" t="n"/>
      <c r="M36" s="66" t="n"/>
      <c r="N36" s="66" t="n"/>
      <c r="O36" s="66" t="n"/>
      <c r="P36" s="43">
        <f>IF(B36="","",IF(COUNTIF($B$5:$B$49,B36)&gt;1,IF(A36="","",A36&amp;" ")&amp;B36,B36))</f>
        <v/>
      </c>
      <c r="Q36" s="41">
        <f>IF(B36="","",IF('×入力'!F873="未提出","未提出",IF(R36&gt;0,"入力済み",IF('×入力'!F873="×なし（どこでもOK）","×なし","未入力"))))</f>
        <v/>
      </c>
      <c r="R36" s="41">
        <f>IF(B36="","",'calcA'!IN41)</f>
        <v/>
      </c>
      <c r="S36" s="41">
        <f>IF(OR(Q36="入力済み",Q36="×なし"),'calcA'!IM41,"")</f>
        <v/>
      </c>
      <c r="T36" s="41">
        <f>IF('calcA'!C41=1,COUNTIFS('calcA'!$C$10:$C$54,1,'calcA'!$IM$10:$IM$54,"&lt;"&amp;'calcA'!IM41)+1,"")</f>
        <v/>
      </c>
      <c r="U36" s="43">
        <f>IF('calcA'!IO41=0,"",INDEX('設定'!$E$11:$E$16,INDEX('calcA'!$D$2:$EQ$2,'calcA'!IO41)))</f>
        <v/>
      </c>
      <c r="V36" s="41">
        <f>IF('calcA'!IO41=0,"",INDEX('設定'!$I$11:$I$34,INDEX('calcA'!$D$3:$EQ$3,'calcA'!IO41)))</f>
        <v/>
      </c>
      <c r="W36" s="43">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3">
        <f>IF('calcA'!IK41=0,IF('calcA'!IL41=1,"入る枠がありません",""),INDEX('calcA'!$D$8:$EQ$8,'calcA'!IK41))</f>
        <v/>
      </c>
      <c r="Y36" s="43">
        <f>IF('calcA'!IR41=0,IF('calcA'!IS41=1,"入る枠がありません",""),INDEX('calcA'!$D$8:$EQ$8,'calcA'!IR41))</f>
        <v/>
      </c>
      <c r="Z36" s="68">
        <f>HYPERLINK("#'×入力'!B873","×入力へ")</f>
        <v/>
      </c>
    </row>
    <row r="37" ht="19" customHeight="1">
      <c r="A37" s="66" t="n"/>
      <c r="B37" s="67" t="n"/>
      <c r="C37" s="66" t="n"/>
      <c r="D37" s="66" t="n"/>
      <c r="E37" s="66" t="n"/>
      <c r="F37" s="67" t="n"/>
      <c r="G37" s="66" t="n"/>
      <c r="H37" s="66" t="n"/>
      <c r="I37" s="66" t="n"/>
      <c r="J37" s="66" t="n"/>
      <c r="K37" s="66" t="n"/>
      <c r="L37" s="66" t="n"/>
      <c r="M37" s="66" t="n"/>
      <c r="N37" s="66" t="n"/>
      <c r="O37" s="66" t="n"/>
      <c r="P37" s="43">
        <f>IF(B37="","",IF(COUNTIF($B$5:$B$49,B37)&gt;1,IF(A37="","",A37&amp;" ")&amp;B37,B37))</f>
        <v/>
      </c>
      <c r="Q37" s="41">
        <f>IF(B37="","",IF('×入力'!F901="未提出","未提出",IF(R37&gt;0,"入力済み",IF('×入力'!F901="×なし（どこでもOK）","×なし","未入力"))))</f>
        <v/>
      </c>
      <c r="R37" s="41">
        <f>IF(B37="","",'calcA'!IN42)</f>
        <v/>
      </c>
      <c r="S37" s="41">
        <f>IF(OR(Q37="入力済み",Q37="×なし"),'calcA'!IM42,"")</f>
        <v/>
      </c>
      <c r="T37" s="41">
        <f>IF('calcA'!C42=1,COUNTIFS('calcA'!$C$10:$C$54,1,'calcA'!$IM$10:$IM$54,"&lt;"&amp;'calcA'!IM42)+1,"")</f>
        <v/>
      </c>
      <c r="U37" s="43">
        <f>IF('calcA'!IO42=0,"",INDEX('設定'!$E$11:$E$16,INDEX('calcA'!$D$2:$EQ$2,'calcA'!IO42)))</f>
        <v/>
      </c>
      <c r="V37" s="41">
        <f>IF('calcA'!IO42=0,"",INDEX('設定'!$I$11:$I$34,INDEX('calcA'!$D$3:$EQ$3,'calcA'!IO42)))</f>
        <v/>
      </c>
      <c r="W37" s="43">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3">
        <f>IF('calcA'!IK42=0,IF('calcA'!IL42=1,"入る枠がありません",""),INDEX('calcA'!$D$8:$EQ$8,'calcA'!IK42))</f>
        <v/>
      </c>
      <c r="Y37" s="43">
        <f>IF('calcA'!IR42=0,IF('calcA'!IS42=1,"入る枠がありません",""),INDEX('calcA'!$D$8:$EQ$8,'calcA'!IR42))</f>
        <v/>
      </c>
      <c r="Z37" s="68">
        <f>HYPERLINK("#'×入力'!B901","×入力へ")</f>
        <v/>
      </c>
    </row>
    <row r="38" ht="19" customHeight="1">
      <c r="A38" s="66" t="n"/>
      <c r="B38" s="67" t="n"/>
      <c r="C38" s="66" t="n"/>
      <c r="D38" s="66" t="n"/>
      <c r="E38" s="66" t="n"/>
      <c r="F38" s="67" t="n"/>
      <c r="G38" s="66" t="n"/>
      <c r="H38" s="66" t="n"/>
      <c r="I38" s="66" t="n"/>
      <c r="J38" s="66" t="n"/>
      <c r="K38" s="66" t="n"/>
      <c r="L38" s="66" t="n"/>
      <c r="M38" s="66" t="n"/>
      <c r="N38" s="66" t="n"/>
      <c r="O38" s="66" t="n"/>
      <c r="P38" s="43">
        <f>IF(B38="","",IF(COUNTIF($B$5:$B$49,B38)&gt;1,IF(A38="","",A38&amp;" ")&amp;B38,B38))</f>
        <v/>
      </c>
      <c r="Q38" s="41">
        <f>IF(B38="","",IF('×入力'!F929="未提出","未提出",IF(R38&gt;0,"入力済み",IF('×入力'!F929="×なし（どこでもOK）","×なし","未入力"))))</f>
        <v/>
      </c>
      <c r="R38" s="41">
        <f>IF(B38="","",'calcA'!IN43)</f>
        <v/>
      </c>
      <c r="S38" s="41">
        <f>IF(OR(Q38="入力済み",Q38="×なし"),'calcA'!IM43,"")</f>
        <v/>
      </c>
      <c r="T38" s="41">
        <f>IF('calcA'!C43=1,COUNTIFS('calcA'!$C$10:$C$54,1,'calcA'!$IM$10:$IM$54,"&lt;"&amp;'calcA'!IM43)+1,"")</f>
        <v/>
      </c>
      <c r="U38" s="43">
        <f>IF('calcA'!IO43=0,"",INDEX('設定'!$E$11:$E$16,INDEX('calcA'!$D$2:$EQ$2,'calcA'!IO43)))</f>
        <v/>
      </c>
      <c r="V38" s="41">
        <f>IF('calcA'!IO43=0,"",INDEX('設定'!$I$11:$I$34,INDEX('calcA'!$D$3:$EQ$3,'calcA'!IO43)))</f>
        <v/>
      </c>
      <c r="W38" s="43">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3">
        <f>IF('calcA'!IK43=0,IF('calcA'!IL43=1,"入る枠がありません",""),INDEX('calcA'!$D$8:$EQ$8,'calcA'!IK43))</f>
        <v/>
      </c>
      <c r="Y38" s="43">
        <f>IF('calcA'!IR43=0,IF('calcA'!IS43=1,"入る枠がありません",""),INDEX('calcA'!$D$8:$EQ$8,'calcA'!IR43))</f>
        <v/>
      </c>
      <c r="Z38" s="68">
        <f>HYPERLINK("#'×入力'!B929","×入力へ")</f>
        <v/>
      </c>
    </row>
    <row r="39" ht="19" customHeight="1">
      <c r="A39" s="66" t="n"/>
      <c r="B39" s="67" t="n"/>
      <c r="C39" s="66" t="n"/>
      <c r="D39" s="66" t="n"/>
      <c r="E39" s="66" t="n"/>
      <c r="F39" s="67" t="n"/>
      <c r="G39" s="66" t="n"/>
      <c r="H39" s="66" t="n"/>
      <c r="I39" s="66" t="n"/>
      <c r="J39" s="66" t="n"/>
      <c r="K39" s="66" t="n"/>
      <c r="L39" s="66" t="n"/>
      <c r="M39" s="66" t="n"/>
      <c r="N39" s="66" t="n"/>
      <c r="O39" s="66" t="n"/>
      <c r="P39" s="43">
        <f>IF(B39="","",IF(COUNTIF($B$5:$B$49,B39)&gt;1,IF(A39="","",A39&amp;" ")&amp;B39,B39))</f>
        <v/>
      </c>
      <c r="Q39" s="41">
        <f>IF(B39="","",IF('×入力'!F957="未提出","未提出",IF(R39&gt;0,"入力済み",IF('×入力'!F957="×なし（どこでもOK）","×なし","未入力"))))</f>
        <v/>
      </c>
      <c r="R39" s="41">
        <f>IF(B39="","",'calcA'!IN44)</f>
        <v/>
      </c>
      <c r="S39" s="41">
        <f>IF(OR(Q39="入力済み",Q39="×なし"),'calcA'!IM44,"")</f>
        <v/>
      </c>
      <c r="T39" s="41">
        <f>IF('calcA'!C44=1,COUNTIFS('calcA'!$C$10:$C$54,1,'calcA'!$IM$10:$IM$54,"&lt;"&amp;'calcA'!IM44)+1,"")</f>
        <v/>
      </c>
      <c r="U39" s="43">
        <f>IF('calcA'!IO44=0,"",INDEX('設定'!$E$11:$E$16,INDEX('calcA'!$D$2:$EQ$2,'calcA'!IO44)))</f>
        <v/>
      </c>
      <c r="V39" s="41">
        <f>IF('calcA'!IO44=0,"",INDEX('設定'!$I$11:$I$34,INDEX('calcA'!$D$3:$EQ$3,'calcA'!IO44)))</f>
        <v/>
      </c>
      <c r="W39" s="43">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3">
        <f>IF('calcA'!IK44=0,IF('calcA'!IL44=1,"入る枠がありません",""),INDEX('calcA'!$D$8:$EQ$8,'calcA'!IK44))</f>
        <v/>
      </c>
      <c r="Y39" s="43">
        <f>IF('calcA'!IR44=0,IF('calcA'!IS44=1,"入る枠がありません",""),INDEX('calcA'!$D$8:$EQ$8,'calcA'!IR44))</f>
        <v/>
      </c>
      <c r="Z39" s="68">
        <f>HYPERLINK("#'×入力'!B957","×入力へ")</f>
        <v/>
      </c>
    </row>
    <row r="40" ht="19" customHeight="1">
      <c r="A40" s="66" t="n"/>
      <c r="B40" s="67" t="n"/>
      <c r="C40" s="66" t="n"/>
      <c r="D40" s="66" t="n"/>
      <c r="E40" s="66" t="n"/>
      <c r="F40" s="67" t="n"/>
      <c r="G40" s="66" t="n"/>
      <c r="H40" s="66" t="n"/>
      <c r="I40" s="66" t="n"/>
      <c r="J40" s="66" t="n"/>
      <c r="K40" s="66" t="n"/>
      <c r="L40" s="66" t="n"/>
      <c r="M40" s="66" t="n"/>
      <c r="N40" s="66" t="n"/>
      <c r="O40" s="66" t="n"/>
      <c r="P40" s="43">
        <f>IF(B40="","",IF(COUNTIF($B$5:$B$49,B40)&gt;1,IF(A40="","",A40&amp;" ")&amp;B40,B40))</f>
        <v/>
      </c>
      <c r="Q40" s="41">
        <f>IF(B40="","",IF('×入力'!F985="未提出","未提出",IF(R40&gt;0,"入力済み",IF('×入力'!F985="×なし（どこでもOK）","×なし","未入力"))))</f>
        <v/>
      </c>
      <c r="R40" s="41">
        <f>IF(B40="","",'calcA'!IN45)</f>
        <v/>
      </c>
      <c r="S40" s="41">
        <f>IF(OR(Q40="入力済み",Q40="×なし"),'calcA'!IM45,"")</f>
        <v/>
      </c>
      <c r="T40" s="41">
        <f>IF('calcA'!C45=1,COUNTIFS('calcA'!$C$10:$C$54,1,'calcA'!$IM$10:$IM$54,"&lt;"&amp;'calcA'!IM45)+1,"")</f>
        <v/>
      </c>
      <c r="U40" s="43">
        <f>IF('calcA'!IO45=0,"",INDEX('設定'!$E$11:$E$16,INDEX('calcA'!$D$2:$EQ$2,'calcA'!IO45)))</f>
        <v/>
      </c>
      <c r="V40" s="41">
        <f>IF('calcA'!IO45=0,"",INDEX('設定'!$I$11:$I$34,INDEX('calcA'!$D$3:$EQ$3,'calcA'!IO45)))</f>
        <v/>
      </c>
      <c r="W40" s="43">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3">
        <f>IF('calcA'!IK45=0,IF('calcA'!IL45=1,"入る枠がありません",""),INDEX('calcA'!$D$8:$EQ$8,'calcA'!IK45))</f>
        <v/>
      </c>
      <c r="Y40" s="43">
        <f>IF('calcA'!IR45=0,IF('calcA'!IS45=1,"入る枠がありません",""),INDEX('calcA'!$D$8:$EQ$8,'calcA'!IR45))</f>
        <v/>
      </c>
      <c r="Z40" s="68">
        <f>HYPERLINK("#'×入力'!B985","×入力へ")</f>
        <v/>
      </c>
    </row>
    <row r="41" ht="19" customHeight="1">
      <c r="A41" s="66" t="n"/>
      <c r="B41" s="67" t="n"/>
      <c r="C41" s="66" t="n"/>
      <c r="D41" s="66" t="n"/>
      <c r="E41" s="66" t="n"/>
      <c r="F41" s="67" t="n"/>
      <c r="G41" s="66" t="n"/>
      <c r="H41" s="66" t="n"/>
      <c r="I41" s="66" t="n"/>
      <c r="J41" s="66" t="n"/>
      <c r="K41" s="66" t="n"/>
      <c r="L41" s="66" t="n"/>
      <c r="M41" s="66" t="n"/>
      <c r="N41" s="66" t="n"/>
      <c r="O41" s="66" t="n"/>
      <c r="P41" s="43">
        <f>IF(B41="","",IF(COUNTIF($B$5:$B$49,B41)&gt;1,IF(A41="","",A41&amp;" ")&amp;B41,B41))</f>
        <v/>
      </c>
      <c r="Q41" s="41">
        <f>IF(B41="","",IF('×入力'!F1013="未提出","未提出",IF(R41&gt;0,"入力済み",IF('×入力'!F1013="×なし（どこでもOK）","×なし","未入力"))))</f>
        <v/>
      </c>
      <c r="R41" s="41">
        <f>IF(B41="","",'calcA'!IN46)</f>
        <v/>
      </c>
      <c r="S41" s="41">
        <f>IF(OR(Q41="入力済み",Q41="×なし"),'calcA'!IM46,"")</f>
        <v/>
      </c>
      <c r="T41" s="41">
        <f>IF('calcA'!C46=1,COUNTIFS('calcA'!$C$10:$C$54,1,'calcA'!$IM$10:$IM$54,"&lt;"&amp;'calcA'!IM46)+1,"")</f>
        <v/>
      </c>
      <c r="U41" s="43">
        <f>IF('calcA'!IO46=0,"",INDEX('設定'!$E$11:$E$16,INDEX('calcA'!$D$2:$EQ$2,'calcA'!IO46)))</f>
        <v/>
      </c>
      <c r="V41" s="41">
        <f>IF('calcA'!IO46=0,"",INDEX('設定'!$I$11:$I$34,INDEX('calcA'!$D$3:$EQ$3,'calcA'!IO46)))</f>
        <v/>
      </c>
      <c r="W41" s="43">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3">
        <f>IF('calcA'!IK46=0,IF('calcA'!IL46=1,"入る枠がありません",""),INDEX('calcA'!$D$8:$EQ$8,'calcA'!IK46))</f>
        <v/>
      </c>
      <c r="Y41" s="43">
        <f>IF('calcA'!IR46=0,IF('calcA'!IS46=1,"入る枠がありません",""),INDEX('calcA'!$D$8:$EQ$8,'calcA'!IR46))</f>
        <v/>
      </c>
      <c r="Z41" s="68">
        <f>HYPERLINK("#'×入力'!B1013","×入力へ")</f>
        <v/>
      </c>
    </row>
    <row r="42" ht="19" customHeight="1">
      <c r="A42" s="66" t="n"/>
      <c r="B42" s="67" t="n"/>
      <c r="C42" s="66" t="n"/>
      <c r="D42" s="66" t="n"/>
      <c r="E42" s="66" t="n"/>
      <c r="F42" s="67" t="n"/>
      <c r="G42" s="66" t="n"/>
      <c r="H42" s="66" t="n"/>
      <c r="I42" s="66" t="n"/>
      <c r="J42" s="66" t="n"/>
      <c r="K42" s="66" t="n"/>
      <c r="L42" s="66" t="n"/>
      <c r="M42" s="66" t="n"/>
      <c r="N42" s="66" t="n"/>
      <c r="O42" s="66" t="n"/>
      <c r="P42" s="43">
        <f>IF(B42="","",IF(COUNTIF($B$5:$B$49,B42)&gt;1,IF(A42="","",A42&amp;" ")&amp;B42,B42))</f>
        <v/>
      </c>
      <c r="Q42" s="41">
        <f>IF(B42="","",IF('×入力'!F1041="未提出","未提出",IF(R42&gt;0,"入力済み",IF('×入力'!F1041="×なし（どこでもOK）","×なし","未入力"))))</f>
        <v/>
      </c>
      <c r="R42" s="41">
        <f>IF(B42="","",'calcA'!IN47)</f>
        <v/>
      </c>
      <c r="S42" s="41">
        <f>IF(OR(Q42="入力済み",Q42="×なし"),'calcA'!IM47,"")</f>
        <v/>
      </c>
      <c r="T42" s="41">
        <f>IF('calcA'!C47=1,COUNTIFS('calcA'!$C$10:$C$54,1,'calcA'!$IM$10:$IM$54,"&lt;"&amp;'calcA'!IM47)+1,"")</f>
        <v/>
      </c>
      <c r="U42" s="43">
        <f>IF('calcA'!IO47=0,"",INDEX('設定'!$E$11:$E$16,INDEX('calcA'!$D$2:$EQ$2,'calcA'!IO47)))</f>
        <v/>
      </c>
      <c r="V42" s="41">
        <f>IF('calcA'!IO47=0,"",INDEX('設定'!$I$11:$I$34,INDEX('calcA'!$D$3:$EQ$3,'calcA'!IO47)))</f>
        <v/>
      </c>
      <c r="W42" s="43">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3">
        <f>IF('calcA'!IK47=0,IF('calcA'!IL47=1,"入る枠がありません",""),INDEX('calcA'!$D$8:$EQ$8,'calcA'!IK47))</f>
        <v/>
      </c>
      <c r="Y42" s="43">
        <f>IF('calcA'!IR47=0,IF('calcA'!IS47=1,"入る枠がありません",""),INDEX('calcA'!$D$8:$EQ$8,'calcA'!IR47))</f>
        <v/>
      </c>
      <c r="Z42" s="68">
        <f>HYPERLINK("#'×入力'!B1041","×入力へ")</f>
        <v/>
      </c>
    </row>
    <row r="43" ht="19" customHeight="1">
      <c r="A43" s="66" t="n"/>
      <c r="B43" s="67" t="n"/>
      <c r="C43" s="66" t="n"/>
      <c r="D43" s="66" t="n"/>
      <c r="E43" s="66" t="n"/>
      <c r="F43" s="67" t="n"/>
      <c r="G43" s="66" t="n"/>
      <c r="H43" s="66" t="n"/>
      <c r="I43" s="66" t="n"/>
      <c r="J43" s="66" t="n"/>
      <c r="K43" s="66" t="n"/>
      <c r="L43" s="66" t="n"/>
      <c r="M43" s="66" t="n"/>
      <c r="N43" s="66" t="n"/>
      <c r="O43" s="66" t="n"/>
      <c r="P43" s="43">
        <f>IF(B43="","",IF(COUNTIF($B$5:$B$49,B43)&gt;1,IF(A43="","",A43&amp;" ")&amp;B43,B43))</f>
        <v/>
      </c>
      <c r="Q43" s="41">
        <f>IF(B43="","",IF('×入力'!F1069="未提出","未提出",IF(R43&gt;0,"入力済み",IF('×入力'!F1069="×なし（どこでもOK）","×なし","未入力"))))</f>
        <v/>
      </c>
      <c r="R43" s="41">
        <f>IF(B43="","",'calcA'!IN48)</f>
        <v/>
      </c>
      <c r="S43" s="41">
        <f>IF(OR(Q43="入力済み",Q43="×なし"),'calcA'!IM48,"")</f>
        <v/>
      </c>
      <c r="T43" s="41">
        <f>IF('calcA'!C48=1,COUNTIFS('calcA'!$C$10:$C$54,1,'calcA'!$IM$10:$IM$54,"&lt;"&amp;'calcA'!IM48)+1,"")</f>
        <v/>
      </c>
      <c r="U43" s="43">
        <f>IF('calcA'!IO48=0,"",INDEX('設定'!$E$11:$E$16,INDEX('calcA'!$D$2:$EQ$2,'calcA'!IO48)))</f>
        <v/>
      </c>
      <c r="V43" s="41">
        <f>IF('calcA'!IO48=0,"",INDEX('設定'!$I$11:$I$34,INDEX('calcA'!$D$3:$EQ$3,'calcA'!IO48)))</f>
        <v/>
      </c>
      <c r="W43" s="43">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3">
        <f>IF('calcA'!IK48=0,IF('calcA'!IL48=1,"入る枠がありません",""),INDEX('calcA'!$D$8:$EQ$8,'calcA'!IK48))</f>
        <v/>
      </c>
      <c r="Y43" s="43">
        <f>IF('calcA'!IR48=0,IF('calcA'!IS48=1,"入る枠がありません",""),INDEX('calcA'!$D$8:$EQ$8,'calcA'!IR48))</f>
        <v/>
      </c>
      <c r="Z43" s="68">
        <f>HYPERLINK("#'×入力'!B1069","×入力へ")</f>
        <v/>
      </c>
    </row>
    <row r="44" ht="19" customHeight="1">
      <c r="A44" s="66" t="n"/>
      <c r="B44" s="67" t="n"/>
      <c r="C44" s="66" t="n"/>
      <c r="D44" s="66" t="n"/>
      <c r="E44" s="66" t="n"/>
      <c r="F44" s="67" t="n"/>
      <c r="G44" s="66" t="n"/>
      <c r="H44" s="66" t="n"/>
      <c r="I44" s="66" t="n"/>
      <c r="J44" s="66" t="n"/>
      <c r="K44" s="66" t="n"/>
      <c r="L44" s="66" t="n"/>
      <c r="M44" s="66" t="n"/>
      <c r="N44" s="66" t="n"/>
      <c r="O44" s="66" t="n"/>
      <c r="P44" s="43">
        <f>IF(B44="","",IF(COUNTIF($B$5:$B$49,B44)&gt;1,IF(A44="","",A44&amp;" ")&amp;B44,B44))</f>
        <v/>
      </c>
      <c r="Q44" s="41">
        <f>IF(B44="","",IF('×入力'!F1097="未提出","未提出",IF(R44&gt;0,"入力済み",IF('×入力'!F1097="×なし（どこでもOK）","×なし","未入力"))))</f>
        <v/>
      </c>
      <c r="R44" s="41">
        <f>IF(B44="","",'calcA'!IN49)</f>
        <v/>
      </c>
      <c r="S44" s="41">
        <f>IF(OR(Q44="入力済み",Q44="×なし"),'calcA'!IM49,"")</f>
        <v/>
      </c>
      <c r="T44" s="41">
        <f>IF('calcA'!C49=1,COUNTIFS('calcA'!$C$10:$C$54,1,'calcA'!$IM$10:$IM$54,"&lt;"&amp;'calcA'!IM49)+1,"")</f>
        <v/>
      </c>
      <c r="U44" s="43">
        <f>IF('calcA'!IO49=0,"",INDEX('設定'!$E$11:$E$16,INDEX('calcA'!$D$2:$EQ$2,'calcA'!IO49)))</f>
        <v/>
      </c>
      <c r="V44" s="41">
        <f>IF('calcA'!IO49=0,"",INDEX('設定'!$I$11:$I$34,INDEX('calcA'!$D$3:$EQ$3,'calcA'!IO49)))</f>
        <v/>
      </c>
      <c r="W44" s="43">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3">
        <f>IF('calcA'!IK49=0,IF('calcA'!IL49=1,"入る枠がありません",""),INDEX('calcA'!$D$8:$EQ$8,'calcA'!IK49))</f>
        <v/>
      </c>
      <c r="Y44" s="43">
        <f>IF('calcA'!IR49=0,IF('calcA'!IS49=1,"入る枠がありません",""),INDEX('calcA'!$D$8:$EQ$8,'calcA'!IR49))</f>
        <v/>
      </c>
      <c r="Z44" s="68">
        <f>HYPERLINK("#'×入力'!B1097","×入力へ")</f>
        <v/>
      </c>
    </row>
  </sheetData>
  <autoFilter ref="A4:Y49"/>
  <mergeCells count="6">
    <mergeCell ref="AB1:AC1"/>
    <mergeCell ref="Q1:R1"/>
    <mergeCell ref="AD1:AE1"/>
    <mergeCell ref="S1:T1"/>
    <mergeCell ref="Z1:AA1"/>
    <mergeCell ref="A3:E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右の「兄弟①〜③」の欄に入れます（欄が見えないときは、上の［兄弟の日時の欄］ボタン）。"/>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hyperlinks>
    <hyperlink ref="F3" location="'名簿'!F3" display="兄弟の日時欄&#10;▶ 出す／しまう"/>
  </hyperlink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69" t="inlineStr">
        <is>
          <t>×入力</t>
        </is>
      </c>
      <c r="C1" s="2" t="n"/>
      <c r="D1" s="2" t="n"/>
      <c r="E1" s="2" t="n"/>
      <c r="F1" s="22">
        <f>HYPERLINK("#'ホーム'!A1","ホーム")</f>
        <v/>
      </c>
      <c r="G1" s="22">
        <f>HYPERLINK("#'設定'!A1","① 設定")</f>
        <v/>
      </c>
      <c r="H1" s="22">
        <f>HYPERLINK("#'名簿'!A1","② 名簿")</f>
        <v/>
      </c>
      <c r="I1" s="23">
        <f>HYPERLINK("#'×入力'!A1","③ ×入力")</f>
        <v/>
      </c>
      <c r="J1" s="22">
        <f>HYPERLINK("#'自動案A'!A1","④ 自動案A")</f>
        <v/>
      </c>
      <c r="K1" s="22">
        <f>HYPERLINK("#'自動案B'!A1","④ 自動案B")</f>
        <v/>
      </c>
      <c r="L1" s="22">
        <f>HYPERLINK("#'調整・決定'!A1","⑤ 調整・決定")</f>
        <v/>
      </c>
      <c r="M1" s="22">
        <f>HYPERLINK("#'兄弟確認用'!A1","⑥ 兄弟確認")</f>
        <v/>
      </c>
      <c r="N1" s="22">
        <f>HYPERLINK("#'お手紙（夏）'!A1","⑦ お手紙 夏")</f>
        <v/>
      </c>
      <c r="O1" s="22">
        <f>HYPERLINK("#'お手紙（秋）'!A1","⑧ お手紙 秋")</f>
        <v/>
      </c>
    </row>
    <row r="2" ht="24" customHeight="1">
      <c r="A2" s="5" t="n"/>
      <c r="B2" s="70" t="inlineStr">
        <is>
          <t>都合の悪い枠をダブルクリック→「×」（もう一度で消える）。日付の上の欄→その日全部、時刻の左の欄→その時間全部。×が1つもない家庭は「提出状況」で「×なし（どこでもOK）」、出していない家庭は「未提出」。</t>
        </is>
      </c>
      <c r="C2" s="5" t="n"/>
      <c r="D2" s="5" t="n"/>
      <c r="E2" s="5" t="n"/>
      <c r="F2" s="5" t="n"/>
      <c r="G2" s="5" t="n"/>
      <c r="H2" s="5" t="n"/>
      <c r="I2" s="5" t="n"/>
      <c r="J2" s="5" t="n"/>
      <c r="K2" s="5" t="n"/>
      <c r="L2" s="5" t="n"/>
      <c r="M2" s="5" t="n"/>
      <c r="N2" s="5" t="n"/>
      <c r="O2" s="5" t="n"/>
    </row>
    <row r="3" ht="30" customHeight="1">
      <c r="B3" s="71" t="inlineStr">
        <is>
          <t>児童を選ぶ ▼</t>
        </is>
      </c>
      <c r="D3" s="72" t="n"/>
      <c r="E3" s="33" t="n"/>
      <c r="G3" s="73" t="inlineStr">
        <is>
          <t>▶ 次の未入力の子へ</t>
        </is>
      </c>
      <c r="H3" s="74" t="n"/>
    </row>
    <row r="4" ht="34" customHeight="1">
      <c r="B4" s="75">
        <f>IF(SUBTOTAL(103,S5:S1124)&lt;&gt;COUNTIF(S5:S1124,"表示"),"⚠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2" t="n"/>
      <c r="G5" s="33" t="n"/>
      <c r="H5" s="78" t="inlineStr">
        <is>
          <t>状況：</t>
        </is>
      </c>
      <c r="I5" s="79">
        <f>'名簿'!Q5</f>
        <v/>
      </c>
      <c r="J5" s="78" t="inlineStr">
        <is>
          <t>×の数：</t>
        </is>
      </c>
      <c r="K5" s="80">
        <f>'名簿'!R5</f>
        <v/>
      </c>
      <c r="L5" s="81">
        <f>HYPERLINK("#'×入力'!B33","次の人へ ▼")</f>
        <v/>
      </c>
      <c r="S5" t="inlineStr">
        <is>
          <t>表示</t>
        </is>
      </c>
    </row>
    <row r="6" ht="22" customHeight="1">
      <c r="A6" s="34" t="inlineStr">
        <is>
          <t>この日全部 ▶</t>
        </is>
      </c>
      <c r="C6" s="82" t="n"/>
      <c r="D6" s="82" t="n"/>
      <c r="E6" s="82" t="n"/>
      <c r="F6" s="82" t="n"/>
      <c r="G6" s="82" t="n"/>
      <c r="H6" s="82" t="n"/>
      <c r="S6" t="inlineStr">
        <is>
          <t>表示</t>
        </is>
      </c>
    </row>
    <row r="7" ht="28" customHeight="1">
      <c r="A7" s="37" t="inlineStr">
        <is>
          <t>この時間
全部 ▼</t>
        </is>
      </c>
      <c r="B7" s="38" t="inlineStr"/>
      <c r="C7" s="39">
        <f>'設定'!$E$11</f>
        <v/>
      </c>
      <c r="D7" s="39">
        <f>'設定'!$E$12</f>
        <v/>
      </c>
      <c r="E7" s="39">
        <f>'設定'!$E$13</f>
        <v/>
      </c>
      <c r="F7" s="39">
        <f>'設定'!$E$14</f>
        <v/>
      </c>
      <c r="G7" s="39">
        <f>'設定'!$E$15</f>
        <v/>
      </c>
      <c r="H7" s="39">
        <f>'設定'!$E$16</f>
        <v/>
      </c>
      <c r="S7" t="inlineStr">
        <is>
          <t>表示</t>
        </is>
      </c>
    </row>
    <row r="8" ht="21" customHeight="1">
      <c r="A8" s="82" t="n"/>
      <c r="B8" s="46">
        <f>'設定'!$I$11</f>
        <v/>
      </c>
      <c r="C8" s="83" t="n"/>
      <c r="D8" s="83" t="n"/>
      <c r="E8" s="83" t="n"/>
      <c r="F8" s="83" t="n"/>
      <c r="G8" s="83" t="n"/>
      <c r="H8" s="83" t="n"/>
      <c r="S8">
        <f>IF(1&lt;='設定'!$B$6,"表示","隠す")</f>
        <v/>
      </c>
    </row>
    <row r="9" ht="21" customHeight="1">
      <c r="A9" s="82" t="n"/>
      <c r="B9" s="46">
        <f>'設定'!$I$12</f>
        <v/>
      </c>
      <c r="C9" s="83" t="n"/>
      <c r="D9" s="83" t="n"/>
      <c r="E9" s="83" t="n"/>
      <c r="F9" s="83" t="n"/>
      <c r="G9" s="83" t="n"/>
      <c r="H9" s="83" t="n"/>
      <c r="S9">
        <f>IF(2&lt;='設定'!$B$6,"表示","隠す")</f>
        <v/>
      </c>
    </row>
    <row r="10" ht="21" customHeight="1">
      <c r="A10" s="82" t="n"/>
      <c r="B10" s="46">
        <f>'設定'!$I$13</f>
        <v/>
      </c>
      <c r="C10" s="83" t="n"/>
      <c r="D10" s="83" t="n"/>
      <c r="E10" s="83" t="n"/>
      <c r="F10" s="83" t="n"/>
      <c r="G10" s="83" t="n"/>
      <c r="H10" s="83" t="n"/>
      <c r="S10">
        <f>IF(3&lt;='設定'!$B$6,"表示","隠す")</f>
        <v/>
      </c>
    </row>
    <row r="11" ht="21" customHeight="1">
      <c r="A11" s="82" t="n"/>
      <c r="B11" s="46">
        <f>'設定'!$I$14</f>
        <v/>
      </c>
      <c r="C11" s="83" t="n"/>
      <c r="D11" s="83" t="n"/>
      <c r="E11" s="83" t="n"/>
      <c r="F11" s="83" t="n"/>
      <c r="G11" s="83" t="n"/>
      <c r="H11" s="83" t="n"/>
      <c r="S11">
        <f>IF(4&lt;='設定'!$B$6,"表示","隠す")</f>
        <v/>
      </c>
    </row>
    <row r="12" ht="21" customHeight="1">
      <c r="A12" s="82" t="n"/>
      <c r="B12" s="46">
        <f>'設定'!$I$15</f>
        <v/>
      </c>
      <c r="C12" s="83" t="n"/>
      <c r="D12" s="83" t="n"/>
      <c r="E12" s="83" t="n"/>
      <c r="F12" s="83" t="n"/>
      <c r="G12" s="83" t="n"/>
      <c r="H12" s="83" t="n"/>
      <c r="S12">
        <f>IF(5&lt;='設定'!$B$6,"表示","隠す")</f>
        <v/>
      </c>
    </row>
    <row r="13" ht="21" customHeight="1">
      <c r="A13" s="82" t="n"/>
      <c r="B13" s="46">
        <f>'設定'!$I$16</f>
        <v/>
      </c>
      <c r="C13" s="83" t="n"/>
      <c r="D13" s="83" t="n"/>
      <c r="E13" s="83" t="n"/>
      <c r="F13" s="83" t="n"/>
      <c r="G13" s="83" t="n"/>
      <c r="H13" s="83" t="n"/>
      <c r="S13">
        <f>IF(6&lt;='設定'!$B$6,"表示","隠す")</f>
        <v/>
      </c>
    </row>
    <row r="14" ht="21" customHeight="1">
      <c r="A14" s="82" t="n"/>
      <c r="B14" s="46">
        <f>'設定'!$I$17</f>
        <v/>
      </c>
      <c r="C14" s="83" t="n"/>
      <c r="D14" s="83" t="n"/>
      <c r="E14" s="83" t="n"/>
      <c r="F14" s="83" t="n"/>
      <c r="G14" s="83" t="n"/>
      <c r="H14" s="83" t="n"/>
      <c r="S14">
        <f>IF(7&lt;='設定'!$B$6,"表示","隠す")</f>
        <v/>
      </c>
    </row>
    <row r="15" ht="21" customHeight="1">
      <c r="A15" s="82" t="n"/>
      <c r="B15" s="46">
        <f>'設定'!$I$18</f>
        <v/>
      </c>
      <c r="C15" s="83" t="n"/>
      <c r="D15" s="83" t="n"/>
      <c r="E15" s="83" t="n"/>
      <c r="F15" s="83" t="n"/>
      <c r="G15" s="83" t="n"/>
      <c r="H15" s="83" t="n"/>
      <c r="S15">
        <f>IF(8&lt;='設定'!$B$6,"表示","隠す")</f>
        <v/>
      </c>
    </row>
    <row r="16" ht="21" customHeight="1">
      <c r="A16" s="82" t="n"/>
      <c r="B16" s="46">
        <f>'設定'!$I$19</f>
        <v/>
      </c>
      <c r="C16" s="83" t="n"/>
      <c r="D16" s="83" t="n"/>
      <c r="E16" s="83" t="n"/>
      <c r="F16" s="83" t="n"/>
      <c r="G16" s="83" t="n"/>
      <c r="H16" s="83" t="n"/>
      <c r="S16">
        <f>IF(9&lt;='設定'!$B$6,"表示","隠す")</f>
        <v/>
      </c>
    </row>
    <row r="17" hidden="1" ht="21" customHeight="1">
      <c r="A17" s="82" t="n"/>
      <c r="B17" s="46">
        <f>'設定'!$I$20</f>
        <v/>
      </c>
      <c r="C17" s="83" t="n"/>
      <c r="D17" s="83" t="n"/>
      <c r="E17" s="83" t="n"/>
      <c r="F17" s="83" t="n"/>
      <c r="G17" s="83" t="n"/>
      <c r="H17" s="83" t="n"/>
      <c r="S17">
        <f>IF(10&lt;='設定'!$B$6,"表示","隠す")</f>
        <v/>
      </c>
    </row>
    <row r="18" hidden="1" ht="21" customHeight="1">
      <c r="A18" s="82" t="n"/>
      <c r="B18" s="46">
        <f>'設定'!$I$21</f>
        <v/>
      </c>
      <c r="C18" s="83" t="n"/>
      <c r="D18" s="83" t="n"/>
      <c r="E18" s="83" t="n"/>
      <c r="F18" s="83" t="n"/>
      <c r="G18" s="83" t="n"/>
      <c r="H18" s="83" t="n"/>
      <c r="S18">
        <f>IF(11&lt;='設定'!$B$6,"表示","隠す")</f>
        <v/>
      </c>
    </row>
    <row r="19" hidden="1" ht="21" customHeight="1">
      <c r="A19" s="82" t="n"/>
      <c r="B19" s="46">
        <f>'設定'!$I$22</f>
        <v/>
      </c>
      <c r="C19" s="83" t="n"/>
      <c r="D19" s="83" t="n"/>
      <c r="E19" s="83" t="n"/>
      <c r="F19" s="83" t="n"/>
      <c r="G19" s="83" t="n"/>
      <c r="H19" s="83" t="n"/>
      <c r="S19">
        <f>IF(12&lt;='設定'!$B$6,"表示","隠す")</f>
        <v/>
      </c>
    </row>
    <row r="20" hidden="1" ht="21" customHeight="1">
      <c r="A20" s="82" t="n"/>
      <c r="B20" s="46">
        <f>'設定'!$I$23</f>
        <v/>
      </c>
      <c r="C20" s="83" t="n"/>
      <c r="D20" s="83" t="n"/>
      <c r="E20" s="83" t="n"/>
      <c r="F20" s="83" t="n"/>
      <c r="G20" s="83" t="n"/>
      <c r="H20" s="83" t="n"/>
      <c r="S20">
        <f>IF(13&lt;='設定'!$B$6,"表示","隠す")</f>
        <v/>
      </c>
    </row>
    <row r="21" hidden="1" ht="21" customHeight="1">
      <c r="A21" s="82" t="n"/>
      <c r="B21" s="46">
        <f>'設定'!$I$24</f>
        <v/>
      </c>
      <c r="C21" s="83" t="n"/>
      <c r="D21" s="83" t="n"/>
      <c r="E21" s="83" t="n"/>
      <c r="F21" s="83" t="n"/>
      <c r="G21" s="83" t="n"/>
      <c r="H21" s="83" t="n"/>
      <c r="S21">
        <f>IF(14&lt;='設定'!$B$6,"表示","隠す")</f>
        <v/>
      </c>
    </row>
    <row r="22" hidden="1" ht="21" customHeight="1">
      <c r="A22" s="82" t="n"/>
      <c r="B22" s="46">
        <f>'設定'!$I$25</f>
        <v/>
      </c>
      <c r="C22" s="83" t="n"/>
      <c r="D22" s="83" t="n"/>
      <c r="E22" s="83" t="n"/>
      <c r="F22" s="83" t="n"/>
      <c r="G22" s="83" t="n"/>
      <c r="H22" s="83" t="n"/>
      <c r="S22">
        <f>IF(15&lt;='設定'!$B$6,"表示","隠す")</f>
        <v/>
      </c>
    </row>
    <row r="23" hidden="1" ht="21" customHeight="1">
      <c r="A23" s="82" t="n"/>
      <c r="B23" s="46">
        <f>'設定'!$I$26</f>
        <v/>
      </c>
      <c r="C23" s="83" t="n"/>
      <c r="D23" s="83" t="n"/>
      <c r="E23" s="83" t="n"/>
      <c r="F23" s="83" t="n"/>
      <c r="G23" s="83" t="n"/>
      <c r="H23" s="83" t="n"/>
      <c r="S23">
        <f>IF(16&lt;='設定'!$B$6,"表示","隠す")</f>
        <v/>
      </c>
    </row>
    <row r="24" hidden="1" ht="21" customHeight="1">
      <c r="A24" s="82" t="n"/>
      <c r="B24" s="46">
        <f>'設定'!$I$27</f>
        <v/>
      </c>
      <c r="C24" s="83" t="n"/>
      <c r="D24" s="83" t="n"/>
      <c r="E24" s="83" t="n"/>
      <c r="F24" s="83" t="n"/>
      <c r="G24" s="83" t="n"/>
      <c r="H24" s="83" t="n"/>
      <c r="S24">
        <f>IF(17&lt;='設定'!$B$6,"表示","隠す")</f>
        <v/>
      </c>
    </row>
    <row r="25" hidden="1" ht="21" customHeight="1">
      <c r="A25" s="82" t="n"/>
      <c r="B25" s="46">
        <f>'設定'!$I$28</f>
        <v/>
      </c>
      <c r="C25" s="83" t="n"/>
      <c r="D25" s="83" t="n"/>
      <c r="E25" s="83" t="n"/>
      <c r="F25" s="83" t="n"/>
      <c r="G25" s="83" t="n"/>
      <c r="H25" s="83" t="n"/>
      <c r="S25">
        <f>IF(18&lt;='設定'!$B$6,"表示","隠す")</f>
        <v/>
      </c>
    </row>
    <row r="26" hidden="1" ht="21" customHeight="1">
      <c r="A26" s="82" t="n"/>
      <c r="B26" s="46">
        <f>'設定'!$I$29</f>
        <v/>
      </c>
      <c r="C26" s="83" t="n"/>
      <c r="D26" s="83" t="n"/>
      <c r="E26" s="83" t="n"/>
      <c r="F26" s="83" t="n"/>
      <c r="G26" s="83" t="n"/>
      <c r="H26" s="83" t="n"/>
      <c r="S26">
        <f>IF(19&lt;='設定'!$B$6,"表示","隠す")</f>
        <v/>
      </c>
    </row>
    <row r="27" hidden="1" ht="21" customHeight="1">
      <c r="A27" s="82" t="n"/>
      <c r="B27" s="46">
        <f>'設定'!$I$30</f>
        <v/>
      </c>
      <c r="C27" s="83" t="n"/>
      <c r="D27" s="83" t="n"/>
      <c r="E27" s="83" t="n"/>
      <c r="F27" s="83" t="n"/>
      <c r="G27" s="83" t="n"/>
      <c r="H27" s="83" t="n"/>
      <c r="S27">
        <f>IF(20&lt;='設定'!$B$6,"表示","隠す")</f>
        <v/>
      </c>
    </row>
    <row r="28" hidden="1" ht="21" customHeight="1">
      <c r="A28" s="82" t="n"/>
      <c r="B28" s="46">
        <f>'設定'!$I$31</f>
        <v/>
      </c>
      <c r="C28" s="83" t="n"/>
      <c r="D28" s="83" t="n"/>
      <c r="E28" s="83" t="n"/>
      <c r="F28" s="83" t="n"/>
      <c r="G28" s="83" t="n"/>
      <c r="H28" s="83" t="n"/>
      <c r="S28">
        <f>IF(21&lt;='設定'!$B$6,"表示","隠す")</f>
        <v/>
      </c>
    </row>
    <row r="29" hidden="1" ht="21" customHeight="1">
      <c r="A29" s="82" t="n"/>
      <c r="B29" s="46">
        <f>'設定'!$I$32</f>
        <v/>
      </c>
      <c r="C29" s="83" t="n"/>
      <c r="D29" s="83" t="n"/>
      <c r="E29" s="83" t="n"/>
      <c r="F29" s="83" t="n"/>
      <c r="G29" s="83" t="n"/>
      <c r="H29" s="83" t="n"/>
      <c r="S29">
        <f>IF(22&lt;='設定'!$B$6,"表示","隠す")</f>
        <v/>
      </c>
    </row>
    <row r="30" hidden="1" ht="21" customHeight="1">
      <c r="A30" s="82" t="n"/>
      <c r="B30" s="46">
        <f>'設定'!$I$33</f>
        <v/>
      </c>
      <c r="C30" s="83" t="n"/>
      <c r="D30" s="83" t="n"/>
      <c r="E30" s="83" t="n"/>
      <c r="F30" s="83" t="n"/>
      <c r="G30" s="83" t="n"/>
      <c r="H30" s="83" t="n"/>
      <c r="S30">
        <f>IF(23&lt;='設定'!$B$6,"表示","隠す")</f>
        <v/>
      </c>
    </row>
    <row r="31" hidden="1" ht="21" customHeight="1">
      <c r="A31" s="82" t="n"/>
      <c r="B31" s="46">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2" t="n"/>
      <c r="G33" s="33" t="n"/>
      <c r="H33" s="78" t="inlineStr">
        <is>
          <t>状況：</t>
        </is>
      </c>
      <c r="I33" s="79">
        <f>'名簿'!Q6</f>
        <v/>
      </c>
      <c r="J33" s="78" t="inlineStr">
        <is>
          <t>×の数：</t>
        </is>
      </c>
      <c r="K33" s="80">
        <f>'名簿'!R6</f>
        <v/>
      </c>
      <c r="L33" s="81">
        <f>HYPERLINK("#'×入力'!B61","次の人へ ▼")</f>
        <v/>
      </c>
      <c r="S33" t="inlineStr">
        <is>
          <t>表示</t>
        </is>
      </c>
    </row>
    <row r="34" ht="22" customHeight="1">
      <c r="A34" s="34" t="inlineStr">
        <is>
          <t>この日全部 ▶</t>
        </is>
      </c>
      <c r="C34" s="82" t="n"/>
      <c r="D34" s="82" t="n"/>
      <c r="E34" s="82" t="n"/>
      <c r="F34" s="82" t="n"/>
      <c r="G34" s="82" t="n"/>
      <c r="H34" s="82" t="n"/>
      <c r="S34" t="inlineStr">
        <is>
          <t>表示</t>
        </is>
      </c>
    </row>
    <row r="35" ht="28" customHeight="1">
      <c r="A35" s="37" t="inlineStr">
        <is>
          <t>この時間
全部 ▼</t>
        </is>
      </c>
      <c r="B35" s="38" t="inlineStr"/>
      <c r="C35" s="39">
        <f>'設定'!$E$11</f>
        <v/>
      </c>
      <c r="D35" s="39">
        <f>'設定'!$E$12</f>
        <v/>
      </c>
      <c r="E35" s="39">
        <f>'設定'!$E$13</f>
        <v/>
      </c>
      <c r="F35" s="39">
        <f>'設定'!$E$14</f>
        <v/>
      </c>
      <c r="G35" s="39">
        <f>'設定'!$E$15</f>
        <v/>
      </c>
      <c r="H35" s="39">
        <f>'設定'!$E$16</f>
        <v/>
      </c>
      <c r="S35" t="inlineStr">
        <is>
          <t>表示</t>
        </is>
      </c>
    </row>
    <row r="36" ht="21" customHeight="1">
      <c r="A36" s="82" t="n"/>
      <c r="B36" s="46">
        <f>'設定'!$I$11</f>
        <v/>
      </c>
      <c r="C36" s="83" t="n"/>
      <c r="D36" s="83" t="n"/>
      <c r="E36" s="83" t="n"/>
      <c r="F36" s="83" t="n"/>
      <c r="G36" s="83" t="n"/>
      <c r="H36" s="83" t="n"/>
      <c r="S36">
        <f>IF(1&lt;='設定'!$B$6,"表示","隠す")</f>
        <v/>
      </c>
    </row>
    <row r="37" ht="21" customHeight="1">
      <c r="A37" s="82" t="n"/>
      <c r="B37" s="46">
        <f>'設定'!$I$12</f>
        <v/>
      </c>
      <c r="C37" s="83" t="n"/>
      <c r="D37" s="83" t="n"/>
      <c r="E37" s="83" t="n"/>
      <c r="F37" s="83" t="n"/>
      <c r="G37" s="83" t="n"/>
      <c r="H37" s="83" t="n"/>
      <c r="S37">
        <f>IF(2&lt;='設定'!$B$6,"表示","隠す")</f>
        <v/>
      </c>
    </row>
    <row r="38" ht="21" customHeight="1">
      <c r="A38" s="82" t="n"/>
      <c r="B38" s="46">
        <f>'設定'!$I$13</f>
        <v/>
      </c>
      <c r="C38" s="83" t="n"/>
      <c r="D38" s="83" t="n"/>
      <c r="E38" s="83" t="n"/>
      <c r="F38" s="83" t="n"/>
      <c r="G38" s="83" t="n"/>
      <c r="H38" s="83" t="n"/>
      <c r="S38">
        <f>IF(3&lt;='設定'!$B$6,"表示","隠す")</f>
        <v/>
      </c>
    </row>
    <row r="39" ht="21" customHeight="1">
      <c r="A39" s="82" t="n"/>
      <c r="B39" s="46">
        <f>'設定'!$I$14</f>
        <v/>
      </c>
      <c r="C39" s="83" t="n"/>
      <c r="D39" s="83" t="n"/>
      <c r="E39" s="83" t="n"/>
      <c r="F39" s="83" t="n"/>
      <c r="G39" s="83" t="n"/>
      <c r="H39" s="83" t="n"/>
      <c r="S39">
        <f>IF(4&lt;='設定'!$B$6,"表示","隠す")</f>
        <v/>
      </c>
    </row>
    <row r="40" ht="21" customHeight="1">
      <c r="A40" s="82" t="n"/>
      <c r="B40" s="46">
        <f>'設定'!$I$15</f>
        <v/>
      </c>
      <c r="C40" s="83" t="n"/>
      <c r="D40" s="83" t="n"/>
      <c r="E40" s="83" t="n"/>
      <c r="F40" s="83" t="n"/>
      <c r="G40" s="83" t="n"/>
      <c r="H40" s="83" t="n"/>
      <c r="S40">
        <f>IF(5&lt;='設定'!$B$6,"表示","隠す")</f>
        <v/>
      </c>
    </row>
    <row r="41" ht="21" customHeight="1">
      <c r="A41" s="82" t="n"/>
      <c r="B41" s="46">
        <f>'設定'!$I$16</f>
        <v/>
      </c>
      <c r="C41" s="83" t="n"/>
      <c r="D41" s="83" t="n"/>
      <c r="E41" s="83" t="n"/>
      <c r="F41" s="83" t="n"/>
      <c r="G41" s="83" t="n"/>
      <c r="H41" s="83" t="n"/>
      <c r="S41">
        <f>IF(6&lt;='設定'!$B$6,"表示","隠す")</f>
        <v/>
      </c>
    </row>
    <row r="42" ht="21" customHeight="1">
      <c r="A42" s="82" t="n"/>
      <c r="B42" s="46">
        <f>'設定'!$I$17</f>
        <v/>
      </c>
      <c r="C42" s="83" t="n"/>
      <c r="D42" s="83" t="n"/>
      <c r="E42" s="83" t="n"/>
      <c r="F42" s="83" t="n"/>
      <c r="G42" s="83" t="n"/>
      <c r="H42" s="83" t="n"/>
      <c r="S42">
        <f>IF(7&lt;='設定'!$B$6,"表示","隠す")</f>
        <v/>
      </c>
    </row>
    <row r="43" ht="21" customHeight="1">
      <c r="A43" s="82" t="n"/>
      <c r="B43" s="46">
        <f>'設定'!$I$18</f>
        <v/>
      </c>
      <c r="C43" s="83" t="n"/>
      <c r="D43" s="83" t="n"/>
      <c r="E43" s="83" t="n"/>
      <c r="F43" s="83" t="n"/>
      <c r="G43" s="83" t="n"/>
      <c r="H43" s="83" t="n"/>
      <c r="S43">
        <f>IF(8&lt;='設定'!$B$6,"表示","隠す")</f>
        <v/>
      </c>
    </row>
    <row r="44" ht="21" customHeight="1">
      <c r="A44" s="82" t="n"/>
      <c r="B44" s="46">
        <f>'設定'!$I$19</f>
        <v/>
      </c>
      <c r="C44" s="83" t="n"/>
      <c r="D44" s="83" t="n"/>
      <c r="E44" s="83" t="n"/>
      <c r="F44" s="83" t="n"/>
      <c r="G44" s="83" t="n"/>
      <c r="H44" s="83" t="n"/>
      <c r="S44">
        <f>IF(9&lt;='設定'!$B$6,"表示","隠す")</f>
        <v/>
      </c>
    </row>
    <row r="45" hidden="1" ht="21" customHeight="1">
      <c r="A45" s="82" t="n"/>
      <c r="B45" s="46">
        <f>'設定'!$I$20</f>
        <v/>
      </c>
      <c r="C45" s="83" t="n"/>
      <c r="D45" s="83" t="n"/>
      <c r="E45" s="83" t="n"/>
      <c r="F45" s="83" t="n"/>
      <c r="G45" s="83" t="n"/>
      <c r="H45" s="83" t="n"/>
      <c r="S45">
        <f>IF(10&lt;='設定'!$B$6,"表示","隠す")</f>
        <v/>
      </c>
    </row>
    <row r="46" hidden="1" ht="21" customHeight="1">
      <c r="A46" s="82" t="n"/>
      <c r="B46" s="46">
        <f>'設定'!$I$21</f>
        <v/>
      </c>
      <c r="C46" s="83" t="n"/>
      <c r="D46" s="83" t="n"/>
      <c r="E46" s="83" t="n"/>
      <c r="F46" s="83" t="n"/>
      <c r="G46" s="83" t="n"/>
      <c r="H46" s="83" t="n"/>
      <c r="S46">
        <f>IF(11&lt;='設定'!$B$6,"表示","隠す")</f>
        <v/>
      </c>
    </row>
    <row r="47" hidden="1" ht="21" customHeight="1">
      <c r="A47" s="82" t="n"/>
      <c r="B47" s="46">
        <f>'設定'!$I$22</f>
        <v/>
      </c>
      <c r="C47" s="83" t="n"/>
      <c r="D47" s="83" t="n"/>
      <c r="E47" s="83" t="n"/>
      <c r="F47" s="83" t="n"/>
      <c r="G47" s="83" t="n"/>
      <c r="H47" s="83" t="n"/>
      <c r="S47">
        <f>IF(12&lt;='設定'!$B$6,"表示","隠す")</f>
        <v/>
      </c>
    </row>
    <row r="48" hidden="1" ht="21" customHeight="1">
      <c r="A48" s="82" t="n"/>
      <c r="B48" s="46">
        <f>'設定'!$I$23</f>
        <v/>
      </c>
      <c r="C48" s="83" t="n"/>
      <c r="D48" s="83" t="n"/>
      <c r="E48" s="83" t="n"/>
      <c r="F48" s="83" t="n"/>
      <c r="G48" s="83" t="n"/>
      <c r="H48" s="83" t="n"/>
      <c r="S48">
        <f>IF(13&lt;='設定'!$B$6,"表示","隠す")</f>
        <v/>
      </c>
    </row>
    <row r="49" hidden="1" ht="21" customHeight="1">
      <c r="A49" s="82" t="n"/>
      <c r="B49" s="46">
        <f>'設定'!$I$24</f>
        <v/>
      </c>
      <c r="C49" s="83" t="n"/>
      <c r="D49" s="83" t="n"/>
      <c r="E49" s="83" t="n"/>
      <c r="F49" s="83" t="n"/>
      <c r="G49" s="83" t="n"/>
      <c r="H49" s="83" t="n"/>
      <c r="S49">
        <f>IF(14&lt;='設定'!$B$6,"表示","隠す")</f>
        <v/>
      </c>
    </row>
    <row r="50" hidden="1" ht="21" customHeight="1">
      <c r="A50" s="82" t="n"/>
      <c r="B50" s="46">
        <f>'設定'!$I$25</f>
        <v/>
      </c>
      <c r="C50" s="83" t="n"/>
      <c r="D50" s="83" t="n"/>
      <c r="E50" s="83" t="n"/>
      <c r="F50" s="83" t="n"/>
      <c r="G50" s="83" t="n"/>
      <c r="H50" s="83" t="n"/>
      <c r="S50">
        <f>IF(15&lt;='設定'!$B$6,"表示","隠す")</f>
        <v/>
      </c>
    </row>
    <row r="51" hidden="1" ht="21" customHeight="1">
      <c r="A51" s="82" t="n"/>
      <c r="B51" s="46">
        <f>'設定'!$I$26</f>
        <v/>
      </c>
      <c r="C51" s="83" t="n"/>
      <c r="D51" s="83" t="n"/>
      <c r="E51" s="83" t="n"/>
      <c r="F51" s="83" t="n"/>
      <c r="G51" s="83" t="n"/>
      <c r="H51" s="83" t="n"/>
      <c r="S51">
        <f>IF(16&lt;='設定'!$B$6,"表示","隠す")</f>
        <v/>
      </c>
    </row>
    <row r="52" hidden="1" ht="21" customHeight="1">
      <c r="A52" s="82" t="n"/>
      <c r="B52" s="46">
        <f>'設定'!$I$27</f>
        <v/>
      </c>
      <c r="C52" s="83" t="n"/>
      <c r="D52" s="83" t="n"/>
      <c r="E52" s="83" t="n"/>
      <c r="F52" s="83" t="n"/>
      <c r="G52" s="83" t="n"/>
      <c r="H52" s="83" t="n"/>
      <c r="S52">
        <f>IF(17&lt;='設定'!$B$6,"表示","隠す")</f>
        <v/>
      </c>
    </row>
    <row r="53" hidden="1" ht="21" customHeight="1">
      <c r="A53" s="82" t="n"/>
      <c r="B53" s="46">
        <f>'設定'!$I$28</f>
        <v/>
      </c>
      <c r="C53" s="83" t="n"/>
      <c r="D53" s="83" t="n"/>
      <c r="E53" s="83" t="n"/>
      <c r="F53" s="83" t="n"/>
      <c r="G53" s="83" t="n"/>
      <c r="H53" s="83" t="n"/>
      <c r="S53">
        <f>IF(18&lt;='設定'!$B$6,"表示","隠す")</f>
        <v/>
      </c>
    </row>
    <row r="54" hidden="1" ht="21" customHeight="1">
      <c r="A54" s="82" t="n"/>
      <c r="B54" s="46">
        <f>'設定'!$I$29</f>
        <v/>
      </c>
      <c r="C54" s="83" t="n"/>
      <c r="D54" s="83" t="n"/>
      <c r="E54" s="83" t="n"/>
      <c r="F54" s="83" t="n"/>
      <c r="G54" s="83" t="n"/>
      <c r="H54" s="83" t="n"/>
      <c r="S54">
        <f>IF(19&lt;='設定'!$B$6,"表示","隠す")</f>
        <v/>
      </c>
    </row>
    <row r="55" hidden="1" ht="21" customHeight="1">
      <c r="A55" s="82" t="n"/>
      <c r="B55" s="46">
        <f>'設定'!$I$30</f>
        <v/>
      </c>
      <c r="C55" s="83" t="n"/>
      <c r="D55" s="83" t="n"/>
      <c r="E55" s="83" t="n"/>
      <c r="F55" s="83" t="n"/>
      <c r="G55" s="83" t="n"/>
      <c r="H55" s="83" t="n"/>
      <c r="S55">
        <f>IF(20&lt;='設定'!$B$6,"表示","隠す")</f>
        <v/>
      </c>
    </row>
    <row r="56" hidden="1" ht="21" customHeight="1">
      <c r="A56" s="82" t="n"/>
      <c r="B56" s="46">
        <f>'設定'!$I$31</f>
        <v/>
      </c>
      <c r="C56" s="83" t="n"/>
      <c r="D56" s="83" t="n"/>
      <c r="E56" s="83" t="n"/>
      <c r="F56" s="83" t="n"/>
      <c r="G56" s="83" t="n"/>
      <c r="H56" s="83" t="n"/>
      <c r="S56">
        <f>IF(21&lt;='設定'!$B$6,"表示","隠す")</f>
        <v/>
      </c>
    </row>
    <row r="57" hidden="1" ht="21" customHeight="1">
      <c r="A57" s="82" t="n"/>
      <c r="B57" s="46">
        <f>'設定'!$I$32</f>
        <v/>
      </c>
      <c r="C57" s="83" t="n"/>
      <c r="D57" s="83" t="n"/>
      <c r="E57" s="83" t="n"/>
      <c r="F57" s="83" t="n"/>
      <c r="G57" s="83" t="n"/>
      <c r="H57" s="83" t="n"/>
      <c r="S57">
        <f>IF(22&lt;='設定'!$B$6,"表示","隠す")</f>
        <v/>
      </c>
    </row>
    <row r="58" hidden="1" ht="21" customHeight="1">
      <c r="A58" s="82" t="n"/>
      <c r="B58" s="46">
        <f>'設定'!$I$33</f>
        <v/>
      </c>
      <c r="C58" s="83" t="n"/>
      <c r="D58" s="83" t="n"/>
      <c r="E58" s="83" t="n"/>
      <c r="F58" s="83" t="n"/>
      <c r="G58" s="83" t="n"/>
      <c r="H58" s="83" t="n"/>
      <c r="S58">
        <f>IF(23&lt;='設定'!$B$6,"表示","隠す")</f>
        <v/>
      </c>
    </row>
    <row r="59" hidden="1" ht="21" customHeight="1">
      <c r="A59" s="82" t="n"/>
      <c r="B59" s="46">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2" t="n"/>
      <c r="G61" s="33" t="n"/>
      <c r="H61" s="78" t="inlineStr">
        <is>
          <t>状況：</t>
        </is>
      </c>
      <c r="I61" s="79">
        <f>'名簿'!Q7</f>
        <v/>
      </c>
      <c r="J61" s="78" t="inlineStr">
        <is>
          <t>×の数：</t>
        </is>
      </c>
      <c r="K61" s="80">
        <f>'名簿'!R7</f>
        <v/>
      </c>
      <c r="L61" s="81">
        <f>HYPERLINK("#'×入力'!B89","次の人へ ▼")</f>
        <v/>
      </c>
      <c r="S61" t="inlineStr">
        <is>
          <t>表示</t>
        </is>
      </c>
    </row>
    <row r="62" ht="22" customHeight="1">
      <c r="A62" s="34" t="inlineStr">
        <is>
          <t>この日全部 ▶</t>
        </is>
      </c>
      <c r="C62" s="82" t="n"/>
      <c r="D62" s="82" t="n"/>
      <c r="E62" s="82" t="n"/>
      <c r="F62" s="82" t="n"/>
      <c r="G62" s="82" t="n"/>
      <c r="H62" s="82" t="n"/>
      <c r="S62" t="inlineStr">
        <is>
          <t>表示</t>
        </is>
      </c>
    </row>
    <row r="63" ht="28" customHeight="1">
      <c r="A63" s="37" t="inlineStr">
        <is>
          <t>この時間
全部 ▼</t>
        </is>
      </c>
      <c r="B63" s="38" t="inlineStr"/>
      <c r="C63" s="39">
        <f>'設定'!$E$11</f>
        <v/>
      </c>
      <c r="D63" s="39">
        <f>'設定'!$E$12</f>
        <v/>
      </c>
      <c r="E63" s="39">
        <f>'設定'!$E$13</f>
        <v/>
      </c>
      <c r="F63" s="39">
        <f>'設定'!$E$14</f>
        <v/>
      </c>
      <c r="G63" s="39">
        <f>'設定'!$E$15</f>
        <v/>
      </c>
      <c r="H63" s="39">
        <f>'設定'!$E$16</f>
        <v/>
      </c>
      <c r="S63" t="inlineStr">
        <is>
          <t>表示</t>
        </is>
      </c>
    </row>
    <row r="64" ht="21" customHeight="1">
      <c r="A64" s="82" t="n"/>
      <c r="B64" s="46">
        <f>'設定'!$I$11</f>
        <v/>
      </c>
      <c r="C64" s="83" t="n"/>
      <c r="D64" s="83" t="n"/>
      <c r="E64" s="83" t="n"/>
      <c r="F64" s="83" t="n"/>
      <c r="G64" s="83" t="n"/>
      <c r="H64" s="83" t="n"/>
      <c r="S64">
        <f>IF(1&lt;='設定'!$B$6,"表示","隠す")</f>
        <v/>
      </c>
    </row>
    <row r="65" ht="21" customHeight="1">
      <c r="A65" s="82" t="n"/>
      <c r="B65" s="46">
        <f>'設定'!$I$12</f>
        <v/>
      </c>
      <c r="C65" s="83" t="n"/>
      <c r="D65" s="83" t="n"/>
      <c r="E65" s="83" t="n"/>
      <c r="F65" s="83" t="n"/>
      <c r="G65" s="83" t="n"/>
      <c r="H65" s="83" t="n"/>
      <c r="S65">
        <f>IF(2&lt;='設定'!$B$6,"表示","隠す")</f>
        <v/>
      </c>
    </row>
    <row r="66" ht="21" customHeight="1">
      <c r="A66" s="82" t="n"/>
      <c r="B66" s="46">
        <f>'設定'!$I$13</f>
        <v/>
      </c>
      <c r="C66" s="83" t="n"/>
      <c r="D66" s="83" t="n"/>
      <c r="E66" s="83" t="n"/>
      <c r="F66" s="83" t="n"/>
      <c r="G66" s="83" t="n"/>
      <c r="H66" s="83" t="n"/>
      <c r="S66">
        <f>IF(3&lt;='設定'!$B$6,"表示","隠す")</f>
        <v/>
      </c>
    </row>
    <row r="67" ht="21" customHeight="1">
      <c r="A67" s="82" t="n"/>
      <c r="B67" s="46">
        <f>'設定'!$I$14</f>
        <v/>
      </c>
      <c r="C67" s="83" t="n"/>
      <c r="D67" s="83" t="n"/>
      <c r="E67" s="83" t="n"/>
      <c r="F67" s="83" t="n"/>
      <c r="G67" s="83" t="n"/>
      <c r="H67" s="83" t="n"/>
      <c r="S67">
        <f>IF(4&lt;='設定'!$B$6,"表示","隠す")</f>
        <v/>
      </c>
    </row>
    <row r="68" ht="21" customHeight="1">
      <c r="A68" s="82" t="n"/>
      <c r="B68" s="46">
        <f>'設定'!$I$15</f>
        <v/>
      </c>
      <c r="C68" s="83" t="n"/>
      <c r="D68" s="83" t="n"/>
      <c r="E68" s="83" t="n"/>
      <c r="F68" s="83" t="n"/>
      <c r="G68" s="83" t="n"/>
      <c r="H68" s="83" t="n"/>
      <c r="S68">
        <f>IF(5&lt;='設定'!$B$6,"表示","隠す")</f>
        <v/>
      </c>
    </row>
    <row r="69" ht="21" customHeight="1">
      <c r="A69" s="82" t="n"/>
      <c r="B69" s="46">
        <f>'設定'!$I$16</f>
        <v/>
      </c>
      <c r="C69" s="83" t="n"/>
      <c r="D69" s="83" t="n"/>
      <c r="E69" s="83" t="n"/>
      <c r="F69" s="83" t="n"/>
      <c r="G69" s="83" t="n"/>
      <c r="H69" s="83" t="n"/>
      <c r="S69">
        <f>IF(6&lt;='設定'!$B$6,"表示","隠す")</f>
        <v/>
      </c>
    </row>
    <row r="70" ht="21" customHeight="1">
      <c r="A70" s="82" t="n"/>
      <c r="B70" s="46">
        <f>'設定'!$I$17</f>
        <v/>
      </c>
      <c r="C70" s="83" t="n"/>
      <c r="D70" s="83" t="n"/>
      <c r="E70" s="83" t="n"/>
      <c r="F70" s="83" t="n"/>
      <c r="G70" s="83" t="n"/>
      <c r="H70" s="83" t="n"/>
      <c r="S70">
        <f>IF(7&lt;='設定'!$B$6,"表示","隠す")</f>
        <v/>
      </c>
    </row>
    <row r="71" ht="21" customHeight="1">
      <c r="A71" s="82" t="n"/>
      <c r="B71" s="46">
        <f>'設定'!$I$18</f>
        <v/>
      </c>
      <c r="C71" s="83" t="n"/>
      <c r="D71" s="83" t="n"/>
      <c r="E71" s="83" t="n"/>
      <c r="F71" s="83" t="n"/>
      <c r="G71" s="83" t="n"/>
      <c r="H71" s="83" t="n"/>
      <c r="S71">
        <f>IF(8&lt;='設定'!$B$6,"表示","隠す")</f>
        <v/>
      </c>
    </row>
    <row r="72" ht="21" customHeight="1">
      <c r="A72" s="82" t="n"/>
      <c r="B72" s="46">
        <f>'設定'!$I$19</f>
        <v/>
      </c>
      <c r="C72" s="83" t="n"/>
      <c r="D72" s="83" t="n"/>
      <c r="E72" s="83" t="n"/>
      <c r="F72" s="83" t="n"/>
      <c r="G72" s="83" t="n"/>
      <c r="H72" s="83" t="n"/>
      <c r="S72">
        <f>IF(9&lt;='設定'!$B$6,"表示","隠す")</f>
        <v/>
      </c>
    </row>
    <row r="73" hidden="1" ht="21" customHeight="1">
      <c r="A73" s="82" t="n"/>
      <c r="B73" s="46">
        <f>'設定'!$I$20</f>
        <v/>
      </c>
      <c r="C73" s="83" t="n"/>
      <c r="D73" s="83" t="n"/>
      <c r="E73" s="83" t="n"/>
      <c r="F73" s="83" t="n"/>
      <c r="G73" s="83" t="n"/>
      <c r="H73" s="83" t="n"/>
      <c r="S73">
        <f>IF(10&lt;='設定'!$B$6,"表示","隠す")</f>
        <v/>
      </c>
    </row>
    <row r="74" hidden="1" ht="21" customHeight="1">
      <c r="A74" s="82" t="n"/>
      <c r="B74" s="46">
        <f>'設定'!$I$21</f>
        <v/>
      </c>
      <c r="C74" s="83" t="n"/>
      <c r="D74" s="83" t="n"/>
      <c r="E74" s="83" t="n"/>
      <c r="F74" s="83" t="n"/>
      <c r="G74" s="83" t="n"/>
      <c r="H74" s="83" t="n"/>
      <c r="S74">
        <f>IF(11&lt;='設定'!$B$6,"表示","隠す")</f>
        <v/>
      </c>
    </row>
    <row r="75" hidden="1" ht="21" customHeight="1">
      <c r="A75" s="82" t="n"/>
      <c r="B75" s="46">
        <f>'設定'!$I$22</f>
        <v/>
      </c>
      <c r="C75" s="83" t="n"/>
      <c r="D75" s="83" t="n"/>
      <c r="E75" s="83" t="n"/>
      <c r="F75" s="83" t="n"/>
      <c r="G75" s="83" t="n"/>
      <c r="H75" s="83" t="n"/>
      <c r="S75">
        <f>IF(12&lt;='設定'!$B$6,"表示","隠す")</f>
        <v/>
      </c>
    </row>
    <row r="76" hidden="1" ht="21" customHeight="1">
      <c r="A76" s="82" t="n"/>
      <c r="B76" s="46">
        <f>'設定'!$I$23</f>
        <v/>
      </c>
      <c r="C76" s="83" t="n"/>
      <c r="D76" s="83" t="n"/>
      <c r="E76" s="83" t="n"/>
      <c r="F76" s="83" t="n"/>
      <c r="G76" s="83" t="n"/>
      <c r="H76" s="83" t="n"/>
      <c r="S76">
        <f>IF(13&lt;='設定'!$B$6,"表示","隠す")</f>
        <v/>
      </c>
    </row>
    <row r="77" hidden="1" ht="21" customHeight="1">
      <c r="A77" s="82" t="n"/>
      <c r="B77" s="46">
        <f>'設定'!$I$24</f>
        <v/>
      </c>
      <c r="C77" s="83" t="n"/>
      <c r="D77" s="83" t="n"/>
      <c r="E77" s="83" t="n"/>
      <c r="F77" s="83" t="n"/>
      <c r="G77" s="83" t="n"/>
      <c r="H77" s="83" t="n"/>
      <c r="S77">
        <f>IF(14&lt;='設定'!$B$6,"表示","隠す")</f>
        <v/>
      </c>
    </row>
    <row r="78" hidden="1" ht="21" customHeight="1">
      <c r="A78" s="82" t="n"/>
      <c r="B78" s="46">
        <f>'設定'!$I$25</f>
        <v/>
      </c>
      <c r="C78" s="83" t="n"/>
      <c r="D78" s="83" t="n"/>
      <c r="E78" s="83" t="n"/>
      <c r="F78" s="83" t="n"/>
      <c r="G78" s="83" t="n"/>
      <c r="H78" s="83" t="n"/>
      <c r="S78">
        <f>IF(15&lt;='設定'!$B$6,"表示","隠す")</f>
        <v/>
      </c>
    </row>
    <row r="79" hidden="1" ht="21" customHeight="1">
      <c r="A79" s="82" t="n"/>
      <c r="B79" s="46">
        <f>'設定'!$I$26</f>
        <v/>
      </c>
      <c r="C79" s="83" t="n"/>
      <c r="D79" s="83" t="n"/>
      <c r="E79" s="83" t="n"/>
      <c r="F79" s="83" t="n"/>
      <c r="G79" s="83" t="n"/>
      <c r="H79" s="83" t="n"/>
      <c r="S79">
        <f>IF(16&lt;='設定'!$B$6,"表示","隠す")</f>
        <v/>
      </c>
    </row>
    <row r="80" hidden="1" ht="21" customHeight="1">
      <c r="A80" s="82" t="n"/>
      <c r="B80" s="46">
        <f>'設定'!$I$27</f>
        <v/>
      </c>
      <c r="C80" s="83" t="n"/>
      <c r="D80" s="83" t="n"/>
      <c r="E80" s="83" t="n"/>
      <c r="F80" s="83" t="n"/>
      <c r="G80" s="83" t="n"/>
      <c r="H80" s="83" t="n"/>
      <c r="S80">
        <f>IF(17&lt;='設定'!$B$6,"表示","隠す")</f>
        <v/>
      </c>
    </row>
    <row r="81" hidden="1" ht="21" customHeight="1">
      <c r="A81" s="82" t="n"/>
      <c r="B81" s="46">
        <f>'設定'!$I$28</f>
        <v/>
      </c>
      <c r="C81" s="83" t="n"/>
      <c r="D81" s="83" t="n"/>
      <c r="E81" s="83" t="n"/>
      <c r="F81" s="83" t="n"/>
      <c r="G81" s="83" t="n"/>
      <c r="H81" s="83" t="n"/>
      <c r="S81">
        <f>IF(18&lt;='設定'!$B$6,"表示","隠す")</f>
        <v/>
      </c>
    </row>
    <row r="82" hidden="1" ht="21" customHeight="1">
      <c r="A82" s="82" t="n"/>
      <c r="B82" s="46">
        <f>'設定'!$I$29</f>
        <v/>
      </c>
      <c r="C82" s="83" t="n"/>
      <c r="D82" s="83" t="n"/>
      <c r="E82" s="83" t="n"/>
      <c r="F82" s="83" t="n"/>
      <c r="G82" s="83" t="n"/>
      <c r="H82" s="83" t="n"/>
      <c r="S82">
        <f>IF(19&lt;='設定'!$B$6,"表示","隠す")</f>
        <v/>
      </c>
    </row>
    <row r="83" hidden="1" ht="21" customHeight="1">
      <c r="A83" s="82" t="n"/>
      <c r="B83" s="46">
        <f>'設定'!$I$30</f>
        <v/>
      </c>
      <c r="C83" s="83" t="n"/>
      <c r="D83" s="83" t="n"/>
      <c r="E83" s="83" t="n"/>
      <c r="F83" s="83" t="n"/>
      <c r="G83" s="83" t="n"/>
      <c r="H83" s="83" t="n"/>
      <c r="S83">
        <f>IF(20&lt;='設定'!$B$6,"表示","隠す")</f>
        <v/>
      </c>
    </row>
    <row r="84" hidden="1" ht="21" customHeight="1">
      <c r="A84" s="82" t="n"/>
      <c r="B84" s="46">
        <f>'設定'!$I$31</f>
        <v/>
      </c>
      <c r="C84" s="83" t="n"/>
      <c r="D84" s="83" t="n"/>
      <c r="E84" s="83" t="n"/>
      <c r="F84" s="83" t="n"/>
      <c r="G84" s="83" t="n"/>
      <c r="H84" s="83" t="n"/>
      <c r="S84">
        <f>IF(21&lt;='設定'!$B$6,"表示","隠す")</f>
        <v/>
      </c>
    </row>
    <row r="85" hidden="1" ht="21" customHeight="1">
      <c r="A85" s="82" t="n"/>
      <c r="B85" s="46">
        <f>'設定'!$I$32</f>
        <v/>
      </c>
      <c r="C85" s="83" t="n"/>
      <c r="D85" s="83" t="n"/>
      <c r="E85" s="83" t="n"/>
      <c r="F85" s="83" t="n"/>
      <c r="G85" s="83" t="n"/>
      <c r="H85" s="83" t="n"/>
      <c r="S85">
        <f>IF(22&lt;='設定'!$B$6,"表示","隠す")</f>
        <v/>
      </c>
    </row>
    <row r="86" hidden="1" ht="21" customHeight="1">
      <c r="A86" s="82" t="n"/>
      <c r="B86" s="46">
        <f>'設定'!$I$33</f>
        <v/>
      </c>
      <c r="C86" s="83" t="n"/>
      <c r="D86" s="83" t="n"/>
      <c r="E86" s="83" t="n"/>
      <c r="F86" s="83" t="n"/>
      <c r="G86" s="83" t="n"/>
      <c r="H86" s="83" t="n"/>
      <c r="S86">
        <f>IF(23&lt;='設定'!$B$6,"表示","隠す")</f>
        <v/>
      </c>
    </row>
    <row r="87" hidden="1" ht="21" customHeight="1">
      <c r="A87" s="82" t="n"/>
      <c r="B87" s="46">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2" t="n"/>
      <c r="G89" s="33" t="n"/>
      <c r="H89" s="78" t="inlineStr">
        <is>
          <t>状況：</t>
        </is>
      </c>
      <c r="I89" s="79">
        <f>'名簿'!Q8</f>
        <v/>
      </c>
      <c r="J89" s="78" t="inlineStr">
        <is>
          <t>×の数：</t>
        </is>
      </c>
      <c r="K89" s="80">
        <f>'名簿'!R8</f>
        <v/>
      </c>
      <c r="L89" s="81">
        <f>HYPERLINK("#'×入力'!B117","次の人へ ▼")</f>
        <v/>
      </c>
      <c r="S89" t="inlineStr">
        <is>
          <t>表示</t>
        </is>
      </c>
    </row>
    <row r="90" ht="22" customHeight="1">
      <c r="A90" s="34" t="inlineStr">
        <is>
          <t>この日全部 ▶</t>
        </is>
      </c>
      <c r="C90" s="82" t="n"/>
      <c r="D90" s="82" t="n"/>
      <c r="E90" s="82" t="n"/>
      <c r="F90" s="82" t="n"/>
      <c r="G90" s="82" t="n"/>
      <c r="H90" s="82" t="n"/>
      <c r="S90" t="inlineStr">
        <is>
          <t>表示</t>
        </is>
      </c>
    </row>
    <row r="91" ht="28" customHeight="1">
      <c r="A91" s="37" t="inlineStr">
        <is>
          <t>この時間
全部 ▼</t>
        </is>
      </c>
      <c r="B91" s="38" t="inlineStr"/>
      <c r="C91" s="39">
        <f>'設定'!$E$11</f>
        <v/>
      </c>
      <c r="D91" s="39">
        <f>'設定'!$E$12</f>
        <v/>
      </c>
      <c r="E91" s="39">
        <f>'設定'!$E$13</f>
        <v/>
      </c>
      <c r="F91" s="39">
        <f>'設定'!$E$14</f>
        <v/>
      </c>
      <c r="G91" s="39">
        <f>'設定'!$E$15</f>
        <v/>
      </c>
      <c r="H91" s="39">
        <f>'設定'!$E$16</f>
        <v/>
      </c>
      <c r="S91" t="inlineStr">
        <is>
          <t>表示</t>
        </is>
      </c>
    </row>
    <row r="92" ht="21" customHeight="1">
      <c r="A92" s="82" t="n"/>
      <c r="B92" s="46">
        <f>'設定'!$I$11</f>
        <v/>
      </c>
      <c r="C92" s="83" t="n"/>
      <c r="D92" s="83" t="n"/>
      <c r="E92" s="83" t="n"/>
      <c r="F92" s="83" t="n"/>
      <c r="G92" s="83" t="n"/>
      <c r="H92" s="83" t="n"/>
      <c r="S92">
        <f>IF(1&lt;='設定'!$B$6,"表示","隠す")</f>
        <v/>
      </c>
    </row>
    <row r="93" ht="21" customHeight="1">
      <c r="A93" s="82" t="n"/>
      <c r="B93" s="46">
        <f>'設定'!$I$12</f>
        <v/>
      </c>
      <c r="C93" s="83" t="n"/>
      <c r="D93" s="83" t="n"/>
      <c r="E93" s="83" t="n"/>
      <c r="F93" s="83" t="n"/>
      <c r="G93" s="83" t="n"/>
      <c r="H93" s="83" t="n"/>
      <c r="S93">
        <f>IF(2&lt;='設定'!$B$6,"表示","隠す")</f>
        <v/>
      </c>
    </row>
    <row r="94" ht="21" customHeight="1">
      <c r="A94" s="82" t="n"/>
      <c r="B94" s="46">
        <f>'設定'!$I$13</f>
        <v/>
      </c>
      <c r="C94" s="83" t="n"/>
      <c r="D94" s="83" t="n"/>
      <c r="E94" s="83" t="n"/>
      <c r="F94" s="83" t="n"/>
      <c r="G94" s="83" t="n"/>
      <c r="H94" s="83" t="n"/>
      <c r="S94">
        <f>IF(3&lt;='設定'!$B$6,"表示","隠す")</f>
        <v/>
      </c>
    </row>
    <row r="95" ht="21" customHeight="1">
      <c r="A95" s="82" t="n"/>
      <c r="B95" s="46">
        <f>'設定'!$I$14</f>
        <v/>
      </c>
      <c r="C95" s="83" t="n"/>
      <c r="D95" s="83" t="n"/>
      <c r="E95" s="83" t="n"/>
      <c r="F95" s="83" t="n"/>
      <c r="G95" s="83" t="n"/>
      <c r="H95" s="83" t="n"/>
      <c r="S95">
        <f>IF(4&lt;='設定'!$B$6,"表示","隠す")</f>
        <v/>
      </c>
    </row>
    <row r="96" ht="21" customHeight="1">
      <c r="A96" s="82" t="n"/>
      <c r="B96" s="46">
        <f>'設定'!$I$15</f>
        <v/>
      </c>
      <c r="C96" s="83" t="n"/>
      <c r="D96" s="83" t="n"/>
      <c r="E96" s="83" t="n"/>
      <c r="F96" s="83" t="n"/>
      <c r="G96" s="83" t="n"/>
      <c r="H96" s="83" t="n"/>
      <c r="S96">
        <f>IF(5&lt;='設定'!$B$6,"表示","隠す")</f>
        <v/>
      </c>
    </row>
    <row r="97" ht="21" customHeight="1">
      <c r="A97" s="82" t="n"/>
      <c r="B97" s="46">
        <f>'設定'!$I$16</f>
        <v/>
      </c>
      <c r="C97" s="83" t="n"/>
      <c r="D97" s="83" t="n"/>
      <c r="E97" s="83" t="n"/>
      <c r="F97" s="83" t="n"/>
      <c r="G97" s="83" t="n"/>
      <c r="H97" s="83" t="n"/>
      <c r="S97">
        <f>IF(6&lt;='設定'!$B$6,"表示","隠す")</f>
        <v/>
      </c>
    </row>
    <row r="98" ht="21" customHeight="1">
      <c r="A98" s="82" t="n"/>
      <c r="B98" s="46">
        <f>'設定'!$I$17</f>
        <v/>
      </c>
      <c r="C98" s="83" t="n"/>
      <c r="D98" s="83" t="n"/>
      <c r="E98" s="83" t="n"/>
      <c r="F98" s="83" t="n"/>
      <c r="G98" s="83" t="n"/>
      <c r="H98" s="83" t="n"/>
      <c r="S98">
        <f>IF(7&lt;='設定'!$B$6,"表示","隠す")</f>
        <v/>
      </c>
    </row>
    <row r="99" ht="21" customHeight="1">
      <c r="A99" s="82" t="n"/>
      <c r="B99" s="46">
        <f>'設定'!$I$18</f>
        <v/>
      </c>
      <c r="C99" s="83" t="n"/>
      <c r="D99" s="83" t="n"/>
      <c r="E99" s="83" t="n"/>
      <c r="F99" s="83" t="n"/>
      <c r="G99" s="83" t="n"/>
      <c r="H99" s="83" t="n"/>
      <c r="S99">
        <f>IF(8&lt;='設定'!$B$6,"表示","隠す")</f>
        <v/>
      </c>
    </row>
    <row r="100" ht="21" customHeight="1">
      <c r="A100" s="82" t="n"/>
      <c r="B100" s="46">
        <f>'設定'!$I$19</f>
        <v/>
      </c>
      <c r="C100" s="83" t="n"/>
      <c r="D100" s="83" t="n"/>
      <c r="E100" s="83" t="n"/>
      <c r="F100" s="83" t="n"/>
      <c r="G100" s="83" t="n"/>
      <c r="H100" s="83" t="n"/>
      <c r="S100">
        <f>IF(9&lt;='設定'!$B$6,"表示","隠す")</f>
        <v/>
      </c>
    </row>
    <row r="101" hidden="1" ht="21" customHeight="1">
      <c r="A101" s="82" t="n"/>
      <c r="B101" s="46">
        <f>'設定'!$I$20</f>
        <v/>
      </c>
      <c r="C101" s="83" t="n"/>
      <c r="D101" s="83" t="n"/>
      <c r="E101" s="83" t="n"/>
      <c r="F101" s="83" t="n"/>
      <c r="G101" s="83" t="n"/>
      <c r="H101" s="83" t="n"/>
      <c r="S101">
        <f>IF(10&lt;='設定'!$B$6,"表示","隠す")</f>
        <v/>
      </c>
    </row>
    <row r="102" hidden="1" ht="21" customHeight="1">
      <c r="A102" s="82" t="n"/>
      <c r="B102" s="46">
        <f>'設定'!$I$21</f>
        <v/>
      </c>
      <c r="C102" s="83" t="n"/>
      <c r="D102" s="83" t="n"/>
      <c r="E102" s="83" t="n"/>
      <c r="F102" s="83" t="n"/>
      <c r="G102" s="83" t="n"/>
      <c r="H102" s="83" t="n"/>
      <c r="S102">
        <f>IF(11&lt;='設定'!$B$6,"表示","隠す")</f>
        <v/>
      </c>
    </row>
    <row r="103" hidden="1" ht="21" customHeight="1">
      <c r="A103" s="82" t="n"/>
      <c r="B103" s="46">
        <f>'設定'!$I$22</f>
        <v/>
      </c>
      <c r="C103" s="83" t="n"/>
      <c r="D103" s="83" t="n"/>
      <c r="E103" s="83" t="n"/>
      <c r="F103" s="83" t="n"/>
      <c r="G103" s="83" t="n"/>
      <c r="H103" s="83" t="n"/>
      <c r="S103">
        <f>IF(12&lt;='設定'!$B$6,"表示","隠す")</f>
        <v/>
      </c>
    </row>
    <row r="104" hidden="1" ht="21" customHeight="1">
      <c r="A104" s="82" t="n"/>
      <c r="B104" s="46">
        <f>'設定'!$I$23</f>
        <v/>
      </c>
      <c r="C104" s="83" t="n"/>
      <c r="D104" s="83" t="n"/>
      <c r="E104" s="83" t="n"/>
      <c r="F104" s="83" t="n"/>
      <c r="G104" s="83" t="n"/>
      <c r="H104" s="83" t="n"/>
      <c r="S104">
        <f>IF(13&lt;='設定'!$B$6,"表示","隠す")</f>
        <v/>
      </c>
    </row>
    <row r="105" hidden="1" ht="21" customHeight="1">
      <c r="A105" s="82" t="n"/>
      <c r="B105" s="46">
        <f>'設定'!$I$24</f>
        <v/>
      </c>
      <c r="C105" s="83" t="n"/>
      <c r="D105" s="83" t="n"/>
      <c r="E105" s="83" t="n"/>
      <c r="F105" s="83" t="n"/>
      <c r="G105" s="83" t="n"/>
      <c r="H105" s="83" t="n"/>
      <c r="S105">
        <f>IF(14&lt;='設定'!$B$6,"表示","隠す")</f>
        <v/>
      </c>
    </row>
    <row r="106" hidden="1" ht="21" customHeight="1">
      <c r="A106" s="82" t="n"/>
      <c r="B106" s="46">
        <f>'設定'!$I$25</f>
        <v/>
      </c>
      <c r="C106" s="83" t="n"/>
      <c r="D106" s="83" t="n"/>
      <c r="E106" s="83" t="n"/>
      <c r="F106" s="83" t="n"/>
      <c r="G106" s="83" t="n"/>
      <c r="H106" s="83" t="n"/>
      <c r="S106">
        <f>IF(15&lt;='設定'!$B$6,"表示","隠す")</f>
        <v/>
      </c>
    </row>
    <row r="107" hidden="1" ht="21" customHeight="1">
      <c r="A107" s="82" t="n"/>
      <c r="B107" s="46">
        <f>'設定'!$I$26</f>
        <v/>
      </c>
      <c r="C107" s="83" t="n"/>
      <c r="D107" s="83" t="n"/>
      <c r="E107" s="83" t="n"/>
      <c r="F107" s="83" t="n"/>
      <c r="G107" s="83" t="n"/>
      <c r="H107" s="83" t="n"/>
      <c r="S107">
        <f>IF(16&lt;='設定'!$B$6,"表示","隠す")</f>
        <v/>
      </c>
    </row>
    <row r="108" hidden="1" ht="21" customHeight="1">
      <c r="A108" s="82" t="n"/>
      <c r="B108" s="46">
        <f>'設定'!$I$27</f>
        <v/>
      </c>
      <c r="C108" s="83" t="n"/>
      <c r="D108" s="83" t="n"/>
      <c r="E108" s="83" t="n"/>
      <c r="F108" s="83" t="n"/>
      <c r="G108" s="83" t="n"/>
      <c r="H108" s="83" t="n"/>
      <c r="S108">
        <f>IF(17&lt;='設定'!$B$6,"表示","隠す")</f>
        <v/>
      </c>
    </row>
    <row r="109" hidden="1" ht="21" customHeight="1">
      <c r="A109" s="82" t="n"/>
      <c r="B109" s="46">
        <f>'設定'!$I$28</f>
        <v/>
      </c>
      <c r="C109" s="83" t="n"/>
      <c r="D109" s="83" t="n"/>
      <c r="E109" s="83" t="n"/>
      <c r="F109" s="83" t="n"/>
      <c r="G109" s="83" t="n"/>
      <c r="H109" s="83" t="n"/>
      <c r="S109">
        <f>IF(18&lt;='設定'!$B$6,"表示","隠す")</f>
        <v/>
      </c>
    </row>
    <row r="110" hidden="1" ht="21" customHeight="1">
      <c r="A110" s="82" t="n"/>
      <c r="B110" s="46">
        <f>'設定'!$I$29</f>
        <v/>
      </c>
      <c r="C110" s="83" t="n"/>
      <c r="D110" s="83" t="n"/>
      <c r="E110" s="83" t="n"/>
      <c r="F110" s="83" t="n"/>
      <c r="G110" s="83" t="n"/>
      <c r="H110" s="83" t="n"/>
      <c r="S110">
        <f>IF(19&lt;='設定'!$B$6,"表示","隠す")</f>
        <v/>
      </c>
    </row>
    <row r="111" hidden="1" ht="21" customHeight="1">
      <c r="A111" s="82" t="n"/>
      <c r="B111" s="46">
        <f>'設定'!$I$30</f>
        <v/>
      </c>
      <c r="C111" s="83" t="n"/>
      <c r="D111" s="83" t="n"/>
      <c r="E111" s="83" t="n"/>
      <c r="F111" s="83" t="n"/>
      <c r="G111" s="83" t="n"/>
      <c r="H111" s="83" t="n"/>
      <c r="S111">
        <f>IF(20&lt;='設定'!$B$6,"表示","隠す")</f>
        <v/>
      </c>
    </row>
    <row r="112" hidden="1" ht="21" customHeight="1">
      <c r="A112" s="82" t="n"/>
      <c r="B112" s="46">
        <f>'設定'!$I$31</f>
        <v/>
      </c>
      <c r="C112" s="83" t="n"/>
      <c r="D112" s="83" t="n"/>
      <c r="E112" s="83" t="n"/>
      <c r="F112" s="83" t="n"/>
      <c r="G112" s="83" t="n"/>
      <c r="H112" s="83" t="n"/>
      <c r="S112">
        <f>IF(21&lt;='設定'!$B$6,"表示","隠す")</f>
        <v/>
      </c>
    </row>
    <row r="113" hidden="1" ht="21" customHeight="1">
      <c r="A113" s="82" t="n"/>
      <c r="B113" s="46">
        <f>'設定'!$I$32</f>
        <v/>
      </c>
      <c r="C113" s="83" t="n"/>
      <c r="D113" s="83" t="n"/>
      <c r="E113" s="83" t="n"/>
      <c r="F113" s="83" t="n"/>
      <c r="G113" s="83" t="n"/>
      <c r="H113" s="83" t="n"/>
      <c r="S113">
        <f>IF(22&lt;='設定'!$B$6,"表示","隠す")</f>
        <v/>
      </c>
    </row>
    <row r="114" hidden="1" ht="21" customHeight="1">
      <c r="A114" s="82" t="n"/>
      <c r="B114" s="46">
        <f>'設定'!$I$33</f>
        <v/>
      </c>
      <c r="C114" s="83" t="n"/>
      <c r="D114" s="83" t="n"/>
      <c r="E114" s="83" t="n"/>
      <c r="F114" s="83" t="n"/>
      <c r="G114" s="83" t="n"/>
      <c r="H114" s="83" t="n"/>
      <c r="S114">
        <f>IF(23&lt;='設定'!$B$6,"表示","隠す")</f>
        <v/>
      </c>
    </row>
    <row r="115" hidden="1" ht="21" customHeight="1">
      <c r="A115" s="82" t="n"/>
      <c r="B115" s="46">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2" t="n"/>
      <c r="G117" s="33" t="n"/>
      <c r="H117" s="78" t="inlineStr">
        <is>
          <t>状況：</t>
        </is>
      </c>
      <c r="I117" s="79">
        <f>'名簿'!Q9</f>
        <v/>
      </c>
      <c r="J117" s="78" t="inlineStr">
        <is>
          <t>×の数：</t>
        </is>
      </c>
      <c r="K117" s="80">
        <f>'名簿'!R9</f>
        <v/>
      </c>
      <c r="L117" s="81">
        <f>HYPERLINK("#'×入力'!B145","次の人へ ▼")</f>
        <v/>
      </c>
      <c r="S117" t="inlineStr">
        <is>
          <t>表示</t>
        </is>
      </c>
    </row>
    <row r="118" ht="22" customHeight="1">
      <c r="A118" s="34" t="inlineStr">
        <is>
          <t>この日全部 ▶</t>
        </is>
      </c>
      <c r="C118" s="82" t="n"/>
      <c r="D118" s="82" t="n"/>
      <c r="E118" s="82" t="n"/>
      <c r="F118" s="82" t="n"/>
      <c r="G118" s="82" t="n"/>
      <c r="H118" s="82" t="n"/>
      <c r="S118" t="inlineStr">
        <is>
          <t>表示</t>
        </is>
      </c>
    </row>
    <row r="119" ht="28" customHeight="1">
      <c r="A119" s="37" t="inlineStr">
        <is>
          <t>この時間
全部 ▼</t>
        </is>
      </c>
      <c r="B119" s="38" t="inlineStr"/>
      <c r="C119" s="39">
        <f>'設定'!$E$11</f>
        <v/>
      </c>
      <c r="D119" s="39">
        <f>'設定'!$E$12</f>
        <v/>
      </c>
      <c r="E119" s="39">
        <f>'設定'!$E$13</f>
        <v/>
      </c>
      <c r="F119" s="39">
        <f>'設定'!$E$14</f>
        <v/>
      </c>
      <c r="G119" s="39">
        <f>'設定'!$E$15</f>
        <v/>
      </c>
      <c r="H119" s="39">
        <f>'設定'!$E$16</f>
        <v/>
      </c>
      <c r="S119" t="inlineStr">
        <is>
          <t>表示</t>
        </is>
      </c>
    </row>
    <row r="120" ht="21" customHeight="1">
      <c r="A120" s="82" t="n"/>
      <c r="B120" s="46">
        <f>'設定'!$I$11</f>
        <v/>
      </c>
      <c r="C120" s="83" t="n"/>
      <c r="D120" s="83" t="n"/>
      <c r="E120" s="83" t="n"/>
      <c r="F120" s="83" t="n"/>
      <c r="G120" s="83" t="n"/>
      <c r="H120" s="83" t="n"/>
      <c r="S120">
        <f>IF(1&lt;='設定'!$B$6,"表示","隠す")</f>
        <v/>
      </c>
    </row>
    <row r="121" ht="21" customHeight="1">
      <c r="A121" s="82" t="n"/>
      <c r="B121" s="46">
        <f>'設定'!$I$12</f>
        <v/>
      </c>
      <c r="C121" s="83" t="n"/>
      <c r="D121" s="83" t="n"/>
      <c r="E121" s="83" t="n"/>
      <c r="F121" s="83" t="n"/>
      <c r="G121" s="83" t="n"/>
      <c r="H121" s="83" t="n"/>
      <c r="S121">
        <f>IF(2&lt;='設定'!$B$6,"表示","隠す")</f>
        <v/>
      </c>
    </row>
    <row r="122" ht="21" customHeight="1">
      <c r="A122" s="82" t="n"/>
      <c r="B122" s="46">
        <f>'設定'!$I$13</f>
        <v/>
      </c>
      <c r="C122" s="83" t="n"/>
      <c r="D122" s="83" t="n"/>
      <c r="E122" s="83" t="n"/>
      <c r="F122" s="83" t="n"/>
      <c r="G122" s="83" t="n"/>
      <c r="H122" s="83" t="n"/>
      <c r="S122">
        <f>IF(3&lt;='設定'!$B$6,"表示","隠す")</f>
        <v/>
      </c>
    </row>
    <row r="123" ht="21" customHeight="1">
      <c r="A123" s="82" t="n"/>
      <c r="B123" s="46">
        <f>'設定'!$I$14</f>
        <v/>
      </c>
      <c r="C123" s="83" t="n"/>
      <c r="D123" s="83" t="n"/>
      <c r="E123" s="83" t="n"/>
      <c r="F123" s="83" t="n"/>
      <c r="G123" s="83" t="n"/>
      <c r="H123" s="83" t="n"/>
      <c r="S123">
        <f>IF(4&lt;='設定'!$B$6,"表示","隠す")</f>
        <v/>
      </c>
    </row>
    <row r="124" ht="21" customHeight="1">
      <c r="A124" s="82" t="n"/>
      <c r="B124" s="46">
        <f>'設定'!$I$15</f>
        <v/>
      </c>
      <c r="C124" s="83" t="n"/>
      <c r="D124" s="83" t="n"/>
      <c r="E124" s="83" t="n"/>
      <c r="F124" s="83" t="n"/>
      <c r="G124" s="83" t="n"/>
      <c r="H124" s="83" t="n"/>
      <c r="S124">
        <f>IF(5&lt;='設定'!$B$6,"表示","隠す")</f>
        <v/>
      </c>
    </row>
    <row r="125" ht="21" customHeight="1">
      <c r="A125" s="82" t="n"/>
      <c r="B125" s="46">
        <f>'設定'!$I$16</f>
        <v/>
      </c>
      <c r="C125" s="83" t="n"/>
      <c r="D125" s="83" t="n"/>
      <c r="E125" s="83" t="n"/>
      <c r="F125" s="83" t="n"/>
      <c r="G125" s="83" t="n"/>
      <c r="H125" s="83" t="n"/>
      <c r="S125">
        <f>IF(6&lt;='設定'!$B$6,"表示","隠す")</f>
        <v/>
      </c>
    </row>
    <row r="126" ht="21" customHeight="1">
      <c r="A126" s="82" t="n"/>
      <c r="B126" s="46">
        <f>'設定'!$I$17</f>
        <v/>
      </c>
      <c r="C126" s="83" t="n"/>
      <c r="D126" s="83" t="n"/>
      <c r="E126" s="83" t="n"/>
      <c r="F126" s="83" t="n"/>
      <c r="G126" s="83" t="n"/>
      <c r="H126" s="83" t="n"/>
      <c r="S126">
        <f>IF(7&lt;='設定'!$B$6,"表示","隠す")</f>
        <v/>
      </c>
    </row>
    <row r="127" ht="21" customHeight="1">
      <c r="A127" s="82" t="n"/>
      <c r="B127" s="46">
        <f>'設定'!$I$18</f>
        <v/>
      </c>
      <c r="C127" s="83" t="n"/>
      <c r="D127" s="83" t="n"/>
      <c r="E127" s="83" t="n"/>
      <c r="F127" s="83" t="n"/>
      <c r="G127" s="83" t="n"/>
      <c r="H127" s="83" t="n"/>
      <c r="S127">
        <f>IF(8&lt;='設定'!$B$6,"表示","隠す")</f>
        <v/>
      </c>
    </row>
    <row r="128" ht="21" customHeight="1">
      <c r="A128" s="82" t="n"/>
      <c r="B128" s="46">
        <f>'設定'!$I$19</f>
        <v/>
      </c>
      <c r="C128" s="83" t="n"/>
      <c r="D128" s="83" t="n"/>
      <c r="E128" s="83" t="n"/>
      <c r="F128" s="83" t="n"/>
      <c r="G128" s="83" t="n"/>
      <c r="H128" s="83" t="n"/>
      <c r="S128">
        <f>IF(9&lt;='設定'!$B$6,"表示","隠す")</f>
        <v/>
      </c>
    </row>
    <row r="129" hidden="1" ht="21" customHeight="1">
      <c r="A129" s="82" t="n"/>
      <c r="B129" s="46">
        <f>'設定'!$I$20</f>
        <v/>
      </c>
      <c r="C129" s="83" t="n"/>
      <c r="D129" s="83" t="n"/>
      <c r="E129" s="83" t="n"/>
      <c r="F129" s="83" t="n"/>
      <c r="G129" s="83" t="n"/>
      <c r="H129" s="83" t="n"/>
      <c r="S129">
        <f>IF(10&lt;='設定'!$B$6,"表示","隠す")</f>
        <v/>
      </c>
    </row>
    <row r="130" hidden="1" ht="21" customHeight="1">
      <c r="A130" s="82" t="n"/>
      <c r="B130" s="46">
        <f>'設定'!$I$21</f>
        <v/>
      </c>
      <c r="C130" s="83" t="n"/>
      <c r="D130" s="83" t="n"/>
      <c r="E130" s="83" t="n"/>
      <c r="F130" s="83" t="n"/>
      <c r="G130" s="83" t="n"/>
      <c r="H130" s="83" t="n"/>
      <c r="S130">
        <f>IF(11&lt;='設定'!$B$6,"表示","隠す")</f>
        <v/>
      </c>
    </row>
    <row r="131" hidden="1" ht="21" customHeight="1">
      <c r="A131" s="82" t="n"/>
      <c r="B131" s="46">
        <f>'設定'!$I$22</f>
        <v/>
      </c>
      <c r="C131" s="83" t="n"/>
      <c r="D131" s="83" t="n"/>
      <c r="E131" s="83" t="n"/>
      <c r="F131" s="83" t="n"/>
      <c r="G131" s="83" t="n"/>
      <c r="H131" s="83" t="n"/>
      <c r="S131">
        <f>IF(12&lt;='設定'!$B$6,"表示","隠す")</f>
        <v/>
      </c>
    </row>
    <row r="132" hidden="1" ht="21" customHeight="1">
      <c r="A132" s="82" t="n"/>
      <c r="B132" s="46">
        <f>'設定'!$I$23</f>
        <v/>
      </c>
      <c r="C132" s="83" t="n"/>
      <c r="D132" s="83" t="n"/>
      <c r="E132" s="83" t="n"/>
      <c r="F132" s="83" t="n"/>
      <c r="G132" s="83" t="n"/>
      <c r="H132" s="83" t="n"/>
      <c r="S132">
        <f>IF(13&lt;='設定'!$B$6,"表示","隠す")</f>
        <v/>
      </c>
    </row>
    <row r="133" hidden="1" ht="21" customHeight="1">
      <c r="A133" s="82" t="n"/>
      <c r="B133" s="46">
        <f>'設定'!$I$24</f>
        <v/>
      </c>
      <c r="C133" s="83" t="n"/>
      <c r="D133" s="83" t="n"/>
      <c r="E133" s="83" t="n"/>
      <c r="F133" s="83" t="n"/>
      <c r="G133" s="83" t="n"/>
      <c r="H133" s="83" t="n"/>
      <c r="S133">
        <f>IF(14&lt;='設定'!$B$6,"表示","隠す")</f>
        <v/>
      </c>
    </row>
    <row r="134" hidden="1" ht="21" customHeight="1">
      <c r="A134" s="82" t="n"/>
      <c r="B134" s="46">
        <f>'設定'!$I$25</f>
        <v/>
      </c>
      <c r="C134" s="83" t="n"/>
      <c r="D134" s="83" t="n"/>
      <c r="E134" s="83" t="n"/>
      <c r="F134" s="83" t="n"/>
      <c r="G134" s="83" t="n"/>
      <c r="H134" s="83" t="n"/>
      <c r="S134">
        <f>IF(15&lt;='設定'!$B$6,"表示","隠す")</f>
        <v/>
      </c>
    </row>
    <row r="135" hidden="1" ht="21" customHeight="1">
      <c r="A135" s="82" t="n"/>
      <c r="B135" s="46">
        <f>'設定'!$I$26</f>
        <v/>
      </c>
      <c r="C135" s="83" t="n"/>
      <c r="D135" s="83" t="n"/>
      <c r="E135" s="83" t="n"/>
      <c r="F135" s="83" t="n"/>
      <c r="G135" s="83" t="n"/>
      <c r="H135" s="83" t="n"/>
      <c r="S135">
        <f>IF(16&lt;='設定'!$B$6,"表示","隠す")</f>
        <v/>
      </c>
    </row>
    <row r="136" hidden="1" ht="21" customHeight="1">
      <c r="A136" s="82" t="n"/>
      <c r="B136" s="46">
        <f>'設定'!$I$27</f>
        <v/>
      </c>
      <c r="C136" s="83" t="n"/>
      <c r="D136" s="83" t="n"/>
      <c r="E136" s="83" t="n"/>
      <c r="F136" s="83" t="n"/>
      <c r="G136" s="83" t="n"/>
      <c r="H136" s="83" t="n"/>
      <c r="S136">
        <f>IF(17&lt;='設定'!$B$6,"表示","隠す")</f>
        <v/>
      </c>
    </row>
    <row r="137" hidden="1" ht="21" customHeight="1">
      <c r="A137" s="82" t="n"/>
      <c r="B137" s="46">
        <f>'設定'!$I$28</f>
        <v/>
      </c>
      <c r="C137" s="83" t="n"/>
      <c r="D137" s="83" t="n"/>
      <c r="E137" s="83" t="n"/>
      <c r="F137" s="83" t="n"/>
      <c r="G137" s="83" t="n"/>
      <c r="H137" s="83" t="n"/>
      <c r="S137">
        <f>IF(18&lt;='設定'!$B$6,"表示","隠す")</f>
        <v/>
      </c>
    </row>
    <row r="138" hidden="1" ht="21" customHeight="1">
      <c r="A138" s="82" t="n"/>
      <c r="B138" s="46">
        <f>'設定'!$I$29</f>
        <v/>
      </c>
      <c r="C138" s="83" t="n"/>
      <c r="D138" s="83" t="n"/>
      <c r="E138" s="83" t="n"/>
      <c r="F138" s="83" t="n"/>
      <c r="G138" s="83" t="n"/>
      <c r="H138" s="83" t="n"/>
      <c r="S138">
        <f>IF(19&lt;='設定'!$B$6,"表示","隠す")</f>
        <v/>
      </c>
    </row>
    <row r="139" hidden="1" ht="21" customHeight="1">
      <c r="A139" s="82" t="n"/>
      <c r="B139" s="46">
        <f>'設定'!$I$30</f>
        <v/>
      </c>
      <c r="C139" s="83" t="n"/>
      <c r="D139" s="83" t="n"/>
      <c r="E139" s="83" t="n"/>
      <c r="F139" s="83" t="n"/>
      <c r="G139" s="83" t="n"/>
      <c r="H139" s="83" t="n"/>
      <c r="S139">
        <f>IF(20&lt;='設定'!$B$6,"表示","隠す")</f>
        <v/>
      </c>
    </row>
    <row r="140" hidden="1" ht="21" customHeight="1">
      <c r="A140" s="82" t="n"/>
      <c r="B140" s="46">
        <f>'設定'!$I$31</f>
        <v/>
      </c>
      <c r="C140" s="83" t="n"/>
      <c r="D140" s="83" t="n"/>
      <c r="E140" s="83" t="n"/>
      <c r="F140" s="83" t="n"/>
      <c r="G140" s="83" t="n"/>
      <c r="H140" s="83" t="n"/>
      <c r="S140">
        <f>IF(21&lt;='設定'!$B$6,"表示","隠す")</f>
        <v/>
      </c>
    </row>
    <row r="141" hidden="1" ht="21" customHeight="1">
      <c r="A141" s="82" t="n"/>
      <c r="B141" s="46">
        <f>'設定'!$I$32</f>
        <v/>
      </c>
      <c r="C141" s="83" t="n"/>
      <c r="D141" s="83" t="n"/>
      <c r="E141" s="83" t="n"/>
      <c r="F141" s="83" t="n"/>
      <c r="G141" s="83" t="n"/>
      <c r="H141" s="83" t="n"/>
      <c r="S141">
        <f>IF(22&lt;='設定'!$B$6,"表示","隠す")</f>
        <v/>
      </c>
    </row>
    <row r="142" hidden="1" ht="21" customHeight="1">
      <c r="A142" s="82" t="n"/>
      <c r="B142" s="46">
        <f>'設定'!$I$33</f>
        <v/>
      </c>
      <c r="C142" s="83" t="n"/>
      <c r="D142" s="83" t="n"/>
      <c r="E142" s="83" t="n"/>
      <c r="F142" s="83" t="n"/>
      <c r="G142" s="83" t="n"/>
      <c r="H142" s="83" t="n"/>
      <c r="S142">
        <f>IF(23&lt;='設定'!$B$6,"表示","隠す")</f>
        <v/>
      </c>
    </row>
    <row r="143" hidden="1" ht="21" customHeight="1">
      <c r="A143" s="82" t="n"/>
      <c r="B143" s="46">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2" t="n"/>
      <c r="G145" s="33" t="n"/>
      <c r="H145" s="78" t="inlineStr">
        <is>
          <t>状況：</t>
        </is>
      </c>
      <c r="I145" s="79">
        <f>'名簿'!Q10</f>
        <v/>
      </c>
      <c r="J145" s="78" t="inlineStr">
        <is>
          <t>×の数：</t>
        </is>
      </c>
      <c r="K145" s="80">
        <f>'名簿'!R10</f>
        <v/>
      </c>
      <c r="L145" s="81">
        <f>HYPERLINK("#'×入力'!B173","次の人へ ▼")</f>
        <v/>
      </c>
      <c r="S145" t="inlineStr">
        <is>
          <t>表示</t>
        </is>
      </c>
    </row>
    <row r="146" ht="22" customHeight="1">
      <c r="A146" s="34" t="inlineStr">
        <is>
          <t>この日全部 ▶</t>
        </is>
      </c>
      <c r="C146" s="82" t="n"/>
      <c r="D146" s="82" t="n"/>
      <c r="E146" s="82" t="n"/>
      <c r="F146" s="82" t="n"/>
      <c r="G146" s="82" t="n"/>
      <c r="H146" s="82" t="n"/>
      <c r="S146" t="inlineStr">
        <is>
          <t>表示</t>
        </is>
      </c>
    </row>
    <row r="147" ht="28" customHeight="1">
      <c r="A147" s="37" t="inlineStr">
        <is>
          <t>この時間
全部 ▼</t>
        </is>
      </c>
      <c r="B147" s="38" t="inlineStr"/>
      <c r="C147" s="39">
        <f>'設定'!$E$11</f>
        <v/>
      </c>
      <c r="D147" s="39">
        <f>'設定'!$E$12</f>
        <v/>
      </c>
      <c r="E147" s="39">
        <f>'設定'!$E$13</f>
        <v/>
      </c>
      <c r="F147" s="39">
        <f>'設定'!$E$14</f>
        <v/>
      </c>
      <c r="G147" s="39">
        <f>'設定'!$E$15</f>
        <v/>
      </c>
      <c r="H147" s="39">
        <f>'設定'!$E$16</f>
        <v/>
      </c>
      <c r="S147" t="inlineStr">
        <is>
          <t>表示</t>
        </is>
      </c>
    </row>
    <row r="148" ht="21" customHeight="1">
      <c r="A148" s="82" t="n"/>
      <c r="B148" s="46">
        <f>'設定'!$I$11</f>
        <v/>
      </c>
      <c r="C148" s="83" t="n"/>
      <c r="D148" s="83" t="n"/>
      <c r="E148" s="83" t="n"/>
      <c r="F148" s="83" t="n"/>
      <c r="G148" s="83" t="n"/>
      <c r="H148" s="83" t="n"/>
      <c r="S148">
        <f>IF(1&lt;='設定'!$B$6,"表示","隠す")</f>
        <v/>
      </c>
    </row>
    <row r="149" ht="21" customHeight="1">
      <c r="A149" s="82" t="n"/>
      <c r="B149" s="46">
        <f>'設定'!$I$12</f>
        <v/>
      </c>
      <c r="C149" s="83" t="n"/>
      <c r="D149" s="83" t="n"/>
      <c r="E149" s="83" t="n"/>
      <c r="F149" s="83" t="n"/>
      <c r="G149" s="83" t="n"/>
      <c r="H149" s="83" t="n"/>
      <c r="S149">
        <f>IF(2&lt;='設定'!$B$6,"表示","隠す")</f>
        <v/>
      </c>
    </row>
    <row r="150" ht="21" customHeight="1">
      <c r="A150" s="82" t="n"/>
      <c r="B150" s="46">
        <f>'設定'!$I$13</f>
        <v/>
      </c>
      <c r="C150" s="83" t="n"/>
      <c r="D150" s="83" t="n"/>
      <c r="E150" s="83" t="n"/>
      <c r="F150" s="83" t="n"/>
      <c r="G150" s="83" t="n"/>
      <c r="H150" s="83" t="n"/>
      <c r="S150">
        <f>IF(3&lt;='設定'!$B$6,"表示","隠す")</f>
        <v/>
      </c>
    </row>
    <row r="151" ht="21" customHeight="1">
      <c r="A151" s="82" t="n"/>
      <c r="B151" s="46">
        <f>'設定'!$I$14</f>
        <v/>
      </c>
      <c r="C151" s="83" t="n"/>
      <c r="D151" s="83" t="n"/>
      <c r="E151" s="83" t="n"/>
      <c r="F151" s="83" t="n"/>
      <c r="G151" s="83" t="n"/>
      <c r="H151" s="83" t="n"/>
      <c r="S151">
        <f>IF(4&lt;='設定'!$B$6,"表示","隠す")</f>
        <v/>
      </c>
    </row>
    <row r="152" ht="21" customHeight="1">
      <c r="A152" s="82" t="n"/>
      <c r="B152" s="46">
        <f>'設定'!$I$15</f>
        <v/>
      </c>
      <c r="C152" s="83" t="n"/>
      <c r="D152" s="83" t="n"/>
      <c r="E152" s="83" t="n"/>
      <c r="F152" s="83" t="n"/>
      <c r="G152" s="83" t="n"/>
      <c r="H152" s="83" t="n"/>
      <c r="S152">
        <f>IF(5&lt;='設定'!$B$6,"表示","隠す")</f>
        <v/>
      </c>
    </row>
    <row r="153" ht="21" customHeight="1">
      <c r="A153" s="82" t="n"/>
      <c r="B153" s="46">
        <f>'設定'!$I$16</f>
        <v/>
      </c>
      <c r="C153" s="83" t="n"/>
      <c r="D153" s="83" t="n"/>
      <c r="E153" s="83" t="n"/>
      <c r="F153" s="83" t="n"/>
      <c r="G153" s="83" t="n"/>
      <c r="H153" s="83" t="n"/>
      <c r="S153">
        <f>IF(6&lt;='設定'!$B$6,"表示","隠す")</f>
        <v/>
      </c>
    </row>
    <row r="154" ht="21" customHeight="1">
      <c r="A154" s="82" t="n"/>
      <c r="B154" s="46">
        <f>'設定'!$I$17</f>
        <v/>
      </c>
      <c r="C154" s="83" t="n"/>
      <c r="D154" s="83" t="n"/>
      <c r="E154" s="83" t="n"/>
      <c r="F154" s="83" t="n"/>
      <c r="G154" s="83" t="n"/>
      <c r="H154" s="83" t="n"/>
      <c r="S154">
        <f>IF(7&lt;='設定'!$B$6,"表示","隠す")</f>
        <v/>
      </c>
    </row>
    <row r="155" ht="21" customHeight="1">
      <c r="A155" s="82" t="n"/>
      <c r="B155" s="46">
        <f>'設定'!$I$18</f>
        <v/>
      </c>
      <c r="C155" s="83" t="n"/>
      <c r="D155" s="83" t="n"/>
      <c r="E155" s="83" t="n"/>
      <c r="F155" s="83" t="n"/>
      <c r="G155" s="83" t="n"/>
      <c r="H155" s="83" t="n"/>
      <c r="S155">
        <f>IF(8&lt;='設定'!$B$6,"表示","隠す")</f>
        <v/>
      </c>
    </row>
    <row r="156" ht="21" customHeight="1">
      <c r="A156" s="82" t="n"/>
      <c r="B156" s="46">
        <f>'設定'!$I$19</f>
        <v/>
      </c>
      <c r="C156" s="83" t="n"/>
      <c r="D156" s="83" t="n"/>
      <c r="E156" s="83" t="n"/>
      <c r="F156" s="83" t="n"/>
      <c r="G156" s="83" t="n"/>
      <c r="H156" s="83" t="n"/>
      <c r="S156">
        <f>IF(9&lt;='設定'!$B$6,"表示","隠す")</f>
        <v/>
      </c>
    </row>
    <row r="157" hidden="1" ht="21" customHeight="1">
      <c r="A157" s="82" t="n"/>
      <c r="B157" s="46">
        <f>'設定'!$I$20</f>
        <v/>
      </c>
      <c r="C157" s="83" t="n"/>
      <c r="D157" s="83" t="n"/>
      <c r="E157" s="83" t="n"/>
      <c r="F157" s="83" t="n"/>
      <c r="G157" s="83" t="n"/>
      <c r="H157" s="83" t="n"/>
      <c r="S157">
        <f>IF(10&lt;='設定'!$B$6,"表示","隠す")</f>
        <v/>
      </c>
    </row>
    <row r="158" hidden="1" ht="21" customHeight="1">
      <c r="A158" s="82" t="n"/>
      <c r="B158" s="46">
        <f>'設定'!$I$21</f>
        <v/>
      </c>
      <c r="C158" s="83" t="n"/>
      <c r="D158" s="83" t="n"/>
      <c r="E158" s="83" t="n"/>
      <c r="F158" s="83" t="n"/>
      <c r="G158" s="83" t="n"/>
      <c r="H158" s="83" t="n"/>
      <c r="S158">
        <f>IF(11&lt;='設定'!$B$6,"表示","隠す")</f>
        <v/>
      </c>
    </row>
    <row r="159" hidden="1" ht="21" customHeight="1">
      <c r="A159" s="82" t="n"/>
      <c r="B159" s="46">
        <f>'設定'!$I$22</f>
        <v/>
      </c>
      <c r="C159" s="83" t="n"/>
      <c r="D159" s="83" t="n"/>
      <c r="E159" s="83" t="n"/>
      <c r="F159" s="83" t="n"/>
      <c r="G159" s="83" t="n"/>
      <c r="H159" s="83" t="n"/>
      <c r="S159">
        <f>IF(12&lt;='設定'!$B$6,"表示","隠す")</f>
        <v/>
      </c>
    </row>
    <row r="160" hidden="1" ht="21" customHeight="1">
      <c r="A160" s="82" t="n"/>
      <c r="B160" s="46">
        <f>'設定'!$I$23</f>
        <v/>
      </c>
      <c r="C160" s="83" t="n"/>
      <c r="D160" s="83" t="n"/>
      <c r="E160" s="83" t="n"/>
      <c r="F160" s="83" t="n"/>
      <c r="G160" s="83" t="n"/>
      <c r="H160" s="83" t="n"/>
      <c r="S160">
        <f>IF(13&lt;='設定'!$B$6,"表示","隠す")</f>
        <v/>
      </c>
    </row>
    <row r="161" hidden="1" ht="21" customHeight="1">
      <c r="A161" s="82" t="n"/>
      <c r="B161" s="46">
        <f>'設定'!$I$24</f>
        <v/>
      </c>
      <c r="C161" s="83" t="n"/>
      <c r="D161" s="83" t="n"/>
      <c r="E161" s="83" t="n"/>
      <c r="F161" s="83" t="n"/>
      <c r="G161" s="83" t="n"/>
      <c r="H161" s="83" t="n"/>
      <c r="S161">
        <f>IF(14&lt;='設定'!$B$6,"表示","隠す")</f>
        <v/>
      </c>
    </row>
    <row r="162" hidden="1" ht="21" customHeight="1">
      <c r="A162" s="82" t="n"/>
      <c r="B162" s="46">
        <f>'設定'!$I$25</f>
        <v/>
      </c>
      <c r="C162" s="83" t="n"/>
      <c r="D162" s="83" t="n"/>
      <c r="E162" s="83" t="n"/>
      <c r="F162" s="83" t="n"/>
      <c r="G162" s="83" t="n"/>
      <c r="H162" s="83" t="n"/>
      <c r="S162">
        <f>IF(15&lt;='設定'!$B$6,"表示","隠す")</f>
        <v/>
      </c>
    </row>
    <row r="163" hidden="1" ht="21" customHeight="1">
      <c r="A163" s="82" t="n"/>
      <c r="B163" s="46">
        <f>'設定'!$I$26</f>
        <v/>
      </c>
      <c r="C163" s="83" t="n"/>
      <c r="D163" s="83" t="n"/>
      <c r="E163" s="83" t="n"/>
      <c r="F163" s="83" t="n"/>
      <c r="G163" s="83" t="n"/>
      <c r="H163" s="83" t="n"/>
      <c r="S163">
        <f>IF(16&lt;='設定'!$B$6,"表示","隠す")</f>
        <v/>
      </c>
    </row>
    <row r="164" hidden="1" ht="21" customHeight="1">
      <c r="A164" s="82" t="n"/>
      <c r="B164" s="46">
        <f>'設定'!$I$27</f>
        <v/>
      </c>
      <c r="C164" s="83" t="n"/>
      <c r="D164" s="83" t="n"/>
      <c r="E164" s="83" t="n"/>
      <c r="F164" s="83" t="n"/>
      <c r="G164" s="83" t="n"/>
      <c r="H164" s="83" t="n"/>
      <c r="S164">
        <f>IF(17&lt;='設定'!$B$6,"表示","隠す")</f>
        <v/>
      </c>
    </row>
    <row r="165" hidden="1" ht="21" customHeight="1">
      <c r="A165" s="82" t="n"/>
      <c r="B165" s="46">
        <f>'設定'!$I$28</f>
        <v/>
      </c>
      <c r="C165" s="83" t="n"/>
      <c r="D165" s="83" t="n"/>
      <c r="E165" s="83" t="n"/>
      <c r="F165" s="83" t="n"/>
      <c r="G165" s="83" t="n"/>
      <c r="H165" s="83" t="n"/>
      <c r="S165">
        <f>IF(18&lt;='設定'!$B$6,"表示","隠す")</f>
        <v/>
      </c>
    </row>
    <row r="166" hidden="1" ht="21" customHeight="1">
      <c r="A166" s="82" t="n"/>
      <c r="B166" s="46">
        <f>'設定'!$I$29</f>
        <v/>
      </c>
      <c r="C166" s="83" t="n"/>
      <c r="D166" s="83" t="n"/>
      <c r="E166" s="83" t="n"/>
      <c r="F166" s="83" t="n"/>
      <c r="G166" s="83" t="n"/>
      <c r="H166" s="83" t="n"/>
      <c r="S166">
        <f>IF(19&lt;='設定'!$B$6,"表示","隠す")</f>
        <v/>
      </c>
    </row>
    <row r="167" hidden="1" ht="21" customHeight="1">
      <c r="A167" s="82" t="n"/>
      <c r="B167" s="46">
        <f>'設定'!$I$30</f>
        <v/>
      </c>
      <c r="C167" s="83" t="n"/>
      <c r="D167" s="83" t="n"/>
      <c r="E167" s="83" t="n"/>
      <c r="F167" s="83" t="n"/>
      <c r="G167" s="83" t="n"/>
      <c r="H167" s="83" t="n"/>
      <c r="S167">
        <f>IF(20&lt;='設定'!$B$6,"表示","隠す")</f>
        <v/>
      </c>
    </row>
    <row r="168" hidden="1" ht="21" customHeight="1">
      <c r="A168" s="82" t="n"/>
      <c r="B168" s="46">
        <f>'設定'!$I$31</f>
        <v/>
      </c>
      <c r="C168" s="83" t="n"/>
      <c r="D168" s="83" t="n"/>
      <c r="E168" s="83" t="n"/>
      <c r="F168" s="83" t="n"/>
      <c r="G168" s="83" t="n"/>
      <c r="H168" s="83" t="n"/>
      <c r="S168">
        <f>IF(21&lt;='設定'!$B$6,"表示","隠す")</f>
        <v/>
      </c>
    </row>
    <row r="169" hidden="1" ht="21" customHeight="1">
      <c r="A169" s="82" t="n"/>
      <c r="B169" s="46">
        <f>'設定'!$I$32</f>
        <v/>
      </c>
      <c r="C169" s="83" t="n"/>
      <c r="D169" s="83" t="n"/>
      <c r="E169" s="83" t="n"/>
      <c r="F169" s="83" t="n"/>
      <c r="G169" s="83" t="n"/>
      <c r="H169" s="83" t="n"/>
      <c r="S169">
        <f>IF(22&lt;='設定'!$B$6,"表示","隠す")</f>
        <v/>
      </c>
    </row>
    <row r="170" hidden="1" ht="21" customHeight="1">
      <c r="A170" s="82" t="n"/>
      <c r="B170" s="46">
        <f>'設定'!$I$33</f>
        <v/>
      </c>
      <c r="C170" s="83" t="n"/>
      <c r="D170" s="83" t="n"/>
      <c r="E170" s="83" t="n"/>
      <c r="F170" s="83" t="n"/>
      <c r="G170" s="83" t="n"/>
      <c r="H170" s="83" t="n"/>
      <c r="S170">
        <f>IF(23&lt;='設定'!$B$6,"表示","隠す")</f>
        <v/>
      </c>
    </row>
    <row r="171" hidden="1" ht="21" customHeight="1">
      <c r="A171" s="82" t="n"/>
      <c r="B171" s="46">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2" t="n"/>
      <c r="G173" s="33" t="n"/>
      <c r="H173" s="78" t="inlineStr">
        <is>
          <t>状況：</t>
        </is>
      </c>
      <c r="I173" s="79">
        <f>'名簿'!Q11</f>
        <v/>
      </c>
      <c r="J173" s="78" t="inlineStr">
        <is>
          <t>×の数：</t>
        </is>
      </c>
      <c r="K173" s="80">
        <f>'名簿'!R11</f>
        <v/>
      </c>
      <c r="L173" s="81">
        <f>HYPERLINK("#'×入力'!B201","次の人へ ▼")</f>
        <v/>
      </c>
      <c r="S173" t="inlineStr">
        <is>
          <t>表示</t>
        </is>
      </c>
    </row>
    <row r="174" ht="22" customHeight="1">
      <c r="A174" s="34" t="inlineStr">
        <is>
          <t>この日全部 ▶</t>
        </is>
      </c>
      <c r="C174" s="82" t="n"/>
      <c r="D174" s="82" t="n"/>
      <c r="E174" s="82" t="n"/>
      <c r="F174" s="82" t="n"/>
      <c r="G174" s="82" t="n"/>
      <c r="H174" s="82" t="n"/>
      <c r="S174" t="inlineStr">
        <is>
          <t>表示</t>
        </is>
      </c>
    </row>
    <row r="175" ht="28" customHeight="1">
      <c r="A175" s="37" t="inlineStr">
        <is>
          <t>この時間
全部 ▼</t>
        </is>
      </c>
      <c r="B175" s="38" t="inlineStr"/>
      <c r="C175" s="39">
        <f>'設定'!$E$11</f>
        <v/>
      </c>
      <c r="D175" s="39">
        <f>'設定'!$E$12</f>
        <v/>
      </c>
      <c r="E175" s="39">
        <f>'設定'!$E$13</f>
        <v/>
      </c>
      <c r="F175" s="39">
        <f>'設定'!$E$14</f>
        <v/>
      </c>
      <c r="G175" s="39">
        <f>'設定'!$E$15</f>
        <v/>
      </c>
      <c r="H175" s="39">
        <f>'設定'!$E$16</f>
        <v/>
      </c>
      <c r="S175" t="inlineStr">
        <is>
          <t>表示</t>
        </is>
      </c>
    </row>
    <row r="176" ht="21" customHeight="1">
      <c r="A176" s="82" t="n"/>
      <c r="B176" s="46">
        <f>'設定'!$I$11</f>
        <v/>
      </c>
      <c r="C176" s="83" t="n"/>
      <c r="D176" s="83" t="n"/>
      <c r="E176" s="83" t="n"/>
      <c r="F176" s="83" t="n"/>
      <c r="G176" s="83" t="n"/>
      <c r="H176" s="83" t="n"/>
      <c r="S176">
        <f>IF(1&lt;='設定'!$B$6,"表示","隠す")</f>
        <v/>
      </c>
    </row>
    <row r="177" ht="21" customHeight="1">
      <c r="A177" s="82" t="n"/>
      <c r="B177" s="46">
        <f>'設定'!$I$12</f>
        <v/>
      </c>
      <c r="C177" s="83" t="n"/>
      <c r="D177" s="83" t="n"/>
      <c r="E177" s="83" t="n"/>
      <c r="F177" s="83" t="n"/>
      <c r="G177" s="83" t="n"/>
      <c r="H177" s="83" t="n"/>
      <c r="S177">
        <f>IF(2&lt;='設定'!$B$6,"表示","隠す")</f>
        <v/>
      </c>
    </row>
    <row r="178" ht="21" customHeight="1">
      <c r="A178" s="82" t="n"/>
      <c r="B178" s="46">
        <f>'設定'!$I$13</f>
        <v/>
      </c>
      <c r="C178" s="83" t="n"/>
      <c r="D178" s="83" t="n"/>
      <c r="E178" s="83" t="n"/>
      <c r="F178" s="83" t="n"/>
      <c r="G178" s="83" t="n"/>
      <c r="H178" s="83" t="n"/>
      <c r="S178">
        <f>IF(3&lt;='設定'!$B$6,"表示","隠す")</f>
        <v/>
      </c>
    </row>
    <row r="179" ht="21" customHeight="1">
      <c r="A179" s="82" t="n"/>
      <c r="B179" s="46">
        <f>'設定'!$I$14</f>
        <v/>
      </c>
      <c r="C179" s="83" t="n"/>
      <c r="D179" s="83" t="n"/>
      <c r="E179" s="83" t="n"/>
      <c r="F179" s="83" t="n"/>
      <c r="G179" s="83" t="n"/>
      <c r="H179" s="83" t="n"/>
      <c r="S179">
        <f>IF(4&lt;='設定'!$B$6,"表示","隠す")</f>
        <v/>
      </c>
    </row>
    <row r="180" ht="21" customHeight="1">
      <c r="A180" s="82" t="n"/>
      <c r="B180" s="46">
        <f>'設定'!$I$15</f>
        <v/>
      </c>
      <c r="C180" s="83" t="n"/>
      <c r="D180" s="83" t="n"/>
      <c r="E180" s="83" t="n"/>
      <c r="F180" s="83" t="n"/>
      <c r="G180" s="83" t="n"/>
      <c r="H180" s="83" t="n"/>
      <c r="S180">
        <f>IF(5&lt;='設定'!$B$6,"表示","隠す")</f>
        <v/>
      </c>
    </row>
    <row r="181" ht="21" customHeight="1">
      <c r="A181" s="82" t="n"/>
      <c r="B181" s="46">
        <f>'設定'!$I$16</f>
        <v/>
      </c>
      <c r="C181" s="83" t="n"/>
      <c r="D181" s="83" t="n"/>
      <c r="E181" s="83" t="n"/>
      <c r="F181" s="83" t="n"/>
      <c r="G181" s="83" t="n"/>
      <c r="H181" s="83" t="n"/>
      <c r="S181">
        <f>IF(6&lt;='設定'!$B$6,"表示","隠す")</f>
        <v/>
      </c>
    </row>
    <row r="182" ht="21" customHeight="1">
      <c r="A182" s="82" t="n"/>
      <c r="B182" s="46">
        <f>'設定'!$I$17</f>
        <v/>
      </c>
      <c r="C182" s="83" t="n"/>
      <c r="D182" s="83" t="n"/>
      <c r="E182" s="83" t="n"/>
      <c r="F182" s="83" t="n"/>
      <c r="G182" s="83" t="n"/>
      <c r="H182" s="83" t="n"/>
      <c r="S182">
        <f>IF(7&lt;='設定'!$B$6,"表示","隠す")</f>
        <v/>
      </c>
    </row>
    <row r="183" ht="21" customHeight="1">
      <c r="A183" s="82" t="n"/>
      <c r="B183" s="46">
        <f>'設定'!$I$18</f>
        <v/>
      </c>
      <c r="C183" s="83" t="n"/>
      <c r="D183" s="83" t="n"/>
      <c r="E183" s="83" t="n"/>
      <c r="F183" s="83" t="n"/>
      <c r="G183" s="83" t="n"/>
      <c r="H183" s="83" t="n"/>
      <c r="S183">
        <f>IF(8&lt;='設定'!$B$6,"表示","隠す")</f>
        <v/>
      </c>
    </row>
    <row r="184" ht="21" customHeight="1">
      <c r="A184" s="82" t="n"/>
      <c r="B184" s="46">
        <f>'設定'!$I$19</f>
        <v/>
      </c>
      <c r="C184" s="83" t="n"/>
      <c r="D184" s="83" t="n"/>
      <c r="E184" s="83" t="n"/>
      <c r="F184" s="83" t="n"/>
      <c r="G184" s="83" t="n"/>
      <c r="H184" s="83" t="n"/>
      <c r="S184">
        <f>IF(9&lt;='設定'!$B$6,"表示","隠す")</f>
        <v/>
      </c>
    </row>
    <row r="185" hidden="1" ht="21" customHeight="1">
      <c r="A185" s="82" t="n"/>
      <c r="B185" s="46">
        <f>'設定'!$I$20</f>
        <v/>
      </c>
      <c r="C185" s="83" t="n"/>
      <c r="D185" s="83" t="n"/>
      <c r="E185" s="83" t="n"/>
      <c r="F185" s="83" t="n"/>
      <c r="G185" s="83" t="n"/>
      <c r="H185" s="83" t="n"/>
      <c r="S185">
        <f>IF(10&lt;='設定'!$B$6,"表示","隠す")</f>
        <v/>
      </c>
    </row>
    <row r="186" hidden="1" ht="21" customHeight="1">
      <c r="A186" s="82" t="n"/>
      <c r="B186" s="46">
        <f>'設定'!$I$21</f>
        <v/>
      </c>
      <c r="C186" s="83" t="n"/>
      <c r="D186" s="83" t="n"/>
      <c r="E186" s="83" t="n"/>
      <c r="F186" s="83" t="n"/>
      <c r="G186" s="83" t="n"/>
      <c r="H186" s="83" t="n"/>
      <c r="S186">
        <f>IF(11&lt;='設定'!$B$6,"表示","隠す")</f>
        <v/>
      </c>
    </row>
    <row r="187" hidden="1" ht="21" customHeight="1">
      <c r="A187" s="82" t="n"/>
      <c r="B187" s="46">
        <f>'設定'!$I$22</f>
        <v/>
      </c>
      <c r="C187" s="83" t="n"/>
      <c r="D187" s="83" t="n"/>
      <c r="E187" s="83" t="n"/>
      <c r="F187" s="83" t="n"/>
      <c r="G187" s="83" t="n"/>
      <c r="H187" s="83" t="n"/>
      <c r="S187">
        <f>IF(12&lt;='設定'!$B$6,"表示","隠す")</f>
        <v/>
      </c>
    </row>
    <row r="188" hidden="1" ht="21" customHeight="1">
      <c r="A188" s="82" t="n"/>
      <c r="B188" s="46">
        <f>'設定'!$I$23</f>
        <v/>
      </c>
      <c r="C188" s="83" t="n"/>
      <c r="D188" s="83" t="n"/>
      <c r="E188" s="83" t="n"/>
      <c r="F188" s="83" t="n"/>
      <c r="G188" s="83" t="n"/>
      <c r="H188" s="83" t="n"/>
      <c r="S188">
        <f>IF(13&lt;='設定'!$B$6,"表示","隠す")</f>
        <v/>
      </c>
    </row>
    <row r="189" hidden="1" ht="21" customHeight="1">
      <c r="A189" s="82" t="n"/>
      <c r="B189" s="46">
        <f>'設定'!$I$24</f>
        <v/>
      </c>
      <c r="C189" s="83" t="n"/>
      <c r="D189" s="83" t="n"/>
      <c r="E189" s="83" t="n"/>
      <c r="F189" s="83" t="n"/>
      <c r="G189" s="83" t="n"/>
      <c r="H189" s="83" t="n"/>
      <c r="S189">
        <f>IF(14&lt;='設定'!$B$6,"表示","隠す")</f>
        <v/>
      </c>
    </row>
    <row r="190" hidden="1" ht="21" customHeight="1">
      <c r="A190" s="82" t="n"/>
      <c r="B190" s="46">
        <f>'設定'!$I$25</f>
        <v/>
      </c>
      <c r="C190" s="83" t="n"/>
      <c r="D190" s="83" t="n"/>
      <c r="E190" s="83" t="n"/>
      <c r="F190" s="83" t="n"/>
      <c r="G190" s="83" t="n"/>
      <c r="H190" s="83" t="n"/>
      <c r="S190">
        <f>IF(15&lt;='設定'!$B$6,"表示","隠す")</f>
        <v/>
      </c>
    </row>
    <row r="191" hidden="1" ht="21" customHeight="1">
      <c r="A191" s="82" t="n"/>
      <c r="B191" s="46">
        <f>'設定'!$I$26</f>
        <v/>
      </c>
      <c r="C191" s="83" t="n"/>
      <c r="D191" s="83" t="n"/>
      <c r="E191" s="83" t="n"/>
      <c r="F191" s="83" t="n"/>
      <c r="G191" s="83" t="n"/>
      <c r="H191" s="83" t="n"/>
      <c r="S191">
        <f>IF(16&lt;='設定'!$B$6,"表示","隠す")</f>
        <v/>
      </c>
    </row>
    <row r="192" hidden="1" ht="21" customHeight="1">
      <c r="A192" s="82" t="n"/>
      <c r="B192" s="46">
        <f>'設定'!$I$27</f>
        <v/>
      </c>
      <c r="C192" s="83" t="n"/>
      <c r="D192" s="83" t="n"/>
      <c r="E192" s="83" t="n"/>
      <c r="F192" s="83" t="n"/>
      <c r="G192" s="83" t="n"/>
      <c r="H192" s="83" t="n"/>
      <c r="S192">
        <f>IF(17&lt;='設定'!$B$6,"表示","隠す")</f>
        <v/>
      </c>
    </row>
    <row r="193" hidden="1" ht="21" customHeight="1">
      <c r="A193" s="82" t="n"/>
      <c r="B193" s="46">
        <f>'設定'!$I$28</f>
        <v/>
      </c>
      <c r="C193" s="83" t="n"/>
      <c r="D193" s="83" t="n"/>
      <c r="E193" s="83" t="n"/>
      <c r="F193" s="83" t="n"/>
      <c r="G193" s="83" t="n"/>
      <c r="H193" s="83" t="n"/>
      <c r="S193">
        <f>IF(18&lt;='設定'!$B$6,"表示","隠す")</f>
        <v/>
      </c>
    </row>
    <row r="194" hidden="1" ht="21" customHeight="1">
      <c r="A194" s="82" t="n"/>
      <c r="B194" s="46">
        <f>'設定'!$I$29</f>
        <v/>
      </c>
      <c r="C194" s="83" t="n"/>
      <c r="D194" s="83" t="n"/>
      <c r="E194" s="83" t="n"/>
      <c r="F194" s="83" t="n"/>
      <c r="G194" s="83" t="n"/>
      <c r="H194" s="83" t="n"/>
      <c r="S194">
        <f>IF(19&lt;='設定'!$B$6,"表示","隠す")</f>
        <v/>
      </c>
    </row>
    <row r="195" hidden="1" ht="21" customHeight="1">
      <c r="A195" s="82" t="n"/>
      <c r="B195" s="46">
        <f>'設定'!$I$30</f>
        <v/>
      </c>
      <c r="C195" s="83" t="n"/>
      <c r="D195" s="83" t="n"/>
      <c r="E195" s="83" t="n"/>
      <c r="F195" s="83" t="n"/>
      <c r="G195" s="83" t="n"/>
      <c r="H195" s="83" t="n"/>
      <c r="S195">
        <f>IF(20&lt;='設定'!$B$6,"表示","隠す")</f>
        <v/>
      </c>
    </row>
    <row r="196" hidden="1" ht="21" customHeight="1">
      <c r="A196" s="82" t="n"/>
      <c r="B196" s="46">
        <f>'設定'!$I$31</f>
        <v/>
      </c>
      <c r="C196" s="83" t="n"/>
      <c r="D196" s="83" t="n"/>
      <c r="E196" s="83" t="n"/>
      <c r="F196" s="83" t="n"/>
      <c r="G196" s="83" t="n"/>
      <c r="H196" s="83" t="n"/>
      <c r="S196">
        <f>IF(21&lt;='設定'!$B$6,"表示","隠す")</f>
        <v/>
      </c>
    </row>
    <row r="197" hidden="1" ht="21" customHeight="1">
      <c r="A197" s="82" t="n"/>
      <c r="B197" s="46">
        <f>'設定'!$I$32</f>
        <v/>
      </c>
      <c r="C197" s="83" t="n"/>
      <c r="D197" s="83" t="n"/>
      <c r="E197" s="83" t="n"/>
      <c r="F197" s="83" t="n"/>
      <c r="G197" s="83" t="n"/>
      <c r="H197" s="83" t="n"/>
      <c r="S197">
        <f>IF(22&lt;='設定'!$B$6,"表示","隠す")</f>
        <v/>
      </c>
    </row>
    <row r="198" hidden="1" ht="21" customHeight="1">
      <c r="A198" s="82" t="n"/>
      <c r="B198" s="46">
        <f>'設定'!$I$33</f>
        <v/>
      </c>
      <c r="C198" s="83" t="n"/>
      <c r="D198" s="83" t="n"/>
      <c r="E198" s="83" t="n"/>
      <c r="F198" s="83" t="n"/>
      <c r="G198" s="83" t="n"/>
      <c r="H198" s="83" t="n"/>
      <c r="S198">
        <f>IF(23&lt;='設定'!$B$6,"表示","隠す")</f>
        <v/>
      </c>
    </row>
    <row r="199" hidden="1" ht="21" customHeight="1">
      <c r="A199" s="82" t="n"/>
      <c r="B199" s="46">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2" t="n"/>
      <c r="G201" s="33" t="n"/>
      <c r="H201" s="78" t="inlineStr">
        <is>
          <t>状況：</t>
        </is>
      </c>
      <c r="I201" s="79">
        <f>'名簿'!Q12</f>
        <v/>
      </c>
      <c r="J201" s="78" t="inlineStr">
        <is>
          <t>×の数：</t>
        </is>
      </c>
      <c r="K201" s="80">
        <f>'名簿'!R12</f>
        <v/>
      </c>
      <c r="L201" s="81">
        <f>HYPERLINK("#'×入力'!B229","次の人へ ▼")</f>
        <v/>
      </c>
      <c r="S201" t="inlineStr">
        <is>
          <t>表示</t>
        </is>
      </c>
    </row>
    <row r="202" ht="22" customHeight="1">
      <c r="A202" s="34" t="inlineStr">
        <is>
          <t>この日全部 ▶</t>
        </is>
      </c>
      <c r="C202" s="82" t="n"/>
      <c r="D202" s="82" t="n"/>
      <c r="E202" s="82" t="n"/>
      <c r="F202" s="82" t="n"/>
      <c r="G202" s="82" t="n"/>
      <c r="H202" s="82" t="n"/>
      <c r="S202" t="inlineStr">
        <is>
          <t>表示</t>
        </is>
      </c>
    </row>
    <row r="203" ht="28" customHeight="1">
      <c r="A203" s="37" t="inlineStr">
        <is>
          <t>この時間
全部 ▼</t>
        </is>
      </c>
      <c r="B203" s="38" t="inlineStr"/>
      <c r="C203" s="39">
        <f>'設定'!$E$11</f>
        <v/>
      </c>
      <c r="D203" s="39">
        <f>'設定'!$E$12</f>
        <v/>
      </c>
      <c r="E203" s="39">
        <f>'設定'!$E$13</f>
        <v/>
      </c>
      <c r="F203" s="39">
        <f>'設定'!$E$14</f>
        <v/>
      </c>
      <c r="G203" s="39">
        <f>'設定'!$E$15</f>
        <v/>
      </c>
      <c r="H203" s="39">
        <f>'設定'!$E$16</f>
        <v/>
      </c>
      <c r="S203" t="inlineStr">
        <is>
          <t>表示</t>
        </is>
      </c>
    </row>
    <row r="204" ht="21" customHeight="1">
      <c r="A204" s="82" t="n"/>
      <c r="B204" s="46">
        <f>'設定'!$I$11</f>
        <v/>
      </c>
      <c r="C204" s="83" t="n"/>
      <c r="D204" s="83" t="n"/>
      <c r="E204" s="83" t="n"/>
      <c r="F204" s="83" t="n"/>
      <c r="G204" s="83" t="n"/>
      <c r="H204" s="83" t="n"/>
      <c r="S204">
        <f>IF(1&lt;='設定'!$B$6,"表示","隠す")</f>
        <v/>
      </c>
    </row>
    <row r="205" ht="21" customHeight="1">
      <c r="A205" s="82" t="n"/>
      <c r="B205" s="46">
        <f>'設定'!$I$12</f>
        <v/>
      </c>
      <c r="C205" s="83" t="n"/>
      <c r="D205" s="83" t="n"/>
      <c r="E205" s="83" t="n"/>
      <c r="F205" s="83" t="n"/>
      <c r="G205" s="83" t="n"/>
      <c r="H205" s="83" t="n"/>
      <c r="S205">
        <f>IF(2&lt;='設定'!$B$6,"表示","隠す")</f>
        <v/>
      </c>
    </row>
    <row r="206" ht="21" customHeight="1">
      <c r="A206" s="82" t="n"/>
      <c r="B206" s="46">
        <f>'設定'!$I$13</f>
        <v/>
      </c>
      <c r="C206" s="83" t="n"/>
      <c r="D206" s="83" t="n"/>
      <c r="E206" s="83" t="n"/>
      <c r="F206" s="83" t="n"/>
      <c r="G206" s="83" t="n"/>
      <c r="H206" s="83" t="n"/>
      <c r="S206">
        <f>IF(3&lt;='設定'!$B$6,"表示","隠す")</f>
        <v/>
      </c>
    </row>
    <row r="207" ht="21" customHeight="1">
      <c r="A207" s="82" t="n"/>
      <c r="B207" s="46">
        <f>'設定'!$I$14</f>
        <v/>
      </c>
      <c r="C207" s="83" t="n"/>
      <c r="D207" s="83" t="n"/>
      <c r="E207" s="83" t="n"/>
      <c r="F207" s="83" t="n"/>
      <c r="G207" s="83" t="n"/>
      <c r="H207" s="83" t="n"/>
      <c r="S207">
        <f>IF(4&lt;='設定'!$B$6,"表示","隠す")</f>
        <v/>
      </c>
    </row>
    <row r="208" ht="21" customHeight="1">
      <c r="A208" s="82" t="n"/>
      <c r="B208" s="46">
        <f>'設定'!$I$15</f>
        <v/>
      </c>
      <c r="C208" s="83" t="n"/>
      <c r="D208" s="83" t="n"/>
      <c r="E208" s="83" t="n"/>
      <c r="F208" s="83" t="n"/>
      <c r="G208" s="83" t="n"/>
      <c r="H208" s="83" t="n"/>
      <c r="S208">
        <f>IF(5&lt;='設定'!$B$6,"表示","隠す")</f>
        <v/>
      </c>
    </row>
    <row r="209" ht="21" customHeight="1">
      <c r="A209" s="82" t="n"/>
      <c r="B209" s="46">
        <f>'設定'!$I$16</f>
        <v/>
      </c>
      <c r="C209" s="83" t="n"/>
      <c r="D209" s="83" t="n"/>
      <c r="E209" s="83" t="n"/>
      <c r="F209" s="83" t="n"/>
      <c r="G209" s="83" t="n"/>
      <c r="H209" s="83" t="n"/>
      <c r="S209">
        <f>IF(6&lt;='設定'!$B$6,"表示","隠す")</f>
        <v/>
      </c>
    </row>
    <row r="210" ht="21" customHeight="1">
      <c r="A210" s="82" t="n"/>
      <c r="B210" s="46">
        <f>'設定'!$I$17</f>
        <v/>
      </c>
      <c r="C210" s="83" t="n"/>
      <c r="D210" s="83" t="n"/>
      <c r="E210" s="83" t="n"/>
      <c r="F210" s="83" t="n"/>
      <c r="G210" s="83" t="n"/>
      <c r="H210" s="83" t="n"/>
      <c r="S210">
        <f>IF(7&lt;='設定'!$B$6,"表示","隠す")</f>
        <v/>
      </c>
    </row>
    <row r="211" ht="21" customHeight="1">
      <c r="A211" s="82" t="n"/>
      <c r="B211" s="46">
        <f>'設定'!$I$18</f>
        <v/>
      </c>
      <c r="C211" s="83" t="n"/>
      <c r="D211" s="83" t="n"/>
      <c r="E211" s="83" t="n"/>
      <c r="F211" s="83" t="n"/>
      <c r="G211" s="83" t="n"/>
      <c r="H211" s="83" t="n"/>
      <c r="S211">
        <f>IF(8&lt;='設定'!$B$6,"表示","隠す")</f>
        <v/>
      </c>
    </row>
    <row r="212" ht="21" customHeight="1">
      <c r="A212" s="82" t="n"/>
      <c r="B212" s="46">
        <f>'設定'!$I$19</f>
        <v/>
      </c>
      <c r="C212" s="83" t="n"/>
      <c r="D212" s="83" t="n"/>
      <c r="E212" s="83" t="n"/>
      <c r="F212" s="83" t="n"/>
      <c r="G212" s="83" t="n"/>
      <c r="H212" s="83" t="n"/>
      <c r="S212">
        <f>IF(9&lt;='設定'!$B$6,"表示","隠す")</f>
        <v/>
      </c>
    </row>
    <row r="213" hidden="1" ht="21" customHeight="1">
      <c r="A213" s="82" t="n"/>
      <c r="B213" s="46">
        <f>'設定'!$I$20</f>
        <v/>
      </c>
      <c r="C213" s="83" t="n"/>
      <c r="D213" s="83" t="n"/>
      <c r="E213" s="83" t="n"/>
      <c r="F213" s="83" t="n"/>
      <c r="G213" s="83" t="n"/>
      <c r="H213" s="83" t="n"/>
      <c r="S213">
        <f>IF(10&lt;='設定'!$B$6,"表示","隠す")</f>
        <v/>
      </c>
    </row>
    <row r="214" hidden="1" ht="21" customHeight="1">
      <c r="A214" s="82" t="n"/>
      <c r="B214" s="46">
        <f>'設定'!$I$21</f>
        <v/>
      </c>
      <c r="C214" s="83" t="n"/>
      <c r="D214" s="83" t="n"/>
      <c r="E214" s="83" t="n"/>
      <c r="F214" s="83" t="n"/>
      <c r="G214" s="83" t="n"/>
      <c r="H214" s="83" t="n"/>
      <c r="S214">
        <f>IF(11&lt;='設定'!$B$6,"表示","隠す")</f>
        <v/>
      </c>
    </row>
    <row r="215" hidden="1" ht="21" customHeight="1">
      <c r="A215" s="82" t="n"/>
      <c r="B215" s="46">
        <f>'設定'!$I$22</f>
        <v/>
      </c>
      <c r="C215" s="83" t="n"/>
      <c r="D215" s="83" t="n"/>
      <c r="E215" s="83" t="n"/>
      <c r="F215" s="83" t="n"/>
      <c r="G215" s="83" t="n"/>
      <c r="H215" s="83" t="n"/>
      <c r="S215">
        <f>IF(12&lt;='設定'!$B$6,"表示","隠す")</f>
        <v/>
      </c>
    </row>
    <row r="216" hidden="1" ht="21" customHeight="1">
      <c r="A216" s="82" t="n"/>
      <c r="B216" s="46">
        <f>'設定'!$I$23</f>
        <v/>
      </c>
      <c r="C216" s="83" t="n"/>
      <c r="D216" s="83" t="n"/>
      <c r="E216" s="83" t="n"/>
      <c r="F216" s="83" t="n"/>
      <c r="G216" s="83" t="n"/>
      <c r="H216" s="83" t="n"/>
      <c r="S216">
        <f>IF(13&lt;='設定'!$B$6,"表示","隠す")</f>
        <v/>
      </c>
    </row>
    <row r="217" hidden="1" ht="21" customHeight="1">
      <c r="A217" s="82" t="n"/>
      <c r="B217" s="46">
        <f>'設定'!$I$24</f>
        <v/>
      </c>
      <c r="C217" s="83" t="n"/>
      <c r="D217" s="83" t="n"/>
      <c r="E217" s="83" t="n"/>
      <c r="F217" s="83" t="n"/>
      <c r="G217" s="83" t="n"/>
      <c r="H217" s="83" t="n"/>
      <c r="S217">
        <f>IF(14&lt;='設定'!$B$6,"表示","隠す")</f>
        <v/>
      </c>
    </row>
    <row r="218" hidden="1" ht="21" customHeight="1">
      <c r="A218" s="82" t="n"/>
      <c r="B218" s="46">
        <f>'設定'!$I$25</f>
        <v/>
      </c>
      <c r="C218" s="83" t="n"/>
      <c r="D218" s="83" t="n"/>
      <c r="E218" s="83" t="n"/>
      <c r="F218" s="83" t="n"/>
      <c r="G218" s="83" t="n"/>
      <c r="H218" s="83" t="n"/>
      <c r="S218">
        <f>IF(15&lt;='設定'!$B$6,"表示","隠す")</f>
        <v/>
      </c>
    </row>
    <row r="219" hidden="1" ht="21" customHeight="1">
      <c r="A219" s="82" t="n"/>
      <c r="B219" s="46">
        <f>'設定'!$I$26</f>
        <v/>
      </c>
      <c r="C219" s="83" t="n"/>
      <c r="D219" s="83" t="n"/>
      <c r="E219" s="83" t="n"/>
      <c r="F219" s="83" t="n"/>
      <c r="G219" s="83" t="n"/>
      <c r="H219" s="83" t="n"/>
      <c r="S219">
        <f>IF(16&lt;='設定'!$B$6,"表示","隠す")</f>
        <v/>
      </c>
    </row>
    <row r="220" hidden="1" ht="21" customHeight="1">
      <c r="A220" s="82" t="n"/>
      <c r="B220" s="46">
        <f>'設定'!$I$27</f>
        <v/>
      </c>
      <c r="C220" s="83" t="n"/>
      <c r="D220" s="83" t="n"/>
      <c r="E220" s="83" t="n"/>
      <c r="F220" s="83" t="n"/>
      <c r="G220" s="83" t="n"/>
      <c r="H220" s="83" t="n"/>
      <c r="S220">
        <f>IF(17&lt;='設定'!$B$6,"表示","隠す")</f>
        <v/>
      </c>
    </row>
    <row r="221" hidden="1" ht="21" customHeight="1">
      <c r="A221" s="82" t="n"/>
      <c r="B221" s="46">
        <f>'設定'!$I$28</f>
        <v/>
      </c>
      <c r="C221" s="83" t="n"/>
      <c r="D221" s="83" t="n"/>
      <c r="E221" s="83" t="n"/>
      <c r="F221" s="83" t="n"/>
      <c r="G221" s="83" t="n"/>
      <c r="H221" s="83" t="n"/>
      <c r="S221">
        <f>IF(18&lt;='設定'!$B$6,"表示","隠す")</f>
        <v/>
      </c>
    </row>
    <row r="222" hidden="1" ht="21" customHeight="1">
      <c r="A222" s="82" t="n"/>
      <c r="B222" s="46">
        <f>'設定'!$I$29</f>
        <v/>
      </c>
      <c r="C222" s="83" t="n"/>
      <c r="D222" s="83" t="n"/>
      <c r="E222" s="83" t="n"/>
      <c r="F222" s="83" t="n"/>
      <c r="G222" s="83" t="n"/>
      <c r="H222" s="83" t="n"/>
      <c r="S222">
        <f>IF(19&lt;='設定'!$B$6,"表示","隠す")</f>
        <v/>
      </c>
    </row>
    <row r="223" hidden="1" ht="21" customHeight="1">
      <c r="A223" s="82" t="n"/>
      <c r="B223" s="46">
        <f>'設定'!$I$30</f>
        <v/>
      </c>
      <c r="C223" s="83" t="n"/>
      <c r="D223" s="83" t="n"/>
      <c r="E223" s="83" t="n"/>
      <c r="F223" s="83" t="n"/>
      <c r="G223" s="83" t="n"/>
      <c r="H223" s="83" t="n"/>
      <c r="S223">
        <f>IF(20&lt;='設定'!$B$6,"表示","隠す")</f>
        <v/>
      </c>
    </row>
    <row r="224" hidden="1" ht="21" customHeight="1">
      <c r="A224" s="82" t="n"/>
      <c r="B224" s="46">
        <f>'設定'!$I$31</f>
        <v/>
      </c>
      <c r="C224" s="83" t="n"/>
      <c r="D224" s="83" t="n"/>
      <c r="E224" s="83" t="n"/>
      <c r="F224" s="83" t="n"/>
      <c r="G224" s="83" t="n"/>
      <c r="H224" s="83" t="n"/>
      <c r="S224">
        <f>IF(21&lt;='設定'!$B$6,"表示","隠す")</f>
        <v/>
      </c>
    </row>
    <row r="225" hidden="1" ht="21" customHeight="1">
      <c r="A225" s="82" t="n"/>
      <c r="B225" s="46">
        <f>'設定'!$I$32</f>
        <v/>
      </c>
      <c r="C225" s="83" t="n"/>
      <c r="D225" s="83" t="n"/>
      <c r="E225" s="83" t="n"/>
      <c r="F225" s="83" t="n"/>
      <c r="G225" s="83" t="n"/>
      <c r="H225" s="83" t="n"/>
      <c r="S225">
        <f>IF(22&lt;='設定'!$B$6,"表示","隠す")</f>
        <v/>
      </c>
    </row>
    <row r="226" hidden="1" ht="21" customHeight="1">
      <c r="A226" s="82" t="n"/>
      <c r="B226" s="46">
        <f>'設定'!$I$33</f>
        <v/>
      </c>
      <c r="C226" s="83" t="n"/>
      <c r="D226" s="83" t="n"/>
      <c r="E226" s="83" t="n"/>
      <c r="F226" s="83" t="n"/>
      <c r="G226" s="83" t="n"/>
      <c r="H226" s="83" t="n"/>
      <c r="S226">
        <f>IF(23&lt;='設定'!$B$6,"表示","隠す")</f>
        <v/>
      </c>
    </row>
    <row r="227" hidden="1" ht="21" customHeight="1">
      <c r="A227" s="82" t="n"/>
      <c r="B227" s="46">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2" t="n"/>
      <c r="G229" s="33" t="n"/>
      <c r="H229" s="78" t="inlineStr">
        <is>
          <t>状況：</t>
        </is>
      </c>
      <c r="I229" s="79">
        <f>'名簿'!Q13</f>
        <v/>
      </c>
      <c r="J229" s="78" t="inlineStr">
        <is>
          <t>×の数：</t>
        </is>
      </c>
      <c r="K229" s="80">
        <f>'名簿'!R13</f>
        <v/>
      </c>
      <c r="L229" s="81">
        <f>HYPERLINK("#'×入力'!B257","次の人へ ▼")</f>
        <v/>
      </c>
      <c r="S229" t="inlineStr">
        <is>
          <t>表示</t>
        </is>
      </c>
    </row>
    <row r="230" ht="22" customHeight="1">
      <c r="A230" s="34" t="inlineStr">
        <is>
          <t>この日全部 ▶</t>
        </is>
      </c>
      <c r="C230" s="82" t="n"/>
      <c r="D230" s="82" t="n"/>
      <c r="E230" s="82" t="n"/>
      <c r="F230" s="82" t="n"/>
      <c r="G230" s="82" t="n"/>
      <c r="H230" s="82" t="n"/>
      <c r="S230" t="inlineStr">
        <is>
          <t>表示</t>
        </is>
      </c>
    </row>
    <row r="231" ht="28" customHeight="1">
      <c r="A231" s="37" t="inlineStr">
        <is>
          <t>この時間
全部 ▼</t>
        </is>
      </c>
      <c r="B231" s="38" t="inlineStr"/>
      <c r="C231" s="39">
        <f>'設定'!$E$11</f>
        <v/>
      </c>
      <c r="D231" s="39">
        <f>'設定'!$E$12</f>
        <v/>
      </c>
      <c r="E231" s="39">
        <f>'設定'!$E$13</f>
        <v/>
      </c>
      <c r="F231" s="39">
        <f>'設定'!$E$14</f>
        <v/>
      </c>
      <c r="G231" s="39">
        <f>'設定'!$E$15</f>
        <v/>
      </c>
      <c r="H231" s="39">
        <f>'設定'!$E$16</f>
        <v/>
      </c>
      <c r="S231" t="inlineStr">
        <is>
          <t>表示</t>
        </is>
      </c>
    </row>
    <row r="232" ht="21" customHeight="1">
      <c r="A232" s="82" t="n"/>
      <c r="B232" s="46">
        <f>'設定'!$I$11</f>
        <v/>
      </c>
      <c r="C232" s="83" t="n"/>
      <c r="D232" s="83" t="n"/>
      <c r="E232" s="83" t="n"/>
      <c r="F232" s="83" t="n"/>
      <c r="G232" s="83" t="n"/>
      <c r="H232" s="83" t="n"/>
      <c r="S232">
        <f>IF(1&lt;='設定'!$B$6,"表示","隠す")</f>
        <v/>
      </c>
    </row>
    <row r="233" ht="21" customHeight="1">
      <c r="A233" s="82" t="n"/>
      <c r="B233" s="46">
        <f>'設定'!$I$12</f>
        <v/>
      </c>
      <c r="C233" s="83" t="n"/>
      <c r="D233" s="83" t="n"/>
      <c r="E233" s="83" t="n"/>
      <c r="F233" s="83" t="n"/>
      <c r="G233" s="83" t="n"/>
      <c r="H233" s="83" t="n"/>
      <c r="S233">
        <f>IF(2&lt;='設定'!$B$6,"表示","隠す")</f>
        <v/>
      </c>
    </row>
    <row r="234" ht="21" customHeight="1">
      <c r="A234" s="82" t="n"/>
      <c r="B234" s="46">
        <f>'設定'!$I$13</f>
        <v/>
      </c>
      <c r="C234" s="83" t="n"/>
      <c r="D234" s="83" t="n"/>
      <c r="E234" s="83" t="n"/>
      <c r="F234" s="83" t="n"/>
      <c r="G234" s="83" t="n"/>
      <c r="H234" s="83" t="n"/>
      <c r="S234">
        <f>IF(3&lt;='設定'!$B$6,"表示","隠す")</f>
        <v/>
      </c>
    </row>
    <row r="235" ht="21" customHeight="1">
      <c r="A235" s="82" t="n"/>
      <c r="B235" s="46">
        <f>'設定'!$I$14</f>
        <v/>
      </c>
      <c r="C235" s="83" t="n"/>
      <c r="D235" s="83" t="n"/>
      <c r="E235" s="83" t="n"/>
      <c r="F235" s="83" t="n"/>
      <c r="G235" s="83" t="n"/>
      <c r="H235" s="83" t="n"/>
      <c r="S235">
        <f>IF(4&lt;='設定'!$B$6,"表示","隠す")</f>
        <v/>
      </c>
    </row>
    <row r="236" ht="21" customHeight="1">
      <c r="A236" s="82" t="n"/>
      <c r="B236" s="46">
        <f>'設定'!$I$15</f>
        <v/>
      </c>
      <c r="C236" s="83" t="n"/>
      <c r="D236" s="83" t="n"/>
      <c r="E236" s="83" t="n"/>
      <c r="F236" s="83" t="n"/>
      <c r="G236" s="83" t="n"/>
      <c r="H236" s="83" t="n"/>
      <c r="S236">
        <f>IF(5&lt;='設定'!$B$6,"表示","隠す")</f>
        <v/>
      </c>
    </row>
    <row r="237" ht="21" customHeight="1">
      <c r="A237" s="82" t="n"/>
      <c r="B237" s="46">
        <f>'設定'!$I$16</f>
        <v/>
      </c>
      <c r="C237" s="83" t="n"/>
      <c r="D237" s="83" t="n"/>
      <c r="E237" s="83" t="n"/>
      <c r="F237" s="83" t="n"/>
      <c r="G237" s="83" t="n"/>
      <c r="H237" s="83" t="n"/>
      <c r="S237">
        <f>IF(6&lt;='設定'!$B$6,"表示","隠す")</f>
        <v/>
      </c>
    </row>
    <row r="238" ht="21" customHeight="1">
      <c r="A238" s="82" t="n"/>
      <c r="B238" s="46">
        <f>'設定'!$I$17</f>
        <v/>
      </c>
      <c r="C238" s="83" t="n"/>
      <c r="D238" s="83" t="n"/>
      <c r="E238" s="83" t="n"/>
      <c r="F238" s="83" t="n"/>
      <c r="G238" s="83" t="n"/>
      <c r="H238" s="83" t="n"/>
      <c r="S238">
        <f>IF(7&lt;='設定'!$B$6,"表示","隠す")</f>
        <v/>
      </c>
    </row>
    <row r="239" ht="21" customHeight="1">
      <c r="A239" s="82" t="n"/>
      <c r="B239" s="46">
        <f>'設定'!$I$18</f>
        <v/>
      </c>
      <c r="C239" s="83" t="n"/>
      <c r="D239" s="83" t="n"/>
      <c r="E239" s="83" t="n"/>
      <c r="F239" s="83" t="n"/>
      <c r="G239" s="83" t="n"/>
      <c r="H239" s="83" t="n"/>
      <c r="S239">
        <f>IF(8&lt;='設定'!$B$6,"表示","隠す")</f>
        <v/>
      </c>
    </row>
    <row r="240" ht="21" customHeight="1">
      <c r="A240" s="82" t="n"/>
      <c r="B240" s="46">
        <f>'設定'!$I$19</f>
        <v/>
      </c>
      <c r="C240" s="83" t="n"/>
      <c r="D240" s="83" t="n"/>
      <c r="E240" s="83" t="n"/>
      <c r="F240" s="83" t="n"/>
      <c r="G240" s="83" t="n"/>
      <c r="H240" s="83" t="n"/>
      <c r="S240">
        <f>IF(9&lt;='設定'!$B$6,"表示","隠す")</f>
        <v/>
      </c>
    </row>
    <row r="241" hidden="1" ht="21" customHeight="1">
      <c r="A241" s="82" t="n"/>
      <c r="B241" s="46">
        <f>'設定'!$I$20</f>
        <v/>
      </c>
      <c r="C241" s="83" t="n"/>
      <c r="D241" s="83" t="n"/>
      <c r="E241" s="83" t="n"/>
      <c r="F241" s="83" t="n"/>
      <c r="G241" s="83" t="n"/>
      <c r="H241" s="83" t="n"/>
      <c r="S241">
        <f>IF(10&lt;='設定'!$B$6,"表示","隠す")</f>
        <v/>
      </c>
    </row>
    <row r="242" hidden="1" ht="21" customHeight="1">
      <c r="A242" s="82" t="n"/>
      <c r="B242" s="46">
        <f>'設定'!$I$21</f>
        <v/>
      </c>
      <c r="C242" s="83" t="n"/>
      <c r="D242" s="83" t="n"/>
      <c r="E242" s="83" t="n"/>
      <c r="F242" s="83" t="n"/>
      <c r="G242" s="83" t="n"/>
      <c r="H242" s="83" t="n"/>
      <c r="S242">
        <f>IF(11&lt;='設定'!$B$6,"表示","隠す")</f>
        <v/>
      </c>
    </row>
    <row r="243" hidden="1" ht="21" customHeight="1">
      <c r="A243" s="82" t="n"/>
      <c r="B243" s="46">
        <f>'設定'!$I$22</f>
        <v/>
      </c>
      <c r="C243" s="83" t="n"/>
      <c r="D243" s="83" t="n"/>
      <c r="E243" s="83" t="n"/>
      <c r="F243" s="83" t="n"/>
      <c r="G243" s="83" t="n"/>
      <c r="H243" s="83" t="n"/>
      <c r="S243">
        <f>IF(12&lt;='設定'!$B$6,"表示","隠す")</f>
        <v/>
      </c>
    </row>
    <row r="244" hidden="1" ht="21" customHeight="1">
      <c r="A244" s="82" t="n"/>
      <c r="B244" s="46">
        <f>'設定'!$I$23</f>
        <v/>
      </c>
      <c r="C244" s="83" t="n"/>
      <c r="D244" s="83" t="n"/>
      <c r="E244" s="83" t="n"/>
      <c r="F244" s="83" t="n"/>
      <c r="G244" s="83" t="n"/>
      <c r="H244" s="83" t="n"/>
      <c r="S244">
        <f>IF(13&lt;='設定'!$B$6,"表示","隠す")</f>
        <v/>
      </c>
    </row>
    <row r="245" hidden="1" ht="21" customHeight="1">
      <c r="A245" s="82" t="n"/>
      <c r="B245" s="46">
        <f>'設定'!$I$24</f>
        <v/>
      </c>
      <c r="C245" s="83" t="n"/>
      <c r="D245" s="83" t="n"/>
      <c r="E245" s="83" t="n"/>
      <c r="F245" s="83" t="n"/>
      <c r="G245" s="83" t="n"/>
      <c r="H245" s="83" t="n"/>
      <c r="S245">
        <f>IF(14&lt;='設定'!$B$6,"表示","隠す")</f>
        <v/>
      </c>
    </row>
    <row r="246" hidden="1" ht="21" customHeight="1">
      <c r="A246" s="82" t="n"/>
      <c r="B246" s="46">
        <f>'設定'!$I$25</f>
        <v/>
      </c>
      <c r="C246" s="83" t="n"/>
      <c r="D246" s="83" t="n"/>
      <c r="E246" s="83" t="n"/>
      <c r="F246" s="83" t="n"/>
      <c r="G246" s="83" t="n"/>
      <c r="H246" s="83" t="n"/>
      <c r="S246">
        <f>IF(15&lt;='設定'!$B$6,"表示","隠す")</f>
        <v/>
      </c>
    </row>
    <row r="247" hidden="1" ht="21" customHeight="1">
      <c r="A247" s="82" t="n"/>
      <c r="B247" s="46">
        <f>'設定'!$I$26</f>
        <v/>
      </c>
      <c r="C247" s="83" t="n"/>
      <c r="D247" s="83" t="n"/>
      <c r="E247" s="83" t="n"/>
      <c r="F247" s="83" t="n"/>
      <c r="G247" s="83" t="n"/>
      <c r="H247" s="83" t="n"/>
      <c r="S247">
        <f>IF(16&lt;='設定'!$B$6,"表示","隠す")</f>
        <v/>
      </c>
    </row>
    <row r="248" hidden="1" ht="21" customHeight="1">
      <c r="A248" s="82" t="n"/>
      <c r="B248" s="46">
        <f>'設定'!$I$27</f>
        <v/>
      </c>
      <c r="C248" s="83" t="n"/>
      <c r="D248" s="83" t="n"/>
      <c r="E248" s="83" t="n"/>
      <c r="F248" s="83" t="n"/>
      <c r="G248" s="83" t="n"/>
      <c r="H248" s="83" t="n"/>
      <c r="S248">
        <f>IF(17&lt;='設定'!$B$6,"表示","隠す")</f>
        <v/>
      </c>
    </row>
    <row r="249" hidden="1" ht="21" customHeight="1">
      <c r="A249" s="82" t="n"/>
      <c r="B249" s="46">
        <f>'設定'!$I$28</f>
        <v/>
      </c>
      <c r="C249" s="83" t="n"/>
      <c r="D249" s="83" t="n"/>
      <c r="E249" s="83" t="n"/>
      <c r="F249" s="83" t="n"/>
      <c r="G249" s="83" t="n"/>
      <c r="H249" s="83" t="n"/>
      <c r="S249">
        <f>IF(18&lt;='設定'!$B$6,"表示","隠す")</f>
        <v/>
      </c>
    </row>
    <row r="250" hidden="1" ht="21" customHeight="1">
      <c r="A250" s="82" t="n"/>
      <c r="B250" s="46">
        <f>'設定'!$I$29</f>
        <v/>
      </c>
      <c r="C250" s="83" t="n"/>
      <c r="D250" s="83" t="n"/>
      <c r="E250" s="83" t="n"/>
      <c r="F250" s="83" t="n"/>
      <c r="G250" s="83" t="n"/>
      <c r="H250" s="83" t="n"/>
      <c r="S250">
        <f>IF(19&lt;='設定'!$B$6,"表示","隠す")</f>
        <v/>
      </c>
    </row>
    <row r="251" hidden="1" ht="21" customHeight="1">
      <c r="A251" s="82" t="n"/>
      <c r="B251" s="46">
        <f>'設定'!$I$30</f>
        <v/>
      </c>
      <c r="C251" s="83" t="n"/>
      <c r="D251" s="83" t="n"/>
      <c r="E251" s="83" t="n"/>
      <c r="F251" s="83" t="n"/>
      <c r="G251" s="83" t="n"/>
      <c r="H251" s="83" t="n"/>
      <c r="S251">
        <f>IF(20&lt;='設定'!$B$6,"表示","隠す")</f>
        <v/>
      </c>
    </row>
    <row r="252" hidden="1" ht="21" customHeight="1">
      <c r="A252" s="82" t="n"/>
      <c r="B252" s="46">
        <f>'設定'!$I$31</f>
        <v/>
      </c>
      <c r="C252" s="83" t="n"/>
      <c r="D252" s="83" t="n"/>
      <c r="E252" s="83" t="n"/>
      <c r="F252" s="83" t="n"/>
      <c r="G252" s="83" t="n"/>
      <c r="H252" s="83" t="n"/>
      <c r="S252">
        <f>IF(21&lt;='設定'!$B$6,"表示","隠す")</f>
        <v/>
      </c>
    </row>
    <row r="253" hidden="1" ht="21" customHeight="1">
      <c r="A253" s="82" t="n"/>
      <c r="B253" s="46">
        <f>'設定'!$I$32</f>
        <v/>
      </c>
      <c r="C253" s="83" t="n"/>
      <c r="D253" s="83" t="n"/>
      <c r="E253" s="83" t="n"/>
      <c r="F253" s="83" t="n"/>
      <c r="G253" s="83" t="n"/>
      <c r="H253" s="83" t="n"/>
      <c r="S253">
        <f>IF(22&lt;='設定'!$B$6,"表示","隠す")</f>
        <v/>
      </c>
    </row>
    <row r="254" hidden="1" ht="21" customHeight="1">
      <c r="A254" s="82" t="n"/>
      <c r="B254" s="46">
        <f>'設定'!$I$33</f>
        <v/>
      </c>
      <c r="C254" s="83" t="n"/>
      <c r="D254" s="83" t="n"/>
      <c r="E254" s="83" t="n"/>
      <c r="F254" s="83" t="n"/>
      <c r="G254" s="83" t="n"/>
      <c r="H254" s="83" t="n"/>
      <c r="S254">
        <f>IF(23&lt;='設定'!$B$6,"表示","隠す")</f>
        <v/>
      </c>
    </row>
    <row r="255" hidden="1" ht="21" customHeight="1">
      <c r="A255" s="82" t="n"/>
      <c r="B255" s="46">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2" t="n"/>
      <c r="G257" s="33" t="n"/>
      <c r="H257" s="78" t="inlineStr">
        <is>
          <t>状況：</t>
        </is>
      </c>
      <c r="I257" s="79">
        <f>'名簿'!Q14</f>
        <v/>
      </c>
      <c r="J257" s="78" t="inlineStr">
        <is>
          <t>×の数：</t>
        </is>
      </c>
      <c r="K257" s="80">
        <f>'名簿'!R14</f>
        <v/>
      </c>
      <c r="L257" s="81">
        <f>HYPERLINK("#'×入力'!B285","次の人へ ▼")</f>
        <v/>
      </c>
      <c r="S257" t="inlineStr">
        <is>
          <t>表示</t>
        </is>
      </c>
    </row>
    <row r="258" ht="22" customHeight="1">
      <c r="A258" s="34" t="inlineStr">
        <is>
          <t>この日全部 ▶</t>
        </is>
      </c>
      <c r="C258" s="82" t="n"/>
      <c r="D258" s="82" t="n"/>
      <c r="E258" s="82" t="n"/>
      <c r="F258" s="82" t="n"/>
      <c r="G258" s="82" t="n"/>
      <c r="H258" s="82" t="n"/>
      <c r="S258" t="inlineStr">
        <is>
          <t>表示</t>
        </is>
      </c>
    </row>
    <row r="259" ht="28" customHeight="1">
      <c r="A259" s="37" t="inlineStr">
        <is>
          <t>この時間
全部 ▼</t>
        </is>
      </c>
      <c r="B259" s="38" t="inlineStr"/>
      <c r="C259" s="39">
        <f>'設定'!$E$11</f>
        <v/>
      </c>
      <c r="D259" s="39">
        <f>'設定'!$E$12</f>
        <v/>
      </c>
      <c r="E259" s="39">
        <f>'設定'!$E$13</f>
        <v/>
      </c>
      <c r="F259" s="39">
        <f>'設定'!$E$14</f>
        <v/>
      </c>
      <c r="G259" s="39">
        <f>'設定'!$E$15</f>
        <v/>
      </c>
      <c r="H259" s="39">
        <f>'設定'!$E$16</f>
        <v/>
      </c>
      <c r="S259" t="inlineStr">
        <is>
          <t>表示</t>
        </is>
      </c>
    </row>
    <row r="260" ht="21" customHeight="1">
      <c r="A260" s="82" t="n"/>
      <c r="B260" s="46">
        <f>'設定'!$I$11</f>
        <v/>
      </c>
      <c r="C260" s="83" t="n"/>
      <c r="D260" s="83" t="n"/>
      <c r="E260" s="83" t="n"/>
      <c r="F260" s="83" t="n"/>
      <c r="G260" s="83" t="n"/>
      <c r="H260" s="83" t="n"/>
      <c r="S260">
        <f>IF(1&lt;='設定'!$B$6,"表示","隠す")</f>
        <v/>
      </c>
    </row>
    <row r="261" ht="21" customHeight="1">
      <c r="A261" s="82" t="n"/>
      <c r="B261" s="46">
        <f>'設定'!$I$12</f>
        <v/>
      </c>
      <c r="C261" s="83" t="n"/>
      <c r="D261" s="83" t="n"/>
      <c r="E261" s="83" t="n"/>
      <c r="F261" s="83" t="n"/>
      <c r="G261" s="83" t="n"/>
      <c r="H261" s="83" t="n"/>
      <c r="S261">
        <f>IF(2&lt;='設定'!$B$6,"表示","隠す")</f>
        <v/>
      </c>
    </row>
    <row r="262" ht="21" customHeight="1">
      <c r="A262" s="82" t="n"/>
      <c r="B262" s="46">
        <f>'設定'!$I$13</f>
        <v/>
      </c>
      <c r="C262" s="83" t="n"/>
      <c r="D262" s="83" t="n"/>
      <c r="E262" s="83" t="n"/>
      <c r="F262" s="83" t="n"/>
      <c r="G262" s="83" t="n"/>
      <c r="H262" s="83" t="n"/>
      <c r="S262">
        <f>IF(3&lt;='設定'!$B$6,"表示","隠す")</f>
        <v/>
      </c>
    </row>
    <row r="263" ht="21" customHeight="1">
      <c r="A263" s="82" t="n"/>
      <c r="B263" s="46">
        <f>'設定'!$I$14</f>
        <v/>
      </c>
      <c r="C263" s="83" t="n"/>
      <c r="D263" s="83" t="n"/>
      <c r="E263" s="83" t="n"/>
      <c r="F263" s="83" t="n"/>
      <c r="G263" s="83" t="n"/>
      <c r="H263" s="83" t="n"/>
      <c r="S263">
        <f>IF(4&lt;='設定'!$B$6,"表示","隠す")</f>
        <v/>
      </c>
    </row>
    <row r="264" ht="21" customHeight="1">
      <c r="A264" s="82" t="n"/>
      <c r="B264" s="46">
        <f>'設定'!$I$15</f>
        <v/>
      </c>
      <c r="C264" s="83" t="n"/>
      <c r="D264" s="83" t="n"/>
      <c r="E264" s="83" t="n"/>
      <c r="F264" s="83" t="n"/>
      <c r="G264" s="83" t="n"/>
      <c r="H264" s="83" t="n"/>
      <c r="S264">
        <f>IF(5&lt;='設定'!$B$6,"表示","隠す")</f>
        <v/>
      </c>
    </row>
    <row r="265" ht="21" customHeight="1">
      <c r="A265" s="82" t="n"/>
      <c r="B265" s="46">
        <f>'設定'!$I$16</f>
        <v/>
      </c>
      <c r="C265" s="83" t="n"/>
      <c r="D265" s="83" t="n"/>
      <c r="E265" s="83" t="n"/>
      <c r="F265" s="83" t="n"/>
      <c r="G265" s="83" t="n"/>
      <c r="H265" s="83" t="n"/>
      <c r="S265">
        <f>IF(6&lt;='設定'!$B$6,"表示","隠す")</f>
        <v/>
      </c>
    </row>
    <row r="266" ht="21" customHeight="1">
      <c r="A266" s="82" t="n"/>
      <c r="B266" s="46">
        <f>'設定'!$I$17</f>
        <v/>
      </c>
      <c r="C266" s="83" t="n"/>
      <c r="D266" s="83" t="n"/>
      <c r="E266" s="83" t="n"/>
      <c r="F266" s="83" t="n"/>
      <c r="G266" s="83" t="n"/>
      <c r="H266" s="83" t="n"/>
      <c r="S266">
        <f>IF(7&lt;='設定'!$B$6,"表示","隠す")</f>
        <v/>
      </c>
    </row>
    <row r="267" ht="21" customHeight="1">
      <c r="A267" s="82" t="n"/>
      <c r="B267" s="46">
        <f>'設定'!$I$18</f>
        <v/>
      </c>
      <c r="C267" s="83" t="n"/>
      <c r="D267" s="83" t="n"/>
      <c r="E267" s="83" t="n"/>
      <c r="F267" s="83" t="n"/>
      <c r="G267" s="83" t="n"/>
      <c r="H267" s="83" t="n"/>
      <c r="S267">
        <f>IF(8&lt;='設定'!$B$6,"表示","隠す")</f>
        <v/>
      </c>
    </row>
    <row r="268" ht="21" customHeight="1">
      <c r="A268" s="82" t="n"/>
      <c r="B268" s="46">
        <f>'設定'!$I$19</f>
        <v/>
      </c>
      <c r="C268" s="83" t="n"/>
      <c r="D268" s="83" t="n"/>
      <c r="E268" s="83" t="n"/>
      <c r="F268" s="83" t="n"/>
      <c r="G268" s="83" t="n"/>
      <c r="H268" s="83" t="n"/>
      <c r="S268">
        <f>IF(9&lt;='設定'!$B$6,"表示","隠す")</f>
        <v/>
      </c>
    </row>
    <row r="269" hidden="1" ht="21" customHeight="1">
      <c r="A269" s="82" t="n"/>
      <c r="B269" s="46">
        <f>'設定'!$I$20</f>
        <v/>
      </c>
      <c r="C269" s="83" t="n"/>
      <c r="D269" s="83" t="n"/>
      <c r="E269" s="83" t="n"/>
      <c r="F269" s="83" t="n"/>
      <c r="G269" s="83" t="n"/>
      <c r="H269" s="83" t="n"/>
      <c r="S269">
        <f>IF(10&lt;='設定'!$B$6,"表示","隠す")</f>
        <v/>
      </c>
    </row>
    <row r="270" hidden="1" ht="21" customHeight="1">
      <c r="A270" s="82" t="n"/>
      <c r="B270" s="46">
        <f>'設定'!$I$21</f>
        <v/>
      </c>
      <c r="C270" s="83" t="n"/>
      <c r="D270" s="83" t="n"/>
      <c r="E270" s="83" t="n"/>
      <c r="F270" s="83" t="n"/>
      <c r="G270" s="83" t="n"/>
      <c r="H270" s="83" t="n"/>
      <c r="S270">
        <f>IF(11&lt;='設定'!$B$6,"表示","隠す")</f>
        <v/>
      </c>
    </row>
    <row r="271" hidden="1" ht="21" customHeight="1">
      <c r="A271" s="82" t="n"/>
      <c r="B271" s="46">
        <f>'設定'!$I$22</f>
        <v/>
      </c>
      <c r="C271" s="83" t="n"/>
      <c r="D271" s="83" t="n"/>
      <c r="E271" s="83" t="n"/>
      <c r="F271" s="83" t="n"/>
      <c r="G271" s="83" t="n"/>
      <c r="H271" s="83" t="n"/>
      <c r="S271">
        <f>IF(12&lt;='設定'!$B$6,"表示","隠す")</f>
        <v/>
      </c>
    </row>
    <row r="272" hidden="1" ht="21" customHeight="1">
      <c r="A272" s="82" t="n"/>
      <c r="B272" s="46">
        <f>'設定'!$I$23</f>
        <v/>
      </c>
      <c r="C272" s="83" t="n"/>
      <c r="D272" s="83" t="n"/>
      <c r="E272" s="83" t="n"/>
      <c r="F272" s="83" t="n"/>
      <c r="G272" s="83" t="n"/>
      <c r="H272" s="83" t="n"/>
      <c r="S272">
        <f>IF(13&lt;='設定'!$B$6,"表示","隠す")</f>
        <v/>
      </c>
    </row>
    <row r="273" hidden="1" ht="21" customHeight="1">
      <c r="A273" s="82" t="n"/>
      <c r="B273" s="46">
        <f>'設定'!$I$24</f>
        <v/>
      </c>
      <c r="C273" s="83" t="n"/>
      <c r="D273" s="83" t="n"/>
      <c r="E273" s="83" t="n"/>
      <c r="F273" s="83" t="n"/>
      <c r="G273" s="83" t="n"/>
      <c r="H273" s="83" t="n"/>
      <c r="S273">
        <f>IF(14&lt;='設定'!$B$6,"表示","隠す")</f>
        <v/>
      </c>
    </row>
    <row r="274" hidden="1" ht="21" customHeight="1">
      <c r="A274" s="82" t="n"/>
      <c r="B274" s="46">
        <f>'設定'!$I$25</f>
        <v/>
      </c>
      <c r="C274" s="83" t="n"/>
      <c r="D274" s="83" t="n"/>
      <c r="E274" s="83" t="n"/>
      <c r="F274" s="83" t="n"/>
      <c r="G274" s="83" t="n"/>
      <c r="H274" s="83" t="n"/>
      <c r="S274">
        <f>IF(15&lt;='設定'!$B$6,"表示","隠す")</f>
        <v/>
      </c>
    </row>
    <row r="275" hidden="1" ht="21" customHeight="1">
      <c r="A275" s="82" t="n"/>
      <c r="B275" s="46">
        <f>'設定'!$I$26</f>
        <v/>
      </c>
      <c r="C275" s="83" t="n"/>
      <c r="D275" s="83" t="n"/>
      <c r="E275" s="83" t="n"/>
      <c r="F275" s="83" t="n"/>
      <c r="G275" s="83" t="n"/>
      <c r="H275" s="83" t="n"/>
      <c r="S275">
        <f>IF(16&lt;='設定'!$B$6,"表示","隠す")</f>
        <v/>
      </c>
    </row>
    <row r="276" hidden="1" ht="21" customHeight="1">
      <c r="A276" s="82" t="n"/>
      <c r="B276" s="46">
        <f>'設定'!$I$27</f>
        <v/>
      </c>
      <c r="C276" s="83" t="n"/>
      <c r="D276" s="83" t="n"/>
      <c r="E276" s="83" t="n"/>
      <c r="F276" s="83" t="n"/>
      <c r="G276" s="83" t="n"/>
      <c r="H276" s="83" t="n"/>
      <c r="S276">
        <f>IF(17&lt;='設定'!$B$6,"表示","隠す")</f>
        <v/>
      </c>
    </row>
    <row r="277" hidden="1" ht="21" customHeight="1">
      <c r="A277" s="82" t="n"/>
      <c r="B277" s="46">
        <f>'設定'!$I$28</f>
        <v/>
      </c>
      <c r="C277" s="83" t="n"/>
      <c r="D277" s="83" t="n"/>
      <c r="E277" s="83" t="n"/>
      <c r="F277" s="83" t="n"/>
      <c r="G277" s="83" t="n"/>
      <c r="H277" s="83" t="n"/>
      <c r="S277">
        <f>IF(18&lt;='設定'!$B$6,"表示","隠す")</f>
        <v/>
      </c>
    </row>
    <row r="278" hidden="1" ht="21" customHeight="1">
      <c r="A278" s="82" t="n"/>
      <c r="B278" s="46">
        <f>'設定'!$I$29</f>
        <v/>
      </c>
      <c r="C278" s="83" t="n"/>
      <c r="D278" s="83" t="n"/>
      <c r="E278" s="83" t="n"/>
      <c r="F278" s="83" t="n"/>
      <c r="G278" s="83" t="n"/>
      <c r="H278" s="83" t="n"/>
      <c r="S278">
        <f>IF(19&lt;='設定'!$B$6,"表示","隠す")</f>
        <v/>
      </c>
    </row>
    <row r="279" hidden="1" ht="21" customHeight="1">
      <c r="A279" s="82" t="n"/>
      <c r="B279" s="46">
        <f>'設定'!$I$30</f>
        <v/>
      </c>
      <c r="C279" s="83" t="n"/>
      <c r="D279" s="83" t="n"/>
      <c r="E279" s="83" t="n"/>
      <c r="F279" s="83" t="n"/>
      <c r="G279" s="83" t="n"/>
      <c r="H279" s="83" t="n"/>
      <c r="S279">
        <f>IF(20&lt;='設定'!$B$6,"表示","隠す")</f>
        <v/>
      </c>
    </row>
    <row r="280" hidden="1" ht="21" customHeight="1">
      <c r="A280" s="82" t="n"/>
      <c r="B280" s="46">
        <f>'設定'!$I$31</f>
        <v/>
      </c>
      <c r="C280" s="83" t="n"/>
      <c r="D280" s="83" t="n"/>
      <c r="E280" s="83" t="n"/>
      <c r="F280" s="83" t="n"/>
      <c r="G280" s="83" t="n"/>
      <c r="H280" s="83" t="n"/>
      <c r="S280">
        <f>IF(21&lt;='設定'!$B$6,"表示","隠す")</f>
        <v/>
      </c>
    </row>
    <row r="281" hidden="1" ht="21" customHeight="1">
      <c r="A281" s="82" t="n"/>
      <c r="B281" s="46">
        <f>'設定'!$I$32</f>
        <v/>
      </c>
      <c r="C281" s="83" t="n"/>
      <c r="D281" s="83" t="n"/>
      <c r="E281" s="83" t="n"/>
      <c r="F281" s="83" t="n"/>
      <c r="G281" s="83" t="n"/>
      <c r="H281" s="83" t="n"/>
      <c r="S281">
        <f>IF(22&lt;='設定'!$B$6,"表示","隠す")</f>
        <v/>
      </c>
    </row>
    <row r="282" hidden="1" ht="21" customHeight="1">
      <c r="A282" s="82" t="n"/>
      <c r="B282" s="46">
        <f>'設定'!$I$33</f>
        <v/>
      </c>
      <c r="C282" s="83" t="n"/>
      <c r="D282" s="83" t="n"/>
      <c r="E282" s="83" t="n"/>
      <c r="F282" s="83" t="n"/>
      <c r="G282" s="83" t="n"/>
      <c r="H282" s="83" t="n"/>
      <c r="S282">
        <f>IF(23&lt;='設定'!$B$6,"表示","隠す")</f>
        <v/>
      </c>
    </row>
    <row r="283" hidden="1" ht="21" customHeight="1">
      <c r="A283" s="82" t="n"/>
      <c r="B283" s="46">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2" t="n"/>
      <c r="G285" s="33" t="n"/>
      <c r="H285" s="78" t="inlineStr">
        <is>
          <t>状況：</t>
        </is>
      </c>
      <c r="I285" s="79">
        <f>'名簿'!Q15</f>
        <v/>
      </c>
      <c r="J285" s="78" t="inlineStr">
        <is>
          <t>×の数：</t>
        </is>
      </c>
      <c r="K285" s="80">
        <f>'名簿'!R15</f>
        <v/>
      </c>
      <c r="L285" s="81">
        <f>HYPERLINK("#'×入力'!B313","次の人へ ▼")</f>
        <v/>
      </c>
      <c r="S285" t="inlineStr">
        <is>
          <t>表示</t>
        </is>
      </c>
    </row>
    <row r="286" ht="22" customHeight="1">
      <c r="A286" s="34" t="inlineStr">
        <is>
          <t>この日全部 ▶</t>
        </is>
      </c>
      <c r="C286" s="82" t="n"/>
      <c r="D286" s="82" t="n"/>
      <c r="E286" s="82" t="n"/>
      <c r="F286" s="82" t="n"/>
      <c r="G286" s="82" t="n"/>
      <c r="H286" s="82" t="n"/>
      <c r="S286" t="inlineStr">
        <is>
          <t>表示</t>
        </is>
      </c>
    </row>
    <row r="287" ht="28" customHeight="1">
      <c r="A287" s="37" t="inlineStr">
        <is>
          <t>この時間
全部 ▼</t>
        </is>
      </c>
      <c r="B287" s="38" t="inlineStr"/>
      <c r="C287" s="39">
        <f>'設定'!$E$11</f>
        <v/>
      </c>
      <c r="D287" s="39">
        <f>'設定'!$E$12</f>
        <v/>
      </c>
      <c r="E287" s="39">
        <f>'設定'!$E$13</f>
        <v/>
      </c>
      <c r="F287" s="39">
        <f>'設定'!$E$14</f>
        <v/>
      </c>
      <c r="G287" s="39">
        <f>'設定'!$E$15</f>
        <v/>
      </c>
      <c r="H287" s="39">
        <f>'設定'!$E$16</f>
        <v/>
      </c>
      <c r="S287" t="inlineStr">
        <is>
          <t>表示</t>
        </is>
      </c>
    </row>
    <row r="288" ht="21" customHeight="1">
      <c r="A288" s="82" t="n"/>
      <c r="B288" s="46">
        <f>'設定'!$I$11</f>
        <v/>
      </c>
      <c r="C288" s="83" t="n"/>
      <c r="D288" s="83" t="n"/>
      <c r="E288" s="83" t="n"/>
      <c r="F288" s="83" t="n"/>
      <c r="G288" s="83" t="n"/>
      <c r="H288" s="83" t="n"/>
      <c r="S288">
        <f>IF(1&lt;='設定'!$B$6,"表示","隠す")</f>
        <v/>
      </c>
    </row>
    <row r="289" ht="21" customHeight="1">
      <c r="A289" s="82" t="n"/>
      <c r="B289" s="46">
        <f>'設定'!$I$12</f>
        <v/>
      </c>
      <c r="C289" s="83" t="n"/>
      <c r="D289" s="83" t="n"/>
      <c r="E289" s="83" t="n"/>
      <c r="F289" s="83" t="n"/>
      <c r="G289" s="83" t="n"/>
      <c r="H289" s="83" t="n"/>
      <c r="S289">
        <f>IF(2&lt;='設定'!$B$6,"表示","隠す")</f>
        <v/>
      </c>
    </row>
    <row r="290" ht="21" customHeight="1">
      <c r="A290" s="82" t="n"/>
      <c r="B290" s="46">
        <f>'設定'!$I$13</f>
        <v/>
      </c>
      <c r="C290" s="83" t="n"/>
      <c r="D290" s="83" t="n"/>
      <c r="E290" s="83" t="n"/>
      <c r="F290" s="83" t="n"/>
      <c r="G290" s="83" t="n"/>
      <c r="H290" s="83" t="n"/>
      <c r="S290">
        <f>IF(3&lt;='設定'!$B$6,"表示","隠す")</f>
        <v/>
      </c>
    </row>
    <row r="291" ht="21" customHeight="1">
      <c r="A291" s="82" t="n"/>
      <c r="B291" s="46">
        <f>'設定'!$I$14</f>
        <v/>
      </c>
      <c r="C291" s="83" t="n"/>
      <c r="D291" s="83" t="n"/>
      <c r="E291" s="83" t="n"/>
      <c r="F291" s="83" t="n"/>
      <c r="G291" s="83" t="n"/>
      <c r="H291" s="83" t="n"/>
      <c r="S291">
        <f>IF(4&lt;='設定'!$B$6,"表示","隠す")</f>
        <v/>
      </c>
    </row>
    <row r="292" ht="21" customHeight="1">
      <c r="A292" s="82" t="n"/>
      <c r="B292" s="46">
        <f>'設定'!$I$15</f>
        <v/>
      </c>
      <c r="C292" s="83" t="n"/>
      <c r="D292" s="83" t="n"/>
      <c r="E292" s="83" t="n"/>
      <c r="F292" s="83" t="n"/>
      <c r="G292" s="83" t="n"/>
      <c r="H292" s="83" t="n"/>
      <c r="S292">
        <f>IF(5&lt;='設定'!$B$6,"表示","隠す")</f>
        <v/>
      </c>
    </row>
    <row r="293" ht="21" customHeight="1">
      <c r="A293" s="82" t="n"/>
      <c r="B293" s="46">
        <f>'設定'!$I$16</f>
        <v/>
      </c>
      <c r="C293" s="83" t="n"/>
      <c r="D293" s="83" t="n"/>
      <c r="E293" s="83" t="n"/>
      <c r="F293" s="83" t="n"/>
      <c r="G293" s="83" t="n"/>
      <c r="H293" s="83" t="n"/>
      <c r="S293">
        <f>IF(6&lt;='設定'!$B$6,"表示","隠す")</f>
        <v/>
      </c>
    </row>
    <row r="294" ht="21" customHeight="1">
      <c r="A294" s="82" t="n"/>
      <c r="B294" s="46">
        <f>'設定'!$I$17</f>
        <v/>
      </c>
      <c r="C294" s="83" t="n"/>
      <c r="D294" s="83" t="n"/>
      <c r="E294" s="83" t="n"/>
      <c r="F294" s="83" t="n"/>
      <c r="G294" s="83" t="n"/>
      <c r="H294" s="83" t="n"/>
      <c r="S294">
        <f>IF(7&lt;='設定'!$B$6,"表示","隠す")</f>
        <v/>
      </c>
    </row>
    <row r="295" ht="21" customHeight="1">
      <c r="A295" s="82" t="n"/>
      <c r="B295" s="46">
        <f>'設定'!$I$18</f>
        <v/>
      </c>
      <c r="C295" s="83" t="n"/>
      <c r="D295" s="83" t="n"/>
      <c r="E295" s="83" t="n"/>
      <c r="F295" s="83" t="n"/>
      <c r="G295" s="83" t="n"/>
      <c r="H295" s="83" t="n"/>
      <c r="S295">
        <f>IF(8&lt;='設定'!$B$6,"表示","隠す")</f>
        <v/>
      </c>
    </row>
    <row r="296" ht="21" customHeight="1">
      <c r="A296" s="82" t="n"/>
      <c r="B296" s="46">
        <f>'設定'!$I$19</f>
        <v/>
      </c>
      <c r="C296" s="83" t="n"/>
      <c r="D296" s="83" t="n"/>
      <c r="E296" s="83" t="n"/>
      <c r="F296" s="83" t="n"/>
      <c r="G296" s="83" t="n"/>
      <c r="H296" s="83" t="n"/>
      <c r="S296">
        <f>IF(9&lt;='設定'!$B$6,"表示","隠す")</f>
        <v/>
      </c>
    </row>
    <row r="297" hidden="1" ht="21" customHeight="1">
      <c r="A297" s="82" t="n"/>
      <c r="B297" s="46">
        <f>'設定'!$I$20</f>
        <v/>
      </c>
      <c r="C297" s="83" t="n"/>
      <c r="D297" s="83" t="n"/>
      <c r="E297" s="83" t="n"/>
      <c r="F297" s="83" t="n"/>
      <c r="G297" s="83" t="n"/>
      <c r="H297" s="83" t="n"/>
      <c r="S297">
        <f>IF(10&lt;='設定'!$B$6,"表示","隠す")</f>
        <v/>
      </c>
    </row>
    <row r="298" hidden="1" ht="21" customHeight="1">
      <c r="A298" s="82" t="n"/>
      <c r="B298" s="46">
        <f>'設定'!$I$21</f>
        <v/>
      </c>
      <c r="C298" s="83" t="n"/>
      <c r="D298" s="83" t="n"/>
      <c r="E298" s="83" t="n"/>
      <c r="F298" s="83" t="n"/>
      <c r="G298" s="83" t="n"/>
      <c r="H298" s="83" t="n"/>
      <c r="S298">
        <f>IF(11&lt;='設定'!$B$6,"表示","隠す")</f>
        <v/>
      </c>
    </row>
    <row r="299" hidden="1" ht="21" customHeight="1">
      <c r="A299" s="82" t="n"/>
      <c r="B299" s="46">
        <f>'設定'!$I$22</f>
        <v/>
      </c>
      <c r="C299" s="83" t="n"/>
      <c r="D299" s="83" t="n"/>
      <c r="E299" s="83" t="n"/>
      <c r="F299" s="83" t="n"/>
      <c r="G299" s="83" t="n"/>
      <c r="H299" s="83" t="n"/>
      <c r="S299">
        <f>IF(12&lt;='設定'!$B$6,"表示","隠す")</f>
        <v/>
      </c>
    </row>
    <row r="300" hidden="1" ht="21" customHeight="1">
      <c r="A300" s="82" t="n"/>
      <c r="B300" s="46">
        <f>'設定'!$I$23</f>
        <v/>
      </c>
      <c r="C300" s="83" t="n"/>
      <c r="D300" s="83" t="n"/>
      <c r="E300" s="83" t="n"/>
      <c r="F300" s="83" t="n"/>
      <c r="G300" s="83" t="n"/>
      <c r="H300" s="83" t="n"/>
      <c r="S300">
        <f>IF(13&lt;='設定'!$B$6,"表示","隠す")</f>
        <v/>
      </c>
    </row>
    <row r="301" hidden="1" ht="21" customHeight="1">
      <c r="A301" s="82" t="n"/>
      <c r="B301" s="46">
        <f>'設定'!$I$24</f>
        <v/>
      </c>
      <c r="C301" s="83" t="n"/>
      <c r="D301" s="83" t="n"/>
      <c r="E301" s="83" t="n"/>
      <c r="F301" s="83" t="n"/>
      <c r="G301" s="83" t="n"/>
      <c r="H301" s="83" t="n"/>
      <c r="S301">
        <f>IF(14&lt;='設定'!$B$6,"表示","隠す")</f>
        <v/>
      </c>
    </row>
    <row r="302" hidden="1" ht="21" customHeight="1">
      <c r="A302" s="82" t="n"/>
      <c r="B302" s="46">
        <f>'設定'!$I$25</f>
        <v/>
      </c>
      <c r="C302" s="83" t="n"/>
      <c r="D302" s="83" t="n"/>
      <c r="E302" s="83" t="n"/>
      <c r="F302" s="83" t="n"/>
      <c r="G302" s="83" t="n"/>
      <c r="H302" s="83" t="n"/>
      <c r="S302">
        <f>IF(15&lt;='設定'!$B$6,"表示","隠す")</f>
        <v/>
      </c>
    </row>
    <row r="303" hidden="1" ht="21" customHeight="1">
      <c r="A303" s="82" t="n"/>
      <c r="B303" s="46">
        <f>'設定'!$I$26</f>
        <v/>
      </c>
      <c r="C303" s="83" t="n"/>
      <c r="D303" s="83" t="n"/>
      <c r="E303" s="83" t="n"/>
      <c r="F303" s="83" t="n"/>
      <c r="G303" s="83" t="n"/>
      <c r="H303" s="83" t="n"/>
      <c r="S303">
        <f>IF(16&lt;='設定'!$B$6,"表示","隠す")</f>
        <v/>
      </c>
    </row>
    <row r="304" hidden="1" ht="21" customHeight="1">
      <c r="A304" s="82" t="n"/>
      <c r="B304" s="46">
        <f>'設定'!$I$27</f>
        <v/>
      </c>
      <c r="C304" s="83" t="n"/>
      <c r="D304" s="83" t="n"/>
      <c r="E304" s="83" t="n"/>
      <c r="F304" s="83" t="n"/>
      <c r="G304" s="83" t="n"/>
      <c r="H304" s="83" t="n"/>
      <c r="S304">
        <f>IF(17&lt;='設定'!$B$6,"表示","隠す")</f>
        <v/>
      </c>
    </row>
    <row r="305" hidden="1" ht="21" customHeight="1">
      <c r="A305" s="82" t="n"/>
      <c r="B305" s="46">
        <f>'設定'!$I$28</f>
        <v/>
      </c>
      <c r="C305" s="83" t="n"/>
      <c r="D305" s="83" t="n"/>
      <c r="E305" s="83" t="n"/>
      <c r="F305" s="83" t="n"/>
      <c r="G305" s="83" t="n"/>
      <c r="H305" s="83" t="n"/>
      <c r="S305">
        <f>IF(18&lt;='設定'!$B$6,"表示","隠す")</f>
        <v/>
      </c>
    </row>
    <row r="306" hidden="1" ht="21" customHeight="1">
      <c r="A306" s="82" t="n"/>
      <c r="B306" s="46">
        <f>'設定'!$I$29</f>
        <v/>
      </c>
      <c r="C306" s="83" t="n"/>
      <c r="D306" s="83" t="n"/>
      <c r="E306" s="83" t="n"/>
      <c r="F306" s="83" t="n"/>
      <c r="G306" s="83" t="n"/>
      <c r="H306" s="83" t="n"/>
      <c r="S306">
        <f>IF(19&lt;='設定'!$B$6,"表示","隠す")</f>
        <v/>
      </c>
    </row>
    <row r="307" hidden="1" ht="21" customHeight="1">
      <c r="A307" s="82" t="n"/>
      <c r="B307" s="46">
        <f>'設定'!$I$30</f>
        <v/>
      </c>
      <c r="C307" s="83" t="n"/>
      <c r="D307" s="83" t="n"/>
      <c r="E307" s="83" t="n"/>
      <c r="F307" s="83" t="n"/>
      <c r="G307" s="83" t="n"/>
      <c r="H307" s="83" t="n"/>
      <c r="S307">
        <f>IF(20&lt;='設定'!$B$6,"表示","隠す")</f>
        <v/>
      </c>
    </row>
    <row r="308" hidden="1" ht="21" customHeight="1">
      <c r="A308" s="82" t="n"/>
      <c r="B308" s="46">
        <f>'設定'!$I$31</f>
        <v/>
      </c>
      <c r="C308" s="83" t="n"/>
      <c r="D308" s="83" t="n"/>
      <c r="E308" s="83" t="n"/>
      <c r="F308" s="83" t="n"/>
      <c r="G308" s="83" t="n"/>
      <c r="H308" s="83" t="n"/>
      <c r="S308">
        <f>IF(21&lt;='設定'!$B$6,"表示","隠す")</f>
        <v/>
      </c>
    </row>
    <row r="309" hidden="1" ht="21" customHeight="1">
      <c r="A309" s="82" t="n"/>
      <c r="B309" s="46">
        <f>'設定'!$I$32</f>
        <v/>
      </c>
      <c r="C309" s="83" t="n"/>
      <c r="D309" s="83" t="n"/>
      <c r="E309" s="83" t="n"/>
      <c r="F309" s="83" t="n"/>
      <c r="G309" s="83" t="n"/>
      <c r="H309" s="83" t="n"/>
      <c r="S309">
        <f>IF(22&lt;='設定'!$B$6,"表示","隠す")</f>
        <v/>
      </c>
    </row>
    <row r="310" hidden="1" ht="21" customHeight="1">
      <c r="A310" s="82" t="n"/>
      <c r="B310" s="46">
        <f>'設定'!$I$33</f>
        <v/>
      </c>
      <c r="C310" s="83" t="n"/>
      <c r="D310" s="83" t="n"/>
      <c r="E310" s="83" t="n"/>
      <c r="F310" s="83" t="n"/>
      <c r="G310" s="83" t="n"/>
      <c r="H310" s="83" t="n"/>
      <c r="S310">
        <f>IF(23&lt;='設定'!$B$6,"表示","隠す")</f>
        <v/>
      </c>
    </row>
    <row r="311" hidden="1" ht="21" customHeight="1">
      <c r="A311" s="82" t="n"/>
      <c r="B311" s="46">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2" t="n"/>
      <c r="G313" s="33" t="n"/>
      <c r="H313" s="78" t="inlineStr">
        <is>
          <t>状況：</t>
        </is>
      </c>
      <c r="I313" s="79">
        <f>'名簿'!Q16</f>
        <v/>
      </c>
      <c r="J313" s="78" t="inlineStr">
        <is>
          <t>×の数：</t>
        </is>
      </c>
      <c r="K313" s="80">
        <f>'名簿'!R16</f>
        <v/>
      </c>
      <c r="L313" s="81">
        <f>HYPERLINK("#'×入力'!B341","次の人へ ▼")</f>
        <v/>
      </c>
      <c r="S313" t="inlineStr">
        <is>
          <t>表示</t>
        </is>
      </c>
    </row>
    <row r="314" ht="22" customHeight="1">
      <c r="A314" s="34" t="inlineStr">
        <is>
          <t>この日全部 ▶</t>
        </is>
      </c>
      <c r="C314" s="82" t="n"/>
      <c r="D314" s="82" t="n"/>
      <c r="E314" s="82" t="n"/>
      <c r="F314" s="82" t="n"/>
      <c r="G314" s="82" t="n"/>
      <c r="H314" s="82" t="n"/>
      <c r="S314" t="inlineStr">
        <is>
          <t>表示</t>
        </is>
      </c>
    </row>
    <row r="315" ht="28" customHeight="1">
      <c r="A315" s="37" t="inlineStr">
        <is>
          <t>この時間
全部 ▼</t>
        </is>
      </c>
      <c r="B315" s="38" t="inlineStr"/>
      <c r="C315" s="39">
        <f>'設定'!$E$11</f>
        <v/>
      </c>
      <c r="D315" s="39">
        <f>'設定'!$E$12</f>
        <v/>
      </c>
      <c r="E315" s="39">
        <f>'設定'!$E$13</f>
        <v/>
      </c>
      <c r="F315" s="39">
        <f>'設定'!$E$14</f>
        <v/>
      </c>
      <c r="G315" s="39">
        <f>'設定'!$E$15</f>
        <v/>
      </c>
      <c r="H315" s="39">
        <f>'設定'!$E$16</f>
        <v/>
      </c>
      <c r="S315" t="inlineStr">
        <is>
          <t>表示</t>
        </is>
      </c>
    </row>
    <row r="316" ht="21" customHeight="1">
      <c r="A316" s="82" t="n"/>
      <c r="B316" s="46">
        <f>'設定'!$I$11</f>
        <v/>
      </c>
      <c r="C316" s="83" t="n"/>
      <c r="D316" s="83" t="n"/>
      <c r="E316" s="83" t="n"/>
      <c r="F316" s="83" t="n"/>
      <c r="G316" s="83" t="n"/>
      <c r="H316" s="83" t="n"/>
      <c r="S316">
        <f>IF(1&lt;='設定'!$B$6,"表示","隠す")</f>
        <v/>
      </c>
    </row>
    <row r="317" ht="21" customHeight="1">
      <c r="A317" s="82" t="n"/>
      <c r="B317" s="46">
        <f>'設定'!$I$12</f>
        <v/>
      </c>
      <c r="C317" s="83" t="n"/>
      <c r="D317" s="83" t="n"/>
      <c r="E317" s="83" t="n"/>
      <c r="F317" s="83" t="n"/>
      <c r="G317" s="83" t="n"/>
      <c r="H317" s="83" t="n"/>
      <c r="S317">
        <f>IF(2&lt;='設定'!$B$6,"表示","隠す")</f>
        <v/>
      </c>
    </row>
    <row r="318" ht="21" customHeight="1">
      <c r="A318" s="82" t="n"/>
      <c r="B318" s="46">
        <f>'設定'!$I$13</f>
        <v/>
      </c>
      <c r="C318" s="83" t="n"/>
      <c r="D318" s="83" t="n"/>
      <c r="E318" s="83" t="n"/>
      <c r="F318" s="83" t="n"/>
      <c r="G318" s="83" t="n"/>
      <c r="H318" s="83" t="n"/>
      <c r="S318">
        <f>IF(3&lt;='設定'!$B$6,"表示","隠す")</f>
        <v/>
      </c>
    </row>
    <row r="319" ht="21" customHeight="1">
      <c r="A319" s="82" t="n"/>
      <c r="B319" s="46">
        <f>'設定'!$I$14</f>
        <v/>
      </c>
      <c r="C319" s="83" t="n"/>
      <c r="D319" s="83" t="n"/>
      <c r="E319" s="83" t="n"/>
      <c r="F319" s="83" t="n"/>
      <c r="G319" s="83" t="n"/>
      <c r="H319" s="83" t="n"/>
      <c r="S319">
        <f>IF(4&lt;='設定'!$B$6,"表示","隠す")</f>
        <v/>
      </c>
    </row>
    <row r="320" ht="21" customHeight="1">
      <c r="A320" s="82" t="n"/>
      <c r="B320" s="46">
        <f>'設定'!$I$15</f>
        <v/>
      </c>
      <c r="C320" s="83" t="n"/>
      <c r="D320" s="83" t="n"/>
      <c r="E320" s="83" t="n"/>
      <c r="F320" s="83" t="n"/>
      <c r="G320" s="83" t="n"/>
      <c r="H320" s="83" t="n"/>
      <c r="S320">
        <f>IF(5&lt;='設定'!$B$6,"表示","隠す")</f>
        <v/>
      </c>
    </row>
    <row r="321" ht="21" customHeight="1">
      <c r="A321" s="82" t="n"/>
      <c r="B321" s="46">
        <f>'設定'!$I$16</f>
        <v/>
      </c>
      <c r="C321" s="83" t="n"/>
      <c r="D321" s="83" t="n"/>
      <c r="E321" s="83" t="n"/>
      <c r="F321" s="83" t="n"/>
      <c r="G321" s="83" t="n"/>
      <c r="H321" s="83" t="n"/>
      <c r="S321">
        <f>IF(6&lt;='設定'!$B$6,"表示","隠す")</f>
        <v/>
      </c>
    </row>
    <row r="322" ht="21" customHeight="1">
      <c r="A322" s="82" t="n"/>
      <c r="B322" s="46">
        <f>'設定'!$I$17</f>
        <v/>
      </c>
      <c r="C322" s="83" t="n"/>
      <c r="D322" s="83" t="n"/>
      <c r="E322" s="83" t="n"/>
      <c r="F322" s="83" t="n"/>
      <c r="G322" s="83" t="n"/>
      <c r="H322" s="83" t="n"/>
      <c r="S322">
        <f>IF(7&lt;='設定'!$B$6,"表示","隠す")</f>
        <v/>
      </c>
    </row>
    <row r="323" ht="21" customHeight="1">
      <c r="A323" s="82" t="n"/>
      <c r="B323" s="46">
        <f>'設定'!$I$18</f>
        <v/>
      </c>
      <c r="C323" s="83" t="n"/>
      <c r="D323" s="83" t="n"/>
      <c r="E323" s="83" t="n"/>
      <c r="F323" s="83" t="n"/>
      <c r="G323" s="83" t="n"/>
      <c r="H323" s="83" t="n"/>
      <c r="S323">
        <f>IF(8&lt;='設定'!$B$6,"表示","隠す")</f>
        <v/>
      </c>
    </row>
    <row r="324" ht="21" customHeight="1">
      <c r="A324" s="82" t="n"/>
      <c r="B324" s="46">
        <f>'設定'!$I$19</f>
        <v/>
      </c>
      <c r="C324" s="83" t="n"/>
      <c r="D324" s="83" t="n"/>
      <c r="E324" s="83" t="n"/>
      <c r="F324" s="83" t="n"/>
      <c r="G324" s="83" t="n"/>
      <c r="H324" s="83" t="n"/>
      <c r="S324">
        <f>IF(9&lt;='設定'!$B$6,"表示","隠す")</f>
        <v/>
      </c>
    </row>
    <row r="325" hidden="1" ht="21" customHeight="1">
      <c r="A325" s="82" t="n"/>
      <c r="B325" s="46">
        <f>'設定'!$I$20</f>
        <v/>
      </c>
      <c r="C325" s="83" t="n"/>
      <c r="D325" s="83" t="n"/>
      <c r="E325" s="83" t="n"/>
      <c r="F325" s="83" t="n"/>
      <c r="G325" s="83" t="n"/>
      <c r="H325" s="83" t="n"/>
      <c r="S325">
        <f>IF(10&lt;='設定'!$B$6,"表示","隠す")</f>
        <v/>
      </c>
    </row>
    <row r="326" hidden="1" ht="21" customHeight="1">
      <c r="A326" s="82" t="n"/>
      <c r="B326" s="46">
        <f>'設定'!$I$21</f>
        <v/>
      </c>
      <c r="C326" s="83" t="n"/>
      <c r="D326" s="83" t="n"/>
      <c r="E326" s="83" t="n"/>
      <c r="F326" s="83" t="n"/>
      <c r="G326" s="83" t="n"/>
      <c r="H326" s="83" t="n"/>
      <c r="S326">
        <f>IF(11&lt;='設定'!$B$6,"表示","隠す")</f>
        <v/>
      </c>
    </row>
    <row r="327" hidden="1" ht="21" customHeight="1">
      <c r="A327" s="82" t="n"/>
      <c r="B327" s="46">
        <f>'設定'!$I$22</f>
        <v/>
      </c>
      <c r="C327" s="83" t="n"/>
      <c r="D327" s="83" t="n"/>
      <c r="E327" s="83" t="n"/>
      <c r="F327" s="83" t="n"/>
      <c r="G327" s="83" t="n"/>
      <c r="H327" s="83" t="n"/>
      <c r="S327">
        <f>IF(12&lt;='設定'!$B$6,"表示","隠す")</f>
        <v/>
      </c>
    </row>
    <row r="328" hidden="1" ht="21" customHeight="1">
      <c r="A328" s="82" t="n"/>
      <c r="B328" s="46">
        <f>'設定'!$I$23</f>
        <v/>
      </c>
      <c r="C328" s="83" t="n"/>
      <c r="D328" s="83" t="n"/>
      <c r="E328" s="83" t="n"/>
      <c r="F328" s="83" t="n"/>
      <c r="G328" s="83" t="n"/>
      <c r="H328" s="83" t="n"/>
      <c r="S328">
        <f>IF(13&lt;='設定'!$B$6,"表示","隠す")</f>
        <v/>
      </c>
    </row>
    <row r="329" hidden="1" ht="21" customHeight="1">
      <c r="A329" s="82" t="n"/>
      <c r="B329" s="46">
        <f>'設定'!$I$24</f>
        <v/>
      </c>
      <c r="C329" s="83" t="n"/>
      <c r="D329" s="83" t="n"/>
      <c r="E329" s="83" t="n"/>
      <c r="F329" s="83" t="n"/>
      <c r="G329" s="83" t="n"/>
      <c r="H329" s="83" t="n"/>
      <c r="S329">
        <f>IF(14&lt;='設定'!$B$6,"表示","隠す")</f>
        <v/>
      </c>
    </row>
    <row r="330" hidden="1" ht="21" customHeight="1">
      <c r="A330" s="82" t="n"/>
      <c r="B330" s="46">
        <f>'設定'!$I$25</f>
        <v/>
      </c>
      <c r="C330" s="83" t="n"/>
      <c r="D330" s="83" t="n"/>
      <c r="E330" s="83" t="n"/>
      <c r="F330" s="83" t="n"/>
      <c r="G330" s="83" t="n"/>
      <c r="H330" s="83" t="n"/>
      <c r="S330">
        <f>IF(15&lt;='設定'!$B$6,"表示","隠す")</f>
        <v/>
      </c>
    </row>
    <row r="331" hidden="1" ht="21" customHeight="1">
      <c r="A331" s="82" t="n"/>
      <c r="B331" s="46">
        <f>'設定'!$I$26</f>
        <v/>
      </c>
      <c r="C331" s="83" t="n"/>
      <c r="D331" s="83" t="n"/>
      <c r="E331" s="83" t="n"/>
      <c r="F331" s="83" t="n"/>
      <c r="G331" s="83" t="n"/>
      <c r="H331" s="83" t="n"/>
      <c r="S331">
        <f>IF(16&lt;='設定'!$B$6,"表示","隠す")</f>
        <v/>
      </c>
    </row>
    <row r="332" hidden="1" ht="21" customHeight="1">
      <c r="A332" s="82" t="n"/>
      <c r="B332" s="46">
        <f>'設定'!$I$27</f>
        <v/>
      </c>
      <c r="C332" s="83" t="n"/>
      <c r="D332" s="83" t="n"/>
      <c r="E332" s="83" t="n"/>
      <c r="F332" s="83" t="n"/>
      <c r="G332" s="83" t="n"/>
      <c r="H332" s="83" t="n"/>
      <c r="S332">
        <f>IF(17&lt;='設定'!$B$6,"表示","隠す")</f>
        <v/>
      </c>
    </row>
    <row r="333" hidden="1" ht="21" customHeight="1">
      <c r="A333" s="82" t="n"/>
      <c r="B333" s="46">
        <f>'設定'!$I$28</f>
        <v/>
      </c>
      <c r="C333" s="83" t="n"/>
      <c r="D333" s="83" t="n"/>
      <c r="E333" s="83" t="n"/>
      <c r="F333" s="83" t="n"/>
      <c r="G333" s="83" t="n"/>
      <c r="H333" s="83" t="n"/>
      <c r="S333">
        <f>IF(18&lt;='設定'!$B$6,"表示","隠す")</f>
        <v/>
      </c>
    </row>
    <row r="334" hidden="1" ht="21" customHeight="1">
      <c r="A334" s="82" t="n"/>
      <c r="B334" s="46">
        <f>'設定'!$I$29</f>
        <v/>
      </c>
      <c r="C334" s="83" t="n"/>
      <c r="D334" s="83" t="n"/>
      <c r="E334" s="83" t="n"/>
      <c r="F334" s="83" t="n"/>
      <c r="G334" s="83" t="n"/>
      <c r="H334" s="83" t="n"/>
      <c r="S334">
        <f>IF(19&lt;='設定'!$B$6,"表示","隠す")</f>
        <v/>
      </c>
    </row>
    <row r="335" hidden="1" ht="21" customHeight="1">
      <c r="A335" s="82" t="n"/>
      <c r="B335" s="46">
        <f>'設定'!$I$30</f>
        <v/>
      </c>
      <c r="C335" s="83" t="n"/>
      <c r="D335" s="83" t="n"/>
      <c r="E335" s="83" t="n"/>
      <c r="F335" s="83" t="n"/>
      <c r="G335" s="83" t="n"/>
      <c r="H335" s="83" t="n"/>
      <c r="S335">
        <f>IF(20&lt;='設定'!$B$6,"表示","隠す")</f>
        <v/>
      </c>
    </row>
    <row r="336" hidden="1" ht="21" customHeight="1">
      <c r="A336" s="82" t="n"/>
      <c r="B336" s="46">
        <f>'設定'!$I$31</f>
        <v/>
      </c>
      <c r="C336" s="83" t="n"/>
      <c r="D336" s="83" t="n"/>
      <c r="E336" s="83" t="n"/>
      <c r="F336" s="83" t="n"/>
      <c r="G336" s="83" t="n"/>
      <c r="H336" s="83" t="n"/>
      <c r="S336">
        <f>IF(21&lt;='設定'!$B$6,"表示","隠す")</f>
        <v/>
      </c>
    </row>
    <row r="337" hidden="1" ht="21" customHeight="1">
      <c r="A337" s="82" t="n"/>
      <c r="B337" s="46">
        <f>'設定'!$I$32</f>
        <v/>
      </c>
      <c r="C337" s="83" t="n"/>
      <c r="D337" s="83" t="n"/>
      <c r="E337" s="83" t="n"/>
      <c r="F337" s="83" t="n"/>
      <c r="G337" s="83" t="n"/>
      <c r="H337" s="83" t="n"/>
      <c r="S337">
        <f>IF(22&lt;='設定'!$B$6,"表示","隠す")</f>
        <v/>
      </c>
    </row>
    <row r="338" hidden="1" ht="21" customHeight="1">
      <c r="A338" s="82" t="n"/>
      <c r="B338" s="46">
        <f>'設定'!$I$33</f>
        <v/>
      </c>
      <c r="C338" s="83" t="n"/>
      <c r="D338" s="83" t="n"/>
      <c r="E338" s="83" t="n"/>
      <c r="F338" s="83" t="n"/>
      <c r="G338" s="83" t="n"/>
      <c r="H338" s="83" t="n"/>
      <c r="S338">
        <f>IF(23&lt;='設定'!$B$6,"表示","隠す")</f>
        <v/>
      </c>
    </row>
    <row r="339" hidden="1" ht="21" customHeight="1">
      <c r="A339" s="82" t="n"/>
      <c r="B339" s="46">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2" t="n"/>
      <c r="G341" s="33" t="n"/>
      <c r="H341" s="78" t="inlineStr">
        <is>
          <t>状況：</t>
        </is>
      </c>
      <c r="I341" s="79">
        <f>'名簿'!Q17</f>
        <v/>
      </c>
      <c r="J341" s="78" t="inlineStr">
        <is>
          <t>×の数：</t>
        </is>
      </c>
      <c r="K341" s="80">
        <f>'名簿'!R17</f>
        <v/>
      </c>
      <c r="L341" s="81">
        <f>HYPERLINK("#'×入力'!B369","次の人へ ▼")</f>
        <v/>
      </c>
      <c r="S341" t="inlineStr">
        <is>
          <t>表示</t>
        </is>
      </c>
    </row>
    <row r="342" ht="22" customHeight="1">
      <c r="A342" s="34" t="inlineStr">
        <is>
          <t>この日全部 ▶</t>
        </is>
      </c>
      <c r="C342" s="82" t="n"/>
      <c r="D342" s="82" t="n"/>
      <c r="E342" s="82" t="n"/>
      <c r="F342" s="82" t="n"/>
      <c r="G342" s="82" t="n"/>
      <c r="H342" s="82" t="n"/>
      <c r="S342" t="inlineStr">
        <is>
          <t>表示</t>
        </is>
      </c>
    </row>
    <row r="343" ht="28" customHeight="1">
      <c r="A343" s="37" t="inlineStr">
        <is>
          <t>この時間
全部 ▼</t>
        </is>
      </c>
      <c r="B343" s="38" t="inlineStr"/>
      <c r="C343" s="39">
        <f>'設定'!$E$11</f>
        <v/>
      </c>
      <c r="D343" s="39">
        <f>'設定'!$E$12</f>
        <v/>
      </c>
      <c r="E343" s="39">
        <f>'設定'!$E$13</f>
        <v/>
      </c>
      <c r="F343" s="39">
        <f>'設定'!$E$14</f>
        <v/>
      </c>
      <c r="G343" s="39">
        <f>'設定'!$E$15</f>
        <v/>
      </c>
      <c r="H343" s="39">
        <f>'設定'!$E$16</f>
        <v/>
      </c>
      <c r="S343" t="inlineStr">
        <is>
          <t>表示</t>
        </is>
      </c>
    </row>
    <row r="344" ht="21" customHeight="1">
      <c r="A344" s="82" t="n"/>
      <c r="B344" s="46">
        <f>'設定'!$I$11</f>
        <v/>
      </c>
      <c r="C344" s="83" t="n"/>
      <c r="D344" s="83" t="n"/>
      <c r="E344" s="83" t="n"/>
      <c r="F344" s="83" t="n"/>
      <c r="G344" s="83" t="n"/>
      <c r="H344" s="83" t="n"/>
      <c r="S344">
        <f>IF(1&lt;='設定'!$B$6,"表示","隠す")</f>
        <v/>
      </c>
    </row>
    <row r="345" ht="21" customHeight="1">
      <c r="A345" s="82" t="n"/>
      <c r="B345" s="46">
        <f>'設定'!$I$12</f>
        <v/>
      </c>
      <c r="C345" s="83" t="n"/>
      <c r="D345" s="83" t="n"/>
      <c r="E345" s="83" t="n"/>
      <c r="F345" s="83" t="n"/>
      <c r="G345" s="83" t="n"/>
      <c r="H345" s="83" t="n"/>
      <c r="S345">
        <f>IF(2&lt;='設定'!$B$6,"表示","隠す")</f>
        <v/>
      </c>
    </row>
    <row r="346" ht="21" customHeight="1">
      <c r="A346" s="82" t="n"/>
      <c r="B346" s="46">
        <f>'設定'!$I$13</f>
        <v/>
      </c>
      <c r="C346" s="83" t="n"/>
      <c r="D346" s="83" t="n"/>
      <c r="E346" s="83" t="n"/>
      <c r="F346" s="83" t="n"/>
      <c r="G346" s="83" t="n"/>
      <c r="H346" s="83" t="n"/>
      <c r="S346">
        <f>IF(3&lt;='設定'!$B$6,"表示","隠す")</f>
        <v/>
      </c>
    </row>
    <row r="347" ht="21" customHeight="1">
      <c r="A347" s="82" t="n"/>
      <c r="B347" s="46">
        <f>'設定'!$I$14</f>
        <v/>
      </c>
      <c r="C347" s="83" t="n"/>
      <c r="D347" s="83" t="n"/>
      <c r="E347" s="83" t="n"/>
      <c r="F347" s="83" t="n"/>
      <c r="G347" s="83" t="n"/>
      <c r="H347" s="83" t="n"/>
      <c r="S347">
        <f>IF(4&lt;='設定'!$B$6,"表示","隠す")</f>
        <v/>
      </c>
    </row>
    <row r="348" ht="21" customHeight="1">
      <c r="A348" s="82" t="n"/>
      <c r="B348" s="46">
        <f>'設定'!$I$15</f>
        <v/>
      </c>
      <c r="C348" s="83" t="n"/>
      <c r="D348" s="83" t="n"/>
      <c r="E348" s="83" t="n"/>
      <c r="F348" s="83" t="n"/>
      <c r="G348" s="83" t="n"/>
      <c r="H348" s="83" t="n"/>
      <c r="S348">
        <f>IF(5&lt;='設定'!$B$6,"表示","隠す")</f>
        <v/>
      </c>
    </row>
    <row r="349" ht="21" customHeight="1">
      <c r="A349" s="82" t="n"/>
      <c r="B349" s="46">
        <f>'設定'!$I$16</f>
        <v/>
      </c>
      <c r="C349" s="83" t="n"/>
      <c r="D349" s="83" t="n"/>
      <c r="E349" s="83" t="n"/>
      <c r="F349" s="83" t="n"/>
      <c r="G349" s="83" t="n"/>
      <c r="H349" s="83" t="n"/>
      <c r="S349">
        <f>IF(6&lt;='設定'!$B$6,"表示","隠す")</f>
        <v/>
      </c>
    </row>
    <row r="350" ht="21" customHeight="1">
      <c r="A350" s="82" t="n"/>
      <c r="B350" s="46">
        <f>'設定'!$I$17</f>
        <v/>
      </c>
      <c r="C350" s="83" t="n"/>
      <c r="D350" s="83" t="n"/>
      <c r="E350" s="83" t="n"/>
      <c r="F350" s="83" t="n"/>
      <c r="G350" s="83" t="n"/>
      <c r="H350" s="83" t="n"/>
      <c r="S350">
        <f>IF(7&lt;='設定'!$B$6,"表示","隠す")</f>
        <v/>
      </c>
    </row>
    <row r="351" ht="21" customHeight="1">
      <c r="A351" s="82" t="n"/>
      <c r="B351" s="46">
        <f>'設定'!$I$18</f>
        <v/>
      </c>
      <c r="C351" s="83" t="n"/>
      <c r="D351" s="83" t="n"/>
      <c r="E351" s="83" t="n"/>
      <c r="F351" s="83" t="n"/>
      <c r="G351" s="83" t="n"/>
      <c r="H351" s="83" t="n"/>
      <c r="S351">
        <f>IF(8&lt;='設定'!$B$6,"表示","隠す")</f>
        <v/>
      </c>
    </row>
    <row r="352" ht="21" customHeight="1">
      <c r="A352" s="82" t="n"/>
      <c r="B352" s="46">
        <f>'設定'!$I$19</f>
        <v/>
      </c>
      <c r="C352" s="83" t="n"/>
      <c r="D352" s="83" t="n"/>
      <c r="E352" s="83" t="n"/>
      <c r="F352" s="83" t="n"/>
      <c r="G352" s="83" t="n"/>
      <c r="H352" s="83" t="n"/>
      <c r="S352">
        <f>IF(9&lt;='設定'!$B$6,"表示","隠す")</f>
        <v/>
      </c>
    </row>
    <row r="353" hidden="1" ht="21" customHeight="1">
      <c r="A353" s="82" t="n"/>
      <c r="B353" s="46">
        <f>'設定'!$I$20</f>
        <v/>
      </c>
      <c r="C353" s="83" t="n"/>
      <c r="D353" s="83" t="n"/>
      <c r="E353" s="83" t="n"/>
      <c r="F353" s="83" t="n"/>
      <c r="G353" s="83" t="n"/>
      <c r="H353" s="83" t="n"/>
      <c r="S353">
        <f>IF(10&lt;='設定'!$B$6,"表示","隠す")</f>
        <v/>
      </c>
    </row>
    <row r="354" hidden="1" ht="21" customHeight="1">
      <c r="A354" s="82" t="n"/>
      <c r="B354" s="46">
        <f>'設定'!$I$21</f>
        <v/>
      </c>
      <c r="C354" s="83" t="n"/>
      <c r="D354" s="83" t="n"/>
      <c r="E354" s="83" t="n"/>
      <c r="F354" s="83" t="n"/>
      <c r="G354" s="83" t="n"/>
      <c r="H354" s="83" t="n"/>
      <c r="S354">
        <f>IF(11&lt;='設定'!$B$6,"表示","隠す")</f>
        <v/>
      </c>
    </row>
    <row r="355" hidden="1" ht="21" customHeight="1">
      <c r="A355" s="82" t="n"/>
      <c r="B355" s="46">
        <f>'設定'!$I$22</f>
        <v/>
      </c>
      <c r="C355" s="83" t="n"/>
      <c r="D355" s="83" t="n"/>
      <c r="E355" s="83" t="n"/>
      <c r="F355" s="83" t="n"/>
      <c r="G355" s="83" t="n"/>
      <c r="H355" s="83" t="n"/>
      <c r="S355">
        <f>IF(12&lt;='設定'!$B$6,"表示","隠す")</f>
        <v/>
      </c>
    </row>
    <row r="356" hidden="1" ht="21" customHeight="1">
      <c r="A356" s="82" t="n"/>
      <c r="B356" s="46">
        <f>'設定'!$I$23</f>
        <v/>
      </c>
      <c r="C356" s="83" t="n"/>
      <c r="D356" s="83" t="n"/>
      <c r="E356" s="83" t="n"/>
      <c r="F356" s="83" t="n"/>
      <c r="G356" s="83" t="n"/>
      <c r="H356" s="83" t="n"/>
      <c r="S356">
        <f>IF(13&lt;='設定'!$B$6,"表示","隠す")</f>
        <v/>
      </c>
    </row>
    <row r="357" hidden="1" ht="21" customHeight="1">
      <c r="A357" s="82" t="n"/>
      <c r="B357" s="46">
        <f>'設定'!$I$24</f>
        <v/>
      </c>
      <c r="C357" s="83" t="n"/>
      <c r="D357" s="83" t="n"/>
      <c r="E357" s="83" t="n"/>
      <c r="F357" s="83" t="n"/>
      <c r="G357" s="83" t="n"/>
      <c r="H357" s="83" t="n"/>
      <c r="S357">
        <f>IF(14&lt;='設定'!$B$6,"表示","隠す")</f>
        <v/>
      </c>
    </row>
    <row r="358" hidden="1" ht="21" customHeight="1">
      <c r="A358" s="82" t="n"/>
      <c r="B358" s="46">
        <f>'設定'!$I$25</f>
        <v/>
      </c>
      <c r="C358" s="83" t="n"/>
      <c r="D358" s="83" t="n"/>
      <c r="E358" s="83" t="n"/>
      <c r="F358" s="83" t="n"/>
      <c r="G358" s="83" t="n"/>
      <c r="H358" s="83" t="n"/>
      <c r="S358">
        <f>IF(15&lt;='設定'!$B$6,"表示","隠す")</f>
        <v/>
      </c>
    </row>
    <row r="359" hidden="1" ht="21" customHeight="1">
      <c r="A359" s="82" t="n"/>
      <c r="B359" s="46">
        <f>'設定'!$I$26</f>
        <v/>
      </c>
      <c r="C359" s="83" t="n"/>
      <c r="D359" s="83" t="n"/>
      <c r="E359" s="83" t="n"/>
      <c r="F359" s="83" t="n"/>
      <c r="G359" s="83" t="n"/>
      <c r="H359" s="83" t="n"/>
      <c r="S359">
        <f>IF(16&lt;='設定'!$B$6,"表示","隠す")</f>
        <v/>
      </c>
    </row>
    <row r="360" hidden="1" ht="21" customHeight="1">
      <c r="A360" s="82" t="n"/>
      <c r="B360" s="46">
        <f>'設定'!$I$27</f>
        <v/>
      </c>
      <c r="C360" s="83" t="n"/>
      <c r="D360" s="83" t="n"/>
      <c r="E360" s="83" t="n"/>
      <c r="F360" s="83" t="n"/>
      <c r="G360" s="83" t="n"/>
      <c r="H360" s="83" t="n"/>
      <c r="S360">
        <f>IF(17&lt;='設定'!$B$6,"表示","隠す")</f>
        <v/>
      </c>
    </row>
    <row r="361" hidden="1" ht="21" customHeight="1">
      <c r="A361" s="82" t="n"/>
      <c r="B361" s="46">
        <f>'設定'!$I$28</f>
        <v/>
      </c>
      <c r="C361" s="83" t="n"/>
      <c r="D361" s="83" t="n"/>
      <c r="E361" s="83" t="n"/>
      <c r="F361" s="83" t="n"/>
      <c r="G361" s="83" t="n"/>
      <c r="H361" s="83" t="n"/>
      <c r="S361">
        <f>IF(18&lt;='設定'!$B$6,"表示","隠す")</f>
        <v/>
      </c>
    </row>
    <row r="362" hidden="1" ht="21" customHeight="1">
      <c r="A362" s="82" t="n"/>
      <c r="B362" s="46">
        <f>'設定'!$I$29</f>
        <v/>
      </c>
      <c r="C362" s="83" t="n"/>
      <c r="D362" s="83" t="n"/>
      <c r="E362" s="83" t="n"/>
      <c r="F362" s="83" t="n"/>
      <c r="G362" s="83" t="n"/>
      <c r="H362" s="83" t="n"/>
      <c r="S362">
        <f>IF(19&lt;='設定'!$B$6,"表示","隠す")</f>
        <v/>
      </c>
    </row>
    <row r="363" hidden="1" ht="21" customHeight="1">
      <c r="A363" s="82" t="n"/>
      <c r="B363" s="46">
        <f>'設定'!$I$30</f>
        <v/>
      </c>
      <c r="C363" s="83" t="n"/>
      <c r="D363" s="83" t="n"/>
      <c r="E363" s="83" t="n"/>
      <c r="F363" s="83" t="n"/>
      <c r="G363" s="83" t="n"/>
      <c r="H363" s="83" t="n"/>
      <c r="S363">
        <f>IF(20&lt;='設定'!$B$6,"表示","隠す")</f>
        <v/>
      </c>
    </row>
    <row r="364" hidden="1" ht="21" customHeight="1">
      <c r="A364" s="82" t="n"/>
      <c r="B364" s="46">
        <f>'設定'!$I$31</f>
        <v/>
      </c>
      <c r="C364" s="83" t="n"/>
      <c r="D364" s="83" t="n"/>
      <c r="E364" s="83" t="n"/>
      <c r="F364" s="83" t="n"/>
      <c r="G364" s="83" t="n"/>
      <c r="H364" s="83" t="n"/>
      <c r="S364">
        <f>IF(21&lt;='設定'!$B$6,"表示","隠す")</f>
        <v/>
      </c>
    </row>
    <row r="365" hidden="1" ht="21" customHeight="1">
      <c r="A365" s="82" t="n"/>
      <c r="B365" s="46">
        <f>'設定'!$I$32</f>
        <v/>
      </c>
      <c r="C365" s="83" t="n"/>
      <c r="D365" s="83" t="n"/>
      <c r="E365" s="83" t="n"/>
      <c r="F365" s="83" t="n"/>
      <c r="G365" s="83" t="n"/>
      <c r="H365" s="83" t="n"/>
      <c r="S365">
        <f>IF(22&lt;='設定'!$B$6,"表示","隠す")</f>
        <v/>
      </c>
    </row>
    <row r="366" hidden="1" ht="21" customHeight="1">
      <c r="A366" s="82" t="n"/>
      <c r="B366" s="46">
        <f>'設定'!$I$33</f>
        <v/>
      </c>
      <c r="C366" s="83" t="n"/>
      <c r="D366" s="83" t="n"/>
      <c r="E366" s="83" t="n"/>
      <c r="F366" s="83" t="n"/>
      <c r="G366" s="83" t="n"/>
      <c r="H366" s="83" t="n"/>
      <c r="S366">
        <f>IF(23&lt;='設定'!$B$6,"表示","隠す")</f>
        <v/>
      </c>
    </row>
    <row r="367" hidden="1" ht="21" customHeight="1">
      <c r="A367" s="82" t="n"/>
      <c r="B367" s="46">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2" t="n"/>
      <c r="G369" s="33" t="n"/>
      <c r="H369" s="78" t="inlineStr">
        <is>
          <t>状況：</t>
        </is>
      </c>
      <c r="I369" s="79">
        <f>'名簿'!Q18</f>
        <v/>
      </c>
      <c r="J369" s="78" t="inlineStr">
        <is>
          <t>×の数：</t>
        </is>
      </c>
      <c r="K369" s="80">
        <f>'名簿'!R18</f>
        <v/>
      </c>
      <c r="L369" s="81">
        <f>HYPERLINK("#'×入力'!B397","次の人へ ▼")</f>
        <v/>
      </c>
      <c r="S369" t="inlineStr">
        <is>
          <t>表示</t>
        </is>
      </c>
    </row>
    <row r="370" ht="22" customHeight="1">
      <c r="A370" s="34" t="inlineStr">
        <is>
          <t>この日全部 ▶</t>
        </is>
      </c>
      <c r="C370" s="82" t="n"/>
      <c r="D370" s="82" t="n"/>
      <c r="E370" s="82" t="n"/>
      <c r="F370" s="82" t="n"/>
      <c r="G370" s="82" t="n"/>
      <c r="H370" s="82" t="n"/>
      <c r="S370" t="inlineStr">
        <is>
          <t>表示</t>
        </is>
      </c>
    </row>
    <row r="371" ht="28" customHeight="1">
      <c r="A371" s="37" t="inlineStr">
        <is>
          <t>この時間
全部 ▼</t>
        </is>
      </c>
      <c r="B371" s="38" t="inlineStr"/>
      <c r="C371" s="39">
        <f>'設定'!$E$11</f>
        <v/>
      </c>
      <c r="D371" s="39">
        <f>'設定'!$E$12</f>
        <v/>
      </c>
      <c r="E371" s="39">
        <f>'設定'!$E$13</f>
        <v/>
      </c>
      <c r="F371" s="39">
        <f>'設定'!$E$14</f>
        <v/>
      </c>
      <c r="G371" s="39">
        <f>'設定'!$E$15</f>
        <v/>
      </c>
      <c r="H371" s="39">
        <f>'設定'!$E$16</f>
        <v/>
      </c>
      <c r="S371" t="inlineStr">
        <is>
          <t>表示</t>
        </is>
      </c>
    </row>
    <row r="372" ht="21" customHeight="1">
      <c r="A372" s="82" t="n"/>
      <c r="B372" s="46">
        <f>'設定'!$I$11</f>
        <v/>
      </c>
      <c r="C372" s="83" t="n"/>
      <c r="D372" s="83" t="n"/>
      <c r="E372" s="83" t="n"/>
      <c r="F372" s="83" t="n"/>
      <c r="G372" s="83" t="n"/>
      <c r="H372" s="83" t="n"/>
      <c r="S372">
        <f>IF(1&lt;='設定'!$B$6,"表示","隠す")</f>
        <v/>
      </c>
    </row>
    <row r="373" ht="21" customHeight="1">
      <c r="A373" s="82" t="n"/>
      <c r="B373" s="46">
        <f>'設定'!$I$12</f>
        <v/>
      </c>
      <c r="C373" s="83" t="n"/>
      <c r="D373" s="83" t="n"/>
      <c r="E373" s="83" t="n"/>
      <c r="F373" s="83" t="n"/>
      <c r="G373" s="83" t="n"/>
      <c r="H373" s="83" t="n"/>
      <c r="S373">
        <f>IF(2&lt;='設定'!$B$6,"表示","隠す")</f>
        <v/>
      </c>
    </row>
    <row r="374" ht="21" customHeight="1">
      <c r="A374" s="82" t="n"/>
      <c r="B374" s="46">
        <f>'設定'!$I$13</f>
        <v/>
      </c>
      <c r="C374" s="83" t="n"/>
      <c r="D374" s="83" t="n"/>
      <c r="E374" s="83" t="n"/>
      <c r="F374" s="83" t="n"/>
      <c r="G374" s="83" t="n"/>
      <c r="H374" s="83" t="n"/>
      <c r="S374">
        <f>IF(3&lt;='設定'!$B$6,"表示","隠す")</f>
        <v/>
      </c>
    </row>
    <row r="375" ht="21" customHeight="1">
      <c r="A375" s="82" t="n"/>
      <c r="B375" s="46">
        <f>'設定'!$I$14</f>
        <v/>
      </c>
      <c r="C375" s="83" t="n"/>
      <c r="D375" s="83" t="n"/>
      <c r="E375" s="83" t="n"/>
      <c r="F375" s="83" t="n"/>
      <c r="G375" s="83" t="n"/>
      <c r="H375" s="83" t="n"/>
      <c r="S375">
        <f>IF(4&lt;='設定'!$B$6,"表示","隠す")</f>
        <v/>
      </c>
    </row>
    <row r="376" ht="21" customHeight="1">
      <c r="A376" s="82" t="n"/>
      <c r="B376" s="46">
        <f>'設定'!$I$15</f>
        <v/>
      </c>
      <c r="C376" s="83" t="n"/>
      <c r="D376" s="83" t="n"/>
      <c r="E376" s="83" t="n"/>
      <c r="F376" s="83" t="n"/>
      <c r="G376" s="83" t="n"/>
      <c r="H376" s="83" t="n"/>
      <c r="S376">
        <f>IF(5&lt;='設定'!$B$6,"表示","隠す")</f>
        <v/>
      </c>
    </row>
    <row r="377" ht="21" customHeight="1">
      <c r="A377" s="82" t="n"/>
      <c r="B377" s="46">
        <f>'設定'!$I$16</f>
        <v/>
      </c>
      <c r="C377" s="83" t="n"/>
      <c r="D377" s="83" t="n"/>
      <c r="E377" s="83" t="n"/>
      <c r="F377" s="83" t="n"/>
      <c r="G377" s="83" t="n"/>
      <c r="H377" s="83" t="n"/>
      <c r="S377">
        <f>IF(6&lt;='設定'!$B$6,"表示","隠す")</f>
        <v/>
      </c>
    </row>
    <row r="378" ht="21" customHeight="1">
      <c r="A378" s="82" t="n"/>
      <c r="B378" s="46">
        <f>'設定'!$I$17</f>
        <v/>
      </c>
      <c r="C378" s="83" t="n"/>
      <c r="D378" s="83" t="n"/>
      <c r="E378" s="83" t="n"/>
      <c r="F378" s="83" t="n"/>
      <c r="G378" s="83" t="n"/>
      <c r="H378" s="83" t="n"/>
      <c r="S378">
        <f>IF(7&lt;='設定'!$B$6,"表示","隠す")</f>
        <v/>
      </c>
    </row>
    <row r="379" ht="21" customHeight="1">
      <c r="A379" s="82" t="n"/>
      <c r="B379" s="46">
        <f>'設定'!$I$18</f>
        <v/>
      </c>
      <c r="C379" s="83" t="n"/>
      <c r="D379" s="83" t="n"/>
      <c r="E379" s="83" t="n"/>
      <c r="F379" s="83" t="n"/>
      <c r="G379" s="83" t="n"/>
      <c r="H379" s="83" t="n"/>
      <c r="S379">
        <f>IF(8&lt;='設定'!$B$6,"表示","隠す")</f>
        <v/>
      </c>
    </row>
    <row r="380" ht="21" customHeight="1">
      <c r="A380" s="82" t="n"/>
      <c r="B380" s="46">
        <f>'設定'!$I$19</f>
        <v/>
      </c>
      <c r="C380" s="83" t="n"/>
      <c r="D380" s="83" t="n"/>
      <c r="E380" s="83" t="n"/>
      <c r="F380" s="83" t="n"/>
      <c r="G380" s="83" t="n"/>
      <c r="H380" s="83" t="n"/>
      <c r="S380">
        <f>IF(9&lt;='設定'!$B$6,"表示","隠す")</f>
        <v/>
      </c>
    </row>
    <row r="381" hidden="1" ht="21" customHeight="1">
      <c r="A381" s="82" t="n"/>
      <c r="B381" s="46">
        <f>'設定'!$I$20</f>
        <v/>
      </c>
      <c r="C381" s="83" t="n"/>
      <c r="D381" s="83" t="n"/>
      <c r="E381" s="83" t="n"/>
      <c r="F381" s="83" t="n"/>
      <c r="G381" s="83" t="n"/>
      <c r="H381" s="83" t="n"/>
      <c r="S381">
        <f>IF(10&lt;='設定'!$B$6,"表示","隠す")</f>
        <v/>
      </c>
    </row>
    <row r="382" hidden="1" ht="21" customHeight="1">
      <c r="A382" s="82" t="n"/>
      <c r="B382" s="46">
        <f>'設定'!$I$21</f>
        <v/>
      </c>
      <c r="C382" s="83" t="n"/>
      <c r="D382" s="83" t="n"/>
      <c r="E382" s="83" t="n"/>
      <c r="F382" s="83" t="n"/>
      <c r="G382" s="83" t="n"/>
      <c r="H382" s="83" t="n"/>
      <c r="S382">
        <f>IF(11&lt;='設定'!$B$6,"表示","隠す")</f>
        <v/>
      </c>
    </row>
    <row r="383" hidden="1" ht="21" customHeight="1">
      <c r="A383" s="82" t="n"/>
      <c r="B383" s="46">
        <f>'設定'!$I$22</f>
        <v/>
      </c>
      <c r="C383" s="83" t="n"/>
      <c r="D383" s="83" t="n"/>
      <c r="E383" s="83" t="n"/>
      <c r="F383" s="83" t="n"/>
      <c r="G383" s="83" t="n"/>
      <c r="H383" s="83" t="n"/>
      <c r="S383">
        <f>IF(12&lt;='設定'!$B$6,"表示","隠す")</f>
        <v/>
      </c>
    </row>
    <row r="384" hidden="1" ht="21" customHeight="1">
      <c r="A384" s="82" t="n"/>
      <c r="B384" s="46">
        <f>'設定'!$I$23</f>
        <v/>
      </c>
      <c r="C384" s="83" t="n"/>
      <c r="D384" s="83" t="n"/>
      <c r="E384" s="83" t="n"/>
      <c r="F384" s="83" t="n"/>
      <c r="G384" s="83" t="n"/>
      <c r="H384" s="83" t="n"/>
      <c r="S384">
        <f>IF(13&lt;='設定'!$B$6,"表示","隠す")</f>
        <v/>
      </c>
    </row>
    <row r="385" hidden="1" ht="21" customHeight="1">
      <c r="A385" s="82" t="n"/>
      <c r="B385" s="46">
        <f>'設定'!$I$24</f>
        <v/>
      </c>
      <c r="C385" s="83" t="n"/>
      <c r="D385" s="83" t="n"/>
      <c r="E385" s="83" t="n"/>
      <c r="F385" s="83" t="n"/>
      <c r="G385" s="83" t="n"/>
      <c r="H385" s="83" t="n"/>
      <c r="S385">
        <f>IF(14&lt;='設定'!$B$6,"表示","隠す")</f>
        <v/>
      </c>
    </row>
    <row r="386" hidden="1" ht="21" customHeight="1">
      <c r="A386" s="82" t="n"/>
      <c r="B386" s="46">
        <f>'設定'!$I$25</f>
        <v/>
      </c>
      <c r="C386" s="83" t="n"/>
      <c r="D386" s="83" t="n"/>
      <c r="E386" s="83" t="n"/>
      <c r="F386" s="83" t="n"/>
      <c r="G386" s="83" t="n"/>
      <c r="H386" s="83" t="n"/>
      <c r="S386">
        <f>IF(15&lt;='設定'!$B$6,"表示","隠す")</f>
        <v/>
      </c>
    </row>
    <row r="387" hidden="1" ht="21" customHeight="1">
      <c r="A387" s="82" t="n"/>
      <c r="B387" s="46">
        <f>'設定'!$I$26</f>
        <v/>
      </c>
      <c r="C387" s="83" t="n"/>
      <c r="D387" s="83" t="n"/>
      <c r="E387" s="83" t="n"/>
      <c r="F387" s="83" t="n"/>
      <c r="G387" s="83" t="n"/>
      <c r="H387" s="83" t="n"/>
      <c r="S387">
        <f>IF(16&lt;='設定'!$B$6,"表示","隠す")</f>
        <v/>
      </c>
    </row>
    <row r="388" hidden="1" ht="21" customHeight="1">
      <c r="A388" s="82" t="n"/>
      <c r="B388" s="46">
        <f>'設定'!$I$27</f>
        <v/>
      </c>
      <c r="C388" s="83" t="n"/>
      <c r="D388" s="83" t="n"/>
      <c r="E388" s="83" t="n"/>
      <c r="F388" s="83" t="n"/>
      <c r="G388" s="83" t="n"/>
      <c r="H388" s="83" t="n"/>
      <c r="S388">
        <f>IF(17&lt;='設定'!$B$6,"表示","隠す")</f>
        <v/>
      </c>
    </row>
    <row r="389" hidden="1" ht="21" customHeight="1">
      <c r="A389" s="82" t="n"/>
      <c r="B389" s="46">
        <f>'設定'!$I$28</f>
        <v/>
      </c>
      <c r="C389" s="83" t="n"/>
      <c r="D389" s="83" t="n"/>
      <c r="E389" s="83" t="n"/>
      <c r="F389" s="83" t="n"/>
      <c r="G389" s="83" t="n"/>
      <c r="H389" s="83" t="n"/>
      <c r="S389">
        <f>IF(18&lt;='設定'!$B$6,"表示","隠す")</f>
        <v/>
      </c>
    </row>
    <row r="390" hidden="1" ht="21" customHeight="1">
      <c r="A390" s="82" t="n"/>
      <c r="B390" s="46">
        <f>'設定'!$I$29</f>
        <v/>
      </c>
      <c r="C390" s="83" t="n"/>
      <c r="D390" s="83" t="n"/>
      <c r="E390" s="83" t="n"/>
      <c r="F390" s="83" t="n"/>
      <c r="G390" s="83" t="n"/>
      <c r="H390" s="83" t="n"/>
      <c r="S390">
        <f>IF(19&lt;='設定'!$B$6,"表示","隠す")</f>
        <v/>
      </c>
    </row>
    <row r="391" hidden="1" ht="21" customHeight="1">
      <c r="A391" s="82" t="n"/>
      <c r="B391" s="46">
        <f>'設定'!$I$30</f>
        <v/>
      </c>
      <c r="C391" s="83" t="n"/>
      <c r="D391" s="83" t="n"/>
      <c r="E391" s="83" t="n"/>
      <c r="F391" s="83" t="n"/>
      <c r="G391" s="83" t="n"/>
      <c r="H391" s="83" t="n"/>
      <c r="S391">
        <f>IF(20&lt;='設定'!$B$6,"表示","隠す")</f>
        <v/>
      </c>
    </row>
    <row r="392" hidden="1" ht="21" customHeight="1">
      <c r="A392" s="82" t="n"/>
      <c r="B392" s="46">
        <f>'設定'!$I$31</f>
        <v/>
      </c>
      <c r="C392" s="83" t="n"/>
      <c r="D392" s="83" t="n"/>
      <c r="E392" s="83" t="n"/>
      <c r="F392" s="83" t="n"/>
      <c r="G392" s="83" t="n"/>
      <c r="H392" s="83" t="n"/>
      <c r="S392">
        <f>IF(21&lt;='設定'!$B$6,"表示","隠す")</f>
        <v/>
      </c>
    </row>
    <row r="393" hidden="1" ht="21" customHeight="1">
      <c r="A393" s="82" t="n"/>
      <c r="B393" s="46">
        <f>'設定'!$I$32</f>
        <v/>
      </c>
      <c r="C393" s="83" t="n"/>
      <c r="D393" s="83" t="n"/>
      <c r="E393" s="83" t="n"/>
      <c r="F393" s="83" t="n"/>
      <c r="G393" s="83" t="n"/>
      <c r="H393" s="83" t="n"/>
      <c r="S393">
        <f>IF(22&lt;='設定'!$B$6,"表示","隠す")</f>
        <v/>
      </c>
    </row>
    <row r="394" hidden="1" ht="21" customHeight="1">
      <c r="A394" s="82" t="n"/>
      <c r="B394" s="46">
        <f>'設定'!$I$33</f>
        <v/>
      </c>
      <c r="C394" s="83" t="n"/>
      <c r="D394" s="83" t="n"/>
      <c r="E394" s="83" t="n"/>
      <c r="F394" s="83" t="n"/>
      <c r="G394" s="83" t="n"/>
      <c r="H394" s="83" t="n"/>
      <c r="S394">
        <f>IF(23&lt;='設定'!$B$6,"表示","隠す")</f>
        <v/>
      </c>
    </row>
    <row r="395" hidden="1" ht="21" customHeight="1">
      <c r="A395" s="82" t="n"/>
      <c r="B395" s="46">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2" t="n"/>
      <c r="G397" s="33" t="n"/>
      <c r="H397" s="78" t="inlineStr">
        <is>
          <t>状況：</t>
        </is>
      </c>
      <c r="I397" s="79">
        <f>'名簿'!Q19</f>
        <v/>
      </c>
      <c r="J397" s="78" t="inlineStr">
        <is>
          <t>×の数：</t>
        </is>
      </c>
      <c r="K397" s="80">
        <f>'名簿'!R19</f>
        <v/>
      </c>
      <c r="L397" s="81">
        <f>HYPERLINK("#'×入力'!B425","次の人へ ▼")</f>
        <v/>
      </c>
      <c r="S397" t="inlineStr">
        <is>
          <t>表示</t>
        </is>
      </c>
    </row>
    <row r="398" ht="22" customHeight="1">
      <c r="A398" s="34" t="inlineStr">
        <is>
          <t>この日全部 ▶</t>
        </is>
      </c>
      <c r="C398" s="82" t="n"/>
      <c r="D398" s="82" t="n"/>
      <c r="E398" s="82" t="n"/>
      <c r="F398" s="82" t="n"/>
      <c r="G398" s="82" t="n"/>
      <c r="H398" s="82" t="n"/>
      <c r="S398" t="inlineStr">
        <is>
          <t>表示</t>
        </is>
      </c>
    </row>
    <row r="399" ht="28" customHeight="1">
      <c r="A399" s="37" t="inlineStr">
        <is>
          <t>この時間
全部 ▼</t>
        </is>
      </c>
      <c r="B399" s="38" t="inlineStr"/>
      <c r="C399" s="39">
        <f>'設定'!$E$11</f>
        <v/>
      </c>
      <c r="D399" s="39">
        <f>'設定'!$E$12</f>
        <v/>
      </c>
      <c r="E399" s="39">
        <f>'設定'!$E$13</f>
        <v/>
      </c>
      <c r="F399" s="39">
        <f>'設定'!$E$14</f>
        <v/>
      </c>
      <c r="G399" s="39">
        <f>'設定'!$E$15</f>
        <v/>
      </c>
      <c r="H399" s="39">
        <f>'設定'!$E$16</f>
        <v/>
      </c>
      <c r="S399" t="inlineStr">
        <is>
          <t>表示</t>
        </is>
      </c>
    </row>
    <row r="400" ht="21" customHeight="1">
      <c r="A400" s="82" t="n"/>
      <c r="B400" s="46">
        <f>'設定'!$I$11</f>
        <v/>
      </c>
      <c r="C400" s="83" t="n"/>
      <c r="D400" s="83" t="n"/>
      <c r="E400" s="83" t="n"/>
      <c r="F400" s="83" t="n"/>
      <c r="G400" s="83" t="n"/>
      <c r="H400" s="83" t="n"/>
      <c r="S400">
        <f>IF(1&lt;='設定'!$B$6,"表示","隠す")</f>
        <v/>
      </c>
    </row>
    <row r="401" ht="21" customHeight="1">
      <c r="A401" s="82" t="n"/>
      <c r="B401" s="46">
        <f>'設定'!$I$12</f>
        <v/>
      </c>
      <c r="C401" s="83" t="n"/>
      <c r="D401" s="83" t="n"/>
      <c r="E401" s="83" t="n"/>
      <c r="F401" s="83" t="n"/>
      <c r="G401" s="83" t="n"/>
      <c r="H401" s="83" t="n"/>
      <c r="S401">
        <f>IF(2&lt;='設定'!$B$6,"表示","隠す")</f>
        <v/>
      </c>
    </row>
    <row r="402" ht="21" customHeight="1">
      <c r="A402" s="82" t="n"/>
      <c r="B402" s="46">
        <f>'設定'!$I$13</f>
        <v/>
      </c>
      <c r="C402" s="83" t="n"/>
      <c r="D402" s="83" t="n"/>
      <c r="E402" s="83" t="n"/>
      <c r="F402" s="83" t="n"/>
      <c r="G402" s="83" t="n"/>
      <c r="H402" s="83" t="n"/>
      <c r="S402">
        <f>IF(3&lt;='設定'!$B$6,"表示","隠す")</f>
        <v/>
      </c>
    </row>
    <row r="403" ht="21" customHeight="1">
      <c r="A403" s="82" t="n"/>
      <c r="B403" s="46">
        <f>'設定'!$I$14</f>
        <v/>
      </c>
      <c r="C403" s="83" t="n"/>
      <c r="D403" s="83" t="n"/>
      <c r="E403" s="83" t="n"/>
      <c r="F403" s="83" t="n"/>
      <c r="G403" s="83" t="n"/>
      <c r="H403" s="83" t="n"/>
      <c r="S403">
        <f>IF(4&lt;='設定'!$B$6,"表示","隠す")</f>
        <v/>
      </c>
    </row>
    <row r="404" ht="21" customHeight="1">
      <c r="A404" s="82" t="n"/>
      <c r="B404" s="46">
        <f>'設定'!$I$15</f>
        <v/>
      </c>
      <c r="C404" s="83" t="n"/>
      <c r="D404" s="83" t="n"/>
      <c r="E404" s="83" t="n"/>
      <c r="F404" s="83" t="n"/>
      <c r="G404" s="83" t="n"/>
      <c r="H404" s="83" t="n"/>
      <c r="S404">
        <f>IF(5&lt;='設定'!$B$6,"表示","隠す")</f>
        <v/>
      </c>
    </row>
    <row r="405" ht="21" customHeight="1">
      <c r="A405" s="82" t="n"/>
      <c r="B405" s="46">
        <f>'設定'!$I$16</f>
        <v/>
      </c>
      <c r="C405" s="83" t="n"/>
      <c r="D405" s="83" t="n"/>
      <c r="E405" s="83" t="n"/>
      <c r="F405" s="83" t="n"/>
      <c r="G405" s="83" t="n"/>
      <c r="H405" s="83" t="n"/>
      <c r="S405">
        <f>IF(6&lt;='設定'!$B$6,"表示","隠す")</f>
        <v/>
      </c>
    </row>
    <row r="406" ht="21" customHeight="1">
      <c r="A406" s="82" t="n"/>
      <c r="B406" s="46">
        <f>'設定'!$I$17</f>
        <v/>
      </c>
      <c r="C406" s="83" t="n"/>
      <c r="D406" s="83" t="n"/>
      <c r="E406" s="83" t="n"/>
      <c r="F406" s="83" t="n"/>
      <c r="G406" s="83" t="n"/>
      <c r="H406" s="83" t="n"/>
      <c r="S406">
        <f>IF(7&lt;='設定'!$B$6,"表示","隠す")</f>
        <v/>
      </c>
    </row>
    <row r="407" ht="21" customHeight="1">
      <c r="A407" s="82" t="n"/>
      <c r="B407" s="46">
        <f>'設定'!$I$18</f>
        <v/>
      </c>
      <c r="C407" s="83" t="n"/>
      <c r="D407" s="83" t="n"/>
      <c r="E407" s="83" t="n"/>
      <c r="F407" s="83" t="n"/>
      <c r="G407" s="83" t="n"/>
      <c r="H407" s="83" t="n"/>
      <c r="S407">
        <f>IF(8&lt;='設定'!$B$6,"表示","隠す")</f>
        <v/>
      </c>
    </row>
    <row r="408" ht="21" customHeight="1">
      <c r="A408" s="82" t="n"/>
      <c r="B408" s="46">
        <f>'設定'!$I$19</f>
        <v/>
      </c>
      <c r="C408" s="83" t="n"/>
      <c r="D408" s="83" t="n"/>
      <c r="E408" s="83" t="n"/>
      <c r="F408" s="83" t="n"/>
      <c r="G408" s="83" t="n"/>
      <c r="H408" s="83" t="n"/>
      <c r="S408">
        <f>IF(9&lt;='設定'!$B$6,"表示","隠す")</f>
        <v/>
      </c>
    </row>
    <row r="409" hidden="1" ht="21" customHeight="1">
      <c r="A409" s="82" t="n"/>
      <c r="B409" s="46">
        <f>'設定'!$I$20</f>
        <v/>
      </c>
      <c r="C409" s="83" t="n"/>
      <c r="D409" s="83" t="n"/>
      <c r="E409" s="83" t="n"/>
      <c r="F409" s="83" t="n"/>
      <c r="G409" s="83" t="n"/>
      <c r="H409" s="83" t="n"/>
      <c r="S409">
        <f>IF(10&lt;='設定'!$B$6,"表示","隠す")</f>
        <v/>
      </c>
    </row>
    <row r="410" hidden="1" ht="21" customHeight="1">
      <c r="A410" s="82" t="n"/>
      <c r="B410" s="46">
        <f>'設定'!$I$21</f>
        <v/>
      </c>
      <c r="C410" s="83" t="n"/>
      <c r="D410" s="83" t="n"/>
      <c r="E410" s="83" t="n"/>
      <c r="F410" s="83" t="n"/>
      <c r="G410" s="83" t="n"/>
      <c r="H410" s="83" t="n"/>
      <c r="S410">
        <f>IF(11&lt;='設定'!$B$6,"表示","隠す")</f>
        <v/>
      </c>
    </row>
    <row r="411" hidden="1" ht="21" customHeight="1">
      <c r="A411" s="82" t="n"/>
      <c r="B411" s="46">
        <f>'設定'!$I$22</f>
        <v/>
      </c>
      <c r="C411" s="83" t="n"/>
      <c r="D411" s="83" t="n"/>
      <c r="E411" s="83" t="n"/>
      <c r="F411" s="83" t="n"/>
      <c r="G411" s="83" t="n"/>
      <c r="H411" s="83" t="n"/>
      <c r="S411">
        <f>IF(12&lt;='設定'!$B$6,"表示","隠す")</f>
        <v/>
      </c>
    </row>
    <row r="412" hidden="1" ht="21" customHeight="1">
      <c r="A412" s="82" t="n"/>
      <c r="B412" s="46">
        <f>'設定'!$I$23</f>
        <v/>
      </c>
      <c r="C412" s="83" t="n"/>
      <c r="D412" s="83" t="n"/>
      <c r="E412" s="83" t="n"/>
      <c r="F412" s="83" t="n"/>
      <c r="G412" s="83" t="n"/>
      <c r="H412" s="83" t="n"/>
      <c r="S412">
        <f>IF(13&lt;='設定'!$B$6,"表示","隠す")</f>
        <v/>
      </c>
    </row>
    <row r="413" hidden="1" ht="21" customHeight="1">
      <c r="A413" s="82" t="n"/>
      <c r="B413" s="46">
        <f>'設定'!$I$24</f>
        <v/>
      </c>
      <c r="C413" s="83" t="n"/>
      <c r="D413" s="83" t="n"/>
      <c r="E413" s="83" t="n"/>
      <c r="F413" s="83" t="n"/>
      <c r="G413" s="83" t="n"/>
      <c r="H413" s="83" t="n"/>
      <c r="S413">
        <f>IF(14&lt;='設定'!$B$6,"表示","隠す")</f>
        <v/>
      </c>
    </row>
    <row r="414" hidden="1" ht="21" customHeight="1">
      <c r="A414" s="82" t="n"/>
      <c r="B414" s="46">
        <f>'設定'!$I$25</f>
        <v/>
      </c>
      <c r="C414" s="83" t="n"/>
      <c r="D414" s="83" t="n"/>
      <c r="E414" s="83" t="n"/>
      <c r="F414" s="83" t="n"/>
      <c r="G414" s="83" t="n"/>
      <c r="H414" s="83" t="n"/>
      <c r="S414">
        <f>IF(15&lt;='設定'!$B$6,"表示","隠す")</f>
        <v/>
      </c>
    </row>
    <row r="415" hidden="1" ht="21" customHeight="1">
      <c r="A415" s="82" t="n"/>
      <c r="B415" s="46">
        <f>'設定'!$I$26</f>
        <v/>
      </c>
      <c r="C415" s="83" t="n"/>
      <c r="D415" s="83" t="n"/>
      <c r="E415" s="83" t="n"/>
      <c r="F415" s="83" t="n"/>
      <c r="G415" s="83" t="n"/>
      <c r="H415" s="83" t="n"/>
      <c r="S415">
        <f>IF(16&lt;='設定'!$B$6,"表示","隠す")</f>
        <v/>
      </c>
    </row>
    <row r="416" hidden="1" ht="21" customHeight="1">
      <c r="A416" s="82" t="n"/>
      <c r="B416" s="46">
        <f>'設定'!$I$27</f>
        <v/>
      </c>
      <c r="C416" s="83" t="n"/>
      <c r="D416" s="83" t="n"/>
      <c r="E416" s="83" t="n"/>
      <c r="F416" s="83" t="n"/>
      <c r="G416" s="83" t="n"/>
      <c r="H416" s="83" t="n"/>
      <c r="S416">
        <f>IF(17&lt;='設定'!$B$6,"表示","隠す")</f>
        <v/>
      </c>
    </row>
    <row r="417" hidden="1" ht="21" customHeight="1">
      <c r="A417" s="82" t="n"/>
      <c r="B417" s="46">
        <f>'設定'!$I$28</f>
        <v/>
      </c>
      <c r="C417" s="83" t="n"/>
      <c r="D417" s="83" t="n"/>
      <c r="E417" s="83" t="n"/>
      <c r="F417" s="83" t="n"/>
      <c r="G417" s="83" t="n"/>
      <c r="H417" s="83" t="n"/>
      <c r="S417">
        <f>IF(18&lt;='設定'!$B$6,"表示","隠す")</f>
        <v/>
      </c>
    </row>
    <row r="418" hidden="1" ht="21" customHeight="1">
      <c r="A418" s="82" t="n"/>
      <c r="B418" s="46">
        <f>'設定'!$I$29</f>
        <v/>
      </c>
      <c r="C418" s="83" t="n"/>
      <c r="D418" s="83" t="n"/>
      <c r="E418" s="83" t="n"/>
      <c r="F418" s="83" t="n"/>
      <c r="G418" s="83" t="n"/>
      <c r="H418" s="83" t="n"/>
      <c r="S418">
        <f>IF(19&lt;='設定'!$B$6,"表示","隠す")</f>
        <v/>
      </c>
    </row>
    <row r="419" hidden="1" ht="21" customHeight="1">
      <c r="A419" s="82" t="n"/>
      <c r="B419" s="46">
        <f>'設定'!$I$30</f>
        <v/>
      </c>
      <c r="C419" s="83" t="n"/>
      <c r="D419" s="83" t="n"/>
      <c r="E419" s="83" t="n"/>
      <c r="F419" s="83" t="n"/>
      <c r="G419" s="83" t="n"/>
      <c r="H419" s="83" t="n"/>
      <c r="S419">
        <f>IF(20&lt;='設定'!$B$6,"表示","隠す")</f>
        <v/>
      </c>
    </row>
    <row r="420" hidden="1" ht="21" customHeight="1">
      <c r="A420" s="82" t="n"/>
      <c r="B420" s="46">
        <f>'設定'!$I$31</f>
        <v/>
      </c>
      <c r="C420" s="83" t="n"/>
      <c r="D420" s="83" t="n"/>
      <c r="E420" s="83" t="n"/>
      <c r="F420" s="83" t="n"/>
      <c r="G420" s="83" t="n"/>
      <c r="H420" s="83" t="n"/>
      <c r="S420">
        <f>IF(21&lt;='設定'!$B$6,"表示","隠す")</f>
        <v/>
      </c>
    </row>
    <row r="421" hidden="1" ht="21" customHeight="1">
      <c r="A421" s="82" t="n"/>
      <c r="B421" s="46">
        <f>'設定'!$I$32</f>
        <v/>
      </c>
      <c r="C421" s="83" t="n"/>
      <c r="D421" s="83" t="n"/>
      <c r="E421" s="83" t="n"/>
      <c r="F421" s="83" t="n"/>
      <c r="G421" s="83" t="n"/>
      <c r="H421" s="83" t="n"/>
      <c r="S421">
        <f>IF(22&lt;='設定'!$B$6,"表示","隠す")</f>
        <v/>
      </c>
    </row>
    <row r="422" hidden="1" ht="21" customHeight="1">
      <c r="A422" s="82" t="n"/>
      <c r="B422" s="46">
        <f>'設定'!$I$33</f>
        <v/>
      </c>
      <c r="C422" s="83" t="n"/>
      <c r="D422" s="83" t="n"/>
      <c r="E422" s="83" t="n"/>
      <c r="F422" s="83" t="n"/>
      <c r="G422" s="83" t="n"/>
      <c r="H422" s="83" t="n"/>
      <c r="S422">
        <f>IF(23&lt;='設定'!$B$6,"表示","隠す")</f>
        <v/>
      </c>
    </row>
    <row r="423" hidden="1" ht="21" customHeight="1">
      <c r="A423" s="82" t="n"/>
      <c r="B423" s="46">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2" t="n"/>
      <c r="G425" s="33" t="n"/>
      <c r="H425" s="78" t="inlineStr">
        <is>
          <t>状況：</t>
        </is>
      </c>
      <c r="I425" s="79">
        <f>'名簿'!Q20</f>
        <v/>
      </c>
      <c r="J425" s="78" t="inlineStr">
        <is>
          <t>×の数：</t>
        </is>
      </c>
      <c r="K425" s="80">
        <f>'名簿'!R20</f>
        <v/>
      </c>
      <c r="L425" s="81">
        <f>HYPERLINK("#'×入力'!B453","次の人へ ▼")</f>
        <v/>
      </c>
      <c r="S425" t="inlineStr">
        <is>
          <t>表示</t>
        </is>
      </c>
    </row>
    <row r="426" ht="22" customHeight="1">
      <c r="A426" s="34" t="inlineStr">
        <is>
          <t>この日全部 ▶</t>
        </is>
      </c>
      <c r="C426" s="82" t="n"/>
      <c r="D426" s="82" t="n"/>
      <c r="E426" s="82" t="n"/>
      <c r="F426" s="82" t="n"/>
      <c r="G426" s="82" t="n"/>
      <c r="H426" s="82" t="n"/>
      <c r="S426" t="inlineStr">
        <is>
          <t>表示</t>
        </is>
      </c>
    </row>
    <row r="427" ht="28" customHeight="1">
      <c r="A427" s="37" t="inlineStr">
        <is>
          <t>この時間
全部 ▼</t>
        </is>
      </c>
      <c r="B427" s="38" t="inlineStr"/>
      <c r="C427" s="39">
        <f>'設定'!$E$11</f>
        <v/>
      </c>
      <c r="D427" s="39">
        <f>'設定'!$E$12</f>
        <v/>
      </c>
      <c r="E427" s="39">
        <f>'設定'!$E$13</f>
        <v/>
      </c>
      <c r="F427" s="39">
        <f>'設定'!$E$14</f>
        <v/>
      </c>
      <c r="G427" s="39">
        <f>'設定'!$E$15</f>
        <v/>
      </c>
      <c r="H427" s="39">
        <f>'設定'!$E$16</f>
        <v/>
      </c>
      <c r="S427" t="inlineStr">
        <is>
          <t>表示</t>
        </is>
      </c>
    </row>
    <row r="428" ht="21" customHeight="1">
      <c r="A428" s="82" t="n"/>
      <c r="B428" s="46">
        <f>'設定'!$I$11</f>
        <v/>
      </c>
      <c r="C428" s="83" t="n"/>
      <c r="D428" s="83" t="n"/>
      <c r="E428" s="83" t="n"/>
      <c r="F428" s="83" t="n"/>
      <c r="G428" s="83" t="n"/>
      <c r="H428" s="83" t="n"/>
      <c r="S428">
        <f>IF(1&lt;='設定'!$B$6,"表示","隠す")</f>
        <v/>
      </c>
    </row>
    <row r="429" ht="21" customHeight="1">
      <c r="A429" s="82" t="n"/>
      <c r="B429" s="46">
        <f>'設定'!$I$12</f>
        <v/>
      </c>
      <c r="C429" s="83" t="n"/>
      <c r="D429" s="83" t="n"/>
      <c r="E429" s="83" t="n"/>
      <c r="F429" s="83" t="n"/>
      <c r="G429" s="83" t="n"/>
      <c r="H429" s="83" t="n"/>
      <c r="S429">
        <f>IF(2&lt;='設定'!$B$6,"表示","隠す")</f>
        <v/>
      </c>
    </row>
    <row r="430" ht="21" customHeight="1">
      <c r="A430" s="82" t="n"/>
      <c r="B430" s="46">
        <f>'設定'!$I$13</f>
        <v/>
      </c>
      <c r="C430" s="83" t="n"/>
      <c r="D430" s="83" t="n"/>
      <c r="E430" s="83" t="n"/>
      <c r="F430" s="83" t="n"/>
      <c r="G430" s="83" t="n"/>
      <c r="H430" s="83" t="n"/>
      <c r="S430">
        <f>IF(3&lt;='設定'!$B$6,"表示","隠す")</f>
        <v/>
      </c>
    </row>
    <row r="431" ht="21" customHeight="1">
      <c r="A431" s="82" t="n"/>
      <c r="B431" s="46">
        <f>'設定'!$I$14</f>
        <v/>
      </c>
      <c r="C431" s="83" t="n"/>
      <c r="D431" s="83" t="n"/>
      <c r="E431" s="83" t="n"/>
      <c r="F431" s="83" t="n"/>
      <c r="G431" s="83" t="n"/>
      <c r="H431" s="83" t="n"/>
      <c r="S431">
        <f>IF(4&lt;='設定'!$B$6,"表示","隠す")</f>
        <v/>
      </c>
    </row>
    <row r="432" ht="21" customHeight="1">
      <c r="A432" s="82" t="n"/>
      <c r="B432" s="46">
        <f>'設定'!$I$15</f>
        <v/>
      </c>
      <c r="C432" s="83" t="n"/>
      <c r="D432" s="83" t="n"/>
      <c r="E432" s="83" t="n"/>
      <c r="F432" s="83" t="n"/>
      <c r="G432" s="83" t="n"/>
      <c r="H432" s="83" t="n"/>
      <c r="S432">
        <f>IF(5&lt;='設定'!$B$6,"表示","隠す")</f>
        <v/>
      </c>
    </row>
    <row r="433" ht="21" customHeight="1">
      <c r="A433" s="82" t="n"/>
      <c r="B433" s="46">
        <f>'設定'!$I$16</f>
        <v/>
      </c>
      <c r="C433" s="83" t="n"/>
      <c r="D433" s="83" t="n"/>
      <c r="E433" s="83" t="n"/>
      <c r="F433" s="83" t="n"/>
      <c r="G433" s="83" t="n"/>
      <c r="H433" s="83" t="n"/>
      <c r="S433">
        <f>IF(6&lt;='設定'!$B$6,"表示","隠す")</f>
        <v/>
      </c>
    </row>
    <row r="434" ht="21" customHeight="1">
      <c r="A434" s="82" t="n"/>
      <c r="B434" s="46">
        <f>'設定'!$I$17</f>
        <v/>
      </c>
      <c r="C434" s="83" t="n"/>
      <c r="D434" s="83" t="n"/>
      <c r="E434" s="83" t="n"/>
      <c r="F434" s="83" t="n"/>
      <c r="G434" s="83" t="n"/>
      <c r="H434" s="83" t="n"/>
      <c r="S434">
        <f>IF(7&lt;='設定'!$B$6,"表示","隠す")</f>
        <v/>
      </c>
    </row>
    <row r="435" ht="21" customHeight="1">
      <c r="A435" s="82" t="n"/>
      <c r="B435" s="46">
        <f>'設定'!$I$18</f>
        <v/>
      </c>
      <c r="C435" s="83" t="n"/>
      <c r="D435" s="83" t="n"/>
      <c r="E435" s="83" t="n"/>
      <c r="F435" s="83" t="n"/>
      <c r="G435" s="83" t="n"/>
      <c r="H435" s="83" t="n"/>
      <c r="S435">
        <f>IF(8&lt;='設定'!$B$6,"表示","隠す")</f>
        <v/>
      </c>
    </row>
    <row r="436" ht="21" customHeight="1">
      <c r="A436" s="82" t="n"/>
      <c r="B436" s="46">
        <f>'設定'!$I$19</f>
        <v/>
      </c>
      <c r="C436" s="83" t="n"/>
      <c r="D436" s="83" t="n"/>
      <c r="E436" s="83" t="n"/>
      <c r="F436" s="83" t="n"/>
      <c r="G436" s="83" t="n"/>
      <c r="H436" s="83" t="n"/>
      <c r="S436">
        <f>IF(9&lt;='設定'!$B$6,"表示","隠す")</f>
        <v/>
      </c>
    </row>
    <row r="437" hidden="1" ht="21" customHeight="1">
      <c r="A437" s="82" t="n"/>
      <c r="B437" s="46">
        <f>'設定'!$I$20</f>
        <v/>
      </c>
      <c r="C437" s="83" t="n"/>
      <c r="D437" s="83" t="n"/>
      <c r="E437" s="83" t="n"/>
      <c r="F437" s="83" t="n"/>
      <c r="G437" s="83" t="n"/>
      <c r="H437" s="83" t="n"/>
      <c r="S437">
        <f>IF(10&lt;='設定'!$B$6,"表示","隠す")</f>
        <v/>
      </c>
    </row>
    <row r="438" hidden="1" ht="21" customHeight="1">
      <c r="A438" s="82" t="n"/>
      <c r="B438" s="46">
        <f>'設定'!$I$21</f>
        <v/>
      </c>
      <c r="C438" s="83" t="n"/>
      <c r="D438" s="83" t="n"/>
      <c r="E438" s="83" t="n"/>
      <c r="F438" s="83" t="n"/>
      <c r="G438" s="83" t="n"/>
      <c r="H438" s="83" t="n"/>
      <c r="S438">
        <f>IF(11&lt;='設定'!$B$6,"表示","隠す")</f>
        <v/>
      </c>
    </row>
    <row r="439" hidden="1" ht="21" customHeight="1">
      <c r="A439" s="82" t="n"/>
      <c r="B439" s="46">
        <f>'設定'!$I$22</f>
        <v/>
      </c>
      <c r="C439" s="83" t="n"/>
      <c r="D439" s="83" t="n"/>
      <c r="E439" s="83" t="n"/>
      <c r="F439" s="83" t="n"/>
      <c r="G439" s="83" t="n"/>
      <c r="H439" s="83" t="n"/>
      <c r="S439">
        <f>IF(12&lt;='設定'!$B$6,"表示","隠す")</f>
        <v/>
      </c>
    </row>
    <row r="440" hidden="1" ht="21" customHeight="1">
      <c r="A440" s="82" t="n"/>
      <c r="B440" s="46">
        <f>'設定'!$I$23</f>
        <v/>
      </c>
      <c r="C440" s="83" t="n"/>
      <c r="D440" s="83" t="n"/>
      <c r="E440" s="83" t="n"/>
      <c r="F440" s="83" t="n"/>
      <c r="G440" s="83" t="n"/>
      <c r="H440" s="83" t="n"/>
      <c r="S440">
        <f>IF(13&lt;='設定'!$B$6,"表示","隠す")</f>
        <v/>
      </c>
    </row>
    <row r="441" hidden="1" ht="21" customHeight="1">
      <c r="A441" s="82" t="n"/>
      <c r="B441" s="46">
        <f>'設定'!$I$24</f>
        <v/>
      </c>
      <c r="C441" s="83" t="n"/>
      <c r="D441" s="83" t="n"/>
      <c r="E441" s="83" t="n"/>
      <c r="F441" s="83" t="n"/>
      <c r="G441" s="83" t="n"/>
      <c r="H441" s="83" t="n"/>
      <c r="S441">
        <f>IF(14&lt;='設定'!$B$6,"表示","隠す")</f>
        <v/>
      </c>
    </row>
    <row r="442" hidden="1" ht="21" customHeight="1">
      <c r="A442" s="82" t="n"/>
      <c r="B442" s="46">
        <f>'設定'!$I$25</f>
        <v/>
      </c>
      <c r="C442" s="83" t="n"/>
      <c r="D442" s="83" t="n"/>
      <c r="E442" s="83" t="n"/>
      <c r="F442" s="83" t="n"/>
      <c r="G442" s="83" t="n"/>
      <c r="H442" s="83" t="n"/>
      <c r="S442">
        <f>IF(15&lt;='設定'!$B$6,"表示","隠す")</f>
        <v/>
      </c>
    </row>
    <row r="443" hidden="1" ht="21" customHeight="1">
      <c r="A443" s="82" t="n"/>
      <c r="B443" s="46">
        <f>'設定'!$I$26</f>
        <v/>
      </c>
      <c r="C443" s="83" t="n"/>
      <c r="D443" s="83" t="n"/>
      <c r="E443" s="83" t="n"/>
      <c r="F443" s="83" t="n"/>
      <c r="G443" s="83" t="n"/>
      <c r="H443" s="83" t="n"/>
      <c r="S443">
        <f>IF(16&lt;='設定'!$B$6,"表示","隠す")</f>
        <v/>
      </c>
    </row>
    <row r="444" hidden="1" ht="21" customHeight="1">
      <c r="A444" s="82" t="n"/>
      <c r="B444" s="46">
        <f>'設定'!$I$27</f>
        <v/>
      </c>
      <c r="C444" s="83" t="n"/>
      <c r="D444" s="83" t="n"/>
      <c r="E444" s="83" t="n"/>
      <c r="F444" s="83" t="n"/>
      <c r="G444" s="83" t="n"/>
      <c r="H444" s="83" t="n"/>
      <c r="S444">
        <f>IF(17&lt;='設定'!$B$6,"表示","隠す")</f>
        <v/>
      </c>
    </row>
    <row r="445" hidden="1" ht="21" customHeight="1">
      <c r="A445" s="82" t="n"/>
      <c r="B445" s="46">
        <f>'設定'!$I$28</f>
        <v/>
      </c>
      <c r="C445" s="83" t="n"/>
      <c r="D445" s="83" t="n"/>
      <c r="E445" s="83" t="n"/>
      <c r="F445" s="83" t="n"/>
      <c r="G445" s="83" t="n"/>
      <c r="H445" s="83" t="n"/>
      <c r="S445">
        <f>IF(18&lt;='設定'!$B$6,"表示","隠す")</f>
        <v/>
      </c>
    </row>
    <row r="446" hidden="1" ht="21" customHeight="1">
      <c r="A446" s="82" t="n"/>
      <c r="B446" s="46">
        <f>'設定'!$I$29</f>
        <v/>
      </c>
      <c r="C446" s="83" t="n"/>
      <c r="D446" s="83" t="n"/>
      <c r="E446" s="83" t="n"/>
      <c r="F446" s="83" t="n"/>
      <c r="G446" s="83" t="n"/>
      <c r="H446" s="83" t="n"/>
      <c r="S446">
        <f>IF(19&lt;='設定'!$B$6,"表示","隠す")</f>
        <v/>
      </c>
    </row>
    <row r="447" hidden="1" ht="21" customHeight="1">
      <c r="A447" s="82" t="n"/>
      <c r="B447" s="46">
        <f>'設定'!$I$30</f>
        <v/>
      </c>
      <c r="C447" s="83" t="n"/>
      <c r="D447" s="83" t="n"/>
      <c r="E447" s="83" t="n"/>
      <c r="F447" s="83" t="n"/>
      <c r="G447" s="83" t="n"/>
      <c r="H447" s="83" t="n"/>
      <c r="S447">
        <f>IF(20&lt;='設定'!$B$6,"表示","隠す")</f>
        <v/>
      </c>
    </row>
    <row r="448" hidden="1" ht="21" customHeight="1">
      <c r="A448" s="82" t="n"/>
      <c r="B448" s="46">
        <f>'設定'!$I$31</f>
        <v/>
      </c>
      <c r="C448" s="83" t="n"/>
      <c r="D448" s="83" t="n"/>
      <c r="E448" s="83" t="n"/>
      <c r="F448" s="83" t="n"/>
      <c r="G448" s="83" t="n"/>
      <c r="H448" s="83" t="n"/>
      <c r="S448">
        <f>IF(21&lt;='設定'!$B$6,"表示","隠す")</f>
        <v/>
      </c>
    </row>
    <row r="449" hidden="1" ht="21" customHeight="1">
      <c r="A449" s="82" t="n"/>
      <c r="B449" s="46">
        <f>'設定'!$I$32</f>
        <v/>
      </c>
      <c r="C449" s="83" t="n"/>
      <c r="D449" s="83" t="n"/>
      <c r="E449" s="83" t="n"/>
      <c r="F449" s="83" t="n"/>
      <c r="G449" s="83" t="n"/>
      <c r="H449" s="83" t="n"/>
      <c r="S449">
        <f>IF(22&lt;='設定'!$B$6,"表示","隠す")</f>
        <v/>
      </c>
    </row>
    <row r="450" hidden="1" ht="21" customHeight="1">
      <c r="A450" s="82" t="n"/>
      <c r="B450" s="46">
        <f>'設定'!$I$33</f>
        <v/>
      </c>
      <c r="C450" s="83" t="n"/>
      <c r="D450" s="83" t="n"/>
      <c r="E450" s="83" t="n"/>
      <c r="F450" s="83" t="n"/>
      <c r="G450" s="83" t="n"/>
      <c r="H450" s="83" t="n"/>
      <c r="S450">
        <f>IF(23&lt;='設定'!$B$6,"表示","隠す")</f>
        <v/>
      </c>
    </row>
    <row r="451" hidden="1" ht="21" customHeight="1">
      <c r="A451" s="82" t="n"/>
      <c r="B451" s="46">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2" t="n"/>
      <c r="G453" s="33" t="n"/>
      <c r="H453" s="78" t="inlineStr">
        <is>
          <t>状況：</t>
        </is>
      </c>
      <c r="I453" s="79">
        <f>'名簿'!Q21</f>
        <v/>
      </c>
      <c r="J453" s="78" t="inlineStr">
        <is>
          <t>×の数：</t>
        </is>
      </c>
      <c r="K453" s="80">
        <f>'名簿'!R21</f>
        <v/>
      </c>
      <c r="L453" s="81">
        <f>HYPERLINK("#'×入力'!B481","次の人へ ▼")</f>
        <v/>
      </c>
      <c r="S453" t="inlineStr">
        <is>
          <t>表示</t>
        </is>
      </c>
    </row>
    <row r="454" ht="22" customHeight="1">
      <c r="A454" s="34" t="inlineStr">
        <is>
          <t>この日全部 ▶</t>
        </is>
      </c>
      <c r="C454" s="82" t="n"/>
      <c r="D454" s="82" t="n"/>
      <c r="E454" s="82" t="n"/>
      <c r="F454" s="82" t="n"/>
      <c r="G454" s="82" t="n"/>
      <c r="H454" s="82" t="n"/>
      <c r="S454" t="inlineStr">
        <is>
          <t>表示</t>
        </is>
      </c>
    </row>
    <row r="455" ht="28" customHeight="1">
      <c r="A455" s="37" t="inlineStr">
        <is>
          <t>この時間
全部 ▼</t>
        </is>
      </c>
      <c r="B455" s="38" t="inlineStr"/>
      <c r="C455" s="39">
        <f>'設定'!$E$11</f>
        <v/>
      </c>
      <c r="D455" s="39">
        <f>'設定'!$E$12</f>
        <v/>
      </c>
      <c r="E455" s="39">
        <f>'設定'!$E$13</f>
        <v/>
      </c>
      <c r="F455" s="39">
        <f>'設定'!$E$14</f>
        <v/>
      </c>
      <c r="G455" s="39">
        <f>'設定'!$E$15</f>
        <v/>
      </c>
      <c r="H455" s="39">
        <f>'設定'!$E$16</f>
        <v/>
      </c>
      <c r="S455" t="inlineStr">
        <is>
          <t>表示</t>
        </is>
      </c>
    </row>
    <row r="456" ht="21" customHeight="1">
      <c r="A456" s="82" t="n"/>
      <c r="B456" s="46">
        <f>'設定'!$I$11</f>
        <v/>
      </c>
      <c r="C456" s="83" t="n"/>
      <c r="D456" s="83" t="n"/>
      <c r="E456" s="83" t="n"/>
      <c r="F456" s="83" t="n"/>
      <c r="G456" s="83" t="n"/>
      <c r="H456" s="83" t="n"/>
      <c r="S456">
        <f>IF(1&lt;='設定'!$B$6,"表示","隠す")</f>
        <v/>
      </c>
    </row>
    <row r="457" ht="21" customHeight="1">
      <c r="A457" s="82" t="n"/>
      <c r="B457" s="46">
        <f>'設定'!$I$12</f>
        <v/>
      </c>
      <c r="C457" s="83" t="n"/>
      <c r="D457" s="83" t="n"/>
      <c r="E457" s="83" t="n"/>
      <c r="F457" s="83" t="n"/>
      <c r="G457" s="83" t="n"/>
      <c r="H457" s="83" t="n"/>
      <c r="S457">
        <f>IF(2&lt;='設定'!$B$6,"表示","隠す")</f>
        <v/>
      </c>
    </row>
    <row r="458" ht="21" customHeight="1">
      <c r="A458" s="82" t="n"/>
      <c r="B458" s="46">
        <f>'設定'!$I$13</f>
        <v/>
      </c>
      <c r="C458" s="83" t="n"/>
      <c r="D458" s="83" t="n"/>
      <c r="E458" s="83" t="n"/>
      <c r="F458" s="83" t="n"/>
      <c r="G458" s="83" t="n"/>
      <c r="H458" s="83" t="n"/>
      <c r="S458">
        <f>IF(3&lt;='設定'!$B$6,"表示","隠す")</f>
        <v/>
      </c>
    </row>
    <row r="459" ht="21" customHeight="1">
      <c r="A459" s="82" t="n"/>
      <c r="B459" s="46">
        <f>'設定'!$I$14</f>
        <v/>
      </c>
      <c r="C459" s="83" t="n"/>
      <c r="D459" s="83" t="n"/>
      <c r="E459" s="83" t="n"/>
      <c r="F459" s="83" t="n"/>
      <c r="G459" s="83" t="n"/>
      <c r="H459" s="83" t="n"/>
      <c r="S459">
        <f>IF(4&lt;='設定'!$B$6,"表示","隠す")</f>
        <v/>
      </c>
    </row>
    <row r="460" ht="21" customHeight="1">
      <c r="A460" s="82" t="n"/>
      <c r="B460" s="46">
        <f>'設定'!$I$15</f>
        <v/>
      </c>
      <c r="C460" s="83" t="n"/>
      <c r="D460" s="83" t="n"/>
      <c r="E460" s="83" t="n"/>
      <c r="F460" s="83" t="n"/>
      <c r="G460" s="83" t="n"/>
      <c r="H460" s="83" t="n"/>
      <c r="S460">
        <f>IF(5&lt;='設定'!$B$6,"表示","隠す")</f>
        <v/>
      </c>
    </row>
    <row r="461" ht="21" customHeight="1">
      <c r="A461" s="82" t="n"/>
      <c r="B461" s="46">
        <f>'設定'!$I$16</f>
        <v/>
      </c>
      <c r="C461" s="83" t="n"/>
      <c r="D461" s="83" t="n"/>
      <c r="E461" s="83" t="n"/>
      <c r="F461" s="83" t="n"/>
      <c r="G461" s="83" t="n"/>
      <c r="H461" s="83" t="n"/>
      <c r="S461">
        <f>IF(6&lt;='設定'!$B$6,"表示","隠す")</f>
        <v/>
      </c>
    </row>
    <row r="462" ht="21" customHeight="1">
      <c r="A462" s="82" t="n"/>
      <c r="B462" s="46">
        <f>'設定'!$I$17</f>
        <v/>
      </c>
      <c r="C462" s="83" t="n"/>
      <c r="D462" s="83" t="n"/>
      <c r="E462" s="83" t="n"/>
      <c r="F462" s="83" t="n"/>
      <c r="G462" s="83" t="n"/>
      <c r="H462" s="83" t="n"/>
      <c r="S462">
        <f>IF(7&lt;='設定'!$B$6,"表示","隠す")</f>
        <v/>
      </c>
    </row>
    <row r="463" ht="21" customHeight="1">
      <c r="A463" s="82" t="n"/>
      <c r="B463" s="46">
        <f>'設定'!$I$18</f>
        <v/>
      </c>
      <c r="C463" s="83" t="n"/>
      <c r="D463" s="83" t="n"/>
      <c r="E463" s="83" t="n"/>
      <c r="F463" s="83" t="n"/>
      <c r="G463" s="83" t="n"/>
      <c r="H463" s="83" t="n"/>
      <c r="S463">
        <f>IF(8&lt;='設定'!$B$6,"表示","隠す")</f>
        <v/>
      </c>
    </row>
    <row r="464" ht="21" customHeight="1">
      <c r="A464" s="82" t="n"/>
      <c r="B464" s="46">
        <f>'設定'!$I$19</f>
        <v/>
      </c>
      <c r="C464" s="83" t="n"/>
      <c r="D464" s="83" t="n"/>
      <c r="E464" s="83" t="n"/>
      <c r="F464" s="83" t="n"/>
      <c r="G464" s="83" t="n"/>
      <c r="H464" s="83" t="n"/>
      <c r="S464">
        <f>IF(9&lt;='設定'!$B$6,"表示","隠す")</f>
        <v/>
      </c>
    </row>
    <row r="465" hidden="1" ht="21" customHeight="1">
      <c r="A465" s="82" t="n"/>
      <c r="B465" s="46">
        <f>'設定'!$I$20</f>
        <v/>
      </c>
      <c r="C465" s="83" t="n"/>
      <c r="D465" s="83" t="n"/>
      <c r="E465" s="83" t="n"/>
      <c r="F465" s="83" t="n"/>
      <c r="G465" s="83" t="n"/>
      <c r="H465" s="83" t="n"/>
      <c r="S465">
        <f>IF(10&lt;='設定'!$B$6,"表示","隠す")</f>
        <v/>
      </c>
    </row>
    <row r="466" hidden="1" ht="21" customHeight="1">
      <c r="A466" s="82" t="n"/>
      <c r="B466" s="46">
        <f>'設定'!$I$21</f>
        <v/>
      </c>
      <c r="C466" s="83" t="n"/>
      <c r="D466" s="83" t="n"/>
      <c r="E466" s="83" t="n"/>
      <c r="F466" s="83" t="n"/>
      <c r="G466" s="83" t="n"/>
      <c r="H466" s="83" t="n"/>
      <c r="S466">
        <f>IF(11&lt;='設定'!$B$6,"表示","隠す")</f>
        <v/>
      </c>
    </row>
    <row r="467" hidden="1" ht="21" customHeight="1">
      <c r="A467" s="82" t="n"/>
      <c r="B467" s="46">
        <f>'設定'!$I$22</f>
        <v/>
      </c>
      <c r="C467" s="83" t="n"/>
      <c r="D467" s="83" t="n"/>
      <c r="E467" s="83" t="n"/>
      <c r="F467" s="83" t="n"/>
      <c r="G467" s="83" t="n"/>
      <c r="H467" s="83" t="n"/>
      <c r="S467">
        <f>IF(12&lt;='設定'!$B$6,"表示","隠す")</f>
        <v/>
      </c>
    </row>
    <row r="468" hidden="1" ht="21" customHeight="1">
      <c r="A468" s="82" t="n"/>
      <c r="B468" s="46">
        <f>'設定'!$I$23</f>
        <v/>
      </c>
      <c r="C468" s="83" t="n"/>
      <c r="D468" s="83" t="n"/>
      <c r="E468" s="83" t="n"/>
      <c r="F468" s="83" t="n"/>
      <c r="G468" s="83" t="n"/>
      <c r="H468" s="83" t="n"/>
      <c r="S468">
        <f>IF(13&lt;='設定'!$B$6,"表示","隠す")</f>
        <v/>
      </c>
    </row>
    <row r="469" hidden="1" ht="21" customHeight="1">
      <c r="A469" s="82" t="n"/>
      <c r="B469" s="46">
        <f>'設定'!$I$24</f>
        <v/>
      </c>
      <c r="C469" s="83" t="n"/>
      <c r="D469" s="83" t="n"/>
      <c r="E469" s="83" t="n"/>
      <c r="F469" s="83" t="n"/>
      <c r="G469" s="83" t="n"/>
      <c r="H469" s="83" t="n"/>
      <c r="S469">
        <f>IF(14&lt;='設定'!$B$6,"表示","隠す")</f>
        <v/>
      </c>
    </row>
    <row r="470" hidden="1" ht="21" customHeight="1">
      <c r="A470" s="82" t="n"/>
      <c r="B470" s="46">
        <f>'設定'!$I$25</f>
        <v/>
      </c>
      <c r="C470" s="83" t="n"/>
      <c r="D470" s="83" t="n"/>
      <c r="E470" s="83" t="n"/>
      <c r="F470" s="83" t="n"/>
      <c r="G470" s="83" t="n"/>
      <c r="H470" s="83" t="n"/>
      <c r="S470">
        <f>IF(15&lt;='設定'!$B$6,"表示","隠す")</f>
        <v/>
      </c>
    </row>
    <row r="471" hidden="1" ht="21" customHeight="1">
      <c r="A471" s="82" t="n"/>
      <c r="B471" s="46">
        <f>'設定'!$I$26</f>
        <v/>
      </c>
      <c r="C471" s="83" t="n"/>
      <c r="D471" s="83" t="n"/>
      <c r="E471" s="83" t="n"/>
      <c r="F471" s="83" t="n"/>
      <c r="G471" s="83" t="n"/>
      <c r="H471" s="83" t="n"/>
      <c r="S471">
        <f>IF(16&lt;='設定'!$B$6,"表示","隠す")</f>
        <v/>
      </c>
    </row>
    <row r="472" hidden="1" ht="21" customHeight="1">
      <c r="A472" s="82" t="n"/>
      <c r="B472" s="46">
        <f>'設定'!$I$27</f>
        <v/>
      </c>
      <c r="C472" s="83" t="n"/>
      <c r="D472" s="83" t="n"/>
      <c r="E472" s="83" t="n"/>
      <c r="F472" s="83" t="n"/>
      <c r="G472" s="83" t="n"/>
      <c r="H472" s="83" t="n"/>
      <c r="S472">
        <f>IF(17&lt;='設定'!$B$6,"表示","隠す")</f>
        <v/>
      </c>
    </row>
    <row r="473" hidden="1" ht="21" customHeight="1">
      <c r="A473" s="82" t="n"/>
      <c r="B473" s="46">
        <f>'設定'!$I$28</f>
        <v/>
      </c>
      <c r="C473" s="83" t="n"/>
      <c r="D473" s="83" t="n"/>
      <c r="E473" s="83" t="n"/>
      <c r="F473" s="83" t="n"/>
      <c r="G473" s="83" t="n"/>
      <c r="H473" s="83" t="n"/>
      <c r="S473">
        <f>IF(18&lt;='設定'!$B$6,"表示","隠す")</f>
        <v/>
      </c>
    </row>
    <row r="474" hidden="1" ht="21" customHeight="1">
      <c r="A474" s="82" t="n"/>
      <c r="B474" s="46">
        <f>'設定'!$I$29</f>
        <v/>
      </c>
      <c r="C474" s="83" t="n"/>
      <c r="D474" s="83" t="n"/>
      <c r="E474" s="83" t="n"/>
      <c r="F474" s="83" t="n"/>
      <c r="G474" s="83" t="n"/>
      <c r="H474" s="83" t="n"/>
      <c r="S474">
        <f>IF(19&lt;='設定'!$B$6,"表示","隠す")</f>
        <v/>
      </c>
    </row>
    <row r="475" hidden="1" ht="21" customHeight="1">
      <c r="A475" s="82" t="n"/>
      <c r="B475" s="46">
        <f>'設定'!$I$30</f>
        <v/>
      </c>
      <c r="C475" s="83" t="n"/>
      <c r="D475" s="83" t="n"/>
      <c r="E475" s="83" t="n"/>
      <c r="F475" s="83" t="n"/>
      <c r="G475" s="83" t="n"/>
      <c r="H475" s="83" t="n"/>
      <c r="S475">
        <f>IF(20&lt;='設定'!$B$6,"表示","隠す")</f>
        <v/>
      </c>
    </row>
    <row r="476" hidden="1" ht="21" customHeight="1">
      <c r="A476" s="82" t="n"/>
      <c r="B476" s="46">
        <f>'設定'!$I$31</f>
        <v/>
      </c>
      <c r="C476" s="83" t="n"/>
      <c r="D476" s="83" t="n"/>
      <c r="E476" s="83" t="n"/>
      <c r="F476" s="83" t="n"/>
      <c r="G476" s="83" t="n"/>
      <c r="H476" s="83" t="n"/>
      <c r="S476">
        <f>IF(21&lt;='設定'!$B$6,"表示","隠す")</f>
        <v/>
      </c>
    </row>
    <row r="477" hidden="1" ht="21" customHeight="1">
      <c r="A477" s="82" t="n"/>
      <c r="B477" s="46">
        <f>'設定'!$I$32</f>
        <v/>
      </c>
      <c r="C477" s="83" t="n"/>
      <c r="D477" s="83" t="n"/>
      <c r="E477" s="83" t="n"/>
      <c r="F477" s="83" t="n"/>
      <c r="G477" s="83" t="n"/>
      <c r="H477" s="83" t="n"/>
      <c r="S477">
        <f>IF(22&lt;='設定'!$B$6,"表示","隠す")</f>
        <v/>
      </c>
    </row>
    <row r="478" hidden="1" ht="21" customHeight="1">
      <c r="A478" s="82" t="n"/>
      <c r="B478" s="46">
        <f>'設定'!$I$33</f>
        <v/>
      </c>
      <c r="C478" s="83" t="n"/>
      <c r="D478" s="83" t="n"/>
      <c r="E478" s="83" t="n"/>
      <c r="F478" s="83" t="n"/>
      <c r="G478" s="83" t="n"/>
      <c r="H478" s="83" t="n"/>
      <c r="S478">
        <f>IF(23&lt;='設定'!$B$6,"表示","隠す")</f>
        <v/>
      </c>
    </row>
    <row r="479" hidden="1" ht="21" customHeight="1">
      <c r="A479" s="82" t="n"/>
      <c r="B479" s="46">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2" t="n"/>
      <c r="G481" s="33" t="n"/>
      <c r="H481" s="78" t="inlineStr">
        <is>
          <t>状況：</t>
        </is>
      </c>
      <c r="I481" s="79">
        <f>'名簿'!Q22</f>
        <v/>
      </c>
      <c r="J481" s="78" t="inlineStr">
        <is>
          <t>×の数：</t>
        </is>
      </c>
      <c r="K481" s="80">
        <f>'名簿'!R22</f>
        <v/>
      </c>
      <c r="L481" s="81">
        <f>HYPERLINK("#'×入力'!B509","次の人へ ▼")</f>
        <v/>
      </c>
      <c r="S481" t="inlineStr">
        <is>
          <t>表示</t>
        </is>
      </c>
    </row>
    <row r="482" ht="22" customHeight="1">
      <c r="A482" s="34" t="inlineStr">
        <is>
          <t>この日全部 ▶</t>
        </is>
      </c>
      <c r="C482" s="82" t="n"/>
      <c r="D482" s="82" t="n"/>
      <c r="E482" s="82" t="n"/>
      <c r="F482" s="82" t="n"/>
      <c r="G482" s="82" t="n"/>
      <c r="H482" s="82" t="n"/>
      <c r="S482" t="inlineStr">
        <is>
          <t>表示</t>
        </is>
      </c>
    </row>
    <row r="483" ht="28" customHeight="1">
      <c r="A483" s="37" t="inlineStr">
        <is>
          <t>この時間
全部 ▼</t>
        </is>
      </c>
      <c r="B483" s="38" t="inlineStr"/>
      <c r="C483" s="39">
        <f>'設定'!$E$11</f>
        <v/>
      </c>
      <c r="D483" s="39">
        <f>'設定'!$E$12</f>
        <v/>
      </c>
      <c r="E483" s="39">
        <f>'設定'!$E$13</f>
        <v/>
      </c>
      <c r="F483" s="39">
        <f>'設定'!$E$14</f>
        <v/>
      </c>
      <c r="G483" s="39">
        <f>'設定'!$E$15</f>
        <v/>
      </c>
      <c r="H483" s="39">
        <f>'設定'!$E$16</f>
        <v/>
      </c>
      <c r="S483" t="inlineStr">
        <is>
          <t>表示</t>
        </is>
      </c>
    </row>
    <row r="484" ht="21" customHeight="1">
      <c r="A484" s="82" t="n"/>
      <c r="B484" s="46">
        <f>'設定'!$I$11</f>
        <v/>
      </c>
      <c r="C484" s="83" t="n"/>
      <c r="D484" s="83" t="n"/>
      <c r="E484" s="83" t="n"/>
      <c r="F484" s="83" t="n"/>
      <c r="G484" s="83" t="n"/>
      <c r="H484" s="83" t="n"/>
      <c r="S484">
        <f>IF(1&lt;='設定'!$B$6,"表示","隠す")</f>
        <v/>
      </c>
    </row>
    <row r="485" ht="21" customHeight="1">
      <c r="A485" s="82" t="n"/>
      <c r="B485" s="46">
        <f>'設定'!$I$12</f>
        <v/>
      </c>
      <c r="C485" s="83" t="n"/>
      <c r="D485" s="83" t="n"/>
      <c r="E485" s="83" t="n"/>
      <c r="F485" s="83" t="n"/>
      <c r="G485" s="83" t="n"/>
      <c r="H485" s="83" t="n"/>
      <c r="S485">
        <f>IF(2&lt;='設定'!$B$6,"表示","隠す")</f>
        <v/>
      </c>
    </row>
    <row r="486" ht="21" customHeight="1">
      <c r="A486" s="82" t="n"/>
      <c r="B486" s="46">
        <f>'設定'!$I$13</f>
        <v/>
      </c>
      <c r="C486" s="83" t="n"/>
      <c r="D486" s="83" t="n"/>
      <c r="E486" s="83" t="n"/>
      <c r="F486" s="83" t="n"/>
      <c r="G486" s="83" t="n"/>
      <c r="H486" s="83" t="n"/>
      <c r="S486">
        <f>IF(3&lt;='設定'!$B$6,"表示","隠す")</f>
        <v/>
      </c>
    </row>
    <row r="487" ht="21" customHeight="1">
      <c r="A487" s="82" t="n"/>
      <c r="B487" s="46">
        <f>'設定'!$I$14</f>
        <v/>
      </c>
      <c r="C487" s="83" t="n"/>
      <c r="D487" s="83" t="n"/>
      <c r="E487" s="83" t="n"/>
      <c r="F487" s="83" t="n"/>
      <c r="G487" s="83" t="n"/>
      <c r="H487" s="83" t="n"/>
      <c r="S487">
        <f>IF(4&lt;='設定'!$B$6,"表示","隠す")</f>
        <v/>
      </c>
    </row>
    <row r="488" ht="21" customHeight="1">
      <c r="A488" s="82" t="n"/>
      <c r="B488" s="46">
        <f>'設定'!$I$15</f>
        <v/>
      </c>
      <c r="C488" s="83" t="n"/>
      <c r="D488" s="83" t="n"/>
      <c r="E488" s="83" t="n"/>
      <c r="F488" s="83" t="n"/>
      <c r="G488" s="83" t="n"/>
      <c r="H488" s="83" t="n"/>
      <c r="S488">
        <f>IF(5&lt;='設定'!$B$6,"表示","隠す")</f>
        <v/>
      </c>
    </row>
    <row r="489" ht="21" customHeight="1">
      <c r="A489" s="82" t="n"/>
      <c r="B489" s="46">
        <f>'設定'!$I$16</f>
        <v/>
      </c>
      <c r="C489" s="83" t="n"/>
      <c r="D489" s="83" t="n"/>
      <c r="E489" s="83" t="n"/>
      <c r="F489" s="83" t="n"/>
      <c r="G489" s="83" t="n"/>
      <c r="H489" s="83" t="n"/>
      <c r="S489">
        <f>IF(6&lt;='設定'!$B$6,"表示","隠す")</f>
        <v/>
      </c>
    </row>
    <row r="490" ht="21" customHeight="1">
      <c r="A490" s="82" t="n"/>
      <c r="B490" s="46">
        <f>'設定'!$I$17</f>
        <v/>
      </c>
      <c r="C490" s="83" t="n"/>
      <c r="D490" s="83" t="n"/>
      <c r="E490" s="83" t="n"/>
      <c r="F490" s="83" t="n"/>
      <c r="G490" s="83" t="n"/>
      <c r="H490" s="83" t="n"/>
      <c r="S490">
        <f>IF(7&lt;='設定'!$B$6,"表示","隠す")</f>
        <v/>
      </c>
    </row>
    <row r="491" ht="21" customHeight="1">
      <c r="A491" s="82" t="n"/>
      <c r="B491" s="46">
        <f>'設定'!$I$18</f>
        <v/>
      </c>
      <c r="C491" s="83" t="n"/>
      <c r="D491" s="83" t="n"/>
      <c r="E491" s="83" t="n"/>
      <c r="F491" s="83" t="n"/>
      <c r="G491" s="83" t="n"/>
      <c r="H491" s="83" t="n"/>
      <c r="S491">
        <f>IF(8&lt;='設定'!$B$6,"表示","隠す")</f>
        <v/>
      </c>
    </row>
    <row r="492" ht="21" customHeight="1">
      <c r="A492" s="82" t="n"/>
      <c r="B492" s="46">
        <f>'設定'!$I$19</f>
        <v/>
      </c>
      <c r="C492" s="83" t="n"/>
      <c r="D492" s="83" t="n"/>
      <c r="E492" s="83" t="n"/>
      <c r="F492" s="83" t="n"/>
      <c r="G492" s="83" t="n"/>
      <c r="H492" s="83" t="n"/>
      <c r="S492">
        <f>IF(9&lt;='設定'!$B$6,"表示","隠す")</f>
        <v/>
      </c>
    </row>
    <row r="493" hidden="1" ht="21" customHeight="1">
      <c r="A493" s="82" t="n"/>
      <c r="B493" s="46">
        <f>'設定'!$I$20</f>
        <v/>
      </c>
      <c r="C493" s="83" t="n"/>
      <c r="D493" s="83" t="n"/>
      <c r="E493" s="83" t="n"/>
      <c r="F493" s="83" t="n"/>
      <c r="G493" s="83" t="n"/>
      <c r="H493" s="83" t="n"/>
      <c r="S493">
        <f>IF(10&lt;='設定'!$B$6,"表示","隠す")</f>
        <v/>
      </c>
    </row>
    <row r="494" hidden="1" ht="21" customHeight="1">
      <c r="A494" s="82" t="n"/>
      <c r="B494" s="46">
        <f>'設定'!$I$21</f>
        <v/>
      </c>
      <c r="C494" s="83" t="n"/>
      <c r="D494" s="83" t="n"/>
      <c r="E494" s="83" t="n"/>
      <c r="F494" s="83" t="n"/>
      <c r="G494" s="83" t="n"/>
      <c r="H494" s="83" t="n"/>
      <c r="S494">
        <f>IF(11&lt;='設定'!$B$6,"表示","隠す")</f>
        <v/>
      </c>
    </row>
    <row r="495" hidden="1" ht="21" customHeight="1">
      <c r="A495" s="82" t="n"/>
      <c r="B495" s="46">
        <f>'設定'!$I$22</f>
        <v/>
      </c>
      <c r="C495" s="83" t="n"/>
      <c r="D495" s="83" t="n"/>
      <c r="E495" s="83" t="n"/>
      <c r="F495" s="83" t="n"/>
      <c r="G495" s="83" t="n"/>
      <c r="H495" s="83" t="n"/>
      <c r="S495">
        <f>IF(12&lt;='設定'!$B$6,"表示","隠す")</f>
        <v/>
      </c>
    </row>
    <row r="496" hidden="1" ht="21" customHeight="1">
      <c r="A496" s="82" t="n"/>
      <c r="B496" s="46">
        <f>'設定'!$I$23</f>
        <v/>
      </c>
      <c r="C496" s="83" t="n"/>
      <c r="D496" s="83" t="n"/>
      <c r="E496" s="83" t="n"/>
      <c r="F496" s="83" t="n"/>
      <c r="G496" s="83" t="n"/>
      <c r="H496" s="83" t="n"/>
      <c r="S496">
        <f>IF(13&lt;='設定'!$B$6,"表示","隠す")</f>
        <v/>
      </c>
    </row>
    <row r="497" hidden="1" ht="21" customHeight="1">
      <c r="A497" s="82" t="n"/>
      <c r="B497" s="46">
        <f>'設定'!$I$24</f>
        <v/>
      </c>
      <c r="C497" s="83" t="n"/>
      <c r="D497" s="83" t="n"/>
      <c r="E497" s="83" t="n"/>
      <c r="F497" s="83" t="n"/>
      <c r="G497" s="83" t="n"/>
      <c r="H497" s="83" t="n"/>
      <c r="S497">
        <f>IF(14&lt;='設定'!$B$6,"表示","隠す")</f>
        <v/>
      </c>
    </row>
    <row r="498" hidden="1" ht="21" customHeight="1">
      <c r="A498" s="82" t="n"/>
      <c r="B498" s="46">
        <f>'設定'!$I$25</f>
        <v/>
      </c>
      <c r="C498" s="83" t="n"/>
      <c r="D498" s="83" t="n"/>
      <c r="E498" s="83" t="n"/>
      <c r="F498" s="83" t="n"/>
      <c r="G498" s="83" t="n"/>
      <c r="H498" s="83" t="n"/>
      <c r="S498">
        <f>IF(15&lt;='設定'!$B$6,"表示","隠す")</f>
        <v/>
      </c>
    </row>
    <row r="499" hidden="1" ht="21" customHeight="1">
      <c r="A499" s="82" t="n"/>
      <c r="B499" s="46">
        <f>'設定'!$I$26</f>
        <v/>
      </c>
      <c r="C499" s="83" t="n"/>
      <c r="D499" s="83" t="n"/>
      <c r="E499" s="83" t="n"/>
      <c r="F499" s="83" t="n"/>
      <c r="G499" s="83" t="n"/>
      <c r="H499" s="83" t="n"/>
      <c r="S499">
        <f>IF(16&lt;='設定'!$B$6,"表示","隠す")</f>
        <v/>
      </c>
    </row>
    <row r="500" hidden="1" ht="21" customHeight="1">
      <c r="A500" s="82" t="n"/>
      <c r="B500" s="46">
        <f>'設定'!$I$27</f>
        <v/>
      </c>
      <c r="C500" s="83" t="n"/>
      <c r="D500" s="83" t="n"/>
      <c r="E500" s="83" t="n"/>
      <c r="F500" s="83" t="n"/>
      <c r="G500" s="83" t="n"/>
      <c r="H500" s="83" t="n"/>
      <c r="S500">
        <f>IF(17&lt;='設定'!$B$6,"表示","隠す")</f>
        <v/>
      </c>
    </row>
    <row r="501" hidden="1" ht="21" customHeight="1">
      <c r="A501" s="82" t="n"/>
      <c r="B501" s="46">
        <f>'設定'!$I$28</f>
        <v/>
      </c>
      <c r="C501" s="83" t="n"/>
      <c r="D501" s="83" t="n"/>
      <c r="E501" s="83" t="n"/>
      <c r="F501" s="83" t="n"/>
      <c r="G501" s="83" t="n"/>
      <c r="H501" s="83" t="n"/>
      <c r="S501">
        <f>IF(18&lt;='設定'!$B$6,"表示","隠す")</f>
        <v/>
      </c>
    </row>
    <row r="502" hidden="1" ht="21" customHeight="1">
      <c r="A502" s="82" t="n"/>
      <c r="B502" s="46">
        <f>'設定'!$I$29</f>
        <v/>
      </c>
      <c r="C502" s="83" t="n"/>
      <c r="D502" s="83" t="n"/>
      <c r="E502" s="83" t="n"/>
      <c r="F502" s="83" t="n"/>
      <c r="G502" s="83" t="n"/>
      <c r="H502" s="83" t="n"/>
      <c r="S502">
        <f>IF(19&lt;='設定'!$B$6,"表示","隠す")</f>
        <v/>
      </c>
    </row>
    <row r="503" hidden="1" ht="21" customHeight="1">
      <c r="A503" s="82" t="n"/>
      <c r="B503" s="46">
        <f>'設定'!$I$30</f>
        <v/>
      </c>
      <c r="C503" s="83" t="n"/>
      <c r="D503" s="83" t="n"/>
      <c r="E503" s="83" t="n"/>
      <c r="F503" s="83" t="n"/>
      <c r="G503" s="83" t="n"/>
      <c r="H503" s="83" t="n"/>
      <c r="S503">
        <f>IF(20&lt;='設定'!$B$6,"表示","隠す")</f>
        <v/>
      </c>
    </row>
    <row r="504" hidden="1" ht="21" customHeight="1">
      <c r="A504" s="82" t="n"/>
      <c r="B504" s="46">
        <f>'設定'!$I$31</f>
        <v/>
      </c>
      <c r="C504" s="83" t="n"/>
      <c r="D504" s="83" t="n"/>
      <c r="E504" s="83" t="n"/>
      <c r="F504" s="83" t="n"/>
      <c r="G504" s="83" t="n"/>
      <c r="H504" s="83" t="n"/>
      <c r="S504">
        <f>IF(21&lt;='設定'!$B$6,"表示","隠す")</f>
        <v/>
      </c>
    </row>
    <row r="505" hidden="1" ht="21" customHeight="1">
      <c r="A505" s="82" t="n"/>
      <c r="B505" s="46">
        <f>'設定'!$I$32</f>
        <v/>
      </c>
      <c r="C505" s="83" t="n"/>
      <c r="D505" s="83" t="n"/>
      <c r="E505" s="83" t="n"/>
      <c r="F505" s="83" t="n"/>
      <c r="G505" s="83" t="n"/>
      <c r="H505" s="83" t="n"/>
      <c r="S505">
        <f>IF(22&lt;='設定'!$B$6,"表示","隠す")</f>
        <v/>
      </c>
    </row>
    <row r="506" hidden="1" ht="21" customHeight="1">
      <c r="A506" s="82" t="n"/>
      <c r="B506" s="46">
        <f>'設定'!$I$33</f>
        <v/>
      </c>
      <c r="C506" s="83" t="n"/>
      <c r="D506" s="83" t="n"/>
      <c r="E506" s="83" t="n"/>
      <c r="F506" s="83" t="n"/>
      <c r="G506" s="83" t="n"/>
      <c r="H506" s="83" t="n"/>
      <c r="S506">
        <f>IF(23&lt;='設定'!$B$6,"表示","隠す")</f>
        <v/>
      </c>
    </row>
    <row r="507" hidden="1" ht="21" customHeight="1">
      <c r="A507" s="82" t="n"/>
      <c r="B507" s="46">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2" t="n"/>
      <c r="G509" s="33" t="n"/>
      <c r="H509" s="78" t="inlineStr">
        <is>
          <t>状況：</t>
        </is>
      </c>
      <c r="I509" s="79">
        <f>'名簿'!Q23</f>
        <v/>
      </c>
      <c r="J509" s="78" t="inlineStr">
        <is>
          <t>×の数：</t>
        </is>
      </c>
      <c r="K509" s="80">
        <f>'名簿'!R23</f>
        <v/>
      </c>
      <c r="L509" s="81">
        <f>HYPERLINK("#'×入力'!B537","次の人へ ▼")</f>
        <v/>
      </c>
      <c r="S509" t="inlineStr">
        <is>
          <t>表示</t>
        </is>
      </c>
    </row>
    <row r="510" ht="22" customHeight="1">
      <c r="A510" s="34" t="inlineStr">
        <is>
          <t>この日全部 ▶</t>
        </is>
      </c>
      <c r="C510" s="82" t="n"/>
      <c r="D510" s="82" t="n"/>
      <c r="E510" s="82" t="n"/>
      <c r="F510" s="82" t="n"/>
      <c r="G510" s="82" t="n"/>
      <c r="H510" s="82" t="n"/>
      <c r="S510" t="inlineStr">
        <is>
          <t>表示</t>
        </is>
      </c>
    </row>
    <row r="511" ht="28" customHeight="1">
      <c r="A511" s="37" t="inlineStr">
        <is>
          <t>この時間
全部 ▼</t>
        </is>
      </c>
      <c r="B511" s="38" t="inlineStr"/>
      <c r="C511" s="39">
        <f>'設定'!$E$11</f>
        <v/>
      </c>
      <c r="D511" s="39">
        <f>'設定'!$E$12</f>
        <v/>
      </c>
      <c r="E511" s="39">
        <f>'設定'!$E$13</f>
        <v/>
      </c>
      <c r="F511" s="39">
        <f>'設定'!$E$14</f>
        <v/>
      </c>
      <c r="G511" s="39">
        <f>'設定'!$E$15</f>
        <v/>
      </c>
      <c r="H511" s="39">
        <f>'設定'!$E$16</f>
        <v/>
      </c>
      <c r="S511" t="inlineStr">
        <is>
          <t>表示</t>
        </is>
      </c>
    </row>
    <row r="512" ht="21" customHeight="1">
      <c r="A512" s="82" t="n"/>
      <c r="B512" s="46">
        <f>'設定'!$I$11</f>
        <v/>
      </c>
      <c r="C512" s="83" t="n"/>
      <c r="D512" s="83" t="n"/>
      <c r="E512" s="83" t="n"/>
      <c r="F512" s="83" t="n"/>
      <c r="G512" s="83" t="n"/>
      <c r="H512" s="83" t="n"/>
      <c r="S512">
        <f>IF(1&lt;='設定'!$B$6,"表示","隠す")</f>
        <v/>
      </c>
    </row>
    <row r="513" ht="21" customHeight="1">
      <c r="A513" s="82" t="n"/>
      <c r="B513" s="46">
        <f>'設定'!$I$12</f>
        <v/>
      </c>
      <c r="C513" s="83" t="n"/>
      <c r="D513" s="83" t="n"/>
      <c r="E513" s="83" t="n"/>
      <c r="F513" s="83" t="n"/>
      <c r="G513" s="83" t="n"/>
      <c r="H513" s="83" t="n"/>
      <c r="S513">
        <f>IF(2&lt;='設定'!$B$6,"表示","隠す")</f>
        <v/>
      </c>
    </row>
    <row r="514" ht="21" customHeight="1">
      <c r="A514" s="82" t="n"/>
      <c r="B514" s="46">
        <f>'設定'!$I$13</f>
        <v/>
      </c>
      <c r="C514" s="83" t="n"/>
      <c r="D514" s="83" t="n"/>
      <c r="E514" s="83" t="n"/>
      <c r="F514" s="83" t="n"/>
      <c r="G514" s="83" t="n"/>
      <c r="H514" s="83" t="n"/>
      <c r="S514">
        <f>IF(3&lt;='設定'!$B$6,"表示","隠す")</f>
        <v/>
      </c>
    </row>
    <row r="515" ht="21" customHeight="1">
      <c r="A515" s="82" t="n"/>
      <c r="B515" s="46">
        <f>'設定'!$I$14</f>
        <v/>
      </c>
      <c r="C515" s="83" t="n"/>
      <c r="D515" s="83" t="n"/>
      <c r="E515" s="83" t="n"/>
      <c r="F515" s="83" t="n"/>
      <c r="G515" s="83" t="n"/>
      <c r="H515" s="83" t="n"/>
      <c r="S515">
        <f>IF(4&lt;='設定'!$B$6,"表示","隠す")</f>
        <v/>
      </c>
    </row>
    <row r="516" ht="21" customHeight="1">
      <c r="A516" s="82" t="n"/>
      <c r="B516" s="46">
        <f>'設定'!$I$15</f>
        <v/>
      </c>
      <c r="C516" s="83" t="n"/>
      <c r="D516" s="83" t="n"/>
      <c r="E516" s="83" t="n"/>
      <c r="F516" s="83" t="n"/>
      <c r="G516" s="83" t="n"/>
      <c r="H516" s="83" t="n"/>
      <c r="S516">
        <f>IF(5&lt;='設定'!$B$6,"表示","隠す")</f>
        <v/>
      </c>
    </row>
    <row r="517" ht="21" customHeight="1">
      <c r="A517" s="82" t="n"/>
      <c r="B517" s="46">
        <f>'設定'!$I$16</f>
        <v/>
      </c>
      <c r="C517" s="83" t="n"/>
      <c r="D517" s="83" t="n"/>
      <c r="E517" s="83" t="n"/>
      <c r="F517" s="83" t="n"/>
      <c r="G517" s="83" t="n"/>
      <c r="H517" s="83" t="n"/>
      <c r="S517">
        <f>IF(6&lt;='設定'!$B$6,"表示","隠す")</f>
        <v/>
      </c>
    </row>
    <row r="518" ht="21" customHeight="1">
      <c r="A518" s="82" t="n"/>
      <c r="B518" s="46">
        <f>'設定'!$I$17</f>
        <v/>
      </c>
      <c r="C518" s="83" t="n"/>
      <c r="D518" s="83" t="n"/>
      <c r="E518" s="83" t="n"/>
      <c r="F518" s="83" t="n"/>
      <c r="G518" s="83" t="n"/>
      <c r="H518" s="83" t="n"/>
      <c r="S518">
        <f>IF(7&lt;='設定'!$B$6,"表示","隠す")</f>
        <v/>
      </c>
    </row>
    <row r="519" ht="21" customHeight="1">
      <c r="A519" s="82" t="n"/>
      <c r="B519" s="46">
        <f>'設定'!$I$18</f>
        <v/>
      </c>
      <c r="C519" s="83" t="n"/>
      <c r="D519" s="83" t="n"/>
      <c r="E519" s="83" t="n"/>
      <c r="F519" s="83" t="n"/>
      <c r="G519" s="83" t="n"/>
      <c r="H519" s="83" t="n"/>
      <c r="S519">
        <f>IF(8&lt;='設定'!$B$6,"表示","隠す")</f>
        <v/>
      </c>
    </row>
    <row r="520" ht="21" customHeight="1">
      <c r="A520" s="82" t="n"/>
      <c r="B520" s="46">
        <f>'設定'!$I$19</f>
        <v/>
      </c>
      <c r="C520" s="83" t="n"/>
      <c r="D520" s="83" t="n"/>
      <c r="E520" s="83" t="n"/>
      <c r="F520" s="83" t="n"/>
      <c r="G520" s="83" t="n"/>
      <c r="H520" s="83" t="n"/>
      <c r="S520">
        <f>IF(9&lt;='設定'!$B$6,"表示","隠す")</f>
        <v/>
      </c>
    </row>
    <row r="521" hidden="1" ht="21" customHeight="1">
      <c r="A521" s="82" t="n"/>
      <c r="B521" s="46">
        <f>'設定'!$I$20</f>
        <v/>
      </c>
      <c r="C521" s="83" t="n"/>
      <c r="D521" s="83" t="n"/>
      <c r="E521" s="83" t="n"/>
      <c r="F521" s="83" t="n"/>
      <c r="G521" s="83" t="n"/>
      <c r="H521" s="83" t="n"/>
      <c r="S521">
        <f>IF(10&lt;='設定'!$B$6,"表示","隠す")</f>
        <v/>
      </c>
    </row>
    <row r="522" hidden="1" ht="21" customHeight="1">
      <c r="A522" s="82" t="n"/>
      <c r="B522" s="46">
        <f>'設定'!$I$21</f>
        <v/>
      </c>
      <c r="C522" s="83" t="n"/>
      <c r="D522" s="83" t="n"/>
      <c r="E522" s="83" t="n"/>
      <c r="F522" s="83" t="n"/>
      <c r="G522" s="83" t="n"/>
      <c r="H522" s="83" t="n"/>
      <c r="S522">
        <f>IF(11&lt;='設定'!$B$6,"表示","隠す")</f>
        <v/>
      </c>
    </row>
    <row r="523" hidden="1" ht="21" customHeight="1">
      <c r="A523" s="82" t="n"/>
      <c r="B523" s="46">
        <f>'設定'!$I$22</f>
        <v/>
      </c>
      <c r="C523" s="83" t="n"/>
      <c r="D523" s="83" t="n"/>
      <c r="E523" s="83" t="n"/>
      <c r="F523" s="83" t="n"/>
      <c r="G523" s="83" t="n"/>
      <c r="H523" s="83" t="n"/>
      <c r="S523">
        <f>IF(12&lt;='設定'!$B$6,"表示","隠す")</f>
        <v/>
      </c>
    </row>
    <row r="524" hidden="1" ht="21" customHeight="1">
      <c r="A524" s="82" t="n"/>
      <c r="B524" s="46">
        <f>'設定'!$I$23</f>
        <v/>
      </c>
      <c r="C524" s="83" t="n"/>
      <c r="D524" s="83" t="n"/>
      <c r="E524" s="83" t="n"/>
      <c r="F524" s="83" t="n"/>
      <c r="G524" s="83" t="n"/>
      <c r="H524" s="83" t="n"/>
      <c r="S524">
        <f>IF(13&lt;='設定'!$B$6,"表示","隠す")</f>
        <v/>
      </c>
    </row>
    <row r="525" hidden="1" ht="21" customHeight="1">
      <c r="A525" s="82" t="n"/>
      <c r="B525" s="46">
        <f>'設定'!$I$24</f>
        <v/>
      </c>
      <c r="C525" s="83" t="n"/>
      <c r="D525" s="83" t="n"/>
      <c r="E525" s="83" t="n"/>
      <c r="F525" s="83" t="n"/>
      <c r="G525" s="83" t="n"/>
      <c r="H525" s="83" t="n"/>
      <c r="S525">
        <f>IF(14&lt;='設定'!$B$6,"表示","隠す")</f>
        <v/>
      </c>
    </row>
    <row r="526" hidden="1" ht="21" customHeight="1">
      <c r="A526" s="82" t="n"/>
      <c r="B526" s="46">
        <f>'設定'!$I$25</f>
        <v/>
      </c>
      <c r="C526" s="83" t="n"/>
      <c r="D526" s="83" t="n"/>
      <c r="E526" s="83" t="n"/>
      <c r="F526" s="83" t="n"/>
      <c r="G526" s="83" t="n"/>
      <c r="H526" s="83" t="n"/>
      <c r="S526">
        <f>IF(15&lt;='設定'!$B$6,"表示","隠す")</f>
        <v/>
      </c>
    </row>
    <row r="527" hidden="1" ht="21" customHeight="1">
      <c r="A527" s="82" t="n"/>
      <c r="B527" s="46">
        <f>'設定'!$I$26</f>
        <v/>
      </c>
      <c r="C527" s="83" t="n"/>
      <c r="D527" s="83" t="n"/>
      <c r="E527" s="83" t="n"/>
      <c r="F527" s="83" t="n"/>
      <c r="G527" s="83" t="n"/>
      <c r="H527" s="83" t="n"/>
      <c r="S527">
        <f>IF(16&lt;='設定'!$B$6,"表示","隠す")</f>
        <v/>
      </c>
    </row>
    <row r="528" hidden="1" ht="21" customHeight="1">
      <c r="A528" s="82" t="n"/>
      <c r="B528" s="46">
        <f>'設定'!$I$27</f>
        <v/>
      </c>
      <c r="C528" s="83" t="n"/>
      <c r="D528" s="83" t="n"/>
      <c r="E528" s="83" t="n"/>
      <c r="F528" s="83" t="n"/>
      <c r="G528" s="83" t="n"/>
      <c r="H528" s="83" t="n"/>
      <c r="S528">
        <f>IF(17&lt;='設定'!$B$6,"表示","隠す")</f>
        <v/>
      </c>
    </row>
    <row r="529" hidden="1" ht="21" customHeight="1">
      <c r="A529" s="82" t="n"/>
      <c r="B529" s="46">
        <f>'設定'!$I$28</f>
        <v/>
      </c>
      <c r="C529" s="83" t="n"/>
      <c r="D529" s="83" t="n"/>
      <c r="E529" s="83" t="n"/>
      <c r="F529" s="83" t="n"/>
      <c r="G529" s="83" t="n"/>
      <c r="H529" s="83" t="n"/>
      <c r="S529">
        <f>IF(18&lt;='設定'!$B$6,"表示","隠す")</f>
        <v/>
      </c>
    </row>
    <row r="530" hidden="1" ht="21" customHeight="1">
      <c r="A530" s="82" t="n"/>
      <c r="B530" s="46">
        <f>'設定'!$I$29</f>
        <v/>
      </c>
      <c r="C530" s="83" t="n"/>
      <c r="D530" s="83" t="n"/>
      <c r="E530" s="83" t="n"/>
      <c r="F530" s="83" t="n"/>
      <c r="G530" s="83" t="n"/>
      <c r="H530" s="83" t="n"/>
      <c r="S530">
        <f>IF(19&lt;='設定'!$B$6,"表示","隠す")</f>
        <v/>
      </c>
    </row>
    <row r="531" hidden="1" ht="21" customHeight="1">
      <c r="A531" s="82" t="n"/>
      <c r="B531" s="46">
        <f>'設定'!$I$30</f>
        <v/>
      </c>
      <c r="C531" s="83" t="n"/>
      <c r="D531" s="83" t="n"/>
      <c r="E531" s="83" t="n"/>
      <c r="F531" s="83" t="n"/>
      <c r="G531" s="83" t="n"/>
      <c r="H531" s="83" t="n"/>
      <c r="S531">
        <f>IF(20&lt;='設定'!$B$6,"表示","隠す")</f>
        <v/>
      </c>
    </row>
    <row r="532" hidden="1" ht="21" customHeight="1">
      <c r="A532" s="82" t="n"/>
      <c r="B532" s="46">
        <f>'設定'!$I$31</f>
        <v/>
      </c>
      <c r="C532" s="83" t="n"/>
      <c r="D532" s="83" t="n"/>
      <c r="E532" s="83" t="n"/>
      <c r="F532" s="83" t="n"/>
      <c r="G532" s="83" t="n"/>
      <c r="H532" s="83" t="n"/>
      <c r="S532">
        <f>IF(21&lt;='設定'!$B$6,"表示","隠す")</f>
        <v/>
      </c>
    </row>
    <row r="533" hidden="1" ht="21" customHeight="1">
      <c r="A533" s="82" t="n"/>
      <c r="B533" s="46">
        <f>'設定'!$I$32</f>
        <v/>
      </c>
      <c r="C533" s="83" t="n"/>
      <c r="D533" s="83" t="n"/>
      <c r="E533" s="83" t="n"/>
      <c r="F533" s="83" t="n"/>
      <c r="G533" s="83" t="n"/>
      <c r="H533" s="83" t="n"/>
      <c r="S533">
        <f>IF(22&lt;='設定'!$B$6,"表示","隠す")</f>
        <v/>
      </c>
    </row>
    <row r="534" hidden="1" ht="21" customHeight="1">
      <c r="A534" s="82" t="n"/>
      <c r="B534" s="46">
        <f>'設定'!$I$33</f>
        <v/>
      </c>
      <c r="C534" s="83" t="n"/>
      <c r="D534" s="83" t="n"/>
      <c r="E534" s="83" t="n"/>
      <c r="F534" s="83" t="n"/>
      <c r="G534" s="83" t="n"/>
      <c r="H534" s="83" t="n"/>
      <c r="S534">
        <f>IF(23&lt;='設定'!$B$6,"表示","隠す")</f>
        <v/>
      </c>
    </row>
    <row r="535" hidden="1" ht="21" customHeight="1">
      <c r="A535" s="82" t="n"/>
      <c r="B535" s="46">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2" t="n"/>
      <c r="G537" s="33" t="n"/>
      <c r="H537" s="78" t="inlineStr">
        <is>
          <t>状況：</t>
        </is>
      </c>
      <c r="I537" s="79">
        <f>'名簿'!Q24</f>
        <v/>
      </c>
      <c r="J537" s="78" t="inlineStr">
        <is>
          <t>×の数：</t>
        </is>
      </c>
      <c r="K537" s="80">
        <f>'名簿'!R24</f>
        <v/>
      </c>
      <c r="L537" s="81">
        <f>HYPERLINK("#'×入力'!B565","次の人へ ▼")</f>
        <v/>
      </c>
      <c r="S537" t="inlineStr">
        <is>
          <t>表示</t>
        </is>
      </c>
    </row>
    <row r="538" ht="22" customHeight="1">
      <c r="A538" s="34" t="inlineStr">
        <is>
          <t>この日全部 ▶</t>
        </is>
      </c>
      <c r="C538" s="82" t="n"/>
      <c r="D538" s="82" t="n"/>
      <c r="E538" s="82" t="n"/>
      <c r="F538" s="82" t="n"/>
      <c r="G538" s="82" t="n"/>
      <c r="H538" s="82" t="n"/>
      <c r="S538" t="inlineStr">
        <is>
          <t>表示</t>
        </is>
      </c>
    </row>
    <row r="539" ht="28" customHeight="1">
      <c r="A539" s="37" t="inlineStr">
        <is>
          <t>この時間
全部 ▼</t>
        </is>
      </c>
      <c r="B539" s="38" t="inlineStr"/>
      <c r="C539" s="39">
        <f>'設定'!$E$11</f>
        <v/>
      </c>
      <c r="D539" s="39">
        <f>'設定'!$E$12</f>
        <v/>
      </c>
      <c r="E539" s="39">
        <f>'設定'!$E$13</f>
        <v/>
      </c>
      <c r="F539" s="39">
        <f>'設定'!$E$14</f>
        <v/>
      </c>
      <c r="G539" s="39">
        <f>'設定'!$E$15</f>
        <v/>
      </c>
      <c r="H539" s="39">
        <f>'設定'!$E$16</f>
        <v/>
      </c>
      <c r="S539" t="inlineStr">
        <is>
          <t>表示</t>
        </is>
      </c>
    </row>
    <row r="540" ht="21" customHeight="1">
      <c r="A540" s="82" t="n"/>
      <c r="B540" s="46">
        <f>'設定'!$I$11</f>
        <v/>
      </c>
      <c r="C540" s="83" t="n"/>
      <c r="D540" s="83" t="n"/>
      <c r="E540" s="83" t="n"/>
      <c r="F540" s="83" t="n"/>
      <c r="G540" s="83" t="n"/>
      <c r="H540" s="83" t="n"/>
      <c r="S540">
        <f>IF(1&lt;='設定'!$B$6,"表示","隠す")</f>
        <v/>
      </c>
    </row>
    <row r="541" ht="21" customHeight="1">
      <c r="A541" s="82" t="n"/>
      <c r="B541" s="46">
        <f>'設定'!$I$12</f>
        <v/>
      </c>
      <c r="C541" s="83" t="n"/>
      <c r="D541" s="83" t="n"/>
      <c r="E541" s="83" t="n"/>
      <c r="F541" s="83" t="n"/>
      <c r="G541" s="83" t="n"/>
      <c r="H541" s="83" t="n"/>
      <c r="S541">
        <f>IF(2&lt;='設定'!$B$6,"表示","隠す")</f>
        <v/>
      </c>
    </row>
    <row r="542" ht="21" customHeight="1">
      <c r="A542" s="82" t="n"/>
      <c r="B542" s="46">
        <f>'設定'!$I$13</f>
        <v/>
      </c>
      <c r="C542" s="83" t="n"/>
      <c r="D542" s="83" t="n"/>
      <c r="E542" s="83" t="n"/>
      <c r="F542" s="83" t="n"/>
      <c r="G542" s="83" t="n"/>
      <c r="H542" s="83" t="n"/>
      <c r="S542">
        <f>IF(3&lt;='設定'!$B$6,"表示","隠す")</f>
        <v/>
      </c>
    </row>
    <row r="543" ht="21" customHeight="1">
      <c r="A543" s="82" t="n"/>
      <c r="B543" s="46">
        <f>'設定'!$I$14</f>
        <v/>
      </c>
      <c r="C543" s="83" t="n"/>
      <c r="D543" s="83" t="n"/>
      <c r="E543" s="83" t="n"/>
      <c r="F543" s="83" t="n"/>
      <c r="G543" s="83" t="n"/>
      <c r="H543" s="83" t="n"/>
      <c r="S543">
        <f>IF(4&lt;='設定'!$B$6,"表示","隠す")</f>
        <v/>
      </c>
    </row>
    <row r="544" ht="21" customHeight="1">
      <c r="A544" s="82" t="n"/>
      <c r="B544" s="46">
        <f>'設定'!$I$15</f>
        <v/>
      </c>
      <c r="C544" s="83" t="n"/>
      <c r="D544" s="83" t="n"/>
      <c r="E544" s="83" t="n"/>
      <c r="F544" s="83" t="n"/>
      <c r="G544" s="83" t="n"/>
      <c r="H544" s="83" t="n"/>
      <c r="S544">
        <f>IF(5&lt;='設定'!$B$6,"表示","隠す")</f>
        <v/>
      </c>
    </row>
    <row r="545" ht="21" customHeight="1">
      <c r="A545" s="82" t="n"/>
      <c r="B545" s="46">
        <f>'設定'!$I$16</f>
        <v/>
      </c>
      <c r="C545" s="83" t="n"/>
      <c r="D545" s="83" t="n"/>
      <c r="E545" s="83" t="n"/>
      <c r="F545" s="83" t="n"/>
      <c r="G545" s="83" t="n"/>
      <c r="H545" s="83" t="n"/>
      <c r="S545">
        <f>IF(6&lt;='設定'!$B$6,"表示","隠す")</f>
        <v/>
      </c>
    </row>
    <row r="546" ht="21" customHeight="1">
      <c r="A546" s="82" t="n"/>
      <c r="B546" s="46">
        <f>'設定'!$I$17</f>
        <v/>
      </c>
      <c r="C546" s="83" t="n"/>
      <c r="D546" s="83" t="n"/>
      <c r="E546" s="83" t="n"/>
      <c r="F546" s="83" t="n"/>
      <c r="G546" s="83" t="n"/>
      <c r="H546" s="83" t="n"/>
      <c r="S546">
        <f>IF(7&lt;='設定'!$B$6,"表示","隠す")</f>
        <v/>
      </c>
    </row>
    <row r="547" ht="21" customHeight="1">
      <c r="A547" s="82" t="n"/>
      <c r="B547" s="46">
        <f>'設定'!$I$18</f>
        <v/>
      </c>
      <c r="C547" s="83" t="n"/>
      <c r="D547" s="83" t="n"/>
      <c r="E547" s="83" t="n"/>
      <c r="F547" s="83" t="n"/>
      <c r="G547" s="83" t="n"/>
      <c r="H547" s="83" t="n"/>
      <c r="S547">
        <f>IF(8&lt;='設定'!$B$6,"表示","隠す")</f>
        <v/>
      </c>
    </row>
    <row r="548" ht="21" customHeight="1">
      <c r="A548" s="82" t="n"/>
      <c r="B548" s="46">
        <f>'設定'!$I$19</f>
        <v/>
      </c>
      <c r="C548" s="83" t="n"/>
      <c r="D548" s="83" t="n"/>
      <c r="E548" s="83" t="n"/>
      <c r="F548" s="83" t="n"/>
      <c r="G548" s="83" t="n"/>
      <c r="H548" s="83" t="n"/>
      <c r="S548">
        <f>IF(9&lt;='設定'!$B$6,"表示","隠す")</f>
        <v/>
      </c>
    </row>
    <row r="549" hidden="1" ht="21" customHeight="1">
      <c r="A549" s="82" t="n"/>
      <c r="B549" s="46">
        <f>'設定'!$I$20</f>
        <v/>
      </c>
      <c r="C549" s="83" t="n"/>
      <c r="D549" s="83" t="n"/>
      <c r="E549" s="83" t="n"/>
      <c r="F549" s="83" t="n"/>
      <c r="G549" s="83" t="n"/>
      <c r="H549" s="83" t="n"/>
      <c r="S549">
        <f>IF(10&lt;='設定'!$B$6,"表示","隠す")</f>
        <v/>
      </c>
    </row>
    <row r="550" hidden="1" ht="21" customHeight="1">
      <c r="A550" s="82" t="n"/>
      <c r="B550" s="46">
        <f>'設定'!$I$21</f>
        <v/>
      </c>
      <c r="C550" s="83" t="n"/>
      <c r="D550" s="83" t="n"/>
      <c r="E550" s="83" t="n"/>
      <c r="F550" s="83" t="n"/>
      <c r="G550" s="83" t="n"/>
      <c r="H550" s="83" t="n"/>
      <c r="S550">
        <f>IF(11&lt;='設定'!$B$6,"表示","隠す")</f>
        <v/>
      </c>
    </row>
    <row r="551" hidden="1" ht="21" customHeight="1">
      <c r="A551" s="82" t="n"/>
      <c r="B551" s="46">
        <f>'設定'!$I$22</f>
        <v/>
      </c>
      <c r="C551" s="83" t="n"/>
      <c r="D551" s="83" t="n"/>
      <c r="E551" s="83" t="n"/>
      <c r="F551" s="83" t="n"/>
      <c r="G551" s="83" t="n"/>
      <c r="H551" s="83" t="n"/>
      <c r="S551">
        <f>IF(12&lt;='設定'!$B$6,"表示","隠す")</f>
        <v/>
      </c>
    </row>
    <row r="552" hidden="1" ht="21" customHeight="1">
      <c r="A552" s="82" t="n"/>
      <c r="B552" s="46">
        <f>'設定'!$I$23</f>
        <v/>
      </c>
      <c r="C552" s="83" t="n"/>
      <c r="D552" s="83" t="n"/>
      <c r="E552" s="83" t="n"/>
      <c r="F552" s="83" t="n"/>
      <c r="G552" s="83" t="n"/>
      <c r="H552" s="83" t="n"/>
      <c r="S552">
        <f>IF(13&lt;='設定'!$B$6,"表示","隠す")</f>
        <v/>
      </c>
    </row>
    <row r="553" hidden="1" ht="21" customHeight="1">
      <c r="A553" s="82" t="n"/>
      <c r="B553" s="46">
        <f>'設定'!$I$24</f>
        <v/>
      </c>
      <c r="C553" s="83" t="n"/>
      <c r="D553" s="83" t="n"/>
      <c r="E553" s="83" t="n"/>
      <c r="F553" s="83" t="n"/>
      <c r="G553" s="83" t="n"/>
      <c r="H553" s="83" t="n"/>
      <c r="S553">
        <f>IF(14&lt;='設定'!$B$6,"表示","隠す")</f>
        <v/>
      </c>
    </row>
    <row r="554" hidden="1" ht="21" customHeight="1">
      <c r="A554" s="82" t="n"/>
      <c r="B554" s="46">
        <f>'設定'!$I$25</f>
        <v/>
      </c>
      <c r="C554" s="83" t="n"/>
      <c r="D554" s="83" t="n"/>
      <c r="E554" s="83" t="n"/>
      <c r="F554" s="83" t="n"/>
      <c r="G554" s="83" t="n"/>
      <c r="H554" s="83" t="n"/>
      <c r="S554">
        <f>IF(15&lt;='設定'!$B$6,"表示","隠す")</f>
        <v/>
      </c>
    </row>
    <row r="555" hidden="1" ht="21" customHeight="1">
      <c r="A555" s="82" t="n"/>
      <c r="B555" s="46">
        <f>'設定'!$I$26</f>
        <v/>
      </c>
      <c r="C555" s="83" t="n"/>
      <c r="D555" s="83" t="n"/>
      <c r="E555" s="83" t="n"/>
      <c r="F555" s="83" t="n"/>
      <c r="G555" s="83" t="n"/>
      <c r="H555" s="83" t="n"/>
      <c r="S555">
        <f>IF(16&lt;='設定'!$B$6,"表示","隠す")</f>
        <v/>
      </c>
    </row>
    <row r="556" hidden="1" ht="21" customHeight="1">
      <c r="A556" s="82" t="n"/>
      <c r="B556" s="46">
        <f>'設定'!$I$27</f>
        <v/>
      </c>
      <c r="C556" s="83" t="n"/>
      <c r="D556" s="83" t="n"/>
      <c r="E556" s="83" t="n"/>
      <c r="F556" s="83" t="n"/>
      <c r="G556" s="83" t="n"/>
      <c r="H556" s="83" t="n"/>
      <c r="S556">
        <f>IF(17&lt;='設定'!$B$6,"表示","隠す")</f>
        <v/>
      </c>
    </row>
    <row r="557" hidden="1" ht="21" customHeight="1">
      <c r="A557" s="82" t="n"/>
      <c r="B557" s="46">
        <f>'設定'!$I$28</f>
        <v/>
      </c>
      <c r="C557" s="83" t="n"/>
      <c r="D557" s="83" t="n"/>
      <c r="E557" s="83" t="n"/>
      <c r="F557" s="83" t="n"/>
      <c r="G557" s="83" t="n"/>
      <c r="H557" s="83" t="n"/>
      <c r="S557">
        <f>IF(18&lt;='設定'!$B$6,"表示","隠す")</f>
        <v/>
      </c>
    </row>
    <row r="558" hidden="1" ht="21" customHeight="1">
      <c r="A558" s="82" t="n"/>
      <c r="B558" s="46">
        <f>'設定'!$I$29</f>
        <v/>
      </c>
      <c r="C558" s="83" t="n"/>
      <c r="D558" s="83" t="n"/>
      <c r="E558" s="83" t="n"/>
      <c r="F558" s="83" t="n"/>
      <c r="G558" s="83" t="n"/>
      <c r="H558" s="83" t="n"/>
      <c r="S558">
        <f>IF(19&lt;='設定'!$B$6,"表示","隠す")</f>
        <v/>
      </c>
    </row>
    <row r="559" hidden="1" ht="21" customHeight="1">
      <c r="A559" s="82" t="n"/>
      <c r="B559" s="46">
        <f>'設定'!$I$30</f>
        <v/>
      </c>
      <c r="C559" s="83" t="n"/>
      <c r="D559" s="83" t="n"/>
      <c r="E559" s="83" t="n"/>
      <c r="F559" s="83" t="n"/>
      <c r="G559" s="83" t="n"/>
      <c r="H559" s="83" t="n"/>
      <c r="S559">
        <f>IF(20&lt;='設定'!$B$6,"表示","隠す")</f>
        <v/>
      </c>
    </row>
    <row r="560" hidden="1" ht="21" customHeight="1">
      <c r="A560" s="82" t="n"/>
      <c r="B560" s="46">
        <f>'設定'!$I$31</f>
        <v/>
      </c>
      <c r="C560" s="83" t="n"/>
      <c r="D560" s="83" t="n"/>
      <c r="E560" s="83" t="n"/>
      <c r="F560" s="83" t="n"/>
      <c r="G560" s="83" t="n"/>
      <c r="H560" s="83" t="n"/>
      <c r="S560">
        <f>IF(21&lt;='設定'!$B$6,"表示","隠す")</f>
        <v/>
      </c>
    </row>
    <row r="561" hidden="1" ht="21" customHeight="1">
      <c r="A561" s="82" t="n"/>
      <c r="B561" s="46">
        <f>'設定'!$I$32</f>
        <v/>
      </c>
      <c r="C561" s="83" t="n"/>
      <c r="D561" s="83" t="n"/>
      <c r="E561" s="83" t="n"/>
      <c r="F561" s="83" t="n"/>
      <c r="G561" s="83" t="n"/>
      <c r="H561" s="83" t="n"/>
      <c r="S561">
        <f>IF(22&lt;='設定'!$B$6,"表示","隠す")</f>
        <v/>
      </c>
    </row>
    <row r="562" hidden="1" ht="21" customHeight="1">
      <c r="A562" s="82" t="n"/>
      <c r="B562" s="46">
        <f>'設定'!$I$33</f>
        <v/>
      </c>
      <c r="C562" s="83" t="n"/>
      <c r="D562" s="83" t="n"/>
      <c r="E562" s="83" t="n"/>
      <c r="F562" s="83" t="n"/>
      <c r="G562" s="83" t="n"/>
      <c r="H562" s="83" t="n"/>
      <c r="S562">
        <f>IF(23&lt;='設定'!$B$6,"表示","隠す")</f>
        <v/>
      </c>
    </row>
    <row r="563" hidden="1" ht="21" customHeight="1">
      <c r="A563" s="82" t="n"/>
      <c r="B563" s="46">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2" t="n"/>
      <c r="G565" s="33" t="n"/>
      <c r="H565" s="78" t="inlineStr">
        <is>
          <t>状況：</t>
        </is>
      </c>
      <c r="I565" s="79">
        <f>'名簿'!Q25</f>
        <v/>
      </c>
      <c r="J565" s="78" t="inlineStr">
        <is>
          <t>×の数：</t>
        </is>
      </c>
      <c r="K565" s="80">
        <f>'名簿'!R25</f>
        <v/>
      </c>
      <c r="L565" s="81">
        <f>HYPERLINK("#'×入力'!B593","次の人へ ▼")</f>
        <v/>
      </c>
      <c r="S565" t="inlineStr">
        <is>
          <t>表示</t>
        </is>
      </c>
    </row>
    <row r="566" ht="22" customHeight="1">
      <c r="A566" s="34" t="inlineStr">
        <is>
          <t>この日全部 ▶</t>
        </is>
      </c>
      <c r="C566" s="82" t="n"/>
      <c r="D566" s="82" t="n"/>
      <c r="E566" s="82" t="n"/>
      <c r="F566" s="82" t="n"/>
      <c r="G566" s="82" t="n"/>
      <c r="H566" s="82" t="n"/>
      <c r="S566" t="inlineStr">
        <is>
          <t>表示</t>
        </is>
      </c>
    </row>
    <row r="567" ht="28" customHeight="1">
      <c r="A567" s="37" t="inlineStr">
        <is>
          <t>この時間
全部 ▼</t>
        </is>
      </c>
      <c r="B567" s="38" t="inlineStr"/>
      <c r="C567" s="39">
        <f>'設定'!$E$11</f>
        <v/>
      </c>
      <c r="D567" s="39">
        <f>'設定'!$E$12</f>
        <v/>
      </c>
      <c r="E567" s="39">
        <f>'設定'!$E$13</f>
        <v/>
      </c>
      <c r="F567" s="39">
        <f>'設定'!$E$14</f>
        <v/>
      </c>
      <c r="G567" s="39">
        <f>'設定'!$E$15</f>
        <v/>
      </c>
      <c r="H567" s="39">
        <f>'設定'!$E$16</f>
        <v/>
      </c>
      <c r="S567" t="inlineStr">
        <is>
          <t>表示</t>
        </is>
      </c>
    </row>
    <row r="568" ht="21" customHeight="1">
      <c r="A568" s="82" t="n"/>
      <c r="B568" s="46">
        <f>'設定'!$I$11</f>
        <v/>
      </c>
      <c r="C568" s="83" t="n"/>
      <c r="D568" s="83" t="n"/>
      <c r="E568" s="83" t="n"/>
      <c r="F568" s="83" t="n"/>
      <c r="G568" s="83" t="n"/>
      <c r="H568" s="83" t="n"/>
      <c r="S568">
        <f>IF(1&lt;='設定'!$B$6,"表示","隠す")</f>
        <v/>
      </c>
    </row>
    <row r="569" ht="21" customHeight="1">
      <c r="A569" s="82" t="n"/>
      <c r="B569" s="46">
        <f>'設定'!$I$12</f>
        <v/>
      </c>
      <c r="C569" s="83" t="n"/>
      <c r="D569" s="83" t="n"/>
      <c r="E569" s="83" t="n"/>
      <c r="F569" s="83" t="n"/>
      <c r="G569" s="83" t="n"/>
      <c r="H569" s="83" t="n"/>
      <c r="S569">
        <f>IF(2&lt;='設定'!$B$6,"表示","隠す")</f>
        <v/>
      </c>
    </row>
    <row r="570" ht="21" customHeight="1">
      <c r="A570" s="82" t="n"/>
      <c r="B570" s="46">
        <f>'設定'!$I$13</f>
        <v/>
      </c>
      <c r="C570" s="83" t="n"/>
      <c r="D570" s="83" t="n"/>
      <c r="E570" s="83" t="n"/>
      <c r="F570" s="83" t="n"/>
      <c r="G570" s="83" t="n"/>
      <c r="H570" s="83" t="n"/>
      <c r="S570">
        <f>IF(3&lt;='設定'!$B$6,"表示","隠す")</f>
        <v/>
      </c>
    </row>
    <row r="571" ht="21" customHeight="1">
      <c r="A571" s="82" t="n"/>
      <c r="B571" s="46">
        <f>'設定'!$I$14</f>
        <v/>
      </c>
      <c r="C571" s="83" t="n"/>
      <c r="D571" s="83" t="n"/>
      <c r="E571" s="83" t="n"/>
      <c r="F571" s="83" t="n"/>
      <c r="G571" s="83" t="n"/>
      <c r="H571" s="83" t="n"/>
      <c r="S571">
        <f>IF(4&lt;='設定'!$B$6,"表示","隠す")</f>
        <v/>
      </c>
    </row>
    <row r="572" ht="21" customHeight="1">
      <c r="A572" s="82" t="n"/>
      <c r="B572" s="46">
        <f>'設定'!$I$15</f>
        <v/>
      </c>
      <c r="C572" s="83" t="n"/>
      <c r="D572" s="83" t="n"/>
      <c r="E572" s="83" t="n"/>
      <c r="F572" s="83" t="n"/>
      <c r="G572" s="83" t="n"/>
      <c r="H572" s="83" t="n"/>
      <c r="S572">
        <f>IF(5&lt;='設定'!$B$6,"表示","隠す")</f>
        <v/>
      </c>
    </row>
    <row r="573" ht="21" customHeight="1">
      <c r="A573" s="82" t="n"/>
      <c r="B573" s="46">
        <f>'設定'!$I$16</f>
        <v/>
      </c>
      <c r="C573" s="83" t="n"/>
      <c r="D573" s="83" t="n"/>
      <c r="E573" s="83" t="n"/>
      <c r="F573" s="83" t="n"/>
      <c r="G573" s="83" t="n"/>
      <c r="H573" s="83" t="n"/>
      <c r="S573">
        <f>IF(6&lt;='設定'!$B$6,"表示","隠す")</f>
        <v/>
      </c>
    </row>
    <row r="574" ht="21" customHeight="1">
      <c r="A574" s="82" t="n"/>
      <c r="B574" s="46">
        <f>'設定'!$I$17</f>
        <v/>
      </c>
      <c r="C574" s="83" t="n"/>
      <c r="D574" s="83" t="n"/>
      <c r="E574" s="83" t="n"/>
      <c r="F574" s="83" t="n"/>
      <c r="G574" s="83" t="n"/>
      <c r="H574" s="83" t="n"/>
      <c r="S574">
        <f>IF(7&lt;='設定'!$B$6,"表示","隠す")</f>
        <v/>
      </c>
    </row>
    <row r="575" ht="21" customHeight="1">
      <c r="A575" s="82" t="n"/>
      <c r="B575" s="46">
        <f>'設定'!$I$18</f>
        <v/>
      </c>
      <c r="C575" s="83" t="n"/>
      <c r="D575" s="83" t="n"/>
      <c r="E575" s="83" t="n"/>
      <c r="F575" s="83" t="n"/>
      <c r="G575" s="83" t="n"/>
      <c r="H575" s="83" t="n"/>
      <c r="S575">
        <f>IF(8&lt;='設定'!$B$6,"表示","隠す")</f>
        <v/>
      </c>
    </row>
    <row r="576" ht="21" customHeight="1">
      <c r="A576" s="82" t="n"/>
      <c r="B576" s="46">
        <f>'設定'!$I$19</f>
        <v/>
      </c>
      <c r="C576" s="83" t="n"/>
      <c r="D576" s="83" t="n"/>
      <c r="E576" s="83" t="n"/>
      <c r="F576" s="83" t="n"/>
      <c r="G576" s="83" t="n"/>
      <c r="H576" s="83" t="n"/>
      <c r="S576">
        <f>IF(9&lt;='設定'!$B$6,"表示","隠す")</f>
        <v/>
      </c>
    </row>
    <row r="577" hidden="1" ht="21" customHeight="1">
      <c r="A577" s="82" t="n"/>
      <c r="B577" s="46">
        <f>'設定'!$I$20</f>
        <v/>
      </c>
      <c r="C577" s="83" t="n"/>
      <c r="D577" s="83" t="n"/>
      <c r="E577" s="83" t="n"/>
      <c r="F577" s="83" t="n"/>
      <c r="G577" s="83" t="n"/>
      <c r="H577" s="83" t="n"/>
      <c r="S577">
        <f>IF(10&lt;='設定'!$B$6,"表示","隠す")</f>
        <v/>
      </c>
    </row>
    <row r="578" hidden="1" ht="21" customHeight="1">
      <c r="A578" s="82" t="n"/>
      <c r="B578" s="46">
        <f>'設定'!$I$21</f>
        <v/>
      </c>
      <c r="C578" s="83" t="n"/>
      <c r="D578" s="83" t="n"/>
      <c r="E578" s="83" t="n"/>
      <c r="F578" s="83" t="n"/>
      <c r="G578" s="83" t="n"/>
      <c r="H578" s="83" t="n"/>
      <c r="S578">
        <f>IF(11&lt;='設定'!$B$6,"表示","隠す")</f>
        <v/>
      </c>
    </row>
    <row r="579" hidden="1" ht="21" customHeight="1">
      <c r="A579" s="82" t="n"/>
      <c r="B579" s="46">
        <f>'設定'!$I$22</f>
        <v/>
      </c>
      <c r="C579" s="83" t="n"/>
      <c r="D579" s="83" t="n"/>
      <c r="E579" s="83" t="n"/>
      <c r="F579" s="83" t="n"/>
      <c r="G579" s="83" t="n"/>
      <c r="H579" s="83" t="n"/>
      <c r="S579">
        <f>IF(12&lt;='設定'!$B$6,"表示","隠す")</f>
        <v/>
      </c>
    </row>
    <row r="580" hidden="1" ht="21" customHeight="1">
      <c r="A580" s="82" t="n"/>
      <c r="B580" s="46">
        <f>'設定'!$I$23</f>
        <v/>
      </c>
      <c r="C580" s="83" t="n"/>
      <c r="D580" s="83" t="n"/>
      <c r="E580" s="83" t="n"/>
      <c r="F580" s="83" t="n"/>
      <c r="G580" s="83" t="n"/>
      <c r="H580" s="83" t="n"/>
      <c r="S580">
        <f>IF(13&lt;='設定'!$B$6,"表示","隠す")</f>
        <v/>
      </c>
    </row>
    <row r="581" hidden="1" ht="21" customHeight="1">
      <c r="A581" s="82" t="n"/>
      <c r="B581" s="46">
        <f>'設定'!$I$24</f>
        <v/>
      </c>
      <c r="C581" s="83" t="n"/>
      <c r="D581" s="83" t="n"/>
      <c r="E581" s="83" t="n"/>
      <c r="F581" s="83" t="n"/>
      <c r="G581" s="83" t="n"/>
      <c r="H581" s="83" t="n"/>
      <c r="S581">
        <f>IF(14&lt;='設定'!$B$6,"表示","隠す")</f>
        <v/>
      </c>
    </row>
    <row r="582" hidden="1" ht="21" customHeight="1">
      <c r="A582" s="82" t="n"/>
      <c r="B582" s="46">
        <f>'設定'!$I$25</f>
        <v/>
      </c>
      <c r="C582" s="83" t="n"/>
      <c r="D582" s="83" t="n"/>
      <c r="E582" s="83" t="n"/>
      <c r="F582" s="83" t="n"/>
      <c r="G582" s="83" t="n"/>
      <c r="H582" s="83" t="n"/>
      <c r="S582">
        <f>IF(15&lt;='設定'!$B$6,"表示","隠す")</f>
        <v/>
      </c>
    </row>
    <row r="583" hidden="1" ht="21" customHeight="1">
      <c r="A583" s="82" t="n"/>
      <c r="B583" s="46">
        <f>'設定'!$I$26</f>
        <v/>
      </c>
      <c r="C583" s="83" t="n"/>
      <c r="D583" s="83" t="n"/>
      <c r="E583" s="83" t="n"/>
      <c r="F583" s="83" t="n"/>
      <c r="G583" s="83" t="n"/>
      <c r="H583" s="83" t="n"/>
      <c r="S583">
        <f>IF(16&lt;='設定'!$B$6,"表示","隠す")</f>
        <v/>
      </c>
    </row>
    <row r="584" hidden="1" ht="21" customHeight="1">
      <c r="A584" s="82" t="n"/>
      <c r="B584" s="46">
        <f>'設定'!$I$27</f>
        <v/>
      </c>
      <c r="C584" s="83" t="n"/>
      <c r="D584" s="83" t="n"/>
      <c r="E584" s="83" t="n"/>
      <c r="F584" s="83" t="n"/>
      <c r="G584" s="83" t="n"/>
      <c r="H584" s="83" t="n"/>
      <c r="S584">
        <f>IF(17&lt;='設定'!$B$6,"表示","隠す")</f>
        <v/>
      </c>
    </row>
    <row r="585" hidden="1" ht="21" customHeight="1">
      <c r="A585" s="82" t="n"/>
      <c r="B585" s="46">
        <f>'設定'!$I$28</f>
        <v/>
      </c>
      <c r="C585" s="83" t="n"/>
      <c r="D585" s="83" t="n"/>
      <c r="E585" s="83" t="n"/>
      <c r="F585" s="83" t="n"/>
      <c r="G585" s="83" t="n"/>
      <c r="H585" s="83" t="n"/>
      <c r="S585">
        <f>IF(18&lt;='設定'!$B$6,"表示","隠す")</f>
        <v/>
      </c>
    </row>
    <row r="586" hidden="1" ht="21" customHeight="1">
      <c r="A586" s="82" t="n"/>
      <c r="B586" s="46">
        <f>'設定'!$I$29</f>
        <v/>
      </c>
      <c r="C586" s="83" t="n"/>
      <c r="D586" s="83" t="n"/>
      <c r="E586" s="83" t="n"/>
      <c r="F586" s="83" t="n"/>
      <c r="G586" s="83" t="n"/>
      <c r="H586" s="83" t="n"/>
      <c r="S586">
        <f>IF(19&lt;='設定'!$B$6,"表示","隠す")</f>
        <v/>
      </c>
    </row>
    <row r="587" hidden="1" ht="21" customHeight="1">
      <c r="A587" s="82" t="n"/>
      <c r="B587" s="46">
        <f>'設定'!$I$30</f>
        <v/>
      </c>
      <c r="C587" s="83" t="n"/>
      <c r="D587" s="83" t="n"/>
      <c r="E587" s="83" t="n"/>
      <c r="F587" s="83" t="n"/>
      <c r="G587" s="83" t="n"/>
      <c r="H587" s="83" t="n"/>
      <c r="S587">
        <f>IF(20&lt;='設定'!$B$6,"表示","隠す")</f>
        <v/>
      </c>
    </row>
    <row r="588" hidden="1" ht="21" customHeight="1">
      <c r="A588" s="82" t="n"/>
      <c r="B588" s="46">
        <f>'設定'!$I$31</f>
        <v/>
      </c>
      <c r="C588" s="83" t="n"/>
      <c r="D588" s="83" t="n"/>
      <c r="E588" s="83" t="n"/>
      <c r="F588" s="83" t="n"/>
      <c r="G588" s="83" t="n"/>
      <c r="H588" s="83" t="n"/>
      <c r="S588">
        <f>IF(21&lt;='設定'!$B$6,"表示","隠す")</f>
        <v/>
      </c>
    </row>
    <row r="589" hidden="1" ht="21" customHeight="1">
      <c r="A589" s="82" t="n"/>
      <c r="B589" s="46">
        <f>'設定'!$I$32</f>
        <v/>
      </c>
      <c r="C589" s="83" t="n"/>
      <c r="D589" s="83" t="n"/>
      <c r="E589" s="83" t="n"/>
      <c r="F589" s="83" t="n"/>
      <c r="G589" s="83" t="n"/>
      <c r="H589" s="83" t="n"/>
      <c r="S589">
        <f>IF(22&lt;='設定'!$B$6,"表示","隠す")</f>
        <v/>
      </c>
    </row>
    <row r="590" hidden="1" ht="21" customHeight="1">
      <c r="A590" s="82" t="n"/>
      <c r="B590" s="46">
        <f>'設定'!$I$33</f>
        <v/>
      </c>
      <c r="C590" s="83" t="n"/>
      <c r="D590" s="83" t="n"/>
      <c r="E590" s="83" t="n"/>
      <c r="F590" s="83" t="n"/>
      <c r="G590" s="83" t="n"/>
      <c r="H590" s="83" t="n"/>
      <c r="S590">
        <f>IF(23&lt;='設定'!$B$6,"表示","隠す")</f>
        <v/>
      </c>
    </row>
    <row r="591" hidden="1" ht="21" customHeight="1">
      <c r="A591" s="82" t="n"/>
      <c r="B591" s="46">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2" t="n"/>
      <c r="G593" s="33" t="n"/>
      <c r="H593" s="78" t="inlineStr">
        <is>
          <t>状況：</t>
        </is>
      </c>
      <c r="I593" s="79">
        <f>'名簿'!Q26</f>
        <v/>
      </c>
      <c r="J593" s="78" t="inlineStr">
        <is>
          <t>×の数：</t>
        </is>
      </c>
      <c r="K593" s="80">
        <f>'名簿'!R26</f>
        <v/>
      </c>
      <c r="L593" s="81">
        <f>HYPERLINK("#'×入力'!B621","次の人へ ▼")</f>
        <v/>
      </c>
      <c r="S593" t="inlineStr">
        <is>
          <t>表示</t>
        </is>
      </c>
    </row>
    <row r="594" ht="22" customHeight="1">
      <c r="A594" s="34" t="inlineStr">
        <is>
          <t>この日全部 ▶</t>
        </is>
      </c>
      <c r="C594" s="82" t="n"/>
      <c r="D594" s="82" t="n"/>
      <c r="E594" s="82" t="n"/>
      <c r="F594" s="82" t="n"/>
      <c r="G594" s="82" t="n"/>
      <c r="H594" s="82" t="n"/>
      <c r="S594" t="inlineStr">
        <is>
          <t>表示</t>
        </is>
      </c>
    </row>
    <row r="595" ht="28" customHeight="1">
      <c r="A595" s="37" t="inlineStr">
        <is>
          <t>この時間
全部 ▼</t>
        </is>
      </c>
      <c r="B595" s="38" t="inlineStr"/>
      <c r="C595" s="39">
        <f>'設定'!$E$11</f>
        <v/>
      </c>
      <c r="D595" s="39">
        <f>'設定'!$E$12</f>
        <v/>
      </c>
      <c r="E595" s="39">
        <f>'設定'!$E$13</f>
        <v/>
      </c>
      <c r="F595" s="39">
        <f>'設定'!$E$14</f>
        <v/>
      </c>
      <c r="G595" s="39">
        <f>'設定'!$E$15</f>
        <v/>
      </c>
      <c r="H595" s="39">
        <f>'設定'!$E$16</f>
        <v/>
      </c>
      <c r="S595" t="inlineStr">
        <is>
          <t>表示</t>
        </is>
      </c>
    </row>
    <row r="596" ht="21" customHeight="1">
      <c r="A596" s="82" t="n"/>
      <c r="B596" s="46">
        <f>'設定'!$I$11</f>
        <v/>
      </c>
      <c r="C596" s="83" t="n"/>
      <c r="D596" s="83" t="n"/>
      <c r="E596" s="83" t="n"/>
      <c r="F596" s="83" t="n"/>
      <c r="G596" s="83" t="n"/>
      <c r="H596" s="83" t="n"/>
      <c r="S596">
        <f>IF(1&lt;='設定'!$B$6,"表示","隠す")</f>
        <v/>
      </c>
    </row>
    <row r="597" ht="21" customHeight="1">
      <c r="A597" s="82" t="n"/>
      <c r="B597" s="46">
        <f>'設定'!$I$12</f>
        <v/>
      </c>
      <c r="C597" s="83" t="n"/>
      <c r="D597" s="83" t="n"/>
      <c r="E597" s="83" t="n"/>
      <c r="F597" s="83" t="n"/>
      <c r="G597" s="83" t="n"/>
      <c r="H597" s="83" t="n"/>
      <c r="S597">
        <f>IF(2&lt;='設定'!$B$6,"表示","隠す")</f>
        <v/>
      </c>
    </row>
    <row r="598" ht="21" customHeight="1">
      <c r="A598" s="82" t="n"/>
      <c r="B598" s="46">
        <f>'設定'!$I$13</f>
        <v/>
      </c>
      <c r="C598" s="83" t="n"/>
      <c r="D598" s="83" t="n"/>
      <c r="E598" s="83" t="n"/>
      <c r="F598" s="83" t="n"/>
      <c r="G598" s="83" t="n"/>
      <c r="H598" s="83" t="n"/>
      <c r="S598">
        <f>IF(3&lt;='設定'!$B$6,"表示","隠す")</f>
        <v/>
      </c>
    </row>
    <row r="599" ht="21" customHeight="1">
      <c r="A599" s="82" t="n"/>
      <c r="B599" s="46">
        <f>'設定'!$I$14</f>
        <v/>
      </c>
      <c r="C599" s="83" t="n"/>
      <c r="D599" s="83" t="n"/>
      <c r="E599" s="83" t="n"/>
      <c r="F599" s="83" t="n"/>
      <c r="G599" s="83" t="n"/>
      <c r="H599" s="83" t="n"/>
      <c r="S599">
        <f>IF(4&lt;='設定'!$B$6,"表示","隠す")</f>
        <v/>
      </c>
    </row>
    <row r="600" ht="21" customHeight="1">
      <c r="A600" s="82" t="n"/>
      <c r="B600" s="46">
        <f>'設定'!$I$15</f>
        <v/>
      </c>
      <c r="C600" s="83" t="n"/>
      <c r="D600" s="83" t="n"/>
      <c r="E600" s="83" t="n"/>
      <c r="F600" s="83" t="n"/>
      <c r="G600" s="83" t="n"/>
      <c r="H600" s="83" t="n"/>
      <c r="S600">
        <f>IF(5&lt;='設定'!$B$6,"表示","隠す")</f>
        <v/>
      </c>
    </row>
    <row r="601" ht="21" customHeight="1">
      <c r="A601" s="82" t="n"/>
      <c r="B601" s="46">
        <f>'設定'!$I$16</f>
        <v/>
      </c>
      <c r="C601" s="83" t="n"/>
      <c r="D601" s="83" t="n"/>
      <c r="E601" s="83" t="n"/>
      <c r="F601" s="83" t="n"/>
      <c r="G601" s="83" t="n"/>
      <c r="H601" s="83" t="n"/>
      <c r="S601">
        <f>IF(6&lt;='設定'!$B$6,"表示","隠す")</f>
        <v/>
      </c>
    </row>
    <row r="602" ht="21" customHeight="1">
      <c r="A602" s="82" t="n"/>
      <c r="B602" s="46">
        <f>'設定'!$I$17</f>
        <v/>
      </c>
      <c r="C602" s="83" t="n"/>
      <c r="D602" s="83" t="n"/>
      <c r="E602" s="83" t="n"/>
      <c r="F602" s="83" t="n"/>
      <c r="G602" s="83" t="n"/>
      <c r="H602" s="83" t="n"/>
      <c r="S602">
        <f>IF(7&lt;='設定'!$B$6,"表示","隠す")</f>
        <v/>
      </c>
    </row>
    <row r="603" ht="21" customHeight="1">
      <c r="A603" s="82" t="n"/>
      <c r="B603" s="46">
        <f>'設定'!$I$18</f>
        <v/>
      </c>
      <c r="C603" s="83" t="n"/>
      <c r="D603" s="83" t="n"/>
      <c r="E603" s="83" t="n"/>
      <c r="F603" s="83" t="n"/>
      <c r="G603" s="83" t="n"/>
      <c r="H603" s="83" t="n"/>
      <c r="S603">
        <f>IF(8&lt;='設定'!$B$6,"表示","隠す")</f>
        <v/>
      </c>
    </row>
    <row r="604" ht="21" customHeight="1">
      <c r="A604" s="82" t="n"/>
      <c r="B604" s="46">
        <f>'設定'!$I$19</f>
        <v/>
      </c>
      <c r="C604" s="83" t="n"/>
      <c r="D604" s="83" t="n"/>
      <c r="E604" s="83" t="n"/>
      <c r="F604" s="83" t="n"/>
      <c r="G604" s="83" t="n"/>
      <c r="H604" s="83" t="n"/>
      <c r="S604">
        <f>IF(9&lt;='設定'!$B$6,"表示","隠す")</f>
        <v/>
      </c>
    </row>
    <row r="605" hidden="1" ht="21" customHeight="1">
      <c r="A605" s="82" t="n"/>
      <c r="B605" s="46">
        <f>'設定'!$I$20</f>
        <v/>
      </c>
      <c r="C605" s="83" t="n"/>
      <c r="D605" s="83" t="n"/>
      <c r="E605" s="83" t="n"/>
      <c r="F605" s="83" t="n"/>
      <c r="G605" s="83" t="n"/>
      <c r="H605" s="83" t="n"/>
      <c r="S605">
        <f>IF(10&lt;='設定'!$B$6,"表示","隠す")</f>
        <v/>
      </c>
    </row>
    <row r="606" hidden="1" ht="21" customHeight="1">
      <c r="A606" s="82" t="n"/>
      <c r="B606" s="46">
        <f>'設定'!$I$21</f>
        <v/>
      </c>
      <c r="C606" s="83" t="n"/>
      <c r="D606" s="83" t="n"/>
      <c r="E606" s="83" t="n"/>
      <c r="F606" s="83" t="n"/>
      <c r="G606" s="83" t="n"/>
      <c r="H606" s="83" t="n"/>
      <c r="S606">
        <f>IF(11&lt;='設定'!$B$6,"表示","隠す")</f>
        <v/>
      </c>
    </row>
    <row r="607" hidden="1" ht="21" customHeight="1">
      <c r="A607" s="82" t="n"/>
      <c r="B607" s="46">
        <f>'設定'!$I$22</f>
        <v/>
      </c>
      <c r="C607" s="83" t="n"/>
      <c r="D607" s="83" t="n"/>
      <c r="E607" s="83" t="n"/>
      <c r="F607" s="83" t="n"/>
      <c r="G607" s="83" t="n"/>
      <c r="H607" s="83" t="n"/>
      <c r="S607">
        <f>IF(12&lt;='設定'!$B$6,"表示","隠す")</f>
        <v/>
      </c>
    </row>
    <row r="608" hidden="1" ht="21" customHeight="1">
      <c r="A608" s="82" t="n"/>
      <c r="B608" s="46">
        <f>'設定'!$I$23</f>
        <v/>
      </c>
      <c r="C608" s="83" t="n"/>
      <c r="D608" s="83" t="n"/>
      <c r="E608" s="83" t="n"/>
      <c r="F608" s="83" t="n"/>
      <c r="G608" s="83" t="n"/>
      <c r="H608" s="83" t="n"/>
      <c r="S608">
        <f>IF(13&lt;='設定'!$B$6,"表示","隠す")</f>
        <v/>
      </c>
    </row>
    <row r="609" hidden="1" ht="21" customHeight="1">
      <c r="A609" s="82" t="n"/>
      <c r="B609" s="46">
        <f>'設定'!$I$24</f>
        <v/>
      </c>
      <c r="C609" s="83" t="n"/>
      <c r="D609" s="83" t="n"/>
      <c r="E609" s="83" t="n"/>
      <c r="F609" s="83" t="n"/>
      <c r="G609" s="83" t="n"/>
      <c r="H609" s="83" t="n"/>
      <c r="S609">
        <f>IF(14&lt;='設定'!$B$6,"表示","隠す")</f>
        <v/>
      </c>
    </row>
    <row r="610" hidden="1" ht="21" customHeight="1">
      <c r="A610" s="82" t="n"/>
      <c r="B610" s="46">
        <f>'設定'!$I$25</f>
        <v/>
      </c>
      <c r="C610" s="83" t="n"/>
      <c r="D610" s="83" t="n"/>
      <c r="E610" s="83" t="n"/>
      <c r="F610" s="83" t="n"/>
      <c r="G610" s="83" t="n"/>
      <c r="H610" s="83" t="n"/>
      <c r="S610">
        <f>IF(15&lt;='設定'!$B$6,"表示","隠す")</f>
        <v/>
      </c>
    </row>
    <row r="611" hidden="1" ht="21" customHeight="1">
      <c r="A611" s="82" t="n"/>
      <c r="B611" s="46">
        <f>'設定'!$I$26</f>
        <v/>
      </c>
      <c r="C611" s="83" t="n"/>
      <c r="D611" s="83" t="n"/>
      <c r="E611" s="83" t="n"/>
      <c r="F611" s="83" t="n"/>
      <c r="G611" s="83" t="n"/>
      <c r="H611" s="83" t="n"/>
      <c r="S611">
        <f>IF(16&lt;='設定'!$B$6,"表示","隠す")</f>
        <v/>
      </c>
    </row>
    <row r="612" hidden="1" ht="21" customHeight="1">
      <c r="A612" s="82" t="n"/>
      <c r="B612" s="46">
        <f>'設定'!$I$27</f>
        <v/>
      </c>
      <c r="C612" s="83" t="n"/>
      <c r="D612" s="83" t="n"/>
      <c r="E612" s="83" t="n"/>
      <c r="F612" s="83" t="n"/>
      <c r="G612" s="83" t="n"/>
      <c r="H612" s="83" t="n"/>
      <c r="S612">
        <f>IF(17&lt;='設定'!$B$6,"表示","隠す")</f>
        <v/>
      </c>
    </row>
    <row r="613" hidden="1" ht="21" customHeight="1">
      <c r="A613" s="82" t="n"/>
      <c r="B613" s="46">
        <f>'設定'!$I$28</f>
        <v/>
      </c>
      <c r="C613" s="83" t="n"/>
      <c r="D613" s="83" t="n"/>
      <c r="E613" s="83" t="n"/>
      <c r="F613" s="83" t="n"/>
      <c r="G613" s="83" t="n"/>
      <c r="H613" s="83" t="n"/>
      <c r="S613">
        <f>IF(18&lt;='設定'!$B$6,"表示","隠す")</f>
        <v/>
      </c>
    </row>
    <row r="614" hidden="1" ht="21" customHeight="1">
      <c r="A614" s="82" t="n"/>
      <c r="B614" s="46">
        <f>'設定'!$I$29</f>
        <v/>
      </c>
      <c r="C614" s="83" t="n"/>
      <c r="D614" s="83" t="n"/>
      <c r="E614" s="83" t="n"/>
      <c r="F614" s="83" t="n"/>
      <c r="G614" s="83" t="n"/>
      <c r="H614" s="83" t="n"/>
      <c r="S614">
        <f>IF(19&lt;='設定'!$B$6,"表示","隠す")</f>
        <v/>
      </c>
    </row>
    <row r="615" hidden="1" ht="21" customHeight="1">
      <c r="A615" s="82" t="n"/>
      <c r="B615" s="46">
        <f>'設定'!$I$30</f>
        <v/>
      </c>
      <c r="C615" s="83" t="n"/>
      <c r="D615" s="83" t="n"/>
      <c r="E615" s="83" t="n"/>
      <c r="F615" s="83" t="n"/>
      <c r="G615" s="83" t="n"/>
      <c r="H615" s="83" t="n"/>
      <c r="S615">
        <f>IF(20&lt;='設定'!$B$6,"表示","隠す")</f>
        <v/>
      </c>
    </row>
    <row r="616" hidden="1" ht="21" customHeight="1">
      <c r="A616" s="82" t="n"/>
      <c r="B616" s="46">
        <f>'設定'!$I$31</f>
        <v/>
      </c>
      <c r="C616" s="83" t="n"/>
      <c r="D616" s="83" t="n"/>
      <c r="E616" s="83" t="n"/>
      <c r="F616" s="83" t="n"/>
      <c r="G616" s="83" t="n"/>
      <c r="H616" s="83" t="n"/>
      <c r="S616">
        <f>IF(21&lt;='設定'!$B$6,"表示","隠す")</f>
        <v/>
      </c>
    </row>
    <row r="617" hidden="1" ht="21" customHeight="1">
      <c r="A617" s="82" t="n"/>
      <c r="B617" s="46">
        <f>'設定'!$I$32</f>
        <v/>
      </c>
      <c r="C617" s="83" t="n"/>
      <c r="D617" s="83" t="n"/>
      <c r="E617" s="83" t="n"/>
      <c r="F617" s="83" t="n"/>
      <c r="G617" s="83" t="n"/>
      <c r="H617" s="83" t="n"/>
      <c r="S617">
        <f>IF(22&lt;='設定'!$B$6,"表示","隠す")</f>
        <v/>
      </c>
    </row>
    <row r="618" hidden="1" ht="21" customHeight="1">
      <c r="A618" s="82" t="n"/>
      <c r="B618" s="46">
        <f>'設定'!$I$33</f>
        <v/>
      </c>
      <c r="C618" s="83" t="n"/>
      <c r="D618" s="83" t="n"/>
      <c r="E618" s="83" t="n"/>
      <c r="F618" s="83" t="n"/>
      <c r="G618" s="83" t="n"/>
      <c r="H618" s="83" t="n"/>
      <c r="S618">
        <f>IF(23&lt;='設定'!$B$6,"表示","隠す")</f>
        <v/>
      </c>
    </row>
    <row r="619" hidden="1" ht="21" customHeight="1">
      <c r="A619" s="82" t="n"/>
      <c r="B619" s="46">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2" t="n"/>
      <c r="G621" s="33" t="n"/>
      <c r="H621" s="78" t="inlineStr">
        <is>
          <t>状況：</t>
        </is>
      </c>
      <c r="I621" s="79">
        <f>'名簿'!Q27</f>
        <v/>
      </c>
      <c r="J621" s="78" t="inlineStr">
        <is>
          <t>×の数：</t>
        </is>
      </c>
      <c r="K621" s="80">
        <f>'名簿'!R27</f>
        <v/>
      </c>
      <c r="L621" s="81">
        <f>HYPERLINK("#'×入力'!B649","次の人へ ▼")</f>
        <v/>
      </c>
      <c r="S621" t="inlineStr">
        <is>
          <t>表示</t>
        </is>
      </c>
    </row>
    <row r="622" ht="22" customHeight="1">
      <c r="A622" s="34" t="inlineStr">
        <is>
          <t>この日全部 ▶</t>
        </is>
      </c>
      <c r="C622" s="82" t="n"/>
      <c r="D622" s="82" t="n"/>
      <c r="E622" s="82" t="n"/>
      <c r="F622" s="82" t="n"/>
      <c r="G622" s="82" t="n"/>
      <c r="H622" s="82" t="n"/>
      <c r="S622" t="inlineStr">
        <is>
          <t>表示</t>
        </is>
      </c>
    </row>
    <row r="623" ht="28" customHeight="1">
      <c r="A623" s="37" t="inlineStr">
        <is>
          <t>この時間
全部 ▼</t>
        </is>
      </c>
      <c r="B623" s="38" t="inlineStr"/>
      <c r="C623" s="39">
        <f>'設定'!$E$11</f>
        <v/>
      </c>
      <c r="D623" s="39">
        <f>'設定'!$E$12</f>
        <v/>
      </c>
      <c r="E623" s="39">
        <f>'設定'!$E$13</f>
        <v/>
      </c>
      <c r="F623" s="39">
        <f>'設定'!$E$14</f>
        <v/>
      </c>
      <c r="G623" s="39">
        <f>'設定'!$E$15</f>
        <v/>
      </c>
      <c r="H623" s="39">
        <f>'設定'!$E$16</f>
        <v/>
      </c>
      <c r="S623" t="inlineStr">
        <is>
          <t>表示</t>
        </is>
      </c>
    </row>
    <row r="624" ht="21" customHeight="1">
      <c r="A624" s="82" t="n"/>
      <c r="B624" s="46">
        <f>'設定'!$I$11</f>
        <v/>
      </c>
      <c r="C624" s="83" t="n"/>
      <c r="D624" s="83" t="n"/>
      <c r="E624" s="83" t="n"/>
      <c r="F624" s="83" t="n"/>
      <c r="G624" s="83" t="n"/>
      <c r="H624" s="83" t="n"/>
      <c r="S624">
        <f>IF(1&lt;='設定'!$B$6,"表示","隠す")</f>
        <v/>
      </c>
    </row>
    <row r="625" ht="21" customHeight="1">
      <c r="A625" s="82" t="n"/>
      <c r="B625" s="46">
        <f>'設定'!$I$12</f>
        <v/>
      </c>
      <c r="C625" s="83" t="n"/>
      <c r="D625" s="83" t="n"/>
      <c r="E625" s="83" t="n"/>
      <c r="F625" s="83" t="n"/>
      <c r="G625" s="83" t="n"/>
      <c r="H625" s="83" t="n"/>
      <c r="S625">
        <f>IF(2&lt;='設定'!$B$6,"表示","隠す")</f>
        <v/>
      </c>
    </row>
    <row r="626" ht="21" customHeight="1">
      <c r="A626" s="82" t="n"/>
      <c r="B626" s="46">
        <f>'設定'!$I$13</f>
        <v/>
      </c>
      <c r="C626" s="83" t="n"/>
      <c r="D626" s="83" t="n"/>
      <c r="E626" s="83" t="n"/>
      <c r="F626" s="83" t="n"/>
      <c r="G626" s="83" t="n"/>
      <c r="H626" s="83" t="n"/>
      <c r="S626">
        <f>IF(3&lt;='設定'!$B$6,"表示","隠す")</f>
        <v/>
      </c>
    </row>
    <row r="627" ht="21" customHeight="1">
      <c r="A627" s="82" t="n"/>
      <c r="B627" s="46">
        <f>'設定'!$I$14</f>
        <v/>
      </c>
      <c r="C627" s="83" t="n"/>
      <c r="D627" s="83" t="n"/>
      <c r="E627" s="83" t="n"/>
      <c r="F627" s="83" t="n"/>
      <c r="G627" s="83" t="n"/>
      <c r="H627" s="83" t="n"/>
      <c r="S627">
        <f>IF(4&lt;='設定'!$B$6,"表示","隠す")</f>
        <v/>
      </c>
    </row>
    <row r="628" ht="21" customHeight="1">
      <c r="A628" s="82" t="n"/>
      <c r="B628" s="46">
        <f>'設定'!$I$15</f>
        <v/>
      </c>
      <c r="C628" s="83" t="n"/>
      <c r="D628" s="83" t="n"/>
      <c r="E628" s="83" t="n"/>
      <c r="F628" s="83" t="n"/>
      <c r="G628" s="83" t="n"/>
      <c r="H628" s="83" t="n"/>
      <c r="S628">
        <f>IF(5&lt;='設定'!$B$6,"表示","隠す")</f>
        <v/>
      </c>
    </row>
    <row r="629" ht="21" customHeight="1">
      <c r="A629" s="82" t="n"/>
      <c r="B629" s="46">
        <f>'設定'!$I$16</f>
        <v/>
      </c>
      <c r="C629" s="83" t="n"/>
      <c r="D629" s="83" t="n"/>
      <c r="E629" s="83" t="n"/>
      <c r="F629" s="83" t="n"/>
      <c r="G629" s="83" t="n"/>
      <c r="H629" s="83" t="n"/>
      <c r="S629">
        <f>IF(6&lt;='設定'!$B$6,"表示","隠す")</f>
        <v/>
      </c>
    </row>
    <row r="630" ht="21" customHeight="1">
      <c r="A630" s="82" t="n"/>
      <c r="B630" s="46">
        <f>'設定'!$I$17</f>
        <v/>
      </c>
      <c r="C630" s="83" t="n"/>
      <c r="D630" s="83" t="n"/>
      <c r="E630" s="83" t="n"/>
      <c r="F630" s="83" t="n"/>
      <c r="G630" s="83" t="n"/>
      <c r="H630" s="83" t="n"/>
      <c r="S630">
        <f>IF(7&lt;='設定'!$B$6,"表示","隠す")</f>
        <v/>
      </c>
    </row>
    <row r="631" ht="21" customHeight="1">
      <c r="A631" s="82" t="n"/>
      <c r="B631" s="46">
        <f>'設定'!$I$18</f>
        <v/>
      </c>
      <c r="C631" s="83" t="n"/>
      <c r="D631" s="83" t="n"/>
      <c r="E631" s="83" t="n"/>
      <c r="F631" s="83" t="n"/>
      <c r="G631" s="83" t="n"/>
      <c r="H631" s="83" t="n"/>
      <c r="S631">
        <f>IF(8&lt;='設定'!$B$6,"表示","隠す")</f>
        <v/>
      </c>
    </row>
    <row r="632" ht="21" customHeight="1">
      <c r="A632" s="82" t="n"/>
      <c r="B632" s="46">
        <f>'設定'!$I$19</f>
        <v/>
      </c>
      <c r="C632" s="83" t="n"/>
      <c r="D632" s="83" t="n"/>
      <c r="E632" s="83" t="n"/>
      <c r="F632" s="83" t="n"/>
      <c r="G632" s="83" t="n"/>
      <c r="H632" s="83" t="n"/>
      <c r="S632">
        <f>IF(9&lt;='設定'!$B$6,"表示","隠す")</f>
        <v/>
      </c>
    </row>
    <row r="633" hidden="1" ht="21" customHeight="1">
      <c r="A633" s="82" t="n"/>
      <c r="B633" s="46">
        <f>'設定'!$I$20</f>
        <v/>
      </c>
      <c r="C633" s="83" t="n"/>
      <c r="D633" s="83" t="n"/>
      <c r="E633" s="83" t="n"/>
      <c r="F633" s="83" t="n"/>
      <c r="G633" s="83" t="n"/>
      <c r="H633" s="83" t="n"/>
      <c r="S633">
        <f>IF(10&lt;='設定'!$B$6,"表示","隠す")</f>
        <v/>
      </c>
    </row>
    <row r="634" hidden="1" ht="21" customHeight="1">
      <c r="A634" s="82" t="n"/>
      <c r="B634" s="46">
        <f>'設定'!$I$21</f>
        <v/>
      </c>
      <c r="C634" s="83" t="n"/>
      <c r="D634" s="83" t="n"/>
      <c r="E634" s="83" t="n"/>
      <c r="F634" s="83" t="n"/>
      <c r="G634" s="83" t="n"/>
      <c r="H634" s="83" t="n"/>
      <c r="S634">
        <f>IF(11&lt;='設定'!$B$6,"表示","隠す")</f>
        <v/>
      </c>
    </row>
    <row r="635" hidden="1" ht="21" customHeight="1">
      <c r="A635" s="82" t="n"/>
      <c r="B635" s="46">
        <f>'設定'!$I$22</f>
        <v/>
      </c>
      <c r="C635" s="83" t="n"/>
      <c r="D635" s="83" t="n"/>
      <c r="E635" s="83" t="n"/>
      <c r="F635" s="83" t="n"/>
      <c r="G635" s="83" t="n"/>
      <c r="H635" s="83" t="n"/>
      <c r="S635">
        <f>IF(12&lt;='設定'!$B$6,"表示","隠す")</f>
        <v/>
      </c>
    </row>
    <row r="636" hidden="1" ht="21" customHeight="1">
      <c r="A636" s="82" t="n"/>
      <c r="B636" s="46">
        <f>'設定'!$I$23</f>
        <v/>
      </c>
      <c r="C636" s="83" t="n"/>
      <c r="D636" s="83" t="n"/>
      <c r="E636" s="83" t="n"/>
      <c r="F636" s="83" t="n"/>
      <c r="G636" s="83" t="n"/>
      <c r="H636" s="83" t="n"/>
      <c r="S636">
        <f>IF(13&lt;='設定'!$B$6,"表示","隠す")</f>
        <v/>
      </c>
    </row>
    <row r="637" hidden="1" ht="21" customHeight="1">
      <c r="A637" s="82" t="n"/>
      <c r="B637" s="46">
        <f>'設定'!$I$24</f>
        <v/>
      </c>
      <c r="C637" s="83" t="n"/>
      <c r="D637" s="83" t="n"/>
      <c r="E637" s="83" t="n"/>
      <c r="F637" s="83" t="n"/>
      <c r="G637" s="83" t="n"/>
      <c r="H637" s="83" t="n"/>
      <c r="S637">
        <f>IF(14&lt;='設定'!$B$6,"表示","隠す")</f>
        <v/>
      </c>
    </row>
    <row r="638" hidden="1" ht="21" customHeight="1">
      <c r="A638" s="82" t="n"/>
      <c r="B638" s="46">
        <f>'設定'!$I$25</f>
        <v/>
      </c>
      <c r="C638" s="83" t="n"/>
      <c r="D638" s="83" t="n"/>
      <c r="E638" s="83" t="n"/>
      <c r="F638" s="83" t="n"/>
      <c r="G638" s="83" t="n"/>
      <c r="H638" s="83" t="n"/>
      <c r="S638">
        <f>IF(15&lt;='設定'!$B$6,"表示","隠す")</f>
        <v/>
      </c>
    </row>
    <row r="639" hidden="1" ht="21" customHeight="1">
      <c r="A639" s="82" t="n"/>
      <c r="B639" s="46">
        <f>'設定'!$I$26</f>
        <v/>
      </c>
      <c r="C639" s="83" t="n"/>
      <c r="D639" s="83" t="n"/>
      <c r="E639" s="83" t="n"/>
      <c r="F639" s="83" t="n"/>
      <c r="G639" s="83" t="n"/>
      <c r="H639" s="83" t="n"/>
      <c r="S639">
        <f>IF(16&lt;='設定'!$B$6,"表示","隠す")</f>
        <v/>
      </c>
    </row>
    <row r="640" hidden="1" ht="21" customHeight="1">
      <c r="A640" s="82" t="n"/>
      <c r="B640" s="46">
        <f>'設定'!$I$27</f>
        <v/>
      </c>
      <c r="C640" s="83" t="n"/>
      <c r="D640" s="83" t="n"/>
      <c r="E640" s="83" t="n"/>
      <c r="F640" s="83" t="n"/>
      <c r="G640" s="83" t="n"/>
      <c r="H640" s="83" t="n"/>
      <c r="S640">
        <f>IF(17&lt;='設定'!$B$6,"表示","隠す")</f>
        <v/>
      </c>
    </row>
    <row r="641" hidden="1" ht="21" customHeight="1">
      <c r="A641" s="82" t="n"/>
      <c r="B641" s="46">
        <f>'設定'!$I$28</f>
        <v/>
      </c>
      <c r="C641" s="83" t="n"/>
      <c r="D641" s="83" t="n"/>
      <c r="E641" s="83" t="n"/>
      <c r="F641" s="83" t="n"/>
      <c r="G641" s="83" t="n"/>
      <c r="H641" s="83" t="n"/>
      <c r="S641">
        <f>IF(18&lt;='設定'!$B$6,"表示","隠す")</f>
        <v/>
      </c>
    </row>
    <row r="642" hidden="1" ht="21" customHeight="1">
      <c r="A642" s="82" t="n"/>
      <c r="B642" s="46">
        <f>'設定'!$I$29</f>
        <v/>
      </c>
      <c r="C642" s="83" t="n"/>
      <c r="D642" s="83" t="n"/>
      <c r="E642" s="83" t="n"/>
      <c r="F642" s="83" t="n"/>
      <c r="G642" s="83" t="n"/>
      <c r="H642" s="83" t="n"/>
      <c r="S642">
        <f>IF(19&lt;='設定'!$B$6,"表示","隠す")</f>
        <v/>
      </c>
    </row>
    <row r="643" hidden="1" ht="21" customHeight="1">
      <c r="A643" s="82" t="n"/>
      <c r="B643" s="46">
        <f>'設定'!$I$30</f>
        <v/>
      </c>
      <c r="C643" s="83" t="n"/>
      <c r="D643" s="83" t="n"/>
      <c r="E643" s="83" t="n"/>
      <c r="F643" s="83" t="n"/>
      <c r="G643" s="83" t="n"/>
      <c r="H643" s="83" t="n"/>
      <c r="S643">
        <f>IF(20&lt;='設定'!$B$6,"表示","隠す")</f>
        <v/>
      </c>
    </row>
    <row r="644" hidden="1" ht="21" customHeight="1">
      <c r="A644" s="82" t="n"/>
      <c r="B644" s="46">
        <f>'設定'!$I$31</f>
        <v/>
      </c>
      <c r="C644" s="83" t="n"/>
      <c r="D644" s="83" t="n"/>
      <c r="E644" s="83" t="n"/>
      <c r="F644" s="83" t="n"/>
      <c r="G644" s="83" t="n"/>
      <c r="H644" s="83" t="n"/>
      <c r="S644">
        <f>IF(21&lt;='設定'!$B$6,"表示","隠す")</f>
        <v/>
      </c>
    </row>
    <row r="645" hidden="1" ht="21" customHeight="1">
      <c r="A645" s="82" t="n"/>
      <c r="B645" s="46">
        <f>'設定'!$I$32</f>
        <v/>
      </c>
      <c r="C645" s="83" t="n"/>
      <c r="D645" s="83" t="n"/>
      <c r="E645" s="83" t="n"/>
      <c r="F645" s="83" t="n"/>
      <c r="G645" s="83" t="n"/>
      <c r="H645" s="83" t="n"/>
      <c r="S645">
        <f>IF(22&lt;='設定'!$B$6,"表示","隠す")</f>
        <v/>
      </c>
    </row>
    <row r="646" hidden="1" ht="21" customHeight="1">
      <c r="A646" s="82" t="n"/>
      <c r="B646" s="46">
        <f>'設定'!$I$33</f>
        <v/>
      </c>
      <c r="C646" s="83" t="n"/>
      <c r="D646" s="83" t="n"/>
      <c r="E646" s="83" t="n"/>
      <c r="F646" s="83" t="n"/>
      <c r="G646" s="83" t="n"/>
      <c r="H646" s="83" t="n"/>
      <c r="S646">
        <f>IF(23&lt;='設定'!$B$6,"表示","隠す")</f>
        <v/>
      </c>
    </row>
    <row r="647" hidden="1" ht="21" customHeight="1">
      <c r="A647" s="82" t="n"/>
      <c r="B647" s="46">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2" t="n"/>
      <c r="G649" s="33" t="n"/>
      <c r="H649" s="78" t="inlineStr">
        <is>
          <t>状況：</t>
        </is>
      </c>
      <c r="I649" s="79">
        <f>'名簿'!Q28</f>
        <v/>
      </c>
      <c r="J649" s="78" t="inlineStr">
        <is>
          <t>×の数：</t>
        </is>
      </c>
      <c r="K649" s="80">
        <f>'名簿'!R28</f>
        <v/>
      </c>
      <c r="L649" s="81">
        <f>HYPERLINK("#'×入力'!B677","次の人へ ▼")</f>
        <v/>
      </c>
      <c r="S649" t="inlineStr">
        <is>
          <t>表示</t>
        </is>
      </c>
    </row>
    <row r="650" ht="22" customHeight="1">
      <c r="A650" s="34" t="inlineStr">
        <is>
          <t>この日全部 ▶</t>
        </is>
      </c>
      <c r="C650" s="82" t="n"/>
      <c r="D650" s="82" t="n"/>
      <c r="E650" s="82" t="n"/>
      <c r="F650" s="82" t="n"/>
      <c r="G650" s="82" t="n"/>
      <c r="H650" s="82" t="n"/>
      <c r="S650" t="inlineStr">
        <is>
          <t>表示</t>
        </is>
      </c>
    </row>
    <row r="651" ht="28" customHeight="1">
      <c r="A651" s="37" t="inlineStr">
        <is>
          <t>この時間
全部 ▼</t>
        </is>
      </c>
      <c r="B651" s="38" t="inlineStr"/>
      <c r="C651" s="39">
        <f>'設定'!$E$11</f>
        <v/>
      </c>
      <c r="D651" s="39">
        <f>'設定'!$E$12</f>
        <v/>
      </c>
      <c r="E651" s="39">
        <f>'設定'!$E$13</f>
        <v/>
      </c>
      <c r="F651" s="39">
        <f>'設定'!$E$14</f>
        <v/>
      </c>
      <c r="G651" s="39">
        <f>'設定'!$E$15</f>
        <v/>
      </c>
      <c r="H651" s="39">
        <f>'設定'!$E$16</f>
        <v/>
      </c>
      <c r="S651" t="inlineStr">
        <is>
          <t>表示</t>
        </is>
      </c>
    </row>
    <row r="652" ht="21" customHeight="1">
      <c r="A652" s="82" t="n"/>
      <c r="B652" s="46">
        <f>'設定'!$I$11</f>
        <v/>
      </c>
      <c r="C652" s="83" t="n"/>
      <c r="D652" s="83" t="n"/>
      <c r="E652" s="83" t="n"/>
      <c r="F652" s="83" t="n"/>
      <c r="G652" s="83" t="n"/>
      <c r="H652" s="83" t="n"/>
      <c r="S652">
        <f>IF(1&lt;='設定'!$B$6,"表示","隠す")</f>
        <v/>
      </c>
    </row>
    <row r="653" ht="21" customHeight="1">
      <c r="A653" s="82" t="n"/>
      <c r="B653" s="46">
        <f>'設定'!$I$12</f>
        <v/>
      </c>
      <c r="C653" s="83" t="n"/>
      <c r="D653" s="83" t="n"/>
      <c r="E653" s="83" t="n"/>
      <c r="F653" s="83" t="n"/>
      <c r="G653" s="83" t="n"/>
      <c r="H653" s="83" t="n"/>
      <c r="S653">
        <f>IF(2&lt;='設定'!$B$6,"表示","隠す")</f>
        <v/>
      </c>
    </row>
    <row r="654" ht="21" customHeight="1">
      <c r="A654" s="82" t="n"/>
      <c r="B654" s="46">
        <f>'設定'!$I$13</f>
        <v/>
      </c>
      <c r="C654" s="83" t="n"/>
      <c r="D654" s="83" t="n"/>
      <c r="E654" s="83" t="n"/>
      <c r="F654" s="83" t="n"/>
      <c r="G654" s="83" t="n"/>
      <c r="H654" s="83" t="n"/>
      <c r="S654">
        <f>IF(3&lt;='設定'!$B$6,"表示","隠す")</f>
        <v/>
      </c>
    </row>
    <row r="655" ht="21" customHeight="1">
      <c r="A655" s="82" t="n"/>
      <c r="B655" s="46">
        <f>'設定'!$I$14</f>
        <v/>
      </c>
      <c r="C655" s="83" t="n"/>
      <c r="D655" s="83" t="n"/>
      <c r="E655" s="83" t="n"/>
      <c r="F655" s="83" t="n"/>
      <c r="G655" s="83" t="n"/>
      <c r="H655" s="83" t="n"/>
      <c r="S655">
        <f>IF(4&lt;='設定'!$B$6,"表示","隠す")</f>
        <v/>
      </c>
    </row>
    <row r="656" ht="21" customHeight="1">
      <c r="A656" s="82" t="n"/>
      <c r="B656" s="46">
        <f>'設定'!$I$15</f>
        <v/>
      </c>
      <c r="C656" s="83" t="n"/>
      <c r="D656" s="83" t="n"/>
      <c r="E656" s="83" t="n"/>
      <c r="F656" s="83" t="n"/>
      <c r="G656" s="83" t="n"/>
      <c r="H656" s="83" t="n"/>
      <c r="S656">
        <f>IF(5&lt;='設定'!$B$6,"表示","隠す")</f>
        <v/>
      </c>
    </row>
    <row r="657" ht="21" customHeight="1">
      <c r="A657" s="82" t="n"/>
      <c r="B657" s="46">
        <f>'設定'!$I$16</f>
        <v/>
      </c>
      <c r="C657" s="83" t="n"/>
      <c r="D657" s="83" t="n"/>
      <c r="E657" s="83" t="n"/>
      <c r="F657" s="83" t="n"/>
      <c r="G657" s="83" t="n"/>
      <c r="H657" s="83" t="n"/>
      <c r="S657">
        <f>IF(6&lt;='設定'!$B$6,"表示","隠す")</f>
        <v/>
      </c>
    </row>
    <row r="658" ht="21" customHeight="1">
      <c r="A658" s="82" t="n"/>
      <c r="B658" s="46">
        <f>'設定'!$I$17</f>
        <v/>
      </c>
      <c r="C658" s="83" t="n"/>
      <c r="D658" s="83" t="n"/>
      <c r="E658" s="83" t="n"/>
      <c r="F658" s="83" t="n"/>
      <c r="G658" s="83" t="n"/>
      <c r="H658" s="83" t="n"/>
      <c r="S658">
        <f>IF(7&lt;='設定'!$B$6,"表示","隠す")</f>
        <v/>
      </c>
    </row>
    <row r="659" ht="21" customHeight="1">
      <c r="A659" s="82" t="n"/>
      <c r="B659" s="46">
        <f>'設定'!$I$18</f>
        <v/>
      </c>
      <c r="C659" s="83" t="n"/>
      <c r="D659" s="83" t="n"/>
      <c r="E659" s="83" t="n"/>
      <c r="F659" s="83" t="n"/>
      <c r="G659" s="83" t="n"/>
      <c r="H659" s="83" t="n"/>
      <c r="S659">
        <f>IF(8&lt;='設定'!$B$6,"表示","隠す")</f>
        <v/>
      </c>
    </row>
    <row r="660" ht="21" customHeight="1">
      <c r="A660" s="82" t="n"/>
      <c r="B660" s="46">
        <f>'設定'!$I$19</f>
        <v/>
      </c>
      <c r="C660" s="83" t="n"/>
      <c r="D660" s="83" t="n"/>
      <c r="E660" s="83" t="n"/>
      <c r="F660" s="83" t="n"/>
      <c r="G660" s="83" t="n"/>
      <c r="H660" s="83" t="n"/>
      <c r="S660">
        <f>IF(9&lt;='設定'!$B$6,"表示","隠す")</f>
        <v/>
      </c>
    </row>
    <row r="661" hidden="1" ht="21" customHeight="1">
      <c r="A661" s="82" t="n"/>
      <c r="B661" s="46">
        <f>'設定'!$I$20</f>
        <v/>
      </c>
      <c r="C661" s="83" t="n"/>
      <c r="D661" s="83" t="n"/>
      <c r="E661" s="83" t="n"/>
      <c r="F661" s="83" t="n"/>
      <c r="G661" s="83" t="n"/>
      <c r="H661" s="83" t="n"/>
      <c r="S661">
        <f>IF(10&lt;='設定'!$B$6,"表示","隠す")</f>
        <v/>
      </c>
    </row>
    <row r="662" hidden="1" ht="21" customHeight="1">
      <c r="A662" s="82" t="n"/>
      <c r="B662" s="46">
        <f>'設定'!$I$21</f>
        <v/>
      </c>
      <c r="C662" s="83" t="n"/>
      <c r="D662" s="83" t="n"/>
      <c r="E662" s="83" t="n"/>
      <c r="F662" s="83" t="n"/>
      <c r="G662" s="83" t="n"/>
      <c r="H662" s="83" t="n"/>
      <c r="S662">
        <f>IF(11&lt;='設定'!$B$6,"表示","隠す")</f>
        <v/>
      </c>
    </row>
    <row r="663" hidden="1" ht="21" customHeight="1">
      <c r="A663" s="82" t="n"/>
      <c r="B663" s="46">
        <f>'設定'!$I$22</f>
        <v/>
      </c>
      <c r="C663" s="83" t="n"/>
      <c r="D663" s="83" t="n"/>
      <c r="E663" s="83" t="n"/>
      <c r="F663" s="83" t="n"/>
      <c r="G663" s="83" t="n"/>
      <c r="H663" s="83" t="n"/>
      <c r="S663">
        <f>IF(12&lt;='設定'!$B$6,"表示","隠す")</f>
        <v/>
      </c>
    </row>
    <row r="664" hidden="1" ht="21" customHeight="1">
      <c r="A664" s="82" t="n"/>
      <c r="B664" s="46">
        <f>'設定'!$I$23</f>
        <v/>
      </c>
      <c r="C664" s="83" t="n"/>
      <c r="D664" s="83" t="n"/>
      <c r="E664" s="83" t="n"/>
      <c r="F664" s="83" t="n"/>
      <c r="G664" s="83" t="n"/>
      <c r="H664" s="83" t="n"/>
      <c r="S664">
        <f>IF(13&lt;='設定'!$B$6,"表示","隠す")</f>
        <v/>
      </c>
    </row>
    <row r="665" hidden="1" ht="21" customHeight="1">
      <c r="A665" s="82" t="n"/>
      <c r="B665" s="46">
        <f>'設定'!$I$24</f>
        <v/>
      </c>
      <c r="C665" s="83" t="n"/>
      <c r="D665" s="83" t="n"/>
      <c r="E665" s="83" t="n"/>
      <c r="F665" s="83" t="n"/>
      <c r="G665" s="83" t="n"/>
      <c r="H665" s="83" t="n"/>
      <c r="S665">
        <f>IF(14&lt;='設定'!$B$6,"表示","隠す")</f>
        <v/>
      </c>
    </row>
    <row r="666" hidden="1" ht="21" customHeight="1">
      <c r="A666" s="82" t="n"/>
      <c r="B666" s="46">
        <f>'設定'!$I$25</f>
        <v/>
      </c>
      <c r="C666" s="83" t="n"/>
      <c r="D666" s="83" t="n"/>
      <c r="E666" s="83" t="n"/>
      <c r="F666" s="83" t="n"/>
      <c r="G666" s="83" t="n"/>
      <c r="H666" s="83" t="n"/>
      <c r="S666">
        <f>IF(15&lt;='設定'!$B$6,"表示","隠す")</f>
        <v/>
      </c>
    </row>
    <row r="667" hidden="1" ht="21" customHeight="1">
      <c r="A667" s="82" t="n"/>
      <c r="B667" s="46">
        <f>'設定'!$I$26</f>
        <v/>
      </c>
      <c r="C667" s="83" t="n"/>
      <c r="D667" s="83" t="n"/>
      <c r="E667" s="83" t="n"/>
      <c r="F667" s="83" t="n"/>
      <c r="G667" s="83" t="n"/>
      <c r="H667" s="83" t="n"/>
      <c r="S667">
        <f>IF(16&lt;='設定'!$B$6,"表示","隠す")</f>
        <v/>
      </c>
    </row>
    <row r="668" hidden="1" ht="21" customHeight="1">
      <c r="A668" s="82" t="n"/>
      <c r="B668" s="46">
        <f>'設定'!$I$27</f>
        <v/>
      </c>
      <c r="C668" s="83" t="n"/>
      <c r="D668" s="83" t="n"/>
      <c r="E668" s="83" t="n"/>
      <c r="F668" s="83" t="n"/>
      <c r="G668" s="83" t="n"/>
      <c r="H668" s="83" t="n"/>
      <c r="S668">
        <f>IF(17&lt;='設定'!$B$6,"表示","隠す")</f>
        <v/>
      </c>
    </row>
    <row r="669" hidden="1" ht="21" customHeight="1">
      <c r="A669" s="82" t="n"/>
      <c r="B669" s="46">
        <f>'設定'!$I$28</f>
        <v/>
      </c>
      <c r="C669" s="83" t="n"/>
      <c r="D669" s="83" t="n"/>
      <c r="E669" s="83" t="n"/>
      <c r="F669" s="83" t="n"/>
      <c r="G669" s="83" t="n"/>
      <c r="H669" s="83" t="n"/>
      <c r="S669">
        <f>IF(18&lt;='設定'!$B$6,"表示","隠す")</f>
        <v/>
      </c>
    </row>
    <row r="670" hidden="1" ht="21" customHeight="1">
      <c r="A670" s="82" t="n"/>
      <c r="B670" s="46">
        <f>'設定'!$I$29</f>
        <v/>
      </c>
      <c r="C670" s="83" t="n"/>
      <c r="D670" s="83" t="n"/>
      <c r="E670" s="83" t="n"/>
      <c r="F670" s="83" t="n"/>
      <c r="G670" s="83" t="n"/>
      <c r="H670" s="83" t="n"/>
      <c r="S670">
        <f>IF(19&lt;='設定'!$B$6,"表示","隠す")</f>
        <v/>
      </c>
    </row>
    <row r="671" hidden="1" ht="21" customHeight="1">
      <c r="A671" s="82" t="n"/>
      <c r="B671" s="46">
        <f>'設定'!$I$30</f>
        <v/>
      </c>
      <c r="C671" s="83" t="n"/>
      <c r="D671" s="83" t="n"/>
      <c r="E671" s="83" t="n"/>
      <c r="F671" s="83" t="n"/>
      <c r="G671" s="83" t="n"/>
      <c r="H671" s="83" t="n"/>
      <c r="S671">
        <f>IF(20&lt;='設定'!$B$6,"表示","隠す")</f>
        <v/>
      </c>
    </row>
    <row r="672" hidden="1" ht="21" customHeight="1">
      <c r="A672" s="82" t="n"/>
      <c r="B672" s="46">
        <f>'設定'!$I$31</f>
        <v/>
      </c>
      <c r="C672" s="83" t="n"/>
      <c r="D672" s="83" t="n"/>
      <c r="E672" s="83" t="n"/>
      <c r="F672" s="83" t="n"/>
      <c r="G672" s="83" t="n"/>
      <c r="H672" s="83" t="n"/>
      <c r="S672">
        <f>IF(21&lt;='設定'!$B$6,"表示","隠す")</f>
        <v/>
      </c>
    </row>
    <row r="673" hidden="1" ht="21" customHeight="1">
      <c r="A673" s="82" t="n"/>
      <c r="B673" s="46">
        <f>'設定'!$I$32</f>
        <v/>
      </c>
      <c r="C673" s="83" t="n"/>
      <c r="D673" s="83" t="n"/>
      <c r="E673" s="83" t="n"/>
      <c r="F673" s="83" t="n"/>
      <c r="G673" s="83" t="n"/>
      <c r="H673" s="83" t="n"/>
      <c r="S673">
        <f>IF(22&lt;='設定'!$B$6,"表示","隠す")</f>
        <v/>
      </c>
    </row>
    <row r="674" hidden="1" ht="21" customHeight="1">
      <c r="A674" s="82" t="n"/>
      <c r="B674" s="46">
        <f>'設定'!$I$33</f>
        <v/>
      </c>
      <c r="C674" s="83" t="n"/>
      <c r="D674" s="83" t="n"/>
      <c r="E674" s="83" t="n"/>
      <c r="F674" s="83" t="n"/>
      <c r="G674" s="83" t="n"/>
      <c r="H674" s="83" t="n"/>
      <c r="S674">
        <f>IF(23&lt;='設定'!$B$6,"表示","隠す")</f>
        <v/>
      </c>
    </row>
    <row r="675" hidden="1" ht="21" customHeight="1">
      <c r="A675" s="82" t="n"/>
      <c r="B675" s="46">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2" t="n"/>
      <c r="G677" s="33" t="n"/>
      <c r="H677" s="78" t="inlineStr">
        <is>
          <t>状況：</t>
        </is>
      </c>
      <c r="I677" s="79">
        <f>'名簿'!Q29</f>
        <v/>
      </c>
      <c r="J677" s="78" t="inlineStr">
        <is>
          <t>×の数：</t>
        </is>
      </c>
      <c r="K677" s="80">
        <f>'名簿'!R29</f>
        <v/>
      </c>
      <c r="L677" s="81">
        <f>HYPERLINK("#'×入力'!B705","次の人へ ▼")</f>
        <v/>
      </c>
      <c r="S677" t="inlineStr">
        <is>
          <t>表示</t>
        </is>
      </c>
    </row>
    <row r="678" ht="22" customHeight="1">
      <c r="A678" s="34" t="inlineStr">
        <is>
          <t>この日全部 ▶</t>
        </is>
      </c>
      <c r="C678" s="82" t="n"/>
      <c r="D678" s="82" t="n"/>
      <c r="E678" s="82" t="n"/>
      <c r="F678" s="82" t="n"/>
      <c r="G678" s="82" t="n"/>
      <c r="H678" s="82" t="n"/>
      <c r="S678" t="inlineStr">
        <is>
          <t>表示</t>
        </is>
      </c>
    </row>
    <row r="679" ht="28" customHeight="1">
      <c r="A679" s="37" t="inlineStr">
        <is>
          <t>この時間
全部 ▼</t>
        </is>
      </c>
      <c r="B679" s="38" t="inlineStr"/>
      <c r="C679" s="39">
        <f>'設定'!$E$11</f>
        <v/>
      </c>
      <c r="D679" s="39">
        <f>'設定'!$E$12</f>
        <v/>
      </c>
      <c r="E679" s="39">
        <f>'設定'!$E$13</f>
        <v/>
      </c>
      <c r="F679" s="39">
        <f>'設定'!$E$14</f>
        <v/>
      </c>
      <c r="G679" s="39">
        <f>'設定'!$E$15</f>
        <v/>
      </c>
      <c r="H679" s="39">
        <f>'設定'!$E$16</f>
        <v/>
      </c>
      <c r="S679" t="inlineStr">
        <is>
          <t>表示</t>
        </is>
      </c>
    </row>
    <row r="680" ht="21" customHeight="1">
      <c r="A680" s="82" t="n"/>
      <c r="B680" s="46">
        <f>'設定'!$I$11</f>
        <v/>
      </c>
      <c r="C680" s="83" t="n"/>
      <c r="D680" s="83" t="n"/>
      <c r="E680" s="83" t="n"/>
      <c r="F680" s="83" t="n"/>
      <c r="G680" s="83" t="n"/>
      <c r="H680" s="83" t="n"/>
      <c r="S680">
        <f>IF(1&lt;='設定'!$B$6,"表示","隠す")</f>
        <v/>
      </c>
    </row>
    <row r="681" ht="21" customHeight="1">
      <c r="A681" s="82" t="n"/>
      <c r="B681" s="46">
        <f>'設定'!$I$12</f>
        <v/>
      </c>
      <c r="C681" s="83" t="n"/>
      <c r="D681" s="83" t="n"/>
      <c r="E681" s="83" t="n"/>
      <c r="F681" s="83" t="n"/>
      <c r="G681" s="83" t="n"/>
      <c r="H681" s="83" t="n"/>
      <c r="S681">
        <f>IF(2&lt;='設定'!$B$6,"表示","隠す")</f>
        <v/>
      </c>
    </row>
    <row r="682" ht="21" customHeight="1">
      <c r="A682" s="82" t="n"/>
      <c r="B682" s="46">
        <f>'設定'!$I$13</f>
        <v/>
      </c>
      <c r="C682" s="83" t="n"/>
      <c r="D682" s="83" t="n"/>
      <c r="E682" s="83" t="n"/>
      <c r="F682" s="83" t="n"/>
      <c r="G682" s="83" t="n"/>
      <c r="H682" s="83" t="n"/>
      <c r="S682">
        <f>IF(3&lt;='設定'!$B$6,"表示","隠す")</f>
        <v/>
      </c>
    </row>
    <row r="683" ht="21" customHeight="1">
      <c r="A683" s="82" t="n"/>
      <c r="B683" s="46">
        <f>'設定'!$I$14</f>
        <v/>
      </c>
      <c r="C683" s="83" t="n"/>
      <c r="D683" s="83" t="n"/>
      <c r="E683" s="83" t="n"/>
      <c r="F683" s="83" t="n"/>
      <c r="G683" s="83" t="n"/>
      <c r="H683" s="83" t="n"/>
      <c r="S683">
        <f>IF(4&lt;='設定'!$B$6,"表示","隠す")</f>
        <v/>
      </c>
    </row>
    <row r="684" ht="21" customHeight="1">
      <c r="A684" s="82" t="n"/>
      <c r="B684" s="46">
        <f>'設定'!$I$15</f>
        <v/>
      </c>
      <c r="C684" s="83" t="n"/>
      <c r="D684" s="83" t="n"/>
      <c r="E684" s="83" t="n"/>
      <c r="F684" s="83" t="n"/>
      <c r="G684" s="83" t="n"/>
      <c r="H684" s="83" t="n"/>
      <c r="S684">
        <f>IF(5&lt;='設定'!$B$6,"表示","隠す")</f>
        <v/>
      </c>
    </row>
    <row r="685" ht="21" customHeight="1">
      <c r="A685" s="82" t="n"/>
      <c r="B685" s="46">
        <f>'設定'!$I$16</f>
        <v/>
      </c>
      <c r="C685" s="83" t="n"/>
      <c r="D685" s="83" t="n"/>
      <c r="E685" s="83" t="n"/>
      <c r="F685" s="83" t="n"/>
      <c r="G685" s="83" t="n"/>
      <c r="H685" s="83" t="n"/>
      <c r="S685">
        <f>IF(6&lt;='設定'!$B$6,"表示","隠す")</f>
        <v/>
      </c>
    </row>
    <row r="686" ht="21" customHeight="1">
      <c r="A686" s="82" t="n"/>
      <c r="B686" s="46">
        <f>'設定'!$I$17</f>
        <v/>
      </c>
      <c r="C686" s="83" t="n"/>
      <c r="D686" s="83" t="n"/>
      <c r="E686" s="83" t="n"/>
      <c r="F686" s="83" t="n"/>
      <c r="G686" s="83" t="n"/>
      <c r="H686" s="83" t="n"/>
      <c r="S686">
        <f>IF(7&lt;='設定'!$B$6,"表示","隠す")</f>
        <v/>
      </c>
    </row>
    <row r="687" ht="21" customHeight="1">
      <c r="A687" s="82" t="n"/>
      <c r="B687" s="46">
        <f>'設定'!$I$18</f>
        <v/>
      </c>
      <c r="C687" s="83" t="n"/>
      <c r="D687" s="83" t="n"/>
      <c r="E687" s="83" t="n"/>
      <c r="F687" s="83" t="n"/>
      <c r="G687" s="83" t="n"/>
      <c r="H687" s="83" t="n"/>
      <c r="S687">
        <f>IF(8&lt;='設定'!$B$6,"表示","隠す")</f>
        <v/>
      </c>
    </row>
    <row r="688" ht="21" customHeight="1">
      <c r="A688" s="82" t="n"/>
      <c r="B688" s="46">
        <f>'設定'!$I$19</f>
        <v/>
      </c>
      <c r="C688" s="83" t="n"/>
      <c r="D688" s="83" t="n"/>
      <c r="E688" s="83" t="n"/>
      <c r="F688" s="83" t="n"/>
      <c r="G688" s="83" t="n"/>
      <c r="H688" s="83" t="n"/>
      <c r="S688">
        <f>IF(9&lt;='設定'!$B$6,"表示","隠す")</f>
        <v/>
      </c>
    </row>
    <row r="689" hidden="1" ht="21" customHeight="1">
      <c r="A689" s="82" t="n"/>
      <c r="B689" s="46">
        <f>'設定'!$I$20</f>
        <v/>
      </c>
      <c r="C689" s="83" t="n"/>
      <c r="D689" s="83" t="n"/>
      <c r="E689" s="83" t="n"/>
      <c r="F689" s="83" t="n"/>
      <c r="G689" s="83" t="n"/>
      <c r="H689" s="83" t="n"/>
      <c r="S689">
        <f>IF(10&lt;='設定'!$B$6,"表示","隠す")</f>
        <v/>
      </c>
    </row>
    <row r="690" hidden="1" ht="21" customHeight="1">
      <c r="A690" s="82" t="n"/>
      <c r="B690" s="46">
        <f>'設定'!$I$21</f>
        <v/>
      </c>
      <c r="C690" s="83" t="n"/>
      <c r="D690" s="83" t="n"/>
      <c r="E690" s="83" t="n"/>
      <c r="F690" s="83" t="n"/>
      <c r="G690" s="83" t="n"/>
      <c r="H690" s="83" t="n"/>
      <c r="S690">
        <f>IF(11&lt;='設定'!$B$6,"表示","隠す")</f>
        <v/>
      </c>
    </row>
    <row r="691" hidden="1" ht="21" customHeight="1">
      <c r="A691" s="82" t="n"/>
      <c r="B691" s="46">
        <f>'設定'!$I$22</f>
        <v/>
      </c>
      <c r="C691" s="83" t="n"/>
      <c r="D691" s="83" t="n"/>
      <c r="E691" s="83" t="n"/>
      <c r="F691" s="83" t="n"/>
      <c r="G691" s="83" t="n"/>
      <c r="H691" s="83" t="n"/>
      <c r="S691">
        <f>IF(12&lt;='設定'!$B$6,"表示","隠す")</f>
        <v/>
      </c>
    </row>
    <row r="692" hidden="1" ht="21" customHeight="1">
      <c r="A692" s="82" t="n"/>
      <c r="B692" s="46">
        <f>'設定'!$I$23</f>
        <v/>
      </c>
      <c r="C692" s="83" t="n"/>
      <c r="D692" s="83" t="n"/>
      <c r="E692" s="83" t="n"/>
      <c r="F692" s="83" t="n"/>
      <c r="G692" s="83" t="n"/>
      <c r="H692" s="83" t="n"/>
      <c r="S692">
        <f>IF(13&lt;='設定'!$B$6,"表示","隠す")</f>
        <v/>
      </c>
    </row>
    <row r="693" hidden="1" ht="21" customHeight="1">
      <c r="A693" s="82" t="n"/>
      <c r="B693" s="46">
        <f>'設定'!$I$24</f>
        <v/>
      </c>
      <c r="C693" s="83" t="n"/>
      <c r="D693" s="83" t="n"/>
      <c r="E693" s="83" t="n"/>
      <c r="F693" s="83" t="n"/>
      <c r="G693" s="83" t="n"/>
      <c r="H693" s="83" t="n"/>
      <c r="S693">
        <f>IF(14&lt;='設定'!$B$6,"表示","隠す")</f>
        <v/>
      </c>
    </row>
    <row r="694" hidden="1" ht="21" customHeight="1">
      <c r="A694" s="82" t="n"/>
      <c r="B694" s="46">
        <f>'設定'!$I$25</f>
        <v/>
      </c>
      <c r="C694" s="83" t="n"/>
      <c r="D694" s="83" t="n"/>
      <c r="E694" s="83" t="n"/>
      <c r="F694" s="83" t="n"/>
      <c r="G694" s="83" t="n"/>
      <c r="H694" s="83" t="n"/>
      <c r="S694">
        <f>IF(15&lt;='設定'!$B$6,"表示","隠す")</f>
        <v/>
      </c>
    </row>
    <row r="695" hidden="1" ht="21" customHeight="1">
      <c r="A695" s="82" t="n"/>
      <c r="B695" s="46">
        <f>'設定'!$I$26</f>
        <v/>
      </c>
      <c r="C695" s="83" t="n"/>
      <c r="D695" s="83" t="n"/>
      <c r="E695" s="83" t="n"/>
      <c r="F695" s="83" t="n"/>
      <c r="G695" s="83" t="n"/>
      <c r="H695" s="83" t="n"/>
      <c r="S695">
        <f>IF(16&lt;='設定'!$B$6,"表示","隠す")</f>
        <v/>
      </c>
    </row>
    <row r="696" hidden="1" ht="21" customHeight="1">
      <c r="A696" s="82" t="n"/>
      <c r="B696" s="46">
        <f>'設定'!$I$27</f>
        <v/>
      </c>
      <c r="C696" s="83" t="n"/>
      <c r="D696" s="83" t="n"/>
      <c r="E696" s="83" t="n"/>
      <c r="F696" s="83" t="n"/>
      <c r="G696" s="83" t="n"/>
      <c r="H696" s="83" t="n"/>
      <c r="S696">
        <f>IF(17&lt;='設定'!$B$6,"表示","隠す")</f>
        <v/>
      </c>
    </row>
    <row r="697" hidden="1" ht="21" customHeight="1">
      <c r="A697" s="82" t="n"/>
      <c r="B697" s="46">
        <f>'設定'!$I$28</f>
        <v/>
      </c>
      <c r="C697" s="83" t="n"/>
      <c r="D697" s="83" t="n"/>
      <c r="E697" s="83" t="n"/>
      <c r="F697" s="83" t="n"/>
      <c r="G697" s="83" t="n"/>
      <c r="H697" s="83" t="n"/>
      <c r="S697">
        <f>IF(18&lt;='設定'!$B$6,"表示","隠す")</f>
        <v/>
      </c>
    </row>
    <row r="698" hidden="1" ht="21" customHeight="1">
      <c r="A698" s="82" t="n"/>
      <c r="B698" s="46">
        <f>'設定'!$I$29</f>
        <v/>
      </c>
      <c r="C698" s="83" t="n"/>
      <c r="D698" s="83" t="n"/>
      <c r="E698" s="83" t="n"/>
      <c r="F698" s="83" t="n"/>
      <c r="G698" s="83" t="n"/>
      <c r="H698" s="83" t="n"/>
      <c r="S698">
        <f>IF(19&lt;='設定'!$B$6,"表示","隠す")</f>
        <v/>
      </c>
    </row>
    <row r="699" hidden="1" ht="21" customHeight="1">
      <c r="A699" s="82" t="n"/>
      <c r="B699" s="46">
        <f>'設定'!$I$30</f>
        <v/>
      </c>
      <c r="C699" s="83" t="n"/>
      <c r="D699" s="83" t="n"/>
      <c r="E699" s="83" t="n"/>
      <c r="F699" s="83" t="n"/>
      <c r="G699" s="83" t="n"/>
      <c r="H699" s="83" t="n"/>
      <c r="S699">
        <f>IF(20&lt;='設定'!$B$6,"表示","隠す")</f>
        <v/>
      </c>
    </row>
    <row r="700" hidden="1" ht="21" customHeight="1">
      <c r="A700" s="82" t="n"/>
      <c r="B700" s="46">
        <f>'設定'!$I$31</f>
        <v/>
      </c>
      <c r="C700" s="83" t="n"/>
      <c r="D700" s="83" t="n"/>
      <c r="E700" s="83" t="n"/>
      <c r="F700" s="83" t="n"/>
      <c r="G700" s="83" t="n"/>
      <c r="H700" s="83" t="n"/>
      <c r="S700">
        <f>IF(21&lt;='設定'!$B$6,"表示","隠す")</f>
        <v/>
      </c>
    </row>
    <row r="701" hidden="1" ht="21" customHeight="1">
      <c r="A701" s="82" t="n"/>
      <c r="B701" s="46">
        <f>'設定'!$I$32</f>
        <v/>
      </c>
      <c r="C701" s="83" t="n"/>
      <c r="D701" s="83" t="n"/>
      <c r="E701" s="83" t="n"/>
      <c r="F701" s="83" t="n"/>
      <c r="G701" s="83" t="n"/>
      <c r="H701" s="83" t="n"/>
      <c r="S701">
        <f>IF(22&lt;='設定'!$B$6,"表示","隠す")</f>
        <v/>
      </c>
    </row>
    <row r="702" hidden="1" ht="21" customHeight="1">
      <c r="A702" s="82" t="n"/>
      <c r="B702" s="46">
        <f>'設定'!$I$33</f>
        <v/>
      </c>
      <c r="C702" s="83" t="n"/>
      <c r="D702" s="83" t="n"/>
      <c r="E702" s="83" t="n"/>
      <c r="F702" s="83" t="n"/>
      <c r="G702" s="83" t="n"/>
      <c r="H702" s="83" t="n"/>
      <c r="S702">
        <f>IF(23&lt;='設定'!$B$6,"表示","隠す")</f>
        <v/>
      </c>
    </row>
    <row r="703" hidden="1" ht="21" customHeight="1">
      <c r="A703" s="82" t="n"/>
      <c r="B703" s="46">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2" t="n"/>
      <c r="G705" s="33" t="n"/>
      <c r="H705" s="78" t="inlineStr">
        <is>
          <t>状況：</t>
        </is>
      </c>
      <c r="I705" s="79">
        <f>'名簿'!Q30</f>
        <v/>
      </c>
      <c r="J705" s="78" t="inlineStr">
        <is>
          <t>×の数：</t>
        </is>
      </c>
      <c r="K705" s="80">
        <f>'名簿'!R30</f>
        <v/>
      </c>
      <c r="L705" s="81">
        <f>HYPERLINK("#'×入力'!B733","次の人へ ▼")</f>
        <v/>
      </c>
      <c r="S705" t="inlineStr">
        <is>
          <t>表示</t>
        </is>
      </c>
    </row>
    <row r="706" ht="22" customHeight="1">
      <c r="A706" s="34" t="inlineStr">
        <is>
          <t>この日全部 ▶</t>
        </is>
      </c>
      <c r="C706" s="82" t="n"/>
      <c r="D706" s="82" t="n"/>
      <c r="E706" s="82" t="n"/>
      <c r="F706" s="82" t="n"/>
      <c r="G706" s="82" t="n"/>
      <c r="H706" s="82" t="n"/>
      <c r="S706" t="inlineStr">
        <is>
          <t>表示</t>
        </is>
      </c>
    </row>
    <row r="707" ht="28" customHeight="1">
      <c r="A707" s="37" t="inlineStr">
        <is>
          <t>この時間
全部 ▼</t>
        </is>
      </c>
      <c r="B707" s="38" t="inlineStr"/>
      <c r="C707" s="39">
        <f>'設定'!$E$11</f>
        <v/>
      </c>
      <c r="D707" s="39">
        <f>'設定'!$E$12</f>
        <v/>
      </c>
      <c r="E707" s="39">
        <f>'設定'!$E$13</f>
        <v/>
      </c>
      <c r="F707" s="39">
        <f>'設定'!$E$14</f>
        <v/>
      </c>
      <c r="G707" s="39">
        <f>'設定'!$E$15</f>
        <v/>
      </c>
      <c r="H707" s="39">
        <f>'設定'!$E$16</f>
        <v/>
      </c>
      <c r="S707" t="inlineStr">
        <is>
          <t>表示</t>
        </is>
      </c>
    </row>
    <row r="708" ht="21" customHeight="1">
      <c r="A708" s="82" t="n"/>
      <c r="B708" s="46">
        <f>'設定'!$I$11</f>
        <v/>
      </c>
      <c r="C708" s="83" t="n"/>
      <c r="D708" s="83" t="n"/>
      <c r="E708" s="83" t="n"/>
      <c r="F708" s="83" t="n"/>
      <c r="G708" s="83" t="n"/>
      <c r="H708" s="83" t="n"/>
      <c r="S708">
        <f>IF(1&lt;='設定'!$B$6,"表示","隠す")</f>
        <v/>
      </c>
    </row>
    <row r="709" ht="21" customHeight="1">
      <c r="A709" s="82" t="n"/>
      <c r="B709" s="46">
        <f>'設定'!$I$12</f>
        <v/>
      </c>
      <c r="C709" s="83" t="n"/>
      <c r="D709" s="83" t="n"/>
      <c r="E709" s="83" t="n"/>
      <c r="F709" s="83" t="n"/>
      <c r="G709" s="83" t="n"/>
      <c r="H709" s="83" t="n"/>
      <c r="S709">
        <f>IF(2&lt;='設定'!$B$6,"表示","隠す")</f>
        <v/>
      </c>
    </row>
    <row r="710" ht="21" customHeight="1">
      <c r="A710" s="82" t="n"/>
      <c r="B710" s="46">
        <f>'設定'!$I$13</f>
        <v/>
      </c>
      <c r="C710" s="83" t="n"/>
      <c r="D710" s="83" t="n"/>
      <c r="E710" s="83" t="n"/>
      <c r="F710" s="83" t="n"/>
      <c r="G710" s="83" t="n"/>
      <c r="H710" s="83" t="n"/>
      <c r="S710">
        <f>IF(3&lt;='設定'!$B$6,"表示","隠す")</f>
        <v/>
      </c>
    </row>
    <row r="711" ht="21" customHeight="1">
      <c r="A711" s="82" t="n"/>
      <c r="B711" s="46">
        <f>'設定'!$I$14</f>
        <v/>
      </c>
      <c r="C711" s="83" t="n"/>
      <c r="D711" s="83" t="n"/>
      <c r="E711" s="83" t="n"/>
      <c r="F711" s="83" t="n"/>
      <c r="G711" s="83" t="n"/>
      <c r="H711" s="83" t="n"/>
      <c r="S711">
        <f>IF(4&lt;='設定'!$B$6,"表示","隠す")</f>
        <v/>
      </c>
    </row>
    <row r="712" ht="21" customHeight="1">
      <c r="A712" s="82" t="n"/>
      <c r="B712" s="46">
        <f>'設定'!$I$15</f>
        <v/>
      </c>
      <c r="C712" s="83" t="n"/>
      <c r="D712" s="83" t="n"/>
      <c r="E712" s="83" t="n"/>
      <c r="F712" s="83" t="n"/>
      <c r="G712" s="83" t="n"/>
      <c r="H712" s="83" t="n"/>
      <c r="S712">
        <f>IF(5&lt;='設定'!$B$6,"表示","隠す")</f>
        <v/>
      </c>
    </row>
    <row r="713" ht="21" customHeight="1">
      <c r="A713" s="82" t="n"/>
      <c r="B713" s="46">
        <f>'設定'!$I$16</f>
        <v/>
      </c>
      <c r="C713" s="83" t="n"/>
      <c r="D713" s="83" t="n"/>
      <c r="E713" s="83" t="n"/>
      <c r="F713" s="83" t="n"/>
      <c r="G713" s="83" t="n"/>
      <c r="H713" s="83" t="n"/>
      <c r="S713">
        <f>IF(6&lt;='設定'!$B$6,"表示","隠す")</f>
        <v/>
      </c>
    </row>
    <row r="714" ht="21" customHeight="1">
      <c r="A714" s="82" t="n"/>
      <c r="B714" s="46">
        <f>'設定'!$I$17</f>
        <v/>
      </c>
      <c r="C714" s="83" t="n"/>
      <c r="D714" s="83" t="n"/>
      <c r="E714" s="83" t="n"/>
      <c r="F714" s="83" t="n"/>
      <c r="G714" s="83" t="n"/>
      <c r="H714" s="83" t="n"/>
      <c r="S714">
        <f>IF(7&lt;='設定'!$B$6,"表示","隠す")</f>
        <v/>
      </c>
    </row>
    <row r="715" ht="21" customHeight="1">
      <c r="A715" s="82" t="n"/>
      <c r="B715" s="46">
        <f>'設定'!$I$18</f>
        <v/>
      </c>
      <c r="C715" s="83" t="n"/>
      <c r="D715" s="83" t="n"/>
      <c r="E715" s="83" t="n"/>
      <c r="F715" s="83" t="n"/>
      <c r="G715" s="83" t="n"/>
      <c r="H715" s="83" t="n"/>
      <c r="S715">
        <f>IF(8&lt;='設定'!$B$6,"表示","隠す")</f>
        <v/>
      </c>
    </row>
    <row r="716" ht="21" customHeight="1">
      <c r="A716" s="82" t="n"/>
      <c r="B716" s="46">
        <f>'設定'!$I$19</f>
        <v/>
      </c>
      <c r="C716" s="83" t="n"/>
      <c r="D716" s="83" t="n"/>
      <c r="E716" s="83" t="n"/>
      <c r="F716" s="83" t="n"/>
      <c r="G716" s="83" t="n"/>
      <c r="H716" s="83" t="n"/>
      <c r="S716">
        <f>IF(9&lt;='設定'!$B$6,"表示","隠す")</f>
        <v/>
      </c>
    </row>
    <row r="717" hidden="1" ht="21" customHeight="1">
      <c r="A717" s="82" t="n"/>
      <c r="B717" s="46">
        <f>'設定'!$I$20</f>
        <v/>
      </c>
      <c r="C717" s="83" t="n"/>
      <c r="D717" s="83" t="n"/>
      <c r="E717" s="83" t="n"/>
      <c r="F717" s="83" t="n"/>
      <c r="G717" s="83" t="n"/>
      <c r="H717" s="83" t="n"/>
      <c r="S717">
        <f>IF(10&lt;='設定'!$B$6,"表示","隠す")</f>
        <v/>
      </c>
    </row>
    <row r="718" hidden="1" ht="21" customHeight="1">
      <c r="A718" s="82" t="n"/>
      <c r="B718" s="46">
        <f>'設定'!$I$21</f>
        <v/>
      </c>
      <c r="C718" s="83" t="n"/>
      <c r="D718" s="83" t="n"/>
      <c r="E718" s="83" t="n"/>
      <c r="F718" s="83" t="n"/>
      <c r="G718" s="83" t="n"/>
      <c r="H718" s="83" t="n"/>
      <c r="S718">
        <f>IF(11&lt;='設定'!$B$6,"表示","隠す")</f>
        <v/>
      </c>
    </row>
    <row r="719" hidden="1" ht="21" customHeight="1">
      <c r="A719" s="82" t="n"/>
      <c r="B719" s="46">
        <f>'設定'!$I$22</f>
        <v/>
      </c>
      <c r="C719" s="83" t="n"/>
      <c r="D719" s="83" t="n"/>
      <c r="E719" s="83" t="n"/>
      <c r="F719" s="83" t="n"/>
      <c r="G719" s="83" t="n"/>
      <c r="H719" s="83" t="n"/>
      <c r="S719">
        <f>IF(12&lt;='設定'!$B$6,"表示","隠す")</f>
        <v/>
      </c>
    </row>
    <row r="720" hidden="1" ht="21" customHeight="1">
      <c r="A720" s="82" t="n"/>
      <c r="B720" s="46">
        <f>'設定'!$I$23</f>
        <v/>
      </c>
      <c r="C720" s="83" t="n"/>
      <c r="D720" s="83" t="n"/>
      <c r="E720" s="83" t="n"/>
      <c r="F720" s="83" t="n"/>
      <c r="G720" s="83" t="n"/>
      <c r="H720" s="83" t="n"/>
      <c r="S720">
        <f>IF(13&lt;='設定'!$B$6,"表示","隠す")</f>
        <v/>
      </c>
    </row>
    <row r="721" hidden="1" ht="21" customHeight="1">
      <c r="A721" s="82" t="n"/>
      <c r="B721" s="46">
        <f>'設定'!$I$24</f>
        <v/>
      </c>
      <c r="C721" s="83" t="n"/>
      <c r="D721" s="83" t="n"/>
      <c r="E721" s="83" t="n"/>
      <c r="F721" s="83" t="n"/>
      <c r="G721" s="83" t="n"/>
      <c r="H721" s="83" t="n"/>
      <c r="S721">
        <f>IF(14&lt;='設定'!$B$6,"表示","隠す")</f>
        <v/>
      </c>
    </row>
    <row r="722" hidden="1" ht="21" customHeight="1">
      <c r="A722" s="82" t="n"/>
      <c r="B722" s="46">
        <f>'設定'!$I$25</f>
        <v/>
      </c>
      <c r="C722" s="83" t="n"/>
      <c r="D722" s="83" t="n"/>
      <c r="E722" s="83" t="n"/>
      <c r="F722" s="83" t="n"/>
      <c r="G722" s="83" t="n"/>
      <c r="H722" s="83" t="n"/>
      <c r="S722">
        <f>IF(15&lt;='設定'!$B$6,"表示","隠す")</f>
        <v/>
      </c>
    </row>
    <row r="723" hidden="1" ht="21" customHeight="1">
      <c r="A723" s="82" t="n"/>
      <c r="B723" s="46">
        <f>'設定'!$I$26</f>
        <v/>
      </c>
      <c r="C723" s="83" t="n"/>
      <c r="D723" s="83" t="n"/>
      <c r="E723" s="83" t="n"/>
      <c r="F723" s="83" t="n"/>
      <c r="G723" s="83" t="n"/>
      <c r="H723" s="83" t="n"/>
      <c r="S723">
        <f>IF(16&lt;='設定'!$B$6,"表示","隠す")</f>
        <v/>
      </c>
    </row>
    <row r="724" hidden="1" ht="21" customHeight="1">
      <c r="A724" s="82" t="n"/>
      <c r="B724" s="46">
        <f>'設定'!$I$27</f>
        <v/>
      </c>
      <c r="C724" s="83" t="n"/>
      <c r="D724" s="83" t="n"/>
      <c r="E724" s="83" t="n"/>
      <c r="F724" s="83" t="n"/>
      <c r="G724" s="83" t="n"/>
      <c r="H724" s="83" t="n"/>
      <c r="S724">
        <f>IF(17&lt;='設定'!$B$6,"表示","隠す")</f>
        <v/>
      </c>
    </row>
    <row r="725" hidden="1" ht="21" customHeight="1">
      <c r="A725" s="82" t="n"/>
      <c r="B725" s="46">
        <f>'設定'!$I$28</f>
        <v/>
      </c>
      <c r="C725" s="83" t="n"/>
      <c r="D725" s="83" t="n"/>
      <c r="E725" s="83" t="n"/>
      <c r="F725" s="83" t="n"/>
      <c r="G725" s="83" t="n"/>
      <c r="H725" s="83" t="n"/>
      <c r="S725">
        <f>IF(18&lt;='設定'!$B$6,"表示","隠す")</f>
        <v/>
      </c>
    </row>
    <row r="726" hidden="1" ht="21" customHeight="1">
      <c r="A726" s="82" t="n"/>
      <c r="B726" s="46">
        <f>'設定'!$I$29</f>
        <v/>
      </c>
      <c r="C726" s="83" t="n"/>
      <c r="D726" s="83" t="n"/>
      <c r="E726" s="83" t="n"/>
      <c r="F726" s="83" t="n"/>
      <c r="G726" s="83" t="n"/>
      <c r="H726" s="83" t="n"/>
      <c r="S726">
        <f>IF(19&lt;='設定'!$B$6,"表示","隠す")</f>
        <v/>
      </c>
    </row>
    <row r="727" hidden="1" ht="21" customHeight="1">
      <c r="A727" s="82" t="n"/>
      <c r="B727" s="46">
        <f>'設定'!$I$30</f>
        <v/>
      </c>
      <c r="C727" s="83" t="n"/>
      <c r="D727" s="83" t="n"/>
      <c r="E727" s="83" t="n"/>
      <c r="F727" s="83" t="n"/>
      <c r="G727" s="83" t="n"/>
      <c r="H727" s="83" t="n"/>
      <c r="S727">
        <f>IF(20&lt;='設定'!$B$6,"表示","隠す")</f>
        <v/>
      </c>
    </row>
    <row r="728" hidden="1" ht="21" customHeight="1">
      <c r="A728" s="82" t="n"/>
      <c r="B728" s="46">
        <f>'設定'!$I$31</f>
        <v/>
      </c>
      <c r="C728" s="83" t="n"/>
      <c r="D728" s="83" t="n"/>
      <c r="E728" s="83" t="n"/>
      <c r="F728" s="83" t="n"/>
      <c r="G728" s="83" t="n"/>
      <c r="H728" s="83" t="n"/>
      <c r="S728">
        <f>IF(21&lt;='設定'!$B$6,"表示","隠す")</f>
        <v/>
      </c>
    </row>
    <row r="729" hidden="1" ht="21" customHeight="1">
      <c r="A729" s="82" t="n"/>
      <c r="B729" s="46">
        <f>'設定'!$I$32</f>
        <v/>
      </c>
      <c r="C729" s="83" t="n"/>
      <c r="D729" s="83" t="n"/>
      <c r="E729" s="83" t="n"/>
      <c r="F729" s="83" t="n"/>
      <c r="G729" s="83" t="n"/>
      <c r="H729" s="83" t="n"/>
      <c r="S729">
        <f>IF(22&lt;='設定'!$B$6,"表示","隠す")</f>
        <v/>
      </c>
    </row>
    <row r="730" hidden="1" ht="21" customHeight="1">
      <c r="A730" s="82" t="n"/>
      <c r="B730" s="46">
        <f>'設定'!$I$33</f>
        <v/>
      </c>
      <c r="C730" s="83" t="n"/>
      <c r="D730" s="83" t="n"/>
      <c r="E730" s="83" t="n"/>
      <c r="F730" s="83" t="n"/>
      <c r="G730" s="83" t="n"/>
      <c r="H730" s="83" t="n"/>
      <c r="S730">
        <f>IF(23&lt;='設定'!$B$6,"表示","隠す")</f>
        <v/>
      </c>
    </row>
    <row r="731" hidden="1" ht="21" customHeight="1">
      <c r="A731" s="82" t="n"/>
      <c r="B731" s="46">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2" t="n"/>
      <c r="G733" s="33" t="n"/>
      <c r="H733" s="78" t="inlineStr">
        <is>
          <t>状況：</t>
        </is>
      </c>
      <c r="I733" s="79">
        <f>'名簿'!Q31</f>
        <v/>
      </c>
      <c r="J733" s="78" t="inlineStr">
        <is>
          <t>×の数：</t>
        </is>
      </c>
      <c r="K733" s="80">
        <f>'名簿'!R31</f>
        <v/>
      </c>
      <c r="L733" s="81">
        <f>HYPERLINK("#'×入力'!B761","次の人へ ▼")</f>
        <v/>
      </c>
      <c r="S733" t="inlineStr">
        <is>
          <t>表示</t>
        </is>
      </c>
    </row>
    <row r="734" ht="22" customHeight="1">
      <c r="A734" s="34" t="inlineStr">
        <is>
          <t>この日全部 ▶</t>
        </is>
      </c>
      <c r="C734" s="82" t="n"/>
      <c r="D734" s="82" t="n"/>
      <c r="E734" s="82" t="n"/>
      <c r="F734" s="82" t="n"/>
      <c r="G734" s="82" t="n"/>
      <c r="H734" s="82" t="n"/>
      <c r="S734" t="inlineStr">
        <is>
          <t>表示</t>
        </is>
      </c>
    </row>
    <row r="735" ht="28" customHeight="1">
      <c r="A735" s="37" t="inlineStr">
        <is>
          <t>この時間
全部 ▼</t>
        </is>
      </c>
      <c r="B735" s="38" t="inlineStr"/>
      <c r="C735" s="39">
        <f>'設定'!$E$11</f>
        <v/>
      </c>
      <c r="D735" s="39">
        <f>'設定'!$E$12</f>
        <v/>
      </c>
      <c r="E735" s="39">
        <f>'設定'!$E$13</f>
        <v/>
      </c>
      <c r="F735" s="39">
        <f>'設定'!$E$14</f>
        <v/>
      </c>
      <c r="G735" s="39">
        <f>'設定'!$E$15</f>
        <v/>
      </c>
      <c r="H735" s="39">
        <f>'設定'!$E$16</f>
        <v/>
      </c>
      <c r="S735" t="inlineStr">
        <is>
          <t>表示</t>
        </is>
      </c>
    </row>
    <row r="736" ht="21" customHeight="1">
      <c r="A736" s="82" t="n"/>
      <c r="B736" s="46">
        <f>'設定'!$I$11</f>
        <v/>
      </c>
      <c r="C736" s="83" t="n"/>
      <c r="D736" s="83" t="n"/>
      <c r="E736" s="83" t="n"/>
      <c r="F736" s="83" t="n"/>
      <c r="G736" s="83" t="n"/>
      <c r="H736" s="83" t="n"/>
      <c r="S736">
        <f>IF(1&lt;='設定'!$B$6,"表示","隠す")</f>
        <v/>
      </c>
    </row>
    <row r="737" ht="21" customHeight="1">
      <c r="A737" s="82" t="n"/>
      <c r="B737" s="46">
        <f>'設定'!$I$12</f>
        <v/>
      </c>
      <c r="C737" s="83" t="n"/>
      <c r="D737" s="83" t="n"/>
      <c r="E737" s="83" t="n"/>
      <c r="F737" s="83" t="n"/>
      <c r="G737" s="83" t="n"/>
      <c r="H737" s="83" t="n"/>
      <c r="S737">
        <f>IF(2&lt;='設定'!$B$6,"表示","隠す")</f>
        <v/>
      </c>
    </row>
    <row r="738" ht="21" customHeight="1">
      <c r="A738" s="82" t="n"/>
      <c r="B738" s="46">
        <f>'設定'!$I$13</f>
        <v/>
      </c>
      <c r="C738" s="83" t="n"/>
      <c r="D738" s="83" t="n"/>
      <c r="E738" s="83" t="n"/>
      <c r="F738" s="83" t="n"/>
      <c r="G738" s="83" t="n"/>
      <c r="H738" s="83" t="n"/>
      <c r="S738">
        <f>IF(3&lt;='設定'!$B$6,"表示","隠す")</f>
        <v/>
      </c>
    </row>
    <row r="739" ht="21" customHeight="1">
      <c r="A739" s="82" t="n"/>
      <c r="B739" s="46">
        <f>'設定'!$I$14</f>
        <v/>
      </c>
      <c r="C739" s="83" t="n"/>
      <c r="D739" s="83" t="n"/>
      <c r="E739" s="83" t="n"/>
      <c r="F739" s="83" t="n"/>
      <c r="G739" s="83" t="n"/>
      <c r="H739" s="83" t="n"/>
      <c r="S739">
        <f>IF(4&lt;='設定'!$B$6,"表示","隠す")</f>
        <v/>
      </c>
    </row>
    <row r="740" ht="21" customHeight="1">
      <c r="A740" s="82" t="n"/>
      <c r="B740" s="46">
        <f>'設定'!$I$15</f>
        <v/>
      </c>
      <c r="C740" s="83" t="n"/>
      <c r="D740" s="83" t="n"/>
      <c r="E740" s="83" t="n"/>
      <c r="F740" s="83" t="n"/>
      <c r="G740" s="83" t="n"/>
      <c r="H740" s="83" t="n"/>
      <c r="S740">
        <f>IF(5&lt;='設定'!$B$6,"表示","隠す")</f>
        <v/>
      </c>
    </row>
    <row r="741" ht="21" customHeight="1">
      <c r="A741" s="82" t="n"/>
      <c r="B741" s="46">
        <f>'設定'!$I$16</f>
        <v/>
      </c>
      <c r="C741" s="83" t="n"/>
      <c r="D741" s="83" t="n"/>
      <c r="E741" s="83" t="n"/>
      <c r="F741" s="83" t="n"/>
      <c r="G741" s="83" t="n"/>
      <c r="H741" s="83" t="n"/>
      <c r="S741">
        <f>IF(6&lt;='設定'!$B$6,"表示","隠す")</f>
        <v/>
      </c>
    </row>
    <row r="742" ht="21" customHeight="1">
      <c r="A742" s="82" t="n"/>
      <c r="B742" s="46">
        <f>'設定'!$I$17</f>
        <v/>
      </c>
      <c r="C742" s="83" t="n"/>
      <c r="D742" s="83" t="n"/>
      <c r="E742" s="83" t="n"/>
      <c r="F742" s="83" t="n"/>
      <c r="G742" s="83" t="n"/>
      <c r="H742" s="83" t="n"/>
      <c r="S742">
        <f>IF(7&lt;='設定'!$B$6,"表示","隠す")</f>
        <v/>
      </c>
    </row>
    <row r="743" ht="21" customHeight="1">
      <c r="A743" s="82" t="n"/>
      <c r="B743" s="46">
        <f>'設定'!$I$18</f>
        <v/>
      </c>
      <c r="C743" s="83" t="n"/>
      <c r="D743" s="83" t="n"/>
      <c r="E743" s="83" t="n"/>
      <c r="F743" s="83" t="n"/>
      <c r="G743" s="83" t="n"/>
      <c r="H743" s="83" t="n"/>
      <c r="S743">
        <f>IF(8&lt;='設定'!$B$6,"表示","隠す")</f>
        <v/>
      </c>
    </row>
    <row r="744" ht="21" customHeight="1">
      <c r="A744" s="82" t="n"/>
      <c r="B744" s="46">
        <f>'設定'!$I$19</f>
        <v/>
      </c>
      <c r="C744" s="83" t="n"/>
      <c r="D744" s="83" t="n"/>
      <c r="E744" s="83" t="n"/>
      <c r="F744" s="83" t="n"/>
      <c r="G744" s="83" t="n"/>
      <c r="H744" s="83" t="n"/>
      <c r="S744">
        <f>IF(9&lt;='設定'!$B$6,"表示","隠す")</f>
        <v/>
      </c>
    </row>
    <row r="745" hidden="1" ht="21" customHeight="1">
      <c r="A745" s="82" t="n"/>
      <c r="B745" s="46">
        <f>'設定'!$I$20</f>
        <v/>
      </c>
      <c r="C745" s="83" t="n"/>
      <c r="D745" s="83" t="n"/>
      <c r="E745" s="83" t="n"/>
      <c r="F745" s="83" t="n"/>
      <c r="G745" s="83" t="n"/>
      <c r="H745" s="83" t="n"/>
      <c r="S745">
        <f>IF(10&lt;='設定'!$B$6,"表示","隠す")</f>
        <v/>
      </c>
    </row>
    <row r="746" hidden="1" ht="21" customHeight="1">
      <c r="A746" s="82" t="n"/>
      <c r="B746" s="46">
        <f>'設定'!$I$21</f>
        <v/>
      </c>
      <c r="C746" s="83" t="n"/>
      <c r="D746" s="83" t="n"/>
      <c r="E746" s="83" t="n"/>
      <c r="F746" s="83" t="n"/>
      <c r="G746" s="83" t="n"/>
      <c r="H746" s="83" t="n"/>
      <c r="S746">
        <f>IF(11&lt;='設定'!$B$6,"表示","隠す")</f>
        <v/>
      </c>
    </row>
    <row r="747" hidden="1" ht="21" customHeight="1">
      <c r="A747" s="82" t="n"/>
      <c r="B747" s="46">
        <f>'設定'!$I$22</f>
        <v/>
      </c>
      <c r="C747" s="83" t="n"/>
      <c r="D747" s="83" t="n"/>
      <c r="E747" s="83" t="n"/>
      <c r="F747" s="83" t="n"/>
      <c r="G747" s="83" t="n"/>
      <c r="H747" s="83" t="n"/>
      <c r="S747">
        <f>IF(12&lt;='設定'!$B$6,"表示","隠す")</f>
        <v/>
      </c>
    </row>
    <row r="748" hidden="1" ht="21" customHeight="1">
      <c r="A748" s="82" t="n"/>
      <c r="B748" s="46">
        <f>'設定'!$I$23</f>
        <v/>
      </c>
      <c r="C748" s="83" t="n"/>
      <c r="D748" s="83" t="n"/>
      <c r="E748" s="83" t="n"/>
      <c r="F748" s="83" t="n"/>
      <c r="G748" s="83" t="n"/>
      <c r="H748" s="83" t="n"/>
      <c r="S748">
        <f>IF(13&lt;='設定'!$B$6,"表示","隠す")</f>
        <v/>
      </c>
    </row>
    <row r="749" hidden="1" ht="21" customHeight="1">
      <c r="A749" s="82" t="n"/>
      <c r="B749" s="46">
        <f>'設定'!$I$24</f>
        <v/>
      </c>
      <c r="C749" s="83" t="n"/>
      <c r="D749" s="83" t="n"/>
      <c r="E749" s="83" t="n"/>
      <c r="F749" s="83" t="n"/>
      <c r="G749" s="83" t="n"/>
      <c r="H749" s="83" t="n"/>
      <c r="S749">
        <f>IF(14&lt;='設定'!$B$6,"表示","隠す")</f>
        <v/>
      </c>
    </row>
    <row r="750" hidden="1" ht="21" customHeight="1">
      <c r="A750" s="82" t="n"/>
      <c r="B750" s="46">
        <f>'設定'!$I$25</f>
        <v/>
      </c>
      <c r="C750" s="83" t="n"/>
      <c r="D750" s="83" t="n"/>
      <c r="E750" s="83" t="n"/>
      <c r="F750" s="83" t="n"/>
      <c r="G750" s="83" t="n"/>
      <c r="H750" s="83" t="n"/>
      <c r="S750">
        <f>IF(15&lt;='設定'!$B$6,"表示","隠す")</f>
        <v/>
      </c>
    </row>
    <row r="751" hidden="1" ht="21" customHeight="1">
      <c r="A751" s="82" t="n"/>
      <c r="B751" s="46">
        <f>'設定'!$I$26</f>
        <v/>
      </c>
      <c r="C751" s="83" t="n"/>
      <c r="D751" s="83" t="n"/>
      <c r="E751" s="83" t="n"/>
      <c r="F751" s="83" t="n"/>
      <c r="G751" s="83" t="n"/>
      <c r="H751" s="83" t="n"/>
      <c r="S751">
        <f>IF(16&lt;='設定'!$B$6,"表示","隠す")</f>
        <v/>
      </c>
    </row>
    <row r="752" hidden="1" ht="21" customHeight="1">
      <c r="A752" s="82" t="n"/>
      <c r="B752" s="46">
        <f>'設定'!$I$27</f>
        <v/>
      </c>
      <c r="C752" s="83" t="n"/>
      <c r="D752" s="83" t="n"/>
      <c r="E752" s="83" t="n"/>
      <c r="F752" s="83" t="n"/>
      <c r="G752" s="83" t="n"/>
      <c r="H752" s="83" t="n"/>
      <c r="S752">
        <f>IF(17&lt;='設定'!$B$6,"表示","隠す")</f>
        <v/>
      </c>
    </row>
    <row r="753" hidden="1" ht="21" customHeight="1">
      <c r="A753" s="82" t="n"/>
      <c r="B753" s="46">
        <f>'設定'!$I$28</f>
        <v/>
      </c>
      <c r="C753" s="83" t="n"/>
      <c r="D753" s="83" t="n"/>
      <c r="E753" s="83" t="n"/>
      <c r="F753" s="83" t="n"/>
      <c r="G753" s="83" t="n"/>
      <c r="H753" s="83" t="n"/>
      <c r="S753">
        <f>IF(18&lt;='設定'!$B$6,"表示","隠す")</f>
        <v/>
      </c>
    </row>
    <row r="754" hidden="1" ht="21" customHeight="1">
      <c r="A754" s="82" t="n"/>
      <c r="B754" s="46">
        <f>'設定'!$I$29</f>
        <v/>
      </c>
      <c r="C754" s="83" t="n"/>
      <c r="D754" s="83" t="n"/>
      <c r="E754" s="83" t="n"/>
      <c r="F754" s="83" t="n"/>
      <c r="G754" s="83" t="n"/>
      <c r="H754" s="83" t="n"/>
      <c r="S754">
        <f>IF(19&lt;='設定'!$B$6,"表示","隠す")</f>
        <v/>
      </c>
    </row>
    <row r="755" hidden="1" ht="21" customHeight="1">
      <c r="A755" s="82" t="n"/>
      <c r="B755" s="46">
        <f>'設定'!$I$30</f>
        <v/>
      </c>
      <c r="C755" s="83" t="n"/>
      <c r="D755" s="83" t="n"/>
      <c r="E755" s="83" t="n"/>
      <c r="F755" s="83" t="n"/>
      <c r="G755" s="83" t="n"/>
      <c r="H755" s="83" t="n"/>
      <c r="S755">
        <f>IF(20&lt;='設定'!$B$6,"表示","隠す")</f>
        <v/>
      </c>
    </row>
    <row r="756" hidden="1" ht="21" customHeight="1">
      <c r="A756" s="82" t="n"/>
      <c r="B756" s="46">
        <f>'設定'!$I$31</f>
        <v/>
      </c>
      <c r="C756" s="83" t="n"/>
      <c r="D756" s="83" t="n"/>
      <c r="E756" s="83" t="n"/>
      <c r="F756" s="83" t="n"/>
      <c r="G756" s="83" t="n"/>
      <c r="H756" s="83" t="n"/>
      <c r="S756">
        <f>IF(21&lt;='設定'!$B$6,"表示","隠す")</f>
        <v/>
      </c>
    </row>
    <row r="757" hidden="1" ht="21" customHeight="1">
      <c r="A757" s="82" t="n"/>
      <c r="B757" s="46">
        <f>'設定'!$I$32</f>
        <v/>
      </c>
      <c r="C757" s="83" t="n"/>
      <c r="D757" s="83" t="n"/>
      <c r="E757" s="83" t="n"/>
      <c r="F757" s="83" t="n"/>
      <c r="G757" s="83" t="n"/>
      <c r="H757" s="83" t="n"/>
      <c r="S757">
        <f>IF(22&lt;='設定'!$B$6,"表示","隠す")</f>
        <v/>
      </c>
    </row>
    <row r="758" hidden="1" ht="21" customHeight="1">
      <c r="A758" s="82" t="n"/>
      <c r="B758" s="46">
        <f>'設定'!$I$33</f>
        <v/>
      </c>
      <c r="C758" s="83" t="n"/>
      <c r="D758" s="83" t="n"/>
      <c r="E758" s="83" t="n"/>
      <c r="F758" s="83" t="n"/>
      <c r="G758" s="83" t="n"/>
      <c r="H758" s="83" t="n"/>
      <c r="S758">
        <f>IF(23&lt;='設定'!$B$6,"表示","隠す")</f>
        <v/>
      </c>
    </row>
    <row r="759" hidden="1" ht="21" customHeight="1">
      <c r="A759" s="82" t="n"/>
      <c r="B759" s="46">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2" t="n"/>
      <c r="G761" s="33" t="n"/>
      <c r="H761" s="78" t="inlineStr">
        <is>
          <t>状況：</t>
        </is>
      </c>
      <c r="I761" s="79">
        <f>'名簿'!Q32</f>
        <v/>
      </c>
      <c r="J761" s="78" t="inlineStr">
        <is>
          <t>×の数：</t>
        </is>
      </c>
      <c r="K761" s="80">
        <f>'名簿'!R32</f>
        <v/>
      </c>
      <c r="L761" s="81">
        <f>HYPERLINK("#'×入力'!B789","次の人へ ▼")</f>
        <v/>
      </c>
      <c r="S761" t="inlineStr">
        <is>
          <t>表示</t>
        </is>
      </c>
    </row>
    <row r="762" ht="22" customHeight="1">
      <c r="A762" s="34" t="inlineStr">
        <is>
          <t>この日全部 ▶</t>
        </is>
      </c>
      <c r="C762" s="82" t="n"/>
      <c r="D762" s="82" t="n"/>
      <c r="E762" s="82" t="n"/>
      <c r="F762" s="82" t="n"/>
      <c r="G762" s="82" t="n"/>
      <c r="H762" s="82" t="n"/>
      <c r="S762" t="inlineStr">
        <is>
          <t>表示</t>
        </is>
      </c>
    </row>
    <row r="763" ht="28" customHeight="1">
      <c r="A763" s="37" t="inlineStr">
        <is>
          <t>この時間
全部 ▼</t>
        </is>
      </c>
      <c r="B763" s="38" t="inlineStr"/>
      <c r="C763" s="39">
        <f>'設定'!$E$11</f>
        <v/>
      </c>
      <c r="D763" s="39">
        <f>'設定'!$E$12</f>
        <v/>
      </c>
      <c r="E763" s="39">
        <f>'設定'!$E$13</f>
        <v/>
      </c>
      <c r="F763" s="39">
        <f>'設定'!$E$14</f>
        <v/>
      </c>
      <c r="G763" s="39">
        <f>'設定'!$E$15</f>
        <v/>
      </c>
      <c r="H763" s="39">
        <f>'設定'!$E$16</f>
        <v/>
      </c>
      <c r="S763" t="inlineStr">
        <is>
          <t>表示</t>
        </is>
      </c>
    </row>
    <row r="764" ht="21" customHeight="1">
      <c r="A764" s="82" t="n"/>
      <c r="B764" s="46">
        <f>'設定'!$I$11</f>
        <v/>
      </c>
      <c r="C764" s="83" t="n"/>
      <c r="D764" s="83" t="n"/>
      <c r="E764" s="83" t="n"/>
      <c r="F764" s="83" t="n"/>
      <c r="G764" s="83" t="n"/>
      <c r="H764" s="83" t="n"/>
      <c r="S764">
        <f>IF(1&lt;='設定'!$B$6,"表示","隠す")</f>
        <v/>
      </c>
    </row>
    <row r="765" ht="21" customHeight="1">
      <c r="A765" s="82" t="n"/>
      <c r="B765" s="46">
        <f>'設定'!$I$12</f>
        <v/>
      </c>
      <c r="C765" s="83" t="n"/>
      <c r="D765" s="83" t="n"/>
      <c r="E765" s="83" t="n"/>
      <c r="F765" s="83" t="n"/>
      <c r="G765" s="83" t="n"/>
      <c r="H765" s="83" t="n"/>
      <c r="S765">
        <f>IF(2&lt;='設定'!$B$6,"表示","隠す")</f>
        <v/>
      </c>
    </row>
    <row r="766" ht="21" customHeight="1">
      <c r="A766" s="82" t="n"/>
      <c r="B766" s="46">
        <f>'設定'!$I$13</f>
        <v/>
      </c>
      <c r="C766" s="83" t="n"/>
      <c r="D766" s="83" t="n"/>
      <c r="E766" s="83" t="n"/>
      <c r="F766" s="83" t="n"/>
      <c r="G766" s="83" t="n"/>
      <c r="H766" s="83" t="n"/>
      <c r="S766">
        <f>IF(3&lt;='設定'!$B$6,"表示","隠す")</f>
        <v/>
      </c>
    </row>
    <row r="767" ht="21" customHeight="1">
      <c r="A767" s="82" t="n"/>
      <c r="B767" s="46">
        <f>'設定'!$I$14</f>
        <v/>
      </c>
      <c r="C767" s="83" t="n"/>
      <c r="D767" s="83" t="n"/>
      <c r="E767" s="83" t="n"/>
      <c r="F767" s="83" t="n"/>
      <c r="G767" s="83" t="n"/>
      <c r="H767" s="83" t="n"/>
      <c r="S767">
        <f>IF(4&lt;='設定'!$B$6,"表示","隠す")</f>
        <v/>
      </c>
    </row>
    <row r="768" ht="21" customHeight="1">
      <c r="A768" s="82" t="n"/>
      <c r="B768" s="46">
        <f>'設定'!$I$15</f>
        <v/>
      </c>
      <c r="C768" s="83" t="n"/>
      <c r="D768" s="83" t="n"/>
      <c r="E768" s="83" t="n"/>
      <c r="F768" s="83" t="n"/>
      <c r="G768" s="83" t="n"/>
      <c r="H768" s="83" t="n"/>
      <c r="S768">
        <f>IF(5&lt;='設定'!$B$6,"表示","隠す")</f>
        <v/>
      </c>
    </row>
    <row r="769" ht="21" customHeight="1">
      <c r="A769" s="82" t="n"/>
      <c r="B769" s="46">
        <f>'設定'!$I$16</f>
        <v/>
      </c>
      <c r="C769" s="83" t="n"/>
      <c r="D769" s="83" t="n"/>
      <c r="E769" s="83" t="n"/>
      <c r="F769" s="83" t="n"/>
      <c r="G769" s="83" t="n"/>
      <c r="H769" s="83" t="n"/>
      <c r="S769">
        <f>IF(6&lt;='設定'!$B$6,"表示","隠す")</f>
        <v/>
      </c>
    </row>
    <row r="770" ht="21" customHeight="1">
      <c r="A770" s="82" t="n"/>
      <c r="B770" s="46">
        <f>'設定'!$I$17</f>
        <v/>
      </c>
      <c r="C770" s="83" t="n"/>
      <c r="D770" s="83" t="n"/>
      <c r="E770" s="83" t="n"/>
      <c r="F770" s="83" t="n"/>
      <c r="G770" s="83" t="n"/>
      <c r="H770" s="83" t="n"/>
      <c r="S770">
        <f>IF(7&lt;='設定'!$B$6,"表示","隠す")</f>
        <v/>
      </c>
    </row>
    <row r="771" ht="21" customHeight="1">
      <c r="A771" s="82" t="n"/>
      <c r="B771" s="46">
        <f>'設定'!$I$18</f>
        <v/>
      </c>
      <c r="C771" s="83" t="n"/>
      <c r="D771" s="83" t="n"/>
      <c r="E771" s="83" t="n"/>
      <c r="F771" s="83" t="n"/>
      <c r="G771" s="83" t="n"/>
      <c r="H771" s="83" t="n"/>
      <c r="S771">
        <f>IF(8&lt;='設定'!$B$6,"表示","隠す")</f>
        <v/>
      </c>
    </row>
    <row r="772" ht="21" customHeight="1">
      <c r="A772" s="82" t="n"/>
      <c r="B772" s="46">
        <f>'設定'!$I$19</f>
        <v/>
      </c>
      <c r="C772" s="83" t="n"/>
      <c r="D772" s="83" t="n"/>
      <c r="E772" s="83" t="n"/>
      <c r="F772" s="83" t="n"/>
      <c r="G772" s="83" t="n"/>
      <c r="H772" s="83" t="n"/>
      <c r="S772">
        <f>IF(9&lt;='設定'!$B$6,"表示","隠す")</f>
        <v/>
      </c>
    </row>
    <row r="773" hidden="1" ht="21" customHeight="1">
      <c r="A773" s="82" t="n"/>
      <c r="B773" s="46">
        <f>'設定'!$I$20</f>
        <v/>
      </c>
      <c r="C773" s="83" t="n"/>
      <c r="D773" s="83" t="n"/>
      <c r="E773" s="83" t="n"/>
      <c r="F773" s="83" t="n"/>
      <c r="G773" s="83" t="n"/>
      <c r="H773" s="83" t="n"/>
      <c r="S773">
        <f>IF(10&lt;='設定'!$B$6,"表示","隠す")</f>
        <v/>
      </c>
    </row>
    <row r="774" hidden="1" ht="21" customHeight="1">
      <c r="A774" s="82" t="n"/>
      <c r="B774" s="46">
        <f>'設定'!$I$21</f>
        <v/>
      </c>
      <c r="C774" s="83" t="n"/>
      <c r="D774" s="83" t="n"/>
      <c r="E774" s="83" t="n"/>
      <c r="F774" s="83" t="n"/>
      <c r="G774" s="83" t="n"/>
      <c r="H774" s="83" t="n"/>
      <c r="S774">
        <f>IF(11&lt;='設定'!$B$6,"表示","隠す")</f>
        <v/>
      </c>
    </row>
    <row r="775" hidden="1" ht="21" customHeight="1">
      <c r="A775" s="82" t="n"/>
      <c r="B775" s="46">
        <f>'設定'!$I$22</f>
        <v/>
      </c>
      <c r="C775" s="83" t="n"/>
      <c r="D775" s="83" t="n"/>
      <c r="E775" s="83" t="n"/>
      <c r="F775" s="83" t="n"/>
      <c r="G775" s="83" t="n"/>
      <c r="H775" s="83" t="n"/>
      <c r="S775">
        <f>IF(12&lt;='設定'!$B$6,"表示","隠す")</f>
        <v/>
      </c>
    </row>
    <row r="776" hidden="1" ht="21" customHeight="1">
      <c r="A776" s="82" t="n"/>
      <c r="B776" s="46">
        <f>'設定'!$I$23</f>
        <v/>
      </c>
      <c r="C776" s="83" t="n"/>
      <c r="D776" s="83" t="n"/>
      <c r="E776" s="83" t="n"/>
      <c r="F776" s="83" t="n"/>
      <c r="G776" s="83" t="n"/>
      <c r="H776" s="83" t="n"/>
      <c r="S776">
        <f>IF(13&lt;='設定'!$B$6,"表示","隠す")</f>
        <v/>
      </c>
    </row>
    <row r="777" hidden="1" ht="21" customHeight="1">
      <c r="A777" s="82" t="n"/>
      <c r="B777" s="46">
        <f>'設定'!$I$24</f>
        <v/>
      </c>
      <c r="C777" s="83" t="n"/>
      <c r="D777" s="83" t="n"/>
      <c r="E777" s="83" t="n"/>
      <c r="F777" s="83" t="n"/>
      <c r="G777" s="83" t="n"/>
      <c r="H777" s="83" t="n"/>
      <c r="S777">
        <f>IF(14&lt;='設定'!$B$6,"表示","隠す")</f>
        <v/>
      </c>
    </row>
    <row r="778" hidden="1" ht="21" customHeight="1">
      <c r="A778" s="82" t="n"/>
      <c r="B778" s="46">
        <f>'設定'!$I$25</f>
        <v/>
      </c>
      <c r="C778" s="83" t="n"/>
      <c r="D778" s="83" t="n"/>
      <c r="E778" s="83" t="n"/>
      <c r="F778" s="83" t="n"/>
      <c r="G778" s="83" t="n"/>
      <c r="H778" s="83" t="n"/>
      <c r="S778">
        <f>IF(15&lt;='設定'!$B$6,"表示","隠す")</f>
        <v/>
      </c>
    </row>
    <row r="779" hidden="1" ht="21" customHeight="1">
      <c r="A779" s="82" t="n"/>
      <c r="B779" s="46">
        <f>'設定'!$I$26</f>
        <v/>
      </c>
      <c r="C779" s="83" t="n"/>
      <c r="D779" s="83" t="n"/>
      <c r="E779" s="83" t="n"/>
      <c r="F779" s="83" t="n"/>
      <c r="G779" s="83" t="n"/>
      <c r="H779" s="83" t="n"/>
      <c r="S779">
        <f>IF(16&lt;='設定'!$B$6,"表示","隠す")</f>
        <v/>
      </c>
    </row>
    <row r="780" hidden="1" ht="21" customHeight="1">
      <c r="A780" s="82" t="n"/>
      <c r="B780" s="46">
        <f>'設定'!$I$27</f>
        <v/>
      </c>
      <c r="C780" s="83" t="n"/>
      <c r="D780" s="83" t="n"/>
      <c r="E780" s="83" t="n"/>
      <c r="F780" s="83" t="n"/>
      <c r="G780" s="83" t="n"/>
      <c r="H780" s="83" t="n"/>
      <c r="S780">
        <f>IF(17&lt;='設定'!$B$6,"表示","隠す")</f>
        <v/>
      </c>
    </row>
    <row r="781" hidden="1" ht="21" customHeight="1">
      <c r="A781" s="82" t="n"/>
      <c r="B781" s="46">
        <f>'設定'!$I$28</f>
        <v/>
      </c>
      <c r="C781" s="83" t="n"/>
      <c r="D781" s="83" t="n"/>
      <c r="E781" s="83" t="n"/>
      <c r="F781" s="83" t="n"/>
      <c r="G781" s="83" t="n"/>
      <c r="H781" s="83" t="n"/>
      <c r="S781">
        <f>IF(18&lt;='設定'!$B$6,"表示","隠す")</f>
        <v/>
      </c>
    </row>
    <row r="782" hidden="1" ht="21" customHeight="1">
      <c r="A782" s="82" t="n"/>
      <c r="B782" s="46">
        <f>'設定'!$I$29</f>
        <v/>
      </c>
      <c r="C782" s="83" t="n"/>
      <c r="D782" s="83" t="n"/>
      <c r="E782" s="83" t="n"/>
      <c r="F782" s="83" t="n"/>
      <c r="G782" s="83" t="n"/>
      <c r="H782" s="83" t="n"/>
      <c r="S782">
        <f>IF(19&lt;='設定'!$B$6,"表示","隠す")</f>
        <v/>
      </c>
    </row>
    <row r="783" hidden="1" ht="21" customHeight="1">
      <c r="A783" s="82" t="n"/>
      <c r="B783" s="46">
        <f>'設定'!$I$30</f>
        <v/>
      </c>
      <c r="C783" s="83" t="n"/>
      <c r="D783" s="83" t="n"/>
      <c r="E783" s="83" t="n"/>
      <c r="F783" s="83" t="n"/>
      <c r="G783" s="83" t="n"/>
      <c r="H783" s="83" t="n"/>
      <c r="S783">
        <f>IF(20&lt;='設定'!$B$6,"表示","隠す")</f>
        <v/>
      </c>
    </row>
    <row r="784" hidden="1" ht="21" customHeight="1">
      <c r="A784" s="82" t="n"/>
      <c r="B784" s="46">
        <f>'設定'!$I$31</f>
        <v/>
      </c>
      <c r="C784" s="83" t="n"/>
      <c r="D784" s="83" t="n"/>
      <c r="E784" s="83" t="n"/>
      <c r="F784" s="83" t="n"/>
      <c r="G784" s="83" t="n"/>
      <c r="H784" s="83" t="n"/>
      <c r="S784">
        <f>IF(21&lt;='設定'!$B$6,"表示","隠す")</f>
        <v/>
      </c>
    </row>
    <row r="785" hidden="1" ht="21" customHeight="1">
      <c r="A785" s="82" t="n"/>
      <c r="B785" s="46">
        <f>'設定'!$I$32</f>
        <v/>
      </c>
      <c r="C785" s="83" t="n"/>
      <c r="D785" s="83" t="n"/>
      <c r="E785" s="83" t="n"/>
      <c r="F785" s="83" t="n"/>
      <c r="G785" s="83" t="n"/>
      <c r="H785" s="83" t="n"/>
      <c r="S785">
        <f>IF(22&lt;='設定'!$B$6,"表示","隠す")</f>
        <v/>
      </c>
    </row>
    <row r="786" hidden="1" ht="21" customHeight="1">
      <c r="A786" s="82" t="n"/>
      <c r="B786" s="46">
        <f>'設定'!$I$33</f>
        <v/>
      </c>
      <c r="C786" s="83" t="n"/>
      <c r="D786" s="83" t="n"/>
      <c r="E786" s="83" t="n"/>
      <c r="F786" s="83" t="n"/>
      <c r="G786" s="83" t="n"/>
      <c r="H786" s="83" t="n"/>
      <c r="S786">
        <f>IF(23&lt;='設定'!$B$6,"表示","隠す")</f>
        <v/>
      </c>
    </row>
    <row r="787" hidden="1" ht="21" customHeight="1">
      <c r="A787" s="82" t="n"/>
      <c r="B787" s="46">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2" t="n"/>
      <c r="G789" s="33" t="n"/>
      <c r="H789" s="78" t="inlineStr">
        <is>
          <t>状況：</t>
        </is>
      </c>
      <c r="I789" s="79">
        <f>'名簿'!Q33</f>
        <v/>
      </c>
      <c r="J789" s="78" t="inlineStr">
        <is>
          <t>×の数：</t>
        </is>
      </c>
      <c r="K789" s="80">
        <f>'名簿'!R33</f>
        <v/>
      </c>
      <c r="L789" s="81">
        <f>HYPERLINK("#'×入力'!B817","次の人へ ▼")</f>
        <v/>
      </c>
      <c r="S789" t="inlineStr">
        <is>
          <t>表示</t>
        </is>
      </c>
    </row>
    <row r="790" ht="22" customHeight="1">
      <c r="A790" s="34" t="inlineStr">
        <is>
          <t>この日全部 ▶</t>
        </is>
      </c>
      <c r="C790" s="82" t="n"/>
      <c r="D790" s="82" t="n"/>
      <c r="E790" s="82" t="n"/>
      <c r="F790" s="82" t="n"/>
      <c r="G790" s="82" t="n"/>
      <c r="H790" s="82" t="n"/>
      <c r="S790" t="inlineStr">
        <is>
          <t>表示</t>
        </is>
      </c>
    </row>
    <row r="791" ht="28" customHeight="1">
      <c r="A791" s="37" t="inlineStr">
        <is>
          <t>この時間
全部 ▼</t>
        </is>
      </c>
      <c r="B791" s="38" t="inlineStr"/>
      <c r="C791" s="39">
        <f>'設定'!$E$11</f>
        <v/>
      </c>
      <c r="D791" s="39">
        <f>'設定'!$E$12</f>
        <v/>
      </c>
      <c r="E791" s="39">
        <f>'設定'!$E$13</f>
        <v/>
      </c>
      <c r="F791" s="39">
        <f>'設定'!$E$14</f>
        <v/>
      </c>
      <c r="G791" s="39">
        <f>'設定'!$E$15</f>
        <v/>
      </c>
      <c r="H791" s="39">
        <f>'設定'!$E$16</f>
        <v/>
      </c>
      <c r="S791" t="inlineStr">
        <is>
          <t>表示</t>
        </is>
      </c>
    </row>
    <row r="792" ht="21" customHeight="1">
      <c r="A792" s="82" t="n"/>
      <c r="B792" s="46">
        <f>'設定'!$I$11</f>
        <v/>
      </c>
      <c r="C792" s="83" t="n"/>
      <c r="D792" s="83" t="n"/>
      <c r="E792" s="83" t="n"/>
      <c r="F792" s="83" t="n"/>
      <c r="G792" s="83" t="n"/>
      <c r="H792" s="83" t="n"/>
      <c r="S792">
        <f>IF(1&lt;='設定'!$B$6,"表示","隠す")</f>
        <v/>
      </c>
    </row>
    <row r="793" ht="21" customHeight="1">
      <c r="A793" s="82" t="n"/>
      <c r="B793" s="46">
        <f>'設定'!$I$12</f>
        <v/>
      </c>
      <c r="C793" s="83" t="n"/>
      <c r="D793" s="83" t="n"/>
      <c r="E793" s="83" t="n"/>
      <c r="F793" s="83" t="n"/>
      <c r="G793" s="83" t="n"/>
      <c r="H793" s="83" t="n"/>
      <c r="S793">
        <f>IF(2&lt;='設定'!$B$6,"表示","隠す")</f>
        <v/>
      </c>
    </row>
    <row r="794" ht="21" customHeight="1">
      <c r="A794" s="82" t="n"/>
      <c r="B794" s="46">
        <f>'設定'!$I$13</f>
        <v/>
      </c>
      <c r="C794" s="83" t="n"/>
      <c r="D794" s="83" t="n"/>
      <c r="E794" s="83" t="n"/>
      <c r="F794" s="83" t="n"/>
      <c r="G794" s="83" t="n"/>
      <c r="H794" s="83" t="n"/>
      <c r="S794">
        <f>IF(3&lt;='設定'!$B$6,"表示","隠す")</f>
        <v/>
      </c>
    </row>
    <row r="795" ht="21" customHeight="1">
      <c r="A795" s="82" t="n"/>
      <c r="B795" s="46">
        <f>'設定'!$I$14</f>
        <v/>
      </c>
      <c r="C795" s="83" t="n"/>
      <c r="D795" s="83" t="n"/>
      <c r="E795" s="83" t="n"/>
      <c r="F795" s="83" t="n"/>
      <c r="G795" s="83" t="n"/>
      <c r="H795" s="83" t="n"/>
      <c r="S795">
        <f>IF(4&lt;='設定'!$B$6,"表示","隠す")</f>
        <v/>
      </c>
    </row>
    <row r="796" ht="21" customHeight="1">
      <c r="A796" s="82" t="n"/>
      <c r="B796" s="46">
        <f>'設定'!$I$15</f>
        <v/>
      </c>
      <c r="C796" s="83" t="n"/>
      <c r="D796" s="83" t="n"/>
      <c r="E796" s="83" t="n"/>
      <c r="F796" s="83" t="n"/>
      <c r="G796" s="83" t="n"/>
      <c r="H796" s="83" t="n"/>
      <c r="S796">
        <f>IF(5&lt;='設定'!$B$6,"表示","隠す")</f>
        <v/>
      </c>
    </row>
    <row r="797" ht="21" customHeight="1">
      <c r="A797" s="82" t="n"/>
      <c r="B797" s="46">
        <f>'設定'!$I$16</f>
        <v/>
      </c>
      <c r="C797" s="83" t="n"/>
      <c r="D797" s="83" t="n"/>
      <c r="E797" s="83" t="n"/>
      <c r="F797" s="83" t="n"/>
      <c r="G797" s="83" t="n"/>
      <c r="H797" s="83" t="n"/>
      <c r="S797">
        <f>IF(6&lt;='設定'!$B$6,"表示","隠す")</f>
        <v/>
      </c>
    </row>
    <row r="798" ht="21" customHeight="1">
      <c r="A798" s="82" t="n"/>
      <c r="B798" s="46">
        <f>'設定'!$I$17</f>
        <v/>
      </c>
      <c r="C798" s="83" t="n"/>
      <c r="D798" s="83" t="n"/>
      <c r="E798" s="83" t="n"/>
      <c r="F798" s="83" t="n"/>
      <c r="G798" s="83" t="n"/>
      <c r="H798" s="83" t="n"/>
      <c r="S798">
        <f>IF(7&lt;='設定'!$B$6,"表示","隠す")</f>
        <v/>
      </c>
    </row>
    <row r="799" ht="21" customHeight="1">
      <c r="A799" s="82" t="n"/>
      <c r="B799" s="46">
        <f>'設定'!$I$18</f>
        <v/>
      </c>
      <c r="C799" s="83" t="n"/>
      <c r="D799" s="83" t="n"/>
      <c r="E799" s="83" t="n"/>
      <c r="F799" s="83" t="n"/>
      <c r="G799" s="83" t="n"/>
      <c r="H799" s="83" t="n"/>
      <c r="S799">
        <f>IF(8&lt;='設定'!$B$6,"表示","隠す")</f>
        <v/>
      </c>
    </row>
    <row r="800" ht="21" customHeight="1">
      <c r="A800" s="82" t="n"/>
      <c r="B800" s="46">
        <f>'設定'!$I$19</f>
        <v/>
      </c>
      <c r="C800" s="83" t="n"/>
      <c r="D800" s="83" t="n"/>
      <c r="E800" s="83" t="n"/>
      <c r="F800" s="83" t="n"/>
      <c r="G800" s="83" t="n"/>
      <c r="H800" s="83" t="n"/>
      <c r="S800">
        <f>IF(9&lt;='設定'!$B$6,"表示","隠す")</f>
        <v/>
      </c>
    </row>
    <row r="801" hidden="1" ht="21" customHeight="1">
      <c r="A801" s="82" t="n"/>
      <c r="B801" s="46">
        <f>'設定'!$I$20</f>
        <v/>
      </c>
      <c r="C801" s="83" t="n"/>
      <c r="D801" s="83" t="n"/>
      <c r="E801" s="83" t="n"/>
      <c r="F801" s="83" t="n"/>
      <c r="G801" s="83" t="n"/>
      <c r="H801" s="83" t="n"/>
      <c r="S801">
        <f>IF(10&lt;='設定'!$B$6,"表示","隠す")</f>
        <v/>
      </c>
    </row>
    <row r="802" hidden="1" ht="21" customHeight="1">
      <c r="A802" s="82" t="n"/>
      <c r="B802" s="46">
        <f>'設定'!$I$21</f>
        <v/>
      </c>
      <c r="C802" s="83" t="n"/>
      <c r="D802" s="83" t="n"/>
      <c r="E802" s="83" t="n"/>
      <c r="F802" s="83" t="n"/>
      <c r="G802" s="83" t="n"/>
      <c r="H802" s="83" t="n"/>
      <c r="S802">
        <f>IF(11&lt;='設定'!$B$6,"表示","隠す")</f>
        <v/>
      </c>
    </row>
    <row r="803" hidden="1" ht="21" customHeight="1">
      <c r="A803" s="82" t="n"/>
      <c r="B803" s="46">
        <f>'設定'!$I$22</f>
        <v/>
      </c>
      <c r="C803" s="83" t="n"/>
      <c r="D803" s="83" t="n"/>
      <c r="E803" s="83" t="n"/>
      <c r="F803" s="83" t="n"/>
      <c r="G803" s="83" t="n"/>
      <c r="H803" s="83" t="n"/>
      <c r="S803">
        <f>IF(12&lt;='設定'!$B$6,"表示","隠す")</f>
        <v/>
      </c>
    </row>
    <row r="804" hidden="1" ht="21" customHeight="1">
      <c r="A804" s="82" t="n"/>
      <c r="B804" s="46">
        <f>'設定'!$I$23</f>
        <v/>
      </c>
      <c r="C804" s="83" t="n"/>
      <c r="D804" s="83" t="n"/>
      <c r="E804" s="83" t="n"/>
      <c r="F804" s="83" t="n"/>
      <c r="G804" s="83" t="n"/>
      <c r="H804" s="83" t="n"/>
      <c r="S804">
        <f>IF(13&lt;='設定'!$B$6,"表示","隠す")</f>
        <v/>
      </c>
    </row>
    <row r="805" hidden="1" ht="21" customHeight="1">
      <c r="A805" s="82" t="n"/>
      <c r="B805" s="46">
        <f>'設定'!$I$24</f>
        <v/>
      </c>
      <c r="C805" s="83" t="n"/>
      <c r="D805" s="83" t="n"/>
      <c r="E805" s="83" t="n"/>
      <c r="F805" s="83" t="n"/>
      <c r="G805" s="83" t="n"/>
      <c r="H805" s="83" t="n"/>
      <c r="S805">
        <f>IF(14&lt;='設定'!$B$6,"表示","隠す")</f>
        <v/>
      </c>
    </row>
    <row r="806" hidden="1" ht="21" customHeight="1">
      <c r="A806" s="82" t="n"/>
      <c r="B806" s="46">
        <f>'設定'!$I$25</f>
        <v/>
      </c>
      <c r="C806" s="83" t="n"/>
      <c r="D806" s="83" t="n"/>
      <c r="E806" s="83" t="n"/>
      <c r="F806" s="83" t="n"/>
      <c r="G806" s="83" t="n"/>
      <c r="H806" s="83" t="n"/>
      <c r="S806">
        <f>IF(15&lt;='設定'!$B$6,"表示","隠す")</f>
        <v/>
      </c>
    </row>
    <row r="807" hidden="1" ht="21" customHeight="1">
      <c r="A807" s="82" t="n"/>
      <c r="B807" s="46">
        <f>'設定'!$I$26</f>
        <v/>
      </c>
      <c r="C807" s="83" t="n"/>
      <c r="D807" s="83" t="n"/>
      <c r="E807" s="83" t="n"/>
      <c r="F807" s="83" t="n"/>
      <c r="G807" s="83" t="n"/>
      <c r="H807" s="83" t="n"/>
      <c r="S807">
        <f>IF(16&lt;='設定'!$B$6,"表示","隠す")</f>
        <v/>
      </c>
    </row>
    <row r="808" hidden="1" ht="21" customHeight="1">
      <c r="A808" s="82" t="n"/>
      <c r="B808" s="46">
        <f>'設定'!$I$27</f>
        <v/>
      </c>
      <c r="C808" s="83" t="n"/>
      <c r="D808" s="83" t="n"/>
      <c r="E808" s="83" t="n"/>
      <c r="F808" s="83" t="n"/>
      <c r="G808" s="83" t="n"/>
      <c r="H808" s="83" t="n"/>
      <c r="S808">
        <f>IF(17&lt;='設定'!$B$6,"表示","隠す")</f>
        <v/>
      </c>
    </row>
    <row r="809" hidden="1" ht="21" customHeight="1">
      <c r="A809" s="82" t="n"/>
      <c r="B809" s="46">
        <f>'設定'!$I$28</f>
        <v/>
      </c>
      <c r="C809" s="83" t="n"/>
      <c r="D809" s="83" t="n"/>
      <c r="E809" s="83" t="n"/>
      <c r="F809" s="83" t="n"/>
      <c r="G809" s="83" t="n"/>
      <c r="H809" s="83" t="n"/>
      <c r="S809">
        <f>IF(18&lt;='設定'!$B$6,"表示","隠す")</f>
        <v/>
      </c>
    </row>
    <row r="810" hidden="1" ht="21" customHeight="1">
      <c r="A810" s="82" t="n"/>
      <c r="B810" s="46">
        <f>'設定'!$I$29</f>
        <v/>
      </c>
      <c r="C810" s="83" t="n"/>
      <c r="D810" s="83" t="n"/>
      <c r="E810" s="83" t="n"/>
      <c r="F810" s="83" t="n"/>
      <c r="G810" s="83" t="n"/>
      <c r="H810" s="83" t="n"/>
      <c r="S810">
        <f>IF(19&lt;='設定'!$B$6,"表示","隠す")</f>
        <v/>
      </c>
    </row>
    <row r="811" hidden="1" ht="21" customHeight="1">
      <c r="A811" s="82" t="n"/>
      <c r="B811" s="46">
        <f>'設定'!$I$30</f>
        <v/>
      </c>
      <c r="C811" s="83" t="n"/>
      <c r="D811" s="83" t="n"/>
      <c r="E811" s="83" t="n"/>
      <c r="F811" s="83" t="n"/>
      <c r="G811" s="83" t="n"/>
      <c r="H811" s="83" t="n"/>
      <c r="S811">
        <f>IF(20&lt;='設定'!$B$6,"表示","隠す")</f>
        <v/>
      </c>
    </row>
    <row r="812" hidden="1" ht="21" customHeight="1">
      <c r="A812" s="82" t="n"/>
      <c r="B812" s="46">
        <f>'設定'!$I$31</f>
        <v/>
      </c>
      <c r="C812" s="83" t="n"/>
      <c r="D812" s="83" t="n"/>
      <c r="E812" s="83" t="n"/>
      <c r="F812" s="83" t="n"/>
      <c r="G812" s="83" t="n"/>
      <c r="H812" s="83" t="n"/>
      <c r="S812">
        <f>IF(21&lt;='設定'!$B$6,"表示","隠す")</f>
        <v/>
      </c>
    </row>
    <row r="813" hidden="1" ht="21" customHeight="1">
      <c r="A813" s="82" t="n"/>
      <c r="B813" s="46">
        <f>'設定'!$I$32</f>
        <v/>
      </c>
      <c r="C813" s="83" t="n"/>
      <c r="D813" s="83" t="n"/>
      <c r="E813" s="83" t="n"/>
      <c r="F813" s="83" t="n"/>
      <c r="G813" s="83" t="n"/>
      <c r="H813" s="83" t="n"/>
      <c r="S813">
        <f>IF(22&lt;='設定'!$B$6,"表示","隠す")</f>
        <v/>
      </c>
    </row>
    <row r="814" hidden="1" ht="21" customHeight="1">
      <c r="A814" s="82" t="n"/>
      <c r="B814" s="46">
        <f>'設定'!$I$33</f>
        <v/>
      </c>
      <c r="C814" s="83" t="n"/>
      <c r="D814" s="83" t="n"/>
      <c r="E814" s="83" t="n"/>
      <c r="F814" s="83" t="n"/>
      <c r="G814" s="83" t="n"/>
      <c r="H814" s="83" t="n"/>
      <c r="S814">
        <f>IF(23&lt;='設定'!$B$6,"表示","隠す")</f>
        <v/>
      </c>
    </row>
    <row r="815" hidden="1" ht="21" customHeight="1">
      <c r="A815" s="82" t="n"/>
      <c r="B815" s="46">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2" t="n"/>
      <c r="G817" s="33" t="n"/>
      <c r="H817" s="78" t="inlineStr">
        <is>
          <t>状況：</t>
        </is>
      </c>
      <c r="I817" s="79">
        <f>'名簿'!Q34</f>
        <v/>
      </c>
      <c r="J817" s="78" t="inlineStr">
        <is>
          <t>×の数：</t>
        </is>
      </c>
      <c r="K817" s="80">
        <f>'名簿'!R34</f>
        <v/>
      </c>
      <c r="L817" s="81">
        <f>HYPERLINK("#'×入力'!B845","次の人へ ▼")</f>
        <v/>
      </c>
      <c r="S817" t="inlineStr">
        <is>
          <t>表示</t>
        </is>
      </c>
    </row>
    <row r="818" ht="22" customHeight="1">
      <c r="A818" s="34" t="inlineStr">
        <is>
          <t>この日全部 ▶</t>
        </is>
      </c>
      <c r="C818" s="82" t="n"/>
      <c r="D818" s="82" t="n"/>
      <c r="E818" s="82" t="n"/>
      <c r="F818" s="82" t="n"/>
      <c r="G818" s="82" t="n"/>
      <c r="H818" s="82" t="n"/>
      <c r="S818" t="inlineStr">
        <is>
          <t>表示</t>
        </is>
      </c>
    </row>
    <row r="819" ht="28" customHeight="1">
      <c r="A819" s="37" t="inlineStr">
        <is>
          <t>この時間
全部 ▼</t>
        </is>
      </c>
      <c r="B819" s="38" t="inlineStr"/>
      <c r="C819" s="39">
        <f>'設定'!$E$11</f>
        <v/>
      </c>
      <c r="D819" s="39">
        <f>'設定'!$E$12</f>
        <v/>
      </c>
      <c r="E819" s="39">
        <f>'設定'!$E$13</f>
        <v/>
      </c>
      <c r="F819" s="39">
        <f>'設定'!$E$14</f>
        <v/>
      </c>
      <c r="G819" s="39">
        <f>'設定'!$E$15</f>
        <v/>
      </c>
      <c r="H819" s="39">
        <f>'設定'!$E$16</f>
        <v/>
      </c>
      <c r="S819" t="inlineStr">
        <is>
          <t>表示</t>
        </is>
      </c>
    </row>
    <row r="820" ht="21" customHeight="1">
      <c r="A820" s="82" t="n"/>
      <c r="B820" s="46">
        <f>'設定'!$I$11</f>
        <v/>
      </c>
      <c r="C820" s="83" t="n"/>
      <c r="D820" s="83" t="n"/>
      <c r="E820" s="83" t="n"/>
      <c r="F820" s="83" t="n"/>
      <c r="G820" s="83" t="n"/>
      <c r="H820" s="83" t="n"/>
      <c r="S820">
        <f>IF(1&lt;='設定'!$B$6,"表示","隠す")</f>
        <v/>
      </c>
    </row>
    <row r="821" ht="21" customHeight="1">
      <c r="A821" s="82" t="n"/>
      <c r="B821" s="46">
        <f>'設定'!$I$12</f>
        <v/>
      </c>
      <c r="C821" s="83" t="n"/>
      <c r="D821" s="83" t="n"/>
      <c r="E821" s="83" t="n"/>
      <c r="F821" s="83" t="n"/>
      <c r="G821" s="83" t="n"/>
      <c r="H821" s="83" t="n"/>
      <c r="S821">
        <f>IF(2&lt;='設定'!$B$6,"表示","隠す")</f>
        <v/>
      </c>
    </row>
    <row r="822" ht="21" customHeight="1">
      <c r="A822" s="82" t="n"/>
      <c r="B822" s="46">
        <f>'設定'!$I$13</f>
        <v/>
      </c>
      <c r="C822" s="83" t="n"/>
      <c r="D822" s="83" t="n"/>
      <c r="E822" s="83" t="n"/>
      <c r="F822" s="83" t="n"/>
      <c r="G822" s="83" t="n"/>
      <c r="H822" s="83" t="n"/>
      <c r="S822">
        <f>IF(3&lt;='設定'!$B$6,"表示","隠す")</f>
        <v/>
      </c>
    </row>
    <row r="823" ht="21" customHeight="1">
      <c r="A823" s="82" t="n"/>
      <c r="B823" s="46">
        <f>'設定'!$I$14</f>
        <v/>
      </c>
      <c r="C823" s="83" t="n"/>
      <c r="D823" s="83" t="n"/>
      <c r="E823" s="83" t="n"/>
      <c r="F823" s="83" t="n"/>
      <c r="G823" s="83" t="n"/>
      <c r="H823" s="83" t="n"/>
      <c r="S823">
        <f>IF(4&lt;='設定'!$B$6,"表示","隠す")</f>
        <v/>
      </c>
    </row>
    <row r="824" ht="21" customHeight="1">
      <c r="A824" s="82" t="n"/>
      <c r="B824" s="46">
        <f>'設定'!$I$15</f>
        <v/>
      </c>
      <c r="C824" s="83" t="n"/>
      <c r="D824" s="83" t="n"/>
      <c r="E824" s="83" t="n"/>
      <c r="F824" s="83" t="n"/>
      <c r="G824" s="83" t="n"/>
      <c r="H824" s="83" t="n"/>
      <c r="S824">
        <f>IF(5&lt;='設定'!$B$6,"表示","隠す")</f>
        <v/>
      </c>
    </row>
    <row r="825" ht="21" customHeight="1">
      <c r="A825" s="82" t="n"/>
      <c r="B825" s="46">
        <f>'設定'!$I$16</f>
        <v/>
      </c>
      <c r="C825" s="83" t="n"/>
      <c r="D825" s="83" t="n"/>
      <c r="E825" s="83" t="n"/>
      <c r="F825" s="83" t="n"/>
      <c r="G825" s="83" t="n"/>
      <c r="H825" s="83" t="n"/>
      <c r="S825">
        <f>IF(6&lt;='設定'!$B$6,"表示","隠す")</f>
        <v/>
      </c>
    </row>
    <row r="826" ht="21" customHeight="1">
      <c r="A826" s="82" t="n"/>
      <c r="B826" s="46">
        <f>'設定'!$I$17</f>
        <v/>
      </c>
      <c r="C826" s="83" t="n"/>
      <c r="D826" s="83" t="n"/>
      <c r="E826" s="83" t="n"/>
      <c r="F826" s="83" t="n"/>
      <c r="G826" s="83" t="n"/>
      <c r="H826" s="83" t="n"/>
      <c r="S826">
        <f>IF(7&lt;='設定'!$B$6,"表示","隠す")</f>
        <v/>
      </c>
    </row>
    <row r="827" ht="21" customHeight="1">
      <c r="A827" s="82" t="n"/>
      <c r="B827" s="46">
        <f>'設定'!$I$18</f>
        <v/>
      </c>
      <c r="C827" s="83" t="n"/>
      <c r="D827" s="83" t="n"/>
      <c r="E827" s="83" t="n"/>
      <c r="F827" s="83" t="n"/>
      <c r="G827" s="83" t="n"/>
      <c r="H827" s="83" t="n"/>
      <c r="S827">
        <f>IF(8&lt;='設定'!$B$6,"表示","隠す")</f>
        <v/>
      </c>
    </row>
    <row r="828" ht="21" customHeight="1">
      <c r="A828" s="82" t="n"/>
      <c r="B828" s="46">
        <f>'設定'!$I$19</f>
        <v/>
      </c>
      <c r="C828" s="83" t="n"/>
      <c r="D828" s="83" t="n"/>
      <c r="E828" s="83" t="n"/>
      <c r="F828" s="83" t="n"/>
      <c r="G828" s="83" t="n"/>
      <c r="H828" s="83" t="n"/>
      <c r="S828">
        <f>IF(9&lt;='設定'!$B$6,"表示","隠す")</f>
        <v/>
      </c>
    </row>
    <row r="829" hidden="1" ht="21" customHeight="1">
      <c r="A829" s="82" t="n"/>
      <c r="B829" s="46">
        <f>'設定'!$I$20</f>
        <v/>
      </c>
      <c r="C829" s="83" t="n"/>
      <c r="D829" s="83" t="n"/>
      <c r="E829" s="83" t="n"/>
      <c r="F829" s="83" t="n"/>
      <c r="G829" s="83" t="n"/>
      <c r="H829" s="83" t="n"/>
      <c r="S829">
        <f>IF(10&lt;='設定'!$B$6,"表示","隠す")</f>
        <v/>
      </c>
    </row>
    <row r="830" hidden="1" ht="21" customHeight="1">
      <c r="A830" s="82" t="n"/>
      <c r="B830" s="46">
        <f>'設定'!$I$21</f>
        <v/>
      </c>
      <c r="C830" s="83" t="n"/>
      <c r="D830" s="83" t="n"/>
      <c r="E830" s="83" t="n"/>
      <c r="F830" s="83" t="n"/>
      <c r="G830" s="83" t="n"/>
      <c r="H830" s="83" t="n"/>
      <c r="S830">
        <f>IF(11&lt;='設定'!$B$6,"表示","隠す")</f>
        <v/>
      </c>
    </row>
    <row r="831" hidden="1" ht="21" customHeight="1">
      <c r="A831" s="82" t="n"/>
      <c r="B831" s="46">
        <f>'設定'!$I$22</f>
        <v/>
      </c>
      <c r="C831" s="83" t="n"/>
      <c r="D831" s="83" t="n"/>
      <c r="E831" s="83" t="n"/>
      <c r="F831" s="83" t="n"/>
      <c r="G831" s="83" t="n"/>
      <c r="H831" s="83" t="n"/>
      <c r="S831">
        <f>IF(12&lt;='設定'!$B$6,"表示","隠す")</f>
        <v/>
      </c>
    </row>
    <row r="832" hidden="1" ht="21" customHeight="1">
      <c r="A832" s="82" t="n"/>
      <c r="B832" s="46">
        <f>'設定'!$I$23</f>
        <v/>
      </c>
      <c r="C832" s="83" t="n"/>
      <c r="D832" s="83" t="n"/>
      <c r="E832" s="83" t="n"/>
      <c r="F832" s="83" t="n"/>
      <c r="G832" s="83" t="n"/>
      <c r="H832" s="83" t="n"/>
      <c r="S832">
        <f>IF(13&lt;='設定'!$B$6,"表示","隠す")</f>
        <v/>
      </c>
    </row>
    <row r="833" hidden="1" ht="21" customHeight="1">
      <c r="A833" s="82" t="n"/>
      <c r="B833" s="46">
        <f>'設定'!$I$24</f>
        <v/>
      </c>
      <c r="C833" s="83" t="n"/>
      <c r="D833" s="83" t="n"/>
      <c r="E833" s="83" t="n"/>
      <c r="F833" s="83" t="n"/>
      <c r="G833" s="83" t="n"/>
      <c r="H833" s="83" t="n"/>
      <c r="S833">
        <f>IF(14&lt;='設定'!$B$6,"表示","隠す")</f>
        <v/>
      </c>
    </row>
    <row r="834" hidden="1" ht="21" customHeight="1">
      <c r="A834" s="82" t="n"/>
      <c r="B834" s="46">
        <f>'設定'!$I$25</f>
        <v/>
      </c>
      <c r="C834" s="83" t="n"/>
      <c r="D834" s="83" t="n"/>
      <c r="E834" s="83" t="n"/>
      <c r="F834" s="83" t="n"/>
      <c r="G834" s="83" t="n"/>
      <c r="H834" s="83" t="n"/>
      <c r="S834">
        <f>IF(15&lt;='設定'!$B$6,"表示","隠す")</f>
        <v/>
      </c>
    </row>
    <row r="835" hidden="1" ht="21" customHeight="1">
      <c r="A835" s="82" t="n"/>
      <c r="B835" s="46">
        <f>'設定'!$I$26</f>
        <v/>
      </c>
      <c r="C835" s="83" t="n"/>
      <c r="D835" s="83" t="n"/>
      <c r="E835" s="83" t="n"/>
      <c r="F835" s="83" t="n"/>
      <c r="G835" s="83" t="n"/>
      <c r="H835" s="83" t="n"/>
      <c r="S835">
        <f>IF(16&lt;='設定'!$B$6,"表示","隠す")</f>
        <v/>
      </c>
    </row>
    <row r="836" hidden="1" ht="21" customHeight="1">
      <c r="A836" s="82" t="n"/>
      <c r="B836" s="46">
        <f>'設定'!$I$27</f>
        <v/>
      </c>
      <c r="C836" s="83" t="n"/>
      <c r="D836" s="83" t="n"/>
      <c r="E836" s="83" t="n"/>
      <c r="F836" s="83" t="n"/>
      <c r="G836" s="83" t="n"/>
      <c r="H836" s="83" t="n"/>
      <c r="S836">
        <f>IF(17&lt;='設定'!$B$6,"表示","隠す")</f>
        <v/>
      </c>
    </row>
    <row r="837" hidden="1" ht="21" customHeight="1">
      <c r="A837" s="82" t="n"/>
      <c r="B837" s="46">
        <f>'設定'!$I$28</f>
        <v/>
      </c>
      <c r="C837" s="83" t="n"/>
      <c r="D837" s="83" t="n"/>
      <c r="E837" s="83" t="n"/>
      <c r="F837" s="83" t="n"/>
      <c r="G837" s="83" t="n"/>
      <c r="H837" s="83" t="n"/>
      <c r="S837">
        <f>IF(18&lt;='設定'!$B$6,"表示","隠す")</f>
        <v/>
      </c>
    </row>
    <row r="838" hidden="1" ht="21" customHeight="1">
      <c r="A838" s="82" t="n"/>
      <c r="B838" s="46">
        <f>'設定'!$I$29</f>
        <v/>
      </c>
      <c r="C838" s="83" t="n"/>
      <c r="D838" s="83" t="n"/>
      <c r="E838" s="83" t="n"/>
      <c r="F838" s="83" t="n"/>
      <c r="G838" s="83" t="n"/>
      <c r="H838" s="83" t="n"/>
      <c r="S838">
        <f>IF(19&lt;='設定'!$B$6,"表示","隠す")</f>
        <v/>
      </c>
    </row>
    <row r="839" hidden="1" ht="21" customHeight="1">
      <c r="A839" s="82" t="n"/>
      <c r="B839" s="46">
        <f>'設定'!$I$30</f>
        <v/>
      </c>
      <c r="C839" s="83" t="n"/>
      <c r="D839" s="83" t="n"/>
      <c r="E839" s="83" t="n"/>
      <c r="F839" s="83" t="n"/>
      <c r="G839" s="83" t="n"/>
      <c r="H839" s="83" t="n"/>
      <c r="S839">
        <f>IF(20&lt;='設定'!$B$6,"表示","隠す")</f>
        <v/>
      </c>
    </row>
    <row r="840" hidden="1" ht="21" customHeight="1">
      <c r="A840" s="82" t="n"/>
      <c r="B840" s="46">
        <f>'設定'!$I$31</f>
        <v/>
      </c>
      <c r="C840" s="83" t="n"/>
      <c r="D840" s="83" t="n"/>
      <c r="E840" s="83" t="n"/>
      <c r="F840" s="83" t="n"/>
      <c r="G840" s="83" t="n"/>
      <c r="H840" s="83" t="n"/>
      <c r="S840">
        <f>IF(21&lt;='設定'!$B$6,"表示","隠す")</f>
        <v/>
      </c>
    </row>
    <row r="841" hidden="1" ht="21" customHeight="1">
      <c r="A841" s="82" t="n"/>
      <c r="B841" s="46">
        <f>'設定'!$I$32</f>
        <v/>
      </c>
      <c r="C841" s="83" t="n"/>
      <c r="D841" s="83" t="n"/>
      <c r="E841" s="83" t="n"/>
      <c r="F841" s="83" t="n"/>
      <c r="G841" s="83" t="n"/>
      <c r="H841" s="83" t="n"/>
      <c r="S841">
        <f>IF(22&lt;='設定'!$B$6,"表示","隠す")</f>
        <v/>
      </c>
    </row>
    <row r="842" hidden="1" ht="21" customHeight="1">
      <c r="A842" s="82" t="n"/>
      <c r="B842" s="46">
        <f>'設定'!$I$33</f>
        <v/>
      </c>
      <c r="C842" s="83" t="n"/>
      <c r="D842" s="83" t="n"/>
      <c r="E842" s="83" t="n"/>
      <c r="F842" s="83" t="n"/>
      <c r="G842" s="83" t="n"/>
      <c r="H842" s="83" t="n"/>
      <c r="S842">
        <f>IF(23&lt;='設定'!$B$6,"表示","隠す")</f>
        <v/>
      </c>
    </row>
    <row r="843" hidden="1" ht="21" customHeight="1">
      <c r="A843" s="82" t="n"/>
      <c r="B843" s="46">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2" t="n"/>
      <c r="G845" s="33" t="n"/>
      <c r="H845" s="78" t="inlineStr">
        <is>
          <t>状況：</t>
        </is>
      </c>
      <c r="I845" s="79">
        <f>'名簿'!Q35</f>
        <v/>
      </c>
      <c r="J845" s="78" t="inlineStr">
        <is>
          <t>×の数：</t>
        </is>
      </c>
      <c r="K845" s="80">
        <f>'名簿'!R35</f>
        <v/>
      </c>
      <c r="L845" s="81">
        <f>HYPERLINK("#'×入力'!B873","次の人へ ▼")</f>
        <v/>
      </c>
      <c r="S845" t="inlineStr">
        <is>
          <t>表示</t>
        </is>
      </c>
    </row>
    <row r="846" ht="22" customHeight="1">
      <c r="A846" s="34" t="inlineStr">
        <is>
          <t>この日全部 ▶</t>
        </is>
      </c>
      <c r="C846" s="82" t="n"/>
      <c r="D846" s="82" t="n"/>
      <c r="E846" s="82" t="n"/>
      <c r="F846" s="82" t="n"/>
      <c r="G846" s="82" t="n"/>
      <c r="H846" s="82" t="n"/>
      <c r="S846" t="inlineStr">
        <is>
          <t>表示</t>
        </is>
      </c>
    </row>
    <row r="847" ht="28" customHeight="1">
      <c r="A847" s="37" t="inlineStr">
        <is>
          <t>この時間
全部 ▼</t>
        </is>
      </c>
      <c r="B847" s="38" t="inlineStr"/>
      <c r="C847" s="39">
        <f>'設定'!$E$11</f>
        <v/>
      </c>
      <c r="D847" s="39">
        <f>'設定'!$E$12</f>
        <v/>
      </c>
      <c r="E847" s="39">
        <f>'設定'!$E$13</f>
        <v/>
      </c>
      <c r="F847" s="39">
        <f>'設定'!$E$14</f>
        <v/>
      </c>
      <c r="G847" s="39">
        <f>'設定'!$E$15</f>
        <v/>
      </c>
      <c r="H847" s="39">
        <f>'設定'!$E$16</f>
        <v/>
      </c>
      <c r="S847" t="inlineStr">
        <is>
          <t>表示</t>
        </is>
      </c>
    </row>
    <row r="848" ht="21" customHeight="1">
      <c r="A848" s="82" t="n"/>
      <c r="B848" s="46">
        <f>'設定'!$I$11</f>
        <v/>
      </c>
      <c r="C848" s="83" t="n"/>
      <c r="D848" s="83" t="n"/>
      <c r="E848" s="83" t="n"/>
      <c r="F848" s="83" t="n"/>
      <c r="G848" s="83" t="n"/>
      <c r="H848" s="83" t="n"/>
      <c r="S848">
        <f>IF(1&lt;='設定'!$B$6,"表示","隠す")</f>
        <v/>
      </c>
    </row>
    <row r="849" ht="21" customHeight="1">
      <c r="A849" s="82" t="n"/>
      <c r="B849" s="46">
        <f>'設定'!$I$12</f>
        <v/>
      </c>
      <c r="C849" s="83" t="n"/>
      <c r="D849" s="83" t="n"/>
      <c r="E849" s="83" t="n"/>
      <c r="F849" s="83" t="n"/>
      <c r="G849" s="83" t="n"/>
      <c r="H849" s="83" t="n"/>
      <c r="S849">
        <f>IF(2&lt;='設定'!$B$6,"表示","隠す")</f>
        <v/>
      </c>
    </row>
    <row r="850" ht="21" customHeight="1">
      <c r="A850" s="82" t="n"/>
      <c r="B850" s="46">
        <f>'設定'!$I$13</f>
        <v/>
      </c>
      <c r="C850" s="83" t="n"/>
      <c r="D850" s="83" t="n"/>
      <c r="E850" s="83" t="n"/>
      <c r="F850" s="83" t="n"/>
      <c r="G850" s="83" t="n"/>
      <c r="H850" s="83" t="n"/>
      <c r="S850">
        <f>IF(3&lt;='設定'!$B$6,"表示","隠す")</f>
        <v/>
      </c>
    </row>
    <row r="851" ht="21" customHeight="1">
      <c r="A851" s="82" t="n"/>
      <c r="B851" s="46">
        <f>'設定'!$I$14</f>
        <v/>
      </c>
      <c r="C851" s="83" t="n"/>
      <c r="D851" s="83" t="n"/>
      <c r="E851" s="83" t="n"/>
      <c r="F851" s="83" t="n"/>
      <c r="G851" s="83" t="n"/>
      <c r="H851" s="83" t="n"/>
      <c r="S851">
        <f>IF(4&lt;='設定'!$B$6,"表示","隠す")</f>
        <v/>
      </c>
    </row>
    <row r="852" ht="21" customHeight="1">
      <c r="A852" s="82" t="n"/>
      <c r="B852" s="46">
        <f>'設定'!$I$15</f>
        <v/>
      </c>
      <c r="C852" s="83" t="n"/>
      <c r="D852" s="83" t="n"/>
      <c r="E852" s="83" t="n"/>
      <c r="F852" s="83" t="n"/>
      <c r="G852" s="83" t="n"/>
      <c r="H852" s="83" t="n"/>
      <c r="S852">
        <f>IF(5&lt;='設定'!$B$6,"表示","隠す")</f>
        <v/>
      </c>
    </row>
    <row r="853" ht="21" customHeight="1">
      <c r="A853" s="82" t="n"/>
      <c r="B853" s="46">
        <f>'設定'!$I$16</f>
        <v/>
      </c>
      <c r="C853" s="83" t="n"/>
      <c r="D853" s="83" t="n"/>
      <c r="E853" s="83" t="n"/>
      <c r="F853" s="83" t="n"/>
      <c r="G853" s="83" t="n"/>
      <c r="H853" s="83" t="n"/>
      <c r="S853">
        <f>IF(6&lt;='設定'!$B$6,"表示","隠す")</f>
        <v/>
      </c>
    </row>
    <row r="854" ht="21" customHeight="1">
      <c r="A854" s="82" t="n"/>
      <c r="B854" s="46">
        <f>'設定'!$I$17</f>
        <v/>
      </c>
      <c r="C854" s="83" t="n"/>
      <c r="D854" s="83" t="n"/>
      <c r="E854" s="83" t="n"/>
      <c r="F854" s="83" t="n"/>
      <c r="G854" s="83" t="n"/>
      <c r="H854" s="83" t="n"/>
      <c r="S854">
        <f>IF(7&lt;='設定'!$B$6,"表示","隠す")</f>
        <v/>
      </c>
    </row>
    <row r="855" ht="21" customHeight="1">
      <c r="A855" s="82" t="n"/>
      <c r="B855" s="46">
        <f>'設定'!$I$18</f>
        <v/>
      </c>
      <c r="C855" s="83" t="n"/>
      <c r="D855" s="83" t="n"/>
      <c r="E855" s="83" t="n"/>
      <c r="F855" s="83" t="n"/>
      <c r="G855" s="83" t="n"/>
      <c r="H855" s="83" t="n"/>
      <c r="S855">
        <f>IF(8&lt;='設定'!$B$6,"表示","隠す")</f>
        <v/>
      </c>
    </row>
    <row r="856" ht="21" customHeight="1">
      <c r="A856" s="82" t="n"/>
      <c r="B856" s="46">
        <f>'設定'!$I$19</f>
        <v/>
      </c>
      <c r="C856" s="83" t="n"/>
      <c r="D856" s="83" t="n"/>
      <c r="E856" s="83" t="n"/>
      <c r="F856" s="83" t="n"/>
      <c r="G856" s="83" t="n"/>
      <c r="H856" s="83" t="n"/>
      <c r="S856">
        <f>IF(9&lt;='設定'!$B$6,"表示","隠す")</f>
        <v/>
      </c>
    </row>
    <row r="857" hidden="1" ht="21" customHeight="1">
      <c r="A857" s="82" t="n"/>
      <c r="B857" s="46">
        <f>'設定'!$I$20</f>
        <v/>
      </c>
      <c r="C857" s="83" t="n"/>
      <c r="D857" s="83" t="n"/>
      <c r="E857" s="83" t="n"/>
      <c r="F857" s="83" t="n"/>
      <c r="G857" s="83" t="n"/>
      <c r="H857" s="83" t="n"/>
      <c r="S857">
        <f>IF(10&lt;='設定'!$B$6,"表示","隠す")</f>
        <v/>
      </c>
    </row>
    <row r="858" hidden="1" ht="21" customHeight="1">
      <c r="A858" s="82" t="n"/>
      <c r="B858" s="46">
        <f>'設定'!$I$21</f>
        <v/>
      </c>
      <c r="C858" s="83" t="n"/>
      <c r="D858" s="83" t="n"/>
      <c r="E858" s="83" t="n"/>
      <c r="F858" s="83" t="n"/>
      <c r="G858" s="83" t="n"/>
      <c r="H858" s="83" t="n"/>
      <c r="S858">
        <f>IF(11&lt;='設定'!$B$6,"表示","隠す")</f>
        <v/>
      </c>
    </row>
    <row r="859" hidden="1" ht="21" customHeight="1">
      <c r="A859" s="82" t="n"/>
      <c r="B859" s="46">
        <f>'設定'!$I$22</f>
        <v/>
      </c>
      <c r="C859" s="83" t="n"/>
      <c r="D859" s="83" t="n"/>
      <c r="E859" s="83" t="n"/>
      <c r="F859" s="83" t="n"/>
      <c r="G859" s="83" t="n"/>
      <c r="H859" s="83" t="n"/>
      <c r="S859">
        <f>IF(12&lt;='設定'!$B$6,"表示","隠す")</f>
        <v/>
      </c>
    </row>
    <row r="860" hidden="1" ht="21" customHeight="1">
      <c r="A860" s="82" t="n"/>
      <c r="B860" s="46">
        <f>'設定'!$I$23</f>
        <v/>
      </c>
      <c r="C860" s="83" t="n"/>
      <c r="D860" s="83" t="n"/>
      <c r="E860" s="83" t="n"/>
      <c r="F860" s="83" t="n"/>
      <c r="G860" s="83" t="n"/>
      <c r="H860" s="83" t="n"/>
      <c r="S860">
        <f>IF(13&lt;='設定'!$B$6,"表示","隠す")</f>
        <v/>
      </c>
    </row>
    <row r="861" hidden="1" ht="21" customHeight="1">
      <c r="A861" s="82" t="n"/>
      <c r="B861" s="46">
        <f>'設定'!$I$24</f>
        <v/>
      </c>
      <c r="C861" s="83" t="n"/>
      <c r="D861" s="83" t="n"/>
      <c r="E861" s="83" t="n"/>
      <c r="F861" s="83" t="n"/>
      <c r="G861" s="83" t="n"/>
      <c r="H861" s="83" t="n"/>
      <c r="S861">
        <f>IF(14&lt;='設定'!$B$6,"表示","隠す")</f>
        <v/>
      </c>
    </row>
    <row r="862" hidden="1" ht="21" customHeight="1">
      <c r="A862" s="82" t="n"/>
      <c r="B862" s="46">
        <f>'設定'!$I$25</f>
        <v/>
      </c>
      <c r="C862" s="83" t="n"/>
      <c r="D862" s="83" t="n"/>
      <c r="E862" s="83" t="n"/>
      <c r="F862" s="83" t="n"/>
      <c r="G862" s="83" t="n"/>
      <c r="H862" s="83" t="n"/>
      <c r="S862">
        <f>IF(15&lt;='設定'!$B$6,"表示","隠す")</f>
        <v/>
      </c>
    </row>
    <row r="863" hidden="1" ht="21" customHeight="1">
      <c r="A863" s="82" t="n"/>
      <c r="B863" s="46">
        <f>'設定'!$I$26</f>
        <v/>
      </c>
      <c r="C863" s="83" t="n"/>
      <c r="D863" s="83" t="n"/>
      <c r="E863" s="83" t="n"/>
      <c r="F863" s="83" t="n"/>
      <c r="G863" s="83" t="n"/>
      <c r="H863" s="83" t="n"/>
      <c r="S863">
        <f>IF(16&lt;='設定'!$B$6,"表示","隠す")</f>
        <v/>
      </c>
    </row>
    <row r="864" hidden="1" ht="21" customHeight="1">
      <c r="A864" s="82" t="n"/>
      <c r="B864" s="46">
        <f>'設定'!$I$27</f>
        <v/>
      </c>
      <c r="C864" s="83" t="n"/>
      <c r="D864" s="83" t="n"/>
      <c r="E864" s="83" t="n"/>
      <c r="F864" s="83" t="n"/>
      <c r="G864" s="83" t="n"/>
      <c r="H864" s="83" t="n"/>
      <c r="S864">
        <f>IF(17&lt;='設定'!$B$6,"表示","隠す")</f>
        <v/>
      </c>
    </row>
    <row r="865" hidden="1" ht="21" customHeight="1">
      <c r="A865" s="82" t="n"/>
      <c r="B865" s="46">
        <f>'設定'!$I$28</f>
        <v/>
      </c>
      <c r="C865" s="83" t="n"/>
      <c r="D865" s="83" t="n"/>
      <c r="E865" s="83" t="n"/>
      <c r="F865" s="83" t="n"/>
      <c r="G865" s="83" t="n"/>
      <c r="H865" s="83" t="n"/>
      <c r="S865">
        <f>IF(18&lt;='設定'!$B$6,"表示","隠す")</f>
        <v/>
      </c>
    </row>
    <row r="866" hidden="1" ht="21" customHeight="1">
      <c r="A866" s="82" t="n"/>
      <c r="B866" s="46">
        <f>'設定'!$I$29</f>
        <v/>
      </c>
      <c r="C866" s="83" t="n"/>
      <c r="D866" s="83" t="n"/>
      <c r="E866" s="83" t="n"/>
      <c r="F866" s="83" t="n"/>
      <c r="G866" s="83" t="n"/>
      <c r="H866" s="83" t="n"/>
      <c r="S866">
        <f>IF(19&lt;='設定'!$B$6,"表示","隠す")</f>
        <v/>
      </c>
    </row>
    <row r="867" hidden="1" ht="21" customHeight="1">
      <c r="A867" s="82" t="n"/>
      <c r="B867" s="46">
        <f>'設定'!$I$30</f>
        <v/>
      </c>
      <c r="C867" s="83" t="n"/>
      <c r="D867" s="83" t="n"/>
      <c r="E867" s="83" t="n"/>
      <c r="F867" s="83" t="n"/>
      <c r="G867" s="83" t="n"/>
      <c r="H867" s="83" t="n"/>
      <c r="S867">
        <f>IF(20&lt;='設定'!$B$6,"表示","隠す")</f>
        <v/>
      </c>
    </row>
    <row r="868" hidden="1" ht="21" customHeight="1">
      <c r="A868" s="82" t="n"/>
      <c r="B868" s="46">
        <f>'設定'!$I$31</f>
        <v/>
      </c>
      <c r="C868" s="83" t="n"/>
      <c r="D868" s="83" t="n"/>
      <c r="E868" s="83" t="n"/>
      <c r="F868" s="83" t="n"/>
      <c r="G868" s="83" t="n"/>
      <c r="H868" s="83" t="n"/>
      <c r="S868">
        <f>IF(21&lt;='設定'!$B$6,"表示","隠す")</f>
        <v/>
      </c>
    </row>
    <row r="869" hidden="1" ht="21" customHeight="1">
      <c r="A869" s="82" t="n"/>
      <c r="B869" s="46">
        <f>'設定'!$I$32</f>
        <v/>
      </c>
      <c r="C869" s="83" t="n"/>
      <c r="D869" s="83" t="n"/>
      <c r="E869" s="83" t="n"/>
      <c r="F869" s="83" t="n"/>
      <c r="G869" s="83" t="n"/>
      <c r="H869" s="83" t="n"/>
      <c r="S869">
        <f>IF(22&lt;='設定'!$B$6,"表示","隠す")</f>
        <v/>
      </c>
    </row>
    <row r="870" hidden="1" ht="21" customHeight="1">
      <c r="A870" s="82" t="n"/>
      <c r="B870" s="46">
        <f>'設定'!$I$33</f>
        <v/>
      </c>
      <c r="C870" s="83" t="n"/>
      <c r="D870" s="83" t="n"/>
      <c r="E870" s="83" t="n"/>
      <c r="F870" s="83" t="n"/>
      <c r="G870" s="83" t="n"/>
      <c r="H870" s="83" t="n"/>
      <c r="S870">
        <f>IF(23&lt;='設定'!$B$6,"表示","隠す")</f>
        <v/>
      </c>
    </row>
    <row r="871" hidden="1" ht="21" customHeight="1">
      <c r="A871" s="82" t="n"/>
      <c r="B871" s="46">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2" t="n"/>
      <c r="G873" s="33" t="n"/>
      <c r="H873" s="78" t="inlineStr">
        <is>
          <t>状況：</t>
        </is>
      </c>
      <c r="I873" s="79">
        <f>'名簿'!Q36</f>
        <v/>
      </c>
      <c r="J873" s="78" t="inlineStr">
        <is>
          <t>×の数：</t>
        </is>
      </c>
      <c r="K873" s="80">
        <f>'名簿'!R36</f>
        <v/>
      </c>
      <c r="L873" s="81">
        <f>HYPERLINK("#'×入力'!B901","次の人へ ▼")</f>
        <v/>
      </c>
      <c r="S873" t="inlineStr">
        <is>
          <t>表示</t>
        </is>
      </c>
    </row>
    <row r="874" ht="22" customHeight="1">
      <c r="A874" s="34" t="inlineStr">
        <is>
          <t>この日全部 ▶</t>
        </is>
      </c>
      <c r="C874" s="82" t="n"/>
      <c r="D874" s="82" t="n"/>
      <c r="E874" s="82" t="n"/>
      <c r="F874" s="82" t="n"/>
      <c r="G874" s="82" t="n"/>
      <c r="H874" s="82" t="n"/>
      <c r="S874" t="inlineStr">
        <is>
          <t>表示</t>
        </is>
      </c>
    </row>
    <row r="875" ht="28" customHeight="1">
      <c r="A875" s="37" t="inlineStr">
        <is>
          <t>この時間
全部 ▼</t>
        </is>
      </c>
      <c r="B875" s="38" t="inlineStr"/>
      <c r="C875" s="39">
        <f>'設定'!$E$11</f>
        <v/>
      </c>
      <c r="D875" s="39">
        <f>'設定'!$E$12</f>
        <v/>
      </c>
      <c r="E875" s="39">
        <f>'設定'!$E$13</f>
        <v/>
      </c>
      <c r="F875" s="39">
        <f>'設定'!$E$14</f>
        <v/>
      </c>
      <c r="G875" s="39">
        <f>'設定'!$E$15</f>
        <v/>
      </c>
      <c r="H875" s="39">
        <f>'設定'!$E$16</f>
        <v/>
      </c>
      <c r="S875" t="inlineStr">
        <is>
          <t>表示</t>
        </is>
      </c>
    </row>
    <row r="876" ht="21" customHeight="1">
      <c r="A876" s="82" t="n"/>
      <c r="B876" s="46">
        <f>'設定'!$I$11</f>
        <v/>
      </c>
      <c r="C876" s="83" t="n"/>
      <c r="D876" s="83" t="n"/>
      <c r="E876" s="83" t="n"/>
      <c r="F876" s="83" t="n"/>
      <c r="G876" s="83" t="n"/>
      <c r="H876" s="83" t="n"/>
      <c r="S876">
        <f>IF(1&lt;='設定'!$B$6,"表示","隠す")</f>
        <v/>
      </c>
    </row>
    <row r="877" ht="21" customHeight="1">
      <c r="A877" s="82" t="n"/>
      <c r="B877" s="46">
        <f>'設定'!$I$12</f>
        <v/>
      </c>
      <c r="C877" s="83" t="n"/>
      <c r="D877" s="83" t="n"/>
      <c r="E877" s="83" t="n"/>
      <c r="F877" s="83" t="n"/>
      <c r="G877" s="83" t="n"/>
      <c r="H877" s="83" t="n"/>
      <c r="S877">
        <f>IF(2&lt;='設定'!$B$6,"表示","隠す")</f>
        <v/>
      </c>
    </row>
    <row r="878" ht="21" customHeight="1">
      <c r="A878" s="82" t="n"/>
      <c r="B878" s="46">
        <f>'設定'!$I$13</f>
        <v/>
      </c>
      <c r="C878" s="83" t="n"/>
      <c r="D878" s="83" t="n"/>
      <c r="E878" s="83" t="n"/>
      <c r="F878" s="83" t="n"/>
      <c r="G878" s="83" t="n"/>
      <c r="H878" s="83" t="n"/>
      <c r="S878">
        <f>IF(3&lt;='設定'!$B$6,"表示","隠す")</f>
        <v/>
      </c>
    </row>
    <row r="879" ht="21" customHeight="1">
      <c r="A879" s="82" t="n"/>
      <c r="B879" s="46">
        <f>'設定'!$I$14</f>
        <v/>
      </c>
      <c r="C879" s="83" t="n"/>
      <c r="D879" s="83" t="n"/>
      <c r="E879" s="83" t="n"/>
      <c r="F879" s="83" t="n"/>
      <c r="G879" s="83" t="n"/>
      <c r="H879" s="83" t="n"/>
      <c r="S879">
        <f>IF(4&lt;='設定'!$B$6,"表示","隠す")</f>
        <v/>
      </c>
    </row>
    <row r="880" ht="21" customHeight="1">
      <c r="A880" s="82" t="n"/>
      <c r="B880" s="46">
        <f>'設定'!$I$15</f>
        <v/>
      </c>
      <c r="C880" s="83" t="n"/>
      <c r="D880" s="83" t="n"/>
      <c r="E880" s="83" t="n"/>
      <c r="F880" s="83" t="n"/>
      <c r="G880" s="83" t="n"/>
      <c r="H880" s="83" t="n"/>
      <c r="S880">
        <f>IF(5&lt;='設定'!$B$6,"表示","隠す")</f>
        <v/>
      </c>
    </row>
    <row r="881" ht="21" customHeight="1">
      <c r="A881" s="82" t="n"/>
      <c r="B881" s="46">
        <f>'設定'!$I$16</f>
        <v/>
      </c>
      <c r="C881" s="83" t="n"/>
      <c r="D881" s="83" t="n"/>
      <c r="E881" s="83" t="n"/>
      <c r="F881" s="83" t="n"/>
      <c r="G881" s="83" t="n"/>
      <c r="H881" s="83" t="n"/>
      <c r="S881">
        <f>IF(6&lt;='設定'!$B$6,"表示","隠す")</f>
        <v/>
      </c>
    </row>
    <row r="882" ht="21" customHeight="1">
      <c r="A882" s="82" t="n"/>
      <c r="B882" s="46">
        <f>'設定'!$I$17</f>
        <v/>
      </c>
      <c r="C882" s="83" t="n"/>
      <c r="D882" s="83" t="n"/>
      <c r="E882" s="83" t="n"/>
      <c r="F882" s="83" t="n"/>
      <c r="G882" s="83" t="n"/>
      <c r="H882" s="83" t="n"/>
      <c r="S882">
        <f>IF(7&lt;='設定'!$B$6,"表示","隠す")</f>
        <v/>
      </c>
    </row>
    <row r="883" ht="21" customHeight="1">
      <c r="A883" s="82" t="n"/>
      <c r="B883" s="46">
        <f>'設定'!$I$18</f>
        <v/>
      </c>
      <c r="C883" s="83" t="n"/>
      <c r="D883" s="83" t="n"/>
      <c r="E883" s="83" t="n"/>
      <c r="F883" s="83" t="n"/>
      <c r="G883" s="83" t="n"/>
      <c r="H883" s="83" t="n"/>
      <c r="S883">
        <f>IF(8&lt;='設定'!$B$6,"表示","隠す")</f>
        <v/>
      </c>
    </row>
    <row r="884" ht="21" customHeight="1">
      <c r="A884" s="82" t="n"/>
      <c r="B884" s="46">
        <f>'設定'!$I$19</f>
        <v/>
      </c>
      <c r="C884" s="83" t="n"/>
      <c r="D884" s="83" t="n"/>
      <c r="E884" s="83" t="n"/>
      <c r="F884" s="83" t="n"/>
      <c r="G884" s="83" t="n"/>
      <c r="H884" s="83" t="n"/>
      <c r="S884">
        <f>IF(9&lt;='設定'!$B$6,"表示","隠す")</f>
        <v/>
      </c>
    </row>
    <row r="885" hidden="1" ht="21" customHeight="1">
      <c r="A885" s="82" t="n"/>
      <c r="B885" s="46">
        <f>'設定'!$I$20</f>
        <v/>
      </c>
      <c r="C885" s="83" t="n"/>
      <c r="D885" s="83" t="n"/>
      <c r="E885" s="83" t="n"/>
      <c r="F885" s="83" t="n"/>
      <c r="G885" s="83" t="n"/>
      <c r="H885" s="83" t="n"/>
      <c r="S885">
        <f>IF(10&lt;='設定'!$B$6,"表示","隠す")</f>
        <v/>
      </c>
    </row>
    <row r="886" hidden="1" ht="21" customHeight="1">
      <c r="A886" s="82" t="n"/>
      <c r="B886" s="46">
        <f>'設定'!$I$21</f>
        <v/>
      </c>
      <c r="C886" s="83" t="n"/>
      <c r="D886" s="83" t="n"/>
      <c r="E886" s="83" t="n"/>
      <c r="F886" s="83" t="n"/>
      <c r="G886" s="83" t="n"/>
      <c r="H886" s="83" t="n"/>
      <c r="S886">
        <f>IF(11&lt;='設定'!$B$6,"表示","隠す")</f>
        <v/>
      </c>
    </row>
    <row r="887" hidden="1" ht="21" customHeight="1">
      <c r="A887" s="82" t="n"/>
      <c r="B887" s="46">
        <f>'設定'!$I$22</f>
        <v/>
      </c>
      <c r="C887" s="83" t="n"/>
      <c r="D887" s="83" t="n"/>
      <c r="E887" s="83" t="n"/>
      <c r="F887" s="83" t="n"/>
      <c r="G887" s="83" t="n"/>
      <c r="H887" s="83" t="n"/>
      <c r="S887">
        <f>IF(12&lt;='設定'!$B$6,"表示","隠す")</f>
        <v/>
      </c>
    </row>
    <row r="888" hidden="1" ht="21" customHeight="1">
      <c r="A888" s="82" t="n"/>
      <c r="B888" s="46">
        <f>'設定'!$I$23</f>
        <v/>
      </c>
      <c r="C888" s="83" t="n"/>
      <c r="D888" s="83" t="n"/>
      <c r="E888" s="83" t="n"/>
      <c r="F888" s="83" t="n"/>
      <c r="G888" s="83" t="n"/>
      <c r="H888" s="83" t="n"/>
      <c r="S888">
        <f>IF(13&lt;='設定'!$B$6,"表示","隠す")</f>
        <v/>
      </c>
    </row>
    <row r="889" hidden="1" ht="21" customHeight="1">
      <c r="A889" s="82" t="n"/>
      <c r="B889" s="46">
        <f>'設定'!$I$24</f>
        <v/>
      </c>
      <c r="C889" s="83" t="n"/>
      <c r="D889" s="83" t="n"/>
      <c r="E889" s="83" t="n"/>
      <c r="F889" s="83" t="n"/>
      <c r="G889" s="83" t="n"/>
      <c r="H889" s="83" t="n"/>
      <c r="S889">
        <f>IF(14&lt;='設定'!$B$6,"表示","隠す")</f>
        <v/>
      </c>
    </row>
    <row r="890" hidden="1" ht="21" customHeight="1">
      <c r="A890" s="82" t="n"/>
      <c r="B890" s="46">
        <f>'設定'!$I$25</f>
        <v/>
      </c>
      <c r="C890" s="83" t="n"/>
      <c r="D890" s="83" t="n"/>
      <c r="E890" s="83" t="n"/>
      <c r="F890" s="83" t="n"/>
      <c r="G890" s="83" t="n"/>
      <c r="H890" s="83" t="n"/>
      <c r="S890">
        <f>IF(15&lt;='設定'!$B$6,"表示","隠す")</f>
        <v/>
      </c>
    </row>
    <row r="891" hidden="1" ht="21" customHeight="1">
      <c r="A891" s="82" t="n"/>
      <c r="B891" s="46">
        <f>'設定'!$I$26</f>
        <v/>
      </c>
      <c r="C891" s="83" t="n"/>
      <c r="D891" s="83" t="n"/>
      <c r="E891" s="83" t="n"/>
      <c r="F891" s="83" t="n"/>
      <c r="G891" s="83" t="n"/>
      <c r="H891" s="83" t="n"/>
      <c r="S891">
        <f>IF(16&lt;='設定'!$B$6,"表示","隠す")</f>
        <v/>
      </c>
    </row>
    <row r="892" hidden="1" ht="21" customHeight="1">
      <c r="A892" s="82" t="n"/>
      <c r="B892" s="46">
        <f>'設定'!$I$27</f>
        <v/>
      </c>
      <c r="C892" s="83" t="n"/>
      <c r="D892" s="83" t="n"/>
      <c r="E892" s="83" t="n"/>
      <c r="F892" s="83" t="n"/>
      <c r="G892" s="83" t="n"/>
      <c r="H892" s="83" t="n"/>
      <c r="S892">
        <f>IF(17&lt;='設定'!$B$6,"表示","隠す")</f>
        <v/>
      </c>
    </row>
    <row r="893" hidden="1" ht="21" customHeight="1">
      <c r="A893" s="82" t="n"/>
      <c r="B893" s="46">
        <f>'設定'!$I$28</f>
        <v/>
      </c>
      <c r="C893" s="83" t="n"/>
      <c r="D893" s="83" t="n"/>
      <c r="E893" s="83" t="n"/>
      <c r="F893" s="83" t="n"/>
      <c r="G893" s="83" t="n"/>
      <c r="H893" s="83" t="n"/>
      <c r="S893">
        <f>IF(18&lt;='設定'!$B$6,"表示","隠す")</f>
        <v/>
      </c>
    </row>
    <row r="894" hidden="1" ht="21" customHeight="1">
      <c r="A894" s="82" t="n"/>
      <c r="B894" s="46">
        <f>'設定'!$I$29</f>
        <v/>
      </c>
      <c r="C894" s="83" t="n"/>
      <c r="D894" s="83" t="n"/>
      <c r="E894" s="83" t="n"/>
      <c r="F894" s="83" t="n"/>
      <c r="G894" s="83" t="n"/>
      <c r="H894" s="83" t="n"/>
      <c r="S894">
        <f>IF(19&lt;='設定'!$B$6,"表示","隠す")</f>
        <v/>
      </c>
    </row>
    <row r="895" hidden="1" ht="21" customHeight="1">
      <c r="A895" s="82" t="n"/>
      <c r="B895" s="46">
        <f>'設定'!$I$30</f>
        <v/>
      </c>
      <c r="C895" s="83" t="n"/>
      <c r="D895" s="83" t="n"/>
      <c r="E895" s="83" t="n"/>
      <c r="F895" s="83" t="n"/>
      <c r="G895" s="83" t="n"/>
      <c r="H895" s="83" t="n"/>
      <c r="S895">
        <f>IF(20&lt;='設定'!$B$6,"表示","隠す")</f>
        <v/>
      </c>
    </row>
    <row r="896" hidden="1" ht="21" customHeight="1">
      <c r="A896" s="82" t="n"/>
      <c r="B896" s="46">
        <f>'設定'!$I$31</f>
        <v/>
      </c>
      <c r="C896" s="83" t="n"/>
      <c r="D896" s="83" t="n"/>
      <c r="E896" s="83" t="n"/>
      <c r="F896" s="83" t="n"/>
      <c r="G896" s="83" t="n"/>
      <c r="H896" s="83" t="n"/>
      <c r="S896">
        <f>IF(21&lt;='設定'!$B$6,"表示","隠す")</f>
        <v/>
      </c>
    </row>
    <row r="897" hidden="1" ht="21" customHeight="1">
      <c r="A897" s="82" t="n"/>
      <c r="B897" s="46">
        <f>'設定'!$I$32</f>
        <v/>
      </c>
      <c r="C897" s="83" t="n"/>
      <c r="D897" s="83" t="n"/>
      <c r="E897" s="83" t="n"/>
      <c r="F897" s="83" t="n"/>
      <c r="G897" s="83" t="n"/>
      <c r="H897" s="83" t="n"/>
      <c r="S897">
        <f>IF(22&lt;='設定'!$B$6,"表示","隠す")</f>
        <v/>
      </c>
    </row>
    <row r="898" hidden="1" ht="21" customHeight="1">
      <c r="A898" s="82" t="n"/>
      <c r="B898" s="46">
        <f>'設定'!$I$33</f>
        <v/>
      </c>
      <c r="C898" s="83" t="n"/>
      <c r="D898" s="83" t="n"/>
      <c r="E898" s="83" t="n"/>
      <c r="F898" s="83" t="n"/>
      <c r="G898" s="83" t="n"/>
      <c r="H898" s="83" t="n"/>
      <c r="S898">
        <f>IF(23&lt;='設定'!$B$6,"表示","隠す")</f>
        <v/>
      </c>
    </row>
    <row r="899" hidden="1" ht="21" customHeight="1">
      <c r="A899" s="82" t="n"/>
      <c r="B899" s="46">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2" t="n"/>
      <c r="G901" s="33" t="n"/>
      <c r="H901" s="78" t="inlineStr">
        <is>
          <t>状況：</t>
        </is>
      </c>
      <c r="I901" s="79">
        <f>'名簿'!Q37</f>
        <v/>
      </c>
      <c r="J901" s="78" t="inlineStr">
        <is>
          <t>×の数：</t>
        </is>
      </c>
      <c r="K901" s="80">
        <f>'名簿'!R37</f>
        <v/>
      </c>
      <c r="L901" s="81">
        <f>HYPERLINK("#'×入力'!B929","次の人へ ▼")</f>
        <v/>
      </c>
      <c r="S901" t="inlineStr">
        <is>
          <t>表示</t>
        </is>
      </c>
    </row>
    <row r="902" ht="22" customHeight="1">
      <c r="A902" s="34" t="inlineStr">
        <is>
          <t>この日全部 ▶</t>
        </is>
      </c>
      <c r="C902" s="82" t="n"/>
      <c r="D902" s="82" t="n"/>
      <c r="E902" s="82" t="n"/>
      <c r="F902" s="82" t="n"/>
      <c r="G902" s="82" t="n"/>
      <c r="H902" s="82" t="n"/>
      <c r="S902" t="inlineStr">
        <is>
          <t>表示</t>
        </is>
      </c>
    </row>
    <row r="903" ht="28" customHeight="1">
      <c r="A903" s="37" t="inlineStr">
        <is>
          <t>この時間
全部 ▼</t>
        </is>
      </c>
      <c r="B903" s="38" t="inlineStr"/>
      <c r="C903" s="39">
        <f>'設定'!$E$11</f>
        <v/>
      </c>
      <c r="D903" s="39">
        <f>'設定'!$E$12</f>
        <v/>
      </c>
      <c r="E903" s="39">
        <f>'設定'!$E$13</f>
        <v/>
      </c>
      <c r="F903" s="39">
        <f>'設定'!$E$14</f>
        <v/>
      </c>
      <c r="G903" s="39">
        <f>'設定'!$E$15</f>
        <v/>
      </c>
      <c r="H903" s="39">
        <f>'設定'!$E$16</f>
        <v/>
      </c>
      <c r="S903" t="inlineStr">
        <is>
          <t>表示</t>
        </is>
      </c>
    </row>
    <row r="904" ht="21" customHeight="1">
      <c r="A904" s="82" t="n"/>
      <c r="B904" s="46">
        <f>'設定'!$I$11</f>
        <v/>
      </c>
      <c r="C904" s="83" t="n"/>
      <c r="D904" s="83" t="n"/>
      <c r="E904" s="83" t="n"/>
      <c r="F904" s="83" t="n"/>
      <c r="G904" s="83" t="n"/>
      <c r="H904" s="83" t="n"/>
      <c r="S904">
        <f>IF(1&lt;='設定'!$B$6,"表示","隠す")</f>
        <v/>
      </c>
    </row>
    <row r="905" ht="21" customHeight="1">
      <c r="A905" s="82" t="n"/>
      <c r="B905" s="46">
        <f>'設定'!$I$12</f>
        <v/>
      </c>
      <c r="C905" s="83" t="n"/>
      <c r="D905" s="83" t="n"/>
      <c r="E905" s="83" t="n"/>
      <c r="F905" s="83" t="n"/>
      <c r="G905" s="83" t="n"/>
      <c r="H905" s="83" t="n"/>
      <c r="S905">
        <f>IF(2&lt;='設定'!$B$6,"表示","隠す")</f>
        <v/>
      </c>
    </row>
    <row r="906" ht="21" customHeight="1">
      <c r="A906" s="82" t="n"/>
      <c r="B906" s="46">
        <f>'設定'!$I$13</f>
        <v/>
      </c>
      <c r="C906" s="83" t="n"/>
      <c r="D906" s="83" t="n"/>
      <c r="E906" s="83" t="n"/>
      <c r="F906" s="83" t="n"/>
      <c r="G906" s="83" t="n"/>
      <c r="H906" s="83" t="n"/>
      <c r="S906">
        <f>IF(3&lt;='設定'!$B$6,"表示","隠す")</f>
        <v/>
      </c>
    </row>
    <row r="907" ht="21" customHeight="1">
      <c r="A907" s="82" t="n"/>
      <c r="B907" s="46">
        <f>'設定'!$I$14</f>
        <v/>
      </c>
      <c r="C907" s="83" t="n"/>
      <c r="D907" s="83" t="n"/>
      <c r="E907" s="83" t="n"/>
      <c r="F907" s="83" t="n"/>
      <c r="G907" s="83" t="n"/>
      <c r="H907" s="83" t="n"/>
      <c r="S907">
        <f>IF(4&lt;='設定'!$B$6,"表示","隠す")</f>
        <v/>
      </c>
    </row>
    <row r="908" ht="21" customHeight="1">
      <c r="A908" s="82" t="n"/>
      <c r="B908" s="46">
        <f>'設定'!$I$15</f>
        <v/>
      </c>
      <c r="C908" s="83" t="n"/>
      <c r="D908" s="83" t="n"/>
      <c r="E908" s="83" t="n"/>
      <c r="F908" s="83" t="n"/>
      <c r="G908" s="83" t="n"/>
      <c r="H908" s="83" t="n"/>
      <c r="S908">
        <f>IF(5&lt;='設定'!$B$6,"表示","隠す")</f>
        <v/>
      </c>
    </row>
    <row r="909" ht="21" customHeight="1">
      <c r="A909" s="82" t="n"/>
      <c r="B909" s="46">
        <f>'設定'!$I$16</f>
        <v/>
      </c>
      <c r="C909" s="83" t="n"/>
      <c r="D909" s="83" t="n"/>
      <c r="E909" s="83" t="n"/>
      <c r="F909" s="83" t="n"/>
      <c r="G909" s="83" t="n"/>
      <c r="H909" s="83" t="n"/>
      <c r="S909">
        <f>IF(6&lt;='設定'!$B$6,"表示","隠す")</f>
        <v/>
      </c>
    </row>
    <row r="910" ht="21" customHeight="1">
      <c r="A910" s="82" t="n"/>
      <c r="B910" s="46">
        <f>'設定'!$I$17</f>
        <v/>
      </c>
      <c r="C910" s="83" t="n"/>
      <c r="D910" s="83" t="n"/>
      <c r="E910" s="83" t="n"/>
      <c r="F910" s="83" t="n"/>
      <c r="G910" s="83" t="n"/>
      <c r="H910" s="83" t="n"/>
      <c r="S910">
        <f>IF(7&lt;='設定'!$B$6,"表示","隠す")</f>
        <v/>
      </c>
    </row>
    <row r="911" ht="21" customHeight="1">
      <c r="A911" s="82" t="n"/>
      <c r="B911" s="46">
        <f>'設定'!$I$18</f>
        <v/>
      </c>
      <c r="C911" s="83" t="n"/>
      <c r="D911" s="83" t="n"/>
      <c r="E911" s="83" t="n"/>
      <c r="F911" s="83" t="n"/>
      <c r="G911" s="83" t="n"/>
      <c r="H911" s="83" t="n"/>
      <c r="S911">
        <f>IF(8&lt;='設定'!$B$6,"表示","隠す")</f>
        <v/>
      </c>
    </row>
    <row r="912" ht="21" customHeight="1">
      <c r="A912" s="82" t="n"/>
      <c r="B912" s="46">
        <f>'設定'!$I$19</f>
        <v/>
      </c>
      <c r="C912" s="83" t="n"/>
      <c r="D912" s="83" t="n"/>
      <c r="E912" s="83" t="n"/>
      <c r="F912" s="83" t="n"/>
      <c r="G912" s="83" t="n"/>
      <c r="H912" s="83" t="n"/>
      <c r="S912">
        <f>IF(9&lt;='設定'!$B$6,"表示","隠す")</f>
        <v/>
      </c>
    </row>
    <row r="913" hidden="1" ht="21" customHeight="1">
      <c r="A913" s="82" t="n"/>
      <c r="B913" s="46">
        <f>'設定'!$I$20</f>
        <v/>
      </c>
      <c r="C913" s="83" t="n"/>
      <c r="D913" s="83" t="n"/>
      <c r="E913" s="83" t="n"/>
      <c r="F913" s="83" t="n"/>
      <c r="G913" s="83" t="n"/>
      <c r="H913" s="83" t="n"/>
      <c r="S913">
        <f>IF(10&lt;='設定'!$B$6,"表示","隠す")</f>
        <v/>
      </c>
    </row>
    <row r="914" hidden="1" ht="21" customHeight="1">
      <c r="A914" s="82" t="n"/>
      <c r="B914" s="46">
        <f>'設定'!$I$21</f>
        <v/>
      </c>
      <c r="C914" s="83" t="n"/>
      <c r="D914" s="83" t="n"/>
      <c r="E914" s="83" t="n"/>
      <c r="F914" s="83" t="n"/>
      <c r="G914" s="83" t="n"/>
      <c r="H914" s="83" t="n"/>
      <c r="S914">
        <f>IF(11&lt;='設定'!$B$6,"表示","隠す")</f>
        <v/>
      </c>
    </row>
    <row r="915" hidden="1" ht="21" customHeight="1">
      <c r="A915" s="82" t="n"/>
      <c r="B915" s="46">
        <f>'設定'!$I$22</f>
        <v/>
      </c>
      <c r="C915" s="83" t="n"/>
      <c r="D915" s="83" t="n"/>
      <c r="E915" s="83" t="n"/>
      <c r="F915" s="83" t="n"/>
      <c r="G915" s="83" t="n"/>
      <c r="H915" s="83" t="n"/>
      <c r="S915">
        <f>IF(12&lt;='設定'!$B$6,"表示","隠す")</f>
        <v/>
      </c>
    </row>
    <row r="916" hidden="1" ht="21" customHeight="1">
      <c r="A916" s="82" t="n"/>
      <c r="B916" s="46">
        <f>'設定'!$I$23</f>
        <v/>
      </c>
      <c r="C916" s="83" t="n"/>
      <c r="D916" s="83" t="n"/>
      <c r="E916" s="83" t="n"/>
      <c r="F916" s="83" t="n"/>
      <c r="G916" s="83" t="n"/>
      <c r="H916" s="83" t="n"/>
      <c r="S916">
        <f>IF(13&lt;='設定'!$B$6,"表示","隠す")</f>
        <v/>
      </c>
    </row>
    <row r="917" hidden="1" ht="21" customHeight="1">
      <c r="A917" s="82" t="n"/>
      <c r="B917" s="46">
        <f>'設定'!$I$24</f>
        <v/>
      </c>
      <c r="C917" s="83" t="n"/>
      <c r="D917" s="83" t="n"/>
      <c r="E917" s="83" t="n"/>
      <c r="F917" s="83" t="n"/>
      <c r="G917" s="83" t="n"/>
      <c r="H917" s="83" t="n"/>
      <c r="S917">
        <f>IF(14&lt;='設定'!$B$6,"表示","隠す")</f>
        <v/>
      </c>
    </row>
    <row r="918" hidden="1" ht="21" customHeight="1">
      <c r="A918" s="82" t="n"/>
      <c r="B918" s="46">
        <f>'設定'!$I$25</f>
        <v/>
      </c>
      <c r="C918" s="83" t="n"/>
      <c r="D918" s="83" t="n"/>
      <c r="E918" s="83" t="n"/>
      <c r="F918" s="83" t="n"/>
      <c r="G918" s="83" t="n"/>
      <c r="H918" s="83" t="n"/>
      <c r="S918">
        <f>IF(15&lt;='設定'!$B$6,"表示","隠す")</f>
        <v/>
      </c>
    </row>
    <row r="919" hidden="1" ht="21" customHeight="1">
      <c r="A919" s="82" t="n"/>
      <c r="B919" s="46">
        <f>'設定'!$I$26</f>
        <v/>
      </c>
      <c r="C919" s="83" t="n"/>
      <c r="D919" s="83" t="n"/>
      <c r="E919" s="83" t="n"/>
      <c r="F919" s="83" t="n"/>
      <c r="G919" s="83" t="n"/>
      <c r="H919" s="83" t="n"/>
      <c r="S919">
        <f>IF(16&lt;='設定'!$B$6,"表示","隠す")</f>
        <v/>
      </c>
    </row>
    <row r="920" hidden="1" ht="21" customHeight="1">
      <c r="A920" s="82" t="n"/>
      <c r="B920" s="46">
        <f>'設定'!$I$27</f>
        <v/>
      </c>
      <c r="C920" s="83" t="n"/>
      <c r="D920" s="83" t="n"/>
      <c r="E920" s="83" t="n"/>
      <c r="F920" s="83" t="n"/>
      <c r="G920" s="83" t="n"/>
      <c r="H920" s="83" t="n"/>
      <c r="S920">
        <f>IF(17&lt;='設定'!$B$6,"表示","隠す")</f>
        <v/>
      </c>
    </row>
    <row r="921" hidden="1" ht="21" customHeight="1">
      <c r="A921" s="82" t="n"/>
      <c r="B921" s="46">
        <f>'設定'!$I$28</f>
        <v/>
      </c>
      <c r="C921" s="83" t="n"/>
      <c r="D921" s="83" t="n"/>
      <c r="E921" s="83" t="n"/>
      <c r="F921" s="83" t="n"/>
      <c r="G921" s="83" t="n"/>
      <c r="H921" s="83" t="n"/>
      <c r="S921">
        <f>IF(18&lt;='設定'!$B$6,"表示","隠す")</f>
        <v/>
      </c>
    </row>
    <row r="922" hidden="1" ht="21" customHeight="1">
      <c r="A922" s="82" t="n"/>
      <c r="B922" s="46">
        <f>'設定'!$I$29</f>
        <v/>
      </c>
      <c r="C922" s="83" t="n"/>
      <c r="D922" s="83" t="n"/>
      <c r="E922" s="83" t="n"/>
      <c r="F922" s="83" t="n"/>
      <c r="G922" s="83" t="n"/>
      <c r="H922" s="83" t="n"/>
      <c r="S922">
        <f>IF(19&lt;='設定'!$B$6,"表示","隠す")</f>
        <v/>
      </c>
    </row>
    <row r="923" hidden="1" ht="21" customHeight="1">
      <c r="A923" s="82" t="n"/>
      <c r="B923" s="46">
        <f>'設定'!$I$30</f>
        <v/>
      </c>
      <c r="C923" s="83" t="n"/>
      <c r="D923" s="83" t="n"/>
      <c r="E923" s="83" t="n"/>
      <c r="F923" s="83" t="n"/>
      <c r="G923" s="83" t="n"/>
      <c r="H923" s="83" t="n"/>
      <c r="S923">
        <f>IF(20&lt;='設定'!$B$6,"表示","隠す")</f>
        <v/>
      </c>
    </row>
    <row r="924" hidden="1" ht="21" customHeight="1">
      <c r="A924" s="82" t="n"/>
      <c r="B924" s="46">
        <f>'設定'!$I$31</f>
        <v/>
      </c>
      <c r="C924" s="83" t="n"/>
      <c r="D924" s="83" t="n"/>
      <c r="E924" s="83" t="n"/>
      <c r="F924" s="83" t="n"/>
      <c r="G924" s="83" t="n"/>
      <c r="H924" s="83" t="n"/>
      <c r="S924">
        <f>IF(21&lt;='設定'!$B$6,"表示","隠す")</f>
        <v/>
      </c>
    </row>
    <row r="925" hidden="1" ht="21" customHeight="1">
      <c r="A925" s="82" t="n"/>
      <c r="B925" s="46">
        <f>'設定'!$I$32</f>
        <v/>
      </c>
      <c r="C925" s="83" t="n"/>
      <c r="D925" s="83" t="n"/>
      <c r="E925" s="83" t="n"/>
      <c r="F925" s="83" t="n"/>
      <c r="G925" s="83" t="n"/>
      <c r="H925" s="83" t="n"/>
      <c r="S925">
        <f>IF(22&lt;='設定'!$B$6,"表示","隠す")</f>
        <v/>
      </c>
    </row>
    <row r="926" hidden="1" ht="21" customHeight="1">
      <c r="A926" s="82" t="n"/>
      <c r="B926" s="46">
        <f>'設定'!$I$33</f>
        <v/>
      </c>
      <c r="C926" s="83" t="n"/>
      <c r="D926" s="83" t="n"/>
      <c r="E926" s="83" t="n"/>
      <c r="F926" s="83" t="n"/>
      <c r="G926" s="83" t="n"/>
      <c r="H926" s="83" t="n"/>
      <c r="S926">
        <f>IF(23&lt;='設定'!$B$6,"表示","隠す")</f>
        <v/>
      </c>
    </row>
    <row r="927" hidden="1" ht="21" customHeight="1">
      <c r="A927" s="82" t="n"/>
      <c r="B927" s="46">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2" t="n"/>
      <c r="G929" s="33" t="n"/>
      <c r="H929" s="78" t="inlineStr">
        <is>
          <t>状況：</t>
        </is>
      </c>
      <c r="I929" s="79">
        <f>'名簿'!Q38</f>
        <v/>
      </c>
      <c r="J929" s="78" t="inlineStr">
        <is>
          <t>×の数：</t>
        </is>
      </c>
      <c r="K929" s="80">
        <f>'名簿'!R38</f>
        <v/>
      </c>
      <c r="L929" s="81">
        <f>HYPERLINK("#'×入力'!B957","次の人へ ▼")</f>
        <v/>
      </c>
      <c r="S929" t="inlineStr">
        <is>
          <t>表示</t>
        </is>
      </c>
    </row>
    <row r="930" ht="22" customHeight="1">
      <c r="A930" s="34" t="inlineStr">
        <is>
          <t>この日全部 ▶</t>
        </is>
      </c>
      <c r="C930" s="82" t="n"/>
      <c r="D930" s="82" t="n"/>
      <c r="E930" s="82" t="n"/>
      <c r="F930" s="82" t="n"/>
      <c r="G930" s="82" t="n"/>
      <c r="H930" s="82" t="n"/>
      <c r="S930" t="inlineStr">
        <is>
          <t>表示</t>
        </is>
      </c>
    </row>
    <row r="931" ht="28" customHeight="1">
      <c r="A931" s="37" t="inlineStr">
        <is>
          <t>この時間
全部 ▼</t>
        </is>
      </c>
      <c r="B931" s="38" t="inlineStr"/>
      <c r="C931" s="39">
        <f>'設定'!$E$11</f>
        <v/>
      </c>
      <c r="D931" s="39">
        <f>'設定'!$E$12</f>
        <v/>
      </c>
      <c r="E931" s="39">
        <f>'設定'!$E$13</f>
        <v/>
      </c>
      <c r="F931" s="39">
        <f>'設定'!$E$14</f>
        <v/>
      </c>
      <c r="G931" s="39">
        <f>'設定'!$E$15</f>
        <v/>
      </c>
      <c r="H931" s="39">
        <f>'設定'!$E$16</f>
        <v/>
      </c>
      <c r="S931" t="inlineStr">
        <is>
          <t>表示</t>
        </is>
      </c>
    </row>
    <row r="932" ht="21" customHeight="1">
      <c r="A932" s="82" t="n"/>
      <c r="B932" s="46">
        <f>'設定'!$I$11</f>
        <v/>
      </c>
      <c r="C932" s="83" t="n"/>
      <c r="D932" s="83" t="n"/>
      <c r="E932" s="83" t="n"/>
      <c r="F932" s="83" t="n"/>
      <c r="G932" s="83" t="n"/>
      <c r="H932" s="83" t="n"/>
      <c r="S932">
        <f>IF(1&lt;='設定'!$B$6,"表示","隠す")</f>
        <v/>
      </c>
    </row>
    <row r="933" ht="21" customHeight="1">
      <c r="A933" s="82" t="n"/>
      <c r="B933" s="46">
        <f>'設定'!$I$12</f>
        <v/>
      </c>
      <c r="C933" s="83" t="n"/>
      <c r="D933" s="83" t="n"/>
      <c r="E933" s="83" t="n"/>
      <c r="F933" s="83" t="n"/>
      <c r="G933" s="83" t="n"/>
      <c r="H933" s="83" t="n"/>
      <c r="S933">
        <f>IF(2&lt;='設定'!$B$6,"表示","隠す")</f>
        <v/>
      </c>
    </row>
    <row r="934" ht="21" customHeight="1">
      <c r="A934" s="82" t="n"/>
      <c r="B934" s="46">
        <f>'設定'!$I$13</f>
        <v/>
      </c>
      <c r="C934" s="83" t="n"/>
      <c r="D934" s="83" t="n"/>
      <c r="E934" s="83" t="n"/>
      <c r="F934" s="83" t="n"/>
      <c r="G934" s="83" t="n"/>
      <c r="H934" s="83" t="n"/>
      <c r="S934">
        <f>IF(3&lt;='設定'!$B$6,"表示","隠す")</f>
        <v/>
      </c>
    </row>
    <row r="935" ht="21" customHeight="1">
      <c r="A935" s="82" t="n"/>
      <c r="B935" s="46">
        <f>'設定'!$I$14</f>
        <v/>
      </c>
      <c r="C935" s="83" t="n"/>
      <c r="D935" s="83" t="n"/>
      <c r="E935" s="83" t="n"/>
      <c r="F935" s="83" t="n"/>
      <c r="G935" s="83" t="n"/>
      <c r="H935" s="83" t="n"/>
      <c r="S935">
        <f>IF(4&lt;='設定'!$B$6,"表示","隠す")</f>
        <v/>
      </c>
    </row>
    <row r="936" ht="21" customHeight="1">
      <c r="A936" s="82" t="n"/>
      <c r="B936" s="46">
        <f>'設定'!$I$15</f>
        <v/>
      </c>
      <c r="C936" s="83" t="n"/>
      <c r="D936" s="83" t="n"/>
      <c r="E936" s="83" t="n"/>
      <c r="F936" s="83" t="n"/>
      <c r="G936" s="83" t="n"/>
      <c r="H936" s="83" t="n"/>
      <c r="S936">
        <f>IF(5&lt;='設定'!$B$6,"表示","隠す")</f>
        <v/>
      </c>
    </row>
    <row r="937" ht="21" customHeight="1">
      <c r="A937" s="82" t="n"/>
      <c r="B937" s="46">
        <f>'設定'!$I$16</f>
        <v/>
      </c>
      <c r="C937" s="83" t="n"/>
      <c r="D937" s="83" t="n"/>
      <c r="E937" s="83" t="n"/>
      <c r="F937" s="83" t="n"/>
      <c r="G937" s="83" t="n"/>
      <c r="H937" s="83" t="n"/>
      <c r="S937">
        <f>IF(6&lt;='設定'!$B$6,"表示","隠す")</f>
        <v/>
      </c>
    </row>
    <row r="938" ht="21" customHeight="1">
      <c r="A938" s="82" t="n"/>
      <c r="B938" s="46">
        <f>'設定'!$I$17</f>
        <v/>
      </c>
      <c r="C938" s="83" t="n"/>
      <c r="D938" s="83" t="n"/>
      <c r="E938" s="83" t="n"/>
      <c r="F938" s="83" t="n"/>
      <c r="G938" s="83" t="n"/>
      <c r="H938" s="83" t="n"/>
      <c r="S938">
        <f>IF(7&lt;='設定'!$B$6,"表示","隠す")</f>
        <v/>
      </c>
    </row>
    <row r="939" ht="21" customHeight="1">
      <c r="A939" s="82" t="n"/>
      <c r="B939" s="46">
        <f>'設定'!$I$18</f>
        <v/>
      </c>
      <c r="C939" s="83" t="n"/>
      <c r="D939" s="83" t="n"/>
      <c r="E939" s="83" t="n"/>
      <c r="F939" s="83" t="n"/>
      <c r="G939" s="83" t="n"/>
      <c r="H939" s="83" t="n"/>
      <c r="S939">
        <f>IF(8&lt;='設定'!$B$6,"表示","隠す")</f>
        <v/>
      </c>
    </row>
    <row r="940" ht="21" customHeight="1">
      <c r="A940" s="82" t="n"/>
      <c r="B940" s="46">
        <f>'設定'!$I$19</f>
        <v/>
      </c>
      <c r="C940" s="83" t="n"/>
      <c r="D940" s="83" t="n"/>
      <c r="E940" s="83" t="n"/>
      <c r="F940" s="83" t="n"/>
      <c r="G940" s="83" t="n"/>
      <c r="H940" s="83" t="n"/>
      <c r="S940">
        <f>IF(9&lt;='設定'!$B$6,"表示","隠す")</f>
        <v/>
      </c>
    </row>
    <row r="941" hidden="1" ht="21" customHeight="1">
      <c r="A941" s="82" t="n"/>
      <c r="B941" s="46">
        <f>'設定'!$I$20</f>
        <v/>
      </c>
      <c r="C941" s="83" t="n"/>
      <c r="D941" s="83" t="n"/>
      <c r="E941" s="83" t="n"/>
      <c r="F941" s="83" t="n"/>
      <c r="G941" s="83" t="n"/>
      <c r="H941" s="83" t="n"/>
      <c r="S941">
        <f>IF(10&lt;='設定'!$B$6,"表示","隠す")</f>
        <v/>
      </c>
    </row>
    <row r="942" hidden="1" ht="21" customHeight="1">
      <c r="A942" s="82" t="n"/>
      <c r="B942" s="46">
        <f>'設定'!$I$21</f>
        <v/>
      </c>
      <c r="C942" s="83" t="n"/>
      <c r="D942" s="83" t="n"/>
      <c r="E942" s="83" t="n"/>
      <c r="F942" s="83" t="n"/>
      <c r="G942" s="83" t="n"/>
      <c r="H942" s="83" t="n"/>
      <c r="S942">
        <f>IF(11&lt;='設定'!$B$6,"表示","隠す")</f>
        <v/>
      </c>
    </row>
    <row r="943" hidden="1" ht="21" customHeight="1">
      <c r="A943" s="82" t="n"/>
      <c r="B943" s="46">
        <f>'設定'!$I$22</f>
        <v/>
      </c>
      <c r="C943" s="83" t="n"/>
      <c r="D943" s="83" t="n"/>
      <c r="E943" s="83" t="n"/>
      <c r="F943" s="83" t="n"/>
      <c r="G943" s="83" t="n"/>
      <c r="H943" s="83" t="n"/>
      <c r="S943">
        <f>IF(12&lt;='設定'!$B$6,"表示","隠す")</f>
        <v/>
      </c>
    </row>
    <row r="944" hidden="1" ht="21" customHeight="1">
      <c r="A944" s="82" t="n"/>
      <c r="B944" s="46">
        <f>'設定'!$I$23</f>
        <v/>
      </c>
      <c r="C944" s="83" t="n"/>
      <c r="D944" s="83" t="n"/>
      <c r="E944" s="83" t="n"/>
      <c r="F944" s="83" t="n"/>
      <c r="G944" s="83" t="n"/>
      <c r="H944" s="83" t="n"/>
      <c r="S944">
        <f>IF(13&lt;='設定'!$B$6,"表示","隠す")</f>
        <v/>
      </c>
    </row>
    <row r="945" hidden="1" ht="21" customHeight="1">
      <c r="A945" s="82" t="n"/>
      <c r="B945" s="46">
        <f>'設定'!$I$24</f>
        <v/>
      </c>
      <c r="C945" s="83" t="n"/>
      <c r="D945" s="83" t="n"/>
      <c r="E945" s="83" t="n"/>
      <c r="F945" s="83" t="n"/>
      <c r="G945" s="83" t="n"/>
      <c r="H945" s="83" t="n"/>
      <c r="S945">
        <f>IF(14&lt;='設定'!$B$6,"表示","隠す")</f>
        <v/>
      </c>
    </row>
    <row r="946" hidden="1" ht="21" customHeight="1">
      <c r="A946" s="82" t="n"/>
      <c r="B946" s="46">
        <f>'設定'!$I$25</f>
        <v/>
      </c>
      <c r="C946" s="83" t="n"/>
      <c r="D946" s="83" t="n"/>
      <c r="E946" s="83" t="n"/>
      <c r="F946" s="83" t="n"/>
      <c r="G946" s="83" t="n"/>
      <c r="H946" s="83" t="n"/>
      <c r="S946">
        <f>IF(15&lt;='設定'!$B$6,"表示","隠す")</f>
        <v/>
      </c>
    </row>
    <row r="947" hidden="1" ht="21" customHeight="1">
      <c r="A947" s="82" t="n"/>
      <c r="B947" s="46">
        <f>'設定'!$I$26</f>
        <v/>
      </c>
      <c r="C947" s="83" t="n"/>
      <c r="D947" s="83" t="n"/>
      <c r="E947" s="83" t="n"/>
      <c r="F947" s="83" t="n"/>
      <c r="G947" s="83" t="n"/>
      <c r="H947" s="83" t="n"/>
      <c r="S947">
        <f>IF(16&lt;='設定'!$B$6,"表示","隠す")</f>
        <v/>
      </c>
    </row>
    <row r="948" hidden="1" ht="21" customHeight="1">
      <c r="A948" s="82" t="n"/>
      <c r="B948" s="46">
        <f>'設定'!$I$27</f>
        <v/>
      </c>
      <c r="C948" s="83" t="n"/>
      <c r="D948" s="83" t="n"/>
      <c r="E948" s="83" t="n"/>
      <c r="F948" s="83" t="n"/>
      <c r="G948" s="83" t="n"/>
      <c r="H948" s="83" t="n"/>
      <c r="S948">
        <f>IF(17&lt;='設定'!$B$6,"表示","隠す")</f>
        <v/>
      </c>
    </row>
    <row r="949" hidden="1" ht="21" customHeight="1">
      <c r="A949" s="82" t="n"/>
      <c r="B949" s="46">
        <f>'設定'!$I$28</f>
        <v/>
      </c>
      <c r="C949" s="83" t="n"/>
      <c r="D949" s="83" t="n"/>
      <c r="E949" s="83" t="n"/>
      <c r="F949" s="83" t="n"/>
      <c r="G949" s="83" t="n"/>
      <c r="H949" s="83" t="n"/>
      <c r="S949">
        <f>IF(18&lt;='設定'!$B$6,"表示","隠す")</f>
        <v/>
      </c>
    </row>
    <row r="950" hidden="1" ht="21" customHeight="1">
      <c r="A950" s="82" t="n"/>
      <c r="B950" s="46">
        <f>'設定'!$I$29</f>
        <v/>
      </c>
      <c r="C950" s="83" t="n"/>
      <c r="D950" s="83" t="n"/>
      <c r="E950" s="83" t="n"/>
      <c r="F950" s="83" t="n"/>
      <c r="G950" s="83" t="n"/>
      <c r="H950" s="83" t="n"/>
      <c r="S950">
        <f>IF(19&lt;='設定'!$B$6,"表示","隠す")</f>
        <v/>
      </c>
    </row>
    <row r="951" hidden="1" ht="21" customHeight="1">
      <c r="A951" s="82" t="n"/>
      <c r="B951" s="46">
        <f>'設定'!$I$30</f>
        <v/>
      </c>
      <c r="C951" s="83" t="n"/>
      <c r="D951" s="83" t="n"/>
      <c r="E951" s="83" t="n"/>
      <c r="F951" s="83" t="n"/>
      <c r="G951" s="83" t="n"/>
      <c r="H951" s="83" t="n"/>
      <c r="S951">
        <f>IF(20&lt;='設定'!$B$6,"表示","隠す")</f>
        <v/>
      </c>
    </row>
    <row r="952" hidden="1" ht="21" customHeight="1">
      <c r="A952" s="82" t="n"/>
      <c r="B952" s="46">
        <f>'設定'!$I$31</f>
        <v/>
      </c>
      <c r="C952" s="83" t="n"/>
      <c r="D952" s="83" t="n"/>
      <c r="E952" s="83" t="n"/>
      <c r="F952" s="83" t="n"/>
      <c r="G952" s="83" t="n"/>
      <c r="H952" s="83" t="n"/>
      <c r="S952">
        <f>IF(21&lt;='設定'!$B$6,"表示","隠す")</f>
        <v/>
      </c>
    </row>
    <row r="953" hidden="1" ht="21" customHeight="1">
      <c r="A953" s="82" t="n"/>
      <c r="B953" s="46">
        <f>'設定'!$I$32</f>
        <v/>
      </c>
      <c r="C953" s="83" t="n"/>
      <c r="D953" s="83" t="n"/>
      <c r="E953" s="83" t="n"/>
      <c r="F953" s="83" t="n"/>
      <c r="G953" s="83" t="n"/>
      <c r="H953" s="83" t="n"/>
      <c r="S953">
        <f>IF(22&lt;='設定'!$B$6,"表示","隠す")</f>
        <v/>
      </c>
    </row>
    <row r="954" hidden="1" ht="21" customHeight="1">
      <c r="A954" s="82" t="n"/>
      <c r="B954" s="46">
        <f>'設定'!$I$33</f>
        <v/>
      </c>
      <c r="C954" s="83" t="n"/>
      <c r="D954" s="83" t="n"/>
      <c r="E954" s="83" t="n"/>
      <c r="F954" s="83" t="n"/>
      <c r="G954" s="83" t="n"/>
      <c r="H954" s="83" t="n"/>
      <c r="S954">
        <f>IF(23&lt;='設定'!$B$6,"表示","隠す")</f>
        <v/>
      </c>
    </row>
    <row r="955" hidden="1" ht="21" customHeight="1">
      <c r="A955" s="82" t="n"/>
      <c r="B955" s="46">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2" t="n"/>
      <c r="G957" s="33" t="n"/>
      <c r="H957" s="78" t="inlineStr">
        <is>
          <t>状況：</t>
        </is>
      </c>
      <c r="I957" s="79">
        <f>'名簿'!Q39</f>
        <v/>
      </c>
      <c r="J957" s="78" t="inlineStr">
        <is>
          <t>×の数：</t>
        </is>
      </c>
      <c r="K957" s="80">
        <f>'名簿'!R39</f>
        <v/>
      </c>
      <c r="L957" s="81">
        <f>HYPERLINK("#'×入力'!B985","次の人へ ▼")</f>
        <v/>
      </c>
      <c r="S957" t="inlineStr">
        <is>
          <t>表示</t>
        </is>
      </c>
    </row>
    <row r="958" ht="22" customHeight="1">
      <c r="A958" s="34" t="inlineStr">
        <is>
          <t>この日全部 ▶</t>
        </is>
      </c>
      <c r="C958" s="82" t="n"/>
      <c r="D958" s="82" t="n"/>
      <c r="E958" s="82" t="n"/>
      <c r="F958" s="82" t="n"/>
      <c r="G958" s="82" t="n"/>
      <c r="H958" s="82" t="n"/>
      <c r="S958" t="inlineStr">
        <is>
          <t>表示</t>
        </is>
      </c>
    </row>
    <row r="959" ht="28" customHeight="1">
      <c r="A959" s="37" t="inlineStr">
        <is>
          <t>この時間
全部 ▼</t>
        </is>
      </c>
      <c r="B959" s="38" t="inlineStr"/>
      <c r="C959" s="39">
        <f>'設定'!$E$11</f>
        <v/>
      </c>
      <c r="D959" s="39">
        <f>'設定'!$E$12</f>
        <v/>
      </c>
      <c r="E959" s="39">
        <f>'設定'!$E$13</f>
        <v/>
      </c>
      <c r="F959" s="39">
        <f>'設定'!$E$14</f>
        <v/>
      </c>
      <c r="G959" s="39">
        <f>'設定'!$E$15</f>
        <v/>
      </c>
      <c r="H959" s="39">
        <f>'設定'!$E$16</f>
        <v/>
      </c>
      <c r="S959" t="inlineStr">
        <is>
          <t>表示</t>
        </is>
      </c>
    </row>
    <row r="960" ht="21" customHeight="1">
      <c r="A960" s="82" t="n"/>
      <c r="B960" s="46">
        <f>'設定'!$I$11</f>
        <v/>
      </c>
      <c r="C960" s="83" t="n"/>
      <c r="D960" s="83" t="n"/>
      <c r="E960" s="83" t="n"/>
      <c r="F960" s="83" t="n"/>
      <c r="G960" s="83" t="n"/>
      <c r="H960" s="83" t="n"/>
      <c r="S960">
        <f>IF(1&lt;='設定'!$B$6,"表示","隠す")</f>
        <v/>
      </c>
    </row>
    <row r="961" ht="21" customHeight="1">
      <c r="A961" s="82" t="n"/>
      <c r="B961" s="46">
        <f>'設定'!$I$12</f>
        <v/>
      </c>
      <c r="C961" s="83" t="n"/>
      <c r="D961" s="83" t="n"/>
      <c r="E961" s="83" t="n"/>
      <c r="F961" s="83" t="n"/>
      <c r="G961" s="83" t="n"/>
      <c r="H961" s="83" t="n"/>
      <c r="S961">
        <f>IF(2&lt;='設定'!$B$6,"表示","隠す")</f>
        <v/>
      </c>
    </row>
    <row r="962" ht="21" customHeight="1">
      <c r="A962" s="82" t="n"/>
      <c r="B962" s="46">
        <f>'設定'!$I$13</f>
        <v/>
      </c>
      <c r="C962" s="83" t="n"/>
      <c r="D962" s="83" t="n"/>
      <c r="E962" s="83" t="n"/>
      <c r="F962" s="83" t="n"/>
      <c r="G962" s="83" t="n"/>
      <c r="H962" s="83" t="n"/>
      <c r="S962">
        <f>IF(3&lt;='設定'!$B$6,"表示","隠す")</f>
        <v/>
      </c>
    </row>
    <row r="963" ht="21" customHeight="1">
      <c r="A963" s="82" t="n"/>
      <c r="B963" s="46">
        <f>'設定'!$I$14</f>
        <v/>
      </c>
      <c r="C963" s="83" t="n"/>
      <c r="D963" s="83" t="n"/>
      <c r="E963" s="83" t="n"/>
      <c r="F963" s="83" t="n"/>
      <c r="G963" s="83" t="n"/>
      <c r="H963" s="83" t="n"/>
      <c r="S963">
        <f>IF(4&lt;='設定'!$B$6,"表示","隠す")</f>
        <v/>
      </c>
    </row>
    <row r="964" ht="21" customHeight="1">
      <c r="A964" s="82" t="n"/>
      <c r="B964" s="46">
        <f>'設定'!$I$15</f>
        <v/>
      </c>
      <c r="C964" s="83" t="n"/>
      <c r="D964" s="83" t="n"/>
      <c r="E964" s="83" t="n"/>
      <c r="F964" s="83" t="n"/>
      <c r="G964" s="83" t="n"/>
      <c r="H964" s="83" t="n"/>
      <c r="S964">
        <f>IF(5&lt;='設定'!$B$6,"表示","隠す")</f>
        <v/>
      </c>
    </row>
    <row r="965" ht="21" customHeight="1">
      <c r="A965" s="82" t="n"/>
      <c r="B965" s="46">
        <f>'設定'!$I$16</f>
        <v/>
      </c>
      <c r="C965" s="83" t="n"/>
      <c r="D965" s="83" t="n"/>
      <c r="E965" s="83" t="n"/>
      <c r="F965" s="83" t="n"/>
      <c r="G965" s="83" t="n"/>
      <c r="H965" s="83" t="n"/>
      <c r="S965">
        <f>IF(6&lt;='設定'!$B$6,"表示","隠す")</f>
        <v/>
      </c>
    </row>
    <row r="966" ht="21" customHeight="1">
      <c r="A966" s="82" t="n"/>
      <c r="B966" s="46">
        <f>'設定'!$I$17</f>
        <v/>
      </c>
      <c r="C966" s="83" t="n"/>
      <c r="D966" s="83" t="n"/>
      <c r="E966" s="83" t="n"/>
      <c r="F966" s="83" t="n"/>
      <c r="G966" s="83" t="n"/>
      <c r="H966" s="83" t="n"/>
      <c r="S966">
        <f>IF(7&lt;='設定'!$B$6,"表示","隠す")</f>
        <v/>
      </c>
    </row>
    <row r="967" ht="21" customHeight="1">
      <c r="A967" s="82" t="n"/>
      <c r="B967" s="46">
        <f>'設定'!$I$18</f>
        <v/>
      </c>
      <c r="C967" s="83" t="n"/>
      <c r="D967" s="83" t="n"/>
      <c r="E967" s="83" t="n"/>
      <c r="F967" s="83" t="n"/>
      <c r="G967" s="83" t="n"/>
      <c r="H967" s="83" t="n"/>
      <c r="S967">
        <f>IF(8&lt;='設定'!$B$6,"表示","隠す")</f>
        <v/>
      </c>
    </row>
    <row r="968" ht="21" customHeight="1">
      <c r="A968" s="82" t="n"/>
      <c r="B968" s="46">
        <f>'設定'!$I$19</f>
        <v/>
      </c>
      <c r="C968" s="83" t="n"/>
      <c r="D968" s="83" t="n"/>
      <c r="E968" s="83" t="n"/>
      <c r="F968" s="83" t="n"/>
      <c r="G968" s="83" t="n"/>
      <c r="H968" s="83" t="n"/>
      <c r="S968">
        <f>IF(9&lt;='設定'!$B$6,"表示","隠す")</f>
        <v/>
      </c>
    </row>
    <row r="969" hidden="1" ht="21" customHeight="1">
      <c r="A969" s="82" t="n"/>
      <c r="B969" s="46">
        <f>'設定'!$I$20</f>
        <v/>
      </c>
      <c r="C969" s="83" t="n"/>
      <c r="D969" s="83" t="n"/>
      <c r="E969" s="83" t="n"/>
      <c r="F969" s="83" t="n"/>
      <c r="G969" s="83" t="n"/>
      <c r="H969" s="83" t="n"/>
      <c r="S969">
        <f>IF(10&lt;='設定'!$B$6,"表示","隠す")</f>
        <v/>
      </c>
    </row>
    <row r="970" hidden="1" ht="21" customHeight="1">
      <c r="A970" s="82" t="n"/>
      <c r="B970" s="46">
        <f>'設定'!$I$21</f>
        <v/>
      </c>
      <c r="C970" s="83" t="n"/>
      <c r="D970" s="83" t="n"/>
      <c r="E970" s="83" t="n"/>
      <c r="F970" s="83" t="n"/>
      <c r="G970" s="83" t="n"/>
      <c r="H970" s="83" t="n"/>
      <c r="S970">
        <f>IF(11&lt;='設定'!$B$6,"表示","隠す")</f>
        <v/>
      </c>
    </row>
    <row r="971" hidden="1" ht="21" customHeight="1">
      <c r="A971" s="82" t="n"/>
      <c r="B971" s="46">
        <f>'設定'!$I$22</f>
        <v/>
      </c>
      <c r="C971" s="83" t="n"/>
      <c r="D971" s="83" t="n"/>
      <c r="E971" s="83" t="n"/>
      <c r="F971" s="83" t="n"/>
      <c r="G971" s="83" t="n"/>
      <c r="H971" s="83" t="n"/>
      <c r="S971">
        <f>IF(12&lt;='設定'!$B$6,"表示","隠す")</f>
        <v/>
      </c>
    </row>
    <row r="972" hidden="1" ht="21" customHeight="1">
      <c r="A972" s="82" t="n"/>
      <c r="B972" s="46">
        <f>'設定'!$I$23</f>
        <v/>
      </c>
      <c r="C972" s="83" t="n"/>
      <c r="D972" s="83" t="n"/>
      <c r="E972" s="83" t="n"/>
      <c r="F972" s="83" t="n"/>
      <c r="G972" s="83" t="n"/>
      <c r="H972" s="83" t="n"/>
      <c r="S972">
        <f>IF(13&lt;='設定'!$B$6,"表示","隠す")</f>
        <v/>
      </c>
    </row>
    <row r="973" hidden="1" ht="21" customHeight="1">
      <c r="A973" s="82" t="n"/>
      <c r="B973" s="46">
        <f>'設定'!$I$24</f>
        <v/>
      </c>
      <c r="C973" s="83" t="n"/>
      <c r="D973" s="83" t="n"/>
      <c r="E973" s="83" t="n"/>
      <c r="F973" s="83" t="n"/>
      <c r="G973" s="83" t="n"/>
      <c r="H973" s="83" t="n"/>
      <c r="S973">
        <f>IF(14&lt;='設定'!$B$6,"表示","隠す")</f>
        <v/>
      </c>
    </row>
    <row r="974" hidden="1" ht="21" customHeight="1">
      <c r="A974" s="82" t="n"/>
      <c r="B974" s="46">
        <f>'設定'!$I$25</f>
        <v/>
      </c>
      <c r="C974" s="83" t="n"/>
      <c r="D974" s="83" t="n"/>
      <c r="E974" s="83" t="n"/>
      <c r="F974" s="83" t="n"/>
      <c r="G974" s="83" t="n"/>
      <c r="H974" s="83" t="n"/>
      <c r="S974">
        <f>IF(15&lt;='設定'!$B$6,"表示","隠す")</f>
        <v/>
      </c>
    </row>
    <row r="975" hidden="1" ht="21" customHeight="1">
      <c r="A975" s="82" t="n"/>
      <c r="B975" s="46">
        <f>'設定'!$I$26</f>
        <v/>
      </c>
      <c r="C975" s="83" t="n"/>
      <c r="D975" s="83" t="n"/>
      <c r="E975" s="83" t="n"/>
      <c r="F975" s="83" t="n"/>
      <c r="G975" s="83" t="n"/>
      <c r="H975" s="83" t="n"/>
      <c r="S975">
        <f>IF(16&lt;='設定'!$B$6,"表示","隠す")</f>
        <v/>
      </c>
    </row>
    <row r="976" hidden="1" ht="21" customHeight="1">
      <c r="A976" s="82" t="n"/>
      <c r="B976" s="46">
        <f>'設定'!$I$27</f>
        <v/>
      </c>
      <c r="C976" s="83" t="n"/>
      <c r="D976" s="83" t="n"/>
      <c r="E976" s="83" t="n"/>
      <c r="F976" s="83" t="n"/>
      <c r="G976" s="83" t="n"/>
      <c r="H976" s="83" t="n"/>
      <c r="S976">
        <f>IF(17&lt;='設定'!$B$6,"表示","隠す")</f>
        <v/>
      </c>
    </row>
    <row r="977" hidden="1" ht="21" customHeight="1">
      <c r="A977" s="82" t="n"/>
      <c r="B977" s="46">
        <f>'設定'!$I$28</f>
        <v/>
      </c>
      <c r="C977" s="83" t="n"/>
      <c r="D977" s="83" t="n"/>
      <c r="E977" s="83" t="n"/>
      <c r="F977" s="83" t="n"/>
      <c r="G977" s="83" t="n"/>
      <c r="H977" s="83" t="n"/>
      <c r="S977">
        <f>IF(18&lt;='設定'!$B$6,"表示","隠す")</f>
        <v/>
      </c>
    </row>
    <row r="978" hidden="1" ht="21" customHeight="1">
      <c r="A978" s="82" t="n"/>
      <c r="B978" s="46">
        <f>'設定'!$I$29</f>
        <v/>
      </c>
      <c r="C978" s="83" t="n"/>
      <c r="D978" s="83" t="n"/>
      <c r="E978" s="83" t="n"/>
      <c r="F978" s="83" t="n"/>
      <c r="G978" s="83" t="n"/>
      <c r="H978" s="83" t="n"/>
      <c r="S978">
        <f>IF(19&lt;='設定'!$B$6,"表示","隠す")</f>
        <v/>
      </c>
    </row>
    <row r="979" hidden="1" ht="21" customHeight="1">
      <c r="A979" s="82" t="n"/>
      <c r="B979" s="46">
        <f>'設定'!$I$30</f>
        <v/>
      </c>
      <c r="C979" s="83" t="n"/>
      <c r="D979" s="83" t="n"/>
      <c r="E979" s="83" t="n"/>
      <c r="F979" s="83" t="n"/>
      <c r="G979" s="83" t="n"/>
      <c r="H979" s="83" t="n"/>
      <c r="S979">
        <f>IF(20&lt;='設定'!$B$6,"表示","隠す")</f>
        <v/>
      </c>
    </row>
    <row r="980" hidden="1" ht="21" customHeight="1">
      <c r="A980" s="82" t="n"/>
      <c r="B980" s="46">
        <f>'設定'!$I$31</f>
        <v/>
      </c>
      <c r="C980" s="83" t="n"/>
      <c r="D980" s="83" t="n"/>
      <c r="E980" s="83" t="n"/>
      <c r="F980" s="83" t="n"/>
      <c r="G980" s="83" t="n"/>
      <c r="H980" s="83" t="n"/>
      <c r="S980">
        <f>IF(21&lt;='設定'!$B$6,"表示","隠す")</f>
        <v/>
      </c>
    </row>
    <row r="981" hidden="1" ht="21" customHeight="1">
      <c r="A981" s="82" t="n"/>
      <c r="B981" s="46">
        <f>'設定'!$I$32</f>
        <v/>
      </c>
      <c r="C981" s="83" t="n"/>
      <c r="D981" s="83" t="n"/>
      <c r="E981" s="83" t="n"/>
      <c r="F981" s="83" t="n"/>
      <c r="G981" s="83" t="n"/>
      <c r="H981" s="83" t="n"/>
      <c r="S981">
        <f>IF(22&lt;='設定'!$B$6,"表示","隠す")</f>
        <v/>
      </c>
    </row>
    <row r="982" hidden="1" ht="21" customHeight="1">
      <c r="A982" s="82" t="n"/>
      <c r="B982" s="46">
        <f>'設定'!$I$33</f>
        <v/>
      </c>
      <c r="C982" s="83" t="n"/>
      <c r="D982" s="83" t="n"/>
      <c r="E982" s="83" t="n"/>
      <c r="F982" s="83" t="n"/>
      <c r="G982" s="83" t="n"/>
      <c r="H982" s="83" t="n"/>
      <c r="S982">
        <f>IF(23&lt;='設定'!$B$6,"表示","隠す")</f>
        <v/>
      </c>
    </row>
    <row r="983" hidden="1" ht="21" customHeight="1">
      <c r="A983" s="82" t="n"/>
      <c r="B983" s="46">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2" t="n"/>
      <c r="G985" s="33" t="n"/>
      <c r="H985" s="78" t="inlineStr">
        <is>
          <t>状況：</t>
        </is>
      </c>
      <c r="I985" s="79">
        <f>'名簿'!Q40</f>
        <v/>
      </c>
      <c r="J985" s="78" t="inlineStr">
        <is>
          <t>×の数：</t>
        </is>
      </c>
      <c r="K985" s="80">
        <f>'名簿'!R40</f>
        <v/>
      </c>
      <c r="L985" s="81">
        <f>HYPERLINK("#'×入力'!B1013","次の人へ ▼")</f>
        <v/>
      </c>
      <c r="S985" t="inlineStr">
        <is>
          <t>表示</t>
        </is>
      </c>
    </row>
    <row r="986" ht="22" customHeight="1">
      <c r="A986" s="34" t="inlineStr">
        <is>
          <t>この日全部 ▶</t>
        </is>
      </c>
      <c r="C986" s="82" t="n"/>
      <c r="D986" s="82" t="n"/>
      <c r="E986" s="82" t="n"/>
      <c r="F986" s="82" t="n"/>
      <c r="G986" s="82" t="n"/>
      <c r="H986" s="82" t="n"/>
      <c r="S986" t="inlineStr">
        <is>
          <t>表示</t>
        </is>
      </c>
    </row>
    <row r="987" ht="28" customHeight="1">
      <c r="A987" s="37" t="inlineStr">
        <is>
          <t>この時間
全部 ▼</t>
        </is>
      </c>
      <c r="B987" s="38" t="inlineStr"/>
      <c r="C987" s="39">
        <f>'設定'!$E$11</f>
        <v/>
      </c>
      <c r="D987" s="39">
        <f>'設定'!$E$12</f>
        <v/>
      </c>
      <c r="E987" s="39">
        <f>'設定'!$E$13</f>
        <v/>
      </c>
      <c r="F987" s="39">
        <f>'設定'!$E$14</f>
        <v/>
      </c>
      <c r="G987" s="39">
        <f>'設定'!$E$15</f>
        <v/>
      </c>
      <c r="H987" s="39">
        <f>'設定'!$E$16</f>
        <v/>
      </c>
      <c r="S987" t="inlineStr">
        <is>
          <t>表示</t>
        </is>
      </c>
    </row>
    <row r="988" ht="21" customHeight="1">
      <c r="A988" s="82" t="n"/>
      <c r="B988" s="46">
        <f>'設定'!$I$11</f>
        <v/>
      </c>
      <c r="C988" s="83" t="n"/>
      <c r="D988" s="83" t="n"/>
      <c r="E988" s="83" t="n"/>
      <c r="F988" s="83" t="n"/>
      <c r="G988" s="83" t="n"/>
      <c r="H988" s="83" t="n"/>
      <c r="S988">
        <f>IF(1&lt;='設定'!$B$6,"表示","隠す")</f>
        <v/>
      </c>
    </row>
    <row r="989" ht="21" customHeight="1">
      <c r="A989" s="82" t="n"/>
      <c r="B989" s="46">
        <f>'設定'!$I$12</f>
        <v/>
      </c>
      <c r="C989" s="83" t="n"/>
      <c r="D989" s="83" t="n"/>
      <c r="E989" s="83" t="n"/>
      <c r="F989" s="83" t="n"/>
      <c r="G989" s="83" t="n"/>
      <c r="H989" s="83" t="n"/>
      <c r="S989">
        <f>IF(2&lt;='設定'!$B$6,"表示","隠す")</f>
        <v/>
      </c>
    </row>
    <row r="990" ht="21" customHeight="1">
      <c r="A990" s="82" t="n"/>
      <c r="B990" s="46">
        <f>'設定'!$I$13</f>
        <v/>
      </c>
      <c r="C990" s="83" t="n"/>
      <c r="D990" s="83" t="n"/>
      <c r="E990" s="83" t="n"/>
      <c r="F990" s="83" t="n"/>
      <c r="G990" s="83" t="n"/>
      <c r="H990" s="83" t="n"/>
      <c r="S990">
        <f>IF(3&lt;='設定'!$B$6,"表示","隠す")</f>
        <v/>
      </c>
    </row>
    <row r="991" ht="21" customHeight="1">
      <c r="A991" s="82" t="n"/>
      <c r="B991" s="46">
        <f>'設定'!$I$14</f>
        <v/>
      </c>
      <c r="C991" s="83" t="n"/>
      <c r="D991" s="83" t="n"/>
      <c r="E991" s="83" t="n"/>
      <c r="F991" s="83" t="n"/>
      <c r="G991" s="83" t="n"/>
      <c r="H991" s="83" t="n"/>
      <c r="S991">
        <f>IF(4&lt;='設定'!$B$6,"表示","隠す")</f>
        <v/>
      </c>
    </row>
    <row r="992" ht="21" customHeight="1">
      <c r="A992" s="82" t="n"/>
      <c r="B992" s="46">
        <f>'設定'!$I$15</f>
        <v/>
      </c>
      <c r="C992" s="83" t="n"/>
      <c r="D992" s="83" t="n"/>
      <c r="E992" s="83" t="n"/>
      <c r="F992" s="83" t="n"/>
      <c r="G992" s="83" t="n"/>
      <c r="H992" s="83" t="n"/>
      <c r="S992">
        <f>IF(5&lt;='設定'!$B$6,"表示","隠す")</f>
        <v/>
      </c>
    </row>
    <row r="993" ht="21" customHeight="1">
      <c r="A993" s="82" t="n"/>
      <c r="B993" s="46">
        <f>'設定'!$I$16</f>
        <v/>
      </c>
      <c r="C993" s="83" t="n"/>
      <c r="D993" s="83" t="n"/>
      <c r="E993" s="83" t="n"/>
      <c r="F993" s="83" t="n"/>
      <c r="G993" s="83" t="n"/>
      <c r="H993" s="83" t="n"/>
      <c r="S993">
        <f>IF(6&lt;='設定'!$B$6,"表示","隠す")</f>
        <v/>
      </c>
    </row>
    <row r="994" ht="21" customHeight="1">
      <c r="A994" s="82" t="n"/>
      <c r="B994" s="46">
        <f>'設定'!$I$17</f>
        <v/>
      </c>
      <c r="C994" s="83" t="n"/>
      <c r="D994" s="83" t="n"/>
      <c r="E994" s="83" t="n"/>
      <c r="F994" s="83" t="n"/>
      <c r="G994" s="83" t="n"/>
      <c r="H994" s="83" t="n"/>
      <c r="S994">
        <f>IF(7&lt;='設定'!$B$6,"表示","隠す")</f>
        <v/>
      </c>
    </row>
    <row r="995" ht="21" customHeight="1">
      <c r="A995" s="82" t="n"/>
      <c r="B995" s="46">
        <f>'設定'!$I$18</f>
        <v/>
      </c>
      <c r="C995" s="83" t="n"/>
      <c r="D995" s="83" t="n"/>
      <c r="E995" s="83" t="n"/>
      <c r="F995" s="83" t="n"/>
      <c r="G995" s="83" t="n"/>
      <c r="H995" s="83" t="n"/>
      <c r="S995">
        <f>IF(8&lt;='設定'!$B$6,"表示","隠す")</f>
        <v/>
      </c>
    </row>
    <row r="996" ht="21" customHeight="1">
      <c r="A996" s="82" t="n"/>
      <c r="B996" s="46">
        <f>'設定'!$I$19</f>
        <v/>
      </c>
      <c r="C996" s="83" t="n"/>
      <c r="D996" s="83" t="n"/>
      <c r="E996" s="83" t="n"/>
      <c r="F996" s="83" t="n"/>
      <c r="G996" s="83" t="n"/>
      <c r="H996" s="83" t="n"/>
      <c r="S996">
        <f>IF(9&lt;='設定'!$B$6,"表示","隠す")</f>
        <v/>
      </c>
    </row>
    <row r="997" hidden="1" ht="21" customHeight="1">
      <c r="A997" s="82" t="n"/>
      <c r="B997" s="46">
        <f>'設定'!$I$20</f>
        <v/>
      </c>
      <c r="C997" s="83" t="n"/>
      <c r="D997" s="83" t="n"/>
      <c r="E997" s="83" t="n"/>
      <c r="F997" s="83" t="n"/>
      <c r="G997" s="83" t="n"/>
      <c r="H997" s="83" t="n"/>
      <c r="S997">
        <f>IF(10&lt;='設定'!$B$6,"表示","隠す")</f>
        <v/>
      </c>
    </row>
    <row r="998" hidden="1" ht="21" customHeight="1">
      <c r="A998" s="82" t="n"/>
      <c r="B998" s="46">
        <f>'設定'!$I$21</f>
        <v/>
      </c>
      <c r="C998" s="83" t="n"/>
      <c r="D998" s="83" t="n"/>
      <c r="E998" s="83" t="n"/>
      <c r="F998" s="83" t="n"/>
      <c r="G998" s="83" t="n"/>
      <c r="H998" s="83" t="n"/>
      <c r="S998">
        <f>IF(11&lt;='設定'!$B$6,"表示","隠す")</f>
        <v/>
      </c>
    </row>
    <row r="999" hidden="1" ht="21" customHeight="1">
      <c r="A999" s="82" t="n"/>
      <c r="B999" s="46">
        <f>'設定'!$I$22</f>
        <v/>
      </c>
      <c r="C999" s="83" t="n"/>
      <c r="D999" s="83" t="n"/>
      <c r="E999" s="83" t="n"/>
      <c r="F999" s="83" t="n"/>
      <c r="G999" s="83" t="n"/>
      <c r="H999" s="83" t="n"/>
      <c r="S999">
        <f>IF(12&lt;='設定'!$B$6,"表示","隠す")</f>
        <v/>
      </c>
    </row>
    <row r="1000" hidden="1" ht="21" customHeight="1">
      <c r="A1000" s="82" t="n"/>
      <c r="B1000" s="46">
        <f>'設定'!$I$23</f>
        <v/>
      </c>
      <c r="C1000" s="83" t="n"/>
      <c r="D1000" s="83" t="n"/>
      <c r="E1000" s="83" t="n"/>
      <c r="F1000" s="83" t="n"/>
      <c r="G1000" s="83" t="n"/>
      <c r="H1000" s="83" t="n"/>
      <c r="S1000">
        <f>IF(13&lt;='設定'!$B$6,"表示","隠す")</f>
        <v/>
      </c>
    </row>
    <row r="1001" hidden="1" ht="21" customHeight="1">
      <c r="A1001" s="82" t="n"/>
      <c r="B1001" s="46">
        <f>'設定'!$I$24</f>
        <v/>
      </c>
      <c r="C1001" s="83" t="n"/>
      <c r="D1001" s="83" t="n"/>
      <c r="E1001" s="83" t="n"/>
      <c r="F1001" s="83" t="n"/>
      <c r="G1001" s="83" t="n"/>
      <c r="H1001" s="83" t="n"/>
      <c r="S1001">
        <f>IF(14&lt;='設定'!$B$6,"表示","隠す")</f>
        <v/>
      </c>
    </row>
    <row r="1002" hidden="1" ht="21" customHeight="1">
      <c r="A1002" s="82" t="n"/>
      <c r="B1002" s="46">
        <f>'設定'!$I$25</f>
        <v/>
      </c>
      <c r="C1002" s="83" t="n"/>
      <c r="D1002" s="83" t="n"/>
      <c r="E1002" s="83" t="n"/>
      <c r="F1002" s="83" t="n"/>
      <c r="G1002" s="83" t="n"/>
      <c r="H1002" s="83" t="n"/>
      <c r="S1002">
        <f>IF(15&lt;='設定'!$B$6,"表示","隠す")</f>
        <v/>
      </c>
    </row>
    <row r="1003" hidden="1" ht="21" customHeight="1">
      <c r="A1003" s="82" t="n"/>
      <c r="B1003" s="46">
        <f>'設定'!$I$26</f>
        <v/>
      </c>
      <c r="C1003" s="83" t="n"/>
      <c r="D1003" s="83" t="n"/>
      <c r="E1003" s="83" t="n"/>
      <c r="F1003" s="83" t="n"/>
      <c r="G1003" s="83" t="n"/>
      <c r="H1003" s="83" t="n"/>
      <c r="S1003">
        <f>IF(16&lt;='設定'!$B$6,"表示","隠す")</f>
        <v/>
      </c>
    </row>
    <row r="1004" hidden="1" ht="21" customHeight="1">
      <c r="A1004" s="82" t="n"/>
      <c r="B1004" s="46">
        <f>'設定'!$I$27</f>
        <v/>
      </c>
      <c r="C1004" s="83" t="n"/>
      <c r="D1004" s="83" t="n"/>
      <c r="E1004" s="83" t="n"/>
      <c r="F1004" s="83" t="n"/>
      <c r="G1004" s="83" t="n"/>
      <c r="H1004" s="83" t="n"/>
      <c r="S1004">
        <f>IF(17&lt;='設定'!$B$6,"表示","隠す")</f>
        <v/>
      </c>
    </row>
    <row r="1005" hidden="1" ht="21" customHeight="1">
      <c r="A1005" s="82" t="n"/>
      <c r="B1005" s="46">
        <f>'設定'!$I$28</f>
        <v/>
      </c>
      <c r="C1005" s="83" t="n"/>
      <c r="D1005" s="83" t="n"/>
      <c r="E1005" s="83" t="n"/>
      <c r="F1005" s="83" t="n"/>
      <c r="G1005" s="83" t="n"/>
      <c r="H1005" s="83" t="n"/>
      <c r="S1005">
        <f>IF(18&lt;='設定'!$B$6,"表示","隠す")</f>
        <v/>
      </c>
    </row>
    <row r="1006" hidden="1" ht="21" customHeight="1">
      <c r="A1006" s="82" t="n"/>
      <c r="B1006" s="46">
        <f>'設定'!$I$29</f>
        <v/>
      </c>
      <c r="C1006" s="83" t="n"/>
      <c r="D1006" s="83" t="n"/>
      <c r="E1006" s="83" t="n"/>
      <c r="F1006" s="83" t="n"/>
      <c r="G1006" s="83" t="n"/>
      <c r="H1006" s="83" t="n"/>
      <c r="S1006">
        <f>IF(19&lt;='設定'!$B$6,"表示","隠す")</f>
        <v/>
      </c>
    </row>
    <row r="1007" hidden="1" ht="21" customHeight="1">
      <c r="A1007" s="82" t="n"/>
      <c r="B1007" s="46">
        <f>'設定'!$I$30</f>
        <v/>
      </c>
      <c r="C1007" s="83" t="n"/>
      <c r="D1007" s="83" t="n"/>
      <c r="E1007" s="83" t="n"/>
      <c r="F1007" s="83" t="n"/>
      <c r="G1007" s="83" t="n"/>
      <c r="H1007" s="83" t="n"/>
      <c r="S1007">
        <f>IF(20&lt;='設定'!$B$6,"表示","隠す")</f>
        <v/>
      </c>
    </row>
    <row r="1008" hidden="1" ht="21" customHeight="1">
      <c r="A1008" s="82" t="n"/>
      <c r="B1008" s="46">
        <f>'設定'!$I$31</f>
        <v/>
      </c>
      <c r="C1008" s="83" t="n"/>
      <c r="D1008" s="83" t="n"/>
      <c r="E1008" s="83" t="n"/>
      <c r="F1008" s="83" t="n"/>
      <c r="G1008" s="83" t="n"/>
      <c r="H1008" s="83" t="n"/>
      <c r="S1008">
        <f>IF(21&lt;='設定'!$B$6,"表示","隠す")</f>
        <v/>
      </c>
    </row>
    <row r="1009" hidden="1" ht="21" customHeight="1">
      <c r="A1009" s="82" t="n"/>
      <c r="B1009" s="46">
        <f>'設定'!$I$32</f>
        <v/>
      </c>
      <c r="C1009" s="83" t="n"/>
      <c r="D1009" s="83" t="n"/>
      <c r="E1009" s="83" t="n"/>
      <c r="F1009" s="83" t="n"/>
      <c r="G1009" s="83" t="n"/>
      <c r="H1009" s="83" t="n"/>
      <c r="S1009">
        <f>IF(22&lt;='設定'!$B$6,"表示","隠す")</f>
        <v/>
      </c>
    </row>
    <row r="1010" hidden="1" ht="21" customHeight="1">
      <c r="A1010" s="82" t="n"/>
      <c r="B1010" s="46">
        <f>'設定'!$I$33</f>
        <v/>
      </c>
      <c r="C1010" s="83" t="n"/>
      <c r="D1010" s="83" t="n"/>
      <c r="E1010" s="83" t="n"/>
      <c r="F1010" s="83" t="n"/>
      <c r="G1010" s="83" t="n"/>
      <c r="H1010" s="83" t="n"/>
      <c r="S1010">
        <f>IF(23&lt;='設定'!$B$6,"表示","隠す")</f>
        <v/>
      </c>
    </row>
    <row r="1011" hidden="1" ht="21" customHeight="1">
      <c r="A1011" s="82" t="n"/>
      <c r="B1011" s="46">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2" t="n"/>
      <c r="G1013" s="33" t="n"/>
      <c r="H1013" s="78" t="inlineStr">
        <is>
          <t>状況：</t>
        </is>
      </c>
      <c r="I1013" s="79">
        <f>'名簿'!Q41</f>
        <v/>
      </c>
      <c r="J1013" s="78" t="inlineStr">
        <is>
          <t>×の数：</t>
        </is>
      </c>
      <c r="K1013" s="80">
        <f>'名簿'!R41</f>
        <v/>
      </c>
      <c r="L1013" s="81">
        <f>HYPERLINK("#'×入力'!B1041","次の人へ ▼")</f>
        <v/>
      </c>
      <c r="S1013" t="inlineStr">
        <is>
          <t>表示</t>
        </is>
      </c>
    </row>
    <row r="1014" ht="22" customHeight="1">
      <c r="A1014" s="34" t="inlineStr">
        <is>
          <t>この日全部 ▶</t>
        </is>
      </c>
      <c r="C1014" s="82" t="n"/>
      <c r="D1014" s="82" t="n"/>
      <c r="E1014" s="82" t="n"/>
      <c r="F1014" s="82" t="n"/>
      <c r="G1014" s="82" t="n"/>
      <c r="H1014" s="82" t="n"/>
      <c r="S1014" t="inlineStr">
        <is>
          <t>表示</t>
        </is>
      </c>
    </row>
    <row r="1015" ht="28" customHeight="1">
      <c r="A1015" s="37" t="inlineStr">
        <is>
          <t>この時間
全部 ▼</t>
        </is>
      </c>
      <c r="B1015" s="38" t="inlineStr"/>
      <c r="C1015" s="39">
        <f>'設定'!$E$11</f>
        <v/>
      </c>
      <c r="D1015" s="39">
        <f>'設定'!$E$12</f>
        <v/>
      </c>
      <c r="E1015" s="39">
        <f>'設定'!$E$13</f>
        <v/>
      </c>
      <c r="F1015" s="39">
        <f>'設定'!$E$14</f>
        <v/>
      </c>
      <c r="G1015" s="39">
        <f>'設定'!$E$15</f>
        <v/>
      </c>
      <c r="H1015" s="39">
        <f>'設定'!$E$16</f>
        <v/>
      </c>
      <c r="S1015" t="inlineStr">
        <is>
          <t>表示</t>
        </is>
      </c>
    </row>
    <row r="1016" ht="21" customHeight="1">
      <c r="A1016" s="82" t="n"/>
      <c r="B1016" s="46">
        <f>'設定'!$I$11</f>
        <v/>
      </c>
      <c r="C1016" s="83" t="n"/>
      <c r="D1016" s="83" t="n"/>
      <c r="E1016" s="83" t="n"/>
      <c r="F1016" s="83" t="n"/>
      <c r="G1016" s="83" t="n"/>
      <c r="H1016" s="83" t="n"/>
      <c r="S1016">
        <f>IF(1&lt;='設定'!$B$6,"表示","隠す")</f>
        <v/>
      </c>
    </row>
    <row r="1017" ht="21" customHeight="1">
      <c r="A1017" s="82" t="n"/>
      <c r="B1017" s="46">
        <f>'設定'!$I$12</f>
        <v/>
      </c>
      <c r="C1017" s="83" t="n"/>
      <c r="D1017" s="83" t="n"/>
      <c r="E1017" s="83" t="n"/>
      <c r="F1017" s="83" t="n"/>
      <c r="G1017" s="83" t="n"/>
      <c r="H1017" s="83" t="n"/>
      <c r="S1017">
        <f>IF(2&lt;='設定'!$B$6,"表示","隠す")</f>
        <v/>
      </c>
    </row>
    <row r="1018" ht="21" customHeight="1">
      <c r="A1018" s="82" t="n"/>
      <c r="B1018" s="46">
        <f>'設定'!$I$13</f>
        <v/>
      </c>
      <c r="C1018" s="83" t="n"/>
      <c r="D1018" s="83" t="n"/>
      <c r="E1018" s="83" t="n"/>
      <c r="F1018" s="83" t="n"/>
      <c r="G1018" s="83" t="n"/>
      <c r="H1018" s="83" t="n"/>
      <c r="S1018">
        <f>IF(3&lt;='設定'!$B$6,"表示","隠す")</f>
        <v/>
      </c>
    </row>
    <row r="1019" ht="21" customHeight="1">
      <c r="A1019" s="82" t="n"/>
      <c r="B1019" s="46">
        <f>'設定'!$I$14</f>
        <v/>
      </c>
      <c r="C1019" s="83" t="n"/>
      <c r="D1019" s="83" t="n"/>
      <c r="E1019" s="83" t="n"/>
      <c r="F1019" s="83" t="n"/>
      <c r="G1019" s="83" t="n"/>
      <c r="H1019" s="83" t="n"/>
      <c r="S1019">
        <f>IF(4&lt;='設定'!$B$6,"表示","隠す")</f>
        <v/>
      </c>
    </row>
    <row r="1020" ht="21" customHeight="1">
      <c r="A1020" s="82" t="n"/>
      <c r="B1020" s="46">
        <f>'設定'!$I$15</f>
        <v/>
      </c>
      <c r="C1020" s="83" t="n"/>
      <c r="D1020" s="83" t="n"/>
      <c r="E1020" s="83" t="n"/>
      <c r="F1020" s="83" t="n"/>
      <c r="G1020" s="83" t="n"/>
      <c r="H1020" s="83" t="n"/>
      <c r="S1020">
        <f>IF(5&lt;='設定'!$B$6,"表示","隠す")</f>
        <v/>
      </c>
    </row>
    <row r="1021" ht="21" customHeight="1">
      <c r="A1021" s="82" t="n"/>
      <c r="B1021" s="46">
        <f>'設定'!$I$16</f>
        <v/>
      </c>
      <c r="C1021" s="83" t="n"/>
      <c r="D1021" s="83" t="n"/>
      <c r="E1021" s="83" t="n"/>
      <c r="F1021" s="83" t="n"/>
      <c r="G1021" s="83" t="n"/>
      <c r="H1021" s="83" t="n"/>
      <c r="S1021">
        <f>IF(6&lt;='設定'!$B$6,"表示","隠す")</f>
        <v/>
      </c>
    </row>
    <row r="1022" ht="21" customHeight="1">
      <c r="A1022" s="82" t="n"/>
      <c r="B1022" s="46">
        <f>'設定'!$I$17</f>
        <v/>
      </c>
      <c r="C1022" s="83" t="n"/>
      <c r="D1022" s="83" t="n"/>
      <c r="E1022" s="83" t="n"/>
      <c r="F1022" s="83" t="n"/>
      <c r="G1022" s="83" t="n"/>
      <c r="H1022" s="83" t="n"/>
      <c r="S1022">
        <f>IF(7&lt;='設定'!$B$6,"表示","隠す")</f>
        <v/>
      </c>
    </row>
    <row r="1023" ht="21" customHeight="1">
      <c r="A1023" s="82" t="n"/>
      <c r="B1023" s="46">
        <f>'設定'!$I$18</f>
        <v/>
      </c>
      <c r="C1023" s="83" t="n"/>
      <c r="D1023" s="83" t="n"/>
      <c r="E1023" s="83" t="n"/>
      <c r="F1023" s="83" t="n"/>
      <c r="G1023" s="83" t="n"/>
      <c r="H1023" s="83" t="n"/>
      <c r="S1023">
        <f>IF(8&lt;='設定'!$B$6,"表示","隠す")</f>
        <v/>
      </c>
    </row>
    <row r="1024" ht="21" customHeight="1">
      <c r="A1024" s="82" t="n"/>
      <c r="B1024" s="46">
        <f>'設定'!$I$19</f>
        <v/>
      </c>
      <c r="C1024" s="83" t="n"/>
      <c r="D1024" s="83" t="n"/>
      <c r="E1024" s="83" t="n"/>
      <c r="F1024" s="83" t="n"/>
      <c r="G1024" s="83" t="n"/>
      <c r="H1024" s="83" t="n"/>
      <c r="S1024">
        <f>IF(9&lt;='設定'!$B$6,"表示","隠す")</f>
        <v/>
      </c>
    </row>
    <row r="1025" hidden="1" ht="21" customHeight="1">
      <c r="A1025" s="82" t="n"/>
      <c r="B1025" s="46">
        <f>'設定'!$I$20</f>
        <v/>
      </c>
      <c r="C1025" s="83" t="n"/>
      <c r="D1025" s="83" t="n"/>
      <c r="E1025" s="83" t="n"/>
      <c r="F1025" s="83" t="n"/>
      <c r="G1025" s="83" t="n"/>
      <c r="H1025" s="83" t="n"/>
      <c r="S1025">
        <f>IF(10&lt;='設定'!$B$6,"表示","隠す")</f>
        <v/>
      </c>
    </row>
    <row r="1026" hidden="1" ht="21" customHeight="1">
      <c r="A1026" s="82" t="n"/>
      <c r="B1026" s="46">
        <f>'設定'!$I$21</f>
        <v/>
      </c>
      <c r="C1026" s="83" t="n"/>
      <c r="D1026" s="83" t="n"/>
      <c r="E1026" s="83" t="n"/>
      <c r="F1026" s="83" t="n"/>
      <c r="G1026" s="83" t="n"/>
      <c r="H1026" s="83" t="n"/>
      <c r="S1026">
        <f>IF(11&lt;='設定'!$B$6,"表示","隠す")</f>
        <v/>
      </c>
    </row>
    <row r="1027" hidden="1" ht="21" customHeight="1">
      <c r="A1027" s="82" t="n"/>
      <c r="B1027" s="46">
        <f>'設定'!$I$22</f>
        <v/>
      </c>
      <c r="C1027" s="83" t="n"/>
      <c r="D1027" s="83" t="n"/>
      <c r="E1027" s="83" t="n"/>
      <c r="F1027" s="83" t="n"/>
      <c r="G1027" s="83" t="n"/>
      <c r="H1027" s="83" t="n"/>
      <c r="S1027">
        <f>IF(12&lt;='設定'!$B$6,"表示","隠す")</f>
        <v/>
      </c>
    </row>
    <row r="1028" hidden="1" ht="21" customHeight="1">
      <c r="A1028" s="82" t="n"/>
      <c r="B1028" s="46">
        <f>'設定'!$I$23</f>
        <v/>
      </c>
      <c r="C1028" s="83" t="n"/>
      <c r="D1028" s="83" t="n"/>
      <c r="E1028" s="83" t="n"/>
      <c r="F1028" s="83" t="n"/>
      <c r="G1028" s="83" t="n"/>
      <c r="H1028" s="83" t="n"/>
      <c r="S1028">
        <f>IF(13&lt;='設定'!$B$6,"表示","隠す")</f>
        <v/>
      </c>
    </row>
    <row r="1029" hidden="1" ht="21" customHeight="1">
      <c r="A1029" s="82" t="n"/>
      <c r="B1029" s="46">
        <f>'設定'!$I$24</f>
        <v/>
      </c>
      <c r="C1029" s="83" t="n"/>
      <c r="D1029" s="83" t="n"/>
      <c r="E1029" s="83" t="n"/>
      <c r="F1029" s="83" t="n"/>
      <c r="G1029" s="83" t="n"/>
      <c r="H1029" s="83" t="n"/>
      <c r="S1029">
        <f>IF(14&lt;='設定'!$B$6,"表示","隠す")</f>
        <v/>
      </c>
    </row>
    <row r="1030" hidden="1" ht="21" customHeight="1">
      <c r="A1030" s="82" t="n"/>
      <c r="B1030" s="46">
        <f>'設定'!$I$25</f>
        <v/>
      </c>
      <c r="C1030" s="83" t="n"/>
      <c r="D1030" s="83" t="n"/>
      <c r="E1030" s="83" t="n"/>
      <c r="F1030" s="83" t="n"/>
      <c r="G1030" s="83" t="n"/>
      <c r="H1030" s="83" t="n"/>
      <c r="S1030">
        <f>IF(15&lt;='設定'!$B$6,"表示","隠す")</f>
        <v/>
      </c>
    </row>
    <row r="1031" hidden="1" ht="21" customHeight="1">
      <c r="A1031" s="82" t="n"/>
      <c r="B1031" s="46">
        <f>'設定'!$I$26</f>
        <v/>
      </c>
      <c r="C1031" s="83" t="n"/>
      <c r="D1031" s="83" t="n"/>
      <c r="E1031" s="83" t="n"/>
      <c r="F1031" s="83" t="n"/>
      <c r="G1031" s="83" t="n"/>
      <c r="H1031" s="83" t="n"/>
      <c r="S1031">
        <f>IF(16&lt;='設定'!$B$6,"表示","隠す")</f>
        <v/>
      </c>
    </row>
    <row r="1032" hidden="1" ht="21" customHeight="1">
      <c r="A1032" s="82" t="n"/>
      <c r="B1032" s="46">
        <f>'設定'!$I$27</f>
        <v/>
      </c>
      <c r="C1032" s="83" t="n"/>
      <c r="D1032" s="83" t="n"/>
      <c r="E1032" s="83" t="n"/>
      <c r="F1032" s="83" t="n"/>
      <c r="G1032" s="83" t="n"/>
      <c r="H1032" s="83" t="n"/>
      <c r="S1032">
        <f>IF(17&lt;='設定'!$B$6,"表示","隠す")</f>
        <v/>
      </c>
    </row>
    <row r="1033" hidden="1" ht="21" customHeight="1">
      <c r="A1033" s="82" t="n"/>
      <c r="B1033" s="46">
        <f>'設定'!$I$28</f>
        <v/>
      </c>
      <c r="C1033" s="83" t="n"/>
      <c r="D1033" s="83" t="n"/>
      <c r="E1033" s="83" t="n"/>
      <c r="F1033" s="83" t="n"/>
      <c r="G1033" s="83" t="n"/>
      <c r="H1033" s="83" t="n"/>
      <c r="S1033">
        <f>IF(18&lt;='設定'!$B$6,"表示","隠す")</f>
        <v/>
      </c>
    </row>
    <row r="1034" hidden="1" ht="21" customHeight="1">
      <c r="A1034" s="82" t="n"/>
      <c r="B1034" s="46">
        <f>'設定'!$I$29</f>
        <v/>
      </c>
      <c r="C1034" s="83" t="n"/>
      <c r="D1034" s="83" t="n"/>
      <c r="E1034" s="83" t="n"/>
      <c r="F1034" s="83" t="n"/>
      <c r="G1034" s="83" t="n"/>
      <c r="H1034" s="83" t="n"/>
      <c r="S1034">
        <f>IF(19&lt;='設定'!$B$6,"表示","隠す")</f>
        <v/>
      </c>
    </row>
    <row r="1035" hidden="1" ht="21" customHeight="1">
      <c r="A1035" s="82" t="n"/>
      <c r="B1035" s="46">
        <f>'設定'!$I$30</f>
        <v/>
      </c>
      <c r="C1035" s="83" t="n"/>
      <c r="D1035" s="83" t="n"/>
      <c r="E1035" s="83" t="n"/>
      <c r="F1035" s="83" t="n"/>
      <c r="G1035" s="83" t="n"/>
      <c r="H1035" s="83" t="n"/>
      <c r="S1035">
        <f>IF(20&lt;='設定'!$B$6,"表示","隠す")</f>
        <v/>
      </c>
    </row>
    <row r="1036" hidden="1" ht="21" customHeight="1">
      <c r="A1036" s="82" t="n"/>
      <c r="B1036" s="46">
        <f>'設定'!$I$31</f>
        <v/>
      </c>
      <c r="C1036" s="83" t="n"/>
      <c r="D1036" s="83" t="n"/>
      <c r="E1036" s="83" t="n"/>
      <c r="F1036" s="83" t="n"/>
      <c r="G1036" s="83" t="n"/>
      <c r="H1036" s="83" t="n"/>
      <c r="S1036">
        <f>IF(21&lt;='設定'!$B$6,"表示","隠す")</f>
        <v/>
      </c>
    </row>
    <row r="1037" hidden="1" ht="21" customHeight="1">
      <c r="A1037" s="82" t="n"/>
      <c r="B1037" s="46">
        <f>'設定'!$I$32</f>
        <v/>
      </c>
      <c r="C1037" s="83" t="n"/>
      <c r="D1037" s="83" t="n"/>
      <c r="E1037" s="83" t="n"/>
      <c r="F1037" s="83" t="n"/>
      <c r="G1037" s="83" t="n"/>
      <c r="H1037" s="83" t="n"/>
      <c r="S1037">
        <f>IF(22&lt;='設定'!$B$6,"表示","隠す")</f>
        <v/>
      </c>
    </row>
    <row r="1038" hidden="1" ht="21" customHeight="1">
      <c r="A1038" s="82" t="n"/>
      <c r="B1038" s="46">
        <f>'設定'!$I$33</f>
        <v/>
      </c>
      <c r="C1038" s="83" t="n"/>
      <c r="D1038" s="83" t="n"/>
      <c r="E1038" s="83" t="n"/>
      <c r="F1038" s="83" t="n"/>
      <c r="G1038" s="83" t="n"/>
      <c r="H1038" s="83" t="n"/>
      <c r="S1038">
        <f>IF(23&lt;='設定'!$B$6,"表示","隠す")</f>
        <v/>
      </c>
    </row>
    <row r="1039" hidden="1" ht="21" customHeight="1">
      <c r="A1039" s="82" t="n"/>
      <c r="B1039" s="46">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2" t="n"/>
      <c r="G1041" s="33" t="n"/>
      <c r="H1041" s="78" t="inlineStr">
        <is>
          <t>状況：</t>
        </is>
      </c>
      <c r="I1041" s="79">
        <f>'名簿'!Q42</f>
        <v/>
      </c>
      <c r="J1041" s="78" t="inlineStr">
        <is>
          <t>×の数：</t>
        </is>
      </c>
      <c r="K1041" s="80">
        <f>'名簿'!R42</f>
        <v/>
      </c>
      <c r="L1041" s="81">
        <f>HYPERLINK("#'×入力'!B1069","次の人へ ▼")</f>
        <v/>
      </c>
      <c r="S1041" t="inlineStr">
        <is>
          <t>表示</t>
        </is>
      </c>
    </row>
    <row r="1042" ht="22" customHeight="1">
      <c r="A1042" s="34" t="inlineStr">
        <is>
          <t>この日全部 ▶</t>
        </is>
      </c>
      <c r="C1042" s="82" t="n"/>
      <c r="D1042" s="82" t="n"/>
      <c r="E1042" s="82" t="n"/>
      <c r="F1042" s="82" t="n"/>
      <c r="G1042" s="82" t="n"/>
      <c r="H1042" s="82" t="n"/>
      <c r="S1042" t="inlineStr">
        <is>
          <t>表示</t>
        </is>
      </c>
    </row>
    <row r="1043" ht="28" customHeight="1">
      <c r="A1043" s="37" t="inlineStr">
        <is>
          <t>この時間
全部 ▼</t>
        </is>
      </c>
      <c r="B1043" s="38" t="inlineStr"/>
      <c r="C1043" s="39">
        <f>'設定'!$E$11</f>
        <v/>
      </c>
      <c r="D1043" s="39">
        <f>'設定'!$E$12</f>
        <v/>
      </c>
      <c r="E1043" s="39">
        <f>'設定'!$E$13</f>
        <v/>
      </c>
      <c r="F1043" s="39">
        <f>'設定'!$E$14</f>
        <v/>
      </c>
      <c r="G1043" s="39">
        <f>'設定'!$E$15</f>
        <v/>
      </c>
      <c r="H1043" s="39">
        <f>'設定'!$E$16</f>
        <v/>
      </c>
      <c r="S1043" t="inlineStr">
        <is>
          <t>表示</t>
        </is>
      </c>
    </row>
    <row r="1044" ht="21" customHeight="1">
      <c r="A1044" s="82" t="n"/>
      <c r="B1044" s="46">
        <f>'設定'!$I$11</f>
        <v/>
      </c>
      <c r="C1044" s="83" t="n"/>
      <c r="D1044" s="83" t="n"/>
      <c r="E1044" s="83" t="n"/>
      <c r="F1044" s="83" t="n"/>
      <c r="G1044" s="83" t="n"/>
      <c r="H1044" s="83" t="n"/>
      <c r="S1044">
        <f>IF(1&lt;='設定'!$B$6,"表示","隠す")</f>
        <v/>
      </c>
    </row>
    <row r="1045" ht="21" customHeight="1">
      <c r="A1045" s="82" t="n"/>
      <c r="B1045" s="46">
        <f>'設定'!$I$12</f>
        <v/>
      </c>
      <c r="C1045" s="83" t="n"/>
      <c r="D1045" s="83" t="n"/>
      <c r="E1045" s="83" t="n"/>
      <c r="F1045" s="83" t="n"/>
      <c r="G1045" s="83" t="n"/>
      <c r="H1045" s="83" t="n"/>
      <c r="S1045">
        <f>IF(2&lt;='設定'!$B$6,"表示","隠す")</f>
        <v/>
      </c>
    </row>
    <row r="1046" ht="21" customHeight="1">
      <c r="A1046" s="82" t="n"/>
      <c r="B1046" s="46">
        <f>'設定'!$I$13</f>
        <v/>
      </c>
      <c r="C1046" s="83" t="n"/>
      <c r="D1046" s="83" t="n"/>
      <c r="E1046" s="83" t="n"/>
      <c r="F1046" s="83" t="n"/>
      <c r="G1046" s="83" t="n"/>
      <c r="H1046" s="83" t="n"/>
      <c r="S1046">
        <f>IF(3&lt;='設定'!$B$6,"表示","隠す")</f>
        <v/>
      </c>
    </row>
    <row r="1047" ht="21" customHeight="1">
      <c r="A1047" s="82" t="n"/>
      <c r="B1047" s="46">
        <f>'設定'!$I$14</f>
        <v/>
      </c>
      <c r="C1047" s="83" t="n"/>
      <c r="D1047" s="83" t="n"/>
      <c r="E1047" s="83" t="n"/>
      <c r="F1047" s="83" t="n"/>
      <c r="G1047" s="83" t="n"/>
      <c r="H1047" s="83" t="n"/>
      <c r="S1047">
        <f>IF(4&lt;='設定'!$B$6,"表示","隠す")</f>
        <v/>
      </c>
    </row>
    <row r="1048" ht="21" customHeight="1">
      <c r="A1048" s="82" t="n"/>
      <c r="B1048" s="46">
        <f>'設定'!$I$15</f>
        <v/>
      </c>
      <c r="C1048" s="83" t="n"/>
      <c r="D1048" s="83" t="n"/>
      <c r="E1048" s="83" t="n"/>
      <c r="F1048" s="83" t="n"/>
      <c r="G1048" s="83" t="n"/>
      <c r="H1048" s="83" t="n"/>
      <c r="S1048">
        <f>IF(5&lt;='設定'!$B$6,"表示","隠す")</f>
        <v/>
      </c>
    </row>
    <row r="1049" ht="21" customHeight="1">
      <c r="A1049" s="82" t="n"/>
      <c r="B1049" s="46">
        <f>'設定'!$I$16</f>
        <v/>
      </c>
      <c r="C1049" s="83" t="n"/>
      <c r="D1049" s="83" t="n"/>
      <c r="E1049" s="83" t="n"/>
      <c r="F1049" s="83" t="n"/>
      <c r="G1049" s="83" t="n"/>
      <c r="H1049" s="83" t="n"/>
      <c r="S1049">
        <f>IF(6&lt;='設定'!$B$6,"表示","隠す")</f>
        <v/>
      </c>
    </row>
    <row r="1050" ht="21" customHeight="1">
      <c r="A1050" s="82" t="n"/>
      <c r="B1050" s="46">
        <f>'設定'!$I$17</f>
        <v/>
      </c>
      <c r="C1050" s="83" t="n"/>
      <c r="D1050" s="83" t="n"/>
      <c r="E1050" s="83" t="n"/>
      <c r="F1050" s="83" t="n"/>
      <c r="G1050" s="83" t="n"/>
      <c r="H1050" s="83" t="n"/>
      <c r="S1050">
        <f>IF(7&lt;='設定'!$B$6,"表示","隠す")</f>
        <v/>
      </c>
    </row>
    <row r="1051" ht="21" customHeight="1">
      <c r="A1051" s="82" t="n"/>
      <c r="B1051" s="46">
        <f>'設定'!$I$18</f>
        <v/>
      </c>
      <c r="C1051" s="83" t="n"/>
      <c r="D1051" s="83" t="n"/>
      <c r="E1051" s="83" t="n"/>
      <c r="F1051" s="83" t="n"/>
      <c r="G1051" s="83" t="n"/>
      <c r="H1051" s="83" t="n"/>
      <c r="S1051">
        <f>IF(8&lt;='設定'!$B$6,"表示","隠す")</f>
        <v/>
      </c>
    </row>
    <row r="1052" ht="21" customHeight="1">
      <c r="A1052" s="82" t="n"/>
      <c r="B1052" s="46">
        <f>'設定'!$I$19</f>
        <v/>
      </c>
      <c r="C1052" s="83" t="n"/>
      <c r="D1052" s="83" t="n"/>
      <c r="E1052" s="83" t="n"/>
      <c r="F1052" s="83" t="n"/>
      <c r="G1052" s="83" t="n"/>
      <c r="H1052" s="83" t="n"/>
      <c r="S1052">
        <f>IF(9&lt;='設定'!$B$6,"表示","隠す")</f>
        <v/>
      </c>
    </row>
    <row r="1053" hidden="1" ht="21" customHeight="1">
      <c r="A1053" s="82" t="n"/>
      <c r="B1053" s="46">
        <f>'設定'!$I$20</f>
        <v/>
      </c>
      <c r="C1053" s="83" t="n"/>
      <c r="D1053" s="83" t="n"/>
      <c r="E1053" s="83" t="n"/>
      <c r="F1053" s="83" t="n"/>
      <c r="G1053" s="83" t="n"/>
      <c r="H1053" s="83" t="n"/>
      <c r="S1053">
        <f>IF(10&lt;='設定'!$B$6,"表示","隠す")</f>
        <v/>
      </c>
    </row>
    <row r="1054" hidden="1" ht="21" customHeight="1">
      <c r="A1054" s="82" t="n"/>
      <c r="B1054" s="46">
        <f>'設定'!$I$21</f>
        <v/>
      </c>
      <c r="C1054" s="83" t="n"/>
      <c r="D1054" s="83" t="n"/>
      <c r="E1054" s="83" t="n"/>
      <c r="F1054" s="83" t="n"/>
      <c r="G1054" s="83" t="n"/>
      <c r="H1054" s="83" t="n"/>
      <c r="S1054">
        <f>IF(11&lt;='設定'!$B$6,"表示","隠す")</f>
        <v/>
      </c>
    </row>
    <row r="1055" hidden="1" ht="21" customHeight="1">
      <c r="A1055" s="82" t="n"/>
      <c r="B1055" s="46">
        <f>'設定'!$I$22</f>
        <v/>
      </c>
      <c r="C1055" s="83" t="n"/>
      <c r="D1055" s="83" t="n"/>
      <c r="E1055" s="83" t="n"/>
      <c r="F1055" s="83" t="n"/>
      <c r="G1055" s="83" t="n"/>
      <c r="H1055" s="83" t="n"/>
      <c r="S1055">
        <f>IF(12&lt;='設定'!$B$6,"表示","隠す")</f>
        <v/>
      </c>
    </row>
    <row r="1056" hidden="1" ht="21" customHeight="1">
      <c r="A1056" s="82" t="n"/>
      <c r="B1056" s="46">
        <f>'設定'!$I$23</f>
        <v/>
      </c>
      <c r="C1056" s="83" t="n"/>
      <c r="D1056" s="83" t="n"/>
      <c r="E1056" s="83" t="n"/>
      <c r="F1056" s="83" t="n"/>
      <c r="G1056" s="83" t="n"/>
      <c r="H1056" s="83" t="n"/>
      <c r="S1056">
        <f>IF(13&lt;='設定'!$B$6,"表示","隠す")</f>
        <v/>
      </c>
    </row>
    <row r="1057" hidden="1" ht="21" customHeight="1">
      <c r="A1057" s="82" t="n"/>
      <c r="B1057" s="46">
        <f>'設定'!$I$24</f>
        <v/>
      </c>
      <c r="C1057" s="83" t="n"/>
      <c r="D1057" s="83" t="n"/>
      <c r="E1057" s="83" t="n"/>
      <c r="F1057" s="83" t="n"/>
      <c r="G1057" s="83" t="n"/>
      <c r="H1057" s="83" t="n"/>
      <c r="S1057">
        <f>IF(14&lt;='設定'!$B$6,"表示","隠す")</f>
        <v/>
      </c>
    </row>
    <row r="1058" hidden="1" ht="21" customHeight="1">
      <c r="A1058" s="82" t="n"/>
      <c r="B1058" s="46">
        <f>'設定'!$I$25</f>
        <v/>
      </c>
      <c r="C1058" s="83" t="n"/>
      <c r="D1058" s="83" t="n"/>
      <c r="E1058" s="83" t="n"/>
      <c r="F1058" s="83" t="n"/>
      <c r="G1058" s="83" t="n"/>
      <c r="H1058" s="83" t="n"/>
      <c r="S1058">
        <f>IF(15&lt;='設定'!$B$6,"表示","隠す")</f>
        <v/>
      </c>
    </row>
    <row r="1059" hidden="1" ht="21" customHeight="1">
      <c r="A1059" s="82" t="n"/>
      <c r="B1059" s="46">
        <f>'設定'!$I$26</f>
        <v/>
      </c>
      <c r="C1059" s="83" t="n"/>
      <c r="D1059" s="83" t="n"/>
      <c r="E1059" s="83" t="n"/>
      <c r="F1059" s="83" t="n"/>
      <c r="G1059" s="83" t="n"/>
      <c r="H1059" s="83" t="n"/>
      <c r="S1059">
        <f>IF(16&lt;='設定'!$B$6,"表示","隠す")</f>
        <v/>
      </c>
    </row>
    <row r="1060" hidden="1" ht="21" customHeight="1">
      <c r="A1060" s="82" t="n"/>
      <c r="B1060" s="46">
        <f>'設定'!$I$27</f>
        <v/>
      </c>
      <c r="C1060" s="83" t="n"/>
      <c r="D1060" s="83" t="n"/>
      <c r="E1060" s="83" t="n"/>
      <c r="F1060" s="83" t="n"/>
      <c r="G1060" s="83" t="n"/>
      <c r="H1060" s="83" t="n"/>
      <c r="S1060">
        <f>IF(17&lt;='設定'!$B$6,"表示","隠す")</f>
        <v/>
      </c>
    </row>
    <row r="1061" hidden="1" ht="21" customHeight="1">
      <c r="A1061" s="82" t="n"/>
      <c r="B1061" s="46">
        <f>'設定'!$I$28</f>
        <v/>
      </c>
      <c r="C1061" s="83" t="n"/>
      <c r="D1061" s="83" t="n"/>
      <c r="E1061" s="83" t="n"/>
      <c r="F1061" s="83" t="n"/>
      <c r="G1061" s="83" t="n"/>
      <c r="H1061" s="83" t="n"/>
      <c r="S1061">
        <f>IF(18&lt;='設定'!$B$6,"表示","隠す")</f>
        <v/>
      </c>
    </row>
    <row r="1062" hidden="1" ht="21" customHeight="1">
      <c r="A1062" s="82" t="n"/>
      <c r="B1062" s="46">
        <f>'設定'!$I$29</f>
        <v/>
      </c>
      <c r="C1062" s="83" t="n"/>
      <c r="D1062" s="83" t="n"/>
      <c r="E1062" s="83" t="n"/>
      <c r="F1062" s="83" t="n"/>
      <c r="G1062" s="83" t="n"/>
      <c r="H1062" s="83" t="n"/>
      <c r="S1062">
        <f>IF(19&lt;='設定'!$B$6,"表示","隠す")</f>
        <v/>
      </c>
    </row>
    <row r="1063" hidden="1" ht="21" customHeight="1">
      <c r="A1063" s="82" t="n"/>
      <c r="B1063" s="46">
        <f>'設定'!$I$30</f>
        <v/>
      </c>
      <c r="C1063" s="83" t="n"/>
      <c r="D1063" s="83" t="n"/>
      <c r="E1063" s="83" t="n"/>
      <c r="F1063" s="83" t="n"/>
      <c r="G1063" s="83" t="n"/>
      <c r="H1063" s="83" t="n"/>
      <c r="S1063">
        <f>IF(20&lt;='設定'!$B$6,"表示","隠す")</f>
        <v/>
      </c>
    </row>
    <row r="1064" hidden="1" ht="21" customHeight="1">
      <c r="A1064" s="82" t="n"/>
      <c r="B1064" s="46">
        <f>'設定'!$I$31</f>
        <v/>
      </c>
      <c r="C1064" s="83" t="n"/>
      <c r="D1064" s="83" t="n"/>
      <c r="E1064" s="83" t="n"/>
      <c r="F1064" s="83" t="n"/>
      <c r="G1064" s="83" t="n"/>
      <c r="H1064" s="83" t="n"/>
      <c r="S1064">
        <f>IF(21&lt;='設定'!$B$6,"表示","隠す")</f>
        <v/>
      </c>
    </row>
    <row r="1065" hidden="1" ht="21" customHeight="1">
      <c r="A1065" s="82" t="n"/>
      <c r="B1065" s="46">
        <f>'設定'!$I$32</f>
        <v/>
      </c>
      <c r="C1065" s="83" t="n"/>
      <c r="D1065" s="83" t="n"/>
      <c r="E1065" s="83" t="n"/>
      <c r="F1065" s="83" t="n"/>
      <c r="G1065" s="83" t="n"/>
      <c r="H1065" s="83" t="n"/>
      <c r="S1065">
        <f>IF(22&lt;='設定'!$B$6,"表示","隠す")</f>
        <v/>
      </c>
    </row>
    <row r="1066" hidden="1" ht="21" customHeight="1">
      <c r="A1066" s="82" t="n"/>
      <c r="B1066" s="46">
        <f>'設定'!$I$33</f>
        <v/>
      </c>
      <c r="C1066" s="83" t="n"/>
      <c r="D1066" s="83" t="n"/>
      <c r="E1066" s="83" t="n"/>
      <c r="F1066" s="83" t="n"/>
      <c r="G1066" s="83" t="n"/>
      <c r="H1066" s="83" t="n"/>
      <c r="S1066">
        <f>IF(23&lt;='設定'!$B$6,"表示","隠す")</f>
        <v/>
      </c>
    </row>
    <row r="1067" hidden="1" ht="21" customHeight="1">
      <c r="A1067" s="82" t="n"/>
      <c r="B1067" s="46">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2" t="n"/>
      <c r="G1069" s="33" t="n"/>
      <c r="H1069" s="78" t="inlineStr">
        <is>
          <t>状況：</t>
        </is>
      </c>
      <c r="I1069" s="79">
        <f>'名簿'!Q43</f>
        <v/>
      </c>
      <c r="J1069" s="78" t="inlineStr">
        <is>
          <t>×の数：</t>
        </is>
      </c>
      <c r="K1069" s="80">
        <f>'名簿'!R43</f>
        <v/>
      </c>
      <c r="L1069" s="81">
        <f>HYPERLINK("#'×入力'!B1097","次の人へ ▼")</f>
        <v/>
      </c>
      <c r="S1069" t="inlineStr">
        <is>
          <t>表示</t>
        </is>
      </c>
    </row>
    <row r="1070" ht="22" customHeight="1">
      <c r="A1070" s="34" t="inlineStr">
        <is>
          <t>この日全部 ▶</t>
        </is>
      </c>
      <c r="C1070" s="82" t="n"/>
      <c r="D1070" s="82" t="n"/>
      <c r="E1070" s="82" t="n"/>
      <c r="F1070" s="82" t="n"/>
      <c r="G1070" s="82" t="n"/>
      <c r="H1070" s="82" t="n"/>
      <c r="S1070" t="inlineStr">
        <is>
          <t>表示</t>
        </is>
      </c>
    </row>
    <row r="1071" ht="28" customHeight="1">
      <c r="A1071" s="37" t="inlineStr">
        <is>
          <t>この時間
全部 ▼</t>
        </is>
      </c>
      <c r="B1071" s="38" t="inlineStr"/>
      <c r="C1071" s="39">
        <f>'設定'!$E$11</f>
        <v/>
      </c>
      <c r="D1071" s="39">
        <f>'設定'!$E$12</f>
        <v/>
      </c>
      <c r="E1071" s="39">
        <f>'設定'!$E$13</f>
        <v/>
      </c>
      <c r="F1071" s="39">
        <f>'設定'!$E$14</f>
        <v/>
      </c>
      <c r="G1071" s="39">
        <f>'設定'!$E$15</f>
        <v/>
      </c>
      <c r="H1071" s="39">
        <f>'設定'!$E$16</f>
        <v/>
      </c>
      <c r="S1071" t="inlineStr">
        <is>
          <t>表示</t>
        </is>
      </c>
    </row>
    <row r="1072" ht="21" customHeight="1">
      <c r="A1072" s="82" t="n"/>
      <c r="B1072" s="46">
        <f>'設定'!$I$11</f>
        <v/>
      </c>
      <c r="C1072" s="83" t="n"/>
      <c r="D1072" s="83" t="n"/>
      <c r="E1072" s="83" t="n"/>
      <c r="F1072" s="83" t="n"/>
      <c r="G1072" s="83" t="n"/>
      <c r="H1072" s="83" t="n"/>
      <c r="S1072">
        <f>IF(1&lt;='設定'!$B$6,"表示","隠す")</f>
        <v/>
      </c>
    </row>
    <row r="1073" ht="21" customHeight="1">
      <c r="A1073" s="82" t="n"/>
      <c r="B1073" s="46">
        <f>'設定'!$I$12</f>
        <v/>
      </c>
      <c r="C1073" s="83" t="n"/>
      <c r="D1073" s="83" t="n"/>
      <c r="E1073" s="83" t="n"/>
      <c r="F1073" s="83" t="n"/>
      <c r="G1073" s="83" t="n"/>
      <c r="H1073" s="83" t="n"/>
      <c r="S1073">
        <f>IF(2&lt;='設定'!$B$6,"表示","隠す")</f>
        <v/>
      </c>
    </row>
    <row r="1074" ht="21" customHeight="1">
      <c r="A1074" s="82" t="n"/>
      <c r="B1074" s="46">
        <f>'設定'!$I$13</f>
        <v/>
      </c>
      <c r="C1074" s="83" t="n"/>
      <c r="D1074" s="83" t="n"/>
      <c r="E1074" s="83" t="n"/>
      <c r="F1074" s="83" t="n"/>
      <c r="G1074" s="83" t="n"/>
      <c r="H1074" s="83" t="n"/>
      <c r="S1074">
        <f>IF(3&lt;='設定'!$B$6,"表示","隠す")</f>
        <v/>
      </c>
    </row>
    <row r="1075" ht="21" customHeight="1">
      <c r="A1075" s="82" t="n"/>
      <c r="B1075" s="46">
        <f>'設定'!$I$14</f>
        <v/>
      </c>
      <c r="C1075" s="83" t="n"/>
      <c r="D1075" s="83" t="n"/>
      <c r="E1075" s="83" t="n"/>
      <c r="F1075" s="83" t="n"/>
      <c r="G1075" s="83" t="n"/>
      <c r="H1075" s="83" t="n"/>
      <c r="S1075">
        <f>IF(4&lt;='設定'!$B$6,"表示","隠す")</f>
        <v/>
      </c>
    </row>
    <row r="1076" ht="21" customHeight="1">
      <c r="A1076" s="82" t="n"/>
      <c r="B1076" s="46">
        <f>'設定'!$I$15</f>
        <v/>
      </c>
      <c r="C1076" s="83" t="n"/>
      <c r="D1076" s="83" t="n"/>
      <c r="E1076" s="83" t="n"/>
      <c r="F1076" s="83" t="n"/>
      <c r="G1076" s="83" t="n"/>
      <c r="H1076" s="83" t="n"/>
      <c r="S1076">
        <f>IF(5&lt;='設定'!$B$6,"表示","隠す")</f>
        <v/>
      </c>
    </row>
    <row r="1077" ht="21" customHeight="1">
      <c r="A1077" s="82" t="n"/>
      <c r="B1077" s="46">
        <f>'設定'!$I$16</f>
        <v/>
      </c>
      <c r="C1077" s="83" t="n"/>
      <c r="D1077" s="83" t="n"/>
      <c r="E1077" s="83" t="n"/>
      <c r="F1077" s="83" t="n"/>
      <c r="G1077" s="83" t="n"/>
      <c r="H1077" s="83" t="n"/>
      <c r="S1077">
        <f>IF(6&lt;='設定'!$B$6,"表示","隠す")</f>
        <v/>
      </c>
    </row>
    <row r="1078" ht="21" customHeight="1">
      <c r="A1078" s="82" t="n"/>
      <c r="B1078" s="46">
        <f>'設定'!$I$17</f>
        <v/>
      </c>
      <c r="C1078" s="83" t="n"/>
      <c r="D1078" s="83" t="n"/>
      <c r="E1078" s="83" t="n"/>
      <c r="F1078" s="83" t="n"/>
      <c r="G1078" s="83" t="n"/>
      <c r="H1078" s="83" t="n"/>
      <c r="S1078">
        <f>IF(7&lt;='設定'!$B$6,"表示","隠す")</f>
        <v/>
      </c>
    </row>
    <row r="1079" ht="21" customHeight="1">
      <c r="A1079" s="82" t="n"/>
      <c r="B1079" s="46">
        <f>'設定'!$I$18</f>
        <v/>
      </c>
      <c r="C1079" s="83" t="n"/>
      <c r="D1079" s="83" t="n"/>
      <c r="E1079" s="83" t="n"/>
      <c r="F1079" s="83" t="n"/>
      <c r="G1079" s="83" t="n"/>
      <c r="H1079" s="83" t="n"/>
      <c r="S1079">
        <f>IF(8&lt;='設定'!$B$6,"表示","隠す")</f>
        <v/>
      </c>
    </row>
    <row r="1080" ht="21" customHeight="1">
      <c r="A1080" s="82" t="n"/>
      <c r="B1080" s="46">
        <f>'設定'!$I$19</f>
        <v/>
      </c>
      <c r="C1080" s="83" t="n"/>
      <c r="D1080" s="83" t="n"/>
      <c r="E1080" s="83" t="n"/>
      <c r="F1080" s="83" t="n"/>
      <c r="G1080" s="83" t="n"/>
      <c r="H1080" s="83" t="n"/>
      <c r="S1080">
        <f>IF(9&lt;='設定'!$B$6,"表示","隠す")</f>
        <v/>
      </c>
    </row>
    <row r="1081" hidden="1" ht="21" customHeight="1">
      <c r="A1081" s="82" t="n"/>
      <c r="B1081" s="46">
        <f>'設定'!$I$20</f>
        <v/>
      </c>
      <c r="C1081" s="83" t="n"/>
      <c r="D1081" s="83" t="n"/>
      <c r="E1081" s="83" t="n"/>
      <c r="F1081" s="83" t="n"/>
      <c r="G1081" s="83" t="n"/>
      <c r="H1081" s="83" t="n"/>
      <c r="S1081">
        <f>IF(10&lt;='設定'!$B$6,"表示","隠す")</f>
        <v/>
      </c>
    </row>
    <row r="1082" hidden="1" ht="21" customHeight="1">
      <c r="A1082" s="82" t="n"/>
      <c r="B1082" s="46">
        <f>'設定'!$I$21</f>
        <v/>
      </c>
      <c r="C1082" s="83" t="n"/>
      <c r="D1082" s="83" t="n"/>
      <c r="E1082" s="83" t="n"/>
      <c r="F1082" s="83" t="n"/>
      <c r="G1082" s="83" t="n"/>
      <c r="H1082" s="83" t="n"/>
      <c r="S1082">
        <f>IF(11&lt;='設定'!$B$6,"表示","隠す")</f>
        <v/>
      </c>
    </row>
    <row r="1083" hidden="1" ht="21" customHeight="1">
      <c r="A1083" s="82" t="n"/>
      <c r="B1083" s="46">
        <f>'設定'!$I$22</f>
        <v/>
      </c>
      <c r="C1083" s="83" t="n"/>
      <c r="D1083" s="83" t="n"/>
      <c r="E1083" s="83" t="n"/>
      <c r="F1083" s="83" t="n"/>
      <c r="G1083" s="83" t="n"/>
      <c r="H1083" s="83" t="n"/>
      <c r="S1083">
        <f>IF(12&lt;='設定'!$B$6,"表示","隠す")</f>
        <v/>
      </c>
    </row>
    <row r="1084" hidden="1" ht="21" customHeight="1">
      <c r="A1084" s="82" t="n"/>
      <c r="B1084" s="46">
        <f>'設定'!$I$23</f>
        <v/>
      </c>
      <c r="C1084" s="83" t="n"/>
      <c r="D1084" s="83" t="n"/>
      <c r="E1084" s="83" t="n"/>
      <c r="F1084" s="83" t="n"/>
      <c r="G1084" s="83" t="n"/>
      <c r="H1084" s="83" t="n"/>
      <c r="S1084">
        <f>IF(13&lt;='設定'!$B$6,"表示","隠す")</f>
        <v/>
      </c>
    </row>
    <row r="1085" hidden="1" ht="21" customHeight="1">
      <c r="A1085" s="82" t="n"/>
      <c r="B1085" s="46">
        <f>'設定'!$I$24</f>
        <v/>
      </c>
      <c r="C1085" s="83" t="n"/>
      <c r="D1085" s="83" t="n"/>
      <c r="E1085" s="83" t="n"/>
      <c r="F1085" s="83" t="n"/>
      <c r="G1085" s="83" t="n"/>
      <c r="H1085" s="83" t="n"/>
      <c r="S1085">
        <f>IF(14&lt;='設定'!$B$6,"表示","隠す")</f>
        <v/>
      </c>
    </row>
    <row r="1086" hidden="1" ht="21" customHeight="1">
      <c r="A1086" s="82" t="n"/>
      <c r="B1086" s="46">
        <f>'設定'!$I$25</f>
        <v/>
      </c>
      <c r="C1086" s="83" t="n"/>
      <c r="D1086" s="83" t="n"/>
      <c r="E1086" s="83" t="n"/>
      <c r="F1086" s="83" t="n"/>
      <c r="G1086" s="83" t="n"/>
      <c r="H1086" s="83" t="n"/>
      <c r="S1086">
        <f>IF(15&lt;='設定'!$B$6,"表示","隠す")</f>
        <v/>
      </c>
    </row>
    <row r="1087" hidden="1" ht="21" customHeight="1">
      <c r="A1087" s="82" t="n"/>
      <c r="B1087" s="46">
        <f>'設定'!$I$26</f>
        <v/>
      </c>
      <c r="C1087" s="83" t="n"/>
      <c r="D1087" s="83" t="n"/>
      <c r="E1087" s="83" t="n"/>
      <c r="F1087" s="83" t="n"/>
      <c r="G1087" s="83" t="n"/>
      <c r="H1087" s="83" t="n"/>
      <c r="S1087">
        <f>IF(16&lt;='設定'!$B$6,"表示","隠す")</f>
        <v/>
      </c>
    </row>
    <row r="1088" hidden="1" ht="21" customHeight="1">
      <c r="A1088" s="82" t="n"/>
      <c r="B1088" s="46">
        <f>'設定'!$I$27</f>
        <v/>
      </c>
      <c r="C1088" s="83" t="n"/>
      <c r="D1088" s="83" t="n"/>
      <c r="E1088" s="83" t="n"/>
      <c r="F1088" s="83" t="n"/>
      <c r="G1088" s="83" t="n"/>
      <c r="H1088" s="83" t="n"/>
      <c r="S1088">
        <f>IF(17&lt;='設定'!$B$6,"表示","隠す")</f>
        <v/>
      </c>
    </row>
    <row r="1089" hidden="1" ht="21" customHeight="1">
      <c r="A1089" s="82" t="n"/>
      <c r="B1089" s="46">
        <f>'設定'!$I$28</f>
        <v/>
      </c>
      <c r="C1089" s="83" t="n"/>
      <c r="D1089" s="83" t="n"/>
      <c r="E1089" s="83" t="n"/>
      <c r="F1089" s="83" t="n"/>
      <c r="G1089" s="83" t="n"/>
      <c r="H1089" s="83" t="n"/>
      <c r="S1089">
        <f>IF(18&lt;='設定'!$B$6,"表示","隠す")</f>
        <v/>
      </c>
    </row>
    <row r="1090" hidden="1" ht="21" customHeight="1">
      <c r="A1090" s="82" t="n"/>
      <c r="B1090" s="46">
        <f>'設定'!$I$29</f>
        <v/>
      </c>
      <c r="C1090" s="83" t="n"/>
      <c r="D1090" s="83" t="n"/>
      <c r="E1090" s="83" t="n"/>
      <c r="F1090" s="83" t="n"/>
      <c r="G1090" s="83" t="n"/>
      <c r="H1090" s="83" t="n"/>
      <c r="S1090">
        <f>IF(19&lt;='設定'!$B$6,"表示","隠す")</f>
        <v/>
      </c>
    </row>
    <row r="1091" hidden="1" ht="21" customHeight="1">
      <c r="A1091" s="82" t="n"/>
      <c r="B1091" s="46">
        <f>'設定'!$I$30</f>
        <v/>
      </c>
      <c r="C1091" s="83" t="n"/>
      <c r="D1091" s="83" t="n"/>
      <c r="E1091" s="83" t="n"/>
      <c r="F1091" s="83" t="n"/>
      <c r="G1091" s="83" t="n"/>
      <c r="H1091" s="83" t="n"/>
      <c r="S1091">
        <f>IF(20&lt;='設定'!$B$6,"表示","隠す")</f>
        <v/>
      </c>
    </row>
    <row r="1092" hidden="1" ht="21" customHeight="1">
      <c r="A1092" s="82" t="n"/>
      <c r="B1092" s="46">
        <f>'設定'!$I$31</f>
        <v/>
      </c>
      <c r="C1092" s="83" t="n"/>
      <c r="D1092" s="83" t="n"/>
      <c r="E1092" s="83" t="n"/>
      <c r="F1092" s="83" t="n"/>
      <c r="G1092" s="83" t="n"/>
      <c r="H1092" s="83" t="n"/>
      <c r="S1092">
        <f>IF(21&lt;='設定'!$B$6,"表示","隠す")</f>
        <v/>
      </c>
    </row>
    <row r="1093" hidden="1" ht="21" customHeight="1">
      <c r="A1093" s="82" t="n"/>
      <c r="B1093" s="46">
        <f>'設定'!$I$32</f>
        <v/>
      </c>
      <c r="C1093" s="83" t="n"/>
      <c r="D1093" s="83" t="n"/>
      <c r="E1093" s="83" t="n"/>
      <c r="F1093" s="83" t="n"/>
      <c r="G1093" s="83" t="n"/>
      <c r="H1093" s="83" t="n"/>
      <c r="S1093">
        <f>IF(22&lt;='設定'!$B$6,"表示","隠す")</f>
        <v/>
      </c>
    </row>
    <row r="1094" hidden="1" ht="21" customHeight="1">
      <c r="A1094" s="82" t="n"/>
      <c r="B1094" s="46">
        <f>'設定'!$I$33</f>
        <v/>
      </c>
      <c r="C1094" s="83" t="n"/>
      <c r="D1094" s="83" t="n"/>
      <c r="E1094" s="83" t="n"/>
      <c r="F1094" s="83" t="n"/>
      <c r="G1094" s="83" t="n"/>
      <c r="H1094" s="83" t="n"/>
      <c r="S1094">
        <f>IF(23&lt;='設定'!$B$6,"表示","隠す")</f>
        <v/>
      </c>
    </row>
    <row r="1095" hidden="1" ht="21" customHeight="1">
      <c r="A1095" s="82" t="n"/>
      <c r="B1095" s="46">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2" t="n"/>
      <c r="G1097" s="33" t="n"/>
      <c r="H1097" s="78" t="inlineStr">
        <is>
          <t>状況：</t>
        </is>
      </c>
      <c r="I1097" s="79">
        <f>'名簿'!Q44</f>
        <v/>
      </c>
      <c r="J1097" s="78" t="inlineStr">
        <is>
          <t>×の数：</t>
        </is>
      </c>
      <c r="K1097" s="80">
        <f>'名簿'!R44</f>
        <v/>
      </c>
      <c r="L1097" s="5" t="n"/>
      <c r="S1097" t="inlineStr">
        <is>
          <t>表示</t>
        </is>
      </c>
    </row>
    <row r="1098" ht="22" customHeight="1">
      <c r="A1098" s="34" t="inlineStr">
        <is>
          <t>この日全部 ▶</t>
        </is>
      </c>
      <c r="C1098" s="82" t="n"/>
      <c r="D1098" s="82" t="n"/>
      <c r="E1098" s="82" t="n"/>
      <c r="F1098" s="82" t="n"/>
      <c r="G1098" s="82" t="n"/>
      <c r="H1098" s="82" t="n"/>
      <c r="S1098" t="inlineStr">
        <is>
          <t>表示</t>
        </is>
      </c>
    </row>
    <row r="1099" ht="28" customHeight="1">
      <c r="A1099" s="37" t="inlineStr">
        <is>
          <t>この時間
全部 ▼</t>
        </is>
      </c>
      <c r="B1099" s="38" t="inlineStr"/>
      <c r="C1099" s="39">
        <f>'設定'!$E$11</f>
        <v/>
      </c>
      <c r="D1099" s="39">
        <f>'設定'!$E$12</f>
        <v/>
      </c>
      <c r="E1099" s="39">
        <f>'設定'!$E$13</f>
        <v/>
      </c>
      <c r="F1099" s="39">
        <f>'設定'!$E$14</f>
        <v/>
      </c>
      <c r="G1099" s="39">
        <f>'設定'!$E$15</f>
        <v/>
      </c>
      <c r="H1099" s="39">
        <f>'設定'!$E$16</f>
        <v/>
      </c>
      <c r="S1099" t="inlineStr">
        <is>
          <t>表示</t>
        </is>
      </c>
    </row>
    <row r="1100" ht="21" customHeight="1">
      <c r="A1100" s="82" t="n"/>
      <c r="B1100" s="46">
        <f>'設定'!$I$11</f>
        <v/>
      </c>
      <c r="C1100" s="83" t="n"/>
      <c r="D1100" s="83" t="n"/>
      <c r="E1100" s="83" t="n"/>
      <c r="F1100" s="83" t="n"/>
      <c r="G1100" s="83" t="n"/>
      <c r="H1100" s="83" t="n"/>
      <c r="S1100">
        <f>IF(1&lt;='設定'!$B$6,"表示","隠す")</f>
        <v/>
      </c>
    </row>
    <row r="1101" ht="21" customHeight="1">
      <c r="A1101" s="82" t="n"/>
      <c r="B1101" s="46">
        <f>'設定'!$I$12</f>
        <v/>
      </c>
      <c r="C1101" s="83" t="n"/>
      <c r="D1101" s="83" t="n"/>
      <c r="E1101" s="83" t="n"/>
      <c r="F1101" s="83" t="n"/>
      <c r="G1101" s="83" t="n"/>
      <c r="H1101" s="83" t="n"/>
      <c r="S1101">
        <f>IF(2&lt;='設定'!$B$6,"表示","隠す")</f>
        <v/>
      </c>
    </row>
    <row r="1102" ht="21" customHeight="1">
      <c r="A1102" s="82" t="n"/>
      <c r="B1102" s="46">
        <f>'設定'!$I$13</f>
        <v/>
      </c>
      <c r="C1102" s="83" t="n"/>
      <c r="D1102" s="83" t="n"/>
      <c r="E1102" s="83" t="n"/>
      <c r="F1102" s="83" t="n"/>
      <c r="G1102" s="83" t="n"/>
      <c r="H1102" s="83" t="n"/>
      <c r="S1102">
        <f>IF(3&lt;='設定'!$B$6,"表示","隠す")</f>
        <v/>
      </c>
    </row>
    <row r="1103" ht="21" customHeight="1">
      <c r="A1103" s="82" t="n"/>
      <c r="B1103" s="46">
        <f>'設定'!$I$14</f>
        <v/>
      </c>
      <c r="C1103" s="83" t="n"/>
      <c r="D1103" s="83" t="n"/>
      <c r="E1103" s="83" t="n"/>
      <c r="F1103" s="83" t="n"/>
      <c r="G1103" s="83" t="n"/>
      <c r="H1103" s="83" t="n"/>
      <c r="S1103">
        <f>IF(4&lt;='設定'!$B$6,"表示","隠す")</f>
        <v/>
      </c>
    </row>
    <row r="1104" ht="21" customHeight="1">
      <c r="A1104" s="82" t="n"/>
      <c r="B1104" s="46">
        <f>'設定'!$I$15</f>
        <v/>
      </c>
      <c r="C1104" s="83" t="n"/>
      <c r="D1104" s="83" t="n"/>
      <c r="E1104" s="83" t="n"/>
      <c r="F1104" s="83" t="n"/>
      <c r="G1104" s="83" t="n"/>
      <c r="H1104" s="83" t="n"/>
      <c r="S1104">
        <f>IF(5&lt;='設定'!$B$6,"表示","隠す")</f>
        <v/>
      </c>
    </row>
    <row r="1105" ht="21" customHeight="1">
      <c r="A1105" s="82" t="n"/>
      <c r="B1105" s="46">
        <f>'設定'!$I$16</f>
        <v/>
      </c>
      <c r="C1105" s="83" t="n"/>
      <c r="D1105" s="83" t="n"/>
      <c r="E1105" s="83" t="n"/>
      <c r="F1105" s="83" t="n"/>
      <c r="G1105" s="83" t="n"/>
      <c r="H1105" s="83" t="n"/>
      <c r="S1105">
        <f>IF(6&lt;='設定'!$B$6,"表示","隠す")</f>
        <v/>
      </c>
    </row>
    <row r="1106" ht="21" customHeight="1">
      <c r="A1106" s="82" t="n"/>
      <c r="B1106" s="46">
        <f>'設定'!$I$17</f>
        <v/>
      </c>
      <c r="C1106" s="83" t="n"/>
      <c r="D1106" s="83" t="n"/>
      <c r="E1106" s="83" t="n"/>
      <c r="F1106" s="83" t="n"/>
      <c r="G1106" s="83" t="n"/>
      <c r="H1106" s="83" t="n"/>
      <c r="S1106">
        <f>IF(7&lt;='設定'!$B$6,"表示","隠す")</f>
        <v/>
      </c>
    </row>
    <row r="1107" ht="21" customHeight="1">
      <c r="A1107" s="82" t="n"/>
      <c r="B1107" s="46">
        <f>'設定'!$I$18</f>
        <v/>
      </c>
      <c r="C1107" s="83" t="n"/>
      <c r="D1107" s="83" t="n"/>
      <c r="E1107" s="83" t="n"/>
      <c r="F1107" s="83" t="n"/>
      <c r="G1107" s="83" t="n"/>
      <c r="H1107" s="83" t="n"/>
      <c r="S1107">
        <f>IF(8&lt;='設定'!$B$6,"表示","隠す")</f>
        <v/>
      </c>
    </row>
    <row r="1108" ht="21" customHeight="1">
      <c r="A1108" s="82" t="n"/>
      <c r="B1108" s="46">
        <f>'設定'!$I$19</f>
        <v/>
      </c>
      <c r="C1108" s="83" t="n"/>
      <c r="D1108" s="83" t="n"/>
      <c r="E1108" s="83" t="n"/>
      <c r="F1108" s="83" t="n"/>
      <c r="G1108" s="83" t="n"/>
      <c r="H1108" s="83" t="n"/>
      <c r="S1108">
        <f>IF(9&lt;='設定'!$B$6,"表示","隠す")</f>
        <v/>
      </c>
    </row>
    <row r="1109" hidden="1" ht="21" customHeight="1">
      <c r="A1109" s="82" t="n"/>
      <c r="B1109" s="46">
        <f>'設定'!$I$20</f>
        <v/>
      </c>
      <c r="C1109" s="83" t="n"/>
      <c r="D1109" s="83" t="n"/>
      <c r="E1109" s="83" t="n"/>
      <c r="F1109" s="83" t="n"/>
      <c r="G1109" s="83" t="n"/>
      <c r="H1109" s="83" t="n"/>
      <c r="S1109">
        <f>IF(10&lt;='設定'!$B$6,"表示","隠す")</f>
        <v/>
      </c>
    </row>
    <row r="1110" hidden="1" ht="21" customHeight="1">
      <c r="A1110" s="82" t="n"/>
      <c r="B1110" s="46">
        <f>'設定'!$I$21</f>
        <v/>
      </c>
      <c r="C1110" s="83" t="n"/>
      <c r="D1110" s="83" t="n"/>
      <c r="E1110" s="83" t="n"/>
      <c r="F1110" s="83" t="n"/>
      <c r="G1110" s="83" t="n"/>
      <c r="H1110" s="83" t="n"/>
      <c r="S1110">
        <f>IF(11&lt;='設定'!$B$6,"表示","隠す")</f>
        <v/>
      </c>
    </row>
    <row r="1111" hidden="1" ht="21" customHeight="1">
      <c r="A1111" s="82" t="n"/>
      <c r="B1111" s="46">
        <f>'設定'!$I$22</f>
        <v/>
      </c>
      <c r="C1111" s="83" t="n"/>
      <c r="D1111" s="83" t="n"/>
      <c r="E1111" s="83" t="n"/>
      <c r="F1111" s="83" t="n"/>
      <c r="G1111" s="83" t="n"/>
      <c r="H1111" s="83" t="n"/>
      <c r="S1111">
        <f>IF(12&lt;='設定'!$B$6,"表示","隠す")</f>
        <v/>
      </c>
    </row>
    <row r="1112" hidden="1" ht="21" customHeight="1">
      <c r="A1112" s="82" t="n"/>
      <c r="B1112" s="46">
        <f>'設定'!$I$23</f>
        <v/>
      </c>
      <c r="C1112" s="83" t="n"/>
      <c r="D1112" s="83" t="n"/>
      <c r="E1112" s="83" t="n"/>
      <c r="F1112" s="83" t="n"/>
      <c r="G1112" s="83" t="n"/>
      <c r="H1112" s="83" t="n"/>
      <c r="S1112">
        <f>IF(13&lt;='設定'!$B$6,"表示","隠す")</f>
        <v/>
      </c>
    </row>
    <row r="1113" hidden="1" ht="21" customHeight="1">
      <c r="A1113" s="82" t="n"/>
      <c r="B1113" s="46">
        <f>'設定'!$I$24</f>
        <v/>
      </c>
      <c r="C1113" s="83" t="n"/>
      <c r="D1113" s="83" t="n"/>
      <c r="E1113" s="83" t="n"/>
      <c r="F1113" s="83" t="n"/>
      <c r="G1113" s="83" t="n"/>
      <c r="H1113" s="83" t="n"/>
      <c r="S1113">
        <f>IF(14&lt;='設定'!$B$6,"表示","隠す")</f>
        <v/>
      </c>
    </row>
    <row r="1114" hidden="1" ht="21" customHeight="1">
      <c r="A1114" s="82" t="n"/>
      <c r="B1114" s="46">
        <f>'設定'!$I$25</f>
        <v/>
      </c>
      <c r="C1114" s="83" t="n"/>
      <c r="D1114" s="83" t="n"/>
      <c r="E1114" s="83" t="n"/>
      <c r="F1114" s="83" t="n"/>
      <c r="G1114" s="83" t="n"/>
      <c r="H1114" s="83" t="n"/>
      <c r="S1114">
        <f>IF(15&lt;='設定'!$B$6,"表示","隠す")</f>
        <v/>
      </c>
    </row>
    <row r="1115" hidden="1" ht="21" customHeight="1">
      <c r="A1115" s="82" t="n"/>
      <c r="B1115" s="46">
        <f>'設定'!$I$26</f>
        <v/>
      </c>
      <c r="C1115" s="83" t="n"/>
      <c r="D1115" s="83" t="n"/>
      <c r="E1115" s="83" t="n"/>
      <c r="F1115" s="83" t="n"/>
      <c r="G1115" s="83" t="n"/>
      <c r="H1115" s="83" t="n"/>
      <c r="S1115">
        <f>IF(16&lt;='設定'!$B$6,"表示","隠す")</f>
        <v/>
      </c>
    </row>
    <row r="1116" hidden="1" ht="21" customHeight="1">
      <c r="A1116" s="82" t="n"/>
      <c r="B1116" s="46">
        <f>'設定'!$I$27</f>
        <v/>
      </c>
      <c r="C1116" s="83" t="n"/>
      <c r="D1116" s="83" t="n"/>
      <c r="E1116" s="83" t="n"/>
      <c r="F1116" s="83" t="n"/>
      <c r="G1116" s="83" t="n"/>
      <c r="H1116" s="83" t="n"/>
      <c r="S1116">
        <f>IF(17&lt;='設定'!$B$6,"表示","隠す")</f>
        <v/>
      </c>
    </row>
    <row r="1117" hidden="1" ht="21" customHeight="1">
      <c r="A1117" s="82" t="n"/>
      <c r="B1117" s="46">
        <f>'設定'!$I$28</f>
        <v/>
      </c>
      <c r="C1117" s="83" t="n"/>
      <c r="D1117" s="83" t="n"/>
      <c r="E1117" s="83" t="n"/>
      <c r="F1117" s="83" t="n"/>
      <c r="G1117" s="83" t="n"/>
      <c r="H1117" s="83" t="n"/>
      <c r="S1117">
        <f>IF(18&lt;='設定'!$B$6,"表示","隠す")</f>
        <v/>
      </c>
    </row>
    <row r="1118" hidden="1" ht="21" customHeight="1">
      <c r="A1118" s="82" t="n"/>
      <c r="B1118" s="46">
        <f>'設定'!$I$29</f>
        <v/>
      </c>
      <c r="C1118" s="83" t="n"/>
      <c r="D1118" s="83" t="n"/>
      <c r="E1118" s="83" t="n"/>
      <c r="F1118" s="83" t="n"/>
      <c r="G1118" s="83" t="n"/>
      <c r="H1118" s="83" t="n"/>
      <c r="S1118">
        <f>IF(19&lt;='設定'!$B$6,"表示","隠す")</f>
        <v/>
      </c>
    </row>
    <row r="1119" hidden="1" ht="21" customHeight="1">
      <c r="A1119" s="82" t="n"/>
      <c r="B1119" s="46">
        <f>'設定'!$I$30</f>
        <v/>
      </c>
      <c r="C1119" s="83" t="n"/>
      <c r="D1119" s="83" t="n"/>
      <c r="E1119" s="83" t="n"/>
      <c r="F1119" s="83" t="n"/>
      <c r="G1119" s="83" t="n"/>
      <c r="H1119" s="83" t="n"/>
      <c r="S1119">
        <f>IF(20&lt;='設定'!$B$6,"表示","隠す")</f>
        <v/>
      </c>
    </row>
    <row r="1120" hidden="1" ht="21" customHeight="1">
      <c r="A1120" s="82" t="n"/>
      <c r="B1120" s="46">
        <f>'設定'!$I$31</f>
        <v/>
      </c>
      <c r="C1120" s="83" t="n"/>
      <c r="D1120" s="83" t="n"/>
      <c r="E1120" s="83" t="n"/>
      <c r="F1120" s="83" t="n"/>
      <c r="G1120" s="83" t="n"/>
      <c r="H1120" s="83" t="n"/>
      <c r="S1120">
        <f>IF(21&lt;='設定'!$B$6,"表示","隠す")</f>
        <v/>
      </c>
    </row>
    <row r="1121" hidden="1" ht="21" customHeight="1">
      <c r="A1121" s="82" t="n"/>
      <c r="B1121" s="46">
        <f>'設定'!$I$32</f>
        <v/>
      </c>
      <c r="C1121" s="83" t="n"/>
      <c r="D1121" s="83" t="n"/>
      <c r="E1121" s="83" t="n"/>
      <c r="F1121" s="83" t="n"/>
      <c r="G1121" s="83" t="n"/>
      <c r="H1121" s="83" t="n"/>
      <c r="S1121">
        <f>IF(22&lt;='設定'!$B$6,"表示","隠す")</f>
        <v/>
      </c>
    </row>
    <row r="1122" hidden="1" ht="21" customHeight="1">
      <c r="A1122" s="82" t="n"/>
      <c r="B1122" s="46">
        <f>'設定'!$I$33</f>
        <v/>
      </c>
      <c r="C1122" s="83" t="n"/>
      <c r="D1122" s="83" t="n"/>
      <c r="E1122" s="83" t="n"/>
      <c r="F1122" s="83" t="n"/>
      <c r="G1122" s="83" t="n"/>
      <c r="H1122" s="83" t="n"/>
      <c r="S1122">
        <f>IF(23&lt;='設定'!$B$6,"表示","隠す")</f>
        <v/>
      </c>
    </row>
    <row r="1123" hidden="1" ht="21" customHeight="1">
      <c r="A1123" s="82" t="n"/>
      <c r="B1123" s="46">
        <f>'設定'!$I$34</f>
        <v/>
      </c>
      <c r="C1123" s="83" t="n"/>
      <c r="D1123" s="83" t="n"/>
      <c r="E1123" s="83" t="n"/>
      <c r="F1123" s="83" t="n"/>
      <c r="G1123" s="83" t="n"/>
      <c r="H1123" s="83"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4">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B3:C3"/>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D3:E3"/>
    <mergeCell ref="F425:G425"/>
    <mergeCell ref="F229:G229"/>
    <mergeCell ref="F873:G873"/>
    <mergeCell ref="F117:G117"/>
    <mergeCell ref="A454:B454"/>
    <mergeCell ref="A874:B874"/>
    <mergeCell ref="A202:B202"/>
    <mergeCell ref="A258:B258"/>
    <mergeCell ref="B4:L4"/>
    <mergeCell ref="A958:B958"/>
    <mergeCell ref="A146:B146"/>
    <mergeCell ref="A6:B6"/>
    <mergeCell ref="F285:G285"/>
    <mergeCell ref="A706:B706"/>
    <mergeCell ref="F845:G845"/>
    <mergeCell ref="A174:B174"/>
    <mergeCell ref="F453:G453"/>
    <mergeCell ref="A118:B118"/>
    <mergeCell ref="F145:G145"/>
    <mergeCell ref="G3:H3"/>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3">
    <dataValidation sqref="D3" showDropDown="0" showInputMessage="0" showErrorMessage="0" allowBlank="1" type="list">
      <formula1>='名簿'!$P$5:$P$44</formula1>
    </dataValidation>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hyperlinks>
    <hyperlink ref="G3" location="'×入力'!G3" display="▶ 次の未入力の子へ"/>
  </hyperlink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自動案A（詰める）</t>
        </is>
      </c>
      <c r="C1" s="2" t="n"/>
      <c r="D1" s="2" t="n"/>
      <c r="E1" s="22">
        <f>HYPERLINK("#'ホーム'!A1","ホーム")</f>
        <v/>
      </c>
      <c r="F1" s="22">
        <f>HYPERLINK("#'設定'!A1","① 設定")</f>
        <v/>
      </c>
      <c r="G1" s="22">
        <f>HYPERLINK("#'名簿'!A1","② 名簿")</f>
        <v/>
      </c>
      <c r="H1" s="22">
        <f>HYPERLINK("#'×入力'!A1","③ ×入力")</f>
        <v/>
      </c>
      <c r="I1" s="2" t="n"/>
      <c r="J1" s="2" t="n"/>
      <c r="K1" s="2" t="n"/>
      <c r="L1" s="23">
        <f>HYPERLINK("#'自動案A'!A1","④ 自動案A")</f>
        <v/>
      </c>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0" t="inlineStr">
        <is>
          <t>入れられる枠が少ない家庭から順に、設定の「詰め方」で詰めて組んだ案です。緑が新しく入った人。よければ［この案を「調整・決定」へ写す］を押します。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 自動案を作る（A・B両方）</t>
        </is>
      </c>
      <c r="K3" s="89" t="inlineStr">
        <is>
          <t>▶ この案を「調整・決定」へ写す</t>
        </is>
      </c>
    </row>
    <row r="4" ht="56" customHeight="1">
      <c r="C4" s="90">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1" t="n"/>
      <c r="E4" s="91" t="n"/>
      <c r="F4" s="91" t="n"/>
      <c r="G4" s="91" t="n"/>
      <c r="H4" s="92" t="n"/>
    </row>
    <row r="5">
      <c r="B5" s="38" t="inlineStr"/>
      <c r="C5" s="39">
        <f>'設定'!$E$11</f>
        <v/>
      </c>
      <c r="D5" s="39">
        <f>'設定'!$E$12</f>
        <v/>
      </c>
      <c r="E5" s="39">
        <f>'設定'!$E$13</f>
        <v/>
      </c>
      <c r="F5" s="39">
        <f>'設定'!$E$14</f>
        <v/>
      </c>
      <c r="G5" s="39">
        <f>'設定'!$E$15</f>
        <v/>
      </c>
      <c r="H5" s="39">
        <f>'設定'!$E$16</f>
        <v/>
      </c>
      <c r="J5" s="93" t="inlineStr">
        <is>
          <t>決定済み（調整・決定シート）</t>
        </is>
      </c>
      <c r="K5" s="94">
        <f>SUMPRODUCT(('調整・決定'!$C$6:$H$29&lt;&gt;"")*1)&amp;" 人"</f>
        <v/>
      </c>
    </row>
    <row r="6" ht="26" customHeight="1">
      <c r="B6" s="46">
        <f>'設定'!$I$11</f>
        <v/>
      </c>
      <c r="C6" s="27">
        <f>IF('calcA'!D$4=0,"",IF('調整・決定'!C6&lt;&gt;"",'調整・決定'!C6,IFERROR(INDEX('名簿'!$P$5:$P$49,INDEX('calcB'!$B$3:$B$47,MATCH(1,'calcB'!$C$3:$C$47,0))),"")))</f>
        <v/>
      </c>
      <c r="D6" s="27">
        <f>IF('calcA'!AB$4=0,"",IF('調整・決定'!D6&lt;&gt;"",'調整・決定'!D6,IFERROR(INDEX('名簿'!$P$5:$P$49,INDEX('calcB'!$B$3:$B$47,MATCH(25,'calcB'!$C$3:$C$47,0))),"")))</f>
        <v/>
      </c>
      <c r="E6" s="27">
        <f>IF('calcA'!AZ$4=0,"",IF('調整・決定'!E6&lt;&gt;"",'調整・決定'!E6,IFERROR(INDEX('名簿'!$P$5:$P$49,INDEX('calcB'!$B$3:$B$47,MATCH(49,'calcB'!$C$3:$C$47,0))),"")))</f>
        <v/>
      </c>
      <c r="F6" s="27">
        <f>IF('calcA'!BX$4=0,"",IF('調整・決定'!F6&lt;&gt;"",'調整・決定'!F6,IFERROR(INDEX('名簿'!$P$5:$P$49,INDEX('calcB'!$B$3:$B$47,MATCH(73,'calcB'!$C$3:$C$47,0))),"")))</f>
        <v/>
      </c>
      <c r="G6" s="27">
        <f>IF('calcA'!CV$4=0,"",IF('調整・決定'!G6&lt;&gt;"",'調整・決定'!G6,IFERROR(INDEX('名簿'!$P$5:$P$49,INDEX('calcB'!$B$3:$B$47,MATCH(97,'calcB'!$C$3:$C$47,0))),"")))</f>
        <v/>
      </c>
      <c r="H6" s="27">
        <f>IF('calcA'!DT$4=0,"",IF('調整・決定'!H6&lt;&gt;"",'調整・決定'!H6,IFERROR(INDEX('名簿'!$P$5:$P$49,INDEX('calcB'!$B$3:$B$47,MATCH(121,'calcB'!$C$3:$C$47,0))),"")))</f>
        <v/>
      </c>
      <c r="J6" s="93" t="inlineStr">
        <is>
          <t>自動で新しく入った</t>
        </is>
      </c>
      <c r="K6" s="94">
        <f>SUMPRODUCT(('calcB'!$B$3:$B$47&gt;0)*('calcB'!$C$3:$C$47&gt;0))&amp;" 人"</f>
        <v/>
      </c>
    </row>
    <row r="7" ht="26" customHeight="1">
      <c r="B7" s="46">
        <f>'設定'!$I$12</f>
        <v/>
      </c>
      <c r="C7" s="27">
        <f>IF('calcA'!E$4=0,"",IF('調整・決定'!C7&lt;&gt;"",'調整・決定'!C7,IFERROR(INDEX('名簿'!$P$5:$P$49,INDEX('calcB'!$B$3:$B$47,MATCH(2,'calcB'!$C$3:$C$47,0))),"")))</f>
        <v/>
      </c>
      <c r="D7" s="27">
        <f>IF('calcA'!AC$4=0,"",IF('調整・決定'!D7&lt;&gt;"",'調整・決定'!D7,IFERROR(INDEX('名簿'!$P$5:$P$49,INDEX('calcB'!$B$3:$B$47,MATCH(26,'calcB'!$C$3:$C$47,0))),"")))</f>
        <v/>
      </c>
      <c r="E7" s="27">
        <f>IF('calcA'!BA$4=0,"",IF('調整・決定'!E7&lt;&gt;"",'調整・決定'!E7,IFERROR(INDEX('名簿'!$P$5:$P$49,INDEX('calcB'!$B$3:$B$47,MATCH(50,'calcB'!$C$3:$C$47,0))),"")))</f>
        <v/>
      </c>
      <c r="F7" s="27">
        <f>IF('calcA'!BY$4=0,"",IF('調整・決定'!F7&lt;&gt;"",'調整・決定'!F7,IFERROR(INDEX('名簿'!$P$5:$P$49,INDEX('calcB'!$B$3:$B$47,MATCH(74,'calcB'!$C$3:$C$47,0))),"")))</f>
        <v/>
      </c>
      <c r="G7" s="27">
        <f>IF('calcA'!CW$4=0,"",IF('調整・決定'!G7&lt;&gt;"",'調整・決定'!G7,IFERROR(INDEX('名簿'!$P$5:$P$49,INDEX('calcB'!$B$3:$B$47,MATCH(98,'calcB'!$C$3:$C$47,0))),"")))</f>
        <v/>
      </c>
      <c r="H7" s="27">
        <f>IF('calcA'!DU$4=0,"",IF('調整・決定'!H7&lt;&gt;"",'調整・決定'!H7,IFERROR(INDEX('名簿'!$P$5:$P$49,INDEX('calcB'!$B$3:$B$47,MATCH(122,'calcB'!$C$3:$C$47,0))),"")))</f>
        <v/>
      </c>
    </row>
    <row r="8" ht="30" customHeight="1">
      <c r="B8" s="46">
        <f>'設定'!$I$13</f>
        <v/>
      </c>
      <c r="C8" s="27">
        <f>IF('calcA'!F$4=0,"",IF('調整・決定'!C8&lt;&gt;"",'調整・決定'!C8,IFERROR(INDEX('名簿'!$P$5:$P$49,INDEX('calcB'!$B$3:$B$47,MATCH(3,'calcB'!$C$3:$C$47,0))),"")))</f>
        <v/>
      </c>
      <c r="D8" s="27">
        <f>IF('calcA'!AD$4=0,"",IF('調整・決定'!D8&lt;&gt;"",'調整・決定'!D8,IFERROR(INDEX('名簿'!$P$5:$P$49,INDEX('calcB'!$B$3:$B$47,MATCH(27,'calcB'!$C$3:$C$47,0))),"")))</f>
        <v/>
      </c>
      <c r="E8" s="27">
        <f>IF('calcA'!BB$4=0,"",IF('調整・決定'!E8&lt;&gt;"",'調整・決定'!E8,IFERROR(INDEX('名簿'!$P$5:$P$49,INDEX('calcB'!$B$3:$B$47,MATCH(51,'calcB'!$C$3:$C$47,0))),"")))</f>
        <v/>
      </c>
      <c r="F8" s="27">
        <f>IF('calcA'!BZ$4=0,"",IF('調整・決定'!F8&lt;&gt;"",'調整・決定'!F8,IFERROR(INDEX('名簿'!$P$5:$P$49,INDEX('calcB'!$B$3:$B$47,MATCH(75,'calcB'!$C$3:$C$47,0))),"")))</f>
        <v/>
      </c>
      <c r="G8" s="27">
        <f>IF('calcA'!CX$4=0,"",IF('調整・決定'!G8&lt;&gt;"",'調整・決定'!G8,IFERROR(INDEX('名簿'!$P$5:$P$49,INDEX('calcB'!$B$3:$B$47,MATCH(99,'calcB'!$C$3:$C$47,0))),"")))</f>
        <v/>
      </c>
      <c r="H8" s="27">
        <f>IF('calcA'!DV$4=0,"",IF('調整・決定'!H8&lt;&gt;"",'調整・決定'!H8,IFERROR(INDEX('名簿'!$P$5:$P$49,INDEX('calcB'!$B$3:$B$47,MATCH(123,'calcB'!$C$3:$C$47,0))),"")))</f>
        <v/>
      </c>
      <c r="J8" s="95" t="inlineStr">
        <is>
          <t>入る枠がない（×・必ず空けたい）</t>
        </is>
      </c>
      <c r="K8" s="96">
        <f t="array" ref="K8">_xlfn.TEXTJOIN("、",TRUE,IF('calcA'!$IL$10:$IL$54=1,'calcA'!$B$10:$B$54,""))</f>
        <v/>
      </c>
    </row>
    <row r="9" ht="26" customHeight="1">
      <c r="B9" s="46">
        <f>'設定'!$I$14</f>
        <v/>
      </c>
      <c r="C9" s="27">
        <f>IF('calcA'!G$4=0,"",IF('調整・決定'!C9&lt;&gt;"",'調整・決定'!C9,IFERROR(INDEX('名簿'!$P$5:$P$49,INDEX('calcB'!$B$3:$B$47,MATCH(4,'calcB'!$C$3:$C$47,0))),"")))</f>
        <v/>
      </c>
      <c r="D9" s="27">
        <f>IF('calcA'!AE$4=0,"",IF('調整・決定'!D9&lt;&gt;"",'調整・決定'!D9,IFERROR(INDEX('名簿'!$P$5:$P$49,INDEX('calcB'!$B$3:$B$47,MATCH(28,'calcB'!$C$3:$C$47,0))),"")))</f>
        <v/>
      </c>
      <c r="E9" s="27">
        <f>IF('calcA'!BC$4=0,"",IF('調整・決定'!E9&lt;&gt;"",'調整・決定'!E9,IFERROR(INDEX('名簿'!$P$5:$P$49,INDEX('calcB'!$B$3:$B$47,MATCH(52,'calcB'!$C$3:$C$47,0))),"")))</f>
        <v/>
      </c>
      <c r="F9" s="27">
        <f>IF('calcA'!CA$4=0,"",IF('調整・決定'!F9&lt;&gt;"",'調整・決定'!F9,IFERROR(INDEX('名簿'!$P$5:$P$49,INDEX('calcB'!$B$3:$B$47,MATCH(76,'calcB'!$C$3:$C$47,0))),"")))</f>
        <v/>
      </c>
      <c r="G9" s="27">
        <f>IF('calcA'!CY$4=0,"",IF('調整・決定'!G9&lt;&gt;"",'調整・決定'!G9,IFERROR(INDEX('名簿'!$P$5:$P$49,INDEX('calcB'!$B$3:$B$47,MATCH(100,'calcB'!$C$3:$C$47,0))),"")))</f>
        <v/>
      </c>
      <c r="H9" s="27">
        <f>IF('calcA'!DW$4=0,"",IF('調整・決定'!H9&lt;&gt;"",'調整・決定'!H9,IFERROR(INDEX('名簿'!$P$5:$P$49,INDEX('calcB'!$B$3:$B$47,MATCH(124,'calcB'!$C$3:$C$47,0))),"")))</f>
        <v/>
      </c>
    </row>
    <row r="10" ht="30" customHeight="1">
      <c r="B10" s="46">
        <f>'設定'!$I$15</f>
        <v/>
      </c>
      <c r="C10" s="27">
        <f>IF('calcA'!H$4=0,"",IF('調整・決定'!C10&lt;&gt;"",'調整・決定'!C10,IFERROR(INDEX('名簿'!$P$5:$P$49,INDEX('calcB'!$B$3:$B$47,MATCH(5,'calcB'!$C$3:$C$47,0))),"")))</f>
        <v/>
      </c>
      <c r="D10" s="27">
        <f>IF('calcA'!AF$4=0,"",IF('調整・決定'!D10&lt;&gt;"",'調整・決定'!D10,IFERROR(INDEX('名簿'!$P$5:$P$49,INDEX('calcB'!$B$3:$B$47,MATCH(29,'calcB'!$C$3:$C$47,0))),"")))</f>
        <v/>
      </c>
      <c r="E10" s="27">
        <f>IF('calcA'!BD$4=0,"",IF('調整・決定'!E10&lt;&gt;"",'調整・決定'!E10,IFERROR(INDEX('名簿'!$P$5:$P$49,INDEX('calcB'!$B$3:$B$47,MATCH(53,'calcB'!$C$3:$C$47,0))),"")))</f>
        <v/>
      </c>
      <c r="F10" s="27">
        <f>IF('calcA'!CB$4=0,"",IF('調整・決定'!F10&lt;&gt;"",'調整・決定'!F10,IFERROR(INDEX('名簿'!$P$5:$P$49,INDEX('calcB'!$B$3:$B$47,MATCH(77,'calcB'!$C$3:$C$47,0))),"")))</f>
        <v/>
      </c>
      <c r="G10" s="27">
        <f>IF('calcA'!CZ$4=0,"",IF('調整・決定'!G10&lt;&gt;"",'調整・決定'!G10,IFERROR(INDEX('名簿'!$P$5:$P$49,INDEX('calcB'!$B$3:$B$47,MATCH(101,'calcB'!$C$3:$C$47,0))),"")))</f>
        <v/>
      </c>
      <c r="H10" s="27">
        <f>IF('calcA'!DX$4=0,"",IF('調整・決定'!H10&lt;&gt;"",'調整・決定'!H10,IFERROR(INDEX('名簿'!$P$5:$P$49,INDEX('calcB'!$B$3:$B$47,MATCH(125,'calcB'!$C$3:$C$47,0))),"")))</f>
        <v/>
      </c>
      <c r="J10" s="97" t="inlineStr">
        <is>
          <t>未入力・未提出で外した</t>
        </is>
      </c>
      <c r="K10" s="98">
        <f t="array" ref="K10">_xlfn.TEXTJOIN("、",TRUE,IF((('名簿'!$Q$5:$Q$49="未入力")+('名簿'!$Q$5:$Q$49="未提出"))*('calcA'!$IO$10:$IO$54=0),'名簿'!$P$5:$P$49,""))</f>
        <v/>
      </c>
    </row>
    <row r="11" ht="26" customHeight="1">
      <c r="B11" s="46">
        <f>'設定'!$I$16</f>
        <v/>
      </c>
      <c r="C11" s="27">
        <f>IF('calcA'!I$4=0,"",IF('調整・決定'!C11&lt;&gt;"",'調整・決定'!C11,IFERROR(INDEX('名簿'!$P$5:$P$49,INDEX('calcB'!$B$3:$B$47,MATCH(6,'calcB'!$C$3:$C$47,0))),"")))</f>
        <v/>
      </c>
      <c r="D11" s="27">
        <f>IF('calcA'!AG$4=0,"",IF('調整・決定'!D11&lt;&gt;"",'調整・決定'!D11,IFERROR(INDEX('名簿'!$P$5:$P$49,INDEX('calcB'!$B$3:$B$47,MATCH(30,'calcB'!$C$3:$C$47,0))),"")))</f>
        <v/>
      </c>
      <c r="E11" s="27">
        <f>IF('calcA'!BE$4=0,"",IF('調整・決定'!E11&lt;&gt;"",'調整・決定'!E11,IFERROR(INDEX('名簿'!$P$5:$P$49,INDEX('calcB'!$B$3:$B$47,MATCH(54,'calcB'!$C$3:$C$47,0))),"")))</f>
        <v/>
      </c>
      <c r="F11" s="27">
        <f>IF('calcA'!CC$4=0,"",IF('調整・決定'!F11&lt;&gt;"",'調整・決定'!F11,IFERROR(INDEX('名簿'!$P$5:$P$49,INDEX('calcB'!$B$3:$B$47,MATCH(78,'calcB'!$C$3:$C$47,0))),"")))</f>
        <v/>
      </c>
      <c r="G11" s="27">
        <f>IF('calcA'!DA$4=0,"",IF('調整・決定'!G11&lt;&gt;"",'調整・決定'!G11,IFERROR(INDEX('名簿'!$P$5:$P$49,INDEX('calcB'!$B$3:$B$47,MATCH(102,'calcB'!$C$3:$C$47,0))),"")))</f>
        <v/>
      </c>
      <c r="H11" s="27">
        <f>IF('calcA'!DY$4=0,"",IF('調整・決定'!H11&lt;&gt;"",'調整・決定'!H11,IFERROR(INDEX('名簿'!$P$5:$P$49,INDEX('calcB'!$B$3:$B$47,MATCH(126,'calcB'!$C$3:$C$47,0))),"")))</f>
        <v/>
      </c>
    </row>
    <row r="12" ht="26" customHeight="1">
      <c r="B12" s="46">
        <f>'設定'!$I$17</f>
        <v/>
      </c>
      <c r="C12" s="27">
        <f>IF('calcA'!J$4=0,"",IF('調整・決定'!C12&lt;&gt;"",'調整・決定'!C12,IFERROR(INDEX('名簿'!$P$5:$P$49,INDEX('calcB'!$B$3:$B$47,MATCH(7,'calcB'!$C$3:$C$47,0))),"")))</f>
        <v/>
      </c>
      <c r="D12" s="27">
        <f>IF('calcA'!AH$4=0,"",IF('調整・決定'!D12&lt;&gt;"",'調整・決定'!D12,IFERROR(INDEX('名簿'!$P$5:$P$49,INDEX('calcB'!$B$3:$B$47,MATCH(31,'calcB'!$C$3:$C$47,0))),"")))</f>
        <v/>
      </c>
      <c r="E12" s="27">
        <f>IF('calcA'!BF$4=0,"",IF('調整・決定'!E12&lt;&gt;"",'調整・決定'!E12,IFERROR(INDEX('名簿'!$P$5:$P$49,INDEX('calcB'!$B$3:$B$47,MATCH(55,'calcB'!$C$3:$C$47,0))),"")))</f>
        <v/>
      </c>
      <c r="F12" s="27">
        <f>IF('calcA'!CD$4=0,"",IF('調整・決定'!F12&lt;&gt;"",'調整・決定'!F12,IFERROR(INDEX('名簿'!$P$5:$P$49,INDEX('calcB'!$B$3:$B$47,MATCH(79,'calcB'!$C$3:$C$47,0))),"")))</f>
        <v/>
      </c>
      <c r="G12" s="27">
        <f>IF('calcA'!DB$4=0,"",IF('調整・決定'!G12&lt;&gt;"",'調整・決定'!G12,IFERROR(INDEX('名簿'!$P$5:$P$49,INDEX('calcB'!$B$3:$B$47,MATCH(103,'calcB'!$C$3:$C$47,0))),"")))</f>
        <v/>
      </c>
      <c r="H12" s="27">
        <f>IF('calcA'!DZ$4=0,"",IF('調整・決定'!H12&lt;&gt;"",'調整・決定'!H12,IFERROR(INDEX('名簿'!$P$5:$P$49,INDEX('calcB'!$B$3:$B$47,MATCH(127,'calcB'!$C$3:$C$47,0))),"")))</f>
        <v/>
      </c>
      <c r="J12" s="93" t="inlineStr">
        <is>
          <t>なるべく空けたい枠を使った</t>
        </is>
      </c>
      <c r="K12" s="94">
        <f>SUM('calcB'!$D$3:$D$47)&amp;" 枠"</f>
        <v/>
      </c>
    </row>
    <row r="13" ht="26" customHeight="1">
      <c r="B13" s="46">
        <f>'設定'!$I$18</f>
        <v/>
      </c>
      <c r="C13" s="27">
        <f>IF('calcA'!K$4=0,"",IF('調整・決定'!C13&lt;&gt;"",'調整・決定'!C13,IFERROR(INDEX('名簿'!$P$5:$P$49,INDEX('calcB'!$B$3:$B$47,MATCH(8,'calcB'!$C$3:$C$47,0))),"")))</f>
        <v/>
      </c>
      <c r="D13" s="27">
        <f>IF('calcA'!AI$4=0,"",IF('調整・決定'!D13&lt;&gt;"",'調整・決定'!D13,IFERROR(INDEX('名簿'!$P$5:$P$49,INDEX('calcB'!$B$3:$B$47,MATCH(32,'calcB'!$C$3:$C$47,0))),"")))</f>
        <v/>
      </c>
      <c r="E13" s="27">
        <f>IF('calcA'!BG$4=0,"",IF('調整・決定'!E13&lt;&gt;"",'調整・決定'!E13,IFERROR(INDEX('名簿'!$P$5:$P$49,INDEX('calcB'!$B$3:$B$47,MATCH(56,'calcB'!$C$3:$C$47,0))),"")))</f>
        <v/>
      </c>
      <c r="F13" s="27">
        <f>IF('calcA'!CE$4=0,"",IF('調整・決定'!F13&lt;&gt;"",'調整・決定'!F13,IFERROR(INDEX('名簿'!$P$5:$P$49,INDEX('calcB'!$B$3:$B$47,MATCH(80,'calcB'!$C$3:$C$47,0))),"")))</f>
        <v/>
      </c>
      <c r="G13" s="27">
        <f>IF('calcA'!DC$4=0,"",IF('調整・決定'!G13&lt;&gt;"",'調整・決定'!G13,IFERROR(INDEX('名簿'!$P$5:$P$49,INDEX('calcB'!$B$3:$B$47,MATCH(104,'calcB'!$C$3:$C$47,0))),"")))</f>
        <v/>
      </c>
      <c r="H13" s="27">
        <f>IF('calcA'!EA$4=0,"",IF('調整・決定'!H13&lt;&gt;"",'調整・決定'!H13,IFERROR(INDEX('名簿'!$P$5:$P$49,INDEX('calcB'!$B$3:$B$47,MATCH(128,'calcB'!$C$3:$C$47,0))),"")))</f>
        <v/>
      </c>
      <c r="J13" s="93" t="inlineStr">
        <is>
          <t>日ごとの人数</t>
        </is>
      </c>
    </row>
    <row r="14" ht="26" customHeight="1">
      <c r="B14" s="46">
        <f>'設定'!$I$19</f>
        <v/>
      </c>
      <c r="C14" s="27">
        <f>IF('calcA'!L$4=0,"",IF('調整・決定'!C14&lt;&gt;"",'調整・決定'!C14,IFERROR(INDEX('名簿'!$P$5:$P$49,INDEX('calcB'!$B$3:$B$47,MATCH(9,'calcB'!$C$3:$C$47,0))),"")))</f>
        <v/>
      </c>
      <c r="D14" s="27">
        <f>IF('calcA'!AJ$4=0,"",IF('調整・決定'!D14&lt;&gt;"",'調整・決定'!D14,IFERROR(INDEX('名簿'!$P$5:$P$49,INDEX('calcB'!$B$3:$B$47,MATCH(33,'calcB'!$C$3:$C$47,0))),"")))</f>
        <v/>
      </c>
      <c r="E14" s="27">
        <f>IF('calcA'!BH$4=0,"",IF('調整・決定'!E14&lt;&gt;"",'調整・決定'!E14,IFERROR(INDEX('名簿'!$P$5:$P$49,INDEX('calcB'!$B$3:$B$47,MATCH(57,'calcB'!$C$3:$C$47,0))),"")))</f>
        <v/>
      </c>
      <c r="F14" s="27">
        <f>IF('calcA'!CF$4=0,"",IF('調整・決定'!F14&lt;&gt;"",'調整・決定'!F14,IFERROR(INDEX('名簿'!$P$5:$P$49,INDEX('calcB'!$B$3:$B$47,MATCH(81,'calcB'!$C$3:$C$47,0))),"")))</f>
        <v/>
      </c>
      <c r="G14" s="27">
        <f>IF('calcA'!DD$4=0,"",IF('調整・決定'!G14&lt;&gt;"",'調整・決定'!G14,IFERROR(INDEX('名簿'!$P$5:$P$49,INDEX('calcB'!$B$3:$B$47,MATCH(105,'calcB'!$C$3:$C$47,0))),"")))</f>
        <v/>
      </c>
      <c r="H14" s="27">
        <f>IF('calcA'!EB$4=0,"",IF('調整・決定'!H14&lt;&gt;"",'調整・決定'!H14,IFERROR(INDEX('名簿'!$P$5:$P$49,INDEX('calcB'!$B$3:$B$47,MATCH(129,'calcB'!$C$3:$C$47,0))),"")))</f>
        <v/>
      </c>
      <c r="J14" s="99">
        <f>IF('設定'!$E$11="","",'設定'!$E$11)</f>
        <v/>
      </c>
      <c r="K14" s="100">
        <f>IF(J14="","",COUNTIF(C6:C29,"?*")&amp;" 人")</f>
        <v/>
      </c>
    </row>
    <row r="15" ht="26" customHeight="1">
      <c r="B15" s="46">
        <f>'設定'!$I$20</f>
        <v/>
      </c>
      <c r="C15" s="27">
        <f>IF('calcA'!M$4=0,"",IF('調整・決定'!C15&lt;&gt;"",'調整・決定'!C15,IFERROR(INDEX('名簿'!$P$5:$P$49,INDEX('calcB'!$B$3:$B$47,MATCH(10,'calcB'!$C$3:$C$47,0))),"")))</f>
        <v/>
      </c>
      <c r="D15" s="27">
        <f>IF('calcA'!AK$4=0,"",IF('調整・決定'!D15&lt;&gt;"",'調整・決定'!D15,IFERROR(INDEX('名簿'!$P$5:$P$49,INDEX('calcB'!$B$3:$B$47,MATCH(34,'calcB'!$C$3:$C$47,0))),"")))</f>
        <v/>
      </c>
      <c r="E15" s="27">
        <f>IF('calcA'!BI$4=0,"",IF('調整・決定'!E15&lt;&gt;"",'調整・決定'!E15,IFERROR(INDEX('名簿'!$P$5:$P$49,INDEX('calcB'!$B$3:$B$47,MATCH(58,'calcB'!$C$3:$C$47,0))),"")))</f>
        <v/>
      </c>
      <c r="F15" s="27">
        <f>IF('calcA'!CG$4=0,"",IF('調整・決定'!F15&lt;&gt;"",'調整・決定'!F15,IFERROR(INDEX('名簿'!$P$5:$P$49,INDEX('calcB'!$B$3:$B$47,MATCH(82,'calcB'!$C$3:$C$47,0))),"")))</f>
        <v/>
      </c>
      <c r="G15" s="27">
        <f>IF('calcA'!DE$4=0,"",IF('調整・決定'!G15&lt;&gt;"",'調整・決定'!G15,IFERROR(INDEX('名簿'!$P$5:$P$49,INDEX('calcB'!$B$3:$B$47,MATCH(106,'calcB'!$C$3:$C$47,0))),"")))</f>
        <v/>
      </c>
      <c r="H15" s="27">
        <f>IF('calcA'!EC$4=0,"",IF('調整・決定'!H15&lt;&gt;"",'調整・決定'!H15,IFERROR(INDEX('名簿'!$P$5:$P$49,INDEX('calcB'!$B$3:$B$47,MATCH(130,'calcB'!$C$3:$C$47,0))),"")))</f>
        <v/>
      </c>
      <c r="J15" s="99">
        <f>IF('設定'!$E$12="","",'設定'!$E$12)</f>
        <v/>
      </c>
      <c r="K15" s="100">
        <f>IF(J15="","",COUNTIF(D6:D29,"?*")&amp;" 人")</f>
        <v/>
      </c>
    </row>
    <row r="16" ht="26" customHeight="1">
      <c r="B16" s="46">
        <f>'設定'!$I$21</f>
        <v/>
      </c>
      <c r="C16" s="27">
        <f>IF('calcA'!N$4=0,"",IF('調整・決定'!C16&lt;&gt;"",'調整・決定'!C16,IFERROR(INDEX('名簿'!$P$5:$P$49,INDEX('calcB'!$B$3:$B$47,MATCH(11,'calcB'!$C$3:$C$47,0))),"")))</f>
        <v/>
      </c>
      <c r="D16" s="27">
        <f>IF('calcA'!AL$4=0,"",IF('調整・決定'!D16&lt;&gt;"",'調整・決定'!D16,IFERROR(INDEX('名簿'!$P$5:$P$49,INDEX('calcB'!$B$3:$B$47,MATCH(35,'calcB'!$C$3:$C$47,0))),"")))</f>
        <v/>
      </c>
      <c r="E16" s="27">
        <f>IF('calcA'!BJ$4=0,"",IF('調整・決定'!E16&lt;&gt;"",'調整・決定'!E16,IFERROR(INDEX('名簿'!$P$5:$P$49,INDEX('calcB'!$B$3:$B$47,MATCH(59,'calcB'!$C$3:$C$47,0))),"")))</f>
        <v/>
      </c>
      <c r="F16" s="27">
        <f>IF('calcA'!CH$4=0,"",IF('調整・決定'!F16&lt;&gt;"",'調整・決定'!F16,IFERROR(INDEX('名簿'!$P$5:$P$49,INDEX('calcB'!$B$3:$B$47,MATCH(83,'calcB'!$C$3:$C$47,0))),"")))</f>
        <v/>
      </c>
      <c r="G16" s="27">
        <f>IF('calcA'!DF$4=0,"",IF('調整・決定'!G16&lt;&gt;"",'調整・決定'!G16,IFERROR(INDEX('名簿'!$P$5:$P$49,INDEX('calcB'!$B$3:$B$47,MATCH(107,'calcB'!$C$3:$C$47,0))),"")))</f>
        <v/>
      </c>
      <c r="H16" s="27">
        <f>IF('calcA'!ED$4=0,"",IF('調整・決定'!H16&lt;&gt;"",'調整・決定'!H16,IFERROR(INDEX('名簿'!$P$5:$P$49,INDEX('calcB'!$B$3:$B$47,MATCH(131,'calcB'!$C$3:$C$47,0))),"")))</f>
        <v/>
      </c>
      <c r="J16" s="99">
        <f>IF('設定'!$E$13="","",'設定'!$E$13)</f>
        <v/>
      </c>
      <c r="K16" s="100">
        <f>IF(J16="","",COUNTIF(E6:E29,"?*")&amp;" 人")</f>
        <v/>
      </c>
    </row>
    <row r="17" ht="26" customHeight="1">
      <c r="B17" s="46">
        <f>'設定'!$I$22</f>
        <v/>
      </c>
      <c r="C17" s="27">
        <f>IF('calcA'!O$4=0,"",IF('調整・決定'!C17&lt;&gt;"",'調整・決定'!C17,IFERROR(INDEX('名簿'!$P$5:$P$49,INDEX('calcB'!$B$3:$B$47,MATCH(12,'calcB'!$C$3:$C$47,0))),"")))</f>
        <v/>
      </c>
      <c r="D17" s="27">
        <f>IF('calcA'!AM$4=0,"",IF('調整・決定'!D17&lt;&gt;"",'調整・決定'!D17,IFERROR(INDEX('名簿'!$P$5:$P$49,INDEX('calcB'!$B$3:$B$47,MATCH(36,'calcB'!$C$3:$C$47,0))),"")))</f>
        <v/>
      </c>
      <c r="E17" s="27">
        <f>IF('calcA'!BK$4=0,"",IF('調整・決定'!E17&lt;&gt;"",'調整・決定'!E17,IFERROR(INDEX('名簿'!$P$5:$P$49,INDEX('calcB'!$B$3:$B$47,MATCH(60,'calcB'!$C$3:$C$47,0))),"")))</f>
        <v/>
      </c>
      <c r="F17" s="27">
        <f>IF('calcA'!CI$4=0,"",IF('調整・決定'!F17&lt;&gt;"",'調整・決定'!F17,IFERROR(INDEX('名簿'!$P$5:$P$49,INDEX('calcB'!$B$3:$B$47,MATCH(84,'calcB'!$C$3:$C$47,0))),"")))</f>
        <v/>
      </c>
      <c r="G17" s="27">
        <f>IF('calcA'!DG$4=0,"",IF('調整・決定'!G17&lt;&gt;"",'調整・決定'!G17,IFERROR(INDEX('名簿'!$P$5:$P$49,INDEX('calcB'!$B$3:$B$47,MATCH(108,'calcB'!$C$3:$C$47,0))),"")))</f>
        <v/>
      </c>
      <c r="H17" s="27">
        <f>IF('calcA'!EE$4=0,"",IF('調整・決定'!H17&lt;&gt;"",'調整・決定'!H17,IFERROR(INDEX('名簿'!$P$5:$P$49,INDEX('calcB'!$B$3:$B$47,MATCH(132,'calcB'!$C$3:$C$47,0))),"")))</f>
        <v/>
      </c>
      <c r="J17" s="99">
        <f>IF('設定'!$E$14="","",'設定'!$E$14)</f>
        <v/>
      </c>
      <c r="K17" s="100">
        <f>IF(J17="","",COUNTIF(F6:F29,"?*")&amp;" 人")</f>
        <v/>
      </c>
    </row>
    <row r="18" ht="26" customHeight="1">
      <c r="B18" s="46">
        <f>'設定'!$I$23</f>
        <v/>
      </c>
      <c r="C18" s="27">
        <f>IF('calcA'!P$4=0,"",IF('調整・決定'!C18&lt;&gt;"",'調整・決定'!C18,IFERROR(INDEX('名簿'!$P$5:$P$49,INDEX('calcB'!$B$3:$B$47,MATCH(13,'calcB'!$C$3:$C$47,0))),"")))</f>
        <v/>
      </c>
      <c r="D18" s="27">
        <f>IF('calcA'!AN$4=0,"",IF('調整・決定'!D18&lt;&gt;"",'調整・決定'!D18,IFERROR(INDEX('名簿'!$P$5:$P$49,INDEX('calcB'!$B$3:$B$47,MATCH(37,'calcB'!$C$3:$C$47,0))),"")))</f>
        <v/>
      </c>
      <c r="E18" s="27">
        <f>IF('calcA'!BL$4=0,"",IF('調整・決定'!E18&lt;&gt;"",'調整・決定'!E18,IFERROR(INDEX('名簿'!$P$5:$P$49,INDEX('calcB'!$B$3:$B$47,MATCH(61,'calcB'!$C$3:$C$47,0))),"")))</f>
        <v/>
      </c>
      <c r="F18" s="27">
        <f>IF('calcA'!CJ$4=0,"",IF('調整・決定'!F18&lt;&gt;"",'調整・決定'!F18,IFERROR(INDEX('名簿'!$P$5:$P$49,INDEX('calcB'!$B$3:$B$47,MATCH(85,'calcB'!$C$3:$C$47,0))),"")))</f>
        <v/>
      </c>
      <c r="G18" s="27">
        <f>IF('calcA'!DH$4=0,"",IF('調整・決定'!G18&lt;&gt;"",'調整・決定'!G18,IFERROR(INDEX('名簿'!$P$5:$P$49,INDEX('calcB'!$B$3:$B$47,MATCH(109,'calcB'!$C$3:$C$47,0))),"")))</f>
        <v/>
      </c>
      <c r="H18" s="27">
        <f>IF('calcA'!EF$4=0,"",IF('調整・決定'!H18&lt;&gt;"",'調整・決定'!H18,IFERROR(INDEX('名簿'!$P$5:$P$49,INDEX('calcB'!$B$3:$B$47,MATCH(133,'calcB'!$C$3:$C$47,0))),"")))</f>
        <v/>
      </c>
      <c r="J18" s="99">
        <f>IF('設定'!$E$15="","",'設定'!$E$15)</f>
        <v/>
      </c>
      <c r="K18" s="100">
        <f>IF(J18="","",COUNTIF(G6:G29,"?*")&amp;" 人")</f>
        <v/>
      </c>
    </row>
    <row r="19" ht="26" customHeight="1">
      <c r="B19" s="46">
        <f>'設定'!$I$24</f>
        <v/>
      </c>
      <c r="C19" s="27">
        <f>IF('calcA'!Q$4=0,"",IF('調整・決定'!C19&lt;&gt;"",'調整・決定'!C19,IFERROR(INDEX('名簿'!$P$5:$P$49,INDEX('calcB'!$B$3:$B$47,MATCH(14,'calcB'!$C$3:$C$47,0))),"")))</f>
        <v/>
      </c>
      <c r="D19" s="27">
        <f>IF('calcA'!AO$4=0,"",IF('調整・決定'!D19&lt;&gt;"",'調整・決定'!D19,IFERROR(INDEX('名簿'!$P$5:$P$49,INDEX('calcB'!$B$3:$B$47,MATCH(38,'calcB'!$C$3:$C$47,0))),"")))</f>
        <v/>
      </c>
      <c r="E19" s="27">
        <f>IF('calcA'!BM$4=0,"",IF('調整・決定'!E19&lt;&gt;"",'調整・決定'!E19,IFERROR(INDEX('名簿'!$P$5:$P$49,INDEX('calcB'!$B$3:$B$47,MATCH(62,'calcB'!$C$3:$C$47,0))),"")))</f>
        <v/>
      </c>
      <c r="F19" s="27">
        <f>IF('calcA'!CK$4=0,"",IF('調整・決定'!F19&lt;&gt;"",'調整・決定'!F19,IFERROR(INDEX('名簿'!$P$5:$P$49,INDEX('calcB'!$B$3:$B$47,MATCH(86,'calcB'!$C$3:$C$47,0))),"")))</f>
        <v/>
      </c>
      <c r="G19" s="27">
        <f>IF('calcA'!DI$4=0,"",IF('調整・決定'!G19&lt;&gt;"",'調整・決定'!G19,IFERROR(INDEX('名簿'!$P$5:$P$49,INDEX('calcB'!$B$3:$B$47,MATCH(110,'calcB'!$C$3:$C$47,0))),"")))</f>
        <v/>
      </c>
      <c r="H19" s="27">
        <f>IF('calcA'!EG$4=0,"",IF('調整・決定'!H19&lt;&gt;"",'調整・決定'!H19,IFERROR(INDEX('名簿'!$P$5:$P$49,INDEX('calcB'!$B$3:$B$47,MATCH(134,'calcB'!$C$3:$C$47,0))),"")))</f>
        <v/>
      </c>
      <c r="J19" s="99">
        <f>IF('設定'!$E$16="","",'設定'!$E$16)</f>
        <v/>
      </c>
      <c r="K19" s="100">
        <f>IF(J19="","",COUNTIF(H6:H29,"?*")&amp;" 人")</f>
        <v/>
      </c>
    </row>
    <row r="20" ht="26" customHeight="1">
      <c r="B20" s="46">
        <f>'設定'!$I$25</f>
        <v/>
      </c>
      <c r="C20" s="27">
        <f>IF('calcA'!R$4=0,"",IF('調整・決定'!C20&lt;&gt;"",'調整・決定'!C20,IFERROR(INDEX('名簿'!$P$5:$P$49,INDEX('calcB'!$B$3:$B$47,MATCH(15,'calcB'!$C$3:$C$47,0))),"")))</f>
        <v/>
      </c>
      <c r="D20" s="27">
        <f>IF('calcA'!AP$4=0,"",IF('調整・決定'!D20&lt;&gt;"",'調整・決定'!D20,IFERROR(INDEX('名簿'!$P$5:$P$49,INDEX('calcB'!$B$3:$B$47,MATCH(39,'calcB'!$C$3:$C$47,0))),"")))</f>
        <v/>
      </c>
      <c r="E20" s="27">
        <f>IF('calcA'!BN$4=0,"",IF('調整・決定'!E20&lt;&gt;"",'調整・決定'!E20,IFERROR(INDEX('名簿'!$P$5:$P$49,INDEX('calcB'!$B$3:$B$47,MATCH(63,'calcB'!$C$3:$C$47,0))),"")))</f>
        <v/>
      </c>
      <c r="F20" s="27">
        <f>IF('calcA'!CL$4=0,"",IF('調整・決定'!F20&lt;&gt;"",'調整・決定'!F20,IFERROR(INDEX('名簿'!$P$5:$P$49,INDEX('calcB'!$B$3:$B$47,MATCH(87,'calcB'!$C$3:$C$47,0))),"")))</f>
        <v/>
      </c>
      <c r="G20" s="27">
        <f>IF('calcA'!DJ$4=0,"",IF('調整・決定'!G20&lt;&gt;"",'調整・決定'!G20,IFERROR(INDEX('名簿'!$P$5:$P$49,INDEX('calcB'!$B$3:$B$47,MATCH(111,'calcB'!$C$3:$C$47,0))),"")))</f>
        <v/>
      </c>
      <c r="H20" s="27">
        <f>IF('calcA'!EH$4=0,"",IF('調整・決定'!H20&lt;&gt;"",'調整・決定'!H20,IFERROR(INDEX('名簿'!$P$5:$P$49,INDEX('calcB'!$B$3:$B$47,MATCH(135,'calcB'!$C$3:$C$47,0))),"")))</f>
        <v/>
      </c>
    </row>
    <row r="21" ht="26" customHeight="1">
      <c r="B21" s="46">
        <f>'設定'!$I$26</f>
        <v/>
      </c>
      <c r="C21" s="27">
        <f>IF('calcA'!S$4=0,"",IF('調整・決定'!C21&lt;&gt;"",'調整・決定'!C21,IFERROR(INDEX('名簿'!$P$5:$P$49,INDEX('calcB'!$B$3:$B$47,MATCH(16,'calcB'!$C$3:$C$47,0))),"")))</f>
        <v/>
      </c>
      <c r="D21" s="27">
        <f>IF('calcA'!AQ$4=0,"",IF('調整・決定'!D21&lt;&gt;"",'調整・決定'!D21,IFERROR(INDEX('名簿'!$P$5:$P$49,INDEX('calcB'!$B$3:$B$47,MATCH(40,'calcB'!$C$3:$C$47,0))),"")))</f>
        <v/>
      </c>
      <c r="E21" s="27">
        <f>IF('calcA'!BO$4=0,"",IF('調整・決定'!E21&lt;&gt;"",'調整・決定'!E21,IFERROR(INDEX('名簿'!$P$5:$P$49,INDEX('calcB'!$B$3:$B$47,MATCH(64,'calcB'!$C$3:$C$47,0))),"")))</f>
        <v/>
      </c>
      <c r="F21" s="27">
        <f>IF('calcA'!CM$4=0,"",IF('調整・決定'!F21&lt;&gt;"",'調整・決定'!F21,IFERROR(INDEX('名簿'!$P$5:$P$49,INDEX('calcB'!$B$3:$B$47,MATCH(88,'calcB'!$C$3:$C$47,0))),"")))</f>
        <v/>
      </c>
      <c r="G21" s="27">
        <f>IF('calcA'!DK$4=0,"",IF('調整・決定'!G21&lt;&gt;"",'調整・決定'!G21,IFERROR(INDEX('名簿'!$P$5:$P$49,INDEX('calcB'!$B$3:$B$47,MATCH(112,'calcB'!$C$3:$C$47,0))),"")))</f>
        <v/>
      </c>
      <c r="H21" s="27">
        <f>IF('calcA'!EI$4=0,"",IF('調整・決定'!H21&lt;&gt;"",'調整・決定'!H21,IFERROR(INDEX('名簿'!$P$5:$P$49,INDEX('calcB'!$B$3:$B$47,MATCH(136,'calcB'!$C$3:$C$47,0))),"")))</f>
        <v/>
      </c>
    </row>
    <row r="22" ht="26" customHeight="1">
      <c r="B22" s="46">
        <f>'設定'!$I$27</f>
        <v/>
      </c>
      <c r="C22" s="27">
        <f>IF('calcA'!T$4=0,"",IF('調整・決定'!C22&lt;&gt;"",'調整・決定'!C22,IFERROR(INDEX('名簿'!$P$5:$P$49,INDEX('calcB'!$B$3:$B$47,MATCH(17,'calcB'!$C$3:$C$47,0))),"")))</f>
        <v/>
      </c>
      <c r="D22" s="27">
        <f>IF('calcA'!AR$4=0,"",IF('調整・決定'!D22&lt;&gt;"",'調整・決定'!D22,IFERROR(INDEX('名簿'!$P$5:$P$49,INDEX('calcB'!$B$3:$B$47,MATCH(41,'calcB'!$C$3:$C$47,0))),"")))</f>
        <v/>
      </c>
      <c r="E22" s="27">
        <f>IF('calcA'!BP$4=0,"",IF('調整・決定'!E22&lt;&gt;"",'調整・決定'!E22,IFERROR(INDEX('名簿'!$P$5:$P$49,INDEX('calcB'!$B$3:$B$47,MATCH(65,'calcB'!$C$3:$C$47,0))),"")))</f>
        <v/>
      </c>
      <c r="F22" s="27">
        <f>IF('calcA'!CN$4=0,"",IF('調整・決定'!F22&lt;&gt;"",'調整・決定'!F22,IFERROR(INDEX('名簿'!$P$5:$P$49,INDEX('calcB'!$B$3:$B$47,MATCH(89,'calcB'!$C$3:$C$47,0))),"")))</f>
        <v/>
      </c>
      <c r="G22" s="27">
        <f>IF('calcA'!DL$4=0,"",IF('調整・決定'!G22&lt;&gt;"",'調整・決定'!G22,IFERROR(INDEX('名簿'!$P$5:$P$49,INDEX('calcB'!$B$3:$B$47,MATCH(113,'calcB'!$C$3:$C$47,0))),"")))</f>
        <v/>
      </c>
      <c r="H22" s="27">
        <f>IF('calcA'!EJ$4=0,"",IF('調整・決定'!H22&lt;&gt;"",'調整・決定'!H22,IFERROR(INDEX('名簿'!$P$5:$P$49,INDEX('calcB'!$B$3:$B$47,MATCH(137,'calcB'!$C$3:$C$47,0))),"")))</f>
        <v/>
      </c>
    </row>
    <row r="23" ht="26" customHeight="1">
      <c r="B23" s="46">
        <f>'設定'!$I$28</f>
        <v/>
      </c>
      <c r="C23" s="27">
        <f>IF('calcA'!U$4=0,"",IF('調整・決定'!C23&lt;&gt;"",'調整・決定'!C23,IFERROR(INDEX('名簿'!$P$5:$P$49,INDEX('calcB'!$B$3:$B$47,MATCH(18,'calcB'!$C$3:$C$47,0))),"")))</f>
        <v/>
      </c>
      <c r="D23" s="27">
        <f>IF('calcA'!AS$4=0,"",IF('調整・決定'!D23&lt;&gt;"",'調整・決定'!D23,IFERROR(INDEX('名簿'!$P$5:$P$49,INDEX('calcB'!$B$3:$B$47,MATCH(42,'calcB'!$C$3:$C$47,0))),"")))</f>
        <v/>
      </c>
      <c r="E23" s="27">
        <f>IF('calcA'!BQ$4=0,"",IF('調整・決定'!E23&lt;&gt;"",'調整・決定'!E23,IFERROR(INDEX('名簿'!$P$5:$P$49,INDEX('calcB'!$B$3:$B$47,MATCH(66,'calcB'!$C$3:$C$47,0))),"")))</f>
        <v/>
      </c>
      <c r="F23" s="27">
        <f>IF('calcA'!CO$4=0,"",IF('調整・決定'!F23&lt;&gt;"",'調整・決定'!F23,IFERROR(INDEX('名簿'!$P$5:$P$49,INDEX('calcB'!$B$3:$B$47,MATCH(90,'calcB'!$C$3:$C$47,0))),"")))</f>
        <v/>
      </c>
      <c r="G23" s="27">
        <f>IF('calcA'!DM$4=0,"",IF('調整・決定'!G23&lt;&gt;"",'調整・決定'!G23,IFERROR(INDEX('名簿'!$P$5:$P$49,INDEX('calcB'!$B$3:$B$47,MATCH(114,'calcB'!$C$3:$C$47,0))),"")))</f>
        <v/>
      </c>
      <c r="H23" s="27">
        <f>IF('calcA'!EK$4=0,"",IF('調整・決定'!H23&lt;&gt;"",'調整・決定'!H23,IFERROR(INDEX('名簿'!$P$5:$P$49,INDEX('calcB'!$B$3:$B$47,MATCH(138,'calcB'!$C$3:$C$47,0))),"")))</f>
        <v/>
      </c>
    </row>
    <row r="24" ht="26" customHeight="1">
      <c r="B24" s="46">
        <f>'設定'!$I$29</f>
        <v/>
      </c>
      <c r="C24" s="27">
        <f>IF('calcA'!V$4=0,"",IF('調整・決定'!C24&lt;&gt;"",'調整・決定'!C24,IFERROR(INDEX('名簿'!$P$5:$P$49,INDEX('calcB'!$B$3:$B$47,MATCH(19,'calcB'!$C$3:$C$47,0))),"")))</f>
        <v/>
      </c>
      <c r="D24" s="27">
        <f>IF('calcA'!AT$4=0,"",IF('調整・決定'!D24&lt;&gt;"",'調整・決定'!D24,IFERROR(INDEX('名簿'!$P$5:$P$49,INDEX('calcB'!$B$3:$B$47,MATCH(43,'calcB'!$C$3:$C$47,0))),"")))</f>
        <v/>
      </c>
      <c r="E24" s="27">
        <f>IF('calcA'!BR$4=0,"",IF('調整・決定'!E24&lt;&gt;"",'調整・決定'!E24,IFERROR(INDEX('名簿'!$P$5:$P$49,INDEX('calcB'!$B$3:$B$47,MATCH(67,'calcB'!$C$3:$C$47,0))),"")))</f>
        <v/>
      </c>
      <c r="F24" s="27">
        <f>IF('calcA'!CP$4=0,"",IF('調整・決定'!F24&lt;&gt;"",'調整・決定'!F24,IFERROR(INDEX('名簿'!$P$5:$P$49,INDEX('calcB'!$B$3:$B$47,MATCH(91,'calcB'!$C$3:$C$47,0))),"")))</f>
        <v/>
      </c>
      <c r="G24" s="27">
        <f>IF('calcA'!DN$4=0,"",IF('調整・決定'!G24&lt;&gt;"",'調整・決定'!G24,IFERROR(INDEX('名簿'!$P$5:$P$49,INDEX('calcB'!$B$3:$B$47,MATCH(115,'calcB'!$C$3:$C$47,0))),"")))</f>
        <v/>
      </c>
      <c r="H24" s="27">
        <f>IF('calcA'!EL$4=0,"",IF('調整・決定'!H24&lt;&gt;"",'調整・決定'!H24,IFERROR(INDEX('名簿'!$P$5:$P$49,INDEX('calcB'!$B$3:$B$47,MATCH(139,'calcB'!$C$3:$C$47,0))),"")))</f>
        <v/>
      </c>
    </row>
    <row r="25" ht="26" customHeight="1">
      <c r="B25" s="46">
        <f>'設定'!$I$30</f>
        <v/>
      </c>
      <c r="C25" s="27">
        <f>IF('calcA'!W$4=0,"",IF('調整・決定'!C25&lt;&gt;"",'調整・決定'!C25,IFERROR(INDEX('名簿'!$P$5:$P$49,INDEX('calcB'!$B$3:$B$47,MATCH(20,'calcB'!$C$3:$C$47,0))),"")))</f>
        <v/>
      </c>
      <c r="D25" s="27">
        <f>IF('calcA'!AU$4=0,"",IF('調整・決定'!D25&lt;&gt;"",'調整・決定'!D25,IFERROR(INDEX('名簿'!$P$5:$P$49,INDEX('calcB'!$B$3:$B$47,MATCH(44,'calcB'!$C$3:$C$47,0))),"")))</f>
        <v/>
      </c>
      <c r="E25" s="27">
        <f>IF('calcA'!BS$4=0,"",IF('調整・決定'!E25&lt;&gt;"",'調整・決定'!E25,IFERROR(INDEX('名簿'!$P$5:$P$49,INDEX('calcB'!$B$3:$B$47,MATCH(68,'calcB'!$C$3:$C$47,0))),"")))</f>
        <v/>
      </c>
      <c r="F25" s="27">
        <f>IF('calcA'!CQ$4=0,"",IF('調整・決定'!F25&lt;&gt;"",'調整・決定'!F25,IFERROR(INDEX('名簿'!$P$5:$P$49,INDEX('calcB'!$B$3:$B$47,MATCH(92,'calcB'!$C$3:$C$47,0))),"")))</f>
        <v/>
      </c>
      <c r="G25" s="27">
        <f>IF('calcA'!DO$4=0,"",IF('調整・決定'!G25&lt;&gt;"",'調整・決定'!G25,IFERROR(INDEX('名簿'!$P$5:$P$49,INDEX('calcB'!$B$3:$B$47,MATCH(116,'calcB'!$C$3:$C$47,0))),"")))</f>
        <v/>
      </c>
      <c r="H25" s="27">
        <f>IF('calcA'!EM$4=0,"",IF('調整・決定'!H25&lt;&gt;"",'調整・決定'!H25,IFERROR(INDEX('名簿'!$P$5:$P$49,INDEX('calcB'!$B$3:$B$47,MATCH(140,'calcB'!$C$3:$C$47,0))),"")))</f>
        <v/>
      </c>
    </row>
    <row r="26" ht="26" customHeight="1">
      <c r="B26" s="46">
        <f>'設定'!$I$31</f>
        <v/>
      </c>
      <c r="C26" s="27">
        <f>IF('calcA'!X$4=0,"",IF('調整・決定'!C26&lt;&gt;"",'調整・決定'!C26,IFERROR(INDEX('名簿'!$P$5:$P$49,INDEX('calcB'!$B$3:$B$47,MATCH(21,'calcB'!$C$3:$C$47,0))),"")))</f>
        <v/>
      </c>
      <c r="D26" s="27">
        <f>IF('calcA'!AV$4=0,"",IF('調整・決定'!D26&lt;&gt;"",'調整・決定'!D26,IFERROR(INDEX('名簿'!$P$5:$P$49,INDEX('calcB'!$B$3:$B$47,MATCH(45,'calcB'!$C$3:$C$47,0))),"")))</f>
        <v/>
      </c>
      <c r="E26" s="27">
        <f>IF('calcA'!BT$4=0,"",IF('調整・決定'!E26&lt;&gt;"",'調整・決定'!E26,IFERROR(INDEX('名簿'!$P$5:$P$49,INDEX('calcB'!$B$3:$B$47,MATCH(69,'calcB'!$C$3:$C$47,0))),"")))</f>
        <v/>
      </c>
      <c r="F26" s="27">
        <f>IF('calcA'!CR$4=0,"",IF('調整・決定'!F26&lt;&gt;"",'調整・決定'!F26,IFERROR(INDEX('名簿'!$P$5:$P$49,INDEX('calcB'!$B$3:$B$47,MATCH(93,'calcB'!$C$3:$C$47,0))),"")))</f>
        <v/>
      </c>
      <c r="G26" s="27">
        <f>IF('calcA'!DP$4=0,"",IF('調整・決定'!G26&lt;&gt;"",'調整・決定'!G26,IFERROR(INDEX('名簿'!$P$5:$P$49,INDEX('calcB'!$B$3:$B$47,MATCH(117,'calcB'!$C$3:$C$47,0))),"")))</f>
        <v/>
      </c>
      <c r="H26" s="27">
        <f>IF('calcA'!EN$4=0,"",IF('調整・決定'!H26&lt;&gt;"",'調整・決定'!H26,IFERROR(INDEX('名簿'!$P$5:$P$49,INDEX('calcB'!$B$3:$B$47,MATCH(141,'calcB'!$C$3:$C$47,0))),"")))</f>
        <v/>
      </c>
    </row>
    <row r="27" ht="26" customHeight="1">
      <c r="B27" s="46">
        <f>'設定'!$I$32</f>
        <v/>
      </c>
      <c r="C27" s="27">
        <f>IF('calcA'!Y$4=0,"",IF('調整・決定'!C27&lt;&gt;"",'調整・決定'!C27,IFERROR(INDEX('名簿'!$P$5:$P$49,INDEX('calcB'!$B$3:$B$47,MATCH(22,'calcB'!$C$3:$C$47,0))),"")))</f>
        <v/>
      </c>
      <c r="D27" s="27">
        <f>IF('calcA'!AW$4=0,"",IF('調整・決定'!D27&lt;&gt;"",'調整・決定'!D27,IFERROR(INDEX('名簿'!$P$5:$P$49,INDEX('calcB'!$B$3:$B$47,MATCH(46,'calcB'!$C$3:$C$47,0))),"")))</f>
        <v/>
      </c>
      <c r="E27" s="27">
        <f>IF('calcA'!BU$4=0,"",IF('調整・決定'!E27&lt;&gt;"",'調整・決定'!E27,IFERROR(INDEX('名簿'!$P$5:$P$49,INDEX('calcB'!$B$3:$B$47,MATCH(70,'calcB'!$C$3:$C$47,0))),"")))</f>
        <v/>
      </c>
      <c r="F27" s="27">
        <f>IF('calcA'!CS$4=0,"",IF('調整・決定'!F27&lt;&gt;"",'調整・決定'!F27,IFERROR(INDEX('名簿'!$P$5:$P$49,INDEX('calcB'!$B$3:$B$47,MATCH(94,'calcB'!$C$3:$C$47,0))),"")))</f>
        <v/>
      </c>
      <c r="G27" s="27">
        <f>IF('calcA'!DQ$4=0,"",IF('調整・決定'!G27&lt;&gt;"",'調整・決定'!G27,IFERROR(INDEX('名簿'!$P$5:$P$49,INDEX('calcB'!$B$3:$B$47,MATCH(118,'calcB'!$C$3:$C$47,0))),"")))</f>
        <v/>
      </c>
      <c r="H27" s="27">
        <f>IF('calcA'!EO$4=0,"",IF('調整・決定'!H27&lt;&gt;"",'調整・決定'!H27,IFERROR(INDEX('名簿'!$P$5:$P$49,INDEX('calcB'!$B$3:$B$47,MATCH(142,'calcB'!$C$3:$C$47,0))),"")))</f>
        <v/>
      </c>
    </row>
    <row r="28" ht="26" customHeight="1">
      <c r="B28" s="46">
        <f>'設定'!$I$33</f>
        <v/>
      </c>
      <c r="C28" s="27">
        <f>IF('calcA'!Z$4=0,"",IF('調整・決定'!C28&lt;&gt;"",'調整・決定'!C28,IFERROR(INDEX('名簿'!$P$5:$P$49,INDEX('calcB'!$B$3:$B$47,MATCH(23,'calcB'!$C$3:$C$47,0))),"")))</f>
        <v/>
      </c>
      <c r="D28" s="27">
        <f>IF('calcA'!AX$4=0,"",IF('調整・決定'!D28&lt;&gt;"",'調整・決定'!D28,IFERROR(INDEX('名簿'!$P$5:$P$49,INDEX('calcB'!$B$3:$B$47,MATCH(47,'calcB'!$C$3:$C$47,0))),"")))</f>
        <v/>
      </c>
      <c r="E28" s="27">
        <f>IF('calcA'!BV$4=0,"",IF('調整・決定'!E28&lt;&gt;"",'調整・決定'!E28,IFERROR(INDEX('名簿'!$P$5:$P$49,INDEX('calcB'!$B$3:$B$47,MATCH(71,'calcB'!$C$3:$C$47,0))),"")))</f>
        <v/>
      </c>
      <c r="F28" s="27">
        <f>IF('calcA'!CT$4=0,"",IF('調整・決定'!F28&lt;&gt;"",'調整・決定'!F28,IFERROR(INDEX('名簿'!$P$5:$P$49,INDEX('calcB'!$B$3:$B$47,MATCH(95,'calcB'!$C$3:$C$47,0))),"")))</f>
        <v/>
      </c>
      <c r="G28" s="27">
        <f>IF('calcA'!DR$4=0,"",IF('調整・決定'!G28&lt;&gt;"",'調整・決定'!G28,IFERROR(INDEX('名簿'!$P$5:$P$49,INDEX('calcB'!$B$3:$B$47,MATCH(119,'calcB'!$C$3:$C$47,0))),"")))</f>
        <v/>
      </c>
      <c r="H28" s="27">
        <f>IF('calcA'!EP$4=0,"",IF('調整・決定'!H28&lt;&gt;"",'調整・決定'!H28,IFERROR(INDEX('名簿'!$P$5:$P$49,INDEX('calcB'!$B$3:$B$47,MATCH(143,'calcB'!$C$3:$C$47,0))),"")))</f>
        <v/>
      </c>
    </row>
    <row r="29" ht="26" customHeight="1">
      <c r="B29" s="46">
        <f>'設定'!$I$34</f>
        <v/>
      </c>
      <c r="C29" s="27">
        <f>IF('calcA'!AA$4=0,"",IF('調整・決定'!C29&lt;&gt;"",'調整・決定'!C29,IFERROR(INDEX('名簿'!$P$5:$P$49,INDEX('calcB'!$B$3:$B$47,MATCH(24,'calcB'!$C$3:$C$47,0))),"")))</f>
        <v/>
      </c>
      <c r="D29" s="27">
        <f>IF('calcA'!AY$4=0,"",IF('調整・決定'!D29&lt;&gt;"",'調整・決定'!D29,IFERROR(INDEX('名簿'!$P$5:$P$49,INDEX('calcB'!$B$3:$B$47,MATCH(48,'calcB'!$C$3:$C$47,0))),"")))</f>
        <v/>
      </c>
      <c r="E29" s="27">
        <f>IF('calcA'!BW$4=0,"",IF('調整・決定'!E29&lt;&gt;"",'調整・決定'!E29,IFERROR(INDEX('名簿'!$P$5:$P$49,INDEX('calcB'!$B$3:$B$47,MATCH(72,'calcB'!$C$3:$C$47,0))),"")))</f>
        <v/>
      </c>
      <c r="F29" s="27">
        <f>IF('calcA'!CU$4=0,"",IF('調整・決定'!F29&lt;&gt;"",'調整・決定'!F29,IFERROR(INDEX('名簿'!$P$5:$P$49,INDEX('calcB'!$B$3:$B$47,MATCH(96,'calcB'!$C$3:$C$47,0))),"")))</f>
        <v/>
      </c>
      <c r="G29" s="27">
        <f>IF('calcA'!DS$4=0,"",IF('調整・決定'!G29&lt;&gt;"",'調整・決定'!G29,IFERROR(INDEX('名簿'!$P$5:$P$49,INDEX('calcB'!$B$3:$B$47,MATCH(120,'calcB'!$C$3:$C$47,0))),"")))</f>
        <v/>
      </c>
      <c r="H29" s="27">
        <f>IF('calcA'!EQ$4=0,"",IF('調整・決定'!H29&lt;&gt;"",'調整・決定'!H29,IFERROR(INDEX('名簿'!$P$5:$P$49,INDEX('calcB'!$B$3:$B$47,MATCH(144,'calcB'!$C$3:$C$47,0))),"")))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A'!J3" display="▶ 自動案を作る（A・B両方）"/>
    <hyperlink ref="K3" location="'自動案A'!K3" display="▶ この案を「調整・決定」へ写す"/>
  </hyperlink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自動案B（散らす）</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3">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0" t="inlineStr">
        <is>
          <t>日ごとの人数がそろい、面談と面談のあいだがなるべく空くように組んだ案です（希望がある家庭は希望を優先）。よければ［この案を「調整・決定」へ写す］を押します。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 自動案を作る（A・B両方）</t>
        </is>
      </c>
      <c r="K3" s="89" t="inlineStr">
        <is>
          <t>▶ この案を「調整・決定」へ写す</t>
        </is>
      </c>
    </row>
    <row r="4" ht="56" customHeight="1">
      <c r="C4" s="90">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1" t="n"/>
      <c r="E4" s="91" t="n"/>
      <c r="F4" s="91" t="n"/>
      <c r="G4" s="91" t="n"/>
      <c r="H4" s="92" t="n"/>
    </row>
    <row r="5">
      <c r="B5" s="38" t="inlineStr"/>
      <c r="C5" s="39">
        <f>'設定'!$E$11</f>
        <v/>
      </c>
      <c r="D5" s="39">
        <f>'設定'!$E$12</f>
        <v/>
      </c>
      <c r="E5" s="39">
        <f>'設定'!$E$13</f>
        <v/>
      </c>
      <c r="F5" s="39">
        <f>'設定'!$E$14</f>
        <v/>
      </c>
      <c r="G5" s="39">
        <f>'設定'!$E$15</f>
        <v/>
      </c>
      <c r="H5" s="39">
        <f>'設定'!$E$16</f>
        <v/>
      </c>
      <c r="J5" s="93" t="inlineStr">
        <is>
          <t>決定済み（調整・決定シート）</t>
        </is>
      </c>
      <c r="K5" s="94">
        <f>SUMPRODUCT(('調整・決定'!$C$6:$H$29&lt;&gt;"")*1)&amp;" 人"</f>
        <v/>
      </c>
    </row>
    <row r="6" ht="26" customHeight="1">
      <c r="B6" s="46">
        <f>'設定'!$I$11</f>
        <v/>
      </c>
      <c r="C6" s="27">
        <f>IF('calcA'!D$4=0,"",IF('調整・決定'!C6&lt;&gt;"",'調整・決定'!C6,IFERROR(INDEX('名簿'!$P$5:$P$49,INDEX('calcC'!$B$3:$B$47,MATCH(1,'calcC'!$C$3:$C$47,0))),"")))</f>
        <v/>
      </c>
      <c r="D6" s="27">
        <f>IF('calcA'!AB$4=0,"",IF('調整・決定'!D6&lt;&gt;"",'調整・決定'!D6,IFERROR(INDEX('名簿'!$P$5:$P$49,INDEX('calcC'!$B$3:$B$47,MATCH(25,'calcC'!$C$3:$C$47,0))),"")))</f>
        <v/>
      </c>
      <c r="E6" s="27">
        <f>IF('calcA'!AZ$4=0,"",IF('調整・決定'!E6&lt;&gt;"",'調整・決定'!E6,IFERROR(INDEX('名簿'!$P$5:$P$49,INDEX('calcC'!$B$3:$B$47,MATCH(49,'calcC'!$C$3:$C$47,0))),"")))</f>
        <v/>
      </c>
      <c r="F6" s="27">
        <f>IF('calcA'!BX$4=0,"",IF('調整・決定'!F6&lt;&gt;"",'調整・決定'!F6,IFERROR(INDEX('名簿'!$P$5:$P$49,INDEX('calcC'!$B$3:$B$47,MATCH(73,'calcC'!$C$3:$C$47,0))),"")))</f>
        <v/>
      </c>
      <c r="G6" s="27">
        <f>IF('calcA'!CV$4=0,"",IF('調整・決定'!G6&lt;&gt;"",'調整・決定'!G6,IFERROR(INDEX('名簿'!$P$5:$P$49,INDEX('calcC'!$B$3:$B$47,MATCH(97,'calcC'!$C$3:$C$47,0))),"")))</f>
        <v/>
      </c>
      <c r="H6" s="27">
        <f>IF('calcA'!DT$4=0,"",IF('調整・決定'!H6&lt;&gt;"",'調整・決定'!H6,IFERROR(INDEX('名簿'!$P$5:$P$49,INDEX('calcC'!$B$3:$B$47,MATCH(121,'calcC'!$C$3:$C$47,0))),"")))</f>
        <v/>
      </c>
      <c r="J6" s="93" t="inlineStr">
        <is>
          <t>自動で新しく入った</t>
        </is>
      </c>
      <c r="K6" s="94">
        <f>SUMPRODUCT(('calcC'!$B$3:$B$47&gt;0)*('calcC'!$C$3:$C$47&gt;0))&amp;" 人"</f>
        <v/>
      </c>
    </row>
    <row r="7" ht="26" customHeight="1">
      <c r="B7" s="46">
        <f>'設定'!$I$12</f>
        <v/>
      </c>
      <c r="C7" s="27">
        <f>IF('calcA'!E$4=0,"",IF('調整・決定'!C7&lt;&gt;"",'調整・決定'!C7,IFERROR(INDEX('名簿'!$P$5:$P$49,INDEX('calcC'!$B$3:$B$47,MATCH(2,'calcC'!$C$3:$C$47,0))),"")))</f>
        <v/>
      </c>
      <c r="D7" s="27">
        <f>IF('calcA'!AC$4=0,"",IF('調整・決定'!D7&lt;&gt;"",'調整・決定'!D7,IFERROR(INDEX('名簿'!$P$5:$P$49,INDEX('calcC'!$B$3:$B$47,MATCH(26,'calcC'!$C$3:$C$47,0))),"")))</f>
        <v/>
      </c>
      <c r="E7" s="27">
        <f>IF('calcA'!BA$4=0,"",IF('調整・決定'!E7&lt;&gt;"",'調整・決定'!E7,IFERROR(INDEX('名簿'!$P$5:$P$49,INDEX('calcC'!$B$3:$B$47,MATCH(50,'calcC'!$C$3:$C$47,0))),"")))</f>
        <v/>
      </c>
      <c r="F7" s="27">
        <f>IF('calcA'!BY$4=0,"",IF('調整・決定'!F7&lt;&gt;"",'調整・決定'!F7,IFERROR(INDEX('名簿'!$P$5:$P$49,INDEX('calcC'!$B$3:$B$47,MATCH(74,'calcC'!$C$3:$C$47,0))),"")))</f>
        <v/>
      </c>
      <c r="G7" s="27">
        <f>IF('calcA'!CW$4=0,"",IF('調整・決定'!G7&lt;&gt;"",'調整・決定'!G7,IFERROR(INDEX('名簿'!$P$5:$P$49,INDEX('calcC'!$B$3:$B$47,MATCH(98,'calcC'!$C$3:$C$47,0))),"")))</f>
        <v/>
      </c>
      <c r="H7" s="27">
        <f>IF('calcA'!DU$4=0,"",IF('調整・決定'!H7&lt;&gt;"",'調整・決定'!H7,IFERROR(INDEX('名簿'!$P$5:$P$49,INDEX('calcC'!$B$3:$B$47,MATCH(122,'calcC'!$C$3:$C$47,0))),"")))</f>
        <v/>
      </c>
    </row>
    <row r="8" ht="30" customHeight="1">
      <c r="B8" s="46">
        <f>'設定'!$I$13</f>
        <v/>
      </c>
      <c r="C8" s="27">
        <f>IF('calcA'!F$4=0,"",IF('調整・決定'!C8&lt;&gt;"",'調整・決定'!C8,IFERROR(INDEX('名簿'!$P$5:$P$49,INDEX('calcC'!$B$3:$B$47,MATCH(3,'calcC'!$C$3:$C$47,0))),"")))</f>
        <v/>
      </c>
      <c r="D8" s="27">
        <f>IF('calcA'!AD$4=0,"",IF('調整・決定'!D8&lt;&gt;"",'調整・決定'!D8,IFERROR(INDEX('名簿'!$P$5:$P$49,INDEX('calcC'!$B$3:$B$47,MATCH(27,'calcC'!$C$3:$C$47,0))),"")))</f>
        <v/>
      </c>
      <c r="E8" s="27">
        <f>IF('calcA'!BB$4=0,"",IF('調整・決定'!E8&lt;&gt;"",'調整・決定'!E8,IFERROR(INDEX('名簿'!$P$5:$P$49,INDEX('calcC'!$B$3:$B$47,MATCH(51,'calcC'!$C$3:$C$47,0))),"")))</f>
        <v/>
      </c>
      <c r="F8" s="27">
        <f>IF('calcA'!BZ$4=0,"",IF('調整・決定'!F8&lt;&gt;"",'調整・決定'!F8,IFERROR(INDEX('名簿'!$P$5:$P$49,INDEX('calcC'!$B$3:$B$47,MATCH(75,'calcC'!$C$3:$C$47,0))),"")))</f>
        <v/>
      </c>
      <c r="G8" s="27">
        <f>IF('calcA'!CX$4=0,"",IF('調整・決定'!G8&lt;&gt;"",'調整・決定'!G8,IFERROR(INDEX('名簿'!$P$5:$P$49,INDEX('calcC'!$B$3:$B$47,MATCH(99,'calcC'!$C$3:$C$47,0))),"")))</f>
        <v/>
      </c>
      <c r="H8" s="27">
        <f>IF('calcA'!DV$4=0,"",IF('調整・決定'!H8&lt;&gt;"",'調整・決定'!H8,IFERROR(INDEX('名簿'!$P$5:$P$49,INDEX('calcC'!$B$3:$B$47,MATCH(123,'calcC'!$C$3:$C$47,0))),"")))</f>
        <v/>
      </c>
      <c r="J8" s="95" t="inlineStr">
        <is>
          <t>入る枠がない（×・必ず空けたい）</t>
        </is>
      </c>
      <c r="K8" s="96">
        <f t="array" ref="K8">_xlfn.TEXTJOIN("、",TRUE,IF('calcA'!$IS$10:$IS$54=1,'calcA'!$B$10:$B$54,""))</f>
        <v/>
      </c>
    </row>
    <row r="9" ht="26" customHeight="1">
      <c r="B9" s="46">
        <f>'設定'!$I$14</f>
        <v/>
      </c>
      <c r="C9" s="27">
        <f>IF('calcA'!G$4=0,"",IF('調整・決定'!C9&lt;&gt;"",'調整・決定'!C9,IFERROR(INDEX('名簿'!$P$5:$P$49,INDEX('calcC'!$B$3:$B$47,MATCH(4,'calcC'!$C$3:$C$47,0))),"")))</f>
        <v/>
      </c>
      <c r="D9" s="27">
        <f>IF('calcA'!AE$4=0,"",IF('調整・決定'!D9&lt;&gt;"",'調整・決定'!D9,IFERROR(INDEX('名簿'!$P$5:$P$49,INDEX('calcC'!$B$3:$B$47,MATCH(28,'calcC'!$C$3:$C$47,0))),"")))</f>
        <v/>
      </c>
      <c r="E9" s="27">
        <f>IF('calcA'!BC$4=0,"",IF('調整・決定'!E9&lt;&gt;"",'調整・決定'!E9,IFERROR(INDEX('名簿'!$P$5:$P$49,INDEX('calcC'!$B$3:$B$47,MATCH(52,'calcC'!$C$3:$C$47,0))),"")))</f>
        <v/>
      </c>
      <c r="F9" s="27">
        <f>IF('calcA'!CA$4=0,"",IF('調整・決定'!F9&lt;&gt;"",'調整・決定'!F9,IFERROR(INDEX('名簿'!$P$5:$P$49,INDEX('calcC'!$B$3:$B$47,MATCH(76,'calcC'!$C$3:$C$47,0))),"")))</f>
        <v/>
      </c>
      <c r="G9" s="27">
        <f>IF('calcA'!CY$4=0,"",IF('調整・決定'!G9&lt;&gt;"",'調整・決定'!G9,IFERROR(INDEX('名簿'!$P$5:$P$49,INDEX('calcC'!$B$3:$B$47,MATCH(100,'calcC'!$C$3:$C$47,0))),"")))</f>
        <v/>
      </c>
      <c r="H9" s="27">
        <f>IF('calcA'!DW$4=0,"",IF('調整・決定'!H9&lt;&gt;"",'調整・決定'!H9,IFERROR(INDEX('名簿'!$P$5:$P$49,INDEX('calcC'!$B$3:$B$47,MATCH(124,'calcC'!$C$3:$C$47,0))),"")))</f>
        <v/>
      </c>
    </row>
    <row r="10" ht="30" customHeight="1">
      <c r="B10" s="46">
        <f>'設定'!$I$15</f>
        <v/>
      </c>
      <c r="C10" s="27">
        <f>IF('calcA'!H$4=0,"",IF('調整・決定'!C10&lt;&gt;"",'調整・決定'!C10,IFERROR(INDEX('名簿'!$P$5:$P$49,INDEX('calcC'!$B$3:$B$47,MATCH(5,'calcC'!$C$3:$C$47,0))),"")))</f>
        <v/>
      </c>
      <c r="D10" s="27">
        <f>IF('calcA'!AF$4=0,"",IF('調整・決定'!D10&lt;&gt;"",'調整・決定'!D10,IFERROR(INDEX('名簿'!$P$5:$P$49,INDEX('calcC'!$B$3:$B$47,MATCH(29,'calcC'!$C$3:$C$47,0))),"")))</f>
        <v/>
      </c>
      <c r="E10" s="27">
        <f>IF('calcA'!BD$4=0,"",IF('調整・決定'!E10&lt;&gt;"",'調整・決定'!E10,IFERROR(INDEX('名簿'!$P$5:$P$49,INDEX('calcC'!$B$3:$B$47,MATCH(53,'calcC'!$C$3:$C$47,0))),"")))</f>
        <v/>
      </c>
      <c r="F10" s="27">
        <f>IF('calcA'!CB$4=0,"",IF('調整・決定'!F10&lt;&gt;"",'調整・決定'!F10,IFERROR(INDEX('名簿'!$P$5:$P$49,INDEX('calcC'!$B$3:$B$47,MATCH(77,'calcC'!$C$3:$C$47,0))),"")))</f>
        <v/>
      </c>
      <c r="G10" s="27">
        <f>IF('calcA'!CZ$4=0,"",IF('調整・決定'!G10&lt;&gt;"",'調整・決定'!G10,IFERROR(INDEX('名簿'!$P$5:$P$49,INDEX('calcC'!$B$3:$B$47,MATCH(101,'calcC'!$C$3:$C$47,0))),"")))</f>
        <v/>
      </c>
      <c r="H10" s="27">
        <f>IF('calcA'!DX$4=0,"",IF('調整・決定'!H10&lt;&gt;"",'調整・決定'!H10,IFERROR(INDEX('名簿'!$P$5:$P$49,INDEX('calcC'!$B$3:$B$47,MATCH(125,'calcC'!$C$3:$C$47,0))),"")))</f>
        <v/>
      </c>
      <c r="J10" s="97" t="inlineStr">
        <is>
          <t>未入力・未提出で外した</t>
        </is>
      </c>
      <c r="K10" s="98">
        <f t="array" ref="K10">_xlfn.TEXTJOIN("、",TRUE,IF((('名簿'!$Q$5:$Q$49="未入力")+('名簿'!$Q$5:$Q$49="未提出"))*('calcA'!$IO$10:$IO$54=0),'名簿'!$P$5:$P$49,""))</f>
        <v/>
      </c>
    </row>
    <row r="11" ht="26" customHeight="1">
      <c r="B11" s="46">
        <f>'設定'!$I$16</f>
        <v/>
      </c>
      <c r="C11" s="27">
        <f>IF('calcA'!I$4=0,"",IF('調整・決定'!C11&lt;&gt;"",'調整・決定'!C11,IFERROR(INDEX('名簿'!$P$5:$P$49,INDEX('calcC'!$B$3:$B$47,MATCH(6,'calcC'!$C$3:$C$47,0))),"")))</f>
        <v/>
      </c>
      <c r="D11" s="27">
        <f>IF('calcA'!AG$4=0,"",IF('調整・決定'!D11&lt;&gt;"",'調整・決定'!D11,IFERROR(INDEX('名簿'!$P$5:$P$49,INDEX('calcC'!$B$3:$B$47,MATCH(30,'calcC'!$C$3:$C$47,0))),"")))</f>
        <v/>
      </c>
      <c r="E11" s="27">
        <f>IF('calcA'!BE$4=0,"",IF('調整・決定'!E11&lt;&gt;"",'調整・決定'!E11,IFERROR(INDEX('名簿'!$P$5:$P$49,INDEX('calcC'!$B$3:$B$47,MATCH(54,'calcC'!$C$3:$C$47,0))),"")))</f>
        <v/>
      </c>
      <c r="F11" s="27">
        <f>IF('calcA'!CC$4=0,"",IF('調整・決定'!F11&lt;&gt;"",'調整・決定'!F11,IFERROR(INDEX('名簿'!$P$5:$P$49,INDEX('calcC'!$B$3:$B$47,MATCH(78,'calcC'!$C$3:$C$47,0))),"")))</f>
        <v/>
      </c>
      <c r="G11" s="27">
        <f>IF('calcA'!DA$4=0,"",IF('調整・決定'!G11&lt;&gt;"",'調整・決定'!G11,IFERROR(INDEX('名簿'!$P$5:$P$49,INDEX('calcC'!$B$3:$B$47,MATCH(102,'calcC'!$C$3:$C$47,0))),"")))</f>
        <v/>
      </c>
      <c r="H11" s="27">
        <f>IF('calcA'!DY$4=0,"",IF('調整・決定'!H11&lt;&gt;"",'調整・決定'!H11,IFERROR(INDEX('名簿'!$P$5:$P$49,INDEX('calcC'!$B$3:$B$47,MATCH(126,'calcC'!$C$3:$C$47,0))),"")))</f>
        <v/>
      </c>
    </row>
    <row r="12" ht="26" customHeight="1">
      <c r="B12" s="46">
        <f>'設定'!$I$17</f>
        <v/>
      </c>
      <c r="C12" s="27">
        <f>IF('calcA'!J$4=0,"",IF('調整・決定'!C12&lt;&gt;"",'調整・決定'!C12,IFERROR(INDEX('名簿'!$P$5:$P$49,INDEX('calcC'!$B$3:$B$47,MATCH(7,'calcC'!$C$3:$C$47,0))),"")))</f>
        <v/>
      </c>
      <c r="D12" s="27">
        <f>IF('calcA'!AH$4=0,"",IF('調整・決定'!D12&lt;&gt;"",'調整・決定'!D12,IFERROR(INDEX('名簿'!$P$5:$P$49,INDEX('calcC'!$B$3:$B$47,MATCH(31,'calcC'!$C$3:$C$47,0))),"")))</f>
        <v/>
      </c>
      <c r="E12" s="27">
        <f>IF('calcA'!BF$4=0,"",IF('調整・決定'!E12&lt;&gt;"",'調整・決定'!E12,IFERROR(INDEX('名簿'!$P$5:$P$49,INDEX('calcC'!$B$3:$B$47,MATCH(55,'calcC'!$C$3:$C$47,0))),"")))</f>
        <v/>
      </c>
      <c r="F12" s="27">
        <f>IF('calcA'!CD$4=0,"",IF('調整・決定'!F12&lt;&gt;"",'調整・決定'!F12,IFERROR(INDEX('名簿'!$P$5:$P$49,INDEX('calcC'!$B$3:$B$47,MATCH(79,'calcC'!$C$3:$C$47,0))),"")))</f>
        <v/>
      </c>
      <c r="G12" s="27">
        <f>IF('calcA'!DB$4=0,"",IF('調整・決定'!G12&lt;&gt;"",'調整・決定'!G12,IFERROR(INDEX('名簿'!$P$5:$P$49,INDEX('calcC'!$B$3:$B$47,MATCH(103,'calcC'!$C$3:$C$47,0))),"")))</f>
        <v/>
      </c>
      <c r="H12" s="27">
        <f>IF('calcA'!DZ$4=0,"",IF('調整・決定'!H12&lt;&gt;"",'調整・決定'!H12,IFERROR(INDEX('名簿'!$P$5:$P$49,INDEX('calcC'!$B$3:$B$47,MATCH(127,'calcC'!$C$3:$C$47,0))),"")))</f>
        <v/>
      </c>
      <c r="J12" s="93" t="inlineStr">
        <is>
          <t>なるべく空けたい枠を使った</t>
        </is>
      </c>
      <c r="K12" s="94">
        <f>SUM('calcC'!$D$3:$D$47)&amp;" 枠"</f>
        <v/>
      </c>
    </row>
    <row r="13" ht="26" customHeight="1">
      <c r="B13" s="46">
        <f>'設定'!$I$18</f>
        <v/>
      </c>
      <c r="C13" s="27">
        <f>IF('calcA'!K$4=0,"",IF('調整・決定'!C13&lt;&gt;"",'調整・決定'!C13,IFERROR(INDEX('名簿'!$P$5:$P$49,INDEX('calcC'!$B$3:$B$47,MATCH(8,'calcC'!$C$3:$C$47,0))),"")))</f>
        <v/>
      </c>
      <c r="D13" s="27">
        <f>IF('calcA'!AI$4=0,"",IF('調整・決定'!D13&lt;&gt;"",'調整・決定'!D13,IFERROR(INDEX('名簿'!$P$5:$P$49,INDEX('calcC'!$B$3:$B$47,MATCH(32,'calcC'!$C$3:$C$47,0))),"")))</f>
        <v/>
      </c>
      <c r="E13" s="27">
        <f>IF('calcA'!BG$4=0,"",IF('調整・決定'!E13&lt;&gt;"",'調整・決定'!E13,IFERROR(INDEX('名簿'!$P$5:$P$49,INDEX('calcC'!$B$3:$B$47,MATCH(56,'calcC'!$C$3:$C$47,0))),"")))</f>
        <v/>
      </c>
      <c r="F13" s="27">
        <f>IF('calcA'!CE$4=0,"",IF('調整・決定'!F13&lt;&gt;"",'調整・決定'!F13,IFERROR(INDEX('名簿'!$P$5:$P$49,INDEX('calcC'!$B$3:$B$47,MATCH(80,'calcC'!$C$3:$C$47,0))),"")))</f>
        <v/>
      </c>
      <c r="G13" s="27">
        <f>IF('calcA'!DC$4=0,"",IF('調整・決定'!G13&lt;&gt;"",'調整・決定'!G13,IFERROR(INDEX('名簿'!$P$5:$P$49,INDEX('calcC'!$B$3:$B$47,MATCH(104,'calcC'!$C$3:$C$47,0))),"")))</f>
        <v/>
      </c>
      <c r="H13" s="27">
        <f>IF('calcA'!EA$4=0,"",IF('調整・決定'!H13&lt;&gt;"",'調整・決定'!H13,IFERROR(INDEX('名簿'!$P$5:$P$49,INDEX('calcC'!$B$3:$B$47,MATCH(128,'calcC'!$C$3:$C$47,0))),"")))</f>
        <v/>
      </c>
      <c r="J13" s="93" t="inlineStr">
        <is>
          <t>日ごとの人数</t>
        </is>
      </c>
    </row>
    <row r="14" ht="26" customHeight="1">
      <c r="B14" s="46">
        <f>'設定'!$I$19</f>
        <v/>
      </c>
      <c r="C14" s="27">
        <f>IF('calcA'!L$4=0,"",IF('調整・決定'!C14&lt;&gt;"",'調整・決定'!C14,IFERROR(INDEX('名簿'!$P$5:$P$49,INDEX('calcC'!$B$3:$B$47,MATCH(9,'calcC'!$C$3:$C$47,0))),"")))</f>
        <v/>
      </c>
      <c r="D14" s="27">
        <f>IF('calcA'!AJ$4=0,"",IF('調整・決定'!D14&lt;&gt;"",'調整・決定'!D14,IFERROR(INDEX('名簿'!$P$5:$P$49,INDEX('calcC'!$B$3:$B$47,MATCH(33,'calcC'!$C$3:$C$47,0))),"")))</f>
        <v/>
      </c>
      <c r="E14" s="27">
        <f>IF('calcA'!BH$4=0,"",IF('調整・決定'!E14&lt;&gt;"",'調整・決定'!E14,IFERROR(INDEX('名簿'!$P$5:$P$49,INDEX('calcC'!$B$3:$B$47,MATCH(57,'calcC'!$C$3:$C$47,0))),"")))</f>
        <v/>
      </c>
      <c r="F14" s="27">
        <f>IF('calcA'!CF$4=0,"",IF('調整・決定'!F14&lt;&gt;"",'調整・決定'!F14,IFERROR(INDEX('名簿'!$P$5:$P$49,INDEX('calcC'!$B$3:$B$47,MATCH(81,'calcC'!$C$3:$C$47,0))),"")))</f>
        <v/>
      </c>
      <c r="G14" s="27">
        <f>IF('calcA'!DD$4=0,"",IF('調整・決定'!G14&lt;&gt;"",'調整・決定'!G14,IFERROR(INDEX('名簿'!$P$5:$P$49,INDEX('calcC'!$B$3:$B$47,MATCH(105,'calcC'!$C$3:$C$47,0))),"")))</f>
        <v/>
      </c>
      <c r="H14" s="27">
        <f>IF('calcA'!EB$4=0,"",IF('調整・決定'!H14&lt;&gt;"",'調整・決定'!H14,IFERROR(INDEX('名簿'!$P$5:$P$49,INDEX('calcC'!$B$3:$B$47,MATCH(129,'calcC'!$C$3:$C$47,0))),"")))</f>
        <v/>
      </c>
      <c r="J14" s="99">
        <f>IF('設定'!$E$11="","",'設定'!$E$11)</f>
        <v/>
      </c>
      <c r="K14" s="100">
        <f>IF(J14="","",COUNTIF(C6:C29,"?*")&amp;" 人")</f>
        <v/>
      </c>
    </row>
    <row r="15" ht="26" customHeight="1">
      <c r="B15" s="46">
        <f>'設定'!$I$20</f>
        <v/>
      </c>
      <c r="C15" s="27">
        <f>IF('calcA'!M$4=0,"",IF('調整・決定'!C15&lt;&gt;"",'調整・決定'!C15,IFERROR(INDEX('名簿'!$P$5:$P$49,INDEX('calcC'!$B$3:$B$47,MATCH(10,'calcC'!$C$3:$C$47,0))),"")))</f>
        <v/>
      </c>
      <c r="D15" s="27">
        <f>IF('calcA'!AK$4=0,"",IF('調整・決定'!D15&lt;&gt;"",'調整・決定'!D15,IFERROR(INDEX('名簿'!$P$5:$P$49,INDEX('calcC'!$B$3:$B$47,MATCH(34,'calcC'!$C$3:$C$47,0))),"")))</f>
        <v/>
      </c>
      <c r="E15" s="27">
        <f>IF('calcA'!BI$4=0,"",IF('調整・決定'!E15&lt;&gt;"",'調整・決定'!E15,IFERROR(INDEX('名簿'!$P$5:$P$49,INDEX('calcC'!$B$3:$B$47,MATCH(58,'calcC'!$C$3:$C$47,0))),"")))</f>
        <v/>
      </c>
      <c r="F15" s="27">
        <f>IF('calcA'!CG$4=0,"",IF('調整・決定'!F15&lt;&gt;"",'調整・決定'!F15,IFERROR(INDEX('名簿'!$P$5:$P$49,INDEX('calcC'!$B$3:$B$47,MATCH(82,'calcC'!$C$3:$C$47,0))),"")))</f>
        <v/>
      </c>
      <c r="G15" s="27">
        <f>IF('calcA'!DE$4=0,"",IF('調整・決定'!G15&lt;&gt;"",'調整・決定'!G15,IFERROR(INDEX('名簿'!$P$5:$P$49,INDEX('calcC'!$B$3:$B$47,MATCH(106,'calcC'!$C$3:$C$47,0))),"")))</f>
        <v/>
      </c>
      <c r="H15" s="27">
        <f>IF('calcA'!EC$4=0,"",IF('調整・決定'!H15&lt;&gt;"",'調整・決定'!H15,IFERROR(INDEX('名簿'!$P$5:$P$49,INDEX('calcC'!$B$3:$B$47,MATCH(130,'calcC'!$C$3:$C$47,0))),"")))</f>
        <v/>
      </c>
      <c r="J15" s="99">
        <f>IF('設定'!$E$12="","",'設定'!$E$12)</f>
        <v/>
      </c>
      <c r="K15" s="100">
        <f>IF(J15="","",COUNTIF(D6:D29,"?*")&amp;" 人")</f>
        <v/>
      </c>
    </row>
    <row r="16" ht="26" customHeight="1">
      <c r="B16" s="46">
        <f>'設定'!$I$21</f>
        <v/>
      </c>
      <c r="C16" s="27">
        <f>IF('calcA'!N$4=0,"",IF('調整・決定'!C16&lt;&gt;"",'調整・決定'!C16,IFERROR(INDEX('名簿'!$P$5:$P$49,INDEX('calcC'!$B$3:$B$47,MATCH(11,'calcC'!$C$3:$C$47,0))),"")))</f>
        <v/>
      </c>
      <c r="D16" s="27">
        <f>IF('calcA'!AL$4=0,"",IF('調整・決定'!D16&lt;&gt;"",'調整・決定'!D16,IFERROR(INDEX('名簿'!$P$5:$P$49,INDEX('calcC'!$B$3:$B$47,MATCH(35,'calcC'!$C$3:$C$47,0))),"")))</f>
        <v/>
      </c>
      <c r="E16" s="27">
        <f>IF('calcA'!BJ$4=0,"",IF('調整・決定'!E16&lt;&gt;"",'調整・決定'!E16,IFERROR(INDEX('名簿'!$P$5:$P$49,INDEX('calcC'!$B$3:$B$47,MATCH(59,'calcC'!$C$3:$C$47,0))),"")))</f>
        <v/>
      </c>
      <c r="F16" s="27">
        <f>IF('calcA'!CH$4=0,"",IF('調整・決定'!F16&lt;&gt;"",'調整・決定'!F16,IFERROR(INDEX('名簿'!$P$5:$P$49,INDEX('calcC'!$B$3:$B$47,MATCH(83,'calcC'!$C$3:$C$47,0))),"")))</f>
        <v/>
      </c>
      <c r="G16" s="27">
        <f>IF('calcA'!DF$4=0,"",IF('調整・決定'!G16&lt;&gt;"",'調整・決定'!G16,IFERROR(INDEX('名簿'!$P$5:$P$49,INDEX('calcC'!$B$3:$B$47,MATCH(107,'calcC'!$C$3:$C$47,0))),"")))</f>
        <v/>
      </c>
      <c r="H16" s="27">
        <f>IF('calcA'!ED$4=0,"",IF('調整・決定'!H16&lt;&gt;"",'調整・決定'!H16,IFERROR(INDEX('名簿'!$P$5:$P$49,INDEX('calcC'!$B$3:$B$47,MATCH(131,'calcC'!$C$3:$C$47,0))),"")))</f>
        <v/>
      </c>
      <c r="J16" s="99">
        <f>IF('設定'!$E$13="","",'設定'!$E$13)</f>
        <v/>
      </c>
      <c r="K16" s="100">
        <f>IF(J16="","",COUNTIF(E6:E29,"?*")&amp;" 人")</f>
        <v/>
      </c>
    </row>
    <row r="17" ht="26" customHeight="1">
      <c r="B17" s="46">
        <f>'設定'!$I$22</f>
        <v/>
      </c>
      <c r="C17" s="27">
        <f>IF('calcA'!O$4=0,"",IF('調整・決定'!C17&lt;&gt;"",'調整・決定'!C17,IFERROR(INDEX('名簿'!$P$5:$P$49,INDEX('calcC'!$B$3:$B$47,MATCH(12,'calcC'!$C$3:$C$47,0))),"")))</f>
        <v/>
      </c>
      <c r="D17" s="27">
        <f>IF('calcA'!AM$4=0,"",IF('調整・決定'!D17&lt;&gt;"",'調整・決定'!D17,IFERROR(INDEX('名簿'!$P$5:$P$49,INDEX('calcC'!$B$3:$B$47,MATCH(36,'calcC'!$C$3:$C$47,0))),"")))</f>
        <v/>
      </c>
      <c r="E17" s="27">
        <f>IF('calcA'!BK$4=0,"",IF('調整・決定'!E17&lt;&gt;"",'調整・決定'!E17,IFERROR(INDEX('名簿'!$P$5:$P$49,INDEX('calcC'!$B$3:$B$47,MATCH(60,'calcC'!$C$3:$C$47,0))),"")))</f>
        <v/>
      </c>
      <c r="F17" s="27">
        <f>IF('calcA'!CI$4=0,"",IF('調整・決定'!F17&lt;&gt;"",'調整・決定'!F17,IFERROR(INDEX('名簿'!$P$5:$P$49,INDEX('calcC'!$B$3:$B$47,MATCH(84,'calcC'!$C$3:$C$47,0))),"")))</f>
        <v/>
      </c>
      <c r="G17" s="27">
        <f>IF('calcA'!DG$4=0,"",IF('調整・決定'!G17&lt;&gt;"",'調整・決定'!G17,IFERROR(INDEX('名簿'!$P$5:$P$49,INDEX('calcC'!$B$3:$B$47,MATCH(108,'calcC'!$C$3:$C$47,0))),"")))</f>
        <v/>
      </c>
      <c r="H17" s="27">
        <f>IF('calcA'!EE$4=0,"",IF('調整・決定'!H17&lt;&gt;"",'調整・決定'!H17,IFERROR(INDEX('名簿'!$P$5:$P$49,INDEX('calcC'!$B$3:$B$47,MATCH(132,'calcC'!$C$3:$C$47,0))),"")))</f>
        <v/>
      </c>
      <c r="J17" s="99">
        <f>IF('設定'!$E$14="","",'設定'!$E$14)</f>
        <v/>
      </c>
      <c r="K17" s="100">
        <f>IF(J17="","",COUNTIF(F6:F29,"?*")&amp;" 人")</f>
        <v/>
      </c>
    </row>
    <row r="18" ht="26" customHeight="1">
      <c r="B18" s="46">
        <f>'設定'!$I$23</f>
        <v/>
      </c>
      <c r="C18" s="27">
        <f>IF('calcA'!P$4=0,"",IF('調整・決定'!C18&lt;&gt;"",'調整・決定'!C18,IFERROR(INDEX('名簿'!$P$5:$P$49,INDEX('calcC'!$B$3:$B$47,MATCH(13,'calcC'!$C$3:$C$47,0))),"")))</f>
        <v/>
      </c>
      <c r="D18" s="27">
        <f>IF('calcA'!AN$4=0,"",IF('調整・決定'!D18&lt;&gt;"",'調整・決定'!D18,IFERROR(INDEX('名簿'!$P$5:$P$49,INDEX('calcC'!$B$3:$B$47,MATCH(37,'calcC'!$C$3:$C$47,0))),"")))</f>
        <v/>
      </c>
      <c r="E18" s="27">
        <f>IF('calcA'!BL$4=0,"",IF('調整・決定'!E18&lt;&gt;"",'調整・決定'!E18,IFERROR(INDEX('名簿'!$P$5:$P$49,INDEX('calcC'!$B$3:$B$47,MATCH(61,'calcC'!$C$3:$C$47,0))),"")))</f>
        <v/>
      </c>
      <c r="F18" s="27">
        <f>IF('calcA'!CJ$4=0,"",IF('調整・決定'!F18&lt;&gt;"",'調整・決定'!F18,IFERROR(INDEX('名簿'!$P$5:$P$49,INDEX('calcC'!$B$3:$B$47,MATCH(85,'calcC'!$C$3:$C$47,0))),"")))</f>
        <v/>
      </c>
      <c r="G18" s="27">
        <f>IF('calcA'!DH$4=0,"",IF('調整・決定'!G18&lt;&gt;"",'調整・決定'!G18,IFERROR(INDEX('名簿'!$P$5:$P$49,INDEX('calcC'!$B$3:$B$47,MATCH(109,'calcC'!$C$3:$C$47,0))),"")))</f>
        <v/>
      </c>
      <c r="H18" s="27">
        <f>IF('calcA'!EF$4=0,"",IF('調整・決定'!H18&lt;&gt;"",'調整・決定'!H18,IFERROR(INDEX('名簿'!$P$5:$P$49,INDEX('calcC'!$B$3:$B$47,MATCH(133,'calcC'!$C$3:$C$47,0))),"")))</f>
        <v/>
      </c>
      <c r="J18" s="99">
        <f>IF('設定'!$E$15="","",'設定'!$E$15)</f>
        <v/>
      </c>
      <c r="K18" s="100">
        <f>IF(J18="","",COUNTIF(G6:G29,"?*")&amp;" 人")</f>
        <v/>
      </c>
    </row>
    <row r="19" ht="26" customHeight="1">
      <c r="B19" s="46">
        <f>'設定'!$I$24</f>
        <v/>
      </c>
      <c r="C19" s="27">
        <f>IF('calcA'!Q$4=0,"",IF('調整・決定'!C19&lt;&gt;"",'調整・決定'!C19,IFERROR(INDEX('名簿'!$P$5:$P$49,INDEX('calcC'!$B$3:$B$47,MATCH(14,'calcC'!$C$3:$C$47,0))),"")))</f>
        <v/>
      </c>
      <c r="D19" s="27">
        <f>IF('calcA'!AO$4=0,"",IF('調整・決定'!D19&lt;&gt;"",'調整・決定'!D19,IFERROR(INDEX('名簿'!$P$5:$P$49,INDEX('calcC'!$B$3:$B$47,MATCH(38,'calcC'!$C$3:$C$47,0))),"")))</f>
        <v/>
      </c>
      <c r="E19" s="27">
        <f>IF('calcA'!BM$4=0,"",IF('調整・決定'!E19&lt;&gt;"",'調整・決定'!E19,IFERROR(INDEX('名簿'!$P$5:$P$49,INDEX('calcC'!$B$3:$B$47,MATCH(62,'calcC'!$C$3:$C$47,0))),"")))</f>
        <v/>
      </c>
      <c r="F19" s="27">
        <f>IF('calcA'!CK$4=0,"",IF('調整・決定'!F19&lt;&gt;"",'調整・決定'!F19,IFERROR(INDEX('名簿'!$P$5:$P$49,INDEX('calcC'!$B$3:$B$47,MATCH(86,'calcC'!$C$3:$C$47,0))),"")))</f>
        <v/>
      </c>
      <c r="G19" s="27">
        <f>IF('calcA'!DI$4=0,"",IF('調整・決定'!G19&lt;&gt;"",'調整・決定'!G19,IFERROR(INDEX('名簿'!$P$5:$P$49,INDEX('calcC'!$B$3:$B$47,MATCH(110,'calcC'!$C$3:$C$47,0))),"")))</f>
        <v/>
      </c>
      <c r="H19" s="27">
        <f>IF('calcA'!EG$4=0,"",IF('調整・決定'!H19&lt;&gt;"",'調整・決定'!H19,IFERROR(INDEX('名簿'!$P$5:$P$49,INDEX('calcC'!$B$3:$B$47,MATCH(134,'calcC'!$C$3:$C$47,0))),"")))</f>
        <v/>
      </c>
      <c r="J19" s="99">
        <f>IF('設定'!$E$16="","",'設定'!$E$16)</f>
        <v/>
      </c>
      <c r="K19" s="100">
        <f>IF(J19="","",COUNTIF(H6:H29,"?*")&amp;" 人")</f>
        <v/>
      </c>
    </row>
    <row r="20" ht="26" customHeight="1">
      <c r="B20" s="46">
        <f>'設定'!$I$25</f>
        <v/>
      </c>
      <c r="C20" s="27">
        <f>IF('calcA'!R$4=0,"",IF('調整・決定'!C20&lt;&gt;"",'調整・決定'!C20,IFERROR(INDEX('名簿'!$P$5:$P$49,INDEX('calcC'!$B$3:$B$47,MATCH(15,'calcC'!$C$3:$C$47,0))),"")))</f>
        <v/>
      </c>
      <c r="D20" s="27">
        <f>IF('calcA'!AP$4=0,"",IF('調整・決定'!D20&lt;&gt;"",'調整・決定'!D20,IFERROR(INDEX('名簿'!$P$5:$P$49,INDEX('calcC'!$B$3:$B$47,MATCH(39,'calcC'!$C$3:$C$47,0))),"")))</f>
        <v/>
      </c>
      <c r="E20" s="27">
        <f>IF('calcA'!BN$4=0,"",IF('調整・決定'!E20&lt;&gt;"",'調整・決定'!E20,IFERROR(INDEX('名簿'!$P$5:$P$49,INDEX('calcC'!$B$3:$B$47,MATCH(63,'calcC'!$C$3:$C$47,0))),"")))</f>
        <v/>
      </c>
      <c r="F20" s="27">
        <f>IF('calcA'!CL$4=0,"",IF('調整・決定'!F20&lt;&gt;"",'調整・決定'!F20,IFERROR(INDEX('名簿'!$P$5:$P$49,INDEX('calcC'!$B$3:$B$47,MATCH(87,'calcC'!$C$3:$C$47,0))),"")))</f>
        <v/>
      </c>
      <c r="G20" s="27">
        <f>IF('calcA'!DJ$4=0,"",IF('調整・決定'!G20&lt;&gt;"",'調整・決定'!G20,IFERROR(INDEX('名簿'!$P$5:$P$49,INDEX('calcC'!$B$3:$B$47,MATCH(111,'calcC'!$C$3:$C$47,0))),"")))</f>
        <v/>
      </c>
      <c r="H20" s="27">
        <f>IF('calcA'!EH$4=0,"",IF('調整・決定'!H20&lt;&gt;"",'調整・決定'!H20,IFERROR(INDEX('名簿'!$P$5:$P$49,INDEX('calcC'!$B$3:$B$47,MATCH(135,'calcC'!$C$3:$C$47,0))),"")))</f>
        <v/>
      </c>
    </row>
    <row r="21" ht="26" customHeight="1">
      <c r="B21" s="46">
        <f>'設定'!$I$26</f>
        <v/>
      </c>
      <c r="C21" s="27">
        <f>IF('calcA'!S$4=0,"",IF('調整・決定'!C21&lt;&gt;"",'調整・決定'!C21,IFERROR(INDEX('名簿'!$P$5:$P$49,INDEX('calcC'!$B$3:$B$47,MATCH(16,'calcC'!$C$3:$C$47,0))),"")))</f>
        <v/>
      </c>
      <c r="D21" s="27">
        <f>IF('calcA'!AQ$4=0,"",IF('調整・決定'!D21&lt;&gt;"",'調整・決定'!D21,IFERROR(INDEX('名簿'!$P$5:$P$49,INDEX('calcC'!$B$3:$B$47,MATCH(40,'calcC'!$C$3:$C$47,0))),"")))</f>
        <v/>
      </c>
      <c r="E21" s="27">
        <f>IF('calcA'!BO$4=0,"",IF('調整・決定'!E21&lt;&gt;"",'調整・決定'!E21,IFERROR(INDEX('名簿'!$P$5:$P$49,INDEX('calcC'!$B$3:$B$47,MATCH(64,'calcC'!$C$3:$C$47,0))),"")))</f>
        <v/>
      </c>
      <c r="F21" s="27">
        <f>IF('calcA'!CM$4=0,"",IF('調整・決定'!F21&lt;&gt;"",'調整・決定'!F21,IFERROR(INDEX('名簿'!$P$5:$P$49,INDEX('calcC'!$B$3:$B$47,MATCH(88,'calcC'!$C$3:$C$47,0))),"")))</f>
        <v/>
      </c>
      <c r="G21" s="27">
        <f>IF('calcA'!DK$4=0,"",IF('調整・決定'!G21&lt;&gt;"",'調整・決定'!G21,IFERROR(INDEX('名簿'!$P$5:$P$49,INDEX('calcC'!$B$3:$B$47,MATCH(112,'calcC'!$C$3:$C$47,0))),"")))</f>
        <v/>
      </c>
      <c r="H21" s="27">
        <f>IF('calcA'!EI$4=0,"",IF('調整・決定'!H21&lt;&gt;"",'調整・決定'!H21,IFERROR(INDEX('名簿'!$P$5:$P$49,INDEX('calcC'!$B$3:$B$47,MATCH(136,'calcC'!$C$3:$C$47,0))),"")))</f>
        <v/>
      </c>
    </row>
    <row r="22" ht="26" customHeight="1">
      <c r="B22" s="46">
        <f>'設定'!$I$27</f>
        <v/>
      </c>
      <c r="C22" s="27">
        <f>IF('calcA'!T$4=0,"",IF('調整・決定'!C22&lt;&gt;"",'調整・決定'!C22,IFERROR(INDEX('名簿'!$P$5:$P$49,INDEX('calcC'!$B$3:$B$47,MATCH(17,'calcC'!$C$3:$C$47,0))),"")))</f>
        <v/>
      </c>
      <c r="D22" s="27">
        <f>IF('calcA'!AR$4=0,"",IF('調整・決定'!D22&lt;&gt;"",'調整・決定'!D22,IFERROR(INDEX('名簿'!$P$5:$P$49,INDEX('calcC'!$B$3:$B$47,MATCH(41,'calcC'!$C$3:$C$47,0))),"")))</f>
        <v/>
      </c>
      <c r="E22" s="27">
        <f>IF('calcA'!BP$4=0,"",IF('調整・決定'!E22&lt;&gt;"",'調整・決定'!E22,IFERROR(INDEX('名簿'!$P$5:$P$49,INDEX('calcC'!$B$3:$B$47,MATCH(65,'calcC'!$C$3:$C$47,0))),"")))</f>
        <v/>
      </c>
      <c r="F22" s="27">
        <f>IF('calcA'!CN$4=0,"",IF('調整・決定'!F22&lt;&gt;"",'調整・決定'!F22,IFERROR(INDEX('名簿'!$P$5:$P$49,INDEX('calcC'!$B$3:$B$47,MATCH(89,'calcC'!$C$3:$C$47,0))),"")))</f>
        <v/>
      </c>
      <c r="G22" s="27">
        <f>IF('calcA'!DL$4=0,"",IF('調整・決定'!G22&lt;&gt;"",'調整・決定'!G22,IFERROR(INDEX('名簿'!$P$5:$P$49,INDEX('calcC'!$B$3:$B$47,MATCH(113,'calcC'!$C$3:$C$47,0))),"")))</f>
        <v/>
      </c>
      <c r="H22" s="27">
        <f>IF('calcA'!EJ$4=0,"",IF('調整・決定'!H22&lt;&gt;"",'調整・決定'!H22,IFERROR(INDEX('名簿'!$P$5:$P$49,INDEX('calcC'!$B$3:$B$47,MATCH(137,'calcC'!$C$3:$C$47,0))),"")))</f>
        <v/>
      </c>
    </row>
    <row r="23" ht="26" customHeight="1">
      <c r="B23" s="46">
        <f>'設定'!$I$28</f>
        <v/>
      </c>
      <c r="C23" s="27">
        <f>IF('calcA'!U$4=0,"",IF('調整・決定'!C23&lt;&gt;"",'調整・決定'!C23,IFERROR(INDEX('名簿'!$P$5:$P$49,INDEX('calcC'!$B$3:$B$47,MATCH(18,'calcC'!$C$3:$C$47,0))),"")))</f>
        <v/>
      </c>
      <c r="D23" s="27">
        <f>IF('calcA'!AS$4=0,"",IF('調整・決定'!D23&lt;&gt;"",'調整・決定'!D23,IFERROR(INDEX('名簿'!$P$5:$P$49,INDEX('calcC'!$B$3:$B$47,MATCH(42,'calcC'!$C$3:$C$47,0))),"")))</f>
        <v/>
      </c>
      <c r="E23" s="27">
        <f>IF('calcA'!BQ$4=0,"",IF('調整・決定'!E23&lt;&gt;"",'調整・決定'!E23,IFERROR(INDEX('名簿'!$P$5:$P$49,INDEX('calcC'!$B$3:$B$47,MATCH(66,'calcC'!$C$3:$C$47,0))),"")))</f>
        <v/>
      </c>
      <c r="F23" s="27">
        <f>IF('calcA'!CO$4=0,"",IF('調整・決定'!F23&lt;&gt;"",'調整・決定'!F23,IFERROR(INDEX('名簿'!$P$5:$P$49,INDEX('calcC'!$B$3:$B$47,MATCH(90,'calcC'!$C$3:$C$47,0))),"")))</f>
        <v/>
      </c>
      <c r="G23" s="27">
        <f>IF('calcA'!DM$4=0,"",IF('調整・決定'!G23&lt;&gt;"",'調整・決定'!G23,IFERROR(INDEX('名簿'!$P$5:$P$49,INDEX('calcC'!$B$3:$B$47,MATCH(114,'calcC'!$C$3:$C$47,0))),"")))</f>
        <v/>
      </c>
      <c r="H23" s="27">
        <f>IF('calcA'!EK$4=0,"",IF('調整・決定'!H23&lt;&gt;"",'調整・決定'!H23,IFERROR(INDEX('名簿'!$P$5:$P$49,INDEX('calcC'!$B$3:$B$47,MATCH(138,'calcC'!$C$3:$C$47,0))),"")))</f>
        <v/>
      </c>
    </row>
    <row r="24" ht="26" customHeight="1">
      <c r="B24" s="46">
        <f>'設定'!$I$29</f>
        <v/>
      </c>
      <c r="C24" s="27">
        <f>IF('calcA'!V$4=0,"",IF('調整・決定'!C24&lt;&gt;"",'調整・決定'!C24,IFERROR(INDEX('名簿'!$P$5:$P$49,INDEX('calcC'!$B$3:$B$47,MATCH(19,'calcC'!$C$3:$C$47,0))),"")))</f>
        <v/>
      </c>
      <c r="D24" s="27">
        <f>IF('calcA'!AT$4=0,"",IF('調整・決定'!D24&lt;&gt;"",'調整・決定'!D24,IFERROR(INDEX('名簿'!$P$5:$P$49,INDEX('calcC'!$B$3:$B$47,MATCH(43,'calcC'!$C$3:$C$47,0))),"")))</f>
        <v/>
      </c>
      <c r="E24" s="27">
        <f>IF('calcA'!BR$4=0,"",IF('調整・決定'!E24&lt;&gt;"",'調整・決定'!E24,IFERROR(INDEX('名簿'!$P$5:$P$49,INDEX('calcC'!$B$3:$B$47,MATCH(67,'calcC'!$C$3:$C$47,0))),"")))</f>
        <v/>
      </c>
      <c r="F24" s="27">
        <f>IF('calcA'!CP$4=0,"",IF('調整・決定'!F24&lt;&gt;"",'調整・決定'!F24,IFERROR(INDEX('名簿'!$P$5:$P$49,INDEX('calcC'!$B$3:$B$47,MATCH(91,'calcC'!$C$3:$C$47,0))),"")))</f>
        <v/>
      </c>
      <c r="G24" s="27">
        <f>IF('calcA'!DN$4=0,"",IF('調整・決定'!G24&lt;&gt;"",'調整・決定'!G24,IFERROR(INDEX('名簿'!$P$5:$P$49,INDEX('calcC'!$B$3:$B$47,MATCH(115,'calcC'!$C$3:$C$47,0))),"")))</f>
        <v/>
      </c>
      <c r="H24" s="27">
        <f>IF('calcA'!EL$4=0,"",IF('調整・決定'!H24&lt;&gt;"",'調整・決定'!H24,IFERROR(INDEX('名簿'!$P$5:$P$49,INDEX('calcC'!$B$3:$B$47,MATCH(139,'calcC'!$C$3:$C$47,0))),"")))</f>
        <v/>
      </c>
    </row>
    <row r="25" ht="26" customHeight="1">
      <c r="B25" s="46">
        <f>'設定'!$I$30</f>
        <v/>
      </c>
      <c r="C25" s="27">
        <f>IF('calcA'!W$4=0,"",IF('調整・決定'!C25&lt;&gt;"",'調整・決定'!C25,IFERROR(INDEX('名簿'!$P$5:$P$49,INDEX('calcC'!$B$3:$B$47,MATCH(20,'calcC'!$C$3:$C$47,0))),"")))</f>
        <v/>
      </c>
      <c r="D25" s="27">
        <f>IF('calcA'!AU$4=0,"",IF('調整・決定'!D25&lt;&gt;"",'調整・決定'!D25,IFERROR(INDEX('名簿'!$P$5:$P$49,INDEX('calcC'!$B$3:$B$47,MATCH(44,'calcC'!$C$3:$C$47,0))),"")))</f>
        <v/>
      </c>
      <c r="E25" s="27">
        <f>IF('calcA'!BS$4=0,"",IF('調整・決定'!E25&lt;&gt;"",'調整・決定'!E25,IFERROR(INDEX('名簿'!$P$5:$P$49,INDEX('calcC'!$B$3:$B$47,MATCH(68,'calcC'!$C$3:$C$47,0))),"")))</f>
        <v/>
      </c>
      <c r="F25" s="27">
        <f>IF('calcA'!CQ$4=0,"",IF('調整・決定'!F25&lt;&gt;"",'調整・決定'!F25,IFERROR(INDEX('名簿'!$P$5:$P$49,INDEX('calcC'!$B$3:$B$47,MATCH(92,'calcC'!$C$3:$C$47,0))),"")))</f>
        <v/>
      </c>
      <c r="G25" s="27">
        <f>IF('calcA'!DO$4=0,"",IF('調整・決定'!G25&lt;&gt;"",'調整・決定'!G25,IFERROR(INDEX('名簿'!$P$5:$P$49,INDEX('calcC'!$B$3:$B$47,MATCH(116,'calcC'!$C$3:$C$47,0))),"")))</f>
        <v/>
      </c>
      <c r="H25" s="27">
        <f>IF('calcA'!EM$4=0,"",IF('調整・決定'!H25&lt;&gt;"",'調整・決定'!H25,IFERROR(INDEX('名簿'!$P$5:$P$49,INDEX('calcC'!$B$3:$B$47,MATCH(140,'calcC'!$C$3:$C$47,0))),"")))</f>
        <v/>
      </c>
    </row>
    <row r="26" ht="26" customHeight="1">
      <c r="B26" s="46">
        <f>'設定'!$I$31</f>
        <v/>
      </c>
      <c r="C26" s="27">
        <f>IF('calcA'!X$4=0,"",IF('調整・決定'!C26&lt;&gt;"",'調整・決定'!C26,IFERROR(INDEX('名簿'!$P$5:$P$49,INDEX('calcC'!$B$3:$B$47,MATCH(21,'calcC'!$C$3:$C$47,0))),"")))</f>
        <v/>
      </c>
      <c r="D26" s="27">
        <f>IF('calcA'!AV$4=0,"",IF('調整・決定'!D26&lt;&gt;"",'調整・決定'!D26,IFERROR(INDEX('名簿'!$P$5:$P$49,INDEX('calcC'!$B$3:$B$47,MATCH(45,'calcC'!$C$3:$C$47,0))),"")))</f>
        <v/>
      </c>
      <c r="E26" s="27">
        <f>IF('calcA'!BT$4=0,"",IF('調整・決定'!E26&lt;&gt;"",'調整・決定'!E26,IFERROR(INDEX('名簿'!$P$5:$P$49,INDEX('calcC'!$B$3:$B$47,MATCH(69,'calcC'!$C$3:$C$47,0))),"")))</f>
        <v/>
      </c>
      <c r="F26" s="27">
        <f>IF('calcA'!CR$4=0,"",IF('調整・決定'!F26&lt;&gt;"",'調整・決定'!F26,IFERROR(INDEX('名簿'!$P$5:$P$49,INDEX('calcC'!$B$3:$B$47,MATCH(93,'calcC'!$C$3:$C$47,0))),"")))</f>
        <v/>
      </c>
      <c r="G26" s="27">
        <f>IF('calcA'!DP$4=0,"",IF('調整・決定'!G26&lt;&gt;"",'調整・決定'!G26,IFERROR(INDEX('名簿'!$P$5:$P$49,INDEX('calcC'!$B$3:$B$47,MATCH(117,'calcC'!$C$3:$C$47,0))),"")))</f>
        <v/>
      </c>
      <c r="H26" s="27">
        <f>IF('calcA'!EN$4=0,"",IF('調整・決定'!H26&lt;&gt;"",'調整・決定'!H26,IFERROR(INDEX('名簿'!$P$5:$P$49,INDEX('calcC'!$B$3:$B$47,MATCH(141,'calcC'!$C$3:$C$47,0))),"")))</f>
        <v/>
      </c>
    </row>
    <row r="27" ht="26" customHeight="1">
      <c r="B27" s="46">
        <f>'設定'!$I$32</f>
        <v/>
      </c>
      <c r="C27" s="27">
        <f>IF('calcA'!Y$4=0,"",IF('調整・決定'!C27&lt;&gt;"",'調整・決定'!C27,IFERROR(INDEX('名簿'!$P$5:$P$49,INDEX('calcC'!$B$3:$B$47,MATCH(22,'calcC'!$C$3:$C$47,0))),"")))</f>
        <v/>
      </c>
      <c r="D27" s="27">
        <f>IF('calcA'!AW$4=0,"",IF('調整・決定'!D27&lt;&gt;"",'調整・決定'!D27,IFERROR(INDEX('名簿'!$P$5:$P$49,INDEX('calcC'!$B$3:$B$47,MATCH(46,'calcC'!$C$3:$C$47,0))),"")))</f>
        <v/>
      </c>
      <c r="E27" s="27">
        <f>IF('calcA'!BU$4=0,"",IF('調整・決定'!E27&lt;&gt;"",'調整・決定'!E27,IFERROR(INDEX('名簿'!$P$5:$P$49,INDEX('calcC'!$B$3:$B$47,MATCH(70,'calcC'!$C$3:$C$47,0))),"")))</f>
        <v/>
      </c>
      <c r="F27" s="27">
        <f>IF('calcA'!CS$4=0,"",IF('調整・決定'!F27&lt;&gt;"",'調整・決定'!F27,IFERROR(INDEX('名簿'!$P$5:$P$49,INDEX('calcC'!$B$3:$B$47,MATCH(94,'calcC'!$C$3:$C$47,0))),"")))</f>
        <v/>
      </c>
      <c r="G27" s="27">
        <f>IF('calcA'!DQ$4=0,"",IF('調整・決定'!G27&lt;&gt;"",'調整・決定'!G27,IFERROR(INDEX('名簿'!$P$5:$P$49,INDEX('calcC'!$B$3:$B$47,MATCH(118,'calcC'!$C$3:$C$47,0))),"")))</f>
        <v/>
      </c>
      <c r="H27" s="27">
        <f>IF('calcA'!EO$4=0,"",IF('調整・決定'!H27&lt;&gt;"",'調整・決定'!H27,IFERROR(INDEX('名簿'!$P$5:$P$49,INDEX('calcC'!$B$3:$B$47,MATCH(142,'calcC'!$C$3:$C$47,0))),"")))</f>
        <v/>
      </c>
    </row>
    <row r="28" ht="26" customHeight="1">
      <c r="B28" s="46">
        <f>'設定'!$I$33</f>
        <v/>
      </c>
      <c r="C28" s="27">
        <f>IF('calcA'!Z$4=0,"",IF('調整・決定'!C28&lt;&gt;"",'調整・決定'!C28,IFERROR(INDEX('名簿'!$P$5:$P$49,INDEX('calcC'!$B$3:$B$47,MATCH(23,'calcC'!$C$3:$C$47,0))),"")))</f>
        <v/>
      </c>
      <c r="D28" s="27">
        <f>IF('calcA'!AX$4=0,"",IF('調整・決定'!D28&lt;&gt;"",'調整・決定'!D28,IFERROR(INDEX('名簿'!$P$5:$P$49,INDEX('calcC'!$B$3:$B$47,MATCH(47,'calcC'!$C$3:$C$47,0))),"")))</f>
        <v/>
      </c>
      <c r="E28" s="27">
        <f>IF('calcA'!BV$4=0,"",IF('調整・決定'!E28&lt;&gt;"",'調整・決定'!E28,IFERROR(INDEX('名簿'!$P$5:$P$49,INDEX('calcC'!$B$3:$B$47,MATCH(71,'calcC'!$C$3:$C$47,0))),"")))</f>
        <v/>
      </c>
      <c r="F28" s="27">
        <f>IF('calcA'!CT$4=0,"",IF('調整・決定'!F28&lt;&gt;"",'調整・決定'!F28,IFERROR(INDEX('名簿'!$P$5:$P$49,INDEX('calcC'!$B$3:$B$47,MATCH(95,'calcC'!$C$3:$C$47,0))),"")))</f>
        <v/>
      </c>
      <c r="G28" s="27">
        <f>IF('calcA'!DR$4=0,"",IF('調整・決定'!G28&lt;&gt;"",'調整・決定'!G28,IFERROR(INDEX('名簿'!$P$5:$P$49,INDEX('calcC'!$B$3:$B$47,MATCH(119,'calcC'!$C$3:$C$47,0))),"")))</f>
        <v/>
      </c>
      <c r="H28" s="27">
        <f>IF('calcA'!EP$4=0,"",IF('調整・決定'!H28&lt;&gt;"",'調整・決定'!H28,IFERROR(INDEX('名簿'!$P$5:$P$49,INDEX('calcC'!$B$3:$B$47,MATCH(143,'calcC'!$C$3:$C$47,0))),"")))</f>
        <v/>
      </c>
    </row>
    <row r="29" ht="26" customHeight="1">
      <c r="B29" s="46">
        <f>'設定'!$I$34</f>
        <v/>
      </c>
      <c r="C29" s="27">
        <f>IF('calcA'!AA$4=0,"",IF('調整・決定'!C29&lt;&gt;"",'調整・決定'!C29,IFERROR(INDEX('名簿'!$P$5:$P$49,INDEX('calcC'!$B$3:$B$47,MATCH(24,'calcC'!$C$3:$C$47,0))),"")))</f>
        <v/>
      </c>
      <c r="D29" s="27">
        <f>IF('calcA'!AY$4=0,"",IF('調整・決定'!D29&lt;&gt;"",'調整・決定'!D29,IFERROR(INDEX('名簿'!$P$5:$P$49,INDEX('calcC'!$B$3:$B$47,MATCH(48,'calcC'!$C$3:$C$47,0))),"")))</f>
        <v/>
      </c>
      <c r="E29" s="27">
        <f>IF('calcA'!BW$4=0,"",IF('調整・決定'!E29&lt;&gt;"",'調整・決定'!E29,IFERROR(INDEX('名簿'!$P$5:$P$49,INDEX('calcC'!$B$3:$B$47,MATCH(72,'calcC'!$C$3:$C$47,0))),"")))</f>
        <v/>
      </c>
      <c r="F29" s="27">
        <f>IF('calcA'!CU$4=0,"",IF('調整・決定'!F29&lt;&gt;"",'調整・決定'!F29,IFERROR(INDEX('名簿'!$P$5:$P$49,INDEX('calcC'!$B$3:$B$47,MATCH(96,'calcC'!$C$3:$C$47,0))),"")))</f>
        <v/>
      </c>
      <c r="G29" s="27">
        <f>IF('calcA'!DS$4=0,"",IF('調整・決定'!G29&lt;&gt;"",'調整・決定'!G29,IFERROR(INDEX('名簿'!$P$5:$P$49,INDEX('calcC'!$B$3:$B$47,MATCH(120,'calcC'!$C$3:$C$47,0))),"")))</f>
        <v/>
      </c>
      <c r="H29" s="27">
        <f>IF('calcA'!EQ$4=0,"",IF('調整・決定'!H29&lt;&gt;"",'調整・決定'!H29,IFERROR(INDEX('名簿'!$P$5:$P$49,INDEX('calcC'!$B$3:$B$47,MATCH(144,'calcC'!$C$3:$C$47,0))),"")))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B'!J3" display="▶ 自動案を作る（A・B両方）"/>
    <hyperlink ref="K3" location="'自動案B'!K3" display="▶ この案を「調整・決定」へ写す"/>
  </hyperlinks>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9" t="inlineStr">
        <is>
          <t>調整・決定</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3">
        <f>HYPERLINK("#'調整・決定'!A1","⑤ 調整・決定")</f>
        <v/>
      </c>
      <c r="O1" s="22">
        <f>HYPERLINK("#'兄弟確認用'!A1","⑥ 兄弟確認")</f>
        <v/>
      </c>
      <c r="P1" s="22">
        <f>HYPERLINK("#'お手紙（夏）'!A1","⑦ お手紙 夏")</f>
        <v/>
      </c>
      <c r="Q1" s="22">
        <f>HYPERLINK("#'お手紙（秋）'!A1","⑧ お手紙 秋")</f>
        <v/>
      </c>
    </row>
    <row r="2" ht="24" customHeight="1">
      <c r="A2" s="5" t="n"/>
      <c r="B2" s="70" t="inlineStr">
        <is>
          <t>ここに入れた人は、自動案では動きません（固定）。名前をクリック→入れられる枠に色。ダブルクリック2回で入れ替え（空いたマスなら移動）。プルダウンでも手直しできます。</t>
        </is>
      </c>
      <c r="C2" s="5" t="n"/>
      <c r="D2" s="5" t="n"/>
      <c r="E2" s="5" t="n"/>
      <c r="F2" s="5" t="n"/>
      <c r="G2" s="5" t="n"/>
      <c r="H2" s="5" t="n"/>
      <c r="I2" s="5" t="n"/>
      <c r="J2" s="5" t="n"/>
      <c r="K2" s="5" t="n"/>
      <c r="L2" s="5" t="n"/>
      <c r="M2" s="5" t="n"/>
      <c r="N2" s="5" t="n"/>
      <c r="O2" s="5" t="n"/>
      <c r="P2" s="5" t="n"/>
      <c r="Q2" s="5" t="n"/>
    </row>
    <row r="3" ht="56" customHeight="1">
      <c r="J3" s="101" t="inlineStr">
        <is>
          <t>▶ ひとつ前に戻す</t>
        </is>
      </c>
    </row>
    <row r="4" ht="32" customHeight="1">
      <c r="C4" s="102">
        <f t="array" ref="C4">IF('calcA'!$A$5&lt;&gt;"","入れ替え：「"&amp;'calcA'!$B$5&amp;"」を選んでいます。入れ替える相手（空いたマスなら移動先）をダブルクリック。やめるときは同じマスをもう一度ダブルクリック。",IF(SUMPRODUCT(_xlfn.ISFORMULA(C6:H29)*1)&gt;0,"⚠ ふつうの貼り付けになっています。［ひとつ前に戻す］を押すか、［値の貼り付け］（右クリック →「値」）をしてください。",""))</f>
        <v/>
      </c>
      <c r="J4" s="94" t="inlineStr">
        <is>
          <t>児童を選ぶ ▼</t>
        </is>
      </c>
    </row>
    <row r="5">
      <c r="B5" s="38" t="inlineStr"/>
      <c r="C5" s="39">
        <f>'設定'!$E$11</f>
        <v/>
      </c>
      <c r="D5" s="39">
        <f>'設定'!$E$12</f>
        <v/>
      </c>
      <c r="E5" s="39">
        <f>'設定'!$E$13</f>
        <v/>
      </c>
      <c r="F5" s="39">
        <f>'設定'!$E$14</f>
        <v/>
      </c>
      <c r="G5" s="39">
        <f>'設定'!$E$15</f>
        <v/>
      </c>
      <c r="H5" s="39">
        <f>'設定'!$E$16</f>
        <v/>
      </c>
      <c r="J5" s="103" t="n"/>
      <c r="K5" s="33" t="n"/>
    </row>
    <row r="6" ht="26" customHeight="1">
      <c r="B6" s="46">
        <f>'設定'!$I$11</f>
        <v/>
      </c>
      <c r="C6" s="27" t="n"/>
      <c r="D6" s="27" t="n"/>
      <c r="E6" s="27" t="n"/>
      <c r="F6" s="27" t="n"/>
      <c r="G6" s="27" t="n"/>
      <c r="H6" s="27"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6">
        <f>'設定'!$I$12</f>
        <v/>
      </c>
      <c r="C7" s="27" t="n"/>
      <c r="D7" s="27" t="n"/>
      <c r="E7" s="27" t="n"/>
      <c r="F7" s="27" t="n"/>
      <c r="G7" s="27" t="n"/>
      <c r="H7" s="27" t="n"/>
      <c r="J7" s="93" t="inlineStr">
        <is>
          <t>状況</t>
        </is>
      </c>
      <c r="K7" s="104">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6">
        <f>'設定'!$I$13</f>
        <v/>
      </c>
      <c r="C8" s="27" t="n"/>
      <c r="D8" s="27" t="n"/>
      <c r="E8" s="27" t="n"/>
      <c r="F8" s="27" t="n"/>
      <c r="G8" s="27" t="n"/>
      <c r="H8" s="27" t="n"/>
      <c r="J8" s="93" t="inlineStr">
        <is>
          <t>×の数</t>
        </is>
      </c>
      <c r="K8" s="104">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6">
        <f>'設定'!$I$14</f>
        <v/>
      </c>
      <c r="C9" s="27" t="n"/>
      <c r="D9" s="27" t="n"/>
      <c r="E9" s="27" t="n"/>
      <c r="F9" s="27" t="n"/>
      <c r="G9" s="27" t="n"/>
      <c r="H9" s="27" t="n"/>
      <c r="J9" s="93" t="inlineStr">
        <is>
          <t>今の枠</t>
        </is>
      </c>
      <c r="K9" s="104">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6">
        <f>'設定'!$I$15</f>
        <v/>
      </c>
      <c r="C10" s="27" t="n"/>
      <c r="D10" s="27" t="n"/>
      <c r="E10" s="27" t="n"/>
      <c r="F10" s="27" t="n"/>
      <c r="G10" s="27" t="n"/>
      <c r="H10" s="27" t="n"/>
      <c r="J10" s="93" t="inlineStr">
        <is>
          <t>兄弟</t>
        </is>
      </c>
      <c r="K10" s="104">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6">
        <f>'設定'!$I$16</f>
        <v/>
      </c>
      <c r="C11" s="27" t="n"/>
      <c r="D11" s="27" t="n"/>
      <c r="E11" s="27" t="n"/>
      <c r="F11" s="27" t="n"/>
      <c r="G11" s="27" t="n"/>
      <c r="H11" s="27" t="n"/>
      <c r="J11" s="93" t="inlineStr">
        <is>
          <t>入れられる空き枠</t>
        </is>
      </c>
      <c r="K11" s="98">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6">
        <f>'設定'!$I$17</f>
        <v/>
      </c>
      <c r="C12" s="27" t="n"/>
      <c r="D12" s="27" t="n"/>
      <c r="E12" s="27" t="n"/>
      <c r="F12" s="27" t="n"/>
      <c r="G12" s="27" t="n"/>
      <c r="H12" s="27"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6">
        <f>'設定'!$I$18</f>
        <v/>
      </c>
      <c r="C13" s="27" t="n"/>
      <c r="D13" s="27" t="n"/>
      <c r="E13" s="27" t="n"/>
      <c r="F13" s="27" t="n"/>
      <c r="G13" s="27" t="n"/>
      <c r="H13" s="27"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6">
        <f>'設定'!$I$19</f>
        <v/>
      </c>
      <c r="C14" s="27" t="n"/>
      <c r="D14" s="27" t="n"/>
      <c r="E14" s="27" t="n"/>
      <c r="F14" s="27" t="n"/>
      <c r="G14" s="27" t="n"/>
      <c r="H14" s="27"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6">
        <f>'設定'!$I$20</f>
        <v/>
      </c>
      <c r="C15" s="27" t="n"/>
      <c r="D15" s="27" t="n"/>
      <c r="E15" s="27" t="n"/>
      <c r="F15" s="27" t="n"/>
      <c r="G15" s="27" t="n"/>
      <c r="H15" s="27"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6">
        <f>'設定'!$I$21</f>
        <v/>
      </c>
      <c r="C16" s="27" t="n"/>
      <c r="D16" s="27" t="n"/>
      <c r="E16" s="27" t="n"/>
      <c r="F16" s="27" t="n"/>
      <c r="G16" s="27" t="n"/>
      <c r="H16" s="27"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6">
        <f>'設定'!$I$22</f>
        <v/>
      </c>
      <c r="C17" s="27" t="n"/>
      <c r="D17" s="27" t="n"/>
      <c r="E17" s="27" t="n"/>
      <c r="F17" s="27" t="n"/>
      <c r="G17" s="27" t="n"/>
      <c r="H17" s="27"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6">
        <f>'設定'!$I$23</f>
        <v/>
      </c>
      <c r="C18" s="27" t="n"/>
      <c r="D18" s="27" t="n"/>
      <c r="E18" s="27" t="n"/>
      <c r="F18" s="27" t="n"/>
      <c r="G18" s="27" t="n"/>
      <c r="H18" s="27" t="n"/>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6">
        <f>'設定'!$I$24</f>
        <v/>
      </c>
      <c r="C19" s="27" t="n"/>
      <c r="D19" s="27" t="n"/>
      <c r="E19" s="27" t="n"/>
      <c r="F19" s="27" t="n"/>
      <c r="G19" s="27" t="n"/>
      <c r="H19" s="27" t="n"/>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6">
        <f>'設定'!$I$25</f>
        <v/>
      </c>
      <c r="C20" s="27" t="n"/>
      <c r="D20" s="27" t="n"/>
      <c r="E20" s="27" t="n"/>
      <c r="F20" s="27" t="n"/>
      <c r="G20" s="27" t="n"/>
      <c r="H20" s="27" t="n"/>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6">
        <f>'設定'!$I$26</f>
        <v/>
      </c>
      <c r="C21" s="27" t="n"/>
      <c r="D21" s="27" t="n"/>
      <c r="E21" s="27" t="n"/>
      <c r="F21" s="27" t="n"/>
      <c r="G21" s="27" t="n"/>
      <c r="H21" s="27" t="n"/>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6">
        <f>'設定'!$I$27</f>
        <v/>
      </c>
      <c r="C22" s="27" t="n"/>
      <c r="D22" s="27" t="n"/>
      <c r="E22" s="27" t="n"/>
      <c r="F22" s="27" t="n"/>
      <c r="G22" s="27" t="n"/>
      <c r="H22" s="27" t="n"/>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6">
        <f>'設定'!$I$28</f>
        <v/>
      </c>
      <c r="C23" s="27" t="n"/>
      <c r="D23" s="27" t="n"/>
      <c r="E23" s="27" t="n"/>
      <c r="F23" s="27" t="n"/>
      <c r="G23" s="27" t="n"/>
      <c r="H23" s="27"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6">
        <f>'設定'!$I$29</f>
        <v/>
      </c>
      <c r="C24" s="27" t="n"/>
      <c r="D24" s="27" t="n"/>
      <c r="E24" s="27" t="n"/>
      <c r="F24" s="27" t="n"/>
      <c r="G24" s="27" t="n"/>
      <c r="H24" s="27"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6">
        <f>'設定'!$I$30</f>
        <v/>
      </c>
      <c r="C25" s="27" t="n"/>
      <c r="D25" s="27" t="n"/>
      <c r="E25" s="27" t="n"/>
      <c r="F25" s="27" t="n"/>
      <c r="G25" s="27" t="n"/>
      <c r="H25" s="27"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6">
        <f>'設定'!$I$31</f>
        <v/>
      </c>
      <c r="C26" s="27" t="n"/>
      <c r="D26" s="27" t="n"/>
      <c r="E26" s="27" t="n"/>
      <c r="F26" s="27" t="n"/>
      <c r="G26" s="27" t="n"/>
      <c r="H26" s="27"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6">
        <f>'設定'!$I$32</f>
        <v/>
      </c>
      <c r="C27" s="27" t="n"/>
      <c r="D27" s="27" t="n"/>
      <c r="E27" s="27" t="n"/>
      <c r="F27" s="27" t="n"/>
      <c r="G27" s="27" t="n"/>
      <c r="H27" s="27"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6">
        <f>'設定'!$I$33</f>
        <v/>
      </c>
      <c r="C28" s="27" t="n"/>
      <c r="D28" s="27" t="n"/>
      <c r="E28" s="27" t="n"/>
      <c r="F28" s="27" t="n"/>
      <c r="G28" s="27" t="n"/>
      <c r="H28" s="27"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6">
        <f>'設定'!$I$34</f>
        <v/>
      </c>
      <c r="C29" s="27" t="n"/>
      <c r="D29" s="27" t="n"/>
      <c r="E29" s="27" t="n"/>
      <c r="F29" s="27" t="n"/>
      <c r="G29" s="27" t="n"/>
      <c r="H29" s="27"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0"/>
    <row r="31"/>
    <row r="32">
      <c r="B32" s="105" t="inlineStr">
        <is>
          <t>候補（その枠に入れられる、まだ決まっていない児童）</t>
        </is>
      </c>
    </row>
    <row r="33">
      <c r="B33" s="106" t="inlineStr">
        <is>
          <t>未入力・未提出の家庭は含みません。0人の枠は赤、1人の枠はオレンジです。</t>
        </is>
      </c>
    </row>
    <row r="34">
      <c r="B34" s="38" t="inlineStr"/>
      <c r="C34" s="39">
        <f>'設定'!$E$11</f>
        <v/>
      </c>
      <c r="D34" s="39">
        <f>'設定'!$E$12</f>
        <v/>
      </c>
      <c r="E34" s="39">
        <f>'設定'!$E$13</f>
        <v/>
      </c>
      <c r="F34" s="39">
        <f>'設定'!$E$14</f>
        <v/>
      </c>
      <c r="G34" s="39">
        <f>'設定'!$E$15</f>
        <v/>
      </c>
      <c r="H34" s="39">
        <f>'設定'!$E$16</f>
        <v/>
      </c>
    </row>
    <row r="35" ht="44" customHeight="1">
      <c r="B35" s="46">
        <f>'設定'!$I$11</f>
        <v/>
      </c>
      <c r="C35" s="107">
        <f t="array" ref="C35">IF('calcA'!D$4=0,"",IF(C6&lt;&gt;"","（決定）",IF('calcA'!D$108=1,"（空ける）",SUMPRODUCT(('calcA'!D$60:D$104=1)*('calcA'!$C$10:$C$54=1))&amp;"人："&amp;_xlfn.TEXTJOIN("、",TRUE,IF(('calcA'!D$60:D$104=1)*('calcA'!$C$10:$C$54=1),'calcA'!$B$10:$B$54,"")))))</f>
        <v/>
      </c>
      <c r="D35" s="107">
        <f t="array" ref="D35">IF('calcA'!AB$4=0,"",IF(D6&lt;&gt;"","（決定）",IF('calcA'!AB$108=1,"（空ける）",SUMPRODUCT(('calcA'!AB$60:AB$104=1)*('calcA'!$C$10:$C$54=1))&amp;"人："&amp;_xlfn.TEXTJOIN("、",TRUE,IF(('calcA'!AB$60:AB$104=1)*('calcA'!$C$10:$C$54=1),'calcA'!$B$10:$B$54,"")))))</f>
        <v/>
      </c>
      <c r="E35" s="107">
        <f t="array" ref="E35">IF('calcA'!AZ$4=0,"",IF(E6&lt;&gt;"","（決定）",IF('calcA'!AZ$108=1,"（空ける）",SUMPRODUCT(('calcA'!AZ$60:AZ$104=1)*('calcA'!$C$10:$C$54=1))&amp;"人："&amp;_xlfn.TEXTJOIN("、",TRUE,IF(('calcA'!AZ$60:AZ$104=1)*('calcA'!$C$10:$C$54=1),'calcA'!$B$10:$B$54,"")))))</f>
        <v/>
      </c>
      <c r="F35" s="107">
        <f t="array" ref="F35">IF('calcA'!BX$4=0,"",IF(F6&lt;&gt;"","（決定）",IF('calcA'!BX$108=1,"（空ける）",SUMPRODUCT(('calcA'!BX$60:BX$104=1)*('calcA'!$C$10:$C$54=1))&amp;"人："&amp;_xlfn.TEXTJOIN("、",TRUE,IF(('calcA'!BX$60:BX$104=1)*('calcA'!$C$10:$C$54=1),'calcA'!$B$10:$B$54,"")))))</f>
        <v/>
      </c>
      <c r="G35" s="107">
        <f t="array" ref="G35">IF('calcA'!CV$4=0,"",IF(G6&lt;&gt;"","（決定）",IF('calcA'!CV$108=1,"（空ける）",SUMPRODUCT(('calcA'!CV$60:CV$104=1)*('calcA'!$C$10:$C$54=1))&amp;"人："&amp;_xlfn.TEXTJOIN("、",TRUE,IF(('calcA'!CV$60:CV$104=1)*('calcA'!$C$10:$C$54=1),'calcA'!$B$10:$B$54,"")))))</f>
        <v/>
      </c>
      <c r="H35" s="107">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6">
        <f>'設定'!$I$12</f>
        <v/>
      </c>
      <c r="C36" s="107">
        <f t="array" ref="C36">IF('calcA'!E$4=0,"",IF(C7&lt;&gt;"","（決定）",IF('calcA'!E$108=1,"（空ける）",SUMPRODUCT(('calcA'!E$60:E$104=1)*('calcA'!$C$10:$C$54=1))&amp;"人："&amp;_xlfn.TEXTJOIN("、",TRUE,IF(('calcA'!E$60:E$104=1)*('calcA'!$C$10:$C$54=1),'calcA'!$B$10:$B$54,"")))))</f>
        <v/>
      </c>
      <c r="D36" s="107">
        <f t="array" ref="D36">IF('calcA'!AC$4=0,"",IF(D7&lt;&gt;"","（決定）",IF('calcA'!AC$108=1,"（空ける）",SUMPRODUCT(('calcA'!AC$60:AC$104=1)*('calcA'!$C$10:$C$54=1))&amp;"人："&amp;_xlfn.TEXTJOIN("、",TRUE,IF(('calcA'!AC$60:AC$104=1)*('calcA'!$C$10:$C$54=1),'calcA'!$B$10:$B$54,"")))))</f>
        <v/>
      </c>
      <c r="E36" s="107">
        <f t="array" ref="E36">IF('calcA'!BA$4=0,"",IF(E7&lt;&gt;"","（決定）",IF('calcA'!BA$108=1,"（空ける）",SUMPRODUCT(('calcA'!BA$60:BA$104=1)*('calcA'!$C$10:$C$54=1))&amp;"人："&amp;_xlfn.TEXTJOIN("、",TRUE,IF(('calcA'!BA$60:BA$104=1)*('calcA'!$C$10:$C$54=1),'calcA'!$B$10:$B$54,"")))))</f>
        <v/>
      </c>
      <c r="F36" s="107">
        <f t="array" ref="F36">IF('calcA'!BY$4=0,"",IF(F7&lt;&gt;"","（決定）",IF('calcA'!BY$108=1,"（空ける）",SUMPRODUCT(('calcA'!BY$60:BY$104=1)*('calcA'!$C$10:$C$54=1))&amp;"人："&amp;_xlfn.TEXTJOIN("、",TRUE,IF(('calcA'!BY$60:BY$104=1)*('calcA'!$C$10:$C$54=1),'calcA'!$B$10:$B$54,"")))))</f>
        <v/>
      </c>
      <c r="G36" s="107">
        <f t="array" ref="G36">IF('calcA'!CW$4=0,"",IF(G7&lt;&gt;"","（決定）",IF('calcA'!CW$108=1,"（空ける）",SUMPRODUCT(('calcA'!CW$60:CW$104=1)*('calcA'!$C$10:$C$54=1))&amp;"人："&amp;_xlfn.TEXTJOIN("、",TRUE,IF(('calcA'!CW$60:CW$104=1)*('calcA'!$C$10:$C$54=1),'calcA'!$B$10:$B$54,"")))))</f>
        <v/>
      </c>
      <c r="H36" s="107">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6">
        <f>'設定'!$I$13</f>
        <v/>
      </c>
      <c r="C37" s="107">
        <f t="array" ref="C37">IF('calcA'!F$4=0,"",IF(C8&lt;&gt;"","（決定）",IF('calcA'!F$108=1,"（空ける）",SUMPRODUCT(('calcA'!F$60:F$104=1)*('calcA'!$C$10:$C$54=1))&amp;"人："&amp;_xlfn.TEXTJOIN("、",TRUE,IF(('calcA'!F$60:F$104=1)*('calcA'!$C$10:$C$54=1),'calcA'!$B$10:$B$54,"")))))</f>
        <v/>
      </c>
      <c r="D37" s="107">
        <f t="array" ref="D37">IF('calcA'!AD$4=0,"",IF(D8&lt;&gt;"","（決定）",IF('calcA'!AD$108=1,"（空ける）",SUMPRODUCT(('calcA'!AD$60:AD$104=1)*('calcA'!$C$10:$C$54=1))&amp;"人："&amp;_xlfn.TEXTJOIN("、",TRUE,IF(('calcA'!AD$60:AD$104=1)*('calcA'!$C$10:$C$54=1),'calcA'!$B$10:$B$54,"")))))</f>
        <v/>
      </c>
      <c r="E37" s="107">
        <f t="array" ref="E37">IF('calcA'!BB$4=0,"",IF(E8&lt;&gt;"","（決定）",IF('calcA'!BB$108=1,"（空ける）",SUMPRODUCT(('calcA'!BB$60:BB$104=1)*('calcA'!$C$10:$C$54=1))&amp;"人："&amp;_xlfn.TEXTJOIN("、",TRUE,IF(('calcA'!BB$60:BB$104=1)*('calcA'!$C$10:$C$54=1),'calcA'!$B$10:$B$54,"")))))</f>
        <v/>
      </c>
      <c r="F37" s="107">
        <f t="array" ref="F37">IF('calcA'!BZ$4=0,"",IF(F8&lt;&gt;"","（決定）",IF('calcA'!BZ$108=1,"（空ける）",SUMPRODUCT(('calcA'!BZ$60:BZ$104=1)*('calcA'!$C$10:$C$54=1))&amp;"人："&amp;_xlfn.TEXTJOIN("、",TRUE,IF(('calcA'!BZ$60:BZ$104=1)*('calcA'!$C$10:$C$54=1),'calcA'!$B$10:$B$54,"")))))</f>
        <v/>
      </c>
      <c r="G37" s="107">
        <f t="array" ref="G37">IF('calcA'!CX$4=0,"",IF(G8&lt;&gt;"","（決定）",IF('calcA'!CX$108=1,"（空ける）",SUMPRODUCT(('calcA'!CX$60:CX$104=1)*('calcA'!$C$10:$C$54=1))&amp;"人："&amp;_xlfn.TEXTJOIN("、",TRUE,IF(('calcA'!CX$60:CX$104=1)*('calcA'!$C$10:$C$54=1),'calcA'!$B$10:$B$54,"")))))</f>
        <v/>
      </c>
      <c r="H37" s="107">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6">
        <f>'設定'!$I$14</f>
        <v/>
      </c>
      <c r="C38" s="107">
        <f t="array" ref="C38">IF('calcA'!G$4=0,"",IF(C9&lt;&gt;"","（決定）",IF('calcA'!G$108=1,"（空ける）",SUMPRODUCT(('calcA'!G$60:G$104=1)*('calcA'!$C$10:$C$54=1))&amp;"人："&amp;_xlfn.TEXTJOIN("、",TRUE,IF(('calcA'!G$60:G$104=1)*('calcA'!$C$10:$C$54=1),'calcA'!$B$10:$B$54,"")))))</f>
        <v/>
      </c>
      <c r="D38" s="107">
        <f t="array" ref="D38">IF('calcA'!AE$4=0,"",IF(D9&lt;&gt;"","（決定）",IF('calcA'!AE$108=1,"（空ける）",SUMPRODUCT(('calcA'!AE$60:AE$104=1)*('calcA'!$C$10:$C$54=1))&amp;"人："&amp;_xlfn.TEXTJOIN("、",TRUE,IF(('calcA'!AE$60:AE$104=1)*('calcA'!$C$10:$C$54=1),'calcA'!$B$10:$B$54,"")))))</f>
        <v/>
      </c>
      <c r="E38" s="107">
        <f t="array" ref="E38">IF('calcA'!BC$4=0,"",IF(E9&lt;&gt;"","（決定）",IF('calcA'!BC$108=1,"（空ける）",SUMPRODUCT(('calcA'!BC$60:BC$104=1)*('calcA'!$C$10:$C$54=1))&amp;"人："&amp;_xlfn.TEXTJOIN("、",TRUE,IF(('calcA'!BC$60:BC$104=1)*('calcA'!$C$10:$C$54=1),'calcA'!$B$10:$B$54,"")))))</f>
        <v/>
      </c>
      <c r="F38" s="107">
        <f t="array" ref="F38">IF('calcA'!CA$4=0,"",IF(F9&lt;&gt;"","（決定）",IF('calcA'!CA$108=1,"（空ける）",SUMPRODUCT(('calcA'!CA$60:CA$104=1)*('calcA'!$C$10:$C$54=1))&amp;"人："&amp;_xlfn.TEXTJOIN("、",TRUE,IF(('calcA'!CA$60:CA$104=1)*('calcA'!$C$10:$C$54=1),'calcA'!$B$10:$B$54,"")))))</f>
        <v/>
      </c>
      <c r="G38" s="107">
        <f t="array" ref="G38">IF('calcA'!CY$4=0,"",IF(G9&lt;&gt;"","（決定）",IF('calcA'!CY$108=1,"（空ける）",SUMPRODUCT(('calcA'!CY$60:CY$104=1)*('calcA'!$C$10:$C$54=1))&amp;"人："&amp;_xlfn.TEXTJOIN("、",TRUE,IF(('calcA'!CY$60:CY$104=1)*('calcA'!$C$10:$C$54=1),'calcA'!$B$10:$B$54,"")))))</f>
        <v/>
      </c>
      <c r="H38" s="107">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6">
        <f>'設定'!$I$15</f>
        <v/>
      </c>
      <c r="C39" s="107">
        <f t="array" ref="C39">IF('calcA'!H$4=0,"",IF(C10&lt;&gt;"","（決定）",IF('calcA'!H$108=1,"（空ける）",SUMPRODUCT(('calcA'!H$60:H$104=1)*('calcA'!$C$10:$C$54=1))&amp;"人："&amp;_xlfn.TEXTJOIN("、",TRUE,IF(('calcA'!H$60:H$104=1)*('calcA'!$C$10:$C$54=1),'calcA'!$B$10:$B$54,"")))))</f>
        <v/>
      </c>
      <c r="D39" s="107">
        <f t="array" ref="D39">IF('calcA'!AF$4=0,"",IF(D10&lt;&gt;"","（決定）",IF('calcA'!AF$108=1,"（空ける）",SUMPRODUCT(('calcA'!AF$60:AF$104=1)*('calcA'!$C$10:$C$54=1))&amp;"人："&amp;_xlfn.TEXTJOIN("、",TRUE,IF(('calcA'!AF$60:AF$104=1)*('calcA'!$C$10:$C$54=1),'calcA'!$B$10:$B$54,"")))))</f>
        <v/>
      </c>
      <c r="E39" s="107">
        <f t="array" ref="E39">IF('calcA'!BD$4=0,"",IF(E10&lt;&gt;"","（決定）",IF('calcA'!BD$108=1,"（空ける）",SUMPRODUCT(('calcA'!BD$60:BD$104=1)*('calcA'!$C$10:$C$54=1))&amp;"人："&amp;_xlfn.TEXTJOIN("、",TRUE,IF(('calcA'!BD$60:BD$104=1)*('calcA'!$C$10:$C$54=1),'calcA'!$B$10:$B$54,"")))))</f>
        <v/>
      </c>
      <c r="F39" s="107">
        <f t="array" ref="F39">IF('calcA'!CB$4=0,"",IF(F10&lt;&gt;"","（決定）",IF('calcA'!CB$108=1,"（空ける）",SUMPRODUCT(('calcA'!CB$60:CB$104=1)*('calcA'!$C$10:$C$54=1))&amp;"人："&amp;_xlfn.TEXTJOIN("、",TRUE,IF(('calcA'!CB$60:CB$104=1)*('calcA'!$C$10:$C$54=1),'calcA'!$B$10:$B$54,"")))))</f>
        <v/>
      </c>
      <c r="G39" s="107">
        <f t="array" ref="G39">IF('calcA'!CZ$4=0,"",IF(G10&lt;&gt;"","（決定）",IF('calcA'!CZ$108=1,"（空ける）",SUMPRODUCT(('calcA'!CZ$60:CZ$104=1)*('calcA'!$C$10:$C$54=1))&amp;"人："&amp;_xlfn.TEXTJOIN("、",TRUE,IF(('calcA'!CZ$60:CZ$104=1)*('calcA'!$C$10:$C$54=1),'calcA'!$B$10:$B$54,"")))))</f>
        <v/>
      </c>
      <c r="H39" s="107">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6">
        <f>'設定'!$I$16</f>
        <v/>
      </c>
      <c r="C40" s="107">
        <f t="array" ref="C40">IF('calcA'!I$4=0,"",IF(C11&lt;&gt;"","（決定）",IF('calcA'!I$108=1,"（空ける）",SUMPRODUCT(('calcA'!I$60:I$104=1)*('calcA'!$C$10:$C$54=1))&amp;"人："&amp;_xlfn.TEXTJOIN("、",TRUE,IF(('calcA'!I$60:I$104=1)*('calcA'!$C$10:$C$54=1),'calcA'!$B$10:$B$54,"")))))</f>
        <v/>
      </c>
      <c r="D40" s="107">
        <f t="array" ref="D40">IF('calcA'!AG$4=0,"",IF(D11&lt;&gt;"","（決定）",IF('calcA'!AG$108=1,"（空ける）",SUMPRODUCT(('calcA'!AG$60:AG$104=1)*('calcA'!$C$10:$C$54=1))&amp;"人："&amp;_xlfn.TEXTJOIN("、",TRUE,IF(('calcA'!AG$60:AG$104=1)*('calcA'!$C$10:$C$54=1),'calcA'!$B$10:$B$54,"")))))</f>
        <v/>
      </c>
      <c r="E40" s="107">
        <f t="array" ref="E40">IF('calcA'!BE$4=0,"",IF(E11&lt;&gt;"","（決定）",IF('calcA'!BE$108=1,"（空ける）",SUMPRODUCT(('calcA'!BE$60:BE$104=1)*('calcA'!$C$10:$C$54=1))&amp;"人："&amp;_xlfn.TEXTJOIN("、",TRUE,IF(('calcA'!BE$60:BE$104=1)*('calcA'!$C$10:$C$54=1),'calcA'!$B$10:$B$54,"")))))</f>
        <v/>
      </c>
      <c r="F40" s="107">
        <f t="array" ref="F40">IF('calcA'!CC$4=0,"",IF(F11&lt;&gt;"","（決定）",IF('calcA'!CC$108=1,"（空ける）",SUMPRODUCT(('calcA'!CC$60:CC$104=1)*('calcA'!$C$10:$C$54=1))&amp;"人："&amp;_xlfn.TEXTJOIN("、",TRUE,IF(('calcA'!CC$60:CC$104=1)*('calcA'!$C$10:$C$54=1),'calcA'!$B$10:$B$54,"")))))</f>
        <v/>
      </c>
      <c r="G40" s="107">
        <f t="array" ref="G40">IF('calcA'!DA$4=0,"",IF(G11&lt;&gt;"","（決定）",IF('calcA'!DA$108=1,"（空ける）",SUMPRODUCT(('calcA'!DA$60:DA$104=1)*('calcA'!$C$10:$C$54=1))&amp;"人："&amp;_xlfn.TEXTJOIN("、",TRUE,IF(('calcA'!DA$60:DA$104=1)*('calcA'!$C$10:$C$54=1),'calcA'!$B$10:$B$54,"")))))</f>
        <v/>
      </c>
      <c r="H40" s="107">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6">
        <f>'設定'!$I$17</f>
        <v/>
      </c>
      <c r="C41" s="107">
        <f t="array" ref="C41">IF('calcA'!J$4=0,"",IF(C12&lt;&gt;"","（決定）",IF('calcA'!J$108=1,"（空ける）",SUMPRODUCT(('calcA'!J$60:J$104=1)*('calcA'!$C$10:$C$54=1))&amp;"人："&amp;_xlfn.TEXTJOIN("、",TRUE,IF(('calcA'!J$60:J$104=1)*('calcA'!$C$10:$C$54=1),'calcA'!$B$10:$B$54,"")))))</f>
        <v/>
      </c>
      <c r="D41" s="107">
        <f t="array" ref="D41">IF('calcA'!AH$4=0,"",IF(D12&lt;&gt;"","（決定）",IF('calcA'!AH$108=1,"（空ける）",SUMPRODUCT(('calcA'!AH$60:AH$104=1)*('calcA'!$C$10:$C$54=1))&amp;"人："&amp;_xlfn.TEXTJOIN("、",TRUE,IF(('calcA'!AH$60:AH$104=1)*('calcA'!$C$10:$C$54=1),'calcA'!$B$10:$B$54,"")))))</f>
        <v/>
      </c>
      <c r="E41" s="107">
        <f t="array" ref="E41">IF('calcA'!BF$4=0,"",IF(E12&lt;&gt;"","（決定）",IF('calcA'!BF$108=1,"（空ける）",SUMPRODUCT(('calcA'!BF$60:BF$104=1)*('calcA'!$C$10:$C$54=1))&amp;"人："&amp;_xlfn.TEXTJOIN("、",TRUE,IF(('calcA'!BF$60:BF$104=1)*('calcA'!$C$10:$C$54=1),'calcA'!$B$10:$B$54,"")))))</f>
        <v/>
      </c>
      <c r="F41" s="107">
        <f t="array" ref="F41">IF('calcA'!CD$4=0,"",IF(F12&lt;&gt;"","（決定）",IF('calcA'!CD$108=1,"（空ける）",SUMPRODUCT(('calcA'!CD$60:CD$104=1)*('calcA'!$C$10:$C$54=1))&amp;"人："&amp;_xlfn.TEXTJOIN("、",TRUE,IF(('calcA'!CD$60:CD$104=1)*('calcA'!$C$10:$C$54=1),'calcA'!$B$10:$B$54,"")))))</f>
        <v/>
      </c>
      <c r="G41" s="107">
        <f t="array" ref="G41">IF('calcA'!DB$4=0,"",IF(G12&lt;&gt;"","（決定）",IF('calcA'!DB$108=1,"（空ける）",SUMPRODUCT(('calcA'!DB$60:DB$104=1)*('calcA'!$C$10:$C$54=1))&amp;"人："&amp;_xlfn.TEXTJOIN("、",TRUE,IF(('calcA'!DB$60:DB$104=1)*('calcA'!$C$10:$C$54=1),'calcA'!$B$10:$B$54,"")))))</f>
        <v/>
      </c>
      <c r="H41" s="107">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6">
        <f>'設定'!$I$18</f>
        <v/>
      </c>
      <c r="C42" s="107">
        <f t="array" ref="C42">IF('calcA'!K$4=0,"",IF(C13&lt;&gt;"","（決定）",IF('calcA'!K$108=1,"（空ける）",SUMPRODUCT(('calcA'!K$60:K$104=1)*('calcA'!$C$10:$C$54=1))&amp;"人："&amp;_xlfn.TEXTJOIN("、",TRUE,IF(('calcA'!K$60:K$104=1)*('calcA'!$C$10:$C$54=1),'calcA'!$B$10:$B$54,"")))))</f>
        <v/>
      </c>
      <c r="D42" s="107">
        <f t="array" ref="D42">IF('calcA'!AI$4=0,"",IF(D13&lt;&gt;"","（決定）",IF('calcA'!AI$108=1,"（空ける）",SUMPRODUCT(('calcA'!AI$60:AI$104=1)*('calcA'!$C$10:$C$54=1))&amp;"人："&amp;_xlfn.TEXTJOIN("、",TRUE,IF(('calcA'!AI$60:AI$104=1)*('calcA'!$C$10:$C$54=1),'calcA'!$B$10:$B$54,"")))))</f>
        <v/>
      </c>
      <c r="E42" s="107">
        <f t="array" ref="E42">IF('calcA'!BG$4=0,"",IF(E13&lt;&gt;"","（決定）",IF('calcA'!BG$108=1,"（空ける）",SUMPRODUCT(('calcA'!BG$60:BG$104=1)*('calcA'!$C$10:$C$54=1))&amp;"人："&amp;_xlfn.TEXTJOIN("、",TRUE,IF(('calcA'!BG$60:BG$104=1)*('calcA'!$C$10:$C$54=1),'calcA'!$B$10:$B$54,"")))))</f>
        <v/>
      </c>
      <c r="F42" s="107">
        <f t="array" ref="F42">IF('calcA'!CE$4=0,"",IF(F13&lt;&gt;"","（決定）",IF('calcA'!CE$108=1,"（空ける）",SUMPRODUCT(('calcA'!CE$60:CE$104=1)*('calcA'!$C$10:$C$54=1))&amp;"人："&amp;_xlfn.TEXTJOIN("、",TRUE,IF(('calcA'!CE$60:CE$104=1)*('calcA'!$C$10:$C$54=1),'calcA'!$B$10:$B$54,"")))))</f>
        <v/>
      </c>
      <c r="G42" s="107">
        <f t="array" ref="G42">IF('calcA'!DC$4=0,"",IF(G13&lt;&gt;"","（決定）",IF('calcA'!DC$108=1,"（空ける）",SUMPRODUCT(('calcA'!DC$60:DC$104=1)*('calcA'!$C$10:$C$54=1))&amp;"人："&amp;_xlfn.TEXTJOIN("、",TRUE,IF(('calcA'!DC$60:DC$104=1)*('calcA'!$C$10:$C$54=1),'calcA'!$B$10:$B$54,"")))))</f>
        <v/>
      </c>
      <c r="H42" s="107">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6">
        <f>'設定'!$I$19</f>
        <v/>
      </c>
      <c r="C43" s="107">
        <f t="array" ref="C43">IF('calcA'!L$4=0,"",IF(C14&lt;&gt;"","（決定）",IF('calcA'!L$108=1,"（空ける）",SUMPRODUCT(('calcA'!L$60:L$104=1)*('calcA'!$C$10:$C$54=1))&amp;"人："&amp;_xlfn.TEXTJOIN("、",TRUE,IF(('calcA'!L$60:L$104=1)*('calcA'!$C$10:$C$54=1),'calcA'!$B$10:$B$54,"")))))</f>
        <v/>
      </c>
      <c r="D43" s="107">
        <f t="array" ref="D43">IF('calcA'!AJ$4=0,"",IF(D14&lt;&gt;"","（決定）",IF('calcA'!AJ$108=1,"（空ける）",SUMPRODUCT(('calcA'!AJ$60:AJ$104=1)*('calcA'!$C$10:$C$54=1))&amp;"人："&amp;_xlfn.TEXTJOIN("、",TRUE,IF(('calcA'!AJ$60:AJ$104=1)*('calcA'!$C$10:$C$54=1),'calcA'!$B$10:$B$54,"")))))</f>
        <v/>
      </c>
      <c r="E43" s="107">
        <f t="array" ref="E43">IF('calcA'!BH$4=0,"",IF(E14&lt;&gt;"","（決定）",IF('calcA'!BH$108=1,"（空ける）",SUMPRODUCT(('calcA'!BH$60:BH$104=1)*('calcA'!$C$10:$C$54=1))&amp;"人："&amp;_xlfn.TEXTJOIN("、",TRUE,IF(('calcA'!BH$60:BH$104=1)*('calcA'!$C$10:$C$54=1),'calcA'!$B$10:$B$54,"")))))</f>
        <v/>
      </c>
      <c r="F43" s="107">
        <f t="array" ref="F43">IF('calcA'!CF$4=0,"",IF(F14&lt;&gt;"","（決定）",IF('calcA'!CF$108=1,"（空ける）",SUMPRODUCT(('calcA'!CF$60:CF$104=1)*('calcA'!$C$10:$C$54=1))&amp;"人："&amp;_xlfn.TEXTJOIN("、",TRUE,IF(('calcA'!CF$60:CF$104=1)*('calcA'!$C$10:$C$54=1),'calcA'!$B$10:$B$54,"")))))</f>
        <v/>
      </c>
      <c r="G43" s="107">
        <f t="array" ref="G43">IF('calcA'!DD$4=0,"",IF(G14&lt;&gt;"","（決定）",IF('calcA'!DD$108=1,"（空ける）",SUMPRODUCT(('calcA'!DD$60:DD$104=1)*('calcA'!$C$10:$C$54=1))&amp;"人："&amp;_xlfn.TEXTJOIN("、",TRUE,IF(('calcA'!DD$60:DD$104=1)*('calcA'!$C$10:$C$54=1),'calcA'!$B$10:$B$54,"")))))</f>
        <v/>
      </c>
      <c r="H43" s="107">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6">
        <f>'設定'!$I$20</f>
        <v/>
      </c>
      <c r="C44" s="107">
        <f t="array" ref="C44">IF('calcA'!M$4=0,"",IF(C15&lt;&gt;"","（決定）",IF('calcA'!M$108=1,"（空ける）",SUMPRODUCT(('calcA'!M$60:M$104=1)*('calcA'!$C$10:$C$54=1))&amp;"人："&amp;_xlfn.TEXTJOIN("、",TRUE,IF(('calcA'!M$60:M$104=1)*('calcA'!$C$10:$C$54=1),'calcA'!$B$10:$B$54,"")))))</f>
        <v/>
      </c>
      <c r="D44" s="107">
        <f t="array" ref="D44">IF('calcA'!AK$4=0,"",IF(D15&lt;&gt;"","（決定）",IF('calcA'!AK$108=1,"（空ける）",SUMPRODUCT(('calcA'!AK$60:AK$104=1)*('calcA'!$C$10:$C$54=1))&amp;"人："&amp;_xlfn.TEXTJOIN("、",TRUE,IF(('calcA'!AK$60:AK$104=1)*('calcA'!$C$10:$C$54=1),'calcA'!$B$10:$B$54,"")))))</f>
        <v/>
      </c>
      <c r="E44" s="107">
        <f t="array" ref="E44">IF('calcA'!BI$4=0,"",IF(E15&lt;&gt;"","（決定）",IF('calcA'!BI$108=1,"（空ける）",SUMPRODUCT(('calcA'!BI$60:BI$104=1)*('calcA'!$C$10:$C$54=1))&amp;"人："&amp;_xlfn.TEXTJOIN("、",TRUE,IF(('calcA'!BI$60:BI$104=1)*('calcA'!$C$10:$C$54=1),'calcA'!$B$10:$B$54,"")))))</f>
        <v/>
      </c>
      <c r="F44" s="107">
        <f t="array" ref="F44">IF('calcA'!CG$4=0,"",IF(F15&lt;&gt;"","（決定）",IF('calcA'!CG$108=1,"（空ける）",SUMPRODUCT(('calcA'!CG$60:CG$104=1)*('calcA'!$C$10:$C$54=1))&amp;"人："&amp;_xlfn.TEXTJOIN("、",TRUE,IF(('calcA'!CG$60:CG$104=1)*('calcA'!$C$10:$C$54=1),'calcA'!$B$10:$B$54,"")))))</f>
        <v/>
      </c>
      <c r="G44" s="107">
        <f t="array" ref="G44">IF('calcA'!DE$4=0,"",IF(G15&lt;&gt;"","（決定）",IF('calcA'!DE$108=1,"（空ける）",SUMPRODUCT(('calcA'!DE$60:DE$104=1)*('calcA'!$C$10:$C$54=1))&amp;"人："&amp;_xlfn.TEXTJOIN("、",TRUE,IF(('calcA'!DE$60:DE$104=1)*('calcA'!$C$10:$C$54=1),'calcA'!$B$10:$B$54,"")))))</f>
        <v/>
      </c>
      <c r="H44" s="107">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6">
        <f>'設定'!$I$21</f>
        <v/>
      </c>
      <c r="C45" s="107">
        <f t="array" ref="C45">IF('calcA'!N$4=0,"",IF(C16&lt;&gt;"","（決定）",IF('calcA'!N$108=1,"（空ける）",SUMPRODUCT(('calcA'!N$60:N$104=1)*('calcA'!$C$10:$C$54=1))&amp;"人："&amp;_xlfn.TEXTJOIN("、",TRUE,IF(('calcA'!N$60:N$104=1)*('calcA'!$C$10:$C$54=1),'calcA'!$B$10:$B$54,"")))))</f>
        <v/>
      </c>
      <c r="D45" s="107">
        <f t="array" ref="D45">IF('calcA'!AL$4=0,"",IF(D16&lt;&gt;"","（決定）",IF('calcA'!AL$108=1,"（空ける）",SUMPRODUCT(('calcA'!AL$60:AL$104=1)*('calcA'!$C$10:$C$54=1))&amp;"人："&amp;_xlfn.TEXTJOIN("、",TRUE,IF(('calcA'!AL$60:AL$104=1)*('calcA'!$C$10:$C$54=1),'calcA'!$B$10:$B$54,"")))))</f>
        <v/>
      </c>
      <c r="E45" s="107">
        <f t="array" ref="E45">IF('calcA'!BJ$4=0,"",IF(E16&lt;&gt;"","（決定）",IF('calcA'!BJ$108=1,"（空ける）",SUMPRODUCT(('calcA'!BJ$60:BJ$104=1)*('calcA'!$C$10:$C$54=1))&amp;"人："&amp;_xlfn.TEXTJOIN("、",TRUE,IF(('calcA'!BJ$60:BJ$104=1)*('calcA'!$C$10:$C$54=1),'calcA'!$B$10:$B$54,"")))))</f>
        <v/>
      </c>
      <c r="F45" s="107">
        <f t="array" ref="F45">IF('calcA'!CH$4=0,"",IF(F16&lt;&gt;"","（決定）",IF('calcA'!CH$108=1,"（空ける）",SUMPRODUCT(('calcA'!CH$60:CH$104=1)*('calcA'!$C$10:$C$54=1))&amp;"人："&amp;_xlfn.TEXTJOIN("、",TRUE,IF(('calcA'!CH$60:CH$104=1)*('calcA'!$C$10:$C$54=1),'calcA'!$B$10:$B$54,"")))))</f>
        <v/>
      </c>
      <c r="G45" s="107">
        <f t="array" ref="G45">IF('calcA'!DF$4=0,"",IF(G16&lt;&gt;"","（決定）",IF('calcA'!DF$108=1,"（空ける）",SUMPRODUCT(('calcA'!DF$60:DF$104=1)*('calcA'!$C$10:$C$54=1))&amp;"人："&amp;_xlfn.TEXTJOIN("、",TRUE,IF(('calcA'!DF$60:DF$104=1)*('calcA'!$C$10:$C$54=1),'calcA'!$B$10:$B$54,"")))))</f>
        <v/>
      </c>
      <c r="H45" s="107">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6">
        <f>'設定'!$I$22</f>
        <v/>
      </c>
      <c r="C46" s="107">
        <f t="array" ref="C46">IF('calcA'!O$4=0,"",IF(C17&lt;&gt;"","（決定）",IF('calcA'!O$108=1,"（空ける）",SUMPRODUCT(('calcA'!O$60:O$104=1)*('calcA'!$C$10:$C$54=1))&amp;"人："&amp;_xlfn.TEXTJOIN("、",TRUE,IF(('calcA'!O$60:O$104=1)*('calcA'!$C$10:$C$54=1),'calcA'!$B$10:$B$54,"")))))</f>
        <v/>
      </c>
      <c r="D46" s="107">
        <f t="array" ref="D46">IF('calcA'!AM$4=0,"",IF(D17&lt;&gt;"","（決定）",IF('calcA'!AM$108=1,"（空ける）",SUMPRODUCT(('calcA'!AM$60:AM$104=1)*('calcA'!$C$10:$C$54=1))&amp;"人："&amp;_xlfn.TEXTJOIN("、",TRUE,IF(('calcA'!AM$60:AM$104=1)*('calcA'!$C$10:$C$54=1),'calcA'!$B$10:$B$54,"")))))</f>
        <v/>
      </c>
      <c r="E46" s="107">
        <f t="array" ref="E46">IF('calcA'!BK$4=0,"",IF(E17&lt;&gt;"","（決定）",IF('calcA'!BK$108=1,"（空ける）",SUMPRODUCT(('calcA'!BK$60:BK$104=1)*('calcA'!$C$10:$C$54=1))&amp;"人："&amp;_xlfn.TEXTJOIN("、",TRUE,IF(('calcA'!BK$60:BK$104=1)*('calcA'!$C$10:$C$54=1),'calcA'!$B$10:$B$54,"")))))</f>
        <v/>
      </c>
      <c r="F46" s="107">
        <f t="array" ref="F46">IF('calcA'!CI$4=0,"",IF(F17&lt;&gt;"","（決定）",IF('calcA'!CI$108=1,"（空ける）",SUMPRODUCT(('calcA'!CI$60:CI$104=1)*('calcA'!$C$10:$C$54=1))&amp;"人："&amp;_xlfn.TEXTJOIN("、",TRUE,IF(('calcA'!CI$60:CI$104=1)*('calcA'!$C$10:$C$54=1),'calcA'!$B$10:$B$54,"")))))</f>
        <v/>
      </c>
      <c r="G46" s="107">
        <f t="array" ref="G46">IF('calcA'!DG$4=0,"",IF(G17&lt;&gt;"","（決定）",IF('calcA'!DG$108=1,"（空ける）",SUMPRODUCT(('calcA'!DG$60:DG$104=1)*('calcA'!$C$10:$C$54=1))&amp;"人："&amp;_xlfn.TEXTJOIN("、",TRUE,IF(('calcA'!DG$60:DG$104=1)*('calcA'!$C$10:$C$54=1),'calcA'!$B$10:$B$54,"")))))</f>
        <v/>
      </c>
      <c r="H46" s="107">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6">
        <f>'設定'!$I$23</f>
        <v/>
      </c>
      <c r="C47" s="107">
        <f t="array" ref="C47">IF('calcA'!P$4=0,"",IF(C18&lt;&gt;"","（決定）",IF('calcA'!P$108=1,"（空ける）",SUMPRODUCT(('calcA'!P$60:P$104=1)*('calcA'!$C$10:$C$54=1))&amp;"人："&amp;_xlfn.TEXTJOIN("、",TRUE,IF(('calcA'!P$60:P$104=1)*('calcA'!$C$10:$C$54=1),'calcA'!$B$10:$B$54,"")))))</f>
        <v/>
      </c>
      <c r="D47" s="107">
        <f t="array" ref="D47">IF('calcA'!AN$4=0,"",IF(D18&lt;&gt;"","（決定）",IF('calcA'!AN$108=1,"（空ける）",SUMPRODUCT(('calcA'!AN$60:AN$104=1)*('calcA'!$C$10:$C$54=1))&amp;"人："&amp;_xlfn.TEXTJOIN("、",TRUE,IF(('calcA'!AN$60:AN$104=1)*('calcA'!$C$10:$C$54=1),'calcA'!$B$10:$B$54,"")))))</f>
        <v/>
      </c>
      <c r="E47" s="107">
        <f t="array" ref="E47">IF('calcA'!BL$4=0,"",IF(E18&lt;&gt;"","（決定）",IF('calcA'!BL$108=1,"（空ける）",SUMPRODUCT(('calcA'!BL$60:BL$104=1)*('calcA'!$C$10:$C$54=1))&amp;"人："&amp;_xlfn.TEXTJOIN("、",TRUE,IF(('calcA'!BL$60:BL$104=1)*('calcA'!$C$10:$C$54=1),'calcA'!$B$10:$B$54,"")))))</f>
        <v/>
      </c>
      <c r="F47" s="107">
        <f t="array" ref="F47">IF('calcA'!CJ$4=0,"",IF(F18&lt;&gt;"","（決定）",IF('calcA'!CJ$108=1,"（空ける）",SUMPRODUCT(('calcA'!CJ$60:CJ$104=1)*('calcA'!$C$10:$C$54=1))&amp;"人："&amp;_xlfn.TEXTJOIN("、",TRUE,IF(('calcA'!CJ$60:CJ$104=1)*('calcA'!$C$10:$C$54=1),'calcA'!$B$10:$B$54,"")))))</f>
        <v/>
      </c>
      <c r="G47" s="107">
        <f t="array" ref="G47">IF('calcA'!DH$4=0,"",IF(G18&lt;&gt;"","（決定）",IF('calcA'!DH$108=1,"（空ける）",SUMPRODUCT(('calcA'!DH$60:DH$104=1)*('calcA'!$C$10:$C$54=1))&amp;"人："&amp;_xlfn.TEXTJOIN("、",TRUE,IF(('calcA'!DH$60:DH$104=1)*('calcA'!$C$10:$C$54=1),'calcA'!$B$10:$B$54,"")))))</f>
        <v/>
      </c>
      <c r="H47" s="107">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6">
        <f>'設定'!$I$24</f>
        <v/>
      </c>
      <c r="C48" s="107">
        <f t="array" ref="C48">IF('calcA'!Q$4=0,"",IF(C19&lt;&gt;"","（決定）",IF('calcA'!Q$108=1,"（空ける）",SUMPRODUCT(('calcA'!Q$60:Q$104=1)*('calcA'!$C$10:$C$54=1))&amp;"人："&amp;_xlfn.TEXTJOIN("、",TRUE,IF(('calcA'!Q$60:Q$104=1)*('calcA'!$C$10:$C$54=1),'calcA'!$B$10:$B$54,"")))))</f>
        <v/>
      </c>
      <c r="D48" s="107">
        <f t="array" ref="D48">IF('calcA'!AO$4=0,"",IF(D19&lt;&gt;"","（決定）",IF('calcA'!AO$108=1,"（空ける）",SUMPRODUCT(('calcA'!AO$60:AO$104=1)*('calcA'!$C$10:$C$54=1))&amp;"人："&amp;_xlfn.TEXTJOIN("、",TRUE,IF(('calcA'!AO$60:AO$104=1)*('calcA'!$C$10:$C$54=1),'calcA'!$B$10:$B$54,"")))))</f>
        <v/>
      </c>
      <c r="E48" s="107">
        <f t="array" ref="E48">IF('calcA'!BM$4=0,"",IF(E19&lt;&gt;"","（決定）",IF('calcA'!BM$108=1,"（空ける）",SUMPRODUCT(('calcA'!BM$60:BM$104=1)*('calcA'!$C$10:$C$54=1))&amp;"人："&amp;_xlfn.TEXTJOIN("、",TRUE,IF(('calcA'!BM$60:BM$104=1)*('calcA'!$C$10:$C$54=1),'calcA'!$B$10:$B$54,"")))))</f>
        <v/>
      </c>
      <c r="F48" s="107">
        <f t="array" ref="F48">IF('calcA'!CK$4=0,"",IF(F19&lt;&gt;"","（決定）",IF('calcA'!CK$108=1,"（空ける）",SUMPRODUCT(('calcA'!CK$60:CK$104=1)*('calcA'!$C$10:$C$54=1))&amp;"人："&amp;_xlfn.TEXTJOIN("、",TRUE,IF(('calcA'!CK$60:CK$104=1)*('calcA'!$C$10:$C$54=1),'calcA'!$B$10:$B$54,"")))))</f>
        <v/>
      </c>
      <c r="G48" s="107">
        <f t="array" ref="G48">IF('calcA'!DI$4=0,"",IF(G19&lt;&gt;"","（決定）",IF('calcA'!DI$108=1,"（空ける）",SUMPRODUCT(('calcA'!DI$60:DI$104=1)*('calcA'!$C$10:$C$54=1))&amp;"人："&amp;_xlfn.TEXTJOIN("、",TRUE,IF(('calcA'!DI$60:DI$104=1)*('calcA'!$C$10:$C$54=1),'calcA'!$B$10:$B$54,"")))))</f>
        <v/>
      </c>
      <c r="H48" s="107">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6">
        <f>'設定'!$I$25</f>
        <v/>
      </c>
      <c r="C49" s="107">
        <f t="array" ref="C49">IF('calcA'!R$4=0,"",IF(C20&lt;&gt;"","（決定）",IF('calcA'!R$108=1,"（空ける）",SUMPRODUCT(('calcA'!R$60:R$104=1)*('calcA'!$C$10:$C$54=1))&amp;"人："&amp;_xlfn.TEXTJOIN("、",TRUE,IF(('calcA'!R$60:R$104=1)*('calcA'!$C$10:$C$54=1),'calcA'!$B$10:$B$54,"")))))</f>
        <v/>
      </c>
      <c r="D49" s="107">
        <f t="array" ref="D49">IF('calcA'!AP$4=0,"",IF(D20&lt;&gt;"","（決定）",IF('calcA'!AP$108=1,"（空ける）",SUMPRODUCT(('calcA'!AP$60:AP$104=1)*('calcA'!$C$10:$C$54=1))&amp;"人："&amp;_xlfn.TEXTJOIN("、",TRUE,IF(('calcA'!AP$60:AP$104=1)*('calcA'!$C$10:$C$54=1),'calcA'!$B$10:$B$54,"")))))</f>
        <v/>
      </c>
      <c r="E49" s="107">
        <f t="array" ref="E49">IF('calcA'!BN$4=0,"",IF(E20&lt;&gt;"","（決定）",IF('calcA'!BN$108=1,"（空ける）",SUMPRODUCT(('calcA'!BN$60:BN$104=1)*('calcA'!$C$10:$C$54=1))&amp;"人："&amp;_xlfn.TEXTJOIN("、",TRUE,IF(('calcA'!BN$60:BN$104=1)*('calcA'!$C$10:$C$54=1),'calcA'!$B$10:$B$54,"")))))</f>
        <v/>
      </c>
      <c r="F49" s="107">
        <f t="array" ref="F49">IF('calcA'!CL$4=0,"",IF(F20&lt;&gt;"","（決定）",IF('calcA'!CL$108=1,"（空ける）",SUMPRODUCT(('calcA'!CL$60:CL$104=1)*('calcA'!$C$10:$C$54=1))&amp;"人："&amp;_xlfn.TEXTJOIN("、",TRUE,IF(('calcA'!CL$60:CL$104=1)*('calcA'!$C$10:$C$54=1),'calcA'!$B$10:$B$54,"")))))</f>
        <v/>
      </c>
      <c r="G49" s="107">
        <f t="array" ref="G49">IF('calcA'!DJ$4=0,"",IF(G20&lt;&gt;"","（決定）",IF('calcA'!DJ$108=1,"（空ける）",SUMPRODUCT(('calcA'!DJ$60:DJ$104=1)*('calcA'!$C$10:$C$54=1))&amp;"人："&amp;_xlfn.TEXTJOIN("、",TRUE,IF(('calcA'!DJ$60:DJ$104=1)*('calcA'!$C$10:$C$54=1),'calcA'!$B$10:$B$54,"")))))</f>
        <v/>
      </c>
      <c r="H49" s="107">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6">
        <f>'設定'!$I$26</f>
        <v/>
      </c>
      <c r="C50" s="107">
        <f t="array" ref="C50">IF('calcA'!S$4=0,"",IF(C21&lt;&gt;"","（決定）",IF('calcA'!S$108=1,"（空ける）",SUMPRODUCT(('calcA'!S$60:S$104=1)*('calcA'!$C$10:$C$54=1))&amp;"人："&amp;_xlfn.TEXTJOIN("、",TRUE,IF(('calcA'!S$60:S$104=1)*('calcA'!$C$10:$C$54=1),'calcA'!$B$10:$B$54,"")))))</f>
        <v/>
      </c>
      <c r="D50" s="107">
        <f t="array" ref="D50">IF('calcA'!AQ$4=0,"",IF(D21&lt;&gt;"","（決定）",IF('calcA'!AQ$108=1,"（空ける）",SUMPRODUCT(('calcA'!AQ$60:AQ$104=1)*('calcA'!$C$10:$C$54=1))&amp;"人："&amp;_xlfn.TEXTJOIN("、",TRUE,IF(('calcA'!AQ$60:AQ$104=1)*('calcA'!$C$10:$C$54=1),'calcA'!$B$10:$B$54,"")))))</f>
        <v/>
      </c>
      <c r="E50" s="107">
        <f t="array" ref="E50">IF('calcA'!BO$4=0,"",IF(E21&lt;&gt;"","（決定）",IF('calcA'!BO$108=1,"（空ける）",SUMPRODUCT(('calcA'!BO$60:BO$104=1)*('calcA'!$C$10:$C$54=1))&amp;"人："&amp;_xlfn.TEXTJOIN("、",TRUE,IF(('calcA'!BO$60:BO$104=1)*('calcA'!$C$10:$C$54=1),'calcA'!$B$10:$B$54,"")))))</f>
        <v/>
      </c>
      <c r="F50" s="107">
        <f t="array" ref="F50">IF('calcA'!CM$4=0,"",IF(F21&lt;&gt;"","（決定）",IF('calcA'!CM$108=1,"（空ける）",SUMPRODUCT(('calcA'!CM$60:CM$104=1)*('calcA'!$C$10:$C$54=1))&amp;"人："&amp;_xlfn.TEXTJOIN("、",TRUE,IF(('calcA'!CM$60:CM$104=1)*('calcA'!$C$10:$C$54=1),'calcA'!$B$10:$B$54,"")))))</f>
        <v/>
      </c>
      <c r="G50" s="107">
        <f t="array" ref="G50">IF('calcA'!DK$4=0,"",IF(G21&lt;&gt;"","（決定）",IF('calcA'!DK$108=1,"（空ける）",SUMPRODUCT(('calcA'!DK$60:DK$104=1)*('calcA'!$C$10:$C$54=1))&amp;"人："&amp;_xlfn.TEXTJOIN("、",TRUE,IF(('calcA'!DK$60:DK$104=1)*('calcA'!$C$10:$C$54=1),'calcA'!$B$10:$B$54,"")))))</f>
        <v/>
      </c>
      <c r="H50" s="107">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6">
        <f>'設定'!$I$27</f>
        <v/>
      </c>
      <c r="C51" s="107">
        <f t="array" ref="C51">IF('calcA'!T$4=0,"",IF(C22&lt;&gt;"","（決定）",IF('calcA'!T$108=1,"（空ける）",SUMPRODUCT(('calcA'!T$60:T$104=1)*('calcA'!$C$10:$C$54=1))&amp;"人："&amp;_xlfn.TEXTJOIN("、",TRUE,IF(('calcA'!T$60:T$104=1)*('calcA'!$C$10:$C$54=1),'calcA'!$B$10:$B$54,"")))))</f>
        <v/>
      </c>
      <c r="D51" s="107">
        <f t="array" ref="D51">IF('calcA'!AR$4=0,"",IF(D22&lt;&gt;"","（決定）",IF('calcA'!AR$108=1,"（空ける）",SUMPRODUCT(('calcA'!AR$60:AR$104=1)*('calcA'!$C$10:$C$54=1))&amp;"人："&amp;_xlfn.TEXTJOIN("、",TRUE,IF(('calcA'!AR$60:AR$104=1)*('calcA'!$C$10:$C$54=1),'calcA'!$B$10:$B$54,"")))))</f>
        <v/>
      </c>
      <c r="E51" s="107">
        <f t="array" ref="E51">IF('calcA'!BP$4=0,"",IF(E22&lt;&gt;"","（決定）",IF('calcA'!BP$108=1,"（空ける）",SUMPRODUCT(('calcA'!BP$60:BP$104=1)*('calcA'!$C$10:$C$54=1))&amp;"人："&amp;_xlfn.TEXTJOIN("、",TRUE,IF(('calcA'!BP$60:BP$104=1)*('calcA'!$C$10:$C$54=1),'calcA'!$B$10:$B$54,"")))))</f>
        <v/>
      </c>
      <c r="F51" s="107">
        <f t="array" ref="F51">IF('calcA'!CN$4=0,"",IF(F22&lt;&gt;"","（決定）",IF('calcA'!CN$108=1,"（空ける）",SUMPRODUCT(('calcA'!CN$60:CN$104=1)*('calcA'!$C$10:$C$54=1))&amp;"人："&amp;_xlfn.TEXTJOIN("、",TRUE,IF(('calcA'!CN$60:CN$104=1)*('calcA'!$C$10:$C$54=1),'calcA'!$B$10:$B$54,"")))))</f>
        <v/>
      </c>
      <c r="G51" s="107">
        <f t="array" ref="G51">IF('calcA'!DL$4=0,"",IF(G22&lt;&gt;"","（決定）",IF('calcA'!DL$108=1,"（空ける）",SUMPRODUCT(('calcA'!DL$60:DL$104=1)*('calcA'!$C$10:$C$54=1))&amp;"人："&amp;_xlfn.TEXTJOIN("、",TRUE,IF(('calcA'!DL$60:DL$104=1)*('calcA'!$C$10:$C$54=1),'calcA'!$B$10:$B$54,"")))))</f>
        <v/>
      </c>
      <c r="H51" s="107">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6">
        <f>'設定'!$I$28</f>
        <v/>
      </c>
      <c r="C52" s="107">
        <f t="array" ref="C52">IF('calcA'!U$4=0,"",IF(C23&lt;&gt;"","（決定）",IF('calcA'!U$108=1,"（空ける）",SUMPRODUCT(('calcA'!U$60:U$104=1)*('calcA'!$C$10:$C$54=1))&amp;"人："&amp;_xlfn.TEXTJOIN("、",TRUE,IF(('calcA'!U$60:U$104=1)*('calcA'!$C$10:$C$54=1),'calcA'!$B$10:$B$54,"")))))</f>
        <v/>
      </c>
      <c r="D52" s="107">
        <f t="array" ref="D52">IF('calcA'!AS$4=0,"",IF(D23&lt;&gt;"","（決定）",IF('calcA'!AS$108=1,"（空ける）",SUMPRODUCT(('calcA'!AS$60:AS$104=1)*('calcA'!$C$10:$C$54=1))&amp;"人："&amp;_xlfn.TEXTJOIN("、",TRUE,IF(('calcA'!AS$60:AS$104=1)*('calcA'!$C$10:$C$54=1),'calcA'!$B$10:$B$54,"")))))</f>
        <v/>
      </c>
      <c r="E52" s="107">
        <f t="array" ref="E52">IF('calcA'!BQ$4=0,"",IF(E23&lt;&gt;"","（決定）",IF('calcA'!BQ$108=1,"（空ける）",SUMPRODUCT(('calcA'!BQ$60:BQ$104=1)*('calcA'!$C$10:$C$54=1))&amp;"人："&amp;_xlfn.TEXTJOIN("、",TRUE,IF(('calcA'!BQ$60:BQ$104=1)*('calcA'!$C$10:$C$54=1),'calcA'!$B$10:$B$54,"")))))</f>
        <v/>
      </c>
      <c r="F52" s="107">
        <f t="array" ref="F52">IF('calcA'!CO$4=0,"",IF(F23&lt;&gt;"","（決定）",IF('calcA'!CO$108=1,"（空ける）",SUMPRODUCT(('calcA'!CO$60:CO$104=1)*('calcA'!$C$10:$C$54=1))&amp;"人："&amp;_xlfn.TEXTJOIN("、",TRUE,IF(('calcA'!CO$60:CO$104=1)*('calcA'!$C$10:$C$54=1),'calcA'!$B$10:$B$54,"")))))</f>
        <v/>
      </c>
      <c r="G52" s="107">
        <f t="array" ref="G52">IF('calcA'!DM$4=0,"",IF(G23&lt;&gt;"","（決定）",IF('calcA'!DM$108=1,"（空ける）",SUMPRODUCT(('calcA'!DM$60:DM$104=1)*('calcA'!$C$10:$C$54=1))&amp;"人："&amp;_xlfn.TEXTJOIN("、",TRUE,IF(('calcA'!DM$60:DM$104=1)*('calcA'!$C$10:$C$54=1),'calcA'!$B$10:$B$54,"")))))</f>
        <v/>
      </c>
      <c r="H52" s="107">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6">
        <f>'設定'!$I$29</f>
        <v/>
      </c>
      <c r="C53" s="107">
        <f t="array" ref="C53">IF('calcA'!V$4=0,"",IF(C24&lt;&gt;"","（決定）",IF('calcA'!V$108=1,"（空ける）",SUMPRODUCT(('calcA'!V$60:V$104=1)*('calcA'!$C$10:$C$54=1))&amp;"人："&amp;_xlfn.TEXTJOIN("、",TRUE,IF(('calcA'!V$60:V$104=1)*('calcA'!$C$10:$C$54=1),'calcA'!$B$10:$B$54,"")))))</f>
        <v/>
      </c>
      <c r="D53" s="107">
        <f t="array" ref="D53">IF('calcA'!AT$4=0,"",IF(D24&lt;&gt;"","（決定）",IF('calcA'!AT$108=1,"（空ける）",SUMPRODUCT(('calcA'!AT$60:AT$104=1)*('calcA'!$C$10:$C$54=1))&amp;"人："&amp;_xlfn.TEXTJOIN("、",TRUE,IF(('calcA'!AT$60:AT$104=1)*('calcA'!$C$10:$C$54=1),'calcA'!$B$10:$B$54,"")))))</f>
        <v/>
      </c>
      <c r="E53" s="107">
        <f t="array" ref="E53">IF('calcA'!BR$4=0,"",IF(E24&lt;&gt;"","（決定）",IF('calcA'!BR$108=1,"（空ける）",SUMPRODUCT(('calcA'!BR$60:BR$104=1)*('calcA'!$C$10:$C$54=1))&amp;"人："&amp;_xlfn.TEXTJOIN("、",TRUE,IF(('calcA'!BR$60:BR$104=1)*('calcA'!$C$10:$C$54=1),'calcA'!$B$10:$B$54,"")))))</f>
        <v/>
      </c>
      <c r="F53" s="107">
        <f t="array" ref="F53">IF('calcA'!CP$4=0,"",IF(F24&lt;&gt;"","（決定）",IF('calcA'!CP$108=1,"（空ける）",SUMPRODUCT(('calcA'!CP$60:CP$104=1)*('calcA'!$C$10:$C$54=1))&amp;"人："&amp;_xlfn.TEXTJOIN("、",TRUE,IF(('calcA'!CP$60:CP$104=1)*('calcA'!$C$10:$C$54=1),'calcA'!$B$10:$B$54,"")))))</f>
        <v/>
      </c>
      <c r="G53" s="107">
        <f t="array" ref="G53">IF('calcA'!DN$4=0,"",IF(G24&lt;&gt;"","（決定）",IF('calcA'!DN$108=1,"（空ける）",SUMPRODUCT(('calcA'!DN$60:DN$104=1)*('calcA'!$C$10:$C$54=1))&amp;"人："&amp;_xlfn.TEXTJOIN("、",TRUE,IF(('calcA'!DN$60:DN$104=1)*('calcA'!$C$10:$C$54=1),'calcA'!$B$10:$B$54,"")))))</f>
        <v/>
      </c>
      <c r="H53" s="107">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6">
        <f>'設定'!$I$30</f>
        <v/>
      </c>
      <c r="C54" s="107">
        <f t="array" ref="C54">IF('calcA'!W$4=0,"",IF(C25&lt;&gt;"","（決定）",IF('calcA'!W$108=1,"（空ける）",SUMPRODUCT(('calcA'!W$60:W$104=1)*('calcA'!$C$10:$C$54=1))&amp;"人："&amp;_xlfn.TEXTJOIN("、",TRUE,IF(('calcA'!W$60:W$104=1)*('calcA'!$C$10:$C$54=1),'calcA'!$B$10:$B$54,"")))))</f>
        <v/>
      </c>
      <c r="D54" s="107">
        <f t="array" ref="D54">IF('calcA'!AU$4=0,"",IF(D25&lt;&gt;"","（決定）",IF('calcA'!AU$108=1,"（空ける）",SUMPRODUCT(('calcA'!AU$60:AU$104=1)*('calcA'!$C$10:$C$54=1))&amp;"人："&amp;_xlfn.TEXTJOIN("、",TRUE,IF(('calcA'!AU$60:AU$104=1)*('calcA'!$C$10:$C$54=1),'calcA'!$B$10:$B$54,"")))))</f>
        <v/>
      </c>
      <c r="E54" s="107">
        <f t="array" ref="E54">IF('calcA'!BS$4=0,"",IF(E25&lt;&gt;"","（決定）",IF('calcA'!BS$108=1,"（空ける）",SUMPRODUCT(('calcA'!BS$60:BS$104=1)*('calcA'!$C$10:$C$54=1))&amp;"人："&amp;_xlfn.TEXTJOIN("、",TRUE,IF(('calcA'!BS$60:BS$104=1)*('calcA'!$C$10:$C$54=1),'calcA'!$B$10:$B$54,"")))))</f>
        <v/>
      </c>
      <c r="F54" s="107">
        <f t="array" ref="F54">IF('calcA'!CQ$4=0,"",IF(F25&lt;&gt;"","（決定）",IF('calcA'!CQ$108=1,"（空ける）",SUMPRODUCT(('calcA'!CQ$60:CQ$104=1)*('calcA'!$C$10:$C$54=1))&amp;"人："&amp;_xlfn.TEXTJOIN("、",TRUE,IF(('calcA'!CQ$60:CQ$104=1)*('calcA'!$C$10:$C$54=1),'calcA'!$B$10:$B$54,"")))))</f>
        <v/>
      </c>
      <c r="G54" s="107">
        <f t="array" ref="G54">IF('calcA'!DO$4=0,"",IF(G25&lt;&gt;"","（決定）",IF('calcA'!DO$108=1,"（空ける）",SUMPRODUCT(('calcA'!DO$60:DO$104=1)*('calcA'!$C$10:$C$54=1))&amp;"人："&amp;_xlfn.TEXTJOIN("、",TRUE,IF(('calcA'!DO$60:DO$104=1)*('calcA'!$C$10:$C$54=1),'calcA'!$B$10:$B$54,"")))))</f>
        <v/>
      </c>
      <c r="H54" s="107">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6">
        <f>'設定'!$I$31</f>
        <v/>
      </c>
      <c r="C55" s="107">
        <f t="array" ref="C55">IF('calcA'!X$4=0,"",IF(C26&lt;&gt;"","（決定）",IF('calcA'!X$108=1,"（空ける）",SUMPRODUCT(('calcA'!X$60:X$104=1)*('calcA'!$C$10:$C$54=1))&amp;"人："&amp;_xlfn.TEXTJOIN("、",TRUE,IF(('calcA'!X$60:X$104=1)*('calcA'!$C$10:$C$54=1),'calcA'!$B$10:$B$54,"")))))</f>
        <v/>
      </c>
      <c r="D55" s="107">
        <f t="array" ref="D55">IF('calcA'!AV$4=0,"",IF(D26&lt;&gt;"","（決定）",IF('calcA'!AV$108=1,"（空ける）",SUMPRODUCT(('calcA'!AV$60:AV$104=1)*('calcA'!$C$10:$C$54=1))&amp;"人："&amp;_xlfn.TEXTJOIN("、",TRUE,IF(('calcA'!AV$60:AV$104=1)*('calcA'!$C$10:$C$54=1),'calcA'!$B$10:$B$54,"")))))</f>
        <v/>
      </c>
      <c r="E55" s="107">
        <f t="array" ref="E55">IF('calcA'!BT$4=0,"",IF(E26&lt;&gt;"","（決定）",IF('calcA'!BT$108=1,"（空ける）",SUMPRODUCT(('calcA'!BT$60:BT$104=1)*('calcA'!$C$10:$C$54=1))&amp;"人："&amp;_xlfn.TEXTJOIN("、",TRUE,IF(('calcA'!BT$60:BT$104=1)*('calcA'!$C$10:$C$54=1),'calcA'!$B$10:$B$54,"")))))</f>
        <v/>
      </c>
      <c r="F55" s="107">
        <f t="array" ref="F55">IF('calcA'!CR$4=0,"",IF(F26&lt;&gt;"","（決定）",IF('calcA'!CR$108=1,"（空ける）",SUMPRODUCT(('calcA'!CR$60:CR$104=1)*('calcA'!$C$10:$C$54=1))&amp;"人："&amp;_xlfn.TEXTJOIN("、",TRUE,IF(('calcA'!CR$60:CR$104=1)*('calcA'!$C$10:$C$54=1),'calcA'!$B$10:$B$54,"")))))</f>
        <v/>
      </c>
      <c r="G55" s="107">
        <f t="array" ref="G55">IF('calcA'!DP$4=0,"",IF(G26&lt;&gt;"","（決定）",IF('calcA'!DP$108=1,"（空ける）",SUMPRODUCT(('calcA'!DP$60:DP$104=1)*('calcA'!$C$10:$C$54=1))&amp;"人："&amp;_xlfn.TEXTJOIN("、",TRUE,IF(('calcA'!DP$60:DP$104=1)*('calcA'!$C$10:$C$54=1),'calcA'!$B$10:$B$54,"")))))</f>
        <v/>
      </c>
      <c r="H55" s="107">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6">
        <f>'設定'!$I$32</f>
        <v/>
      </c>
      <c r="C56" s="107">
        <f t="array" ref="C56">IF('calcA'!Y$4=0,"",IF(C27&lt;&gt;"","（決定）",IF('calcA'!Y$108=1,"（空ける）",SUMPRODUCT(('calcA'!Y$60:Y$104=1)*('calcA'!$C$10:$C$54=1))&amp;"人："&amp;_xlfn.TEXTJOIN("、",TRUE,IF(('calcA'!Y$60:Y$104=1)*('calcA'!$C$10:$C$54=1),'calcA'!$B$10:$B$54,"")))))</f>
        <v/>
      </c>
      <c r="D56" s="107">
        <f t="array" ref="D56">IF('calcA'!AW$4=0,"",IF(D27&lt;&gt;"","（決定）",IF('calcA'!AW$108=1,"（空ける）",SUMPRODUCT(('calcA'!AW$60:AW$104=1)*('calcA'!$C$10:$C$54=1))&amp;"人："&amp;_xlfn.TEXTJOIN("、",TRUE,IF(('calcA'!AW$60:AW$104=1)*('calcA'!$C$10:$C$54=1),'calcA'!$B$10:$B$54,"")))))</f>
        <v/>
      </c>
      <c r="E56" s="107">
        <f t="array" ref="E56">IF('calcA'!BU$4=0,"",IF(E27&lt;&gt;"","（決定）",IF('calcA'!BU$108=1,"（空ける）",SUMPRODUCT(('calcA'!BU$60:BU$104=1)*('calcA'!$C$10:$C$54=1))&amp;"人："&amp;_xlfn.TEXTJOIN("、",TRUE,IF(('calcA'!BU$60:BU$104=1)*('calcA'!$C$10:$C$54=1),'calcA'!$B$10:$B$54,"")))))</f>
        <v/>
      </c>
      <c r="F56" s="107">
        <f t="array" ref="F56">IF('calcA'!CS$4=0,"",IF(F27&lt;&gt;"","（決定）",IF('calcA'!CS$108=1,"（空ける）",SUMPRODUCT(('calcA'!CS$60:CS$104=1)*('calcA'!$C$10:$C$54=1))&amp;"人："&amp;_xlfn.TEXTJOIN("、",TRUE,IF(('calcA'!CS$60:CS$104=1)*('calcA'!$C$10:$C$54=1),'calcA'!$B$10:$B$54,"")))))</f>
        <v/>
      </c>
      <c r="G56" s="107">
        <f t="array" ref="G56">IF('calcA'!DQ$4=0,"",IF(G27&lt;&gt;"","（決定）",IF('calcA'!DQ$108=1,"（空ける）",SUMPRODUCT(('calcA'!DQ$60:DQ$104=1)*('calcA'!$C$10:$C$54=1))&amp;"人："&amp;_xlfn.TEXTJOIN("、",TRUE,IF(('calcA'!DQ$60:DQ$104=1)*('calcA'!$C$10:$C$54=1),'calcA'!$B$10:$B$54,"")))))</f>
        <v/>
      </c>
      <c r="H56" s="107">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6">
        <f>'設定'!$I$33</f>
        <v/>
      </c>
      <c r="C57" s="107">
        <f t="array" ref="C57">IF('calcA'!Z$4=0,"",IF(C28&lt;&gt;"","（決定）",IF('calcA'!Z$108=1,"（空ける）",SUMPRODUCT(('calcA'!Z$60:Z$104=1)*('calcA'!$C$10:$C$54=1))&amp;"人："&amp;_xlfn.TEXTJOIN("、",TRUE,IF(('calcA'!Z$60:Z$104=1)*('calcA'!$C$10:$C$54=1),'calcA'!$B$10:$B$54,"")))))</f>
        <v/>
      </c>
      <c r="D57" s="107">
        <f t="array" ref="D57">IF('calcA'!AX$4=0,"",IF(D28&lt;&gt;"","（決定）",IF('calcA'!AX$108=1,"（空ける）",SUMPRODUCT(('calcA'!AX$60:AX$104=1)*('calcA'!$C$10:$C$54=1))&amp;"人："&amp;_xlfn.TEXTJOIN("、",TRUE,IF(('calcA'!AX$60:AX$104=1)*('calcA'!$C$10:$C$54=1),'calcA'!$B$10:$B$54,"")))))</f>
        <v/>
      </c>
      <c r="E57" s="107">
        <f t="array" ref="E57">IF('calcA'!BV$4=0,"",IF(E28&lt;&gt;"","（決定）",IF('calcA'!BV$108=1,"（空ける）",SUMPRODUCT(('calcA'!BV$60:BV$104=1)*('calcA'!$C$10:$C$54=1))&amp;"人："&amp;_xlfn.TEXTJOIN("、",TRUE,IF(('calcA'!BV$60:BV$104=1)*('calcA'!$C$10:$C$54=1),'calcA'!$B$10:$B$54,"")))))</f>
        <v/>
      </c>
      <c r="F57" s="107">
        <f t="array" ref="F57">IF('calcA'!CT$4=0,"",IF(F28&lt;&gt;"","（決定）",IF('calcA'!CT$108=1,"（空ける）",SUMPRODUCT(('calcA'!CT$60:CT$104=1)*('calcA'!$C$10:$C$54=1))&amp;"人："&amp;_xlfn.TEXTJOIN("、",TRUE,IF(('calcA'!CT$60:CT$104=1)*('calcA'!$C$10:$C$54=1),'calcA'!$B$10:$B$54,"")))))</f>
        <v/>
      </c>
      <c r="G57" s="107">
        <f t="array" ref="G57">IF('calcA'!DR$4=0,"",IF(G28&lt;&gt;"","（決定）",IF('calcA'!DR$108=1,"（空ける）",SUMPRODUCT(('calcA'!DR$60:DR$104=1)*('calcA'!$C$10:$C$54=1))&amp;"人："&amp;_xlfn.TEXTJOIN("、",TRUE,IF(('calcA'!DR$60:DR$104=1)*('calcA'!$C$10:$C$54=1),'calcA'!$B$10:$B$54,"")))))</f>
        <v/>
      </c>
      <c r="H57" s="107">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6">
        <f>'設定'!$I$34</f>
        <v/>
      </c>
      <c r="C58" s="107">
        <f t="array" ref="C58">IF('calcA'!AA$4=0,"",IF(C29&lt;&gt;"","（決定）",IF('calcA'!AA$108=1,"（空ける）",SUMPRODUCT(('calcA'!AA$60:AA$104=1)*('calcA'!$C$10:$C$54=1))&amp;"人："&amp;_xlfn.TEXTJOIN("、",TRUE,IF(('calcA'!AA$60:AA$104=1)*('calcA'!$C$10:$C$54=1),'calcA'!$B$10:$B$54,"")))))</f>
        <v/>
      </c>
      <c r="D58" s="107">
        <f t="array" ref="D58">IF('calcA'!AY$4=0,"",IF(D29&lt;&gt;"","（決定）",IF('calcA'!AY$108=1,"（空ける）",SUMPRODUCT(('calcA'!AY$60:AY$104=1)*('calcA'!$C$10:$C$54=1))&amp;"人："&amp;_xlfn.TEXTJOIN("、",TRUE,IF(('calcA'!AY$60:AY$104=1)*('calcA'!$C$10:$C$54=1),'calcA'!$B$10:$B$54,"")))))</f>
        <v/>
      </c>
      <c r="E58" s="107">
        <f t="array" ref="E58">IF('calcA'!BW$4=0,"",IF(E29&lt;&gt;"","（決定）",IF('calcA'!BW$108=1,"（空ける）",SUMPRODUCT(('calcA'!BW$60:BW$104=1)*('calcA'!$C$10:$C$54=1))&amp;"人："&amp;_xlfn.TEXTJOIN("、",TRUE,IF(('calcA'!BW$60:BW$104=1)*('calcA'!$C$10:$C$54=1),'calcA'!$B$10:$B$54,"")))))</f>
        <v/>
      </c>
      <c r="F58" s="107">
        <f t="array" ref="F58">IF('calcA'!CU$4=0,"",IF(F29&lt;&gt;"","（決定）",IF('calcA'!CU$108=1,"（空ける）",SUMPRODUCT(('calcA'!CU$60:CU$104=1)*('calcA'!$C$10:$C$54=1))&amp;"人："&amp;_xlfn.TEXTJOIN("、",TRUE,IF(('calcA'!CU$60:CU$104=1)*('calcA'!$C$10:$C$54=1),'calcA'!$B$10:$B$54,"")))))</f>
        <v/>
      </c>
      <c r="G58" s="107">
        <f t="array" ref="G58">IF('calcA'!DS$4=0,"",IF(G29&lt;&gt;"","（決定）",IF('calcA'!DS$108=1,"（空ける）",SUMPRODUCT(('calcA'!DS$60:DS$104=1)*('calcA'!$C$10:$C$54=1))&amp;"人："&amp;_xlfn.TEXTJOIN("、",TRUE,IF(('calcA'!DS$60:DS$104=1)*('calcA'!$C$10:$C$54=1),'calcA'!$B$10:$B$54,"")))))</f>
        <v/>
      </c>
      <c r="H58" s="107">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3">
    <mergeCell ref="J5:K5"/>
    <mergeCell ref="K11:K16"/>
    <mergeCell ref="C4:H4"/>
  </mergeCells>
  <conditionalFormatting sqref="B6:B29">
    <cfRule type="expression" priority="1" dxfId="3" stopIfTrue="1">
      <formula>B6=""</formula>
    </cfRule>
  </conditionalFormatting>
  <conditionalFormatting sqref="C4">
    <cfRule type="expression" priority="2" dxfId="17">
      <formula>'calcA'!$A$5&lt;&gt;""</formula>
    </cfRule>
  </conditionalFormatting>
  <conditionalFormatting sqref="C6:H29">
    <cfRule type="expression" priority="3" dxfId="18" stopIfTrue="1">
      <formula>ADDRESS(ROW(),COLUMN())='calcA'!$A$5</formula>
    </cfRule>
    <cfRule type="expression" priority="4" dxfId="3" stopIfTrue="1">
      <formula>AA6=0</formula>
    </cfRule>
    <cfRule type="expression" priority="5" dxfId="19" stopIfTrue="1">
      <formula>AA6=1</formula>
    </cfRule>
    <cfRule type="expression" priority="6" dxfId="19" stopIfTrue="1">
      <formula>AA6=2</formula>
    </cfRule>
    <cfRule type="expression" priority="7" dxfId="20" stopIfTrue="1">
      <formula>AA6=3</formula>
    </cfRule>
    <cfRule type="expression" priority="8" dxfId="11" stopIfTrue="1">
      <formula>AA6=4</formula>
    </cfRule>
    <cfRule type="expression" priority="9" dxfId="21" stopIfTrue="1">
      <formula>AA6=5</formula>
    </cfRule>
    <cfRule type="expression" priority="10" dxfId="14" stopIfTrue="1">
      <formula>AA6=6</formula>
    </cfRule>
    <cfRule type="expression" priority="11" dxfId="22" stopIfTrue="1">
      <formula>AA6=7</formula>
    </cfRule>
    <cfRule type="expression" priority="12" dxfId="5" stopIfTrue="1">
      <formula>AA6=8</formula>
    </cfRule>
    <cfRule type="expression" priority="13" dxfId="23" stopIfTrue="1">
      <formula>AA6=9</formula>
    </cfRule>
    <cfRule type="expression" priority="14" dxfId="24" stopIfTrue="1">
      <formula>AA6=10</formula>
    </cfRule>
    <cfRule type="expression" priority="15" dxfId="15" stopIfTrue="1">
      <formula>AA6=11</formula>
    </cfRule>
    <cfRule type="expression" priority="16" dxfId="4">
      <formula>TRUE</formula>
    </cfRule>
  </conditionalFormatting>
  <conditionalFormatting sqref="C35:H58">
    <cfRule type="expression" priority="17" dxfId="3" stopIfTrue="1">
      <formula>AA35=0</formula>
    </cfRule>
    <cfRule type="expression" priority="18" dxfId="11" stopIfTrue="1">
      <formula>AA35=1</formula>
    </cfRule>
    <cfRule type="expression" priority="19" dxfId="25" stopIfTrue="1">
      <formula>AA35=2</formula>
    </cfRule>
    <cfRule type="expression" priority="20" dxfId="26" stopIfTrue="1">
      <formula>AA35=3</formula>
    </cfRule>
    <cfRule type="expression" priority="21" dxfId="4">
      <formula>TRUE</formula>
    </cfRule>
  </conditionalFormatting>
  <conditionalFormatting sqref="B35:B58">
    <cfRule type="expression" priority="22" dxfId="3" stopIfTrue="1">
      <formula>B35=""</formula>
    </cfRule>
  </conditionalFormatting>
  <conditionalFormatting sqref="C5:H5">
    <cfRule type="expression" priority="23" dxfId="3">
      <formula>C5=""</formula>
    </cfRule>
  </conditionalFormatting>
  <conditionalFormatting sqref="C34:H34">
    <cfRule type="expression" priority="24"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hyperlinks>
    <hyperlink ref="J3" location="'調整・決定'!J3" display="▶ ひとつ前に戻す"/>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9" t="inlineStr">
        <is>
          <t>兄弟確認用</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2">
        <f>HYPERLINK("#'調整・決定'!A1","⑤ 調整・決定")</f>
        <v/>
      </c>
      <c r="O1" s="23">
        <f>HYPERLINK("#'兄弟確認用'!A1","⑥ 兄弟確認")</f>
        <v/>
      </c>
      <c r="P1" s="22">
        <f>HYPERLINK("#'お手紙（夏）'!A1","⑦ お手紙 夏")</f>
        <v/>
      </c>
      <c r="Q1" s="22">
        <f>HYPERLINK("#'お手紙（秋）'!A1","⑧ お手紙 秋")</f>
        <v/>
      </c>
    </row>
    <row r="2" ht="24" customHeight="1">
      <c r="A2" s="5" t="n"/>
      <c r="B2" s="70"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08">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c r="J3" s="88" t="inlineStr">
        <is>
          <t>▶ 印刷プレビュー</t>
        </is>
      </c>
      <c r="K3" s="109" t="inlineStr">
        <is>
          <t>▶ PDFで保存</t>
        </is>
      </c>
    </row>
    <row r="4" ht="48" customHeight="1">
      <c r="B4" s="110" t="n"/>
      <c r="J4" s="111" t="inlineStr">
        <is>
          <t>◀ 自由に書けます（例：組んでみました。都合が悪ければお知らせください。）</t>
        </is>
      </c>
    </row>
    <row r="5">
      <c r="B5" s="38" t="inlineStr"/>
      <c r="C5" s="39">
        <f>'設定'!$E$11</f>
        <v/>
      </c>
      <c r="D5" s="39">
        <f>'設定'!$E$12</f>
        <v/>
      </c>
      <c r="E5" s="39">
        <f>'設定'!$E$13</f>
        <v/>
      </c>
      <c r="F5" s="39">
        <f>'設定'!$E$14</f>
        <v/>
      </c>
      <c r="G5" s="39">
        <f>'設定'!$E$15</f>
        <v/>
      </c>
      <c r="H5" s="39">
        <f>'設定'!$E$16</f>
        <v/>
      </c>
    </row>
    <row r="6" ht="34" customHeight="1">
      <c r="B6" s="46">
        <f>'設定'!$I$11</f>
        <v/>
      </c>
      <c r="C6" s="27">
        <f>IF('調整・決定'!C6="","",'調整・決定'!C6&amp;IF(IFERROR(INDEX('名簿'!$E$5:$E$49,MATCH('調整・決定'!C6,'名簿'!$P$5:$P$49,0))&lt;&gt;"",FALSE),CHAR(10)&amp;INDEX('名簿'!$F$5:$F$49,MATCH('調整・決定'!C6,'名簿'!$P$5:$P$49,0)),""))</f>
        <v/>
      </c>
      <c r="D6" s="27">
        <f>IF('調整・決定'!D6="","",'調整・決定'!D6&amp;IF(IFERROR(INDEX('名簿'!$E$5:$E$49,MATCH('調整・決定'!D6,'名簿'!$P$5:$P$49,0))&lt;&gt;"",FALSE),CHAR(10)&amp;INDEX('名簿'!$F$5:$F$49,MATCH('調整・決定'!D6,'名簿'!$P$5:$P$49,0)),""))</f>
        <v/>
      </c>
      <c r="E6" s="27">
        <f>IF('調整・決定'!E6="","",'調整・決定'!E6&amp;IF(IFERROR(INDEX('名簿'!$E$5:$E$49,MATCH('調整・決定'!E6,'名簿'!$P$5:$P$49,0))&lt;&gt;"",FALSE),CHAR(10)&amp;INDEX('名簿'!$F$5:$F$49,MATCH('調整・決定'!E6,'名簿'!$P$5:$P$49,0)),""))</f>
        <v/>
      </c>
      <c r="F6" s="27">
        <f>IF('調整・決定'!F6="","",'調整・決定'!F6&amp;IF(IFERROR(INDEX('名簿'!$E$5:$E$49,MATCH('調整・決定'!F6,'名簿'!$P$5:$P$49,0))&lt;&gt;"",FALSE),CHAR(10)&amp;INDEX('名簿'!$F$5:$F$49,MATCH('調整・決定'!F6,'名簿'!$P$5:$P$49,0)),""))</f>
        <v/>
      </c>
      <c r="G6" s="27">
        <f>IF('調整・決定'!G6="","",'調整・決定'!G6&amp;IF(IFERROR(INDEX('名簿'!$E$5:$E$49,MATCH('調整・決定'!G6,'名簿'!$P$5:$P$49,0))&lt;&gt;"",FALSE),CHAR(10)&amp;INDEX('名簿'!$F$5:$F$49,MATCH('調整・決定'!G6,'名簿'!$P$5:$P$49,0)),""))</f>
        <v/>
      </c>
      <c r="H6" s="27">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6">
        <f>'設定'!$I$12</f>
        <v/>
      </c>
      <c r="C7" s="27">
        <f>IF('調整・決定'!C7="","",'調整・決定'!C7&amp;IF(IFERROR(INDEX('名簿'!$E$5:$E$49,MATCH('調整・決定'!C7,'名簿'!$P$5:$P$49,0))&lt;&gt;"",FALSE),CHAR(10)&amp;INDEX('名簿'!$F$5:$F$49,MATCH('調整・決定'!C7,'名簿'!$P$5:$P$49,0)),""))</f>
        <v/>
      </c>
      <c r="D7" s="27">
        <f>IF('調整・決定'!D7="","",'調整・決定'!D7&amp;IF(IFERROR(INDEX('名簿'!$E$5:$E$49,MATCH('調整・決定'!D7,'名簿'!$P$5:$P$49,0))&lt;&gt;"",FALSE),CHAR(10)&amp;INDEX('名簿'!$F$5:$F$49,MATCH('調整・決定'!D7,'名簿'!$P$5:$P$49,0)),""))</f>
        <v/>
      </c>
      <c r="E7" s="27">
        <f>IF('調整・決定'!E7="","",'調整・決定'!E7&amp;IF(IFERROR(INDEX('名簿'!$E$5:$E$49,MATCH('調整・決定'!E7,'名簿'!$P$5:$P$49,0))&lt;&gt;"",FALSE),CHAR(10)&amp;INDEX('名簿'!$F$5:$F$49,MATCH('調整・決定'!E7,'名簿'!$P$5:$P$49,0)),""))</f>
        <v/>
      </c>
      <c r="F7" s="27">
        <f>IF('調整・決定'!F7="","",'調整・決定'!F7&amp;IF(IFERROR(INDEX('名簿'!$E$5:$E$49,MATCH('調整・決定'!F7,'名簿'!$P$5:$P$49,0))&lt;&gt;"",FALSE),CHAR(10)&amp;INDEX('名簿'!$F$5:$F$49,MATCH('調整・決定'!F7,'名簿'!$P$5:$P$49,0)),""))</f>
        <v/>
      </c>
      <c r="G7" s="27">
        <f>IF('調整・決定'!G7="","",'調整・決定'!G7&amp;IF(IFERROR(INDEX('名簿'!$E$5:$E$49,MATCH('調整・決定'!G7,'名簿'!$P$5:$P$49,0))&lt;&gt;"",FALSE),CHAR(10)&amp;INDEX('名簿'!$F$5:$F$49,MATCH('調整・決定'!G7,'名簿'!$P$5:$P$49,0)),""))</f>
        <v/>
      </c>
      <c r="H7" s="27">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6">
        <f>'設定'!$I$13</f>
        <v/>
      </c>
      <c r="C8" s="27">
        <f>IF('調整・決定'!C8="","",'調整・決定'!C8&amp;IF(IFERROR(INDEX('名簿'!$E$5:$E$49,MATCH('調整・決定'!C8,'名簿'!$P$5:$P$49,0))&lt;&gt;"",FALSE),CHAR(10)&amp;INDEX('名簿'!$F$5:$F$49,MATCH('調整・決定'!C8,'名簿'!$P$5:$P$49,0)),""))</f>
        <v/>
      </c>
      <c r="D8" s="27">
        <f>IF('調整・決定'!D8="","",'調整・決定'!D8&amp;IF(IFERROR(INDEX('名簿'!$E$5:$E$49,MATCH('調整・決定'!D8,'名簿'!$P$5:$P$49,0))&lt;&gt;"",FALSE),CHAR(10)&amp;INDEX('名簿'!$F$5:$F$49,MATCH('調整・決定'!D8,'名簿'!$P$5:$P$49,0)),""))</f>
        <v/>
      </c>
      <c r="E8" s="27">
        <f>IF('調整・決定'!E8="","",'調整・決定'!E8&amp;IF(IFERROR(INDEX('名簿'!$E$5:$E$49,MATCH('調整・決定'!E8,'名簿'!$P$5:$P$49,0))&lt;&gt;"",FALSE),CHAR(10)&amp;INDEX('名簿'!$F$5:$F$49,MATCH('調整・決定'!E8,'名簿'!$P$5:$P$49,0)),""))</f>
        <v/>
      </c>
      <c r="F8" s="27">
        <f>IF('調整・決定'!F8="","",'調整・決定'!F8&amp;IF(IFERROR(INDEX('名簿'!$E$5:$E$49,MATCH('調整・決定'!F8,'名簿'!$P$5:$P$49,0))&lt;&gt;"",FALSE),CHAR(10)&amp;INDEX('名簿'!$F$5:$F$49,MATCH('調整・決定'!F8,'名簿'!$P$5:$P$49,0)),""))</f>
        <v/>
      </c>
      <c r="G8" s="27">
        <f>IF('調整・決定'!G8="","",'調整・決定'!G8&amp;IF(IFERROR(INDEX('名簿'!$E$5:$E$49,MATCH('調整・決定'!G8,'名簿'!$P$5:$P$49,0))&lt;&gt;"",FALSE),CHAR(10)&amp;INDEX('名簿'!$F$5:$F$49,MATCH('調整・決定'!G8,'名簿'!$P$5:$P$49,0)),""))</f>
        <v/>
      </c>
      <c r="H8" s="27">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6">
        <f>'設定'!$I$14</f>
        <v/>
      </c>
      <c r="C9" s="27">
        <f>IF('調整・決定'!C9="","",'調整・決定'!C9&amp;IF(IFERROR(INDEX('名簿'!$E$5:$E$49,MATCH('調整・決定'!C9,'名簿'!$P$5:$P$49,0))&lt;&gt;"",FALSE),CHAR(10)&amp;INDEX('名簿'!$F$5:$F$49,MATCH('調整・決定'!C9,'名簿'!$P$5:$P$49,0)),""))</f>
        <v/>
      </c>
      <c r="D9" s="27">
        <f>IF('調整・決定'!D9="","",'調整・決定'!D9&amp;IF(IFERROR(INDEX('名簿'!$E$5:$E$49,MATCH('調整・決定'!D9,'名簿'!$P$5:$P$49,0))&lt;&gt;"",FALSE),CHAR(10)&amp;INDEX('名簿'!$F$5:$F$49,MATCH('調整・決定'!D9,'名簿'!$P$5:$P$49,0)),""))</f>
        <v/>
      </c>
      <c r="E9" s="27">
        <f>IF('調整・決定'!E9="","",'調整・決定'!E9&amp;IF(IFERROR(INDEX('名簿'!$E$5:$E$49,MATCH('調整・決定'!E9,'名簿'!$P$5:$P$49,0))&lt;&gt;"",FALSE),CHAR(10)&amp;INDEX('名簿'!$F$5:$F$49,MATCH('調整・決定'!E9,'名簿'!$P$5:$P$49,0)),""))</f>
        <v/>
      </c>
      <c r="F9" s="27">
        <f>IF('調整・決定'!F9="","",'調整・決定'!F9&amp;IF(IFERROR(INDEX('名簿'!$E$5:$E$49,MATCH('調整・決定'!F9,'名簿'!$P$5:$P$49,0))&lt;&gt;"",FALSE),CHAR(10)&amp;INDEX('名簿'!$F$5:$F$49,MATCH('調整・決定'!F9,'名簿'!$P$5:$P$49,0)),""))</f>
        <v/>
      </c>
      <c r="G9" s="27">
        <f>IF('調整・決定'!G9="","",'調整・決定'!G9&amp;IF(IFERROR(INDEX('名簿'!$E$5:$E$49,MATCH('調整・決定'!G9,'名簿'!$P$5:$P$49,0))&lt;&gt;"",FALSE),CHAR(10)&amp;INDEX('名簿'!$F$5:$F$49,MATCH('調整・決定'!G9,'名簿'!$P$5:$P$49,0)),""))</f>
        <v/>
      </c>
      <c r="H9" s="27">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6">
        <f>'設定'!$I$15</f>
        <v/>
      </c>
      <c r="C10" s="27">
        <f>IF('調整・決定'!C10="","",'調整・決定'!C10&amp;IF(IFERROR(INDEX('名簿'!$E$5:$E$49,MATCH('調整・決定'!C10,'名簿'!$P$5:$P$49,0))&lt;&gt;"",FALSE),CHAR(10)&amp;INDEX('名簿'!$F$5:$F$49,MATCH('調整・決定'!C10,'名簿'!$P$5:$P$49,0)),""))</f>
        <v/>
      </c>
      <c r="D10" s="27">
        <f>IF('調整・決定'!D10="","",'調整・決定'!D10&amp;IF(IFERROR(INDEX('名簿'!$E$5:$E$49,MATCH('調整・決定'!D10,'名簿'!$P$5:$P$49,0))&lt;&gt;"",FALSE),CHAR(10)&amp;INDEX('名簿'!$F$5:$F$49,MATCH('調整・決定'!D10,'名簿'!$P$5:$P$49,0)),""))</f>
        <v/>
      </c>
      <c r="E10" s="27">
        <f>IF('調整・決定'!E10="","",'調整・決定'!E10&amp;IF(IFERROR(INDEX('名簿'!$E$5:$E$49,MATCH('調整・決定'!E10,'名簿'!$P$5:$P$49,0))&lt;&gt;"",FALSE),CHAR(10)&amp;INDEX('名簿'!$F$5:$F$49,MATCH('調整・決定'!E10,'名簿'!$P$5:$P$49,0)),""))</f>
        <v/>
      </c>
      <c r="F10" s="27">
        <f>IF('調整・決定'!F10="","",'調整・決定'!F10&amp;IF(IFERROR(INDEX('名簿'!$E$5:$E$49,MATCH('調整・決定'!F10,'名簿'!$P$5:$P$49,0))&lt;&gt;"",FALSE),CHAR(10)&amp;INDEX('名簿'!$F$5:$F$49,MATCH('調整・決定'!F10,'名簿'!$P$5:$P$49,0)),""))</f>
        <v/>
      </c>
      <c r="G10" s="27">
        <f>IF('調整・決定'!G10="","",'調整・決定'!G10&amp;IF(IFERROR(INDEX('名簿'!$E$5:$E$49,MATCH('調整・決定'!G10,'名簿'!$P$5:$P$49,0))&lt;&gt;"",FALSE),CHAR(10)&amp;INDEX('名簿'!$F$5:$F$49,MATCH('調整・決定'!G10,'名簿'!$P$5:$P$49,0)),""))</f>
        <v/>
      </c>
      <c r="H10" s="27">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6">
        <f>'設定'!$I$16</f>
        <v/>
      </c>
      <c r="C11" s="27">
        <f>IF('調整・決定'!C11="","",'調整・決定'!C11&amp;IF(IFERROR(INDEX('名簿'!$E$5:$E$49,MATCH('調整・決定'!C11,'名簿'!$P$5:$P$49,0))&lt;&gt;"",FALSE),CHAR(10)&amp;INDEX('名簿'!$F$5:$F$49,MATCH('調整・決定'!C11,'名簿'!$P$5:$P$49,0)),""))</f>
        <v/>
      </c>
      <c r="D11" s="27">
        <f>IF('調整・決定'!D11="","",'調整・決定'!D11&amp;IF(IFERROR(INDEX('名簿'!$E$5:$E$49,MATCH('調整・決定'!D11,'名簿'!$P$5:$P$49,0))&lt;&gt;"",FALSE),CHAR(10)&amp;INDEX('名簿'!$F$5:$F$49,MATCH('調整・決定'!D11,'名簿'!$P$5:$P$49,0)),""))</f>
        <v/>
      </c>
      <c r="E11" s="27">
        <f>IF('調整・決定'!E11="","",'調整・決定'!E11&amp;IF(IFERROR(INDEX('名簿'!$E$5:$E$49,MATCH('調整・決定'!E11,'名簿'!$P$5:$P$49,0))&lt;&gt;"",FALSE),CHAR(10)&amp;INDEX('名簿'!$F$5:$F$49,MATCH('調整・決定'!E11,'名簿'!$P$5:$P$49,0)),""))</f>
        <v/>
      </c>
      <c r="F11" s="27">
        <f>IF('調整・決定'!F11="","",'調整・決定'!F11&amp;IF(IFERROR(INDEX('名簿'!$E$5:$E$49,MATCH('調整・決定'!F11,'名簿'!$P$5:$P$49,0))&lt;&gt;"",FALSE),CHAR(10)&amp;INDEX('名簿'!$F$5:$F$49,MATCH('調整・決定'!F11,'名簿'!$P$5:$P$49,0)),""))</f>
        <v/>
      </c>
      <c r="G11" s="27">
        <f>IF('調整・決定'!G11="","",'調整・決定'!G11&amp;IF(IFERROR(INDEX('名簿'!$E$5:$E$49,MATCH('調整・決定'!G11,'名簿'!$P$5:$P$49,0))&lt;&gt;"",FALSE),CHAR(10)&amp;INDEX('名簿'!$F$5:$F$49,MATCH('調整・決定'!G11,'名簿'!$P$5:$P$49,0)),""))</f>
        <v/>
      </c>
      <c r="H11" s="27">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6">
        <f>'設定'!$I$17</f>
        <v/>
      </c>
      <c r="C12" s="27">
        <f>IF('調整・決定'!C12="","",'調整・決定'!C12&amp;IF(IFERROR(INDEX('名簿'!$E$5:$E$49,MATCH('調整・決定'!C12,'名簿'!$P$5:$P$49,0))&lt;&gt;"",FALSE),CHAR(10)&amp;INDEX('名簿'!$F$5:$F$49,MATCH('調整・決定'!C12,'名簿'!$P$5:$P$49,0)),""))</f>
        <v/>
      </c>
      <c r="D12" s="27">
        <f>IF('調整・決定'!D12="","",'調整・決定'!D12&amp;IF(IFERROR(INDEX('名簿'!$E$5:$E$49,MATCH('調整・決定'!D12,'名簿'!$P$5:$P$49,0))&lt;&gt;"",FALSE),CHAR(10)&amp;INDEX('名簿'!$F$5:$F$49,MATCH('調整・決定'!D12,'名簿'!$P$5:$P$49,0)),""))</f>
        <v/>
      </c>
      <c r="E12" s="27">
        <f>IF('調整・決定'!E12="","",'調整・決定'!E12&amp;IF(IFERROR(INDEX('名簿'!$E$5:$E$49,MATCH('調整・決定'!E12,'名簿'!$P$5:$P$49,0))&lt;&gt;"",FALSE),CHAR(10)&amp;INDEX('名簿'!$F$5:$F$49,MATCH('調整・決定'!E12,'名簿'!$P$5:$P$49,0)),""))</f>
        <v/>
      </c>
      <c r="F12" s="27">
        <f>IF('調整・決定'!F12="","",'調整・決定'!F12&amp;IF(IFERROR(INDEX('名簿'!$E$5:$E$49,MATCH('調整・決定'!F12,'名簿'!$P$5:$P$49,0))&lt;&gt;"",FALSE),CHAR(10)&amp;INDEX('名簿'!$F$5:$F$49,MATCH('調整・決定'!F12,'名簿'!$P$5:$P$49,0)),""))</f>
        <v/>
      </c>
      <c r="G12" s="27">
        <f>IF('調整・決定'!G12="","",'調整・決定'!G12&amp;IF(IFERROR(INDEX('名簿'!$E$5:$E$49,MATCH('調整・決定'!G12,'名簿'!$P$5:$P$49,0))&lt;&gt;"",FALSE),CHAR(10)&amp;INDEX('名簿'!$F$5:$F$49,MATCH('調整・決定'!G12,'名簿'!$P$5:$P$49,0)),""))</f>
        <v/>
      </c>
      <c r="H12" s="27">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6">
        <f>'設定'!$I$18</f>
        <v/>
      </c>
      <c r="C13" s="27">
        <f>IF('調整・決定'!C13="","",'調整・決定'!C13&amp;IF(IFERROR(INDEX('名簿'!$E$5:$E$49,MATCH('調整・決定'!C13,'名簿'!$P$5:$P$49,0))&lt;&gt;"",FALSE),CHAR(10)&amp;INDEX('名簿'!$F$5:$F$49,MATCH('調整・決定'!C13,'名簿'!$P$5:$P$49,0)),""))</f>
        <v/>
      </c>
      <c r="D13" s="27">
        <f>IF('調整・決定'!D13="","",'調整・決定'!D13&amp;IF(IFERROR(INDEX('名簿'!$E$5:$E$49,MATCH('調整・決定'!D13,'名簿'!$P$5:$P$49,0))&lt;&gt;"",FALSE),CHAR(10)&amp;INDEX('名簿'!$F$5:$F$49,MATCH('調整・決定'!D13,'名簿'!$P$5:$P$49,0)),""))</f>
        <v/>
      </c>
      <c r="E13" s="27">
        <f>IF('調整・決定'!E13="","",'調整・決定'!E13&amp;IF(IFERROR(INDEX('名簿'!$E$5:$E$49,MATCH('調整・決定'!E13,'名簿'!$P$5:$P$49,0))&lt;&gt;"",FALSE),CHAR(10)&amp;INDEX('名簿'!$F$5:$F$49,MATCH('調整・決定'!E13,'名簿'!$P$5:$P$49,0)),""))</f>
        <v/>
      </c>
      <c r="F13" s="27">
        <f>IF('調整・決定'!F13="","",'調整・決定'!F13&amp;IF(IFERROR(INDEX('名簿'!$E$5:$E$49,MATCH('調整・決定'!F13,'名簿'!$P$5:$P$49,0))&lt;&gt;"",FALSE),CHAR(10)&amp;INDEX('名簿'!$F$5:$F$49,MATCH('調整・決定'!F13,'名簿'!$P$5:$P$49,0)),""))</f>
        <v/>
      </c>
      <c r="G13" s="27">
        <f>IF('調整・決定'!G13="","",'調整・決定'!G13&amp;IF(IFERROR(INDEX('名簿'!$E$5:$E$49,MATCH('調整・決定'!G13,'名簿'!$P$5:$P$49,0))&lt;&gt;"",FALSE),CHAR(10)&amp;INDEX('名簿'!$F$5:$F$49,MATCH('調整・決定'!G13,'名簿'!$P$5:$P$49,0)),""))</f>
        <v/>
      </c>
      <c r="H13" s="27">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6">
        <f>'設定'!$I$19</f>
        <v/>
      </c>
      <c r="C14" s="27">
        <f>IF('調整・決定'!C14="","",'調整・決定'!C14&amp;IF(IFERROR(INDEX('名簿'!$E$5:$E$49,MATCH('調整・決定'!C14,'名簿'!$P$5:$P$49,0))&lt;&gt;"",FALSE),CHAR(10)&amp;INDEX('名簿'!$F$5:$F$49,MATCH('調整・決定'!C14,'名簿'!$P$5:$P$49,0)),""))</f>
        <v/>
      </c>
      <c r="D14" s="27">
        <f>IF('調整・決定'!D14="","",'調整・決定'!D14&amp;IF(IFERROR(INDEX('名簿'!$E$5:$E$49,MATCH('調整・決定'!D14,'名簿'!$P$5:$P$49,0))&lt;&gt;"",FALSE),CHAR(10)&amp;INDEX('名簿'!$F$5:$F$49,MATCH('調整・決定'!D14,'名簿'!$P$5:$P$49,0)),""))</f>
        <v/>
      </c>
      <c r="E14" s="27">
        <f>IF('調整・決定'!E14="","",'調整・決定'!E14&amp;IF(IFERROR(INDEX('名簿'!$E$5:$E$49,MATCH('調整・決定'!E14,'名簿'!$P$5:$P$49,0))&lt;&gt;"",FALSE),CHAR(10)&amp;INDEX('名簿'!$F$5:$F$49,MATCH('調整・決定'!E14,'名簿'!$P$5:$P$49,0)),""))</f>
        <v/>
      </c>
      <c r="F14" s="27">
        <f>IF('調整・決定'!F14="","",'調整・決定'!F14&amp;IF(IFERROR(INDEX('名簿'!$E$5:$E$49,MATCH('調整・決定'!F14,'名簿'!$P$5:$P$49,0))&lt;&gt;"",FALSE),CHAR(10)&amp;INDEX('名簿'!$F$5:$F$49,MATCH('調整・決定'!F14,'名簿'!$P$5:$P$49,0)),""))</f>
        <v/>
      </c>
      <c r="G14" s="27">
        <f>IF('調整・決定'!G14="","",'調整・決定'!G14&amp;IF(IFERROR(INDEX('名簿'!$E$5:$E$49,MATCH('調整・決定'!G14,'名簿'!$P$5:$P$49,0))&lt;&gt;"",FALSE),CHAR(10)&amp;INDEX('名簿'!$F$5:$F$49,MATCH('調整・決定'!G14,'名簿'!$P$5:$P$49,0)),""))</f>
        <v/>
      </c>
      <c r="H14" s="27">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6">
        <f>'設定'!$I$20</f>
        <v/>
      </c>
      <c r="C15" s="27">
        <f>IF('調整・決定'!C15="","",'調整・決定'!C15&amp;IF(IFERROR(INDEX('名簿'!$E$5:$E$49,MATCH('調整・決定'!C15,'名簿'!$P$5:$P$49,0))&lt;&gt;"",FALSE),CHAR(10)&amp;INDEX('名簿'!$F$5:$F$49,MATCH('調整・決定'!C15,'名簿'!$P$5:$P$49,0)),""))</f>
        <v/>
      </c>
      <c r="D15" s="27">
        <f>IF('調整・決定'!D15="","",'調整・決定'!D15&amp;IF(IFERROR(INDEX('名簿'!$E$5:$E$49,MATCH('調整・決定'!D15,'名簿'!$P$5:$P$49,0))&lt;&gt;"",FALSE),CHAR(10)&amp;INDEX('名簿'!$F$5:$F$49,MATCH('調整・決定'!D15,'名簿'!$P$5:$P$49,0)),""))</f>
        <v/>
      </c>
      <c r="E15" s="27">
        <f>IF('調整・決定'!E15="","",'調整・決定'!E15&amp;IF(IFERROR(INDEX('名簿'!$E$5:$E$49,MATCH('調整・決定'!E15,'名簿'!$P$5:$P$49,0))&lt;&gt;"",FALSE),CHAR(10)&amp;INDEX('名簿'!$F$5:$F$49,MATCH('調整・決定'!E15,'名簿'!$P$5:$P$49,0)),""))</f>
        <v/>
      </c>
      <c r="F15" s="27">
        <f>IF('調整・決定'!F15="","",'調整・決定'!F15&amp;IF(IFERROR(INDEX('名簿'!$E$5:$E$49,MATCH('調整・決定'!F15,'名簿'!$P$5:$P$49,0))&lt;&gt;"",FALSE),CHAR(10)&amp;INDEX('名簿'!$F$5:$F$49,MATCH('調整・決定'!F15,'名簿'!$P$5:$P$49,0)),""))</f>
        <v/>
      </c>
      <c r="G15" s="27">
        <f>IF('調整・決定'!G15="","",'調整・決定'!G15&amp;IF(IFERROR(INDEX('名簿'!$E$5:$E$49,MATCH('調整・決定'!G15,'名簿'!$P$5:$P$49,0))&lt;&gt;"",FALSE),CHAR(10)&amp;INDEX('名簿'!$F$5:$F$49,MATCH('調整・決定'!G15,'名簿'!$P$5:$P$49,0)),""))</f>
        <v/>
      </c>
      <c r="H15" s="27">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6">
        <f>'設定'!$I$21</f>
        <v/>
      </c>
      <c r="C16" s="27">
        <f>IF('調整・決定'!C16="","",'調整・決定'!C16&amp;IF(IFERROR(INDEX('名簿'!$E$5:$E$49,MATCH('調整・決定'!C16,'名簿'!$P$5:$P$49,0))&lt;&gt;"",FALSE),CHAR(10)&amp;INDEX('名簿'!$F$5:$F$49,MATCH('調整・決定'!C16,'名簿'!$P$5:$P$49,0)),""))</f>
        <v/>
      </c>
      <c r="D16" s="27">
        <f>IF('調整・決定'!D16="","",'調整・決定'!D16&amp;IF(IFERROR(INDEX('名簿'!$E$5:$E$49,MATCH('調整・決定'!D16,'名簿'!$P$5:$P$49,0))&lt;&gt;"",FALSE),CHAR(10)&amp;INDEX('名簿'!$F$5:$F$49,MATCH('調整・決定'!D16,'名簿'!$P$5:$P$49,0)),""))</f>
        <v/>
      </c>
      <c r="E16" s="27">
        <f>IF('調整・決定'!E16="","",'調整・決定'!E16&amp;IF(IFERROR(INDEX('名簿'!$E$5:$E$49,MATCH('調整・決定'!E16,'名簿'!$P$5:$P$49,0))&lt;&gt;"",FALSE),CHAR(10)&amp;INDEX('名簿'!$F$5:$F$49,MATCH('調整・決定'!E16,'名簿'!$P$5:$P$49,0)),""))</f>
        <v/>
      </c>
      <c r="F16" s="27">
        <f>IF('調整・決定'!F16="","",'調整・決定'!F16&amp;IF(IFERROR(INDEX('名簿'!$E$5:$E$49,MATCH('調整・決定'!F16,'名簿'!$P$5:$P$49,0))&lt;&gt;"",FALSE),CHAR(10)&amp;INDEX('名簿'!$F$5:$F$49,MATCH('調整・決定'!F16,'名簿'!$P$5:$P$49,0)),""))</f>
        <v/>
      </c>
      <c r="G16" s="27">
        <f>IF('調整・決定'!G16="","",'調整・決定'!G16&amp;IF(IFERROR(INDEX('名簿'!$E$5:$E$49,MATCH('調整・決定'!G16,'名簿'!$P$5:$P$49,0))&lt;&gt;"",FALSE),CHAR(10)&amp;INDEX('名簿'!$F$5:$F$49,MATCH('調整・決定'!G16,'名簿'!$P$5:$P$49,0)),""))</f>
        <v/>
      </c>
      <c r="H16" s="27">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6">
        <f>'設定'!$I$22</f>
        <v/>
      </c>
      <c r="C17" s="27">
        <f>IF('調整・決定'!C17="","",'調整・決定'!C17&amp;IF(IFERROR(INDEX('名簿'!$E$5:$E$49,MATCH('調整・決定'!C17,'名簿'!$P$5:$P$49,0))&lt;&gt;"",FALSE),CHAR(10)&amp;INDEX('名簿'!$F$5:$F$49,MATCH('調整・決定'!C17,'名簿'!$P$5:$P$49,0)),""))</f>
        <v/>
      </c>
      <c r="D17" s="27">
        <f>IF('調整・決定'!D17="","",'調整・決定'!D17&amp;IF(IFERROR(INDEX('名簿'!$E$5:$E$49,MATCH('調整・決定'!D17,'名簿'!$P$5:$P$49,0))&lt;&gt;"",FALSE),CHAR(10)&amp;INDEX('名簿'!$F$5:$F$49,MATCH('調整・決定'!D17,'名簿'!$P$5:$P$49,0)),""))</f>
        <v/>
      </c>
      <c r="E17" s="27">
        <f>IF('調整・決定'!E17="","",'調整・決定'!E17&amp;IF(IFERROR(INDEX('名簿'!$E$5:$E$49,MATCH('調整・決定'!E17,'名簿'!$P$5:$P$49,0))&lt;&gt;"",FALSE),CHAR(10)&amp;INDEX('名簿'!$F$5:$F$49,MATCH('調整・決定'!E17,'名簿'!$P$5:$P$49,0)),""))</f>
        <v/>
      </c>
      <c r="F17" s="27">
        <f>IF('調整・決定'!F17="","",'調整・決定'!F17&amp;IF(IFERROR(INDEX('名簿'!$E$5:$E$49,MATCH('調整・決定'!F17,'名簿'!$P$5:$P$49,0))&lt;&gt;"",FALSE),CHAR(10)&amp;INDEX('名簿'!$F$5:$F$49,MATCH('調整・決定'!F17,'名簿'!$P$5:$P$49,0)),""))</f>
        <v/>
      </c>
      <c r="G17" s="27">
        <f>IF('調整・決定'!G17="","",'調整・決定'!G17&amp;IF(IFERROR(INDEX('名簿'!$E$5:$E$49,MATCH('調整・決定'!G17,'名簿'!$P$5:$P$49,0))&lt;&gt;"",FALSE),CHAR(10)&amp;INDEX('名簿'!$F$5:$F$49,MATCH('調整・決定'!G17,'名簿'!$P$5:$P$49,0)),""))</f>
        <v/>
      </c>
      <c r="H17" s="27">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6">
        <f>'設定'!$I$23</f>
        <v/>
      </c>
      <c r="C18" s="27">
        <f>IF('調整・決定'!C18="","",'調整・決定'!C18&amp;IF(IFERROR(INDEX('名簿'!$E$5:$E$49,MATCH('調整・決定'!C18,'名簿'!$P$5:$P$49,0))&lt;&gt;"",FALSE),CHAR(10)&amp;INDEX('名簿'!$F$5:$F$49,MATCH('調整・決定'!C18,'名簿'!$P$5:$P$49,0)),""))</f>
        <v/>
      </c>
      <c r="D18" s="27">
        <f>IF('調整・決定'!D18="","",'調整・決定'!D18&amp;IF(IFERROR(INDEX('名簿'!$E$5:$E$49,MATCH('調整・決定'!D18,'名簿'!$P$5:$P$49,0))&lt;&gt;"",FALSE),CHAR(10)&amp;INDEX('名簿'!$F$5:$F$49,MATCH('調整・決定'!D18,'名簿'!$P$5:$P$49,0)),""))</f>
        <v/>
      </c>
      <c r="E18" s="27">
        <f>IF('調整・決定'!E18="","",'調整・決定'!E18&amp;IF(IFERROR(INDEX('名簿'!$E$5:$E$49,MATCH('調整・決定'!E18,'名簿'!$P$5:$P$49,0))&lt;&gt;"",FALSE),CHAR(10)&amp;INDEX('名簿'!$F$5:$F$49,MATCH('調整・決定'!E18,'名簿'!$P$5:$P$49,0)),""))</f>
        <v/>
      </c>
      <c r="F18" s="27">
        <f>IF('調整・決定'!F18="","",'調整・決定'!F18&amp;IF(IFERROR(INDEX('名簿'!$E$5:$E$49,MATCH('調整・決定'!F18,'名簿'!$P$5:$P$49,0))&lt;&gt;"",FALSE),CHAR(10)&amp;INDEX('名簿'!$F$5:$F$49,MATCH('調整・決定'!F18,'名簿'!$P$5:$P$49,0)),""))</f>
        <v/>
      </c>
      <c r="G18" s="27">
        <f>IF('調整・決定'!G18="","",'調整・決定'!G18&amp;IF(IFERROR(INDEX('名簿'!$E$5:$E$49,MATCH('調整・決定'!G18,'名簿'!$P$5:$P$49,0))&lt;&gt;"",FALSE),CHAR(10)&amp;INDEX('名簿'!$F$5:$F$49,MATCH('調整・決定'!G18,'名簿'!$P$5:$P$49,0)),""))</f>
        <v/>
      </c>
      <c r="H18" s="27">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6">
        <f>'設定'!$I$24</f>
        <v/>
      </c>
      <c r="C19" s="27">
        <f>IF('調整・決定'!C19="","",'調整・決定'!C19&amp;IF(IFERROR(INDEX('名簿'!$E$5:$E$49,MATCH('調整・決定'!C19,'名簿'!$P$5:$P$49,0))&lt;&gt;"",FALSE),CHAR(10)&amp;INDEX('名簿'!$F$5:$F$49,MATCH('調整・決定'!C19,'名簿'!$P$5:$P$49,0)),""))</f>
        <v/>
      </c>
      <c r="D19" s="27">
        <f>IF('調整・決定'!D19="","",'調整・決定'!D19&amp;IF(IFERROR(INDEX('名簿'!$E$5:$E$49,MATCH('調整・決定'!D19,'名簿'!$P$5:$P$49,0))&lt;&gt;"",FALSE),CHAR(10)&amp;INDEX('名簿'!$F$5:$F$49,MATCH('調整・決定'!D19,'名簿'!$P$5:$P$49,0)),""))</f>
        <v/>
      </c>
      <c r="E19" s="27">
        <f>IF('調整・決定'!E19="","",'調整・決定'!E19&amp;IF(IFERROR(INDEX('名簿'!$E$5:$E$49,MATCH('調整・決定'!E19,'名簿'!$P$5:$P$49,0))&lt;&gt;"",FALSE),CHAR(10)&amp;INDEX('名簿'!$F$5:$F$49,MATCH('調整・決定'!E19,'名簿'!$P$5:$P$49,0)),""))</f>
        <v/>
      </c>
      <c r="F19" s="27">
        <f>IF('調整・決定'!F19="","",'調整・決定'!F19&amp;IF(IFERROR(INDEX('名簿'!$E$5:$E$49,MATCH('調整・決定'!F19,'名簿'!$P$5:$P$49,0))&lt;&gt;"",FALSE),CHAR(10)&amp;INDEX('名簿'!$F$5:$F$49,MATCH('調整・決定'!F19,'名簿'!$P$5:$P$49,0)),""))</f>
        <v/>
      </c>
      <c r="G19" s="27">
        <f>IF('調整・決定'!G19="","",'調整・決定'!G19&amp;IF(IFERROR(INDEX('名簿'!$E$5:$E$49,MATCH('調整・決定'!G19,'名簿'!$P$5:$P$49,0))&lt;&gt;"",FALSE),CHAR(10)&amp;INDEX('名簿'!$F$5:$F$49,MATCH('調整・決定'!G19,'名簿'!$P$5:$P$49,0)),""))</f>
        <v/>
      </c>
      <c r="H19" s="27">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6">
        <f>'設定'!$I$25</f>
        <v/>
      </c>
      <c r="C20" s="27">
        <f>IF('調整・決定'!C20="","",'調整・決定'!C20&amp;IF(IFERROR(INDEX('名簿'!$E$5:$E$49,MATCH('調整・決定'!C20,'名簿'!$P$5:$P$49,0))&lt;&gt;"",FALSE),CHAR(10)&amp;INDEX('名簿'!$F$5:$F$49,MATCH('調整・決定'!C20,'名簿'!$P$5:$P$49,0)),""))</f>
        <v/>
      </c>
      <c r="D20" s="27">
        <f>IF('調整・決定'!D20="","",'調整・決定'!D20&amp;IF(IFERROR(INDEX('名簿'!$E$5:$E$49,MATCH('調整・決定'!D20,'名簿'!$P$5:$P$49,0))&lt;&gt;"",FALSE),CHAR(10)&amp;INDEX('名簿'!$F$5:$F$49,MATCH('調整・決定'!D20,'名簿'!$P$5:$P$49,0)),""))</f>
        <v/>
      </c>
      <c r="E20" s="27">
        <f>IF('調整・決定'!E20="","",'調整・決定'!E20&amp;IF(IFERROR(INDEX('名簿'!$E$5:$E$49,MATCH('調整・決定'!E20,'名簿'!$P$5:$P$49,0))&lt;&gt;"",FALSE),CHAR(10)&amp;INDEX('名簿'!$F$5:$F$49,MATCH('調整・決定'!E20,'名簿'!$P$5:$P$49,0)),""))</f>
        <v/>
      </c>
      <c r="F20" s="27">
        <f>IF('調整・決定'!F20="","",'調整・決定'!F20&amp;IF(IFERROR(INDEX('名簿'!$E$5:$E$49,MATCH('調整・決定'!F20,'名簿'!$P$5:$P$49,0))&lt;&gt;"",FALSE),CHAR(10)&amp;INDEX('名簿'!$F$5:$F$49,MATCH('調整・決定'!F20,'名簿'!$P$5:$P$49,0)),""))</f>
        <v/>
      </c>
      <c r="G20" s="27">
        <f>IF('調整・決定'!G20="","",'調整・決定'!G20&amp;IF(IFERROR(INDEX('名簿'!$E$5:$E$49,MATCH('調整・決定'!G20,'名簿'!$P$5:$P$49,0))&lt;&gt;"",FALSE),CHAR(10)&amp;INDEX('名簿'!$F$5:$F$49,MATCH('調整・決定'!G20,'名簿'!$P$5:$P$49,0)),""))</f>
        <v/>
      </c>
      <c r="H20" s="27">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6">
        <f>'設定'!$I$26</f>
        <v/>
      </c>
      <c r="C21" s="27">
        <f>IF('調整・決定'!C21="","",'調整・決定'!C21&amp;IF(IFERROR(INDEX('名簿'!$E$5:$E$49,MATCH('調整・決定'!C21,'名簿'!$P$5:$P$49,0))&lt;&gt;"",FALSE),CHAR(10)&amp;INDEX('名簿'!$F$5:$F$49,MATCH('調整・決定'!C21,'名簿'!$P$5:$P$49,0)),""))</f>
        <v/>
      </c>
      <c r="D21" s="27">
        <f>IF('調整・決定'!D21="","",'調整・決定'!D21&amp;IF(IFERROR(INDEX('名簿'!$E$5:$E$49,MATCH('調整・決定'!D21,'名簿'!$P$5:$P$49,0))&lt;&gt;"",FALSE),CHAR(10)&amp;INDEX('名簿'!$F$5:$F$49,MATCH('調整・決定'!D21,'名簿'!$P$5:$P$49,0)),""))</f>
        <v/>
      </c>
      <c r="E21" s="27">
        <f>IF('調整・決定'!E21="","",'調整・決定'!E21&amp;IF(IFERROR(INDEX('名簿'!$E$5:$E$49,MATCH('調整・決定'!E21,'名簿'!$P$5:$P$49,0))&lt;&gt;"",FALSE),CHAR(10)&amp;INDEX('名簿'!$F$5:$F$49,MATCH('調整・決定'!E21,'名簿'!$P$5:$P$49,0)),""))</f>
        <v/>
      </c>
      <c r="F21" s="27">
        <f>IF('調整・決定'!F21="","",'調整・決定'!F21&amp;IF(IFERROR(INDEX('名簿'!$E$5:$E$49,MATCH('調整・決定'!F21,'名簿'!$P$5:$P$49,0))&lt;&gt;"",FALSE),CHAR(10)&amp;INDEX('名簿'!$F$5:$F$49,MATCH('調整・決定'!F21,'名簿'!$P$5:$P$49,0)),""))</f>
        <v/>
      </c>
      <c r="G21" s="27">
        <f>IF('調整・決定'!G21="","",'調整・決定'!G21&amp;IF(IFERROR(INDEX('名簿'!$E$5:$E$49,MATCH('調整・決定'!G21,'名簿'!$P$5:$P$49,0))&lt;&gt;"",FALSE),CHAR(10)&amp;INDEX('名簿'!$F$5:$F$49,MATCH('調整・決定'!G21,'名簿'!$P$5:$P$49,0)),""))</f>
        <v/>
      </c>
      <c r="H21" s="27">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6">
        <f>'設定'!$I$27</f>
        <v/>
      </c>
      <c r="C22" s="27">
        <f>IF('調整・決定'!C22="","",'調整・決定'!C22&amp;IF(IFERROR(INDEX('名簿'!$E$5:$E$49,MATCH('調整・決定'!C22,'名簿'!$P$5:$P$49,0))&lt;&gt;"",FALSE),CHAR(10)&amp;INDEX('名簿'!$F$5:$F$49,MATCH('調整・決定'!C22,'名簿'!$P$5:$P$49,0)),""))</f>
        <v/>
      </c>
      <c r="D22" s="27">
        <f>IF('調整・決定'!D22="","",'調整・決定'!D22&amp;IF(IFERROR(INDEX('名簿'!$E$5:$E$49,MATCH('調整・決定'!D22,'名簿'!$P$5:$P$49,0))&lt;&gt;"",FALSE),CHAR(10)&amp;INDEX('名簿'!$F$5:$F$49,MATCH('調整・決定'!D22,'名簿'!$P$5:$P$49,0)),""))</f>
        <v/>
      </c>
      <c r="E22" s="27">
        <f>IF('調整・決定'!E22="","",'調整・決定'!E22&amp;IF(IFERROR(INDEX('名簿'!$E$5:$E$49,MATCH('調整・決定'!E22,'名簿'!$P$5:$P$49,0))&lt;&gt;"",FALSE),CHAR(10)&amp;INDEX('名簿'!$F$5:$F$49,MATCH('調整・決定'!E22,'名簿'!$P$5:$P$49,0)),""))</f>
        <v/>
      </c>
      <c r="F22" s="27">
        <f>IF('調整・決定'!F22="","",'調整・決定'!F22&amp;IF(IFERROR(INDEX('名簿'!$E$5:$E$49,MATCH('調整・決定'!F22,'名簿'!$P$5:$P$49,0))&lt;&gt;"",FALSE),CHAR(10)&amp;INDEX('名簿'!$F$5:$F$49,MATCH('調整・決定'!F22,'名簿'!$P$5:$P$49,0)),""))</f>
        <v/>
      </c>
      <c r="G22" s="27">
        <f>IF('調整・決定'!G22="","",'調整・決定'!G22&amp;IF(IFERROR(INDEX('名簿'!$E$5:$E$49,MATCH('調整・決定'!G22,'名簿'!$P$5:$P$49,0))&lt;&gt;"",FALSE),CHAR(10)&amp;INDEX('名簿'!$F$5:$F$49,MATCH('調整・決定'!G22,'名簿'!$P$5:$P$49,0)),""))</f>
        <v/>
      </c>
      <c r="H22" s="27">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6">
        <f>'設定'!$I$28</f>
        <v/>
      </c>
      <c r="C23" s="27">
        <f>IF('調整・決定'!C23="","",'調整・決定'!C23&amp;IF(IFERROR(INDEX('名簿'!$E$5:$E$49,MATCH('調整・決定'!C23,'名簿'!$P$5:$P$49,0))&lt;&gt;"",FALSE),CHAR(10)&amp;INDEX('名簿'!$F$5:$F$49,MATCH('調整・決定'!C23,'名簿'!$P$5:$P$49,0)),""))</f>
        <v/>
      </c>
      <c r="D23" s="27">
        <f>IF('調整・決定'!D23="","",'調整・決定'!D23&amp;IF(IFERROR(INDEX('名簿'!$E$5:$E$49,MATCH('調整・決定'!D23,'名簿'!$P$5:$P$49,0))&lt;&gt;"",FALSE),CHAR(10)&amp;INDEX('名簿'!$F$5:$F$49,MATCH('調整・決定'!D23,'名簿'!$P$5:$P$49,0)),""))</f>
        <v/>
      </c>
      <c r="E23" s="27">
        <f>IF('調整・決定'!E23="","",'調整・決定'!E23&amp;IF(IFERROR(INDEX('名簿'!$E$5:$E$49,MATCH('調整・決定'!E23,'名簿'!$P$5:$P$49,0))&lt;&gt;"",FALSE),CHAR(10)&amp;INDEX('名簿'!$F$5:$F$49,MATCH('調整・決定'!E23,'名簿'!$P$5:$P$49,0)),""))</f>
        <v/>
      </c>
      <c r="F23" s="27">
        <f>IF('調整・決定'!F23="","",'調整・決定'!F23&amp;IF(IFERROR(INDEX('名簿'!$E$5:$E$49,MATCH('調整・決定'!F23,'名簿'!$P$5:$P$49,0))&lt;&gt;"",FALSE),CHAR(10)&amp;INDEX('名簿'!$F$5:$F$49,MATCH('調整・決定'!F23,'名簿'!$P$5:$P$49,0)),""))</f>
        <v/>
      </c>
      <c r="G23" s="27">
        <f>IF('調整・決定'!G23="","",'調整・決定'!G23&amp;IF(IFERROR(INDEX('名簿'!$E$5:$E$49,MATCH('調整・決定'!G23,'名簿'!$P$5:$P$49,0))&lt;&gt;"",FALSE),CHAR(10)&amp;INDEX('名簿'!$F$5:$F$49,MATCH('調整・決定'!G23,'名簿'!$P$5:$P$49,0)),""))</f>
        <v/>
      </c>
      <c r="H23" s="27">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6">
        <f>'設定'!$I$29</f>
        <v/>
      </c>
      <c r="C24" s="27">
        <f>IF('調整・決定'!C24="","",'調整・決定'!C24&amp;IF(IFERROR(INDEX('名簿'!$E$5:$E$49,MATCH('調整・決定'!C24,'名簿'!$P$5:$P$49,0))&lt;&gt;"",FALSE),CHAR(10)&amp;INDEX('名簿'!$F$5:$F$49,MATCH('調整・決定'!C24,'名簿'!$P$5:$P$49,0)),""))</f>
        <v/>
      </c>
      <c r="D24" s="27">
        <f>IF('調整・決定'!D24="","",'調整・決定'!D24&amp;IF(IFERROR(INDEX('名簿'!$E$5:$E$49,MATCH('調整・決定'!D24,'名簿'!$P$5:$P$49,0))&lt;&gt;"",FALSE),CHAR(10)&amp;INDEX('名簿'!$F$5:$F$49,MATCH('調整・決定'!D24,'名簿'!$P$5:$P$49,0)),""))</f>
        <v/>
      </c>
      <c r="E24" s="27">
        <f>IF('調整・決定'!E24="","",'調整・決定'!E24&amp;IF(IFERROR(INDEX('名簿'!$E$5:$E$49,MATCH('調整・決定'!E24,'名簿'!$P$5:$P$49,0))&lt;&gt;"",FALSE),CHAR(10)&amp;INDEX('名簿'!$F$5:$F$49,MATCH('調整・決定'!E24,'名簿'!$P$5:$P$49,0)),""))</f>
        <v/>
      </c>
      <c r="F24" s="27">
        <f>IF('調整・決定'!F24="","",'調整・決定'!F24&amp;IF(IFERROR(INDEX('名簿'!$E$5:$E$49,MATCH('調整・決定'!F24,'名簿'!$P$5:$P$49,0))&lt;&gt;"",FALSE),CHAR(10)&amp;INDEX('名簿'!$F$5:$F$49,MATCH('調整・決定'!F24,'名簿'!$P$5:$P$49,0)),""))</f>
        <v/>
      </c>
      <c r="G24" s="27">
        <f>IF('調整・決定'!G24="","",'調整・決定'!G24&amp;IF(IFERROR(INDEX('名簿'!$E$5:$E$49,MATCH('調整・決定'!G24,'名簿'!$P$5:$P$49,0))&lt;&gt;"",FALSE),CHAR(10)&amp;INDEX('名簿'!$F$5:$F$49,MATCH('調整・決定'!G24,'名簿'!$P$5:$P$49,0)),""))</f>
        <v/>
      </c>
      <c r="H24" s="27">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6">
        <f>'設定'!$I$30</f>
        <v/>
      </c>
      <c r="C25" s="27">
        <f>IF('調整・決定'!C25="","",'調整・決定'!C25&amp;IF(IFERROR(INDEX('名簿'!$E$5:$E$49,MATCH('調整・決定'!C25,'名簿'!$P$5:$P$49,0))&lt;&gt;"",FALSE),CHAR(10)&amp;INDEX('名簿'!$F$5:$F$49,MATCH('調整・決定'!C25,'名簿'!$P$5:$P$49,0)),""))</f>
        <v/>
      </c>
      <c r="D25" s="27">
        <f>IF('調整・決定'!D25="","",'調整・決定'!D25&amp;IF(IFERROR(INDEX('名簿'!$E$5:$E$49,MATCH('調整・決定'!D25,'名簿'!$P$5:$P$49,0))&lt;&gt;"",FALSE),CHAR(10)&amp;INDEX('名簿'!$F$5:$F$49,MATCH('調整・決定'!D25,'名簿'!$P$5:$P$49,0)),""))</f>
        <v/>
      </c>
      <c r="E25" s="27">
        <f>IF('調整・決定'!E25="","",'調整・決定'!E25&amp;IF(IFERROR(INDEX('名簿'!$E$5:$E$49,MATCH('調整・決定'!E25,'名簿'!$P$5:$P$49,0))&lt;&gt;"",FALSE),CHAR(10)&amp;INDEX('名簿'!$F$5:$F$49,MATCH('調整・決定'!E25,'名簿'!$P$5:$P$49,0)),""))</f>
        <v/>
      </c>
      <c r="F25" s="27">
        <f>IF('調整・決定'!F25="","",'調整・決定'!F25&amp;IF(IFERROR(INDEX('名簿'!$E$5:$E$49,MATCH('調整・決定'!F25,'名簿'!$P$5:$P$49,0))&lt;&gt;"",FALSE),CHAR(10)&amp;INDEX('名簿'!$F$5:$F$49,MATCH('調整・決定'!F25,'名簿'!$P$5:$P$49,0)),""))</f>
        <v/>
      </c>
      <c r="G25" s="27">
        <f>IF('調整・決定'!G25="","",'調整・決定'!G25&amp;IF(IFERROR(INDEX('名簿'!$E$5:$E$49,MATCH('調整・決定'!G25,'名簿'!$P$5:$P$49,0))&lt;&gt;"",FALSE),CHAR(10)&amp;INDEX('名簿'!$F$5:$F$49,MATCH('調整・決定'!G25,'名簿'!$P$5:$P$49,0)),""))</f>
        <v/>
      </c>
      <c r="H25" s="27">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6">
        <f>'設定'!$I$31</f>
        <v/>
      </c>
      <c r="C26" s="27">
        <f>IF('調整・決定'!C26="","",'調整・決定'!C26&amp;IF(IFERROR(INDEX('名簿'!$E$5:$E$49,MATCH('調整・決定'!C26,'名簿'!$P$5:$P$49,0))&lt;&gt;"",FALSE),CHAR(10)&amp;INDEX('名簿'!$F$5:$F$49,MATCH('調整・決定'!C26,'名簿'!$P$5:$P$49,0)),""))</f>
        <v/>
      </c>
      <c r="D26" s="27">
        <f>IF('調整・決定'!D26="","",'調整・決定'!D26&amp;IF(IFERROR(INDEX('名簿'!$E$5:$E$49,MATCH('調整・決定'!D26,'名簿'!$P$5:$P$49,0))&lt;&gt;"",FALSE),CHAR(10)&amp;INDEX('名簿'!$F$5:$F$49,MATCH('調整・決定'!D26,'名簿'!$P$5:$P$49,0)),""))</f>
        <v/>
      </c>
      <c r="E26" s="27">
        <f>IF('調整・決定'!E26="","",'調整・決定'!E26&amp;IF(IFERROR(INDEX('名簿'!$E$5:$E$49,MATCH('調整・決定'!E26,'名簿'!$P$5:$P$49,0))&lt;&gt;"",FALSE),CHAR(10)&amp;INDEX('名簿'!$F$5:$F$49,MATCH('調整・決定'!E26,'名簿'!$P$5:$P$49,0)),""))</f>
        <v/>
      </c>
      <c r="F26" s="27">
        <f>IF('調整・決定'!F26="","",'調整・決定'!F26&amp;IF(IFERROR(INDEX('名簿'!$E$5:$E$49,MATCH('調整・決定'!F26,'名簿'!$P$5:$P$49,0))&lt;&gt;"",FALSE),CHAR(10)&amp;INDEX('名簿'!$F$5:$F$49,MATCH('調整・決定'!F26,'名簿'!$P$5:$P$49,0)),""))</f>
        <v/>
      </c>
      <c r="G26" s="27">
        <f>IF('調整・決定'!G26="","",'調整・決定'!G26&amp;IF(IFERROR(INDEX('名簿'!$E$5:$E$49,MATCH('調整・決定'!G26,'名簿'!$P$5:$P$49,0))&lt;&gt;"",FALSE),CHAR(10)&amp;INDEX('名簿'!$F$5:$F$49,MATCH('調整・決定'!G26,'名簿'!$P$5:$P$49,0)),""))</f>
        <v/>
      </c>
      <c r="H26" s="27">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6">
        <f>'設定'!$I$32</f>
        <v/>
      </c>
      <c r="C27" s="27">
        <f>IF('調整・決定'!C27="","",'調整・決定'!C27&amp;IF(IFERROR(INDEX('名簿'!$E$5:$E$49,MATCH('調整・決定'!C27,'名簿'!$P$5:$P$49,0))&lt;&gt;"",FALSE),CHAR(10)&amp;INDEX('名簿'!$F$5:$F$49,MATCH('調整・決定'!C27,'名簿'!$P$5:$P$49,0)),""))</f>
        <v/>
      </c>
      <c r="D27" s="27">
        <f>IF('調整・決定'!D27="","",'調整・決定'!D27&amp;IF(IFERROR(INDEX('名簿'!$E$5:$E$49,MATCH('調整・決定'!D27,'名簿'!$P$5:$P$49,0))&lt;&gt;"",FALSE),CHAR(10)&amp;INDEX('名簿'!$F$5:$F$49,MATCH('調整・決定'!D27,'名簿'!$P$5:$P$49,0)),""))</f>
        <v/>
      </c>
      <c r="E27" s="27">
        <f>IF('調整・決定'!E27="","",'調整・決定'!E27&amp;IF(IFERROR(INDEX('名簿'!$E$5:$E$49,MATCH('調整・決定'!E27,'名簿'!$P$5:$P$49,0))&lt;&gt;"",FALSE),CHAR(10)&amp;INDEX('名簿'!$F$5:$F$49,MATCH('調整・決定'!E27,'名簿'!$P$5:$P$49,0)),""))</f>
        <v/>
      </c>
      <c r="F27" s="27">
        <f>IF('調整・決定'!F27="","",'調整・決定'!F27&amp;IF(IFERROR(INDEX('名簿'!$E$5:$E$49,MATCH('調整・決定'!F27,'名簿'!$P$5:$P$49,0))&lt;&gt;"",FALSE),CHAR(10)&amp;INDEX('名簿'!$F$5:$F$49,MATCH('調整・決定'!F27,'名簿'!$P$5:$P$49,0)),""))</f>
        <v/>
      </c>
      <c r="G27" s="27">
        <f>IF('調整・決定'!G27="","",'調整・決定'!G27&amp;IF(IFERROR(INDEX('名簿'!$E$5:$E$49,MATCH('調整・決定'!G27,'名簿'!$P$5:$P$49,0))&lt;&gt;"",FALSE),CHAR(10)&amp;INDEX('名簿'!$F$5:$F$49,MATCH('調整・決定'!G27,'名簿'!$P$5:$P$49,0)),""))</f>
        <v/>
      </c>
      <c r="H27" s="27">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6">
        <f>'設定'!$I$33</f>
        <v/>
      </c>
      <c r="C28" s="27">
        <f>IF('調整・決定'!C28="","",'調整・決定'!C28&amp;IF(IFERROR(INDEX('名簿'!$E$5:$E$49,MATCH('調整・決定'!C28,'名簿'!$P$5:$P$49,0))&lt;&gt;"",FALSE),CHAR(10)&amp;INDEX('名簿'!$F$5:$F$49,MATCH('調整・決定'!C28,'名簿'!$P$5:$P$49,0)),""))</f>
        <v/>
      </c>
      <c r="D28" s="27">
        <f>IF('調整・決定'!D28="","",'調整・決定'!D28&amp;IF(IFERROR(INDEX('名簿'!$E$5:$E$49,MATCH('調整・決定'!D28,'名簿'!$P$5:$P$49,0))&lt;&gt;"",FALSE),CHAR(10)&amp;INDEX('名簿'!$F$5:$F$49,MATCH('調整・決定'!D28,'名簿'!$P$5:$P$49,0)),""))</f>
        <v/>
      </c>
      <c r="E28" s="27">
        <f>IF('調整・決定'!E28="","",'調整・決定'!E28&amp;IF(IFERROR(INDEX('名簿'!$E$5:$E$49,MATCH('調整・決定'!E28,'名簿'!$P$5:$P$49,0))&lt;&gt;"",FALSE),CHAR(10)&amp;INDEX('名簿'!$F$5:$F$49,MATCH('調整・決定'!E28,'名簿'!$P$5:$P$49,0)),""))</f>
        <v/>
      </c>
      <c r="F28" s="27">
        <f>IF('調整・決定'!F28="","",'調整・決定'!F28&amp;IF(IFERROR(INDEX('名簿'!$E$5:$E$49,MATCH('調整・決定'!F28,'名簿'!$P$5:$P$49,0))&lt;&gt;"",FALSE),CHAR(10)&amp;INDEX('名簿'!$F$5:$F$49,MATCH('調整・決定'!F28,'名簿'!$P$5:$P$49,0)),""))</f>
        <v/>
      </c>
      <c r="G28" s="27">
        <f>IF('調整・決定'!G28="","",'調整・決定'!G28&amp;IF(IFERROR(INDEX('名簿'!$E$5:$E$49,MATCH('調整・決定'!G28,'名簿'!$P$5:$P$49,0))&lt;&gt;"",FALSE),CHAR(10)&amp;INDEX('名簿'!$F$5:$F$49,MATCH('調整・決定'!G28,'名簿'!$P$5:$P$49,0)),""))</f>
        <v/>
      </c>
      <c r="H28" s="27">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6">
        <f>'設定'!$I$34</f>
        <v/>
      </c>
      <c r="C29" s="27">
        <f>IF('調整・決定'!C29="","",'調整・決定'!C29&amp;IF(IFERROR(INDEX('名簿'!$E$5:$E$49,MATCH('調整・決定'!C29,'名簿'!$P$5:$P$49,0))&lt;&gt;"",FALSE),CHAR(10)&amp;INDEX('名簿'!$F$5:$F$49,MATCH('調整・決定'!C29,'名簿'!$P$5:$P$49,0)),""))</f>
        <v/>
      </c>
      <c r="D29" s="27">
        <f>IF('調整・決定'!D29="","",'調整・決定'!D29&amp;IF(IFERROR(INDEX('名簿'!$E$5:$E$49,MATCH('調整・決定'!D29,'名簿'!$P$5:$P$49,0))&lt;&gt;"",FALSE),CHAR(10)&amp;INDEX('名簿'!$F$5:$F$49,MATCH('調整・決定'!D29,'名簿'!$P$5:$P$49,0)),""))</f>
        <v/>
      </c>
      <c r="E29" s="27">
        <f>IF('調整・決定'!E29="","",'調整・決定'!E29&amp;IF(IFERROR(INDEX('名簿'!$E$5:$E$49,MATCH('調整・決定'!E29,'名簿'!$P$5:$P$49,0))&lt;&gt;"",FALSE),CHAR(10)&amp;INDEX('名簿'!$F$5:$F$49,MATCH('調整・決定'!E29,'名簿'!$P$5:$P$49,0)),""))</f>
        <v/>
      </c>
      <c r="F29" s="27">
        <f>IF('調整・決定'!F29="","",'調整・決定'!F29&amp;IF(IFERROR(INDEX('名簿'!$E$5:$E$49,MATCH('調整・決定'!F29,'名簿'!$P$5:$P$49,0))&lt;&gt;"",FALSE),CHAR(10)&amp;INDEX('名簿'!$F$5:$F$49,MATCH('調整・決定'!F29,'名簿'!$P$5:$P$49,0)),""))</f>
        <v/>
      </c>
      <c r="G29" s="27">
        <f>IF('調整・決定'!G29="","",'調整・決定'!G29&amp;IF(IFERROR(INDEX('名簿'!$E$5:$E$49,MATCH('調整・決定'!G29,'名簿'!$P$5:$P$49,0))&lt;&gt;"",FALSE),CHAR(10)&amp;INDEX('名簿'!$F$5:$F$49,MATCH('調整・決定'!G29,'名簿'!$P$5:$P$49,0)),""))</f>
        <v/>
      </c>
      <c r="H29" s="27">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7">
      <formula>$B$4=""</formula>
    </cfRule>
    <cfRule type="expression" priority="3" dxfId="4">
      <formula>TRUE</formula>
    </cfRule>
  </conditionalFormatting>
  <conditionalFormatting sqref="C6:H29">
    <cfRule type="expression" priority="4" dxfId="3" stopIfTrue="1">
      <formula>AA6=0</formula>
    </cfRule>
    <cfRule type="expression" priority="5" dxfId="28" stopIfTrue="1">
      <formula>AA6=1</formula>
    </cfRule>
    <cfRule type="expression" priority="6" dxfId="4">
      <formula>TRUE</formula>
    </cfRule>
  </conditionalFormatting>
  <conditionalFormatting sqref="C5:H5">
    <cfRule type="expression" priority="7" dxfId="3">
      <formula>C5=""</formula>
    </cfRule>
  </conditionalFormatting>
  <hyperlinks>
    <hyperlink ref="J3" location="'兄弟確認用'!J3" display="▶ 印刷プレビュー"/>
    <hyperlink ref="K3" location="'兄弟確認用'!K3" display="▶ PDFで保存"/>
  </hyperlinks>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R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20" customWidth="1" min="10" max="10"/>
    <col width="15" customWidth="1" min="12" max="12"/>
    <col hidden="1"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お手紙（夏）</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 t="n"/>
      <c r="N1" s="22">
        <f>HYPERLINK("#'自動案B'!A1","④ 自動案B")</f>
        <v/>
      </c>
      <c r="O1" s="22">
        <f>HYPERLINK("#'調整・決定'!A1","⑤ 調整・決定")</f>
        <v/>
      </c>
      <c r="P1" s="22">
        <f>HYPERLINK("#'兄弟確認用'!A1","⑥ 兄弟確認")</f>
        <v/>
      </c>
      <c r="Q1" s="23">
        <f>HYPERLINK("#'お手紙（夏）'!A1","⑦ お手紙 夏")</f>
        <v/>
      </c>
      <c r="R1" s="22">
        <f>HYPERLINK("#'お手紙（秋）'!A1","⑧ お手紙 秋")</f>
        <v/>
      </c>
    </row>
    <row r="2" ht="24" customHeight="1">
      <c r="A2" s="5" t="n"/>
      <c r="B2" s="70"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c r="J4" s="88" t="inlineStr">
        <is>
          <t>▶ 印刷プレビュー</t>
        </is>
      </c>
    </row>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c r="J5" s="115" t="n"/>
    </row>
    <row r="6" ht="18" customHeight="1">
      <c r="F6" s="114">
        <f>IF('設定'!$B$34="","",'設定'!$B$34)</f>
        <v/>
      </c>
      <c r="J6" s="109" t="inlineStr">
        <is>
          <t>▶ PDFで保存</t>
        </is>
      </c>
    </row>
    <row r="7" ht="18" customHeight="1">
      <c r="F7" s="114">
        <f>IF('設定'!$B$31="","　",IF(RIGHT('設定'!$B$31,1)="年",LEFT('設定'!$B$31,LEN('設定'!$B$31)-1),'設定'!$B$31))&amp;"年"&amp;IF('設定'!$B$32="","　",IF(RIGHT('設定'!$B$32,1)="組",LEFT('設定'!$B$32,LEN('設定'!$B$32)-1),'設定'!$B$32))&amp;"組"&amp;"　担任　"&amp;'設定'!$B$33</f>
        <v/>
      </c>
      <c r="J7" s="115" t="n"/>
    </row>
    <row r="8" ht="36" customHeight="1">
      <c r="B8" s="116">
        <f>IF('設定'!$B$36="個人面談","個人面談",IF('設定'!$B$36="進路面談","進路面談",IF(OR(IF(RIGHT('設定'!$B$31,1)="年",LEFT('設定'!$B$31,LEN('設定'!$B$31)-1),'設定'!$B$31)&amp;""="6",IF(RIGHT('設定'!$B$31,1)="年",LEFT('設定'!$B$31,LEN('設定'!$B$31)-1),'設定'!$B$31)&amp;""="６"),"進路面談","個人面談")))&amp;"のお知らせ"</f>
        <v/>
      </c>
      <c r="J8" s="48" t="inlineStr">
        <is>
          <t>1日の枠が13以上なら夏の形、12以下なら秋の形で印刷・保存します</t>
        </is>
      </c>
    </row>
    <row r="9" ht="18" customHeight="1"/>
    <row r="10" ht="18" customHeight="1">
      <c r="B10" s="113">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3">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7"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8">
        <f>SUBSTITUTE(SUBSTITUTE(SUBSTITUTE(SUBSTITUTE(SUBSTITUTE(SUBSTITUTE(SUBSTITUTE(SUBSTITUTE(SUBSTITUTE(SUBSTITUTE(SUBSTITUTE('設定'!$E$11,"0","０"),"1","１"),"2","２"),"3","３"),"4","４"),"5","５"),"6","６"),"7","７"),"8","８"),"9","９"),":","：")</f>
        <v/>
      </c>
      <c r="D18" s="118">
        <f>SUBSTITUTE(SUBSTITUTE(SUBSTITUTE(SUBSTITUTE(SUBSTITUTE(SUBSTITUTE(SUBSTITUTE(SUBSTITUTE(SUBSTITUTE(SUBSTITUTE(SUBSTITUTE('設定'!$E$12,"0","０"),"1","１"),"2","２"),"3","３"),"4","４"),"5","５"),"6","６"),"7","７"),"8","８"),"9","９"),":","：")</f>
        <v/>
      </c>
      <c r="E18" s="118">
        <f>SUBSTITUTE(SUBSTITUTE(SUBSTITUTE(SUBSTITUTE(SUBSTITUTE(SUBSTITUTE(SUBSTITUTE(SUBSTITUTE(SUBSTITUTE(SUBSTITUTE(SUBSTITUTE('設定'!$E$13,"0","０"),"1","１"),"2","２"),"3","３"),"4","４"),"5","５"),"6","６"),"7","７"),"8","８"),"9","９"),":","：")</f>
        <v/>
      </c>
      <c r="F18" s="118">
        <f>SUBSTITUTE(SUBSTITUTE(SUBSTITUTE(SUBSTITUTE(SUBSTITUTE(SUBSTITUTE(SUBSTITUTE(SUBSTITUTE(SUBSTITUTE(SUBSTITUTE(SUBSTITUTE('設定'!$E$14,"0","０"),"1","１"),"2","２"),"3","３"),"4","４"),"5","５"),"6","６"),"7","７"),"8","８"),"9","９"),":","：")</f>
        <v/>
      </c>
      <c r="G18" s="118">
        <f>SUBSTITUTE(SUBSTITUTE(SUBSTITUTE(SUBSTITUTE(SUBSTITUTE(SUBSTITUTE(SUBSTITUTE(SUBSTITUTE(SUBSTITUTE(SUBSTITUTE(SUBSTITUTE('設定'!$E$15,"0","０"),"1","１"),"2","２"),"3","３"),"4","４"),"5","５"),"6","６"),"7","７"),"8","８"),"9","９"),":","：")</f>
        <v/>
      </c>
      <c r="H18" s="118">
        <f>SUBSTITUTE(SUBSTITUTE(SUBSTITUTE(SUBSTITUTE(SUBSTITUTE(SUBSTITUTE(SUBSTITUTE(SUBSTITUTE(SUBSTITUTE(SUBSTITUTE(SUBSTITUTE('設定'!$E$16,"0","０"),"1","１"),"2","２"),"3","３"),"4","４"),"5","５"),"6","６"),"7","７"),"8","８"),"9","９"),":","：")</f>
        <v/>
      </c>
      <c r="M18" t="inlineStr">
        <is>
          <t>表示</t>
        </is>
      </c>
    </row>
    <row r="19" ht="20.9" customHeight="1">
      <c r="B19" s="119">
        <f>IFERROR(IF(INDEX('設定'!$I$11:$I$34,1)="","",SUBSTITUTE(SUBSTITUTE(SUBSTITUTE(SUBSTITUTE(SUBSTITUTE(SUBSTITUTE(SUBSTITUTE(SUBSTITUTE(SUBSTITUTE(SUBSTITUTE(SUBSTITUTE(SUBSTITUTE(INDEX('設定'!$I$11:$I$34,1),"〜",""),"0","０"),"1","１"),"2","２"),"3","３"),"4","４"),"5","５"),"6","６"),"7","７"),"8","８"),"9","９"),":","：")),"")</f>
        <v/>
      </c>
      <c r="C19" s="120">
        <f>IFERROR(IF(INDEX('調整・決定'!$C$6:$C$29,1)="","",INDEX('調整・決定'!$C$6:$C$29,1)),"")</f>
        <v/>
      </c>
      <c r="D19" s="120">
        <f>IFERROR(IF(INDEX('調整・決定'!$D$6:$D$29,1)="","",INDEX('調整・決定'!$D$6:$D$29,1)),"")</f>
        <v/>
      </c>
      <c r="E19" s="120">
        <f>IFERROR(IF(INDEX('調整・決定'!$E$6:$E$29,1)="","",INDEX('調整・決定'!$E$6:$E$29,1)),"")</f>
        <v/>
      </c>
      <c r="F19" s="120">
        <f>IFERROR(IF(INDEX('調整・決定'!$F$6:$F$29,1)="","",INDEX('調整・決定'!$F$6:$F$29,1)),"")</f>
        <v/>
      </c>
      <c r="G19" s="120">
        <f>IFERROR(IF(INDEX('調整・決定'!$G$6:$G$29,1)="","",INDEX('調整・決定'!$G$6:$G$29,1)),"")</f>
        <v/>
      </c>
      <c r="H19" s="120">
        <f>IFERROR(IF(INDEX('調整・決定'!$H$6:$H$29,1)="","",INDEX('調整・決定'!$H$6:$H$29,1)),"")</f>
        <v/>
      </c>
      <c r="M19">
        <f>IF(1&lt;=MIN(calcA!$A$3,'設定'!$B$6),"表示","隠す")</f>
        <v/>
      </c>
    </row>
    <row r="20" ht="20.9" customHeight="1">
      <c r="B20" s="119">
        <f>IFERROR(IF(INDEX('設定'!$I$11:$I$34,2)="","",SUBSTITUTE(SUBSTITUTE(SUBSTITUTE(SUBSTITUTE(SUBSTITUTE(SUBSTITUTE(SUBSTITUTE(SUBSTITUTE(SUBSTITUTE(SUBSTITUTE(SUBSTITUTE(SUBSTITUTE(INDEX('設定'!$I$11:$I$34,2),"〜",""),"0","０"),"1","１"),"2","２"),"3","３"),"4","４"),"5","５"),"6","６"),"7","７"),"8","８"),"9","９"),":","：")),"")</f>
        <v/>
      </c>
      <c r="C20" s="120">
        <f>IFERROR(IF(INDEX('調整・決定'!$C$6:$C$29,2)="","",INDEX('調整・決定'!$C$6:$C$29,2)),"")</f>
        <v/>
      </c>
      <c r="D20" s="120">
        <f>IFERROR(IF(INDEX('調整・決定'!$D$6:$D$29,2)="","",INDEX('調整・決定'!$D$6:$D$29,2)),"")</f>
        <v/>
      </c>
      <c r="E20" s="120">
        <f>IFERROR(IF(INDEX('調整・決定'!$E$6:$E$29,2)="","",INDEX('調整・決定'!$E$6:$E$29,2)),"")</f>
        <v/>
      </c>
      <c r="F20" s="120">
        <f>IFERROR(IF(INDEX('調整・決定'!$F$6:$F$29,2)="","",INDEX('調整・決定'!$F$6:$F$29,2)),"")</f>
        <v/>
      </c>
      <c r="G20" s="120">
        <f>IFERROR(IF(INDEX('調整・決定'!$G$6:$G$29,2)="","",INDEX('調整・決定'!$G$6:$G$29,2)),"")</f>
        <v/>
      </c>
      <c r="H20" s="120">
        <f>IFERROR(IF(INDEX('調整・決定'!$H$6:$H$29,2)="","",INDEX('調整・決定'!$H$6:$H$29,2)),"")</f>
        <v/>
      </c>
      <c r="M20">
        <f>IF(2&lt;=MIN(calcA!$A$3,'設定'!$B$6),"表示","隠す")</f>
        <v/>
      </c>
    </row>
    <row r="21" ht="20.9" customHeight="1">
      <c r="B21" s="119">
        <f>IFERROR(IF(INDEX('設定'!$I$11:$I$34,3)="","",SUBSTITUTE(SUBSTITUTE(SUBSTITUTE(SUBSTITUTE(SUBSTITUTE(SUBSTITUTE(SUBSTITUTE(SUBSTITUTE(SUBSTITUTE(SUBSTITUTE(SUBSTITUTE(SUBSTITUTE(INDEX('設定'!$I$11:$I$34,3),"〜",""),"0","０"),"1","１"),"2","２"),"3","３"),"4","４"),"5","５"),"6","６"),"7","７"),"8","８"),"9","９"),":","：")),"")</f>
        <v/>
      </c>
      <c r="C21" s="120">
        <f>IFERROR(IF(INDEX('調整・決定'!$C$6:$C$29,3)="","",INDEX('調整・決定'!$C$6:$C$29,3)),"")</f>
        <v/>
      </c>
      <c r="D21" s="120">
        <f>IFERROR(IF(INDEX('調整・決定'!$D$6:$D$29,3)="","",INDEX('調整・決定'!$D$6:$D$29,3)),"")</f>
        <v/>
      </c>
      <c r="E21" s="120">
        <f>IFERROR(IF(INDEX('調整・決定'!$E$6:$E$29,3)="","",INDEX('調整・決定'!$E$6:$E$29,3)),"")</f>
        <v/>
      </c>
      <c r="F21" s="120">
        <f>IFERROR(IF(INDEX('調整・決定'!$F$6:$F$29,3)="","",INDEX('調整・決定'!$F$6:$F$29,3)),"")</f>
        <v/>
      </c>
      <c r="G21" s="120">
        <f>IFERROR(IF(INDEX('調整・決定'!$G$6:$G$29,3)="","",INDEX('調整・決定'!$G$6:$G$29,3)),"")</f>
        <v/>
      </c>
      <c r="H21" s="120">
        <f>IFERROR(IF(INDEX('調整・決定'!$H$6:$H$29,3)="","",INDEX('調整・決定'!$H$6:$H$29,3)),"")</f>
        <v/>
      </c>
      <c r="M21">
        <f>IF(3&lt;=MIN(calcA!$A$3,'設定'!$B$6),"表示","隠す")</f>
        <v/>
      </c>
    </row>
    <row r="22" ht="20.9" customHeight="1">
      <c r="B22" s="119">
        <f>IFERROR(IF(INDEX('設定'!$I$11:$I$34,4)="","",SUBSTITUTE(SUBSTITUTE(SUBSTITUTE(SUBSTITUTE(SUBSTITUTE(SUBSTITUTE(SUBSTITUTE(SUBSTITUTE(SUBSTITUTE(SUBSTITUTE(SUBSTITUTE(SUBSTITUTE(INDEX('設定'!$I$11:$I$34,4),"〜",""),"0","０"),"1","１"),"2","２"),"3","３"),"4","４"),"5","５"),"6","６"),"7","７"),"8","８"),"9","９"),":","：")),"")</f>
        <v/>
      </c>
      <c r="C22" s="120">
        <f>IFERROR(IF(INDEX('調整・決定'!$C$6:$C$29,4)="","",INDEX('調整・決定'!$C$6:$C$29,4)),"")</f>
        <v/>
      </c>
      <c r="D22" s="120">
        <f>IFERROR(IF(INDEX('調整・決定'!$D$6:$D$29,4)="","",INDEX('調整・決定'!$D$6:$D$29,4)),"")</f>
        <v/>
      </c>
      <c r="E22" s="120">
        <f>IFERROR(IF(INDEX('調整・決定'!$E$6:$E$29,4)="","",INDEX('調整・決定'!$E$6:$E$29,4)),"")</f>
        <v/>
      </c>
      <c r="F22" s="120">
        <f>IFERROR(IF(INDEX('調整・決定'!$F$6:$F$29,4)="","",INDEX('調整・決定'!$F$6:$F$29,4)),"")</f>
        <v/>
      </c>
      <c r="G22" s="120">
        <f>IFERROR(IF(INDEX('調整・決定'!$G$6:$G$29,4)="","",INDEX('調整・決定'!$G$6:$G$29,4)),"")</f>
        <v/>
      </c>
      <c r="H22" s="120">
        <f>IFERROR(IF(INDEX('調整・決定'!$H$6:$H$29,4)="","",INDEX('調整・決定'!$H$6:$H$29,4)),"")</f>
        <v/>
      </c>
      <c r="M22">
        <f>IF(4&lt;=MIN(calcA!$A$3,'設定'!$B$6),"表示","隠す")</f>
        <v/>
      </c>
    </row>
    <row r="23" ht="20.9" customHeight="1">
      <c r="B23" s="119">
        <f>IFERROR(IF(INDEX('設定'!$I$11:$I$34,5)="","",SUBSTITUTE(SUBSTITUTE(SUBSTITUTE(SUBSTITUTE(SUBSTITUTE(SUBSTITUTE(SUBSTITUTE(SUBSTITUTE(SUBSTITUTE(SUBSTITUTE(SUBSTITUTE(SUBSTITUTE(INDEX('設定'!$I$11:$I$34,5),"〜",""),"0","０"),"1","１"),"2","２"),"3","３"),"4","４"),"5","５"),"6","６"),"7","７"),"8","８"),"9","９"),":","：")),"")</f>
        <v/>
      </c>
      <c r="C23" s="120">
        <f>IFERROR(IF(INDEX('調整・決定'!$C$6:$C$29,5)="","",INDEX('調整・決定'!$C$6:$C$29,5)),"")</f>
        <v/>
      </c>
      <c r="D23" s="120">
        <f>IFERROR(IF(INDEX('調整・決定'!$D$6:$D$29,5)="","",INDEX('調整・決定'!$D$6:$D$29,5)),"")</f>
        <v/>
      </c>
      <c r="E23" s="120">
        <f>IFERROR(IF(INDEX('調整・決定'!$E$6:$E$29,5)="","",INDEX('調整・決定'!$E$6:$E$29,5)),"")</f>
        <v/>
      </c>
      <c r="F23" s="120">
        <f>IFERROR(IF(INDEX('調整・決定'!$F$6:$F$29,5)="","",INDEX('調整・決定'!$F$6:$F$29,5)),"")</f>
        <v/>
      </c>
      <c r="G23" s="120">
        <f>IFERROR(IF(INDEX('調整・決定'!$G$6:$G$29,5)="","",INDEX('調整・決定'!$G$6:$G$29,5)),"")</f>
        <v/>
      </c>
      <c r="H23" s="120">
        <f>IFERROR(IF(INDEX('調整・決定'!$H$6:$H$29,5)="","",INDEX('調整・決定'!$H$6:$H$29,5)),"")</f>
        <v/>
      </c>
      <c r="M23">
        <f>IF(5&lt;=MIN(calcA!$A$3,'設定'!$B$6),"表示","隠す")</f>
        <v/>
      </c>
    </row>
    <row r="24" ht="20.9" customHeight="1">
      <c r="B24" s="119">
        <f>IFERROR(IF(INDEX('設定'!$I$11:$I$34,6)="","",SUBSTITUTE(SUBSTITUTE(SUBSTITUTE(SUBSTITUTE(SUBSTITUTE(SUBSTITUTE(SUBSTITUTE(SUBSTITUTE(SUBSTITUTE(SUBSTITUTE(SUBSTITUTE(SUBSTITUTE(INDEX('設定'!$I$11:$I$34,6),"〜",""),"0","０"),"1","１"),"2","２"),"3","３"),"4","４"),"5","５"),"6","６"),"7","７"),"8","８"),"9","９"),":","：")),"")</f>
        <v/>
      </c>
      <c r="C24" s="120">
        <f>IFERROR(IF(INDEX('調整・決定'!$C$6:$C$29,6)="","",INDEX('調整・決定'!$C$6:$C$29,6)),"")</f>
        <v/>
      </c>
      <c r="D24" s="120">
        <f>IFERROR(IF(INDEX('調整・決定'!$D$6:$D$29,6)="","",INDEX('調整・決定'!$D$6:$D$29,6)),"")</f>
        <v/>
      </c>
      <c r="E24" s="120">
        <f>IFERROR(IF(INDEX('調整・決定'!$E$6:$E$29,6)="","",INDEX('調整・決定'!$E$6:$E$29,6)),"")</f>
        <v/>
      </c>
      <c r="F24" s="120">
        <f>IFERROR(IF(INDEX('調整・決定'!$F$6:$F$29,6)="","",INDEX('調整・決定'!$F$6:$F$29,6)),"")</f>
        <v/>
      </c>
      <c r="G24" s="120">
        <f>IFERROR(IF(INDEX('調整・決定'!$G$6:$G$29,6)="","",INDEX('調整・決定'!$G$6:$G$29,6)),"")</f>
        <v/>
      </c>
      <c r="H24" s="120">
        <f>IFERROR(IF(INDEX('調整・決定'!$H$6:$H$29,6)="","",INDEX('調整・決定'!$H$6:$H$29,6)),"")</f>
        <v/>
      </c>
      <c r="M24">
        <f>IF(6&lt;=MIN(calcA!$A$3,'設定'!$B$6),"表示","隠す")</f>
        <v/>
      </c>
    </row>
    <row r="25" ht="20.9" customHeight="1">
      <c r="B25" s="119">
        <f>IFERROR(IF(INDEX('設定'!$I$11:$I$34,7)="","",SUBSTITUTE(SUBSTITUTE(SUBSTITUTE(SUBSTITUTE(SUBSTITUTE(SUBSTITUTE(SUBSTITUTE(SUBSTITUTE(SUBSTITUTE(SUBSTITUTE(SUBSTITUTE(SUBSTITUTE(INDEX('設定'!$I$11:$I$34,7),"〜",""),"0","０"),"1","１"),"2","２"),"3","３"),"4","４"),"5","５"),"6","６"),"7","７"),"8","８"),"9","９"),":","：")),"")</f>
        <v/>
      </c>
      <c r="C25" s="120">
        <f>IFERROR(IF(INDEX('調整・決定'!$C$6:$C$29,7)="","",INDEX('調整・決定'!$C$6:$C$29,7)),"")</f>
        <v/>
      </c>
      <c r="D25" s="120">
        <f>IFERROR(IF(INDEX('調整・決定'!$D$6:$D$29,7)="","",INDEX('調整・決定'!$D$6:$D$29,7)),"")</f>
        <v/>
      </c>
      <c r="E25" s="120">
        <f>IFERROR(IF(INDEX('調整・決定'!$E$6:$E$29,7)="","",INDEX('調整・決定'!$E$6:$E$29,7)),"")</f>
        <v/>
      </c>
      <c r="F25" s="120">
        <f>IFERROR(IF(INDEX('調整・決定'!$F$6:$F$29,7)="","",INDEX('調整・決定'!$F$6:$F$29,7)),"")</f>
        <v/>
      </c>
      <c r="G25" s="120">
        <f>IFERROR(IF(INDEX('調整・決定'!$G$6:$G$29,7)="","",INDEX('調整・決定'!$G$6:$G$29,7)),"")</f>
        <v/>
      </c>
      <c r="H25" s="120">
        <f>IFERROR(IF(INDEX('調整・決定'!$H$6:$H$29,7)="","",INDEX('調整・決定'!$H$6:$H$29,7)),"")</f>
        <v/>
      </c>
      <c r="M25">
        <f>IF(7&lt;=MIN(calcA!$A$3,'設定'!$B$6),"表示","隠す")</f>
        <v/>
      </c>
    </row>
    <row r="26" ht="20.9" customHeight="1">
      <c r="B26" s="119">
        <f>IFERROR(IF(INDEX('設定'!$I$11:$I$34,8)="","",SUBSTITUTE(SUBSTITUTE(SUBSTITUTE(SUBSTITUTE(SUBSTITUTE(SUBSTITUTE(SUBSTITUTE(SUBSTITUTE(SUBSTITUTE(SUBSTITUTE(SUBSTITUTE(SUBSTITUTE(INDEX('設定'!$I$11:$I$34,8),"〜",""),"0","０"),"1","１"),"2","２"),"3","３"),"4","４"),"5","５"),"6","６"),"7","７"),"8","８"),"9","９"),":","：")),"")</f>
        <v/>
      </c>
      <c r="C26" s="120">
        <f>IFERROR(IF(INDEX('調整・決定'!$C$6:$C$29,8)="","",INDEX('調整・決定'!$C$6:$C$29,8)),"")</f>
        <v/>
      </c>
      <c r="D26" s="120">
        <f>IFERROR(IF(INDEX('調整・決定'!$D$6:$D$29,8)="","",INDEX('調整・決定'!$D$6:$D$29,8)),"")</f>
        <v/>
      </c>
      <c r="E26" s="120">
        <f>IFERROR(IF(INDEX('調整・決定'!$E$6:$E$29,8)="","",INDEX('調整・決定'!$E$6:$E$29,8)),"")</f>
        <v/>
      </c>
      <c r="F26" s="120">
        <f>IFERROR(IF(INDEX('調整・決定'!$F$6:$F$29,8)="","",INDEX('調整・決定'!$F$6:$F$29,8)),"")</f>
        <v/>
      </c>
      <c r="G26" s="120">
        <f>IFERROR(IF(INDEX('調整・決定'!$G$6:$G$29,8)="","",INDEX('調整・決定'!$G$6:$G$29,8)),"")</f>
        <v/>
      </c>
      <c r="H26" s="120">
        <f>IFERROR(IF(INDEX('調整・決定'!$H$6:$H$29,8)="","",INDEX('調整・決定'!$H$6:$H$29,8)),"")</f>
        <v/>
      </c>
      <c r="M26">
        <f>IF(8&lt;=MIN(calcA!$A$3,'設定'!$B$6),"表示","隠す")</f>
        <v/>
      </c>
    </row>
    <row r="27" ht="20.9" customHeight="1">
      <c r="B27" s="119">
        <f>IFERROR(IF(INDEX('設定'!$I$11:$I$34,9)="","",SUBSTITUTE(SUBSTITUTE(SUBSTITUTE(SUBSTITUTE(SUBSTITUTE(SUBSTITUTE(SUBSTITUTE(SUBSTITUTE(SUBSTITUTE(SUBSTITUTE(SUBSTITUTE(SUBSTITUTE(INDEX('設定'!$I$11:$I$34,9),"〜",""),"0","０"),"1","１"),"2","２"),"3","３"),"4","４"),"5","５"),"6","６"),"7","７"),"8","８"),"9","９"),":","：")),"")</f>
        <v/>
      </c>
      <c r="C27" s="120">
        <f>IFERROR(IF(INDEX('調整・決定'!$C$6:$C$29,9)="","",INDEX('調整・決定'!$C$6:$C$29,9)),"")</f>
        <v/>
      </c>
      <c r="D27" s="120">
        <f>IFERROR(IF(INDEX('調整・決定'!$D$6:$D$29,9)="","",INDEX('調整・決定'!$D$6:$D$29,9)),"")</f>
        <v/>
      </c>
      <c r="E27" s="120">
        <f>IFERROR(IF(INDEX('調整・決定'!$E$6:$E$29,9)="","",INDEX('調整・決定'!$E$6:$E$29,9)),"")</f>
        <v/>
      </c>
      <c r="F27" s="120">
        <f>IFERROR(IF(INDEX('調整・決定'!$F$6:$F$29,9)="","",INDEX('調整・決定'!$F$6:$F$29,9)),"")</f>
        <v/>
      </c>
      <c r="G27" s="120">
        <f>IFERROR(IF(INDEX('調整・決定'!$G$6:$G$29,9)="","",INDEX('調整・決定'!$G$6:$G$29,9)),"")</f>
        <v/>
      </c>
      <c r="H27" s="120">
        <f>IFERROR(IF(INDEX('調整・決定'!$H$6:$H$29,9)="","",INDEX('調整・決定'!$H$6:$H$29,9)),"")</f>
        <v/>
      </c>
      <c r="M27">
        <f>IF(9&lt;=MIN(calcA!$A$3,'設定'!$B$6),"表示","隠す")</f>
        <v/>
      </c>
    </row>
    <row r="28" hidden="1" ht="20.9" customHeight="1">
      <c r="B28" s="119">
        <f>IFERROR(IF(INDEX('設定'!$I$11:$I$34,10)="","",SUBSTITUTE(SUBSTITUTE(SUBSTITUTE(SUBSTITUTE(SUBSTITUTE(SUBSTITUTE(SUBSTITUTE(SUBSTITUTE(SUBSTITUTE(SUBSTITUTE(SUBSTITUTE(SUBSTITUTE(INDEX('設定'!$I$11:$I$34,10),"〜",""),"0","０"),"1","１"),"2","２"),"3","３"),"4","４"),"5","５"),"6","６"),"7","７"),"8","８"),"9","９"),":","：")),"")</f>
        <v/>
      </c>
      <c r="C28" s="120">
        <f>IFERROR(IF(INDEX('調整・決定'!$C$6:$C$29,10)="","",INDEX('調整・決定'!$C$6:$C$29,10)),"")</f>
        <v/>
      </c>
      <c r="D28" s="120">
        <f>IFERROR(IF(INDEX('調整・決定'!$D$6:$D$29,10)="","",INDEX('調整・決定'!$D$6:$D$29,10)),"")</f>
        <v/>
      </c>
      <c r="E28" s="120">
        <f>IFERROR(IF(INDEX('調整・決定'!$E$6:$E$29,10)="","",INDEX('調整・決定'!$E$6:$E$29,10)),"")</f>
        <v/>
      </c>
      <c r="F28" s="120">
        <f>IFERROR(IF(INDEX('調整・決定'!$F$6:$F$29,10)="","",INDEX('調整・決定'!$F$6:$F$29,10)),"")</f>
        <v/>
      </c>
      <c r="G28" s="120">
        <f>IFERROR(IF(INDEX('調整・決定'!$G$6:$G$29,10)="","",INDEX('調整・決定'!$G$6:$G$29,10)),"")</f>
        <v/>
      </c>
      <c r="H28" s="120">
        <f>IFERROR(IF(INDEX('調整・決定'!$H$6:$H$29,10)="","",INDEX('調整・決定'!$H$6:$H$29,10)),"")</f>
        <v/>
      </c>
      <c r="M28">
        <f>IF(10&lt;=MIN(calcA!$A$3,'設定'!$B$6),"表示","隠す")</f>
        <v/>
      </c>
    </row>
    <row r="29" hidden="1" ht="20.9" customHeight="1">
      <c r="B29" s="119">
        <f>IFERROR(IF(INDEX('設定'!$I$11:$I$34,11)="","",SUBSTITUTE(SUBSTITUTE(SUBSTITUTE(SUBSTITUTE(SUBSTITUTE(SUBSTITUTE(SUBSTITUTE(SUBSTITUTE(SUBSTITUTE(SUBSTITUTE(SUBSTITUTE(SUBSTITUTE(INDEX('設定'!$I$11:$I$34,11),"〜",""),"0","０"),"1","１"),"2","２"),"3","３"),"4","４"),"5","５"),"6","６"),"7","７"),"8","８"),"9","９"),":","：")),"")</f>
        <v/>
      </c>
      <c r="C29" s="120">
        <f>IFERROR(IF(INDEX('調整・決定'!$C$6:$C$29,11)="","",INDEX('調整・決定'!$C$6:$C$29,11)),"")</f>
        <v/>
      </c>
      <c r="D29" s="120">
        <f>IFERROR(IF(INDEX('調整・決定'!$D$6:$D$29,11)="","",INDEX('調整・決定'!$D$6:$D$29,11)),"")</f>
        <v/>
      </c>
      <c r="E29" s="120">
        <f>IFERROR(IF(INDEX('調整・決定'!$E$6:$E$29,11)="","",INDEX('調整・決定'!$E$6:$E$29,11)),"")</f>
        <v/>
      </c>
      <c r="F29" s="120">
        <f>IFERROR(IF(INDEX('調整・決定'!$F$6:$F$29,11)="","",INDEX('調整・決定'!$F$6:$F$29,11)),"")</f>
        <v/>
      </c>
      <c r="G29" s="120">
        <f>IFERROR(IF(INDEX('調整・決定'!$G$6:$G$29,11)="","",INDEX('調整・決定'!$G$6:$G$29,11)),"")</f>
        <v/>
      </c>
      <c r="H29" s="120">
        <f>IFERROR(IF(INDEX('調整・決定'!$H$6:$H$29,11)="","",INDEX('調整・決定'!$H$6:$H$29,11)),"")</f>
        <v/>
      </c>
      <c r="M29">
        <f>IF(11&lt;=MIN(calcA!$A$3,'設定'!$B$6),"表示","隠す")</f>
        <v/>
      </c>
    </row>
    <row r="30" hidden="1" ht="20.9" customHeight="1">
      <c r="B30" s="119">
        <f>IFERROR(IF(INDEX('設定'!$I$11:$I$34,12)="","",SUBSTITUTE(SUBSTITUTE(SUBSTITUTE(SUBSTITUTE(SUBSTITUTE(SUBSTITUTE(SUBSTITUTE(SUBSTITUTE(SUBSTITUTE(SUBSTITUTE(SUBSTITUTE(SUBSTITUTE(INDEX('設定'!$I$11:$I$34,12),"〜",""),"0","０"),"1","１"),"2","２"),"3","３"),"4","４"),"5","５"),"6","６"),"7","７"),"8","８"),"9","９"),":","：")),"")</f>
        <v/>
      </c>
      <c r="C30" s="120">
        <f>IFERROR(IF(INDEX('調整・決定'!$C$6:$C$29,12)="","",INDEX('調整・決定'!$C$6:$C$29,12)),"")</f>
        <v/>
      </c>
      <c r="D30" s="120">
        <f>IFERROR(IF(INDEX('調整・決定'!$D$6:$D$29,12)="","",INDEX('調整・決定'!$D$6:$D$29,12)),"")</f>
        <v/>
      </c>
      <c r="E30" s="120">
        <f>IFERROR(IF(INDEX('調整・決定'!$E$6:$E$29,12)="","",INDEX('調整・決定'!$E$6:$E$29,12)),"")</f>
        <v/>
      </c>
      <c r="F30" s="120">
        <f>IFERROR(IF(INDEX('調整・決定'!$F$6:$F$29,12)="","",INDEX('調整・決定'!$F$6:$F$29,12)),"")</f>
        <v/>
      </c>
      <c r="G30" s="120">
        <f>IFERROR(IF(INDEX('調整・決定'!$G$6:$G$29,12)="","",INDEX('調整・決定'!$G$6:$G$29,12)),"")</f>
        <v/>
      </c>
      <c r="H30" s="120">
        <f>IFERROR(IF(INDEX('調整・決定'!$H$6:$H$29,12)="","",INDEX('調整・決定'!$H$6:$H$29,12)),"")</f>
        <v/>
      </c>
      <c r="M30">
        <f>IF(12&lt;=MIN(calcA!$A$3,'設定'!$B$6),"表示","隠す")</f>
        <v/>
      </c>
    </row>
    <row r="31" hidden="1" ht="20.9" customHeight="1">
      <c r="B31" s="119">
        <f>IFERROR(IF(INDEX('設定'!$I$11:$I$34,13)="","",SUBSTITUTE(SUBSTITUTE(SUBSTITUTE(SUBSTITUTE(SUBSTITUTE(SUBSTITUTE(SUBSTITUTE(SUBSTITUTE(SUBSTITUTE(SUBSTITUTE(SUBSTITUTE(SUBSTITUTE(INDEX('設定'!$I$11:$I$34,13),"〜",""),"0","０"),"1","１"),"2","２"),"3","３"),"4","４"),"5","５"),"6","６"),"7","７"),"8","８"),"9","９"),":","：")),"")</f>
        <v/>
      </c>
      <c r="C31" s="120">
        <f>IFERROR(IF(INDEX('調整・決定'!$C$6:$C$29,13)="","",INDEX('調整・決定'!$C$6:$C$29,13)),"")</f>
        <v/>
      </c>
      <c r="D31" s="120">
        <f>IFERROR(IF(INDEX('調整・決定'!$D$6:$D$29,13)="","",INDEX('調整・決定'!$D$6:$D$29,13)),"")</f>
        <v/>
      </c>
      <c r="E31" s="120">
        <f>IFERROR(IF(INDEX('調整・決定'!$E$6:$E$29,13)="","",INDEX('調整・決定'!$E$6:$E$29,13)),"")</f>
        <v/>
      </c>
      <c r="F31" s="120">
        <f>IFERROR(IF(INDEX('調整・決定'!$F$6:$F$29,13)="","",INDEX('調整・決定'!$F$6:$F$29,13)),"")</f>
        <v/>
      </c>
      <c r="G31" s="120">
        <f>IFERROR(IF(INDEX('調整・決定'!$G$6:$G$29,13)="","",INDEX('調整・決定'!$G$6:$G$29,13)),"")</f>
        <v/>
      </c>
      <c r="H31" s="120">
        <f>IFERROR(IF(INDEX('調整・決定'!$H$6:$H$29,13)="","",INDEX('調整・決定'!$H$6:$H$29,13)),"")</f>
        <v/>
      </c>
      <c r="M31">
        <f>IF(13&lt;=MIN(calcA!$A$3,'設定'!$B$6),"表示","隠す")</f>
        <v/>
      </c>
    </row>
    <row r="32" hidden="1" ht="20.9" customHeight="1">
      <c r="B32" s="119">
        <f>IFERROR(IF(INDEX('設定'!$I$11:$I$34,14)="","",SUBSTITUTE(SUBSTITUTE(SUBSTITUTE(SUBSTITUTE(SUBSTITUTE(SUBSTITUTE(SUBSTITUTE(SUBSTITUTE(SUBSTITUTE(SUBSTITUTE(SUBSTITUTE(SUBSTITUTE(INDEX('設定'!$I$11:$I$34,14),"〜",""),"0","０"),"1","１"),"2","２"),"3","３"),"4","４"),"5","５"),"6","６"),"7","７"),"8","８"),"9","９"),":","：")),"")</f>
        <v/>
      </c>
      <c r="C32" s="120">
        <f>IFERROR(IF(INDEX('調整・決定'!$C$6:$C$29,14)="","",INDEX('調整・決定'!$C$6:$C$29,14)),"")</f>
        <v/>
      </c>
      <c r="D32" s="120">
        <f>IFERROR(IF(INDEX('調整・決定'!$D$6:$D$29,14)="","",INDEX('調整・決定'!$D$6:$D$29,14)),"")</f>
        <v/>
      </c>
      <c r="E32" s="120">
        <f>IFERROR(IF(INDEX('調整・決定'!$E$6:$E$29,14)="","",INDEX('調整・決定'!$E$6:$E$29,14)),"")</f>
        <v/>
      </c>
      <c r="F32" s="120">
        <f>IFERROR(IF(INDEX('調整・決定'!$F$6:$F$29,14)="","",INDEX('調整・決定'!$F$6:$F$29,14)),"")</f>
        <v/>
      </c>
      <c r="G32" s="120">
        <f>IFERROR(IF(INDEX('調整・決定'!$G$6:$G$29,14)="","",INDEX('調整・決定'!$G$6:$G$29,14)),"")</f>
        <v/>
      </c>
      <c r="H32" s="120">
        <f>IFERROR(IF(INDEX('調整・決定'!$H$6:$H$29,14)="","",INDEX('調整・決定'!$H$6:$H$29,14)),"")</f>
        <v/>
      </c>
      <c r="M32">
        <f>IF(14&lt;=MIN(calcA!$A$3,'設定'!$B$6),"表示","隠す")</f>
        <v/>
      </c>
    </row>
    <row r="33" hidden="1" ht="20.9" customHeight="1">
      <c r="B33" s="119">
        <f>IFERROR(IF(INDEX('設定'!$I$11:$I$34,15)="","",SUBSTITUTE(SUBSTITUTE(SUBSTITUTE(SUBSTITUTE(SUBSTITUTE(SUBSTITUTE(SUBSTITUTE(SUBSTITUTE(SUBSTITUTE(SUBSTITUTE(SUBSTITUTE(SUBSTITUTE(INDEX('設定'!$I$11:$I$34,15),"〜",""),"0","０"),"1","１"),"2","２"),"3","３"),"4","４"),"5","５"),"6","６"),"7","７"),"8","８"),"9","９"),":","：")),"")</f>
        <v/>
      </c>
      <c r="C33" s="120">
        <f>IFERROR(IF(INDEX('調整・決定'!$C$6:$C$29,15)="","",INDEX('調整・決定'!$C$6:$C$29,15)),"")</f>
        <v/>
      </c>
      <c r="D33" s="120">
        <f>IFERROR(IF(INDEX('調整・決定'!$D$6:$D$29,15)="","",INDEX('調整・決定'!$D$6:$D$29,15)),"")</f>
        <v/>
      </c>
      <c r="E33" s="120">
        <f>IFERROR(IF(INDEX('調整・決定'!$E$6:$E$29,15)="","",INDEX('調整・決定'!$E$6:$E$29,15)),"")</f>
        <v/>
      </c>
      <c r="F33" s="120">
        <f>IFERROR(IF(INDEX('調整・決定'!$F$6:$F$29,15)="","",INDEX('調整・決定'!$F$6:$F$29,15)),"")</f>
        <v/>
      </c>
      <c r="G33" s="120">
        <f>IFERROR(IF(INDEX('調整・決定'!$G$6:$G$29,15)="","",INDEX('調整・決定'!$G$6:$G$29,15)),"")</f>
        <v/>
      </c>
      <c r="H33" s="120">
        <f>IFERROR(IF(INDEX('調整・決定'!$H$6:$H$29,15)="","",INDEX('調整・決定'!$H$6:$H$29,15)),"")</f>
        <v/>
      </c>
      <c r="M33">
        <f>IF(15&lt;=MIN(calcA!$A$3,'設定'!$B$6),"表示","隠す")</f>
        <v/>
      </c>
    </row>
    <row r="34" hidden="1" ht="20.9" customHeight="1">
      <c r="B34" s="119">
        <f>IFERROR(IF(INDEX('設定'!$I$11:$I$34,16)="","",SUBSTITUTE(SUBSTITUTE(SUBSTITUTE(SUBSTITUTE(SUBSTITUTE(SUBSTITUTE(SUBSTITUTE(SUBSTITUTE(SUBSTITUTE(SUBSTITUTE(SUBSTITUTE(SUBSTITUTE(INDEX('設定'!$I$11:$I$34,16),"〜",""),"0","０"),"1","１"),"2","２"),"3","３"),"4","４"),"5","５"),"6","６"),"7","７"),"8","８"),"9","９"),":","：")),"")</f>
        <v/>
      </c>
      <c r="C34" s="120">
        <f>IFERROR(IF(INDEX('調整・決定'!$C$6:$C$29,16)="","",INDEX('調整・決定'!$C$6:$C$29,16)),"")</f>
        <v/>
      </c>
      <c r="D34" s="120">
        <f>IFERROR(IF(INDEX('調整・決定'!$D$6:$D$29,16)="","",INDEX('調整・決定'!$D$6:$D$29,16)),"")</f>
        <v/>
      </c>
      <c r="E34" s="120">
        <f>IFERROR(IF(INDEX('調整・決定'!$E$6:$E$29,16)="","",INDEX('調整・決定'!$E$6:$E$29,16)),"")</f>
        <v/>
      </c>
      <c r="F34" s="120">
        <f>IFERROR(IF(INDEX('調整・決定'!$F$6:$F$29,16)="","",INDEX('調整・決定'!$F$6:$F$29,16)),"")</f>
        <v/>
      </c>
      <c r="G34" s="120">
        <f>IFERROR(IF(INDEX('調整・決定'!$G$6:$G$29,16)="","",INDEX('調整・決定'!$G$6:$G$29,16)),"")</f>
        <v/>
      </c>
      <c r="H34" s="120">
        <f>IFERROR(IF(INDEX('調整・決定'!$H$6:$H$29,16)="","",INDEX('調整・決定'!$H$6:$H$29,16)),"")</f>
        <v/>
      </c>
      <c r="M34">
        <f>IF(16&lt;=MIN(calcA!$A$3,'設定'!$B$6),"表示","隠す")</f>
        <v/>
      </c>
    </row>
    <row r="35" hidden="1" ht="20.9" customHeight="1">
      <c r="B35" s="119">
        <f>IFERROR(IF(INDEX('設定'!$I$11:$I$34,17)="","",SUBSTITUTE(SUBSTITUTE(SUBSTITUTE(SUBSTITUTE(SUBSTITUTE(SUBSTITUTE(SUBSTITUTE(SUBSTITUTE(SUBSTITUTE(SUBSTITUTE(SUBSTITUTE(SUBSTITUTE(INDEX('設定'!$I$11:$I$34,17),"〜",""),"0","０"),"1","１"),"2","２"),"3","３"),"4","４"),"5","５"),"6","６"),"7","７"),"8","８"),"9","９"),":","：")),"")</f>
        <v/>
      </c>
      <c r="C35" s="120">
        <f>IFERROR(IF(INDEX('調整・決定'!$C$6:$C$29,17)="","",INDEX('調整・決定'!$C$6:$C$29,17)),"")</f>
        <v/>
      </c>
      <c r="D35" s="120">
        <f>IFERROR(IF(INDEX('調整・決定'!$D$6:$D$29,17)="","",INDEX('調整・決定'!$D$6:$D$29,17)),"")</f>
        <v/>
      </c>
      <c r="E35" s="120">
        <f>IFERROR(IF(INDEX('調整・決定'!$E$6:$E$29,17)="","",INDEX('調整・決定'!$E$6:$E$29,17)),"")</f>
        <v/>
      </c>
      <c r="F35" s="120">
        <f>IFERROR(IF(INDEX('調整・決定'!$F$6:$F$29,17)="","",INDEX('調整・決定'!$F$6:$F$29,17)),"")</f>
        <v/>
      </c>
      <c r="G35" s="120">
        <f>IFERROR(IF(INDEX('調整・決定'!$G$6:$G$29,17)="","",INDEX('調整・決定'!$G$6:$G$29,17)),"")</f>
        <v/>
      </c>
      <c r="H35" s="120">
        <f>IFERROR(IF(INDEX('調整・決定'!$H$6:$H$29,17)="","",INDEX('調整・決定'!$H$6:$H$29,17)),"")</f>
        <v/>
      </c>
      <c r="M35">
        <f>IF(17&lt;=MIN(calcA!$A$3,'設定'!$B$6),"表示","隠す")</f>
        <v/>
      </c>
    </row>
    <row r="36" hidden="1" ht="20.9" customHeight="1">
      <c r="B36" s="119">
        <f>IFERROR(IF(INDEX('設定'!$I$11:$I$34,18)="","",SUBSTITUTE(SUBSTITUTE(SUBSTITUTE(SUBSTITUTE(SUBSTITUTE(SUBSTITUTE(SUBSTITUTE(SUBSTITUTE(SUBSTITUTE(SUBSTITUTE(SUBSTITUTE(SUBSTITUTE(INDEX('設定'!$I$11:$I$34,18),"〜",""),"0","０"),"1","１"),"2","２"),"3","３"),"4","４"),"5","５"),"6","６"),"7","７"),"8","８"),"9","９"),":","：")),"")</f>
        <v/>
      </c>
      <c r="C36" s="120">
        <f>IFERROR(IF(INDEX('調整・決定'!$C$6:$C$29,18)="","",INDEX('調整・決定'!$C$6:$C$29,18)),"")</f>
        <v/>
      </c>
      <c r="D36" s="120">
        <f>IFERROR(IF(INDEX('調整・決定'!$D$6:$D$29,18)="","",INDEX('調整・決定'!$D$6:$D$29,18)),"")</f>
        <v/>
      </c>
      <c r="E36" s="120">
        <f>IFERROR(IF(INDEX('調整・決定'!$E$6:$E$29,18)="","",INDEX('調整・決定'!$E$6:$E$29,18)),"")</f>
        <v/>
      </c>
      <c r="F36" s="120">
        <f>IFERROR(IF(INDEX('調整・決定'!$F$6:$F$29,18)="","",INDEX('調整・決定'!$F$6:$F$29,18)),"")</f>
        <v/>
      </c>
      <c r="G36" s="120">
        <f>IFERROR(IF(INDEX('調整・決定'!$G$6:$G$29,18)="","",INDEX('調整・決定'!$G$6:$G$29,18)),"")</f>
        <v/>
      </c>
      <c r="H36" s="120">
        <f>IFERROR(IF(INDEX('調整・決定'!$H$6:$H$29,18)="","",INDEX('調整・決定'!$H$6:$H$29,18)),"")</f>
        <v/>
      </c>
      <c r="M36">
        <f>IF(18&lt;=MIN(calcA!$A$3,'設定'!$B$6),"表示","隠す")</f>
        <v/>
      </c>
    </row>
    <row r="37" hidden="1" ht="20.9" customHeight="1">
      <c r="B37" s="119">
        <f>IFERROR(IF(INDEX('設定'!$I$11:$I$34,19)="","",SUBSTITUTE(SUBSTITUTE(SUBSTITUTE(SUBSTITUTE(SUBSTITUTE(SUBSTITUTE(SUBSTITUTE(SUBSTITUTE(SUBSTITUTE(SUBSTITUTE(SUBSTITUTE(SUBSTITUTE(INDEX('設定'!$I$11:$I$34,19),"〜",""),"0","０"),"1","１"),"2","２"),"3","３"),"4","４"),"5","５"),"6","６"),"7","７"),"8","８"),"9","９"),":","：")),"")</f>
        <v/>
      </c>
      <c r="C37" s="120">
        <f>IFERROR(IF(INDEX('調整・決定'!$C$6:$C$29,19)="","",INDEX('調整・決定'!$C$6:$C$29,19)),"")</f>
        <v/>
      </c>
      <c r="D37" s="120">
        <f>IFERROR(IF(INDEX('調整・決定'!$D$6:$D$29,19)="","",INDEX('調整・決定'!$D$6:$D$29,19)),"")</f>
        <v/>
      </c>
      <c r="E37" s="120">
        <f>IFERROR(IF(INDEX('調整・決定'!$E$6:$E$29,19)="","",INDEX('調整・決定'!$E$6:$E$29,19)),"")</f>
        <v/>
      </c>
      <c r="F37" s="120">
        <f>IFERROR(IF(INDEX('調整・決定'!$F$6:$F$29,19)="","",INDEX('調整・決定'!$F$6:$F$29,19)),"")</f>
        <v/>
      </c>
      <c r="G37" s="120">
        <f>IFERROR(IF(INDEX('調整・決定'!$G$6:$G$29,19)="","",INDEX('調整・決定'!$G$6:$G$29,19)),"")</f>
        <v/>
      </c>
      <c r="H37" s="120">
        <f>IFERROR(IF(INDEX('調整・決定'!$H$6:$H$29,19)="","",INDEX('調整・決定'!$H$6:$H$29,19)),"")</f>
        <v/>
      </c>
      <c r="M37">
        <f>IF(19&lt;=MIN(calcA!$A$3,'設定'!$B$6),"表示","隠す")</f>
        <v/>
      </c>
    </row>
    <row r="38" hidden="1" ht="20.9" customHeight="1">
      <c r="B38" s="119">
        <f>IFERROR(IF(INDEX('設定'!$I$11:$I$34,20)="","",SUBSTITUTE(SUBSTITUTE(SUBSTITUTE(SUBSTITUTE(SUBSTITUTE(SUBSTITUTE(SUBSTITUTE(SUBSTITUTE(SUBSTITUTE(SUBSTITUTE(SUBSTITUTE(SUBSTITUTE(INDEX('設定'!$I$11:$I$34,20),"〜",""),"0","０"),"1","１"),"2","２"),"3","３"),"4","４"),"5","５"),"6","６"),"7","７"),"8","８"),"9","９"),":","：")),"")</f>
        <v/>
      </c>
      <c r="C38" s="120">
        <f>IFERROR(IF(INDEX('調整・決定'!$C$6:$C$29,20)="","",INDEX('調整・決定'!$C$6:$C$29,20)),"")</f>
        <v/>
      </c>
      <c r="D38" s="120">
        <f>IFERROR(IF(INDEX('調整・決定'!$D$6:$D$29,20)="","",INDEX('調整・決定'!$D$6:$D$29,20)),"")</f>
        <v/>
      </c>
      <c r="E38" s="120">
        <f>IFERROR(IF(INDEX('調整・決定'!$E$6:$E$29,20)="","",INDEX('調整・決定'!$E$6:$E$29,20)),"")</f>
        <v/>
      </c>
      <c r="F38" s="120">
        <f>IFERROR(IF(INDEX('調整・決定'!$F$6:$F$29,20)="","",INDEX('調整・決定'!$F$6:$F$29,20)),"")</f>
        <v/>
      </c>
      <c r="G38" s="120">
        <f>IFERROR(IF(INDEX('調整・決定'!$G$6:$G$29,20)="","",INDEX('調整・決定'!$G$6:$G$29,20)),"")</f>
        <v/>
      </c>
      <c r="H38" s="120">
        <f>IFERROR(IF(INDEX('調整・決定'!$H$6:$H$29,20)="","",INDEX('調整・決定'!$H$6:$H$29,20)),"")</f>
        <v/>
      </c>
      <c r="M38">
        <f>IF(20&lt;=MIN(calcA!$A$3,'設定'!$B$6),"表示","隠す")</f>
        <v/>
      </c>
    </row>
    <row r="39" hidden="1" ht="20.9" customHeight="1">
      <c r="B39" s="119">
        <f>IFERROR(IF(INDEX('設定'!$I$11:$I$34,21)="","",SUBSTITUTE(SUBSTITUTE(SUBSTITUTE(SUBSTITUTE(SUBSTITUTE(SUBSTITUTE(SUBSTITUTE(SUBSTITUTE(SUBSTITUTE(SUBSTITUTE(SUBSTITUTE(SUBSTITUTE(INDEX('設定'!$I$11:$I$34,21),"〜",""),"0","０"),"1","１"),"2","２"),"3","３"),"4","４"),"5","５"),"6","６"),"7","７"),"8","８"),"9","９"),":","：")),"")</f>
        <v/>
      </c>
      <c r="C39" s="120">
        <f>IFERROR(IF(INDEX('調整・決定'!$C$6:$C$29,21)="","",INDEX('調整・決定'!$C$6:$C$29,21)),"")</f>
        <v/>
      </c>
      <c r="D39" s="120">
        <f>IFERROR(IF(INDEX('調整・決定'!$D$6:$D$29,21)="","",INDEX('調整・決定'!$D$6:$D$29,21)),"")</f>
        <v/>
      </c>
      <c r="E39" s="120">
        <f>IFERROR(IF(INDEX('調整・決定'!$E$6:$E$29,21)="","",INDEX('調整・決定'!$E$6:$E$29,21)),"")</f>
        <v/>
      </c>
      <c r="F39" s="120">
        <f>IFERROR(IF(INDEX('調整・決定'!$F$6:$F$29,21)="","",INDEX('調整・決定'!$F$6:$F$29,21)),"")</f>
        <v/>
      </c>
      <c r="G39" s="120">
        <f>IFERROR(IF(INDEX('調整・決定'!$G$6:$G$29,21)="","",INDEX('調整・決定'!$G$6:$G$29,21)),"")</f>
        <v/>
      </c>
      <c r="H39" s="120">
        <f>IFERROR(IF(INDEX('調整・決定'!$H$6:$H$29,21)="","",INDEX('調整・決定'!$H$6:$H$29,21)),"")</f>
        <v/>
      </c>
      <c r="M39">
        <f>IF(21&lt;=MIN(calcA!$A$3,'設定'!$B$6),"表示","隠す")</f>
        <v/>
      </c>
    </row>
    <row r="40" hidden="1" ht="20.9" customHeight="1">
      <c r="B40" s="119">
        <f>IFERROR(IF(INDEX('設定'!$I$11:$I$34,22)="","",SUBSTITUTE(SUBSTITUTE(SUBSTITUTE(SUBSTITUTE(SUBSTITUTE(SUBSTITUTE(SUBSTITUTE(SUBSTITUTE(SUBSTITUTE(SUBSTITUTE(SUBSTITUTE(SUBSTITUTE(INDEX('設定'!$I$11:$I$34,22),"〜",""),"0","０"),"1","１"),"2","２"),"3","３"),"4","４"),"5","５"),"6","６"),"7","７"),"8","８"),"9","９"),":","：")),"")</f>
        <v/>
      </c>
      <c r="C40" s="120">
        <f>IFERROR(IF(INDEX('調整・決定'!$C$6:$C$29,22)="","",INDEX('調整・決定'!$C$6:$C$29,22)),"")</f>
        <v/>
      </c>
      <c r="D40" s="120">
        <f>IFERROR(IF(INDEX('調整・決定'!$D$6:$D$29,22)="","",INDEX('調整・決定'!$D$6:$D$29,22)),"")</f>
        <v/>
      </c>
      <c r="E40" s="120">
        <f>IFERROR(IF(INDEX('調整・決定'!$E$6:$E$29,22)="","",INDEX('調整・決定'!$E$6:$E$29,22)),"")</f>
        <v/>
      </c>
      <c r="F40" s="120">
        <f>IFERROR(IF(INDEX('調整・決定'!$F$6:$F$29,22)="","",INDEX('調整・決定'!$F$6:$F$29,22)),"")</f>
        <v/>
      </c>
      <c r="G40" s="120">
        <f>IFERROR(IF(INDEX('調整・決定'!$G$6:$G$29,22)="","",INDEX('調整・決定'!$G$6:$G$29,22)),"")</f>
        <v/>
      </c>
      <c r="H40" s="120">
        <f>IFERROR(IF(INDEX('調整・決定'!$H$6:$H$29,22)="","",INDEX('調整・決定'!$H$6:$H$29,22)),"")</f>
        <v/>
      </c>
      <c r="M40">
        <f>IF(22&lt;=MIN(calcA!$A$3,'設定'!$B$6),"表示","隠す")</f>
        <v/>
      </c>
    </row>
    <row r="41" hidden="1" ht="20.9" customHeight="1">
      <c r="B41" s="119">
        <f>IFERROR(IF(INDEX('設定'!$I$11:$I$34,23)="","",SUBSTITUTE(SUBSTITUTE(SUBSTITUTE(SUBSTITUTE(SUBSTITUTE(SUBSTITUTE(SUBSTITUTE(SUBSTITUTE(SUBSTITUTE(SUBSTITUTE(SUBSTITUTE(SUBSTITUTE(INDEX('設定'!$I$11:$I$34,23),"〜",""),"0","０"),"1","１"),"2","２"),"3","３"),"4","４"),"5","５"),"6","６"),"7","７"),"8","８"),"9","９"),":","：")),"")</f>
        <v/>
      </c>
      <c r="C41" s="120">
        <f>IFERROR(IF(INDEX('調整・決定'!$C$6:$C$29,23)="","",INDEX('調整・決定'!$C$6:$C$29,23)),"")</f>
        <v/>
      </c>
      <c r="D41" s="120">
        <f>IFERROR(IF(INDEX('調整・決定'!$D$6:$D$29,23)="","",INDEX('調整・決定'!$D$6:$D$29,23)),"")</f>
        <v/>
      </c>
      <c r="E41" s="120">
        <f>IFERROR(IF(INDEX('調整・決定'!$E$6:$E$29,23)="","",INDEX('調整・決定'!$E$6:$E$29,23)),"")</f>
        <v/>
      </c>
      <c r="F41" s="120">
        <f>IFERROR(IF(INDEX('調整・決定'!$F$6:$F$29,23)="","",INDEX('調整・決定'!$F$6:$F$29,23)),"")</f>
        <v/>
      </c>
      <c r="G41" s="120">
        <f>IFERROR(IF(INDEX('調整・決定'!$G$6:$G$29,23)="","",INDEX('調整・決定'!$G$6:$G$29,23)),"")</f>
        <v/>
      </c>
      <c r="H41" s="120">
        <f>IFERROR(IF(INDEX('調整・決定'!$H$6:$H$29,23)="","",INDEX('調整・決定'!$H$6:$H$29,23)),"")</f>
        <v/>
      </c>
      <c r="M41">
        <f>IF(23&lt;=MIN(calcA!$A$3,'設定'!$B$6),"表示","隠す")</f>
        <v/>
      </c>
    </row>
    <row r="42" hidden="1" ht="20.9" customHeight="1">
      <c r="B42" s="119">
        <f>IFERROR(IF(INDEX('設定'!$I$11:$I$34,24)="","",SUBSTITUTE(SUBSTITUTE(SUBSTITUTE(SUBSTITUTE(SUBSTITUTE(SUBSTITUTE(SUBSTITUTE(SUBSTITUTE(SUBSTITUTE(SUBSTITUTE(SUBSTITUTE(SUBSTITUTE(INDEX('設定'!$I$11:$I$34,24),"〜",""),"0","０"),"1","１"),"2","２"),"3","３"),"4","４"),"5","５"),"6","６"),"7","７"),"8","８"),"9","９"),":","：")),"")</f>
        <v/>
      </c>
      <c r="C42" s="120">
        <f>IFERROR(IF(INDEX('調整・決定'!$C$6:$C$29,24)="","",INDEX('調整・決定'!$C$6:$C$29,24)),"")</f>
        <v/>
      </c>
      <c r="D42" s="120">
        <f>IFERROR(IF(INDEX('調整・決定'!$D$6:$D$29,24)="","",INDEX('調整・決定'!$D$6:$D$29,24)),"")</f>
        <v/>
      </c>
      <c r="E42" s="120">
        <f>IFERROR(IF(INDEX('調整・決定'!$E$6:$E$29,24)="","",INDEX('調整・決定'!$E$6:$E$29,24)),"")</f>
        <v/>
      </c>
      <c r="F42" s="120">
        <f>IFERROR(IF(INDEX('調整・決定'!$F$6:$F$29,24)="","",INDEX('調整・決定'!$F$6:$F$29,24)),"")</f>
        <v/>
      </c>
      <c r="G42" s="120">
        <f>IFERROR(IF(INDEX('調整・決定'!$G$6:$G$29,24)="","",INDEX('調整・決定'!$G$6:$G$29,24)),"")</f>
        <v/>
      </c>
      <c r="H42" s="120">
        <f>IFERROR(IF(INDEX('調整・決定'!$H$6:$H$29,24)="","",INDEX('調整・決定'!$H$6:$H$29,24)),"")</f>
        <v/>
      </c>
      <c r="M42">
        <f>IF(24&lt;=MIN(calcA!$A$3,'設定'!$B$6),"表示","隠す")</f>
        <v/>
      </c>
    </row>
    <row r="43" hidden="1" ht="2.5" customHeight="1">
      <c r="M43">
        <f>IF('設定'!$B$6&gt;MIN(calcA!$A$3,'設定'!$B$6),"表示","隠す")</f>
        <v/>
      </c>
    </row>
    <row r="44" hidden="1" ht="20.9" customHeight="1">
      <c r="B44" s="119">
        <f>IFERROR(IF(INDEX('設定'!$I$11:$I$34,MIN(calcA!$A$3,'設定'!$B$6)+1)="","",SUBSTITUTE(SUBSTITUTE(SUBSTITUTE(SUBSTITUTE(SUBSTITUTE(SUBSTITUTE(SUBSTITUTE(SUBSTITUTE(SUBSTITUTE(SUBSTITUTE(SUBSTITUTE(SUBSTITUTE(INDEX('設定'!$I$11:$I$34,MIN(calcA!$A$3,'設定'!$B$6)+1),"〜",""),"0","０"),"1","１"),"2","２"),"3","３"),"4","４"),"5","５"),"6","６"),"7","７"),"8","８"),"9","９"),":","：")),"")</f>
        <v/>
      </c>
      <c r="C44" s="120">
        <f>IFERROR(IF(INDEX('調整・決定'!$C$6:$C$29,MIN(calcA!$A$3,'設定'!$B$6)+1)="","",INDEX('調整・決定'!$C$6:$C$29,MIN(calcA!$A$3,'設定'!$B$6)+1)),"")</f>
        <v/>
      </c>
      <c r="D44" s="120">
        <f>IFERROR(IF(INDEX('調整・決定'!$D$6:$D$29,MIN(calcA!$A$3,'設定'!$B$6)+1)="","",INDEX('調整・決定'!$D$6:$D$29,MIN(calcA!$A$3,'設定'!$B$6)+1)),"")</f>
        <v/>
      </c>
      <c r="E44" s="120">
        <f>IFERROR(IF(INDEX('調整・決定'!$E$6:$E$29,MIN(calcA!$A$3,'設定'!$B$6)+1)="","",INDEX('調整・決定'!$E$6:$E$29,MIN(calcA!$A$3,'設定'!$B$6)+1)),"")</f>
        <v/>
      </c>
      <c r="F44" s="120">
        <f>IFERROR(IF(INDEX('調整・決定'!$F$6:$F$29,MIN(calcA!$A$3,'設定'!$B$6)+1)="","",INDEX('調整・決定'!$F$6:$F$29,MIN(calcA!$A$3,'設定'!$B$6)+1)),"")</f>
        <v/>
      </c>
      <c r="G44" s="120">
        <f>IFERROR(IF(INDEX('調整・決定'!$G$6:$G$29,MIN(calcA!$A$3,'設定'!$B$6)+1)="","",INDEX('調整・決定'!$G$6:$G$29,MIN(calcA!$A$3,'設定'!$B$6)+1)),"")</f>
        <v/>
      </c>
      <c r="H44" s="120">
        <f>IFERROR(IF(INDEX('調整・決定'!$H$6:$H$29,MIN(calcA!$A$3,'設定'!$B$6)+1)="","",INDEX('調整・決定'!$H$6:$H$29,MIN(calcA!$A$3,'設定'!$B$6)+1)),"")</f>
        <v/>
      </c>
      <c r="M44">
        <f>IF(MIN(calcA!$A$3,'設定'!$B$6)+1&lt;='設定'!$B$6,"表示","隠す")</f>
        <v/>
      </c>
    </row>
    <row r="45" hidden="1" ht="20.9" customHeight="1">
      <c r="B45" s="119">
        <f>IFERROR(IF(INDEX('設定'!$I$11:$I$34,MIN(calcA!$A$3,'設定'!$B$6)+2)="","",SUBSTITUTE(SUBSTITUTE(SUBSTITUTE(SUBSTITUTE(SUBSTITUTE(SUBSTITUTE(SUBSTITUTE(SUBSTITUTE(SUBSTITUTE(SUBSTITUTE(SUBSTITUTE(SUBSTITUTE(INDEX('設定'!$I$11:$I$34,MIN(calcA!$A$3,'設定'!$B$6)+2),"〜",""),"0","０"),"1","１"),"2","２"),"3","３"),"4","４"),"5","５"),"6","６"),"7","７"),"8","８"),"9","９"),":","：")),"")</f>
        <v/>
      </c>
      <c r="C45" s="120">
        <f>IFERROR(IF(INDEX('調整・決定'!$C$6:$C$29,MIN(calcA!$A$3,'設定'!$B$6)+2)="","",INDEX('調整・決定'!$C$6:$C$29,MIN(calcA!$A$3,'設定'!$B$6)+2)),"")</f>
        <v/>
      </c>
      <c r="D45" s="120">
        <f>IFERROR(IF(INDEX('調整・決定'!$D$6:$D$29,MIN(calcA!$A$3,'設定'!$B$6)+2)="","",INDEX('調整・決定'!$D$6:$D$29,MIN(calcA!$A$3,'設定'!$B$6)+2)),"")</f>
        <v/>
      </c>
      <c r="E45" s="120">
        <f>IFERROR(IF(INDEX('調整・決定'!$E$6:$E$29,MIN(calcA!$A$3,'設定'!$B$6)+2)="","",INDEX('調整・決定'!$E$6:$E$29,MIN(calcA!$A$3,'設定'!$B$6)+2)),"")</f>
        <v/>
      </c>
      <c r="F45" s="120">
        <f>IFERROR(IF(INDEX('調整・決定'!$F$6:$F$29,MIN(calcA!$A$3,'設定'!$B$6)+2)="","",INDEX('調整・決定'!$F$6:$F$29,MIN(calcA!$A$3,'設定'!$B$6)+2)),"")</f>
        <v/>
      </c>
      <c r="G45" s="120">
        <f>IFERROR(IF(INDEX('調整・決定'!$G$6:$G$29,MIN(calcA!$A$3,'設定'!$B$6)+2)="","",INDEX('調整・決定'!$G$6:$G$29,MIN(calcA!$A$3,'設定'!$B$6)+2)),"")</f>
        <v/>
      </c>
      <c r="H45" s="120">
        <f>IFERROR(IF(INDEX('調整・決定'!$H$6:$H$29,MIN(calcA!$A$3,'設定'!$B$6)+2)="","",INDEX('調整・決定'!$H$6:$H$29,MIN(calcA!$A$3,'設定'!$B$6)+2)),"")</f>
        <v/>
      </c>
      <c r="M45">
        <f>IF(MIN(calcA!$A$3,'設定'!$B$6)+2&lt;='設定'!$B$6,"表示","隠す")</f>
        <v/>
      </c>
    </row>
    <row r="46" hidden="1" ht="20.9" customHeight="1">
      <c r="B46" s="119">
        <f>IFERROR(IF(INDEX('設定'!$I$11:$I$34,MIN(calcA!$A$3,'設定'!$B$6)+3)="","",SUBSTITUTE(SUBSTITUTE(SUBSTITUTE(SUBSTITUTE(SUBSTITUTE(SUBSTITUTE(SUBSTITUTE(SUBSTITUTE(SUBSTITUTE(SUBSTITUTE(SUBSTITUTE(SUBSTITUTE(INDEX('設定'!$I$11:$I$34,MIN(calcA!$A$3,'設定'!$B$6)+3),"〜",""),"0","０"),"1","１"),"2","２"),"3","３"),"4","４"),"5","５"),"6","６"),"7","７"),"8","８"),"9","９"),":","：")),"")</f>
        <v/>
      </c>
      <c r="C46" s="120">
        <f>IFERROR(IF(INDEX('調整・決定'!$C$6:$C$29,MIN(calcA!$A$3,'設定'!$B$6)+3)="","",INDEX('調整・決定'!$C$6:$C$29,MIN(calcA!$A$3,'設定'!$B$6)+3)),"")</f>
        <v/>
      </c>
      <c r="D46" s="120">
        <f>IFERROR(IF(INDEX('調整・決定'!$D$6:$D$29,MIN(calcA!$A$3,'設定'!$B$6)+3)="","",INDEX('調整・決定'!$D$6:$D$29,MIN(calcA!$A$3,'設定'!$B$6)+3)),"")</f>
        <v/>
      </c>
      <c r="E46" s="120">
        <f>IFERROR(IF(INDEX('調整・決定'!$E$6:$E$29,MIN(calcA!$A$3,'設定'!$B$6)+3)="","",INDEX('調整・決定'!$E$6:$E$29,MIN(calcA!$A$3,'設定'!$B$6)+3)),"")</f>
        <v/>
      </c>
      <c r="F46" s="120">
        <f>IFERROR(IF(INDEX('調整・決定'!$F$6:$F$29,MIN(calcA!$A$3,'設定'!$B$6)+3)="","",INDEX('調整・決定'!$F$6:$F$29,MIN(calcA!$A$3,'設定'!$B$6)+3)),"")</f>
        <v/>
      </c>
      <c r="G46" s="120">
        <f>IFERROR(IF(INDEX('調整・決定'!$G$6:$G$29,MIN(calcA!$A$3,'設定'!$B$6)+3)="","",INDEX('調整・決定'!$G$6:$G$29,MIN(calcA!$A$3,'設定'!$B$6)+3)),"")</f>
        <v/>
      </c>
      <c r="H46" s="120">
        <f>IFERROR(IF(INDEX('調整・決定'!$H$6:$H$29,MIN(calcA!$A$3,'設定'!$B$6)+3)="","",INDEX('調整・決定'!$H$6:$H$29,MIN(calcA!$A$3,'設定'!$B$6)+3)),"")</f>
        <v/>
      </c>
      <c r="M46">
        <f>IF(MIN(calcA!$A$3,'設定'!$B$6)+3&lt;='設定'!$B$6,"表示","隠す")</f>
        <v/>
      </c>
    </row>
    <row r="47" hidden="1" ht="20.9" customHeight="1">
      <c r="B47" s="119">
        <f>IFERROR(IF(INDEX('設定'!$I$11:$I$34,MIN(calcA!$A$3,'設定'!$B$6)+4)="","",SUBSTITUTE(SUBSTITUTE(SUBSTITUTE(SUBSTITUTE(SUBSTITUTE(SUBSTITUTE(SUBSTITUTE(SUBSTITUTE(SUBSTITUTE(SUBSTITUTE(SUBSTITUTE(SUBSTITUTE(INDEX('設定'!$I$11:$I$34,MIN(calcA!$A$3,'設定'!$B$6)+4),"〜",""),"0","０"),"1","１"),"2","２"),"3","３"),"4","４"),"5","５"),"6","６"),"7","７"),"8","８"),"9","９"),":","：")),"")</f>
        <v/>
      </c>
      <c r="C47" s="120">
        <f>IFERROR(IF(INDEX('調整・決定'!$C$6:$C$29,MIN(calcA!$A$3,'設定'!$B$6)+4)="","",INDEX('調整・決定'!$C$6:$C$29,MIN(calcA!$A$3,'設定'!$B$6)+4)),"")</f>
        <v/>
      </c>
      <c r="D47" s="120">
        <f>IFERROR(IF(INDEX('調整・決定'!$D$6:$D$29,MIN(calcA!$A$3,'設定'!$B$6)+4)="","",INDEX('調整・決定'!$D$6:$D$29,MIN(calcA!$A$3,'設定'!$B$6)+4)),"")</f>
        <v/>
      </c>
      <c r="E47" s="120">
        <f>IFERROR(IF(INDEX('調整・決定'!$E$6:$E$29,MIN(calcA!$A$3,'設定'!$B$6)+4)="","",INDEX('調整・決定'!$E$6:$E$29,MIN(calcA!$A$3,'設定'!$B$6)+4)),"")</f>
        <v/>
      </c>
      <c r="F47" s="120">
        <f>IFERROR(IF(INDEX('調整・決定'!$F$6:$F$29,MIN(calcA!$A$3,'設定'!$B$6)+4)="","",INDEX('調整・決定'!$F$6:$F$29,MIN(calcA!$A$3,'設定'!$B$6)+4)),"")</f>
        <v/>
      </c>
      <c r="G47" s="120">
        <f>IFERROR(IF(INDEX('調整・決定'!$G$6:$G$29,MIN(calcA!$A$3,'設定'!$B$6)+4)="","",INDEX('調整・決定'!$G$6:$G$29,MIN(calcA!$A$3,'設定'!$B$6)+4)),"")</f>
        <v/>
      </c>
      <c r="H47" s="120">
        <f>IFERROR(IF(INDEX('調整・決定'!$H$6:$H$29,MIN(calcA!$A$3,'設定'!$B$6)+4)="","",INDEX('調整・決定'!$H$6:$H$29,MIN(calcA!$A$3,'設定'!$B$6)+4)),"")</f>
        <v/>
      </c>
      <c r="M47">
        <f>IF(MIN(calcA!$A$3,'設定'!$B$6)+4&lt;='設定'!$B$6,"表示","隠す")</f>
        <v/>
      </c>
    </row>
    <row r="48" hidden="1" ht="20.9" customHeight="1">
      <c r="B48" s="119">
        <f>IFERROR(IF(INDEX('設定'!$I$11:$I$34,MIN(calcA!$A$3,'設定'!$B$6)+5)="","",SUBSTITUTE(SUBSTITUTE(SUBSTITUTE(SUBSTITUTE(SUBSTITUTE(SUBSTITUTE(SUBSTITUTE(SUBSTITUTE(SUBSTITUTE(SUBSTITUTE(SUBSTITUTE(SUBSTITUTE(INDEX('設定'!$I$11:$I$34,MIN(calcA!$A$3,'設定'!$B$6)+5),"〜",""),"0","０"),"1","１"),"2","２"),"3","３"),"4","４"),"5","５"),"6","６"),"7","７"),"8","８"),"9","９"),":","：")),"")</f>
        <v/>
      </c>
      <c r="C48" s="120">
        <f>IFERROR(IF(INDEX('調整・決定'!$C$6:$C$29,MIN(calcA!$A$3,'設定'!$B$6)+5)="","",INDEX('調整・決定'!$C$6:$C$29,MIN(calcA!$A$3,'設定'!$B$6)+5)),"")</f>
        <v/>
      </c>
      <c r="D48" s="120">
        <f>IFERROR(IF(INDEX('調整・決定'!$D$6:$D$29,MIN(calcA!$A$3,'設定'!$B$6)+5)="","",INDEX('調整・決定'!$D$6:$D$29,MIN(calcA!$A$3,'設定'!$B$6)+5)),"")</f>
        <v/>
      </c>
      <c r="E48" s="120">
        <f>IFERROR(IF(INDEX('調整・決定'!$E$6:$E$29,MIN(calcA!$A$3,'設定'!$B$6)+5)="","",INDEX('調整・決定'!$E$6:$E$29,MIN(calcA!$A$3,'設定'!$B$6)+5)),"")</f>
        <v/>
      </c>
      <c r="F48" s="120">
        <f>IFERROR(IF(INDEX('調整・決定'!$F$6:$F$29,MIN(calcA!$A$3,'設定'!$B$6)+5)="","",INDEX('調整・決定'!$F$6:$F$29,MIN(calcA!$A$3,'設定'!$B$6)+5)),"")</f>
        <v/>
      </c>
      <c r="G48" s="120">
        <f>IFERROR(IF(INDEX('調整・決定'!$G$6:$G$29,MIN(calcA!$A$3,'設定'!$B$6)+5)="","",INDEX('調整・決定'!$G$6:$G$29,MIN(calcA!$A$3,'設定'!$B$6)+5)),"")</f>
        <v/>
      </c>
      <c r="H48" s="120">
        <f>IFERROR(IF(INDEX('調整・決定'!$H$6:$H$29,MIN(calcA!$A$3,'設定'!$B$6)+5)="","",INDEX('調整・決定'!$H$6:$H$29,MIN(calcA!$A$3,'設定'!$B$6)+5)),"")</f>
        <v/>
      </c>
      <c r="M48">
        <f>IF(MIN(calcA!$A$3,'設定'!$B$6)+5&lt;='設定'!$B$6,"表示","隠す")</f>
        <v/>
      </c>
    </row>
    <row r="49" hidden="1" ht="20.9" customHeight="1">
      <c r="B49" s="119">
        <f>IFERROR(IF(INDEX('設定'!$I$11:$I$34,MIN(calcA!$A$3,'設定'!$B$6)+6)="","",SUBSTITUTE(SUBSTITUTE(SUBSTITUTE(SUBSTITUTE(SUBSTITUTE(SUBSTITUTE(SUBSTITUTE(SUBSTITUTE(SUBSTITUTE(SUBSTITUTE(SUBSTITUTE(SUBSTITUTE(INDEX('設定'!$I$11:$I$34,MIN(calcA!$A$3,'設定'!$B$6)+6),"〜",""),"0","０"),"1","１"),"2","２"),"3","３"),"4","４"),"5","５"),"6","６"),"7","７"),"8","８"),"9","９"),":","：")),"")</f>
        <v/>
      </c>
      <c r="C49" s="120">
        <f>IFERROR(IF(INDEX('調整・決定'!$C$6:$C$29,MIN(calcA!$A$3,'設定'!$B$6)+6)="","",INDEX('調整・決定'!$C$6:$C$29,MIN(calcA!$A$3,'設定'!$B$6)+6)),"")</f>
        <v/>
      </c>
      <c r="D49" s="120">
        <f>IFERROR(IF(INDEX('調整・決定'!$D$6:$D$29,MIN(calcA!$A$3,'設定'!$B$6)+6)="","",INDEX('調整・決定'!$D$6:$D$29,MIN(calcA!$A$3,'設定'!$B$6)+6)),"")</f>
        <v/>
      </c>
      <c r="E49" s="120">
        <f>IFERROR(IF(INDEX('調整・決定'!$E$6:$E$29,MIN(calcA!$A$3,'設定'!$B$6)+6)="","",INDEX('調整・決定'!$E$6:$E$29,MIN(calcA!$A$3,'設定'!$B$6)+6)),"")</f>
        <v/>
      </c>
      <c r="F49" s="120">
        <f>IFERROR(IF(INDEX('調整・決定'!$F$6:$F$29,MIN(calcA!$A$3,'設定'!$B$6)+6)="","",INDEX('調整・決定'!$F$6:$F$29,MIN(calcA!$A$3,'設定'!$B$6)+6)),"")</f>
        <v/>
      </c>
      <c r="G49" s="120">
        <f>IFERROR(IF(INDEX('調整・決定'!$G$6:$G$29,MIN(calcA!$A$3,'設定'!$B$6)+6)="","",INDEX('調整・決定'!$G$6:$G$29,MIN(calcA!$A$3,'設定'!$B$6)+6)),"")</f>
        <v/>
      </c>
      <c r="H49" s="120">
        <f>IFERROR(IF(INDEX('調整・決定'!$H$6:$H$29,MIN(calcA!$A$3,'設定'!$B$6)+6)="","",INDEX('調整・決定'!$H$6:$H$29,MIN(calcA!$A$3,'設定'!$B$6)+6)),"")</f>
        <v/>
      </c>
      <c r="M49">
        <f>IF(MIN(calcA!$A$3,'設定'!$B$6)+6&lt;='設定'!$B$6,"表示","隠す")</f>
        <v/>
      </c>
    </row>
    <row r="50" hidden="1" ht="20.9" customHeight="1">
      <c r="B50" s="119">
        <f>IFERROR(IF(INDEX('設定'!$I$11:$I$34,MIN(calcA!$A$3,'設定'!$B$6)+7)="","",SUBSTITUTE(SUBSTITUTE(SUBSTITUTE(SUBSTITUTE(SUBSTITUTE(SUBSTITUTE(SUBSTITUTE(SUBSTITUTE(SUBSTITUTE(SUBSTITUTE(SUBSTITUTE(SUBSTITUTE(INDEX('設定'!$I$11:$I$34,MIN(calcA!$A$3,'設定'!$B$6)+7),"〜",""),"0","０"),"1","１"),"2","２"),"3","３"),"4","４"),"5","５"),"6","６"),"7","７"),"8","８"),"9","９"),":","：")),"")</f>
        <v/>
      </c>
      <c r="C50" s="120">
        <f>IFERROR(IF(INDEX('調整・決定'!$C$6:$C$29,MIN(calcA!$A$3,'設定'!$B$6)+7)="","",INDEX('調整・決定'!$C$6:$C$29,MIN(calcA!$A$3,'設定'!$B$6)+7)),"")</f>
        <v/>
      </c>
      <c r="D50" s="120">
        <f>IFERROR(IF(INDEX('調整・決定'!$D$6:$D$29,MIN(calcA!$A$3,'設定'!$B$6)+7)="","",INDEX('調整・決定'!$D$6:$D$29,MIN(calcA!$A$3,'設定'!$B$6)+7)),"")</f>
        <v/>
      </c>
      <c r="E50" s="120">
        <f>IFERROR(IF(INDEX('調整・決定'!$E$6:$E$29,MIN(calcA!$A$3,'設定'!$B$6)+7)="","",INDEX('調整・決定'!$E$6:$E$29,MIN(calcA!$A$3,'設定'!$B$6)+7)),"")</f>
        <v/>
      </c>
      <c r="F50" s="120">
        <f>IFERROR(IF(INDEX('調整・決定'!$F$6:$F$29,MIN(calcA!$A$3,'設定'!$B$6)+7)="","",INDEX('調整・決定'!$F$6:$F$29,MIN(calcA!$A$3,'設定'!$B$6)+7)),"")</f>
        <v/>
      </c>
      <c r="G50" s="120">
        <f>IFERROR(IF(INDEX('調整・決定'!$G$6:$G$29,MIN(calcA!$A$3,'設定'!$B$6)+7)="","",INDEX('調整・決定'!$G$6:$G$29,MIN(calcA!$A$3,'設定'!$B$6)+7)),"")</f>
        <v/>
      </c>
      <c r="H50" s="120">
        <f>IFERROR(IF(INDEX('調整・決定'!$H$6:$H$29,MIN(calcA!$A$3,'設定'!$B$6)+7)="","",INDEX('調整・決定'!$H$6:$H$29,MIN(calcA!$A$3,'設定'!$B$6)+7)),"")</f>
        <v/>
      </c>
      <c r="M50">
        <f>IF(MIN(calcA!$A$3,'設定'!$B$6)+7&lt;='設定'!$B$6,"表示","隠す")</f>
        <v/>
      </c>
    </row>
    <row r="51" hidden="1" ht="20.9" customHeight="1">
      <c r="B51" s="119">
        <f>IFERROR(IF(INDEX('設定'!$I$11:$I$34,MIN(calcA!$A$3,'設定'!$B$6)+8)="","",SUBSTITUTE(SUBSTITUTE(SUBSTITUTE(SUBSTITUTE(SUBSTITUTE(SUBSTITUTE(SUBSTITUTE(SUBSTITUTE(SUBSTITUTE(SUBSTITUTE(SUBSTITUTE(SUBSTITUTE(INDEX('設定'!$I$11:$I$34,MIN(calcA!$A$3,'設定'!$B$6)+8),"〜",""),"0","０"),"1","１"),"2","２"),"3","３"),"4","４"),"5","５"),"6","６"),"7","７"),"8","８"),"9","９"),":","：")),"")</f>
        <v/>
      </c>
      <c r="C51" s="120">
        <f>IFERROR(IF(INDEX('調整・決定'!$C$6:$C$29,MIN(calcA!$A$3,'設定'!$B$6)+8)="","",INDEX('調整・決定'!$C$6:$C$29,MIN(calcA!$A$3,'設定'!$B$6)+8)),"")</f>
        <v/>
      </c>
      <c r="D51" s="120">
        <f>IFERROR(IF(INDEX('調整・決定'!$D$6:$D$29,MIN(calcA!$A$3,'設定'!$B$6)+8)="","",INDEX('調整・決定'!$D$6:$D$29,MIN(calcA!$A$3,'設定'!$B$6)+8)),"")</f>
        <v/>
      </c>
      <c r="E51" s="120">
        <f>IFERROR(IF(INDEX('調整・決定'!$E$6:$E$29,MIN(calcA!$A$3,'設定'!$B$6)+8)="","",INDEX('調整・決定'!$E$6:$E$29,MIN(calcA!$A$3,'設定'!$B$6)+8)),"")</f>
        <v/>
      </c>
      <c r="F51" s="120">
        <f>IFERROR(IF(INDEX('調整・決定'!$F$6:$F$29,MIN(calcA!$A$3,'設定'!$B$6)+8)="","",INDEX('調整・決定'!$F$6:$F$29,MIN(calcA!$A$3,'設定'!$B$6)+8)),"")</f>
        <v/>
      </c>
      <c r="G51" s="120">
        <f>IFERROR(IF(INDEX('調整・決定'!$G$6:$G$29,MIN(calcA!$A$3,'設定'!$B$6)+8)="","",INDEX('調整・決定'!$G$6:$G$29,MIN(calcA!$A$3,'設定'!$B$6)+8)),"")</f>
        <v/>
      </c>
      <c r="H51" s="120">
        <f>IFERROR(IF(INDEX('調整・決定'!$H$6:$H$29,MIN(calcA!$A$3,'設定'!$B$6)+8)="","",INDEX('調整・決定'!$H$6:$H$29,MIN(calcA!$A$3,'設定'!$B$6)+8)),"")</f>
        <v/>
      </c>
      <c r="M51">
        <f>IF(MIN(calcA!$A$3,'設定'!$B$6)+8&lt;='設定'!$B$6,"表示","隠す")</f>
        <v/>
      </c>
    </row>
    <row r="52" hidden="1" ht="20.9" customHeight="1">
      <c r="B52" s="119">
        <f>IFERROR(IF(INDEX('設定'!$I$11:$I$34,MIN(calcA!$A$3,'設定'!$B$6)+9)="","",SUBSTITUTE(SUBSTITUTE(SUBSTITUTE(SUBSTITUTE(SUBSTITUTE(SUBSTITUTE(SUBSTITUTE(SUBSTITUTE(SUBSTITUTE(SUBSTITUTE(SUBSTITUTE(SUBSTITUTE(INDEX('設定'!$I$11:$I$34,MIN(calcA!$A$3,'設定'!$B$6)+9),"〜",""),"0","０"),"1","１"),"2","２"),"3","３"),"4","４"),"5","５"),"6","６"),"7","７"),"8","８"),"9","９"),":","：")),"")</f>
        <v/>
      </c>
      <c r="C52" s="120">
        <f>IFERROR(IF(INDEX('調整・決定'!$C$6:$C$29,MIN(calcA!$A$3,'設定'!$B$6)+9)="","",INDEX('調整・決定'!$C$6:$C$29,MIN(calcA!$A$3,'設定'!$B$6)+9)),"")</f>
        <v/>
      </c>
      <c r="D52" s="120">
        <f>IFERROR(IF(INDEX('調整・決定'!$D$6:$D$29,MIN(calcA!$A$3,'設定'!$B$6)+9)="","",INDEX('調整・決定'!$D$6:$D$29,MIN(calcA!$A$3,'設定'!$B$6)+9)),"")</f>
        <v/>
      </c>
      <c r="E52" s="120">
        <f>IFERROR(IF(INDEX('調整・決定'!$E$6:$E$29,MIN(calcA!$A$3,'設定'!$B$6)+9)="","",INDEX('調整・決定'!$E$6:$E$29,MIN(calcA!$A$3,'設定'!$B$6)+9)),"")</f>
        <v/>
      </c>
      <c r="F52" s="120">
        <f>IFERROR(IF(INDEX('調整・決定'!$F$6:$F$29,MIN(calcA!$A$3,'設定'!$B$6)+9)="","",INDEX('調整・決定'!$F$6:$F$29,MIN(calcA!$A$3,'設定'!$B$6)+9)),"")</f>
        <v/>
      </c>
      <c r="G52" s="120">
        <f>IFERROR(IF(INDEX('調整・決定'!$G$6:$G$29,MIN(calcA!$A$3,'設定'!$B$6)+9)="","",INDEX('調整・決定'!$G$6:$G$29,MIN(calcA!$A$3,'設定'!$B$6)+9)),"")</f>
        <v/>
      </c>
      <c r="H52" s="120">
        <f>IFERROR(IF(INDEX('調整・決定'!$H$6:$H$29,MIN(calcA!$A$3,'設定'!$B$6)+9)="","",INDEX('調整・決定'!$H$6:$H$29,MIN(calcA!$A$3,'設定'!$B$6)+9)),"")</f>
        <v/>
      </c>
      <c r="M52">
        <f>IF(MIN(calcA!$A$3,'設定'!$B$6)+9&lt;='設定'!$B$6,"表示","隠す")</f>
        <v/>
      </c>
    </row>
    <row r="53" hidden="1" ht="20.9" customHeight="1">
      <c r="B53" s="119">
        <f>IFERROR(IF(INDEX('設定'!$I$11:$I$34,MIN(calcA!$A$3,'設定'!$B$6)+10)="","",SUBSTITUTE(SUBSTITUTE(SUBSTITUTE(SUBSTITUTE(SUBSTITUTE(SUBSTITUTE(SUBSTITUTE(SUBSTITUTE(SUBSTITUTE(SUBSTITUTE(SUBSTITUTE(SUBSTITUTE(INDEX('設定'!$I$11:$I$34,MIN(calcA!$A$3,'設定'!$B$6)+10),"〜",""),"0","０"),"1","１"),"2","２"),"3","３"),"4","４"),"5","５"),"6","６"),"7","７"),"8","８"),"9","９"),":","：")),"")</f>
        <v/>
      </c>
      <c r="C53" s="120">
        <f>IFERROR(IF(INDEX('調整・決定'!$C$6:$C$29,MIN(calcA!$A$3,'設定'!$B$6)+10)="","",INDEX('調整・決定'!$C$6:$C$29,MIN(calcA!$A$3,'設定'!$B$6)+10)),"")</f>
        <v/>
      </c>
      <c r="D53" s="120">
        <f>IFERROR(IF(INDEX('調整・決定'!$D$6:$D$29,MIN(calcA!$A$3,'設定'!$B$6)+10)="","",INDEX('調整・決定'!$D$6:$D$29,MIN(calcA!$A$3,'設定'!$B$6)+10)),"")</f>
        <v/>
      </c>
      <c r="E53" s="120">
        <f>IFERROR(IF(INDEX('調整・決定'!$E$6:$E$29,MIN(calcA!$A$3,'設定'!$B$6)+10)="","",INDEX('調整・決定'!$E$6:$E$29,MIN(calcA!$A$3,'設定'!$B$6)+10)),"")</f>
        <v/>
      </c>
      <c r="F53" s="120">
        <f>IFERROR(IF(INDEX('調整・決定'!$F$6:$F$29,MIN(calcA!$A$3,'設定'!$B$6)+10)="","",INDEX('調整・決定'!$F$6:$F$29,MIN(calcA!$A$3,'設定'!$B$6)+10)),"")</f>
        <v/>
      </c>
      <c r="G53" s="120">
        <f>IFERROR(IF(INDEX('調整・決定'!$G$6:$G$29,MIN(calcA!$A$3,'設定'!$B$6)+10)="","",INDEX('調整・決定'!$G$6:$G$29,MIN(calcA!$A$3,'設定'!$B$6)+10)),"")</f>
        <v/>
      </c>
      <c r="H53" s="120">
        <f>IFERROR(IF(INDEX('調整・決定'!$H$6:$H$29,MIN(calcA!$A$3,'設定'!$B$6)+10)="","",INDEX('調整・決定'!$H$6:$H$29,MIN(calcA!$A$3,'設定'!$B$6)+10)),"")</f>
        <v/>
      </c>
      <c r="M53">
        <f>IF(MIN(calcA!$A$3,'設定'!$B$6)+10&lt;='設定'!$B$6,"表示","隠す")</f>
        <v/>
      </c>
    </row>
    <row r="54" hidden="1" ht="20.9" customHeight="1">
      <c r="B54" s="119">
        <f>IFERROR(IF(INDEX('設定'!$I$11:$I$34,MIN(calcA!$A$3,'設定'!$B$6)+11)="","",SUBSTITUTE(SUBSTITUTE(SUBSTITUTE(SUBSTITUTE(SUBSTITUTE(SUBSTITUTE(SUBSTITUTE(SUBSTITUTE(SUBSTITUTE(SUBSTITUTE(SUBSTITUTE(SUBSTITUTE(INDEX('設定'!$I$11:$I$34,MIN(calcA!$A$3,'設定'!$B$6)+11),"〜",""),"0","０"),"1","１"),"2","２"),"3","３"),"4","４"),"5","５"),"6","６"),"7","７"),"8","８"),"9","９"),":","：")),"")</f>
        <v/>
      </c>
      <c r="C54" s="120">
        <f>IFERROR(IF(INDEX('調整・決定'!$C$6:$C$29,MIN(calcA!$A$3,'設定'!$B$6)+11)="","",INDEX('調整・決定'!$C$6:$C$29,MIN(calcA!$A$3,'設定'!$B$6)+11)),"")</f>
        <v/>
      </c>
      <c r="D54" s="120">
        <f>IFERROR(IF(INDEX('調整・決定'!$D$6:$D$29,MIN(calcA!$A$3,'設定'!$B$6)+11)="","",INDEX('調整・決定'!$D$6:$D$29,MIN(calcA!$A$3,'設定'!$B$6)+11)),"")</f>
        <v/>
      </c>
      <c r="E54" s="120">
        <f>IFERROR(IF(INDEX('調整・決定'!$E$6:$E$29,MIN(calcA!$A$3,'設定'!$B$6)+11)="","",INDEX('調整・決定'!$E$6:$E$29,MIN(calcA!$A$3,'設定'!$B$6)+11)),"")</f>
        <v/>
      </c>
      <c r="F54" s="120">
        <f>IFERROR(IF(INDEX('調整・決定'!$F$6:$F$29,MIN(calcA!$A$3,'設定'!$B$6)+11)="","",INDEX('調整・決定'!$F$6:$F$29,MIN(calcA!$A$3,'設定'!$B$6)+11)),"")</f>
        <v/>
      </c>
      <c r="G54" s="120">
        <f>IFERROR(IF(INDEX('調整・決定'!$G$6:$G$29,MIN(calcA!$A$3,'設定'!$B$6)+11)="","",INDEX('調整・決定'!$G$6:$G$29,MIN(calcA!$A$3,'設定'!$B$6)+11)),"")</f>
        <v/>
      </c>
      <c r="H54" s="120">
        <f>IFERROR(IF(INDEX('調整・決定'!$H$6:$H$29,MIN(calcA!$A$3,'設定'!$B$6)+11)="","",INDEX('調整・決定'!$H$6:$H$29,MIN(calcA!$A$3,'設定'!$B$6)+11)),"")</f>
        <v/>
      </c>
      <c r="M54">
        <f>IF(MIN(calcA!$A$3,'設定'!$B$6)+11&lt;='設定'!$B$6,"表示","隠す")</f>
        <v/>
      </c>
    </row>
    <row r="55" hidden="1" ht="20.9" customHeight="1">
      <c r="B55" s="119">
        <f>IFERROR(IF(INDEX('設定'!$I$11:$I$34,MIN(calcA!$A$3,'設定'!$B$6)+12)="","",SUBSTITUTE(SUBSTITUTE(SUBSTITUTE(SUBSTITUTE(SUBSTITUTE(SUBSTITUTE(SUBSTITUTE(SUBSTITUTE(SUBSTITUTE(SUBSTITUTE(SUBSTITUTE(SUBSTITUTE(INDEX('設定'!$I$11:$I$34,MIN(calcA!$A$3,'設定'!$B$6)+12),"〜",""),"0","０"),"1","１"),"2","２"),"3","３"),"4","４"),"5","５"),"6","６"),"7","７"),"8","８"),"9","９"),":","：")),"")</f>
        <v/>
      </c>
      <c r="C55" s="120">
        <f>IFERROR(IF(INDEX('調整・決定'!$C$6:$C$29,MIN(calcA!$A$3,'設定'!$B$6)+12)="","",INDEX('調整・決定'!$C$6:$C$29,MIN(calcA!$A$3,'設定'!$B$6)+12)),"")</f>
        <v/>
      </c>
      <c r="D55" s="120">
        <f>IFERROR(IF(INDEX('調整・決定'!$D$6:$D$29,MIN(calcA!$A$3,'設定'!$B$6)+12)="","",INDEX('調整・決定'!$D$6:$D$29,MIN(calcA!$A$3,'設定'!$B$6)+12)),"")</f>
        <v/>
      </c>
      <c r="E55" s="120">
        <f>IFERROR(IF(INDEX('調整・決定'!$E$6:$E$29,MIN(calcA!$A$3,'設定'!$B$6)+12)="","",INDEX('調整・決定'!$E$6:$E$29,MIN(calcA!$A$3,'設定'!$B$6)+12)),"")</f>
        <v/>
      </c>
      <c r="F55" s="120">
        <f>IFERROR(IF(INDEX('調整・決定'!$F$6:$F$29,MIN(calcA!$A$3,'設定'!$B$6)+12)="","",INDEX('調整・決定'!$F$6:$F$29,MIN(calcA!$A$3,'設定'!$B$6)+12)),"")</f>
        <v/>
      </c>
      <c r="G55" s="120">
        <f>IFERROR(IF(INDEX('調整・決定'!$G$6:$G$29,MIN(calcA!$A$3,'設定'!$B$6)+12)="","",INDEX('調整・決定'!$G$6:$G$29,MIN(calcA!$A$3,'設定'!$B$6)+12)),"")</f>
        <v/>
      </c>
      <c r="H55" s="120">
        <f>IFERROR(IF(INDEX('調整・決定'!$H$6:$H$29,MIN(calcA!$A$3,'設定'!$B$6)+12)="","",INDEX('調整・決定'!$H$6:$H$29,MIN(calcA!$A$3,'設定'!$B$6)+12)),"")</f>
        <v/>
      </c>
      <c r="M55">
        <f>IF(MIN(calcA!$A$3,'設定'!$B$6)+12&lt;='設定'!$B$6,"表示","隠す")</f>
        <v/>
      </c>
    </row>
    <row r="56" hidden="1" ht="20.9" customHeight="1">
      <c r="B56" s="119">
        <f>IFERROR(IF(INDEX('設定'!$I$11:$I$34,MIN(calcA!$A$3,'設定'!$B$6)+13)="","",SUBSTITUTE(SUBSTITUTE(SUBSTITUTE(SUBSTITUTE(SUBSTITUTE(SUBSTITUTE(SUBSTITUTE(SUBSTITUTE(SUBSTITUTE(SUBSTITUTE(SUBSTITUTE(SUBSTITUTE(INDEX('設定'!$I$11:$I$34,MIN(calcA!$A$3,'設定'!$B$6)+13),"〜",""),"0","０"),"1","１"),"2","２"),"3","３"),"4","４"),"5","５"),"6","６"),"7","７"),"8","８"),"9","９"),":","：")),"")</f>
        <v/>
      </c>
      <c r="C56" s="120">
        <f>IFERROR(IF(INDEX('調整・決定'!$C$6:$C$29,MIN(calcA!$A$3,'設定'!$B$6)+13)="","",INDEX('調整・決定'!$C$6:$C$29,MIN(calcA!$A$3,'設定'!$B$6)+13)),"")</f>
        <v/>
      </c>
      <c r="D56" s="120">
        <f>IFERROR(IF(INDEX('調整・決定'!$D$6:$D$29,MIN(calcA!$A$3,'設定'!$B$6)+13)="","",INDEX('調整・決定'!$D$6:$D$29,MIN(calcA!$A$3,'設定'!$B$6)+13)),"")</f>
        <v/>
      </c>
      <c r="E56" s="120">
        <f>IFERROR(IF(INDEX('調整・決定'!$E$6:$E$29,MIN(calcA!$A$3,'設定'!$B$6)+13)="","",INDEX('調整・決定'!$E$6:$E$29,MIN(calcA!$A$3,'設定'!$B$6)+13)),"")</f>
        <v/>
      </c>
      <c r="F56" s="120">
        <f>IFERROR(IF(INDEX('調整・決定'!$F$6:$F$29,MIN(calcA!$A$3,'設定'!$B$6)+13)="","",INDEX('調整・決定'!$F$6:$F$29,MIN(calcA!$A$3,'設定'!$B$6)+13)),"")</f>
        <v/>
      </c>
      <c r="G56" s="120">
        <f>IFERROR(IF(INDEX('調整・決定'!$G$6:$G$29,MIN(calcA!$A$3,'設定'!$B$6)+13)="","",INDEX('調整・決定'!$G$6:$G$29,MIN(calcA!$A$3,'設定'!$B$6)+13)),"")</f>
        <v/>
      </c>
      <c r="H56" s="120">
        <f>IFERROR(IF(INDEX('調整・決定'!$H$6:$H$29,MIN(calcA!$A$3,'設定'!$B$6)+13)="","",INDEX('調整・決定'!$H$6:$H$29,MIN(calcA!$A$3,'設定'!$B$6)+13)),"")</f>
        <v/>
      </c>
      <c r="M56">
        <f>IF(MIN(calcA!$A$3,'設定'!$B$6)+13&lt;='設定'!$B$6,"表示","隠す")</f>
        <v/>
      </c>
    </row>
    <row r="57" hidden="1" ht="20.9" customHeight="1">
      <c r="B57" s="119">
        <f>IFERROR(IF(INDEX('設定'!$I$11:$I$34,MIN(calcA!$A$3,'設定'!$B$6)+14)="","",SUBSTITUTE(SUBSTITUTE(SUBSTITUTE(SUBSTITUTE(SUBSTITUTE(SUBSTITUTE(SUBSTITUTE(SUBSTITUTE(SUBSTITUTE(SUBSTITUTE(SUBSTITUTE(SUBSTITUTE(INDEX('設定'!$I$11:$I$34,MIN(calcA!$A$3,'設定'!$B$6)+14),"〜",""),"0","０"),"1","１"),"2","２"),"3","３"),"4","４"),"5","５"),"6","６"),"7","７"),"8","８"),"9","９"),":","：")),"")</f>
        <v/>
      </c>
      <c r="C57" s="120">
        <f>IFERROR(IF(INDEX('調整・決定'!$C$6:$C$29,MIN(calcA!$A$3,'設定'!$B$6)+14)="","",INDEX('調整・決定'!$C$6:$C$29,MIN(calcA!$A$3,'設定'!$B$6)+14)),"")</f>
        <v/>
      </c>
      <c r="D57" s="120">
        <f>IFERROR(IF(INDEX('調整・決定'!$D$6:$D$29,MIN(calcA!$A$3,'設定'!$B$6)+14)="","",INDEX('調整・決定'!$D$6:$D$29,MIN(calcA!$A$3,'設定'!$B$6)+14)),"")</f>
        <v/>
      </c>
      <c r="E57" s="120">
        <f>IFERROR(IF(INDEX('調整・決定'!$E$6:$E$29,MIN(calcA!$A$3,'設定'!$B$6)+14)="","",INDEX('調整・決定'!$E$6:$E$29,MIN(calcA!$A$3,'設定'!$B$6)+14)),"")</f>
        <v/>
      </c>
      <c r="F57" s="120">
        <f>IFERROR(IF(INDEX('調整・決定'!$F$6:$F$29,MIN(calcA!$A$3,'設定'!$B$6)+14)="","",INDEX('調整・決定'!$F$6:$F$29,MIN(calcA!$A$3,'設定'!$B$6)+14)),"")</f>
        <v/>
      </c>
      <c r="G57" s="120">
        <f>IFERROR(IF(INDEX('調整・決定'!$G$6:$G$29,MIN(calcA!$A$3,'設定'!$B$6)+14)="","",INDEX('調整・決定'!$G$6:$G$29,MIN(calcA!$A$3,'設定'!$B$6)+14)),"")</f>
        <v/>
      </c>
      <c r="H57" s="120">
        <f>IFERROR(IF(INDEX('調整・決定'!$H$6:$H$29,MIN(calcA!$A$3,'設定'!$B$6)+14)="","",INDEX('調整・決定'!$H$6:$H$29,MIN(calcA!$A$3,'設定'!$B$6)+14)),"")</f>
        <v/>
      </c>
      <c r="M57">
        <f>IF(MIN(calcA!$A$3,'設定'!$B$6)+14&lt;='設定'!$B$6,"表示","隠す")</f>
        <v/>
      </c>
    </row>
    <row r="58" hidden="1" ht="20.9" customHeight="1">
      <c r="B58" s="119">
        <f>IFERROR(IF(INDEX('設定'!$I$11:$I$34,MIN(calcA!$A$3,'設定'!$B$6)+15)="","",SUBSTITUTE(SUBSTITUTE(SUBSTITUTE(SUBSTITUTE(SUBSTITUTE(SUBSTITUTE(SUBSTITUTE(SUBSTITUTE(SUBSTITUTE(SUBSTITUTE(SUBSTITUTE(SUBSTITUTE(INDEX('設定'!$I$11:$I$34,MIN(calcA!$A$3,'設定'!$B$6)+15),"〜",""),"0","０"),"1","１"),"2","２"),"3","３"),"4","４"),"5","５"),"6","６"),"7","７"),"8","８"),"9","９"),":","：")),"")</f>
        <v/>
      </c>
      <c r="C58" s="120">
        <f>IFERROR(IF(INDEX('調整・決定'!$C$6:$C$29,MIN(calcA!$A$3,'設定'!$B$6)+15)="","",INDEX('調整・決定'!$C$6:$C$29,MIN(calcA!$A$3,'設定'!$B$6)+15)),"")</f>
        <v/>
      </c>
      <c r="D58" s="120">
        <f>IFERROR(IF(INDEX('調整・決定'!$D$6:$D$29,MIN(calcA!$A$3,'設定'!$B$6)+15)="","",INDEX('調整・決定'!$D$6:$D$29,MIN(calcA!$A$3,'設定'!$B$6)+15)),"")</f>
        <v/>
      </c>
      <c r="E58" s="120">
        <f>IFERROR(IF(INDEX('調整・決定'!$E$6:$E$29,MIN(calcA!$A$3,'設定'!$B$6)+15)="","",INDEX('調整・決定'!$E$6:$E$29,MIN(calcA!$A$3,'設定'!$B$6)+15)),"")</f>
        <v/>
      </c>
      <c r="F58" s="120">
        <f>IFERROR(IF(INDEX('調整・決定'!$F$6:$F$29,MIN(calcA!$A$3,'設定'!$B$6)+15)="","",INDEX('調整・決定'!$F$6:$F$29,MIN(calcA!$A$3,'設定'!$B$6)+15)),"")</f>
        <v/>
      </c>
      <c r="G58" s="120">
        <f>IFERROR(IF(INDEX('調整・決定'!$G$6:$G$29,MIN(calcA!$A$3,'設定'!$B$6)+15)="","",INDEX('調整・決定'!$G$6:$G$29,MIN(calcA!$A$3,'設定'!$B$6)+15)),"")</f>
        <v/>
      </c>
      <c r="H58" s="120">
        <f>IFERROR(IF(INDEX('調整・決定'!$H$6:$H$29,MIN(calcA!$A$3,'設定'!$B$6)+15)="","",INDEX('調整・決定'!$H$6:$H$29,MIN(calcA!$A$3,'設定'!$B$6)+15)),"")</f>
        <v/>
      </c>
      <c r="M58">
        <f>IF(MIN(calcA!$A$3,'設定'!$B$6)+15&lt;='設定'!$B$6,"表示","隠す")</f>
        <v/>
      </c>
    </row>
    <row r="59" hidden="1" ht="20.9" customHeight="1">
      <c r="B59" s="119">
        <f>IFERROR(IF(INDEX('設定'!$I$11:$I$34,MIN(calcA!$A$3,'設定'!$B$6)+16)="","",SUBSTITUTE(SUBSTITUTE(SUBSTITUTE(SUBSTITUTE(SUBSTITUTE(SUBSTITUTE(SUBSTITUTE(SUBSTITUTE(SUBSTITUTE(SUBSTITUTE(SUBSTITUTE(SUBSTITUTE(INDEX('設定'!$I$11:$I$34,MIN(calcA!$A$3,'設定'!$B$6)+16),"〜",""),"0","０"),"1","１"),"2","２"),"3","３"),"4","４"),"5","５"),"6","６"),"7","７"),"8","８"),"9","９"),":","：")),"")</f>
        <v/>
      </c>
      <c r="C59" s="120">
        <f>IFERROR(IF(INDEX('調整・決定'!$C$6:$C$29,MIN(calcA!$A$3,'設定'!$B$6)+16)="","",INDEX('調整・決定'!$C$6:$C$29,MIN(calcA!$A$3,'設定'!$B$6)+16)),"")</f>
        <v/>
      </c>
      <c r="D59" s="120">
        <f>IFERROR(IF(INDEX('調整・決定'!$D$6:$D$29,MIN(calcA!$A$3,'設定'!$B$6)+16)="","",INDEX('調整・決定'!$D$6:$D$29,MIN(calcA!$A$3,'設定'!$B$6)+16)),"")</f>
        <v/>
      </c>
      <c r="E59" s="120">
        <f>IFERROR(IF(INDEX('調整・決定'!$E$6:$E$29,MIN(calcA!$A$3,'設定'!$B$6)+16)="","",INDEX('調整・決定'!$E$6:$E$29,MIN(calcA!$A$3,'設定'!$B$6)+16)),"")</f>
        <v/>
      </c>
      <c r="F59" s="120">
        <f>IFERROR(IF(INDEX('調整・決定'!$F$6:$F$29,MIN(calcA!$A$3,'設定'!$B$6)+16)="","",INDEX('調整・決定'!$F$6:$F$29,MIN(calcA!$A$3,'設定'!$B$6)+16)),"")</f>
        <v/>
      </c>
      <c r="G59" s="120">
        <f>IFERROR(IF(INDEX('調整・決定'!$G$6:$G$29,MIN(calcA!$A$3,'設定'!$B$6)+16)="","",INDEX('調整・決定'!$G$6:$G$29,MIN(calcA!$A$3,'設定'!$B$6)+16)),"")</f>
        <v/>
      </c>
      <c r="H59" s="120">
        <f>IFERROR(IF(INDEX('調整・決定'!$H$6:$H$29,MIN(calcA!$A$3,'設定'!$B$6)+16)="","",INDEX('調整・決定'!$H$6:$H$29,MIN(calcA!$A$3,'設定'!$B$6)+16)),"")</f>
        <v/>
      </c>
      <c r="M59">
        <f>IF(MIN(calcA!$A$3,'設定'!$B$6)+16&lt;='設定'!$B$6,"表示","隠す")</f>
        <v/>
      </c>
    </row>
    <row r="60" hidden="1" ht="20.9" customHeight="1">
      <c r="B60" s="119">
        <f>IFERROR(IF(INDEX('設定'!$I$11:$I$34,MIN(calcA!$A$3,'設定'!$B$6)+17)="","",SUBSTITUTE(SUBSTITUTE(SUBSTITUTE(SUBSTITUTE(SUBSTITUTE(SUBSTITUTE(SUBSTITUTE(SUBSTITUTE(SUBSTITUTE(SUBSTITUTE(SUBSTITUTE(SUBSTITUTE(INDEX('設定'!$I$11:$I$34,MIN(calcA!$A$3,'設定'!$B$6)+17),"〜",""),"0","０"),"1","１"),"2","２"),"3","３"),"4","４"),"5","５"),"6","６"),"7","７"),"8","８"),"9","９"),":","：")),"")</f>
        <v/>
      </c>
      <c r="C60" s="120">
        <f>IFERROR(IF(INDEX('調整・決定'!$C$6:$C$29,MIN(calcA!$A$3,'設定'!$B$6)+17)="","",INDEX('調整・決定'!$C$6:$C$29,MIN(calcA!$A$3,'設定'!$B$6)+17)),"")</f>
        <v/>
      </c>
      <c r="D60" s="120">
        <f>IFERROR(IF(INDEX('調整・決定'!$D$6:$D$29,MIN(calcA!$A$3,'設定'!$B$6)+17)="","",INDEX('調整・決定'!$D$6:$D$29,MIN(calcA!$A$3,'設定'!$B$6)+17)),"")</f>
        <v/>
      </c>
      <c r="E60" s="120">
        <f>IFERROR(IF(INDEX('調整・決定'!$E$6:$E$29,MIN(calcA!$A$3,'設定'!$B$6)+17)="","",INDEX('調整・決定'!$E$6:$E$29,MIN(calcA!$A$3,'設定'!$B$6)+17)),"")</f>
        <v/>
      </c>
      <c r="F60" s="120">
        <f>IFERROR(IF(INDEX('調整・決定'!$F$6:$F$29,MIN(calcA!$A$3,'設定'!$B$6)+17)="","",INDEX('調整・決定'!$F$6:$F$29,MIN(calcA!$A$3,'設定'!$B$6)+17)),"")</f>
        <v/>
      </c>
      <c r="G60" s="120">
        <f>IFERROR(IF(INDEX('調整・決定'!$G$6:$G$29,MIN(calcA!$A$3,'設定'!$B$6)+17)="","",INDEX('調整・決定'!$G$6:$G$29,MIN(calcA!$A$3,'設定'!$B$6)+17)),"")</f>
        <v/>
      </c>
      <c r="H60" s="120">
        <f>IFERROR(IF(INDEX('調整・決定'!$H$6:$H$29,MIN(calcA!$A$3,'設定'!$B$6)+17)="","",INDEX('調整・決定'!$H$6:$H$29,MIN(calcA!$A$3,'設定'!$B$6)+17)),"")</f>
        <v/>
      </c>
      <c r="M60">
        <f>IF(MIN(calcA!$A$3,'設定'!$B$6)+17&lt;='設定'!$B$6,"表示","隠す")</f>
        <v/>
      </c>
    </row>
    <row r="61" hidden="1" ht="20.9" customHeight="1">
      <c r="B61" s="119">
        <f>IFERROR(IF(INDEX('設定'!$I$11:$I$34,MIN(calcA!$A$3,'設定'!$B$6)+18)="","",SUBSTITUTE(SUBSTITUTE(SUBSTITUTE(SUBSTITUTE(SUBSTITUTE(SUBSTITUTE(SUBSTITUTE(SUBSTITUTE(SUBSTITUTE(SUBSTITUTE(SUBSTITUTE(SUBSTITUTE(INDEX('設定'!$I$11:$I$34,MIN(calcA!$A$3,'設定'!$B$6)+18),"〜",""),"0","０"),"1","１"),"2","２"),"3","３"),"4","４"),"5","５"),"6","６"),"7","７"),"8","８"),"9","９"),":","：")),"")</f>
        <v/>
      </c>
      <c r="C61" s="120">
        <f>IFERROR(IF(INDEX('調整・決定'!$C$6:$C$29,MIN(calcA!$A$3,'設定'!$B$6)+18)="","",INDEX('調整・決定'!$C$6:$C$29,MIN(calcA!$A$3,'設定'!$B$6)+18)),"")</f>
        <v/>
      </c>
      <c r="D61" s="120">
        <f>IFERROR(IF(INDEX('調整・決定'!$D$6:$D$29,MIN(calcA!$A$3,'設定'!$B$6)+18)="","",INDEX('調整・決定'!$D$6:$D$29,MIN(calcA!$A$3,'設定'!$B$6)+18)),"")</f>
        <v/>
      </c>
      <c r="E61" s="120">
        <f>IFERROR(IF(INDEX('調整・決定'!$E$6:$E$29,MIN(calcA!$A$3,'設定'!$B$6)+18)="","",INDEX('調整・決定'!$E$6:$E$29,MIN(calcA!$A$3,'設定'!$B$6)+18)),"")</f>
        <v/>
      </c>
      <c r="F61" s="120">
        <f>IFERROR(IF(INDEX('調整・決定'!$F$6:$F$29,MIN(calcA!$A$3,'設定'!$B$6)+18)="","",INDEX('調整・決定'!$F$6:$F$29,MIN(calcA!$A$3,'設定'!$B$6)+18)),"")</f>
        <v/>
      </c>
      <c r="G61" s="120">
        <f>IFERROR(IF(INDEX('調整・決定'!$G$6:$G$29,MIN(calcA!$A$3,'設定'!$B$6)+18)="","",INDEX('調整・決定'!$G$6:$G$29,MIN(calcA!$A$3,'設定'!$B$6)+18)),"")</f>
        <v/>
      </c>
      <c r="H61" s="120">
        <f>IFERROR(IF(INDEX('調整・決定'!$H$6:$H$29,MIN(calcA!$A$3,'設定'!$B$6)+18)="","",INDEX('調整・決定'!$H$6:$H$29,MIN(calcA!$A$3,'設定'!$B$6)+18)),"")</f>
        <v/>
      </c>
      <c r="M61">
        <f>IF(MIN(calcA!$A$3,'設定'!$B$6)+18&lt;='設定'!$B$6,"表示","隠す")</f>
        <v/>
      </c>
    </row>
    <row r="62" hidden="1" ht="20.9" customHeight="1">
      <c r="B62" s="119">
        <f>IFERROR(IF(INDEX('設定'!$I$11:$I$34,MIN(calcA!$A$3,'設定'!$B$6)+19)="","",SUBSTITUTE(SUBSTITUTE(SUBSTITUTE(SUBSTITUTE(SUBSTITUTE(SUBSTITUTE(SUBSTITUTE(SUBSTITUTE(SUBSTITUTE(SUBSTITUTE(SUBSTITUTE(SUBSTITUTE(INDEX('設定'!$I$11:$I$34,MIN(calcA!$A$3,'設定'!$B$6)+19),"〜",""),"0","０"),"1","１"),"2","２"),"3","３"),"4","４"),"5","５"),"6","６"),"7","７"),"8","８"),"9","９"),":","：")),"")</f>
        <v/>
      </c>
      <c r="C62" s="120">
        <f>IFERROR(IF(INDEX('調整・決定'!$C$6:$C$29,MIN(calcA!$A$3,'設定'!$B$6)+19)="","",INDEX('調整・決定'!$C$6:$C$29,MIN(calcA!$A$3,'設定'!$B$6)+19)),"")</f>
        <v/>
      </c>
      <c r="D62" s="120">
        <f>IFERROR(IF(INDEX('調整・決定'!$D$6:$D$29,MIN(calcA!$A$3,'設定'!$B$6)+19)="","",INDEX('調整・決定'!$D$6:$D$29,MIN(calcA!$A$3,'設定'!$B$6)+19)),"")</f>
        <v/>
      </c>
      <c r="E62" s="120">
        <f>IFERROR(IF(INDEX('調整・決定'!$E$6:$E$29,MIN(calcA!$A$3,'設定'!$B$6)+19)="","",INDEX('調整・決定'!$E$6:$E$29,MIN(calcA!$A$3,'設定'!$B$6)+19)),"")</f>
        <v/>
      </c>
      <c r="F62" s="120">
        <f>IFERROR(IF(INDEX('調整・決定'!$F$6:$F$29,MIN(calcA!$A$3,'設定'!$B$6)+19)="","",INDEX('調整・決定'!$F$6:$F$29,MIN(calcA!$A$3,'設定'!$B$6)+19)),"")</f>
        <v/>
      </c>
      <c r="G62" s="120">
        <f>IFERROR(IF(INDEX('調整・決定'!$G$6:$G$29,MIN(calcA!$A$3,'設定'!$B$6)+19)="","",INDEX('調整・決定'!$G$6:$G$29,MIN(calcA!$A$3,'設定'!$B$6)+19)),"")</f>
        <v/>
      </c>
      <c r="H62" s="120">
        <f>IFERROR(IF(INDEX('調整・決定'!$H$6:$H$29,MIN(calcA!$A$3,'設定'!$B$6)+19)="","",INDEX('調整・決定'!$H$6:$H$29,MIN(calcA!$A$3,'設定'!$B$6)+19)),"")</f>
        <v/>
      </c>
      <c r="M62">
        <f>IF(MIN(calcA!$A$3,'設定'!$B$6)+19&lt;='設定'!$B$6,"表示","隠す")</f>
        <v/>
      </c>
    </row>
    <row r="63" hidden="1" ht="20.9" customHeight="1">
      <c r="B63" s="119">
        <f>IFERROR(IF(INDEX('設定'!$I$11:$I$34,MIN(calcA!$A$3,'設定'!$B$6)+20)="","",SUBSTITUTE(SUBSTITUTE(SUBSTITUTE(SUBSTITUTE(SUBSTITUTE(SUBSTITUTE(SUBSTITUTE(SUBSTITUTE(SUBSTITUTE(SUBSTITUTE(SUBSTITUTE(SUBSTITUTE(INDEX('設定'!$I$11:$I$34,MIN(calcA!$A$3,'設定'!$B$6)+20),"〜",""),"0","０"),"1","１"),"2","２"),"3","３"),"4","４"),"5","５"),"6","６"),"7","７"),"8","８"),"9","９"),":","：")),"")</f>
        <v/>
      </c>
      <c r="C63" s="120">
        <f>IFERROR(IF(INDEX('調整・決定'!$C$6:$C$29,MIN(calcA!$A$3,'設定'!$B$6)+20)="","",INDEX('調整・決定'!$C$6:$C$29,MIN(calcA!$A$3,'設定'!$B$6)+20)),"")</f>
        <v/>
      </c>
      <c r="D63" s="120">
        <f>IFERROR(IF(INDEX('調整・決定'!$D$6:$D$29,MIN(calcA!$A$3,'設定'!$B$6)+20)="","",INDEX('調整・決定'!$D$6:$D$29,MIN(calcA!$A$3,'設定'!$B$6)+20)),"")</f>
        <v/>
      </c>
      <c r="E63" s="120">
        <f>IFERROR(IF(INDEX('調整・決定'!$E$6:$E$29,MIN(calcA!$A$3,'設定'!$B$6)+20)="","",INDEX('調整・決定'!$E$6:$E$29,MIN(calcA!$A$3,'設定'!$B$6)+20)),"")</f>
        <v/>
      </c>
      <c r="F63" s="120">
        <f>IFERROR(IF(INDEX('調整・決定'!$F$6:$F$29,MIN(calcA!$A$3,'設定'!$B$6)+20)="","",INDEX('調整・決定'!$F$6:$F$29,MIN(calcA!$A$3,'設定'!$B$6)+20)),"")</f>
        <v/>
      </c>
      <c r="G63" s="120">
        <f>IFERROR(IF(INDEX('調整・決定'!$G$6:$G$29,MIN(calcA!$A$3,'設定'!$B$6)+20)="","",INDEX('調整・決定'!$G$6:$G$29,MIN(calcA!$A$3,'設定'!$B$6)+20)),"")</f>
        <v/>
      </c>
      <c r="H63" s="120">
        <f>IFERROR(IF(INDEX('調整・決定'!$H$6:$H$29,MIN(calcA!$A$3,'設定'!$B$6)+20)="","",INDEX('調整・決定'!$H$6:$H$29,MIN(calcA!$A$3,'設定'!$B$6)+20)),"")</f>
        <v/>
      </c>
      <c r="M63">
        <f>IF(MIN(calcA!$A$3,'設定'!$B$6)+20&lt;='設定'!$B$6,"表示","隠す")</f>
        <v/>
      </c>
    </row>
    <row r="64" hidden="1" ht="20.9" customHeight="1">
      <c r="B64" s="119">
        <f>IFERROR(IF(INDEX('設定'!$I$11:$I$34,MIN(calcA!$A$3,'設定'!$B$6)+21)="","",SUBSTITUTE(SUBSTITUTE(SUBSTITUTE(SUBSTITUTE(SUBSTITUTE(SUBSTITUTE(SUBSTITUTE(SUBSTITUTE(SUBSTITUTE(SUBSTITUTE(SUBSTITUTE(SUBSTITUTE(INDEX('設定'!$I$11:$I$34,MIN(calcA!$A$3,'設定'!$B$6)+21),"〜",""),"0","０"),"1","１"),"2","２"),"3","３"),"4","４"),"5","５"),"6","６"),"7","７"),"8","８"),"9","９"),":","：")),"")</f>
        <v/>
      </c>
      <c r="C64" s="120">
        <f>IFERROR(IF(INDEX('調整・決定'!$C$6:$C$29,MIN(calcA!$A$3,'設定'!$B$6)+21)="","",INDEX('調整・決定'!$C$6:$C$29,MIN(calcA!$A$3,'設定'!$B$6)+21)),"")</f>
        <v/>
      </c>
      <c r="D64" s="120">
        <f>IFERROR(IF(INDEX('調整・決定'!$D$6:$D$29,MIN(calcA!$A$3,'設定'!$B$6)+21)="","",INDEX('調整・決定'!$D$6:$D$29,MIN(calcA!$A$3,'設定'!$B$6)+21)),"")</f>
        <v/>
      </c>
      <c r="E64" s="120">
        <f>IFERROR(IF(INDEX('調整・決定'!$E$6:$E$29,MIN(calcA!$A$3,'設定'!$B$6)+21)="","",INDEX('調整・決定'!$E$6:$E$29,MIN(calcA!$A$3,'設定'!$B$6)+21)),"")</f>
        <v/>
      </c>
      <c r="F64" s="120">
        <f>IFERROR(IF(INDEX('調整・決定'!$F$6:$F$29,MIN(calcA!$A$3,'設定'!$B$6)+21)="","",INDEX('調整・決定'!$F$6:$F$29,MIN(calcA!$A$3,'設定'!$B$6)+21)),"")</f>
        <v/>
      </c>
      <c r="G64" s="120">
        <f>IFERROR(IF(INDEX('調整・決定'!$G$6:$G$29,MIN(calcA!$A$3,'設定'!$B$6)+21)="","",INDEX('調整・決定'!$G$6:$G$29,MIN(calcA!$A$3,'設定'!$B$6)+21)),"")</f>
        <v/>
      </c>
      <c r="H64" s="120">
        <f>IFERROR(IF(INDEX('調整・決定'!$H$6:$H$29,MIN(calcA!$A$3,'設定'!$B$6)+21)="","",INDEX('調整・決定'!$H$6:$H$29,MIN(calcA!$A$3,'設定'!$B$6)+21)),"")</f>
        <v/>
      </c>
      <c r="M64">
        <f>IF(MIN(calcA!$A$3,'設定'!$B$6)+21&lt;='設定'!$B$6,"表示","隠す")</f>
        <v/>
      </c>
    </row>
    <row r="65" hidden="1" ht="20.9" customHeight="1">
      <c r="B65" s="119">
        <f>IFERROR(IF(INDEX('設定'!$I$11:$I$34,MIN(calcA!$A$3,'設定'!$B$6)+22)="","",SUBSTITUTE(SUBSTITUTE(SUBSTITUTE(SUBSTITUTE(SUBSTITUTE(SUBSTITUTE(SUBSTITUTE(SUBSTITUTE(SUBSTITUTE(SUBSTITUTE(SUBSTITUTE(SUBSTITUTE(INDEX('設定'!$I$11:$I$34,MIN(calcA!$A$3,'設定'!$B$6)+22),"〜",""),"0","０"),"1","１"),"2","２"),"3","３"),"4","４"),"5","５"),"6","６"),"7","７"),"8","８"),"9","９"),":","：")),"")</f>
        <v/>
      </c>
      <c r="C65" s="120">
        <f>IFERROR(IF(INDEX('調整・決定'!$C$6:$C$29,MIN(calcA!$A$3,'設定'!$B$6)+22)="","",INDEX('調整・決定'!$C$6:$C$29,MIN(calcA!$A$3,'設定'!$B$6)+22)),"")</f>
        <v/>
      </c>
      <c r="D65" s="120">
        <f>IFERROR(IF(INDEX('調整・決定'!$D$6:$D$29,MIN(calcA!$A$3,'設定'!$B$6)+22)="","",INDEX('調整・決定'!$D$6:$D$29,MIN(calcA!$A$3,'設定'!$B$6)+22)),"")</f>
        <v/>
      </c>
      <c r="E65" s="120">
        <f>IFERROR(IF(INDEX('調整・決定'!$E$6:$E$29,MIN(calcA!$A$3,'設定'!$B$6)+22)="","",INDEX('調整・決定'!$E$6:$E$29,MIN(calcA!$A$3,'設定'!$B$6)+22)),"")</f>
        <v/>
      </c>
      <c r="F65" s="120">
        <f>IFERROR(IF(INDEX('調整・決定'!$F$6:$F$29,MIN(calcA!$A$3,'設定'!$B$6)+22)="","",INDEX('調整・決定'!$F$6:$F$29,MIN(calcA!$A$3,'設定'!$B$6)+22)),"")</f>
        <v/>
      </c>
      <c r="G65" s="120">
        <f>IFERROR(IF(INDEX('調整・決定'!$G$6:$G$29,MIN(calcA!$A$3,'設定'!$B$6)+22)="","",INDEX('調整・決定'!$G$6:$G$29,MIN(calcA!$A$3,'設定'!$B$6)+22)),"")</f>
        <v/>
      </c>
      <c r="H65" s="120">
        <f>IFERROR(IF(INDEX('調整・決定'!$H$6:$H$29,MIN(calcA!$A$3,'設定'!$B$6)+22)="","",INDEX('調整・決定'!$H$6:$H$29,MIN(calcA!$A$3,'設定'!$B$6)+22)),"")</f>
        <v/>
      </c>
      <c r="M65">
        <f>IF(MIN(calcA!$A$3,'設定'!$B$6)+22&lt;='設定'!$B$6,"表示","隠す")</f>
        <v/>
      </c>
    </row>
    <row r="66" hidden="1" ht="20.9" customHeight="1">
      <c r="B66" s="119">
        <f>IFERROR(IF(INDEX('設定'!$I$11:$I$34,MIN(calcA!$A$3,'設定'!$B$6)+23)="","",SUBSTITUTE(SUBSTITUTE(SUBSTITUTE(SUBSTITUTE(SUBSTITUTE(SUBSTITUTE(SUBSTITUTE(SUBSTITUTE(SUBSTITUTE(SUBSTITUTE(SUBSTITUTE(SUBSTITUTE(INDEX('設定'!$I$11:$I$34,MIN(calcA!$A$3,'設定'!$B$6)+23),"〜",""),"0","０"),"1","１"),"2","２"),"3","３"),"4","４"),"5","５"),"6","６"),"7","７"),"8","８"),"9","９"),":","：")),"")</f>
        <v/>
      </c>
      <c r="C66" s="120">
        <f>IFERROR(IF(INDEX('調整・決定'!$C$6:$C$29,MIN(calcA!$A$3,'設定'!$B$6)+23)="","",INDEX('調整・決定'!$C$6:$C$29,MIN(calcA!$A$3,'設定'!$B$6)+23)),"")</f>
        <v/>
      </c>
      <c r="D66" s="120">
        <f>IFERROR(IF(INDEX('調整・決定'!$D$6:$D$29,MIN(calcA!$A$3,'設定'!$B$6)+23)="","",INDEX('調整・決定'!$D$6:$D$29,MIN(calcA!$A$3,'設定'!$B$6)+23)),"")</f>
        <v/>
      </c>
      <c r="E66" s="120">
        <f>IFERROR(IF(INDEX('調整・決定'!$E$6:$E$29,MIN(calcA!$A$3,'設定'!$B$6)+23)="","",INDEX('調整・決定'!$E$6:$E$29,MIN(calcA!$A$3,'設定'!$B$6)+23)),"")</f>
        <v/>
      </c>
      <c r="F66" s="120">
        <f>IFERROR(IF(INDEX('調整・決定'!$F$6:$F$29,MIN(calcA!$A$3,'設定'!$B$6)+23)="","",INDEX('調整・決定'!$F$6:$F$29,MIN(calcA!$A$3,'設定'!$B$6)+23)),"")</f>
        <v/>
      </c>
      <c r="G66" s="120">
        <f>IFERROR(IF(INDEX('調整・決定'!$G$6:$G$29,MIN(calcA!$A$3,'設定'!$B$6)+23)="","",INDEX('調整・決定'!$G$6:$G$29,MIN(calcA!$A$3,'設定'!$B$6)+23)),"")</f>
        <v/>
      </c>
      <c r="H66" s="120">
        <f>IFERROR(IF(INDEX('調整・決定'!$H$6:$H$29,MIN(calcA!$A$3,'設定'!$B$6)+23)="","",INDEX('調整・決定'!$H$6:$H$29,MIN(calcA!$A$3,'設定'!$B$6)+23)),"")</f>
        <v/>
      </c>
      <c r="M66">
        <f>IF(MIN(calcA!$A$3,'設定'!$B$6)+23&lt;='設定'!$B$6,"表示","隠す")</f>
        <v/>
      </c>
    </row>
    <row r="67" hidden="1" ht="20.9" customHeight="1">
      <c r="B67" s="119">
        <f>IFERROR(IF(INDEX('設定'!$I$11:$I$34,MIN(calcA!$A$3,'設定'!$B$6)+24)="","",SUBSTITUTE(SUBSTITUTE(SUBSTITUTE(SUBSTITUTE(SUBSTITUTE(SUBSTITUTE(SUBSTITUTE(SUBSTITUTE(SUBSTITUTE(SUBSTITUTE(SUBSTITUTE(SUBSTITUTE(INDEX('設定'!$I$11:$I$34,MIN(calcA!$A$3,'設定'!$B$6)+24),"〜",""),"0","０"),"1","１"),"2","２"),"3","３"),"4","４"),"5","５"),"6","６"),"7","７"),"8","８"),"9","９"),":","：")),"")</f>
        <v/>
      </c>
      <c r="C67" s="120">
        <f>IFERROR(IF(INDEX('調整・決定'!$C$6:$C$29,MIN(calcA!$A$3,'設定'!$B$6)+24)="","",INDEX('調整・決定'!$C$6:$C$29,MIN(calcA!$A$3,'設定'!$B$6)+24)),"")</f>
        <v/>
      </c>
      <c r="D67" s="120">
        <f>IFERROR(IF(INDEX('調整・決定'!$D$6:$D$29,MIN(calcA!$A$3,'設定'!$B$6)+24)="","",INDEX('調整・決定'!$D$6:$D$29,MIN(calcA!$A$3,'設定'!$B$6)+24)),"")</f>
        <v/>
      </c>
      <c r="E67" s="120">
        <f>IFERROR(IF(INDEX('調整・決定'!$E$6:$E$29,MIN(calcA!$A$3,'設定'!$B$6)+24)="","",INDEX('調整・決定'!$E$6:$E$29,MIN(calcA!$A$3,'設定'!$B$6)+24)),"")</f>
        <v/>
      </c>
      <c r="F67" s="120">
        <f>IFERROR(IF(INDEX('調整・決定'!$F$6:$F$29,MIN(calcA!$A$3,'設定'!$B$6)+24)="","",INDEX('調整・決定'!$F$6:$F$29,MIN(calcA!$A$3,'設定'!$B$6)+24)),"")</f>
        <v/>
      </c>
      <c r="G67" s="120">
        <f>IFERROR(IF(INDEX('調整・決定'!$G$6:$G$29,MIN(calcA!$A$3,'設定'!$B$6)+24)="","",INDEX('調整・決定'!$G$6:$G$29,MIN(calcA!$A$3,'設定'!$B$6)+24)),"")</f>
        <v/>
      </c>
      <c r="H67" s="120">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9">
    <mergeCell ref="F5:G5"/>
    <mergeCell ref="J4:J5"/>
    <mergeCell ref="B8:G8"/>
    <mergeCell ref="J8:J11"/>
    <mergeCell ref="F6:G6"/>
    <mergeCell ref="J6:J7"/>
    <mergeCell ref="B12:G12"/>
    <mergeCell ref="B3:H3"/>
    <mergeCell ref="F7:G7"/>
  </mergeCells>
  <conditionalFormatting sqref="B43">
    <cfRule type="expression" priority="1" dxfId="29">
      <formula>TRUE</formula>
    </cfRule>
  </conditionalFormatting>
  <conditionalFormatting sqref="C43">
    <cfRule type="expression" priority="2" dxfId="29">
      <formula>C$18&lt;&gt;""</formula>
    </cfRule>
  </conditionalFormatting>
  <conditionalFormatting sqref="D43">
    <cfRule type="expression" priority="3" dxfId="29">
      <formula>D$18&lt;&gt;""</formula>
    </cfRule>
  </conditionalFormatting>
  <conditionalFormatting sqref="E43">
    <cfRule type="expression" priority="4" dxfId="29">
      <formula>E$18&lt;&gt;""</formula>
    </cfRule>
  </conditionalFormatting>
  <conditionalFormatting sqref="F43">
    <cfRule type="expression" priority="5" dxfId="29">
      <formula>F$18&lt;&gt;""</formula>
    </cfRule>
  </conditionalFormatting>
  <conditionalFormatting sqref="G43">
    <cfRule type="expression" priority="6" dxfId="29">
      <formula>G$18&lt;&gt;""</formula>
    </cfRule>
  </conditionalFormatting>
  <conditionalFormatting sqref="H43">
    <cfRule type="expression" priority="7" dxfId="29">
      <formula>H$18&lt;&gt;""</formula>
    </cfRule>
  </conditionalFormatting>
  <conditionalFormatting sqref="B18">
    <cfRule type="expression" priority="8" dxfId="30">
      <formula>TRUE</formula>
    </cfRule>
  </conditionalFormatting>
  <conditionalFormatting sqref="B19:B67">
    <cfRule type="expression" priority="9" dxfId="30">
      <formula>$B19&lt;&gt;""</formula>
    </cfRule>
  </conditionalFormatting>
  <conditionalFormatting sqref="C18:C67">
    <cfRule type="expression" priority="10" dxfId="30">
      <formula>AND(C$18&lt;&gt;"",OR(ROW()=18,$B18&lt;&gt;""))</formula>
    </cfRule>
  </conditionalFormatting>
  <conditionalFormatting sqref="D18:D67">
    <cfRule type="expression" priority="11" dxfId="30">
      <formula>AND(D$18&lt;&gt;"",OR(ROW()=18,$B18&lt;&gt;""))</formula>
    </cfRule>
  </conditionalFormatting>
  <conditionalFormatting sqref="E18:E67">
    <cfRule type="expression" priority="12" dxfId="30">
      <formula>AND(E$18&lt;&gt;"",OR(ROW()=18,$B18&lt;&gt;""))</formula>
    </cfRule>
  </conditionalFormatting>
  <conditionalFormatting sqref="F18:F67">
    <cfRule type="expression" priority="13" dxfId="30">
      <formula>AND(F$18&lt;&gt;"",OR(ROW()=18,$B18&lt;&gt;""))</formula>
    </cfRule>
  </conditionalFormatting>
  <conditionalFormatting sqref="G18:G67">
    <cfRule type="expression" priority="14" dxfId="30">
      <formula>AND(G$18&lt;&gt;"",OR(ROW()=18,$B18&lt;&gt;""))</formula>
    </cfRule>
  </conditionalFormatting>
  <conditionalFormatting sqref="H18:H67">
    <cfRule type="expression" priority="15" dxfId="30">
      <formula>AND(H$18&lt;&gt;"",OR(ROW()=18,$B18&lt;&gt;""))</formula>
    </cfRule>
  </conditionalFormatting>
  <conditionalFormatting sqref="B3:H3">
    <cfRule type="expression" priority="16" dxfId="12">
      <formula>$B$3&lt;&gt;""</formula>
    </cfRule>
  </conditionalFormatting>
  <hyperlinks>
    <hyperlink ref="J4" location="'お手紙（夏）'!J4" display="▶ 印刷プレビュー"/>
    <hyperlink ref="J6" location="'お手紙（夏）'!J6" display="▶ PDFで保存"/>
  </hyperlinks>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R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お手紙（秋）</t>
        </is>
      </c>
      <c r="C1" s="2" t="n"/>
      <c r="D1" s="2" t="n"/>
      <c r="E1" s="22">
        <f>HYPERLINK("#'ホーム'!A1","ホーム")</f>
        <v/>
      </c>
      <c r="F1" s="22">
        <f>HYPERLINK("#'設定'!A1","① 設定")</f>
        <v/>
      </c>
      <c r="G1" s="22">
        <f>HYPERLINK("#'名簿'!A1","② 名簿")</f>
        <v/>
      </c>
      <c r="H1" s="22">
        <f>HYPERLINK("#'×入力'!A1","③ ×入力")</f>
        <v/>
      </c>
      <c r="I1" s="2" t="n"/>
      <c r="J1" s="2" t="n"/>
      <c r="K1" s="2" t="n"/>
      <c r="L1" s="2" t="n"/>
      <c r="M1" s="22">
        <f>HYPERLINK("#'自動案A'!A1","④ 自動案A")</f>
        <v/>
      </c>
      <c r="N1" s="22">
        <f>HYPERLINK("#'自動案B'!A1","④ 自動案B")</f>
        <v/>
      </c>
      <c r="O1" s="22">
        <f>HYPERLINK("#'調整・決定'!A1","⑤ 調整・決定")</f>
        <v/>
      </c>
      <c r="P1" s="22">
        <f>HYPERLINK("#'兄弟確認用'!A1","⑥ 兄弟確認")</f>
        <v/>
      </c>
      <c r="Q1" s="22">
        <f>HYPERLINK("#'お手紙（夏）'!A1","⑦ お手紙 夏")</f>
        <v/>
      </c>
      <c r="R1" s="23">
        <f>HYPERLINK("#'お手紙（秋）'!A1","⑧ お手紙 秋")</f>
        <v/>
      </c>
    </row>
    <row r="2" ht="24" customHeight="1">
      <c r="A2" s="5" t="n"/>
      <c r="B2" s="70"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c r="M4" s="88" t="inlineStr">
        <is>
          <t>▶ 印刷プレビュー</t>
        </is>
      </c>
    </row>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c r="M5" s="115" t="n"/>
    </row>
    <row r="6" ht="18" customHeight="1">
      <c r="G6" s="114">
        <f>IF('設定'!$B$34="","",'設定'!$B$34)</f>
        <v/>
      </c>
      <c r="M6" s="109" t="inlineStr">
        <is>
          <t>▶ PDFで保存</t>
        </is>
      </c>
    </row>
    <row r="7" ht="18" customHeight="1">
      <c r="G7" s="114">
        <f>IF('設定'!$B$31="","　",IF(RIGHT('設定'!$B$31,1)="年",LEFT('設定'!$B$31,LEN('設定'!$B$31)-1),'設定'!$B$31))&amp;"年"&amp;IF('設定'!$B$32="","　",IF(RIGHT('設定'!$B$32,1)="組",LEFT('設定'!$B$32,LEN('設定'!$B$32)-1),'設定'!$B$32))&amp;"組"&amp;"　担任　"&amp;'設定'!$B$33</f>
        <v/>
      </c>
      <c r="M7" s="115" t="n"/>
    </row>
    <row r="8" ht="36" customHeight="1">
      <c r="C8" s="121">
        <f>IF('設定'!$B$36="個人面談","個人面談",IF('設定'!$B$36="進路面談","進路面談",IF(OR(IF(RIGHT('設定'!$B$31,1)="年",LEFT('設定'!$B$31,LEN('設定'!$B$31)-1),'設定'!$B$31)&amp;""="6",IF(RIGHT('設定'!$B$31,1)="年",LEFT('設定'!$B$31,LEN('設定'!$B$31)-1),'設定'!$B$31)&amp;""="６"),"進路面談","個人面談")))&amp;"のお知らせ"</f>
        <v/>
      </c>
      <c r="M8" s="48" t="inlineStr">
        <is>
          <t>1日の枠が13以上なら夏の形、12以下なら秋の形で印刷・保存します</t>
        </is>
      </c>
    </row>
    <row r="9" ht="18" customHeight="1"/>
    <row r="10" ht="18" customHeight="1">
      <c r="C10" s="113">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3">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3">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3">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7" t="inlineStr">
        <is>
          <t>記</t>
        </is>
      </c>
    </row>
    <row r="15" ht="11.2" customHeight="1"/>
    <row r="16" ht="17.3" customHeight="1">
      <c r="D16" s="118">
        <f>SUBSTITUTE(SUBSTITUTE(SUBSTITUTE(SUBSTITUTE(SUBSTITUTE(SUBSTITUTE(SUBSTITUTE(SUBSTITUTE(SUBSTITUTE(SUBSTITUTE(SUBSTITUTE('設定'!$E$11,"0","０"),"1","１"),"2","２"),"3","３"),"4","４"),"5","５"),"6","６"),"7","７"),"8","８"),"9","９"),":","：")</f>
        <v/>
      </c>
      <c r="E16" s="118">
        <f>SUBSTITUTE(SUBSTITUTE(SUBSTITUTE(SUBSTITUTE(SUBSTITUTE(SUBSTITUTE(SUBSTITUTE(SUBSTITUTE(SUBSTITUTE(SUBSTITUTE(SUBSTITUTE('設定'!$E$12,"0","０"),"1","１"),"2","２"),"3","３"),"4","４"),"5","５"),"6","６"),"7","７"),"8","８"),"9","９"),":","：")</f>
        <v/>
      </c>
      <c r="F16" s="118">
        <f>SUBSTITUTE(SUBSTITUTE(SUBSTITUTE(SUBSTITUTE(SUBSTITUTE(SUBSTITUTE(SUBSTITUTE(SUBSTITUTE(SUBSTITUTE(SUBSTITUTE(SUBSTITUTE('設定'!$E$13,"0","０"),"1","１"),"2","２"),"3","３"),"4","４"),"5","５"),"6","６"),"7","７"),"8","８"),"9","９"),":","：")</f>
        <v/>
      </c>
      <c r="H16" s="118">
        <f>SUBSTITUTE(SUBSTITUTE(SUBSTITUTE(SUBSTITUTE(SUBSTITUTE(SUBSTITUTE(SUBSTITUTE(SUBSTITUTE(SUBSTITUTE(SUBSTITUTE(SUBSTITUTE('設定'!$E$14,"0","０"),"1","１"),"2","２"),"3","３"),"4","４"),"5","５"),"6","６"),"7","７"),"8","８"),"9","９"),":","：")</f>
        <v/>
      </c>
      <c r="I16" s="118">
        <f>SUBSTITUTE(SUBSTITUTE(SUBSTITUTE(SUBSTITUTE(SUBSTITUTE(SUBSTITUTE(SUBSTITUTE(SUBSTITUTE(SUBSTITUTE(SUBSTITUTE(SUBSTITUTE('設定'!$E$15,"0","０"),"1","１"),"2","２"),"3","３"),"4","４"),"5","５"),"6","６"),"7","７"),"8","８"),"9","９"),":","：")</f>
        <v/>
      </c>
      <c r="K16" s="118">
        <f>SUBSTITUTE(SUBSTITUTE(SUBSTITUTE(SUBSTITUTE(SUBSTITUTE(SUBSTITUTE(SUBSTITUTE(SUBSTITUTE(SUBSTITUTE(SUBSTITUTE(SUBSTITUTE('設定'!$E$16,"0","０"),"1","１"),"2","２"),"3","３"),"4","４"),"5","５"),"6","６"),"7","７"),"8","８"),"9","９"),":","：")</f>
        <v/>
      </c>
      <c r="L16" t="inlineStr">
        <is>
          <t>表示</t>
        </is>
      </c>
    </row>
    <row r="17" ht="33.5" customHeight="1">
      <c r="B17" s="119">
        <f>IF('設定'!$I$11="","",SUBSTITUTE(SUBSTITUTE(SUBSTITUTE(SUBSTITUTE(SUBSTITUTE(SUBSTITUTE(SUBSTITUTE(SUBSTITUTE(SUBSTITUTE(SUBSTITUTE(SUBSTITUTE(SUBSTITUTE('設定'!$I$11,"〜",""),"0","０"),"1","１"),"2","２"),"3","３"),"4","４"),"5","５"),"6","６"),"7","７"),"8","８"),"9","９"),":","：")&amp;"～")</f>
        <v/>
      </c>
      <c r="D17" s="120">
        <f>IF('調整・決定'!C6="","",'調整・決定'!C6)</f>
        <v/>
      </c>
      <c r="E17" s="120">
        <f>IF('調整・決定'!D6="","",'調整・決定'!D6)</f>
        <v/>
      </c>
      <c r="F17" s="120">
        <f>IF('調整・決定'!E6="","",'調整・決定'!E6)</f>
        <v/>
      </c>
      <c r="H17" s="120">
        <f>IF('調整・決定'!F6="","",'調整・決定'!F6)</f>
        <v/>
      </c>
      <c r="I17" s="120">
        <f>IF('調整・決定'!G6="","",'調整・決定'!G6)</f>
        <v/>
      </c>
      <c r="K17" s="120">
        <f>IF('調整・決定'!H6="","",'調整・決定'!H6)</f>
        <v/>
      </c>
      <c r="L17">
        <f>IF(1&lt;='設定'!$B$6,"表示","隠す")</f>
        <v/>
      </c>
    </row>
    <row r="18" ht="33.5" customHeight="1">
      <c r="B18" s="119">
        <f>IF('設定'!$I$12="","",SUBSTITUTE(SUBSTITUTE(SUBSTITUTE(SUBSTITUTE(SUBSTITUTE(SUBSTITUTE(SUBSTITUTE(SUBSTITUTE(SUBSTITUTE(SUBSTITUTE(SUBSTITUTE(SUBSTITUTE('設定'!$I$12,"〜",""),"0","０"),"1","１"),"2","２"),"3","３"),"4","４"),"5","５"),"6","６"),"7","７"),"8","８"),"9","９"),":","：")&amp;"～")</f>
        <v/>
      </c>
      <c r="D18" s="120">
        <f>IF('調整・決定'!C7="","",'調整・決定'!C7)</f>
        <v/>
      </c>
      <c r="E18" s="120">
        <f>IF('調整・決定'!D7="","",'調整・決定'!D7)</f>
        <v/>
      </c>
      <c r="F18" s="120">
        <f>IF('調整・決定'!E7="","",'調整・決定'!E7)</f>
        <v/>
      </c>
      <c r="H18" s="120">
        <f>IF('調整・決定'!F7="","",'調整・決定'!F7)</f>
        <v/>
      </c>
      <c r="I18" s="120">
        <f>IF('調整・決定'!G7="","",'調整・決定'!G7)</f>
        <v/>
      </c>
      <c r="K18" s="120">
        <f>IF('調整・決定'!H7="","",'調整・決定'!H7)</f>
        <v/>
      </c>
      <c r="L18">
        <f>IF(2&lt;='設定'!$B$6,"表示","隠す")</f>
        <v/>
      </c>
    </row>
    <row r="19" ht="33.5" customHeight="1">
      <c r="B19" s="119">
        <f>IF('設定'!$I$13="","",SUBSTITUTE(SUBSTITUTE(SUBSTITUTE(SUBSTITUTE(SUBSTITUTE(SUBSTITUTE(SUBSTITUTE(SUBSTITUTE(SUBSTITUTE(SUBSTITUTE(SUBSTITUTE(SUBSTITUTE('設定'!$I$13,"〜",""),"0","０"),"1","１"),"2","２"),"3","３"),"4","４"),"5","５"),"6","６"),"7","７"),"8","８"),"9","９"),":","：")&amp;"～")</f>
        <v/>
      </c>
      <c r="D19" s="120">
        <f>IF('調整・決定'!C8="","",'調整・決定'!C8)</f>
        <v/>
      </c>
      <c r="E19" s="120">
        <f>IF('調整・決定'!D8="","",'調整・決定'!D8)</f>
        <v/>
      </c>
      <c r="F19" s="120">
        <f>IF('調整・決定'!E8="","",'調整・決定'!E8)</f>
        <v/>
      </c>
      <c r="H19" s="120">
        <f>IF('調整・決定'!F8="","",'調整・決定'!F8)</f>
        <v/>
      </c>
      <c r="I19" s="120">
        <f>IF('調整・決定'!G8="","",'調整・決定'!G8)</f>
        <v/>
      </c>
      <c r="K19" s="120">
        <f>IF('調整・決定'!H8="","",'調整・決定'!H8)</f>
        <v/>
      </c>
      <c r="L19">
        <f>IF(3&lt;='設定'!$B$6,"表示","隠す")</f>
        <v/>
      </c>
    </row>
    <row r="20" ht="33.5" customHeight="1">
      <c r="B20" s="119">
        <f>IF('設定'!$I$14="","",SUBSTITUTE(SUBSTITUTE(SUBSTITUTE(SUBSTITUTE(SUBSTITUTE(SUBSTITUTE(SUBSTITUTE(SUBSTITUTE(SUBSTITUTE(SUBSTITUTE(SUBSTITUTE(SUBSTITUTE('設定'!$I$14,"〜",""),"0","０"),"1","１"),"2","２"),"3","３"),"4","４"),"5","５"),"6","６"),"7","７"),"8","８"),"9","９"),":","：")&amp;"～")</f>
        <v/>
      </c>
      <c r="D20" s="120">
        <f>IF('調整・決定'!C9="","",'調整・決定'!C9)</f>
        <v/>
      </c>
      <c r="E20" s="120">
        <f>IF('調整・決定'!D9="","",'調整・決定'!D9)</f>
        <v/>
      </c>
      <c r="F20" s="120">
        <f>IF('調整・決定'!E9="","",'調整・決定'!E9)</f>
        <v/>
      </c>
      <c r="H20" s="120">
        <f>IF('調整・決定'!F9="","",'調整・決定'!F9)</f>
        <v/>
      </c>
      <c r="I20" s="120">
        <f>IF('調整・決定'!G9="","",'調整・決定'!G9)</f>
        <v/>
      </c>
      <c r="K20" s="120">
        <f>IF('調整・決定'!H9="","",'調整・決定'!H9)</f>
        <v/>
      </c>
      <c r="L20">
        <f>IF(4&lt;='設定'!$B$6,"表示","隠す")</f>
        <v/>
      </c>
    </row>
    <row r="21" ht="33.5" customHeight="1">
      <c r="B21" s="119">
        <f>IF('設定'!$I$15="","",SUBSTITUTE(SUBSTITUTE(SUBSTITUTE(SUBSTITUTE(SUBSTITUTE(SUBSTITUTE(SUBSTITUTE(SUBSTITUTE(SUBSTITUTE(SUBSTITUTE(SUBSTITUTE(SUBSTITUTE('設定'!$I$15,"〜",""),"0","０"),"1","１"),"2","２"),"3","３"),"4","４"),"5","５"),"6","６"),"7","７"),"8","８"),"9","９"),":","：")&amp;"～")</f>
        <v/>
      </c>
      <c r="D21" s="120">
        <f>IF('調整・決定'!C10="","",'調整・決定'!C10)</f>
        <v/>
      </c>
      <c r="E21" s="120">
        <f>IF('調整・決定'!D10="","",'調整・決定'!D10)</f>
        <v/>
      </c>
      <c r="F21" s="120">
        <f>IF('調整・決定'!E10="","",'調整・決定'!E10)</f>
        <v/>
      </c>
      <c r="H21" s="120">
        <f>IF('調整・決定'!F10="","",'調整・決定'!F10)</f>
        <v/>
      </c>
      <c r="I21" s="120">
        <f>IF('調整・決定'!G10="","",'調整・決定'!G10)</f>
        <v/>
      </c>
      <c r="K21" s="120">
        <f>IF('調整・決定'!H10="","",'調整・決定'!H10)</f>
        <v/>
      </c>
      <c r="L21">
        <f>IF(5&lt;='設定'!$B$6,"表示","隠す")</f>
        <v/>
      </c>
    </row>
    <row r="22" ht="33.5" customHeight="1">
      <c r="B22" s="119">
        <f>IF('設定'!$I$16="","",SUBSTITUTE(SUBSTITUTE(SUBSTITUTE(SUBSTITUTE(SUBSTITUTE(SUBSTITUTE(SUBSTITUTE(SUBSTITUTE(SUBSTITUTE(SUBSTITUTE(SUBSTITUTE(SUBSTITUTE('設定'!$I$16,"〜",""),"0","０"),"1","１"),"2","２"),"3","３"),"4","４"),"5","５"),"6","６"),"7","７"),"8","８"),"9","９"),":","：")&amp;"～")</f>
        <v/>
      </c>
      <c r="D22" s="120">
        <f>IF('調整・決定'!C11="","",'調整・決定'!C11)</f>
        <v/>
      </c>
      <c r="E22" s="120">
        <f>IF('調整・決定'!D11="","",'調整・決定'!D11)</f>
        <v/>
      </c>
      <c r="F22" s="120">
        <f>IF('調整・決定'!E11="","",'調整・決定'!E11)</f>
        <v/>
      </c>
      <c r="H22" s="120">
        <f>IF('調整・決定'!F11="","",'調整・決定'!F11)</f>
        <v/>
      </c>
      <c r="I22" s="120">
        <f>IF('調整・決定'!G11="","",'調整・決定'!G11)</f>
        <v/>
      </c>
      <c r="K22" s="120">
        <f>IF('調整・決定'!H11="","",'調整・決定'!H11)</f>
        <v/>
      </c>
      <c r="L22">
        <f>IF(6&lt;='設定'!$B$6,"表示","隠す")</f>
        <v/>
      </c>
    </row>
    <row r="23" ht="33.5" customHeight="1">
      <c r="B23" s="119">
        <f>IF('設定'!$I$17="","",SUBSTITUTE(SUBSTITUTE(SUBSTITUTE(SUBSTITUTE(SUBSTITUTE(SUBSTITUTE(SUBSTITUTE(SUBSTITUTE(SUBSTITUTE(SUBSTITUTE(SUBSTITUTE(SUBSTITUTE('設定'!$I$17,"〜",""),"0","０"),"1","１"),"2","２"),"3","３"),"4","４"),"5","５"),"6","６"),"7","７"),"8","８"),"9","９"),":","：")&amp;"～")</f>
        <v/>
      </c>
      <c r="D23" s="120">
        <f>IF('調整・決定'!C12="","",'調整・決定'!C12)</f>
        <v/>
      </c>
      <c r="E23" s="120">
        <f>IF('調整・決定'!D12="","",'調整・決定'!D12)</f>
        <v/>
      </c>
      <c r="F23" s="120">
        <f>IF('調整・決定'!E12="","",'調整・決定'!E12)</f>
        <v/>
      </c>
      <c r="H23" s="120">
        <f>IF('調整・決定'!F12="","",'調整・決定'!F12)</f>
        <v/>
      </c>
      <c r="I23" s="120">
        <f>IF('調整・決定'!G12="","",'調整・決定'!G12)</f>
        <v/>
      </c>
      <c r="K23" s="120">
        <f>IF('調整・決定'!H12="","",'調整・決定'!H12)</f>
        <v/>
      </c>
      <c r="L23">
        <f>IF(7&lt;='設定'!$B$6,"表示","隠す")</f>
        <v/>
      </c>
    </row>
    <row r="24" ht="33.5" customHeight="1">
      <c r="B24" s="119">
        <f>IF('設定'!$I$18="","",SUBSTITUTE(SUBSTITUTE(SUBSTITUTE(SUBSTITUTE(SUBSTITUTE(SUBSTITUTE(SUBSTITUTE(SUBSTITUTE(SUBSTITUTE(SUBSTITUTE(SUBSTITUTE(SUBSTITUTE('設定'!$I$18,"〜",""),"0","０"),"1","１"),"2","２"),"3","３"),"4","４"),"5","５"),"6","６"),"7","７"),"8","８"),"9","９"),":","：")&amp;"～")</f>
        <v/>
      </c>
      <c r="D24" s="120">
        <f>IF('調整・決定'!C13="","",'調整・決定'!C13)</f>
        <v/>
      </c>
      <c r="E24" s="120">
        <f>IF('調整・決定'!D13="","",'調整・決定'!D13)</f>
        <v/>
      </c>
      <c r="F24" s="120">
        <f>IF('調整・決定'!E13="","",'調整・決定'!E13)</f>
        <v/>
      </c>
      <c r="H24" s="120">
        <f>IF('調整・決定'!F13="","",'調整・決定'!F13)</f>
        <v/>
      </c>
      <c r="I24" s="120">
        <f>IF('調整・決定'!G13="","",'調整・決定'!G13)</f>
        <v/>
      </c>
      <c r="K24" s="120">
        <f>IF('調整・決定'!H13="","",'調整・決定'!H13)</f>
        <v/>
      </c>
      <c r="L24">
        <f>IF(8&lt;='設定'!$B$6,"表示","隠す")</f>
        <v/>
      </c>
    </row>
    <row r="25" ht="33.5" customHeight="1">
      <c r="B25" s="119">
        <f>IF('設定'!$I$19="","",SUBSTITUTE(SUBSTITUTE(SUBSTITUTE(SUBSTITUTE(SUBSTITUTE(SUBSTITUTE(SUBSTITUTE(SUBSTITUTE(SUBSTITUTE(SUBSTITUTE(SUBSTITUTE(SUBSTITUTE('設定'!$I$19,"〜",""),"0","０"),"1","１"),"2","２"),"3","３"),"4","４"),"5","５"),"6","６"),"7","７"),"8","８"),"9","９"),":","：")&amp;"～")</f>
        <v/>
      </c>
      <c r="D25" s="120">
        <f>IF('調整・決定'!C14="","",'調整・決定'!C14)</f>
        <v/>
      </c>
      <c r="E25" s="120">
        <f>IF('調整・決定'!D14="","",'調整・決定'!D14)</f>
        <v/>
      </c>
      <c r="F25" s="120">
        <f>IF('調整・決定'!E14="","",'調整・決定'!E14)</f>
        <v/>
      </c>
      <c r="H25" s="120">
        <f>IF('調整・決定'!F14="","",'調整・決定'!F14)</f>
        <v/>
      </c>
      <c r="I25" s="120">
        <f>IF('調整・決定'!G14="","",'調整・決定'!G14)</f>
        <v/>
      </c>
      <c r="K25" s="120">
        <f>IF('調整・決定'!H14="","",'調整・決定'!H14)</f>
        <v/>
      </c>
      <c r="L25">
        <f>IF(9&lt;='設定'!$B$6,"表示","隠す")</f>
        <v/>
      </c>
    </row>
    <row r="26" hidden="1" ht="33.5" customHeight="1">
      <c r="B26" s="119">
        <f>IF('設定'!$I$20="","",SUBSTITUTE(SUBSTITUTE(SUBSTITUTE(SUBSTITUTE(SUBSTITUTE(SUBSTITUTE(SUBSTITUTE(SUBSTITUTE(SUBSTITUTE(SUBSTITUTE(SUBSTITUTE(SUBSTITUTE('設定'!$I$20,"〜",""),"0","０"),"1","１"),"2","２"),"3","３"),"4","４"),"5","５"),"6","６"),"7","７"),"8","８"),"9","９"),":","：")&amp;"～")</f>
        <v/>
      </c>
      <c r="D26" s="120">
        <f>IF('調整・決定'!C15="","",'調整・決定'!C15)</f>
        <v/>
      </c>
      <c r="E26" s="120">
        <f>IF('調整・決定'!D15="","",'調整・決定'!D15)</f>
        <v/>
      </c>
      <c r="F26" s="120">
        <f>IF('調整・決定'!E15="","",'調整・決定'!E15)</f>
        <v/>
      </c>
      <c r="H26" s="120">
        <f>IF('調整・決定'!F15="","",'調整・決定'!F15)</f>
        <v/>
      </c>
      <c r="I26" s="120">
        <f>IF('調整・決定'!G15="","",'調整・決定'!G15)</f>
        <v/>
      </c>
      <c r="K26" s="120">
        <f>IF('調整・決定'!H15="","",'調整・決定'!H15)</f>
        <v/>
      </c>
      <c r="L26">
        <f>IF(10&lt;='設定'!$B$6,"表示","隠す")</f>
        <v/>
      </c>
    </row>
    <row r="27" hidden="1" ht="33.5" customHeight="1">
      <c r="B27" s="119">
        <f>IF('設定'!$I$21="","",SUBSTITUTE(SUBSTITUTE(SUBSTITUTE(SUBSTITUTE(SUBSTITUTE(SUBSTITUTE(SUBSTITUTE(SUBSTITUTE(SUBSTITUTE(SUBSTITUTE(SUBSTITUTE(SUBSTITUTE('設定'!$I$21,"〜",""),"0","０"),"1","１"),"2","２"),"3","３"),"4","４"),"5","５"),"6","６"),"7","７"),"8","８"),"9","９"),":","：")&amp;"～")</f>
        <v/>
      </c>
      <c r="D27" s="120">
        <f>IF('調整・決定'!C16="","",'調整・決定'!C16)</f>
        <v/>
      </c>
      <c r="E27" s="120">
        <f>IF('調整・決定'!D16="","",'調整・決定'!D16)</f>
        <v/>
      </c>
      <c r="F27" s="120">
        <f>IF('調整・決定'!E16="","",'調整・決定'!E16)</f>
        <v/>
      </c>
      <c r="H27" s="120">
        <f>IF('調整・決定'!F16="","",'調整・決定'!F16)</f>
        <v/>
      </c>
      <c r="I27" s="120">
        <f>IF('調整・決定'!G16="","",'調整・決定'!G16)</f>
        <v/>
      </c>
      <c r="K27" s="120">
        <f>IF('調整・決定'!H16="","",'調整・決定'!H16)</f>
        <v/>
      </c>
      <c r="L27">
        <f>IF(11&lt;='設定'!$B$6,"表示","隠す")</f>
        <v/>
      </c>
    </row>
    <row r="28" hidden="1" ht="33.5" customHeight="1">
      <c r="B28" s="119">
        <f>IF('設定'!$I$22="","",SUBSTITUTE(SUBSTITUTE(SUBSTITUTE(SUBSTITUTE(SUBSTITUTE(SUBSTITUTE(SUBSTITUTE(SUBSTITUTE(SUBSTITUTE(SUBSTITUTE(SUBSTITUTE(SUBSTITUTE('設定'!$I$22,"〜",""),"0","０"),"1","１"),"2","２"),"3","３"),"4","４"),"5","５"),"6","６"),"7","７"),"8","８"),"9","９"),":","：")&amp;"～")</f>
        <v/>
      </c>
      <c r="D28" s="120">
        <f>IF('調整・決定'!C17="","",'調整・決定'!C17)</f>
        <v/>
      </c>
      <c r="E28" s="120">
        <f>IF('調整・決定'!D17="","",'調整・決定'!D17)</f>
        <v/>
      </c>
      <c r="F28" s="120">
        <f>IF('調整・決定'!E17="","",'調整・決定'!E17)</f>
        <v/>
      </c>
      <c r="H28" s="120">
        <f>IF('調整・決定'!F17="","",'調整・決定'!F17)</f>
        <v/>
      </c>
      <c r="I28" s="120">
        <f>IF('調整・決定'!G17="","",'調整・決定'!G17)</f>
        <v/>
      </c>
      <c r="K28" s="120">
        <f>IF('調整・決定'!H17="","",'調整・決定'!H17)</f>
        <v/>
      </c>
      <c r="L28">
        <f>IF(12&lt;='設定'!$B$6,"表示","隠す")</f>
        <v/>
      </c>
    </row>
    <row r="29" hidden="1" ht="33.5" customHeight="1">
      <c r="B29" s="119">
        <f>IF('設定'!$I$23="","",SUBSTITUTE(SUBSTITUTE(SUBSTITUTE(SUBSTITUTE(SUBSTITUTE(SUBSTITUTE(SUBSTITUTE(SUBSTITUTE(SUBSTITUTE(SUBSTITUTE(SUBSTITUTE(SUBSTITUTE('設定'!$I$23,"〜",""),"0","０"),"1","１"),"2","２"),"3","３"),"4","４"),"5","５"),"6","６"),"7","７"),"8","８"),"9","９"),":","：")&amp;"～")</f>
        <v/>
      </c>
      <c r="D29" s="120">
        <f>IF('調整・決定'!C18="","",'調整・決定'!C18)</f>
        <v/>
      </c>
      <c r="E29" s="120">
        <f>IF('調整・決定'!D18="","",'調整・決定'!D18)</f>
        <v/>
      </c>
      <c r="F29" s="120">
        <f>IF('調整・決定'!E18="","",'調整・決定'!E18)</f>
        <v/>
      </c>
      <c r="H29" s="120">
        <f>IF('調整・決定'!F18="","",'調整・決定'!F18)</f>
        <v/>
      </c>
      <c r="I29" s="120">
        <f>IF('調整・決定'!G18="","",'調整・決定'!G18)</f>
        <v/>
      </c>
      <c r="K29" s="120">
        <f>IF('調整・決定'!H18="","",'調整・決定'!H18)</f>
        <v/>
      </c>
      <c r="L29">
        <f>IF(13&lt;='設定'!$B$6,"表示","隠す")</f>
        <v/>
      </c>
    </row>
    <row r="30" hidden="1" ht="33.5" customHeight="1">
      <c r="B30" s="119">
        <f>IF('設定'!$I$24="","",SUBSTITUTE(SUBSTITUTE(SUBSTITUTE(SUBSTITUTE(SUBSTITUTE(SUBSTITUTE(SUBSTITUTE(SUBSTITUTE(SUBSTITUTE(SUBSTITUTE(SUBSTITUTE(SUBSTITUTE('設定'!$I$24,"〜",""),"0","０"),"1","１"),"2","２"),"3","３"),"4","４"),"5","５"),"6","６"),"7","７"),"8","８"),"9","９"),":","：")&amp;"～")</f>
        <v/>
      </c>
      <c r="D30" s="120">
        <f>IF('調整・決定'!C19="","",'調整・決定'!C19)</f>
        <v/>
      </c>
      <c r="E30" s="120">
        <f>IF('調整・決定'!D19="","",'調整・決定'!D19)</f>
        <v/>
      </c>
      <c r="F30" s="120">
        <f>IF('調整・決定'!E19="","",'調整・決定'!E19)</f>
        <v/>
      </c>
      <c r="H30" s="120">
        <f>IF('調整・決定'!F19="","",'調整・決定'!F19)</f>
        <v/>
      </c>
      <c r="I30" s="120">
        <f>IF('調整・決定'!G19="","",'調整・決定'!G19)</f>
        <v/>
      </c>
      <c r="K30" s="120">
        <f>IF('調整・決定'!H19="","",'調整・決定'!H19)</f>
        <v/>
      </c>
      <c r="L30">
        <f>IF(14&lt;='設定'!$B$6,"表示","隠す")</f>
        <v/>
      </c>
    </row>
    <row r="31" hidden="1" ht="33.5" customHeight="1">
      <c r="B31" s="119">
        <f>IF('設定'!$I$25="","",SUBSTITUTE(SUBSTITUTE(SUBSTITUTE(SUBSTITUTE(SUBSTITUTE(SUBSTITUTE(SUBSTITUTE(SUBSTITUTE(SUBSTITUTE(SUBSTITUTE(SUBSTITUTE(SUBSTITUTE('設定'!$I$25,"〜",""),"0","０"),"1","１"),"2","２"),"3","３"),"4","４"),"5","５"),"6","６"),"7","７"),"8","８"),"9","９"),":","：")&amp;"～")</f>
        <v/>
      </c>
      <c r="D31" s="120">
        <f>IF('調整・決定'!C20="","",'調整・決定'!C20)</f>
        <v/>
      </c>
      <c r="E31" s="120">
        <f>IF('調整・決定'!D20="","",'調整・決定'!D20)</f>
        <v/>
      </c>
      <c r="F31" s="120">
        <f>IF('調整・決定'!E20="","",'調整・決定'!E20)</f>
        <v/>
      </c>
      <c r="H31" s="120">
        <f>IF('調整・決定'!F20="","",'調整・決定'!F20)</f>
        <v/>
      </c>
      <c r="I31" s="120">
        <f>IF('調整・決定'!G20="","",'調整・決定'!G20)</f>
        <v/>
      </c>
      <c r="K31" s="120">
        <f>IF('調整・決定'!H20="","",'調整・決定'!H20)</f>
        <v/>
      </c>
      <c r="L31">
        <f>IF(15&lt;='設定'!$B$6,"表示","隠す")</f>
        <v/>
      </c>
    </row>
    <row r="32" hidden="1" ht="33.5" customHeight="1">
      <c r="B32" s="119">
        <f>IF('設定'!$I$26="","",SUBSTITUTE(SUBSTITUTE(SUBSTITUTE(SUBSTITUTE(SUBSTITUTE(SUBSTITUTE(SUBSTITUTE(SUBSTITUTE(SUBSTITUTE(SUBSTITUTE(SUBSTITUTE(SUBSTITUTE('設定'!$I$26,"〜",""),"0","０"),"1","１"),"2","２"),"3","３"),"4","４"),"5","５"),"6","６"),"7","７"),"8","８"),"9","９"),":","：")&amp;"～")</f>
        <v/>
      </c>
      <c r="D32" s="120">
        <f>IF('調整・決定'!C21="","",'調整・決定'!C21)</f>
        <v/>
      </c>
      <c r="E32" s="120">
        <f>IF('調整・決定'!D21="","",'調整・決定'!D21)</f>
        <v/>
      </c>
      <c r="F32" s="120">
        <f>IF('調整・決定'!E21="","",'調整・決定'!E21)</f>
        <v/>
      </c>
      <c r="H32" s="120">
        <f>IF('調整・決定'!F21="","",'調整・決定'!F21)</f>
        <v/>
      </c>
      <c r="I32" s="120">
        <f>IF('調整・決定'!G21="","",'調整・決定'!G21)</f>
        <v/>
      </c>
      <c r="K32" s="120">
        <f>IF('調整・決定'!H21="","",'調整・決定'!H21)</f>
        <v/>
      </c>
      <c r="L32">
        <f>IF(16&lt;='設定'!$B$6,"表示","隠す")</f>
        <v/>
      </c>
    </row>
    <row r="33" hidden="1" ht="33.5" customHeight="1">
      <c r="B33" s="119">
        <f>IF('設定'!$I$27="","",SUBSTITUTE(SUBSTITUTE(SUBSTITUTE(SUBSTITUTE(SUBSTITUTE(SUBSTITUTE(SUBSTITUTE(SUBSTITUTE(SUBSTITUTE(SUBSTITUTE(SUBSTITUTE(SUBSTITUTE('設定'!$I$27,"〜",""),"0","０"),"1","１"),"2","２"),"3","３"),"4","４"),"5","５"),"6","６"),"7","７"),"8","８"),"9","９"),":","：")&amp;"～")</f>
        <v/>
      </c>
      <c r="D33" s="120">
        <f>IF('調整・決定'!C22="","",'調整・決定'!C22)</f>
        <v/>
      </c>
      <c r="E33" s="120">
        <f>IF('調整・決定'!D22="","",'調整・決定'!D22)</f>
        <v/>
      </c>
      <c r="F33" s="120">
        <f>IF('調整・決定'!E22="","",'調整・決定'!E22)</f>
        <v/>
      </c>
      <c r="H33" s="120">
        <f>IF('調整・決定'!F22="","",'調整・決定'!F22)</f>
        <v/>
      </c>
      <c r="I33" s="120">
        <f>IF('調整・決定'!G22="","",'調整・決定'!G22)</f>
        <v/>
      </c>
      <c r="K33" s="120">
        <f>IF('調整・決定'!H22="","",'調整・決定'!H22)</f>
        <v/>
      </c>
      <c r="L33">
        <f>IF(17&lt;='設定'!$B$6,"表示","隠す")</f>
        <v/>
      </c>
    </row>
    <row r="34" hidden="1" ht="33.5" customHeight="1">
      <c r="B34" s="119">
        <f>IF('設定'!$I$28="","",SUBSTITUTE(SUBSTITUTE(SUBSTITUTE(SUBSTITUTE(SUBSTITUTE(SUBSTITUTE(SUBSTITUTE(SUBSTITUTE(SUBSTITUTE(SUBSTITUTE(SUBSTITUTE(SUBSTITUTE('設定'!$I$28,"〜",""),"0","０"),"1","１"),"2","２"),"3","３"),"4","４"),"5","５"),"6","６"),"7","７"),"8","８"),"9","９"),":","：")&amp;"～")</f>
        <v/>
      </c>
      <c r="D34" s="120">
        <f>IF('調整・決定'!C23="","",'調整・決定'!C23)</f>
        <v/>
      </c>
      <c r="E34" s="120">
        <f>IF('調整・決定'!D23="","",'調整・決定'!D23)</f>
        <v/>
      </c>
      <c r="F34" s="120">
        <f>IF('調整・決定'!E23="","",'調整・決定'!E23)</f>
        <v/>
      </c>
      <c r="H34" s="120">
        <f>IF('調整・決定'!F23="","",'調整・決定'!F23)</f>
        <v/>
      </c>
      <c r="I34" s="120">
        <f>IF('調整・決定'!G23="","",'調整・決定'!G23)</f>
        <v/>
      </c>
      <c r="K34" s="120">
        <f>IF('調整・決定'!H23="","",'調整・決定'!H23)</f>
        <v/>
      </c>
      <c r="L34">
        <f>IF(18&lt;='設定'!$B$6,"表示","隠す")</f>
        <v/>
      </c>
    </row>
    <row r="35" hidden="1" ht="33.5" customHeight="1">
      <c r="B35" s="119">
        <f>IF('設定'!$I$29="","",SUBSTITUTE(SUBSTITUTE(SUBSTITUTE(SUBSTITUTE(SUBSTITUTE(SUBSTITUTE(SUBSTITUTE(SUBSTITUTE(SUBSTITUTE(SUBSTITUTE(SUBSTITUTE(SUBSTITUTE('設定'!$I$29,"〜",""),"0","０"),"1","１"),"2","２"),"3","３"),"4","４"),"5","５"),"6","６"),"7","７"),"8","８"),"9","９"),":","：")&amp;"～")</f>
        <v/>
      </c>
      <c r="D35" s="120">
        <f>IF('調整・決定'!C24="","",'調整・決定'!C24)</f>
        <v/>
      </c>
      <c r="E35" s="120">
        <f>IF('調整・決定'!D24="","",'調整・決定'!D24)</f>
        <v/>
      </c>
      <c r="F35" s="120">
        <f>IF('調整・決定'!E24="","",'調整・決定'!E24)</f>
        <v/>
      </c>
      <c r="H35" s="120">
        <f>IF('調整・決定'!F24="","",'調整・決定'!F24)</f>
        <v/>
      </c>
      <c r="I35" s="120">
        <f>IF('調整・決定'!G24="","",'調整・決定'!G24)</f>
        <v/>
      </c>
      <c r="K35" s="120">
        <f>IF('調整・決定'!H24="","",'調整・決定'!H24)</f>
        <v/>
      </c>
      <c r="L35">
        <f>IF(19&lt;='設定'!$B$6,"表示","隠す")</f>
        <v/>
      </c>
    </row>
    <row r="36" hidden="1" ht="33.5" customHeight="1">
      <c r="B36" s="119">
        <f>IF('設定'!$I$30="","",SUBSTITUTE(SUBSTITUTE(SUBSTITUTE(SUBSTITUTE(SUBSTITUTE(SUBSTITUTE(SUBSTITUTE(SUBSTITUTE(SUBSTITUTE(SUBSTITUTE(SUBSTITUTE(SUBSTITUTE('設定'!$I$30,"〜",""),"0","０"),"1","１"),"2","２"),"3","３"),"4","４"),"5","５"),"6","６"),"7","７"),"8","８"),"9","９"),":","：")&amp;"～")</f>
        <v/>
      </c>
      <c r="D36" s="120">
        <f>IF('調整・決定'!C25="","",'調整・決定'!C25)</f>
        <v/>
      </c>
      <c r="E36" s="120">
        <f>IF('調整・決定'!D25="","",'調整・決定'!D25)</f>
        <v/>
      </c>
      <c r="F36" s="120">
        <f>IF('調整・決定'!E25="","",'調整・決定'!E25)</f>
        <v/>
      </c>
      <c r="H36" s="120">
        <f>IF('調整・決定'!F25="","",'調整・決定'!F25)</f>
        <v/>
      </c>
      <c r="I36" s="120">
        <f>IF('調整・決定'!G25="","",'調整・決定'!G25)</f>
        <v/>
      </c>
      <c r="K36" s="120">
        <f>IF('調整・決定'!H25="","",'調整・決定'!H25)</f>
        <v/>
      </c>
      <c r="L36">
        <f>IF(20&lt;='設定'!$B$6,"表示","隠す")</f>
        <v/>
      </c>
    </row>
    <row r="37" hidden="1" ht="33.5" customHeight="1">
      <c r="B37" s="119">
        <f>IF('設定'!$I$31="","",SUBSTITUTE(SUBSTITUTE(SUBSTITUTE(SUBSTITUTE(SUBSTITUTE(SUBSTITUTE(SUBSTITUTE(SUBSTITUTE(SUBSTITUTE(SUBSTITUTE(SUBSTITUTE(SUBSTITUTE('設定'!$I$31,"〜",""),"0","０"),"1","１"),"2","２"),"3","３"),"4","４"),"5","５"),"6","６"),"7","７"),"8","８"),"9","９"),":","：")&amp;"～")</f>
        <v/>
      </c>
      <c r="D37" s="120">
        <f>IF('調整・決定'!C26="","",'調整・決定'!C26)</f>
        <v/>
      </c>
      <c r="E37" s="120">
        <f>IF('調整・決定'!D26="","",'調整・決定'!D26)</f>
        <v/>
      </c>
      <c r="F37" s="120">
        <f>IF('調整・決定'!E26="","",'調整・決定'!E26)</f>
        <v/>
      </c>
      <c r="H37" s="120">
        <f>IF('調整・決定'!F26="","",'調整・決定'!F26)</f>
        <v/>
      </c>
      <c r="I37" s="120">
        <f>IF('調整・決定'!G26="","",'調整・決定'!G26)</f>
        <v/>
      </c>
      <c r="K37" s="120">
        <f>IF('調整・決定'!H26="","",'調整・決定'!H26)</f>
        <v/>
      </c>
      <c r="L37">
        <f>IF(21&lt;='設定'!$B$6,"表示","隠す")</f>
        <v/>
      </c>
    </row>
    <row r="38" hidden="1" ht="33.5" customHeight="1">
      <c r="B38" s="119">
        <f>IF('設定'!$I$32="","",SUBSTITUTE(SUBSTITUTE(SUBSTITUTE(SUBSTITUTE(SUBSTITUTE(SUBSTITUTE(SUBSTITUTE(SUBSTITUTE(SUBSTITUTE(SUBSTITUTE(SUBSTITUTE(SUBSTITUTE('設定'!$I$32,"〜",""),"0","０"),"1","１"),"2","２"),"3","３"),"4","４"),"5","５"),"6","６"),"7","７"),"8","８"),"9","９"),":","：")&amp;"～")</f>
        <v/>
      </c>
      <c r="D38" s="120">
        <f>IF('調整・決定'!C27="","",'調整・決定'!C27)</f>
        <v/>
      </c>
      <c r="E38" s="120">
        <f>IF('調整・決定'!D27="","",'調整・決定'!D27)</f>
        <v/>
      </c>
      <c r="F38" s="120">
        <f>IF('調整・決定'!E27="","",'調整・決定'!E27)</f>
        <v/>
      </c>
      <c r="H38" s="120">
        <f>IF('調整・決定'!F27="","",'調整・決定'!F27)</f>
        <v/>
      </c>
      <c r="I38" s="120">
        <f>IF('調整・決定'!G27="","",'調整・決定'!G27)</f>
        <v/>
      </c>
      <c r="K38" s="120">
        <f>IF('調整・決定'!H27="","",'調整・決定'!H27)</f>
        <v/>
      </c>
      <c r="L38">
        <f>IF(22&lt;='設定'!$B$6,"表示","隠す")</f>
        <v/>
      </c>
    </row>
    <row r="39" hidden="1" ht="33.5" customHeight="1">
      <c r="B39" s="119">
        <f>IF('設定'!$I$33="","",SUBSTITUTE(SUBSTITUTE(SUBSTITUTE(SUBSTITUTE(SUBSTITUTE(SUBSTITUTE(SUBSTITUTE(SUBSTITUTE(SUBSTITUTE(SUBSTITUTE(SUBSTITUTE(SUBSTITUTE('設定'!$I$33,"〜",""),"0","０"),"1","１"),"2","２"),"3","３"),"4","４"),"5","５"),"6","６"),"7","７"),"8","８"),"9","９"),":","：")&amp;"～")</f>
        <v/>
      </c>
      <c r="D39" s="120">
        <f>IF('調整・決定'!C28="","",'調整・決定'!C28)</f>
        <v/>
      </c>
      <c r="E39" s="120">
        <f>IF('調整・決定'!D28="","",'調整・決定'!D28)</f>
        <v/>
      </c>
      <c r="F39" s="120">
        <f>IF('調整・決定'!E28="","",'調整・決定'!E28)</f>
        <v/>
      </c>
      <c r="H39" s="120">
        <f>IF('調整・決定'!F28="","",'調整・決定'!F28)</f>
        <v/>
      </c>
      <c r="I39" s="120">
        <f>IF('調整・決定'!G28="","",'調整・決定'!G28)</f>
        <v/>
      </c>
      <c r="K39" s="120">
        <f>IF('調整・決定'!H28="","",'調整・決定'!H28)</f>
        <v/>
      </c>
      <c r="L39">
        <f>IF(23&lt;='設定'!$B$6,"表示","隠す")</f>
        <v/>
      </c>
    </row>
    <row r="40" hidden="1" ht="33.5" customHeight="1">
      <c r="B40" s="119">
        <f>IF('設定'!$I$34="","",SUBSTITUTE(SUBSTITUTE(SUBSTITUTE(SUBSTITUTE(SUBSTITUTE(SUBSTITUTE(SUBSTITUTE(SUBSTITUTE(SUBSTITUTE(SUBSTITUTE(SUBSTITUTE(SUBSTITUTE('設定'!$I$34,"〜",""),"0","０"),"1","１"),"2","２"),"3","３"),"4","４"),"5","５"),"6","６"),"7","７"),"8","８"),"9","９"),":","：")&amp;"～")</f>
        <v/>
      </c>
      <c r="D40" s="120">
        <f>IF('調整・決定'!C29="","",'調整・決定'!C29)</f>
        <v/>
      </c>
      <c r="E40" s="120">
        <f>IF('調整・決定'!D29="","",'調整・決定'!D29)</f>
        <v/>
      </c>
      <c r="F40" s="120">
        <f>IF('調整・決定'!E29="","",'調整・決定'!E29)</f>
        <v/>
      </c>
      <c r="H40" s="120">
        <f>IF('調整・決定'!F29="","",'調整・決定'!F29)</f>
        <v/>
      </c>
      <c r="I40" s="120">
        <f>IF('調整・決定'!G29="","",'調整・決定'!G29)</f>
        <v/>
      </c>
      <c r="K40" s="120">
        <f>IF('調整・決定'!H29="","",'調整・決定'!H29)</f>
        <v/>
      </c>
      <c r="L40">
        <f>IF(24&lt;='設定'!$B$6,"表示","隠す")</f>
        <v/>
      </c>
    </row>
    <row r="41" ht="18" customHeight="1">
      <c r="L41" t="inlineStr">
        <is>
          <t>表示</t>
        </is>
      </c>
    </row>
    <row r="42" ht="18" customHeight="1">
      <c r="I42" s="122"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4">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M8:M11"/>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M6:M7"/>
    <mergeCell ref="I22:J22"/>
    <mergeCell ref="I28:J28"/>
    <mergeCell ref="F32:G32"/>
    <mergeCell ref="F26:G26"/>
    <mergeCell ref="F35:G35"/>
    <mergeCell ref="B3:K3"/>
    <mergeCell ref="F38:G38"/>
    <mergeCell ref="I39:J39"/>
    <mergeCell ref="F27:G27"/>
    <mergeCell ref="F37:G37"/>
    <mergeCell ref="I29:J29"/>
    <mergeCell ref="M4:M5"/>
    <mergeCell ref="I38:J38"/>
    <mergeCell ref="B36:C36"/>
    <mergeCell ref="I31:J31"/>
    <mergeCell ref="I40:J40"/>
  </mergeCells>
  <conditionalFormatting sqref="B16:C16">
    <cfRule type="expression" priority="1" dxfId="30">
      <formula>TRUE</formula>
    </cfRule>
  </conditionalFormatting>
  <conditionalFormatting sqref="D16:D40">
    <cfRule type="expression" priority="2" dxfId="30">
      <formula>$D$16&lt;&gt;""</formula>
    </cfRule>
  </conditionalFormatting>
  <conditionalFormatting sqref="E16:E40">
    <cfRule type="expression" priority="3" dxfId="30">
      <formula>$E$16&lt;&gt;""</formula>
    </cfRule>
  </conditionalFormatting>
  <conditionalFormatting sqref="F16:G40">
    <cfRule type="expression" priority="4" dxfId="30">
      <formula>$F$16&lt;&gt;""</formula>
    </cfRule>
  </conditionalFormatting>
  <conditionalFormatting sqref="H16:H40">
    <cfRule type="expression" priority="5" dxfId="30">
      <formula>$H$16&lt;&gt;""</formula>
    </cfRule>
  </conditionalFormatting>
  <conditionalFormatting sqref="I16:J40">
    <cfRule type="expression" priority="6" dxfId="30">
      <formula>$I$16&lt;&gt;""</formula>
    </cfRule>
  </conditionalFormatting>
  <conditionalFormatting sqref="K16:K40">
    <cfRule type="expression" priority="7" dxfId="30">
      <formula>$K$16&lt;&gt;""</formula>
    </cfRule>
  </conditionalFormatting>
  <conditionalFormatting sqref="B17:C40">
    <cfRule type="expression" priority="8" dxfId="30">
      <formula>$B17&lt;&gt;""</formula>
    </cfRule>
  </conditionalFormatting>
  <conditionalFormatting sqref="B3:K3">
    <cfRule type="expression" priority="9" dxfId="12">
      <formula>$B$3&lt;&gt;""</formula>
    </cfRule>
  </conditionalFormatting>
  <hyperlinks>
    <hyperlink ref="M4" location="'お手紙（秋）'!M4" display="▶ 印刷プレビュー"/>
    <hyperlink ref="M6" location="'お手紙（秋）'!M6" display="▶ PDFで保存"/>
  </hyperlinks>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118"/>
  <sheetViews>
    <sheetView showGridLines="0" workbookViewId="0">
      <selection activeCell="A1" sqref="A1"/>
    </sheetView>
  </sheetViews>
  <sheetFormatPr baseColWidth="8" defaultRowHeight="15"/>
  <sheetData>
    <row r="1">
      <c r="A1" s="95" t="inlineStr">
        <is>
          <t>計算用（さわらないでください）</t>
        </is>
      </c>
      <c r="C1" s="123"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3" t="inlineStr">
        <is>
          <t>時間帯の枠数</t>
        </is>
      </c>
      <c r="C2" s="123"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3">
        <f>IF(AND(ISNUMBER('設定'!$B$3),ISNUMBER('設定'!$D$3),ISNUMBER('設定'!$B$5)),IF(AND('設定'!$B$5&gt;0,'設定'!$D$3&gt;='設定'!$B$3),ROUND(('設定'!$D$3-'設定'!$B$3)*1440/'設定'!$B$5,0)+1,0),0)</f>
        <v/>
      </c>
      <c r="B3" s="123" t="inlineStr">
        <is>
          <t>←時間帯1</t>
        </is>
      </c>
      <c r="C3" s="123"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3">
        <f>IF(AND(A3&gt;0,ISNUMBER('設定'!$B$4),ISNUMBER('設定'!$D$4)),IF(AND('設定'!$D$4&gt;='設定'!$B$4,'設定'!$B$4&gt;'設定'!$D$3),ROUND(('設定'!$D$4-'設定'!$B$4)*1440/'設定'!$B$5,0)+1,0),0)</f>
        <v/>
      </c>
      <c r="B4" s="123" t="inlineStr">
        <is>
          <t>←時間帯2</t>
        </is>
      </c>
      <c r="C4" s="123"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A5" s="123" t="n"/>
      <c r="B5" s="123" t="n"/>
      <c r="C5" s="123"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IF('calcB'!$B$1&lt;&gt;1,0,IF(ABS(A7-'calcB'!$C$1)&lt;0.5,1,2))</f>
        <v/>
      </c>
      <c r="B6" s="123" t="inlineStr">
        <is>
          <t>←自動案　0：まだ　1：作った　2：作ったあとに入力が変わった</t>
        </is>
      </c>
      <c r="C6" s="123"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A7">
        <f>SUMPRODUCT($D$60:$EQ$99*(ROW($D$60:$EQ$99)*1000+COLUMN($D$60:$EQ$99)))+SUMPRODUCT($D$108:$EQ$118*(ROW($D$108:$EQ$118)*7+COLUMN($D$108:$EQ$118)))+SUMPRODUCT($D$5:$EQ$7*(ROW($D$5:$EQ$7)*3+COLUMN($D$5:$EQ$7)))+SUMPRODUCT($C$10:$C$49*(ROW($C$10:$C$49)*11+COLUMN($C$10:$C$49)))+SUMPRODUCT($IO$10:$IQ$49*(ROW($IO$10:$IQ$49)*13+COLUMN($IO$10:$IQ$49)))+SUMPRODUCT($IW$10:$IX$49*(ROW($IW$10:$IX$49)*17+COLUMN($IW$10:$IX$49)))+SUMPRODUCT($JC$10:$JF$49*(ROW($JC$10:$JF$49)*19+COLUMN($JC$10:$JF$49)))+SUMPRODUCT($HA$10:$HO$49*(ROW($HA$10:$HO$49)*23+COLUMN($HA$10:$HO$49)))</f>
        <v/>
      </c>
      <c r="B7" s="123" t="inlineStr">
        <is>
          <t>←入力の合計</t>
        </is>
      </c>
      <c r="C7" s="123"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3" t="inlineStr">
        <is>
          <t>選択中→</t>
        </is>
      </c>
      <c r="B8" s="123">
        <f>IF('調整・決定'!$J$5="",0,IFERROR(MATCH('調整・決定'!$J$5,$B$10:$B$54,0),0))</f>
        <v/>
      </c>
      <c r="C8" s="123"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IF(AND(C10=1,IK10=0,calcA!$A$6&gt;0),1,0)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IF(AND(C10=1,IR10=0,calcA!$A$6&gt;0),1,0)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IF(AND(C11=1,IK11=0,calcA!$A$6&gt;0),1,0)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IF(AND(C11=1,IR11=0,calcA!$A$6&gt;0),1,0)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IF(AND(C12=1,IK12=0,calcA!$A$6&gt;0),1,0)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IF(AND(C12=1,IR12=0,calcA!$A$6&gt;0),1,0)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IF(AND(C13=1,IK13=0,calcA!$A$6&gt;0),1,0)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IF(AND(C13=1,IR13=0,calcA!$A$6&gt;0),1,0)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IF(AND(C14=1,IK14=0,calcA!$A$6&gt;0),1,0)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IF(AND(C14=1,IR14=0,calcA!$A$6&gt;0),1,0)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IF(AND(C15=1,IK15=0,calcA!$A$6&gt;0),1,0)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IF(AND(C15=1,IR15=0,calcA!$A$6&gt;0),1,0)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IF(AND(C16=1,IK16=0,calcA!$A$6&gt;0),1,0)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IF(AND(C16=1,IR16=0,calcA!$A$6&gt;0),1,0)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IF(AND(C17=1,IK17=0,calcA!$A$6&gt;0),1,0)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IF(AND(C17=1,IR17=0,calcA!$A$6&gt;0),1,0)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IF(AND(C18=1,IK18=0,calcA!$A$6&gt;0),1,0)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IF(AND(C18=1,IR18=0,calcA!$A$6&gt;0),1,0)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IF(AND(C19=1,IK19=0,calcA!$A$6&gt;0),1,0)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IF(AND(C19=1,IR19=0,calcA!$A$6&gt;0),1,0)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IF(AND(C20=1,IK20=0,calcA!$A$6&gt;0),1,0)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IF(AND(C20=1,IR20=0,calcA!$A$6&gt;0),1,0)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IF(AND(C21=1,IK21=0,calcA!$A$6&gt;0),1,0)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IF(AND(C21=1,IR21=0,calcA!$A$6&gt;0),1,0)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IF(AND(C22=1,IK22=0,calcA!$A$6&gt;0),1,0)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IF(AND(C22=1,IR22=0,calcA!$A$6&gt;0),1,0)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IF(AND(C23=1,IK23=0,calcA!$A$6&gt;0),1,0)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IF(AND(C23=1,IR23=0,calcA!$A$6&gt;0),1,0)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IF(AND(C24=1,IK24=0,calcA!$A$6&gt;0),1,0)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IF(AND(C24=1,IR24=0,calcA!$A$6&gt;0),1,0)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IF(AND(C25=1,IK25=0,calcA!$A$6&gt;0),1,0)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IF(AND(C25=1,IR25=0,calcA!$A$6&gt;0),1,0)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IF(AND(C26=1,IK26=0,calcA!$A$6&gt;0),1,0)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IF(AND(C26=1,IR26=0,calcA!$A$6&gt;0),1,0)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IF(AND(C27=1,IK27=0,calcA!$A$6&gt;0),1,0)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IF(AND(C27=1,IR27=0,calcA!$A$6&gt;0),1,0)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IF(AND(C28=1,IK28=0,calcA!$A$6&gt;0),1,0)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IF(AND(C28=1,IR28=0,calcA!$A$6&gt;0),1,0)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IF(AND(C29=1,IK29=0,calcA!$A$6&gt;0),1,0)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IF(AND(C29=1,IR29=0,calcA!$A$6&gt;0),1,0)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IF(AND(C30=1,IK30=0,calcA!$A$6&gt;0),1,0)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IF(AND(C30=1,IR30=0,calcA!$A$6&gt;0),1,0)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IF(AND(C31=1,IK31=0,calcA!$A$6&gt;0),1,0)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IF(AND(C31=1,IR31=0,calcA!$A$6&gt;0),1,0)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IF(AND(C32=1,IK32=0,calcA!$A$6&gt;0),1,0)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IF(AND(C32=1,IR32=0,calcA!$A$6&gt;0),1,0)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IF(AND(C33=1,IK33=0,calcA!$A$6&gt;0),1,0)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IF(AND(C33=1,IR33=0,calcA!$A$6&gt;0),1,0)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IF(AND(C34=1,IK34=0,calcA!$A$6&gt;0),1,0)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IF(AND(C34=1,IR34=0,calcA!$A$6&gt;0),1,0)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IF(AND(C35=1,IK35=0,calcA!$A$6&gt;0),1,0)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IF(AND(C35=1,IR35=0,calcA!$A$6&gt;0),1,0)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IF(AND(C36=1,IK36=0,calcA!$A$6&gt;0),1,0)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IF(AND(C36=1,IR36=0,calcA!$A$6&gt;0),1,0)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IF(AND(C37=1,IK37=0,calcA!$A$6&gt;0),1,0)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IF(AND(C37=1,IR37=0,calcA!$A$6&gt;0),1,0)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IF(AND(C38=1,IK38=0,calcA!$A$6&gt;0),1,0)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IF(AND(C38=1,IR38=0,calcA!$A$6&gt;0),1,0)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IF(AND(C39=1,IK39=0,calcA!$A$6&gt;0),1,0)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IF(AND(C39=1,IR39=0,calcA!$A$6&gt;0),1,0)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IF(AND(C40=1,IK40=0,calcA!$A$6&gt;0),1,0)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IF(AND(C40=1,IR40=0,calcA!$A$6&gt;0),1,0)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IF(AND(C41=1,IK41=0,calcA!$A$6&gt;0),1,0)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IF(AND(C41=1,IR41=0,calcA!$A$6&gt;0),1,0)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IF(AND(C42=1,IK42=0,calcA!$A$6&gt;0),1,0)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IF(AND(C42=1,IR42=0,calcA!$A$6&gt;0),1,0)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IF(AND(C43=1,IK43=0,calcA!$A$6&gt;0),1,0)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IF(AND(C43=1,IR43=0,calcA!$A$6&gt;0),1,0)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IF(AND(C44=1,IK44=0,calcA!$A$6&gt;0),1,0)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IF(AND(C44=1,IR44=0,calcA!$A$6&gt;0),1,0)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IF(AND(C45=1,IK45=0,calcA!$A$6&gt;0),1,0)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IF(AND(C45=1,IR45=0,calcA!$A$6&gt;0),1,0)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IF(AND(C46=1,IK46=0,calcA!$A$6&gt;0),1,0)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IF(AND(C46=1,IR46=0,calcA!$A$6&gt;0),1,0)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IF(AND(C47=1,IK47=0,calcA!$A$6&gt;0),1,0)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IF(AND(C47=1,IR47=0,calcA!$A$6&gt;0),1,0)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IF(AND(C48=1,IK48=0,calcA!$A$6&gt;0),1,0)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IF(AND(C48=1,IR48=0,calcA!$A$6&gt;0),1,0)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IF(AND(C49=1,IK49=0,calcA!$A$6&gt;0),1,0)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IF(AND(C49=1,IR49=0,calcA!$A$6&gt;0),1,0)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5" t="inlineStr">
        <is>
          <t>自動案の結果（マクロが書きます。さわらないでください）</t>
        </is>
      </c>
      <c r="B1" t="n">
        <v>0</v>
      </c>
      <c r="E1" t="inlineStr">
        <is>
          <t>B1：1＝作った　C1：作ったときの入力の合計　D1：作った時刻</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5" t="inlineStr">
        <is>
          <t>自動案の結果（マクロが書きます。さわらないでください）</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2026-10-29T00:05:31Z</dcterms:created>
  <dcterms:modified xmlns:dcterms="http://purl.org/dc/terms/" xmlns:xsi="http://www.w3.org/2001/XMLSchema-instance" xsi:type="dcterms:W3CDTF">2026-10-29T00:05:32Z</dcterms:modified>
</cp:coreProperties>
</file>